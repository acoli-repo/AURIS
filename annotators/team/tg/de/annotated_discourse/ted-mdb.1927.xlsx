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annotated_discourse\"/>
    </mc:Choice>
  </mc:AlternateContent>
  <xr:revisionPtr revIDLastSave="0" documentId="13_ncr:1_{131751C1-B40C-4DF9-9875-42854A9DC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K2097" i="2" l="1"/>
  <c r="J2097" i="2"/>
  <c r="H2097" i="2" s="1"/>
  <c r="I2097" i="2"/>
  <c r="G2097" i="2"/>
  <c r="F2097" i="2"/>
  <c r="E2097" i="2"/>
  <c r="J2096" i="2"/>
  <c r="H2096" i="2" s="1"/>
  <c r="I2096" i="2"/>
  <c r="G2096" i="2"/>
  <c r="F2096" i="2"/>
  <c r="E2096" i="2"/>
  <c r="K2096" i="2" s="1"/>
  <c r="G2095" i="2"/>
  <c r="F2095" i="2"/>
  <c r="I2095" i="2" s="1"/>
  <c r="E2095" i="2"/>
  <c r="G2092" i="2"/>
  <c r="F2092" i="2"/>
  <c r="E2092" i="2"/>
  <c r="E2091" i="2"/>
  <c r="E2090" i="2"/>
  <c r="E2089" i="2"/>
  <c r="K2088" i="2"/>
  <c r="J2088" i="2"/>
  <c r="H2088" i="2" s="1"/>
  <c r="I2088" i="2"/>
  <c r="G2088" i="2"/>
  <c r="F2088" i="2"/>
  <c r="E2088" i="2"/>
  <c r="E2087" i="2"/>
  <c r="J2086" i="2"/>
  <c r="H2086" i="2" s="1"/>
  <c r="I2086" i="2"/>
  <c r="G2086" i="2"/>
  <c r="F2086" i="2"/>
  <c r="E2086" i="2"/>
  <c r="K2086" i="2" s="1"/>
  <c r="K2085" i="2"/>
  <c r="I2085" i="2"/>
  <c r="G2085" i="2"/>
  <c r="F2085" i="2"/>
  <c r="E2085" i="2"/>
  <c r="G2084" i="2"/>
  <c r="F2084" i="2"/>
  <c r="E2084" i="2"/>
  <c r="J2084" i="2" s="1"/>
  <c r="H2084" i="2" s="1"/>
  <c r="I2083" i="2"/>
  <c r="G2083" i="2"/>
  <c r="F2083" i="2"/>
  <c r="E2083" i="2"/>
  <c r="F2082" i="2"/>
  <c r="K2082" i="2" s="1"/>
  <c r="E2082" i="2"/>
  <c r="G2081" i="2"/>
  <c r="E2081" i="2"/>
  <c r="I2080" i="2"/>
  <c r="G2080" i="2"/>
  <c r="F2080" i="2"/>
  <c r="K2080" i="2" s="1"/>
  <c r="E2080" i="2"/>
  <c r="E2079" i="2"/>
  <c r="J2078" i="2"/>
  <c r="H2078" i="2" s="1"/>
  <c r="I2078" i="2"/>
  <c r="G2078" i="2"/>
  <c r="E2078" i="2"/>
  <c r="F2078" i="2" s="1"/>
  <c r="K2077" i="2"/>
  <c r="G2077" i="2"/>
  <c r="F2077" i="2"/>
  <c r="I2077" i="2" s="1"/>
  <c r="E2077" i="2"/>
  <c r="J2077" i="2" s="1"/>
  <c r="H2077" i="2" s="1"/>
  <c r="F2076" i="2"/>
  <c r="E2076" i="2"/>
  <c r="G2075" i="2"/>
  <c r="F2075" i="2"/>
  <c r="I2075" i="2" s="1"/>
  <c r="E2075" i="2"/>
  <c r="F2074" i="2"/>
  <c r="E2074" i="2"/>
  <c r="G2073" i="2"/>
  <c r="E2073" i="2"/>
  <c r="J2072" i="2"/>
  <c r="H2072" i="2" s="1"/>
  <c r="I2072" i="2"/>
  <c r="G2072" i="2"/>
  <c r="F2072" i="2"/>
  <c r="K2072" i="2" s="1"/>
  <c r="E2072" i="2"/>
  <c r="E2071" i="2"/>
  <c r="J2070" i="2"/>
  <c r="H2070" i="2" s="1"/>
  <c r="I2070" i="2"/>
  <c r="G2070" i="2"/>
  <c r="E2070" i="2"/>
  <c r="F2070" i="2" s="1"/>
  <c r="I2069" i="2"/>
  <c r="G2069" i="2"/>
  <c r="F2069" i="2"/>
  <c r="K2069" i="2" s="1"/>
  <c r="E2069" i="2"/>
  <c r="J2069" i="2" s="1"/>
  <c r="H2069" i="2" s="1"/>
  <c r="F2068" i="2"/>
  <c r="J2068" i="2" s="1"/>
  <c r="H2068" i="2" s="1"/>
  <c r="E2068" i="2"/>
  <c r="G2067" i="2"/>
  <c r="E2067" i="2"/>
  <c r="E2066" i="2"/>
  <c r="E2065" i="2"/>
  <c r="G2064" i="2"/>
  <c r="F2064" i="2"/>
  <c r="E2064" i="2"/>
  <c r="E2063" i="2"/>
  <c r="J2062" i="2"/>
  <c r="H2062" i="2" s="1"/>
  <c r="G2062" i="2"/>
  <c r="E2062" i="2"/>
  <c r="F2062" i="2" s="1"/>
  <c r="I2062" i="2" s="1"/>
  <c r="G2061" i="2"/>
  <c r="F2061" i="2"/>
  <c r="E2061" i="2"/>
  <c r="E2060" i="2"/>
  <c r="G2058" i="2"/>
  <c r="E2058" i="2"/>
  <c r="E2056" i="2"/>
  <c r="E2055" i="2"/>
  <c r="G2054" i="2"/>
  <c r="F2054" i="2"/>
  <c r="E2054" i="2"/>
  <c r="E2053" i="2"/>
  <c r="J2052" i="2"/>
  <c r="H2052" i="2" s="1"/>
  <c r="I2052" i="2"/>
  <c r="G2052" i="2"/>
  <c r="E2052" i="2"/>
  <c r="F2052" i="2" s="1"/>
  <c r="G2051" i="2"/>
  <c r="F2051" i="2"/>
  <c r="E2051" i="2"/>
  <c r="E2050" i="2"/>
  <c r="E2049" i="2"/>
  <c r="E2048" i="2"/>
  <c r="G2047" i="2"/>
  <c r="E2047" i="2"/>
  <c r="K2046" i="2"/>
  <c r="G2046" i="2"/>
  <c r="F2046" i="2"/>
  <c r="J2046" i="2" s="1"/>
  <c r="H2046" i="2" s="1"/>
  <c r="E2046" i="2"/>
  <c r="F2045" i="2"/>
  <c r="I2045" i="2" s="1"/>
  <c r="E2045" i="2"/>
  <c r="E2044" i="2"/>
  <c r="K2041" i="2"/>
  <c r="I2041" i="2"/>
  <c r="G2041" i="2"/>
  <c r="F2041" i="2"/>
  <c r="E2041" i="2"/>
  <c r="E2040" i="2"/>
  <c r="E2039" i="2"/>
  <c r="K2038" i="2"/>
  <c r="I2038" i="2"/>
  <c r="F2038" i="2"/>
  <c r="E2038" i="2"/>
  <c r="E2037" i="2"/>
  <c r="G2036" i="2"/>
  <c r="F2036" i="2"/>
  <c r="E2036" i="2"/>
  <c r="K2035" i="2"/>
  <c r="J2035" i="2"/>
  <c r="H2035" i="2" s="1"/>
  <c r="I2035" i="2"/>
  <c r="F2035" i="2"/>
  <c r="E2035" i="2"/>
  <c r="G2035" i="2" s="1"/>
  <c r="E2034" i="2"/>
  <c r="E2033" i="2"/>
  <c r="E2032" i="2"/>
  <c r="J2031" i="2"/>
  <c r="H2031" i="2" s="1"/>
  <c r="G2031" i="2"/>
  <c r="F2031" i="2"/>
  <c r="E2031" i="2"/>
  <c r="F2030" i="2"/>
  <c r="I2030" i="2" s="1"/>
  <c r="E2030" i="2"/>
  <c r="E2029" i="2"/>
  <c r="G2028" i="2"/>
  <c r="F2028" i="2"/>
  <c r="E2028" i="2"/>
  <c r="E2027" i="2"/>
  <c r="J2026" i="2"/>
  <c r="H2026" i="2" s="1"/>
  <c r="I2026" i="2"/>
  <c r="G2026" i="2"/>
  <c r="F2026" i="2"/>
  <c r="E2026" i="2"/>
  <c r="F2025" i="2"/>
  <c r="E2025" i="2"/>
  <c r="F2024" i="2"/>
  <c r="E2024" i="2"/>
  <c r="E2021" i="2"/>
  <c r="F2020" i="2"/>
  <c r="E2020" i="2"/>
  <c r="G2020" i="2" s="1"/>
  <c r="E2019" i="2"/>
  <c r="G2018" i="2"/>
  <c r="F2018" i="2"/>
  <c r="E2018" i="2"/>
  <c r="G2017" i="2"/>
  <c r="E2017" i="2"/>
  <c r="E2014" i="2"/>
  <c r="I2013" i="2"/>
  <c r="G2013" i="2"/>
  <c r="F2013" i="2"/>
  <c r="K2013" i="2" s="1"/>
  <c r="E2013" i="2"/>
  <c r="J2012" i="2"/>
  <c r="H2012" i="2" s="1"/>
  <c r="F2012" i="2"/>
  <c r="E2012" i="2"/>
  <c r="F2011" i="2"/>
  <c r="K2011" i="2" s="1"/>
  <c r="E2011" i="2"/>
  <c r="E2010" i="2"/>
  <c r="K2009" i="2"/>
  <c r="J2009" i="2"/>
  <c r="H2009" i="2" s="1"/>
  <c r="I2009" i="2"/>
  <c r="G2009" i="2"/>
  <c r="E2009" i="2"/>
  <c r="F2009" i="2" s="1"/>
  <c r="J2006" i="2"/>
  <c r="H2006" i="2" s="1"/>
  <c r="G2006" i="2"/>
  <c r="F2006" i="2"/>
  <c r="E2006" i="2"/>
  <c r="E2005" i="2"/>
  <c r="G2004" i="2"/>
  <c r="F2004" i="2"/>
  <c r="J2004" i="2" s="1"/>
  <c r="H2004" i="2" s="1"/>
  <c r="E2004" i="2"/>
  <c r="E2003" i="2"/>
  <c r="K2002" i="2"/>
  <c r="J2002" i="2"/>
  <c r="H2002" i="2" s="1"/>
  <c r="G2002" i="2"/>
  <c r="F2002" i="2"/>
  <c r="E2002" i="2"/>
  <c r="I2001" i="2"/>
  <c r="F2001" i="2"/>
  <c r="E2001" i="2"/>
  <c r="F2000" i="2"/>
  <c r="E2000" i="2"/>
  <c r="E1999" i="2"/>
  <c r="K1998" i="2"/>
  <c r="J1998" i="2"/>
  <c r="H1998" i="2" s="1"/>
  <c r="I1998" i="2"/>
  <c r="G1998" i="2"/>
  <c r="F1998" i="2"/>
  <c r="E1998" i="2"/>
  <c r="K1997" i="2"/>
  <c r="G1997" i="2"/>
  <c r="F1997" i="2"/>
  <c r="E1997" i="2"/>
  <c r="E1996" i="2"/>
  <c r="G1995" i="2"/>
  <c r="E1995" i="2"/>
  <c r="G1994" i="2"/>
  <c r="E1994" i="2"/>
  <c r="I1993" i="2"/>
  <c r="G1993" i="2"/>
  <c r="E1993" i="2"/>
  <c r="F1993" i="2" s="1"/>
  <c r="J1993" i="2" s="1"/>
  <c r="H1993" i="2" s="1"/>
  <c r="E1992" i="2"/>
  <c r="G1991" i="2"/>
  <c r="E1991" i="2"/>
  <c r="K1990" i="2"/>
  <c r="J1990" i="2"/>
  <c r="H1990" i="2" s="1"/>
  <c r="I1990" i="2"/>
  <c r="G1990" i="2"/>
  <c r="F1990" i="2"/>
  <c r="E1990" i="2"/>
  <c r="K1989" i="2"/>
  <c r="J1989" i="2"/>
  <c r="H1989" i="2" s="1"/>
  <c r="I1989" i="2"/>
  <c r="G1989" i="2"/>
  <c r="E1989" i="2"/>
  <c r="F1989" i="2" s="1"/>
  <c r="G1988" i="2"/>
  <c r="E1988" i="2"/>
  <c r="E1987" i="2"/>
  <c r="G1986" i="2"/>
  <c r="F1986" i="2"/>
  <c r="J1986" i="2" s="1"/>
  <c r="H1986" i="2" s="1"/>
  <c r="E1986" i="2"/>
  <c r="J1985" i="2"/>
  <c r="H1985" i="2" s="1"/>
  <c r="I1985" i="2"/>
  <c r="G1985" i="2"/>
  <c r="E1985" i="2"/>
  <c r="F1985" i="2" s="1"/>
  <c r="F1984" i="2"/>
  <c r="K1984" i="2" s="1"/>
  <c r="E1984" i="2"/>
  <c r="G1982" i="2"/>
  <c r="E1982" i="2"/>
  <c r="J1980" i="2"/>
  <c r="H1980" i="2" s="1"/>
  <c r="G1980" i="2"/>
  <c r="F1980" i="2"/>
  <c r="I1980" i="2" s="1"/>
  <c r="E1980" i="2"/>
  <c r="F1979" i="2"/>
  <c r="E1979" i="2"/>
  <c r="E1978" i="2"/>
  <c r="E1977" i="2"/>
  <c r="F1976" i="2"/>
  <c r="E1976" i="2"/>
  <c r="G1975" i="2"/>
  <c r="E1975" i="2"/>
  <c r="E1974" i="2"/>
  <c r="E1973" i="2"/>
  <c r="J1972" i="2"/>
  <c r="H1972" i="2" s="1"/>
  <c r="I1972" i="2"/>
  <c r="G1972" i="2"/>
  <c r="F1972" i="2"/>
  <c r="K1972" i="2" s="1"/>
  <c r="E1972" i="2"/>
  <c r="K1971" i="2"/>
  <c r="I1971" i="2"/>
  <c r="G1971" i="2"/>
  <c r="F1971" i="2"/>
  <c r="E1971" i="2"/>
  <c r="E1970" i="2"/>
  <c r="J1969" i="2"/>
  <c r="H1969" i="2" s="1"/>
  <c r="F1969" i="2"/>
  <c r="E1969" i="2"/>
  <c r="K1968" i="2"/>
  <c r="J1968" i="2"/>
  <c r="H1968" i="2" s="1"/>
  <c r="I1968" i="2"/>
  <c r="E1968" i="2"/>
  <c r="F1968" i="2" s="1"/>
  <c r="G1967" i="2"/>
  <c r="F1967" i="2"/>
  <c r="E1967" i="2"/>
  <c r="I1966" i="2"/>
  <c r="G1966" i="2"/>
  <c r="F1966" i="2"/>
  <c r="E1966" i="2"/>
  <c r="E1965" i="2"/>
  <c r="K1964" i="2"/>
  <c r="I1964" i="2"/>
  <c r="F1964" i="2"/>
  <c r="E1964" i="2"/>
  <c r="G1963" i="2"/>
  <c r="E1963" i="2"/>
  <c r="G1962" i="2"/>
  <c r="F1962" i="2"/>
  <c r="E1962" i="2"/>
  <c r="I1961" i="2"/>
  <c r="F1961" i="2"/>
  <c r="E1961" i="2"/>
  <c r="G1960" i="2"/>
  <c r="E1960" i="2"/>
  <c r="K1959" i="2"/>
  <c r="J1959" i="2"/>
  <c r="H1959" i="2" s="1"/>
  <c r="I1959" i="2"/>
  <c r="G1959" i="2"/>
  <c r="F1959" i="2"/>
  <c r="E1959" i="2"/>
  <c r="J1958" i="2"/>
  <c r="H1958" i="2" s="1"/>
  <c r="I1958" i="2"/>
  <c r="G1958" i="2"/>
  <c r="E1958" i="2"/>
  <c r="F1958" i="2" s="1"/>
  <c r="K1958" i="2" s="1"/>
  <c r="J1957" i="2"/>
  <c r="H1957" i="2" s="1"/>
  <c r="I1957" i="2"/>
  <c r="G1957" i="2"/>
  <c r="F1957" i="2"/>
  <c r="E1957" i="2"/>
  <c r="E1956" i="2"/>
  <c r="J1955" i="2"/>
  <c r="H1955" i="2" s="1"/>
  <c r="F1955" i="2"/>
  <c r="E1955" i="2"/>
  <c r="K1952" i="2"/>
  <c r="J1952" i="2"/>
  <c r="H1952" i="2" s="1"/>
  <c r="I1952" i="2"/>
  <c r="G1952" i="2"/>
  <c r="E1952" i="2"/>
  <c r="F1952" i="2" s="1"/>
  <c r="E1951" i="2"/>
  <c r="G1950" i="2"/>
  <c r="E1950" i="2"/>
  <c r="G1949" i="2"/>
  <c r="F1949" i="2"/>
  <c r="E1949" i="2"/>
  <c r="J1948" i="2"/>
  <c r="H1948" i="2" s="1"/>
  <c r="I1948" i="2"/>
  <c r="F1948" i="2"/>
  <c r="E1948" i="2"/>
  <c r="G1948" i="2" s="1"/>
  <c r="G1947" i="2"/>
  <c r="E1947" i="2"/>
  <c r="F1946" i="2"/>
  <c r="E1946" i="2"/>
  <c r="G1945" i="2"/>
  <c r="F1945" i="2"/>
  <c r="E1945" i="2"/>
  <c r="G1942" i="2"/>
  <c r="E1942" i="2"/>
  <c r="E1941" i="2"/>
  <c r="K1940" i="2"/>
  <c r="I1940" i="2"/>
  <c r="F1940" i="2"/>
  <c r="E1940" i="2"/>
  <c r="G1940" i="2" s="1"/>
  <c r="E1939" i="2"/>
  <c r="G1938" i="2"/>
  <c r="E1938" i="2"/>
  <c r="F1938" i="2" s="1"/>
  <c r="K1937" i="2"/>
  <c r="I1937" i="2"/>
  <c r="G1937" i="2"/>
  <c r="F1937" i="2"/>
  <c r="J1937" i="2" s="1"/>
  <c r="H1937" i="2" s="1"/>
  <c r="E1937" i="2"/>
  <c r="J1936" i="2"/>
  <c r="H1936" i="2" s="1"/>
  <c r="I1936" i="2"/>
  <c r="G1936" i="2"/>
  <c r="F1936" i="2"/>
  <c r="E1936" i="2"/>
  <c r="G1935" i="2"/>
  <c r="F1935" i="2"/>
  <c r="I1935" i="2" s="1"/>
  <c r="E1935" i="2"/>
  <c r="K1934" i="2"/>
  <c r="G1934" i="2"/>
  <c r="F1934" i="2"/>
  <c r="E1934" i="2"/>
  <c r="K1933" i="2"/>
  <c r="F1933" i="2"/>
  <c r="J1933" i="2" s="1"/>
  <c r="H1933" i="2" s="1"/>
  <c r="E1933" i="2"/>
  <c r="F1932" i="2"/>
  <c r="E1932" i="2"/>
  <c r="E1931" i="2"/>
  <c r="J1930" i="2"/>
  <c r="H1930" i="2" s="1"/>
  <c r="I1930" i="2"/>
  <c r="G1930" i="2"/>
  <c r="E1930" i="2"/>
  <c r="F1930" i="2" s="1"/>
  <c r="K1929" i="2"/>
  <c r="J1929" i="2"/>
  <c r="H1929" i="2" s="1"/>
  <c r="I1929" i="2"/>
  <c r="G1929" i="2"/>
  <c r="F1929" i="2"/>
  <c r="E1929" i="2"/>
  <c r="G1928" i="2"/>
  <c r="F1928" i="2"/>
  <c r="E1928" i="2"/>
  <c r="E1927" i="2"/>
  <c r="K1926" i="2"/>
  <c r="G1926" i="2"/>
  <c r="F1926" i="2"/>
  <c r="E1926" i="2"/>
  <c r="J1925" i="2"/>
  <c r="H1925" i="2" s="1"/>
  <c r="F1925" i="2"/>
  <c r="E1925" i="2"/>
  <c r="I1925" i="2" s="1"/>
  <c r="G1924" i="2"/>
  <c r="F1924" i="2"/>
  <c r="E1924" i="2"/>
  <c r="E1923" i="2"/>
  <c r="K1922" i="2"/>
  <c r="I1922" i="2"/>
  <c r="G1922" i="2"/>
  <c r="E1922" i="2"/>
  <c r="F1922" i="2" s="1"/>
  <c r="J1921" i="2"/>
  <c r="H1921" i="2" s="1"/>
  <c r="G1921" i="2"/>
  <c r="F1921" i="2"/>
  <c r="K1921" i="2" s="1"/>
  <c r="E1921" i="2"/>
  <c r="E1920" i="2"/>
  <c r="G1919" i="2"/>
  <c r="F1919" i="2"/>
  <c r="I1919" i="2" s="1"/>
  <c r="E1919" i="2"/>
  <c r="E1916" i="2"/>
  <c r="G1915" i="2"/>
  <c r="F1915" i="2"/>
  <c r="K1915" i="2" s="1"/>
  <c r="E1915" i="2"/>
  <c r="F1914" i="2"/>
  <c r="J1914" i="2" s="1"/>
  <c r="H1914" i="2" s="1"/>
  <c r="E1914" i="2"/>
  <c r="F1913" i="2"/>
  <c r="E1913" i="2"/>
  <c r="G1913" i="2" s="1"/>
  <c r="E1912" i="2"/>
  <c r="K1911" i="2"/>
  <c r="I1911" i="2"/>
  <c r="G1911" i="2"/>
  <c r="F1911" i="2"/>
  <c r="J1911" i="2" s="1"/>
  <c r="H1911" i="2" s="1"/>
  <c r="E1911" i="2"/>
  <c r="K1910" i="2"/>
  <c r="G1910" i="2"/>
  <c r="F1910" i="2"/>
  <c r="J1910" i="2" s="1"/>
  <c r="H1910" i="2" s="1"/>
  <c r="E1910" i="2"/>
  <c r="F1909" i="2"/>
  <c r="I1909" i="2" s="1"/>
  <c r="E1909" i="2"/>
  <c r="G1908" i="2"/>
  <c r="F1908" i="2"/>
  <c r="I1908" i="2" s="1"/>
  <c r="E1908" i="2"/>
  <c r="E1907" i="2"/>
  <c r="K1906" i="2"/>
  <c r="I1906" i="2"/>
  <c r="G1906" i="2"/>
  <c r="F1906" i="2"/>
  <c r="E1906" i="2"/>
  <c r="J1906" i="2" s="1"/>
  <c r="H1906" i="2" s="1"/>
  <c r="E1903" i="2"/>
  <c r="K1902" i="2"/>
  <c r="J1902" i="2"/>
  <c r="H1902" i="2" s="1"/>
  <c r="I1902" i="2"/>
  <c r="G1902" i="2"/>
  <c r="E1902" i="2"/>
  <c r="F1902" i="2" s="1"/>
  <c r="J1901" i="2"/>
  <c r="H1901" i="2" s="1"/>
  <c r="I1901" i="2"/>
  <c r="G1901" i="2"/>
  <c r="F1901" i="2"/>
  <c r="K1901" i="2" s="1"/>
  <c r="E1901" i="2"/>
  <c r="E1900" i="2"/>
  <c r="J1899" i="2"/>
  <c r="H1899" i="2" s="1"/>
  <c r="G1899" i="2"/>
  <c r="F1899" i="2"/>
  <c r="E1899" i="2"/>
  <c r="E1898" i="2"/>
  <c r="E1897" i="2"/>
  <c r="E1896" i="2"/>
  <c r="G1895" i="2"/>
  <c r="F1895" i="2"/>
  <c r="E1895" i="2"/>
  <c r="E1894" i="2"/>
  <c r="G1894" i="2" s="1"/>
  <c r="E1893" i="2"/>
  <c r="K1892" i="2"/>
  <c r="I1892" i="2"/>
  <c r="G1892" i="2"/>
  <c r="F1892" i="2"/>
  <c r="E1892" i="2"/>
  <c r="J1892" i="2" s="1"/>
  <c r="H1892" i="2" s="1"/>
  <c r="J1891" i="2"/>
  <c r="H1891" i="2" s="1"/>
  <c r="G1891" i="2"/>
  <c r="F1891" i="2"/>
  <c r="K1891" i="2" s="1"/>
  <c r="E1891" i="2"/>
  <c r="I1891" i="2" s="1"/>
  <c r="J1890" i="2"/>
  <c r="H1890" i="2" s="1"/>
  <c r="I1890" i="2"/>
  <c r="F1890" i="2"/>
  <c r="E1890" i="2"/>
  <c r="E1889" i="2"/>
  <c r="G1888" i="2"/>
  <c r="E1888" i="2"/>
  <c r="G1887" i="2"/>
  <c r="F1887" i="2"/>
  <c r="E1887" i="2"/>
  <c r="F1886" i="2"/>
  <c r="E1886" i="2"/>
  <c r="G1886" i="2" s="1"/>
  <c r="E1885" i="2"/>
  <c r="K1884" i="2"/>
  <c r="I1884" i="2"/>
  <c r="G1884" i="2"/>
  <c r="F1884" i="2"/>
  <c r="E1884" i="2"/>
  <c r="J1884" i="2" s="1"/>
  <c r="H1884" i="2" s="1"/>
  <c r="K1883" i="2"/>
  <c r="G1883" i="2"/>
  <c r="F1883" i="2"/>
  <c r="J1883" i="2" s="1"/>
  <c r="H1883" i="2" s="1"/>
  <c r="E1883" i="2"/>
  <c r="G1882" i="2"/>
  <c r="E1882" i="2"/>
  <c r="E1881" i="2"/>
  <c r="E1880" i="2"/>
  <c r="K1879" i="2"/>
  <c r="J1879" i="2"/>
  <c r="H1879" i="2" s="1"/>
  <c r="G1879" i="2"/>
  <c r="F1879" i="2"/>
  <c r="I1879" i="2" s="1"/>
  <c r="E1879" i="2"/>
  <c r="E1878" i="2"/>
  <c r="E1877" i="2"/>
  <c r="K1876" i="2"/>
  <c r="I1876" i="2"/>
  <c r="G1876" i="2"/>
  <c r="F1876" i="2"/>
  <c r="E1876" i="2"/>
  <c r="J1876" i="2" s="1"/>
  <c r="H1876" i="2" s="1"/>
  <c r="K1875" i="2"/>
  <c r="J1875" i="2"/>
  <c r="H1875" i="2" s="1"/>
  <c r="G1875" i="2"/>
  <c r="F1875" i="2"/>
  <c r="E1875" i="2"/>
  <c r="I1875" i="2" s="1"/>
  <c r="G1874" i="2"/>
  <c r="F1874" i="2"/>
  <c r="E1874" i="2"/>
  <c r="F1873" i="2"/>
  <c r="I1873" i="2" s="1"/>
  <c r="E1873" i="2"/>
  <c r="G1872" i="2"/>
  <c r="E1872" i="2"/>
  <c r="K1871" i="2"/>
  <c r="J1871" i="2"/>
  <c r="H1871" i="2" s="1"/>
  <c r="G1871" i="2"/>
  <c r="F1871" i="2"/>
  <c r="I1871" i="2" s="1"/>
  <c r="E1871" i="2"/>
  <c r="K1870" i="2"/>
  <c r="J1870" i="2"/>
  <c r="H1870" i="2" s="1"/>
  <c r="F1870" i="2"/>
  <c r="E1870" i="2"/>
  <c r="G1870" i="2" s="1"/>
  <c r="E1869" i="2"/>
  <c r="K1868" i="2"/>
  <c r="I1868" i="2"/>
  <c r="G1868" i="2"/>
  <c r="F1868" i="2"/>
  <c r="E1868" i="2"/>
  <c r="J1868" i="2" s="1"/>
  <c r="H1868" i="2" s="1"/>
  <c r="J1867" i="2"/>
  <c r="H1867" i="2" s="1"/>
  <c r="G1867" i="2"/>
  <c r="F1867" i="2"/>
  <c r="K1867" i="2" s="1"/>
  <c r="E1867" i="2"/>
  <c r="E1866" i="2"/>
  <c r="E1865" i="2"/>
  <c r="E1864" i="2"/>
  <c r="G1863" i="2"/>
  <c r="F1863" i="2"/>
  <c r="E1863" i="2"/>
  <c r="E1862" i="2"/>
  <c r="G1862" i="2" s="1"/>
  <c r="E1859" i="2"/>
  <c r="K1858" i="2"/>
  <c r="I1858" i="2"/>
  <c r="G1858" i="2"/>
  <c r="F1858" i="2"/>
  <c r="E1858" i="2"/>
  <c r="J1858" i="2" s="1"/>
  <c r="H1858" i="2" s="1"/>
  <c r="E1857" i="2"/>
  <c r="E1856" i="2"/>
  <c r="E1855" i="2"/>
  <c r="G1854" i="2"/>
  <c r="E1854" i="2"/>
  <c r="K1853" i="2"/>
  <c r="J1853" i="2"/>
  <c r="H1853" i="2" s="1"/>
  <c r="I1853" i="2"/>
  <c r="G1853" i="2"/>
  <c r="F1853" i="2"/>
  <c r="E1853" i="2"/>
  <c r="F1852" i="2"/>
  <c r="K1852" i="2" s="1"/>
  <c r="E1852" i="2"/>
  <c r="G1852" i="2" s="1"/>
  <c r="E1851" i="2"/>
  <c r="G1850" i="2"/>
  <c r="F1850" i="2"/>
  <c r="E1850" i="2"/>
  <c r="J1850" i="2" s="1"/>
  <c r="H1850" i="2" s="1"/>
  <c r="G1849" i="2"/>
  <c r="E1849" i="2"/>
  <c r="J1848" i="2"/>
  <c r="H1848" i="2" s="1"/>
  <c r="F1848" i="2"/>
  <c r="I1848" i="2" s="1"/>
  <c r="E1848" i="2"/>
  <c r="E1847" i="2"/>
  <c r="G1846" i="2"/>
  <c r="E1846" i="2"/>
  <c r="I1845" i="2"/>
  <c r="G1845" i="2"/>
  <c r="F1845" i="2"/>
  <c r="K1845" i="2" s="1"/>
  <c r="E1845" i="2"/>
  <c r="F1844" i="2"/>
  <c r="E1844" i="2"/>
  <c r="G1844" i="2" s="1"/>
  <c r="E1843" i="2"/>
  <c r="K1842" i="2"/>
  <c r="I1842" i="2"/>
  <c r="G1842" i="2"/>
  <c r="F1842" i="2"/>
  <c r="E1842" i="2"/>
  <c r="J1842" i="2" s="1"/>
  <c r="H1842" i="2" s="1"/>
  <c r="G1841" i="2"/>
  <c r="E1841" i="2"/>
  <c r="E1840" i="2"/>
  <c r="E1839" i="2"/>
  <c r="G1838" i="2"/>
  <c r="E1838" i="2"/>
  <c r="K1837" i="2"/>
  <c r="J1837" i="2"/>
  <c r="H1837" i="2" s="1"/>
  <c r="I1837" i="2"/>
  <c r="G1837" i="2"/>
  <c r="F1837" i="2"/>
  <c r="E1837" i="2"/>
  <c r="F1836" i="2"/>
  <c r="I1836" i="2" s="1"/>
  <c r="E1836" i="2"/>
  <c r="G1836" i="2" s="1"/>
  <c r="E1835" i="2"/>
  <c r="I1834" i="2"/>
  <c r="G1834" i="2"/>
  <c r="F1834" i="2"/>
  <c r="K1834" i="2" s="1"/>
  <c r="E1834" i="2"/>
  <c r="J1834" i="2" s="1"/>
  <c r="H1834" i="2" s="1"/>
  <c r="G1833" i="2"/>
  <c r="E1833" i="2"/>
  <c r="F1832" i="2"/>
  <c r="J1832" i="2" s="1"/>
  <c r="H1832" i="2" s="1"/>
  <c r="E1832" i="2"/>
  <c r="E1831" i="2"/>
  <c r="G1830" i="2"/>
  <c r="E1830" i="2"/>
  <c r="J1829" i="2"/>
  <c r="H1829" i="2" s="1"/>
  <c r="I1829" i="2"/>
  <c r="G1829" i="2"/>
  <c r="F1829" i="2"/>
  <c r="K1829" i="2" s="1"/>
  <c r="E1829" i="2"/>
  <c r="F1828" i="2"/>
  <c r="E1828" i="2"/>
  <c r="G1828" i="2" s="1"/>
  <c r="E1827" i="2"/>
  <c r="K1825" i="2"/>
  <c r="I1825" i="2"/>
  <c r="G1825" i="2"/>
  <c r="F1825" i="2"/>
  <c r="E1825" i="2"/>
  <c r="J1825" i="2" s="1"/>
  <c r="H1825" i="2" s="1"/>
  <c r="G1823" i="2"/>
  <c r="E1823" i="2"/>
  <c r="E1822" i="2"/>
  <c r="E1821" i="2"/>
  <c r="G1820" i="2"/>
  <c r="E1820" i="2"/>
  <c r="K1819" i="2"/>
  <c r="J1819" i="2"/>
  <c r="H1819" i="2" s="1"/>
  <c r="I1819" i="2"/>
  <c r="G1819" i="2"/>
  <c r="F1819" i="2"/>
  <c r="E1819" i="2"/>
  <c r="K1818" i="2"/>
  <c r="F1818" i="2"/>
  <c r="I1818" i="2" s="1"/>
  <c r="E1818" i="2"/>
  <c r="G1818" i="2" s="1"/>
  <c r="E1817" i="2"/>
  <c r="I1816" i="2"/>
  <c r="G1816" i="2"/>
  <c r="F1816" i="2"/>
  <c r="K1816" i="2" s="1"/>
  <c r="E1816" i="2"/>
  <c r="J1816" i="2" s="1"/>
  <c r="H1816" i="2" s="1"/>
  <c r="J1815" i="2"/>
  <c r="H1815" i="2" s="1"/>
  <c r="G1815" i="2"/>
  <c r="F1815" i="2"/>
  <c r="E1815" i="2"/>
  <c r="J1814" i="2"/>
  <c r="H1814" i="2" s="1"/>
  <c r="I1814" i="2"/>
  <c r="F1814" i="2"/>
  <c r="E1814" i="2"/>
  <c r="E1813" i="2"/>
  <c r="G1812" i="2"/>
  <c r="E1812" i="2"/>
  <c r="I1811" i="2"/>
  <c r="G1811" i="2"/>
  <c r="F1811" i="2"/>
  <c r="K1811" i="2" s="1"/>
  <c r="E1811" i="2"/>
  <c r="F1810" i="2"/>
  <c r="E1810" i="2"/>
  <c r="G1810" i="2" s="1"/>
  <c r="G1809" i="2"/>
  <c r="E1809" i="2"/>
  <c r="K1806" i="2"/>
  <c r="I1806" i="2"/>
  <c r="G1806" i="2"/>
  <c r="F1806" i="2"/>
  <c r="E1806" i="2"/>
  <c r="J1806" i="2" s="1"/>
  <c r="H1806" i="2" s="1"/>
  <c r="E1805" i="2"/>
  <c r="E1804" i="2"/>
  <c r="E1803" i="2"/>
  <c r="G1802" i="2"/>
  <c r="E1802" i="2"/>
  <c r="K1801" i="2"/>
  <c r="J1801" i="2"/>
  <c r="H1801" i="2" s="1"/>
  <c r="I1801" i="2"/>
  <c r="G1801" i="2"/>
  <c r="F1801" i="2"/>
  <c r="E1801" i="2"/>
  <c r="F1800" i="2"/>
  <c r="K1800" i="2" s="1"/>
  <c r="E1800" i="2"/>
  <c r="G1800" i="2" s="1"/>
  <c r="E1799" i="2"/>
  <c r="G1798" i="2"/>
  <c r="F1798" i="2"/>
  <c r="E1798" i="2"/>
  <c r="J1798" i="2" s="1"/>
  <c r="H1798" i="2" s="1"/>
  <c r="J1797" i="2"/>
  <c r="H1797" i="2" s="1"/>
  <c r="G1797" i="2"/>
  <c r="F1797" i="2"/>
  <c r="E1797" i="2"/>
  <c r="F1796" i="2"/>
  <c r="E1796" i="2"/>
  <c r="F1795" i="2"/>
  <c r="K1795" i="2" s="1"/>
  <c r="E1795" i="2"/>
  <c r="G1794" i="2"/>
  <c r="E1794" i="2"/>
  <c r="I1793" i="2"/>
  <c r="G1793" i="2"/>
  <c r="F1793" i="2"/>
  <c r="K1793" i="2" s="1"/>
  <c r="E1793" i="2"/>
  <c r="K1792" i="2"/>
  <c r="F1792" i="2"/>
  <c r="E1792" i="2"/>
  <c r="G1792" i="2" s="1"/>
  <c r="G1791" i="2"/>
  <c r="E1791" i="2"/>
  <c r="K1790" i="2"/>
  <c r="I1790" i="2"/>
  <c r="G1790" i="2"/>
  <c r="F1790" i="2"/>
  <c r="E1790" i="2"/>
  <c r="J1790" i="2" s="1"/>
  <c r="H1790" i="2" s="1"/>
  <c r="G1789" i="2"/>
  <c r="E1789" i="2"/>
  <c r="E1788" i="2"/>
  <c r="E1787" i="2"/>
  <c r="G1786" i="2"/>
  <c r="E1786" i="2"/>
  <c r="K1783" i="2"/>
  <c r="J1783" i="2"/>
  <c r="H1783" i="2" s="1"/>
  <c r="I1783" i="2"/>
  <c r="G1783" i="2"/>
  <c r="F1783" i="2"/>
  <c r="E1783" i="2"/>
  <c r="K1782" i="2"/>
  <c r="F1782" i="2"/>
  <c r="I1782" i="2" s="1"/>
  <c r="E1782" i="2"/>
  <c r="G1782" i="2" s="1"/>
  <c r="E1781" i="2"/>
  <c r="I1780" i="2"/>
  <c r="G1780" i="2"/>
  <c r="F1780" i="2"/>
  <c r="K1780" i="2" s="1"/>
  <c r="E1780" i="2"/>
  <c r="J1780" i="2" s="1"/>
  <c r="H1780" i="2" s="1"/>
  <c r="J1779" i="2"/>
  <c r="H1779" i="2" s="1"/>
  <c r="G1779" i="2"/>
  <c r="F1779" i="2"/>
  <c r="E1779" i="2"/>
  <c r="J1778" i="2"/>
  <c r="H1778" i="2" s="1"/>
  <c r="I1778" i="2"/>
  <c r="F1778" i="2"/>
  <c r="E1778" i="2"/>
  <c r="E1777" i="2"/>
  <c r="G1776" i="2"/>
  <c r="E1776" i="2"/>
  <c r="I1773" i="2"/>
  <c r="G1773" i="2"/>
  <c r="F1773" i="2"/>
  <c r="K1773" i="2" s="1"/>
  <c r="E1773" i="2"/>
  <c r="F1772" i="2"/>
  <c r="E1772" i="2"/>
  <c r="G1772" i="2" s="1"/>
  <c r="G1771" i="2"/>
  <c r="E1771" i="2"/>
  <c r="K1770" i="2"/>
  <c r="I1770" i="2"/>
  <c r="G1770" i="2"/>
  <c r="F1770" i="2"/>
  <c r="E1770" i="2"/>
  <c r="J1770" i="2" s="1"/>
  <c r="H1770" i="2" s="1"/>
  <c r="E1769" i="2"/>
  <c r="E1768" i="2"/>
  <c r="E1767" i="2"/>
  <c r="G1766" i="2"/>
  <c r="E1766" i="2"/>
  <c r="K1765" i="2"/>
  <c r="J1765" i="2"/>
  <c r="H1765" i="2" s="1"/>
  <c r="I1765" i="2"/>
  <c r="G1765" i="2"/>
  <c r="F1765" i="2"/>
  <c r="E1765" i="2"/>
  <c r="I1764" i="2"/>
  <c r="F1764" i="2"/>
  <c r="K1764" i="2" s="1"/>
  <c r="E1764" i="2"/>
  <c r="G1764" i="2" s="1"/>
  <c r="E1763" i="2"/>
  <c r="G1762" i="2"/>
  <c r="F1762" i="2"/>
  <c r="E1762" i="2"/>
  <c r="J1761" i="2"/>
  <c r="H1761" i="2" s="1"/>
  <c r="G1761" i="2"/>
  <c r="F1761" i="2"/>
  <c r="E1761" i="2"/>
  <c r="F1760" i="2"/>
  <c r="E1760" i="2"/>
  <c r="F1759" i="2"/>
  <c r="K1759" i="2" s="1"/>
  <c r="E1759" i="2"/>
  <c r="G1758" i="2"/>
  <c r="E1758" i="2"/>
  <c r="J1757" i="2"/>
  <c r="H1757" i="2" s="1"/>
  <c r="I1757" i="2"/>
  <c r="G1757" i="2"/>
  <c r="F1757" i="2"/>
  <c r="K1757" i="2" s="1"/>
  <c r="E1757" i="2"/>
  <c r="K1756" i="2"/>
  <c r="F1756" i="2"/>
  <c r="E1756" i="2"/>
  <c r="G1756" i="2" s="1"/>
  <c r="G1755" i="2"/>
  <c r="E1755" i="2"/>
  <c r="K1754" i="2"/>
  <c r="I1754" i="2"/>
  <c r="G1754" i="2"/>
  <c r="F1754" i="2"/>
  <c r="E1754" i="2"/>
  <c r="J1754" i="2" s="1"/>
  <c r="H1754" i="2" s="1"/>
  <c r="G1753" i="2"/>
  <c r="E1753" i="2"/>
  <c r="E1752" i="2"/>
  <c r="E1751" i="2"/>
  <c r="G1750" i="2"/>
  <c r="E1750" i="2"/>
  <c r="K1749" i="2"/>
  <c r="J1749" i="2"/>
  <c r="H1749" i="2" s="1"/>
  <c r="I1749" i="2"/>
  <c r="G1749" i="2"/>
  <c r="F1749" i="2"/>
  <c r="E1749" i="2"/>
  <c r="K1748" i="2"/>
  <c r="F1748" i="2"/>
  <c r="I1748" i="2" s="1"/>
  <c r="E1748" i="2"/>
  <c r="G1748" i="2" s="1"/>
  <c r="E1747" i="2"/>
  <c r="I1746" i="2"/>
  <c r="G1746" i="2"/>
  <c r="F1746" i="2"/>
  <c r="K1746" i="2" s="1"/>
  <c r="E1746" i="2"/>
  <c r="J1746" i="2" s="1"/>
  <c r="H1746" i="2" s="1"/>
  <c r="J1745" i="2"/>
  <c r="H1745" i="2" s="1"/>
  <c r="G1745" i="2"/>
  <c r="F1745" i="2"/>
  <c r="E1745" i="2"/>
  <c r="J1744" i="2"/>
  <c r="H1744" i="2" s="1"/>
  <c r="I1744" i="2"/>
  <c r="F1744" i="2"/>
  <c r="E1744" i="2"/>
  <c r="E1741" i="2"/>
  <c r="G1740" i="2"/>
  <c r="E1740" i="2"/>
  <c r="I1739" i="2"/>
  <c r="G1739" i="2"/>
  <c r="F1739" i="2"/>
  <c r="K1739" i="2" s="1"/>
  <c r="E1739" i="2"/>
  <c r="F1738" i="2"/>
  <c r="E1738" i="2"/>
  <c r="G1738" i="2" s="1"/>
  <c r="G1737" i="2"/>
  <c r="E1737" i="2"/>
  <c r="K1736" i="2"/>
  <c r="I1736" i="2"/>
  <c r="G1736" i="2"/>
  <c r="F1736" i="2"/>
  <c r="E1736" i="2"/>
  <c r="J1736" i="2" s="1"/>
  <c r="H1736" i="2" s="1"/>
  <c r="E1735" i="2"/>
  <c r="E1734" i="2"/>
  <c r="E1733" i="2"/>
  <c r="F1732" i="2"/>
  <c r="E1732" i="2"/>
  <c r="G1732" i="2" s="1"/>
  <c r="G1731" i="2"/>
  <c r="E1731" i="2"/>
  <c r="I1730" i="2"/>
  <c r="G1730" i="2"/>
  <c r="F1730" i="2"/>
  <c r="K1730" i="2" s="1"/>
  <c r="E1730" i="2"/>
  <c r="E1729" i="2"/>
  <c r="G1728" i="2"/>
  <c r="E1728" i="2"/>
  <c r="G1727" i="2"/>
  <c r="F1727" i="2"/>
  <c r="E1727" i="2"/>
  <c r="J1727" i="2" s="1"/>
  <c r="H1727" i="2" s="1"/>
  <c r="J1726" i="2"/>
  <c r="H1726" i="2" s="1"/>
  <c r="F1726" i="2"/>
  <c r="K1726" i="2" s="1"/>
  <c r="E1726" i="2"/>
  <c r="G1725" i="2"/>
  <c r="E1725" i="2"/>
  <c r="K1724" i="2"/>
  <c r="F1724" i="2"/>
  <c r="I1724" i="2" s="1"/>
  <c r="E1724" i="2"/>
  <c r="G1724" i="2" s="1"/>
  <c r="G1723" i="2"/>
  <c r="E1723" i="2"/>
  <c r="G1722" i="2"/>
  <c r="F1722" i="2"/>
  <c r="E1722" i="2"/>
  <c r="I1721" i="2"/>
  <c r="F1721" i="2"/>
  <c r="K1721" i="2" s="1"/>
  <c r="E1721" i="2"/>
  <c r="G1720" i="2"/>
  <c r="E1720" i="2"/>
  <c r="K1719" i="2"/>
  <c r="G1719" i="2"/>
  <c r="F1719" i="2"/>
  <c r="I1719" i="2" s="1"/>
  <c r="E1719" i="2"/>
  <c r="J1719" i="2" s="1"/>
  <c r="H1719" i="2" s="1"/>
  <c r="K1718" i="2"/>
  <c r="F1718" i="2"/>
  <c r="J1718" i="2" s="1"/>
  <c r="H1718" i="2" s="1"/>
  <c r="E1718" i="2"/>
  <c r="G1717" i="2"/>
  <c r="E1717" i="2"/>
  <c r="E1716" i="2"/>
  <c r="E1715" i="2"/>
  <c r="I1714" i="2"/>
  <c r="G1714" i="2"/>
  <c r="F1714" i="2"/>
  <c r="K1714" i="2" s="1"/>
  <c r="E1714" i="2"/>
  <c r="F1713" i="2"/>
  <c r="E1713" i="2"/>
  <c r="G1712" i="2"/>
  <c r="E1712" i="2"/>
  <c r="G1711" i="2"/>
  <c r="F1711" i="2"/>
  <c r="K1711" i="2" s="1"/>
  <c r="E1711" i="2"/>
  <c r="G1710" i="2"/>
  <c r="F1710" i="2"/>
  <c r="E1710" i="2"/>
  <c r="K1710" i="2" s="1"/>
  <c r="G1709" i="2"/>
  <c r="E1709" i="2"/>
  <c r="F1708" i="2"/>
  <c r="K1708" i="2" s="1"/>
  <c r="E1708" i="2"/>
  <c r="G1705" i="2"/>
  <c r="E1705" i="2"/>
  <c r="K1704" i="2"/>
  <c r="J1704" i="2"/>
  <c r="H1704" i="2" s="1"/>
  <c r="G1704" i="2"/>
  <c r="F1704" i="2"/>
  <c r="I1704" i="2" s="1"/>
  <c r="E1704" i="2"/>
  <c r="E1703" i="2"/>
  <c r="G1703" i="2" s="1"/>
  <c r="G1702" i="2"/>
  <c r="E1702" i="2"/>
  <c r="K1701" i="2"/>
  <c r="G1701" i="2"/>
  <c r="F1701" i="2"/>
  <c r="I1701" i="2" s="1"/>
  <c r="E1701" i="2"/>
  <c r="J1701" i="2" s="1"/>
  <c r="H1701" i="2" s="1"/>
  <c r="K1700" i="2"/>
  <c r="F1700" i="2"/>
  <c r="J1700" i="2" s="1"/>
  <c r="H1700" i="2" s="1"/>
  <c r="E1700" i="2"/>
  <c r="E1699" i="2"/>
  <c r="E1698" i="2"/>
  <c r="E1697" i="2"/>
  <c r="I1696" i="2"/>
  <c r="G1696" i="2"/>
  <c r="F1696" i="2"/>
  <c r="K1696" i="2" s="1"/>
  <c r="E1696" i="2"/>
  <c r="E1695" i="2"/>
  <c r="G1692" i="2"/>
  <c r="E1692" i="2"/>
  <c r="I1691" i="2"/>
  <c r="G1691" i="2"/>
  <c r="F1691" i="2"/>
  <c r="K1691" i="2" s="1"/>
  <c r="E1691" i="2"/>
  <c r="G1690" i="2"/>
  <c r="F1690" i="2"/>
  <c r="E1690" i="2"/>
  <c r="G1689" i="2"/>
  <c r="E1689" i="2"/>
  <c r="K1688" i="2"/>
  <c r="I1688" i="2"/>
  <c r="F1688" i="2"/>
  <c r="E1688" i="2"/>
  <c r="G1687" i="2"/>
  <c r="E1687" i="2"/>
  <c r="K1686" i="2"/>
  <c r="J1686" i="2"/>
  <c r="H1686" i="2" s="1"/>
  <c r="G1686" i="2"/>
  <c r="F1686" i="2"/>
  <c r="I1686" i="2" s="1"/>
  <c r="E1686" i="2"/>
  <c r="E1685" i="2"/>
  <c r="G1684" i="2"/>
  <c r="E1684" i="2"/>
  <c r="K1683" i="2"/>
  <c r="G1683" i="2"/>
  <c r="F1683" i="2"/>
  <c r="I1683" i="2" s="1"/>
  <c r="E1683" i="2"/>
  <c r="J1683" i="2" s="1"/>
  <c r="H1683" i="2" s="1"/>
  <c r="J1682" i="2"/>
  <c r="H1682" i="2" s="1"/>
  <c r="F1682" i="2"/>
  <c r="K1682" i="2" s="1"/>
  <c r="E1682" i="2"/>
  <c r="G1681" i="2"/>
  <c r="F1681" i="2"/>
  <c r="I1681" i="2" s="1"/>
  <c r="E1681" i="2"/>
  <c r="E1680" i="2"/>
  <c r="E1679" i="2"/>
  <c r="I1678" i="2"/>
  <c r="G1678" i="2"/>
  <c r="F1678" i="2"/>
  <c r="E1678" i="2"/>
  <c r="E1677" i="2"/>
  <c r="G1676" i="2"/>
  <c r="E1676" i="2"/>
  <c r="G1675" i="2"/>
  <c r="F1675" i="2"/>
  <c r="K1675" i="2" s="1"/>
  <c r="E1675" i="2"/>
  <c r="K1674" i="2"/>
  <c r="G1674" i="2"/>
  <c r="F1674" i="2"/>
  <c r="E1674" i="2"/>
  <c r="G1673" i="2"/>
  <c r="E1673" i="2"/>
  <c r="I1672" i="2"/>
  <c r="F1672" i="2"/>
  <c r="K1672" i="2" s="1"/>
  <c r="E1672" i="2"/>
  <c r="E1671" i="2"/>
  <c r="K1670" i="2"/>
  <c r="J1670" i="2"/>
  <c r="H1670" i="2" s="1"/>
  <c r="G1670" i="2"/>
  <c r="F1670" i="2"/>
  <c r="I1670" i="2" s="1"/>
  <c r="E1670" i="2"/>
  <c r="E1669" i="2"/>
  <c r="G1666" i="2"/>
  <c r="E1666" i="2"/>
  <c r="K1665" i="2"/>
  <c r="G1665" i="2"/>
  <c r="F1665" i="2"/>
  <c r="I1665" i="2" s="1"/>
  <c r="E1665" i="2"/>
  <c r="J1665" i="2" s="1"/>
  <c r="H1665" i="2" s="1"/>
  <c r="J1664" i="2"/>
  <c r="H1664" i="2" s="1"/>
  <c r="F1664" i="2"/>
  <c r="K1664" i="2" s="1"/>
  <c r="E1664" i="2"/>
  <c r="G1663" i="2"/>
  <c r="F1663" i="2"/>
  <c r="I1663" i="2" s="1"/>
  <c r="E1663" i="2"/>
  <c r="E1662" i="2"/>
  <c r="E1661" i="2"/>
  <c r="I1660" i="2"/>
  <c r="G1660" i="2"/>
  <c r="F1660" i="2"/>
  <c r="E1660" i="2"/>
  <c r="E1657" i="2"/>
  <c r="E1656" i="2"/>
  <c r="K1655" i="2"/>
  <c r="J1655" i="2"/>
  <c r="H1655" i="2" s="1"/>
  <c r="I1655" i="2"/>
  <c r="G1655" i="2"/>
  <c r="F1655" i="2"/>
  <c r="E1655" i="2"/>
  <c r="J1654" i="2"/>
  <c r="H1654" i="2" s="1"/>
  <c r="F1654" i="2"/>
  <c r="I1654" i="2" s="1"/>
  <c r="E1654" i="2"/>
  <c r="G1654" i="2" s="1"/>
  <c r="G1653" i="2"/>
  <c r="E1653" i="2"/>
  <c r="I1652" i="2"/>
  <c r="G1652" i="2"/>
  <c r="F1652" i="2"/>
  <c r="E1652" i="2"/>
  <c r="F1651" i="2"/>
  <c r="E1651" i="2"/>
  <c r="K1651" i="2" s="1"/>
  <c r="G1650" i="2"/>
  <c r="F1650" i="2"/>
  <c r="J1650" i="2" s="1"/>
  <c r="H1650" i="2" s="1"/>
  <c r="E1650" i="2"/>
  <c r="K1647" i="2"/>
  <c r="F1647" i="2"/>
  <c r="E1647" i="2"/>
  <c r="E1646" i="2"/>
  <c r="K1645" i="2"/>
  <c r="J1645" i="2"/>
  <c r="H1645" i="2" s="1"/>
  <c r="I1645" i="2"/>
  <c r="G1645" i="2"/>
  <c r="F1645" i="2"/>
  <c r="E1645" i="2"/>
  <c r="K1644" i="2"/>
  <c r="I1644" i="2"/>
  <c r="F1644" i="2"/>
  <c r="J1644" i="2" s="1"/>
  <c r="H1644" i="2" s="1"/>
  <c r="E1644" i="2"/>
  <c r="G1644" i="2" s="1"/>
  <c r="E1643" i="2"/>
  <c r="G1642" i="2"/>
  <c r="F1642" i="2"/>
  <c r="E1642" i="2"/>
  <c r="G1641" i="2"/>
  <c r="E1641" i="2"/>
  <c r="E1640" i="2"/>
  <c r="E1639" i="2"/>
  <c r="E1636" i="2"/>
  <c r="K1635" i="2"/>
  <c r="J1635" i="2"/>
  <c r="H1635" i="2" s="1"/>
  <c r="I1635" i="2"/>
  <c r="G1635" i="2"/>
  <c r="F1635" i="2"/>
  <c r="E1635" i="2"/>
  <c r="K1634" i="2"/>
  <c r="J1634" i="2"/>
  <c r="H1634" i="2" s="1"/>
  <c r="I1634" i="2"/>
  <c r="F1634" i="2"/>
  <c r="E1634" i="2"/>
  <c r="G1634" i="2" s="1"/>
  <c r="G1633" i="2"/>
  <c r="E1633" i="2"/>
  <c r="I1632" i="2"/>
  <c r="G1632" i="2"/>
  <c r="F1632" i="2"/>
  <c r="E1632" i="2"/>
  <c r="G1631" i="2"/>
  <c r="F1631" i="2"/>
  <c r="K1631" i="2" s="1"/>
  <c r="E1631" i="2"/>
  <c r="F1628" i="2"/>
  <c r="J1628" i="2" s="1"/>
  <c r="H1628" i="2" s="1"/>
  <c r="E1628" i="2"/>
  <c r="K1627" i="2"/>
  <c r="F1627" i="2"/>
  <c r="I1627" i="2" s="1"/>
  <c r="E1627" i="2"/>
  <c r="E1626" i="2"/>
  <c r="K1625" i="2"/>
  <c r="J1625" i="2"/>
  <c r="H1625" i="2" s="1"/>
  <c r="I1625" i="2"/>
  <c r="G1625" i="2"/>
  <c r="F1625" i="2"/>
  <c r="E1625" i="2"/>
  <c r="I1624" i="2"/>
  <c r="F1624" i="2"/>
  <c r="K1624" i="2" s="1"/>
  <c r="E1624" i="2"/>
  <c r="G1624" i="2" s="1"/>
  <c r="E1623" i="2"/>
  <c r="G1622" i="2"/>
  <c r="F1622" i="2"/>
  <c r="I1622" i="2" s="1"/>
  <c r="E1622" i="2"/>
  <c r="G1619" i="2"/>
  <c r="E1619" i="2"/>
  <c r="F1618" i="2"/>
  <c r="I1618" i="2" s="1"/>
  <c r="E1618" i="2"/>
  <c r="E1617" i="2"/>
  <c r="G1616" i="2"/>
  <c r="E1616" i="2"/>
  <c r="K1615" i="2"/>
  <c r="G1615" i="2"/>
  <c r="F1615" i="2"/>
  <c r="J1615" i="2" s="1"/>
  <c r="H1615" i="2" s="1"/>
  <c r="E1615" i="2"/>
  <c r="K1614" i="2"/>
  <c r="I1614" i="2"/>
  <c r="F1614" i="2"/>
  <c r="J1614" i="2" s="1"/>
  <c r="H1614" i="2" s="1"/>
  <c r="E1614" i="2"/>
  <c r="G1614" i="2" s="1"/>
  <c r="E1613" i="2"/>
  <c r="I1612" i="2"/>
  <c r="G1612" i="2"/>
  <c r="F1612" i="2"/>
  <c r="J1612" i="2" s="1"/>
  <c r="H1612" i="2" s="1"/>
  <c r="E1612" i="2"/>
  <c r="E1609" i="2"/>
  <c r="I1608" i="2"/>
  <c r="G1608" i="2"/>
  <c r="F1608" i="2"/>
  <c r="J1608" i="2" s="1"/>
  <c r="H1608" i="2" s="1"/>
  <c r="E1608" i="2"/>
  <c r="E1607" i="2"/>
  <c r="G1606" i="2"/>
  <c r="E1606" i="2"/>
  <c r="I1605" i="2"/>
  <c r="G1605" i="2"/>
  <c r="F1605" i="2"/>
  <c r="E1605" i="2"/>
  <c r="F1604" i="2"/>
  <c r="E1604" i="2"/>
  <c r="G1604" i="2" s="1"/>
  <c r="E1603" i="2"/>
  <c r="K1600" i="2"/>
  <c r="I1600" i="2"/>
  <c r="G1600" i="2"/>
  <c r="F1600" i="2"/>
  <c r="J1600" i="2" s="1"/>
  <c r="H1600" i="2" s="1"/>
  <c r="E1600" i="2"/>
  <c r="E1599" i="2"/>
  <c r="F1598" i="2"/>
  <c r="I1598" i="2" s="1"/>
  <c r="E1598" i="2"/>
  <c r="K1597" i="2"/>
  <c r="F1597" i="2"/>
  <c r="I1597" i="2" s="1"/>
  <c r="E1597" i="2"/>
  <c r="G1596" i="2"/>
  <c r="F1596" i="2"/>
  <c r="E1596" i="2"/>
  <c r="G1595" i="2"/>
  <c r="F1595" i="2"/>
  <c r="E1595" i="2"/>
  <c r="J1595" i="2" s="1"/>
  <c r="H1595" i="2" s="1"/>
  <c r="K1594" i="2"/>
  <c r="F1594" i="2"/>
  <c r="I1594" i="2" s="1"/>
  <c r="E1594" i="2"/>
  <c r="G1594" i="2" s="1"/>
  <c r="K1593" i="2"/>
  <c r="J1593" i="2"/>
  <c r="H1593" i="2" s="1"/>
  <c r="I1593" i="2"/>
  <c r="G1593" i="2"/>
  <c r="E1593" i="2"/>
  <c r="F1593" i="2" s="1"/>
  <c r="K1590" i="2"/>
  <c r="J1590" i="2"/>
  <c r="H1590" i="2" s="1"/>
  <c r="I1590" i="2"/>
  <c r="G1590" i="2"/>
  <c r="F1590" i="2"/>
  <c r="E1590" i="2"/>
  <c r="G1589" i="2"/>
  <c r="F1589" i="2"/>
  <c r="E1589" i="2"/>
  <c r="G1588" i="2"/>
  <c r="F1588" i="2"/>
  <c r="J1588" i="2" s="1"/>
  <c r="H1588" i="2" s="1"/>
  <c r="E1588" i="2"/>
  <c r="K1587" i="2"/>
  <c r="F1587" i="2"/>
  <c r="E1587" i="2"/>
  <c r="K1586" i="2"/>
  <c r="F1586" i="2"/>
  <c r="J1586" i="2" s="1"/>
  <c r="H1586" i="2" s="1"/>
  <c r="E1586" i="2"/>
  <c r="G1585" i="2"/>
  <c r="F1585" i="2"/>
  <c r="E1585" i="2"/>
  <c r="F1584" i="2"/>
  <c r="E1584" i="2"/>
  <c r="G1584" i="2" s="1"/>
  <c r="K1583" i="2"/>
  <c r="G1583" i="2"/>
  <c r="E1583" i="2"/>
  <c r="F1583" i="2" s="1"/>
  <c r="I1583" i="2" s="1"/>
  <c r="K1582" i="2"/>
  <c r="J1582" i="2"/>
  <c r="H1582" i="2" s="1"/>
  <c r="I1582" i="2"/>
  <c r="G1582" i="2"/>
  <c r="F1582" i="2"/>
  <c r="E1582" i="2"/>
  <c r="J1581" i="2"/>
  <c r="H1581" i="2" s="1"/>
  <c r="F1581" i="2"/>
  <c r="K1581" i="2" s="1"/>
  <c r="E1581" i="2"/>
  <c r="G1581" i="2" s="1"/>
  <c r="G1580" i="2"/>
  <c r="F1580" i="2"/>
  <c r="E1580" i="2"/>
  <c r="G1577" i="2"/>
  <c r="F1577" i="2"/>
  <c r="K1577" i="2" s="1"/>
  <c r="E1577" i="2"/>
  <c r="K1576" i="2"/>
  <c r="F1576" i="2"/>
  <c r="E1576" i="2"/>
  <c r="E1575" i="2"/>
  <c r="G1575" i="2" s="1"/>
  <c r="F1574" i="2"/>
  <c r="E1574" i="2"/>
  <c r="G1574" i="2" s="1"/>
  <c r="K1573" i="2"/>
  <c r="J1573" i="2"/>
  <c r="H1573" i="2" s="1"/>
  <c r="I1573" i="2"/>
  <c r="G1573" i="2"/>
  <c r="E1573" i="2"/>
  <c r="F1573" i="2" s="1"/>
  <c r="K1572" i="2"/>
  <c r="I1572" i="2"/>
  <c r="G1572" i="2"/>
  <c r="F1572" i="2"/>
  <c r="J1572" i="2" s="1"/>
  <c r="H1572" i="2" s="1"/>
  <c r="E1572" i="2"/>
  <c r="J1569" i="2"/>
  <c r="H1569" i="2" s="1"/>
  <c r="G1569" i="2"/>
  <c r="F1569" i="2"/>
  <c r="E1569" i="2"/>
  <c r="I1569" i="2" s="1"/>
  <c r="E1568" i="2"/>
  <c r="G1567" i="2"/>
  <c r="F1567" i="2"/>
  <c r="E1567" i="2"/>
  <c r="G1566" i="2"/>
  <c r="F1566" i="2"/>
  <c r="E1566" i="2"/>
  <c r="K1565" i="2"/>
  <c r="G1565" i="2"/>
  <c r="F1565" i="2"/>
  <c r="E1565" i="2"/>
  <c r="J1565" i="2" s="1"/>
  <c r="H1565" i="2" s="1"/>
  <c r="E1564" i="2"/>
  <c r="G1564" i="2" s="1"/>
  <c r="K1563" i="2"/>
  <c r="J1563" i="2"/>
  <c r="H1563" i="2" s="1"/>
  <c r="I1563" i="2"/>
  <c r="G1563" i="2"/>
  <c r="E1563" i="2"/>
  <c r="F1563" i="2" s="1"/>
  <c r="K1562" i="2"/>
  <c r="J1562" i="2"/>
  <c r="H1562" i="2" s="1"/>
  <c r="I1562" i="2"/>
  <c r="G1562" i="2"/>
  <c r="F1562" i="2"/>
  <c r="E1562" i="2"/>
  <c r="G1561" i="2"/>
  <c r="F1561" i="2"/>
  <c r="E1561" i="2"/>
  <c r="K1561" i="2" s="1"/>
  <c r="J1558" i="2"/>
  <c r="H1558" i="2" s="1"/>
  <c r="G1558" i="2"/>
  <c r="F1558" i="2"/>
  <c r="E1558" i="2"/>
  <c r="E1557" i="2"/>
  <c r="G1556" i="2"/>
  <c r="F1556" i="2"/>
  <c r="E1556" i="2"/>
  <c r="G1555" i="2"/>
  <c r="F1555" i="2"/>
  <c r="E1555" i="2"/>
  <c r="K1554" i="2"/>
  <c r="F1554" i="2"/>
  <c r="E1554" i="2"/>
  <c r="G1554" i="2" s="1"/>
  <c r="K1553" i="2"/>
  <c r="I1553" i="2"/>
  <c r="E1553" i="2"/>
  <c r="F1553" i="2" s="1"/>
  <c r="K1552" i="2"/>
  <c r="J1552" i="2"/>
  <c r="H1552" i="2" s="1"/>
  <c r="I1552" i="2"/>
  <c r="G1552" i="2"/>
  <c r="F1552" i="2"/>
  <c r="E1552" i="2"/>
  <c r="G1551" i="2"/>
  <c r="F1551" i="2"/>
  <c r="E1551" i="2"/>
  <c r="G1548" i="2"/>
  <c r="F1548" i="2"/>
  <c r="E1548" i="2"/>
  <c r="K1547" i="2"/>
  <c r="F1547" i="2"/>
  <c r="E1547" i="2"/>
  <c r="E1546" i="2"/>
  <c r="I1545" i="2"/>
  <c r="G1545" i="2"/>
  <c r="E1545" i="2"/>
  <c r="F1545" i="2" s="1"/>
  <c r="G1544" i="2"/>
  <c r="F1544" i="2"/>
  <c r="E1544" i="2"/>
  <c r="E1541" i="2"/>
  <c r="G1540" i="2"/>
  <c r="F1540" i="2"/>
  <c r="E1540" i="2"/>
  <c r="K1540" i="2" s="1"/>
  <c r="G1539" i="2"/>
  <c r="E1539" i="2"/>
  <c r="F1538" i="2"/>
  <c r="J1538" i="2" s="1"/>
  <c r="H1538" i="2" s="1"/>
  <c r="E1538" i="2"/>
  <c r="I1538" i="2" s="1"/>
  <c r="E1537" i="2"/>
  <c r="E1536" i="2"/>
  <c r="G1536" i="2" s="1"/>
  <c r="I1535" i="2"/>
  <c r="G1535" i="2"/>
  <c r="E1535" i="2"/>
  <c r="F1535" i="2" s="1"/>
  <c r="J1535" i="2" s="1"/>
  <c r="H1535" i="2" s="1"/>
  <c r="J1534" i="2"/>
  <c r="H1534" i="2" s="1"/>
  <c r="G1534" i="2"/>
  <c r="F1534" i="2"/>
  <c r="E1534" i="2"/>
  <c r="E1533" i="2"/>
  <c r="G1532" i="2"/>
  <c r="F1532" i="2"/>
  <c r="I1532" i="2" s="1"/>
  <c r="E1532" i="2"/>
  <c r="K1532" i="2" s="1"/>
  <c r="G1531" i="2"/>
  <c r="E1531" i="2"/>
  <c r="F1530" i="2"/>
  <c r="J1530" i="2" s="1"/>
  <c r="H1530" i="2" s="1"/>
  <c r="E1530" i="2"/>
  <c r="I1530" i="2" s="1"/>
  <c r="E1529" i="2"/>
  <c r="E1528" i="2"/>
  <c r="G1528" i="2" s="1"/>
  <c r="K1527" i="2"/>
  <c r="J1527" i="2"/>
  <c r="H1527" i="2" s="1"/>
  <c r="G1527" i="2"/>
  <c r="E1527" i="2"/>
  <c r="F1527" i="2" s="1"/>
  <c r="I1527" i="2" s="1"/>
  <c r="K1526" i="2"/>
  <c r="J1526" i="2"/>
  <c r="H1526" i="2" s="1"/>
  <c r="I1526" i="2"/>
  <c r="G1526" i="2"/>
  <c r="F1526" i="2"/>
  <c r="E1526" i="2"/>
  <c r="E1525" i="2"/>
  <c r="I1524" i="2"/>
  <c r="G1524" i="2"/>
  <c r="F1524" i="2"/>
  <c r="E1524" i="2"/>
  <c r="K1524" i="2" s="1"/>
  <c r="G1523" i="2"/>
  <c r="F1523" i="2"/>
  <c r="K1523" i="2" s="1"/>
  <c r="E1523" i="2"/>
  <c r="G1520" i="2"/>
  <c r="F1520" i="2"/>
  <c r="E1520" i="2"/>
  <c r="F1519" i="2"/>
  <c r="K1519" i="2" s="1"/>
  <c r="E1519" i="2"/>
  <c r="E1518" i="2"/>
  <c r="K1517" i="2"/>
  <c r="J1517" i="2"/>
  <c r="H1517" i="2" s="1"/>
  <c r="I1517" i="2"/>
  <c r="G1517" i="2"/>
  <c r="E1517" i="2"/>
  <c r="F1517" i="2" s="1"/>
  <c r="G1516" i="2"/>
  <c r="F1516" i="2"/>
  <c r="E1516" i="2"/>
  <c r="E1515" i="2"/>
  <c r="I1514" i="2"/>
  <c r="G1514" i="2"/>
  <c r="F1514" i="2"/>
  <c r="E1514" i="2"/>
  <c r="K1514" i="2" s="1"/>
  <c r="F1513" i="2"/>
  <c r="E1513" i="2"/>
  <c r="E1512" i="2"/>
  <c r="E1511" i="2"/>
  <c r="E1510" i="2"/>
  <c r="K1509" i="2"/>
  <c r="J1509" i="2"/>
  <c r="H1509" i="2" s="1"/>
  <c r="I1509" i="2"/>
  <c r="G1509" i="2"/>
  <c r="E1509" i="2"/>
  <c r="F1509" i="2" s="1"/>
  <c r="G1508" i="2"/>
  <c r="F1508" i="2"/>
  <c r="E1508" i="2"/>
  <c r="G1507" i="2"/>
  <c r="E1507" i="2"/>
  <c r="G1506" i="2"/>
  <c r="E1506" i="2"/>
  <c r="E1505" i="2"/>
  <c r="E1504" i="2"/>
  <c r="F1503" i="2"/>
  <c r="E1503" i="2"/>
  <c r="G1503" i="2" s="1"/>
  <c r="E1502" i="2"/>
  <c r="K1501" i="2"/>
  <c r="J1501" i="2"/>
  <c r="H1501" i="2" s="1"/>
  <c r="G1501" i="2"/>
  <c r="E1501" i="2"/>
  <c r="F1501" i="2" s="1"/>
  <c r="I1501" i="2" s="1"/>
  <c r="K1500" i="2"/>
  <c r="J1500" i="2"/>
  <c r="H1500" i="2" s="1"/>
  <c r="I1500" i="2"/>
  <c r="G1500" i="2"/>
  <c r="F1500" i="2"/>
  <c r="E1500" i="2"/>
  <c r="G1499" i="2"/>
  <c r="F1499" i="2"/>
  <c r="E1499" i="2"/>
  <c r="G1498" i="2"/>
  <c r="E1498" i="2"/>
  <c r="E1495" i="2"/>
  <c r="F1494" i="2"/>
  <c r="E1494" i="2"/>
  <c r="F1493" i="2"/>
  <c r="I1493" i="2" s="1"/>
  <c r="E1493" i="2"/>
  <c r="G1493" i="2" s="1"/>
  <c r="E1492" i="2"/>
  <c r="G1491" i="2"/>
  <c r="E1491" i="2"/>
  <c r="G1490" i="2"/>
  <c r="F1490" i="2"/>
  <c r="K1490" i="2" s="1"/>
  <c r="E1490" i="2"/>
  <c r="G1487" i="2"/>
  <c r="E1487" i="2"/>
  <c r="E1486" i="2"/>
  <c r="G1485" i="2"/>
  <c r="E1485" i="2"/>
  <c r="F1484" i="2"/>
  <c r="E1484" i="2"/>
  <c r="G1483" i="2"/>
  <c r="E1483" i="2"/>
  <c r="E1482" i="2"/>
  <c r="G1482" i="2" s="1"/>
  <c r="K1481" i="2"/>
  <c r="J1481" i="2"/>
  <c r="H1481" i="2" s="1"/>
  <c r="I1481" i="2"/>
  <c r="E1481" i="2"/>
  <c r="F1481" i="2" s="1"/>
  <c r="G1480" i="2"/>
  <c r="F1480" i="2"/>
  <c r="E1480" i="2"/>
  <c r="E1479" i="2"/>
  <c r="G1478" i="2"/>
  <c r="E1478" i="2"/>
  <c r="E1477" i="2"/>
  <c r="G1476" i="2"/>
  <c r="E1476" i="2"/>
  <c r="E1475" i="2"/>
  <c r="E1474" i="2"/>
  <c r="G1474" i="2" s="1"/>
  <c r="K1473" i="2"/>
  <c r="J1473" i="2"/>
  <c r="H1473" i="2" s="1"/>
  <c r="E1473" i="2"/>
  <c r="F1473" i="2" s="1"/>
  <c r="K1472" i="2"/>
  <c r="J1472" i="2"/>
  <c r="H1472" i="2" s="1"/>
  <c r="I1472" i="2"/>
  <c r="G1472" i="2"/>
  <c r="F1472" i="2"/>
  <c r="E1472" i="2"/>
  <c r="G1471" i="2"/>
  <c r="E1471" i="2"/>
  <c r="F1471" i="2" s="1"/>
  <c r="E1469" i="2"/>
  <c r="G1467" i="2"/>
  <c r="E1467" i="2"/>
  <c r="E1466" i="2"/>
  <c r="G1465" i="2"/>
  <c r="E1465" i="2"/>
  <c r="F1465" i="2" s="1"/>
  <c r="F1464" i="2"/>
  <c r="E1464" i="2"/>
  <c r="E1463" i="2"/>
  <c r="F1463" i="2" s="1"/>
  <c r="K1462" i="2"/>
  <c r="J1462" i="2"/>
  <c r="H1462" i="2" s="1"/>
  <c r="G1462" i="2"/>
  <c r="F1462" i="2"/>
  <c r="I1462" i="2" s="1"/>
  <c r="E1462" i="2"/>
  <c r="E1461" i="2"/>
  <c r="G1461" i="2" s="1"/>
  <c r="G1460" i="2"/>
  <c r="E1460" i="2"/>
  <c r="E1459" i="2"/>
  <c r="G1458" i="2"/>
  <c r="E1458" i="2"/>
  <c r="E1457" i="2"/>
  <c r="E1456" i="2"/>
  <c r="G1456" i="2" s="1"/>
  <c r="G1454" i="2"/>
  <c r="E1454" i="2"/>
  <c r="G1452" i="2"/>
  <c r="F1452" i="2"/>
  <c r="K1452" i="2" s="1"/>
  <c r="E1452" i="2"/>
  <c r="G1451" i="2"/>
  <c r="E1451" i="2"/>
  <c r="E1450" i="2"/>
  <c r="G1449" i="2"/>
  <c r="E1449" i="2"/>
  <c r="E1448" i="2"/>
  <c r="G1447" i="2"/>
  <c r="E1447" i="2"/>
  <c r="E1446" i="2"/>
  <c r="G1446" i="2" s="1"/>
  <c r="K1445" i="2"/>
  <c r="J1445" i="2"/>
  <c r="H1445" i="2" s="1"/>
  <c r="I1445" i="2"/>
  <c r="E1445" i="2"/>
  <c r="F1445" i="2" s="1"/>
  <c r="J1444" i="2"/>
  <c r="H1444" i="2" s="1"/>
  <c r="G1444" i="2"/>
  <c r="F1444" i="2"/>
  <c r="E1444" i="2"/>
  <c r="F1443" i="2"/>
  <c r="E1443" i="2"/>
  <c r="G1442" i="2"/>
  <c r="E1442" i="2"/>
  <c r="E1441" i="2"/>
  <c r="G1440" i="2"/>
  <c r="E1440" i="2"/>
  <c r="E1438" i="2"/>
  <c r="E1436" i="2"/>
  <c r="G1436" i="2" s="1"/>
  <c r="K1435" i="2"/>
  <c r="J1435" i="2"/>
  <c r="H1435" i="2" s="1"/>
  <c r="G1435" i="2"/>
  <c r="F1435" i="2"/>
  <c r="E1435" i="2"/>
  <c r="I1435" i="2" s="1"/>
  <c r="E1434" i="2"/>
  <c r="E1433" i="2"/>
  <c r="G1433" i="2" s="1"/>
  <c r="G1432" i="2"/>
  <c r="E1432" i="2"/>
  <c r="F1432" i="2" s="1"/>
  <c r="G1431" i="2"/>
  <c r="F1431" i="2"/>
  <c r="E1431" i="2"/>
  <c r="E1430" i="2"/>
  <c r="E1429" i="2"/>
  <c r="G1428" i="2"/>
  <c r="E1428" i="2"/>
  <c r="J1427" i="2"/>
  <c r="H1427" i="2" s="1"/>
  <c r="G1427" i="2"/>
  <c r="F1427" i="2"/>
  <c r="K1427" i="2" s="1"/>
  <c r="E1427" i="2"/>
  <c r="I1427" i="2" s="1"/>
  <c r="E1426" i="2"/>
  <c r="E1425" i="2"/>
  <c r="G1425" i="2" s="1"/>
  <c r="G1424" i="2"/>
  <c r="E1424" i="2"/>
  <c r="F1424" i="2" s="1"/>
  <c r="J1423" i="2"/>
  <c r="H1423" i="2" s="1"/>
  <c r="G1423" i="2"/>
  <c r="F1423" i="2"/>
  <c r="E1423" i="2"/>
  <c r="F1422" i="2"/>
  <c r="E1422" i="2"/>
  <c r="E1421" i="2"/>
  <c r="G1420" i="2"/>
  <c r="E1420" i="2"/>
  <c r="G1419" i="2"/>
  <c r="F1419" i="2"/>
  <c r="E1419" i="2"/>
  <c r="I1419" i="2" s="1"/>
  <c r="E1418" i="2"/>
  <c r="E1417" i="2"/>
  <c r="G1417" i="2" s="1"/>
  <c r="K1416" i="2"/>
  <c r="G1416" i="2"/>
  <c r="E1416" i="2"/>
  <c r="F1416" i="2" s="1"/>
  <c r="G1414" i="2"/>
  <c r="F1414" i="2"/>
  <c r="E1414" i="2"/>
  <c r="F1412" i="2"/>
  <c r="I1412" i="2" s="1"/>
  <c r="E1412" i="2"/>
  <c r="E1411" i="2"/>
  <c r="G1410" i="2"/>
  <c r="E1410" i="2"/>
  <c r="K1409" i="2"/>
  <c r="J1409" i="2"/>
  <c r="H1409" i="2" s="1"/>
  <c r="G1409" i="2"/>
  <c r="F1409" i="2"/>
  <c r="E1409" i="2"/>
  <c r="I1409" i="2" s="1"/>
  <c r="E1408" i="2"/>
  <c r="E1407" i="2"/>
  <c r="G1407" i="2" s="1"/>
  <c r="G1404" i="2"/>
  <c r="E1404" i="2"/>
  <c r="F1404" i="2" s="1"/>
  <c r="G1403" i="2"/>
  <c r="F1403" i="2"/>
  <c r="E1403" i="2"/>
  <c r="F1402" i="2"/>
  <c r="I1402" i="2" s="1"/>
  <c r="E1402" i="2"/>
  <c r="E1401" i="2"/>
  <c r="G1400" i="2"/>
  <c r="E1400" i="2"/>
  <c r="G1399" i="2"/>
  <c r="F1399" i="2"/>
  <c r="K1399" i="2" s="1"/>
  <c r="E1399" i="2"/>
  <c r="E1398" i="2"/>
  <c r="E1397" i="2"/>
  <c r="G1397" i="2" s="1"/>
  <c r="K1396" i="2"/>
  <c r="I1396" i="2"/>
  <c r="G1396" i="2"/>
  <c r="E1396" i="2"/>
  <c r="F1396" i="2" s="1"/>
  <c r="J1396" i="2" s="1"/>
  <c r="H1396" i="2" s="1"/>
  <c r="J1395" i="2"/>
  <c r="H1395" i="2" s="1"/>
  <c r="G1395" i="2"/>
  <c r="F1395" i="2"/>
  <c r="E1395" i="2"/>
  <c r="E1394" i="2"/>
  <c r="E1391" i="2"/>
  <c r="E1390" i="2"/>
  <c r="K1389" i="2"/>
  <c r="J1389" i="2"/>
  <c r="H1389" i="2" s="1"/>
  <c r="G1389" i="2"/>
  <c r="F1389" i="2"/>
  <c r="E1389" i="2"/>
  <c r="I1389" i="2" s="1"/>
  <c r="E1388" i="2"/>
  <c r="E1387" i="2"/>
  <c r="G1387" i="2" s="1"/>
  <c r="G1386" i="2"/>
  <c r="E1386" i="2"/>
  <c r="F1386" i="2" s="1"/>
  <c r="G1385" i="2"/>
  <c r="F1385" i="2"/>
  <c r="E1385" i="2"/>
  <c r="F1383" i="2"/>
  <c r="E1383" i="2"/>
  <c r="F1381" i="2"/>
  <c r="E1381" i="2"/>
  <c r="E1380" i="2"/>
  <c r="K1379" i="2"/>
  <c r="G1379" i="2"/>
  <c r="F1379" i="2"/>
  <c r="J1379" i="2" s="1"/>
  <c r="H1379" i="2" s="1"/>
  <c r="E1379" i="2"/>
  <c r="E1378" i="2"/>
  <c r="E1377" i="2"/>
  <c r="G1377" i="2" s="1"/>
  <c r="G1376" i="2"/>
  <c r="E1376" i="2"/>
  <c r="F1376" i="2" s="1"/>
  <c r="J1376" i="2" s="1"/>
  <c r="H1376" i="2" s="1"/>
  <c r="J1375" i="2"/>
  <c r="H1375" i="2" s="1"/>
  <c r="G1375" i="2"/>
  <c r="F1375" i="2"/>
  <c r="E1375" i="2"/>
  <c r="G1374" i="2"/>
  <c r="F1374" i="2"/>
  <c r="I1374" i="2" s="1"/>
  <c r="E1374" i="2"/>
  <c r="F1373" i="2"/>
  <c r="E1373" i="2"/>
  <c r="E1372" i="2"/>
  <c r="G1371" i="2"/>
  <c r="F1371" i="2"/>
  <c r="E1371" i="2"/>
  <c r="E1370" i="2"/>
  <c r="E1369" i="2"/>
  <c r="G1369" i="2" s="1"/>
  <c r="I1368" i="2"/>
  <c r="G1368" i="2"/>
  <c r="E1368" i="2"/>
  <c r="F1368" i="2" s="1"/>
  <c r="J1368" i="2" s="1"/>
  <c r="H1368" i="2" s="1"/>
  <c r="J1367" i="2"/>
  <c r="H1367" i="2" s="1"/>
  <c r="G1367" i="2"/>
  <c r="F1367" i="2"/>
  <c r="E1367" i="2"/>
  <c r="E1366" i="2"/>
  <c r="F1365" i="2"/>
  <c r="E1365" i="2"/>
  <c r="G1364" i="2"/>
  <c r="E1364" i="2"/>
  <c r="J1363" i="2"/>
  <c r="H1363" i="2" s="1"/>
  <c r="G1363" i="2"/>
  <c r="F1363" i="2"/>
  <c r="K1363" i="2" s="1"/>
  <c r="E1363" i="2"/>
  <c r="E1362" i="2"/>
  <c r="E1361" i="2"/>
  <c r="G1361" i="2" s="1"/>
  <c r="G1360" i="2"/>
  <c r="E1360" i="2"/>
  <c r="F1360" i="2" s="1"/>
  <c r="J1358" i="2"/>
  <c r="H1358" i="2" s="1"/>
  <c r="G1358" i="2"/>
  <c r="F1358" i="2"/>
  <c r="E1358" i="2"/>
  <c r="F1356" i="2"/>
  <c r="E1356" i="2"/>
  <c r="E1355" i="2"/>
  <c r="G1354" i="2"/>
  <c r="E1354" i="2"/>
  <c r="K1353" i="2"/>
  <c r="J1353" i="2"/>
  <c r="H1353" i="2" s="1"/>
  <c r="G1353" i="2"/>
  <c r="F1353" i="2"/>
  <c r="E1353" i="2"/>
  <c r="I1353" i="2" s="1"/>
  <c r="E1352" i="2"/>
  <c r="J1351" i="2"/>
  <c r="H1351" i="2" s="1"/>
  <c r="I1351" i="2"/>
  <c r="F1351" i="2"/>
  <c r="E1351" i="2"/>
  <c r="G1351" i="2" s="1"/>
  <c r="K1350" i="2"/>
  <c r="I1350" i="2"/>
  <c r="G1350" i="2"/>
  <c r="E1350" i="2"/>
  <c r="F1350" i="2" s="1"/>
  <c r="G1349" i="2"/>
  <c r="F1349" i="2"/>
  <c r="E1349" i="2"/>
  <c r="I1348" i="2"/>
  <c r="G1348" i="2"/>
  <c r="F1348" i="2"/>
  <c r="E1348" i="2"/>
  <c r="F1347" i="2"/>
  <c r="E1347" i="2"/>
  <c r="G1346" i="2"/>
  <c r="E1346" i="2"/>
  <c r="G1345" i="2"/>
  <c r="F1345" i="2"/>
  <c r="E1345" i="2"/>
  <c r="E1344" i="2"/>
  <c r="J1341" i="2"/>
  <c r="H1341" i="2" s="1"/>
  <c r="I1341" i="2"/>
  <c r="F1341" i="2"/>
  <c r="E1341" i="2"/>
  <c r="G1341" i="2" s="1"/>
  <c r="K1340" i="2"/>
  <c r="I1340" i="2"/>
  <c r="G1340" i="2"/>
  <c r="E1340" i="2"/>
  <c r="F1340" i="2" s="1"/>
  <c r="G1337" i="2"/>
  <c r="F1337" i="2"/>
  <c r="E1337" i="2"/>
  <c r="E1336" i="2"/>
  <c r="E1335" i="2"/>
  <c r="G1334" i="2"/>
  <c r="E1334" i="2"/>
  <c r="K1333" i="2"/>
  <c r="J1333" i="2"/>
  <c r="H1333" i="2" s="1"/>
  <c r="G1333" i="2"/>
  <c r="F1333" i="2"/>
  <c r="E1333" i="2"/>
  <c r="I1333" i="2" s="1"/>
  <c r="E1332" i="2"/>
  <c r="J1331" i="2"/>
  <c r="H1331" i="2" s="1"/>
  <c r="I1331" i="2"/>
  <c r="F1331" i="2"/>
  <c r="E1331" i="2"/>
  <c r="G1331" i="2" s="1"/>
  <c r="G1330" i="2"/>
  <c r="E1330" i="2"/>
  <c r="F1330" i="2" s="1"/>
  <c r="K1330" i="2" s="1"/>
  <c r="J1329" i="2"/>
  <c r="H1329" i="2" s="1"/>
  <c r="G1329" i="2"/>
  <c r="F1329" i="2"/>
  <c r="E1329" i="2"/>
  <c r="G1328" i="2"/>
  <c r="F1328" i="2"/>
  <c r="I1328" i="2" s="1"/>
  <c r="E1328" i="2"/>
  <c r="F1325" i="2"/>
  <c r="E1325" i="2"/>
  <c r="E1324" i="2"/>
  <c r="G1323" i="2"/>
  <c r="F1323" i="2"/>
  <c r="E1323" i="2"/>
  <c r="E1322" i="2"/>
  <c r="J1321" i="2"/>
  <c r="H1321" i="2" s="1"/>
  <c r="I1321" i="2"/>
  <c r="F1321" i="2"/>
  <c r="E1321" i="2"/>
  <c r="G1321" i="2" s="1"/>
  <c r="E1320" i="2"/>
  <c r="J1319" i="2"/>
  <c r="H1319" i="2" s="1"/>
  <c r="G1319" i="2"/>
  <c r="F1319" i="2"/>
  <c r="E1319" i="2"/>
  <c r="G1318" i="2"/>
  <c r="F1318" i="2"/>
  <c r="E1318" i="2"/>
  <c r="F1317" i="2"/>
  <c r="E1317" i="2"/>
  <c r="G1316" i="2"/>
  <c r="E1316" i="2"/>
  <c r="J1313" i="2"/>
  <c r="H1313" i="2" s="1"/>
  <c r="G1313" i="2"/>
  <c r="F1313" i="2"/>
  <c r="K1313" i="2" s="1"/>
  <c r="E1313" i="2"/>
  <c r="I1313" i="2" s="1"/>
  <c r="E1312" i="2"/>
  <c r="F1311" i="2"/>
  <c r="E1311" i="2"/>
  <c r="G1310" i="2"/>
  <c r="E1310" i="2"/>
  <c r="K1309" i="2"/>
  <c r="J1309" i="2"/>
  <c r="H1309" i="2" s="1"/>
  <c r="G1309" i="2"/>
  <c r="F1309" i="2"/>
  <c r="I1309" i="2" s="1"/>
  <c r="E1309" i="2"/>
  <c r="K1308" i="2"/>
  <c r="J1308" i="2"/>
  <c r="H1308" i="2" s="1"/>
  <c r="I1308" i="2"/>
  <c r="G1308" i="2"/>
  <c r="F1308" i="2"/>
  <c r="E1308" i="2"/>
  <c r="E1307" i="2"/>
  <c r="E1306" i="2"/>
  <c r="K1305" i="2"/>
  <c r="J1305" i="2"/>
  <c r="H1305" i="2" s="1"/>
  <c r="G1305" i="2"/>
  <c r="F1305" i="2"/>
  <c r="E1305" i="2"/>
  <c r="J1304" i="2"/>
  <c r="H1304" i="2" s="1"/>
  <c r="F1304" i="2"/>
  <c r="E1304" i="2"/>
  <c r="F1303" i="2"/>
  <c r="E1303" i="2"/>
  <c r="G1302" i="2"/>
  <c r="E1302" i="2"/>
  <c r="J1301" i="2"/>
  <c r="H1301" i="2" s="1"/>
  <c r="G1301" i="2"/>
  <c r="F1301" i="2"/>
  <c r="E1301" i="2"/>
  <c r="G1300" i="2"/>
  <c r="F1300" i="2"/>
  <c r="I1300" i="2" s="1"/>
  <c r="E1300" i="2"/>
  <c r="K1300" i="2" s="1"/>
  <c r="E1299" i="2"/>
  <c r="E1298" i="2"/>
  <c r="G1297" i="2"/>
  <c r="F1297" i="2"/>
  <c r="E1297" i="2"/>
  <c r="E1294" i="2"/>
  <c r="F1293" i="2"/>
  <c r="E1293" i="2"/>
  <c r="G1292" i="2"/>
  <c r="E1292" i="2"/>
  <c r="K1291" i="2"/>
  <c r="J1291" i="2"/>
  <c r="H1291" i="2" s="1"/>
  <c r="G1291" i="2"/>
  <c r="F1291" i="2"/>
  <c r="I1291" i="2" s="1"/>
  <c r="E1291" i="2"/>
  <c r="K1290" i="2"/>
  <c r="J1290" i="2"/>
  <c r="H1290" i="2" s="1"/>
  <c r="I1290" i="2"/>
  <c r="G1290" i="2"/>
  <c r="F1290" i="2"/>
  <c r="E1290" i="2"/>
  <c r="E1289" i="2"/>
  <c r="E1288" i="2"/>
  <c r="K1285" i="2"/>
  <c r="J1285" i="2"/>
  <c r="H1285" i="2" s="1"/>
  <c r="G1285" i="2"/>
  <c r="F1285" i="2"/>
  <c r="E1285" i="2"/>
  <c r="E1284" i="2"/>
  <c r="F1283" i="2"/>
  <c r="E1283" i="2"/>
  <c r="G1282" i="2"/>
  <c r="E1282" i="2"/>
  <c r="G1281" i="2"/>
  <c r="F1281" i="2"/>
  <c r="E1281" i="2"/>
  <c r="G1280" i="2"/>
  <c r="F1280" i="2"/>
  <c r="I1280" i="2" s="1"/>
  <c r="E1280" i="2"/>
  <c r="E1279" i="2"/>
  <c r="E1278" i="2"/>
  <c r="G1277" i="2"/>
  <c r="F1277" i="2"/>
  <c r="E1277" i="2"/>
  <c r="E1276" i="2"/>
  <c r="F1275" i="2"/>
  <c r="I1275" i="2" s="1"/>
  <c r="E1275" i="2"/>
  <c r="G1274" i="2"/>
  <c r="E1274" i="2"/>
  <c r="K1273" i="2"/>
  <c r="J1273" i="2"/>
  <c r="H1273" i="2" s="1"/>
  <c r="G1273" i="2"/>
  <c r="F1273" i="2"/>
  <c r="I1273" i="2" s="1"/>
  <c r="E1273" i="2"/>
  <c r="K1270" i="2"/>
  <c r="J1270" i="2"/>
  <c r="H1270" i="2" s="1"/>
  <c r="I1270" i="2"/>
  <c r="G1270" i="2"/>
  <c r="F1270" i="2"/>
  <c r="E1270" i="2"/>
  <c r="E1269" i="2"/>
  <c r="E1268" i="2"/>
  <c r="K1267" i="2"/>
  <c r="J1267" i="2"/>
  <c r="H1267" i="2" s="1"/>
  <c r="G1267" i="2"/>
  <c r="F1267" i="2"/>
  <c r="E1267" i="2"/>
  <c r="J1266" i="2"/>
  <c r="H1266" i="2" s="1"/>
  <c r="I1266" i="2"/>
  <c r="F1266" i="2"/>
  <c r="E1266" i="2"/>
  <c r="F1265" i="2"/>
  <c r="E1265" i="2"/>
  <c r="G1262" i="2"/>
  <c r="E1262" i="2"/>
  <c r="J1261" i="2"/>
  <c r="H1261" i="2" s="1"/>
  <c r="G1261" i="2"/>
  <c r="F1261" i="2"/>
  <c r="E1261" i="2"/>
  <c r="G1260" i="2"/>
  <c r="E1260" i="2"/>
  <c r="E1259" i="2"/>
  <c r="E1258" i="2"/>
  <c r="K1257" i="2"/>
  <c r="J1257" i="2"/>
  <c r="H1257" i="2" s="1"/>
  <c r="G1257" i="2"/>
  <c r="F1257" i="2"/>
  <c r="E1257" i="2"/>
  <c r="E1256" i="2"/>
  <c r="K1255" i="2"/>
  <c r="F1255" i="2"/>
  <c r="E1255" i="2"/>
  <c r="J1254" i="2"/>
  <c r="H1254" i="2" s="1"/>
  <c r="I1254" i="2"/>
  <c r="E1254" i="2"/>
  <c r="F1254" i="2" s="1"/>
  <c r="K1253" i="2"/>
  <c r="J1253" i="2"/>
  <c r="H1253" i="2" s="1"/>
  <c r="I1253" i="2"/>
  <c r="G1253" i="2"/>
  <c r="F1253" i="2"/>
  <c r="E1253" i="2"/>
  <c r="G1252" i="2"/>
  <c r="F1252" i="2"/>
  <c r="E1252" i="2"/>
  <c r="E1249" i="2"/>
  <c r="E1248" i="2"/>
  <c r="E1247" i="2"/>
  <c r="K1246" i="2"/>
  <c r="J1246" i="2"/>
  <c r="H1246" i="2" s="1"/>
  <c r="G1246" i="2"/>
  <c r="F1246" i="2"/>
  <c r="I1246" i="2" s="1"/>
  <c r="E1246" i="2"/>
  <c r="E1245" i="2"/>
  <c r="G1244" i="2"/>
  <c r="E1244" i="2"/>
  <c r="J1243" i="2"/>
  <c r="H1243" i="2" s="1"/>
  <c r="I1243" i="2"/>
  <c r="G1243" i="2"/>
  <c r="F1243" i="2"/>
  <c r="K1243" i="2" s="1"/>
  <c r="E1243" i="2"/>
  <c r="E1242" i="2"/>
  <c r="J1241" i="2"/>
  <c r="H1241" i="2" s="1"/>
  <c r="I1241" i="2"/>
  <c r="G1241" i="2"/>
  <c r="F1241" i="2"/>
  <c r="E1241" i="2"/>
  <c r="E1240" i="2"/>
  <c r="K1239" i="2"/>
  <c r="G1239" i="2"/>
  <c r="F1239" i="2"/>
  <c r="E1239" i="2"/>
  <c r="E1238" i="2"/>
  <c r="K1237" i="2"/>
  <c r="J1237" i="2"/>
  <c r="H1237" i="2" s="1"/>
  <c r="F1237" i="2"/>
  <c r="I1237" i="2" s="1"/>
  <c r="E1237" i="2"/>
  <c r="G1237" i="2" s="1"/>
  <c r="E1234" i="2"/>
  <c r="K1233" i="2"/>
  <c r="G1233" i="2"/>
  <c r="F1233" i="2"/>
  <c r="E1233" i="2"/>
  <c r="E1232" i="2"/>
  <c r="E1231" i="2"/>
  <c r="G1230" i="2"/>
  <c r="F1230" i="2"/>
  <c r="E1230" i="2"/>
  <c r="G1229" i="2"/>
  <c r="E1229" i="2"/>
  <c r="E1228" i="2"/>
  <c r="E1227" i="2"/>
  <c r="K1226" i="2"/>
  <c r="J1226" i="2"/>
  <c r="H1226" i="2" s="1"/>
  <c r="I1226" i="2"/>
  <c r="G1226" i="2"/>
  <c r="E1226" i="2"/>
  <c r="F1226" i="2" s="1"/>
  <c r="G1225" i="2"/>
  <c r="F1225" i="2"/>
  <c r="E1225" i="2"/>
  <c r="E1224" i="2"/>
  <c r="F1223" i="2"/>
  <c r="E1223" i="2"/>
  <c r="E1222" i="2"/>
  <c r="G1221" i="2"/>
  <c r="F1221" i="2"/>
  <c r="E1221" i="2"/>
  <c r="E1220" i="2"/>
  <c r="E1219" i="2"/>
  <c r="E1216" i="2"/>
  <c r="K1215" i="2"/>
  <c r="J1215" i="2"/>
  <c r="H1215" i="2" s="1"/>
  <c r="I1215" i="2"/>
  <c r="G1215" i="2"/>
  <c r="F1215" i="2"/>
  <c r="E1215" i="2"/>
  <c r="G1214" i="2"/>
  <c r="F1214" i="2"/>
  <c r="E1214" i="2"/>
  <c r="E1213" i="2"/>
  <c r="E1212" i="2"/>
  <c r="E1211" i="2"/>
  <c r="G1210" i="2"/>
  <c r="F1210" i="2"/>
  <c r="E1210" i="2"/>
  <c r="E1209" i="2"/>
  <c r="E1208" i="2"/>
  <c r="J1207" i="2"/>
  <c r="H1207" i="2" s="1"/>
  <c r="G1207" i="2"/>
  <c r="F1207" i="2"/>
  <c r="K1207" i="2" s="1"/>
  <c r="E1207" i="2"/>
  <c r="E1206" i="2"/>
  <c r="J1205" i="2"/>
  <c r="H1205" i="2" s="1"/>
  <c r="G1205" i="2"/>
  <c r="F1205" i="2"/>
  <c r="I1205" i="2" s="1"/>
  <c r="E1205" i="2"/>
  <c r="G1204" i="2"/>
  <c r="E1204" i="2"/>
  <c r="G1203" i="2"/>
  <c r="F1203" i="2"/>
  <c r="E1203" i="2"/>
  <c r="E1202" i="2"/>
  <c r="K1199" i="2"/>
  <c r="F1199" i="2"/>
  <c r="I1199" i="2" s="1"/>
  <c r="E1199" i="2"/>
  <c r="G1199" i="2" s="1"/>
  <c r="E1198" i="2"/>
  <c r="G1197" i="2"/>
  <c r="F1197" i="2"/>
  <c r="E1197" i="2"/>
  <c r="E1196" i="2"/>
  <c r="E1193" i="2"/>
  <c r="K1192" i="2"/>
  <c r="I1192" i="2"/>
  <c r="G1192" i="2"/>
  <c r="F1192" i="2"/>
  <c r="E1192" i="2"/>
  <c r="E1191" i="2"/>
  <c r="E1190" i="2"/>
  <c r="E1189" i="2"/>
  <c r="K1188" i="2"/>
  <c r="J1188" i="2"/>
  <c r="H1188" i="2" s="1"/>
  <c r="G1188" i="2"/>
  <c r="E1188" i="2"/>
  <c r="F1188" i="2" s="1"/>
  <c r="G1187" i="2"/>
  <c r="F1187" i="2"/>
  <c r="E1187" i="2"/>
  <c r="E1186" i="2"/>
  <c r="G1185" i="2"/>
  <c r="E1185" i="2"/>
  <c r="E1184" i="2"/>
  <c r="K1183" i="2"/>
  <c r="J1183" i="2"/>
  <c r="H1183" i="2" s="1"/>
  <c r="G1183" i="2"/>
  <c r="F1183" i="2"/>
  <c r="I1183" i="2" s="1"/>
  <c r="E1183" i="2"/>
  <c r="K1182" i="2"/>
  <c r="I1182" i="2"/>
  <c r="G1182" i="2"/>
  <c r="E1182" i="2"/>
  <c r="F1182" i="2" s="1"/>
  <c r="J1182" i="2" s="1"/>
  <c r="H1182" i="2" s="1"/>
  <c r="F1181" i="2"/>
  <c r="E1181" i="2"/>
  <c r="G1180" i="2"/>
  <c r="E1180" i="2"/>
  <c r="K1179" i="2"/>
  <c r="J1179" i="2"/>
  <c r="H1179" i="2" s="1"/>
  <c r="G1179" i="2"/>
  <c r="F1179" i="2"/>
  <c r="E1179" i="2"/>
  <c r="I1179" i="2" s="1"/>
  <c r="G1178" i="2"/>
  <c r="F1178" i="2"/>
  <c r="E1178" i="2"/>
  <c r="E1177" i="2"/>
  <c r="K1176" i="2"/>
  <c r="J1176" i="2"/>
  <c r="H1176" i="2" s="1"/>
  <c r="I1176" i="2"/>
  <c r="G1176" i="2"/>
  <c r="E1176" i="2"/>
  <c r="F1176" i="2" s="1"/>
  <c r="K1175" i="2"/>
  <c r="J1175" i="2"/>
  <c r="H1175" i="2" s="1"/>
  <c r="I1175" i="2"/>
  <c r="G1175" i="2"/>
  <c r="F1175" i="2"/>
  <c r="E1175" i="2"/>
  <c r="G1174" i="2"/>
  <c r="E1174" i="2"/>
  <c r="F1174" i="2" s="1"/>
  <c r="J1174" i="2" s="1"/>
  <c r="H1174" i="2" s="1"/>
  <c r="F1173" i="2"/>
  <c r="E1173" i="2"/>
  <c r="E1172" i="2"/>
  <c r="K1171" i="2"/>
  <c r="J1171" i="2"/>
  <c r="H1171" i="2" s="1"/>
  <c r="G1171" i="2"/>
  <c r="F1171" i="2"/>
  <c r="E1171" i="2"/>
  <c r="G1170" i="2"/>
  <c r="E1170" i="2"/>
  <c r="F1170" i="2" s="1"/>
  <c r="F1167" i="2"/>
  <c r="I1167" i="2" s="1"/>
  <c r="E1167" i="2"/>
  <c r="E1166" i="2"/>
  <c r="K1163" i="2"/>
  <c r="J1163" i="2"/>
  <c r="H1163" i="2" s="1"/>
  <c r="I1163" i="2"/>
  <c r="G1163" i="2"/>
  <c r="F1163" i="2"/>
  <c r="E1163" i="2"/>
  <c r="K1162" i="2"/>
  <c r="J1162" i="2"/>
  <c r="H1162" i="2" s="1"/>
  <c r="I1162" i="2"/>
  <c r="G1162" i="2"/>
  <c r="F1162" i="2"/>
  <c r="E1162" i="2"/>
  <c r="G1161" i="2"/>
  <c r="E1161" i="2"/>
  <c r="E1160" i="2"/>
  <c r="F1159" i="2"/>
  <c r="E1159" i="2"/>
  <c r="K1158" i="2"/>
  <c r="J1158" i="2"/>
  <c r="H1158" i="2" s="1"/>
  <c r="G1158" i="2"/>
  <c r="F1158" i="2"/>
  <c r="I1158" i="2" s="1"/>
  <c r="E1158" i="2"/>
  <c r="E1157" i="2"/>
  <c r="G1157" i="2" s="1"/>
  <c r="E1156" i="2"/>
  <c r="G1155" i="2"/>
  <c r="F1155" i="2"/>
  <c r="E1155" i="2"/>
  <c r="K1154" i="2"/>
  <c r="F1154" i="2"/>
  <c r="E1154" i="2"/>
  <c r="J1153" i="2"/>
  <c r="H1153" i="2" s="1"/>
  <c r="I1153" i="2"/>
  <c r="G1153" i="2"/>
  <c r="F1153" i="2"/>
  <c r="E1153" i="2"/>
  <c r="G1152" i="2"/>
  <c r="E1152" i="2"/>
  <c r="E1151" i="2"/>
  <c r="F1148" i="2"/>
  <c r="E1148" i="2"/>
  <c r="K1147" i="2"/>
  <c r="J1147" i="2"/>
  <c r="H1147" i="2" s="1"/>
  <c r="F1147" i="2"/>
  <c r="I1147" i="2" s="1"/>
  <c r="E1147" i="2"/>
  <c r="G1147" i="2" s="1"/>
  <c r="K1146" i="2"/>
  <c r="J1146" i="2"/>
  <c r="H1146" i="2" s="1"/>
  <c r="I1146" i="2"/>
  <c r="E1146" i="2"/>
  <c r="F1146" i="2" s="1"/>
  <c r="I1145" i="2"/>
  <c r="G1145" i="2"/>
  <c r="F1145" i="2"/>
  <c r="E1145" i="2"/>
  <c r="K1144" i="2"/>
  <c r="F1144" i="2"/>
  <c r="E1144" i="2"/>
  <c r="E1143" i="2"/>
  <c r="K1142" i="2"/>
  <c r="I1142" i="2"/>
  <c r="G1142" i="2"/>
  <c r="F1142" i="2"/>
  <c r="E1142" i="2"/>
  <c r="G1141" i="2"/>
  <c r="E1141" i="2"/>
  <c r="G1138" i="2"/>
  <c r="F1138" i="2"/>
  <c r="E1138" i="2"/>
  <c r="E1137" i="2"/>
  <c r="K1136" i="2"/>
  <c r="J1136" i="2"/>
  <c r="H1136" i="2" s="1"/>
  <c r="I1136" i="2"/>
  <c r="G1136" i="2"/>
  <c r="E1136" i="2"/>
  <c r="F1136" i="2" s="1"/>
  <c r="K1135" i="2"/>
  <c r="J1135" i="2"/>
  <c r="H1135" i="2" s="1"/>
  <c r="I1135" i="2"/>
  <c r="G1135" i="2"/>
  <c r="F1135" i="2"/>
  <c r="E1135" i="2"/>
  <c r="G1134" i="2"/>
  <c r="E1134" i="2"/>
  <c r="E1133" i="2"/>
  <c r="E1132" i="2"/>
  <c r="K1131" i="2"/>
  <c r="J1131" i="2"/>
  <c r="H1131" i="2" s="1"/>
  <c r="G1131" i="2"/>
  <c r="F1131" i="2"/>
  <c r="E1131" i="2"/>
  <c r="E1130" i="2"/>
  <c r="E1129" i="2"/>
  <c r="G1128" i="2"/>
  <c r="E1128" i="2"/>
  <c r="K1127" i="2"/>
  <c r="J1127" i="2"/>
  <c r="H1127" i="2" s="1"/>
  <c r="I1127" i="2"/>
  <c r="G1127" i="2"/>
  <c r="F1127" i="2"/>
  <c r="E1127" i="2"/>
  <c r="K1126" i="2"/>
  <c r="J1126" i="2"/>
  <c r="H1126" i="2" s="1"/>
  <c r="I1126" i="2"/>
  <c r="G1126" i="2"/>
  <c r="F1126" i="2"/>
  <c r="E1126" i="2"/>
  <c r="G1125" i="2"/>
  <c r="E1125" i="2"/>
  <c r="E1124" i="2"/>
  <c r="E1123" i="2"/>
  <c r="K1122" i="2"/>
  <c r="J1122" i="2"/>
  <c r="H1122" i="2" s="1"/>
  <c r="G1122" i="2"/>
  <c r="F1122" i="2"/>
  <c r="I1122" i="2" s="1"/>
  <c r="E1122" i="2"/>
  <c r="E1121" i="2"/>
  <c r="G1120" i="2"/>
  <c r="E1120" i="2"/>
  <c r="G1119" i="2"/>
  <c r="F1119" i="2"/>
  <c r="E1119" i="2"/>
  <c r="E1118" i="2"/>
  <c r="J1117" i="2"/>
  <c r="H1117" i="2" s="1"/>
  <c r="I1117" i="2"/>
  <c r="G1117" i="2"/>
  <c r="F1117" i="2"/>
  <c r="E1117" i="2"/>
  <c r="E1114" i="2"/>
  <c r="E1113" i="2"/>
  <c r="F1112" i="2"/>
  <c r="J1112" i="2" s="1"/>
  <c r="H1112" i="2" s="1"/>
  <c r="E1112" i="2"/>
  <c r="K1111" i="2"/>
  <c r="J1111" i="2"/>
  <c r="H1111" i="2" s="1"/>
  <c r="F1111" i="2"/>
  <c r="I1111" i="2" s="1"/>
  <c r="E1111" i="2"/>
  <c r="G1111" i="2" s="1"/>
  <c r="E1110" i="2"/>
  <c r="G1109" i="2"/>
  <c r="F1109" i="2"/>
  <c r="E1109" i="2"/>
  <c r="E1108" i="2"/>
  <c r="E1107" i="2"/>
  <c r="K1106" i="2"/>
  <c r="I1106" i="2"/>
  <c r="G1106" i="2"/>
  <c r="F1106" i="2"/>
  <c r="E1106" i="2"/>
  <c r="E1105" i="2"/>
  <c r="E1104" i="2"/>
  <c r="J1103" i="2"/>
  <c r="H1103" i="2" s="1"/>
  <c r="F1103" i="2"/>
  <c r="E1103" i="2"/>
  <c r="K1102" i="2"/>
  <c r="J1102" i="2"/>
  <c r="H1102" i="2" s="1"/>
  <c r="I1102" i="2"/>
  <c r="G1102" i="2"/>
  <c r="E1102" i="2"/>
  <c r="F1102" i="2" s="1"/>
  <c r="G1101" i="2"/>
  <c r="F1101" i="2"/>
  <c r="E1101" i="2"/>
  <c r="G1098" i="2"/>
  <c r="E1098" i="2"/>
  <c r="E1097" i="2"/>
  <c r="E1096" i="2"/>
  <c r="K1095" i="2"/>
  <c r="J1095" i="2"/>
  <c r="H1095" i="2" s="1"/>
  <c r="G1095" i="2"/>
  <c r="F1095" i="2"/>
  <c r="E1095" i="2"/>
  <c r="K1094" i="2"/>
  <c r="I1094" i="2"/>
  <c r="G1094" i="2"/>
  <c r="E1094" i="2"/>
  <c r="F1094" i="2" s="1"/>
  <c r="E1093" i="2"/>
  <c r="G1092" i="2"/>
  <c r="E1092" i="2"/>
  <c r="E1091" i="2"/>
  <c r="K1090" i="2"/>
  <c r="J1090" i="2"/>
  <c r="H1090" i="2" s="1"/>
  <c r="I1090" i="2"/>
  <c r="G1090" i="2"/>
  <c r="F1090" i="2"/>
  <c r="E1090" i="2"/>
  <c r="J1089" i="2"/>
  <c r="H1089" i="2" s="1"/>
  <c r="F1089" i="2"/>
  <c r="K1089" i="2" s="1"/>
  <c r="E1089" i="2"/>
  <c r="G1089" i="2" s="1"/>
  <c r="E1086" i="2"/>
  <c r="G1085" i="2"/>
  <c r="F1085" i="2"/>
  <c r="K1085" i="2" s="1"/>
  <c r="E1085" i="2"/>
  <c r="J1085" i="2" s="1"/>
  <c r="H1085" i="2" s="1"/>
  <c r="E1084" i="2"/>
  <c r="F1083" i="2"/>
  <c r="E1083" i="2"/>
  <c r="E1082" i="2"/>
  <c r="E1081" i="2"/>
  <c r="K1080" i="2"/>
  <c r="J1080" i="2"/>
  <c r="H1080" i="2" s="1"/>
  <c r="I1080" i="2"/>
  <c r="G1080" i="2"/>
  <c r="F1080" i="2"/>
  <c r="E1080" i="2"/>
  <c r="K1079" i="2"/>
  <c r="J1079" i="2"/>
  <c r="H1079" i="2" s="1"/>
  <c r="I1079" i="2"/>
  <c r="F1079" i="2"/>
  <c r="E1079" i="2"/>
  <c r="G1079" i="2" s="1"/>
  <c r="E1078" i="2"/>
  <c r="I1077" i="2"/>
  <c r="G1077" i="2"/>
  <c r="F1077" i="2"/>
  <c r="K1077" i="2" s="1"/>
  <c r="E1077" i="2"/>
  <c r="G1076" i="2"/>
  <c r="F1076" i="2"/>
  <c r="K1076" i="2" s="1"/>
  <c r="E1076" i="2"/>
  <c r="F1075" i="2"/>
  <c r="J1075" i="2" s="1"/>
  <c r="H1075" i="2" s="1"/>
  <c r="E1075" i="2"/>
  <c r="F1074" i="2"/>
  <c r="E1074" i="2"/>
  <c r="G1071" i="2"/>
  <c r="E1071" i="2"/>
  <c r="G1070" i="2"/>
  <c r="F1070" i="2"/>
  <c r="E1070" i="2"/>
  <c r="K1069" i="2"/>
  <c r="J1069" i="2"/>
  <c r="H1069" i="2" s="1"/>
  <c r="F1069" i="2"/>
  <c r="E1069" i="2"/>
  <c r="G1069" i="2" s="1"/>
  <c r="G1068" i="2"/>
  <c r="E1068" i="2"/>
  <c r="K1067" i="2"/>
  <c r="G1067" i="2"/>
  <c r="F1067" i="2"/>
  <c r="I1067" i="2" s="1"/>
  <c r="E1067" i="2"/>
  <c r="J1067" i="2" s="1"/>
  <c r="H1067" i="2" s="1"/>
  <c r="E1066" i="2"/>
  <c r="E1065" i="2"/>
  <c r="F1064" i="2"/>
  <c r="E1064" i="2"/>
  <c r="G1063" i="2"/>
  <c r="E1063" i="2"/>
  <c r="K1062" i="2"/>
  <c r="J1062" i="2"/>
  <c r="H1062" i="2" s="1"/>
  <c r="I1062" i="2"/>
  <c r="G1062" i="2"/>
  <c r="F1062" i="2"/>
  <c r="E1062" i="2"/>
  <c r="F1061" i="2"/>
  <c r="I1061" i="2" s="1"/>
  <c r="E1061" i="2"/>
  <c r="E1060" i="2"/>
  <c r="G1059" i="2"/>
  <c r="F1059" i="2"/>
  <c r="E1059" i="2"/>
  <c r="J1058" i="2"/>
  <c r="H1058" i="2" s="1"/>
  <c r="G1058" i="2"/>
  <c r="F1058" i="2"/>
  <c r="K1058" i="2" s="1"/>
  <c r="E1058" i="2"/>
  <c r="F1057" i="2"/>
  <c r="E1057" i="2"/>
  <c r="K1056" i="2"/>
  <c r="I1056" i="2"/>
  <c r="F1056" i="2"/>
  <c r="E1056" i="2"/>
  <c r="G1055" i="2"/>
  <c r="E1055" i="2"/>
  <c r="J1054" i="2"/>
  <c r="H1054" i="2" s="1"/>
  <c r="G1054" i="2"/>
  <c r="F1054" i="2"/>
  <c r="E1054" i="2"/>
  <c r="K1053" i="2"/>
  <c r="J1053" i="2"/>
  <c r="H1053" i="2" s="1"/>
  <c r="F1053" i="2"/>
  <c r="E1053" i="2"/>
  <c r="G1053" i="2" s="1"/>
  <c r="G1052" i="2"/>
  <c r="E1052" i="2"/>
  <c r="G1051" i="2"/>
  <c r="F1051" i="2"/>
  <c r="I1051" i="2" s="1"/>
  <c r="E1051" i="2"/>
  <c r="J1051" i="2" s="1"/>
  <c r="H1051" i="2" s="1"/>
  <c r="E1050" i="2"/>
  <c r="E1049" i="2"/>
  <c r="E1048" i="2"/>
  <c r="G1047" i="2"/>
  <c r="E1047" i="2"/>
  <c r="K1046" i="2"/>
  <c r="J1046" i="2"/>
  <c r="H1046" i="2" s="1"/>
  <c r="I1046" i="2"/>
  <c r="G1046" i="2"/>
  <c r="F1046" i="2"/>
  <c r="E1046" i="2"/>
  <c r="E1043" i="2"/>
  <c r="E1042" i="2"/>
  <c r="G1041" i="2"/>
  <c r="F1041" i="2"/>
  <c r="E1041" i="2"/>
  <c r="J1040" i="2"/>
  <c r="H1040" i="2" s="1"/>
  <c r="G1040" i="2"/>
  <c r="F1040" i="2"/>
  <c r="K1040" i="2" s="1"/>
  <c r="E1040" i="2"/>
  <c r="F1039" i="2"/>
  <c r="E1039" i="2"/>
  <c r="F1038" i="2"/>
  <c r="K1038" i="2" s="1"/>
  <c r="E1038" i="2"/>
  <c r="G1037" i="2"/>
  <c r="E1037" i="2"/>
  <c r="G1036" i="2"/>
  <c r="F1036" i="2"/>
  <c r="E1036" i="2"/>
  <c r="K1035" i="2"/>
  <c r="J1035" i="2"/>
  <c r="H1035" i="2" s="1"/>
  <c r="F1035" i="2"/>
  <c r="E1035" i="2"/>
  <c r="G1035" i="2" s="1"/>
  <c r="G1034" i="2"/>
  <c r="E1034" i="2"/>
  <c r="K1033" i="2"/>
  <c r="G1033" i="2"/>
  <c r="F1033" i="2"/>
  <c r="I1033" i="2" s="1"/>
  <c r="E1033" i="2"/>
  <c r="J1033" i="2" s="1"/>
  <c r="H1033" i="2" s="1"/>
  <c r="E1030" i="2"/>
  <c r="G1029" i="2"/>
  <c r="E1029" i="2"/>
  <c r="F1028" i="2"/>
  <c r="E1028" i="2"/>
  <c r="G1027" i="2"/>
  <c r="E1027" i="2"/>
  <c r="K1024" i="2"/>
  <c r="J1024" i="2"/>
  <c r="H1024" i="2" s="1"/>
  <c r="I1024" i="2"/>
  <c r="G1024" i="2"/>
  <c r="F1024" i="2"/>
  <c r="E1024" i="2"/>
  <c r="E1023" i="2"/>
  <c r="E1022" i="2"/>
  <c r="K1021" i="2"/>
  <c r="I1021" i="2"/>
  <c r="G1021" i="2"/>
  <c r="F1021" i="2"/>
  <c r="E1021" i="2"/>
  <c r="J1020" i="2"/>
  <c r="H1020" i="2" s="1"/>
  <c r="G1020" i="2"/>
  <c r="F1020" i="2"/>
  <c r="K1020" i="2" s="1"/>
  <c r="E1020" i="2"/>
  <c r="E1017" i="2"/>
  <c r="F1016" i="2"/>
  <c r="E1016" i="2"/>
  <c r="E1015" i="2"/>
  <c r="G1014" i="2"/>
  <c r="F1014" i="2"/>
  <c r="E1014" i="2"/>
  <c r="K1013" i="2"/>
  <c r="J1013" i="2"/>
  <c r="H1013" i="2" s="1"/>
  <c r="F1013" i="2"/>
  <c r="E1013" i="2"/>
  <c r="G1013" i="2" s="1"/>
  <c r="G1012" i="2"/>
  <c r="E1012" i="2"/>
  <c r="G1011" i="2"/>
  <c r="F1011" i="2"/>
  <c r="I1011" i="2" s="1"/>
  <c r="E1011" i="2"/>
  <c r="E1008" i="2"/>
  <c r="K1007" i="2"/>
  <c r="F1007" i="2"/>
  <c r="E1007" i="2"/>
  <c r="G1007" i="2" s="1"/>
  <c r="F1006" i="2"/>
  <c r="E1006" i="2"/>
  <c r="G1006" i="2" s="1"/>
  <c r="E1005" i="2"/>
  <c r="K1004" i="2"/>
  <c r="I1004" i="2"/>
  <c r="G1004" i="2"/>
  <c r="F1004" i="2"/>
  <c r="J1004" i="2" s="1"/>
  <c r="H1004" i="2" s="1"/>
  <c r="E1004" i="2"/>
  <c r="E1003" i="2"/>
  <c r="J1002" i="2"/>
  <c r="H1002" i="2" s="1"/>
  <c r="I1002" i="2"/>
  <c r="F1002" i="2"/>
  <c r="E1002" i="2"/>
  <c r="G999" i="2"/>
  <c r="F999" i="2"/>
  <c r="E999" i="2"/>
  <c r="G998" i="2"/>
  <c r="F998" i="2"/>
  <c r="K998" i="2" s="1"/>
  <c r="E998" i="2"/>
  <c r="E997" i="2"/>
  <c r="K996" i="2"/>
  <c r="F996" i="2"/>
  <c r="E996" i="2"/>
  <c r="G996" i="2" s="1"/>
  <c r="K995" i="2"/>
  <c r="J995" i="2"/>
  <c r="H995" i="2" s="1"/>
  <c r="I995" i="2"/>
  <c r="G995" i="2"/>
  <c r="E995" i="2"/>
  <c r="F995" i="2" s="1"/>
  <c r="K994" i="2"/>
  <c r="G994" i="2"/>
  <c r="F994" i="2"/>
  <c r="E994" i="2"/>
  <c r="E993" i="2"/>
  <c r="E992" i="2"/>
  <c r="K991" i="2"/>
  <c r="I991" i="2"/>
  <c r="F991" i="2"/>
  <c r="E991" i="2"/>
  <c r="G990" i="2"/>
  <c r="F990" i="2"/>
  <c r="E990" i="2"/>
  <c r="G989" i="2"/>
  <c r="F989" i="2"/>
  <c r="K989" i="2" s="1"/>
  <c r="E989" i="2"/>
  <c r="E988" i="2"/>
  <c r="K987" i="2"/>
  <c r="J987" i="2"/>
  <c r="H987" i="2" s="1"/>
  <c r="I987" i="2"/>
  <c r="G987" i="2"/>
  <c r="E987" i="2"/>
  <c r="F987" i="2" s="1"/>
  <c r="K986" i="2"/>
  <c r="J986" i="2"/>
  <c r="H986" i="2" s="1"/>
  <c r="I986" i="2"/>
  <c r="G986" i="2"/>
  <c r="F986" i="2"/>
  <c r="E986" i="2"/>
  <c r="G985" i="2"/>
  <c r="F985" i="2"/>
  <c r="E985" i="2"/>
  <c r="G984" i="2"/>
  <c r="F984" i="2"/>
  <c r="J984" i="2" s="1"/>
  <c r="H984" i="2" s="1"/>
  <c r="E984" i="2"/>
  <c r="E981" i="2"/>
  <c r="K980" i="2"/>
  <c r="F980" i="2"/>
  <c r="J980" i="2" s="1"/>
  <c r="H980" i="2" s="1"/>
  <c r="E980" i="2"/>
  <c r="G979" i="2"/>
  <c r="F979" i="2"/>
  <c r="E979" i="2"/>
  <c r="E978" i="2"/>
  <c r="E977" i="2"/>
  <c r="K976" i="2"/>
  <c r="J976" i="2"/>
  <c r="H976" i="2" s="1"/>
  <c r="I976" i="2"/>
  <c r="G976" i="2"/>
  <c r="F976" i="2"/>
  <c r="E976" i="2"/>
  <c r="F975" i="2"/>
  <c r="I975" i="2" s="1"/>
  <c r="E975" i="2"/>
  <c r="G975" i="2" s="1"/>
  <c r="I974" i="2"/>
  <c r="G974" i="2"/>
  <c r="F974" i="2"/>
  <c r="J974" i="2" s="1"/>
  <c r="H974" i="2" s="1"/>
  <c r="E974" i="2"/>
  <c r="G973" i="2"/>
  <c r="E973" i="2"/>
  <c r="E972" i="2"/>
  <c r="K971" i="2"/>
  <c r="J971" i="2"/>
  <c r="H971" i="2" s="1"/>
  <c r="I971" i="2"/>
  <c r="F971" i="2"/>
  <c r="E971" i="2"/>
  <c r="G971" i="2" s="1"/>
  <c r="J970" i="2"/>
  <c r="H970" i="2" s="1"/>
  <c r="I970" i="2"/>
  <c r="F970" i="2"/>
  <c r="K970" i="2" s="1"/>
  <c r="E970" i="2"/>
  <c r="G970" i="2" s="1"/>
  <c r="G969" i="2"/>
  <c r="E969" i="2"/>
  <c r="K968" i="2"/>
  <c r="I968" i="2"/>
  <c r="G968" i="2"/>
  <c r="F968" i="2"/>
  <c r="J968" i="2" s="1"/>
  <c r="H968" i="2" s="1"/>
  <c r="E968" i="2"/>
  <c r="E967" i="2"/>
  <c r="J966" i="2"/>
  <c r="H966" i="2" s="1"/>
  <c r="F966" i="2"/>
  <c r="I966" i="2" s="1"/>
  <c r="E966" i="2"/>
  <c r="I965" i="2"/>
  <c r="G965" i="2"/>
  <c r="F965" i="2"/>
  <c r="K965" i="2" s="1"/>
  <c r="E965" i="2"/>
  <c r="E964" i="2"/>
  <c r="E963" i="2"/>
  <c r="K962" i="2"/>
  <c r="J962" i="2"/>
  <c r="H962" i="2" s="1"/>
  <c r="I962" i="2"/>
  <c r="F962" i="2"/>
  <c r="E962" i="2"/>
  <c r="G962" i="2" s="1"/>
  <c r="J961" i="2"/>
  <c r="H961" i="2" s="1"/>
  <c r="I961" i="2"/>
  <c r="G961" i="2"/>
  <c r="E961" i="2"/>
  <c r="F961" i="2" s="1"/>
  <c r="K961" i="2" s="1"/>
  <c r="K958" i="2"/>
  <c r="G958" i="2"/>
  <c r="F958" i="2"/>
  <c r="E958" i="2"/>
  <c r="E957" i="2"/>
  <c r="E956" i="2"/>
  <c r="K955" i="2"/>
  <c r="I955" i="2"/>
  <c r="F955" i="2"/>
  <c r="E955" i="2"/>
  <c r="G954" i="2"/>
  <c r="F954" i="2"/>
  <c r="J954" i="2" s="1"/>
  <c r="H954" i="2" s="1"/>
  <c r="E954" i="2"/>
  <c r="K954" i="2" s="1"/>
  <c r="G953" i="2"/>
  <c r="F953" i="2"/>
  <c r="K953" i="2" s="1"/>
  <c r="E953" i="2"/>
  <c r="E952" i="2"/>
  <c r="K951" i="2"/>
  <c r="J951" i="2"/>
  <c r="H951" i="2" s="1"/>
  <c r="I951" i="2"/>
  <c r="G951" i="2"/>
  <c r="E951" i="2"/>
  <c r="F951" i="2" s="1"/>
  <c r="J950" i="2"/>
  <c r="H950" i="2" s="1"/>
  <c r="I950" i="2"/>
  <c r="G950" i="2"/>
  <c r="F950" i="2"/>
  <c r="K950" i="2" s="1"/>
  <c r="E950" i="2"/>
  <c r="I949" i="2"/>
  <c r="G949" i="2"/>
  <c r="F949" i="2"/>
  <c r="K949" i="2" s="1"/>
  <c r="E949" i="2"/>
  <c r="J949" i="2" s="1"/>
  <c r="H949" i="2" s="1"/>
  <c r="E948" i="2"/>
  <c r="E947" i="2"/>
  <c r="K946" i="2"/>
  <c r="J946" i="2"/>
  <c r="H946" i="2" s="1"/>
  <c r="F946" i="2"/>
  <c r="E946" i="2"/>
  <c r="G945" i="2"/>
  <c r="F945" i="2"/>
  <c r="E945" i="2"/>
  <c r="F944" i="2"/>
  <c r="K944" i="2" s="1"/>
  <c r="E944" i="2"/>
  <c r="E943" i="2"/>
  <c r="K942" i="2"/>
  <c r="J942" i="2"/>
  <c r="H942" i="2" s="1"/>
  <c r="I942" i="2"/>
  <c r="G942" i="2"/>
  <c r="F942" i="2"/>
  <c r="E942" i="2"/>
  <c r="K939" i="2"/>
  <c r="J939" i="2"/>
  <c r="H939" i="2" s="1"/>
  <c r="I939" i="2"/>
  <c r="F939" i="2"/>
  <c r="E939" i="2"/>
  <c r="G939" i="2" s="1"/>
  <c r="G938" i="2"/>
  <c r="F938" i="2"/>
  <c r="I938" i="2" s="1"/>
  <c r="E938" i="2"/>
  <c r="G937" i="2"/>
  <c r="F937" i="2"/>
  <c r="K937" i="2" s="1"/>
  <c r="E937" i="2"/>
  <c r="E936" i="2"/>
  <c r="F935" i="2"/>
  <c r="E935" i="2"/>
  <c r="G935" i="2" s="1"/>
  <c r="F934" i="2"/>
  <c r="I934" i="2" s="1"/>
  <c r="E934" i="2"/>
  <c r="G934" i="2" s="1"/>
  <c r="E931" i="2"/>
  <c r="K930" i="2"/>
  <c r="I930" i="2"/>
  <c r="G930" i="2"/>
  <c r="F930" i="2"/>
  <c r="J930" i="2" s="1"/>
  <c r="H930" i="2" s="1"/>
  <c r="E930" i="2"/>
  <c r="E929" i="2"/>
  <c r="J928" i="2"/>
  <c r="H928" i="2" s="1"/>
  <c r="I928" i="2"/>
  <c r="F928" i="2"/>
  <c r="E928" i="2"/>
  <c r="G927" i="2"/>
  <c r="F927" i="2"/>
  <c r="I927" i="2" s="1"/>
  <c r="E927" i="2"/>
  <c r="G926" i="2"/>
  <c r="F926" i="2"/>
  <c r="K926" i="2" s="1"/>
  <c r="E926" i="2"/>
  <c r="E925" i="2"/>
  <c r="F924" i="2"/>
  <c r="E924" i="2"/>
  <c r="G924" i="2" s="1"/>
  <c r="J923" i="2"/>
  <c r="H923" i="2" s="1"/>
  <c r="I923" i="2"/>
  <c r="G923" i="2"/>
  <c r="E923" i="2"/>
  <c r="F923" i="2" s="1"/>
  <c r="G922" i="2"/>
  <c r="F922" i="2"/>
  <c r="E922" i="2"/>
  <c r="G921" i="2"/>
  <c r="E921" i="2"/>
  <c r="E920" i="2"/>
  <c r="E919" i="2"/>
  <c r="J918" i="2"/>
  <c r="H918" i="2" s="1"/>
  <c r="G918" i="2"/>
  <c r="F918" i="2"/>
  <c r="E918" i="2"/>
  <c r="K918" i="2" s="1"/>
  <c r="K917" i="2"/>
  <c r="G917" i="2"/>
  <c r="F917" i="2"/>
  <c r="J917" i="2" s="1"/>
  <c r="H917" i="2" s="1"/>
  <c r="E917" i="2"/>
  <c r="E916" i="2"/>
  <c r="E915" i="2"/>
  <c r="J914" i="2"/>
  <c r="H914" i="2" s="1"/>
  <c r="I914" i="2"/>
  <c r="G914" i="2"/>
  <c r="F914" i="2"/>
  <c r="K914" i="2" s="1"/>
  <c r="E914" i="2"/>
  <c r="G911" i="2"/>
  <c r="F911" i="2"/>
  <c r="E911" i="2"/>
  <c r="I910" i="2"/>
  <c r="F910" i="2"/>
  <c r="E910" i="2"/>
  <c r="E909" i="2"/>
  <c r="E908" i="2"/>
  <c r="J907" i="2"/>
  <c r="H907" i="2" s="1"/>
  <c r="G907" i="2"/>
  <c r="F907" i="2"/>
  <c r="I907" i="2" s="1"/>
  <c r="E907" i="2"/>
  <c r="K906" i="2"/>
  <c r="F906" i="2"/>
  <c r="J906" i="2" s="1"/>
  <c r="H906" i="2" s="1"/>
  <c r="E906" i="2"/>
  <c r="E905" i="2"/>
  <c r="K904" i="2"/>
  <c r="J904" i="2"/>
  <c r="H904" i="2" s="1"/>
  <c r="I904" i="2"/>
  <c r="G904" i="2"/>
  <c r="F904" i="2"/>
  <c r="E904" i="2"/>
  <c r="J903" i="2"/>
  <c r="H903" i="2" s="1"/>
  <c r="F903" i="2"/>
  <c r="I903" i="2" s="1"/>
  <c r="E903" i="2"/>
  <c r="G903" i="2" s="1"/>
  <c r="G902" i="2"/>
  <c r="F902" i="2"/>
  <c r="I902" i="2" s="1"/>
  <c r="E902" i="2"/>
  <c r="E901" i="2"/>
  <c r="E900" i="2"/>
  <c r="K899" i="2"/>
  <c r="F899" i="2"/>
  <c r="E899" i="2"/>
  <c r="G899" i="2" s="1"/>
  <c r="J896" i="2"/>
  <c r="H896" i="2" s="1"/>
  <c r="F896" i="2"/>
  <c r="I896" i="2" s="1"/>
  <c r="E896" i="2"/>
  <c r="G896" i="2" s="1"/>
  <c r="G895" i="2"/>
  <c r="E895" i="2"/>
  <c r="K894" i="2"/>
  <c r="J894" i="2"/>
  <c r="H894" i="2" s="1"/>
  <c r="I894" i="2"/>
  <c r="G894" i="2"/>
  <c r="F894" i="2"/>
  <c r="E894" i="2"/>
  <c r="E893" i="2"/>
  <c r="I892" i="2"/>
  <c r="G892" i="2"/>
  <c r="F892" i="2"/>
  <c r="E892" i="2"/>
  <c r="J892" i="2" s="1"/>
  <c r="H892" i="2" s="1"/>
  <c r="F891" i="2"/>
  <c r="E891" i="2"/>
  <c r="E890" i="2"/>
  <c r="E889" i="2"/>
  <c r="I888" i="2"/>
  <c r="F888" i="2"/>
  <c r="E888" i="2"/>
  <c r="G888" i="2" s="1"/>
  <c r="E887" i="2"/>
  <c r="G886" i="2"/>
  <c r="F886" i="2"/>
  <c r="E886" i="2"/>
  <c r="G885" i="2"/>
  <c r="E885" i="2"/>
  <c r="G884" i="2"/>
  <c r="E884" i="2"/>
  <c r="G883" i="2"/>
  <c r="E883" i="2"/>
  <c r="E882" i="2"/>
  <c r="K881" i="2"/>
  <c r="G881" i="2"/>
  <c r="F881" i="2"/>
  <c r="J881" i="2" s="1"/>
  <c r="H881" i="2" s="1"/>
  <c r="E881" i="2"/>
  <c r="E880" i="2"/>
  <c r="E879" i="2"/>
  <c r="J878" i="2"/>
  <c r="H878" i="2" s="1"/>
  <c r="I878" i="2"/>
  <c r="G878" i="2"/>
  <c r="F878" i="2"/>
  <c r="K878" i="2" s="1"/>
  <c r="E878" i="2"/>
  <c r="E877" i="2"/>
  <c r="I876" i="2"/>
  <c r="F876" i="2"/>
  <c r="E876" i="2"/>
  <c r="E875" i="2"/>
  <c r="E874" i="2"/>
  <c r="I873" i="2"/>
  <c r="F873" i="2"/>
  <c r="E873" i="2"/>
  <c r="E872" i="2"/>
  <c r="E871" i="2"/>
  <c r="K870" i="2"/>
  <c r="I870" i="2"/>
  <c r="G870" i="2"/>
  <c r="F870" i="2"/>
  <c r="J870" i="2" s="1"/>
  <c r="H870" i="2" s="1"/>
  <c r="E870" i="2"/>
  <c r="E869" i="2"/>
  <c r="G868" i="2"/>
  <c r="E868" i="2"/>
  <c r="G867" i="2"/>
  <c r="E867" i="2"/>
  <c r="E866" i="2"/>
  <c r="G865" i="2"/>
  <c r="E865" i="2"/>
  <c r="E864" i="2"/>
  <c r="E863" i="2"/>
  <c r="G862" i="2"/>
  <c r="F862" i="2"/>
  <c r="E862" i="2"/>
  <c r="K861" i="2"/>
  <c r="J861" i="2"/>
  <c r="H861" i="2" s="1"/>
  <c r="I861" i="2"/>
  <c r="G861" i="2"/>
  <c r="E861" i="2"/>
  <c r="F861" i="2" s="1"/>
  <c r="G860" i="2"/>
  <c r="E860" i="2"/>
  <c r="E859" i="2"/>
  <c r="K858" i="2"/>
  <c r="G858" i="2"/>
  <c r="F858" i="2"/>
  <c r="J858" i="2" s="1"/>
  <c r="H858" i="2" s="1"/>
  <c r="E858" i="2"/>
  <c r="K857" i="2"/>
  <c r="J857" i="2"/>
  <c r="H857" i="2" s="1"/>
  <c r="I857" i="2"/>
  <c r="G857" i="2"/>
  <c r="E857" i="2"/>
  <c r="F857" i="2" s="1"/>
  <c r="F856" i="2"/>
  <c r="J856" i="2" s="1"/>
  <c r="H856" i="2" s="1"/>
  <c r="E856" i="2"/>
  <c r="G855" i="2"/>
  <c r="E855" i="2"/>
  <c r="K854" i="2"/>
  <c r="J854" i="2"/>
  <c r="H854" i="2" s="1"/>
  <c r="G854" i="2"/>
  <c r="F854" i="2"/>
  <c r="I854" i="2" s="1"/>
  <c r="E854" i="2"/>
  <c r="G853" i="2"/>
  <c r="F853" i="2"/>
  <c r="I853" i="2" s="1"/>
  <c r="E853" i="2"/>
  <c r="E852" i="2"/>
  <c r="E851" i="2"/>
  <c r="I850" i="2"/>
  <c r="G850" i="2"/>
  <c r="F850" i="2"/>
  <c r="E850" i="2"/>
  <c r="F849" i="2"/>
  <c r="E849" i="2"/>
  <c r="G848" i="2"/>
  <c r="E848" i="2"/>
  <c r="E847" i="2"/>
  <c r="J846" i="2"/>
  <c r="H846" i="2" s="1"/>
  <c r="F846" i="2"/>
  <c r="I846" i="2" s="1"/>
  <c r="E846" i="2"/>
  <c r="G846" i="2" s="1"/>
  <c r="E845" i="2"/>
  <c r="K844" i="2"/>
  <c r="G844" i="2"/>
  <c r="F844" i="2"/>
  <c r="E844" i="2"/>
  <c r="G842" i="2"/>
  <c r="E842" i="2"/>
  <c r="E840" i="2"/>
  <c r="I839" i="2"/>
  <c r="G839" i="2"/>
  <c r="F839" i="2"/>
  <c r="E839" i="2"/>
  <c r="K839" i="2" s="1"/>
  <c r="E838" i="2"/>
  <c r="I837" i="2"/>
  <c r="F837" i="2"/>
  <c r="E837" i="2"/>
  <c r="E836" i="2"/>
  <c r="G835" i="2"/>
  <c r="E835" i="2"/>
  <c r="G832" i="2"/>
  <c r="F832" i="2"/>
  <c r="E832" i="2"/>
  <c r="E831" i="2"/>
  <c r="J830" i="2"/>
  <c r="H830" i="2" s="1"/>
  <c r="I830" i="2"/>
  <c r="G830" i="2"/>
  <c r="E830" i="2"/>
  <c r="F830" i="2" s="1"/>
  <c r="G829" i="2"/>
  <c r="F829" i="2"/>
  <c r="E829" i="2"/>
  <c r="E828" i="2"/>
  <c r="E827" i="2"/>
  <c r="E826" i="2"/>
  <c r="E823" i="2"/>
  <c r="G822" i="2"/>
  <c r="F822" i="2"/>
  <c r="E822" i="2"/>
  <c r="E821" i="2"/>
  <c r="G820" i="2"/>
  <c r="E820" i="2"/>
  <c r="F820" i="2" s="1"/>
  <c r="J820" i="2" s="1"/>
  <c r="H820" i="2" s="1"/>
  <c r="G819" i="2"/>
  <c r="F819" i="2"/>
  <c r="E819" i="2"/>
  <c r="J819" i="2" s="1"/>
  <c r="H819" i="2" s="1"/>
  <c r="J818" i="2"/>
  <c r="H818" i="2" s="1"/>
  <c r="G818" i="2"/>
  <c r="F818" i="2"/>
  <c r="E818" i="2"/>
  <c r="G817" i="2"/>
  <c r="F817" i="2"/>
  <c r="I817" i="2" s="1"/>
  <c r="E817" i="2"/>
  <c r="K816" i="2"/>
  <c r="F816" i="2"/>
  <c r="E816" i="2"/>
  <c r="G815" i="2"/>
  <c r="E815" i="2"/>
  <c r="K814" i="2"/>
  <c r="G814" i="2"/>
  <c r="F814" i="2"/>
  <c r="J814" i="2" s="1"/>
  <c r="H814" i="2" s="1"/>
  <c r="E814" i="2"/>
  <c r="E813" i="2"/>
  <c r="I812" i="2"/>
  <c r="G812" i="2"/>
  <c r="E812" i="2"/>
  <c r="F812" i="2" s="1"/>
  <c r="J812" i="2" s="1"/>
  <c r="H812" i="2" s="1"/>
  <c r="K811" i="2"/>
  <c r="G811" i="2"/>
  <c r="F811" i="2"/>
  <c r="I811" i="2" s="1"/>
  <c r="E811" i="2"/>
  <c r="J811" i="2" s="1"/>
  <c r="H811" i="2" s="1"/>
  <c r="J810" i="2"/>
  <c r="H810" i="2" s="1"/>
  <c r="G810" i="2"/>
  <c r="F810" i="2"/>
  <c r="E810" i="2"/>
  <c r="F809" i="2"/>
  <c r="E809" i="2"/>
  <c r="F808" i="2"/>
  <c r="K808" i="2" s="1"/>
  <c r="E808" i="2"/>
  <c r="E807" i="2"/>
  <c r="K806" i="2"/>
  <c r="J806" i="2"/>
  <c r="H806" i="2" s="1"/>
  <c r="I806" i="2"/>
  <c r="G806" i="2"/>
  <c r="F806" i="2"/>
  <c r="E806" i="2"/>
  <c r="E805" i="2"/>
  <c r="G804" i="2"/>
  <c r="E804" i="2"/>
  <c r="F804" i="2" s="1"/>
  <c r="K803" i="2"/>
  <c r="I803" i="2"/>
  <c r="G803" i="2"/>
  <c r="F803" i="2"/>
  <c r="E803" i="2"/>
  <c r="J803" i="2" s="1"/>
  <c r="H803" i="2" s="1"/>
  <c r="J800" i="2"/>
  <c r="H800" i="2" s="1"/>
  <c r="F800" i="2"/>
  <c r="E800" i="2"/>
  <c r="E799" i="2"/>
  <c r="F798" i="2"/>
  <c r="K798" i="2" s="1"/>
  <c r="E798" i="2"/>
  <c r="E797" i="2"/>
  <c r="K796" i="2"/>
  <c r="J796" i="2"/>
  <c r="H796" i="2" s="1"/>
  <c r="I796" i="2"/>
  <c r="G796" i="2"/>
  <c r="F796" i="2"/>
  <c r="E796" i="2"/>
  <c r="E795" i="2"/>
  <c r="G794" i="2"/>
  <c r="E794" i="2"/>
  <c r="F794" i="2" s="1"/>
  <c r="K791" i="2"/>
  <c r="I791" i="2"/>
  <c r="G791" i="2"/>
  <c r="F791" i="2"/>
  <c r="E791" i="2"/>
  <c r="G790" i="2"/>
  <c r="E790" i="2"/>
  <c r="E789" i="2"/>
  <c r="E788" i="2"/>
  <c r="E787" i="2"/>
  <c r="K786" i="2"/>
  <c r="J786" i="2"/>
  <c r="H786" i="2" s="1"/>
  <c r="G786" i="2"/>
  <c r="F786" i="2"/>
  <c r="I786" i="2" s="1"/>
  <c r="E786" i="2"/>
  <c r="E783" i="2"/>
  <c r="J782" i="2"/>
  <c r="H782" i="2" s="1"/>
  <c r="G782" i="2"/>
  <c r="E782" i="2"/>
  <c r="F782" i="2" s="1"/>
  <c r="I782" i="2" s="1"/>
  <c r="K781" i="2"/>
  <c r="I781" i="2"/>
  <c r="G781" i="2"/>
  <c r="F781" i="2"/>
  <c r="E781" i="2"/>
  <c r="G780" i="2"/>
  <c r="F780" i="2"/>
  <c r="E780" i="2"/>
  <c r="I777" i="2"/>
  <c r="G777" i="2"/>
  <c r="F777" i="2"/>
  <c r="E777" i="2"/>
  <c r="F776" i="2"/>
  <c r="K776" i="2" s="1"/>
  <c r="E776" i="2"/>
  <c r="G775" i="2"/>
  <c r="E775" i="2"/>
  <c r="J774" i="2"/>
  <c r="H774" i="2" s="1"/>
  <c r="I774" i="2"/>
  <c r="G774" i="2"/>
  <c r="F774" i="2"/>
  <c r="K774" i="2" s="1"/>
  <c r="E774" i="2"/>
  <c r="E773" i="2"/>
  <c r="J772" i="2"/>
  <c r="H772" i="2" s="1"/>
  <c r="I772" i="2"/>
  <c r="G772" i="2"/>
  <c r="E772" i="2"/>
  <c r="F772" i="2" s="1"/>
  <c r="G771" i="2"/>
  <c r="F771" i="2"/>
  <c r="K771" i="2" s="1"/>
  <c r="E771" i="2"/>
  <c r="F770" i="2"/>
  <c r="E770" i="2"/>
  <c r="G769" i="2"/>
  <c r="F769" i="2"/>
  <c r="I769" i="2" s="1"/>
  <c r="E769" i="2"/>
  <c r="E768" i="2"/>
  <c r="G765" i="2"/>
  <c r="E765" i="2"/>
  <c r="J764" i="2"/>
  <c r="H764" i="2" s="1"/>
  <c r="I764" i="2"/>
  <c r="G764" i="2"/>
  <c r="F764" i="2"/>
  <c r="K764" i="2" s="1"/>
  <c r="E764" i="2"/>
  <c r="E763" i="2"/>
  <c r="J762" i="2"/>
  <c r="H762" i="2" s="1"/>
  <c r="I762" i="2"/>
  <c r="G762" i="2"/>
  <c r="E762" i="2"/>
  <c r="F762" i="2" s="1"/>
  <c r="I761" i="2"/>
  <c r="G761" i="2"/>
  <c r="F761" i="2"/>
  <c r="K761" i="2" s="1"/>
  <c r="E761" i="2"/>
  <c r="J761" i="2" s="1"/>
  <c r="H761" i="2" s="1"/>
  <c r="E760" i="2"/>
  <c r="I759" i="2"/>
  <c r="F759" i="2"/>
  <c r="E759" i="2"/>
  <c r="E758" i="2"/>
  <c r="G757" i="2"/>
  <c r="E757" i="2"/>
  <c r="G756" i="2"/>
  <c r="F756" i="2"/>
  <c r="E756" i="2"/>
  <c r="E755" i="2"/>
  <c r="J754" i="2"/>
  <c r="H754" i="2" s="1"/>
  <c r="I754" i="2"/>
  <c r="G754" i="2"/>
  <c r="E754" i="2"/>
  <c r="F754" i="2" s="1"/>
  <c r="G753" i="2"/>
  <c r="F753" i="2"/>
  <c r="E753" i="2"/>
  <c r="E752" i="2"/>
  <c r="G749" i="2"/>
  <c r="E749" i="2"/>
  <c r="E748" i="2"/>
  <c r="E747" i="2"/>
  <c r="G746" i="2"/>
  <c r="F746" i="2"/>
  <c r="E746" i="2"/>
  <c r="E745" i="2"/>
  <c r="G744" i="2"/>
  <c r="E744" i="2"/>
  <c r="F744" i="2" s="1"/>
  <c r="G741" i="2"/>
  <c r="F741" i="2"/>
  <c r="E741" i="2"/>
  <c r="J740" i="2"/>
  <c r="H740" i="2" s="1"/>
  <c r="G740" i="2"/>
  <c r="F740" i="2"/>
  <c r="E740" i="2"/>
  <c r="G739" i="2"/>
  <c r="F739" i="2"/>
  <c r="I739" i="2" s="1"/>
  <c r="E739" i="2"/>
  <c r="K738" i="2"/>
  <c r="F738" i="2"/>
  <c r="E738" i="2"/>
  <c r="G737" i="2"/>
  <c r="E737" i="2"/>
  <c r="K736" i="2"/>
  <c r="G736" i="2"/>
  <c r="F736" i="2"/>
  <c r="J736" i="2" s="1"/>
  <c r="H736" i="2" s="1"/>
  <c r="E736" i="2"/>
  <c r="E735" i="2"/>
  <c r="I734" i="2"/>
  <c r="G734" i="2"/>
  <c r="E734" i="2"/>
  <c r="F734" i="2" s="1"/>
  <c r="J734" i="2" s="1"/>
  <c r="H734" i="2" s="1"/>
  <c r="K733" i="2"/>
  <c r="G733" i="2"/>
  <c r="F733" i="2"/>
  <c r="I733" i="2" s="1"/>
  <c r="E733" i="2"/>
  <c r="J733" i="2" s="1"/>
  <c r="H733" i="2" s="1"/>
  <c r="J732" i="2"/>
  <c r="H732" i="2" s="1"/>
  <c r="G732" i="2"/>
  <c r="F732" i="2"/>
  <c r="E732" i="2"/>
  <c r="F731" i="2"/>
  <c r="E731" i="2"/>
  <c r="F730" i="2"/>
  <c r="K730" i="2" s="1"/>
  <c r="E730" i="2"/>
  <c r="G729" i="2"/>
  <c r="E729" i="2"/>
  <c r="K726" i="2"/>
  <c r="J726" i="2"/>
  <c r="H726" i="2" s="1"/>
  <c r="I726" i="2"/>
  <c r="G726" i="2"/>
  <c r="F726" i="2"/>
  <c r="E726" i="2"/>
  <c r="E725" i="2"/>
  <c r="G724" i="2"/>
  <c r="E724" i="2"/>
  <c r="F724" i="2" s="1"/>
  <c r="K723" i="2"/>
  <c r="I723" i="2"/>
  <c r="G723" i="2"/>
  <c r="F723" i="2"/>
  <c r="E723" i="2"/>
  <c r="J723" i="2" s="1"/>
  <c r="H723" i="2" s="1"/>
  <c r="F722" i="2"/>
  <c r="J722" i="2" s="1"/>
  <c r="H722" i="2" s="1"/>
  <c r="E722" i="2"/>
  <c r="E721" i="2"/>
  <c r="K720" i="2"/>
  <c r="F720" i="2"/>
  <c r="E720" i="2"/>
  <c r="E719" i="2"/>
  <c r="K718" i="2"/>
  <c r="J718" i="2"/>
  <c r="H718" i="2" s="1"/>
  <c r="I718" i="2"/>
  <c r="G718" i="2"/>
  <c r="F718" i="2"/>
  <c r="E718" i="2"/>
  <c r="E717" i="2"/>
  <c r="G714" i="2"/>
  <c r="E714" i="2"/>
  <c r="F714" i="2" s="1"/>
  <c r="K713" i="2"/>
  <c r="I713" i="2"/>
  <c r="G713" i="2"/>
  <c r="F713" i="2"/>
  <c r="E713" i="2"/>
  <c r="G712" i="2"/>
  <c r="E712" i="2"/>
  <c r="E711" i="2"/>
  <c r="E710" i="2"/>
  <c r="E709" i="2"/>
  <c r="K708" i="2"/>
  <c r="J708" i="2"/>
  <c r="H708" i="2" s="1"/>
  <c r="G708" i="2"/>
  <c r="F708" i="2"/>
  <c r="I708" i="2" s="1"/>
  <c r="E708" i="2"/>
  <c r="E707" i="2"/>
  <c r="J706" i="2"/>
  <c r="H706" i="2" s="1"/>
  <c r="G706" i="2"/>
  <c r="E706" i="2"/>
  <c r="F706" i="2" s="1"/>
  <c r="I706" i="2" s="1"/>
  <c r="K705" i="2"/>
  <c r="I705" i="2"/>
  <c r="G705" i="2"/>
  <c r="F705" i="2"/>
  <c r="E705" i="2"/>
  <c r="G704" i="2"/>
  <c r="F704" i="2"/>
  <c r="E704" i="2"/>
  <c r="E703" i="2"/>
  <c r="K702" i="2"/>
  <c r="I702" i="2"/>
  <c r="F702" i="2"/>
  <c r="E702" i="2"/>
  <c r="G701" i="2"/>
  <c r="E701" i="2"/>
  <c r="K700" i="2"/>
  <c r="J700" i="2"/>
  <c r="H700" i="2" s="1"/>
  <c r="I700" i="2"/>
  <c r="G700" i="2"/>
  <c r="F700" i="2"/>
  <c r="E700" i="2"/>
  <c r="K699" i="2"/>
  <c r="J699" i="2"/>
  <c r="H699" i="2" s="1"/>
  <c r="F699" i="2"/>
  <c r="I699" i="2" s="1"/>
  <c r="E699" i="2"/>
  <c r="G699" i="2" s="1"/>
  <c r="G698" i="2"/>
  <c r="E698" i="2"/>
  <c r="K697" i="2"/>
  <c r="G697" i="2"/>
  <c r="F697" i="2"/>
  <c r="I697" i="2" s="1"/>
  <c r="E697" i="2"/>
  <c r="J697" i="2" s="1"/>
  <c r="H697" i="2" s="1"/>
  <c r="K696" i="2"/>
  <c r="J696" i="2"/>
  <c r="H696" i="2" s="1"/>
  <c r="G696" i="2"/>
  <c r="F696" i="2"/>
  <c r="E696" i="2"/>
  <c r="E695" i="2"/>
  <c r="E694" i="2"/>
  <c r="G691" i="2"/>
  <c r="E691" i="2"/>
  <c r="J690" i="2"/>
  <c r="H690" i="2" s="1"/>
  <c r="I690" i="2"/>
  <c r="G690" i="2"/>
  <c r="F690" i="2"/>
  <c r="K690" i="2" s="1"/>
  <c r="E690" i="2"/>
  <c r="E689" i="2"/>
  <c r="G688" i="2"/>
  <c r="E688" i="2"/>
  <c r="G687" i="2"/>
  <c r="F687" i="2"/>
  <c r="K687" i="2" s="1"/>
  <c r="E687" i="2"/>
  <c r="G686" i="2"/>
  <c r="F686" i="2"/>
  <c r="E686" i="2"/>
  <c r="K686" i="2" s="1"/>
  <c r="E685" i="2"/>
  <c r="F684" i="2"/>
  <c r="K684" i="2" s="1"/>
  <c r="E684" i="2"/>
  <c r="E681" i="2"/>
  <c r="G681" i="2" s="1"/>
  <c r="K680" i="2"/>
  <c r="J680" i="2"/>
  <c r="H680" i="2" s="1"/>
  <c r="I680" i="2"/>
  <c r="G680" i="2"/>
  <c r="F680" i="2"/>
  <c r="E680" i="2"/>
  <c r="K679" i="2"/>
  <c r="J679" i="2"/>
  <c r="H679" i="2" s="1"/>
  <c r="I679" i="2"/>
  <c r="F679" i="2"/>
  <c r="E679" i="2"/>
  <c r="G679" i="2" s="1"/>
  <c r="G678" i="2"/>
  <c r="E678" i="2"/>
  <c r="K677" i="2"/>
  <c r="G677" i="2"/>
  <c r="F677" i="2"/>
  <c r="I677" i="2" s="1"/>
  <c r="E677" i="2"/>
  <c r="J677" i="2" s="1"/>
  <c r="H677" i="2" s="1"/>
  <c r="K676" i="2"/>
  <c r="J676" i="2"/>
  <c r="H676" i="2" s="1"/>
  <c r="G676" i="2"/>
  <c r="F676" i="2"/>
  <c r="E676" i="2"/>
  <c r="E675" i="2"/>
  <c r="E674" i="2"/>
  <c r="G673" i="2"/>
  <c r="E673" i="2"/>
  <c r="J672" i="2"/>
  <c r="H672" i="2" s="1"/>
  <c r="I672" i="2"/>
  <c r="G672" i="2"/>
  <c r="F672" i="2"/>
  <c r="K672" i="2" s="1"/>
  <c r="E672" i="2"/>
  <c r="E671" i="2"/>
  <c r="F671" i="2" s="1"/>
  <c r="G668" i="2"/>
  <c r="E668" i="2"/>
  <c r="I667" i="2"/>
  <c r="G667" i="2"/>
  <c r="F667" i="2"/>
  <c r="K667" i="2" s="1"/>
  <c r="E667" i="2"/>
  <c r="G666" i="2"/>
  <c r="F666" i="2"/>
  <c r="E666" i="2"/>
  <c r="E665" i="2"/>
  <c r="F664" i="2"/>
  <c r="K664" i="2" s="1"/>
  <c r="E664" i="2"/>
  <c r="G661" i="2"/>
  <c r="E661" i="2"/>
  <c r="K660" i="2"/>
  <c r="J660" i="2"/>
  <c r="H660" i="2" s="1"/>
  <c r="I660" i="2"/>
  <c r="G660" i="2"/>
  <c r="F660" i="2"/>
  <c r="E660" i="2"/>
  <c r="K659" i="2"/>
  <c r="J659" i="2"/>
  <c r="H659" i="2" s="1"/>
  <c r="I659" i="2"/>
  <c r="F659" i="2"/>
  <c r="E659" i="2"/>
  <c r="G659" i="2" s="1"/>
  <c r="G658" i="2"/>
  <c r="E658" i="2"/>
  <c r="K657" i="2"/>
  <c r="G657" i="2"/>
  <c r="F657" i="2"/>
  <c r="I657" i="2" s="1"/>
  <c r="E657" i="2"/>
  <c r="J657" i="2" s="1"/>
  <c r="H657" i="2" s="1"/>
  <c r="G656" i="2"/>
  <c r="E656" i="2"/>
  <c r="G655" i="2"/>
  <c r="E655" i="2"/>
  <c r="E654" i="2"/>
  <c r="G651" i="2"/>
  <c r="E651" i="2"/>
  <c r="J650" i="2"/>
  <c r="H650" i="2" s="1"/>
  <c r="I650" i="2"/>
  <c r="G650" i="2"/>
  <c r="F650" i="2"/>
  <c r="K650" i="2" s="1"/>
  <c r="E650" i="2"/>
  <c r="E649" i="2"/>
  <c r="E648" i="2"/>
  <c r="I647" i="2"/>
  <c r="G647" i="2"/>
  <c r="F647" i="2"/>
  <c r="K647" i="2" s="1"/>
  <c r="E647" i="2"/>
  <c r="G646" i="2"/>
  <c r="F646" i="2"/>
  <c r="E646" i="2"/>
  <c r="E645" i="2"/>
  <c r="F644" i="2"/>
  <c r="K644" i="2" s="1"/>
  <c r="E644" i="2"/>
  <c r="G643" i="2"/>
  <c r="E643" i="2"/>
  <c r="K642" i="2"/>
  <c r="J642" i="2"/>
  <c r="H642" i="2" s="1"/>
  <c r="I642" i="2"/>
  <c r="G642" i="2"/>
  <c r="F642" i="2"/>
  <c r="E642" i="2"/>
  <c r="K641" i="2"/>
  <c r="J641" i="2"/>
  <c r="H641" i="2" s="1"/>
  <c r="I641" i="2"/>
  <c r="F641" i="2"/>
  <c r="E641" i="2"/>
  <c r="G641" i="2" s="1"/>
  <c r="G640" i="2"/>
  <c r="E640" i="2"/>
  <c r="K639" i="2"/>
  <c r="G639" i="2"/>
  <c r="F639" i="2"/>
  <c r="I639" i="2" s="1"/>
  <c r="E639" i="2"/>
  <c r="J639" i="2" s="1"/>
  <c r="H639" i="2" s="1"/>
  <c r="G638" i="2"/>
  <c r="E638" i="2"/>
  <c r="E637" i="2"/>
  <c r="E636" i="2"/>
  <c r="G635" i="2"/>
  <c r="E635" i="2"/>
  <c r="J632" i="2"/>
  <c r="H632" i="2" s="1"/>
  <c r="I632" i="2"/>
  <c r="G632" i="2"/>
  <c r="F632" i="2"/>
  <c r="K632" i="2" s="1"/>
  <c r="E632" i="2"/>
  <c r="E631" i="2"/>
  <c r="E630" i="2"/>
  <c r="I629" i="2"/>
  <c r="G629" i="2"/>
  <c r="F629" i="2"/>
  <c r="E629" i="2"/>
  <c r="G628" i="2"/>
  <c r="F628" i="2"/>
  <c r="E628" i="2"/>
  <c r="E627" i="2"/>
  <c r="F626" i="2"/>
  <c r="K626" i="2" s="1"/>
  <c r="E626" i="2"/>
  <c r="G625" i="2"/>
  <c r="E625" i="2"/>
  <c r="K624" i="2"/>
  <c r="J624" i="2"/>
  <c r="H624" i="2" s="1"/>
  <c r="I624" i="2"/>
  <c r="G624" i="2"/>
  <c r="F624" i="2"/>
  <c r="E624" i="2"/>
  <c r="K623" i="2"/>
  <c r="J623" i="2"/>
  <c r="H623" i="2" s="1"/>
  <c r="I623" i="2"/>
  <c r="F623" i="2"/>
  <c r="E623" i="2"/>
  <c r="G623" i="2" s="1"/>
  <c r="G622" i="2"/>
  <c r="E622" i="2"/>
  <c r="K621" i="2"/>
  <c r="G621" i="2"/>
  <c r="F621" i="2"/>
  <c r="J621" i="2" s="1"/>
  <c r="H621" i="2" s="1"/>
  <c r="E621" i="2"/>
  <c r="G620" i="2"/>
  <c r="E620" i="2"/>
  <c r="G619" i="2"/>
  <c r="E619" i="2"/>
  <c r="E618" i="2"/>
  <c r="G617" i="2"/>
  <c r="E617" i="2"/>
  <c r="J616" i="2"/>
  <c r="H616" i="2" s="1"/>
  <c r="I616" i="2"/>
  <c r="G616" i="2"/>
  <c r="F616" i="2"/>
  <c r="K616" i="2" s="1"/>
  <c r="E616" i="2"/>
  <c r="E615" i="2"/>
  <c r="E614" i="2"/>
  <c r="I613" i="2"/>
  <c r="G613" i="2"/>
  <c r="F613" i="2"/>
  <c r="E613" i="2"/>
  <c r="G612" i="2"/>
  <c r="F612" i="2"/>
  <c r="E612" i="2"/>
  <c r="E611" i="2"/>
  <c r="F610" i="2"/>
  <c r="K610" i="2" s="1"/>
  <c r="E610" i="2"/>
  <c r="G609" i="2"/>
  <c r="E609" i="2"/>
  <c r="K608" i="2"/>
  <c r="J608" i="2"/>
  <c r="H608" i="2" s="1"/>
  <c r="I608" i="2"/>
  <c r="G608" i="2"/>
  <c r="F608" i="2"/>
  <c r="E608" i="2"/>
  <c r="K605" i="2"/>
  <c r="J605" i="2"/>
  <c r="H605" i="2" s="1"/>
  <c r="I605" i="2"/>
  <c r="F605" i="2"/>
  <c r="E605" i="2"/>
  <c r="G605" i="2" s="1"/>
  <c r="G604" i="2"/>
  <c r="E604" i="2"/>
  <c r="K603" i="2"/>
  <c r="G603" i="2"/>
  <c r="F603" i="2"/>
  <c r="J603" i="2" s="1"/>
  <c r="H603" i="2" s="1"/>
  <c r="E603" i="2"/>
  <c r="G602" i="2"/>
  <c r="E602" i="2"/>
  <c r="G601" i="2"/>
  <c r="E601" i="2"/>
  <c r="E600" i="2"/>
  <c r="G599" i="2"/>
  <c r="E599" i="2"/>
  <c r="J598" i="2"/>
  <c r="H598" i="2" s="1"/>
  <c r="I598" i="2"/>
  <c r="G598" i="2"/>
  <c r="F598" i="2"/>
  <c r="K598" i="2" s="1"/>
  <c r="E598" i="2"/>
  <c r="E597" i="2"/>
  <c r="E596" i="2"/>
  <c r="I595" i="2"/>
  <c r="G595" i="2"/>
  <c r="F595" i="2"/>
  <c r="E595" i="2"/>
  <c r="G594" i="2"/>
  <c r="F594" i="2"/>
  <c r="E594" i="2"/>
  <c r="E593" i="2"/>
  <c r="F592" i="2"/>
  <c r="K592" i="2" s="1"/>
  <c r="E592" i="2"/>
  <c r="G591" i="2"/>
  <c r="E591" i="2"/>
  <c r="K590" i="2"/>
  <c r="J590" i="2"/>
  <c r="H590" i="2" s="1"/>
  <c r="I590" i="2"/>
  <c r="G590" i="2"/>
  <c r="F590" i="2"/>
  <c r="E590" i="2"/>
  <c r="K589" i="2"/>
  <c r="J589" i="2"/>
  <c r="H589" i="2" s="1"/>
  <c r="I589" i="2"/>
  <c r="F589" i="2"/>
  <c r="E589" i="2"/>
  <c r="G589" i="2" s="1"/>
  <c r="G588" i="2"/>
  <c r="E588" i="2"/>
  <c r="K585" i="2"/>
  <c r="G585" i="2"/>
  <c r="F585" i="2"/>
  <c r="J585" i="2" s="1"/>
  <c r="H585" i="2" s="1"/>
  <c r="E585" i="2"/>
  <c r="G584" i="2"/>
  <c r="E584" i="2"/>
  <c r="G583" i="2"/>
  <c r="E583" i="2"/>
  <c r="E582" i="2"/>
  <c r="G581" i="2"/>
  <c r="E581" i="2"/>
  <c r="J580" i="2"/>
  <c r="H580" i="2" s="1"/>
  <c r="I580" i="2"/>
  <c r="G580" i="2"/>
  <c r="F580" i="2"/>
  <c r="K580" i="2" s="1"/>
  <c r="E580" i="2"/>
  <c r="E579" i="2"/>
  <c r="E578" i="2"/>
  <c r="I577" i="2"/>
  <c r="G577" i="2"/>
  <c r="F577" i="2"/>
  <c r="E577" i="2"/>
  <c r="G576" i="2"/>
  <c r="F576" i="2"/>
  <c r="E576" i="2"/>
  <c r="E575" i="2"/>
  <c r="F572" i="2"/>
  <c r="K572" i="2" s="1"/>
  <c r="E572" i="2"/>
  <c r="G571" i="2"/>
  <c r="E571" i="2"/>
  <c r="K570" i="2"/>
  <c r="J570" i="2"/>
  <c r="H570" i="2" s="1"/>
  <c r="I570" i="2"/>
  <c r="G570" i="2"/>
  <c r="F570" i="2"/>
  <c r="E570" i="2"/>
  <c r="K569" i="2"/>
  <c r="J569" i="2"/>
  <c r="H569" i="2" s="1"/>
  <c r="I569" i="2"/>
  <c r="F569" i="2"/>
  <c r="E569" i="2"/>
  <c r="G569" i="2" s="1"/>
  <c r="G568" i="2"/>
  <c r="E568" i="2"/>
  <c r="K567" i="2"/>
  <c r="G567" i="2"/>
  <c r="F567" i="2"/>
  <c r="J567" i="2" s="1"/>
  <c r="H567" i="2" s="1"/>
  <c r="E567" i="2"/>
  <c r="G566" i="2"/>
  <c r="E566" i="2"/>
  <c r="E565" i="2"/>
  <c r="E564" i="2"/>
  <c r="G563" i="2"/>
  <c r="E563" i="2"/>
  <c r="J562" i="2"/>
  <c r="H562" i="2" s="1"/>
  <c r="I562" i="2"/>
  <c r="G562" i="2"/>
  <c r="F562" i="2"/>
  <c r="K562" i="2" s="1"/>
  <c r="E562" i="2"/>
  <c r="E561" i="2"/>
  <c r="E560" i="2"/>
  <c r="I559" i="2"/>
  <c r="G559" i="2"/>
  <c r="F559" i="2"/>
  <c r="E559" i="2"/>
  <c r="G558" i="2"/>
  <c r="F558" i="2"/>
  <c r="E558" i="2"/>
  <c r="E557" i="2"/>
  <c r="F556" i="2"/>
  <c r="K556" i="2" s="1"/>
  <c r="E556" i="2"/>
  <c r="G555" i="2"/>
  <c r="E555" i="2"/>
  <c r="K554" i="2"/>
  <c r="J554" i="2"/>
  <c r="H554" i="2" s="1"/>
  <c r="I554" i="2"/>
  <c r="G554" i="2"/>
  <c r="F554" i="2"/>
  <c r="E554" i="2"/>
  <c r="K553" i="2"/>
  <c r="J553" i="2"/>
  <c r="H553" i="2" s="1"/>
  <c r="I553" i="2"/>
  <c r="F553" i="2"/>
  <c r="E553" i="2"/>
  <c r="G553" i="2" s="1"/>
  <c r="G550" i="2"/>
  <c r="E550" i="2"/>
  <c r="K549" i="2"/>
  <c r="G549" i="2"/>
  <c r="F549" i="2"/>
  <c r="J549" i="2" s="1"/>
  <c r="H549" i="2" s="1"/>
  <c r="E549" i="2"/>
  <c r="G548" i="2"/>
  <c r="E548" i="2"/>
  <c r="G547" i="2"/>
  <c r="E547" i="2"/>
  <c r="E546" i="2"/>
  <c r="G545" i="2"/>
  <c r="E545" i="2"/>
  <c r="J544" i="2"/>
  <c r="H544" i="2" s="1"/>
  <c r="I544" i="2"/>
  <c r="G544" i="2"/>
  <c r="F544" i="2"/>
  <c r="K544" i="2" s="1"/>
  <c r="E544" i="2"/>
  <c r="E543" i="2"/>
  <c r="E542" i="2"/>
  <c r="I541" i="2"/>
  <c r="G541" i="2"/>
  <c r="F541" i="2"/>
  <c r="E541" i="2"/>
  <c r="G540" i="2"/>
  <c r="F540" i="2"/>
  <c r="E540" i="2"/>
  <c r="E539" i="2"/>
  <c r="F538" i="2"/>
  <c r="K538" i="2" s="1"/>
  <c r="E538" i="2"/>
  <c r="G537" i="2"/>
  <c r="E537" i="2"/>
  <c r="K536" i="2"/>
  <c r="J536" i="2"/>
  <c r="H536" i="2" s="1"/>
  <c r="I536" i="2"/>
  <c r="G536" i="2"/>
  <c r="F536" i="2"/>
  <c r="E536" i="2"/>
  <c r="K535" i="2"/>
  <c r="J535" i="2"/>
  <c r="H535" i="2" s="1"/>
  <c r="I535" i="2"/>
  <c r="F535" i="2"/>
  <c r="E535" i="2"/>
  <c r="G535" i="2" s="1"/>
  <c r="G534" i="2"/>
  <c r="E534" i="2"/>
  <c r="K533" i="2"/>
  <c r="G533" i="2"/>
  <c r="F533" i="2"/>
  <c r="J533" i="2" s="1"/>
  <c r="H533" i="2" s="1"/>
  <c r="E533" i="2"/>
  <c r="G532" i="2"/>
  <c r="E532" i="2"/>
  <c r="G531" i="2"/>
  <c r="E531" i="2"/>
  <c r="E530" i="2"/>
  <c r="G529" i="2"/>
  <c r="E529" i="2"/>
  <c r="J528" i="2"/>
  <c r="H528" i="2" s="1"/>
  <c r="I528" i="2"/>
  <c r="G528" i="2"/>
  <c r="F528" i="2"/>
  <c r="K528" i="2" s="1"/>
  <c r="E528" i="2"/>
  <c r="E527" i="2"/>
  <c r="E526" i="2"/>
  <c r="I525" i="2"/>
  <c r="G525" i="2"/>
  <c r="F525" i="2"/>
  <c r="E525" i="2"/>
  <c r="G524" i="2"/>
  <c r="F524" i="2"/>
  <c r="E524" i="2"/>
  <c r="E523" i="2"/>
  <c r="F522" i="2"/>
  <c r="K522" i="2" s="1"/>
  <c r="E522" i="2"/>
  <c r="G521" i="2"/>
  <c r="E521" i="2"/>
  <c r="K520" i="2"/>
  <c r="J520" i="2"/>
  <c r="H520" i="2" s="1"/>
  <c r="I520" i="2"/>
  <c r="G520" i="2"/>
  <c r="F520" i="2"/>
  <c r="E520" i="2"/>
  <c r="K519" i="2"/>
  <c r="J519" i="2"/>
  <c r="H519" i="2" s="1"/>
  <c r="I519" i="2"/>
  <c r="F519" i="2"/>
  <c r="E519" i="2"/>
  <c r="G519" i="2" s="1"/>
  <c r="G516" i="2"/>
  <c r="E516" i="2"/>
  <c r="K515" i="2"/>
  <c r="G515" i="2"/>
  <c r="F515" i="2"/>
  <c r="J515" i="2" s="1"/>
  <c r="H515" i="2" s="1"/>
  <c r="E515" i="2"/>
  <c r="G514" i="2"/>
  <c r="E514" i="2"/>
  <c r="G513" i="2"/>
  <c r="E513" i="2"/>
  <c r="E512" i="2"/>
  <c r="G511" i="2"/>
  <c r="E511" i="2"/>
  <c r="J510" i="2"/>
  <c r="H510" i="2" s="1"/>
  <c r="I510" i="2"/>
  <c r="G510" i="2"/>
  <c r="F510" i="2"/>
  <c r="K510" i="2" s="1"/>
  <c r="E510" i="2"/>
  <c r="E509" i="2"/>
  <c r="E508" i="2"/>
  <c r="I507" i="2"/>
  <c r="G507" i="2"/>
  <c r="F507" i="2"/>
  <c r="E507" i="2"/>
  <c r="G506" i="2"/>
  <c r="F506" i="2"/>
  <c r="E506" i="2"/>
  <c r="E505" i="2"/>
  <c r="F504" i="2"/>
  <c r="K504" i="2" s="1"/>
  <c r="E504" i="2"/>
  <c r="G503" i="2"/>
  <c r="E503" i="2"/>
  <c r="K502" i="2"/>
  <c r="J502" i="2"/>
  <c r="H502" i="2" s="1"/>
  <c r="I502" i="2"/>
  <c r="G502" i="2"/>
  <c r="F502" i="2"/>
  <c r="E502" i="2"/>
  <c r="K501" i="2"/>
  <c r="J501" i="2"/>
  <c r="H501" i="2" s="1"/>
  <c r="I501" i="2"/>
  <c r="F501" i="2"/>
  <c r="E501" i="2"/>
  <c r="G501" i="2" s="1"/>
  <c r="G500" i="2"/>
  <c r="E500" i="2"/>
  <c r="K499" i="2"/>
  <c r="G499" i="2"/>
  <c r="F499" i="2"/>
  <c r="J499" i="2" s="1"/>
  <c r="H499" i="2" s="1"/>
  <c r="E499" i="2"/>
  <c r="G498" i="2"/>
  <c r="E498" i="2"/>
  <c r="E497" i="2"/>
  <c r="E496" i="2"/>
  <c r="G495" i="2"/>
  <c r="E495" i="2"/>
  <c r="J492" i="2"/>
  <c r="H492" i="2" s="1"/>
  <c r="I492" i="2"/>
  <c r="G492" i="2"/>
  <c r="F492" i="2"/>
  <c r="K492" i="2" s="1"/>
  <c r="E492" i="2"/>
  <c r="E491" i="2"/>
  <c r="J490" i="2"/>
  <c r="H490" i="2" s="1"/>
  <c r="E490" i="2"/>
  <c r="F490" i="2" s="1"/>
  <c r="K489" i="2"/>
  <c r="J489" i="2"/>
  <c r="H489" i="2" s="1"/>
  <c r="I489" i="2"/>
  <c r="G489" i="2"/>
  <c r="F489" i="2"/>
  <c r="E489" i="2"/>
  <c r="K488" i="2"/>
  <c r="J488" i="2"/>
  <c r="H488" i="2" s="1"/>
  <c r="I488" i="2"/>
  <c r="G488" i="2"/>
  <c r="F488" i="2"/>
  <c r="E488" i="2"/>
  <c r="G487" i="2"/>
  <c r="E487" i="2"/>
  <c r="F486" i="2"/>
  <c r="E486" i="2"/>
  <c r="E485" i="2"/>
  <c r="K484" i="2"/>
  <c r="J484" i="2"/>
  <c r="H484" i="2" s="1"/>
  <c r="I484" i="2"/>
  <c r="G484" i="2"/>
  <c r="F484" i="2"/>
  <c r="E484" i="2"/>
  <c r="E483" i="2"/>
  <c r="G482" i="2"/>
  <c r="E482" i="2"/>
  <c r="J481" i="2"/>
  <c r="H481" i="2" s="1"/>
  <c r="G481" i="2"/>
  <c r="F481" i="2"/>
  <c r="E481" i="2"/>
  <c r="E480" i="2"/>
  <c r="J477" i="2"/>
  <c r="H477" i="2" s="1"/>
  <c r="I477" i="2"/>
  <c r="G477" i="2"/>
  <c r="F477" i="2"/>
  <c r="E477" i="2"/>
  <c r="G476" i="2"/>
  <c r="E476" i="2"/>
  <c r="G475" i="2"/>
  <c r="F475" i="2"/>
  <c r="E475" i="2"/>
  <c r="E474" i="2"/>
  <c r="K473" i="2"/>
  <c r="J473" i="2"/>
  <c r="H473" i="2" s="1"/>
  <c r="I473" i="2"/>
  <c r="F473" i="2"/>
  <c r="E473" i="2"/>
  <c r="G473" i="2" s="1"/>
  <c r="E472" i="2"/>
  <c r="G471" i="2"/>
  <c r="F471" i="2"/>
  <c r="E471" i="2"/>
  <c r="G470" i="2"/>
  <c r="F470" i="2"/>
  <c r="E470" i="2"/>
  <c r="K470" i="2" s="1"/>
  <c r="E469" i="2"/>
  <c r="K468" i="2"/>
  <c r="I468" i="2"/>
  <c r="G468" i="2"/>
  <c r="F468" i="2"/>
  <c r="E468" i="2"/>
  <c r="E467" i="2"/>
  <c r="E466" i="2"/>
  <c r="G466" i="2" s="1"/>
  <c r="E465" i="2"/>
  <c r="K464" i="2"/>
  <c r="J464" i="2"/>
  <c r="H464" i="2" s="1"/>
  <c r="I464" i="2"/>
  <c r="G464" i="2"/>
  <c r="E464" i="2"/>
  <c r="F464" i="2" s="1"/>
  <c r="G463" i="2"/>
  <c r="F463" i="2"/>
  <c r="E463" i="2"/>
  <c r="G461" i="2"/>
  <c r="E461" i="2"/>
  <c r="F459" i="2"/>
  <c r="E459" i="2"/>
  <c r="E458" i="2"/>
  <c r="K457" i="2"/>
  <c r="J457" i="2"/>
  <c r="H457" i="2" s="1"/>
  <c r="G457" i="2"/>
  <c r="F457" i="2"/>
  <c r="E457" i="2"/>
  <c r="E456" i="2"/>
  <c r="F455" i="2"/>
  <c r="E455" i="2"/>
  <c r="E454" i="2"/>
  <c r="G453" i="2"/>
  <c r="E453" i="2"/>
  <c r="F453" i="2" s="1"/>
  <c r="I453" i="2" s="1"/>
  <c r="K452" i="2"/>
  <c r="J452" i="2"/>
  <c r="H452" i="2" s="1"/>
  <c r="I452" i="2"/>
  <c r="G452" i="2"/>
  <c r="F452" i="2"/>
  <c r="E452" i="2"/>
  <c r="G451" i="2"/>
  <c r="F451" i="2"/>
  <c r="I451" i="2" s="1"/>
  <c r="E451" i="2"/>
  <c r="G450" i="2"/>
  <c r="E450" i="2"/>
  <c r="G449" i="2"/>
  <c r="F449" i="2"/>
  <c r="E449" i="2"/>
  <c r="G448" i="2"/>
  <c r="E448" i="2"/>
  <c r="E447" i="2"/>
  <c r="E446" i="2"/>
  <c r="K445" i="2"/>
  <c r="G445" i="2"/>
  <c r="E445" i="2"/>
  <c r="F445" i="2" s="1"/>
  <c r="I445" i="2" s="1"/>
  <c r="K444" i="2"/>
  <c r="J444" i="2"/>
  <c r="H444" i="2" s="1"/>
  <c r="I444" i="2"/>
  <c r="G444" i="2"/>
  <c r="F444" i="2"/>
  <c r="E444" i="2"/>
  <c r="J443" i="2"/>
  <c r="H443" i="2" s="1"/>
  <c r="I443" i="2"/>
  <c r="G443" i="2"/>
  <c r="F443" i="2"/>
  <c r="E443" i="2"/>
  <c r="K443" i="2" s="1"/>
  <c r="G442" i="2"/>
  <c r="E442" i="2"/>
  <c r="G441" i="2"/>
  <c r="F441" i="2"/>
  <c r="E441" i="2"/>
  <c r="K441" i="2" s="1"/>
  <c r="F440" i="2"/>
  <c r="E440" i="2"/>
  <c r="E439" i="2"/>
  <c r="E438" i="2"/>
  <c r="K437" i="2"/>
  <c r="G437" i="2"/>
  <c r="E437" i="2"/>
  <c r="F437" i="2" s="1"/>
  <c r="I437" i="2" s="1"/>
  <c r="K436" i="2"/>
  <c r="J436" i="2"/>
  <c r="H436" i="2" s="1"/>
  <c r="I436" i="2"/>
  <c r="G436" i="2"/>
  <c r="F436" i="2"/>
  <c r="E436" i="2"/>
  <c r="I435" i="2"/>
  <c r="G435" i="2"/>
  <c r="F435" i="2"/>
  <c r="J435" i="2" s="1"/>
  <c r="H435" i="2" s="1"/>
  <c r="E435" i="2"/>
  <c r="K435" i="2" s="1"/>
  <c r="F433" i="2"/>
  <c r="E433" i="2"/>
  <c r="G433" i="2" s="1"/>
  <c r="G431" i="2"/>
  <c r="F431" i="2"/>
  <c r="E431" i="2"/>
  <c r="G430" i="2"/>
  <c r="F430" i="2"/>
  <c r="E430" i="2"/>
  <c r="J429" i="2"/>
  <c r="H429" i="2" s="1"/>
  <c r="F429" i="2"/>
  <c r="K429" i="2" s="1"/>
  <c r="E429" i="2"/>
  <c r="E428" i="2"/>
  <c r="J427" i="2"/>
  <c r="H427" i="2" s="1"/>
  <c r="G427" i="2"/>
  <c r="E427" i="2"/>
  <c r="F427" i="2" s="1"/>
  <c r="K427" i="2" s="1"/>
  <c r="K426" i="2"/>
  <c r="J426" i="2"/>
  <c r="H426" i="2" s="1"/>
  <c r="I426" i="2"/>
  <c r="G426" i="2"/>
  <c r="F426" i="2"/>
  <c r="E426" i="2"/>
  <c r="I425" i="2"/>
  <c r="G425" i="2"/>
  <c r="F425" i="2"/>
  <c r="J425" i="2" s="1"/>
  <c r="H425" i="2" s="1"/>
  <c r="E425" i="2"/>
  <c r="K425" i="2" s="1"/>
  <c r="F424" i="2"/>
  <c r="E424" i="2"/>
  <c r="G424" i="2" s="1"/>
  <c r="G423" i="2"/>
  <c r="F423" i="2"/>
  <c r="E423" i="2"/>
  <c r="G422" i="2"/>
  <c r="F422" i="2"/>
  <c r="E422" i="2"/>
  <c r="J421" i="2"/>
  <c r="H421" i="2" s="1"/>
  <c r="F421" i="2"/>
  <c r="K421" i="2" s="1"/>
  <c r="E421" i="2"/>
  <c r="E420" i="2"/>
  <c r="J419" i="2"/>
  <c r="H419" i="2" s="1"/>
  <c r="G419" i="2"/>
  <c r="E419" i="2"/>
  <c r="F419" i="2" s="1"/>
  <c r="K419" i="2" s="1"/>
  <c r="K418" i="2"/>
  <c r="J418" i="2"/>
  <c r="H418" i="2" s="1"/>
  <c r="I418" i="2"/>
  <c r="G418" i="2"/>
  <c r="F418" i="2"/>
  <c r="E418" i="2"/>
  <c r="I417" i="2"/>
  <c r="G417" i="2"/>
  <c r="F417" i="2"/>
  <c r="J417" i="2" s="1"/>
  <c r="H417" i="2" s="1"/>
  <c r="E417" i="2"/>
  <c r="K417" i="2" s="1"/>
  <c r="F416" i="2"/>
  <c r="E416" i="2"/>
  <c r="G416" i="2" s="1"/>
  <c r="G415" i="2"/>
  <c r="F415" i="2"/>
  <c r="E415" i="2"/>
  <c r="G414" i="2"/>
  <c r="F414" i="2"/>
  <c r="E414" i="2"/>
  <c r="J413" i="2"/>
  <c r="H413" i="2" s="1"/>
  <c r="F413" i="2"/>
  <c r="K413" i="2" s="1"/>
  <c r="E413" i="2"/>
  <c r="E412" i="2"/>
  <c r="G410" i="2"/>
  <c r="E410" i="2"/>
  <c r="F410" i="2" s="1"/>
  <c r="K410" i="2" s="1"/>
  <c r="K408" i="2"/>
  <c r="J408" i="2"/>
  <c r="H408" i="2" s="1"/>
  <c r="I408" i="2"/>
  <c r="G408" i="2"/>
  <c r="F408" i="2"/>
  <c r="E408" i="2"/>
  <c r="J407" i="2"/>
  <c r="H407" i="2" s="1"/>
  <c r="I407" i="2"/>
  <c r="F407" i="2"/>
  <c r="E407" i="2"/>
  <c r="E406" i="2"/>
  <c r="K405" i="2"/>
  <c r="G405" i="2"/>
  <c r="F405" i="2"/>
  <c r="E405" i="2"/>
  <c r="G404" i="2"/>
  <c r="E404" i="2"/>
  <c r="E403" i="2"/>
  <c r="E402" i="2"/>
  <c r="J401" i="2"/>
  <c r="H401" i="2" s="1"/>
  <c r="I401" i="2"/>
  <c r="G401" i="2"/>
  <c r="E401" i="2"/>
  <c r="F401" i="2" s="1"/>
  <c r="K401" i="2" s="1"/>
  <c r="G400" i="2"/>
  <c r="F400" i="2"/>
  <c r="K400" i="2" s="1"/>
  <c r="E400" i="2"/>
  <c r="E399" i="2"/>
  <c r="G398" i="2"/>
  <c r="F398" i="2"/>
  <c r="I398" i="2" s="1"/>
  <c r="E398" i="2"/>
  <c r="G397" i="2"/>
  <c r="F397" i="2"/>
  <c r="E397" i="2"/>
  <c r="K397" i="2" s="1"/>
  <c r="E396" i="2"/>
  <c r="K395" i="2"/>
  <c r="F395" i="2"/>
  <c r="E395" i="2"/>
  <c r="E394" i="2"/>
  <c r="J391" i="2"/>
  <c r="H391" i="2" s="1"/>
  <c r="I391" i="2"/>
  <c r="G391" i="2"/>
  <c r="E391" i="2"/>
  <c r="F391" i="2" s="1"/>
  <c r="K391" i="2" s="1"/>
  <c r="K390" i="2"/>
  <c r="J390" i="2"/>
  <c r="H390" i="2" s="1"/>
  <c r="I390" i="2"/>
  <c r="G390" i="2"/>
  <c r="F390" i="2"/>
  <c r="E390" i="2"/>
  <c r="E389" i="2"/>
  <c r="G388" i="2"/>
  <c r="F388" i="2"/>
  <c r="E388" i="2"/>
  <c r="K387" i="2"/>
  <c r="G387" i="2"/>
  <c r="F387" i="2"/>
  <c r="E387" i="2"/>
  <c r="E386" i="2"/>
  <c r="F385" i="2"/>
  <c r="K385" i="2" s="1"/>
  <c r="E385" i="2"/>
  <c r="E384" i="2"/>
  <c r="G383" i="2"/>
  <c r="E383" i="2"/>
  <c r="F383" i="2" s="1"/>
  <c r="K383" i="2" s="1"/>
  <c r="K382" i="2"/>
  <c r="G382" i="2"/>
  <c r="F382" i="2"/>
  <c r="E382" i="2"/>
  <c r="I381" i="2"/>
  <c r="F381" i="2"/>
  <c r="E381" i="2"/>
  <c r="J381" i="2" s="1"/>
  <c r="H381" i="2" s="1"/>
  <c r="G380" i="2"/>
  <c r="F380" i="2"/>
  <c r="I380" i="2" s="1"/>
  <c r="E380" i="2"/>
  <c r="G377" i="2"/>
  <c r="F377" i="2"/>
  <c r="E377" i="2"/>
  <c r="E376" i="2"/>
  <c r="J375" i="2"/>
  <c r="H375" i="2" s="1"/>
  <c r="I375" i="2"/>
  <c r="F375" i="2"/>
  <c r="E375" i="2"/>
  <c r="G375" i="2" s="1"/>
  <c r="E374" i="2"/>
  <c r="J373" i="2"/>
  <c r="H373" i="2" s="1"/>
  <c r="I373" i="2"/>
  <c r="G373" i="2"/>
  <c r="E373" i="2"/>
  <c r="F373" i="2" s="1"/>
  <c r="K373" i="2" s="1"/>
  <c r="K372" i="2"/>
  <c r="J372" i="2"/>
  <c r="H372" i="2" s="1"/>
  <c r="I372" i="2"/>
  <c r="G372" i="2"/>
  <c r="F372" i="2"/>
  <c r="E372" i="2"/>
  <c r="E371" i="2"/>
  <c r="G370" i="2"/>
  <c r="F370" i="2"/>
  <c r="E370" i="2"/>
  <c r="K369" i="2"/>
  <c r="G369" i="2"/>
  <c r="F369" i="2"/>
  <c r="E369" i="2"/>
  <c r="K368" i="2"/>
  <c r="J368" i="2"/>
  <c r="H368" i="2" s="1"/>
  <c r="F368" i="2"/>
  <c r="E368" i="2"/>
  <c r="E367" i="2"/>
  <c r="E366" i="2"/>
  <c r="G365" i="2"/>
  <c r="E365" i="2"/>
  <c r="F365" i="2" s="1"/>
  <c r="K365" i="2" s="1"/>
  <c r="G364" i="2"/>
  <c r="F364" i="2"/>
  <c r="E364" i="2"/>
  <c r="J363" i="2"/>
  <c r="H363" i="2" s="1"/>
  <c r="I363" i="2"/>
  <c r="F363" i="2"/>
  <c r="E363" i="2"/>
  <c r="I362" i="2"/>
  <c r="G362" i="2"/>
  <c r="F362" i="2"/>
  <c r="E362" i="2"/>
  <c r="G361" i="2"/>
  <c r="E361" i="2"/>
  <c r="E360" i="2"/>
  <c r="E359" i="2"/>
  <c r="G359" i="2" s="1"/>
  <c r="E356" i="2"/>
  <c r="K355" i="2"/>
  <c r="J355" i="2"/>
  <c r="H355" i="2" s="1"/>
  <c r="I355" i="2"/>
  <c r="G355" i="2"/>
  <c r="E355" i="2"/>
  <c r="F355" i="2" s="1"/>
  <c r="K354" i="2"/>
  <c r="J354" i="2"/>
  <c r="H354" i="2" s="1"/>
  <c r="I354" i="2"/>
  <c r="G354" i="2"/>
  <c r="F354" i="2"/>
  <c r="E354" i="2"/>
  <c r="F353" i="2"/>
  <c r="E353" i="2"/>
  <c r="G352" i="2"/>
  <c r="E352" i="2"/>
  <c r="K351" i="2"/>
  <c r="G351" i="2"/>
  <c r="F351" i="2"/>
  <c r="E351" i="2"/>
  <c r="E350" i="2"/>
  <c r="F349" i="2"/>
  <c r="E349" i="2"/>
  <c r="K349" i="2" s="1"/>
  <c r="E348" i="2"/>
  <c r="I347" i="2"/>
  <c r="G347" i="2"/>
  <c r="E347" i="2"/>
  <c r="F347" i="2" s="1"/>
  <c r="K347" i="2" s="1"/>
  <c r="K346" i="2"/>
  <c r="G346" i="2"/>
  <c r="F346" i="2"/>
  <c r="E346" i="2"/>
  <c r="E345" i="2"/>
  <c r="G344" i="2"/>
  <c r="F344" i="2"/>
  <c r="I344" i="2" s="1"/>
  <c r="E344" i="2"/>
  <c r="F343" i="2"/>
  <c r="E343" i="2"/>
  <c r="E342" i="2"/>
  <c r="K341" i="2"/>
  <c r="J341" i="2"/>
  <c r="H341" i="2" s="1"/>
  <c r="F341" i="2"/>
  <c r="E341" i="2"/>
  <c r="G341" i="2" s="1"/>
  <c r="E340" i="2"/>
  <c r="K339" i="2"/>
  <c r="J339" i="2"/>
  <c r="H339" i="2" s="1"/>
  <c r="G339" i="2"/>
  <c r="E339" i="2"/>
  <c r="F339" i="2" s="1"/>
  <c r="I339" i="2" s="1"/>
  <c r="K338" i="2"/>
  <c r="J338" i="2"/>
  <c r="H338" i="2" s="1"/>
  <c r="I338" i="2"/>
  <c r="G338" i="2"/>
  <c r="F338" i="2"/>
  <c r="E338" i="2"/>
  <c r="G337" i="2"/>
  <c r="F337" i="2"/>
  <c r="E337" i="2"/>
  <c r="J337" i="2" s="1"/>
  <c r="H337" i="2" s="1"/>
  <c r="F336" i="2"/>
  <c r="E336" i="2"/>
  <c r="K335" i="2"/>
  <c r="G335" i="2"/>
  <c r="F335" i="2"/>
  <c r="E335" i="2"/>
  <c r="G332" i="2"/>
  <c r="F332" i="2"/>
  <c r="K332" i="2" s="1"/>
  <c r="E332" i="2"/>
  <c r="K331" i="2"/>
  <c r="F331" i="2"/>
  <c r="E331" i="2"/>
  <c r="E330" i="2"/>
  <c r="J329" i="2"/>
  <c r="H329" i="2" s="1"/>
  <c r="I329" i="2"/>
  <c r="G329" i="2"/>
  <c r="E329" i="2"/>
  <c r="F329" i="2" s="1"/>
  <c r="K329" i="2" s="1"/>
  <c r="G328" i="2"/>
  <c r="F328" i="2"/>
  <c r="I328" i="2" s="1"/>
  <c r="E328" i="2"/>
  <c r="F327" i="2"/>
  <c r="J327" i="2" s="1"/>
  <c r="H327" i="2" s="1"/>
  <c r="E327" i="2"/>
  <c r="G326" i="2"/>
  <c r="E326" i="2"/>
  <c r="E325" i="2"/>
  <c r="E324" i="2"/>
  <c r="E323" i="2"/>
  <c r="E322" i="2"/>
  <c r="K321" i="2"/>
  <c r="I321" i="2"/>
  <c r="G321" i="2"/>
  <c r="E321" i="2"/>
  <c r="F321" i="2" s="1"/>
  <c r="J321" i="2" s="1"/>
  <c r="H321" i="2" s="1"/>
  <c r="G320" i="2"/>
  <c r="F320" i="2"/>
  <c r="E320" i="2"/>
  <c r="E319" i="2"/>
  <c r="G318" i="2"/>
  <c r="E318" i="2"/>
  <c r="G317" i="2"/>
  <c r="F317" i="2"/>
  <c r="K317" i="2" s="1"/>
  <c r="E317" i="2"/>
  <c r="E316" i="2"/>
  <c r="F315" i="2"/>
  <c r="J315" i="2" s="1"/>
  <c r="H315" i="2" s="1"/>
  <c r="E315" i="2"/>
  <c r="E314" i="2"/>
  <c r="J313" i="2"/>
  <c r="H313" i="2" s="1"/>
  <c r="I313" i="2"/>
  <c r="G313" i="2"/>
  <c r="E313" i="2"/>
  <c r="F313" i="2" s="1"/>
  <c r="K313" i="2" s="1"/>
  <c r="G312" i="2"/>
  <c r="F312" i="2"/>
  <c r="E312" i="2"/>
  <c r="F311" i="2"/>
  <c r="J311" i="2" s="1"/>
  <c r="H311" i="2" s="1"/>
  <c r="E311" i="2"/>
  <c r="G308" i="2"/>
  <c r="E308" i="2"/>
  <c r="E307" i="2"/>
  <c r="E306" i="2"/>
  <c r="E305" i="2"/>
  <c r="E304" i="2"/>
  <c r="K303" i="2"/>
  <c r="I303" i="2"/>
  <c r="G303" i="2"/>
  <c r="E303" i="2"/>
  <c r="F303" i="2" s="1"/>
  <c r="J303" i="2" s="1"/>
  <c r="H303" i="2" s="1"/>
  <c r="G300" i="2"/>
  <c r="F300" i="2"/>
  <c r="E300" i="2"/>
  <c r="E299" i="2"/>
  <c r="G298" i="2"/>
  <c r="E298" i="2"/>
  <c r="G297" i="2"/>
  <c r="F297" i="2"/>
  <c r="K297" i="2" s="1"/>
  <c r="E297" i="2"/>
  <c r="E296" i="2"/>
  <c r="E295" i="2"/>
  <c r="E292" i="2"/>
  <c r="J291" i="2"/>
  <c r="H291" i="2" s="1"/>
  <c r="I291" i="2"/>
  <c r="G291" i="2"/>
  <c r="E291" i="2"/>
  <c r="F291" i="2" s="1"/>
  <c r="K291" i="2" s="1"/>
  <c r="J290" i="2"/>
  <c r="H290" i="2" s="1"/>
  <c r="G290" i="2"/>
  <c r="F290" i="2"/>
  <c r="E290" i="2"/>
  <c r="F289" i="2"/>
  <c r="E289" i="2"/>
  <c r="G288" i="2"/>
  <c r="E288" i="2"/>
  <c r="G287" i="2"/>
  <c r="E287" i="2"/>
  <c r="E286" i="2"/>
  <c r="F285" i="2"/>
  <c r="E285" i="2"/>
  <c r="E284" i="2"/>
  <c r="K283" i="2"/>
  <c r="I283" i="2"/>
  <c r="G283" i="2"/>
  <c r="E283" i="2"/>
  <c r="F283" i="2" s="1"/>
  <c r="J283" i="2" s="1"/>
  <c r="H283" i="2" s="1"/>
  <c r="G282" i="2"/>
  <c r="F282" i="2"/>
  <c r="E282" i="2"/>
  <c r="E281" i="2"/>
  <c r="I280" i="2"/>
  <c r="F280" i="2"/>
  <c r="E280" i="2"/>
  <c r="G279" i="2"/>
  <c r="F279" i="2"/>
  <c r="K279" i="2" s="1"/>
  <c r="E279" i="2"/>
  <c r="E278" i="2"/>
  <c r="E277" i="2"/>
  <c r="K276" i="2"/>
  <c r="G276" i="2"/>
  <c r="F276" i="2"/>
  <c r="I276" i="2" s="1"/>
  <c r="E276" i="2"/>
  <c r="E275" i="2"/>
  <c r="J274" i="2"/>
  <c r="H274" i="2" s="1"/>
  <c r="I274" i="2"/>
  <c r="F274" i="2"/>
  <c r="E274" i="2"/>
  <c r="G274" i="2" s="1"/>
  <c r="E273" i="2"/>
  <c r="G272" i="2"/>
  <c r="F272" i="2"/>
  <c r="K272" i="2" s="1"/>
  <c r="E272" i="2"/>
  <c r="G271" i="2"/>
  <c r="E271" i="2"/>
  <c r="E270" i="2"/>
  <c r="E269" i="2"/>
  <c r="K268" i="2"/>
  <c r="J268" i="2"/>
  <c r="H268" i="2" s="1"/>
  <c r="G268" i="2"/>
  <c r="F268" i="2"/>
  <c r="I268" i="2" s="1"/>
  <c r="E268" i="2"/>
  <c r="G267" i="2"/>
  <c r="E267" i="2"/>
  <c r="F267" i="2" s="1"/>
  <c r="J266" i="2"/>
  <c r="H266" i="2" s="1"/>
  <c r="F266" i="2"/>
  <c r="I266" i="2" s="1"/>
  <c r="E266" i="2"/>
  <c r="G266" i="2" s="1"/>
  <c r="G265" i="2"/>
  <c r="E265" i="2"/>
  <c r="J264" i="2"/>
  <c r="H264" i="2" s="1"/>
  <c r="G264" i="2"/>
  <c r="F264" i="2"/>
  <c r="K264" i="2" s="1"/>
  <c r="E264" i="2"/>
  <c r="I264" i="2" s="1"/>
  <c r="F263" i="2"/>
  <c r="E263" i="2"/>
  <c r="G263" i="2" s="1"/>
  <c r="F262" i="2"/>
  <c r="E262" i="2"/>
  <c r="G261" i="2"/>
  <c r="E261" i="2"/>
  <c r="G260" i="2"/>
  <c r="F260" i="2"/>
  <c r="I260" i="2" s="1"/>
  <c r="E260" i="2"/>
  <c r="K259" i="2"/>
  <c r="E259" i="2"/>
  <c r="F259" i="2" s="1"/>
  <c r="F256" i="2"/>
  <c r="E256" i="2"/>
  <c r="G256" i="2" s="1"/>
  <c r="E255" i="2"/>
  <c r="G254" i="2"/>
  <c r="F254" i="2"/>
  <c r="K254" i="2" s="1"/>
  <c r="E254" i="2"/>
  <c r="E253" i="2"/>
  <c r="E252" i="2"/>
  <c r="E251" i="2"/>
  <c r="G250" i="2"/>
  <c r="F250" i="2"/>
  <c r="I250" i="2" s="1"/>
  <c r="E250" i="2"/>
  <c r="J249" i="2"/>
  <c r="H249" i="2" s="1"/>
  <c r="G249" i="2"/>
  <c r="E249" i="2"/>
  <c r="F249" i="2" s="1"/>
  <c r="J248" i="2"/>
  <c r="H248" i="2" s="1"/>
  <c r="I248" i="2"/>
  <c r="F248" i="2"/>
  <c r="E248" i="2"/>
  <c r="G248" i="2" s="1"/>
  <c r="G247" i="2"/>
  <c r="E247" i="2"/>
  <c r="K246" i="2"/>
  <c r="G246" i="2"/>
  <c r="F246" i="2"/>
  <c r="J246" i="2" s="1"/>
  <c r="H246" i="2" s="1"/>
  <c r="E246" i="2"/>
  <c r="F245" i="2"/>
  <c r="E245" i="2"/>
  <c r="G245" i="2" s="1"/>
  <c r="E244" i="2"/>
  <c r="G241" i="2"/>
  <c r="E241" i="2"/>
  <c r="G240" i="2"/>
  <c r="F240" i="2"/>
  <c r="E240" i="2"/>
  <c r="G239" i="2"/>
  <c r="F239" i="2"/>
  <c r="K239" i="2" s="1"/>
  <c r="E239" i="2"/>
  <c r="E238" i="2"/>
  <c r="G237" i="2"/>
  <c r="E237" i="2"/>
  <c r="G234" i="2"/>
  <c r="F234" i="2"/>
  <c r="K234" i="2" s="1"/>
  <c r="E234" i="2"/>
  <c r="K233" i="2"/>
  <c r="F233" i="2"/>
  <c r="E233" i="2"/>
  <c r="J233" i="2" s="1"/>
  <c r="H233" i="2" s="1"/>
  <c r="E232" i="2"/>
  <c r="G231" i="2"/>
  <c r="E231" i="2"/>
  <c r="K230" i="2"/>
  <c r="G230" i="2"/>
  <c r="F230" i="2"/>
  <c r="I230" i="2" s="1"/>
  <c r="E230" i="2"/>
  <c r="K229" i="2"/>
  <c r="I229" i="2"/>
  <c r="F229" i="2"/>
  <c r="E229" i="2"/>
  <c r="G229" i="2" s="1"/>
  <c r="E228" i="2"/>
  <c r="G227" i="2"/>
  <c r="E227" i="2"/>
  <c r="K226" i="2"/>
  <c r="G226" i="2"/>
  <c r="F226" i="2"/>
  <c r="J226" i="2" s="1"/>
  <c r="H226" i="2" s="1"/>
  <c r="E226" i="2"/>
  <c r="F225" i="2"/>
  <c r="E225" i="2"/>
  <c r="G225" i="2" s="1"/>
  <c r="E224" i="2"/>
  <c r="G223" i="2"/>
  <c r="E223" i="2"/>
  <c r="G222" i="2"/>
  <c r="F222" i="2"/>
  <c r="E222" i="2"/>
  <c r="G221" i="2"/>
  <c r="F221" i="2"/>
  <c r="K221" i="2" s="1"/>
  <c r="E221" i="2"/>
  <c r="E220" i="2"/>
  <c r="G219" i="2"/>
  <c r="E219" i="2"/>
  <c r="G216" i="2"/>
  <c r="F216" i="2"/>
  <c r="K216" i="2" s="1"/>
  <c r="E216" i="2"/>
  <c r="K215" i="2"/>
  <c r="F215" i="2"/>
  <c r="E215" i="2"/>
  <c r="J215" i="2" s="1"/>
  <c r="H215" i="2" s="1"/>
  <c r="E214" i="2"/>
  <c r="G213" i="2"/>
  <c r="E213" i="2"/>
  <c r="K212" i="2"/>
  <c r="G212" i="2"/>
  <c r="F212" i="2"/>
  <c r="I212" i="2" s="1"/>
  <c r="E212" i="2"/>
  <c r="K211" i="2"/>
  <c r="I211" i="2"/>
  <c r="F211" i="2"/>
  <c r="E211" i="2"/>
  <c r="G211" i="2" s="1"/>
  <c r="E210" i="2"/>
  <c r="G209" i="2"/>
  <c r="E209" i="2"/>
  <c r="K208" i="2"/>
  <c r="G208" i="2"/>
  <c r="F208" i="2"/>
  <c r="J208" i="2" s="1"/>
  <c r="H208" i="2" s="1"/>
  <c r="E208" i="2"/>
  <c r="F207" i="2"/>
  <c r="E207" i="2"/>
  <c r="G207" i="2" s="1"/>
  <c r="E206" i="2"/>
  <c r="G205" i="2"/>
  <c r="E205" i="2"/>
  <c r="G204" i="2"/>
  <c r="F204" i="2"/>
  <c r="E204" i="2"/>
  <c r="G203" i="2"/>
  <c r="F203" i="2"/>
  <c r="K203" i="2" s="1"/>
  <c r="E203" i="2"/>
  <c r="E202" i="2"/>
  <c r="G199" i="2"/>
  <c r="E199" i="2"/>
  <c r="G198" i="2"/>
  <c r="F198" i="2"/>
  <c r="K198" i="2" s="1"/>
  <c r="E198" i="2"/>
  <c r="K197" i="2"/>
  <c r="F197" i="2"/>
  <c r="E197" i="2"/>
  <c r="J197" i="2" s="1"/>
  <c r="H197" i="2" s="1"/>
  <c r="E196" i="2"/>
  <c r="G195" i="2"/>
  <c r="E195" i="2"/>
  <c r="K194" i="2"/>
  <c r="G194" i="2"/>
  <c r="F194" i="2"/>
  <c r="I194" i="2" s="1"/>
  <c r="E194" i="2"/>
  <c r="E193" i="2"/>
  <c r="G193" i="2" s="1"/>
  <c r="G192" i="2"/>
  <c r="E192" i="2"/>
  <c r="E191" i="2"/>
  <c r="E190" i="2"/>
  <c r="E189" i="2"/>
  <c r="E188" i="2"/>
  <c r="G188" i="2" s="1"/>
  <c r="E187" i="2"/>
  <c r="G184" i="2"/>
  <c r="F184" i="2"/>
  <c r="K184" i="2" s="1"/>
  <c r="E184" i="2"/>
  <c r="E183" i="2"/>
  <c r="E182" i="2"/>
  <c r="G181" i="2"/>
  <c r="E181" i="2"/>
  <c r="E180" i="2"/>
  <c r="E179" i="2"/>
  <c r="E178" i="2"/>
  <c r="G178" i="2" s="1"/>
  <c r="K177" i="2"/>
  <c r="J177" i="2"/>
  <c r="H177" i="2" s="1"/>
  <c r="E177" i="2"/>
  <c r="F177" i="2" s="1"/>
  <c r="G176" i="2"/>
  <c r="F176" i="2"/>
  <c r="E176" i="2"/>
  <c r="E175" i="2"/>
  <c r="E174" i="2"/>
  <c r="E173" i="2"/>
  <c r="G172" i="2"/>
  <c r="E172" i="2"/>
  <c r="E171" i="2"/>
  <c r="E170" i="2"/>
  <c r="G170" i="2" s="1"/>
  <c r="J169" i="2"/>
  <c r="H169" i="2" s="1"/>
  <c r="E169" i="2"/>
  <c r="F169" i="2" s="1"/>
  <c r="K168" i="2"/>
  <c r="J168" i="2"/>
  <c r="H168" i="2" s="1"/>
  <c r="G168" i="2"/>
  <c r="F168" i="2"/>
  <c r="I168" i="2" s="1"/>
  <c r="E168" i="2"/>
  <c r="G167" i="2"/>
  <c r="E167" i="2"/>
  <c r="F167" i="2" s="1"/>
  <c r="E166" i="2"/>
  <c r="E165" i="2"/>
  <c r="E164" i="2"/>
  <c r="G163" i="2"/>
  <c r="E163" i="2"/>
  <c r="F163" i="2" s="1"/>
  <c r="E162" i="2"/>
  <c r="E161" i="2"/>
  <c r="F161" i="2" s="1"/>
  <c r="J160" i="2"/>
  <c r="H160" i="2" s="1"/>
  <c r="G160" i="2"/>
  <c r="F160" i="2"/>
  <c r="I160" i="2" s="1"/>
  <c r="E160" i="2"/>
  <c r="E159" i="2"/>
  <c r="G159" i="2" s="1"/>
  <c r="G158" i="2"/>
  <c r="E158" i="2"/>
  <c r="E157" i="2"/>
  <c r="E156" i="2"/>
  <c r="E155" i="2"/>
  <c r="E154" i="2"/>
  <c r="G154" i="2" s="1"/>
  <c r="E153" i="2"/>
  <c r="G152" i="2"/>
  <c r="F152" i="2"/>
  <c r="K152" i="2" s="1"/>
  <c r="E152" i="2"/>
  <c r="E151" i="2"/>
  <c r="E150" i="2"/>
  <c r="G149" i="2"/>
  <c r="E149" i="2"/>
  <c r="E146" i="2"/>
  <c r="E145" i="2"/>
  <c r="E144" i="2"/>
  <c r="G144" i="2" s="1"/>
  <c r="J143" i="2"/>
  <c r="H143" i="2" s="1"/>
  <c r="E143" i="2"/>
  <c r="F143" i="2" s="1"/>
  <c r="K143" i="2" s="1"/>
  <c r="G142" i="2"/>
  <c r="F142" i="2"/>
  <c r="E142" i="2"/>
  <c r="E141" i="2"/>
  <c r="E140" i="2"/>
  <c r="E139" i="2"/>
  <c r="G138" i="2"/>
  <c r="E138" i="2"/>
  <c r="E137" i="2"/>
  <c r="E136" i="2"/>
  <c r="G136" i="2" s="1"/>
  <c r="J135" i="2"/>
  <c r="H135" i="2" s="1"/>
  <c r="E135" i="2"/>
  <c r="F135" i="2" s="1"/>
  <c r="J134" i="2"/>
  <c r="H134" i="2" s="1"/>
  <c r="G134" i="2"/>
  <c r="F134" i="2"/>
  <c r="K134" i="2" s="1"/>
  <c r="E134" i="2"/>
  <c r="G133" i="2"/>
  <c r="E133" i="2"/>
  <c r="F133" i="2" s="1"/>
  <c r="K133" i="2" s="1"/>
  <c r="E132" i="2"/>
  <c r="E131" i="2"/>
  <c r="E130" i="2"/>
  <c r="G129" i="2"/>
  <c r="E129" i="2"/>
  <c r="F129" i="2" s="1"/>
  <c r="J129" i="2" s="1"/>
  <c r="H129" i="2" s="1"/>
  <c r="E128" i="2"/>
  <c r="G127" i="2"/>
  <c r="F127" i="2"/>
  <c r="E127" i="2"/>
  <c r="E126" i="2"/>
  <c r="J125" i="2"/>
  <c r="H125" i="2" s="1"/>
  <c r="F125" i="2"/>
  <c r="E125" i="2"/>
  <c r="I125" i="2" s="1"/>
  <c r="E124" i="2"/>
  <c r="G124" i="2" s="1"/>
  <c r="J123" i="2"/>
  <c r="H123" i="2" s="1"/>
  <c r="F123" i="2"/>
  <c r="K123" i="2" s="1"/>
  <c r="E123" i="2"/>
  <c r="G123" i="2" s="1"/>
  <c r="G122" i="2"/>
  <c r="E122" i="2"/>
  <c r="F122" i="2" s="1"/>
  <c r="K122" i="2" s="1"/>
  <c r="F121" i="2"/>
  <c r="E121" i="2"/>
  <c r="G121" i="2" s="1"/>
  <c r="G120" i="2"/>
  <c r="E120" i="2"/>
  <c r="G119" i="2"/>
  <c r="F119" i="2"/>
  <c r="E119" i="2"/>
  <c r="K119" i="2" s="1"/>
  <c r="E118" i="2"/>
  <c r="J117" i="2"/>
  <c r="H117" i="2" s="1"/>
  <c r="F117" i="2"/>
  <c r="E117" i="2"/>
  <c r="I117" i="2" s="1"/>
  <c r="E116" i="2"/>
  <c r="G116" i="2" s="1"/>
  <c r="J113" i="2"/>
  <c r="H113" i="2" s="1"/>
  <c r="F113" i="2"/>
  <c r="K113" i="2" s="1"/>
  <c r="E113" i="2"/>
  <c r="G113" i="2" s="1"/>
  <c r="G112" i="2"/>
  <c r="E112" i="2"/>
  <c r="F112" i="2" s="1"/>
  <c r="K112" i="2" s="1"/>
  <c r="F111" i="2"/>
  <c r="E111" i="2"/>
  <c r="G111" i="2" s="1"/>
  <c r="E110" i="2"/>
  <c r="G109" i="2"/>
  <c r="F109" i="2"/>
  <c r="E109" i="2"/>
  <c r="E108" i="2"/>
  <c r="J107" i="2"/>
  <c r="H107" i="2" s="1"/>
  <c r="F107" i="2"/>
  <c r="E107" i="2"/>
  <c r="I107" i="2" s="1"/>
  <c r="E106" i="2"/>
  <c r="G106" i="2" s="1"/>
  <c r="K105" i="2"/>
  <c r="J105" i="2"/>
  <c r="H105" i="2" s="1"/>
  <c r="F105" i="2"/>
  <c r="E105" i="2"/>
  <c r="G105" i="2" s="1"/>
  <c r="G104" i="2"/>
  <c r="E104" i="2"/>
  <c r="F104" i="2" s="1"/>
  <c r="F103" i="2"/>
  <c r="E103" i="2"/>
  <c r="G103" i="2" s="1"/>
  <c r="G102" i="2"/>
  <c r="E102" i="2"/>
  <c r="G101" i="2"/>
  <c r="F101" i="2"/>
  <c r="E101" i="2"/>
  <c r="E100" i="2"/>
  <c r="F99" i="2"/>
  <c r="J99" i="2" s="1"/>
  <c r="H99" i="2" s="1"/>
  <c r="E99" i="2"/>
  <c r="E98" i="2"/>
  <c r="K97" i="2"/>
  <c r="J97" i="2"/>
  <c r="H97" i="2" s="1"/>
  <c r="F97" i="2"/>
  <c r="E97" i="2"/>
  <c r="G97" i="2" s="1"/>
  <c r="K96" i="2"/>
  <c r="G96" i="2"/>
  <c r="E96" i="2"/>
  <c r="F96" i="2" s="1"/>
  <c r="J96" i="2" s="1"/>
  <c r="H96" i="2" s="1"/>
  <c r="J95" i="2"/>
  <c r="H95" i="2" s="1"/>
  <c r="F95" i="2"/>
  <c r="E95" i="2"/>
  <c r="G95" i="2" s="1"/>
  <c r="G94" i="2"/>
  <c r="E94" i="2"/>
  <c r="G93" i="2"/>
  <c r="F93" i="2"/>
  <c r="E93" i="2"/>
  <c r="K93" i="2" s="1"/>
  <c r="G92" i="2"/>
  <c r="E92" i="2"/>
  <c r="F91" i="2"/>
  <c r="J91" i="2" s="1"/>
  <c r="H91" i="2" s="1"/>
  <c r="E91" i="2"/>
  <c r="I91" i="2" s="1"/>
  <c r="E90" i="2"/>
  <c r="K89" i="2"/>
  <c r="J89" i="2"/>
  <c r="H89" i="2" s="1"/>
  <c r="F89" i="2"/>
  <c r="E89" i="2"/>
  <c r="G89" i="2" s="1"/>
  <c r="G88" i="2"/>
  <c r="E88" i="2"/>
  <c r="F88" i="2" s="1"/>
  <c r="J88" i="2" s="1"/>
  <c r="H88" i="2" s="1"/>
  <c r="F87" i="2"/>
  <c r="E87" i="2"/>
  <c r="G87" i="2" s="1"/>
  <c r="G86" i="2"/>
  <c r="E86" i="2"/>
  <c r="G85" i="2"/>
  <c r="F85" i="2"/>
  <c r="E85" i="2"/>
  <c r="K85" i="2" s="1"/>
  <c r="K84" i="2"/>
  <c r="F84" i="2"/>
  <c r="E84" i="2"/>
  <c r="J81" i="2"/>
  <c r="H81" i="2" s="1"/>
  <c r="F81" i="2"/>
  <c r="E81" i="2"/>
  <c r="E80" i="2"/>
  <c r="K79" i="2"/>
  <c r="J79" i="2"/>
  <c r="H79" i="2" s="1"/>
  <c r="F79" i="2"/>
  <c r="E79" i="2"/>
  <c r="G79" i="2" s="1"/>
  <c r="K78" i="2"/>
  <c r="J78" i="2"/>
  <c r="H78" i="2" s="1"/>
  <c r="G78" i="2"/>
  <c r="E78" i="2"/>
  <c r="F78" i="2" s="1"/>
  <c r="I78" i="2" s="1"/>
  <c r="J77" i="2"/>
  <c r="H77" i="2" s="1"/>
  <c r="F77" i="2"/>
  <c r="K77" i="2" s="1"/>
  <c r="E77" i="2"/>
  <c r="G77" i="2" s="1"/>
  <c r="E76" i="2"/>
  <c r="G75" i="2"/>
  <c r="F75" i="2"/>
  <c r="E75" i="2"/>
  <c r="K75" i="2" s="1"/>
  <c r="E74" i="2"/>
  <c r="F74" i="2" s="1"/>
  <c r="E73" i="2"/>
  <c r="E72" i="2"/>
  <c r="K71" i="2"/>
  <c r="J71" i="2"/>
  <c r="H71" i="2" s="1"/>
  <c r="F71" i="2"/>
  <c r="E71" i="2"/>
  <c r="G71" i="2" s="1"/>
  <c r="K70" i="2"/>
  <c r="G70" i="2"/>
  <c r="E70" i="2"/>
  <c r="F70" i="2" s="1"/>
  <c r="J70" i="2" s="1"/>
  <c r="H70" i="2" s="1"/>
  <c r="F69" i="2"/>
  <c r="K69" i="2" s="1"/>
  <c r="E69" i="2"/>
  <c r="G69" i="2" s="1"/>
  <c r="G68" i="2"/>
  <c r="E68" i="2"/>
  <c r="G67" i="2"/>
  <c r="F67" i="2"/>
  <c r="J67" i="2" s="1"/>
  <c r="H67" i="2" s="1"/>
  <c r="E67" i="2"/>
  <c r="E66" i="2"/>
  <c r="E65" i="2"/>
  <c r="F65" i="2" s="1"/>
  <c r="E62" i="2"/>
  <c r="F61" i="2"/>
  <c r="K61" i="2" s="1"/>
  <c r="E61" i="2"/>
  <c r="G61" i="2" s="1"/>
  <c r="I60" i="2"/>
  <c r="E60" i="2"/>
  <c r="F60" i="2" s="1"/>
  <c r="J59" i="2"/>
  <c r="H59" i="2" s="1"/>
  <c r="I59" i="2"/>
  <c r="F59" i="2"/>
  <c r="K59" i="2" s="1"/>
  <c r="E59" i="2"/>
  <c r="G59" i="2" s="1"/>
  <c r="E58" i="2"/>
  <c r="G58" i="2" s="1"/>
  <c r="G57" i="2"/>
  <c r="F57" i="2"/>
  <c r="E57" i="2"/>
  <c r="K56" i="2"/>
  <c r="I56" i="2"/>
  <c r="G56" i="2"/>
  <c r="F56" i="2"/>
  <c r="E56" i="2"/>
  <c r="E55" i="2"/>
  <c r="G54" i="2"/>
  <c r="E54" i="2"/>
  <c r="J53" i="2"/>
  <c r="H53" i="2" s="1"/>
  <c r="F53" i="2"/>
  <c r="K53" i="2" s="1"/>
  <c r="E53" i="2"/>
  <c r="G53" i="2" s="1"/>
  <c r="E52" i="2"/>
  <c r="F52" i="2" s="1"/>
  <c r="F51" i="2"/>
  <c r="K51" i="2" s="1"/>
  <c r="E51" i="2"/>
  <c r="G51" i="2" s="1"/>
  <c r="E50" i="2"/>
  <c r="J49" i="2"/>
  <c r="H49" i="2" s="1"/>
  <c r="G49" i="2"/>
  <c r="F49" i="2"/>
  <c r="I49" i="2" s="1"/>
  <c r="E49" i="2"/>
  <c r="K49" i="2" s="1"/>
  <c r="E48" i="2"/>
  <c r="E47" i="2"/>
  <c r="E46" i="2"/>
  <c r="G46" i="2" s="1"/>
  <c r="F43" i="2"/>
  <c r="K43" i="2" s="1"/>
  <c r="E43" i="2"/>
  <c r="G43" i="2" s="1"/>
  <c r="K42" i="2"/>
  <c r="J42" i="2"/>
  <c r="H42" i="2" s="1"/>
  <c r="I42" i="2"/>
  <c r="G42" i="2"/>
  <c r="E42" i="2"/>
  <c r="F42" i="2" s="1"/>
  <c r="I41" i="2"/>
  <c r="F41" i="2"/>
  <c r="K41" i="2" s="1"/>
  <c r="E41" i="2"/>
  <c r="G41" i="2" s="1"/>
  <c r="E40" i="2"/>
  <c r="G39" i="2"/>
  <c r="F39" i="2"/>
  <c r="I39" i="2" s="1"/>
  <c r="E39" i="2"/>
  <c r="G38" i="2"/>
  <c r="E38" i="2"/>
  <c r="J37" i="2"/>
  <c r="H37" i="2" s="1"/>
  <c r="F37" i="2"/>
  <c r="E37" i="2"/>
  <c r="E34" i="2"/>
  <c r="K33" i="2"/>
  <c r="J33" i="2"/>
  <c r="H33" i="2" s="1"/>
  <c r="F33" i="2"/>
  <c r="E33" i="2"/>
  <c r="G33" i="2" s="1"/>
  <c r="K32" i="2"/>
  <c r="E32" i="2"/>
  <c r="F32" i="2" s="1"/>
  <c r="F31" i="2"/>
  <c r="K31" i="2" s="1"/>
  <c r="E31" i="2"/>
  <c r="G31" i="2" s="1"/>
  <c r="G30" i="2"/>
  <c r="E30" i="2"/>
  <c r="G29" i="2"/>
  <c r="F29" i="2"/>
  <c r="I29" i="2" s="1"/>
  <c r="E29" i="2"/>
  <c r="E28" i="2"/>
  <c r="E27" i="2"/>
  <c r="E26" i="2"/>
  <c r="F25" i="2"/>
  <c r="K25" i="2" s="1"/>
  <c r="E25" i="2"/>
  <c r="G25" i="2" s="1"/>
  <c r="I24" i="2"/>
  <c r="E24" i="2"/>
  <c r="F24" i="2" s="1"/>
  <c r="J23" i="2"/>
  <c r="H23" i="2" s="1"/>
  <c r="I23" i="2"/>
  <c r="F23" i="2"/>
  <c r="K23" i="2" s="1"/>
  <c r="E23" i="2"/>
  <c r="G23" i="2" s="1"/>
  <c r="E22" i="2"/>
  <c r="G22" i="2" s="1"/>
  <c r="G21" i="2"/>
  <c r="F21" i="2"/>
  <c r="I21" i="2" s="1"/>
  <c r="E21" i="2"/>
  <c r="K20" i="2"/>
  <c r="I20" i="2"/>
  <c r="G20" i="2"/>
  <c r="F20" i="2"/>
  <c r="E20" i="2"/>
  <c r="E17" i="2"/>
  <c r="G16" i="2"/>
  <c r="E16" i="2"/>
  <c r="J15" i="2"/>
  <c r="H15" i="2" s="1"/>
  <c r="F15" i="2"/>
  <c r="K15" i="2" s="1"/>
  <c r="E15" i="2"/>
  <c r="G15" i="2" s="1"/>
  <c r="E14" i="2"/>
  <c r="F14" i="2" s="1"/>
  <c r="F13" i="2"/>
  <c r="K13" i="2" s="1"/>
  <c r="E13" i="2"/>
  <c r="G13" i="2" s="1"/>
  <c r="E12" i="2"/>
  <c r="J9" i="2"/>
  <c r="H9" i="2" s="1"/>
  <c r="G9" i="2"/>
  <c r="F9" i="2"/>
  <c r="I9" i="2" s="1"/>
  <c r="E9" i="2"/>
  <c r="K9" i="2" s="1"/>
  <c r="E8" i="2"/>
  <c r="G8" i="2" s="1"/>
  <c r="E7" i="2"/>
  <c r="G6" i="2"/>
  <c r="F6" i="2"/>
  <c r="I6" i="2" s="1"/>
  <c r="E6" i="2"/>
  <c r="E5" i="2"/>
  <c r="J4" i="2"/>
  <c r="H4" i="2" s="1"/>
  <c r="E4" i="2"/>
  <c r="F4" i="2" s="1"/>
  <c r="K3" i="2"/>
  <c r="F3" i="2"/>
  <c r="J3" i="2" s="1"/>
  <c r="H3" i="2" s="1"/>
  <c r="E3" i="2"/>
  <c r="G3" i="2" s="1"/>
  <c r="G103" i="1"/>
  <c r="J5" i="2" l="1"/>
  <c r="H5" i="2" s="1"/>
  <c r="G47" i="2"/>
  <c r="K57" i="2"/>
  <c r="I57" i="2"/>
  <c r="F62" i="2"/>
  <c r="J62" i="2"/>
  <c r="H62" i="2" s="1"/>
  <c r="K110" i="2"/>
  <c r="I110" i="2"/>
  <c r="F110" i="2"/>
  <c r="J110" i="2" s="1"/>
  <c r="H110" i="2" s="1"/>
  <c r="K191" i="2"/>
  <c r="I191" i="2"/>
  <c r="G191" i="2"/>
  <c r="F191" i="2"/>
  <c r="J191" i="2" s="1"/>
  <c r="H191" i="2" s="1"/>
  <c r="G141" i="2"/>
  <c r="F141" i="2"/>
  <c r="K141" i="2" s="1"/>
  <c r="K241" i="2"/>
  <c r="F251" i="2"/>
  <c r="J251" i="2" s="1"/>
  <c r="H251" i="2" s="1"/>
  <c r="G251" i="2"/>
  <c r="G340" i="2"/>
  <c r="F340" i="2"/>
  <c r="J340" i="2" s="1"/>
  <c r="H340" i="2" s="1"/>
  <c r="K340" i="2"/>
  <c r="F26" i="2"/>
  <c r="J26" i="2"/>
  <c r="H26" i="2" s="1"/>
  <c r="F40" i="2"/>
  <c r="K40" i="2" s="1"/>
  <c r="J66" i="2"/>
  <c r="H66" i="2" s="1"/>
  <c r="I100" i="2"/>
  <c r="F100" i="2"/>
  <c r="J100" i="2" s="1"/>
  <c r="H100" i="2" s="1"/>
  <c r="I180" i="2"/>
  <c r="K180" i="2"/>
  <c r="J180" i="2"/>
  <c r="H180" i="2" s="1"/>
  <c r="G180" i="2"/>
  <c r="F180" i="2"/>
  <c r="G295" i="2"/>
  <c r="F295" i="2"/>
  <c r="I295" i="2" s="1"/>
  <c r="J24" i="2"/>
  <c r="H24" i="2" s="1"/>
  <c r="G26" i="2"/>
  <c r="J29" i="2"/>
  <c r="H29" i="2" s="1"/>
  <c r="G40" i="2"/>
  <c r="G52" i="2"/>
  <c r="J60" i="2"/>
  <c r="H60" i="2" s="1"/>
  <c r="G62" i="2"/>
  <c r="F66" i="2"/>
  <c r="I66" i="2" s="1"/>
  <c r="I73" i="2"/>
  <c r="G73" i="2"/>
  <c r="J75" i="2"/>
  <c r="H75" i="2" s="1"/>
  <c r="I75" i="2"/>
  <c r="K87" i="2"/>
  <c r="I87" i="2"/>
  <c r="G100" i="2"/>
  <c r="G110" i="2"/>
  <c r="I126" i="2"/>
  <c r="G126" i="2"/>
  <c r="F126" i="2"/>
  <c r="J126" i="2" s="1"/>
  <c r="H126" i="2" s="1"/>
  <c r="G4" i="2"/>
  <c r="K12" i="2"/>
  <c r="I14" i="2"/>
  <c r="F16" i="2"/>
  <c r="J16" i="2"/>
  <c r="H16" i="2" s="1"/>
  <c r="J20" i="2"/>
  <c r="H20" i="2" s="1"/>
  <c r="K24" i="2"/>
  <c r="I26" i="2"/>
  <c r="G28" i="2"/>
  <c r="F30" i="2"/>
  <c r="I31" i="2"/>
  <c r="I37" i="2"/>
  <c r="G37" i="2"/>
  <c r="K37" i="2"/>
  <c r="K38" i="2"/>
  <c r="J43" i="2"/>
  <c r="H43" i="2" s="1"/>
  <c r="K50" i="2"/>
  <c r="I52" i="2"/>
  <c r="F54" i="2"/>
  <c r="J54" i="2"/>
  <c r="H54" i="2" s="1"/>
  <c r="J56" i="2"/>
  <c r="H56" i="2" s="1"/>
  <c r="K60" i="2"/>
  <c r="I62" i="2"/>
  <c r="G66" i="2"/>
  <c r="F68" i="2"/>
  <c r="I69" i="2"/>
  <c r="F73" i="2"/>
  <c r="K73" i="2" s="1"/>
  <c r="I81" i="2"/>
  <c r="G81" i="2"/>
  <c r="K81" i="2"/>
  <c r="J85" i="2"/>
  <c r="H85" i="2" s="1"/>
  <c r="I85" i="2"/>
  <c r="K94" i="2"/>
  <c r="F94" i="2"/>
  <c r="I94" i="2" s="1"/>
  <c r="G98" i="2"/>
  <c r="F98" i="2"/>
  <c r="J98" i="2"/>
  <c r="H98" i="2" s="1"/>
  <c r="J118" i="2"/>
  <c r="H118" i="2" s="1"/>
  <c r="I118" i="2"/>
  <c r="G118" i="2"/>
  <c r="F118" i="2"/>
  <c r="K118" i="2" s="1"/>
  <c r="K121" i="2"/>
  <c r="J121" i="2"/>
  <c r="H121" i="2" s="1"/>
  <c r="I121" i="2"/>
  <c r="I133" i="2"/>
  <c r="K145" i="2"/>
  <c r="F187" i="2"/>
  <c r="K187" i="2" s="1"/>
  <c r="I187" i="2"/>
  <c r="G187" i="2"/>
  <c r="K207" i="2"/>
  <c r="J207" i="2"/>
  <c r="H207" i="2" s="1"/>
  <c r="I207" i="2"/>
  <c r="G210" i="2"/>
  <c r="K210" i="2"/>
  <c r="J210" i="2"/>
  <c r="H210" i="2" s="1"/>
  <c r="I210" i="2"/>
  <c r="F210" i="2"/>
  <c r="J256" i="2"/>
  <c r="H256" i="2" s="1"/>
  <c r="I256" i="2"/>
  <c r="J325" i="2"/>
  <c r="H325" i="2" s="1"/>
  <c r="I325" i="2"/>
  <c r="K325" i="2"/>
  <c r="G325" i="2"/>
  <c r="F325" i="2"/>
  <c r="F7" i="2"/>
  <c r="J7" i="2" s="1"/>
  <c r="H7" i="2" s="1"/>
  <c r="G14" i="2"/>
  <c r="F28" i="2"/>
  <c r="J28" i="2" s="1"/>
  <c r="H28" i="2" s="1"/>
  <c r="J41" i="2"/>
  <c r="H41" i="2" s="1"/>
  <c r="F47" i="2"/>
  <c r="I47" i="2" s="1"/>
  <c r="I4" i="2"/>
  <c r="J6" i="2"/>
  <c r="H6" i="2" s="1"/>
  <c r="J14" i="2"/>
  <c r="H14" i="2" s="1"/>
  <c r="J21" i="2"/>
  <c r="H21" i="2" s="1"/>
  <c r="K26" i="2"/>
  <c r="I28" i="2"/>
  <c r="J31" i="2"/>
  <c r="H31" i="2" s="1"/>
  <c r="K39" i="2"/>
  <c r="J47" i="2"/>
  <c r="H47" i="2" s="1"/>
  <c r="J52" i="2"/>
  <c r="H52" i="2" s="1"/>
  <c r="J57" i="2"/>
  <c r="H57" i="2" s="1"/>
  <c r="K62" i="2"/>
  <c r="J69" i="2"/>
  <c r="H69" i="2" s="1"/>
  <c r="J73" i="2"/>
  <c r="H73" i="2" s="1"/>
  <c r="I77" i="2"/>
  <c r="J87" i="2"/>
  <c r="H87" i="2" s="1"/>
  <c r="F92" i="2"/>
  <c r="K92" i="2" s="1"/>
  <c r="I96" i="2"/>
  <c r="K101" i="2"/>
  <c r="K103" i="2"/>
  <c r="J103" i="2"/>
  <c r="H103" i="2" s="1"/>
  <c r="I103" i="2"/>
  <c r="J108" i="2"/>
  <c r="H108" i="2" s="1"/>
  <c r="I108" i="2"/>
  <c r="G108" i="2"/>
  <c r="F108" i="2"/>
  <c r="K108" i="2" s="1"/>
  <c r="K111" i="2"/>
  <c r="J111" i="2"/>
  <c r="H111" i="2" s="1"/>
  <c r="I111" i="2"/>
  <c r="K127" i="2"/>
  <c r="K137" i="2"/>
  <c r="J137" i="2"/>
  <c r="H137" i="2" s="1"/>
  <c r="G137" i="2"/>
  <c r="F137" i="2"/>
  <c r="I137" i="2" s="1"/>
  <c r="K142" i="2"/>
  <c r="J142" i="2"/>
  <c r="H142" i="2" s="1"/>
  <c r="I142" i="2"/>
  <c r="I146" i="2"/>
  <c r="K146" i="2"/>
  <c r="G146" i="2"/>
  <c r="F146" i="2"/>
  <c r="J146" i="2" s="1"/>
  <c r="H146" i="2" s="1"/>
  <c r="G157" i="2"/>
  <c r="F157" i="2"/>
  <c r="J157" i="2" s="1"/>
  <c r="H157" i="2" s="1"/>
  <c r="G166" i="2"/>
  <c r="F166" i="2"/>
  <c r="K166" i="2" s="1"/>
  <c r="I204" i="2"/>
  <c r="K204" i="2"/>
  <c r="J204" i="2"/>
  <c r="H204" i="2" s="1"/>
  <c r="I253" i="2"/>
  <c r="G253" i="2"/>
  <c r="F253" i="2"/>
  <c r="J253" i="2" s="1"/>
  <c r="H253" i="2" s="1"/>
  <c r="I27" i="2"/>
  <c r="G27" i="2"/>
  <c r="K76" i="2"/>
  <c r="F76" i="2"/>
  <c r="J76" i="2" s="1"/>
  <c r="H76" i="2" s="1"/>
  <c r="J101" i="2"/>
  <c r="H101" i="2" s="1"/>
  <c r="I101" i="2"/>
  <c r="J127" i="2"/>
  <c r="H127" i="2" s="1"/>
  <c r="I127" i="2"/>
  <c r="K167" i="2"/>
  <c r="J167" i="2"/>
  <c r="H167" i="2" s="1"/>
  <c r="I167" i="2"/>
  <c r="K225" i="2"/>
  <c r="J225" i="2"/>
  <c r="H225" i="2" s="1"/>
  <c r="I225" i="2"/>
  <c r="G228" i="2"/>
  <c r="J228" i="2"/>
  <c r="H228" i="2" s="1"/>
  <c r="F228" i="2"/>
  <c r="K228" i="2" s="1"/>
  <c r="K4" i="2"/>
  <c r="F8" i="2"/>
  <c r="K8" i="2" s="1"/>
  <c r="F27" i="2"/>
  <c r="K27" i="2" s="1"/>
  <c r="K29" i="2"/>
  <c r="G32" i="2"/>
  <c r="F48" i="2"/>
  <c r="K48" i="2" s="1"/>
  <c r="G76" i="2"/>
  <c r="J84" i="2"/>
  <c r="H84" i="2" s="1"/>
  <c r="I84" i="2"/>
  <c r="J86" i="2"/>
  <c r="H86" i="2" s="1"/>
  <c r="F86" i="2"/>
  <c r="K86" i="2" s="1"/>
  <c r="G90" i="2"/>
  <c r="F90" i="2"/>
  <c r="I90" i="2" s="1"/>
  <c r="I99" i="2"/>
  <c r="K104" i="2"/>
  <c r="J104" i="2"/>
  <c r="H104" i="2" s="1"/>
  <c r="K109" i="2"/>
  <c r="J119" i="2"/>
  <c r="H119" i="2" s="1"/>
  <c r="I119" i="2"/>
  <c r="J131" i="2"/>
  <c r="H131" i="2" s="1"/>
  <c r="K131" i="2"/>
  <c r="I131" i="2"/>
  <c r="G131" i="2"/>
  <c r="F131" i="2"/>
  <c r="F153" i="2"/>
  <c r="K153" i="2" s="1"/>
  <c r="I153" i="2"/>
  <c r="G153" i="2"/>
  <c r="G162" i="2"/>
  <c r="K162" i="2"/>
  <c r="I162" i="2"/>
  <c r="F162" i="2"/>
  <c r="J162" i="2" s="1"/>
  <c r="H162" i="2" s="1"/>
  <c r="G175" i="2"/>
  <c r="F175" i="2"/>
  <c r="K175" i="2" s="1"/>
  <c r="I222" i="2"/>
  <c r="K222" i="2"/>
  <c r="J222" i="2"/>
  <c r="H222" i="2" s="1"/>
  <c r="K263" i="2"/>
  <c r="I263" i="2"/>
  <c r="J285" i="2"/>
  <c r="H285" i="2" s="1"/>
  <c r="F454" i="2"/>
  <c r="K454" i="2" s="1"/>
  <c r="I454" i="2"/>
  <c r="G454" i="2"/>
  <c r="J454" i="2"/>
  <c r="H454" i="2" s="1"/>
  <c r="J22" i="2"/>
  <c r="H22" i="2" s="1"/>
  <c r="F22" i="2"/>
  <c r="K22" i="2" s="1"/>
  <c r="J58" i="2"/>
  <c r="H58" i="2" s="1"/>
  <c r="F58" i="2"/>
  <c r="K58" i="2" s="1"/>
  <c r="I65" i="2"/>
  <c r="G65" i="2"/>
  <c r="K65" i="2"/>
  <c r="K66" i="2"/>
  <c r="J74" i="2"/>
  <c r="H74" i="2" s="1"/>
  <c r="I74" i="2"/>
  <c r="I17" i="2"/>
  <c r="G17" i="2"/>
  <c r="I32" i="2"/>
  <c r="G48" i="2"/>
  <c r="J61" i="2"/>
  <c r="H61" i="2" s="1"/>
  <c r="G72" i="2"/>
  <c r="F72" i="2"/>
  <c r="K72" i="2" s="1"/>
  <c r="K95" i="2"/>
  <c r="I95" i="2"/>
  <c r="I122" i="2"/>
  <c r="K132" i="2"/>
  <c r="J132" i="2"/>
  <c r="H132" i="2" s="1"/>
  <c r="F132" i="2"/>
  <c r="I132" i="2" s="1"/>
  <c r="K245" i="2"/>
  <c r="J245" i="2"/>
  <c r="H245" i="2" s="1"/>
  <c r="I245" i="2"/>
  <c r="I7" i="2"/>
  <c r="G7" i="2"/>
  <c r="J8" i="2"/>
  <c r="H8" i="2" s="1"/>
  <c r="K14" i="2"/>
  <c r="K28" i="2"/>
  <c r="F46" i="2"/>
  <c r="I46" i="2" s="1"/>
  <c r="K52" i="2"/>
  <c r="I3" i="2"/>
  <c r="G5" i="2"/>
  <c r="J12" i="2"/>
  <c r="H12" i="2" s="1"/>
  <c r="F12" i="2"/>
  <c r="I12" i="2" s="1"/>
  <c r="I13" i="2"/>
  <c r="J25" i="2"/>
  <c r="H25" i="2" s="1"/>
  <c r="F34" i="2"/>
  <c r="I34" i="2" s="1"/>
  <c r="J34" i="2"/>
  <c r="H34" i="2" s="1"/>
  <c r="J50" i="2"/>
  <c r="H50" i="2" s="1"/>
  <c r="F50" i="2"/>
  <c r="I50" i="2" s="1"/>
  <c r="I51" i="2"/>
  <c r="I55" i="2"/>
  <c r="G55" i="2"/>
  <c r="K55" i="2"/>
  <c r="K67" i="2"/>
  <c r="I67" i="2"/>
  <c r="I70" i="2"/>
  <c r="G74" i="2"/>
  <c r="I88" i="2"/>
  <c r="J109" i="2"/>
  <c r="H109" i="2" s="1"/>
  <c r="I109" i="2"/>
  <c r="G128" i="2"/>
  <c r="K128" i="2"/>
  <c r="I128" i="2"/>
  <c r="F128" i="2"/>
  <c r="J128" i="2" s="1"/>
  <c r="H128" i="2" s="1"/>
  <c r="K163" i="2"/>
  <c r="J163" i="2"/>
  <c r="H163" i="2" s="1"/>
  <c r="F5" i="2"/>
  <c r="I5" i="2" s="1"/>
  <c r="K6" i="2"/>
  <c r="I8" i="2"/>
  <c r="G12" i="2"/>
  <c r="J13" i="2"/>
  <c r="H13" i="2" s="1"/>
  <c r="F17" i="2"/>
  <c r="J17" i="2" s="1"/>
  <c r="H17" i="2" s="1"/>
  <c r="K21" i="2"/>
  <c r="I22" i="2"/>
  <c r="G24" i="2"/>
  <c r="J27" i="2"/>
  <c r="H27" i="2" s="1"/>
  <c r="J32" i="2"/>
  <c r="H32" i="2" s="1"/>
  <c r="G34" i="2"/>
  <c r="F38" i="2"/>
  <c r="J38" i="2" s="1"/>
  <c r="H38" i="2" s="1"/>
  <c r="J39" i="2"/>
  <c r="H39" i="2" s="1"/>
  <c r="K46" i="2"/>
  <c r="G50" i="2"/>
  <c r="J51" i="2"/>
  <c r="H51" i="2" s="1"/>
  <c r="F55" i="2"/>
  <c r="J55" i="2" s="1"/>
  <c r="H55" i="2" s="1"/>
  <c r="I58" i="2"/>
  <c r="G60" i="2"/>
  <c r="J65" i="2"/>
  <c r="H65" i="2" s="1"/>
  <c r="I72" i="2"/>
  <c r="K74" i="2"/>
  <c r="I76" i="2"/>
  <c r="G80" i="2"/>
  <c r="F80" i="2"/>
  <c r="J80" i="2"/>
  <c r="H80" i="2" s="1"/>
  <c r="G84" i="2"/>
  <c r="I86" i="2"/>
  <c r="K88" i="2"/>
  <c r="J93" i="2"/>
  <c r="H93" i="2" s="1"/>
  <c r="I93" i="2"/>
  <c r="J102" i="2"/>
  <c r="H102" i="2" s="1"/>
  <c r="F102" i="2"/>
  <c r="I102" i="2" s="1"/>
  <c r="I104" i="2"/>
  <c r="I112" i="2"/>
  <c r="K120" i="2"/>
  <c r="J120" i="2"/>
  <c r="H120" i="2" s="1"/>
  <c r="I120" i="2"/>
  <c r="F120" i="2"/>
  <c r="G132" i="2"/>
  <c r="I171" i="2"/>
  <c r="G171" i="2"/>
  <c r="F171" i="2"/>
  <c r="K171" i="2" s="1"/>
  <c r="K176" i="2"/>
  <c r="J176" i="2"/>
  <c r="H176" i="2" s="1"/>
  <c r="I176" i="2"/>
  <c r="I232" i="2"/>
  <c r="I240" i="2"/>
  <c r="K240" i="2"/>
  <c r="J240" i="2"/>
  <c r="H240" i="2" s="1"/>
  <c r="F273" i="2"/>
  <c r="J273" i="2" s="1"/>
  <c r="H273" i="2" s="1"/>
  <c r="I273" i="2"/>
  <c r="G273" i="2"/>
  <c r="G367" i="2"/>
  <c r="J367" i="2"/>
  <c r="H367" i="2" s="1"/>
  <c r="K367" i="2"/>
  <c r="F367" i="2"/>
  <c r="I367" i="2" s="1"/>
  <c r="I15" i="2"/>
  <c r="I25" i="2"/>
  <c r="I33" i="2"/>
  <c r="I43" i="2"/>
  <c r="I53" i="2"/>
  <c r="I61" i="2"/>
  <c r="I71" i="2"/>
  <c r="I79" i="2"/>
  <c r="I89" i="2"/>
  <c r="K91" i="2"/>
  <c r="I97" i="2"/>
  <c r="K99" i="2"/>
  <c r="I105" i="2"/>
  <c r="K107" i="2"/>
  <c r="I113" i="2"/>
  <c r="K117" i="2"/>
  <c r="I123" i="2"/>
  <c r="J124" i="2"/>
  <c r="H124" i="2" s="1"/>
  <c r="K125" i="2"/>
  <c r="I129" i="2"/>
  <c r="I134" i="2"/>
  <c r="K135" i="2"/>
  <c r="I143" i="2"/>
  <c r="K155" i="2"/>
  <c r="J159" i="2"/>
  <c r="H159" i="2" s="1"/>
  <c r="K160" i="2"/>
  <c r="I163" i="2"/>
  <c r="K169" i="2"/>
  <c r="I177" i="2"/>
  <c r="K178" i="2"/>
  <c r="F195" i="2"/>
  <c r="I198" i="2"/>
  <c r="J211" i="2"/>
  <c r="H211" i="2" s="1"/>
  <c r="J213" i="2"/>
  <c r="H213" i="2" s="1"/>
  <c r="F213" i="2"/>
  <c r="I216" i="2"/>
  <c r="J229" i="2"/>
  <c r="H229" i="2" s="1"/>
  <c r="F231" i="2"/>
  <c r="I234" i="2"/>
  <c r="K249" i="2"/>
  <c r="J254" i="2"/>
  <c r="H254" i="2" s="1"/>
  <c r="F265" i="2"/>
  <c r="J265" i="2"/>
  <c r="H265" i="2" s="1"/>
  <c r="J276" i="2"/>
  <c r="H276" i="2" s="1"/>
  <c r="I279" i="2"/>
  <c r="K315" i="2"/>
  <c r="G389" i="2"/>
  <c r="J389" i="2"/>
  <c r="H389" i="2" s="1"/>
  <c r="F389" i="2"/>
  <c r="K389" i="2" s="1"/>
  <c r="K396" i="2"/>
  <c r="G406" i="2"/>
  <c r="F406" i="2"/>
  <c r="K406" i="2" s="1"/>
  <c r="G527" i="2"/>
  <c r="K527" i="2"/>
  <c r="J527" i="2"/>
  <c r="H527" i="2" s="1"/>
  <c r="F527" i="2"/>
  <c r="I527" i="2" s="1"/>
  <c r="G597" i="2"/>
  <c r="J597" i="2"/>
  <c r="H597" i="2" s="1"/>
  <c r="F597" i="2"/>
  <c r="K597" i="2" s="1"/>
  <c r="J924" i="2"/>
  <c r="H924" i="2" s="1"/>
  <c r="I924" i="2"/>
  <c r="K924" i="2"/>
  <c r="K990" i="2"/>
  <c r="J990" i="2"/>
  <c r="H990" i="2" s="1"/>
  <c r="K174" i="2"/>
  <c r="K206" i="2"/>
  <c r="G206" i="2"/>
  <c r="K224" i="2"/>
  <c r="G224" i="2"/>
  <c r="G244" i="2"/>
  <c r="F255" i="2"/>
  <c r="J255" i="2" s="1"/>
  <c r="H255" i="2" s="1"/>
  <c r="G270" i="2"/>
  <c r="G275" i="2"/>
  <c r="F275" i="2"/>
  <c r="K281" i="2"/>
  <c r="J281" i="2"/>
  <c r="H281" i="2" s="1"/>
  <c r="F281" i="2"/>
  <c r="I281" i="2" s="1"/>
  <c r="K307" i="2"/>
  <c r="G307" i="2"/>
  <c r="F307" i="2"/>
  <c r="J307" i="2" s="1"/>
  <c r="H307" i="2" s="1"/>
  <c r="I312" i="2"/>
  <c r="K312" i="2"/>
  <c r="J312" i="2"/>
  <c r="H312" i="2" s="1"/>
  <c r="J112" i="2"/>
  <c r="H112" i="2" s="1"/>
  <c r="J122" i="2"/>
  <c r="H122" i="2" s="1"/>
  <c r="K129" i="2"/>
  <c r="J133" i="2"/>
  <c r="H133" i="2" s="1"/>
  <c r="F136" i="2"/>
  <c r="K136" i="2" s="1"/>
  <c r="F140" i="2"/>
  <c r="J140" i="2" s="1"/>
  <c r="H140" i="2" s="1"/>
  <c r="F145" i="2"/>
  <c r="F151" i="2"/>
  <c r="K151" i="2" s="1"/>
  <c r="F156" i="2"/>
  <c r="K156" i="2" s="1"/>
  <c r="G161" i="2"/>
  <c r="F165" i="2"/>
  <c r="I165" i="2" s="1"/>
  <c r="F170" i="2"/>
  <c r="F174" i="2"/>
  <c r="F179" i="2"/>
  <c r="K179" i="2" s="1"/>
  <c r="F183" i="2"/>
  <c r="K183" i="2" s="1"/>
  <c r="F190" i="2"/>
  <c r="I190" i="2" s="1"/>
  <c r="F206" i="2"/>
  <c r="J206" i="2" s="1"/>
  <c r="H206" i="2" s="1"/>
  <c r="F209" i="2"/>
  <c r="J209" i="2"/>
  <c r="H209" i="2" s="1"/>
  <c r="F224" i="2"/>
  <c r="F227" i="2"/>
  <c r="K227" i="2" s="1"/>
  <c r="J227" i="2"/>
  <c r="H227" i="2" s="1"/>
  <c r="F244" i="2"/>
  <c r="K244" i="2" s="1"/>
  <c r="F247" i="2"/>
  <c r="J247" i="2" s="1"/>
  <c r="H247" i="2" s="1"/>
  <c r="G255" i="2"/>
  <c r="K262" i="2"/>
  <c r="I262" i="2"/>
  <c r="G262" i="2"/>
  <c r="F270" i="2"/>
  <c r="K270" i="2" s="1"/>
  <c r="I272" i="2"/>
  <c r="I275" i="2"/>
  <c r="F277" i="2"/>
  <c r="K277" i="2" s="1"/>
  <c r="G281" i="2"/>
  <c r="I296" i="2"/>
  <c r="J296" i="2"/>
  <c r="H296" i="2" s="1"/>
  <c r="G296" i="2"/>
  <c r="F296" i="2"/>
  <c r="K296" i="2" s="1"/>
  <c r="I299" i="2"/>
  <c r="G299" i="2"/>
  <c r="F299" i="2"/>
  <c r="K299" i="2" s="1"/>
  <c r="K319" i="2"/>
  <c r="I319" i="2"/>
  <c r="G319" i="2"/>
  <c r="F319" i="2"/>
  <c r="J319" i="2" s="1"/>
  <c r="H319" i="2" s="1"/>
  <c r="K404" i="2"/>
  <c r="I130" i="2"/>
  <c r="J139" i="2"/>
  <c r="H139" i="2" s="1"/>
  <c r="G140" i="2"/>
  <c r="G145" i="2"/>
  <c r="G151" i="2"/>
  <c r="G156" i="2"/>
  <c r="G165" i="2"/>
  <c r="J173" i="2"/>
  <c r="H173" i="2" s="1"/>
  <c r="G174" i="2"/>
  <c r="G179" i="2"/>
  <c r="G183" i="2"/>
  <c r="G190" i="2"/>
  <c r="G202" i="2"/>
  <c r="K202" i="2"/>
  <c r="I203" i="2"/>
  <c r="G220" i="2"/>
  <c r="K220" i="2"/>
  <c r="I221" i="2"/>
  <c r="G238" i="2"/>
  <c r="K238" i="2"/>
  <c r="I239" i="2"/>
  <c r="K252" i="2"/>
  <c r="I252" i="2"/>
  <c r="G252" i="2"/>
  <c r="J275" i="2"/>
  <c r="H275" i="2" s="1"/>
  <c r="G277" i="2"/>
  <c r="J289" i="2"/>
  <c r="H289" i="2" s="1"/>
  <c r="I289" i="2"/>
  <c r="K371" i="2"/>
  <c r="J371" i="2"/>
  <c r="H371" i="2" s="1"/>
  <c r="G371" i="2"/>
  <c r="F371" i="2"/>
  <c r="I371" i="2" s="1"/>
  <c r="G91" i="2"/>
  <c r="G99" i="2"/>
  <c r="F106" i="2"/>
  <c r="G107" i="2"/>
  <c r="F116" i="2"/>
  <c r="G117" i="2"/>
  <c r="F124" i="2"/>
  <c r="G125" i="2"/>
  <c r="F130" i="2"/>
  <c r="J130" i="2" s="1"/>
  <c r="H130" i="2" s="1"/>
  <c r="G135" i="2"/>
  <c r="F139" i="2"/>
  <c r="I139" i="2" s="1"/>
  <c r="F144" i="2"/>
  <c r="J144" i="2" s="1"/>
  <c r="H144" i="2" s="1"/>
  <c r="I145" i="2"/>
  <c r="F150" i="2"/>
  <c r="I150" i="2" s="1"/>
  <c r="I152" i="2"/>
  <c r="F155" i="2"/>
  <c r="J155" i="2" s="1"/>
  <c r="H155" i="2" s="1"/>
  <c r="F159" i="2"/>
  <c r="I161" i="2"/>
  <c r="F164" i="2"/>
  <c r="J164" i="2" s="1"/>
  <c r="H164" i="2" s="1"/>
  <c r="G169" i="2"/>
  <c r="I170" i="2"/>
  <c r="F173" i="2"/>
  <c r="I173" i="2" s="1"/>
  <c r="F178" i="2"/>
  <c r="J178" i="2" s="1"/>
  <c r="H178" i="2" s="1"/>
  <c r="F182" i="2"/>
  <c r="I182" i="2" s="1"/>
  <c r="I184" i="2"/>
  <c r="F189" i="2"/>
  <c r="J189" i="2" s="1"/>
  <c r="H189" i="2" s="1"/>
  <c r="F193" i="2"/>
  <c r="G197" i="2"/>
  <c r="J198" i="2"/>
  <c r="H198" i="2" s="1"/>
  <c r="F202" i="2"/>
  <c r="J202" i="2" s="1"/>
  <c r="H202" i="2" s="1"/>
  <c r="J203" i="2"/>
  <c r="H203" i="2" s="1"/>
  <c r="J205" i="2"/>
  <c r="H205" i="2" s="1"/>
  <c r="F205" i="2"/>
  <c r="I205" i="2" s="1"/>
  <c r="I206" i="2"/>
  <c r="I208" i="2"/>
  <c r="G215" i="2"/>
  <c r="J216" i="2"/>
  <c r="H216" i="2" s="1"/>
  <c r="F220" i="2"/>
  <c r="J220" i="2" s="1"/>
  <c r="H220" i="2" s="1"/>
  <c r="J221" i="2"/>
  <c r="H221" i="2" s="1"/>
  <c r="J223" i="2"/>
  <c r="H223" i="2" s="1"/>
  <c r="F223" i="2"/>
  <c r="I223" i="2" s="1"/>
  <c r="I224" i="2"/>
  <c r="I226" i="2"/>
  <c r="G233" i="2"/>
  <c r="J234" i="2"/>
  <c r="H234" i="2" s="1"/>
  <c r="F238" i="2"/>
  <c r="J238" i="2" s="1"/>
  <c r="H238" i="2" s="1"/>
  <c r="J239" i="2"/>
  <c r="H239" i="2" s="1"/>
  <c r="J241" i="2"/>
  <c r="H241" i="2" s="1"/>
  <c r="F241" i="2"/>
  <c r="I241" i="2" s="1"/>
  <c r="I244" i="2"/>
  <c r="I246" i="2"/>
  <c r="F252" i="2"/>
  <c r="I254" i="2"/>
  <c r="G259" i="2"/>
  <c r="J260" i="2"/>
  <c r="H260" i="2" s="1"/>
  <c r="I267" i="2"/>
  <c r="K275" i="2"/>
  <c r="K282" i="2"/>
  <c r="J282" i="2"/>
  <c r="H282" i="2" s="1"/>
  <c r="I287" i="2"/>
  <c r="F287" i="2"/>
  <c r="J287" i="2" s="1"/>
  <c r="H287" i="2" s="1"/>
  <c r="K300" i="2"/>
  <c r="J300" i="2"/>
  <c r="H300" i="2" s="1"/>
  <c r="I300" i="2"/>
  <c r="K320" i="2"/>
  <c r="J320" i="2"/>
  <c r="H320" i="2" s="1"/>
  <c r="I320" i="2"/>
  <c r="G323" i="2"/>
  <c r="G342" i="2"/>
  <c r="F342" i="2"/>
  <c r="I342" i="2" s="1"/>
  <c r="K342" i="2"/>
  <c r="J353" i="2"/>
  <c r="H353" i="2" s="1"/>
  <c r="G394" i="2"/>
  <c r="F394" i="2"/>
  <c r="K394" i="2"/>
  <c r="J394" i="2"/>
  <c r="H394" i="2" s="1"/>
  <c r="I394" i="2"/>
  <c r="K447" i="2"/>
  <c r="G447" i="2"/>
  <c r="J447" i="2"/>
  <c r="H447" i="2" s="1"/>
  <c r="F447" i="2"/>
  <c r="I447" i="2" s="1"/>
  <c r="G130" i="2"/>
  <c r="I138" i="2"/>
  <c r="G139" i="2"/>
  <c r="J145" i="2"/>
  <c r="H145" i="2" s="1"/>
  <c r="J149" i="2"/>
  <c r="H149" i="2" s="1"/>
  <c r="G150" i="2"/>
  <c r="I151" i="2"/>
  <c r="J152" i="2"/>
  <c r="H152" i="2" s="1"/>
  <c r="G155" i="2"/>
  <c r="J156" i="2"/>
  <c r="H156" i="2" s="1"/>
  <c r="J161" i="2"/>
  <c r="H161" i="2" s="1"/>
  <c r="G164" i="2"/>
  <c r="J170" i="2"/>
  <c r="H170" i="2" s="1"/>
  <c r="G173" i="2"/>
  <c r="I174" i="2"/>
  <c r="J181" i="2"/>
  <c r="H181" i="2" s="1"/>
  <c r="G182" i="2"/>
  <c r="I183" i="2"/>
  <c r="J184" i="2"/>
  <c r="H184" i="2" s="1"/>
  <c r="G189" i="2"/>
  <c r="J190" i="2"/>
  <c r="H190" i="2" s="1"/>
  <c r="K192" i="2"/>
  <c r="G196" i="2"/>
  <c r="I197" i="2"/>
  <c r="I209" i="2"/>
  <c r="K214" i="2"/>
  <c r="G214" i="2"/>
  <c r="I215" i="2"/>
  <c r="J224" i="2"/>
  <c r="H224" i="2" s="1"/>
  <c r="I227" i="2"/>
  <c r="K232" i="2"/>
  <c r="G232" i="2"/>
  <c r="I233" i="2"/>
  <c r="J244" i="2"/>
  <c r="H244" i="2" s="1"/>
  <c r="I247" i="2"/>
  <c r="J250" i="2"/>
  <c r="H250" i="2" s="1"/>
  <c r="I259" i="2"/>
  <c r="K260" i="2"/>
  <c r="J262" i="2"/>
  <c r="H262" i="2" s="1"/>
  <c r="J267" i="2"/>
  <c r="H267" i="2" s="1"/>
  <c r="F269" i="2"/>
  <c r="I269" i="2" s="1"/>
  <c r="J271" i="2"/>
  <c r="H271" i="2" s="1"/>
  <c r="K278" i="2"/>
  <c r="J278" i="2"/>
  <c r="H278" i="2" s="1"/>
  <c r="G278" i="2"/>
  <c r="I290" i="2"/>
  <c r="K290" i="2"/>
  <c r="G305" i="2"/>
  <c r="K305" i="2"/>
  <c r="I305" i="2"/>
  <c r="F323" i="2"/>
  <c r="I323" i="2" s="1"/>
  <c r="I135" i="2"/>
  <c r="F138" i="2"/>
  <c r="J138" i="2" s="1"/>
  <c r="H138" i="2" s="1"/>
  <c r="G143" i="2"/>
  <c r="F149" i="2"/>
  <c r="F154" i="2"/>
  <c r="I154" i="2" s="1"/>
  <c r="F158" i="2"/>
  <c r="K158" i="2" s="1"/>
  <c r="K161" i="2"/>
  <c r="I169" i="2"/>
  <c r="K170" i="2"/>
  <c r="F172" i="2"/>
  <c r="J174" i="2"/>
  <c r="H174" i="2" s="1"/>
  <c r="G177" i="2"/>
  <c r="I178" i="2"/>
  <c r="F181" i="2"/>
  <c r="F188" i="2"/>
  <c r="I188" i="2" s="1"/>
  <c r="K190" i="2"/>
  <c r="F192" i="2"/>
  <c r="J194" i="2"/>
  <c r="H194" i="2" s="1"/>
  <c r="F196" i="2"/>
  <c r="J196" i="2" s="1"/>
  <c r="H196" i="2" s="1"/>
  <c r="F199" i="2"/>
  <c r="J199" i="2"/>
  <c r="H199" i="2" s="1"/>
  <c r="I202" i="2"/>
  <c r="K209" i="2"/>
  <c r="J212" i="2"/>
  <c r="H212" i="2" s="1"/>
  <c r="F214" i="2"/>
  <c r="J214" i="2" s="1"/>
  <c r="H214" i="2" s="1"/>
  <c r="F219" i="2"/>
  <c r="J219" i="2"/>
  <c r="H219" i="2" s="1"/>
  <c r="J230" i="2"/>
  <c r="H230" i="2" s="1"/>
  <c r="F232" i="2"/>
  <c r="J232" i="2" s="1"/>
  <c r="H232" i="2" s="1"/>
  <c r="F237" i="2"/>
  <c r="J237" i="2" s="1"/>
  <c r="H237" i="2" s="1"/>
  <c r="I238" i="2"/>
  <c r="K247" i="2"/>
  <c r="I249" i="2"/>
  <c r="K250" i="2"/>
  <c r="J252" i="2"/>
  <c r="H252" i="2" s="1"/>
  <c r="J259" i="2"/>
  <c r="H259" i="2" s="1"/>
  <c r="J261" i="2"/>
  <c r="H261" i="2" s="1"/>
  <c r="F261" i="2"/>
  <c r="K261" i="2" s="1"/>
  <c r="J263" i="2"/>
  <c r="H263" i="2" s="1"/>
  <c r="K267" i="2"/>
  <c r="G269" i="2"/>
  <c r="F271" i="2"/>
  <c r="K271" i="2" s="1"/>
  <c r="J272" i="2"/>
  <c r="H272" i="2" s="1"/>
  <c r="F278" i="2"/>
  <c r="I278" i="2" s="1"/>
  <c r="I282" i="2"/>
  <c r="G285" i="2"/>
  <c r="K285" i="2"/>
  <c r="I285" i="2"/>
  <c r="F305" i="2"/>
  <c r="J305" i="2" s="1"/>
  <c r="H305" i="2" s="1"/>
  <c r="K440" i="2"/>
  <c r="G689" i="2"/>
  <c r="J689" i="2"/>
  <c r="H689" i="2" s="1"/>
  <c r="F689" i="2"/>
  <c r="K689" i="2" s="1"/>
  <c r="K248" i="2"/>
  <c r="K256" i="2"/>
  <c r="K266" i="2"/>
  <c r="K274" i="2"/>
  <c r="K289" i="2"/>
  <c r="G289" i="2"/>
  <c r="G292" i="2"/>
  <c r="F292" i="2"/>
  <c r="K311" i="2"/>
  <c r="G311" i="2"/>
  <c r="G314" i="2"/>
  <c r="F314" i="2"/>
  <c r="K327" i="2"/>
  <c r="G327" i="2"/>
  <c r="G330" i="2"/>
  <c r="F330" i="2"/>
  <c r="I332" i="2"/>
  <c r="J346" i="2"/>
  <c r="H346" i="2" s="1"/>
  <c r="I346" i="2"/>
  <c r="J347" i="2"/>
  <c r="H347" i="2" s="1"/>
  <c r="G353" i="2"/>
  <c r="G356" i="2"/>
  <c r="F356" i="2"/>
  <c r="I356" i="2" s="1"/>
  <c r="K356" i="2"/>
  <c r="J356" i="2"/>
  <c r="H356" i="2" s="1"/>
  <c r="G360" i="2"/>
  <c r="F360" i="2"/>
  <c r="I365" i="2"/>
  <c r="K375" i="2"/>
  <c r="G385" i="2"/>
  <c r="J385" i="2"/>
  <c r="H385" i="2" s="1"/>
  <c r="I385" i="2"/>
  <c r="I410" i="2"/>
  <c r="J414" i="2"/>
  <c r="H414" i="2" s="1"/>
  <c r="I414" i="2"/>
  <c r="K414" i="2"/>
  <c r="I419" i="2"/>
  <c r="J422" i="2"/>
  <c r="H422" i="2" s="1"/>
  <c r="I422" i="2"/>
  <c r="K422" i="2"/>
  <c r="I427" i="2"/>
  <c r="J430" i="2"/>
  <c r="H430" i="2" s="1"/>
  <c r="I430" i="2"/>
  <c r="K430" i="2"/>
  <c r="J437" i="2"/>
  <c r="H437" i="2" s="1"/>
  <c r="J486" i="2"/>
  <c r="H486" i="2" s="1"/>
  <c r="K486" i="2"/>
  <c r="I486" i="2"/>
  <c r="G486" i="2"/>
  <c r="F531" i="2"/>
  <c r="K531" i="2" s="1"/>
  <c r="K601" i="2"/>
  <c r="F601" i="2"/>
  <c r="J601" i="2"/>
  <c r="H601" i="2" s="1"/>
  <c r="I601" i="2"/>
  <c r="G674" i="2"/>
  <c r="F674" i="2"/>
  <c r="J674" i="2" s="1"/>
  <c r="H674" i="2" s="1"/>
  <c r="J851" i="2"/>
  <c r="H851" i="2" s="1"/>
  <c r="G851" i="2"/>
  <c r="F851" i="2"/>
  <c r="I851" i="2" s="1"/>
  <c r="K851" i="2"/>
  <c r="I316" i="2"/>
  <c r="J328" i="2"/>
  <c r="H328" i="2" s="1"/>
  <c r="I337" i="2"/>
  <c r="J364" i="2"/>
  <c r="H364" i="2" s="1"/>
  <c r="I364" i="2"/>
  <c r="J365" i="2"/>
  <c r="H365" i="2" s="1"/>
  <c r="G374" i="2"/>
  <c r="F374" i="2"/>
  <c r="J374" i="2" s="1"/>
  <c r="H374" i="2" s="1"/>
  <c r="K374" i="2"/>
  <c r="I376" i="2"/>
  <c r="G376" i="2"/>
  <c r="F376" i="2"/>
  <c r="K376" i="2" s="1"/>
  <c r="I383" i="2"/>
  <c r="G399" i="2"/>
  <c r="J410" i="2"/>
  <c r="H410" i="2" s="1"/>
  <c r="K471" i="2"/>
  <c r="J471" i="2"/>
  <c r="H471" i="2" s="1"/>
  <c r="I471" i="2"/>
  <c r="G509" i="2"/>
  <c r="K509" i="2"/>
  <c r="I509" i="2"/>
  <c r="F509" i="2"/>
  <c r="J509" i="2" s="1"/>
  <c r="H509" i="2" s="1"/>
  <c r="G579" i="2"/>
  <c r="F579" i="2"/>
  <c r="K579" i="2" s="1"/>
  <c r="G649" i="2"/>
  <c r="F649" i="2"/>
  <c r="K649" i="2" s="1"/>
  <c r="F675" i="2"/>
  <c r="I675" i="2" s="1"/>
  <c r="J675" i="2"/>
  <c r="H675" i="2" s="1"/>
  <c r="G675" i="2"/>
  <c r="J714" i="2"/>
  <c r="H714" i="2" s="1"/>
  <c r="I714" i="2"/>
  <c r="K911" i="2"/>
  <c r="I911" i="2"/>
  <c r="F915" i="2"/>
  <c r="J915" i="2" s="1"/>
  <c r="H915" i="2" s="1"/>
  <c r="K915" i="2"/>
  <c r="G915" i="2"/>
  <c r="K280" i="2"/>
  <c r="J280" i="2"/>
  <c r="H280" i="2" s="1"/>
  <c r="G284" i="2"/>
  <c r="F284" i="2"/>
  <c r="K284" i="2" s="1"/>
  <c r="J284" i="2"/>
  <c r="H284" i="2" s="1"/>
  <c r="G304" i="2"/>
  <c r="F304" i="2"/>
  <c r="K304" i="2" s="1"/>
  <c r="F316" i="2"/>
  <c r="K316" i="2" s="1"/>
  <c r="G322" i="2"/>
  <c r="F322" i="2"/>
  <c r="K322" i="2" s="1"/>
  <c r="J322" i="2"/>
  <c r="H322" i="2" s="1"/>
  <c r="K328" i="2"/>
  <c r="K336" i="2"/>
  <c r="J336" i="2"/>
  <c r="H336" i="2" s="1"/>
  <c r="I336" i="2"/>
  <c r="J343" i="2"/>
  <c r="H343" i="2" s="1"/>
  <c r="I343" i="2"/>
  <c r="K343" i="2"/>
  <c r="F350" i="2"/>
  <c r="K350" i="2" s="1"/>
  <c r="I353" i="2"/>
  <c r="I368" i="2"/>
  <c r="J376" i="2"/>
  <c r="H376" i="2" s="1"/>
  <c r="J382" i="2"/>
  <c r="H382" i="2" s="1"/>
  <c r="I382" i="2"/>
  <c r="J383" i="2"/>
  <c r="H383" i="2" s="1"/>
  <c r="G395" i="2"/>
  <c r="I395" i="2"/>
  <c r="F399" i="2"/>
  <c r="I399" i="2" s="1"/>
  <c r="K407" i="2"/>
  <c r="G407" i="2"/>
  <c r="G412" i="2"/>
  <c r="F412" i="2"/>
  <c r="I412" i="2" s="1"/>
  <c r="K412" i="2"/>
  <c r="G420" i="2"/>
  <c r="F420" i="2"/>
  <c r="I420" i="2" s="1"/>
  <c r="K420" i="2"/>
  <c r="G428" i="2"/>
  <c r="F428" i="2"/>
  <c r="I428" i="2" s="1"/>
  <c r="F448" i="2"/>
  <c r="J448" i="2" s="1"/>
  <c r="H448" i="2" s="1"/>
  <c r="K463" i="2"/>
  <c r="I463" i="2"/>
  <c r="F513" i="2"/>
  <c r="J513" i="2" s="1"/>
  <c r="H513" i="2" s="1"/>
  <c r="F583" i="2"/>
  <c r="K583" i="2" s="1"/>
  <c r="J583" i="2"/>
  <c r="H583" i="2" s="1"/>
  <c r="F655" i="2"/>
  <c r="J655" i="2" s="1"/>
  <c r="H655" i="2" s="1"/>
  <c r="F286" i="2"/>
  <c r="K298" i="2"/>
  <c r="J298" i="2"/>
  <c r="H298" i="2" s="1"/>
  <c r="F306" i="2"/>
  <c r="K308" i="2"/>
  <c r="J308" i="2"/>
  <c r="H308" i="2" s="1"/>
  <c r="I311" i="2"/>
  <c r="G316" i="2"/>
  <c r="K318" i="2"/>
  <c r="J318" i="2"/>
  <c r="H318" i="2" s="1"/>
  <c r="F324" i="2"/>
  <c r="K326" i="2"/>
  <c r="J326" i="2"/>
  <c r="H326" i="2" s="1"/>
  <c r="I327" i="2"/>
  <c r="J332" i="2"/>
  <c r="H332" i="2" s="1"/>
  <c r="K345" i="2"/>
  <c r="G345" i="2"/>
  <c r="G350" i="2"/>
  <c r="J361" i="2"/>
  <c r="H361" i="2" s="1"/>
  <c r="K361" i="2"/>
  <c r="I374" i="2"/>
  <c r="I386" i="2"/>
  <c r="F386" i="2"/>
  <c r="G403" i="2"/>
  <c r="G491" i="2"/>
  <c r="K491" i="2"/>
  <c r="J491" i="2"/>
  <c r="H491" i="2" s="1"/>
  <c r="I491" i="2"/>
  <c r="F491" i="2"/>
  <c r="G561" i="2"/>
  <c r="K561" i="2"/>
  <c r="I561" i="2"/>
  <c r="F561" i="2"/>
  <c r="J561" i="2" s="1"/>
  <c r="H561" i="2" s="1"/>
  <c r="G631" i="2"/>
  <c r="F631" i="2"/>
  <c r="K631" i="2" s="1"/>
  <c r="J279" i="2"/>
  <c r="H279" i="2" s="1"/>
  <c r="G280" i="2"/>
  <c r="G286" i="2"/>
  <c r="F288" i="2"/>
  <c r="I288" i="2" s="1"/>
  <c r="F298" i="2"/>
  <c r="I298" i="2" s="1"/>
  <c r="I304" i="2"/>
  <c r="G306" i="2"/>
  <c r="F308" i="2"/>
  <c r="I308" i="2" s="1"/>
  <c r="J316" i="2"/>
  <c r="H316" i="2" s="1"/>
  <c r="F318" i="2"/>
  <c r="I318" i="2" s="1"/>
  <c r="I322" i="2"/>
  <c r="G324" i="2"/>
  <c r="F326" i="2"/>
  <c r="I326" i="2" s="1"/>
  <c r="G336" i="2"/>
  <c r="I341" i="2"/>
  <c r="G343" i="2"/>
  <c r="F345" i="2"/>
  <c r="F352" i="2"/>
  <c r="K352" i="2" s="1"/>
  <c r="F359" i="2"/>
  <c r="F361" i="2"/>
  <c r="I361" i="2" s="1"/>
  <c r="K363" i="2"/>
  <c r="G363" i="2"/>
  <c r="K364" i="2"/>
  <c r="G368" i="2"/>
  <c r="K370" i="2"/>
  <c r="J370" i="2"/>
  <c r="H370" i="2" s="1"/>
  <c r="I370" i="2"/>
  <c r="J377" i="2"/>
  <c r="H377" i="2" s="1"/>
  <c r="I377" i="2"/>
  <c r="K377" i="2"/>
  <c r="G386" i="2"/>
  <c r="K388" i="2"/>
  <c r="J388" i="2"/>
  <c r="H388" i="2" s="1"/>
  <c r="I388" i="2"/>
  <c r="J395" i="2"/>
  <c r="H395" i="2" s="1"/>
  <c r="F403" i="2"/>
  <c r="K403" i="2" s="1"/>
  <c r="J412" i="2"/>
  <c r="H412" i="2" s="1"/>
  <c r="J428" i="2"/>
  <c r="H428" i="2" s="1"/>
  <c r="F442" i="2"/>
  <c r="K442" i="2"/>
  <c r="J442" i="2"/>
  <c r="H442" i="2" s="1"/>
  <c r="J445" i="2"/>
  <c r="H445" i="2" s="1"/>
  <c r="F456" i="2"/>
  <c r="J456" i="2" s="1"/>
  <c r="H456" i="2" s="1"/>
  <c r="K456" i="2"/>
  <c r="G456" i="2"/>
  <c r="K459" i="2"/>
  <c r="J459" i="2"/>
  <c r="H459" i="2" s="1"/>
  <c r="I459" i="2"/>
  <c r="G459" i="2"/>
  <c r="J463" i="2"/>
  <c r="H463" i="2" s="1"/>
  <c r="K469" i="2"/>
  <c r="G469" i="2"/>
  <c r="F469" i="2"/>
  <c r="J469" i="2" s="1"/>
  <c r="H469" i="2" s="1"/>
  <c r="I469" i="2"/>
  <c r="K497" i="2"/>
  <c r="F497" i="2"/>
  <c r="J497" i="2"/>
  <c r="H497" i="2" s="1"/>
  <c r="I497" i="2"/>
  <c r="F565" i="2"/>
  <c r="K565" i="2" s="1"/>
  <c r="I565" i="2"/>
  <c r="K637" i="2"/>
  <c r="F637" i="2"/>
  <c r="J637" i="2"/>
  <c r="H637" i="2" s="1"/>
  <c r="I637" i="2"/>
  <c r="G763" i="2"/>
  <c r="F763" i="2"/>
  <c r="K763" i="2" s="1"/>
  <c r="J763" i="2"/>
  <c r="H763" i="2" s="1"/>
  <c r="I763" i="2"/>
  <c r="G315" i="2"/>
  <c r="I315" i="2"/>
  <c r="G331" i="2"/>
  <c r="J331" i="2"/>
  <c r="H331" i="2" s="1"/>
  <c r="I331" i="2"/>
  <c r="K337" i="2"/>
  <c r="K381" i="2"/>
  <c r="G381" i="2"/>
  <c r="I439" i="2"/>
  <c r="G439" i="2"/>
  <c r="F439" i="2"/>
  <c r="J439" i="2" s="1"/>
  <c r="H439" i="2" s="1"/>
  <c r="J451" i="2"/>
  <c r="H451" i="2" s="1"/>
  <c r="F467" i="2"/>
  <c r="I467" i="2" s="1"/>
  <c r="G497" i="2"/>
  <c r="G543" i="2"/>
  <c r="F543" i="2"/>
  <c r="K543" i="2" s="1"/>
  <c r="G565" i="2"/>
  <c r="G615" i="2"/>
  <c r="K615" i="2"/>
  <c r="I615" i="2"/>
  <c r="F615" i="2"/>
  <c r="J615" i="2" s="1"/>
  <c r="H615" i="2" s="1"/>
  <c r="G637" i="2"/>
  <c r="I684" i="2"/>
  <c r="J744" i="2"/>
  <c r="H744" i="2" s="1"/>
  <c r="I744" i="2"/>
  <c r="G349" i="2"/>
  <c r="J349" i="2"/>
  <c r="H349" i="2" s="1"/>
  <c r="I349" i="2"/>
  <c r="K353" i="2"/>
  <c r="I396" i="2"/>
  <c r="G396" i="2"/>
  <c r="F396" i="2"/>
  <c r="J396" i="2" s="1"/>
  <c r="H396" i="2" s="1"/>
  <c r="J400" i="2"/>
  <c r="H400" i="2" s="1"/>
  <c r="I400" i="2"/>
  <c r="F404" i="2"/>
  <c r="J404" i="2" s="1"/>
  <c r="H404" i="2" s="1"/>
  <c r="K416" i="2"/>
  <c r="J416" i="2"/>
  <c r="H416" i="2" s="1"/>
  <c r="I416" i="2"/>
  <c r="K424" i="2"/>
  <c r="J424" i="2"/>
  <c r="H424" i="2" s="1"/>
  <c r="I424" i="2"/>
  <c r="K433" i="2"/>
  <c r="J433" i="2"/>
  <c r="H433" i="2" s="1"/>
  <c r="I433" i="2"/>
  <c r="J440" i="2"/>
  <c r="H440" i="2" s="1"/>
  <c r="I440" i="2"/>
  <c r="G440" i="2"/>
  <c r="I442" i="2"/>
  <c r="J446" i="2"/>
  <c r="H446" i="2" s="1"/>
  <c r="G446" i="2"/>
  <c r="F446" i="2"/>
  <c r="K446" i="2" s="1"/>
  <c r="I446" i="2"/>
  <c r="G467" i="2"/>
  <c r="F547" i="2"/>
  <c r="J547" i="2" s="1"/>
  <c r="H547" i="2" s="1"/>
  <c r="F619" i="2"/>
  <c r="K619" i="2" s="1"/>
  <c r="J619" i="2"/>
  <c r="H619" i="2" s="1"/>
  <c r="K832" i="2"/>
  <c r="J832" i="2"/>
  <c r="H832" i="2" s="1"/>
  <c r="I832" i="2"/>
  <c r="J297" i="2"/>
  <c r="H297" i="2" s="1"/>
  <c r="I297" i="2"/>
  <c r="J317" i="2"/>
  <c r="H317" i="2" s="1"/>
  <c r="I317" i="2"/>
  <c r="J335" i="2"/>
  <c r="H335" i="2" s="1"/>
  <c r="I335" i="2"/>
  <c r="J351" i="2"/>
  <c r="H351" i="2" s="1"/>
  <c r="I351" i="2"/>
  <c r="J369" i="2"/>
  <c r="H369" i="2" s="1"/>
  <c r="I369" i="2"/>
  <c r="J387" i="2"/>
  <c r="H387" i="2" s="1"/>
  <c r="I387" i="2"/>
  <c r="J405" i="2"/>
  <c r="H405" i="2" s="1"/>
  <c r="I405" i="2"/>
  <c r="J453" i="2"/>
  <c r="H453" i="2" s="1"/>
  <c r="G458" i="2"/>
  <c r="F458" i="2"/>
  <c r="I458" i="2" s="1"/>
  <c r="F466" i="2"/>
  <c r="K466" i="2" s="1"/>
  <c r="I504" i="2"/>
  <c r="J507" i="2"/>
  <c r="H507" i="2" s="1"/>
  <c r="K507" i="2"/>
  <c r="I522" i="2"/>
  <c r="J525" i="2"/>
  <c r="H525" i="2" s="1"/>
  <c r="K525" i="2"/>
  <c r="I538" i="2"/>
  <c r="J541" i="2"/>
  <c r="H541" i="2" s="1"/>
  <c r="K541" i="2"/>
  <c r="I556" i="2"/>
  <c r="J559" i="2"/>
  <c r="H559" i="2" s="1"/>
  <c r="K559" i="2"/>
  <c r="I572" i="2"/>
  <c r="J577" i="2"/>
  <c r="H577" i="2" s="1"/>
  <c r="K577" i="2"/>
  <c r="I592" i="2"/>
  <c r="J595" i="2"/>
  <c r="H595" i="2" s="1"/>
  <c r="K595" i="2"/>
  <c r="I610" i="2"/>
  <c r="J613" i="2"/>
  <c r="H613" i="2" s="1"/>
  <c r="K613" i="2"/>
  <c r="I626" i="2"/>
  <c r="J629" i="2"/>
  <c r="H629" i="2" s="1"/>
  <c r="K629" i="2"/>
  <c r="I644" i="2"/>
  <c r="I664" i="2"/>
  <c r="J678" i="2"/>
  <c r="H678" i="2" s="1"/>
  <c r="K741" i="2"/>
  <c r="I741" i="2"/>
  <c r="K770" i="2"/>
  <c r="I770" i="2"/>
  <c r="J770" i="2"/>
  <c r="H770" i="2" s="1"/>
  <c r="G770" i="2"/>
  <c r="K783" i="2"/>
  <c r="G795" i="2"/>
  <c r="F795" i="2"/>
  <c r="K795" i="2"/>
  <c r="K809" i="2"/>
  <c r="J809" i="2"/>
  <c r="H809" i="2" s="1"/>
  <c r="I809" i="2"/>
  <c r="G809" i="2"/>
  <c r="J997" i="2"/>
  <c r="H997" i="2" s="1"/>
  <c r="G997" i="2"/>
  <c r="F997" i="2"/>
  <c r="I997" i="2"/>
  <c r="K997" i="2"/>
  <c r="K344" i="2"/>
  <c r="J344" i="2"/>
  <c r="H344" i="2" s="1"/>
  <c r="G348" i="2"/>
  <c r="F348" i="2"/>
  <c r="K362" i="2"/>
  <c r="J362" i="2"/>
  <c r="H362" i="2" s="1"/>
  <c r="G366" i="2"/>
  <c r="F366" i="2"/>
  <c r="K380" i="2"/>
  <c r="J380" i="2"/>
  <c r="H380" i="2" s="1"/>
  <c r="G384" i="2"/>
  <c r="F384" i="2"/>
  <c r="K398" i="2"/>
  <c r="J398" i="2"/>
  <c r="H398" i="2" s="1"/>
  <c r="G402" i="2"/>
  <c r="F402" i="2"/>
  <c r="I413" i="2"/>
  <c r="G413" i="2"/>
  <c r="K415" i="2"/>
  <c r="J415" i="2"/>
  <c r="H415" i="2" s="1"/>
  <c r="I415" i="2"/>
  <c r="I421" i="2"/>
  <c r="G421" i="2"/>
  <c r="K423" i="2"/>
  <c r="J423" i="2"/>
  <c r="H423" i="2" s="1"/>
  <c r="I423" i="2"/>
  <c r="I429" i="2"/>
  <c r="G429" i="2"/>
  <c r="K431" i="2"/>
  <c r="J431" i="2"/>
  <c r="H431" i="2" s="1"/>
  <c r="I431" i="2"/>
  <c r="K449" i="2"/>
  <c r="K451" i="2"/>
  <c r="K453" i="2"/>
  <c r="I475" i="2"/>
  <c r="K475" i="2"/>
  <c r="J475" i="2"/>
  <c r="H475" i="2" s="1"/>
  <c r="K481" i="2"/>
  <c r="I481" i="2"/>
  <c r="G496" i="2"/>
  <c r="K496" i="2"/>
  <c r="F496" i="2"/>
  <c r="J496" i="2" s="1"/>
  <c r="H496" i="2" s="1"/>
  <c r="J512" i="2"/>
  <c r="H512" i="2" s="1"/>
  <c r="G512" i="2"/>
  <c r="F512" i="2"/>
  <c r="K512" i="2" s="1"/>
  <c r="J530" i="2"/>
  <c r="H530" i="2" s="1"/>
  <c r="G530" i="2"/>
  <c r="K530" i="2"/>
  <c r="I530" i="2"/>
  <c r="F530" i="2"/>
  <c r="J546" i="2"/>
  <c r="H546" i="2" s="1"/>
  <c r="G546" i="2"/>
  <c r="K546" i="2"/>
  <c r="I546" i="2"/>
  <c r="F546" i="2"/>
  <c r="J564" i="2"/>
  <c r="H564" i="2" s="1"/>
  <c r="G564" i="2"/>
  <c r="I564" i="2"/>
  <c r="F564" i="2"/>
  <c r="K564" i="2" s="1"/>
  <c r="G582" i="2"/>
  <c r="F582" i="2"/>
  <c r="J582" i="2" s="1"/>
  <c r="H582" i="2" s="1"/>
  <c r="G600" i="2"/>
  <c r="F600" i="2"/>
  <c r="J600" i="2" s="1"/>
  <c r="H600" i="2" s="1"/>
  <c r="G618" i="2"/>
  <c r="K618" i="2"/>
  <c r="F618" i="2"/>
  <c r="I618" i="2" s="1"/>
  <c r="G636" i="2"/>
  <c r="K636" i="2"/>
  <c r="F636" i="2"/>
  <c r="J636" i="2" s="1"/>
  <c r="H636" i="2" s="1"/>
  <c r="J654" i="2"/>
  <c r="H654" i="2" s="1"/>
  <c r="G654" i="2"/>
  <c r="F654" i="2"/>
  <c r="K654" i="2" s="1"/>
  <c r="I701" i="2"/>
  <c r="F701" i="2"/>
  <c r="K701" i="2"/>
  <c r="J701" i="2"/>
  <c r="H701" i="2" s="1"/>
  <c r="J704" i="2"/>
  <c r="H704" i="2" s="1"/>
  <c r="F712" i="2"/>
  <c r="K712" i="2" s="1"/>
  <c r="J712" i="2"/>
  <c r="H712" i="2" s="1"/>
  <c r="J721" i="2"/>
  <c r="H721" i="2" s="1"/>
  <c r="I721" i="2"/>
  <c r="G721" i="2"/>
  <c r="F721" i="2"/>
  <c r="K721" i="2" s="1"/>
  <c r="K746" i="2"/>
  <c r="J746" i="2"/>
  <c r="H746" i="2" s="1"/>
  <c r="I746" i="2"/>
  <c r="J788" i="2"/>
  <c r="H788" i="2" s="1"/>
  <c r="I788" i="2"/>
  <c r="G788" i="2"/>
  <c r="F788" i="2"/>
  <c r="K788" i="2" s="1"/>
  <c r="I797" i="2"/>
  <c r="F797" i="2"/>
  <c r="K797" i="2"/>
  <c r="J797" i="2"/>
  <c r="H797" i="2" s="1"/>
  <c r="G797" i="2"/>
  <c r="I820" i="2"/>
  <c r="K829" i="2"/>
  <c r="I829" i="2"/>
  <c r="G847" i="2"/>
  <c r="F847" i="2"/>
  <c r="I847" i="2" s="1"/>
  <c r="K847" i="2"/>
  <c r="J847" i="2"/>
  <c r="H847" i="2" s="1"/>
  <c r="F889" i="2"/>
  <c r="I889" i="2" s="1"/>
  <c r="K889" i="2"/>
  <c r="G889" i="2"/>
  <c r="J724" i="2"/>
  <c r="H724" i="2" s="1"/>
  <c r="I724" i="2"/>
  <c r="F747" i="2"/>
  <c r="J747" i="2" s="1"/>
  <c r="H747" i="2" s="1"/>
  <c r="G747" i="2"/>
  <c r="J758" i="2"/>
  <c r="H758" i="2" s="1"/>
  <c r="I758" i="2"/>
  <c r="G758" i="2"/>
  <c r="K758" i="2"/>
  <c r="F758" i="2"/>
  <c r="I768" i="2"/>
  <c r="G768" i="2"/>
  <c r="F807" i="2"/>
  <c r="I807" i="2" s="1"/>
  <c r="K807" i="2"/>
  <c r="K827" i="2"/>
  <c r="J827" i="2"/>
  <c r="H827" i="2" s="1"/>
  <c r="F827" i="2"/>
  <c r="K838" i="2"/>
  <c r="I838" i="2"/>
  <c r="J838" i="2"/>
  <c r="H838" i="2" s="1"/>
  <c r="G838" i="2"/>
  <c r="F838" i="2"/>
  <c r="F845" i="2"/>
  <c r="I845" i="2" s="1"/>
  <c r="K845" i="2"/>
  <c r="I886" i="2"/>
  <c r="K886" i="2"/>
  <c r="J886" i="2"/>
  <c r="H886" i="2" s="1"/>
  <c r="F900" i="2"/>
  <c r="K900" i="2" s="1"/>
  <c r="G900" i="2"/>
  <c r="I972" i="2"/>
  <c r="J972" i="2"/>
  <c r="H972" i="2" s="1"/>
  <c r="G972" i="2"/>
  <c r="F972" i="2"/>
  <c r="K972" i="2"/>
  <c r="J397" i="2"/>
  <c r="H397" i="2" s="1"/>
  <c r="I397" i="2"/>
  <c r="G438" i="2"/>
  <c r="F438" i="2"/>
  <c r="G455" i="2"/>
  <c r="K455" i="2"/>
  <c r="J455" i="2"/>
  <c r="H455" i="2" s="1"/>
  <c r="I455" i="2"/>
  <c r="F476" i="2"/>
  <c r="I476" i="2" s="1"/>
  <c r="F482" i="2"/>
  <c r="J482" i="2" s="1"/>
  <c r="H482" i="2" s="1"/>
  <c r="K482" i="2"/>
  <c r="I482" i="2"/>
  <c r="K487" i="2"/>
  <c r="F487" i="2"/>
  <c r="J487" i="2"/>
  <c r="H487" i="2" s="1"/>
  <c r="I487" i="2"/>
  <c r="F503" i="2"/>
  <c r="I503" i="2" s="1"/>
  <c r="K506" i="2"/>
  <c r="F521" i="2"/>
  <c r="I521" i="2" s="1"/>
  <c r="K524" i="2"/>
  <c r="F537" i="2"/>
  <c r="J537" i="2" s="1"/>
  <c r="H537" i="2" s="1"/>
  <c r="K537" i="2"/>
  <c r="K540" i="2"/>
  <c r="F555" i="2"/>
  <c r="I555" i="2" s="1"/>
  <c r="K555" i="2"/>
  <c r="K558" i="2"/>
  <c r="I571" i="2"/>
  <c r="F571" i="2"/>
  <c r="K571" i="2"/>
  <c r="J571" i="2"/>
  <c r="H571" i="2" s="1"/>
  <c r="K576" i="2"/>
  <c r="I591" i="2"/>
  <c r="F591" i="2"/>
  <c r="K591" i="2"/>
  <c r="J591" i="2"/>
  <c r="H591" i="2" s="1"/>
  <c r="K594" i="2"/>
  <c r="I609" i="2"/>
  <c r="F609" i="2"/>
  <c r="K609" i="2"/>
  <c r="J609" i="2"/>
  <c r="H609" i="2" s="1"/>
  <c r="K612" i="2"/>
  <c r="F625" i="2"/>
  <c r="K625" i="2" s="1"/>
  <c r="K628" i="2"/>
  <c r="F643" i="2"/>
  <c r="I643" i="2" s="1"/>
  <c r="K646" i="2"/>
  <c r="F661" i="2"/>
  <c r="I661" i="2" s="1"/>
  <c r="K666" i="2"/>
  <c r="G717" i="2"/>
  <c r="F717" i="2"/>
  <c r="K731" i="2"/>
  <c r="J731" i="2"/>
  <c r="H731" i="2" s="1"/>
  <c r="I731" i="2"/>
  <c r="G731" i="2"/>
  <c r="F768" i="2"/>
  <c r="K768" i="2" s="1"/>
  <c r="G773" i="2"/>
  <c r="F773" i="2"/>
  <c r="K773" i="2"/>
  <c r="J773" i="2"/>
  <c r="H773" i="2" s="1"/>
  <c r="I773" i="2"/>
  <c r="G807" i="2"/>
  <c r="K819" i="2"/>
  <c r="I819" i="2"/>
  <c r="G827" i="2"/>
  <c r="G845" i="2"/>
  <c r="J849" i="2"/>
  <c r="H849" i="2" s="1"/>
  <c r="K849" i="2"/>
  <c r="I849" i="2"/>
  <c r="G849" i="2"/>
  <c r="K869" i="2"/>
  <c r="I869" i="2"/>
  <c r="G869" i="2"/>
  <c r="F869" i="2"/>
  <c r="J869" i="2" s="1"/>
  <c r="H869" i="2" s="1"/>
  <c r="K945" i="2"/>
  <c r="F1037" i="2"/>
  <c r="I1037" i="2" s="1"/>
  <c r="K1037" i="2"/>
  <c r="J1082" i="2"/>
  <c r="H1082" i="2" s="1"/>
  <c r="G1082" i="2"/>
  <c r="F1082" i="2"/>
  <c r="K1082" i="2"/>
  <c r="I1082" i="2"/>
  <c r="F450" i="2"/>
  <c r="I450" i="2" s="1"/>
  <c r="K450" i="2"/>
  <c r="F461" i="2"/>
  <c r="J461" i="2" s="1"/>
  <c r="H461" i="2" s="1"/>
  <c r="K461" i="2"/>
  <c r="G465" i="2"/>
  <c r="F465" i="2"/>
  <c r="J465" i="2" s="1"/>
  <c r="H465" i="2" s="1"/>
  <c r="J470" i="2"/>
  <c r="H470" i="2" s="1"/>
  <c r="I470" i="2"/>
  <c r="F472" i="2"/>
  <c r="I472" i="2" s="1"/>
  <c r="G472" i="2"/>
  <c r="G480" i="2"/>
  <c r="F480" i="2"/>
  <c r="J516" i="2"/>
  <c r="H516" i="2" s="1"/>
  <c r="J534" i="2"/>
  <c r="H534" i="2" s="1"/>
  <c r="J658" i="2"/>
  <c r="H658" i="2" s="1"/>
  <c r="J694" i="2"/>
  <c r="H694" i="2" s="1"/>
  <c r="G694" i="2"/>
  <c r="K694" i="2"/>
  <c r="F694" i="2"/>
  <c r="I694" i="2" s="1"/>
  <c r="G710" i="2"/>
  <c r="F710" i="2"/>
  <c r="K710" i="2" s="1"/>
  <c r="F719" i="2"/>
  <c r="I719" i="2" s="1"/>
  <c r="G719" i="2"/>
  <c r="K753" i="2"/>
  <c r="I753" i="2"/>
  <c r="J780" i="2"/>
  <c r="H780" i="2" s="1"/>
  <c r="K790" i="2"/>
  <c r="F790" i="2"/>
  <c r="I790" i="2" s="1"/>
  <c r="J790" i="2"/>
  <c r="H790" i="2" s="1"/>
  <c r="J799" i="2"/>
  <c r="H799" i="2" s="1"/>
  <c r="I799" i="2"/>
  <c r="G799" i="2"/>
  <c r="F799" i="2"/>
  <c r="K799" i="2" s="1"/>
  <c r="K822" i="2"/>
  <c r="J822" i="2"/>
  <c r="H822" i="2" s="1"/>
  <c r="I822" i="2"/>
  <c r="I827" i="2"/>
  <c r="K853" i="2"/>
  <c r="I936" i="2"/>
  <c r="G936" i="2"/>
  <c r="F936" i="2"/>
  <c r="K936" i="2" s="1"/>
  <c r="J945" i="2"/>
  <c r="H945" i="2" s="1"/>
  <c r="I945" i="2"/>
  <c r="K979" i="2"/>
  <c r="I979" i="2"/>
  <c r="J979" i="2"/>
  <c r="H979" i="2" s="1"/>
  <c r="K1006" i="2"/>
  <c r="I1006" i="2"/>
  <c r="J1006" i="2"/>
  <c r="H1006" i="2" s="1"/>
  <c r="J1030" i="2"/>
  <c r="H1030" i="2" s="1"/>
  <c r="G1030" i="2"/>
  <c r="F1030" i="2"/>
  <c r="I1030" i="2" s="1"/>
  <c r="K1030" i="2"/>
  <c r="I687" i="2"/>
  <c r="K695" i="2"/>
  <c r="F695" i="2"/>
  <c r="I695" i="2" s="1"/>
  <c r="J695" i="2"/>
  <c r="H695" i="2" s="1"/>
  <c r="K756" i="2"/>
  <c r="J756" i="2"/>
  <c r="H756" i="2" s="1"/>
  <c r="I756" i="2"/>
  <c r="I771" i="2"/>
  <c r="J794" i="2"/>
  <c r="H794" i="2" s="1"/>
  <c r="I794" i="2"/>
  <c r="J862" i="2"/>
  <c r="H862" i="2" s="1"/>
  <c r="I862" i="2"/>
  <c r="K862" i="2"/>
  <c r="F866" i="2"/>
  <c r="I866" i="2" s="1"/>
  <c r="J866" i="2"/>
  <c r="H866" i="2" s="1"/>
  <c r="G866" i="2"/>
  <c r="G920" i="2"/>
  <c r="F920" i="2"/>
  <c r="K920" i="2" s="1"/>
  <c r="F1078" i="2"/>
  <c r="J1078" i="2" s="1"/>
  <c r="H1078" i="2" s="1"/>
  <c r="K1078" i="2"/>
  <c r="G1078" i="2"/>
  <c r="J466" i="2"/>
  <c r="H466" i="2" s="1"/>
  <c r="K474" i="2"/>
  <c r="I474" i="2"/>
  <c r="G474" i="2"/>
  <c r="F474" i="2"/>
  <c r="J474" i="2" s="1"/>
  <c r="H474" i="2" s="1"/>
  <c r="G483" i="2"/>
  <c r="F483" i="2"/>
  <c r="J483" i="2" s="1"/>
  <c r="H483" i="2" s="1"/>
  <c r="K483" i="2"/>
  <c r="G671" i="2"/>
  <c r="K671" i="2"/>
  <c r="J671" i="2"/>
  <c r="H671" i="2" s="1"/>
  <c r="I671" i="2"/>
  <c r="F681" i="2"/>
  <c r="I681" i="2" s="1"/>
  <c r="K681" i="2"/>
  <c r="G695" i="2"/>
  <c r="I729" i="2"/>
  <c r="F729" i="2"/>
  <c r="K729" i="2"/>
  <c r="J729" i="2"/>
  <c r="H729" i="2" s="1"/>
  <c r="J741" i="2"/>
  <c r="H741" i="2" s="1"/>
  <c r="K749" i="2"/>
  <c r="F749" i="2"/>
  <c r="I749" i="2" s="1"/>
  <c r="K760" i="2"/>
  <c r="G760" i="2"/>
  <c r="F760" i="2"/>
  <c r="I760" i="2" s="1"/>
  <c r="J804" i="2"/>
  <c r="H804" i="2" s="1"/>
  <c r="I804" i="2"/>
  <c r="F823" i="2"/>
  <c r="G823" i="2"/>
  <c r="J836" i="2"/>
  <c r="H836" i="2" s="1"/>
  <c r="I836" i="2"/>
  <c r="G836" i="2"/>
  <c r="K836" i="2"/>
  <c r="F836" i="2"/>
  <c r="K866" i="2"/>
  <c r="G1043" i="2"/>
  <c r="F1060" i="2"/>
  <c r="K1060" i="2"/>
  <c r="J1060" i="2"/>
  <c r="H1060" i="2" s="1"/>
  <c r="G1060" i="2"/>
  <c r="K1070" i="2"/>
  <c r="I1070" i="2"/>
  <c r="J1070" i="2"/>
  <c r="H1070" i="2" s="1"/>
  <c r="J1101" i="2"/>
  <c r="H1101" i="2" s="1"/>
  <c r="K1101" i="2"/>
  <c r="I1101" i="2"/>
  <c r="K1170" i="2"/>
  <c r="J1170" i="2"/>
  <c r="H1170" i="2" s="1"/>
  <c r="I1170" i="2"/>
  <c r="G1177" i="2"/>
  <c r="F1177" i="2"/>
  <c r="K1177" i="2" s="1"/>
  <c r="J1228" i="2"/>
  <c r="H1228" i="2" s="1"/>
  <c r="K1228" i="2"/>
  <c r="G1228" i="2"/>
  <c r="F1228" i="2"/>
  <c r="I1228" i="2" s="1"/>
  <c r="K539" i="2"/>
  <c r="K575" i="2"/>
  <c r="K593" i="2"/>
  <c r="K685" i="2"/>
  <c r="F709" i="2"/>
  <c r="J709" i="2" s="1"/>
  <c r="H709" i="2" s="1"/>
  <c r="J711" i="2"/>
  <c r="H711" i="2" s="1"/>
  <c r="G748" i="2"/>
  <c r="G755" i="2"/>
  <c r="F755" i="2"/>
  <c r="K755" i="2" s="1"/>
  <c r="I787" i="2"/>
  <c r="F787" i="2"/>
  <c r="K789" i="2"/>
  <c r="J789" i="2"/>
  <c r="H789" i="2" s="1"/>
  <c r="G826" i="2"/>
  <c r="G831" i="2"/>
  <c r="F831" i="2"/>
  <c r="K831" i="2" s="1"/>
  <c r="J859" i="2"/>
  <c r="H859" i="2" s="1"/>
  <c r="G872" i="2"/>
  <c r="I872" i="2"/>
  <c r="J872" i="2"/>
  <c r="H872" i="2" s="1"/>
  <c r="F872" i="2"/>
  <c r="K872" i="2" s="1"/>
  <c r="F875" i="2"/>
  <c r="J875" i="2" s="1"/>
  <c r="H875" i="2" s="1"/>
  <c r="G875" i="2"/>
  <c r="K882" i="2"/>
  <c r="F882" i="2"/>
  <c r="I882" i="2" s="1"/>
  <c r="J925" i="2"/>
  <c r="H925" i="2" s="1"/>
  <c r="G925" i="2"/>
  <c r="F925" i="2"/>
  <c r="I925" i="2"/>
  <c r="K948" i="2"/>
  <c r="G948" i="2"/>
  <c r="F948" i="2"/>
  <c r="I948" i="2" s="1"/>
  <c r="I957" i="2"/>
  <c r="G957" i="2"/>
  <c r="F957" i="2"/>
  <c r="J957" i="2" s="1"/>
  <c r="H957" i="2" s="1"/>
  <c r="J963" i="2"/>
  <c r="H963" i="2" s="1"/>
  <c r="G963" i="2"/>
  <c r="F963" i="2"/>
  <c r="K963" i="2" s="1"/>
  <c r="I993" i="2"/>
  <c r="G993" i="2"/>
  <c r="F993" i="2"/>
  <c r="K993" i="2" s="1"/>
  <c r="K1016" i="2"/>
  <c r="I1016" i="2"/>
  <c r="F1043" i="2"/>
  <c r="K1043" i="2" s="1"/>
  <c r="I1060" i="2"/>
  <c r="G1118" i="2"/>
  <c r="I1118" i="2"/>
  <c r="I441" i="2"/>
  <c r="I449" i="2"/>
  <c r="F485" i="2"/>
  <c r="J485" i="2" s="1"/>
  <c r="H485" i="2" s="1"/>
  <c r="G490" i="2"/>
  <c r="F505" i="2"/>
  <c r="J505" i="2" s="1"/>
  <c r="H505" i="2" s="1"/>
  <c r="J506" i="2"/>
  <c r="H506" i="2" s="1"/>
  <c r="F508" i="2"/>
  <c r="K508" i="2"/>
  <c r="F523" i="2"/>
  <c r="J523" i="2" s="1"/>
  <c r="H523" i="2" s="1"/>
  <c r="J524" i="2"/>
  <c r="H524" i="2" s="1"/>
  <c r="F526" i="2"/>
  <c r="K526" i="2"/>
  <c r="F539" i="2"/>
  <c r="J539" i="2" s="1"/>
  <c r="H539" i="2" s="1"/>
  <c r="J540" i="2"/>
  <c r="H540" i="2" s="1"/>
  <c r="F542" i="2"/>
  <c r="K542" i="2"/>
  <c r="F557" i="2"/>
  <c r="J557" i="2" s="1"/>
  <c r="H557" i="2" s="1"/>
  <c r="J558" i="2"/>
  <c r="H558" i="2" s="1"/>
  <c r="F560" i="2"/>
  <c r="K560" i="2"/>
  <c r="I566" i="2"/>
  <c r="F575" i="2"/>
  <c r="J575" i="2" s="1"/>
  <c r="H575" i="2" s="1"/>
  <c r="J576" i="2"/>
  <c r="H576" i="2" s="1"/>
  <c r="F578" i="2"/>
  <c r="K578" i="2"/>
  <c r="I584" i="2"/>
  <c r="F593" i="2"/>
  <c r="J593" i="2" s="1"/>
  <c r="H593" i="2" s="1"/>
  <c r="J594" i="2"/>
  <c r="H594" i="2" s="1"/>
  <c r="F596" i="2"/>
  <c r="I602" i="2"/>
  <c r="F611" i="2"/>
  <c r="J611" i="2" s="1"/>
  <c r="H611" i="2" s="1"/>
  <c r="J612" i="2"/>
  <c r="H612" i="2" s="1"/>
  <c r="F614" i="2"/>
  <c r="K614" i="2" s="1"/>
  <c r="I620" i="2"/>
  <c r="F627" i="2"/>
  <c r="J627" i="2" s="1"/>
  <c r="H627" i="2" s="1"/>
  <c r="J628" i="2"/>
  <c r="H628" i="2" s="1"/>
  <c r="F630" i="2"/>
  <c r="K630" i="2" s="1"/>
  <c r="F645" i="2"/>
  <c r="J645" i="2" s="1"/>
  <c r="H645" i="2" s="1"/>
  <c r="J646" i="2"/>
  <c r="H646" i="2" s="1"/>
  <c r="F648" i="2"/>
  <c r="K648" i="2"/>
  <c r="F665" i="2"/>
  <c r="J665" i="2" s="1"/>
  <c r="H665" i="2" s="1"/>
  <c r="J666" i="2"/>
  <c r="H666" i="2" s="1"/>
  <c r="F668" i="2"/>
  <c r="K668" i="2"/>
  <c r="I676" i="2"/>
  <c r="F685" i="2"/>
  <c r="J685" i="2" s="1"/>
  <c r="H685" i="2" s="1"/>
  <c r="J686" i="2"/>
  <c r="H686" i="2" s="1"/>
  <c r="F688" i="2"/>
  <c r="K688" i="2"/>
  <c r="I696" i="2"/>
  <c r="F703" i="2"/>
  <c r="J703" i="2" s="1"/>
  <c r="H703" i="2" s="1"/>
  <c r="G709" i="2"/>
  <c r="F711" i="2"/>
  <c r="K711" i="2" s="1"/>
  <c r="J713" i="2"/>
  <c r="H713" i="2" s="1"/>
  <c r="J738" i="2"/>
  <c r="H738" i="2" s="1"/>
  <c r="I738" i="2"/>
  <c r="G738" i="2"/>
  <c r="K740" i="2"/>
  <c r="I740" i="2"/>
  <c r="G745" i="2"/>
  <c r="F745" i="2"/>
  <c r="F748" i="2"/>
  <c r="J748" i="2" s="1"/>
  <c r="H748" i="2" s="1"/>
  <c r="F752" i="2"/>
  <c r="J752" i="2" s="1"/>
  <c r="H752" i="2" s="1"/>
  <c r="F775" i="2"/>
  <c r="K777" i="2"/>
  <c r="J777" i="2"/>
  <c r="H777" i="2" s="1"/>
  <c r="G787" i="2"/>
  <c r="F789" i="2"/>
  <c r="J791" i="2"/>
  <c r="H791" i="2" s="1"/>
  <c r="J816" i="2"/>
  <c r="H816" i="2" s="1"/>
  <c r="I816" i="2"/>
  <c r="G816" i="2"/>
  <c r="K818" i="2"/>
  <c r="I818" i="2"/>
  <c r="G821" i="2"/>
  <c r="F821" i="2"/>
  <c r="F826" i="2"/>
  <c r="J826" i="2" s="1"/>
  <c r="H826" i="2" s="1"/>
  <c r="F828" i="2"/>
  <c r="J828" i="2" s="1"/>
  <c r="H828" i="2" s="1"/>
  <c r="G840" i="2"/>
  <c r="F840" i="2"/>
  <c r="F859" i="2"/>
  <c r="K859" i="2" s="1"/>
  <c r="J865" i="2"/>
  <c r="H865" i="2" s="1"/>
  <c r="F865" i="2"/>
  <c r="K865" i="2" s="1"/>
  <c r="G882" i="2"/>
  <c r="F887" i="2"/>
  <c r="K887" i="2"/>
  <c r="G887" i="2"/>
  <c r="J901" i="2"/>
  <c r="H901" i="2" s="1"/>
  <c r="G901" i="2"/>
  <c r="F901" i="2"/>
  <c r="G916" i="2"/>
  <c r="J916" i="2"/>
  <c r="H916" i="2" s="1"/>
  <c r="F916" i="2"/>
  <c r="K916" i="2" s="1"/>
  <c r="I916" i="2"/>
  <c r="K925" i="2"/>
  <c r="J948" i="2"/>
  <c r="H948" i="2" s="1"/>
  <c r="G952" i="2"/>
  <c r="F952" i="2"/>
  <c r="K952" i="2" s="1"/>
  <c r="I952" i="2"/>
  <c r="I963" i="2"/>
  <c r="J973" i="2"/>
  <c r="H973" i="2" s="1"/>
  <c r="I973" i="2"/>
  <c r="K973" i="2"/>
  <c r="F973" i="2"/>
  <c r="J975" i="2"/>
  <c r="H975" i="2" s="1"/>
  <c r="F977" i="2"/>
  <c r="I977" i="2" s="1"/>
  <c r="G977" i="2"/>
  <c r="G988" i="2"/>
  <c r="J988" i="2"/>
  <c r="H988" i="2" s="1"/>
  <c r="F988" i="2"/>
  <c r="K988" i="2" s="1"/>
  <c r="I988" i="2"/>
  <c r="J993" i="2"/>
  <c r="H993" i="2" s="1"/>
  <c r="F1118" i="2"/>
  <c r="J1118" i="2" s="1"/>
  <c r="H1118" i="2" s="1"/>
  <c r="J441" i="2"/>
  <c r="H441" i="2" s="1"/>
  <c r="J449" i="2"/>
  <c r="H449" i="2" s="1"/>
  <c r="I457" i="2"/>
  <c r="J468" i="2"/>
  <c r="H468" i="2" s="1"/>
  <c r="K477" i="2"/>
  <c r="G485" i="2"/>
  <c r="F495" i="2"/>
  <c r="F498" i="2"/>
  <c r="I498" i="2" s="1"/>
  <c r="G505" i="2"/>
  <c r="G508" i="2"/>
  <c r="F511" i="2"/>
  <c r="F514" i="2"/>
  <c r="G523" i="2"/>
  <c r="G526" i="2"/>
  <c r="F529" i="2"/>
  <c r="F532" i="2"/>
  <c r="I532" i="2" s="1"/>
  <c r="G539" i="2"/>
  <c r="G542" i="2"/>
  <c r="I545" i="2"/>
  <c r="F545" i="2"/>
  <c r="F548" i="2"/>
  <c r="I548" i="2" s="1"/>
  <c r="G557" i="2"/>
  <c r="G560" i="2"/>
  <c r="I563" i="2"/>
  <c r="F563" i="2"/>
  <c r="F566" i="2"/>
  <c r="G575" i="2"/>
  <c r="G578" i="2"/>
  <c r="I581" i="2"/>
  <c r="F581" i="2"/>
  <c r="F584" i="2"/>
  <c r="G593" i="2"/>
  <c r="G596" i="2"/>
  <c r="F599" i="2"/>
  <c r="F602" i="2"/>
  <c r="G611" i="2"/>
  <c r="G614" i="2"/>
  <c r="F617" i="2"/>
  <c r="F620" i="2"/>
  <c r="G627" i="2"/>
  <c r="G630" i="2"/>
  <c r="F635" i="2"/>
  <c r="F638" i="2"/>
  <c r="I638" i="2" s="1"/>
  <c r="G645" i="2"/>
  <c r="G648" i="2"/>
  <c r="F651" i="2"/>
  <c r="F656" i="2"/>
  <c r="G665" i="2"/>
  <c r="I673" i="2"/>
  <c r="F673" i="2"/>
  <c r="G685" i="2"/>
  <c r="I691" i="2"/>
  <c r="F691" i="2"/>
  <c r="G703" i="2"/>
  <c r="J705" i="2"/>
  <c r="H705" i="2" s="1"/>
  <c r="G711" i="2"/>
  <c r="J730" i="2"/>
  <c r="H730" i="2" s="1"/>
  <c r="I730" i="2"/>
  <c r="G730" i="2"/>
  <c r="K732" i="2"/>
  <c r="I732" i="2"/>
  <c r="G735" i="2"/>
  <c r="F735" i="2"/>
  <c r="I736" i="2"/>
  <c r="G752" i="2"/>
  <c r="I755" i="2"/>
  <c r="I765" i="2"/>
  <c r="F765" i="2"/>
  <c r="K769" i="2"/>
  <c r="J769" i="2"/>
  <c r="H769" i="2" s="1"/>
  <c r="J781" i="2"/>
  <c r="H781" i="2" s="1"/>
  <c r="J787" i="2"/>
  <c r="H787" i="2" s="1"/>
  <c r="G789" i="2"/>
  <c r="J808" i="2"/>
  <c r="H808" i="2" s="1"/>
  <c r="I808" i="2"/>
  <c r="G808" i="2"/>
  <c r="K810" i="2"/>
  <c r="I810" i="2"/>
  <c r="G813" i="2"/>
  <c r="F813" i="2"/>
  <c r="I814" i="2"/>
  <c r="G828" i="2"/>
  <c r="I831" i="2"/>
  <c r="J844" i="2"/>
  <c r="H844" i="2" s="1"/>
  <c r="I844" i="2"/>
  <c r="J850" i="2"/>
  <c r="H850" i="2" s="1"/>
  <c r="G859" i="2"/>
  <c r="F868" i="2"/>
  <c r="K868" i="2" s="1"/>
  <c r="K873" i="2"/>
  <c r="J873" i="2"/>
  <c r="H873" i="2" s="1"/>
  <c r="G873" i="2"/>
  <c r="K876" i="2"/>
  <c r="J876" i="2"/>
  <c r="H876" i="2" s="1"/>
  <c r="G876" i="2"/>
  <c r="J882" i="2"/>
  <c r="H882" i="2" s="1"/>
  <c r="K885" i="2"/>
  <c r="F885" i="2"/>
  <c r="J885" i="2" s="1"/>
  <c r="H885" i="2" s="1"/>
  <c r="I890" i="2"/>
  <c r="G890" i="2"/>
  <c r="F890" i="2"/>
  <c r="F905" i="2"/>
  <c r="I905" i="2" s="1"/>
  <c r="J905" i="2"/>
  <c r="H905" i="2" s="1"/>
  <c r="G905" i="2"/>
  <c r="J934" i="2"/>
  <c r="H934" i="2" s="1"/>
  <c r="F943" i="2"/>
  <c r="J943" i="2" s="1"/>
  <c r="H943" i="2" s="1"/>
  <c r="G943" i="2"/>
  <c r="J964" i="2"/>
  <c r="H964" i="2" s="1"/>
  <c r="F964" i="2"/>
  <c r="I964" i="2" s="1"/>
  <c r="K975" i="2"/>
  <c r="K985" i="2"/>
  <c r="J985" i="2"/>
  <c r="H985" i="2" s="1"/>
  <c r="I985" i="2"/>
  <c r="K1014" i="2"/>
  <c r="I1014" i="2"/>
  <c r="J1014" i="2"/>
  <c r="H1014" i="2" s="1"/>
  <c r="K1051" i="2"/>
  <c r="K1107" i="2"/>
  <c r="G1107" i="2"/>
  <c r="F1107" i="2"/>
  <c r="J1107" i="2" s="1"/>
  <c r="H1107" i="2" s="1"/>
  <c r="I490" i="2"/>
  <c r="I499" i="2"/>
  <c r="J504" i="2"/>
  <c r="H504" i="2" s="1"/>
  <c r="G504" i="2"/>
  <c r="I515" i="2"/>
  <c r="J522" i="2"/>
  <c r="H522" i="2" s="1"/>
  <c r="G522" i="2"/>
  <c r="I523" i="2"/>
  <c r="I533" i="2"/>
  <c r="J538" i="2"/>
  <c r="H538" i="2" s="1"/>
  <c r="G538" i="2"/>
  <c r="I549" i="2"/>
  <c r="J556" i="2"/>
  <c r="H556" i="2" s="1"/>
  <c r="G556" i="2"/>
  <c r="I557" i="2"/>
  <c r="I567" i="2"/>
  <c r="J572" i="2"/>
  <c r="H572" i="2" s="1"/>
  <c r="G572" i="2"/>
  <c r="I575" i="2"/>
  <c r="I585" i="2"/>
  <c r="J592" i="2"/>
  <c r="H592" i="2" s="1"/>
  <c r="G592" i="2"/>
  <c r="I593" i="2"/>
  <c r="I603" i="2"/>
  <c r="J610" i="2"/>
  <c r="H610" i="2" s="1"/>
  <c r="G610" i="2"/>
  <c r="I621" i="2"/>
  <c r="J626" i="2"/>
  <c r="H626" i="2" s="1"/>
  <c r="G626" i="2"/>
  <c r="J644" i="2"/>
  <c r="H644" i="2" s="1"/>
  <c r="G644" i="2"/>
  <c r="I645" i="2"/>
  <c r="J647" i="2"/>
  <c r="H647" i="2" s="1"/>
  <c r="J664" i="2"/>
  <c r="H664" i="2" s="1"/>
  <c r="G664" i="2"/>
  <c r="I665" i="2"/>
  <c r="J667" i="2"/>
  <c r="H667" i="2" s="1"/>
  <c r="J684" i="2"/>
  <c r="H684" i="2" s="1"/>
  <c r="G684" i="2"/>
  <c r="I685" i="2"/>
  <c r="J687" i="2"/>
  <c r="H687" i="2" s="1"/>
  <c r="J702" i="2"/>
  <c r="H702" i="2" s="1"/>
  <c r="G702" i="2"/>
  <c r="I703" i="2"/>
  <c r="I711" i="2"/>
  <c r="J720" i="2"/>
  <c r="H720" i="2" s="1"/>
  <c r="I720" i="2"/>
  <c r="G720" i="2"/>
  <c r="K722" i="2"/>
  <c r="I722" i="2"/>
  <c r="G725" i="2"/>
  <c r="F725" i="2"/>
  <c r="J755" i="2"/>
  <c r="H755" i="2" s="1"/>
  <c r="I757" i="2"/>
  <c r="F757" i="2"/>
  <c r="K757" i="2" s="1"/>
  <c r="K759" i="2"/>
  <c r="J759" i="2"/>
  <c r="H759" i="2" s="1"/>
  <c r="J771" i="2"/>
  <c r="H771" i="2" s="1"/>
  <c r="K787" i="2"/>
  <c r="I789" i="2"/>
  <c r="J798" i="2"/>
  <c r="H798" i="2" s="1"/>
  <c r="I798" i="2"/>
  <c r="G798" i="2"/>
  <c r="K800" i="2"/>
  <c r="I800" i="2"/>
  <c r="G805" i="2"/>
  <c r="F805" i="2"/>
  <c r="J831" i="2"/>
  <c r="H831" i="2" s="1"/>
  <c r="I835" i="2"/>
  <c r="F835" i="2"/>
  <c r="K835" i="2" s="1"/>
  <c r="K837" i="2"/>
  <c r="J837" i="2"/>
  <c r="H837" i="2" s="1"/>
  <c r="I848" i="2"/>
  <c r="J848" i="2"/>
  <c r="H848" i="2" s="1"/>
  <c r="F848" i="2"/>
  <c r="F852" i="2"/>
  <c r="J852" i="2" s="1"/>
  <c r="H852" i="2" s="1"/>
  <c r="G852" i="2"/>
  <c r="G856" i="2"/>
  <c r="K856" i="2"/>
  <c r="I856" i="2"/>
  <c r="I859" i="2"/>
  <c r="F863" i="2"/>
  <c r="I863" i="2" s="1"/>
  <c r="G863" i="2"/>
  <c r="J938" i="2"/>
  <c r="H938" i="2" s="1"/>
  <c r="G964" i="2"/>
  <c r="I967" i="2"/>
  <c r="G967" i="2"/>
  <c r="F967" i="2"/>
  <c r="J967" i="2" s="1"/>
  <c r="H967" i="2" s="1"/>
  <c r="K967" i="2"/>
  <c r="G978" i="2"/>
  <c r="I978" i="2"/>
  <c r="F978" i="2"/>
  <c r="J978" i="2" s="1"/>
  <c r="H978" i="2" s="1"/>
  <c r="J1007" i="2"/>
  <c r="H1007" i="2" s="1"/>
  <c r="I1007" i="2"/>
  <c r="K1039" i="2"/>
  <c r="I1039" i="2"/>
  <c r="G1039" i="2"/>
  <c r="J1039" i="2"/>
  <c r="H1039" i="2" s="1"/>
  <c r="K1041" i="2"/>
  <c r="I1041" i="2"/>
  <c r="J1064" i="2"/>
  <c r="H1064" i="2" s="1"/>
  <c r="G1064" i="2"/>
  <c r="K1064" i="2"/>
  <c r="I1064" i="2"/>
  <c r="G1097" i="2"/>
  <c r="F1097" i="2"/>
  <c r="K1097" i="2" s="1"/>
  <c r="F1105" i="2"/>
  <c r="I1105" i="2" s="1"/>
  <c r="G1105" i="2"/>
  <c r="J1105" i="2"/>
  <c r="H1105" i="2" s="1"/>
  <c r="F893" i="2"/>
  <c r="J893" i="2" s="1"/>
  <c r="H893" i="2" s="1"/>
  <c r="G893" i="2"/>
  <c r="K893" i="2"/>
  <c r="G908" i="2"/>
  <c r="F908" i="2"/>
  <c r="K908" i="2" s="1"/>
  <c r="J935" i="2"/>
  <c r="H935" i="2" s="1"/>
  <c r="I935" i="2"/>
  <c r="J981" i="2"/>
  <c r="H981" i="2" s="1"/>
  <c r="I981" i="2"/>
  <c r="G981" i="2"/>
  <c r="F981" i="2"/>
  <c r="K981" i="2" s="1"/>
  <c r="F1005" i="2"/>
  <c r="K1005" i="2" s="1"/>
  <c r="J1005" i="2"/>
  <c r="H1005" i="2" s="1"/>
  <c r="I1005" i="2"/>
  <c r="G1005" i="2"/>
  <c r="K1049" i="2"/>
  <c r="F1049" i="2"/>
  <c r="J1049" i="2"/>
  <c r="H1049" i="2" s="1"/>
  <c r="G1049" i="2"/>
  <c r="K1074" i="2"/>
  <c r="I1074" i="2"/>
  <c r="K490" i="2"/>
  <c r="F500" i="2"/>
  <c r="I500" i="2" s="1"/>
  <c r="I506" i="2"/>
  <c r="F516" i="2"/>
  <c r="I516" i="2" s="1"/>
  <c r="K516" i="2"/>
  <c r="I524" i="2"/>
  <c r="F534" i="2"/>
  <c r="I534" i="2" s="1"/>
  <c r="K534" i="2"/>
  <c r="I540" i="2"/>
  <c r="F550" i="2"/>
  <c r="I550" i="2" s="1"/>
  <c r="K550" i="2"/>
  <c r="I558" i="2"/>
  <c r="F568" i="2"/>
  <c r="I568" i="2" s="1"/>
  <c r="K568" i="2"/>
  <c r="I576" i="2"/>
  <c r="F588" i="2"/>
  <c r="I588" i="2" s="1"/>
  <c r="K588" i="2"/>
  <c r="I594" i="2"/>
  <c r="F604" i="2"/>
  <c r="I604" i="2" s="1"/>
  <c r="I612" i="2"/>
  <c r="F622" i="2"/>
  <c r="I622" i="2" s="1"/>
  <c r="I628" i="2"/>
  <c r="F640" i="2"/>
  <c r="I640" i="2" s="1"/>
  <c r="I646" i="2"/>
  <c r="F658" i="2"/>
  <c r="I658" i="2" s="1"/>
  <c r="K658" i="2"/>
  <c r="I666" i="2"/>
  <c r="F678" i="2"/>
  <c r="I678" i="2" s="1"/>
  <c r="K678" i="2"/>
  <c r="I686" i="2"/>
  <c r="F698" i="2"/>
  <c r="I698" i="2" s="1"/>
  <c r="K698" i="2"/>
  <c r="K704" i="2"/>
  <c r="I704" i="2"/>
  <c r="G707" i="2"/>
  <c r="F707" i="2"/>
  <c r="G722" i="2"/>
  <c r="I725" i="2"/>
  <c r="F737" i="2"/>
  <c r="K739" i="2"/>
  <c r="J739" i="2"/>
  <c r="H739" i="2" s="1"/>
  <c r="J753" i="2"/>
  <c r="H753" i="2" s="1"/>
  <c r="J757" i="2"/>
  <c r="H757" i="2" s="1"/>
  <c r="G759" i="2"/>
  <c r="J776" i="2"/>
  <c r="H776" i="2" s="1"/>
  <c r="I776" i="2"/>
  <c r="G776" i="2"/>
  <c r="K780" i="2"/>
  <c r="I780" i="2"/>
  <c r="G783" i="2"/>
  <c r="F783" i="2"/>
  <c r="G800" i="2"/>
  <c r="I805" i="2"/>
  <c r="F815" i="2"/>
  <c r="K817" i="2"/>
  <c r="J817" i="2"/>
  <c r="H817" i="2" s="1"/>
  <c r="J829" i="2"/>
  <c r="H829" i="2" s="1"/>
  <c r="J835" i="2"/>
  <c r="H835" i="2" s="1"/>
  <c r="G837" i="2"/>
  <c r="I842" i="2"/>
  <c r="F842" i="2"/>
  <c r="K848" i="2"/>
  <c r="J853" i="2"/>
  <c r="H853" i="2" s="1"/>
  <c r="I874" i="2"/>
  <c r="G874" i="2"/>
  <c r="F874" i="2"/>
  <c r="J874" i="2" s="1"/>
  <c r="H874" i="2" s="1"/>
  <c r="K874" i="2"/>
  <c r="G877" i="2"/>
  <c r="F877" i="2"/>
  <c r="I877" i="2" s="1"/>
  <c r="K877" i="2"/>
  <c r="F879" i="2"/>
  <c r="J879" i="2" s="1"/>
  <c r="H879" i="2" s="1"/>
  <c r="G879" i="2"/>
  <c r="I893" i="2"/>
  <c r="J899" i="2"/>
  <c r="H899" i="2" s="1"/>
  <c r="I899" i="2"/>
  <c r="J922" i="2"/>
  <c r="H922" i="2" s="1"/>
  <c r="I922" i="2"/>
  <c r="K922" i="2"/>
  <c r="K927" i="2"/>
  <c r="F931" i="2"/>
  <c r="J931" i="2" s="1"/>
  <c r="H931" i="2" s="1"/>
  <c r="G931" i="2"/>
  <c r="K935" i="2"/>
  <c r="J996" i="2"/>
  <c r="H996" i="2" s="1"/>
  <c r="I996" i="2"/>
  <c r="K999" i="2"/>
  <c r="I999" i="2"/>
  <c r="I1008" i="2"/>
  <c r="J1008" i="2"/>
  <c r="H1008" i="2" s="1"/>
  <c r="G1008" i="2"/>
  <c r="F1008" i="2"/>
  <c r="K1008" i="2" s="1"/>
  <c r="I1049" i="2"/>
  <c r="K1059" i="2"/>
  <c r="I1059" i="2"/>
  <c r="I1151" i="2"/>
  <c r="K1151" i="2"/>
  <c r="J1151" i="2"/>
  <c r="H1151" i="2" s="1"/>
  <c r="G1151" i="2"/>
  <c r="F1151" i="2"/>
  <c r="F1156" i="2"/>
  <c r="I1156" i="2" s="1"/>
  <c r="K1156" i="2"/>
  <c r="G1156" i="2"/>
  <c r="I1293" i="2"/>
  <c r="J1293" i="2"/>
  <c r="H1293" i="2" s="1"/>
  <c r="J891" i="2"/>
  <c r="H891" i="2" s="1"/>
  <c r="K891" i="2"/>
  <c r="F895" i="2"/>
  <c r="J895" i="2" s="1"/>
  <c r="H895" i="2" s="1"/>
  <c r="I895" i="2"/>
  <c r="J902" i="2"/>
  <c r="H902" i="2" s="1"/>
  <c r="K910" i="2"/>
  <c r="G929" i="2"/>
  <c r="F929" i="2"/>
  <c r="K929" i="2" s="1"/>
  <c r="I947" i="2"/>
  <c r="G947" i="2"/>
  <c r="F947" i="2"/>
  <c r="J947" i="2" s="1"/>
  <c r="H947" i="2" s="1"/>
  <c r="G956" i="2"/>
  <c r="F956" i="2"/>
  <c r="K956" i="2" s="1"/>
  <c r="J958" i="2"/>
  <c r="H958" i="2" s="1"/>
  <c r="I958" i="2"/>
  <c r="F969" i="2"/>
  <c r="K969" i="2" s="1"/>
  <c r="K992" i="2"/>
  <c r="I992" i="2"/>
  <c r="G992" i="2"/>
  <c r="F992" i="2"/>
  <c r="J994" i="2"/>
  <c r="H994" i="2" s="1"/>
  <c r="I994" i="2"/>
  <c r="G1003" i="2"/>
  <c r="F1003" i="2"/>
  <c r="K1003" i="2" s="1"/>
  <c r="F1055" i="2"/>
  <c r="J1055" i="2" s="1"/>
  <c r="H1055" i="2" s="1"/>
  <c r="K1057" i="2"/>
  <c r="I1057" i="2"/>
  <c r="G1057" i="2"/>
  <c r="G1061" i="2"/>
  <c r="K1061" i="2"/>
  <c r="J1061" i="2"/>
  <c r="H1061" i="2" s="1"/>
  <c r="G1093" i="2"/>
  <c r="J1093" i="2"/>
  <c r="H1093" i="2" s="1"/>
  <c r="G1137" i="2"/>
  <c r="F1065" i="2"/>
  <c r="I1065" i="2" s="1"/>
  <c r="F1093" i="2"/>
  <c r="I1093" i="2" s="1"/>
  <c r="I1123" i="2"/>
  <c r="K1123" i="2"/>
  <c r="G1123" i="2"/>
  <c r="F1123" i="2"/>
  <c r="G1129" i="2"/>
  <c r="J1129" i="2"/>
  <c r="H1129" i="2" s="1"/>
  <c r="F1129" i="2"/>
  <c r="K1129" i="2" s="1"/>
  <c r="F1137" i="2"/>
  <c r="K1137" i="2" s="1"/>
  <c r="K706" i="2"/>
  <c r="K714" i="2"/>
  <c r="K724" i="2"/>
  <c r="K734" i="2"/>
  <c r="K744" i="2"/>
  <c r="K754" i="2"/>
  <c r="K762" i="2"/>
  <c r="K772" i="2"/>
  <c r="K782" i="2"/>
  <c r="K794" i="2"/>
  <c r="K804" i="2"/>
  <c r="K812" i="2"/>
  <c r="K820" i="2"/>
  <c r="K830" i="2"/>
  <c r="K846" i="2"/>
  <c r="F855" i="2"/>
  <c r="I858" i="2"/>
  <c r="I881" i="2"/>
  <c r="F884" i="2"/>
  <c r="G891" i="2"/>
  <c r="K903" i="2"/>
  <c r="K907" i="2"/>
  <c r="G910" i="2"/>
  <c r="I917" i="2"/>
  <c r="I926" i="2"/>
  <c r="J926" i="2"/>
  <c r="H926" i="2" s="1"/>
  <c r="J929" i="2"/>
  <c r="H929" i="2" s="1"/>
  <c r="J937" i="2"/>
  <c r="H937" i="2" s="1"/>
  <c r="I937" i="2"/>
  <c r="G944" i="2"/>
  <c r="J944" i="2"/>
  <c r="H944" i="2" s="1"/>
  <c r="I944" i="2"/>
  <c r="K947" i="2"/>
  <c r="J953" i="2"/>
  <c r="H953" i="2" s="1"/>
  <c r="I953" i="2"/>
  <c r="K984" i="2"/>
  <c r="I984" i="2"/>
  <c r="J989" i="2"/>
  <c r="H989" i="2" s="1"/>
  <c r="I989" i="2"/>
  <c r="J992" i="2"/>
  <c r="H992" i="2" s="1"/>
  <c r="I998" i="2"/>
  <c r="J998" i="2"/>
  <c r="H998" i="2" s="1"/>
  <c r="J1011" i="2"/>
  <c r="H1011" i="2" s="1"/>
  <c r="F1022" i="2"/>
  <c r="I1022" i="2" s="1"/>
  <c r="G1022" i="2"/>
  <c r="J1028" i="2"/>
  <c r="H1028" i="2" s="1"/>
  <c r="G1028" i="2"/>
  <c r="K1028" i="2"/>
  <c r="I1028" i="2"/>
  <c r="J1057" i="2"/>
  <c r="H1057" i="2" s="1"/>
  <c r="G1065" i="2"/>
  <c r="I1071" i="2"/>
  <c r="F1071" i="2"/>
  <c r="J1071" i="2" s="1"/>
  <c r="H1071" i="2" s="1"/>
  <c r="K1071" i="2"/>
  <c r="K1075" i="2"/>
  <c r="I1075" i="2"/>
  <c r="G1075" i="2"/>
  <c r="K1083" i="2"/>
  <c r="I1083" i="2"/>
  <c r="J1083" i="2"/>
  <c r="H1083" i="2" s="1"/>
  <c r="G1083" i="2"/>
  <c r="I1089" i="2"/>
  <c r="J1108" i="2"/>
  <c r="H1108" i="2" s="1"/>
  <c r="K1108" i="2"/>
  <c r="G1108" i="2"/>
  <c r="F1108" i="2"/>
  <c r="I1108" i="2" s="1"/>
  <c r="J1123" i="2"/>
  <c r="H1123" i="2" s="1"/>
  <c r="F1130" i="2"/>
  <c r="G1130" i="2"/>
  <c r="F1160" i="2"/>
  <c r="J1160" i="2" s="1"/>
  <c r="H1160" i="2" s="1"/>
  <c r="G1160" i="2"/>
  <c r="K1036" i="2"/>
  <c r="I1036" i="2"/>
  <c r="J1050" i="2"/>
  <c r="H1050" i="2" s="1"/>
  <c r="G1050" i="2"/>
  <c r="F1050" i="2"/>
  <c r="I1050" i="2" s="1"/>
  <c r="I1091" i="2"/>
  <c r="G1091" i="2"/>
  <c r="F1091" i="2"/>
  <c r="K1091" i="2" s="1"/>
  <c r="I1113" i="2"/>
  <c r="K1113" i="2"/>
  <c r="G1113" i="2"/>
  <c r="J1124" i="2"/>
  <c r="H1124" i="2" s="1"/>
  <c r="G1124" i="2"/>
  <c r="G1132" i="2"/>
  <c r="K1187" i="2"/>
  <c r="J1187" i="2"/>
  <c r="H1187" i="2" s="1"/>
  <c r="I1187" i="2"/>
  <c r="K1391" i="2"/>
  <c r="J1391" i="2"/>
  <c r="H1391" i="2" s="1"/>
  <c r="I1391" i="2"/>
  <c r="G1391" i="2"/>
  <c r="F1391" i="2"/>
  <c r="G864" i="2"/>
  <c r="F871" i="2"/>
  <c r="G871" i="2"/>
  <c r="J888" i="2"/>
  <c r="H888" i="2" s="1"/>
  <c r="I891" i="2"/>
  <c r="K895" i="2"/>
  <c r="I909" i="2"/>
  <c r="F909" i="2"/>
  <c r="K909" i="2" s="1"/>
  <c r="J910" i="2"/>
  <c r="H910" i="2" s="1"/>
  <c r="J919" i="2"/>
  <c r="H919" i="2" s="1"/>
  <c r="G919" i="2"/>
  <c r="I921" i="2"/>
  <c r="F1015" i="2"/>
  <c r="J1015" i="2" s="1"/>
  <c r="H1015" i="2" s="1"/>
  <c r="G1017" i="2"/>
  <c r="G1023" i="2"/>
  <c r="K1023" i="2"/>
  <c r="I1038" i="2"/>
  <c r="F1042" i="2"/>
  <c r="K1042" i="2"/>
  <c r="J1042" i="2"/>
  <c r="H1042" i="2" s="1"/>
  <c r="G1042" i="2"/>
  <c r="J1048" i="2"/>
  <c r="H1048" i="2" s="1"/>
  <c r="G1048" i="2"/>
  <c r="I1048" i="2"/>
  <c r="J1084" i="2"/>
  <c r="H1084" i="2" s="1"/>
  <c r="I1084" i="2"/>
  <c r="F1084" i="2"/>
  <c r="K1084" i="2" s="1"/>
  <c r="F1086" i="2"/>
  <c r="I1086" i="2" s="1"/>
  <c r="K1086" i="2"/>
  <c r="G1104" i="2"/>
  <c r="F1113" i="2"/>
  <c r="J1113" i="2" s="1"/>
  <c r="H1113" i="2" s="1"/>
  <c r="F1124" i="2"/>
  <c r="K1124" i="2" s="1"/>
  <c r="F1132" i="2"/>
  <c r="J1132" i="2" s="1"/>
  <c r="H1132" i="2" s="1"/>
  <c r="F1208" i="2"/>
  <c r="J1208" i="2"/>
  <c r="H1208" i="2" s="1"/>
  <c r="I1208" i="2"/>
  <c r="K1208" i="2"/>
  <c r="G1208" i="2"/>
  <c r="J839" i="2"/>
  <c r="H839" i="2" s="1"/>
  <c r="K850" i="2"/>
  <c r="F860" i="2"/>
  <c r="K860" i="2" s="1"/>
  <c r="F864" i="2"/>
  <c r="F867" i="2"/>
  <c r="G880" i="2"/>
  <c r="F880" i="2"/>
  <c r="F883" i="2"/>
  <c r="K888" i="2"/>
  <c r="K892" i="2"/>
  <c r="G906" i="2"/>
  <c r="I906" i="2"/>
  <c r="G909" i="2"/>
  <c r="J911" i="2"/>
  <c r="H911" i="2" s="1"/>
  <c r="F919" i="2"/>
  <c r="F921" i="2"/>
  <c r="J921" i="2" s="1"/>
  <c r="H921" i="2" s="1"/>
  <c r="K1011" i="2"/>
  <c r="G1015" i="2"/>
  <c r="F1017" i="2"/>
  <c r="J1017" i="2" s="1"/>
  <c r="H1017" i="2" s="1"/>
  <c r="F1023" i="2"/>
  <c r="I1023" i="2" s="1"/>
  <c r="K1029" i="2"/>
  <c r="F1029" i="2"/>
  <c r="J1036" i="2"/>
  <c r="H1036" i="2" s="1"/>
  <c r="I1042" i="2"/>
  <c r="F1048" i="2"/>
  <c r="K1048" i="2" s="1"/>
  <c r="K1050" i="2"/>
  <c r="K1054" i="2"/>
  <c r="I1054" i="2"/>
  <c r="G1066" i="2"/>
  <c r="F1066" i="2"/>
  <c r="K1066" i="2" s="1"/>
  <c r="G1081" i="2"/>
  <c r="F1081" i="2"/>
  <c r="K1081" i="2" s="1"/>
  <c r="G1084" i="2"/>
  <c r="G1086" i="2"/>
  <c r="J1091" i="2"/>
  <c r="H1091" i="2" s="1"/>
  <c r="J1096" i="2"/>
  <c r="H1096" i="2" s="1"/>
  <c r="K1096" i="2"/>
  <c r="G1096" i="2"/>
  <c r="F1096" i="2"/>
  <c r="I1096" i="2" s="1"/>
  <c r="F1104" i="2"/>
  <c r="K1104" i="2" s="1"/>
  <c r="K1109" i="2"/>
  <c r="J1109" i="2"/>
  <c r="H1109" i="2" s="1"/>
  <c r="I1109" i="2"/>
  <c r="F1114" i="2"/>
  <c r="G1114" i="2"/>
  <c r="F1120" i="2"/>
  <c r="I1120" i="2" s="1"/>
  <c r="K1120" i="2"/>
  <c r="J1120" i="2"/>
  <c r="H1120" i="2" s="1"/>
  <c r="I1141" i="2"/>
  <c r="F1141" i="2"/>
  <c r="K1141" i="2"/>
  <c r="J1141" i="2"/>
  <c r="H1141" i="2" s="1"/>
  <c r="G1143" i="2"/>
  <c r="F1143" i="2"/>
  <c r="K1143" i="2" s="1"/>
  <c r="F1184" i="2"/>
  <c r="I1184" i="2" s="1"/>
  <c r="K1184" i="2"/>
  <c r="G1184" i="2"/>
  <c r="F1240" i="2"/>
  <c r="J1240" i="2" s="1"/>
  <c r="H1240" i="2" s="1"/>
  <c r="G1240" i="2"/>
  <c r="K1252" i="2"/>
  <c r="J1252" i="2"/>
  <c r="H1252" i="2" s="1"/>
  <c r="I1252" i="2"/>
  <c r="K1148" i="2"/>
  <c r="J1148" i="2"/>
  <c r="H1148" i="2" s="1"/>
  <c r="I1148" i="2"/>
  <c r="G1148" i="2"/>
  <c r="J1154" i="2"/>
  <c r="H1154" i="2" s="1"/>
  <c r="I1154" i="2"/>
  <c r="G1154" i="2"/>
  <c r="F1191" i="2"/>
  <c r="I1191" i="2" s="1"/>
  <c r="J1191" i="2"/>
  <c r="H1191" i="2" s="1"/>
  <c r="K1214" i="2"/>
  <c r="J1214" i="2"/>
  <c r="H1214" i="2" s="1"/>
  <c r="I1214" i="2"/>
  <c r="K1221" i="2"/>
  <c r="J1221" i="2"/>
  <c r="H1221" i="2" s="1"/>
  <c r="K1230" i="2"/>
  <c r="I1230" i="2"/>
  <c r="G1283" i="2"/>
  <c r="K1283" i="2"/>
  <c r="J1283" i="2"/>
  <c r="H1283" i="2" s="1"/>
  <c r="I1283" i="2"/>
  <c r="F1298" i="2"/>
  <c r="J1298" i="2" s="1"/>
  <c r="H1298" i="2" s="1"/>
  <c r="G1298" i="2"/>
  <c r="G1307" i="2"/>
  <c r="J1307" i="2"/>
  <c r="H1307" i="2" s="1"/>
  <c r="F1307" i="2"/>
  <c r="K1307" i="2" s="1"/>
  <c r="I1307" i="2"/>
  <c r="I1459" i="2"/>
  <c r="G1459" i="2"/>
  <c r="F1459" i="2"/>
  <c r="J1459" i="2" s="1"/>
  <c r="H1459" i="2" s="1"/>
  <c r="K1181" i="2"/>
  <c r="G1181" i="2"/>
  <c r="J1181" i="2"/>
  <c r="H1181" i="2" s="1"/>
  <c r="I1181" i="2"/>
  <c r="G1191" i="2"/>
  <c r="K1225" i="2"/>
  <c r="J1225" i="2"/>
  <c r="H1225" i="2" s="1"/>
  <c r="I1225" i="2"/>
  <c r="K1260" i="2"/>
  <c r="I1260" i="2"/>
  <c r="F1260" i="2"/>
  <c r="J1260" i="2" s="1"/>
  <c r="H1260" i="2" s="1"/>
  <c r="K1431" i="2"/>
  <c r="I1431" i="2"/>
  <c r="J1431" i="2"/>
  <c r="H1431" i="2" s="1"/>
  <c r="I1448" i="2"/>
  <c r="K1448" i="2"/>
  <c r="G1448" i="2"/>
  <c r="F1448" i="2"/>
  <c r="J1448" i="2" s="1"/>
  <c r="H1448" i="2" s="1"/>
  <c r="K1145" i="2"/>
  <c r="J1145" i="2"/>
  <c r="H1145" i="2" s="1"/>
  <c r="F1166" i="2"/>
  <c r="K1166" i="2"/>
  <c r="J1166" i="2"/>
  <c r="H1166" i="2" s="1"/>
  <c r="I1166" i="2"/>
  <c r="J1172" i="2"/>
  <c r="H1172" i="2" s="1"/>
  <c r="I1172" i="2"/>
  <c r="G1172" i="2"/>
  <c r="G1206" i="2"/>
  <c r="F1206" i="2"/>
  <c r="J1206" i="2" s="1"/>
  <c r="H1206" i="2" s="1"/>
  <c r="J1212" i="2"/>
  <c r="H1212" i="2" s="1"/>
  <c r="K1212" i="2"/>
  <c r="G1212" i="2"/>
  <c r="G1219" i="2"/>
  <c r="I1232" i="2"/>
  <c r="J1232" i="2"/>
  <c r="H1232" i="2" s="1"/>
  <c r="F1234" i="2"/>
  <c r="K1234" i="2" s="1"/>
  <c r="G1234" i="2"/>
  <c r="K1323" i="2"/>
  <c r="J1323" i="2"/>
  <c r="H1323" i="2" s="1"/>
  <c r="K1394" i="2"/>
  <c r="J1394" i="2"/>
  <c r="H1394" i="2" s="1"/>
  <c r="G1394" i="2"/>
  <c r="F1394" i="2"/>
  <c r="I1394" i="2" s="1"/>
  <c r="K896" i="2"/>
  <c r="K923" i="2"/>
  <c r="K934" i="2"/>
  <c r="F1027" i="2"/>
  <c r="K1027" i="2" s="1"/>
  <c r="F1047" i="2"/>
  <c r="K1047" i="2" s="1"/>
  <c r="F1063" i="2"/>
  <c r="K1063" i="2" s="1"/>
  <c r="J1077" i="2"/>
  <c r="H1077" i="2" s="1"/>
  <c r="G1121" i="2"/>
  <c r="F1121" i="2"/>
  <c r="F1133" i="2"/>
  <c r="K1133" i="2" s="1"/>
  <c r="K1138" i="2"/>
  <c r="J1138" i="2"/>
  <c r="H1138" i="2" s="1"/>
  <c r="K1155" i="2"/>
  <c r="J1155" i="2"/>
  <c r="H1155" i="2" s="1"/>
  <c r="I1155" i="2"/>
  <c r="I1159" i="2"/>
  <c r="K1159" i="2"/>
  <c r="J1159" i="2"/>
  <c r="H1159" i="2" s="1"/>
  <c r="G1159" i="2"/>
  <c r="G1166" i="2"/>
  <c r="F1172" i="2"/>
  <c r="K1172" i="2" s="1"/>
  <c r="I1174" i="2"/>
  <c r="K1178" i="2"/>
  <c r="J1178" i="2"/>
  <c r="H1178" i="2" s="1"/>
  <c r="F1186" i="2"/>
  <c r="K1186" i="2" s="1"/>
  <c r="G1186" i="2"/>
  <c r="F1212" i="2"/>
  <c r="I1212" i="2" s="1"/>
  <c r="F1219" i="2"/>
  <c r="J1219" i="2" s="1"/>
  <c r="H1219" i="2" s="1"/>
  <c r="K1223" i="2"/>
  <c r="I1223" i="2"/>
  <c r="J1223" i="2"/>
  <c r="H1223" i="2" s="1"/>
  <c r="G1223" i="2"/>
  <c r="F1232" i="2"/>
  <c r="K1232" i="2" s="1"/>
  <c r="I1281" i="2"/>
  <c r="K1281" i="2"/>
  <c r="J1281" i="2"/>
  <c r="H1281" i="2" s="1"/>
  <c r="K1318" i="2"/>
  <c r="I1318" i="2"/>
  <c r="F1491" i="2"/>
  <c r="K1491" i="2" s="1"/>
  <c r="K928" i="2"/>
  <c r="I946" i="2"/>
  <c r="J955" i="2"/>
  <c r="H955" i="2" s="1"/>
  <c r="K966" i="2"/>
  <c r="I980" i="2"/>
  <c r="J991" i="2"/>
  <c r="H991" i="2" s="1"/>
  <c r="K1002" i="2"/>
  <c r="J1016" i="2"/>
  <c r="H1016" i="2" s="1"/>
  <c r="G1016" i="2"/>
  <c r="J1021" i="2"/>
  <c r="H1021" i="2" s="1"/>
  <c r="J1038" i="2"/>
  <c r="H1038" i="2" s="1"/>
  <c r="G1038" i="2"/>
  <c r="J1041" i="2"/>
  <c r="H1041" i="2" s="1"/>
  <c r="J1056" i="2"/>
  <c r="H1056" i="2" s="1"/>
  <c r="G1056" i="2"/>
  <c r="J1059" i="2"/>
  <c r="H1059" i="2" s="1"/>
  <c r="J1074" i="2"/>
  <c r="H1074" i="2" s="1"/>
  <c r="G1074" i="2"/>
  <c r="F1092" i="2"/>
  <c r="K1092" i="2"/>
  <c r="I1092" i="2"/>
  <c r="F1098" i="2"/>
  <c r="K1098" i="2"/>
  <c r="F1110" i="2"/>
  <c r="G1110" i="2"/>
  <c r="K1119" i="2"/>
  <c r="I1119" i="2"/>
  <c r="F1125" i="2"/>
  <c r="K1125" i="2" s="1"/>
  <c r="G1133" i="2"/>
  <c r="J1144" i="2"/>
  <c r="H1144" i="2" s="1"/>
  <c r="I1144" i="2"/>
  <c r="G1167" i="2"/>
  <c r="K1167" i="2"/>
  <c r="J1167" i="2"/>
  <c r="H1167" i="2" s="1"/>
  <c r="K1173" i="2"/>
  <c r="J1173" i="2"/>
  <c r="H1173" i="2" s="1"/>
  <c r="I1173" i="2"/>
  <c r="G1189" i="2"/>
  <c r="F1189" i="2"/>
  <c r="I1189" i="2" s="1"/>
  <c r="K1189" i="2"/>
  <c r="J1189" i="2"/>
  <c r="H1189" i="2" s="1"/>
  <c r="G1202" i="2"/>
  <c r="F1202" i="2"/>
  <c r="I1202" i="2" s="1"/>
  <c r="I1206" i="2"/>
  <c r="G1232" i="2"/>
  <c r="F1268" i="2"/>
  <c r="K1268" i="2" s="1"/>
  <c r="G1268" i="2"/>
  <c r="G1352" i="2"/>
  <c r="F1352" i="2"/>
  <c r="K1352" i="2" s="1"/>
  <c r="J1352" i="2"/>
  <c r="H1352" i="2" s="1"/>
  <c r="I1352" i="2"/>
  <c r="K1385" i="2"/>
  <c r="I1385" i="2"/>
  <c r="J1385" i="2"/>
  <c r="H1385" i="2" s="1"/>
  <c r="J1360" i="2"/>
  <c r="H1360" i="2" s="1"/>
  <c r="K1360" i="2"/>
  <c r="I1360" i="2"/>
  <c r="K902" i="2"/>
  <c r="I918" i="2"/>
  <c r="J927" i="2"/>
  <c r="H927" i="2" s="1"/>
  <c r="G928" i="2"/>
  <c r="K938" i="2"/>
  <c r="G946" i="2"/>
  <c r="I954" i="2"/>
  <c r="G955" i="2"/>
  <c r="J965" i="2"/>
  <c r="H965" i="2" s="1"/>
  <c r="G966" i="2"/>
  <c r="K974" i="2"/>
  <c r="G980" i="2"/>
  <c r="I990" i="2"/>
  <c r="G991" i="2"/>
  <c r="J999" i="2"/>
  <c r="H999" i="2" s="1"/>
  <c r="G1002" i="2"/>
  <c r="F1012" i="2"/>
  <c r="K1012" i="2" s="1"/>
  <c r="I1013" i="2"/>
  <c r="I1020" i="2"/>
  <c r="F1034" i="2"/>
  <c r="K1034" i="2"/>
  <c r="I1035" i="2"/>
  <c r="I1040" i="2"/>
  <c r="J1047" i="2"/>
  <c r="H1047" i="2" s="1"/>
  <c r="F1052" i="2"/>
  <c r="K1052" i="2"/>
  <c r="I1053" i="2"/>
  <c r="I1058" i="2"/>
  <c r="J1063" i="2"/>
  <c r="H1063" i="2" s="1"/>
  <c r="F1068" i="2"/>
  <c r="K1068" i="2"/>
  <c r="I1069" i="2"/>
  <c r="J1076" i="2"/>
  <c r="H1076" i="2" s="1"/>
  <c r="I1076" i="2"/>
  <c r="I1085" i="2"/>
  <c r="J1092" i="2"/>
  <c r="H1092" i="2" s="1"/>
  <c r="J1094" i="2"/>
  <c r="H1094" i="2" s="1"/>
  <c r="G1103" i="2"/>
  <c r="K1103" i="2"/>
  <c r="I1103" i="2"/>
  <c r="I1110" i="2"/>
  <c r="K1112" i="2"/>
  <c r="I1112" i="2"/>
  <c r="G1112" i="2"/>
  <c r="J1119" i="2"/>
  <c r="H1119" i="2" s="1"/>
  <c r="F1128" i="2"/>
  <c r="J1128" i="2" s="1"/>
  <c r="H1128" i="2" s="1"/>
  <c r="I1128" i="2"/>
  <c r="F1134" i="2"/>
  <c r="K1134" i="2" s="1"/>
  <c r="I1138" i="2"/>
  <c r="G1144" i="2"/>
  <c r="G1173" i="2"/>
  <c r="I1178" i="2"/>
  <c r="G1193" i="2"/>
  <c r="F1193" i="2"/>
  <c r="K1193" i="2" s="1"/>
  <c r="J1202" i="2"/>
  <c r="H1202" i="2" s="1"/>
  <c r="I1210" i="2"/>
  <c r="K1210" i="2"/>
  <c r="J1210" i="2"/>
  <c r="H1210" i="2" s="1"/>
  <c r="G1248" i="2"/>
  <c r="F1248" i="2"/>
  <c r="J1248" i="2" s="1"/>
  <c r="H1248" i="2" s="1"/>
  <c r="G1336" i="2"/>
  <c r="F1336" i="2"/>
  <c r="K1336" i="2" s="1"/>
  <c r="K1403" i="2"/>
  <c r="I1403" i="2"/>
  <c r="J1403" i="2"/>
  <c r="H1403" i="2" s="1"/>
  <c r="G1475" i="2"/>
  <c r="F1475" i="2"/>
  <c r="K1475" i="2" s="1"/>
  <c r="F1256" i="2"/>
  <c r="I1256" i="2" s="1"/>
  <c r="G1269" i="2"/>
  <c r="F1269" i="2"/>
  <c r="K1269" i="2" s="1"/>
  <c r="G1284" i="2"/>
  <c r="J1311" i="2"/>
  <c r="H1311" i="2" s="1"/>
  <c r="I1311" i="2"/>
  <c r="K1337" i="2"/>
  <c r="I1337" i="2"/>
  <c r="K1345" i="2"/>
  <c r="J1345" i="2"/>
  <c r="H1345" i="2" s="1"/>
  <c r="K1366" i="2"/>
  <c r="J1366" i="2"/>
  <c r="H1366" i="2" s="1"/>
  <c r="G1366" i="2"/>
  <c r="F1366" i="2"/>
  <c r="J1386" i="2"/>
  <c r="H1386" i="2" s="1"/>
  <c r="I1386" i="2"/>
  <c r="G1421" i="2"/>
  <c r="F1421" i="2"/>
  <c r="K1421" i="2" s="1"/>
  <c r="J1424" i="2"/>
  <c r="H1424" i="2" s="1"/>
  <c r="I1424" i="2"/>
  <c r="K1424" i="2"/>
  <c r="K1483" i="2"/>
  <c r="K1606" i="2"/>
  <c r="I1095" i="2"/>
  <c r="J1106" i="2"/>
  <c r="H1106" i="2" s="1"/>
  <c r="K1117" i="2"/>
  <c r="I1131" i="2"/>
  <c r="J1142" i="2"/>
  <c r="H1142" i="2" s="1"/>
  <c r="K1153" i="2"/>
  <c r="I1171" i="2"/>
  <c r="K1174" i="2"/>
  <c r="F1180" i="2"/>
  <c r="J1197" i="2"/>
  <c r="H1197" i="2" s="1"/>
  <c r="I1197" i="2"/>
  <c r="I1203" i="2"/>
  <c r="J1203" i="2"/>
  <c r="H1203" i="2" s="1"/>
  <c r="G1238" i="2"/>
  <c r="F1238" i="2"/>
  <c r="K1238" i="2" s="1"/>
  <c r="G1242" i="2"/>
  <c r="F1242" i="2"/>
  <c r="I1242" i="2" s="1"/>
  <c r="G1256" i="2"/>
  <c r="K1277" i="2"/>
  <c r="J1277" i="2"/>
  <c r="H1277" i="2" s="1"/>
  <c r="F1284" i="2"/>
  <c r="J1284" i="2" s="1"/>
  <c r="H1284" i="2" s="1"/>
  <c r="G1294" i="2"/>
  <c r="F1294" i="2"/>
  <c r="I1294" i="2" s="1"/>
  <c r="I1324" i="2"/>
  <c r="F1324" i="2"/>
  <c r="J1324" i="2" s="1"/>
  <c r="H1324" i="2" s="1"/>
  <c r="K1324" i="2"/>
  <c r="G1324" i="2"/>
  <c r="K1356" i="2"/>
  <c r="J1356" i="2"/>
  <c r="H1356" i="2" s="1"/>
  <c r="I1356" i="2"/>
  <c r="G1356" i="2"/>
  <c r="I1366" i="2"/>
  <c r="K1371" i="2"/>
  <c r="J1371" i="2"/>
  <c r="H1371" i="2" s="1"/>
  <c r="K1381" i="2"/>
  <c r="J1381" i="2"/>
  <c r="H1381" i="2" s="1"/>
  <c r="I1381" i="2"/>
  <c r="G1381" i="2"/>
  <c r="K1395" i="2"/>
  <c r="I1395" i="2"/>
  <c r="K1443" i="2"/>
  <c r="J1443" i="2"/>
  <c r="H1443" i="2" s="1"/>
  <c r="G1443" i="2"/>
  <c r="I1443" i="2"/>
  <c r="K1469" i="2"/>
  <c r="G1469" i="2"/>
  <c r="F1469" i="2"/>
  <c r="J1469" i="2" s="1"/>
  <c r="H1469" i="2" s="1"/>
  <c r="K1508" i="2"/>
  <c r="J1508" i="2"/>
  <c r="H1508" i="2" s="1"/>
  <c r="I1508" i="2"/>
  <c r="G1511" i="2"/>
  <c r="F1511" i="2"/>
  <c r="J1511" i="2" s="1"/>
  <c r="H1511" i="2" s="1"/>
  <c r="I1229" i="2"/>
  <c r="F1229" i="2"/>
  <c r="J1229" i="2" s="1"/>
  <c r="H1229" i="2" s="1"/>
  <c r="F1244" i="2"/>
  <c r="J1244" i="2" s="1"/>
  <c r="H1244" i="2" s="1"/>
  <c r="I1261" i="2"/>
  <c r="K1261" i="2"/>
  <c r="G1265" i="2"/>
  <c r="K1265" i="2"/>
  <c r="J1265" i="2"/>
  <c r="H1265" i="2" s="1"/>
  <c r="I1265" i="2"/>
  <c r="K1280" i="2"/>
  <c r="J1288" i="2"/>
  <c r="H1288" i="2" s="1"/>
  <c r="F1288" i="2"/>
  <c r="K1288" i="2" s="1"/>
  <c r="I1288" i="2"/>
  <c r="G1288" i="2"/>
  <c r="I1301" i="2"/>
  <c r="K1301" i="2"/>
  <c r="G1303" i="2"/>
  <c r="K1303" i="2"/>
  <c r="J1303" i="2"/>
  <c r="H1303" i="2" s="1"/>
  <c r="I1303" i="2"/>
  <c r="F1312" i="2"/>
  <c r="K1312" i="2" s="1"/>
  <c r="J1312" i="2"/>
  <c r="H1312" i="2" s="1"/>
  <c r="G1312" i="2"/>
  <c r="J1337" i="2"/>
  <c r="H1337" i="2" s="1"/>
  <c r="J1346" i="2"/>
  <c r="H1346" i="2" s="1"/>
  <c r="I1346" i="2"/>
  <c r="F1346" i="2"/>
  <c r="K1346" i="2"/>
  <c r="K1386" i="2"/>
  <c r="J1190" i="2"/>
  <c r="H1190" i="2" s="1"/>
  <c r="I1190" i="2"/>
  <c r="G1209" i="2"/>
  <c r="K1209" i="2"/>
  <c r="F1209" i="2"/>
  <c r="J1209" i="2" s="1"/>
  <c r="H1209" i="2" s="1"/>
  <c r="F1213" i="2"/>
  <c r="I1213" i="2" s="1"/>
  <c r="K1220" i="2"/>
  <c r="F1220" i="2"/>
  <c r="J1220" i="2" s="1"/>
  <c r="H1220" i="2" s="1"/>
  <c r="K1224" i="2"/>
  <c r="J1224" i="2"/>
  <c r="H1224" i="2" s="1"/>
  <c r="F1224" i="2"/>
  <c r="I1224" i="2" s="1"/>
  <c r="G1227" i="2"/>
  <c r="F1227" i="2"/>
  <c r="J1227" i="2" s="1"/>
  <c r="H1227" i="2" s="1"/>
  <c r="K1227" i="2"/>
  <c r="K1231" i="2"/>
  <c r="G1231" i="2"/>
  <c r="F1231" i="2"/>
  <c r="I1231" i="2" s="1"/>
  <c r="J1231" i="2"/>
  <c r="H1231" i="2" s="1"/>
  <c r="F1249" i="2"/>
  <c r="K1249" i="2" s="1"/>
  <c r="K1259" i="2"/>
  <c r="G1259" i="2"/>
  <c r="J1278" i="2"/>
  <c r="H1278" i="2" s="1"/>
  <c r="F1278" i="2"/>
  <c r="K1278" i="2" s="1"/>
  <c r="F1372" i="2"/>
  <c r="J1372" i="2" s="1"/>
  <c r="H1372" i="2" s="1"/>
  <c r="G1372" i="2"/>
  <c r="G1378" i="2"/>
  <c r="F1378" i="2"/>
  <c r="K1378" i="2"/>
  <c r="J1378" i="2"/>
  <c r="H1378" i="2" s="1"/>
  <c r="I1378" i="2"/>
  <c r="G1426" i="2"/>
  <c r="F1426" i="2"/>
  <c r="K1426" i="2"/>
  <c r="J1426" i="2"/>
  <c r="H1426" i="2" s="1"/>
  <c r="J1548" i="2"/>
  <c r="H1548" i="2" s="1"/>
  <c r="I1548" i="2"/>
  <c r="G1146" i="2"/>
  <c r="F1152" i="2"/>
  <c r="F1157" i="2"/>
  <c r="F1161" i="2"/>
  <c r="F1185" i="2"/>
  <c r="K1185" i="2" s="1"/>
  <c r="F1190" i="2"/>
  <c r="K1190" i="2" s="1"/>
  <c r="F1196" i="2"/>
  <c r="I1196" i="2" s="1"/>
  <c r="K1197" i="2"/>
  <c r="J1199" i="2"/>
  <c r="H1199" i="2" s="1"/>
  <c r="K1203" i="2"/>
  <c r="G1211" i="2"/>
  <c r="F1211" i="2"/>
  <c r="J1211" i="2" s="1"/>
  <c r="H1211" i="2" s="1"/>
  <c r="G1213" i="2"/>
  <c r="F1216" i="2"/>
  <c r="G1216" i="2"/>
  <c r="K1216" i="2"/>
  <c r="G1220" i="2"/>
  <c r="J1222" i="2"/>
  <c r="H1222" i="2" s="1"/>
  <c r="G1222" i="2"/>
  <c r="F1222" i="2"/>
  <c r="I1222" i="2" s="1"/>
  <c r="K1222" i="2"/>
  <c r="G1224" i="2"/>
  <c r="I1227" i="2"/>
  <c r="J1233" i="2"/>
  <c r="H1233" i="2" s="1"/>
  <c r="I1233" i="2"/>
  <c r="I1239" i="2"/>
  <c r="J1239" i="2"/>
  <c r="H1239" i="2" s="1"/>
  <c r="G1249" i="2"/>
  <c r="F1259" i="2"/>
  <c r="J1259" i="2" s="1"/>
  <c r="H1259" i="2" s="1"/>
  <c r="K1266" i="2"/>
  <c r="G1266" i="2"/>
  <c r="J1275" i="2"/>
  <c r="H1275" i="2" s="1"/>
  <c r="G1278" i="2"/>
  <c r="G1289" i="2"/>
  <c r="F1289" i="2"/>
  <c r="I1289" i="2" s="1"/>
  <c r="K1304" i="2"/>
  <c r="I1304" i="2"/>
  <c r="G1304" i="2"/>
  <c r="K1344" i="2"/>
  <c r="I1379" i="2"/>
  <c r="K1419" i="2"/>
  <c r="J1419" i="2"/>
  <c r="H1419" i="2" s="1"/>
  <c r="I1426" i="2"/>
  <c r="K1465" i="2"/>
  <c r="J1465" i="2"/>
  <c r="H1465" i="2" s="1"/>
  <c r="I1465" i="2"/>
  <c r="G1190" i="2"/>
  <c r="G1196" i="2"/>
  <c r="F1198" i="2"/>
  <c r="K1198" i="2"/>
  <c r="G1198" i="2"/>
  <c r="F1204" i="2"/>
  <c r="I1204" i="2" s="1"/>
  <c r="I1207" i="2"/>
  <c r="I1209" i="2"/>
  <c r="I1220" i="2"/>
  <c r="G1245" i="2"/>
  <c r="K1245" i="2"/>
  <c r="F1245" i="2"/>
  <c r="I1245" i="2" s="1"/>
  <c r="K1247" i="2"/>
  <c r="G1255" i="2"/>
  <c r="J1255" i="2"/>
  <c r="H1255" i="2" s="1"/>
  <c r="I1255" i="2"/>
  <c r="I1276" i="2"/>
  <c r="G1276" i="2"/>
  <c r="F1276" i="2"/>
  <c r="I1278" i="2"/>
  <c r="K1297" i="2"/>
  <c r="J1297" i="2"/>
  <c r="H1297" i="2" s="1"/>
  <c r="J1306" i="2"/>
  <c r="H1306" i="2" s="1"/>
  <c r="F1306" i="2"/>
  <c r="K1306" i="2" s="1"/>
  <c r="I1306" i="2"/>
  <c r="G1306" i="2"/>
  <c r="F1320" i="2"/>
  <c r="I1320" i="2" s="1"/>
  <c r="J1320" i="2"/>
  <c r="H1320" i="2" s="1"/>
  <c r="K1320" i="2"/>
  <c r="G1320" i="2"/>
  <c r="K1335" i="2"/>
  <c r="J1335" i="2"/>
  <c r="H1335" i="2" s="1"/>
  <c r="I1335" i="2"/>
  <c r="G1335" i="2"/>
  <c r="F1335" i="2"/>
  <c r="I1188" i="2"/>
  <c r="K1254" i="2"/>
  <c r="F1274" i="2"/>
  <c r="I1274" i="2" s="1"/>
  <c r="J1274" i="2"/>
  <c r="H1274" i="2" s="1"/>
  <c r="I1277" i="2"/>
  <c r="F1292" i="2"/>
  <c r="I1292" i="2" s="1"/>
  <c r="J1292" i="2"/>
  <c r="H1292" i="2" s="1"/>
  <c r="I1297" i="2"/>
  <c r="F1310" i="2"/>
  <c r="I1310" i="2" s="1"/>
  <c r="J1310" i="2"/>
  <c r="H1310" i="2" s="1"/>
  <c r="K1328" i="2"/>
  <c r="J1328" i="2"/>
  <c r="H1328" i="2" s="1"/>
  <c r="F1354" i="2"/>
  <c r="K1354" i="2" s="1"/>
  <c r="G1362" i="2"/>
  <c r="F1362" i="2"/>
  <c r="K1374" i="2"/>
  <c r="J1374" i="2"/>
  <c r="H1374" i="2" s="1"/>
  <c r="I1399" i="2"/>
  <c r="I1401" i="2"/>
  <c r="G1401" i="2"/>
  <c r="F1401" i="2"/>
  <c r="K1401" i="2" s="1"/>
  <c r="G1408" i="2"/>
  <c r="F1408" i="2"/>
  <c r="I1408" i="2" s="1"/>
  <c r="K1408" i="2"/>
  <c r="K1422" i="2"/>
  <c r="J1422" i="2"/>
  <c r="H1422" i="2" s="1"/>
  <c r="G1422" i="2"/>
  <c r="I1484" i="2"/>
  <c r="K1484" i="2"/>
  <c r="J1484" i="2"/>
  <c r="H1484" i="2" s="1"/>
  <c r="G1484" i="2"/>
  <c r="G1505" i="2"/>
  <c r="F1505" i="2"/>
  <c r="J1505" i="2" s="1"/>
  <c r="H1505" i="2" s="1"/>
  <c r="F1525" i="2"/>
  <c r="K1525" i="2" s="1"/>
  <c r="I1525" i="2"/>
  <c r="G1525" i="2"/>
  <c r="I1599" i="2"/>
  <c r="K1599" i="2"/>
  <c r="J1599" i="2"/>
  <c r="H1599" i="2" s="1"/>
  <c r="F1599" i="2"/>
  <c r="G1599" i="2"/>
  <c r="K1317" i="2"/>
  <c r="I1317" i="2"/>
  <c r="G1317" i="2"/>
  <c r="G1322" i="2"/>
  <c r="F1322" i="2"/>
  <c r="I1322" i="2" s="1"/>
  <c r="I1345" i="2"/>
  <c r="K1347" i="2"/>
  <c r="J1347" i="2"/>
  <c r="H1347" i="2" s="1"/>
  <c r="I1347" i="2"/>
  <c r="G1347" i="2"/>
  <c r="K1349" i="2"/>
  <c r="I1349" i="2"/>
  <c r="J1364" i="2"/>
  <c r="H1364" i="2" s="1"/>
  <c r="I1364" i="2"/>
  <c r="F1364" i="2"/>
  <c r="G1370" i="2"/>
  <c r="F1370" i="2"/>
  <c r="I1370" i="2" s="1"/>
  <c r="K1383" i="2"/>
  <c r="J1383" i="2"/>
  <c r="H1383" i="2" s="1"/>
  <c r="J1404" i="2"/>
  <c r="H1404" i="2" s="1"/>
  <c r="I1404" i="2"/>
  <c r="K1414" i="2"/>
  <c r="I1414" i="2"/>
  <c r="K1429" i="2"/>
  <c r="J1429" i="2"/>
  <c r="H1429" i="2" s="1"/>
  <c r="I1429" i="2"/>
  <c r="G1429" i="2"/>
  <c r="F1429" i="2"/>
  <c r="G1434" i="2"/>
  <c r="F1434" i="2"/>
  <c r="K1434" i="2" s="1"/>
  <c r="G1441" i="2"/>
  <c r="F1441" i="2"/>
  <c r="J1441" i="2" s="1"/>
  <c r="H1441" i="2" s="1"/>
  <c r="K1471" i="2"/>
  <c r="J1471" i="2"/>
  <c r="H1471" i="2" s="1"/>
  <c r="I1471" i="2"/>
  <c r="K1479" i="2"/>
  <c r="G1479" i="2"/>
  <c r="G1537" i="2"/>
  <c r="F1537" i="2"/>
  <c r="J1537" i="2" s="1"/>
  <c r="H1537" i="2" s="1"/>
  <c r="I1537" i="2"/>
  <c r="K1596" i="2"/>
  <c r="J1596" i="2"/>
  <c r="H1596" i="2" s="1"/>
  <c r="K1402" i="2"/>
  <c r="J1402" i="2"/>
  <c r="H1402" i="2" s="1"/>
  <c r="G1402" i="2"/>
  <c r="J1408" i="2"/>
  <c r="H1408" i="2" s="1"/>
  <c r="I1422" i="2"/>
  <c r="J1432" i="2"/>
  <c r="H1432" i="2" s="1"/>
  <c r="I1432" i="2"/>
  <c r="K1444" i="2"/>
  <c r="I1444" i="2"/>
  <c r="F1479" i="2"/>
  <c r="J1479" i="2" s="1"/>
  <c r="H1479" i="2" s="1"/>
  <c r="J1513" i="2"/>
  <c r="H1513" i="2" s="1"/>
  <c r="I1513" i="2"/>
  <c r="K1513" i="2"/>
  <c r="G1513" i="2"/>
  <c r="I1636" i="2"/>
  <c r="G1636" i="2"/>
  <c r="F1636" i="2"/>
  <c r="J1636" i="2" s="1"/>
  <c r="H1636" i="2" s="1"/>
  <c r="K1636" i="2"/>
  <c r="I1247" i="2"/>
  <c r="G1279" i="2"/>
  <c r="G1299" i="2"/>
  <c r="K1319" i="2"/>
  <c r="I1319" i="2"/>
  <c r="G1332" i="2"/>
  <c r="F1332" i="2"/>
  <c r="K1332" i="2" s="1"/>
  <c r="G1355" i="2"/>
  <c r="K1358" i="2"/>
  <c r="I1358" i="2"/>
  <c r="K1364" i="2"/>
  <c r="J1370" i="2"/>
  <c r="H1370" i="2" s="1"/>
  <c r="J1380" i="2"/>
  <c r="H1380" i="2" s="1"/>
  <c r="F1380" i="2"/>
  <c r="I1380" i="2" s="1"/>
  <c r="G1383" i="2"/>
  <c r="G1388" i="2"/>
  <c r="F1388" i="2"/>
  <c r="K1388" i="2" s="1"/>
  <c r="J1399" i="2"/>
  <c r="H1399" i="2" s="1"/>
  <c r="G1411" i="2"/>
  <c r="F1411" i="2"/>
  <c r="K1411" i="2" s="1"/>
  <c r="J1414" i="2"/>
  <c r="H1414" i="2" s="1"/>
  <c r="G1418" i="2"/>
  <c r="F1418" i="2"/>
  <c r="I1418" i="2" s="1"/>
  <c r="K1418" i="2"/>
  <c r="J1420" i="2"/>
  <c r="H1420" i="2" s="1"/>
  <c r="J1430" i="2"/>
  <c r="H1430" i="2" s="1"/>
  <c r="G1430" i="2"/>
  <c r="G1438" i="2"/>
  <c r="K1441" i="2"/>
  <c r="K1516" i="2"/>
  <c r="J1516" i="2"/>
  <c r="H1516" i="2" s="1"/>
  <c r="I1516" i="2"/>
  <c r="J1760" i="2"/>
  <c r="H1760" i="2" s="1"/>
  <c r="I1760" i="2"/>
  <c r="F1247" i="2"/>
  <c r="J1247" i="2" s="1"/>
  <c r="H1247" i="2" s="1"/>
  <c r="G1254" i="2"/>
  <c r="F1258" i="2"/>
  <c r="I1258" i="2" s="1"/>
  <c r="F1262" i="2"/>
  <c r="J1262" i="2"/>
  <c r="H1262" i="2" s="1"/>
  <c r="I1267" i="2"/>
  <c r="K1274" i="2"/>
  <c r="F1279" i="2"/>
  <c r="K1279" i="2" s="1"/>
  <c r="J1280" i="2"/>
  <c r="H1280" i="2" s="1"/>
  <c r="F1282" i="2"/>
  <c r="J1282" i="2"/>
  <c r="H1282" i="2" s="1"/>
  <c r="I1285" i="2"/>
  <c r="K1292" i="2"/>
  <c r="F1299" i="2"/>
  <c r="K1299" i="2" s="1"/>
  <c r="J1300" i="2"/>
  <c r="H1300" i="2" s="1"/>
  <c r="F1302" i="2"/>
  <c r="J1302" i="2" s="1"/>
  <c r="H1302" i="2" s="1"/>
  <c r="I1305" i="2"/>
  <c r="K1310" i="2"/>
  <c r="J1317" i="2"/>
  <c r="H1317" i="2" s="1"/>
  <c r="K1322" i="2"/>
  <c r="I1330" i="2"/>
  <c r="F1334" i="2"/>
  <c r="K1334" i="2" s="1"/>
  <c r="K1348" i="2"/>
  <c r="J1348" i="2"/>
  <c r="H1348" i="2" s="1"/>
  <c r="J1349" i="2"/>
  <c r="H1349" i="2" s="1"/>
  <c r="F1355" i="2"/>
  <c r="K1355" i="2" s="1"/>
  <c r="I1363" i="2"/>
  <c r="K1365" i="2"/>
  <c r="J1365" i="2"/>
  <c r="H1365" i="2" s="1"/>
  <c r="I1365" i="2"/>
  <c r="G1365" i="2"/>
  <c r="K1367" i="2"/>
  <c r="I1367" i="2"/>
  <c r="K1368" i="2"/>
  <c r="I1376" i="2"/>
  <c r="G1380" i="2"/>
  <c r="I1383" i="2"/>
  <c r="I1388" i="2"/>
  <c r="F1390" i="2"/>
  <c r="K1390" i="2" s="1"/>
  <c r="G1398" i="2"/>
  <c r="F1398" i="2"/>
  <c r="K1404" i="2"/>
  <c r="J1416" i="2"/>
  <c r="H1416" i="2" s="1"/>
  <c r="I1416" i="2"/>
  <c r="K1423" i="2"/>
  <c r="I1423" i="2"/>
  <c r="F1430" i="2"/>
  <c r="K1430" i="2" s="1"/>
  <c r="F1438" i="2"/>
  <c r="K1438" i="2" s="1"/>
  <c r="K1480" i="2"/>
  <c r="J1480" i="2"/>
  <c r="H1480" i="2" s="1"/>
  <c r="I1480" i="2"/>
  <c r="K1503" i="2"/>
  <c r="J1503" i="2"/>
  <c r="H1503" i="2" s="1"/>
  <c r="K1567" i="2"/>
  <c r="I1567" i="2"/>
  <c r="J1192" i="2"/>
  <c r="H1192" i="2" s="1"/>
  <c r="K1205" i="2"/>
  <c r="I1221" i="2"/>
  <c r="J1230" i="2"/>
  <c r="H1230" i="2" s="1"/>
  <c r="K1241" i="2"/>
  <c r="G1247" i="2"/>
  <c r="I1257" i="2"/>
  <c r="G1258" i="2"/>
  <c r="G1275" i="2"/>
  <c r="K1275" i="2"/>
  <c r="G1293" i="2"/>
  <c r="K1293" i="2"/>
  <c r="G1311" i="2"/>
  <c r="K1311" i="2"/>
  <c r="J1316" i="2"/>
  <c r="H1316" i="2" s="1"/>
  <c r="F1316" i="2"/>
  <c r="J1318" i="2"/>
  <c r="H1318" i="2" s="1"/>
  <c r="I1323" i="2"/>
  <c r="K1325" i="2"/>
  <c r="J1325" i="2"/>
  <c r="H1325" i="2" s="1"/>
  <c r="I1325" i="2"/>
  <c r="G1325" i="2"/>
  <c r="K1329" i="2"/>
  <c r="I1329" i="2"/>
  <c r="J1332" i="2"/>
  <c r="H1332" i="2" s="1"/>
  <c r="G1344" i="2"/>
  <c r="F1344" i="2"/>
  <c r="I1371" i="2"/>
  <c r="K1373" i="2"/>
  <c r="J1373" i="2"/>
  <c r="H1373" i="2" s="1"/>
  <c r="I1373" i="2"/>
  <c r="G1373" i="2"/>
  <c r="K1375" i="2"/>
  <c r="I1375" i="2"/>
  <c r="K1376" i="2"/>
  <c r="K1380" i="2"/>
  <c r="G1390" i="2"/>
  <c r="I1398" i="2"/>
  <c r="K1412" i="2"/>
  <c r="J1412" i="2"/>
  <c r="H1412" i="2" s="1"/>
  <c r="G1412" i="2"/>
  <c r="J1418" i="2"/>
  <c r="H1418" i="2" s="1"/>
  <c r="I1430" i="2"/>
  <c r="K1432" i="2"/>
  <c r="J1438" i="2"/>
  <c r="H1438" i="2" s="1"/>
  <c r="F1454" i="2"/>
  <c r="K1454" i="2" s="1"/>
  <c r="J1454" i="2"/>
  <c r="H1454" i="2" s="1"/>
  <c r="I1454" i="2"/>
  <c r="G1464" i="2"/>
  <c r="K1464" i="2"/>
  <c r="J1464" i="2"/>
  <c r="H1464" i="2" s="1"/>
  <c r="I1464" i="2"/>
  <c r="I1494" i="2"/>
  <c r="K1494" i="2"/>
  <c r="J1494" i="2"/>
  <c r="H1494" i="2" s="1"/>
  <c r="G1494" i="2"/>
  <c r="J1499" i="2"/>
  <c r="H1499" i="2" s="1"/>
  <c r="I1499" i="2"/>
  <c r="I1503" i="2"/>
  <c r="I1519" i="2"/>
  <c r="J1561" i="2"/>
  <c r="H1561" i="2" s="1"/>
  <c r="I1561" i="2"/>
  <c r="K1442" i="2"/>
  <c r="J1467" i="2"/>
  <c r="H1467" i="2" s="1"/>
  <c r="G1502" i="2"/>
  <c r="F1502" i="2"/>
  <c r="I1502" i="2" s="1"/>
  <c r="F1515" i="2"/>
  <c r="J1515" i="2" s="1"/>
  <c r="H1515" i="2" s="1"/>
  <c r="K1533" i="2"/>
  <c r="F1533" i="2"/>
  <c r="I1533" i="2" s="1"/>
  <c r="K1544" i="2"/>
  <c r="I1544" i="2"/>
  <c r="J1580" i="2"/>
  <c r="H1580" i="2" s="1"/>
  <c r="I1580" i="2"/>
  <c r="K1639" i="2"/>
  <c r="J1725" i="2"/>
  <c r="H1725" i="2" s="1"/>
  <c r="K1321" i="2"/>
  <c r="J1330" i="2"/>
  <c r="H1330" i="2" s="1"/>
  <c r="K1331" i="2"/>
  <c r="J1340" i="2"/>
  <c r="H1340" i="2" s="1"/>
  <c r="K1341" i="2"/>
  <c r="J1350" i="2"/>
  <c r="H1350" i="2" s="1"/>
  <c r="K1351" i="2"/>
  <c r="K1361" i="2"/>
  <c r="K1377" i="2"/>
  <c r="F1400" i="2"/>
  <c r="K1400" i="2" s="1"/>
  <c r="F1410" i="2"/>
  <c r="K1410" i="2" s="1"/>
  <c r="K1417" i="2"/>
  <c r="F1420" i="2"/>
  <c r="K1420" i="2" s="1"/>
  <c r="K1425" i="2"/>
  <c r="F1428" i="2"/>
  <c r="K1428" i="2" s="1"/>
  <c r="F1436" i="2"/>
  <c r="J1436" i="2" s="1"/>
  <c r="H1436" i="2" s="1"/>
  <c r="F1442" i="2"/>
  <c r="F1447" i="2"/>
  <c r="K1447" i="2" s="1"/>
  <c r="F1451" i="2"/>
  <c r="K1451" i="2" s="1"/>
  <c r="F1458" i="2"/>
  <c r="I1458" i="2" s="1"/>
  <c r="G1463" i="2"/>
  <c r="F1467" i="2"/>
  <c r="I1467" i="2" s="1"/>
  <c r="F1474" i="2"/>
  <c r="F1478" i="2"/>
  <c r="K1478" i="2" s="1"/>
  <c r="F1483" i="2"/>
  <c r="F1487" i="2"/>
  <c r="K1487" i="2" s="1"/>
  <c r="F1498" i="2"/>
  <c r="K1498" i="2" s="1"/>
  <c r="F1507" i="2"/>
  <c r="K1507" i="2" s="1"/>
  <c r="G1515" i="2"/>
  <c r="G1518" i="2"/>
  <c r="F1518" i="2"/>
  <c r="J1518" i="2" s="1"/>
  <c r="H1518" i="2" s="1"/>
  <c r="I1520" i="2"/>
  <c r="K1520" i="2"/>
  <c r="I1531" i="2"/>
  <c r="F1531" i="2"/>
  <c r="K1531" i="2" s="1"/>
  <c r="G1533" i="2"/>
  <c r="J1540" i="2"/>
  <c r="H1540" i="2" s="1"/>
  <c r="I1540" i="2"/>
  <c r="K1551" i="2"/>
  <c r="J1551" i="2"/>
  <c r="H1551" i="2" s="1"/>
  <c r="I1551" i="2"/>
  <c r="K1555" i="2"/>
  <c r="J1555" i="2"/>
  <c r="H1555" i="2" s="1"/>
  <c r="I1555" i="2"/>
  <c r="K1584" i="2"/>
  <c r="I1584" i="2"/>
  <c r="K1589" i="2"/>
  <c r="J1589" i="2"/>
  <c r="H1589" i="2" s="1"/>
  <c r="I1589" i="2"/>
  <c r="J1640" i="2"/>
  <c r="H1640" i="2" s="1"/>
  <c r="G1640" i="2"/>
  <c r="F1640" i="2"/>
  <c r="K1640" i="2" s="1"/>
  <c r="I1717" i="2"/>
  <c r="G1510" i="2"/>
  <c r="F1510" i="2"/>
  <c r="J1510" i="2" s="1"/>
  <c r="H1510" i="2" s="1"/>
  <c r="I1510" i="2"/>
  <c r="K1512" i="2"/>
  <c r="K1604" i="2"/>
  <c r="I1604" i="2"/>
  <c r="G1607" i="2"/>
  <c r="K1607" i="2"/>
  <c r="F1607" i="2"/>
  <c r="I1607" i="2" s="1"/>
  <c r="F1623" i="2"/>
  <c r="I1623" i="2" s="1"/>
  <c r="K1623" i="2"/>
  <c r="J1623" i="2"/>
  <c r="H1623" i="2" s="1"/>
  <c r="G1623" i="2"/>
  <c r="K1699" i="2"/>
  <c r="F1699" i="2"/>
  <c r="J1699" i="2"/>
  <c r="H1699" i="2" s="1"/>
  <c r="I1699" i="2"/>
  <c r="G1699" i="2"/>
  <c r="K1781" i="2"/>
  <c r="F1781" i="2"/>
  <c r="G1781" i="2"/>
  <c r="J1781" i="2"/>
  <c r="H1781" i="2" s="1"/>
  <c r="I1781" i="2"/>
  <c r="F1446" i="2"/>
  <c r="F1450" i="2"/>
  <c r="I1452" i="2"/>
  <c r="F1457" i="2"/>
  <c r="F1461" i="2"/>
  <c r="K1461" i="2" s="1"/>
  <c r="I1463" i="2"/>
  <c r="F1466" i="2"/>
  <c r="G1473" i="2"/>
  <c r="I1474" i="2"/>
  <c r="F1477" i="2"/>
  <c r="F1482" i="2"/>
  <c r="I1483" i="2"/>
  <c r="F1486" i="2"/>
  <c r="I1490" i="2"/>
  <c r="J1495" i="2"/>
  <c r="H1495" i="2" s="1"/>
  <c r="F1504" i="2"/>
  <c r="K1504" i="2" s="1"/>
  <c r="F1512" i="2"/>
  <c r="I1512" i="2" s="1"/>
  <c r="I1515" i="2"/>
  <c r="G1529" i="2"/>
  <c r="F1529" i="2"/>
  <c r="J1529" i="2"/>
  <c r="H1529" i="2" s="1"/>
  <c r="K1535" i="2"/>
  <c r="J1544" i="2"/>
  <c r="H1544" i="2" s="1"/>
  <c r="K1585" i="2"/>
  <c r="J1585" i="2"/>
  <c r="H1585" i="2" s="1"/>
  <c r="K1595" i="2"/>
  <c r="I1595" i="2"/>
  <c r="G1669" i="2"/>
  <c r="F1669" i="2"/>
  <c r="K1669" i="2" s="1"/>
  <c r="I1669" i="2"/>
  <c r="F1805" i="2"/>
  <c r="K1805" i="2" s="1"/>
  <c r="G1805" i="2"/>
  <c r="F1361" i="2"/>
  <c r="F1369" i="2"/>
  <c r="F1377" i="2"/>
  <c r="F1387" i="2"/>
  <c r="F1397" i="2"/>
  <c r="F1407" i="2"/>
  <c r="K1407" i="2" s="1"/>
  <c r="F1417" i="2"/>
  <c r="I1420" i="2"/>
  <c r="F1425" i="2"/>
  <c r="I1428" i="2"/>
  <c r="F1433" i="2"/>
  <c r="I1442" i="2"/>
  <c r="J1449" i="2"/>
  <c r="H1449" i="2" s="1"/>
  <c r="G1450" i="2"/>
  <c r="J1452" i="2"/>
  <c r="H1452" i="2" s="1"/>
  <c r="G1457" i="2"/>
  <c r="J1458" i="2"/>
  <c r="H1458" i="2" s="1"/>
  <c r="J1463" i="2"/>
  <c r="H1463" i="2" s="1"/>
  <c r="G1466" i="2"/>
  <c r="J1474" i="2"/>
  <c r="H1474" i="2" s="1"/>
  <c r="I1476" i="2"/>
  <c r="G1477" i="2"/>
  <c r="J1483" i="2"/>
  <c r="H1483" i="2" s="1"/>
  <c r="G1486" i="2"/>
  <c r="J1490" i="2"/>
  <c r="H1490" i="2" s="1"/>
  <c r="G1492" i="2"/>
  <c r="F1492" i="2"/>
  <c r="J1493" i="2"/>
  <c r="H1493" i="2" s="1"/>
  <c r="F1495" i="2"/>
  <c r="K1495" i="2" s="1"/>
  <c r="K1502" i="2"/>
  <c r="G1504" i="2"/>
  <c r="K1506" i="2"/>
  <c r="J1506" i="2"/>
  <c r="H1506" i="2" s="1"/>
  <c r="G1512" i="2"/>
  <c r="K1518" i="2"/>
  <c r="J1520" i="2"/>
  <c r="H1520" i="2" s="1"/>
  <c r="I1529" i="2"/>
  <c r="K1534" i="2"/>
  <c r="I1534" i="2"/>
  <c r="K1541" i="2"/>
  <c r="F1541" i="2"/>
  <c r="I1541" i="2" s="1"/>
  <c r="K1545" i="2"/>
  <c r="J1545" i="2"/>
  <c r="H1545" i="2" s="1"/>
  <c r="K1556" i="2"/>
  <c r="J1556" i="2"/>
  <c r="H1556" i="2" s="1"/>
  <c r="K1566" i="2"/>
  <c r="J1566" i="2"/>
  <c r="H1566" i="2" s="1"/>
  <c r="K1574" i="2"/>
  <c r="J1574" i="2"/>
  <c r="H1574" i="2" s="1"/>
  <c r="K1605" i="2"/>
  <c r="J1605" i="2"/>
  <c r="H1605" i="2" s="1"/>
  <c r="G1685" i="2"/>
  <c r="I1685" i="2"/>
  <c r="F1685" i="2"/>
  <c r="K1685" i="2"/>
  <c r="J1685" i="2"/>
  <c r="H1685" i="2" s="1"/>
  <c r="F1440" i="2"/>
  <c r="J1442" i="2"/>
  <c r="H1442" i="2" s="1"/>
  <c r="G1445" i="2"/>
  <c r="I1446" i="2"/>
  <c r="F1449" i="2"/>
  <c r="F1456" i="2"/>
  <c r="K1458" i="2"/>
  <c r="F1460" i="2"/>
  <c r="K1463" i="2"/>
  <c r="I1473" i="2"/>
  <c r="K1474" i="2"/>
  <c r="F1476" i="2"/>
  <c r="G1481" i="2"/>
  <c r="I1482" i="2"/>
  <c r="F1485" i="2"/>
  <c r="K1493" i="2"/>
  <c r="G1495" i="2"/>
  <c r="K1499" i="2"/>
  <c r="F1506" i="2"/>
  <c r="I1506" i="2" s="1"/>
  <c r="J1507" i="2"/>
  <c r="H1507" i="2" s="1"/>
  <c r="J1512" i="2"/>
  <c r="H1512" i="2" s="1"/>
  <c r="G1519" i="2"/>
  <c r="J1519" i="2"/>
  <c r="H1519" i="2" s="1"/>
  <c r="J1523" i="2"/>
  <c r="H1523" i="2" s="1"/>
  <c r="I1523" i="2"/>
  <c r="K1529" i="2"/>
  <c r="F1539" i="2"/>
  <c r="K1539" i="2" s="1"/>
  <c r="G1541" i="2"/>
  <c r="I1574" i="2"/>
  <c r="I1585" i="2"/>
  <c r="F1613" i="2"/>
  <c r="K1613" i="2"/>
  <c r="J1613" i="2"/>
  <c r="H1613" i="2" s="1"/>
  <c r="I1613" i="2"/>
  <c r="G1613" i="2"/>
  <c r="F1643" i="2"/>
  <c r="K1643" i="2" s="1"/>
  <c r="I1656" i="2"/>
  <c r="G1656" i="2"/>
  <c r="F1656" i="2"/>
  <c r="J1656" i="2" s="1"/>
  <c r="H1656" i="2" s="1"/>
  <c r="K1660" i="2"/>
  <c r="J1660" i="2"/>
  <c r="H1660" i="2" s="1"/>
  <c r="K1678" i="2"/>
  <c r="J1678" i="2"/>
  <c r="H1678" i="2" s="1"/>
  <c r="G1695" i="2"/>
  <c r="K1695" i="2"/>
  <c r="J1695" i="2"/>
  <c r="H1695" i="2" s="1"/>
  <c r="I1695" i="2"/>
  <c r="G1751" i="2"/>
  <c r="F1751" i="2"/>
  <c r="K1751" i="2" s="1"/>
  <c r="K1762" i="2"/>
  <c r="I1762" i="2"/>
  <c r="G1977" i="2"/>
  <c r="F1977" i="2"/>
  <c r="J1977" i="2" s="1"/>
  <c r="H1977" i="2" s="1"/>
  <c r="K1530" i="2"/>
  <c r="K1538" i="2"/>
  <c r="K1548" i="2"/>
  <c r="J1553" i="2"/>
  <c r="H1553" i="2" s="1"/>
  <c r="J1564" i="2"/>
  <c r="H1564" i="2" s="1"/>
  <c r="I1566" i="2"/>
  <c r="K1569" i="2"/>
  <c r="J1577" i="2"/>
  <c r="H1577" i="2" s="1"/>
  <c r="I1581" i="2"/>
  <c r="K1588" i="2"/>
  <c r="F1616" i="2"/>
  <c r="J1616" i="2" s="1"/>
  <c r="H1616" i="2" s="1"/>
  <c r="F1619" i="2"/>
  <c r="K1619" i="2" s="1"/>
  <c r="F1633" i="2"/>
  <c r="K1633" i="2"/>
  <c r="G1643" i="2"/>
  <c r="I1646" i="2"/>
  <c r="G1646" i="2"/>
  <c r="F1646" i="2"/>
  <c r="K1650" i="2"/>
  <c r="I1650" i="2"/>
  <c r="K1654" i="2"/>
  <c r="K1663" i="2"/>
  <c r="J1663" i="2"/>
  <c r="H1663" i="2" s="1"/>
  <c r="K1681" i="2"/>
  <c r="J1681" i="2"/>
  <c r="H1681" i="2" s="1"/>
  <c r="F1695" i="2"/>
  <c r="G1698" i="2"/>
  <c r="J1698" i="2"/>
  <c r="H1698" i="2" s="1"/>
  <c r="I1698" i="2"/>
  <c r="F1698" i="2"/>
  <c r="K1698" i="2" s="1"/>
  <c r="F1705" i="2"/>
  <c r="K1705" i="2" s="1"/>
  <c r="I1705" i="2"/>
  <c r="J1705" i="2"/>
  <c r="H1705" i="2" s="1"/>
  <c r="I1711" i="2"/>
  <c r="K1722" i="2"/>
  <c r="J1722" i="2"/>
  <c r="H1722" i="2" s="1"/>
  <c r="I1722" i="2"/>
  <c r="K1727" i="2"/>
  <c r="I1727" i="2"/>
  <c r="J1796" i="2"/>
  <c r="H1796" i="2" s="1"/>
  <c r="I1796" i="2"/>
  <c r="K1817" i="2"/>
  <c r="F1817" i="2"/>
  <c r="G1817" i="2"/>
  <c r="J1817" i="2"/>
  <c r="H1817" i="2" s="1"/>
  <c r="I1817" i="2"/>
  <c r="K1836" i="2"/>
  <c r="G1847" i="2"/>
  <c r="J1847" i="2"/>
  <c r="H1847" i="2" s="1"/>
  <c r="I1847" i="2"/>
  <c r="F1847" i="2"/>
  <c r="K1847" i="2" s="1"/>
  <c r="K1850" i="2"/>
  <c r="I1850" i="2"/>
  <c r="K1877" i="2"/>
  <c r="G1877" i="2"/>
  <c r="F1877" i="2"/>
  <c r="J1877" i="2"/>
  <c r="H1877" i="2" s="1"/>
  <c r="I1877" i="2"/>
  <c r="J1547" i="2"/>
  <c r="H1547" i="2" s="1"/>
  <c r="K1558" i="2"/>
  <c r="I1576" i="2"/>
  <c r="J1587" i="2"/>
  <c r="H1587" i="2" s="1"/>
  <c r="K1598" i="2"/>
  <c r="K1618" i="2"/>
  <c r="J1624" i="2"/>
  <c r="H1624" i="2" s="1"/>
  <c r="G1626" i="2"/>
  <c r="F1626" i="2"/>
  <c r="K1626" i="2" s="1"/>
  <c r="K1628" i="2"/>
  <c r="I1628" i="2"/>
  <c r="K1652" i="2"/>
  <c r="J1652" i="2"/>
  <c r="H1652" i="2" s="1"/>
  <c r="F1661" i="2"/>
  <c r="K1661" i="2" s="1"/>
  <c r="G1661" i="2"/>
  <c r="F1679" i="2"/>
  <c r="K1679" i="2" s="1"/>
  <c r="G1679" i="2"/>
  <c r="F1687" i="2"/>
  <c r="I1687" i="2" s="1"/>
  <c r="F1747" i="2"/>
  <c r="K1747" i="2" s="1"/>
  <c r="G1747" i="2"/>
  <c r="I1747" i="2"/>
  <c r="I1769" i="2"/>
  <c r="F1769" i="2"/>
  <c r="K1769" i="2"/>
  <c r="J1769" i="2"/>
  <c r="H1769" i="2" s="1"/>
  <c r="G1769" i="2"/>
  <c r="J1793" i="2"/>
  <c r="H1793" i="2" s="1"/>
  <c r="J1810" i="2"/>
  <c r="H1810" i="2" s="1"/>
  <c r="I1810" i="2"/>
  <c r="J1828" i="2"/>
  <c r="H1828" i="2" s="1"/>
  <c r="I1828" i="2"/>
  <c r="K1828" i="2"/>
  <c r="G1920" i="2"/>
  <c r="J1920" i="2"/>
  <c r="H1920" i="2" s="1"/>
  <c r="F1920" i="2"/>
  <c r="K1920" i="2" s="1"/>
  <c r="F1603" i="2"/>
  <c r="J1603" i="2" s="1"/>
  <c r="H1603" i="2" s="1"/>
  <c r="K1642" i="2"/>
  <c r="J1642" i="2"/>
  <c r="H1642" i="2" s="1"/>
  <c r="G1657" i="2"/>
  <c r="K1657" i="2"/>
  <c r="F1671" i="2"/>
  <c r="I1671" i="2" s="1"/>
  <c r="G1677" i="2"/>
  <c r="I1735" i="2"/>
  <c r="F1735" i="2"/>
  <c r="K1735" i="2"/>
  <c r="J1735" i="2"/>
  <c r="H1735" i="2" s="1"/>
  <c r="G1735" i="2"/>
  <c r="J1772" i="2"/>
  <c r="H1772" i="2" s="1"/>
  <c r="I1772" i="2"/>
  <c r="K1810" i="2"/>
  <c r="G1813" i="2"/>
  <c r="I1813" i="2"/>
  <c r="F1813" i="2"/>
  <c r="J1813" i="2" s="1"/>
  <c r="H1813" i="2" s="1"/>
  <c r="G1530" i="2"/>
  <c r="G1538" i="2"/>
  <c r="G1547" i="2"/>
  <c r="G1576" i="2"/>
  <c r="I1577" i="2"/>
  <c r="J1584" i="2"/>
  <c r="H1584" i="2" s="1"/>
  <c r="I1586" i="2"/>
  <c r="G1587" i="2"/>
  <c r="I1588" i="2"/>
  <c r="J1597" i="2"/>
  <c r="H1597" i="2" s="1"/>
  <c r="G1598" i="2"/>
  <c r="G1603" i="2"/>
  <c r="J1604" i="2"/>
  <c r="H1604" i="2" s="1"/>
  <c r="I1606" i="2"/>
  <c r="F1606" i="2"/>
  <c r="J1606" i="2" s="1"/>
  <c r="H1606" i="2" s="1"/>
  <c r="F1609" i="2"/>
  <c r="J1609" i="2" s="1"/>
  <c r="H1609" i="2" s="1"/>
  <c r="K1616" i="2"/>
  <c r="G1618" i="2"/>
  <c r="J1626" i="2"/>
  <c r="H1626" i="2" s="1"/>
  <c r="G1628" i="2"/>
  <c r="K1632" i="2"/>
  <c r="J1632" i="2"/>
  <c r="H1632" i="2" s="1"/>
  <c r="J1647" i="2"/>
  <c r="H1647" i="2" s="1"/>
  <c r="G1647" i="2"/>
  <c r="J1651" i="2"/>
  <c r="H1651" i="2" s="1"/>
  <c r="I1651" i="2"/>
  <c r="F1657" i="2"/>
  <c r="I1657" i="2" s="1"/>
  <c r="J1661" i="2"/>
  <c r="H1661" i="2" s="1"/>
  <c r="G1671" i="2"/>
  <c r="F1677" i="2"/>
  <c r="J1677" i="2" s="1"/>
  <c r="H1677" i="2" s="1"/>
  <c r="K1690" i="2"/>
  <c r="I1708" i="2"/>
  <c r="G1713" i="2"/>
  <c r="K1713" i="2"/>
  <c r="J1713" i="2"/>
  <c r="H1713" i="2" s="1"/>
  <c r="I1713" i="2"/>
  <c r="J1738" i="2"/>
  <c r="H1738" i="2" s="1"/>
  <c r="I1738" i="2"/>
  <c r="K1772" i="2"/>
  <c r="G1777" i="2"/>
  <c r="J1777" i="2"/>
  <c r="H1777" i="2" s="1"/>
  <c r="I1777" i="2"/>
  <c r="K1777" i="2"/>
  <c r="F1777" i="2"/>
  <c r="I1800" i="2"/>
  <c r="J1514" i="2"/>
  <c r="H1514" i="2" s="1"/>
  <c r="J1524" i="2"/>
  <c r="H1524" i="2" s="1"/>
  <c r="F1528" i="2"/>
  <c r="J1528" i="2" s="1"/>
  <c r="H1528" i="2" s="1"/>
  <c r="J1532" i="2"/>
  <c r="H1532" i="2" s="1"/>
  <c r="F1536" i="2"/>
  <c r="F1546" i="2"/>
  <c r="K1546" i="2" s="1"/>
  <c r="G1553" i="2"/>
  <c r="I1554" i="2"/>
  <c r="F1557" i="2"/>
  <c r="K1557" i="2" s="1"/>
  <c r="F1564" i="2"/>
  <c r="I1565" i="2"/>
  <c r="F1568" i="2"/>
  <c r="J1568" i="2" s="1"/>
  <c r="H1568" i="2" s="1"/>
  <c r="F1575" i="2"/>
  <c r="G1609" i="2"/>
  <c r="I1615" i="2"/>
  <c r="J1617" i="2"/>
  <c r="H1617" i="2" s="1"/>
  <c r="G1617" i="2"/>
  <c r="K1622" i="2"/>
  <c r="J1622" i="2"/>
  <c r="H1622" i="2" s="1"/>
  <c r="J1639" i="2"/>
  <c r="H1639" i="2" s="1"/>
  <c r="G1639" i="2"/>
  <c r="J1641" i="2"/>
  <c r="H1641" i="2" s="1"/>
  <c r="J1657" i="2"/>
  <c r="H1657" i="2" s="1"/>
  <c r="K1671" i="2"/>
  <c r="G1716" i="2"/>
  <c r="J1716" i="2"/>
  <c r="H1716" i="2" s="1"/>
  <c r="K1716" i="2"/>
  <c r="I1716" i="2"/>
  <c r="F1716" i="2"/>
  <c r="J1729" i="2"/>
  <c r="H1729" i="2" s="1"/>
  <c r="G1729" i="2"/>
  <c r="I1729" i="2"/>
  <c r="F1729" i="2"/>
  <c r="K1729" i="2" s="1"/>
  <c r="K1738" i="2"/>
  <c r="G1741" i="2"/>
  <c r="J1741" i="2"/>
  <c r="H1741" i="2" s="1"/>
  <c r="I1741" i="2"/>
  <c r="K1741" i="2"/>
  <c r="F1741" i="2"/>
  <c r="G1821" i="2"/>
  <c r="F1821" i="2"/>
  <c r="J1821" i="2" s="1"/>
  <c r="H1821" i="2" s="1"/>
  <c r="G1546" i="2"/>
  <c r="I1547" i="2"/>
  <c r="J1554" i="2"/>
  <c r="H1554" i="2" s="1"/>
  <c r="I1556" i="2"/>
  <c r="G1557" i="2"/>
  <c r="I1558" i="2"/>
  <c r="J1567" i="2"/>
  <c r="H1567" i="2" s="1"/>
  <c r="G1568" i="2"/>
  <c r="J1576" i="2"/>
  <c r="H1576" i="2" s="1"/>
  <c r="K1580" i="2"/>
  <c r="J1583" i="2"/>
  <c r="H1583" i="2" s="1"/>
  <c r="G1586" i="2"/>
  <c r="I1587" i="2"/>
  <c r="J1594" i="2"/>
  <c r="H1594" i="2" s="1"/>
  <c r="I1596" i="2"/>
  <c r="G1597" i="2"/>
  <c r="J1598" i="2"/>
  <c r="H1598" i="2" s="1"/>
  <c r="I1603" i="2"/>
  <c r="K1608" i="2"/>
  <c r="K1612" i="2"/>
  <c r="F1617" i="2"/>
  <c r="K1617" i="2" s="1"/>
  <c r="J1618" i="2"/>
  <c r="H1618" i="2" s="1"/>
  <c r="J1627" i="2"/>
  <c r="H1627" i="2" s="1"/>
  <c r="G1627" i="2"/>
  <c r="J1631" i="2"/>
  <c r="H1631" i="2" s="1"/>
  <c r="I1631" i="2"/>
  <c r="F1639" i="2"/>
  <c r="I1639" i="2" s="1"/>
  <c r="F1641" i="2"/>
  <c r="K1641" i="2" s="1"/>
  <c r="I1642" i="2"/>
  <c r="I1647" i="2"/>
  <c r="G1651" i="2"/>
  <c r="F1653" i="2"/>
  <c r="K1653" i="2"/>
  <c r="G1662" i="2"/>
  <c r="F1662" i="2"/>
  <c r="I1662" i="2" s="1"/>
  <c r="F1666" i="2"/>
  <c r="K1666" i="2" s="1"/>
  <c r="I1674" i="2"/>
  <c r="J1674" i="2"/>
  <c r="H1674" i="2" s="1"/>
  <c r="I1675" i="2"/>
  <c r="G1680" i="2"/>
  <c r="J1680" i="2"/>
  <c r="H1680" i="2" s="1"/>
  <c r="K1680" i="2"/>
  <c r="F1680" i="2"/>
  <c r="I1680" i="2" s="1"/>
  <c r="F1684" i="2"/>
  <c r="J1684" i="2" s="1"/>
  <c r="H1684" i="2" s="1"/>
  <c r="F1717" i="2"/>
  <c r="K1717" i="2" s="1"/>
  <c r="J1717" i="2"/>
  <c r="H1717" i="2" s="1"/>
  <c r="K1732" i="2"/>
  <c r="I1732" i="2"/>
  <c r="J1762" i="2"/>
  <c r="H1762" i="2" s="1"/>
  <c r="G1787" i="2"/>
  <c r="F1787" i="2"/>
  <c r="J1787" i="2" s="1"/>
  <c r="H1787" i="2" s="1"/>
  <c r="K1787" i="2"/>
  <c r="K1798" i="2"/>
  <c r="I1798" i="2"/>
  <c r="I1832" i="2"/>
  <c r="I1852" i="2"/>
  <c r="F1857" i="2"/>
  <c r="I1857" i="2" s="1"/>
  <c r="J1857" i="2"/>
  <c r="H1857" i="2" s="1"/>
  <c r="F1864" i="2"/>
  <c r="K1864" i="2" s="1"/>
  <c r="J1864" i="2"/>
  <c r="H1864" i="2" s="1"/>
  <c r="I1864" i="2"/>
  <c r="I1887" i="2"/>
  <c r="J1887" i="2"/>
  <c r="H1887" i="2" s="1"/>
  <c r="F1973" i="2"/>
  <c r="I1973" i="2" s="1"/>
  <c r="J1973" i="2"/>
  <c r="H1973" i="2" s="1"/>
  <c r="K1973" i="2"/>
  <c r="J1696" i="2"/>
  <c r="H1696" i="2" s="1"/>
  <c r="K1709" i="2"/>
  <c r="J1714" i="2"/>
  <c r="H1714" i="2" s="1"/>
  <c r="J1730" i="2"/>
  <c r="H1730" i="2" s="1"/>
  <c r="J1756" i="2"/>
  <c r="H1756" i="2" s="1"/>
  <c r="I1756" i="2"/>
  <c r="J1792" i="2"/>
  <c r="H1792" i="2" s="1"/>
  <c r="I1792" i="2"/>
  <c r="K1835" i="2"/>
  <c r="F1835" i="2"/>
  <c r="I1835" i="2" s="1"/>
  <c r="G1835" i="2"/>
  <c r="G1839" i="2"/>
  <c r="J1839" i="2"/>
  <c r="H1839" i="2" s="1"/>
  <c r="F1839" i="2"/>
  <c r="K1839" i="2" s="1"/>
  <c r="J1845" i="2"/>
  <c r="H1845" i="2" s="1"/>
  <c r="G1857" i="2"/>
  <c r="G1864" i="2"/>
  <c r="G1869" i="2"/>
  <c r="F1869" i="2"/>
  <c r="I1869" i="2" s="1"/>
  <c r="G1878" i="2"/>
  <c r="F1878" i="2"/>
  <c r="K1878" i="2" s="1"/>
  <c r="G1973" i="2"/>
  <c r="I1664" i="2"/>
  <c r="F1673" i="2"/>
  <c r="J1673" i="2" s="1"/>
  <c r="H1673" i="2" s="1"/>
  <c r="F1676" i="2"/>
  <c r="I1682" i="2"/>
  <c r="F1689" i="2"/>
  <c r="J1689" i="2" s="1"/>
  <c r="H1689" i="2" s="1"/>
  <c r="J1690" i="2"/>
  <c r="H1690" i="2" s="1"/>
  <c r="F1692" i="2"/>
  <c r="I1700" i="2"/>
  <c r="F1709" i="2"/>
  <c r="J1709" i="2" s="1"/>
  <c r="H1709" i="2" s="1"/>
  <c r="J1710" i="2"/>
  <c r="H1710" i="2" s="1"/>
  <c r="F1712" i="2"/>
  <c r="I1718" i="2"/>
  <c r="J1721" i="2"/>
  <c r="H1721" i="2" s="1"/>
  <c r="G1721" i="2"/>
  <c r="I1726" i="2"/>
  <c r="G1726" i="2"/>
  <c r="F1731" i="2"/>
  <c r="I1731" i="2" s="1"/>
  <c r="J1752" i="2"/>
  <c r="H1752" i="2" s="1"/>
  <c r="G1752" i="2"/>
  <c r="F1752" i="2"/>
  <c r="I1752" i="2" s="1"/>
  <c r="K1788" i="2"/>
  <c r="G1788" i="2"/>
  <c r="F1788" i="2"/>
  <c r="I1788" i="2" s="1"/>
  <c r="J1822" i="2"/>
  <c r="H1822" i="2" s="1"/>
  <c r="G1822" i="2"/>
  <c r="F1822" i="2"/>
  <c r="I1822" i="2" s="1"/>
  <c r="J1844" i="2"/>
  <c r="H1844" i="2" s="1"/>
  <c r="I1844" i="2"/>
  <c r="G1865" i="2"/>
  <c r="K1865" i="2"/>
  <c r="J1865" i="2"/>
  <c r="H1865" i="2" s="1"/>
  <c r="I1865" i="2"/>
  <c r="F1865" i="2"/>
  <c r="J1874" i="2"/>
  <c r="H1874" i="2" s="1"/>
  <c r="I1874" i="2"/>
  <c r="K1887" i="2"/>
  <c r="I1895" i="2"/>
  <c r="K1895" i="2"/>
  <c r="J1895" i="2"/>
  <c r="H1895" i="2" s="1"/>
  <c r="G1916" i="2"/>
  <c r="F1916" i="2"/>
  <c r="K1916" i="2" s="1"/>
  <c r="J1967" i="2"/>
  <c r="H1967" i="2" s="1"/>
  <c r="I1967" i="2"/>
  <c r="K1967" i="2"/>
  <c r="K1987" i="2"/>
  <c r="G1987" i="2"/>
  <c r="F1987" i="2"/>
  <c r="I1987" i="2" s="1"/>
  <c r="F1697" i="2"/>
  <c r="K1697" i="2" s="1"/>
  <c r="F1715" i="2"/>
  <c r="K1715" i="2" s="1"/>
  <c r="G1733" i="2"/>
  <c r="J1733" i="2"/>
  <c r="H1733" i="2" s="1"/>
  <c r="F1733" i="2"/>
  <c r="K1733" i="2" s="1"/>
  <c r="K1763" i="2"/>
  <c r="F1763" i="2"/>
  <c r="I1763" i="2" s="1"/>
  <c r="G1763" i="2"/>
  <c r="G1767" i="2"/>
  <c r="J1767" i="2"/>
  <c r="H1767" i="2" s="1"/>
  <c r="F1767" i="2"/>
  <c r="K1767" i="2" s="1"/>
  <c r="K1799" i="2"/>
  <c r="F1799" i="2"/>
  <c r="I1799" i="2" s="1"/>
  <c r="G1799" i="2"/>
  <c r="G1803" i="2"/>
  <c r="J1803" i="2"/>
  <c r="H1803" i="2" s="1"/>
  <c r="F1803" i="2"/>
  <c r="K1803" i="2" s="1"/>
  <c r="G1831" i="2"/>
  <c r="J1831" i="2"/>
  <c r="H1831" i="2" s="1"/>
  <c r="I1831" i="2"/>
  <c r="F1851" i="2"/>
  <c r="I1851" i="2" s="1"/>
  <c r="G1851" i="2"/>
  <c r="G1855" i="2"/>
  <c r="F1855" i="2"/>
  <c r="K1855" i="2" s="1"/>
  <c r="G1866" i="2"/>
  <c r="F1965" i="2"/>
  <c r="K1965" i="2" s="1"/>
  <c r="G1664" i="2"/>
  <c r="G1672" i="2"/>
  <c r="J1672" i="2"/>
  <c r="H1672" i="2" s="1"/>
  <c r="I1673" i="2"/>
  <c r="J1675" i="2"/>
  <c r="H1675" i="2" s="1"/>
  <c r="G1682" i="2"/>
  <c r="G1688" i="2"/>
  <c r="J1688" i="2"/>
  <c r="H1688" i="2" s="1"/>
  <c r="I1689" i="2"/>
  <c r="J1691" i="2"/>
  <c r="H1691" i="2" s="1"/>
  <c r="G1697" i="2"/>
  <c r="G1700" i="2"/>
  <c r="F1703" i="2"/>
  <c r="G1708" i="2"/>
  <c r="J1708" i="2"/>
  <c r="H1708" i="2" s="1"/>
  <c r="I1709" i="2"/>
  <c r="J1711" i="2"/>
  <c r="H1711" i="2" s="1"/>
  <c r="G1715" i="2"/>
  <c r="G1718" i="2"/>
  <c r="F1723" i="2"/>
  <c r="F1728" i="2"/>
  <c r="J1728" i="2" s="1"/>
  <c r="H1728" i="2" s="1"/>
  <c r="J1739" i="2"/>
  <c r="H1739" i="2" s="1"/>
  <c r="F1753" i="2"/>
  <c r="J1753" i="2" s="1"/>
  <c r="H1753" i="2" s="1"/>
  <c r="K1753" i="2"/>
  <c r="G1759" i="2"/>
  <c r="J1759" i="2"/>
  <c r="H1759" i="2" s="1"/>
  <c r="I1759" i="2"/>
  <c r="J1773" i="2"/>
  <c r="H1773" i="2" s="1"/>
  <c r="F1789" i="2"/>
  <c r="J1789" i="2" s="1"/>
  <c r="H1789" i="2" s="1"/>
  <c r="K1789" i="2"/>
  <c r="G1795" i="2"/>
  <c r="J1795" i="2"/>
  <c r="H1795" i="2" s="1"/>
  <c r="I1795" i="2"/>
  <c r="J1811" i="2"/>
  <c r="H1811" i="2" s="1"/>
  <c r="F1823" i="2"/>
  <c r="J1823" i="2" s="1"/>
  <c r="H1823" i="2" s="1"/>
  <c r="K1823" i="2"/>
  <c r="F1831" i="2"/>
  <c r="K1831" i="2" s="1"/>
  <c r="K1840" i="2"/>
  <c r="J1840" i="2"/>
  <c r="H1840" i="2" s="1"/>
  <c r="G1840" i="2"/>
  <c r="F1840" i="2"/>
  <c r="I1840" i="2" s="1"/>
  <c r="K1844" i="2"/>
  <c r="F1866" i="2"/>
  <c r="J1866" i="2" s="1"/>
  <c r="H1866" i="2" s="1"/>
  <c r="G1965" i="2"/>
  <c r="F2040" i="2"/>
  <c r="I2040" i="2" s="1"/>
  <c r="G2040" i="2"/>
  <c r="J1882" i="2"/>
  <c r="H1882" i="2" s="1"/>
  <c r="G1897" i="2"/>
  <c r="I1690" i="2"/>
  <c r="J1697" i="2"/>
  <c r="H1697" i="2" s="1"/>
  <c r="F1702" i="2"/>
  <c r="J1702" i="2" s="1"/>
  <c r="H1702" i="2" s="1"/>
  <c r="I1703" i="2"/>
  <c r="I1710" i="2"/>
  <c r="F1720" i="2"/>
  <c r="K1720" i="2" s="1"/>
  <c r="F1725" i="2"/>
  <c r="I1725" i="2" s="1"/>
  <c r="K1725" i="2"/>
  <c r="K1734" i="2"/>
  <c r="G1734" i="2"/>
  <c r="F1734" i="2"/>
  <c r="I1734" i="2" s="1"/>
  <c r="J1768" i="2"/>
  <c r="H1768" i="2" s="1"/>
  <c r="G1768" i="2"/>
  <c r="F1768" i="2"/>
  <c r="I1768" i="2" s="1"/>
  <c r="K1804" i="2"/>
  <c r="G1804" i="2"/>
  <c r="F1804" i="2"/>
  <c r="I1804" i="2" s="1"/>
  <c r="F1841" i="2"/>
  <c r="I1841" i="2" s="1"/>
  <c r="K1856" i="2"/>
  <c r="G1856" i="2"/>
  <c r="F1856" i="2"/>
  <c r="I1856" i="2" s="1"/>
  <c r="I1863" i="2"/>
  <c r="K1863" i="2"/>
  <c r="J1863" i="2"/>
  <c r="H1863" i="2" s="1"/>
  <c r="J1886" i="2"/>
  <c r="H1886" i="2" s="1"/>
  <c r="I1886" i="2"/>
  <c r="G1889" i="2"/>
  <c r="F1889" i="2"/>
  <c r="I1889" i="2" s="1"/>
  <c r="F1897" i="2"/>
  <c r="K1897" i="2" s="1"/>
  <c r="I1914" i="2"/>
  <c r="K2005" i="2"/>
  <c r="J2005" i="2"/>
  <c r="H2005" i="2" s="1"/>
  <c r="F2005" i="2"/>
  <c r="I2005" i="2" s="1"/>
  <c r="J2028" i="2"/>
  <c r="H2028" i="2" s="1"/>
  <c r="K2028" i="2"/>
  <c r="I2028" i="2"/>
  <c r="K2049" i="2"/>
  <c r="J2049" i="2"/>
  <c r="H2049" i="2" s="1"/>
  <c r="I2049" i="2"/>
  <c r="F2049" i="2"/>
  <c r="G2049" i="2"/>
  <c r="F2065" i="2"/>
  <c r="I2065" i="2" s="1"/>
  <c r="J2065" i="2"/>
  <c r="H2065" i="2" s="1"/>
  <c r="G2065" i="2"/>
  <c r="J1724" i="2"/>
  <c r="H1724" i="2" s="1"/>
  <c r="J1732" i="2"/>
  <c r="H1732" i="2" s="1"/>
  <c r="F1737" i="2"/>
  <c r="I1745" i="2"/>
  <c r="K1755" i="2"/>
  <c r="F1755" i="2"/>
  <c r="I1761" i="2"/>
  <c r="K1771" i="2"/>
  <c r="F1771" i="2"/>
  <c r="I1779" i="2"/>
  <c r="F1791" i="2"/>
  <c r="I1797" i="2"/>
  <c r="F1809" i="2"/>
  <c r="I1815" i="2"/>
  <c r="F1827" i="2"/>
  <c r="I1833" i="2"/>
  <c r="F1843" i="2"/>
  <c r="K1859" i="2"/>
  <c r="G1859" i="2"/>
  <c r="F1859" i="2"/>
  <c r="G1881" i="2"/>
  <c r="K1881" i="2"/>
  <c r="J1881" i="2"/>
  <c r="H1881" i="2" s="1"/>
  <c r="J1938" i="2"/>
  <c r="H1938" i="2" s="1"/>
  <c r="I1938" i="2"/>
  <c r="G1992" i="2"/>
  <c r="F1992" i="2"/>
  <c r="K1992" i="2" s="1"/>
  <c r="J1992" i="2"/>
  <c r="H1992" i="2" s="1"/>
  <c r="I1992" i="2"/>
  <c r="G2005" i="2"/>
  <c r="K2020" i="2"/>
  <c r="J2020" i="2"/>
  <c r="H2020" i="2" s="1"/>
  <c r="I2020" i="2"/>
  <c r="F1740" i="2"/>
  <c r="J1740" i="2" s="1"/>
  <c r="H1740" i="2" s="1"/>
  <c r="I1740" i="2"/>
  <c r="F1758" i="2"/>
  <c r="J1758" i="2" s="1"/>
  <c r="H1758" i="2" s="1"/>
  <c r="F1776" i="2"/>
  <c r="J1776" i="2" s="1"/>
  <c r="H1776" i="2" s="1"/>
  <c r="F1794" i="2"/>
  <c r="J1794" i="2" s="1"/>
  <c r="H1794" i="2" s="1"/>
  <c r="I1794" i="2"/>
  <c r="F1812" i="2"/>
  <c r="J1812" i="2" s="1"/>
  <c r="H1812" i="2" s="1"/>
  <c r="I1812" i="2"/>
  <c r="G1827" i="2"/>
  <c r="F1830" i="2"/>
  <c r="J1830" i="2" s="1"/>
  <c r="H1830" i="2" s="1"/>
  <c r="I1830" i="2"/>
  <c r="F1833" i="2"/>
  <c r="J1833" i="2" s="1"/>
  <c r="H1833" i="2" s="1"/>
  <c r="G1843" i="2"/>
  <c r="F1846" i="2"/>
  <c r="J1846" i="2" s="1"/>
  <c r="H1846" i="2" s="1"/>
  <c r="F1849" i="2"/>
  <c r="J1849" i="2" s="1"/>
  <c r="H1849" i="2" s="1"/>
  <c r="G1873" i="2"/>
  <c r="K1873" i="2"/>
  <c r="J1873" i="2"/>
  <c r="H1873" i="2" s="1"/>
  <c r="F1881" i="2"/>
  <c r="I1881" i="2" s="1"/>
  <c r="I1883" i="2"/>
  <c r="F1894" i="2"/>
  <c r="I1910" i="2"/>
  <c r="J1924" i="2"/>
  <c r="H1924" i="2" s="1"/>
  <c r="I1924" i="2"/>
  <c r="K1928" i="2"/>
  <c r="I1928" i="2"/>
  <c r="G1932" i="2"/>
  <c r="K1932" i="2"/>
  <c r="J1932" i="2"/>
  <c r="H1932" i="2" s="1"/>
  <c r="I1932" i="2"/>
  <c r="J1970" i="2"/>
  <c r="H1970" i="2" s="1"/>
  <c r="I1970" i="2"/>
  <c r="G1970" i="2"/>
  <c r="K1996" i="2"/>
  <c r="J1996" i="2"/>
  <c r="H1996" i="2" s="1"/>
  <c r="G1996" i="2"/>
  <c r="F1996" i="2"/>
  <c r="G2021" i="2"/>
  <c r="F2021" i="2"/>
  <c r="J2021" i="2" s="1"/>
  <c r="H2021" i="2" s="1"/>
  <c r="K2021" i="2"/>
  <c r="F1896" i="2"/>
  <c r="J1896" i="2"/>
  <c r="H1896" i="2" s="1"/>
  <c r="I1896" i="2"/>
  <c r="J1913" i="2"/>
  <c r="H1913" i="2" s="1"/>
  <c r="I1913" i="2"/>
  <c r="K1938" i="2"/>
  <c r="I1941" i="2"/>
  <c r="K1941" i="2"/>
  <c r="J1941" i="2"/>
  <c r="H1941" i="2" s="1"/>
  <c r="G1941" i="2"/>
  <c r="F1941" i="2"/>
  <c r="J1946" i="2"/>
  <c r="H1946" i="2" s="1"/>
  <c r="K1946" i="2"/>
  <c r="I1946" i="2"/>
  <c r="G1946" i="2"/>
  <c r="G1951" i="2"/>
  <c r="J1951" i="2"/>
  <c r="H1951" i="2" s="1"/>
  <c r="I1951" i="2"/>
  <c r="F1951" i="2"/>
  <c r="K1951" i="2" s="1"/>
  <c r="F1970" i="2"/>
  <c r="K1970" i="2" s="1"/>
  <c r="I1996" i="2"/>
  <c r="I2021" i="2"/>
  <c r="K1744" i="2"/>
  <c r="K1760" i="2"/>
  <c r="K1778" i="2"/>
  <c r="K1796" i="2"/>
  <c r="K1814" i="2"/>
  <c r="K1832" i="2"/>
  <c r="K1848" i="2"/>
  <c r="I1867" i="2"/>
  <c r="F1888" i="2"/>
  <c r="K1888" i="2" s="1"/>
  <c r="K1890" i="2"/>
  <c r="G1896" i="2"/>
  <c r="F1898" i="2"/>
  <c r="J1898" i="2" s="1"/>
  <c r="H1898" i="2" s="1"/>
  <c r="K1924" i="2"/>
  <c r="J1928" i="2"/>
  <c r="H1928" i="2" s="1"/>
  <c r="J1942" i="2"/>
  <c r="H1942" i="2" s="1"/>
  <c r="F1942" i="2"/>
  <c r="I1942" i="2" s="1"/>
  <c r="K1942" i="2"/>
  <c r="J1979" i="2"/>
  <c r="H1979" i="2" s="1"/>
  <c r="I1979" i="2"/>
  <c r="K1979" i="2"/>
  <c r="G1979" i="2"/>
  <c r="F2033" i="2"/>
  <c r="J2033" i="2" s="1"/>
  <c r="H2033" i="2" s="1"/>
  <c r="G2033" i="2"/>
  <c r="F1880" i="2"/>
  <c r="K1880" i="2" s="1"/>
  <c r="J1880" i="2"/>
  <c r="H1880" i="2" s="1"/>
  <c r="I1880" i="2"/>
  <c r="K1882" i="2"/>
  <c r="G1893" i="2"/>
  <c r="F1893" i="2"/>
  <c r="K1893" i="2" s="1"/>
  <c r="G1898" i="2"/>
  <c r="G1900" i="2"/>
  <c r="F1900" i="2"/>
  <c r="G1903" i="2"/>
  <c r="K1908" i="2"/>
  <c r="K1913" i="2"/>
  <c r="G1923" i="2"/>
  <c r="F1923" i="2"/>
  <c r="G1956" i="2"/>
  <c r="K1962" i="2"/>
  <c r="J1962" i="2"/>
  <c r="H1962" i="2" s="1"/>
  <c r="I1962" i="2"/>
  <c r="K1740" i="2"/>
  <c r="G1744" i="2"/>
  <c r="K1745" i="2"/>
  <c r="J1748" i="2"/>
  <c r="H1748" i="2" s="1"/>
  <c r="F1750" i="2"/>
  <c r="I1750" i="2"/>
  <c r="K1758" i="2"/>
  <c r="G1760" i="2"/>
  <c r="K1761" i="2"/>
  <c r="J1764" i="2"/>
  <c r="H1764" i="2" s="1"/>
  <c r="F1766" i="2"/>
  <c r="I1766" i="2"/>
  <c r="G1778" i="2"/>
  <c r="K1779" i="2"/>
  <c r="J1782" i="2"/>
  <c r="H1782" i="2" s="1"/>
  <c r="F1786" i="2"/>
  <c r="I1786" i="2"/>
  <c r="G1796" i="2"/>
  <c r="K1797" i="2"/>
  <c r="J1800" i="2"/>
  <c r="H1800" i="2" s="1"/>
  <c r="F1802" i="2"/>
  <c r="K1812" i="2"/>
  <c r="G1814" i="2"/>
  <c r="K1815" i="2"/>
  <c r="J1818" i="2"/>
  <c r="H1818" i="2" s="1"/>
  <c r="F1820" i="2"/>
  <c r="I1820" i="2"/>
  <c r="K1830" i="2"/>
  <c r="G1832" i="2"/>
  <c r="K1833" i="2"/>
  <c r="J1836" i="2"/>
  <c r="H1836" i="2" s="1"/>
  <c r="F1838" i="2"/>
  <c r="I1838" i="2"/>
  <c r="G1848" i="2"/>
  <c r="K1849" i="2"/>
  <c r="J1852" i="2"/>
  <c r="H1852" i="2" s="1"/>
  <c r="F1854" i="2"/>
  <c r="I1854" i="2"/>
  <c r="F1862" i="2"/>
  <c r="I1870" i="2"/>
  <c r="F1872" i="2"/>
  <c r="K1872" i="2" s="1"/>
  <c r="J1872" i="2"/>
  <c r="H1872" i="2" s="1"/>
  <c r="I1872" i="2"/>
  <c r="K1874" i="2"/>
  <c r="G1880" i="2"/>
  <c r="F1882" i="2"/>
  <c r="I1882" i="2" s="1"/>
  <c r="K1885" i="2"/>
  <c r="G1885" i="2"/>
  <c r="F1885" i="2"/>
  <c r="K1886" i="2"/>
  <c r="G1890" i="2"/>
  <c r="K1896" i="2"/>
  <c r="I1898" i="2"/>
  <c r="F1903" i="2"/>
  <c r="K1903" i="2" s="1"/>
  <c r="I1907" i="2"/>
  <c r="G1907" i="2"/>
  <c r="F1907" i="2"/>
  <c r="K1909" i="2"/>
  <c r="G1909" i="2"/>
  <c r="J1909" i="2"/>
  <c r="H1909" i="2" s="1"/>
  <c r="F1912" i="2"/>
  <c r="G1912" i="2"/>
  <c r="G1914" i="2"/>
  <c r="K1914" i="2"/>
  <c r="J1919" i="2"/>
  <c r="H1919" i="2" s="1"/>
  <c r="I1921" i="2"/>
  <c r="I1923" i="2"/>
  <c r="G1927" i="2"/>
  <c r="F1927" i="2"/>
  <c r="J1927" i="2" s="1"/>
  <c r="H1927" i="2" s="1"/>
  <c r="I1949" i="2"/>
  <c r="K1949" i="2"/>
  <c r="J1949" i="2"/>
  <c r="H1949" i="2" s="1"/>
  <c r="F1956" i="2"/>
  <c r="J1956" i="2" s="1"/>
  <c r="H1956" i="2" s="1"/>
  <c r="K1986" i="2"/>
  <c r="F1994" i="2"/>
  <c r="I1994" i="2" s="1"/>
  <c r="J1994" i="2"/>
  <c r="H1994" i="2" s="1"/>
  <c r="K1994" i="2"/>
  <c r="G2027" i="2"/>
  <c r="F2027" i="2"/>
  <c r="J2027" i="2" s="1"/>
  <c r="H2027" i="2" s="1"/>
  <c r="K2027" i="2"/>
  <c r="K2061" i="2"/>
  <c r="I2061" i="2"/>
  <c r="K1925" i="2"/>
  <c r="K1930" i="2"/>
  <c r="J1934" i="2"/>
  <c r="H1934" i="2" s="1"/>
  <c r="I1934" i="2"/>
  <c r="J1964" i="2"/>
  <c r="H1964" i="2" s="1"/>
  <c r="G1964" i="2"/>
  <c r="K1966" i="2"/>
  <c r="J1997" i="2"/>
  <c r="H1997" i="2" s="1"/>
  <c r="I1997" i="2"/>
  <c r="K2001" i="2"/>
  <c r="J2001" i="2"/>
  <c r="H2001" i="2" s="1"/>
  <c r="G2001" i="2"/>
  <c r="F2019" i="2"/>
  <c r="K2019" i="2"/>
  <c r="G2019" i="2"/>
  <c r="J2058" i="2"/>
  <c r="H2058" i="2" s="1"/>
  <c r="F2058" i="2"/>
  <c r="K2058" i="2" s="1"/>
  <c r="K1899" i="2"/>
  <c r="I1915" i="2"/>
  <c r="J1926" i="2"/>
  <c r="H1926" i="2" s="1"/>
  <c r="G1931" i="2"/>
  <c r="F1931" i="2"/>
  <c r="K1945" i="2"/>
  <c r="J1945" i="2"/>
  <c r="H1945" i="2" s="1"/>
  <c r="G1961" i="2"/>
  <c r="K1961" i="2"/>
  <c r="J1961" i="2"/>
  <c r="H1961" i="2" s="1"/>
  <c r="F1995" i="2"/>
  <c r="K1995" i="2" s="1"/>
  <c r="J2003" i="2"/>
  <c r="H2003" i="2" s="1"/>
  <c r="G2003" i="2"/>
  <c r="F2003" i="2"/>
  <c r="I2003" i="2" s="1"/>
  <c r="K2003" i="2"/>
  <c r="K2006" i="2"/>
  <c r="I2006" i="2"/>
  <c r="F2034" i="2"/>
  <c r="J2034" i="2" s="1"/>
  <c r="H2034" i="2" s="1"/>
  <c r="K2034" i="2"/>
  <c r="G2034" i="2"/>
  <c r="K1936" i="2"/>
  <c r="I1955" i="2"/>
  <c r="G1955" i="2"/>
  <c r="K1957" i="2"/>
  <c r="G1969" i="2"/>
  <c r="I1969" i="2"/>
  <c r="G1974" i="2"/>
  <c r="F1974" i="2"/>
  <c r="F1988" i="2"/>
  <c r="I1988" i="2" s="1"/>
  <c r="F2017" i="2"/>
  <c r="I2017" i="2" s="1"/>
  <c r="K2031" i="2"/>
  <c r="I2031" i="2"/>
  <c r="I2034" i="2"/>
  <c r="I2051" i="2"/>
  <c r="K2051" i="2"/>
  <c r="G2063" i="2"/>
  <c r="F2063" i="2"/>
  <c r="K2063" i="2" s="1"/>
  <c r="I2063" i="2"/>
  <c r="J2063" i="2"/>
  <c r="H2063" i="2" s="1"/>
  <c r="K2076" i="2"/>
  <c r="I2076" i="2"/>
  <c r="J2076" i="2"/>
  <c r="H2076" i="2" s="1"/>
  <c r="G2076" i="2"/>
  <c r="I1933" i="2"/>
  <c r="F1950" i="2"/>
  <c r="I1950" i="2" s="1"/>
  <c r="K1950" i="2"/>
  <c r="J1950" i="2"/>
  <c r="H1950" i="2" s="1"/>
  <c r="I1976" i="2"/>
  <c r="K1976" i="2"/>
  <c r="J1976" i="2"/>
  <c r="H1976" i="2" s="1"/>
  <c r="G1984" i="2"/>
  <c r="I1984" i="2"/>
  <c r="F1991" i="2"/>
  <c r="I1991" i="2"/>
  <c r="J1991" i="2"/>
  <c r="H1991" i="2" s="1"/>
  <c r="F1999" i="2"/>
  <c r="I1999" i="2" s="1"/>
  <c r="G1999" i="2"/>
  <c r="J1999" i="2"/>
  <c r="H1999" i="2" s="1"/>
  <c r="J2025" i="2"/>
  <c r="H2025" i="2" s="1"/>
  <c r="K2025" i="2"/>
  <c r="I2025" i="2"/>
  <c r="G2025" i="2"/>
  <c r="I2036" i="2"/>
  <c r="K2036" i="2"/>
  <c r="J2054" i="2"/>
  <c r="H2054" i="2" s="1"/>
  <c r="I2054" i="2"/>
  <c r="K2054" i="2"/>
  <c r="J2061" i="2"/>
  <c r="H2061" i="2" s="1"/>
  <c r="I1899" i="2"/>
  <c r="J1908" i="2"/>
  <c r="H1908" i="2" s="1"/>
  <c r="J1915" i="2"/>
  <c r="H1915" i="2" s="1"/>
  <c r="K1919" i="2"/>
  <c r="J1922" i="2"/>
  <c r="H1922" i="2" s="1"/>
  <c r="G1925" i="2"/>
  <c r="I1926" i="2"/>
  <c r="G1933" i="2"/>
  <c r="K1935" i="2"/>
  <c r="J1935" i="2"/>
  <c r="H1935" i="2" s="1"/>
  <c r="G1939" i="2"/>
  <c r="F1939" i="2"/>
  <c r="J1940" i="2"/>
  <c r="H1940" i="2" s="1"/>
  <c r="I1945" i="2"/>
  <c r="K1948" i="2"/>
  <c r="K1955" i="2"/>
  <c r="F1960" i="2"/>
  <c r="I1960" i="2"/>
  <c r="J1966" i="2"/>
  <c r="H1966" i="2" s="1"/>
  <c r="K1969" i="2"/>
  <c r="J1974" i="2"/>
  <c r="H1974" i="2" s="1"/>
  <c r="G1976" i="2"/>
  <c r="J1984" i="2"/>
  <c r="H1984" i="2" s="1"/>
  <c r="K1991" i="2"/>
  <c r="K1993" i="2"/>
  <c r="K1999" i="2"/>
  <c r="J2011" i="2"/>
  <c r="H2011" i="2" s="1"/>
  <c r="I2011" i="2"/>
  <c r="G2011" i="2"/>
  <c r="J2018" i="2"/>
  <c r="H2018" i="2" s="1"/>
  <c r="I2018" i="2"/>
  <c r="K2018" i="2"/>
  <c r="I2032" i="2"/>
  <c r="G2032" i="2"/>
  <c r="F2032" i="2"/>
  <c r="K2032" i="2" s="1"/>
  <c r="J2032" i="2"/>
  <c r="H2032" i="2" s="1"/>
  <c r="J2036" i="2"/>
  <c r="H2036" i="2" s="1"/>
  <c r="F2055" i="2"/>
  <c r="I2055" i="2" s="1"/>
  <c r="K2055" i="2"/>
  <c r="J2055" i="2"/>
  <c r="H2055" i="2" s="1"/>
  <c r="G2055" i="2"/>
  <c r="G2030" i="2"/>
  <c r="K2030" i="2"/>
  <c r="J2051" i="2"/>
  <c r="H2051" i="2" s="1"/>
  <c r="K2068" i="2"/>
  <c r="I2068" i="2"/>
  <c r="G2068" i="2"/>
  <c r="J2074" i="2"/>
  <c r="H2074" i="2" s="1"/>
  <c r="I2074" i="2"/>
  <c r="G2074" i="2"/>
  <c r="K2074" i="2"/>
  <c r="G2000" i="2"/>
  <c r="J2000" i="2"/>
  <c r="H2000" i="2" s="1"/>
  <c r="I2000" i="2"/>
  <c r="G2010" i="2"/>
  <c r="F2010" i="2"/>
  <c r="I2010" i="2" s="1"/>
  <c r="I2012" i="2"/>
  <c r="K2012" i="2"/>
  <c r="I2024" i="2"/>
  <c r="J2024" i="2"/>
  <c r="H2024" i="2" s="1"/>
  <c r="F2044" i="2"/>
  <c r="J2044" i="2" s="1"/>
  <c r="H2044" i="2" s="1"/>
  <c r="K2044" i="2"/>
  <c r="G2044" i="2"/>
  <c r="I2066" i="2"/>
  <c r="G2066" i="2"/>
  <c r="J2090" i="2"/>
  <c r="H2090" i="2" s="1"/>
  <c r="I2090" i="2"/>
  <c r="G2090" i="2"/>
  <c r="K2090" i="2"/>
  <c r="F2090" i="2"/>
  <c r="F2037" i="2"/>
  <c r="J2037" i="2" s="1"/>
  <c r="H2037" i="2" s="1"/>
  <c r="K2060" i="2"/>
  <c r="I2060" i="2"/>
  <c r="G2060" i="2"/>
  <c r="F2060" i="2"/>
  <c r="K2064" i="2"/>
  <c r="J2064" i="2"/>
  <c r="H2064" i="2" s="1"/>
  <c r="F2066" i="2"/>
  <c r="K2066" i="2" s="1"/>
  <c r="J2080" i="2"/>
  <c r="H2080" i="2" s="1"/>
  <c r="G2091" i="2"/>
  <c r="K1947" i="2"/>
  <c r="I1963" i="2"/>
  <c r="F1978" i="2"/>
  <c r="K1978" i="2" s="1"/>
  <c r="K1980" i="2"/>
  <c r="K1985" i="2"/>
  <c r="J2010" i="2"/>
  <c r="H2010" i="2" s="1"/>
  <c r="G2012" i="2"/>
  <c r="G2024" i="2"/>
  <c r="F2029" i="2"/>
  <c r="K2029" i="2" s="1"/>
  <c r="J2029" i="2"/>
  <c r="H2029" i="2" s="1"/>
  <c r="I2029" i="2"/>
  <c r="J2030" i="2"/>
  <c r="H2030" i="2" s="1"/>
  <c r="G2037" i="2"/>
  <c r="I2039" i="2"/>
  <c r="G2039" i="2"/>
  <c r="I2046" i="2"/>
  <c r="G2048" i="2"/>
  <c r="K2048" i="2"/>
  <c r="I2050" i="2"/>
  <c r="G2050" i="2"/>
  <c r="F2050" i="2"/>
  <c r="K2067" i="2"/>
  <c r="J2067" i="2"/>
  <c r="H2067" i="2" s="1"/>
  <c r="G2079" i="2"/>
  <c r="F2079" i="2"/>
  <c r="I2079" i="2" s="1"/>
  <c r="F2091" i="2"/>
  <c r="K2091" i="2" s="1"/>
  <c r="F1947" i="2"/>
  <c r="F1963" i="2"/>
  <c r="G1968" i="2"/>
  <c r="J1971" i="2"/>
  <c r="H1971" i="2" s="1"/>
  <c r="F1975" i="2"/>
  <c r="G1978" i="2"/>
  <c r="F1982" i="2"/>
  <c r="K1982" i="2"/>
  <c r="I1986" i="2"/>
  <c r="K2000" i="2"/>
  <c r="K2004" i="2"/>
  <c r="I2004" i="2"/>
  <c r="K2010" i="2"/>
  <c r="G2014" i="2"/>
  <c r="F2014" i="2"/>
  <c r="K2014" i="2" s="1"/>
  <c r="K2024" i="2"/>
  <c r="G2029" i="2"/>
  <c r="F2039" i="2"/>
  <c r="J2039" i="2" s="1"/>
  <c r="H2039" i="2" s="1"/>
  <c r="G2045" i="2"/>
  <c r="K2045" i="2"/>
  <c r="J2045" i="2"/>
  <c r="H2045" i="2" s="1"/>
  <c r="F2048" i="2"/>
  <c r="J2048" i="2" s="1"/>
  <c r="H2048" i="2" s="1"/>
  <c r="J2056" i="2"/>
  <c r="H2056" i="2" s="1"/>
  <c r="G2056" i="2"/>
  <c r="F2056" i="2"/>
  <c r="K2056" i="2" s="1"/>
  <c r="J2060" i="2"/>
  <c r="H2060" i="2" s="1"/>
  <c r="I2064" i="2"/>
  <c r="F2067" i="2"/>
  <c r="I2067" i="2" s="1"/>
  <c r="G2071" i="2"/>
  <c r="F2071" i="2"/>
  <c r="K2071" i="2" s="1"/>
  <c r="F2047" i="2"/>
  <c r="G2053" i="2"/>
  <c r="F2053" i="2"/>
  <c r="F2081" i="2"/>
  <c r="I2081" i="2" s="1"/>
  <c r="K2083" i="2"/>
  <c r="J2083" i="2"/>
  <c r="H2083" i="2" s="1"/>
  <c r="I2089" i="2"/>
  <c r="G2089" i="2"/>
  <c r="F2089" i="2"/>
  <c r="I2002" i="2"/>
  <c r="J2013" i="2"/>
  <c r="H2013" i="2" s="1"/>
  <c r="K2026" i="2"/>
  <c r="J2038" i="2"/>
  <c r="H2038" i="2" s="1"/>
  <c r="G2038" i="2"/>
  <c r="J2041" i="2"/>
  <c r="H2041" i="2" s="1"/>
  <c r="I2073" i="2"/>
  <c r="F2073" i="2"/>
  <c r="K2075" i="2"/>
  <c r="J2075" i="2"/>
  <c r="H2075" i="2" s="1"/>
  <c r="J2085" i="2"/>
  <c r="H2085" i="2" s="1"/>
  <c r="K2092" i="2"/>
  <c r="J2092" i="2"/>
  <c r="H2092" i="2" s="1"/>
  <c r="I2092" i="2"/>
  <c r="J2082" i="2"/>
  <c r="H2082" i="2" s="1"/>
  <c r="I2082" i="2"/>
  <c r="G2082" i="2"/>
  <c r="K2084" i="2"/>
  <c r="I2084" i="2"/>
  <c r="G2087" i="2"/>
  <c r="F2087" i="2"/>
  <c r="I2087" i="2" s="1"/>
  <c r="K2095" i="2"/>
  <c r="K2052" i="2"/>
  <c r="K2062" i="2"/>
  <c r="K2070" i="2"/>
  <c r="K2078" i="2"/>
  <c r="J2095" i="2"/>
  <c r="H2095" i="2" s="1"/>
  <c r="J1397" i="2" l="1"/>
  <c r="H1397" i="2" s="1"/>
  <c r="I1397" i="2"/>
  <c r="J599" i="2"/>
  <c r="H599" i="2" s="1"/>
  <c r="K599" i="2"/>
  <c r="K823" i="2"/>
  <c r="J823" i="2"/>
  <c r="H823" i="2" s="1"/>
  <c r="K193" i="2"/>
  <c r="I193" i="2"/>
  <c r="J193" i="2"/>
  <c r="H193" i="2" s="1"/>
  <c r="K68" i="2"/>
  <c r="I68" i="2"/>
  <c r="K30" i="2"/>
  <c r="I30" i="2"/>
  <c r="I1982" i="2"/>
  <c r="J1982" i="2"/>
  <c r="H1982" i="2" s="1"/>
  <c r="J2079" i="2"/>
  <c r="H2079" i="2" s="1"/>
  <c r="I2037" i="2"/>
  <c r="J1988" i="2"/>
  <c r="H1988" i="2" s="1"/>
  <c r="K2033" i="2"/>
  <c r="I1888" i="2"/>
  <c r="I1866" i="2"/>
  <c r="I1666" i="2"/>
  <c r="K1687" i="2"/>
  <c r="I1546" i="2"/>
  <c r="I1619" i="2"/>
  <c r="I1451" i="2"/>
  <c r="I1387" i="2"/>
  <c r="J1387" i="2"/>
  <c r="H1387" i="2" s="1"/>
  <c r="I1805" i="2"/>
  <c r="K1457" i="2"/>
  <c r="J1457" i="2"/>
  <c r="H1457" i="2" s="1"/>
  <c r="I1390" i="2"/>
  <c r="I1180" i="2"/>
  <c r="K1180" i="2"/>
  <c r="J1256" i="2"/>
  <c r="H1256" i="2" s="1"/>
  <c r="K1248" i="2"/>
  <c r="I1193" i="2"/>
  <c r="J1034" i="2"/>
  <c r="H1034" i="2" s="1"/>
  <c r="I1034" i="2"/>
  <c r="J1186" i="2"/>
  <c r="H1186" i="2" s="1"/>
  <c r="K1121" i="2"/>
  <c r="I1121" i="2"/>
  <c r="I1027" i="2"/>
  <c r="K1114" i="2"/>
  <c r="I1114" i="2"/>
  <c r="K921" i="2"/>
  <c r="I1160" i="2"/>
  <c r="I879" i="2"/>
  <c r="K852" i="2"/>
  <c r="J651" i="2"/>
  <c r="H651" i="2" s="1"/>
  <c r="K651" i="2"/>
  <c r="I599" i="2"/>
  <c r="J566" i="2"/>
  <c r="H566" i="2" s="1"/>
  <c r="K566" i="2"/>
  <c r="J511" i="2"/>
  <c r="H511" i="2" s="1"/>
  <c r="K511" i="2"/>
  <c r="J648" i="2"/>
  <c r="H648" i="2" s="1"/>
  <c r="I648" i="2"/>
  <c r="J508" i="2"/>
  <c r="H508" i="2" s="1"/>
  <c r="I508" i="2"/>
  <c r="I875" i="2"/>
  <c r="I826" i="2"/>
  <c r="I752" i="2"/>
  <c r="I709" i="2"/>
  <c r="I823" i="2"/>
  <c r="J643" i="2"/>
  <c r="H643" i="2" s="1"/>
  <c r="I625" i="2"/>
  <c r="J503" i="2"/>
  <c r="H503" i="2" s="1"/>
  <c r="J900" i="2"/>
  <c r="H900" i="2" s="1"/>
  <c r="J768" i="2"/>
  <c r="H768" i="2" s="1"/>
  <c r="I747" i="2"/>
  <c r="I582" i="2"/>
  <c r="J384" i="2"/>
  <c r="H384" i="2" s="1"/>
  <c r="I384" i="2"/>
  <c r="K384" i="2"/>
  <c r="K348" i="2"/>
  <c r="J348" i="2"/>
  <c r="H348" i="2" s="1"/>
  <c r="I348" i="2"/>
  <c r="K547" i="2"/>
  <c r="J467" i="2"/>
  <c r="H467" i="2" s="1"/>
  <c r="I631" i="2"/>
  <c r="I403" i="2"/>
  <c r="K655" i="2"/>
  <c r="K513" i="2"/>
  <c r="I579" i="2"/>
  <c r="I674" i="2"/>
  <c r="I531" i="2"/>
  <c r="I483" i="2"/>
  <c r="K330" i="2"/>
  <c r="J330" i="2"/>
  <c r="H330" i="2" s="1"/>
  <c r="I330" i="2"/>
  <c r="K292" i="2"/>
  <c r="J292" i="2"/>
  <c r="H292" i="2" s="1"/>
  <c r="I292" i="2"/>
  <c r="K219" i="2"/>
  <c r="I219" i="2"/>
  <c r="K172" i="2"/>
  <c r="J172" i="2"/>
  <c r="H172" i="2" s="1"/>
  <c r="K149" i="2"/>
  <c r="I149" i="2"/>
  <c r="K323" i="2"/>
  <c r="J270" i="2"/>
  <c r="H270" i="2" s="1"/>
  <c r="J165" i="2"/>
  <c r="H165" i="2" s="1"/>
  <c r="K189" i="2"/>
  <c r="I196" i="2"/>
  <c r="I92" i="2"/>
  <c r="J68" i="2"/>
  <c r="H68" i="2" s="1"/>
  <c r="J30" i="2"/>
  <c r="H30" i="2" s="1"/>
  <c r="I38" i="2"/>
  <c r="K1939" i="2"/>
  <c r="J1939" i="2"/>
  <c r="H1939" i="2" s="1"/>
  <c r="I1939" i="2"/>
  <c r="I1809" i="2"/>
  <c r="J1809" i="2"/>
  <c r="H1809" i="2" s="1"/>
  <c r="J1841" i="2"/>
  <c r="H1841" i="2" s="1"/>
  <c r="J1869" i="2"/>
  <c r="H1869" i="2" s="1"/>
  <c r="J1692" i="2"/>
  <c r="H1692" i="2" s="1"/>
  <c r="I1692" i="2"/>
  <c r="K1684" i="2"/>
  <c r="I1677" i="2"/>
  <c r="I1977" i="2"/>
  <c r="I1751" i="2"/>
  <c r="I1355" i="2"/>
  <c r="K1537" i="2"/>
  <c r="K1362" i="2"/>
  <c r="I1362" i="2"/>
  <c r="J1362" i="2"/>
  <c r="H1362" i="2" s="1"/>
  <c r="K1204" i="2"/>
  <c r="I1161" i="2"/>
  <c r="J1161" i="2"/>
  <c r="H1161" i="2" s="1"/>
  <c r="K2073" i="2"/>
  <c r="J2073" i="2"/>
  <c r="H2073" i="2" s="1"/>
  <c r="K2089" i="2"/>
  <c r="J2089" i="2"/>
  <c r="H2089" i="2" s="1"/>
  <c r="K2053" i="2"/>
  <c r="J2053" i="2"/>
  <c r="H2053" i="2" s="1"/>
  <c r="I2053" i="2"/>
  <c r="K2079" i="2"/>
  <c r="I2048" i="2"/>
  <c r="K2039" i="2"/>
  <c r="J2066" i="2"/>
  <c r="H2066" i="2" s="1"/>
  <c r="K1988" i="2"/>
  <c r="I2058" i="2"/>
  <c r="K1907" i="2"/>
  <c r="J1907" i="2"/>
  <c r="H1907" i="2" s="1"/>
  <c r="J1885" i="2"/>
  <c r="H1885" i="2" s="1"/>
  <c r="I1885" i="2"/>
  <c r="K1846" i="2"/>
  <c r="K1820" i="2"/>
  <c r="J1820" i="2"/>
  <c r="H1820" i="2" s="1"/>
  <c r="K1776" i="2"/>
  <c r="K1750" i="2"/>
  <c r="J1750" i="2"/>
  <c r="H1750" i="2" s="1"/>
  <c r="I2033" i="2"/>
  <c r="J1888" i="2"/>
  <c r="H1888" i="2" s="1"/>
  <c r="I1776" i="2"/>
  <c r="I1849" i="2"/>
  <c r="K1809" i="2"/>
  <c r="I1755" i="2"/>
  <c r="J1755" i="2"/>
  <c r="H1755" i="2" s="1"/>
  <c r="K2065" i="2"/>
  <c r="K1841" i="2"/>
  <c r="K1702" i="2"/>
  <c r="I1823" i="2"/>
  <c r="I1789" i="2"/>
  <c r="I1753" i="2"/>
  <c r="K1866" i="2"/>
  <c r="K1851" i="2"/>
  <c r="J1799" i="2"/>
  <c r="H1799" i="2" s="1"/>
  <c r="J1763" i="2"/>
  <c r="H1763" i="2" s="1"/>
  <c r="I1715" i="2"/>
  <c r="J1987" i="2"/>
  <c r="H1987" i="2" s="1"/>
  <c r="J1916" i="2"/>
  <c r="H1916" i="2" s="1"/>
  <c r="K1692" i="2"/>
  <c r="K1869" i="2"/>
  <c r="J1835" i="2"/>
  <c r="H1835" i="2" s="1"/>
  <c r="J1666" i="2"/>
  <c r="H1666" i="2" s="1"/>
  <c r="J1653" i="2"/>
  <c r="H1653" i="2" s="1"/>
  <c r="I1653" i="2"/>
  <c r="K1821" i="2"/>
  <c r="I1641" i="2"/>
  <c r="J1679" i="2"/>
  <c r="H1679" i="2" s="1"/>
  <c r="K1677" i="2"/>
  <c r="J1643" i="2"/>
  <c r="H1643" i="2" s="1"/>
  <c r="I1920" i="2"/>
  <c r="J1747" i="2"/>
  <c r="H1747" i="2" s="1"/>
  <c r="I1679" i="2"/>
  <c r="I1643" i="2"/>
  <c r="K1646" i="2"/>
  <c r="J1646" i="2"/>
  <c r="H1646" i="2" s="1"/>
  <c r="I1616" i="2"/>
  <c r="K1977" i="2"/>
  <c r="J1751" i="2"/>
  <c r="H1751" i="2" s="1"/>
  <c r="J1619" i="2"/>
  <c r="H1619" i="2" s="1"/>
  <c r="K1467" i="2"/>
  <c r="I1487" i="2"/>
  <c r="J1425" i="2"/>
  <c r="H1425" i="2" s="1"/>
  <c r="I1425" i="2"/>
  <c r="J1377" i="2"/>
  <c r="H1377" i="2" s="1"/>
  <c r="I1377" i="2"/>
  <c r="J1720" i="2"/>
  <c r="H1720" i="2" s="1"/>
  <c r="K1482" i="2"/>
  <c r="J1482" i="2"/>
  <c r="H1482" i="2" s="1"/>
  <c r="J1607" i="2"/>
  <c r="H1607" i="2" s="1"/>
  <c r="I1518" i="2"/>
  <c r="K1515" i="2"/>
  <c r="J1388" i="2"/>
  <c r="H1388" i="2" s="1"/>
  <c r="J1390" i="2"/>
  <c r="H1390" i="2" s="1"/>
  <c r="K1262" i="2"/>
  <c r="I1262" i="2"/>
  <c r="I1411" i="2"/>
  <c r="J1355" i="2"/>
  <c r="H1355" i="2" s="1"/>
  <c r="I1457" i="2"/>
  <c r="K1505" i="2"/>
  <c r="K1276" i="2"/>
  <c r="J1276" i="2"/>
  <c r="H1276" i="2" s="1"/>
  <c r="J1245" i="2"/>
  <c r="H1245" i="2" s="1"/>
  <c r="J1204" i="2"/>
  <c r="H1204" i="2" s="1"/>
  <c r="I1211" i="2"/>
  <c r="J1157" i="2"/>
  <c r="H1157" i="2" s="1"/>
  <c r="I1157" i="2"/>
  <c r="K1157" i="2"/>
  <c r="K1372" i="2"/>
  <c r="I1259" i="2"/>
  <c r="K1229" i="2"/>
  <c r="J1180" i="2"/>
  <c r="H1180" i="2" s="1"/>
  <c r="I1421" i="2"/>
  <c r="K1284" i="2"/>
  <c r="K1256" i="2"/>
  <c r="J1193" i="2"/>
  <c r="H1193" i="2" s="1"/>
  <c r="J1027" i="2"/>
  <c r="H1027" i="2" s="1"/>
  <c r="I1268" i="2"/>
  <c r="I1133" i="2"/>
  <c r="I1240" i="2"/>
  <c r="J1184" i="2"/>
  <c r="H1184" i="2" s="1"/>
  <c r="J1114" i="2"/>
  <c r="H1114" i="2" s="1"/>
  <c r="I1081" i="2"/>
  <c r="K1160" i="2"/>
  <c r="J1003" i="2"/>
  <c r="H1003" i="2" s="1"/>
  <c r="J956" i="2"/>
  <c r="H956" i="2" s="1"/>
  <c r="I1129" i="2"/>
  <c r="K1093" i="2"/>
  <c r="K1055" i="2"/>
  <c r="K879" i="2"/>
  <c r="J783" i="2"/>
  <c r="H783" i="2" s="1"/>
  <c r="I783" i="2"/>
  <c r="J707" i="2"/>
  <c r="H707" i="2" s="1"/>
  <c r="I707" i="2"/>
  <c r="K622" i="2"/>
  <c r="K485" i="2"/>
  <c r="I1097" i="2"/>
  <c r="K978" i="2"/>
  <c r="K826" i="2"/>
  <c r="K748" i="2"/>
  <c r="K964" i="2"/>
  <c r="K905" i="2"/>
  <c r="I885" i="2"/>
  <c r="K765" i="2"/>
  <c r="J765" i="2"/>
  <c r="H765" i="2" s="1"/>
  <c r="J691" i="2"/>
  <c r="H691" i="2" s="1"/>
  <c r="K691" i="2"/>
  <c r="I651" i="2"/>
  <c r="J620" i="2"/>
  <c r="H620" i="2" s="1"/>
  <c r="K620" i="2"/>
  <c r="J563" i="2"/>
  <c r="H563" i="2" s="1"/>
  <c r="K563" i="2"/>
  <c r="I511" i="2"/>
  <c r="J952" i="2"/>
  <c r="H952" i="2" s="1"/>
  <c r="K901" i="2"/>
  <c r="I901" i="2"/>
  <c r="I865" i="2"/>
  <c r="K821" i="2"/>
  <c r="I821" i="2"/>
  <c r="J821" i="2"/>
  <c r="H821" i="2" s="1"/>
  <c r="K745" i="2"/>
  <c r="I745" i="2"/>
  <c r="J745" i="2"/>
  <c r="H745" i="2" s="1"/>
  <c r="J560" i="2"/>
  <c r="H560" i="2" s="1"/>
  <c r="I560" i="2"/>
  <c r="K1118" i="2"/>
  <c r="K875" i="2"/>
  <c r="K752" i="2"/>
  <c r="K703" i="2"/>
  <c r="K557" i="2"/>
  <c r="J749" i="2"/>
  <c r="H749" i="2" s="1"/>
  <c r="J681" i="2"/>
  <c r="H681" i="2" s="1"/>
  <c r="I466" i="2"/>
  <c r="J920" i="2"/>
  <c r="H920" i="2" s="1"/>
  <c r="K747" i="2"/>
  <c r="I710" i="2"/>
  <c r="J640" i="2"/>
  <c r="H640" i="2" s="1"/>
  <c r="J500" i="2"/>
  <c r="H500" i="2" s="1"/>
  <c r="J450" i="2"/>
  <c r="H450" i="2" s="1"/>
  <c r="J1037" i="2"/>
  <c r="H1037" i="2" s="1"/>
  <c r="K707" i="2"/>
  <c r="K643" i="2"/>
  <c r="J555" i="2"/>
  <c r="H555" i="2" s="1"/>
  <c r="I537" i="2"/>
  <c r="K503" i="2"/>
  <c r="I900" i="2"/>
  <c r="J807" i="2"/>
  <c r="H807" i="2" s="1"/>
  <c r="I636" i="2"/>
  <c r="J618" i="2"/>
  <c r="H618" i="2" s="1"/>
  <c r="K582" i="2"/>
  <c r="I496" i="2"/>
  <c r="I619" i="2"/>
  <c r="K467" i="2"/>
  <c r="K439" i="2"/>
  <c r="J399" i="2"/>
  <c r="H399" i="2" s="1"/>
  <c r="J631" i="2"/>
  <c r="H631" i="2" s="1"/>
  <c r="J403" i="2"/>
  <c r="H403" i="2" s="1"/>
  <c r="J288" i="2"/>
  <c r="H288" i="2" s="1"/>
  <c r="I583" i="2"/>
  <c r="K675" i="2"/>
  <c r="J579" i="2"/>
  <c r="H579" i="2" s="1"/>
  <c r="K399" i="2"/>
  <c r="K674" i="2"/>
  <c r="J531" i="2"/>
  <c r="H531" i="2" s="1"/>
  <c r="I689" i="2"/>
  <c r="J192" i="2"/>
  <c r="H192" i="2" s="1"/>
  <c r="I192" i="2"/>
  <c r="I144" i="2"/>
  <c r="K255" i="2"/>
  <c r="K196" i="2"/>
  <c r="J179" i="2"/>
  <c r="H179" i="2" s="1"/>
  <c r="I140" i="2"/>
  <c r="J342" i="2"/>
  <c r="H342" i="2" s="1"/>
  <c r="K287" i="2"/>
  <c r="I136" i="2"/>
  <c r="K106" i="2"/>
  <c r="I106" i="2"/>
  <c r="I164" i="2"/>
  <c r="I156" i="2"/>
  <c r="I597" i="2"/>
  <c r="I389" i="2"/>
  <c r="K265" i="2"/>
  <c r="I265" i="2"/>
  <c r="K213" i="2"/>
  <c r="I213" i="2"/>
  <c r="K90" i="2"/>
  <c r="I48" i="2"/>
  <c r="J46" i="2"/>
  <c r="H46" i="2" s="1"/>
  <c r="I175" i="2"/>
  <c r="J90" i="2"/>
  <c r="H90" i="2" s="1"/>
  <c r="I228" i="2"/>
  <c r="J182" i="2"/>
  <c r="H182" i="2" s="1"/>
  <c r="I157" i="2"/>
  <c r="K130" i="2"/>
  <c r="J92" i="2"/>
  <c r="H92" i="2" s="1"/>
  <c r="K126" i="2"/>
  <c r="K100" i="2"/>
  <c r="K5" i="2"/>
  <c r="J295" i="2"/>
  <c r="H295" i="2" s="1"/>
  <c r="J40" i="2"/>
  <c r="H40" i="2" s="1"/>
  <c r="J2014" i="2"/>
  <c r="H2014" i="2" s="1"/>
  <c r="I2014" i="2"/>
  <c r="K1802" i="2"/>
  <c r="J1802" i="2"/>
  <c r="H1802" i="2" s="1"/>
  <c r="K1723" i="2"/>
  <c r="J1723" i="2"/>
  <c r="H1723" i="2" s="1"/>
  <c r="K1673" i="2"/>
  <c r="J1433" i="2"/>
  <c r="H1433" i="2" s="1"/>
  <c r="I1433" i="2"/>
  <c r="J1486" i="2"/>
  <c r="H1486" i="2" s="1"/>
  <c r="I1486" i="2"/>
  <c r="J1299" i="2"/>
  <c r="H1299" i="2" s="1"/>
  <c r="I1299" i="2"/>
  <c r="J860" i="2"/>
  <c r="H860" i="2" s="1"/>
  <c r="I860" i="2"/>
  <c r="K1975" i="2"/>
  <c r="J1975" i="2"/>
  <c r="H1975" i="2" s="1"/>
  <c r="K1485" i="2"/>
  <c r="I1485" i="2"/>
  <c r="I1477" i="2"/>
  <c r="K1477" i="2"/>
  <c r="I1505" i="2"/>
  <c r="K1152" i="2"/>
  <c r="I1152" i="2"/>
  <c r="J1238" i="2"/>
  <c r="H1238" i="2" s="1"/>
  <c r="I1238" i="2"/>
  <c r="J1421" i="2"/>
  <c r="H1421" i="2" s="1"/>
  <c r="I1248" i="2"/>
  <c r="J1134" i="2"/>
  <c r="H1134" i="2" s="1"/>
  <c r="I1134" i="2"/>
  <c r="J1133" i="2"/>
  <c r="H1133" i="2" s="1"/>
  <c r="I883" i="2"/>
  <c r="K883" i="2"/>
  <c r="I1017" i="2"/>
  <c r="J883" i="2"/>
  <c r="H883" i="2" s="1"/>
  <c r="K1132" i="2"/>
  <c r="I884" i="2"/>
  <c r="J884" i="2"/>
  <c r="H884" i="2" s="1"/>
  <c r="J1097" i="2"/>
  <c r="H1097" i="2" s="1"/>
  <c r="K943" i="2"/>
  <c r="K805" i="2"/>
  <c r="J805" i="2"/>
  <c r="H805" i="2" s="1"/>
  <c r="J725" i="2"/>
  <c r="H725" i="2" s="1"/>
  <c r="K725" i="2"/>
  <c r="K709" i="2"/>
  <c r="I627" i="2"/>
  <c r="J617" i="2"/>
  <c r="H617" i="2" s="1"/>
  <c r="K617" i="2"/>
  <c r="J532" i="2"/>
  <c r="H532" i="2" s="1"/>
  <c r="K532" i="2"/>
  <c r="J614" i="2"/>
  <c r="H614" i="2" s="1"/>
  <c r="I614" i="2"/>
  <c r="J710" i="2"/>
  <c r="H710" i="2" s="1"/>
  <c r="J622" i="2"/>
  <c r="H622" i="2" s="1"/>
  <c r="K480" i="2"/>
  <c r="I480" i="2"/>
  <c r="I461" i="2"/>
  <c r="J359" i="2"/>
  <c r="H359" i="2" s="1"/>
  <c r="I359" i="2"/>
  <c r="K359" i="2"/>
  <c r="K288" i="2"/>
  <c r="K237" i="2"/>
  <c r="I237" i="2"/>
  <c r="K159" i="2"/>
  <c r="I159" i="2"/>
  <c r="K140" i="2"/>
  <c r="K144" i="2"/>
  <c r="J175" i="2"/>
  <c r="H175" i="2" s="1"/>
  <c r="K157" i="2"/>
  <c r="K295" i="2"/>
  <c r="I141" i="2"/>
  <c r="K164" i="2"/>
  <c r="K34" i="2"/>
  <c r="K1294" i="2"/>
  <c r="J1294" i="2"/>
  <c r="H1294" i="2" s="1"/>
  <c r="J656" i="2"/>
  <c r="H656" i="2" s="1"/>
  <c r="K656" i="2"/>
  <c r="J717" i="2"/>
  <c r="H717" i="2" s="1"/>
  <c r="I717" i="2"/>
  <c r="J472" i="2"/>
  <c r="H472" i="2" s="1"/>
  <c r="K154" i="2"/>
  <c r="J154" i="2"/>
  <c r="H154" i="2" s="1"/>
  <c r="K116" i="2"/>
  <c r="I116" i="2"/>
  <c r="I2091" i="2"/>
  <c r="K1974" i="2"/>
  <c r="I1974" i="2"/>
  <c r="I1956" i="2"/>
  <c r="I1843" i="2"/>
  <c r="J1843" i="2"/>
  <c r="H1843" i="2" s="1"/>
  <c r="J1369" i="2"/>
  <c r="H1369" i="2" s="1"/>
  <c r="I1369" i="2"/>
  <c r="J1411" i="2"/>
  <c r="H1411" i="2" s="1"/>
  <c r="K2047" i="2"/>
  <c r="J2047" i="2"/>
  <c r="H2047" i="2" s="1"/>
  <c r="K1960" i="2"/>
  <c r="J1960" i="2"/>
  <c r="H1960" i="2" s="1"/>
  <c r="I1931" i="2"/>
  <c r="J1931" i="2"/>
  <c r="H1931" i="2" s="1"/>
  <c r="J1862" i="2"/>
  <c r="H1862" i="2" s="1"/>
  <c r="I1862" i="2"/>
  <c r="K1838" i="2"/>
  <c r="J1838" i="2"/>
  <c r="H1838" i="2" s="1"/>
  <c r="K1794" i="2"/>
  <c r="K1766" i="2"/>
  <c r="J1766" i="2"/>
  <c r="H1766" i="2" s="1"/>
  <c r="K1956" i="2"/>
  <c r="J1900" i="2"/>
  <c r="H1900" i="2" s="1"/>
  <c r="I1900" i="2"/>
  <c r="I1758" i="2"/>
  <c r="K1843" i="2"/>
  <c r="I1791" i="2"/>
  <c r="J1791" i="2"/>
  <c r="H1791" i="2" s="1"/>
  <c r="K1768" i="2"/>
  <c r="I1720" i="2"/>
  <c r="J2040" i="2"/>
  <c r="H2040" i="2" s="1"/>
  <c r="I1855" i="2"/>
  <c r="I1697" i="2"/>
  <c r="K1822" i="2"/>
  <c r="K1752" i="2"/>
  <c r="J1712" i="2"/>
  <c r="H1712" i="2" s="1"/>
  <c r="I1712" i="2"/>
  <c r="I1878" i="2"/>
  <c r="K1857" i="2"/>
  <c r="I1821" i="2"/>
  <c r="K1575" i="2"/>
  <c r="I1575" i="2"/>
  <c r="K1536" i="2"/>
  <c r="J1536" i="2"/>
  <c r="H1536" i="2" s="1"/>
  <c r="J1671" i="2"/>
  <c r="H1671" i="2" s="1"/>
  <c r="I1539" i="2"/>
  <c r="K1510" i="2"/>
  <c r="J1460" i="2"/>
  <c r="H1460" i="2" s="1"/>
  <c r="I1460" i="2"/>
  <c r="K1436" i="2"/>
  <c r="I1498" i="2"/>
  <c r="J1485" i="2"/>
  <c r="H1485" i="2" s="1"/>
  <c r="J1447" i="2"/>
  <c r="H1447" i="2" s="1"/>
  <c r="J1417" i="2"/>
  <c r="H1417" i="2" s="1"/>
  <c r="I1417" i="2"/>
  <c r="J1361" i="2"/>
  <c r="H1361" i="2" s="1"/>
  <c r="I1361" i="2"/>
  <c r="J1669" i="2"/>
  <c r="H1669" i="2" s="1"/>
  <c r="J1502" i="2"/>
  <c r="H1502" i="2" s="1"/>
  <c r="I1447" i="2"/>
  <c r="K1486" i="2"/>
  <c r="I1640" i="2"/>
  <c r="K1433" i="2"/>
  <c r="K1397" i="2"/>
  <c r="K1609" i="2"/>
  <c r="I1344" i="2"/>
  <c r="J1344" i="2"/>
  <c r="H1344" i="2" s="1"/>
  <c r="K1282" i="2"/>
  <c r="I1282" i="2"/>
  <c r="J1546" i="2"/>
  <c r="H1546" i="2" s="1"/>
  <c r="J1401" i="2"/>
  <c r="H1401" i="2" s="1"/>
  <c r="I1354" i="2"/>
  <c r="I1372" i="2"/>
  <c r="I1284" i="2"/>
  <c r="J1269" i="2"/>
  <c r="H1269" i="2" s="1"/>
  <c r="I1052" i="2"/>
  <c r="J1052" i="2"/>
  <c r="H1052" i="2" s="1"/>
  <c r="J1268" i="2"/>
  <c r="H1268" i="2" s="1"/>
  <c r="I1234" i="2"/>
  <c r="K1219" i="2"/>
  <c r="K1206" i="2"/>
  <c r="K1459" i="2"/>
  <c r="I1298" i="2"/>
  <c r="K1240" i="2"/>
  <c r="I1143" i="2"/>
  <c r="I1132" i="2"/>
  <c r="K919" i="2"/>
  <c r="I919" i="2"/>
  <c r="J880" i="2"/>
  <c r="H880" i="2" s="1"/>
  <c r="K880" i="2"/>
  <c r="I880" i="2"/>
  <c r="I1104" i="2"/>
  <c r="K1017" i="2"/>
  <c r="K884" i="2"/>
  <c r="K1065" i="2"/>
  <c r="I1055" i="2"/>
  <c r="K863" i="2"/>
  <c r="K1105" i="2"/>
  <c r="I868" i="2"/>
  <c r="I617" i="2"/>
  <c r="J584" i="2"/>
  <c r="H584" i="2" s="1"/>
  <c r="K584" i="2"/>
  <c r="J529" i="2"/>
  <c r="H529" i="2" s="1"/>
  <c r="K529" i="2"/>
  <c r="J668" i="2"/>
  <c r="H668" i="2" s="1"/>
  <c r="I668" i="2"/>
  <c r="J526" i="2"/>
  <c r="H526" i="2" s="1"/>
  <c r="I526" i="2"/>
  <c r="K957" i="2"/>
  <c r="I748" i="2"/>
  <c r="K665" i="2"/>
  <c r="K523" i="2"/>
  <c r="J719" i="2"/>
  <c r="H719" i="2" s="1"/>
  <c r="J604" i="2"/>
  <c r="H604" i="2" s="1"/>
  <c r="I465" i="2"/>
  <c r="J661" i="2"/>
  <c r="H661" i="2" s="1"/>
  <c r="J521" i="2"/>
  <c r="H521" i="2" s="1"/>
  <c r="K438" i="2"/>
  <c r="I438" i="2"/>
  <c r="J698" i="2"/>
  <c r="H698" i="2" s="1"/>
  <c r="I600" i="2"/>
  <c r="I543" i="2"/>
  <c r="I352" i="2"/>
  <c r="K286" i="2"/>
  <c r="J286" i="2"/>
  <c r="H286" i="2" s="1"/>
  <c r="I649" i="2"/>
  <c r="K188" i="2"/>
  <c r="J188" i="2"/>
  <c r="H188" i="2" s="1"/>
  <c r="K165" i="2"/>
  <c r="I179" i="2"/>
  <c r="J299" i="2"/>
  <c r="H299" i="2" s="1"/>
  <c r="I277" i="2"/>
  <c r="I307" i="2"/>
  <c r="J116" i="2"/>
  <c r="H116" i="2" s="1"/>
  <c r="K273" i="2"/>
  <c r="K223" i="2"/>
  <c r="J171" i="2"/>
  <c r="H171" i="2" s="1"/>
  <c r="J150" i="2"/>
  <c r="H150" i="2" s="1"/>
  <c r="K17" i="2"/>
  <c r="I214" i="2"/>
  <c r="J153" i="2"/>
  <c r="H153" i="2" s="1"/>
  <c r="K138" i="2"/>
  <c r="J48" i="2"/>
  <c r="H48" i="2" s="1"/>
  <c r="K253" i="2"/>
  <c r="I40" i="2"/>
  <c r="J187" i="2"/>
  <c r="H187" i="2" s="1"/>
  <c r="K98" i="2"/>
  <c r="I98" i="2"/>
  <c r="I155" i="2"/>
  <c r="I251" i="2"/>
  <c r="J141" i="2"/>
  <c r="H141" i="2" s="1"/>
  <c r="J151" i="2"/>
  <c r="H151" i="2" s="1"/>
  <c r="I1893" i="2"/>
  <c r="J1893" i="2"/>
  <c r="H1893" i="2" s="1"/>
  <c r="K1894" i="2"/>
  <c r="J1894" i="2"/>
  <c r="H1894" i="2" s="1"/>
  <c r="I1894" i="2"/>
  <c r="J1125" i="2"/>
  <c r="H1125" i="2" s="1"/>
  <c r="I1125" i="2"/>
  <c r="I855" i="2"/>
  <c r="J855" i="2"/>
  <c r="H855" i="2" s="1"/>
  <c r="J596" i="2"/>
  <c r="H596" i="2" s="1"/>
  <c r="I596" i="2"/>
  <c r="I1450" i="2"/>
  <c r="J1450" i="2"/>
  <c r="H1450" i="2" s="1"/>
  <c r="J2091" i="2"/>
  <c r="H2091" i="2" s="1"/>
  <c r="J2087" i="2"/>
  <c r="H2087" i="2" s="1"/>
  <c r="I2047" i="2"/>
  <c r="J2017" i="2"/>
  <c r="H2017" i="2" s="1"/>
  <c r="K1791" i="2"/>
  <c r="I1737" i="2"/>
  <c r="J1737" i="2"/>
  <c r="H1737" i="2" s="1"/>
  <c r="J1889" i="2"/>
  <c r="H1889" i="2" s="1"/>
  <c r="I1897" i="2"/>
  <c r="K2040" i="2"/>
  <c r="I1728" i="2"/>
  <c r="I1965" i="2"/>
  <c r="J1855" i="2"/>
  <c r="H1855" i="2" s="1"/>
  <c r="K1712" i="2"/>
  <c r="J1878" i="2"/>
  <c r="H1878" i="2" s="1"/>
  <c r="I1702" i="2"/>
  <c r="I1787" i="2"/>
  <c r="K1813" i="2"/>
  <c r="I1661" i="2"/>
  <c r="I1536" i="2"/>
  <c r="J1539" i="2"/>
  <c r="H1539" i="2" s="1"/>
  <c r="J1541" i="2"/>
  <c r="H1541" i="2" s="1"/>
  <c r="K1460" i="2"/>
  <c r="I1410" i="2"/>
  <c r="I1495" i="2"/>
  <c r="K1446" i="2"/>
  <c r="J1446" i="2"/>
  <c r="H1446" i="2" s="1"/>
  <c r="I1568" i="2"/>
  <c r="J1477" i="2"/>
  <c r="H1477" i="2" s="1"/>
  <c r="K1387" i="2"/>
  <c r="J1498" i="2"/>
  <c r="H1498" i="2" s="1"/>
  <c r="I1334" i="2"/>
  <c r="I1438" i="2"/>
  <c r="J1258" i="2"/>
  <c r="H1258" i="2" s="1"/>
  <c r="I1441" i="2"/>
  <c r="J1525" i="2"/>
  <c r="H1525" i="2" s="1"/>
  <c r="J1487" i="2"/>
  <c r="H1487" i="2" s="1"/>
  <c r="J1410" i="2"/>
  <c r="H1410" i="2" s="1"/>
  <c r="J1354" i="2"/>
  <c r="H1354" i="2" s="1"/>
  <c r="J1198" i="2"/>
  <c r="H1198" i="2" s="1"/>
  <c r="I1198" i="2"/>
  <c r="J1289" i="2"/>
  <c r="H1289" i="2" s="1"/>
  <c r="I1216" i="2"/>
  <c r="J1216" i="2"/>
  <c r="H1216" i="2" s="1"/>
  <c r="I1557" i="2"/>
  <c r="I1249" i="2"/>
  <c r="J1213" i="2"/>
  <c r="H1213" i="2" s="1"/>
  <c r="I1511" i="2"/>
  <c r="J1428" i="2"/>
  <c r="H1428" i="2" s="1"/>
  <c r="I1475" i="2"/>
  <c r="I1336" i="2"/>
  <c r="K1128" i="2"/>
  <c r="K1110" i="2"/>
  <c r="J1110" i="2"/>
  <c r="H1110" i="2" s="1"/>
  <c r="I1491" i="2"/>
  <c r="I1063" i="2"/>
  <c r="J1234" i="2"/>
  <c r="H1234" i="2" s="1"/>
  <c r="I1219" i="2"/>
  <c r="K1298" i="2"/>
  <c r="K1191" i="2"/>
  <c r="J1066" i="2"/>
  <c r="H1066" i="2" s="1"/>
  <c r="J1029" i="2"/>
  <c r="H1029" i="2" s="1"/>
  <c r="I1029" i="2"/>
  <c r="J1104" i="2"/>
  <c r="H1104" i="2" s="1"/>
  <c r="J1065" i="2"/>
  <c r="H1065" i="2" s="1"/>
  <c r="K1015" i="2"/>
  <c r="K871" i="2"/>
  <c r="J871" i="2"/>
  <c r="H871" i="2" s="1"/>
  <c r="I871" i="2"/>
  <c r="K1130" i="2"/>
  <c r="J1130" i="2"/>
  <c r="H1130" i="2" s="1"/>
  <c r="I1130" i="2"/>
  <c r="J1137" i="2"/>
  <c r="H1137" i="2" s="1"/>
  <c r="I956" i="2"/>
  <c r="I929" i="2"/>
  <c r="K931" i="2"/>
  <c r="K604" i="2"/>
  <c r="J908" i="2"/>
  <c r="H908" i="2" s="1"/>
  <c r="I1107" i="2"/>
  <c r="I943" i="2"/>
  <c r="J868" i="2"/>
  <c r="H868" i="2" s="1"/>
  <c r="J673" i="2"/>
  <c r="H673" i="2" s="1"/>
  <c r="K673" i="2"/>
  <c r="J638" i="2"/>
  <c r="H638" i="2" s="1"/>
  <c r="K638" i="2"/>
  <c r="J581" i="2"/>
  <c r="H581" i="2" s="1"/>
  <c r="K581" i="2"/>
  <c r="I529" i="2"/>
  <c r="J498" i="2"/>
  <c r="H498" i="2" s="1"/>
  <c r="K498" i="2"/>
  <c r="K977" i="2"/>
  <c r="I840" i="2"/>
  <c r="J840" i="2"/>
  <c r="H840" i="2" s="1"/>
  <c r="J578" i="2"/>
  <c r="H578" i="2" s="1"/>
  <c r="I578" i="2"/>
  <c r="K645" i="2"/>
  <c r="K505" i="2"/>
  <c r="I1177" i="2"/>
  <c r="I920" i="2"/>
  <c r="K719" i="2"/>
  <c r="J588" i="2"/>
  <c r="H588" i="2" s="1"/>
  <c r="J480" i="2"/>
  <c r="H480" i="2" s="1"/>
  <c r="K465" i="2"/>
  <c r="K661" i="2"/>
  <c r="K521" i="2"/>
  <c r="K476" i="2"/>
  <c r="I712" i="2"/>
  <c r="I654" i="2"/>
  <c r="K600" i="2"/>
  <c r="I512" i="2"/>
  <c r="J402" i="2"/>
  <c r="H402" i="2" s="1"/>
  <c r="K402" i="2"/>
  <c r="I402" i="2"/>
  <c r="K366" i="2"/>
  <c r="J366" i="2"/>
  <c r="H366" i="2" s="1"/>
  <c r="I366" i="2"/>
  <c r="J543" i="2"/>
  <c r="H543" i="2" s="1"/>
  <c r="J565" i="2"/>
  <c r="H565" i="2" s="1"/>
  <c r="J350" i="2"/>
  <c r="H350" i="2" s="1"/>
  <c r="I284" i="2"/>
  <c r="K386" i="2"/>
  <c r="J386" i="2"/>
  <c r="H386" i="2" s="1"/>
  <c r="J352" i="2"/>
  <c r="H352" i="2" s="1"/>
  <c r="I286" i="2"/>
  <c r="K428" i="2"/>
  <c r="J304" i="2"/>
  <c r="H304" i="2" s="1"/>
  <c r="I915" i="2"/>
  <c r="J649" i="2"/>
  <c r="H649" i="2" s="1"/>
  <c r="K448" i="2"/>
  <c r="K360" i="2"/>
  <c r="J360" i="2"/>
  <c r="H360" i="2" s="1"/>
  <c r="K314" i="2"/>
  <c r="J314" i="2"/>
  <c r="H314" i="2" s="1"/>
  <c r="I314" i="2"/>
  <c r="K181" i="2"/>
  <c r="I181" i="2"/>
  <c r="J269" i="2"/>
  <c r="H269" i="2" s="1"/>
  <c r="I172" i="2"/>
  <c r="J136" i="2"/>
  <c r="H136" i="2" s="1"/>
  <c r="I255" i="2"/>
  <c r="K182" i="2"/>
  <c r="K150" i="2"/>
  <c r="J277" i="2"/>
  <c r="H277" i="2" s="1"/>
  <c r="I270" i="2"/>
  <c r="I406" i="2"/>
  <c r="K139" i="2"/>
  <c r="J72" i="2"/>
  <c r="H72" i="2" s="1"/>
  <c r="K205" i="2"/>
  <c r="I166" i="2"/>
  <c r="K251" i="2"/>
  <c r="K47" i="2"/>
  <c r="J514" i="2"/>
  <c r="H514" i="2" s="1"/>
  <c r="K514" i="2"/>
  <c r="J323" i="2"/>
  <c r="H323" i="2" s="1"/>
  <c r="K1440" i="2"/>
  <c r="J1440" i="2"/>
  <c r="H1440" i="2" s="1"/>
  <c r="J1451" i="2"/>
  <c r="H1451" i="2" s="1"/>
  <c r="K2017" i="2"/>
  <c r="J1995" i="2"/>
  <c r="H1995" i="2" s="1"/>
  <c r="K1912" i="2"/>
  <c r="J1912" i="2"/>
  <c r="H1912" i="2" s="1"/>
  <c r="I1912" i="2"/>
  <c r="K1786" i="2"/>
  <c r="J1786" i="2"/>
  <c r="H1786" i="2" s="1"/>
  <c r="K1923" i="2"/>
  <c r="J1923" i="2"/>
  <c r="H1923" i="2" s="1"/>
  <c r="K1900" i="2"/>
  <c r="I1827" i="2"/>
  <c r="J1827" i="2"/>
  <c r="H1827" i="2" s="1"/>
  <c r="K1731" i="2"/>
  <c r="J1731" i="2"/>
  <c r="H1731" i="2" s="1"/>
  <c r="J1676" i="2"/>
  <c r="H1676" i="2" s="1"/>
  <c r="I1676" i="2"/>
  <c r="I1684" i="2"/>
  <c r="K1662" i="2"/>
  <c r="K1568" i="2"/>
  <c r="I1609" i="2"/>
  <c r="J1687" i="2"/>
  <c r="H1687" i="2" s="1"/>
  <c r="J1575" i="2"/>
  <c r="H1575" i="2" s="1"/>
  <c r="J1478" i="2"/>
  <c r="H1478" i="2" s="1"/>
  <c r="K1456" i="2"/>
  <c r="J1456" i="2"/>
  <c r="H1456" i="2" s="1"/>
  <c r="I1456" i="2"/>
  <c r="I1478" i="2"/>
  <c r="I1440" i="2"/>
  <c r="J1407" i="2"/>
  <c r="H1407" i="2" s="1"/>
  <c r="I1407" i="2"/>
  <c r="J1805" i="2"/>
  <c r="H1805" i="2" s="1"/>
  <c r="K1466" i="2"/>
  <c r="J1466" i="2"/>
  <c r="H1466" i="2" s="1"/>
  <c r="I1436" i="2"/>
  <c r="I1466" i="2"/>
  <c r="I1617" i="2"/>
  <c r="K1398" i="2"/>
  <c r="J1398" i="2"/>
  <c r="H1398" i="2" s="1"/>
  <c r="J1334" i="2"/>
  <c r="H1334" i="2" s="1"/>
  <c r="K1302" i="2"/>
  <c r="I1302" i="2"/>
  <c r="J1279" i="2"/>
  <c r="H1279" i="2" s="1"/>
  <c r="I1279" i="2"/>
  <c r="J1322" i="2"/>
  <c r="H1322" i="2" s="1"/>
  <c r="I1434" i="2"/>
  <c r="I1479" i="2"/>
  <c r="K1244" i="2"/>
  <c r="J1196" i="2"/>
  <c r="H1196" i="2" s="1"/>
  <c r="K1196" i="2"/>
  <c r="J1249" i="2"/>
  <c r="H1249" i="2" s="1"/>
  <c r="K1213" i="2"/>
  <c r="K1161" i="2"/>
  <c r="I1269" i="2"/>
  <c r="I1244" i="2"/>
  <c r="K1511" i="2"/>
  <c r="I1469" i="2"/>
  <c r="J1475" i="2"/>
  <c r="H1475" i="2" s="1"/>
  <c r="J1336" i="2"/>
  <c r="H1336" i="2" s="1"/>
  <c r="J1012" i="2"/>
  <c r="H1012" i="2" s="1"/>
  <c r="I1012" i="2"/>
  <c r="J1491" i="2"/>
  <c r="H1491" i="2" s="1"/>
  <c r="I1186" i="2"/>
  <c r="J1143" i="2"/>
  <c r="H1143" i="2" s="1"/>
  <c r="J1081" i="2"/>
  <c r="H1081" i="2" s="1"/>
  <c r="I1066" i="2"/>
  <c r="K867" i="2"/>
  <c r="I867" i="2"/>
  <c r="J867" i="2"/>
  <c r="H867" i="2" s="1"/>
  <c r="I1124" i="2"/>
  <c r="J1022" i="2"/>
  <c r="H1022" i="2" s="1"/>
  <c r="I1137" i="2"/>
  <c r="I969" i="2"/>
  <c r="I931" i="2"/>
  <c r="K815" i="2"/>
  <c r="J815" i="2"/>
  <c r="H815" i="2" s="1"/>
  <c r="K737" i="2"/>
  <c r="J737" i="2"/>
  <c r="H737" i="2" s="1"/>
  <c r="J863" i="2"/>
  <c r="H863" i="2" s="1"/>
  <c r="I852" i="2"/>
  <c r="K890" i="2"/>
  <c r="J890" i="2"/>
  <c r="H890" i="2" s="1"/>
  <c r="J813" i="2"/>
  <c r="H813" i="2" s="1"/>
  <c r="I813" i="2"/>
  <c r="K813" i="2"/>
  <c r="J635" i="2"/>
  <c r="H635" i="2" s="1"/>
  <c r="K635" i="2"/>
  <c r="J548" i="2"/>
  <c r="H548" i="2" s="1"/>
  <c r="K548" i="2"/>
  <c r="J495" i="2"/>
  <c r="H495" i="2" s="1"/>
  <c r="K495" i="2"/>
  <c r="J775" i="2"/>
  <c r="H775" i="2" s="1"/>
  <c r="K775" i="2"/>
  <c r="J630" i="2"/>
  <c r="H630" i="2" s="1"/>
  <c r="I630" i="2"/>
  <c r="I828" i="2"/>
  <c r="K627" i="2"/>
  <c r="I485" i="2"/>
  <c r="J1177" i="2"/>
  <c r="H1177" i="2" s="1"/>
  <c r="J1043" i="2"/>
  <c r="H1043" i="2" s="1"/>
  <c r="J760" i="2"/>
  <c r="H760" i="2" s="1"/>
  <c r="I1078" i="2"/>
  <c r="J568" i="2"/>
  <c r="H568" i="2" s="1"/>
  <c r="K472" i="2"/>
  <c r="J625" i="2"/>
  <c r="H625" i="2" s="1"/>
  <c r="J438" i="2"/>
  <c r="H438" i="2" s="1"/>
  <c r="J845" i="2"/>
  <c r="H845" i="2" s="1"/>
  <c r="J889" i="2"/>
  <c r="H889" i="2" s="1"/>
  <c r="K458" i="2"/>
  <c r="I547" i="2"/>
  <c r="J345" i="2"/>
  <c r="H345" i="2" s="1"/>
  <c r="I345" i="2"/>
  <c r="K324" i="2"/>
  <c r="J324" i="2"/>
  <c r="H324" i="2" s="1"/>
  <c r="J306" i="2"/>
  <c r="H306" i="2" s="1"/>
  <c r="K306" i="2"/>
  <c r="I655" i="2"/>
  <c r="I513" i="2"/>
  <c r="I448" i="2"/>
  <c r="I350" i="2"/>
  <c r="J158" i="2"/>
  <c r="H158" i="2" s="1"/>
  <c r="I158" i="2"/>
  <c r="K124" i="2"/>
  <c r="I124" i="2"/>
  <c r="J406" i="2"/>
  <c r="H406" i="2" s="1"/>
  <c r="K231" i="2"/>
  <c r="I231" i="2"/>
  <c r="K195" i="2"/>
  <c r="I195" i="2"/>
  <c r="I189" i="2"/>
  <c r="J166" i="2"/>
  <c r="H166" i="2" s="1"/>
  <c r="I261" i="2"/>
  <c r="I340" i="2"/>
  <c r="K2081" i="2"/>
  <c r="J2081" i="2"/>
  <c r="H2081" i="2" s="1"/>
  <c r="I1461" i="2"/>
  <c r="J1461" i="2"/>
  <c r="H1461" i="2" s="1"/>
  <c r="J1185" i="2"/>
  <c r="H1185" i="2" s="1"/>
  <c r="I1185" i="2"/>
  <c r="I1504" i="2"/>
  <c r="J1978" i="2"/>
  <c r="H1978" i="2" s="1"/>
  <c r="I1978" i="2"/>
  <c r="I1995" i="2"/>
  <c r="J1903" i="2"/>
  <c r="H1903" i="2" s="1"/>
  <c r="I1903" i="2"/>
  <c r="I2071" i="2"/>
  <c r="K1963" i="2"/>
  <c r="J1963" i="2"/>
  <c r="H1963" i="2" s="1"/>
  <c r="I2044" i="2"/>
  <c r="K1931" i="2"/>
  <c r="I2027" i="2"/>
  <c r="I1927" i="2"/>
  <c r="K1854" i="2"/>
  <c r="J1854" i="2"/>
  <c r="H1854" i="2" s="1"/>
  <c r="K1862" i="2"/>
  <c r="K1737" i="2"/>
  <c r="K1889" i="2"/>
  <c r="J1715" i="2"/>
  <c r="H1715" i="2" s="1"/>
  <c r="J1897" i="2"/>
  <c r="H1897" i="2" s="1"/>
  <c r="K1728" i="2"/>
  <c r="J1965" i="2"/>
  <c r="H1965" i="2" s="1"/>
  <c r="I1916" i="2"/>
  <c r="J2071" i="2"/>
  <c r="H2071" i="2" s="1"/>
  <c r="I2056" i="2"/>
  <c r="J1947" i="2"/>
  <c r="H1947" i="2" s="1"/>
  <c r="I1947" i="2"/>
  <c r="K2050" i="2"/>
  <c r="J2050" i="2"/>
  <c r="H2050" i="2" s="1"/>
  <c r="I1975" i="2"/>
  <c r="K2037" i="2"/>
  <c r="K2087" i="2"/>
  <c r="J2019" i="2"/>
  <c r="H2019" i="2" s="1"/>
  <c r="I2019" i="2"/>
  <c r="K1927" i="2"/>
  <c r="I1802" i="2"/>
  <c r="K1898" i="2"/>
  <c r="I1846" i="2"/>
  <c r="J1859" i="2"/>
  <c r="H1859" i="2" s="1"/>
  <c r="I1859" i="2"/>
  <c r="K1827" i="2"/>
  <c r="I1771" i="2"/>
  <c r="J1771" i="2"/>
  <c r="H1771" i="2" s="1"/>
  <c r="J1856" i="2"/>
  <c r="H1856" i="2" s="1"/>
  <c r="J1804" i="2"/>
  <c r="H1804" i="2" s="1"/>
  <c r="J1734" i="2"/>
  <c r="H1734" i="2" s="1"/>
  <c r="I1723" i="2"/>
  <c r="K1703" i="2"/>
  <c r="J1703" i="2"/>
  <c r="H1703" i="2" s="1"/>
  <c r="J1851" i="2"/>
  <c r="H1851" i="2" s="1"/>
  <c r="I1803" i="2"/>
  <c r="I1767" i="2"/>
  <c r="I1733" i="2"/>
  <c r="J1788" i="2"/>
  <c r="H1788" i="2" s="1"/>
  <c r="K1676" i="2"/>
  <c r="I1839" i="2"/>
  <c r="K1689" i="2"/>
  <c r="J1662" i="2"/>
  <c r="H1662" i="2" s="1"/>
  <c r="I1564" i="2"/>
  <c r="K1564" i="2"/>
  <c r="J1557" i="2"/>
  <c r="H1557" i="2" s="1"/>
  <c r="K1603" i="2"/>
  <c r="K1656" i="2"/>
  <c r="I1626" i="2"/>
  <c r="K1528" i="2"/>
  <c r="J1633" i="2"/>
  <c r="H1633" i="2" s="1"/>
  <c r="I1633" i="2"/>
  <c r="I1528" i="2"/>
  <c r="J1504" i="2"/>
  <c r="H1504" i="2" s="1"/>
  <c r="K1476" i="2"/>
  <c r="J1476" i="2"/>
  <c r="H1476" i="2" s="1"/>
  <c r="K1449" i="2"/>
  <c r="I1449" i="2"/>
  <c r="I1507" i="2"/>
  <c r="K1492" i="2"/>
  <c r="J1492" i="2"/>
  <c r="H1492" i="2" s="1"/>
  <c r="I1492" i="2"/>
  <c r="I1400" i="2"/>
  <c r="K1450" i="2"/>
  <c r="J1531" i="2"/>
  <c r="H1531" i="2" s="1"/>
  <c r="K1369" i="2"/>
  <c r="J1533" i="2"/>
  <c r="H1533" i="2" s="1"/>
  <c r="J1400" i="2"/>
  <c r="H1400" i="2" s="1"/>
  <c r="K1316" i="2"/>
  <c r="I1316" i="2"/>
  <c r="K1370" i="2"/>
  <c r="I1332" i="2"/>
  <c r="J1434" i="2"/>
  <c r="H1434" i="2" s="1"/>
  <c r="K1289" i="2"/>
  <c r="K1242" i="2"/>
  <c r="K1211" i="2"/>
  <c r="J1152" i="2"/>
  <c r="H1152" i="2" s="1"/>
  <c r="I1312" i="2"/>
  <c r="J1242" i="2"/>
  <c r="H1242" i="2" s="1"/>
  <c r="K1258" i="2"/>
  <c r="J1121" i="2"/>
  <c r="H1121" i="2" s="1"/>
  <c r="J1068" i="2"/>
  <c r="H1068" i="2" s="1"/>
  <c r="I1068" i="2"/>
  <c r="K1202" i="2"/>
  <c r="J1098" i="2"/>
  <c r="H1098" i="2" s="1"/>
  <c r="I1098" i="2"/>
  <c r="I1047" i="2"/>
  <c r="J864" i="2"/>
  <c r="H864" i="2" s="1"/>
  <c r="I864" i="2"/>
  <c r="J1086" i="2"/>
  <c r="H1086" i="2" s="1"/>
  <c r="J1023" i="2"/>
  <c r="H1023" i="2" s="1"/>
  <c r="I1015" i="2"/>
  <c r="J909" i="2"/>
  <c r="H909" i="2" s="1"/>
  <c r="K864" i="2"/>
  <c r="K1022" i="2"/>
  <c r="K855" i="2"/>
  <c r="I1003" i="2"/>
  <c r="J969" i="2"/>
  <c r="H969" i="2" s="1"/>
  <c r="J1156" i="2"/>
  <c r="H1156" i="2" s="1"/>
  <c r="J877" i="2"/>
  <c r="H877" i="2" s="1"/>
  <c r="K842" i="2"/>
  <c r="J842" i="2"/>
  <c r="H842" i="2" s="1"/>
  <c r="I815" i="2"/>
  <c r="I737" i="2"/>
  <c r="K640" i="2"/>
  <c r="K500" i="2"/>
  <c r="I908" i="2"/>
  <c r="I611" i="2"/>
  <c r="I539" i="2"/>
  <c r="I505" i="2"/>
  <c r="J735" i="2"/>
  <c r="H735" i="2" s="1"/>
  <c r="K735" i="2"/>
  <c r="I735" i="2"/>
  <c r="I635" i="2"/>
  <c r="J602" i="2"/>
  <c r="H602" i="2" s="1"/>
  <c r="K602" i="2"/>
  <c r="J545" i="2"/>
  <c r="H545" i="2" s="1"/>
  <c r="K545" i="2"/>
  <c r="I495" i="2"/>
  <c r="I1043" i="2"/>
  <c r="J977" i="2"/>
  <c r="H977" i="2" s="1"/>
  <c r="J887" i="2"/>
  <c r="H887" i="2" s="1"/>
  <c r="I887" i="2"/>
  <c r="K840" i="2"/>
  <c r="I775" i="2"/>
  <c r="J688" i="2"/>
  <c r="H688" i="2" s="1"/>
  <c r="I688" i="2"/>
  <c r="I656" i="2"/>
  <c r="K596" i="2"/>
  <c r="J542" i="2"/>
  <c r="H542" i="2" s="1"/>
  <c r="I542" i="2"/>
  <c r="I514" i="2"/>
  <c r="K828" i="2"/>
  <c r="K611" i="2"/>
  <c r="J936" i="2"/>
  <c r="H936" i="2" s="1"/>
  <c r="J550" i="2"/>
  <c r="H550" i="2" s="1"/>
  <c r="K717" i="2"/>
  <c r="J476" i="2"/>
  <c r="H476" i="2" s="1"/>
  <c r="I795" i="2"/>
  <c r="J795" i="2"/>
  <c r="H795" i="2" s="1"/>
  <c r="J458" i="2"/>
  <c r="H458" i="2" s="1"/>
  <c r="I404" i="2"/>
  <c r="I456" i="2"/>
  <c r="J420" i="2"/>
  <c r="H420" i="2" s="1"/>
  <c r="I324" i="2"/>
  <c r="I306" i="2"/>
  <c r="I360" i="2"/>
  <c r="I220" i="2"/>
  <c r="K199" i="2"/>
  <c r="I199" i="2"/>
  <c r="J231" i="2"/>
  <c r="H231" i="2" s="1"/>
  <c r="J195" i="2"/>
  <c r="H195" i="2" s="1"/>
  <c r="J106" i="2"/>
  <c r="H106" i="2" s="1"/>
  <c r="K269" i="2"/>
  <c r="K102" i="2"/>
  <c r="K80" i="2"/>
  <c r="I80" i="2"/>
  <c r="K7" i="2"/>
  <c r="J183" i="2"/>
  <c r="H183" i="2" s="1"/>
  <c r="I271" i="2"/>
  <c r="K173" i="2"/>
  <c r="J94" i="2"/>
  <c r="H94" i="2" s="1"/>
  <c r="I54" i="2"/>
  <c r="K54" i="2"/>
  <c r="I16" i="2"/>
  <c r="K16" i="2"/>
</calcChain>
</file>

<file path=xl/sharedStrings.xml><?xml version="1.0" encoding="utf-8"?>
<sst xmlns="http://schemas.openxmlformats.org/spreadsheetml/2006/main" count="4547" uniqueCount="1250">
  <si>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</si>
  <si>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</si>
  <si>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</si>
  <si>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</si>
  <si>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</si>
  <si>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</si>
  <si>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</si>
  <si>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</si>
  <si>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</si>
  <si>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</si>
  <si>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</si>
  <si>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</si>
  <si>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Die Welt ist im Wandel .</t>
  </si>
  <si>
    <t>2</t>
  </si>
  <si>
    <t>(specifically)</t>
  </si>
  <si>
    <t>Sie verändert sich wirklich tiefgreifend .</t>
  </si>
  <si>
    <t>specific</t>
  </si>
  <si>
    <t>(orig: Expansion.Level-of-detail.Arg2-as-detail)</t>
  </si>
  <si>
    <t>3</t>
  </si>
  <si>
    <t>Und ich befürchte , dass Investoren einigen der größten Veränderungen nicht genügend Aufmerksamkeit schenken .</t>
  </si>
  <si>
    <t>Conjunction</t>
  </si>
  <si>
    <t>(orig: Expansion.Conjunction)</t>
  </si>
  <si>
    <t>4</t>
  </si>
  <si>
    <t>Insbesondere wenn es um Nachhaltigkeit geht .</t>
  </si>
  <si>
    <t>5</t>
  </si>
  <si>
    <t>Mit Nachhaltigkeit meine ich die wirklich heißen Themen wie ökologische und soziale Fragen und grundlegende Unternehmensführung .</t>
  </si>
  <si>
    <t>6</t>
  </si>
  <si>
    <t>Es ist leichtsinnig , diese Dinge zu ignorieren , denn das kann künftige langfristige Renditen gefährden .</t>
  </si>
  <si>
    <t>7</t>
  </si>
  <si>
    <t>Vielleicht sind Sie jetzt überrascht : Die ausgleichende Macht , die wirklich Einfluss auf Nachhaltigkeit hat , liegt bei institutionellen Investoren , den großen Investoren wie Pensionsfonds und Stiftungen .</t>
  </si>
  <si>
    <t>8</t>
  </si>
  <si>
    <t>(in fact)</t>
  </si>
  <si>
    <t>Ich glaube , dass nachhaltiges Investieren weniger kompliziert ist , als Sie denken , besser abschneidet , als Sie glauben , und wichtiger ist , als wir uns vorstellen können .</t>
  </si>
  <si>
    <t>9</t>
  </si>
  <si>
    <t>Halten wir uns einige bekannte Tatsachen vor Augen : Die Bevölkerung wächst und altert ; es gibt 7 Milliarden Menschen auf der Erde , und am Ende des Jahrhunderts werden es 10 Milliarden sein .</t>
  </si>
  <si>
    <t>10</t>
  </si>
  <si>
    <t>Wir verbrauchen die natürlichen Ressourcen schneller , als sie sich regenerieren können .</t>
  </si>
  <si>
    <t>11</t>
  </si>
  <si>
    <t>Und die Emissionen , die für den Klimawandel hauptverantwortlich sind , nehmen weiter zu .</t>
  </si>
  <si>
    <t>12</t>
  </si>
  <si>
    <t>Das sind ganz klar Umweltthemen und soziale Themen , aber das ist noch nicht alles .</t>
  </si>
  <si>
    <t>13</t>
  </si>
  <si>
    <t>Es sind auch Wirtschaftsthemen .</t>
  </si>
  <si>
    <t>14</t>
  </si>
  <si>
    <t>Und deshalb sind sie für die Risiko- und Renditebewertung sehr wichtig .</t>
  </si>
  <si>
    <t>result</t>
  </si>
  <si>
    <t>(orig: Contingency.Cause.Result)</t>
  </si>
  <si>
    <t>15</t>
  </si>
  <si>
    <t>(and)</t>
  </si>
  <si>
    <t>Sie sind sehr komplex und scheinen schwer verständlich , sodass die Versuchung groß sein kann , genau das hier zu tun : den Kopf in den Sand zu stecken und nicht darüber nachzudenken .</t>
  </si>
  <si>
    <t>16</t>
  </si>
  <si>
    <t>(but)</t>
  </si>
  <si>
    <t>Tun Sie das möglichst nicht .</t>
  </si>
  <si>
    <t>Contrast</t>
  </si>
  <si>
    <t>(orig: Comparison.Contrast)</t>
  </si>
  <si>
    <t>17</t>
  </si>
  <si>
    <t>(in other words)</t>
  </si>
  <si>
    <t>Bitte zu Hause nicht nachmachen .</t>
  </si>
  <si>
    <t>18</t>
  </si>
  <si>
    <t>( Gelächter ) Aber ich frage mich wirklich , ob die Anlagestrategien von heute für die Zwecke von morgen geeignet sind .</t>
  </si>
  <si>
    <t>19</t>
  </si>
  <si>
    <t>(for example)</t>
  </si>
  <si>
    <t>Wir wissen , wenn Investoren sich ein Unternehmen anschauen und entscheiden , ob sie investieren , schauen sie sich Finanzdaten an .</t>
  </si>
  <si>
    <t>instance</t>
  </si>
  <si>
    <t>(orig: Expansion.Instantiation)</t>
  </si>
  <si>
    <t>20</t>
  </si>
  <si>
    <t>Metriken wie Umsatzwachstum , Cashflow , Marktanteil , Bewertung -- Sie wissen schon , die wirklich attraktiven Sachen .</t>
  </si>
  <si>
    <t>21</t>
  </si>
  <si>
    <t>Diese Dinge sind natürlich wichtig , aber sie sind nicht genug .</t>
  </si>
  <si>
    <t>22</t>
  </si>
  <si>
    <t>(because)</t>
  </si>
  <si>
    <t>Anleger sollten auch auf Leistungsmetriken wie ESG achten : Umwelt , Soziales und Unternehmensführung .</t>
  </si>
  <si>
    <t>(orig: Contingency.Cause+Belief.Reason+Belief)</t>
  </si>
  <si>
    <t>23</t>
  </si>
  <si>
    <t>" Umwelt " umfasst Energieverbrauch , Wassernutzung , Abfall und Umweltverschmutzung , kurz : die effiziente Nutzung von Ressourcen .</t>
  </si>
  <si>
    <t>24</t>
  </si>
  <si>
    <t>" Soziales " beinhaltet Humankapital , Dinge wie Mitarbeiter-Engagement und Innovationsfähigkeit sowie Supply-Chain-Management und Arbeits- und Menschenrechte .</t>
  </si>
  <si>
    <t>25</t>
  </si>
  <si>
    <t>" Unternehmensführung " bedeutet die Aufsicht über das Unternehmen durch den Vorstand und Investoren .</t>
  </si>
  <si>
    <t>26</t>
  </si>
  <si>
    <t>(as a result)</t>
  </si>
  <si>
    <t>Ich habe zuvor gesagt , es geht um die wirklich heißen Dinge .</t>
  </si>
  <si>
    <t>(orig: Contingency.Cause+SpeechAct.Result+SpeechAct)</t>
  </si>
  <si>
    <t>27</t>
  </si>
  <si>
    <t>Aber ESG ist das Maß für Nachhaltigkeit , und nachhaltiges Investieren berücksichtigt ESG-Faktoren und finanzielle Faktoren beim Anlageprozess .</t>
  </si>
  <si>
    <t>contra-expectation</t>
  </si>
  <si>
    <t>(orig: Comparison.Concession.Arg2-as-denier)</t>
  </si>
  <si>
    <t>28</t>
  </si>
  <si>
    <t>Damit können künftige Risiken durch Minimierung von Schäden an Personen und am Planeten begrenzt und Kapital für die Nutzer bereitgestellt werden , die es für produktive und nachhaltige Ergebnisse einsetzen .</t>
  </si>
  <si>
    <t>29</t>
  </si>
  <si>
    <t>Wenn also Nachhaltigkeit heute ein Finanzthema ist , und es höchstwahrscheinlich immer relevanter wird , achtet der Privatsektor darauf ?</t>
  </si>
  <si>
    <t>30</t>
  </si>
  <si>
    <t>Wirklich cool ist , dass die meisten CEOs darauf achten .</t>
  </si>
  <si>
    <t>Hypophora</t>
  </si>
  <si>
    <t>31</t>
  </si>
  <si>
    <t>Sie begannen , Nachhaltigkeit nicht nur als wichtig , sondern als entscheidend für den Geschäftserfolg zu sehen .</t>
  </si>
  <si>
    <t>32</t>
  </si>
  <si>
    <t>Ungefähr 80 % der CEOs weltweit sehen in Nachhaltigkeit die Wurzel für Innovations-Wachstum , was zu einem Wettbewerbsvorteil in ihren Branchen führt .</t>
  </si>
  <si>
    <t>33</t>
  </si>
  <si>
    <t>Aber 93 % sehen ESG als die Zukunft oder als wichtig für die Zukunft ihres Unternehmens .</t>
  </si>
  <si>
    <t>34</t>
  </si>
  <si>
    <t>Also die CEOs sehen das ganz klar .</t>
  </si>
  <si>
    <t>35</t>
  </si>
  <si>
    <t>(in paticular)</t>
  </si>
  <si>
    <t>Nachhaltigkeit bietet enorme Möglichkeiten .</t>
  </si>
  <si>
    <t>36</t>
  </si>
  <si>
    <t>(so)</t>
  </si>
  <si>
    <t>Wie nutzen Unternehmen ESG , um harte Geschäftsergebnisse zu erzielen ?</t>
  </si>
  <si>
    <t>37</t>
  </si>
  <si>
    <t>Ein Beispiel geht uns besonders zu Herzen .</t>
  </si>
  <si>
    <t>38</t>
  </si>
  <si>
    <t>Im Jahr 2012 hat State Street 54 Anwendungsprogramme in die Cloud-Umgebung migriert und weitere 85 Programme eingestellt .</t>
  </si>
  <si>
    <t>39</t>
  </si>
  <si>
    <t>Wir virtualisierten die Arbeitsumgebungen und stellten zahlreiche Automatisierungsprojekte fertig .</t>
  </si>
  <si>
    <t>40</t>
  </si>
  <si>
    <t>Diese Initiativen schaffen einen mobileren Arbeitsplatz und reduzieren unseren Immobilien-Bedarf .</t>
  </si>
  <si>
    <t>41</t>
  </si>
  <si>
    <t>Dadurch werden jährlich 23 Mio.</t>
  </si>
  <si>
    <t>42</t>
  </si>
  <si>
    <t>Dollar an Betriebskosten gespart und die Emission von 100 000 Tonnen Kohlenstoff vermieden .</t>
  </si>
  <si>
    <t>achievement</t>
  </si>
  <si>
    <t>43</t>
  </si>
  <si>
    <t>Das sind 21 000 Autos weniger auf den Straßen .</t>
  </si>
  <si>
    <t>Restatement</t>
  </si>
  <si>
    <t>(orig: Expansion.Equivalence)</t>
  </si>
  <si>
    <t>44</t>
  </si>
  <si>
    <t>Genial , oder ?</t>
  </si>
  <si>
    <t>45</t>
  </si>
  <si>
    <t>Ein weiteres Beispiel ist Pentair .</t>
  </si>
  <si>
    <t>46</t>
  </si>
  <si>
    <t>Pentair ist ein US-Mischkonzern .</t>
  </si>
  <si>
    <t>47</t>
  </si>
  <si>
    <t>Vor etwa einem Jahrzehnt verkauften sie ihr Kerngeschäft , Heimwerker-Geräte , und investierten die Einnahmen ins Wassergeschäft .</t>
  </si>
  <si>
    <t>48</t>
  </si>
  <si>
    <t>Das ist ein wirklich großer Einsatz .</t>
  </si>
  <si>
    <t>49</t>
  </si>
  <si>
    <t>Warum haben sie das getan ?</t>
  </si>
  <si>
    <t>50</t>
  </si>
  <si>
    <t>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</si>
  <si>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reason</t>
  </si>
  <si>
    <t>(orig: Contingency.Cause.Reason)</t>
  </si>
  <si>
    <t>51</t>
  </si>
  <si>
    <t>Jetzt fragen Sie sich vielleicht , sind das denn nicht nur Einzelfälle ?</t>
  </si>
  <si>
    <t>52</t>
  </si>
  <si>
    <t>Ich meine , mal ehrlich , stehen Unternehmen , die Nachhaltigkeit berücksichtigen , finanziell tatsächlich gut da ?</t>
  </si>
  <si>
    <t>53</t>
  </si>
  <si>
    <t>Die überraschende Antwort ist ja .</t>
  </si>
  <si>
    <t>54</t>
  </si>
  <si>
    <t>Die Daten zeigen , dass Aktien mit besserer ESG-Leistung genauso gut abschneiden wie andere .</t>
  </si>
  <si>
    <t>55</t>
  </si>
  <si>
    <t>In Blau sehen wir den MSCI World Index , ein Index für Großunternehmen aus entwickelten Märkten auf der ganzen Welt .</t>
  </si>
  <si>
    <t>56</t>
  </si>
  <si>
    <t>Und in Gold sehen wir die Teilmenge von Unternehmen mit der besten ESG-Leistung .</t>
  </si>
  <si>
    <t>57</t>
  </si>
  <si>
    <t>(in short)</t>
  </si>
  <si>
    <t>Seit über drei Jahren kein Leistungskompromiss .</t>
  </si>
  <si>
    <t>58</t>
  </si>
  <si>
    <t>Das ist doch okay , oder ?</t>
  </si>
  <si>
    <t>59</t>
  </si>
  <si>
    <t>Aber wir wollen mehr .</t>
  </si>
  <si>
    <t>60</t>
  </si>
  <si>
    <t>Ich will mehr .</t>
  </si>
  <si>
    <t>61</t>
  </si>
  <si>
    <t>In einigen Fällen ist ESG ein Indikator für überdurchschnittliche Wertentwicklung .</t>
  </si>
  <si>
    <t>62</t>
  </si>
  <si>
    <t>In Blau sehen wir die Leistung der 500 größten globalen Unternehmen und in Gold sehen wir eine Teilmenge von Unternehmen mit guter Klimaschutzstrategie und Risikomanagement .</t>
  </si>
  <si>
    <t>63</t>
  </si>
  <si>
    <t>Seit fast acht Jahren übertreffen sie die Wertentwicklung um rund zwei Drittel .</t>
  </si>
  <si>
    <t>64</t>
  </si>
  <si>
    <t>Zugegeben , das ist eine Korrelation , kein Kausalzusammenhang .</t>
  </si>
  <si>
    <t>condition</t>
  </si>
  <si>
    <t>(orig: Contingency.Condition.Arg2-as-cond)</t>
  </si>
  <si>
    <t>65</t>
  </si>
  <si>
    <t>Aber es macht deutlich , dass umweltorientierte Führung mit guten Renditen kompatibel ist .</t>
  </si>
  <si>
    <t>66</t>
  </si>
  <si>
    <t>Wenn die Erträge gleich oder besser sind , und es gut für den Planeten ist , sollte es nicht Standard sein ?</t>
  </si>
  <si>
    <t>67</t>
  </si>
  <si>
    <t>(furthermore)</t>
  </si>
  <si>
    <t>Engagieren sich Investoren , insbesondere institutionelle Investoren ?</t>
  </si>
  <si>
    <t>68</t>
  </si>
  <si>
    <t>Nun , einige tun es , und ein paar sind wirkliche Vorreiter .</t>
  </si>
  <si>
    <t>69</t>
  </si>
  <si>
    <t>Hesta .</t>
  </si>
  <si>
    <t>70</t>
  </si>
  <si>
    <t>(for instance)</t>
  </si>
  <si>
    <t>Hesta ist ein Pensionsfonds für Mitarbeiter im Gesundheitswesen und im öffentlichen Dienst in Australien , mit einem Vermögen von 22 Mrd.</t>
  </si>
  <si>
    <t>71</t>
  </si>
  <si>
    <t>[ Dollar ] .</t>
  </si>
  <si>
    <t>72</t>
  </si>
  <si>
    <t>Sie glauben , dass ESG das Potenzial hat , Risiken und Erträge zu beeinflussen .</t>
  </si>
  <si>
    <t>73</t>
  </si>
  <si>
    <t>Deshalb sehen sie es als ihre Pflicht an , das beim Investment mit einzubeziehen .</t>
  </si>
  <si>
    <t>74</t>
  </si>
  <si>
    <t>(in particular)</t>
  </si>
  <si>
    <t>Im besten Interesse der Fondsmitglieder handeln , das ist ihre Kernaufgabe .</t>
  </si>
  <si>
    <t>75</t>
  </si>
  <si>
    <t>Man muss sie einfach lieben , die Australier , oder ?</t>
  </si>
  <si>
    <t>76</t>
  </si>
  <si>
    <t>CalPERS ist ein weiteres Beispiel .</t>
  </si>
  <si>
    <t>77</t>
  </si>
  <si>
    <t>CalPERS ist der Pensionsfonds für Angestellte im öffentlichen Dienst in Kalifornien .</t>
  </si>
  <si>
    <t>78</t>
  </si>
  <si>
    <t>Mit einem Vermögen von 244 Mrd.</t>
  </si>
  <si>
    <t>79</t>
  </si>
  <si>
    <t>[ Dollar ] ist er der zweitgrößte in den USA und der sechstgrößte in der Welt .</t>
  </si>
  <si>
    <t>80</t>
  </si>
  <si>
    <t>Ihre Investitionen in Nachhaltigkeit liegen bei fast 100 % .</t>
  </si>
  <si>
    <t>81</t>
  </si>
  <si>
    <t>(by)</t>
  </si>
  <si>
    <t>Sie integrieren die ESG systematisch in den gesamten Fonds .</t>
  </si>
  <si>
    <t>(orig: Expansion.Manner.Arg2-as-manner)</t>
  </si>
  <si>
    <t>82</t>
  </si>
  <si>
    <t>Warum ?</t>
  </si>
  <si>
    <t>83</t>
  </si>
  <si>
    <t>Sie glauben , es ist wichtig für größere langfristige Renditen , Punkt .</t>
  </si>
  <si>
    <t>84</t>
  </si>
  <si>
    <t>Sie sagen : " Langfristige Wertschöpfung erfordert die effiziente Verwaltung dreier Formen des Kapitals : Finanzielles , personelles und physisches Kapital .</t>
  </si>
  <si>
    <t>85</t>
  </si>
  <si>
    <t>Deshalb ist uns ESG wichtig . "</t>
  </si>
  <si>
    <t>86</t>
  </si>
  <si>
    <t>Bestandteil meiner Arbeit ist , mit vielen Investoren zu sprechen .</t>
  </si>
  <si>
    <t>87</t>
  </si>
  <si>
    <t>Nicht alle sehen das genauso .</t>
  </si>
  <si>
    <t>88</t>
  </si>
  <si>
    <t>Oft höre ich : " Wir sind verpflichtet , Gewinne zu maximieren , deshalb machen wir das hier nicht . "</t>
  </si>
  <si>
    <t>89</t>
  </si>
  <si>
    <t>Oder : " Wir wollen mit dem Portfolio keine Grundsatzerklärungen abgeben . "</t>
  </si>
  <si>
    <t>(orig: Expansion.Disjunction)</t>
  </si>
  <si>
    <t>90</t>
  </si>
  <si>
    <t>Die folgende Aussage geht mir wirklich unter die Haut : " Wenn</t>
  </si>
  <si>
    <t>91</t>
  </si>
  <si>
    <t>Sie das verändern wollen , verdienen Sie Geld und spenden Sie die Gewinne an Wohltätigkeitsorganisationen . "</t>
  </si>
  <si>
    <t>92</t>
  </si>
  <si>
    <t>Da verdrehe ich die Augen .</t>
  </si>
  <si>
    <t>93</t>
  </si>
  <si>
    <t>Lassen Sie mich eins ein für alle Mal klarstellen : Unternehmen und Investoren sind nicht alleine für das Schicksal des Planeten verantwortlich .</t>
  </si>
  <si>
    <t>94</t>
  </si>
  <si>
    <t>Sie haben nicht unbegrenzte soziale Verpflichtungen , und umsichtige Investitions- und Finanzierungstheorien sind nicht der Nachhaltigkeit untergeordnet .</t>
  </si>
  <si>
    <t>95</t>
  </si>
  <si>
    <t>Aber sie sind kompatibel .</t>
  </si>
  <si>
    <t>96</t>
  </si>
  <si>
    <t>Ich spreche hier also nicht über Kompromisse .</t>
  </si>
  <si>
    <t>97</t>
  </si>
  <si>
    <t>Aber institutionelle Investoren sind der Schlüsselfaktor für Nachhaltigkeit .</t>
  </si>
  <si>
    <t>98</t>
  </si>
  <si>
    <t>Warum sind sie der Schlüssel ?</t>
  </si>
  <si>
    <t>99</t>
  </si>
  <si>
    <t>Die Antwort ist ganz einfach : Sie haben das Geld .</t>
  </si>
  <si>
    <t>100</t>
  </si>
  <si>
    <t>( Gelächter ) Eine ganze Menge Geld .</t>
  </si>
  <si>
    <t>101</t>
  </si>
  <si>
    <t>Ich meine , wirklich viel Geld .</t>
  </si>
  <si>
    <t>(orig: Expansion.Substitution.Arg2-as-subst)</t>
  </si>
  <si>
    <t>102</t>
  </si>
  <si>
    <t>Der globale Aktienmarkt umfasst 55 Billionen Dollar .</t>
  </si>
  <si>
    <t>103</t>
  </si>
  <si>
    <t>Der globale Rentenmarkt 78 Billionen Dollar .</t>
  </si>
  <si>
    <t>104</t>
  </si>
  <si>
    <t>(in sum)</t>
  </si>
  <si>
    <t>Das sind zusammen 133 Billionen .</t>
  </si>
  <si>
    <t>broad</t>
  </si>
  <si>
    <t>(orig: Expansion.Level-of-detail.Arg1-as-detail)</t>
  </si>
  <si>
    <t>105</t>
  </si>
  <si>
    <t>(in comparison)</t>
  </si>
  <si>
    <t>Das ist achteinhalb Mal das BIP der USA .</t>
  </si>
  <si>
    <t>Similarity</t>
  </si>
  <si>
    <t>(orig: Comparison.Similarity)</t>
  </si>
  <si>
    <t>106</t>
  </si>
  <si>
    <t>Das ist die größte Volkswirtschaft der Welt .</t>
  </si>
  <si>
    <t>107</t>
  </si>
  <si>
    <t>Das ist schon gigantisch viel Feuerkraft .</t>
  </si>
  <si>
    <t>108</t>
  </si>
  <si>
    <t>Damit können wir ganz anders an einige dringende Herausforderungen herangehen , wie frisches Wasser , saubere Luft , Nahrung für 10 Milliarden Münder .</t>
  </si>
  <si>
    <t>109</t>
  </si>
  <si>
    <t>Wenn nur institutionelle Anleger die ESG in ihre Investitionen integrieren .</t>
  </si>
  <si>
    <t>110</t>
  </si>
  <si>
    <t>Was wäre , wenn sie diese Feuerkraft nutzten und mehr von ihrem Kapital in Unternehmen investierten , die am härtesten an der Lösung dieser Probleme arbeiten , oder sie zumindest nicht verschärfen ?</t>
  </si>
  <si>
    <t>111</t>
  </si>
  <si>
    <t>Was haben wir davon , wenn wir arbeiten , sparen und investieren , nur um im Ruhestand eine Welt vorzufinden , die angespannter und unsicherer ist als jetzt ?</t>
  </si>
  <si>
    <t>112</t>
  </si>
  <si>
    <t>Wenn saubere Luft und frisches Wasser fehlen ?</t>
  </si>
  <si>
    <t>113</t>
  </si>
  <si>
    <t>(on the other hand)</t>
  </si>
  <si>
    <t>Eine berechtigte Frage könnte sein : Und wenn das ganze Nachhaltigkeits-Risiko-Gerede übertrieben und nicht dringlich ist ?</t>
  </si>
  <si>
    <t>114</t>
  </si>
  <si>
    <t>Wenn es nur etwas für tugendhafte Verbraucher oder eine reine Frage des Lebensstils ist ?</t>
  </si>
  <si>
    <t>115</t>
  </si>
  <si>
    <t>Präsident John F. Kennedy sagte dazu das einzig Richtige : " Aktionsprogramme bergen Risiken und Kosten , aber sie sind weit geringer als die langfristigen Risiken und Kosten der bequemen Untätigkeit . "</t>
  </si>
  <si>
    <t>116</t>
  </si>
  <si>
    <t>Sicher gibt es ein Schätzrisiko , aber da dies alles auf breitem wissenschaftlichen Konsens beruht , ist die Chance , dass es nicht völlig falsch ist , höher als die Wahrscheinlichkeit , dass unser Haus abbrennt oder wir einem Autounfall haben .</t>
  </si>
  <si>
    <t>117</t>
  </si>
  <si>
    <t>(except)</t>
  </si>
  <si>
    <t>Nun , vielleicht nicht , wenn Sie in Boston leben .</t>
  </si>
  <si>
    <t>(orig: Expansion.Exception.Arg2-as-excpt)</t>
  </si>
  <si>
    <t>118</t>
  </si>
  <si>
    <t>( Gelächter ) Es ist doch so : Wir schließen Versicherungen ab , um für diese Fälle finanziell gerüstet zu sein , oder ?</t>
  </si>
  <si>
    <t>119</t>
  </si>
  <si>
    <t>Durch nachhaltiges Investieren tun wir zwei Dinge .</t>
  </si>
  <si>
    <t>120</t>
  </si>
  <si>
    <t>(namely)</t>
  </si>
  <si>
    <t>Wir schaffen eine Versicherung , verringern die Gefahr für unseren Planeten und für unsere Wirtschaft , und gleichzeitig müssen wir kurzfristig nicht auf Leistung verzichten .</t>
  </si>
  <si>
    <t>121</t>
  </si>
  <si>
    <t>[ Comic : " Was , wenn das alles bloß Schwindel ist und wir schaffen ohne Grund eine bessere Welt ? " ]</t>
  </si>
  <si>
    <t>122</t>
  </si>
  <si>
    <t>Gut , er gefällt Ihnen .</t>
  </si>
  <si>
    <t>123</t>
  </si>
  <si>
    <t>(also)</t>
  </si>
  <si>
    <t>Ich mag ihn auch .</t>
  </si>
  <si>
    <t>124</t>
  </si>
  <si>
    <t>( Gelächter ) Ich mag ihn , weil er sich über beide Lager des Klimawandels lustig macht .</t>
  </si>
  <si>
    <t>125</t>
  </si>
  <si>
    <t>Ich wette , Sie erraten nicht , auf welcher Seite ich stehe .</t>
  </si>
  <si>
    <t>126</t>
  </si>
  <si>
    <t>Ich mag es besonders , weil er mich an Mark Twain erinnert , der sagte : " Plane für die Zukunft , denn dort wirst du den Rest deines Lebens verbringen . "</t>
  </si>
  <si>
    <t>127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</si>
  <si>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</si>
  <si>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</si>
  <si>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</si>
  <si>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</si>
  <si>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</si>
  <si>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</si>
  <si>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</si>
  <si>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</si>
  <si>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</si>
  <si>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</si>
  <si>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</si>
  <si>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</si>
  <si>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</si>
  <si>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</si>
  <si>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</si>
  <si>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</si>
  <si>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</si>
  <si>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</si>
  <si>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</si>
  <si>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</si>
  <si>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</si>
  <si>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</si>
  <si>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</t>
  </si>
  <si>
    <t>.</t>
  </si>
  <si>
    <t># text = Sie verändert sich wirklich tiefgreifend .</t>
  </si>
  <si>
    <t>Sie</t>
  </si>
  <si>
    <t>pron.pper</t>
  </si>
  <si>
    <t>verändert</t>
  </si>
  <si>
    <t>sich</t>
  </si>
  <si>
    <t>OBJ</t>
  </si>
  <si>
    <t>wirklich</t>
  </si>
  <si>
    <t>tiefgreifend</t>
  </si>
  <si>
    <t># text = Und ich befürchte , dass Investoren einigen der größten Veränderungen nicht genügend Aufmerksamkeit schenken .</t>
  </si>
  <si>
    <t>Und</t>
  </si>
  <si>
    <t>ich</t>
  </si>
  <si>
    <t>befürchte</t>
  </si>
  <si>
    <t>,</t>
  </si>
  <si>
    <t>dass</t>
  </si>
  <si>
    <t>Investoren</t>
  </si>
  <si>
    <t>SBJ_2</t>
  </si>
  <si>
    <t>indef-np.bare</t>
  </si>
  <si>
    <t>einigen</t>
  </si>
  <si>
    <t>OBJ_2</t>
  </si>
  <si>
    <t>pron.pind</t>
  </si>
  <si>
    <t>der</t>
  </si>
  <si>
    <t>größten</t>
  </si>
  <si>
    <t>Veränderungen</t>
  </si>
  <si>
    <t>other_3</t>
  </si>
  <si>
    <t>nicht</t>
  </si>
  <si>
    <t>genügend</t>
  </si>
  <si>
    <t>Aufmerksamkeit</t>
  </si>
  <si>
    <t>indef-np.quant</t>
  </si>
  <si>
    <t>schenken</t>
  </si>
  <si>
    <t># text = Insbesondere wenn es um Nachhaltigkeit geht .</t>
  </si>
  <si>
    <t>Insbesondere</t>
  </si>
  <si>
    <t>wenn</t>
  </si>
  <si>
    <t>es</t>
  </si>
  <si>
    <t>um</t>
  </si>
  <si>
    <t>Nachhaltigkeit</t>
  </si>
  <si>
    <t>geht</t>
  </si>
  <si>
    <t># text = Mit Nachhaltigkeit meine ich die wirklich heißen Themen wie ökologische und soziale Fragen und grundlegende Unternehmensführung .</t>
  </si>
  <si>
    <t>Mit</t>
  </si>
  <si>
    <t>meine</t>
  </si>
  <si>
    <t>other_2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</si>
  <si>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</si>
  <si>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</si>
  <si>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</si>
  <si>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</si>
  <si>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</si>
  <si>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</si>
  <si>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</si>
  <si>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</si>
  <si>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</si>
  <si>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</si>
  <si>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</si>
  <si>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# text = Es ist leichtsinnig , diese Dinge zu ignorieren , denn das kann künftige langfristige Renditen gefährden .</t>
  </si>
  <si>
    <t>Es</t>
  </si>
  <si>
    <t>leichtsinnig</t>
  </si>
  <si>
    <t>diese</t>
  </si>
  <si>
    <t>pron.pds</t>
  </si>
  <si>
    <t>Dinge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</si>
  <si>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</si>
  <si>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</si>
  <si>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</si>
  <si>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</si>
  <si>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</si>
  <si>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</si>
  <si>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</si>
  <si>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</si>
  <si>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</si>
  <si>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# text = Vielleicht sind Sie jetzt überrascht : Die ausgleichende Macht , die wirklich Einfluss auf Nachhaltigkeit hat , liegt bei institutionellen Investoren , den großen Investoren wie Pensionsfonds und Stiftungen .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</si>
  <si>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</si>
  <si>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</si>
  <si>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</si>
  <si>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</si>
  <si>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</si>
  <si>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</si>
  <si>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</si>
  <si>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</si>
  <si>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</si>
  <si>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</si>
  <si>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</si>
  <si>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</si>
  <si>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</si>
  <si>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</si>
  <si>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</si>
  <si>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</si>
  <si>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</si>
  <si>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# text = Ich glaube , dass nachhaltiges Investieren weniger kompliziert ist , als Sie denken , besser abschneidet , als Sie glauben , und wichtiger ist , als wir uns vorstellen können .</t>
  </si>
  <si>
    <t>Ich</t>
  </si>
  <si>
    <t>glaube</t>
  </si>
  <si>
    <t>nachhaltiges</t>
  </si>
  <si>
    <t>Investieren</t>
  </si>
  <si>
    <t>weniger</t>
  </si>
  <si>
    <t>kompliziert</t>
  </si>
  <si>
    <t>als</t>
  </si>
  <si>
    <t>SBJ_3</t>
  </si>
  <si>
    <t>denken</t>
  </si>
  <si>
    <t>besser</t>
  </si>
  <si>
    <t>abschneidet</t>
  </si>
  <si>
    <t>glauben</t>
  </si>
  <si>
    <t>wichtiger</t>
  </si>
  <si>
    <t>wir</t>
  </si>
  <si>
    <t>pron</t>
  </si>
  <si>
    <t>uns</t>
  </si>
  <si>
    <t>vorstellen</t>
  </si>
  <si>
    <t>können</t>
  </si>
  <si>
    <t># text = Halten wir uns einige bekannte Tatsachen vor Augen : Die Bevölkerung wächst und altert ; es gibt 7 Milliarden Menschen auf der Erde , und am Ende des Jahrhunderts werden es 10 Milliarden sein .</t>
  </si>
  <si>
    <t>Halten</t>
  </si>
  <si>
    <t>einige</t>
  </si>
  <si>
    <t>bekannte</t>
  </si>
  <si>
    <t>Tatsachen</t>
  </si>
  <si>
    <t>vor</t>
  </si>
  <si>
    <t>Augen</t>
  </si>
  <si>
    <t>Bevölkerung</t>
  </si>
  <si>
    <t>SBJ_4</t>
  </si>
  <si>
    <t>wächst</t>
  </si>
  <si>
    <t>altert</t>
  </si>
  <si>
    <t>;</t>
  </si>
  <si>
    <t>gibt</t>
  </si>
  <si>
    <t>Milliarden</t>
  </si>
  <si>
    <t>other_6</t>
  </si>
  <si>
    <t>Menschen</t>
  </si>
  <si>
    <t>SBJ_5</t>
  </si>
  <si>
    <t>Erde</t>
  </si>
  <si>
    <t>other_5</t>
  </si>
  <si>
    <t>an</t>
  </si>
  <si>
    <t>Ende</t>
  </si>
  <si>
    <t>des</t>
  </si>
  <si>
    <t>Jahrhunderts</t>
  </si>
  <si>
    <t>werden</t>
  </si>
  <si>
    <t>sein</t>
  </si>
  <si>
    <t># text = Wir verbrauchen die natürlichen Ressourcen schneller , als sie sich regenerieren können .</t>
  </si>
  <si>
    <t>Wir</t>
  </si>
  <si>
    <t>verbrauchen</t>
  </si>
  <si>
    <t>natürlichen</t>
  </si>
  <si>
    <t>Ressourcen</t>
  </si>
  <si>
    <t>schneller</t>
  </si>
  <si>
    <t>sie</t>
  </si>
  <si>
    <t>regenerieren</t>
  </si>
  <si>
    <t># text = Und die Emissionen , die für den Klimawandel hauptverantwortlich sind , nehmen weiter zu .</t>
  </si>
  <si>
    <t>Emissionen</t>
  </si>
  <si>
    <t>für</t>
  </si>
  <si>
    <t>Klimawandel</t>
  </si>
  <si>
    <t>hauptverantwortlich</t>
  </si>
  <si>
    <t>nehmen</t>
  </si>
  <si>
    <t>weiter</t>
  </si>
  <si>
    <t># text = Das sind ganz klar Umweltthemen und soziale Themen , aber das ist noch nicht alles .</t>
  </si>
  <si>
    <t>Das</t>
  </si>
  <si>
    <t>ganz</t>
  </si>
  <si>
    <t>klar</t>
  </si>
  <si>
    <t>Umweltthemen</t>
  </si>
  <si>
    <t>aber</t>
  </si>
  <si>
    <t>noch</t>
  </si>
  <si>
    <t>alles</t>
  </si>
  <si>
    <t># text = Es sind auch Wirtschaftsthemen .</t>
  </si>
  <si>
    <t>auch</t>
  </si>
  <si>
    <t>Wirtschaftsthemen</t>
  </si>
  <si>
    <t># text = Und deshalb sind sie für die Risiko- und Renditebewertung sehr wichtig .</t>
  </si>
  <si>
    <t>deshalb</t>
  </si>
  <si>
    <t>Risiko</t>
  </si>
  <si>
    <t>ne</t>
  </si>
  <si>
    <t>Renditebewertung</t>
  </si>
  <si>
    <t>sehr</t>
  </si>
  <si>
    <t>wichtig</t>
  </si>
  <si>
    <t># text = Sie sind sehr komplex und scheinen schwer verständlich , sodass die Versuchung groß sein kann , genau das hier zu tun : den Kopf in den Sand zu stecken und nicht darüber nachzudenken .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</si>
  <si>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</si>
  <si>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</si>
  <si>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</si>
  <si>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</si>
  <si>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</si>
  <si>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</si>
  <si>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</si>
  <si>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</si>
  <si>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OBJ_3</t>
  </si>
  <si>
    <t>hier</t>
  </si>
  <si>
    <t>tun</t>
  </si>
  <si>
    <t>Kopf</t>
  </si>
  <si>
    <t>OBJ_4</t>
  </si>
  <si>
    <t>Sand</t>
  </si>
  <si>
    <t>other_4</t>
  </si>
  <si>
    <t>stecken</t>
  </si>
  <si>
    <t>darüber</t>
  </si>
  <si>
    <t>nachzudenken</t>
  </si>
  <si>
    <t># text = Tun Sie das möglichst nicht .</t>
  </si>
  <si>
    <t>Tun</t>
  </si>
  <si>
    <t>möglichst</t>
  </si>
  <si>
    <t># text = Bitte zu Hause nicht nachmachen .</t>
  </si>
  <si>
    <t>Bitte</t>
  </si>
  <si>
    <t>Hause</t>
  </si>
  <si>
    <t>nachmachen</t>
  </si>
  <si>
    <t># text = ( Gelächter ) Aber ich frage mich wirklich , ob die Anlagestrategien von heute für die Zwecke von morgen geeignet sind .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</si>
  <si>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</si>
  <si>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</si>
  <si>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</si>
  <si>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</si>
  <si>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</si>
  <si>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</si>
  <si>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</si>
  <si>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</si>
  <si>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</si>
  <si>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</si>
  <si>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</si>
  <si>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</si>
  <si>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</si>
  <si>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# text = Wir wissen , wenn Investoren sich ein Unternehmen anschauen und entscheiden , ob sie investieren , schauen sie sich Finanzdaten an .</t>
  </si>
  <si>
    <t>wissen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</si>
  <si>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</si>
  <si>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</si>
  <si>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</si>
  <si>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</si>
  <si>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</si>
  <si>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</si>
  <si>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</si>
  <si>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</si>
  <si>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# text = Metriken wie Umsatzwachstum , Cashflow , Marktanteil , Bewertung -- Sie wissen schon , die wirklich attraktiven Sachen .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</si>
  <si>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</si>
  <si>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</si>
  <si>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</si>
  <si>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</si>
  <si>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</si>
  <si>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</si>
  <si>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</si>
  <si>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</si>
  <si>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# text = Diese Dinge sind natürlich wichtig , aber sie sind nicht genug .</t>
  </si>
  <si>
    <t>Diese</t>
  </si>
  <si>
    <t>def-np.dem</t>
  </si>
  <si>
    <t>natürlich</t>
  </si>
  <si>
    <t>genug</t>
  </si>
  <si>
    <t># text = Anleger sollten auch auf Leistungsmetriken wie ESG achten : Umwelt , Soziales und Unternehmensführung .</t>
  </si>
  <si>
    <t>Anleger</t>
  </si>
  <si>
    <t>sollten</t>
  </si>
  <si>
    <t>Leistungsmetriken</t>
  </si>
  <si>
    <t>def-np.poss</t>
  </si>
  <si>
    <t>ESG</t>
  </si>
  <si>
    <t>achten</t>
  </si>
  <si>
    <t>Umwelt</t>
  </si>
  <si>
    <t>Soziales</t>
  </si>
  <si>
    <t>--</t>
  </si>
  <si>
    <t># text = \" Umwelt \" umfasst Energieverbrauch , Wassernutzung , Abfall und Umweltverschmutzung , kurz : die effiziente Nutzung von Ressourcen .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</si>
  <si>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</si>
  <si>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</si>
  <si>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</si>
  <si>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</si>
  <si>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</si>
  <si>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</si>
  <si>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</si>
  <si>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</si>
  <si>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</si>
  <si>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# text = \" Soziales \" beinhaltet Humankapital , Dinge wie Mitarbeiter-Engagement und Innovationsfähigkeit sowie Supply-Chain-Management und Arbeits- und Menschenrechte .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</si>
  <si>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</si>
  <si>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</si>
  <si>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</si>
  <si>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</si>
  <si>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</si>
  <si>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</si>
  <si>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</si>
  <si>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</si>
  <si>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</si>
  <si>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</si>
  <si>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</si>
  <si>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# text = " Unternehmensführung " bedeutet die Aufsicht über das Unternehmen durch den Vorstand und Investoren .</t>
  </si>
  <si>
    <t>bedeutet</t>
  </si>
  <si>
    <t>Aufsicht</t>
  </si>
  <si>
    <t>über</t>
  </si>
  <si>
    <t>durch</t>
  </si>
  <si>
    <t>Vorstand</t>
  </si>
  <si>
    <t># text = Ich habe zuvor gesagt , es geht um die wirklich heißen Dinge .</t>
  </si>
  <si>
    <t>habe</t>
  </si>
  <si>
    <t>zuvor</t>
  </si>
  <si>
    <t>gesagt</t>
  </si>
  <si>
    <t># text = Aber ESG ist das Maß für Nachhaltigkeit , und nachhaltiges Investieren berücksichtigt ESG-Faktoren und finanzielle Faktoren beim Anlageprozess .</t>
  </si>
  <si>
    <t>Maß</t>
  </si>
  <si>
    <t>berücksichtigt</t>
  </si>
  <si>
    <t>Faktoren</t>
  </si>
  <si>
    <t>finanzielle</t>
  </si>
  <si>
    <t>Anlageprozess</t>
  </si>
  <si>
    <t># text = Damit können künftige Risiken durch Minimierung von Schäden an Personen und am Planeten begrenzt und Kapital für die Nutzer bereitgestellt werden , die es für produktive und nachhaltige Ergebnisse einsetzen .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</si>
  <si>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</si>
  <si>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</si>
  <si>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</si>
  <si>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</si>
  <si>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</si>
  <si>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</si>
  <si>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</si>
  <si>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</si>
  <si>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</si>
  <si>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</si>
  <si>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</si>
  <si>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</si>
  <si>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</si>
  <si>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</si>
  <si>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# text = Wenn also Nachhaltigkeit heute ein Finanzthema ist , und es höchstwahrscheinlich immer relevanter wird , achtet der Privatsektor darauf ?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</si>
  <si>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</si>
  <si>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</si>
  <si>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</si>
  <si>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</si>
  <si>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</si>
  <si>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</si>
  <si>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</si>
  <si>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</si>
  <si>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</si>
  <si>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</si>
  <si>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</si>
  <si>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# text = Wirklich cool ist , dass die meisten CEOs darauf achten .</t>
  </si>
  <si>
    <t>Wirklich</t>
  </si>
  <si>
    <t>cool</t>
  </si>
  <si>
    <t>meisten</t>
  </si>
  <si>
    <t>CEOs</t>
  </si>
  <si>
    <t># text = Sie begannen , Nachhaltigkeit nicht nur als wichtig , sondern als entscheidend für den Geschäftserfolg zu sehen .</t>
  </si>
  <si>
    <t>begannen</t>
  </si>
  <si>
    <t>nur</t>
  </si>
  <si>
    <t>sondern</t>
  </si>
  <si>
    <t>entscheidend</t>
  </si>
  <si>
    <t>Geschäftserfolg</t>
  </si>
  <si>
    <t>sehen</t>
  </si>
  <si>
    <t># text = Ungefähr 80 % der CEOs weltweit sehen in Nachhaltigkeit die Wurzel für Innovations-Wachstum , was zu einem Wettbewerbsvorteil in ihren Branchen führt .</t>
  </si>
  <si>
    <t>Ungefähr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</si>
  <si>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</si>
  <si>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</si>
  <si>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</si>
  <si>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</si>
  <si>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</si>
  <si>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</si>
  <si>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</si>
  <si>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</si>
  <si>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</si>
  <si>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</si>
  <si>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</si>
  <si>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</si>
  <si>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# text = Aber 93 % sehen ESG als die Zukunft oder als wichtig für die Zukunft ihres Unternehmens .</t>
  </si>
  <si>
    <t>Zukunft</t>
  </si>
  <si>
    <t>oder</t>
  </si>
  <si>
    <t>ihres</t>
  </si>
  <si>
    <t>Unternehmens</t>
  </si>
  <si>
    <t># text = Also die CEOs sehen das ganz klar .</t>
  </si>
  <si>
    <t>Also</t>
  </si>
  <si>
    <t># text = Nachhaltigkeit bietet enorme Möglichkeiten .</t>
  </si>
  <si>
    <t>bietet</t>
  </si>
  <si>
    <t>enorme</t>
  </si>
  <si>
    <t>Möglichkeiten</t>
  </si>
  <si>
    <t># text = Wie nutzen Unternehmen ESG , um harte Geschäftsergebnisse zu erzielen ?</t>
  </si>
  <si>
    <t>Wie</t>
  </si>
  <si>
    <t>nutzen</t>
  </si>
  <si>
    <t>harte</t>
  </si>
  <si>
    <t>Geschäftsergebnisse</t>
  </si>
  <si>
    <t>erzielen</t>
  </si>
  <si>
    <t># text = Ein Beispiel geht uns besonders zu Herzen .</t>
  </si>
  <si>
    <t>Ein</t>
  </si>
  <si>
    <t>Beispiel</t>
  </si>
  <si>
    <t>besonders</t>
  </si>
  <si>
    <t>Herzen</t>
  </si>
  <si>
    <t># text = Im Jahr 2012 hat State Street 54 Anwendungsprogramme in die Cloud-Umgebung migriert und weitere 85 Programme eingestellt .</t>
  </si>
  <si>
    <t>In</t>
  </si>
  <si>
    <t>Jahr</t>
  </si>
  <si>
    <t>def-np.quant</t>
  </si>
  <si>
    <t>2012</t>
  </si>
  <si>
    <t>State</t>
  </si>
  <si>
    <t>Street</t>
  </si>
  <si>
    <t>Anwendungsprogramme</t>
  </si>
  <si>
    <t>Cloud</t>
  </si>
  <si>
    <t>Umgebung</t>
  </si>
  <si>
    <t>migriert</t>
  </si>
  <si>
    <t>weitere</t>
  </si>
  <si>
    <t>Programme</t>
  </si>
  <si>
    <t>eingestellt</t>
  </si>
  <si>
    <t># text = Wir virtualisierten die Arbeitsumgebungen und stellten zahlreiche Automatisierungsprojekte fertig .</t>
  </si>
  <si>
    <t>virtualisierten</t>
  </si>
  <si>
    <t>Arbeitsumgebungen</t>
  </si>
  <si>
    <t>stellten</t>
  </si>
  <si>
    <t>zahlreiche</t>
  </si>
  <si>
    <t>Automatisierungsprojekte</t>
  </si>
  <si>
    <t>fertig</t>
  </si>
  <si>
    <t># text = Diese Initiativen schaffen einen mobileren Arbeitsplatz und reduzieren unseren Immobilien-Bedarf .</t>
  </si>
  <si>
    <t>Initiativen</t>
  </si>
  <si>
    <t>schaffen</t>
  </si>
  <si>
    <t>einen</t>
  </si>
  <si>
    <t>mobileren</t>
  </si>
  <si>
    <t>Arbeitsplatz</t>
  </si>
  <si>
    <t>reduzieren</t>
  </si>
  <si>
    <t>unseren</t>
  </si>
  <si>
    <t>Immobilien</t>
  </si>
  <si>
    <t>Bedarf</t>
  </si>
  <si>
    <t># text = Dadurch werden jährlich 23 Mio.</t>
  </si>
  <si>
    <t>Dadurch</t>
  </si>
  <si>
    <t>jährlich</t>
  </si>
  <si>
    <t>Mio</t>
  </si>
  <si>
    <t># text = Dollar an Betriebskosten gespart und die Emission von 100 000 Tonnen Kohlenstoff vermieden .</t>
  </si>
  <si>
    <t>Dollar</t>
  </si>
  <si>
    <t>Betriebskosten</t>
  </si>
  <si>
    <t>gespart</t>
  </si>
  <si>
    <t>Emission</t>
  </si>
  <si>
    <t>000</t>
  </si>
  <si>
    <t>Tonnen</t>
  </si>
  <si>
    <t>Kohlenstoff</t>
  </si>
  <si>
    <t>vermieden</t>
  </si>
  <si>
    <t># text = Das sind 21 000 Autos weniger auf den Straßen .</t>
  </si>
  <si>
    <t>Autos</t>
  </si>
  <si>
    <t>Straßen</t>
  </si>
  <si>
    <t># text = Genial , oder ?</t>
  </si>
  <si>
    <t>Genial</t>
  </si>
  <si>
    <t># text = Ein weiteres Beispiel ist Pentair .</t>
  </si>
  <si>
    <t>weiteres</t>
  </si>
  <si>
    <t>Pentair</t>
  </si>
  <si>
    <t># text = Pentair ist ein US-Mischkonzern .</t>
  </si>
  <si>
    <t>US</t>
  </si>
  <si>
    <t>Mischkonzern</t>
  </si>
  <si>
    <t># text = Vor etwa einem Jahrzehnt verkauften sie ihr Kerngeschäft , Heimwerker-Geräte , und investierten die Einnahmen ins Wassergeschäft .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</si>
  <si>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</si>
  <si>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</si>
  <si>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</si>
  <si>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</si>
  <si>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</si>
  <si>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</si>
  <si>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</si>
  <si>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</si>
  <si>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</si>
  <si>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</si>
  <si>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</si>
  <si>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# text = Das ist ein wirklich großer Einsatz .</t>
  </si>
  <si>
    <t>großer</t>
  </si>
  <si>
    <t>Einsatz</t>
  </si>
  <si>
    <t># text = Warum haben sie das getan ?</t>
  </si>
  <si>
    <t>Warum</t>
  </si>
  <si>
    <t>haben</t>
  </si>
  <si>
    <t>getan</t>
  </si>
  <si>
    <t># text =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</si>
  <si>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Fans</t>
  </si>
  <si>
    <t>mögen</t>
  </si>
  <si>
    <t>entschuldigen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</si>
  <si>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</si>
  <si>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</si>
  <si>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</si>
  <si>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</si>
  <si>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</si>
  <si>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</si>
  <si>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</si>
  <si>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</si>
  <si>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</si>
  <si>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</si>
  <si>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</si>
  <si>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</si>
  <si>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</si>
  <si>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</si>
  <si>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# text = Jetzt fragen Sie sich vielleicht , sind das denn nicht nur Einzelfälle ?</t>
  </si>
  <si>
    <t>Jetzt</t>
  </si>
  <si>
    <t>fragen</t>
  </si>
  <si>
    <t>vielleicht</t>
  </si>
  <si>
    <t>Einzelfälle</t>
  </si>
  <si>
    <t># text = Ich meine , mal ehrlich , stehen Unternehmen , die Nachhaltigkeit berücksichtigen , finanziell tatsächlich gut da ?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</si>
  <si>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</si>
  <si>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</si>
  <si>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</si>
  <si>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</si>
  <si>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</si>
  <si>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</si>
  <si>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</si>
  <si>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</si>
  <si>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# text = Die überraschende Antwort ist ja .</t>
  </si>
  <si>
    <t>überraschende</t>
  </si>
  <si>
    <t>Antwort</t>
  </si>
  <si>
    <t>ja</t>
  </si>
  <si>
    <t># text = Die Daten zeigen , dass Aktien mit besserer ESG-Leistung genauso gut abschneiden wie andere .</t>
  </si>
  <si>
    <t>Daten</t>
  </si>
  <si>
    <t>zeigen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</si>
  <si>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</si>
  <si>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</si>
  <si>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</si>
  <si>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</si>
  <si>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</si>
  <si>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</si>
  <si>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</si>
  <si>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</si>
  <si>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</si>
  <si>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</si>
  <si>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</si>
  <si>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</si>
  <si>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</si>
  <si>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</si>
  <si>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</si>
  <si>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</si>
  <si>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# text = Und in Gold sehen wir die Teilmenge von Unternehmen mit der besten ESG-Leistung .</t>
  </si>
  <si>
    <t>Gold</t>
  </si>
  <si>
    <t>Teilmenge</t>
  </si>
  <si>
    <t>besten</t>
  </si>
  <si>
    <t># text = Seit über drei Jahren kein Leistungskompromiss .</t>
  </si>
  <si>
    <t>Seit</t>
  </si>
  <si>
    <t>drei</t>
  </si>
  <si>
    <t>Jahren</t>
  </si>
  <si>
    <t>kein</t>
  </si>
  <si>
    <t>Leistungskompromiss</t>
  </si>
  <si>
    <t># text = Das ist doch okay , oder ?</t>
  </si>
  <si>
    <t>doch</t>
  </si>
  <si>
    <t>okay</t>
  </si>
  <si>
    <t># text = Aber wir wollen mehr .</t>
  </si>
  <si>
    <t>wollen</t>
  </si>
  <si>
    <t># text = Ich will mehr .</t>
  </si>
  <si>
    <t>will</t>
  </si>
  <si>
    <t># text = In einigen Fällen ist ESG ein Indikator für überdurchschnittliche Wertentwicklung .</t>
  </si>
  <si>
    <t>Fällen</t>
  </si>
  <si>
    <t>Indikator</t>
  </si>
  <si>
    <t>überdurchschnittliche</t>
  </si>
  <si>
    <t>Wertentwicklung</t>
  </si>
  <si>
    <t># text = In Blau sehen wir die Leistung der 500 größten globalen Unternehmen und in Gold sehen wir eine Teilmenge von Unternehmen mit guter Klimaschutzstrategie und Risikomanagement .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</si>
  <si>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</si>
  <si>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</si>
  <si>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</si>
  <si>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</si>
  <si>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</si>
  <si>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</si>
  <si>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</t>
  </si>
  <si>
    <t>fast</t>
  </si>
  <si>
    <t>acht</t>
  </si>
  <si>
    <t>übertreffen</t>
  </si>
  <si>
    <t>rund</t>
  </si>
  <si>
    <t>zwei</t>
  </si>
  <si>
    <t>Drittel</t>
  </si>
  <si>
    <t># text = Zugegeben , das ist eine Korrelation , kein Kausalzusammenhang .</t>
  </si>
  <si>
    <t>Zugegeben</t>
  </si>
  <si>
    <t>Korrelation</t>
  </si>
  <si>
    <t>Kausalzusammenhang</t>
  </si>
  <si>
    <t># text = Aber es macht deutlich , dass umweltorientierte Führung mit guten Renditen kompatibel ist .</t>
  </si>
  <si>
    <t>macht</t>
  </si>
  <si>
    <t>deutlich</t>
  </si>
  <si>
    <t>umweltorientierte</t>
  </si>
  <si>
    <t>Führung</t>
  </si>
  <si>
    <t>guten</t>
  </si>
  <si>
    <t>kompatibel</t>
  </si>
  <si>
    <t># text = Wenn die Erträge gleich oder besser sind , und es gut für den Planeten ist , sollte es nicht Standard sein ?</t>
  </si>
  <si>
    <t>Erträge</t>
  </si>
  <si>
    <t>gleich</t>
  </si>
  <si>
    <t>sollte</t>
  </si>
  <si>
    <t>Standard</t>
  </si>
  <si>
    <t># text = Engagieren sich Investoren , insbesondere institutionelle Investoren ?</t>
  </si>
  <si>
    <t>Engagieren</t>
  </si>
  <si>
    <t>insbesondere</t>
  </si>
  <si>
    <t>institutionelle</t>
  </si>
  <si>
    <t># text = Nun , einige tun es , und ein paar sind wirkliche Vorreiter .</t>
  </si>
  <si>
    <t>Nun</t>
  </si>
  <si>
    <t>paar</t>
  </si>
  <si>
    <t>wirkliche</t>
  </si>
  <si>
    <t>Vorreiter</t>
  </si>
  <si>
    <t># text = Hesta .</t>
  </si>
  <si>
    <t>Hesta</t>
  </si>
  <si>
    <t># text = Hesta ist ein Pensionsfonds für Mitarbeiter im Gesundheitswesen und im öffentlichen Dienst in Australien , mit einem Vermögen von 22 Mrd.</t>
  </si>
  <si>
    <t>Gesundheitswesen</t>
  </si>
  <si>
    <t>öffentlichen</t>
  </si>
  <si>
    <t>Dienst</t>
  </si>
  <si>
    <t>Australien</t>
  </si>
  <si>
    <t>Vermögen</t>
  </si>
  <si>
    <t>Mrd</t>
  </si>
  <si>
    <t># text = [ Dollar ] .</t>
  </si>
  <si>
    <t>[</t>
  </si>
  <si>
    <t>]</t>
  </si>
  <si>
    <t># text = Sie glauben , dass ESG das Potenzial hat , Risiken und Erträge zu beeinflussen .</t>
  </si>
  <si>
    <t>Potenzial</t>
  </si>
  <si>
    <t>beeinflussen</t>
  </si>
  <si>
    <t># text = Deshalb sehen sie es als ihre Pflicht an , das beim Investment mit einzubeziehen .</t>
  </si>
  <si>
    <t>Deshalb</t>
  </si>
  <si>
    <t>ihre</t>
  </si>
  <si>
    <t>Pflicht</t>
  </si>
  <si>
    <t>Investment</t>
  </si>
  <si>
    <t>einzubeziehen</t>
  </si>
  <si>
    <t># text = Im besten Interesse der Fondsmitglieder handeln , das ist ihre Kernaufgabe .</t>
  </si>
  <si>
    <t>Interesse</t>
  </si>
  <si>
    <t>Fondsmitglieder</t>
  </si>
  <si>
    <t>handeln</t>
  </si>
  <si>
    <t>Kernaufgabe</t>
  </si>
  <si>
    <t># text = Man muss sie einfach lieben , die Australier , oder ?</t>
  </si>
  <si>
    <t>Man</t>
  </si>
  <si>
    <t>muss</t>
  </si>
  <si>
    <t>einfach</t>
  </si>
  <si>
    <t>lieben</t>
  </si>
  <si>
    <t>Australier</t>
  </si>
  <si>
    <t># text = CalPERS ist ein weiteres Beispiel .</t>
  </si>
  <si>
    <t>CalPERS</t>
  </si>
  <si>
    <t># text = CalPERS ist der Pensionsfonds für Angestellte im öffentlichen Dienst in Kalifornien .</t>
  </si>
  <si>
    <t>Angestellte</t>
  </si>
  <si>
    <t>Kalifornien</t>
  </si>
  <si>
    <t># text = Mit einem Vermögen von 244 Mrd.</t>
  </si>
  <si>
    <t>244</t>
  </si>
  <si>
    <t># text = [ Dollar ] ist er der zweitgrößte in den USA und der sechstgrößte in der Welt .</t>
  </si>
  <si>
    <t>er</t>
  </si>
  <si>
    <t>zweitgrößte</t>
  </si>
  <si>
    <t>USA</t>
  </si>
  <si>
    <t>sechstgrößte</t>
  </si>
  <si>
    <t># text = Ihre Investitionen in Nachhaltigkeit liegen bei fast 100 % .</t>
  </si>
  <si>
    <t>Ihre</t>
  </si>
  <si>
    <t>Investitionen</t>
  </si>
  <si>
    <t>liegen</t>
  </si>
  <si>
    <t># text = Sie integrieren die ESG systematisch in den gesamten Fonds .</t>
  </si>
  <si>
    <t>integrieren</t>
  </si>
  <si>
    <t>systematisch</t>
  </si>
  <si>
    <t>gesamten</t>
  </si>
  <si>
    <t>Fonds</t>
  </si>
  <si>
    <t># text = Warum ?</t>
  </si>
  <si>
    <t>pron.pint</t>
  </si>
  <si>
    <t># text = Sie glauben , es ist wichtig für größere langfristige Renditen , Punkt .</t>
  </si>
  <si>
    <t>größere</t>
  </si>
  <si>
    <t>Punkt</t>
  </si>
  <si>
    <t># text = Sie sagen : " Langfristige Wertschöpfung erfordert die effiziente Verwaltung dreier Formen des Kapitals : Finanzielles , personelles und physisches Kapital .</t>
  </si>
  <si>
    <t>sagen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</si>
  <si>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</si>
  <si>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</si>
  <si>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</si>
  <si>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</si>
  <si>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</si>
  <si>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</si>
  <si>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</si>
  <si>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</si>
  <si>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</si>
  <si>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</si>
  <si>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# text = Deshalb ist uns ESG wichtig . "</t>
  </si>
  <si>
    <t># text = Bestandteil meiner Arbeit ist , mit vielen Investoren zu sprechen .</t>
  </si>
  <si>
    <t>Bestandteil</t>
  </si>
  <si>
    <t>meiner</t>
  </si>
  <si>
    <t>Arbeit</t>
  </si>
  <si>
    <t>vielen</t>
  </si>
  <si>
    <t>sprechen</t>
  </si>
  <si>
    <t># text = Nicht alle sehen das genauso .</t>
  </si>
  <si>
    <t>Nicht</t>
  </si>
  <si>
    <t>alle</t>
  </si>
  <si>
    <t># text = Oft höre ich : " Wir sind verpflichtet , Gewinne zu maximieren , deshalb machen wir das hier nicht . "</t>
  </si>
  <si>
    <t>Oft</t>
  </si>
  <si>
    <t>höre</t>
  </si>
  <si>
    <t>verpflichtet</t>
  </si>
  <si>
    <t>Gewinne</t>
  </si>
  <si>
    <t>maximieren</t>
  </si>
  <si>
    <t>machen</t>
  </si>
  <si>
    <t># text = Oder : " Wir wollen mit dem Portfolio keine Grundsatzerklärungen abgeben . "</t>
  </si>
  <si>
    <t>Oder</t>
  </si>
  <si>
    <t>Portfolio</t>
  </si>
  <si>
    <t>keine</t>
  </si>
  <si>
    <t>Grundsatzerklärungen</t>
  </si>
  <si>
    <t>abgeben</t>
  </si>
  <si>
    <t># text = Die folgende Aussage geht mir wirklich unter die Haut : \" Wenn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</si>
  <si>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</si>
  <si>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</si>
  <si>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</si>
  <si>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</si>
  <si>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</si>
  <si>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\"</t>
  </si>
  <si>
    <t>verändern</t>
  </si>
  <si>
    <t>verdienen</t>
  </si>
  <si>
    <t>Geld</t>
  </si>
  <si>
    <t>spenden</t>
  </si>
  <si>
    <t>Wohltätigkeitsorganisationen</t>
  </si>
  <si>
    <t># text = Da verdrehe ich die Augen .</t>
  </si>
  <si>
    <t>Da</t>
  </si>
  <si>
    <t>verdrehe</t>
  </si>
  <si>
    <t># text = Lassen Sie mich eins ein für alle Mal klarstellen : Unternehmen und Investoren sind nicht alleine für das Schicksal des Planeten verantwortlich .</t>
  </si>
  <si>
    <t>Lassen</t>
  </si>
  <si>
    <t>eins</t>
  </si>
  <si>
    <t>Mal</t>
  </si>
  <si>
    <t>klarstellen</t>
  </si>
  <si>
    <t>alleine</t>
  </si>
  <si>
    <t>Schicksal</t>
  </si>
  <si>
    <t>verantwortlich</t>
  </si>
  <si>
    <t># text = Sie haben nicht unbegrenzte soziale Verpflichtungen , und umsichtige Investitions- und Finanzierungstheorien sind nicht der Nachhaltigkeit untergeordnet .</t>
  </si>
  <si>
    <t>unbegrenzte</t>
  </si>
  <si>
    <t>Verpflichtungen</t>
  </si>
  <si>
    <t>umsichtige</t>
  </si>
  <si>
    <t>Investitions</t>
  </si>
  <si>
    <t>Finanzierungstheorien</t>
  </si>
  <si>
    <t>untergeordnet</t>
  </si>
  <si>
    <t># text = Aber sie sind kompatibel .</t>
  </si>
  <si>
    <t># text = Ich spreche hier also nicht über Kompromisse .</t>
  </si>
  <si>
    <t>spreche</t>
  </si>
  <si>
    <t>Kompromisse</t>
  </si>
  <si>
    <t># text = Aber institutionelle Investoren sind der Schlüsselfaktor für Nachhaltigkeit .</t>
  </si>
  <si>
    <t>Schlüsselfaktor</t>
  </si>
  <si>
    <t># text = Warum sind sie der Schlüssel ?</t>
  </si>
  <si>
    <t>Schlüssel</t>
  </si>
  <si>
    <t># text = Die Antwort ist ganz einfach : Sie haben das Geld .</t>
  </si>
  <si>
    <t># text = ( Gelächter ) Eine ganze Menge Geld .</t>
  </si>
  <si>
    <t>Eine</t>
  </si>
  <si>
    <t>ganze</t>
  </si>
  <si>
    <t>Menge</t>
  </si>
  <si>
    <t># text = Ich meine , wirklich viel Geld .</t>
  </si>
  <si>
    <t>viel</t>
  </si>
  <si>
    <t># text = Der globale Aktienmarkt umfasst 55 Billionen Dollar .</t>
  </si>
  <si>
    <t>Der</t>
  </si>
  <si>
    <t>globale</t>
  </si>
  <si>
    <t>Aktienmarkt</t>
  </si>
  <si>
    <t>Billionen</t>
  </si>
  <si>
    <t># text = Der globale Rentenmarkt 78 Billionen Dollar .</t>
  </si>
  <si>
    <t>Rentenmarkt</t>
  </si>
  <si>
    <t># text = Das sind zusammen 133 Billionen .</t>
  </si>
  <si>
    <t>zusammen</t>
  </si>
  <si>
    <t>133</t>
  </si>
  <si>
    <t># text = Das ist achteinhalb Mal das BIP der USA .</t>
  </si>
  <si>
    <t>achteinhalb</t>
  </si>
  <si>
    <t>BIP</t>
  </si>
  <si>
    <t># text = Das ist die größte Volkswirtschaft der Welt .</t>
  </si>
  <si>
    <t>größte</t>
  </si>
  <si>
    <t>Volkswirtschaft</t>
  </si>
  <si>
    <t># text = Das ist schon gigantisch viel Feuerkraft .</t>
  </si>
  <si>
    <t>gigantisch</t>
  </si>
  <si>
    <t>Feuerkraft</t>
  </si>
  <si>
    <t># text = Damit können wir ganz anders an einige dringende Herausforderungen herangehen , wie frisches Wasser , saubere Luft , Nahrung für 10 Milliarden Münder .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</si>
  <si>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</si>
  <si>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</si>
  <si>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</si>
  <si>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</si>
  <si>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</si>
  <si>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</si>
  <si>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</si>
  <si>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</si>
  <si>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# text = Wenn nur institutionelle Anleger die ESG in ihre Investitionen integrieren .</t>
  </si>
  <si>
    <t># text = Was wäre , wenn sie diese Feuerkraft nutzten und mehr von ihrem Kapital in Unternehmen investierten , die am härtesten an der Lösung dieser Probleme arbeiten , oder sie zumindest nicht verschärfen ?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</si>
  <si>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</si>
  <si>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</si>
  <si>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</si>
  <si>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</si>
  <si>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</si>
  <si>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</si>
  <si>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</si>
  <si>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</si>
  <si>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</si>
  <si>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</si>
  <si>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</si>
  <si>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# text = Was haben wir davon , wenn wir arbeiten , sparen und investieren , nur um im Ruhestand eine Welt vorzufinden , die angespannter und unsicherer ist als jetzt ?</t>
  </si>
  <si>
    <t>davon</t>
  </si>
  <si>
    <t>sparen</t>
  </si>
  <si>
    <t>Ruhestand</t>
  </si>
  <si>
    <t>vorzufinden</t>
  </si>
  <si>
    <t>angespannter</t>
  </si>
  <si>
    <t>unsicherer</t>
  </si>
  <si>
    <t># text = Wenn saubere Luft und frisches Wasser fehlen ?</t>
  </si>
  <si>
    <t>fehlen</t>
  </si>
  <si>
    <t># text = Eine berechtigte Frage könnte sein : Und wenn das ganze Nachhaltigkeits-Risiko-Gerede übertrieben und nicht dringlich ist ?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</si>
  <si>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</si>
  <si>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</si>
  <si>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</si>
  <si>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</si>
  <si>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</si>
  <si>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</si>
  <si>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</si>
  <si>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# text = Wenn es nur etwas für tugendhafte Verbraucher oder eine reine Frage des Lebensstils ist ?</t>
  </si>
  <si>
    <t>etwas</t>
  </si>
  <si>
    <t>tugendhafte</t>
  </si>
  <si>
    <t>Verbraucher</t>
  </si>
  <si>
    <t>reine</t>
  </si>
  <si>
    <t>Lebensstils</t>
  </si>
  <si>
    <t># text = Präsident John F. Kennedy sagte dazu das einzig Richtige : \" Aktionsprogramme bergen Risiken und Kosten , aber sie sind weit geringer als die langfristigen Risiken und Kosten der bequemen Untätigkeit . \"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</si>
  <si>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</si>
  <si>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</si>
  <si>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</si>
  <si>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</si>
  <si>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</si>
  <si>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</si>
  <si>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</si>
  <si>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</si>
  <si>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</si>
  <si>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</si>
  <si>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</si>
  <si>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</si>
  <si>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</si>
  <si>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</si>
  <si>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</si>
  <si>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</si>
  <si>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# text = Sicher gibt es ein Schätzrisiko , aber da dies alles auf breitem wissenschaftlichen Konsens beruht , ist die Chance , dass es nicht völlig falsch ist , höher als die Wahrscheinlichkeit , dass unser Haus abbrennt oder wir einem Autounfall haben .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</si>
  <si>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</si>
  <si>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</si>
  <si>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</si>
  <si>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</si>
  <si>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</si>
  <si>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</si>
  <si>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</si>
  <si>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</si>
  <si>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völlig</t>
  </si>
  <si>
    <t>falsch</t>
  </si>
  <si>
    <t>höher</t>
  </si>
  <si>
    <t>Wahrscheinlichkeit</t>
  </si>
  <si>
    <t>unser</t>
  </si>
  <si>
    <t>Haus</t>
  </si>
  <si>
    <t>OBJ_5</t>
  </si>
  <si>
    <t>abbrennt</t>
  </si>
  <si>
    <t>SBJ_6</t>
  </si>
  <si>
    <t>Autounfall</t>
  </si>
  <si>
    <t>OBJ_6</t>
  </si>
  <si>
    <t># text = Nun , vielleicht nicht , wenn Sie in Boston leben .</t>
  </si>
  <si>
    <t>Boston</t>
  </si>
  <si>
    <t>leben</t>
  </si>
  <si>
    <t># text = ( Gelächter ) Es ist doch so : Wir schließen Versicherungen ab , um für diese Fälle finanziell gerüstet zu sein , oder ?</t>
  </si>
  <si>
    <t>so</t>
  </si>
  <si>
    <t>schließen</t>
  </si>
  <si>
    <t>Versicherungen</t>
  </si>
  <si>
    <t>ab</t>
  </si>
  <si>
    <t>Fälle</t>
  </si>
  <si>
    <t>gerüstet</t>
  </si>
  <si>
    <t># text = Durch nachhaltiges Investieren tun wir zwei Dinge .</t>
  </si>
  <si>
    <t>Durch</t>
  </si>
  <si>
    <t># text = Wir schaffen eine Versicherung , verringern die Gefahr für unseren Planeten und für unsere Wirtschaft , und gleichzeitig müssen wir kurzfristig nicht auf Leistung verzichten .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</si>
  <si>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</si>
  <si>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</si>
  <si>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</si>
  <si>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</si>
  <si>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</si>
  <si>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</si>
  <si>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</si>
  <si>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</si>
  <si>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</si>
  <si>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# text = [ Comic : \" Was , wenn das alles bloß Schwindel ist und wir schaffen ohne Grund eine bessere Welt ? \" ]</t>
  </si>
  <si>
    <t>Comic</t>
  </si>
  <si>
    <t>bloß</t>
  </si>
  <si>
    <t>Schwindel</t>
  </si>
  <si>
    <t>ohne</t>
  </si>
  <si>
    <t>Grund</t>
  </si>
  <si>
    <t>bessere</t>
  </si>
  <si>
    <t># text = Gut , er gefällt Ihnen .</t>
  </si>
  <si>
    <t>Gut</t>
  </si>
  <si>
    <t>gefällt</t>
  </si>
  <si>
    <t>Ihnen</t>
  </si>
  <si>
    <t># text = Ich mag ihn auch .</t>
  </si>
  <si>
    <t>mag</t>
  </si>
  <si>
    <t>ihn</t>
  </si>
  <si>
    <t># text = ( Gelächter ) Ich mag ihn , weil er sich über beide Lager des Klimawandels lustig macht .</t>
  </si>
  <si>
    <t>weil</t>
  </si>
  <si>
    <t>beide</t>
  </si>
  <si>
    <t>Lager</t>
  </si>
  <si>
    <t>Klimawandels</t>
  </si>
  <si>
    <t>lustig</t>
  </si>
  <si>
    <t># text = Ich wette , Sie erraten nicht , auf welcher Seite ich stehe .</t>
  </si>
  <si>
    <t>wette</t>
  </si>
  <si>
    <t>erraten</t>
  </si>
  <si>
    <t>welcher</t>
  </si>
  <si>
    <t>Seite</t>
  </si>
  <si>
    <t>stehe</t>
  </si>
  <si>
    <t># text = Ich mag es besonders , weil er mich an Mark Twain erinnert , der sagte : " Plane für die Zukunft , denn dort wirst du den Rest deines Lebens verbringen . "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</si>
  <si>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</si>
  <si>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</si>
  <si>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</si>
  <si>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</si>
  <si>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</si>
  <si>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</si>
  <si>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</si>
  <si>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</si>
  <si>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</si>
  <si>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</si>
  <si>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</si>
  <si>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# text = Vielen Dank .</t>
  </si>
  <si>
    <t>Vielen</t>
  </si>
  <si>
    <t>Dank</t>
  </si>
  <si>
    <t>synchrony</t>
  </si>
  <si>
    <t>(aktuell)</t>
  </si>
  <si>
    <t>(nämlich)</t>
  </si>
  <si>
    <t>restatement</t>
  </si>
  <si>
    <t>(konkret)</t>
  </si>
  <si>
    <t>(und)</t>
  </si>
  <si>
    <t>(schließlich)</t>
  </si>
  <si>
    <t>(daher)</t>
  </si>
  <si>
    <t>einige bekannte Tatsachen</t>
  </si>
  <si>
    <t>set</t>
  </si>
  <si>
    <t>(insgesamt)</t>
  </si>
  <si>
    <t>contrast</t>
  </si>
  <si>
    <t>(doch)</t>
  </si>
  <si>
    <t>und deshalb</t>
  </si>
  <si>
    <t>(aber)</t>
  </si>
  <si>
    <t>(anders gesagt)</t>
  </si>
  <si>
    <t>(etwa)</t>
  </si>
  <si>
    <t>(zum Beispiel)</t>
  </si>
  <si>
    <t>expectation-raiser</t>
  </si>
  <si>
    <t>(obwohl)</t>
  </si>
  <si>
    <t>(weil)</t>
  </si>
  <si>
    <t>damit</t>
  </si>
  <si>
    <t>Wenn also</t>
  </si>
  <si>
    <t>answer</t>
  </si>
  <si>
    <t>(ja)</t>
  </si>
  <si>
    <t>(genauer gesagt)</t>
  </si>
  <si>
    <t>also (zusammengefasst)</t>
  </si>
  <si>
    <t>hypophora</t>
  </si>
  <si>
    <t>ein beispiel</t>
  </si>
  <si>
    <t>(ein beispiel)</t>
  </si>
  <si>
    <t>(dadurch)</t>
  </si>
  <si>
    <t>error sentence break</t>
  </si>
  <si>
    <t>dadurch</t>
  </si>
  <si>
    <t>Genial, oder?</t>
  </si>
  <si>
    <t>ein weiteres Beispiel</t>
  </si>
  <si>
    <t>jetzt fragen Sie sich vielleicht</t>
  </si>
  <si>
    <t>mal ehrlich</t>
  </si>
  <si>
    <t>deiktisch; Beschriebung Grafik; auch NoRel denkbar</t>
  </si>
  <si>
    <t>(kurz gesagt)</t>
  </si>
  <si>
    <t>Das ist doch okay, oder?</t>
  </si>
  <si>
    <t>in einigen Fällen</t>
  </si>
  <si>
    <t>zugegeben (auch wenn)</t>
  </si>
  <si>
    <t>concession</t>
  </si>
  <si>
    <t>wenn … sollte</t>
  </si>
  <si>
    <t>goal</t>
  </si>
  <si>
    <t>(um)</t>
  </si>
  <si>
    <t>oder?</t>
  </si>
  <si>
    <t>(indem)</t>
  </si>
  <si>
    <t>means</t>
  </si>
  <si>
    <t>warum</t>
  </si>
  <si>
    <t>NoRel</t>
  </si>
  <si>
    <t>(allerdings)</t>
  </si>
  <si>
    <t>(beispielsweise)</t>
  </si>
  <si>
    <t>oder (beispielsweise)</t>
  </si>
  <si>
    <t>consequence</t>
  </si>
  <si>
    <t>da (in dem Fall)</t>
  </si>
  <si>
    <t>(auch wenn)</t>
  </si>
  <si>
    <t>hypohora</t>
  </si>
  <si>
    <t>das ist</t>
  </si>
  <si>
    <t>(mit anderen Worten)</t>
  </si>
  <si>
    <t>was wäre, wenn</t>
  </si>
  <si>
    <t>und wenn</t>
  </si>
  <si>
    <t>neg_condition</t>
  </si>
  <si>
    <t>nicht, wenn</t>
  </si>
  <si>
    <t>disagreement</t>
  </si>
  <si>
    <t>feedback</t>
  </si>
  <si>
    <t>agreement</t>
  </si>
  <si>
    <t>ich wette</t>
  </si>
  <si>
    <t>besonders (konkret)</t>
  </si>
  <si>
    <t>was, wenn</t>
  </si>
  <si>
    <t>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</si>
</sst>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workbookViewId="0">
      <pane xSplit="5" ySplit="1" topLeftCell="G91" activePane="bottomRight" state="frozen"/>
      <selection pane="topRight" activeCell="F1" sqref="F1"/>
      <selection pane="bottomLeft" activeCell="A2" sqref="A2"/>
      <selection pane="bottomRight" activeCell="J93" sqref="J93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1180</v>
      </c>
      <c r="H2" s="10">
        <v>2</v>
      </c>
      <c r="I2" s="11" t="s">
        <v>1179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1181</v>
      </c>
      <c r="H3" s="10" t="s">
        <v>10</v>
      </c>
      <c r="I3" s="11" t="s">
        <v>1182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11</v>
      </c>
      <c r="D4" s="7" t="s">
        <v>11</v>
      </c>
      <c r="E4" s="8" t="s">
        <v>19</v>
      </c>
      <c r="F4" s="6" t="s">
        <v>11</v>
      </c>
      <c r="G4" s="9" t="s">
        <v>385</v>
      </c>
      <c r="H4" s="10" t="s">
        <v>13</v>
      </c>
      <c r="I4" s="11" t="s">
        <v>20</v>
      </c>
      <c r="J4" s="12" t="s">
        <v>21</v>
      </c>
    </row>
    <row r="5" spans="1:10" ht="60" customHeight="1" x14ac:dyDescent="0.3">
      <c r="A5" s="6" t="s">
        <v>22</v>
      </c>
      <c r="B5" s="6" t="s">
        <v>11</v>
      </c>
      <c r="C5" s="6" t="s">
        <v>11</v>
      </c>
      <c r="D5" s="7" t="s">
        <v>11</v>
      </c>
      <c r="E5" s="8" t="s">
        <v>23</v>
      </c>
      <c r="F5" s="6" t="s">
        <v>11</v>
      </c>
      <c r="G5" s="9" t="s">
        <v>870</v>
      </c>
      <c r="H5" s="10" t="s">
        <v>18</v>
      </c>
      <c r="I5" s="11" t="s">
        <v>16</v>
      </c>
      <c r="J5" s="12" t="s">
        <v>17</v>
      </c>
    </row>
    <row r="6" spans="1:10" ht="60" customHeight="1" x14ac:dyDescent="0.3">
      <c r="A6" s="6" t="s">
        <v>24</v>
      </c>
      <c r="B6" s="6" t="s">
        <v>11</v>
      </c>
      <c r="C6" s="6" t="s">
        <v>14</v>
      </c>
      <c r="D6" s="7" t="s">
        <v>11</v>
      </c>
      <c r="E6" s="8" t="s">
        <v>25</v>
      </c>
      <c r="F6" s="6" t="s">
        <v>11</v>
      </c>
      <c r="G6" s="9" t="s">
        <v>1183</v>
      </c>
      <c r="H6" s="10" t="s">
        <v>22</v>
      </c>
      <c r="I6" s="11" t="s">
        <v>16</v>
      </c>
      <c r="J6" s="12" t="s">
        <v>17</v>
      </c>
    </row>
    <row r="7" spans="1:10" ht="60" customHeight="1" x14ac:dyDescent="0.3">
      <c r="A7" s="6" t="s">
        <v>26</v>
      </c>
      <c r="B7" s="6" t="s">
        <v>11</v>
      </c>
      <c r="C7" s="6" t="s">
        <v>11</v>
      </c>
      <c r="D7" s="7" t="s">
        <v>11</v>
      </c>
      <c r="E7" s="8" t="s">
        <v>27</v>
      </c>
      <c r="F7" s="6" t="s">
        <v>11</v>
      </c>
      <c r="G7" s="9" t="s">
        <v>1186</v>
      </c>
      <c r="H7" s="10">
        <v>7</v>
      </c>
      <c r="I7" s="11" t="s">
        <v>45</v>
      </c>
      <c r="J7" s="12"/>
    </row>
    <row r="8" spans="1:10" ht="60" customHeight="1" x14ac:dyDescent="0.3">
      <c r="A8" s="6" t="s">
        <v>28</v>
      </c>
      <c r="B8" s="6" t="s">
        <v>11</v>
      </c>
      <c r="C8" s="6" t="s">
        <v>11</v>
      </c>
      <c r="D8" s="7" t="s">
        <v>11</v>
      </c>
      <c r="E8" s="8" t="s">
        <v>29</v>
      </c>
      <c r="F8" s="6" t="s">
        <v>11</v>
      </c>
      <c r="G8" s="9" t="s">
        <v>1185</v>
      </c>
      <c r="H8" s="10">
        <v>6</v>
      </c>
      <c r="I8" s="11" t="s">
        <v>260</v>
      </c>
      <c r="J8" s="12"/>
    </row>
    <row r="9" spans="1:10" ht="60" customHeight="1" x14ac:dyDescent="0.3">
      <c r="A9" s="6" t="s">
        <v>30</v>
      </c>
      <c r="B9" s="6" t="s">
        <v>11</v>
      </c>
      <c r="C9" s="6" t="s">
        <v>31</v>
      </c>
      <c r="D9" s="7" t="s">
        <v>11</v>
      </c>
      <c r="E9" s="8" t="s">
        <v>32</v>
      </c>
      <c r="F9" s="6" t="s">
        <v>11</v>
      </c>
      <c r="G9" s="9" t="s">
        <v>1183</v>
      </c>
      <c r="H9" s="10" t="s">
        <v>28</v>
      </c>
      <c r="I9" s="11" t="s">
        <v>16</v>
      </c>
      <c r="J9" s="12" t="s">
        <v>17</v>
      </c>
    </row>
    <row r="10" spans="1:10" ht="60" customHeight="1" x14ac:dyDescent="0.3">
      <c r="A10" s="6" t="s">
        <v>33</v>
      </c>
      <c r="B10" s="6" t="s">
        <v>11</v>
      </c>
      <c r="C10" s="6" t="s">
        <v>11</v>
      </c>
      <c r="D10" s="7" t="s">
        <v>11</v>
      </c>
      <c r="E10" s="8" t="s">
        <v>34</v>
      </c>
      <c r="F10" s="6" t="s">
        <v>11</v>
      </c>
      <c r="G10" s="9" t="s">
        <v>1187</v>
      </c>
      <c r="H10" s="10">
        <v>8</v>
      </c>
      <c r="I10" s="11" t="s">
        <v>1188</v>
      </c>
      <c r="J10" s="12"/>
    </row>
    <row r="11" spans="1:10" ht="60" customHeight="1" x14ac:dyDescent="0.3">
      <c r="A11" s="6" t="s">
        <v>35</v>
      </c>
      <c r="B11" s="6" t="s">
        <v>11</v>
      </c>
      <c r="C11" s="6" t="s">
        <v>11</v>
      </c>
      <c r="D11" s="7" t="s">
        <v>11</v>
      </c>
      <c r="E11" s="8" t="s">
        <v>36</v>
      </c>
      <c r="F11" s="6" t="s">
        <v>11</v>
      </c>
      <c r="G11" s="9" t="s">
        <v>1184</v>
      </c>
      <c r="H11" s="10">
        <v>9</v>
      </c>
      <c r="I11" s="11" t="s">
        <v>20</v>
      </c>
      <c r="J11" s="12"/>
    </row>
    <row r="12" spans="1:10" ht="60" customHeight="1" x14ac:dyDescent="0.3">
      <c r="A12" s="6" t="s">
        <v>37</v>
      </c>
      <c r="B12" s="6" t="s">
        <v>11</v>
      </c>
      <c r="C12" s="6" t="s">
        <v>11</v>
      </c>
      <c r="D12" s="7" t="s">
        <v>11</v>
      </c>
      <c r="E12" s="8" t="s">
        <v>38</v>
      </c>
      <c r="F12" s="6" t="s">
        <v>11</v>
      </c>
      <c r="G12" s="9" t="s">
        <v>385</v>
      </c>
      <c r="H12" s="10" t="s">
        <v>35</v>
      </c>
      <c r="I12" s="11" t="s">
        <v>20</v>
      </c>
      <c r="J12" s="12" t="s">
        <v>21</v>
      </c>
    </row>
    <row r="13" spans="1:10" ht="60" customHeight="1" x14ac:dyDescent="0.3">
      <c r="A13" s="6" t="s">
        <v>39</v>
      </c>
      <c r="B13" s="6" t="s">
        <v>11</v>
      </c>
      <c r="C13" s="6" t="s">
        <v>11</v>
      </c>
      <c r="D13" s="7" t="s">
        <v>11</v>
      </c>
      <c r="E13" s="8" t="s">
        <v>40</v>
      </c>
      <c r="F13" s="6" t="s">
        <v>11</v>
      </c>
      <c r="G13" s="9" t="s">
        <v>1189</v>
      </c>
      <c r="H13" s="10">
        <v>11</v>
      </c>
      <c r="I13" s="11" t="s">
        <v>260</v>
      </c>
      <c r="J13" s="12"/>
    </row>
    <row r="14" spans="1:10" ht="60" customHeight="1" x14ac:dyDescent="0.3">
      <c r="A14" s="6" t="s">
        <v>41</v>
      </c>
      <c r="B14" s="6" t="s">
        <v>11</v>
      </c>
      <c r="C14" s="6" t="s">
        <v>11</v>
      </c>
      <c r="D14" s="7" t="s">
        <v>11</v>
      </c>
      <c r="E14" s="8" t="s">
        <v>42</v>
      </c>
      <c r="F14" s="6" t="s">
        <v>11</v>
      </c>
      <c r="G14" s="9" t="s">
        <v>1191</v>
      </c>
      <c r="H14" s="10" t="s">
        <v>39</v>
      </c>
      <c r="I14" s="11" t="s">
        <v>1190</v>
      </c>
      <c r="J14" s="12" t="s">
        <v>21</v>
      </c>
    </row>
    <row r="15" spans="1:10" ht="60" customHeight="1" x14ac:dyDescent="0.3">
      <c r="A15" s="6" t="s">
        <v>43</v>
      </c>
      <c r="B15" s="6" t="s">
        <v>11</v>
      </c>
      <c r="C15" s="6" t="s">
        <v>11</v>
      </c>
      <c r="D15" s="7" t="s">
        <v>11</v>
      </c>
      <c r="E15" s="8" t="s">
        <v>44</v>
      </c>
      <c r="F15" s="6" t="s">
        <v>11</v>
      </c>
      <c r="G15" s="9" t="s">
        <v>1192</v>
      </c>
      <c r="H15" s="10" t="s">
        <v>41</v>
      </c>
      <c r="I15" s="11" t="s">
        <v>45</v>
      </c>
      <c r="J15" s="12" t="s">
        <v>46</v>
      </c>
    </row>
    <row r="16" spans="1:10" ht="60" customHeight="1" x14ac:dyDescent="0.3">
      <c r="A16" s="6" t="s">
        <v>47</v>
      </c>
      <c r="B16" s="6" t="s">
        <v>11</v>
      </c>
      <c r="C16" s="6" t="s">
        <v>48</v>
      </c>
      <c r="D16" s="7" t="s">
        <v>11</v>
      </c>
      <c r="E16" s="8" t="s">
        <v>49</v>
      </c>
      <c r="F16" s="6" t="s">
        <v>11</v>
      </c>
      <c r="G16" s="9" t="s">
        <v>1184</v>
      </c>
      <c r="H16" s="10" t="s">
        <v>43</v>
      </c>
      <c r="I16" s="11" t="s">
        <v>20</v>
      </c>
      <c r="J16" s="12" t="s">
        <v>21</v>
      </c>
    </row>
    <row r="17" spans="1:10" ht="60" customHeight="1" x14ac:dyDescent="0.3">
      <c r="A17" s="6" t="s">
        <v>50</v>
      </c>
      <c r="B17" s="6" t="s">
        <v>11</v>
      </c>
      <c r="C17" s="6" t="s">
        <v>51</v>
      </c>
      <c r="D17" s="7" t="s">
        <v>11</v>
      </c>
      <c r="E17" s="8" t="s">
        <v>52</v>
      </c>
      <c r="F17" s="6" t="s">
        <v>11</v>
      </c>
      <c r="G17" s="9" t="s">
        <v>1193</v>
      </c>
      <c r="H17" s="10" t="s">
        <v>47</v>
      </c>
      <c r="I17" s="11" t="s">
        <v>53</v>
      </c>
      <c r="J17" s="12" t="s">
        <v>54</v>
      </c>
    </row>
    <row r="18" spans="1:10" ht="60" customHeight="1" x14ac:dyDescent="0.3">
      <c r="A18" s="6" t="s">
        <v>55</v>
      </c>
      <c r="B18" s="6" t="s">
        <v>11</v>
      </c>
      <c r="C18" s="6" t="s">
        <v>56</v>
      </c>
      <c r="D18" s="7" t="s">
        <v>11</v>
      </c>
      <c r="E18" s="8" t="s">
        <v>57</v>
      </c>
      <c r="F18" s="6" t="s">
        <v>11</v>
      </c>
      <c r="G18" s="9" t="s">
        <v>1194</v>
      </c>
      <c r="H18" s="10" t="s">
        <v>50</v>
      </c>
      <c r="I18" s="11" t="s">
        <v>1182</v>
      </c>
      <c r="J18" s="12" t="s">
        <v>17</v>
      </c>
    </row>
    <row r="19" spans="1:10" ht="60" customHeight="1" x14ac:dyDescent="0.3">
      <c r="A19" s="6" t="s">
        <v>58</v>
      </c>
      <c r="B19" s="6" t="s">
        <v>11</v>
      </c>
      <c r="C19" s="6" t="s">
        <v>11</v>
      </c>
      <c r="D19" s="7" t="s">
        <v>11</v>
      </c>
      <c r="E19" s="8" t="s">
        <v>59</v>
      </c>
      <c r="F19" s="6" t="s">
        <v>11</v>
      </c>
      <c r="G19" s="9" t="s">
        <v>487</v>
      </c>
      <c r="H19" s="10">
        <v>7</v>
      </c>
      <c r="I19" s="11" t="s">
        <v>85</v>
      </c>
      <c r="J19" s="12"/>
    </row>
    <row r="20" spans="1:10" ht="60" customHeight="1" x14ac:dyDescent="0.3">
      <c r="A20" s="6" t="s">
        <v>60</v>
      </c>
      <c r="B20" s="6" t="s">
        <v>11</v>
      </c>
      <c r="C20" s="6" t="s">
        <v>61</v>
      </c>
      <c r="D20" s="7" t="s">
        <v>11</v>
      </c>
      <c r="E20" s="8" t="s">
        <v>62</v>
      </c>
      <c r="F20" s="6" t="s">
        <v>11</v>
      </c>
      <c r="G20" s="9" t="s">
        <v>1195</v>
      </c>
      <c r="H20" s="10" t="s">
        <v>58</v>
      </c>
      <c r="I20" s="11" t="s">
        <v>63</v>
      </c>
      <c r="J20" s="12" t="s">
        <v>64</v>
      </c>
    </row>
    <row r="21" spans="1:10" ht="60" customHeight="1" x14ac:dyDescent="0.3">
      <c r="A21" s="6" t="s">
        <v>65</v>
      </c>
      <c r="B21" s="6" t="s">
        <v>11</v>
      </c>
      <c r="C21" s="6" t="s">
        <v>11</v>
      </c>
      <c r="D21" s="7" t="s">
        <v>11</v>
      </c>
      <c r="E21" s="8" t="s">
        <v>66</v>
      </c>
      <c r="F21" s="6" t="s">
        <v>11</v>
      </c>
      <c r="G21" s="9" t="s">
        <v>1196</v>
      </c>
      <c r="H21" s="10">
        <v>19</v>
      </c>
      <c r="I21" s="11" t="s">
        <v>63</v>
      </c>
      <c r="J21" s="12"/>
    </row>
    <row r="22" spans="1:10" ht="60" customHeight="1" x14ac:dyDescent="0.3">
      <c r="A22" s="6" t="s">
        <v>67</v>
      </c>
      <c r="B22" s="6" t="s">
        <v>11</v>
      </c>
      <c r="C22" s="6" t="s">
        <v>11</v>
      </c>
      <c r="D22" s="7" t="s">
        <v>11</v>
      </c>
      <c r="E22" s="8" t="s">
        <v>68</v>
      </c>
      <c r="F22" s="6" t="s">
        <v>11</v>
      </c>
      <c r="G22" s="9" t="s">
        <v>1198</v>
      </c>
      <c r="H22" s="10">
        <v>22</v>
      </c>
      <c r="I22" s="11" t="s">
        <v>1197</v>
      </c>
      <c r="J22" s="12"/>
    </row>
    <row r="23" spans="1:10" ht="60" customHeight="1" x14ac:dyDescent="0.3">
      <c r="A23" s="6" t="s">
        <v>69</v>
      </c>
      <c r="B23" s="6" t="s">
        <v>11</v>
      </c>
      <c r="C23" s="6" t="s">
        <v>70</v>
      </c>
      <c r="D23" s="7" t="s">
        <v>11</v>
      </c>
      <c r="E23" s="8" t="s">
        <v>71</v>
      </c>
      <c r="F23" s="6" t="s">
        <v>11</v>
      </c>
      <c r="G23" s="9" t="s">
        <v>1186</v>
      </c>
      <c r="H23" s="10" t="s">
        <v>67</v>
      </c>
      <c r="I23" s="11" t="s">
        <v>45</v>
      </c>
      <c r="J23" s="12" t="s">
        <v>72</v>
      </c>
    </row>
    <row r="24" spans="1:10" ht="60" customHeight="1" x14ac:dyDescent="0.3">
      <c r="A24" s="6" t="s">
        <v>73</v>
      </c>
      <c r="B24" s="6" t="s">
        <v>11</v>
      </c>
      <c r="C24" s="6" t="s">
        <v>11</v>
      </c>
      <c r="D24" s="7" t="s">
        <v>11</v>
      </c>
      <c r="E24" s="8" t="s">
        <v>74</v>
      </c>
      <c r="F24" s="6" t="s">
        <v>11</v>
      </c>
      <c r="G24" s="9" t="s">
        <v>1183</v>
      </c>
      <c r="H24" s="10">
        <v>22</v>
      </c>
      <c r="I24" s="11" t="s">
        <v>16</v>
      </c>
      <c r="J24" s="12"/>
    </row>
    <row r="25" spans="1:10" ht="60" customHeight="1" x14ac:dyDescent="0.3">
      <c r="A25" s="6" t="s">
        <v>75</v>
      </c>
      <c r="B25" s="6" t="s">
        <v>11</v>
      </c>
      <c r="C25" s="6" t="s">
        <v>48</v>
      </c>
      <c r="D25" s="7" t="s">
        <v>11</v>
      </c>
      <c r="E25" s="8" t="s">
        <v>76</v>
      </c>
      <c r="F25" s="6" t="s">
        <v>11</v>
      </c>
      <c r="G25" s="9" t="s">
        <v>1183</v>
      </c>
      <c r="H25" s="10">
        <v>22</v>
      </c>
      <c r="I25" s="11" t="s">
        <v>16</v>
      </c>
      <c r="J25" s="12" t="s">
        <v>21</v>
      </c>
    </row>
    <row r="26" spans="1:10" ht="60" customHeight="1" x14ac:dyDescent="0.3">
      <c r="A26" s="6" t="s">
        <v>77</v>
      </c>
      <c r="B26" s="6" t="s">
        <v>11</v>
      </c>
      <c r="C26" s="6" t="s">
        <v>48</v>
      </c>
      <c r="D26" s="7" t="s">
        <v>11</v>
      </c>
      <c r="E26" s="8" t="s">
        <v>78</v>
      </c>
      <c r="F26" s="6" t="s">
        <v>11</v>
      </c>
      <c r="G26" s="9" t="s">
        <v>1183</v>
      </c>
      <c r="H26" s="10">
        <v>22</v>
      </c>
      <c r="I26" s="11" t="s">
        <v>16</v>
      </c>
      <c r="J26" s="12" t="s">
        <v>21</v>
      </c>
    </row>
    <row r="27" spans="1:10" ht="60" customHeight="1" x14ac:dyDescent="0.3">
      <c r="A27" s="6" t="s">
        <v>79</v>
      </c>
      <c r="B27" s="6" t="s">
        <v>11</v>
      </c>
      <c r="C27" s="6" t="s">
        <v>80</v>
      </c>
      <c r="D27" s="7" t="s">
        <v>11</v>
      </c>
      <c r="E27" s="8" t="s">
        <v>81</v>
      </c>
      <c r="F27" s="6" t="s">
        <v>11</v>
      </c>
      <c r="G27" s="9" t="s">
        <v>1194</v>
      </c>
      <c r="H27" s="10">
        <v>22</v>
      </c>
      <c r="I27" s="11" t="s">
        <v>1182</v>
      </c>
      <c r="J27" s="12" t="s">
        <v>82</v>
      </c>
    </row>
    <row r="28" spans="1:10" ht="60" customHeight="1" x14ac:dyDescent="0.3">
      <c r="A28" s="6" t="s">
        <v>83</v>
      </c>
      <c r="B28" s="6" t="s">
        <v>11</v>
      </c>
      <c r="C28" s="6" t="s">
        <v>11</v>
      </c>
      <c r="D28" s="7" t="s">
        <v>11</v>
      </c>
      <c r="E28" s="8" t="s">
        <v>84</v>
      </c>
      <c r="F28" s="6" t="s">
        <v>11</v>
      </c>
      <c r="G28" s="9" t="s">
        <v>487</v>
      </c>
      <c r="H28" s="10" t="s">
        <v>79</v>
      </c>
      <c r="I28" s="11" t="s">
        <v>85</v>
      </c>
      <c r="J28" s="12" t="s">
        <v>86</v>
      </c>
    </row>
    <row r="29" spans="1:10" ht="60" customHeight="1" x14ac:dyDescent="0.3">
      <c r="A29" s="6" t="s">
        <v>87</v>
      </c>
      <c r="B29" s="6" t="s">
        <v>11</v>
      </c>
      <c r="C29" s="6" t="s">
        <v>11</v>
      </c>
      <c r="D29" s="7" t="s">
        <v>11</v>
      </c>
      <c r="E29" s="8" t="s">
        <v>88</v>
      </c>
      <c r="F29" s="6" t="s">
        <v>11</v>
      </c>
      <c r="G29" s="9" t="s">
        <v>1200</v>
      </c>
      <c r="H29" s="10">
        <v>27</v>
      </c>
      <c r="I29" s="11" t="s">
        <v>120</v>
      </c>
      <c r="J29" s="12"/>
    </row>
    <row r="30" spans="1:10" ht="60" customHeight="1" x14ac:dyDescent="0.3">
      <c r="A30" s="6" t="s">
        <v>89</v>
      </c>
      <c r="B30" s="6" t="s">
        <v>11</v>
      </c>
      <c r="C30" s="6" t="s">
        <v>11</v>
      </c>
      <c r="D30" s="7" t="s">
        <v>11</v>
      </c>
      <c r="E30" s="8" t="s">
        <v>90</v>
      </c>
      <c r="F30" s="6" t="s">
        <v>11</v>
      </c>
      <c r="G30" s="9" t="s">
        <v>1201</v>
      </c>
      <c r="H30" s="10">
        <v>27</v>
      </c>
      <c r="I30" s="11" t="s">
        <v>93</v>
      </c>
      <c r="J30" s="12" t="s">
        <v>82</v>
      </c>
    </row>
    <row r="31" spans="1:10" ht="60" customHeight="1" x14ac:dyDescent="0.3">
      <c r="A31" s="6" t="s">
        <v>91</v>
      </c>
      <c r="B31" s="6" t="s">
        <v>11</v>
      </c>
      <c r="C31" s="6" t="s">
        <v>11</v>
      </c>
      <c r="D31" s="7" t="s">
        <v>11</v>
      </c>
      <c r="E31" s="8" t="s">
        <v>92</v>
      </c>
      <c r="F31" s="6" t="s">
        <v>11</v>
      </c>
      <c r="G31" s="9" t="s">
        <v>1203</v>
      </c>
      <c r="H31" s="10" t="s">
        <v>89</v>
      </c>
      <c r="I31" s="11" t="s">
        <v>1202</v>
      </c>
      <c r="J31" s="12"/>
    </row>
    <row r="32" spans="1:10" ht="60" customHeight="1" x14ac:dyDescent="0.3">
      <c r="A32" s="6" t="s">
        <v>94</v>
      </c>
      <c r="B32" s="6" t="s">
        <v>11</v>
      </c>
      <c r="C32" s="6" t="s">
        <v>14</v>
      </c>
      <c r="D32" s="7" t="s">
        <v>11</v>
      </c>
      <c r="E32" s="8" t="s">
        <v>95</v>
      </c>
      <c r="F32" s="6" t="s">
        <v>11</v>
      </c>
      <c r="G32" s="9" t="s">
        <v>1183</v>
      </c>
      <c r="H32" s="10" t="s">
        <v>91</v>
      </c>
      <c r="I32" s="11" t="s">
        <v>16</v>
      </c>
      <c r="J32" s="12" t="s">
        <v>17</v>
      </c>
    </row>
    <row r="33" spans="1:10" ht="60" customHeight="1" x14ac:dyDescent="0.3">
      <c r="A33" s="6" t="s">
        <v>96</v>
      </c>
      <c r="B33" s="6" t="s">
        <v>11</v>
      </c>
      <c r="C33" s="6" t="s">
        <v>31</v>
      </c>
      <c r="D33" s="7" t="s">
        <v>11</v>
      </c>
      <c r="E33" s="8" t="s">
        <v>97</v>
      </c>
      <c r="F33" s="6" t="s">
        <v>11</v>
      </c>
      <c r="G33" s="9" t="s">
        <v>1183</v>
      </c>
      <c r="H33" s="10">
        <v>30</v>
      </c>
      <c r="I33" s="11" t="s">
        <v>16</v>
      </c>
      <c r="J33" s="12" t="s">
        <v>17</v>
      </c>
    </row>
    <row r="34" spans="1:10" ht="60" customHeight="1" x14ac:dyDescent="0.3">
      <c r="A34" s="6" t="s">
        <v>98</v>
      </c>
      <c r="B34" s="6" t="s">
        <v>11</v>
      </c>
      <c r="C34" s="6" t="s">
        <v>11</v>
      </c>
      <c r="D34" s="7" t="s">
        <v>11</v>
      </c>
      <c r="E34" s="8" t="s">
        <v>99</v>
      </c>
      <c r="F34" s="6" t="s">
        <v>11</v>
      </c>
      <c r="G34" s="9" t="s">
        <v>1183</v>
      </c>
      <c r="H34" s="10">
        <v>30</v>
      </c>
      <c r="I34" s="11" t="s">
        <v>16</v>
      </c>
      <c r="J34" s="12" t="s">
        <v>54</v>
      </c>
    </row>
    <row r="35" spans="1:10" ht="60" customHeight="1" x14ac:dyDescent="0.3">
      <c r="A35" s="6" t="s">
        <v>100</v>
      </c>
      <c r="B35" s="6" t="s">
        <v>11</v>
      </c>
      <c r="C35" s="6" t="s">
        <v>11</v>
      </c>
      <c r="D35" s="7" t="s">
        <v>11</v>
      </c>
      <c r="E35" s="8" t="s">
        <v>101</v>
      </c>
      <c r="F35" s="6" t="s">
        <v>11</v>
      </c>
      <c r="G35" s="9" t="s">
        <v>1205</v>
      </c>
      <c r="H35" s="10" t="s">
        <v>98</v>
      </c>
      <c r="I35" s="11" t="s">
        <v>260</v>
      </c>
      <c r="J35" s="12" t="s">
        <v>82</v>
      </c>
    </row>
    <row r="36" spans="1:10" ht="60" customHeight="1" x14ac:dyDescent="0.3">
      <c r="A36" s="6" t="s">
        <v>102</v>
      </c>
      <c r="B36" s="6" t="s">
        <v>11</v>
      </c>
      <c r="C36" s="6" t="s">
        <v>103</v>
      </c>
      <c r="D36" s="7" t="s">
        <v>11</v>
      </c>
      <c r="E36" s="8" t="s">
        <v>104</v>
      </c>
      <c r="F36" s="6" t="s">
        <v>11</v>
      </c>
      <c r="G36" s="9" t="s">
        <v>1199</v>
      </c>
      <c r="H36" s="10">
        <v>32</v>
      </c>
      <c r="I36" s="11" t="s">
        <v>139</v>
      </c>
      <c r="J36" s="12" t="s">
        <v>54</v>
      </c>
    </row>
    <row r="37" spans="1:10" ht="60" customHeight="1" x14ac:dyDescent="0.3">
      <c r="A37" s="6" t="s">
        <v>105</v>
      </c>
      <c r="B37" s="6" t="s">
        <v>11</v>
      </c>
      <c r="C37" s="6" t="s">
        <v>106</v>
      </c>
      <c r="D37" s="7" t="s">
        <v>11</v>
      </c>
      <c r="E37" s="8" t="s">
        <v>107</v>
      </c>
      <c r="F37" s="6" t="s">
        <v>11</v>
      </c>
      <c r="G37" s="9" t="s">
        <v>677</v>
      </c>
      <c r="H37" s="10">
        <v>33</v>
      </c>
      <c r="I37" s="11" t="s">
        <v>1206</v>
      </c>
      <c r="J37" s="12" t="s">
        <v>82</v>
      </c>
    </row>
    <row r="38" spans="1:10" ht="60" customHeight="1" x14ac:dyDescent="0.3">
      <c r="A38" s="6" t="s">
        <v>108</v>
      </c>
      <c r="B38" s="6" t="s">
        <v>11</v>
      </c>
      <c r="C38" s="6" t="s">
        <v>11</v>
      </c>
      <c r="D38" s="7" t="s">
        <v>11</v>
      </c>
      <c r="E38" s="8" t="s">
        <v>109</v>
      </c>
      <c r="F38" s="6" t="s">
        <v>11</v>
      </c>
      <c r="G38" s="9" t="s">
        <v>1207</v>
      </c>
      <c r="H38" s="10" t="s">
        <v>105</v>
      </c>
      <c r="I38" s="11" t="s">
        <v>63</v>
      </c>
      <c r="J38" s="12"/>
    </row>
    <row r="39" spans="1:10" ht="60" customHeight="1" x14ac:dyDescent="0.3">
      <c r="A39" s="6" t="s">
        <v>110</v>
      </c>
      <c r="B39" s="6" t="s">
        <v>11</v>
      </c>
      <c r="C39" s="6" t="s">
        <v>11</v>
      </c>
      <c r="D39" s="7" t="s">
        <v>11</v>
      </c>
      <c r="E39" s="8" t="s">
        <v>111</v>
      </c>
      <c r="F39" s="6" t="s">
        <v>11</v>
      </c>
      <c r="G39" s="9" t="s">
        <v>1208</v>
      </c>
      <c r="H39" s="10" t="s">
        <v>105</v>
      </c>
      <c r="I39" s="11" t="s">
        <v>63</v>
      </c>
      <c r="J39" s="12" t="s">
        <v>64</v>
      </c>
    </row>
    <row r="40" spans="1:10" ht="60" customHeight="1" x14ac:dyDescent="0.3">
      <c r="A40" s="6" t="s">
        <v>112</v>
      </c>
      <c r="B40" s="6" t="s">
        <v>11</v>
      </c>
      <c r="C40" s="6" t="s">
        <v>14</v>
      </c>
      <c r="D40" s="7" t="s">
        <v>11</v>
      </c>
      <c r="E40" s="8" t="s">
        <v>113</v>
      </c>
      <c r="F40" s="6" t="s">
        <v>11</v>
      </c>
      <c r="G40" s="9" t="s">
        <v>1183</v>
      </c>
      <c r="H40" s="10" t="s">
        <v>110</v>
      </c>
      <c r="I40" s="11" t="s">
        <v>16</v>
      </c>
      <c r="J40" s="12" t="s">
        <v>17</v>
      </c>
    </row>
    <row r="41" spans="1:10" ht="60" customHeight="1" x14ac:dyDescent="0.3">
      <c r="A41" s="6" t="s">
        <v>114</v>
      </c>
      <c r="B41" s="6" t="s">
        <v>11</v>
      </c>
      <c r="C41" s="6" t="s">
        <v>80</v>
      </c>
      <c r="D41" s="7" t="s">
        <v>11</v>
      </c>
      <c r="E41" s="8" t="s">
        <v>115</v>
      </c>
      <c r="F41" s="6" t="s">
        <v>11</v>
      </c>
      <c r="G41" s="9" t="s">
        <v>1209</v>
      </c>
      <c r="H41" s="10" t="s">
        <v>112</v>
      </c>
      <c r="I41" s="11" t="s">
        <v>45</v>
      </c>
      <c r="J41" s="12" t="s">
        <v>46</v>
      </c>
    </row>
    <row r="42" spans="1:10" ht="60" customHeight="1" x14ac:dyDescent="0.3">
      <c r="A42" s="6" t="s">
        <v>116</v>
      </c>
      <c r="B42" s="6" t="s">
        <v>11</v>
      </c>
      <c r="C42" s="6" t="s">
        <v>11</v>
      </c>
      <c r="D42" s="7" t="s">
        <v>11</v>
      </c>
      <c r="E42" s="8" t="s">
        <v>117</v>
      </c>
      <c r="F42" s="6" t="s">
        <v>11</v>
      </c>
      <c r="G42" s="9" t="s">
        <v>11</v>
      </c>
      <c r="H42" s="10">
        <v>42</v>
      </c>
      <c r="I42" s="11" t="s">
        <v>1249</v>
      </c>
      <c r="J42" s="12" t="s">
        <v>1210</v>
      </c>
    </row>
    <row r="43" spans="1:10" ht="60" customHeight="1" x14ac:dyDescent="0.3">
      <c r="A43" s="6" t="s">
        <v>118</v>
      </c>
      <c r="B43" s="6" t="s">
        <v>11</v>
      </c>
      <c r="C43" s="6" t="s">
        <v>11</v>
      </c>
      <c r="D43" s="7" t="s">
        <v>11</v>
      </c>
      <c r="E43" s="8" t="s">
        <v>119</v>
      </c>
      <c r="F43" s="6" t="s">
        <v>11</v>
      </c>
      <c r="G43" s="9" t="s">
        <v>1211</v>
      </c>
      <c r="H43" s="10" t="s">
        <v>114</v>
      </c>
      <c r="I43" s="11" t="s">
        <v>45</v>
      </c>
      <c r="J43" s="12"/>
    </row>
    <row r="44" spans="1:10" ht="60" customHeight="1" x14ac:dyDescent="0.3">
      <c r="A44" s="6" t="s">
        <v>121</v>
      </c>
      <c r="B44" s="6" t="s">
        <v>11</v>
      </c>
      <c r="C44" s="6" t="s">
        <v>56</v>
      </c>
      <c r="D44" s="7" t="s">
        <v>11</v>
      </c>
      <c r="E44" s="8" t="s">
        <v>122</v>
      </c>
      <c r="F44" s="6" t="s">
        <v>11</v>
      </c>
      <c r="G44" s="9" t="s">
        <v>1194</v>
      </c>
      <c r="H44" s="10" t="s">
        <v>118</v>
      </c>
      <c r="I44" s="11" t="s">
        <v>123</v>
      </c>
      <c r="J44" s="12" t="s">
        <v>124</v>
      </c>
    </row>
    <row r="45" spans="1:10" ht="60" customHeight="1" x14ac:dyDescent="0.3">
      <c r="A45" s="6" t="s">
        <v>125</v>
      </c>
      <c r="B45" s="6" t="s">
        <v>11</v>
      </c>
      <c r="C45" s="6" t="s">
        <v>106</v>
      </c>
      <c r="D45" s="7" t="s">
        <v>11</v>
      </c>
      <c r="E45" s="8" t="s">
        <v>126</v>
      </c>
      <c r="F45" s="6" t="s">
        <v>11</v>
      </c>
      <c r="G45" s="9" t="s">
        <v>1212</v>
      </c>
      <c r="H45" s="10" t="s">
        <v>121</v>
      </c>
      <c r="I45" s="11" t="s">
        <v>1206</v>
      </c>
      <c r="J45" s="12" t="s">
        <v>82</v>
      </c>
    </row>
    <row r="46" spans="1:10" ht="60" customHeight="1" x14ac:dyDescent="0.3">
      <c r="A46" s="6" t="s">
        <v>127</v>
      </c>
      <c r="B46" s="6" t="s">
        <v>11</v>
      </c>
      <c r="C46" s="6" t="s">
        <v>11</v>
      </c>
      <c r="D46" s="7" t="s">
        <v>11</v>
      </c>
      <c r="E46" s="8" t="s">
        <v>128</v>
      </c>
      <c r="F46" s="6" t="s">
        <v>11</v>
      </c>
      <c r="G46" s="9" t="s">
        <v>1213</v>
      </c>
      <c r="H46" s="10">
        <v>36</v>
      </c>
      <c r="I46" s="11" t="s">
        <v>63</v>
      </c>
      <c r="J46" s="12"/>
    </row>
    <row r="47" spans="1:10" ht="60" customHeight="1" x14ac:dyDescent="0.3">
      <c r="A47" s="6" t="s">
        <v>129</v>
      </c>
      <c r="B47" s="6" t="s">
        <v>11</v>
      </c>
      <c r="C47" s="6" t="s">
        <v>11</v>
      </c>
      <c r="D47" s="7" t="s">
        <v>11</v>
      </c>
      <c r="E47" s="8" t="s">
        <v>130</v>
      </c>
      <c r="F47" s="6" t="s">
        <v>11</v>
      </c>
      <c r="G47" s="9" t="s">
        <v>1183</v>
      </c>
      <c r="H47" s="10">
        <v>45</v>
      </c>
      <c r="I47" s="11" t="s">
        <v>16</v>
      </c>
      <c r="J47" s="12"/>
    </row>
    <row r="48" spans="1:10" ht="60" customHeight="1" x14ac:dyDescent="0.3">
      <c r="A48" s="6" t="s">
        <v>131</v>
      </c>
      <c r="B48" s="6" t="s">
        <v>11</v>
      </c>
      <c r="C48" s="6" t="s">
        <v>11</v>
      </c>
      <c r="D48" s="7" t="s">
        <v>11</v>
      </c>
      <c r="E48" s="8" t="s">
        <v>132</v>
      </c>
      <c r="F48" s="6" t="s">
        <v>11</v>
      </c>
      <c r="G48" s="9" t="s">
        <v>1199</v>
      </c>
      <c r="H48" s="10">
        <v>45</v>
      </c>
      <c r="I48" s="11" t="s">
        <v>139</v>
      </c>
      <c r="J48" s="12"/>
    </row>
    <row r="49" spans="1:10" ht="60" customHeight="1" x14ac:dyDescent="0.3">
      <c r="A49" s="6" t="s">
        <v>133</v>
      </c>
      <c r="B49" s="6" t="s">
        <v>11</v>
      </c>
      <c r="C49" s="6" t="s">
        <v>106</v>
      </c>
      <c r="D49" s="7" t="s">
        <v>11</v>
      </c>
      <c r="E49" s="8" t="s">
        <v>134</v>
      </c>
      <c r="F49" s="6" t="s">
        <v>11</v>
      </c>
      <c r="G49" s="9" t="s">
        <v>1189</v>
      </c>
      <c r="H49" s="10" t="s">
        <v>131</v>
      </c>
      <c r="I49" s="11" t="s">
        <v>260</v>
      </c>
      <c r="J49" s="12" t="s">
        <v>82</v>
      </c>
    </row>
    <row r="50" spans="1:10" ht="60" customHeight="1" x14ac:dyDescent="0.3">
      <c r="A50" s="6" t="s">
        <v>135</v>
      </c>
      <c r="B50" s="6" t="s">
        <v>11</v>
      </c>
      <c r="C50" s="6" t="s">
        <v>11</v>
      </c>
      <c r="D50" s="7" t="s">
        <v>11</v>
      </c>
      <c r="E50" s="8" t="s">
        <v>136</v>
      </c>
      <c r="F50" s="6" t="s">
        <v>11</v>
      </c>
      <c r="G50" s="9" t="s">
        <v>758</v>
      </c>
      <c r="H50" s="10">
        <v>47</v>
      </c>
      <c r="I50" s="11" t="s">
        <v>1206</v>
      </c>
      <c r="J50" s="12"/>
    </row>
    <row r="51" spans="1:10" ht="60" customHeight="1" x14ac:dyDescent="0.3">
      <c r="A51" s="6" t="s">
        <v>137</v>
      </c>
      <c r="B51" s="6" t="s">
        <v>11</v>
      </c>
      <c r="C51" s="6" t="s">
        <v>70</v>
      </c>
      <c r="D51" s="7" t="s">
        <v>11</v>
      </c>
      <c r="E51" s="8" t="s">
        <v>138</v>
      </c>
      <c r="F51" s="6" t="s">
        <v>11</v>
      </c>
      <c r="G51" s="9" t="s">
        <v>1199</v>
      </c>
      <c r="H51" s="10" t="s">
        <v>135</v>
      </c>
      <c r="I51" s="11" t="s">
        <v>139</v>
      </c>
      <c r="J51" s="12" t="s">
        <v>140</v>
      </c>
    </row>
    <row r="52" spans="1:10" ht="60" customHeight="1" x14ac:dyDescent="0.3">
      <c r="A52" s="6" t="s">
        <v>141</v>
      </c>
      <c r="B52" s="6" t="s">
        <v>11</v>
      </c>
      <c r="C52" s="6" t="s">
        <v>11</v>
      </c>
      <c r="D52" s="7" t="s">
        <v>11</v>
      </c>
      <c r="E52" s="8" t="s">
        <v>142</v>
      </c>
      <c r="F52" s="6" t="s">
        <v>11</v>
      </c>
      <c r="G52" s="9" t="s">
        <v>1214</v>
      </c>
      <c r="H52" s="10">
        <v>45</v>
      </c>
      <c r="I52" s="11" t="s">
        <v>1206</v>
      </c>
      <c r="J52" s="12"/>
    </row>
    <row r="53" spans="1:10" ht="60" customHeight="1" x14ac:dyDescent="0.3">
      <c r="A53" s="6" t="s">
        <v>143</v>
      </c>
      <c r="B53" s="6" t="s">
        <v>11</v>
      </c>
      <c r="C53" s="6" t="s">
        <v>56</v>
      </c>
      <c r="D53" s="7" t="s">
        <v>11</v>
      </c>
      <c r="E53" s="8" t="s">
        <v>144</v>
      </c>
      <c r="F53" s="6" t="s">
        <v>11</v>
      </c>
      <c r="G53" s="9" t="s">
        <v>1215</v>
      </c>
      <c r="H53" s="10">
        <v>51</v>
      </c>
      <c r="I53" s="11" t="s">
        <v>93</v>
      </c>
      <c r="J53" s="12" t="s">
        <v>17</v>
      </c>
    </row>
    <row r="54" spans="1:10" ht="60" customHeight="1" x14ac:dyDescent="0.3">
      <c r="A54" s="6" t="s">
        <v>145</v>
      </c>
      <c r="B54" s="6" t="s">
        <v>11</v>
      </c>
      <c r="C54" s="6" t="s">
        <v>11</v>
      </c>
      <c r="D54" s="7" t="s">
        <v>11</v>
      </c>
      <c r="E54" s="8" t="s">
        <v>146</v>
      </c>
      <c r="F54" s="6" t="s">
        <v>11</v>
      </c>
      <c r="G54" s="9" t="s">
        <v>796</v>
      </c>
      <c r="H54" s="10" t="s">
        <v>143</v>
      </c>
      <c r="I54" s="11" t="s">
        <v>1202</v>
      </c>
      <c r="J54" s="12"/>
    </row>
    <row r="55" spans="1:10" ht="60" customHeight="1" x14ac:dyDescent="0.3">
      <c r="A55" s="6" t="s">
        <v>147</v>
      </c>
      <c r="B55" s="6" t="s">
        <v>11</v>
      </c>
      <c r="C55" s="6" t="s">
        <v>70</v>
      </c>
      <c r="D55" s="7" t="s">
        <v>11</v>
      </c>
      <c r="E55" s="8" t="s">
        <v>148</v>
      </c>
      <c r="F55" s="6" t="s">
        <v>11</v>
      </c>
      <c r="G55" s="9" t="s">
        <v>1199</v>
      </c>
      <c r="H55" s="10" t="s">
        <v>145</v>
      </c>
      <c r="I55" s="11" t="s">
        <v>139</v>
      </c>
      <c r="J55" s="12" t="s">
        <v>17</v>
      </c>
    </row>
    <row r="56" spans="1:10" ht="60" customHeight="1" x14ac:dyDescent="0.3">
      <c r="A56" s="6" t="s">
        <v>149</v>
      </c>
      <c r="B56" s="6" t="s">
        <v>11</v>
      </c>
      <c r="C56" s="6" t="s">
        <v>11</v>
      </c>
      <c r="D56" s="7" t="s">
        <v>11</v>
      </c>
      <c r="E56" s="8" t="s">
        <v>150</v>
      </c>
      <c r="F56" s="6" t="s">
        <v>11</v>
      </c>
      <c r="G56" s="9" t="s">
        <v>1183</v>
      </c>
      <c r="H56" s="10">
        <v>54</v>
      </c>
      <c r="I56" s="11" t="s">
        <v>16</v>
      </c>
      <c r="J56" s="12" t="s">
        <v>1216</v>
      </c>
    </row>
    <row r="57" spans="1:10" ht="60" customHeight="1" x14ac:dyDescent="0.3">
      <c r="A57" s="6" t="s">
        <v>151</v>
      </c>
      <c r="B57" s="6" t="s">
        <v>11</v>
      </c>
      <c r="C57" s="6" t="s">
        <v>11</v>
      </c>
      <c r="D57" s="7" t="s">
        <v>11</v>
      </c>
      <c r="E57" s="8" t="s">
        <v>152</v>
      </c>
      <c r="F57" s="6" t="s">
        <v>11</v>
      </c>
      <c r="G57" s="9" t="s">
        <v>385</v>
      </c>
      <c r="H57" s="10" t="s">
        <v>149</v>
      </c>
      <c r="I57" s="11" t="s">
        <v>20</v>
      </c>
      <c r="J57" s="12" t="s">
        <v>21</v>
      </c>
    </row>
    <row r="58" spans="1:10" ht="60" customHeight="1" x14ac:dyDescent="0.3">
      <c r="A58" s="6" t="s">
        <v>153</v>
      </c>
      <c r="B58" s="6" t="s">
        <v>11</v>
      </c>
      <c r="C58" s="6" t="s">
        <v>154</v>
      </c>
      <c r="D58" s="7" t="s">
        <v>11</v>
      </c>
      <c r="E58" s="8" t="s">
        <v>155</v>
      </c>
      <c r="F58" s="6" t="s">
        <v>11</v>
      </c>
      <c r="G58" s="9" t="s">
        <v>1217</v>
      </c>
      <c r="H58" s="10" t="s">
        <v>151</v>
      </c>
      <c r="I58" s="11" t="s">
        <v>260</v>
      </c>
      <c r="J58" s="12" t="s">
        <v>17</v>
      </c>
    </row>
    <row r="59" spans="1:10" ht="60" customHeight="1" x14ac:dyDescent="0.3">
      <c r="A59" s="6" t="s">
        <v>156</v>
      </c>
      <c r="B59" s="6" t="s">
        <v>11</v>
      </c>
      <c r="C59" s="6" t="s">
        <v>106</v>
      </c>
      <c r="D59" s="7" t="s">
        <v>11</v>
      </c>
      <c r="E59" s="8" t="s">
        <v>157</v>
      </c>
      <c r="F59" s="6" t="s">
        <v>11</v>
      </c>
      <c r="G59" s="9" t="s">
        <v>1218</v>
      </c>
      <c r="H59" s="10" t="s">
        <v>153</v>
      </c>
      <c r="I59" s="11" t="s">
        <v>1206</v>
      </c>
      <c r="J59" s="12" t="s">
        <v>82</v>
      </c>
    </row>
    <row r="60" spans="1:10" ht="60" customHeight="1" x14ac:dyDescent="0.3">
      <c r="A60" s="6" t="s">
        <v>158</v>
      </c>
      <c r="B60" s="6" t="s">
        <v>11</v>
      </c>
      <c r="C60" s="6" t="s">
        <v>11</v>
      </c>
      <c r="D60" s="7" t="s">
        <v>11</v>
      </c>
      <c r="E60" s="8" t="s">
        <v>159</v>
      </c>
      <c r="F60" s="6" t="s">
        <v>11</v>
      </c>
      <c r="G60" s="9" t="s">
        <v>487</v>
      </c>
      <c r="H60" s="10" t="s">
        <v>156</v>
      </c>
      <c r="I60" s="11" t="s">
        <v>53</v>
      </c>
      <c r="J60" s="12" t="s">
        <v>54</v>
      </c>
    </row>
    <row r="61" spans="1:10" ht="60" customHeight="1" x14ac:dyDescent="0.3">
      <c r="A61" s="6" t="s">
        <v>160</v>
      </c>
      <c r="B61" s="6" t="s">
        <v>11</v>
      </c>
      <c r="C61" s="6" t="s">
        <v>14</v>
      </c>
      <c r="D61" s="7" t="s">
        <v>11</v>
      </c>
      <c r="E61" s="8" t="s">
        <v>161</v>
      </c>
      <c r="F61" s="6" t="s">
        <v>11</v>
      </c>
      <c r="G61" s="9" t="s">
        <v>1204</v>
      </c>
      <c r="H61" s="10" t="s">
        <v>158</v>
      </c>
      <c r="I61" s="11" t="s">
        <v>16</v>
      </c>
      <c r="J61" s="12" t="s">
        <v>17</v>
      </c>
    </row>
    <row r="62" spans="1:10" ht="60" customHeight="1" x14ac:dyDescent="0.3">
      <c r="A62" s="6" t="s">
        <v>162</v>
      </c>
      <c r="B62" s="6" t="s">
        <v>11</v>
      </c>
      <c r="C62" s="6" t="s">
        <v>11</v>
      </c>
      <c r="D62" s="7" t="s">
        <v>11</v>
      </c>
      <c r="E62" s="8" t="s">
        <v>163</v>
      </c>
      <c r="F62" s="6" t="s">
        <v>11</v>
      </c>
      <c r="G62" s="9" t="s">
        <v>1219</v>
      </c>
      <c r="H62" s="10">
        <v>54</v>
      </c>
      <c r="I62" s="11" t="s">
        <v>63</v>
      </c>
      <c r="J62" s="12"/>
    </row>
    <row r="63" spans="1:10" ht="60" customHeight="1" x14ac:dyDescent="0.3">
      <c r="A63" s="6" t="s">
        <v>164</v>
      </c>
      <c r="B63" s="6" t="s">
        <v>11</v>
      </c>
      <c r="C63" s="6" t="s">
        <v>61</v>
      </c>
      <c r="D63" s="7" t="s">
        <v>11</v>
      </c>
      <c r="E63" s="8" t="s">
        <v>165</v>
      </c>
      <c r="F63" s="6" t="s">
        <v>11</v>
      </c>
      <c r="G63" s="9" t="s">
        <v>1183</v>
      </c>
      <c r="H63" s="10" t="s">
        <v>162</v>
      </c>
      <c r="I63" s="11" t="s">
        <v>16</v>
      </c>
      <c r="J63" s="12" t="s">
        <v>64</v>
      </c>
    </row>
    <row r="64" spans="1:10" ht="60" customHeight="1" x14ac:dyDescent="0.3">
      <c r="A64" s="6" t="s">
        <v>166</v>
      </c>
      <c r="B64" s="6" t="s">
        <v>11</v>
      </c>
      <c r="C64" s="6" t="s">
        <v>14</v>
      </c>
      <c r="D64" s="7" t="s">
        <v>11</v>
      </c>
      <c r="E64" s="8" t="s">
        <v>167</v>
      </c>
      <c r="F64" s="6" t="s">
        <v>11</v>
      </c>
      <c r="G64" s="9" t="s">
        <v>1194</v>
      </c>
      <c r="H64" s="10" t="s">
        <v>164</v>
      </c>
      <c r="I64" s="11" t="s">
        <v>1182</v>
      </c>
      <c r="J64" s="12" t="s">
        <v>17</v>
      </c>
    </row>
    <row r="65" spans="1:10" ht="60" customHeight="1" x14ac:dyDescent="0.3">
      <c r="A65" s="6" t="s">
        <v>168</v>
      </c>
      <c r="B65" s="6" t="s">
        <v>11</v>
      </c>
      <c r="C65" s="6" t="s">
        <v>11</v>
      </c>
      <c r="D65" s="7" t="s">
        <v>11</v>
      </c>
      <c r="E65" s="8" t="s">
        <v>169</v>
      </c>
      <c r="F65" s="6" t="s">
        <v>11</v>
      </c>
      <c r="G65" s="9" t="s">
        <v>1220</v>
      </c>
      <c r="H65" s="10" t="s">
        <v>166</v>
      </c>
      <c r="I65" s="11" t="s">
        <v>1221</v>
      </c>
      <c r="J65" s="12" t="s">
        <v>171</v>
      </c>
    </row>
    <row r="66" spans="1:10" ht="60" customHeight="1" x14ac:dyDescent="0.3">
      <c r="A66" s="6" t="s">
        <v>172</v>
      </c>
      <c r="B66" s="6" t="s">
        <v>11</v>
      </c>
      <c r="C66" s="6" t="s">
        <v>11</v>
      </c>
      <c r="D66" s="7" t="s">
        <v>11</v>
      </c>
      <c r="E66" s="8" t="s">
        <v>173</v>
      </c>
      <c r="F66" s="6" t="s">
        <v>11</v>
      </c>
      <c r="G66" s="9" t="s">
        <v>487</v>
      </c>
      <c r="H66" s="10" t="s">
        <v>168</v>
      </c>
      <c r="I66" s="11" t="s">
        <v>53</v>
      </c>
      <c r="J66" s="12" t="s">
        <v>54</v>
      </c>
    </row>
    <row r="67" spans="1:10" ht="60" customHeight="1" x14ac:dyDescent="0.3">
      <c r="A67" s="6" t="s">
        <v>174</v>
      </c>
      <c r="B67" s="6" t="s">
        <v>11</v>
      </c>
      <c r="C67" s="6" t="s">
        <v>11</v>
      </c>
      <c r="D67" s="7" t="s">
        <v>11</v>
      </c>
      <c r="E67" s="8" t="s">
        <v>175</v>
      </c>
      <c r="F67" s="6" t="s">
        <v>11</v>
      </c>
      <c r="G67" s="9" t="s">
        <v>1222</v>
      </c>
      <c r="H67" s="10">
        <v>65</v>
      </c>
      <c r="I67" s="11" t="s">
        <v>1206</v>
      </c>
      <c r="J67" s="12"/>
    </row>
    <row r="68" spans="1:10" ht="60" customHeight="1" x14ac:dyDescent="0.3">
      <c r="A68" s="6" t="s">
        <v>176</v>
      </c>
      <c r="B68" s="6" t="s">
        <v>11</v>
      </c>
      <c r="C68" s="6" t="s">
        <v>177</v>
      </c>
      <c r="D68" s="7" t="s">
        <v>11</v>
      </c>
      <c r="E68" s="8" t="s">
        <v>178</v>
      </c>
      <c r="F68" s="6" t="s">
        <v>11</v>
      </c>
      <c r="G68" s="9" t="s">
        <v>11</v>
      </c>
      <c r="H68" s="10" t="s">
        <v>174</v>
      </c>
      <c r="I68" s="11" t="s">
        <v>1206</v>
      </c>
      <c r="J68" s="12" t="s">
        <v>17</v>
      </c>
    </row>
    <row r="69" spans="1:10" ht="60" customHeight="1" x14ac:dyDescent="0.3">
      <c r="A69" s="6" t="s">
        <v>179</v>
      </c>
      <c r="B69" s="6" t="s">
        <v>11</v>
      </c>
      <c r="C69" s="6" t="s">
        <v>11</v>
      </c>
      <c r="D69" s="7" t="s">
        <v>11</v>
      </c>
      <c r="E69" s="8" t="s">
        <v>180</v>
      </c>
      <c r="F69" s="6" t="s">
        <v>11</v>
      </c>
      <c r="G69" s="9" t="s">
        <v>1203</v>
      </c>
      <c r="H69" s="10" t="s">
        <v>176</v>
      </c>
      <c r="I69" s="11" t="s">
        <v>1202</v>
      </c>
      <c r="J69" s="12"/>
    </row>
    <row r="70" spans="1:10" ht="60" customHeight="1" x14ac:dyDescent="0.3">
      <c r="A70" s="6" t="s">
        <v>181</v>
      </c>
      <c r="B70" s="6" t="s">
        <v>11</v>
      </c>
      <c r="C70" s="6" t="s">
        <v>11</v>
      </c>
      <c r="D70" s="7" t="s">
        <v>11</v>
      </c>
      <c r="E70" s="8" t="s">
        <v>182</v>
      </c>
      <c r="F70" s="6" t="s">
        <v>11</v>
      </c>
      <c r="G70" s="9" t="s">
        <v>1196</v>
      </c>
      <c r="H70" s="10">
        <v>68</v>
      </c>
      <c r="I70" s="11" t="s">
        <v>63</v>
      </c>
      <c r="J70" s="12"/>
    </row>
    <row r="71" spans="1:10" ht="60" customHeight="1" x14ac:dyDescent="0.3">
      <c r="A71" s="6" t="s">
        <v>183</v>
      </c>
      <c r="B71" s="6" t="s">
        <v>11</v>
      </c>
      <c r="C71" s="6" t="s">
        <v>184</v>
      </c>
      <c r="D71" s="7" t="s">
        <v>11</v>
      </c>
      <c r="E71" s="8" t="s">
        <v>185</v>
      </c>
      <c r="F71" s="6" t="s">
        <v>11</v>
      </c>
      <c r="G71" s="9" t="s">
        <v>1183</v>
      </c>
      <c r="H71" s="10">
        <v>69</v>
      </c>
      <c r="I71" s="11" t="s">
        <v>16</v>
      </c>
      <c r="J71" s="12" t="s">
        <v>1210</v>
      </c>
    </row>
    <row r="72" spans="1:10" ht="60" customHeight="1" x14ac:dyDescent="0.3">
      <c r="A72" s="6" t="s">
        <v>186</v>
      </c>
      <c r="B72" s="6" t="s">
        <v>11</v>
      </c>
      <c r="C72" s="6" t="s">
        <v>11</v>
      </c>
      <c r="D72" s="7" t="s">
        <v>11</v>
      </c>
      <c r="E72" s="8" t="s">
        <v>187</v>
      </c>
      <c r="F72" s="6" t="s">
        <v>11</v>
      </c>
      <c r="G72" s="9" t="s">
        <v>11</v>
      </c>
      <c r="H72" s="10">
        <v>70</v>
      </c>
      <c r="I72" s="11" t="s">
        <v>1249</v>
      </c>
      <c r="J72" s="12"/>
    </row>
    <row r="73" spans="1:10" ht="60" customHeight="1" x14ac:dyDescent="0.3">
      <c r="A73" s="6" t="s">
        <v>188</v>
      </c>
      <c r="B73" s="6" t="s">
        <v>11</v>
      </c>
      <c r="C73" s="6" t="s">
        <v>48</v>
      </c>
      <c r="D73" s="7" t="s">
        <v>11</v>
      </c>
      <c r="E73" s="8" t="s">
        <v>189</v>
      </c>
      <c r="F73" s="6" t="s">
        <v>11</v>
      </c>
      <c r="G73" s="9" t="s">
        <v>1184</v>
      </c>
      <c r="H73" s="10" t="s">
        <v>183</v>
      </c>
      <c r="I73" s="11" t="s">
        <v>20</v>
      </c>
      <c r="J73" s="12" t="s">
        <v>21</v>
      </c>
    </row>
    <row r="74" spans="1:10" ht="60" customHeight="1" x14ac:dyDescent="0.3">
      <c r="A74" s="6" t="s">
        <v>190</v>
      </c>
      <c r="B74" s="6" t="s">
        <v>11</v>
      </c>
      <c r="C74" s="6" t="s">
        <v>11</v>
      </c>
      <c r="D74" s="7" t="s">
        <v>11</v>
      </c>
      <c r="E74" s="8" t="s">
        <v>191</v>
      </c>
      <c r="F74" s="6" t="s">
        <v>11</v>
      </c>
      <c r="G74" s="9" t="s">
        <v>494</v>
      </c>
      <c r="H74" s="10" t="s">
        <v>188</v>
      </c>
      <c r="I74" s="11" t="s">
        <v>45</v>
      </c>
      <c r="J74" s="12" t="s">
        <v>46</v>
      </c>
    </row>
    <row r="75" spans="1:10" ht="60" customHeight="1" x14ac:dyDescent="0.3">
      <c r="A75" s="6" t="s">
        <v>192</v>
      </c>
      <c r="B75" s="6" t="s">
        <v>11</v>
      </c>
      <c r="C75" s="6" t="s">
        <v>193</v>
      </c>
      <c r="D75" s="7" t="s">
        <v>11</v>
      </c>
      <c r="E75" s="8" t="s">
        <v>194</v>
      </c>
      <c r="F75" s="6" t="s">
        <v>11</v>
      </c>
      <c r="G75" s="9" t="s">
        <v>1224</v>
      </c>
      <c r="H75" s="10" t="s">
        <v>190</v>
      </c>
      <c r="I75" s="11" t="s">
        <v>1223</v>
      </c>
      <c r="J75" s="12" t="s">
        <v>17</v>
      </c>
    </row>
    <row r="76" spans="1:10" ht="60" customHeight="1" x14ac:dyDescent="0.3">
      <c r="A76" s="6" t="s">
        <v>195</v>
      </c>
      <c r="B76" s="6" t="s">
        <v>11</v>
      </c>
      <c r="C76" s="6" t="s">
        <v>106</v>
      </c>
      <c r="D76" s="7" t="s">
        <v>11</v>
      </c>
      <c r="E76" s="8" t="s">
        <v>196</v>
      </c>
      <c r="F76" s="6" t="s">
        <v>11</v>
      </c>
      <c r="G76" s="9" t="s">
        <v>1225</v>
      </c>
      <c r="H76" s="10" t="s">
        <v>192</v>
      </c>
      <c r="I76" s="11" t="s">
        <v>1206</v>
      </c>
      <c r="J76" s="12" t="s">
        <v>82</v>
      </c>
    </row>
    <row r="77" spans="1:10" ht="60" customHeight="1" x14ac:dyDescent="0.3">
      <c r="A77" s="6" t="s">
        <v>197</v>
      </c>
      <c r="B77" s="6" t="s">
        <v>11</v>
      </c>
      <c r="C77" s="6" t="s">
        <v>11</v>
      </c>
      <c r="D77" s="7" t="s">
        <v>11</v>
      </c>
      <c r="E77" s="8" t="s">
        <v>198</v>
      </c>
      <c r="F77" s="6" t="s">
        <v>11</v>
      </c>
      <c r="G77" s="9" t="s">
        <v>1213</v>
      </c>
      <c r="H77" s="10">
        <v>68</v>
      </c>
      <c r="I77" s="11" t="s">
        <v>63</v>
      </c>
      <c r="J77" s="12"/>
    </row>
    <row r="78" spans="1:10" ht="60" customHeight="1" x14ac:dyDescent="0.3">
      <c r="A78" s="6" t="s">
        <v>199</v>
      </c>
      <c r="B78" s="6" t="s">
        <v>11</v>
      </c>
      <c r="C78" s="6" t="s">
        <v>11</v>
      </c>
      <c r="D78" s="7" t="s">
        <v>11</v>
      </c>
      <c r="E78" s="8" t="s">
        <v>200</v>
      </c>
      <c r="F78" s="6" t="s">
        <v>11</v>
      </c>
      <c r="G78" s="9" t="s">
        <v>1183</v>
      </c>
      <c r="H78" s="10">
        <v>76</v>
      </c>
      <c r="I78" s="11" t="s">
        <v>16</v>
      </c>
      <c r="J78" s="12"/>
    </row>
    <row r="79" spans="1:10" ht="60" customHeight="1" x14ac:dyDescent="0.3">
      <c r="A79" s="6" t="s">
        <v>201</v>
      </c>
      <c r="B79" s="6" t="s">
        <v>11</v>
      </c>
      <c r="C79" s="6" t="s">
        <v>11</v>
      </c>
      <c r="D79" s="7" t="s">
        <v>11</v>
      </c>
      <c r="E79" s="8" t="s">
        <v>202</v>
      </c>
      <c r="F79" s="6" t="s">
        <v>11</v>
      </c>
      <c r="G79" s="9" t="s">
        <v>11</v>
      </c>
      <c r="H79" s="10">
        <v>79</v>
      </c>
      <c r="I79" s="11" t="s">
        <v>1249</v>
      </c>
      <c r="J79" s="12" t="s">
        <v>1210</v>
      </c>
    </row>
    <row r="80" spans="1:10" ht="60" customHeight="1" x14ac:dyDescent="0.3">
      <c r="A80" s="6" t="s">
        <v>203</v>
      </c>
      <c r="B80" s="6" t="s">
        <v>11</v>
      </c>
      <c r="C80" s="6" t="s">
        <v>48</v>
      </c>
      <c r="D80" s="7" t="s">
        <v>11</v>
      </c>
      <c r="E80" s="8" t="s">
        <v>204</v>
      </c>
      <c r="F80" s="6" t="s">
        <v>11</v>
      </c>
      <c r="G80" s="9" t="s">
        <v>1184</v>
      </c>
      <c r="H80" s="10" t="s">
        <v>199</v>
      </c>
      <c r="I80" s="11" t="s">
        <v>20</v>
      </c>
      <c r="J80" s="12"/>
    </row>
    <row r="81" spans="1:10" ht="60" customHeight="1" x14ac:dyDescent="0.3">
      <c r="A81" s="6" t="s">
        <v>205</v>
      </c>
      <c r="B81" s="6" t="s">
        <v>11</v>
      </c>
      <c r="C81" s="6" t="s">
        <v>14</v>
      </c>
      <c r="D81" s="7" t="s">
        <v>11</v>
      </c>
      <c r="E81" s="8" t="s">
        <v>206</v>
      </c>
      <c r="F81" s="6" t="s">
        <v>11</v>
      </c>
      <c r="G81" s="9" t="s">
        <v>1199</v>
      </c>
      <c r="H81" s="10">
        <v>76</v>
      </c>
      <c r="I81" s="11" t="s">
        <v>139</v>
      </c>
      <c r="J81" s="12" t="s">
        <v>17</v>
      </c>
    </row>
    <row r="82" spans="1:10" ht="60" customHeight="1" x14ac:dyDescent="0.3">
      <c r="A82" s="6" t="s">
        <v>207</v>
      </c>
      <c r="B82" s="6" t="s">
        <v>11</v>
      </c>
      <c r="C82" s="6" t="s">
        <v>208</v>
      </c>
      <c r="D82" s="7" t="s">
        <v>11</v>
      </c>
      <c r="E82" s="8" t="s">
        <v>209</v>
      </c>
      <c r="F82" s="6" t="s">
        <v>11</v>
      </c>
      <c r="G82" s="9" t="s">
        <v>1226</v>
      </c>
      <c r="H82" s="10" t="s">
        <v>205</v>
      </c>
      <c r="I82" s="11" t="s">
        <v>1227</v>
      </c>
      <c r="J82" s="12" t="s">
        <v>210</v>
      </c>
    </row>
    <row r="83" spans="1:10" ht="60" customHeight="1" x14ac:dyDescent="0.3">
      <c r="A83" s="6" t="s">
        <v>211</v>
      </c>
      <c r="B83" s="6" t="s">
        <v>11</v>
      </c>
      <c r="C83" s="6" t="s">
        <v>11</v>
      </c>
      <c r="D83" s="7" t="s">
        <v>11</v>
      </c>
      <c r="E83" s="8" t="s">
        <v>212</v>
      </c>
      <c r="F83" s="6" t="s">
        <v>11</v>
      </c>
      <c r="G83" s="9" t="s">
        <v>1228</v>
      </c>
      <c r="H83" s="10">
        <v>83</v>
      </c>
      <c r="I83" s="11" t="s">
        <v>1206</v>
      </c>
      <c r="J83" s="12"/>
    </row>
    <row r="84" spans="1:10" ht="60" customHeight="1" x14ac:dyDescent="0.3">
      <c r="A84" s="6" t="s">
        <v>213</v>
      </c>
      <c r="B84" s="6" t="s">
        <v>11</v>
      </c>
      <c r="C84" s="6" t="s">
        <v>70</v>
      </c>
      <c r="D84" s="7" t="s">
        <v>11</v>
      </c>
      <c r="E84" s="8" t="s">
        <v>214</v>
      </c>
      <c r="F84" s="6" t="s">
        <v>11</v>
      </c>
      <c r="G84" s="9" t="s">
        <v>1199</v>
      </c>
      <c r="H84" s="10" t="s">
        <v>207</v>
      </c>
      <c r="I84" s="11" t="s">
        <v>139</v>
      </c>
      <c r="J84" s="12" t="s">
        <v>140</v>
      </c>
    </row>
    <row r="85" spans="1:10" ht="60" customHeight="1" x14ac:dyDescent="0.3">
      <c r="A85" s="6" t="s">
        <v>215</v>
      </c>
      <c r="B85" s="6" t="s">
        <v>11</v>
      </c>
      <c r="C85" s="6" t="s">
        <v>193</v>
      </c>
      <c r="D85" s="7" t="s">
        <v>11</v>
      </c>
      <c r="E85" s="8" t="s">
        <v>216</v>
      </c>
      <c r="F85" s="6" t="s">
        <v>11</v>
      </c>
      <c r="G85" s="9" t="s">
        <v>1183</v>
      </c>
      <c r="H85" s="10" t="s">
        <v>213</v>
      </c>
      <c r="I85" s="11" t="s">
        <v>16</v>
      </c>
      <c r="J85" s="12" t="s">
        <v>17</v>
      </c>
    </row>
    <row r="86" spans="1:10" ht="60" customHeight="1" x14ac:dyDescent="0.3">
      <c r="A86" s="6" t="s">
        <v>217</v>
      </c>
      <c r="B86" s="6" t="s">
        <v>11</v>
      </c>
      <c r="C86" s="6" t="s">
        <v>11</v>
      </c>
      <c r="D86" s="7" t="s">
        <v>11</v>
      </c>
      <c r="E86" s="8" t="s">
        <v>218</v>
      </c>
      <c r="F86" s="6" t="s">
        <v>11</v>
      </c>
      <c r="G86" s="9" t="s">
        <v>494</v>
      </c>
      <c r="H86" s="10" t="s">
        <v>215</v>
      </c>
      <c r="I86" s="11" t="s">
        <v>45</v>
      </c>
      <c r="J86" s="12" t="s">
        <v>46</v>
      </c>
    </row>
    <row r="87" spans="1:10" ht="60" customHeight="1" x14ac:dyDescent="0.3">
      <c r="A87" s="6" t="s">
        <v>219</v>
      </c>
      <c r="B87" s="6" t="s">
        <v>11</v>
      </c>
      <c r="C87" s="6" t="s">
        <v>11</v>
      </c>
      <c r="D87" s="7" t="s">
        <v>11</v>
      </c>
      <c r="E87" s="8" t="s">
        <v>220</v>
      </c>
      <c r="F87" s="6" t="s">
        <v>11</v>
      </c>
      <c r="G87" s="9" t="s">
        <v>11</v>
      </c>
      <c r="H87" s="10" t="s">
        <v>11</v>
      </c>
      <c r="I87" s="11" t="s">
        <v>1229</v>
      </c>
      <c r="J87" s="12"/>
    </row>
    <row r="88" spans="1:10" ht="60" customHeight="1" x14ac:dyDescent="0.3">
      <c r="A88" s="6" t="s">
        <v>221</v>
      </c>
      <c r="B88" s="6" t="s">
        <v>11</v>
      </c>
      <c r="C88" s="6" t="s">
        <v>51</v>
      </c>
      <c r="D88" s="7" t="s">
        <v>11</v>
      </c>
      <c r="E88" s="8" t="s">
        <v>222</v>
      </c>
      <c r="F88" s="6" t="s">
        <v>11</v>
      </c>
      <c r="G88" s="9" t="s">
        <v>1230</v>
      </c>
      <c r="H88" s="10" t="s">
        <v>219</v>
      </c>
      <c r="I88" s="11" t="s">
        <v>85</v>
      </c>
      <c r="J88" s="12" t="s">
        <v>86</v>
      </c>
    </row>
    <row r="89" spans="1:10" ht="60" customHeight="1" x14ac:dyDescent="0.3">
      <c r="A89" s="6" t="s">
        <v>223</v>
      </c>
      <c r="B89" s="6" t="s">
        <v>11</v>
      </c>
      <c r="C89" s="6" t="s">
        <v>193</v>
      </c>
      <c r="D89" s="7" t="s">
        <v>11</v>
      </c>
      <c r="E89" s="8" t="s">
        <v>224</v>
      </c>
      <c r="F89" s="6" t="s">
        <v>11</v>
      </c>
      <c r="G89" s="9" t="s">
        <v>1231</v>
      </c>
      <c r="H89" s="10" t="s">
        <v>221</v>
      </c>
      <c r="I89" s="11" t="s">
        <v>63</v>
      </c>
      <c r="J89" s="12" t="s">
        <v>17</v>
      </c>
    </row>
    <row r="90" spans="1:10" ht="60" customHeight="1" x14ac:dyDescent="0.3">
      <c r="A90" s="6" t="s">
        <v>225</v>
      </c>
      <c r="B90" s="6" t="s">
        <v>11</v>
      </c>
      <c r="C90" s="6" t="s">
        <v>11</v>
      </c>
      <c r="D90" s="7" t="s">
        <v>11</v>
      </c>
      <c r="E90" s="8" t="s">
        <v>226</v>
      </c>
      <c r="F90" s="6" t="s">
        <v>11</v>
      </c>
      <c r="G90" s="9" t="s">
        <v>1232</v>
      </c>
      <c r="H90" s="10">
        <v>87</v>
      </c>
      <c r="I90" s="11" t="s">
        <v>63</v>
      </c>
      <c r="J90" s="12" t="s">
        <v>227</v>
      </c>
    </row>
    <row r="91" spans="1:10" ht="60" customHeight="1" x14ac:dyDescent="0.3">
      <c r="A91" s="6" t="s">
        <v>228</v>
      </c>
      <c r="B91" s="6" t="s">
        <v>11</v>
      </c>
      <c r="C91" s="6" t="s">
        <v>11</v>
      </c>
      <c r="D91" s="7" t="s">
        <v>11</v>
      </c>
      <c r="E91" s="8" t="s">
        <v>229</v>
      </c>
      <c r="F91" s="6" t="s">
        <v>11</v>
      </c>
      <c r="G91" s="9" t="s">
        <v>11</v>
      </c>
      <c r="H91" s="10">
        <v>91</v>
      </c>
      <c r="I91" s="11" t="s">
        <v>1249</v>
      </c>
      <c r="J91" s="12" t="s">
        <v>1210</v>
      </c>
    </row>
    <row r="92" spans="1:10" ht="60" customHeight="1" x14ac:dyDescent="0.3">
      <c r="A92" s="6" t="s">
        <v>230</v>
      </c>
      <c r="B92" s="6" t="s">
        <v>11</v>
      </c>
      <c r="C92" s="6" t="s">
        <v>51</v>
      </c>
      <c r="D92" s="7" t="s">
        <v>11</v>
      </c>
      <c r="E92" s="8" t="s">
        <v>231</v>
      </c>
      <c r="F92" s="6" t="s">
        <v>11</v>
      </c>
      <c r="G92" s="9" t="s">
        <v>1231</v>
      </c>
      <c r="H92" s="10">
        <v>87</v>
      </c>
      <c r="I92" s="11" t="s">
        <v>63</v>
      </c>
      <c r="J92" s="12"/>
    </row>
    <row r="93" spans="1:10" ht="60" customHeight="1" x14ac:dyDescent="0.3">
      <c r="A93" s="6" t="s">
        <v>232</v>
      </c>
      <c r="B93" s="6" t="s">
        <v>11</v>
      </c>
      <c r="C93" s="6" t="s">
        <v>106</v>
      </c>
      <c r="D93" s="7" t="s">
        <v>11</v>
      </c>
      <c r="E93" s="8" t="s">
        <v>233</v>
      </c>
      <c r="F93" s="6" t="s">
        <v>11</v>
      </c>
      <c r="G93" s="9" t="s">
        <v>1234</v>
      </c>
      <c r="H93" s="10">
        <v>91</v>
      </c>
      <c r="I93" s="11" t="s">
        <v>1233</v>
      </c>
      <c r="J93" s="12" t="s">
        <v>82</v>
      </c>
    </row>
    <row r="94" spans="1:10" ht="60" customHeight="1" x14ac:dyDescent="0.3">
      <c r="A94" s="6" t="s">
        <v>234</v>
      </c>
      <c r="B94" s="6" t="s">
        <v>11</v>
      </c>
      <c r="C94" s="6" t="s">
        <v>11</v>
      </c>
      <c r="D94" s="7" t="s">
        <v>11</v>
      </c>
      <c r="E94" s="8" t="s">
        <v>235</v>
      </c>
      <c r="F94" s="6" t="s">
        <v>11</v>
      </c>
      <c r="G94" s="9" t="s">
        <v>1235</v>
      </c>
      <c r="H94" s="10">
        <v>95</v>
      </c>
      <c r="I94" s="11" t="s">
        <v>1221</v>
      </c>
      <c r="J94" s="12"/>
    </row>
    <row r="95" spans="1:10" ht="60" customHeight="1" x14ac:dyDescent="0.3">
      <c r="A95" s="6" t="s">
        <v>236</v>
      </c>
      <c r="B95" s="6" t="s">
        <v>11</v>
      </c>
      <c r="C95" s="6" t="s">
        <v>70</v>
      </c>
      <c r="D95" s="7" t="s">
        <v>11</v>
      </c>
      <c r="E95" s="8" t="s">
        <v>237</v>
      </c>
      <c r="F95" s="6" t="s">
        <v>11</v>
      </c>
      <c r="G95" s="9" t="s">
        <v>1199</v>
      </c>
      <c r="H95" s="10" t="s">
        <v>234</v>
      </c>
      <c r="I95" s="11" t="s">
        <v>139</v>
      </c>
      <c r="J95" s="12" t="s">
        <v>140</v>
      </c>
    </row>
    <row r="96" spans="1:10" ht="60" customHeight="1" x14ac:dyDescent="0.3">
      <c r="A96" s="6" t="s">
        <v>238</v>
      </c>
      <c r="B96" s="6" t="s">
        <v>11</v>
      </c>
      <c r="C96" s="6" t="s">
        <v>11</v>
      </c>
      <c r="D96" s="7" t="s">
        <v>11</v>
      </c>
      <c r="E96" s="8" t="s">
        <v>239</v>
      </c>
      <c r="F96" s="6" t="s">
        <v>11</v>
      </c>
      <c r="G96" s="9" t="s">
        <v>487</v>
      </c>
      <c r="H96" s="10" t="s">
        <v>236</v>
      </c>
      <c r="I96" s="11" t="s">
        <v>53</v>
      </c>
      <c r="J96" s="12" t="s">
        <v>54</v>
      </c>
    </row>
    <row r="97" spans="1:10" ht="60" customHeight="1" x14ac:dyDescent="0.3">
      <c r="A97" s="6" t="s">
        <v>240</v>
      </c>
      <c r="B97" s="6" t="s">
        <v>11</v>
      </c>
      <c r="C97" s="6" t="s">
        <v>11</v>
      </c>
      <c r="D97" s="7" t="s">
        <v>11</v>
      </c>
      <c r="E97" s="8" t="s">
        <v>241</v>
      </c>
      <c r="F97" s="6" t="s">
        <v>11</v>
      </c>
      <c r="G97" s="9" t="s">
        <v>629</v>
      </c>
      <c r="H97" s="10" t="s">
        <v>238</v>
      </c>
      <c r="I97" s="11" t="s">
        <v>45</v>
      </c>
      <c r="J97" s="12" t="s">
        <v>82</v>
      </c>
    </row>
    <row r="98" spans="1:10" ht="60" customHeight="1" x14ac:dyDescent="0.3">
      <c r="A98" s="6" t="s">
        <v>242</v>
      </c>
      <c r="B98" s="6" t="s">
        <v>11</v>
      </c>
      <c r="C98" s="6" t="s">
        <v>11</v>
      </c>
      <c r="D98" s="7" t="s">
        <v>11</v>
      </c>
      <c r="E98" s="8" t="s">
        <v>243</v>
      </c>
      <c r="F98" s="6" t="s">
        <v>11</v>
      </c>
      <c r="G98" s="9" t="s">
        <v>487</v>
      </c>
      <c r="H98" s="10">
        <v>93</v>
      </c>
      <c r="I98" s="11" t="s">
        <v>85</v>
      </c>
      <c r="J98" s="12" t="s">
        <v>86</v>
      </c>
    </row>
    <row r="99" spans="1:10" ht="60" customHeight="1" x14ac:dyDescent="0.3">
      <c r="A99" s="6" t="s">
        <v>244</v>
      </c>
      <c r="B99" s="6" t="s">
        <v>11</v>
      </c>
      <c r="C99" s="6" t="s">
        <v>106</v>
      </c>
      <c r="D99" s="7" t="s">
        <v>11</v>
      </c>
      <c r="E99" s="8" t="s">
        <v>245</v>
      </c>
      <c r="F99" s="6" t="s">
        <v>11</v>
      </c>
      <c r="G99" s="9" t="s">
        <v>1228</v>
      </c>
      <c r="H99" s="10">
        <v>98</v>
      </c>
      <c r="I99" s="11" t="s">
        <v>1236</v>
      </c>
      <c r="J99" s="12" t="s">
        <v>82</v>
      </c>
    </row>
    <row r="100" spans="1:10" ht="60" customHeight="1" x14ac:dyDescent="0.3">
      <c r="A100" s="6" t="s">
        <v>246</v>
      </c>
      <c r="B100" s="6" t="s">
        <v>11</v>
      </c>
      <c r="C100" s="6" t="s">
        <v>11</v>
      </c>
      <c r="D100" s="7" t="s">
        <v>11</v>
      </c>
      <c r="E100" s="8" t="s">
        <v>247</v>
      </c>
      <c r="F100" s="6" t="s">
        <v>11</v>
      </c>
      <c r="G100" s="9" t="s">
        <v>1199</v>
      </c>
      <c r="H100" s="10">
        <v>97</v>
      </c>
      <c r="I100" s="11" t="s">
        <v>139</v>
      </c>
      <c r="J100" s="12"/>
    </row>
    <row r="101" spans="1:10" ht="60" customHeight="1" x14ac:dyDescent="0.3">
      <c r="A101" s="6" t="s">
        <v>248</v>
      </c>
      <c r="B101" s="6" t="s">
        <v>11</v>
      </c>
      <c r="C101" s="6" t="s">
        <v>11</v>
      </c>
      <c r="D101" s="7" t="s">
        <v>11</v>
      </c>
      <c r="E101" s="8" t="s">
        <v>249</v>
      </c>
      <c r="F101" s="6" t="s">
        <v>11</v>
      </c>
      <c r="G101" s="9" t="s">
        <v>1204</v>
      </c>
      <c r="H101" s="10" t="s">
        <v>244</v>
      </c>
      <c r="I101" s="11" t="s">
        <v>16</v>
      </c>
      <c r="J101" s="12" t="s">
        <v>140</v>
      </c>
    </row>
    <row r="102" spans="1:10" ht="60" customHeight="1" x14ac:dyDescent="0.3">
      <c r="A102" s="6" t="s">
        <v>250</v>
      </c>
      <c r="B102" s="6" t="s">
        <v>11</v>
      </c>
      <c r="C102" s="6" t="s">
        <v>11</v>
      </c>
      <c r="D102" s="7" t="s">
        <v>11</v>
      </c>
      <c r="E102" s="8" t="s">
        <v>251</v>
      </c>
      <c r="F102" s="6" t="s">
        <v>11</v>
      </c>
      <c r="G102" s="9" t="s">
        <v>1181</v>
      </c>
      <c r="H102" s="10" t="s">
        <v>246</v>
      </c>
      <c r="I102" s="11" t="s">
        <v>1182</v>
      </c>
      <c r="J102" s="12" t="s">
        <v>252</v>
      </c>
    </row>
    <row r="103" spans="1:10" ht="60" customHeight="1" x14ac:dyDescent="0.3">
      <c r="A103" s="6" t="s">
        <v>253</v>
      </c>
      <c r="B103" s="6" t="s">
        <v>11</v>
      </c>
      <c r="C103" s="6" t="s">
        <v>184</v>
      </c>
      <c r="D103" s="7" t="s">
        <v>11</v>
      </c>
      <c r="E103" s="8" t="s">
        <v>254</v>
      </c>
      <c r="F103" s="6" t="s">
        <v>11</v>
      </c>
      <c r="G103" s="9" t="str">
        <f t="shared" ref="G103" si="0">IF(A103=1,"_",IF(C103="_","???",C103))</f>
        <v>(for instance)</v>
      </c>
      <c r="H103" s="10" t="s">
        <v>250</v>
      </c>
      <c r="I103" s="11" t="s">
        <v>63</v>
      </c>
      <c r="J103" s="12" t="s">
        <v>64</v>
      </c>
    </row>
    <row r="104" spans="1:10" ht="60" customHeight="1" x14ac:dyDescent="0.3">
      <c r="A104" s="6" t="s">
        <v>255</v>
      </c>
      <c r="B104" s="6" t="s">
        <v>11</v>
      </c>
      <c r="C104" s="6" t="s">
        <v>48</v>
      </c>
      <c r="D104" s="7" t="s">
        <v>11</v>
      </c>
      <c r="E104" s="8" t="s">
        <v>256</v>
      </c>
      <c r="F104" s="6" t="s">
        <v>11</v>
      </c>
      <c r="G104" s="9" t="s">
        <v>1184</v>
      </c>
      <c r="H104" s="10" t="s">
        <v>253</v>
      </c>
      <c r="I104" s="11" t="s">
        <v>20</v>
      </c>
      <c r="J104" s="12" t="s">
        <v>21</v>
      </c>
    </row>
    <row r="105" spans="1:10" ht="60" customHeight="1" x14ac:dyDescent="0.3">
      <c r="A105" s="6" t="s">
        <v>257</v>
      </c>
      <c r="B105" s="6" t="s">
        <v>11</v>
      </c>
      <c r="C105" s="6" t="s">
        <v>258</v>
      </c>
      <c r="D105" s="7" t="s">
        <v>11</v>
      </c>
      <c r="E105" s="8" t="s">
        <v>259</v>
      </c>
      <c r="F105" s="6" t="s">
        <v>11</v>
      </c>
      <c r="G105" s="9" t="s">
        <v>1023</v>
      </c>
      <c r="H105" s="10">
        <v>103</v>
      </c>
      <c r="I105" s="11" t="s">
        <v>260</v>
      </c>
      <c r="J105" s="12" t="s">
        <v>261</v>
      </c>
    </row>
    <row r="106" spans="1:10" ht="60" customHeight="1" x14ac:dyDescent="0.3">
      <c r="A106" s="6" t="s">
        <v>262</v>
      </c>
      <c r="B106" s="6" t="s">
        <v>11</v>
      </c>
      <c r="C106" s="6" t="s">
        <v>263</v>
      </c>
      <c r="D106" s="7" t="s">
        <v>11</v>
      </c>
      <c r="E106" s="8" t="s">
        <v>264</v>
      </c>
      <c r="F106" s="6" t="s">
        <v>11</v>
      </c>
      <c r="G106" s="9" t="s">
        <v>1237</v>
      </c>
      <c r="H106" s="10" t="s">
        <v>257</v>
      </c>
      <c r="I106" s="11" t="s">
        <v>265</v>
      </c>
      <c r="J106" s="12" t="s">
        <v>266</v>
      </c>
    </row>
    <row r="107" spans="1:10" ht="60" customHeight="1" x14ac:dyDescent="0.3">
      <c r="A107" s="6" t="s">
        <v>267</v>
      </c>
      <c r="B107" s="6" t="s">
        <v>11</v>
      </c>
      <c r="C107" s="6" t="s">
        <v>56</v>
      </c>
      <c r="D107" s="7" t="s">
        <v>11</v>
      </c>
      <c r="E107" s="8" t="s">
        <v>268</v>
      </c>
      <c r="F107" s="6" t="s">
        <v>11</v>
      </c>
      <c r="G107" s="9" t="s">
        <v>1238</v>
      </c>
      <c r="H107" s="10">
        <v>105</v>
      </c>
      <c r="I107" s="11" t="s">
        <v>123</v>
      </c>
      <c r="J107" s="12" t="s">
        <v>124</v>
      </c>
    </row>
    <row r="108" spans="1:10" ht="60" customHeight="1" x14ac:dyDescent="0.3">
      <c r="A108" s="6" t="s">
        <v>269</v>
      </c>
      <c r="B108" s="6" t="s">
        <v>11</v>
      </c>
      <c r="C108" s="6" t="s">
        <v>56</v>
      </c>
      <c r="D108" s="7" t="s">
        <v>11</v>
      </c>
      <c r="E108" s="8" t="s">
        <v>270</v>
      </c>
      <c r="F108" s="6" t="s">
        <v>11</v>
      </c>
      <c r="G108" s="9" t="s">
        <v>1238</v>
      </c>
      <c r="H108" s="10" t="s">
        <v>267</v>
      </c>
      <c r="I108" s="11" t="s">
        <v>1182</v>
      </c>
      <c r="J108" s="12" t="s">
        <v>124</v>
      </c>
    </row>
    <row r="109" spans="1:10" ht="60" customHeight="1" x14ac:dyDescent="0.3">
      <c r="A109" s="6" t="s">
        <v>271</v>
      </c>
      <c r="B109" s="6" t="s">
        <v>11</v>
      </c>
      <c r="C109" s="6" t="s">
        <v>11</v>
      </c>
      <c r="D109" s="7" t="s">
        <v>11</v>
      </c>
      <c r="E109" s="8" t="s">
        <v>272</v>
      </c>
      <c r="F109" s="6" t="s">
        <v>11</v>
      </c>
      <c r="G109" s="9" t="s">
        <v>1200</v>
      </c>
      <c r="H109" s="10">
        <v>104</v>
      </c>
      <c r="I109" s="11" t="s">
        <v>1223</v>
      </c>
      <c r="J109" s="12"/>
    </row>
    <row r="110" spans="1:10" ht="60" customHeight="1" x14ac:dyDescent="0.3">
      <c r="A110" s="6" t="s">
        <v>273</v>
      </c>
      <c r="B110" s="6" t="s">
        <v>11</v>
      </c>
      <c r="C110" s="6" t="s">
        <v>11</v>
      </c>
      <c r="D110" s="7" t="s">
        <v>11</v>
      </c>
      <c r="E110" s="8" t="s">
        <v>274</v>
      </c>
      <c r="F110" s="6" t="s">
        <v>11</v>
      </c>
      <c r="G110" s="9" t="s">
        <v>370</v>
      </c>
      <c r="H110" s="10" t="s">
        <v>271</v>
      </c>
      <c r="I110" s="11" t="s">
        <v>170</v>
      </c>
      <c r="J110" s="12" t="s">
        <v>171</v>
      </c>
    </row>
    <row r="111" spans="1:10" ht="60" customHeight="1" x14ac:dyDescent="0.3">
      <c r="A111" s="6" t="s">
        <v>275</v>
      </c>
      <c r="B111" s="6" t="s">
        <v>11</v>
      </c>
      <c r="C111" s="6" t="s">
        <v>51</v>
      </c>
      <c r="D111" s="7" t="s">
        <v>11</v>
      </c>
      <c r="E111" s="8" t="s">
        <v>276</v>
      </c>
      <c r="F111" s="6" t="s">
        <v>11</v>
      </c>
      <c r="G111" s="9" t="s">
        <v>1239</v>
      </c>
      <c r="H111" s="10">
        <v>109</v>
      </c>
      <c r="I111" s="11" t="s">
        <v>1206</v>
      </c>
      <c r="J111" s="12" t="s">
        <v>86</v>
      </c>
    </row>
    <row r="112" spans="1:10" ht="60" customHeight="1" x14ac:dyDescent="0.3">
      <c r="A112" s="6" t="s">
        <v>277</v>
      </c>
      <c r="B112" s="6" t="s">
        <v>11</v>
      </c>
      <c r="C112" s="6" t="s">
        <v>48</v>
      </c>
      <c r="D112" s="7" t="s">
        <v>11</v>
      </c>
      <c r="E112" s="8" t="s">
        <v>278</v>
      </c>
      <c r="F112" s="6" t="s">
        <v>11</v>
      </c>
      <c r="G112" s="9" t="s">
        <v>1184</v>
      </c>
      <c r="H112" s="10" t="s">
        <v>275</v>
      </c>
      <c r="I112" s="11" t="s">
        <v>20</v>
      </c>
      <c r="J112" s="12" t="s">
        <v>21</v>
      </c>
    </row>
    <row r="113" spans="1:10" ht="60" customHeight="1" x14ac:dyDescent="0.3">
      <c r="A113" s="6" t="s">
        <v>279</v>
      </c>
      <c r="B113" s="6" t="s">
        <v>11</v>
      </c>
      <c r="C113" s="6" t="s">
        <v>48</v>
      </c>
      <c r="D113" s="7" t="s">
        <v>11</v>
      </c>
      <c r="E113" s="8" t="s">
        <v>280</v>
      </c>
      <c r="F113" s="6" t="s">
        <v>11</v>
      </c>
      <c r="G113" s="9" t="s">
        <v>1184</v>
      </c>
      <c r="H113" s="10" t="s">
        <v>277</v>
      </c>
      <c r="I113" s="11" t="s">
        <v>20</v>
      </c>
      <c r="J113" s="12" t="s">
        <v>21</v>
      </c>
    </row>
    <row r="114" spans="1:10" ht="60" customHeight="1" x14ac:dyDescent="0.3">
      <c r="A114" s="6" t="s">
        <v>281</v>
      </c>
      <c r="B114" s="6" t="s">
        <v>11</v>
      </c>
      <c r="C114" s="6" t="s">
        <v>282</v>
      </c>
      <c r="D114" s="7" t="s">
        <v>11</v>
      </c>
      <c r="E114" s="8" t="s">
        <v>283</v>
      </c>
      <c r="F114" s="6" t="s">
        <v>11</v>
      </c>
      <c r="G114" s="9" t="s">
        <v>1240</v>
      </c>
      <c r="H114" s="10" t="s">
        <v>275</v>
      </c>
      <c r="I114" s="11" t="s">
        <v>53</v>
      </c>
      <c r="J114" s="12" t="s">
        <v>54</v>
      </c>
    </row>
    <row r="115" spans="1:10" ht="60" customHeight="1" x14ac:dyDescent="0.3">
      <c r="A115" s="6" t="s">
        <v>284</v>
      </c>
      <c r="B115" s="6" t="s">
        <v>11</v>
      </c>
      <c r="C115" s="6" t="s">
        <v>48</v>
      </c>
      <c r="D115" s="7" t="s">
        <v>11</v>
      </c>
      <c r="E115" s="8" t="s">
        <v>285</v>
      </c>
      <c r="F115" s="6" t="s">
        <v>11</v>
      </c>
      <c r="G115" s="9" t="s">
        <v>1184</v>
      </c>
      <c r="H115" s="10" t="s">
        <v>281</v>
      </c>
      <c r="I115" s="11" t="s">
        <v>20</v>
      </c>
      <c r="J115" s="12" t="s">
        <v>21</v>
      </c>
    </row>
    <row r="116" spans="1:10" ht="60" customHeight="1" x14ac:dyDescent="0.3">
      <c r="A116" s="6" t="s">
        <v>286</v>
      </c>
      <c r="B116" s="6" t="s">
        <v>11</v>
      </c>
      <c r="C116" s="6" t="s">
        <v>11</v>
      </c>
      <c r="D116" s="7" t="s">
        <v>11</v>
      </c>
      <c r="E116" s="8" t="s">
        <v>287</v>
      </c>
      <c r="F116" s="6" t="s">
        <v>11</v>
      </c>
      <c r="G116" s="9" t="s">
        <v>1085</v>
      </c>
      <c r="H116" s="10">
        <v>113</v>
      </c>
      <c r="I116" s="11" t="s">
        <v>1243</v>
      </c>
      <c r="J116" s="12"/>
    </row>
    <row r="117" spans="1:10" ht="60" customHeight="1" x14ac:dyDescent="0.3">
      <c r="A117" s="6" t="s">
        <v>288</v>
      </c>
      <c r="B117" s="6" t="s">
        <v>11</v>
      </c>
      <c r="C117" s="6" t="s">
        <v>11</v>
      </c>
      <c r="D117" s="7" t="s">
        <v>11</v>
      </c>
      <c r="E117" s="8" t="s">
        <v>289</v>
      </c>
      <c r="F117" s="6" t="s">
        <v>11</v>
      </c>
      <c r="G117" s="9" t="s">
        <v>1199</v>
      </c>
      <c r="H117" s="10">
        <v>115</v>
      </c>
      <c r="I117" s="11" t="s">
        <v>139</v>
      </c>
      <c r="J117" s="12"/>
    </row>
    <row r="118" spans="1:10" ht="60" customHeight="1" x14ac:dyDescent="0.3">
      <c r="A118" s="6" t="s">
        <v>290</v>
      </c>
      <c r="B118" s="6" t="s">
        <v>11</v>
      </c>
      <c r="C118" s="6" t="s">
        <v>291</v>
      </c>
      <c r="D118" s="7" t="s">
        <v>11</v>
      </c>
      <c r="E118" s="8" t="s">
        <v>292</v>
      </c>
      <c r="F118" s="6" t="s">
        <v>11</v>
      </c>
      <c r="G118" s="9" t="s">
        <v>1242</v>
      </c>
      <c r="H118" s="10" t="s">
        <v>288</v>
      </c>
      <c r="I118" s="11" t="s">
        <v>1241</v>
      </c>
      <c r="J118" s="12" t="s">
        <v>293</v>
      </c>
    </row>
    <row r="119" spans="1:10" ht="60" customHeight="1" x14ac:dyDescent="0.3">
      <c r="A119" s="6" t="s">
        <v>294</v>
      </c>
      <c r="B119" s="6" t="s">
        <v>11</v>
      </c>
      <c r="C119" s="6" t="s">
        <v>11</v>
      </c>
      <c r="D119" s="7" t="s">
        <v>11</v>
      </c>
      <c r="E119" s="8" t="s">
        <v>295</v>
      </c>
      <c r="F119" s="6" t="s">
        <v>11</v>
      </c>
      <c r="G119" s="9" t="s">
        <v>1225</v>
      </c>
      <c r="H119" s="10">
        <v>116</v>
      </c>
      <c r="I119" s="11" t="s">
        <v>1206</v>
      </c>
      <c r="J119" s="12"/>
    </row>
    <row r="120" spans="1:10" ht="60" customHeight="1" x14ac:dyDescent="0.3">
      <c r="A120" s="6" t="s">
        <v>296</v>
      </c>
      <c r="B120" s="6" t="s">
        <v>11</v>
      </c>
      <c r="C120" s="6" t="s">
        <v>11</v>
      </c>
      <c r="D120" s="7" t="s">
        <v>11</v>
      </c>
      <c r="E120" s="8" t="s">
        <v>297</v>
      </c>
      <c r="F120" s="6" t="s">
        <v>11</v>
      </c>
      <c r="G120" s="9" t="s">
        <v>600</v>
      </c>
      <c r="H120" s="10">
        <v>120</v>
      </c>
      <c r="I120" s="11" t="s">
        <v>1227</v>
      </c>
      <c r="J120" s="12"/>
    </row>
    <row r="121" spans="1:10" ht="60" customHeight="1" x14ac:dyDescent="0.3">
      <c r="A121" s="6" t="s">
        <v>298</v>
      </c>
      <c r="B121" s="6" t="s">
        <v>11</v>
      </c>
      <c r="C121" s="6" t="s">
        <v>299</v>
      </c>
      <c r="D121" s="7" t="s">
        <v>11</v>
      </c>
      <c r="E121" s="8" t="s">
        <v>300</v>
      </c>
      <c r="F121" s="6" t="s">
        <v>11</v>
      </c>
      <c r="G121" s="9" t="s">
        <v>1181</v>
      </c>
      <c r="H121" s="10" t="s">
        <v>296</v>
      </c>
      <c r="I121" s="11" t="s">
        <v>16</v>
      </c>
      <c r="J121" s="12" t="s">
        <v>17</v>
      </c>
    </row>
    <row r="122" spans="1:10" ht="60" customHeight="1" x14ac:dyDescent="0.3">
      <c r="A122" s="6" t="s">
        <v>301</v>
      </c>
      <c r="B122" s="6" t="s">
        <v>11</v>
      </c>
      <c r="C122" s="6" t="s">
        <v>11</v>
      </c>
      <c r="D122" s="7" t="s">
        <v>11</v>
      </c>
      <c r="E122" s="8" t="s">
        <v>302</v>
      </c>
      <c r="F122" s="6" t="s">
        <v>11</v>
      </c>
      <c r="G122" s="9" t="s">
        <v>1248</v>
      </c>
      <c r="H122" s="10">
        <v>120</v>
      </c>
      <c r="I122" s="11" t="s">
        <v>1206</v>
      </c>
      <c r="J122" s="12"/>
    </row>
    <row r="123" spans="1:10" ht="60" customHeight="1" x14ac:dyDescent="0.3">
      <c r="A123" s="6" t="s">
        <v>303</v>
      </c>
      <c r="B123" s="6" t="s">
        <v>11</v>
      </c>
      <c r="C123" s="6" t="s">
        <v>11</v>
      </c>
      <c r="D123" s="7" t="s">
        <v>11</v>
      </c>
      <c r="E123" s="8" t="s">
        <v>304</v>
      </c>
      <c r="F123" s="6" t="s">
        <v>11</v>
      </c>
      <c r="G123" s="9" t="s">
        <v>791</v>
      </c>
      <c r="H123" s="10">
        <v>121</v>
      </c>
      <c r="I123" s="11" t="s">
        <v>1244</v>
      </c>
      <c r="J123" s="12"/>
    </row>
    <row r="124" spans="1:10" ht="60" customHeight="1" x14ac:dyDescent="0.3">
      <c r="A124" s="6" t="s">
        <v>305</v>
      </c>
      <c r="B124" s="6" t="s">
        <v>11</v>
      </c>
      <c r="C124" s="6" t="s">
        <v>306</v>
      </c>
      <c r="D124" s="7" t="s">
        <v>11</v>
      </c>
      <c r="E124" s="8" t="s">
        <v>307</v>
      </c>
      <c r="F124" s="6" t="s">
        <v>11</v>
      </c>
      <c r="G124" s="9" t="s">
        <v>491</v>
      </c>
      <c r="H124" s="10" t="s">
        <v>303</v>
      </c>
      <c r="I124" s="11" t="s">
        <v>1245</v>
      </c>
      <c r="J124" s="12" t="s">
        <v>266</v>
      </c>
    </row>
    <row r="125" spans="1:10" ht="60" customHeight="1" x14ac:dyDescent="0.3">
      <c r="A125" s="6" t="s">
        <v>308</v>
      </c>
      <c r="B125" s="6" t="s">
        <v>11</v>
      </c>
      <c r="C125" s="6" t="s">
        <v>193</v>
      </c>
      <c r="D125" s="7" t="s">
        <v>11</v>
      </c>
      <c r="E125" s="8" t="s">
        <v>309</v>
      </c>
      <c r="F125" s="6" t="s">
        <v>11</v>
      </c>
      <c r="G125" s="9" t="s">
        <v>1204</v>
      </c>
      <c r="H125" s="10" t="s">
        <v>305</v>
      </c>
      <c r="I125" s="11" t="s">
        <v>16</v>
      </c>
      <c r="J125" s="12" t="s">
        <v>17</v>
      </c>
    </row>
    <row r="126" spans="1:10" ht="60" customHeight="1" x14ac:dyDescent="0.3">
      <c r="A126" s="6" t="s">
        <v>310</v>
      </c>
      <c r="B126" s="6" t="s">
        <v>11</v>
      </c>
      <c r="C126" s="6" t="s">
        <v>11</v>
      </c>
      <c r="D126" s="7" t="s">
        <v>11</v>
      </c>
      <c r="E126" s="8" t="s">
        <v>311</v>
      </c>
      <c r="F126" s="6" t="s">
        <v>11</v>
      </c>
      <c r="G126" s="9" t="s">
        <v>1246</v>
      </c>
      <c r="H126" s="10">
        <v>124</v>
      </c>
      <c r="I126" s="11" t="s">
        <v>1206</v>
      </c>
      <c r="J126" s="12"/>
    </row>
    <row r="127" spans="1:10" ht="60" customHeight="1" x14ac:dyDescent="0.3">
      <c r="A127" s="6" t="s">
        <v>312</v>
      </c>
      <c r="B127" s="6" t="s">
        <v>11</v>
      </c>
      <c r="C127" s="6" t="s">
        <v>14</v>
      </c>
      <c r="D127" s="7" t="s">
        <v>11</v>
      </c>
      <c r="E127" s="8" t="s">
        <v>313</v>
      </c>
      <c r="F127" s="6" t="s">
        <v>11</v>
      </c>
      <c r="G127" s="9" t="s">
        <v>1247</v>
      </c>
      <c r="H127" s="10" t="s">
        <v>308</v>
      </c>
      <c r="I127" s="11" t="s">
        <v>16</v>
      </c>
      <c r="J127" s="12" t="s">
        <v>17</v>
      </c>
    </row>
    <row r="128" spans="1:10" ht="60" customHeight="1" x14ac:dyDescent="0.3">
      <c r="A128" s="6" t="s">
        <v>314</v>
      </c>
      <c r="B128" s="6" t="s">
        <v>11</v>
      </c>
      <c r="C128" s="6" t="s">
        <v>11</v>
      </c>
      <c r="D128" s="7" t="s">
        <v>11</v>
      </c>
      <c r="E128" s="8" t="s">
        <v>315</v>
      </c>
      <c r="F128" s="6" t="s">
        <v>11</v>
      </c>
      <c r="G128" s="9" t="s">
        <v>11</v>
      </c>
      <c r="H128" s="10" t="s">
        <v>11</v>
      </c>
      <c r="I128" s="11" t="s">
        <v>1229</v>
      </c>
      <c r="J1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316</v>
      </c>
      <c r="B1" s="13" t="s">
        <v>317</v>
      </c>
      <c r="C1" s="13" t="s">
        <v>318</v>
      </c>
      <c r="D1" s="13" t="s">
        <v>319</v>
      </c>
      <c r="E1" s="14" t="s">
        <v>320</v>
      </c>
      <c r="F1" s="15" t="s">
        <v>321</v>
      </c>
      <c r="G1" s="16" t="s">
        <v>322</v>
      </c>
      <c r="H1" s="17" t="s">
        <v>323</v>
      </c>
      <c r="I1" s="18" t="s">
        <v>324</v>
      </c>
      <c r="J1" s="18" t="s">
        <v>325</v>
      </c>
      <c r="K1" s="18" t="s">
        <v>326</v>
      </c>
      <c r="L1" s="19" t="s">
        <v>9</v>
      </c>
    </row>
    <row r="2" spans="1:12" x14ac:dyDescent="0.3">
      <c r="A2" t="s">
        <v>327</v>
      </c>
    </row>
    <row r="3" spans="1:12" x14ac:dyDescent="0.3">
      <c r="A3" t="s">
        <v>328</v>
      </c>
      <c r="E3" s="20" t="str">
        <f t="shared" ref="E3:E9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9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329</v>
      </c>
      <c r="B4" s="26" t="s">
        <v>330</v>
      </c>
      <c r="C4" s="26" t="s">
        <v>331</v>
      </c>
      <c r="D4" s="26" t="s">
        <v>332</v>
      </c>
      <c r="E4" s="20" t="str">
        <f t="shared" si="0"/>
        <v>!!!</v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333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334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335</v>
      </c>
      <c r="E7" s="20" t="str">
        <f t="shared" si="0"/>
        <v/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336</v>
      </c>
      <c r="B8" s="26" t="s">
        <v>337</v>
      </c>
      <c r="C8" s="26" t="s">
        <v>331</v>
      </c>
      <c r="D8" s="26" t="s">
        <v>332</v>
      </c>
      <c r="E8" s="20" t="str">
        <f t="shared" si="0"/>
        <v>!!!</v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338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1" spans="1:12" x14ac:dyDescent="0.3">
      <c r="A11" t="s">
        <v>339</v>
      </c>
    </row>
    <row r="12" spans="1:12" x14ac:dyDescent="0.3">
      <c r="A12" t="s">
        <v>340</v>
      </c>
      <c r="B12" s="26" t="s">
        <v>330</v>
      </c>
      <c r="C12" s="26" t="s">
        <v>341</v>
      </c>
      <c r="D12" s="26" t="s">
        <v>332</v>
      </c>
      <c r="E12" s="20" t="str">
        <f t="shared" ref="E12:E17" si="2">IF(D12="?OLD","!!!","")</f>
        <v>!!!</v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ref="H12:H17" ca="1" si="3">IF(J12&lt;&gt;1,"",IF(I12="SBJ","CB","?"))</f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342</v>
      </c>
      <c r="E13" s="20" t="str">
        <f t="shared" si="2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3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343</v>
      </c>
      <c r="B14" s="26" t="s">
        <v>344</v>
      </c>
      <c r="E14" s="20" t="str">
        <f t="shared" si="2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3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345</v>
      </c>
      <c r="E15" s="20" t="str">
        <f t="shared" si="2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3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346</v>
      </c>
      <c r="E16" s="20" t="str">
        <f t="shared" si="2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3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338</v>
      </c>
      <c r="E17" s="20" t="str">
        <f t="shared" si="2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3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9" spans="1:12" x14ac:dyDescent="0.3">
      <c r="A19" t="s">
        <v>347</v>
      </c>
    </row>
    <row r="20" spans="1:12" x14ac:dyDescent="0.3">
      <c r="A20" t="s">
        <v>348</v>
      </c>
      <c r="E20" s="20" t="str">
        <f t="shared" ref="E20:E34" si="4">IF(D20="?OLD","!!!","")</f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ref="H20:H34" ca="1" si="5">IF(J20&lt;&gt;1,"",IF(I20="SBJ","CB","?"))</f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349</v>
      </c>
      <c r="B21" s="26" t="s">
        <v>330</v>
      </c>
      <c r="C21" s="26" t="s">
        <v>341</v>
      </c>
      <c r="D21" s="26" t="s">
        <v>332</v>
      </c>
      <c r="E21" s="20" t="str">
        <f t="shared" si="4"/>
        <v>!!!</v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5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350</v>
      </c>
      <c r="E22" s="20" t="str">
        <f t="shared" si="4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5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351</v>
      </c>
      <c r="E23" s="20" t="str">
        <f t="shared" si="4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5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352</v>
      </c>
      <c r="E24" s="20" t="str">
        <f t="shared" si="4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5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353</v>
      </c>
      <c r="B25" s="26" t="s">
        <v>354</v>
      </c>
      <c r="C25" s="26" t="s">
        <v>355</v>
      </c>
      <c r="E25" s="20" t="str">
        <f t="shared" si="4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5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356</v>
      </c>
      <c r="B26" s="26" t="s">
        <v>357</v>
      </c>
      <c r="C26" s="26" t="s">
        <v>358</v>
      </c>
      <c r="E26" s="20" t="str">
        <f t="shared" si="4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5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359</v>
      </c>
      <c r="E27" s="20" t="str">
        <f t="shared" si="4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5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360</v>
      </c>
      <c r="E28" s="20" t="str">
        <f t="shared" si="4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5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361</v>
      </c>
      <c r="B29" s="26" t="s">
        <v>362</v>
      </c>
      <c r="C29" s="26" t="s">
        <v>331</v>
      </c>
      <c r="D29" s="26" t="s">
        <v>332</v>
      </c>
      <c r="E29" s="20" t="str">
        <f t="shared" si="4"/>
        <v>!!!</v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5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363</v>
      </c>
      <c r="E30" s="20" t="str">
        <f t="shared" si="4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5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364</v>
      </c>
      <c r="E31" s="20" t="str">
        <f t="shared" si="4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5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365</v>
      </c>
      <c r="B32" s="26" t="s">
        <v>357</v>
      </c>
      <c r="C32" s="26" t="s">
        <v>366</v>
      </c>
      <c r="E32" s="20" t="str">
        <f t="shared" si="4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5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367</v>
      </c>
      <c r="E33" s="20" t="str">
        <f t="shared" si="4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5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338</v>
      </c>
      <c r="E34" s="20" t="str">
        <f t="shared" si="4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5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6" spans="1:12" x14ac:dyDescent="0.3">
      <c r="A36" t="s">
        <v>368</v>
      </c>
    </row>
    <row r="37" spans="1:12" x14ac:dyDescent="0.3">
      <c r="A37" t="s">
        <v>369</v>
      </c>
      <c r="E37" s="20" t="str">
        <f t="shared" ref="E37:E43" si="6">IF(D37="?OLD","!!!","")</f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ref="H37:H43" ca="1" si="7">IF(J37&lt;&gt;1,"",IF(I37="SBJ","CB","?"))</f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370</v>
      </c>
      <c r="E38" s="20" t="str">
        <f t="shared" si="6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7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371</v>
      </c>
      <c r="B39" s="26" t="s">
        <v>330</v>
      </c>
      <c r="C39" s="26" t="s">
        <v>341</v>
      </c>
      <c r="D39" s="26" t="s">
        <v>332</v>
      </c>
      <c r="E39" s="20" t="str">
        <f t="shared" si="6"/>
        <v>!!!</v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7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372</v>
      </c>
      <c r="E40" s="20" t="str">
        <f t="shared" si="6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7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373</v>
      </c>
      <c r="B41" s="26" t="s">
        <v>337</v>
      </c>
      <c r="C41" s="26" t="s">
        <v>355</v>
      </c>
      <c r="E41" s="20" t="str">
        <f t="shared" si="6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7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374</v>
      </c>
      <c r="E42" s="20" t="str">
        <f t="shared" si="6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7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338</v>
      </c>
      <c r="E43" s="20" t="str">
        <f t="shared" si="6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7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5" spans="1:12" x14ac:dyDescent="0.3">
      <c r="A45" t="s">
        <v>375</v>
      </c>
    </row>
    <row r="46" spans="1:12" x14ac:dyDescent="0.3">
      <c r="A46" t="s">
        <v>376</v>
      </c>
      <c r="E46" s="20" t="str">
        <f t="shared" ref="E46:E62" si="8">IF(D46="?OLD","!!!","")</f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ref="H46:H62" ca="1" si="9">IF(J46&lt;&gt;1,"",IF(I46="SBJ","CB","?"))</f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373</v>
      </c>
      <c r="B47" s="26" t="s">
        <v>337</v>
      </c>
      <c r="C47" s="26" t="s">
        <v>355</v>
      </c>
      <c r="E47" s="20" t="str">
        <f t="shared" si="8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9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377</v>
      </c>
      <c r="B48" s="26" t="s">
        <v>378</v>
      </c>
      <c r="C48" s="26" t="s">
        <v>379</v>
      </c>
      <c r="D48" s="26" t="s">
        <v>332</v>
      </c>
      <c r="E48" s="20" t="str">
        <f t="shared" si="8"/>
        <v>!!!</v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9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349</v>
      </c>
      <c r="B49" s="26" t="s">
        <v>330</v>
      </c>
      <c r="C49" s="26" t="s">
        <v>341</v>
      </c>
      <c r="D49" s="26" t="s">
        <v>332</v>
      </c>
      <c r="E49" s="20" t="str">
        <f t="shared" si="8"/>
        <v>!!!</v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9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380</v>
      </c>
      <c r="E50" s="20" t="str">
        <f t="shared" si="8"/>
        <v/>
      </c>
      <c r="F50" s="21" t="str">
        <f>IF(OR(E50="",E50="!!!"),"",IF(NOT(ISNA(VLOOKUP(E50,E$1:E49,1,FALSE()))),"OLD",IF(AND(E50&lt;&gt;"",E50&lt;&gt;"!!!"),"NEW","")))</f>
        <v/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9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345</v>
      </c>
      <c r="E51" s="20" t="str">
        <f t="shared" si="8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9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381</v>
      </c>
      <c r="E52" s="20" t="str">
        <f t="shared" si="8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9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382</v>
      </c>
      <c r="B53" s="26" t="s">
        <v>344</v>
      </c>
      <c r="C53" s="26" t="s">
        <v>331</v>
      </c>
      <c r="D53" s="26" t="s">
        <v>332</v>
      </c>
      <c r="E53" s="20" t="str">
        <f t="shared" si="8"/>
        <v>!!!</v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9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383</v>
      </c>
      <c r="E54" s="20" t="str">
        <f t="shared" si="8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9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384</v>
      </c>
      <c r="E55" s="20" t="str">
        <f t="shared" si="8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9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385</v>
      </c>
      <c r="E56" s="20" t="str">
        <f t="shared" si="8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9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386</v>
      </c>
      <c r="E57" s="20" t="str">
        <f t="shared" si="8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9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387</v>
      </c>
      <c r="B58" s="26" t="s">
        <v>378</v>
      </c>
      <c r="C58" s="26" t="s">
        <v>355</v>
      </c>
      <c r="E58" s="20" t="str">
        <f t="shared" si="8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9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385</v>
      </c>
      <c r="E59" s="20" t="str">
        <f t="shared" si="8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9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388</v>
      </c>
      <c r="E60" s="20" t="str">
        <f t="shared" si="8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9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389</v>
      </c>
      <c r="B61" s="26" t="s">
        <v>362</v>
      </c>
      <c r="C61" s="26" t="s">
        <v>355</v>
      </c>
      <c r="E61" s="20" t="str">
        <f t="shared" si="8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9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338</v>
      </c>
      <c r="E62" s="20" t="str">
        <f t="shared" si="8"/>
        <v/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9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4" spans="1:12" x14ac:dyDescent="0.3">
      <c r="A64" t="s">
        <v>390</v>
      </c>
    </row>
    <row r="65" spans="1:12" x14ac:dyDescent="0.3">
      <c r="A65" t="s">
        <v>391</v>
      </c>
      <c r="B65" s="26" t="s">
        <v>330</v>
      </c>
      <c r="C65" s="26" t="s">
        <v>341</v>
      </c>
      <c r="D65" s="26" t="s">
        <v>332</v>
      </c>
      <c r="E65" s="20" t="str">
        <f t="shared" ref="E65:E81" si="10">IF(D65="?OLD","!!!","")</f>
        <v>!!!</v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ref="H65:H81" ca="1" si="11">IF(J65&lt;&gt;1,"",IF(I65="SBJ","CB","?"))</f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333</v>
      </c>
      <c r="E66" s="20" t="str">
        <f t="shared" si="10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11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392</v>
      </c>
      <c r="E67" s="20" t="str">
        <f t="shared" si="10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11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351</v>
      </c>
      <c r="E68" s="20" t="str">
        <f t="shared" si="10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11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393</v>
      </c>
      <c r="B69" s="26" t="s">
        <v>354</v>
      </c>
      <c r="C69" s="26" t="s">
        <v>394</v>
      </c>
      <c r="D69" s="26" t="s">
        <v>332</v>
      </c>
      <c r="E69" s="20" t="str">
        <f t="shared" si="10"/>
        <v>!!!</v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11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395</v>
      </c>
      <c r="B70" s="26" t="s">
        <v>357</v>
      </c>
      <c r="C70" s="26" t="s">
        <v>355</v>
      </c>
      <c r="E70" s="20" t="str">
        <f t="shared" si="10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11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396</v>
      </c>
      <c r="E71" s="20" t="str">
        <f t="shared" si="10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11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397</v>
      </c>
      <c r="E72" s="20" t="str">
        <f t="shared" si="10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11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351</v>
      </c>
      <c r="E73" s="20" t="str">
        <f t="shared" si="10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11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398</v>
      </c>
      <c r="E74" s="20" t="str">
        <f t="shared" si="10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11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399</v>
      </c>
      <c r="B75" s="26" t="s">
        <v>354</v>
      </c>
      <c r="C75" s="26" t="s">
        <v>394</v>
      </c>
      <c r="D75" s="26" t="s">
        <v>332</v>
      </c>
      <c r="E75" s="20" t="str">
        <f t="shared" si="10"/>
        <v>!!!</v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11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400</v>
      </c>
      <c r="E76" s="20" t="str">
        <f t="shared" si="10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11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401</v>
      </c>
      <c r="E77" s="20" t="str">
        <f t="shared" si="10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11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402</v>
      </c>
      <c r="E78" s="20" t="str">
        <f t="shared" si="10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11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403</v>
      </c>
      <c r="B79" s="26" t="s">
        <v>357</v>
      </c>
      <c r="C79" s="26" t="s">
        <v>355</v>
      </c>
      <c r="E79" s="20" t="str">
        <f t="shared" si="10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11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404</v>
      </c>
      <c r="E80" s="20" t="str">
        <f t="shared" si="10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11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338</v>
      </c>
      <c r="E81" s="20" t="str">
        <f t="shared" si="10"/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11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3" spans="1:12" x14ac:dyDescent="0.3">
      <c r="A83" t="s">
        <v>405</v>
      </c>
    </row>
    <row r="84" spans="1:12" x14ac:dyDescent="0.3">
      <c r="A84" t="s">
        <v>406</v>
      </c>
      <c r="E84" s="20" t="str">
        <f t="shared" ref="E84:E113" si="12">IF(D84="?OLD","!!!","")</f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ref="H84:H113" ca="1" si="13">IF(J84&lt;&gt;1,"",IF(I84="SBJ","CB","?"))</f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407</v>
      </c>
      <c r="E85" s="20" t="str">
        <f t="shared" si="12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13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340</v>
      </c>
      <c r="B86" s="26" t="s">
        <v>330</v>
      </c>
      <c r="C86" s="26" t="s">
        <v>341</v>
      </c>
      <c r="D86" s="26" t="s">
        <v>332</v>
      </c>
      <c r="E86" s="20" t="str">
        <f t="shared" si="12"/>
        <v>!!!</v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13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408</v>
      </c>
      <c r="E87" s="20" t="str">
        <f t="shared" si="12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13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409</v>
      </c>
      <c r="E88" s="20" t="str">
        <f t="shared" si="12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13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410</v>
      </c>
      <c r="E89" s="20" t="str">
        <f t="shared" si="12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13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328</v>
      </c>
      <c r="E90" s="20" t="str">
        <f t="shared" si="12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13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411</v>
      </c>
      <c r="E91" s="20" t="str">
        <f t="shared" si="12"/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13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412</v>
      </c>
      <c r="B92" s="26" t="s">
        <v>357</v>
      </c>
      <c r="C92" s="26" t="s">
        <v>331</v>
      </c>
      <c r="D92" s="26" t="s">
        <v>332</v>
      </c>
      <c r="E92" s="20" t="str">
        <f t="shared" si="12"/>
        <v>!!!</v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13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351</v>
      </c>
      <c r="E93" s="20" t="str">
        <f t="shared" si="12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13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380</v>
      </c>
      <c r="E94" s="20" t="str">
        <f t="shared" si="12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13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345</v>
      </c>
      <c r="E95" s="20" t="str">
        <f t="shared" si="12"/>
        <v/>
      </c>
      <c r="F95" s="21" t="str">
        <f>IF(OR(E95="",E95="!!!"),"",IF(NOT(ISNA(VLOOKUP(E95,E$1:E94,1,FALSE()))),"OLD",IF(AND(E95&lt;&gt;"",E95&lt;&gt;"!!!"),"NEW","")))</f>
        <v/>
      </c>
      <c r="G95" s="22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t="shared" ca="1" si="13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413</v>
      </c>
      <c r="B96" s="26" t="s">
        <v>354</v>
      </c>
      <c r="C96" s="26" t="s">
        <v>331</v>
      </c>
      <c r="D96" s="26" t="s">
        <v>332</v>
      </c>
      <c r="E96" s="20" t="str">
        <f t="shared" si="12"/>
        <v>!!!</v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ca="1" si="13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414</v>
      </c>
      <c r="E97" s="20" t="str">
        <f t="shared" si="12"/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13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373</v>
      </c>
      <c r="B98" s="26" t="s">
        <v>378</v>
      </c>
      <c r="C98" s="26" t="s">
        <v>355</v>
      </c>
      <c r="E98" s="20" t="str">
        <f t="shared" si="12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13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415</v>
      </c>
      <c r="E99" s="20" t="str">
        <f t="shared" si="12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13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351</v>
      </c>
      <c r="E100" s="20" t="str">
        <f t="shared" si="12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13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416</v>
      </c>
      <c r="E101" s="20" t="str">
        <f t="shared" si="12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13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417</v>
      </c>
      <c r="E102" s="20" t="str">
        <f t="shared" si="12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13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418</v>
      </c>
      <c r="E103" s="20" t="str">
        <f t="shared" si="12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13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353</v>
      </c>
      <c r="B104" s="26" t="s">
        <v>362</v>
      </c>
      <c r="C104" s="26" t="s">
        <v>355</v>
      </c>
      <c r="E104" s="20" t="str">
        <f t="shared" si="12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13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351</v>
      </c>
      <c r="E105" s="20" t="str">
        <f t="shared" si="12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13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419</v>
      </c>
      <c r="E106" s="20" t="str">
        <f t="shared" si="12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13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420</v>
      </c>
      <c r="E107" s="20" t="str">
        <f t="shared" si="12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13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353</v>
      </c>
      <c r="B108" s="26" t="s">
        <v>330</v>
      </c>
      <c r="C108" s="26" t="s">
        <v>331</v>
      </c>
      <c r="D108" s="26" t="s">
        <v>332</v>
      </c>
      <c r="E108" s="20" t="str">
        <f t="shared" si="12"/>
        <v>!!!</v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13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383</v>
      </c>
      <c r="E109" s="20" t="str">
        <f t="shared" si="12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13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421</v>
      </c>
      <c r="B110" s="26" t="s">
        <v>378</v>
      </c>
      <c r="C110" s="26" t="s">
        <v>355</v>
      </c>
      <c r="E110" s="20" t="str">
        <f t="shared" si="12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13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385</v>
      </c>
      <c r="E111" s="20" t="str">
        <f t="shared" si="12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13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422</v>
      </c>
      <c r="B112" s="26" t="s">
        <v>362</v>
      </c>
      <c r="C112" s="26" t="s">
        <v>355</v>
      </c>
      <c r="E112" s="20" t="str">
        <f t="shared" si="12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13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338</v>
      </c>
      <c r="E113" s="20" t="str">
        <f t="shared" si="12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13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5" spans="1:12" x14ac:dyDescent="0.3">
      <c r="A115" t="s">
        <v>423</v>
      </c>
    </row>
    <row r="116" spans="1:12" x14ac:dyDescent="0.3">
      <c r="A116" t="s">
        <v>424</v>
      </c>
      <c r="B116" s="26" t="s">
        <v>330</v>
      </c>
      <c r="C116" s="26" t="s">
        <v>341</v>
      </c>
      <c r="D116" s="26" t="s">
        <v>332</v>
      </c>
      <c r="E116" s="20" t="str">
        <f t="shared" ref="E116:E146" si="14">IF(D116="?OLD","!!!","")</f>
        <v>!!!</v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ref="H116:H146" ca="1" si="15">IF(J116&lt;&gt;1,"",IF(I116="SBJ","CB","?"))</f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425</v>
      </c>
      <c r="E117" s="20" t="str">
        <f t="shared" si="14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15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351</v>
      </c>
      <c r="E118" s="20" t="str">
        <f t="shared" si="14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15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352</v>
      </c>
      <c r="E119" s="20" t="str">
        <f t="shared" si="14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15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426</v>
      </c>
      <c r="E120" s="20" t="str">
        <f t="shared" si="14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15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427</v>
      </c>
      <c r="B121" s="26" t="s">
        <v>354</v>
      </c>
      <c r="C121" s="26" t="s">
        <v>355</v>
      </c>
      <c r="E121" s="20" t="str">
        <f t="shared" si="14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15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428</v>
      </c>
      <c r="E122" s="20" t="str">
        <f t="shared" si="14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15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429</v>
      </c>
      <c r="E123" s="20" t="str">
        <f t="shared" si="14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15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333</v>
      </c>
      <c r="E124" s="20" t="str">
        <f t="shared" si="14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15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351</v>
      </c>
      <c r="E125" s="20" t="str">
        <f t="shared" si="14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15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430</v>
      </c>
      <c r="E126" s="20" t="str">
        <f t="shared" si="14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15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340</v>
      </c>
      <c r="B127" s="26" t="s">
        <v>431</v>
      </c>
      <c r="C127" s="26" t="s">
        <v>341</v>
      </c>
      <c r="D127" s="26" t="s">
        <v>332</v>
      </c>
      <c r="E127" s="20" t="str">
        <f t="shared" si="14"/>
        <v>!!!</v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15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432</v>
      </c>
      <c r="E128" s="20" t="str">
        <f t="shared" si="14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15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351</v>
      </c>
      <c r="E129" s="20" t="str">
        <f t="shared" si="14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15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433</v>
      </c>
      <c r="E130" s="20" t="str">
        <f t="shared" si="14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5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434</v>
      </c>
      <c r="E131" s="20" t="str">
        <f t="shared" si="14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15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351</v>
      </c>
      <c r="E132" s="20" t="str">
        <f t="shared" si="14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5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430</v>
      </c>
      <c r="E133" s="20" t="str">
        <f t="shared" si="14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15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340</v>
      </c>
      <c r="B134" s="26" t="s">
        <v>431</v>
      </c>
      <c r="C134" s="26" t="s">
        <v>341</v>
      </c>
      <c r="D134" s="26" t="s">
        <v>332</v>
      </c>
      <c r="E134" s="20" t="str">
        <f t="shared" si="14"/>
        <v>!!!</v>
      </c>
      <c r="F134" s="21" t="str">
        <f>IF(OR(E134="",E134="!!!"),"",IF(NOT(ISNA(VLOOKUP(E134,E$1:E133,1,FALSE()))),"OLD",IF(AND(E134&lt;&gt;"",E134&lt;&gt;"!!!"),"NEW","")))</f>
        <v/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ca="1" si="15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435</v>
      </c>
      <c r="E135" s="20" t="str">
        <f t="shared" si="14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15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351</v>
      </c>
      <c r="E136" s="20" t="str">
        <f t="shared" si="14"/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15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385</v>
      </c>
      <c r="E137" s="20" t="str">
        <f t="shared" si="14"/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15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436</v>
      </c>
      <c r="E138" s="20" t="str">
        <f t="shared" si="14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15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333</v>
      </c>
      <c r="E139" s="20" t="str">
        <f t="shared" si="14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5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351</v>
      </c>
      <c r="E140" s="20" t="str">
        <f t="shared" si="14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5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430</v>
      </c>
      <c r="E141" s="20" t="str">
        <f t="shared" si="14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5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437</v>
      </c>
      <c r="B142" s="26" t="s">
        <v>354</v>
      </c>
      <c r="C142" s="26" t="s">
        <v>438</v>
      </c>
      <c r="D142" s="26" t="s">
        <v>332</v>
      </c>
      <c r="E142" s="20" t="str">
        <f t="shared" si="14"/>
        <v>!!!</v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5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439</v>
      </c>
      <c r="B143" s="26" t="s">
        <v>357</v>
      </c>
      <c r="C143" s="26" t="s">
        <v>438</v>
      </c>
      <c r="D143" s="26" t="s">
        <v>332</v>
      </c>
      <c r="E143" s="20" t="str">
        <f t="shared" si="14"/>
        <v>!!!</v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5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440</v>
      </c>
      <c r="E144" s="20" t="str">
        <f t="shared" si="14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5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441</v>
      </c>
      <c r="E145" s="20" t="str">
        <f t="shared" si="14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5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338</v>
      </c>
      <c r="E146" s="20" t="str">
        <f t="shared" si="14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15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8" spans="1:12" x14ac:dyDescent="0.3">
      <c r="A148" t="s">
        <v>442</v>
      </c>
    </row>
    <row r="149" spans="1:12" x14ac:dyDescent="0.3">
      <c r="A149" t="s">
        <v>443</v>
      </c>
      <c r="B149" s="26" t="s">
        <v>337</v>
      </c>
      <c r="C149" s="26" t="s">
        <v>355</v>
      </c>
      <c r="E149" s="20" t="str">
        <f t="shared" ref="E149:E184" si="16">IF(D149="?OLD","!!!","")</f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ref="H149:H184" ca="1" si="17">IF(J149&lt;&gt;1,"",IF(I149="SBJ","CB","?"))</f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437</v>
      </c>
      <c r="B150" s="26" t="s">
        <v>354</v>
      </c>
      <c r="C150" s="26" t="s">
        <v>438</v>
      </c>
      <c r="D150" s="26" t="s">
        <v>332</v>
      </c>
      <c r="E150" s="20" t="str">
        <f t="shared" si="16"/>
        <v>!!!</v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7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439</v>
      </c>
      <c r="B151" s="26" t="s">
        <v>344</v>
      </c>
      <c r="C151" s="26" t="s">
        <v>438</v>
      </c>
      <c r="D151" s="26" t="s">
        <v>332</v>
      </c>
      <c r="E151" s="20" t="str">
        <f t="shared" si="16"/>
        <v>!!!</v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7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444</v>
      </c>
      <c r="B152" s="26" t="s">
        <v>362</v>
      </c>
      <c r="C152" s="26" t="s">
        <v>358</v>
      </c>
      <c r="E152" s="20" t="str">
        <f t="shared" si="16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7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445</v>
      </c>
      <c r="E153" s="20" t="str">
        <f t="shared" si="16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7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446</v>
      </c>
      <c r="B154" s="26" t="s">
        <v>357</v>
      </c>
      <c r="C154" s="26" t="s">
        <v>366</v>
      </c>
      <c r="E154" s="20" t="str">
        <f t="shared" si="16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7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447</v>
      </c>
      <c r="E155" s="20" t="str">
        <f t="shared" si="16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7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448</v>
      </c>
      <c r="B156" s="26" t="s">
        <v>362</v>
      </c>
      <c r="C156" s="26" t="s">
        <v>355</v>
      </c>
      <c r="E156" s="20" t="str">
        <f t="shared" si="16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7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410</v>
      </c>
      <c r="E157" s="20" t="str">
        <f t="shared" si="16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7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328</v>
      </c>
      <c r="E158" s="20" t="str">
        <f t="shared" si="16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7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449</v>
      </c>
      <c r="B159" s="26" t="s">
        <v>450</v>
      </c>
      <c r="C159" s="26" t="s">
        <v>331</v>
      </c>
      <c r="D159" s="26" t="s">
        <v>332</v>
      </c>
      <c r="E159" s="20" t="str">
        <f t="shared" si="16"/>
        <v>!!!</v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7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451</v>
      </c>
      <c r="E160" s="20" t="str">
        <f t="shared" si="16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17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385</v>
      </c>
      <c r="E161" s="20" t="str">
        <f t="shared" si="16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7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452</v>
      </c>
      <c r="E162" s="20" t="str">
        <f t="shared" si="16"/>
        <v/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17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453</v>
      </c>
      <c r="E163" s="20" t="str">
        <f t="shared" si="16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7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371</v>
      </c>
      <c r="E164" s="20" t="str">
        <f t="shared" si="16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7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454</v>
      </c>
      <c r="E165" s="20" t="str">
        <f t="shared" si="16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7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28</v>
      </c>
      <c r="E166" s="20" t="str">
        <f t="shared" si="16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7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455</v>
      </c>
      <c r="B167" s="26" t="s">
        <v>456</v>
      </c>
      <c r="C167" s="26" t="s">
        <v>366</v>
      </c>
      <c r="E167" s="20" t="str">
        <f t="shared" si="16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7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457</v>
      </c>
      <c r="B168" s="26" t="s">
        <v>458</v>
      </c>
      <c r="C168" s="26" t="s">
        <v>355</v>
      </c>
      <c r="E168" s="20" t="str">
        <f t="shared" si="16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7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414</v>
      </c>
      <c r="E169" s="20" t="str">
        <f t="shared" si="16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7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359</v>
      </c>
      <c r="E170" s="20" t="str">
        <f t="shared" si="16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7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459</v>
      </c>
      <c r="B171" s="26" t="s">
        <v>460</v>
      </c>
      <c r="C171" s="26" t="s">
        <v>331</v>
      </c>
      <c r="D171" s="26" t="s">
        <v>332</v>
      </c>
      <c r="E171" s="20" t="str">
        <f t="shared" si="16"/>
        <v>!!!</v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7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351</v>
      </c>
      <c r="E172" s="20" t="str">
        <f t="shared" si="16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7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385</v>
      </c>
      <c r="E173" s="20" t="str">
        <f t="shared" si="16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7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461</v>
      </c>
      <c r="E174" s="20" t="str">
        <f t="shared" si="16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7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335</v>
      </c>
      <c r="E175" s="20" t="str">
        <f t="shared" si="16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7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462</v>
      </c>
      <c r="B176" s="26" t="s">
        <v>460</v>
      </c>
      <c r="C176" s="26" t="s">
        <v>331</v>
      </c>
      <c r="D176" s="26" t="s">
        <v>332</v>
      </c>
      <c r="E176" s="20" t="str">
        <f t="shared" si="16"/>
        <v>!!!</v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7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463</v>
      </c>
      <c r="E177" s="20" t="str">
        <f t="shared" si="16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7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464</v>
      </c>
      <c r="B178" s="26" t="s">
        <v>456</v>
      </c>
      <c r="C178" s="26" t="s">
        <v>331</v>
      </c>
      <c r="D178" s="26" t="s">
        <v>332</v>
      </c>
      <c r="E178" s="20" t="str">
        <f t="shared" si="16"/>
        <v>!!!</v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7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465</v>
      </c>
      <c r="E179" s="20" t="str">
        <f t="shared" si="16"/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ca="1" si="17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371</v>
      </c>
      <c r="B180" s="26" t="s">
        <v>458</v>
      </c>
      <c r="C180" s="26" t="s">
        <v>341</v>
      </c>
      <c r="D180" s="26" t="s">
        <v>332</v>
      </c>
      <c r="E180" s="20" t="str">
        <f t="shared" si="16"/>
        <v>!!!</v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17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35</v>
      </c>
      <c r="E181" s="20" t="str">
        <f t="shared" si="16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7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455</v>
      </c>
      <c r="B182" s="26" t="s">
        <v>460</v>
      </c>
      <c r="C182" s="26" t="s">
        <v>366</v>
      </c>
      <c r="E182" s="20" t="str">
        <f t="shared" si="16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7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466</v>
      </c>
      <c r="E183" s="20" t="str">
        <f t="shared" si="16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7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338</v>
      </c>
      <c r="E184" s="20" t="str">
        <f t="shared" si="16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7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6" spans="1:12" x14ac:dyDescent="0.3">
      <c r="A186" t="s">
        <v>467</v>
      </c>
    </row>
    <row r="187" spans="1:12" x14ac:dyDescent="0.3">
      <c r="A187" t="s">
        <v>468</v>
      </c>
      <c r="B187" s="26" t="s">
        <v>330</v>
      </c>
      <c r="C187" s="26" t="s">
        <v>438</v>
      </c>
      <c r="D187" s="26" t="s">
        <v>332</v>
      </c>
      <c r="E187" s="20" t="str">
        <f t="shared" ref="E187:E199" si="18">IF(D187="?OLD","!!!","")</f>
        <v>!!!</v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ref="H187:H199" ca="1" si="19">IF(J187&lt;&gt;1,"",IF(I187="SBJ","CB","?"))</f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469</v>
      </c>
      <c r="E188" s="20" t="str">
        <f t="shared" si="18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9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380</v>
      </c>
      <c r="E189" s="20" t="str">
        <f t="shared" si="18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9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470</v>
      </c>
      <c r="E190" s="20" t="str">
        <f t="shared" si="18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9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471</v>
      </c>
      <c r="B191" s="26" t="s">
        <v>344</v>
      </c>
      <c r="C191" s="26" t="s">
        <v>331</v>
      </c>
      <c r="D191" s="26" t="s">
        <v>332</v>
      </c>
      <c r="E191" s="20" t="str">
        <f t="shared" si="18"/>
        <v>!!!</v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9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472</v>
      </c>
      <c r="E192" s="20" t="str">
        <f t="shared" si="18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9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351</v>
      </c>
      <c r="E193" s="20" t="str">
        <f t="shared" si="18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9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430</v>
      </c>
      <c r="E194" s="20" t="str">
        <f t="shared" si="18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9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473</v>
      </c>
      <c r="B195" s="26" t="s">
        <v>354</v>
      </c>
      <c r="C195" s="26" t="s">
        <v>438</v>
      </c>
      <c r="D195" s="26" t="s">
        <v>332</v>
      </c>
      <c r="E195" s="20" t="str">
        <f t="shared" si="18"/>
        <v>!!!</v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9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343</v>
      </c>
      <c r="B196" s="26" t="s">
        <v>357</v>
      </c>
      <c r="E196" s="20" t="str">
        <f t="shared" si="18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9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474</v>
      </c>
      <c r="E197" s="20" t="str">
        <f t="shared" si="18"/>
        <v/>
      </c>
      <c r="F197" s="21" t="str">
        <f>IF(OR(E197="",E197="!!!"),"",IF(NOT(ISNA(VLOOKUP(E197,E$1:E196,1,FALSE()))),"OLD",IF(AND(E197&lt;&gt;"",E197&lt;&gt;"!!!"),"NEW","")))</f>
        <v/>
      </c>
      <c r="G197" s="22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3" t="str">
        <f t="shared" ca="1" si="19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441</v>
      </c>
      <c r="E198" s="20" t="str">
        <f t="shared" si="18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9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338</v>
      </c>
      <c r="E199" s="20" t="str">
        <f t="shared" si="18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9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1" spans="1:12" x14ac:dyDescent="0.3">
      <c r="A201" t="s">
        <v>475</v>
      </c>
    </row>
    <row r="202" spans="1:12" x14ac:dyDescent="0.3">
      <c r="A202" t="s">
        <v>348</v>
      </c>
      <c r="E202" s="20" t="str">
        <f t="shared" ref="E202:E216" si="20">IF(D202="?OLD","!!!","")</f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ref="H202:H216" ca="1" si="21">IF(J202&lt;&gt;1,"",IF(I202="SBJ","CB","?"))</f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380</v>
      </c>
      <c r="E203" s="20" t="str">
        <f t="shared" si="20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21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476</v>
      </c>
      <c r="B204" s="26" t="s">
        <v>330</v>
      </c>
      <c r="C204" s="26" t="s">
        <v>331</v>
      </c>
      <c r="D204" s="26" t="s">
        <v>332</v>
      </c>
      <c r="E204" s="20" t="str">
        <f t="shared" si="20"/>
        <v>!!!</v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21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5" spans="1:12" x14ac:dyDescent="0.3">
      <c r="A205" t="s">
        <v>351</v>
      </c>
      <c r="E205" s="20" t="str">
        <f t="shared" si="20"/>
        <v/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21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380</v>
      </c>
      <c r="B206" s="26" t="s">
        <v>431</v>
      </c>
      <c r="E206" s="20" t="str">
        <f t="shared" si="20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21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477</v>
      </c>
      <c r="E207" s="20" t="str">
        <f t="shared" si="20"/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21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419</v>
      </c>
      <c r="E208" s="20" t="str">
        <f t="shared" si="20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21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478</v>
      </c>
      <c r="B209" s="26" t="s">
        <v>362</v>
      </c>
      <c r="C209" s="26" t="s">
        <v>331</v>
      </c>
      <c r="D209" s="26" t="s">
        <v>332</v>
      </c>
      <c r="E209" s="20" t="str">
        <f t="shared" si="20"/>
        <v>!!!</v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21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479</v>
      </c>
      <c r="E210" s="20" t="str">
        <f t="shared" si="20"/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t="shared" ca="1" si="21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407</v>
      </c>
      <c r="E211" s="20" t="str">
        <f t="shared" si="20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21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351</v>
      </c>
      <c r="E212" s="20" t="str">
        <f t="shared" si="20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21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480</v>
      </c>
      <c r="E213" s="20" t="str">
        <f t="shared" si="20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21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481</v>
      </c>
      <c r="E214" s="20" t="str">
        <f t="shared" si="20"/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21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396</v>
      </c>
      <c r="B215" s="26" t="s">
        <v>337</v>
      </c>
      <c r="C215" s="26" t="s">
        <v>358</v>
      </c>
      <c r="E215" s="20" t="str">
        <f t="shared" si="20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21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338</v>
      </c>
      <c r="E216" s="20" t="str">
        <f t="shared" si="20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21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8" spans="1:12" x14ac:dyDescent="0.3">
      <c r="A218" t="s">
        <v>482</v>
      </c>
    </row>
    <row r="219" spans="1:12" x14ac:dyDescent="0.3">
      <c r="A219" t="s">
        <v>483</v>
      </c>
      <c r="B219" s="26" t="s">
        <v>330</v>
      </c>
      <c r="C219" s="26" t="s">
        <v>438</v>
      </c>
      <c r="D219" s="26" t="s">
        <v>332</v>
      </c>
      <c r="E219" s="20" t="str">
        <f t="shared" ref="E219:E234" si="22">IF(D219="?OLD","!!!","")</f>
        <v>!!!</v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ref="H219:H234" ca="1" si="23">IF(J219&lt;&gt;1,"",IF(I219="SBJ","CB","?"))</f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407</v>
      </c>
      <c r="E220" s="20" t="str">
        <f t="shared" si="22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23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484</v>
      </c>
      <c r="E221" s="20" t="str">
        <f t="shared" si="22"/>
        <v/>
      </c>
      <c r="F221" s="21" t="str">
        <f>IF(OR(E221="",E221="!!!"),"",IF(NOT(ISNA(VLOOKUP(E221,E$1:E220,1,FALSE()))),"OLD",IF(AND(E221&lt;&gt;"",E221&lt;&gt;"!!!"),"NEW","")))</f>
        <v/>
      </c>
      <c r="G221" s="22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3" t="str">
        <f t="shared" ca="1" si="23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485</v>
      </c>
      <c r="E222" s="20" t="str">
        <f t="shared" si="22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23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486</v>
      </c>
      <c r="B223" s="26" t="s">
        <v>330</v>
      </c>
      <c r="C223" s="26" t="s">
        <v>366</v>
      </c>
      <c r="E223" s="20" t="str">
        <f t="shared" si="22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23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385</v>
      </c>
      <c r="E224" s="20" t="str">
        <f t="shared" si="22"/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23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386</v>
      </c>
      <c r="E225" s="20" t="str">
        <f t="shared" si="22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23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382</v>
      </c>
      <c r="B226" s="26" t="s">
        <v>378</v>
      </c>
      <c r="C226" s="26" t="s">
        <v>355</v>
      </c>
      <c r="E226" s="20" t="str">
        <f t="shared" si="22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23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351</v>
      </c>
      <c r="E227" s="20" t="str">
        <f t="shared" si="22"/>
        <v/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ca="1" si="23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487</v>
      </c>
      <c r="E228" s="20" t="str">
        <f t="shared" si="22"/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23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399</v>
      </c>
      <c r="B229" s="26" t="s">
        <v>431</v>
      </c>
      <c r="C229" s="26" t="s">
        <v>394</v>
      </c>
      <c r="D229" s="26" t="s">
        <v>332</v>
      </c>
      <c r="E229" s="20" t="str">
        <f t="shared" si="22"/>
        <v>!!!</v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23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333</v>
      </c>
      <c r="E230" s="20" t="str">
        <f t="shared" si="22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23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488</v>
      </c>
      <c r="E231" s="20" t="str">
        <f t="shared" si="22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23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363</v>
      </c>
      <c r="E232" s="20" t="str">
        <f t="shared" si="22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23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489</v>
      </c>
      <c r="B233" s="26" t="s">
        <v>378</v>
      </c>
      <c r="C233" s="26" t="s">
        <v>358</v>
      </c>
      <c r="E233" s="20" t="str">
        <f t="shared" si="22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23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338</v>
      </c>
      <c r="E234" s="20" t="str">
        <f t="shared" si="22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23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6" spans="1:12" x14ac:dyDescent="0.3">
      <c r="A236" t="s">
        <v>490</v>
      </c>
    </row>
    <row r="237" spans="1:12" x14ac:dyDescent="0.3">
      <c r="A237" t="s">
        <v>391</v>
      </c>
      <c r="B237" s="26" t="s">
        <v>330</v>
      </c>
      <c r="C237" s="26" t="s">
        <v>341</v>
      </c>
      <c r="D237" s="26" t="s">
        <v>332</v>
      </c>
      <c r="E237" s="20" t="str">
        <f>IF(D237="?OLD","!!!","")</f>
        <v>!!!</v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ca="1">IF(J237&lt;&gt;1,"",IF(I237="SBJ","CB","?"))</f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407</v>
      </c>
      <c r="E238" s="20" t="str">
        <f>IF(D238="?OLD","!!!","")</f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ca="1">IF(J238&lt;&gt;1,"",IF(I238="SBJ","CB","?"))</f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491</v>
      </c>
      <c r="E239" s="20" t="str">
        <f>IF(D239="?OLD","!!!","")</f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ca="1">IF(J239&lt;&gt;1,"",IF(I239="SBJ","CB","?"))</f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492</v>
      </c>
      <c r="B240" s="26" t="s">
        <v>337</v>
      </c>
      <c r="C240" s="26" t="s">
        <v>355</v>
      </c>
      <c r="E240" s="20" t="str">
        <f>IF(D240="?OLD","!!!","")</f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ca="1">IF(J240&lt;&gt;1,"",IF(I240="SBJ","CB","?"))</f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338</v>
      </c>
      <c r="E241" s="20" t="str">
        <f>IF(D241="?OLD","!!!","")</f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ca="1">IF(J241&lt;&gt;1,"",IF(I241="SBJ","CB","?"))</f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3" spans="1:12" x14ac:dyDescent="0.3">
      <c r="A243" t="s">
        <v>493</v>
      </c>
    </row>
    <row r="244" spans="1:12" x14ac:dyDescent="0.3">
      <c r="A244" t="s">
        <v>348</v>
      </c>
      <c r="E244" s="20" t="str">
        <f t="shared" ref="E244:E256" si="24">IF(D244="?OLD","!!!","")</f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ref="H244:H256" ca="1" si="25">IF(J244&lt;&gt;1,"",IF(I244="SBJ","CB","?"))</f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494</v>
      </c>
      <c r="E245" s="20" t="str">
        <f t="shared" si="24"/>
        <v/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25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407</v>
      </c>
      <c r="E246" s="20" t="str">
        <f t="shared" si="24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25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473</v>
      </c>
      <c r="B247" s="26" t="s">
        <v>330</v>
      </c>
      <c r="C247" s="26" t="s">
        <v>438</v>
      </c>
      <c r="D247" s="26" t="s">
        <v>332</v>
      </c>
      <c r="E247" s="20" t="str">
        <f t="shared" si="24"/>
        <v>!!!</v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25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477</v>
      </c>
      <c r="E248" s="20" t="str">
        <f t="shared" si="24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25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380</v>
      </c>
      <c r="E249" s="20" t="str">
        <f t="shared" si="24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25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495</v>
      </c>
      <c r="B250" s="26" t="s">
        <v>337</v>
      </c>
      <c r="C250" s="26" t="s">
        <v>496</v>
      </c>
      <c r="D250" s="26" t="s">
        <v>332</v>
      </c>
      <c r="E250" s="20" t="str">
        <f t="shared" si="24"/>
        <v>!!!</v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25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11</v>
      </c>
      <c r="E251" s="20" t="str">
        <f t="shared" si="24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25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385</v>
      </c>
      <c r="E252" s="20" t="str">
        <f t="shared" si="24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25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497</v>
      </c>
      <c r="B253" s="26" t="s">
        <v>378</v>
      </c>
      <c r="C253" s="26" t="s">
        <v>355</v>
      </c>
      <c r="E253" s="20" t="str">
        <f t="shared" si="24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25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498</v>
      </c>
      <c r="E254" s="20" t="str">
        <f t="shared" si="24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25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499</v>
      </c>
      <c r="E255" s="20" t="str">
        <f t="shared" si="24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5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338</v>
      </c>
      <c r="E256" s="20" t="str">
        <f t="shared" si="24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25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8" spans="1:12" x14ac:dyDescent="0.3">
      <c r="A258" t="s">
        <v>500</v>
      </c>
    </row>
    <row r="259" spans="1:12" x14ac:dyDescent="0.3">
      <c r="A259" t="s">
        <v>340</v>
      </c>
      <c r="B259" s="26" t="s">
        <v>330</v>
      </c>
      <c r="C259" s="26" t="s">
        <v>341</v>
      </c>
      <c r="D259" s="26" t="s">
        <v>332</v>
      </c>
      <c r="E259" s="20" t="str">
        <f t="shared" ref="E259:E292" si="26">IF(D259="?OLD","!!!","")</f>
        <v>!!!</v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ref="H259:H292" ca="1" si="27">IF(J259&lt;&gt;1,"",IF(I259="SBJ","CB","?"))</f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407</v>
      </c>
      <c r="E260" s="20" t="str">
        <f t="shared" si="26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27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498</v>
      </c>
      <c r="E261" s="20" t="str">
        <f t="shared" si="26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7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501</v>
      </c>
      <c r="E262" s="20" t="str">
        <f t="shared" si="26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7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385</v>
      </c>
      <c r="E263" s="20" t="str">
        <f t="shared" si="26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7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502</v>
      </c>
      <c r="E264" s="20" t="str">
        <f t="shared" si="26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7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503</v>
      </c>
      <c r="E265" s="20" t="str">
        <f t="shared" si="26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7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504</v>
      </c>
      <c r="E266" s="20" t="str">
        <f t="shared" si="26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27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351</v>
      </c>
      <c r="E267" s="20" t="str">
        <f t="shared" si="26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27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505</v>
      </c>
      <c r="E268" s="20" t="str">
        <f t="shared" si="26"/>
        <v/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7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380</v>
      </c>
      <c r="E269" s="20" t="str">
        <f t="shared" si="26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27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506</v>
      </c>
      <c r="B270" s="26" t="s">
        <v>431</v>
      </c>
      <c r="C270" s="26" t="s">
        <v>331</v>
      </c>
      <c r="D270" s="26" t="s">
        <v>332</v>
      </c>
      <c r="E270" s="20" t="str">
        <f t="shared" si="26"/>
        <v>!!!</v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27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507</v>
      </c>
      <c r="E271" s="20" t="str">
        <f t="shared" si="26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7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466</v>
      </c>
      <c r="E272" s="20" t="str">
        <f t="shared" si="26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7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400</v>
      </c>
      <c r="E273" s="20" t="str">
        <f t="shared" si="26"/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27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351</v>
      </c>
      <c r="E274" s="20" t="str">
        <f t="shared" si="26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7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508</v>
      </c>
      <c r="E275" s="20" t="str">
        <f t="shared" si="26"/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27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399</v>
      </c>
      <c r="B276" s="26" t="s">
        <v>509</v>
      </c>
      <c r="C276" s="26" t="s">
        <v>394</v>
      </c>
      <c r="D276" s="26" t="s">
        <v>332</v>
      </c>
      <c r="E276" s="20" t="str">
        <f t="shared" si="26"/>
        <v>!!!</v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7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510</v>
      </c>
      <c r="E277" s="20" t="str">
        <f t="shared" si="26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7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396</v>
      </c>
      <c r="E278" s="20" t="str">
        <f t="shared" si="26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27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511</v>
      </c>
      <c r="E279" s="20" t="str">
        <f t="shared" si="26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7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410</v>
      </c>
      <c r="E280" s="20" t="str">
        <f t="shared" si="26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27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419</v>
      </c>
      <c r="E281" s="20" t="str">
        <f t="shared" si="26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7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512</v>
      </c>
      <c r="B282" s="26" t="s">
        <v>513</v>
      </c>
      <c r="C282" s="26" t="s">
        <v>331</v>
      </c>
      <c r="D282" s="26" t="s">
        <v>332</v>
      </c>
      <c r="E282" s="20" t="str">
        <f t="shared" si="26"/>
        <v>!!!</v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7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334</v>
      </c>
      <c r="E283" s="20" t="str">
        <f t="shared" si="26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7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4" spans="1:12" x14ac:dyDescent="0.3">
      <c r="A284" t="s">
        <v>419</v>
      </c>
      <c r="E284" s="20" t="str">
        <f t="shared" si="26"/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ca="1" si="27"/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514</v>
      </c>
      <c r="B285" s="26" t="s">
        <v>515</v>
      </c>
      <c r="C285" s="26" t="s">
        <v>331</v>
      </c>
      <c r="D285" s="26" t="s">
        <v>332</v>
      </c>
      <c r="E285" s="20" t="str">
        <f t="shared" si="26"/>
        <v>!!!</v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27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396</v>
      </c>
      <c r="E286" s="20" t="str">
        <f t="shared" si="26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27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516</v>
      </c>
      <c r="E287" s="20" t="str">
        <f t="shared" si="26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7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385</v>
      </c>
      <c r="E288" s="20" t="str">
        <f t="shared" si="26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7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363</v>
      </c>
      <c r="E289" s="20" t="str">
        <f t="shared" si="26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7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517</v>
      </c>
      <c r="E290" s="20" t="str">
        <f t="shared" si="26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7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518</v>
      </c>
      <c r="E291" s="20" t="str">
        <f t="shared" si="26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7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338</v>
      </c>
      <c r="E292" s="20" t="str">
        <f t="shared" si="26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7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4" spans="1:12" x14ac:dyDescent="0.3">
      <c r="A294" t="s">
        <v>519</v>
      </c>
    </row>
    <row r="295" spans="1:12" x14ac:dyDescent="0.3">
      <c r="A295" t="s">
        <v>520</v>
      </c>
      <c r="B295" s="26" t="s">
        <v>337</v>
      </c>
      <c r="C295" s="26" t="s">
        <v>496</v>
      </c>
      <c r="D295" s="26" t="s">
        <v>332</v>
      </c>
      <c r="E295" s="20" t="str">
        <f t="shared" ref="E295:E300" si="28">IF(D295="?OLD","!!!","")</f>
        <v>!!!</v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ref="H295:H300" ca="1" si="29">IF(J295&lt;&gt;1,"",IF(I295="SBJ","CB","?"))</f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340</v>
      </c>
      <c r="B296" s="26" t="s">
        <v>330</v>
      </c>
      <c r="C296" s="26" t="s">
        <v>341</v>
      </c>
      <c r="D296" s="26" t="s">
        <v>332</v>
      </c>
      <c r="E296" s="20" t="str">
        <f t="shared" si="28"/>
        <v>!!!</v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9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399</v>
      </c>
      <c r="E297" s="20" t="str">
        <f t="shared" si="28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9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521</v>
      </c>
      <c r="B298" s="26" t="s">
        <v>357</v>
      </c>
      <c r="C298" s="26" t="s">
        <v>331</v>
      </c>
      <c r="D298" s="26" t="s">
        <v>332</v>
      </c>
      <c r="E298" s="20" t="str">
        <f t="shared" si="28"/>
        <v>!!!</v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9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363</v>
      </c>
      <c r="E299" s="20" t="str">
        <f t="shared" si="28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9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338</v>
      </c>
      <c r="E300" s="20" t="str">
        <f t="shared" si="28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9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2" spans="1:12" x14ac:dyDescent="0.3">
      <c r="A302" t="s">
        <v>522</v>
      </c>
    </row>
    <row r="303" spans="1:12" x14ac:dyDescent="0.3">
      <c r="A303" t="s">
        <v>523</v>
      </c>
      <c r="E303" s="20" t="str">
        <f t="shared" ref="E303:E308" si="30">IF(D303="?OLD","!!!","")</f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ref="H303:H308" ca="1" si="31">IF(J303&lt;&gt;1,"",IF(I303="SBJ","CB","?"))</f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396</v>
      </c>
      <c r="B304" s="26" t="s">
        <v>378</v>
      </c>
      <c r="C304" s="26" t="s">
        <v>358</v>
      </c>
      <c r="E304" s="20" t="str">
        <f t="shared" si="30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31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524</v>
      </c>
      <c r="B305" s="26" t="s">
        <v>337</v>
      </c>
      <c r="C305" s="26" t="s">
        <v>355</v>
      </c>
      <c r="E305" s="20" t="str">
        <f t="shared" si="30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31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363</v>
      </c>
      <c r="E306" s="20" t="str">
        <f t="shared" si="3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31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525</v>
      </c>
      <c r="E307" s="20" t="str">
        <f t="shared" si="30"/>
        <v/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31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338</v>
      </c>
      <c r="E308" s="20" t="str">
        <f t="shared" si="30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31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10" spans="1:12" x14ac:dyDescent="0.3">
      <c r="A310" t="s">
        <v>526</v>
      </c>
    </row>
    <row r="311" spans="1:12" x14ac:dyDescent="0.3">
      <c r="A311" t="s">
        <v>527</v>
      </c>
      <c r="E311" s="20" t="str">
        <f t="shared" ref="E311:E332" si="32">IF(D311="?OLD","!!!","")</f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ref="H311:H332" ca="1" si="33">IF(J311&lt;&gt;1,"",IF(I311="SBJ","CB","?"))</f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528</v>
      </c>
      <c r="B312" s="26" t="s">
        <v>337</v>
      </c>
      <c r="C312" s="26" t="s">
        <v>355</v>
      </c>
      <c r="E312" s="20" t="str">
        <f t="shared" si="32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33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529</v>
      </c>
      <c r="E313" s="20" t="str">
        <f t="shared" si="32"/>
        <v/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33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530</v>
      </c>
      <c r="E314" s="20" t="str">
        <f t="shared" si="32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33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349</v>
      </c>
      <c r="B315" s="26" t="s">
        <v>330</v>
      </c>
      <c r="C315" s="26" t="s">
        <v>341</v>
      </c>
      <c r="D315" s="26" t="s">
        <v>332</v>
      </c>
      <c r="E315" s="20" t="str">
        <f t="shared" si="32"/>
        <v>!!!</v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33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531</v>
      </c>
      <c r="E316" s="20" t="str">
        <f t="shared" si="32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33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532</v>
      </c>
      <c r="B317" s="26" t="s">
        <v>344</v>
      </c>
      <c r="E317" s="20" t="str">
        <f t="shared" si="32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33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345</v>
      </c>
      <c r="E318" s="20" t="str">
        <f t="shared" si="32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33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351</v>
      </c>
      <c r="E319" s="20" t="str">
        <f t="shared" si="32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33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533</v>
      </c>
      <c r="E320" s="20" t="str">
        <f t="shared" si="32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33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380</v>
      </c>
      <c r="E321" s="20" t="str">
        <f t="shared" si="32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33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534</v>
      </c>
      <c r="B322" s="26" t="s">
        <v>354</v>
      </c>
      <c r="C322" s="26" t="s">
        <v>331</v>
      </c>
      <c r="D322" s="26" t="s">
        <v>332</v>
      </c>
      <c r="E322" s="20" t="str">
        <f t="shared" si="32"/>
        <v>!!!</v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33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535</v>
      </c>
      <c r="E323" s="20" t="str">
        <f t="shared" si="32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33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536</v>
      </c>
      <c r="E324" s="20" t="str">
        <f t="shared" si="32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33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477</v>
      </c>
      <c r="E325" s="20" t="str">
        <f t="shared" si="32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33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380</v>
      </c>
      <c r="E326" s="20" t="str">
        <f t="shared" si="32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33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537</v>
      </c>
      <c r="B327" s="26" t="s">
        <v>378</v>
      </c>
      <c r="C327" s="26" t="s">
        <v>331</v>
      </c>
      <c r="D327" s="26" t="s">
        <v>332</v>
      </c>
      <c r="E327" s="20" t="str">
        <f t="shared" si="32"/>
        <v>!!!</v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33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535</v>
      </c>
      <c r="E328" s="20" t="str">
        <f t="shared" si="32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33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538</v>
      </c>
      <c r="E329" s="20" t="str">
        <f t="shared" si="32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33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539</v>
      </c>
      <c r="E330" s="20" t="str">
        <f t="shared" si="32"/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33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407</v>
      </c>
      <c r="E331" s="20" t="str">
        <f t="shared" si="32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33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338</v>
      </c>
      <c r="E332" s="20" t="str">
        <f t="shared" si="32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33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4" spans="1:12" x14ac:dyDescent="0.3">
      <c r="A334" t="s">
        <v>540</v>
      </c>
    </row>
    <row r="335" spans="1:12" x14ac:dyDescent="0.3">
      <c r="A335" t="s">
        <v>468</v>
      </c>
      <c r="B335" s="26" t="s">
        <v>330</v>
      </c>
      <c r="C335" s="26" t="s">
        <v>438</v>
      </c>
      <c r="D335" s="26" t="s">
        <v>332</v>
      </c>
      <c r="E335" s="20" t="str">
        <f t="shared" ref="E335:E356" si="34">IF(D335="?OLD","!!!","")</f>
        <v>!!!</v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ref="H335:H356" ca="1" si="35">IF(J335&lt;&gt;1,"",IF(I335="SBJ","CB","?"))</f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541</v>
      </c>
      <c r="E336" s="20" t="str">
        <f t="shared" si="34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35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351</v>
      </c>
      <c r="E337" s="20" t="str">
        <f t="shared" si="34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35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370</v>
      </c>
      <c r="E338" s="20" t="str">
        <f t="shared" si="34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35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353</v>
      </c>
      <c r="B339" s="26" t="s">
        <v>354</v>
      </c>
      <c r="C339" s="26" t="s">
        <v>355</v>
      </c>
      <c r="E339" s="20" t="str">
        <f t="shared" si="34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35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343</v>
      </c>
      <c r="B340" s="26" t="s">
        <v>357</v>
      </c>
      <c r="E340" s="20" t="str">
        <f t="shared" si="34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35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542</v>
      </c>
      <c r="E341" s="20" t="str">
        <f t="shared" si="34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35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543</v>
      </c>
      <c r="B342" s="26" t="s">
        <v>357</v>
      </c>
      <c r="C342" s="26" t="s">
        <v>544</v>
      </c>
      <c r="E342" s="20" t="str">
        <f t="shared" si="34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35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545</v>
      </c>
      <c r="E343" s="20" t="str">
        <f t="shared" si="34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35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385</v>
      </c>
      <c r="E344" s="20" t="str">
        <f t="shared" si="34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35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546</v>
      </c>
      <c r="E345" s="20" t="str">
        <f t="shared" si="34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35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351</v>
      </c>
      <c r="E346" s="20" t="str">
        <f t="shared" si="34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35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533</v>
      </c>
      <c r="E347" s="20" t="str">
        <f t="shared" si="34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35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473</v>
      </c>
      <c r="B348" s="26" t="s">
        <v>450</v>
      </c>
      <c r="C348" s="26" t="s">
        <v>438</v>
      </c>
      <c r="D348" s="26" t="s">
        <v>332</v>
      </c>
      <c r="E348" s="20" t="str">
        <f t="shared" si="34"/>
        <v>!!!</v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35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547</v>
      </c>
      <c r="E349" s="20" t="str">
        <f t="shared" si="34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35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351</v>
      </c>
      <c r="E350" s="20" t="str">
        <f t="shared" si="34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35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548</v>
      </c>
      <c r="E351" s="20" t="str">
        <f t="shared" si="34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35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473</v>
      </c>
      <c r="B352" s="26" t="s">
        <v>354</v>
      </c>
      <c r="C352" s="26" t="s">
        <v>438</v>
      </c>
      <c r="D352" s="26" t="s">
        <v>332</v>
      </c>
      <c r="E352" s="20" t="str">
        <f t="shared" si="34"/>
        <v>!!!</v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35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343</v>
      </c>
      <c r="B353" s="26" t="s">
        <v>357</v>
      </c>
      <c r="E353" s="20" t="str">
        <f t="shared" si="34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35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549</v>
      </c>
      <c r="B354" s="26" t="s">
        <v>357</v>
      </c>
      <c r="C354" s="26" t="s">
        <v>355</v>
      </c>
      <c r="E354" s="20" t="str">
        <f t="shared" si="34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35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461</v>
      </c>
      <c r="E355" s="20" t="str">
        <f t="shared" si="34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35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338</v>
      </c>
      <c r="E356" s="20" t="str">
        <f t="shared" si="34"/>
        <v/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35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8" spans="1:12" x14ac:dyDescent="0.3">
      <c r="A358" t="s">
        <v>550</v>
      </c>
    </row>
    <row r="359" spans="1:12" x14ac:dyDescent="0.3">
      <c r="A359" t="s">
        <v>551</v>
      </c>
      <c r="B359" s="26" t="s">
        <v>378</v>
      </c>
      <c r="C359" s="26" t="s">
        <v>355</v>
      </c>
      <c r="E359" s="20" t="str">
        <f t="shared" ref="E359:E377" si="36">IF(D359="?OLD","!!!","")</f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ref="H359:H377" ca="1" si="37">IF(J359&lt;&gt;1,"",IF(I359="SBJ","CB","?"))</f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383</v>
      </c>
      <c r="E360" s="20" t="str">
        <f t="shared" si="36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37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552</v>
      </c>
      <c r="B361" s="26" t="s">
        <v>362</v>
      </c>
      <c r="C361" s="26" t="s">
        <v>355</v>
      </c>
      <c r="E361" s="20" t="str">
        <f t="shared" si="36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37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351</v>
      </c>
      <c r="E362" s="20" t="str">
        <f t="shared" si="36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37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553</v>
      </c>
      <c r="B363" s="26" t="s">
        <v>515</v>
      </c>
      <c r="C363" s="26" t="s">
        <v>496</v>
      </c>
      <c r="D363" s="26" t="s">
        <v>332</v>
      </c>
      <c r="E363" s="20" t="str">
        <f t="shared" si="36"/>
        <v>!!!</v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37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4" spans="1:12" x14ac:dyDescent="0.3">
      <c r="A364" t="s">
        <v>351</v>
      </c>
      <c r="E364" s="20" t="str">
        <f t="shared" si="36"/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37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554</v>
      </c>
      <c r="B365" s="26" t="s">
        <v>515</v>
      </c>
      <c r="C365" s="26" t="s">
        <v>355</v>
      </c>
      <c r="E365" s="20" t="str">
        <f t="shared" si="36"/>
        <v/>
      </c>
      <c r="F365" s="21" t="str">
        <f>IF(OR(E365="",E365="!!!"),"",IF(NOT(ISNA(VLOOKUP(E365,E$1:E364,1,FALSE()))),"OLD",IF(AND(E365&lt;&gt;"",E365&lt;&gt;"!!!"),"NEW","")))</f>
        <v/>
      </c>
      <c r="G365" s="22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3" t="str">
        <f t="shared" ca="1" si="37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5"/>
    </row>
    <row r="366" spans="1:12" x14ac:dyDescent="0.3">
      <c r="A366" t="s">
        <v>351</v>
      </c>
      <c r="E366" s="20" t="str">
        <f t="shared" si="36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37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555</v>
      </c>
      <c r="B367" s="26" t="s">
        <v>515</v>
      </c>
      <c r="C367" s="26" t="s">
        <v>355</v>
      </c>
      <c r="E367" s="20" t="str">
        <f t="shared" si="36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37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11</v>
      </c>
      <c r="E368" s="20" t="str">
        <f t="shared" si="36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37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340</v>
      </c>
      <c r="B369" s="26" t="s">
        <v>330</v>
      </c>
      <c r="C369" s="26" t="s">
        <v>341</v>
      </c>
      <c r="D369" s="26" t="s">
        <v>332</v>
      </c>
      <c r="E369" s="20" t="str">
        <f t="shared" si="36"/>
        <v>!!!</v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37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541</v>
      </c>
      <c r="E370" s="20" t="str">
        <f t="shared" si="36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37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556</v>
      </c>
      <c r="E371" s="20" t="str">
        <f t="shared" si="36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37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351</v>
      </c>
      <c r="E372" s="20" t="str">
        <f t="shared" si="36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37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380</v>
      </c>
      <c r="B373" s="26" t="s">
        <v>354</v>
      </c>
      <c r="E373" s="20" t="str">
        <f t="shared" si="36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37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345</v>
      </c>
      <c r="E374" s="20" t="str">
        <f t="shared" si="36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37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557</v>
      </c>
      <c r="E375" s="20" t="str">
        <f t="shared" si="36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37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558</v>
      </c>
      <c r="B376" s="26" t="s">
        <v>344</v>
      </c>
      <c r="C376" s="26" t="s">
        <v>355</v>
      </c>
      <c r="E376" s="20" t="str">
        <f t="shared" si="36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37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338</v>
      </c>
      <c r="E377" s="20" t="str">
        <f t="shared" si="36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37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9" spans="1:12" x14ac:dyDescent="0.3">
      <c r="A379" t="s">
        <v>559</v>
      </c>
    </row>
    <row r="380" spans="1:12" x14ac:dyDescent="0.3">
      <c r="A380" t="s">
        <v>560</v>
      </c>
      <c r="B380" s="26" t="s">
        <v>378</v>
      </c>
      <c r="C380" s="26" t="s">
        <v>394</v>
      </c>
      <c r="D380" s="26" t="s">
        <v>332</v>
      </c>
      <c r="E380" s="20" t="str">
        <f t="shared" ref="E380:E391" si="38">IF(D380="?OLD","!!!","")</f>
        <v>!!!</v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ref="H380:H391" ca="1" si="39">IF(J380&lt;&gt;1,"",IF(I380="SBJ","CB","?"))</f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395</v>
      </c>
      <c r="B381" s="26" t="s">
        <v>330</v>
      </c>
      <c r="C381" s="26" t="s">
        <v>561</v>
      </c>
      <c r="D381" s="26" t="s">
        <v>332</v>
      </c>
      <c r="E381" s="20" t="str">
        <f t="shared" si="38"/>
        <v>!!!</v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3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407</v>
      </c>
      <c r="E382" s="20" t="str">
        <f t="shared" si="38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3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562</v>
      </c>
      <c r="E383" s="20" t="str">
        <f t="shared" si="38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39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499</v>
      </c>
      <c r="E384" s="20" t="str">
        <f t="shared" si="38"/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39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351</v>
      </c>
      <c r="E385" s="20" t="str">
        <f t="shared" si="38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39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487</v>
      </c>
      <c r="E386" s="20" t="str">
        <f t="shared" si="38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39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473</v>
      </c>
      <c r="B387" s="26" t="s">
        <v>354</v>
      </c>
      <c r="C387" s="26" t="s">
        <v>438</v>
      </c>
      <c r="D387" s="26" t="s">
        <v>332</v>
      </c>
      <c r="E387" s="20" t="str">
        <f t="shared" si="38"/>
        <v>!!!</v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39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407</v>
      </c>
      <c r="E388" s="20" t="str">
        <f t="shared" si="38"/>
        <v/>
      </c>
      <c r="F388" s="21" t="str">
        <f>IF(OR(E388="",E388="!!!"),"",IF(NOT(ISNA(VLOOKUP(E388,E$1:E387,1,FALSE()))),"OLD",IF(AND(E388&lt;&gt;"",E388&lt;&gt;"!!!"),"NEW","")))</f>
        <v/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39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363</v>
      </c>
      <c r="E389" s="20" t="str">
        <f t="shared" si="38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39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563</v>
      </c>
      <c r="E390" s="20" t="str">
        <f t="shared" si="38"/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39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338</v>
      </c>
      <c r="E391" s="20" t="str">
        <f t="shared" si="38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9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3" spans="1:12" x14ac:dyDescent="0.3">
      <c r="A393" t="s">
        <v>564</v>
      </c>
    </row>
    <row r="394" spans="1:12" x14ac:dyDescent="0.3">
      <c r="A394" t="s">
        <v>565</v>
      </c>
      <c r="B394" s="26" t="s">
        <v>330</v>
      </c>
      <c r="C394" s="26" t="s">
        <v>355</v>
      </c>
      <c r="E394" s="20" t="str">
        <f t="shared" ref="E394:E408" si="40">IF(D394="?OLD","!!!","")</f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ref="H394:H408" ca="1" si="41">IF(J394&lt;&gt;1,"",IF(I394="SBJ","CB","?"))</f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566</v>
      </c>
      <c r="E395" s="20" t="str">
        <f t="shared" si="40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4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491</v>
      </c>
      <c r="E396" s="20" t="str">
        <f t="shared" si="4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4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414</v>
      </c>
      <c r="E397" s="20" t="str">
        <f t="shared" si="40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4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567</v>
      </c>
      <c r="B398" s="26" t="s">
        <v>337</v>
      </c>
      <c r="C398" s="26" t="s">
        <v>568</v>
      </c>
      <c r="D398" s="26" t="s">
        <v>332</v>
      </c>
      <c r="E398" s="20" t="str">
        <f t="shared" si="40"/>
        <v>!!!</v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41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383</v>
      </c>
      <c r="E399" s="20" t="str">
        <f t="shared" si="40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4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569</v>
      </c>
      <c r="B400" s="26" t="s">
        <v>378</v>
      </c>
      <c r="C400" s="26" t="s">
        <v>496</v>
      </c>
      <c r="D400" s="26" t="s">
        <v>332</v>
      </c>
      <c r="E400" s="20" t="str">
        <f t="shared" si="40"/>
        <v>!!!</v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41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570</v>
      </c>
      <c r="E401" s="20" t="str">
        <f t="shared" si="4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4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410</v>
      </c>
      <c r="E402" s="20" t="str">
        <f t="shared" si="40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41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571</v>
      </c>
      <c r="B403" s="26" t="s">
        <v>337</v>
      </c>
      <c r="C403" s="26" t="s">
        <v>496</v>
      </c>
      <c r="D403" s="26" t="s">
        <v>332</v>
      </c>
      <c r="E403" s="20" t="str">
        <f t="shared" si="40"/>
        <v>!!!</v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41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351</v>
      </c>
      <c r="E404" s="20" t="str">
        <f t="shared" si="40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41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572</v>
      </c>
      <c r="B405" s="26" t="s">
        <v>378</v>
      </c>
      <c r="C405" s="26" t="s">
        <v>496</v>
      </c>
      <c r="D405" s="26" t="s">
        <v>332</v>
      </c>
      <c r="E405" s="20" t="str">
        <f t="shared" si="40"/>
        <v>!!!</v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41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385</v>
      </c>
      <c r="E406" s="20" t="str">
        <f t="shared" si="40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41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389</v>
      </c>
      <c r="B407" s="26" t="s">
        <v>378</v>
      </c>
      <c r="C407" s="26" t="s">
        <v>355</v>
      </c>
      <c r="E407" s="20" t="str">
        <f t="shared" si="40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41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338</v>
      </c>
      <c r="E408" s="20" t="str">
        <f t="shared" si="40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41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10" spans="1:12" x14ac:dyDescent="0.3">
      <c r="A410" t="s">
        <v>573</v>
      </c>
      <c r="E410" s="20" t="str">
        <f>IF(D410="?OLD","!!!","")</f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ca="1">IF(J410&lt;&gt;1,"",IF(I410="SBJ","CB","?"))</f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574</v>
      </c>
    </row>
    <row r="412" spans="1:12" x14ac:dyDescent="0.3">
      <c r="A412" t="s">
        <v>575</v>
      </c>
      <c r="E412" s="20" t="str">
        <f t="shared" ref="E412:E431" si="42">IF(D412="?OLD","!!!","")</f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ref="H412:H431" ca="1" si="43">IF(J412&lt;&gt;1,"",IF(I412="SBJ","CB","?"))</f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571</v>
      </c>
      <c r="B413" s="26" t="s">
        <v>344</v>
      </c>
      <c r="C413" s="26" t="s">
        <v>355</v>
      </c>
      <c r="E413" s="20" t="str">
        <f t="shared" si="42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43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575</v>
      </c>
      <c r="E414" s="20" t="str">
        <f t="shared" si="42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43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576</v>
      </c>
      <c r="E415" s="20" t="str">
        <f t="shared" si="42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43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577</v>
      </c>
      <c r="B416" s="26" t="s">
        <v>330</v>
      </c>
      <c r="C416" s="26" t="s">
        <v>355</v>
      </c>
      <c r="E416" s="20" t="str">
        <f t="shared" si="42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43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351</v>
      </c>
      <c r="E417" s="20" t="str">
        <f t="shared" si="42"/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43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578</v>
      </c>
      <c r="B418" s="26" t="s">
        <v>378</v>
      </c>
      <c r="C418" s="26" t="s">
        <v>355</v>
      </c>
      <c r="E418" s="20" t="str">
        <f t="shared" si="42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43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351</v>
      </c>
      <c r="E419" s="20" t="str">
        <f t="shared" si="42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43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579</v>
      </c>
      <c r="B420" s="26" t="s">
        <v>378</v>
      </c>
      <c r="C420" s="26" t="s">
        <v>355</v>
      </c>
      <c r="E420" s="20" t="str">
        <f t="shared" si="42"/>
        <v/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43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385</v>
      </c>
      <c r="E421" s="20" t="str">
        <f t="shared" si="42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43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580</v>
      </c>
      <c r="B422" s="26" t="s">
        <v>362</v>
      </c>
      <c r="C422" s="26" t="s">
        <v>355</v>
      </c>
      <c r="E422" s="20" t="str">
        <f t="shared" si="42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43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351</v>
      </c>
      <c r="E423" s="20" t="str">
        <f t="shared" si="42"/>
        <v/>
      </c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43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581</v>
      </c>
      <c r="E424" s="20" t="str">
        <f t="shared" si="42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43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410</v>
      </c>
      <c r="E425" s="20" t="str">
        <f t="shared" si="42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43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380</v>
      </c>
      <c r="E426" s="20" t="str">
        <f t="shared" si="42"/>
        <v/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43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582</v>
      </c>
      <c r="E427" s="20" t="str">
        <f t="shared" si="42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43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583</v>
      </c>
      <c r="B428" s="26" t="s">
        <v>378</v>
      </c>
      <c r="C428" s="26" t="s">
        <v>331</v>
      </c>
      <c r="D428" s="26" t="s">
        <v>332</v>
      </c>
      <c r="E428" s="20" t="str">
        <f t="shared" si="42"/>
        <v>!!!</v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43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535</v>
      </c>
      <c r="E429" s="20" t="str">
        <f t="shared" si="42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43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471</v>
      </c>
      <c r="B430" s="26" t="s">
        <v>362</v>
      </c>
      <c r="C430" s="26" t="s">
        <v>496</v>
      </c>
      <c r="D430" s="26" t="s">
        <v>332</v>
      </c>
      <c r="E430" s="20" t="str">
        <f t="shared" si="42"/>
        <v>!!!</v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43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338</v>
      </c>
      <c r="E431" s="20" t="str">
        <f t="shared" si="42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43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3" spans="1:12" x14ac:dyDescent="0.3">
      <c r="A433" t="s">
        <v>573</v>
      </c>
      <c r="E433" s="20" t="str">
        <f>IF(D433="?OLD","!!!","")</f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ca="1">IF(J433&lt;&gt;1,"",IF(I433="SBJ","CB","?"))</f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584</v>
      </c>
    </row>
    <row r="435" spans="1:12" x14ac:dyDescent="0.3">
      <c r="A435" t="s">
        <v>575</v>
      </c>
      <c r="E435" s="20" t="str">
        <f t="shared" ref="E435:E459" si="44">IF(D435="?OLD","!!!","")</f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ref="H435:H459" ca="1" si="45">IF(J435&lt;&gt;1,"",IF(I435="SBJ","CB","?"))</f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572</v>
      </c>
      <c r="B436" s="26" t="s">
        <v>330</v>
      </c>
      <c r="C436" s="26" t="s">
        <v>496</v>
      </c>
      <c r="D436" s="26" t="s">
        <v>332</v>
      </c>
      <c r="E436" s="20" t="str">
        <f t="shared" si="44"/>
        <v>!!!</v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45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575</v>
      </c>
      <c r="E437" s="20" t="str">
        <f t="shared" si="44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45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585</v>
      </c>
      <c r="E438" s="20" t="str">
        <f t="shared" si="44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45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586</v>
      </c>
      <c r="B439" s="26" t="s">
        <v>344</v>
      </c>
      <c r="C439" s="26" t="s">
        <v>496</v>
      </c>
      <c r="D439" s="26" t="s">
        <v>332</v>
      </c>
      <c r="E439" s="20" t="str">
        <f t="shared" si="44"/>
        <v>!!!</v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45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351</v>
      </c>
      <c r="E440" s="20" t="str">
        <f t="shared" si="44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45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395</v>
      </c>
      <c r="B441" s="26" t="s">
        <v>378</v>
      </c>
      <c r="C441" s="26" t="s">
        <v>355</v>
      </c>
      <c r="E441" s="20" t="str">
        <f t="shared" si="44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45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383</v>
      </c>
      <c r="E442" s="20" t="str">
        <f t="shared" si="44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45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587</v>
      </c>
      <c r="E443" s="20" t="str">
        <f t="shared" si="44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45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11</v>
      </c>
      <c r="E444" s="20" t="str">
        <f t="shared" si="44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45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588</v>
      </c>
      <c r="B445" s="26" t="s">
        <v>362</v>
      </c>
      <c r="C445" s="26" t="s">
        <v>355</v>
      </c>
      <c r="E445" s="20" t="str">
        <f t="shared" si="44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45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385</v>
      </c>
      <c r="E446" s="20" t="str">
        <f t="shared" si="44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45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589</v>
      </c>
      <c r="B447" s="26" t="s">
        <v>515</v>
      </c>
      <c r="C447" s="26" t="s">
        <v>355</v>
      </c>
      <c r="E447" s="20" t="str">
        <f t="shared" si="44"/>
        <v/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45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8" spans="1:12" x14ac:dyDescent="0.3">
      <c r="A448" t="s">
        <v>590</v>
      </c>
      <c r="E448" s="20" t="str">
        <f t="shared" si="44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45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591</v>
      </c>
      <c r="B449" s="26" t="s">
        <v>378</v>
      </c>
      <c r="C449" s="26" t="s">
        <v>496</v>
      </c>
      <c r="D449" s="26" t="s">
        <v>332</v>
      </c>
      <c r="E449" s="20" t="str">
        <f t="shared" si="44"/>
        <v>!!!</v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45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11</v>
      </c>
      <c r="E450" s="20" t="str">
        <f t="shared" si="44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45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592</v>
      </c>
      <c r="E451" s="20" t="str">
        <f t="shared" si="44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45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11</v>
      </c>
      <c r="E452" s="20" t="str">
        <f t="shared" si="44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45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593</v>
      </c>
      <c r="E453" s="20" t="str">
        <f t="shared" si="44"/>
        <v/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45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385</v>
      </c>
      <c r="E454" s="20" t="str">
        <f t="shared" si="44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45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594</v>
      </c>
      <c r="B455" s="26" t="s">
        <v>362</v>
      </c>
      <c r="C455" s="26" t="s">
        <v>355</v>
      </c>
      <c r="E455" s="20" t="str">
        <f t="shared" si="44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45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11</v>
      </c>
      <c r="E456" s="20" t="str">
        <f t="shared" si="44"/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45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385</v>
      </c>
      <c r="E457" s="20" t="str">
        <f t="shared" si="44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45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595</v>
      </c>
      <c r="B458" s="26" t="s">
        <v>515</v>
      </c>
      <c r="C458" s="26" t="s">
        <v>355</v>
      </c>
      <c r="E458" s="20" t="str">
        <f t="shared" si="44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45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338</v>
      </c>
      <c r="E459" s="20" t="str">
        <f t="shared" si="44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45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1" spans="1:12" x14ac:dyDescent="0.3">
      <c r="A461" t="s">
        <v>573</v>
      </c>
      <c r="E461" s="20" t="str">
        <f>IF(D461="?OLD","!!!","")</f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ca="1">IF(J461&lt;&gt;1,"",IF(I461="SBJ","CB","?"))</f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596</v>
      </c>
    </row>
    <row r="463" spans="1:12" x14ac:dyDescent="0.3">
      <c r="A463" t="s">
        <v>575</v>
      </c>
      <c r="E463" s="20" t="str">
        <f t="shared" ref="E463:E477" si="46">IF(D463="?OLD","!!!","")</f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ref="H463:H477" ca="1" si="47">IF(J463&lt;&gt;1,"",IF(I463="SBJ","CB","?"))</f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389</v>
      </c>
      <c r="B464" s="26" t="s">
        <v>330</v>
      </c>
      <c r="C464" s="26" t="s">
        <v>355</v>
      </c>
      <c r="E464" s="20" t="str">
        <f t="shared" si="46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47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575</v>
      </c>
      <c r="E465" s="20" t="str">
        <f t="shared" si="46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47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597</v>
      </c>
      <c r="E466" s="20" t="str">
        <f t="shared" si="46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47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380</v>
      </c>
      <c r="E467" s="20" t="str">
        <f t="shared" si="46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47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598</v>
      </c>
      <c r="B468" s="26" t="s">
        <v>344</v>
      </c>
      <c r="C468" s="26" t="s">
        <v>331</v>
      </c>
      <c r="D468" s="26" t="s">
        <v>332</v>
      </c>
      <c r="E468" s="20" t="str">
        <f t="shared" si="46"/>
        <v>!!!</v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47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599</v>
      </c>
      <c r="E469" s="20" t="str">
        <f t="shared" si="46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47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399</v>
      </c>
      <c r="E470" s="20" t="str">
        <f t="shared" si="46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47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543</v>
      </c>
      <c r="B471" s="26" t="s">
        <v>378</v>
      </c>
      <c r="C471" s="26" t="s">
        <v>331</v>
      </c>
      <c r="D471" s="26" t="s">
        <v>332</v>
      </c>
      <c r="E471" s="20" t="str">
        <f t="shared" si="46"/>
        <v>!!!</v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47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600</v>
      </c>
      <c r="E472" s="20" t="str">
        <f t="shared" si="46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47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419</v>
      </c>
      <c r="E473" s="20" t="str">
        <f t="shared" si="46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47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601</v>
      </c>
      <c r="B474" s="26" t="s">
        <v>337</v>
      </c>
      <c r="C474" s="26" t="s">
        <v>331</v>
      </c>
      <c r="D474" s="26" t="s">
        <v>332</v>
      </c>
      <c r="E474" s="20" t="str">
        <f t="shared" si="46"/>
        <v>!!!</v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47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385</v>
      </c>
      <c r="E475" s="20" t="str">
        <f t="shared" si="46"/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t="shared" ca="1" si="47"/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353</v>
      </c>
      <c r="B476" s="26" t="s">
        <v>378</v>
      </c>
      <c r="C476" s="26" t="s">
        <v>355</v>
      </c>
      <c r="E476" s="20" t="str">
        <f t="shared" si="46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47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338</v>
      </c>
      <c r="E477" s="20" t="str">
        <f t="shared" si="46"/>
        <v/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47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9" spans="1:12" x14ac:dyDescent="0.3">
      <c r="A479" t="s">
        <v>602</v>
      </c>
    </row>
    <row r="480" spans="1:12" x14ac:dyDescent="0.3">
      <c r="A480" t="s">
        <v>424</v>
      </c>
      <c r="B480" s="26" t="s">
        <v>330</v>
      </c>
      <c r="C480" s="26" t="s">
        <v>341</v>
      </c>
      <c r="D480" s="26" t="s">
        <v>332</v>
      </c>
      <c r="E480" s="20" t="str">
        <f t="shared" ref="E480:E492" si="48">IF(D480="?OLD","!!!","")</f>
        <v>!!!</v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ref="H480:H492" ca="1" si="49">IF(J480&lt;&gt;1,"",IF(I480="SBJ","CB","?"))</f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603</v>
      </c>
      <c r="E481" s="20" t="str">
        <f t="shared" si="48"/>
        <v/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49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604</v>
      </c>
      <c r="E482" s="20" t="str">
        <f t="shared" si="48"/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49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605</v>
      </c>
      <c r="E483" s="20" t="str">
        <f t="shared" si="48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49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351</v>
      </c>
      <c r="E484" s="20" t="str">
        <f t="shared" si="48"/>
        <v/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49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371</v>
      </c>
      <c r="B485" s="26" t="s">
        <v>354</v>
      </c>
      <c r="C485" s="26" t="s">
        <v>341</v>
      </c>
      <c r="D485" s="26" t="s">
        <v>332</v>
      </c>
      <c r="E485" s="20" t="str">
        <f t="shared" si="48"/>
        <v>!!!</v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49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6" spans="1:12" x14ac:dyDescent="0.3">
      <c r="A486" t="s">
        <v>374</v>
      </c>
      <c r="E486" s="20" t="str">
        <f t="shared" si="48"/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49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372</v>
      </c>
      <c r="E487" s="20" t="str">
        <f t="shared" si="48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49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380</v>
      </c>
      <c r="E488" s="20" t="str">
        <f t="shared" si="48"/>
        <v/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49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345</v>
      </c>
      <c r="E489" s="20" t="str">
        <f t="shared" si="48"/>
        <v/>
      </c>
      <c r="F489" s="21" t="str">
        <f>IF(OR(E489="",E489="!!!"),"",IF(NOT(ISNA(VLOOKUP(E489,E$1:E488,1,FALSE()))),"OLD",IF(AND(E489&lt;&gt;"",E489&lt;&gt;"!!!"),"NEW","")))</f>
        <v/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49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/>
    </row>
    <row r="490" spans="1:12" x14ac:dyDescent="0.3">
      <c r="A490" t="s">
        <v>381</v>
      </c>
      <c r="E490" s="20" t="str">
        <f t="shared" si="48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49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395</v>
      </c>
      <c r="B491" s="26" t="s">
        <v>378</v>
      </c>
      <c r="C491" s="26" t="s">
        <v>331</v>
      </c>
      <c r="D491" s="26" t="s">
        <v>332</v>
      </c>
      <c r="E491" s="20" t="str">
        <f t="shared" si="48"/>
        <v>!!!</v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49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338</v>
      </c>
      <c r="E492" s="20" t="str">
        <f t="shared" si="48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49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4" spans="1:12" x14ac:dyDescent="0.3">
      <c r="A494" t="s">
        <v>606</v>
      </c>
    </row>
    <row r="495" spans="1:12" x14ac:dyDescent="0.3">
      <c r="A495" t="s">
        <v>530</v>
      </c>
      <c r="E495" s="20" t="str">
        <f t="shared" ref="E495:E516" si="50">IF(D495="?OLD","!!!","")</f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ref="H495:H516" ca="1" si="51">IF(J495&lt;&gt;1,"",IF(I495="SBJ","CB","?"))</f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569</v>
      </c>
      <c r="B496" s="26" t="s">
        <v>330</v>
      </c>
      <c r="C496" s="26" t="s">
        <v>496</v>
      </c>
      <c r="D496" s="26" t="s">
        <v>332</v>
      </c>
      <c r="E496" s="20" t="str">
        <f t="shared" si="50"/>
        <v>!!!</v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51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333</v>
      </c>
      <c r="E497" s="20" t="str">
        <f t="shared" si="50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51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399</v>
      </c>
      <c r="E498" s="20" t="str">
        <f t="shared" si="50"/>
        <v/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51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607</v>
      </c>
      <c r="B499" s="26" t="s">
        <v>337</v>
      </c>
      <c r="C499" s="26" t="s">
        <v>331</v>
      </c>
      <c r="D499" s="26" t="s">
        <v>332</v>
      </c>
      <c r="E499" s="20" t="str">
        <f t="shared" si="50"/>
        <v>!!!</v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51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477</v>
      </c>
      <c r="E500" s="20" t="str">
        <f t="shared" si="50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51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373</v>
      </c>
      <c r="B501" s="26" t="s">
        <v>337</v>
      </c>
      <c r="C501" s="26" t="s">
        <v>355</v>
      </c>
      <c r="E501" s="20" t="str">
        <f t="shared" si="50"/>
        <v/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51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351</v>
      </c>
      <c r="E502" s="20" t="str">
        <f t="shared" si="50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51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385</v>
      </c>
      <c r="E503" s="20" t="str">
        <f t="shared" si="50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51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426</v>
      </c>
      <c r="E504" s="20" t="str">
        <f t="shared" si="50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51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427</v>
      </c>
      <c r="B505" s="26" t="s">
        <v>378</v>
      </c>
      <c r="C505" s="26" t="s">
        <v>355</v>
      </c>
      <c r="E505" s="20" t="str">
        <f t="shared" si="50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51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608</v>
      </c>
      <c r="E506" s="20" t="str">
        <f t="shared" si="50"/>
        <v/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51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569</v>
      </c>
      <c r="E507" s="20" t="str">
        <f t="shared" si="50"/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51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11</v>
      </c>
      <c r="E508" s="20" t="str">
        <f t="shared" si="50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51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609</v>
      </c>
      <c r="E509" s="20" t="str">
        <f t="shared" si="50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51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385</v>
      </c>
      <c r="E510" s="20" t="str">
        <f t="shared" si="50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51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610</v>
      </c>
      <c r="E511" s="20" t="str">
        <f t="shared" si="50"/>
        <v/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51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609</v>
      </c>
      <c r="B512" s="26" t="s">
        <v>337</v>
      </c>
      <c r="C512" s="26" t="s">
        <v>355</v>
      </c>
      <c r="E512" s="20" t="str">
        <f t="shared" si="50"/>
        <v/>
      </c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51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417</v>
      </c>
      <c r="E513" s="20" t="str">
        <f t="shared" si="50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51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335</v>
      </c>
      <c r="E514" s="20" t="str">
        <f t="shared" si="50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51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611</v>
      </c>
      <c r="B515" s="26" t="s">
        <v>378</v>
      </c>
      <c r="C515" s="26" t="s">
        <v>331</v>
      </c>
      <c r="D515" s="26" t="s">
        <v>332</v>
      </c>
      <c r="E515" s="20" t="str">
        <f t="shared" si="50"/>
        <v>!!!</v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51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6" spans="1:12" x14ac:dyDescent="0.3">
      <c r="A516" t="s">
        <v>338</v>
      </c>
      <c r="E516" s="20" t="str">
        <f t="shared" si="50"/>
        <v/>
      </c>
      <c r="F516" s="21" t="str">
        <f>IF(OR(E516="",E516="!!!"),"",IF(NOT(ISNA(VLOOKUP(E516,E$1:E515,1,FALSE()))),"OLD",IF(AND(E516&lt;&gt;"",E516&lt;&gt;"!!!"),"NEW","")))</f>
        <v/>
      </c>
      <c r="G516" s="22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t="shared" ca="1" si="51"/>
        <v/>
      </c>
      <c r="I516" s="24" t="str">
        <f>IF(OR(E516="",E516="!!!",F516="NEW"),"",INDEX(B$2:B515,-1+SUMPRODUCT(MAX(ROW(E$2:E515)*(E516=E$2:E515)))))</f>
        <v/>
      </c>
      <c r="J516" s="24" t="str">
        <f ca="1">IF(OR(E516="",E516="!!!",F516="NEW"),"",COUNTBLANK(OFFSET(A$1,,,SUMPRODUCT(MAX(ROW(E$2:E516)*(E516=E$2:E516)))))-COUNTBLANK(OFFSET(A$1,,,SUMPRODUCT(MAX(ROW(E$1:E515)*(E2=E$1:E515))))))</f>
        <v/>
      </c>
      <c r="K516" s="24" t="str">
        <f>IF(OR(E516="",E516="!!!",F516="NEW"),"",INDEX(J$1:J515,SUMPRODUCT(MAX(ROW(E$1:E515)*(E516=E$1:E515)))))</f>
        <v/>
      </c>
      <c r="L516" s="25"/>
    </row>
    <row r="518" spans="1:12" x14ac:dyDescent="0.3">
      <c r="A518" t="s">
        <v>612</v>
      </c>
    </row>
    <row r="519" spans="1:12" x14ac:dyDescent="0.3">
      <c r="A519" t="s">
        <v>613</v>
      </c>
      <c r="E519" s="20" t="str">
        <f t="shared" ref="E519:E550" si="52">IF(D519="?OLD","!!!","")</f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ref="H519:H550" ca="1" si="53">IF(J519&lt;&gt;1,"",IF(I519="SBJ","CB","?"))</f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441</v>
      </c>
      <c r="E520" s="20" t="str">
        <f t="shared" si="52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53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401</v>
      </c>
      <c r="E521" s="20" t="str">
        <f t="shared" si="52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53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614</v>
      </c>
      <c r="B522" s="26" t="s">
        <v>330</v>
      </c>
      <c r="C522" s="26" t="s">
        <v>355</v>
      </c>
      <c r="E522" s="20" t="str">
        <f t="shared" si="52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53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600</v>
      </c>
      <c r="E523" s="20" t="str">
        <f t="shared" si="52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53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615</v>
      </c>
      <c r="B524" s="26" t="s">
        <v>337</v>
      </c>
      <c r="C524" s="26" t="s">
        <v>355</v>
      </c>
      <c r="E524" s="20" t="str">
        <f t="shared" si="52"/>
        <v/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53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535</v>
      </c>
      <c r="E525" s="20" t="str">
        <f t="shared" si="52"/>
        <v/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53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616</v>
      </c>
      <c r="B526" s="26" t="s">
        <v>378</v>
      </c>
      <c r="C526" s="26" t="s">
        <v>355</v>
      </c>
      <c r="E526" s="20" t="str">
        <f t="shared" si="52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53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461</v>
      </c>
      <c r="E527" s="20" t="str">
        <f t="shared" si="52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53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617</v>
      </c>
      <c r="B528" s="26" t="s">
        <v>378</v>
      </c>
      <c r="C528" s="26" t="s">
        <v>355</v>
      </c>
      <c r="E528" s="20" t="str">
        <f t="shared" si="52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53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385</v>
      </c>
      <c r="E529" s="20" t="str">
        <f t="shared" si="52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53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461</v>
      </c>
      <c r="E530" s="20" t="str">
        <f t="shared" si="52"/>
        <v/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53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335</v>
      </c>
      <c r="E531" s="20" t="str">
        <f t="shared" si="52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53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618</v>
      </c>
      <c r="B532" s="26" t="s">
        <v>362</v>
      </c>
      <c r="C532" s="26" t="s">
        <v>331</v>
      </c>
      <c r="D532" s="26" t="s">
        <v>332</v>
      </c>
      <c r="E532" s="20" t="str">
        <f t="shared" si="52"/>
        <v>!!!</v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53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619</v>
      </c>
      <c r="E533" s="20" t="str">
        <f t="shared" si="52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53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385</v>
      </c>
      <c r="E534" s="20" t="str">
        <f t="shared" si="52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53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620</v>
      </c>
      <c r="B535" s="26" t="s">
        <v>378</v>
      </c>
      <c r="C535" s="26" t="s">
        <v>355</v>
      </c>
      <c r="E535" s="20" t="str">
        <f t="shared" si="52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53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477</v>
      </c>
      <c r="E536" s="20" t="str">
        <f t="shared" si="52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53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380</v>
      </c>
      <c r="E537" s="20" t="str">
        <f t="shared" si="52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53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621</v>
      </c>
      <c r="B538" s="26" t="s">
        <v>337</v>
      </c>
      <c r="C538" s="26" t="s">
        <v>331</v>
      </c>
      <c r="D538" s="26" t="s">
        <v>332</v>
      </c>
      <c r="E538" s="20" t="str">
        <f t="shared" si="52"/>
        <v>!!!</v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53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622</v>
      </c>
      <c r="E539" s="20" t="str">
        <f t="shared" si="52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53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465</v>
      </c>
      <c r="E540" s="20" t="str">
        <f t="shared" si="52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53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1" spans="1:12" x14ac:dyDescent="0.3">
      <c r="A541" t="s">
        <v>351</v>
      </c>
      <c r="E541" s="20" t="str">
        <f t="shared" si="52"/>
        <v/>
      </c>
      <c r="F541" s="21" t="str">
        <f>IF(OR(E541="",E541="!!!"),"",IF(NOT(ISNA(VLOOKUP(E541,E$1:E540,1,FALSE()))),"OLD",IF(AND(E541&lt;&gt;"",E541&lt;&gt;"!!!"),"NEW","")))</f>
        <v/>
      </c>
      <c r="G541" s="22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t="shared" ca="1" si="53"/>
        <v/>
      </c>
      <c r="I541" s="24" t="str">
        <f>IF(OR(E541="",E541="!!!",F541="NEW"),"",INDEX(B$2:B540,-1+SUMPRODUCT(MAX(ROW(E$2:E540)*(E541=E$2:E540)))))</f>
        <v/>
      </c>
      <c r="J541" s="24" t="str">
        <f ca="1">IF(OR(E541="",E541="!!!",F541="NEW"),"",COUNTBLANK(OFFSET(A$1,,,SUMPRODUCT(MAX(ROW(E$2:E541)*(E541=E$2:E541)))))-COUNTBLANK(OFFSET(A$1,,,SUMPRODUCT(MAX(ROW(E$1:E540)*(E2=E$1:E540))))))</f>
        <v/>
      </c>
      <c r="K541" s="24" t="str">
        <f>IF(OR(E541="",E541="!!!",F541="NEW"),"",INDEX(J$1:J540,SUMPRODUCT(MAX(ROW(E$1:E540)*(E541=E$1:E540)))))</f>
        <v/>
      </c>
      <c r="L541" s="25"/>
    </row>
    <row r="542" spans="1:12" x14ac:dyDescent="0.3">
      <c r="A542" t="s">
        <v>380</v>
      </c>
      <c r="B542" s="26" t="s">
        <v>354</v>
      </c>
      <c r="C542" s="26" t="s">
        <v>438</v>
      </c>
      <c r="D542" s="26" t="s">
        <v>332</v>
      </c>
      <c r="E542" s="20" t="str">
        <f t="shared" si="52"/>
        <v>!!!</v>
      </c>
      <c r="F542" s="21" t="str">
        <f>IF(OR(E542="",E542="!!!"),"",IF(NOT(ISNA(VLOOKUP(E542,E$1:E541,1,FALSE()))),"OLD",IF(AND(E542&lt;&gt;"",E542&lt;&gt;"!!!"),"NEW","")))</f>
        <v/>
      </c>
      <c r="G542" s="22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3" t="str">
        <f t="shared" ca="1" si="53"/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371</v>
      </c>
      <c r="B543" s="26" t="s">
        <v>357</v>
      </c>
      <c r="C543" s="26" t="s">
        <v>341</v>
      </c>
      <c r="D543" s="26" t="s">
        <v>332</v>
      </c>
      <c r="E543" s="20" t="str">
        <f t="shared" si="52"/>
        <v>!!!</v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ca="1" si="53"/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477</v>
      </c>
      <c r="E544" s="20" t="str">
        <f t="shared" si="52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53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623</v>
      </c>
      <c r="E545" s="20" t="str">
        <f t="shared" si="52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53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385</v>
      </c>
      <c r="E546" s="20" t="str">
        <f t="shared" si="52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53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624</v>
      </c>
      <c r="E547" s="20" t="str">
        <f t="shared" si="52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53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625</v>
      </c>
      <c r="B548" s="26" t="s">
        <v>378</v>
      </c>
      <c r="C548" s="26" t="s">
        <v>355</v>
      </c>
      <c r="E548" s="20" t="str">
        <f t="shared" si="52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53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626</v>
      </c>
      <c r="E549" s="20" t="str">
        <f t="shared" si="52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53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338</v>
      </c>
      <c r="E550" s="20" t="str">
        <f t="shared" si="52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53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2" spans="1:12" x14ac:dyDescent="0.3">
      <c r="A552" t="s">
        <v>627</v>
      </c>
    </row>
    <row r="553" spans="1:12" x14ac:dyDescent="0.3">
      <c r="A553" t="s">
        <v>628</v>
      </c>
      <c r="E553" s="20" t="str">
        <f t="shared" ref="E553:E572" si="54">IF(D553="?OLD","!!!","")</f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ref="H553:H572" ca="1" si="55">IF(J553&lt;&gt;1,"",IF(I553="SBJ","CB","?"))</f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629</v>
      </c>
      <c r="E554" s="20" t="str">
        <f t="shared" si="54"/>
        <v/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55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373</v>
      </c>
      <c r="B555" s="26" t="s">
        <v>354</v>
      </c>
      <c r="C555" s="26" t="s">
        <v>355</v>
      </c>
      <c r="E555" s="20" t="str">
        <f t="shared" si="54"/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55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6" spans="1:12" x14ac:dyDescent="0.3">
      <c r="A556" t="s">
        <v>536</v>
      </c>
      <c r="E556" s="20" t="str">
        <f t="shared" si="54"/>
        <v/>
      </c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ca="1" si="55"/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/>
    </row>
    <row r="557" spans="1:12" x14ac:dyDescent="0.3">
      <c r="A557" t="s">
        <v>542</v>
      </c>
      <c r="E557" s="20" t="str">
        <f t="shared" si="54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55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630</v>
      </c>
      <c r="B558" s="26" t="s">
        <v>330</v>
      </c>
      <c r="C558" s="26" t="s">
        <v>544</v>
      </c>
      <c r="E558" s="20" t="str">
        <f t="shared" si="54"/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ca="1" si="55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333</v>
      </c>
      <c r="E559" s="20" t="str">
        <f t="shared" si="54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55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351</v>
      </c>
      <c r="E560" s="20" t="str">
        <f t="shared" si="54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55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385</v>
      </c>
      <c r="E561" s="20" t="str">
        <f t="shared" si="54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55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371</v>
      </c>
      <c r="E562" s="20" t="str">
        <f t="shared" si="54"/>
        <v/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55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631</v>
      </c>
      <c r="E563" s="20" t="str">
        <f t="shared" si="54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55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632</v>
      </c>
      <c r="E564" s="20" t="str">
        <f t="shared" si="54"/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55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633</v>
      </c>
      <c r="E565" s="20" t="str">
        <f t="shared" si="54"/>
        <v/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55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634</v>
      </c>
      <c r="E566" s="20" t="str">
        <f t="shared" si="54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55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351</v>
      </c>
      <c r="E567" s="20" t="str">
        <f t="shared" si="54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55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635</v>
      </c>
      <c r="E568" s="20" t="str">
        <f t="shared" si="54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55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359</v>
      </c>
      <c r="E569" s="20" t="str">
        <f t="shared" si="54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55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636</v>
      </c>
      <c r="B570" s="26" t="s">
        <v>354</v>
      </c>
      <c r="C570" s="26" t="s">
        <v>331</v>
      </c>
      <c r="D570" s="26" t="s">
        <v>332</v>
      </c>
      <c r="E570" s="20" t="str">
        <f t="shared" si="54"/>
        <v>!!!</v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55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637</v>
      </c>
      <c r="E571" s="20" t="str">
        <f t="shared" si="54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55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638</v>
      </c>
      <c r="E572" s="20" t="str">
        <f t="shared" si="54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55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4" spans="1:12" x14ac:dyDescent="0.3">
      <c r="A574" t="s">
        <v>639</v>
      </c>
    </row>
    <row r="575" spans="1:12" x14ac:dyDescent="0.3">
      <c r="A575" t="s">
        <v>640</v>
      </c>
      <c r="E575" s="20" t="str">
        <f t="shared" ref="E575:E585" si="56">IF(D575="?OLD","!!!","")</f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ref="H575:H585" ca="1" si="57">IF(J575&lt;&gt;1,"",IF(I575="SBJ","CB","?"))</f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6" spans="1:12" x14ac:dyDescent="0.3">
      <c r="A576" t="s">
        <v>641</v>
      </c>
      <c r="E576" s="20" t="str">
        <f t="shared" si="56"/>
        <v/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57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333</v>
      </c>
      <c r="E577" s="20" t="str">
        <f t="shared" si="56"/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57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351</v>
      </c>
      <c r="E578" s="20" t="str">
        <f t="shared" si="56"/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ca="1" si="57"/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352</v>
      </c>
      <c r="E579" s="20" t="str">
        <f t="shared" si="56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57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380</v>
      </c>
      <c r="E580" s="20" t="str">
        <f t="shared" si="56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57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642</v>
      </c>
      <c r="E581" s="20" t="str">
        <f t="shared" si="56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57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643</v>
      </c>
      <c r="B582" s="26" t="s">
        <v>354</v>
      </c>
      <c r="C582" s="26" t="s">
        <v>331</v>
      </c>
      <c r="D582" s="26" t="s">
        <v>332</v>
      </c>
      <c r="E582" s="20" t="str">
        <f t="shared" si="56"/>
        <v>!!!</v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57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637</v>
      </c>
      <c r="E583" s="20" t="str">
        <f t="shared" si="56"/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57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570</v>
      </c>
      <c r="E584" s="20" t="str">
        <f t="shared" si="56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57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338</v>
      </c>
      <c r="E585" s="20" t="str">
        <f t="shared" si="56"/>
        <v/>
      </c>
      <c r="F585" s="21" t="str">
        <f>IF(OR(E585="",E585="!!!"),"",IF(NOT(ISNA(VLOOKUP(E585,E$1:E584,1,FALSE()))),"OLD",IF(AND(E585&lt;&gt;"",E585&lt;&gt;"!!!"),"NEW","")))</f>
        <v/>
      </c>
      <c r="G585" s="22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3" t="str">
        <f t="shared" ca="1" si="57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7" spans="1:12" x14ac:dyDescent="0.3">
      <c r="A587" t="s">
        <v>644</v>
      </c>
    </row>
    <row r="588" spans="1:12" x14ac:dyDescent="0.3">
      <c r="A588" t="s">
        <v>340</v>
      </c>
      <c r="B588" s="26" t="s">
        <v>330</v>
      </c>
      <c r="C588" s="26" t="s">
        <v>341</v>
      </c>
      <c r="D588" s="26" t="s">
        <v>332</v>
      </c>
      <c r="E588" s="20" t="str">
        <f t="shared" ref="E588:E605" si="58">IF(D588="?OLD","!!!","")</f>
        <v>!!!</v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ref="H588:H605" ca="1" si="59">IF(J588&lt;&gt;1,"",IF(I588="SBJ","CB","?"))</f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645</v>
      </c>
      <c r="E589" s="20" t="str">
        <f t="shared" si="58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59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351</v>
      </c>
      <c r="E590" s="20" t="str">
        <f t="shared" si="58"/>
        <v/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59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1" spans="1:12" x14ac:dyDescent="0.3">
      <c r="A591" t="s">
        <v>373</v>
      </c>
      <c r="B591" s="26" t="s">
        <v>354</v>
      </c>
      <c r="C591" s="26" t="s">
        <v>355</v>
      </c>
      <c r="E591" s="20" t="str">
        <f t="shared" si="58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59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363</v>
      </c>
      <c r="E592" s="20" t="str">
        <f t="shared" si="58"/>
        <v/>
      </c>
      <c r="F592" s="21" t="str">
        <f>IF(OR(E592="",E592="!!!"),"",IF(NOT(ISNA(VLOOKUP(E592,E$1:E591,1,FALSE()))),"OLD",IF(AND(E592&lt;&gt;"",E592&lt;&gt;"!!!"),"NEW","")))</f>
        <v/>
      </c>
      <c r="G592" s="22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3" t="str">
        <f t="shared" ca="1" si="59"/>
        <v/>
      </c>
      <c r="I592" s="24" t="str">
        <f>IF(OR(E592="",E592="!!!",F592="NEW"),"",INDEX(B$2:B591,-1+SUMPRODUCT(MAX(ROW(E$2:E591)*(E592=E$2:E591)))))</f>
        <v/>
      </c>
      <c r="J592" s="24" t="str">
        <f ca="1">IF(OR(E592="",E592="!!!",F592="NEW"),"",COUNTBLANK(OFFSET(A$1,,,SUMPRODUCT(MAX(ROW(E$2:E592)*(E592=E$2:E592)))))-COUNTBLANK(OFFSET(A$1,,,SUMPRODUCT(MAX(ROW(E$1:E591)*(E2=E$1:E591))))))</f>
        <v/>
      </c>
      <c r="K592" s="24" t="str">
        <f>IF(OR(E592="",E592="!!!",F592="NEW"),"",INDEX(J$1:J591,SUMPRODUCT(MAX(ROW(E$1:E591)*(E592=E$1:E591)))))</f>
        <v/>
      </c>
      <c r="L592" s="25"/>
    </row>
    <row r="593" spans="1:12" x14ac:dyDescent="0.3">
      <c r="A593" t="s">
        <v>646</v>
      </c>
      <c r="E593" s="20" t="str">
        <f t="shared" si="58"/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ca="1" si="59"/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430</v>
      </c>
      <c r="E594" s="20" t="str">
        <f t="shared" si="58"/>
        <v/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59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499</v>
      </c>
      <c r="E595" s="20" t="str">
        <f t="shared" si="58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59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351</v>
      </c>
      <c r="E596" s="20" t="str">
        <f t="shared" si="58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59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7" spans="1:12" x14ac:dyDescent="0.3">
      <c r="A597" t="s">
        <v>647</v>
      </c>
      <c r="E597" s="20" t="str">
        <f t="shared" si="58"/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59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430</v>
      </c>
      <c r="E598" s="20" t="str">
        <f t="shared" si="58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59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648</v>
      </c>
      <c r="E599" s="20" t="str">
        <f t="shared" si="58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59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477</v>
      </c>
      <c r="E600" s="20" t="str">
        <f t="shared" si="58"/>
        <v/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59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419</v>
      </c>
      <c r="E601" s="20" t="str">
        <f t="shared" si="58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59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649</v>
      </c>
      <c r="B602" s="26" t="s">
        <v>362</v>
      </c>
      <c r="C602" s="26" t="s">
        <v>331</v>
      </c>
      <c r="D602" s="26" t="s">
        <v>332</v>
      </c>
      <c r="E602" s="20" t="str">
        <f t="shared" si="58"/>
        <v>!!!</v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59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396</v>
      </c>
      <c r="E603" s="20" t="str">
        <f t="shared" si="58"/>
        <v/>
      </c>
      <c r="F603" s="21" t="str">
        <f>IF(OR(E603="",E603="!!!"),"",IF(NOT(ISNA(VLOOKUP(E603,E$1:E602,1,FALSE()))),"OLD",IF(AND(E603&lt;&gt;"",E603&lt;&gt;"!!!"),"NEW","")))</f>
        <v/>
      </c>
      <c r="G603" s="22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3" t="str">
        <f t="shared" ca="1" si="59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650</v>
      </c>
      <c r="E604" s="20" t="str">
        <f t="shared" si="58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59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338</v>
      </c>
      <c r="E605" s="20" t="str">
        <f t="shared" si="58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59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7" spans="1:12" x14ac:dyDescent="0.3">
      <c r="A607" t="s">
        <v>651</v>
      </c>
    </row>
    <row r="608" spans="1:12" x14ac:dyDescent="0.3">
      <c r="A608" t="s">
        <v>652</v>
      </c>
      <c r="E608" s="20" t="str">
        <f t="shared" ref="E608:E632" si="60">IF(D608="?OLD","!!!","")</f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ref="H608:H632" ca="1" si="61">IF(J608&lt;&gt;1,"",IF(I608="SBJ","CB","?"))</f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205</v>
      </c>
      <c r="E609" s="20" t="str">
        <f t="shared" si="60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61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653</v>
      </c>
      <c r="B610" s="26" t="s">
        <v>330</v>
      </c>
      <c r="C610" s="26" t="s">
        <v>366</v>
      </c>
      <c r="E610" s="20" t="str">
        <f t="shared" si="60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61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359</v>
      </c>
      <c r="E611" s="20" t="str">
        <f t="shared" si="60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61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643</v>
      </c>
      <c r="B612" s="26" t="s">
        <v>378</v>
      </c>
      <c r="C612" s="26" t="s">
        <v>331</v>
      </c>
      <c r="D612" s="26" t="s">
        <v>332</v>
      </c>
      <c r="E612" s="20" t="str">
        <f t="shared" si="60"/>
        <v>!!!</v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61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654</v>
      </c>
      <c r="E613" s="20" t="str">
        <f t="shared" si="60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61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650</v>
      </c>
      <c r="E614" s="20" t="str">
        <f t="shared" si="60"/>
        <v/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61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334</v>
      </c>
      <c r="E615" s="20" t="str">
        <f t="shared" si="60"/>
        <v/>
      </c>
      <c r="F615" s="21" t="str">
        <f>IF(OR(E615="",E615="!!!"),"",IF(NOT(ISNA(VLOOKUP(E615,E$1:E614,1,FALSE()))),"OLD",IF(AND(E615&lt;&gt;"",E615&lt;&gt;"!!!"),"NEW","")))</f>
        <v/>
      </c>
      <c r="G615" s="22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3" t="str">
        <f t="shared" ca="1" si="61"/>
        <v/>
      </c>
      <c r="I615" s="24" t="str">
        <f>IF(OR(E615="",E615="!!!",F615="NEW"),"",INDEX(B$2:B614,-1+SUMPRODUCT(MAX(ROW(E$2:E614)*(E615=E$2:E614)))))</f>
        <v/>
      </c>
      <c r="J615" s="24" t="str">
        <f ca="1">IF(OR(E615="",E615="!!!",F615="NEW"),"",COUNTBLANK(OFFSET(A$1,,,SUMPRODUCT(MAX(ROW(E$2:E615)*(E615=E$2:E615)))))-COUNTBLANK(OFFSET(A$1,,,SUMPRODUCT(MAX(ROW(E$1:E614)*(E2=E$1:E614))))))</f>
        <v/>
      </c>
      <c r="K615" s="24" t="str">
        <f>IF(OR(E615="",E615="!!!",F615="NEW"),"",INDEX(J$1:J614,SUMPRODUCT(MAX(ROW(E$1:E614)*(E615=E$1:E614)))))</f>
        <v/>
      </c>
      <c r="L615" s="25"/>
    </row>
    <row r="616" spans="1:12" x14ac:dyDescent="0.3">
      <c r="A616" t="s">
        <v>373</v>
      </c>
      <c r="B616" s="26" t="s">
        <v>337</v>
      </c>
      <c r="C616" s="26" t="s">
        <v>355</v>
      </c>
      <c r="E616" s="20" t="str">
        <f t="shared" si="60"/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61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380</v>
      </c>
      <c r="E617" s="20" t="str">
        <f t="shared" si="60"/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61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655</v>
      </c>
      <c r="B618" s="26" t="s">
        <v>354</v>
      </c>
      <c r="C618" s="26" t="s">
        <v>331</v>
      </c>
      <c r="D618" s="26" t="s">
        <v>332</v>
      </c>
      <c r="E618" s="20" t="str">
        <f t="shared" si="60"/>
        <v>!!!</v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61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477</v>
      </c>
      <c r="E619" s="20" t="str">
        <f t="shared" si="60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61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656</v>
      </c>
      <c r="E620" s="20" t="str">
        <f t="shared" si="60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61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11</v>
      </c>
      <c r="E621" s="20" t="str">
        <f t="shared" si="60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61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657</v>
      </c>
      <c r="B622" s="26" t="s">
        <v>337</v>
      </c>
      <c r="C622" s="26" t="s">
        <v>355</v>
      </c>
      <c r="E622" s="20" t="str">
        <f t="shared" si="60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61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351</v>
      </c>
      <c r="E623" s="20" t="str">
        <f t="shared" si="60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61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658</v>
      </c>
      <c r="B624" s="26" t="s">
        <v>354</v>
      </c>
      <c r="C624" s="26" t="s">
        <v>438</v>
      </c>
      <c r="D624" s="26" t="s">
        <v>332</v>
      </c>
      <c r="E624" s="20" t="str">
        <f t="shared" si="60"/>
        <v>!!!</v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61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396</v>
      </c>
      <c r="B625" s="26" t="s">
        <v>362</v>
      </c>
      <c r="C625" s="26" t="s">
        <v>358</v>
      </c>
      <c r="E625" s="20" t="str">
        <f t="shared" si="60"/>
        <v/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61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659</v>
      </c>
      <c r="E626" s="20" t="str">
        <f t="shared" si="60"/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61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660</v>
      </c>
      <c r="B627" s="26" t="s">
        <v>378</v>
      </c>
      <c r="C627" s="26" t="s">
        <v>544</v>
      </c>
      <c r="E627" s="20" t="str">
        <f t="shared" si="60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61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334</v>
      </c>
      <c r="E628" s="20" t="str">
        <f t="shared" si="60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61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661</v>
      </c>
      <c r="E629" s="20" t="str">
        <f t="shared" si="60"/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61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662</v>
      </c>
      <c r="B630" s="26" t="s">
        <v>378</v>
      </c>
      <c r="C630" s="26" t="s">
        <v>663</v>
      </c>
      <c r="E630" s="20" t="str">
        <f t="shared" si="60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61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664</v>
      </c>
      <c r="E631" s="20" t="str">
        <f t="shared" si="60"/>
        <v/>
      </c>
      <c r="F631" s="21" t="str">
        <f>IF(OR(E631="",E631="!!!"),"",IF(NOT(ISNA(VLOOKUP(E631,E$1:E630,1,FALSE()))),"OLD",IF(AND(E631&lt;&gt;"",E631&lt;&gt;"!!!"),"NEW","")))</f>
        <v/>
      </c>
      <c r="G631" s="22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3" t="str">
        <f t="shared" ca="1" si="61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338</v>
      </c>
      <c r="E632" s="20" t="str">
        <f t="shared" si="60"/>
        <v/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61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4" spans="1:12" x14ac:dyDescent="0.3">
      <c r="A634" t="s">
        <v>665</v>
      </c>
    </row>
    <row r="635" spans="1:12" x14ac:dyDescent="0.3">
      <c r="A635" t="s">
        <v>530</v>
      </c>
      <c r="E635" s="20" t="str">
        <f t="shared" ref="E635:E651" si="62">IF(D635="?OLD","!!!","")</f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ref="H635:H651" ca="1" si="63">IF(J635&lt;&gt;1,"",IF(I635="SBJ","CB","?"))</f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234</v>
      </c>
      <c r="E636" s="20" t="str">
        <f t="shared" si="62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63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653</v>
      </c>
      <c r="B637" s="26" t="s">
        <v>330</v>
      </c>
      <c r="C637" s="26" t="s">
        <v>366</v>
      </c>
      <c r="E637" s="20" t="str">
        <f t="shared" si="62"/>
        <v/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63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650</v>
      </c>
      <c r="E638" s="20" t="str">
        <f t="shared" si="62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63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569</v>
      </c>
      <c r="B639" s="26" t="s">
        <v>337</v>
      </c>
      <c r="C639" s="26" t="s">
        <v>496</v>
      </c>
      <c r="D639" s="26" t="s">
        <v>332</v>
      </c>
      <c r="E639" s="20" t="str">
        <f t="shared" si="62"/>
        <v>!!!</v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63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430</v>
      </c>
      <c r="E640" s="20" t="str">
        <f t="shared" si="62"/>
        <v/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63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380</v>
      </c>
      <c r="E641" s="20" t="str">
        <f t="shared" si="62"/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63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666</v>
      </c>
      <c r="B642" s="26" t="s">
        <v>378</v>
      </c>
      <c r="C642" s="26" t="s">
        <v>331</v>
      </c>
      <c r="D642" s="26" t="s">
        <v>332</v>
      </c>
      <c r="E642" s="20" t="str">
        <f t="shared" si="62"/>
        <v>!!!</v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63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667</v>
      </c>
      <c r="E643" s="20" t="str">
        <f t="shared" si="62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63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430</v>
      </c>
      <c r="E644" s="20" t="str">
        <f t="shared" si="62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63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499</v>
      </c>
      <c r="E645" s="20" t="str">
        <f t="shared" si="62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63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477</v>
      </c>
      <c r="E646" s="20" t="str">
        <f t="shared" si="62"/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63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380</v>
      </c>
      <c r="E647" s="20" t="str">
        <f t="shared" si="62"/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63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666</v>
      </c>
      <c r="B648" s="26" t="s">
        <v>378</v>
      </c>
      <c r="C648" s="26" t="s">
        <v>331</v>
      </c>
      <c r="D648" s="26" t="s">
        <v>332</v>
      </c>
      <c r="E648" s="20" t="str">
        <f t="shared" si="62"/>
        <v>!!!</v>
      </c>
      <c r="F648" s="21" t="str">
        <f>IF(OR(E648="",E648="!!!"),"",IF(NOT(ISNA(VLOOKUP(E648,E$1:E647,1,FALSE()))),"OLD",IF(AND(E648&lt;&gt;"",E648&lt;&gt;"!!!"),"NEW","")))</f>
        <v/>
      </c>
      <c r="G648" s="22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3" t="str">
        <f t="shared" ca="1" si="63"/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668</v>
      </c>
      <c r="E649" s="20" t="str">
        <f t="shared" si="62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63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669</v>
      </c>
      <c r="B650" s="26" t="s">
        <v>362</v>
      </c>
      <c r="C650" s="26" t="s">
        <v>663</v>
      </c>
      <c r="E650" s="20" t="str">
        <f t="shared" si="62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63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338</v>
      </c>
      <c r="E651" s="20" t="str">
        <f t="shared" si="62"/>
        <v/>
      </c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63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/>
    </row>
    <row r="653" spans="1:12" x14ac:dyDescent="0.3">
      <c r="A653" t="s">
        <v>670</v>
      </c>
    </row>
    <row r="654" spans="1:12" x14ac:dyDescent="0.3">
      <c r="A654" t="s">
        <v>671</v>
      </c>
      <c r="E654" s="20" t="str">
        <f t="shared" ref="E654:E661" si="64">IF(D654="?OLD","!!!","")</f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ref="H654:H661" ca="1" si="65">IF(J654&lt;&gt;1,"",IF(I654="SBJ","CB","?"))</f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380</v>
      </c>
      <c r="E655" s="20" t="str">
        <f t="shared" si="64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65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643</v>
      </c>
      <c r="B656" s="26" t="s">
        <v>330</v>
      </c>
      <c r="C656" s="26" t="s">
        <v>331</v>
      </c>
      <c r="D656" s="26" t="s">
        <v>332</v>
      </c>
      <c r="E656" s="20" t="str">
        <f t="shared" si="64"/>
        <v>!!!</v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65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650</v>
      </c>
      <c r="E657" s="20" t="str">
        <f t="shared" si="64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65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399</v>
      </c>
      <c r="E658" s="20" t="str">
        <f t="shared" si="64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65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484</v>
      </c>
      <c r="E659" s="20" t="str">
        <f t="shared" si="64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65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485</v>
      </c>
      <c r="E660" s="20" t="str">
        <f t="shared" si="64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65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338</v>
      </c>
      <c r="E661" s="20" t="str">
        <f t="shared" si="64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65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3" spans="1:12" x14ac:dyDescent="0.3">
      <c r="A663" t="s">
        <v>672</v>
      </c>
    </row>
    <row r="664" spans="1:12" x14ac:dyDescent="0.3">
      <c r="A664" t="s">
        <v>373</v>
      </c>
      <c r="B664" s="26" t="s">
        <v>330</v>
      </c>
      <c r="C664" s="26" t="s">
        <v>355</v>
      </c>
      <c r="E664" s="20" t="str">
        <f>IF(D664="?OLD","!!!","")</f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ca="1">IF(J664&lt;&gt;1,"",IF(I664="SBJ","CB","?"))</f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673</v>
      </c>
      <c r="E665" s="20" t="str">
        <f>IF(D665="?OLD","!!!","")</f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ca="1">IF(J665&lt;&gt;1,"",IF(I665="SBJ","CB","?"))</f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674</v>
      </c>
      <c r="E666" s="20" t="str">
        <f>IF(D666="?OLD","!!!","")</f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ca="1">IF(J666&lt;&gt;1,"",IF(I666="SBJ","CB","?"))</f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675</v>
      </c>
      <c r="B667" s="26" t="s">
        <v>344</v>
      </c>
      <c r="C667" s="26" t="s">
        <v>355</v>
      </c>
      <c r="E667" s="20" t="str">
        <f>IF(D667="?OLD","!!!","")</f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ca="1">IF(J667&lt;&gt;1,"",IF(I667="SBJ","CB","?"))</f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338</v>
      </c>
      <c r="E668" s="20" t="str">
        <f>IF(D668="?OLD","!!!","")</f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ca="1">IF(J668&lt;&gt;1,"",IF(I668="SBJ","CB","?"))</f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70" spans="1:12" x14ac:dyDescent="0.3">
      <c r="A670" t="s">
        <v>676</v>
      </c>
    </row>
    <row r="671" spans="1:12" x14ac:dyDescent="0.3">
      <c r="A671" t="s">
        <v>677</v>
      </c>
      <c r="E671" s="20" t="str">
        <f t="shared" ref="E671:E681" si="66">IF(D671="?OLD","!!!","")</f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ref="H671:H681" ca="1" si="67">IF(J671&lt;&gt;1,"",IF(I671="SBJ","CB","?"))</f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678</v>
      </c>
      <c r="E672" s="20" t="str">
        <f t="shared" si="66"/>
        <v/>
      </c>
      <c r="F672" s="21" t="str">
        <f>IF(OR(E672="",E672="!!!"),"",IF(NOT(ISNA(VLOOKUP(E672,E$1:E671,1,FALSE()))),"OLD",IF(AND(E672&lt;&gt;"",E672&lt;&gt;"!!!"),"NEW","")))</f>
        <v/>
      </c>
      <c r="G672" s="22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3" t="str">
        <f t="shared" ca="1" si="67"/>
        <v/>
      </c>
      <c r="I672" s="24" t="str">
        <f>IF(OR(E672="",E672="!!!",F672="NEW"),"",INDEX(B$2:B671,-1+SUMPRODUCT(MAX(ROW(E$2:E671)*(E672=E$2:E671)))))</f>
        <v/>
      </c>
      <c r="J672" s="24" t="str">
        <f ca="1">IF(OR(E672="",E672="!!!",F672="NEW"),"",COUNTBLANK(OFFSET(A$1,,,SUMPRODUCT(MAX(ROW(E$2:E672)*(E672=E$2:E672)))))-COUNTBLANK(OFFSET(A$1,,,SUMPRODUCT(MAX(ROW(E$1:E671)*(E2=E$1:E671))))))</f>
        <v/>
      </c>
      <c r="K672" s="24" t="str">
        <f>IF(OR(E672="",E672="!!!",F672="NEW"),"",INDEX(J$1:J671,SUMPRODUCT(MAX(ROW(E$1:E671)*(E672=E$1:E671)))))</f>
        <v/>
      </c>
      <c r="L672" s="25"/>
    </row>
    <row r="673" spans="1:12" x14ac:dyDescent="0.3">
      <c r="A673" t="s">
        <v>543</v>
      </c>
      <c r="B673" s="26" t="s">
        <v>330</v>
      </c>
      <c r="C673" s="26" t="s">
        <v>355</v>
      </c>
      <c r="E673" s="20" t="str">
        <f t="shared" si="66"/>
        <v/>
      </c>
      <c r="F673" s="21" t="str">
        <f>IF(OR(E673="",E673="!!!"),"",IF(NOT(ISNA(VLOOKUP(E673,E$1:E672,1,FALSE()))),"OLD",IF(AND(E673&lt;&gt;"",E673&lt;&gt;"!!!"),"NEW","")))</f>
        <v/>
      </c>
      <c r="G673" s="22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3" t="str">
        <f t="shared" ca="1" si="67"/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/>
    </row>
    <row r="674" spans="1:12" x14ac:dyDescent="0.3">
      <c r="A674" t="s">
        <v>569</v>
      </c>
      <c r="B674" s="26" t="s">
        <v>378</v>
      </c>
      <c r="C674" s="26" t="s">
        <v>496</v>
      </c>
      <c r="D674" s="26" t="s">
        <v>332</v>
      </c>
      <c r="E674" s="20" t="str">
        <f t="shared" si="66"/>
        <v>!!!</v>
      </c>
      <c r="F674" s="21" t="str">
        <f>IF(OR(E674="",E674="!!!"),"",IF(NOT(ISNA(VLOOKUP(E674,E$1:E673,1,FALSE()))),"OLD",IF(AND(E674&lt;&gt;"",E674&lt;&gt;"!!!"),"NEW","")))</f>
        <v/>
      </c>
      <c r="G674" s="22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3" t="str">
        <f t="shared" ca="1" si="67"/>
        <v/>
      </c>
      <c r="I674" s="24" t="str">
        <f>IF(OR(E674="",E674="!!!",F674="NEW"),"",INDEX(B$2:B673,-1+SUMPRODUCT(MAX(ROW(E$2:E673)*(E674=E$2:E673)))))</f>
        <v/>
      </c>
      <c r="J674" s="24" t="str">
        <f ca="1">IF(OR(E674="",E674="!!!",F674="NEW"),"",COUNTBLANK(OFFSET(A$1,,,SUMPRODUCT(MAX(ROW(E$2:E674)*(E674=E$2:E674)))))-COUNTBLANK(OFFSET(A$1,,,SUMPRODUCT(MAX(ROW(E$1:E673)*(E2=E$1:E673))))))</f>
        <v/>
      </c>
      <c r="K674" s="24" t="str">
        <f>IF(OR(E674="",E674="!!!",F674="NEW"),"",INDEX(J$1:J673,SUMPRODUCT(MAX(ROW(E$1:E673)*(E674=E$1:E673)))))</f>
        <v/>
      </c>
      <c r="L674" s="25"/>
    </row>
    <row r="675" spans="1:12" x14ac:dyDescent="0.3">
      <c r="A675" t="s">
        <v>351</v>
      </c>
      <c r="E675" s="20" t="str">
        <f t="shared" si="66"/>
        <v/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ca="1" si="67"/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372</v>
      </c>
      <c r="E676" s="20" t="str">
        <f t="shared" si="66"/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67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679</v>
      </c>
      <c r="E677" s="20" t="str">
        <f t="shared" si="66"/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67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680</v>
      </c>
      <c r="B678" s="26" t="s">
        <v>357</v>
      </c>
      <c r="C678" s="26" t="s">
        <v>355</v>
      </c>
      <c r="E678" s="20" t="str">
        <f t="shared" si="66"/>
        <v/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67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396</v>
      </c>
      <c r="E679" s="20" t="str">
        <f t="shared" si="66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67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681</v>
      </c>
      <c r="E680" s="20" t="str">
        <f t="shared" si="66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67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638</v>
      </c>
      <c r="E681" s="20" t="str">
        <f t="shared" si="66"/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67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3" spans="1:12" x14ac:dyDescent="0.3">
      <c r="A683" t="s">
        <v>682</v>
      </c>
    </row>
    <row r="684" spans="1:12" x14ac:dyDescent="0.3">
      <c r="A684" t="s">
        <v>683</v>
      </c>
      <c r="E684" s="20" t="str">
        <f t="shared" ref="E684:E691" si="68">IF(D684="?OLD","!!!","")</f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ref="H684:H691" ca="1" si="69">IF(J684&lt;&gt;1,"",IF(I684="SBJ","CB","?"))</f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684</v>
      </c>
      <c r="B685" s="26" t="s">
        <v>330</v>
      </c>
      <c r="C685" s="26" t="s">
        <v>544</v>
      </c>
      <c r="E685" s="20" t="str">
        <f t="shared" si="68"/>
        <v/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69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374</v>
      </c>
      <c r="E686" s="20" t="str">
        <f t="shared" si="68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69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439</v>
      </c>
      <c r="B687" s="26" t="s">
        <v>344</v>
      </c>
      <c r="C687" s="26" t="s">
        <v>438</v>
      </c>
      <c r="D687" s="26" t="s">
        <v>332</v>
      </c>
      <c r="E687" s="20" t="str">
        <f t="shared" si="68"/>
        <v>!!!</v>
      </c>
      <c r="F687" s="21" t="str">
        <f>IF(OR(E687="",E687="!!!"),"",IF(NOT(ISNA(VLOOKUP(E687,E$1:E686,1,FALSE()))),"OLD",IF(AND(E687&lt;&gt;"",E687&lt;&gt;"!!!"),"NEW","")))</f>
        <v/>
      </c>
      <c r="G687" s="22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3" t="str">
        <f t="shared" ca="1" si="69"/>
        <v/>
      </c>
      <c r="I687" s="24" t="str">
        <f>IF(OR(E687="",E687="!!!",F687="NEW"),"",INDEX(B$2:B686,-1+SUMPRODUCT(MAX(ROW(E$2:E686)*(E687=E$2:E686)))))</f>
        <v/>
      </c>
      <c r="J687" s="24" t="str">
        <f ca="1">IF(OR(E687="",E687="!!!",F687="NEW"),"",COUNTBLANK(OFFSET(A$1,,,SUMPRODUCT(MAX(ROW(E$2:E687)*(E687=E$2:E687)))))-COUNTBLANK(OFFSET(A$1,,,SUMPRODUCT(MAX(ROW(E$1:E686)*(E2=E$1:E686))))))</f>
        <v/>
      </c>
      <c r="K687" s="24" t="str">
        <f>IF(OR(E687="",E687="!!!",F687="NEW"),"",INDEX(J$1:J686,SUMPRODUCT(MAX(ROW(E$1:E686)*(E687=E$1:E686)))))</f>
        <v/>
      </c>
      <c r="L687" s="25"/>
    </row>
    <row r="688" spans="1:12" x14ac:dyDescent="0.3">
      <c r="A688" t="s">
        <v>685</v>
      </c>
      <c r="E688" s="20" t="str">
        <f t="shared" si="68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69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396</v>
      </c>
      <c r="B689" s="26" t="s">
        <v>378</v>
      </c>
      <c r="C689" s="26" t="s">
        <v>358</v>
      </c>
      <c r="E689" s="20" t="str">
        <f t="shared" si="68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69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686</v>
      </c>
      <c r="B690" s="26" t="s">
        <v>337</v>
      </c>
      <c r="C690" s="26" t="s">
        <v>355</v>
      </c>
      <c r="E690" s="20" t="str">
        <f t="shared" si="68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69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338</v>
      </c>
      <c r="E691" s="20" t="str">
        <f t="shared" si="68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69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3" spans="1:12" x14ac:dyDescent="0.3">
      <c r="A693" t="s">
        <v>687</v>
      </c>
    </row>
    <row r="694" spans="1:12" x14ac:dyDescent="0.3">
      <c r="A694" t="s">
        <v>688</v>
      </c>
      <c r="E694" s="20" t="str">
        <f t="shared" ref="E694:E714" si="70">IF(D694="?OLD","!!!","")</f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ref="H694:H714" ca="1" si="71">IF(J694&lt;&gt;1,"",IF(I694="SBJ","CB","?"))</f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5" spans="1:12" x14ac:dyDescent="0.3">
      <c r="A695" t="s">
        <v>335</v>
      </c>
      <c r="E695" s="20" t="str">
        <f t="shared" si="70"/>
        <v/>
      </c>
      <c r="F695" s="21" t="str">
        <f>IF(OR(E695="",E695="!!!"),"",IF(NOT(ISNA(VLOOKUP(E695,E$1:E694,1,FALSE()))),"OLD",IF(AND(E695&lt;&gt;"",E695&lt;&gt;"!!!"),"NEW","")))</f>
        <v/>
      </c>
      <c r="G695" s="22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3" t="str">
        <f t="shared" ca="1" si="71"/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689</v>
      </c>
      <c r="B696" s="26" t="s">
        <v>337</v>
      </c>
      <c r="C696" s="26" t="s">
        <v>690</v>
      </c>
      <c r="D696" s="26" t="s">
        <v>332</v>
      </c>
      <c r="E696" s="20" t="str">
        <f t="shared" si="70"/>
        <v>!!!</v>
      </c>
      <c r="F696" s="21" t="str">
        <f>IF(OR(E696="",E696="!!!"),"",IF(NOT(ISNA(VLOOKUP(E696,E$1:E695,1,FALSE()))),"OLD",IF(AND(E696&lt;&gt;"",E696&lt;&gt;"!!!"),"NEW","")))</f>
        <v/>
      </c>
      <c r="G696" s="22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t="shared" ca="1" si="71"/>
        <v/>
      </c>
      <c r="I696" s="24" t="str">
        <f>IF(OR(E696="",E696="!!!",F696="NEW"),"",INDEX(B$2:B695,-1+SUMPRODUCT(MAX(ROW(E$2:E695)*(E696=E$2:E695)))))</f>
        <v/>
      </c>
      <c r="J696" s="24" t="str">
        <f ca="1">IF(OR(E696="",E696="!!!",F696="NEW"),"",COUNTBLANK(OFFSET(A$1,,,SUMPRODUCT(MAX(ROW(E$2:E696)*(E696=E$2:E696)))))-COUNTBLANK(OFFSET(A$1,,,SUMPRODUCT(MAX(ROW(E$1:E695)*(E2=E$1:E695))))))</f>
        <v/>
      </c>
      <c r="K696" s="24" t="str">
        <f>IF(OR(E696="",E696="!!!",F696="NEW"),"",INDEX(J$1:J695,SUMPRODUCT(MAX(ROW(E$1:E695)*(E696=E$1:E695)))))</f>
        <v/>
      </c>
      <c r="L696" s="25"/>
    </row>
    <row r="697" spans="1:12" x14ac:dyDescent="0.3">
      <c r="A697" t="s">
        <v>691</v>
      </c>
      <c r="E697" s="20" t="str">
        <f t="shared" si="70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71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415</v>
      </c>
      <c r="E698" s="20" t="str">
        <f t="shared" si="70"/>
        <v/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71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692</v>
      </c>
      <c r="B699" s="26" t="s">
        <v>354</v>
      </c>
      <c r="C699" s="26" t="s">
        <v>496</v>
      </c>
      <c r="D699" s="26" t="s">
        <v>332</v>
      </c>
      <c r="E699" s="20" t="str">
        <f t="shared" si="70"/>
        <v>!!!</v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71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693</v>
      </c>
      <c r="E700" s="20" t="str">
        <f t="shared" si="70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71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147</v>
      </c>
      <c r="E701" s="20" t="str">
        <f t="shared" si="70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71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694</v>
      </c>
      <c r="B702" s="26" t="s">
        <v>344</v>
      </c>
      <c r="C702" s="26" t="s">
        <v>366</v>
      </c>
      <c r="E702" s="20" t="str">
        <f t="shared" si="70"/>
        <v/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71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334</v>
      </c>
      <c r="E703" s="20" t="str">
        <f t="shared" si="70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71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380</v>
      </c>
      <c r="E704" s="20" t="str">
        <f t="shared" si="70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71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695</v>
      </c>
      <c r="B705" s="26" t="s">
        <v>337</v>
      </c>
      <c r="C705" s="26" t="s">
        <v>496</v>
      </c>
      <c r="D705" s="26" t="s">
        <v>332</v>
      </c>
      <c r="E705" s="20" t="str">
        <f t="shared" si="70"/>
        <v>!!!</v>
      </c>
      <c r="F705" s="21" t="str">
        <f>IF(OR(E705="",E705="!!!"),"",IF(NOT(ISNA(VLOOKUP(E705,E$1:E704,1,FALSE()))),"OLD",IF(AND(E705&lt;&gt;"",E705&lt;&gt;"!!!"),"NEW","")))</f>
        <v/>
      </c>
      <c r="G705" s="22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3" t="str">
        <f t="shared" ca="1" si="71"/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11</v>
      </c>
      <c r="E706" s="20" t="str">
        <f t="shared" si="70"/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71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696</v>
      </c>
      <c r="E707" s="20" t="str">
        <f t="shared" si="70"/>
        <v/>
      </c>
      <c r="F707" s="21" t="str">
        <f>IF(OR(E707="",E707="!!!"),"",IF(NOT(ISNA(VLOOKUP(E707,E$1:E706,1,FALSE()))),"OLD",IF(AND(E707&lt;&gt;"",E707&lt;&gt;"!!!"),"NEW","")))</f>
        <v/>
      </c>
      <c r="G707" s="22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3" t="str">
        <f t="shared" ca="1" si="71"/>
        <v/>
      </c>
      <c r="I707" s="24" t="str">
        <f>IF(OR(E707="",E707="!!!",F707="NEW"),"",INDEX(B$2:B706,-1+SUMPRODUCT(MAX(ROW(E$2:E706)*(E707=E$2:E706)))))</f>
        <v/>
      </c>
      <c r="J707" s="24" t="str">
        <f ca="1">IF(OR(E707="",E707="!!!",F707="NEW"),"",COUNTBLANK(OFFSET(A$1,,,SUMPRODUCT(MAX(ROW(E$2:E707)*(E707=E$2:E707)))))-COUNTBLANK(OFFSET(A$1,,,SUMPRODUCT(MAX(ROW(E$1:E706)*(E2=E$1:E706))))))</f>
        <v/>
      </c>
      <c r="K707" s="24" t="str">
        <f>IF(OR(E707="",E707="!!!",F707="NEW"),"",INDEX(J$1:J706,SUMPRODUCT(MAX(ROW(E$1:E706)*(E707=E$1:E706)))))</f>
        <v/>
      </c>
      <c r="L707" s="25"/>
    </row>
    <row r="708" spans="1:12" x14ac:dyDescent="0.3">
      <c r="A708" t="s">
        <v>697</v>
      </c>
      <c r="E708" s="20" t="str">
        <f t="shared" si="70"/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71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385</v>
      </c>
      <c r="E709" s="20" t="str">
        <f t="shared" si="70"/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71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698</v>
      </c>
      <c r="E710" s="20" t="str">
        <f t="shared" si="70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71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217</v>
      </c>
      <c r="E711" s="20" t="str">
        <f t="shared" si="70"/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71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699</v>
      </c>
      <c r="B712" s="26" t="s">
        <v>354</v>
      </c>
      <c r="C712" s="26" t="s">
        <v>366</v>
      </c>
      <c r="E712" s="20" t="str">
        <f t="shared" si="70"/>
        <v/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71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700</v>
      </c>
      <c r="E713" s="20" t="str">
        <f t="shared" si="70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71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338</v>
      </c>
      <c r="E714" s="20" t="str">
        <f t="shared" si="70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71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6" spans="1:12" x14ac:dyDescent="0.3">
      <c r="A716" t="s">
        <v>701</v>
      </c>
    </row>
    <row r="717" spans="1:12" x14ac:dyDescent="0.3">
      <c r="A717" t="s">
        <v>468</v>
      </c>
      <c r="B717" s="26" t="s">
        <v>330</v>
      </c>
      <c r="C717" s="26" t="s">
        <v>438</v>
      </c>
      <c r="D717" s="26" t="s">
        <v>332</v>
      </c>
      <c r="E717" s="20" t="str">
        <f t="shared" ref="E717:E726" si="72">IF(D717="?OLD","!!!","")</f>
        <v>!!!</v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ref="H717:H726" ca="1" si="73">IF(J717&lt;&gt;1,"",IF(I717="SBJ","CB","?"))</f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702</v>
      </c>
      <c r="E718" s="20" t="str">
        <f t="shared" si="72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73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380</v>
      </c>
      <c r="E719" s="20" t="str">
        <f t="shared" si="72"/>
        <v/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73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703</v>
      </c>
      <c r="B720" s="26" t="s">
        <v>344</v>
      </c>
      <c r="C720" s="26" t="s">
        <v>331</v>
      </c>
      <c r="D720" s="26" t="s">
        <v>332</v>
      </c>
      <c r="E720" s="20" t="str">
        <f t="shared" si="72"/>
        <v>!!!</v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73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385</v>
      </c>
      <c r="E721" s="20" t="str">
        <f t="shared" si="72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73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704</v>
      </c>
      <c r="E722" s="20" t="str">
        <f t="shared" si="72"/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73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705</v>
      </c>
      <c r="E723" s="20" t="str">
        <f t="shared" si="72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73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706</v>
      </c>
      <c r="B724" s="26" t="s">
        <v>357</v>
      </c>
      <c r="C724" s="26" t="s">
        <v>366</v>
      </c>
      <c r="E724" s="20" t="str">
        <f t="shared" si="72"/>
        <v/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73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707</v>
      </c>
      <c r="E725" s="20" t="str">
        <f t="shared" si="72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73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338</v>
      </c>
      <c r="E726" s="20" t="str">
        <f t="shared" si="72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73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8" spans="1:12" x14ac:dyDescent="0.3">
      <c r="A728" t="s">
        <v>708</v>
      </c>
    </row>
    <row r="729" spans="1:12" x14ac:dyDescent="0.3">
      <c r="A729" t="s">
        <v>560</v>
      </c>
      <c r="B729" s="26" t="s">
        <v>378</v>
      </c>
      <c r="C729" s="26" t="s">
        <v>394</v>
      </c>
      <c r="D729" s="26" t="s">
        <v>332</v>
      </c>
      <c r="E729" s="20" t="str">
        <f t="shared" ref="E729:E741" si="74">IF(D729="?OLD","!!!","")</f>
        <v>!!!</v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ref="H729:H741" ca="1" si="75">IF(J729&lt;&gt;1,"",IF(I729="SBJ","CB","?"))</f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709</v>
      </c>
      <c r="B730" s="26" t="s">
        <v>330</v>
      </c>
      <c r="C730" s="26" t="s">
        <v>561</v>
      </c>
      <c r="D730" s="26" t="s">
        <v>332</v>
      </c>
      <c r="E730" s="20" t="str">
        <f t="shared" si="74"/>
        <v>!!!</v>
      </c>
      <c r="F730" s="21" t="str">
        <f>IF(OR(E730="",E730="!!!"),"",IF(NOT(ISNA(VLOOKUP(E730,E$1:E729,1,FALSE()))),"OLD",IF(AND(E730&lt;&gt;"",E730&lt;&gt;"!!!"),"NEW","")))</f>
        <v/>
      </c>
      <c r="G730" s="22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3" t="str">
        <f t="shared" ca="1" si="75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710</v>
      </c>
      <c r="E731" s="20" t="str">
        <f t="shared" si="74"/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75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711</v>
      </c>
      <c r="E732" s="20" t="str">
        <f t="shared" si="74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75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712</v>
      </c>
      <c r="E733" s="20" t="str">
        <f t="shared" si="74"/>
        <v/>
      </c>
      <c r="F733" s="21" t="str">
        <f>IF(OR(E733="",E733="!!!"),"",IF(NOT(ISNA(VLOOKUP(E733,E$1:E732,1,FALSE()))),"OLD",IF(AND(E733&lt;&gt;"",E733&lt;&gt;"!!!"),"NEW","")))</f>
        <v/>
      </c>
      <c r="G733" s="22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3" t="str">
        <f t="shared" ca="1" si="75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4" spans="1:12" x14ac:dyDescent="0.3">
      <c r="A734" t="s">
        <v>713</v>
      </c>
      <c r="B734" s="26" t="s">
        <v>344</v>
      </c>
      <c r="C734" s="26" t="s">
        <v>544</v>
      </c>
      <c r="E734" s="20" t="str">
        <f t="shared" si="74"/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75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5" spans="1:12" x14ac:dyDescent="0.3">
      <c r="A735" t="s">
        <v>385</v>
      </c>
      <c r="E735" s="20" t="str">
        <f t="shared" si="74"/>
        <v/>
      </c>
      <c r="F735" s="21" t="str">
        <f>IF(OR(E735="",E735="!!!"),"",IF(NOT(ISNA(VLOOKUP(E735,E$1:E734,1,FALSE()))),"OLD",IF(AND(E735&lt;&gt;"",E735&lt;&gt;"!!!"),"NEW","")))</f>
        <v/>
      </c>
      <c r="G735" s="22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3" t="str">
        <f t="shared" ca="1" si="75"/>
        <v/>
      </c>
      <c r="I735" s="24" t="str">
        <f>IF(OR(E735="",E735="!!!",F735="NEW"),"",INDEX(B$2:B734,-1+SUMPRODUCT(MAX(ROW(E$2:E734)*(E735=E$2:E734)))))</f>
        <v/>
      </c>
      <c r="J735" s="24" t="str">
        <f ca="1">IF(OR(E735="",E735="!!!",F735="NEW"),"",COUNTBLANK(OFFSET(A$1,,,SUMPRODUCT(MAX(ROW(E$2:E735)*(E735=E$2:E735)))))-COUNTBLANK(OFFSET(A$1,,,SUMPRODUCT(MAX(ROW(E$1:E734)*(E2=E$1:E734))))))</f>
        <v/>
      </c>
      <c r="K735" s="24" t="str">
        <f>IF(OR(E735="",E735="!!!",F735="NEW"),"",INDEX(J$1:J734,SUMPRODUCT(MAX(ROW(E$1:E734)*(E735=E$1:E734)))))</f>
        <v/>
      </c>
      <c r="L735" s="25"/>
    </row>
    <row r="736" spans="1:12" x14ac:dyDescent="0.3">
      <c r="A736" t="s">
        <v>714</v>
      </c>
      <c r="E736" s="20" t="str">
        <f t="shared" si="74"/>
        <v/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ca="1" si="75"/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715</v>
      </c>
      <c r="B737" s="26" t="s">
        <v>515</v>
      </c>
      <c r="C737" s="26" t="s">
        <v>379</v>
      </c>
      <c r="D737" s="26" t="s">
        <v>332</v>
      </c>
      <c r="E737" s="20" t="str">
        <f t="shared" si="74"/>
        <v>!!!</v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ca="1" si="75"/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716</v>
      </c>
      <c r="E738" s="20" t="str">
        <f t="shared" si="74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75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11</v>
      </c>
      <c r="E739" s="20" t="str">
        <f t="shared" si="74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75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717</v>
      </c>
      <c r="B740" s="26" t="s">
        <v>357</v>
      </c>
      <c r="C740" s="26" t="s">
        <v>355</v>
      </c>
      <c r="E740" s="20" t="str">
        <f t="shared" si="74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75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338</v>
      </c>
      <c r="E741" s="20" t="str">
        <f t="shared" si="74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75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3" spans="1:12" x14ac:dyDescent="0.3">
      <c r="A743" t="s">
        <v>718</v>
      </c>
    </row>
    <row r="744" spans="1:12" x14ac:dyDescent="0.3">
      <c r="A744" t="s">
        <v>719</v>
      </c>
      <c r="E744" s="20" t="str">
        <f t="shared" ref="E744:E749" si="76">IF(D744="?OLD","!!!","")</f>
        <v/>
      </c>
      <c r="F744" s="21" t="str">
        <f>IF(OR(E744="",E744="!!!"),"",IF(NOT(ISNA(VLOOKUP(E744,E$1:E743,1,FALSE()))),"OLD",IF(AND(E744&lt;&gt;"",E744&lt;&gt;"!!!"),"NEW","")))</f>
        <v/>
      </c>
      <c r="G744" s="22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3" t="str">
        <f t="shared" ref="H744:H749" ca="1" si="77">IF(J744&lt;&gt;1,"",IF(I744="SBJ","CB","?"))</f>
        <v/>
      </c>
      <c r="I744" s="24" t="str">
        <f>IF(OR(E744="",E744="!!!",F744="NEW"),"",INDEX(B$2:B743,-1+SUMPRODUCT(MAX(ROW(E$2:E743)*(E744=E$2:E743)))))</f>
        <v/>
      </c>
      <c r="J744" s="24" t="str">
        <f ca="1">IF(OR(E744="",E744="!!!",F744="NEW"),"",COUNTBLANK(OFFSET(A$1,,,SUMPRODUCT(MAX(ROW(E$2:E744)*(E744=E$2:E744)))))-COUNTBLANK(OFFSET(A$1,,,SUMPRODUCT(MAX(ROW(E$1:E743)*(E2=E$1:E743))))))</f>
        <v/>
      </c>
      <c r="K744" s="24" t="str">
        <f>IF(OR(E744="",E744="!!!",F744="NEW"),"",INDEX(J$1:J743,SUMPRODUCT(MAX(ROW(E$1:E743)*(E744=E$1:E743)))))</f>
        <v/>
      </c>
      <c r="L744" s="25"/>
    </row>
    <row r="745" spans="1:12" x14ac:dyDescent="0.3">
      <c r="A745" t="s">
        <v>465</v>
      </c>
      <c r="B745" s="26" t="s">
        <v>330</v>
      </c>
      <c r="E745" s="20" t="str">
        <f t="shared" si="76"/>
        <v/>
      </c>
      <c r="F745" s="21" t="str">
        <f>IF(OR(E745="",E745="!!!"),"",IF(NOT(ISNA(VLOOKUP(E745,E$1:E744,1,FALSE()))),"OLD",IF(AND(E745&lt;&gt;"",E745&lt;&gt;"!!!"),"NEW","")))</f>
        <v/>
      </c>
      <c r="G745" s="22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3" t="str">
        <f t="shared" ca="1" si="77"/>
        <v/>
      </c>
      <c r="I745" s="24" t="str">
        <f>IF(OR(E745="",E745="!!!",F745="NEW"),"",INDEX(B$2:B744,-1+SUMPRODUCT(MAX(ROW(E$2:E744)*(E745=E$2:E744)))))</f>
        <v/>
      </c>
      <c r="J745" s="24" t="str">
        <f ca="1">IF(OR(E745="",E745="!!!",F745="NEW"),"",COUNTBLANK(OFFSET(A$1,,,SUMPRODUCT(MAX(ROW(E$2:E745)*(E745=E$2:E745)))))-COUNTBLANK(OFFSET(A$1,,,SUMPRODUCT(MAX(ROW(E$1:E744)*(E2=E$1:E744))))))</f>
        <v/>
      </c>
      <c r="K745" s="24" t="str">
        <f>IF(OR(E745="",E745="!!!",F745="NEW"),"",INDEX(J$1:J744,SUMPRODUCT(MAX(ROW(E$1:E744)*(E745=E$1:E744)))))</f>
        <v/>
      </c>
      <c r="L745" s="25"/>
    </row>
    <row r="746" spans="1:12" x14ac:dyDescent="0.3">
      <c r="A746" t="s">
        <v>720</v>
      </c>
      <c r="E746" s="20" t="str">
        <f t="shared" si="76"/>
        <v/>
      </c>
      <c r="F746" s="21" t="str">
        <f>IF(OR(E746="",E746="!!!"),"",IF(NOT(ISNA(VLOOKUP(E746,E$1:E745,1,FALSE()))),"OLD",IF(AND(E746&lt;&gt;"",E746&lt;&gt;"!!!"),"NEW","")))</f>
        <v/>
      </c>
      <c r="G746" s="22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t="shared" ca="1" si="77"/>
        <v/>
      </c>
      <c r="I746" s="24" t="str">
        <f>IF(OR(E746="",E746="!!!",F746="NEW"),"",INDEX(B$2:B745,-1+SUMPRODUCT(MAX(ROW(E$2:E745)*(E746=E$2:E745)))))</f>
        <v/>
      </c>
      <c r="J746" s="24" t="str">
        <f ca="1">IF(OR(E746="",E746="!!!",F746="NEW"),"",COUNTBLANK(OFFSET(A$1,,,SUMPRODUCT(MAX(ROW(E$2:E746)*(E746=E$2:E746)))))-COUNTBLANK(OFFSET(A$1,,,SUMPRODUCT(MAX(ROW(E$1:E745)*(E2=E$1:E745))))))</f>
        <v/>
      </c>
      <c r="K746" s="24" t="str">
        <f>IF(OR(E746="",E746="!!!",F746="NEW"),"",INDEX(J$1:J745,SUMPRODUCT(MAX(ROW(E$1:E745)*(E746=E$1:E745)))))</f>
        <v/>
      </c>
      <c r="L746" s="25"/>
    </row>
    <row r="747" spans="1:12" x14ac:dyDescent="0.3">
      <c r="A747" t="s">
        <v>73</v>
      </c>
      <c r="E747" s="20" t="str">
        <f t="shared" si="76"/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77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721</v>
      </c>
      <c r="B748" s="26" t="s">
        <v>337</v>
      </c>
      <c r="C748" s="26" t="s">
        <v>366</v>
      </c>
      <c r="E748" s="20" t="str">
        <f t="shared" si="76"/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77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338</v>
      </c>
      <c r="E749" s="20" t="str">
        <f t="shared" si="76"/>
        <v/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ca="1" si="77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1" spans="1:12" x14ac:dyDescent="0.3">
      <c r="A751" t="s">
        <v>722</v>
      </c>
    </row>
    <row r="752" spans="1:12" x14ac:dyDescent="0.3">
      <c r="A752" t="s">
        <v>723</v>
      </c>
      <c r="B752" s="26" t="s">
        <v>330</v>
      </c>
      <c r="C752" s="26" t="s">
        <v>496</v>
      </c>
      <c r="D752" s="26" t="s">
        <v>332</v>
      </c>
      <c r="E752" s="20" t="str">
        <f t="shared" ref="E752:E765" si="78">IF(D752="?OLD","!!!","")</f>
        <v>!!!</v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ref="H752:H765" ca="1" si="79">IF(J752&lt;&gt;1,"",IF(I752="SBJ","CB","?"))</f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461</v>
      </c>
      <c r="E753" s="20" t="str">
        <f t="shared" si="78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79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724</v>
      </c>
      <c r="B754" s="26" t="s">
        <v>337</v>
      </c>
      <c r="C754" s="26" t="s">
        <v>355</v>
      </c>
      <c r="E754" s="20" t="str">
        <f t="shared" si="78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79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725</v>
      </c>
      <c r="E755" s="20" t="str">
        <f t="shared" si="78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79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385</v>
      </c>
      <c r="E756" s="20" t="str">
        <f t="shared" si="78"/>
        <v/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79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380</v>
      </c>
      <c r="E757" s="20" t="str">
        <f t="shared" si="78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79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726</v>
      </c>
      <c r="B758" s="26" t="s">
        <v>357</v>
      </c>
      <c r="C758" s="26" t="s">
        <v>331</v>
      </c>
      <c r="D758" s="26" t="s">
        <v>332</v>
      </c>
      <c r="E758" s="20" t="str">
        <f t="shared" si="78"/>
        <v>!!!</v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79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535</v>
      </c>
      <c r="E759" s="20" t="str">
        <f t="shared" si="78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79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248</v>
      </c>
      <c r="E760" s="20" t="str">
        <f t="shared" si="78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79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727</v>
      </c>
      <c r="E761" s="20" t="str">
        <f t="shared" si="78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79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728</v>
      </c>
      <c r="E762" s="20" t="str">
        <f t="shared" si="78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79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729</v>
      </c>
      <c r="B763" s="26" t="s">
        <v>378</v>
      </c>
      <c r="C763" s="26" t="s">
        <v>355</v>
      </c>
      <c r="E763" s="20" t="str">
        <f t="shared" si="78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79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730</v>
      </c>
      <c r="E764" s="20" t="str">
        <f t="shared" si="78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79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338</v>
      </c>
      <c r="E765" s="20" t="str">
        <f t="shared" si="78"/>
        <v/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79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7" spans="1:12" x14ac:dyDescent="0.3">
      <c r="A767" t="s">
        <v>731</v>
      </c>
    </row>
    <row r="768" spans="1:12" x14ac:dyDescent="0.3">
      <c r="A768" t="s">
        <v>483</v>
      </c>
      <c r="B768" s="26" t="s">
        <v>330</v>
      </c>
      <c r="C768" s="26" t="s">
        <v>438</v>
      </c>
      <c r="D768" s="26" t="s">
        <v>332</v>
      </c>
      <c r="E768" s="20" t="str">
        <f t="shared" ref="E768:E777" si="80">IF(D768="?OLD","!!!","")</f>
        <v>!!!</v>
      </c>
      <c r="F768" s="21" t="str">
        <f>IF(OR(E768="",E768="!!!"),"",IF(NOT(ISNA(VLOOKUP(E768,E$1:E767,1,FALSE()))),"OLD",IF(AND(E768&lt;&gt;"",E768&lt;&gt;"!!!"),"NEW","")))</f>
        <v/>
      </c>
      <c r="G768" s="22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3" t="str">
        <f t="shared" ref="H768:H777" ca="1" si="81">IF(J768&lt;&gt;1,"",IF(I768="SBJ","CB","?"))</f>
        <v/>
      </c>
      <c r="I768" s="24" t="str">
        <f>IF(OR(E768="",E768="!!!",F768="NEW"),"",INDEX(B$2:B767,-1+SUMPRODUCT(MAX(ROW(E$2:E767)*(E768=E$2:E767)))))</f>
        <v/>
      </c>
      <c r="J768" s="24" t="str">
        <f ca="1">IF(OR(E768="",E768="!!!",F768="NEW"),"",COUNTBLANK(OFFSET(A$1,,,SUMPRODUCT(MAX(ROW(E$2:E768)*(E768=E$2:E768)))))-COUNTBLANK(OFFSET(A$1,,,SUMPRODUCT(MAX(ROW(E$1:E767)*(E2=E$1:E767))))))</f>
        <v/>
      </c>
      <c r="K768" s="24" t="str">
        <f>IF(OR(E768="",E768="!!!",F768="NEW"),"",INDEX(J$1:J767,SUMPRODUCT(MAX(ROW(E$1:E767)*(E768=E$1:E767)))))</f>
        <v/>
      </c>
      <c r="L768" s="25"/>
    </row>
    <row r="769" spans="1:12" x14ac:dyDescent="0.3">
      <c r="A769" t="s">
        <v>407</v>
      </c>
      <c r="E769" s="20" t="str">
        <f t="shared" si="80"/>
        <v/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ca="1" si="81"/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0" spans="1:12" x14ac:dyDescent="0.3">
      <c r="A770" t="s">
        <v>67</v>
      </c>
      <c r="E770" s="20" t="str">
        <f t="shared" si="80"/>
        <v/>
      </c>
      <c r="F770" s="21" t="str">
        <f>IF(OR(E770="",E770="!!!"),"",IF(NOT(ISNA(VLOOKUP(E770,E$1:E769,1,FALSE()))),"OLD",IF(AND(E770&lt;&gt;"",E770&lt;&gt;"!!!"),"NEW","")))</f>
        <v/>
      </c>
      <c r="G770" s="22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t="shared" ca="1" si="81"/>
        <v/>
      </c>
      <c r="I770" s="24" t="str">
        <f>IF(OR(E770="",E770="!!!",F770="NEW"),"",INDEX(B$2:B769,-1+SUMPRODUCT(MAX(ROW(E$2:E769)*(E770=E$2:E769)))))</f>
        <v/>
      </c>
      <c r="J770" s="24" t="str">
        <f ca="1">IF(OR(E770="",E770="!!!",F770="NEW"),"",COUNTBLANK(OFFSET(A$1,,,SUMPRODUCT(MAX(ROW(E$2:E770)*(E770=E$2:E770)))))-COUNTBLANK(OFFSET(A$1,,,SUMPRODUCT(MAX(ROW(E$1:E769)*(E2=E$1:E769))))))</f>
        <v/>
      </c>
      <c r="K770" s="24" t="str">
        <f>IF(OR(E770="",E770="!!!",F770="NEW"),"",INDEX(J$1:J769,SUMPRODUCT(MAX(ROW(E$1:E769)*(E770=E$1:E769)))))</f>
        <v/>
      </c>
      <c r="L770" s="25"/>
    </row>
    <row r="771" spans="1:12" x14ac:dyDescent="0.3">
      <c r="A771" t="s">
        <v>727</v>
      </c>
      <c r="E771" s="20" t="str">
        <f t="shared" si="80"/>
        <v/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t="shared" ca="1" si="81"/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732</v>
      </c>
      <c r="B772" s="26" t="s">
        <v>330</v>
      </c>
      <c r="C772" s="26" t="s">
        <v>366</v>
      </c>
      <c r="E772" s="20" t="str">
        <f t="shared" si="80"/>
        <v/>
      </c>
      <c r="F772" s="21" t="str">
        <f>IF(OR(E772="",E772="!!!"),"",IF(NOT(ISNA(VLOOKUP(E772,E$1:E771,1,FALSE()))),"OLD",IF(AND(E772&lt;&gt;"",E772&lt;&gt;"!!!"),"NEW","")))</f>
        <v/>
      </c>
      <c r="G772" s="22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t="shared" ca="1" si="81"/>
        <v/>
      </c>
      <c r="I772" s="24" t="str">
        <f>IF(OR(E772="",E772="!!!",F772="NEW"),"",INDEX(B$2:B771,-1+SUMPRODUCT(MAX(ROW(E$2:E771)*(E772=E$2:E771)))))</f>
        <v/>
      </c>
      <c r="J772" s="24" t="str">
        <f ca="1">IF(OR(E772="",E772="!!!",F772="NEW"),"",COUNTBLANK(OFFSET(A$1,,,SUMPRODUCT(MAX(ROW(E$2:E772)*(E772=E$2:E772)))))-COUNTBLANK(OFFSET(A$1,,,SUMPRODUCT(MAX(ROW(E$1:E771)*(E2=E$1:E771))))))</f>
        <v/>
      </c>
      <c r="K772" s="24" t="str">
        <f>IF(OR(E772="",E772="!!!",F772="NEW"),"",INDEX(J$1:J771,SUMPRODUCT(MAX(ROW(E$1:E771)*(E772=E$1:E771)))))</f>
        <v/>
      </c>
      <c r="L772" s="25"/>
    </row>
    <row r="773" spans="1:12" x14ac:dyDescent="0.3">
      <c r="A773" t="s">
        <v>428</v>
      </c>
      <c r="E773" s="20" t="str">
        <f t="shared" si="80"/>
        <v/>
      </c>
      <c r="F773" s="21" t="str">
        <f>IF(OR(E773="",E773="!!!"),"",IF(NOT(ISNA(VLOOKUP(E773,E$1:E772,1,FALSE()))),"OLD",IF(AND(E773&lt;&gt;"",E773&lt;&gt;"!!!"),"NEW","")))</f>
        <v/>
      </c>
      <c r="G773" s="22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3" t="str">
        <f t="shared" ca="1" si="81"/>
        <v/>
      </c>
      <c r="I773" s="24" t="str">
        <f>IF(OR(E773="",E773="!!!",F773="NEW"),"",INDEX(B$2:B772,-1+SUMPRODUCT(MAX(ROW(E$2:E772)*(E773=E$2:E772)))))</f>
        <v/>
      </c>
      <c r="J773" s="24" t="str">
        <f ca="1">IF(OR(E773="",E773="!!!",F773="NEW"),"",COUNTBLANK(OFFSET(A$1,,,SUMPRODUCT(MAX(ROW(E$2:E773)*(E773=E$2:E773)))))-COUNTBLANK(OFFSET(A$1,,,SUMPRODUCT(MAX(ROW(E$1:E772)*(E2=E$1:E772))))))</f>
        <v/>
      </c>
      <c r="K773" s="24" t="str">
        <f>IF(OR(E773="",E773="!!!",F773="NEW"),"",INDEX(J$1:J772,SUMPRODUCT(MAX(ROW(E$1:E772)*(E773=E$1:E772)))))</f>
        <v/>
      </c>
      <c r="L773" s="25"/>
    </row>
    <row r="774" spans="1:12" x14ac:dyDescent="0.3">
      <c r="A774" t="s">
        <v>414</v>
      </c>
      <c r="E774" s="20" t="str">
        <f t="shared" si="80"/>
        <v/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81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419</v>
      </c>
      <c r="E775" s="20" t="str">
        <f t="shared" si="80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81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733</v>
      </c>
      <c r="B776" s="26" t="s">
        <v>337</v>
      </c>
      <c r="C776" s="26" t="s">
        <v>331</v>
      </c>
      <c r="D776" s="26" t="s">
        <v>332</v>
      </c>
      <c r="E776" s="20" t="str">
        <f t="shared" si="80"/>
        <v>!!!</v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81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338</v>
      </c>
      <c r="E777" s="20" t="str">
        <f t="shared" si="80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81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9" spans="1:12" x14ac:dyDescent="0.3">
      <c r="A779" t="s">
        <v>734</v>
      </c>
    </row>
    <row r="780" spans="1:12" x14ac:dyDescent="0.3">
      <c r="A780" t="s">
        <v>735</v>
      </c>
      <c r="B780" s="26" t="s">
        <v>337</v>
      </c>
      <c r="C780" s="26" t="s">
        <v>355</v>
      </c>
      <c r="E780" s="20" t="str">
        <f>IF(D780="?OLD","!!!","")</f>
        <v/>
      </c>
      <c r="F780" s="21" t="str">
        <f>IF(OR(E780="",E780="!!!"),"",IF(NOT(ISNA(VLOOKUP(E780,E$1:E779,1,FALSE()))),"OLD",IF(AND(E780&lt;&gt;"",E780&lt;&gt;"!!!"),"NEW","")))</f>
        <v/>
      </c>
      <c r="G780" s="22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3" t="str">
        <f ca="1">IF(J780&lt;&gt;1,"",IF(I780="SBJ","CB","?"))</f>
        <v/>
      </c>
      <c r="I780" s="24" t="str">
        <f>IF(OR(E780="",E780="!!!",F780="NEW"),"",INDEX(B$2:B779,-1+SUMPRODUCT(MAX(ROW(E$2:E779)*(E780=E$2:E779)))))</f>
        <v/>
      </c>
      <c r="J780" s="24" t="str">
        <f ca="1">IF(OR(E780="",E780="!!!",F780="NEW"),"",COUNTBLANK(OFFSET(A$1,,,SUMPRODUCT(MAX(ROW(E$2:E780)*(E780=E$2:E780)))))-COUNTBLANK(OFFSET(A$1,,,SUMPRODUCT(MAX(ROW(E$1:E779)*(E2=E$1:E779))))))</f>
        <v/>
      </c>
      <c r="K780" s="24" t="str">
        <f>IF(OR(E780="",E780="!!!",F780="NEW"),"",INDEX(J$1:J779,SUMPRODUCT(MAX(ROW(E$1:E779)*(E780=E$1:E779)))))</f>
        <v/>
      </c>
      <c r="L780" s="25"/>
    </row>
    <row r="781" spans="1:12" x14ac:dyDescent="0.3">
      <c r="A781" t="s">
        <v>351</v>
      </c>
      <c r="E781" s="20" t="str">
        <f>IF(D781="?OLD","!!!","")</f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ca="1">IF(J781&lt;&gt;1,"",IF(I781="SBJ","CB","?"))</f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667</v>
      </c>
      <c r="E782" s="20" t="str">
        <f>IF(D782="?OLD","!!!","")</f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ca="1">IF(J782&lt;&gt;1,"",IF(I782="SBJ","CB","?"))</f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638</v>
      </c>
      <c r="E783" s="20" t="str">
        <f>IF(D783="?OLD","!!!","")</f>
        <v/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ca="1">IF(J783&lt;&gt;1,"",IF(I783="SBJ","CB","?"))</f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5" spans="1:12" x14ac:dyDescent="0.3">
      <c r="A785" t="s">
        <v>736</v>
      </c>
    </row>
    <row r="786" spans="1:12" x14ac:dyDescent="0.3">
      <c r="A786" t="s">
        <v>683</v>
      </c>
      <c r="E786" s="20" t="str">
        <f t="shared" ref="E786:E791" si="82">IF(D786="?OLD","!!!","")</f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ref="H786:H791" ca="1" si="83">IF(J786&lt;&gt;1,"",IF(I786="SBJ","CB","?"))</f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737</v>
      </c>
      <c r="E787" s="20" t="str">
        <f t="shared" si="82"/>
        <v/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83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684</v>
      </c>
      <c r="B788" s="26" t="s">
        <v>330</v>
      </c>
      <c r="C788" s="26" t="s">
        <v>544</v>
      </c>
      <c r="E788" s="20" t="str">
        <f t="shared" si="82"/>
        <v/>
      </c>
      <c r="F788" s="21" t="str">
        <f>IF(OR(E788="",E788="!!!"),"",IF(NOT(ISNA(VLOOKUP(E788,E$1:E787,1,FALSE()))),"OLD",IF(AND(E788&lt;&gt;"",E788&lt;&gt;"!!!"),"NEW","")))</f>
        <v/>
      </c>
      <c r="G788" s="22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3" t="str">
        <f t="shared" ca="1" si="83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333</v>
      </c>
      <c r="E789" s="20" t="str">
        <f t="shared" si="82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83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738</v>
      </c>
      <c r="B790" s="26" t="s">
        <v>337</v>
      </c>
      <c r="C790" s="26" t="s">
        <v>496</v>
      </c>
      <c r="D790" s="26" t="s">
        <v>332</v>
      </c>
      <c r="E790" s="20" t="str">
        <f t="shared" si="82"/>
        <v>!!!</v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83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338</v>
      </c>
      <c r="E791" s="20" t="str">
        <f t="shared" si="82"/>
        <v/>
      </c>
      <c r="F791" s="21" t="str">
        <f>IF(OR(E791="",E791="!!!"),"",IF(NOT(ISNA(VLOOKUP(E791,E$1:E790,1,FALSE()))),"OLD",IF(AND(E791&lt;&gt;"",E791&lt;&gt;"!!!"),"NEW","")))</f>
        <v/>
      </c>
      <c r="G791" s="22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3" t="str">
        <f t="shared" ca="1" si="83"/>
        <v/>
      </c>
      <c r="I791" s="24" t="str">
        <f>IF(OR(E791="",E791="!!!",F791="NEW"),"",INDEX(B$2:B790,-1+SUMPRODUCT(MAX(ROW(E$2:E790)*(E791=E$2:E790)))))</f>
        <v/>
      </c>
      <c r="J791" s="24" t="str">
        <f ca="1">IF(OR(E791="",E791="!!!",F791="NEW"),"",COUNTBLANK(OFFSET(A$1,,,SUMPRODUCT(MAX(ROW(E$2:E791)*(E791=E$2:E791)))))-COUNTBLANK(OFFSET(A$1,,,SUMPRODUCT(MAX(ROW(E$1:E790)*(E2=E$1:E790))))))</f>
        <v/>
      </c>
      <c r="K791" s="24" t="str">
        <f>IF(OR(E791="",E791="!!!",F791="NEW"),"",INDEX(J$1:J790,SUMPRODUCT(MAX(ROW(E$1:E790)*(E791=E$1:E790)))))</f>
        <v/>
      </c>
      <c r="L791" s="25"/>
    </row>
    <row r="793" spans="1:12" x14ac:dyDescent="0.3">
      <c r="A793" t="s">
        <v>739</v>
      </c>
    </row>
    <row r="794" spans="1:12" x14ac:dyDescent="0.3">
      <c r="A794" t="s">
        <v>738</v>
      </c>
      <c r="B794" s="26" t="s">
        <v>330</v>
      </c>
      <c r="C794" s="26" t="s">
        <v>496</v>
      </c>
      <c r="D794" s="26" t="s">
        <v>332</v>
      </c>
      <c r="E794" s="20" t="str">
        <f t="shared" ref="E794:E800" si="84">IF(D794="?OLD","!!!","")</f>
        <v>!!!</v>
      </c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ref="H794:H800" ca="1" si="85">IF(J794&lt;&gt;1,"",IF(I794="SBJ","CB","?"))</f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/>
    </row>
    <row r="795" spans="1:12" x14ac:dyDescent="0.3">
      <c r="A795" t="s">
        <v>333</v>
      </c>
      <c r="E795" s="20" t="str">
        <f t="shared" si="84"/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85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542</v>
      </c>
      <c r="E796" s="20" t="str">
        <f t="shared" si="84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85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740</v>
      </c>
      <c r="B797" s="26" t="s">
        <v>337</v>
      </c>
      <c r="C797" s="26" t="s">
        <v>496</v>
      </c>
      <c r="D797" s="26" t="s">
        <v>332</v>
      </c>
      <c r="E797" s="20" t="str">
        <f t="shared" si="84"/>
        <v>!!!</v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85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11</v>
      </c>
      <c r="E798" s="20" t="str">
        <f t="shared" si="84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85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741</v>
      </c>
      <c r="E799" s="20" t="str">
        <f t="shared" si="84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85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338</v>
      </c>
      <c r="E800" s="20" t="str">
        <f t="shared" si="84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85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2" spans="1:12" x14ac:dyDescent="0.3">
      <c r="A802" t="s">
        <v>742</v>
      </c>
    </row>
    <row r="803" spans="1:12" x14ac:dyDescent="0.3">
      <c r="A803" t="s">
        <v>743</v>
      </c>
      <c r="E803" s="20" t="str">
        <f t="shared" ref="E803:E823" si="86">IF(D803="?OLD","!!!","")</f>
        <v/>
      </c>
      <c r="F803" s="21" t="str">
        <f>IF(OR(E803="",E803="!!!"),"",IF(NOT(ISNA(VLOOKUP(E803,E$1:E802,1,FALSE()))),"OLD",IF(AND(E803&lt;&gt;"",E803&lt;&gt;"!!!"),"NEW","")))</f>
        <v/>
      </c>
      <c r="G803" s="22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3" t="str">
        <f t="shared" ref="H803:H823" ca="1" si="87">IF(J803&lt;&gt;1,"",IF(I803="SBJ","CB","?"))</f>
        <v/>
      </c>
      <c r="I803" s="24" t="str">
        <f>IF(OR(E803="",E803="!!!",F803="NEW"),"",INDEX(B$2:B802,-1+SUMPRODUCT(MAX(ROW(E$2:E802)*(E803=E$2:E802)))))</f>
        <v/>
      </c>
      <c r="J803" s="24" t="str">
        <f ca="1">IF(OR(E803="",E803="!!!",F803="NEW"),"",COUNTBLANK(OFFSET(A$1,,,SUMPRODUCT(MAX(ROW(E$2:E803)*(E803=E$2:E803)))))-COUNTBLANK(OFFSET(A$1,,,SUMPRODUCT(MAX(ROW(E$1:E802)*(E2=E$1:E802))))))</f>
        <v/>
      </c>
      <c r="K803" s="24" t="str">
        <f>IF(OR(E803="",E803="!!!",F803="NEW"),"",INDEX(J$1:J802,SUMPRODUCT(MAX(ROW(E$1:E802)*(E803=E$1:E802)))))</f>
        <v/>
      </c>
      <c r="L803" s="25"/>
    </row>
    <row r="804" spans="1:12" x14ac:dyDescent="0.3">
      <c r="A804" t="s">
        <v>744</v>
      </c>
      <c r="E804" s="20" t="str">
        <f t="shared" si="86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87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659</v>
      </c>
      <c r="E805" s="20" t="str">
        <f t="shared" si="86"/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ca="1" si="87"/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745</v>
      </c>
      <c r="B806" s="26" t="s">
        <v>337</v>
      </c>
      <c r="C806" s="26" t="s">
        <v>544</v>
      </c>
      <c r="E806" s="20" t="str">
        <f t="shared" si="86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87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746</v>
      </c>
      <c r="E807" s="20" t="str">
        <f t="shared" si="86"/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87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473</v>
      </c>
      <c r="B808" s="26" t="s">
        <v>330</v>
      </c>
      <c r="C808" s="26" t="s">
        <v>438</v>
      </c>
      <c r="D808" s="26" t="s">
        <v>332</v>
      </c>
      <c r="E808" s="20" t="str">
        <f t="shared" si="86"/>
        <v>!!!</v>
      </c>
      <c r="F808" s="21" t="str">
        <f>IF(OR(E808="",E808="!!!"),"",IF(NOT(ISNA(VLOOKUP(E808,E$1:E807,1,FALSE()))),"OLD",IF(AND(E808&lt;&gt;"",E808&lt;&gt;"!!!"),"NEW","")))</f>
        <v/>
      </c>
      <c r="G808" s="22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3" t="str">
        <f t="shared" ca="1" si="87"/>
        <v/>
      </c>
      <c r="I808" s="24" t="str">
        <f>IF(OR(E808="",E808="!!!",F808="NEW"),"",INDEX(B$2:B807,-1+SUMPRODUCT(MAX(ROW(E$2:E807)*(E808=E$2:E807)))))</f>
        <v/>
      </c>
      <c r="J808" s="24" t="str">
        <f ca="1">IF(OR(E808="",E808="!!!",F808="NEW"),"",COUNTBLANK(OFFSET(A$1,,,SUMPRODUCT(MAX(ROW(E$2:E808)*(E808=E$2:E808)))))-COUNTBLANK(OFFSET(A$1,,,SUMPRODUCT(MAX(ROW(E$1:E807)*(E2=E$1:E807))))))</f>
        <v/>
      </c>
      <c r="K808" s="24" t="str">
        <f>IF(OR(E808="",E808="!!!",F808="NEW"),"",INDEX(J$1:J807,SUMPRODUCT(MAX(ROW(E$1:E807)*(E808=E$1:E807)))))</f>
        <v/>
      </c>
      <c r="L808" s="25"/>
    </row>
    <row r="809" spans="1:12" x14ac:dyDescent="0.3">
      <c r="A809" t="s">
        <v>747</v>
      </c>
      <c r="E809" s="20" t="str">
        <f t="shared" si="86"/>
        <v/>
      </c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87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/>
    </row>
    <row r="810" spans="1:12" x14ac:dyDescent="0.3">
      <c r="A810" t="s">
        <v>748</v>
      </c>
      <c r="B810" s="26" t="s">
        <v>344</v>
      </c>
      <c r="C810" s="26" t="s">
        <v>663</v>
      </c>
      <c r="E810" s="20" t="str">
        <f t="shared" si="86"/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87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1" spans="1:12" x14ac:dyDescent="0.3">
      <c r="A811" t="s">
        <v>351</v>
      </c>
      <c r="E811" s="20" t="str">
        <f t="shared" si="86"/>
        <v/>
      </c>
      <c r="F811" s="21" t="str">
        <f>IF(OR(E811="",E811="!!!"),"",IF(NOT(ISNA(VLOOKUP(E811,E$1:E810,1,FALSE()))),"OLD",IF(AND(E811&lt;&gt;"",E811&lt;&gt;"!!!"),"NEW","")))</f>
        <v/>
      </c>
      <c r="G811" s="22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t="shared" ca="1" si="87"/>
        <v/>
      </c>
      <c r="I811" s="24" t="str">
        <f>IF(OR(E811="",E811="!!!",F811="NEW"),"",INDEX(B$2:B810,-1+SUMPRODUCT(MAX(ROW(E$2:E810)*(E811=E$2:E810)))))</f>
        <v/>
      </c>
      <c r="J811" s="24" t="str">
        <f ca="1">IF(OR(E811="",E811="!!!",F811="NEW"),"",COUNTBLANK(OFFSET(A$1,,,SUMPRODUCT(MAX(ROW(E$2:E811)*(E811=E$2:E811)))))-COUNTBLANK(OFFSET(A$1,,,SUMPRODUCT(MAX(ROW(E$1:E810)*(E2=E$1:E810))))))</f>
        <v/>
      </c>
      <c r="K811" s="24" t="str">
        <f>IF(OR(E811="",E811="!!!",F811="NEW"),"",INDEX(J$1:J810,SUMPRODUCT(MAX(ROW(E$1:E810)*(E811=E$1:E810)))))</f>
        <v/>
      </c>
      <c r="L811" s="25"/>
    </row>
    <row r="812" spans="1:12" x14ac:dyDescent="0.3">
      <c r="A812" t="s">
        <v>749</v>
      </c>
      <c r="E812" s="20" t="str">
        <f t="shared" si="86"/>
        <v/>
      </c>
      <c r="F812" s="21" t="str">
        <f>IF(OR(E812="",E812="!!!"),"",IF(NOT(ISNA(VLOOKUP(E812,E$1:E811,1,FALSE()))),"OLD",IF(AND(E812&lt;&gt;"",E812&lt;&gt;"!!!"),"NEW","")))</f>
        <v/>
      </c>
      <c r="G812" s="22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t="shared" ca="1" si="87"/>
        <v/>
      </c>
      <c r="I812" s="24" t="str">
        <f>IF(OR(E812="",E812="!!!",F812="NEW"),"",INDEX(B$2:B811,-1+SUMPRODUCT(MAX(ROW(E$2:E811)*(E812=E$2:E811)))))</f>
        <v/>
      </c>
      <c r="J812" s="24" t="str">
        <f ca="1">IF(OR(E812="",E812="!!!",F812="NEW"),"",COUNTBLANK(OFFSET(A$1,,,SUMPRODUCT(MAX(ROW(E$2:E812)*(E812=E$2:E812)))))-COUNTBLANK(OFFSET(A$1,,,SUMPRODUCT(MAX(ROW(E$1:E811)*(E2=E$1:E811))))))</f>
        <v/>
      </c>
      <c r="K812" s="24" t="str">
        <f>IF(OR(E812="",E812="!!!",F812="NEW"),"",INDEX(J$1:J811,SUMPRODUCT(MAX(ROW(E$1:E811)*(E812=E$1:E811)))))</f>
        <v/>
      </c>
      <c r="L812" s="25"/>
    </row>
    <row r="813" spans="1:12" x14ac:dyDescent="0.3">
      <c r="A813" t="s">
        <v>11</v>
      </c>
      <c r="E813" s="20" t="str">
        <f t="shared" si="86"/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ca="1" si="87"/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750</v>
      </c>
      <c r="B814" s="26" t="s">
        <v>378</v>
      </c>
      <c r="C814" s="26" t="s">
        <v>355</v>
      </c>
      <c r="E814" s="20" t="str">
        <f t="shared" si="86"/>
        <v/>
      </c>
      <c r="F814" s="21" t="str">
        <f>IF(OR(E814="",E814="!!!"),"",IF(NOT(ISNA(VLOOKUP(E814,E$1:E813,1,FALSE()))),"OLD",IF(AND(E814&lt;&gt;"",E814&lt;&gt;"!!!"),"NEW","")))</f>
        <v/>
      </c>
      <c r="G814" s="22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3" t="str">
        <f t="shared" ca="1" si="87"/>
        <v/>
      </c>
      <c r="I814" s="24" t="str">
        <f>IF(OR(E814="",E814="!!!",F814="NEW"),"",INDEX(B$2:B813,-1+SUMPRODUCT(MAX(ROW(E$2:E813)*(E814=E$2:E813)))))</f>
        <v/>
      </c>
      <c r="J814" s="24" t="str">
        <f ca="1">IF(OR(E814="",E814="!!!",F814="NEW"),"",COUNTBLANK(OFFSET(A$1,,,SUMPRODUCT(MAX(ROW(E$2:E814)*(E814=E$2:E814)))))-COUNTBLANK(OFFSET(A$1,,,SUMPRODUCT(MAX(ROW(E$1:E813)*(E2=E$1:E813))))))</f>
        <v/>
      </c>
      <c r="K814" s="24" t="str">
        <f>IF(OR(E814="",E814="!!!",F814="NEW"),"",INDEX(J$1:J813,SUMPRODUCT(MAX(ROW(E$1:E813)*(E814=E$1:E813)))))</f>
        <v/>
      </c>
      <c r="L814" s="25"/>
    </row>
    <row r="815" spans="1:12" x14ac:dyDescent="0.3">
      <c r="A815" t="s">
        <v>351</v>
      </c>
      <c r="E815" s="20" t="str">
        <f t="shared" si="86"/>
        <v/>
      </c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87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/>
    </row>
    <row r="816" spans="1:12" x14ac:dyDescent="0.3">
      <c r="A816" t="s">
        <v>385</v>
      </c>
      <c r="E816" s="20" t="str">
        <f t="shared" si="86"/>
        <v/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87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751</v>
      </c>
      <c r="E817" s="20" t="str">
        <f t="shared" si="86"/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87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380</v>
      </c>
      <c r="E818" s="20" t="str">
        <f t="shared" si="86"/>
        <v/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87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752</v>
      </c>
      <c r="B819" s="26" t="s">
        <v>357</v>
      </c>
      <c r="C819" s="26" t="s">
        <v>331</v>
      </c>
      <c r="D819" s="26" t="s">
        <v>332</v>
      </c>
      <c r="E819" s="20" t="str">
        <f t="shared" si="86"/>
        <v>!!!</v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87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334</v>
      </c>
      <c r="E820" s="20" t="str">
        <f t="shared" si="86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87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399</v>
      </c>
      <c r="E821" s="20" t="str">
        <f t="shared" si="86"/>
        <v/>
      </c>
      <c r="F821" s="21" t="str">
        <f>IF(OR(E821="",E821="!!!"),"",IF(NOT(ISNA(VLOOKUP(E821,E$1:E820,1,FALSE()))),"OLD",IF(AND(E821&lt;&gt;"",E821&lt;&gt;"!!!"),"NEW","")))</f>
        <v/>
      </c>
      <c r="G821" s="22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t="shared" ca="1" si="87"/>
        <v/>
      </c>
      <c r="I821" s="24" t="str">
        <f>IF(OR(E821="",E821="!!!",F821="NEW"),"",INDEX(B$2:B820,-1+SUMPRODUCT(MAX(ROW(E$2:E820)*(E821=E$2:E820)))))</f>
        <v/>
      </c>
      <c r="J821" s="24" t="str">
        <f ca="1">IF(OR(E821="",E821="!!!",F821="NEW"),"",COUNTBLANK(OFFSET(A$1,,,SUMPRODUCT(MAX(ROW(E$2:E821)*(E821=E$2:E821)))))-COUNTBLANK(OFFSET(A$1,,,SUMPRODUCT(MAX(ROW(E$1:E820)*(E2=E$1:E820))))))</f>
        <v/>
      </c>
      <c r="K821" s="24" t="str">
        <f>IF(OR(E821="",E821="!!!",F821="NEW"),"",INDEX(J$1:J820,SUMPRODUCT(MAX(ROW(E$1:E820)*(E821=E$1:E820)))))</f>
        <v/>
      </c>
      <c r="L821" s="25"/>
    </row>
    <row r="822" spans="1:12" x14ac:dyDescent="0.3">
      <c r="A822" t="s">
        <v>753</v>
      </c>
      <c r="B822" s="26" t="s">
        <v>362</v>
      </c>
      <c r="C822" s="26" t="s">
        <v>331</v>
      </c>
      <c r="D822" s="26" t="s">
        <v>332</v>
      </c>
      <c r="E822" s="20" t="str">
        <f t="shared" si="86"/>
        <v>!!!</v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87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338</v>
      </c>
      <c r="E823" s="20" t="str">
        <f t="shared" si="86"/>
        <v/>
      </c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87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5" spans="1:12" x14ac:dyDescent="0.3">
      <c r="A825" t="s">
        <v>754</v>
      </c>
    </row>
    <row r="826" spans="1:12" x14ac:dyDescent="0.3">
      <c r="A826" t="s">
        <v>483</v>
      </c>
      <c r="B826" s="26" t="s">
        <v>330</v>
      </c>
      <c r="C826" s="26" t="s">
        <v>394</v>
      </c>
      <c r="D826" s="26" t="s">
        <v>332</v>
      </c>
      <c r="E826" s="20" t="str">
        <f t="shared" ref="E826:E832" si="88">IF(D826="?OLD","!!!","")</f>
        <v>!!!</v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ref="H826:H832" ca="1" si="89">IF(J826&lt;&gt;1,"",IF(I826="SBJ","CB","?"))</f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333</v>
      </c>
      <c r="E827" s="20" t="str">
        <f t="shared" si="88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89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542</v>
      </c>
      <c r="E828" s="20" t="str">
        <f t="shared" si="88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89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345</v>
      </c>
      <c r="E829" s="20" t="str">
        <f t="shared" si="88"/>
        <v/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89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755</v>
      </c>
      <c r="E830" s="20" t="str">
        <f t="shared" si="88"/>
        <v/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89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756</v>
      </c>
      <c r="B831" s="26" t="s">
        <v>337</v>
      </c>
      <c r="C831" s="26" t="s">
        <v>544</v>
      </c>
      <c r="E831" s="20" t="str">
        <f t="shared" si="88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89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338</v>
      </c>
      <c r="E832" s="20" t="str">
        <f t="shared" si="88"/>
        <v/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89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4" spans="1:12" x14ac:dyDescent="0.3">
      <c r="A834" t="s">
        <v>757</v>
      </c>
    </row>
    <row r="835" spans="1:12" x14ac:dyDescent="0.3">
      <c r="A835" t="s">
        <v>758</v>
      </c>
      <c r="E835" s="20" t="str">
        <f t="shared" ref="E835:E840" si="90">IF(D835="?OLD","!!!","")</f>
        <v/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ref="H835:H840" ca="1" si="91">IF(J835&lt;&gt;1,"",IF(I835="SBJ","CB","?"))</f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759</v>
      </c>
      <c r="E836" s="20" t="str">
        <f t="shared" si="90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91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7" spans="1:12" x14ac:dyDescent="0.3">
      <c r="A837" t="s">
        <v>473</v>
      </c>
      <c r="B837" s="26" t="s">
        <v>330</v>
      </c>
      <c r="C837" s="26" t="s">
        <v>438</v>
      </c>
      <c r="D837" s="26" t="s">
        <v>332</v>
      </c>
      <c r="E837" s="20" t="str">
        <f t="shared" si="90"/>
        <v>!!!</v>
      </c>
      <c r="F837" s="21" t="str">
        <f>IF(OR(E837="",E837="!!!"),"",IF(NOT(ISNA(VLOOKUP(E837,E$1:E836,1,FALSE()))),"OLD",IF(AND(E837&lt;&gt;"",E837&lt;&gt;"!!!"),"NEW","")))</f>
        <v/>
      </c>
      <c r="G837" s="22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t="shared" ca="1" si="91"/>
        <v/>
      </c>
      <c r="I837" s="24" t="str">
        <f>IF(OR(E837="",E837="!!!",F837="NEW"),"",INDEX(B$2:B836,-1+SUMPRODUCT(MAX(ROW(E$2:E836)*(E837=E$2:E836)))))</f>
        <v/>
      </c>
      <c r="J837" s="24" t="str">
        <f ca="1">IF(OR(E837="",E837="!!!",F837="NEW"),"",COUNTBLANK(OFFSET(A$1,,,SUMPRODUCT(MAX(ROW(E$2:E837)*(E837=E$2:E837)))))-COUNTBLANK(OFFSET(A$1,,,SUMPRODUCT(MAX(ROW(E$1:E836)*(E2=E$1:E836))))))</f>
        <v/>
      </c>
      <c r="K837" s="24" t="str">
        <f>IF(OR(E837="",E837="!!!",F837="NEW"),"",INDEX(J$1:J836,SUMPRODUCT(MAX(ROW(E$1:E836)*(E837=E$1:E836)))))</f>
        <v/>
      </c>
      <c r="L837" s="25"/>
    </row>
    <row r="838" spans="1:12" x14ac:dyDescent="0.3">
      <c r="A838" t="s">
        <v>399</v>
      </c>
      <c r="E838" s="20" t="str">
        <f t="shared" si="90"/>
        <v/>
      </c>
      <c r="F838" s="21" t="str">
        <f>IF(OR(E838="",E838="!!!"),"",IF(NOT(ISNA(VLOOKUP(E838,E$1:E837,1,FALSE()))),"OLD",IF(AND(E838&lt;&gt;"",E838&lt;&gt;"!!!"),"NEW","")))</f>
        <v/>
      </c>
      <c r="G838" s="22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t="shared" ca="1" si="91"/>
        <v/>
      </c>
      <c r="I838" s="24" t="str">
        <f>IF(OR(E838="",E838="!!!",F838="NEW"),"",INDEX(B$2:B837,-1+SUMPRODUCT(MAX(ROW(E$2:E837)*(E838=E$2:E837)))))</f>
        <v/>
      </c>
      <c r="J838" s="24" t="str">
        <f ca="1">IF(OR(E838="",E838="!!!",F838="NEW"),"",COUNTBLANK(OFFSET(A$1,,,SUMPRODUCT(MAX(ROW(E$2:E838)*(E838=E$2:E838)))))-COUNTBLANK(OFFSET(A$1,,,SUMPRODUCT(MAX(ROW(E$1:E837)*(E2=E$1:E837))))))</f>
        <v/>
      </c>
      <c r="K838" s="24" t="str">
        <f>IF(OR(E838="",E838="!!!",F838="NEW"),"",INDEX(J$1:J837,SUMPRODUCT(MAX(ROW(E$1:E837)*(E838=E$1:E837)))))</f>
        <v/>
      </c>
      <c r="L838" s="25"/>
    </row>
    <row r="839" spans="1:12" x14ac:dyDescent="0.3">
      <c r="A839" t="s">
        <v>760</v>
      </c>
      <c r="E839" s="20" t="str">
        <f t="shared" si="90"/>
        <v/>
      </c>
      <c r="F839" s="21" t="str">
        <f>IF(OR(E839="",E839="!!!"),"",IF(NOT(ISNA(VLOOKUP(E839,E$1:E838,1,FALSE()))),"OLD",IF(AND(E839&lt;&gt;"",E839&lt;&gt;"!!!"),"NEW","")))</f>
        <v/>
      </c>
      <c r="G839" s="22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3" t="str">
        <f t="shared" ca="1" si="91"/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638</v>
      </c>
      <c r="E840" s="20" t="str">
        <f t="shared" si="90"/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t="shared" ca="1" si="91"/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  <row r="842" spans="1:12" x14ac:dyDescent="0.3">
      <c r="A842" t="s">
        <v>573</v>
      </c>
      <c r="E842" s="20" t="str">
        <f>IF(D842="?OLD","!!!","")</f>
        <v/>
      </c>
      <c r="F842" s="21" t="str">
        <f>IF(OR(E842="",E842="!!!"),"",IF(NOT(ISNA(VLOOKUP(E842,E$1:E841,1,FALSE()))),"OLD",IF(AND(E842&lt;&gt;"",E842&lt;&gt;"!!!"),"NEW","")))</f>
        <v/>
      </c>
      <c r="G842" s="22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ca="1">IF(J842&lt;&gt;1,"",IF(I842="SBJ","CB","?"))</f>
        <v/>
      </c>
      <c r="I842" s="24" t="str">
        <f>IF(OR(E842="",E842="!!!",F842="NEW"),"",INDEX(B$2:B841,-1+SUMPRODUCT(MAX(ROW(E$2:E841)*(E842=E$2:E841)))))</f>
        <v/>
      </c>
      <c r="J842" s="24" t="str">
        <f ca="1">IF(OR(E842="",E842="!!!",F842="NEW"),"",COUNTBLANK(OFFSET(A$1,,,SUMPRODUCT(MAX(ROW(E$2:E842)*(E842=E$2:E842)))))-COUNTBLANK(OFFSET(A$1,,,SUMPRODUCT(MAX(ROW(E$1:E841)*(E2=E$1:E841))))))</f>
        <v/>
      </c>
      <c r="K842" s="24" t="str">
        <f>IF(OR(E842="",E842="!!!",F842="NEW"),"",INDEX(J$1:J841,SUMPRODUCT(MAX(ROW(E$1:E841)*(E842=E$1:E841)))))</f>
        <v/>
      </c>
      <c r="L842" s="25"/>
    </row>
    <row r="843" spans="1:12" x14ac:dyDescent="0.3">
      <c r="A843" t="s">
        <v>761</v>
      </c>
    </row>
    <row r="844" spans="1:12" x14ac:dyDescent="0.3">
      <c r="A844" t="s">
        <v>328</v>
      </c>
      <c r="E844" s="20" t="str">
        <f t="shared" ref="E844:E875" si="92">IF(D844="?OLD","!!!","")</f>
        <v/>
      </c>
      <c r="F844" s="21" t="str">
        <f>IF(OR(E844="",E844="!!!"),"",IF(NOT(ISNA(VLOOKUP(E844,E$1:E843,1,FALSE()))),"OLD",IF(AND(E844&lt;&gt;"",E844&lt;&gt;"!!!"),"NEW","")))</f>
        <v/>
      </c>
      <c r="G844" s="22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3" t="str">
        <f t="shared" ref="H844:H875" ca="1" si="93">IF(J844&lt;&gt;1,"",IF(I844="SBJ","CB","?"))</f>
        <v/>
      </c>
      <c r="I844" s="24" t="str">
        <f>IF(OR(E844="",E844="!!!",F844="NEW"),"",INDEX(B$2:B843,-1+SUMPRODUCT(MAX(ROW(E$2:E843)*(E844=E$2:E843)))))</f>
        <v/>
      </c>
      <c r="J844" s="24" t="str">
        <f ca="1">IF(OR(E844="",E844="!!!",F844="NEW"),"",COUNTBLANK(OFFSET(A$1,,,SUMPRODUCT(MAX(ROW(E$2:E844)*(E844=E$2:E844)))))-COUNTBLANK(OFFSET(A$1,,,SUMPRODUCT(MAX(ROW(E$1:E843)*(E2=E$1:E843))))))</f>
        <v/>
      </c>
      <c r="K844" s="24" t="str">
        <f>IF(OR(E844="",E844="!!!",F844="NEW"),"",INDEX(J$1:J843,SUMPRODUCT(MAX(ROW(E$1:E843)*(E844=E$1:E843)))))</f>
        <v/>
      </c>
      <c r="L844" s="25"/>
    </row>
    <row r="845" spans="1:12" x14ac:dyDescent="0.3">
      <c r="A845" t="s">
        <v>749</v>
      </c>
      <c r="E845" s="20" t="str">
        <f t="shared" si="92"/>
        <v/>
      </c>
      <c r="F845" s="21" t="str">
        <f>IF(OR(E845="",E845="!!!"),"",IF(NOT(ISNA(VLOOKUP(E845,E$1:E844,1,FALSE()))),"OLD",IF(AND(E845&lt;&gt;"",E845&lt;&gt;"!!!"),"NEW","")))</f>
        <v/>
      </c>
      <c r="G845" s="22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3" t="str">
        <f t="shared" ca="1" si="93"/>
        <v/>
      </c>
      <c r="I845" s="24" t="str">
        <f>IF(OR(E845="",E845="!!!",F845="NEW"),"",INDEX(B$2:B844,-1+SUMPRODUCT(MAX(ROW(E$2:E844)*(E845=E$2:E844)))))</f>
        <v/>
      </c>
      <c r="J845" s="24" t="str">
        <f ca="1">IF(OR(E845="",E845="!!!",F845="NEW"),"",COUNTBLANK(OFFSET(A$1,,,SUMPRODUCT(MAX(ROW(E$2:E845)*(E845=E$2:E845)))))-COUNTBLANK(OFFSET(A$1,,,SUMPRODUCT(MAX(ROW(E$1:E844)*(E2=E$1:E844))))))</f>
        <v/>
      </c>
      <c r="K845" s="24" t="str">
        <f>IF(OR(E845="",E845="!!!",F845="NEW"),"",INDEX(J$1:J844,SUMPRODUCT(MAX(ROW(E$1:E844)*(E845=E$1:E844)))))</f>
        <v/>
      </c>
      <c r="L845" s="25"/>
    </row>
    <row r="846" spans="1:12" x14ac:dyDescent="0.3">
      <c r="A846" t="s">
        <v>11</v>
      </c>
      <c r="E846" s="20" t="str">
        <f t="shared" si="92"/>
        <v/>
      </c>
      <c r="F846" s="21" t="str">
        <f>IF(OR(E846="",E846="!!!"),"",IF(NOT(ISNA(VLOOKUP(E846,E$1:E845,1,FALSE()))),"OLD",IF(AND(E846&lt;&gt;"",E846&lt;&gt;"!!!"),"NEW","")))</f>
        <v/>
      </c>
      <c r="G846" s="22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3" t="str">
        <f t="shared" ca="1" si="93"/>
        <v/>
      </c>
      <c r="I846" s="24" t="str">
        <f>IF(OR(E846="",E846="!!!",F846="NEW"),"",INDEX(B$2:B845,-1+SUMPRODUCT(MAX(ROW(E$2:E845)*(E846=E$2:E845)))))</f>
        <v/>
      </c>
      <c r="J846" s="24" t="str">
        <f ca="1">IF(OR(E846="",E846="!!!",F846="NEW"),"",COUNTBLANK(OFFSET(A$1,,,SUMPRODUCT(MAX(ROW(E$2:E846)*(E846=E$2:E846)))))-COUNTBLANK(OFFSET(A$1,,,SUMPRODUCT(MAX(ROW(E$1:E845)*(E2=E$1:E845))))))</f>
        <v/>
      </c>
      <c r="K846" s="24" t="str">
        <f>IF(OR(E846="",E846="!!!",F846="NEW"),"",INDEX(J$1:J845,SUMPRODUCT(MAX(ROW(E$1:E845)*(E846=E$1:E845)))))</f>
        <v/>
      </c>
      <c r="L846" s="25"/>
    </row>
    <row r="847" spans="1:12" x14ac:dyDescent="0.3">
      <c r="A847" t="s">
        <v>762</v>
      </c>
      <c r="B847" s="26" t="s">
        <v>330</v>
      </c>
      <c r="C847" s="26" t="s">
        <v>331</v>
      </c>
      <c r="D847" s="26" t="s">
        <v>332</v>
      </c>
      <c r="E847" s="20" t="str">
        <f t="shared" si="92"/>
        <v>!!!</v>
      </c>
      <c r="F847" s="21" t="str">
        <f>IF(OR(E847="",E847="!!!"),"",IF(NOT(ISNA(VLOOKUP(E847,E$1:E846,1,FALSE()))),"OLD",IF(AND(E847&lt;&gt;"",E847&lt;&gt;"!!!"),"NEW","")))</f>
        <v/>
      </c>
      <c r="G847" s="22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t="shared" ca="1" si="93"/>
        <v/>
      </c>
      <c r="I847" s="24" t="str">
        <f>IF(OR(E847="",E847="!!!",F847="NEW"),"",INDEX(B$2:B846,-1+SUMPRODUCT(MAX(ROW(E$2:E846)*(E847=E$2:E846)))))</f>
        <v/>
      </c>
      <c r="J847" s="24" t="str">
        <f ca="1">IF(OR(E847="",E847="!!!",F847="NEW"),"",COUNTBLANK(OFFSET(A$1,,,SUMPRODUCT(MAX(ROW(E$2:E847)*(E847=E$2:E847)))))-COUNTBLANK(OFFSET(A$1,,,SUMPRODUCT(MAX(ROW(E$1:E846)*(E2=E$1:E846))))))</f>
        <v/>
      </c>
      <c r="K847" s="24" t="str">
        <f>IF(OR(E847="",E847="!!!",F847="NEW"),"",INDEX(J$1:J846,SUMPRODUCT(MAX(ROW(E$1:E846)*(E847=E$1:E846)))))</f>
        <v/>
      </c>
      <c r="L847" s="25"/>
    </row>
    <row r="848" spans="1:12" x14ac:dyDescent="0.3">
      <c r="A848" t="s">
        <v>763</v>
      </c>
      <c r="E848" s="20" t="str">
        <f t="shared" si="92"/>
        <v/>
      </c>
      <c r="F848" s="21" t="str">
        <f>IF(OR(E848="",E848="!!!"),"",IF(NOT(ISNA(VLOOKUP(E848,E$1:E847,1,FALSE()))),"OLD",IF(AND(E848&lt;&gt;"",E848&lt;&gt;"!!!"),"NEW","")))</f>
        <v/>
      </c>
      <c r="G848" s="22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3" t="str">
        <f t="shared" ca="1" si="93"/>
        <v/>
      </c>
      <c r="I848" s="24" t="str">
        <f>IF(OR(E848="",E848="!!!",F848="NEW"),"",INDEX(B$2:B847,-1+SUMPRODUCT(MAX(ROW(E$2:E847)*(E848=E$2:E847)))))</f>
        <v/>
      </c>
      <c r="J848" s="24" t="str">
        <f ca="1">IF(OR(E848="",E848="!!!",F848="NEW"),"",COUNTBLANK(OFFSET(A$1,,,SUMPRODUCT(MAX(ROW(E$2:E848)*(E848=E$2:E848)))))-COUNTBLANK(OFFSET(A$1,,,SUMPRODUCT(MAX(ROW(E$1:E847)*(E2=E$1:E847))))))</f>
        <v/>
      </c>
      <c r="K848" s="24" t="str">
        <f>IF(OR(E848="",E848="!!!",F848="NEW"),"",INDEX(J$1:J847,SUMPRODUCT(MAX(ROW(E$1:E847)*(E848=E$1:E847)))))</f>
        <v/>
      </c>
      <c r="L848" s="25"/>
    </row>
    <row r="849" spans="1:12" x14ac:dyDescent="0.3">
      <c r="A849" t="s">
        <v>764</v>
      </c>
      <c r="E849" s="20" t="str">
        <f t="shared" si="92"/>
        <v/>
      </c>
      <c r="F849" s="21" t="str">
        <f>IF(OR(E849="",E849="!!!"),"",IF(NOT(ISNA(VLOOKUP(E849,E$1:E848,1,FALSE()))),"OLD",IF(AND(E849&lt;&gt;"",E849&lt;&gt;"!!!"),"NEW","")))</f>
        <v/>
      </c>
      <c r="G849" s="22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t="shared" ca="1" si="93"/>
        <v/>
      </c>
      <c r="I849" s="24" t="str">
        <f>IF(OR(E849="",E849="!!!",F849="NEW"),"",INDEX(B$2:B848,-1+SUMPRODUCT(MAX(ROW(E$2:E848)*(E849=E$2:E848)))))</f>
        <v/>
      </c>
      <c r="J849" s="24" t="str">
        <f ca="1">IF(OR(E849="",E849="!!!",F849="NEW"),"",COUNTBLANK(OFFSET(A$1,,,SUMPRODUCT(MAX(ROW(E$2:E849)*(E849=E$2:E849)))))-COUNTBLANK(OFFSET(A$1,,,SUMPRODUCT(MAX(ROW(E$1:E848)*(E2=E$1:E848))))))</f>
        <v/>
      </c>
      <c r="K849" s="24" t="str">
        <f>IF(OR(E849="",E849="!!!",F849="NEW"),"",INDEX(J$1:J848,SUMPRODUCT(MAX(ROW(E$1:E848)*(E849=E$1:E848)))))</f>
        <v/>
      </c>
      <c r="L849" s="25"/>
    </row>
    <row r="850" spans="1:12" x14ac:dyDescent="0.3">
      <c r="A850" t="s">
        <v>351</v>
      </c>
      <c r="E850" s="20" t="str">
        <f t="shared" si="92"/>
        <v/>
      </c>
      <c r="F850" s="21" t="str">
        <f>IF(OR(E850="",E850="!!!"),"",IF(NOT(ISNA(VLOOKUP(E850,E$1:E849,1,FALSE()))),"OLD",IF(AND(E850&lt;&gt;"",E850&lt;&gt;"!!!"),"NEW","")))</f>
        <v/>
      </c>
      <c r="G850" s="22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t="shared" ca="1" si="93"/>
        <v/>
      </c>
      <c r="I850" s="24" t="str">
        <f>IF(OR(E850="",E850="!!!",F850="NEW"),"",INDEX(B$2:B849,-1+SUMPRODUCT(MAX(ROW(E$2:E849)*(E850=E$2:E849)))))</f>
        <v/>
      </c>
      <c r="J850" s="24" t="str">
        <f ca="1">IF(OR(E850="",E850="!!!",F850="NEW"),"",COUNTBLANK(OFFSET(A$1,,,SUMPRODUCT(MAX(ROW(E$2:E850)*(E850=E$2:E850)))))-COUNTBLANK(OFFSET(A$1,,,SUMPRODUCT(MAX(ROW(E$1:E849)*(E2=E$1:E849))))))</f>
        <v/>
      </c>
      <c r="K850" s="24" t="str">
        <f>IF(OR(E850="",E850="!!!",F850="NEW"),"",INDEX(J$1:J849,SUMPRODUCT(MAX(ROW(E$1:E849)*(E850=E$1:E849)))))</f>
        <v/>
      </c>
      <c r="L850" s="25"/>
    </row>
    <row r="851" spans="1:12" x14ac:dyDescent="0.3">
      <c r="A851" t="s">
        <v>487</v>
      </c>
      <c r="E851" s="20" t="str">
        <f t="shared" si="92"/>
        <v/>
      </c>
      <c r="F851" s="21" t="str">
        <f>IF(OR(E851="",E851="!!!"),"",IF(NOT(ISNA(VLOOKUP(E851,E$1:E850,1,FALSE()))),"OLD",IF(AND(E851&lt;&gt;"",E851&lt;&gt;"!!!"),"NEW","")))</f>
        <v/>
      </c>
      <c r="G851" s="22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t="shared" ca="1" si="93"/>
        <v/>
      </c>
      <c r="I851" s="24" t="str">
        <f>IF(OR(E851="",E851="!!!",F851="NEW"),"",INDEX(B$2:B850,-1+SUMPRODUCT(MAX(ROW(E$2:E850)*(E851=E$2:E850)))))</f>
        <v/>
      </c>
      <c r="J851" s="24" t="str">
        <f ca="1">IF(OR(E851="",E851="!!!",F851="NEW"),"",COUNTBLANK(OFFSET(A$1,,,SUMPRODUCT(MAX(ROW(E$2:E851)*(E851=E$2:E851)))))-COUNTBLANK(OFFSET(A$1,,,SUMPRODUCT(MAX(ROW(E$1:E850)*(E2=E$1:E850))))))</f>
        <v/>
      </c>
      <c r="K851" s="24" t="str">
        <f>IF(OR(E851="",E851="!!!",F851="NEW"),"",INDEX(J$1:J850,SUMPRODUCT(MAX(ROW(E$1:E850)*(E851=E$1:E850)))))</f>
        <v/>
      </c>
      <c r="L851" s="25"/>
    </row>
    <row r="852" spans="1:12" x14ac:dyDescent="0.3">
      <c r="A852" t="s">
        <v>371</v>
      </c>
      <c r="E852" s="20" t="str">
        <f t="shared" si="92"/>
        <v/>
      </c>
      <c r="F852" s="21" t="str">
        <f>IF(OR(E852="",E852="!!!"),"",IF(NOT(ISNA(VLOOKUP(E852,E$1:E851,1,FALSE()))),"OLD",IF(AND(E852&lt;&gt;"",E852&lt;&gt;"!!!"),"NEW","")))</f>
        <v/>
      </c>
      <c r="G852" s="22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3" t="str">
        <f t="shared" ca="1" si="93"/>
        <v/>
      </c>
      <c r="I852" s="24" t="str">
        <f>IF(OR(E852="",E852="!!!",F852="NEW"),"",INDEX(B$2:B851,-1+SUMPRODUCT(MAX(ROW(E$2:E851)*(E852=E$2:E851)))))</f>
        <v/>
      </c>
      <c r="J852" s="24" t="str">
        <f ca="1">IF(OR(E852="",E852="!!!",F852="NEW"),"",COUNTBLANK(OFFSET(A$1,,,SUMPRODUCT(MAX(ROW(E$2:E852)*(E852=E$2:E852)))))-COUNTBLANK(OFFSET(A$1,,,SUMPRODUCT(MAX(ROW(E$1:E851)*(E2=E$1:E851))))))</f>
        <v/>
      </c>
      <c r="K852" s="24" t="str">
        <f>IF(OR(E852="",E852="!!!",F852="NEW"),"",INDEX(J$1:J851,SUMPRODUCT(MAX(ROW(E$1:E851)*(E852=E$1:E851)))))</f>
        <v/>
      </c>
      <c r="L852" s="25"/>
    </row>
    <row r="853" spans="1:12" x14ac:dyDescent="0.3">
      <c r="A853" t="s">
        <v>454</v>
      </c>
      <c r="E853" s="20" t="str">
        <f t="shared" si="92"/>
        <v/>
      </c>
      <c r="F853" s="21" t="str">
        <f>IF(OR(E853="",E853="!!!"),"",IF(NOT(ISNA(VLOOKUP(E853,E$1:E852,1,FALSE()))),"OLD",IF(AND(E853&lt;&gt;"",E853&lt;&gt;"!!!"),"NEW","")))</f>
        <v/>
      </c>
      <c r="G853" s="22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t="shared" ca="1" si="93"/>
        <v/>
      </c>
      <c r="I853" s="24" t="str">
        <f>IF(OR(E853="",E853="!!!",F853="NEW"),"",INDEX(B$2:B852,-1+SUMPRODUCT(MAX(ROW(E$2:E852)*(E853=E$2:E852)))))</f>
        <v/>
      </c>
      <c r="J853" s="24" t="str">
        <f ca="1">IF(OR(E853="",E853="!!!",F853="NEW"),"",COUNTBLANK(OFFSET(A$1,,,SUMPRODUCT(MAX(ROW(E$2:E853)*(E853=E$2:E853)))))-COUNTBLANK(OFFSET(A$1,,,SUMPRODUCT(MAX(ROW(E$1:E852)*(E2=E$1:E852))))))</f>
        <v/>
      </c>
      <c r="K853" s="24" t="str">
        <f>IF(OR(E853="",E853="!!!",F853="NEW"),"",INDEX(J$1:J852,SUMPRODUCT(MAX(ROW(E$1:E852)*(E853=E$1:E852)))))</f>
        <v/>
      </c>
      <c r="L853" s="25"/>
    </row>
    <row r="854" spans="1:12" x14ac:dyDescent="0.3">
      <c r="A854" t="s">
        <v>765</v>
      </c>
      <c r="E854" s="20" t="str">
        <f t="shared" si="92"/>
        <v/>
      </c>
      <c r="F854" s="21" t="str">
        <f>IF(OR(E854="",E854="!!!"),"",IF(NOT(ISNA(VLOOKUP(E854,E$1:E853,1,FALSE()))),"OLD",IF(AND(E854&lt;&gt;"",E854&lt;&gt;"!!!"),"NEW","")))</f>
        <v/>
      </c>
      <c r="G854" s="22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t="shared" ca="1" si="93"/>
        <v/>
      </c>
      <c r="I854" s="24" t="str">
        <f>IF(OR(E854="",E854="!!!",F854="NEW"),"",INDEX(B$2:B853,-1+SUMPRODUCT(MAX(ROW(E$2:E853)*(E854=E$2:E853)))))</f>
        <v/>
      </c>
      <c r="J854" s="24" t="str">
        <f ca="1">IF(OR(E854="",E854="!!!",F854="NEW"),"",COUNTBLANK(OFFSET(A$1,,,SUMPRODUCT(MAX(ROW(E$2:E854)*(E854=E$2:E854)))))-COUNTBLANK(OFFSET(A$1,,,SUMPRODUCT(MAX(ROW(E$1:E853)*(E2=E$1:E853))))))</f>
        <v/>
      </c>
      <c r="K854" s="24" t="str">
        <f>IF(OR(E854="",E854="!!!",F854="NEW"),"",INDEX(J$1:J853,SUMPRODUCT(MAX(ROW(E$1:E853)*(E854=E$1:E853)))))</f>
        <v/>
      </c>
      <c r="L854" s="25"/>
    </row>
    <row r="855" spans="1:12" x14ac:dyDescent="0.3">
      <c r="A855" t="s">
        <v>657</v>
      </c>
      <c r="B855" s="26" t="s">
        <v>354</v>
      </c>
      <c r="C855" s="26" t="s">
        <v>355</v>
      </c>
      <c r="E855" s="20" t="str">
        <f t="shared" si="92"/>
        <v/>
      </c>
      <c r="F855" s="21" t="str">
        <f>IF(OR(E855="",E855="!!!"),"",IF(NOT(ISNA(VLOOKUP(E855,E$1:E854,1,FALSE()))),"OLD",IF(AND(E855&lt;&gt;"",E855&lt;&gt;"!!!"),"NEW","")))</f>
        <v/>
      </c>
      <c r="G855" s="22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3" t="str">
        <f t="shared" ca="1" si="93"/>
        <v/>
      </c>
      <c r="I855" s="24" t="str">
        <f>IF(OR(E855="",E855="!!!",F855="NEW"),"",INDEX(B$2:B854,-1+SUMPRODUCT(MAX(ROW(E$2:E854)*(E855=E$2:E854)))))</f>
        <v/>
      </c>
      <c r="J855" s="24" t="str">
        <f ca="1">IF(OR(E855="",E855="!!!",F855="NEW"),"",COUNTBLANK(OFFSET(A$1,,,SUMPRODUCT(MAX(ROW(E$2:E855)*(E855=E$2:E855)))))-COUNTBLANK(OFFSET(A$1,,,SUMPRODUCT(MAX(ROW(E$1:E854)*(E2=E$1:E854))))))</f>
        <v/>
      </c>
      <c r="K855" s="24" t="str">
        <f>IF(OR(E855="",E855="!!!",F855="NEW"),"",INDEX(J$1:J854,SUMPRODUCT(MAX(ROW(E$1:E854)*(E855=E$1:E854)))))</f>
        <v/>
      </c>
      <c r="L855" s="25"/>
    </row>
    <row r="856" spans="1:12" x14ac:dyDescent="0.3">
      <c r="A856" t="s">
        <v>417</v>
      </c>
      <c r="E856" s="20" t="str">
        <f t="shared" si="92"/>
        <v/>
      </c>
      <c r="F856" s="21" t="str">
        <f>IF(OR(E856="",E856="!!!"),"",IF(NOT(ISNA(VLOOKUP(E856,E$1:E855,1,FALSE()))),"OLD",IF(AND(E856&lt;&gt;"",E856&lt;&gt;"!!!"),"NEW","")))</f>
        <v/>
      </c>
      <c r="G856" s="22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3" t="str">
        <f t="shared" ca="1" si="93"/>
        <v/>
      </c>
      <c r="I856" s="24" t="str">
        <f>IF(OR(E856="",E856="!!!",F856="NEW"),"",INDEX(B$2:B855,-1+SUMPRODUCT(MAX(ROW(E$2:E855)*(E856=E$2:E855)))))</f>
        <v/>
      </c>
      <c r="J856" s="24" t="str">
        <f ca="1">IF(OR(E856="",E856="!!!",F856="NEW"),"",COUNTBLANK(OFFSET(A$1,,,SUMPRODUCT(MAX(ROW(E$2:E856)*(E856=E$2:E856)))))-COUNTBLANK(OFFSET(A$1,,,SUMPRODUCT(MAX(ROW(E$1:E855)*(E2=E$1:E855))))))</f>
        <v/>
      </c>
      <c r="K856" s="24" t="str">
        <f>IF(OR(E856="",E856="!!!",F856="NEW"),"",INDEX(J$1:J855,SUMPRODUCT(MAX(ROW(E$1:E855)*(E856=E$1:E855)))))</f>
        <v/>
      </c>
      <c r="L856" s="25"/>
    </row>
    <row r="857" spans="1:12" x14ac:dyDescent="0.3">
      <c r="A857" t="s">
        <v>766</v>
      </c>
      <c r="B857" s="26" t="s">
        <v>378</v>
      </c>
      <c r="C857" s="26" t="s">
        <v>355</v>
      </c>
      <c r="E857" s="20" t="str">
        <f t="shared" si="92"/>
        <v/>
      </c>
      <c r="F857" s="21" t="str">
        <f>IF(OR(E857="",E857="!!!"),"",IF(NOT(ISNA(VLOOKUP(E857,E$1:E856,1,FALSE()))),"OLD",IF(AND(E857&lt;&gt;"",E857&lt;&gt;"!!!"),"NEW","")))</f>
        <v/>
      </c>
      <c r="G857" s="22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t="shared" ca="1" si="93"/>
        <v/>
      </c>
      <c r="I857" s="24" t="str">
        <f>IF(OR(E857="",E857="!!!",F857="NEW"),"",INDEX(B$2:B856,-1+SUMPRODUCT(MAX(ROW(E$2:E856)*(E857=E$2:E856)))))</f>
        <v/>
      </c>
      <c r="J857" s="24" t="str">
        <f ca="1">IF(OR(E857="",E857="!!!",F857="NEW"),"",COUNTBLANK(OFFSET(A$1,,,SUMPRODUCT(MAX(ROW(E$2:E857)*(E857=E$2:E857)))))-COUNTBLANK(OFFSET(A$1,,,SUMPRODUCT(MAX(ROW(E$1:E856)*(E2=E$1:E856))))))</f>
        <v/>
      </c>
      <c r="K857" s="24" t="str">
        <f>IF(OR(E857="",E857="!!!",F857="NEW"),"",INDEX(J$1:J856,SUMPRODUCT(MAX(ROW(E$1:E856)*(E857=E$1:E856)))))</f>
        <v/>
      </c>
      <c r="L857" s="25"/>
    </row>
    <row r="858" spans="1:12" x14ac:dyDescent="0.3">
      <c r="A858" t="s">
        <v>430</v>
      </c>
      <c r="E858" s="20" t="str">
        <f t="shared" si="92"/>
        <v/>
      </c>
      <c r="F858" s="21" t="str">
        <f>IF(OR(E858="",E858="!!!"),"",IF(NOT(ISNA(VLOOKUP(E858,E$1:E857,1,FALSE()))),"OLD",IF(AND(E858&lt;&gt;"",E858&lt;&gt;"!!!"),"NEW","")))</f>
        <v/>
      </c>
      <c r="G858" s="22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t="shared" ca="1" si="93"/>
        <v/>
      </c>
      <c r="I858" s="24" t="str">
        <f>IF(OR(E858="",E858="!!!",F858="NEW"),"",INDEX(B$2:B857,-1+SUMPRODUCT(MAX(ROW(E$2:E857)*(E858=E$2:E857)))))</f>
        <v/>
      </c>
      <c r="J858" s="24" t="str">
        <f ca="1">IF(OR(E858="",E858="!!!",F858="NEW"),"",COUNTBLANK(OFFSET(A$1,,,SUMPRODUCT(MAX(ROW(E$2:E858)*(E858=E$2:E858)))))-COUNTBLANK(OFFSET(A$1,,,SUMPRODUCT(MAX(ROW(E$1:E857)*(E2=E$1:E857))))))</f>
        <v/>
      </c>
      <c r="K858" s="24" t="str">
        <f>IF(OR(E858="",E858="!!!",F858="NEW"),"",INDEX(J$1:J857,SUMPRODUCT(MAX(ROW(E$1:E857)*(E858=E$1:E857)))))</f>
        <v/>
      </c>
      <c r="L858" s="25"/>
    </row>
    <row r="859" spans="1:12" x14ac:dyDescent="0.3">
      <c r="A859" t="s">
        <v>417</v>
      </c>
      <c r="E859" s="20" t="str">
        <f t="shared" si="92"/>
        <v/>
      </c>
      <c r="F859" s="21" t="str">
        <f>IF(OR(E859="",E859="!!!"),"",IF(NOT(ISNA(VLOOKUP(E859,E$1:E858,1,FALSE()))),"OLD",IF(AND(E859&lt;&gt;"",E859&lt;&gt;"!!!"),"NEW","")))</f>
        <v/>
      </c>
      <c r="G859" s="22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t="shared" ca="1" si="93"/>
        <v/>
      </c>
      <c r="I859" s="24" t="str">
        <f>IF(OR(E859="",E859="!!!",F859="NEW"),"",INDEX(B$2:B858,-1+SUMPRODUCT(MAX(ROW(E$2:E858)*(E859=E$2:E858)))))</f>
        <v/>
      </c>
      <c r="J859" s="24" t="str">
        <f ca="1">IF(OR(E859="",E859="!!!",F859="NEW"),"",COUNTBLANK(OFFSET(A$1,,,SUMPRODUCT(MAX(ROW(E$2:E859)*(E859=E$2:E859)))))-COUNTBLANK(OFFSET(A$1,,,SUMPRODUCT(MAX(ROW(E$1:E858)*(E2=E$1:E858))))))</f>
        <v/>
      </c>
      <c r="K859" s="24" t="str">
        <f>IF(OR(E859="",E859="!!!",F859="NEW"),"",INDEX(J$1:J858,SUMPRODUCT(MAX(ROW(E$1:E858)*(E859=E$1:E858)))))</f>
        <v/>
      </c>
      <c r="L859" s="25"/>
    </row>
    <row r="860" spans="1:12" x14ac:dyDescent="0.3">
      <c r="A860" t="s">
        <v>767</v>
      </c>
      <c r="B860" s="26" t="s">
        <v>378</v>
      </c>
      <c r="C860" s="26" t="s">
        <v>355</v>
      </c>
      <c r="E860" s="20" t="str">
        <f t="shared" si="92"/>
        <v/>
      </c>
      <c r="F860" s="21" t="str">
        <f>IF(OR(E860="",E860="!!!"),"",IF(NOT(ISNA(VLOOKUP(E860,E$1:E859,1,FALSE()))),"OLD",IF(AND(E860&lt;&gt;"",E860&lt;&gt;"!!!"),"NEW","")))</f>
        <v/>
      </c>
      <c r="G860" s="22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3" t="str">
        <f t="shared" ca="1" si="93"/>
        <v/>
      </c>
      <c r="I860" s="24" t="str">
        <f>IF(OR(E860="",E860="!!!",F860="NEW"),"",INDEX(B$2:B859,-1+SUMPRODUCT(MAX(ROW(E$2:E859)*(E860=E$2:E859)))))</f>
        <v/>
      </c>
      <c r="J860" s="24" t="str">
        <f ca="1">IF(OR(E860="",E860="!!!",F860="NEW"),"",COUNTBLANK(OFFSET(A$1,,,SUMPRODUCT(MAX(ROW(E$2:E860)*(E860=E$2:E860)))))-COUNTBLANK(OFFSET(A$1,,,SUMPRODUCT(MAX(ROW(E$1:E859)*(E2=E$1:E859))))))</f>
        <v/>
      </c>
      <c r="K860" s="24" t="str">
        <f>IF(OR(E860="",E860="!!!",F860="NEW"),"",INDEX(J$1:J859,SUMPRODUCT(MAX(ROW(E$1:E859)*(E860=E$1:E859)))))</f>
        <v/>
      </c>
      <c r="L860" s="25"/>
    </row>
    <row r="861" spans="1:12" x14ac:dyDescent="0.3">
      <c r="A861" t="s">
        <v>351</v>
      </c>
      <c r="E861" s="20" t="str">
        <f t="shared" si="92"/>
        <v/>
      </c>
      <c r="F861" s="21" t="str">
        <f>IF(OR(E861="",E861="!!!"),"",IF(NOT(ISNA(VLOOKUP(E861,E$1:E860,1,FALSE()))),"OLD",IF(AND(E861&lt;&gt;"",E861&lt;&gt;"!!!"),"NEW","")))</f>
        <v/>
      </c>
      <c r="G861" s="22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t="shared" ca="1" si="93"/>
        <v/>
      </c>
      <c r="I861" s="24" t="str">
        <f>IF(OR(E861="",E861="!!!",F861="NEW"),"",INDEX(B$2:B860,-1+SUMPRODUCT(MAX(ROW(E$2:E860)*(E861=E$2:E860)))))</f>
        <v/>
      </c>
      <c r="J861" s="24" t="str">
        <f ca="1">IF(OR(E861="",E861="!!!",F861="NEW"),"",COUNTBLANK(OFFSET(A$1,,,SUMPRODUCT(MAX(ROW(E$2:E861)*(E861=E$2:E861)))))-COUNTBLANK(OFFSET(A$1,,,SUMPRODUCT(MAX(ROW(E$1:E860)*(E2=E$1:E860))))))</f>
        <v/>
      </c>
      <c r="K861" s="24" t="str">
        <f>IF(OR(E861="",E861="!!!",F861="NEW"),"",INDEX(J$1:J860,SUMPRODUCT(MAX(ROW(E$1:E860)*(E861=E$1:E860)))))</f>
        <v/>
      </c>
      <c r="L861" s="25"/>
    </row>
    <row r="862" spans="1:12" x14ac:dyDescent="0.3">
      <c r="A862" t="s">
        <v>385</v>
      </c>
      <c r="E862" s="20" t="str">
        <f t="shared" si="92"/>
        <v/>
      </c>
      <c r="F862" s="21" t="str">
        <f>IF(OR(E862="",E862="!!!"),"",IF(NOT(ISNA(VLOOKUP(E862,E$1:E861,1,FALSE()))),"OLD",IF(AND(E862&lt;&gt;"",E862&lt;&gt;"!!!"),"NEW","")))</f>
        <v/>
      </c>
      <c r="G862" s="22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3" t="str">
        <f t="shared" ca="1" si="93"/>
        <v/>
      </c>
      <c r="I862" s="24" t="str">
        <f>IF(OR(E862="",E862="!!!",F862="NEW"),"",INDEX(B$2:B861,-1+SUMPRODUCT(MAX(ROW(E$2:E861)*(E862=E$2:E861)))))</f>
        <v/>
      </c>
      <c r="J862" s="24" t="str">
        <f ca="1">IF(OR(E862="",E862="!!!",F862="NEW"),"",COUNTBLANK(OFFSET(A$1,,,SUMPRODUCT(MAX(ROW(E$2:E862)*(E862=E$2:E862)))))-COUNTBLANK(OFFSET(A$1,,,SUMPRODUCT(MAX(ROW(E$1:E861)*(E2=E$1:E861))))))</f>
        <v/>
      </c>
      <c r="K862" s="24" t="str">
        <f>IF(OR(E862="",E862="!!!",F862="NEW"),"",INDEX(J$1:J861,SUMPRODUCT(MAX(ROW(E$1:E861)*(E862=E$1:E861)))))</f>
        <v/>
      </c>
      <c r="L862" s="25"/>
    </row>
    <row r="863" spans="1:12" x14ac:dyDescent="0.3">
      <c r="A863" t="s">
        <v>768</v>
      </c>
      <c r="B863" s="26" t="s">
        <v>362</v>
      </c>
      <c r="C863" s="26" t="s">
        <v>394</v>
      </c>
      <c r="D863" s="26" t="s">
        <v>332</v>
      </c>
      <c r="E863" s="20" t="str">
        <f t="shared" si="92"/>
        <v>!!!</v>
      </c>
      <c r="F863" s="21" t="str">
        <f>IF(OR(E863="",E863="!!!"),"",IF(NOT(ISNA(VLOOKUP(E863,E$1:E862,1,FALSE()))),"OLD",IF(AND(E863&lt;&gt;"",E863&lt;&gt;"!!!"),"NEW","")))</f>
        <v/>
      </c>
      <c r="G863" s="22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3" t="str">
        <f t="shared" ca="1" si="93"/>
        <v/>
      </c>
      <c r="I863" s="24" t="str">
        <f>IF(OR(E863="",E863="!!!",F863="NEW"),"",INDEX(B$2:B862,-1+SUMPRODUCT(MAX(ROW(E$2:E862)*(E863=E$2:E862)))))</f>
        <v/>
      </c>
      <c r="J863" s="24" t="str">
        <f ca="1">IF(OR(E863="",E863="!!!",F863="NEW"),"",COUNTBLANK(OFFSET(A$1,,,SUMPRODUCT(MAX(ROW(E$2:E863)*(E863=E$2:E863)))))-COUNTBLANK(OFFSET(A$1,,,SUMPRODUCT(MAX(ROW(E$1:E862)*(E2=E$1:E862))))))</f>
        <v/>
      </c>
      <c r="K863" s="24" t="str">
        <f>IF(OR(E863="",E863="!!!",F863="NEW"),"",INDEX(J$1:J862,SUMPRODUCT(MAX(ROW(E$1:E862)*(E863=E$1:E862)))))</f>
        <v/>
      </c>
      <c r="L863" s="25"/>
    </row>
    <row r="864" spans="1:12" x14ac:dyDescent="0.3">
      <c r="A864" t="s">
        <v>543</v>
      </c>
      <c r="B864" s="26" t="s">
        <v>354</v>
      </c>
      <c r="C864" s="26" t="s">
        <v>561</v>
      </c>
      <c r="D864" s="26" t="s">
        <v>332</v>
      </c>
      <c r="E864" s="20" t="str">
        <f t="shared" si="92"/>
        <v>!!!</v>
      </c>
      <c r="F864" s="21" t="str">
        <f>IF(OR(E864="",E864="!!!"),"",IF(NOT(ISNA(VLOOKUP(E864,E$1:E863,1,FALSE()))),"OLD",IF(AND(E864&lt;&gt;"",E864&lt;&gt;"!!!"),"NEW","")))</f>
        <v/>
      </c>
      <c r="G864" s="22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3" t="str">
        <f t="shared" ca="1" si="93"/>
        <v/>
      </c>
      <c r="I864" s="24" t="str">
        <f>IF(OR(E864="",E864="!!!",F864="NEW"),"",INDEX(B$2:B863,-1+SUMPRODUCT(MAX(ROW(E$2:E863)*(E864=E$2:E863)))))</f>
        <v/>
      </c>
      <c r="J864" s="24" t="str">
        <f ca="1">IF(OR(E864="",E864="!!!",F864="NEW"),"",COUNTBLANK(OFFSET(A$1,,,SUMPRODUCT(MAX(ROW(E$2:E864)*(E864=E$2:E864)))))-COUNTBLANK(OFFSET(A$1,,,SUMPRODUCT(MAX(ROW(E$1:E863)*(E2=E$1:E863))))))</f>
        <v/>
      </c>
      <c r="K864" s="24" t="str">
        <f>IF(OR(E864="",E864="!!!",F864="NEW"),"",INDEX(J$1:J863,SUMPRODUCT(MAX(ROW(E$1:E863)*(E864=E$1:E863)))))</f>
        <v/>
      </c>
      <c r="L864" s="25"/>
    </row>
    <row r="865" spans="1:12" x14ac:dyDescent="0.3">
      <c r="A865" t="s">
        <v>415</v>
      </c>
      <c r="E865" s="20" t="str">
        <f t="shared" si="92"/>
        <v/>
      </c>
      <c r="F865" s="21" t="str">
        <f>IF(OR(E865="",E865="!!!"),"",IF(NOT(ISNA(VLOOKUP(E865,E$1:E864,1,FALSE()))),"OLD",IF(AND(E865&lt;&gt;"",E865&lt;&gt;"!!!"),"NEW","")))</f>
        <v/>
      </c>
      <c r="G865" s="22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t="shared" ca="1" si="93"/>
        <v/>
      </c>
      <c r="I865" s="24" t="str">
        <f>IF(OR(E865="",E865="!!!",F865="NEW"),"",INDEX(B$2:B864,-1+SUMPRODUCT(MAX(ROW(E$2:E864)*(E865=E$2:E864)))))</f>
        <v/>
      </c>
      <c r="J865" s="24" t="str">
        <f ca="1">IF(OR(E865="",E865="!!!",F865="NEW"),"",COUNTBLANK(OFFSET(A$1,,,SUMPRODUCT(MAX(ROW(E$2:E865)*(E865=E$2:E865)))))-COUNTBLANK(OFFSET(A$1,,,SUMPRODUCT(MAX(ROW(E$1:E864)*(E2=E$1:E864))))))</f>
        <v/>
      </c>
      <c r="K865" s="24" t="str">
        <f>IF(OR(E865="",E865="!!!",F865="NEW"),"",INDEX(J$1:J864,SUMPRODUCT(MAX(ROW(E$1:E864)*(E865=E$1:E864)))))</f>
        <v/>
      </c>
      <c r="L865" s="25"/>
    </row>
    <row r="866" spans="1:12" x14ac:dyDescent="0.3">
      <c r="A866" t="s">
        <v>380</v>
      </c>
      <c r="E866" s="20" t="str">
        <f t="shared" si="92"/>
        <v/>
      </c>
      <c r="F866" s="21" t="str">
        <f>IF(OR(E866="",E866="!!!"),"",IF(NOT(ISNA(VLOOKUP(E866,E$1:E865,1,FALSE()))),"OLD",IF(AND(E866&lt;&gt;"",E866&lt;&gt;"!!!"),"NEW","")))</f>
        <v/>
      </c>
      <c r="G866" s="22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t="shared" ca="1" si="93"/>
        <v/>
      </c>
      <c r="I866" s="24" t="str">
        <f>IF(OR(E866="",E866="!!!",F866="NEW"),"",INDEX(B$2:B865,-1+SUMPRODUCT(MAX(ROW(E$2:E865)*(E866=E$2:E865)))))</f>
        <v/>
      </c>
      <c r="J866" s="24" t="str">
        <f ca="1">IF(OR(E866="",E866="!!!",F866="NEW"),"",COUNTBLANK(OFFSET(A$1,,,SUMPRODUCT(MAX(ROW(E$2:E866)*(E866=E$2:E866)))))-COUNTBLANK(OFFSET(A$1,,,SUMPRODUCT(MAX(ROW(E$1:E865)*(E2=E$1:E865))))))</f>
        <v/>
      </c>
      <c r="K866" s="24" t="str">
        <f>IF(OR(E866="",E866="!!!",F866="NEW"),"",INDEX(J$1:J865,SUMPRODUCT(MAX(ROW(E$1:E865)*(E866=E$1:E865)))))</f>
        <v/>
      </c>
      <c r="L866" s="25"/>
    </row>
    <row r="867" spans="1:12" x14ac:dyDescent="0.3">
      <c r="A867" t="s">
        <v>351</v>
      </c>
      <c r="E867" s="20" t="str">
        <f t="shared" si="92"/>
        <v/>
      </c>
      <c r="F867" s="21" t="str">
        <f>IF(OR(E867="",E867="!!!"),"",IF(NOT(ISNA(VLOOKUP(E867,E$1:E866,1,FALSE()))),"OLD",IF(AND(E867&lt;&gt;"",E867&lt;&gt;"!!!"),"NEW","")))</f>
        <v/>
      </c>
      <c r="G867" s="22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3" t="str">
        <f t="shared" ca="1" si="93"/>
        <v/>
      </c>
      <c r="I867" s="24" t="str">
        <f>IF(OR(E867="",E867="!!!",F867="NEW"),"",INDEX(B$2:B866,-1+SUMPRODUCT(MAX(ROW(E$2:E866)*(E867=E$2:E866)))))</f>
        <v/>
      </c>
      <c r="J867" s="24" t="str">
        <f ca="1">IF(OR(E867="",E867="!!!",F867="NEW"),"",COUNTBLANK(OFFSET(A$1,,,SUMPRODUCT(MAX(ROW(E$2:E867)*(E867=E$2:E867)))))-COUNTBLANK(OFFSET(A$1,,,SUMPRODUCT(MAX(ROW(E$1:E866)*(E2=E$1:E866))))))</f>
        <v/>
      </c>
      <c r="K867" s="24" t="str">
        <f>IF(OR(E867="",E867="!!!",F867="NEW"),"",INDEX(J$1:J866,SUMPRODUCT(MAX(ROW(E$1:E866)*(E867=E$1:E866)))))</f>
        <v/>
      </c>
      <c r="L867" s="25"/>
    </row>
    <row r="868" spans="1:12" x14ac:dyDescent="0.3">
      <c r="A868" t="s">
        <v>383</v>
      </c>
      <c r="E868" s="20" t="str">
        <f t="shared" si="92"/>
        <v/>
      </c>
      <c r="F868" s="21" t="str">
        <f>IF(OR(E868="",E868="!!!"),"",IF(NOT(ISNA(VLOOKUP(E868,E$1:E867,1,FALSE()))),"OLD",IF(AND(E868&lt;&gt;"",E868&lt;&gt;"!!!"),"NEW","")))</f>
        <v/>
      </c>
      <c r="G868" s="22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3" t="str">
        <f t="shared" ca="1" si="93"/>
        <v/>
      </c>
      <c r="I868" s="24" t="str">
        <f>IF(OR(E868="",E868="!!!",F868="NEW"),"",INDEX(B$2:B867,-1+SUMPRODUCT(MAX(ROW(E$2:E867)*(E868=E$2:E867)))))</f>
        <v/>
      </c>
      <c r="J868" s="24" t="str">
        <f ca="1">IF(OR(E868="",E868="!!!",F868="NEW"),"",COUNTBLANK(OFFSET(A$1,,,SUMPRODUCT(MAX(ROW(E$2:E868)*(E868=E$2:E868)))))-COUNTBLANK(OFFSET(A$1,,,SUMPRODUCT(MAX(ROW(E$1:E867)*(E2=E$1:E867))))))</f>
        <v/>
      </c>
      <c r="K868" s="24" t="str">
        <f>IF(OR(E868="",E868="!!!",F868="NEW"),"",INDEX(J$1:J867,SUMPRODUCT(MAX(ROW(E$1:E867)*(E868=E$1:E867)))))</f>
        <v/>
      </c>
      <c r="L868" s="25"/>
    </row>
    <row r="869" spans="1:12" x14ac:dyDescent="0.3">
      <c r="A869" t="s">
        <v>473</v>
      </c>
      <c r="B869" s="26" t="s">
        <v>431</v>
      </c>
      <c r="C869" s="26" t="s">
        <v>438</v>
      </c>
      <c r="D869" s="26" t="s">
        <v>332</v>
      </c>
      <c r="E869" s="20" t="str">
        <f t="shared" si="92"/>
        <v>!!!</v>
      </c>
      <c r="F869" s="21" t="str">
        <f>IF(OR(E869="",E869="!!!"),"",IF(NOT(ISNA(VLOOKUP(E869,E$1:E868,1,FALSE()))),"OLD",IF(AND(E869&lt;&gt;"",E869&lt;&gt;"!!!"),"NEW","")))</f>
        <v/>
      </c>
      <c r="G869" s="22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3" t="str">
        <f t="shared" ca="1" si="93"/>
        <v/>
      </c>
      <c r="I869" s="24" t="str">
        <f>IF(OR(E869="",E869="!!!",F869="NEW"),"",INDEX(B$2:B868,-1+SUMPRODUCT(MAX(ROW(E$2:E868)*(E869=E$2:E868)))))</f>
        <v/>
      </c>
      <c r="J869" s="24" t="str">
        <f ca="1">IF(OR(E869="",E869="!!!",F869="NEW"),"",COUNTBLANK(OFFSET(A$1,,,SUMPRODUCT(MAX(ROW(E$2:E869)*(E869=E$2:E869)))))-COUNTBLANK(OFFSET(A$1,,,SUMPRODUCT(MAX(ROW(E$1:E868)*(E2=E$1:E868))))))</f>
        <v/>
      </c>
      <c r="K869" s="24" t="str">
        <f>IF(OR(E869="",E869="!!!",F869="NEW"),"",INDEX(J$1:J868,SUMPRODUCT(MAX(ROW(E$1:E868)*(E869=E$1:E868)))))</f>
        <v/>
      </c>
      <c r="L869" s="25"/>
    </row>
    <row r="870" spans="1:12" x14ac:dyDescent="0.3">
      <c r="A870" t="s">
        <v>371</v>
      </c>
      <c r="B870" s="26" t="s">
        <v>431</v>
      </c>
      <c r="C870" s="26" t="s">
        <v>341</v>
      </c>
      <c r="D870" s="26" t="s">
        <v>332</v>
      </c>
      <c r="E870" s="20" t="str">
        <f t="shared" si="92"/>
        <v>!!!</v>
      </c>
      <c r="F870" s="21" t="str">
        <f>IF(OR(E870="",E870="!!!"),"",IF(NOT(ISNA(VLOOKUP(E870,E$1:E869,1,FALSE()))),"OLD",IF(AND(E870&lt;&gt;"",E870&lt;&gt;"!!!"),"NEW","")))</f>
        <v/>
      </c>
      <c r="G870" s="22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t="shared" ca="1" si="93"/>
        <v/>
      </c>
      <c r="I870" s="24" t="str">
        <f>IF(OR(E870="",E870="!!!",F870="NEW"),"",INDEX(B$2:B869,-1+SUMPRODUCT(MAX(ROW(E$2:E869)*(E870=E$2:E869)))))</f>
        <v/>
      </c>
      <c r="J870" s="24" t="str">
        <f ca="1">IF(OR(E870="",E870="!!!",F870="NEW"),"",COUNTBLANK(OFFSET(A$1,,,SUMPRODUCT(MAX(ROW(E$2:E870)*(E870=E$2:E870)))))-COUNTBLANK(OFFSET(A$1,,,SUMPRODUCT(MAX(ROW(E$1:E869)*(E2=E$1:E869))))))</f>
        <v/>
      </c>
      <c r="K870" s="24" t="str">
        <f>IF(OR(E870="",E870="!!!",F870="NEW"),"",INDEX(J$1:J869,SUMPRODUCT(MAX(ROW(E$1:E869)*(E870=E$1:E869)))))</f>
        <v/>
      </c>
      <c r="L870" s="25"/>
    </row>
    <row r="871" spans="1:12" x14ac:dyDescent="0.3">
      <c r="A871" t="s">
        <v>769</v>
      </c>
      <c r="B871" s="26" t="s">
        <v>357</v>
      </c>
      <c r="C871" s="26" t="s">
        <v>331</v>
      </c>
      <c r="D871" s="26" t="s">
        <v>332</v>
      </c>
      <c r="E871" s="20" t="str">
        <f t="shared" si="92"/>
        <v>!!!</v>
      </c>
      <c r="F871" s="21" t="str">
        <f>IF(OR(E871="",E871="!!!"),"",IF(NOT(ISNA(VLOOKUP(E871,E$1:E870,1,FALSE()))),"OLD",IF(AND(E871&lt;&gt;"",E871&lt;&gt;"!!!"),"NEW","")))</f>
        <v/>
      </c>
      <c r="G871" s="22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t="shared" ca="1" si="93"/>
        <v/>
      </c>
      <c r="I871" s="24" t="str">
        <f>IF(OR(E871="",E871="!!!",F871="NEW"),"",INDEX(B$2:B870,-1+SUMPRODUCT(MAX(ROW(E$2:E870)*(E871=E$2:E870)))))</f>
        <v/>
      </c>
      <c r="J871" s="24" t="str">
        <f ca="1">IF(OR(E871="",E871="!!!",F871="NEW"),"",COUNTBLANK(OFFSET(A$1,,,SUMPRODUCT(MAX(ROW(E$2:E871)*(E871=E$2:E871)))))-COUNTBLANK(OFFSET(A$1,,,SUMPRODUCT(MAX(ROW(E$1:E870)*(E2=E$1:E870))))))</f>
        <v/>
      </c>
      <c r="K871" s="24" t="str">
        <f>IF(OR(E871="",E871="!!!",F871="NEW"),"",INDEX(J$1:J870,SUMPRODUCT(MAX(ROW(E$1:E870)*(E871=E$1:E870)))))</f>
        <v/>
      </c>
      <c r="L871" s="25"/>
    </row>
    <row r="872" spans="1:12" x14ac:dyDescent="0.3">
      <c r="A872" t="s">
        <v>351</v>
      </c>
      <c r="E872" s="20" t="str">
        <f t="shared" si="92"/>
        <v/>
      </c>
      <c r="F872" s="21" t="str">
        <f>IF(OR(E872="",E872="!!!"),"",IF(NOT(ISNA(VLOOKUP(E872,E$1:E871,1,FALSE()))),"OLD",IF(AND(E872&lt;&gt;"",E872&lt;&gt;"!!!"),"NEW","")))</f>
        <v/>
      </c>
      <c r="G872" s="22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3" t="str">
        <f t="shared" ca="1" si="93"/>
        <v/>
      </c>
      <c r="I872" s="24" t="str">
        <f>IF(OR(E872="",E872="!!!",F872="NEW"),"",INDEX(B$2:B871,-1+SUMPRODUCT(MAX(ROW(E$2:E871)*(E872=E$2:E871)))))</f>
        <v/>
      </c>
      <c r="J872" s="24" t="str">
        <f ca="1">IF(OR(E872="",E872="!!!",F872="NEW"),"",COUNTBLANK(OFFSET(A$1,,,SUMPRODUCT(MAX(ROW(E$2:E872)*(E872=E$2:E872)))))-COUNTBLANK(OFFSET(A$1,,,SUMPRODUCT(MAX(ROW(E$1:E871)*(E2=E$1:E871))))))</f>
        <v/>
      </c>
      <c r="K872" s="24" t="str">
        <f>IF(OR(E872="",E872="!!!",F872="NEW"),"",INDEX(J$1:J871,SUMPRODUCT(MAX(ROW(E$1:E871)*(E872=E$1:E871)))))</f>
        <v/>
      </c>
      <c r="L872" s="25"/>
    </row>
    <row r="873" spans="1:12" x14ac:dyDescent="0.3">
      <c r="A873" t="s">
        <v>575</v>
      </c>
      <c r="E873" s="20" t="str">
        <f t="shared" si="92"/>
        <v/>
      </c>
      <c r="F873" s="21" t="str">
        <f>IF(OR(E873="",E873="!!!"),"",IF(NOT(ISNA(VLOOKUP(E873,E$1:E872,1,FALSE()))),"OLD",IF(AND(E873&lt;&gt;"",E873&lt;&gt;"!!!"),"NEW","")))</f>
        <v/>
      </c>
      <c r="G873" s="22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t="shared" ca="1" si="93"/>
        <v/>
      </c>
      <c r="I873" s="24" t="str">
        <f>IF(OR(E873="",E873="!!!",F873="NEW"),"",INDEX(B$2:B872,-1+SUMPRODUCT(MAX(ROW(E$2:E872)*(E873=E$2:E872)))))</f>
        <v/>
      </c>
      <c r="J873" s="24" t="str">
        <f ca="1">IF(OR(E873="",E873="!!!",F873="NEW"),"",COUNTBLANK(OFFSET(A$1,,,SUMPRODUCT(MAX(ROW(E$2:E873)*(E873=E$2:E873)))))-COUNTBLANK(OFFSET(A$1,,,SUMPRODUCT(MAX(ROW(E$1:E872)*(E2=E$1:E872))))))</f>
        <v/>
      </c>
      <c r="K873" s="24" t="str">
        <f>IF(OR(E873="",E873="!!!",F873="NEW"),"",INDEX(J$1:J872,SUMPRODUCT(MAX(ROW(E$1:E872)*(E873=E$1:E872)))))</f>
        <v/>
      </c>
      <c r="L873" s="25"/>
    </row>
    <row r="874" spans="1:12" x14ac:dyDescent="0.3">
      <c r="A874" t="s">
        <v>770</v>
      </c>
      <c r="E874" s="20" t="str">
        <f t="shared" si="92"/>
        <v/>
      </c>
      <c r="F874" s="21" t="str">
        <f>IF(OR(E874="",E874="!!!"),"",IF(NOT(ISNA(VLOOKUP(E874,E$1:E873,1,FALSE()))),"OLD",IF(AND(E874&lt;&gt;"",E874&lt;&gt;"!!!"),"NEW","")))</f>
        <v/>
      </c>
      <c r="G874" s="22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t="shared" ca="1" si="93"/>
        <v/>
      </c>
      <c r="I874" s="24" t="str">
        <f>IF(OR(E874="",E874="!!!",F874="NEW"),"",INDEX(B$2:B873,-1+SUMPRODUCT(MAX(ROW(E$2:E873)*(E874=E$2:E873)))))</f>
        <v/>
      </c>
      <c r="J874" s="24" t="str">
        <f ca="1">IF(OR(E874="",E874="!!!",F874="NEW"),"",COUNTBLANK(OFFSET(A$1,,,SUMPRODUCT(MAX(ROW(E$2:E874)*(E874=E$2:E874)))))-COUNTBLANK(OFFSET(A$1,,,SUMPRODUCT(MAX(ROW(E$1:E873)*(E2=E$1:E873))))))</f>
        <v/>
      </c>
      <c r="K874" s="24" t="str">
        <f>IF(OR(E874="",E874="!!!",F874="NEW"),"",INDEX(J$1:J873,SUMPRODUCT(MAX(ROW(E$1:E873)*(E874=E$1:E873)))))</f>
        <v/>
      </c>
      <c r="L874" s="25"/>
    </row>
    <row r="875" spans="1:12" x14ac:dyDescent="0.3">
      <c r="A875" t="s">
        <v>771</v>
      </c>
      <c r="E875" s="20" t="str">
        <f t="shared" si="92"/>
        <v/>
      </c>
      <c r="F875" s="21" t="str">
        <f>IF(OR(E875="",E875="!!!"),"",IF(NOT(ISNA(VLOOKUP(E875,E$1:E874,1,FALSE()))),"OLD",IF(AND(E875&lt;&gt;"",E875&lt;&gt;"!!!"),"NEW","")))</f>
        <v/>
      </c>
      <c r="G875" s="22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t="shared" ca="1" si="93"/>
        <v/>
      </c>
      <c r="I875" s="24" t="str">
        <f>IF(OR(E875="",E875="!!!",F875="NEW"),"",INDEX(B$2:B874,-1+SUMPRODUCT(MAX(ROW(E$2:E874)*(E875=E$2:E874)))))</f>
        <v/>
      </c>
      <c r="J875" s="24" t="str">
        <f ca="1">IF(OR(E875="",E875="!!!",F875="NEW"),"",COUNTBLANK(OFFSET(A$1,,,SUMPRODUCT(MAX(ROW(E$2:E875)*(E875=E$2:E875)))))-COUNTBLANK(OFFSET(A$1,,,SUMPRODUCT(MAX(ROW(E$1:E874)*(E2=E$1:E874))))))</f>
        <v/>
      </c>
      <c r="K875" s="24" t="str">
        <f>IF(OR(E875="",E875="!!!",F875="NEW"),"",INDEX(J$1:J874,SUMPRODUCT(MAX(ROW(E$1:E874)*(E875=E$1:E874)))))</f>
        <v/>
      </c>
      <c r="L875" s="25"/>
    </row>
    <row r="876" spans="1:12" x14ac:dyDescent="0.3">
      <c r="A876" t="s">
        <v>329</v>
      </c>
      <c r="B876" s="26" t="s">
        <v>450</v>
      </c>
      <c r="C876" s="26" t="s">
        <v>496</v>
      </c>
      <c r="D876" s="26" t="s">
        <v>332</v>
      </c>
      <c r="E876" s="20" t="str">
        <f t="shared" ref="E876:E896" si="94">IF(D876="?OLD","!!!","")</f>
        <v>!!!</v>
      </c>
      <c r="F876" s="21" t="str">
        <f>IF(OR(E876="",E876="!!!"),"",IF(NOT(ISNA(VLOOKUP(E876,E$1:E875,1,FALSE()))),"OLD",IF(AND(E876&lt;&gt;"",E876&lt;&gt;"!!!"),"NEW","")))</f>
        <v/>
      </c>
      <c r="G876" s="22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3" t="str">
        <f t="shared" ref="H876:H896" ca="1" si="95">IF(J876&lt;&gt;1,"",IF(I876="SBJ","CB","?"))</f>
        <v/>
      </c>
      <c r="I876" s="24" t="str">
        <f>IF(OR(E876="",E876="!!!",F876="NEW"),"",INDEX(B$2:B875,-1+SUMPRODUCT(MAX(ROW(E$2:E875)*(E876=E$2:E875)))))</f>
        <v/>
      </c>
      <c r="J876" s="24" t="str">
        <f ca="1">IF(OR(E876="",E876="!!!",F876="NEW"),"",COUNTBLANK(OFFSET(A$1,,,SUMPRODUCT(MAX(ROW(E$2:E876)*(E876=E$2:E876)))))-COUNTBLANK(OFFSET(A$1,,,SUMPRODUCT(MAX(ROW(E$1:E875)*(E2=E$1:E875))))))</f>
        <v/>
      </c>
      <c r="K876" s="24" t="str">
        <f>IF(OR(E876="",E876="!!!",F876="NEW"),"",INDEX(J$1:J875,SUMPRODUCT(MAX(ROW(E$1:E875)*(E876=E$1:E875)))))</f>
        <v/>
      </c>
      <c r="L876" s="25"/>
    </row>
    <row r="877" spans="1:12" x14ac:dyDescent="0.3">
      <c r="A877" t="s">
        <v>575</v>
      </c>
      <c r="E877" s="20" t="str">
        <f t="shared" si="94"/>
        <v/>
      </c>
      <c r="F877" s="21" t="str">
        <f>IF(OR(E877="",E877="!!!"),"",IF(NOT(ISNA(VLOOKUP(E877,E$1:E876,1,FALSE()))),"OLD",IF(AND(E877&lt;&gt;"",E877&lt;&gt;"!!!"),"NEW","")))</f>
        <v/>
      </c>
      <c r="G877" s="22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t="shared" ca="1" si="95"/>
        <v/>
      </c>
      <c r="I877" s="24" t="str">
        <f>IF(OR(E877="",E877="!!!",F877="NEW"),"",INDEX(B$2:B876,-1+SUMPRODUCT(MAX(ROW(E$2:E876)*(E877=E$2:E876)))))</f>
        <v/>
      </c>
      <c r="J877" s="24" t="str">
        <f ca="1">IF(OR(E877="",E877="!!!",F877="NEW"),"",COUNTBLANK(OFFSET(A$1,,,SUMPRODUCT(MAX(ROW(E$2:E877)*(E877=E$2:E877)))))-COUNTBLANK(OFFSET(A$1,,,SUMPRODUCT(MAX(ROW(E$1:E876)*(E2=E$1:E876))))))</f>
        <v/>
      </c>
      <c r="K877" s="24" t="str">
        <f>IF(OR(E877="",E877="!!!",F877="NEW"),"",INDEX(J$1:J876,SUMPRODUCT(MAX(ROW(E$1:E876)*(E877=E$1:E876)))))</f>
        <v/>
      </c>
      <c r="L877" s="25"/>
    </row>
    <row r="878" spans="1:12" x14ac:dyDescent="0.3">
      <c r="A878" t="s">
        <v>334</v>
      </c>
      <c r="E878" s="20" t="str">
        <f t="shared" si="94"/>
        <v/>
      </c>
      <c r="F878" s="21" t="str">
        <f>IF(OR(E878="",E878="!!!"),"",IF(NOT(ISNA(VLOOKUP(E878,E$1:E877,1,FALSE()))),"OLD",IF(AND(E878&lt;&gt;"",E878&lt;&gt;"!!!"),"NEW","")))</f>
        <v/>
      </c>
      <c r="G878" s="22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t="shared" ca="1" si="95"/>
        <v/>
      </c>
      <c r="I878" s="24" t="str">
        <f>IF(OR(E878="",E878="!!!",F878="NEW"),"",INDEX(B$2:B877,-1+SUMPRODUCT(MAX(ROW(E$2:E877)*(E878=E$2:E877)))))</f>
        <v/>
      </c>
      <c r="J878" s="24" t="str">
        <f ca="1">IF(OR(E878="",E878="!!!",F878="NEW"),"",COUNTBLANK(OFFSET(A$1,,,SUMPRODUCT(MAX(ROW(E$2:E878)*(E878=E$2:E878)))))-COUNTBLANK(OFFSET(A$1,,,SUMPRODUCT(MAX(ROW(E$1:E877)*(E2=E$1:E877))))))</f>
        <v/>
      </c>
      <c r="K878" s="24" t="str">
        <f>IF(OR(E878="",E878="!!!",F878="NEW"),"",INDEX(J$1:J877,SUMPRODUCT(MAX(ROW(E$1:E877)*(E878=E$1:E877)))))</f>
        <v/>
      </c>
      <c r="L878" s="25"/>
    </row>
    <row r="879" spans="1:12" x14ac:dyDescent="0.3">
      <c r="A879" t="s">
        <v>335</v>
      </c>
      <c r="E879" s="20" t="str">
        <f t="shared" si="94"/>
        <v/>
      </c>
      <c r="F879" s="21" t="str">
        <f>IF(OR(E879="",E879="!!!"),"",IF(NOT(ISNA(VLOOKUP(E879,E$1:E878,1,FALSE()))),"OLD",IF(AND(E879&lt;&gt;"",E879&lt;&gt;"!!!"),"NEW","")))</f>
        <v/>
      </c>
      <c r="G879" s="22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t="shared" ca="1" si="95"/>
        <v/>
      </c>
      <c r="I879" s="24" t="str">
        <f>IF(OR(E879="",E879="!!!",F879="NEW"),"",INDEX(B$2:B878,-1+SUMPRODUCT(MAX(ROW(E$2:E878)*(E879=E$2:E878)))))</f>
        <v/>
      </c>
      <c r="J879" s="24" t="str">
        <f ca="1">IF(OR(E879="",E879="!!!",F879="NEW"),"",COUNTBLANK(OFFSET(A$1,,,SUMPRODUCT(MAX(ROW(E$2:E879)*(E879=E$2:E879)))))-COUNTBLANK(OFFSET(A$1,,,SUMPRODUCT(MAX(ROW(E$1:E878)*(E2=E$1:E878))))))</f>
        <v/>
      </c>
      <c r="K879" s="24" t="str">
        <f>IF(OR(E879="",E879="!!!",F879="NEW"),"",INDEX(J$1:J878,SUMPRODUCT(MAX(ROW(E$1:E878)*(E879=E$1:E878)))))</f>
        <v/>
      </c>
      <c r="L879" s="25"/>
    </row>
    <row r="880" spans="1:12" x14ac:dyDescent="0.3">
      <c r="A880" t="s">
        <v>772</v>
      </c>
      <c r="B880" s="26" t="s">
        <v>515</v>
      </c>
      <c r="C880" s="26" t="s">
        <v>331</v>
      </c>
      <c r="D880" s="26" t="s">
        <v>332</v>
      </c>
      <c r="E880" s="20" t="str">
        <f t="shared" si="94"/>
        <v>!!!</v>
      </c>
      <c r="F880" s="21" t="str">
        <f>IF(OR(E880="",E880="!!!"),"",IF(NOT(ISNA(VLOOKUP(E880,E$1:E879,1,FALSE()))),"OLD",IF(AND(E880&lt;&gt;"",E880&lt;&gt;"!!!"),"NEW","")))</f>
        <v/>
      </c>
      <c r="G880" s="22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t="shared" ca="1" si="95"/>
        <v/>
      </c>
      <c r="I880" s="24" t="str">
        <f>IF(OR(E880="",E880="!!!",F880="NEW"),"",INDEX(B$2:B879,-1+SUMPRODUCT(MAX(ROW(E$2:E879)*(E880=E$2:E879)))))</f>
        <v/>
      </c>
      <c r="J880" s="24" t="str">
        <f ca="1">IF(OR(E880="",E880="!!!",F880="NEW"),"",COUNTBLANK(OFFSET(A$1,,,SUMPRODUCT(MAX(ROW(E$2:E880)*(E880=E$2:E880)))))-COUNTBLANK(OFFSET(A$1,,,SUMPRODUCT(MAX(ROW(E$1:E879)*(E2=E$1:E879))))))</f>
        <v/>
      </c>
      <c r="K880" s="24" t="str">
        <f>IF(OR(E880="",E880="!!!",F880="NEW"),"",INDEX(J$1:J879,SUMPRODUCT(MAX(ROW(E$1:E879)*(E880=E$1:E879)))))</f>
        <v/>
      </c>
      <c r="L880" s="25"/>
    </row>
    <row r="881" spans="1:12" x14ac:dyDescent="0.3">
      <c r="A881" t="s">
        <v>410</v>
      </c>
      <c r="E881" s="20" t="str">
        <f t="shared" si="94"/>
        <v/>
      </c>
      <c r="F881" s="21" t="str">
        <f>IF(OR(E881="",E881="!!!"),"",IF(NOT(ISNA(VLOOKUP(E881,E$1:E880,1,FALSE()))),"OLD",IF(AND(E881&lt;&gt;"",E881&lt;&gt;"!!!"),"NEW","")))</f>
        <v/>
      </c>
      <c r="G881" s="22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3" t="str">
        <f t="shared" ca="1" si="95"/>
        <v/>
      </c>
      <c r="I881" s="24" t="str">
        <f>IF(OR(E881="",E881="!!!",F881="NEW"),"",INDEX(B$2:B880,-1+SUMPRODUCT(MAX(ROW(E$2:E880)*(E881=E$2:E880)))))</f>
        <v/>
      </c>
      <c r="J881" s="24" t="str">
        <f ca="1">IF(OR(E881="",E881="!!!",F881="NEW"),"",COUNTBLANK(OFFSET(A$1,,,SUMPRODUCT(MAX(ROW(E$2:E881)*(E881=E$2:E881)))))-COUNTBLANK(OFFSET(A$1,,,SUMPRODUCT(MAX(ROW(E$1:E880)*(E2=E$1:E880))))))</f>
        <v/>
      </c>
      <c r="K881" s="24" t="str">
        <f>IF(OR(E881="",E881="!!!",F881="NEW"),"",INDEX(J$1:J880,SUMPRODUCT(MAX(ROW(E$1:E880)*(E881=E$1:E880)))))</f>
        <v/>
      </c>
      <c r="L881" s="25"/>
    </row>
    <row r="882" spans="1:12" x14ac:dyDescent="0.3">
      <c r="A882" t="s">
        <v>773</v>
      </c>
      <c r="E882" s="20" t="str">
        <f t="shared" si="94"/>
        <v/>
      </c>
      <c r="F882" s="21" t="str">
        <f>IF(OR(E882="",E882="!!!"),"",IF(NOT(ISNA(VLOOKUP(E882,E$1:E881,1,FALSE()))),"OLD",IF(AND(E882&lt;&gt;"",E882&lt;&gt;"!!!"),"NEW","")))</f>
        <v/>
      </c>
      <c r="G882" s="22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3" t="str">
        <f t="shared" ca="1" si="95"/>
        <v/>
      </c>
      <c r="I882" s="24" t="str">
        <f>IF(OR(E882="",E882="!!!",F882="NEW"),"",INDEX(B$2:B881,-1+SUMPRODUCT(MAX(ROW(E$2:E881)*(E882=E$2:E881)))))</f>
        <v/>
      </c>
      <c r="J882" s="24" t="str">
        <f ca="1">IF(OR(E882="",E882="!!!",F882="NEW"),"",COUNTBLANK(OFFSET(A$1,,,SUMPRODUCT(MAX(ROW(E$2:E882)*(E882=E$2:E882)))))-COUNTBLANK(OFFSET(A$1,,,SUMPRODUCT(MAX(ROW(E$1:E881)*(E2=E$1:E881))))))</f>
        <v/>
      </c>
      <c r="K882" s="24" t="str">
        <f>IF(OR(E882="",E882="!!!",F882="NEW"),"",INDEX(J$1:J881,SUMPRODUCT(MAX(ROW(E$1:E881)*(E882=E$1:E881)))))</f>
        <v/>
      </c>
      <c r="L882" s="25"/>
    </row>
    <row r="883" spans="1:12" x14ac:dyDescent="0.3">
      <c r="A883" t="s">
        <v>455</v>
      </c>
      <c r="B883" s="26" t="s">
        <v>460</v>
      </c>
      <c r="C883" s="26" t="s">
        <v>366</v>
      </c>
      <c r="E883" s="20" t="str">
        <f t="shared" si="94"/>
        <v/>
      </c>
      <c r="F883" s="21" t="str">
        <f>IF(OR(E883="",E883="!!!"),"",IF(NOT(ISNA(VLOOKUP(E883,E$1:E882,1,FALSE()))),"OLD",IF(AND(E883&lt;&gt;"",E883&lt;&gt;"!!!"),"NEW","")))</f>
        <v/>
      </c>
      <c r="G883" s="22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t="shared" ca="1" si="95"/>
        <v/>
      </c>
      <c r="I883" s="24" t="str">
        <f>IF(OR(E883="",E883="!!!",F883="NEW"),"",INDEX(B$2:B882,-1+SUMPRODUCT(MAX(ROW(E$2:E882)*(E883=E$2:E882)))))</f>
        <v/>
      </c>
      <c r="J883" s="24" t="str">
        <f ca="1">IF(OR(E883="",E883="!!!",F883="NEW"),"",COUNTBLANK(OFFSET(A$1,,,SUMPRODUCT(MAX(ROW(E$2:E883)*(E883=E$2:E883)))))-COUNTBLANK(OFFSET(A$1,,,SUMPRODUCT(MAX(ROW(E$1:E882)*(E2=E$1:E882))))))</f>
        <v/>
      </c>
      <c r="K883" s="24" t="str">
        <f>IF(OR(E883="",E883="!!!",F883="NEW"),"",INDEX(J$1:J882,SUMPRODUCT(MAX(ROW(E$1:E882)*(E883=E$1:E882)))))</f>
        <v/>
      </c>
      <c r="L883" s="25"/>
    </row>
    <row r="884" spans="1:12" x14ac:dyDescent="0.3">
      <c r="A884" t="s">
        <v>457</v>
      </c>
      <c r="B884" s="26" t="s">
        <v>450</v>
      </c>
      <c r="C884" s="26" t="s">
        <v>355</v>
      </c>
      <c r="E884" s="20" t="str">
        <f t="shared" si="94"/>
        <v/>
      </c>
      <c r="F884" s="21" t="str">
        <f>IF(OR(E884="",E884="!!!"),"",IF(NOT(ISNA(VLOOKUP(E884,E$1:E883,1,FALSE()))),"OLD",IF(AND(E884&lt;&gt;"",E884&lt;&gt;"!!!"),"NEW","")))</f>
        <v/>
      </c>
      <c r="G884" s="22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3" t="str">
        <f t="shared" ca="1" si="95"/>
        <v/>
      </c>
      <c r="I884" s="24" t="str">
        <f>IF(OR(E884="",E884="!!!",F884="NEW"),"",INDEX(B$2:B883,-1+SUMPRODUCT(MAX(ROW(E$2:E883)*(E884=E$2:E883)))))</f>
        <v/>
      </c>
      <c r="J884" s="24" t="str">
        <f ca="1">IF(OR(E884="",E884="!!!",F884="NEW"),"",COUNTBLANK(OFFSET(A$1,,,SUMPRODUCT(MAX(ROW(E$2:E884)*(E884=E$2:E884)))))-COUNTBLANK(OFFSET(A$1,,,SUMPRODUCT(MAX(ROW(E$1:E883)*(E2=E$1:E883))))))</f>
        <v/>
      </c>
      <c r="K884" s="24" t="str">
        <f>IF(OR(E884="",E884="!!!",F884="NEW"),"",INDEX(J$1:J883,SUMPRODUCT(MAX(ROW(E$1:E883)*(E884=E$1:E883)))))</f>
        <v/>
      </c>
      <c r="L884" s="25"/>
    </row>
    <row r="885" spans="1:12" x14ac:dyDescent="0.3">
      <c r="A885" t="s">
        <v>774</v>
      </c>
      <c r="E885" s="20" t="str">
        <f t="shared" si="94"/>
        <v/>
      </c>
      <c r="F885" s="21" t="str">
        <f>IF(OR(E885="",E885="!!!"),"",IF(NOT(ISNA(VLOOKUP(E885,E$1:E884,1,FALSE()))),"OLD",IF(AND(E885&lt;&gt;"",E885&lt;&gt;"!!!"),"NEW","")))</f>
        <v/>
      </c>
      <c r="G885" s="22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t="shared" ca="1" si="95"/>
        <v/>
      </c>
      <c r="I885" s="24" t="str">
        <f>IF(OR(E885="",E885="!!!",F885="NEW"),"",INDEX(B$2:B884,-1+SUMPRODUCT(MAX(ROW(E$2:E884)*(E885=E$2:E884)))))</f>
        <v/>
      </c>
      <c r="J885" s="24" t="str">
        <f ca="1">IF(OR(E885="",E885="!!!",F885="NEW"),"",COUNTBLANK(OFFSET(A$1,,,SUMPRODUCT(MAX(ROW(E$2:E885)*(E885=E$2:E885)))))-COUNTBLANK(OFFSET(A$1,,,SUMPRODUCT(MAX(ROW(E$1:E884)*(E2=E$1:E884))))))</f>
        <v/>
      </c>
      <c r="K885" s="24" t="str">
        <f>IF(OR(E885="",E885="!!!",F885="NEW"),"",INDEX(J$1:J884,SUMPRODUCT(MAX(ROW(E$1:E884)*(E885=E$1:E884)))))</f>
        <v/>
      </c>
      <c r="L885" s="25"/>
    </row>
    <row r="886" spans="1:12" x14ac:dyDescent="0.3">
      <c r="A886" t="s">
        <v>359</v>
      </c>
      <c r="E886" s="20" t="str">
        <f t="shared" si="94"/>
        <v/>
      </c>
      <c r="F886" s="21" t="str">
        <f>IF(OR(E886="",E886="!!!"),"",IF(NOT(ISNA(VLOOKUP(E886,E$1:E885,1,FALSE()))),"OLD",IF(AND(E886&lt;&gt;"",E886&lt;&gt;"!!!"),"NEW","")))</f>
        <v/>
      </c>
      <c r="G886" s="22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3" t="str">
        <f t="shared" ca="1" si="95"/>
        <v/>
      </c>
      <c r="I886" s="24" t="str">
        <f>IF(OR(E886="",E886="!!!",F886="NEW"),"",INDEX(B$2:B885,-1+SUMPRODUCT(MAX(ROW(E$2:E885)*(E886=E$2:E885)))))</f>
        <v/>
      </c>
      <c r="J886" s="24" t="str">
        <f ca="1">IF(OR(E886="",E886="!!!",F886="NEW"),"",COUNTBLANK(OFFSET(A$1,,,SUMPRODUCT(MAX(ROW(E$2:E886)*(E886=E$2:E886)))))-COUNTBLANK(OFFSET(A$1,,,SUMPRODUCT(MAX(ROW(E$1:E885)*(E2=E$1:E885))))))</f>
        <v/>
      </c>
      <c r="K886" s="24" t="str">
        <f>IF(OR(E886="",E886="!!!",F886="NEW"),"",INDEX(J$1:J885,SUMPRODUCT(MAX(ROW(E$1:E885)*(E886=E$1:E885)))))</f>
        <v/>
      </c>
      <c r="L886" s="25"/>
    </row>
    <row r="887" spans="1:12" x14ac:dyDescent="0.3">
      <c r="A887" t="s">
        <v>775</v>
      </c>
      <c r="B887" s="26" t="s">
        <v>460</v>
      </c>
      <c r="C887" s="26" t="s">
        <v>331</v>
      </c>
      <c r="D887" s="26" t="s">
        <v>332</v>
      </c>
      <c r="E887" s="20" t="str">
        <f t="shared" si="94"/>
        <v>!!!</v>
      </c>
      <c r="F887" s="21" t="str">
        <f>IF(OR(E887="",E887="!!!"),"",IF(NOT(ISNA(VLOOKUP(E887,E$1:E886,1,FALSE()))),"OLD",IF(AND(E887&lt;&gt;"",E887&lt;&gt;"!!!"),"NEW","")))</f>
        <v/>
      </c>
      <c r="G887" s="22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3" t="str">
        <f t="shared" ca="1" si="95"/>
        <v/>
      </c>
      <c r="I887" s="24" t="str">
        <f>IF(OR(E887="",E887="!!!",F887="NEW"),"",INDEX(B$2:B886,-1+SUMPRODUCT(MAX(ROW(E$2:E886)*(E887=E$2:E886)))))</f>
        <v/>
      </c>
      <c r="J887" s="24" t="str">
        <f ca="1">IF(OR(E887="",E887="!!!",F887="NEW"),"",COUNTBLANK(OFFSET(A$1,,,SUMPRODUCT(MAX(ROW(E$2:E887)*(E887=E$2:E887)))))-COUNTBLANK(OFFSET(A$1,,,SUMPRODUCT(MAX(ROW(E$1:E886)*(E2=E$1:E886))))))</f>
        <v/>
      </c>
      <c r="K887" s="24" t="str">
        <f>IF(OR(E887="",E887="!!!",F887="NEW"),"",INDEX(J$1:J886,SUMPRODUCT(MAX(ROW(E$1:E886)*(E887=E$1:E886)))))</f>
        <v/>
      </c>
      <c r="L887" s="25"/>
    </row>
    <row r="888" spans="1:12" x14ac:dyDescent="0.3">
      <c r="A888" t="s">
        <v>351</v>
      </c>
      <c r="E888" s="20" t="str">
        <f t="shared" si="94"/>
        <v/>
      </c>
      <c r="F888" s="21" t="str">
        <f>IF(OR(E888="",E888="!!!"),"",IF(NOT(ISNA(VLOOKUP(E888,E$1:E887,1,FALSE()))),"OLD",IF(AND(E888&lt;&gt;"",E888&lt;&gt;"!!!"),"NEW","")))</f>
        <v/>
      </c>
      <c r="G888" s="22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t="shared" ca="1" si="95"/>
        <v/>
      </c>
      <c r="I888" s="24" t="str">
        <f>IF(OR(E888="",E888="!!!",F888="NEW"),"",INDEX(B$2:B887,-1+SUMPRODUCT(MAX(ROW(E$2:E887)*(E888=E$2:E887)))))</f>
        <v/>
      </c>
      <c r="J888" s="24" t="str">
        <f ca="1">IF(OR(E888="",E888="!!!",F888="NEW"),"",COUNTBLANK(OFFSET(A$1,,,SUMPRODUCT(MAX(ROW(E$2:E888)*(E888=E$2:E888)))))-COUNTBLANK(OFFSET(A$1,,,SUMPRODUCT(MAX(ROW(E$1:E887)*(E2=E$1:E887))))))</f>
        <v/>
      </c>
      <c r="K888" s="24" t="str">
        <f>IF(OR(E888="",E888="!!!",F888="NEW"),"",INDEX(J$1:J887,SUMPRODUCT(MAX(ROW(E$1:E887)*(E888=E$1:E887)))))</f>
        <v/>
      </c>
      <c r="L888" s="25"/>
    </row>
    <row r="889" spans="1:12" x14ac:dyDescent="0.3">
      <c r="A889" t="s">
        <v>380</v>
      </c>
      <c r="E889" s="20" t="str">
        <f t="shared" si="94"/>
        <v/>
      </c>
      <c r="F889" s="21" t="str">
        <f>IF(OR(E889="",E889="!!!"),"",IF(NOT(ISNA(VLOOKUP(E889,E$1:E888,1,FALSE()))),"OLD",IF(AND(E889&lt;&gt;"",E889&lt;&gt;"!!!"),"NEW","")))</f>
        <v/>
      </c>
      <c r="G889" s="22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3" t="str">
        <f t="shared" ca="1" si="95"/>
        <v/>
      </c>
      <c r="I889" s="24" t="str">
        <f>IF(OR(E889="",E889="!!!",F889="NEW"),"",INDEX(B$2:B888,-1+SUMPRODUCT(MAX(ROW(E$2:E888)*(E889=E$2:E888)))))</f>
        <v/>
      </c>
      <c r="J889" s="24" t="str">
        <f ca="1">IF(OR(E889="",E889="!!!",F889="NEW"),"",COUNTBLANK(OFFSET(A$1,,,SUMPRODUCT(MAX(ROW(E$2:E889)*(E889=E$2:E889)))))-COUNTBLANK(OFFSET(A$1,,,SUMPRODUCT(MAX(ROW(E$1:E888)*(E2=E$1:E888))))))</f>
        <v/>
      </c>
      <c r="K889" s="24" t="str">
        <f>IF(OR(E889="",E889="!!!",F889="NEW"),"",INDEX(J$1:J888,SUMPRODUCT(MAX(ROW(E$1:E888)*(E889=E$1:E888)))))</f>
        <v/>
      </c>
      <c r="L889" s="25"/>
    </row>
    <row r="890" spans="1:12" x14ac:dyDescent="0.3">
      <c r="A890" t="s">
        <v>776</v>
      </c>
      <c r="B890" s="26" t="s">
        <v>456</v>
      </c>
      <c r="C890" s="26" t="s">
        <v>331</v>
      </c>
      <c r="D890" s="26" t="s">
        <v>332</v>
      </c>
      <c r="E890" s="20" t="str">
        <f t="shared" si="94"/>
        <v>!!!</v>
      </c>
      <c r="F890" s="21" t="str">
        <f>IF(OR(E890="",E890="!!!"),"",IF(NOT(ISNA(VLOOKUP(E890,E$1:E889,1,FALSE()))),"OLD",IF(AND(E890&lt;&gt;"",E890&lt;&gt;"!!!"),"NEW","")))</f>
        <v/>
      </c>
      <c r="G890" s="22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3" t="str">
        <f t="shared" ca="1" si="95"/>
        <v/>
      </c>
      <c r="I890" s="24" t="str">
        <f>IF(OR(E890="",E890="!!!",F890="NEW"),"",INDEX(B$2:B889,-1+SUMPRODUCT(MAX(ROW(E$2:E889)*(E890=E$2:E889)))))</f>
        <v/>
      </c>
      <c r="J890" s="24" t="str">
        <f ca="1">IF(OR(E890="",E890="!!!",F890="NEW"),"",COUNTBLANK(OFFSET(A$1,,,SUMPRODUCT(MAX(ROW(E$2:E890)*(E890=E$2:E890)))))-COUNTBLANK(OFFSET(A$1,,,SUMPRODUCT(MAX(ROW(E$1:E889)*(E2=E$1:E889))))))</f>
        <v/>
      </c>
      <c r="K890" s="24" t="str">
        <f>IF(OR(E890="",E890="!!!",F890="NEW"),"",INDEX(J$1:J889,SUMPRODUCT(MAX(ROW(E$1:E889)*(E890=E$1:E889)))))</f>
        <v/>
      </c>
      <c r="L890" s="25"/>
    </row>
    <row r="891" spans="1:12" x14ac:dyDescent="0.3">
      <c r="A891" t="s">
        <v>351</v>
      </c>
      <c r="E891" s="20" t="str">
        <f t="shared" si="94"/>
        <v/>
      </c>
      <c r="F891" s="21" t="str">
        <f>IF(OR(E891="",E891="!!!"),"",IF(NOT(ISNA(VLOOKUP(E891,E$1:E890,1,FALSE()))),"OLD",IF(AND(E891&lt;&gt;"",E891&lt;&gt;"!!!"),"NEW","")))</f>
        <v/>
      </c>
      <c r="G891" s="22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t="shared" ca="1" si="95"/>
        <v/>
      </c>
      <c r="I891" s="24" t="str">
        <f>IF(OR(E891="",E891="!!!",F891="NEW"),"",INDEX(B$2:B890,-1+SUMPRODUCT(MAX(ROW(E$2:E890)*(E891=E$2:E890)))))</f>
        <v/>
      </c>
      <c r="J891" s="24" t="str">
        <f ca="1">IF(OR(E891="",E891="!!!",F891="NEW"),"",COUNTBLANK(OFFSET(A$1,,,SUMPRODUCT(MAX(ROW(E$2:E891)*(E891=E$2:E891)))))-COUNTBLANK(OFFSET(A$1,,,SUMPRODUCT(MAX(ROW(E$1:E890)*(E2=E$1:E890))))))</f>
        <v/>
      </c>
      <c r="K891" s="24" t="str">
        <f>IF(OR(E891="",E891="!!!",F891="NEW"),"",INDEX(J$1:J890,SUMPRODUCT(MAX(ROW(E$1:E890)*(E891=E$1:E890)))))</f>
        <v/>
      </c>
      <c r="L891" s="25"/>
    </row>
    <row r="892" spans="1:12" x14ac:dyDescent="0.3">
      <c r="A892" t="s">
        <v>777</v>
      </c>
      <c r="B892" s="26" t="s">
        <v>456</v>
      </c>
      <c r="C892" s="26" t="s">
        <v>355</v>
      </c>
      <c r="E892" s="20" t="str">
        <f t="shared" si="94"/>
        <v/>
      </c>
      <c r="F892" s="21" t="str">
        <f>IF(OR(E892="",E892="!!!"),"",IF(NOT(ISNA(VLOOKUP(E892,E$1:E891,1,FALSE()))),"OLD",IF(AND(E892&lt;&gt;"",E892&lt;&gt;"!!!"),"NEW","")))</f>
        <v/>
      </c>
      <c r="G892" s="22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3" t="str">
        <f t="shared" ca="1" si="95"/>
        <v/>
      </c>
      <c r="I892" s="24" t="str">
        <f>IF(OR(E892="",E892="!!!",F892="NEW"),"",INDEX(B$2:B891,-1+SUMPRODUCT(MAX(ROW(E$2:E891)*(E892=E$2:E891)))))</f>
        <v/>
      </c>
      <c r="J892" s="24" t="str">
        <f ca="1">IF(OR(E892="",E892="!!!",F892="NEW"),"",COUNTBLANK(OFFSET(A$1,,,SUMPRODUCT(MAX(ROW(E$2:E892)*(E892=E$2:E892)))))-COUNTBLANK(OFFSET(A$1,,,SUMPRODUCT(MAX(ROW(E$1:E891)*(E2=E$1:E891))))))</f>
        <v/>
      </c>
      <c r="K892" s="24" t="str">
        <f>IF(OR(E892="",E892="!!!",F892="NEW"),"",INDEX(J$1:J891,SUMPRODUCT(MAX(ROW(E$1:E891)*(E892=E$1:E891)))))</f>
        <v/>
      </c>
      <c r="L892" s="25"/>
    </row>
    <row r="893" spans="1:12" x14ac:dyDescent="0.3">
      <c r="A893" t="s">
        <v>385</v>
      </c>
      <c r="E893" s="20" t="str">
        <f t="shared" si="94"/>
        <v/>
      </c>
      <c r="F893" s="21" t="str">
        <f>IF(OR(E893="",E893="!!!"),"",IF(NOT(ISNA(VLOOKUP(E893,E$1:E892,1,FALSE()))),"OLD",IF(AND(E893&lt;&gt;"",E893&lt;&gt;"!!!"),"NEW","")))</f>
        <v/>
      </c>
      <c r="G893" s="22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t="shared" ca="1" si="95"/>
        <v/>
      </c>
      <c r="I893" s="24" t="str">
        <f>IF(OR(E893="",E893="!!!",F893="NEW"),"",INDEX(B$2:B892,-1+SUMPRODUCT(MAX(ROW(E$2:E892)*(E893=E$2:E892)))))</f>
        <v/>
      </c>
      <c r="J893" s="24" t="str">
        <f ca="1">IF(OR(E893="",E893="!!!",F893="NEW"),"",COUNTBLANK(OFFSET(A$1,,,SUMPRODUCT(MAX(ROW(E$2:E893)*(E893=E$2:E893)))))-COUNTBLANK(OFFSET(A$1,,,SUMPRODUCT(MAX(ROW(E$1:E892)*(E2=E$1:E892))))))</f>
        <v/>
      </c>
      <c r="K893" s="24" t="str">
        <f>IF(OR(E893="",E893="!!!",F893="NEW"),"",INDEX(J$1:J892,SUMPRODUCT(MAX(ROW(E$1:E892)*(E893=E$1:E892)))))</f>
        <v/>
      </c>
      <c r="L893" s="25"/>
    </row>
    <row r="894" spans="1:12" x14ac:dyDescent="0.3">
      <c r="A894" t="s">
        <v>766</v>
      </c>
      <c r="B894" s="26" t="s">
        <v>456</v>
      </c>
      <c r="C894" s="26" t="s">
        <v>355</v>
      </c>
      <c r="E894" s="20" t="str">
        <f t="shared" si="94"/>
        <v/>
      </c>
      <c r="F894" s="21" t="str">
        <f>IF(OR(E894="",E894="!!!"),"",IF(NOT(ISNA(VLOOKUP(E894,E$1:E893,1,FALSE()))),"OLD",IF(AND(E894&lt;&gt;"",E894&lt;&gt;"!!!"),"NEW","")))</f>
        <v/>
      </c>
      <c r="G894" s="22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t="shared" ca="1" si="95"/>
        <v/>
      </c>
      <c r="I894" s="24" t="str">
        <f>IF(OR(E894="",E894="!!!",F894="NEW"),"",INDEX(B$2:B893,-1+SUMPRODUCT(MAX(ROW(E$2:E893)*(E894=E$2:E893)))))</f>
        <v/>
      </c>
      <c r="J894" s="24" t="str">
        <f ca="1">IF(OR(E894="",E894="!!!",F894="NEW"),"",COUNTBLANK(OFFSET(A$1,,,SUMPRODUCT(MAX(ROW(E$2:E894)*(E894=E$2:E894)))))-COUNTBLANK(OFFSET(A$1,,,SUMPRODUCT(MAX(ROW(E$1:E893)*(E2=E$1:E893))))))</f>
        <v/>
      </c>
      <c r="K894" s="24" t="str">
        <f>IF(OR(E894="",E894="!!!",F894="NEW"),"",INDEX(J$1:J893,SUMPRODUCT(MAX(ROW(E$1:E893)*(E894=E$1:E893)))))</f>
        <v/>
      </c>
      <c r="L894" s="25"/>
    </row>
    <row r="895" spans="1:12" x14ac:dyDescent="0.3">
      <c r="A895" t="s">
        <v>778</v>
      </c>
      <c r="E895" s="20" t="str">
        <f t="shared" si="94"/>
        <v/>
      </c>
      <c r="F895" s="21" t="str">
        <f>IF(OR(E895="",E895="!!!"),"",IF(NOT(ISNA(VLOOKUP(E895,E$1:E894,1,FALSE()))),"OLD",IF(AND(E895&lt;&gt;"",E895&lt;&gt;"!!!"),"NEW","")))</f>
        <v/>
      </c>
      <c r="G895" s="22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t="shared" ca="1" si="95"/>
        <v/>
      </c>
      <c r="I895" s="24" t="str">
        <f>IF(OR(E895="",E895="!!!",F895="NEW"),"",INDEX(B$2:B894,-1+SUMPRODUCT(MAX(ROW(E$2:E894)*(E895=E$2:E894)))))</f>
        <v/>
      </c>
      <c r="J895" s="24" t="str">
        <f ca="1">IF(OR(E895="",E895="!!!",F895="NEW"),"",COUNTBLANK(OFFSET(A$1,,,SUMPRODUCT(MAX(ROW(E$2:E895)*(E895=E$2:E895)))))-COUNTBLANK(OFFSET(A$1,,,SUMPRODUCT(MAX(ROW(E$1:E894)*(E2=E$1:E894))))))</f>
        <v/>
      </c>
      <c r="K895" s="24" t="str">
        <f>IF(OR(E895="",E895="!!!",F895="NEW"),"",INDEX(J$1:J894,SUMPRODUCT(MAX(ROW(E$1:E894)*(E895=E$1:E894)))))</f>
        <v/>
      </c>
      <c r="L895" s="25"/>
    </row>
    <row r="896" spans="1:12" x14ac:dyDescent="0.3">
      <c r="A896" t="s">
        <v>338</v>
      </c>
      <c r="E896" s="20" t="str">
        <f t="shared" si="94"/>
        <v/>
      </c>
      <c r="F896" s="21" t="str">
        <f>IF(OR(E896="",E896="!!!"),"",IF(NOT(ISNA(VLOOKUP(E896,E$1:E895,1,FALSE()))),"OLD",IF(AND(E896&lt;&gt;"",E896&lt;&gt;"!!!"),"NEW","")))</f>
        <v/>
      </c>
      <c r="G896" s="22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t="shared" ca="1" si="95"/>
        <v/>
      </c>
      <c r="I896" s="24" t="str">
        <f>IF(OR(E896="",E896="!!!",F896="NEW"),"",INDEX(B$2:B895,-1+SUMPRODUCT(MAX(ROW(E$2:E895)*(E896=E$2:E895)))))</f>
        <v/>
      </c>
      <c r="J896" s="24" t="str">
        <f ca="1">IF(OR(E896="",E896="!!!",F896="NEW"),"",COUNTBLANK(OFFSET(A$1,,,SUMPRODUCT(MAX(ROW(E$2:E896)*(E896=E$2:E896)))))-COUNTBLANK(OFFSET(A$1,,,SUMPRODUCT(MAX(ROW(E$1:E895)*(E2=E$1:E895))))))</f>
        <v/>
      </c>
      <c r="K896" s="24" t="str">
        <f>IF(OR(E896="",E896="!!!",F896="NEW"),"",INDEX(J$1:J895,SUMPRODUCT(MAX(ROW(E$1:E895)*(E896=E$1:E895)))))</f>
        <v/>
      </c>
      <c r="L896" s="25"/>
    </row>
    <row r="898" spans="1:12" x14ac:dyDescent="0.3">
      <c r="A898" t="s">
        <v>779</v>
      </c>
    </row>
    <row r="899" spans="1:12" x14ac:dyDescent="0.3">
      <c r="A899" t="s">
        <v>780</v>
      </c>
      <c r="E899" s="20" t="str">
        <f t="shared" ref="E899:E911" si="96">IF(D899="?OLD","!!!","")</f>
        <v/>
      </c>
      <c r="F899" s="21" t="str">
        <f>IF(OR(E899="",E899="!!!"),"",IF(NOT(ISNA(VLOOKUP(E899,E$1:E898,1,FALSE()))),"OLD",IF(AND(E899&lt;&gt;"",E899&lt;&gt;"!!!"),"NEW","")))</f>
        <v/>
      </c>
      <c r="G899" s="22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3" t="str">
        <f t="shared" ref="H899:H911" ca="1" si="97">IF(J899&lt;&gt;1,"",IF(I899="SBJ","CB","?"))</f>
        <v/>
      </c>
      <c r="I899" s="24" t="str">
        <f>IF(OR(E899="",E899="!!!",F899="NEW"),"",INDEX(B$2:B898,-1+SUMPRODUCT(MAX(ROW(E$2:E898)*(E899=E$2:E898)))))</f>
        <v/>
      </c>
      <c r="J899" s="24" t="str">
        <f ca="1">IF(OR(E899="",E899="!!!",F899="NEW"),"",COUNTBLANK(OFFSET(A$1,,,SUMPRODUCT(MAX(ROW(E$2:E899)*(E899=E$2:E899)))))-COUNTBLANK(OFFSET(A$1,,,SUMPRODUCT(MAX(ROW(E$1:E898)*(E2=E$1:E898))))))</f>
        <v/>
      </c>
      <c r="K899" s="24" t="str">
        <f>IF(OR(E899="",E899="!!!",F899="NEW"),"",INDEX(J$1:J898,SUMPRODUCT(MAX(ROW(E$1:E898)*(E899=E$1:E898)))))</f>
        <v/>
      </c>
      <c r="L899" s="25"/>
    </row>
    <row r="900" spans="1:12" x14ac:dyDescent="0.3">
      <c r="A900" t="s">
        <v>781</v>
      </c>
      <c r="E900" s="20" t="str">
        <f t="shared" si="96"/>
        <v/>
      </c>
      <c r="F900" s="21" t="str">
        <f>IF(OR(E900="",E900="!!!"),"",IF(NOT(ISNA(VLOOKUP(E900,E$1:E899,1,FALSE()))),"OLD",IF(AND(E900&lt;&gt;"",E900&lt;&gt;"!!!"),"NEW","")))</f>
        <v/>
      </c>
      <c r="G900" s="22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t="shared" ca="1" si="97"/>
        <v/>
      </c>
      <c r="I900" s="24" t="str">
        <f>IF(OR(E900="",E900="!!!",F900="NEW"),"",INDEX(B$2:B899,-1+SUMPRODUCT(MAX(ROW(E$2:E899)*(E900=E$2:E899)))))</f>
        <v/>
      </c>
      <c r="J900" s="24" t="str">
        <f ca="1">IF(OR(E900="",E900="!!!",F900="NEW"),"",COUNTBLANK(OFFSET(A$1,,,SUMPRODUCT(MAX(ROW(E$2:E900)*(E900=E$2:E900)))))-COUNTBLANK(OFFSET(A$1,,,SUMPRODUCT(MAX(ROW(E$1:E899)*(E2=E$1:E899))))))</f>
        <v/>
      </c>
      <c r="K900" s="24" t="str">
        <f>IF(OR(E900="",E900="!!!",F900="NEW"),"",INDEX(J$1:J899,SUMPRODUCT(MAX(ROW(E$1:E899)*(E900=E$1:E899)))))</f>
        <v/>
      </c>
      <c r="L900" s="25"/>
    </row>
    <row r="901" spans="1:12" x14ac:dyDescent="0.3">
      <c r="A901" t="s">
        <v>340</v>
      </c>
      <c r="B901" s="26" t="s">
        <v>354</v>
      </c>
      <c r="C901" s="26" t="s">
        <v>341</v>
      </c>
      <c r="D901" s="26" t="s">
        <v>332</v>
      </c>
      <c r="E901" s="20" t="str">
        <f t="shared" si="96"/>
        <v>!!!</v>
      </c>
      <c r="F901" s="21" t="str">
        <f>IF(OR(E901="",E901="!!!"),"",IF(NOT(ISNA(VLOOKUP(E901,E$1:E900,1,FALSE()))),"OLD",IF(AND(E901&lt;&gt;"",E901&lt;&gt;"!!!"),"NEW","")))</f>
        <v/>
      </c>
      <c r="G901" s="22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3" t="str">
        <f t="shared" ca="1" si="97"/>
        <v/>
      </c>
      <c r="I901" s="24" t="str">
        <f>IF(OR(E901="",E901="!!!",F901="NEW"),"",INDEX(B$2:B900,-1+SUMPRODUCT(MAX(ROW(E$2:E900)*(E901=E$2:E900)))))</f>
        <v/>
      </c>
      <c r="J901" s="24" t="str">
        <f ca="1">IF(OR(E901="",E901="!!!",F901="NEW"),"",COUNTBLANK(OFFSET(A$1,,,SUMPRODUCT(MAX(ROW(E$2:E901)*(E901=E$2:E901)))))-COUNTBLANK(OFFSET(A$1,,,SUMPRODUCT(MAX(ROW(E$1:E900)*(E2=E$1:E900))))))</f>
        <v/>
      </c>
      <c r="K901" s="24" t="str">
        <f>IF(OR(E901="",E901="!!!",F901="NEW"),"",INDEX(J$1:J900,SUMPRODUCT(MAX(ROW(E$1:E900)*(E901=E$1:E900)))))</f>
        <v/>
      </c>
      <c r="L901" s="25"/>
    </row>
    <row r="902" spans="1:12" x14ac:dyDescent="0.3">
      <c r="A902" t="s">
        <v>343</v>
      </c>
      <c r="B902" s="26" t="s">
        <v>357</v>
      </c>
      <c r="E902" s="20" t="str">
        <f t="shared" si="96"/>
        <v/>
      </c>
      <c r="F902" s="21" t="str">
        <f>IF(OR(E902="",E902="!!!"),"",IF(NOT(ISNA(VLOOKUP(E902,E$1:E901,1,FALSE()))),"OLD",IF(AND(E902&lt;&gt;"",E902&lt;&gt;"!!!"),"NEW","")))</f>
        <v/>
      </c>
      <c r="G902" s="22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t="shared" ca="1" si="97"/>
        <v/>
      </c>
      <c r="I902" s="24" t="str">
        <f>IF(OR(E902="",E902="!!!",F902="NEW"),"",INDEX(B$2:B901,-1+SUMPRODUCT(MAX(ROW(E$2:E901)*(E902=E$2:E901)))))</f>
        <v/>
      </c>
      <c r="J902" s="24" t="str">
        <f ca="1">IF(OR(E902="",E902="!!!",F902="NEW"),"",COUNTBLANK(OFFSET(A$1,,,SUMPRODUCT(MAX(ROW(E$2:E902)*(E902=E$2:E902)))))-COUNTBLANK(OFFSET(A$1,,,SUMPRODUCT(MAX(ROW(E$1:E901)*(E2=E$1:E901))))))</f>
        <v/>
      </c>
      <c r="K902" s="24" t="str">
        <f>IF(OR(E902="",E902="!!!",F902="NEW"),"",INDEX(J$1:J901,SUMPRODUCT(MAX(ROW(E$1:E901)*(E902=E$1:E901)))))</f>
        <v/>
      </c>
      <c r="L902" s="25"/>
    </row>
    <row r="903" spans="1:12" x14ac:dyDescent="0.3">
      <c r="A903" t="s">
        <v>782</v>
      </c>
      <c r="E903" s="20" t="str">
        <f t="shared" si="96"/>
        <v/>
      </c>
      <c r="F903" s="21" t="str">
        <f>IF(OR(E903="",E903="!!!"),"",IF(NOT(ISNA(VLOOKUP(E903,E$1:E902,1,FALSE()))),"OLD",IF(AND(E903&lt;&gt;"",E903&lt;&gt;"!!!"),"NEW","")))</f>
        <v/>
      </c>
      <c r="G903" s="22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3" t="str">
        <f t="shared" ca="1" si="97"/>
        <v/>
      </c>
      <c r="I903" s="24" t="str">
        <f>IF(OR(E903="",E903="!!!",F903="NEW"),"",INDEX(B$2:B902,-1+SUMPRODUCT(MAX(ROW(E$2:E902)*(E903=E$2:E902)))))</f>
        <v/>
      </c>
      <c r="J903" s="24" t="str">
        <f ca="1">IF(OR(E903="",E903="!!!",F903="NEW"),"",COUNTBLANK(OFFSET(A$1,,,SUMPRODUCT(MAX(ROW(E$2:E903)*(E903=E$2:E903)))))-COUNTBLANK(OFFSET(A$1,,,SUMPRODUCT(MAX(ROW(E$1:E902)*(E2=E$1:E902))))))</f>
        <v/>
      </c>
      <c r="K903" s="24" t="str">
        <f>IF(OR(E903="",E903="!!!",F903="NEW"),"",INDEX(J$1:J902,SUMPRODUCT(MAX(ROW(E$1:E902)*(E903=E$1:E902)))))</f>
        <v/>
      </c>
      <c r="L903" s="25"/>
    </row>
    <row r="904" spans="1:12" x14ac:dyDescent="0.3">
      <c r="A904" t="s">
        <v>351</v>
      </c>
      <c r="E904" s="20" t="str">
        <f t="shared" si="96"/>
        <v/>
      </c>
      <c r="F904" s="21" t="str">
        <f>IF(OR(E904="",E904="!!!"),"",IF(NOT(ISNA(VLOOKUP(E904,E$1:E903,1,FALSE()))),"OLD",IF(AND(E904&lt;&gt;"",E904&lt;&gt;"!!!"),"NEW","")))</f>
        <v/>
      </c>
      <c r="G904" s="22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t="shared" ca="1" si="97"/>
        <v/>
      </c>
      <c r="I904" s="24" t="str">
        <f>IF(OR(E904="",E904="!!!",F904="NEW"),"",INDEX(B$2:B903,-1+SUMPRODUCT(MAX(ROW(E$2:E903)*(E904=E$2:E903)))))</f>
        <v/>
      </c>
      <c r="J904" s="24" t="str">
        <f ca="1">IF(OR(E904="",E904="!!!",F904="NEW"),"",COUNTBLANK(OFFSET(A$1,,,SUMPRODUCT(MAX(ROW(E$2:E904)*(E904=E$2:E904)))))-COUNTBLANK(OFFSET(A$1,,,SUMPRODUCT(MAX(ROW(E$1:E903)*(E2=E$1:E903))))))</f>
        <v/>
      </c>
      <c r="K904" s="24" t="str">
        <f>IF(OR(E904="",E904="!!!",F904="NEW"),"",INDEX(J$1:J903,SUMPRODUCT(MAX(ROW(E$1:E903)*(E904=E$1:E903)))))</f>
        <v/>
      </c>
      <c r="L904" s="25"/>
    </row>
    <row r="905" spans="1:12" x14ac:dyDescent="0.3">
      <c r="A905" t="s">
        <v>407</v>
      </c>
      <c r="E905" s="20" t="str">
        <f t="shared" si="96"/>
        <v/>
      </c>
      <c r="F905" s="21" t="str">
        <f>IF(OR(E905="",E905="!!!"),"",IF(NOT(ISNA(VLOOKUP(E905,E$1:E904,1,FALSE()))),"OLD",IF(AND(E905&lt;&gt;"",E905&lt;&gt;"!!!"),"NEW","")))</f>
        <v/>
      </c>
      <c r="G905" s="22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t="shared" ca="1" si="97"/>
        <v/>
      </c>
      <c r="I905" s="24" t="str">
        <f>IF(OR(E905="",E905="!!!",F905="NEW"),"",INDEX(B$2:B904,-1+SUMPRODUCT(MAX(ROW(E$2:E904)*(E905=E$2:E904)))))</f>
        <v/>
      </c>
      <c r="J905" s="24" t="str">
        <f ca="1">IF(OR(E905="",E905="!!!",F905="NEW"),"",COUNTBLANK(OFFSET(A$1,,,SUMPRODUCT(MAX(ROW(E$2:E905)*(E905=E$2:E905)))))-COUNTBLANK(OFFSET(A$1,,,SUMPRODUCT(MAX(ROW(E$1:E904)*(E2=E$1:E904))))))</f>
        <v/>
      </c>
      <c r="K905" s="24" t="str">
        <f>IF(OR(E905="",E905="!!!",F905="NEW"),"",INDEX(J$1:J904,SUMPRODUCT(MAX(ROW(E$1:E904)*(E905=E$1:E904)))))</f>
        <v/>
      </c>
      <c r="L905" s="25"/>
    </row>
    <row r="906" spans="1:12" x14ac:dyDescent="0.3">
      <c r="A906" t="s">
        <v>399</v>
      </c>
      <c r="E906" s="20" t="str">
        <f t="shared" si="96"/>
        <v/>
      </c>
      <c r="F906" s="21" t="str">
        <f>IF(OR(E906="",E906="!!!"),"",IF(NOT(ISNA(VLOOKUP(E906,E$1:E905,1,FALSE()))),"OLD",IF(AND(E906&lt;&gt;"",E906&lt;&gt;"!!!"),"NEW","")))</f>
        <v/>
      </c>
      <c r="G906" s="22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t="shared" ca="1" si="97"/>
        <v/>
      </c>
      <c r="I906" s="24" t="str">
        <f>IF(OR(E906="",E906="!!!",F906="NEW"),"",INDEX(B$2:B905,-1+SUMPRODUCT(MAX(ROW(E$2:E905)*(E906=E$2:E905)))))</f>
        <v/>
      </c>
      <c r="J906" s="24" t="str">
        <f ca="1">IF(OR(E906="",E906="!!!",F906="NEW"),"",COUNTBLANK(OFFSET(A$1,,,SUMPRODUCT(MAX(ROW(E$2:E906)*(E906=E$2:E906)))))-COUNTBLANK(OFFSET(A$1,,,SUMPRODUCT(MAX(ROW(E$1:E905)*(E2=E$1:E905))))))</f>
        <v/>
      </c>
      <c r="K906" s="24" t="str">
        <f>IF(OR(E906="",E906="!!!",F906="NEW"),"",INDEX(J$1:J905,SUMPRODUCT(MAX(ROW(E$1:E905)*(E906=E$1:E905)))))</f>
        <v/>
      </c>
      <c r="L906" s="25"/>
    </row>
    <row r="907" spans="1:12" x14ac:dyDescent="0.3">
      <c r="A907" t="s">
        <v>398</v>
      </c>
      <c r="B907" s="26" t="s">
        <v>330</v>
      </c>
      <c r="C907" s="26" t="s">
        <v>561</v>
      </c>
      <c r="D907" s="26" t="s">
        <v>332</v>
      </c>
      <c r="E907" s="20" t="str">
        <f t="shared" si="96"/>
        <v>!!!</v>
      </c>
      <c r="F907" s="21" t="str">
        <f>IF(OR(E907="",E907="!!!"),"",IF(NOT(ISNA(VLOOKUP(E907,E$1:E906,1,FALSE()))),"OLD",IF(AND(E907&lt;&gt;"",E907&lt;&gt;"!!!"),"NEW","")))</f>
        <v/>
      </c>
      <c r="G907" s="22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3" t="str">
        <f t="shared" ca="1" si="97"/>
        <v/>
      </c>
      <c r="I907" s="24" t="str">
        <f>IF(OR(E907="",E907="!!!",F907="NEW"),"",INDEX(B$2:B906,-1+SUMPRODUCT(MAX(ROW(E$2:E906)*(E907=E$2:E906)))))</f>
        <v/>
      </c>
      <c r="J907" s="24" t="str">
        <f ca="1">IF(OR(E907="",E907="!!!",F907="NEW"),"",COUNTBLANK(OFFSET(A$1,,,SUMPRODUCT(MAX(ROW(E$2:E907)*(E907=E$2:E907)))))-COUNTBLANK(OFFSET(A$1,,,SUMPRODUCT(MAX(ROW(E$1:E906)*(E2=E$1:E906))))))</f>
        <v/>
      </c>
      <c r="K907" s="24" t="str">
        <f>IF(OR(E907="",E907="!!!",F907="NEW"),"",INDEX(J$1:J906,SUMPRODUCT(MAX(ROW(E$1:E906)*(E907=E$1:E906)))))</f>
        <v/>
      </c>
      <c r="L907" s="25"/>
    </row>
    <row r="908" spans="1:12" x14ac:dyDescent="0.3">
      <c r="A908" t="s">
        <v>363</v>
      </c>
      <c r="E908" s="20" t="str">
        <f t="shared" si="96"/>
        <v/>
      </c>
      <c r="F908" s="21" t="str">
        <f>IF(OR(E908="",E908="!!!"),"",IF(NOT(ISNA(VLOOKUP(E908,E$1:E907,1,FALSE()))),"OLD",IF(AND(E908&lt;&gt;"",E908&lt;&gt;"!!!"),"NEW","")))</f>
        <v/>
      </c>
      <c r="G908" s="22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t="shared" ca="1" si="97"/>
        <v/>
      </c>
      <c r="I908" s="24" t="str">
        <f>IF(OR(E908="",E908="!!!",F908="NEW"),"",INDEX(B$2:B907,-1+SUMPRODUCT(MAX(ROW(E$2:E907)*(E908=E$2:E907)))))</f>
        <v/>
      </c>
      <c r="J908" s="24" t="str">
        <f ca="1">IF(OR(E908="",E908="!!!",F908="NEW"),"",COUNTBLANK(OFFSET(A$1,,,SUMPRODUCT(MAX(ROW(E$2:E908)*(E908=E$2:E908)))))-COUNTBLANK(OFFSET(A$1,,,SUMPRODUCT(MAX(ROW(E$1:E907)*(E2=E$1:E907))))))</f>
        <v/>
      </c>
      <c r="K908" s="24" t="str">
        <f>IF(OR(E908="",E908="!!!",F908="NEW"),"",INDEX(J$1:J907,SUMPRODUCT(MAX(ROW(E$1:E907)*(E908=E$1:E907)))))</f>
        <v/>
      </c>
      <c r="L908" s="25"/>
    </row>
    <row r="909" spans="1:12" x14ac:dyDescent="0.3">
      <c r="A909" t="s">
        <v>646</v>
      </c>
      <c r="E909" s="20" t="str">
        <f t="shared" si="96"/>
        <v/>
      </c>
      <c r="F909" s="21" t="str">
        <f>IF(OR(E909="",E909="!!!"),"",IF(NOT(ISNA(VLOOKUP(E909,E$1:E908,1,FALSE()))),"OLD",IF(AND(E909&lt;&gt;"",E909&lt;&gt;"!!!"),"NEW","")))</f>
        <v/>
      </c>
      <c r="G909" s="22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3" t="str">
        <f t="shared" ca="1" si="97"/>
        <v/>
      </c>
      <c r="I909" s="24" t="str">
        <f>IF(OR(E909="",E909="!!!",F909="NEW"),"",INDEX(B$2:B908,-1+SUMPRODUCT(MAX(ROW(E$2:E908)*(E909=E$2:E908)))))</f>
        <v/>
      </c>
      <c r="J909" s="24" t="str">
        <f ca="1">IF(OR(E909="",E909="!!!",F909="NEW"),"",COUNTBLANK(OFFSET(A$1,,,SUMPRODUCT(MAX(ROW(E$2:E909)*(E909=E$2:E909)))))-COUNTBLANK(OFFSET(A$1,,,SUMPRODUCT(MAX(ROW(E$1:E908)*(E2=E$1:E908))))))</f>
        <v/>
      </c>
      <c r="K909" s="24" t="str">
        <f>IF(OR(E909="",E909="!!!",F909="NEW"),"",INDEX(J$1:J908,SUMPRODUCT(MAX(ROW(E$1:E908)*(E909=E$1:E908)))))</f>
        <v/>
      </c>
      <c r="L909" s="25"/>
    </row>
    <row r="910" spans="1:12" x14ac:dyDescent="0.3">
      <c r="A910" t="s">
        <v>783</v>
      </c>
      <c r="B910" s="26" t="s">
        <v>337</v>
      </c>
      <c r="C910" s="26" t="s">
        <v>355</v>
      </c>
      <c r="E910" s="20" t="str">
        <f t="shared" si="96"/>
        <v/>
      </c>
      <c r="F910" s="21" t="str">
        <f>IF(OR(E910="",E910="!!!"),"",IF(NOT(ISNA(VLOOKUP(E910,E$1:E909,1,FALSE()))),"OLD",IF(AND(E910&lt;&gt;"",E910&lt;&gt;"!!!"),"NEW","")))</f>
        <v/>
      </c>
      <c r="G910" s="22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3" t="str">
        <f t="shared" ca="1" si="97"/>
        <v/>
      </c>
      <c r="I910" s="24" t="str">
        <f>IF(OR(E910="",E910="!!!",F910="NEW"),"",INDEX(B$2:B909,-1+SUMPRODUCT(MAX(ROW(E$2:E909)*(E910=E$2:E909)))))</f>
        <v/>
      </c>
      <c r="J910" s="24" t="str">
        <f ca="1">IF(OR(E910="",E910="!!!",F910="NEW"),"",COUNTBLANK(OFFSET(A$1,,,SUMPRODUCT(MAX(ROW(E$2:E910)*(E910=E$2:E910)))))-COUNTBLANK(OFFSET(A$1,,,SUMPRODUCT(MAX(ROW(E$1:E909)*(E2=E$1:E909))))))</f>
        <v/>
      </c>
      <c r="K910" s="24" t="str">
        <f>IF(OR(E910="",E910="!!!",F910="NEW"),"",INDEX(J$1:J909,SUMPRODUCT(MAX(ROW(E$1:E909)*(E910=E$1:E909)))))</f>
        <v/>
      </c>
      <c r="L910" s="25"/>
    </row>
    <row r="911" spans="1:12" x14ac:dyDescent="0.3">
      <c r="A911" t="s">
        <v>638</v>
      </c>
      <c r="E911" s="20" t="str">
        <f t="shared" si="96"/>
        <v/>
      </c>
      <c r="F911" s="21" t="str">
        <f>IF(OR(E911="",E911="!!!"),"",IF(NOT(ISNA(VLOOKUP(E911,E$1:E910,1,FALSE()))),"OLD",IF(AND(E911&lt;&gt;"",E911&lt;&gt;"!!!"),"NEW","")))</f>
        <v/>
      </c>
      <c r="G911" s="22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3" t="str">
        <f t="shared" ca="1" si="97"/>
        <v/>
      </c>
      <c r="I911" s="24" t="str">
        <f>IF(OR(E911="",E911="!!!",F911="NEW"),"",INDEX(B$2:B910,-1+SUMPRODUCT(MAX(ROW(E$2:E910)*(E911=E$2:E910)))))</f>
        <v/>
      </c>
      <c r="J911" s="24" t="str">
        <f ca="1">IF(OR(E911="",E911="!!!",F911="NEW"),"",COUNTBLANK(OFFSET(A$1,,,SUMPRODUCT(MAX(ROW(E$2:E911)*(E911=E$2:E911)))))-COUNTBLANK(OFFSET(A$1,,,SUMPRODUCT(MAX(ROW(E$1:E910)*(E2=E$1:E910))))))</f>
        <v/>
      </c>
      <c r="K911" s="24" t="str">
        <f>IF(OR(E911="",E911="!!!",F911="NEW"),"",INDEX(J$1:J910,SUMPRODUCT(MAX(ROW(E$1:E910)*(E911=E$1:E910)))))</f>
        <v/>
      </c>
      <c r="L911" s="25"/>
    </row>
    <row r="913" spans="1:12" x14ac:dyDescent="0.3">
      <c r="A913" t="s">
        <v>784</v>
      </c>
    </row>
    <row r="914" spans="1:12" x14ac:dyDescent="0.3">
      <c r="A914" t="s">
        <v>424</v>
      </c>
      <c r="B914" s="26" t="s">
        <v>354</v>
      </c>
      <c r="C914" s="26" t="s">
        <v>341</v>
      </c>
      <c r="D914" s="26" t="s">
        <v>332</v>
      </c>
      <c r="E914" s="20" t="str">
        <f t="shared" ref="E914:E931" si="98">IF(D914="?OLD","!!!","")</f>
        <v>!!!</v>
      </c>
      <c r="F914" s="21" t="str">
        <f>IF(OR(E914="",E914="!!!"),"",IF(NOT(ISNA(VLOOKUP(E914,E$1:E913,1,FALSE()))),"OLD",IF(AND(E914&lt;&gt;"",E914&lt;&gt;"!!!"),"NEW","")))</f>
        <v/>
      </c>
      <c r="G914" s="22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3" t="str">
        <f t="shared" ref="H914:H931" ca="1" si="99">IF(J914&lt;&gt;1,"",IF(I914="SBJ","CB","?"))</f>
        <v/>
      </c>
      <c r="I914" s="24" t="str">
        <f>IF(OR(E914="",E914="!!!",F914="NEW"),"",INDEX(B$2:B913,-1+SUMPRODUCT(MAX(ROW(E$2:E913)*(E914=E$2:E913)))))</f>
        <v/>
      </c>
      <c r="J914" s="24" t="str">
        <f ca="1">IF(OR(E914="",E914="!!!",F914="NEW"),"",COUNTBLANK(OFFSET(A$1,,,SUMPRODUCT(MAX(ROW(E$2:E914)*(E914=E$2:E914)))))-COUNTBLANK(OFFSET(A$1,,,SUMPRODUCT(MAX(ROW(E$1:E913)*(E2=E$1:E913))))))</f>
        <v/>
      </c>
      <c r="K914" s="24" t="str">
        <f>IF(OR(E914="",E914="!!!",F914="NEW"),"",INDEX(J$1:J913,SUMPRODUCT(MAX(ROW(E$1:E913)*(E914=E$1:E913)))))</f>
        <v/>
      </c>
      <c r="L914" s="25"/>
    </row>
    <row r="915" spans="1:12" x14ac:dyDescent="0.3">
      <c r="A915" t="s">
        <v>377</v>
      </c>
      <c r="B915" s="26" t="s">
        <v>357</v>
      </c>
      <c r="C915" s="26" t="s">
        <v>438</v>
      </c>
      <c r="D915" s="26" t="s">
        <v>332</v>
      </c>
      <c r="E915" s="20" t="str">
        <f t="shared" si="98"/>
        <v>!!!</v>
      </c>
      <c r="F915" s="21" t="str">
        <f>IF(OR(E915="",E915="!!!"),"",IF(NOT(ISNA(VLOOKUP(E915,E$1:E914,1,FALSE()))),"OLD",IF(AND(E915&lt;&gt;"",E915&lt;&gt;"!!!"),"NEW","")))</f>
        <v/>
      </c>
      <c r="G915" s="22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3" t="str">
        <f t="shared" ca="1" si="99"/>
        <v/>
      </c>
      <c r="I915" s="24" t="str">
        <f>IF(OR(E915="",E915="!!!",F915="NEW"),"",INDEX(B$2:B914,-1+SUMPRODUCT(MAX(ROW(E$2:E914)*(E915=E$2:E914)))))</f>
        <v/>
      </c>
      <c r="J915" s="24" t="str">
        <f ca="1">IF(OR(E915="",E915="!!!",F915="NEW"),"",COUNTBLANK(OFFSET(A$1,,,SUMPRODUCT(MAX(ROW(E$2:E915)*(E915=E$2:E915)))))-COUNTBLANK(OFFSET(A$1,,,SUMPRODUCT(MAX(ROW(E$1:E914)*(E2=E$1:E914))))))</f>
        <v/>
      </c>
      <c r="K915" s="24" t="str">
        <f>IF(OR(E915="",E915="!!!",F915="NEW"),"",INDEX(J$1:J914,SUMPRODUCT(MAX(ROW(E$1:E914)*(E915=E$1:E914)))))</f>
        <v/>
      </c>
      <c r="L915" s="25"/>
    </row>
    <row r="916" spans="1:12" x14ac:dyDescent="0.3">
      <c r="A916" t="s">
        <v>351</v>
      </c>
      <c r="E916" s="20" t="str">
        <f t="shared" si="98"/>
        <v/>
      </c>
      <c r="F916" s="21" t="str">
        <f>IF(OR(E916="",E916="!!!"),"",IF(NOT(ISNA(VLOOKUP(E916,E$1:E915,1,FALSE()))),"OLD",IF(AND(E916&lt;&gt;"",E916&lt;&gt;"!!!"),"NEW","")))</f>
        <v/>
      </c>
      <c r="G916" s="22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3" t="str">
        <f t="shared" ca="1" si="99"/>
        <v/>
      </c>
      <c r="I916" s="24" t="str">
        <f>IF(OR(E916="",E916="!!!",F916="NEW"),"",INDEX(B$2:B915,-1+SUMPRODUCT(MAX(ROW(E$2:E915)*(E916=E$2:E915)))))</f>
        <v/>
      </c>
      <c r="J916" s="24" t="str">
        <f ca="1">IF(OR(E916="",E916="!!!",F916="NEW"),"",COUNTBLANK(OFFSET(A$1,,,SUMPRODUCT(MAX(ROW(E$2:E916)*(E916=E$2:E916)))))-COUNTBLANK(OFFSET(A$1,,,SUMPRODUCT(MAX(ROW(E$1:E915)*(E2=E$1:E915))))))</f>
        <v/>
      </c>
      <c r="K916" s="24" t="str">
        <f>IF(OR(E916="",E916="!!!",F916="NEW"),"",INDEX(J$1:J915,SUMPRODUCT(MAX(ROW(E$1:E915)*(E916=E$1:E915)))))</f>
        <v/>
      </c>
      <c r="L916" s="25"/>
    </row>
    <row r="917" spans="1:12" x14ac:dyDescent="0.3">
      <c r="A917" t="s">
        <v>785</v>
      </c>
      <c r="E917" s="20" t="str">
        <f t="shared" si="98"/>
        <v/>
      </c>
      <c r="F917" s="21" t="str">
        <f>IF(OR(E917="",E917="!!!"),"",IF(NOT(ISNA(VLOOKUP(E917,E$1:E916,1,FALSE()))),"OLD",IF(AND(E917&lt;&gt;"",E917&lt;&gt;"!!!"),"NEW","")))</f>
        <v/>
      </c>
      <c r="G917" s="22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3" t="str">
        <f t="shared" ca="1" si="99"/>
        <v/>
      </c>
      <c r="I917" s="24" t="str">
        <f>IF(OR(E917="",E917="!!!",F917="NEW"),"",INDEX(B$2:B916,-1+SUMPRODUCT(MAX(ROW(E$2:E916)*(E917=E$2:E916)))))</f>
        <v/>
      </c>
      <c r="J917" s="24" t="str">
        <f ca="1">IF(OR(E917="",E917="!!!",F917="NEW"),"",COUNTBLANK(OFFSET(A$1,,,SUMPRODUCT(MAX(ROW(E$2:E917)*(E917=E$2:E917)))))-COUNTBLANK(OFFSET(A$1,,,SUMPRODUCT(MAX(ROW(E$1:E916)*(E2=E$1:E916))))))</f>
        <v/>
      </c>
      <c r="K917" s="24" t="str">
        <f>IF(OR(E917="",E917="!!!",F917="NEW"),"",INDEX(J$1:J916,SUMPRODUCT(MAX(ROW(E$1:E916)*(E917=E$1:E916)))))</f>
        <v/>
      </c>
      <c r="L917" s="25"/>
    </row>
    <row r="918" spans="1:12" x14ac:dyDescent="0.3">
      <c r="A918" t="s">
        <v>786</v>
      </c>
      <c r="E918" s="20" t="str">
        <f t="shared" si="98"/>
        <v/>
      </c>
      <c r="F918" s="21" t="str">
        <f>IF(OR(E918="",E918="!!!"),"",IF(NOT(ISNA(VLOOKUP(E918,E$1:E917,1,FALSE()))),"OLD",IF(AND(E918&lt;&gt;"",E918&lt;&gt;"!!!"),"NEW","")))</f>
        <v/>
      </c>
      <c r="G918" s="22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3" t="str">
        <f t="shared" ca="1" si="99"/>
        <v/>
      </c>
      <c r="I918" s="24" t="str">
        <f>IF(OR(E918="",E918="!!!",F918="NEW"),"",INDEX(B$2:B917,-1+SUMPRODUCT(MAX(ROW(E$2:E917)*(E918=E$2:E917)))))</f>
        <v/>
      </c>
      <c r="J918" s="24" t="str">
        <f ca="1">IF(OR(E918="",E918="!!!",F918="NEW"),"",COUNTBLANK(OFFSET(A$1,,,SUMPRODUCT(MAX(ROW(E$2:E918)*(E918=E$2:E918)))))-COUNTBLANK(OFFSET(A$1,,,SUMPRODUCT(MAX(ROW(E$1:E917)*(E2=E$1:E917))))))</f>
        <v/>
      </c>
      <c r="K918" s="24" t="str">
        <f>IF(OR(E918="",E918="!!!",F918="NEW"),"",INDEX(J$1:J917,SUMPRODUCT(MAX(ROW(E$1:E917)*(E918=E$1:E917)))))</f>
        <v/>
      </c>
      <c r="L918" s="25"/>
    </row>
    <row r="919" spans="1:12" x14ac:dyDescent="0.3">
      <c r="A919" t="s">
        <v>351</v>
      </c>
      <c r="E919" s="20" t="str">
        <f t="shared" si="98"/>
        <v/>
      </c>
      <c r="F919" s="21" t="str">
        <f>IF(OR(E919="",E919="!!!"),"",IF(NOT(ISNA(VLOOKUP(E919,E$1:E918,1,FALSE()))),"OLD",IF(AND(E919&lt;&gt;"",E919&lt;&gt;"!!!"),"NEW","")))</f>
        <v/>
      </c>
      <c r="G919" s="22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3" t="str">
        <f t="shared" ca="1" si="99"/>
        <v/>
      </c>
      <c r="I919" s="24" t="str">
        <f>IF(OR(E919="",E919="!!!",F919="NEW"),"",INDEX(B$2:B918,-1+SUMPRODUCT(MAX(ROW(E$2:E918)*(E919=E$2:E918)))))</f>
        <v/>
      </c>
      <c r="J919" s="24" t="str">
        <f ca="1">IF(OR(E919="",E919="!!!",F919="NEW"),"",COUNTBLANK(OFFSET(A$1,,,SUMPRODUCT(MAX(ROW(E$2:E919)*(E919=E$2:E919)))))-COUNTBLANK(OFFSET(A$1,,,SUMPRODUCT(MAX(ROW(E$1:E918)*(E2=E$1:E918))))))</f>
        <v/>
      </c>
      <c r="K919" s="24" t="str">
        <f>IF(OR(E919="",E919="!!!",F919="NEW"),"",INDEX(J$1:J918,SUMPRODUCT(MAX(ROW(E$1:E918)*(E919=E$1:E918)))))</f>
        <v/>
      </c>
      <c r="L919" s="25"/>
    </row>
    <row r="920" spans="1:12" x14ac:dyDescent="0.3">
      <c r="A920" t="s">
        <v>787</v>
      </c>
      <c r="E920" s="20" t="str">
        <f t="shared" si="98"/>
        <v/>
      </c>
      <c r="F920" s="21" t="str">
        <f>IF(OR(E920="",E920="!!!"),"",IF(NOT(ISNA(VLOOKUP(E920,E$1:E919,1,FALSE()))),"OLD",IF(AND(E920&lt;&gt;"",E920&lt;&gt;"!!!"),"NEW","")))</f>
        <v/>
      </c>
      <c r="G920" s="22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3" t="str">
        <f t="shared" ca="1" si="99"/>
        <v/>
      </c>
      <c r="I920" s="24" t="str">
        <f>IF(OR(E920="",E920="!!!",F920="NEW"),"",INDEX(B$2:B919,-1+SUMPRODUCT(MAX(ROW(E$2:E919)*(E920=E$2:E919)))))</f>
        <v/>
      </c>
      <c r="J920" s="24" t="str">
        <f ca="1">IF(OR(E920="",E920="!!!",F920="NEW"),"",COUNTBLANK(OFFSET(A$1,,,SUMPRODUCT(MAX(ROW(E$2:E920)*(E920=E$2:E920)))))-COUNTBLANK(OFFSET(A$1,,,SUMPRODUCT(MAX(ROW(E$1:E919)*(E2=E$1:E919))))))</f>
        <v/>
      </c>
      <c r="K920" s="24" t="str">
        <f>IF(OR(E920="",E920="!!!",F920="NEW"),"",INDEX(J$1:J919,SUMPRODUCT(MAX(ROW(E$1:E919)*(E920=E$1:E919)))))</f>
        <v/>
      </c>
      <c r="L920" s="25"/>
    </row>
    <row r="921" spans="1:12" x14ac:dyDescent="0.3">
      <c r="A921" t="s">
        <v>543</v>
      </c>
      <c r="B921" s="26" t="s">
        <v>330</v>
      </c>
      <c r="C921" s="26" t="s">
        <v>355</v>
      </c>
      <c r="E921" s="20" t="str">
        <f t="shared" si="98"/>
        <v/>
      </c>
      <c r="F921" s="21" t="str">
        <f>IF(OR(E921="",E921="!!!"),"",IF(NOT(ISNA(VLOOKUP(E921,E$1:E920,1,FALSE()))),"OLD",IF(AND(E921&lt;&gt;"",E921&lt;&gt;"!!!"),"NEW","")))</f>
        <v/>
      </c>
      <c r="G921" s="22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3" t="str">
        <f t="shared" ca="1" si="99"/>
        <v/>
      </c>
      <c r="I921" s="24" t="str">
        <f>IF(OR(E921="",E921="!!!",F921="NEW"),"",INDEX(B$2:B920,-1+SUMPRODUCT(MAX(ROW(E$2:E920)*(E921=E$2:E920)))))</f>
        <v/>
      </c>
      <c r="J921" s="24" t="str">
        <f ca="1">IF(OR(E921="",E921="!!!",F921="NEW"),"",COUNTBLANK(OFFSET(A$1,,,SUMPRODUCT(MAX(ROW(E$2:E921)*(E921=E$2:E921)))))-COUNTBLANK(OFFSET(A$1,,,SUMPRODUCT(MAX(ROW(E$1:E920)*(E2=E$1:E920))))))</f>
        <v/>
      </c>
      <c r="K921" s="24" t="str">
        <f>IF(OR(E921="",E921="!!!",F921="NEW"),"",INDEX(J$1:J920,SUMPRODUCT(MAX(ROW(E$1:E920)*(E921=E$1:E920)))))</f>
        <v/>
      </c>
      <c r="L921" s="25"/>
    </row>
    <row r="922" spans="1:12" x14ac:dyDescent="0.3">
      <c r="A922" t="s">
        <v>351</v>
      </c>
      <c r="E922" s="20" t="str">
        <f t="shared" si="98"/>
        <v/>
      </c>
      <c r="F922" s="21" t="str">
        <f>IF(OR(E922="",E922="!!!"),"",IF(NOT(ISNA(VLOOKUP(E922,E$1:E921,1,FALSE()))),"OLD",IF(AND(E922&lt;&gt;"",E922&lt;&gt;"!!!"),"NEW","")))</f>
        <v/>
      </c>
      <c r="G922" s="22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3" t="str">
        <f t="shared" ca="1" si="99"/>
        <v/>
      </c>
      <c r="I922" s="24" t="str">
        <f>IF(OR(E922="",E922="!!!",F922="NEW"),"",INDEX(B$2:B921,-1+SUMPRODUCT(MAX(ROW(E$2:E921)*(E922=E$2:E921)))))</f>
        <v/>
      </c>
      <c r="J922" s="24" t="str">
        <f ca="1">IF(OR(E922="",E922="!!!",F922="NEW"),"",COUNTBLANK(OFFSET(A$1,,,SUMPRODUCT(MAX(ROW(E$2:E922)*(E922=E$2:E922)))))-COUNTBLANK(OFFSET(A$1,,,SUMPRODUCT(MAX(ROW(E$1:E921)*(E2=E$1:E921))))))</f>
        <v/>
      </c>
      <c r="K922" s="24" t="str">
        <f>IF(OR(E922="",E922="!!!",F922="NEW"),"",INDEX(J$1:J921,SUMPRODUCT(MAX(ROW(E$1:E921)*(E922=E$1:E921)))))</f>
        <v/>
      </c>
      <c r="L922" s="25"/>
    </row>
    <row r="923" spans="1:12" x14ac:dyDescent="0.3">
      <c r="A923" t="s">
        <v>380</v>
      </c>
      <c r="E923" s="20" t="str">
        <f t="shared" si="98"/>
        <v/>
      </c>
      <c r="F923" s="21" t="str">
        <f>IF(OR(E923="",E923="!!!"),"",IF(NOT(ISNA(VLOOKUP(E923,E$1:E922,1,FALSE()))),"OLD",IF(AND(E923&lt;&gt;"",E923&lt;&gt;"!!!"),"NEW","")))</f>
        <v/>
      </c>
      <c r="G923" s="22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3" t="str">
        <f t="shared" ca="1" si="99"/>
        <v/>
      </c>
      <c r="I923" s="24" t="str">
        <f>IF(OR(E923="",E923="!!!",F923="NEW"),"",INDEX(B$2:B922,-1+SUMPRODUCT(MAX(ROW(E$2:E922)*(E923=E$2:E922)))))</f>
        <v/>
      </c>
      <c r="J923" s="24" t="str">
        <f ca="1">IF(OR(E923="",E923="!!!",F923="NEW"),"",COUNTBLANK(OFFSET(A$1,,,SUMPRODUCT(MAX(ROW(E$2:E923)*(E923=E$2:E923)))))-COUNTBLANK(OFFSET(A$1,,,SUMPRODUCT(MAX(ROW(E$1:E922)*(E2=E$1:E922))))))</f>
        <v/>
      </c>
      <c r="K923" s="24" t="str">
        <f>IF(OR(E923="",E923="!!!",F923="NEW"),"",INDEX(J$1:J922,SUMPRODUCT(MAX(ROW(E$1:E922)*(E923=E$1:E922)))))</f>
        <v/>
      </c>
      <c r="L923" s="25"/>
    </row>
    <row r="924" spans="1:12" x14ac:dyDescent="0.3">
      <c r="A924" t="s">
        <v>373</v>
      </c>
      <c r="B924" s="26" t="s">
        <v>357</v>
      </c>
      <c r="C924" s="26" t="s">
        <v>331</v>
      </c>
      <c r="D924" s="26" t="s">
        <v>332</v>
      </c>
      <c r="E924" s="20" t="str">
        <f t="shared" si="98"/>
        <v>!!!</v>
      </c>
      <c r="F924" s="21" t="str">
        <f>IF(OR(E924="",E924="!!!"),"",IF(NOT(ISNA(VLOOKUP(E924,E$1:E923,1,FALSE()))),"OLD",IF(AND(E924&lt;&gt;"",E924&lt;&gt;"!!!"),"NEW","")))</f>
        <v/>
      </c>
      <c r="G924" s="22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3" t="str">
        <f t="shared" ca="1" si="99"/>
        <v/>
      </c>
      <c r="I924" s="24" t="str">
        <f>IF(OR(E924="",E924="!!!",F924="NEW"),"",INDEX(B$2:B923,-1+SUMPRODUCT(MAX(ROW(E$2:E923)*(E924=E$2:E923)))))</f>
        <v/>
      </c>
      <c r="J924" s="24" t="str">
        <f ca="1">IF(OR(E924="",E924="!!!",F924="NEW"),"",COUNTBLANK(OFFSET(A$1,,,SUMPRODUCT(MAX(ROW(E$2:E924)*(E924=E$2:E924)))))-COUNTBLANK(OFFSET(A$1,,,SUMPRODUCT(MAX(ROW(E$1:E923)*(E2=E$1:E923))))))</f>
        <v/>
      </c>
      <c r="K924" s="24" t="str">
        <f>IF(OR(E924="",E924="!!!",F924="NEW"),"",INDEX(J$1:J923,SUMPRODUCT(MAX(ROW(E$1:E923)*(E924=E$1:E923)))))</f>
        <v/>
      </c>
      <c r="L924" s="25"/>
    </row>
    <row r="925" spans="1:12" x14ac:dyDescent="0.3">
      <c r="A925" t="s">
        <v>788</v>
      </c>
      <c r="E925" s="20" t="str">
        <f t="shared" si="98"/>
        <v/>
      </c>
      <c r="F925" s="21" t="str">
        <f>IF(OR(E925="",E925="!!!"),"",IF(NOT(ISNA(VLOOKUP(E925,E$1:E924,1,FALSE()))),"OLD",IF(AND(E925&lt;&gt;"",E925&lt;&gt;"!!!"),"NEW","")))</f>
        <v/>
      </c>
      <c r="G925" s="22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3" t="str">
        <f t="shared" ca="1" si="99"/>
        <v/>
      </c>
      <c r="I925" s="24" t="str">
        <f>IF(OR(E925="",E925="!!!",F925="NEW"),"",INDEX(B$2:B924,-1+SUMPRODUCT(MAX(ROW(E$2:E924)*(E925=E$2:E924)))))</f>
        <v/>
      </c>
      <c r="J925" s="24" t="str">
        <f ca="1">IF(OR(E925="",E925="!!!",F925="NEW"),"",COUNTBLANK(OFFSET(A$1,,,SUMPRODUCT(MAX(ROW(E$2:E925)*(E925=E$2:E925)))))-COUNTBLANK(OFFSET(A$1,,,SUMPRODUCT(MAX(ROW(E$1:E924)*(E2=E$1:E924))))))</f>
        <v/>
      </c>
      <c r="K925" s="24" t="str">
        <f>IF(OR(E925="",E925="!!!",F925="NEW"),"",INDEX(J$1:J924,SUMPRODUCT(MAX(ROW(E$1:E924)*(E925=E$1:E924)))))</f>
        <v/>
      </c>
      <c r="L925" s="25"/>
    </row>
    <row r="926" spans="1:12" x14ac:dyDescent="0.3">
      <c r="A926" t="s">
        <v>351</v>
      </c>
      <c r="E926" s="20" t="str">
        <f t="shared" si="98"/>
        <v/>
      </c>
      <c r="F926" s="21" t="str">
        <f>IF(OR(E926="",E926="!!!"),"",IF(NOT(ISNA(VLOOKUP(E926,E$1:E925,1,FALSE()))),"OLD",IF(AND(E926&lt;&gt;"",E926&lt;&gt;"!!!"),"NEW","")))</f>
        <v/>
      </c>
      <c r="G926" s="22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3" t="str">
        <f t="shared" ca="1" si="99"/>
        <v/>
      </c>
      <c r="I926" s="24" t="str">
        <f>IF(OR(E926="",E926="!!!",F926="NEW"),"",INDEX(B$2:B925,-1+SUMPRODUCT(MAX(ROW(E$2:E925)*(E926=E$2:E925)))))</f>
        <v/>
      </c>
      <c r="J926" s="24" t="str">
        <f ca="1">IF(OR(E926="",E926="!!!",F926="NEW"),"",COUNTBLANK(OFFSET(A$1,,,SUMPRODUCT(MAX(ROW(E$2:E926)*(E926=E$2:E926)))))-COUNTBLANK(OFFSET(A$1,,,SUMPRODUCT(MAX(ROW(E$1:E925)*(E2=E$1:E925))))))</f>
        <v/>
      </c>
      <c r="K926" s="24" t="str">
        <f>IF(OR(E926="",E926="!!!",F926="NEW"),"",INDEX(J$1:J925,SUMPRODUCT(MAX(ROW(E$1:E925)*(E926=E$1:E925)))))</f>
        <v/>
      </c>
      <c r="L926" s="25"/>
    </row>
    <row r="927" spans="1:12" x14ac:dyDescent="0.3">
      <c r="A927" t="s">
        <v>789</v>
      </c>
      <c r="E927" s="20" t="str">
        <f t="shared" si="98"/>
        <v/>
      </c>
      <c r="F927" s="21" t="str">
        <f>IF(OR(E927="",E927="!!!"),"",IF(NOT(ISNA(VLOOKUP(E927,E$1:E926,1,FALSE()))),"OLD",IF(AND(E927&lt;&gt;"",E927&lt;&gt;"!!!"),"NEW","")))</f>
        <v/>
      </c>
      <c r="G927" s="22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3" t="str">
        <f t="shared" ca="1" si="99"/>
        <v/>
      </c>
      <c r="I927" s="24" t="str">
        <f>IF(OR(E927="",E927="!!!",F927="NEW"),"",INDEX(B$2:B926,-1+SUMPRODUCT(MAX(ROW(E$2:E926)*(E927=E$2:E926)))))</f>
        <v/>
      </c>
      <c r="J927" s="24" t="str">
        <f ca="1">IF(OR(E927="",E927="!!!",F927="NEW"),"",COUNTBLANK(OFFSET(A$1,,,SUMPRODUCT(MAX(ROW(E$2:E927)*(E927=E$2:E927)))))-COUNTBLANK(OFFSET(A$1,,,SUMPRODUCT(MAX(ROW(E$1:E926)*(E2=E$1:E926))))))</f>
        <v/>
      </c>
      <c r="K927" s="24" t="str">
        <f>IF(OR(E927="",E927="!!!",F927="NEW"),"",INDEX(J$1:J926,SUMPRODUCT(MAX(ROW(E$1:E926)*(E927=E$1:E926)))))</f>
        <v/>
      </c>
      <c r="L927" s="25"/>
    </row>
    <row r="928" spans="1:12" x14ac:dyDescent="0.3">
      <c r="A928" t="s">
        <v>790</v>
      </c>
      <c r="E928" s="20" t="str">
        <f t="shared" si="98"/>
        <v/>
      </c>
      <c r="F928" s="21" t="str">
        <f>IF(OR(E928="",E928="!!!"),"",IF(NOT(ISNA(VLOOKUP(E928,E$1:E927,1,FALSE()))),"OLD",IF(AND(E928&lt;&gt;"",E928&lt;&gt;"!!!"),"NEW","")))</f>
        <v/>
      </c>
      <c r="G928" s="22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3" t="str">
        <f t="shared" ca="1" si="99"/>
        <v/>
      </c>
      <c r="I928" s="24" t="str">
        <f>IF(OR(E928="",E928="!!!",F928="NEW"),"",INDEX(B$2:B927,-1+SUMPRODUCT(MAX(ROW(E$2:E927)*(E928=E$2:E927)))))</f>
        <v/>
      </c>
      <c r="J928" s="24" t="str">
        <f ca="1">IF(OR(E928="",E928="!!!",F928="NEW"),"",COUNTBLANK(OFFSET(A$1,,,SUMPRODUCT(MAX(ROW(E$2:E928)*(E928=E$2:E928)))))-COUNTBLANK(OFFSET(A$1,,,SUMPRODUCT(MAX(ROW(E$1:E927)*(E2=E$1:E927))))))</f>
        <v/>
      </c>
      <c r="K928" s="24" t="str">
        <f>IF(OR(E928="",E928="!!!",F928="NEW"),"",INDEX(J$1:J927,SUMPRODUCT(MAX(ROW(E$1:E927)*(E928=E$1:E927)))))</f>
        <v/>
      </c>
      <c r="L928" s="25"/>
    </row>
    <row r="929" spans="1:12" x14ac:dyDescent="0.3">
      <c r="A929" t="s">
        <v>791</v>
      </c>
      <c r="E929" s="20" t="str">
        <f t="shared" si="98"/>
        <v/>
      </c>
      <c r="F929" s="21" t="str">
        <f>IF(OR(E929="",E929="!!!"),"",IF(NOT(ISNA(VLOOKUP(E929,E$1:E928,1,FALSE()))),"OLD",IF(AND(E929&lt;&gt;"",E929&lt;&gt;"!!!"),"NEW","")))</f>
        <v/>
      </c>
      <c r="G929" s="22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3" t="str">
        <f t="shared" ca="1" si="99"/>
        <v/>
      </c>
      <c r="I929" s="24" t="str">
        <f>IF(OR(E929="",E929="!!!",F929="NEW"),"",INDEX(B$2:B928,-1+SUMPRODUCT(MAX(ROW(E$2:E928)*(E929=E$2:E928)))))</f>
        <v/>
      </c>
      <c r="J929" s="24" t="str">
        <f ca="1">IF(OR(E929="",E929="!!!",F929="NEW"),"",COUNTBLANK(OFFSET(A$1,,,SUMPRODUCT(MAX(ROW(E$2:E929)*(E929=E$2:E929)))))-COUNTBLANK(OFFSET(A$1,,,SUMPRODUCT(MAX(ROW(E$1:E928)*(E2=E$1:E928))))))</f>
        <v/>
      </c>
      <c r="K929" s="24" t="str">
        <f>IF(OR(E929="",E929="!!!",F929="NEW"),"",INDEX(J$1:J928,SUMPRODUCT(MAX(ROW(E$1:E928)*(E929=E$1:E928)))))</f>
        <v/>
      </c>
      <c r="L929" s="25"/>
    </row>
    <row r="930" spans="1:12" x14ac:dyDescent="0.3">
      <c r="A930" t="s">
        <v>792</v>
      </c>
      <c r="E930" s="20" t="str">
        <f t="shared" si="98"/>
        <v/>
      </c>
      <c r="F930" s="21" t="str">
        <f>IF(OR(E930="",E930="!!!"),"",IF(NOT(ISNA(VLOOKUP(E930,E$1:E929,1,FALSE()))),"OLD",IF(AND(E930&lt;&gt;"",E930&lt;&gt;"!!!"),"NEW","")))</f>
        <v/>
      </c>
      <c r="G930" s="22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3" t="str">
        <f t="shared" ca="1" si="99"/>
        <v/>
      </c>
      <c r="I930" s="24" t="str">
        <f>IF(OR(E930="",E930="!!!",F930="NEW"),"",INDEX(B$2:B929,-1+SUMPRODUCT(MAX(ROW(E$2:E929)*(E930=E$2:E929)))))</f>
        <v/>
      </c>
      <c r="J930" s="24" t="str">
        <f ca="1">IF(OR(E930="",E930="!!!",F930="NEW"),"",COUNTBLANK(OFFSET(A$1,,,SUMPRODUCT(MAX(ROW(E$2:E930)*(E930=E$2:E930)))))-COUNTBLANK(OFFSET(A$1,,,SUMPRODUCT(MAX(ROW(E$1:E929)*(E2=E$1:E929))))))</f>
        <v/>
      </c>
      <c r="K930" s="24" t="str">
        <f>IF(OR(E930="",E930="!!!",F930="NEW"),"",INDEX(J$1:J929,SUMPRODUCT(MAX(ROW(E$1:E929)*(E930=E$1:E929)))))</f>
        <v/>
      </c>
      <c r="L930" s="25"/>
    </row>
    <row r="931" spans="1:12" x14ac:dyDescent="0.3">
      <c r="A931" t="s">
        <v>638</v>
      </c>
      <c r="E931" s="20" t="str">
        <f t="shared" si="98"/>
        <v/>
      </c>
      <c r="F931" s="21" t="str">
        <f>IF(OR(E931="",E931="!!!"),"",IF(NOT(ISNA(VLOOKUP(E931,E$1:E930,1,FALSE()))),"OLD",IF(AND(E931&lt;&gt;"",E931&lt;&gt;"!!!"),"NEW","")))</f>
        <v/>
      </c>
      <c r="G931" s="22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3" t="str">
        <f t="shared" ca="1" si="99"/>
        <v/>
      </c>
      <c r="I931" s="24" t="str">
        <f>IF(OR(E931="",E931="!!!",F931="NEW"),"",INDEX(B$2:B930,-1+SUMPRODUCT(MAX(ROW(E$2:E930)*(E931=E$2:E930)))))</f>
        <v/>
      </c>
      <c r="J931" s="24" t="str">
        <f ca="1">IF(OR(E931="",E931="!!!",F931="NEW"),"",COUNTBLANK(OFFSET(A$1,,,SUMPRODUCT(MAX(ROW(E$2:E931)*(E931=E$2:E931)))))-COUNTBLANK(OFFSET(A$1,,,SUMPRODUCT(MAX(ROW(E$1:E930)*(E2=E$1:E930))))))</f>
        <v/>
      </c>
      <c r="K931" s="24" t="str">
        <f>IF(OR(E931="",E931="!!!",F931="NEW"),"",INDEX(J$1:J930,SUMPRODUCT(MAX(ROW(E$1:E930)*(E931=E$1:E930)))))</f>
        <v/>
      </c>
      <c r="L931" s="25"/>
    </row>
    <row r="933" spans="1:12" x14ac:dyDescent="0.3">
      <c r="A933" t="s">
        <v>793</v>
      </c>
    </row>
    <row r="934" spans="1:12" x14ac:dyDescent="0.3">
      <c r="A934" t="s">
        <v>328</v>
      </c>
      <c r="E934" s="20" t="str">
        <f t="shared" ref="E934:E939" si="100">IF(D934="?OLD","!!!","")</f>
        <v/>
      </c>
      <c r="F934" s="21" t="str">
        <f>IF(OR(E934="",E934="!!!"),"",IF(NOT(ISNA(VLOOKUP(E934,E$1:E933,1,FALSE()))),"OLD",IF(AND(E934&lt;&gt;"",E934&lt;&gt;"!!!"),"NEW","")))</f>
        <v/>
      </c>
      <c r="G934" s="22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3" t="str">
        <f t="shared" ref="H934:H939" ca="1" si="101">IF(J934&lt;&gt;1,"",IF(I934="SBJ","CB","?"))</f>
        <v/>
      </c>
      <c r="I934" s="24" t="str">
        <f>IF(OR(E934="",E934="!!!",F934="NEW"),"",INDEX(B$2:B933,-1+SUMPRODUCT(MAX(ROW(E$2:E933)*(E934=E$2:E933)))))</f>
        <v/>
      </c>
      <c r="J934" s="24" t="str">
        <f ca="1">IF(OR(E934="",E934="!!!",F934="NEW"),"",COUNTBLANK(OFFSET(A$1,,,SUMPRODUCT(MAX(ROW(E$2:E934)*(E934=E$2:E934)))))-COUNTBLANK(OFFSET(A$1,,,SUMPRODUCT(MAX(ROW(E$1:E933)*(E2=E$1:E933))))))</f>
        <v/>
      </c>
      <c r="K934" s="24" t="str">
        <f>IF(OR(E934="",E934="!!!",F934="NEW"),"",INDEX(J$1:J933,SUMPRODUCT(MAX(ROW(E$1:E933)*(E934=E$1:E933)))))</f>
        <v/>
      </c>
      <c r="L934" s="25"/>
    </row>
    <row r="935" spans="1:12" x14ac:dyDescent="0.3">
      <c r="A935" t="s">
        <v>794</v>
      </c>
      <c r="E935" s="20" t="str">
        <f t="shared" si="100"/>
        <v/>
      </c>
      <c r="F935" s="21" t="str">
        <f>IF(OR(E935="",E935="!!!"),"",IF(NOT(ISNA(VLOOKUP(E935,E$1:E934,1,FALSE()))),"OLD",IF(AND(E935&lt;&gt;"",E935&lt;&gt;"!!!"),"NEW","")))</f>
        <v/>
      </c>
      <c r="G935" s="22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3" t="str">
        <f t="shared" ca="1" si="101"/>
        <v/>
      </c>
      <c r="I935" s="24" t="str">
        <f>IF(OR(E935="",E935="!!!",F935="NEW"),"",INDEX(B$2:B934,-1+SUMPRODUCT(MAX(ROW(E$2:E934)*(E935=E$2:E934)))))</f>
        <v/>
      </c>
      <c r="J935" s="24" t="str">
        <f ca="1">IF(OR(E935="",E935="!!!",F935="NEW"),"",COUNTBLANK(OFFSET(A$1,,,SUMPRODUCT(MAX(ROW(E$2:E935)*(E935=E$2:E935)))))-COUNTBLANK(OFFSET(A$1,,,SUMPRODUCT(MAX(ROW(E$1:E934)*(E2=E$1:E934))))))</f>
        <v/>
      </c>
      <c r="K935" s="24" t="str">
        <f>IF(OR(E935="",E935="!!!",F935="NEW"),"",INDEX(J$1:J934,SUMPRODUCT(MAX(ROW(E$1:E934)*(E935=E$1:E934)))))</f>
        <v/>
      </c>
      <c r="L935" s="25"/>
    </row>
    <row r="936" spans="1:12" x14ac:dyDescent="0.3">
      <c r="A936" t="s">
        <v>795</v>
      </c>
      <c r="B936" s="26" t="s">
        <v>354</v>
      </c>
      <c r="C936" s="26" t="s">
        <v>331</v>
      </c>
      <c r="D936" s="26" t="s">
        <v>332</v>
      </c>
      <c r="E936" s="20" t="str">
        <f t="shared" si="100"/>
        <v>!!!</v>
      </c>
      <c r="F936" s="21" t="str">
        <f>IF(OR(E936="",E936="!!!"),"",IF(NOT(ISNA(VLOOKUP(E936,E$1:E935,1,FALSE()))),"OLD",IF(AND(E936&lt;&gt;"",E936&lt;&gt;"!!!"),"NEW","")))</f>
        <v/>
      </c>
      <c r="G936" s="22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3" t="str">
        <f t="shared" ca="1" si="101"/>
        <v/>
      </c>
      <c r="I936" s="24" t="str">
        <f>IF(OR(E936="",E936="!!!",F936="NEW"),"",INDEX(B$2:B935,-1+SUMPRODUCT(MAX(ROW(E$2:E935)*(E936=E$2:E935)))))</f>
        <v/>
      </c>
      <c r="J936" s="24" t="str">
        <f ca="1">IF(OR(E936="",E936="!!!",F936="NEW"),"",COUNTBLANK(OFFSET(A$1,,,SUMPRODUCT(MAX(ROW(E$2:E936)*(E936=E$2:E936)))))-COUNTBLANK(OFFSET(A$1,,,SUMPRODUCT(MAX(ROW(E$1:E935)*(E2=E$1:E935))))))</f>
        <v/>
      </c>
      <c r="K936" s="24" t="str">
        <f>IF(OR(E936="",E936="!!!",F936="NEW"),"",INDEX(J$1:J935,SUMPRODUCT(MAX(ROW(E$1:E935)*(E936=E$1:E935)))))</f>
        <v/>
      </c>
      <c r="L936" s="25"/>
    </row>
    <row r="937" spans="1:12" x14ac:dyDescent="0.3">
      <c r="A937" t="s">
        <v>333</v>
      </c>
      <c r="E937" s="20" t="str">
        <f t="shared" si="100"/>
        <v/>
      </c>
      <c r="F937" s="21" t="str">
        <f>IF(OR(E937="",E937="!!!"),"",IF(NOT(ISNA(VLOOKUP(E937,E$1:E936,1,FALSE()))),"OLD",IF(AND(E937&lt;&gt;"",E937&lt;&gt;"!!!"),"NEW","")))</f>
        <v/>
      </c>
      <c r="G937" s="22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3" t="str">
        <f t="shared" ca="1" si="101"/>
        <v/>
      </c>
      <c r="I937" s="24" t="str">
        <f>IF(OR(E937="",E937="!!!",F937="NEW"),"",INDEX(B$2:B936,-1+SUMPRODUCT(MAX(ROW(E$2:E936)*(E937=E$2:E936)))))</f>
        <v/>
      </c>
      <c r="J937" s="24" t="str">
        <f ca="1">IF(OR(E937="",E937="!!!",F937="NEW"),"",COUNTBLANK(OFFSET(A$1,,,SUMPRODUCT(MAX(ROW(E$2:E937)*(E937=E$2:E937)))))-COUNTBLANK(OFFSET(A$1,,,SUMPRODUCT(MAX(ROW(E$1:E936)*(E2=E$1:E936))))))</f>
        <v/>
      </c>
      <c r="K937" s="24" t="str">
        <f>IF(OR(E937="",E937="!!!",F937="NEW"),"",INDEX(J$1:J936,SUMPRODUCT(MAX(ROW(E$1:E936)*(E937=E$1:E936)))))</f>
        <v/>
      </c>
      <c r="L937" s="25"/>
    </row>
    <row r="938" spans="1:12" x14ac:dyDescent="0.3">
      <c r="A938" t="s">
        <v>796</v>
      </c>
      <c r="E938" s="20" t="str">
        <f t="shared" si="100"/>
        <v/>
      </c>
      <c r="F938" s="21" t="str">
        <f>IF(OR(E938="",E938="!!!"),"",IF(NOT(ISNA(VLOOKUP(E938,E$1:E937,1,FALSE()))),"OLD",IF(AND(E938&lt;&gt;"",E938&lt;&gt;"!!!"),"NEW","")))</f>
        <v/>
      </c>
      <c r="G938" s="22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3" t="str">
        <f t="shared" ca="1" si="101"/>
        <v/>
      </c>
      <c r="I938" s="24" t="str">
        <f>IF(OR(E938="",E938="!!!",F938="NEW"),"",INDEX(B$2:B937,-1+SUMPRODUCT(MAX(ROW(E$2:E937)*(E938=E$2:E937)))))</f>
        <v/>
      </c>
      <c r="J938" s="24" t="str">
        <f ca="1">IF(OR(E938="",E938="!!!",F938="NEW"),"",COUNTBLANK(OFFSET(A$1,,,SUMPRODUCT(MAX(ROW(E$2:E938)*(E938=E$2:E938)))))-COUNTBLANK(OFFSET(A$1,,,SUMPRODUCT(MAX(ROW(E$1:E937)*(E2=E$1:E937))))))</f>
        <v/>
      </c>
      <c r="K938" s="24" t="str">
        <f>IF(OR(E938="",E938="!!!",F938="NEW"),"",INDEX(J$1:J937,SUMPRODUCT(MAX(ROW(E$1:E937)*(E938=E$1:E937)))))</f>
        <v/>
      </c>
      <c r="L938" s="25"/>
    </row>
    <row r="939" spans="1:12" x14ac:dyDescent="0.3">
      <c r="A939" t="s">
        <v>338</v>
      </c>
      <c r="E939" s="20" t="str">
        <f t="shared" si="100"/>
        <v/>
      </c>
      <c r="F939" s="21" t="str">
        <f>IF(OR(E939="",E939="!!!"),"",IF(NOT(ISNA(VLOOKUP(E939,E$1:E938,1,FALSE()))),"OLD",IF(AND(E939&lt;&gt;"",E939&lt;&gt;"!!!"),"NEW","")))</f>
        <v/>
      </c>
      <c r="G939" s="22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3" t="str">
        <f t="shared" ca="1" si="101"/>
        <v/>
      </c>
      <c r="I939" s="24" t="str">
        <f>IF(OR(E939="",E939="!!!",F939="NEW"),"",INDEX(B$2:B938,-1+SUMPRODUCT(MAX(ROW(E$2:E938)*(E939=E$2:E938)))))</f>
        <v/>
      </c>
      <c r="J939" s="24" t="str">
        <f ca="1">IF(OR(E939="",E939="!!!",F939="NEW"),"",COUNTBLANK(OFFSET(A$1,,,SUMPRODUCT(MAX(ROW(E$2:E939)*(E939=E$2:E939)))))-COUNTBLANK(OFFSET(A$1,,,SUMPRODUCT(MAX(ROW(E$1:E938)*(E2=E$1:E938))))))</f>
        <v/>
      </c>
      <c r="K939" s="24" t="str">
        <f>IF(OR(E939="",E939="!!!",F939="NEW"),"",INDEX(J$1:J938,SUMPRODUCT(MAX(ROW(E$1:E938)*(E939=E$1:E938)))))</f>
        <v/>
      </c>
      <c r="L939" s="25"/>
    </row>
    <row r="941" spans="1:12" x14ac:dyDescent="0.3">
      <c r="A941" t="s">
        <v>797</v>
      </c>
    </row>
    <row r="942" spans="1:12" x14ac:dyDescent="0.3">
      <c r="A942" t="s">
        <v>328</v>
      </c>
      <c r="E942" s="20" t="str">
        <f t="shared" ref="E942:E958" si="102">IF(D942="?OLD","!!!","")</f>
        <v/>
      </c>
      <c r="F942" s="21" t="str">
        <f>IF(OR(E942="",E942="!!!"),"",IF(NOT(ISNA(VLOOKUP(E942,E$1:E941,1,FALSE()))),"OLD",IF(AND(E942&lt;&gt;"",E942&lt;&gt;"!!!"),"NEW","")))</f>
        <v/>
      </c>
      <c r="G942" s="22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3" t="str">
        <f t="shared" ref="H942:H958" ca="1" si="103">IF(J942&lt;&gt;1,"",IF(I942="SBJ","CB","?"))</f>
        <v/>
      </c>
      <c r="I942" s="24" t="str">
        <f>IF(OR(E942="",E942="!!!",F942="NEW"),"",INDEX(B$2:B941,-1+SUMPRODUCT(MAX(ROW(E$2:E941)*(E942=E$2:E941)))))</f>
        <v/>
      </c>
      <c r="J942" s="24" t="str">
        <f ca="1">IF(OR(E942="",E942="!!!",F942="NEW"),"",COUNTBLANK(OFFSET(A$1,,,SUMPRODUCT(MAX(ROW(E$2:E942)*(E942=E$2:E942)))))-COUNTBLANK(OFFSET(A$1,,,SUMPRODUCT(MAX(ROW(E$1:E941)*(E2=E$1:E941))))))</f>
        <v/>
      </c>
      <c r="K942" s="24" t="str">
        <f>IF(OR(E942="",E942="!!!",F942="NEW"),"",INDEX(J$1:J941,SUMPRODUCT(MAX(ROW(E$1:E941)*(E942=E$1:E941)))))</f>
        <v/>
      </c>
      <c r="L942" s="25"/>
    </row>
    <row r="943" spans="1:12" x14ac:dyDescent="0.3">
      <c r="A943" t="s">
        <v>798</v>
      </c>
      <c r="B943" s="26" t="s">
        <v>330</v>
      </c>
      <c r="C943" s="26" t="s">
        <v>331</v>
      </c>
      <c r="D943" s="26" t="s">
        <v>332</v>
      </c>
      <c r="E943" s="20" t="str">
        <f t="shared" si="102"/>
        <v>!!!</v>
      </c>
      <c r="F943" s="21" t="str">
        <f>IF(OR(E943="",E943="!!!"),"",IF(NOT(ISNA(VLOOKUP(E943,E$1:E942,1,FALSE()))),"OLD",IF(AND(E943&lt;&gt;"",E943&lt;&gt;"!!!"),"NEW","")))</f>
        <v/>
      </c>
      <c r="G943" s="22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3" t="str">
        <f t="shared" ca="1" si="103"/>
        <v/>
      </c>
      <c r="I943" s="24" t="str">
        <f>IF(OR(E943="",E943="!!!",F943="NEW"),"",INDEX(B$2:B942,-1+SUMPRODUCT(MAX(ROW(E$2:E942)*(E943=E$2:E942)))))</f>
        <v/>
      </c>
      <c r="J943" s="24" t="str">
        <f ca="1">IF(OR(E943="",E943="!!!",F943="NEW"),"",COUNTBLANK(OFFSET(A$1,,,SUMPRODUCT(MAX(ROW(E$2:E943)*(E943=E$2:E943)))))-COUNTBLANK(OFFSET(A$1,,,SUMPRODUCT(MAX(ROW(E$1:E942)*(E2=E$1:E942))))))</f>
        <v/>
      </c>
      <c r="K943" s="24" t="str">
        <f>IF(OR(E943="",E943="!!!",F943="NEW"),"",INDEX(J$1:J942,SUMPRODUCT(MAX(ROW(E$1:E942)*(E943=E$1:E942)))))</f>
        <v/>
      </c>
      <c r="L943" s="25"/>
    </row>
    <row r="944" spans="1:12" x14ac:dyDescent="0.3">
      <c r="A944" t="s">
        <v>799</v>
      </c>
      <c r="E944" s="20" t="str">
        <f t="shared" si="102"/>
        <v/>
      </c>
      <c r="F944" s="21" t="str">
        <f>IF(OR(E944="",E944="!!!"),"",IF(NOT(ISNA(VLOOKUP(E944,E$1:E943,1,FALSE()))),"OLD",IF(AND(E944&lt;&gt;"",E944&lt;&gt;"!!!"),"NEW","")))</f>
        <v/>
      </c>
      <c r="G944" s="22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3" t="str">
        <f t="shared" ca="1" si="103"/>
        <v/>
      </c>
      <c r="I944" s="24" t="str">
        <f>IF(OR(E944="",E944="!!!",F944="NEW"),"",INDEX(B$2:B943,-1+SUMPRODUCT(MAX(ROW(E$2:E943)*(E944=E$2:E943)))))</f>
        <v/>
      </c>
      <c r="J944" s="24" t="str">
        <f ca="1">IF(OR(E944="",E944="!!!",F944="NEW"),"",COUNTBLANK(OFFSET(A$1,,,SUMPRODUCT(MAX(ROW(E$2:E944)*(E944=E$2:E944)))))-COUNTBLANK(OFFSET(A$1,,,SUMPRODUCT(MAX(ROW(E$1:E943)*(E2=E$1:E943))))))</f>
        <v/>
      </c>
      <c r="K944" s="24" t="str">
        <f>IF(OR(E944="",E944="!!!",F944="NEW"),"",INDEX(J$1:J943,SUMPRODUCT(MAX(ROW(E$1:E943)*(E944=E$1:E943)))))</f>
        <v/>
      </c>
      <c r="L944" s="25"/>
    </row>
    <row r="945" spans="1:12" x14ac:dyDescent="0.3">
      <c r="A945" t="s">
        <v>351</v>
      </c>
      <c r="E945" s="20" t="str">
        <f t="shared" si="102"/>
        <v/>
      </c>
      <c r="F945" s="21" t="str">
        <f>IF(OR(E945="",E945="!!!"),"",IF(NOT(ISNA(VLOOKUP(E945,E$1:E944,1,FALSE()))),"OLD",IF(AND(E945&lt;&gt;"",E945&lt;&gt;"!!!"),"NEW","")))</f>
        <v/>
      </c>
      <c r="G945" s="22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3" t="str">
        <f t="shared" ca="1" si="103"/>
        <v/>
      </c>
      <c r="I945" s="24" t="str">
        <f>IF(OR(E945="",E945="!!!",F945="NEW"),"",INDEX(B$2:B944,-1+SUMPRODUCT(MAX(ROW(E$2:E944)*(E945=E$2:E944)))))</f>
        <v/>
      </c>
      <c r="J945" s="24" t="str">
        <f ca="1">IF(OR(E945="",E945="!!!",F945="NEW"),"",COUNTBLANK(OFFSET(A$1,,,SUMPRODUCT(MAX(ROW(E$2:E945)*(E945=E$2:E945)))))-COUNTBLANK(OFFSET(A$1,,,SUMPRODUCT(MAX(ROW(E$1:E944)*(E2=E$1:E944))))))</f>
        <v/>
      </c>
      <c r="K945" s="24" t="str">
        <f>IF(OR(E945="",E945="!!!",F945="NEW"),"",INDEX(J$1:J944,SUMPRODUCT(MAX(ROW(E$1:E944)*(E945=E$1:E944)))))</f>
        <v/>
      </c>
      <c r="L945" s="25"/>
    </row>
    <row r="946" spans="1:12" x14ac:dyDescent="0.3">
      <c r="A946" t="s">
        <v>352</v>
      </c>
      <c r="E946" s="20" t="str">
        <f t="shared" si="102"/>
        <v/>
      </c>
      <c r="F946" s="21" t="str">
        <f>IF(OR(E946="",E946="!!!"),"",IF(NOT(ISNA(VLOOKUP(E946,E$1:E945,1,FALSE()))),"OLD",IF(AND(E946&lt;&gt;"",E946&lt;&gt;"!!!"),"NEW","")))</f>
        <v/>
      </c>
      <c r="G946" s="22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3" t="str">
        <f t="shared" ca="1" si="103"/>
        <v/>
      </c>
      <c r="I946" s="24" t="str">
        <f>IF(OR(E946="",E946="!!!",F946="NEW"),"",INDEX(B$2:B945,-1+SUMPRODUCT(MAX(ROW(E$2:E945)*(E946=E$2:E945)))))</f>
        <v/>
      </c>
      <c r="J946" s="24" t="str">
        <f ca="1">IF(OR(E946="",E946="!!!",F946="NEW"),"",COUNTBLANK(OFFSET(A$1,,,SUMPRODUCT(MAX(ROW(E$2:E946)*(E946=E$2:E946)))))-COUNTBLANK(OFFSET(A$1,,,SUMPRODUCT(MAX(ROW(E$1:E945)*(E2=E$1:E945))))))</f>
        <v/>
      </c>
      <c r="K946" s="24" t="str">
        <f>IF(OR(E946="",E946="!!!",F946="NEW"),"",INDEX(J$1:J945,SUMPRODUCT(MAX(ROW(E$1:E945)*(E946=E$1:E945)))))</f>
        <v/>
      </c>
      <c r="L946" s="25"/>
    </row>
    <row r="947" spans="1:12" x14ac:dyDescent="0.3">
      <c r="A947" t="s">
        <v>800</v>
      </c>
      <c r="B947" s="26" t="s">
        <v>354</v>
      </c>
      <c r="C947" s="26" t="s">
        <v>355</v>
      </c>
      <c r="E947" s="20" t="str">
        <f t="shared" si="102"/>
        <v/>
      </c>
      <c r="F947" s="21" t="str">
        <f>IF(OR(E947="",E947="!!!"),"",IF(NOT(ISNA(VLOOKUP(E947,E$1:E946,1,FALSE()))),"OLD",IF(AND(E947&lt;&gt;"",E947&lt;&gt;"!!!"),"NEW","")))</f>
        <v/>
      </c>
      <c r="G947" s="22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23" t="str">
        <f t="shared" ca="1" si="103"/>
        <v/>
      </c>
      <c r="I947" s="24" t="str">
        <f>IF(OR(E947="",E947="!!!",F947="NEW"),"",INDEX(B$2:B946,-1+SUMPRODUCT(MAX(ROW(E$2:E946)*(E947=E$2:E946)))))</f>
        <v/>
      </c>
      <c r="J947" s="24" t="str">
        <f ca="1">IF(OR(E947="",E947="!!!",F947="NEW"),"",COUNTBLANK(OFFSET(A$1,,,SUMPRODUCT(MAX(ROW(E$2:E947)*(E947=E$2:E947)))))-COUNTBLANK(OFFSET(A$1,,,SUMPRODUCT(MAX(ROW(E$1:E946)*(E2=E$1:E946))))))</f>
        <v/>
      </c>
      <c r="K947" s="24" t="str">
        <f>IF(OR(E947="",E947="!!!",F947="NEW"),"",INDEX(J$1:J946,SUMPRODUCT(MAX(ROW(E$1:E946)*(E947=E$1:E946)))))</f>
        <v/>
      </c>
      <c r="L947" s="25"/>
    </row>
    <row r="948" spans="1:12" x14ac:dyDescent="0.3">
      <c r="A948" t="s">
        <v>801</v>
      </c>
      <c r="E948" s="20" t="str">
        <f t="shared" si="102"/>
        <v/>
      </c>
      <c r="F948" s="21" t="str">
        <f>IF(OR(E948="",E948="!!!"),"",IF(NOT(ISNA(VLOOKUP(E948,E$1:E947,1,FALSE()))),"OLD",IF(AND(E948&lt;&gt;"",E948&lt;&gt;"!!!"),"NEW","")))</f>
        <v/>
      </c>
      <c r="G948" s="22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3" t="str">
        <f t="shared" ca="1" si="103"/>
        <v/>
      </c>
      <c r="I948" s="24" t="str">
        <f>IF(OR(E948="",E948="!!!",F948="NEW"),"",INDEX(B$2:B947,-1+SUMPRODUCT(MAX(ROW(E$2:E947)*(E948=E$2:E947)))))</f>
        <v/>
      </c>
      <c r="J948" s="24" t="str">
        <f ca="1">IF(OR(E948="",E948="!!!",F948="NEW"),"",COUNTBLANK(OFFSET(A$1,,,SUMPRODUCT(MAX(ROW(E$2:E948)*(E948=E$2:E948)))))-COUNTBLANK(OFFSET(A$1,,,SUMPRODUCT(MAX(ROW(E$1:E947)*(E2=E$1:E947))))))</f>
        <v/>
      </c>
      <c r="K948" s="24" t="str">
        <f>IF(OR(E948="",E948="!!!",F948="NEW"),"",INDEX(J$1:J947,SUMPRODUCT(MAX(ROW(E$1:E947)*(E948=E$1:E947)))))</f>
        <v/>
      </c>
      <c r="L948" s="25"/>
    </row>
    <row r="949" spans="1:12" x14ac:dyDescent="0.3">
      <c r="A949" t="s">
        <v>802</v>
      </c>
      <c r="E949" s="20" t="str">
        <f t="shared" si="102"/>
        <v/>
      </c>
      <c r="F949" s="21" t="str">
        <f>IF(OR(E949="",E949="!!!"),"",IF(NOT(ISNA(VLOOKUP(E949,E$1:E948,1,FALSE()))),"OLD",IF(AND(E949&lt;&gt;"",E949&lt;&gt;"!!!"),"NEW","")))</f>
        <v/>
      </c>
      <c r="G949" s="22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3" t="str">
        <f t="shared" ca="1" si="103"/>
        <v/>
      </c>
      <c r="I949" s="24" t="str">
        <f>IF(OR(E949="",E949="!!!",F949="NEW"),"",INDEX(B$2:B948,-1+SUMPRODUCT(MAX(ROW(E$2:E948)*(E949=E$2:E948)))))</f>
        <v/>
      </c>
      <c r="J949" s="24" t="str">
        <f ca="1">IF(OR(E949="",E949="!!!",F949="NEW"),"",COUNTBLANK(OFFSET(A$1,,,SUMPRODUCT(MAX(ROW(E$2:E949)*(E949=E$2:E949)))))-COUNTBLANK(OFFSET(A$1,,,SUMPRODUCT(MAX(ROW(E$1:E948)*(E2=E$1:E948))))))</f>
        <v/>
      </c>
      <c r="K949" s="24" t="str">
        <f>IF(OR(E949="",E949="!!!",F949="NEW"),"",INDEX(J$1:J948,SUMPRODUCT(MAX(ROW(E$1:E948)*(E949=E$1:E948)))))</f>
        <v/>
      </c>
      <c r="L949" s="25"/>
    </row>
    <row r="950" spans="1:12" x14ac:dyDescent="0.3">
      <c r="A950" t="s">
        <v>569</v>
      </c>
      <c r="B950" s="26" t="s">
        <v>378</v>
      </c>
      <c r="C950" s="26" t="s">
        <v>496</v>
      </c>
      <c r="D950" s="26" t="s">
        <v>332</v>
      </c>
      <c r="E950" s="20" t="str">
        <f t="shared" si="102"/>
        <v>!!!</v>
      </c>
      <c r="F950" s="21" t="str">
        <f>IF(OR(E950="",E950="!!!"),"",IF(NOT(ISNA(VLOOKUP(E950,E$1:E949,1,FALSE()))),"OLD",IF(AND(E950&lt;&gt;"",E950&lt;&gt;"!!!"),"NEW","")))</f>
        <v/>
      </c>
      <c r="G950" s="22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3" t="str">
        <f t="shared" ca="1" si="103"/>
        <v/>
      </c>
      <c r="I950" s="24" t="str">
        <f>IF(OR(E950="",E950="!!!",F950="NEW"),"",INDEX(B$2:B949,-1+SUMPRODUCT(MAX(ROW(E$2:E949)*(E950=E$2:E949)))))</f>
        <v/>
      </c>
      <c r="J950" s="24" t="str">
        <f ca="1">IF(OR(E950="",E950="!!!",F950="NEW"),"",COUNTBLANK(OFFSET(A$1,,,SUMPRODUCT(MAX(ROW(E$2:E950)*(E950=E$2:E950)))))-COUNTBLANK(OFFSET(A$1,,,SUMPRODUCT(MAX(ROW(E$1:E949)*(E2=E$1:E949))))))</f>
        <v/>
      </c>
      <c r="K950" s="24" t="str">
        <f>IF(OR(E950="",E950="!!!",F950="NEW"),"",INDEX(J$1:J949,SUMPRODUCT(MAX(ROW(E$1:E949)*(E950=E$1:E949)))))</f>
        <v/>
      </c>
      <c r="L950" s="25"/>
    </row>
    <row r="951" spans="1:12" x14ac:dyDescent="0.3">
      <c r="A951" t="s">
        <v>11</v>
      </c>
      <c r="E951" s="20" t="str">
        <f t="shared" si="102"/>
        <v/>
      </c>
      <c r="F951" s="21" t="str">
        <f>IF(OR(E951="",E951="!!!"),"",IF(NOT(ISNA(VLOOKUP(E951,E$1:E950,1,FALSE()))),"OLD",IF(AND(E951&lt;&gt;"",E951&lt;&gt;"!!!"),"NEW","")))</f>
        <v/>
      </c>
      <c r="G951" s="22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3" t="str">
        <f t="shared" ca="1" si="103"/>
        <v/>
      </c>
      <c r="I951" s="24" t="str">
        <f>IF(OR(E951="",E951="!!!",F951="NEW"),"",INDEX(B$2:B950,-1+SUMPRODUCT(MAX(ROW(E$2:E950)*(E951=E$2:E950)))))</f>
        <v/>
      </c>
      <c r="J951" s="24" t="str">
        <f ca="1">IF(OR(E951="",E951="!!!",F951="NEW"),"",COUNTBLANK(OFFSET(A$1,,,SUMPRODUCT(MAX(ROW(E$2:E951)*(E951=E$2:E951)))))-COUNTBLANK(OFFSET(A$1,,,SUMPRODUCT(MAX(ROW(E$1:E950)*(E2=E$1:E950))))))</f>
        <v/>
      </c>
      <c r="K951" s="24" t="str">
        <f>IF(OR(E951="",E951="!!!",F951="NEW"),"",INDEX(J$1:J950,SUMPRODUCT(MAX(ROW(E$1:E950)*(E951=E$1:E950)))))</f>
        <v/>
      </c>
      <c r="L951" s="25"/>
    </row>
    <row r="952" spans="1:12" x14ac:dyDescent="0.3">
      <c r="A952" t="s">
        <v>803</v>
      </c>
      <c r="E952" s="20" t="str">
        <f t="shared" si="102"/>
        <v/>
      </c>
      <c r="F952" s="21" t="str">
        <f>IF(OR(E952="",E952="!!!"),"",IF(NOT(ISNA(VLOOKUP(E952,E$1:E951,1,FALSE()))),"OLD",IF(AND(E952&lt;&gt;"",E952&lt;&gt;"!!!"),"NEW","")))</f>
        <v/>
      </c>
      <c r="G952" s="22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3" t="str">
        <f t="shared" ca="1" si="103"/>
        <v/>
      </c>
      <c r="I952" s="24" t="str">
        <f>IF(OR(E952="",E952="!!!",F952="NEW"),"",INDEX(B$2:B951,-1+SUMPRODUCT(MAX(ROW(E$2:E951)*(E952=E$2:E951)))))</f>
        <v/>
      </c>
      <c r="J952" s="24" t="str">
        <f ca="1">IF(OR(E952="",E952="!!!",F952="NEW"),"",COUNTBLANK(OFFSET(A$1,,,SUMPRODUCT(MAX(ROW(E$2:E952)*(E952=E$2:E952)))))-COUNTBLANK(OFFSET(A$1,,,SUMPRODUCT(MAX(ROW(E$1:E951)*(E2=E$1:E951))))))</f>
        <v/>
      </c>
      <c r="K952" s="24" t="str">
        <f>IF(OR(E952="",E952="!!!",F952="NEW"),"",INDEX(J$1:J951,SUMPRODUCT(MAX(ROW(E$1:E951)*(E952=E$1:E951)))))</f>
        <v/>
      </c>
      <c r="L952" s="25"/>
    </row>
    <row r="953" spans="1:12" x14ac:dyDescent="0.3">
      <c r="A953" t="s">
        <v>804</v>
      </c>
      <c r="E953" s="20" t="str">
        <f t="shared" si="102"/>
        <v/>
      </c>
      <c r="F953" s="21" t="str">
        <f>IF(OR(E953="",E953="!!!"),"",IF(NOT(ISNA(VLOOKUP(E953,E$1:E952,1,FALSE()))),"OLD",IF(AND(E953&lt;&gt;"",E953&lt;&gt;"!!!"),"NEW","")))</f>
        <v/>
      </c>
      <c r="G953" s="22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3" t="str">
        <f t="shared" ca="1" si="103"/>
        <v/>
      </c>
      <c r="I953" s="24" t="str">
        <f>IF(OR(E953="",E953="!!!",F953="NEW"),"",INDEX(B$2:B952,-1+SUMPRODUCT(MAX(ROW(E$2:E952)*(E953=E$2:E952)))))</f>
        <v/>
      </c>
      <c r="J953" s="24" t="str">
        <f ca="1">IF(OR(E953="",E953="!!!",F953="NEW"),"",COUNTBLANK(OFFSET(A$1,,,SUMPRODUCT(MAX(ROW(E$2:E953)*(E953=E$2:E953)))))-COUNTBLANK(OFFSET(A$1,,,SUMPRODUCT(MAX(ROW(E$1:E952)*(E2=E$1:E952))))))</f>
        <v/>
      </c>
      <c r="K953" s="24" t="str">
        <f>IF(OR(E953="",E953="!!!",F953="NEW"),"",INDEX(J$1:J952,SUMPRODUCT(MAX(ROW(E$1:E952)*(E953=E$1:E952)))))</f>
        <v/>
      </c>
      <c r="L953" s="25"/>
    </row>
    <row r="954" spans="1:12" x14ac:dyDescent="0.3">
      <c r="A954" t="s">
        <v>791</v>
      </c>
      <c r="E954" s="20" t="str">
        <f t="shared" si="102"/>
        <v/>
      </c>
      <c r="F954" s="21" t="str">
        <f>IF(OR(E954="",E954="!!!"),"",IF(NOT(ISNA(VLOOKUP(E954,E$1:E953,1,FALSE()))),"OLD",IF(AND(E954&lt;&gt;"",E954&lt;&gt;"!!!"),"NEW","")))</f>
        <v/>
      </c>
      <c r="G954" s="22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3" t="str">
        <f t="shared" ca="1" si="103"/>
        <v/>
      </c>
      <c r="I954" s="24" t="str">
        <f>IF(OR(E954="",E954="!!!",F954="NEW"),"",INDEX(B$2:B953,-1+SUMPRODUCT(MAX(ROW(E$2:E953)*(E954=E$2:E953)))))</f>
        <v/>
      </c>
      <c r="J954" s="24" t="str">
        <f ca="1">IF(OR(E954="",E954="!!!",F954="NEW"),"",COUNTBLANK(OFFSET(A$1,,,SUMPRODUCT(MAX(ROW(E$2:E954)*(E954=E$2:E954)))))-COUNTBLANK(OFFSET(A$1,,,SUMPRODUCT(MAX(ROW(E$1:E953)*(E2=E$1:E953))))))</f>
        <v/>
      </c>
      <c r="K954" s="24" t="str">
        <f>IF(OR(E954="",E954="!!!",F954="NEW"),"",INDEX(J$1:J953,SUMPRODUCT(MAX(ROW(E$1:E953)*(E954=E$1:E953)))))</f>
        <v/>
      </c>
      <c r="L954" s="25"/>
    </row>
    <row r="955" spans="1:12" x14ac:dyDescent="0.3">
      <c r="A955" t="s">
        <v>805</v>
      </c>
      <c r="B955" s="26" t="s">
        <v>354</v>
      </c>
      <c r="C955" s="26" t="s">
        <v>355</v>
      </c>
      <c r="E955" s="20" t="str">
        <f t="shared" si="102"/>
        <v/>
      </c>
      <c r="F955" s="21" t="str">
        <f>IF(OR(E955="",E955="!!!"),"",IF(NOT(ISNA(VLOOKUP(E955,E$1:E954,1,FALSE()))),"OLD",IF(AND(E955&lt;&gt;"",E955&lt;&gt;"!!!"),"NEW","")))</f>
        <v/>
      </c>
      <c r="G955" s="22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3" t="str">
        <f t="shared" ca="1" si="103"/>
        <v/>
      </c>
      <c r="I955" s="24" t="str">
        <f>IF(OR(E955="",E955="!!!",F955="NEW"),"",INDEX(B$2:B954,-1+SUMPRODUCT(MAX(ROW(E$2:E954)*(E955=E$2:E954)))))</f>
        <v/>
      </c>
      <c r="J955" s="24" t="str">
        <f ca="1">IF(OR(E955="",E955="!!!",F955="NEW"),"",COUNTBLANK(OFFSET(A$1,,,SUMPRODUCT(MAX(ROW(E$2:E955)*(E955=E$2:E955)))))-COUNTBLANK(OFFSET(A$1,,,SUMPRODUCT(MAX(ROW(E$1:E954)*(E2=E$1:E954))))))</f>
        <v/>
      </c>
      <c r="K955" s="24" t="str">
        <f>IF(OR(E955="",E955="!!!",F955="NEW"),"",INDEX(J$1:J954,SUMPRODUCT(MAX(ROW(E$1:E954)*(E955=E$1:E954)))))</f>
        <v/>
      </c>
      <c r="L955" s="25"/>
    </row>
    <row r="956" spans="1:12" x14ac:dyDescent="0.3">
      <c r="A956" t="s">
        <v>383</v>
      </c>
      <c r="E956" s="20" t="str">
        <f t="shared" si="102"/>
        <v/>
      </c>
      <c r="F956" s="21" t="str">
        <f>IF(OR(E956="",E956="!!!"),"",IF(NOT(ISNA(VLOOKUP(E956,E$1:E955,1,FALSE()))),"OLD",IF(AND(E956&lt;&gt;"",E956&lt;&gt;"!!!"),"NEW","")))</f>
        <v/>
      </c>
      <c r="G956" s="22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3" t="str">
        <f t="shared" ca="1" si="103"/>
        <v/>
      </c>
      <c r="I956" s="24" t="str">
        <f>IF(OR(E956="",E956="!!!",F956="NEW"),"",INDEX(B$2:B955,-1+SUMPRODUCT(MAX(ROW(E$2:E955)*(E956=E$2:E955)))))</f>
        <v/>
      </c>
      <c r="J956" s="24" t="str">
        <f ca="1">IF(OR(E956="",E956="!!!",F956="NEW"),"",COUNTBLANK(OFFSET(A$1,,,SUMPRODUCT(MAX(ROW(E$2:E956)*(E956=E$2:E956)))))-COUNTBLANK(OFFSET(A$1,,,SUMPRODUCT(MAX(ROW(E$1:E955)*(E2=E$1:E955))))))</f>
        <v/>
      </c>
      <c r="K956" s="24" t="str">
        <f>IF(OR(E956="",E956="!!!",F956="NEW"),"",INDEX(J$1:J955,SUMPRODUCT(MAX(ROW(E$1:E955)*(E956=E$1:E955)))))</f>
        <v/>
      </c>
      <c r="L956" s="25"/>
    </row>
    <row r="957" spans="1:12" x14ac:dyDescent="0.3">
      <c r="A957" t="s">
        <v>806</v>
      </c>
      <c r="B957" s="26" t="s">
        <v>337</v>
      </c>
      <c r="C957" s="26" t="s">
        <v>358</v>
      </c>
      <c r="E957" s="20" t="str">
        <f t="shared" si="102"/>
        <v/>
      </c>
      <c r="F957" s="21" t="str">
        <f>IF(OR(E957="",E957="!!!"),"",IF(NOT(ISNA(VLOOKUP(E957,E$1:E956,1,FALSE()))),"OLD",IF(AND(E957&lt;&gt;"",E957&lt;&gt;"!!!"),"NEW","")))</f>
        <v/>
      </c>
      <c r="G957" s="22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3" t="str">
        <f t="shared" ca="1" si="103"/>
        <v/>
      </c>
      <c r="I957" s="24" t="str">
        <f>IF(OR(E957="",E957="!!!",F957="NEW"),"",INDEX(B$2:B956,-1+SUMPRODUCT(MAX(ROW(E$2:E956)*(E957=E$2:E956)))))</f>
        <v/>
      </c>
      <c r="J957" s="24" t="str">
        <f ca="1">IF(OR(E957="",E957="!!!",F957="NEW"),"",COUNTBLANK(OFFSET(A$1,,,SUMPRODUCT(MAX(ROW(E$2:E957)*(E957=E$2:E957)))))-COUNTBLANK(OFFSET(A$1,,,SUMPRODUCT(MAX(ROW(E$1:E956)*(E2=E$1:E956))))))</f>
        <v/>
      </c>
      <c r="K957" s="24" t="str">
        <f>IF(OR(E957="",E957="!!!",F957="NEW"),"",INDEX(J$1:J956,SUMPRODUCT(MAX(ROW(E$1:E956)*(E957=E$1:E956)))))</f>
        <v/>
      </c>
      <c r="L957" s="25"/>
    </row>
    <row r="958" spans="1:12" x14ac:dyDescent="0.3">
      <c r="A958" t="s">
        <v>338</v>
      </c>
      <c r="E958" s="20" t="str">
        <f t="shared" si="102"/>
        <v/>
      </c>
      <c r="F958" s="21" t="str">
        <f>IF(OR(E958="",E958="!!!"),"",IF(NOT(ISNA(VLOOKUP(E958,E$1:E957,1,FALSE()))),"OLD",IF(AND(E958&lt;&gt;"",E958&lt;&gt;"!!!"),"NEW","")))</f>
        <v/>
      </c>
      <c r="G958" s="22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3" t="str">
        <f t="shared" ca="1" si="103"/>
        <v/>
      </c>
      <c r="I958" s="24" t="str">
        <f>IF(OR(E958="",E958="!!!",F958="NEW"),"",INDEX(B$2:B957,-1+SUMPRODUCT(MAX(ROW(E$2:E957)*(E958=E$2:E957)))))</f>
        <v/>
      </c>
      <c r="J958" s="24" t="str">
        <f ca="1">IF(OR(E958="",E958="!!!",F958="NEW"),"",COUNTBLANK(OFFSET(A$1,,,SUMPRODUCT(MAX(ROW(E$2:E958)*(E958=E$2:E958)))))-COUNTBLANK(OFFSET(A$1,,,SUMPRODUCT(MAX(ROW(E$1:E957)*(E2=E$1:E957))))))</f>
        <v/>
      </c>
      <c r="K958" s="24" t="str">
        <f>IF(OR(E958="",E958="!!!",F958="NEW"),"",INDEX(J$1:J957,SUMPRODUCT(MAX(ROW(E$1:E957)*(E958=E$1:E957)))))</f>
        <v/>
      </c>
      <c r="L958" s="25"/>
    </row>
    <row r="960" spans="1:12" x14ac:dyDescent="0.3">
      <c r="A960" t="s">
        <v>807</v>
      </c>
    </row>
    <row r="961" spans="1:12" x14ac:dyDescent="0.3">
      <c r="A961" t="s">
        <v>688</v>
      </c>
      <c r="E961" s="20" t="str">
        <f t="shared" ref="E961:E981" si="104">IF(D961="?OLD","!!!","")</f>
        <v/>
      </c>
      <c r="F961" s="21" t="str">
        <f>IF(OR(E961="",E961="!!!"),"",IF(NOT(ISNA(VLOOKUP(E961,E$1:E960,1,FALSE()))),"OLD",IF(AND(E961&lt;&gt;"",E961&lt;&gt;"!!!"),"NEW","")))</f>
        <v/>
      </c>
      <c r="G961" s="22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3" t="str">
        <f t="shared" ref="H961:H981" ca="1" si="105">IF(J961&lt;&gt;1,"",IF(I961="SBJ","CB","?"))</f>
        <v/>
      </c>
      <c r="I961" s="24" t="str">
        <f>IF(OR(E961="",E961="!!!",F961="NEW"),"",INDEX(B$2:B960,-1+SUMPRODUCT(MAX(ROW(E$2:E960)*(E961=E$2:E960)))))</f>
        <v/>
      </c>
      <c r="J961" s="24" t="str">
        <f ca="1">IF(OR(E961="",E961="!!!",F961="NEW"),"",COUNTBLANK(OFFSET(A$1,,,SUMPRODUCT(MAX(ROW(E$2:E961)*(E961=E$2:E961)))))-COUNTBLANK(OFFSET(A$1,,,SUMPRODUCT(MAX(ROW(E$1:E960)*(E2=E$1:E960))))))</f>
        <v/>
      </c>
      <c r="K961" s="24" t="str">
        <f>IF(OR(E961="",E961="!!!",F961="NEW"),"",INDEX(J$1:J960,SUMPRODUCT(MAX(ROW(E$1:E960)*(E961=E$1:E960)))))</f>
        <v/>
      </c>
      <c r="L961" s="25"/>
    </row>
    <row r="962" spans="1:12" x14ac:dyDescent="0.3">
      <c r="A962" t="s">
        <v>808</v>
      </c>
      <c r="B962" s="26" t="s">
        <v>337</v>
      </c>
      <c r="C962" s="26" t="s">
        <v>355</v>
      </c>
      <c r="E962" s="20" t="str">
        <f t="shared" si="104"/>
        <v/>
      </c>
      <c r="F962" s="21" t="str">
        <f>IF(OR(E962="",E962="!!!"),"",IF(NOT(ISNA(VLOOKUP(E962,E$1:E961,1,FALSE()))),"OLD",IF(AND(E962&lt;&gt;"",E962&lt;&gt;"!!!"),"NEW","")))</f>
        <v/>
      </c>
      <c r="G962" s="22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3" t="str">
        <f t="shared" ca="1" si="105"/>
        <v/>
      </c>
      <c r="I962" s="24" t="str">
        <f>IF(OR(E962="",E962="!!!",F962="NEW"),"",INDEX(B$2:B961,-1+SUMPRODUCT(MAX(ROW(E$2:E961)*(E962=E$2:E961)))))</f>
        <v/>
      </c>
      <c r="J962" s="24" t="str">
        <f ca="1">IF(OR(E962="",E962="!!!",F962="NEW"),"",COUNTBLANK(OFFSET(A$1,,,SUMPRODUCT(MAX(ROW(E$2:E962)*(E962=E$2:E962)))))-COUNTBLANK(OFFSET(A$1,,,SUMPRODUCT(MAX(ROW(E$1:E961)*(E2=E$1:E961))))))</f>
        <v/>
      </c>
      <c r="K962" s="24" t="str">
        <f>IF(OR(E962="",E962="!!!",F962="NEW"),"",INDEX(J$1:J961,SUMPRODUCT(MAX(ROW(E$1:E961)*(E962=E$1:E961)))))</f>
        <v/>
      </c>
      <c r="L962" s="25"/>
    </row>
    <row r="963" spans="1:12" x14ac:dyDescent="0.3">
      <c r="A963" t="s">
        <v>650</v>
      </c>
      <c r="E963" s="20" t="str">
        <f t="shared" si="104"/>
        <v/>
      </c>
      <c r="F963" s="21" t="str">
        <f>IF(OR(E963="",E963="!!!"),"",IF(NOT(ISNA(VLOOKUP(E963,E$1:E962,1,FALSE()))),"OLD",IF(AND(E963&lt;&gt;"",E963&lt;&gt;"!!!"),"NEW","")))</f>
        <v/>
      </c>
      <c r="G963" s="22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3" t="str">
        <f t="shared" ca="1" si="105"/>
        <v/>
      </c>
      <c r="I963" s="24" t="str">
        <f>IF(OR(E963="",E963="!!!",F963="NEW"),"",INDEX(B$2:B962,-1+SUMPRODUCT(MAX(ROW(E$2:E962)*(E963=E$2:E962)))))</f>
        <v/>
      </c>
      <c r="J963" s="24" t="str">
        <f ca="1">IF(OR(E963="",E963="!!!",F963="NEW"),"",COUNTBLANK(OFFSET(A$1,,,SUMPRODUCT(MAX(ROW(E$2:E963)*(E963=E$2:E963)))))-COUNTBLANK(OFFSET(A$1,,,SUMPRODUCT(MAX(ROW(E$1:E962)*(E2=E$1:E962))))))</f>
        <v/>
      </c>
      <c r="K963" s="24" t="str">
        <f>IF(OR(E963="",E963="!!!",F963="NEW"),"",INDEX(J$1:J962,SUMPRODUCT(MAX(ROW(E$1:E962)*(E963=E$1:E962)))))</f>
        <v/>
      </c>
      <c r="L963" s="25"/>
    </row>
    <row r="964" spans="1:12" x14ac:dyDescent="0.3">
      <c r="A964" t="s">
        <v>437</v>
      </c>
      <c r="B964" s="26" t="s">
        <v>330</v>
      </c>
      <c r="C964" s="26" t="s">
        <v>438</v>
      </c>
      <c r="D964" s="26" t="s">
        <v>332</v>
      </c>
      <c r="E964" s="20" t="str">
        <f t="shared" si="104"/>
        <v>!!!</v>
      </c>
      <c r="F964" s="21" t="str">
        <f>IF(OR(E964="",E964="!!!"),"",IF(NOT(ISNA(VLOOKUP(E964,E$1:E963,1,FALSE()))),"OLD",IF(AND(E964&lt;&gt;"",E964&lt;&gt;"!!!"),"NEW","")))</f>
        <v/>
      </c>
      <c r="G964" s="22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3" t="str">
        <f t="shared" ca="1" si="105"/>
        <v/>
      </c>
      <c r="I964" s="24" t="str">
        <f>IF(OR(E964="",E964="!!!",F964="NEW"),"",INDEX(B$2:B963,-1+SUMPRODUCT(MAX(ROW(E$2:E963)*(E964=E$2:E963)))))</f>
        <v/>
      </c>
      <c r="J964" s="24" t="str">
        <f ca="1">IF(OR(E964="",E964="!!!",F964="NEW"),"",COUNTBLANK(OFFSET(A$1,,,SUMPRODUCT(MAX(ROW(E$2:E964)*(E964=E$2:E964)))))-COUNTBLANK(OFFSET(A$1,,,SUMPRODUCT(MAX(ROW(E$1:E963)*(E2=E$1:E963))))))</f>
        <v/>
      </c>
      <c r="K964" s="24" t="str">
        <f>IF(OR(E964="",E964="!!!",F964="NEW"),"",INDEX(J$1:J963,SUMPRODUCT(MAX(ROW(E$1:E963)*(E964=E$1:E963)))))</f>
        <v/>
      </c>
      <c r="L964" s="25"/>
    </row>
    <row r="965" spans="1:12" x14ac:dyDescent="0.3">
      <c r="A965" t="s">
        <v>419</v>
      </c>
      <c r="E965" s="20" t="str">
        <f t="shared" si="104"/>
        <v/>
      </c>
      <c r="F965" s="21" t="str">
        <f>IF(OR(E965="",E965="!!!"),"",IF(NOT(ISNA(VLOOKUP(E965,E$1:E964,1,FALSE()))),"OLD",IF(AND(E965&lt;&gt;"",E965&lt;&gt;"!!!"),"NEW","")))</f>
        <v/>
      </c>
      <c r="G965" s="22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3" t="str">
        <f t="shared" ca="1" si="105"/>
        <v/>
      </c>
      <c r="I965" s="24" t="str">
        <f>IF(OR(E965="",E965="!!!",F965="NEW"),"",INDEX(B$2:B964,-1+SUMPRODUCT(MAX(ROW(E$2:E964)*(E965=E$2:E964)))))</f>
        <v/>
      </c>
      <c r="J965" s="24" t="str">
        <f ca="1">IF(OR(E965="",E965="!!!",F965="NEW"),"",COUNTBLANK(OFFSET(A$1,,,SUMPRODUCT(MAX(ROW(E$2:E965)*(E965=E$2:E965)))))-COUNTBLANK(OFFSET(A$1,,,SUMPRODUCT(MAX(ROW(E$1:E964)*(E2=E$1:E964))))))</f>
        <v/>
      </c>
      <c r="K965" s="24" t="str">
        <f>IF(OR(E965="",E965="!!!",F965="NEW"),"",INDEX(J$1:J964,SUMPRODUCT(MAX(ROW(E$1:E964)*(E965=E$1:E964)))))</f>
        <v/>
      </c>
      <c r="L965" s="25"/>
    </row>
    <row r="966" spans="1:12" x14ac:dyDescent="0.3">
      <c r="A966" t="s">
        <v>809</v>
      </c>
      <c r="B966" s="26" t="s">
        <v>344</v>
      </c>
      <c r="C966" s="26" t="s">
        <v>496</v>
      </c>
      <c r="D966" s="26" t="s">
        <v>332</v>
      </c>
      <c r="E966" s="20" t="str">
        <f t="shared" si="104"/>
        <v>!!!</v>
      </c>
      <c r="F966" s="21" t="str">
        <f>IF(OR(E966="",E966="!!!"),"",IF(NOT(ISNA(VLOOKUP(E966,E$1:E965,1,FALSE()))),"OLD",IF(AND(E966&lt;&gt;"",E966&lt;&gt;"!!!"),"NEW","")))</f>
        <v/>
      </c>
      <c r="G966" s="22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3" t="str">
        <f t="shared" ca="1" si="105"/>
        <v/>
      </c>
      <c r="I966" s="24" t="str">
        <f>IF(OR(E966="",E966="!!!",F966="NEW"),"",INDEX(B$2:B965,-1+SUMPRODUCT(MAX(ROW(E$2:E965)*(E966=E$2:E965)))))</f>
        <v/>
      </c>
      <c r="J966" s="24" t="str">
        <f ca="1">IF(OR(E966="",E966="!!!",F966="NEW"),"",COUNTBLANK(OFFSET(A$1,,,SUMPRODUCT(MAX(ROW(E$2:E966)*(E966=E$2:E966)))))-COUNTBLANK(OFFSET(A$1,,,SUMPRODUCT(MAX(ROW(E$1:E965)*(E2=E$1:E965))))))</f>
        <v/>
      </c>
      <c r="K966" s="24" t="str">
        <f>IF(OR(E966="",E966="!!!",F966="NEW"),"",INDEX(J$1:J965,SUMPRODUCT(MAX(ROW(E$1:E965)*(E966=E$1:E965)))))</f>
        <v/>
      </c>
      <c r="L966" s="25"/>
    </row>
    <row r="967" spans="1:12" x14ac:dyDescent="0.3">
      <c r="A967" t="s">
        <v>810</v>
      </c>
      <c r="E967" s="20" t="str">
        <f t="shared" si="104"/>
        <v/>
      </c>
      <c r="F967" s="21" t="str">
        <f>IF(OR(E967="",E967="!!!"),"",IF(NOT(ISNA(VLOOKUP(E967,E$1:E966,1,FALSE()))),"OLD",IF(AND(E967&lt;&gt;"",E967&lt;&gt;"!!!"),"NEW","")))</f>
        <v/>
      </c>
      <c r="G967" s="22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3" t="str">
        <f t="shared" ca="1" si="105"/>
        <v/>
      </c>
      <c r="I967" s="24" t="str">
        <f>IF(OR(E967="",E967="!!!",F967="NEW"),"",INDEX(B$2:B966,-1+SUMPRODUCT(MAX(ROW(E$2:E966)*(E967=E$2:E966)))))</f>
        <v/>
      </c>
      <c r="J967" s="24" t="str">
        <f ca="1">IF(OR(E967="",E967="!!!",F967="NEW"),"",COUNTBLANK(OFFSET(A$1,,,SUMPRODUCT(MAX(ROW(E$2:E967)*(E967=E$2:E967)))))-COUNTBLANK(OFFSET(A$1,,,SUMPRODUCT(MAX(ROW(E$1:E966)*(E2=E$1:E966))))))</f>
        <v/>
      </c>
      <c r="K967" s="24" t="str">
        <f>IF(OR(E967="",E967="!!!",F967="NEW"),"",INDEX(J$1:J966,SUMPRODUCT(MAX(ROW(E$1:E966)*(E967=E$1:E966)))))</f>
        <v/>
      </c>
      <c r="L967" s="25"/>
    </row>
    <row r="968" spans="1:12" x14ac:dyDescent="0.3">
      <c r="A968" t="s">
        <v>811</v>
      </c>
      <c r="E968" s="20" t="str">
        <f t="shared" si="104"/>
        <v/>
      </c>
      <c r="F968" s="21" t="str">
        <f>IF(OR(E968="",E968="!!!"),"",IF(NOT(ISNA(VLOOKUP(E968,E$1:E967,1,FALSE()))),"OLD",IF(AND(E968&lt;&gt;"",E968&lt;&gt;"!!!"),"NEW","")))</f>
        <v/>
      </c>
      <c r="G968" s="22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3" t="str">
        <f t="shared" ca="1" si="105"/>
        <v/>
      </c>
      <c r="I968" s="24" t="str">
        <f>IF(OR(E968="",E968="!!!",F968="NEW"),"",INDEX(B$2:B967,-1+SUMPRODUCT(MAX(ROW(E$2:E967)*(E968=E$2:E967)))))</f>
        <v/>
      </c>
      <c r="J968" s="24" t="str">
        <f ca="1">IF(OR(E968="",E968="!!!",F968="NEW"),"",COUNTBLANK(OFFSET(A$1,,,SUMPRODUCT(MAX(ROW(E$2:E968)*(E968=E$2:E968)))))-COUNTBLANK(OFFSET(A$1,,,SUMPRODUCT(MAX(ROW(E$1:E967)*(E2=E$1:E967))))))</f>
        <v/>
      </c>
      <c r="K968" s="24" t="str">
        <f>IF(OR(E968="",E968="!!!",F968="NEW"),"",INDEX(J$1:J967,SUMPRODUCT(MAX(ROW(E$1:E967)*(E968=E$1:E967)))))</f>
        <v/>
      </c>
      <c r="L968" s="25"/>
    </row>
    <row r="969" spans="1:12" x14ac:dyDescent="0.3">
      <c r="A969" t="s">
        <v>351</v>
      </c>
      <c r="E969" s="20" t="str">
        <f t="shared" si="104"/>
        <v/>
      </c>
      <c r="F969" s="21" t="str">
        <f>IF(OR(E969="",E969="!!!"),"",IF(NOT(ISNA(VLOOKUP(E969,E$1:E968,1,FALSE()))),"OLD",IF(AND(E969&lt;&gt;"",E969&lt;&gt;"!!!"),"NEW","")))</f>
        <v/>
      </c>
      <c r="G969" s="22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3" t="str">
        <f t="shared" ca="1" si="105"/>
        <v/>
      </c>
      <c r="I969" s="24" t="str">
        <f>IF(OR(E969="",E969="!!!",F969="NEW"),"",INDEX(B$2:B968,-1+SUMPRODUCT(MAX(ROW(E$2:E968)*(E969=E$2:E968)))))</f>
        <v/>
      </c>
      <c r="J969" s="24" t="str">
        <f ca="1">IF(OR(E969="",E969="!!!",F969="NEW"),"",COUNTBLANK(OFFSET(A$1,,,SUMPRODUCT(MAX(ROW(E$2:E969)*(E969=E$2:E969)))))-COUNTBLANK(OFFSET(A$1,,,SUMPRODUCT(MAX(ROW(E$1:E968)*(E2=E$1:E968))))))</f>
        <v/>
      </c>
      <c r="K969" s="24" t="str">
        <f>IF(OR(E969="",E969="!!!",F969="NEW"),"",INDEX(J$1:J968,SUMPRODUCT(MAX(ROW(E$1:E968)*(E969=E$1:E968)))))</f>
        <v/>
      </c>
      <c r="L969" s="25"/>
    </row>
    <row r="970" spans="1:12" x14ac:dyDescent="0.3">
      <c r="A970" t="s">
        <v>542</v>
      </c>
      <c r="E970" s="20" t="str">
        <f t="shared" si="104"/>
        <v/>
      </c>
      <c r="F970" s="21" t="str">
        <f>IF(OR(E970="",E970="!!!"),"",IF(NOT(ISNA(VLOOKUP(E970,E$1:E969,1,FALSE()))),"OLD",IF(AND(E970&lt;&gt;"",E970&lt;&gt;"!!!"),"NEW","")))</f>
        <v/>
      </c>
      <c r="G970" s="22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3" t="str">
        <f t="shared" ca="1" si="105"/>
        <v/>
      </c>
      <c r="I970" s="24" t="str">
        <f>IF(OR(E970="",E970="!!!",F970="NEW"),"",INDEX(B$2:B969,-1+SUMPRODUCT(MAX(ROW(E$2:E969)*(E970=E$2:E969)))))</f>
        <v/>
      </c>
      <c r="J970" s="24" t="str">
        <f ca="1">IF(OR(E970="",E970="!!!",F970="NEW"),"",COUNTBLANK(OFFSET(A$1,,,SUMPRODUCT(MAX(ROW(E$2:E970)*(E970=E$2:E970)))))-COUNTBLANK(OFFSET(A$1,,,SUMPRODUCT(MAX(ROW(E$1:E969)*(E2=E$1:E969))))))</f>
        <v/>
      </c>
      <c r="K970" s="24" t="str">
        <f>IF(OR(E970="",E970="!!!",F970="NEW"),"",INDEX(J$1:J969,SUMPRODUCT(MAX(ROW(E$1:E969)*(E970=E$1:E969)))))</f>
        <v/>
      </c>
      <c r="L970" s="25"/>
    </row>
    <row r="971" spans="1:12" x14ac:dyDescent="0.3">
      <c r="A971" t="s">
        <v>811</v>
      </c>
      <c r="B971" s="26" t="s">
        <v>378</v>
      </c>
      <c r="C971" s="26" t="s">
        <v>544</v>
      </c>
      <c r="E971" s="20" t="str">
        <f t="shared" si="104"/>
        <v/>
      </c>
      <c r="F971" s="21" t="str">
        <f>IF(OR(E971="",E971="!!!"),"",IF(NOT(ISNA(VLOOKUP(E971,E$1:E970,1,FALSE()))),"OLD",IF(AND(E971&lt;&gt;"",E971&lt;&gt;"!!!"),"NEW","")))</f>
        <v/>
      </c>
      <c r="G971" s="22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3" t="str">
        <f t="shared" ca="1" si="105"/>
        <v/>
      </c>
      <c r="I971" s="24" t="str">
        <f>IF(OR(E971="",E971="!!!",F971="NEW"),"",INDEX(B$2:B970,-1+SUMPRODUCT(MAX(ROW(E$2:E970)*(E971=E$2:E970)))))</f>
        <v/>
      </c>
      <c r="J971" s="24" t="str">
        <f ca="1">IF(OR(E971="",E971="!!!",F971="NEW"),"",COUNTBLANK(OFFSET(A$1,,,SUMPRODUCT(MAX(ROW(E$2:E971)*(E971=E$2:E971)))))-COUNTBLANK(OFFSET(A$1,,,SUMPRODUCT(MAX(ROW(E$1:E970)*(E2=E$1:E970))))))</f>
        <v/>
      </c>
      <c r="K971" s="24" t="str">
        <f>IF(OR(E971="",E971="!!!",F971="NEW"),"",INDEX(J$1:J970,SUMPRODUCT(MAX(ROW(E$1:E970)*(E971=E$1:E970)))))</f>
        <v/>
      </c>
      <c r="L971" s="25"/>
    </row>
    <row r="972" spans="1:12" x14ac:dyDescent="0.3">
      <c r="A972" t="s">
        <v>477</v>
      </c>
      <c r="E972" s="20" t="str">
        <f t="shared" si="104"/>
        <v/>
      </c>
      <c r="F972" s="21" t="str">
        <f>IF(OR(E972="",E972="!!!"),"",IF(NOT(ISNA(VLOOKUP(E972,E$1:E971,1,FALSE()))),"OLD",IF(AND(E972&lt;&gt;"",E972&lt;&gt;"!!!"),"NEW","")))</f>
        <v/>
      </c>
      <c r="G972" s="22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3" t="str">
        <f t="shared" ca="1" si="105"/>
        <v/>
      </c>
      <c r="I972" s="24" t="str">
        <f>IF(OR(E972="",E972="!!!",F972="NEW"),"",INDEX(B$2:B971,-1+SUMPRODUCT(MAX(ROW(E$2:E971)*(E972=E$2:E971)))))</f>
        <v/>
      </c>
      <c r="J972" s="24" t="str">
        <f ca="1">IF(OR(E972="",E972="!!!",F972="NEW"),"",COUNTBLANK(OFFSET(A$1,,,SUMPRODUCT(MAX(ROW(E$2:E972)*(E972=E$2:E972)))))-COUNTBLANK(OFFSET(A$1,,,SUMPRODUCT(MAX(ROW(E$1:E971)*(E2=E$1:E971))))))</f>
        <v/>
      </c>
      <c r="K972" s="24" t="str">
        <f>IF(OR(E972="",E972="!!!",F972="NEW"),"",INDEX(J$1:J971,SUMPRODUCT(MAX(ROW(E$1:E971)*(E972=E$1:E971)))))</f>
        <v/>
      </c>
      <c r="L972" s="25"/>
    </row>
    <row r="973" spans="1:12" x14ac:dyDescent="0.3">
      <c r="A973" t="s">
        <v>812</v>
      </c>
      <c r="B973" s="26" t="s">
        <v>362</v>
      </c>
      <c r="C973" s="26" t="s">
        <v>355</v>
      </c>
      <c r="E973" s="20" t="str">
        <f t="shared" si="104"/>
        <v/>
      </c>
      <c r="F973" s="21" t="str">
        <f>IF(OR(E973="",E973="!!!"),"",IF(NOT(ISNA(VLOOKUP(E973,E$1:E972,1,FALSE()))),"OLD",IF(AND(E973&lt;&gt;"",E973&lt;&gt;"!!!"),"NEW","")))</f>
        <v/>
      </c>
      <c r="G973" s="22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3" t="str">
        <f t="shared" ca="1" si="105"/>
        <v/>
      </c>
      <c r="I973" s="24" t="str">
        <f>IF(OR(E973="",E973="!!!",F973="NEW"),"",INDEX(B$2:B972,-1+SUMPRODUCT(MAX(ROW(E$2:E972)*(E973=E$2:E972)))))</f>
        <v/>
      </c>
      <c r="J973" s="24" t="str">
        <f ca="1">IF(OR(E973="",E973="!!!",F973="NEW"),"",COUNTBLANK(OFFSET(A$1,,,SUMPRODUCT(MAX(ROW(E$2:E973)*(E973=E$2:E973)))))-COUNTBLANK(OFFSET(A$1,,,SUMPRODUCT(MAX(ROW(E$1:E972)*(E2=E$1:E972))))))</f>
        <v/>
      </c>
      <c r="K973" s="24" t="str">
        <f>IF(OR(E973="",E973="!!!",F973="NEW"),"",INDEX(J$1:J972,SUMPRODUCT(MAX(ROW(E$1:E972)*(E973=E$1:E972)))))</f>
        <v/>
      </c>
      <c r="L973" s="25"/>
    </row>
    <row r="974" spans="1:12" x14ac:dyDescent="0.3">
      <c r="A974" t="s">
        <v>774</v>
      </c>
      <c r="E974" s="20" t="str">
        <f t="shared" si="104"/>
        <v/>
      </c>
      <c r="F974" s="21" t="str">
        <f>IF(OR(E974="",E974="!!!"),"",IF(NOT(ISNA(VLOOKUP(E974,E$1:E973,1,FALSE()))),"OLD",IF(AND(E974&lt;&gt;"",E974&lt;&gt;"!!!"),"NEW","")))</f>
        <v/>
      </c>
      <c r="G974" s="22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3" t="str">
        <f t="shared" ca="1" si="105"/>
        <v/>
      </c>
      <c r="I974" s="24" t="str">
        <f>IF(OR(E974="",E974="!!!",F974="NEW"),"",INDEX(B$2:B973,-1+SUMPRODUCT(MAX(ROW(E$2:E973)*(E974=E$2:E973)))))</f>
        <v/>
      </c>
      <c r="J974" s="24" t="str">
        <f ca="1">IF(OR(E974="",E974="!!!",F974="NEW"),"",COUNTBLANK(OFFSET(A$1,,,SUMPRODUCT(MAX(ROW(E$2:E974)*(E974=E$2:E974)))))-COUNTBLANK(OFFSET(A$1,,,SUMPRODUCT(MAX(ROW(E$1:E973)*(E2=E$1:E973))))))</f>
        <v/>
      </c>
      <c r="K974" s="24" t="str">
        <f>IF(OR(E974="",E974="!!!",F974="NEW"),"",INDEX(J$1:J973,SUMPRODUCT(MAX(ROW(E$1:E973)*(E974=E$1:E973)))))</f>
        <v/>
      </c>
      <c r="L974" s="25"/>
    </row>
    <row r="975" spans="1:12" x14ac:dyDescent="0.3">
      <c r="A975" t="s">
        <v>813</v>
      </c>
      <c r="E975" s="20" t="str">
        <f t="shared" si="104"/>
        <v/>
      </c>
      <c r="F975" s="21" t="str">
        <f>IF(OR(E975="",E975="!!!"),"",IF(NOT(ISNA(VLOOKUP(E975,E$1:E974,1,FALSE()))),"OLD",IF(AND(E975&lt;&gt;"",E975&lt;&gt;"!!!"),"NEW","")))</f>
        <v/>
      </c>
      <c r="G975" s="22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3" t="str">
        <f t="shared" ca="1" si="105"/>
        <v/>
      </c>
      <c r="I975" s="24" t="str">
        <f>IF(OR(E975="",E975="!!!",F975="NEW"),"",INDEX(B$2:B974,-1+SUMPRODUCT(MAX(ROW(E$2:E974)*(E975=E$2:E974)))))</f>
        <v/>
      </c>
      <c r="J975" s="24" t="str">
        <f ca="1">IF(OR(E975="",E975="!!!",F975="NEW"),"",COUNTBLANK(OFFSET(A$1,,,SUMPRODUCT(MAX(ROW(E$2:E975)*(E975=E$2:E975)))))-COUNTBLANK(OFFSET(A$1,,,SUMPRODUCT(MAX(ROW(E$1:E974)*(E2=E$1:E974))))))</f>
        <v/>
      </c>
      <c r="K975" s="24" t="str">
        <f>IF(OR(E975="",E975="!!!",F975="NEW"),"",INDEX(J$1:J974,SUMPRODUCT(MAX(ROW(E$1:E974)*(E975=E$1:E974)))))</f>
        <v/>
      </c>
      <c r="L975" s="25"/>
    </row>
    <row r="976" spans="1:12" x14ac:dyDescent="0.3">
      <c r="A976" t="s">
        <v>814</v>
      </c>
      <c r="B976" s="26" t="s">
        <v>515</v>
      </c>
      <c r="C976" s="26" t="s">
        <v>355</v>
      </c>
      <c r="E976" s="20" t="str">
        <f t="shared" si="104"/>
        <v/>
      </c>
      <c r="F976" s="21" t="str">
        <f>IF(OR(E976="",E976="!!!"),"",IF(NOT(ISNA(VLOOKUP(E976,E$1:E975,1,FALSE()))),"OLD",IF(AND(E976&lt;&gt;"",E976&lt;&gt;"!!!"),"NEW","")))</f>
        <v/>
      </c>
      <c r="G976" s="22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3" t="str">
        <f t="shared" ca="1" si="105"/>
        <v/>
      </c>
      <c r="I976" s="24" t="str">
        <f>IF(OR(E976="",E976="!!!",F976="NEW"),"",INDEX(B$2:B975,-1+SUMPRODUCT(MAX(ROW(E$2:E975)*(E976=E$2:E975)))))</f>
        <v/>
      </c>
      <c r="J976" s="24" t="str">
        <f ca="1">IF(OR(E976="",E976="!!!",F976="NEW"),"",COUNTBLANK(OFFSET(A$1,,,SUMPRODUCT(MAX(ROW(E$2:E976)*(E976=E$2:E976)))))-COUNTBLANK(OFFSET(A$1,,,SUMPRODUCT(MAX(ROW(E$1:E975)*(E2=E$1:E975))))))</f>
        <v/>
      </c>
      <c r="K976" s="24" t="str">
        <f>IF(OR(E976="",E976="!!!",F976="NEW"),"",INDEX(J$1:J975,SUMPRODUCT(MAX(ROW(E$1:E975)*(E976=E$1:E975)))))</f>
        <v/>
      </c>
      <c r="L976" s="25"/>
    </row>
    <row r="977" spans="1:12" x14ac:dyDescent="0.3">
      <c r="A977" t="s">
        <v>414</v>
      </c>
      <c r="E977" s="20" t="str">
        <f t="shared" si="104"/>
        <v/>
      </c>
      <c r="F977" s="21" t="str">
        <f>IF(OR(E977="",E977="!!!"),"",IF(NOT(ISNA(VLOOKUP(E977,E$1:E976,1,FALSE()))),"OLD",IF(AND(E977&lt;&gt;"",E977&lt;&gt;"!!!"),"NEW","")))</f>
        <v/>
      </c>
      <c r="G977" s="22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3" t="str">
        <f t="shared" ca="1" si="105"/>
        <v/>
      </c>
      <c r="I977" s="24" t="str">
        <f>IF(OR(E977="",E977="!!!",F977="NEW"),"",INDEX(B$2:B976,-1+SUMPRODUCT(MAX(ROW(E$2:E976)*(E977=E$2:E976)))))</f>
        <v/>
      </c>
      <c r="J977" s="24" t="str">
        <f ca="1">IF(OR(E977="",E977="!!!",F977="NEW"),"",COUNTBLANK(OFFSET(A$1,,,SUMPRODUCT(MAX(ROW(E$2:E977)*(E977=E$2:E977)))))-COUNTBLANK(OFFSET(A$1,,,SUMPRODUCT(MAX(ROW(E$1:E976)*(E2=E$1:E976))))))</f>
        <v/>
      </c>
      <c r="K977" s="24" t="str">
        <f>IF(OR(E977="",E977="!!!",F977="NEW"),"",INDEX(J$1:J976,SUMPRODUCT(MAX(ROW(E$1:E976)*(E977=E$1:E976)))))</f>
        <v/>
      </c>
      <c r="L977" s="25"/>
    </row>
    <row r="978" spans="1:12" x14ac:dyDescent="0.3">
      <c r="A978" t="s">
        <v>359</v>
      </c>
      <c r="E978" s="20" t="str">
        <f t="shared" si="104"/>
        <v/>
      </c>
      <c r="F978" s="21" t="str">
        <f>IF(OR(E978="",E978="!!!"),"",IF(NOT(ISNA(VLOOKUP(E978,E$1:E977,1,FALSE()))),"OLD",IF(AND(E978&lt;&gt;"",E978&lt;&gt;"!!!"),"NEW","")))</f>
        <v/>
      </c>
      <c r="G978" s="22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3" t="str">
        <f t="shared" ca="1" si="105"/>
        <v/>
      </c>
      <c r="I978" s="24" t="str">
        <f>IF(OR(E978="",E978="!!!",F978="NEW"),"",INDEX(B$2:B977,-1+SUMPRODUCT(MAX(ROW(E$2:E977)*(E978=E$2:E977)))))</f>
        <v/>
      </c>
      <c r="J978" s="24" t="str">
        <f ca="1">IF(OR(E978="",E978="!!!",F978="NEW"),"",COUNTBLANK(OFFSET(A$1,,,SUMPRODUCT(MAX(ROW(E$2:E978)*(E978=E$2:E978)))))-COUNTBLANK(OFFSET(A$1,,,SUMPRODUCT(MAX(ROW(E$1:E977)*(E2=E$1:E977))))))</f>
        <v/>
      </c>
      <c r="K978" s="24" t="str">
        <f>IF(OR(E978="",E978="!!!",F978="NEW"),"",INDEX(J$1:J977,SUMPRODUCT(MAX(ROW(E$1:E977)*(E978=E$1:E977)))))</f>
        <v/>
      </c>
      <c r="L978" s="25"/>
    </row>
    <row r="979" spans="1:12" x14ac:dyDescent="0.3">
      <c r="A979" t="s">
        <v>815</v>
      </c>
      <c r="E979" s="20" t="str">
        <f t="shared" si="104"/>
        <v/>
      </c>
      <c r="F979" s="21" t="str">
        <f>IF(OR(E979="",E979="!!!"),"",IF(NOT(ISNA(VLOOKUP(E979,E$1:E978,1,FALSE()))),"OLD",IF(AND(E979&lt;&gt;"",E979&lt;&gt;"!!!"),"NEW","")))</f>
        <v/>
      </c>
      <c r="G979" s="22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3" t="str">
        <f t="shared" ca="1" si="105"/>
        <v/>
      </c>
      <c r="I979" s="24" t="str">
        <f>IF(OR(E979="",E979="!!!",F979="NEW"),"",INDEX(B$2:B978,-1+SUMPRODUCT(MAX(ROW(E$2:E978)*(E979=E$2:E978)))))</f>
        <v/>
      </c>
      <c r="J979" s="24" t="str">
        <f ca="1">IF(OR(E979="",E979="!!!",F979="NEW"),"",COUNTBLANK(OFFSET(A$1,,,SUMPRODUCT(MAX(ROW(E$2:E979)*(E979=E$2:E979)))))-COUNTBLANK(OFFSET(A$1,,,SUMPRODUCT(MAX(ROW(E$1:E978)*(E2=E$1:E978))))))</f>
        <v/>
      </c>
      <c r="K979" s="24" t="str">
        <f>IF(OR(E979="",E979="!!!",F979="NEW"),"",INDEX(J$1:J978,SUMPRODUCT(MAX(ROW(E$1:E978)*(E979=E$1:E978)))))</f>
        <v/>
      </c>
      <c r="L979" s="25"/>
    </row>
    <row r="980" spans="1:12" x14ac:dyDescent="0.3">
      <c r="A980" t="s">
        <v>329</v>
      </c>
      <c r="B980" s="26" t="s">
        <v>460</v>
      </c>
      <c r="C980" s="26" t="s">
        <v>331</v>
      </c>
      <c r="D980" s="26" t="s">
        <v>332</v>
      </c>
      <c r="E980" s="20" t="str">
        <f t="shared" si="104"/>
        <v>!!!</v>
      </c>
      <c r="F980" s="21" t="str">
        <f>IF(OR(E980="",E980="!!!"),"",IF(NOT(ISNA(VLOOKUP(E980,E$1:E979,1,FALSE()))),"OLD",IF(AND(E980&lt;&gt;"",E980&lt;&gt;"!!!"),"NEW","")))</f>
        <v/>
      </c>
      <c r="G980" s="22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3" t="str">
        <f t="shared" ca="1" si="105"/>
        <v/>
      </c>
      <c r="I980" s="24" t="str">
        <f>IF(OR(E980="",E980="!!!",F980="NEW"),"",INDEX(B$2:B979,-1+SUMPRODUCT(MAX(ROW(E$2:E979)*(E980=E$2:E979)))))</f>
        <v/>
      </c>
      <c r="J980" s="24" t="str">
        <f ca="1">IF(OR(E980="",E980="!!!",F980="NEW"),"",COUNTBLANK(OFFSET(A$1,,,SUMPRODUCT(MAX(ROW(E$2:E980)*(E980=E$2:E980)))))-COUNTBLANK(OFFSET(A$1,,,SUMPRODUCT(MAX(ROW(E$1:E979)*(E2=E$1:E979))))))</f>
        <v/>
      </c>
      <c r="K980" s="24" t="str">
        <f>IF(OR(E980="",E980="!!!",F980="NEW"),"",INDEX(J$1:J979,SUMPRODUCT(MAX(ROW(E$1:E979)*(E980=E$1:E979)))))</f>
        <v/>
      </c>
      <c r="L980" s="25"/>
    </row>
    <row r="981" spans="1:12" x14ac:dyDescent="0.3">
      <c r="A981" t="s">
        <v>338</v>
      </c>
      <c r="E981" s="20" t="str">
        <f t="shared" si="104"/>
        <v/>
      </c>
      <c r="F981" s="21" t="str">
        <f>IF(OR(E981="",E981="!!!"),"",IF(NOT(ISNA(VLOOKUP(E981,E$1:E980,1,FALSE()))),"OLD",IF(AND(E981&lt;&gt;"",E981&lt;&gt;"!!!"),"NEW","")))</f>
        <v/>
      </c>
      <c r="G981" s="22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3" t="str">
        <f t="shared" ca="1" si="105"/>
        <v/>
      </c>
      <c r="I981" s="24" t="str">
        <f>IF(OR(E981="",E981="!!!",F981="NEW"),"",INDEX(B$2:B980,-1+SUMPRODUCT(MAX(ROW(E$2:E980)*(E981=E$2:E980)))))</f>
        <v/>
      </c>
      <c r="J981" s="24" t="str">
        <f ca="1">IF(OR(E981="",E981="!!!",F981="NEW"),"",COUNTBLANK(OFFSET(A$1,,,SUMPRODUCT(MAX(ROW(E$2:E981)*(E981=E$2:E981)))))-COUNTBLANK(OFFSET(A$1,,,SUMPRODUCT(MAX(ROW(E$1:E980)*(E2=E$1:E980))))))</f>
        <v/>
      </c>
      <c r="K981" s="24" t="str">
        <f>IF(OR(E981="",E981="!!!",F981="NEW"),"",INDEX(J$1:J980,SUMPRODUCT(MAX(ROW(E$1:E980)*(E981=E$1:E980)))))</f>
        <v/>
      </c>
      <c r="L981" s="25"/>
    </row>
    <row r="983" spans="1:12" x14ac:dyDescent="0.3">
      <c r="A983" t="s">
        <v>816</v>
      </c>
    </row>
    <row r="984" spans="1:12" x14ac:dyDescent="0.3">
      <c r="A984" t="s">
        <v>348</v>
      </c>
      <c r="E984" s="20" t="str">
        <f t="shared" ref="E984:E999" si="106">IF(D984="?OLD","!!!","")</f>
        <v/>
      </c>
      <c r="F984" s="21" t="str">
        <f>IF(OR(E984="",E984="!!!"),"",IF(NOT(ISNA(VLOOKUP(E984,E$1:E983,1,FALSE()))),"OLD",IF(AND(E984&lt;&gt;"",E984&lt;&gt;"!!!"),"NEW","")))</f>
        <v/>
      </c>
      <c r="G984" s="22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3" t="str">
        <f t="shared" ref="H984:H999" ca="1" si="107">IF(J984&lt;&gt;1,"",IF(I984="SBJ","CB","?"))</f>
        <v/>
      </c>
      <c r="I984" s="24" t="str">
        <f>IF(OR(E984="",E984="!!!",F984="NEW"),"",INDEX(B$2:B983,-1+SUMPRODUCT(MAX(ROW(E$2:E983)*(E984=E$2:E983)))))</f>
        <v/>
      </c>
      <c r="J984" s="24" t="str">
        <f ca="1">IF(OR(E984="",E984="!!!",F984="NEW"),"",COUNTBLANK(OFFSET(A$1,,,SUMPRODUCT(MAX(ROW(E$2:E984)*(E984=E$2:E984)))))-COUNTBLANK(OFFSET(A$1,,,SUMPRODUCT(MAX(ROW(E$1:E983)*(E2=E$1:E983))))))</f>
        <v/>
      </c>
      <c r="K984" s="24" t="str">
        <f>IF(OR(E984="",E984="!!!",F984="NEW"),"",INDEX(J$1:J983,SUMPRODUCT(MAX(ROW(E$1:E983)*(E984=E$1:E983)))))</f>
        <v/>
      </c>
      <c r="L984" s="25"/>
    </row>
    <row r="985" spans="1:12" x14ac:dyDescent="0.3">
      <c r="A985" t="s">
        <v>334</v>
      </c>
      <c r="E985" s="20" t="str">
        <f t="shared" si="106"/>
        <v/>
      </c>
      <c r="F985" s="21" t="str">
        <f>IF(OR(E985="",E985="!!!"),"",IF(NOT(ISNA(VLOOKUP(E985,E$1:E984,1,FALSE()))),"OLD",IF(AND(E985&lt;&gt;"",E985&lt;&gt;"!!!"),"NEW","")))</f>
        <v/>
      </c>
      <c r="G985" s="22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3" t="str">
        <f t="shared" ca="1" si="107"/>
        <v/>
      </c>
      <c r="I985" s="24" t="str">
        <f>IF(OR(E985="",E985="!!!",F985="NEW"),"",INDEX(B$2:B984,-1+SUMPRODUCT(MAX(ROW(E$2:E984)*(E985=E$2:E984)))))</f>
        <v/>
      </c>
      <c r="J985" s="24" t="str">
        <f ca="1">IF(OR(E985="",E985="!!!",F985="NEW"),"",COUNTBLANK(OFFSET(A$1,,,SUMPRODUCT(MAX(ROW(E$2:E985)*(E985=E$2:E985)))))-COUNTBLANK(OFFSET(A$1,,,SUMPRODUCT(MAX(ROW(E$1:E984)*(E2=E$1:E984))))))</f>
        <v/>
      </c>
      <c r="K985" s="24" t="str">
        <f>IF(OR(E985="",E985="!!!",F985="NEW"),"",INDEX(J$1:J984,SUMPRODUCT(MAX(ROW(E$1:E984)*(E985=E$1:E984)))))</f>
        <v/>
      </c>
      <c r="L985" s="25"/>
    </row>
    <row r="986" spans="1:12" x14ac:dyDescent="0.3">
      <c r="A986" t="s">
        <v>817</v>
      </c>
      <c r="B986" s="26" t="s">
        <v>337</v>
      </c>
      <c r="C986" s="26" t="s">
        <v>355</v>
      </c>
      <c r="E986" s="20" t="str">
        <f t="shared" si="106"/>
        <v/>
      </c>
      <c r="F986" s="21" t="str">
        <f>IF(OR(E986="",E986="!!!"),"",IF(NOT(ISNA(VLOOKUP(E986,E$1:E985,1,FALSE()))),"OLD",IF(AND(E986&lt;&gt;"",E986&lt;&gt;"!!!"),"NEW","")))</f>
        <v/>
      </c>
      <c r="G986" s="22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3" t="str">
        <f t="shared" ca="1" si="107"/>
        <v/>
      </c>
      <c r="I986" s="24" t="str">
        <f>IF(OR(E986="",E986="!!!",F986="NEW"),"",INDEX(B$2:B985,-1+SUMPRODUCT(MAX(ROW(E$2:E985)*(E986=E$2:E985)))))</f>
        <v/>
      </c>
      <c r="J986" s="24" t="str">
        <f ca="1">IF(OR(E986="",E986="!!!",F986="NEW"),"",COUNTBLANK(OFFSET(A$1,,,SUMPRODUCT(MAX(ROW(E$2:E986)*(E986=E$2:E986)))))-COUNTBLANK(OFFSET(A$1,,,SUMPRODUCT(MAX(ROW(E$1:E985)*(E2=E$1:E985))))))</f>
        <v/>
      </c>
      <c r="K986" s="24" t="str">
        <f>IF(OR(E986="",E986="!!!",F986="NEW"),"",INDEX(J$1:J985,SUMPRODUCT(MAX(ROW(E$1:E985)*(E986=E$1:E985)))))</f>
        <v/>
      </c>
      <c r="L986" s="25"/>
    </row>
    <row r="987" spans="1:12" x14ac:dyDescent="0.3">
      <c r="A987" t="s">
        <v>650</v>
      </c>
      <c r="E987" s="20" t="str">
        <f t="shared" si="106"/>
        <v/>
      </c>
      <c r="F987" s="21" t="str">
        <f>IF(OR(E987="",E987="!!!"),"",IF(NOT(ISNA(VLOOKUP(E987,E$1:E986,1,FALSE()))),"OLD",IF(AND(E987&lt;&gt;"",E987&lt;&gt;"!!!"),"NEW","")))</f>
        <v/>
      </c>
      <c r="G987" s="22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3" t="str">
        <f t="shared" ca="1" si="107"/>
        <v/>
      </c>
      <c r="I987" s="24" t="str">
        <f>IF(OR(E987="",E987="!!!",F987="NEW"),"",INDEX(B$2:B986,-1+SUMPRODUCT(MAX(ROW(E$2:E986)*(E987=E$2:E986)))))</f>
        <v/>
      </c>
      <c r="J987" s="24" t="str">
        <f ca="1">IF(OR(E987="",E987="!!!",F987="NEW"),"",COUNTBLANK(OFFSET(A$1,,,SUMPRODUCT(MAX(ROW(E$2:E987)*(E987=E$2:E987)))))-COUNTBLANK(OFFSET(A$1,,,SUMPRODUCT(MAX(ROW(E$1:E986)*(E2=E$1:E986))))))</f>
        <v/>
      </c>
      <c r="K987" s="24" t="str">
        <f>IF(OR(E987="",E987="!!!",F987="NEW"),"",INDEX(J$1:J986,SUMPRODUCT(MAX(ROW(E$1:E986)*(E987=E$1:E986)))))</f>
        <v/>
      </c>
      <c r="L987" s="25"/>
    </row>
    <row r="988" spans="1:12" x14ac:dyDescent="0.3">
      <c r="A988" t="s">
        <v>437</v>
      </c>
      <c r="B988" s="26" t="s">
        <v>330</v>
      </c>
      <c r="C988" s="26" t="s">
        <v>438</v>
      </c>
      <c r="D988" s="26" t="s">
        <v>332</v>
      </c>
      <c r="E988" s="20" t="str">
        <f t="shared" si="106"/>
        <v>!!!</v>
      </c>
      <c r="F988" s="21" t="str">
        <f>IF(OR(E988="",E988="!!!"),"",IF(NOT(ISNA(VLOOKUP(E988,E$1:E987,1,FALSE()))),"OLD",IF(AND(E988&lt;&gt;"",E988&lt;&gt;"!!!"),"NEW","")))</f>
        <v/>
      </c>
      <c r="G988" s="22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3" t="str">
        <f t="shared" ca="1" si="107"/>
        <v/>
      </c>
      <c r="I988" s="24" t="str">
        <f>IF(OR(E988="",E988="!!!",F988="NEW"),"",INDEX(B$2:B987,-1+SUMPRODUCT(MAX(ROW(E$2:E987)*(E988=E$2:E987)))))</f>
        <v/>
      </c>
      <c r="J988" s="24" t="str">
        <f ca="1">IF(OR(E988="",E988="!!!",F988="NEW"),"",COUNTBLANK(OFFSET(A$1,,,SUMPRODUCT(MAX(ROW(E$2:E988)*(E988=E$2:E988)))))-COUNTBLANK(OFFSET(A$1,,,SUMPRODUCT(MAX(ROW(E$1:E987)*(E2=E$1:E987))))))</f>
        <v/>
      </c>
      <c r="K988" s="24" t="str">
        <f>IF(OR(E988="",E988="!!!",F988="NEW"),"",INDEX(J$1:J987,SUMPRODUCT(MAX(ROW(E$1:E987)*(E988=E$1:E987)))))</f>
        <v/>
      </c>
      <c r="L988" s="25"/>
    </row>
    <row r="989" spans="1:12" x14ac:dyDescent="0.3">
      <c r="A989" t="s">
        <v>380</v>
      </c>
      <c r="E989" s="20" t="str">
        <f t="shared" si="106"/>
        <v/>
      </c>
      <c r="F989" s="21" t="str">
        <f>IF(OR(E989="",E989="!!!"),"",IF(NOT(ISNA(VLOOKUP(E989,E$1:E988,1,FALSE()))),"OLD",IF(AND(E989&lt;&gt;"",E989&lt;&gt;"!!!"),"NEW","")))</f>
        <v/>
      </c>
      <c r="G989" s="22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3" t="str">
        <f t="shared" ca="1" si="107"/>
        <v/>
      </c>
      <c r="I989" s="24" t="str">
        <f>IF(OR(E989="",E989="!!!",F989="NEW"),"",INDEX(B$2:B988,-1+SUMPRODUCT(MAX(ROW(E$2:E988)*(E989=E$2:E988)))))</f>
        <v/>
      </c>
      <c r="J989" s="24" t="str">
        <f ca="1">IF(OR(E989="",E989="!!!",F989="NEW"),"",COUNTBLANK(OFFSET(A$1,,,SUMPRODUCT(MAX(ROW(E$2:E989)*(E989=E$2:E989)))))-COUNTBLANK(OFFSET(A$1,,,SUMPRODUCT(MAX(ROW(E$1:E988)*(E2=E$1:E988))))))</f>
        <v/>
      </c>
      <c r="K989" s="24" t="str">
        <f>IF(OR(E989="",E989="!!!",F989="NEW"),"",INDEX(J$1:J988,SUMPRODUCT(MAX(ROW(E$1:E988)*(E989=E$1:E988)))))</f>
        <v/>
      </c>
      <c r="L989" s="25"/>
    </row>
    <row r="990" spans="1:12" x14ac:dyDescent="0.3">
      <c r="A990" t="s">
        <v>818</v>
      </c>
      <c r="B990" s="26" t="s">
        <v>344</v>
      </c>
      <c r="C990" s="26" t="s">
        <v>331</v>
      </c>
      <c r="D990" s="26" t="s">
        <v>332</v>
      </c>
      <c r="E990" s="20" t="str">
        <f t="shared" si="106"/>
        <v>!!!</v>
      </c>
      <c r="F990" s="21" t="str">
        <f>IF(OR(E990="",E990="!!!"),"",IF(NOT(ISNA(VLOOKUP(E990,E$1:E989,1,FALSE()))),"OLD",IF(AND(E990&lt;&gt;"",E990&lt;&gt;"!!!"),"NEW","")))</f>
        <v/>
      </c>
      <c r="G990" s="22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3" t="str">
        <f t="shared" ca="1" si="107"/>
        <v/>
      </c>
      <c r="I990" s="24" t="str">
        <f>IF(OR(E990="",E990="!!!",F990="NEW"),"",INDEX(B$2:B989,-1+SUMPRODUCT(MAX(ROW(E$2:E989)*(E990=E$2:E989)))))</f>
        <v/>
      </c>
      <c r="J990" s="24" t="str">
        <f ca="1">IF(OR(E990="",E990="!!!",F990="NEW"),"",COUNTBLANK(OFFSET(A$1,,,SUMPRODUCT(MAX(ROW(E$2:E990)*(E990=E$2:E990)))))-COUNTBLANK(OFFSET(A$1,,,SUMPRODUCT(MAX(ROW(E$1:E989)*(E2=E$1:E989))))))</f>
        <v/>
      </c>
      <c r="K990" s="24" t="str">
        <f>IF(OR(E990="",E990="!!!",F990="NEW"),"",INDEX(J$1:J989,SUMPRODUCT(MAX(ROW(E$1:E989)*(E990=E$1:E989)))))</f>
        <v/>
      </c>
      <c r="L990" s="25"/>
    </row>
    <row r="991" spans="1:12" x14ac:dyDescent="0.3">
      <c r="A991" t="s">
        <v>535</v>
      </c>
      <c r="E991" s="20" t="str">
        <f t="shared" si="106"/>
        <v/>
      </c>
      <c r="F991" s="21" t="str">
        <f>IF(OR(E991="",E991="!!!"),"",IF(NOT(ISNA(VLOOKUP(E991,E$1:E990,1,FALSE()))),"OLD",IF(AND(E991&lt;&gt;"",E991&lt;&gt;"!!!"),"NEW","")))</f>
        <v/>
      </c>
      <c r="G991" s="22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3" t="str">
        <f t="shared" ca="1" si="107"/>
        <v/>
      </c>
      <c r="I991" s="24" t="str">
        <f>IF(OR(E991="",E991="!!!",F991="NEW"),"",INDEX(B$2:B990,-1+SUMPRODUCT(MAX(ROW(E$2:E990)*(E991=E$2:E990)))))</f>
        <v/>
      </c>
      <c r="J991" s="24" t="str">
        <f ca="1">IF(OR(E991="",E991="!!!",F991="NEW"),"",COUNTBLANK(OFFSET(A$1,,,SUMPRODUCT(MAX(ROW(E$2:E991)*(E991=E$2:E991)))))-COUNTBLANK(OFFSET(A$1,,,SUMPRODUCT(MAX(ROW(E$1:E990)*(E2=E$1:E990))))))</f>
        <v/>
      </c>
      <c r="K991" s="24" t="str">
        <f>IF(OR(E991="",E991="!!!",F991="NEW"),"",INDEX(J$1:J990,SUMPRODUCT(MAX(ROW(E$1:E990)*(E991=E$1:E990)))))</f>
        <v/>
      </c>
      <c r="L991" s="25"/>
    </row>
    <row r="992" spans="1:12" x14ac:dyDescent="0.3">
      <c r="A992" t="s">
        <v>543</v>
      </c>
      <c r="B992" s="26" t="s">
        <v>378</v>
      </c>
      <c r="C992" s="26" t="s">
        <v>355</v>
      </c>
      <c r="E992" s="20" t="str">
        <f t="shared" si="106"/>
        <v/>
      </c>
      <c r="F992" s="21" t="str">
        <f>IF(OR(E992="",E992="!!!"),"",IF(NOT(ISNA(VLOOKUP(E992,E$1:E991,1,FALSE()))),"OLD",IF(AND(E992&lt;&gt;"",E992&lt;&gt;"!!!"),"NEW","")))</f>
        <v/>
      </c>
      <c r="G992" s="22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3" t="str">
        <f t="shared" ca="1" si="107"/>
        <v/>
      </c>
      <c r="I992" s="24" t="str">
        <f>IF(OR(E992="",E992="!!!",F992="NEW"),"",INDEX(B$2:B991,-1+SUMPRODUCT(MAX(ROW(E$2:E991)*(E992=E$2:E991)))))</f>
        <v/>
      </c>
      <c r="J992" s="24" t="str">
        <f ca="1">IF(OR(E992="",E992="!!!",F992="NEW"),"",COUNTBLANK(OFFSET(A$1,,,SUMPRODUCT(MAX(ROW(E$2:E992)*(E992=E$2:E992)))))-COUNTBLANK(OFFSET(A$1,,,SUMPRODUCT(MAX(ROW(E$1:E991)*(E2=E$1:E991))))))</f>
        <v/>
      </c>
      <c r="K992" s="24" t="str">
        <f>IF(OR(E992="",E992="!!!",F992="NEW"),"",INDEX(J$1:J991,SUMPRODUCT(MAX(ROW(E$1:E991)*(E992=E$1:E991)))))</f>
        <v/>
      </c>
      <c r="L992" s="25"/>
    </row>
    <row r="993" spans="1:12" x14ac:dyDescent="0.3">
      <c r="A993" t="s">
        <v>801</v>
      </c>
      <c r="E993" s="20" t="str">
        <f t="shared" si="106"/>
        <v/>
      </c>
      <c r="F993" s="21" t="str">
        <f>IF(OR(E993="",E993="!!!"),"",IF(NOT(ISNA(VLOOKUP(E993,E$1:E992,1,FALSE()))),"OLD",IF(AND(E993&lt;&gt;"",E993&lt;&gt;"!!!"),"NEW","")))</f>
        <v/>
      </c>
      <c r="G993" s="22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3" t="str">
        <f t="shared" ca="1" si="107"/>
        <v/>
      </c>
      <c r="I993" s="24" t="str">
        <f>IF(OR(E993="",E993="!!!",F993="NEW"),"",INDEX(B$2:B992,-1+SUMPRODUCT(MAX(ROW(E$2:E992)*(E993=E$2:E992)))))</f>
        <v/>
      </c>
      <c r="J993" s="24" t="str">
        <f ca="1">IF(OR(E993="",E993="!!!",F993="NEW"),"",COUNTBLANK(OFFSET(A$1,,,SUMPRODUCT(MAX(ROW(E$2:E993)*(E993=E$2:E993)))))-COUNTBLANK(OFFSET(A$1,,,SUMPRODUCT(MAX(ROW(E$1:E992)*(E2=E$1:E992))))))</f>
        <v/>
      </c>
      <c r="K993" s="24" t="str">
        <f>IF(OR(E993="",E993="!!!",F993="NEW"),"",INDEX(J$1:J992,SUMPRODUCT(MAX(ROW(E$1:E992)*(E993=E$1:E992)))))</f>
        <v/>
      </c>
      <c r="L993" s="25"/>
    </row>
    <row r="994" spans="1:12" x14ac:dyDescent="0.3">
      <c r="A994" t="s">
        <v>359</v>
      </c>
      <c r="E994" s="20" t="str">
        <f t="shared" si="106"/>
        <v/>
      </c>
      <c r="F994" s="21" t="str">
        <f>IF(OR(E994="",E994="!!!"),"",IF(NOT(ISNA(VLOOKUP(E994,E$1:E993,1,FALSE()))),"OLD",IF(AND(E994&lt;&gt;"",E994&lt;&gt;"!!!"),"NEW","")))</f>
        <v/>
      </c>
      <c r="G994" s="22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3" t="str">
        <f t="shared" ca="1" si="107"/>
        <v/>
      </c>
      <c r="I994" s="24" t="str">
        <f>IF(OR(E994="",E994="!!!",F994="NEW"),"",INDEX(B$2:B993,-1+SUMPRODUCT(MAX(ROW(E$2:E993)*(E994=E$2:E993)))))</f>
        <v/>
      </c>
      <c r="J994" s="24" t="str">
        <f ca="1">IF(OR(E994="",E994="!!!",F994="NEW"),"",COUNTBLANK(OFFSET(A$1,,,SUMPRODUCT(MAX(ROW(E$2:E994)*(E994=E$2:E994)))))-COUNTBLANK(OFFSET(A$1,,,SUMPRODUCT(MAX(ROW(E$1:E993)*(E2=E$1:E993))))))</f>
        <v/>
      </c>
      <c r="K994" s="24" t="str">
        <f>IF(OR(E994="",E994="!!!",F994="NEW"),"",INDEX(J$1:J993,SUMPRODUCT(MAX(ROW(E$1:E993)*(E994=E$1:E993)))))</f>
        <v/>
      </c>
      <c r="L994" s="25"/>
    </row>
    <row r="995" spans="1:12" x14ac:dyDescent="0.3">
      <c r="A995" t="s">
        <v>819</v>
      </c>
      <c r="E995" s="20" t="str">
        <f t="shared" si="106"/>
        <v/>
      </c>
      <c r="F995" s="21" t="str">
        <f>IF(OR(E995="",E995="!!!"),"",IF(NOT(ISNA(VLOOKUP(E995,E$1:E994,1,FALSE()))),"OLD",IF(AND(E995&lt;&gt;"",E995&lt;&gt;"!!!"),"NEW","")))</f>
        <v/>
      </c>
      <c r="G995" s="22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3" t="str">
        <f t="shared" ca="1" si="107"/>
        <v/>
      </c>
      <c r="I995" s="24" t="str">
        <f>IF(OR(E995="",E995="!!!",F995="NEW"),"",INDEX(B$2:B994,-1+SUMPRODUCT(MAX(ROW(E$2:E994)*(E995=E$2:E994)))))</f>
        <v/>
      </c>
      <c r="J995" s="24" t="str">
        <f ca="1">IF(OR(E995="",E995="!!!",F995="NEW"),"",COUNTBLANK(OFFSET(A$1,,,SUMPRODUCT(MAX(ROW(E$2:E995)*(E995=E$2:E995)))))-COUNTBLANK(OFFSET(A$1,,,SUMPRODUCT(MAX(ROW(E$1:E994)*(E2=E$1:E994))))))</f>
        <v/>
      </c>
      <c r="K995" s="24" t="str">
        <f>IF(OR(E995="",E995="!!!",F995="NEW"),"",INDEX(J$1:J994,SUMPRODUCT(MAX(ROW(E$1:E994)*(E995=E$1:E994)))))</f>
        <v/>
      </c>
      <c r="L995" s="25"/>
    </row>
    <row r="996" spans="1:12" x14ac:dyDescent="0.3">
      <c r="A996" t="s">
        <v>569</v>
      </c>
      <c r="B996" s="26" t="s">
        <v>362</v>
      </c>
      <c r="C996" s="26" t="s">
        <v>496</v>
      </c>
      <c r="D996" s="26" t="s">
        <v>332</v>
      </c>
      <c r="E996" s="20" t="str">
        <f t="shared" si="106"/>
        <v>!!!</v>
      </c>
      <c r="F996" s="21" t="str">
        <f>IF(OR(E996="",E996="!!!"),"",IF(NOT(ISNA(VLOOKUP(E996,E$1:E995,1,FALSE()))),"OLD",IF(AND(E996&lt;&gt;"",E996&lt;&gt;"!!!"),"NEW","")))</f>
        <v/>
      </c>
      <c r="G996" s="22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3" t="str">
        <f t="shared" ca="1" si="107"/>
        <v/>
      </c>
      <c r="I996" s="24" t="str">
        <f>IF(OR(E996="",E996="!!!",F996="NEW"),"",INDEX(B$2:B995,-1+SUMPRODUCT(MAX(ROW(E$2:E995)*(E996=E$2:E995)))))</f>
        <v/>
      </c>
      <c r="J996" s="24" t="str">
        <f ca="1">IF(OR(E996="",E996="!!!",F996="NEW"),"",COUNTBLANK(OFFSET(A$1,,,SUMPRODUCT(MAX(ROW(E$2:E996)*(E996=E$2:E996)))))-COUNTBLANK(OFFSET(A$1,,,SUMPRODUCT(MAX(ROW(E$1:E995)*(E2=E$1:E995))))))</f>
        <v/>
      </c>
      <c r="K996" s="24" t="str">
        <f>IF(OR(E996="",E996="!!!",F996="NEW"),"",INDEX(J$1:J995,SUMPRODUCT(MAX(ROW(E$1:E995)*(E996=E$1:E995)))))</f>
        <v/>
      </c>
      <c r="L996" s="25"/>
    </row>
    <row r="997" spans="1:12" x14ac:dyDescent="0.3">
      <c r="A997" t="s">
        <v>11</v>
      </c>
      <c r="E997" s="20" t="str">
        <f t="shared" si="106"/>
        <v/>
      </c>
      <c r="F997" s="21" t="str">
        <f>IF(OR(E997="",E997="!!!"),"",IF(NOT(ISNA(VLOOKUP(E997,E$1:E996,1,FALSE()))),"OLD",IF(AND(E997&lt;&gt;"",E997&lt;&gt;"!!!"),"NEW","")))</f>
        <v/>
      </c>
      <c r="G997" s="22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3" t="str">
        <f t="shared" ca="1" si="107"/>
        <v/>
      </c>
      <c r="I997" s="24" t="str">
        <f>IF(OR(E997="",E997="!!!",F997="NEW"),"",INDEX(B$2:B996,-1+SUMPRODUCT(MAX(ROW(E$2:E996)*(E997=E$2:E996)))))</f>
        <v/>
      </c>
      <c r="J997" s="24" t="str">
        <f ca="1">IF(OR(E997="",E997="!!!",F997="NEW"),"",COUNTBLANK(OFFSET(A$1,,,SUMPRODUCT(MAX(ROW(E$2:E997)*(E997=E$2:E997)))))-COUNTBLANK(OFFSET(A$1,,,SUMPRODUCT(MAX(ROW(E$1:E996)*(E2=E$1:E996))))))</f>
        <v/>
      </c>
      <c r="K997" s="24" t="str">
        <f>IF(OR(E997="",E997="!!!",F997="NEW"),"",INDEX(J$1:J996,SUMPRODUCT(MAX(ROW(E$1:E996)*(E997=E$1:E996)))))</f>
        <v/>
      </c>
      <c r="L997" s="25"/>
    </row>
    <row r="998" spans="1:12" x14ac:dyDescent="0.3">
      <c r="A998" t="s">
        <v>803</v>
      </c>
      <c r="E998" s="20" t="str">
        <f t="shared" si="106"/>
        <v/>
      </c>
      <c r="F998" s="21" t="str">
        <f>IF(OR(E998="",E998="!!!"),"",IF(NOT(ISNA(VLOOKUP(E998,E$1:E997,1,FALSE()))),"OLD",IF(AND(E998&lt;&gt;"",E998&lt;&gt;"!!!"),"NEW","")))</f>
        <v/>
      </c>
      <c r="G998" s="22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3" t="str">
        <f t="shared" ca="1" si="107"/>
        <v/>
      </c>
      <c r="I998" s="24" t="str">
        <f>IF(OR(E998="",E998="!!!",F998="NEW"),"",INDEX(B$2:B997,-1+SUMPRODUCT(MAX(ROW(E$2:E997)*(E998=E$2:E997)))))</f>
        <v/>
      </c>
      <c r="J998" s="24" t="str">
        <f ca="1">IF(OR(E998="",E998="!!!",F998="NEW"),"",COUNTBLANK(OFFSET(A$1,,,SUMPRODUCT(MAX(ROW(E$2:E998)*(E998=E$2:E998)))))-COUNTBLANK(OFFSET(A$1,,,SUMPRODUCT(MAX(ROW(E$1:E997)*(E2=E$1:E997))))))</f>
        <v/>
      </c>
      <c r="K998" s="24" t="str">
        <f>IF(OR(E998="",E998="!!!",F998="NEW"),"",INDEX(J$1:J997,SUMPRODUCT(MAX(ROW(E$1:E997)*(E998=E$1:E997)))))</f>
        <v/>
      </c>
      <c r="L998" s="25"/>
    </row>
    <row r="999" spans="1:12" x14ac:dyDescent="0.3">
      <c r="A999" t="s">
        <v>338</v>
      </c>
      <c r="E999" s="20" t="str">
        <f t="shared" si="106"/>
        <v/>
      </c>
      <c r="F999" s="21" t="str">
        <f>IF(OR(E999="",E999="!!!"),"",IF(NOT(ISNA(VLOOKUP(E999,E$1:E998,1,FALSE()))),"OLD",IF(AND(E999&lt;&gt;"",E999&lt;&gt;"!!!"),"NEW","")))</f>
        <v/>
      </c>
      <c r="G999" s="22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3" t="str">
        <f t="shared" ca="1" si="107"/>
        <v/>
      </c>
      <c r="I999" s="24" t="str">
        <f>IF(OR(E999="",E999="!!!",F999="NEW"),"",INDEX(B$2:B998,-1+SUMPRODUCT(MAX(ROW(E$2:E998)*(E999=E$2:E998)))))</f>
        <v/>
      </c>
      <c r="J999" s="24" t="str">
        <f ca="1">IF(OR(E999="",E999="!!!",F999="NEW"),"",COUNTBLANK(OFFSET(A$1,,,SUMPRODUCT(MAX(ROW(E$2:E999)*(E999=E$2:E999)))))-COUNTBLANK(OFFSET(A$1,,,SUMPRODUCT(MAX(ROW(E$1:E998)*(E2=E$1:E998))))))</f>
        <v/>
      </c>
      <c r="K999" s="24" t="str">
        <f>IF(OR(E999="",E999="!!!",F999="NEW"),"",INDEX(J$1:J998,SUMPRODUCT(MAX(ROW(E$1:E998)*(E999=E$1:E998)))))</f>
        <v/>
      </c>
      <c r="L999" s="25"/>
    </row>
    <row r="1001" spans="1:12" x14ac:dyDescent="0.3">
      <c r="A1001" t="s">
        <v>820</v>
      </c>
    </row>
    <row r="1002" spans="1:12" x14ac:dyDescent="0.3">
      <c r="A1002" t="s">
        <v>821</v>
      </c>
      <c r="E1002" s="20" t="str">
        <f t="shared" ref="E1002:E1008" si="108">IF(D1002="?OLD","!!!","")</f>
        <v/>
      </c>
      <c r="F1002" s="21" t="str">
        <f>IF(OR(E1002="",E1002="!!!"),"",IF(NOT(ISNA(VLOOKUP(E1002,E$1:E1001,1,FALSE()))),"OLD",IF(AND(E1002&lt;&gt;"",E1002&lt;&gt;"!!!"),"NEW","")))</f>
        <v/>
      </c>
      <c r="G1002" s="22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3" t="str">
        <f t="shared" ref="H1002:H1008" ca="1" si="109">IF(J1002&lt;&gt;1,"",IF(I1002="SBJ","CB","?"))</f>
        <v/>
      </c>
      <c r="I1002" s="24" t="str">
        <f>IF(OR(E1002="",E1002="!!!",F1002="NEW"),"",INDEX(B$2:B1001,-1+SUMPRODUCT(MAX(ROW(E$2:E1001)*(E1002=E$2:E1001)))))</f>
        <v/>
      </c>
      <c r="J1002" s="24" t="str">
        <f ca="1">IF(OR(E1002="",E1002="!!!",F1002="NEW"),"",COUNTBLANK(OFFSET(A$1,,,SUMPRODUCT(MAX(ROW(E$2:E1002)*(E1002=E$2:E1002)))))-COUNTBLANK(OFFSET(A$1,,,SUMPRODUCT(MAX(ROW(E$1:E1001)*(E2=E$1:E1001))))))</f>
        <v/>
      </c>
      <c r="K1002" s="24" t="str">
        <f>IF(OR(E1002="",E1002="!!!",F1002="NEW"),"",INDEX(J$1:J1001,SUMPRODUCT(MAX(ROW(E$1:E1001)*(E1002=E$1:E1001)))))</f>
        <v/>
      </c>
      <c r="L1002" s="25"/>
    </row>
    <row r="1003" spans="1:12" x14ac:dyDescent="0.3">
      <c r="A1003" t="s">
        <v>599</v>
      </c>
      <c r="E1003" s="20" t="str">
        <f t="shared" si="108"/>
        <v/>
      </c>
      <c r="F1003" s="21" t="str">
        <f>IF(OR(E1003="",E1003="!!!"),"",IF(NOT(ISNA(VLOOKUP(E1003,E$1:E1002,1,FALSE()))),"OLD",IF(AND(E1003&lt;&gt;"",E1003&lt;&gt;"!!!"),"NEW","")))</f>
        <v/>
      </c>
      <c r="G1003" s="22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3" t="str">
        <f t="shared" ca="1" si="109"/>
        <v/>
      </c>
      <c r="I1003" s="24" t="str">
        <f>IF(OR(E1003="",E1003="!!!",F1003="NEW"),"",INDEX(B$2:B1002,-1+SUMPRODUCT(MAX(ROW(E$2:E1002)*(E1003=E$2:E1002)))))</f>
        <v/>
      </c>
      <c r="J1003" s="24" t="str">
        <f ca="1">IF(OR(E1003="",E1003="!!!",F1003="NEW"),"",COUNTBLANK(OFFSET(A$1,,,SUMPRODUCT(MAX(ROW(E$2:E1003)*(E1003=E$2:E1003)))))-COUNTBLANK(OFFSET(A$1,,,SUMPRODUCT(MAX(ROW(E$1:E1002)*(E2=E$1:E1002))))))</f>
        <v/>
      </c>
      <c r="K1003" s="24" t="str">
        <f>IF(OR(E1003="",E1003="!!!",F1003="NEW"),"",INDEX(J$1:J1002,SUMPRODUCT(MAX(ROW(E$1:E1002)*(E1003=E$1:E1002)))))</f>
        <v/>
      </c>
      <c r="L1003" s="25"/>
    </row>
    <row r="1004" spans="1:12" x14ac:dyDescent="0.3">
      <c r="A1004" t="s">
        <v>822</v>
      </c>
      <c r="E1004" s="20" t="str">
        <f t="shared" si="108"/>
        <v/>
      </c>
      <c r="F1004" s="21" t="str">
        <f>IF(OR(E1004="",E1004="!!!"),"",IF(NOT(ISNA(VLOOKUP(E1004,E$1:E1003,1,FALSE()))),"OLD",IF(AND(E1004&lt;&gt;"",E1004&lt;&gt;"!!!"),"NEW","")))</f>
        <v/>
      </c>
      <c r="G1004" s="22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3" t="str">
        <f t="shared" ca="1" si="109"/>
        <v/>
      </c>
      <c r="I1004" s="24" t="str">
        <f>IF(OR(E1004="",E1004="!!!",F1004="NEW"),"",INDEX(B$2:B1003,-1+SUMPRODUCT(MAX(ROW(E$2:E1003)*(E1004=E$2:E1003)))))</f>
        <v/>
      </c>
      <c r="J1004" s="24" t="str">
        <f ca="1">IF(OR(E1004="",E1004="!!!",F1004="NEW"),"",COUNTBLANK(OFFSET(A$1,,,SUMPRODUCT(MAX(ROW(E$2:E1004)*(E1004=E$2:E1004)))))-COUNTBLANK(OFFSET(A$1,,,SUMPRODUCT(MAX(ROW(E$1:E1003)*(E2=E$1:E1003))))))</f>
        <v/>
      </c>
      <c r="K1004" s="24" t="str">
        <f>IF(OR(E1004="",E1004="!!!",F1004="NEW"),"",INDEX(J$1:J1003,SUMPRODUCT(MAX(ROW(E$1:E1003)*(E1004=E$1:E1003)))))</f>
        <v/>
      </c>
      <c r="L1004" s="25"/>
    </row>
    <row r="1005" spans="1:12" x14ac:dyDescent="0.3">
      <c r="A1005" t="s">
        <v>823</v>
      </c>
      <c r="B1005" s="26" t="s">
        <v>337</v>
      </c>
      <c r="C1005" s="26" t="s">
        <v>366</v>
      </c>
      <c r="E1005" s="20" t="str">
        <f t="shared" si="108"/>
        <v/>
      </c>
      <c r="F1005" s="21" t="str">
        <f>IF(OR(E1005="",E1005="!!!"),"",IF(NOT(ISNA(VLOOKUP(E1005,E$1:E1004,1,FALSE()))),"OLD",IF(AND(E1005&lt;&gt;"",E1005&lt;&gt;"!!!"),"NEW","")))</f>
        <v/>
      </c>
      <c r="G1005" s="22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3" t="str">
        <f t="shared" ca="1" si="109"/>
        <v/>
      </c>
      <c r="I1005" s="24" t="str">
        <f>IF(OR(E1005="",E1005="!!!",F1005="NEW"),"",INDEX(B$2:B1004,-1+SUMPRODUCT(MAX(ROW(E$2:E1004)*(E1005=E$2:E1004)))))</f>
        <v/>
      </c>
      <c r="J1005" s="24" t="str">
        <f ca="1">IF(OR(E1005="",E1005="!!!",F1005="NEW"),"",COUNTBLANK(OFFSET(A$1,,,SUMPRODUCT(MAX(ROW(E$2:E1005)*(E1005=E$2:E1005)))))-COUNTBLANK(OFFSET(A$1,,,SUMPRODUCT(MAX(ROW(E$1:E1004)*(E2=E$1:E1004))))))</f>
        <v/>
      </c>
      <c r="K1005" s="24" t="str">
        <f>IF(OR(E1005="",E1005="!!!",F1005="NEW"),"",INDEX(J$1:J1004,SUMPRODUCT(MAX(ROW(E$1:E1004)*(E1005=E$1:E1004)))))</f>
        <v/>
      </c>
      <c r="L1005" s="25"/>
    </row>
    <row r="1006" spans="1:12" x14ac:dyDescent="0.3">
      <c r="A1006" t="s">
        <v>824</v>
      </c>
      <c r="B1006" s="26" t="s">
        <v>378</v>
      </c>
      <c r="C1006" s="26" t="s">
        <v>438</v>
      </c>
      <c r="D1006" s="26" t="s">
        <v>332</v>
      </c>
      <c r="E1006" s="20" t="str">
        <f t="shared" si="108"/>
        <v>!!!</v>
      </c>
      <c r="F1006" s="21" t="str">
        <f>IF(OR(E1006="",E1006="!!!"),"",IF(NOT(ISNA(VLOOKUP(E1006,E$1:E1005,1,FALSE()))),"OLD",IF(AND(E1006&lt;&gt;"",E1006&lt;&gt;"!!!"),"NEW","")))</f>
        <v/>
      </c>
      <c r="G1006" s="22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3" t="str">
        <f t="shared" ca="1" si="109"/>
        <v/>
      </c>
      <c r="I1006" s="24" t="str">
        <f>IF(OR(E1006="",E1006="!!!",F1006="NEW"),"",INDEX(B$2:B1005,-1+SUMPRODUCT(MAX(ROW(E$2:E1005)*(E1006=E$2:E1005)))))</f>
        <v/>
      </c>
      <c r="J1006" s="24" t="str">
        <f ca="1">IF(OR(E1006="",E1006="!!!",F1006="NEW"),"",COUNTBLANK(OFFSET(A$1,,,SUMPRODUCT(MAX(ROW(E$2:E1006)*(E1006=E$2:E1006)))))-COUNTBLANK(OFFSET(A$1,,,SUMPRODUCT(MAX(ROW(E$1:E1005)*(E2=E$1:E1005))))))</f>
        <v/>
      </c>
      <c r="K1006" s="24" t="str">
        <f>IF(OR(E1006="",E1006="!!!",F1006="NEW"),"",INDEX(J$1:J1005,SUMPRODUCT(MAX(ROW(E$1:E1005)*(E1006=E$1:E1005)))))</f>
        <v/>
      </c>
      <c r="L1006" s="25"/>
    </row>
    <row r="1007" spans="1:12" x14ac:dyDescent="0.3">
      <c r="A1007" t="s">
        <v>825</v>
      </c>
      <c r="B1007" s="26" t="s">
        <v>330</v>
      </c>
      <c r="C1007" s="26" t="s">
        <v>366</v>
      </c>
      <c r="E1007" s="20" t="str">
        <f t="shared" si="108"/>
        <v/>
      </c>
      <c r="F1007" s="21" t="str">
        <f>IF(OR(E1007="",E1007="!!!"),"",IF(NOT(ISNA(VLOOKUP(E1007,E$1:E1006,1,FALSE()))),"OLD",IF(AND(E1007&lt;&gt;"",E1007&lt;&gt;"!!!"),"NEW","")))</f>
        <v/>
      </c>
      <c r="G1007" s="22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3" t="str">
        <f t="shared" ca="1" si="109"/>
        <v/>
      </c>
      <c r="I1007" s="24" t="str">
        <f>IF(OR(E1007="",E1007="!!!",F1007="NEW"),"",INDEX(B$2:B1006,-1+SUMPRODUCT(MAX(ROW(E$2:E1006)*(E1007=E$2:E1006)))))</f>
        <v/>
      </c>
      <c r="J1007" s="24" t="str">
        <f ca="1">IF(OR(E1007="",E1007="!!!",F1007="NEW"),"",COUNTBLANK(OFFSET(A$1,,,SUMPRODUCT(MAX(ROW(E$2:E1007)*(E1007=E$2:E1007)))))-COUNTBLANK(OFFSET(A$1,,,SUMPRODUCT(MAX(ROW(E$1:E1006)*(E2=E$1:E1006))))))</f>
        <v/>
      </c>
      <c r="K1007" s="24" t="str">
        <f>IF(OR(E1007="",E1007="!!!",F1007="NEW"),"",INDEX(J$1:J1006,SUMPRODUCT(MAX(ROW(E$1:E1006)*(E1007=E$1:E1006)))))</f>
        <v/>
      </c>
      <c r="L1007" s="25"/>
    </row>
    <row r="1008" spans="1:12" x14ac:dyDescent="0.3">
      <c r="A1008" t="s">
        <v>338</v>
      </c>
      <c r="E1008" s="20" t="str">
        <f t="shared" si="108"/>
        <v/>
      </c>
      <c r="F1008" s="21" t="str">
        <f>IF(OR(E1008="",E1008="!!!"),"",IF(NOT(ISNA(VLOOKUP(E1008,E$1:E1007,1,FALSE()))),"OLD",IF(AND(E1008&lt;&gt;"",E1008&lt;&gt;"!!!"),"NEW","")))</f>
        <v/>
      </c>
      <c r="G1008" s="22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3" t="str">
        <f t="shared" ca="1" si="109"/>
        <v/>
      </c>
      <c r="I1008" s="24" t="str">
        <f>IF(OR(E1008="",E1008="!!!",F1008="NEW"),"",INDEX(B$2:B1007,-1+SUMPRODUCT(MAX(ROW(E$2:E1007)*(E1008=E$2:E1007)))))</f>
        <v/>
      </c>
      <c r="J1008" s="24" t="str">
        <f ca="1">IF(OR(E1008="",E1008="!!!",F1008="NEW"),"",COUNTBLANK(OFFSET(A$1,,,SUMPRODUCT(MAX(ROW(E$2:E1008)*(E1008=E$2:E1008)))))-COUNTBLANK(OFFSET(A$1,,,SUMPRODUCT(MAX(ROW(E$1:E1007)*(E2=E$1:E1007))))))</f>
        <v/>
      </c>
      <c r="K1008" s="24" t="str">
        <f>IF(OR(E1008="",E1008="!!!",F1008="NEW"),"",INDEX(J$1:J1007,SUMPRODUCT(MAX(ROW(E$1:E1007)*(E1008=E$1:E1007)))))</f>
        <v/>
      </c>
      <c r="L1008" s="25"/>
    </row>
    <row r="1010" spans="1:12" x14ac:dyDescent="0.3">
      <c r="A1010" t="s">
        <v>826</v>
      </c>
    </row>
    <row r="1011" spans="1:12" x14ac:dyDescent="0.3">
      <c r="A1011" t="s">
        <v>483</v>
      </c>
      <c r="B1011" s="26" t="s">
        <v>330</v>
      </c>
      <c r="C1011" s="26" t="s">
        <v>394</v>
      </c>
      <c r="D1011" s="26" t="s">
        <v>332</v>
      </c>
      <c r="E1011" s="20" t="str">
        <f t="shared" ref="E1011:E1017" si="110">IF(D1011="?OLD","!!!","")</f>
        <v>!!!</v>
      </c>
      <c r="F1011" s="21" t="str">
        <f>IF(OR(E1011="",E1011="!!!"),"",IF(NOT(ISNA(VLOOKUP(E1011,E$1:E1010,1,FALSE()))),"OLD",IF(AND(E1011&lt;&gt;"",E1011&lt;&gt;"!!!"),"NEW","")))</f>
        <v/>
      </c>
      <c r="G1011" s="22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3" t="str">
        <f t="shared" ref="H1011:H1017" ca="1" si="111">IF(J1011&lt;&gt;1,"",IF(I1011="SBJ","CB","?"))</f>
        <v/>
      </c>
      <c r="I1011" s="24" t="str">
        <f>IF(OR(E1011="",E1011="!!!",F1011="NEW"),"",INDEX(B$2:B1010,-1+SUMPRODUCT(MAX(ROW(E$2:E1010)*(E1011=E$2:E1010)))))</f>
        <v/>
      </c>
      <c r="J1011" s="24" t="str">
        <f ca="1">IF(OR(E1011="",E1011="!!!",F1011="NEW"),"",COUNTBLANK(OFFSET(A$1,,,SUMPRODUCT(MAX(ROW(E$2:E1011)*(E1011=E$2:E1011)))))-COUNTBLANK(OFFSET(A$1,,,SUMPRODUCT(MAX(ROW(E$1:E1010)*(E2=E$1:E1010))))))</f>
        <v/>
      </c>
      <c r="K1011" s="24" t="str">
        <f>IF(OR(E1011="",E1011="!!!",F1011="NEW"),"",INDEX(J$1:J1010,SUMPRODUCT(MAX(ROW(E$1:E1010)*(E1011=E$1:E1010)))))</f>
        <v/>
      </c>
      <c r="L1011" s="25"/>
    </row>
    <row r="1012" spans="1:12" x14ac:dyDescent="0.3">
      <c r="A1012" t="s">
        <v>333</v>
      </c>
      <c r="E1012" s="20" t="str">
        <f t="shared" si="110"/>
        <v/>
      </c>
      <c r="F1012" s="21" t="str">
        <f>IF(OR(E1012="",E1012="!!!"),"",IF(NOT(ISNA(VLOOKUP(E1012,E$1:E1011,1,FALSE()))),"OLD",IF(AND(E1012&lt;&gt;"",E1012&lt;&gt;"!!!"),"NEW","")))</f>
        <v/>
      </c>
      <c r="G1012" s="22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3" t="str">
        <f t="shared" ca="1" si="111"/>
        <v/>
      </c>
      <c r="I1012" s="24" t="str">
        <f>IF(OR(E1012="",E1012="!!!",F1012="NEW"),"",INDEX(B$2:B1011,-1+SUMPRODUCT(MAX(ROW(E$2:E1011)*(E1012=E$2:E1011)))))</f>
        <v/>
      </c>
      <c r="J1012" s="24" t="str">
        <f ca="1">IF(OR(E1012="",E1012="!!!",F1012="NEW"),"",COUNTBLANK(OFFSET(A$1,,,SUMPRODUCT(MAX(ROW(E$2:E1012)*(E1012=E$2:E1012)))))-COUNTBLANK(OFFSET(A$1,,,SUMPRODUCT(MAX(ROW(E$1:E1011)*(E2=E$1:E1011))))))</f>
        <v/>
      </c>
      <c r="K1012" s="24" t="str">
        <f>IF(OR(E1012="",E1012="!!!",F1012="NEW"),"",INDEX(J$1:J1011,SUMPRODUCT(MAX(ROW(E$1:E1011)*(E1012=E$1:E1011)))))</f>
        <v/>
      </c>
      <c r="L1012" s="25"/>
    </row>
    <row r="1013" spans="1:12" x14ac:dyDescent="0.3">
      <c r="A1013" t="s">
        <v>827</v>
      </c>
      <c r="E1013" s="20" t="str">
        <f t="shared" si="110"/>
        <v/>
      </c>
      <c r="F1013" s="21" t="str">
        <f>IF(OR(E1013="",E1013="!!!"),"",IF(NOT(ISNA(VLOOKUP(E1013,E$1:E1012,1,FALSE()))),"OLD",IF(AND(E1013&lt;&gt;"",E1013&lt;&gt;"!!!"),"NEW","")))</f>
        <v/>
      </c>
      <c r="G1013" s="22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3" t="str">
        <f t="shared" ca="1" si="111"/>
        <v/>
      </c>
      <c r="I1013" s="24" t="str">
        <f>IF(OR(E1013="",E1013="!!!",F1013="NEW"),"",INDEX(B$2:B1012,-1+SUMPRODUCT(MAX(ROW(E$2:E1012)*(E1013=E$2:E1012)))))</f>
        <v/>
      </c>
      <c r="J1013" s="24" t="str">
        <f ca="1">IF(OR(E1013="",E1013="!!!",F1013="NEW"),"",COUNTBLANK(OFFSET(A$1,,,SUMPRODUCT(MAX(ROW(E$2:E1013)*(E1013=E$2:E1013)))))-COUNTBLANK(OFFSET(A$1,,,SUMPRODUCT(MAX(ROW(E$1:E1012)*(E2=E$1:E1012))))))</f>
        <v/>
      </c>
      <c r="K1013" s="24" t="str">
        <f>IF(OR(E1013="",E1013="!!!",F1013="NEW"),"",INDEX(J$1:J1012,SUMPRODUCT(MAX(ROW(E$1:E1012)*(E1013=E$1:E1012)))))</f>
        <v/>
      </c>
      <c r="L1013" s="25"/>
    </row>
    <row r="1014" spans="1:12" x14ac:dyDescent="0.3">
      <c r="A1014" t="s">
        <v>828</v>
      </c>
      <c r="E1014" s="20" t="str">
        <f t="shared" si="110"/>
        <v/>
      </c>
      <c r="F1014" s="21" t="str">
        <f>IF(OR(E1014="",E1014="!!!"),"",IF(NOT(ISNA(VLOOKUP(E1014,E$1:E1013,1,FALSE()))),"OLD",IF(AND(E1014&lt;&gt;"",E1014&lt;&gt;"!!!"),"NEW","")))</f>
        <v/>
      </c>
      <c r="G1014" s="22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3" t="str">
        <f t="shared" ca="1" si="111"/>
        <v/>
      </c>
      <c r="I1014" s="24" t="str">
        <f>IF(OR(E1014="",E1014="!!!",F1014="NEW"),"",INDEX(B$2:B1013,-1+SUMPRODUCT(MAX(ROW(E$2:E1013)*(E1014=E$2:E1013)))))</f>
        <v/>
      </c>
      <c r="J1014" s="24" t="str">
        <f ca="1">IF(OR(E1014="",E1014="!!!",F1014="NEW"),"",COUNTBLANK(OFFSET(A$1,,,SUMPRODUCT(MAX(ROW(E$2:E1014)*(E1014=E$2:E1014)))))-COUNTBLANK(OFFSET(A$1,,,SUMPRODUCT(MAX(ROW(E$1:E1013)*(E2=E$1:E1013))))))</f>
        <v/>
      </c>
      <c r="K1014" s="24" t="str">
        <f>IF(OR(E1014="",E1014="!!!",F1014="NEW"),"",INDEX(J$1:J1013,SUMPRODUCT(MAX(ROW(E$1:E1013)*(E1014=E$1:E1013)))))</f>
        <v/>
      </c>
      <c r="L1014" s="25"/>
    </row>
    <row r="1015" spans="1:12" x14ac:dyDescent="0.3">
      <c r="A1015" t="s">
        <v>351</v>
      </c>
      <c r="E1015" s="20" t="str">
        <f t="shared" si="110"/>
        <v/>
      </c>
      <c r="F1015" s="21" t="str">
        <f>IF(OR(E1015="",E1015="!!!"),"",IF(NOT(ISNA(VLOOKUP(E1015,E$1:E1014,1,FALSE()))),"OLD",IF(AND(E1015&lt;&gt;"",E1015&lt;&gt;"!!!"),"NEW","")))</f>
        <v/>
      </c>
      <c r="G1015" s="22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3" t="str">
        <f t="shared" ca="1" si="111"/>
        <v/>
      </c>
      <c r="I1015" s="24" t="str">
        <f>IF(OR(E1015="",E1015="!!!",F1015="NEW"),"",INDEX(B$2:B1014,-1+SUMPRODUCT(MAX(ROW(E$2:E1014)*(E1015=E$2:E1014)))))</f>
        <v/>
      </c>
      <c r="J1015" s="24" t="str">
        <f ca="1">IF(OR(E1015="",E1015="!!!",F1015="NEW"),"",COUNTBLANK(OFFSET(A$1,,,SUMPRODUCT(MAX(ROW(E$2:E1015)*(E1015=E$2:E1015)))))-COUNTBLANK(OFFSET(A$1,,,SUMPRODUCT(MAX(ROW(E$1:E1014)*(E2=E$1:E1014))))))</f>
        <v/>
      </c>
      <c r="K1015" s="24" t="str">
        <f>IF(OR(E1015="",E1015="!!!",F1015="NEW"),"",INDEX(J$1:J1014,SUMPRODUCT(MAX(ROW(E$1:E1014)*(E1015=E$1:E1014)))))</f>
        <v/>
      </c>
      <c r="L1015" s="25"/>
    </row>
    <row r="1016" spans="1:12" x14ac:dyDescent="0.3">
      <c r="A1016" t="s">
        <v>667</v>
      </c>
      <c r="E1016" s="20" t="str">
        <f t="shared" si="110"/>
        <v/>
      </c>
      <c r="F1016" s="21" t="str">
        <f>IF(OR(E1016="",E1016="!!!"),"",IF(NOT(ISNA(VLOOKUP(E1016,E$1:E1015,1,FALSE()))),"OLD",IF(AND(E1016&lt;&gt;"",E1016&lt;&gt;"!!!"),"NEW","")))</f>
        <v/>
      </c>
      <c r="G1016" s="22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3" t="str">
        <f t="shared" ca="1" si="111"/>
        <v/>
      </c>
      <c r="I1016" s="24" t="str">
        <f>IF(OR(E1016="",E1016="!!!",F1016="NEW"),"",INDEX(B$2:B1015,-1+SUMPRODUCT(MAX(ROW(E$2:E1015)*(E1016=E$2:E1015)))))</f>
        <v/>
      </c>
      <c r="J1016" s="24" t="str">
        <f ca="1">IF(OR(E1016="",E1016="!!!",F1016="NEW"),"",COUNTBLANK(OFFSET(A$1,,,SUMPRODUCT(MAX(ROW(E$2:E1016)*(E1016=E$2:E1016)))))-COUNTBLANK(OFFSET(A$1,,,SUMPRODUCT(MAX(ROW(E$1:E1015)*(E2=E$1:E1015))))))</f>
        <v/>
      </c>
      <c r="K1016" s="24" t="str">
        <f>IF(OR(E1016="",E1016="!!!",F1016="NEW"),"",INDEX(J$1:J1015,SUMPRODUCT(MAX(ROW(E$1:E1015)*(E1016=E$1:E1015)))))</f>
        <v/>
      </c>
      <c r="L1016" s="25"/>
    </row>
    <row r="1017" spans="1:12" x14ac:dyDescent="0.3">
      <c r="A1017" t="s">
        <v>638</v>
      </c>
      <c r="E1017" s="20" t="str">
        <f t="shared" si="110"/>
        <v/>
      </c>
      <c r="F1017" s="21" t="str">
        <f>IF(OR(E1017="",E1017="!!!"),"",IF(NOT(ISNA(VLOOKUP(E1017,E$1:E1016,1,FALSE()))),"OLD",IF(AND(E1017&lt;&gt;"",E1017&lt;&gt;"!!!"),"NEW","")))</f>
        <v/>
      </c>
      <c r="G1017" s="22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3" t="str">
        <f t="shared" ca="1" si="111"/>
        <v/>
      </c>
      <c r="I1017" s="24" t="str">
        <f>IF(OR(E1017="",E1017="!!!",F1017="NEW"),"",INDEX(B$2:B1016,-1+SUMPRODUCT(MAX(ROW(E$2:E1016)*(E1017=E$2:E1016)))))</f>
        <v/>
      </c>
      <c r="J1017" s="24" t="str">
        <f ca="1">IF(OR(E1017="",E1017="!!!",F1017="NEW"),"",COUNTBLANK(OFFSET(A$1,,,SUMPRODUCT(MAX(ROW(E$2:E1017)*(E1017=E$2:E1017)))))-COUNTBLANK(OFFSET(A$1,,,SUMPRODUCT(MAX(ROW(E$1:E1016)*(E2=E$1:E1016))))))</f>
        <v/>
      </c>
      <c r="K1017" s="24" t="str">
        <f>IF(OR(E1017="",E1017="!!!",F1017="NEW"),"",INDEX(J$1:J1016,SUMPRODUCT(MAX(ROW(E$1:E1016)*(E1017=E$1:E1016)))))</f>
        <v/>
      </c>
      <c r="L1017" s="25"/>
    </row>
    <row r="1019" spans="1:12" x14ac:dyDescent="0.3">
      <c r="A1019" t="s">
        <v>829</v>
      </c>
    </row>
    <row r="1020" spans="1:12" x14ac:dyDescent="0.3">
      <c r="A1020" t="s">
        <v>530</v>
      </c>
      <c r="E1020" s="20" t="str">
        <f>IF(D1020="?OLD","!!!","")</f>
        <v/>
      </c>
      <c r="F1020" s="21" t="str">
        <f>IF(OR(E1020="",E1020="!!!"),"",IF(NOT(ISNA(VLOOKUP(E1020,E$1:E1019,1,FALSE()))),"OLD",IF(AND(E1020&lt;&gt;"",E1020&lt;&gt;"!!!"),"NEW","")))</f>
        <v/>
      </c>
      <c r="G1020" s="22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3" t="str">
        <f ca="1">IF(J1020&lt;&gt;1,"",IF(I1020="SBJ","CB","?"))</f>
        <v/>
      </c>
      <c r="I1020" s="24" t="str">
        <f>IF(OR(E1020="",E1020="!!!",F1020="NEW"),"",INDEX(B$2:B1019,-1+SUMPRODUCT(MAX(ROW(E$2:E1019)*(E1020=E$2:E1019)))))</f>
        <v/>
      </c>
      <c r="J1020" s="24" t="str">
        <f ca="1">IF(OR(E1020="",E1020="!!!",F1020="NEW"),"",COUNTBLANK(OFFSET(A$1,,,SUMPRODUCT(MAX(ROW(E$2:E1020)*(E1020=E$2:E1020)))))-COUNTBLANK(OFFSET(A$1,,,SUMPRODUCT(MAX(ROW(E$1:E1019)*(E2=E$1:E1019))))))</f>
        <v/>
      </c>
      <c r="K1020" s="24" t="str">
        <f>IF(OR(E1020="",E1020="!!!",F1020="NEW"),"",INDEX(J$1:J1019,SUMPRODUCT(MAX(ROW(E$1:E1019)*(E1020=E$1:E1019)))))</f>
        <v/>
      </c>
      <c r="L1020" s="25"/>
    </row>
    <row r="1021" spans="1:12" x14ac:dyDescent="0.3">
      <c r="A1021" t="s">
        <v>437</v>
      </c>
      <c r="B1021" s="26" t="s">
        <v>330</v>
      </c>
      <c r="C1021" s="26" t="s">
        <v>438</v>
      </c>
      <c r="D1021" s="26" t="s">
        <v>332</v>
      </c>
      <c r="E1021" s="20" t="str">
        <f>IF(D1021="?OLD","!!!","")</f>
        <v>!!!</v>
      </c>
      <c r="F1021" s="21" t="str">
        <f>IF(OR(E1021="",E1021="!!!"),"",IF(NOT(ISNA(VLOOKUP(E1021,E$1:E1020,1,FALSE()))),"OLD",IF(AND(E1021&lt;&gt;"",E1021&lt;&gt;"!!!"),"NEW","")))</f>
        <v/>
      </c>
      <c r="G1021" s="22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3" t="str">
        <f ca="1">IF(J1021&lt;&gt;1,"",IF(I1021="SBJ","CB","?"))</f>
        <v/>
      </c>
      <c r="I1021" s="24" t="str">
        <f>IF(OR(E1021="",E1021="!!!",F1021="NEW"),"",INDEX(B$2:B1020,-1+SUMPRODUCT(MAX(ROW(E$2:E1020)*(E1021=E$2:E1020)))))</f>
        <v/>
      </c>
      <c r="J1021" s="24" t="str">
        <f ca="1">IF(OR(E1021="",E1021="!!!",F1021="NEW"),"",COUNTBLANK(OFFSET(A$1,,,SUMPRODUCT(MAX(ROW(E$2:E1021)*(E1021=E$2:E1021)))))-COUNTBLANK(OFFSET(A$1,,,SUMPRODUCT(MAX(ROW(E$1:E1020)*(E2=E$1:E1020))))))</f>
        <v/>
      </c>
      <c r="K1021" s="24" t="str">
        <f>IF(OR(E1021="",E1021="!!!",F1021="NEW"),"",INDEX(J$1:J1020,SUMPRODUCT(MAX(ROW(E$1:E1020)*(E1021=E$1:E1020)))))</f>
        <v/>
      </c>
      <c r="L1021" s="25"/>
    </row>
    <row r="1022" spans="1:12" x14ac:dyDescent="0.3">
      <c r="A1022" t="s">
        <v>830</v>
      </c>
      <c r="E1022" s="20" t="str">
        <f>IF(D1022="?OLD","!!!","")</f>
        <v/>
      </c>
      <c r="F1022" s="21" t="str">
        <f>IF(OR(E1022="",E1022="!!!"),"",IF(NOT(ISNA(VLOOKUP(E1022,E$1:E1021,1,FALSE()))),"OLD",IF(AND(E1022&lt;&gt;"",E1022&lt;&gt;"!!!"),"NEW","")))</f>
        <v/>
      </c>
      <c r="G1022" s="22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3" t="str">
        <f ca="1">IF(J1022&lt;&gt;1,"",IF(I1022="SBJ","CB","?"))</f>
        <v/>
      </c>
      <c r="I1022" s="24" t="str">
        <f>IF(OR(E1022="",E1022="!!!",F1022="NEW"),"",INDEX(B$2:B1021,-1+SUMPRODUCT(MAX(ROW(E$2:E1021)*(E1022=E$2:E1021)))))</f>
        <v/>
      </c>
      <c r="J1022" s="24" t="str">
        <f ca="1">IF(OR(E1022="",E1022="!!!",F1022="NEW"),"",COUNTBLANK(OFFSET(A$1,,,SUMPRODUCT(MAX(ROW(E$2:E1022)*(E1022=E$2:E1022)))))-COUNTBLANK(OFFSET(A$1,,,SUMPRODUCT(MAX(ROW(E$1:E1021)*(E2=E$1:E1021))))))</f>
        <v/>
      </c>
      <c r="K1022" s="24" t="str">
        <f>IF(OR(E1022="",E1022="!!!",F1022="NEW"),"",INDEX(J$1:J1021,SUMPRODUCT(MAX(ROW(E$1:E1021)*(E1022=E$1:E1021)))))</f>
        <v/>
      </c>
      <c r="L1022" s="25"/>
    </row>
    <row r="1023" spans="1:12" x14ac:dyDescent="0.3">
      <c r="A1023" t="s">
        <v>765</v>
      </c>
      <c r="E1023" s="20" t="str">
        <f>IF(D1023="?OLD","!!!","")</f>
        <v/>
      </c>
      <c r="F1023" s="21" t="str">
        <f>IF(OR(E1023="",E1023="!!!"),"",IF(NOT(ISNA(VLOOKUP(E1023,E$1:E1022,1,FALSE()))),"OLD",IF(AND(E1023&lt;&gt;"",E1023&lt;&gt;"!!!"),"NEW","")))</f>
        <v/>
      </c>
      <c r="G1023" s="22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3" t="str">
        <f ca="1">IF(J1023&lt;&gt;1,"",IF(I1023="SBJ","CB","?"))</f>
        <v/>
      </c>
      <c r="I1023" s="24" t="str">
        <f>IF(OR(E1023="",E1023="!!!",F1023="NEW"),"",INDEX(B$2:B1022,-1+SUMPRODUCT(MAX(ROW(E$2:E1022)*(E1023=E$2:E1022)))))</f>
        <v/>
      </c>
      <c r="J1023" s="24" t="str">
        <f ca="1">IF(OR(E1023="",E1023="!!!",F1023="NEW"),"",COUNTBLANK(OFFSET(A$1,,,SUMPRODUCT(MAX(ROW(E$2:E1023)*(E1023=E$2:E1023)))))-COUNTBLANK(OFFSET(A$1,,,SUMPRODUCT(MAX(ROW(E$1:E1022)*(E2=E$1:E1022))))))</f>
        <v/>
      </c>
      <c r="K1023" s="24" t="str">
        <f>IF(OR(E1023="",E1023="!!!",F1023="NEW"),"",INDEX(J$1:J1022,SUMPRODUCT(MAX(ROW(E$1:E1022)*(E1023=E$1:E1022)))))</f>
        <v/>
      </c>
      <c r="L1023" s="25"/>
    </row>
    <row r="1024" spans="1:12" x14ac:dyDescent="0.3">
      <c r="A1024" t="s">
        <v>338</v>
      </c>
      <c r="E1024" s="20" t="str">
        <f>IF(D1024="?OLD","!!!","")</f>
        <v/>
      </c>
      <c r="F1024" s="21" t="str">
        <f>IF(OR(E1024="",E1024="!!!"),"",IF(NOT(ISNA(VLOOKUP(E1024,E$1:E1023,1,FALSE()))),"OLD",IF(AND(E1024&lt;&gt;"",E1024&lt;&gt;"!!!"),"NEW","")))</f>
        <v/>
      </c>
      <c r="G1024" s="22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3" t="str">
        <f ca="1">IF(J1024&lt;&gt;1,"",IF(I1024="SBJ","CB","?"))</f>
        <v/>
      </c>
      <c r="I1024" s="24" t="str">
        <f>IF(OR(E1024="",E1024="!!!",F1024="NEW"),"",INDEX(B$2:B1023,-1+SUMPRODUCT(MAX(ROW(E$2:E1023)*(E1024=E$2:E1023)))))</f>
        <v/>
      </c>
      <c r="J1024" s="24" t="str">
        <f ca="1">IF(OR(E1024="",E1024="!!!",F1024="NEW"),"",COUNTBLANK(OFFSET(A$1,,,SUMPRODUCT(MAX(ROW(E$2:E1024)*(E1024=E$2:E1024)))))-COUNTBLANK(OFFSET(A$1,,,SUMPRODUCT(MAX(ROW(E$1:E1023)*(E2=E$1:E1023))))))</f>
        <v/>
      </c>
      <c r="K1024" s="24" t="str">
        <f>IF(OR(E1024="",E1024="!!!",F1024="NEW"),"",INDEX(J$1:J1023,SUMPRODUCT(MAX(ROW(E$1:E1023)*(E1024=E$1:E1023)))))</f>
        <v/>
      </c>
      <c r="L1024" s="25"/>
    </row>
    <row r="1026" spans="1:12" x14ac:dyDescent="0.3">
      <c r="A1026" t="s">
        <v>831</v>
      </c>
    </row>
    <row r="1027" spans="1:12" x14ac:dyDescent="0.3">
      <c r="A1027" t="s">
        <v>424</v>
      </c>
      <c r="B1027" s="26" t="s">
        <v>330</v>
      </c>
      <c r="C1027" s="26" t="s">
        <v>341</v>
      </c>
      <c r="D1027" s="26" t="s">
        <v>332</v>
      </c>
      <c r="E1027" s="20" t="str">
        <f>IF(D1027="?OLD","!!!","")</f>
        <v>!!!</v>
      </c>
      <c r="F1027" s="21" t="str">
        <f>IF(OR(E1027="",E1027="!!!"),"",IF(NOT(ISNA(VLOOKUP(E1027,E$1:E1026,1,FALSE()))),"OLD",IF(AND(E1027&lt;&gt;"",E1027&lt;&gt;"!!!"),"NEW","")))</f>
        <v/>
      </c>
      <c r="G1027" s="22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3" t="str">
        <f ca="1">IF(J1027&lt;&gt;1,"",IF(I1027="SBJ","CB","?"))</f>
        <v/>
      </c>
      <c r="I1027" s="24" t="str">
        <f>IF(OR(E1027="",E1027="!!!",F1027="NEW"),"",INDEX(B$2:B1026,-1+SUMPRODUCT(MAX(ROW(E$2:E1026)*(E1027=E$2:E1026)))))</f>
        <v/>
      </c>
      <c r="J1027" s="24" t="str">
        <f ca="1">IF(OR(E1027="",E1027="!!!",F1027="NEW"),"",COUNTBLANK(OFFSET(A$1,,,SUMPRODUCT(MAX(ROW(E$2:E1027)*(E1027=E$2:E1027)))))-COUNTBLANK(OFFSET(A$1,,,SUMPRODUCT(MAX(ROW(E$1:E1026)*(E2=E$1:E1026))))))</f>
        <v/>
      </c>
      <c r="K1027" s="24" t="str">
        <f>IF(OR(E1027="",E1027="!!!",F1027="NEW"),"",INDEX(J$1:J1026,SUMPRODUCT(MAX(ROW(E$1:E1026)*(E1027=E$1:E1026)))))</f>
        <v/>
      </c>
      <c r="L1027" s="25"/>
    </row>
    <row r="1028" spans="1:12" x14ac:dyDescent="0.3">
      <c r="A1028" t="s">
        <v>832</v>
      </c>
      <c r="E1028" s="20" t="str">
        <f>IF(D1028="?OLD","!!!","")</f>
        <v/>
      </c>
      <c r="F1028" s="21" t="str">
        <f>IF(OR(E1028="",E1028="!!!"),"",IF(NOT(ISNA(VLOOKUP(E1028,E$1:E1027,1,FALSE()))),"OLD",IF(AND(E1028&lt;&gt;"",E1028&lt;&gt;"!!!"),"NEW","")))</f>
        <v/>
      </c>
      <c r="G1028" s="22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3" t="str">
        <f ca="1">IF(J1028&lt;&gt;1,"",IF(I1028="SBJ","CB","?"))</f>
        <v/>
      </c>
      <c r="I1028" s="24" t="str">
        <f>IF(OR(E1028="",E1028="!!!",F1028="NEW"),"",INDEX(B$2:B1027,-1+SUMPRODUCT(MAX(ROW(E$2:E1027)*(E1028=E$2:E1027)))))</f>
        <v/>
      </c>
      <c r="J1028" s="24" t="str">
        <f ca="1">IF(OR(E1028="",E1028="!!!",F1028="NEW"),"",COUNTBLANK(OFFSET(A$1,,,SUMPRODUCT(MAX(ROW(E$2:E1028)*(E1028=E$2:E1028)))))-COUNTBLANK(OFFSET(A$1,,,SUMPRODUCT(MAX(ROW(E$1:E1027)*(E2=E$1:E1027))))))</f>
        <v/>
      </c>
      <c r="K1028" s="24" t="str">
        <f>IF(OR(E1028="",E1028="!!!",F1028="NEW"),"",INDEX(J$1:J1027,SUMPRODUCT(MAX(ROW(E$1:E1027)*(E1028=E$1:E1027)))))</f>
        <v/>
      </c>
      <c r="L1028" s="25"/>
    </row>
    <row r="1029" spans="1:12" x14ac:dyDescent="0.3">
      <c r="A1029" t="s">
        <v>765</v>
      </c>
      <c r="E1029" s="20" t="str">
        <f>IF(D1029="?OLD","!!!","")</f>
        <v/>
      </c>
      <c r="F1029" s="21" t="str">
        <f>IF(OR(E1029="",E1029="!!!"),"",IF(NOT(ISNA(VLOOKUP(E1029,E$1:E1028,1,FALSE()))),"OLD",IF(AND(E1029&lt;&gt;"",E1029&lt;&gt;"!!!"),"NEW","")))</f>
        <v/>
      </c>
      <c r="G1029" s="22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3" t="str">
        <f ca="1">IF(J1029&lt;&gt;1,"",IF(I1029="SBJ","CB","?"))</f>
        <v/>
      </c>
      <c r="I1029" s="24" t="str">
        <f>IF(OR(E1029="",E1029="!!!",F1029="NEW"),"",INDEX(B$2:B1028,-1+SUMPRODUCT(MAX(ROW(E$2:E1028)*(E1029=E$2:E1028)))))</f>
        <v/>
      </c>
      <c r="J1029" s="24" t="str">
        <f ca="1">IF(OR(E1029="",E1029="!!!",F1029="NEW"),"",COUNTBLANK(OFFSET(A$1,,,SUMPRODUCT(MAX(ROW(E$2:E1029)*(E1029=E$2:E1029)))))-COUNTBLANK(OFFSET(A$1,,,SUMPRODUCT(MAX(ROW(E$1:E1028)*(E2=E$1:E1028))))))</f>
        <v/>
      </c>
      <c r="K1029" s="24" t="str">
        <f>IF(OR(E1029="",E1029="!!!",F1029="NEW"),"",INDEX(J$1:J1028,SUMPRODUCT(MAX(ROW(E$1:E1028)*(E1029=E$1:E1028)))))</f>
        <v/>
      </c>
      <c r="L1029" s="25"/>
    </row>
    <row r="1030" spans="1:12" x14ac:dyDescent="0.3">
      <c r="A1030" t="s">
        <v>338</v>
      </c>
      <c r="E1030" s="20" t="str">
        <f>IF(D1030="?OLD","!!!","")</f>
        <v/>
      </c>
      <c r="F1030" s="21" t="str">
        <f>IF(OR(E1030="",E1030="!!!"),"",IF(NOT(ISNA(VLOOKUP(E1030,E$1:E1029,1,FALSE()))),"OLD",IF(AND(E1030&lt;&gt;"",E1030&lt;&gt;"!!!"),"NEW","")))</f>
        <v/>
      </c>
      <c r="G1030" s="22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3" t="str">
        <f ca="1">IF(J1030&lt;&gt;1,"",IF(I1030="SBJ","CB","?"))</f>
        <v/>
      </c>
      <c r="I1030" s="24" t="str">
        <f>IF(OR(E1030="",E1030="!!!",F1030="NEW"),"",INDEX(B$2:B1029,-1+SUMPRODUCT(MAX(ROW(E$2:E1029)*(E1030=E$2:E1029)))))</f>
        <v/>
      </c>
      <c r="J1030" s="24" t="str">
        <f ca="1">IF(OR(E1030="",E1030="!!!",F1030="NEW"),"",COUNTBLANK(OFFSET(A$1,,,SUMPRODUCT(MAX(ROW(E$2:E1030)*(E1030=E$2:E1030)))))-COUNTBLANK(OFFSET(A$1,,,SUMPRODUCT(MAX(ROW(E$1:E1029)*(E2=E$1:E1029))))))</f>
        <v/>
      </c>
      <c r="K1030" s="24" t="str">
        <f>IF(OR(E1030="",E1030="!!!",F1030="NEW"),"",INDEX(J$1:J1029,SUMPRODUCT(MAX(ROW(E$1:E1029)*(E1030=E$1:E1029)))))</f>
        <v/>
      </c>
      <c r="L1030" s="25"/>
    </row>
    <row r="1032" spans="1:12" x14ac:dyDescent="0.3">
      <c r="A1032" t="s">
        <v>833</v>
      </c>
    </row>
    <row r="1033" spans="1:12" x14ac:dyDescent="0.3">
      <c r="A1033" t="s">
        <v>688</v>
      </c>
      <c r="E1033" s="20" t="str">
        <f t="shared" ref="E1033:E1043" si="112">IF(D1033="?OLD","!!!","")</f>
        <v/>
      </c>
      <c r="F1033" s="21" t="str">
        <f>IF(OR(E1033="",E1033="!!!"),"",IF(NOT(ISNA(VLOOKUP(E1033,E$1:E1032,1,FALSE()))),"OLD",IF(AND(E1033&lt;&gt;"",E1033&lt;&gt;"!!!"),"NEW","")))</f>
        <v/>
      </c>
      <c r="G1033" s="22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3" t="str">
        <f t="shared" ref="H1033:H1043" ca="1" si="113">IF(J1033&lt;&gt;1,"",IF(I1033="SBJ","CB","?"))</f>
        <v/>
      </c>
      <c r="I1033" s="24" t="str">
        <f>IF(OR(E1033="",E1033="!!!",F1033="NEW"),"",INDEX(B$2:B1032,-1+SUMPRODUCT(MAX(ROW(E$2:E1032)*(E1033=E$2:E1032)))))</f>
        <v/>
      </c>
      <c r="J1033" s="24" t="str">
        <f ca="1">IF(OR(E1033="",E1033="!!!",F1033="NEW"),"",COUNTBLANK(OFFSET(A$1,,,SUMPRODUCT(MAX(ROW(E$2:E1033)*(E1033=E$2:E1033)))))-COUNTBLANK(OFFSET(A$1,,,SUMPRODUCT(MAX(ROW(E$1:E1032)*(E2=E$1:E1032))))))</f>
        <v/>
      </c>
      <c r="K1033" s="24" t="str">
        <f>IF(OR(E1033="",E1033="!!!",F1033="NEW"),"",INDEX(J$1:J1032,SUMPRODUCT(MAX(ROW(E$1:E1032)*(E1033=E$1:E1032)))))</f>
        <v/>
      </c>
      <c r="L1033" s="25"/>
    </row>
    <row r="1034" spans="1:12" x14ac:dyDescent="0.3">
      <c r="A1034" t="s">
        <v>356</v>
      </c>
      <c r="B1034" s="26" t="s">
        <v>378</v>
      </c>
      <c r="C1034" s="26" t="s">
        <v>358</v>
      </c>
      <c r="E1034" s="20" t="str">
        <f t="shared" si="112"/>
        <v/>
      </c>
      <c r="F1034" s="21" t="str">
        <f>IF(OR(E1034="",E1034="!!!"),"",IF(NOT(ISNA(VLOOKUP(E1034,E$1:E1033,1,FALSE()))),"OLD",IF(AND(E1034&lt;&gt;"",E1034&lt;&gt;"!!!"),"NEW","")))</f>
        <v/>
      </c>
      <c r="G1034" s="22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3" t="str">
        <f t="shared" ca="1" si="113"/>
        <v/>
      </c>
      <c r="I1034" s="24" t="str">
        <f>IF(OR(E1034="",E1034="!!!",F1034="NEW"),"",INDEX(B$2:B1033,-1+SUMPRODUCT(MAX(ROW(E$2:E1033)*(E1034=E$2:E1033)))))</f>
        <v/>
      </c>
      <c r="J1034" s="24" t="str">
        <f ca="1">IF(OR(E1034="",E1034="!!!",F1034="NEW"),"",COUNTBLANK(OFFSET(A$1,,,SUMPRODUCT(MAX(ROW(E$2:E1034)*(E1034=E$2:E1034)))))-COUNTBLANK(OFFSET(A$1,,,SUMPRODUCT(MAX(ROW(E$1:E1033)*(E2=E$1:E1033))))))</f>
        <v/>
      </c>
      <c r="K1034" s="24" t="str">
        <f>IF(OR(E1034="",E1034="!!!",F1034="NEW"),"",INDEX(J$1:J1033,SUMPRODUCT(MAX(ROW(E$1:E1033)*(E1034=E$1:E1033)))))</f>
        <v/>
      </c>
      <c r="L1034" s="25"/>
    </row>
    <row r="1035" spans="1:12" x14ac:dyDescent="0.3">
      <c r="A1035" t="s">
        <v>834</v>
      </c>
      <c r="B1035" s="26" t="s">
        <v>337</v>
      </c>
      <c r="C1035" s="26" t="s">
        <v>366</v>
      </c>
      <c r="E1035" s="20" t="str">
        <f t="shared" si="112"/>
        <v/>
      </c>
      <c r="F1035" s="21" t="str">
        <f>IF(OR(E1035="",E1035="!!!"),"",IF(NOT(ISNA(VLOOKUP(E1035,E$1:E1034,1,FALSE()))),"OLD",IF(AND(E1035&lt;&gt;"",E1035&lt;&gt;"!!!"),"NEW","")))</f>
        <v/>
      </c>
      <c r="G1035" s="22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3" t="str">
        <f t="shared" ca="1" si="113"/>
        <v/>
      </c>
      <c r="I1035" s="24" t="str">
        <f>IF(OR(E1035="",E1035="!!!",F1035="NEW"),"",INDEX(B$2:B1034,-1+SUMPRODUCT(MAX(ROW(E$2:E1034)*(E1035=E$2:E1034)))))</f>
        <v/>
      </c>
      <c r="J1035" s="24" t="str">
        <f ca="1">IF(OR(E1035="",E1035="!!!",F1035="NEW"),"",COUNTBLANK(OFFSET(A$1,,,SUMPRODUCT(MAX(ROW(E$2:E1035)*(E1035=E$2:E1035)))))-COUNTBLANK(OFFSET(A$1,,,SUMPRODUCT(MAX(ROW(E$1:E1034)*(E2=E$1:E1034))))))</f>
        <v/>
      </c>
      <c r="K1035" s="24" t="str">
        <f>IF(OR(E1035="",E1035="!!!",F1035="NEW"),"",INDEX(J$1:J1034,SUMPRODUCT(MAX(ROW(E$1:E1034)*(E1035=E$1:E1034)))))</f>
        <v/>
      </c>
      <c r="L1035" s="25"/>
    </row>
    <row r="1036" spans="1:12" x14ac:dyDescent="0.3">
      <c r="A1036" t="s">
        <v>333</v>
      </c>
      <c r="E1036" s="20" t="str">
        <f t="shared" si="112"/>
        <v/>
      </c>
      <c r="F1036" s="21" t="str">
        <f>IF(OR(E1036="",E1036="!!!"),"",IF(NOT(ISNA(VLOOKUP(E1036,E$1:E1035,1,FALSE()))),"OLD",IF(AND(E1036&lt;&gt;"",E1036&lt;&gt;"!!!"),"NEW","")))</f>
        <v/>
      </c>
      <c r="G1036" s="22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3" t="str">
        <f t="shared" ca="1" si="113"/>
        <v/>
      </c>
      <c r="I1036" s="24" t="str">
        <f>IF(OR(E1036="",E1036="!!!",F1036="NEW"),"",INDEX(B$2:B1035,-1+SUMPRODUCT(MAX(ROW(E$2:E1035)*(E1036=E$2:E1035)))))</f>
        <v/>
      </c>
      <c r="J1036" s="24" t="str">
        <f ca="1">IF(OR(E1036="",E1036="!!!",F1036="NEW"),"",COUNTBLANK(OFFSET(A$1,,,SUMPRODUCT(MAX(ROW(E$2:E1036)*(E1036=E$2:E1036)))))-COUNTBLANK(OFFSET(A$1,,,SUMPRODUCT(MAX(ROW(E$1:E1035)*(E2=E$1:E1035))))))</f>
        <v/>
      </c>
      <c r="K1036" s="24" t="str">
        <f>IF(OR(E1036="",E1036="!!!",F1036="NEW"),"",INDEX(J$1:J1035,SUMPRODUCT(MAX(ROW(E$1:E1035)*(E1036=E$1:E1035)))))</f>
        <v/>
      </c>
      <c r="L1036" s="25"/>
    </row>
    <row r="1037" spans="1:12" x14ac:dyDescent="0.3">
      <c r="A1037" t="s">
        <v>569</v>
      </c>
      <c r="B1037" s="26" t="s">
        <v>330</v>
      </c>
      <c r="C1037" s="26" t="s">
        <v>496</v>
      </c>
      <c r="D1037" s="26" t="s">
        <v>332</v>
      </c>
      <c r="E1037" s="20" t="str">
        <f t="shared" si="112"/>
        <v>!!!</v>
      </c>
      <c r="F1037" s="21" t="str">
        <f>IF(OR(E1037="",E1037="!!!"),"",IF(NOT(ISNA(VLOOKUP(E1037,E$1:E1036,1,FALSE()))),"OLD",IF(AND(E1037&lt;&gt;"",E1037&lt;&gt;"!!!"),"NEW","")))</f>
        <v/>
      </c>
      <c r="G1037" s="22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3" t="str">
        <f t="shared" ca="1" si="113"/>
        <v/>
      </c>
      <c r="I1037" s="24" t="str">
        <f>IF(OR(E1037="",E1037="!!!",F1037="NEW"),"",INDEX(B$2:B1036,-1+SUMPRODUCT(MAX(ROW(E$2:E1036)*(E1037=E$2:E1036)))))</f>
        <v/>
      </c>
      <c r="J1037" s="24" t="str">
        <f ca="1">IF(OR(E1037="",E1037="!!!",F1037="NEW"),"",COUNTBLANK(OFFSET(A$1,,,SUMPRODUCT(MAX(ROW(E$2:E1037)*(E1037=E$2:E1037)))))-COUNTBLANK(OFFSET(A$1,,,SUMPRODUCT(MAX(ROW(E$1:E1036)*(E2=E$1:E1036))))))</f>
        <v/>
      </c>
      <c r="K1037" s="24" t="str">
        <f>IF(OR(E1037="",E1037="!!!",F1037="NEW"),"",INDEX(J$1:J1036,SUMPRODUCT(MAX(ROW(E$1:E1036)*(E1037=E$1:E1036)))))</f>
        <v/>
      </c>
      <c r="L1037" s="25"/>
    </row>
    <row r="1038" spans="1:12" x14ac:dyDescent="0.3">
      <c r="A1038" t="s">
        <v>542</v>
      </c>
      <c r="E1038" s="20" t="str">
        <f t="shared" si="112"/>
        <v/>
      </c>
      <c r="F1038" s="21" t="str">
        <f>IF(OR(E1038="",E1038="!!!"),"",IF(NOT(ISNA(VLOOKUP(E1038,E$1:E1037,1,FALSE()))),"OLD",IF(AND(E1038&lt;&gt;"",E1038&lt;&gt;"!!!"),"NEW","")))</f>
        <v/>
      </c>
      <c r="G1038" s="22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3" t="str">
        <f t="shared" ca="1" si="113"/>
        <v/>
      </c>
      <c r="I1038" s="24" t="str">
        <f>IF(OR(E1038="",E1038="!!!",F1038="NEW"),"",INDEX(B$2:B1037,-1+SUMPRODUCT(MAX(ROW(E$2:E1037)*(E1038=E$2:E1037)))))</f>
        <v/>
      </c>
      <c r="J1038" s="24" t="str">
        <f ca="1">IF(OR(E1038="",E1038="!!!",F1038="NEW"),"",COUNTBLANK(OFFSET(A$1,,,SUMPRODUCT(MAX(ROW(E$2:E1038)*(E1038=E$2:E1038)))))-COUNTBLANK(OFFSET(A$1,,,SUMPRODUCT(MAX(ROW(E$1:E1037)*(E2=E$1:E1037))))))</f>
        <v/>
      </c>
      <c r="K1038" s="24" t="str">
        <f>IF(OR(E1038="",E1038="!!!",F1038="NEW"),"",INDEX(J$1:J1037,SUMPRODUCT(MAX(ROW(E$1:E1037)*(E1038=E$1:E1037)))))</f>
        <v/>
      </c>
      <c r="L1038" s="25"/>
    </row>
    <row r="1039" spans="1:12" x14ac:dyDescent="0.3">
      <c r="A1039" t="s">
        <v>835</v>
      </c>
      <c r="B1039" s="26" t="s">
        <v>337</v>
      </c>
      <c r="C1039" s="26" t="s">
        <v>544</v>
      </c>
      <c r="E1039" s="20" t="str">
        <f t="shared" si="112"/>
        <v/>
      </c>
      <c r="F1039" s="21" t="str">
        <f>IF(OR(E1039="",E1039="!!!"),"",IF(NOT(ISNA(VLOOKUP(E1039,E$1:E1038,1,FALSE()))),"OLD",IF(AND(E1039&lt;&gt;"",E1039&lt;&gt;"!!!"),"NEW","")))</f>
        <v/>
      </c>
      <c r="G1039" s="22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3" t="str">
        <f t="shared" ca="1" si="113"/>
        <v/>
      </c>
      <c r="I1039" s="24" t="str">
        <f>IF(OR(E1039="",E1039="!!!",F1039="NEW"),"",INDEX(B$2:B1038,-1+SUMPRODUCT(MAX(ROW(E$2:E1038)*(E1039=E$2:E1038)))))</f>
        <v/>
      </c>
      <c r="J1039" s="24" t="str">
        <f ca="1">IF(OR(E1039="",E1039="!!!",F1039="NEW"),"",COUNTBLANK(OFFSET(A$1,,,SUMPRODUCT(MAX(ROW(E$2:E1039)*(E1039=E$2:E1039)))))-COUNTBLANK(OFFSET(A$1,,,SUMPRODUCT(MAX(ROW(E$1:E1038)*(E2=E$1:E1038))))))</f>
        <v/>
      </c>
      <c r="K1039" s="24" t="str">
        <f>IF(OR(E1039="",E1039="!!!",F1039="NEW"),"",INDEX(J$1:J1038,SUMPRODUCT(MAX(ROW(E$1:E1038)*(E1039=E$1:E1038)))))</f>
        <v/>
      </c>
      <c r="L1039" s="25"/>
    </row>
    <row r="1040" spans="1:12" x14ac:dyDescent="0.3">
      <c r="A1040" t="s">
        <v>477</v>
      </c>
      <c r="E1040" s="20" t="str">
        <f t="shared" si="112"/>
        <v/>
      </c>
      <c r="F1040" s="21" t="str">
        <f>IF(OR(E1040="",E1040="!!!"),"",IF(NOT(ISNA(VLOOKUP(E1040,E$1:E1039,1,FALSE()))),"OLD",IF(AND(E1040&lt;&gt;"",E1040&lt;&gt;"!!!"),"NEW","")))</f>
        <v/>
      </c>
      <c r="G1040" s="22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3" t="str">
        <f t="shared" ca="1" si="113"/>
        <v/>
      </c>
      <c r="I1040" s="24" t="str">
        <f>IF(OR(E1040="",E1040="!!!",F1040="NEW"),"",INDEX(B$2:B1039,-1+SUMPRODUCT(MAX(ROW(E$2:E1039)*(E1040=E$2:E1039)))))</f>
        <v/>
      </c>
      <c r="J1040" s="24" t="str">
        <f ca="1">IF(OR(E1040="",E1040="!!!",F1040="NEW"),"",COUNTBLANK(OFFSET(A$1,,,SUMPRODUCT(MAX(ROW(E$2:E1040)*(E1040=E$2:E1040)))))-COUNTBLANK(OFFSET(A$1,,,SUMPRODUCT(MAX(ROW(E$1:E1039)*(E2=E$1:E1039))))))</f>
        <v/>
      </c>
      <c r="K1040" s="24" t="str">
        <f>IF(OR(E1040="",E1040="!!!",F1040="NEW"),"",INDEX(J$1:J1039,SUMPRODUCT(MAX(ROW(E$1:E1039)*(E1040=E$1:E1039)))))</f>
        <v/>
      </c>
      <c r="L1040" s="25"/>
    </row>
    <row r="1041" spans="1:12" x14ac:dyDescent="0.3">
      <c r="A1041" t="s">
        <v>836</v>
      </c>
      <c r="E1041" s="20" t="str">
        <f t="shared" si="112"/>
        <v/>
      </c>
      <c r="F1041" s="21" t="str">
        <f>IF(OR(E1041="",E1041="!!!"),"",IF(NOT(ISNA(VLOOKUP(E1041,E$1:E1040,1,FALSE()))),"OLD",IF(AND(E1041&lt;&gt;"",E1041&lt;&gt;"!!!"),"NEW","")))</f>
        <v/>
      </c>
      <c r="G1041" s="22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3" t="str">
        <f t="shared" ca="1" si="113"/>
        <v/>
      </c>
      <c r="I1041" s="24" t="str">
        <f>IF(OR(E1041="",E1041="!!!",F1041="NEW"),"",INDEX(B$2:B1040,-1+SUMPRODUCT(MAX(ROW(E$2:E1040)*(E1041=E$2:E1040)))))</f>
        <v/>
      </c>
      <c r="J1041" s="24" t="str">
        <f ca="1">IF(OR(E1041="",E1041="!!!",F1041="NEW"),"",COUNTBLANK(OFFSET(A$1,,,SUMPRODUCT(MAX(ROW(E$2:E1041)*(E1041=E$2:E1041)))))-COUNTBLANK(OFFSET(A$1,,,SUMPRODUCT(MAX(ROW(E$1:E1040)*(E2=E$1:E1040))))))</f>
        <v/>
      </c>
      <c r="K1041" s="24" t="str">
        <f>IF(OR(E1041="",E1041="!!!",F1041="NEW"),"",INDEX(J$1:J1040,SUMPRODUCT(MAX(ROW(E$1:E1040)*(E1041=E$1:E1040)))))</f>
        <v/>
      </c>
      <c r="L1041" s="25"/>
    </row>
    <row r="1042" spans="1:12" x14ac:dyDescent="0.3">
      <c r="A1042" t="s">
        <v>837</v>
      </c>
      <c r="B1042" s="26" t="s">
        <v>337</v>
      </c>
      <c r="C1042" s="26" t="s">
        <v>355</v>
      </c>
      <c r="E1042" s="20" t="str">
        <f t="shared" si="112"/>
        <v/>
      </c>
      <c r="F1042" s="21" t="str">
        <f>IF(OR(E1042="",E1042="!!!"),"",IF(NOT(ISNA(VLOOKUP(E1042,E$1:E1041,1,FALSE()))),"OLD",IF(AND(E1042&lt;&gt;"",E1042&lt;&gt;"!!!"),"NEW","")))</f>
        <v/>
      </c>
      <c r="G1042" s="22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3" t="str">
        <f t="shared" ca="1" si="113"/>
        <v/>
      </c>
      <c r="I1042" s="24" t="str">
        <f>IF(OR(E1042="",E1042="!!!",F1042="NEW"),"",INDEX(B$2:B1041,-1+SUMPRODUCT(MAX(ROW(E$2:E1041)*(E1042=E$2:E1041)))))</f>
        <v/>
      </c>
      <c r="J1042" s="24" t="str">
        <f ca="1">IF(OR(E1042="",E1042="!!!",F1042="NEW"),"",COUNTBLANK(OFFSET(A$1,,,SUMPRODUCT(MAX(ROW(E$2:E1042)*(E1042=E$2:E1042)))))-COUNTBLANK(OFFSET(A$1,,,SUMPRODUCT(MAX(ROW(E$1:E1041)*(E2=E$1:E1041))))))</f>
        <v/>
      </c>
      <c r="K1042" s="24" t="str">
        <f>IF(OR(E1042="",E1042="!!!",F1042="NEW"),"",INDEX(J$1:J1041,SUMPRODUCT(MAX(ROW(E$1:E1041)*(E1042=E$1:E1041)))))</f>
        <v/>
      </c>
      <c r="L1042" s="25"/>
    </row>
    <row r="1043" spans="1:12" x14ac:dyDescent="0.3">
      <c r="A1043" t="s">
        <v>338</v>
      </c>
      <c r="E1043" s="20" t="str">
        <f t="shared" si="112"/>
        <v/>
      </c>
      <c r="F1043" s="21" t="str">
        <f>IF(OR(E1043="",E1043="!!!"),"",IF(NOT(ISNA(VLOOKUP(E1043,E$1:E1042,1,FALSE()))),"OLD",IF(AND(E1043&lt;&gt;"",E1043&lt;&gt;"!!!"),"NEW","")))</f>
        <v/>
      </c>
      <c r="G1043" s="22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3" t="str">
        <f t="shared" ca="1" si="113"/>
        <v/>
      </c>
      <c r="I1043" s="24" t="str">
        <f>IF(OR(E1043="",E1043="!!!",F1043="NEW"),"",INDEX(B$2:B1042,-1+SUMPRODUCT(MAX(ROW(E$2:E1042)*(E1043=E$2:E1042)))))</f>
        <v/>
      </c>
      <c r="J1043" s="24" t="str">
        <f ca="1">IF(OR(E1043="",E1043="!!!",F1043="NEW"),"",COUNTBLANK(OFFSET(A$1,,,SUMPRODUCT(MAX(ROW(E$2:E1043)*(E1043=E$2:E1043)))))-COUNTBLANK(OFFSET(A$1,,,SUMPRODUCT(MAX(ROW(E$1:E1042)*(E2=E$1:E1042))))))</f>
        <v/>
      </c>
      <c r="K1043" s="24" t="str">
        <f>IF(OR(E1043="",E1043="!!!",F1043="NEW"),"",INDEX(J$1:J1042,SUMPRODUCT(MAX(ROW(E$1:E1042)*(E1043=E$1:E1042)))))</f>
        <v/>
      </c>
      <c r="L1043" s="25"/>
    </row>
    <row r="1045" spans="1:12" x14ac:dyDescent="0.3">
      <c r="A1045" t="s">
        <v>838</v>
      </c>
    </row>
    <row r="1046" spans="1:12" x14ac:dyDescent="0.3">
      <c r="A1046" t="s">
        <v>688</v>
      </c>
      <c r="E1046" s="20" t="str">
        <f t="shared" ref="E1046:E1071" si="114">IF(D1046="?OLD","!!!","")</f>
        <v/>
      </c>
      <c r="F1046" s="21" t="str">
        <f>IF(OR(E1046="",E1046="!!!"),"",IF(NOT(ISNA(VLOOKUP(E1046,E$1:E1045,1,FALSE()))),"OLD",IF(AND(E1046&lt;&gt;"",E1046&lt;&gt;"!!!"),"NEW","")))</f>
        <v/>
      </c>
      <c r="G1046" s="22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3" t="str">
        <f t="shared" ref="H1046:H1071" ca="1" si="115">IF(J1046&lt;&gt;1,"",IF(I1046="SBJ","CB","?"))</f>
        <v/>
      </c>
      <c r="I1046" s="24" t="str">
        <f>IF(OR(E1046="",E1046="!!!",F1046="NEW"),"",INDEX(B$2:B1045,-1+SUMPRODUCT(MAX(ROW(E$2:E1045)*(E1046=E$2:E1045)))))</f>
        <v/>
      </c>
      <c r="J1046" s="24" t="str">
        <f ca="1">IF(OR(E1046="",E1046="!!!",F1046="NEW"),"",COUNTBLANK(OFFSET(A$1,,,SUMPRODUCT(MAX(ROW(E$2:E1046)*(E1046=E$2:E1046)))))-COUNTBLANK(OFFSET(A$1,,,SUMPRODUCT(MAX(ROW(E$1:E1045)*(E2=E$1:E1045))))))</f>
        <v/>
      </c>
      <c r="K1046" s="24" t="str">
        <f>IF(OR(E1046="",E1046="!!!",F1046="NEW"),"",INDEX(J$1:J1045,SUMPRODUCT(MAX(ROW(E$1:E1045)*(E1046=E$1:E1045)))))</f>
        <v/>
      </c>
      <c r="L1046" s="25"/>
    </row>
    <row r="1047" spans="1:12" x14ac:dyDescent="0.3">
      <c r="A1047" t="s">
        <v>808</v>
      </c>
      <c r="B1047" s="26" t="s">
        <v>337</v>
      </c>
      <c r="C1047" s="26" t="s">
        <v>355</v>
      </c>
      <c r="E1047" s="20" t="str">
        <f t="shared" si="114"/>
        <v/>
      </c>
      <c r="F1047" s="21" t="str">
        <f>IF(OR(E1047="",E1047="!!!"),"",IF(NOT(ISNA(VLOOKUP(E1047,E$1:E1046,1,FALSE()))),"OLD",IF(AND(E1047&lt;&gt;"",E1047&lt;&gt;"!!!"),"NEW","")))</f>
        <v/>
      </c>
      <c r="G1047" s="22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3" t="str">
        <f t="shared" ca="1" si="115"/>
        <v/>
      </c>
      <c r="I1047" s="24" t="str">
        <f>IF(OR(E1047="",E1047="!!!",F1047="NEW"),"",INDEX(B$2:B1046,-1+SUMPRODUCT(MAX(ROW(E$2:E1046)*(E1047=E$2:E1046)))))</f>
        <v/>
      </c>
      <c r="J1047" s="24" t="str">
        <f ca="1">IF(OR(E1047="",E1047="!!!",F1047="NEW"),"",COUNTBLANK(OFFSET(A$1,,,SUMPRODUCT(MAX(ROW(E$2:E1047)*(E1047=E$2:E1047)))))-COUNTBLANK(OFFSET(A$1,,,SUMPRODUCT(MAX(ROW(E$1:E1046)*(E2=E$1:E1046))))))</f>
        <v/>
      </c>
      <c r="K1047" s="24" t="str">
        <f>IF(OR(E1047="",E1047="!!!",F1047="NEW"),"",INDEX(J$1:J1046,SUMPRODUCT(MAX(ROW(E$1:E1046)*(E1047=E$1:E1046)))))</f>
        <v/>
      </c>
      <c r="L1047" s="25"/>
    </row>
    <row r="1048" spans="1:12" x14ac:dyDescent="0.3">
      <c r="A1048" t="s">
        <v>650</v>
      </c>
      <c r="E1048" s="20" t="str">
        <f t="shared" si="114"/>
        <v/>
      </c>
      <c r="F1048" s="21" t="str">
        <f>IF(OR(E1048="",E1048="!!!"),"",IF(NOT(ISNA(VLOOKUP(E1048,E$1:E1047,1,FALSE()))),"OLD",IF(AND(E1048&lt;&gt;"",E1048&lt;&gt;"!!!"),"NEW","")))</f>
        <v/>
      </c>
      <c r="G1048" s="22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3" t="str">
        <f t="shared" ca="1" si="115"/>
        <v/>
      </c>
      <c r="I1048" s="24" t="str">
        <f>IF(OR(E1048="",E1048="!!!",F1048="NEW"),"",INDEX(B$2:B1047,-1+SUMPRODUCT(MAX(ROW(E$2:E1047)*(E1048=E$2:E1047)))))</f>
        <v/>
      </c>
      <c r="J1048" s="24" t="str">
        <f ca="1">IF(OR(E1048="",E1048="!!!",F1048="NEW"),"",COUNTBLANK(OFFSET(A$1,,,SUMPRODUCT(MAX(ROW(E$2:E1048)*(E1048=E$2:E1048)))))-COUNTBLANK(OFFSET(A$1,,,SUMPRODUCT(MAX(ROW(E$1:E1047)*(E2=E$1:E1047))))))</f>
        <v/>
      </c>
      <c r="K1048" s="24" t="str">
        <f>IF(OR(E1048="",E1048="!!!",F1048="NEW"),"",INDEX(J$1:J1047,SUMPRODUCT(MAX(ROW(E$1:E1047)*(E1048=E$1:E1047)))))</f>
        <v/>
      </c>
      <c r="L1048" s="25"/>
    </row>
    <row r="1049" spans="1:12" x14ac:dyDescent="0.3">
      <c r="A1049" t="s">
        <v>437</v>
      </c>
      <c r="B1049" s="26" t="s">
        <v>330</v>
      </c>
      <c r="C1049" s="26" t="s">
        <v>438</v>
      </c>
      <c r="D1049" s="26" t="s">
        <v>332</v>
      </c>
      <c r="E1049" s="20" t="str">
        <f t="shared" si="114"/>
        <v>!!!</v>
      </c>
      <c r="F1049" s="21" t="str">
        <f>IF(OR(E1049="",E1049="!!!"),"",IF(NOT(ISNA(VLOOKUP(E1049,E$1:E1048,1,FALSE()))),"OLD",IF(AND(E1049&lt;&gt;"",E1049&lt;&gt;"!!!"),"NEW","")))</f>
        <v/>
      </c>
      <c r="G1049" s="22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3" t="str">
        <f t="shared" ca="1" si="115"/>
        <v/>
      </c>
      <c r="I1049" s="24" t="str">
        <f>IF(OR(E1049="",E1049="!!!",F1049="NEW"),"",INDEX(B$2:B1048,-1+SUMPRODUCT(MAX(ROW(E$2:E1048)*(E1049=E$2:E1048)))))</f>
        <v/>
      </c>
      <c r="J1049" s="24" t="str">
        <f ca="1">IF(OR(E1049="",E1049="!!!",F1049="NEW"),"",COUNTBLANK(OFFSET(A$1,,,SUMPRODUCT(MAX(ROW(E$2:E1049)*(E1049=E$2:E1049)))))-COUNTBLANK(OFFSET(A$1,,,SUMPRODUCT(MAX(ROW(E$1:E1048)*(E2=E$1:E1048))))))</f>
        <v/>
      </c>
      <c r="K1049" s="24" t="str">
        <f>IF(OR(E1049="",E1049="!!!",F1049="NEW"),"",INDEX(J$1:J1048,SUMPRODUCT(MAX(ROW(E$1:E1048)*(E1049=E$1:E1048)))))</f>
        <v/>
      </c>
      <c r="L1049" s="25"/>
    </row>
    <row r="1050" spans="1:12" x14ac:dyDescent="0.3">
      <c r="A1050" t="s">
        <v>380</v>
      </c>
      <c r="E1050" s="20" t="str">
        <f t="shared" si="114"/>
        <v/>
      </c>
      <c r="F1050" s="21" t="str">
        <f>IF(OR(E1050="",E1050="!!!"),"",IF(NOT(ISNA(VLOOKUP(E1050,E$1:E1049,1,FALSE()))),"OLD",IF(AND(E1050&lt;&gt;"",E1050&lt;&gt;"!!!"),"NEW","")))</f>
        <v/>
      </c>
      <c r="G1050" s="22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3" t="str">
        <f t="shared" ca="1" si="115"/>
        <v/>
      </c>
      <c r="I1050" s="24" t="str">
        <f>IF(OR(E1050="",E1050="!!!",F1050="NEW"),"",INDEX(B$2:B1049,-1+SUMPRODUCT(MAX(ROW(E$2:E1049)*(E1050=E$2:E1049)))))</f>
        <v/>
      </c>
      <c r="J1050" s="24" t="str">
        <f ca="1">IF(OR(E1050="",E1050="!!!",F1050="NEW"),"",COUNTBLANK(OFFSET(A$1,,,SUMPRODUCT(MAX(ROW(E$2:E1050)*(E1050=E$2:E1050)))))-COUNTBLANK(OFFSET(A$1,,,SUMPRODUCT(MAX(ROW(E$1:E1049)*(E2=E$1:E1049))))))</f>
        <v/>
      </c>
      <c r="K1050" s="24" t="str">
        <f>IF(OR(E1050="",E1050="!!!",F1050="NEW"),"",INDEX(J$1:J1049,SUMPRODUCT(MAX(ROW(E$1:E1049)*(E1050=E$1:E1049)))))</f>
        <v/>
      </c>
      <c r="L1050" s="25"/>
    </row>
    <row r="1051" spans="1:12" x14ac:dyDescent="0.3">
      <c r="A1051" t="s">
        <v>803</v>
      </c>
      <c r="B1051" s="26" t="s">
        <v>344</v>
      </c>
      <c r="C1051" s="26" t="s">
        <v>331</v>
      </c>
      <c r="D1051" s="26" t="s">
        <v>332</v>
      </c>
      <c r="E1051" s="20" t="str">
        <f t="shared" si="114"/>
        <v>!!!</v>
      </c>
      <c r="F1051" s="21" t="str">
        <f>IF(OR(E1051="",E1051="!!!"),"",IF(NOT(ISNA(VLOOKUP(E1051,E$1:E1050,1,FALSE()))),"OLD",IF(AND(E1051&lt;&gt;"",E1051&lt;&gt;"!!!"),"NEW","")))</f>
        <v/>
      </c>
      <c r="G1051" s="22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3" t="str">
        <f t="shared" ca="1" si="115"/>
        <v/>
      </c>
      <c r="I1051" s="24" t="str">
        <f>IF(OR(E1051="",E1051="!!!",F1051="NEW"),"",INDEX(B$2:B1050,-1+SUMPRODUCT(MAX(ROW(E$2:E1050)*(E1051=E$2:E1050)))))</f>
        <v/>
      </c>
      <c r="J1051" s="24" t="str">
        <f ca="1">IF(OR(E1051="",E1051="!!!",F1051="NEW"),"",COUNTBLANK(OFFSET(A$1,,,SUMPRODUCT(MAX(ROW(E$2:E1051)*(E1051=E$2:E1051)))))-COUNTBLANK(OFFSET(A$1,,,SUMPRODUCT(MAX(ROW(E$1:E1050)*(E2=E$1:E1050))))))</f>
        <v/>
      </c>
      <c r="K1051" s="24" t="str">
        <f>IF(OR(E1051="",E1051="!!!",F1051="NEW"),"",INDEX(J$1:J1050,SUMPRODUCT(MAX(ROW(E$1:E1050)*(E1051=E$1:E1050)))))</f>
        <v/>
      </c>
      <c r="L1051" s="25"/>
    </row>
    <row r="1052" spans="1:12" x14ac:dyDescent="0.3">
      <c r="A1052" t="s">
        <v>359</v>
      </c>
      <c r="E1052" s="20" t="str">
        <f t="shared" si="114"/>
        <v/>
      </c>
      <c r="F1052" s="21" t="str">
        <f>IF(OR(E1052="",E1052="!!!"),"",IF(NOT(ISNA(VLOOKUP(E1052,E$1:E1051,1,FALSE()))),"OLD",IF(AND(E1052&lt;&gt;"",E1052&lt;&gt;"!!!"),"NEW","")))</f>
        <v/>
      </c>
      <c r="G1052" s="22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3" t="str">
        <f t="shared" ca="1" si="115"/>
        <v/>
      </c>
      <c r="I1052" s="24" t="str">
        <f>IF(OR(E1052="",E1052="!!!",F1052="NEW"),"",INDEX(B$2:B1051,-1+SUMPRODUCT(MAX(ROW(E$2:E1051)*(E1052=E$2:E1051)))))</f>
        <v/>
      </c>
      <c r="J1052" s="24" t="str">
        <f ca="1">IF(OR(E1052="",E1052="!!!",F1052="NEW"),"",COUNTBLANK(OFFSET(A$1,,,SUMPRODUCT(MAX(ROW(E$2:E1052)*(E1052=E$2:E1052)))))-COUNTBLANK(OFFSET(A$1,,,SUMPRODUCT(MAX(ROW(E$1:E1051)*(E2=E$1:E1051))))))</f>
        <v/>
      </c>
      <c r="K1052" s="24" t="str">
        <f>IF(OR(E1052="",E1052="!!!",F1052="NEW"),"",INDEX(J$1:J1051,SUMPRODUCT(MAX(ROW(E$1:E1051)*(E1052=E$1:E1051)))))</f>
        <v/>
      </c>
      <c r="L1052" s="25"/>
    </row>
    <row r="1053" spans="1:12" x14ac:dyDescent="0.3">
      <c r="A1053" t="s">
        <v>839</v>
      </c>
      <c r="E1053" s="20" t="str">
        <f t="shared" si="114"/>
        <v/>
      </c>
      <c r="F1053" s="21" t="str">
        <f>IF(OR(E1053="",E1053="!!!"),"",IF(NOT(ISNA(VLOOKUP(E1053,E$1:E1052,1,FALSE()))),"OLD",IF(AND(E1053&lt;&gt;"",E1053&lt;&gt;"!!!"),"NEW","")))</f>
        <v/>
      </c>
      <c r="G1053" s="22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3" t="str">
        <f t="shared" ca="1" si="115"/>
        <v/>
      </c>
      <c r="I1053" s="24" t="str">
        <f>IF(OR(E1053="",E1053="!!!",F1053="NEW"),"",INDEX(B$2:B1052,-1+SUMPRODUCT(MAX(ROW(E$2:E1052)*(E1053=E$2:E1052)))))</f>
        <v/>
      </c>
      <c r="J1053" s="24" t="str">
        <f ca="1">IF(OR(E1053="",E1053="!!!",F1053="NEW"),"",COUNTBLANK(OFFSET(A$1,,,SUMPRODUCT(MAX(ROW(E$2:E1053)*(E1053=E$2:E1053)))))-COUNTBLANK(OFFSET(A$1,,,SUMPRODUCT(MAX(ROW(E$1:E1052)*(E2=E$1:E1052))))))</f>
        <v/>
      </c>
      <c r="K1053" s="24" t="str">
        <f>IF(OR(E1053="",E1053="!!!",F1053="NEW"),"",INDEX(J$1:J1052,SUMPRODUCT(MAX(ROW(E$1:E1052)*(E1053=E$1:E1052)))))</f>
        <v/>
      </c>
      <c r="L1053" s="25"/>
    </row>
    <row r="1054" spans="1:12" x14ac:dyDescent="0.3">
      <c r="A1054" t="s">
        <v>360</v>
      </c>
      <c r="E1054" s="20" t="str">
        <f t="shared" si="114"/>
        <v/>
      </c>
      <c r="F1054" s="21" t="str">
        <f>IF(OR(E1054="",E1054="!!!"),"",IF(NOT(ISNA(VLOOKUP(E1054,E$1:E1053,1,FALSE()))),"OLD",IF(AND(E1054&lt;&gt;"",E1054&lt;&gt;"!!!"),"NEW","")))</f>
        <v/>
      </c>
      <c r="G1054" s="22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3" t="str">
        <f t="shared" ca="1" si="115"/>
        <v/>
      </c>
      <c r="I1054" s="24" t="str">
        <f>IF(OR(E1054="",E1054="!!!",F1054="NEW"),"",INDEX(B$2:B1053,-1+SUMPRODUCT(MAX(ROW(E$2:E1053)*(E1054=E$2:E1053)))))</f>
        <v/>
      </c>
      <c r="J1054" s="24" t="str">
        <f ca="1">IF(OR(E1054="",E1054="!!!",F1054="NEW"),"",COUNTBLANK(OFFSET(A$1,,,SUMPRODUCT(MAX(ROW(E$2:E1054)*(E1054=E$2:E1054)))))-COUNTBLANK(OFFSET(A$1,,,SUMPRODUCT(MAX(ROW(E$1:E1053)*(E2=E$1:E1053))))))</f>
        <v/>
      </c>
      <c r="K1054" s="24" t="str">
        <f>IF(OR(E1054="",E1054="!!!",F1054="NEW"),"",INDEX(J$1:J1053,SUMPRODUCT(MAX(ROW(E$1:E1053)*(E1054=E$1:E1053)))))</f>
        <v/>
      </c>
      <c r="L1054" s="25"/>
    </row>
    <row r="1055" spans="1:12" x14ac:dyDescent="0.3">
      <c r="A1055" t="s">
        <v>840</v>
      </c>
      <c r="E1055" s="20" t="str">
        <f t="shared" si="114"/>
        <v/>
      </c>
      <c r="F1055" s="21" t="str">
        <f>IF(OR(E1055="",E1055="!!!"),"",IF(NOT(ISNA(VLOOKUP(E1055,E$1:E1054,1,FALSE()))),"OLD",IF(AND(E1055&lt;&gt;"",E1055&lt;&gt;"!!!"),"NEW","")))</f>
        <v/>
      </c>
      <c r="G1055" s="22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3" t="str">
        <f t="shared" ca="1" si="115"/>
        <v/>
      </c>
      <c r="I1055" s="24" t="str">
        <f>IF(OR(E1055="",E1055="!!!",F1055="NEW"),"",INDEX(B$2:B1054,-1+SUMPRODUCT(MAX(ROW(E$2:E1054)*(E1055=E$2:E1054)))))</f>
        <v/>
      </c>
      <c r="J1055" s="24" t="str">
        <f ca="1">IF(OR(E1055="",E1055="!!!",F1055="NEW"),"",COUNTBLANK(OFFSET(A$1,,,SUMPRODUCT(MAX(ROW(E$2:E1055)*(E1055=E$2:E1055)))))-COUNTBLANK(OFFSET(A$1,,,SUMPRODUCT(MAX(ROW(E$1:E1054)*(E2=E$1:E1054))))))</f>
        <v/>
      </c>
      <c r="K1055" s="24" t="str">
        <f>IF(OR(E1055="",E1055="!!!",F1055="NEW"),"",INDEX(J$1:J1054,SUMPRODUCT(MAX(ROW(E$1:E1054)*(E1055=E$1:E1054)))))</f>
        <v/>
      </c>
      <c r="L1055" s="25"/>
    </row>
    <row r="1056" spans="1:12" x14ac:dyDescent="0.3">
      <c r="A1056" t="s">
        <v>543</v>
      </c>
      <c r="B1056" s="26" t="s">
        <v>378</v>
      </c>
      <c r="C1056" s="26" t="s">
        <v>690</v>
      </c>
      <c r="D1056" s="26" t="s">
        <v>332</v>
      </c>
      <c r="E1056" s="20" t="str">
        <f t="shared" si="114"/>
        <v>!!!</v>
      </c>
      <c r="F1056" s="21" t="str">
        <f>IF(OR(E1056="",E1056="!!!"),"",IF(NOT(ISNA(VLOOKUP(E1056,E$1:E1055,1,FALSE()))),"OLD",IF(AND(E1056&lt;&gt;"",E1056&lt;&gt;"!!!"),"NEW","")))</f>
        <v/>
      </c>
      <c r="G1056" s="22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3" t="str">
        <f t="shared" ca="1" si="115"/>
        <v/>
      </c>
      <c r="I1056" s="24" t="str">
        <f>IF(OR(E1056="",E1056="!!!",F1056="NEW"),"",INDEX(B$2:B1055,-1+SUMPRODUCT(MAX(ROW(E$2:E1055)*(E1056=E$2:E1055)))))</f>
        <v/>
      </c>
      <c r="J1056" s="24" t="str">
        <f ca="1">IF(OR(E1056="",E1056="!!!",F1056="NEW"),"",COUNTBLANK(OFFSET(A$1,,,SUMPRODUCT(MAX(ROW(E$2:E1056)*(E1056=E$2:E1056)))))-COUNTBLANK(OFFSET(A$1,,,SUMPRODUCT(MAX(ROW(E$1:E1055)*(E2=E$1:E1055))))))</f>
        <v/>
      </c>
      <c r="K1056" s="24" t="str">
        <f>IF(OR(E1056="",E1056="!!!",F1056="NEW"),"",INDEX(J$1:J1055,SUMPRODUCT(MAX(ROW(E$1:E1055)*(E1056=E$1:E1055)))))</f>
        <v/>
      </c>
      <c r="L1056" s="25"/>
    </row>
    <row r="1057" spans="1:12" x14ac:dyDescent="0.3">
      <c r="A1057" t="s">
        <v>385</v>
      </c>
      <c r="E1057" s="20" t="str">
        <f t="shared" si="114"/>
        <v/>
      </c>
      <c r="F1057" s="21" t="str">
        <f>IF(OR(E1057="",E1057="!!!"),"",IF(NOT(ISNA(VLOOKUP(E1057,E$1:E1056,1,FALSE()))),"OLD",IF(AND(E1057&lt;&gt;"",E1057&lt;&gt;"!!!"),"NEW","")))</f>
        <v/>
      </c>
      <c r="G1057" s="22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3" t="str">
        <f t="shared" ca="1" si="115"/>
        <v/>
      </c>
      <c r="I1057" s="24" t="str">
        <f>IF(OR(E1057="",E1057="!!!",F1057="NEW"),"",INDEX(B$2:B1056,-1+SUMPRODUCT(MAX(ROW(E$2:E1056)*(E1057=E$2:E1056)))))</f>
        <v/>
      </c>
      <c r="J1057" s="24" t="str">
        <f ca="1">IF(OR(E1057="",E1057="!!!",F1057="NEW"),"",COUNTBLANK(OFFSET(A$1,,,SUMPRODUCT(MAX(ROW(E$2:E1057)*(E1057=E$2:E1057)))))-COUNTBLANK(OFFSET(A$1,,,SUMPRODUCT(MAX(ROW(E$1:E1056)*(E2=E$1:E1056))))))</f>
        <v/>
      </c>
      <c r="K1057" s="24" t="str">
        <f>IF(OR(E1057="",E1057="!!!",F1057="NEW"),"",INDEX(J$1:J1056,SUMPRODUCT(MAX(ROW(E$1:E1056)*(E1057=E$1:E1056)))))</f>
        <v/>
      </c>
      <c r="L1057" s="25"/>
    </row>
    <row r="1058" spans="1:12" x14ac:dyDescent="0.3">
      <c r="A1058" t="s">
        <v>334</v>
      </c>
      <c r="E1058" s="20" t="str">
        <f t="shared" si="114"/>
        <v/>
      </c>
      <c r="F1058" s="21" t="str">
        <f>IF(OR(E1058="",E1058="!!!"),"",IF(NOT(ISNA(VLOOKUP(E1058,E$1:E1057,1,FALSE()))),"OLD",IF(AND(E1058&lt;&gt;"",E1058&lt;&gt;"!!!"),"NEW","")))</f>
        <v/>
      </c>
      <c r="G1058" s="22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3" t="str">
        <f t="shared" ca="1" si="115"/>
        <v/>
      </c>
      <c r="I1058" s="24" t="str">
        <f>IF(OR(E1058="",E1058="!!!",F1058="NEW"),"",INDEX(B$2:B1057,-1+SUMPRODUCT(MAX(ROW(E$2:E1057)*(E1058=E$2:E1057)))))</f>
        <v/>
      </c>
      <c r="J1058" s="24" t="str">
        <f ca="1">IF(OR(E1058="",E1058="!!!",F1058="NEW"),"",COUNTBLANK(OFFSET(A$1,,,SUMPRODUCT(MAX(ROW(E$2:E1058)*(E1058=E$2:E1058)))))-COUNTBLANK(OFFSET(A$1,,,SUMPRODUCT(MAX(ROW(E$1:E1057)*(E2=E$1:E1057))))))</f>
        <v/>
      </c>
      <c r="K1058" s="24" t="str">
        <f>IF(OR(E1058="",E1058="!!!",F1058="NEW"),"",INDEX(J$1:J1057,SUMPRODUCT(MAX(ROW(E$1:E1057)*(E1058=E$1:E1057)))))</f>
        <v/>
      </c>
      <c r="L1058" s="25"/>
    </row>
    <row r="1059" spans="1:12" x14ac:dyDescent="0.3">
      <c r="A1059" t="s">
        <v>817</v>
      </c>
      <c r="B1059" s="26" t="s">
        <v>378</v>
      </c>
      <c r="C1059" s="26" t="s">
        <v>355</v>
      </c>
      <c r="E1059" s="20" t="str">
        <f t="shared" si="114"/>
        <v/>
      </c>
      <c r="F1059" s="21" t="str">
        <f>IF(OR(E1059="",E1059="!!!"),"",IF(NOT(ISNA(VLOOKUP(E1059,E$1:E1058,1,FALSE()))),"OLD",IF(AND(E1059&lt;&gt;"",E1059&lt;&gt;"!!!"),"NEW","")))</f>
        <v/>
      </c>
      <c r="G1059" s="22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3" t="str">
        <f t="shared" ca="1" si="115"/>
        <v/>
      </c>
      <c r="I1059" s="24" t="str">
        <f>IF(OR(E1059="",E1059="!!!",F1059="NEW"),"",INDEX(B$2:B1058,-1+SUMPRODUCT(MAX(ROW(E$2:E1058)*(E1059=E$2:E1058)))))</f>
        <v/>
      </c>
      <c r="J1059" s="24" t="str">
        <f ca="1">IF(OR(E1059="",E1059="!!!",F1059="NEW"),"",COUNTBLANK(OFFSET(A$1,,,SUMPRODUCT(MAX(ROW(E$2:E1059)*(E1059=E$2:E1059)))))-COUNTBLANK(OFFSET(A$1,,,SUMPRODUCT(MAX(ROW(E$1:E1058)*(E2=E$1:E1058))))))</f>
        <v/>
      </c>
      <c r="K1059" s="24" t="str">
        <f>IF(OR(E1059="",E1059="!!!",F1059="NEW"),"",INDEX(J$1:J1058,SUMPRODUCT(MAX(ROW(E$1:E1058)*(E1059=E$1:E1058)))))</f>
        <v/>
      </c>
      <c r="L1059" s="25"/>
    </row>
    <row r="1060" spans="1:12" x14ac:dyDescent="0.3">
      <c r="A1060" t="s">
        <v>650</v>
      </c>
      <c r="E1060" s="20" t="str">
        <f t="shared" si="114"/>
        <v/>
      </c>
      <c r="F1060" s="21" t="str">
        <f>IF(OR(E1060="",E1060="!!!"),"",IF(NOT(ISNA(VLOOKUP(E1060,E$1:E1059,1,FALSE()))),"OLD",IF(AND(E1060&lt;&gt;"",E1060&lt;&gt;"!!!"),"NEW","")))</f>
        <v/>
      </c>
      <c r="G1060" s="22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3" t="str">
        <f t="shared" ca="1" si="115"/>
        <v/>
      </c>
      <c r="I1060" s="24" t="str">
        <f>IF(OR(E1060="",E1060="!!!",F1060="NEW"),"",INDEX(B$2:B1059,-1+SUMPRODUCT(MAX(ROW(E$2:E1059)*(E1060=E$2:E1059)))))</f>
        <v/>
      </c>
      <c r="J1060" s="24" t="str">
        <f ca="1">IF(OR(E1060="",E1060="!!!",F1060="NEW"),"",COUNTBLANK(OFFSET(A$1,,,SUMPRODUCT(MAX(ROW(E$2:E1060)*(E1060=E$2:E1060)))))-COUNTBLANK(OFFSET(A$1,,,SUMPRODUCT(MAX(ROW(E$1:E1059)*(E2=E$1:E1059))))))</f>
        <v/>
      </c>
      <c r="K1060" s="24" t="str">
        <f>IF(OR(E1060="",E1060="!!!",F1060="NEW"),"",INDEX(J$1:J1059,SUMPRODUCT(MAX(ROW(E$1:E1059)*(E1060=E$1:E1059)))))</f>
        <v/>
      </c>
      <c r="L1060" s="25"/>
    </row>
    <row r="1061" spans="1:12" x14ac:dyDescent="0.3">
      <c r="A1061" t="s">
        <v>437</v>
      </c>
      <c r="B1061" s="26" t="s">
        <v>354</v>
      </c>
      <c r="C1061" s="26" t="s">
        <v>438</v>
      </c>
      <c r="D1061" s="26" t="s">
        <v>332</v>
      </c>
      <c r="E1061" s="20" t="str">
        <f t="shared" si="114"/>
        <v>!!!</v>
      </c>
      <c r="F1061" s="21" t="str">
        <f>IF(OR(E1061="",E1061="!!!"),"",IF(NOT(ISNA(VLOOKUP(E1061,E$1:E1060,1,FALSE()))),"OLD",IF(AND(E1061&lt;&gt;"",E1061&lt;&gt;"!!!"),"NEW","")))</f>
        <v/>
      </c>
      <c r="G1061" s="22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3" t="str">
        <f t="shared" ca="1" si="115"/>
        <v/>
      </c>
      <c r="I1061" s="24" t="str">
        <f>IF(OR(E1061="",E1061="!!!",F1061="NEW"),"",INDEX(B$2:B1060,-1+SUMPRODUCT(MAX(ROW(E$2:E1060)*(E1061=E$2:E1060)))))</f>
        <v/>
      </c>
      <c r="J1061" s="24" t="str">
        <f ca="1">IF(OR(E1061="",E1061="!!!",F1061="NEW"),"",COUNTBLANK(OFFSET(A$1,,,SUMPRODUCT(MAX(ROW(E$2:E1061)*(E1061=E$2:E1061)))))-COUNTBLANK(OFFSET(A$1,,,SUMPRODUCT(MAX(ROW(E$1:E1060)*(E2=E$1:E1060))))))</f>
        <v/>
      </c>
      <c r="K1061" s="24" t="str">
        <f>IF(OR(E1061="",E1061="!!!",F1061="NEW"),"",INDEX(J$1:J1060,SUMPRODUCT(MAX(ROW(E$1:E1060)*(E1061=E$1:E1060)))))</f>
        <v/>
      </c>
      <c r="L1061" s="25"/>
    </row>
    <row r="1062" spans="1:12" x14ac:dyDescent="0.3">
      <c r="A1062" t="s">
        <v>841</v>
      </c>
      <c r="E1062" s="20" t="str">
        <f t="shared" si="114"/>
        <v/>
      </c>
      <c r="F1062" s="21" t="str">
        <f>IF(OR(E1062="",E1062="!!!"),"",IF(NOT(ISNA(VLOOKUP(E1062,E$1:E1061,1,FALSE()))),"OLD",IF(AND(E1062&lt;&gt;"",E1062&lt;&gt;"!!!"),"NEW","")))</f>
        <v/>
      </c>
      <c r="G1062" s="22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3" t="str">
        <f t="shared" ca="1" si="115"/>
        <v/>
      </c>
      <c r="I1062" s="24" t="str">
        <f>IF(OR(E1062="",E1062="!!!",F1062="NEW"),"",INDEX(B$2:B1061,-1+SUMPRODUCT(MAX(ROW(E$2:E1061)*(E1062=E$2:E1061)))))</f>
        <v/>
      </c>
      <c r="J1062" s="24" t="str">
        <f ca="1">IF(OR(E1062="",E1062="!!!",F1062="NEW"),"",COUNTBLANK(OFFSET(A$1,,,SUMPRODUCT(MAX(ROW(E$2:E1062)*(E1062=E$2:E1062)))))-COUNTBLANK(OFFSET(A$1,,,SUMPRODUCT(MAX(ROW(E$1:E1061)*(E2=E$1:E1061))))))</f>
        <v/>
      </c>
      <c r="K1062" s="24" t="str">
        <f>IF(OR(E1062="",E1062="!!!",F1062="NEW"),"",INDEX(J$1:J1061,SUMPRODUCT(MAX(ROW(E$1:E1061)*(E1062=E$1:E1061)))))</f>
        <v/>
      </c>
      <c r="L1062" s="25"/>
    </row>
    <row r="1063" spans="1:12" x14ac:dyDescent="0.3">
      <c r="A1063" t="s">
        <v>818</v>
      </c>
      <c r="B1063" s="26" t="s">
        <v>357</v>
      </c>
      <c r="C1063" s="26" t="s">
        <v>544</v>
      </c>
      <c r="E1063" s="20" t="str">
        <f t="shared" si="114"/>
        <v/>
      </c>
      <c r="F1063" s="21" t="str">
        <f>IF(OR(E1063="",E1063="!!!"),"",IF(NOT(ISNA(VLOOKUP(E1063,E$1:E1062,1,FALSE()))),"OLD",IF(AND(E1063&lt;&gt;"",E1063&lt;&gt;"!!!"),"NEW","")))</f>
        <v/>
      </c>
      <c r="G1063" s="22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23" t="str">
        <f t="shared" ca="1" si="115"/>
        <v/>
      </c>
      <c r="I1063" s="24" t="str">
        <f>IF(OR(E1063="",E1063="!!!",F1063="NEW"),"",INDEX(B$2:B1062,-1+SUMPRODUCT(MAX(ROW(E$2:E1062)*(E1063=E$2:E1062)))))</f>
        <v/>
      </c>
      <c r="J1063" s="24" t="str">
        <f ca="1">IF(OR(E1063="",E1063="!!!",F1063="NEW"),"",COUNTBLANK(OFFSET(A$1,,,SUMPRODUCT(MAX(ROW(E$2:E1063)*(E1063=E$2:E1063)))))-COUNTBLANK(OFFSET(A$1,,,SUMPRODUCT(MAX(ROW(E$1:E1062)*(E2=E$1:E1062))))))</f>
        <v/>
      </c>
      <c r="K1063" s="24" t="str">
        <f>IF(OR(E1063="",E1063="!!!",F1063="NEW"),"",INDEX(J$1:J1062,SUMPRODUCT(MAX(ROW(E$1:E1062)*(E1063=E$1:E1062)))))</f>
        <v/>
      </c>
      <c r="L1063" s="25"/>
    </row>
    <row r="1064" spans="1:12" x14ac:dyDescent="0.3">
      <c r="A1064" t="s">
        <v>535</v>
      </c>
      <c r="E1064" s="20" t="str">
        <f t="shared" si="114"/>
        <v/>
      </c>
      <c r="F1064" s="21" t="str">
        <f>IF(OR(E1064="",E1064="!!!"),"",IF(NOT(ISNA(VLOOKUP(E1064,E$1:E1063,1,FALSE()))),"OLD",IF(AND(E1064&lt;&gt;"",E1064&lt;&gt;"!!!"),"NEW","")))</f>
        <v/>
      </c>
      <c r="G1064" s="22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3" t="str">
        <f t="shared" ca="1" si="115"/>
        <v/>
      </c>
      <c r="I1064" s="24" t="str">
        <f>IF(OR(E1064="",E1064="!!!",F1064="NEW"),"",INDEX(B$2:B1063,-1+SUMPRODUCT(MAX(ROW(E$2:E1063)*(E1064=E$2:E1063)))))</f>
        <v/>
      </c>
      <c r="J1064" s="24" t="str">
        <f ca="1">IF(OR(E1064="",E1064="!!!",F1064="NEW"),"",COUNTBLANK(OFFSET(A$1,,,SUMPRODUCT(MAX(ROW(E$2:E1064)*(E1064=E$2:E1064)))))-COUNTBLANK(OFFSET(A$1,,,SUMPRODUCT(MAX(ROW(E$1:E1063)*(E2=E$1:E1063))))))</f>
        <v/>
      </c>
      <c r="K1064" s="24" t="str">
        <f>IF(OR(E1064="",E1064="!!!",F1064="NEW"),"",INDEX(J$1:J1063,SUMPRODUCT(MAX(ROW(E$1:E1063)*(E1064=E$1:E1063)))))</f>
        <v/>
      </c>
      <c r="L1064" s="25"/>
    </row>
    <row r="1065" spans="1:12" x14ac:dyDescent="0.3">
      <c r="A1065" t="s">
        <v>543</v>
      </c>
      <c r="B1065" s="26" t="s">
        <v>362</v>
      </c>
      <c r="C1065" s="26" t="s">
        <v>355</v>
      </c>
      <c r="E1065" s="20" t="str">
        <f t="shared" si="114"/>
        <v/>
      </c>
      <c r="F1065" s="21" t="str">
        <f>IF(OR(E1065="",E1065="!!!"),"",IF(NOT(ISNA(VLOOKUP(E1065,E$1:E1064,1,FALSE()))),"OLD",IF(AND(E1065&lt;&gt;"",E1065&lt;&gt;"!!!"),"NEW","")))</f>
        <v/>
      </c>
      <c r="G1065" s="22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3" t="str">
        <f t="shared" ca="1" si="115"/>
        <v/>
      </c>
      <c r="I1065" s="24" t="str">
        <f>IF(OR(E1065="",E1065="!!!",F1065="NEW"),"",INDEX(B$2:B1064,-1+SUMPRODUCT(MAX(ROW(E$2:E1064)*(E1065=E$2:E1064)))))</f>
        <v/>
      </c>
      <c r="J1065" s="24" t="str">
        <f ca="1">IF(OR(E1065="",E1065="!!!",F1065="NEW"),"",COUNTBLANK(OFFSET(A$1,,,SUMPRODUCT(MAX(ROW(E$2:E1065)*(E1065=E$2:E1065)))))-COUNTBLANK(OFFSET(A$1,,,SUMPRODUCT(MAX(ROW(E$1:E1064)*(E2=E$1:E1064))))))</f>
        <v/>
      </c>
      <c r="K1065" s="24" t="str">
        <f>IF(OR(E1065="",E1065="!!!",F1065="NEW"),"",INDEX(J$1:J1064,SUMPRODUCT(MAX(ROW(E$1:E1064)*(E1065=E$1:E1064)))))</f>
        <v/>
      </c>
      <c r="L1065" s="25"/>
    </row>
    <row r="1066" spans="1:12" x14ac:dyDescent="0.3">
      <c r="A1066" t="s">
        <v>801</v>
      </c>
      <c r="E1066" s="20" t="str">
        <f t="shared" si="114"/>
        <v/>
      </c>
      <c r="F1066" s="21" t="str">
        <f>IF(OR(E1066="",E1066="!!!"),"",IF(NOT(ISNA(VLOOKUP(E1066,E$1:E1065,1,FALSE()))),"OLD",IF(AND(E1066&lt;&gt;"",E1066&lt;&gt;"!!!"),"NEW","")))</f>
        <v/>
      </c>
      <c r="G1066" s="22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3" t="str">
        <f t="shared" ca="1" si="115"/>
        <v/>
      </c>
      <c r="I1066" s="24" t="str">
        <f>IF(OR(E1066="",E1066="!!!",F1066="NEW"),"",INDEX(B$2:B1065,-1+SUMPRODUCT(MAX(ROW(E$2:E1065)*(E1066=E$2:E1065)))))</f>
        <v/>
      </c>
      <c r="J1066" s="24" t="str">
        <f ca="1">IF(OR(E1066="",E1066="!!!",F1066="NEW"),"",COUNTBLANK(OFFSET(A$1,,,SUMPRODUCT(MAX(ROW(E$2:E1066)*(E1066=E$2:E1066)))))-COUNTBLANK(OFFSET(A$1,,,SUMPRODUCT(MAX(ROW(E$1:E1065)*(E2=E$1:E1065))))))</f>
        <v/>
      </c>
      <c r="K1066" s="24" t="str">
        <f>IF(OR(E1066="",E1066="!!!",F1066="NEW"),"",INDEX(J$1:J1065,SUMPRODUCT(MAX(ROW(E$1:E1065)*(E1066=E$1:E1065)))))</f>
        <v/>
      </c>
      <c r="L1066" s="25"/>
    </row>
    <row r="1067" spans="1:12" x14ac:dyDescent="0.3">
      <c r="A1067" t="s">
        <v>842</v>
      </c>
      <c r="E1067" s="20" t="str">
        <f t="shared" si="114"/>
        <v/>
      </c>
      <c r="F1067" s="21" t="str">
        <f>IF(OR(E1067="",E1067="!!!"),"",IF(NOT(ISNA(VLOOKUP(E1067,E$1:E1066,1,FALSE()))),"OLD",IF(AND(E1067&lt;&gt;"",E1067&lt;&gt;"!!!"),"NEW","")))</f>
        <v/>
      </c>
      <c r="G1067" s="22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3" t="str">
        <f t="shared" ca="1" si="115"/>
        <v/>
      </c>
      <c r="I1067" s="24" t="str">
        <f>IF(OR(E1067="",E1067="!!!",F1067="NEW"),"",INDEX(B$2:B1066,-1+SUMPRODUCT(MAX(ROW(E$2:E1066)*(E1067=E$2:E1066)))))</f>
        <v/>
      </c>
      <c r="J1067" s="24" t="str">
        <f ca="1">IF(OR(E1067="",E1067="!!!",F1067="NEW"),"",COUNTBLANK(OFFSET(A$1,,,SUMPRODUCT(MAX(ROW(E$2:E1067)*(E1067=E$2:E1067)))))-COUNTBLANK(OFFSET(A$1,,,SUMPRODUCT(MAX(ROW(E$1:E1066)*(E2=E$1:E1066))))))</f>
        <v/>
      </c>
      <c r="K1067" s="24" t="str">
        <f>IF(OR(E1067="",E1067="!!!",F1067="NEW"),"",INDEX(J$1:J1066,SUMPRODUCT(MAX(ROW(E$1:E1066)*(E1067=E$1:E1066)))))</f>
        <v/>
      </c>
      <c r="L1067" s="25"/>
    </row>
    <row r="1068" spans="1:12" x14ac:dyDescent="0.3">
      <c r="A1068" t="s">
        <v>843</v>
      </c>
      <c r="B1068" s="26" t="s">
        <v>362</v>
      </c>
      <c r="C1068" s="26" t="s">
        <v>355</v>
      </c>
      <c r="E1068" s="20" t="str">
        <f t="shared" si="114"/>
        <v/>
      </c>
      <c r="F1068" s="21" t="str">
        <f>IF(OR(E1068="",E1068="!!!"),"",IF(NOT(ISNA(VLOOKUP(E1068,E$1:E1067,1,FALSE()))),"OLD",IF(AND(E1068&lt;&gt;"",E1068&lt;&gt;"!!!"),"NEW","")))</f>
        <v/>
      </c>
      <c r="G1068" s="22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3" t="str">
        <f t="shared" ca="1" si="115"/>
        <v/>
      </c>
      <c r="I1068" s="24" t="str">
        <f>IF(OR(E1068="",E1068="!!!",F1068="NEW"),"",INDEX(B$2:B1067,-1+SUMPRODUCT(MAX(ROW(E$2:E1067)*(E1068=E$2:E1067)))))</f>
        <v/>
      </c>
      <c r="J1068" s="24" t="str">
        <f ca="1">IF(OR(E1068="",E1068="!!!",F1068="NEW"),"",COUNTBLANK(OFFSET(A$1,,,SUMPRODUCT(MAX(ROW(E$2:E1068)*(E1068=E$2:E1068)))))-COUNTBLANK(OFFSET(A$1,,,SUMPRODUCT(MAX(ROW(E$1:E1067)*(E2=E$1:E1067))))))</f>
        <v/>
      </c>
      <c r="K1068" s="24" t="str">
        <f>IF(OR(E1068="",E1068="!!!",F1068="NEW"),"",INDEX(J$1:J1067,SUMPRODUCT(MAX(ROW(E$1:E1067)*(E1068=E$1:E1067)))))</f>
        <v/>
      </c>
      <c r="L1068" s="25"/>
    </row>
    <row r="1069" spans="1:12" x14ac:dyDescent="0.3">
      <c r="A1069" t="s">
        <v>385</v>
      </c>
      <c r="E1069" s="20" t="str">
        <f t="shared" si="114"/>
        <v/>
      </c>
      <c r="F1069" s="21" t="str">
        <f>IF(OR(E1069="",E1069="!!!"),"",IF(NOT(ISNA(VLOOKUP(E1069,E$1:E1068,1,FALSE()))),"OLD",IF(AND(E1069&lt;&gt;"",E1069&lt;&gt;"!!!"),"NEW","")))</f>
        <v/>
      </c>
      <c r="G1069" s="22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3" t="str">
        <f t="shared" ca="1" si="115"/>
        <v/>
      </c>
      <c r="I1069" s="24" t="str">
        <f>IF(OR(E1069="",E1069="!!!",F1069="NEW"),"",INDEX(B$2:B1068,-1+SUMPRODUCT(MAX(ROW(E$2:E1068)*(E1069=E$2:E1068)))))</f>
        <v/>
      </c>
      <c r="J1069" s="24" t="str">
        <f ca="1">IF(OR(E1069="",E1069="!!!",F1069="NEW"),"",COUNTBLANK(OFFSET(A$1,,,SUMPRODUCT(MAX(ROW(E$2:E1069)*(E1069=E$2:E1069)))))-COUNTBLANK(OFFSET(A$1,,,SUMPRODUCT(MAX(ROW(E$1:E1068)*(E2=E$1:E1068))))))</f>
        <v/>
      </c>
      <c r="K1069" s="24" t="str">
        <f>IF(OR(E1069="",E1069="!!!",F1069="NEW"),"",INDEX(J$1:J1068,SUMPRODUCT(MAX(ROW(E$1:E1068)*(E1069=E$1:E1068)))))</f>
        <v/>
      </c>
      <c r="L1069" s="25"/>
    </row>
    <row r="1070" spans="1:12" x14ac:dyDescent="0.3">
      <c r="A1070" t="s">
        <v>844</v>
      </c>
      <c r="B1070" s="26" t="s">
        <v>515</v>
      </c>
      <c r="C1070" s="26" t="s">
        <v>355</v>
      </c>
      <c r="E1070" s="20" t="str">
        <f t="shared" si="114"/>
        <v/>
      </c>
      <c r="F1070" s="21" t="str">
        <f>IF(OR(E1070="",E1070="!!!"),"",IF(NOT(ISNA(VLOOKUP(E1070,E$1:E1069,1,FALSE()))),"OLD",IF(AND(E1070&lt;&gt;"",E1070&lt;&gt;"!!!"),"NEW","")))</f>
        <v/>
      </c>
      <c r="G1070" s="22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3" t="str">
        <f t="shared" ca="1" si="115"/>
        <v/>
      </c>
      <c r="I1070" s="24" t="str">
        <f>IF(OR(E1070="",E1070="!!!",F1070="NEW"),"",INDEX(B$2:B1069,-1+SUMPRODUCT(MAX(ROW(E$2:E1069)*(E1070=E$2:E1069)))))</f>
        <v/>
      </c>
      <c r="J1070" s="24" t="str">
        <f ca="1">IF(OR(E1070="",E1070="!!!",F1070="NEW"),"",COUNTBLANK(OFFSET(A$1,,,SUMPRODUCT(MAX(ROW(E$2:E1070)*(E1070=E$2:E1070)))))-COUNTBLANK(OFFSET(A$1,,,SUMPRODUCT(MAX(ROW(E$1:E1069)*(E2=E$1:E1069))))))</f>
        <v/>
      </c>
      <c r="K1070" s="24" t="str">
        <f>IF(OR(E1070="",E1070="!!!",F1070="NEW"),"",INDEX(J$1:J1069,SUMPRODUCT(MAX(ROW(E$1:E1069)*(E1070=E$1:E1069)))))</f>
        <v/>
      </c>
      <c r="L1070" s="25"/>
    </row>
    <row r="1071" spans="1:12" x14ac:dyDescent="0.3">
      <c r="A1071" t="s">
        <v>338</v>
      </c>
      <c r="E1071" s="20" t="str">
        <f t="shared" si="114"/>
        <v/>
      </c>
      <c r="F1071" s="21" t="str">
        <f>IF(OR(E1071="",E1071="!!!"),"",IF(NOT(ISNA(VLOOKUP(E1071,E$1:E1070,1,FALSE()))),"OLD",IF(AND(E1071&lt;&gt;"",E1071&lt;&gt;"!!!"),"NEW","")))</f>
        <v/>
      </c>
      <c r="G1071" s="22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3" t="str">
        <f t="shared" ca="1" si="115"/>
        <v/>
      </c>
      <c r="I1071" s="24" t="str">
        <f>IF(OR(E1071="",E1071="!!!",F1071="NEW"),"",INDEX(B$2:B1070,-1+SUMPRODUCT(MAX(ROW(E$2:E1070)*(E1071=E$2:E1070)))))</f>
        <v/>
      </c>
      <c r="J1071" s="24" t="str">
        <f ca="1">IF(OR(E1071="",E1071="!!!",F1071="NEW"),"",COUNTBLANK(OFFSET(A$1,,,SUMPRODUCT(MAX(ROW(E$2:E1071)*(E1071=E$2:E1071)))))-COUNTBLANK(OFFSET(A$1,,,SUMPRODUCT(MAX(ROW(E$1:E1070)*(E2=E$1:E1070))))))</f>
        <v/>
      </c>
      <c r="K1071" s="24" t="str">
        <f>IF(OR(E1071="",E1071="!!!",F1071="NEW"),"",INDEX(J$1:J1070,SUMPRODUCT(MAX(ROW(E$1:E1070)*(E1071=E$1:E1070)))))</f>
        <v/>
      </c>
      <c r="L1071" s="25"/>
    </row>
    <row r="1073" spans="1:12" x14ac:dyDescent="0.3">
      <c r="A1073" t="s">
        <v>845</v>
      </c>
    </row>
    <row r="1074" spans="1:12" x14ac:dyDescent="0.3">
      <c r="A1074" t="s">
        <v>821</v>
      </c>
      <c r="E1074" s="20" t="str">
        <f t="shared" ref="E1074:E1086" si="116">IF(D1074="?OLD","!!!","")</f>
        <v/>
      </c>
      <c r="F1074" s="21" t="str">
        <f>IF(OR(E1074="",E1074="!!!"),"",IF(NOT(ISNA(VLOOKUP(E1074,E$1:E1073,1,FALSE()))),"OLD",IF(AND(E1074&lt;&gt;"",E1074&lt;&gt;"!!!"),"NEW","")))</f>
        <v/>
      </c>
      <c r="G1074" s="22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3" t="str">
        <f t="shared" ref="H1074:H1086" ca="1" si="117">IF(J1074&lt;&gt;1,"",IF(I1074="SBJ","CB","?"))</f>
        <v/>
      </c>
      <c r="I1074" s="24" t="str">
        <f>IF(OR(E1074="",E1074="!!!",F1074="NEW"),"",INDEX(B$2:B1073,-1+SUMPRODUCT(MAX(ROW(E$2:E1073)*(E1074=E$2:E1073)))))</f>
        <v/>
      </c>
      <c r="J1074" s="24" t="str">
        <f ca="1">IF(OR(E1074="",E1074="!!!",F1074="NEW"),"",COUNTBLANK(OFFSET(A$1,,,SUMPRODUCT(MAX(ROW(E$2:E1074)*(E1074=E$2:E1074)))))-COUNTBLANK(OFFSET(A$1,,,SUMPRODUCT(MAX(ROW(E$1:E1073)*(E2=E$1:E1073))))))</f>
        <v/>
      </c>
      <c r="K1074" s="24" t="str">
        <f>IF(OR(E1074="",E1074="!!!",F1074="NEW"),"",INDEX(J$1:J1073,SUMPRODUCT(MAX(ROW(E$1:E1073)*(E1074=E$1:E1073)))))</f>
        <v/>
      </c>
      <c r="L1074" s="25"/>
    </row>
    <row r="1075" spans="1:12" x14ac:dyDescent="0.3">
      <c r="A1075" t="s">
        <v>846</v>
      </c>
      <c r="E1075" s="20" t="str">
        <f t="shared" si="116"/>
        <v/>
      </c>
      <c r="F1075" s="21" t="str">
        <f>IF(OR(E1075="",E1075="!!!"),"",IF(NOT(ISNA(VLOOKUP(E1075,E$1:E1074,1,FALSE()))),"OLD",IF(AND(E1075&lt;&gt;"",E1075&lt;&gt;"!!!"),"NEW","")))</f>
        <v/>
      </c>
      <c r="G1075" s="22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3" t="str">
        <f t="shared" ca="1" si="117"/>
        <v/>
      </c>
      <c r="I1075" s="24" t="str">
        <f>IF(OR(E1075="",E1075="!!!",F1075="NEW"),"",INDEX(B$2:B1074,-1+SUMPRODUCT(MAX(ROW(E$2:E1074)*(E1075=E$2:E1074)))))</f>
        <v/>
      </c>
      <c r="J1075" s="24" t="str">
        <f ca="1">IF(OR(E1075="",E1075="!!!",F1075="NEW"),"",COUNTBLANK(OFFSET(A$1,,,SUMPRODUCT(MAX(ROW(E$2:E1075)*(E1075=E$2:E1075)))))-COUNTBLANK(OFFSET(A$1,,,SUMPRODUCT(MAX(ROW(E$1:E1074)*(E2=E$1:E1074))))))</f>
        <v/>
      </c>
      <c r="K1075" s="24" t="str">
        <f>IF(OR(E1075="",E1075="!!!",F1075="NEW"),"",INDEX(J$1:J1074,SUMPRODUCT(MAX(ROW(E$1:E1074)*(E1075=E$1:E1074)))))</f>
        <v/>
      </c>
      <c r="L1075" s="25"/>
    </row>
    <row r="1076" spans="1:12" x14ac:dyDescent="0.3">
      <c r="A1076" t="s">
        <v>847</v>
      </c>
      <c r="E1076" s="20" t="str">
        <f t="shared" si="116"/>
        <v/>
      </c>
      <c r="F1076" s="21" t="str">
        <f>IF(OR(E1076="",E1076="!!!"),"",IF(NOT(ISNA(VLOOKUP(E1076,E$1:E1075,1,FALSE()))),"OLD",IF(AND(E1076&lt;&gt;"",E1076&lt;&gt;"!!!"),"NEW","")))</f>
        <v/>
      </c>
      <c r="G1076" s="22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3" t="str">
        <f t="shared" ca="1" si="117"/>
        <v/>
      </c>
      <c r="I1076" s="24" t="str">
        <f>IF(OR(E1076="",E1076="!!!",F1076="NEW"),"",INDEX(B$2:B1075,-1+SUMPRODUCT(MAX(ROW(E$2:E1075)*(E1076=E$2:E1075)))))</f>
        <v/>
      </c>
      <c r="J1076" s="24" t="str">
        <f ca="1">IF(OR(E1076="",E1076="!!!",F1076="NEW"),"",COUNTBLANK(OFFSET(A$1,,,SUMPRODUCT(MAX(ROW(E$2:E1076)*(E1076=E$2:E1076)))))-COUNTBLANK(OFFSET(A$1,,,SUMPRODUCT(MAX(ROW(E$1:E1075)*(E2=E$1:E1075))))))</f>
        <v/>
      </c>
      <c r="K1076" s="24" t="str">
        <f>IF(OR(E1076="",E1076="!!!",F1076="NEW"),"",INDEX(J$1:J1075,SUMPRODUCT(MAX(ROW(E$1:E1075)*(E1076=E$1:E1075)))))</f>
        <v/>
      </c>
      <c r="L1076" s="25"/>
    </row>
    <row r="1077" spans="1:12" x14ac:dyDescent="0.3">
      <c r="A1077" t="s">
        <v>823</v>
      </c>
      <c r="B1077" s="26" t="s">
        <v>337</v>
      </c>
      <c r="C1077" s="26" t="s">
        <v>366</v>
      </c>
      <c r="E1077" s="20" t="str">
        <f t="shared" si="116"/>
        <v/>
      </c>
      <c r="F1077" s="21" t="str">
        <f>IF(OR(E1077="",E1077="!!!"),"",IF(NOT(ISNA(VLOOKUP(E1077,E$1:E1076,1,FALSE()))),"OLD",IF(AND(E1077&lt;&gt;"",E1077&lt;&gt;"!!!"),"NEW","")))</f>
        <v/>
      </c>
      <c r="G1077" s="22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3" t="str">
        <f t="shared" ca="1" si="117"/>
        <v/>
      </c>
      <c r="I1077" s="24" t="str">
        <f>IF(OR(E1077="",E1077="!!!",F1077="NEW"),"",INDEX(B$2:B1076,-1+SUMPRODUCT(MAX(ROW(E$2:E1076)*(E1077=E$2:E1076)))))</f>
        <v/>
      </c>
      <c r="J1077" s="24" t="str">
        <f ca="1">IF(OR(E1077="",E1077="!!!",F1077="NEW"),"",COUNTBLANK(OFFSET(A$1,,,SUMPRODUCT(MAX(ROW(E$2:E1077)*(E1077=E$2:E1077)))))-COUNTBLANK(OFFSET(A$1,,,SUMPRODUCT(MAX(ROW(E$1:E1076)*(E2=E$1:E1076))))))</f>
        <v/>
      </c>
      <c r="K1077" s="24" t="str">
        <f>IF(OR(E1077="",E1077="!!!",F1077="NEW"),"",INDEX(J$1:J1076,SUMPRODUCT(MAX(ROW(E$1:E1076)*(E1077=E$1:E1076)))))</f>
        <v/>
      </c>
      <c r="L1077" s="25"/>
    </row>
    <row r="1078" spans="1:12" x14ac:dyDescent="0.3">
      <c r="A1078" t="s">
        <v>848</v>
      </c>
      <c r="E1078" s="20" t="str">
        <f t="shared" si="116"/>
        <v/>
      </c>
      <c r="F1078" s="21" t="str">
        <f>IF(OR(E1078="",E1078="!!!"),"",IF(NOT(ISNA(VLOOKUP(E1078,E$1:E1077,1,FALSE()))),"OLD",IF(AND(E1078&lt;&gt;"",E1078&lt;&gt;"!!!"),"NEW","")))</f>
        <v/>
      </c>
      <c r="G1078" s="22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3" t="str">
        <f t="shared" ca="1" si="117"/>
        <v/>
      </c>
      <c r="I1078" s="24" t="str">
        <f>IF(OR(E1078="",E1078="!!!",F1078="NEW"),"",INDEX(B$2:B1077,-1+SUMPRODUCT(MAX(ROW(E$2:E1077)*(E1078=E$2:E1077)))))</f>
        <v/>
      </c>
      <c r="J1078" s="24" t="str">
        <f ca="1">IF(OR(E1078="",E1078="!!!",F1078="NEW"),"",COUNTBLANK(OFFSET(A$1,,,SUMPRODUCT(MAX(ROW(E$2:E1078)*(E1078=E$2:E1078)))))-COUNTBLANK(OFFSET(A$1,,,SUMPRODUCT(MAX(ROW(E$1:E1077)*(E2=E$1:E1077))))))</f>
        <v/>
      </c>
      <c r="K1078" s="24" t="str">
        <f>IF(OR(E1078="",E1078="!!!",F1078="NEW"),"",INDEX(J$1:J1077,SUMPRODUCT(MAX(ROW(E$1:E1077)*(E1078=E$1:E1077)))))</f>
        <v/>
      </c>
      <c r="L1078" s="25"/>
    </row>
    <row r="1079" spans="1:12" x14ac:dyDescent="0.3">
      <c r="A1079" t="s">
        <v>473</v>
      </c>
      <c r="B1079" s="26" t="s">
        <v>330</v>
      </c>
      <c r="C1079" s="26" t="s">
        <v>438</v>
      </c>
      <c r="D1079" s="26" t="s">
        <v>332</v>
      </c>
      <c r="E1079" s="20" t="str">
        <f t="shared" si="116"/>
        <v>!!!</v>
      </c>
      <c r="F1079" s="21" t="str">
        <f>IF(OR(E1079="",E1079="!!!"),"",IF(NOT(ISNA(VLOOKUP(E1079,E$1:E1078,1,FALSE()))),"OLD",IF(AND(E1079&lt;&gt;"",E1079&lt;&gt;"!!!"),"NEW","")))</f>
        <v/>
      </c>
      <c r="G1079" s="22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3" t="str">
        <f t="shared" ca="1" si="117"/>
        <v/>
      </c>
      <c r="I1079" s="24" t="str">
        <f>IF(OR(E1079="",E1079="!!!",F1079="NEW"),"",INDEX(B$2:B1078,-1+SUMPRODUCT(MAX(ROW(E$2:E1078)*(E1079=E$2:E1078)))))</f>
        <v/>
      </c>
      <c r="J1079" s="24" t="str">
        <f ca="1">IF(OR(E1079="",E1079="!!!",F1079="NEW"),"",COUNTBLANK(OFFSET(A$1,,,SUMPRODUCT(MAX(ROW(E$2:E1079)*(E1079=E$2:E1079)))))-COUNTBLANK(OFFSET(A$1,,,SUMPRODUCT(MAX(ROW(E$1:E1078)*(E2=E$1:E1078))))))</f>
        <v/>
      </c>
      <c r="K1079" s="24" t="str">
        <f>IF(OR(E1079="",E1079="!!!",F1079="NEW"),"",INDEX(J$1:J1078,SUMPRODUCT(MAX(ROW(E$1:E1078)*(E1079=E$1:E1078)))))</f>
        <v/>
      </c>
      <c r="L1079" s="25"/>
    </row>
    <row r="1080" spans="1:12" x14ac:dyDescent="0.3">
      <c r="A1080" t="s">
        <v>380</v>
      </c>
      <c r="E1080" s="20" t="str">
        <f t="shared" si="116"/>
        <v/>
      </c>
      <c r="F1080" s="21" t="str">
        <f>IF(OR(E1080="",E1080="!!!"),"",IF(NOT(ISNA(VLOOKUP(E1080,E$1:E1079,1,FALSE()))),"OLD",IF(AND(E1080&lt;&gt;"",E1080&lt;&gt;"!!!"),"NEW","")))</f>
        <v/>
      </c>
      <c r="G1080" s="22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3" t="str">
        <f t="shared" ca="1" si="117"/>
        <v/>
      </c>
      <c r="I1080" s="24" t="str">
        <f>IF(OR(E1080="",E1080="!!!",F1080="NEW"),"",INDEX(B$2:B1079,-1+SUMPRODUCT(MAX(ROW(E$2:E1079)*(E1080=E$2:E1079)))))</f>
        <v/>
      </c>
      <c r="J1080" s="24" t="str">
        <f ca="1">IF(OR(E1080="",E1080="!!!",F1080="NEW"),"",COUNTBLANK(OFFSET(A$1,,,SUMPRODUCT(MAX(ROW(E$2:E1080)*(E1080=E$2:E1080)))))-COUNTBLANK(OFFSET(A$1,,,SUMPRODUCT(MAX(ROW(E$1:E1079)*(E2=E$1:E1079))))))</f>
        <v/>
      </c>
      <c r="K1080" s="24" t="str">
        <f>IF(OR(E1080="",E1080="!!!",F1080="NEW"),"",INDEX(J$1:J1079,SUMPRODUCT(MAX(ROW(E$1:E1079)*(E1080=E$1:E1079)))))</f>
        <v/>
      </c>
      <c r="L1080" s="25"/>
    </row>
    <row r="1081" spans="1:12" x14ac:dyDescent="0.3">
      <c r="A1081" t="s">
        <v>837</v>
      </c>
      <c r="B1081" s="26" t="s">
        <v>344</v>
      </c>
      <c r="C1081" s="26" t="s">
        <v>331</v>
      </c>
      <c r="D1081" s="26" t="s">
        <v>332</v>
      </c>
      <c r="E1081" s="20" t="str">
        <f t="shared" si="116"/>
        <v>!!!</v>
      </c>
      <c r="F1081" s="21" t="str">
        <f>IF(OR(E1081="",E1081="!!!"),"",IF(NOT(ISNA(VLOOKUP(E1081,E$1:E1080,1,FALSE()))),"OLD",IF(AND(E1081&lt;&gt;"",E1081&lt;&gt;"!!!"),"NEW","")))</f>
        <v/>
      </c>
      <c r="G1081" s="22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3" t="str">
        <f t="shared" ca="1" si="117"/>
        <v/>
      </c>
      <c r="I1081" s="24" t="str">
        <f>IF(OR(E1081="",E1081="!!!",F1081="NEW"),"",INDEX(B$2:B1080,-1+SUMPRODUCT(MAX(ROW(E$2:E1080)*(E1081=E$2:E1080)))))</f>
        <v/>
      </c>
      <c r="J1081" s="24" t="str">
        <f ca="1">IF(OR(E1081="",E1081="!!!",F1081="NEW"),"",COUNTBLANK(OFFSET(A$1,,,SUMPRODUCT(MAX(ROW(E$2:E1081)*(E1081=E$2:E1081)))))-COUNTBLANK(OFFSET(A$1,,,SUMPRODUCT(MAX(ROW(E$1:E1080)*(E2=E$1:E1080))))))</f>
        <v/>
      </c>
      <c r="K1081" s="24" t="str">
        <f>IF(OR(E1081="",E1081="!!!",F1081="NEW"),"",INDEX(J$1:J1080,SUMPRODUCT(MAX(ROW(E$1:E1080)*(E1081=E$1:E1080)))))</f>
        <v/>
      </c>
      <c r="L1081" s="25"/>
    </row>
    <row r="1082" spans="1:12" x14ac:dyDescent="0.3">
      <c r="A1082" t="s">
        <v>372</v>
      </c>
      <c r="E1082" s="20" t="str">
        <f t="shared" si="116"/>
        <v/>
      </c>
      <c r="F1082" s="21" t="str">
        <f>IF(OR(E1082="",E1082="!!!"),"",IF(NOT(ISNA(VLOOKUP(E1082,E$1:E1081,1,FALSE()))),"OLD",IF(AND(E1082&lt;&gt;"",E1082&lt;&gt;"!!!"),"NEW","")))</f>
        <v/>
      </c>
      <c r="G1082" s="22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3" t="str">
        <f t="shared" ca="1" si="117"/>
        <v/>
      </c>
      <c r="I1082" s="24" t="str">
        <f>IF(OR(E1082="",E1082="!!!",F1082="NEW"),"",INDEX(B$2:B1081,-1+SUMPRODUCT(MAX(ROW(E$2:E1081)*(E1082=E$2:E1081)))))</f>
        <v/>
      </c>
      <c r="J1082" s="24" t="str">
        <f ca="1">IF(OR(E1082="",E1082="!!!",F1082="NEW"),"",COUNTBLANK(OFFSET(A$1,,,SUMPRODUCT(MAX(ROW(E$2:E1082)*(E1082=E$2:E1082)))))-COUNTBLANK(OFFSET(A$1,,,SUMPRODUCT(MAX(ROW(E$1:E1081)*(E2=E$1:E1081))))))</f>
        <v/>
      </c>
      <c r="K1082" s="24" t="str">
        <f>IF(OR(E1082="",E1082="!!!",F1082="NEW"),"",INDEX(J$1:J1081,SUMPRODUCT(MAX(ROW(E$1:E1081)*(E1082=E$1:E1081)))))</f>
        <v/>
      </c>
      <c r="L1082" s="25"/>
    </row>
    <row r="1083" spans="1:12" x14ac:dyDescent="0.3">
      <c r="A1083" t="s">
        <v>849</v>
      </c>
      <c r="E1083" s="20" t="str">
        <f t="shared" si="116"/>
        <v/>
      </c>
      <c r="F1083" s="21" t="str">
        <f>IF(OR(E1083="",E1083="!!!"),"",IF(NOT(ISNA(VLOOKUP(E1083,E$1:E1082,1,FALSE()))),"OLD",IF(AND(E1083&lt;&gt;"",E1083&lt;&gt;"!!!"),"NEW","")))</f>
        <v/>
      </c>
      <c r="G1083" s="22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3" t="str">
        <f t="shared" ca="1" si="117"/>
        <v/>
      </c>
      <c r="I1083" s="24" t="str">
        <f>IF(OR(E1083="",E1083="!!!",F1083="NEW"),"",INDEX(B$2:B1082,-1+SUMPRODUCT(MAX(ROW(E$2:E1082)*(E1083=E$2:E1082)))))</f>
        <v/>
      </c>
      <c r="J1083" s="24" t="str">
        <f ca="1">IF(OR(E1083="",E1083="!!!",F1083="NEW"),"",COUNTBLANK(OFFSET(A$1,,,SUMPRODUCT(MAX(ROW(E$2:E1083)*(E1083=E$2:E1083)))))-COUNTBLANK(OFFSET(A$1,,,SUMPRODUCT(MAX(ROW(E$1:E1082)*(E2=E$1:E1082))))))</f>
        <v/>
      </c>
      <c r="K1083" s="24" t="str">
        <f>IF(OR(E1083="",E1083="!!!",F1083="NEW"),"",INDEX(J$1:J1082,SUMPRODUCT(MAX(ROW(E$1:E1082)*(E1083=E$1:E1082)))))</f>
        <v/>
      </c>
      <c r="L1083" s="25"/>
    </row>
    <row r="1084" spans="1:12" x14ac:dyDescent="0.3">
      <c r="A1084" t="s">
        <v>850</v>
      </c>
      <c r="E1084" s="20" t="str">
        <f t="shared" si="116"/>
        <v/>
      </c>
      <c r="F1084" s="21" t="str">
        <f>IF(OR(E1084="",E1084="!!!"),"",IF(NOT(ISNA(VLOOKUP(E1084,E$1:E1083,1,FALSE()))),"OLD",IF(AND(E1084&lt;&gt;"",E1084&lt;&gt;"!!!"),"NEW","")))</f>
        <v/>
      </c>
      <c r="G1084" s="22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3" t="str">
        <f t="shared" ca="1" si="117"/>
        <v/>
      </c>
      <c r="I1084" s="24" t="str">
        <f>IF(OR(E1084="",E1084="!!!",F1084="NEW"),"",INDEX(B$2:B1083,-1+SUMPRODUCT(MAX(ROW(E$2:E1083)*(E1084=E$2:E1083)))))</f>
        <v/>
      </c>
      <c r="J1084" s="24" t="str">
        <f ca="1">IF(OR(E1084="",E1084="!!!",F1084="NEW"),"",COUNTBLANK(OFFSET(A$1,,,SUMPRODUCT(MAX(ROW(E$2:E1084)*(E1084=E$2:E1084)))))-COUNTBLANK(OFFSET(A$1,,,SUMPRODUCT(MAX(ROW(E$1:E1083)*(E2=E$1:E1083))))))</f>
        <v/>
      </c>
      <c r="K1084" s="24" t="str">
        <f>IF(OR(E1084="",E1084="!!!",F1084="NEW"),"",INDEX(J$1:J1083,SUMPRODUCT(MAX(ROW(E$1:E1083)*(E1084=E$1:E1083)))))</f>
        <v/>
      </c>
      <c r="L1084" s="25"/>
    </row>
    <row r="1085" spans="1:12" x14ac:dyDescent="0.3">
      <c r="A1085" t="s">
        <v>851</v>
      </c>
      <c r="B1085" s="26" t="s">
        <v>337</v>
      </c>
      <c r="C1085" s="26" t="s">
        <v>366</v>
      </c>
      <c r="E1085" s="20" t="str">
        <f t="shared" si="116"/>
        <v/>
      </c>
      <c r="F1085" s="21" t="str">
        <f>IF(OR(E1085="",E1085="!!!"),"",IF(NOT(ISNA(VLOOKUP(E1085,E$1:E1084,1,FALSE()))),"OLD",IF(AND(E1085&lt;&gt;"",E1085&lt;&gt;"!!!"),"NEW","")))</f>
        <v/>
      </c>
      <c r="G1085" s="22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3" t="str">
        <f t="shared" ca="1" si="117"/>
        <v/>
      </c>
      <c r="I1085" s="24" t="str">
        <f>IF(OR(E1085="",E1085="!!!",F1085="NEW"),"",INDEX(B$2:B1084,-1+SUMPRODUCT(MAX(ROW(E$2:E1084)*(E1085=E$2:E1084)))))</f>
        <v/>
      </c>
      <c r="J1085" s="24" t="str">
        <f ca="1">IF(OR(E1085="",E1085="!!!",F1085="NEW"),"",COUNTBLANK(OFFSET(A$1,,,SUMPRODUCT(MAX(ROW(E$2:E1085)*(E1085=E$2:E1085)))))-COUNTBLANK(OFFSET(A$1,,,SUMPRODUCT(MAX(ROW(E$1:E1084)*(E2=E$1:E1084))))))</f>
        <v/>
      </c>
      <c r="K1085" s="24" t="str">
        <f>IF(OR(E1085="",E1085="!!!",F1085="NEW"),"",INDEX(J$1:J1084,SUMPRODUCT(MAX(ROW(E$1:E1084)*(E1085=E$1:E1084)))))</f>
        <v/>
      </c>
      <c r="L1085" s="25"/>
    </row>
    <row r="1086" spans="1:12" x14ac:dyDescent="0.3">
      <c r="A1086" t="s">
        <v>338</v>
      </c>
      <c r="E1086" s="20" t="str">
        <f t="shared" si="116"/>
        <v/>
      </c>
      <c r="F1086" s="21" t="str">
        <f>IF(OR(E1086="",E1086="!!!"),"",IF(NOT(ISNA(VLOOKUP(E1086,E$1:E1085,1,FALSE()))),"OLD",IF(AND(E1086&lt;&gt;"",E1086&lt;&gt;"!!!"),"NEW","")))</f>
        <v/>
      </c>
      <c r="G1086" s="22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3" t="str">
        <f t="shared" ca="1" si="117"/>
        <v/>
      </c>
      <c r="I1086" s="24" t="str">
        <f>IF(OR(E1086="",E1086="!!!",F1086="NEW"),"",INDEX(B$2:B1085,-1+SUMPRODUCT(MAX(ROW(E$2:E1085)*(E1086=E$2:E1085)))))</f>
        <v/>
      </c>
      <c r="J1086" s="24" t="str">
        <f ca="1">IF(OR(E1086="",E1086="!!!",F1086="NEW"),"",COUNTBLANK(OFFSET(A$1,,,SUMPRODUCT(MAX(ROW(E$2:E1086)*(E1086=E$2:E1086)))))-COUNTBLANK(OFFSET(A$1,,,SUMPRODUCT(MAX(ROW(E$1:E1085)*(E2=E$1:E1085))))))</f>
        <v/>
      </c>
      <c r="K1086" s="24" t="str">
        <f>IF(OR(E1086="",E1086="!!!",F1086="NEW"),"",INDEX(J$1:J1085,SUMPRODUCT(MAX(ROW(E$1:E1085)*(E1086=E$1:E1085)))))</f>
        <v/>
      </c>
      <c r="L1086" s="25"/>
    </row>
    <row r="1088" spans="1:12" x14ac:dyDescent="0.3">
      <c r="A1088" t="s">
        <v>852</v>
      </c>
    </row>
    <row r="1089" spans="1:12" x14ac:dyDescent="0.3">
      <c r="A1089" t="s">
        <v>853</v>
      </c>
      <c r="B1089" s="26" t="s">
        <v>337</v>
      </c>
      <c r="C1089" s="26" t="s">
        <v>355</v>
      </c>
      <c r="E1089" s="20" t="str">
        <f t="shared" ref="E1089:E1098" si="118">IF(D1089="?OLD","!!!","")</f>
        <v/>
      </c>
      <c r="F1089" s="21" t="str">
        <f>IF(OR(E1089="",E1089="!!!"),"",IF(NOT(ISNA(VLOOKUP(E1089,E$1:E1088,1,FALSE()))),"OLD",IF(AND(E1089&lt;&gt;"",E1089&lt;&gt;"!!!"),"NEW","")))</f>
        <v/>
      </c>
      <c r="G1089" s="22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3" t="str">
        <f t="shared" ref="H1089:H1098" ca="1" si="119">IF(J1089&lt;&gt;1,"",IF(I1089="SBJ","CB","?"))</f>
        <v/>
      </c>
      <c r="I1089" s="24" t="str">
        <f>IF(OR(E1089="",E1089="!!!",F1089="NEW"),"",INDEX(B$2:B1088,-1+SUMPRODUCT(MAX(ROW(E$2:E1088)*(E1089=E$2:E1088)))))</f>
        <v/>
      </c>
      <c r="J1089" s="24" t="str">
        <f ca="1">IF(OR(E1089="",E1089="!!!",F1089="NEW"),"",COUNTBLANK(OFFSET(A$1,,,SUMPRODUCT(MAX(ROW(E$2:E1089)*(E1089=E$2:E1089)))))-COUNTBLANK(OFFSET(A$1,,,SUMPRODUCT(MAX(ROW(E$1:E1088)*(E2=E$1:E1088))))))</f>
        <v/>
      </c>
      <c r="K1089" s="24" t="str">
        <f>IF(OR(E1089="",E1089="!!!",F1089="NEW"),"",INDEX(J$1:J1088,SUMPRODUCT(MAX(ROW(E$1:E1088)*(E1089=E$1:E1088)))))</f>
        <v/>
      </c>
      <c r="L1089" s="25"/>
    </row>
    <row r="1090" spans="1:12" x14ac:dyDescent="0.3">
      <c r="A1090" t="s">
        <v>351</v>
      </c>
      <c r="E1090" s="20" t="str">
        <f t="shared" si="118"/>
        <v/>
      </c>
      <c r="F1090" s="21" t="str">
        <f>IF(OR(E1090="",E1090="!!!"),"",IF(NOT(ISNA(VLOOKUP(E1090,E$1:E1089,1,FALSE()))),"OLD",IF(AND(E1090&lt;&gt;"",E1090&lt;&gt;"!!!"),"NEW","")))</f>
        <v/>
      </c>
      <c r="G1090" s="22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3" t="str">
        <f t="shared" ca="1" si="119"/>
        <v/>
      </c>
      <c r="I1090" s="24" t="str">
        <f>IF(OR(E1090="",E1090="!!!",F1090="NEW"),"",INDEX(B$2:B1089,-1+SUMPRODUCT(MAX(ROW(E$2:E1089)*(E1090=E$2:E1089)))))</f>
        <v/>
      </c>
      <c r="J1090" s="24" t="str">
        <f ca="1">IF(OR(E1090="",E1090="!!!",F1090="NEW"),"",COUNTBLANK(OFFSET(A$1,,,SUMPRODUCT(MAX(ROW(E$2:E1090)*(E1090=E$2:E1090)))))-COUNTBLANK(OFFSET(A$1,,,SUMPRODUCT(MAX(ROW(E$1:E1089)*(E2=E$1:E1089))))))</f>
        <v/>
      </c>
      <c r="K1090" s="24" t="str">
        <f>IF(OR(E1090="",E1090="!!!",F1090="NEW"),"",INDEX(J$1:J1089,SUMPRODUCT(MAX(ROW(E$1:E1089)*(E1090=E$1:E1089)))))</f>
        <v/>
      </c>
      <c r="L1090" s="25"/>
    </row>
    <row r="1091" spans="1:12" x14ac:dyDescent="0.3">
      <c r="A1091" t="s">
        <v>399</v>
      </c>
      <c r="B1091" s="26" t="s">
        <v>354</v>
      </c>
      <c r="E1091" s="20" t="str">
        <f t="shared" si="118"/>
        <v/>
      </c>
      <c r="F1091" s="21" t="str">
        <f>IF(OR(E1091="",E1091="!!!"),"",IF(NOT(ISNA(VLOOKUP(E1091,E$1:E1090,1,FALSE()))),"OLD",IF(AND(E1091&lt;&gt;"",E1091&lt;&gt;"!!!"),"NEW","")))</f>
        <v/>
      </c>
      <c r="G1091" s="22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3" t="str">
        <f t="shared" ca="1" si="119"/>
        <v/>
      </c>
      <c r="I1091" s="24" t="str">
        <f>IF(OR(E1091="",E1091="!!!",F1091="NEW"),"",INDEX(B$2:B1090,-1+SUMPRODUCT(MAX(ROW(E$2:E1090)*(E1091=E$2:E1090)))))</f>
        <v/>
      </c>
      <c r="J1091" s="24" t="str">
        <f ca="1">IF(OR(E1091="",E1091="!!!",F1091="NEW"),"",COUNTBLANK(OFFSET(A$1,,,SUMPRODUCT(MAX(ROW(E$2:E1091)*(E1091=E$2:E1091)))))-COUNTBLANK(OFFSET(A$1,,,SUMPRODUCT(MAX(ROW(E$1:E1090)*(E2=E$1:E1090))))))</f>
        <v/>
      </c>
      <c r="K1091" s="24" t="str">
        <f>IF(OR(E1091="",E1091="!!!",F1091="NEW"),"",INDEX(J$1:J1090,SUMPRODUCT(MAX(ROW(E$1:E1090)*(E1091=E$1:E1090)))))</f>
        <v/>
      </c>
      <c r="L1091" s="25"/>
    </row>
    <row r="1092" spans="1:12" x14ac:dyDescent="0.3">
      <c r="A1092" t="s">
        <v>333</v>
      </c>
      <c r="E1092" s="20" t="str">
        <f t="shared" si="118"/>
        <v/>
      </c>
      <c r="F1092" s="21" t="str">
        <f>IF(OR(E1092="",E1092="!!!"),"",IF(NOT(ISNA(VLOOKUP(E1092,E$1:E1091,1,FALSE()))),"OLD",IF(AND(E1092&lt;&gt;"",E1092&lt;&gt;"!!!"),"NEW","")))</f>
        <v/>
      </c>
      <c r="G1092" s="22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3" t="str">
        <f t="shared" ca="1" si="119"/>
        <v/>
      </c>
      <c r="I1092" s="24" t="str">
        <f>IF(OR(E1092="",E1092="!!!",F1092="NEW"),"",INDEX(B$2:B1091,-1+SUMPRODUCT(MAX(ROW(E$2:E1091)*(E1092=E$2:E1091)))))</f>
        <v/>
      </c>
      <c r="J1092" s="24" t="str">
        <f ca="1">IF(OR(E1092="",E1092="!!!",F1092="NEW"),"",COUNTBLANK(OFFSET(A$1,,,SUMPRODUCT(MAX(ROW(E$2:E1092)*(E1092=E$2:E1092)))))-COUNTBLANK(OFFSET(A$1,,,SUMPRODUCT(MAX(ROW(E$1:E1091)*(E2=E$1:E1091))))))</f>
        <v/>
      </c>
      <c r="K1092" s="24" t="str">
        <f>IF(OR(E1092="",E1092="!!!",F1092="NEW"),"",INDEX(J$1:J1091,SUMPRODUCT(MAX(ROW(E$1:E1091)*(E1092=E$1:E1091)))))</f>
        <v/>
      </c>
      <c r="L1092" s="25"/>
    </row>
    <row r="1093" spans="1:12" x14ac:dyDescent="0.3">
      <c r="A1093" t="s">
        <v>841</v>
      </c>
      <c r="E1093" s="20" t="str">
        <f t="shared" si="118"/>
        <v/>
      </c>
      <c r="F1093" s="21" t="str">
        <f>IF(OR(E1093="",E1093="!!!"),"",IF(NOT(ISNA(VLOOKUP(E1093,E$1:E1092,1,FALSE()))),"OLD",IF(AND(E1093&lt;&gt;"",E1093&lt;&gt;"!!!"),"NEW","")))</f>
        <v/>
      </c>
      <c r="G1093" s="22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3" t="str">
        <f t="shared" ca="1" si="119"/>
        <v/>
      </c>
      <c r="I1093" s="24" t="str">
        <f>IF(OR(E1093="",E1093="!!!",F1093="NEW"),"",INDEX(B$2:B1092,-1+SUMPRODUCT(MAX(ROW(E$2:E1092)*(E1093=E$2:E1092)))))</f>
        <v/>
      </c>
      <c r="J1093" s="24" t="str">
        <f ca="1">IF(OR(E1093="",E1093="!!!",F1093="NEW"),"",COUNTBLANK(OFFSET(A$1,,,SUMPRODUCT(MAX(ROW(E$2:E1093)*(E1093=E$2:E1093)))))-COUNTBLANK(OFFSET(A$1,,,SUMPRODUCT(MAX(ROW(E$1:E1092)*(E2=E$1:E1092))))))</f>
        <v/>
      </c>
      <c r="K1093" s="24" t="str">
        <f>IF(OR(E1093="",E1093="!!!",F1093="NEW"),"",INDEX(J$1:J1092,SUMPRODUCT(MAX(ROW(E$1:E1092)*(E1093=E$1:E1092)))))</f>
        <v/>
      </c>
      <c r="L1093" s="25"/>
    </row>
    <row r="1094" spans="1:12" x14ac:dyDescent="0.3">
      <c r="A1094" t="s">
        <v>854</v>
      </c>
      <c r="B1094" s="26" t="s">
        <v>337</v>
      </c>
      <c r="C1094" s="26" t="s">
        <v>544</v>
      </c>
      <c r="E1094" s="20" t="str">
        <f t="shared" si="118"/>
        <v/>
      </c>
      <c r="F1094" s="21" t="str">
        <f>IF(OR(E1094="",E1094="!!!"),"",IF(NOT(ISNA(VLOOKUP(E1094,E$1:E1093,1,FALSE()))),"OLD",IF(AND(E1094&lt;&gt;"",E1094&lt;&gt;"!!!"),"NEW","")))</f>
        <v/>
      </c>
      <c r="G1094" s="22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3" t="str">
        <f t="shared" ca="1" si="119"/>
        <v/>
      </c>
      <c r="I1094" s="24" t="str">
        <f>IF(OR(E1094="",E1094="!!!",F1094="NEW"),"",INDEX(B$2:B1093,-1+SUMPRODUCT(MAX(ROW(E$2:E1093)*(E1094=E$2:E1093)))))</f>
        <v/>
      </c>
      <c r="J1094" s="24" t="str">
        <f ca="1">IF(OR(E1094="",E1094="!!!",F1094="NEW"),"",COUNTBLANK(OFFSET(A$1,,,SUMPRODUCT(MAX(ROW(E$2:E1094)*(E1094=E$2:E1094)))))-COUNTBLANK(OFFSET(A$1,,,SUMPRODUCT(MAX(ROW(E$1:E1093)*(E2=E$1:E1093))))))</f>
        <v/>
      </c>
      <c r="K1094" s="24" t="str">
        <f>IF(OR(E1094="",E1094="!!!",F1094="NEW"),"",INDEX(J$1:J1093,SUMPRODUCT(MAX(ROW(E$1:E1093)*(E1094=E$1:E1093)))))</f>
        <v/>
      </c>
      <c r="L1094" s="25"/>
    </row>
    <row r="1095" spans="1:12" x14ac:dyDescent="0.3">
      <c r="A1095" t="s">
        <v>351</v>
      </c>
      <c r="E1095" s="20" t="str">
        <f t="shared" si="118"/>
        <v/>
      </c>
      <c r="F1095" s="21" t="str">
        <f>IF(OR(E1095="",E1095="!!!"),"",IF(NOT(ISNA(VLOOKUP(E1095,E$1:E1094,1,FALSE()))),"OLD",IF(AND(E1095&lt;&gt;"",E1095&lt;&gt;"!!!"),"NEW","")))</f>
        <v/>
      </c>
      <c r="G1095" s="22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3" t="str">
        <f t="shared" ca="1" si="119"/>
        <v/>
      </c>
      <c r="I1095" s="24" t="str">
        <f>IF(OR(E1095="",E1095="!!!",F1095="NEW"),"",INDEX(B$2:B1094,-1+SUMPRODUCT(MAX(ROW(E$2:E1094)*(E1095=E$2:E1094)))))</f>
        <v/>
      </c>
      <c r="J1095" s="24" t="str">
        <f ca="1">IF(OR(E1095="",E1095="!!!",F1095="NEW"),"",COUNTBLANK(OFFSET(A$1,,,SUMPRODUCT(MAX(ROW(E$2:E1095)*(E1095=E$2:E1095)))))-COUNTBLANK(OFFSET(A$1,,,SUMPRODUCT(MAX(ROW(E$1:E1094)*(E2=E$1:E1094))))))</f>
        <v/>
      </c>
      <c r="K1095" s="24" t="str">
        <f>IF(OR(E1095="",E1095="!!!",F1095="NEW"),"",INDEX(J$1:J1094,SUMPRODUCT(MAX(ROW(E$1:E1094)*(E1095=E$1:E1094)))))</f>
        <v/>
      </c>
      <c r="L1095" s="25"/>
    </row>
    <row r="1096" spans="1:12" x14ac:dyDescent="0.3">
      <c r="A1096" t="s">
        <v>824</v>
      </c>
      <c r="B1096" s="26" t="s">
        <v>362</v>
      </c>
      <c r="C1096" s="26" t="s">
        <v>438</v>
      </c>
      <c r="D1096" s="26" t="s">
        <v>332</v>
      </c>
      <c r="E1096" s="20" t="str">
        <f t="shared" si="118"/>
        <v>!!!</v>
      </c>
      <c r="F1096" s="21" t="str">
        <f>IF(OR(E1096="",E1096="!!!"),"",IF(NOT(ISNA(VLOOKUP(E1096,E$1:E1095,1,FALSE()))),"OLD",IF(AND(E1096&lt;&gt;"",E1096&lt;&gt;"!!!"),"NEW","")))</f>
        <v/>
      </c>
      <c r="G1096" s="22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3" t="str">
        <f t="shared" ca="1" si="119"/>
        <v/>
      </c>
      <c r="I1096" s="24" t="str">
        <f>IF(OR(E1096="",E1096="!!!",F1096="NEW"),"",INDEX(B$2:B1095,-1+SUMPRODUCT(MAX(ROW(E$2:E1095)*(E1096=E$2:E1095)))))</f>
        <v/>
      </c>
      <c r="J1096" s="24" t="str">
        <f ca="1">IF(OR(E1096="",E1096="!!!",F1096="NEW"),"",COUNTBLANK(OFFSET(A$1,,,SUMPRODUCT(MAX(ROW(E$2:E1096)*(E1096=E$2:E1096)))))-COUNTBLANK(OFFSET(A$1,,,SUMPRODUCT(MAX(ROW(E$1:E1095)*(E2=E$1:E1095))))))</f>
        <v/>
      </c>
      <c r="K1096" s="24" t="str">
        <f>IF(OR(E1096="",E1096="!!!",F1096="NEW"),"",INDEX(J$1:J1095,SUMPRODUCT(MAX(ROW(E$1:E1095)*(E1096=E$1:E1095)))))</f>
        <v/>
      </c>
      <c r="L1096" s="25"/>
    </row>
    <row r="1097" spans="1:12" x14ac:dyDescent="0.3">
      <c r="A1097" t="s">
        <v>855</v>
      </c>
      <c r="B1097" s="26" t="s">
        <v>378</v>
      </c>
      <c r="C1097" s="26" t="s">
        <v>366</v>
      </c>
      <c r="E1097" s="20" t="str">
        <f t="shared" si="118"/>
        <v/>
      </c>
      <c r="F1097" s="21" t="str">
        <f>IF(OR(E1097="",E1097="!!!"),"",IF(NOT(ISNA(VLOOKUP(E1097,E$1:E1096,1,FALSE()))),"OLD",IF(AND(E1097&lt;&gt;"",E1097&lt;&gt;"!!!"),"NEW","")))</f>
        <v/>
      </c>
      <c r="G1097" s="22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3" t="str">
        <f t="shared" ca="1" si="119"/>
        <v/>
      </c>
      <c r="I1097" s="24" t="str">
        <f>IF(OR(E1097="",E1097="!!!",F1097="NEW"),"",INDEX(B$2:B1096,-1+SUMPRODUCT(MAX(ROW(E$2:E1096)*(E1097=E$2:E1096)))))</f>
        <v/>
      </c>
      <c r="J1097" s="24" t="str">
        <f ca="1">IF(OR(E1097="",E1097="!!!",F1097="NEW"),"",COUNTBLANK(OFFSET(A$1,,,SUMPRODUCT(MAX(ROW(E$2:E1097)*(E1097=E$2:E1097)))))-COUNTBLANK(OFFSET(A$1,,,SUMPRODUCT(MAX(ROW(E$1:E1096)*(E2=E$1:E1096))))))</f>
        <v/>
      </c>
      <c r="K1097" s="24" t="str">
        <f>IF(OR(E1097="",E1097="!!!",F1097="NEW"),"",INDEX(J$1:J1096,SUMPRODUCT(MAX(ROW(E$1:E1096)*(E1097=E$1:E1096)))))</f>
        <v/>
      </c>
      <c r="L1097" s="25"/>
    </row>
    <row r="1098" spans="1:12" x14ac:dyDescent="0.3">
      <c r="A1098" t="s">
        <v>338</v>
      </c>
      <c r="E1098" s="20" t="str">
        <f t="shared" si="118"/>
        <v/>
      </c>
      <c r="F1098" s="21" t="str">
        <f>IF(OR(E1098="",E1098="!!!"),"",IF(NOT(ISNA(VLOOKUP(E1098,E$1:E1097,1,FALSE()))),"OLD",IF(AND(E1098&lt;&gt;"",E1098&lt;&gt;"!!!"),"NEW","")))</f>
        <v/>
      </c>
      <c r="G1098" s="22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3" t="str">
        <f t="shared" ca="1" si="119"/>
        <v/>
      </c>
      <c r="I1098" s="24" t="str">
        <f>IF(OR(E1098="",E1098="!!!",F1098="NEW"),"",INDEX(B$2:B1097,-1+SUMPRODUCT(MAX(ROW(E$2:E1097)*(E1098=E$2:E1097)))))</f>
        <v/>
      </c>
      <c r="J1098" s="24" t="str">
        <f ca="1">IF(OR(E1098="",E1098="!!!",F1098="NEW"),"",COUNTBLANK(OFFSET(A$1,,,SUMPRODUCT(MAX(ROW(E$2:E1098)*(E1098=E$2:E1098)))))-COUNTBLANK(OFFSET(A$1,,,SUMPRODUCT(MAX(ROW(E$1:E1097)*(E2=E$1:E1097))))))</f>
        <v/>
      </c>
      <c r="K1098" s="24" t="str">
        <f>IF(OR(E1098="",E1098="!!!",F1098="NEW"),"",INDEX(J$1:J1097,SUMPRODUCT(MAX(ROW(E$1:E1097)*(E1098=E$1:E1097)))))</f>
        <v/>
      </c>
      <c r="L1098" s="25"/>
    </row>
    <row r="1100" spans="1:12" x14ac:dyDescent="0.3">
      <c r="A1100" t="s">
        <v>856</v>
      </c>
    </row>
    <row r="1101" spans="1:12" x14ac:dyDescent="0.3">
      <c r="A1101" t="s">
        <v>530</v>
      </c>
      <c r="E1101" s="20" t="str">
        <f t="shared" ref="E1101:E1114" si="120">IF(D1101="?OLD","!!!","")</f>
        <v/>
      </c>
      <c r="F1101" s="21" t="str">
        <f>IF(OR(E1101="",E1101="!!!"),"",IF(NOT(ISNA(VLOOKUP(E1101,E$1:E1100,1,FALSE()))),"OLD",IF(AND(E1101&lt;&gt;"",E1101&lt;&gt;"!!!"),"NEW","")))</f>
        <v/>
      </c>
      <c r="G1101" s="22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3" t="str">
        <f t="shared" ref="H1101:H1114" ca="1" si="121">IF(J1101&lt;&gt;1,"",IF(I1101="SBJ","CB","?"))</f>
        <v/>
      </c>
      <c r="I1101" s="24" t="str">
        <f>IF(OR(E1101="",E1101="!!!",F1101="NEW"),"",INDEX(B$2:B1100,-1+SUMPRODUCT(MAX(ROW(E$2:E1100)*(E1101=E$2:E1100)))))</f>
        <v/>
      </c>
      <c r="J1101" s="24" t="str">
        <f ca="1">IF(OR(E1101="",E1101="!!!",F1101="NEW"),"",COUNTBLANK(OFFSET(A$1,,,SUMPRODUCT(MAX(ROW(E$2:E1101)*(E1101=E$2:E1101)))))-COUNTBLANK(OFFSET(A$1,,,SUMPRODUCT(MAX(ROW(E$1:E1100)*(E2=E$1:E1100))))))</f>
        <v/>
      </c>
      <c r="K1101" s="24" t="str">
        <f>IF(OR(E1101="",E1101="!!!",F1101="NEW"),"",INDEX(J$1:J1100,SUMPRODUCT(MAX(ROW(E$1:E1100)*(E1101=E$1:E1100)))))</f>
        <v/>
      </c>
      <c r="L1101" s="25"/>
    </row>
    <row r="1102" spans="1:12" x14ac:dyDescent="0.3">
      <c r="A1102" t="s">
        <v>371</v>
      </c>
      <c r="B1102" s="26" t="s">
        <v>330</v>
      </c>
      <c r="C1102" s="26" t="s">
        <v>341</v>
      </c>
      <c r="D1102" s="26" t="s">
        <v>332</v>
      </c>
      <c r="E1102" s="20" t="str">
        <f t="shared" si="120"/>
        <v>!!!</v>
      </c>
      <c r="F1102" s="21" t="str">
        <f>IF(OR(E1102="",E1102="!!!"),"",IF(NOT(ISNA(VLOOKUP(E1102,E$1:E1101,1,FALSE()))),"OLD",IF(AND(E1102&lt;&gt;"",E1102&lt;&gt;"!!!"),"NEW","")))</f>
        <v/>
      </c>
      <c r="G1102" s="22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3" t="str">
        <f t="shared" ca="1" si="121"/>
        <v/>
      </c>
      <c r="I1102" s="24" t="str">
        <f>IF(OR(E1102="",E1102="!!!",F1102="NEW"),"",INDEX(B$2:B1101,-1+SUMPRODUCT(MAX(ROW(E$2:E1101)*(E1102=E$2:E1101)))))</f>
        <v/>
      </c>
      <c r="J1102" s="24" t="str">
        <f ca="1">IF(OR(E1102="",E1102="!!!",F1102="NEW"),"",COUNTBLANK(OFFSET(A$1,,,SUMPRODUCT(MAX(ROW(E$2:E1102)*(E1102=E$2:E1102)))))-COUNTBLANK(OFFSET(A$1,,,SUMPRODUCT(MAX(ROW(E$1:E1101)*(E2=E$1:E1101))))))</f>
        <v/>
      </c>
      <c r="K1102" s="24" t="str">
        <f>IF(OR(E1102="",E1102="!!!",F1102="NEW"),"",INDEX(J$1:J1101,SUMPRODUCT(MAX(ROW(E$1:E1101)*(E1102=E$1:E1101)))))</f>
        <v/>
      </c>
      <c r="L1102" s="25"/>
    </row>
    <row r="1103" spans="1:12" x14ac:dyDescent="0.3">
      <c r="A1103" t="s">
        <v>857</v>
      </c>
      <c r="E1103" s="20" t="str">
        <f t="shared" si="120"/>
        <v/>
      </c>
      <c r="F1103" s="21" t="str">
        <f>IF(OR(E1103="",E1103="!!!"),"",IF(NOT(ISNA(VLOOKUP(E1103,E$1:E1102,1,FALSE()))),"OLD",IF(AND(E1103&lt;&gt;"",E1103&lt;&gt;"!!!"),"NEW","")))</f>
        <v/>
      </c>
      <c r="G1103" s="22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3" t="str">
        <f t="shared" ca="1" si="121"/>
        <v/>
      </c>
      <c r="I1103" s="24" t="str">
        <f>IF(OR(E1103="",E1103="!!!",F1103="NEW"),"",INDEX(B$2:B1102,-1+SUMPRODUCT(MAX(ROW(E$2:E1102)*(E1103=E$2:E1102)))))</f>
        <v/>
      </c>
      <c r="J1103" s="24" t="str">
        <f ca="1">IF(OR(E1103="",E1103="!!!",F1103="NEW"),"",COUNTBLANK(OFFSET(A$1,,,SUMPRODUCT(MAX(ROW(E$2:E1103)*(E1103=E$2:E1103)))))-COUNTBLANK(OFFSET(A$1,,,SUMPRODUCT(MAX(ROW(E$1:E1102)*(E2=E$1:E1102))))))</f>
        <v/>
      </c>
      <c r="K1103" s="24" t="str">
        <f>IF(OR(E1103="",E1103="!!!",F1103="NEW"),"",INDEX(J$1:J1102,SUMPRODUCT(MAX(ROW(E$1:E1102)*(E1103=E$1:E1102)))))</f>
        <v/>
      </c>
      <c r="L1103" s="25"/>
    </row>
    <row r="1104" spans="1:12" x14ac:dyDescent="0.3">
      <c r="A1104" t="s">
        <v>858</v>
      </c>
      <c r="E1104" s="20" t="str">
        <f t="shared" si="120"/>
        <v/>
      </c>
      <c r="F1104" s="21" t="str">
        <f>IF(OR(E1104="",E1104="!!!"),"",IF(NOT(ISNA(VLOOKUP(E1104,E$1:E1103,1,FALSE()))),"OLD",IF(AND(E1104&lt;&gt;"",E1104&lt;&gt;"!!!"),"NEW","")))</f>
        <v/>
      </c>
      <c r="G1104" s="22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3" t="str">
        <f t="shared" ca="1" si="121"/>
        <v/>
      </c>
      <c r="I1104" s="24" t="str">
        <f>IF(OR(E1104="",E1104="!!!",F1104="NEW"),"",INDEX(B$2:B1103,-1+SUMPRODUCT(MAX(ROW(E$2:E1103)*(E1104=E$2:E1103)))))</f>
        <v/>
      </c>
      <c r="J1104" s="24" t="str">
        <f ca="1">IF(OR(E1104="",E1104="!!!",F1104="NEW"),"",COUNTBLANK(OFFSET(A$1,,,SUMPRODUCT(MAX(ROW(E$2:E1104)*(E1104=E$2:E1104)))))-COUNTBLANK(OFFSET(A$1,,,SUMPRODUCT(MAX(ROW(E$1:E1103)*(E2=E$1:E1103))))))</f>
        <v/>
      </c>
      <c r="K1104" s="24" t="str">
        <f>IF(OR(E1104="",E1104="!!!",F1104="NEW"),"",INDEX(J$1:J1103,SUMPRODUCT(MAX(ROW(E$1:E1103)*(E1104=E$1:E1103)))))</f>
        <v/>
      </c>
      <c r="L1104" s="25"/>
    </row>
    <row r="1105" spans="1:12" x14ac:dyDescent="0.3">
      <c r="A1105" t="s">
        <v>351</v>
      </c>
      <c r="E1105" s="20" t="str">
        <f t="shared" si="120"/>
        <v/>
      </c>
      <c r="F1105" s="21" t="str">
        <f>IF(OR(E1105="",E1105="!!!"),"",IF(NOT(ISNA(VLOOKUP(E1105,E$1:E1104,1,FALSE()))),"OLD",IF(AND(E1105&lt;&gt;"",E1105&lt;&gt;"!!!"),"NEW","")))</f>
        <v/>
      </c>
      <c r="G1105" s="22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3" t="str">
        <f t="shared" ca="1" si="121"/>
        <v/>
      </c>
      <c r="I1105" s="24" t="str">
        <f>IF(OR(E1105="",E1105="!!!",F1105="NEW"),"",INDEX(B$2:B1104,-1+SUMPRODUCT(MAX(ROW(E$2:E1104)*(E1105=E$2:E1104)))))</f>
        <v/>
      </c>
      <c r="J1105" s="24" t="str">
        <f ca="1">IF(OR(E1105="",E1105="!!!",F1105="NEW"),"",COUNTBLANK(OFFSET(A$1,,,SUMPRODUCT(MAX(ROW(E$2:E1105)*(E1105=E$2:E1105)))))-COUNTBLANK(OFFSET(A$1,,,SUMPRODUCT(MAX(ROW(E$1:E1104)*(E2=E$1:E1104))))))</f>
        <v/>
      </c>
      <c r="K1105" s="24" t="str">
        <f>IF(OR(E1105="",E1105="!!!",F1105="NEW"),"",INDEX(J$1:J1104,SUMPRODUCT(MAX(ROW(E$1:E1104)*(E1105=E$1:E1104)))))</f>
        <v/>
      </c>
      <c r="L1105" s="25"/>
    </row>
    <row r="1106" spans="1:12" x14ac:dyDescent="0.3">
      <c r="A1106" t="s">
        <v>352</v>
      </c>
      <c r="E1106" s="20" t="str">
        <f t="shared" si="120"/>
        <v/>
      </c>
      <c r="F1106" s="21" t="str">
        <f>IF(OR(E1106="",E1106="!!!"),"",IF(NOT(ISNA(VLOOKUP(E1106,E$1:E1105,1,FALSE()))),"OLD",IF(AND(E1106&lt;&gt;"",E1106&lt;&gt;"!!!"),"NEW","")))</f>
        <v/>
      </c>
      <c r="G1106" s="22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3" t="str">
        <f t="shared" ca="1" si="121"/>
        <v/>
      </c>
      <c r="I1106" s="24" t="str">
        <f>IF(OR(E1106="",E1106="!!!",F1106="NEW"),"",INDEX(B$2:B1105,-1+SUMPRODUCT(MAX(ROW(E$2:E1105)*(E1106=E$2:E1105)))))</f>
        <v/>
      </c>
      <c r="J1106" s="24" t="str">
        <f ca="1">IF(OR(E1106="",E1106="!!!",F1106="NEW"),"",COUNTBLANK(OFFSET(A$1,,,SUMPRODUCT(MAX(ROW(E$2:E1106)*(E1106=E$2:E1106)))))-COUNTBLANK(OFFSET(A$1,,,SUMPRODUCT(MAX(ROW(E$1:E1105)*(E2=E$1:E1105))))))</f>
        <v/>
      </c>
      <c r="K1106" s="24" t="str">
        <f>IF(OR(E1106="",E1106="!!!",F1106="NEW"),"",INDEX(J$1:J1105,SUMPRODUCT(MAX(ROW(E$1:E1105)*(E1106=E$1:E1105)))))</f>
        <v/>
      </c>
      <c r="L1106" s="25"/>
    </row>
    <row r="1107" spans="1:12" x14ac:dyDescent="0.3">
      <c r="A1107" t="s">
        <v>859</v>
      </c>
      <c r="E1107" s="20" t="str">
        <f t="shared" si="120"/>
        <v/>
      </c>
      <c r="F1107" s="21" t="str">
        <f>IF(OR(E1107="",E1107="!!!"),"",IF(NOT(ISNA(VLOOKUP(E1107,E$1:E1106,1,FALSE()))),"OLD",IF(AND(E1107&lt;&gt;"",E1107&lt;&gt;"!!!"),"NEW","")))</f>
        <v/>
      </c>
      <c r="G1107" s="22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3" t="str">
        <f t="shared" ca="1" si="121"/>
        <v/>
      </c>
      <c r="I1107" s="24" t="str">
        <f>IF(OR(E1107="",E1107="!!!",F1107="NEW"),"",INDEX(B$2:B1106,-1+SUMPRODUCT(MAX(ROW(E$2:E1106)*(E1107=E$2:E1106)))))</f>
        <v/>
      </c>
      <c r="J1107" s="24" t="str">
        <f ca="1">IF(OR(E1107="",E1107="!!!",F1107="NEW"),"",COUNTBLANK(OFFSET(A$1,,,SUMPRODUCT(MAX(ROW(E$2:E1107)*(E1107=E$2:E1107)))))-COUNTBLANK(OFFSET(A$1,,,SUMPRODUCT(MAX(ROW(E$1:E1106)*(E2=E$1:E1106))))))</f>
        <v/>
      </c>
      <c r="K1107" s="24" t="str">
        <f>IF(OR(E1107="",E1107="!!!",F1107="NEW"),"",INDEX(J$1:J1106,SUMPRODUCT(MAX(ROW(E$1:E1106)*(E1107=E$1:E1106)))))</f>
        <v/>
      </c>
      <c r="L1107" s="25"/>
    </row>
    <row r="1108" spans="1:12" x14ac:dyDescent="0.3">
      <c r="A1108" t="s">
        <v>860</v>
      </c>
      <c r="B1108" s="26" t="s">
        <v>354</v>
      </c>
      <c r="C1108" s="26" t="s">
        <v>355</v>
      </c>
      <c r="E1108" s="20" t="str">
        <f t="shared" si="120"/>
        <v/>
      </c>
      <c r="F1108" s="21" t="str">
        <f>IF(OR(E1108="",E1108="!!!"),"",IF(NOT(ISNA(VLOOKUP(E1108,E$1:E1107,1,FALSE()))),"OLD",IF(AND(E1108&lt;&gt;"",E1108&lt;&gt;"!!!"),"NEW","")))</f>
        <v/>
      </c>
      <c r="G1108" s="22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3" t="str">
        <f t="shared" ca="1" si="121"/>
        <v/>
      </c>
      <c r="I1108" s="24" t="str">
        <f>IF(OR(E1108="",E1108="!!!",F1108="NEW"),"",INDEX(B$2:B1107,-1+SUMPRODUCT(MAX(ROW(E$2:E1107)*(E1108=E$2:E1107)))))</f>
        <v/>
      </c>
      <c r="J1108" s="24" t="str">
        <f ca="1">IF(OR(E1108="",E1108="!!!",F1108="NEW"),"",COUNTBLANK(OFFSET(A$1,,,SUMPRODUCT(MAX(ROW(E$2:E1108)*(E1108=E$2:E1108)))))-COUNTBLANK(OFFSET(A$1,,,SUMPRODUCT(MAX(ROW(E$1:E1107)*(E2=E$1:E1107))))))</f>
        <v/>
      </c>
      <c r="K1108" s="24" t="str">
        <f>IF(OR(E1108="",E1108="!!!",F1108="NEW"),"",INDEX(J$1:J1107,SUMPRODUCT(MAX(ROW(E$1:E1107)*(E1108=E$1:E1107)))))</f>
        <v/>
      </c>
      <c r="L1108" s="25"/>
    </row>
    <row r="1109" spans="1:12" x14ac:dyDescent="0.3">
      <c r="A1109" t="s">
        <v>801</v>
      </c>
      <c r="E1109" s="20" t="str">
        <f t="shared" si="120"/>
        <v/>
      </c>
      <c r="F1109" s="21" t="str">
        <f>IF(OR(E1109="",E1109="!!!"),"",IF(NOT(ISNA(VLOOKUP(E1109,E$1:E1108,1,FALSE()))),"OLD",IF(AND(E1109&lt;&gt;"",E1109&lt;&gt;"!!!"),"NEW","")))</f>
        <v/>
      </c>
      <c r="G1109" s="22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3" t="str">
        <f t="shared" ca="1" si="121"/>
        <v/>
      </c>
      <c r="I1109" s="24" t="str">
        <f>IF(OR(E1109="",E1109="!!!",F1109="NEW"),"",INDEX(B$2:B1108,-1+SUMPRODUCT(MAX(ROW(E$2:E1108)*(E1109=E$2:E1108)))))</f>
        <v/>
      </c>
      <c r="J1109" s="24" t="str">
        <f ca="1">IF(OR(E1109="",E1109="!!!",F1109="NEW"),"",COUNTBLANK(OFFSET(A$1,,,SUMPRODUCT(MAX(ROW(E$2:E1109)*(E1109=E$2:E1109)))))-COUNTBLANK(OFFSET(A$1,,,SUMPRODUCT(MAX(ROW(E$1:E1108)*(E2=E$1:E1108))))))</f>
        <v/>
      </c>
      <c r="K1109" s="24" t="str">
        <f>IF(OR(E1109="",E1109="!!!",F1109="NEW"),"",INDEX(J$1:J1108,SUMPRODUCT(MAX(ROW(E$1:E1108)*(E1109=E$1:E1108)))))</f>
        <v/>
      </c>
      <c r="L1109" s="25"/>
    </row>
    <row r="1110" spans="1:12" x14ac:dyDescent="0.3">
      <c r="A1110" t="s">
        <v>861</v>
      </c>
      <c r="E1110" s="20" t="str">
        <f t="shared" si="120"/>
        <v/>
      </c>
      <c r="F1110" s="21" t="str">
        <f>IF(OR(E1110="",E1110="!!!"),"",IF(NOT(ISNA(VLOOKUP(E1110,E$1:E1109,1,FALSE()))),"OLD",IF(AND(E1110&lt;&gt;"",E1110&lt;&gt;"!!!"),"NEW","")))</f>
        <v/>
      </c>
      <c r="G1110" s="22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3" t="str">
        <f t="shared" ca="1" si="121"/>
        <v/>
      </c>
      <c r="I1110" s="24" t="str">
        <f>IF(OR(E1110="",E1110="!!!",F1110="NEW"),"",INDEX(B$2:B1109,-1+SUMPRODUCT(MAX(ROW(E$2:E1109)*(E1110=E$2:E1109)))))</f>
        <v/>
      </c>
      <c r="J1110" s="24" t="str">
        <f ca="1">IF(OR(E1110="",E1110="!!!",F1110="NEW"),"",COUNTBLANK(OFFSET(A$1,,,SUMPRODUCT(MAX(ROW(E$2:E1110)*(E1110=E$2:E1110)))))-COUNTBLANK(OFFSET(A$1,,,SUMPRODUCT(MAX(ROW(E$1:E1109)*(E2=E$1:E1109))))))</f>
        <v/>
      </c>
      <c r="K1110" s="24" t="str">
        <f>IF(OR(E1110="",E1110="!!!",F1110="NEW"),"",INDEX(J$1:J1109,SUMPRODUCT(MAX(ROW(E$1:E1109)*(E1110=E$1:E1109)))))</f>
        <v/>
      </c>
      <c r="L1110" s="25"/>
    </row>
    <row r="1111" spans="1:12" x14ac:dyDescent="0.3">
      <c r="A1111" t="s">
        <v>403</v>
      </c>
      <c r="B1111" s="26" t="s">
        <v>362</v>
      </c>
      <c r="C1111" s="26" t="s">
        <v>355</v>
      </c>
      <c r="E1111" s="20" t="str">
        <f t="shared" si="120"/>
        <v/>
      </c>
      <c r="F1111" s="21" t="str">
        <f>IF(OR(E1111="",E1111="!!!"),"",IF(NOT(ISNA(VLOOKUP(E1111,E$1:E1110,1,FALSE()))),"OLD",IF(AND(E1111&lt;&gt;"",E1111&lt;&gt;"!!!"),"NEW","")))</f>
        <v/>
      </c>
      <c r="G1111" s="22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3" t="str">
        <f t="shared" ca="1" si="121"/>
        <v/>
      </c>
      <c r="I1111" s="24" t="str">
        <f>IF(OR(E1111="",E1111="!!!",F1111="NEW"),"",INDEX(B$2:B1110,-1+SUMPRODUCT(MAX(ROW(E$2:E1110)*(E1111=E$2:E1110)))))</f>
        <v/>
      </c>
      <c r="J1111" s="24" t="str">
        <f ca="1">IF(OR(E1111="",E1111="!!!",F1111="NEW"),"",COUNTBLANK(OFFSET(A$1,,,SUMPRODUCT(MAX(ROW(E$2:E1111)*(E1111=E$2:E1111)))))-COUNTBLANK(OFFSET(A$1,,,SUMPRODUCT(MAX(ROW(E$1:E1110)*(E2=E$1:E1110))))))</f>
        <v/>
      </c>
      <c r="K1111" s="24" t="str">
        <f>IF(OR(E1111="",E1111="!!!",F1111="NEW"),"",INDEX(J$1:J1110,SUMPRODUCT(MAX(ROW(E$1:E1110)*(E1111=E$1:E1110)))))</f>
        <v/>
      </c>
      <c r="L1111" s="25"/>
    </row>
    <row r="1112" spans="1:12" x14ac:dyDescent="0.3">
      <c r="A1112" t="s">
        <v>862</v>
      </c>
      <c r="E1112" s="20" t="str">
        <f t="shared" si="120"/>
        <v/>
      </c>
      <c r="F1112" s="21" t="str">
        <f>IF(OR(E1112="",E1112="!!!"),"",IF(NOT(ISNA(VLOOKUP(E1112,E$1:E1111,1,FALSE()))),"OLD",IF(AND(E1112&lt;&gt;"",E1112&lt;&gt;"!!!"),"NEW","")))</f>
        <v/>
      </c>
      <c r="G1112" s="22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3" t="str">
        <f t="shared" ca="1" si="121"/>
        <v/>
      </c>
      <c r="I1112" s="24" t="str">
        <f>IF(OR(E1112="",E1112="!!!",F1112="NEW"),"",INDEX(B$2:B1111,-1+SUMPRODUCT(MAX(ROW(E$2:E1111)*(E1112=E$2:E1111)))))</f>
        <v/>
      </c>
      <c r="J1112" s="24" t="str">
        <f ca="1">IF(OR(E1112="",E1112="!!!",F1112="NEW"),"",COUNTBLANK(OFFSET(A$1,,,SUMPRODUCT(MAX(ROW(E$2:E1112)*(E1112=E$2:E1112)))))-COUNTBLANK(OFFSET(A$1,,,SUMPRODUCT(MAX(ROW(E$1:E1111)*(E2=E$1:E1111))))))</f>
        <v/>
      </c>
      <c r="K1112" s="24" t="str">
        <f>IF(OR(E1112="",E1112="!!!",F1112="NEW"),"",INDEX(J$1:J1111,SUMPRODUCT(MAX(ROW(E$1:E1111)*(E1112=E$1:E1111)))))</f>
        <v/>
      </c>
      <c r="L1112" s="25"/>
    </row>
    <row r="1113" spans="1:12" x14ac:dyDescent="0.3">
      <c r="A1113" t="s">
        <v>333</v>
      </c>
      <c r="E1113" s="20" t="str">
        <f t="shared" si="120"/>
        <v/>
      </c>
      <c r="F1113" s="21" t="str">
        <f>IF(OR(E1113="",E1113="!!!"),"",IF(NOT(ISNA(VLOOKUP(E1113,E$1:E1112,1,FALSE()))),"OLD",IF(AND(E1113&lt;&gt;"",E1113&lt;&gt;"!!!"),"NEW","")))</f>
        <v/>
      </c>
      <c r="G1113" s="22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3" t="str">
        <f t="shared" ca="1" si="121"/>
        <v/>
      </c>
      <c r="I1113" s="24" t="str">
        <f>IF(OR(E1113="",E1113="!!!",F1113="NEW"),"",INDEX(B$2:B1112,-1+SUMPRODUCT(MAX(ROW(E$2:E1112)*(E1113=E$2:E1112)))))</f>
        <v/>
      </c>
      <c r="J1113" s="24" t="str">
        <f ca="1">IF(OR(E1113="",E1113="!!!",F1113="NEW"),"",COUNTBLANK(OFFSET(A$1,,,SUMPRODUCT(MAX(ROW(E$2:E1113)*(E1113=E$2:E1113)))))-COUNTBLANK(OFFSET(A$1,,,SUMPRODUCT(MAX(ROW(E$1:E1112)*(E2=E$1:E1112))))))</f>
        <v/>
      </c>
      <c r="K1113" s="24" t="str">
        <f>IF(OR(E1113="",E1113="!!!",F1113="NEW"),"",INDEX(J$1:J1112,SUMPRODUCT(MAX(ROW(E$1:E1112)*(E1113=E$1:E1112)))))</f>
        <v/>
      </c>
      <c r="L1113" s="25"/>
    </row>
    <row r="1114" spans="1:12" x14ac:dyDescent="0.3">
      <c r="A1114" t="s">
        <v>338</v>
      </c>
      <c r="E1114" s="20" t="str">
        <f t="shared" si="120"/>
        <v/>
      </c>
      <c r="F1114" s="21" t="str">
        <f>IF(OR(E1114="",E1114="!!!"),"",IF(NOT(ISNA(VLOOKUP(E1114,E$1:E1113,1,FALSE()))),"OLD",IF(AND(E1114&lt;&gt;"",E1114&lt;&gt;"!!!"),"NEW","")))</f>
        <v/>
      </c>
      <c r="G1114" s="22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3" t="str">
        <f t="shared" ca="1" si="121"/>
        <v/>
      </c>
      <c r="I1114" s="24" t="str">
        <f>IF(OR(E1114="",E1114="!!!",F1114="NEW"),"",INDEX(B$2:B1113,-1+SUMPRODUCT(MAX(ROW(E$2:E1113)*(E1114=E$2:E1113)))))</f>
        <v/>
      </c>
      <c r="J1114" s="24" t="str">
        <f ca="1">IF(OR(E1114="",E1114="!!!",F1114="NEW"),"",COUNTBLANK(OFFSET(A$1,,,SUMPRODUCT(MAX(ROW(E$2:E1114)*(E1114=E$2:E1114)))))-COUNTBLANK(OFFSET(A$1,,,SUMPRODUCT(MAX(ROW(E$1:E1113)*(E2=E$1:E1113))))))</f>
        <v/>
      </c>
      <c r="K1114" s="24" t="str">
        <f>IF(OR(E1114="",E1114="!!!",F1114="NEW"),"",INDEX(J$1:J1113,SUMPRODUCT(MAX(ROW(E$1:E1113)*(E1114=E$1:E1113)))))</f>
        <v/>
      </c>
      <c r="L1114" s="25"/>
    </row>
    <row r="1116" spans="1:12" x14ac:dyDescent="0.3">
      <c r="A1116" t="s">
        <v>863</v>
      </c>
    </row>
    <row r="1117" spans="1:12" x14ac:dyDescent="0.3">
      <c r="A1117" t="s">
        <v>628</v>
      </c>
      <c r="E1117" s="20" t="str">
        <f t="shared" ref="E1117:E1138" si="122">IF(D1117="?OLD","!!!","")</f>
        <v/>
      </c>
      <c r="F1117" s="21" t="str">
        <f>IF(OR(E1117="",E1117="!!!"),"",IF(NOT(ISNA(VLOOKUP(E1117,E$1:E1116,1,FALSE()))),"OLD",IF(AND(E1117&lt;&gt;"",E1117&lt;&gt;"!!!"),"NEW","")))</f>
        <v/>
      </c>
      <c r="G1117" s="22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3" t="str">
        <f t="shared" ref="H1117:H1138" ca="1" si="123">IF(J1117&lt;&gt;1,"",IF(I1117="SBJ","CB","?"))</f>
        <v/>
      </c>
      <c r="I1117" s="24" t="str">
        <f>IF(OR(E1117="",E1117="!!!",F1117="NEW"),"",INDEX(B$2:B1116,-1+SUMPRODUCT(MAX(ROW(E$2:E1116)*(E1117=E$2:E1116)))))</f>
        <v/>
      </c>
      <c r="J1117" s="24" t="str">
        <f ca="1">IF(OR(E1117="",E1117="!!!",F1117="NEW"),"",COUNTBLANK(OFFSET(A$1,,,SUMPRODUCT(MAX(ROW(E$2:E1117)*(E1117=E$2:E1117)))))-COUNTBLANK(OFFSET(A$1,,,SUMPRODUCT(MAX(ROW(E$1:E1116)*(E2=E$1:E1116))))))</f>
        <v/>
      </c>
      <c r="K1117" s="24" t="str">
        <f>IF(OR(E1117="",E1117="!!!",F1117="NEW"),"",INDEX(J$1:J1116,SUMPRODUCT(MAX(ROW(E$1:E1116)*(E1117=E$1:E1116)))))</f>
        <v/>
      </c>
      <c r="L1117" s="25"/>
    </row>
    <row r="1118" spans="1:12" x14ac:dyDescent="0.3">
      <c r="A1118" t="s">
        <v>380</v>
      </c>
      <c r="E1118" s="20" t="str">
        <f t="shared" si="122"/>
        <v/>
      </c>
      <c r="F1118" s="21" t="str">
        <f>IF(OR(E1118="",E1118="!!!"),"",IF(NOT(ISNA(VLOOKUP(E1118,E$1:E1117,1,FALSE()))),"OLD",IF(AND(E1118&lt;&gt;"",E1118&lt;&gt;"!!!"),"NEW","")))</f>
        <v/>
      </c>
      <c r="G1118" s="22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3" t="str">
        <f t="shared" ca="1" si="123"/>
        <v/>
      </c>
      <c r="I1118" s="24" t="str">
        <f>IF(OR(E1118="",E1118="!!!",F1118="NEW"),"",INDEX(B$2:B1117,-1+SUMPRODUCT(MAX(ROW(E$2:E1117)*(E1118=E$2:E1117)))))</f>
        <v/>
      </c>
      <c r="J1118" s="24" t="str">
        <f ca="1">IF(OR(E1118="",E1118="!!!",F1118="NEW"),"",COUNTBLANK(OFFSET(A$1,,,SUMPRODUCT(MAX(ROW(E$2:E1118)*(E1118=E$2:E1118)))))-COUNTBLANK(OFFSET(A$1,,,SUMPRODUCT(MAX(ROW(E$1:E1117)*(E2=E$1:E1117))))))</f>
        <v/>
      </c>
      <c r="K1118" s="24" t="str">
        <f>IF(OR(E1118="",E1118="!!!",F1118="NEW"),"",INDEX(J$1:J1117,SUMPRODUCT(MAX(ROW(E$1:E1117)*(E1118=E$1:E1117)))))</f>
        <v/>
      </c>
      <c r="L1118" s="25"/>
    </row>
    <row r="1119" spans="1:12" x14ac:dyDescent="0.3">
      <c r="A1119" t="s">
        <v>864</v>
      </c>
      <c r="B1119" s="26" t="s">
        <v>431</v>
      </c>
      <c r="C1119" s="26" t="s">
        <v>331</v>
      </c>
      <c r="D1119" s="26" t="s">
        <v>332</v>
      </c>
      <c r="E1119" s="20" t="str">
        <f t="shared" si="122"/>
        <v>!!!</v>
      </c>
      <c r="F1119" s="21" t="str">
        <f>IF(OR(E1119="",E1119="!!!"),"",IF(NOT(ISNA(VLOOKUP(E1119,E$1:E1118,1,FALSE()))),"OLD",IF(AND(E1119&lt;&gt;"",E1119&lt;&gt;"!!!"),"NEW","")))</f>
        <v/>
      </c>
      <c r="G1119" s="22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3" t="str">
        <f t="shared" ca="1" si="123"/>
        <v/>
      </c>
      <c r="I1119" s="24" t="str">
        <f>IF(OR(E1119="",E1119="!!!",F1119="NEW"),"",INDEX(B$2:B1118,-1+SUMPRODUCT(MAX(ROW(E$2:E1118)*(E1119=E$2:E1118)))))</f>
        <v/>
      </c>
      <c r="J1119" s="24" t="str">
        <f ca="1">IF(OR(E1119="",E1119="!!!",F1119="NEW"),"",COUNTBLANK(OFFSET(A$1,,,SUMPRODUCT(MAX(ROW(E$2:E1119)*(E1119=E$2:E1119)))))-COUNTBLANK(OFFSET(A$1,,,SUMPRODUCT(MAX(ROW(E$1:E1118)*(E2=E$1:E1118))))))</f>
        <v/>
      </c>
      <c r="K1119" s="24" t="str">
        <f>IF(OR(E1119="",E1119="!!!",F1119="NEW"),"",INDEX(J$1:J1118,SUMPRODUCT(MAX(ROW(E$1:E1118)*(E1119=E$1:E1118)))))</f>
        <v/>
      </c>
      <c r="L1119" s="25"/>
    </row>
    <row r="1120" spans="1:12" x14ac:dyDescent="0.3">
      <c r="A1120" t="s">
        <v>865</v>
      </c>
      <c r="E1120" s="20" t="str">
        <f t="shared" si="122"/>
        <v/>
      </c>
      <c r="F1120" s="21" t="str">
        <f>IF(OR(E1120="",E1120="!!!"),"",IF(NOT(ISNA(VLOOKUP(E1120,E$1:E1119,1,FALSE()))),"OLD",IF(AND(E1120&lt;&gt;"",E1120&lt;&gt;"!!!"),"NEW","")))</f>
        <v/>
      </c>
      <c r="G1120" s="22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3" t="str">
        <f t="shared" ca="1" si="123"/>
        <v/>
      </c>
      <c r="I1120" s="24" t="str">
        <f>IF(OR(E1120="",E1120="!!!",F1120="NEW"),"",INDEX(B$2:B1119,-1+SUMPRODUCT(MAX(ROW(E$2:E1119)*(E1120=E$2:E1119)))))</f>
        <v/>
      </c>
      <c r="J1120" s="24" t="str">
        <f ca="1">IF(OR(E1120="",E1120="!!!",F1120="NEW"),"",COUNTBLANK(OFFSET(A$1,,,SUMPRODUCT(MAX(ROW(E$2:E1120)*(E1120=E$2:E1120)))))-COUNTBLANK(OFFSET(A$1,,,SUMPRODUCT(MAX(ROW(E$1:E1119)*(E2=E$1:E1119))))))</f>
        <v/>
      </c>
      <c r="K1120" s="24" t="str">
        <f>IF(OR(E1120="",E1120="!!!",F1120="NEW"),"",INDEX(J$1:J1119,SUMPRODUCT(MAX(ROW(E$1:E1119)*(E1120=E$1:E1119)))))</f>
        <v/>
      </c>
      <c r="L1120" s="25"/>
    </row>
    <row r="1121" spans="1:12" x14ac:dyDescent="0.3">
      <c r="A1121" t="s">
        <v>667</v>
      </c>
      <c r="E1121" s="20" t="str">
        <f t="shared" si="122"/>
        <v/>
      </c>
      <c r="F1121" s="21" t="str">
        <f>IF(OR(E1121="",E1121="!!!"),"",IF(NOT(ISNA(VLOOKUP(E1121,E$1:E1120,1,FALSE()))),"OLD",IF(AND(E1121&lt;&gt;"",E1121&lt;&gt;"!!!"),"NEW","")))</f>
        <v/>
      </c>
      <c r="G1121" s="22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3" t="str">
        <f t="shared" ca="1" si="123"/>
        <v/>
      </c>
      <c r="I1121" s="24" t="str">
        <f>IF(OR(E1121="",E1121="!!!",F1121="NEW"),"",INDEX(B$2:B1120,-1+SUMPRODUCT(MAX(ROW(E$2:E1120)*(E1121=E$2:E1120)))))</f>
        <v/>
      </c>
      <c r="J1121" s="24" t="str">
        <f ca="1">IF(OR(E1121="",E1121="!!!",F1121="NEW"),"",COUNTBLANK(OFFSET(A$1,,,SUMPRODUCT(MAX(ROW(E$2:E1121)*(E1121=E$2:E1121)))))-COUNTBLANK(OFFSET(A$1,,,SUMPRODUCT(MAX(ROW(E$1:E1120)*(E2=E$1:E1120))))))</f>
        <v/>
      </c>
      <c r="K1121" s="24" t="str">
        <f>IF(OR(E1121="",E1121="!!!",F1121="NEW"),"",INDEX(J$1:J1120,SUMPRODUCT(MAX(ROW(E$1:E1120)*(E1121=E$1:E1120)))))</f>
        <v/>
      </c>
      <c r="L1121" s="25"/>
    </row>
    <row r="1122" spans="1:12" x14ac:dyDescent="0.3">
      <c r="A1122" t="s">
        <v>433</v>
      </c>
      <c r="E1122" s="20" t="str">
        <f t="shared" si="122"/>
        <v/>
      </c>
      <c r="F1122" s="21" t="str">
        <f>IF(OR(E1122="",E1122="!!!"),"",IF(NOT(ISNA(VLOOKUP(E1122,E$1:E1121,1,FALSE()))),"OLD",IF(AND(E1122&lt;&gt;"",E1122&lt;&gt;"!!!"),"NEW","")))</f>
        <v/>
      </c>
      <c r="G1122" s="22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3" t="str">
        <f t="shared" ca="1" si="123"/>
        <v/>
      </c>
      <c r="I1122" s="24" t="str">
        <f>IF(OR(E1122="",E1122="!!!",F1122="NEW"),"",INDEX(B$2:B1121,-1+SUMPRODUCT(MAX(ROW(E$2:E1121)*(E1122=E$2:E1121)))))</f>
        <v/>
      </c>
      <c r="J1122" s="24" t="str">
        <f ca="1">IF(OR(E1122="",E1122="!!!",F1122="NEW"),"",COUNTBLANK(OFFSET(A$1,,,SUMPRODUCT(MAX(ROW(E$2:E1122)*(E1122=E$2:E1122)))))-COUNTBLANK(OFFSET(A$1,,,SUMPRODUCT(MAX(ROW(E$1:E1121)*(E2=E$1:E1121))))))</f>
        <v/>
      </c>
      <c r="K1122" s="24" t="str">
        <f>IF(OR(E1122="",E1122="!!!",F1122="NEW"),"",INDEX(J$1:J1121,SUMPRODUCT(MAX(ROW(E$1:E1121)*(E1122=E$1:E1121)))))</f>
        <v/>
      </c>
      <c r="L1122" s="25"/>
    </row>
    <row r="1123" spans="1:12" x14ac:dyDescent="0.3">
      <c r="A1123" t="s">
        <v>407</v>
      </c>
      <c r="E1123" s="20" t="str">
        <f t="shared" si="122"/>
        <v/>
      </c>
      <c r="F1123" s="21" t="str">
        <f>IF(OR(E1123="",E1123="!!!"),"",IF(NOT(ISNA(VLOOKUP(E1123,E$1:E1122,1,FALSE()))),"OLD",IF(AND(E1123&lt;&gt;"",E1123&lt;&gt;"!!!"),"NEW","")))</f>
        <v/>
      </c>
      <c r="G1123" s="22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3" t="str">
        <f t="shared" ca="1" si="123"/>
        <v/>
      </c>
      <c r="I1123" s="24" t="str">
        <f>IF(OR(E1123="",E1123="!!!",F1123="NEW"),"",INDEX(B$2:B1122,-1+SUMPRODUCT(MAX(ROW(E$2:E1122)*(E1123=E$2:E1122)))))</f>
        <v/>
      </c>
      <c r="J1123" s="24" t="str">
        <f ca="1">IF(OR(E1123="",E1123="!!!",F1123="NEW"),"",COUNTBLANK(OFFSET(A$1,,,SUMPRODUCT(MAX(ROW(E$2:E1123)*(E1123=E$2:E1123)))))-COUNTBLANK(OFFSET(A$1,,,SUMPRODUCT(MAX(ROW(E$1:E1122)*(E2=E$1:E1122))))))</f>
        <v/>
      </c>
      <c r="K1123" s="24" t="str">
        <f>IF(OR(E1123="",E1123="!!!",F1123="NEW"),"",INDEX(J$1:J1122,SUMPRODUCT(MAX(ROW(E$1:E1122)*(E1123=E$1:E1122)))))</f>
        <v/>
      </c>
      <c r="L1123" s="25"/>
    </row>
    <row r="1124" spans="1:12" x14ac:dyDescent="0.3">
      <c r="A1124" t="s">
        <v>351</v>
      </c>
      <c r="E1124" s="20" t="str">
        <f t="shared" si="122"/>
        <v/>
      </c>
      <c r="F1124" s="21" t="str">
        <f>IF(OR(E1124="",E1124="!!!"),"",IF(NOT(ISNA(VLOOKUP(E1124,E$1:E1123,1,FALSE()))),"OLD",IF(AND(E1124&lt;&gt;"",E1124&lt;&gt;"!!!"),"NEW","")))</f>
        <v/>
      </c>
      <c r="G1124" s="22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3" t="str">
        <f t="shared" ca="1" si="123"/>
        <v/>
      </c>
      <c r="I1124" s="24" t="str">
        <f>IF(OR(E1124="",E1124="!!!",F1124="NEW"),"",INDEX(B$2:B1123,-1+SUMPRODUCT(MAX(ROW(E$2:E1123)*(E1124=E$2:E1123)))))</f>
        <v/>
      </c>
      <c r="J1124" s="24" t="str">
        <f ca="1">IF(OR(E1124="",E1124="!!!",F1124="NEW"),"",COUNTBLANK(OFFSET(A$1,,,SUMPRODUCT(MAX(ROW(E$2:E1124)*(E1124=E$2:E1124)))))-COUNTBLANK(OFFSET(A$1,,,SUMPRODUCT(MAX(ROW(E$1:E1123)*(E2=E$1:E1123))))))</f>
        <v/>
      </c>
      <c r="K1124" s="24" t="str">
        <f>IF(OR(E1124="",E1124="!!!",F1124="NEW"),"",INDEX(J$1:J1123,SUMPRODUCT(MAX(ROW(E$1:E1123)*(E1124=E$1:E1123)))))</f>
        <v/>
      </c>
      <c r="L1124" s="25"/>
    </row>
    <row r="1125" spans="1:12" x14ac:dyDescent="0.3">
      <c r="A1125" t="s">
        <v>385</v>
      </c>
      <c r="E1125" s="20" t="str">
        <f t="shared" si="122"/>
        <v/>
      </c>
      <c r="F1125" s="21" t="str">
        <f>IF(OR(E1125="",E1125="!!!"),"",IF(NOT(ISNA(VLOOKUP(E1125,E$1:E1124,1,FALSE()))),"OLD",IF(AND(E1125&lt;&gt;"",E1125&lt;&gt;"!!!"),"NEW","")))</f>
        <v/>
      </c>
      <c r="G1125" s="22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3" t="str">
        <f t="shared" ca="1" si="123"/>
        <v/>
      </c>
      <c r="I1125" s="24" t="str">
        <f>IF(OR(E1125="",E1125="!!!",F1125="NEW"),"",INDEX(B$2:B1124,-1+SUMPRODUCT(MAX(ROW(E$2:E1124)*(E1125=E$2:E1124)))))</f>
        <v/>
      </c>
      <c r="J1125" s="24" t="str">
        <f ca="1">IF(OR(E1125="",E1125="!!!",F1125="NEW"),"",COUNTBLANK(OFFSET(A$1,,,SUMPRODUCT(MAX(ROW(E$2:E1125)*(E1125=E$2:E1125)))))-COUNTBLANK(OFFSET(A$1,,,SUMPRODUCT(MAX(ROW(E$1:E1124)*(E2=E$1:E1124))))))</f>
        <v/>
      </c>
      <c r="K1125" s="24" t="str">
        <f>IF(OR(E1125="",E1125="!!!",F1125="NEW"),"",INDEX(J$1:J1124,SUMPRODUCT(MAX(ROW(E$1:E1124)*(E1125=E$1:E1124)))))</f>
        <v/>
      </c>
      <c r="L1125" s="25"/>
    </row>
    <row r="1126" spans="1:12" x14ac:dyDescent="0.3">
      <c r="A1126" t="s">
        <v>371</v>
      </c>
      <c r="B1126" s="26" t="s">
        <v>450</v>
      </c>
      <c r="C1126" s="26" t="s">
        <v>341</v>
      </c>
      <c r="D1126" s="26" t="s">
        <v>332</v>
      </c>
      <c r="E1126" s="20" t="str">
        <f t="shared" si="122"/>
        <v>!!!</v>
      </c>
      <c r="F1126" s="21" t="str">
        <f>IF(OR(E1126="",E1126="!!!"),"",IF(NOT(ISNA(VLOOKUP(E1126,E$1:E1125,1,FALSE()))),"OLD",IF(AND(E1126&lt;&gt;"",E1126&lt;&gt;"!!!"),"NEW","")))</f>
        <v/>
      </c>
      <c r="G1126" s="22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3" t="str">
        <f t="shared" ca="1" si="123"/>
        <v/>
      </c>
      <c r="I1126" s="24" t="str">
        <f>IF(OR(E1126="",E1126="!!!",F1126="NEW"),"",INDEX(B$2:B1125,-1+SUMPRODUCT(MAX(ROW(E$2:E1125)*(E1126=E$2:E1125)))))</f>
        <v/>
      </c>
      <c r="J1126" s="24" t="str">
        <f ca="1">IF(OR(E1126="",E1126="!!!",F1126="NEW"),"",COUNTBLANK(OFFSET(A$1,,,SUMPRODUCT(MAX(ROW(E$2:E1126)*(E1126=E$2:E1126)))))-COUNTBLANK(OFFSET(A$1,,,SUMPRODUCT(MAX(ROW(E$1:E1125)*(E2=E$1:E1125))))))</f>
        <v/>
      </c>
      <c r="K1126" s="24" t="str">
        <f>IF(OR(E1126="",E1126="!!!",F1126="NEW"),"",INDEX(J$1:J1125,SUMPRODUCT(MAX(ROW(E$1:E1125)*(E1126=E$1:E1125)))))</f>
        <v/>
      </c>
      <c r="L1126" s="25"/>
    </row>
    <row r="1127" spans="1:12" x14ac:dyDescent="0.3">
      <c r="A1127" t="s">
        <v>791</v>
      </c>
      <c r="E1127" s="20" t="str">
        <f t="shared" si="122"/>
        <v/>
      </c>
      <c r="F1127" s="21" t="str">
        <f>IF(OR(E1127="",E1127="!!!"),"",IF(NOT(ISNA(VLOOKUP(E1127,E$1:E1126,1,FALSE()))),"OLD",IF(AND(E1127&lt;&gt;"",E1127&lt;&gt;"!!!"),"NEW","")))</f>
        <v/>
      </c>
      <c r="G1127" s="22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3" t="str">
        <f t="shared" ca="1" si="123"/>
        <v/>
      </c>
      <c r="I1127" s="24" t="str">
        <f>IF(OR(E1127="",E1127="!!!",F1127="NEW"),"",INDEX(B$2:B1126,-1+SUMPRODUCT(MAX(ROW(E$2:E1126)*(E1127=E$2:E1126)))))</f>
        <v/>
      </c>
      <c r="J1127" s="24" t="str">
        <f ca="1">IF(OR(E1127="",E1127="!!!",F1127="NEW"),"",COUNTBLANK(OFFSET(A$1,,,SUMPRODUCT(MAX(ROW(E$2:E1127)*(E1127=E$2:E1127)))))-COUNTBLANK(OFFSET(A$1,,,SUMPRODUCT(MAX(ROW(E$1:E1126)*(E2=E$1:E1126))))))</f>
        <v/>
      </c>
      <c r="K1127" s="24" t="str">
        <f>IF(OR(E1127="",E1127="!!!",F1127="NEW"),"",INDEX(J$1:J1126,SUMPRODUCT(MAX(ROW(E$1:E1126)*(E1127=E$1:E1126)))))</f>
        <v/>
      </c>
      <c r="L1127" s="25"/>
    </row>
    <row r="1128" spans="1:12" x14ac:dyDescent="0.3">
      <c r="A1128" t="s">
        <v>477</v>
      </c>
      <c r="E1128" s="20" t="str">
        <f t="shared" si="122"/>
        <v/>
      </c>
      <c r="F1128" s="21" t="str">
        <f>IF(OR(E1128="",E1128="!!!"),"",IF(NOT(ISNA(VLOOKUP(E1128,E$1:E1127,1,FALSE()))),"OLD",IF(AND(E1128&lt;&gt;"",E1128&lt;&gt;"!!!"),"NEW","")))</f>
        <v/>
      </c>
      <c r="G1128" s="22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3" t="str">
        <f t="shared" ca="1" si="123"/>
        <v/>
      </c>
      <c r="I1128" s="24" t="str">
        <f>IF(OR(E1128="",E1128="!!!",F1128="NEW"),"",INDEX(B$2:B1127,-1+SUMPRODUCT(MAX(ROW(E$2:E1127)*(E1128=E$2:E1127)))))</f>
        <v/>
      </c>
      <c r="J1128" s="24" t="str">
        <f ca="1">IF(OR(E1128="",E1128="!!!",F1128="NEW"),"",COUNTBLANK(OFFSET(A$1,,,SUMPRODUCT(MAX(ROW(E$2:E1128)*(E1128=E$2:E1128)))))-COUNTBLANK(OFFSET(A$1,,,SUMPRODUCT(MAX(ROW(E$1:E1127)*(E2=E$1:E1127))))))</f>
        <v/>
      </c>
      <c r="K1128" s="24" t="str">
        <f>IF(OR(E1128="",E1128="!!!",F1128="NEW"),"",INDEX(J$1:J1127,SUMPRODUCT(MAX(ROW(E$1:E1127)*(E1128=E$1:E1127)))))</f>
        <v/>
      </c>
      <c r="L1128" s="25"/>
    </row>
    <row r="1129" spans="1:12" x14ac:dyDescent="0.3">
      <c r="A1129" t="s">
        <v>419</v>
      </c>
      <c r="E1129" s="20" t="str">
        <f t="shared" si="122"/>
        <v/>
      </c>
      <c r="F1129" s="21" t="str">
        <f>IF(OR(E1129="",E1129="!!!"),"",IF(NOT(ISNA(VLOOKUP(E1129,E$1:E1128,1,FALSE()))),"OLD",IF(AND(E1129&lt;&gt;"",E1129&lt;&gt;"!!!"),"NEW","")))</f>
        <v/>
      </c>
      <c r="G1129" s="22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3" t="str">
        <f t="shared" ca="1" si="123"/>
        <v/>
      </c>
      <c r="I1129" s="24" t="str">
        <f>IF(OR(E1129="",E1129="!!!",F1129="NEW"),"",INDEX(B$2:B1128,-1+SUMPRODUCT(MAX(ROW(E$2:E1128)*(E1129=E$2:E1128)))))</f>
        <v/>
      </c>
      <c r="J1129" s="24" t="str">
        <f ca="1">IF(OR(E1129="",E1129="!!!",F1129="NEW"),"",COUNTBLANK(OFFSET(A$1,,,SUMPRODUCT(MAX(ROW(E$2:E1129)*(E1129=E$2:E1129)))))-COUNTBLANK(OFFSET(A$1,,,SUMPRODUCT(MAX(ROW(E$1:E1128)*(E2=E$1:E1128))))))</f>
        <v/>
      </c>
      <c r="K1129" s="24" t="str">
        <f>IF(OR(E1129="",E1129="!!!",F1129="NEW"),"",INDEX(J$1:J1128,SUMPRODUCT(MAX(ROW(E$1:E1128)*(E1129=E$1:E1128)))))</f>
        <v/>
      </c>
      <c r="L1129" s="25"/>
    </row>
    <row r="1130" spans="1:12" x14ac:dyDescent="0.3">
      <c r="A1130" t="s">
        <v>618</v>
      </c>
      <c r="B1130" s="26" t="s">
        <v>515</v>
      </c>
      <c r="C1130" s="26" t="s">
        <v>331</v>
      </c>
      <c r="D1130" s="26" t="s">
        <v>332</v>
      </c>
      <c r="E1130" s="20" t="str">
        <f t="shared" si="122"/>
        <v>!!!</v>
      </c>
      <c r="F1130" s="21" t="str">
        <f>IF(OR(E1130="",E1130="!!!"),"",IF(NOT(ISNA(VLOOKUP(E1130,E$1:E1129,1,FALSE()))),"OLD",IF(AND(E1130&lt;&gt;"",E1130&lt;&gt;"!!!"),"NEW","")))</f>
        <v/>
      </c>
      <c r="G1130" s="22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3" t="str">
        <f t="shared" ca="1" si="123"/>
        <v/>
      </c>
      <c r="I1130" s="24" t="str">
        <f>IF(OR(E1130="",E1130="!!!",F1130="NEW"),"",INDEX(B$2:B1129,-1+SUMPRODUCT(MAX(ROW(E$2:E1129)*(E1130=E$2:E1129)))))</f>
        <v/>
      </c>
      <c r="J1130" s="24" t="str">
        <f ca="1">IF(OR(E1130="",E1130="!!!",F1130="NEW"),"",COUNTBLANK(OFFSET(A$1,,,SUMPRODUCT(MAX(ROW(E$2:E1130)*(E1130=E$2:E1130)))))-COUNTBLANK(OFFSET(A$1,,,SUMPRODUCT(MAX(ROW(E$1:E1129)*(E2=E$1:E1129))))))</f>
        <v/>
      </c>
      <c r="K1130" s="24" t="str">
        <f>IF(OR(E1130="",E1130="!!!",F1130="NEW"),"",INDEX(J$1:J1129,SUMPRODUCT(MAX(ROW(E$1:E1129)*(E1130=E$1:E1129)))))</f>
        <v/>
      </c>
      <c r="L1130" s="25"/>
    </row>
    <row r="1131" spans="1:12" x14ac:dyDescent="0.3">
      <c r="A1131" t="s">
        <v>333</v>
      </c>
      <c r="E1131" s="20" t="str">
        <f t="shared" si="122"/>
        <v/>
      </c>
      <c r="F1131" s="21" t="str">
        <f>IF(OR(E1131="",E1131="!!!"),"",IF(NOT(ISNA(VLOOKUP(E1131,E$1:E1130,1,FALSE()))),"OLD",IF(AND(E1131&lt;&gt;"",E1131&lt;&gt;"!!!"),"NEW","")))</f>
        <v/>
      </c>
      <c r="G1131" s="22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3" t="str">
        <f t="shared" ca="1" si="123"/>
        <v/>
      </c>
      <c r="I1131" s="24" t="str">
        <f>IF(OR(E1131="",E1131="!!!",F1131="NEW"),"",INDEX(B$2:B1130,-1+SUMPRODUCT(MAX(ROW(E$2:E1130)*(E1131=E$2:E1130)))))</f>
        <v/>
      </c>
      <c r="J1131" s="24" t="str">
        <f ca="1">IF(OR(E1131="",E1131="!!!",F1131="NEW"),"",COUNTBLANK(OFFSET(A$1,,,SUMPRODUCT(MAX(ROW(E$2:E1131)*(E1131=E$2:E1131)))))-COUNTBLANK(OFFSET(A$1,,,SUMPRODUCT(MAX(ROW(E$1:E1130)*(E2=E$1:E1130))))))</f>
        <v/>
      </c>
      <c r="K1131" s="24" t="str">
        <f>IF(OR(E1131="",E1131="!!!",F1131="NEW"),"",INDEX(J$1:J1130,SUMPRODUCT(MAX(ROW(E$1:E1130)*(E1131=E$1:E1130)))))</f>
        <v/>
      </c>
      <c r="L1131" s="25"/>
    </row>
    <row r="1132" spans="1:12" x14ac:dyDescent="0.3">
      <c r="A1132" t="s">
        <v>351</v>
      </c>
      <c r="E1132" s="20" t="str">
        <f t="shared" si="122"/>
        <v/>
      </c>
      <c r="F1132" s="21" t="str">
        <f>IF(OR(E1132="",E1132="!!!"),"",IF(NOT(ISNA(VLOOKUP(E1132,E$1:E1131,1,FALSE()))),"OLD",IF(AND(E1132&lt;&gt;"",E1132&lt;&gt;"!!!"),"NEW","")))</f>
        <v/>
      </c>
      <c r="G1132" s="22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3" t="str">
        <f t="shared" ca="1" si="123"/>
        <v/>
      </c>
      <c r="I1132" s="24" t="str">
        <f>IF(OR(E1132="",E1132="!!!",F1132="NEW"),"",INDEX(B$2:B1131,-1+SUMPRODUCT(MAX(ROW(E$2:E1131)*(E1132=E$2:E1131)))))</f>
        <v/>
      </c>
      <c r="J1132" s="24" t="str">
        <f ca="1">IF(OR(E1132="",E1132="!!!",F1132="NEW"),"",COUNTBLANK(OFFSET(A$1,,,SUMPRODUCT(MAX(ROW(E$2:E1132)*(E1132=E$2:E1132)))))-COUNTBLANK(OFFSET(A$1,,,SUMPRODUCT(MAX(ROW(E$1:E1131)*(E2=E$1:E1131))))))</f>
        <v/>
      </c>
      <c r="K1132" s="24" t="str">
        <f>IF(OR(E1132="",E1132="!!!",F1132="NEW"),"",INDEX(J$1:J1131,SUMPRODUCT(MAX(ROW(E$1:E1131)*(E1132=E$1:E1131)))))</f>
        <v/>
      </c>
      <c r="L1132" s="25"/>
    </row>
    <row r="1133" spans="1:12" x14ac:dyDescent="0.3">
      <c r="A1133" t="s">
        <v>866</v>
      </c>
      <c r="E1133" s="20" t="str">
        <f t="shared" si="122"/>
        <v/>
      </c>
      <c r="F1133" s="21" t="str">
        <f>IF(OR(E1133="",E1133="!!!"),"",IF(NOT(ISNA(VLOOKUP(E1133,E$1:E1132,1,FALSE()))),"OLD",IF(AND(E1133&lt;&gt;"",E1133&lt;&gt;"!!!"),"NEW","")))</f>
        <v/>
      </c>
      <c r="G1133" s="22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3" t="str">
        <f t="shared" ca="1" si="123"/>
        <v/>
      </c>
      <c r="I1133" s="24" t="str">
        <f>IF(OR(E1133="",E1133="!!!",F1133="NEW"),"",INDEX(B$2:B1132,-1+SUMPRODUCT(MAX(ROW(E$2:E1132)*(E1133=E$2:E1132)))))</f>
        <v/>
      </c>
      <c r="J1133" s="24" t="str">
        <f ca="1">IF(OR(E1133="",E1133="!!!",F1133="NEW"),"",COUNTBLANK(OFFSET(A$1,,,SUMPRODUCT(MAX(ROW(E$2:E1133)*(E1133=E$2:E1133)))))-COUNTBLANK(OFFSET(A$1,,,SUMPRODUCT(MAX(ROW(E$1:E1132)*(E2=E$1:E1132))))))</f>
        <v/>
      </c>
      <c r="K1133" s="24" t="str">
        <f>IF(OR(E1133="",E1133="!!!",F1133="NEW"),"",INDEX(J$1:J1132,SUMPRODUCT(MAX(ROW(E$1:E1132)*(E1133=E$1:E1132)))))</f>
        <v/>
      </c>
      <c r="L1133" s="25"/>
    </row>
    <row r="1134" spans="1:12" x14ac:dyDescent="0.3">
      <c r="A1134" t="s">
        <v>371</v>
      </c>
      <c r="B1134" s="26" t="s">
        <v>330</v>
      </c>
      <c r="C1134" s="26" t="s">
        <v>341</v>
      </c>
      <c r="D1134" s="26" t="s">
        <v>332</v>
      </c>
      <c r="E1134" s="20" t="str">
        <f t="shared" si="122"/>
        <v>!!!</v>
      </c>
      <c r="F1134" s="21" t="str">
        <f>IF(OR(E1134="",E1134="!!!"),"",IF(NOT(ISNA(VLOOKUP(E1134,E$1:E1133,1,FALSE()))),"OLD",IF(AND(E1134&lt;&gt;"",E1134&lt;&gt;"!!!"),"NEW","")))</f>
        <v/>
      </c>
      <c r="G1134" s="22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3" t="str">
        <f t="shared" ca="1" si="123"/>
        <v/>
      </c>
      <c r="I1134" s="24" t="str">
        <f>IF(OR(E1134="",E1134="!!!",F1134="NEW"),"",INDEX(B$2:B1133,-1+SUMPRODUCT(MAX(ROW(E$2:E1133)*(E1134=E$2:E1133)))))</f>
        <v/>
      </c>
      <c r="J1134" s="24" t="str">
        <f ca="1">IF(OR(E1134="",E1134="!!!",F1134="NEW"),"",COUNTBLANK(OFFSET(A$1,,,SUMPRODUCT(MAX(ROW(E$2:E1134)*(E1134=E$2:E1134)))))-COUNTBLANK(OFFSET(A$1,,,SUMPRODUCT(MAX(ROW(E$1:E1133)*(E2=E$1:E1133))))))</f>
        <v/>
      </c>
      <c r="K1134" s="24" t="str">
        <f>IF(OR(E1134="",E1134="!!!",F1134="NEW"),"",INDEX(J$1:J1133,SUMPRODUCT(MAX(ROW(E$1:E1133)*(E1134=E$1:E1133)))))</f>
        <v/>
      </c>
      <c r="L1134" s="25"/>
    </row>
    <row r="1135" spans="1:12" x14ac:dyDescent="0.3">
      <c r="A1135" t="s">
        <v>363</v>
      </c>
      <c r="E1135" s="20" t="str">
        <f t="shared" si="122"/>
        <v/>
      </c>
      <c r="F1135" s="21" t="str">
        <f>IF(OR(E1135="",E1135="!!!"),"",IF(NOT(ISNA(VLOOKUP(E1135,E$1:E1134,1,FALSE()))),"OLD",IF(AND(E1135&lt;&gt;"",E1135&lt;&gt;"!!!"),"NEW","")))</f>
        <v/>
      </c>
      <c r="G1135" s="22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3" t="str">
        <f t="shared" ca="1" si="123"/>
        <v/>
      </c>
      <c r="I1135" s="24" t="str">
        <f>IF(OR(E1135="",E1135="!!!",F1135="NEW"),"",INDEX(B$2:B1134,-1+SUMPRODUCT(MAX(ROW(E$2:E1134)*(E1135=E$2:E1134)))))</f>
        <v/>
      </c>
      <c r="J1135" s="24" t="str">
        <f ca="1">IF(OR(E1135="",E1135="!!!",F1135="NEW"),"",COUNTBLANK(OFFSET(A$1,,,SUMPRODUCT(MAX(ROW(E$2:E1135)*(E1135=E$2:E1135)))))-COUNTBLANK(OFFSET(A$1,,,SUMPRODUCT(MAX(ROW(E$1:E1134)*(E2=E$1:E1134))))))</f>
        <v/>
      </c>
      <c r="K1135" s="24" t="str">
        <f>IF(OR(E1135="",E1135="!!!",F1135="NEW"),"",INDEX(J$1:J1134,SUMPRODUCT(MAX(ROW(E$1:E1134)*(E1135=E$1:E1134)))))</f>
        <v/>
      </c>
      <c r="L1135" s="25"/>
    </row>
    <row r="1136" spans="1:12" x14ac:dyDescent="0.3">
      <c r="A1136" t="s">
        <v>867</v>
      </c>
      <c r="B1136" s="26" t="s">
        <v>337</v>
      </c>
      <c r="C1136" s="26" t="s">
        <v>496</v>
      </c>
      <c r="D1136" s="26" t="s">
        <v>332</v>
      </c>
      <c r="E1136" s="20" t="str">
        <f t="shared" si="122"/>
        <v>!!!</v>
      </c>
      <c r="F1136" s="21" t="str">
        <f>IF(OR(E1136="",E1136="!!!"),"",IF(NOT(ISNA(VLOOKUP(E1136,E$1:E1135,1,FALSE()))),"OLD",IF(AND(E1136&lt;&gt;"",E1136&lt;&gt;"!!!"),"NEW","")))</f>
        <v/>
      </c>
      <c r="G1136" s="22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3" t="str">
        <f t="shared" ca="1" si="123"/>
        <v/>
      </c>
      <c r="I1136" s="24" t="str">
        <f>IF(OR(E1136="",E1136="!!!",F1136="NEW"),"",INDEX(B$2:B1135,-1+SUMPRODUCT(MAX(ROW(E$2:E1135)*(E1136=E$2:E1135)))))</f>
        <v/>
      </c>
      <c r="J1136" s="24" t="str">
        <f ca="1">IF(OR(E1136="",E1136="!!!",F1136="NEW"),"",COUNTBLANK(OFFSET(A$1,,,SUMPRODUCT(MAX(ROW(E$2:E1136)*(E1136=E$2:E1136)))))-COUNTBLANK(OFFSET(A$1,,,SUMPRODUCT(MAX(ROW(E$1:E1135)*(E2=E$1:E1135))))))</f>
        <v/>
      </c>
      <c r="K1136" s="24" t="str">
        <f>IF(OR(E1136="",E1136="!!!",F1136="NEW"),"",INDEX(J$1:J1135,SUMPRODUCT(MAX(ROW(E$1:E1135)*(E1136=E$1:E1135)))))</f>
        <v/>
      </c>
      <c r="L1136" s="25"/>
    </row>
    <row r="1137" spans="1:12" x14ac:dyDescent="0.3">
      <c r="A1137" t="s">
        <v>466</v>
      </c>
      <c r="E1137" s="20" t="str">
        <f t="shared" si="122"/>
        <v/>
      </c>
      <c r="F1137" s="21" t="str">
        <f>IF(OR(E1137="",E1137="!!!"),"",IF(NOT(ISNA(VLOOKUP(E1137,E$1:E1136,1,FALSE()))),"OLD",IF(AND(E1137&lt;&gt;"",E1137&lt;&gt;"!!!"),"NEW","")))</f>
        <v/>
      </c>
      <c r="G1137" s="22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3" t="str">
        <f t="shared" ca="1" si="123"/>
        <v/>
      </c>
      <c r="I1137" s="24" t="str">
        <f>IF(OR(E1137="",E1137="!!!",F1137="NEW"),"",INDEX(B$2:B1136,-1+SUMPRODUCT(MAX(ROW(E$2:E1136)*(E1137=E$2:E1136)))))</f>
        <v/>
      </c>
      <c r="J1137" s="24" t="str">
        <f ca="1">IF(OR(E1137="",E1137="!!!",F1137="NEW"),"",COUNTBLANK(OFFSET(A$1,,,SUMPRODUCT(MAX(ROW(E$2:E1137)*(E1137=E$2:E1137)))))-COUNTBLANK(OFFSET(A$1,,,SUMPRODUCT(MAX(ROW(E$1:E1136)*(E2=E$1:E1136))))))</f>
        <v/>
      </c>
      <c r="K1137" s="24" t="str">
        <f>IF(OR(E1137="",E1137="!!!",F1137="NEW"),"",INDEX(J$1:J1136,SUMPRODUCT(MAX(ROW(E$1:E1136)*(E1137=E$1:E1136)))))</f>
        <v/>
      </c>
      <c r="L1137" s="25"/>
    </row>
    <row r="1138" spans="1:12" x14ac:dyDescent="0.3">
      <c r="A1138" t="s">
        <v>638</v>
      </c>
      <c r="E1138" s="20" t="str">
        <f t="shared" si="122"/>
        <v/>
      </c>
      <c r="F1138" s="21" t="str">
        <f>IF(OR(E1138="",E1138="!!!"),"",IF(NOT(ISNA(VLOOKUP(E1138,E$1:E1137,1,FALSE()))),"OLD",IF(AND(E1138&lt;&gt;"",E1138&lt;&gt;"!!!"),"NEW","")))</f>
        <v/>
      </c>
      <c r="G1138" s="22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3" t="str">
        <f t="shared" ca="1" si="123"/>
        <v/>
      </c>
      <c r="I1138" s="24" t="str">
        <f>IF(OR(E1138="",E1138="!!!",F1138="NEW"),"",INDEX(B$2:B1137,-1+SUMPRODUCT(MAX(ROW(E$2:E1137)*(E1138=E$2:E1137)))))</f>
        <v/>
      </c>
      <c r="J1138" s="24" t="str">
        <f ca="1">IF(OR(E1138="",E1138="!!!",F1138="NEW"),"",COUNTBLANK(OFFSET(A$1,,,SUMPRODUCT(MAX(ROW(E$2:E1138)*(E1138=E$2:E1138)))))-COUNTBLANK(OFFSET(A$1,,,SUMPRODUCT(MAX(ROW(E$1:E1137)*(E2=E$1:E1137))))))</f>
        <v/>
      </c>
      <c r="K1138" s="24" t="str">
        <f>IF(OR(E1138="",E1138="!!!",F1138="NEW"),"",INDEX(J$1:J1137,SUMPRODUCT(MAX(ROW(E$1:E1137)*(E1138=E$1:E1137)))))</f>
        <v/>
      </c>
      <c r="L1138" s="25"/>
    </row>
    <row r="1140" spans="1:12" x14ac:dyDescent="0.3">
      <c r="A1140" t="s">
        <v>868</v>
      </c>
    </row>
    <row r="1141" spans="1:12" x14ac:dyDescent="0.3">
      <c r="A1141" t="s">
        <v>869</v>
      </c>
      <c r="E1141" s="20" t="str">
        <f t="shared" ref="E1141:E1148" si="124">IF(D1141="?OLD","!!!","")</f>
        <v/>
      </c>
      <c r="F1141" s="21" t="str">
        <f>IF(OR(E1141="",E1141="!!!"),"",IF(NOT(ISNA(VLOOKUP(E1141,E$1:E1140,1,FALSE()))),"OLD",IF(AND(E1141&lt;&gt;"",E1141&lt;&gt;"!!!"),"NEW","")))</f>
        <v/>
      </c>
      <c r="G1141" s="22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3" t="str">
        <f t="shared" ref="H1141:H1148" ca="1" si="125">IF(J1141&lt;&gt;1,"",IF(I1141="SBJ","CB","?"))</f>
        <v/>
      </c>
      <c r="I1141" s="24" t="str">
        <f>IF(OR(E1141="",E1141="!!!",F1141="NEW"),"",INDEX(B$2:B1140,-1+SUMPRODUCT(MAX(ROW(E$2:E1140)*(E1141=E$2:E1140)))))</f>
        <v/>
      </c>
      <c r="J1141" s="24" t="str">
        <f ca="1">IF(OR(E1141="",E1141="!!!",F1141="NEW"),"",COUNTBLANK(OFFSET(A$1,,,SUMPRODUCT(MAX(ROW(E$2:E1141)*(E1141=E$2:E1141)))))-COUNTBLANK(OFFSET(A$1,,,SUMPRODUCT(MAX(ROW(E$1:E1140)*(E2=E$1:E1140))))))</f>
        <v/>
      </c>
      <c r="K1141" s="24" t="str">
        <f>IF(OR(E1141="",E1141="!!!",F1141="NEW"),"",INDEX(J$1:J1140,SUMPRODUCT(MAX(ROW(E$1:E1140)*(E1141=E$1:E1140)))))</f>
        <v/>
      </c>
      <c r="L1141" s="25"/>
    </row>
    <row r="1142" spans="1:12" x14ac:dyDescent="0.3">
      <c r="A1142" t="s">
        <v>343</v>
      </c>
      <c r="B1142" s="26" t="s">
        <v>344</v>
      </c>
      <c r="E1142" s="20" t="str">
        <f t="shared" si="124"/>
        <v/>
      </c>
      <c r="F1142" s="21" t="str">
        <f>IF(OR(E1142="",E1142="!!!"),"",IF(NOT(ISNA(VLOOKUP(E1142,E$1:E1141,1,FALSE()))),"OLD",IF(AND(E1142&lt;&gt;"",E1142&lt;&gt;"!!!"),"NEW","")))</f>
        <v/>
      </c>
      <c r="G1142" s="22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3" t="str">
        <f t="shared" ca="1" si="125"/>
        <v/>
      </c>
      <c r="I1142" s="24" t="str">
        <f>IF(OR(E1142="",E1142="!!!",F1142="NEW"),"",INDEX(B$2:B1141,-1+SUMPRODUCT(MAX(ROW(E$2:E1141)*(E1142=E$2:E1141)))))</f>
        <v/>
      </c>
      <c r="J1142" s="24" t="str">
        <f ca="1">IF(OR(E1142="",E1142="!!!",F1142="NEW"),"",COUNTBLANK(OFFSET(A$1,,,SUMPRODUCT(MAX(ROW(E$2:E1142)*(E1142=E$2:E1142)))))-COUNTBLANK(OFFSET(A$1,,,SUMPRODUCT(MAX(ROW(E$1:E1141)*(E2=E$1:E1141))))))</f>
        <v/>
      </c>
      <c r="K1142" s="24" t="str">
        <f>IF(OR(E1142="",E1142="!!!",F1142="NEW"),"",INDEX(J$1:J1141,SUMPRODUCT(MAX(ROW(E$1:E1141)*(E1142=E$1:E1141)))))</f>
        <v/>
      </c>
      <c r="L1142" s="25"/>
    </row>
    <row r="1143" spans="1:12" x14ac:dyDescent="0.3">
      <c r="A1143" t="s">
        <v>353</v>
      </c>
      <c r="B1143" s="26" t="s">
        <v>330</v>
      </c>
      <c r="C1143" s="26" t="s">
        <v>355</v>
      </c>
      <c r="E1143" s="20" t="str">
        <f t="shared" si="124"/>
        <v/>
      </c>
      <c r="F1143" s="21" t="str">
        <f>IF(OR(E1143="",E1143="!!!"),"",IF(NOT(ISNA(VLOOKUP(E1143,E$1:E1142,1,FALSE()))),"OLD",IF(AND(E1143&lt;&gt;"",E1143&lt;&gt;"!!!"),"NEW","")))</f>
        <v/>
      </c>
      <c r="G1143" s="22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3" t="str">
        <f t="shared" ca="1" si="125"/>
        <v/>
      </c>
      <c r="I1143" s="24" t="str">
        <f>IF(OR(E1143="",E1143="!!!",F1143="NEW"),"",INDEX(B$2:B1142,-1+SUMPRODUCT(MAX(ROW(E$2:E1142)*(E1143=E$2:E1142)))))</f>
        <v/>
      </c>
      <c r="J1143" s="24" t="str">
        <f ca="1">IF(OR(E1143="",E1143="!!!",F1143="NEW"),"",COUNTBLANK(OFFSET(A$1,,,SUMPRODUCT(MAX(ROW(E$2:E1143)*(E1143=E$2:E1143)))))-COUNTBLANK(OFFSET(A$1,,,SUMPRODUCT(MAX(ROW(E$1:E1142)*(E2=E$1:E1142))))))</f>
        <v/>
      </c>
      <c r="K1143" s="24" t="str">
        <f>IF(OR(E1143="",E1143="!!!",F1143="NEW"),"",INDEX(J$1:J1142,SUMPRODUCT(MAX(ROW(E$1:E1142)*(E1143=E$1:E1142)))))</f>
        <v/>
      </c>
      <c r="L1143" s="25"/>
    </row>
    <row r="1144" spans="1:12" x14ac:dyDescent="0.3">
      <c r="A1144" t="s">
        <v>351</v>
      </c>
      <c r="E1144" s="20" t="str">
        <f t="shared" si="124"/>
        <v/>
      </c>
      <c r="F1144" s="21" t="str">
        <f>IF(OR(E1144="",E1144="!!!"),"",IF(NOT(ISNA(VLOOKUP(E1144,E$1:E1143,1,FALSE()))),"OLD",IF(AND(E1144&lt;&gt;"",E1144&lt;&gt;"!!!"),"NEW","")))</f>
        <v/>
      </c>
      <c r="G1144" s="22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3" t="str">
        <f t="shared" ca="1" si="125"/>
        <v/>
      </c>
      <c r="I1144" s="24" t="str">
        <f>IF(OR(E1144="",E1144="!!!",F1144="NEW"),"",INDEX(B$2:B1143,-1+SUMPRODUCT(MAX(ROW(E$2:E1143)*(E1144=E$2:E1143)))))</f>
        <v/>
      </c>
      <c r="J1144" s="24" t="str">
        <f ca="1">IF(OR(E1144="",E1144="!!!",F1144="NEW"),"",COUNTBLANK(OFFSET(A$1,,,SUMPRODUCT(MAX(ROW(E$2:E1144)*(E1144=E$2:E1144)))))-COUNTBLANK(OFFSET(A$1,,,SUMPRODUCT(MAX(ROW(E$1:E1143)*(E2=E$1:E1143))))))</f>
        <v/>
      </c>
      <c r="K1144" s="24" t="str">
        <f>IF(OR(E1144="",E1144="!!!",F1144="NEW"),"",INDEX(J$1:J1143,SUMPRODUCT(MAX(ROW(E$1:E1143)*(E1144=E$1:E1143)))))</f>
        <v/>
      </c>
      <c r="L1144" s="25"/>
    </row>
    <row r="1145" spans="1:12" x14ac:dyDescent="0.3">
      <c r="A1145" t="s">
        <v>870</v>
      </c>
      <c r="E1145" s="20" t="str">
        <f t="shared" si="124"/>
        <v/>
      </c>
      <c r="F1145" s="21" t="str">
        <f>IF(OR(E1145="",E1145="!!!"),"",IF(NOT(ISNA(VLOOKUP(E1145,E$1:E1144,1,FALSE()))),"OLD",IF(AND(E1145&lt;&gt;"",E1145&lt;&gt;"!!!"),"NEW","")))</f>
        <v/>
      </c>
      <c r="G1145" s="22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3" t="str">
        <f t="shared" ca="1" si="125"/>
        <v/>
      </c>
      <c r="I1145" s="24" t="str">
        <f>IF(OR(E1145="",E1145="!!!",F1145="NEW"),"",INDEX(B$2:B1144,-1+SUMPRODUCT(MAX(ROW(E$2:E1144)*(E1145=E$2:E1144)))))</f>
        <v/>
      </c>
      <c r="J1145" s="24" t="str">
        <f ca="1">IF(OR(E1145="",E1145="!!!",F1145="NEW"),"",COUNTBLANK(OFFSET(A$1,,,SUMPRODUCT(MAX(ROW(E$2:E1145)*(E1145=E$2:E1145)))))-COUNTBLANK(OFFSET(A$1,,,SUMPRODUCT(MAX(ROW(E$1:E1144)*(E2=E$1:E1144))))))</f>
        <v/>
      </c>
      <c r="K1145" s="24" t="str">
        <f>IF(OR(E1145="",E1145="!!!",F1145="NEW"),"",INDEX(J$1:J1144,SUMPRODUCT(MAX(ROW(E$1:E1144)*(E1145=E$1:E1144)))))</f>
        <v/>
      </c>
      <c r="L1145" s="25"/>
    </row>
    <row r="1146" spans="1:12" x14ac:dyDescent="0.3">
      <c r="A1146" t="s">
        <v>871</v>
      </c>
      <c r="E1146" s="20" t="str">
        <f t="shared" si="124"/>
        <v/>
      </c>
      <c r="F1146" s="21" t="str">
        <f>IF(OR(E1146="",E1146="!!!"),"",IF(NOT(ISNA(VLOOKUP(E1146,E$1:E1145,1,FALSE()))),"OLD",IF(AND(E1146&lt;&gt;"",E1146&lt;&gt;"!!!"),"NEW","")))</f>
        <v/>
      </c>
      <c r="G1146" s="22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3" t="str">
        <f t="shared" ca="1" si="125"/>
        <v/>
      </c>
      <c r="I1146" s="24" t="str">
        <f>IF(OR(E1146="",E1146="!!!",F1146="NEW"),"",INDEX(B$2:B1145,-1+SUMPRODUCT(MAX(ROW(E$2:E1145)*(E1146=E$2:E1145)))))</f>
        <v/>
      </c>
      <c r="J1146" s="24" t="str">
        <f ca="1">IF(OR(E1146="",E1146="!!!",F1146="NEW"),"",COUNTBLANK(OFFSET(A$1,,,SUMPRODUCT(MAX(ROW(E$2:E1146)*(E1146=E$2:E1146)))))-COUNTBLANK(OFFSET(A$1,,,SUMPRODUCT(MAX(ROW(E$1:E1145)*(E2=E$1:E1145))))))</f>
        <v/>
      </c>
      <c r="K1146" s="24" t="str">
        <f>IF(OR(E1146="",E1146="!!!",F1146="NEW"),"",INDEX(J$1:J1145,SUMPRODUCT(MAX(ROW(E$1:E1145)*(E1146=E$1:E1145)))))</f>
        <v/>
      </c>
      <c r="L1146" s="25"/>
    </row>
    <row r="1147" spans="1:12" x14ac:dyDescent="0.3">
      <c r="A1147" t="s">
        <v>353</v>
      </c>
      <c r="B1147" s="26" t="s">
        <v>378</v>
      </c>
      <c r="C1147" s="26" t="s">
        <v>355</v>
      </c>
      <c r="E1147" s="20" t="str">
        <f t="shared" si="124"/>
        <v/>
      </c>
      <c r="F1147" s="21" t="str">
        <f>IF(OR(E1147="",E1147="!!!"),"",IF(NOT(ISNA(VLOOKUP(E1147,E$1:E1146,1,FALSE()))),"OLD",IF(AND(E1147&lt;&gt;"",E1147&lt;&gt;"!!!"),"NEW","")))</f>
        <v/>
      </c>
      <c r="G1147" s="22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3" t="str">
        <f t="shared" ca="1" si="125"/>
        <v/>
      </c>
      <c r="I1147" s="24" t="str">
        <f>IF(OR(E1147="",E1147="!!!",F1147="NEW"),"",INDEX(B$2:B1146,-1+SUMPRODUCT(MAX(ROW(E$2:E1146)*(E1147=E$2:E1146)))))</f>
        <v/>
      </c>
      <c r="J1147" s="24" t="str">
        <f ca="1">IF(OR(E1147="",E1147="!!!",F1147="NEW"),"",COUNTBLANK(OFFSET(A$1,,,SUMPRODUCT(MAX(ROW(E$2:E1147)*(E1147=E$2:E1147)))))-COUNTBLANK(OFFSET(A$1,,,SUMPRODUCT(MAX(ROW(E$1:E1146)*(E2=E$1:E1146))))))</f>
        <v/>
      </c>
      <c r="K1147" s="24" t="str">
        <f>IF(OR(E1147="",E1147="!!!",F1147="NEW"),"",INDEX(J$1:J1146,SUMPRODUCT(MAX(ROW(E$1:E1146)*(E1147=E$1:E1146)))))</f>
        <v/>
      </c>
      <c r="L1147" s="25"/>
    </row>
    <row r="1148" spans="1:12" x14ac:dyDescent="0.3">
      <c r="A1148" t="s">
        <v>638</v>
      </c>
      <c r="E1148" s="20" t="str">
        <f t="shared" si="124"/>
        <v/>
      </c>
      <c r="F1148" s="21" t="str">
        <f>IF(OR(E1148="",E1148="!!!"),"",IF(NOT(ISNA(VLOOKUP(E1148,E$1:E1147,1,FALSE()))),"OLD",IF(AND(E1148&lt;&gt;"",E1148&lt;&gt;"!!!"),"NEW","")))</f>
        <v/>
      </c>
      <c r="G1148" s="22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3" t="str">
        <f t="shared" ca="1" si="125"/>
        <v/>
      </c>
      <c r="I1148" s="24" t="str">
        <f>IF(OR(E1148="",E1148="!!!",F1148="NEW"),"",INDEX(B$2:B1147,-1+SUMPRODUCT(MAX(ROW(E$2:E1147)*(E1148=E$2:E1147)))))</f>
        <v/>
      </c>
      <c r="J1148" s="24" t="str">
        <f ca="1">IF(OR(E1148="",E1148="!!!",F1148="NEW"),"",COUNTBLANK(OFFSET(A$1,,,SUMPRODUCT(MAX(ROW(E$2:E1148)*(E1148=E$2:E1148)))))-COUNTBLANK(OFFSET(A$1,,,SUMPRODUCT(MAX(ROW(E$1:E1147)*(E2=E$1:E1147))))))</f>
        <v/>
      </c>
      <c r="K1148" s="24" t="str">
        <f>IF(OR(E1148="",E1148="!!!",F1148="NEW"),"",INDEX(J$1:J1147,SUMPRODUCT(MAX(ROW(E$1:E1147)*(E1148=E$1:E1147)))))</f>
        <v/>
      </c>
      <c r="L1148" s="25"/>
    </row>
    <row r="1150" spans="1:12" x14ac:dyDescent="0.3">
      <c r="A1150" t="s">
        <v>872</v>
      </c>
    </row>
    <row r="1151" spans="1:12" x14ac:dyDescent="0.3">
      <c r="A1151" t="s">
        <v>873</v>
      </c>
      <c r="E1151" s="20" t="str">
        <f t="shared" ref="E1151:E1163" si="126">IF(D1151="?OLD","!!!","")</f>
        <v/>
      </c>
      <c r="F1151" s="21" t="str">
        <f>IF(OR(E1151="",E1151="!!!"),"",IF(NOT(ISNA(VLOOKUP(E1151,E$1:E1150,1,FALSE()))),"OLD",IF(AND(E1151&lt;&gt;"",E1151&lt;&gt;"!!!"),"NEW","")))</f>
        <v/>
      </c>
      <c r="G1151" s="22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3" t="str">
        <f t="shared" ref="H1151:H1163" ca="1" si="127">IF(J1151&lt;&gt;1,"",IF(I1151="SBJ","CB","?"))</f>
        <v/>
      </c>
      <c r="I1151" s="24" t="str">
        <f>IF(OR(E1151="",E1151="!!!",F1151="NEW"),"",INDEX(B$2:B1150,-1+SUMPRODUCT(MAX(ROW(E$2:E1150)*(E1151=E$2:E1150)))))</f>
        <v/>
      </c>
      <c r="J1151" s="24" t="str">
        <f ca="1">IF(OR(E1151="",E1151="!!!",F1151="NEW"),"",COUNTBLANK(OFFSET(A$1,,,SUMPRODUCT(MAX(ROW(E$2:E1151)*(E1151=E$2:E1151)))))-COUNTBLANK(OFFSET(A$1,,,SUMPRODUCT(MAX(ROW(E$1:E1150)*(E2=E$1:E1150))))))</f>
        <v/>
      </c>
      <c r="K1151" s="24" t="str">
        <f>IF(OR(E1151="",E1151="!!!",F1151="NEW"),"",INDEX(J$1:J1150,SUMPRODUCT(MAX(ROW(E$1:E1150)*(E1151=E$1:E1150)))))</f>
        <v/>
      </c>
      <c r="L1151" s="25"/>
    </row>
    <row r="1152" spans="1:12" x14ac:dyDescent="0.3">
      <c r="A1152" t="s">
        <v>351</v>
      </c>
      <c r="E1152" s="20" t="str">
        <f t="shared" si="126"/>
        <v/>
      </c>
      <c r="F1152" s="21" t="str">
        <f>IF(OR(E1152="",E1152="!!!"),"",IF(NOT(ISNA(VLOOKUP(E1152,E$1:E1151,1,FALSE()))),"OLD",IF(AND(E1152&lt;&gt;"",E1152&lt;&gt;"!!!"),"NEW","")))</f>
        <v/>
      </c>
      <c r="G1152" s="22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3" t="str">
        <f t="shared" ca="1" si="127"/>
        <v/>
      </c>
      <c r="I1152" s="24" t="str">
        <f>IF(OR(E1152="",E1152="!!!",F1152="NEW"),"",INDEX(B$2:B1151,-1+SUMPRODUCT(MAX(ROW(E$2:E1151)*(E1152=E$2:E1151)))))</f>
        <v/>
      </c>
      <c r="J1152" s="24" t="str">
        <f ca="1">IF(OR(E1152="",E1152="!!!",F1152="NEW"),"",COUNTBLANK(OFFSET(A$1,,,SUMPRODUCT(MAX(ROW(E$2:E1152)*(E1152=E$2:E1152)))))-COUNTBLANK(OFFSET(A$1,,,SUMPRODUCT(MAX(ROW(E$1:E1151)*(E2=E$1:E1151))))))</f>
        <v/>
      </c>
      <c r="K1152" s="24" t="str">
        <f>IF(OR(E1152="",E1152="!!!",F1152="NEW"),"",INDEX(J$1:J1151,SUMPRODUCT(MAX(ROW(E$1:E1151)*(E1152=E$1:E1151)))))</f>
        <v/>
      </c>
      <c r="L1152" s="25"/>
    </row>
    <row r="1153" spans="1:12" x14ac:dyDescent="0.3">
      <c r="A1153" t="s">
        <v>444</v>
      </c>
      <c r="B1153" s="26" t="s">
        <v>330</v>
      </c>
      <c r="C1153" s="26" t="s">
        <v>358</v>
      </c>
      <c r="E1153" s="20" t="str">
        <f t="shared" si="126"/>
        <v/>
      </c>
      <c r="F1153" s="21" t="str">
        <f>IF(OR(E1153="",E1153="!!!"),"",IF(NOT(ISNA(VLOOKUP(E1153,E$1:E1152,1,FALSE()))),"OLD",IF(AND(E1153&lt;&gt;"",E1153&lt;&gt;"!!!"),"NEW","")))</f>
        <v/>
      </c>
      <c r="G1153" s="22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3" t="str">
        <f t="shared" ca="1" si="127"/>
        <v/>
      </c>
      <c r="I1153" s="24" t="str">
        <f>IF(OR(E1153="",E1153="!!!",F1153="NEW"),"",INDEX(B$2:B1152,-1+SUMPRODUCT(MAX(ROW(E$2:E1152)*(E1153=E$2:E1152)))))</f>
        <v/>
      </c>
      <c r="J1153" s="24" t="str">
        <f ca="1">IF(OR(E1153="",E1153="!!!",F1153="NEW"),"",COUNTBLANK(OFFSET(A$1,,,SUMPRODUCT(MAX(ROW(E$2:E1153)*(E1153=E$2:E1153)))))-COUNTBLANK(OFFSET(A$1,,,SUMPRODUCT(MAX(ROW(E$1:E1152)*(E2=E$1:E1152))))))</f>
        <v/>
      </c>
      <c r="K1153" s="24" t="str">
        <f>IF(OR(E1153="",E1153="!!!",F1153="NEW"),"",INDEX(J$1:J1152,SUMPRODUCT(MAX(ROW(E$1:E1152)*(E1153=E$1:E1152)))))</f>
        <v/>
      </c>
      <c r="L1153" s="25"/>
    </row>
    <row r="1154" spans="1:12" x14ac:dyDescent="0.3">
      <c r="A1154" t="s">
        <v>511</v>
      </c>
      <c r="E1154" s="20" t="str">
        <f t="shared" si="126"/>
        <v/>
      </c>
      <c r="F1154" s="21" t="str">
        <f>IF(OR(E1154="",E1154="!!!"),"",IF(NOT(ISNA(VLOOKUP(E1154,E$1:E1153,1,FALSE()))),"OLD",IF(AND(E1154&lt;&gt;"",E1154&lt;&gt;"!!!"),"NEW","")))</f>
        <v/>
      </c>
      <c r="G1154" s="22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3" t="str">
        <f t="shared" ca="1" si="127"/>
        <v/>
      </c>
      <c r="I1154" s="24" t="str">
        <f>IF(OR(E1154="",E1154="!!!",F1154="NEW"),"",INDEX(B$2:B1153,-1+SUMPRODUCT(MAX(ROW(E$2:E1153)*(E1154=E$2:E1153)))))</f>
        <v/>
      </c>
      <c r="J1154" s="24" t="str">
        <f ca="1">IF(OR(E1154="",E1154="!!!",F1154="NEW"),"",COUNTBLANK(OFFSET(A$1,,,SUMPRODUCT(MAX(ROW(E$2:E1154)*(E1154=E$2:E1154)))))-COUNTBLANK(OFFSET(A$1,,,SUMPRODUCT(MAX(ROW(E$1:E1153)*(E2=E$1:E1153))))))</f>
        <v/>
      </c>
      <c r="K1154" s="24" t="str">
        <f>IF(OR(E1154="",E1154="!!!",F1154="NEW"),"",INDEX(J$1:J1153,SUMPRODUCT(MAX(ROW(E$1:E1153)*(E1154=E$1:E1153)))))</f>
        <v/>
      </c>
      <c r="L1154" s="25"/>
    </row>
    <row r="1155" spans="1:12" x14ac:dyDescent="0.3">
      <c r="A1155" t="s">
        <v>371</v>
      </c>
      <c r="E1155" s="20" t="str">
        <f t="shared" si="126"/>
        <v/>
      </c>
      <c r="F1155" s="21" t="str">
        <f>IF(OR(E1155="",E1155="!!!"),"",IF(NOT(ISNA(VLOOKUP(E1155,E$1:E1154,1,FALSE()))),"OLD",IF(AND(E1155&lt;&gt;"",E1155&lt;&gt;"!!!"),"NEW","")))</f>
        <v/>
      </c>
      <c r="G1155" s="22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3" t="str">
        <f t="shared" ca="1" si="127"/>
        <v/>
      </c>
      <c r="I1155" s="24" t="str">
        <f>IF(OR(E1155="",E1155="!!!",F1155="NEW"),"",INDEX(B$2:B1154,-1+SUMPRODUCT(MAX(ROW(E$2:E1154)*(E1155=E$2:E1154)))))</f>
        <v/>
      </c>
      <c r="J1155" s="24" t="str">
        <f ca="1">IF(OR(E1155="",E1155="!!!",F1155="NEW"),"",COUNTBLANK(OFFSET(A$1,,,SUMPRODUCT(MAX(ROW(E$2:E1155)*(E1155=E$2:E1155)))))-COUNTBLANK(OFFSET(A$1,,,SUMPRODUCT(MAX(ROW(E$1:E1154)*(E2=E$1:E1154))))))</f>
        <v/>
      </c>
      <c r="K1155" s="24" t="str">
        <f>IF(OR(E1155="",E1155="!!!",F1155="NEW"),"",INDEX(J$1:J1154,SUMPRODUCT(MAX(ROW(E$1:E1154)*(E1155=E$1:E1154)))))</f>
        <v/>
      </c>
      <c r="L1155" s="25"/>
    </row>
    <row r="1156" spans="1:12" x14ac:dyDescent="0.3">
      <c r="A1156" t="s">
        <v>351</v>
      </c>
      <c r="E1156" s="20" t="str">
        <f t="shared" si="126"/>
        <v/>
      </c>
      <c r="F1156" s="21" t="str">
        <f>IF(OR(E1156="",E1156="!!!"),"",IF(NOT(ISNA(VLOOKUP(E1156,E$1:E1155,1,FALSE()))),"OLD",IF(AND(E1156&lt;&gt;"",E1156&lt;&gt;"!!!"),"NEW","")))</f>
        <v/>
      </c>
      <c r="G1156" s="22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/>
      </c>
      <c r="H1156" s="23" t="str">
        <f t="shared" ca="1" si="127"/>
        <v/>
      </c>
      <c r="I1156" s="24" t="str">
        <f>IF(OR(E1156="",E1156="!!!",F1156="NEW"),"",INDEX(B$2:B1155,-1+SUMPRODUCT(MAX(ROW(E$2:E1155)*(E1156=E$2:E1155)))))</f>
        <v/>
      </c>
      <c r="J1156" s="24" t="str">
        <f ca="1">IF(OR(E1156="",E1156="!!!",F1156="NEW"),"",COUNTBLANK(OFFSET(A$1,,,SUMPRODUCT(MAX(ROW(E$2:E1156)*(E1156=E$2:E1156)))))-COUNTBLANK(OFFSET(A$1,,,SUMPRODUCT(MAX(ROW(E$1:E1155)*(E2=E$1:E1155))))))</f>
        <v/>
      </c>
      <c r="K1156" s="24" t="str">
        <f>IF(OR(E1156="",E1156="!!!",F1156="NEW"),"",INDEX(J$1:J1155,SUMPRODUCT(MAX(ROW(E$1:E1155)*(E1156=E$1:E1155)))))</f>
        <v/>
      </c>
      <c r="L1156" s="25"/>
    </row>
    <row r="1157" spans="1:12" x14ac:dyDescent="0.3">
      <c r="A1157" t="s">
        <v>385</v>
      </c>
      <c r="E1157" s="20" t="str">
        <f t="shared" si="126"/>
        <v/>
      </c>
      <c r="F1157" s="21" t="str">
        <f>IF(OR(E1157="",E1157="!!!"),"",IF(NOT(ISNA(VLOOKUP(E1157,E$1:E1156,1,FALSE()))),"OLD",IF(AND(E1157&lt;&gt;"",E1157&lt;&gt;"!!!"),"NEW","")))</f>
        <v/>
      </c>
      <c r="G1157" s="22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3" t="str">
        <f t="shared" ca="1" si="127"/>
        <v/>
      </c>
      <c r="I1157" s="24" t="str">
        <f>IF(OR(E1157="",E1157="!!!",F1157="NEW"),"",INDEX(B$2:B1156,-1+SUMPRODUCT(MAX(ROW(E$2:E1156)*(E1157=E$2:E1156)))))</f>
        <v/>
      </c>
      <c r="J1157" s="24" t="str">
        <f ca="1">IF(OR(E1157="",E1157="!!!",F1157="NEW"),"",COUNTBLANK(OFFSET(A$1,,,SUMPRODUCT(MAX(ROW(E$2:E1157)*(E1157=E$2:E1157)))))-COUNTBLANK(OFFSET(A$1,,,SUMPRODUCT(MAX(ROW(E$1:E1156)*(E2=E$1:E1156))))))</f>
        <v/>
      </c>
      <c r="K1157" s="24" t="str">
        <f>IF(OR(E1157="",E1157="!!!",F1157="NEW"),"",INDEX(J$1:J1156,SUMPRODUCT(MAX(ROW(E$1:E1156)*(E1157=E$1:E1156)))))</f>
        <v/>
      </c>
      <c r="L1157" s="25"/>
    </row>
    <row r="1158" spans="1:12" x14ac:dyDescent="0.3">
      <c r="A1158" t="s">
        <v>542</v>
      </c>
      <c r="E1158" s="20" t="str">
        <f t="shared" si="126"/>
        <v/>
      </c>
      <c r="F1158" s="21" t="str">
        <f>IF(OR(E1158="",E1158="!!!"),"",IF(NOT(ISNA(VLOOKUP(E1158,E$1:E1157,1,FALSE()))),"OLD",IF(AND(E1158&lt;&gt;"",E1158&lt;&gt;"!!!"),"NEW","")))</f>
        <v/>
      </c>
      <c r="G1158" s="22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23" t="str">
        <f t="shared" ca="1" si="127"/>
        <v/>
      </c>
      <c r="I1158" s="24" t="str">
        <f>IF(OR(E1158="",E1158="!!!",F1158="NEW"),"",INDEX(B$2:B1157,-1+SUMPRODUCT(MAX(ROW(E$2:E1157)*(E1158=E$2:E1157)))))</f>
        <v/>
      </c>
      <c r="J1158" s="24" t="str">
        <f ca="1">IF(OR(E1158="",E1158="!!!",F1158="NEW"),"",COUNTBLANK(OFFSET(A$1,,,SUMPRODUCT(MAX(ROW(E$2:E1158)*(E1158=E$2:E1158)))))-COUNTBLANK(OFFSET(A$1,,,SUMPRODUCT(MAX(ROW(E$1:E1157)*(E2=E$1:E1157))))))</f>
        <v/>
      </c>
      <c r="K1158" s="24" t="str">
        <f>IF(OR(E1158="",E1158="!!!",F1158="NEW"),"",INDEX(J$1:J1157,SUMPRODUCT(MAX(ROW(E$1:E1157)*(E1158=E$1:E1157)))))</f>
        <v/>
      </c>
      <c r="L1158" s="25"/>
    </row>
    <row r="1159" spans="1:12" x14ac:dyDescent="0.3">
      <c r="A1159" t="s">
        <v>874</v>
      </c>
      <c r="B1159" s="26" t="s">
        <v>354</v>
      </c>
      <c r="C1159" s="26" t="s">
        <v>358</v>
      </c>
      <c r="E1159" s="20" t="str">
        <f t="shared" si="126"/>
        <v/>
      </c>
      <c r="F1159" s="21" t="str">
        <f>IF(OR(E1159="",E1159="!!!"),"",IF(NOT(ISNA(VLOOKUP(E1159,E$1:E1158,1,FALSE()))),"OLD",IF(AND(E1159&lt;&gt;"",E1159&lt;&gt;"!!!"),"NEW","")))</f>
        <v/>
      </c>
      <c r="G1159" s="22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23" t="str">
        <f t="shared" ca="1" si="127"/>
        <v/>
      </c>
      <c r="I1159" s="24" t="str">
        <f>IF(OR(E1159="",E1159="!!!",F1159="NEW"),"",INDEX(B$2:B1158,-1+SUMPRODUCT(MAX(ROW(E$2:E1158)*(E1159=E$2:E1158)))))</f>
        <v/>
      </c>
      <c r="J1159" s="24" t="str">
        <f ca="1">IF(OR(E1159="",E1159="!!!",F1159="NEW"),"",COUNTBLANK(OFFSET(A$1,,,SUMPRODUCT(MAX(ROW(E$2:E1159)*(E1159=E$2:E1159)))))-COUNTBLANK(OFFSET(A$1,,,SUMPRODUCT(MAX(ROW(E$1:E1158)*(E2=E$1:E1158))))))</f>
        <v/>
      </c>
      <c r="K1159" s="24" t="str">
        <f>IF(OR(E1159="",E1159="!!!",F1159="NEW"),"",INDEX(J$1:J1158,SUMPRODUCT(MAX(ROW(E$1:E1158)*(E1159=E$1:E1158)))))</f>
        <v/>
      </c>
      <c r="L1159" s="25"/>
    </row>
    <row r="1160" spans="1:12" x14ac:dyDescent="0.3">
      <c r="A1160" t="s">
        <v>407</v>
      </c>
      <c r="E1160" s="20" t="str">
        <f t="shared" si="126"/>
        <v/>
      </c>
      <c r="F1160" s="21" t="str">
        <f>IF(OR(E1160="",E1160="!!!"),"",IF(NOT(ISNA(VLOOKUP(E1160,E$1:E1159,1,FALSE()))),"OLD",IF(AND(E1160&lt;&gt;"",E1160&lt;&gt;"!!!"),"NEW","")))</f>
        <v/>
      </c>
      <c r="G1160" s="22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3" t="str">
        <f t="shared" ca="1" si="127"/>
        <v/>
      </c>
      <c r="I1160" s="24" t="str">
        <f>IF(OR(E1160="",E1160="!!!",F1160="NEW"),"",INDEX(B$2:B1159,-1+SUMPRODUCT(MAX(ROW(E$2:E1159)*(E1160=E$2:E1159)))))</f>
        <v/>
      </c>
      <c r="J1160" s="24" t="str">
        <f ca="1">IF(OR(E1160="",E1160="!!!",F1160="NEW"),"",COUNTBLANK(OFFSET(A$1,,,SUMPRODUCT(MAX(ROW(E$2:E1160)*(E1160=E$2:E1160)))))-COUNTBLANK(OFFSET(A$1,,,SUMPRODUCT(MAX(ROW(E$1:E1159)*(E2=E$1:E1159))))))</f>
        <v/>
      </c>
      <c r="K1160" s="24" t="str">
        <f>IF(OR(E1160="",E1160="!!!",F1160="NEW"),"",INDEX(J$1:J1159,SUMPRODUCT(MAX(ROW(E$1:E1159)*(E1160=E$1:E1159)))))</f>
        <v/>
      </c>
      <c r="L1160" s="25"/>
    </row>
    <row r="1161" spans="1:12" x14ac:dyDescent="0.3">
      <c r="A1161" t="s">
        <v>875</v>
      </c>
      <c r="E1161" s="20" t="str">
        <f t="shared" si="126"/>
        <v/>
      </c>
      <c r="F1161" s="21" t="str">
        <f>IF(OR(E1161="",E1161="!!!"),"",IF(NOT(ISNA(VLOOKUP(E1161,E$1:E1160,1,FALSE()))),"OLD",IF(AND(E1161&lt;&gt;"",E1161&lt;&gt;"!!!"),"NEW","")))</f>
        <v/>
      </c>
      <c r="G1161" s="22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/>
      </c>
      <c r="H1161" s="23" t="str">
        <f t="shared" ca="1" si="127"/>
        <v/>
      </c>
      <c r="I1161" s="24" t="str">
        <f>IF(OR(E1161="",E1161="!!!",F1161="NEW"),"",INDEX(B$2:B1160,-1+SUMPRODUCT(MAX(ROW(E$2:E1160)*(E1161=E$2:E1160)))))</f>
        <v/>
      </c>
      <c r="J1161" s="24" t="str">
        <f ca="1">IF(OR(E1161="",E1161="!!!",F1161="NEW"),"",COUNTBLANK(OFFSET(A$1,,,SUMPRODUCT(MAX(ROW(E$2:E1161)*(E1161=E$2:E1161)))))-COUNTBLANK(OFFSET(A$1,,,SUMPRODUCT(MAX(ROW(E$1:E1160)*(E2=E$1:E1160))))))</f>
        <v/>
      </c>
      <c r="K1161" s="24" t="str">
        <f>IF(OR(E1161="",E1161="!!!",F1161="NEW"),"",INDEX(J$1:J1160,SUMPRODUCT(MAX(ROW(E$1:E1160)*(E1161=E$1:E1160)))))</f>
        <v/>
      </c>
      <c r="L1161" s="25"/>
    </row>
    <row r="1162" spans="1:12" x14ac:dyDescent="0.3">
      <c r="A1162" t="s">
        <v>876</v>
      </c>
      <c r="B1162" s="26" t="s">
        <v>330</v>
      </c>
      <c r="C1162" s="26" t="s">
        <v>366</v>
      </c>
      <c r="E1162" s="20" t="str">
        <f t="shared" si="126"/>
        <v/>
      </c>
      <c r="F1162" s="21" t="str">
        <f>IF(OR(E1162="",E1162="!!!"),"",IF(NOT(ISNA(VLOOKUP(E1162,E$1:E1161,1,FALSE()))),"OLD",IF(AND(E1162&lt;&gt;"",E1162&lt;&gt;"!!!"),"NEW","")))</f>
        <v/>
      </c>
      <c r="G1162" s="22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3" t="str">
        <f t="shared" ca="1" si="127"/>
        <v/>
      </c>
      <c r="I1162" s="24" t="str">
        <f>IF(OR(E1162="",E1162="!!!",F1162="NEW"),"",INDEX(B$2:B1161,-1+SUMPRODUCT(MAX(ROW(E$2:E1161)*(E1162=E$2:E1161)))))</f>
        <v/>
      </c>
      <c r="J1162" s="24" t="str">
        <f ca="1">IF(OR(E1162="",E1162="!!!",F1162="NEW"),"",COUNTBLANK(OFFSET(A$1,,,SUMPRODUCT(MAX(ROW(E$2:E1162)*(E1162=E$2:E1162)))))-COUNTBLANK(OFFSET(A$1,,,SUMPRODUCT(MAX(ROW(E$1:E1161)*(E2=E$1:E1161))))))</f>
        <v/>
      </c>
      <c r="K1162" s="24" t="str">
        <f>IF(OR(E1162="",E1162="!!!",F1162="NEW"),"",INDEX(J$1:J1161,SUMPRODUCT(MAX(ROW(E$1:E1161)*(E1162=E$1:E1161)))))</f>
        <v/>
      </c>
      <c r="L1162" s="25"/>
    </row>
    <row r="1163" spans="1:12" x14ac:dyDescent="0.3">
      <c r="A1163" t="s">
        <v>338</v>
      </c>
      <c r="E1163" s="20" t="str">
        <f t="shared" si="126"/>
        <v/>
      </c>
      <c r="F1163" s="21" t="str">
        <f>IF(OR(E1163="",E1163="!!!"),"",IF(NOT(ISNA(VLOOKUP(E1163,E$1:E1162,1,FALSE()))),"OLD",IF(AND(E1163&lt;&gt;"",E1163&lt;&gt;"!!!"),"NEW","")))</f>
        <v/>
      </c>
      <c r="G1163" s="22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3" t="str">
        <f t="shared" ca="1" si="127"/>
        <v/>
      </c>
      <c r="I1163" s="24" t="str">
        <f>IF(OR(E1163="",E1163="!!!",F1163="NEW"),"",INDEX(B$2:B1162,-1+SUMPRODUCT(MAX(ROW(E$2:E1162)*(E1163=E$2:E1162)))))</f>
        <v/>
      </c>
      <c r="J1163" s="24" t="str">
        <f ca="1">IF(OR(E1163="",E1163="!!!",F1163="NEW"),"",COUNTBLANK(OFFSET(A$1,,,SUMPRODUCT(MAX(ROW(E$2:E1163)*(E1163=E$2:E1163)))))-COUNTBLANK(OFFSET(A$1,,,SUMPRODUCT(MAX(ROW(E$1:E1162)*(E2=E$1:E1162))))))</f>
        <v/>
      </c>
      <c r="K1163" s="24" t="str">
        <f>IF(OR(E1163="",E1163="!!!",F1163="NEW"),"",INDEX(J$1:J1162,SUMPRODUCT(MAX(ROW(E$1:E1162)*(E1163=E$1:E1162)))))</f>
        <v/>
      </c>
      <c r="L1163" s="25"/>
    </row>
    <row r="1165" spans="1:12" x14ac:dyDescent="0.3">
      <c r="A1165" t="s">
        <v>877</v>
      </c>
    </row>
    <row r="1166" spans="1:12" x14ac:dyDescent="0.3">
      <c r="A1166" t="s">
        <v>878</v>
      </c>
      <c r="B1166" s="26" t="s">
        <v>337</v>
      </c>
      <c r="C1166" s="26" t="s">
        <v>496</v>
      </c>
      <c r="D1166" s="26" t="s">
        <v>332</v>
      </c>
      <c r="E1166" s="20" t="str">
        <f>IF(D1166="?OLD","!!!","")</f>
        <v>!!!</v>
      </c>
      <c r="F1166" s="21" t="str">
        <f>IF(OR(E1166="",E1166="!!!"),"",IF(NOT(ISNA(VLOOKUP(E1166,E$1:E1165,1,FALSE()))),"OLD",IF(AND(E1166&lt;&gt;"",E1166&lt;&gt;"!!!"),"NEW","")))</f>
        <v/>
      </c>
      <c r="G1166" s="22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3" t="str">
        <f ca="1">IF(J1166&lt;&gt;1,"",IF(I1166="SBJ","CB","?"))</f>
        <v/>
      </c>
      <c r="I1166" s="24" t="str">
        <f>IF(OR(E1166="",E1166="!!!",F1166="NEW"),"",INDEX(B$2:B1165,-1+SUMPRODUCT(MAX(ROW(E$2:E1165)*(E1166=E$2:E1165)))))</f>
        <v/>
      </c>
      <c r="J1166" s="24" t="str">
        <f ca="1">IF(OR(E1166="",E1166="!!!",F1166="NEW"),"",COUNTBLANK(OFFSET(A$1,,,SUMPRODUCT(MAX(ROW(E$2:E1166)*(E1166=E$2:E1166)))))-COUNTBLANK(OFFSET(A$1,,,SUMPRODUCT(MAX(ROW(E$1:E1165)*(E2=E$1:E1165))))))</f>
        <v/>
      </c>
      <c r="K1166" s="24" t="str">
        <f>IF(OR(E1166="",E1166="!!!",F1166="NEW"),"",INDEX(J$1:J1165,SUMPRODUCT(MAX(ROW(E$1:E1165)*(E1166=E$1:E1165)))))</f>
        <v/>
      </c>
      <c r="L1166" s="25"/>
    </row>
    <row r="1167" spans="1:12" x14ac:dyDescent="0.3">
      <c r="A1167" t="s">
        <v>338</v>
      </c>
      <c r="E1167" s="20" t="str">
        <f>IF(D1167="?OLD","!!!","")</f>
        <v/>
      </c>
      <c r="F1167" s="21" t="str">
        <f>IF(OR(E1167="",E1167="!!!"),"",IF(NOT(ISNA(VLOOKUP(E1167,E$1:E1166,1,FALSE()))),"OLD",IF(AND(E1167&lt;&gt;"",E1167&lt;&gt;"!!!"),"NEW","")))</f>
        <v/>
      </c>
      <c r="G1167" s="22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3" t="str">
        <f ca="1">IF(J1167&lt;&gt;1,"",IF(I1167="SBJ","CB","?"))</f>
        <v/>
      </c>
      <c r="I1167" s="24" t="str">
        <f>IF(OR(E1167="",E1167="!!!",F1167="NEW"),"",INDEX(B$2:B1166,-1+SUMPRODUCT(MAX(ROW(E$2:E1166)*(E1167=E$2:E1166)))))</f>
        <v/>
      </c>
      <c r="J1167" s="24" t="str">
        <f ca="1">IF(OR(E1167="",E1167="!!!",F1167="NEW"),"",COUNTBLANK(OFFSET(A$1,,,SUMPRODUCT(MAX(ROW(E$2:E1167)*(E1167=E$2:E1167)))))-COUNTBLANK(OFFSET(A$1,,,SUMPRODUCT(MAX(ROW(E$1:E1166)*(E2=E$1:E1166))))))</f>
        <v/>
      </c>
      <c r="K1167" s="24" t="str">
        <f>IF(OR(E1167="",E1167="!!!",F1167="NEW"),"",INDEX(J$1:J1166,SUMPRODUCT(MAX(ROW(E$1:E1166)*(E1167=E$1:E1166)))))</f>
        <v/>
      </c>
      <c r="L1167" s="25"/>
    </row>
    <row r="1169" spans="1:12" x14ac:dyDescent="0.3">
      <c r="A1169" t="s">
        <v>879</v>
      </c>
    </row>
    <row r="1170" spans="1:12" x14ac:dyDescent="0.3">
      <c r="A1170" t="s">
        <v>878</v>
      </c>
      <c r="B1170" s="26" t="s">
        <v>330</v>
      </c>
      <c r="C1170" s="26" t="s">
        <v>496</v>
      </c>
      <c r="D1170" s="26" t="s">
        <v>332</v>
      </c>
      <c r="E1170" s="20" t="str">
        <f t="shared" ref="E1170:E1193" si="128">IF(D1170="?OLD","!!!","")</f>
        <v>!!!</v>
      </c>
      <c r="F1170" s="21" t="str">
        <f>IF(OR(E1170="",E1170="!!!"),"",IF(NOT(ISNA(VLOOKUP(E1170,E$1:E1169,1,FALSE()))),"OLD",IF(AND(E1170&lt;&gt;"",E1170&lt;&gt;"!!!"),"NEW","")))</f>
        <v/>
      </c>
      <c r="G1170" s="22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/>
      </c>
      <c r="H1170" s="23" t="str">
        <f t="shared" ref="H1170:H1193" ca="1" si="129">IF(J1170&lt;&gt;1,"",IF(I1170="SBJ","CB","?"))</f>
        <v/>
      </c>
      <c r="I1170" s="24" t="str">
        <f>IF(OR(E1170="",E1170="!!!",F1170="NEW"),"",INDEX(B$2:B1169,-1+SUMPRODUCT(MAX(ROW(E$2:E1169)*(E1170=E$2:E1169)))))</f>
        <v/>
      </c>
      <c r="J1170" s="24" t="str">
        <f ca="1">IF(OR(E1170="",E1170="!!!",F1170="NEW"),"",COUNTBLANK(OFFSET(A$1,,,SUMPRODUCT(MAX(ROW(E$2:E1170)*(E1170=E$2:E1170)))))-COUNTBLANK(OFFSET(A$1,,,SUMPRODUCT(MAX(ROW(E$1:E1169)*(E2=E$1:E1169))))))</f>
        <v/>
      </c>
      <c r="K1170" s="24" t="str">
        <f>IF(OR(E1170="",E1170="!!!",F1170="NEW"),"",INDEX(J$1:J1169,SUMPRODUCT(MAX(ROW(E$1:E1169)*(E1170=E$1:E1169)))))</f>
        <v/>
      </c>
      <c r="L1170" s="25"/>
    </row>
    <row r="1171" spans="1:12" x14ac:dyDescent="0.3">
      <c r="A1171" t="s">
        <v>333</v>
      </c>
      <c r="E1171" s="20" t="str">
        <f t="shared" si="128"/>
        <v/>
      </c>
      <c r="F1171" s="21" t="str">
        <f>IF(OR(E1171="",E1171="!!!"),"",IF(NOT(ISNA(VLOOKUP(E1171,E$1:E1170,1,FALSE()))),"OLD",IF(AND(E1171&lt;&gt;"",E1171&lt;&gt;"!!!"),"NEW","")))</f>
        <v/>
      </c>
      <c r="G1171" s="22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/>
      </c>
      <c r="H1171" s="23" t="str">
        <f t="shared" ca="1" si="129"/>
        <v/>
      </c>
      <c r="I1171" s="24" t="str">
        <f>IF(OR(E1171="",E1171="!!!",F1171="NEW"),"",INDEX(B$2:B1170,-1+SUMPRODUCT(MAX(ROW(E$2:E1170)*(E1171=E$2:E1170)))))</f>
        <v/>
      </c>
      <c r="J1171" s="24" t="str">
        <f ca="1">IF(OR(E1171="",E1171="!!!",F1171="NEW"),"",COUNTBLANK(OFFSET(A$1,,,SUMPRODUCT(MAX(ROW(E$2:E1171)*(E1171=E$2:E1171)))))-COUNTBLANK(OFFSET(A$1,,,SUMPRODUCT(MAX(ROW(E$1:E1170)*(E2=E$1:E1170))))))</f>
        <v/>
      </c>
      <c r="K1171" s="24" t="str">
        <f>IF(OR(E1171="",E1171="!!!",F1171="NEW"),"",INDEX(J$1:J1170,SUMPRODUCT(MAX(ROW(E$1:E1170)*(E1171=E$1:E1170)))))</f>
        <v/>
      </c>
      <c r="L1171" s="25"/>
    </row>
    <row r="1172" spans="1:12" x14ac:dyDescent="0.3">
      <c r="A1172" t="s">
        <v>542</v>
      </c>
      <c r="E1172" s="20" t="str">
        <f t="shared" si="128"/>
        <v/>
      </c>
      <c r="F1172" s="21" t="str">
        <f>IF(OR(E1172="",E1172="!!!"),"",IF(NOT(ISNA(VLOOKUP(E1172,E$1:E1171,1,FALSE()))),"OLD",IF(AND(E1172&lt;&gt;"",E1172&lt;&gt;"!!!"),"NEW","")))</f>
        <v/>
      </c>
      <c r="G1172" s="22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23" t="str">
        <f t="shared" ca="1" si="129"/>
        <v/>
      </c>
      <c r="I1172" s="24" t="str">
        <f>IF(OR(E1172="",E1172="!!!",F1172="NEW"),"",INDEX(B$2:B1171,-1+SUMPRODUCT(MAX(ROW(E$2:E1171)*(E1172=E$2:E1171)))))</f>
        <v/>
      </c>
      <c r="J1172" s="24" t="str">
        <f ca="1">IF(OR(E1172="",E1172="!!!",F1172="NEW"),"",COUNTBLANK(OFFSET(A$1,,,SUMPRODUCT(MAX(ROW(E$2:E1172)*(E1172=E$2:E1172)))))-COUNTBLANK(OFFSET(A$1,,,SUMPRODUCT(MAX(ROW(E$1:E1171)*(E2=E$1:E1171))))))</f>
        <v/>
      </c>
      <c r="K1172" s="24" t="str">
        <f>IF(OR(E1172="",E1172="!!!",F1172="NEW"),"",INDEX(J$1:J1171,SUMPRODUCT(MAX(ROW(E$1:E1171)*(E1172=E$1:E1171)))))</f>
        <v/>
      </c>
      <c r="L1172" s="25"/>
    </row>
    <row r="1173" spans="1:12" x14ac:dyDescent="0.3">
      <c r="A1173" t="s">
        <v>421</v>
      </c>
      <c r="B1173" s="26" t="s">
        <v>337</v>
      </c>
      <c r="C1173" s="26" t="s">
        <v>544</v>
      </c>
      <c r="E1173" s="20" t="str">
        <f t="shared" si="128"/>
        <v/>
      </c>
      <c r="F1173" s="21" t="str">
        <f>IF(OR(E1173="",E1173="!!!"),"",IF(NOT(ISNA(VLOOKUP(E1173,E$1:E1172,1,FALSE()))),"OLD",IF(AND(E1173&lt;&gt;"",E1173&lt;&gt;"!!!"),"NEW","")))</f>
        <v/>
      </c>
      <c r="G1173" s="22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3" t="str">
        <f t="shared" ca="1" si="129"/>
        <v/>
      </c>
      <c r="I1173" s="24" t="str">
        <f>IF(OR(E1173="",E1173="!!!",F1173="NEW"),"",INDEX(B$2:B1172,-1+SUMPRODUCT(MAX(ROW(E$2:E1172)*(E1173=E$2:E1172)))))</f>
        <v/>
      </c>
      <c r="J1173" s="24" t="str">
        <f ca="1">IF(OR(E1173="",E1173="!!!",F1173="NEW"),"",COUNTBLANK(OFFSET(A$1,,,SUMPRODUCT(MAX(ROW(E$2:E1173)*(E1173=E$2:E1173)))))-COUNTBLANK(OFFSET(A$1,,,SUMPRODUCT(MAX(ROW(E$1:E1172)*(E2=E$1:E1172))))))</f>
        <v/>
      </c>
      <c r="K1173" s="24" t="str">
        <f>IF(OR(E1173="",E1173="!!!",F1173="NEW"),"",INDEX(J$1:J1172,SUMPRODUCT(MAX(ROW(E$1:E1172)*(E1173=E$1:E1172)))))</f>
        <v/>
      </c>
      <c r="L1173" s="25"/>
    </row>
    <row r="1174" spans="1:12" x14ac:dyDescent="0.3">
      <c r="A1174" t="s">
        <v>477</v>
      </c>
      <c r="E1174" s="20" t="str">
        <f t="shared" si="128"/>
        <v/>
      </c>
      <c r="F1174" s="21" t="str">
        <f>IF(OR(E1174="",E1174="!!!"),"",IF(NOT(ISNA(VLOOKUP(E1174,E$1:E1173,1,FALSE()))),"OLD",IF(AND(E1174&lt;&gt;"",E1174&lt;&gt;"!!!"),"NEW","")))</f>
        <v/>
      </c>
      <c r="G1174" s="22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3" t="str">
        <f t="shared" ca="1" si="129"/>
        <v/>
      </c>
      <c r="I1174" s="24" t="str">
        <f>IF(OR(E1174="",E1174="!!!",F1174="NEW"),"",INDEX(B$2:B1173,-1+SUMPRODUCT(MAX(ROW(E$2:E1173)*(E1174=E$2:E1173)))))</f>
        <v/>
      </c>
      <c r="J1174" s="24" t="str">
        <f ca="1">IF(OR(E1174="",E1174="!!!",F1174="NEW"),"",COUNTBLANK(OFFSET(A$1,,,SUMPRODUCT(MAX(ROW(E$2:E1174)*(E1174=E$2:E1174)))))-COUNTBLANK(OFFSET(A$1,,,SUMPRODUCT(MAX(ROW(E$1:E1173)*(E2=E$1:E1173))))))</f>
        <v/>
      </c>
      <c r="K1174" s="24" t="str">
        <f>IF(OR(E1174="",E1174="!!!",F1174="NEW"),"",INDEX(J$1:J1173,SUMPRODUCT(MAX(ROW(E$1:E1173)*(E1174=E$1:E1173)))))</f>
        <v/>
      </c>
      <c r="L1174" s="25"/>
    </row>
    <row r="1175" spans="1:12" x14ac:dyDescent="0.3">
      <c r="A1175" t="s">
        <v>587</v>
      </c>
      <c r="B1175" s="26" t="s">
        <v>337</v>
      </c>
      <c r="C1175" s="26" t="s">
        <v>355</v>
      </c>
      <c r="E1175" s="20" t="str">
        <f t="shared" si="128"/>
        <v/>
      </c>
      <c r="F1175" s="21" t="str">
        <f>IF(OR(E1175="",E1175="!!!"),"",IF(NOT(ISNA(VLOOKUP(E1175,E$1:E1174,1,FALSE()))),"OLD",IF(AND(E1175&lt;&gt;"",E1175&lt;&gt;"!!!"),"NEW","")))</f>
        <v/>
      </c>
      <c r="G1175" s="22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3" t="str">
        <f t="shared" ca="1" si="129"/>
        <v/>
      </c>
      <c r="I1175" s="24" t="str">
        <f>IF(OR(E1175="",E1175="!!!",F1175="NEW"),"",INDEX(B$2:B1174,-1+SUMPRODUCT(MAX(ROW(E$2:E1174)*(E1175=E$2:E1174)))))</f>
        <v/>
      </c>
      <c r="J1175" s="24" t="str">
        <f ca="1">IF(OR(E1175="",E1175="!!!",F1175="NEW"),"",COUNTBLANK(OFFSET(A$1,,,SUMPRODUCT(MAX(ROW(E$2:E1175)*(E1175=E$2:E1175)))))-COUNTBLANK(OFFSET(A$1,,,SUMPRODUCT(MAX(ROW(E$1:E1174)*(E2=E$1:E1174))))))</f>
        <v/>
      </c>
      <c r="K1175" s="24" t="str">
        <f>IF(OR(E1175="",E1175="!!!",F1175="NEW"),"",INDEX(J$1:J1174,SUMPRODUCT(MAX(ROW(E$1:E1174)*(E1175=E$1:E1174)))))</f>
        <v/>
      </c>
      <c r="L1175" s="25"/>
    </row>
    <row r="1176" spans="1:12" x14ac:dyDescent="0.3">
      <c r="A1176" t="s">
        <v>334</v>
      </c>
      <c r="E1176" s="20" t="str">
        <f t="shared" si="128"/>
        <v/>
      </c>
      <c r="F1176" s="21" t="str">
        <f>IF(OR(E1176="",E1176="!!!"),"",IF(NOT(ISNA(VLOOKUP(E1176,E$1:E1175,1,FALSE()))),"OLD",IF(AND(E1176&lt;&gt;"",E1176&lt;&gt;"!!!"),"NEW","")))</f>
        <v/>
      </c>
      <c r="G1176" s="22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3" t="str">
        <f t="shared" ca="1" si="129"/>
        <v/>
      </c>
      <c r="I1176" s="24" t="str">
        <f>IF(OR(E1176="",E1176="!!!",F1176="NEW"),"",INDEX(B$2:B1175,-1+SUMPRODUCT(MAX(ROW(E$2:E1175)*(E1176=E$2:E1175)))))</f>
        <v/>
      </c>
      <c r="J1176" s="24" t="str">
        <f ca="1">IF(OR(E1176="",E1176="!!!",F1176="NEW"),"",COUNTBLANK(OFFSET(A$1,,,SUMPRODUCT(MAX(ROW(E$2:E1176)*(E1176=E$2:E1176)))))-COUNTBLANK(OFFSET(A$1,,,SUMPRODUCT(MAX(ROW(E$1:E1175)*(E2=E$1:E1175))))))</f>
        <v/>
      </c>
      <c r="K1176" s="24" t="str">
        <f>IF(OR(E1176="",E1176="!!!",F1176="NEW"),"",INDEX(J$1:J1175,SUMPRODUCT(MAX(ROW(E$1:E1175)*(E1176=E$1:E1175)))))</f>
        <v/>
      </c>
      <c r="L1176" s="25"/>
    </row>
    <row r="1177" spans="1:12" x14ac:dyDescent="0.3">
      <c r="A1177" t="s">
        <v>335</v>
      </c>
      <c r="E1177" s="20" t="str">
        <f t="shared" si="128"/>
        <v/>
      </c>
      <c r="F1177" s="21" t="str">
        <f>IF(OR(E1177="",E1177="!!!"),"",IF(NOT(ISNA(VLOOKUP(E1177,E$1:E1176,1,FALSE()))),"OLD",IF(AND(E1177&lt;&gt;"",E1177&lt;&gt;"!!!"),"NEW","")))</f>
        <v/>
      </c>
      <c r="G1177" s="22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3" t="str">
        <f t="shared" ca="1" si="129"/>
        <v/>
      </c>
      <c r="I1177" s="24" t="str">
        <f>IF(OR(E1177="",E1177="!!!",F1177="NEW"),"",INDEX(B$2:B1176,-1+SUMPRODUCT(MAX(ROW(E$2:E1176)*(E1177=E$2:E1176)))))</f>
        <v/>
      </c>
      <c r="J1177" s="24" t="str">
        <f ca="1">IF(OR(E1177="",E1177="!!!",F1177="NEW"),"",COUNTBLANK(OFFSET(A$1,,,SUMPRODUCT(MAX(ROW(E$2:E1177)*(E1177=E$2:E1177)))))-COUNTBLANK(OFFSET(A$1,,,SUMPRODUCT(MAX(ROW(E$1:E1176)*(E2=E$1:E1176))))))</f>
        <v/>
      </c>
      <c r="K1177" s="24" t="str">
        <f>IF(OR(E1177="",E1177="!!!",F1177="NEW"),"",INDEX(J$1:J1176,SUMPRODUCT(MAX(ROW(E$1:E1176)*(E1177=E$1:E1176)))))</f>
        <v/>
      </c>
      <c r="L1177" s="25"/>
    </row>
    <row r="1178" spans="1:12" x14ac:dyDescent="0.3">
      <c r="A1178" t="s">
        <v>880</v>
      </c>
      <c r="B1178" s="26" t="s">
        <v>378</v>
      </c>
      <c r="C1178" s="26" t="s">
        <v>331</v>
      </c>
      <c r="D1178" s="26" t="s">
        <v>332</v>
      </c>
      <c r="E1178" s="20" t="str">
        <f t="shared" si="128"/>
        <v>!!!</v>
      </c>
      <c r="F1178" s="21" t="str">
        <f>IF(OR(E1178="",E1178="!!!"),"",IF(NOT(ISNA(VLOOKUP(E1178,E$1:E1177,1,FALSE()))),"OLD",IF(AND(E1178&lt;&gt;"",E1178&lt;&gt;"!!!"),"NEW","")))</f>
        <v/>
      </c>
      <c r="G1178" s="22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3" t="str">
        <f t="shared" ca="1" si="129"/>
        <v/>
      </c>
      <c r="I1178" s="24" t="str">
        <f>IF(OR(E1178="",E1178="!!!",F1178="NEW"),"",INDEX(B$2:B1177,-1+SUMPRODUCT(MAX(ROW(E$2:E1177)*(E1178=E$2:E1177)))))</f>
        <v/>
      </c>
      <c r="J1178" s="24" t="str">
        <f ca="1">IF(OR(E1178="",E1178="!!!",F1178="NEW"),"",COUNTBLANK(OFFSET(A$1,,,SUMPRODUCT(MAX(ROW(E$2:E1178)*(E1178=E$2:E1178)))))-COUNTBLANK(OFFSET(A$1,,,SUMPRODUCT(MAX(ROW(E$1:E1177)*(E2=E$1:E1177))))))</f>
        <v/>
      </c>
      <c r="K1178" s="24" t="str">
        <f>IF(OR(E1178="",E1178="!!!",F1178="NEW"),"",INDEX(J$1:J1177,SUMPRODUCT(MAX(ROW(E$1:E1177)*(E1178=E$1:E1177)))))</f>
        <v/>
      </c>
      <c r="L1178" s="25"/>
    </row>
    <row r="1179" spans="1:12" x14ac:dyDescent="0.3">
      <c r="A1179" t="s">
        <v>385</v>
      </c>
      <c r="E1179" s="20" t="str">
        <f t="shared" si="128"/>
        <v/>
      </c>
      <c r="F1179" s="21" t="str">
        <f>IF(OR(E1179="",E1179="!!!"),"",IF(NOT(ISNA(VLOOKUP(E1179,E$1:E1178,1,FALSE()))),"OLD",IF(AND(E1179&lt;&gt;"",E1179&lt;&gt;"!!!"),"NEW","")))</f>
        <v/>
      </c>
      <c r="G1179" s="22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/>
      </c>
      <c r="H1179" s="23" t="str">
        <f t="shared" ca="1" si="129"/>
        <v/>
      </c>
      <c r="I1179" s="24" t="str">
        <f>IF(OR(E1179="",E1179="!!!",F1179="NEW"),"",INDEX(B$2:B1178,-1+SUMPRODUCT(MAX(ROW(E$2:E1178)*(E1179=E$2:E1178)))))</f>
        <v/>
      </c>
      <c r="J1179" s="24" t="str">
        <f ca="1">IF(OR(E1179="",E1179="!!!",F1179="NEW"),"",COUNTBLANK(OFFSET(A$1,,,SUMPRODUCT(MAX(ROW(E$2:E1179)*(E1179=E$2:E1179)))))-COUNTBLANK(OFFSET(A$1,,,SUMPRODUCT(MAX(ROW(E$1:E1178)*(E2=E$1:E1178))))))</f>
        <v/>
      </c>
      <c r="K1179" s="24" t="str">
        <f>IF(OR(E1179="",E1179="!!!",F1179="NEW"),"",INDEX(J$1:J1178,SUMPRODUCT(MAX(ROW(E$1:E1178)*(E1179=E$1:E1178)))))</f>
        <v/>
      </c>
      <c r="L1179" s="25"/>
    </row>
    <row r="1180" spans="1:12" x14ac:dyDescent="0.3">
      <c r="A1180" t="s">
        <v>334</v>
      </c>
      <c r="E1180" s="20" t="str">
        <f t="shared" si="128"/>
        <v/>
      </c>
      <c r="F1180" s="21" t="str">
        <f>IF(OR(E1180="",E1180="!!!"),"",IF(NOT(ISNA(VLOOKUP(E1180,E$1:E1179,1,FALSE()))),"OLD",IF(AND(E1180&lt;&gt;"",E1180&lt;&gt;"!!!"),"NEW","")))</f>
        <v/>
      </c>
      <c r="G1180" s="22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3" t="str">
        <f t="shared" ca="1" si="129"/>
        <v/>
      </c>
      <c r="I1180" s="24" t="str">
        <f>IF(OR(E1180="",E1180="!!!",F1180="NEW"),"",INDEX(B$2:B1179,-1+SUMPRODUCT(MAX(ROW(E$2:E1179)*(E1180=E$2:E1179)))))</f>
        <v/>
      </c>
      <c r="J1180" s="24" t="str">
        <f ca="1">IF(OR(E1180="",E1180="!!!",F1180="NEW"),"",COUNTBLANK(OFFSET(A$1,,,SUMPRODUCT(MAX(ROW(E$2:E1180)*(E1180=E$2:E1180)))))-COUNTBLANK(OFFSET(A$1,,,SUMPRODUCT(MAX(ROW(E$1:E1179)*(E2=E$1:E1179))))))</f>
        <v/>
      </c>
      <c r="K1180" s="24" t="str">
        <f>IF(OR(E1180="",E1180="!!!",F1180="NEW"),"",INDEX(J$1:J1179,SUMPRODUCT(MAX(ROW(E$1:E1179)*(E1180=E$1:E1179)))))</f>
        <v/>
      </c>
      <c r="L1180" s="25"/>
    </row>
    <row r="1181" spans="1:12" x14ac:dyDescent="0.3">
      <c r="A1181" t="s">
        <v>335</v>
      </c>
      <c r="E1181" s="20" t="str">
        <f t="shared" si="128"/>
        <v/>
      </c>
      <c r="F1181" s="21" t="str">
        <f>IF(OR(E1181="",E1181="!!!"),"",IF(NOT(ISNA(VLOOKUP(E1181,E$1:E1180,1,FALSE()))),"OLD",IF(AND(E1181&lt;&gt;"",E1181&lt;&gt;"!!!"),"NEW","")))</f>
        <v/>
      </c>
      <c r="G1181" s="22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3" t="str">
        <f t="shared" ca="1" si="129"/>
        <v/>
      </c>
      <c r="I1181" s="24" t="str">
        <f>IF(OR(E1181="",E1181="!!!",F1181="NEW"),"",INDEX(B$2:B1180,-1+SUMPRODUCT(MAX(ROW(E$2:E1180)*(E1181=E$2:E1180)))))</f>
        <v/>
      </c>
      <c r="J1181" s="24" t="str">
        <f ca="1">IF(OR(E1181="",E1181="!!!",F1181="NEW"),"",COUNTBLANK(OFFSET(A$1,,,SUMPRODUCT(MAX(ROW(E$2:E1181)*(E1181=E$2:E1181)))))-COUNTBLANK(OFFSET(A$1,,,SUMPRODUCT(MAX(ROW(E$1:E1180)*(E2=E$1:E1180))))))</f>
        <v/>
      </c>
      <c r="K1181" s="24" t="str">
        <f>IF(OR(E1181="",E1181="!!!",F1181="NEW"),"",INDEX(J$1:J1180,SUMPRODUCT(MAX(ROW(E$1:E1180)*(E1181=E$1:E1180)))))</f>
        <v/>
      </c>
      <c r="L1181" s="25"/>
    </row>
    <row r="1182" spans="1:12" x14ac:dyDescent="0.3">
      <c r="A1182" t="s">
        <v>881</v>
      </c>
      <c r="E1182" s="20" t="str">
        <f t="shared" si="128"/>
        <v/>
      </c>
      <c r="F1182" s="21" t="str">
        <f>IF(OR(E1182="",E1182="!!!"),"",IF(NOT(ISNA(VLOOKUP(E1182,E$1:E1181,1,FALSE()))),"OLD",IF(AND(E1182&lt;&gt;"",E1182&lt;&gt;"!!!"),"NEW","")))</f>
        <v/>
      </c>
      <c r="G1182" s="22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3" t="str">
        <f t="shared" ca="1" si="129"/>
        <v/>
      </c>
      <c r="I1182" s="24" t="str">
        <f>IF(OR(E1182="",E1182="!!!",F1182="NEW"),"",INDEX(B$2:B1181,-1+SUMPRODUCT(MAX(ROW(E$2:E1181)*(E1182=E$2:E1181)))))</f>
        <v/>
      </c>
      <c r="J1182" s="24" t="str">
        <f ca="1">IF(OR(E1182="",E1182="!!!",F1182="NEW"),"",COUNTBLANK(OFFSET(A$1,,,SUMPRODUCT(MAX(ROW(E$2:E1182)*(E1182=E$2:E1182)))))-COUNTBLANK(OFFSET(A$1,,,SUMPRODUCT(MAX(ROW(E$1:E1181)*(E2=E$1:E1181))))))</f>
        <v/>
      </c>
      <c r="K1182" s="24" t="str">
        <f>IF(OR(E1182="",E1182="!!!",F1182="NEW"),"",INDEX(J$1:J1181,SUMPRODUCT(MAX(ROW(E$1:E1181)*(E1182=E$1:E1181)))))</f>
        <v/>
      </c>
      <c r="L1182" s="25"/>
    </row>
    <row r="1183" spans="1:12" x14ac:dyDescent="0.3">
      <c r="A1183" t="s">
        <v>882</v>
      </c>
      <c r="B1183" s="26" t="s">
        <v>337</v>
      </c>
      <c r="C1183" s="26" t="s">
        <v>331</v>
      </c>
      <c r="D1183" s="26" t="s">
        <v>332</v>
      </c>
      <c r="E1183" s="20" t="str">
        <f t="shared" si="128"/>
        <v>!!!</v>
      </c>
      <c r="F1183" s="21" t="str">
        <f>IF(OR(E1183="",E1183="!!!"),"",IF(NOT(ISNA(VLOOKUP(E1183,E$1:E1182,1,FALSE()))),"OLD",IF(AND(E1183&lt;&gt;"",E1183&lt;&gt;"!!!"),"NEW","")))</f>
        <v/>
      </c>
      <c r="G1183" s="22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3" t="str">
        <f t="shared" ca="1" si="129"/>
        <v/>
      </c>
      <c r="I1183" s="24" t="str">
        <f>IF(OR(E1183="",E1183="!!!",F1183="NEW"),"",INDEX(B$2:B1182,-1+SUMPRODUCT(MAX(ROW(E$2:E1182)*(E1183=E$2:E1182)))))</f>
        <v/>
      </c>
      <c r="J1183" s="24" t="str">
        <f ca="1">IF(OR(E1183="",E1183="!!!",F1183="NEW"),"",COUNTBLANK(OFFSET(A$1,,,SUMPRODUCT(MAX(ROW(E$2:E1183)*(E1183=E$2:E1183)))))-COUNTBLANK(OFFSET(A$1,,,SUMPRODUCT(MAX(ROW(E$1:E1182)*(E2=E$1:E1182))))))</f>
        <v/>
      </c>
      <c r="K1183" s="24" t="str">
        <f>IF(OR(E1183="",E1183="!!!",F1183="NEW"),"",INDEX(J$1:J1182,SUMPRODUCT(MAX(ROW(E$1:E1182)*(E1183=E$1:E1182)))))</f>
        <v/>
      </c>
      <c r="L1183" s="25"/>
    </row>
    <row r="1184" spans="1:12" x14ac:dyDescent="0.3">
      <c r="A1184" t="s">
        <v>334</v>
      </c>
      <c r="E1184" s="20" t="str">
        <f t="shared" si="128"/>
        <v/>
      </c>
      <c r="F1184" s="21" t="str">
        <f>IF(OR(E1184="",E1184="!!!"),"",IF(NOT(ISNA(VLOOKUP(E1184,E$1:E1183,1,FALSE()))),"OLD",IF(AND(E1184&lt;&gt;"",E1184&lt;&gt;"!!!"),"NEW","")))</f>
        <v/>
      </c>
      <c r="G1184" s="22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3" t="str">
        <f t="shared" ca="1" si="129"/>
        <v/>
      </c>
      <c r="I1184" s="24" t="str">
        <f>IF(OR(E1184="",E1184="!!!",F1184="NEW"),"",INDEX(B$2:B1183,-1+SUMPRODUCT(MAX(ROW(E$2:E1183)*(E1184=E$2:E1183)))))</f>
        <v/>
      </c>
      <c r="J1184" s="24" t="str">
        <f ca="1">IF(OR(E1184="",E1184="!!!",F1184="NEW"),"",COUNTBLANK(OFFSET(A$1,,,SUMPRODUCT(MAX(ROW(E$2:E1184)*(E1184=E$2:E1184)))))-COUNTBLANK(OFFSET(A$1,,,SUMPRODUCT(MAX(ROW(E$1:E1183)*(E2=E$1:E1183))))))</f>
        <v/>
      </c>
      <c r="K1184" s="24" t="str">
        <f>IF(OR(E1184="",E1184="!!!",F1184="NEW"),"",INDEX(J$1:J1183,SUMPRODUCT(MAX(ROW(E$1:E1183)*(E1184=E$1:E1183)))))</f>
        <v/>
      </c>
      <c r="L1184" s="25"/>
    </row>
    <row r="1185" spans="1:12" x14ac:dyDescent="0.3">
      <c r="A1185" t="s">
        <v>883</v>
      </c>
      <c r="B1185" s="26" t="s">
        <v>378</v>
      </c>
      <c r="C1185" s="26" t="s">
        <v>496</v>
      </c>
      <c r="D1185" s="26" t="s">
        <v>332</v>
      </c>
      <c r="E1185" s="20" t="str">
        <f t="shared" si="128"/>
        <v>!!!</v>
      </c>
      <c r="F1185" s="21" t="str">
        <f>IF(OR(E1185="",E1185="!!!"),"",IF(NOT(ISNA(VLOOKUP(E1185,E$1:E1184,1,FALSE()))),"OLD",IF(AND(E1185&lt;&gt;"",E1185&lt;&gt;"!!!"),"NEW","")))</f>
        <v/>
      </c>
      <c r="G1185" s="22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3" t="str">
        <f t="shared" ca="1" si="129"/>
        <v/>
      </c>
      <c r="I1185" s="24" t="str">
        <f>IF(OR(E1185="",E1185="!!!",F1185="NEW"),"",INDEX(B$2:B1184,-1+SUMPRODUCT(MAX(ROW(E$2:E1184)*(E1185=E$2:E1184)))))</f>
        <v/>
      </c>
      <c r="J1185" s="24" t="str">
        <f ca="1">IF(OR(E1185="",E1185="!!!",F1185="NEW"),"",COUNTBLANK(OFFSET(A$1,,,SUMPRODUCT(MAX(ROW(E$2:E1185)*(E1185=E$2:E1185)))))-COUNTBLANK(OFFSET(A$1,,,SUMPRODUCT(MAX(ROW(E$1:E1184)*(E2=E$1:E1184))))))</f>
        <v/>
      </c>
      <c r="K1185" s="24" t="str">
        <f>IF(OR(E1185="",E1185="!!!",F1185="NEW"),"",INDEX(J$1:J1184,SUMPRODUCT(MAX(ROW(E$1:E1184)*(E1185=E$1:E1184)))))</f>
        <v/>
      </c>
      <c r="L1185" s="25"/>
    </row>
    <row r="1186" spans="1:12" x14ac:dyDescent="0.3">
      <c r="A1186" t="s">
        <v>351</v>
      </c>
      <c r="E1186" s="20" t="str">
        <f t="shared" si="128"/>
        <v/>
      </c>
      <c r="F1186" s="21" t="str">
        <f>IF(OR(E1186="",E1186="!!!"),"",IF(NOT(ISNA(VLOOKUP(E1186,E$1:E1185,1,FALSE()))),"OLD",IF(AND(E1186&lt;&gt;"",E1186&lt;&gt;"!!!"),"NEW","")))</f>
        <v/>
      </c>
      <c r="G1186" s="22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3" t="str">
        <f t="shared" ca="1" si="129"/>
        <v/>
      </c>
      <c r="I1186" s="24" t="str">
        <f>IF(OR(E1186="",E1186="!!!",F1186="NEW"),"",INDEX(B$2:B1185,-1+SUMPRODUCT(MAX(ROW(E$2:E1185)*(E1186=E$2:E1185)))))</f>
        <v/>
      </c>
      <c r="J1186" s="24" t="str">
        <f ca="1">IF(OR(E1186="",E1186="!!!",F1186="NEW"),"",COUNTBLANK(OFFSET(A$1,,,SUMPRODUCT(MAX(ROW(E$2:E1186)*(E1186=E$2:E1186)))))-COUNTBLANK(OFFSET(A$1,,,SUMPRODUCT(MAX(ROW(E$1:E1185)*(E2=E$1:E1185))))))</f>
        <v/>
      </c>
      <c r="K1186" s="24" t="str">
        <f>IF(OR(E1186="",E1186="!!!",F1186="NEW"),"",INDEX(J$1:J1185,SUMPRODUCT(MAX(ROW(E$1:E1185)*(E1186=E$1:E1185)))))</f>
        <v/>
      </c>
      <c r="L1186" s="25"/>
    </row>
    <row r="1187" spans="1:12" x14ac:dyDescent="0.3">
      <c r="A1187" t="s">
        <v>801</v>
      </c>
      <c r="E1187" s="20" t="str">
        <f t="shared" si="128"/>
        <v/>
      </c>
      <c r="F1187" s="21" t="str">
        <f>IF(OR(E1187="",E1187="!!!"),"",IF(NOT(ISNA(VLOOKUP(E1187,E$1:E1186,1,FALSE()))),"OLD",IF(AND(E1187&lt;&gt;"",E1187&lt;&gt;"!!!"),"NEW","")))</f>
        <v/>
      </c>
      <c r="G1187" s="22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23" t="str">
        <f t="shared" ca="1" si="129"/>
        <v/>
      </c>
      <c r="I1187" s="24" t="str">
        <f>IF(OR(E1187="",E1187="!!!",F1187="NEW"),"",INDEX(B$2:B1186,-1+SUMPRODUCT(MAX(ROW(E$2:E1186)*(E1187=E$2:E1186)))))</f>
        <v/>
      </c>
      <c r="J1187" s="24" t="str">
        <f ca="1">IF(OR(E1187="",E1187="!!!",F1187="NEW"),"",COUNTBLANK(OFFSET(A$1,,,SUMPRODUCT(MAX(ROW(E$2:E1187)*(E1187=E$2:E1187)))))-COUNTBLANK(OFFSET(A$1,,,SUMPRODUCT(MAX(ROW(E$1:E1186)*(E2=E$1:E1186))))))</f>
        <v/>
      </c>
      <c r="K1187" s="24" t="str">
        <f>IF(OR(E1187="",E1187="!!!",F1187="NEW"),"",INDEX(J$1:J1186,SUMPRODUCT(MAX(ROW(E$1:E1186)*(E1187=E$1:E1186)))))</f>
        <v/>
      </c>
      <c r="L1187" s="25"/>
    </row>
    <row r="1188" spans="1:12" x14ac:dyDescent="0.3">
      <c r="A1188" t="s">
        <v>659</v>
      </c>
      <c r="E1188" s="20" t="str">
        <f t="shared" si="128"/>
        <v/>
      </c>
      <c r="F1188" s="21" t="str">
        <f>IF(OR(E1188="",E1188="!!!"),"",IF(NOT(ISNA(VLOOKUP(E1188,E$1:E1187,1,FALSE()))),"OLD",IF(AND(E1188&lt;&gt;"",E1188&lt;&gt;"!!!"),"NEW","")))</f>
        <v/>
      </c>
      <c r="G1188" s="22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3" t="str">
        <f t="shared" ca="1" si="129"/>
        <v/>
      </c>
      <c r="I1188" s="24" t="str">
        <f>IF(OR(E1188="",E1188="!!!",F1188="NEW"),"",INDEX(B$2:B1187,-1+SUMPRODUCT(MAX(ROW(E$2:E1187)*(E1188=E$2:E1187)))))</f>
        <v/>
      </c>
      <c r="J1188" s="24" t="str">
        <f ca="1">IF(OR(E1188="",E1188="!!!",F1188="NEW"),"",COUNTBLANK(OFFSET(A$1,,,SUMPRODUCT(MAX(ROW(E$2:E1188)*(E1188=E$2:E1188)))))-COUNTBLANK(OFFSET(A$1,,,SUMPRODUCT(MAX(ROW(E$1:E1187)*(E2=E$1:E1187))))))</f>
        <v/>
      </c>
      <c r="K1188" s="24" t="str">
        <f>IF(OR(E1188="",E1188="!!!",F1188="NEW"),"",INDEX(J$1:J1187,SUMPRODUCT(MAX(ROW(E$1:E1187)*(E1188=E$1:E1187)))))</f>
        <v/>
      </c>
      <c r="L1188" s="25"/>
    </row>
    <row r="1189" spans="1:12" x14ac:dyDescent="0.3">
      <c r="A1189" t="s">
        <v>884</v>
      </c>
      <c r="B1189" s="26" t="s">
        <v>378</v>
      </c>
      <c r="C1189" s="26" t="s">
        <v>544</v>
      </c>
      <c r="E1189" s="20" t="str">
        <f t="shared" si="128"/>
        <v/>
      </c>
      <c r="F1189" s="21" t="str">
        <f>IF(OR(E1189="",E1189="!!!"),"",IF(NOT(ISNA(VLOOKUP(E1189,E$1:E1188,1,FALSE()))),"OLD",IF(AND(E1189&lt;&gt;"",E1189&lt;&gt;"!!!"),"NEW","")))</f>
        <v/>
      </c>
      <c r="G1189" s="22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3" t="str">
        <f t="shared" ca="1" si="129"/>
        <v/>
      </c>
      <c r="I1189" s="24" t="str">
        <f>IF(OR(E1189="",E1189="!!!",F1189="NEW"),"",INDEX(B$2:B1188,-1+SUMPRODUCT(MAX(ROW(E$2:E1188)*(E1189=E$2:E1188)))))</f>
        <v/>
      </c>
      <c r="J1189" s="24" t="str">
        <f ca="1">IF(OR(E1189="",E1189="!!!",F1189="NEW"),"",COUNTBLANK(OFFSET(A$1,,,SUMPRODUCT(MAX(ROW(E$2:E1189)*(E1189=E$2:E1189)))))-COUNTBLANK(OFFSET(A$1,,,SUMPRODUCT(MAX(ROW(E$1:E1188)*(E2=E$1:E1188))))))</f>
        <v/>
      </c>
      <c r="K1189" s="24" t="str">
        <f>IF(OR(E1189="",E1189="!!!",F1189="NEW"),"",INDEX(J$1:J1188,SUMPRODUCT(MAX(ROW(E$1:E1188)*(E1189=E$1:E1188)))))</f>
        <v/>
      </c>
      <c r="L1189" s="25"/>
    </row>
    <row r="1190" spans="1:12" x14ac:dyDescent="0.3">
      <c r="A1190" t="s">
        <v>535</v>
      </c>
      <c r="E1190" s="20" t="str">
        <f t="shared" si="128"/>
        <v/>
      </c>
      <c r="F1190" s="21" t="str">
        <f>IF(OR(E1190="",E1190="!!!"),"",IF(NOT(ISNA(VLOOKUP(E1190,E$1:E1189,1,FALSE()))),"OLD",IF(AND(E1190&lt;&gt;"",E1190&lt;&gt;"!!!"),"NEW","")))</f>
        <v/>
      </c>
      <c r="G1190" s="22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3" t="str">
        <f t="shared" ca="1" si="129"/>
        <v/>
      </c>
      <c r="I1190" s="24" t="str">
        <f>IF(OR(E1190="",E1190="!!!",F1190="NEW"),"",INDEX(B$2:B1189,-1+SUMPRODUCT(MAX(ROW(E$2:E1189)*(E1190=E$2:E1189)))))</f>
        <v/>
      </c>
      <c r="J1190" s="24" t="str">
        <f ca="1">IF(OR(E1190="",E1190="!!!",F1190="NEW"),"",COUNTBLANK(OFFSET(A$1,,,SUMPRODUCT(MAX(ROW(E$2:E1190)*(E1190=E$2:E1190)))))-COUNTBLANK(OFFSET(A$1,,,SUMPRODUCT(MAX(ROW(E$1:E1189)*(E2=E$1:E1189))))))</f>
        <v/>
      </c>
      <c r="K1190" s="24" t="str">
        <f>IF(OR(E1190="",E1190="!!!",F1190="NEW"),"",INDEX(J$1:J1189,SUMPRODUCT(MAX(ROW(E$1:E1189)*(E1190=E$1:E1189)))))</f>
        <v/>
      </c>
      <c r="L1190" s="25"/>
    </row>
    <row r="1191" spans="1:12" x14ac:dyDescent="0.3">
      <c r="A1191" t="s">
        <v>69</v>
      </c>
      <c r="E1191" s="20" t="str">
        <f t="shared" si="128"/>
        <v/>
      </c>
      <c r="F1191" s="21" t="str">
        <f>IF(OR(E1191="",E1191="!!!"),"",IF(NOT(ISNA(VLOOKUP(E1191,E$1:E1190,1,FALSE()))),"OLD",IF(AND(E1191&lt;&gt;"",E1191&lt;&gt;"!!!"),"NEW","")))</f>
        <v/>
      </c>
      <c r="G1191" s="22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3" t="str">
        <f t="shared" ca="1" si="129"/>
        <v/>
      </c>
      <c r="I1191" s="24" t="str">
        <f>IF(OR(E1191="",E1191="!!!",F1191="NEW"),"",INDEX(B$2:B1190,-1+SUMPRODUCT(MAX(ROW(E$2:E1190)*(E1191=E$2:E1190)))))</f>
        <v/>
      </c>
      <c r="J1191" s="24" t="str">
        <f ca="1">IF(OR(E1191="",E1191="!!!",F1191="NEW"),"",COUNTBLANK(OFFSET(A$1,,,SUMPRODUCT(MAX(ROW(E$2:E1191)*(E1191=E$2:E1191)))))-COUNTBLANK(OFFSET(A$1,,,SUMPRODUCT(MAX(ROW(E$1:E1190)*(E2=E$1:E1190))))))</f>
        <v/>
      </c>
      <c r="K1191" s="24" t="str">
        <f>IF(OR(E1191="",E1191="!!!",F1191="NEW"),"",INDEX(J$1:J1190,SUMPRODUCT(MAX(ROW(E$1:E1190)*(E1191=E$1:E1190)))))</f>
        <v/>
      </c>
      <c r="L1191" s="25"/>
    </row>
    <row r="1192" spans="1:12" x14ac:dyDescent="0.3">
      <c r="A1192" t="s">
        <v>885</v>
      </c>
      <c r="B1192" s="26" t="s">
        <v>362</v>
      </c>
      <c r="C1192" s="26" t="s">
        <v>341</v>
      </c>
      <c r="D1192" s="26" t="s">
        <v>332</v>
      </c>
      <c r="E1192" s="20" t="str">
        <f t="shared" si="128"/>
        <v>!!!</v>
      </c>
      <c r="F1192" s="21" t="str">
        <f>IF(OR(E1192="",E1192="!!!"),"",IF(NOT(ISNA(VLOOKUP(E1192,E$1:E1191,1,FALSE()))),"OLD",IF(AND(E1192&lt;&gt;"",E1192&lt;&gt;"!!!"),"NEW","")))</f>
        <v/>
      </c>
      <c r="G1192" s="22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3" t="str">
        <f t="shared" ca="1" si="129"/>
        <v/>
      </c>
      <c r="I1192" s="24" t="str">
        <f>IF(OR(E1192="",E1192="!!!",F1192="NEW"),"",INDEX(B$2:B1191,-1+SUMPRODUCT(MAX(ROW(E$2:E1191)*(E1192=E$2:E1191)))))</f>
        <v/>
      </c>
      <c r="J1192" s="24" t="str">
        <f ca="1">IF(OR(E1192="",E1192="!!!",F1192="NEW"),"",COUNTBLANK(OFFSET(A$1,,,SUMPRODUCT(MAX(ROW(E$2:E1192)*(E1192=E$2:E1192)))))-COUNTBLANK(OFFSET(A$1,,,SUMPRODUCT(MAX(ROW(E$1:E1191)*(E2=E$1:E1191))))))</f>
        <v/>
      </c>
      <c r="K1192" s="24" t="str">
        <f>IF(OR(E1192="",E1192="!!!",F1192="NEW"),"",INDEX(J$1:J1191,SUMPRODUCT(MAX(ROW(E$1:E1191)*(E1192=E$1:E1191)))))</f>
        <v/>
      </c>
      <c r="L1192" s="25"/>
    </row>
    <row r="1193" spans="1:12" x14ac:dyDescent="0.3">
      <c r="A1193" t="s">
        <v>338</v>
      </c>
      <c r="E1193" s="20" t="str">
        <f t="shared" si="128"/>
        <v/>
      </c>
      <c r="F1193" s="21" t="str">
        <f>IF(OR(E1193="",E1193="!!!"),"",IF(NOT(ISNA(VLOOKUP(E1193,E$1:E1192,1,FALSE()))),"OLD",IF(AND(E1193&lt;&gt;"",E1193&lt;&gt;"!!!"),"NEW","")))</f>
        <v/>
      </c>
      <c r="G1193" s="22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3" t="str">
        <f t="shared" ca="1" si="129"/>
        <v/>
      </c>
      <c r="I1193" s="24" t="str">
        <f>IF(OR(E1193="",E1193="!!!",F1193="NEW"),"",INDEX(B$2:B1192,-1+SUMPRODUCT(MAX(ROW(E$2:E1192)*(E1193=E$2:E1192)))))</f>
        <v/>
      </c>
      <c r="J1193" s="24" t="str">
        <f ca="1">IF(OR(E1193="",E1193="!!!",F1193="NEW"),"",COUNTBLANK(OFFSET(A$1,,,SUMPRODUCT(MAX(ROW(E$2:E1193)*(E1193=E$2:E1193)))))-COUNTBLANK(OFFSET(A$1,,,SUMPRODUCT(MAX(ROW(E$1:E1192)*(E2=E$1:E1192))))))</f>
        <v/>
      </c>
      <c r="K1193" s="24" t="str">
        <f>IF(OR(E1193="",E1193="!!!",F1193="NEW"),"",INDEX(J$1:J1192,SUMPRODUCT(MAX(ROW(E$1:E1192)*(E1193=E$1:E1192)))))</f>
        <v/>
      </c>
      <c r="L1193" s="25"/>
    </row>
    <row r="1195" spans="1:12" x14ac:dyDescent="0.3">
      <c r="A1195" t="s">
        <v>886</v>
      </c>
    </row>
    <row r="1196" spans="1:12" x14ac:dyDescent="0.3">
      <c r="A1196" t="s">
        <v>887</v>
      </c>
      <c r="E1196" s="20" t="str">
        <f>IF(D1196="?OLD","!!!","")</f>
        <v/>
      </c>
      <c r="F1196" s="21" t="str">
        <f>IF(OR(E1196="",E1196="!!!"),"",IF(NOT(ISNA(VLOOKUP(E1196,E$1:E1195,1,FALSE()))),"OLD",IF(AND(E1196&lt;&gt;"",E1196&lt;&gt;"!!!"),"NEW","")))</f>
        <v/>
      </c>
      <c r="G1196" s="22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3" t="str">
        <f ca="1">IF(J1196&lt;&gt;1,"",IF(I1196="SBJ","CB","?"))</f>
        <v/>
      </c>
      <c r="I1196" s="24" t="str">
        <f>IF(OR(E1196="",E1196="!!!",F1196="NEW"),"",INDEX(B$2:B1195,-1+SUMPRODUCT(MAX(ROW(E$2:E1195)*(E1196=E$2:E1195)))))</f>
        <v/>
      </c>
      <c r="J1196" s="24" t="str">
        <f ca="1">IF(OR(E1196="",E1196="!!!",F1196="NEW"),"",COUNTBLANK(OFFSET(A$1,,,SUMPRODUCT(MAX(ROW(E$2:E1196)*(E1196=E$2:E1196)))))-COUNTBLANK(OFFSET(A$1,,,SUMPRODUCT(MAX(ROW(E$1:E1195)*(E2=E$1:E1195))))))</f>
        <v/>
      </c>
      <c r="K1196" s="24" t="str">
        <f>IF(OR(E1196="",E1196="!!!",F1196="NEW"),"",INDEX(J$1:J1195,SUMPRODUCT(MAX(ROW(E$1:E1195)*(E1196=E$1:E1195)))))</f>
        <v/>
      </c>
      <c r="L1196" s="25"/>
    </row>
    <row r="1197" spans="1:12" x14ac:dyDescent="0.3">
      <c r="A1197" t="s">
        <v>723</v>
      </c>
      <c r="B1197" s="26" t="s">
        <v>337</v>
      </c>
      <c r="C1197" s="26" t="s">
        <v>496</v>
      </c>
      <c r="D1197" s="26" t="s">
        <v>332</v>
      </c>
      <c r="E1197" s="20" t="str">
        <f>IF(D1197="?OLD","!!!","")</f>
        <v>!!!</v>
      </c>
      <c r="F1197" s="21" t="str">
        <f>IF(OR(E1197="",E1197="!!!"),"",IF(NOT(ISNA(VLOOKUP(E1197,E$1:E1196,1,FALSE()))),"OLD",IF(AND(E1197&lt;&gt;"",E1197&lt;&gt;"!!!"),"NEW","")))</f>
        <v/>
      </c>
      <c r="G1197" s="22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3" t="str">
        <f ca="1">IF(J1197&lt;&gt;1,"",IF(I1197="SBJ","CB","?"))</f>
        <v/>
      </c>
      <c r="I1197" s="24" t="str">
        <f>IF(OR(E1197="",E1197="!!!",F1197="NEW"),"",INDEX(B$2:B1196,-1+SUMPRODUCT(MAX(ROW(E$2:E1196)*(E1197=E$2:E1196)))))</f>
        <v/>
      </c>
      <c r="J1197" s="24" t="str">
        <f ca="1">IF(OR(E1197="",E1197="!!!",F1197="NEW"),"",COUNTBLANK(OFFSET(A$1,,,SUMPRODUCT(MAX(ROW(E$2:E1197)*(E1197=E$2:E1197)))))-COUNTBLANK(OFFSET(A$1,,,SUMPRODUCT(MAX(ROW(E$1:E1196)*(E2=E$1:E1196))))))</f>
        <v/>
      </c>
      <c r="K1197" s="24" t="str">
        <f>IF(OR(E1197="",E1197="!!!",F1197="NEW"),"",INDEX(J$1:J1196,SUMPRODUCT(MAX(ROW(E$1:E1196)*(E1197=E$1:E1196)))))</f>
        <v/>
      </c>
      <c r="L1197" s="25"/>
    </row>
    <row r="1198" spans="1:12" x14ac:dyDescent="0.3">
      <c r="A1198" t="s">
        <v>888</v>
      </c>
      <c r="E1198" s="20" t="str">
        <f>IF(D1198="?OLD","!!!","")</f>
        <v/>
      </c>
      <c r="F1198" s="21" t="str">
        <f>IF(OR(E1198="",E1198="!!!"),"",IF(NOT(ISNA(VLOOKUP(E1198,E$1:E1197,1,FALSE()))),"OLD",IF(AND(E1198&lt;&gt;"",E1198&lt;&gt;"!!!"),"NEW","")))</f>
        <v/>
      </c>
      <c r="G1198" s="22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23" t="str">
        <f ca="1">IF(J1198&lt;&gt;1,"",IF(I1198="SBJ","CB","?"))</f>
        <v/>
      </c>
      <c r="I1198" s="24" t="str">
        <f>IF(OR(E1198="",E1198="!!!",F1198="NEW"),"",INDEX(B$2:B1197,-1+SUMPRODUCT(MAX(ROW(E$2:E1197)*(E1198=E$2:E1197)))))</f>
        <v/>
      </c>
      <c r="J1198" s="24" t="str">
        <f ca="1">IF(OR(E1198="",E1198="!!!",F1198="NEW"),"",COUNTBLANK(OFFSET(A$1,,,SUMPRODUCT(MAX(ROW(E$2:E1198)*(E1198=E$2:E1198)))))-COUNTBLANK(OFFSET(A$1,,,SUMPRODUCT(MAX(ROW(E$1:E1197)*(E2=E$1:E1197))))))</f>
        <v/>
      </c>
      <c r="K1198" s="24" t="str">
        <f>IF(OR(E1198="",E1198="!!!",F1198="NEW"),"",INDEX(J$1:J1197,SUMPRODUCT(MAX(ROW(E$1:E1197)*(E1198=E$1:E1197)))))</f>
        <v/>
      </c>
      <c r="L1198" s="25"/>
    </row>
    <row r="1199" spans="1:12" x14ac:dyDescent="0.3">
      <c r="A1199" t="s">
        <v>338</v>
      </c>
      <c r="E1199" s="20" t="str">
        <f>IF(D1199="?OLD","!!!","")</f>
        <v/>
      </c>
      <c r="F1199" s="21" t="str">
        <f>IF(OR(E1199="",E1199="!!!"),"",IF(NOT(ISNA(VLOOKUP(E1199,E$1:E1198,1,FALSE()))),"OLD",IF(AND(E1199&lt;&gt;"",E1199&lt;&gt;"!!!"),"NEW","")))</f>
        <v/>
      </c>
      <c r="G1199" s="22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23" t="str">
        <f ca="1">IF(J1199&lt;&gt;1,"",IF(I1199="SBJ","CB","?"))</f>
        <v/>
      </c>
      <c r="I1199" s="24" t="str">
        <f>IF(OR(E1199="",E1199="!!!",F1199="NEW"),"",INDEX(B$2:B1198,-1+SUMPRODUCT(MAX(ROW(E$2:E1198)*(E1199=E$2:E1198)))))</f>
        <v/>
      </c>
      <c r="J1199" s="24" t="str">
        <f ca="1">IF(OR(E1199="",E1199="!!!",F1199="NEW"),"",COUNTBLANK(OFFSET(A$1,,,SUMPRODUCT(MAX(ROW(E$2:E1199)*(E1199=E$2:E1199)))))-COUNTBLANK(OFFSET(A$1,,,SUMPRODUCT(MAX(ROW(E$1:E1198)*(E2=E$1:E1198))))))</f>
        <v/>
      </c>
      <c r="K1199" s="24" t="str">
        <f>IF(OR(E1199="",E1199="!!!",F1199="NEW"),"",INDEX(J$1:J1198,SUMPRODUCT(MAX(ROW(E$1:E1198)*(E1199=E$1:E1198)))))</f>
        <v/>
      </c>
      <c r="L1199" s="25"/>
    </row>
    <row r="1201" spans="1:12" x14ac:dyDescent="0.3">
      <c r="A1201" t="s">
        <v>889</v>
      </c>
    </row>
    <row r="1202" spans="1:12" x14ac:dyDescent="0.3">
      <c r="A1202" t="s">
        <v>340</v>
      </c>
      <c r="B1202" s="26" t="s">
        <v>330</v>
      </c>
      <c r="C1202" s="26" t="s">
        <v>341</v>
      </c>
      <c r="D1202" s="26" t="s">
        <v>332</v>
      </c>
      <c r="E1202" s="20" t="str">
        <f t="shared" ref="E1202:E1216" si="130">IF(D1202="?OLD","!!!","")</f>
        <v>!!!</v>
      </c>
      <c r="F1202" s="21" t="str">
        <f>IF(OR(E1202="",E1202="!!!"),"",IF(NOT(ISNA(VLOOKUP(E1202,E$1:E1201,1,FALSE()))),"OLD",IF(AND(E1202&lt;&gt;"",E1202&lt;&gt;"!!!"),"NEW","")))</f>
        <v/>
      </c>
      <c r="G1202" s="22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3" t="str">
        <f t="shared" ref="H1202:H1216" ca="1" si="131">IF(J1202&lt;&gt;1,"",IF(I1202="SBJ","CB","?"))</f>
        <v/>
      </c>
      <c r="I1202" s="24" t="str">
        <f>IF(OR(E1202="",E1202="!!!",F1202="NEW"),"",INDEX(B$2:B1201,-1+SUMPRODUCT(MAX(ROW(E$2:E1201)*(E1202=E$2:E1201)))))</f>
        <v/>
      </c>
      <c r="J1202" s="24" t="str">
        <f ca="1">IF(OR(E1202="",E1202="!!!",F1202="NEW"),"",COUNTBLANK(OFFSET(A$1,,,SUMPRODUCT(MAX(ROW(E$2:E1202)*(E1202=E$2:E1202)))))-COUNTBLANK(OFFSET(A$1,,,SUMPRODUCT(MAX(ROW(E$1:E1201)*(E2=E$1:E1201))))))</f>
        <v/>
      </c>
      <c r="K1202" s="24" t="str">
        <f>IF(OR(E1202="",E1202="!!!",F1202="NEW"),"",INDEX(J$1:J1201,SUMPRODUCT(MAX(ROW(E$1:E1201)*(E1202=E$1:E1201)))))</f>
        <v/>
      </c>
      <c r="L1202" s="25"/>
    </row>
    <row r="1203" spans="1:12" x14ac:dyDescent="0.3">
      <c r="A1203" t="s">
        <v>435</v>
      </c>
      <c r="E1203" s="20" t="str">
        <f t="shared" si="130"/>
        <v/>
      </c>
      <c r="F1203" s="21" t="str">
        <f>IF(OR(E1203="",E1203="!!!"),"",IF(NOT(ISNA(VLOOKUP(E1203,E$1:E1202,1,FALSE()))),"OLD",IF(AND(E1203&lt;&gt;"",E1203&lt;&gt;"!!!"),"NEW","")))</f>
        <v/>
      </c>
      <c r="G1203" s="22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3" t="str">
        <f t="shared" ca="1" si="131"/>
        <v/>
      </c>
      <c r="I1203" s="24" t="str">
        <f>IF(OR(E1203="",E1203="!!!",F1203="NEW"),"",INDEX(B$2:B1202,-1+SUMPRODUCT(MAX(ROW(E$2:E1202)*(E1203=E$2:E1202)))))</f>
        <v/>
      </c>
      <c r="J1203" s="24" t="str">
        <f ca="1">IF(OR(E1203="",E1203="!!!",F1203="NEW"),"",COUNTBLANK(OFFSET(A$1,,,SUMPRODUCT(MAX(ROW(E$2:E1203)*(E1203=E$2:E1203)))))-COUNTBLANK(OFFSET(A$1,,,SUMPRODUCT(MAX(ROW(E$1:E1202)*(E2=E$1:E1202))))))</f>
        <v/>
      </c>
      <c r="K1203" s="24" t="str">
        <f>IF(OR(E1203="",E1203="!!!",F1203="NEW"),"",INDEX(J$1:J1202,SUMPRODUCT(MAX(ROW(E$1:E1202)*(E1203=E$1:E1202)))))</f>
        <v/>
      </c>
      <c r="L1203" s="25"/>
    </row>
    <row r="1204" spans="1:12" x14ac:dyDescent="0.3">
      <c r="A1204" t="s">
        <v>351</v>
      </c>
      <c r="E1204" s="20" t="str">
        <f t="shared" si="130"/>
        <v/>
      </c>
      <c r="F1204" s="21" t="str">
        <f>IF(OR(E1204="",E1204="!!!"),"",IF(NOT(ISNA(VLOOKUP(E1204,E$1:E1203,1,FALSE()))),"OLD",IF(AND(E1204&lt;&gt;"",E1204&lt;&gt;"!!!"),"NEW","")))</f>
        <v/>
      </c>
      <c r="G1204" s="22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3" t="str">
        <f t="shared" ca="1" si="131"/>
        <v/>
      </c>
      <c r="I1204" s="24" t="str">
        <f>IF(OR(E1204="",E1204="!!!",F1204="NEW"),"",INDEX(B$2:B1203,-1+SUMPRODUCT(MAX(ROW(E$2:E1203)*(E1204=E$2:E1203)))))</f>
        <v/>
      </c>
      <c r="J1204" s="24" t="str">
        <f ca="1">IF(OR(E1204="",E1204="!!!",F1204="NEW"),"",COUNTBLANK(OFFSET(A$1,,,SUMPRODUCT(MAX(ROW(E$2:E1204)*(E1204=E$2:E1204)))))-COUNTBLANK(OFFSET(A$1,,,SUMPRODUCT(MAX(ROW(E$1:E1203)*(E2=E$1:E1203))))))</f>
        <v/>
      </c>
      <c r="K1204" s="24" t="str">
        <f>IF(OR(E1204="",E1204="!!!",F1204="NEW"),"",INDEX(J$1:J1203,SUMPRODUCT(MAX(ROW(E$1:E1203)*(E1204=E$1:E1203)))))</f>
        <v/>
      </c>
      <c r="L1204" s="25"/>
    </row>
    <row r="1205" spans="1:12" x14ac:dyDescent="0.3">
      <c r="A1205" t="s">
        <v>352</v>
      </c>
      <c r="E1205" s="20" t="str">
        <f t="shared" si="130"/>
        <v/>
      </c>
      <c r="F1205" s="21" t="str">
        <f>IF(OR(E1205="",E1205="!!!"),"",IF(NOT(ISNA(VLOOKUP(E1205,E$1:E1204,1,FALSE()))),"OLD",IF(AND(E1205&lt;&gt;"",E1205&lt;&gt;"!!!"),"NEW","")))</f>
        <v/>
      </c>
      <c r="G1205" s="22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3" t="str">
        <f t="shared" ca="1" si="131"/>
        <v/>
      </c>
      <c r="I1205" s="24" t="str">
        <f>IF(OR(E1205="",E1205="!!!",F1205="NEW"),"",INDEX(B$2:B1204,-1+SUMPRODUCT(MAX(ROW(E$2:E1204)*(E1205=E$2:E1204)))))</f>
        <v/>
      </c>
      <c r="J1205" s="24" t="str">
        <f ca="1">IF(OR(E1205="",E1205="!!!",F1205="NEW"),"",COUNTBLANK(OFFSET(A$1,,,SUMPRODUCT(MAX(ROW(E$2:E1205)*(E1205=E$2:E1205)))))-COUNTBLANK(OFFSET(A$1,,,SUMPRODUCT(MAX(ROW(E$1:E1204)*(E2=E$1:E1204))))))</f>
        <v/>
      </c>
      <c r="K1205" s="24" t="str">
        <f>IF(OR(E1205="",E1205="!!!",F1205="NEW"),"",INDEX(J$1:J1204,SUMPRODUCT(MAX(ROW(E$1:E1204)*(E1205=E$1:E1204)))))</f>
        <v/>
      </c>
      <c r="L1205" s="25"/>
    </row>
    <row r="1206" spans="1:12" x14ac:dyDescent="0.3">
      <c r="A1206" t="s">
        <v>569</v>
      </c>
      <c r="B1206" s="26" t="s">
        <v>354</v>
      </c>
      <c r="C1206" s="26" t="s">
        <v>496</v>
      </c>
      <c r="D1206" s="26" t="s">
        <v>332</v>
      </c>
      <c r="E1206" s="20" t="str">
        <f t="shared" si="130"/>
        <v>!!!</v>
      </c>
      <c r="F1206" s="21" t="str">
        <f>IF(OR(E1206="",E1206="!!!"),"",IF(NOT(ISNA(VLOOKUP(E1206,E$1:E1205,1,FALSE()))),"OLD",IF(AND(E1206&lt;&gt;"",E1206&lt;&gt;"!!!"),"NEW","")))</f>
        <v/>
      </c>
      <c r="G1206" s="22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3" t="str">
        <f t="shared" ca="1" si="131"/>
        <v/>
      </c>
      <c r="I1206" s="24" t="str">
        <f>IF(OR(E1206="",E1206="!!!",F1206="NEW"),"",INDEX(B$2:B1205,-1+SUMPRODUCT(MAX(ROW(E$2:E1205)*(E1206=E$2:E1205)))))</f>
        <v/>
      </c>
      <c r="J1206" s="24" t="str">
        <f ca="1">IF(OR(E1206="",E1206="!!!",F1206="NEW"),"",COUNTBLANK(OFFSET(A$1,,,SUMPRODUCT(MAX(ROW(E$2:E1206)*(E1206=E$2:E1206)))))-COUNTBLANK(OFFSET(A$1,,,SUMPRODUCT(MAX(ROW(E$1:E1205)*(E2=E$1:E1205))))))</f>
        <v/>
      </c>
      <c r="K1206" s="24" t="str">
        <f>IF(OR(E1206="",E1206="!!!",F1206="NEW"),"",INDEX(J$1:J1205,SUMPRODUCT(MAX(ROW(E$1:E1205)*(E1206=E$1:E1205)))))</f>
        <v/>
      </c>
      <c r="L1206" s="25"/>
    </row>
    <row r="1207" spans="1:12" x14ac:dyDescent="0.3">
      <c r="A1207" t="s">
        <v>399</v>
      </c>
      <c r="E1207" s="20" t="str">
        <f t="shared" si="130"/>
        <v/>
      </c>
      <c r="F1207" s="21" t="str">
        <f>IF(OR(E1207="",E1207="!!!"),"",IF(NOT(ISNA(VLOOKUP(E1207,E$1:E1206,1,FALSE()))),"OLD",IF(AND(E1207&lt;&gt;"",E1207&lt;&gt;"!!!"),"NEW","")))</f>
        <v/>
      </c>
      <c r="G1207" s="22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3" t="str">
        <f t="shared" ca="1" si="131"/>
        <v/>
      </c>
      <c r="I1207" s="24" t="str">
        <f>IF(OR(E1207="",E1207="!!!",F1207="NEW"),"",INDEX(B$2:B1206,-1+SUMPRODUCT(MAX(ROW(E$2:E1206)*(E1207=E$2:E1206)))))</f>
        <v/>
      </c>
      <c r="J1207" s="24" t="str">
        <f ca="1">IF(OR(E1207="",E1207="!!!",F1207="NEW"),"",COUNTBLANK(OFFSET(A$1,,,SUMPRODUCT(MAX(ROW(E$2:E1207)*(E1207=E$2:E1207)))))-COUNTBLANK(OFFSET(A$1,,,SUMPRODUCT(MAX(ROW(E$1:E1206)*(E2=E$1:E1206))))))</f>
        <v/>
      </c>
      <c r="K1207" s="24" t="str">
        <f>IF(OR(E1207="",E1207="!!!",F1207="NEW"),"",INDEX(J$1:J1206,SUMPRODUCT(MAX(ROW(E$1:E1206)*(E1207=E$1:E1206)))))</f>
        <v/>
      </c>
      <c r="L1207" s="25"/>
    </row>
    <row r="1208" spans="1:12" x14ac:dyDescent="0.3">
      <c r="A1208" t="s">
        <v>890</v>
      </c>
      <c r="B1208" s="26" t="s">
        <v>357</v>
      </c>
      <c r="C1208" s="26" t="s">
        <v>331</v>
      </c>
      <c r="D1208" s="26" t="s">
        <v>332</v>
      </c>
      <c r="E1208" s="20" t="str">
        <f t="shared" si="130"/>
        <v>!!!</v>
      </c>
      <c r="F1208" s="21" t="str">
        <f>IF(OR(E1208="",E1208="!!!"),"",IF(NOT(ISNA(VLOOKUP(E1208,E$1:E1207,1,FALSE()))),"OLD",IF(AND(E1208&lt;&gt;"",E1208&lt;&gt;"!!!"),"NEW","")))</f>
        <v/>
      </c>
      <c r="G1208" s="22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3" t="str">
        <f t="shared" ca="1" si="131"/>
        <v/>
      </c>
      <c r="I1208" s="24" t="str">
        <f>IF(OR(E1208="",E1208="!!!",F1208="NEW"),"",INDEX(B$2:B1207,-1+SUMPRODUCT(MAX(ROW(E$2:E1207)*(E1208=E$2:E1207)))))</f>
        <v/>
      </c>
      <c r="J1208" s="24" t="str">
        <f ca="1">IF(OR(E1208="",E1208="!!!",F1208="NEW"),"",COUNTBLANK(OFFSET(A$1,,,SUMPRODUCT(MAX(ROW(E$2:E1208)*(E1208=E$2:E1208)))))-COUNTBLANK(OFFSET(A$1,,,SUMPRODUCT(MAX(ROW(E$1:E1207)*(E2=E$1:E1207))))))</f>
        <v/>
      </c>
      <c r="K1208" s="24" t="str">
        <f>IF(OR(E1208="",E1208="!!!",F1208="NEW"),"",INDEX(J$1:J1207,SUMPRODUCT(MAX(ROW(E$1:E1207)*(E1208=E$1:E1207)))))</f>
        <v/>
      </c>
      <c r="L1208" s="25"/>
    </row>
    <row r="1209" spans="1:12" x14ac:dyDescent="0.3">
      <c r="A1209" t="s">
        <v>415</v>
      </c>
      <c r="E1209" s="20" t="str">
        <f t="shared" si="130"/>
        <v/>
      </c>
      <c r="F1209" s="21" t="str">
        <f>IF(OR(E1209="",E1209="!!!"),"",IF(NOT(ISNA(VLOOKUP(E1209,E$1:E1208,1,FALSE()))),"OLD",IF(AND(E1209&lt;&gt;"",E1209&lt;&gt;"!!!"),"NEW","")))</f>
        <v/>
      </c>
      <c r="G1209" s="22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3" t="str">
        <f t="shared" ca="1" si="131"/>
        <v/>
      </c>
      <c r="I1209" s="24" t="str">
        <f>IF(OR(E1209="",E1209="!!!",F1209="NEW"),"",INDEX(B$2:B1208,-1+SUMPRODUCT(MAX(ROW(E$2:E1208)*(E1209=E$2:E1208)))))</f>
        <v/>
      </c>
      <c r="J1209" s="24" t="str">
        <f ca="1">IF(OR(E1209="",E1209="!!!",F1209="NEW"),"",COUNTBLANK(OFFSET(A$1,,,SUMPRODUCT(MAX(ROW(E$2:E1209)*(E1209=E$2:E1209)))))-COUNTBLANK(OFFSET(A$1,,,SUMPRODUCT(MAX(ROW(E$1:E1208)*(E2=E$1:E1208))))))</f>
        <v/>
      </c>
      <c r="K1209" s="24" t="str">
        <f>IF(OR(E1209="",E1209="!!!",F1209="NEW"),"",INDEX(J$1:J1208,SUMPRODUCT(MAX(ROW(E$1:E1208)*(E1209=E$1:E1208)))))</f>
        <v/>
      </c>
      <c r="L1209" s="25"/>
    </row>
    <row r="1210" spans="1:12" x14ac:dyDescent="0.3">
      <c r="A1210" t="s">
        <v>351</v>
      </c>
      <c r="E1210" s="20" t="str">
        <f t="shared" si="130"/>
        <v/>
      </c>
      <c r="F1210" s="21" t="str">
        <f>IF(OR(E1210="",E1210="!!!"),"",IF(NOT(ISNA(VLOOKUP(E1210,E$1:E1209,1,FALSE()))),"OLD",IF(AND(E1210&lt;&gt;"",E1210&lt;&gt;"!!!"),"NEW","")))</f>
        <v/>
      </c>
      <c r="G1210" s="22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3" t="str">
        <f t="shared" ca="1" si="131"/>
        <v/>
      </c>
      <c r="I1210" s="24" t="str">
        <f>IF(OR(E1210="",E1210="!!!",F1210="NEW"),"",INDEX(B$2:B1209,-1+SUMPRODUCT(MAX(ROW(E$2:E1209)*(E1210=E$2:E1209)))))</f>
        <v/>
      </c>
      <c r="J1210" s="24" t="str">
        <f ca="1">IF(OR(E1210="",E1210="!!!",F1210="NEW"),"",COUNTBLANK(OFFSET(A$1,,,SUMPRODUCT(MAX(ROW(E$2:E1210)*(E1210=E$2:E1210)))))-COUNTBLANK(OFFSET(A$1,,,SUMPRODUCT(MAX(ROW(E$1:E1209)*(E2=E$1:E1209))))))</f>
        <v/>
      </c>
      <c r="K1210" s="24" t="str">
        <f>IF(OR(E1210="",E1210="!!!",F1210="NEW"),"",INDEX(J$1:J1209,SUMPRODUCT(MAX(ROW(E$1:E1209)*(E1210=E$1:E1209)))))</f>
        <v/>
      </c>
      <c r="L1210" s="25"/>
    </row>
    <row r="1211" spans="1:12" x14ac:dyDescent="0.3">
      <c r="A1211" t="s">
        <v>614</v>
      </c>
      <c r="B1211" s="26" t="s">
        <v>509</v>
      </c>
      <c r="C1211" s="26" t="s">
        <v>355</v>
      </c>
      <c r="E1211" s="20" t="str">
        <f t="shared" si="130"/>
        <v/>
      </c>
      <c r="F1211" s="21" t="str">
        <f>IF(OR(E1211="",E1211="!!!"),"",IF(NOT(ISNA(VLOOKUP(E1211,E$1:E1210,1,FALSE()))),"OLD",IF(AND(E1211&lt;&gt;"",E1211&lt;&gt;"!!!"),"NEW","")))</f>
        <v/>
      </c>
      <c r="G1211" s="22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3" t="str">
        <f t="shared" ca="1" si="131"/>
        <v/>
      </c>
      <c r="I1211" s="24" t="str">
        <f>IF(OR(E1211="",E1211="!!!",F1211="NEW"),"",INDEX(B$2:B1210,-1+SUMPRODUCT(MAX(ROW(E$2:E1210)*(E1211=E$2:E1210)))))</f>
        <v/>
      </c>
      <c r="J1211" s="24" t="str">
        <f ca="1">IF(OR(E1211="",E1211="!!!",F1211="NEW"),"",COUNTBLANK(OFFSET(A$1,,,SUMPRODUCT(MAX(ROW(E$2:E1211)*(E1211=E$2:E1211)))))-COUNTBLANK(OFFSET(A$1,,,SUMPRODUCT(MAX(ROW(E$1:E1210)*(E2=E$1:E1210))))))</f>
        <v/>
      </c>
      <c r="K1211" s="24" t="str">
        <f>IF(OR(E1211="",E1211="!!!",F1211="NEW"),"",INDEX(J$1:J1210,SUMPRODUCT(MAX(ROW(E$1:E1210)*(E1211=E$1:E1210)))))</f>
        <v/>
      </c>
      <c r="L1211" s="25"/>
    </row>
    <row r="1212" spans="1:12" x14ac:dyDescent="0.3">
      <c r="A1212" t="s">
        <v>385</v>
      </c>
      <c r="E1212" s="20" t="str">
        <f t="shared" si="130"/>
        <v/>
      </c>
      <c r="F1212" s="21" t="str">
        <f>IF(OR(E1212="",E1212="!!!"),"",IF(NOT(ISNA(VLOOKUP(E1212,E$1:E1211,1,FALSE()))),"OLD",IF(AND(E1212&lt;&gt;"",E1212&lt;&gt;"!!!"),"NEW","")))</f>
        <v/>
      </c>
      <c r="G1212" s="22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3" t="str">
        <f t="shared" ca="1" si="131"/>
        <v/>
      </c>
      <c r="I1212" s="24" t="str">
        <f>IF(OR(E1212="",E1212="!!!",F1212="NEW"),"",INDEX(B$2:B1211,-1+SUMPRODUCT(MAX(ROW(E$2:E1211)*(E1212=E$2:E1211)))))</f>
        <v/>
      </c>
      <c r="J1212" s="24" t="str">
        <f ca="1">IF(OR(E1212="",E1212="!!!",F1212="NEW"),"",COUNTBLANK(OFFSET(A$1,,,SUMPRODUCT(MAX(ROW(E$2:E1212)*(E1212=E$2:E1212)))))-COUNTBLANK(OFFSET(A$1,,,SUMPRODUCT(MAX(ROW(E$1:E1211)*(E2=E$1:E1211))))))</f>
        <v/>
      </c>
      <c r="K1212" s="24" t="str">
        <f>IF(OR(E1212="",E1212="!!!",F1212="NEW"),"",INDEX(J$1:J1211,SUMPRODUCT(MAX(ROW(E$1:E1211)*(E1212=E$1:E1211)))))</f>
        <v/>
      </c>
      <c r="L1212" s="25"/>
    </row>
    <row r="1213" spans="1:12" x14ac:dyDescent="0.3">
      <c r="A1213" t="s">
        <v>864</v>
      </c>
      <c r="B1213" s="26" t="s">
        <v>515</v>
      </c>
      <c r="C1213" s="26" t="s">
        <v>355</v>
      </c>
      <c r="E1213" s="20" t="str">
        <f t="shared" si="130"/>
        <v/>
      </c>
      <c r="F1213" s="21" t="str">
        <f>IF(OR(E1213="",E1213="!!!"),"",IF(NOT(ISNA(VLOOKUP(E1213,E$1:E1212,1,FALSE()))),"OLD",IF(AND(E1213&lt;&gt;"",E1213&lt;&gt;"!!!"),"NEW","")))</f>
        <v/>
      </c>
      <c r="G1213" s="22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3" t="str">
        <f t="shared" ca="1" si="131"/>
        <v/>
      </c>
      <c r="I1213" s="24" t="str">
        <f>IF(OR(E1213="",E1213="!!!",F1213="NEW"),"",INDEX(B$2:B1212,-1+SUMPRODUCT(MAX(ROW(E$2:E1212)*(E1213=E$2:E1212)))))</f>
        <v/>
      </c>
      <c r="J1213" s="24" t="str">
        <f ca="1">IF(OR(E1213="",E1213="!!!",F1213="NEW"),"",COUNTBLANK(OFFSET(A$1,,,SUMPRODUCT(MAX(ROW(E$2:E1213)*(E1213=E$2:E1213)))))-COUNTBLANK(OFFSET(A$1,,,SUMPRODUCT(MAX(ROW(E$1:E1212)*(E2=E$1:E1212))))))</f>
        <v/>
      </c>
      <c r="K1213" s="24" t="str">
        <f>IF(OR(E1213="",E1213="!!!",F1213="NEW"),"",INDEX(J$1:J1212,SUMPRODUCT(MAX(ROW(E$1:E1212)*(E1213=E$1:E1212)))))</f>
        <v/>
      </c>
      <c r="L1213" s="25"/>
    </row>
    <row r="1214" spans="1:12" x14ac:dyDescent="0.3">
      <c r="A1214" t="s">
        <v>396</v>
      </c>
      <c r="E1214" s="20" t="str">
        <f t="shared" si="130"/>
        <v/>
      </c>
      <c r="F1214" s="21" t="str">
        <f>IF(OR(E1214="",E1214="!!!"),"",IF(NOT(ISNA(VLOOKUP(E1214,E$1:E1213,1,FALSE()))),"OLD",IF(AND(E1214&lt;&gt;"",E1214&lt;&gt;"!!!"),"NEW","")))</f>
        <v/>
      </c>
      <c r="G1214" s="22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3" t="str">
        <f t="shared" ca="1" si="131"/>
        <v/>
      </c>
      <c r="I1214" s="24" t="str">
        <f>IF(OR(E1214="",E1214="!!!",F1214="NEW"),"",INDEX(B$2:B1213,-1+SUMPRODUCT(MAX(ROW(E$2:E1213)*(E1214=E$2:E1213)))))</f>
        <v/>
      </c>
      <c r="J1214" s="24" t="str">
        <f ca="1">IF(OR(E1214="",E1214="!!!",F1214="NEW"),"",COUNTBLANK(OFFSET(A$1,,,SUMPRODUCT(MAX(ROW(E$2:E1214)*(E1214=E$2:E1214)))))-COUNTBLANK(OFFSET(A$1,,,SUMPRODUCT(MAX(ROW(E$1:E1213)*(E2=E$1:E1213))))))</f>
        <v/>
      </c>
      <c r="K1214" s="24" t="str">
        <f>IF(OR(E1214="",E1214="!!!",F1214="NEW"),"",INDEX(J$1:J1213,SUMPRODUCT(MAX(ROW(E$1:E1213)*(E1214=E$1:E1213)))))</f>
        <v/>
      </c>
      <c r="L1214" s="25"/>
    </row>
    <row r="1215" spans="1:12" x14ac:dyDescent="0.3">
      <c r="A1215" t="s">
        <v>891</v>
      </c>
      <c r="E1215" s="20" t="str">
        <f t="shared" si="130"/>
        <v/>
      </c>
      <c r="F1215" s="21" t="str">
        <f>IF(OR(E1215="",E1215="!!!"),"",IF(NOT(ISNA(VLOOKUP(E1215,E$1:E1214,1,FALSE()))),"OLD",IF(AND(E1215&lt;&gt;"",E1215&lt;&gt;"!!!"),"NEW","")))</f>
        <v/>
      </c>
      <c r="G1215" s="22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3" t="str">
        <f t="shared" ca="1" si="131"/>
        <v/>
      </c>
      <c r="I1215" s="24" t="str">
        <f>IF(OR(E1215="",E1215="!!!",F1215="NEW"),"",INDEX(B$2:B1214,-1+SUMPRODUCT(MAX(ROW(E$2:E1214)*(E1215=E$2:E1214)))))</f>
        <v/>
      </c>
      <c r="J1215" s="24" t="str">
        <f ca="1">IF(OR(E1215="",E1215="!!!",F1215="NEW"),"",COUNTBLANK(OFFSET(A$1,,,SUMPRODUCT(MAX(ROW(E$2:E1215)*(E1215=E$2:E1215)))))-COUNTBLANK(OFFSET(A$1,,,SUMPRODUCT(MAX(ROW(E$1:E1214)*(E2=E$1:E1214))))))</f>
        <v/>
      </c>
      <c r="K1215" s="24" t="str">
        <f>IF(OR(E1215="",E1215="!!!",F1215="NEW"),"",INDEX(J$1:J1214,SUMPRODUCT(MAX(ROW(E$1:E1214)*(E1215=E$1:E1214)))))</f>
        <v/>
      </c>
      <c r="L1215" s="25"/>
    </row>
    <row r="1216" spans="1:12" x14ac:dyDescent="0.3">
      <c r="A1216" t="s">
        <v>338</v>
      </c>
      <c r="E1216" s="20" t="str">
        <f t="shared" si="130"/>
        <v/>
      </c>
      <c r="F1216" s="21" t="str">
        <f>IF(OR(E1216="",E1216="!!!"),"",IF(NOT(ISNA(VLOOKUP(E1216,E$1:E1215,1,FALSE()))),"OLD",IF(AND(E1216&lt;&gt;"",E1216&lt;&gt;"!!!"),"NEW","")))</f>
        <v/>
      </c>
      <c r="G1216" s="22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23" t="str">
        <f t="shared" ca="1" si="131"/>
        <v/>
      </c>
      <c r="I1216" s="24" t="str">
        <f>IF(OR(E1216="",E1216="!!!",F1216="NEW"),"",INDEX(B$2:B1215,-1+SUMPRODUCT(MAX(ROW(E$2:E1215)*(E1216=E$2:E1215)))))</f>
        <v/>
      </c>
      <c r="J1216" s="24" t="str">
        <f ca="1">IF(OR(E1216="",E1216="!!!",F1216="NEW"),"",COUNTBLANK(OFFSET(A$1,,,SUMPRODUCT(MAX(ROW(E$2:E1216)*(E1216=E$2:E1216)))))-COUNTBLANK(OFFSET(A$1,,,SUMPRODUCT(MAX(ROW(E$1:E1215)*(E2=E$1:E1215))))))</f>
        <v/>
      </c>
      <c r="K1216" s="24" t="str">
        <f>IF(OR(E1216="",E1216="!!!",F1216="NEW"),"",INDEX(J$1:J1215,SUMPRODUCT(MAX(ROW(E$1:E1215)*(E1216=E$1:E1215)))))</f>
        <v/>
      </c>
      <c r="L1216" s="25"/>
    </row>
    <row r="1218" spans="1:12" x14ac:dyDescent="0.3">
      <c r="A1218" t="s">
        <v>892</v>
      </c>
    </row>
    <row r="1219" spans="1:12" x14ac:dyDescent="0.3">
      <c r="A1219" t="s">
        <v>893</v>
      </c>
      <c r="E1219" s="20" t="str">
        <f t="shared" ref="E1219:E1234" si="132">IF(D1219="?OLD","!!!","")</f>
        <v/>
      </c>
      <c r="F1219" s="21" t="str">
        <f>IF(OR(E1219="",E1219="!!!"),"",IF(NOT(ISNA(VLOOKUP(E1219,E$1:E1218,1,FALSE()))),"OLD",IF(AND(E1219&lt;&gt;"",E1219&lt;&gt;"!!!"),"NEW","")))</f>
        <v/>
      </c>
      <c r="G1219" s="22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3" t="str">
        <f t="shared" ref="H1219:H1234" ca="1" si="133">IF(J1219&lt;&gt;1,"",IF(I1219="SBJ","CB","?"))</f>
        <v/>
      </c>
      <c r="I1219" s="24" t="str">
        <f>IF(OR(E1219="",E1219="!!!",F1219="NEW"),"",INDEX(B$2:B1218,-1+SUMPRODUCT(MAX(ROW(E$2:E1218)*(E1219=E$2:E1218)))))</f>
        <v/>
      </c>
      <c r="J1219" s="24" t="str">
        <f ca="1">IF(OR(E1219="",E1219="!!!",F1219="NEW"),"",COUNTBLANK(OFFSET(A$1,,,SUMPRODUCT(MAX(ROW(E$2:E1219)*(E1219=E$2:E1219)))))-COUNTBLANK(OFFSET(A$1,,,SUMPRODUCT(MAX(ROW(E$1:E1218)*(E2=E$1:E1218))))))</f>
        <v/>
      </c>
      <c r="K1219" s="24" t="str">
        <f>IF(OR(E1219="",E1219="!!!",F1219="NEW"),"",INDEX(J$1:J1218,SUMPRODUCT(MAX(ROW(E$1:E1218)*(E1219=E$1:E1218)))))</f>
        <v/>
      </c>
      <c r="L1219" s="25"/>
    </row>
    <row r="1220" spans="1:12" x14ac:dyDescent="0.3">
      <c r="A1220" t="s">
        <v>650</v>
      </c>
      <c r="E1220" s="20" t="str">
        <f t="shared" si="132"/>
        <v/>
      </c>
      <c r="F1220" s="21" t="str">
        <f>IF(OR(E1220="",E1220="!!!"),"",IF(NOT(ISNA(VLOOKUP(E1220,E$1:E1219,1,FALSE()))),"OLD",IF(AND(E1220&lt;&gt;"",E1220&lt;&gt;"!!!"),"NEW","")))</f>
        <v/>
      </c>
      <c r="G1220" s="22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3" t="str">
        <f t="shared" ca="1" si="133"/>
        <v/>
      </c>
      <c r="I1220" s="24" t="str">
        <f>IF(OR(E1220="",E1220="!!!",F1220="NEW"),"",INDEX(B$2:B1219,-1+SUMPRODUCT(MAX(ROW(E$2:E1219)*(E1220=E$2:E1219)))))</f>
        <v/>
      </c>
      <c r="J1220" s="24" t="str">
        <f ca="1">IF(OR(E1220="",E1220="!!!",F1220="NEW"),"",COUNTBLANK(OFFSET(A$1,,,SUMPRODUCT(MAX(ROW(E$2:E1220)*(E1220=E$2:E1220)))))-COUNTBLANK(OFFSET(A$1,,,SUMPRODUCT(MAX(ROW(E$1:E1219)*(E2=E$1:E1219))))))</f>
        <v/>
      </c>
      <c r="K1220" s="24" t="str">
        <f>IF(OR(E1220="",E1220="!!!",F1220="NEW"),"",INDEX(J$1:J1219,SUMPRODUCT(MAX(ROW(E$1:E1219)*(E1220=E$1:E1219)))))</f>
        <v/>
      </c>
      <c r="L1220" s="25"/>
    </row>
    <row r="1221" spans="1:12" x14ac:dyDescent="0.3">
      <c r="A1221" t="s">
        <v>473</v>
      </c>
      <c r="B1221" s="26" t="s">
        <v>330</v>
      </c>
      <c r="C1221" s="26" t="s">
        <v>438</v>
      </c>
      <c r="D1221" s="26" t="s">
        <v>332</v>
      </c>
      <c r="E1221" s="20" t="str">
        <f t="shared" si="132"/>
        <v>!!!</v>
      </c>
      <c r="F1221" s="21" t="str">
        <f>IF(OR(E1221="",E1221="!!!"),"",IF(NOT(ISNA(VLOOKUP(E1221,E$1:E1220,1,FALSE()))),"OLD",IF(AND(E1221&lt;&gt;"",E1221&lt;&gt;"!!!"),"NEW","")))</f>
        <v/>
      </c>
      <c r="G1221" s="22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3" t="str">
        <f t="shared" ca="1" si="133"/>
        <v/>
      </c>
      <c r="I1221" s="24" t="str">
        <f>IF(OR(E1221="",E1221="!!!",F1221="NEW"),"",INDEX(B$2:B1220,-1+SUMPRODUCT(MAX(ROW(E$2:E1220)*(E1221=E$2:E1220)))))</f>
        <v/>
      </c>
      <c r="J1221" s="24" t="str">
        <f ca="1">IF(OR(E1221="",E1221="!!!",F1221="NEW"),"",COUNTBLANK(OFFSET(A$1,,,SUMPRODUCT(MAX(ROW(E$2:E1221)*(E1221=E$2:E1221)))))-COUNTBLANK(OFFSET(A$1,,,SUMPRODUCT(MAX(ROW(E$1:E1220)*(E2=E$1:E1220))))))</f>
        <v/>
      </c>
      <c r="K1221" s="24" t="str">
        <f>IF(OR(E1221="",E1221="!!!",F1221="NEW"),"",INDEX(J$1:J1220,SUMPRODUCT(MAX(ROW(E$1:E1220)*(E1221=E$1:E1220)))))</f>
        <v/>
      </c>
      <c r="L1221" s="25"/>
    </row>
    <row r="1222" spans="1:12" x14ac:dyDescent="0.3">
      <c r="A1222" t="s">
        <v>371</v>
      </c>
      <c r="B1222" s="26" t="s">
        <v>344</v>
      </c>
      <c r="C1222" s="26" t="s">
        <v>341</v>
      </c>
      <c r="D1222" s="26" t="s">
        <v>332</v>
      </c>
      <c r="E1222" s="20" t="str">
        <f t="shared" si="132"/>
        <v>!!!</v>
      </c>
      <c r="F1222" s="21" t="str">
        <f>IF(OR(E1222="",E1222="!!!"),"",IF(NOT(ISNA(VLOOKUP(E1222,E$1:E1221,1,FALSE()))),"OLD",IF(AND(E1222&lt;&gt;"",E1222&lt;&gt;"!!!"),"NEW","")))</f>
        <v/>
      </c>
      <c r="G1222" s="22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3" t="str">
        <f t="shared" ca="1" si="133"/>
        <v/>
      </c>
      <c r="I1222" s="24" t="str">
        <f>IF(OR(E1222="",E1222="!!!",F1222="NEW"),"",INDEX(B$2:B1221,-1+SUMPRODUCT(MAX(ROW(E$2:E1221)*(E1222=E$2:E1221)))))</f>
        <v/>
      </c>
      <c r="J1222" s="24" t="str">
        <f ca="1">IF(OR(E1222="",E1222="!!!",F1222="NEW"),"",COUNTBLANK(OFFSET(A$1,,,SUMPRODUCT(MAX(ROW(E$2:E1222)*(E1222=E$2:E1222)))))-COUNTBLANK(OFFSET(A$1,,,SUMPRODUCT(MAX(ROW(E$1:E1221)*(E2=E$1:E1221))))))</f>
        <v/>
      </c>
      <c r="K1222" s="24" t="str">
        <f>IF(OR(E1222="",E1222="!!!",F1222="NEW"),"",INDEX(J$1:J1221,SUMPRODUCT(MAX(ROW(E$1:E1221)*(E1222=E$1:E1221)))))</f>
        <v/>
      </c>
      <c r="L1222" s="25"/>
    </row>
    <row r="1223" spans="1:12" x14ac:dyDescent="0.3">
      <c r="A1223" t="s">
        <v>430</v>
      </c>
      <c r="E1223" s="20" t="str">
        <f t="shared" si="132"/>
        <v/>
      </c>
      <c r="F1223" s="21" t="str">
        <f>IF(OR(E1223="",E1223="!!!"),"",IF(NOT(ISNA(VLOOKUP(E1223,E$1:E1222,1,FALSE()))),"OLD",IF(AND(E1223&lt;&gt;"",E1223&lt;&gt;"!!!"),"NEW","")))</f>
        <v/>
      </c>
      <c r="G1223" s="22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3" t="str">
        <f t="shared" ca="1" si="133"/>
        <v/>
      </c>
      <c r="I1223" s="24" t="str">
        <f>IF(OR(E1223="",E1223="!!!",F1223="NEW"),"",INDEX(B$2:B1222,-1+SUMPRODUCT(MAX(ROW(E$2:E1222)*(E1223=E$2:E1222)))))</f>
        <v/>
      </c>
      <c r="J1223" s="24" t="str">
        <f ca="1">IF(OR(E1223="",E1223="!!!",F1223="NEW"),"",COUNTBLANK(OFFSET(A$1,,,SUMPRODUCT(MAX(ROW(E$2:E1223)*(E1223=E$2:E1223)))))-COUNTBLANK(OFFSET(A$1,,,SUMPRODUCT(MAX(ROW(E$1:E1222)*(E2=E$1:E1222))))))</f>
        <v/>
      </c>
      <c r="K1223" s="24" t="str">
        <f>IF(OR(E1223="",E1223="!!!",F1223="NEW"),"",INDEX(J$1:J1222,SUMPRODUCT(MAX(ROW(E$1:E1222)*(E1223=E$1:E1222)))))</f>
        <v/>
      </c>
      <c r="L1223" s="25"/>
    </row>
    <row r="1224" spans="1:12" x14ac:dyDescent="0.3">
      <c r="A1224" t="s">
        <v>894</v>
      </c>
      <c r="E1224" s="20" t="str">
        <f t="shared" si="132"/>
        <v/>
      </c>
      <c r="F1224" s="21" t="str">
        <f>IF(OR(E1224="",E1224="!!!"),"",IF(NOT(ISNA(VLOOKUP(E1224,E$1:E1223,1,FALSE()))),"OLD",IF(AND(E1224&lt;&gt;"",E1224&lt;&gt;"!!!"),"NEW","")))</f>
        <v/>
      </c>
      <c r="G1224" s="22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3" t="str">
        <f t="shared" ca="1" si="133"/>
        <v/>
      </c>
      <c r="I1224" s="24" t="str">
        <f>IF(OR(E1224="",E1224="!!!",F1224="NEW"),"",INDEX(B$2:B1223,-1+SUMPRODUCT(MAX(ROW(E$2:E1223)*(E1224=E$2:E1223)))))</f>
        <v/>
      </c>
      <c r="J1224" s="24" t="str">
        <f ca="1">IF(OR(E1224="",E1224="!!!",F1224="NEW"),"",COUNTBLANK(OFFSET(A$1,,,SUMPRODUCT(MAX(ROW(E$2:E1224)*(E1224=E$2:E1224)))))-COUNTBLANK(OFFSET(A$1,,,SUMPRODUCT(MAX(ROW(E$1:E1223)*(E2=E$1:E1223))))))</f>
        <v/>
      </c>
      <c r="K1224" s="24" t="str">
        <f>IF(OR(E1224="",E1224="!!!",F1224="NEW"),"",INDEX(J$1:J1223,SUMPRODUCT(MAX(ROW(E$1:E1223)*(E1224=E$1:E1223)))))</f>
        <v/>
      </c>
      <c r="L1224" s="25"/>
    </row>
    <row r="1225" spans="1:12" x14ac:dyDescent="0.3">
      <c r="A1225" t="s">
        <v>895</v>
      </c>
      <c r="B1225" s="26" t="s">
        <v>337</v>
      </c>
      <c r="C1225" s="26" t="s">
        <v>663</v>
      </c>
      <c r="E1225" s="20" t="str">
        <f t="shared" si="132"/>
        <v/>
      </c>
      <c r="F1225" s="21" t="str">
        <f>IF(OR(E1225="",E1225="!!!"),"",IF(NOT(ISNA(VLOOKUP(E1225,E$1:E1224,1,FALSE()))),"OLD",IF(AND(E1225&lt;&gt;"",E1225&lt;&gt;"!!!"),"NEW","")))</f>
        <v/>
      </c>
      <c r="G1225" s="22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3" t="str">
        <f t="shared" ca="1" si="133"/>
        <v/>
      </c>
      <c r="I1225" s="24" t="str">
        <f>IF(OR(E1225="",E1225="!!!",F1225="NEW"),"",INDEX(B$2:B1224,-1+SUMPRODUCT(MAX(ROW(E$2:E1224)*(E1225=E$2:E1224)))))</f>
        <v/>
      </c>
      <c r="J1225" s="24" t="str">
        <f ca="1">IF(OR(E1225="",E1225="!!!",F1225="NEW"),"",COUNTBLANK(OFFSET(A$1,,,SUMPRODUCT(MAX(ROW(E$2:E1225)*(E1225=E$2:E1225)))))-COUNTBLANK(OFFSET(A$1,,,SUMPRODUCT(MAX(ROW(E$1:E1224)*(E2=E$1:E1224))))))</f>
        <v/>
      </c>
      <c r="K1225" s="24" t="str">
        <f>IF(OR(E1225="",E1225="!!!",F1225="NEW"),"",INDEX(J$1:J1224,SUMPRODUCT(MAX(ROW(E$1:E1224)*(E1225=E$1:E1224)))))</f>
        <v/>
      </c>
      <c r="L1225" s="25"/>
    </row>
    <row r="1226" spans="1:12" x14ac:dyDescent="0.3">
      <c r="A1226" t="s">
        <v>461</v>
      </c>
      <c r="E1226" s="20" t="str">
        <f t="shared" si="132"/>
        <v/>
      </c>
      <c r="F1226" s="21" t="str">
        <f>IF(OR(E1226="",E1226="!!!"),"",IF(NOT(ISNA(VLOOKUP(E1226,E$1:E1225,1,FALSE()))),"OLD",IF(AND(E1226&lt;&gt;"",E1226&lt;&gt;"!!!"),"NEW","")))</f>
        <v/>
      </c>
      <c r="G1226" s="22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3" t="str">
        <f t="shared" ca="1" si="133"/>
        <v/>
      </c>
      <c r="I1226" s="24" t="str">
        <f>IF(OR(E1226="",E1226="!!!",F1226="NEW"),"",INDEX(B$2:B1225,-1+SUMPRODUCT(MAX(ROW(E$2:E1225)*(E1226=E$2:E1225)))))</f>
        <v/>
      </c>
      <c r="J1226" s="24" t="str">
        <f ca="1">IF(OR(E1226="",E1226="!!!",F1226="NEW"),"",COUNTBLANK(OFFSET(A$1,,,SUMPRODUCT(MAX(ROW(E$2:E1226)*(E1226=E$2:E1226)))))-COUNTBLANK(OFFSET(A$1,,,SUMPRODUCT(MAX(ROW(E$1:E1225)*(E2=E$1:E1225))))))</f>
        <v/>
      </c>
      <c r="K1226" s="24" t="str">
        <f>IF(OR(E1226="",E1226="!!!",F1226="NEW"),"",INDEX(J$1:J1225,SUMPRODUCT(MAX(ROW(E$1:E1225)*(E1226=E$1:E1225)))))</f>
        <v/>
      </c>
      <c r="L1226" s="25"/>
    </row>
    <row r="1227" spans="1:12" x14ac:dyDescent="0.3">
      <c r="A1227" t="s">
        <v>351</v>
      </c>
      <c r="E1227" s="20" t="str">
        <f t="shared" si="132"/>
        <v/>
      </c>
      <c r="F1227" s="21" t="str">
        <f>IF(OR(E1227="",E1227="!!!"),"",IF(NOT(ISNA(VLOOKUP(E1227,E$1:E1226,1,FALSE()))),"OLD",IF(AND(E1227&lt;&gt;"",E1227&lt;&gt;"!!!"),"NEW","")))</f>
        <v/>
      </c>
      <c r="G1227" s="22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3" t="str">
        <f t="shared" ca="1" si="133"/>
        <v/>
      </c>
      <c r="I1227" s="24" t="str">
        <f>IF(OR(E1227="",E1227="!!!",F1227="NEW"),"",INDEX(B$2:B1226,-1+SUMPRODUCT(MAX(ROW(E$2:E1226)*(E1227=E$2:E1226)))))</f>
        <v/>
      </c>
      <c r="J1227" s="24" t="str">
        <f ca="1">IF(OR(E1227="",E1227="!!!",F1227="NEW"),"",COUNTBLANK(OFFSET(A$1,,,SUMPRODUCT(MAX(ROW(E$2:E1227)*(E1227=E$2:E1227)))))-COUNTBLANK(OFFSET(A$1,,,SUMPRODUCT(MAX(ROW(E$1:E1226)*(E2=E$1:E1226))))))</f>
        <v/>
      </c>
      <c r="K1227" s="24" t="str">
        <f>IF(OR(E1227="",E1227="!!!",F1227="NEW"),"",INDEX(J$1:J1226,SUMPRODUCT(MAX(ROW(E$1:E1226)*(E1227=E$1:E1226)))))</f>
        <v/>
      </c>
      <c r="L1227" s="25"/>
    </row>
    <row r="1228" spans="1:12" x14ac:dyDescent="0.3">
      <c r="A1228" t="s">
        <v>399</v>
      </c>
      <c r="B1228" s="26" t="s">
        <v>354</v>
      </c>
      <c r="E1228" s="20" t="str">
        <f t="shared" si="132"/>
        <v/>
      </c>
      <c r="F1228" s="21" t="str">
        <f>IF(OR(E1228="",E1228="!!!"),"",IF(NOT(ISNA(VLOOKUP(E1228,E$1:E1227,1,FALSE()))),"OLD",IF(AND(E1228&lt;&gt;"",E1228&lt;&gt;"!!!"),"NEW","")))</f>
        <v/>
      </c>
      <c r="G1228" s="22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23" t="str">
        <f t="shared" ca="1" si="133"/>
        <v/>
      </c>
      <c r="I1228" s="24" t="str">
        <f>IF(OR(E1228="",E1228="!!!",F1228="NEW"),"",INDEX(B$2:B1227,-1+SUMPRODUCT(MAX(ROW(E$2:E1227)*(E1228=E$2:E1227)))))</f>
        <v/>
      </c>
      <c r="J1228" s="24" t="str">
        <f ca="1">IF(OR(E1228="",E1228="!!!",F1228="NEW"),"",COUNTBLANK(OFFSET(A$1,,,SUMPRODUCT(MAX(ROW(E$2:E1228)*(E1228=E$2:E1228)))))-COUNTBLANK(OFFSET(A$1,,,SUMPRODUCT(MAX(ROW(E$1:E1227)*(E2=E$1:E1227))))))</f>
        <v/>
      </c>
      <c r="K1228" s="24" t="str">
        <f>IF(OR(E1228="",E1228="!!!",F1228="NEW"),"",INDEX(J$1:J1227,SUMPRODUCT(MAX(ROW(E$1:E1227)*(E1228=E$1:E1227)))))</f>
        <v/>
      </c>
      <c r="L1228" s="25"/>
    </row>
    <row r="1229" spans="1:12" x14ac:dyDescent="0.3">
      <c r="A1229" t="s">
        <v>417</v>
      </c>
      <c r="E1229" s="20" t="str">
        <f t="shared" si="132"/>
        <v/>
      </c>
      <c r="F1229" s="21" t="str">
        <f>IF(OR(E1229="",E1229="!!!"),"",IF(NOT(ISNA(VLOOKUP(E1229,E$1:E1228,1,FALSE()))),"OLD",IF(AND(E1229&lt;&gt;"",E1229&lt;&gt;"!!!"),"NEW","")))</f>
        <v/>
      </c>
      <c r="G1229" s="22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/>
      </c>
      <c r="H1229" s="23" t="str">
        <f t="shared" ca="1" si="133"/>
        <v/>
      </c>
      <c r="I1229" s="24" t="str">
        <f>IF(OR(E1229="",E1229="!!!",F1229="NEW"),"",INDEX(B$2:B1228,-1+SUMPRODUCT(MAX(ROW(E$2:E1228)*(E1229=E$2:E1228)))))</f>
        <v/>
      </c>
      <c r="J1229" s="24" t="str">
        <f ca="1">IF(OR(E1229="",E1229="!!!",F1229="NEW"),"",COUNTBLANK(OFFSET(A$1,,,SUMPRODUCT(MAX(ROW(E$2:E1229)*(E1229=E$2:E1229)))))-COUNTBLANK(OFFSET(A$1,,,SUMPRODUCT(MAX(ROW(E$1:E1228)*(E2=E$1:E1228))))))</f>
        <v/>
      </c>
      <c r="K1229" s="24" t="str">
        <f>IF(OR(E1229="",E1229="!!!",F1229="NEW"),"",INDEX(J$1:J1228,SUMPRODUCT(MAX(ROW(E$1:E1228)*(E1229=E$1:E1228)))))</f>
        <v/>
      </c>
      <c r="L1229" s="25"/>
    </row>
    <row r="1230" spans="1:12" x14ac:dyDescent="0.3">
      <c r="A1230" t="s">
        <v>335</v>
      </c>
      <c r="E1230" s="20" t="str">
        <f t="shared" si="132"/>
        <v/>
      </c>
      <c r="F1230" s="21" t="str">
        <f>IF(OR(E1230="",E1230="!!!"),"",IF(NOT(ISNA(VLOOKUP(E1230,E$1:E1229,1,FALSE()))),"OLD",IF(AND(E1230&lt;&gt;"",E1230&lt;&gt;"!!!"),"NEW","")))</f>
        <v/>
      </c>
      <c r="G1230" s="22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3" t="str">
        <f t="shared" ca="1" si="133"/>
        <v/>
      </c>
      <c r="I1230" s="24" t="str">
        <f>IF(OR(E1230="",E1230="!!!",F1230="NEW"),"",INDEX(B$2:B1229,-1+SUMPRODUCT(MAX(ROW(E$2:E1229)*(E1230=E$2:E1229)))))</f>
        <v/>
      </c>
      <c r="J1230" s="24" t="str">
        <f ca="1">IF(OR(E1230="",E1230="!!!",F1230="NEW"),"",COUNTBLANK(OFFSET(A$1,,,SUMPRODUCT(MAX(ROW(E$2:E1230)*(E1230=E$2:E1230)))))-COUNTBLANK(OFFSET(A$1,,,SUMPRODUCT(MAX(ROW(E$1:E1229)*(E2=E$1:E1229))))))</f>
        <v/>
      </c>
      <c r="K1230" s="24" t="str">
        <f>IF(OR(E1230="",E1230="!!!",F1230="NEW"),"",INDEX(J$1:J1229,SUMPRODUCT(MAX(ROW(E$1:E1229)*(E1230=E$1:E1229)))))</f>
        <v/>
      </c>
      <c r="L1230" s="25"/>
    </row>
    <row r="1231" spans="1:12" x14ac:dyDescent="0.3">
      <c r="A1231" t="s">
        <v>896</v>
      </c>
      <c r="B1231" s="26" t="s">
        <v>378</v>
      </c>
      <c r="C1231" s="26" t="s">
        <v>331</v>
      </c>
      <c r="D1231" s="26" t="s">
        <v>332</v>
      </c>
      <c r="E1231" s="20" t="str">
        <f t="shared" si="132"/>
        <v>!!!</v>
      </c>
      <c r="F1231" s="21" t="str">
        <f>IF(OR(E1231="",E1231="!!!"),"",IF(NOT(ISNA(VLOOKUP(E1231,E$1:E1230,1,FALSE()))),"OLD",IF(AND(E1231&lt;&gt;"",E1231&lt;&gt;"!!!"),"NEW","")))</f>
        <v/>
      </c>
      <c r="G1231" s="22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3" t="str">
        <f t="shared" ca="1" si="133"/>
        <v/>
      </c>
      <c r="I1231" s="24" t="str">
        <f>IF(OR(E1231="",E1231="!!!",F1231="NEW"),"",INDEX(B$2:B1230,-1+SUMPRODUCT(MAX(ROW(E$2:E1230)*(E1231=E$2:E1230)))))</f>
        <v/>
      </c>
      <c r="J1231" s="24" t="str">
        <f ca="1">IF(OR(E1231="",E1231="!!!",F1231="NEW"),"",COUNTBLANK(OFFSET(A$1,,,SUMPRODUCT(MAX(ROW(E$2:E1231)*(E1231=E$2:E1231)))))-COUNTBLANK(OFFSET(A$1,,,SUMPRODUCT(MAX(ROW(E$1:E1230)*(E2=E$1:E1230))))))</f>
        <v/>
      </c>
      <c r="K1231" s="24" t="str">
        <f>IF(OR(E1231="",E1231="!!!",F1231="NEW"),"",INDEX(J$1:J1230,SUMPRODUCT(MAX(ROW(E$1:E1230)*(E1231=E$1:E1230)))))</f>
        <v/>
      </c>
      <c r="L1231" s="25"/>
    </row>
    <row r="1232" spans="1:12" x14ac:dyDescent="0.3">
      <c r="A1232" t="s">
        <v>801</v>
      </c>
      <c r="E1232" s="20" t="str">
        <f t="shared" si="132"/>
        <v/>
      </c>
      <c r="F1232" s="21" t="str">
        <f>IF(OR(E1232="",E1232="!!!"),"",IF(NOT(ISNA(VLOOKUP(E1232,E$1:E1231,1,FALSE()))),"OLD",IF(AND(E1232&lt;&gt;"",E1232&lt;&gt;"!!!"),"NEW","")))</f>
        <v/>
      </c>
      <c r="G1232" s="22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3" t="str">
        <f t="shared" ca="1" si="133"/>
        <v/>
      </c>
      <c r="I1232" s="24" t="str">
        <f>IF(OR(E1232="",E1232="!!!",F1232="NEW"),"",INDEX(B$2:B1231,-1+SUMPRODUCT(MAX(ROW(E$2:E1231)*(E1232=E$2:E1231)))))</f>
        <v/>
      </c>
      <c r="J1232" s="24" t="str">
        <f ca="1">IF(OR(E1232="",E1232="!!!",F1232="NEW"),"",COUNTBLANK(OFFSET(A$1,,,SUMPRODUCT(MAX(ROW(E$2:E1232)*(E1232=E$2:E1232)))))-COUNTBLANK(OFFSET(A$1,,,SUMPRODUCT(MAX(ROW(E$1:E1231)*(E2=E$1:E1231))))))</f>
        <v/>
      </c>
      <c r="K1232" s="24" t="str">
        <f>IF(OR(E1232="",E1232="!!!",F1232="NEW"),"",INDEX(J$1:J1231,SUMPRODUCT(MAX(ROW(E$1:E1231)*(E1232=E$1:E1231)))))</f>
        <v/>
      </c>
      <c r="L1232" s="25"/>
    </row>
    <row r="1233" spans="1:12" x14ac:dyDescent="0.3">
      <c r="A1233" t="s">
        <v>897</v>
      </c>
      <c r="E1233" s="20" t="str">
        <f t="shared" si="132"/>
        <v/>
      </c>
      <c r="F1233" s="21" t="str">
        <f>IF(OR(E1233="",E1233="!!!"),"",IF(NOT(ISNA(VLOOKUP(E1233,E$1:E1232,1,FALSE()))),"OLD",IF(AND(E1233&lt;&gt;"",E1233&lt;&gt;"!!!"),"NEW","")))</f>
        <v/>
      </c>
      <c r="G1233" s="22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3" t="str">
        <f t="shared" ca="1" si="133"/>
        <v/>
      </c>
      <c r="I1233" s="24" t="str">
        <f>IF(OR(E1233="",E1233="!!!",F1233="NEW"),"",INDEX(B$2:B1232,-1+SUMPRODUCT(MAX(ROW(E$2:E1232)*(E1233=E$2:E1232)))))</f>
        <v/>
      </c>
      <c r="J1233" s="24" t="str">
        <f ca="1">IF(OR(E1233="",E1233="!!!",F1233="NEW"),"",COUNTBLANK(OFFSET(A$1,,,SUMPRODUCT(MAX(ROW(E$2:E1233)*(E1233=E$2:E1233)))))-COUNTBLANK(OFFSET(A$1,,,SUMPRODUCT(MAX(ROW(E$1:E1232)*(E2=E$1:E1232))))))</f>
        <v/>
      </c>
      <c r="K1233" s="24" t="str">
        <f>IF(OR(E1233="",E1233="!!!",F1233="NEW"),"",INDEX(J$1:J1232,SUMPRODUCT(MAX(ROW(E$1:E1232)*(E1233=E$1:E1232)))))</f>
        <v/>
      </c>
      <c r="L1233" s="25"/>
    </row>
    <row r="1234" spans="1:12" x14ac:dyDescent="0.3">
      <c r="A1234" t="s">
        <v>338</v>
      </c>
      <c r="E1234" s="20" t="str">
        <f t="shared" si="132"/>
        <v/>
      </c>
      <c r="F1234" s="21" t="str">
        <f>IF(OR(E1234="",E1234="!!!"),"",IF(NOT(ISNA(VLOOKUP(E1234,E$1:E1233,1,FALSE()))),"OLD",IF(AND(E1234&lt;&gt;"",E1234&lt;&gt;"!!!"),"NEW","")))</f>
        <v/>
      </c>
      <c r="G1234" s="22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3" t="str">
        <f t="shared" ca="1" si="133"/>
        <v/>
      </c>
      <c r="I1234" s="24" t="str">
        <f>IF(OR(E1234="",E1234="!!!",F1234="NEW"),"",INDEX(B$2:B1233,-1+SUMPRODUCT(MAX(ROW(E$2:E1233)*(E1234=E$2:E1233)))))</f>
        <v/>
      </c>
      <c r="J1234" s="24" t="str">
        <f ca="1">IF(OR(E1234="",E1234="!!!",F1234="NEW"),"",COUNTBLANK(OFFSET(A$1,,,SUMPRODUCT(MAX(ROW(E$2:E1234)*(E1234=E$2:E1234)))))-COUNTBLANK(OFFSET(A$1,,,SUMPRODUCT(MAX(ROW(E$1:E1233)*(E2=E$1:E1233))))))</f>
        <v/>
      </c>
      <c r="K1234" s="24" t="str">
        <f>IF(OR(E1234="",E1234="!!!",F1234="NEW"),"",INDEX(J$1:J1233,SUMPRODUCT(MAX(ROW(E$1:E1233)*(E1234=E$1:E1233)))))</f>
        <v/>
      </c>
      <c r="L1234" s="25"/>
    </row>
    <row r="1236" spans="1:12" x14ac:dyDescent="0.3">
      <c r="A1236" t="s">
        <v>898</v>
      </c>
    </row>
    <row r="1237" spans="1:12" x14ac:dyDescent="0.3">
      <c r="A1237" t="s">
        <v>688</v>
      </c>
      <c r="E1237" s="20" t="str">
        <f t="shared" ref="E1237:E1249" si="134">IF(D1237="?OLD","!!!","")</f>
        <v/>
      </c>
      <c r="F1237" s="21" t="str">
        <f>IF(OR(E1237="",E1237="!!!"),"",IF(NOT(ISNA(VLOOKUP(E1237,E$1:E1236,1,FALSE()))),"OLD",IF(AND(E1237&lt;&gt;"",E1237&lt;&gt;"!!!"),"NEW","")))</f>
        <v/>
      </c>
      <c r="G1237" s="22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3" t="str">
        <f t="shared" ref="H1237:H1249" ca="1" si="135">IF(J1237&lt;&gt;1,"",IF(I1237="SBJ","CB","?"))</f>
        <v/>
      </c>
      <c r="I1237" s="24" t="str">
        <f>IF(OR(E1237="",E1237="!!!",F1237="NEW"),"",INDEX(B$2:B1236,-1+SUMPRODUCT(MAX(ROW(E$2:E1236)*(E1237=E$2:E1236)))))</f>
        <v/>
      </c>
      <c r="J1237" s="24" t="str">
        <f ca="1">IF(OR(E1237="",E1237="!!!",F1237="NEW"),"",COUNTBLANK(OFFSET(A$1,,,SUMPRODUCT(MAX(ROW(E$2:E1237)*(E1237=E$2:E1237)))))-COUNTBLANK(OFFSET(A$1,,,SUMPRODUCT(MAX(ROW(E$1:E1236)*(E2=E$1:E1236))))))</f>
        <v/>
      </c>
      <c r="K1237" s="24" t="str">
        <f>IF(OR(E1237="",E1237="!!!",F1237="NEW"),"",INDEX(J$1:J1236,SUMPRODUCT(MAX(ROW(E$1:E1236)*(E1237=E$1:E1236)))))</f>
        <v/>
      </c>
      <c r="L1237" s="25"/>
    </row>
    <row r="1238" spans="1:12" x14ac:dyDescent="0.3">
      <c r="A1238" t="s">
        <v>335</v>
      </c>
      <c r="E1238" s="20" t="str">
        <f t="shared" si="134"/>
        <v/>
      </c>
      <c r="F1238" s="21" t="str">
        <f>IF(OR(E1238="",E1238="!!!"),"",IF(NOT(ISNA(VLOOKUP(E1238,E$1:E1237,1,FALSE()))),"OLD",IF(AND(E1238&lt;&gt;"",E1238&lt;&gt;"!!!"),"NEW","")))</f>
        <v/>
      </c>
      <c r="G1238" s="22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3" t="str">
        <f t="shared" ca="1" si="135"/>
        <v/>
      </c>
      <c r="I1238" s="24" t="str">
        <f>IF(OR(E1238="",E1238="!!!",F1238="NEW"),"",INDEX(B$2:B1237,-1+SUMPRODUCT(MAX(ROW(E$2:E1237)*(E1238=E$2:E1237)))))</f>
        <v/>
      </c>
      <c r="J1238" s="24" t="str">
        <f ca="1">IF(OR(E1238="",E1238="!!!",F1238="NEW"),"",COUNTBLANK(OFFSET(A$1,,,SUMPRODUCT(MAX(ROW(E$2:E1238)*(E1238=E$2:E1238)))))-COUNTBLANK(OFFSET(A$1,,,SUMPRODUCT(MAX(ROW(E$1:E1237)*(E2=E$1:E1237))))))</f>
        <v/>
      </c>
      <c r="K1238" s="24" t="str">
        <f>IF(OR(E1238="",E1238="!!!",F1238="NEW"),"",INDEX(J$1:J1237,SUMPRODUCT(MAX(ROW(E$1:E1237)*(E1238=E$1:E1237)))))</f>
        <v/>
      </c>
      <c r="L1238" s="25"/>
    </row>
    <row r="1239" spans="1:12" x14ac:dyDescent="0.3">
      <c r="A1239" t="s">
        <v>819</v>
      </c>
      <c r="E1239" s="20" t="str">
        <f t="shared" si="134"/>
        <v/>
      </c>
      <c r="F1239" s="21" t="str">
        <f>IF(OR(E1239="",E1239="!!!"),"",IF(NOT(ISNA(VLOOKUP(E1239,E$1:E1238,1,FALSE()))),"OLD",IF(AND(E1239&lt;&gt;"",E1239&lt;&gt;"!!!"),"NEW","")))</f>
        <v/>
      </c>
      <c r="G1239" s="22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3" t="str">
        <f t="shared" ca="1" si="135"/>
        <v/>
      </c>
      <c r="I1239" s="24" t="str">
        <f>IF(OR(E1239="",E1239="!!!",F1239="NEW"),"",INDEX(B$2:B1238,-1+SUMPRODUCT(MAX(ROW(E$2:E1238)*(E1239=E$2:E1238)))))</f>
        <v/>
      </c>
      <c r="J1239" s="24" t="str">
        <f ca="1">IF(OR(E1239="",E1239="!!!",F1239="NEW"),"",COUNTBLANK(OFFSET(A$1,,,SUMPRODUCT(MAX(ROW(E$2:E1239)*(E1239=E$2:E1239)))))-COUNTBLANK(OFFSET(A$1,,,SUMPRODUCT(MAX(ROW(E$1:E1238)*(E2=E$1:E1238))))))</f>
        <v/>
      </c>
      <c r="K1239" s="24" t="str">
        <f>IF(OR(E1239="",E1239="!!!",F1239="NEW"),"",INDEX(J$1:J1238,SUMPRODUCT(MAX(ROW(E$1:E1238)*(E1239=E$1:E1238)))))</f>
        <v/>
      </c>
      <c r="L1239" s="25"/>
    </row>
    <row r="1240" spans="1:12" x14ac:dyDescent="0.3">
      <c r="A1240" t="s">
        <v>899</v>
      </c>
      <c r="B1240" s="26" t="s">
        <v>337</v>
      </c>
      <c r="C1240" s="26" t="s">
        <v>331</v>
      </c>
      <c r="D1240" s="26" t="s">
        <v>332</v>
      </c>
      <c r="E1240" s="20" t="str">
        <f t="shared" si="134"/>
        <v>!!!</v>
      </c>
      <c r="F1240" s="21" t="str">
        <f>IF(OR(E1240="",E1240="!!!"),"",IF(NOT(ISNA(VLOOKUP(E1240,E$1:E1239,1,FALSE()))),"OLD",IF(AND(E1240&lt;&gt;"",E1240&lt;&gt;"!!!"),"NEW","")))</f>
        <v/>
      </c>
      <c r="G1240" s="22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3" t="str">
        <f t="shared" ca="1" si="135"/>
        <v/>
      </c>
      <c r="I1240" s="24" t="str">
        <f>IF(OR(E1240="",E1240="!!!",F1240="NEW"),"",INDEX(B$2:B1239,-1+SUMPRODUCT(MAX(ROW(E$2:E1239)*(E1240=E$2:E1239)))))</f>
        <v/>
      </c>
      <c r="J1240" s="24" t="str">
        <f ca="1">IF(OR(E1240="",E1240="!!!",F1240="NEW"),"",COUNTBLANK(OFFSET(A$1,,,SUMPRODUCT(MAX(ROW(E$2:E1240)*(E1240=E$2:E1240)))))-COUNTBLANK(OFFSET(A$1,,,SUMPRODUCT(MAX(ROW(E$1:E1239)*(E2=E$1:E1239))))))</f>
        <v/>
      </c>
      <c r="K1240" s="24" t="str">
        <f>IF(OR(E1240="",E1240="!!!",F1240="NEW"),"",INDEX(J$1:J1239,SUMPRODUCT(MAX(ROW(E$1:E1239)*(E1240=E$1:E1239)))))</f>
        <v/>
      </c>
      <c r="L1240" s="25"/>
    </row>
    <row r="1241" spans="1:12" x14ac:dyDescent="0.3">
      <c r="A1241" t="s">
        <v>359</v>
      </c>
      <c r="E1241" s="20" t="str">
        <f t="shared" si="134"/>
        <v/>
      </c>
      <c r="F1241" s="21" t="str">
        <f>IF(OR(E1241="",E1241="!!!"),"",IF(NOT(ISNA(VLOOKUP(E1241,E$1:E1240,1,FALSE()))),"OLD",IF(AND(E1241&lt;&gt;"",E1241&lt;&gt;"!!!"),"NEW","")))</f>
        <v/>
      </c>
      <c r="G1241" s="22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3" t="str">
        <f t="shared" ca="1" si="135"/>
        <v/>
      </c>
      <c r="I1241" s="24" t="str">
        <f>IF(OR(E1241="",E1241="!!!",F1241="NEW"),"",INDEX(B$2:B1240,-1+SUMPRODUCT(MAX(ROW(E$2:E1240)*(E1241=E$2:E1240)))))</f>
        <v/>
      </c>
      <c r="J1241" s="24" t="str">
        <f ca="1">IF(OR(E1241="",E1241="!!!",F1241="NEW"),"",COUNTBLANK(OFFSET(A$1,,,SUMPRODUCT(MAX(ROW(E$2:E1241)*(E1241=E$2:E1241)))))-COUNTBLANK(OFFSET(A$1,,,SUMPRODUCT(MAX(ROW(E$1:E1240)*(E2=E$1:E1240))))))</f>
        <v/>
      </c>
      <c r="K1241" s="24" t="str">
        <f>IF(OR(E1241="",E1241="!!!",F1241="NEW"),"",INDEX(J$1:J1240,SUMPRODUCT(MAX(ROW(E$1:E1240)*(E1241=E$1:E1240)))))</f>
        <v/>
      </c>
      <c r="L1241" s="25"/>
    </row>
    <row r="1242" spans="1:12" x14ac:dyDescent="0.3">
      <c r="A1242" t="s">
        <v>900</v>
      </c>
      <c r="B1242" s="26" t="s">
        <v>378</v>
      </c>
      <c r="C1242" s="26" t="s">
        <v>331</v>
      </c>
      <c r="D1242" s="26" t="s">
        <v>332</v>
      </c>
      <c r="E1242" s="20" t="str">
        <f t="shared" si="134"/>
        <v>!!!</v>
      </c>
      <c r="F1242" s="21" t="str">
        <f>IF(OR(E1242="",E1242="!!!"),"",IF(NOT(ISNA(VLOOKUP(E1242,E$1:E1241,1,FALSE()))),"OLD",IF(AND(E1242&lt;&gt;"",E1242&lt;&gt;"!!!"),"NEW","")))</f>
        <v/>
      </c>
      <c r="G1242" s="22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3" t="str">
        <f t="shared" ca="1" si="135"/>
        <v/>
      </c>
      <c r="I1242" s="24" t="str">
        <f>IF(OR(E1242="",E1242="!!!",F1242="NEW"),"",INDEX(B$2:B1241,-1+SUMPRODUCT(MAX(ROW(E$2:E1241)*(E1242=E$2:E1241)))))</f>
        <v/>
      </c>
      <c r="J1242" s="24" t="str">
        <f ca="1">IF(OR(E1242="",E1242="!!!",F1242="NEW"),"",COUNTBLANK(OFFSET(A$1,,,SUMPRODUCT(MAX(ROW(E$2:E1242)*(E1242=E$2:E1242)))))-COUNTBLANK(OFFSET(A$1,,,SUMPRODUCT(MAX(ROW(E$1:E1241)*(E2=E$1:E1241))))))</f>
        <v/>
      </c>
      <c r="K1242" s="24" t="str">
        <f>IF(OR(E1242="",E1242="!!!",F1242="NEW"),"",INDEX(J$1:J1241,SUMPRODUCT(MAX(ROW(E$1:E1241)*(E1242=E$1:E1241)))))</f>
        <v/>
      </c>
      <c r="L1242" s="25"/>
    </row>
    <row r="1243" spans="1:12" x14ac:dyDescent="0.3">
      <c r="A1243" t="s">
        <v>901</v>
      </c>
      <c r="E1243" s="20" t="str">
        <f t="shared" si="134"/>
        <v/>
      </c>
      <c r="F1243" s="21" t="str">
        <f>IF(OR(E1243="",E1243="!!!"),"",IF(NOT(ISNA(VLOOKUP(E1243,E$1:E1242,1,FALSE()))),"OLD",IF(AND(E1243&lt;&gt;"",E1243&lt;&gt;"!!!"),"NEW","")))</f>
        <v/>
      </c>
      <c r="G1243" s="22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3" t="str">
        <f t="shared" ca="1" si="135"/>
        <v/>
      </c>
      <c r="I1243" s="24" t="str">
        <f>IF(OR(E1243="",E1243="!!!",F1243="NEW"),"",INDEX(B$2:B1242,-1+SUMPRODUCT(MAX(ROW(E$2:E1242)*(E1243=E$2:E1242)))))</f>
        <v/>
      </c>
      <c r="J1243" s="24" t="str">
        <f ca="1">IF(OR(E1243="",E1243="!!!",F1243="NEW"),"",COUNTBLANK(OFFSET(A$1,,,SUMPRODUCT(MAX(ROW(E$2:E1243)*(E1243=E$2:E1243)))))-COUNTBLANK(OFFSET(A$1,,,SUMPRODUCT(MAX(ROW(E$1:E1242)*(E2=E$1:E1242))))))</f>
        <v/>
      </c>
      <c r="K1243" s="24" t="str">
        <f>IF(OR(E1243="",E1243="!!!",F1243="NEW"),"",INDEX(J$1:J1242,SUMPRODUCT(MAX(ROW(E$1:E1242)*(E1243=E$1:E1242)))))</f>
        <v/>
      </c>
      <c r="L1243" s="25"/>
    </row>
    <row r="1244" spans="1:12" x14ac:dyDescent="0.3">
      <c r="A1244" t="s">
        <v>351</v>
      </c>
      <c r="E1244" s="20" t="str">
        <f t="shared" si="134"/>
        <v/>
      </c>
      <c r="F1244" s="21" t="str">
        <f>IF(OR(E1244="",E1244="!!!"),"",IF(NOT(ISNA(VLOOKUP(E1244,E$1:E1243,1,FALSE()))),"OLD",IF(AND(E1244&lt;&gt;"",E1244&lt;&gt;"!!!"),"NEW","")))</f>
        <v/>
      </c>
      <c r="G1244" s="22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3" t="str">
        <f t="shared" ca="1" si="135"/>
        <v/>
      </c>
      <c r="I1244" s="24" t="str">
        <f>IF(OR(E1244="",E1244="!!!",F1244="NEW"),"",INDEX(B$2:B1243,-1+SUMPRODUCT(MAX(ROW(E$2:E1243)*(E1244=E$2:E1243)))))</f>
        <v/>
      </c>
      <c r="J1244" s="24" t="str">
        <f ca="1">IF(OR(E1244="",E1244="!!!",F1244="NEW"),"",COUNTBLANK(OFFSET(A$1,,,SUMPRODUCT(MAX(ROW(E$2:E1244)*(E1244=E$2:E1244)))))-COUNTBLANK(OFFSET(A$1,,,SUMPRODUCT(MAX(ROW(E$1:E1243)*(E2=E$1:E1243))))))</f>
        <v/>
      </c>
      <c r="K1244" s="24" t="str">
        <f>IF(OR(E1244="",E1244="!!!",F1244="NEW"),"",INDEX(J$1:J1243,SUMPRODUCT(MAX(ROW(E$1:E1243)*(E1244=E$1:E1243)))))</f>
        <v/>
      </c>
      <c r="L1244" s="25"/>
    </row>
    <row r="1245" spans="1:12" x14ac:dyDescent="0.3">
      <c r="A1245" t="s">
        <v>399</v>
      </c>
      <c r="B1245" s="26" t="s">
        <v>354</v>
      </c>
      <c r="C1245" s="26" t="s">
        <v>394</v>
      </c>
      <c r="D1245" s="26" t="s">
        <v>332</v>
      </c>
      <c r="E1245" s="20" t="str">
        <f t="shared" si="134"/>
        <v>!!!</v>
      </c>
      <c r="F1245" s="21" t="str">
        <f>IF(OR(E1245="",E1245="!!!"),"",IF(NOT(ISNA(VLOOKUP(E1245,E$1:E1244,1,FALSE()))),"OLD",IF(AND(E1245&lt;&gt;"",E1245&lt;&gt;"!!!"),"NEW","")))</f>
        <v/>
      </c>
      <c r="G1245" s="22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/>
      </c>
      <c r="H1245" s="23" t="str">
        <f t="shared" ca="1" si="135"/>
        <v/>
      </c>
      <c r="I1245" s="24" t="str">
        <f>IF(OR(E1245="",E1245="!!!",F1245="NEW"),"",INDEX(B$2:B1244,-1+SUMPRODUCT(MAX(ROW(E$2:E1244)*(E1245=E$2:E1244)))))</f>
        <v/>
      </c>
      <c r="J1245" s="24" t="str">
        <f ca="1">IF(OR(E1245="",E1245="!!!",F1245="NEW"),"",COUNTBLANK(OFFSET(A$1,,,SUMPRODUCT(MAX(ROW(E$2:E1245)*(E1245=E$2:E1245)))))-COUNTBLANK(OFFSET(A$1,,,SUMPRODUCT(MAX(ROW(E$1:E1244)*(E2=E$1:E1244))))))</f>
        <v/>
      </c>
      <c r="K1245" s="24" t="str">
        <f>IF(OR(E1245="",E1245="!!!",F1245="NEW"),"",INDEX(J$1:J1244,SUMPRODUCT(MAX(ROW(E$1:E1244)*(E1245=E$1:E1244)))))</f>
        <v/>
      </c>
      <c r="L1245" s="25"/>
    </row>
    <row r="1246" spans="1:12" x14ac:dyDescent="0.3">
      <c r="A1246" t="s">
        <v>333</v>
      </c>
      <c r="E1246" s="20" t="str">
        <f t="shared" si="134"/>
        <v/>
      </c>
      <c r="F1246" s="21" t="str">
        <f>IF(OR(E1246="",E1246="!!!"),"",IF(NOT(ISNA(VLOOKUP(E1246,E$1:E1245,1,FALSE()))),"OLD",IF(AND(E1246&lt;&gt;"",E1246&lt;&gt;"!!!"),"NEW","")))</f>
        <v/>
      </c>
      <c r="G1246" s="22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3" t="str">
        <f t="shared" ca="1" si="135"/>
        <v/>
      </c>
      <c r="I1246" s="24" t="str">
        <f>IF(OR(E1246="",E1246="!!!",F1246="NEW"),"",INDEX(B$2:B1245,-1+SUMPRODUCT(MAX(ROW(E$2:E1245)*(E1246=E$2:E1245)))))</f>
        <v/>
      </c>
      <c r="J1246" s="24" t="str">
        <f ca="1">IF(OR(E1246="",E1246="!!!",F1246="NEW"),"",COUNTBLANK(OFFSET(A$1,,,SUMPRODUCT(MAX(ROW(E$2:E1246)*(E1246=E$2:E1246)))))-COUNTBLANK(OFFSET(A$1,,,SUMPRODUCT(MAX(ROW(E$1:E1245)*(E2=E$1:E1245))))))</f>
        <v/>
      </c>
      <c r="K1246" s="24" t="str">
        <f>IF(OR(E1246="",E1246="!!!",F1246="NEW"),"",INDEX(J$1:J1245,SUMPRODUCT(MAX(ROW(E$1:E1245)*(E1246=E$1:E1245)))))</f>
        <v/>
      </c>
      <c r="L1246" s="25"/>
    </row>
    <row r="1247" spans="1:12" x14ac:dyDescent="0.3">
      <c r="A1247" t="s">
        <v>894</v>
      </c>
      <c r="E1247" s="20" t="str">
        <f t="shared" si="134"/>
        <v/>
      </c>
      <c r="F1247" s="21" t="str">
        <f>IF(OR(E1247="",E1247="!!!"),"",IF(NOT(ISNA(VLOOKUP(E1247,E$1:E1246,1,FALSE()))),"OLD",IF(AND(E1247&lt;&gt;"",E1247&lt;&gt;"!!!"),"NEW","")))</f>
        <v/>
      </c>
      <c r="G1247" s="22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3" t="str">
        <f t="shared" ca="1" si="135"/>
        <v/>
      </c>
      <c r="I1247" s="24" t="str">
        <f>IF(OR(E1247="",E1247="!!!",F1247="NEW"),"",INDEX(B$2:B1246,-1+SUMPRODUCT(MAX(ROW(E$2:E1246)*(E1247=E$2:E1246)))))</f>
        <v/>
      </c>
      <c r="J1247" s="24" t="str">
        <f ca="1">IF(OR(E1247="",E1247="!!!",F1247="NEW"),"",COUNTBLANK(OFFSET(A$1,,,SUMPRODUCT(MAX(ROW(E$2:E1247)*(E1247=E$2:E1247)))))-COUNTBLANK(OFFSET(A$1,,,SUMPRODUCT(MAX(ROW(E$1:E1246)*(E2=E$1:E1246))))))</f>
        <v/>
      </c>
      <c r="K1247" s="24" t="str">
        <f>IF(OR(E1247="",E1247="!!!",F1247="NEW"),"",INDEX(J$1:J1246,SUMPRODUCT(MAX(ROW(E$1:E1246)*(E1247=E$1:E1246)))))</f>
        <v/>
      </c>
      <c r="L1247" s="25"/>
    </row>
    <row r="1248" spans="1:12" x14ac:dyDescent="0.3">
      <c r="A1248" t="s">
        <v>902</v>
      </c>
      <c r="B1248" s="26" t="s">
        <v>337</v>
      </c>
      <c r="C1248" s="26" t="s">
        <v>663</v>
      </c>
      <c r="E1248" s="20" t="str">
        <f t="shared" si="134"/>
        <v/>
      </c>
      <c r="F1248" s="21" t="str">
        <f>IF(OR(E1248="",E1248="!!!"),"",IF(NOT(ISNA(VLOOKUP(E1248,E$1:E1247,1,FALSE()))),"OLD",IF(AND(E1248&lt;&gt;"",E1248&lt;&gt;"!!!"),"NEW","")))</f>
        <v/>
      </c>
      <c r="G1248" s="22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3" t="str">
        <f t="shared" ca="1" si="135"/>
        <v/>
      </c>
      <c r="I1248" s="24" t="str">
        <f>IF(OR(E1248="",E1248="!!!",F1248="NEW"),"",INDEX(B$2:B1247,-1+SUMPRODUCT(MAX(ROW(E$2:E1247)*(E1248=E$2:E1247)))))</f>
        <v/>
      </c>
      <c r="J1248" s="24" t="str">
        <f ca="1">IF(OR(E1248="",E1248="!!!",F1248="NEW"),"",COUNTBLANK(OFFSET(A$1,,,SUMPRODUCT(MAX(ROW(E$2:E1248)*(E1248=E$2:E1248)))))-COUNTBLANK(OFFSET(A$1,,,SUMPRODUCT(MAX(ROW(E$1:E1247)*(E2=E$1:E1247))))))</f>
        <v/>
      </c>
      <c r="K1248" s="24" t="str">
        <f>IF(OR(E1248="",E1248="!!!",F1248="NEW"),"",INDEX(J$1:J1247,SUMPRODUCT(MAX(ROW(E$1:E1247)*(E1248=E$1:E1247)))))</f>
        <v/>
      </c>
      <c r="L1248" s="25"/>
    </row>
    <row r="1249" spans="1:12" x14ac:dyDescent="0.3">
      <c r="A1249" t="s">
        <v>338</v>
      </c>
      <c r="E1249" s="20" t="str">
        <f t="shared" si="134"/>
        <v/>
      </c>
      <c r="F1249" s="21" t="str">
        <f>IF(OR(E1249="",E1249="!!!"),"",IF(NOT(ISNA(VLOOKUP(E1249,E$1:E1248,1,FALSE()))),"OLD",IF(AND(E1249&lt;&gt;"",E1249&lt;&gt;"!!!"),"NEW","")))</f>
        <v/>
      </c>
      <c r="G1249" s="22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3" t="str">
        <f t="shared" ca="1" si="135"/>
        <v/>
      </c>
      <c r="I1249" s="24" t="str">
        <f>IF(OR(E1249="",E1249="!!!",F1249="NEW"),"",INDEX(B$2:B1248,-1+SUMPRODUCT(MAX(ROW(E$2:E1248)*(E1249=E$2:E1248)))))</f>
        <v/>
      </c>
      <c r="J1249" s="24" t="str">
        <f ca="1">IF(OR(E1249="",E1249="!!!",F1249="NEW"),"",COUNTBLANK(OFFSET(A$1,,,SUMPRODUCT(MAX(ROW(E$2:E1249)*(E1249=E$2:E1249)))))-COUNTBLANK(OFFSET(A$1,,,SUMPRODUCT(MAX(ROW(E$1:E1248)*(E2=E$1:E1248))))))</f>
        <v/>
      </c>
      <c r="K1249" s="24" t="str">
        <f>IF(OR(E1249="",E1249="!!!",F1249="NEW"),"",INDEX(J$1:J1248,SUMPRODUCT(MAX(ROW(E$1:E1248)*(E1249=E$1:E1248)))))</f>
        <v/>
      </c>
      <c r="L1249" s="25"/>
    </row>
    <row r="1251" spans="1:12" x14ac:dyDescent="0.3">
      <c r="A1251" t="s">
        <v>903</v>
      </c>
    </row>
    <row r="1252" spans="1:12" x14ac:dyDescent="0.3">
      <c r="A1252" t="s">
        <v>904</v>
      </c>
      <c r="B1252" s="26" t="s">
        <v>330</v>
      </c>
      <c r="C1252" s="26" t="s">
        <v>358</v>
      </c>
      <c r="E1252" s="20" t="str">
        <f t="shared" ref="E1252:E1262" si="136">IF(D1252="?OLD","!!!","")</f>
        <v/>
      </c>
      <c r="F1252" s="21" t="str">
        <f>IF(OR(E1252="",E1252="!!!"),"",IF(NOT(ISNA(VLOOKUP(E1252,E$1:E1251,1,FALSE()))),"OLD",IF(AND(E1252&lt;&gt;"",E1252&lt;&gt;"!!!"),"NEW","")))</f>
        <v/>
      </c>
      <c r="G1252" s="22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3" t="str">
        <f t="shared" ref="H1252:H1262" ca="1" si="137">IF(J1252&lt;&gt;1,"",IF(I1252="SBJ","CB","?"))</f>
        <v/>
      </c>
      <c r="I1252" s="24" t="str">
        <f>IF(OR(E1252="",E1252="!!!",F1252="NEW"),"",INDEX(B$2:B1251,-1+SUMPRODUCT(MAX(ROW(E$2:E1251)*(E1252=E$2:E1251)))))</f>
        <v/>
      </c>
      <c r="J1252" s="24" t="str">
        <f ca="1">IF(OR(E1252="",E1252="!!!",F1252="NEW"),"",COUNTBLANK(OFFSET(A$1,,,SUMPRODUCT(MAX(ROW(E$2:E1252)*(E1252=E$2:E1252)))))-COUNTBLANK(OFFSET(A$1,,,SUMPRODUCT(MAX(ROW(E$1:E1251)*(E2=E$1:E1251))))))</f>
        <v/>
      </c>
      <c r="K1252" s="24" t="str">
        <f>IF(OR(E1252="",E1252="!!!",F1252="NEW"),"",INDEX(J$1:J1251,SUMPRODUCT(MAX(ROW(E$1:E1251)*(E1252=E$1:E1251)))))</f>
        <v/>
      </c>
      <c r="L1252" s="25"/>
    </row>
    <row r="1253" spans="1:12" x14ac:dyDescent="0.3">
      <c r="A1253" t="s">
        <v>905</v>
      </c>
      <c r="E1253" s="20" t="str">
        <f t="shared" si="136"/>
        <v/>
      </c>
      <c r="F1253" s="21" t="str">
        <f>IF(OR(E1253="",E1253="!!!"),"",IF(NOT(ISNA(VLOOKUP(E1253,E$1:E1252,1,FALSE()))),"OLD",IF(AND(E1253&lt;&gt;"",E1253&lt;&gt;"!!!"),"NEW","")))</f>
        <v/>
      </c>
      <c r="G1253" s="22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3" t="str">
        <f t="shared" ca="1" si="137"/>
        <v/>
      </c>
      <c r="I1253" s="24" t="str">
        <f>IF(OR(E1253="",E1253="!!!",F1253="NEW"),"",INDEX(B$2:B1252,-1+SUMPRODUCT(MAX(ROW(E$2:E1252)*(E1253=E$2:E1252)))))</f>
        <v/>
      </c>
      <c r="J1253" s="24" t="str">
        <f ca="1">IF(OR(E1253="",E1253="!!!",F1253="NEW"),"",COUNTBLANK(OFFSET(A$1,,,SUMPRODUCT(MAX(ROW(E$2:E1253)*(E1253=E$2:E1253)))))-COUNTBLANK(OFFSET(A$1,,,SUMPRODUCT(MAX(ROW(E$1:E1252)*(E2=E$1:E1252))))))</f>
        <v/>
      </c>
      <c r="K1253" s="24" t="str">
        <f>IF(OR(E1253="",E1253="!!!",F1253="NEW"),"",INDEX(J$1:J1252,SUMPRODUCT(MAX(ROW(E$1:E1252)*(E1253=E$1:E1252)))))</f>
        <v/>
      </c>
      <c r="L1253" s="25"/>
    </row>
    <row r="1254" spans="1:12" x14ac:dyDescent="0.3">
      <c r="A1254" t="s">
        <v>473</v>
      </c>
      <c r="B1254" s="26" t="s">
        <v>330</v>
      </c>
      <c r="C1254" s="26" t="s">
        <v>438</v>
      </c>
      <c r="D1254" s="26" t="s">
        <v>332</v>
      </c>
      <c r="E1254" s="20" t="str">
        <f t="shared" si="136"/>
        <v>!!!</v>
      </c>
      <c r="F1254" s="21" t="str">
        <f>IF(OR(E1254="",E1254="!!!"),"",IF(NOT(ISNA(VLOOKUP(E1254,E$1:E1253,1,FALSE()))),"OLD",IF(AND(E1254&lt;&gt;"",E1254&lt;&gt;"!!!"),"NEW","")))</f>
        <v/>
      </c>
      <c r="G1254" s="22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3" t="str">
        <f t="shared" ca="1" si="137"/>
        <v/>
      </c>
      <c r="I1254" s="24" t="str">
        <f>IF(OR(E1254="",E1254="!!!",F1254="NEW"),"",INDEX(B$2:B1253,-1+SUMPRODUCT(MAX(ROW(E$2:E1253)*(E1254=E$2:E1253)))))</f>
        <v/>
      </c>
      <c r="J1254" s="24" t="str">
        <f ca="1">IF(OR(E1254="",E1254="!!!",F1254="NEW"),"",COUNTBLANK(OFFSET(A$1,,,SUMPRODUCT(MAX(ROW(E$2:E1254)*(E1254=E$2:E1254)))))-COUNTBLANK(OFFSET(A$1,,,SUMPRODUCT(MAX(ROW(E$1:E1253)*(E2=E$1:E1253))))))</f>
        <v/>
      </c>
      <c r="K1254" s="24" t="str">
        <f>IF(OR(E1254="",E1254="!!!",F1254="NEW"),"",INDEX(J$1:J1253,SUMPRODUCT(MAX(ROW(E$1:E1253)*(E1254=E$1:E1253)))))</f>
        <v/>
      </c>
      <c r="L1254" s="25"/>
    </row>
    <row r="1255" spans="1:12" x14ac:dyDescent="0.3">
      <c r="A1255" t="s">
        <v>906</v>
      </c>
      <c r="E1255" s="20" t="str">
        <f t="shared" si="136"/>
        <v/>
      </c>
      <c r="F1255" s="21" t="str">
        <f>IF(OR(E1255="",E1255="!!!"),"",IF(NOT(ISNA(VLOOKUP(E1255,E$1:E1254,1,FALSE()))),"OLD",IF(AND(E1255&lt;&gt;"",E1255&lt;&gt;"!!!"),"NEW","")))</f>
        <v/>
      </c>
      <c r="G1255" s="22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3" t="str">
        <f t="shared" ca="1" si="137"/>
        <v/>
      </c>
      <c r="I1255" s="24" t="str">
        <f>IF(OR(E1255="",E1255="!!!",F1255="NEW"),"",INDEX(B$2:B1254,-1+SUMPRODUCT(MAX(ROW(E$2:E1254)*(E1255=E$2:E1254)))))</f>
        <v/>
      </c>
      <c r="J1255" s="24" t="str">
        <f ca="1">IF(OR(E1255="",E1255="!!!",F1255="NEW"),"",COUNTBLANK(OFFSET(A$1,,,SUMPRODUCT(MAX(ROW(E$2:E1255)*(E1255=E$2:E1255)))))-COUNTBLANK(OFFSET(A$1,,,SUMPRODUCT(MAX(ROW(E$1:E1254)*(E2=E$1:E1254))))))</f>
        <v/>
      </c>
      <c r="K1255" s="24" t="str">
        <f>IF(OR(E1255="",E1255="!!!",F1255="NEW"),"",INDEX(J$1:J1254,SUMPRODUCT(MAX(ROW(E$1:E1254)*(E1255=E$1:E1254)))))</f>
        <v/>
      </c>
      <c r="L1255" s="25"/>
    </row>
    <row r="1256" spans="1:12" x14ac:dyDescent="0.3">
      <c r="A1256" t="s">
        <v>907</v>
      </c>
      <c r="E1256" s="20" t="str">
        <f t="shared" si="136"/>
        <v/>
      </c>
      <c r="F1256" s="21" t="str">
        <f>IF(OR(E1256="",E1256="!!!"),"",IF(NOT(ISNA(VLOOKUP(E1256,E$1:E1255,1,FALSE()))),"OLD",IF(AND(E1256&lt;&gt;"",E1256&lt;&gt;"!!!"),"NEW","")))</f>
        <v/>
      </c>
      <c r="G1256" s="22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3" t="str">
        <f t="shared" ca="1" si="137"/>
        <v/>
      </c>
      <c r="I1256" s="24" t="str">
        <f>IF(OR(E1256="",E1256="!!!",F1256="NEW"),"",INDEX(B$2:B1255,-1+SUMPRODUCT(MAX(ROW(E$2:E1255)*(E1256=E$2:E1255)))))</f>
        <v/>
      </c>
      <c r="J1256" s="24" t="str">
        <f ca="1">IF(OR(E1256="",E1256="!!!",F1256="NEW"),"",COUNTBLANK(OFFSET(A$1,,,SUMPRODUCT(MAX(ROW(E$2:E1256)*(E1256=E$2:E1256)))))-COUNTBLANK(OFFSET(A$1,,,SUMPRODUCT(MAX(ROW(E$1:E1255)*(E2=E$1:E1255))))))</f>
        <v/>
      </c>
      <c r="K1256" s="24" t="str">
        <f>IF(OR(E1256="",E1256="!!!",F1256="NEW"),"",INDEX(J$1:J1255,SUMPRODUCT(MAX(ROW(E$1:E1255)*(E1256=E$1:E1255)))))</f>
        <v/>
      </c>
      <c r="L1256" s="25"/>
    </row>
    <row r="1257" spans="1:12" x14ac:dyDescent="0.3">
      <c r="A1257" t="s">
        <v>351</v>
      </c>
      <c r="E1257" s="20" t="str">
        <f t="shared" si="136"/>
        <v/>
      </c>
      <c r="F1257" s="21" t="str">
        <f>IF(OR(E1257="",E1257="!!!"),"",IF(NOT(ISNA(VLOOKUP(E1257,E$1:E1256,1,FALSE()))),"OLD",IF(AND(E1257&lt;&gt;"",E1257&lt;&gt;"!!!"),"NEW","")))</f>
        <v/>
      </c>
      <c r="G1257" s="22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3" t="str">
        <f t="shared" ca="1" si="137"/>
        <v/>
      </c>
      <c r="I1257" s="24" t="str">
        <f>IF(OR(E1257="",E1257="!!!",F1257="NEW"),"",INDEX(B$2:B1256,-1+SUMPRODUCT(MAX(ROW(E$2:E1256)*(E1257=E$2:E1256)))))</f>
        <v/>
      </c>
      <c r="J1257" s="24" t="str">
        <f ca="1">IF(OR(E1257="",E1257="!!!",F1257="NEW"),"",COUNTBLANK(OFFSET(A$1,,,SUMPRODUCT(MAX(ROW(E$2:E1257)*(E1257=E$2:E1257)))))-COUNTBLANK(OFFSET(A$1,,,SUMPRODUCT(MAX(ROW(E$1:E1256)*(E2=E$1:E1256))))))</f>
        <v/>
      </c>
      <c r="K1257" s="24" t="str">
        <f>IF(OR(E1257="",E1257="!!!",F1257="NEW"),"",INDEX(J$1:J1256,SUMPRODUCT(MAX(ROW(E$1:E1256)*(E1257=E$1:E1256)))))</f>
        <v/>
      </c>
      <c r="L1257" s="25"/>
    </row>
    <row r="1258" spans="1:12" x14ac:dyDescent="0.3">
      <c r="A1258" t="s">
        <v>380</v>
      </c>
      <c r="E1258" s="20" t="str">
        <f t="shared" si="136"/>
        <v/>
      </c>
      <c r="F1258" s="21" t="str">
        <f>IF(OR(E1258="",E1258="!!!"),"",IF(NOT(ISNA(VLOOKUP(E1258,E$1:E1257,1,FALSE()))),"OLD",IF(AND(E1258&lt;&gt;"",E1258&lt;&gt;"!!!"),"NEW","")))</f>
        <v/>
      </c>
      <c r="G1258" s="22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3" t="str">
        <f t="shared" ca="1" si="137"/>
        <v/>
      </c>
      <c r="I1258" s="24" t="str">
        <f>IF(OR(E1258="",E1258="!!!",F1258="NEW"),"",INDEX(B$2:B1257,-1+SUMPRODUCT(MAX(ROW(E$2:E1257)*(E1258=E$2:E1257)))))</f>
        <v/>
      </c>
      <c r="J1258" s="24" t="str">
        <f ca="1">IF(OR(E1258="",E1258="!!!",F1258="NEW"),"",COUNTBLANK(OFFSET(A$1,,,SUMPRODUCT(MAX(ROW(E$2:E1258)*(E1258=E$2:E1258)))))-COUNTBLANK(OFFSET(A$1,,,SUMPRODUCT(MAX(ROW(E$1:E1257)*(E2=E$1:E1257))))))</f>
        <v/>
      </c>
      <c r="K1258" s="24" t="str">
        <f>IF(OR(E1258="",E1258="!!!",F1258="NEW"),"",INDEX(J$1:J1257,SUMPRODUCT(MAX(ROW(E$1:E1257)*(E1258=E$1:E1257)))))</f>
        <v/>
      </c>
      <c r="L1258" s="25"/>
    </row>
    <row r="1259" spans="1:12" x14ac:dyDescent="0.3">
      <c r="A1259" t="s">
        <v>908</v>
      </c>
      <c r="B1259" s="26" t="s">
        <v>337</v>
      </c>
      <c r="C1259" s="26" t="s">
        <v>331</v>
      </c>
      <c r="D1259" s="26" t="s">
        <v>332</v>
      </c>
      <c r="E1259" s="20" t="str">
        <f t="shared" si="136"/>
        <v>!!!</v>
      </c>
      <c r="F1259" s="21" t="str">
        <f>IF(OR(E1259="",E1259="!!!"),"",IF(NOT(ISNA(VLOOKUP(E1259,E$1:E1258,1,FALSE()))),"OLD",IF(AND(E1259&lt;&gt;"",E1259&lt;&gt;"!!!"),"NEW","")))</f>
        <v/>
      </c>
      <c r="G1259" s="22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3" t="str">
        <f t="shared" ca="1" si="137"/>
        <v/>
      </c>
      <c r="I1259" s="24" t="str">
        <f>IF(OR(E1259="",E1259="!!!",F1259="NEW"),"",INDEX(B$2:B1258,-1+SUMPRODUCT(MAX(ROW(E$2:E1258)*(E1259=E$2:E1258)))))</f>
        <v/>
      </c>
      <c r="J1259" s="24" t="str">
        <f ca="1">IF(OR(E1259="",E1259="!!!",F1259="NEW"),"",COUNTBLANK(OFFSET(A$1,,,SUMPRODUCT(MAX(ROW(E$2:E1259)*(E1259=E$2:E1259)))))-COUNTBLANK(OFFSET(A$1,,,SUMPRODUCT(MAX(ROW(E$1:E1258)*(E2=E$1:E1258))))))</f>
        <v/>
      </c>
      <c r="K1259" s="24" t="str">
        <f>IF(OR(E1259="",E1259="!!!",F1259="NEW"),"",INDEX(J$1:J1258,SUMPRODUCT(MAX(ROW(E$1:E1258)*(E1259=E$1:E1258)))))</f>
        <v/>
      </c>
      <c r="L1259" s="25"/>
    </row>
    <row r="1260" spans="1:12" x14ac:dyDescent="0.3">
      <c r="A1260" t="s">
        <v>351</v>
      </c>
      <c r="E1260" s="20" t="str">
        <f t="shared" si="136"/>
        <v/>
      </c>
      <c r="F1260" s="21" t="str">
        <f>IF(OR(E1260="",E1260="!!!"),"",IF(NOT(ISNA(VLOOKUP(E1260,E$1:E1259,1,FALSE()))),"OLD",IF(AND(E1260&lt;&gt;"",E1260&lt;&gt;"!!!"),"NEW","")))</f>
        <v/>
      </c>
      <c r="G1260" s="22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3" t="str">
        <f t="shared" ca="1" si="137"/>
        <v/>
      </c>
      <c r="I1260" s="24" t="str">
        <f>IF(OR(E1260="",E1260="!!!",F1260="NEW"),"",INDEX(B$2:B1259,-1+SUMPRODUCT(MAX(ROW(E$2:E1259)*(E1260=E$2:E1259)))))</f>
        <v/>
      </c>
      <c r="J1260" s="24" t="str">
        <f ca="1">IF(OR(E1260="",E1260="!!!",F1260="NEW"),"",COUNTBLANK(OFFSET(A$1,,,SUMPRODUCT(MAX(ROW(E$2:E1260)*(E1260=E$2:E1260)))))-COUNTBLANK(OFFSET(A$1,,,SUMPRODUCT(MAX(ROW(E$1:E1259)*(E2=E$1:E1259))))))</f>
        <v/>
      </c>
      <c r="K1260" s="24" t="str">
        <f>IF(OR(E1260="",E1260="!!!",F1260="NEW"),"",INDEX(J$1:J1259,SUMPRODUCT(MAX(ROW(E$1:E1259)*(E1260=E$1:E1259)))))</f>
        <v/>
      </c>
      <c r="L1260" s="25"/>
    </row>
    <row r="1261" spans="1:12" x14ac:dyDescent="0.3">
      <c r="A1261" t="s">
        <v>667</v>
      </c>
      <c r="E1261" s="20" t="str">
        <f t="shared" si="136"/>
        <v/>
      </c>
      <c r="F1261" s="21" t="str">
        <f>IF(OR(E1261="",E1261="!!!"),"",IF(NOT(ISNA(VLOOKUP(E1261,E$1:E1260,1,FALSE()))),"OLD",IF(AND(E1261&lt;&gt;"",E1261&lt;&gt;"!!!"),"NEW","")))</f>
        <v/>
      </c>
      <c r="G1261" s="22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3" t="str">
        <f t="shared" ca="1" si="137"/>
        <v/>
      </c>
      <c r="I1261" s="24" t="str">
        <f>IF(OR(E1261="",E1261="!!!",F1261="NEW"),"",INDEX(B$2:B1260,-1+SUMPRODUCT(MAX(ROW(E$2:E1260)*(E1261=E$2:E1260)))))</f>
        <v/>
      </c>
      <c r="J1261" s="24" t="str">
        <f ca="1">IF(OR(E1261="",E1261="!!!",F1261="NEW"),"",COUNTBLANK(OFFSET(A$1,,,SUMPRODUCT(MAX(ROW(E$2:E1261)*(E1261=E$2:E1261)))))-COUNTBLANK(OFFSET(A$1,,,SUMPRODUCT(MAX(ROW(E$1:E1260)*(E2=E$1:E1260))))))</f>
        <v/>
      </c>
      <c r="K1261" s="24" t="str">
        <f>IF(OR(E1261="",E1261="!!!",F1261="NEW"),"",INDEX(J$1:J1260,SUMPRODUCT(MAX(ROW(E$1:E1260)*(E1261=E$1:E1260)))))</f>
        <v/>
      </c>
      <c r="L1261" s="25"/>
    </row>
    <row r="1262" spans="1:12" x14ac:dyDescent="0.3">
      <c r="A1262" t="s">
        <v>638</v>
      </c>
      <c r="E1262" s="20" t="str">
        <f t="shared" si="136"/>
        <v/>
      </c>
      <c r="F1262" s="21" t="str">
        <f>IF(OR(E1262="",E1262="!!!"),"",IF(NOT(ISNA(VLOOKUP(E1262,E$1:E1261,1,FALSE()))),"OLD",IF(AND(E1262&lt;&gt;"",E1262&lt;&gt;"!!!"),"NEW","")))</f>
        <v/>
      </c>
      <c r="G1262" s="22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3" t="str">
        <f t="shared" ca="1" si="137"/>
        <v/>
      </c>
      <c r="I1262" s="24" t="str">
        <f>IF(OR(E1262="",E1262="!!!",F1262="NEW"),"",INDEX(B$2:B1261,-1+SUMPRODUCT(MAX(ROW(E$2:E1261)*(E1262=E$2:E1261)))))</f>
        <v/>
      </c>
      <c r="J1262" s="24" t="str">
        <f ca="1">IF(OR(E1262="",E1262="!!!",F1262="NEW"),"",COUNTBLANK(OFFSET(A$1,,,SUMPRODUCT(MAX(ROW(E$2:E1262)*(E1262=E$2:E1262)))))-COUNTBLANK(OFFSET(A$1,,,SUMPRODUCT(MAX(ROW(E$1:E1261)*(E2=E$1:E1261))))))</f>
        <v/>
      </c>
      <c r="K1262" s="24" t="str">
        <f>IF(OR(E1262="",E1262="!!!",F1262="NEW"),"",INDEX(J$1:J1261,SUMPRODUCT(MAX(ROW(E$1:E1261)*(E1262=E$1:E1261)))))</f>
        <v/>
      </c>
      <c r="L1262" s="25"/>
    </row>
    <row r="1264" spans="1:12" x14ac:dyDescent="0.3">
      <c r="A1264" t="s">
        <v>909</v>
      </c>
    </row>
    <row r="1265" spans="1:12" x14ac:dyDescent="0.3">
      <c r="A1265" t="s">
        <v>910</v>
      </c>
      <c r="B1265" s="26" t="s">
        <v>330</v>
      </c>
      <c r="C1265" s="26" t="s">
        <v>496</v>
      </c>
      <c r="D1265" s="26" t="s">
        <v>332</v>
      </c>
      <c r="E1265" s="20" t="str">
        <f t="shared" ref="E1265:E1270" si="138">IF(D1265="?OLD","!!!","")</f>
        <v>!!!</v>
      </c>
      <c r="F1265" s="21" t="str">
        <f>IF(OR(E1265="",E1265="!!!"),"",IF(NOT(ISNA(VLOOKUP(E1265,E$1:E1264,1,FALSE()))),"OLD",IF(AND(E1265&lt;&gt;"",E1265&lt;&gt;"!!!"),"NEW","")))</f>
        <v/>
      </c>
      <c r="G1265" s="22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3" t="str">
        <f t="shared" ref="H1265:H1270" ca="1" si="139">IF(J1265&lt;&gt;1,"",IF(I1265="SBJ","CB","?"))</f>
        <v/>
      </c>
      <c r="I1265" s="24" t="str">
        <f>IF(OR(E1265="",E1265="!!!",F1265="NEW"),"",INDEX(B$2:B1264,-1+SUMPRODUCT(MAX(ROW(E$2:E1264)*(E1265=E$2:E1264)))))</f>
        <v/>
      </c>
      <c r="J1265" s="24" t="str">
        <f ca="1">IF(OR(E1265="",E1265="!!!",F1265="NEW"),"",COUNTBLANK(OFFSET(A$1,,,SUMPRODUCT(MAX(ROW(E$2:E1265)*(E1265=E$2:E1265)))))-COUNTBLANK(OFFSET(A$1,,,SUMPRODUCT(MAX(ROW(E$1:E1264)*(E2=E$1:E1264))))))</f>
        <v/>
      </c>
      <c r="K1265" s="24" t="str">
        <f>IF(OR(E1265="",E1265="!!!",F1265="NEW"),"",INDEX(J$1:J1264,SUMPRODUCT(MAX(ROW(E$1:E1264)*(E1265=E$1:E1264)))))</f>
        <v/>
      </c>
      <c r="L1265" s="25"/>
    </row>
    <row r="1266" spans="1:12" x14ac:dyDescent="0.3">
      <c r="A1266" t="s">
        <v>333</v>
      </c>
      <c r="E1266" s="20" t="str">
        <f t="shared" si="138"/>
        <v/>
      </c>
      <c r="F1266" s="21" t="str">
        <f>IF(OR(E1266="",E1266="!!!"),"",IF(NOT(ISNA(VLOOKUP(E1266,E$1:E1265,1,FALSE()))),"OLD",IF(AND(E1266&lt;&gt;"",E1266&lt;&gt;"!!!"),"NEW","")))</f>
        <v/>
      </c>
      <c r="G1266" s="22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3" t="str">
        <f t="shared" ca="1" si="139"/>
        <v/>
      </c>
      <c r="I1266" s="24" t="str">
        <f>IF(OR(E1266="",E1266="!!!",F1266="NEW"),"",INDEX(B$2:B1265,-1+SUMPRODUCT(MAX(ROW(E$2:E1265)*(E1266=E$2:E1265)))))</f>
        <v/>
      </c>
      <c r="J1266" s="24" t="str">
        <f ca="1">IF(OR(E1266="",E1266="!!!",F1266="NEW"),"",COUNTBLANK(OFFSET(A$1,,,SUMPRODUCT(MAX(ROW(E$2:E1266)*(E1266=E$2:E1266)))))-COUNTBLANK(OFFSET(A$1,,,SUMPRODUCT(MAX(ROW(E$1:E1265)*(E2=E$1:E1265))))))</f>
        <v/>
      </c>
      <c r="K1266" s="24" t="str">
        <f>IF(OR(E1266="",E1266="!!!",F1266="NEW"),"",INDEX(J$1:J1265,SUMPRODUCT(MAX(ROW(E$1:E1265)*(E1266=E$1:E1265)))))</f>
        <v/>
      </c>
      <c r="L1266" s="25"/>
    </row>
    <row r="1267" spans="1:12" x14ac:dyDescent="0.3">
      <c r="A1267" t="s">
        <v>542</v>
      </c>
      <c r="E1267" s="20" t="str">
        <f t="shared" si="138"/>
        <v/>
      </c>
      <c r="F1267" s="21" t="str">
        <f>IF(OR(E1267="",E1267="!!!"),"",IF(NOT(ISNA(VLOOKUP(E1267,E$1:E1266,1,FALSE()))),"OLD",IF(AND(E1267&lt;&gt;"",E1267&lt;&gt;"!!!"),"NEW","")))</f>
        <v/>
      </c>
      <c r="G1267" s="22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3" t="str">
        <f t="shared" ca="1" si="139"/>
        <v/>
      </c>
      <c r="I1267" s="24" t="str">
        <f>IF(OR(E1267="",E1267="!!!",F1267="NEW"),"",INDEX(B$2:B1266,-1+SUMPRODUCT(MAX(ROW(E$2:E1266)*(E1267=E$2:E1266)))))</f>
        <v/>
      </c>
      <c r="J1267" s="24" t="str">
        <f ca="1">IF(OR(E1267="",E1267="!!!",F1267="NEW"),"",COUNTBLANK(OFFSET(A$1,,,SUMPRODUCT(MAX(ROW(E$2:E1267)*(E1267=E$2:E1267)))))-COUNTBLANK(OFFSET(A$1,,,SUMPRODUCT(MAX(ROW(E$1:E1266)*(E2=E$1:E1266))))))</f>
        <v/>
      </c>
      <c r="K1267" s="24" t="str">
        <f>IF(OR(E1267="",E1267="!!!",F1267="NEW"),"",INDEX(J$1:J1266,SUMPRODUCT(MAX(ROW(E$1:E1266)*(E1267=E$1:E1266)))))</f>
        <v/>
      </c>
      <c r="L1267" s="25"/>
    </row>
    <row r="1268" spans="1:12" x14ac:dyDescent="0.3">
      <c r="A1268" t="s">
        <v>737</v>
      </c>
      <c r="E1268" s="20" t="str">
        <f t="shared" si="138"/>
        <v/>
      </c>
      <c r="F1268" s="21" t="str">
        <f>IF(OR(E1268="",E1268="!!!"),"",IF(NOT(ISNA(VLOOKUP(E1268,E$1:E1267,1,FALSE()))),"OLD",IF(AND(E1268&lt;&gt;"",E1268&lt;&gt;"!!!"),"NEW","")))</f>
        <v/>
      </c>
      <c r="G1268" s="22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3" t="str">
        <f t="shared" ca="1" si="139"/>
        <v/>
      </c>
      <c r="I1268" s="24" t="str">
        <f>IF(OR(E1268="",E1268="!!!",F1268="NEW"),"",INDEX(B$2:B1267,-1+SUMPRODUCT(MAX(ROW(E$2:E1267)*(E1268=E$2:E1267)))))</f>
        <v/>
      </c>
      <c r="J1268" s="24" t="str">
        <f ca="1">IF(OR(E1268="",E1268="!!!",F1268="NEW"),"",COUNTBLANK(OFFSET(A$1,,,SUMPRODUCT(MAX(ROW(E$2:E1268)*(E1268=E$2:E1268)))))-COUNTBLANK(OFFSET(A$1,,,SUMPRODUCT(MAX(ROW(E$1:E1267)*(E2=E$1:E1267))))))</f>
        <v/>
      </c>
      <c r="K1268" s="24" t="str">
        <f>IF(OR(E1268="",E1268="!!!",F1268="NEW"),"",INDEX(J$1:J1267,SUMPRODUCT(MAX(ROW(E$1:E1267)*(E1268=E$1:E1267)))))</f>
        <v/>
      </c>
      <c r="L1268" s="25"/>
    </row>
    <row r="1269" spans="1:12" x14ac:dyDescent="0.3">
      <c r="A1269" t="s">
        <v>684</v>
      </c>
      <c r="B1269" s="26" t="s">
        <v>337</v>
      </c>
      <c r="C1269" s="26" t="s">
        <v>544</v>
      </c>
      <c r="E1269" s="20" t="str">
        <f t="shared" si="138"/>
        <v/>
      </c>
      <c r="F1269" s="21" t="str">
        <f>IF(OR(E1269="",E1269="!!!"),"",IF(NOT(ISNA(VLOOKUP(E1269,E$1:E1268,1,FALSE()))),"OLD",IF(AND(E1269&lt;&gt;"",E1269&lt;&gt;"!!!"),"NEW","")))</f>
        <v/>
      </c>
      <c r="G1269" s="22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23" t="str">
        <f t="shared" ca="1" si="139"/>
        <v/>
      </c>
      <c r="I1269" s="24" t="str">
        <f>IF(OR(E1269="",E1269="!!!",F1269="NEW"),"",INDEX(B$2:B1268,-1+SUMPRODUCT(MAX(ROW(E$2:E1268)*(E1269=E$2:E1268)))))</f>
        <v/>
      </c>
      <c r="J1269" s="24" t="str">
        <f ca="1">IF(OR(E1269="",E1269="!!!",F1269="NEW"),"",COUNTBLANK(OFFSET(A$1,,,SUMPRODUCT(MAX(ROW(E$2:E1269)*(E1269=E$2:E1269)))))-COUNTBLANK(OFFSET(A$1,,,SUMPRODUCT(MAX(ROW(E$1:E1268)*(E2=E$1:E1268))))))</f>
        <v/>
      </c>
      <c r="K1269" s="24" t="str">
        <f>IF(OR(E1269="",E1269="!!!",F1269="NEW"),"",INDEX(J$1:J1268,SUMPRODUCT(MAX(ROW(E$1:E1268)*(E1269=E$1:E1268)))))</f>
        <v/>
      </c>
      <c r="L1269" s="25"/>
    </row>
    <row r="1270" spans="1:12" x14ac:dyDescent="0.3">
      <c r="A1270" t="s">
        <v>338</v>
      </c>
      <c r="E1270" s="20" t="str">
        <f t="shared" si="138"/>
        <v/>
      </c>
      <c r="F1270" s="21" t="str">
        <f>IF(OR(E1270="",E1270="!!!"),"",IF(NOT(ISNA(VLOOKUP(E1270,E$1:E1269,1,FALSE()))),"OLD",IF(AND(E1270&lt;&gt;"",E1270&lt;&gt;"!!!"),"NEW","")))</f>
        <v/>
      </c>
      <c r="G1270" s="22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3" t="str">
        <f t="shared" ca="1" si="139"/>
        <v/>
      </c>
      <c r="I1270" s="24" t="str">
        <f>IF(OR(E1270="",E1270="!!!",F1270="NEW"),"",INDEX(B$2:B1269,-1+SUMPRODUCT(MAX(ROW(E$2:E1269)*(E1270=E$2:E1269)))))</f>
        <v/>
      </c>
      <c r="J1270" s="24" t="str">
        <f ca="1">IF(OR(E1270="",E1270="!!!",F1270="NEW"),"",COUNTBLANK(OFFSET(A$1,,,SUMPRODUCT(MAX(ROW(E$2:E1270)*(E1270=E$2:E1270)))))-COUNTBLANK(OFFSET(A$1,,,SUMPRODUCT(MAX(ROW(E$1:E1269)*(E2=E$1:E1269))))))</f>
        <v/>
      </c>
      <c r="K1270" s="24" t="str">
        <f>IF(OR(E1270="",E1270="!!!",F1270="NEW"),"",INDEX(J$1:J1269,SUMPRODUCT(MAX(ROW(E$1:E1269)*(E1270=E$1:E1269)))))</f>
        <v/>
      </c>
      <c r="L1270" s="25"/>
    </row>
    <row r="1272" spans="1:12" x14ac:dyDescent="0.3">
      <c r="A1272" t="s">
        <v>911</v>
      </c>
    </row>
    <row r="1273" spans="1:12" x14ac:dyDescent="0.3">
      <c r="A1273" t="s">
        <v>910</v>
      </c>
      <c r="B1273" s="26" t="s">
        <v>330</v>
      </c>
      <c r="C1273" s="26" t="s">
        <v>496</v>
      </c>
      <c r="D1273" s="26" t="s">
        <v>332</v>
      </c>
      <c r="E1273" s="20" t="str">
        <f t="shared" ref="E1273:E1285" si="140">IF(D1273="?OLD","!!!","")</f>
        <v>!!!</v>
      </c>
      <c r="F1273" s="21" t="str">
        <f>IF(OR(E1273="",E1273="!!!"),"",IF(NOT(ISNA(VLOOKUP(E1273,E$1:E1272,1,FALSE()))),"OLD",IF(AND(E1273&lt;&gt;"",E1273&lt;&gt;"!!!"),"NEW","")))</f>
        <v/>
      </c>
      <c r="G1273" s="22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3" t="str">
        <f t="shared" ref="H1273:H1285" ca="1" si="141">IF(J1273&lt;&gt;1,"",IF(I1273="SBJ","CB","?"))</f>
        <v/>
      </c>
      <c r="I1273" s="24" t="str">
        <f>IF(OR(E1273="",E1273="!!!",F1273="NEW"),"",INDEX(B$2:B1272,-1+SUMPRODUCT(MAX(ROW(E$2:E1272)*(E1273=E$2:E1272)))))</f>
        <v/>
      </c>
      <c r="J1273" s="24" t="str">
        <f ca="1">IF(OR(E1273="",E1273="!!!",F1273="NEW"),"",COUNTBLANK(OFFSET(A$1,,,SUMPRODUCT(MAX(ROW(E$2:E1273)*(E1273=E$2:E1273)))))-COUNTBLANK(OFFSET(A$1,,,SUMPRODUCT(MAX(ROW(E$1:E1272)*(E2=E$1:E1272))))))</f>
        <v/>
      </c>
      <c r="K1273" s="24" t="str">
        <f>IF(OR(E1273="",E1273="!!!",F1273="NEW"),"",INDEX(J$1:J1272,SUMPRODUCT(MAX(ROW(E$1:E1272)*(E1273=E$1:E1272)))))</f>
        <v/>
      </c>
      <c r="L1273" s="25"/>
    </row>
    <row r="1274" spans="1:12" x14ac:dyDescent="0.3">
      <c r="A1274" t="s">
        <v>333</v>
      </c>
      <c r="E1274" s="20" t="str">
        <f t="shared" si="140"/>
        <v/>
      </c>
      <c r="F1274" s="21" t="str">
        <f>IF(OR(E1274="",E1274="!!!"),"",IF(NOT(ISNA(VLOOKUP(E1274,E$1:E1273,1,FALSE()))),"OLD",IF(AND(E1274&lt;&gt;"",E1274&lt;&gt;"!!!"),"NEW","")))</f>
        <v/>
      </c>
      <c r="G1274" s="22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3" t="str">
        <f t="shared" ca="1" si="141"/>
        <v/>
      </c>
      <c r="I1274" s="24" t="str">
        <f>IF(OR(E1274="",E1274="!!!",F1274="NEW"),"",INDEX(B$2:B1273,-1+SUMPRODUCT(MAX(ROW(E$2:E1273)*(E1274=E$2:E1273)))))</f>
        <v/>
      </c>
      <c r="J1274" s="24" t="str">
        <f ca="1">IF(OR(E1274="",E1274="!!!",F1274="NEW"),"",COUNTBLANK(OFFSET(A$1,,,SUMPRODUCT(MAX(ROW(E$2:E1274)*(E1274=E$2:E1274)))))-COUNTBLANK(OFFSET(A$1,,,SUMPRODUCT(MAX(ROW(E$1:E1273)*(E2=E$1:E1273))))))</f>
        <v/>
      </c>
      <c r="K1274" s="24" t="str">
        <f>IF(OR(E1274="",E1274="!!!",F1274="NEW"),"",INDEX(J$1:J1273,SUMPRODUCT(MAX(ROW(E$1:E1273)*(E1274=E$1:E1273)))))</f>
        <v/>
      </c>
      <c r="L1274" s="25"/>
    </row>
    <row r="1275" spans="1:12" x14ac:dyDescent="0.3">
      <c r="A1275" t="s">
        <v>359</v>
      </c>
      <c r="E1275" s="20" t="str">
        <f t="shared" si="140"/>
        <v/>
      </c>
      <c r="F1275" s="21" t="str">
        <f>IF(OR(E1275="",E1275="!!!"),"",IF(NOT(ISNA(VLOOKUP(E1275,E$1:E1274,1,FALSE()))),"OLD",IF(AND(E1275&lt;&gt;"",E1275&lt;&gt;"!!!"),"NEW","")))</f>
        <v/>
      </c>
      <c r="G1275" s="22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3" t="str">
        <f t="shared" ca="1" si="141"/>
        <v/>
      </c>
      <c r="I1275" s="24" t="str">
        <f>IF(OR(E1275="",E1275="!!!",F1275="NEW"),"",INDEX(B$2:B1274,-1+SUMPRODUCT(MAX(ROW(E$2:E1274)*(E1275=E$2:E1274)))))</f>
        <v/>
      </c>
      <c r="J1275" s="24" t="str">
        <f ca="1">IF(OR(E1275="",E1275="!!!",F1275="NEW"),"",COUNTBLANK(OFFSET(A$1,,,SUMPRODUCT(MAX(ROW(E$2:E1275)*(E1275=E$2:E1275)))))-COUNTBLANK(OFFSET(A$1,,,SUMPRODUCT(MAX(ROW(E$1:E1274)*(E2=E$1:E1274))))))</f>
        <v/>
      </c>
      <c r="K1275" s="24" t="str">
        <f>IF(OR(E1275="",E1275="!!!",F1275="NEW"),"",INDEX(J$1:J1274,SUMPRODUCT(MAX(ROW(E$1:E1274)*(E1275=E$1:E1274)))))</f>
        <v/>
      </c>
      <c r="L1275" s="25"/>
    </row>
    <row r="1276" spans="1:12" x14ac:dyDescent="0.3">
      <c r="A1276" t="s">
        <v>421</v>
      </c>
      <c r="B1276" s="26" t="s">
        <v>337</v>
      </c>
      <c r="C1276" s="26" t="s">
        <v>331</v>
      </c>
      <c r="D1276" s="26" t="s">
        <v>332</v>
      </c>
      <c r="E1276" s="20" t="str">
        <f t="shared" si="140"/>
        <v>!!!</v>
      </c>
      <c r="F1276" s="21" t="str">
        <f>IF(OR(E1276="",E1276="!!!"),"",IF(NOT(ISNA(VLOOKUP(E1276,E$1:E1275,1,FALSE()))),"OLD",IF(AND(E1276&lt;&gt;"",E1276&lt;&gt;"!!!"),"NEW","")))</f>
        <v/>
      </c>
      <c r="G1276" s="22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3" t="str">
        <f t="shared" ca="1" si="141"/>
        <v/>
      </c>
      <c r="I1276" s="24" t="str">
        <f>IF(OR(E1276="",E1276="!!!",F1276="NEW"),"",INDEX(B$2:B1275,-1+SUMPRODUCT(MAX(ROW(E$2:E1275)*(E1276=E$2:E1275)))))</f>
        <v/>
      </c>
      <c r="J1276" s="24" t="str">
        <f ca="1">IF(OR(E1276="",E1276="!!!",F1276="NEW"),"",COUNTBLANK(OFFSET(A$1,,,SUMPRODUCT(MAX(ROW(E$2:E1276)*(E1276=E$2:E1276)))))-COUNTBLANK(OFFSET(A$1,,,SUMPRODUCT(MAX(ROW(E$1:E1275)*(E2=E$1:E1275))))))</f>
        <v/>
      </c>
      <c r="K1276" s="24" t="str">
        <f>IF(OR(E1276="",E1276="!!!",F1276="NEW"),"",INDEX(J$1:J1275,SUMPRODUCT(MAX(ROW(E$1:E1275)*(E1276=E$1:E1275)))))</f>
        <v/>
      </c>
      <c r="L1276" s="25"/>
    </row>
    <row r="1277" spans="1:12" x14ac:dyDescent="0.3">
      <c r="A1277" t="s">
        <v>477</v>
      </c>
      <c r="E1277" s="20" t="str">
        <f t="shared" si="140"/>
        <v/>
      </c>
      <c r="F1277" s="21" t="str">
        <f>IF(OR(E1277="",E1277="!!!"),"",IF(NOT(ISNA(VLOOKUP(E1277,E$1:E1276,1,FALSE()))),"OLD",IF(AND(E1277&lt;&gt;"",E1277&lt;&gt;"!!!"),"NEW","")))</f>
        <v/>
      </c>
      <c r="G1277" s="22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3" t="str">
        <f t="shared" ca="1" si="141"/>
        <v/>
      </c>
      <c r="I1277" s="24" t="str">
        <f>IF(OR(E1277="",E1277="!!!",F1277="NEW"),"",INDEX(B$2:B1276,-1+SUMPRODUCT(MAX(ROW(E$2:E1276)*(E1277=E$2:E1276)))))</f>
        <v/>
      </c>
      <c r="J1277" s="24" t="str">
        <f ca="1">IF(OR(E1277="",E1277="!!!",F1277="NEW"),"",COUNTBLANK(OFFSET(A$1,,,SUMPRODUCT(MAX(ROW(E$2:E1277)*(E1277=E$2:E1277)))))-COUNTBLANK(OFFSET(A$1,,,SUMPRODUCT(MAX(ROW(E$1:E1276)*(E2=E$1:E1276))))))</f>
        <v/>
      </c>
      <c r="K1277" s="24" t="str">
        <f>IF(OR(E1277="",E1277="!!!",F1277="NEW"),"",INDEX(J$1:J1276,SUMPRODUCT(MAX(ROW(E$1:E1276)*(E1277=E$1:E1276)))))</f>
        <v/>
      </c>
      <c r="L1277" s="25"/>
    </row>
    <row r="1278" spans="1:12" x14ac:dyDescent="0.3">
      <c r="A1278" t="s">
        <v>912</v>
      </c>
      <c r="B1278" s="26" t="s">
        <v>337</v>
      </c>
      <c r="C1278" s="26" t="s">
        <v>355</v>
      </c>
      <c r="E1278" s="20" t="str">
        <f t="shared" si="140"/>
        <v/>
      </c>
      <c r="F1278" s="21" t="str">
        <f>IF(OR(E1278="",E1278="!!!"),"",IF(NOT(ISNA(VLOOKUP(E1278,E$1:E1277,1,FALSE()))),"OLD",IF(AND(E1278&lt;&gt;"",E1278&lt;&gt;"!!!"),"NEW","")))</f>
        <v/>
      </c>
      <c r="G1278" s="22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23" t="str">
        <f t="shared" ca="1" si="141"/>
        <v/>
      </c>
      <c r="I1278" s="24" t="str">
        <f>IF(OR(E1278="",E1278="!!!",F1278="NEW"),"",INDEX(B$2:B1277,-1+SUMPRODUCT(MAX(ROW(E$2:E1277)*(E1278=E$2:E1277)))))</f>
        <v/>
      </c>
      <c r="J1278" s="24" t="str">
        <f ca="1">IF(OR(E1278="",E1278="!!!",F1278="NEW"),"",COUNTBLANK(OFFSET(A$1,,,SUMPRODUCT(MAX(ROW(E$2:E1278)*(E1278=E$2:E1278)))))-COUNTBLANK(OFFSET(A$1,,,SUMPRODUCT(MAX(ROW(E$1:E1277)*(E2=E$1:E1277))))))</f>
        <v/>
      </c>
      <c r="K1278" s="24" t="str">
        <f>IF(OR(E1278="",E1278="!!!",F1278="NEW"),"",INDEX(J$1:J1277,SUMPRODUCT(MAX(ROW(E$1:E1277)*(E1278=E$1:E1277)))))</f>
        <v/>
      </c>
      <c r="L1278" s="25"/>
    </row>
    <row r="1279" spans="1:12" x14ac:dyDescent="0.3">
      <c r="A1279" t="s">
        <v>334</v>
      </c>
      <c r="E1279" s="20" t="str">
        <f t="shared" si="140"/>
        <v/>
      </c>
      <c r="F1279" s="21" t="str">
        <f>IF(OR(E1279="",E1279="!!!"),"",IF(NOT(ISNA(VLOOKUP(E1279,E$1:E1278,1,FALSE()))),"OLD",IF(AND(E1279&lt;&gt;"",E1279&lt;&gt;"!!!"),"NEW","")))</f>
        <v/>
      </c>
      <c r="G1279" s="22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3" t="str">
        <f t="shared" ca="1" si="141"/>
        <v/>
      </c>
      <c r="I1279" s="24" t="str">
        <f>IF(OR(E1279="",E1279="!!!",F1279="NEW"),"",INDEX(B$2:B1278,-1+SUMPRODUCT(MAX(ROW(E$2:E1278)*(E1279=E$2:E1278)))))</f>
        <v/>
      </c>
      <c r="J1279" s="24" t="str">
        <f ca="1">IF(OR(E1279="",E1279="!!!",F1279="NEW"),"",COUNTBLANK(OFFSET(A$1,,,SUMPRODUCT(MAX(ROW(E$2:E1279)*(E1279=E$2:E1279)))))-COUNTBLANK(OFFSET(A$1,,,SUMPRODUCT(MAX(ROW(E$1:E1278)*(E2=E$1:E1278))))))</f>
        <v/>
      </c>
      <c r="K1279" s="24" t="str">
        <f>IF(OR(E1279="",E1279="!!!",F1279="NEW"),"",INDEX(J$1:J1278,SUMPRODUCT(MAX(ROW(E$1:E1278)*(E1279=E$1:E1278)))))</f>
        <v/>
      </c>
      <c r="L1279" s="25"/>
    </row>
    <row r="1280" spans="1:12" x14ac:dyDescent="0.3">
      <c r="A1280" t="s">
        <v>335</v>
      </c>
      <c r="E1280" s="20" t="str">
        <f t="shared" si="140"/>
        <v/>
      </c>
      <c r="F1280" s="21" t="str">
        <f>IF(OR(E1280="",E1280="!!!"),"",IF(NOT(ISNA(VLOOKUP(E1280,E$1:E1279,1,FALSE()))),"OLD",IF(AND(E1280&lt;&gt;"",E1280&lt;&gt;"!!!"),"NEW","")))</f>
        <v/>
      </c>
      <c r="G1280" s="22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3" t="str">
        <f t="shared" ca="1" si="141"/>
        <v/>
      </c>
      <c r="I1280" s="24" t="str">
        <f>IF(OR(E1280="",E1280="!!!",F1280="NEW"),"",INDEX(B$2:B1279,-1+SUMPRODUCT(MAX(ROW(E$2:E1279)*(E1280=E$2:E1279)))))</f>
        <v/>
      </c>
      <c r="J1280" s="24" t="str">
        <f ca="1">IF(OR(E1280="",E1280="!!!",F1280="NEW"),"",COUNTBLANK(OFFSET(A$1,,,SUMPRODUCT(MAX(ROW(E$2:E1280)*(E1280=E$2:E1280)))))-COUNTBLANK(OFFSET(A$1,,,SUMPRODUCT(MAX(ROW(E$1:E1279)*(E2=E$1:E1279))))))</f>
        <v/>
      </c>
      <c r="K1280" s="24" t="str">
        <f>IF(OR(E1280="",E1280="!!!",F1280="NEW"),"",INDEX(J$1:J1279,SUMPRODUCT(MAX(ROW(E$1:E1279)*(E1280=E$1:E1279)))))</f>
        <v/>
      </c>
      <c r="L1280" s="25"/>
    </row>
    <row r="1281" spans="1:12" x14ac:dyDescent="0.3">
      <c r="A1281" t="s">
        <v>881</v>
      </c>
      <c r="E1281" s="20" t="str">
        <f t="shared" si="140"/>
        <v/>
      </c>
      <c r="F1281" s="21" t="str">
        <f>IF(OR(E1281="",E1281="!!!"),"",IF(NOT(ISNA(VLOOKUP(E1281,E$1:E1280,1,FALSE()))),"OLD",IF(AND(E1281&lt;&gt;"",E1281&lt;&gt;"!!!"),"NEW","")))</f>
        <v/>
      </c>
      <c r="G1281" s="22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3" t="str">
        <f t="shared" ca="1" si="141"/>
        <v/>
      </c>
      <c r="I1281" s="24" t="str">
        <f>IF(OR(E1281="",E1281="!!!",F1281="NEW"),"",INDEX(B$2:B1280,-1+SUMPRODUCT(MAX(ROW(E$2:E1280)*(E1281=E$2:E1280)))))</f>
        <v/>
      </c>
      <c r="J1281" s="24" t="str">
        <f ca="1">IF(OR(E1281="",E1281="!!!",F1281="NEW"),"",COUNTBLANK(OFFSET(A$1,,,SUMPRODUCT(MAX(ROW(E$2:E1281)*(E1281=E$2:E1281)))))-COUNTBLANK(OFFSET(A$1,,,SUMPRODUCT(MAX(ROW(E$1:E1280)*(E2=E$1:E1280))))))</f>
        <v/>
      </c>
      <c r="K1281" s="24" t="str">
        <f>IF(OR(E1281="",E1281="!!!",F1281="NEW"),"",INDEX(J$1:J1280,SUMPRODUCT(MAX(ROW(E$1:E1280)*(E1281=E$1:E1280)))))</f>
        <v/>
      </c>
      <c r="L1281" s="25"/>
    </row>
    <row r="1282" spans="1:12" x14ac:dyDescent="0.3">
      <c r="A1282" t="s">
        <v>882</v>
      </c>
      <c r="B1282" s="26" t="s">
        <v>378</v>
      </c>
      <c r="C1282" s="26" t="s">
        <v>331</v>
      </c>
      <c r="D1282" s="26" t="s">
        <v>332</v>
      </c>
      <c r="E1282" s="20" t="str">
        <f t="shared" si="140"/>
        <v>!!!</v>
      </c>
      <c r="F1282" s="21" t="str">
        <f>IF(OR(E1282="",E1282="!!!"),"",IF(NOT(ISNA(VLOOKUP(E1282,E$1:E1281,1,FALSE()))),"OLD",IF(AND(E1282&lt;&gt;"",E1282&lt;&gt;"!!!"),"NEW","")))</f>
        <v/>
      </c>
      <c r="G1282" s="22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3" t="str">
        <f t="shared" ca="1" si="141"/>
        <v/>
      </c>
      <c r="I1282" s="24" t="str">
        <f>IF(OR(E1282="",E1282="!!!",F1282="NEW"),"",INDEX(B$2:B1281,-1+SUMPRODUCT(MAX(ROW(E$2:E1281)*(E1282=E$2:E1281)))))</f>
        <v/>
      </c>
      <c r="J1282" s="24" t="str">
        <f ca="1">IF(OR(E1282="",E1282="!!!",F1282="NEW"),"",COUNTBLANK(OFFSET(A$1,,,SUMPRODUCT(MAX(ROW(E$2:E1282)*(E1282=E$2:E1282)))))-COUNTBLANK(OFFSET(A$1,,,SUMPRODUCT(MAX(ROW(E$1:E1281)*(E2=E$1:E1281))))))</f>
        <v/>
      </c>
      <c r="K1282" s="24" t="str">
        <f>IF(OR(E1282="",E1282="!!!",F1282="NEW"),"",INDEX(J$1:J1281,SUMPRODUCT(MAX(ROW(E$1:E1281)*(E1282=E$1:E1281)))))</f>
        <v/>
      </c>
      <c r="L1282" s="25"/>
    </row>
    <row r="1283" spans="1:12" x14ac:dyDescent="0.3">
      <c r="A1283" t="s">
        <v>334</v>
      </c>
      <c r="E1283" s="20" t="str">
        <f t="shared" si="140"/>
        <v/>
      </c>
      <c r="F1283" s="21" t="str">
        <f>IF(OR(E1283="",E1283="!!!"),"",IF(NOT(ISNA(VLOOKUP(E1283,E$1:E1282,1,FALSE()))),"OLD",IF(AND(E1283&lt;&gt;"",E1283&lt;&gt;"!!!"),"NEW","")))</f>
        <v/>
      </c>
      <c r="G1283" s="22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3" t="str">
        <f t="shared" ca="1" si="141"/>
        <v/>
      </c>
      <c r="I1283" s="24" t="str">
        <f>IF(OR(E1283="",E1283="!!!",F1283="NEW"),"",INDEX(B$2:B1282,-1+SUMPRODUCT(MAX(ROW(E$2:E1282)*(E1283=E$2:E1282)))))</f>
        <v/>
      </c>
      <c r="J1283" s="24" t="str">
        <f ca="1">IF(OR(E1283="",E1283="!!!",F1283="NEW"),"",COUNTBLANK(OFFSET(A$1,,,SUMPRODUCT(MAX(ROW(E$2:E1283)*(E1283=E$2:E1283)))))-COUNTBLANK(OFFSET(A$1,,,SUMPRODUCT(MAX(ROW(E$1:E1282)*(E2=E$1:E1282))))))</f>
        <v/>
      </c>
      <c r="K1283" s="24" t="str">
        <f>IF(OR(E1283="",E1283="!!!",F1283="NEW"),"",INDEX(J$1:J1282,SUMPRODUCT(MAX(ROW(E$1:E1282)*(E1283=E$1:E1282)))))</f>
        <v/>
      </c>
      <c r="L1283" s="25"/>
    </row>
    <row r="1284" spans="1:12" x14ac:dyDescent="0.3">
      <c r="A1284" t="s">
        <v>913</v>
      </c>
      <c r="B1284" s="26" t="s">
        <v>362</v>
      </c>
      <c r="C1284" s="26" t="s">
        <v>496</v>
      </c>
      <c r="D1284" s="26" t="s">
        <v>332</v>
      </c>
      <c r="E1284" s="20" t="str">
        <f t="shared" si="140"/>
        <v>!!!</v>
      </c>
      <c r="F1284" s="21" t="str">
        <f>IF(OR(E1284="",E1284="!!!"),"",IF(NOT(ISNA(VLOOKUP(E1284,E$1:E1283,1,FALSE()))),"OLD",IF(AND(E1284&lt;&gt;"",E1284&lt;&gt;"!!!"),"NEW","")))</f>
        <v/>
      </c>
      <c r="G1284" s="22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3" t="str">
        <f t="shared" ca="1" si="141"/>
        <v/>
      </c>
      <c r="I1284" s="24" t="str">
        <f>IF(OR(E1284="",E1284="!!!",F1284="NEW"),"",INDEX(B$2:B1283,-1+SUMPRODUCT(MAX(ROW(E$2:E1283)*(E1284=E$2:E1283)))))</f>
        <v/>
      </c>
      <c r="J1284" s="24" t="str">
        <f ca="1">IF(OR(E1284="",E1284="!!!",F1284="NEW"),"",COUNTBLANK(OFFSET(A$1,,,SUMPRODUCT(MAX(ROW(E$2:E1284)*(E1284=E$2:E1284)))))-COUNTBLANK(OFFSET(A$1,,,SUMPRODUCT(MAX(ROW(E$1:E1283)*(E2=E$1:E1283))))))</f>
        <v/>
      </c>
      <c r="K1284" s="24" t="str">
        <f>IF(OR(E1284="",E1284="!!!",F1284="NEW"),"",INDEX(J$1:J1283,SUMPRODUCT(MAX(ROW(E$1:E1283)*(E1284=E$1:E1283)))))</f>
        <v/>
      </c>
      <c r="L1284" s="25"/>
    </row>
    <row r="1285" spans="1:12" x14ac:dyDescent="0.3">
      <c r="A1285" t="s">
        <v>338</v>
      </c>
      <c r="E1285" s="20" t="str">
        <f t="shared" si="140"/>
        <v/>
      </c>
      <c r="F1285" s="21" t="str">
        <f>IF(OR(E1285="",E1285="!!!"),"",IF(NOT(ISNA(VLOOKUP(E1285,E$1:E1284,1,FALSE()))),"OLD",IF(AND(E1285&lt;&gt;"",E1285&lt;&gt;"!!!"),"NEW","")))</f>
        <v/>
      </c>
      <c r="G1285" s="22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3" t="str">
        <f t="shared" ca="1" si="141"/>
        <v/>
      </c>
      <c r="I1285" s="24" t="str">
        <f>IF(OR(E1285="",E1285="!!!",F1285="NEW"),"",INDEX(B$2:B1284,-1+SUMPRODUCT(MAX(ROW(E$2:E1284)*(E1285=E$2:E1284)))))</f>
        <v/>
      </c>
      <c r="J1285" s="24" t="str">
        <f ca="1">IF(OR(E1285="",E1285="!!!",F1285="NEW"),"",COUNTBLANK(OFFSET(A$1,,,SUMPRODUCT(MAX(ROW(E$2:E1285)*(E1285=E$2:E1285)))))-COUNTBLANK(OFFSET(A$1,,,SUMPRODUCT(MAX(ROW(E$1:E1284)*(E2=E$1:E1284))))))</f>
        <v/>
      </c>
      <c r="K1285" s="24" t="str">
        <f>IF(OR(E1285="",E1285="!!!",F1285="NEW"),"",INDEX(J$1:J1284,SUMPRODUCT(MAX(ROW(E$1:E1284)*(E1285=E$1:E1284)))))</f>
        <v/>
      </c>
      <c r="L1285" s="25"/>
    </row>
    <row r="1287" spans="1:12" x14ac:dyDescent="0.3">
      <c r="A1287" t="s">
        <v>914</v>
      </c>
    </row>
    <row r="1288" spans="1:12" x14ac:dyDescent="0.3">
      <c r="A1288" t="s">
        <v>376</v>
      </c>
      <c r="E1288" s="20" t="str">
        <f t="shared" ref="E1288:E1294" si="142">IF(D1288="?OLD","!!!","")</f>
        <v/>
      </c>
      <c r="F1288" s="21" t="str">
        <f>IF(OR(E1288="",E1288="!!!"),"",IF(NOT(ISNA(VLOOKUP(E1288,E$1:E1287,1,FALSE()))),"OLD",IF(AND(E1288&lt;&gt;"",E1288&lt;&gt;"!!!"),"NEW","")))</f>
        <v/>
      </c>
      <c r="G1288" s="22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3" t="str">
        <f t="shared" ref="H1288:H1294" ca="1" si="143">IF(J1288&lt;&gt;1,"",IF(I1288="SBJ","CB","?"))</f>
        <v/>
      </c>
      <c r="I1288" s="24" t="str">
        <f>IF(OR(E1288="",E1288="!!!",F1288="NEW"),"",INDEX(B$2:B1287,-1+SUMPRODUCT(MAX(ROW(E$2:E1287)*(E1288=E$2:E1287)))))</f>
        <v/>
      </c>
      <c r="J1288" s="24" t="str">
        <f ca="1">IF(OR(E1288="",E1288="!!!",F1288="NEW"),"",COUNTBLANK(OFFSET(A$1,,,SUMPRODUCT(MAX(ROW(E$2:E1288)*(E1288=E$2:E1288)))))-COUNTBLANK(OFFSET(A$1,,,SUMPRODUCT(MAX(ROW(E$1:E1287)*(E2=E$1:E1287))))))</f>
        <v/>
      </c>
      <c r="K1288" s="24" t="str">
        <f>IF(OR(E1288="",E1288="!!!",F1288="NEW"),"",INDEX(J$1:J1287,SUMPRODUCT(MAX(ROW(E$1:E1287)*(E1288=E$1:E1287)))))</f>
        <v/>
      </c>
      <c r="L1288" s="25"/>
    </row>
    <row r="1289" spans="1:12" x14ac:dyDescent="0.3">
      <c r="A1289" t="s">
        <v>659</v>
      </c>
      <c r="E1289" s="20" t="str">
        <f t="shared" si="142"/>
        <v/>
      </c>
      <c r="F1289" s="21" t="str">
        <f>IF(OR(E1289="",E1289="!!!"),"",IF(NOT(ISNA(VLOOKUP(E1289,E$1:E1288,1,FALSE()))),"OLD",IF(AND(E1289&lt;&gt;"",E1289&lt;&gt;"!!!"),"NEW","")))</f>
        <v/>
      </c>
      <c r="G1289" s="22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3" t="str">
        <f t="shared" ca="1" si="143"/>
        <v/>
      </c>
      <c r="I1289" s="24" t="str">
        <f>IF(OR(E1289="",E1289="!!!",F1289="NEW"),"",INDEX(B$2:B1288,-1+SUMPRODUCT(MAX(ROW(E$2:E1288)*(E1289=E$2:E1288)))))</f>
        <v/>
      </c>
      <c r="J1289" s="24" t="str">
        <f ca="1">IF(OR(E1289="",E1289="!!!",F1289="NEW"),"",COUNTBLANK(OFFSET(A$1,,,SUMPRODUCT(MAX(ROW(E$2:E1289)*(E1289=E$2:E1289)))))-COUNTBLANK(OFFSET(A$1,,,SUMPRODUCT(MAX(ROW(E$1:E1288)*(E2=E$1:E1288))))))</f>
        <v/>
      </c>
      <c r="K1289" s="24" t="str">
        <f>IF(OR(E1289="",E1289="!!!",F1289="NEW"),"",INDEX(J$1:J1288,SUMPRODUCT(MAX(ROW(E$1:E1288)*(E1289=E$1:E1288)))))</f>
        <v/>
      </c>
      <c r="L1289" s="25"/>
    </row>
    <row r="1290" spans="1:12" x14ac:dyDescent="0.3">
      <c r="A1290" t="s">
        <v>884</v>
      </c>
      <c r="B1290" s="26" t="s">
        <v>337</v>
      </c>
      <c r="C1290" s="26" t="s">
        <v>544</v>
      </c>
      <c r="E1290" s="20" t="str">
        <f t="shared" si="142"/>
        <v/>
      </c>
      <c r="F1290" s="21" t="str">
        <f>IF(OR(E1290="",E1290="!!!"),"",IF(NOT(ISNA(VLOOKUP(E1290,E$1:E1289,1,FALSE()))),"OLD",IF(AND(E1290&lt;&gt;"",E1290&lt;&gt;"!!!"),"NEW","")))</f>
        <v/>
      </c>
      <c r="G1290" s="22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3" t="str">
        <f t="shared" ca="1" si="143"/>
        <v/>
      </c>
      <c r="I1290" s="24" t="str">
        <f>IF(OR(E1290="",E1290="!!!",F1290="NEW"),"",INDEX(B$2:B1289,-1+SUMPRODUCT(MAX(ROW(E$2:E1289)*(E1290=E$2:E1289)))))</f>
        <v/>
      </c>
      <c r="J1290" s="24" t="str">
        <f ca="1">IF(OR(E1290="",E1290="!!!",F1290="NEW"),"",COUNTBLANK(OFFSET(A$1,,,SUMPRODUCT(MAX(ROW(E$2:E1290)*(E1290=E$2:E1290)))))-COUNTBLANK(OFFSET(A$1,,,SUMPRODUCT(MAX(ROW(E$1:E1289)*(E2=E$1:E1289))))))</f>
        <v/>
      </c>
      <c r="K1290" s="24" t="str">
        <f>IF(OR(E1290="",E1290="!!!",F1290="NEW"),"",INDEX(J$1:J1289,SUMPRODUCT(MAX(ROW(E$1:E1289)*(E1290=E$1:E1289)))))</f>
        <v/>
      </c>
      <c r="L1290" s="25"/>
    </row>
    <row r="1291" spans="1:12" x14ac:dyDescent="0.3">
      <c r="A1291" t="s">
        <v>535</v>
      </c>
      <c r="E1291" s="20" t="str">
        <f t="shared" si="142"/>
        <v/>
      </c>
      <c r="F1291" s="21" t="str">
        <f>IF(OR(E1291="",E1291="!!!"),"",IF(NOT(ISNA(VLOOKUP(E1291,E$1:E1290,1,FALSE()))),"OLD",IF(AND(E1291&lt;&gt;"",E1291&lt;&gt;"!!!"),"NEW","")))</f>
        <v/>
      </c>
      <c r="G1291" s="22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3" t="str">
        <f t="shared" ca="1" si="143"/>
        <v/>
      </c>
      <c r="I1291" s="24" t="str">
        <f>IF(OR(E1291="",E1291="!!!",F1291="NEW"),"",INDEX(B$2:B1290,-1+SUMPRODUCT(MAX(ROW(E$2:E1290)*(E1291=E$2:E1290)))))</f>
        <v/>
      </c>
      <c r="J1291" s="24" t="str">
        <f ca="1">IF(OR(E1291="",E1291="!!!",F1291="NEW"),"",COUNTBLANK(OFFSET(A$1,,,SUMPRODUCT(MAX(ROW(E$2:E1291)*(E1291=E$2:E1291)))))-COUNTBLANK(OFFSET(A$1,,,SUMPRODUCT(MAX(ROW(E$1:E1290)*(E2=E$1:E1290))))))</f>
        <v/>
      </c>
      <c r="K1291" s="24" t="str">
        <f>IF(OR(E1291="",E1291="!!!",F1291="NEW"),"",INDEX(J$1:J1290,SUMPRODUCT(MAX(ROW(E$1:E1290)*(E1291=E$1:E1290)))))</f>
        <v/>
      </c>
      <c r="L1291" s="25"/>
    </row>
    <row r="1292" spans="1:12" x14ac:dyDescent="0.3">
      <c r="A1292" t="s">
        <v>915</v>
      </c>
      <c r="E1292" s="20" t="str">
        <f t="shared" si="142"/>
        <v/>
      </c>
      <c r="F1292" s="21" t="str">
        <f>IF(OR(E1292="",E1292="!!!"),"",IF(NOT(ISNA(VLOOKUP(E1292,E$1:E1291,1,FALSE()))),"OLD",IF(AND(E1292&lt;&gt;"",E1292&lt;&gt;"!!!"),"NEW","")))</f>
        <v/>
      </c>
      <c r="G1292" s="22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3" t="str">
        <f t="shared" ca="1" si="143"/>
        <v/>
      </c>
      <c r="I1292" s="24" t="str">
        <f>IF(OR(E1292="",E1292="!!!",F1292="NEW"),"",INDEX(B$2:B1291,-1+SUMPRODUCT(MAX(ROW(E$2:E1291)*(E1292=E$2:E1291)))))</f>
        <v/>
      </c>
      <c r="J1292" s="24" t="str">
        <f ca="1">IF(OR(E1292="",E1292="!!!",F1292="NEW"),"",COUNTBLANK(OFFSET(A$1,,,SUMPRODUCT(MAX(ROW(E$2:E1292)*(E1292=E$2:E1292)))))-COUNTBLANK(OFFSET(A$1,,,SUMPRODUCT(MAX(ROW(E$1:E1291)*(E2=E$1:E1291))))))</f>
        <v/>
      </c>
      <c r="K1292" s="24" t="str">
        <f>IF(OR(E1292="",E1292="!!!",F1292="NEW"),"",INDEX(J$1:J1291,SUMPRODUCT(MAX(ROW(E$1:E1291)*(E1292=E$1:E1291)))))</f>
        <v/>
      </c>
      <c r="L1292" s="25"/>
    </row>
    <row r="1293" spans="1:12" x14ac:dyDescent="0.3">
      <c r="A1293" t="s">
        <v>885</v>
      </c>
      <c r="B1293" s="26" t="s">
        <v>337</v>
      </c>
      <c r="C1293" s="26" t="s">
        <v>341</v>
      </c>
      <c r="D1293" s="26" t="s">
        <v>332</v>
      </c>
      <c r="E1293" s="20" t="str">
        <f t="shared" si="142"/>
        <v>!!!</v>
      </c>
      <c r="F1293" s="21" t="str">
        <f>IF(OR(E1293="",E1293="!!!"),"",IF(NOT(ISNA(VLOOKUP(E1293,E$1:E1292,1,FALSE()))),"OLD",IF(AND(E1293&lt;&gt;"",E1293&lt;&gt;"!!!"),"NEW","")))</f>
        <v/>
      </c>
      <c r="G1293" s="22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3" t="str">
        <f t="shared" ca="1" si="143"/>
        <v/>
      </c>
      <c r="I1293" s="24" t="str">
        <f>IF(OR(E1293="",E1293="!!!",F1293="NEW"),"",INDEX(B$2:B1292,-1+SUMPRODUCT(MAX(ROW(E$2:E1292)*(E1293=E$2:E1292)))))</f>
        <v/>
      </c>
      <c r="J1293" s="24" t="str">
        <f ca="1">IF(OR(E1293="",E1293="!!!",F1293="NEW"),"",COUNTBLANK(OFFSET(A$1,,,SUMPRODUCT(MAX(ROW(E$2:E1293)*(E1293=E$2:E1293)))))-COUNTBLANK(OFFSET(A$1,,,SUMPRODUCT(MAX(ROW(E$1:E1292)*(E2=E$1:E1292))))))</f>
        <v/>
      </c>
      <c r="K1293" s="24" t="str">
        <f>IF(OR(E1293="",E1293="!!!",F1293="NEW"),"",INDEX(J$1:J1292,SUMPRODUCT(MAX(ROW(E$1:E1292)*(E1293=E$1:E1292)))))</f>
        <v/>
      </c>
      <c r="L1293" s="25"/>
    </row>
    <row r="1294" spans="1:12" x14ac:dyDescent="0.3">
      <c r="A1294" t="s">
        <v>338</v>
      </c>
      <c r="E1294" s="20" t="str">
        <f t="shared" si="142"/>
        <v/>
      </c>
      <c r="F1294" s="21" t="str">
        <f>IF(OR(E1294="",E1294="!!!"),"",IF(NOT(ISNA(VLOOKUP(E1294,E$1:E1293,1,FALSE()))),"OLD",IF(AND(E1294&lt;&gt;"",E1294&lt;&gt;"!!!"),"NEW","")))</f>
        <v/>
      </c>
      <c r="G1294" s="22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3" t="str">
        <f t="shared" ca="1" si="143"/>
        <v/>
      </c>
      <c r="I1294" s="24" t="str">
        <f>IF(OR(E1294="",E1294="!!!",F1294="NEW"),"",INDEX(B$2:B1293,-1+SUMPRODUCT(MAX(ROW(E$2:E1293)*(E1294=E$2:E1293)))))</f>
        <v/>
      </c>
      <c r="J1294" s="24" t="str">
        <f ca="1">IF(OR(E1294="",E1294="!!!",F1294="NEW"),"",COUNTBLANK(OFFSET(A$1,,,SUMPRODUCT(MAX(ROW(E$2:E1294)*(E1294=E$2:E1294)))))-COUNTBLANK(OFFSET(A$1,,,SUMPRODUCT(MAX(ROW(E$1:E1293)*(E2=E$1:E1293))))))</f>
        <v/>
      </c>
      <c r="K1294" s="24" t="str">
        <f>IF(OR(E1294="",E1294="!!!",F1294="NEW"),"",INDEX(J$1:J1293,SUMPRODUCT(MAX(ROW(E$1:E1293)*(E1294=E$1:E1293)))))</f>
        <v/>
      </c>
      <c r="L1294" s="25"/>
    </row>
    <row r="1296" spans="1:12" x14ac:dyDescent="0.3">
      <c r="A1296" t="s">
        <v>916</v>
      </c>
    </row>
    <row r="1297" spans="1:12" x14ac:dyDescent="0.3">
      <c r="A1297" t="s">
        <v>887</v>
      </c>
      <c r="E1297" s="20" t="str">
        <f t="shared" ref="E1297:E1313" si="144">IF(D1297="?OLD","!!!","")</f>
        <v/>
      </c>
      <c r="F1297" s="21" t="str">
        <f>IF(OR(E1297="",E1297="!!!"),"",IF(NOT(ISNA(VLOOKUP(E1297,E$1:E1296,1,FALSE()))),"OLD",IF(AND(E1297&lt;&gt;"",E1297&lt;&gt;"!!!"),"NEW","")))</f>
        <v/>
      </c>
      <c r="G1297" s="22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3" t="str">
        <f t="shared" ref="H1297:H1313" ca="1" si="145">IF(J1297&lt;&gt;1,"",IF(I1297="SBJ","CB","?"))</f>
        <v/>
      </c>
      <c r="I1297" s="24" t="str">
        <f>IF(OR(E1297="",E1297="!!!",F1297="NEW"),"",INDEX(B$2:B1296,-1+SUMPRODUCT(MAX(ROW(E$2:E1296)*(E1297=E$2:E1296)))))</f>
        <v/>
      </c>
      <c r="J1297" s="24" t="str">
        <f ca="1">IF(OR(E1297="",E1297="!!!",F1297="NEW"),"",COUNTBLANK(OFFSET(A$1,,,SUMPRODUCT(MAX(ROW(E$2:E1297)*(E1297=E$2:E1297)))))-COUNTBLANK(OFFSET(A$1,,,SUMPRODUCT(MAX(ROW(E$1:E1296)*(E2=E$1:E1296))))))</f>
        <v/>
      </c>
      <c r="K1297" s="24" t="str">
        <f>IF(OR(E1297="",E1297="!!!",F1297="NEW"),"",INDEX(J$1:J1296,SUMPRODUCT(MAX(ROW(E$1:E1296)*(E1297=E$1:E1296)))))</f>
        <v/>
      </c>
      <c r="L1297" s="25"/>
    </row>
    <row r="1298" spans="1:12" x14ac:dyDescent="0.3">
      <c r="A1298" t="s">
        <v>723</v>
      </c>
      <c r="B1298" s="26" t="s">
        <v>330</v>
      </c>
      <c r="C1298" s="26" t="s">
        <v>496</v>
      </c>
      <c r="D1298" s="26" t="s">
        <v>332</v>
      </c>
      <c r="E1298" s="20" t="str">
        <f t="shared" si="144"/>
        <v>!!!</v>
      </c>
      <c r="F1298" s="21" t="str">
        <f>IF(OR(E1298="",E1298="!!!"),"",IF(NOT(ISNA(VLOOKUP(E1298,E$1:E1297,1,FALSE()))),"OLD",IF(AND(E1298&lt;&gt;"",E1298&lt;&gt;"!!!"),"NEW","")))</f>
        <v/>
      </c>
      <c r="G1298" s="22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23" t="str">
        <f t="shared" ca="1" si="145"/>
        <v/>
      </c>
      <c r="I1298" s="24" t="str">
        <f>IF(OR(E1298="",E1298="!!!",F1298="NEW"),"",INDEX(B$2:B1297,-1+SUMPRODUCT(MAX(ROW(E$2:E1297)*(E1298=E$2:E1297)))))</f>
        <v/>
      </c>
      <c r="J1298" s="24" t="str">
        <f ca="1">IF(OR(E1298="",E1298="!!!",F1298="NEW"),"",COUNTBLANK(OFFSET(A$1,,,SUMPRODUCT(MAX(ROW(E$2:E1298)*(E1298=E$2:E1298)))))-COUNTBLANK(OFFSET(A$1,,,SUMPRODUCT(MAX(ROW(E$1:E1297)*(E2=E$1:E1297))))))</f>
        <v/>
      </c>
      <c r="K1298" s="24" t="str">
        <f>IF(OR(E1298="",E1298="!!!",F1298="NEW"),"",INDEX(J$1:J1297,SUMPRODUCT(MAX(ROW(E$1:E1297)*(E1298=E$1:E1297)))))</f>
        <v/>
      </c>
      <c r="L1298" s="25"/>
    </row>
    <row r="1299" spans="1:12" x14ac:dyDescent="0.3">
      <c r="A1299" t="s">
        <v>888</v>
      </c>
      <c r="E1299" s="20" t="str">
        <f t="shared" si="144"/>
        <v/>
      </c>
      <c r="F1299" s="21" t="str">
        <f>IF(OR(E1299="",E1299="!!!"),"",IF(NOT(ISNA(VLOOKUP(E1299,E$1:E1298,1,FALSE()))),"OLD",IF(AND(E1299&lt;&gt;"",E1299&lt;&gt;"!!!"),"NEW","")))</f>
        <v/>
      </c>
      <c r="G1299" s="22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3" t="str">
        <f t="shared" ca="1" si="145"/>
        <v/>
      </c>
      <c r="I1299" s="24" t="str">
        <f>IF(OR(E1299="",E1299="!!!",F1299="NEW"),"",INDEX(B$2:B1298,-1+SUMPRODUCT(MAX(ROW(E$2:E1298)*(E1299=E$2:E1298)))))</f>
        <v/>
      </c>
      <c r="J1299" s="24" t="str">
        <f ca="1">IF(OR(E1299="",E1299="!!!",F1299="NEW"),"",COUNTBLANK(OFFSET(A$1,,,SUMPRODUCT(MAX(ROW(E$2:E1299)*(E1299=E$2:E1299)))))-COUNTBLANK(OFFSET(A$1,,,SUMPRODUCT(MAX(ROW(E$1:E1298)*(E2=E$1:E1298))))))</f>
        <v/>
      </c>
      <c r="K1299" s="24" t="str">
        <f>IF(OR(E1299="",E1299="!!!",F1299="NEW"),"",INDEX(J$1:J1298,SUMPRODUCT(MAX(ROW(E$1:E1298)*(E1299=E$1:E1298)))))</f>
        <v/>
      </c>
      <c r="L1299" s="25"/>
    </row>
    <row r="1300" spans="1:12" x14ac:dyDescent="0.3">
      <c r="A1300" t="s">
        <v>333</v>
      </c>
      <c r="E1300" s="20" t="str">
        <f t="shared" si="144"/>
        <v/>
      </c>
      <c r="F1300" s="21" t="str">
        <f>IF(OR(E1300="",E1300="!!!"),"",IF(NOT(ISNA(VLOOKUP(E1300,E$1:E1299,1,FALSE()))),"OLD",IF(AND(E1300&lt;&gt;"",E1300&lt;&gt;"!!!"),"NEW","")))</f>
        <v/>
      </c>
      <c r="G1300" s="22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3" t="str">
        <f t="shared" ca="1" si="145"/>
        <v/>
      </c>
      <c r="I1300" s="24" t="str">
        <f>IF(OR(E1300="",E1300="!!!",F1300="NEW"),"",INDEX(B$2:B1299,-1+SUMPRODUCT(MAX(ROW(E$2:E1299)*(E1300=E$2:E1299)))))</f>
        <v/>
      </c>
      <c r="J1300" s="24" t="str">
        <f ca="1">IF(OR(E1300="",E1300="!!!",F1300="NEW"),"",COUNTBLANK(OFFSET(A$1,,,SUMPRODUCT(MAX(ROW(E$2:E1300)*(E1300=E$2:E1300)))))-COUNTBLANK(OFFSET(A$1,,,SUMPRODUCT(MAX(ROW(E$1:E1299)*(E2=E$1:E1299))))))</f>
        <v/>
      </c>
      <c r="K1300" s="24" t="str">
        <f>IF(OR(E1300="",E1300="!!!",F1300="NEW"),"",INDEX(J$1:J1299,SUMPRODUCT(MAX(ROW(E$1:E1299)*(E1300=E$1:E1299)))))</f>
        <v/>
      </c>
      <c r="L1300" s="25"/>
    </row>
    <row r="1301" spans="1:12" x14ac:dyDescent="0.3">
      <c r="A1301" t="s">
        <v>917</v>
      </c>
      <c r="B1301" s="26" t="s">
        <v>330</v>
      </c>
      <c r="C1301" s="26" t="s">
        <v>341</v>
      </c>
      <c r="D1301" s="26" t="s">
        <v>332</v>
      </c>
      <c r="E1301" s="20" t="str">
        <f t="shared" si="144"/>
        <v>!!!</v>
      </c>
      <c r="F1301" s="21" t="str">
        <f>IF(OR(E1301="",E1301="!!!"),"",IF(NOT(ISNA(VLOOKUP(E1301,E$1:E1300,1,FALSE()))),"OLD",IF(AND(E1301&lt;&gt;"",E1301&lt;&gt;"!!!"),"NEW","")))</f>
        <v/>
      </c>
      <c r="G1301" s="22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3" t="str">
        <f t="shared" ca="1" si="145"/>
        <v/>
      </c>
      <c r="I1301" s="24" t="str">
        <f>IF(OR(E1301="",E1301="!!!",F1301="NEW"),"",INDEX(B$2:B1300,-1+SUMPRODUCT(MAX(ROW(E$2:E1300)*(E1301=E$2:E1300)))))</f>
        <v/>
      </c>
      <c r="J1301" s="24" t="str">
        <f ca="1">IF(OR(E1301="",E1301="!!!",F1301="NEW"),"",COUNTBLANK(OFFSET(A$1,,,SUMPRODUCT(MAX(ROW(E$2:E1301)*(E1301=E$2:E1301)))))-COUNTBLANK(OFFSET(A$1,,,SUMPRODUCT(MAX(ROW(E$1:E1300)*(E2=E$1:E1300))))))</f>
        <v/>
      </c>
      <c r="K1301" s="24" t="str">
        <f>IF(OR(E1301="",E1301="!!!",F1301="NEW"),"",INDEX(J$1:J1300,SUMPRODUCT(MAX(ROW(E$1:E1300)*(E1301=E$1:E1300)))))</f>
        <v/>
      </c>
      <c r="L1301" s="25"/>
    </row>
    <row r="1302" spans="1:12" x14ac:dyDescent="0.3">
      <c r="A1302" t="s">
        <v>359</v>
      </c>
      <c r="E1302" s="20" t="str">
        <f t="shared" si="144"/>
        <v/>
      </c>
      <c r="F1302" s="21" t="str">
        <f>IF(OR(E1302="",E1302="!!!"),"",IF(NOT(ISNA(VLOOKUP(E1302,E$1:E1301,1,FALSE()))),"OLD",IF(AND(E1302&lt;&gt;"",E1302&lt;&gt;"!!!"),"NEW","")))</f>
        <v/>
      </c>
      <c r="G1302" s="22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3" t="str">
        <f t="shared" ca="1" si="145"/>
        <v/>
      </c>
      <c r="I1302" s="24" t="str">
        <f>IF(OR(E1302="",E1302="!!!",F1302="NEW"),"",INDEX(B$2:B1301,-1+SUMPRODUCT(MAX(ROW(E$2:E1301)*(E1302=E$2:E1301)))))</f>
        <v/>
      </c>
      <c r="J1302" s="24" t="str">
        <f ca="1">IF(OR(E1302="",E1302="!!!",F1302="NEW"),"",COUNTBLANK(OFFSET(A$1,,,SUMPRODUCT(MAX(ROW(E$2:E1302)*(E1302=E$2:E1302)))))-COUNTBLANK(OFFSET(A$1,,,SUMPRODUCT(MAX(ROW(E$1:E1301)*(E2=E$1:E1301))))))</f>
        <v/>
      </c>
      <c r="K1302" s="24" t="str">
        <f>IF(OR(E1302="",E1302="!!!",F1302="NEW"),"",INDEX(J$1:J1301,SUMPRODUCT(MAX(ROW(E$1:E1301)*(E1302=E$1:E1301)))))</f>
        <v/>
      </c>
      <c r="L1302" s="25"/>
    </row>
    <row r="1303" spans="1:12" x14ac:dyDescent="0.3">
      <c r="A1303" t="s">
        <v>918</v>
      </c>
      <c r="E1303" s="20" t="str">
        <f t="shared" si="144"/>
        <v/>
      </c>
      <c r="F1303" s="21" t="str">
        <f>IF(OR(E1303="",E1303="!!!"),"",IF(NOT(ISNA(VLOOKUP(E1303,E$1:E1302,1,FALSE()))),"OLD",IF(AND(E1303&lt;&gt;"",E1303&lt;&gt;"!!!"),"NEW","")))</f>
        <v/>
      </c>
      <c r="G1303" s="22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3" t="str">
        <f t="shared" ca="1" si="145"/>
        <v/>
      </c>
      <c r="I1303" s="24" t="str">
        <f>IF(OR(E1303="",E1303="!!!",F1303="NEW"),"",INDEX(B$2:B1302,-1+SUMPRODUCT(MAX(ROW(E$2:E1302)*(E1303=E$2:E1302)))))</f>
        <v/>
      </c>
      <c r="J1303" s="24" t="str">
        <f ca="1">IF(OR(E1303="",E1303="!!!",F1303="NEW"),"",COUNTBLANK(OFFSET(A$1,,,SUMPRODUCT(MAX(ROW(E$2:E1303)*(E1303=E$2:E1303)))))-COUNTBLANK(OFFSET(A$1,,,SUMPRODUCT(MAX(ROW(E$1:E1302)*(E2=E$1:E1302))))))</f>
        <v/>
      </c>
      <c r="K1303" s="24" t="str">
        <f>IF(OR(E1303="",E1303="!!!",F1303="NEW"),"",INDEX(J$1:J1302,SUMPRODUCT(MAX(ROW(E$1:E1302)*(E1303=E$1:E1302)))))</f>
        <v/>
      </c>
      <c r="L1303" s="25"/>
    </row>
    <row r="1304" spans="1:12" x14ac:dyDescent="0.3">
      <c r="A1304" t="s">
        <v>334</v>
      </c>
      <c r="E1304" s="20" t="str">
        <f t="shared" si="144"/>
        <v/>
      </c>
      <c r="F1304" s="21" t="str">
        <f>IF(OR(E1304="",E1304="!!!"),"",IF(NOT(ISNA(VLOOKUP(E1304,E$1:E1303,1,FALSE()))),"OLD",IF(AND(E1304&lt;&gt;"",E1304&lt;&gt;"!!!"),"NEW","")))</f>
        <v/>
      </c>
      <c r="G1304" s="22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3" t="str">
        <f t="shared" ca="1" si="145"/>
        <v/>
      </c>
      <c r="I1304" s="24" t="str">
        <f>IF(OR(E1304="",E1304="!!!",F1304="NEW"),"",INDEX(B$2:B1303,-1+SUMPRODUCT(MAX(ROW(E$2:E1303)*(E1304=E$2:E1303)))))</f>
        <v/>
      </c>
      <c r="J1304" s="24" t="str">
        <f ca="1">IF(OR(E1304="",E1304="!!!",F1304="NEW"),"",COUNTBLANK(OFFSET(A$1,,,SUMPRODUCT(MAX(ROW(E$2:E1304)*(E1304=E$2:E1304)))))-COUNTBLANK(OFFSET(A$1,,,SUMPRODUCT(MAX(ROW(E$1:E1303)*(E2=E$1:E1303))))))</f>
        <v/>
      </c>
      <c r="K1304" s="24" t="str">
        <f>IF(OR(E1304="",E1304="!!!",F1304="NEW"),"",INDEX(J$1:J1303,SUMPRODUCT(MAX(ROW(E$1:E1303)*(E1304=E$1:E1303)))))</f>
        <v/>
      </c>
      <c r="L1304" s="25"/>
    </row>
    <row r="1305" spans="1:12" x14ac:dyDescent="0.3">
      <c r="A1305" t="s">
        <v>419</v>
      </c>
      <c r="E1305" s="20" t="str">
        <f t="shared" si="144"/>
        <v/>
      </c>
      <c r="F1305" s="21" t="str">
        <f>IF(OR(E1305="",E1305="!!!"),"",IF(NOT(ISNA(VLOOKUP(E1305,E$1:E1304,1,FALSE()))),"OLD",IF(AND(E1305&lt;&gt;"",E1305&lt;&gt;"!!!"),"NEW","")))</f>
        <v/>
      </c>
      <c r="G1305" s="22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3" t="str">
        <f t="shared" ca="1" si="145"/>
        <v/>
      </c>
      <c r="I1305" s="24" t="str">
        <f>IF(OR(E1305="",E1305="!!!",F1305="NEW"),"",INDEX(B$2:B1304,-1+SUMPRODUCT(MAX(ROW(E$2:E1304)*(E1305=E$2:E1304)))))</f>
        <v/>
      </c>
      <c r="J1305" s="24" t="str">
        <f ca="1">IF(OR(E1305="",E1305="!!!",F1305="NEW"),"",COUNTBLANK(OFFSET(A$1,,,SUMPRODUCT(MAX(ROW(E$2:E1305)*(E1305=E$2:E1305)))))-COUNTBLANK(OFFSET(A$1,,,SUMPRODUCT(MAX(ROW(E$1:E1304)*(E2=E$1:E1304))))))</f>
        <v/>
      </c>
      <c r="K1305" s="24" t="str">
        <f>IF(OR(E1305="",E1305="!!!",F1305="NEW"),"",INDEX(J$1:J1304,SUMPRODUCT(MAX(ROW(E$1:E1304)*(E1305=E$1:E1304)))))</f>
        <v/>
      </c>
      <c r="L1305" s="25"/>
    </row>
    <row r="1306" spans="1:12" x14ac:dyDescent="0.3">
      <c r="A1306" t="s">
        <v>919</v>
      </c>
      <c r="B1306" s="26" t="s">
        <v>337</v>
      </c>
      <c r="C1306" s="26" t="s">
        <v>496</v>
      </c>
      <c r="D1306" s="26" t="s">
        <v>332</v>
      </c>
      <c r="E1306" s="20" t="str">
        <f t="shared" si="144"/>
        <v>!!!</v>
      </c>
      <c r="F1306" s="21" t="str">
        <f>IF(OR(E1306="",E1306="!!!"),"",IF(NOT(ISNA(VLOOKUP(E1306,E$1:E1305,1,FALSE()))),"OLD",IF(AND(E1306&lt;&gt;"",E1306&lt;&gt;"!!!"),"NEW","")))</f>
        <v/>
      </c>
      <c r="G1306" s="22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3" t="str">
        <f t="shared" ca="1" si="145"/>
        <v/>
      </c>
      <c r="I1306" s="24" t="str">
        <f>IF(OR(E1306="",E1306="!!!",F1306="NEW"),"",INDEX(B$2:B1305,-1+SUMPRODUCT(MAX(ROW(E$2:E1305)*(E1306=E$2:E1305)))))</f>
        <v/>
      </c>
      <c r="J1306" s="24" t="str">
        <f ca="1">IF(OR(E1306="",E1306="!!!",F1306="NEW"),"",COUNTBLANK(OFFSET(A$1,,,SUMPRODUCT(MAX(ROW(E$2:E1306)*(E1306=E$2:E1306)))))-COUNTBLANK(OFFSET(A$1,,,SUMPRODUCT(MAX(ROW(E$1:E1305)*(E2=E$1:E1305))))))</f>
        <v/>
      </c>
      <c r="K1306" s="24" t="str">
        <f>IF(OR(E1306="",E1306="!!!",F1306="NEW"),"",INDEX(J$1:J1305,SUMPRODUCT(MAX(ROW(E$1:E1305)*(E1306=E$1:E1305)))))</f>
        <v/>
      </c>
      <c r="L1306" s="25"/>
    </row>
    <row r="1307" spans="1:12" x14ac:dyDescent="0.3">
      <c r="A1307" t="s">
        <v>385</v>
      </c>
      <c r="E1307" s="20" t="str">
        <f t="shared" si="144"/>
        <v/>
      </c>
      <c r="F1307" s="21" t="str">
        <f>IF(OR(E1307="",E1307="!!!"),"",IF(NOT(ISNA(VLOOKUP(E1307,E$1:E1306,1,FALSE()))),"OLD",IF(AND(E1307&lt;&gt;"",E1307&lt;&gt;"!!!"),"NEW","")))</f>
        <v/>
      </c>
      <c r="G1307" s="22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3" t="str">
        <f t="shared" ca="1" si="145"/>
        <v/>
      </c>
      <c r="I1307" s="24" t="str">
        <f>IF(OR(E1307="",E1307="!!!",F1307="NEW"),"",INDEX(B$2:B1306,-1+SUMPRODUCT(MAX(ROW(E$2:E1306)*(E1307=E$2:E1306)))))</f>
        <v/>
      </c>
      <c r="J1307" s="24" t="str">
        <f ca="1">IF(OR(E1307="",E1307="!!!",F1307="NEW"),"",COUNTBLANK(OFFSET(A$1,,,SUMPRODUCT(MAX(ROW(E$2:E1307)*(E1307=E$2:E1307)))))-COUNTBLANK(OFFSET(A$1,,,SUMPRODUCT(MAX(ROW(E$1:E1306)*(E2=E$1:E1306))))))</f>
        <v/>
      </c>
      <c r="K1307" s="24" t="str">
        <f>IF(OR(E1307="",E1307="!!!",F1307="NEW"),"",INDEX(J$1:J1306,SUMPRODUCT(MAX(ROW(E$1:E1306)*(E1307=E$1:E1306)))))</f>
        <v/>
      </c>
      <c r="L1307" s="25"/>
    </row>
    <row r="1308" spans="1:12" x14ac:dyDescent="0.3">
      <c r="A1308" t="s">
        <v>359</v>
      </c>
      <c r="B1308" s="26" t="s">
        <v>354</v>
      </c>
      <c r="C1308" s="26" t="s">
        <v>438</v>
      </c>
      <c r="D1308" s="26" t="s">
        <v>332</v>
      </c>
      <c r="E1308" s="20" t="str">
        <f t="shared" si="144"/>
        <v>!!!</v>
      </c>
      <c r="F1308" s="21" t="str">
        <f>IF(OR(E1308="",E1308="!!!"),"",IF(NOT(ISNA(VLOOKUP(E1308,E$1:E1307,1,FALSE()))),"OLD",IF(AND(E1308&lt;&gt;"",E1308&lt;&gt;"!!!"),"NEW","")))</f>
        <v/>
      </c>
      <c r="G1308" s="22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3" t="str">
        <f t="shared" ca="1" si="145"/>
        <v/>
      </c>
      <c r="I1308" s="24" t="str">
        <f>IF(OR(E1308="",E1308="!!!",F1308="NEW"),"",INDEX(B$2:B1307,-1+SUMPRODUCT(MAX(ROW(E$2:E1307)*(E1308=E$2:E1307)))))</f>
        <v/>
      </c>
      <c r="J1308" s="24" t="str">
        <f ca="1">IF(OR(E1308="",E1308="!!!",F1308="NEW"),"",COUNTBLANK(OFFSET(A$1,,,SUMPRODUCT(MAX(ROW(E$2:E1308)*(E1308=E$2:E1308)))))-COUNTBLANK(OFFSET(A$1,,,SUMPRODUCT(MAX(ROW(E$1:E1307)*(E2=E$1:E1307))))))</f>
        <v/>
      </c>
      <c r="K1308" s="24" t="str">
        <f>IF(OR(E1308="",E1308="!!!",F1308="NEW"),"",INDEX(J$1:J1307,SUMPRODUCT(MAX(ROW(E$1:E1307)*(E1308=E$1:E1307)))))</f>
        <v/>
      </c>
      <c r="L1308" s="25"/>
    </row>
    <row r="1309" spans="1:12" x14ac:dyDescent="0.3">
      <c r="A1309" t="s">
        <v>920</v>
      </c>
      <c r="E1309" s="20" t="str">
        <f t="shared" si="144"/>
        <v/>
      </c>
      <c r="F1309" s="21" t="str">
        <f>IF(OR(E1309="",E1309="!!!"),"",IF(NOT(ISNA(VLOOKUP(E1309,E$1:E1308,1,FALSE()))),"OLD",IF(AND(E1309&lt;&gt;"",E1309&lt;&gt;"!!!"),"NEW","")))</f>
        <v/>
      </c>
      <c r="G1309" s="22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23" t="str">
        <f t="shared" ca="1" si="145"/>
        <v/>
      </c>
      <c r="I1309" s="24" t="str">
        <f>IF(OR(E1309="",E1309="!!!",F1309="NEW"),"",INDEX(B$2:B1308,-1+SUMPRODUCT(MAX(ROW(E$2:E1308)*(E1309=E$2:E1308)))))</f>
        <v/>
      </c>
      <c r="J1309" s="24" t="str">
        <f ca="1">IF(OR(E1309="",E1309="!!!",F1309="NEW"),"",COUNTBLANK(OFFSET(A$1,,,SUMPRODUCT(MAX(ROW(E$2:E1309)*(E1309=E$2:E1309)))))-COUNTBLANK(OFFSET(A$1,,,SUMPRODUCT(MAX(ROW(E$1:E1308)*(E2=E$1:E1308))))))</f>
        <v/>
      </c>
      <c r="K1309" s="24" t="str">
        <f>IF(OR(E1309="",E1309="!!!",F1309="NEW"),"",INDEX(J$1:J1308,SUMPRODUCT(MAX(ROW(E$1:E1308)*(E1309=E$1:E1308)))))</f>
        <v/>
      </c>
      <c r="L1309" s="25"/>
    </row>
    <row r="1310" spans="1:12" x14ac:dyDescent="0.3">
      <c r="A1310" t="s">
        <v>334</v>
      </c>
      <c r="E1310" s="20" t="str">
        <f t="shared" si="144"/>
        <v/>
      </c>
      <c r="F1310" s="21" t="str">
        <f>IF(OR(E1310="",E1310="!!!"),"",IF(NOT(ISNA(VLOOKUP(E1310,E$1:E1309,1,FALSE()))),"OLD",IF(AND(E1310&lt;&gt;"",E1310&lt;&gt;"!!!"),"NEW","")))</f>
        <v/>
      </c>
      <c r="G1310" s="22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3" t="str">
        <f t="shared" ca="1" si="145"/>
        <v/>
      </c>
      <c r="I1310" s="24" t="str">
        <f>IF(OR(E1310="",E1310="!!!",F1310="NEW"),"",INDEX(B$2:B1309,-1+SUMPRODUCT(MAX(ROW(E$2:E1309)*(E1310=E$2:E1309)))))</f>
        <v/>
      </c>
      <c r="J1310" s="24" t="str">
        <f ca="1">IF(OR(E1310="",E1310="!!!",F1310="NEW"),"",COUNTBLANK(OFFSET(A$1,,,SUMPRODUCT(MAX(ROW(E$2:E1310)*(E1310=E$2:E1310)))))-COUNTBLANK(OFFSET(A$1,,,SUMPRODUCT(MAX(ROW(E$1:E1309)*(E2=E$1:E1309))))))</f>
        <v/>
      </c>
      <c r="K1310" s="24" t="str">
        <f>IF(OR(E1310="",E1310="!!!",F1310="NEW"),"",INDEX(J$1:J1309,SUMPRODUCT(MAX(ROW(E$1:E1309)*(E1310=E$1:E1309)))))</f>
        <v/>
      </c>
      <c r="L1310" s="25"/>
    </row>
    <row r="1311" spans="1:12" x14ac:dyDescent="0.3">
      <c r="A1311" t="s">
        <v>359</v>
      </c>
      <c r="E1311" s="20" t="str">
        <f t="shared" si="144"/>
        <v/>
      </c>
      <c r="F1311" s="21" t="str">
        <f>IF(OR(E1311="",E1311="!!!"),"",IF(NOT(ISNA(VLOOKUP(E1311,E$1:E1310,1,FALSE()))),"OLD",IF(AND(E1311&lt;&gt;"",E1311&lt;&gt;"!!!"),"NEW","")))</f>
        <v/>
      </c>
      <c r="G1311" s="22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3" t="str">
        <f t="shared" ca="1" si="145"/>
        <v/>
      </c>
      <c r="I1311" s="24" t="str">
        <f>IF(OR(E1311="",E1311="!!!",F1311="NEW"),"",INDEX(B$2:B1310,-1+SUMPRODUCT(MAX(ROW(E$2:E1310)*(E1311=E$2:E1310)))))</f>
        <v/>
      </c>
      <c r="J1311" s="24" t="str">
        <f ca="1">IF(OR(E1311="",E1311="!!!",F1311="NEW"),"",COUNTBLANK(OFFSET(A$1,,,SUMPRODUCT(MAX(ROW(E$2:E1311)*(E1311=E$2:E1311)))))-COUNTBLANK(OFFSET(A$1,,,SUMPRODUCT(MAX(ROW(E$1:E1310)*(E2=E$1:E1310))))))</f>
        <v/>
      </c>
      <c r="K1311" s="24" t="str">
        <f>IF(OR(E1311="",E1311="!!!",F1311="NEW"),"",INDEX(J$1:J1310,SUMPRODUCT(MAX(ROW(E$1:E1310)*(E1311=E$1:E1310)))))</f>
        <v/>
      </c>
      <c r="L1311" s="25"/>
    </row>
    <row r="1312" spans="1:12" x14ac:dyDescent="0.3">
      <c r="A1312" t="s">
        <v>329</v>
      </c>
      <c r="B1312" s="26" t="s">
        <v>378</v>
      </c>
      <c r="C1312" s="26" t="s">
        <v>331</v>
      </c>
      <c r="D1312" s="26" t="s">
        <v>332</v>
      </c>
      <c r="E1312" s="20" t="str">
        <f t="shared" si="144"/>
        <v>!!!</v>
      </c>
      <c r="F1312" s="21" t="str">
        <f>IF(OR(E1312="",E1312="!!!"),"",IF(NOT(ISNA(VLOOKUP(E1312,E$1:E1311,1,FALSE()))),"OLD",IF(AND(E1312&lt;&gt;"",E1312&lt;&gt;"!!!"),"NEW","")))</f>
        <v/>
      </c>
      <c r="G1312" s="22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3" t="str">
        <f t="shared" ca="1" si="145"/>
        <v/>
      </c>
      <c r="I1312" s="24" t="str">
        <f>IF(OR(E1312="",E1312="!!!",F1312="NEW"),"",INDEX(B$2:B1311,-1+SUMPRODUCT(MAX(ROW(E$2:E1311)*(E1312=E$2:E1311)))))</f>
        <v/>
      </c>
      <c r="J1312" s="24" t="str">
        <f ca="1">IF(OR(E1312="",E1312="!!!",F1312="NEW"),"",COUNTBLANK(OFFSET(A$1,,,SUMPRODUCT(MAX(ROW(E$2:E1312)*(E1312=E$2:E1312)))))-COUNTBLANK(OFFSET(A$1,,,SUMPRODUCT(MAX(ROW(E$1:E1311)*(E2=E$1:E1311))))))</f>
        <v/>
      </c>
      <c r="K1312" s="24" t="str">
        <f>IF(OR(E1312="",E1312="!!!",F1312="NEW"),"",INDEX(J$1:J1311,SUMPRODUCT(MAX(ROW(E$1:E1311)*(E1312=E$1:E1311)))))</f>
        <v/>
      </c>
      <c r="L1312" s="25"/>
    </row>
    <row r="1313" spans="1:12" x14ac:dyDescent="0.3">
      <c r="A1313" t="s">
        <v>338</v>
      </c>
      <c r="E1313" s="20" t="str">
        <f t="shared" si="144"/>
        <v/>
      </c>
      <c r="F1313" s="21" t="str">
        <f>IF(OR(E1313="",E1313="!!!"),"",IF(NOT(ISNA(VLOOKUP(E1313,E$1:E1312,1,FALSE()))),"OLD",IF(AND(E1313&lt;&gt;"",E1313&lt;&gt;"!!!"),"NEW","")))</f>
        <v/>
      </c>
      <c r="G1313" s="22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3" t="str">
        <f t="shared" ca="1" si="145"/>
        <v/>
      </c>
      <c r="I1313" s="24" t="str">
        <f>IF(OR(E1313="",E1313="!!!",F1313="NEW"),"",INDEX(B$2:B1312,-1+SUMPRODUCT(MAX(ROW(E$2:E1312)*(E1313=E$2:E1312)))))</f>
        <v/>
      </c>
      <c r="J1313" s="24" t="str">
        <f ca="1">IF(OR(E1313="",E1313="!!!",F1313="NEW"),"",COUNTBLANK(OFFSET(A$1,,,SUMPRODUCT(MAX(ROW(E$2:E1313)*(E1313=E$2:E1313)))))-COUNTBLANK(OFFSET(A$1,,,SUMPRODUCT(MAX(ROW(E$1:E1312)*(E2=E$1:E1312))))))</f>
        <v/>
      </c>
      <c r="K1313" s="24" t="str">
        <f>IF(OR(E1313="",E1313="!!!",F1313="NEW"),"",INDEX(J$1:J1312,SUMPRODUCT(MAX(ROW(E$1:E1312)*(E1313=E$1:E1312)))))</f>
        <v/>
      </c>
      <c r="L1313" s="25"/>
    </row>
    <row r="1315" spans="1:12" x14ac:dyDescent="0.3">
      <c r="A1315" t="s">
        <v>921</v>
      </c>
    </row>
    <row r="1316" spans="1:12" x14ac:dyDescent="0.3">
      <c r="A1316" t="s">
        <v>922</v>
      </c>
      <c r="E1316" s="20" t="str">
        <f t="shared" ref="E1316:E1325" si="146">IF(D1316="?OLD","!!!","")</f>
        <v/>
      </c>
      <c r="F1316" s="21" t="str">
        <f>IF(OR(E1316="",E1316="!!!"),"",IF(NOT(ISNA(VLOOKUP(E1316,E$1:E1315,1,FALSE()))),"OLD",IF(AND(E1316&lt;&gt;"",E1316&lt;&gt;"!!!"),"NEW","")))</f>
        <v/>
      </c>
      <c r="G1316" s="22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3" t="str">
        <f t="shared" ref="H1316:H1325" ca="1" si="147">IF(J1316&lt;&gt;1,"",IF(I1316="SBJ","CB","?"))</f>
        <v/>
      </c>
      <c r="I1316" s="24" t="str">
        <f>IF(OR(E1316="",E1316="!!!",F1316="NEW"),"",INDEX(B$2:B1315,-1+SUMPRODUCT(MAX(ROW(E$2:E1315)*(E1316=E$2:E1315)))))</f>
        <v/>
      </c>
      <c r="J1316" s="24" t="str">
        <f ca="1">IF(OR(E1316="",E1316="!!!",F1316="NEW"),"",COUNTBLANK(OFFSET(A$1,,,SUMPRODUCT(MAX(ROW(E$2:E1316)*(E1316=E$2:E1316)))))-COUNTBLANK(OFFSET(A$1,,,SUMPRODUCT(MAX(ROW(E$1:E1315)*(E2=E$1:E1315))))))</f>
        <v/>
      </c>
      <c r="K1316" s="24" t="str">
        <f>IF(OR(E1316="",E1316="!!!",F1316="NEW"),"",INDEX(J$1:J1315,SUMPRODUCT(MAX(ROW(E$1:E1315)*(E1316=E$1:E1315)))))</f>
        <v/>
      </c>
      <c r="L1316" s="25"/>
    </row>
    <row r="1317" spans="1:12" x14ac:dyDescent="0.3">
      <c r="A1317" t="s">
        <v>923</v>
      </c>
      <c r="B1317" s="26" t="s">
        <v>330</v>
      </c>
      <c r="C1317" s="26" t="s">
        <v>663</v>
      </c>
      <c r="E1317" s="20" t="str">
        <f t="shared" si="146"/>
        <v/>
      </c>
      <c r="F1317" s="21" t="str">
        <f>IF(OR(E1317="",E1317="!!!"),"",IF(NOT(ISNA(VLOOKUP(E1317,E$1:E1316,1,FALSE()))),"OLD",IF(AND(E1317&lt;&gt;"",E1317&lt;&gt;"!!!"),"NEW","")))</f>
        <v/>
      </c>
      <c r="G1317" s="22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3" t="str">
        <f t="shared" ca="1" si="147"/>
        <v/>
      </c>
      <c r="I1317" s="24" t="str">
        <f>IF(OR(E1317="",E1317="!!!",F1317="NEW"),"",INDEX(B$2:B1316,-1+SUMPRODUCT(MAX(ROW(E$2:E1316)*(E1317=E$2:E1316)))))</f>
        <v/>
      </c>
      <c r="J1317" s="24" t="str">
        <f ca="1">IF(OR(E1317="",E1317="!!!",F1317="NEW"),"",COUNTBLANK(OFFSET(A$1,,,SUMPRODUCT(MAX(ROW(E$2:E1317)*(E1317=E$2:E1317)))))-COUNTBLANK(OFFSET(A$1,,,SUMPRODUCT(MAX(ROW(E$1:E1316)*(E2=E$1:E1316))))))</f>
        <v/>
      </c>
      <c r="K1317" s="24" t="str">
        <f>IF(OR(E1317="",E1317="!!!",F1317="NEW"),"",INDEX(J$1:J1316,SUMPRODUCT(MAX(ROW(E$1:E1316)*(E1317=E$1:E1316)))))</f>
        <v/>
      </c>
      <c r="L1317" s="25"/>
    </row>
    <row r="1318" spans="1:12" x14ac:dyDescent="0.3">
      <c r="A1318" t="s">
        <v>334</v>
      </c>
      <c r="E1318" s="20" t="str">
        <f t="shared" si="146"/>
        <v/>
      </c>
      <c r="F1318" s="21" t="str">
        <f>IF(OR(E1318="",E1318="!!!"),"",IF(NOT(ISNA(VLOOKUP(E1318,E$1:E1317,1,FALSE()))),"OLD",IF(AND(E1318&lt;&gt;"",E1318&lt;&gt;"!!!"),"NEW","")))</f>
        <v/>
      </c>
      <c r="G1318" s="22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3" t="str">
        <f t="shared" ca="1" si="147"/>
        <v/>
      </c>
      <c r="I1318" s="24" t="str">
        <f>IF(OR(E1318="",E1318="!!!",F1318="NEW"),"",INDEX(B$2:B1317,-1+SUMPRODUCT(MAX(ROW(E$2:E1317)*(E1318=E$2:E1317)))))</f>
        <v/>
      </c>
      <c r="J1318" s="24" t="str">
        <f ca="1">IF(OR(E1318="",E1318="!!!",F1318="NEW"),"",COUNTBLANK(OFFSET(A$1,,,SUMPRODUCT(MAX(ROW(E$2:E1318)*(E1318=E$2:E1318)))))-COUNTBLANK(OFFSET(A$1,,,SUMPRODUCT(MAX(ROW(E$1:E1317)*(E2=E$1:E1317))))))</f>
        <v/>
      </c>
      <c r="K1318" s="24" t="str">
        <f>IF(OR(E1318="",E1318="!!!",F1318="NEW"),"",INDEX(J$1:J1317,SUMPRODUCT(MAX(ROW(E$1:E1317)*(E1318=E$1:E1317)))))</f>
        <v/>
      </c>
      <c r="L1318" s="25"/>
    </row>
    <row r="1319" spans="1:12" x14ac:dyDescent="0.3">
      <c r="A1319" t="s">
        <v>373</v>
      </c>
      <c r="B1319" s="26" t="s">
        <v>378</v>
      </c>
      <c r="C1319" s="26" t="s">
        <v>355</v>
      </c>
      <c r="E1319" s="20" t="str">
        <f t="shared" si="146"/>
        <v/>
      </c>
      <c r="F1319" s="21" t="str">
        <f>IF(OR(E1319="",E1319="!!!"),"",IF(NOT(ISNA(VLOOKUP(E1319,E$1:E1318,1,FALSE()))),"OLD",IF(AND(E1319&lt;&gt;"",E1319&lt;&gt;"!!!"),"NEW","")))</f>
        <v/>
      </c>
      <c r="G1319" s="22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3" t="str">
        <f t="shared" ca="1" si="147"/>
        <v/>
      </c>
      <c r="I1319" s="24" t="str">
        <f>IF(OR(E1319="",E1319="!!!",F1319="NEW"),"",INDEX(B$2:B1318,-1+SUMPRODUCT(MAX(ROW(E$2:E1318)*(E1319=E$2:E1318)))))</f>
        <v/>
      </c>
      <c r="J1319" s="24" t="str">
        <f ca="1">IF(OR(E1319="",E1319="!!!",F1319="NEW"),"",COUNTBLANK(OFFSET(A$1,,,SUMPRODUCT(MAX(ROW(E$2:E1319)*(E1319=E$2:E1319)))))-COUNTBLANK(OFFSET(A$1,,,SUMPRODUCT(MAX(ROW(E$1:E1318)*(E2=E$1:E1318))))))</f>
        <v/>
      </c>
      <c r="K1319" s="24" t="str">
        <f>IF(OR(E1319="",E1319="!!!",F1319="NEW"),"",INDEX(J$1:J1318,SUMPRODUCT(MAX(ROW(E$1:E1318)*(E1319=E$1:E1318)))))</f>
        <v/>
      </c>
      <c r="L1319" s="25"/>
    </row>
    <row r="1320" spans="1:12" x14ac:dyDescent="0.3">
      <c r="A1320" t="s">
        <v>924</v>
      </c>
      <c r="E1320" s="20" t="str">
        <f t="shared" si="146"/>
        <v/>
      </c>
      <c r="F1320" s="21" t="str">
        <f>IF(OR(E1320="",E1320="!!!"),"",IF(NOT(ISNA(VLOOKUP(E1320,E$1:E1319,1,FALSE()))),"OLD",IF(AND(E1320&lt;&gt;"",E1320&lt;&gt;"!!!"),"NEW","")))</f>
        <v/>
      </c>
      <c r="G1320" s="22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23" t="str">
        <f t="shared" ca="1" si="147"/>
        <v/>
      </c>
      <c r="I1320" s="24" t="str">
        <f>IF(OR(E1320="",E1320="!!!",F1320="NEW"),"",INDEX(B$2:B1319,-1+SUMPRODUCT(MAX(ROW(E$2:E1319)*(E1320=E$2:E1319)))))</f>
        <v/>
      </c>
      <c r="J1320" s="24" t="str">
        <f ca="1">IF(OR(E1320="",E1320="!!!",F1320="NEW"),"",COUNTBLANK(OFFSET(A$1,,,SUMPRODUCT(MAX(ROW(E$2:E1320)*(E1320=E$2:E1320)))))-COUNTBLANK(OFFSET(A$1,,,SUMPRODUCT(MAX(ROW(E$1:E1319)*(E2=E$1:E1319))))))</f>
        <v/>
      </c>
      <c r="K1320" s="24" t="str">
        <f>IF(OR(E1320="",E1320="!!!",F1320="NEW"),"",INDEX(J$1:J1319,SUMPRODUCT(MAX(ROW(E$1:E1319)*(E1320=E$1:E1319)))))</f>
        <v/>
      </c>
      <c r="L1320" s="25"/>
    </row>
    <row r="1321" spans="1:12" x14ac:dyDescent="0.3">
      <c r="A1321" t="s">
        <v>417</v>
      </c>
      <c r="E1321" s="20" t="str">
        <f t="shared" si="146"/>
        <v/>
      </c>
      <c r="F1321" s="21" t="str">
        <f>IF(OR(E1321="",E1321="!!!"),"",IF(NOT(ISNA(VLOOKUP(E1321,E$1:E1320,1,FALSE()))),"OLD",IF(AND(E1321&lt;&gt;"",E1321&lt;&gt;"!!!"),"NEW","")))</f>
        <v/>
      </c>
      <c r="G1321" s="22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3" t="str">
        <f t="shared" ca="1" si="147"/>
        <v/>
      </c>
      <c r="I1321" s="24" t="str">
        <f>IF(OR(E1321="",E1321="!!!",F1321="NEW"),"",INDEX(B$2:B1320,-1+SUMPRODUCT(MAX(ROW(E$2:E1320)*(E1321=E$2:E1320)))))</f>
        <v/>
      </c>
      <c r="J1321" s="24" t="str">
        <f ca="1">IF(OR(E1321="",E1321="!!!",F1321="NEW"),"",COUNTBLANK(OFFSET(A$1,,,SUMPRODUCT(MAX(ROW(E$2:E1321)*(E1321=E$2:E1321)))))-COUNTBLANK(OFFSET(A$1,,,SUMPRODUCT(MAX(ROW(E$1:E1320)*(E2=E$1:E1320))))))</f>
        <v/>
      </c>
      <c r="K1321" s="24" t="str">
        <f>IF(OR(E1321="",E1321="!!!",F1321="NEW"),"",INDEX(J$1:J1320,SUMPRODUCT(MAX(ROW(E$1:E1320)*(E1321=E$1:E1320)))))</f>
        <v/>
      </c>
      <c r="L1321" s="25"/>
    </row>
    <row r="1322" spans="1:12" x14ac:dyDescent="0.3">
      <c r="A1322" t="s">
        <v>846</v>
      </c>
      <c r="E1322" s="20" t="str">
        <f t="shared" si="146"/>
        <v/>
      </c>
      <c r="F1322" s="21" t="str">
        <f>IF(OR(E1322="",E1322="!!!"),"",IF(NOT(ISNA(VLOOKUP(E1322,E$1:E1321,1,FALSE()))),"OLD",IF(AND(E1322&lt;&gt;"",E1322&lt;&gt;"!!!"),"NEW","")))</f>
        <v/>
      </c>
      <c r="G1322" s="22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3" t="str">
        <f t="shared" ca="1" si="147"/>
        <v/>
      </c>
      <c r="I1322" s="24" t="str">
        <f>IF(OR(E1322="",E1322="!!!",F1322="NEW"),"",INDEX(B$2:B1321,-1+SUMPRODUCT(MAX(ROW(E$2:E1321)*(E1322=E$2:E1321)))))</f>
        <v/>
      </c>
      <c r="J1322" s="24" t="str">
        <f ca="1">IF(OR(E1322="",E1322="!!!",F1322="NEW"),"",COUNTBLANK(OFFSET(A$1,,,SUMPRODUCT(MAX(ROW(E$2:E1322)*(E1322=E$2:E1322)))))-COUNTBLANK(OFFSET(A$1,,,SUMPRODUCT(MAX(ROW(E$1:E1321)*(E2=E$1:E1321))))))</f>
        <v/>
      </c>
      <c r="K1322" s="24" t="str">
        <f>IF(OR(E1322="",E1322="!!!",F1322="NEW"),"",INDEX(J$1:J1321,SUMPRODUCT(MAX(ROW(E$1:E1321)*(E1322=E$1:E1321)))))</f>
        <v/>
      </c>
      <c r="L1322" s="25"/>
    </row>
    <row r="1323" spans="1:12" x14ac:dyDescent="0.3">
      <c r="A1323" t="s">
        <v>248</v>
      </c>
      <c r="E1323" s="20" t="str">
        <f t="shared" si="146"/>
        <v/>
      </c>
      <c r="F1323" s="21" t="str">
        <f>IF(OR(E1323="",E1323="!!!"),"",IF(NOT(ISNA(VLOOKUP(E1323,E$1:E1322,1,FALSE()))),"OLD",IF(AND(E1323&lt;&gt;"",E1323&lt;&gt;"!!!"),"NEW","")))</f>
        <v/>
      </c>
      <c r="G1323" s="22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3" t="str">
        <f t="shared" ca="1" si="147"/>
        <v/>
      </c>
      <c r="I1323" s="24" t="str">
        <f>IF(OR(E1323="",E1323="!!!",F1323="NEW"),"",INDEX(B$2:B1322,-1+SUMPRODUCT(MAX(ROW(E$2:E1322)*(E1323=E$2:E1322)))))</f>
        <v/>
      </c>
      <c r="J1323" s="24" t="str">
        <f ca="1">IF(OR(E1323="",E1323="!!!",F1323="NEW"),"",COUNTBLANK(OFFSET(A$1,,,SUMPRODUCT(MAX(ROW(E$2:E1323)*(E1323=E$2:E1323)))))-COUNTBLANK(OFFSET(A$1,,,SUMPRODUCT(MAX(ROW(E$1:E1322)*(E2=E$1:E1322))))))</f>
        <v/>
      </c>
      <c r="K1323" s="24" t="str">
        <f>IF(OR(E1323="",E1323="!!!",F1323="NEW"),"",INDEX(J$1:J1322,SUMPRODUCT(MAX(ROW(E$1:E1322)*(E1323=E$1:E1322)))))</f>
        <v/>
      </c>
      <c r="L1323" s="25"/>
    </row>
    <row r="1324" spans="1:12" x14ac:dyDescent="0.3">
      <c r="A1324" t="s">
        <v>653</v>
      </c>
      <c r="E1324" s="20" t="str">
        <f t="shared" si="146"/>
        <v/>
      </c>
      <c r="F1324" s="21" t="str">
        <f>IF(OR(E1324="",E1324="!!!"),"",IF(NOT(ISNA(VLOOKUP(E1324,E$1:E1323,1,FALSE()))),"OLD",IF(AND(E1324&lt;&gt;"",E1324&lt;&gt;"!!!"),"NEW","")))</f>
        <v/>
      </c>
      <c r="G1324" s="22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3" t="str">
        <f t="shared" ca="1" si="147"/>
        <v/>
      </c>
      <c r="I1324" s="24" t="str">
        <f>IF(OR(E1324="",E1324="!!!",F1324="NEW"),"",INDEX(B$2:B1323,-1+SUMPRODUCT(MAX(ROW(E$2:E1323)*(E1324=E$2:E1323)))))</f>
        <v/>
      </c>
      <c r="J1324" s="24" t="str">
        <f ca="1">IF(OR(E1324="",E1324="!!!",F1324="NEW"),"",COUNTBLANK(OFFSET(A$1,,,SUMPRODUCT(MAX(ROW(E$2:E1324)*(E1324=E$2:E1324)))))-COUNTBLANK(OFFSET(A$1,,,SUMPRODUCT(MAX(ROW(E$1:E1323)*(E2=E$1:E1323))))))</f>
        <v/>
      </c>
      <c r="K1324" s="24" t="str">
        <f>IF(OR(E1324="",E1324="!!!",F1324="NEW"),"",INDEX(J$1:J1323,SUMPRODUCT(MAX(ROW(E$1:E1323)*(E1324=E$1:E1323)))))</f>
        <v/>
      </c>
      <c r="L1324" s="25"/>
    </row>
    <row r="1325" spans="1:12" x14ac:dyDescent="0.3">
      <c r="A1325" t="s">
        <v>338</v>
      </c>
      <c r="E1325" s="20" t="str">
        <f t="shared" si="146"/>
        <v/>
      </c>
      <c r="F1325" s="21" t="str">
        <f>IF(OR(E1325="",E1325="!!!"),"",IF(NOT(ISNA(VLOOKUP(E1325,E$1:E1324,1,FALSE()))),"OLD",IF(AND(E1325&lt;&gt;"",E1325&lt;&gt;"!!!"),"NEW","")))</f>
        <v/>
      </c>
      <c r="G1325" s="22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3" t="str">
        <f t="shared" ca="1" si="147"/>
        <v/>
      </c>
      <c r="I1325" s="24" t="str">
        <f>IF(OR(E1325="",E1325="!!!",F1325="NEW"),"",INDEX(B$2:B1324,-1+SUMPRODUCT(MAX(ROW(E$2:E1324)*(E1325=E$2:E1324)))))</f>
        <v/>
      </c>
      <c r="J1325" s="24" t="str">
        <f ca="1">IF(OR(E1325="",E1325="!!!",F1325="NEW"),"",COUNTBLANK(OFFSET(A$1,,,SUMPRODUCT(MAX(ROW(E$2:E1325)*(E1325=E$2:E1325)))))-COUNTBLANK(OFFSET(A$1,,,SUMPRODUCT(MAX(ROW(E$1:E1324)*(E2=E$1:E1324))))))</f>
        <v/>
      </c>
      <c r="K1325" s="24" t="str">
        <f>IF(OR(E1325="",E1325="!!!",F1325="NEW"),"",INDEX(J$1:J1324,SUMPRODUCT(MAX(ROW(E$1:E1324)*(E1325=E$1:E1324)))))</f>
        <v/>
      </c>
      <c r="L1325" s="25"/>
    </row>
    <row r="1327" spans="1:12" x14ac:dyDescent="0.3">
      <c r="A1327" t="s">
        <v>925</v>
      </c>
    </row>
    <row r="1328" spans="1:12" x14ac:dyDescent="0.3">
      <c r="A1328" t="s">
        <v>340</v>
      </c>
      <c r="B1328" s="26" t="s">
        <v>330</v>
      </c>
      <c r="C1328" s="26" t="s">
        <v>341</v>
      </c>
      <c r="D1328" s="26" t="s">
        <v>332</v>
      </c>
      <c r="E1328" s="20" t="str">
        <f t="shared" ref="E1328:E1337" si="148">IF(D1328="?OLD","!!!","")</f>
        <v>!!!</v>
      </c>
      <c r="F1328" s="21" t="str">
        <f>IF(OR(E1328="",E1328="!!!"),"",IF(NOT(ISNA(VLOOKUP(E1328,E$1:E1327,1,FALSE()))),"OLD",IF(AND(E1328&lt;&gt;"",E1328&lt;&gt;"!!!"),"NEW","")))</f>
        <v/>
      </c>
      <c r="G1328" s="22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3" t="str">
        <f t="shared" ref="H1328:H1337" ca="1" si="149">IF(J1328&lt;&gt;1,"",IF(I1328="SBJ","CB","?"))</f>
        <v/>
      </c>
      <c r="I1328" s="24" t="str">
        <f>IF(OR(E1328="",E1328="!!!",F1328="NEW"),"",INDEX(B$2:B1327,-1+SUMPRODUCT(MAX(ROW(E$2:E1327)*(E1328=E$2:E1327)))))</f>
        <v/>
      </c>
      <c r="J1328" s="24" t="str">
        <f ca="1">IF(OR(E1328="",E1328="!!!",F1328="NEW"),"",COUNTBLANK(OFFSET(A$1,,,SUMPRODUCT(MAX(ROW(E$2:E1328)*(E1328=E$2:E1328)))))-COUNTBLANK(OFFSET(A$1,,,SUMPRODUCT(MAX(ROW(E$1:E1327)*(E2=E$1:E1327))))))</f>
        <v/>
      </c>
      <c r="K1328" s="24" t="str">
        <f>IF(OR(E1328="",E1328="!!!",F1328="NEW"),"",INDEX(J$1:J1327,SUMPRODUCT(MAX(ROW(E$1:E1327)*(E1328=E$1:E1327)))))</f>
        <v/>
      </c>
      <c r="L1328" s="25"/>
    </row>
    <row r="1329" spans="1:12" x14ac:dyDescent="0.3">
      <c r="A1329" t="s">
        <v>926</v>
      </c>
      <c r="E1329" s="20" t="str">
        <f t="shared" si="148"/>
        <v/>
      </c>
      <c r="F1329" s="21" t="str">
        <f>IF(OR(E1329="",E1329="!!!"),"",IF(NOT(ISNA(VLOOKUP(E1329,E$1:E1328,1,FALSE()))),"OLD",IF(AND(E1329&lt;&gt;"",E1329&lt;&gt;"!!!"),"NEW","")))</f>
        <v/>
      </c>
      <c r="G1329" s="22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3" t="str">
        <f t="shared" ca="1" si="149"/>
        <v/>
      </c>
      <c r="I1329" s="24" t="str">
        <f>IF(OR(E1329="",E1329="!!!",F1329="NEW"),"",INDEX(B$2:B1328,-1+SUMPRODUCT(MAX(ROW(E$2:E1328)*(E1329=E$2:E1328)))))</f>
        <v/>
      </c>
      <c r="J1329" s="24" t="str">
        <f ca="1">IF(OR(E1329="",E1329="!!!",F1329="NEW"),"",COUNTBLANK(OFFSET(A$1,,,SUMPRODUCT(MAX(ROW(E$2:E1329)*(E1329=E$2:E1329)))))-COUNTBLANK(OFFSET(A$1,,,SUMPRODUCT(MAX(ROW(E$1:E1328)*(E2=E$1:E1328))))))</f>
        <v/>
      </c>
      <c r="K1329" s="24" t="str">
        <f>IF(OR(E1329="",E1329="!!!",F1329="NEW"),"",INDEX(J$1:J1328,SUMPRODUCT(MAX(ROW(E$1:E1328)*(E1329=E$1:E1328)))))</f>
        <v/>
      </c>
      <c r="L1329" s="25"/>
    </row>
    <row r="1330" spans="1:12" x14ac:dyDescent="0.3">
      <c r="A1330" t="s">
        <v>380</v>
      </c>
      <c r="E1330" s="20" t="str">
        <f t="shared" si="148"/>
        <v/>
      </c>
      <c r="F1330" s="21" t="str">
        <f>IF(OR(E1330="",E1330="!!!"),"",IF(NOT(ISNA(VLOOKUP(E1330,E$1:E1329,1,FALSE()))),"OLD",IF(AND(E1330&lt;&gt;"",E1330&lt;&gt;"!!!"),"NEW","")))</f>
        <v/>
      </c>
      <c r="G1330" s="22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3" t="str">
        <f t="shared" ca="1" si="149"/>
        <v/>
      </c>
      <c r="I1330" s="24" t="str">
        <f>IF(OR(E1330="",E1330="!!!",F1330="NEW"),"",INDEX(B$2:B1329,-1+SUMPRODUCT(MAX(ROW(E$2:E1329)*(E1330=E$2:E1329)))))</f>
        <v/>
      </c>
      <c r="J1330" s="24" t="str">
        <f ca="1">IF(OR(E1330="",E1330="!!!",F1330="NEW"),"",COUNTBLANK(OFFSET(A$1,,,SUMPRODUCT(MAX(ROW(E$2:E1330)*(E1330=E$2:E1330)))))-COUNTBLANK(OFFSET(A$1,,,SUMPRODUCT(MAX(ROW(E$1:E1329)*(E2=E$1:E1329))))))</f>
        <v/>
      </c>
      <c r="K1330" s="24" t="str">
        <f>IF(OR(E1330="",E1330="!!!",F1330="NEW"),"",INDEX(J$1:J1329,SUMPRODUCT(MAX(ROW(E$1:E1329)*(E1330=E$1:E1329)))))</f>
        <v/>
      </c>
      <c r="L1330" s="25"/>
    </row>
    <row r="1331" spans="1:12" x14ac:dyDescent="0.3">
      <c r="A1331" t="s">
        <v>569</v>
      </c>
      <c r="B1331" s="26" t="s">
        <v>344</v>
      </c>
      <c r="C1331" s="26" t="s">
        <v>496</v>
      </c>
      <c r="D1331" s="26" t="s">
        <v>332</v>
      </c>
      <c r="E1331" s="20" t="str">
        <f t="shared" si="148"/>
        <v>!!!</v>
      </c>
      <c r="F1331" s="21" t="str">
        <f>IF(OR(E1331="",E1331="!!!"),"",IF(NOT(ISNA(VLOOKUP(E1331,E$1:E1330,1,FALSE()))),"OLD",IF(AND(E1331&lt;&gt;"",E1331&lt;&gt;"!!!"),"NEW","")))</f>
        <v/>
      </c>
      <c r="G1331" s="22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3" t="str">
        <f t="shared" ca="1" si="149"/>
        <v/>
      </c>
      <c r="I1331" s="24" t="str">
        <f>IF(OR(E1331="",E1331="!!!",F1331="NEW"),"",INDEX(B$2:B1330,-1+SUMPRODUCT(MAX(ROW(E$2:E1330)*(E1331=E$2:E1330)))))</f>
        <v/>
      </c>
      <c r="J1331" s="24" t="str">
        <f ca="1">IF(OR(E1331="",E1331="!!!",F1331="NEW"),"",COUNTBLANK(OFFSET(A$1,,,SUMPRODUCT(MAX(ROW(E$2:E1331)*(E1331=E$2:E1331)))))-COUNTBLANK(OFFSET(A$1,,,SUMPRODUCT(MAX(ROW(E$1:E1330)*(E2=E$1:E1330))))))</f>
        <v/>
      </c>
      <c r="K1331" s="24" t="str">
        <f>IF(OR(E1331="",E1331="!!!",F1331="NEW"),"",INDEX(J$1:J1330,SUMPRODUCT(MAX(ROW(E$1:E1330)*(E1331=E$1:E1330)))))</f>
        <v/>
      </c>
      <c r="L1331" s="25"/>
    </row>
    <row r="1332" spans="1:12" x14ac:dyDescent="0.3">
      <c r="A1332" t="s">
        <v>927</v>
      </c>
      <c r="E1332" s="20" t="str">
        <f t="shared" si="148"/>
        <v/>
      </c>
      <c r="F1332" s="21" t="str">
        <f>IF(OR(E1332="",E1332="!!!"),"",IF(NOT(ISNA(VLOOKUP(E1332,E$1:E1331,1,FALSE()))),"OLD",IF(AND(E1332&lt;&gt;"",E1332&lt;&gt;"!!!"),"NEW","")))</f>
        <v/>
      </c>
      <c r="G1332" s="22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3" t="str">
        <f t="shared" ca="1" si="149"/>
        <v/>
      </c>
      <c r="I1332" s="24" t="str">
        <f>IF(OR(E1332="",E1332="!!!",F1332="NEW"),"",INDEX(B$2:B1331,-1+SUMPRODUCT(MAX(ROW(E$2:E1331)*(E1332=E$2:E1331)))))</f>
        <v/>
      </c>
      <c r="J1332" s="24" t="str">
        <f ca="1">IF(OR(E1332="",E1332="!!!",F1332="NEW"),"",COUNTBLANK(OFFSET(A$1,,,SUMPRODUCT(MAX(ROW(E$2:E1332)*(E1332=E$2:E1332)))))-COUNTBLANK(OFFSET(A$1,,,SUMPRODUCT(MAX(ROW(E$1:E1331)*(E2=E$1:E1331))))))</f>
        <v/>
      </c>
      <c r="K1332" s="24" t="str">
        <f>IF(OR(E1332="",E1332="!!!",F1332="NEW"),"",INDEX(J$1:J1331,SUMPRODUCT(MAX(ROW(E$1:E1331)*(E1332=E$1:E1331)))))</f>
        <v/>
      </c>
      <c r="L1332" s="25"/>
    </row>
    <row r="1333" spans="1:12" x14ac:dyDescent="0.3">
      <c r="A1333" t="s">
        <v>334</v>
      </c>
      <c r="E1333" s="20" t="str">
        <f t="shared" si="148"/>
        <v/>
      </c>
      <c r="F1333" s="21" t="str">
        <f>IF(OR(E1333="",E1333="!!!"),"",IF(NOT(ISNA(VLOOKUP(E1333,E$1:E1332,1,FALSE()))),"OLD",IF(AND(E1333&lt;&gt;"",E1333&lt;&gt;"!!!"),"NEW","")))</f>
        <v/>
      </c>
      <c r="G1333" s="22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3" t="str">
        <f t="shared" ca="1" si="149"/>
        <v/>
      </c>
      <c r="I1333" s="24" t="str">
        <f>IF(OR(E1333="",E1333="!!!",F1333="NEW"),"",INDEX(B$2:B1332,-1+SUMPRODUCT(MAX(ROW(E$2:E1332)*(E1333=E$2:E1332)))))</f>
        <v/>
      </c>
      <c r="J1333" s="24" t="str">
        <f ca="1">IF(OR(E1333="",E1333="!!!",F1333="NEW"),"",COUNTBLANK(OFFSET(A$1,,,SUMPRODUCT(MAX(ROW(E$2:E1333)*(E1333=E$2:E1333)))))-COUNTBLANK(OFFSET(A$1,,,SUMPRODUCT(MAX(ROW(E$1:E1332)*(E2=E$1:E1332))))))</f>
        <v/>
      </c>
      <c r="K1333" s="24" t="str">
        <f>IF(OR(E1333="",E1333="!!!",F1333="NEW"),"",INDEX(J$1:J1332,SUMPRODUCT(MAX(ROW(E$1:E1332)*(E1333=E$1:E1332)))))</f>
        <v/>
      </c>
      <c r="L1333" s="25"/>
    </row>
    <row r="1334" spans="1:12" x14ac:dyDescent="0.3">
      <c r="A1334" t="s">
        <v>419</v>
      </c>
      <c r="E1334" s="20" t="str">
        <f t="shared" si="148"/>
        <v/>
      </c>
      <c r="F1334" s="21" t="str">
        <f>IF(OR(E1334="",E1334="!!!"),"",IF(NOT(ISNA(VLOOKUP(E1334,E$1:E1333,1,FALSE()))),"OLD",IF(AND(E1334&lt;&gt;"",E1334&lt;&gt;"!!!"),"NEW","")))</f>
        <v/>
      </c>
      <c r="G1334" s="22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23" t="str">
        <f t="shared" ca="1" si="149"/>
        <v/>
      </c>
      <c r="I1334" s="24" t="str">
        <f>IF(OR(E1334="",E1334="!!!",F1334="NEW"),"",INDEX(B$2:B1333,-1+SUMPRODUCT(MAX(ROW(E$2:E1333)*(E1334=E$2:E1333)))))</f>
        <v/>
      </c>
      <c r="J1334" s="24" t="str">
        <f ca="1">IF(OR(E1334="",E1334="!!!",F1334="NEW"),"",COUNTBLANK(OFFSET(A$1,,,SUMPRODUCT(MAX(ROW(E$2:E1334)*(E1334=E$2:E1334)))))-COUNTBLANK(OFFSET(A$1,,,SUMPRODUCT(MAX(ROW(E$1:E1333)*(E2=E$1:E1333))))))</f>
        <v/>
      </c>
      <c r="K1334" s="24" t="str">
        <f>IF(OR(E1334="",E1334="!!!",F1334="NEW"),"",INDEX(J$1:J1333,SUMPRODUCT(MAX(ROW(E$1:E1333)*(E1334=E$1:E1333)))))</f>
        <v/>
      </c>
      <c r="L1334" s="25"/>
    </row>
    <row r="1335" spans="1:12" x14ac:dyDescent="0.3">
      <c r="A1335" t="s">
        <v>928</v>
      </c>
      <c r="E1335" s="20" t="str">
        <f t="shared" si="148"/>
        <v/>
      </c>
      <c r="F1335" s="21" t="str">
        <f>IF(OR(E1335="",E1335="!!!"),"",IF(NOT(ISNA(VLOOKUP(E1335,E$1:E1334,1,FALSE()))),"OLD",IF(AND(E1335&lt;&gt;"",E1335&lt;&gt;"!!!"),"NEW","")))</f>
        <v/>
      </c>
      <c r="G1335" s="22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3" t="str">
        <f t="shared" ca="1" si="149"/>
        <v/>
      </c>
      <c r="I1335" s="24" t="str">
        <f>IF(OR(E1335="",E1335="!!!",F1335="NEW"),"",INDEX(B$2:B1334,-1+SUMPRODUCT(MAX(ROW(E$2:E1334)*(E1335=E$2:E1334)))))</f>
        <v/>
      </c>
      <c r="J1335" s="24" t="str">
        <f ca="1">IF(OR(E1335="",E1335="!!!",F1335="NEW"),"",COUNTBLANK(OFFSET(A$1,,,SUMPRODUCT(MAX(ROW(E$2:E1335)*(E1335=E$2:E1335)))))-COUNTBLANK(OFFSET(A$1,,,SUMPRODUCT(MAX(ROW(E$1:E1334)*(E2=E$1:E1334))))))</f>
        <v/>
      </c>
      <c r="K1335" s="24" t="str">
        <f>IF(OR(E1335="",E1335="!!!",F1335="NEW"),"",INDEX(J$1:J1334,SUMPRODUCT(MAX(ROW(E$1:E1334)*(E1335=E$1:E1334)))))</f>
        <v/>
      </c>
      <c r="L1335" s="25"/>
    </row>
    <row r="1336" spans="1:12" x14ac:dyDescent="0.3">
      <c r="A1336" t="s">
        <v>929</v>
      </c>
      <c r="B1336" s="26" t="s">
        <v>337</v>
      </c>
      <c r="C1336" s="26" t="s">
        <v>331</v>
      </c>
      <c r="D1336" s="26" t="s">
        <v>332</v>
      </c>
      <c r="E1336" s="20" t="str">
        <f t="shared" si="148"/>
        <v>!!!</v>
      </c>
      <c r="F1336" s="21" t="str">
        <f>IF(OR(E1336="",E1336="!!!"),"",IF(NOT(ISNA(VLOOKUP(E1336,E$1:E1335,1,FALSE()))),"OLD",IF(AND(E1336&lt;&gt;"",E1336&lt;&gt;"!!!"),"NEW","")))</f>
        <v/>
      </c>
      <c r="G1336" s="22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3" t="str">
        <f t="shared" ca="1" si="149"/>
        <v/>
      </c>
      <c r="I1336" s="24" t="str">
        <f>IF(OR(E1336="",E1336="!!!",F1336="NEW"),"",INDEX(B$2:B1335,-1+SUMPRODUCT(MAX(ROW(E$2:E1335)*(E1336=E$2:E1335)))))</f>
        <v/>
      </c>
      <c r="J1336" s="24" t="str">
        <f ca="1">IF(OR(E1336="",E1336="!!!",F1336="NEW"),"",COUNTBLANK(OFFSET(A$1,,,SUMPRODUCT(MAX(ROW(E$2:E1336)*(E1336=E$2:E1336)))))-COUNTBLANK(OFFSET(A$1,,,SUMPRODUCT(MAX(ROW(E$1:E1335)*(E2=E$1:E1335))))))</f>
        <v/>
      </c>
      <c r="K1336" s="24" t="str">
        <f>IF(OR(E1336="",E1336="!!!",F1336="NEW"),"",INDEX(J$1:J1335,SUMPRODUCT(MAX(ROW(E$1:E1335)*(E1336=E$1:E1335)))))</f>
        <v/>
      </c>
      <c r="L1336" s="25"/>
    </row>
    <row r="1337" spans="1:12" x14ac:dyDescent="0.3">
      <c r="A1337" t="s">
        <v>338</v>
      </c>
      <c r="E1337" s="20" t="str">
        <f t="shared" si="148"/>
        <v/>
      </c>
      <c r="F1337" s="21" t="str">
        <f>IF(OR(E1337="",E1337="!!!"),"",IF(NOT(ISNA(VLOOKUP(E1337,E$1:E1336,1,FALSE()))),"OLD",IF(AND(E1337&lt;&gt;"",E1337&lt;&gt;"!!!"),"NEW","")))</f>
        <v/>
      </c>
      <c r="G1337" s="22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3" t="str">
        <f t="shared" ca="1" si="149"/>
        <v/>
      </c>
      <c r="I1337" s="24" t="str">
        <f>IF(OR(E1337="",E1337="!!!",F1337="NEW"),"",INDEX(B$2:B1336,-1+SUMPRODUCT(MAX(ROW(E$2:E1336)*(E1337=E$2:E1336)))))</f>
        <v/>
      </c>
      <c r="J1337" s="24" t="str">
        <f ca="1">IF(OR(E1337="",E1337="!!!",F1337="NEW"),"",COUNTBLANK(OFFSET(A$1,,,SUMPRODUCT(MAX(ROW(E$2:E1337)*(E1337=E$2:E1337)))))-COUNTBLANK(OFFSET(A$1,,,SUMPRODUCT(MAX(ROW(E$1:E1336)*(E2=E$1:E1336))))))</f>
        <v/>
      </c>
      <c r="K1337" s="24" t="str">
        <f>IF(OR(E1337="",E1337="!!!",F1337="NEW"),"",INDEX(J$1:J1336,SUMPRODUCT(MAX(ROW(E$1:E1336)*(E1337=E$1:E1336)))))</f>
        <v/>
      </c>
      <c r="L1337" s="25"/>
    </row>
    <row r="1339" spans="1:12" x14ac:dyDescent="0.3">
      <c r="A1339" t="s">
        <v>930</v>
      </c>
    </row>
    <row r="1340" spans="1:12" x14ac:dyDescent="0.3">
      <c r="A1340" t="s">
        <v>758</v>
      </c>
      <c r="B1340" s="26" t="s">
        <v>337</v>
      </c>
      <c r="C1340" s="26" t="s">
        <v>931</v>
      </c>
      <c r="E1340" s="20" t="str">
        <f>IF(D1340="?OLD","!!!","")</f>
        <v/>
      </c>
      <c r="F1340" s="21" t="str">
        <f>IF(OR(E1340="",E1340="!!!"),"",IF(NOT(ISNA(VLOOKUP(E1340,E$1:E1339,1,FALSE()))),"OLD",IF(AND(E1340&lt;&gt;"",E1340&lt;&gt;"!!!"),"NEW","")))</f>
        <v/>
      </c>
      <c r="G1340" s="22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3" t="str">
        <f ca="1">IF(J1340&lt;&gt;1,"",IF(I1340="SBJ","CB","?"))</f>
        <v/>
      </c>
      <c r="I1340" s="24" t="str">
        <f>IF(OR(E1340="",E1340="!!!",F1340="NEW"),"",INDEX(B$2:B1339,-1+SUMPRODUCT(MAX(ROW(E$2:E1339)*(E1340=E$2:E1339)))))</f>
        <v/>
      </c>
      <c r="J1340" s="24" t="str">
        <f ca="1">IF(OR(E1340="",E1340="!!!",F1340="NEW"),"",COUNTBLANK(OFFSET(A$1,,,SUMPRODUCT(MAX(ROW(E$2:E1340)*(E1340=E$2:E1340)))))-COUNTBLANK(OFFSET(A$1,,,SUMPRODUCT(MAX(ROW(E$1:E1339)*(E2=E$1:E1339))))))</f>
        <v/>
      </c>
      <c r="K1340" s="24" t="str">
        <f>IF(OR(E1340="",E1340="!!!",F1340="NEW"),"",INDEX(J$1:J1339,SUMPRODUCT(MAX(ROW(E$1:E1339)*(E1340=E$1:E1339)))))</f>
        <v/>
      </c>
      <c r="L1340" s="25"/>
    </row>
    <row r="1341" spans="1:12" x14ac:dyDescent="0.3">
      <c r="A1341" t="s">
        <v>638</v>
      </c>
      <c r="E1341" s="20" t="str">
        <f>IF(D1341="?OLD","!!!","")</f>
        <v/>
      </c>
      <c r="F1341" s="21" t="str">
        <f>IF(OR(E1341="",E1341="!!!"),"",IF(NOT(ISNA(VLOOKUP(E1341,E$1:E1340,1,FALSE()))),"OLD",IF(AND(E1341&lt;&gt;"",E1341&lt;&gt;"!!!"),"NEW","")))</f>
        <v/>
      </c>
      <c r="G1341" s="22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3" t="str">
        <f ca="1">IF(J1341&lt;&gt;1,"",IF(I1341="SBJ","CB","?"))</f>
        <v/>
      </c>
      <c r="I1341" s="24" t="str">
        <f>IF(OR(E1341="",E1341="!!!",F1341="NEW"),"",INDEX(B$2:B1340,-1+SUMPRODUCT(MAX(ROW(E$2:E1340)*(E1341=E$2:E1340)))))</f>
        <v/>
      </c>
      <c r="J1341" s="24" t="str">
        <f ca="1">IF(OR(E1341="",E1341="!!!",F1341="NEW"),"",COUNTBLANK(OFFSET(A$1,,,SUMPRODUCT(MAX(ROW(E$2:E1341)*(E1341=E$2:E1341)))))-COUNTBLANK(OFFSET(A$1,,,SUMPRODUCT(MAX(ROW(E$1:E1340)*(E2=E$1:E1340))))))</f>
        <v/>
      </c>
      <c r="K1341" s="24" t="str">
        <f>IF(OR(E1341="",E1341="!!!",F1341="NEW"),"",INDEX(J$1:J1340,SUMPRODUCT(MAX(ROW(E$1:E1340)*(E1341=E$1:E1340)))))</f>
        <v/>
      </c>
      <c r="L1341" s="25"/>
    </row>
    <row r="1343" spans="1:12" x14ac:dyDescent="0.3">
      <c r="A1343" t="s">
        <v>932</v>
      </c>
    </row>
    <row r="1344" spans="1:12" x14ac:dyDescent="0.3">
      <c r="A1344" t="s">
        <v>340</v>
      </c>
      <c r="B1344" s="26" t="s">
        <v>330</v>
      </c>
      <c r="C1344" s="26" t="s">
        <v>341</v>
      </c>
      <c r="D1344" s="26" t="s">
        <v>332</v>
      </c>
      <c r="E1344" s="20" t="str">
        <f t="shared" ref="E1344:E1356" si="150">IF(D1344="?OLD","!!!","")</f>
        <v>!!!</v>
      </c>
      <c r="F1344" s="21" t="str">
        <f>IF(OR(E1344="",E1344="!!!"),"",IF(NOT(ISNA(VLOOKUP(E1344,E$1:E1343,1,FALSE()))),"OLD",IF(AND(E1344&lt;&gt;"",E1344&lt;&gt;"!!!"),"NEW","")))</f>
        <v/>
      </c>
      <c r="G1344" s="22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3" t="str">
        <f t="shared" ref="H1344:H1356" ca="1" si="151">IF(J1344&lt;&gt;1,"",IF(I1344="SBJ","CB","?"))</f>
        <v/>
      </c>
      <c r="I1344" s="24" t="str">
        <f>IF(OR(E1344="",E1344="!!!",F1344="NEW"),"",INDEX(B$2:B1343,-1+SUMPRODUCT(MAX(ROW(E$2:E1343)*(E1344=E$2:E1343)))))</f>
        <v/>
      </c>
      <c r="J1344" s="24" t="str">
        <f ca="1">IF(OR(E1344="",E1344="!!!",F1344="NEW"),"",COUNTBLANK(OFFSET(A$1,,,SUMPRODUCT(MAX(ROW(E$2:E1344)*(E1344=E$2:E1344)))))-COUNTBLANK(OFFSET(A$1,,,SUMPRODUCT(MAX(ROW(E$1:E1343)*(E2=E$1:E1343))))))</f>
        <v/>
      </c>
      <c r="K1344" s="24" t="str">
        <f>IF(OR(E1344="",E1344="!!!",F1344="NEW"),"",INDEX(J$1:J1343,SUMPRODUCT(MAX(ROW(E$1:E1343)*(E1344=E$1:E1343)))))</f>
        <v/>
      </c>
      <c r="L1344" s="25"/>
    </row>
    <row r="1345" spans="1:12" x14ac:dyDescent="0.3">
      <c r="A1345" t="s">
        <v>435</v>
      </c>
      <c r="E1345" s="20" t="str">
        <f t="shared" si="150"/>
        <v/>
      </c>
      <c r="F1345" s="21" t="str">
        <f>IF(OR(E1345="",E1345="!!!"),"",IF(NOT(ISNA(VLOOKUP(E1345,E$1:E1344,1,FALSE()))),"OLD",IF(AND(E1345&lt;&gt;"",E1345&lt;&gt;"!!!"),"NEW","")))</f>
        <v/>
      </c>
      <c r="G1345" s="22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3" t="str">
        <f t="shared" ca="1" si="151"/>
        <v/>
      </c>
      <c r="I1345" s="24" t="str">
        <f>IF(OR(E1345="",E1345="!!!",F1345="NEW"),"",INDEX(B$2:B1344,-1+SUMPRODUCT(MAX(ROW(E$2:E1344)*(E1345=E$2:E1344)))))</f>
        <v/>
      </c>
      <c r="J1345" s="24" t="str">
        <f ca="1">IF(OR(E1345="",E1345="!!!",F1345="NEW"),"",COUNTBLANK(OFFSET(A$1,,,SUMPRODUCT(MAX(ROW(E$2:E1345)*(E1345=E$2:E1345)))))-COUNTBLANK(OFFSET(A$1,,,SUMPRODUCT(MAX(ROW(E$1:E1344)*(E2=E$1:E1344))))))</f>
        <v/>
      </c>
      <c r="K1345" s="24" t="str">
        <f>IF(OR(E1345="",E1345="!!!",F1345="NEW"),"",INDEX(J$1:J1344,SUMPRODUCT(MAX(ROW(E$1:E1344)*(E1345=E$1:E1344)))))</f>
        <v/>
      </c>
      <c r="L1345" s="25"/>
    </row>
    <row r="1346" spans="1:12" x14ac:dyDescent="0.3">
      <c r="A1346" t="s">
        <v>351</v>
      </c>
      <c r="E1346" s="20" t="str">
        <f t="shared" si="150"/>
        <v/>
      </c>
      <c r="F1346" s="21" t="str">
        <f>IF(OR(E1346="",E1346="!!!"),"",IF(NOT(ISNA(VLOOKUP(E1346,E$1:E1345,1,FALSE()))),"OLD",IF(AND(E1346&lt;&gt;"",E1346&lt;&gt;"!!!"),"NEW","")))</f>
        <v/>
      </c>
      <c r="G1346" s="22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3" t="str">
        <f t="shared" ca="1" si="151"/>
        <v/>
      </c>
      <c r="I1346" s="24" t="str">
        <f>IF(OR(E1346="",E1346="!!!",F1346="NEW"),"",INDEX(B$2:B1345,-1+SUMPRODUCT(MAX(ROW(E$2:E1345)*(E1346=E$2:E1345)))))</f>
        <v/>
      </c>
      <c r="J1346" s="24" t="str">
        <f ca="1">IF(OR(E1346="",E1346="!!!",F1346="NEW"),"",COUNTBLANK(OFFSET(A$1,,,SUMPRODUCT(MAX(ROW(E$2:E1346)*(E1346=E$2:E1346)))))-COUNTBLANK(OFFSET(A$1,,,SUMPRODUCT(MAX(ROW(E$1:E1345)*(E2=E$1:E1345))))))</f>
        <v/>
      </c>
      <c r="K1346" s="24" t="str">
        <f>IF(OR(E1346="",E1346="!!!",F1346="NEW"),"",INDEX(J$1:J1345,SUMPRODUCT(MAX(ROW(E$1:E1345)*(E1346=E$1:E1345)))))</f>
        <v/>
      </c>
      <c r="L1346" s="25"/>
    </row>
    <row r="1347" spans="1:12" x14ac:dyDescent="0.3">
      <c r="A1347" t="s">
        <v>371</v>
      </c>
      <c r="B1347" s="26" t="s">
        <v>354</v>
      </c>
      <c r="C1347" s="26" t="s">
        <v>341</v>
      </c>
      <c r="D1347" s="26" t="s">
        <v>332</v>
      </c>
      <c r="E1347" s="20" t="str">
        <f t="shared" si="150"/>
        <v>!!!</v>
      </c>
      <c r="F1347" s="21" t="str">
        <f>IF(OR(E1347="",E1347="!!!"),"",IF(NOT(ISNA(VLOOKUP(E1347,E$1:E1346,1,FALSE()))),"OLD",IF(AND(E1347&lt;&gt;"",E1347&lt;&gt;"!!!"),"NEW","")))</f>
        <v/>
      </c>
      <c r="G1347" s="22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3" t="str">
        <f t="shared" ca="1" si="151"/>
        <v/>
      </c>
      <c r="I1347" s="24" t="str">
        <f>IF(OR(E1347="",E1347="!!!",F1347="NEW"),"",INDEX(B$2:B1346,-1+SUMPRODUCT(MAX(ROW(E$2:E1346)*(E1347=E$2:E1346)))))</f>
        <v/>
      </c>
      <c r="J1347" s="24" t="str">
        <f ca="1">IF(OR(E1347="",E1347="!!!",F1347="NEW"),"",COUNTBLANK(OFFSET(A$1,,,SUMPRODUCT(MAX(ROW(E$2:E1347)*(E1347=E$2:E1347)))))-COUNTBLANK(OFFSET(A$1,,,SUMPRODUCT(MAX(ROW(E$1:E1346)*(E2=E$1:E1346))))))</f>
        <v/>
      </c>
      <c r="K1347" s="24" t="str">
        <f>IF(OR(E1347="",E1347="!!!",F1347="NEW"),"",INDEX(J$1:J1346,SUMPRODUCT(MAX(ROW(E$1:E1346)*(E1347=E$1:E1346)))))</f>
        <v/>
      </c>
      <c r="L1347" s="25"/>
    </row>
    <row r="1348" spans="1:12" x14ac:dyDescent="0.3">
      <c r="A1348" t="s">
        <v>333</v>
      </c>
      <c r="E1348" s="20" t="str">
        <f t="shared" si="150"/>
        <v/>
      </c>
      <c r="F1348" s="21" t="str">
        <f>IF(OR(E1348="",E1348="!!!"),"",IF(NOT(ISNA(VLOOKUP(E1348,E$1:E1347,1,FALSE()))),"OLD",IF(AND(E1348&lt;&gt;"",E1348&lt;&gt;"!!!"),"NEW","")))</f>
        <v/>
      </c>
      <c r="G1348" s="22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3" t="str">
        <f t="shared" ca="1" si="151"/>
        <v/>
      </c>
      <c r="I1348" s="24" t="str">
        <f>IF(OR(E1348="",E1348="!!!",F1348="NEW"),"",INDEX(B$2:B1347,-1+SUMPRODUCT(MAX(ROW(E$2:E1347)*(E1348=E$2:E1347)))))</f>
        <v/>
      </c>
      <c r="J1348" s="24" t="str">
        <f ca="1">IF(OR(E1348="",E1348="!!!",F1348="NEW"),"",COUNTBLANK(OFFSET(A$1,,,SUMPRODUCT(MAX(ROW(E$2:E1348)*(E1348=E$2:E1348)))))-COUNTBLANK(OFFSET(A$1,,,SUMPRODUCT(MAX(ROW(E$1:E1347)*(E2=E$1:E1347))))))</f>
        <v/>
      </c>
      <c r="K1348" s="24" t="str">
        <f>IF(OR(E1348="",E1348="!!!",F1348="NEW"),"",INDEX(J$1:J1347,SUMPRODUCT(MAX(ROW(E$1:E1347)*(E1348=E$1:E1347)))))</f>
        <v/>
      </c>
      <c r="L1348" s="25"/>
    </row>
    <row r="1349" spans="1:12" x14ac:dyDescent="0.3">
      <c r="A1349" t="s">
        <v>499</v>
      </c>
      <c r="E1349" s="20" t="str">
        <f t="shared" si="150"/>
        <v/>
      </c>
      <c r="F1349" s="21" t="str">
        <f>IF(OR(E1349="",E1349="!!!"),"",IF(NOT(ISNA(VLOOKUP(E1349,E$1:E1348,1,FALSE()))),"OLD",IF(AND(E1349&lt;&gt;"",E1349&lt;&gt;"!!!"),"NEW","")))</f>
        <v/>
      </c>
      <c r="G1349" s="22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3" t="str">
        <f t="shared" ca="1" si="151"/>
        <v/>
      </c>
      <c r="I1349" s="24" t="str">
        <f>IF(OR(E1349="",E1349="!!!",F1349="NEW"),"",INDEX(B$2:B1348,-1+SUMPRODUCT(MAX(ROW(E$2:E1348)*(E1349=E$2:E1348)))))</f>
        <v/>
      </c>
      <c r="J1349" s="24" t="str">
        <f ca="1">IF(OR(E1349="",E1349="!!!",F1349="NEW"),"",COUNTBLANK(OFFSET(A$1,,,SUMPRODUCT(MAX(ROW(E$2:E1349)*(E1349=E$2:E1349)))))-COUNTBLANK(OFFSET(A$1,,,SUMPRODUCT(MAX(ROW(E$1:E1348)*(E2=E$1:E1348))))))</f>
        <v/>
      </c>
      <c r="K1349" s="24" t="str">
        <f>IF(OR(E1349="",E1349="!!!",F1349="NEW"),"",INDEX(J$1:J1348,SUMPRODUCT(MAX(ROW(E$1:E1348)*(E1349=E$1:E1348)))))</f>
        <v/>
      </c>
      <c r="L1349" s="25"/>
    </row>
    <row r="1350" spans="1:12" x14ac:dyDescent="0.3">
      <c r="A1350" t="s">
        <v>477</v>
      </c>
      <c r="E1350" s="20" t="str">
        <f t="shared" si="150"/>
        <v/>
      </c>
      <c r="F1350" s="21" t="str">
        <f>IF(OR(E1350="",E1350="!!!"),"",IF(NOT(ISNA(VLOOKUP(E1350,E$1:E1349,1,FALSE()))),"OLD",IF(AND(E1350&lt;&gt;"",E1350&lt;&gt;"!!!"),"NEW","")))</f>
        <v/>
      </c>
      <c r="G1350" s="22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3" t="str">
        <f t="shared" ca="1" si="151"/>
        <v/>
      </c>
      <c r="I1350" s="24" t="str">
        <f>IF(OR(E1350="",E1350="!!!",F1350="NEW"),"",INDEX(B$2:B1349,-1+SUMPRODUCT(MAX(ROW(E$2:E1349)*(E1350=E$2:E1349)))))</f>
        <v/>
      </c>
      <c r="J1350" s="24" t="str">
        <f ca="1">IF(OR(E1350="",E1350="!!!",F1350="NEW"),"",COUNTBLANK(OFFSET(A$1,,,SUMPRODUCT(MAX(ROW(E$2:E1350)*(E1350=E$2:E1350)))))-COUNTBLANK(OFFSET(A$1,,,SUMPRODUCT(MAX(ROW(E$1:E1349)*(E2=E$1:E1349))))))</f>
        <v/>
      </c>
      <c r="K1350" s="24" t="str">
        <f>IF(OR(E1350="",E1350="!!!",F1350="NEW"),"",INDEX(J$1:J1349,SUMPRODUCT(MAX(ROW(E$1:E1349)*(E1350=E$1:E1349)))))</f>
        <v/>
      </c>
      <c r="L1350" s="25"/>
    </row>
    <row r="1351" spans="1:12" x14ac:dyDescent="0.3">
      <c r="A1351" t="s">
        <v>933</v>
      </c>
      <c r="E1351" s="20" t="str">
        <f t="shared" si="150"/>
        <v/>
      </c>
      <c r="F1351" s="21" t="str">
        <f>IF(OR(E1351="",E1351="!!!"),"",IF(NOT(ISNA(VLOOKUP(E1351,E$1:E1350,1,FALSE()))),"OLD",IF(AND(E1351&lt;&gt;"",E1351&lt;&gt;"!!!"),"NEW","")))</f>
        <v/>
      </c>
      <c r="G1351" s="22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3" t="str">
        <f t="shared" ca="1" si="151"/>
        <v/>
      </c>
      <c r="I1351" s="24" t="str">
        <f>IF(OR(E1351="",E1351="!!!",F1351="NEW"),"",INDEX(B$2:B1350,-1+SUMPRODUCT(MAX(ROW(E$2:E1350)*(E1351=E$2:E1350)))))</f>
        <v/>
      </c>
      <c r="J1351" s="24" t="str">
        <f ca="1">IF(OR(E1351="",E1351="!!!",F1351="NEW"),"",COUNTBLANK(OFFSET(A$1,,,SUMPRODUCT(MAX(ROW(E$2:E1351)*(E1351=E$2:E1351)))))-COUNTBLANK(OFFSET(A$1,,,SUMPRODUCT(MAX(ROW(E$1:E1350)*(E2=E$1:E1350))))))</f>
        <v/>
      </c>
      <c r="K1351" s="24" t="str">
        <f>IF(OR(E1351="",E1351="!!!",F1351="NEW"),"",INDEX(J$1:J1350,SUMPRODUCT(MAX(ROW(E$1:E1350)*(E1351=E$1:E1350)))))</f>
        <v/>
      </c>
      <c r="L1351" s="25"/>
    </row>
    <row r="1352" spans="1:12" x14ac:dyDescent="0.3">
      <c r="A1352" t="s">
        <v>402</v>
      </c>
      <c r="E1352" s="20" t="str">
        <f t="shared" si="150"/>
        <v/>
      </c>
      <c r="F1352" s="21" t="str">
        <f>IF(OR(E1352="",E1352="!!!"),"",IF(NOT(ISNA(VLOOKUP(E1352,E$1:E1351,1,FALSE()))),"OLD",IF(AND(E1352&lt;&gt;"",E1352&lt;&gt;"!!!"),"NEW","")))</f>
        <v/>
      </c>
      <c r="G1352" s="22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3" t="str">
        <f t="shared" ca="1" si="151"/>
        <v/>
      </c>
      <c r="I1352" s="24" t="str">
        <f>IF(OR(E1352="",E1352="!!!",F1352="NEW"),"",INDEX(B$2:B1351,-1+SUMPRODUCT(MAX(ROW(E$2:E1351)*(E1352=E$2:E1351)))))</f>
        <v/>
      </c>
      <c r="J1352" s="24" t="str">
        <f ca="1">IF(OR(E1352="",E1352="!!!",F1352="NEW"),"",COUNTBLANK(OFFSET(A$1,,,SUMPRODUCT(MAX(ROW(E$2:E1352)*(E1352=E$2:E1352)))))-COUNTBLANK(OFFSET(A$1,,,SUMPRODUCT(MAX(ROW(E$1:E1351)*(E2=E$1:E1351))))))</f>
        <v/>
      </c>
      <c r="K1352" s="24" t="str">
        <f>IF(OR(E1352="",E1352="!!!",F1352="NEW"),"",INDEX(J$1:J1351,SUMPRODUCT(MAX(ROW(E$1:E1351)*(E1352=E$1:E1351)))))</f>
        <v/>
      </c>
      <c r="L1352" s="25"/>
    </row>
    <row r="1353" spans="1:12" x14ac:dyDescent="0.3">
      <c r="A1353" t="s">
        <v>403</v>
      </c>
      <c r="B1353" s="26" t="s">
        <v>378</v>
      </c>
      <c r="C1353" s="26" t="s">
        <v>355</v>
      </c>
      <c r="E1353" s="20" t="str">
        <f t="shared" si="150"/>
        <v/>
      </c>
      <c r="F1353" s="21" t="str">
        <f>IF(OR(E1353="",E1353="!!!"),"",IF(NOT(ISNA(VLOOKUP(E1353,E$1:E1352,1,FALSE()))),"OLD",IF(AND(E1353&lt;&gt;"",E1353&lt;&gt;"!!!"),"NEW","")))</f>
        <v/>
      </c>
      <c r="G1353" s="22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3" t="str">
        <f t="shared" ca="1" si="151"/>
        <v/>
      </c>
      <c r="I1353" s="24" t="str">
        <f>IF(OR(E1353="",E1353="!!!",F1353="NEW"),"",INDEX(B$2:B1352,-1+SUMPRODUCT(MAX(ROW(E$2:E1352)*(E1353=E$2:E1352)))))</f>
        <v/>
      </c>
      <c r="J1353" s="24" t="str">
        <f ca="1">IF(OR(E1353="",E1353="!!!",F1353="NEW"),"",COUNTBLANK(OFFSET(A$1,,,SUMPRODUCT(MAX(ROW(E$2:E1353)*(E1353=E$2:E1353)))))-COUNTBLANK(OFFSET(A$1,,,SUMPRODUCT(MAX(ROW(E$1:E1352)*(E2=E$1:E1352))))))</f>
        <v/>
      </c>
      <c r="K1353" s="24" t="str">
        <f>IF(OR(E1353="",E1353="!!!",F1353="NEW"),"",INDEX(J$1:J1352,SUMPRODUCT(MAX(ROW(E$1:E1352)*(E1353=E$1:E1352)))))</f>
        <v/>
      </c>
      <c r="L1353" s="25"/>
    </row>
    <row r="1354" spans="1:12" x14ac:dyDescent="0.3">
      <c r="A1354" t="s">
        <v>351</v>
      </c>
      <c r="E1354" s="20" t="str">
        <f t="shared" si="150"/>
        <v/>
      </c>
      <c r="F1354" s="21" t="str">
        <f>IF(OR(E1354="",E1354="!!!"),"",IF(NOT(ISNA(VLOOKUP(E1354,E$1:E1353,1,FALSE()))),"OLD",IF(AND(E1354&lt;&gt;"",E1354&lt;&gt;"!!!"),"NEW","")))</f>
        <v/>
      </c>
      <c r="G1354" s="22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3" t="str">
        <f t="shared" ca="1" si="151"/>
        <v/>
      </c>
      <c r="I1354" s="24" t="str">
        <f>IF(OR(E1354="",E1354="!!!",F1354="NEW"),"",INDEX(B$2:B1353,-1+SUMPRODUCT(MAX(ROW(E$2:E1353)*(E1354=E$2:E1353)))))</f>
        <v/>
      </c>
      <c r="J1354" s="24" t="str">
        <f ca="1">IF(OR(E1354="",E1354="!!!",F1354="NEW"),"",COUNTBLANK(OFFSET(A$1,,,SUMPRODUCT(MAX(ROW(E$2:E1354)*(E1354=E$2:E1354)))))-COUNTBLANK(OFFSET(A$1,,,SUMPRODUCT(MAX(ROW(E$1:E1353)*(E2=E$1:E1353))))))</f>
        <v/>
      </c>
      <c r="K1354" s="24" t="str">
        <f>IF(OR(E1354="",E1354="!!!",F1354="NEW"),"",INDEX(J$1:J1353,SUMPRODUCT(MAX(ROW(E$1:E1353)*(E1354=E$1:E1353)))))</f>
        <v/>
      </c>
      <c r="L1354" s="25"/>
    </row>
    <row r="1355" spans="1:12" x14ac:dyDescent="0.3">
      <c r="A1355" t="s">
        <v>934</v>
      </c>
      <c r="B1355" s="26" t="s">
        <v>362</v>
      </c>
      <c r="C1355" s="26" t="s">
        <v>355</v>
      </c>
      <c r="E1355" s="20" t="str">
        <f t="shared" si="150"/>
        <v/>
      </c>
      <c r="F1355" s="21" t="str">
        <f>IF(OR(E1355="",E1355="!!!"),"",IF(NOT(ISNA(VLOOKUP(E1355,E$1:E1354,1,FALSE()))),"OLD",IF(AND(E1355&lt;&gt;"",E1355&lt;&gt;"!!!"),"NEW","")))</f>
        <v/>
      </c>
      <c r="G1355" s="22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3" t="str">
        <f t="shared" ca="1" si="151"/>
        <v/>
      </c>
      <c r="I1355" s="24" t="str">
        <f>IF(OR(E1355="",E1355="!!!",F1355="NEW"),"",INDEX(B$2:B1354,-1+SUMPRODUCT(MAX(ROW(E$2:E1354)*(E1355=E$2:E1354)))))</f>
        <v/>
      </c>
      <c r="J1355" s="24" t="str">
        <f ca="1">IF(OR(E1355="",E1355="!!!",F1355="NEW"),"",COUNTBLANK(OFFSET(A$1,,,SUMPRODUCT(MAX(ROW(E$2:E1355)*(E1355=E$2:E1355)))))-COUNTBLANK(OFFSET(A$1,,,SUMPRODUCT(MAX(ROW(E$1:E1354)*(E2=E$1:E1354))))))</f>
        <v/>
      </c>
      <c r="K1355" s="24" t="str">
        <f>IF(OR(E1355="",E1355="!!!",F1355="NEW"),"",INDEX(J$1:J1354,SUMPRODUCT(MAX(ROW(E$1:E1354)*(E1355=E$1:E1354)))))</f>
        <v/>
      </c>
      <c r="L1355" s="25"/>
    </row>
    <row r="1356" spans="1:12" x14ac:dyDescent="0.3">
      <c r="A1356" t="s">
        <v>338</v>
      </c>
      <c r="E1356" s="20" t="str">
        <f t="shared" si="150"/>
        <v/>
      </c>
      <c r="F1356" s="21" t="str">
        <f>IF(OR(E1356="",E1356="!!!"),"",IF(NOT(ISNA(VLOOKUP(E1356,E$1:E1355,1,FALSE()))),"OLD",IF(AND(E1356&lt;&gt;"",E1356&lt;&gt;"!!!"),"NEW","")))</f>
        <v/>
      </c>
      <c r="G1356" s="22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3" t="str">
        <f t="shared" ca="1" si="151"/>
        <v/>
      </c>
      <c r="I1356" s="24" t="str">
        <f>IF(OR(E1356="",E1356="!!!",F1356="NEW"),"",INDEX(B$2:B1355,-1+SUMPRODUCT(MAX(ROW(E$2:E1355)*(E1356=E$2:E1355)))))</f>
        <v/>
      </c>
      <c r="J1356" s="24" t="str">
        <f ca="1">IF(OR(E1356="",E1356="!!!",F1356="NEW"),"",COUNTBLANK(OFFSET(A$1,,,SUMPRODUCT(MAX(ROW(E$2:E1356)*(E1356=E$2:E1356)))))-COUNTBLANK(OFFSET(A$1,,,SUMPRODUCT(MAX(ROW(E$1:E1355)*(E2=E$1:E1355))))))</f>
        <v/>
      </c>
      <c r="K1356" s="24" t="str">
        <f>IF(OR(E1356="",E1356="!!!",F1356="NEW"),"",INDEX(J$1:J1355,SUMPRODUCT(MAX(ROW(E$1:E1355)*(E1356=E$1:E1355)))))</f>
        <v/>
      </c>
      <c r="L1356" s="25"/>
    </row>
    <row r="1358" spans="1:12" x14ac:dyDescent="0.3">
      <c r="A1358" t="s">
        <v>573</v>
      </c>
      <c r="E1358" s="20" t="str">
        <f>IF(D1358="?OLD","!!!","")</f>
        <v/>
      </c>
      <c r="F1358" s="21" t="str">
        <f>IF(OR(E1358="",E1358="!!!"),"",IF(NOT(ISNA(VLOOKUP(E1358,E$1:E1357,1,FALSE()))),"OLD",IF(AND(E1358&lt;&gt;"",E1358&lt;&gt;"!!!"),"NEW","")))</f>
        <v/>
      </c>
      <c r="G1358" s="22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3" t="str">
        <f ca="1">IF(J1358&lt;&gt;1,"",IF(I1358="SBJ","CB","?"))</f>
        <v/>
      </c>
      <c r="I1358" s="24" t="str">
        <f>IF(OR(E1358="",E1358="!!!",F1358="NEW"),"",INDEX(B$2:B1357,-1+SUMPRODUCT(MAX(ROW(E$2:E1357)*(E1358=E$2:E1357)))))</f>
        <v/>
      </c>
      <c r="J1358" s="24" t="str">
        <f ca="1">IF(OR(E1358="",E1358="!!!",F1358="NEW"),"",COUNTBLANK(OFFSET(A$1,,,SUMPRODUCT(MAX(ROW(E$2:E1358)*(E1358=E$2:E1358)))))-COUNTBLANK(OFFSET(A$1,,,SUMPRODUCT(MAX(ROW(E$1:E1357)*(E2=E$1:E1357))))))</f>
        <v/>
      </c>
      <c r="K1358" s="24" t="str">
        <f>IF(OR(E1358="",E1358="!!!",F1358="NEW"),"",INDEX(J$1:J1357,SUMPRODUCT(MAX(ROW(E$1:E1357)*(E1358=E$1:E1357)))))</f>
        <v/>
      </c>
      <c r="L1358" s="25"/>
    </row>
    <row r="1359" spans="1:12" x14ac:dyDescent="0.3">
      <c r="A1359" t="s">
        <v>935</v>
      </c>
    </row>
    <row r="1360" spans="1:12" x14ac:dyDescent="0.3">
      <c r="A1360" t="s">
        <v>340</v>
      </c>
      <c r="B1360" s="26" t="s">
        <v>330</v>
      </c>
      <c r="C1360" s="26" t="s">
        <v>341</v>
      </c>
      <c r="D1360" s="26" t="s">
        <v>332</v>
      </c>
      <c r="E1360" s="20" t="str">
        <f t="shared" ref="E1360:E1381" si="152">IF(D1360="?OLD","!!!","")</f>
        <v>!!!</v>
      </c>
      <c r="F1360" s="21" t="str">
        <f>IF(OR(E1360="",E1360="!!!"),"",IF(NOT(ISNA(VLOOKUP(E1360,E$1:E1359,1,FALSE()))),"OLD",IF(AND(E1360&lt;&gt;"",E1360&lt;&gt;"!!!"),"NEW","")))</f>
        <v/>
      </c>
      <c r="G1360" s="22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3" t="str">
        <f t="shared" ref="H1360:H1381" ca="1" si="153">IF(J1360&lt;&gt;1,"",IF(I1360="SBJ","CB","?"))</f>
        <v/>
      </c>
      <c r="I1360" s="24" t="str">
        <f>IF(OR(E1360="",E1360="!!!",F1360="NEW"),"",INDEX(B$2:B1359,-1+SUMPRODUCT(MAX(ROW(E$2:E1359)*(E1360=E$2:E1359)))))</f>
        <v/>
      </c>
      <c r="J1360" s="24" t="str">
        <f ca="1">IF(OR(E1360="",E1360="!!!",F1360="NEW"),"",COUNTBLANK(OFFSET(A$1,,,SUMPRODUCT(MAX(ROW(E$2:E1360)*(E1360=E$2:E1360)))))-COUNTBLANK(OFFSET(A$1,,,SUMPRODUCT(MAX(ROW(E$1:E1359)*(E2=E$1:E1359))))))</f>
        <v/>
      </c>
      <c r="K1360" s="24" t="str">
        <f>IF(OR(E1360="",E1360="!!!",F1360="NEW"),"",INDEX(J$1:J1359,SUMPRODUCT(MAX(ROW(E$1:E1359)*(E1360=E$1:E1359)))))</f>
        <v/>
      </c>
      <c r="L1360" s="25"/>
    </row>
    <row r="1361" spans="1:12" x14ac:dyDescent="0.3">
      <c r="A1361" t="s">
        <v>936</v>
      </c>
      <c r="E1361" s="20" t="str">
        <f t="shared" si="152"/>
        <v/>
      </c>
      <c r="F1361" s="21" t="str">
        <f>IF(OR(E1361="",E1361="!!!"),"",IF(NOT(ISNA(VLOOKUP(E1361,E$1:E1360,1,FALSE()))),"OLD",IF(AND(E1361&lt;&gt;"",E1361&lt;&gt;"!!!"),"NEW","")))</f>
        <v/>
      </c>
      <c r="G1361" s="22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/>
      </c>
      <c r="H1361" s="23" t="str">
        <f t="shared" ca="1" si="153"/>
        <v/>
      </c>
      <c r="I1361" s="24" t="str">
        <f>IF(OR(E1361="",E1361="!!!",F1361="NEW"),"",INDEX(B$2:B1360,-1+SUMPRODUCT(MAX(ROW(E$2:E1360)*(E1361=E$2:E1360)))))</f>
        <v/>
      </c>
      <c r="J1361" s="24" t="str">
        <f ca="1">IF(OR(E1361="",E1361="!!!",F1361="NEW"),"",COUNTBLANK(OFFSET(A$1,,,SUMPRODUCT(MAX(ROW(E$2:E1361)*(E1361=E$2:E1361)))))-COUNTBLANK(OFFSET(A$1,,,SUMPRODUCT(MAX(ROW(E$1:E1360)*(E2=E$1:E1360))))))</f>
        <v/>
      </c>
      <c r="K1361" s="24" t="str">
        <f>IF(OR(E1361="",E1361="!!!",F1361="NEW"),"",INDEX(J$1:J1360,SUMPRODUCT(MAX(ROW(E$1:E1360)*(E1361=E$1:E1360)))))</f>
        <v/>
      </c>
      <c r="L1361" s="25"/>
    </row>
    <row r="1362" spans="1:12" x14ac:dyDescent="0.3">
      <c r="A1362" t="s">
        <v>410</v>
      </c>
      <c r="E1362" s="20" t="str">
        <f t="shared" si="152"/>
        <v/>
      </c>
      <c r="F1362" s="21" t="str">
        <f>IF(OR(E1362="",E1362="!!!"),"",IF(NOT(ISNA(VLOOKUP(E1362,E$1:E1361,1,FALSE()))),"OLD",IF(AND(E1362&lt;&gt;"",E1362&lt;&gt;"!!!"),"NEW","")))</f>
        <v/>
      </c>
      <c r="G1362" s="22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3" t="str">
        <f t="shared" ca="1" si="153"/>
        <v/>
      </c>
      <c r="I1362" s="24" t="str">
        <f>IF(OR(E1362="",E1362="!!!",F1362="NEW"),"",INDEX(B$2:B1361,-1+SUMPRODUCT(MAX(ROW(E$2:E1361)*(E1362=E$2:E1361)))))</f>
        <v/>
      </c>
      <c r="J1362" s="24" t="str">
        <f ca="1">IF(OR(E1362="",E1362="!!!",F1362="NEW"),"",COUNTBLANK(OFFSET(A$1,,,SUMPRODUCT(MAX(ROW(E$2:E1362)*(E1362=E$2:E1362)))))-COUNTBLANK(OFFSET(A$1,,,SUMPRODUCT(MAX(ROW(E$1:E1361)*(E2=E$1:E1361))))))</f>
        <v/>
      </c>
      <c r="K1362" s="24" t="str">
        <f>IF(OR(E1362="",E1362="!!!",F1362="NEW"),"",INDEX(J$1:J1361,SUMPRODUCT(MAX(ROW(E$1:E1361)*(E1362=E$1:E1361)))))</f>
        <v/>
      </c>
      <c r="L1362" s="25"/>
    </row>
    <row r="1363" spans="1:12" x14ac:dyDescent="0.3">
      <c r="A1363" t="s">
        <v>575</v>
      </c>
      <c r="E1363" s="20" t="str">
        <f t="shared" si="152"/>
        <v/>
      </c>
      <c r="F1363" s="21" t="str">
        <f>IF(OR(E1363="",E1363="!!!"),"",IF(NOT(ISNA(VLOOKUP(E1363,E$1:E1362,1,FALSE()))),"OLD",IF(AND(E1363&lt;&gt;"",E1363&lt;&gt;"!!!"),"NEW","")))</f>
        <v/>
      </c>
      <c r="G1363" s="22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3" t="str">
        <f t="shared" ca="1" si="153"/>
        <v/>
      </c>
      <c r="I1363" s="24" t="str">
        <f>IF(OR(E1363="",E1363="!!!",F1363="NEW"),"",INDEX(B$2:B1362,-1+SUMPRODUCT(MAX(ROW(E$2:E1362)*(E1363=E$2:E1362)))))</f>
        <v/>
      </c>
      <c r="J1363" s="24" t="str">
        <f ca="1">IF(OR(E1363="",E1363="!!!",F1363="NEW"),"",COUNTBLANK(OFFSET(A$1,,,SUMPRODUCT(MAX(ROW(E$2:E1363)*(E1363=E$2:E1363)))))-COUNTBLANK(OFFSET(A$1,,,SUMPRODUCT(MAX(ROW(E$1:E1362)*(E2=E$1:E1362))))))</f>
        <v/>
      </c>
      <c r="K1363" s="24" t="str">
        <f>IF(OR(E1363="",E1363="!!!",F1363="NEW"),"",INDEX(J$1:J1362,SUMPRODUCT(MAX(ROW(E$1:E1362)*(E1363=E$1:E1362)))))</f>
        <v/>
      </c>
      <c r="L1363" s="25"/>
    </row>
    <row r="1364" spans="1:12" x14ac:dyDescent="0.3">
      <c r="A1364" t="s">
        <v>937</v>
      </c>
      <c r="E1364" s="20" t="str">
        <f t="shared" si="152"/>
        <v/>
      </c>
      <c r="F1364" s="21" t="str">
        <f>IF(OR(E1364="",E1364="!!!"),"",IF(NOT(ISNA(VLOOKUP(E1364,E$1:E1363,1,FALSE()))),"OLD",IF(AND(E1364&lt;&gt;"",E1364&lt;&gt;"!!!"),"NEW","")))</f>
        <v/>
      </c>
      <c r="G1364" s="22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3" t="str">
        <f t="shared" ca="1" si="153"/>
        <v/>
      </c>
      <c r="I1364" s="24" t="str">
        <f>IF(OR(E1364="",E1364="!!!",F1364="NEW"),"",INDEX(B$2:B1363,-1+SUMPRODUCT(MAX(ROW(E$2:E1363)*(E1364=E$2:E1363)))))</f>
        <v/>
      </c>
      <c r="J1364" s="24" t="str">
        <f ca="1">IF(OR(E1364="",E1364="!!!",F1364="NEW"),"",COUNTBLANK(OFFSET(A$1,,,SUMPRODUCT(MAX(ROW(E$2:E1364)*(E1364=E$2:E1364)))))-COUNTBLANK(OFFSET(A$1,,,SUMPRODUCT(MAX(ROW(E$1:E1363)*(E2=E$1:E1363))))))</f>
        <v/>
      </c>
      <c r="K1364" s="24" t="str">
        <f>IF(OR(E1364="",E1364="!!!",F1364="NEW"),"",INDEX(J$1:J1363,SUMPRODUCT(MAX(ROW(E$1:E1363)*(E1364=E$1:E1363)))))</f>
        <v/>
      </c>
      <c r="L1364" s="25"/>
    </row>
    <row r="1365" spans="1:12" x14ac:dyDescent="0.3">
      <c r="A1365" t="s">
        <v>938</v>
      </c>
      <c r="B1365" s="26" t="s">
        <v>354</v>
      </c>
      <c r="C1365" s="26" t="s">
        <v>355</v>
      </c>
      <c r="E1365" s="20" t="str">
        <f t="shared" si="152"/>
        <v/>
      </c>
      <c r="F1365" s="21" t="str">
        <f>IF(OR(E1365="",E1365="!!!"),"",IF(NOT(ISNA(VLOOKUP(E1365,E$1:E1364,1,FALSE()))),"OLD",IF(AND(E1365&lt;&gt;"",E1365&lt;&gt;"!!!"),"NEW","")))</f>
        <v/>
      </c>
      <c r="G1365" s="22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23" t="str">
        <f t="shared" ca="1" si="153"/>
        <v/>
      </c>
      <c r="I1365" s="24" t="str">
        <f>IF(OR(E1365="",E1365="!!!",F1365="NEW"),"",INDEX(B$2:B1364,-1+SUMPRODUCT(MAX(ROW(E$2:E1364)*(E1365=E$2:E1364)))))</f>
        <v/>
      </c>
      <c r="J1365" s="24" t="str">
        <f ca="1">IF(OR(E1365="",E1365="!!!",F1365="NEW"),"",COUNTBLANK(OFFSET(A$1,,,SUMPRODUCT(MAX(ROW(E$2:E1365)*(E1365=E$2:E1365)))))-COUNTBLANK(OFFSET(A$1,,,SUMPRODUCT(MAX(ROW(E$1:E1364)*(E2=E$1:E1364))))))</f>
        <v/>
      </c>
      <c r="K1365" s="24" t="str">
        <f>IF(OR(E1365="",E1365="!!!",F1365="NEW"),"",INDEX(J$1:J1364,SUMPRODUCT(MAX(ROW(E$1:E1364)*(E1365=E$1:E1364)))))</f>
        <v/>
      </c>
      <c r="L1365" s="25"/>
    </row>
    <row r="1366" spans="1:12" x14ac:dyDescent="0.3">
      <c r="A1366" t="s">
        <v>939</v>
      </c>
      <c r="E1366" s="20" t="str">
        <f t="shared" si="152"/>
        <v/>
      </c>
      <c r="F1366" s="21" t="str">
        <f>IF(OR(E1366="",E1366="!!!"),"",IF(NOT(ISNA(VLOOKUP(E1366,E$1:E1365,1,FALSE()))),"OLD",IF(AND(E1366&lt;&gt;"",E1366&lt;&gt;"!!!"),"NEW","")))</f>
        <v/>
      </c>
      <c r="G1366" s="22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3" t="str">
        <f t="shared" ca="1" si="153"/>
        <v/>
      </c>
      <c r="I1366" s="24" t="str">
        <f>IF(OR(E1366="",E1366="!!!",F1366="NEW"),"",INDEX(B$2:B1365,-1+SUMPRODUCT(MAX(ROW(E$2:E1365)*(E1366=E$2:E1365)))))</f>
        <v/>
      </c>
      <c r="J1366" s="24" t="str">
        <f ca="1">IF(OR(E1366="",E1366="!!!",F1366="NEW"),"",COUNTBLANK(OFFSET(A$1,,,SUMPRODUCT(MAX(ROW(E$2:E1366)*(E1366=E$2:E1366)))))-COUNTBLANK(OFFSET(A$1,,,SUMPRODUCT(MAX(ROW(E$1:E1365)*(E2=E$1:E1365))))))</f>
        <v/>
      </c>
      <c r="K1366" s="24" t="str">
        <f>IF(OR(E1366="",E1366="!!!",F1366="NEW"),"",INDEX(J$1:J1365,SUMPRODUCT(MAX(ROW(E$1:E1365)*(E1366=E$1:E1365)))))</f>
        <v/>
      </c>
      <c r="L1366" s="25"/>
    </row>
    <row r="1367" spans="1:12" x14ac:dyDescent="0.3">
      <c r="A1367" t="s">
        <v>380</v>
      </c>
      <c r="E1367" s="20" t="str">
        <f t="shared" si="152"/>
        <v/>
      </c>
      <c r="F1367" s="21" t="str">
        <f>IF(OR(E1367="",E1367="!!!"),"",IF(NOT(ISNA(VLOOKUP(E1367,E$1:E1366,1,FALSE()))),"OLD",IF(AND(E1367&lt;&gt;"",E1367&lt;&gt;"!!!"),"NEW","")))</f>
        <v/>
      </c>
      <c r="G1367" s="22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3" t="str">
        <f t="shared" ca="1" si="153"/>
        <v/>
      </c>
      <c r="I1367" s="24" t="str">
        <f>IF(OR(E1367="",E1367="!!!",F1367="NEW"),"",INDEX(B$2:B1366,-1+SUMPRODUCT(MAX(ROW(E$2:E1366)*(E1367=E$2:E1366)))))</f>
        <v/>
      </c>
      <c r="J1367" s="24" t="str">
        <f ca="1">IF(OR(E1367="",E1367="!!!",F1367="NEW"),"",COUNTBLANK(OFFSET(A$1,,,SUMPRODUCT(MAX(ROW(E$2:E1367)*(E1367=E$2:E1367)))))-COUNTBLANK(OFFSET(A$1,,,SUMPRODUCT(MAX(ROW(E$1:E1366)*(E2=E$1:E1366))))))</f>
        <v/>
      </c>
      <c r="K1367" s="24" t="str">
        <f>IF(OR(E1367="",E1367="!!!",F1367="NEW"),"",INDEX(J$1:J1366,SUMPRODUCT(MAX(ROW(E$1:E1366)*(E1367=E$1:E1366)))))</f>
        <v/>
      </c>
      <c r="L1367" s="25"/>
    </row>
    <row r="1368" spans="1:12" x14ac:dyDescent="0.3">
      <c r="A1368" t="s">
        <v>582</v>
      </c>
      <c r="E1368" s="20" t="str">
        <f t="shared" si="152"/>
        <v/>
      </c>
      <c r="F1368" s="21" t="str">
        <f>IF(OR(E1368="",E1368="!!!"),"",IF(NOT(ISNA(VLOOKUP(E1368,E$1:E1367,1,FALSE()))),"OLD",IF(AND(E1368&lt;&gt;"",E1368&lt;&gt;"!!!"),"NEW","")))</f>
        <v/>
      </c>
      <c r="G1368" s="22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3" t="str">
        <f t="shared" ca="1" si="153"/>
        <v/>
      </c>
      <c r="I1368" s="24" t="str">
        <f>IF(OR(E1368="",E1368="!!!",F1368="NEW"),"",INDEX(B$2:B1367,-1+SUMPRODUCT(MAX(ROW(E$2:E1367)*(E1368=E$2:E1367)))))</f>
        <v/>
      </c>
      <c r="J1368" s="24" t="str">
        <f ca="1">IF(OR(E1368="",E1368="!!!",F1368="NEW"),"",COUNTBLANK(OFFSET(A$1,,,SUMPRODUCT(MAX(ROW(E$2:E1368)*(E1368=E$2:E1368)))))-COUNTBLANK(OFFSET(A$1,,,SUMPRODUCT(MAX(ROW(E$1:E1367)*(E2=E$1:E1367))))))</f>
        <v/>
      </c>
      <c r="K1368" s="24" t="str">
        <f>IF(OR(E1368="",E1368="!!!",F1368="NEW"),"",INDEX(J$1:J1367,SUMPRODUCT(MAX(ROW(E$1:E1367)*(E1368=E$1:E1367)))))</f>
        <v/>
      </c>
      <c r="L1368" s="25"/>
    </row>
    <row r="1369" spans="1:12" x14ac:dyDescent="0.3">
      <c r="A1369" t="s">
        <v>940</v>
      </c>
      <c r="B1369" s="26" t="s">
        <v>357</v>
      </c>
      <c r="C1369" s="26" t="s">
        <v>331</v>
      </c>
      <c r="D1369" s="26" t="s">
        <v>332</v>
      </c>
      <c r="E1369" s="20" t="str">
        <f t="shared" si="152"/>
        <v>!!!</v>
      </c>
      <c r="F1369" s="21" t="str">
        <f>IF(OR(E1369="",E1369="!!!"),"",IF(NOT(ISNA(VLOOKUP(E1369,E$1:E1368,1,FALSE()))),"OLD",IF(AND(E1369&lt;&gt;"",E1369&lt;&gt;"!!!"),"NEW","")))</f>
        <v/>
      </c>
      <c r="G1369" s="22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3" t="str">
        <f t="shared" ca="1" si="153"/>
        <v/>
      </c>
      <c r="I1369" s="24" t="str">
        <f>IF(OR(E1369="",E1369="!!!",F1369="NEW"),"",INDEX(B$2:B1368,-1+SUMPRODUCT(MAX(ROW(E$2:E1368)*(E1369=E$2:E1368)))))</f>
        <v/>
      </c>
      <c r="J1369" s="24" t="str">
        <f ca="1">IF(OR(E1369="",E1369="!!!",F1369="NEW"),"",COUNTBLANK(OFFSET(A$1,,,SUMPRODUCT(MAX(ROW(E$2:E1369)*(E1369=E$2:E1369)))))-COUNTBLANK(OFFSET(A$1,,,SUMPRODUCT(MAX(ROW(E$1:E1368)*(E2=E$1:E1368))))))</f>
        <v/>
      </c>
      <c r="K1369" s="24" t="str">
        <f>IF(OR(E1369="",E1369="!!!",F1369="NEW"),"",INDEX(J$1:J1368,SUMPRODUCT(MAX(ROW(E$1:E1368)*(E1369=E$1:E1368)))))</f>
        <v/>
      </c>
      <c r="L1369" s="25"/>
    </row>
    <row r="1370" spans="1:12" x14ac:dyDescent="0.3">
      <c r="A1370" t="s">
        <v>941</v>
      </c>
      <c r="E1370" s="20" t="str">
        <f t="shared" si="152"/>
        <v/>
      </c>
      <c r="F1370" s="21" t="str">
        <f>IF(OR(E1370="",E1370="!!!"),"",IF(NOT(ISNA(VLOOKUP(E1370,E$1:E1369,1,FALSE()))),"OLD",IF(AND(E1370&lt;&gt;"",E1370&lt;&gt;"!!!"),"NEW","")))</f>
        <v/>
      </c>
      <c r="G1370" s="22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3" t="str">
        <f t="shared" ca="1" si="153"/>
        <v/>
      </c>
      <c r="I1370" s="24" t="str">
        <f>IF(OR(E1370="",E1370="!!!",F1370="NEW"),"",INDEX(B$2:B1369,-1+SUMPRODUCT(MAX(ROW(E$2:E1369)*(E1370=E$2:E1369)))))</f>
        <v/>
      </c>
      <c r="J1370" s="24" t="str">
        <f ca="1">IF(OR(E1370="",E1370="!!!",F1370="NEW"),"",COUNTBLANK(OFFSET(A$1,,,SUMPRODUCT(MAX(ROW(E$2:E1370)*(E1370=E$2:E1370)))))-COUNTBLANK(OFFSET(A$1,,,SUMPRODUCT(MAX(ROW(E$1:E1369)*(E2=E$1:E1369))))))</f>
        <v/>
      </c>
      <c r="K1370" s="24" t="str">
        <f>IF(OR(E1370="",E1370="!!!",F1370="NEW"),"",INDEX(J$1:J1369,SUMPRODUCT(MAX(ROW(E$1:E1369)*(E1370=E$1:E1369)))))</f>
        <v/>
      </c>
      <c r="L1370" s="25"/>
    </row>
    <row r="1371" spans="1:12" x14ac:dyDescent="0.3">
      <c r="A1371" t="s">
        <v>942</v>
      </c>
      <c r="B1371" s="26" t="s">
        <v>354</v>
      </c>
      <c r="C1371" s="26" t="s">
        <v>366</v>
      </c>
      <c r="E1371" s="20" t="str">
        <f t="shared" si="152"/>
        <v/>
      </c>
      <c r="F1371" s="21" t="str">
        <f>IF(OR(E1371="",E1371="!!!"),"",IF(NOT(ISNA(VLOOKUP(E1371,E$1:E1370,1,FALSE()))),"OLD",IF(AND(E1371&lt;&gt;"",E1371&lt;&gt;"!!!"),"NEW","")))</f>
        <v/>
      </c>
      <c r="G1371" s="22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3" t="str">
        <f t="shared" ca="1" si="153"/>
        <v/>
      </c>
      <c r="I1371" s="24" t="str">
        <f>IF(OR(E1371="",E1371="!!!",F1371="NEW"),"",INDEX(B$2:B1370,-1+SUMPRODUCT(MAX(ROW(E$2:E1370)*(E1371=E$2:E1370)))))</f>
        <v/>
      </c>
      <c r="J1371" s="24" t="str">
        <f ca="1">IF(OR(E1371="",E1371="!!!",F1371="NEW"),"",COUNTBLANK(OFFSET(A$1,,,SUMPRODUCT(MAX(ROW(E$2:E1371)*(E1371=E$2:E1371)))))-COUNTBLANK(OFFSET(A$1,,,SUMPRODUCT(MAX(ROW(E$1:E1370)*(E2=E$1:E1370))))))</f>
        <v/>
      </c>
      <c r="K1371" s="24" t="str">
        <f>IF(OR(E1371="",E1371="!!!",F1371="NEW"),"",INDEX(J$1:J1370,SUMPRODUCT(MAX(ROW(E$1:E1370)*(E1371=E$1:E1370)))))</f>
        <v/>
      </c>
      <c r="L1371" s="25"/>
    </row>
    <row r="1372" spans="1:12" x14ac:dyDescent="0.3">
      <c r="A1372" t="s">
        <v>463</v>
      </c>
      <c r="E1372" s="20" t="str">
        <f t="shared" si="152"/>
        <v/>
      </c>
      <c r="F1372" s="21" t="str">
        <f>IF(OR(E1372="",E1372="!!!"),"",IF(NOT(ISNA(VLOOKUP(E1372,E$1:E1371,1,FALSE()))),"OLD",IF(AND(E1372&lt;&gt;"",E1372&lt;&gt;"!!!"),"NEW","")))</f>
        <v/>
      </c>
      <c r="G1372" s="22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3" t="str">
        <f t="shared" ca="1" si="153"/>
        <v/>
      </c>
      <c r="I1372" s="24" t="str">
        <f>IF(OR(E1372="",E1372="!!!",F1372="NEW"),"",INDEX(B$2:B1371,-1+SUMPRODUCT(MAX(ROW(E$2:E1371)*(E1372=E$2:E1371)))))</f>
        <v/>
      </c>
      <c r="J1372" s="24" t="str">
        <f ca="1">IF(OR(E1372="",E1372="!!!",F1372="NEW"),"",COUNTBLANK(OFFSET(A$1,,,SUMPRODUCT(MAX(ROW(E$2:E1372)*(E1372=E$2:E1372)))))-COUNTBLANK(OFFSET(A$1,,,SUMPRODUCT(MAX(ROW(E$1:E1371)*(E2=E$1:E1371))))))</f>
        <v/>
      </c>
      <c r="K1372" s="24" t="str">
        <f>IF(OR(E1372="",E1372="!!!",F1372="NEW"),"",INDEX(J$1:J1371,SUMPRODUCT(MAX(ROW(E$1:E1371)*(E1372=E$1:E1371)))))</f>
        <v/>
      </c>
      <c r="L1372" s="25"/>
    </row>
    <row r="1373" spans="1:12" x14ac:dyDescent="0.3">
      <c r="A1373" t="s">
        <v>943</v>
      </c>
      <c r="B1373" s="26" t="s">
        <v>362</v>
      </c>
      <c r="C1373" s="26" t="s">
        <v>331</v>
      </c>
      <c r="D1373" s="26" t="s">
        <v>332</v>
      </c>
      <c r="E1373" s="20" t="str">
        <f t="shared" si="152"/>
        <v>!!!</v>
      </c>
      <c r="F1373" s="21" t="str">
        <f>IF(OR(E1373="",E1373="!!!"),"",IF(NOT(ISNA(VLOOKUP(E1373,E$1:E1372,1,FALSE()))),"OLD",IF(AND(E1373&lt;&gt;"",E1373&lt;&gt;"!!!"),"NEW","")))</f>
        <v/>
      </c>
      <c r="G1373" s="22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3" t="str">
        <f t="shared" ca="1" si="153"/>
        <v/>
      </c>
      <c r="I1373" s="24" t="str">
        <f>IF(OR(E1373="",E1373="!!!",F1373="NEW"),"",INDEX(B$2:B1372,-1+SUMPRODUCT(MAX(ROW(E$2:E1372)*(E1373=E$2:E1372)))))</f>
        <v/>
      </c>
      <c r="J1373" s="24" t="str">
        <f ca="1">IF(OR(E1373="",E1373="!!!",F1373="NEW"),"",COUNTBLANK(OFFSET(A$1,,,SUMPRODUCT(MAX(ROW(E$2:E1373)*(E1373=E$2:E1373)))))-COUNTBLANK(OFFSET(A$1,,,SUMPRODUCT(MAX(ROW(E$1:E1372)*(E2=E$1:E1372))))))</f>
        <v/>
      </c>
      <c r="K1373" s="24" t="str">
        <f>IF(OR(E1373="",E1373="!!!",F1373="NEW"),"",INDEX(J$1:J1372,SUMPRODUCT(MAX(ROW(E$1:E1372)*(E1373=E$1:E1372)))))</f>
        <v/>
      </c>
      <c r="L1373" s="25"/>
    </row>
    <row r="1374" spans="1:12" x14ac:dyDescent="0.3">
      <c r="A1374" t="s">
        <v>410</v>
      </c>
      <c r="E1374" s="20" t="str">
        <f t="shared" si="152"/>
        <v/>
      </c>
      <c r="F1374" s="21" t="str">
        <f>IF(OR(E1374="",E1374="!!!"),"",IF(NOT(ISNA(VLOOKUP(E1374,E$1:E1373,1,FALSE()))),"OLD",IF(AND(E1374&lt;&gt;"",E1374&lt;&gt;"!!!"),"NEW","")))</f>
        <v/>
      </c>
      <c r="G1374" s="22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3" t="str">
        <f t="shared" ca="1" si="153"/>
        <v/>
      </c>
      <c r="I1374" s="24" t="str">
        <f>IF(OR(E1374="",E1374="!!!",F1374="NEW"),"",INDEX(B$2:B1373,-1+SUMPRODUCT(MAX(ROW(E$2:E1373)*(E1374=E$2:E1373)))))</f>
        <v/>
      </c>
      <c r="J1374" s="24" t="str">
        <f ca="1">IF(OR(E1374="",E1374="!!!",F1374="NEW"),"",COUNTBLANK(OFFSET(A$1,,,SUMPRODUCT(MAX(ROW(E$2:E1374)*(E1374=E$2:E1374)))))-COUNTBLANK(OFFSET(A$1,,,SUMPRODUCT(MAX(ROW(E$1:E1373)*(E2=E$1:E1373))))))</f>
        <v/>
      </c>
      <c r="K1374" s="24" t="str">
        <f>IF(OR(E1374="",E1374="!!!",F1374="NEW"),"",INDEX(J$1:J1373,SUMPRODUCT(MAX(ROW(E$1:E1373)*(E1374=E$1:E1373)))))</f>
        <v/>
      </c>
      <c r="L1374" s="25"/>
    </row>
    <row r="1375" spans="1:12" x14ac:dyDescent="0.3">
      <c r="A1375" t="s">
        <v>944</v>
      </c>
      <c r="B1375" s="26" t="s">
        <v>362</v>
      </c>
      <c r="C1375" s="26" t="s">
        <v>358</v>
      </c>
      <c r="E1375" s="20" t="str">
        <f t="shared" si="152"/>
        <v/>
      </c>
      <c r="F1375" s="21" t="str">
        <f>IF(OR(E1375="",E1375="!!!"),"",IF(NOT(ISNA(VLOOKUP(E1375,E$1:E1374,1,FALSE()))),"OLD",IF(AND(E1375&lt;&gt;"",E1375&lt;&gt;"!!!"),"NEW","")))</f>
        <v/>
      </c>
      <c r="G1375" s="22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3" t="str">
        <f t="shared" ca="1" si="153"/>
        <v/>
      </c>
      <c r="I1375" s="24" t="str">
        <f>IF(OR(E1375="",E1375="!!!",F1375="NEW"),"",INDEX(B$2:B1374,-1+SUMPRODUCT(MAX(ROW(E$2:E1374)*(E1375=E$2:E1374)))))</f>
        <v/>
      </c>
      <c r="J1375" s="24" t="str">
        <f ca="1">IF(OR(E1375="",E1375="!!!",F1375="NEW"),"",COUNTBLANK(OFFSET(A$1,,,SUMPRODUCT(MAX(ROW(E$2:E1375)*(E1375=E$2:E1375)))))-COUNTBLANK(OFFSET(A$1,,,SUMPRODUCT(MAX(ROW(E$1:E1374)*(E2=E$1:E1374))))))</f>
        <v/>
      </c>
      <c r="K1375" s="24" t="str">
        <f>IF(OR(E1375="",E1375="!!!",F1375="NEW"),"",INDEX(J$1:J1374,SUMPRODUCT(MAX(ROW(E$1:E1374)*(E1375=E$1:E1374)))))</f>
        <v/>
      </c>
      <c r="L1375" s="25"/>
    </row>
    <row r="1376" spans="1:12" x14ac:dyDescent="0.3">
      <c r="A1376" t="s">
        <v>351</v>
      </c>
      <c r="E1376" s="20" t="str">
        <f t="shared" si="152"/>
        <v/>
      </c>
      <c r="F1376" s="21" t="str">
        <f>IF(OR(E1376="",E1376="!!!"),"",IF(NOT(ISNA(VLOOKUP(E1376,E$1:E1375,1,FALSE()))),"OLD",IF(AND(E1376&lt;&gt;"",E1376&lt;&gt;"!!!"),"NEW","")))</f>
        <v/>
      </c>
      <c r="G1376" s="22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3" t="str">
        <f t="shared" ca="1" si="153"/>
        <v/>
      </c>
      <c r="I1376" s="24" t="str">
        <f>IF(OR(E1376="",E1376="!!!",F1376="NEW"),"",INDEX(B$2:B1375,-1+SUMPRODUCT(MAX(ROW(E$2:E1375)*(E1376=E$2:E1375)))))</f>
        <v/>
      </c>
      <c r="J1376" s="24" t="str">
        <f ca="1">IF(OR(E1376="",E1376="!!!",F1376="NEW"),"",COUNTBLANK(OFFSET(A$1,,,SUMPRODUCT(MAX(ROW(E$2:E1376)*(E1376=E$2:E1376)))))-COUNTBLANK(OFFSET(A$1,,,SUMPRODUCT(MAX(ROW(E$1:E1375)*(E2=E$1:E1375))))))</f>
        <v/>
      </c>
      <c r="K1376" s="24" t="str">
        <f>IF(OR(E1376="",E1376="!!!",F1376="NEW"),"",INDEX(J$1:J1375,SUMPRODUCT(MAX(ROW(E$1:E1375)*(E1376=E$1:E1375)))))</f>
        <v/>
      </c>
      <c r="L1376" s="25"/>
    </row>
    <row r="1377" spans="1:12" x14ac:dyDescent="0.3">
      <c r="A1377" t="s">
        <v>945</v>
      </c>
      <c r="B1377" s="26" t="s">
        <v>515</v>
      </c>
      <c r="C1377" s="26" t="s">
        <v>358</v>
      </c>
      <c r="E1377" s="20" t="str">
        <f t="shared" si="152"/>
        <v/>
      </c>
      <c r="F1377" s="21" t="str">
        <f>IF(OR(E1377="",E1377="!!!"),"",IF(NOT(ISNA(VLOOKUP(E1377,E$1:E1376,1,FALSE()))),"OLD",IF(AND(E1377&lt;&gt;"",E1377&lt;&gt;"!!!"),"NEW","")))</f>
        <v/>
      </c>
      <c r="G1377" s="22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3" t="str">
        <f t="shared" ca="1" si="153"/>
        <v/>
      </c>
      <c r="I1377" s="24" t="str">
        <f>IF(OR(E1377="",E1377="!!!",F1377="NEW"),"",INDEX(B$2:B1376,-1+SUMPRODUCT(MAX(ROW(E$2:E1376)*(E1377=E$2:E1376)))))</f>
        <v/>
      </c>
      <c r="J1377" s="24" t="str">
        <f ca="1">IF(OR(E1377="",E1377="!!!",F1377="NEW"),"",COUNTBLANK(OFFSET(A$1,,,SUMPRODUCT(MAX(ROW(E$2:E1377)*(E1377=E$2:E1377)))))-COUNTBLANK(OFFSET(A$1,,,SUMPRODUCT(MAX(ROW(E$1:E1376)*(E2=E$1:E1376))))))</f>
        <v/>
      </c>
      <c r="K1377" s="24" t="str">
        <f>IF(OR(E1377="",E1377="!!!",F1377="NEW"),"",INDEX(J$1:J1376,SUMPRODUCT(MAX(ROW(E$1:E1376)*(E1377=E$1:E1376)))))</f>
        <v/>
      </c>
      <c r="L1377" s="25"/>
    </row>
    <row r="1378" spans="1:12" x14ac:dyDescent="0.3">
      <c r="A1378" t="s">
        <v>385</v>
      </c>
      <c r="E1378" s="20" t="str">
        <f t="shared" si="152"/>
        <v/>
      </c>
      <c r="F1378" s="21" t="str">
        <f>IF(OR(E1378="",E1378="!!!"),"",IF(NOT(ISNA(VLOOKUP(E1378,E$1:E1377,1,FALSE()))),"OLD",IF(AND(E1378&lt;&gt;"",E1378&lt;&gt;"!!!"),"NEW","")))</f>
        <v/>
      </c>
      <c r="G1378" s="22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3" t="str">
        <f t="shared" ca="1" si="153"/>
        <v/>
      </c>
      <c r="I1378" s="24" t="str">
        <f>IF(OR(E1378="",E1378="!!!",F1378="NEW"),"",INDEX(B$2:B1377,-1+SUMPRODUCT(MAX(ROW(E$2:E1377)*(E1378=E$2:E1377)))))</f>
        <v/>
      </c>
      <c r="J1378" s="24" t="str">
        <f ca="1">IF(OR(E1378="",E1378="!!!",F1378="NEW"),"",COUNTBLANK(OFFSET(A$1,,,SUMPRODUCT(MAX(ROW(E$2:E1378)*(E1378=E$2:E1378)))))-COUNTBLANK(OFFSET(A$1,,,SUMPRODUCT(MAX(ROW(E$1:E1377)*(E2=E$1:E1377))))))</f>
        <v/>
      </c>
      <c r="K1378" s="24" t="str">
        <f>IF(OR(E1378="",E1378="!!!",F1378="NEW"),"",INDEX(J$1:J1377,SUMPRODUCT(MAX(ROW(E$1:E1377)*(E1378=E$1:E1377)))))</f>
        <v/>
      </c>
      <c r="L1378" s="25"/>
    </row>
    <row r="1379" spans="1:12" x14ac:dyDescent="0.3">
      <c r="A1379" t="s">
        <v>946</v>
      </c>
      <c r="E1379" s="20" t="str">
        <f t="shared" si="152"/>
        <v/>
      </c>
      <c r="F1379" s="21" t="str">
        <f>IF(OR(E1379="",E1379="!!!"),"",IF(NOT(ISNA(VLOOKUP(E1379,E$1:E1378,1,FALSE()))),"OLD",IF(AND(E1379&lt;&gt;"",E1379&lt;&gt;"!!!"),"NEW","")))</f>
        <v/>
      </c>
      <c r="G1379" s="22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/>
      </c>
      <c r="H1379" s="23" t="str">
        <f t="shared" ca="1" si="153"/>
        <v/>
      </c>
      <c r="I1379" s="24" t="str">
        <f>IF(OR(E1379="",E1379="!!!",F1379="NEW"),"",INDEX(B$2:B1378,-1+SUMPRODUCT(MAX(ROW(E$2:E1378)*(E1379=E$2:E1378)))))</f>
        <v/>
      </c>
      <c r="J1379" s="24" t="str">
        <f ca="1">IF(OR(E1379="",E1379="!!!",F1379="NEW"),"",COUNTBLANK(OFFSET(A$1,,,SUMPRODUCT(MAX(ROW(E$2:E1379)*(E1379=E$2:E1379)))))-COUNTBLANK(OFFSET(A$1,,,SUMPRODUCT(MAX(ROW(E$1:E1378)*(E2=E$1:E1378))))))</f>
        <v/>
      </c>
      <c r="K1379" s="24" t="str">
        <f>IF(OR(E1379="",E1379="!!!",F1379="NEW"),"",INDEX(J$1:J1378,SUMPRODUCT(MAX(ROW(E$1:E1378)*(E1379=E$1:E1378)))))</f>
        <v/>
      </c>
      <c r="L1379" s="25"/>
    </row>
    <row r="1380" spans="1:12" x14ac:dyDescent="0.3">
      <c r="A1380" t="s">
        <v>620</v>
      </c>
      <c r="B1380" s="26" t="s">
        <v>515</v>
      </c>
      <c r="C1380" s="26" t="s">
        <v>355</v>
      </c>
      <c r="E1380" s="20" t="str">
        <f t="shared" si="152"/>
        <v/>
      </c>
      <c r="F1380" s="21" t="str">
        <f>IF(OR(E1380="",E1380="!!!"),"",IF(NOT(ISNA(VLOOKUP(E1380,E$1:E1379,1,FALSE()))),"OLD",IF(AND(E1380&lt;&gt;"",E1380&lt;&gt;"!!!"),"NEW","")))</f>
        <v/>
      </c>
      <c r="G1380" s="22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3" t="str">
        <f t="shared" ca="1" si="153"/>
        <v/>
      </c>
      <c r="I1380" s="24" t="str">
        <f>IF(OR(E1380="",E1380="!!!",F1380="NEW"),"",INDEX(B$2:B1379,-1+SUMPRODUCT(MAX(ROW(E$2:E1379)*(E1380=E$2:E1379)))))</f>
        <v/>
      </c>
      <c r="J1380" s="24" t="str">
        <f ca="1">IF(OR(E1380="",E1380="!!!",F1380="NEW"),"",COUNTBLANK(OFFSET(A$1,,,SUMPRODUCT(MAX(ROW(E$2:E1380)*(E1380=E$2:E1380)))))-COUNTBLANK(OFFSET(A$1,,,SUMPRODUCT(MAX(ROW(E$1:E1379)*(E2=E$1:E1379))))))</f>
        <v/>
      </c>
      <c r="K1380" s="24" t="str">
        <f>IF(OR(E1380="",E1380="!!!",F1380="NEW"),"",INDEX(J$1:J1379,SUMPRODUCT(MAX(ROW(E$1:E1379)*(E1380=E$1:E1379)))))</f>
        <v/>
      </c>
      <c r="L1380" s="25"/>
    </row>
    <row r="1381" spans="1:12" x14ac:dyDescent="0.3">
      <c r="A1381" t="s">
        <v>338</v>
      </c>
      <c r="E1381" s="20" t="str">
        <f t="shared" si="152"/>
        <v/>
      </c>
      <c r="F1381" s="21" t="str">
        <f>IF(OR(E1381="",E1381="!!!"),"",IF(NOT(ISNA(VLOOKUP(E1381,E$1:E1380,1,FALSE()))),"OLD",IF(AND(E1381&lt;&gt;"",E1381&lt;&gt;"!!!"),"NEW","")))</f>
        <v/>
      </c>
      <c r="G1381" s="22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3" t="str">
        <f t="shared" ca="1" si="153"/>
        <v/>
      </c>
      <c r="I1381" s="24" t="str">
        <f>IF(OR(E1381="",E1381="!!!",F1381="NEW"),"",INDEX(B$2:B1380,-1+SUMPRODUCT(MAX(ROW(E$2:E1380)*(E1381=E$2:E1380)))))</f>
        <v/>
      </c>
      <c r="J1381" s="24" t="str">
        <f ca="1">IF(OR(E1381="",E1381="!!!",F1381="NEW"),"",COUNTBLANK(OFFSET(A$1,,,SUMPRODUCT(MAX(ROW(E$2:E1381)*(E1381=E$2:E1381)))))-COUNTBLANK(OFFSET(A$1,,,SUMPRODUCT(MAX(ROW(E$1:E1380)*(E2=E$1:E1380))))))</f>
        <v/>
      </c>
      <c r="K1381" s="24" t="str">
        <f>IF(OR(E1381="",E1381="!!!",F1381="NEW"),"",INDEX(J$1:J1380,SUMPRODUCT(MAX(ROW(E$1:E1380)*(E1381=E$1:E1380)))))</f>
        <v/>
      </c>
      <c r="L1381" s="25"/>
    </row>
    <row r="1383" spans="1:12" x14ac:dyDescent="0.3">
      <c r="A1383" t="s">
        <v>573</v>
      </c>
      <c r="E1383" s="20" t="str">
        <f>IF(D1383="?OLD","!!!","")</f>
        <v/>
      </c>
      <c r="F1383" s="21" t="str">
        <f>IF(OR(E1383="",E1383="!!!"),"",IF(NOT(ISNA(VLOOKUP(E1383,E$1:E1382,1,FALSE()))),"OLD",IF(AND(E1383&lt;&gt;"",E1383&lt;&gt;"!!!"),"NEW","")))</f>
        <v/>
      </c>
      <c r="G1383" s="22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3" t="str">
        <f ca="1">IF(J1383&lt;&gt;1,"",IF(I1383="SBJ","CB","?"))</f>
        <v/>
      </c>
      <c r="I1383" s="24" t="str">
        <f>IF(OR(E1383="",E1383="!!!",F1383="NEW"),"",INDEX(B$2:B1382,-1+SUMPRODUCT(MAX(ROW(E$2:E1382)*(E1383=E$2:E1382)))))</f>
        <v/>
      </c>
      <c r="J1383" s="24" t="str">
        <f ca="1">IF(OR(E1383="",E1383="!!!",F1383="NEW"),"",COUNTBLANK(OFFSET(A$1,,,SUMPRODUCT(MAX(ROW(E$2:E1383)*(E1383=E$2:E1383)))))-COUNTBLANK(OFFSET(A$1,,,SUMPRODUCT(MAX(ROW(E$1:E1382)*(E2=E$1:E1382))))))</f>
        <v/>
      </c>
      <c r="K1383" s="24" t="str">
        <f>IF(OR(E1383="",E1383="!!!",F1383="NEW"),"",INDEX(J$1:J1382,SUMPRODUCT(MAX(ROW(E$1:E1382)*(E1383=E$1:E1382)))))</f>
        <v/>
      </c>
      <c r="L1383" s="25"/>
    </row>
    <row r="1384" spans="1:12" x14ac:dyDescent="0.3">
      <c r="A1384" t="s">
        <v>947</v>
      </c>
    </row>
    <row r="1385" spans="1:12" x14ac:dyDescent="0.3">
      <c r="A1385" t="s">
        <v>893</v>
      </c>
      <c r="E1385" s="20" t="str">
        <f t="shared" ref="E1385:E1391" si="154">IF(D1385="?OLD","!!!","")</f>
        <v/>
      </c>
      <c r="F1385" s="21" t="str">
        <f>IF(OR(E1385="",E1385="!!!"),"",IF(NOT(ISNA(VLOOKUP(E1385,E$1:E1384,1,FALSE()))),"OLD",IF(AND(E1385&lt;&gt;"",E1385&lt;&gt;"!!!"),"NEW","")))</f>
        <v/>
      </c>
      <c r="G1385" s="22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3" t="str">
        <f t="shared" ref="H1385:H1391" ca="1" si="155">IF(J1385&lt;&gt;1,"",IF(I1385="SBJ","CB","?"))</f>
        <v/>
      </c>
      <c r="I1385" s="24" t="str">
        <f>IF(OR(E1385="",E1385="!!!",F1385="NEW"),"",INDEX(B$2:B1384,-1+SUMPRODUCT(MAX(ROW(E$2:E1384)*(E1385=E$2:E1384)))))</f>
        <v/>
      </c>
      <c r="J1385" s="24" t="str">
        <f ca="1">IF(OR(E1385="",E1385="!!!",F1385="NEW"),"",COUNTBLANK(OFFSET(A$1,,,SUMPRODUCT(MAX(ROW(E$2:E1385)*(E1385=E$2:E1385)))))-COUNTBLANK(OFFSET(A$1,,,SUMPRODUCT(MAX(ROW(E$1:E1384)*(E2=E$1:E1384))))))</f>
        <v/>
      </c>
      <c r="K1385" s="24" t="str">
        <f>IF(OR(E1385="",E1385="!!!",F1385="NEW"),"",INDEX(J$1:J1384,SUMPRODUCT(MAX(ROW(E$1:E1384)*(E1385=E$1:E1384)))))</f>
        <v/>
      </c>
      <c r="L1385" s="25"/>
    </row>
    <row r="1386" spans="1:12" x14ac:dyDescent="0.3">
      <c r="A1386" t="s">
        <v>333</v>
      </c>
      <c r="E1386" s="20" t="str">
        <f t="shared" si="154"/>
        <v/>
      </c>
      <c r="F1386" s="21" t="str">
        <f>IF(OR(E1386="",E1386="!!!"),"",IF(NOT(ISNA(VLOOKUP(E1386,E$1:E1385,1,FALSE()))),"OLD",IF(AND(E1386&lt;&gt;"",E1386&lt;&gt;"!!!"),"NEW","")))</f>
        <v/>
      </c>
      <c r="G1386" s="22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3" t="str">
        <f t="shared" ca="1" si="155"/>
        <v/>
      </c>
      <c r="I1386" s="24" t="str">
        <f>IF(OR(E1386="",E1386="!!!",F1386="NEW"),"",INDEX(B$2:B1385,-1+SUMPRODUCT(MAX(ROW(E$2:E1385)*(E1386=E$2:E1385)))))</f>
        <v/>
      </c>
      <c r="J1386" s="24" t="str">
        <f ca="1">IF(OR(E1386="",E1386="!!!",F1386="NEW"),"",COUNTBLANK(OFFSET(A$1,,,SUMPRODUCT(MAX(ROW(E$2:E1386)*(E1386=E$2:E1386)))))-COUNTBLANK(OFFSET(A$1,,,SUMPRODUCT(MAX(ROW(E$1:E1385)*(E2=E$1:E1385))))))</f>
        <v/>
      </c>
      <c r="K1386" s="24" t="str">
        <f>IF(OR(E1386="",E1386="!!!",F1386="NEW"),"",INDEX(J$1:J1385,SUMPRODUCT(MAX(ROW(E$1:E1385)*(E1386=E$1:E1385)))))</f>
        <v/>
      </c>
      <c r="L1386" s="25"/>
    </row>
    <row r="1387" spans="1:12" x14ac:dyDescent="0.3">
      <c r="A1387" t="s">
        <v>439</v>
      </c>
      <c r="B1387" s="26" t="s">
        <v>344</v>
      </c>
      <c r="C1387" s="26" t="s">
        <v>438</v>
      </c>
      <c r="D1387" s="26" t="s">
        <v>332</v>
      </c>
      <c r="E1387" s="20" t="str">
        <f t="shared" si="154"/>
        <v>!!!</v>
      </c>
      <c r="F1387" s="21" t="str">
        <f>IF(OR(E1387="",E1387="!!!"),"",IF(NOT(ISNA(VLOOKUP(E1387,E$1:E1386,1,FALSE()))),"OLD",IF(AND(E1387&lt;&gt;"",E1387&lt;&gt;"!!!"),"NEW","")))</f>
        <v/>
      </c>
      <c r="G1387" s="22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3" t="str">
        <f t="shared" ca="1" si="155"/>
        <v/>
      </c>
      <c r="I1387" s="24" t="str">
        <f>IF(OR(E1387="",E1387="!!!",F1387="NEW"),"",INDEX(B$2:B1386,-1+SUMPRODUCT(MAX(ROW(E$2:E1386)*(E1387=E$2:E1386)))))</f>
        <v/>
      </c>
      <c r="J1387" s="24" t="str">
        <f ca="1">IF(OR(E1387="",E1387="!!!",F1387="NEW"),"",COUNTBLANK(OFFSET(A$1,,,SUMPRODUCT(MAX(ROW(E$2:E1387)*(E1387=E$2:E1387)))))-COUNTBLANK(OFFSET(A$1,,,SUMPRODUCT(MAX(ROW(E$1:E1386)*(E2=E$1:E1386))))))</f>
        <v/>
      </c>
      <c r="K1387" s="24" t="str">
        <f>IF(OR(E1387="",E1387="!!!",F1387="NEW"),"",INDEX(J$1:J1386,SUMPRODUCT(MAX(ROW(E$1:E1386)*(E1387=E$1:E1386)))))</f>
        <v/>
      </c>
      <c r="L1387" s="25"/>
    </row>
    <row r="1388" spans="1:12" x14ac:dyDescent="0.3">
      <c r="A1388" t="s">
        <v>569</v>
      </c>
      <c r="B1388" s="26" t="s">
        <v>330</v>
      </c>
      <c r="C1388" s="26" t="s">
        <v>496</v>
      </c>
      <c r="D1388" s="26" t="s">
        <v>332</v>
      </c>
      <c r="E1388" s="20" t="str">
        <f t="shared" si="154"/>
        <v>!!!</v>
      </c>
      <c r="F1388" s="21" t="str">
        <f>IF(OR(E1388="",E1388="!!!"),"",IF(NOT(ISNA(VLOOKUP(E1388,E$1:E1387,1,FALSE()))),"OLD",IF(AND(E1388&lt;&gt;"",E1388&lt;&gt;"!!!"),"NEW","")))</f>
        <v/>
      </c>
      <c r="G1388" s="22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/>
      </c>
      <c r="H1388" s="23" t="str">
        <f t="shared" ca="1" si="155"/>
        <v/>
      </c>
      <c r="I1388" s="24" t="str">
        <f>IF(OR(E1388="",E1388="!!!",F1388="NEW"),"",INDEX(B$2:B1387,-1+SUMPRODUCT(MAX(ROW(E$2:E1387)*(E1388=E$2:E1387)))))</f>
        <v/>
      </c>
      <c r="J1388" s="24" t="str">
        <f ca="1">IF(OR(E1388="",E1388="!!!",F1388="NEW"),"",COUNTBLANK(OFFSET(A$1,,,SUMPRODUCT(MAX(ROW(E$2:E1388)*(E1388=E$2:E1388)))))-COUNTBLANK(OFFSET(A$1,,,SUMPRODUCT(MAX(ROW(E$1:E1387)*(E2=E$1:E1387))))))</f>
        <v/>
      </c>
      <c r="K1388" s="24" t="str">
        <f>IF(OR(E1388="",E1388="!!!",F1388="NEW"),"",INDEX(J$1:J1387,SUMPRODUCT(MAX(ROW(E$1:E1387)*(E1388=E$1:E1387)))))</f>
        <v/>
      </c>
      <c r="L1388" s="25"/>
    </row>
    <row r="1389" spans="1:12" x14ac:dyDescent="0.3">
      <c r="A1389" t="s">
        <v>499</v>
      </c>
      <c r="E1389" s="20" t="str">
        <f t="shared" si="154"/>
        <v/>
      </c>
      <c r="F1389" s="21" t="str">
        <f>IF(OR(E1389="",E1389="!!!"),"",IF(NOT(ISNA(VLOOKUP(E1389,E$1:E1388,1,FALSE()))),"OLD",IF(AND(E1389&lt;&gt;"",E1389&lt;&gt;"!!!"),"NEW","")))</f>
        <v/>
      </c>
      <c r="G1389" s="22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3" t="str">
        <f t="shared" ca="1" si="155"/>
        <v/>
      </c>
      <c r="I1389" s="24" t="str">
        <f>IF(OR(E1389="",E1389="!!!",F1389="NEW"),"",INDEX(B$2:B1388,-1+SUMPRODUCT(MAX(ROW(E$2:E1388)*(E1389=E$2:E1388)))))</f>
        <v/>
      </c>
      <c r="J1389" s="24" t="str">
        <f ca="1">IF(OR(E1389="",E1389="!!!",F1389="NEW"),"",COUNTBLANK(OFFSET(A$1,,,SUMPRODUCT(MAX(ROW(E$2:E1389)*(E1389=E$2:E1389)))))-COUNTBLANK(OFFSET(A$1,,,SUMPRODUCT(MAX(ROW(E$1:E1388)*(E2=E$1:E1388))))))</f>
        <v/>
      </c>
      <c r="K1389" s="24" t="str">
        <f>IF(OR(E1389="",E1389="!!!",F1389="NEW"),"",INDEX(J$1:J1388,SUMPRODUCT(MAX(ROW(E$1:E1388)*(E1389=E$1:E1388)))))</f>
        <v/>
      </c>
      <c r="L1389" s="25"/>
    </row>
    <row r="1390" spans="1:12" x14ac:dyDescent="0.3">
      <c r="A1390" t="s">
        <v>338</v>
      </c>
      <c r="E1390" s="20" t="str">
        <f t="shared" si="154"/>
        <v/>
      </c>
      <c r="F1390" s="21" t="str">
        <f>IF(OR(E1390="",E1390="!!!"),"",IF(NOT(ISNA(VLOOKUP(E1390,E$1:E1389,1,FALSE()))),"OLD",IF(AND(E1390&lt;&gt;"",E1390&lt;&gt;"!!!"),"NEW","")))</f>
        <v/>
      </c>
      <c r="G1390" s="22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3" t="str">
        <f t="shared" ca="1" si="155"/>
        <v/>
      </c>
      <c r="I1390" s="24" t="str">
        <f>IF(OR(E1390="",E1390="!!!",F1390="NEW"),"",INDEX(B$2:B1389,-1+SUMPRODUCT(MAX(ROW(E$2:E1389)*(E1390=E$2:E1389)))))</f>
        <v/>
      </c>
      <c r="J1390" s="24" t="str">
        <f ca="1">IF(OR(E1390="",E1390="!!!",F1390="NEW"),"",COUNTBLANK(OFFSET(A$1,,,SUMPRODUCT(MAX(ROW(E$2:E1390)*(E1390=E$2:E1390)))))-COUNTBLANK(OFFSET(A$1,,,SUMPRODUCT(MAX(ROW(E$1:E1389)*(E2=E$1:E1389))))))</f>
        <v/>
      </c>
      <c r="K1390" s="24" t="str">
        <f>IF(OR(E1390="",E1390="!!!",F1390="NEW"),"",INDEX(J$1:J1389,SUMPRODUCT(MAX(ROW(E$1:E1389)*(E1390=E$1:E1389)))))</f>
        <v/>
      </c>
      <c r="L1390" s="25"/>
    </row>
    <row r="1391" spans="1:12" x14ac:dyDescent="0.3">
      <c r="A1391" t="s">
        <v>575</v>
      </c>
      <c r="E1391" s="20" t="str">
        <f t="shared" si="154"/>
        <v/>
      </c>
      <c r="F1391" s="21" t="str">
        <f>IF(OR(E1391="",E1391="!!!"),"",IF(NOT(ISNA(VLOOKUP(E1391,E$1:E1390,1,FALSE()))),"OLD",IF(AND(E1391&lt;&gt;"",E1391&lt;&gt;"!!!"),"NEW","")))</f>
        <v/>
      </c>
      <c r="G1391" s="22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3" t="str">
        <f t="shared" ca="1" si="155"/>
        <v/>
      </c>
      <c r="I1391" s="24" t="str">
        <f>IF(OR(E1391="",E1391="!!!",F1391="NEW"),"",INDEX(B$2:B1390,-1+SUMPRODUCT(MAX(ROW(E$2:E1390)*(E1391=E$2:E1390)))))</f>
        <v/>
      </c>
      <c r="J1391" s="24" t="str">
        <f ca="1">IF(OR(E1391="",E1391="!!!",F1391="NEW"),"",COUNTBLANK(OFFSET(A$1,,,SUMPRODUCT(MAX(ROW(E$2:E1391)*(E1391=E$2:E1391)))))-COUNTBLANK(OFFSET(A$1,,,SUMPRODUCT(MAX(ROW(E$1:E1390)*(E2=E$1:E1390))))))</f>
        <v/>
      </c>
      <c r="K1391" s="24" t="str">
        <f>IF(OR(E1391="",E1391="!!!",F1391="NEW"),"",INDEX(J$1:J1390,SUMPRODUCT(MAX(ROW(E$1:E1390)*(E1391=E$1:E1390)))))</f>
        <v/>
      </c>
      <c r="L1391" s="25"/>
    </row>
    <row r="1393" spans="1:12" x14ac:dyDescent="0.3">
      <c r="A1393" t="s">
        <v>948</v>
      </c>
    </row>
    <row r="1394" spans="1:12" x14ac:dyDescent="0.3">
      <c r="A1394" t="s">
        <v>949</v>
      </c>
      <c r="E1394" s="20" t="str">
        <f t="shared" ref="E1394:E1404" si="156">IF(D1394="?OLD","!!!","")</f>
        <v/>
      </c>
      <c r="F1394" s="21" t="str">
        <f>IF(OR(E1394="",E1394="!!!"),"",IF(NOT(ISNA(VLOOKUP(E1394,E$1:E1393,1,FALSE()))),"OLD",IF(AND(E1394&lt;&gt;"",E1394&lt;&gt;"!!!"),"NEW","")))</f>
        <v/>
      </c>
      <c r="G1394" s="22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3" t="str">
        <f t="shared" ref="H1394:H1404" ca="1" si="157">IF(J1394&lt;&gt;1,"",IF(I1394="SBJ","CB","?"))</f>
        <v/>
      </c>
      <c r="I1394" s="24" t="str">
        <f>IF(OR(E1394="",E1394="!!!",F1394="NEW"),"",INDEX(B$2:B1393,-1+SUMPRODUCT(MAX(ROW(E$2:E1393)*(E1394=E$2:E1393)))))</f>
        <v/>
      </c>
      <c r="J1394" s="24" t="str">
        <f ca="1">IF(OR(E1394="",E1394="!!!",F1394="NEW"),"",COUNTBLANK(OFFSET(A$1,,,SUMPRODUCT(MAX(ROW(E$2:E1394)*(E1394=E$2:E1394)))))-COUNTBLANK(OFFSET(A$1,,,SUMPRODUCT(MAX(ROW(E$1:E1393)*(E2=E$1:E1393))))))</f>
        <v/>
      </c>
      <c r="K1394" s="24" t="str">
        <f>IF(OR(E1394="",E1394="!!!",F1394="NEW"),"",INDEX(J$1:J1393,SUMPRODUCT(MAX(ROW(E$1:E1393)*(E1394=E$1:E1393)))))</f>
        <v/>
      </c>
      <c r="L1394" s="25"/>
    </row>
    <row r="1395" spans="1:12" x14ac:dyDescent="0.3">
      <c r="A1395" t="s">
        <v>950</v>
      </c>
      <c r="E1395" s="20" t="str">
        <f t="shared" si="156"/>
        <v/>
      </c>
      <c r="F1395" s="21" t="str">
        <f>IF(OR(E1395="",E1395="!!!"),"",IF(NOT(ISNA(VLOOKUP(E1395,E$1:E1394,1,FALSE()))),"OLD",IF(AND(E1395&lt;&gt;"",E1395&lt;&gt;"!!!"),"NEW","")))</f>
        <v/>
      </c>
      <c r="G1395" s="22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3" t="str">
        <f t="shared" ca="1" si="157"/>
        <v/>
      </c>
      <c r="I1395" s="24" t="str">
        <f>IF(OR(E1395="",E1395="!!!",F1395="NEW"),"",INDEX(B$2:B1394,-1+SUMPRODUCT(MAX(ROW(E$2:E1394)*(E1395=E$2:E1394)))))</f>
        <v/>
      </c>
      <c r="J1395" s="24" t="str">
        <f ca="1">IF(OR(E1395="",E1395="!!!",F1395="NEW"),"",COUNTBLANK(OFFSET(A$1,,,SUMPRODUCT(MAX(ROW(E$2:E1395)*(E1395=E$2:E1395)))))-COUNTBLANK(OFFSET(A$1,,,SUMPRODUCT(MAX(ROW(E$1:E1394)*(E2=E$1:E1394))))))</f>
        <v/>
      </c>
      <c r="K1395" s="24" t="str">
        <f>IF(OR(E1395="",E1395="!!!",F1395="NEW"),"",INDEX(J$1:J1394,SUMPRODUCT(MAX(ROW(E$1:E1394)*(E1395=E$1:E1394)))))</f>
        <v/>
      </c>
      <c r="L1395" s="25"/>
    </row>
    <row r="1396" spans="1:12" x14ac:dyDescent="0.3">
      <c r="A1396" t="s">
        <v>951</v>
      </c>
      <c r="B1396" s="26" t="s">
        <v>337</v>
      </c>
      <c r="C1396" s="26" t="s">
        <v>663</v>
      </c>
      <c r="E1396" s="20" t="str">
        <f t="shared" si="156"/>
        <v/>
      </c>
      <c r="F1396" s="21" t="str">
        <f>IF(OR(E1396="",E1396="!!!"),"",IF(NOT(ISNA(VLOOKUP(E1396,E$1:E1395,1,FALSE()))),"OLD",IF(AND(E1396&lt;&gt;"",E1396&lt;&gt;"!!!"),"NEW","")))</f>
        <v/>
      </c>
      <c r="G1396" s="22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3" t="str">
        <f t="shared" ca="1" si="157"/>
        <v/>
      </c>
      <c r="I1396" s="24" t="str">
        <f>IF(OR(E1396="",E1396="!!!",F1396="NEW"),"",INDEX(B$2:B1395,-1+SUMPRODUCT(MAX(ROW(E$2:E1395)*(E1396=E$2:E1395)))))</f>
        <v/>
      </c>
      <c r="J1396" s="24" t="str">
        <f ca="1">IF(OR(E1396="",E1396="!!!",F1396="NEW"),"",COUNTBLANK(OFFSET(A$1,,,SUMPRODUCT(MAX(ROW(E$2:E1396)*(E1396=E$2:E1396)))))-COUNTBLANK(OFFSET(A$1,,,SUMPRODUCT(MAX(ROW(E$1:E1395)*(E2=E$1:E1395))))))</f>
        <v/>
      </c>
      <c r="K1396" s="24" t="str">
        <f>IF(OR(E1396="",E1396="!!!",F1396="NEW"),"",INDEX(J$1:J1395,SUMPRODUCT(MAX(ROW(E$1:E1395)*(E1396=E$1:E1395)))))</f>
        <v/>
      </c>
      <c r="L1396" s="25"/>
    </row>
    <row r="1397" spans="1:12" x14ac:dyDescent="0.3">
      <c r="A1397" t="s">
        <v>333</v>
      </c>
      <c r="E1397" s="20" t="str">
        <f t="shared" si="156"/>
        <v/>
      </c>
      <c r="F1397" s="21" t="str">
        <f>IF(OR(E1397="",E1397="!!!"),"",IF(NOT(ISNA(VLOOKUP(E1397,E$1:E1396,1,FALSE()))),"OLD",IF(AND(E1397&lt;&gt;"",E1397&lt;&gt;"!!!"),"NEW","")))</f>
        <v/>
      </c>
      <c r="G1397" s="22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3" t="str">
        <f t="shared" ca="1" si="157"/>
        <v/>
      </c>
      <c r="I1397" s="24" t="str">
        <f>IF(OR(E1397="",E1397="!!!",F1397="NEW"),"",INDEX(B$2:B1396,-1+SUMPRODUCT(MAX(ROW(E$2:E1396)*(E1397=E$2:E1396)))))</f>
        <v/>
      </c>
      <c r="J1397" s="24" t="str">
        <f ca="1">IF(OR(E1397="",E1397="!!!",F1397="NEW"),"",COUNTBLANK(OFFSET(A$1,,,SUMPRODUCT(MAX(ROW(E$2:E1397)*(E1397=E$2:E1397)))))-COUNTBLANK(OFFSET(A$1,,,SUMPRODUCT(MAX(ROW(E$1:E1396)*(E2=E$1:E1396))))))</f>
        <v/>
      </c>
      <c r="K1397" s="24" t="str">
        <f>IF(OR(E1397="",E1397="!!!",F1397="NEW"),"",INDEX(J$1:J1396,SUMPRODUCT(MAX(ROW(E$1:E1396)*(E1397=E$1:E1396)))))</f>
        <v/>
      </c>
      <c r="L1397" s="25"/>
    </row>
    <row r="1398" spans="1:12" x14ac:dyDescent="0.3">
      <c r="A1398" t="s">
        <v>351</v>
      </c>
      <c r="E1398" s="20" t="str">
        <f t="shared" si="156"/>
        <v/>
      </c>
      <c r="F1398" s="21" t="str">
        <f>IF(OR(E1398="",E1398="!!!"),"",IF(NOT(ISNA(VLOOKUP(E1398,E$1:E1397,1,FALSE()))),"OLD",IF(AND(E1398&lt;&gt;"",E1398&lt;&gt;"!!!"),"NEW","")))</f>
        <v/>
      </c>
      <c r="G1398" s="22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3" t="str">
        <f t="shared" ca="1" si="157"/>
        <v/>
      </c>
      <c r="I1398" s="24" t="str">
        <f>IF(OR(E1398="",E1398="!!!",F1398="NEW"),"",INDEX(B$2:B1397,-1+SUMPRODUCT(MAX(ROW(E$2:E1397)*(E1398=E$2:E1397)))))</f>
        <v/>
      </c>
      <c r="J1398" s="24" t="str">
        <f ca="1">IF(OR(E1398="",E1398="!!!",F1398="NEW"),"",COUNTBLANK(OFFSET(A$1,,,SUMPRODUCT(MAX(ROW(E$2:E1398)*(E1398=E$2:E1398)))))-COUNTBLANK(OFFSET(A$1,,,SUMPRODUCT(MAX(ROW(E$1:E1397)*(E2=E$1:E1397))))))</f>
        <v/>
      </c>
      <c r="K1398" s="24" t="str">
        <f>IF(OR(E1398="",E1398="!!!",F1398="NEW"),"",INDEX(J$1:J1397,SUMPRODUCT(MAX(ROW(E$1:E1397)*(E1398=E$1:E1397)))))</f>
        <v/>
      </c>
      <c r="L1398" s="25"/>
    </row>
    <row r="1399" spans="1:12" x14ac:dyDescent="0.3">
      <c r="A1399" t="s">
        <v>801</v>
      </c>
      <c r="E1399" s="20" t="str">
        <f t="shared" si="156"/>
        <v/>
      </c>
      <c r="F1399" s="21" t="str">
        <f>IF(OR(E1399="",E1399="!!!"),"",IF(NOT(ISNA(VLOOKUP(E1399,E$1:E1398,1,FALSE()))),"OLD",IF(AND(E1399&lt;&gt;"",E1399&lt;&gt;"!!!"),"NEW","")))</f>
        <v/>
      </c>
      <c r="G1399" s="22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3" t="str">
        <f t="shared" ca="1" si="157"/>
        <v/>
      </c>
      <c r="I1399" s="24" t="str">
        <f>IF(OR(E1399="",E1399="!!!",F1399="NEW"),"",INDEX(B$2:B1398,-1+SUMPRODUCT(MAX(ROW(E$2:E1398)*(E1399=E$2:E1398)))))</f>
        <v/>
      </c>
      <c r="J1399" s="24" t="str">
        <f ca="1">IF(OR(E1399="",E1399="!!!",F1399="NEW"),"",COUNTBLANK(OFFSET(A$1,,,SUMPRODUCT(MAX(ROW(E$2:E1399)*(E1399=E$2:E1399)))))-COUNTBLANK(OFFSET(A$1,,,SUMPRODUCT(MAX(ROW(E$1:E1398)*(E2=E$1:E1398))))))</f>
        <v/>
      </c>
      <c r="K1399" s="24" t="str">
        <f>IF(OR(E1399="",E1399="!!!",F1399="NEW"),"",INDEX(J$1:J1398,SUMPRODUCT(MAX(ROW(E$1:E1398)*(E1399=E$1:E1398)))))</f>
        <v/>
      </c>
      <c r="L1399" s="25"/>
    </row>
    <row r="1400" spans="1:12" x14ac:dyDescent="0.3">
      <c r="A1400" t="s">
        <v>952</v>
      </c>
      <c r="E1400" s="20" t="str">
        <f t="shared" si="156"/>
        <v/>
      </c>
      <c r="F1400" s="21" t="str">
        <f>IF(OR(E1400="",E1400="!!!"),"",IF(NOT(ISNA(VLOOKUP(E1400,E$1:E1399,1,FALSE()))),"OLD",IF(AND(E1400&lt;&gt;"",E1400&lt;&gt;"!!!"),"NEW","")))</f>
        <v/>
      </c>
      <c r="G1400" s="22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3" t="str">
        <f t="shared" ca="1" si="157"/>
        <v/>
      </c>
      <c r="I1400" s="24" t="str">
        <f>IF(OR(E1400="",E1400="!!!",F1400="NEW"),"",INDEX(B$2:B1399,-1+SUMPRODUCT(MAX(ROW(E$2:E1399)*(E1400=E$2:E1399)))))</f>
        <v/>
      </c>
      <c r="J1400" s="24" t="str">
        <f ca="1">IF(OR(E1400="",E1400="!!!",F1400="NEW"),"",COUNTBLANK(OFFSET(A$1,,,SUMPRODUCT(MAX(ROW(E$2:E1400)*(E1400=E$2:E1400)))))-COUNTBLANK(OFFSET(A$1,,,SUMPRODUCT(MAX(ROW(E$1:E1399)*(E2=E$1:E1399))))))</f>
        <v/>
      </c>
      <c r="K1400" s="24" t="str">
        <f>IF(OR(E1400="",E1400="!!!",F1400="NEW"),"",INDEX(J$1:J1399,SUMPRODUCT(MAX(ROW(E$1:E1399)*(E1400=E$1:E1399)))))</f>
        <v/>
      </c>
      <c r="L1400" s="25"/>
    </row>
    <row r="1401" spans="1:12" x14ac:dyDescent="0.3">
      <c r="A1401" t="s">
        <v>353</v>
      </c>
      <c r="B1401" s="26" t="s">
        <v>378</v>
      </c>
      <c r="C1401" s="26" t="s">
        <v>366</v>
      </c>
      <c r="E1401" s="20" t="str">
        <f t="shared" si="156"/>
        <v/>
      </c>
      <c r="F1401" s="21" t="str">
        <f>IF(OR(E1401="",E1401="!!!"),"",IF(NOT(ISNA(VLOOKUP(E1401,E$1:E1400,1,FALSE()))),"OLD",IF(AND(E1401&lt;&gt;"",E1401&lt;&gt;"!!!"),"NEW","")))</f>
        <v/>
      </c>
      <c r="G1401" s="22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3" t="str">
        <f t="shared" ca="1" si="157"/>
        <v/>
      </c>
      <c r="I1401" s="24" t="str">
        <f>IF(OR(E1401="",E1401="!!!",F1401="NEW"),"",INDEX(B$2:B1400,-1+SUMPRODUCT(MAX(ROW(E$2:E1400)*(E1401=E$2:E1400)))))</f>
        <v/>
      </c>
      <c r="J1401" s="24" t="str">
        <f ca="1">IF(OR(E1401="",E1401="!!!",F1401="NEW"),"",COUNTBLANK(OFFSET(A$1,,,SUMPRODUCT(MAX(ROW(E$2:E1401)*(E1401=E$2:E1401)))))-COUNTBLANK(OFFSET(A$1,,,SUMPRODUCT(MAX(ROW(E$1:E1400)*(E2=E$1:E1400))))))</f>
        <v/>
      </c>
      <c r="K1401" s="24" t="str">
        <f>IF(OR(E1401="",E1401="!!!",F1401="NEW"),"",INDEX(J$1:J1400,SUMPRODUCT(MAX(ROW(E$1:E1400)*(E1401=E$1:E1400)))))</f>
        <v/>
      </c>
      <c r="L1401" s="25"/>
    </row>
    <row r="1402" spans="1:12" x14ac:dyDescent="0.3">
      <c r="A1402" t="s">
        <v>396</v>
      </c>
      <c r="E1402" s="20" t="str">
        <f t="shared" si="156"/>
        <v/>
      </c>
      <c r="F1402" s="21" t="str">
        <f>IF(OR(E1402="",E1402="!!!"),"",IF(NOT(ISNA(VLOOKUP(E1402,E$1:E1401,1,FALSE()))),"OLD",IF(AND(E1402&lt;&gt;"",E1402&lt;&gt;"!!!"),"NEW","")))</f>
        <v/>
      </c>
      <c r="G1402" s="22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3" t="str">
        <f t="shared" ca="1" si="157"/>
        <v/>
      </c>
      <c r="I1402" s="24" t="str">
        <f>IF(OR(E1402="",E1402="!!!",F1402="NEW"),"",INDEX(B$2:B1401,-1+SUMPRODUCT(MAX(ROW(E$2:E1401)*(E1402=E$2:E1401)))))</f>
        <v/>
      </c>
      <c r="J1402" s="24" t="str">
        <f ca="1">IF(OR(E1402="",E1402="!!!",F1402="NEW"),"",COUNTBLANK(OFFSET(A$1,,,SUMPRODUCT(MAX(ROW(E$2:E1402)*(E1402=E$2:E1402)))))-COUNTBLANK(OFFSET(A$1,,,SUMPRODUCT(MAX(ROW(E$1:E1401)*(E2=E$1:E1401))))))</f>
        <v/>
      </c>
      <c r="K1402" s="24" t="str">
        <f>IF(OR(E1402="",E1402="!!!",F1402="NEW"),"",INDEX(J$1:J1401,SUMPRODUCT(MAX(ROW(E$1:E1401)*(E1402=E$1:E1401)))))</f>
        <v/>
      </c>
      <c r="L1402" s="25"/>
    </row>
    <row r="1403" spans="1:12" x14ac:dyDescent="0.3">
      <c r="A1403" t="s">
        <v>953</v>
      </c>
      <c r="E1403" s="20" t="str">
        <f t="shared" si="156"/>
        <v/>
      </c>
      <c r="F1403" s="21" t="str">
        <f>IF(OR(E1403="",E1403="!!!"),"",IF(NOT(ISNA(VLOOKUP(E1403,E$1:E1402,1,FALSE()))),"OLD",IF(AND(E1403&lt;&gt;"",E1403&lt;&gt;"!!!"),"NEW","")))</f>
        <v/>
      </c>
      <c r="G1403" s="22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3" t="str">
        <f t="shared" ca="1" si="157"/>
        <v/>
      </c>
      <c r="I1403" s="24" t="str">
        <f>IF(OR(E1403="",E1403="!!!",F1403="NEW"),"",INDEX(B$2:B1402,-1+SUMPRODUCT(MAX(ROW(E$2:E1402)*(E1403=E$2:E1402)))))</f>
        <v/>
      </c>
      <c r="J1403" s="24" t="str">
        <f ca="1">IF(OR(E1403="",E1403="!!!",F1403="NEW"),"",COUNTBLANK(OFFSET(A$1,,,SUMPRODUCT(MAX(ROW(E$2:E1403)*(E1403=E$2:E1403)))))-COUNTBLANK(OFFSET(A$1,,,SUMPRODUCT(MAX(ROW(E$1:E1402)*(E2=E$1:E1402))))))</f>
        <v/>
      </c>
      <c r="K1403" s="24" t="str">
        <f>IF(OR(E1403="",E1403="!!!",F1403="NEW"),"",INDEX(J$1:J1402,SUMPRODUCT(MAX(ROW(E$1:E1402)*(E1403=E$1:E1402)))))</f>
        <v/>
      </c>
      <c r="L1403" s="25"/>
    </row>
    <row r="1404" spans="1:12" x14ac:dyDescent="0.3">
      <c r="A1404" t="s">
        <v>338</v>
      </c>
      <c r="E1404" s="20" t="str">
        <f t="shared" si="156"/>
        <v/>
      </c>
      <c r="F1404" s="21" t="str">
        <f>IF(OR(E1404="",E1404="!!!"),"",IF(NOT(ISNA(VLOOKUP(E1404,E$1:E1403,1,FALSE()))),"OLD",IF(AND(E1404&lt;&gt;"",E1404&lt;&gt;"!!!"),"NEW","")))</f>
        <v/>
      </c>
      <c r="G1404" s="22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3" t="str">
        <f t="shared" ca="1" si="157"/>
        <v/>
      </c>
      <c r="I1404" s="24" t="str">
        <f>IF(OR(E1404="",E1404="!!!",F1404="NEW"),"",INDEX(B$2:B1403,-1+SUMPRODUCT(MAX(ROW(E$2:E1403)*(E1404=E$2:E1403)))))</f>
        <v/>
      </c>
      <c r="J1404" s="24" t="str">
        <f ca="1">IF(OR(E1404="",E1404="!!!",F1404="NEW"),"",COUNTBLANK(OFFSET(A$1,,,SUMPRODUCT(MAX(ROW(E$2:E1404)*(E1404=E$2:E1404)))))-COUNTBLANK(OFFSET(A$1,,,SUMPRODUCT(MAX(ROW(E$1:E1403)*(E2=E$1:E1403))))))</f>
        <v/>
      </c>
      <c r="K1404" s="24" t="str">
        <f>IF(OR(E1404="",E1404="!!!",F1404="NEW"),"",INDEX(J$1:J1403,SUMPRODUCT(MAX(ROW(E$1:E1403)*(E1404=E$1:E1403)))))</f>
        <v/>
      </c>
      <c r="L1404" s="25"/>
    </row>
    <row r="1406" spans="1:12" x14ac:dyDescent="0.3">
      <c r="A1406" t="s">
        <v>954</v>
      </c>
    </row>
    <row r="1407" spans="1:12" x14ac:dyDescent="0.3">
      <c r="A1407" t="s">
        <v>955</v>
      </c>
      <c r="E1407" s="20" t="str">
        <f t="shared" ref="E1407:E1412" si="158">IF(D1407="?OLD","!!!","")</f>
        <v/>
      </c>
      <c r="F1407" s="21" t="str">
        <f>IF(OR(E1407="",E1407="!!!"),"",IF(NOT(ISNA(VLOOKUP(E1407,E$1:E1406,1,FALSE()))),"OLD",IF(AND(E1407&lt;&gt;"",E1407&lt;&gt;"!!!"),"NEW","")))</f>
        <v/>
      </c>
      <c r="G1407" s="22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3" t="str">
        <f t="shared" ref="H1407:H1412" ca="1" si="159">IF(J1407&lt;&gt;1,"",IF(I1407="SBJ","CB","?"))</f>
        <v/>
      </c>
      <c r="I1407" s="24" t="str">
        <f>IF(OR(E1407="",E1407="!!!",F1407="NEW"),"",INDEX(B$2:B1406,-1+SUMPRODUCT(MAX(ROW(E$2:E1406)*(E1407=E$2:E1406)))))</f>
        <v/>
      </c>
      <c r="J1407" s="24" t="str">
        <f ca="1">IF(OR(E1407="",E1407="!!!",F1407="NEW"),"",COUNTBLANK(OFFSET(A$1,,,SUMPRODUCT(MAX(ROW(E$2:E1407)*(E1407=E$2:E1407)))))-COUNTBLANK(OFFSET(A$1,,,SUMPRODUCT(MAX(ROW(E$1:E1406)*(E2=E$1:E1406))))))</f>
        <v/>
      </c>
      <c r="K1407" s="24" t="str">
        <f>IF(OR(E1407="",E1407="!!!",F1407="NEW"),"",INDEX(J$1:J1406,SUMPRODUCT(MAX(ROW(E$1:E1406)*(E1407=E$1:E1406)))))</f>
        <v/>
      </c>
      <c r="L1407" s="25"/>
    </row>
    <row r="1408" spans="1:12" x14ac:dyDescent="0.3">
      <c r="A1408" t="s">
        <v>956</v>
      </c>
      <c r="B1408" s="26" t="s">
        <v>330</v>
      </c>
      <c r="C1408" s="26" t="s">
        <v>358</v>
      </c>
      <c r="E1408" s="20" t="str">
        <f t="shared" si="158"/>
        <v/>
      </c>
      <c r="F1408" s="21" t="str">
        <f>IF(OR(E1408="",E1408="!!!"),"",IF(NOT(ISNA(VLOOKUP(E1408,E$1:E1407,1,FALSE()))),"OLD",IF(AND(E1408&lt;&gt;"",E1408&lt;&gt;"!!!"),"NEW","")))</f>
        <v/>
      </c>
      <c r="G1408" s="22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3" t="str">
        <f t="shared" ca="1" si="159"/>
        <v/>
      </c>
      <c r="I1408" s="24" t="str">
        <f>IF(OR(E1408="",E1408="!!!",F1408="NEW"),"",INDEX(B$2:B1407,-1+SUMPRODUCT(MAX(ROW(E$2:E1407)*(E1408=E$2:E1407)))))</f>
        <v/>
      </c>
      <c r="J1408" s="24" t="str">
        <f ca="1">IF(OR(E1408="",E1408="!!!",F1408="NEW"),"",COUNTBLANK(OFFSET(A$1,,,SUMPRODUCT(MAX(ROW(E$2:E1408)*(E1408=E$2:E1408)))))-COUNTBLANK(OFFSET(A$1,,,SUMPRODUCT(MAX(ROW(E$1:E1407)*(E2=E$1:E1407))))))</f>
        <v/>
      </c>
      <c r="K1408" s="24" t="str">
        <f>IF(OR(E1408="",E1408="!!!",F1408="NEW"),"",INDEX(J$1:J1407,SUMPRODUCT(MAX(ROW(E$1:E1407)*(E1408=E$1:E1407)))))</f>
        <v/>
      </c>
      <c r="L1408" s="25"/>
    </row>
    <row r="1409" spans="1:12" x14ac:dyDescent="0.3">
      <c r="A1409" t="s">
        <v>650</v>
      </c>
      <c r="E1409" s="20" t="str">
        <f t="shared" si="158"/>
        <v/>
      </c>
      <c r="F1409" s="21" t="str">
        <f>IF(OR(E1409="",E1409="!!!"),"",IF(NOT(ISNA(VLOOKUP(E1409,E$1:E1408,1,FALSE()))),"OLD",IF(AND(E1409&lt;&gt;"",E1409&lt;&gt;"!!!"),"NEW","")))</f>
        <v/>
      </c>
      <c r="G1409" s="22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3" t="str">
        <f t="shared" ca="1" si="159"/>
        <v/>
      </c>
      <c r="I1409" s="24" t="str">
        <f>IF(OR(E1409="",E1409="!!!",F1409="NEW"),"",INDEX(B$2:B1408,-1+SUMPRODUCT(MAX(ROW(E$2:E1408)*(E1409=E$2:E1408)))))</f>
        <v/>
      </c>
      <c r="J1409" s="24" t="str">
        <f ca="1">IF(OR(E1409="",E1409="!!!",F1409="NEW"),"",COUNTBLANK(OFFSET(A$1,,,SUMPRODUCT(MAX(ROW(E$2:E1409)*(E1409=E$2:E1409)))))-COUNTBLANK(OFFSET(A$1,,,SUMPRODUCT(MAX(ROW(E$1:E1408)*(E2=E$1:E1408))))))</f>
        <v/>
      </c>
      <c r="K1409" s="24" t="str">
        <f>IF(OR(E1409="",E1409="!!!",F1409="NEW"),"",INDEX(J$1:J1408,SUMPRODUCT(MAX(ROW(E$1:E1408)*(E1409=E$1:E1408)))))</f>
        <v/>
      </c>
      <c r="L1409" s="25"/>
    </row>
    <row r="1410" spans="1:12" x14ac:dyDescent="0.3">
      <c r="A1410" t="s">
        <v>399</v>
      </c>
      <c r="E1410" s="20" t="str">
        <f t="shared" si="158"/>
        <v/>
      </c>
      <c r="F1410" s="21" t="str">
        <f>IF(OR(E1410="",E1410="!!!"),"",IF(NOT(ISNA(VLOOKUP(E1410,E$1:E1409,1,FALSE()))),"OLD",IF(AND(E1410&lt;&gt;"",E1410&lt;&gt;"!!!"),"NEW","")))</f>
        <v/>
      </c>
      <c r="G1410" s="22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3" t="str">
        <f t="shared" ca="1" si="159"/>
        <v/>
      </c>
      <c r="I1410" s="24" t="str">
        <f>IF(OR(E1410="",E1410="!!!",F1410="NEW"),"",INDEX(B$2:B1409,-1+SUMPRODUCT(MAX(ROW(E$2:E1409)*(E1410=E$2:E1409)))))</f>
        <v/>
      </c>
      <c r="J1410" s="24" t="str">
        <f ca="1">IF(OR(E1410="",E1410="!!!",F1410="NEW"),"",COUNTBLANK(OFFSET(A$1,,,SUMPRODUCT(MAX(ROW(E$2:E1410)*(E1410=E$2:E1410)))))-COUNTBLANK(OFFSET(A$1,,,SUMPRODUCT(MAX(ROW(E$1:E1409)*(E2=E$1:E1409))))))</f>
        <v/>
      </c>
      <c r="K1410" s="24" t="str">
        <f>IF(OR(E1410="",E1410="!!!",F1410="NEW"),"",INDEX(J$1:J1409,SUMPRODUCT(MAX(ROW(E$1:E1409)*(E1410=E$1:E1409)))))</f>
        <v/>
      </c>
      <c r="L1410" s="25"/>
    </row>
    <row r="1411" spans="1:12" x14ac:dyDescent="0.3">
      <c r="A1411" t="s">
        <v>804</v>
      </c>
      <c r="E1411" s="20" t="str">
        <f t="shared" si="158"/>
        <v/>
      </c>
      <c r="F1411" s="21" t="str">
        <f>IF(OR(E1411="",E1411="!!!"),"",IF(NOT(ISNA(VLOOKUP(E1411,E$1:E1410,1,FALSE()))),"OLD",IF(AND(E1411&lt;&gt;"",E1411&lt;&gt;"!!!"),"NEW","")))</f>
        <v/>
      </c>
      <c r="G1411" s="22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3" t="str">
        <f t="shared" ca="1" si="159"/>
        <v/>
      </c>
      <c r="I1411" s="24" t="str">
        <f>IF(OR(E1411="",E1411="!!!",F1411="NEW"),"",INDEX(B$2:B1410,-1+SUMPRODUCT(MAX(ROW(E$2:E1410)*(E1411=E$2:E1410)))))</f>
        <v/>
      </c>
      <c r="J1411" s="24" t="str">
        <f ca="1">IF(OR(E1411="",E1411="!!!",F1411="NEW"),"",COUNTBLANK(OFFSET(A$1,,,SUMPRODUCT(MAX(ROW(E$2:E1411)*(E1411=E$2:E1411)))))-COUNTBLANK(OFFSET(A$1,,,SUMPRODUCT(MAX(ROW(E$1:E1410)*(E2=E$1:E1410))))))</f>
        <v/>
      </c>
      <c r="K1411" s="24" t="str">
        <f>IF(OR(E1411="",E1411="!!!",F1411="NEW"),"",INDEX(J$1:J1410,SUMPRODUCT(MAX(ROW(E$1:E1410)*(E1411=E$1:E1410)))))</f>
        <v/>
      </c>
      <c r="L1411" s="25"/>
    </row>
    <row r="1412" spans="1:12" x14ac:dyDescent="0.3">
      <c r="A1412" t="s">
        <v>338</v>
      </c>
      <c r="E1412" s="20" t="str">
        <f t="shared" si="158"/>
        <v/>
      </c>
      <c r="F1412" s="21" t="str">
        <f>IF(OR(E1412="",E1412="!!!"),"",IF(NOT(ISNA(VLOOKUP(E1412,E$1:E1411,1,FALSE()))),"OLD",IF(AND(E1412&lt;&gt;"",E1412&lt;&gt;"!!!"),"NEW","")))</f>
        <v/>
      </c>
      <c r="G1412" s="22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3" t="str">
        <f t="shared" ca="1" si="159"/>
        <v/>
      </c>
      <c r="I1412" s="24" t="str">
        <f>IF(OR(E1412="",E1412="!!!",F1412="NEW"),"",INDEX(B$2:B1411,-1+SUMPRODUCT(MAX(ROW(E$2:E1411)*(E1412=E$2:E1411)))))</f>
        <v/>
      </c>
      <c r="J1412" s="24" t="str">
        <f ca="1">IF(OR(E1412="",E1412="!!!",F1412="NEW"),"",COUNTBLANK(OFFSET(A$1,,,SUMPRODUCT(MAX(ROW(E$2:E1412)*(E1412=E$2:E1412)))))-COUNTBLANK(OFFSET(A$1,,,SUMPRODUCT(MAX(ROW(E$1:E1411)*(E2=E$1:E1411))))))</f>
        <v/>
      </c>
      <c r="K1412" s="24" t="str">
        <f>IF(OR(E1412="",E1412="!!!",F1412="NEW"),"",INDEX(J$1:J1411,SUMPRODUCT(MAX(ROW(E$1:E1411)*(E1412=E$1:E1411)))))</f>
        <v/>
      </c>
      <c r="L1412" s="25"/>
    </row>
    <row r="1414" spans="1:12" x14ac:dyDescent="0.3">
      <c r="A1414" t="s">
        <v>573</v>
      </c>
      <c r="E1414" s="20" t="str">
        <f>IF(D1414="?OLD","!!!","")</f>
        <v/>
      </c>
      <c r="F1414" s="21" t="str">
        <f>IF(OR(E1414="",E1414="!!!"),"",IF(NOT(ISNA(VLOOKUP(E1414,E$1:E1413,1,FALSE()))),"OLD",IF(AND(E1414&lt;&gt;"",E1414&lt;&gt;"!!!"),"NEW","")))</f>
        <v/>
      </c>
      <c r="G1414" s="22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3" t="str">
        <f ca="1">IF(J1414&lt;&gt;1,"",IF(I1414="SBJ","CB","?"))</f>
        <v/>
      </c>
      <c r="I1414" s="24" t="str">
        <f>IF(OR(E1414="",E1414="!!!",F1414="NEW"),"",INDEX(B$2:B1413,-1+SUMPRODUCT(MAX(ROW(E$2:E1413)*(E1414=E$2:E1413)))))</f>
        <v/>
      </c>
      <c r="J1414" s="24" t="str">
        <f ca="1">IF(OR(E1414="",E1414="!!!",F1414="NEW"),"",COUNTBLANK(OFFSET(A$1,,,SUMPRODUCT(MAX(ROW(E$2:E1414)*(E1414=E$2:E1414)))))-COUNTBLANK(OFFSET(A$1,,,SUMPRODUCT(MAX(ROW(E$1:E1413)*(E2=E$1:E1413))))))</f>
        <v/>
      </c>
      <c r="K1414" s="24" t="str">
        <f>IF(OR(E1414="",E1414="!!!",F1414="NEW"),"",INDEX(J$1:J1413,SUMPRODUCT(MAX(ROW(E$1:E1413)*(E1414=E$1:E1413)))))</f>
        <v/>
      </c>
      <c r="L1414" s="25"/>
    </row>
    <row r="1415" spans="1:12" x14ac:dyDescent="0.3">
      <c r="A1415" t="s">
        <v>957</v>
      </c>
    </row>
    <row r="1416" spans="1:12" x14ac:dyDescent="0.3">
      <c r="A1416" t="s">
        <v>958</v>
      </c>
      <c r="E1416" s="20" t="str">
        <f t="shared" ref="E1416:E1436" si="160">IF(D1416="?OLD","!!!","")</f>
        <v/>
      </c>
      <c r="F1416" s="21" t="str">
        <f>IF(OR(E1416="",E1416="!!!"),"",IF(NOT(ISNA(VLOOKUP(E1416,E$1:E1415,1,FALSE()))),"OLD",IF(AND(E1416&lt;&gt;"",E1416&lt;&gt;"!!!"),"NEW","")))</f>
        <v/>
      </c>
      <c r="G1416" s="22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3" t="str">
        <f t="shared" ref="H1416:H1436" ca="1" si="161">IF(J1416&lt;&gt;1,"",IF(I1416="SBJ","CB","?"))</f>
        <v/>
      </c>
      <c r="I1416" s="24" t="str">
        <f>IF(OR(E1416="",E1416="!!!",F1416="NEW"),"",INDEX(B$2:B1415,-1+SUMPRODUCT(MAX(ROW(E$2:E1415)*(E1416=E$2:E1415)))))</f>
        <v/>
      </c>
      <c r="J1416" s="24" t="str">
        <f ca="1">IF(OR(E1416="",E1416="!!!",F1416="NEW"),"",COUNTBLANK(OFFSET(A$1,,,SUMPRODUCT(MAX(ROW(E$2:E1416)*(E1416=E$2:E1416)))))-COUNTBLANK(OFFSET(A$1,,,SUMPRODUCT(MAX(ROW(E$1:E1415)*(E2=E$1:E1415))))))</f>
        <v/>
      </c>
      <c r="K1416" s="24" t="str">
        <f>IF(OR(E1416="",E1416="!!!",F1416="NEW"),"",INDEX(J$1:J1415,SUMPRODUCT(MAX(ROW(E$1:E1415)*(E1416=E$1:E1415)))))</f>
        <v/>
      </c>
      <c r="L1416" s="25"/>
    </row>
    <row r="1417" spans="1:12" x14ac:dyDescent="0.3">
      <c r="A1417" t="s">
        <v>959</v>
      </c>
      <c r="E1417" s="20" t="str">
        <f t="shared" si="160"/>
        <v/>
      </c>
      <c r="F1417" s="21" t="str">
        <f>IF(OR(E1417="",E1417="!!!"),"",IF(NOT(ISNA(VLOOKUP(E1417,E$1:E1416,1,FALSE()))),"OLD",IF(AND(E1417&lt;&gt;"",E1417&lt;&gt;"!!!"),"NEW","")))</f>
        <v/>
      </c>
      <c r="G1417" s="22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3" t="str">
        <f t="shared" ca="1" si="161"/>
        <v/>
      </c>
      <c r="I1417" s="24" t="str">
        <f>IF(OR(E1417="",E1417="!!!",F1417="NEW"),"",INDEX(B$2:B1416,-1+SUMPRODUCT(MAX(ROW(E$2:E1416)*(E1417=E$2:E1416)))))</f>
        <v/>
      </c>
      <c r="J1417" s="24" t="str">
        <f ca="1">IF(OR(E1417="",E1417="!!!",F1417="NEW"),"",COUNTBLANK(OFFSET(A$1,,,SUMPRODUCT(MAX(ROW(E$2:E1417)*(E1417=E$2:E1417)))))-COUNTBLANK(OFFSET(A$1,,,SUMPRODUCT(MAX(ROW(E$1:E1416)*(E2=E$1:E1416))))))</f>
        <v/>
      </c>
      <c r="K1417" s="24" t="str">
        <f>IF(OR(E1417="",E1417="!!!",F1417="NEW"),"",INDEX(J$1:J1416,SUMPRODUCT(MAX(ROW(E$1:E1416)*(E1417=E$1:E1416)))))</f>
        <v/>
      </c>
      <c r="L1417" s="25"/>
    </row>
    <row r="1418" spans="1:12" x14ac:dyDescent="0.3">
      <c r="A1418" t="s">
        <v>349</v>
      </c>
      <c r="B1418" s="26" t="s">
        <v>330</v>
      </c>
      <c r="C1418" s="26" t="s">
        <v>341</v>
      </c>
      <c r="D1418" s="26" t="s">
        <v>332</v>
      </c>
      <c r="E1418" s="20" t="str">
        <f t="shared" si="160"/>
        <v>!!!</v>
      </c>
      <c r="F1418" s="21" t="str">
        <f>IF(OR(E1418="",E1418="!!!"),"",IF(NOT(ISNA(VLOOKUP(E1418,E$1:E1417,1,FALSE()))),"OLD",IF(AND(E1418&lt;&gt;"",E1418&lt;&gt;"!!!"),"NEW","")))</f>
        <v/>
      </c>
      <c r="G1418" s="22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/>
      </c>
      <c r="H1418" s="23" t="str">
        <f t="shared" ca="1" si="161"/>
        <v/>
      </c>
      <c r="I1418" s="24" t="str">
        <f>IF(OR(E1418="",E1418="!!!",F1418="NEW"),"",INDEX(B$2:B1417,-1+SUMPRODUCT(MAX(ROW(E$2:E1417)*(E1418=E$2:E1417)))))</f>
        <v/>
      </c>
      <c r="J1418" s="24" t="str">
        <f ca="1">IF(OR(E1418="",E1418="!!!",F1418="NEW"),"",COUNTBLANK(OFFSET(A$1,,,SUMPRODUCT(MAX(ROW(E$2:E1418)*(E1418=E$2:E1418)))))-COUNTBLANK(OFFSET(A$1,,,SUMPRODUCT(MAX(ROW(E$1:E1417)*(E2=E$1:E1417))))))</f>
        <v/>
      </c>
      <c r="K1418" s="24" t="str">
        <f>IF(OR(E1418="",E1418="!!!",F1418="NEW"),"",INDEX(J$1:J1417,SUMPRODUCT(MAX(ROW(E$1:E1417)*(E1418=E$1:E1417)))))</f>
        <v/>
      </c>
      <c r="L1418" s="25"/>
    </row>
    <row r="1419" spans="1:12" x14ac:dyDescent="0.3">
      <c r="A1419" t="s">
        <v>410</v>
      </c>
      <c r="E1419" s="20" t="str">
        <f t="shared" si="160"/>
        <v/>
      </c>
      <c r="F1419" s="21" t="str">
        <f>IF(OR(E1419="",E1419="!!!"),"",IF(NOT(ISNA(VLOOKUP(E1419,E$1:E1418,1,FALSE()))),"OLD",IF(AND(E1419&lt;&gt;"",E1419&lt;&gt;"!!!"),"NEW","")))</f>
        <v/>
      </c>
      <c r="G1419" s="22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3" t="str">
        <f t="shared" ca="1" si="161"/>
        <v/>
      </c>
      <c r="I1419" s="24" t="str">
        <f>IF(OR(E1419="",E1419="!!!",F1419="NEW"),"",INDEX(B$2:B1418,-1+SUMPRODUCT(MAX(ROW(E$2:E1418)*(E1419=E$2:E1418)))))</f>
        <v/>
      </c>
      <c r="J1419" s="24" t="str">
        <f ca="1">IF(OR(E1419="",E1419="!!!",F1419="NEW"),"",COUNTBLANK(OFFSET(A$1,,,SUMPRODUCT(MAX(ROW(E$2:E1419)*(E1419=E$2:E1419)))))-COUNTBLANK(OFFSET(A$1,,,SUMPRODUCT(MAX(ROW(E$1:E1418)*(E2=E$1:E1418))))))</f>
        <v/>
      </c>
      <c r="K1419" s="24" t="str">
        <f>IF(OR(E1419="",E1419="!!!",F1419="NEW"),"",INDEX(J$1:J1418,SUMPRODUCT(MAX(ROW(E$1:E1418)*(E1419=E$1:E1418)))))</f>
        <v/>
      </c>
      <c r="L1419" s="25"/>
    </row>
    <row r="1420" spans="1:12" x14ac:dyDescent="0.3">
      <c r="A1420" t="s">
        <v>575</v>
      </c>
      <c r="E1420" s="20" t="str">
        <f t="shared" si="160"/>
        <v/>
      </c>
      <c r="F1420" s="21" t="str">
        <f>IF(OR(E1420="",E1420="!!!"),"",IF(NOT(ISNA(VLOOKUP(E1420,E$1:E1419,1,FALSE()))),"OLD",IF(AND(E1420&lt;&gt;"",E1420&lt;&gt;"!!!"),"NEW","")))</f>
        <v/>
      </c>
      <c r="G1420" s="22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/>
      </c>
      <c r="H1420" s="23" t="str">
        <f t="shared" ca="1" si="161"/>
        <v/>
      </c>
      <c r="I1420" s="24" t="str">
        <f>IF(OR(E1420="",E1420="!!!",F1420="NEW"),"",INDEX(B$2:B1419,-1+SUMPRODUCT(MAX(ROW(E$2:E1419)*(E1420=E$2:E1419)))))</f>
        <v/>
      </c>
      <c r="J1420" s="24" t="str">
        <f ca="1">IF(OR(E1420="",E1420="!!!",F1420="NEW"),"",COUNTBLANK(OFFSET(A$1,,,SUMPRODUCT(MAX(ROW(E$2:E1420)*(E1420=E$2:E1420)))))-COUNTBLANK(OFFSET(A$1,,,SUMPRODUCT(MAX(ROW(E$1:E1419)*(E2=E$1:E1419))))))</f>
        <v/>
      </c>
      <c r="K1420" s="24" t="str">
        <f>IF(OR(E1420="",E1420="!!!",F1420="NEW"),"",INDEX(J$1:J1419,SUMPRODUCT(MAX(ROW(E$1:E1419)*(E1420=E$1:E1419)))))</f>
        <v/>
      </c>
      <c r="L1420" s="25"/>
    </row>
    <row r="1421" spans="1:12" x14ac:dyDescent="0.3">
      <c r="A1421" t="s">
        <v>468</v>
      </c>
      <c r="B1421" s="26" t="s">
        <v>354</v>
      </c>
      <c r="C1421" s="26" t="s">
        <v>438</v>
      </c>
      <c r="D1421" s="26" t="s">
        <v>332</v>
      </c>
      <c r="E1421" s="20" t="str">
        <f t="shared" si="160"/>
        <v>!!!</v>
      </c>
      <c r="F1421" s="21" t="str">
        <f>IF(OR(E1421="",E1421="!!!"),"",IF(NOT(ISNA(VLOOKUP(E1421,E$1:E1420,1,FALSE()))),"OLD",IF(AND(E1421&lt;&gt;"",E1421&lt;&gt;"!!!"),"NEW","")))</f>
        <v/>
      </c>
      <c r="G1421" s="22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3" t="str">
        <f t="shared" ca="1" si="161"/>
        <v/>
      </c>
      <c r="I1421" s="24" t="str">
        <f>IF(OR(E1421="",E1421="!!!",F1421="NEW"),"",INDEX(B$2:B1420,-1+SUMPRODUCT(MAX(ROW(E$2:E1420)*(E1421=E$2:E1420)))))</f>
        <v/>
      </c>
      <c r="J1421" s="24" t="str">
        <f ca="1">IF(OR(E1421="",E1421="!!!",F1421="NEW"),"",COUNTBLANK(OFFSET(A$1,,,SUMPRODUCT(MAX(ROW(E$2:E1421)*(E1421=E$2:E1421)))))-COUNTBLANK(OFFSET(A$1,,,SUMPRODUCT(MAX(ROW(E$1:E1420)*(E2=E$1:E1420))))))</f>
        <v/>
      </c>
      <c r="K1421" s="24" t="str">
        <f>IF(OR(E1421="",E1421="!!!",F1421="NEW"),"",INDEX(J$1:J1420,SUMPRODUCT(MAX(ROW(E$1:E1420)*(E1421=E$1:E1420)))))</f>
        <v/>
      </c>
      <c r="L1421" s="25"/>
    </row>
    <row r="1422" spans="1:12" x14ac:dyDescent="0.3">
      <c r="A1422" t="s">
        <v>407</v>
      </c>
      <c r="E1422" s="20" t="str">
        <f t="shared" si="160"/>
        <v/>
      </c>
      <c r="F1422" s="21" t="str">
        <f>IF(OR(E1422="",E1422="!!!"),"",IF(NOT(ISNA(VLOOKUP(E1422,E$1:E1421,1,FALSE()))),"OLD",IF(AND(E1422&lt;&gt;"",E1422&lt;&gt;"!!!"),"NEW","")))</f>
        <v/>
      </c>
      <c r="G1422" s="22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3" t="str">
        <f t="shared" ca="1" si="161"/>
        <v/>
      </c>
      <c r="I1422" s="24" t="str">
        <f>IF(OR(E1422="",E1422="!!!",F1422="NEW"),"",INDEX(B$2:B1421,-1+SUMPRODUCT(MAX(ROW(E$2:E1421)*(E1422=E$2:E1421)))))</f>
        <v/>
      </c>
      <c r="J1422" s="24" t="str">
        <f ca="1">IF(OR(E1422="",E1422="!!!",F1422="NEW"),"",COUNTBLANK(OFFSET(A$1,,,SUMPRODUCT(MAX(ROW(E$2:E1422)*(E1422=E$2:E1422)))))-COUNTBLANK(OFFSET(A$1,,,SUMPRODUCT(MAX(ROW(E$1:E1421)*(E2=E$1:E1421))))))</f>
        <v/>
      </c>
      <c r="K1422" s="24" t="str">
        <f>IF(OR(E1422="",E1422="!!!",F1422="NEW"),"",INDEX(J$1:J1421,SUMPRODUCT(MAX(ROW(E$1:E1421)*(E1422=E$1:E1421)))))</f>
        <v/>
      </c>
      <c r="L1422" s="25"/>
    </row>
    <row r="1423" spans="1:12" x14ac:dyDescent="0.3">
      <c r="A1423" t="s">
        <v>960</v>
      </c>
      <c r="E1423" s="20" t="str">
        <f t="shared" si="160"/>
        <v/>
      </c>
      <c r="F1423" s="21" t="str">
        <f>IF(OR(E1423="",E1423="!!!"),"",IF(NOT(ISNA(VLOOKUP(E1423,E$1:E1422,1,FALSE()))),"OLD",IF(AND(E1423&lt;&gt;"",E1423&lt;&gt;"!!!"),"NEW","")))</f>
        <v/>
      </c>
      <c r="G1423" s="22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/>
      </c>
      <c r="H1423" s="23" t="str">
        <f t="shared" ca="1" si="161"/>
        <v/>
      </c>
      <c r="I1423" s="24" t="str">
        <f>IF(OR(E1423="",E1423="!!!",F1423="NEW"),"",INDEX(B$2:B1422,-1+SUMPRODUCT(MAX(ROW(E$2:E1422)*(E1423=E$2:E1422)))))</f>
        <v/>
      </c>
      <c r="J1423" s="24" t="str">
        <f ca="1">IF(OR(E1423="",E1423="!!!",F1423="NEW"),"",COUNTBLANK(OFFSET(A$1,,,SUMPRODUCT(MAX(ROW(E$2:E1423)*(E1423=E$2:E1423)))))-COUNTBLANK(OFFSET(A$1,,,SUMPRODUCT(MAX(ROW(E$1:E1422)*(E2=E$1:E1422))))))</f>
        <v/>
      </c>
      <c r="K1423" s="24" t="str">
        <f>IF(OR(E1423="",E1423="!!!",F1423="NEW"),"",INDEX(J$1:J1422,SUMPRODUCT(MAX(ROW(E$1:E1422)*(E1423=E$1:E1422)))))</f>
        <v/>
      </c>
      <c r="L1423" s="25"/>
    </row>
    <row r="1424" spans="1:12" x14ac:dyDescent="0.3">
      <c r="A1424" t="s">
        <v>351</v>
      </c>
      <c r="E1424" s="20" t="str">
        <f t="shared" si="160"/>
        <v/>
      </c>
      <c r="F1424" s="21" t="str">
        <f>IF(OR(E1424="",E1424="!!!"),"",IF(NOT(ISNA(VLOOKUP(E1424,E$1:E1423,1,FALSE()))),"OLD",IF(AND(E1424&lt;&gt;"",E1424&lt;&gt;"!!!"),"NEW","")))</f>
        <v/>
      </c>
      <c r="G1424" s="22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3" t="str">
        <f t="shared" ca="1" si="161"/>
        <v/>
      </c>
      <c r="I1424" s="24" t="str">
        <f>IF(OR(E1424="",E1424="!!!",F1424="NEW"),"",INDEX(B$2:B1423,-1+SUMPRODUCT(MAX(ROW(E$2:E1423)*(E1424=E$2:E1423)))))</f>
        <v/>
      </c>
      <c r="J1424" s="24" t="str">
        <f ca="1">IF(OR(E1424="",E1424="!!!",F1424="NEW"),"",COUNTBLANK(OFFSET(A$1,,,SUMPRODUCT(MAX(ROW(E$2:E1424)*(E1424=E$2:E1424)))))-COUNTBLANK(OFFSET(A$1,,,SUMPRODUCT(MAX(ROW(E$1:E1423)*(E2=E$1:E1423))))))</f>
        <v/>
      </c>
      <c r="K1424" s="24" t="str">
        <f>IF(OR(E1424="",E1424="!!!",F1424="NEW"),"",INDEX(J$1:J1423,SUMPRODUCT(MAX(ROW(E$1:E1423)*(E1424=E$1:E1423)))))</f>
        <v/>
      </c>
      <c r="L1424" s="25"/>
    </row>
    <row r="1425" spans="1:12" x14ac:dyDescent="0.3">
      <c r="A1425" t="s">
        <v>961</v>
      </c>
      <c r="B1425" s="26" t="s">
        <v>509</v>
      </c>
      <c r="C1425" s="26" t="s">
        <v>355</v>
      </c>
      <c r="E1425" s="20" t="str">
        <f t="shared" si="160"/>
        <v/>
      </c>
      <c r="F1425" s="21" t="str">
        <f>IF(OR(E1425="",E1425="!!!"),"",IF(NOT(ISNA(VLOOKUP(E1425,E$1:E1424,1,FALSE()))),"OLD",IF(AND(E1425&lt;&gt;"",E1425&lt;&gt;"!!!"),"NEW","")))</f>
        <v/>
      </c>
      <c r="G1425" s="22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3" t="str">
        <f t="shared" ca="1" si="161"/>
        <v/>
      </c>
      <c r="I1425" s="24" t="str">
        <f>IF(OR(E1425="",E1425="!!!",F1425="NEW"),"",INDEX(B$2:B1424,-1+SUMPRODUCT(MAX(ROW(E$2:E1424)*(E1425=E$2:E1424)))))</f>
        <v/>
      </c>
      <c r="J1425" s="24" t="str">
        <f ca="1">IF(OR(E1425="",E1425="!!!",F1425="NEW"),"",COUNTBLANK(OFFSET(A$1,,,SUMPRODUCT(MAX(ROW(E$2:E1425)*(E1425=E$2:E1425)))))-COUNTBLANK(OFFSET(A$1,,,SUMPRODUCT(MAX(ROW(E$1:E1424)*(E2=E$1:E1424))))))</f>
        <v/>
      </c>
      <c r="K1425" s="24" t="str">
        <f>IF(OR(E1425="",E1425="!!!",F1425="NEW"),"",INDEX(J$1:J1424,SUMPRODUCT(MAX(ROW(E$1:E1424)*(E1425=E$1:E1424)))))</f>
        <v/>
      </c>
      <c r="L1425" s="25"/>
    </row>
    <row r="1426" spans="1:12" x14ac:dyDescent="0.3">
      <c r="A1426" t="s">
        <v>396</v>
      </c>
      <c r="E1426" s="20" t="str">
        <f t="shared" si="160"/>
        <v/>
      </c>
      <c r="F1426" s="21" t="str">
        <f>IF(OR(E1426="",E1426="!!!"),"",IF(NOT(ISNA(VLOOKUP(E1426,E$1:E1425,1,FALSE()))),"OLD",IF(AND(E1426&lt;&gt;"",E1426&lt;&gt;"!!!"),"NEW","")))</f>
        <v/>
      </c>
      <c r="G1426" s="22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3" t="str">
        <f t="shared" ca="1" si="161"/>
        <v/>
      </c>
      <c r="I1426" s="24" t="str">
        <f>IF(OR(E1426="",E1426="!!!",F1426="NEW"),"",INDEX(B$2:B1425,-1+SUMPRODUCT(MAX(ROW(E$2:E1425)*(E1426=E$2:E1425)))))</f>
        <v/>
      </c>
      <c r="J1426" s="24" t="str">
        <f ca="1">IF(OR(E1426="",E1426="!!!",F1426="NEW"),"",COUNTBLANK(OFFSET(A$1,,,SUMPRODUCT(MAX(ROW(E$2:E1426)*(E1426=E$2:E1426)))))-COUNTBLANK(OFFSET(A$1,,,SUMPRODUCT(MAX(ROW(E$1:E1425)*(E2=E$1:E1425))))))</f>
        <v/>
      </c>
      <c r="K1426" s="24" t="str">
        <f>IF(OR(E1426="",E1426="!!!",F1426="NEW"),"",INDEX(J$1:J1425,SUMPRODUCT(MAX(ROW(E$1:E1425)*(E1426=E$1:E1425)))))</f>
        <v/>
      </c>
      <c r="L1426" s="25"/>
    </row>
    <row r="1427" spans="1:12" x14ac:dyDescent="0.3">
      <c r="A1427" t="s">
        <v>962</v>
      </c>
      <c r="E1427" s="20" t="str">
        <f t="shared" si="160"/>
        <v/>
      </c>
      <c r="F1427" s="21" t="str">
        <f>IF(OR(E1427="",E1427="!!!"),"",IF(NOT(ISNA(VLOOKUP(E1427,E$1:E1426,1,FALSE()))),"OLD",IF(AND(E1427&lt;&gt;"",E1427&lt;&gt;"!!!"),"NEW","")))</f>
        <v/>
      </c>
      <c r="G1427" s="22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3" t="str">
        <f t="shared" ca="1" si="161"/>
        <v/>
      </c>
      <c r="I1427" s="24" t="str">
        <f>IF(OR(E1427="",E1427="!!!",F1427="NEW"),"",INDEX(B$2:B1426,-1+SUMPRODUCT(MAX(ROW(E$2:E1426)*(E1427=E$2:E1426)))))</f>
        <v/>
      </c>
      <c r="J1427" s="24" t="str">
        <f ca="1">IF(OR(E1427="",E1427="!!!",F1427="NEW"),"",COUNTBLANK(OFFSET(A$1,,,SUMPRODUCT(MAX(ROW(E$2:E1427)*(E1427=E$2:E1427)))))-COUNTBLANK(OFFSET(A$1,,,SUMPRODUCT(MAX(ROW(E$1:E1426)*(E2=E$1:E1426))))))</f>
        <v/>
      </c>
      <c r="K1427" s="24" t="str">
        <f>IF(OR(E1427="",E1427="!!!",F1427="NEW"),"",INDEX(J$1:J1426,SUMPRODUCT(MAX(ROW(E$1:E1426)*(E1427=E$1:E1426)))))</f>
        <v/>
      </c>
      <c r="L1427" s="25"/>
    </row>
    <row r="1428" spans="1:12" x14ac:dyDescent="0.3">
      <c r="A1428" t="s">
        <v>351</v>
      </c>
      <c r="E1428" s="20" t="str">
        <f t="shared" si="160"/>
        <v/>
      </c>
      <c r="F1428" s="21" t="str">
        <f>IF(OR(E1428="",E1428="!!!"),"",IF(NOT(ISNA(VLOOKUP(E1428,E$1:E1427,1,FALSE()))),"OLD",IF(AND(E1428&lt;&gt;"",E1428&lt;&gt;"!!!"),"NEW","")))</f>
        <v/>
      </c>
      <c r="G1428" s="22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3" t="str">
        <f t="shared" ca="1" si="161"/>
        <v/>
      </c>
      <c r="I1428" s="24" t="str">
        <f>IF(OR(E1428="",E1428="!!!",F1428="NEW"),"",INDEX(B$2:B1427,-1+SUMPRODUCT(MAX(ROW(E$2:E1427)*(E1428=E$2:E1427)))))</f>
        <v/>
      </c>
      <c r="J1428" s="24" t="str">
        <f ca="1">IF(OR(E1428="",E1428="!!!",F1428="NEW"),"",COUNTBLANK(OFFSET(A$1,,,SUMPRODUCT(MAX(ROW(E$2:E1428)*(E1428=E$2:E1428)))))-COUNTBLANK(OFFSET(A$1,,,SUMPRODUCT(MAX(ROW(E$1:E1427)*(E2=E$1:E1427))))))</f>
        <v/>
      </c>
      <c r="K1428" s="24" t="str">
        <f>IF(OR(E1428="",E1428="!!!",F1428="NEW"),"",INDEX(J$1:J1427,SUMPRODUCT(MAX(ROW(E$1:E1427)*(E1428=E$1:E1427)))))</f>
        <v/>
      </c>
      <c r="L1428" s="25"/>
    </row>
    <row r="1429" spans="1:12" x14ac:dyDescent="0.3">
      <c r="A1429" t="s">
        <v>494</v>
      </c>
      <c r="E1429" s="20" t="str">
        <f t="shared" si="160"/>
        <v/>
      </c>
      <c r="F1429" s="21" t="str">
        <f>IF(OR(E1429="",E1429="!!!"),"",IF(NOT(ISNA(VLOOKUP(E1429,E$1:E1428,1,FALSE()))),"OLD",IF(AND(E1429&lt;&gt;"",E1429&lt;&gt;"!!!"),"NEW","")))</f>
        <v/>
      </c>
      <c r="G1429" s="22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3" t="str">
        <f t="shared" ca="1" si="161"/>
        <v/>
      </c>
      <c r="I1429" s="24" t="str">
        <f>IF(OR(E1429="",E1429="!!!",F1429="NEW"),"",INDEX(B$2:B1428,-1+SUMPRODUCT(MAX(ROW(E$2:E1428)*(E1429=E$2:E1428)))))</f>
        <v/>
      </c>
      <c r="J1429" s="24" t="str">
        <f ca="1">IF(OR(E1429="",E1429="!!!",F1429="NEW"),"",COUNTBLANK(OFFSET(A$1,,,SUMPRODUCT(MAX(ROW(E$2:E1429)*(E1429=E$2:E1429)))))-COUNTBLANK(OFFSET(A$1,,,SUMPRODUCT(MAX(ROW(E$1:E1428)*(E2=E$1:E1428))))))</f>
        <v/>
      </c>
      <c r="K1429" s="24" t="str">
        <f>IF(OR(E1429="",E1429="!!!",F1429="NEW"),"",INDEX(J$1:J1428,SUMPRODUCT(MAX(ROW(E$1:E1428)*(E1429=E$1:E1428)))))</f>
        <v/>
      </c>
      <c r="L1429" s="25"/>
    </row>
    <row r="1430" spans="1:12" x14ac:dyDescent="0.3">
      <c r="A1430" t="s">
        <v>963</v>
      </c>
      <c r="E1430" s="20" t="str">
        <f t="shared" si="160"/>
        <v/>
      </c>
      <c r="F1430" s="21" t="str">
        <f>IF(OR(E1430="",E1430="!!!"),"",IF(NOT(ISNA(VLOOKUP(E1430,E$1:E1429,1,FALSE()))),"OLD",IF(AND(E1430&lt;&gt;"",E1430&lt;&gt;"!!!"),"NEW","")))</f>
        <v/>
      </c>
      <c r="G1430" s="22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3" t="str">
        <f t="shared" ca="1" si="161"/>
        <v/>
      </c>
      <c r="I1430" s="24" t="str">
        <f>IF(OR(E1430="",E1430="!!!",F1430="NEW"),"",INDEX(B$2:B1429,-1+SUMPRODUCT(MAX(ROW(E$2:E1429)*(E1430=E$2:E1429)))))</f>
        <v/>
      </c>
      <c r="J1430" s="24" t="str">
        <f ca="1">IF(OR(E1430="",E1430="!!!",F1430="NEW"),"",COUNTBLANK(OFFSET(A$1,,,SUMPRODUCT(MAX(ROW(E$2:E1430)*(E1430=E$2:E1430)))))-COUNTBLANK(OFFSET(A$1,,,SUMPRODUCT(MAX(ROW(E$1:E1429)*(E2=E$1:E1429))))))</f>
        <v/>
      </c>
      <c r="K1430" s="24" t="str">
        <f>IF(OR(E1430="",E1430="!!!",F1430="NEW"),"",INDEX(J$1:J1429,SUMPRODUCT(MAX(ROW(E$1:E1429)*(E1430=E$1:E1429)))))</f>
        <v/>
      </c>
      <c r="L1430" s="25"/>
    </row>
    <row r="1431" spans="1:12" x14ac:dyDescent="0.3">
      <c r="A1431" t="s">
        <v>437</v>
      </c>
      <c r="B1431" s="26" t="s">
        <v>431</v>
      </c>
      <c r="C1431" s="26" t="s">
        <v>438</v>
      </c>
      <c r="D1431" s="26" t="s">
        <v>332</v>
      </c>
      <c r="E1431" s="20" t="str">
        <f t="shared" si="160"/>
        <v>!!!</v>
      </c>
      <c r="F1431" s="21" t="str">
        <f>IF(OR(E1431="",E1431="!!!"),"",IF(NOT(ISNA(VLOOKUP(E1431,E$1:E1430,1,FALSE()))),"OLD",IF(AND(E1431&lt;&gt;"",E1431&lt;&gt;"!!!"),"NEW","")))</f>
        <v/>
      </c>
      <c r="G1431" s="22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3" t="str">
        <f t="shared" ca="1" si="161"/>
        <v/>
      </c>
      <c r="I1431" s="24" t="str">
        <f>IF(OR(E1431="",E1431="!!!",F1431="NEW"),"",INDEX(B$2:B1430,-1+SUMPRODUCT(MAX(ROW(E$2:E1430)*(E1431=E$2:E1430)))))</f>
        <v/>
      </c>
      <c r="J1431" s="24" t="str">
        <f ca="1">IF(OR(E1431="",E1431="!!!",F1431="NEW"),"",COUNTBLANK(OFFSET(A$1,,,SUMPRODUCT(MAX(ROW(E$2:E1431)*(E1431=E$2:E1431)))))-COUNTBLANK(OFFSET(A$1,,,SUMPRODUCT(MAX(ROW(E$1:E1430)*(E2=E$1:E1430))))))</f>
        <v/>
      </c>
      <c r="K1431" s="24" t="str">
        <f>IF(OR(E1431="",E1431="!!!",F1431="NEW"),"",INDEX(J$1:J1430,SUMPRODUCT(MAX(ROW(E$1:E1430)*(E1431=E$1:E1430)))))</f>
        <v/>
      </c>
      <c r="L1431" s="25"/>
    </row>
    <row r="1432" spans="1:12" x14ac:dyDescent="0.3">
      <c r="A1432" t="s">
        <v>399</v>
      </c>
      <c r="B1432" s="26" t="s">
        <v>450</v>
      </c>
      <c r="C1432" s="26" t="s">
        <v>438</v>
      </c>
      <c r="D1432" s="26" t="s">
        <v>332</v>
      </c>
      <c r="E1432" s="20" t="str">
        <f t="shared" si="160"/>
        <v>!!!</v>
      </c>
      <c r="F1432" s="21" t="str">
        <f>IF(OR(E1432="",E1432="!!!"),"",IF(NOT(ISNA(VLOOKUP(E1432,E$1:E1431,1,FALSE()))),"OLD",IF(AND(E1432&lt;&gt;"",E1432&lt;&gt;"!!!"),"NEW","")))</f>
        <v/>
      </c>
      <c r="G1432" s="22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3" t="str">
        <f t="shared" ca="1" si="161"/>
        <v/>
      </c>
      <c r="I1432" s="24" t="str">
        <f>IF(OR(E1432="",E1432="!!!",F1432="NEW"),"",INDEX(B$2:B1431,-1+SUMPRODUCT(MAX(ROW(E$2:E1431)*(E1432=E$2:E1431)))))</f>
        <v/>
      </c>
      <c r="J1432" s="24" t="str">
        <f ca="1">IF(OR(E1432="",E1432="!!!",F1432="NEW"),"",COUNTBLANK(OFFSET(A$1,,,SUMPRODUCT(MAX(ROW(E$2:E1432)*(E1432=E$2:E1432)))))-COUNTBLANK(OFFSET(A$1,,,SUMPRODUCT(MAX(ROW(E$1:E1431)*(E2=E$1:E1431))))))</f>
        <v/>
      </c>
      <c r="K1432" s="24" t="str">
        <f>IF(OR(E1432="",E1432="!!!",F1432="NEW"),"",INDEX(J$1:J1431,SUMPRODUCT(MAX(ROW(E$1:E1431)*(E1432=E$1:E1431)))))</f>
        <v/>
      </c>
      <c r="L1432" s="25"/>
    </row>
    <row r="1433" spans="1:12" x14ac:dyDescent="0.3">
      <c r="A1433" t="s">
        <v>510</v>
      </c>
      <c r="E1433" s="20" t="str">
        <f t="shared" si="160"/>
        <v/>
      </c>
      <c r="F1433" s="21" t="str">
        <f>IF(OR(E1433="",E1433="!!!"),"",IF(NOT(ISNA(VLOOKUP(E1433,E$1:E1432,1,FALSE()))),"OLD",IF(AND(E1433&lt;&gt;"",E1433&lt;&gt;"!!!"),"NEW","")))</f>
        <v/>
      </c>
      <c r="G1433" s="22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3" t="str">
        <f t="shared" ca="1" si="161"/>
        <v/>
      </c>
      <c r="I1433" s="24" t="str">
        <f>IF(OR(E1433="",E1433="!!!",F1433="NEW"),"",INDEX(B$2:B1432,-1+SUMPRODUCT(MAX(ROW(E$2:E1432)*(E1433=E$2:E1432)))))</f>
        <v/>
      </c>
      <c r="J1433" s="24" t="str">
        <f ca="1">IF(OR(E1433="",E1433="!!!",F1433="NEW"),"",COUNTBLANK(OFFSET(A$1,,,SUMPRODUCT(MAX(ROW(E$2:E1433)*(E1433=E$2:E1433)))))-COUNTBLANK(OFFSET(A$1,,,SUMPRODUCT(MAX(ROW(E$1:E1432)*(E2=E$1:E1432))))))</f>
        <v/>
      </c>
      <c r="K1433" s="24" t="str">
        <f>IF(OR(E1433="",E1433="!!!",F1433="NEW"),"",INDEX(J$1:J1432,SUMPRODUCT(MAX(ROW(E$1:E1432)*(E1433=E$1:E1432)))))</f>
        <v/>
      </c>
      <c r="L1433" s="25"/>
    </row>
    <row r="1434" spans="1:12" x14ac:dyDescent="0.3">
      <c r="A1434" t="s">
        <v>363</v>
      </c>
      <c r="E1434" s="20" t="str">
        <f t="shared" si="160"/>
        <v/>
      </c>
      <c r="F1434" s="21" t="str">
        <f>IF(OR(E1434="",E1434="!!!"),"",IF(NOT(ISNA(VLOOKUP(E1434,E$1:E1433,1,FALSE()))),"OLD",IF(AND(E1434&lt;&gt;"",E1434&lt;&gt;"!!!"),"NEW","")))</f>
        <v/>
      </c>
      <c r="G1434" s="22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/>
      </c>
      <c r="H1434" s="23" t="str">
        <f t="shared" ca="1" si="161"/>
        <v/>
      </c>
      <c r="I1434" s="24" t="str">
        <f>IF(OR(E1434="",E1434="!!!",F1434="NEW"),"",INDEX(B$2:B1433,-1+SUMPRODUCT(MAX(ROW(E$2:E1433)*(E1434=E$2:E1433)))))</f>
        <v/>
      </c>
      <c r="J1434" s="24" t="str">
        <f ca="1">IF(OR(E1434="",E1434="!!!",F1434="NEW"),"",COUNTBLANK(OFFSET(A$1,,,SUMPRODUCT(MAX(ROW(E$2:E1434)*(E1434=E$2:E1434)))))-COUNTBLANK(OFFSET(A$1,,,SUMPRODUCT(MAX(ROW(E$1:E1433)*(E2=E$1:E1433))))))</f>
        <v/>
      </c>
      <c r="K1434" s="24" t="str">
        <f>IF(OR(E1434="",E1434="!!!",F1434="NEW"),"",INDEX(J$1:J1433,SUMPRODUCT(MAX(ROW(E$1:E1433)*(E1434=E$1:E1433)))))</f>
        <v/>
      </c>
      <c r="L1434" s="25"/>
    </row>
    <row r="1435" spans="1:12" x14ac:dyDescent="0.3">
      <c r="A1435" t="s">
        <v>338</v>
      </c>
      <c r="E1435" s="20" t="str">
        <f t="shared" si="160"/>
        <v/>
      </c>
      <c r="F1435" s="21" t="str">
        <f>IF(OR(E1435="",E1435="!!!"),"",IF(NOT(ISNA(VLOOKUP(E1435,E$1:E1434,1,FALSE()))),"OLD",IF(AND(E1435&lt;&gt;"",E1435&lt;&gt;"!!!"),"NEW","")))</f>
        <v/>
      </c>
      <c r="G1435" s="22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3" t="str">
        <f t="shared" ca="1" si="161"/>
        <v/>
      </c>
      <c r="I1435" s="24" t="str">
        <f>IF(OR(E1435="",E1435="!!!",F1435="NEW"),"",INDEX(B$2:B1434,-1+SUMPRODUCT(MAX(ROW(E$2:E1434)*(E1435=E$2:E1434)))))</f>
        <v/>
      </c>
      <c r="J1435" s="24" t="str">
        <f ca="1">IF(OR(E1435="",E1435="!!!",F1435="NEW"),"",COUNTBLANK(OFFSET(A$1,,,SUMPRODUCT(MAX(ROW(E$2:E1435)*(E1435=E$2:E1435)))))-COUNTBLANK(OFFSET(A$1,,,SUMPRODUCT(MAX(ROW(E$1:E1434)*(E2=E$1:E1434))))))</f>
        <v/>
      </c>
      <c r="K1435" s="24" t="str">
        <f>IF(OR(E1435="",E1435="!!!",F1435="NEW"),"",INDEX(J$1:J1434,SUMPRODUCT(MAX(ROW(E$1:E1434)*(E1435=E$1:E1434)))))</f>
        <v/>
      </c>
      <c r="L1435" s="25"/>
    </row>
    <row r="1436" spans="1:12" x14ac:dyDescent="0.3">
      <c r="A1436" t="s">
        <v>575</v>
      </c>
      <c r="E1436" s="20" t="str">
        <f t="shared" si="160"/>
        <v/>
      </c>
      <c r="F1436" s="21" t="str">
        <f>IF(OR(E1436="",E1436="!!!"),"",IF(NOT(ISNA(VLOOKUP(E1436,E$1:E1435,1,FALSE()))),"OLD",IF(AND(E1436&lt;&gt;"",E1436&lt;&gt;"!!!"),"NEW","")))</f>
        <v/>
      </c>
      <c r="G1436" s="22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/>
      </c>
      <c r="H1436" s="23" t="str">
        <f t="shared" ca="1" si="161"/>
        <v/>
      </c>
      <c r="I1436" s="24" t="str">
        <f>IF(OR(E1436="",E1436="!!!",F1436="NEW"),"",INDEX(B$2:B1435,-1+SUMPRODUCT(MAX(ROW(E$2:E1435)*(E1436=E$2:E1435)))))</f>
        <v/>
      </c>
      <c r="J1436" s="24" t="str">
        <f ca="1">IF(OR(E1436="",E1436="!!!",F1436="NEW"),"",COUNTBLANK(OFFSET(A$1,,,SUMPRODUCT(MAX(ROW(E$2:E1436)*(E1436=E$2:E1436)))))-COUNTBLANK(OFFSET(A$1,,,SUMPRODUCT(MAX(ROW(E$1:E1435)*(E2=E$1:E1435))))))</f>
        <v/>
      </c>
      <c r="K1436" s="24" t="str">
        <f>IF(OR(E1436="",E1436="!!!",F1436="NEW"),"",INDEX(J$1:J1435,SUMPRODUCT(MAX(ROW(E$1:E1435)*(E1436=E$1:E1435)))))</f>
        <v/>
      </c>
      <c r="L1436" s="25"/>
    </row>
    <row r="1438" spans="1:12" x14ac:dyDescent="0.3">
      <c r="A1438" t="s">
        <v>573</v>
      </c>
      <c r="E1438" s="20" t="str">
        <f>IF(D1438="?OLD","!!!","")</f>
        <v/>
      </c>
      <c r="F1438" s="21" t="str">
        <f>IF(OR(E1438="",E1438="!!!"),"",IF(NOT(ISNA(VLOOKUP(E1438,E$1:E1437,1,FALSE()))),"OLD",IF(AND(E1438&lt;&gt;"",E1438&lt;&gt;"!!!"),"NEW","")))</f>
        <v/>
      </c>
      <c r="G1438" s="22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3" t="str">
        <f ca="1">IF(J1438&lt;&gt;1,"",IF(I1438="SBJ","CB","?"))</f>
        <v/>
      </c>
      <c r="I1438" s="24" t="str">
        <f>IF(OR(E1438="",E1438="!!!",F1438="NEW"),"",INDEX(B$2:B1437,-1+SUMPRODUCT(MAX(ROW(E$2:E1437)*(E1438=E$2:E1437)))))</f>
        <v/>
      </c>
      <c r="J1438" s="24" t="str">
        <f ca="1">IF(OR(E1438="",E1438="!!!",F1438="NEW"),"",COUNTBLANK(OFFSET(A$1,,,SUMPRODUCT(MAX(ROW(E$2:E1438)*(E1438=E$2:E1438)))))-COUNTBLANK(OFFSET(A$1,,,SUMPRODUCT(MAX(ROW(E$1:E1437)*(E2=E$1:E1437))))))</f>
        <v/>
      </c>
      <c r="K1438" s="24" t="str">
        <f>IF(OR(E1438="",E1438="!!!",F1438="NEW"),"",INDEX(J$1:J1437,SUMPRODUCT(MAX(ROW(E$1:E1437)*(E1438=E$1:E1437)))))</f>
        <v/>
      </c>
      <c r="L1438" s="25"/>
    </row>
    <row r="1439" spans="1:12" x14ac:dyDescent="0.3">
      <c r="A1439" t="s">
        <v>964</v>
      </c>
    </row>
    <row r="1440" spans="1:12" x14ac:dyDescent="0.3">
      <c r="A1440" t="s">
        <v>965</v>
      </c>
      <c r="B1440" s="26" t="s">
        <v>378</v>
      </c>
      <c r="C1440" s="26" t="s">
        <v>496</v>
      </c>
      <c r="D1440" s="26" t="s">
        <v>332</v>
      </c>
      <c r="E1440" s="20" t="str">
        <f t="shared" ref="E1440:E1452" si="162">IF(D1440="?OLD","!!!","")</f>
        <v>!!!</v>
      </c>
      <c r="F1440" s="21" t="str">
        <f>IF(OR(E1440="",E1440="!!!"),"",IF(NOT(ISNA(VLOOKUP(E1440,E$1:E1439,1,FALSE()))),"OLD",IF(AND(E1440&lt;&gt;"",E1440&lt;&gt;"!!!"),"NEW","")))</f>
        <v/>
      </c>
      <c r="G1440" s="22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3" t="str">
        <f t="shared" ref="H1440:H1452" ca="1" si="163">IF(J1440&lt;&gt;1,"",IF(I1440="SBJ","CB","?"))</f>
        <v/>
      </c>
      <c r="I1440" s="24" t="str">
        <f>IF(OR(E1440="",E1440="!!!",F1440="NEW"),"",INDEX(B$2:B1439,-1+SUMPRODUCT(MAX(ROW(E$2:E1439)*(E1440=E$2:E1439)))))</f>
        <v/>
      </c>
      <c r="J1440" s="24" t="str">
        <f ca="1">IF(OR(E1440="",E1440="!!!",F1440="NEW"),"",COUNTBLANK(OFFSET(A$1,,,SUMPRODUCT(MAX(ROW(E$2:E1440)*(E1440=E$2:E1440)))))-COUNTBLANK(OFFSET(A$1,,,SUMPRODUCT(MAX(ROW(E$1:E1439)*(E2=E$1:E1439))))))</f>
        <v/>
      </c>
      <c r="K1440" s="24" t="str">
        <f>IF(OR(E1440="",E1440="!!!",F1440="NEW"),"",INDEX(J$1:J1439,SUMPRODUCT(MAX(ROW(E$1:E1439)*(E1440=E$1:E1439)))))</f>
        <v/>
      </c>
      <c r="L1440" s="25"/>
    </row>
    <row r="1441" spans="1:12" x14ac:dyDescent="0.3">
      <c r="A1441" t="s">
        <v>410</v>
      </c>
      <c r="E1441" s="20" t="str">
        <f t="shared" si="162"/>
        <v/>
      </c>
      <c r="F1441" s="21" t="str">
        <f>IF(OR(E1441="",E1441="!!!"),"",IF(NOT(ISNA(VLOOKUP(E1441,E$1:E1440,1,FALSE()))),"OLD",IF(AND(E1441&lt;&gt;"",E1441&lt;&gt;"!!!"),"NEW","")))</f>
        <v/>
      </c>
      <c r="G1441" s="22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3" t="str">
        <f t="shared" ca="1" si="163"/>
        <v/>
      </c>
      <c r="I1441" s="24" t="str">
        <f>IF(OR(E1441="",E1441="!!!",F1441="NEW"),"",INDEX(B$2:B1440,-1+SUMPRODUCT(MAX(ROW(E$2:E1440)*(E1441=E$2:E1440)))))</f>
        <v/>
      </c>
      <c r="J1441" s="24" t="str">
        <f ca="1">IF(OR(E1441="",E1441="!!!",F1441="NEW"),"",COUNTBLANK(OFFSET(A$1,,,SUMPRODUCT(MAX(ROW(E$2:E1441)*(E1441=E$2:E1441)))))-COUNTBLANK(OFFSET(A$1,,,SUMPRODUCT(MAX(ROW(E$1:E1440)*(E2=E$1:E1440))))))</f>
        <v/>
      </c>
      <c r="K1441" s="24" t="str">
        <f>IF(OR(E1441="",E1441="!!!",F1441="NEW"),"",INDEX(J$1:J1440,SUMPRODUCT(MAX(ROW(E$1:E1440)*(E1441=E$1:E1440)))))</f>
        <v/>
      </c>
      <c r="L1441" s="25"/>
    </row>
    <row r="1442" spans="1:12" x14ac:dyDescent="0.3">
      <c r="A1442" t="s">
        <v>575</v>
      </c>
      <c r="E1442" s="20" t="str">
        <f t="shared" si="162"/>
        <v/>
      </c>
      <c r="F1442" s="21" t="str">
        <f>IF(OR(E1442="",E1442="!!!"),"",IF(NOT(ISNA(VLOOKUP(E1442,E$1:E1441,1,FALSE()))),"OLD",IF(AND(E1442&lt;&gt;"",E1442&lt;&gt;"!!!"),"NEW","")))</f>
        <v/>
      </c>
      <c r="G1442" s="22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/>
      </c>
      <c r="H1442" s="23" t="str">
        <f t="shared" ca="1" si="163"/>
        <v/>
      </c>
      <c r="I1442" s="24" t="str">
        <f>IF(OR(E1442="",E1442="!!!",F1442="NEW"),"",INDEX(B$2:B1441,-1+SUMPRODUCT(MAX(ROW(E$2:E1441)*(E1442=E$2:E1441)))))</f>
        <v/>
      </c>
      <c r="J1442" s="24" t="str">
        <f ca="1">IF(OR(E1442="",E1442="!!!",F1442="NEW"),"",COUNTBLANK(OFFSET(A$1,,,SUMPRODUCT(MAX(ROW(E$2:E1442)*(E1442=E$2:E1442)))))-COUNTBLANK(OFFSET(A$1,,,SUMPRODUCT(MAX(ROW(E$1:E1441)*(E2=E$1:E1441))))))</f>
        <v/>
      </c>
      <c r="K1442" s="24" t="str">
        <f>IF(OR(E1442="",E1442="!!!",F1442="NEW"),"",INDEX(J$1:J1441,SUMPRODUCT(MAX(ROW(E$1:E1441)*(E1442=E$1:E1441)))))</f>
        <v/>
      </c>
      <c r="L1442" s="25"/>
    </row>
    <row r="1443" spans="1:12" x14ac:dyDescent="0.3">
      <c r="A1443" t="s">
        <v>468</v>
      </c>
      <c r="B1443" s="26" t="s">
        <v>330</v>
      </c>
      <c r="C1443" s="26" t="s">
        <v>438</v>
      </c>
      <c r="D1443" s="26" t="s">
        <v>332</v>
      </c>
      <c r="E1443" s="20" t="str">
        <f t="shared" si="162"/>
        <v>!!!</v>
      </c>
      <c r="F1443" s="21" t="str">
        <f>IF(OR(E1443="",E1443="!!!"),"",IF(NOT(ISNA(VLOOKUP(E1443,E$1:E1442,1,FALSE()))),"OLD",IF(AND(E1443&lt;&gt;"",E1443&lt;&gt;"!!!"),"NEW","")))</f>
        <v/>
      </c>
      <c r="G1443" s="22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3" t="str">
        <f t="shared" ca="1" si="163"/>
        <v/>
      </c>
      <c r="I1443" s="24" t="str">
        <f>IF(OR(E1443="",E1443="!!!",F1443="NEW"),"",INDEX(B$2:B1442,-1+SUMPRODUCT(MAX(ROW(E$2:E1442)*(E1443=E$2:E1442)))))</f>
        <v/>
      </c>
      <c r="J1443" s="24" t="str">
        <f ca="1">IF(OR(E1443="",E1443="!!!",F1443="NEW"),"",COUNTBLANK(OFFSET(A$1,,,SUMPRODUCT(MAX(ROW(E$2:E1443)*(E1443=E$2:E1443)))))-COUNTBLANK(OFFSET(A$1,,,SUMPRODUCT(MAX(ROW(E$1:E1442)*(E2=E$1:E1442))))))</f>
        <v/>
      </c>
      <c r="K1443" s="24" t="str">
        <f>IF(OR(E1443="",E1443="!!!",F1443="NEW"),"",INDEX(J$1:J1442,SUMPRODUCT(MAX(ROW(E$1:E1442)*(E1443=E$1:E1442)))))</f>
        <v/>
      </c>
      <c r="L1443" s="25"/>
    </row>
    <row r="1444" spans="1:12" x14ac:dyDescent="0.3">
      <c r="A1444" t="s">
        <v>830</v>
      </c>
      <c r="E1444" s="20" t="str">
        <f t="shared" si="162"/>
        <v/>
      </c>
      <c r="F1444" s="21" t="str">
        <f>IF(OR(E1444="",E1444="!!!"),"",IF(NOT(ISNA(VLOOKUP(E1444,E$1:E1443,1,FALSE()))),"OLD",IF(AND(E1444&lt;&gt;"",E1444&lt;&gt;"!!!"),"NEW","")))</f>
        <v/>
      </c>
      <c r="G1444" s="22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3" t="str">
        <f t="shared" ca="1" si="163"/>
        <v/>
      </c>
      <c r="I1444" s="24" t="str">
        <f>IF(OR(E1444="",E1444="!!!",F1444="NEW"),"",INDEX(B$2:B1443,-1+SUMPRODUCT(MAX(ROW(E$2:E1443)*(E1444=E$2:E1443)))))</f>
        <v/>
      </c>
      <c r="J1444" s="24" t="str">
        <f ca="1">IF(OR(E1444="",E1444="!!!",F1444="NEW"),"",COUNTBLANK(OFFSET(A$1,,,SUMPRODUCT(MAX(ROW(E$2:E1444)*(E1444=E$2:E1444)))))-COUNTBLANK(OFFSET(A$1,,,SUMPRODUCT(MAX(ROW(E$1:E1443)*(E2=E$1:E1443))))))</f>
        <v/>
      </c>
      <c r="K1444" s="24" t="str">
        <f>IF(OR(E1444="",E1444="!!!",F1444="NEW"),"",INDEX(J$1:J1443,SUMPRODUCT(MAX(ROW(E$1:E1443)*(E1444=E$1:E1443)))))</f>
        <v/>
      </c>
      <c r="L1444" s="25"/>
    </row>
    <row r="1445" spans="1:12" x14ac:dyDescent="0.3">
      <c r="A1445" t="s">
        <v>801</v>
      </c>
      <c r="E1445" s="20" t="str">
        <f t="shared" si="162"/>
        <v/>
      </c>
      <c r="F1445" s="21" t="str">
        <f>IF(OR(E1445="",E1445="!!!"),"",IF(NOT(ISNA(VLOOKUP(E1445,E$1:E1444,1,FALSE()))),"OLD",IF(AND(E1445&lt;&gt;"",E1445&lt;&gt;"!!!"),"NEW","")))</f>
        <v/>
      </c>
      <c r="G1445" s="22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3" t="str">
        <f t="shared" ca="1" si="163"/>
        <v/>
      </c>
      <c r="I1445" s="24" t="str">
        <f>IF(OR(E1445="",E1445="!!!",F1445="NEW"),"",INDEX(B$2:B1444,-1+SUMPRODUCT(MAX(ROW(E$2:E1444)*(E1445=E$2:E1444)))))</f>
        <v/>
      </c>
      <c r="J1445" s="24" t="str">
        <f ca="1">IF(OR(E1445="",E1445="!!!",F1445="NEW"),"",COUNTBLANK(OFFSET(A$1,,,SUMPRODUCT(MAX(ROW(E$2:E1445)*(E1445=E$2:E1445)))))-COUNTBLANK(OFFSET(A$1,,,SUMPRODUCT(MAX(ROW(E$1:E1444)*(E2=E$1:E1444))))))</f>
        <v/>
      </c>
      <c r="K1445" s="24" t="str">
        <f>IF(OR(E1445="",E1445="!!!",F1445="NEW"),"",INDEX(J$1:J1444,SUMPRODUCT(MAX(ROW(E$1:E1444)*(E1445=E$1:E1444)))))</f>
        <v/>
      </c>
      <c r="L1445" s="25"/>
    </row>
    <row r="1446" spans="1:12" x14ac:dyDescent="0.3">
      <c r="A1446" t="s">
        <v>335</v>
      </c>
      <c r="E1446" s="20" t="str">
        <f t="shared" si="162"/>
        <v/>
      </c>
      <c r="F1446" s="21" t="str">
        <f>IF(OR(E1446="",E1446="!!!"),"",IF(NOT(ISNA(VLOOKUP(E1446,E$1:E1445,1,FALSE()))),"OLD",IF(AND(E1446&lt;&gt;"",E1446&lt;&gt;"!!!"),"NEW","")))</f>
        <v/>
      </c>
      <c r="G1446" s="22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3" t="str">
        <f t="shared" ca="1" si="163"/>
        <v/>
      </c>
      <c r="I1446" s="24" t="str">
        <f>IF(OR(E1446="",E1446="!!!",F1446="NEW"),"",INDEX(B$2:B1445,-1+SUMPRODUCT(MAX(ROW(E$2:E1445)*(E1446=E$2:E1445)))))</f>
        <v/>
      </c>
      <c r="J1446" s="24" t="str">
        <f ca="1">IF(OR(E1446="",E1446="!!!",F1446="NEW"),"",COUNTBLANK(OFFSET(A$1,,,SUMPRODUCT(MAX(ROW(E$2:E1446)*(E1446=E$2:E1446)))))-COUNTBLANK(OFFSET(A$1,,,SUMPRODUCT(MAX(ROW(E$1:E1445)*(E2=E$1:E1445))))))</f>
        <v/>
      </c>
      <c r="K1446" s="24" t="str">
        <f>IF(OR(E1446="",E1446="!!!",F1446="NEW"),"",INDEX(J$1:J1445,SUMPRODUCT(MAX(ROW(E$1:E1445)*(E1446=E$1:E1445)))))</f>
        <v/>
      </c>
      <c r="L1446" s="25"/>
    </row>
    <row r="1447" spans="1:12" x14ac:dyDescent="0.3">
      <c r="A1447" t="s">
        <v>966</v>
      </c>
      <c r="B1447" s="26" t="s">
        <v>337</v>
      </c>
      <c r="C1447" s="26" t="s">
        <v>496</v>
      </c>
      <c r="D1447" s="26" t="s">
        <v>332</v>
      </c>
      <c r="E1447" s="20" t="str">
        <f t="shared" si="162"/>
        <v>!!!</v>
      </c>
      <c r="F1447" s="21" t="str">
        <f>IF(OR(E1447="",E1447="!!!"),"",IF(NOT(ISNA(VLOOKUP(E1447,E$1:E1446,1,FALSE()))),"OLD",IF(AND(E1447&lt;&gt;"",E1447&lt;&gt;"!!!"),"NEW","")))</f>
        <v/>
      </c>
      <c r="G1447" s="22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3" t="str">
        <f t="shared" ca="1" si="163"/>
        <v/>
      </c>
      <c r="I1447" s="24" t="str">
        <f>IF(OR(E1447="",E1447="!!!",F1447="NEW"),"",INDEX(B$2:B1446,-1+SUMPRODUCT(MAX(ROW(E$2:E1446)*(E1447=E$2:E1446)))))</f>
        <v/>
      </c>
      <c r="J1447" s="24" t="str">
        <f ca="1">IF(OR(E1447="",E1447="!!!",F1447="NEW"),"",COUNTBLANK(OFFSET(A$1,,,SUMPRODUCT(MAX(ROW(E$2:E1447)*(E1447=E$2:E1447)))))-COUNTBLANK(OFFSET(A$1,,,SUMPRODUCT(MAX(ROW(E$1:E1446)*(E2=E$1:E1446))))))</f>
        <v/>
      </c>
      <c r="K1447" s="24" t="str">
        <f>IF(OR(E1447="",E1447="!!!",F1447="NEW"),"",INDEX(J$1:J1446,SUMPRODUCT(MAX(ROW(E$1:E1446)*(E1447=E$1:E1446)))))</f>
        <v/>
      </c>
      <c r="L1447" s="25"/>
    </row>
    <row r="1448" spans="1:12" x14ac:dyDescent="0.3">
      <c r="A1448" t="s">
        <v>967</v>
      </c>
      <c r="B1448" s="26" t="s">
        <v>378</v>
      </c>
      <c r="C1448" s="26" t="s">
        <v>438</v>
      </c>
      <c r="D1448" s="26" t="s">
        <v>332</v>
      </c>
      <c r="E1448" s="20" t="str">
        <f t="shared" si="162"/>
        <v>!!!</v>
      </c>
      <c r="F1448" s="21" t="str">
        <f>IF(OR(E1448="",E1448="!!!"),"",IF(NOT(ISNA(VLOOKUP(E1448,E$1:E1447,1,FALSE()))),"OLD",IF(AND(E1448&lt;&gt;"",E1448&lt;&gt;"!!!"),"NEW","")))</f>
        <v/>
      </c>
      <c r="G1448" s="22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3" t="str">
        <f t="shared" ca="1" si="163"/>
        <v/>
      </c>
      <c r="I1448" s="24" t="str">
        <f>IF(OR(E1448="",E1448="!!!",F1448="NEW"),"",INDEX(B$2:B1447,-1+SUMPRODUCT(MAX(ROW(E$2:E1447)*(E1448=E$2:E1447)))))</f>
        <v/>
      </c>
      <c r="J1448" s="24" t="str">
        <f ca="1">IF(OR(E1448="",E1448="!!!",F1448="NEW"),"",COUNTBLANK(OFFSET(A$1,,,SUMPRODUCT(MAX(ROW(E$2:E1448)*(E1448=E$2:E1448)))))-COUNTBLANK(OFFSET(A$1,,,SUMPRODUCT(MAX(ROW(E$1:E1447)*(E2=E$1:E1447))))))</f>
        <v/>
      </c>
      <c r="K1448" s="24" t="str">
        <f>IF(OR(E1448="",E1448="!!!",F1448="NEW"),"",INDEX(J$1:J1447,SUMPRODUCT(MAX(ROW(E$1:E1447)*(E1448=E$1:E1447)))))</f>
        <v/>
      </c>
      <c r="L1448" s="25"/>
    </row>
    <row r="1449" spans="1:12" x14ac:dyDescent="0.3">
      <c r="A1449" t="s">
        <v>968</v>
      </c>
      <c r="B1449" s="26" t="s">
        <v>344</v>
      </c>
      <c r="C1449" s="26" t="s">
        <v>366</v>
      </c>
      <c r="E1449" s="20" t="str">
        <f t="shared" si="162"/>
        <v/>
      </c>
      <c r="F1449" s="21" t="str">
        <f>IF(OR(E1449="",E1449="!!!"),"",IF(NOT(ISNA(VLOOKUP(E1449,E$1:E1448,1,FALSE()))),"OLD",IF(AND(E1449&lt;&gt;"",E1449&lt;&gt;"!!!"),"NEW","")))</f>
        <v/>
      </c>
      <c r="G1449" s="22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3" t="str">
        <f t="shared" ca="1" si="163"/>
        <v/>
      </c>
      <c r="I1449" s="24" t="str">
        <f>IF(OR(E1449="",E1449="!!!",F1449="NEW"),"",INDEX(B$2:B1448,-1+SUMPRODUCT(MAX(ROW(E$2:E1448)*(E1449=E$2:E1448)))))</f>
        <v/>
      </c>
      <c r="J1449" s="24" t="str">
        <f ca="1">IF(OR(E1449="",E1449="!!!",F1449="NEW"),"",COUNTBLANK(OFFSET(A$1,,,SUMPRODUCT(MAX(ROW(E$2:E1449)*(E1449=E$2:E1449)))))-COUNTBLANK(OFFSET(A$1,,,SUMPRODUCT(MAX(ROW(E$1:E1448)*(E2=E$1:E1448))))))</f>
        <v/>
      </c>
      <c r="K1449" s="24" t="str">
        <f>IF(OR(E1449="",E1449="!!!",F1449="NEW"),"",INDEX(J$1:J1448,SUMPRODUCT(MAX(ROW(E$1:E1448)*(E1449=E$1:E1448)))))</f>
        <v/>
      </c>
      <c r="L1449" s="25"/>
    </row>
    <row r="1450" spans="1:12" x14ac:dyDescent="0.3">
      <c r="A1450" t="s">
        <v>969</v>
      </c>
      <c r="E1450" s="20" t="str">
        <f t="shared" si="162"/>
        <v/>
      </c>
      <c r="F1450" s="21" t="str">
        <f>IF(OR(E1450="",E1450="!!!"),"",IF(NOT(ISNA(VLOOKUP(E1450,E$1:E1449,1,FALSE()))),"OLD",IF(AND(E1450&lt;&gt;"",E1450&lt;&gt;"!!!"),"NEW","")))</f>
        <v/>
      </c>
      <c r="G1450" s="22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3" t="str">
        <f t="shared" ca="1" si="163"/>
        <v/>
      </c>
      <c r="I1450" s="24" t="str">
        <f>IF(OR(E1450="",E1450="!!!",F1450="NEW"),"",INDEX(B$2:B1449,-1+SUMPRODUCT(MAX(ROW(E$2:E1449)*(E1450=E$2:E1449)))))</f>
        <v/>
      </c>
      <c r="J1450" s="24" t="str">
        <f ca="1">IF(OR(E1450="",E1450="!!!",F1450="NEW"),"",COUNTBLANK(OFFSET(A$1,,,SUMPRODUCT(MAX(ROW(E$2:E1450)*(E1450=E$2:E1450)))))-COUNTBLANK(OFFSET(A$1,,,SUMPRODUCT(MAX(ROW(E$1:E1449)*(E2=E$1:E1449))))))</f>
        <v/>
      </c>
      <c r="K1450" s="24" t="str">
        <f>IF(OR(E1450="",E1450="!!!",F1450="NEW"),"",INDEX(J$1:J1449,SUMPRODUCT(MAX(ROW(E$1:E1449)*(E1450=E$1:E1449)))))</f>
        <v/>
      </c>
      <c r="L1450" s="25"/>
    </row>
    <row r="1451" spans="1:12" x14ac:dyDescent="0.3">
      <c r="A1451" t="s">
        <v>338</v>
      </c>
      <c r="E1451" s="20" t="str">
        <f t="shared" si="162"/>
        <v/>
      </c>
      <c r="F1451" s="21" t="str">
        <f>IF(OR(E1451="",E1451="!!!"),"",IF(NOT(ISNA(VLOOKUP(E1451,E$1:E1450,1,FALSE()))),"OLD",IF(AND(E1451&lt;&gt;"",E1451&lt;&gt;"!!!"),"NEW","")))</f>
        <v/>
      </c>
      <c r="G1451" s="22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3" t="str">
        <f t="shared" ca="1" si="163"/>
        <v/>
      </c>
      <c r="I1451" s="24" t="str">
        <f>IF(OR(E1451="",E1451="!!!",F1451="NEW"),"",INDEX(B$2:B1450,-1+SUMPRODUCT(MAX(ROW(E$2:E1450)*(E1451=E$2:E1450)))))</f>
        <v/>
      </c>
      <c r="J1451" s="24" t="str">
        <f ca="1">IF(OR(E1451="",E1451="!!!",F1451="NEW"),"",COUNTBLANK(OFFSET(A$1,,,SUMPRODUCT(MAX(ROW(E$2:E1451)*(E1451=E$2:E1451)))))-COUNTBLANK(OFFSET(A$1,,,SUMPRODUCT(MAX(ROW(E$1:E1450)*(E2=E$1:E1450))))))</f>
        <v/>
      </c>
      <c r="K1451" s="24" t="str">
        <f>IF(OR(E1451="",E1451="!!!",F1451="NEW"),"",INDEX(J$1:J1450,SUMPRODUCT(MAX(ROW(E$1:E1450)*(E1451=E$1:E1450)))))</f>
        <v/>
      </c>
      <c r="L1451" s="25"/>
    </row>
    <row r="1452" spans="1:12" x14ac:dyDescent="0.3">
      <c r="A1452" t="s">
        <v>575</v>
      </c>
      <c r="E1452" s="20" t="str">
        <f t="shared" si="162"/>
        <v/>
      </c>
      <c r="F1452" s="21" t="str">
        <f>IF(OR(E1452="",E1452="!!!"),"",IF(NOT(ISNA(VLOOKUP(E1452,E$1:E1451,1,FALSE()))),"OLD",IF(AND(E1452&lt;&gt;"",E1452&lt;&gt;"!!!"),"NEW","")))</f>
        <v/>
      </c>
      <c r="G1452" s="22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3" t="str">
        <f t="shared" ca="1" si="163"/>
        <v/>
      </c>
      <c r="I1452" s="24" t="str">
        <f>IF(OR(E1452="",E1452="!!!",F1452="NEW"),"",INDEX(B$2:B1451,-1+SUMPRODUCT(MAX(ROW(E$2:E1451)*(E1452=E$2:E1451)))))</f>
        <v/>
      </c>
      <c r="J1452" s="24" t="str">
        <f ca="1">IF(OR(E1452="",E1452="!!!",F1452="NEW"),"",COUNTBLANK(OFFSET(A$1,,,SUMPRODUCT(MAX(ROW(E$2:E1452)*(E1452=E$2:E1452)))))-COUNTBLANK(OFFSET(A$1,,,SUMPRODUCT(MAX(ROW(E$1:E1451)*(E2=E$1:E1451))))))</f>
        <v/>
      </c>
      <c r="K1452" s="24" t="str">
        <f>IF(OR(E1452="",E1452="!!!",F1452="NEW"),"",INDEX(J$1:J1451,SUMPRODUCT(MAX(ROW(E$1:E1451)*(E1452=E$1:E1451)))))</f>
        <v/>
      </c>
      <c r="L1452" s="25"/>
    </row>
    <row r="1454" spans="1:12" x14ac:dyDescent="0.3">
      <c r="A1454" t="s">
        <v>573</v>
      </c>
      <c r="E1454" s="20" t="str">
        <f>IF(D1454="?OLD","!!!","")</f>
        <v/>
      </c>
      <c r="F1454" s="21" t="str">
        <f>IF(OR(E1454="",E1454="!!!"),"",IF(NOT(ISNA(VLOOKUP(E1454,E$1:E1453,1,FALSE()))),"OLD",IF(AND(E1454&lt;&gt;"",E1454&lt;&gt;"!!!"),"NEW","")))</f>
        <v/>
      </c>
      <c r="G1454" s="22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3" t="str">
        <f ca="1">IF(J1454&lt;&gt;1,"",IF(I1454="SBJ","CB","?"))</f>
        <v/>
      </c>
      <c r="I1454" s="24" t="str">
        <f>IF(OR(E1454="",E1454="!!!",F1454="NEW"),"",INDEX(B$2:B1453,-1+SUMPRODUCT(MAX(ROW(E$2:E1453)*(E1454=E$2:E1453)))))</f>
        <v/>
      </c>
      <c r="J1454" s="24" t="str">
        <f ca="1">IF(OR(E1454="",E1454="!!!",F1454="NEW"),"",COUNTBLANK(OFFSET(A$1,,,SUMPRODUCT(MAX(ROW(E$2:E1454)*(E1454=E$2:E1454)))))-COUNTBLANK(OFFSET(A$1,,,SUMPRODUCT(MAX(ROW(E$1:E1453)*(E2=E$1:E1453))))))</f>
        <v/>
      </c>
      <c r="K1454" s="24" t="str">
        <f>IF(OR(E1454="",E1454="!!!",F1454="NEW"),"",INDEX(J$1:J1453,SUMPRODUCT(MAX(ROW(E$1:E1453)*(E1454=E$1:E1453)))))</f>
        <v/>
      </c>
      <c r="L1454" s="25"/>
    </row>
    <row r="1455" spans="1:12" x14ac:dyDescent="0.3">
      <c r="A1455" t="s">
        <v>970</v>
      </c>
    </row>
    <row r="1456" spans="1:12" x14ac:dyDescent="0.3">
      <c r="A1456" t="s">
        <v>328</v>
      </c>
      <c r="E1456" s="20" t="str">
        <f t="shared" ref="E1456:E1467" si="164">IF(D1456="?OLD","!!!","")</f>
        <v/>
      </c>
      <c r="F1456" s="21" t="str">
        <f>IF(OR(E1456="",E1456="!!!"),"",IF(NOT(ISNA(VLOOKUP(E1456,E$1:E1455,1,FALSE()))),"OLD",IF(AND(E1456&lt;&gt;"",E1456&lt;&gt;"!!!"),"NEW","")))</f>
        <v/>
      </c>
      <c r="G1456" s="22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3" t="str">
        <f t="shared" ref="H1456:H1467" ca="1" si="165">IF(J1456&lt;&gt;1,"",IF(I1456="SBJ","CB","?"))</f>
        <v/>
      </c>
      <c r="I1456" s="24" t="str">
        <f>IF(OR(E1456="",E1456="!!!",F1456="NEW"),"",INDEX(B$2:B1455,-1+SUMPRODUCT(MAX(ROW(E$2:E1455)*(E1456=E$2:E1455)))))</f>
        <v/>
      </c>
      <c r="J1456" s="24" t="str">
        <f ca="1">IF(OR(E1456="",E1456="!!!",F1456="NEW"),"",COUNTBLANK(OFFSET(A$1,,,SUMPRODUCT(MAX(ROW(E$2:E1456)*(E1456=E$2:E1456)))))-COUNTBLANK(OFFSET(A$1,,,SUMPRODUCT(MAX(ROW(E$1:E1455)*(E2=E$1:E1455))))))</f>
        <v/>
      </c>
      <c r="K1456" s="24" t="str">
        <f>IF(OR(E1456="",E1456="!!!",F1456="NEW"),"",INDEX(J$1:J1455,SUMPRODUCT(MAX(ROW(E$1:E1455)*(E1456=E$1:E1455)))))</f>
        <v/>
      </c>
      <c r="L1456" s="25"/>
    </row>
    <row r="1457" spans="1:12" x14ac:dyDescent="0.3">
      <c r="A1457" t="s">
        <v>971</v>
      </c>
      <c r="E1457" s="20" t="str">
        <f t="shared" si="164"/>
        <v/>
      </c>
      <c r="F1457" s="21" t="str">
        <f>IF(OR(E1457="",E1457="!!!"),"",IF(NOT(ISNA(VLOOKUP(E1457,E$1:E1456,1,FALSE()))),"OLD",IF(AND(E1457&lt;&gt;"",E1457&lt;&gt;"!!!"),"NEW","")))</f>
        <v/>
      </c>
      <c r="G1457" s="22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/>
      </c>
      <c r="H1457" s="23" t="str">
        <f t="shared" ca="1" si="165"/>
        <v/>
      </c>
      <c r="I1457" s="24" t="str">
        <f>IF(OR(E1457="",E1457="!!!",F1457="NEW"),"",INDEX(B$2:B1456,-1+SUMPRODUCT(MAX(ROW(E$2:E1456)*(E1457=E$2:E1456)))))</f>
        <v/>
      </c>
      <c r="J1457" s="24" t="str">
        <f ca="1">IF(OR(E1457="",E1457="!!!",F1457="NEW"),"",COUNTBLANK(OFFSET(A$1,,,SUMPRODUCT(MAX(ROW(E$2:E1457)*(E1457=E$2:E1457)))))-COUNTBLANK(OFFSET(A$1,,,SUMPRODUCT(MAX(ROW(E$1:E1456)*(E2=E$1:E1456))))))</f>
        <v/>
      </c>
      <c r="K1457" s="24" t="str">
        <f>IF(OR(E1457="",E1457="!!!",F1457="NEW"),"",INDEX(J$1:J1456,SUMPRODUCT(MAX(ROW(E$1:E1456)*(E1457=E$1:E1456)))))</f>
        <v/>
      </c>
      <c r="L1457" s="25"/>
    </row>
    <row r="1458" spans="1:12" x14ac:dyDescent="0.3">
      <c r="A1458" t="s">
        <v>972</v>
      </c>
      <c r="B1458" s="26" t="s">
        <v>330</v>
      </c>
      <c r="C1458" s="26" t="s">
        <v>331</v>
      </c>
      <c r="D1458" s="26" t="s">
        <v>332</v>
      </c>
      <c r="E1458" s="20" t="str">
        <f t="shared" si="164"/>
        <v>!!!</v>
      </c>
      <c r="F1458" s="21" t="str">
        <f>IF(OR(E1458="",E1458="!!!"),"",IF(NOT(ISNA(VLOOKUP(E1458,E$1:E1457,1,FALSE()))),"OLD",IF(AND(E1458&lt;&gt;"",E1458&lt;&gt;"!!!"),"NEW","")))</f>
        <v/>
      </c>
      <c r="G1458" s="22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3" t="str">
        <f t="shared" ca="1" si="165"/>
        <v/>
      </c>
      <c r="I1458" s="24" t="str">
        <f>IF(OR(E1458="",E1458="!!!",F1458="NEW"),"",INDEX(B$2:B1457,-1+SUMPRODUCT(MAX(ROW(E$2:E1457)*(E1458=E$2:E1457)))))</f>
        <v/>
      </c>
      <c r="J1458" s="24" t="str">
        <f ca="1">IF(OR(E1458="",E1458="!!!",F1458="NEW"),"",COUNTBLANK(OFFSET(A$1,,,SUMPRODUCT(MAX(ROW(E$2:E1458)*(E1458=E$2:E1458)))))-COUNTBLANK(OFFSET(A$1,,,SUMPRODUCT(MAX(ROW(E$1:E1457)*(E2=E$1:E1457))))))</f>
        <v/>
      </c>
      <c r="K1458" s="24" t="str">
        <f>IF(OR(E1458="",E1458="!!!",F1458="NEW"),"",INDEX(J$1:J1457,SUMPRODUCT(MAX(ROW(E$1:E1457)*(E1458=E$1:E1457)))))</f>
        <v/>
      </c>
      <c r="L1458" s="25"/>
    </row>
    <row r="1459" spans="1:12" x14ac:dyDescent="0.3">
      <c r="A1459" t="s">
        <v>374</v>
      </c>
      <c r="E1459" s="20" t="str">
        <f t="shared" si="164"/>
        <v/>
      </c>
      <c r="F1459" s="21" t="str">
        <f>IF(OR(E1459="",E1459="!!!"),"",IF(NOT(ISNA(VLOOKUP(E1459,E$1:E1458,1,FALSE()))),"OLD",IF(AND(E1459&lt;&gt;"",E1459&lt;&gt;"!!!"),"NEW","")))</f>
        <v/>
      </c>
      <c r="G1459" s="22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3" t="str">
        <f t="shared" ca="1" si="165"/>
        <v/>
      </c>
      <c r="I1459" s="24" t="str">
        <f>IF(OR(E1459="",E1459="!!!",F1459="NEW"),"",INDEX(B$2:B1458,-1+SUMPRODUCT(MAX(ROW(E$2:E1458)*(E1459=E$2:E1458)))))</f>
        <v/>
      </c>
      <c r="J1459" s="24" t="str">
        <f ca="1">IF(OR(E1459="",E1459="!!!",F1459="NEW"),"",COUNTBLANK(OFFSET(A$1,,,SUMPRODUCT(MAX(ROW(E$2:E1459)*(E1459=E$2:E1459)))))-COUNTBLANK(OFFSET(A$1,,,SUMPRODUCT(MAX(ROW(E$1:E1458)*(E2=E$1:E1458))))))</f>
        <v/>
      </c>
      <c r="K1459" s="24" t="str">
        <f>IF(OR(E1459="",E1459="!!!",F1459="NEW"),"",INDEX(J$1:J1458,SUMPRODUCT(MAX(ROW(E$1:E1458)*(E1459=E$1:E1458)))))</f>
        <v/>
      </c>
      <c r="L1459" s="25"/>
    </row>
    <row r="1460" spans="1:12" x14ac:dyDescent="0.3">
      <c r="A1460" t="s">
        <v>973</v>
      </c>
      <c r="B1460" s="26" t="s">
        <v>344</v>
      </c>
      <c r="C1460" s="26" t="s">
        <v>341</v>
      </c>
      <c r="D1460" s="26" t="s">
        <v>332</v>
      </c>
      <c r="E1460" s="20" t="str">
        <f t="shared" si="164"/>
        <v>!!!</v>
      </c>
      <c r="F1460" s="21" t="str">
        <f>IF(OR(E1460="",E1460="!!!"),"",IF(NOT(ISNA(VLOOKUP(E1460,E$1:E1459,1,FALSE()))),"OLD",IF(AND(E1460&lt;&gt;"",E1460&lt;&gt;"!!!"),"NEW","")))</f>
        <v/>
      </c>
      <c r="G1460" s="22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3" t="str">
        <f t="shared" ca="1" si="165"/>
        <v/>
      </c>
      <c r="I1460" s="24" t="str">
        <f>IF(OR(E1460="",E1460="!!!",F1460="NEW"),"",INDEX(B$2:B1459,-1+SUMPRODUCT(MAX(ROW(E$2:E1459)*(E1460=E$2:E1459)))))</f>
        <v/>
      </c>
      <c r="J1460" s="24" t="str">
        <f ca="1">IF(OR(E1460="",E1460="!!!",F1460="NEW"),"",COUNTBLANK(OFFSET(A$1,,,SUMPRODUCT(MAX(ROW(E$2:E1460)*(E1460=E$2:E1460)))))-COUNTBLANK(OFFSET(A$1,,,SUMPRODUCT(MAX(ROW(E$1:E1459)*(E2=E$1:E1459))))))</f>
        <v/>
      </c>
      <c r="K1460" s="24" t="str">
        <f>IF(OR(E1460="",E1460="!!!",F1460="NEW"),"",INDEX(J$1:J1459,SUMPRODUCT(MAX(ROW(E$1:E1459)*(E1460=E$1:E1459)))))</f>
        <v/>
      </c>
      <c r="L1460" s="25"/>
    </row>
    <row r="1461" spans="1:12" x14ac:dyDescent="0.3">
      <c r="A1461" t="s">
        <v>345</v>
      </c>
      <c r="E1461" s="20" t="str">
        <f t="shared" si="164"/>
        <v/>
      </c>
      <c r="F1461" s="21" t="str">
        <f>IF(OR(E1461="",E1461="!!!"),"",IF(NOT(ISNA(VLOOKUP(E1461,E$1:E1460,1,FALSE()))),"OLD",IF(AND(E1461&lt;&gt;"",E1461&lt;&gt;"!!!"),"NEW","")))</f>
        <v/>
      </c>
      <c r="G1461" s="22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3" t="str">
        <f t="shared" ca="1" si="165"/>
        <v/>
      </c>
      <c r="I1461" s="24" t="str">
        <f>IF(OR(E1461="",E1461="!!!",F1461="NEW"),"",INDEX(B$2:B1460,-1+SUMPRODUCT(MAX(ROW(E$2:E1460)*(E1461=E$2:E1460)))))</f>
        <v/>
      </c>
      <c r="J1461" s="24" t="str">
        <f ca="1">IF(OR(E1461="",E1461="!!!",F1461="NEW"),"",COUNTBLANK(OFFSET(A$1,,,SUMPRODUCT(MAX(ROW(E$2:E1461)*(E1461=E$2:E1461)))))-COUNTBLANK(OFFSET(A$1,,,SUMPRODUCT(MAX(ROW(E$1:E1460)*(E2=E$1:E1460))))))</f>
        <v/>
      </c>
      <c r="K1461" s="24" t="str">
        <f>IF(OR(E1461="",E1461="!!!",F1461="NEW"),"",INDEX(J$1:J1460,SUMPRODUCT(MAX(ROW(E$1:E1460)*(E1461=E$1:E1460)))))</f>
        <v/>
      </c>
      <c r="L1461" s="25"/>
    </row>
    <row r="1462" spans="1:12" x14ac:dyDescent="0.3">
      <c r="A1462" t="s">
        <v>974</v>
      </c>
      <c r="E1462" s="20" t="str">
        <f t="shared" si="164"/>
        <v/>
      </c>
      <c r="F1462" s="21" t="str">
        <f>IF(OR(E1462="",E1462="!!!"),"",IF(NOT(ISNA(VLOOKUP(E1462,E$1:E1461,1,FALSE()))),"OLD",IF(AND(E1462&lt;&gt;"",E1462&lt;&gt;"!!!"),"NEW","")))</f>
        <v/>
      </c>
      <c r="G1462" s="22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3" t="str">
        <f t="shared" ca="1" si="165"/>
        <v/>
      </c>
      <c r="I1462" s="24" t="str">
        <f>IF(OR(E1462="",E1462="!!!",F1462="NEW"),"",INDEX(B$2:B1461,-1+SUMPRODUCT(MAX(ROW(E$2:E1461)*(E1462=E$2:E1461)))))</f>
        <v/>
      </c>
      <c r="J1462" s="24" t="str">
        <f ca="1">IF(OR(E1462="",E1462="!!!",F1462="NEW"),"",COUNTBLANK(OFFSET(A$1,,,SUMPRODUCT(MAX(ROW(E$2:E1462)*(E1462=E$2:E1462)))))-COUNTBLANK(OFFSET(A$1,,,SUMPRODUCT(MAX(ROW(E$1:E1461)*(E2=E$1:E1461))))))</f>
        <v/>
      </c>
      <c r="K1462" s="24" t="str">
        <f>IF(OR(E1462="",E1462="!!!",F1462="NEW"),"",INDEX(J$1:J1461,SUMPRODUCT(MAX(ROW(E$1:E1461)*(E1462=E$1:E1461)))))</f>
        <v/>
      </c>
      <c r="L1462" s="25"/>
    </row>
    <row r="1463" spans="1:12" x14ac:dyDescent="0.3">
      <c r="A1463" t="s">
        <v>380</v>
      </c>
      <c r="E1463" s="20" t="str">
        <f t="shared" si="164"/>
        <v/>
      </c>
      <c r="F1463" s="21" t="str">
        <f>IF(OR(E1463="",E1463="!!!"),"",IF(NOT(ISNA(VLOOKUP(E1463,E$1:E1462,1,FALSE()))),"OLD",IF(AND(E1463&lt;&gt;"",E1463&lt;&gt;"!!!"),"NEW","")))</f>
        <v/>
      </c>
      <c r="G1463" s="22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3" t="str">
        <f t="shared" ca="1" si="165"/>
        <v/>
      </c>
      <c r="I1463" s="24" t="str">
        <f>IF(OR(E1463="",E1463="!!!",F1463="NEW"),"",INDEX(B$2:B1462,-1+SUMPRODUCT(MAX(ROW(E$2:E1462)*(E1463=E$2:E1462)))))</f>
        <v/>
      </c>
      <c r="J1463" s="24" t="str">
        <f ca="1">IF(OR(E1463="",E1463="!!!",F1463="NEW"),"",COUNTBLANK(OFFSET(A$1,,,SUMPRODUCT(MAX(ROW(E$2:E1463)*(E1463=E$2:E1463)))))-COUNTBLANK(OFFSET(A$1,,,SUMPRODUCT(MAX(ROW(E$1:E1462)*(E2=E$1:E1462))))))</f>
        <v/>
      </c>
      <c r="K1463" s="24" t="str">
        <f>IF(OR(E1463="",E1463="!!!",F1463="NEW"),"",INDEX(J$1:J1462,SUMPRODUCT(MAX(ROW(E$1:E1462)*(E1463=E$1:E1462)))))</f>
        <v/>
      </c>
      <c r="L1463" s="25"/>
    </row>
    <row r="1464" spans="1:12" x14ac:dyDescent="0.3">
      <c r="A1464" t="s">
        <v>975</v>
      </c>
      <c r="B1464" s="26" t="s">
        <v>337</v>
      </c>
      <c r="C1464" s="26" t="s">
        <v>331</v>
      </c>
      <c r="D1464" s="26" t="s">
        <v>332</v>
      </c>
      <c r="E1464" s="20" t="str">
        <f t="shared" si="164"/>
        <v>!!!</v>
      </c>
      <c r="F1464" s="21" t="str">
        <f>IF(OR(E1464="",E1464="!!!"),"",IF(NOT(ISNA(VLOOKUP(E1464,E$1:E1463,1,FALSE()))),"OLD",IF(AND(E1464&lt;&gt;"",E1464&lt;&gt;"!!!"),"NEW","")))</f>
        <v/>
      </c>
      <c r="G1464" s="22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3" t="str">
        <f t="shared" ca="1" si="165"/>
        <v/>
      </c>
      <c r="I1464" s="24" t="str">
        <f>IF(OR(E1464="",E1464="!!!",F1464="NEW"),"",INDEX(B$2:B1463,-1+SUMPRODUCT(MAX(ROW(E$2:E1463)*(E1464=E$2:E1463)))))</f>
        <v/>
      </c>
      <c r="J1464" s="24" t="str">
        <f ca="1">IF(OR(E1464="",E1464="!!!",F1464="NEW"),"",COUNTBLANK(OFFSET(A$1,,,SUMPRODUCT(MAX(ROW(E$2:E1464)*(E1464=E$2:E1464)))))-COUNTBLANK(OFFSET(A$1,,,SUMPRODUCT(MAX(ROW(E$1:E1463)*(E2=E$1:E1463))))))</f>
        <v/>
      </c>
      <c r="K1464" s="24" t="str">
        <f>IF(OR(E1464="",E1464="!!!",F1464="NEW"),"",INDEX(J$1:J1463,SUMPRODUCT(MAX(ROW(E$1:E1463)*(E1464=E$1:E1463)))))</f>
        <v/>
      </c>
      <c r="L1464" s="25"/>
    </row>
    <row r="1465" spans="1:12" x14ac:dyDescent="0.3">
      <c r="A1465" t="s">
        <v>410</v>
      </c>
      <c r="E1465" s="20" t="str">
        <f t="shared" si="164"/>
        <v/>
      </c>
      <c r="F1465" s="21" t="str">
        <f>IF(OR(E1465="",E1465="!!!"),"",IF(NOT(ISNA(VLOOKUP(E1465,E$1:E1464,1,FALSE()))),"OLD",IF(AND(E1465&lt;&gt;"",E1465&lt;&gt;"!!!"),"NEW","")))</f>
        <v/>
      </c>
      <c r="G1465" s="22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3" t="str">
        <f t="shared" ca="1" si="165"/>
        <v/>
      </c>
      <c r="I1465" s="24" t="str">
        <f>IF(OR(E1465="",E1465="!!!",F1465="NEW"),"",INDEX(B$2:B1464,-1+SUMPRODUCT(MAX(ROW(E$2:E1464)*(E1465=E$2:E1464)))))</f>
        <v/>
      </c>
      <c r="J1465" s="24" t="str">
        <f ca="1">IF(OR(E1465="",E1465="!!!",F1465="NEW"),"",COUNTBLANK(OFFSET(A$1,,,SUMPRODUCT(MAX(ROW(E$2:E1465)*(E1465=E$2:E1465)))))-COUNTBLANK(OFFSET(A$1,,,SUMPRODUCT(MAX(ROW(E$1:E1464)*(E2=E$1:E1464))))))</f>
        <v/>
      </c>
      <c r="K1465" s="24" t="str">
        <f>IF(OR(E1465="",E1465="!!!",F1465="NEW"),"",INDEX(J$1:J1464,SUMPRODUCT(MAX(ROW(E$1:E1464)*(E1465=E$1:E1464)))))</f>
        <v/>
      </c>
      <c r="L1465" s="25"/>
    </row>
    <row r="1466" spans="1:12" x14ac:dyDescent="0.3">
      <c r="A1466" t="s">
        <v>575</v>
      </c>
      <c r="E1466" s="20" t="str">
        <f t="shared" si="164"/>
        <v/>
      </c>
      <c r="F1466" s="21" t="str">
        <f>IF(OR(E1466="",E1466="!!!"),"",IF(NOT(ISNA(VLOOKUP(E1466,E$1:E1465,1,FALSE()))),"OLD",IF(AND(E1466&lt;&gt;"",E1466&lt;&gt;"!!!"),"NEW","")))</f>
        <v/>
      </c>
      <c r="G1466" s="22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3" t="str">
        <f t="shared" ca="1" si="165"/>
        <v/>
      </c>
      <c r="I1466" s="24" t="str">
        <f>IF(OR(E1466="",E1466="!!!",F1466="NEW"),"",INDEX(B$2:B1465,-1+SUMPRODUCT(MAX(ROW(E$2:E1465)*(E1466=E$2:E1465)))))</f>
        <v/>
      </c>
      <c r="J1466" s="24" t="str">
        <f ca="1">IF(OR(E1466="",E1466="!!!",F1466="NEW"),"",COUNTBLANK(OFFSET(A$1,,,SUMPRODUCT(MAX(ROW(E$2:E1466)*(E1466=E$2:E1466)))))-COUNTBLANK(OFFSET(A$1,,,SUMPRODUCT(MAX(ROW(E$1:E1465)*(E2=E$1:E1465))))))</f>
        <v/>
      </c>
      <c r="K1466" s="24" t="str">
        <f>IF(OR(E1466="",E1466="!!!",F1466="NEW"),"",INDEX(J$1:J1465,SUMPRODUCT(MAX(ROW(E$1:E1465)*(E1466=E$1:E1465)))))</f>
        <v/>
      </c>
      <c r="L1466" s="25"/>
    </row>
    <row r="1467" spans="1:12" x14ac:dyDescent="0.3">
      <c r="A1467" t="s">
        <v>628</v>
      </c>
      <c r="E1467" s="20" t="str">
        <f t="shared" si="164"/>
        <v/>
      </c>
      <c r="F1467" s="21" t="str">
        <f>IF(OR(E1467="",E1467="!!!"),"",IF(NOT(ISNA(VLOOKUP(E1467,E$1:E1466,1,FALSE()))),"OLD",IF(AND(E1467&lt;&gt;"",E1467&lt;&gt;"!!!"),"NEW","")))</f>
        <v/>
      </c>
      <c r="G1467" s="22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3" t="str">
        <f t="shared" ca="1" si="165"/>
        <v/>
      </c>
      <c r="I1467" s="24" t="str">
        <f>IF(OR(E1467="",E1467="!!!",F1467="NEW"),"",INDEX(B$2:B1466,-1+SUMPRODUCT(MAX(ROW(E$2:E1466)*(E1467=E$2:E1466)))))</f>
        <v/>
      </c>
      <c r="J1467" s="24" t="str">
        <f ca="1">IF(OR(E1467="",E1467="!!!",F1467="NEW"),"",COUNTBLANK(OFFSET(A$1,,,SUMPRODUCT(MAX(ROW(E$2:E1467)*(E1467=E$2:E1467)))))-COUNTBLANK(OFFSET(A$1,,,SUMPRODUCT(MAX(ROW(E$1:E1466)*(E2=E$1:E1466))))))</f>
        <v/>
      </c>
      <c r="K1467" s="24" t="str">
        <f>IF(OR(E1467="",E1467="!!!",F1467="NEW"),"",INDEX(J$1:J1466,SUMPRODUCT(MAX(ROW(E$1:E1466)*(E1467=E$1:E1466)))))</f>
        <v/>
      </c>
      <c r="L1467" s="25"/>
    </row>
    <row r="1469" spans="1:12" x14ac:dyDescent="0.3">
      <c r="A1469" t="s">
        <v>573</v>
      </c>
      <c r="E1469" s="20" t="str">
        <f>IF(D1469="?OLD","!!!","")</f>
        <v/>
      </c>
      <c r="F1469" s="21" t="str">
        <f>IF(OR(E1469="",E1469="!!!"),"",IF(NOT(ISNA(VLOOKUP(E1469,E$1:E1468,1,FALSE()))),"OLD",IF(AND(E1469&lt;&gt;"",E1469&lt;&gt;"!!!"),"NEW","")))</f>
        <v/>
      </c>
      <c r="G1469" s="22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3" t="str">
        <f ca="1">IF(J1469&lt;&gt;1,"",IF(I1469="SBJ","CB","?"))</f>
        <v/>
      </c>
      <c r="I1469" s="24" t="str">
        <f>IF(OR(E1469="",E1469="!!!",F1469="NEW"),"",INDEX(B$2:B1468,-1+SUMPRODUCT(MAX(ROW(E$2:E1468)*(E1469=E$2:E1468)))))</f>
        <v/>
      </c>
      <c r="J1469" s="24" t="str">
        <f ca="1">IF(OR(E1469="",E1469="!!!",F1469="NEW"),"",COUNTBLANK(OFFSET(A$1,,,SUMPRODUCT(MAX(ROW(E$2:E1469)*(E1469=E$2:E1469)))))-COUNTBLANK(OFFSET(A$1,,,SUMPRODUCT(MAX(ROW(E$1:E1468)*(E2=E$1:E1468))))))</f>
        <v/>
      </c>
      <c r="K1469" s="24" t="str">
        <f>IF(OR(E1469="",E1469="!!!",F1469="NEW"),"",INDEX(J$1:J1468,SUMPRODUCT(MAX(ROW(E$1:E1468)*(E1469=E$1:E1468)))))</f>
        <v/>
      </c>
      <c r="L1469" s="25"/>
    </row>
    <row r="1470" spans="1:12" x14ac:dyDescent="0.3">
      <c r="A1470" t="s">
        <v>976</v>
      </c>
    </row>
    <row r="1471" spans="1:12" x14ac:dyDescent="0.3">
      <c r="A1471" t="s">
        <v>340</v>
      </c>
      <c r="B1471" s="26" t="s">
        <v>330</v>
      </c>
      <c r="C1471" s="26" t="s">
        <v>341</v>
      </c>
      <c r="D1471" s="26" t="s">
        <v>332</v>
      </c>
      <c r="E1471" s="20" t="str">
        <f t="shared" ref="E1471:E1487" si="166">IF(D1471="?OLD","!!!","")</f>
        <v>!!!</v>
      </c>
      <c r="F1471" s="21" t="str">
        <f>IF(OR(E1471="",E1471="!!!"),"",IF(NOT(ISNA(VLOOKUP(E1471,E$1:E1470,1,FALSE()))),"OLD",IF(AND(E1471&lt;&gt;"",E1471&lt;&gt;"!!!"),"NEW","")))</f>
        <v/>
      </c>
      <c r="G1471" s="22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3" t="str">
        <f t="shared" ref="H1471:H1487" ca="1" si="167">IF(J1471&lt;&gt;1,"",IF(I1471="SBJ","CB","?"))</f>
        <v/>
      </c>
      <c r="I1471" s="24" t="str">
        <f>IF(OR(E1471="",E1471="!!!",F1471="NEW"),"",INDEX(B$2:B1470,-1+SUMPRODUCT(MAX(ROW(E$2:E1470)*(E1471=E$2:E1470)))))</f>
        <v/>
      </c>
      <c r="J1471" s="24" t="str">
        <f ca="1">IF(OR(E1471="",E1471="!!!",F1471="NEW"),"",COUNTBLANK(OFFSET(A$1,,,SUMPRODUCT(MAX(ROW(E$2:E1471)*(E1471=E$2:E1471)))))-COUNTBLANK(OFFSET(A$1,,,SUMPRODUCT(MAX(ROW(E$1:E1470)*(E2=E$1:E1470))))))</f>
        <v/>
      </c>
      <c r="K1471" s="24" t="str">
        <f>IF(OR(E1471="",E1471="!!!",F1471="NEW"),"",INDEX(J$1:J1470,SUMPRODUCT(MAX(ROW(E$1:E1470)*(E1471=E$1:E1470)))))</f>
        <v/>
      </c>
      <c r="L1471" s="25"/>
    </row>
    <row r="1472" spans="1:12" x14ac:dyDescent="0.3">
      <c r="A1472" t="s">
        <v>399</v>
      </c>
      <c r="B1472" s="26" t="s">
        <v>344</v>
      </c>
      <c r="C1472" s="26" t="s">
        <v>394</v>
      </c>
      <c r="D1472" s="26" t="s">
        <v>332</v>
      </c>
      <c r="E1472" s="20" t="str">
        <f t="shared" si="166"/>
        <v>!!!</v>
      </c>
      <c r="F1472" s="21" t="str">
        <f>IF(OR(E1472="",E1472="!!!"),"",IF(NOT(ISNA(VLOOKUP(E1472,E$1:E1471,1,FALSE()))),"OLD",IF(AND(E1472&lt;&gt;"",E1472&lt;&gt;"!!!"),"NEW","")))</f>
        <v/>
      </c>
      <c r="G1472" s="22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3" t="str">
        <f t="shared" ca="1" si="167"/>
        <v/>
      </c>
      <c r="I1472" s="24" t="str">
        <f>IF(OR(E1472="",E1472="!!!",F1472="NEW"),"",INDEX(B$2:B1471,-1+SUMPRODUCT(MAX(ROW(E$2:E1471)*(E1472=E$2:E1471)))))</f>
        <v/>
      </c>
      <c r="J1472" s="24" t="str">
        <f ca="1">IF(OR(E1472="",E1472="!!!",F1472="NEW"),"",COUNTBLANK(OFFSET(A$1,,,SUMPRODUCT(MAX(ROW(E$2:E1472)*(E1472=E$2:E1472)))))-COUNTBLANK(OFFSET(A$1,,,SUMPRODUCT(MAX(ROW(E$1:E1471)*(E2=E$1:E1471))))))</f>
        <v/>
      </c>
      <c r="K1472" s="24" t="str">
        <f>IF(OR(E1472="",E1472="!!!",F1472="NEW"),"",INDEX(J$1:J1471,SUMPRODUCT(MAX(ROW(E$1:E1471)*(E1472=E$1:E1471)))))</f>
        <v/>
      </c>
      <c r="L1472" s="25"/>
    </row>
    <row r="1473" spans="1:12" x14ac:dyDescent="0.3">
      <c r="A1473" t="s">
        <v>977</v>
      </c>
      <c r="E1473" s="20" t="str">
        <f t="shared" si="166"/>
        <v/>
      </c>
      <c r="F1473" s="21" t="str">
        <f>IF(OR(E1473="",E1473="!!!"),"",IF(NOT(ISNA(VLOOKUP(E1473,E$1:E1472,1,FALSE()))),"OLD",IF(AND(E1473&lt;&gt;"",E1473&lt;&gt;"!!!"),"NEW","")))</f>
        <v/>
      </c>
      <c r="G1473" s="22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3" t="str">
        <f t="shared" ca="1" si="167"/>
        <v/>
      </c>
      <c r="I1473" s="24" t="str">
        <f>IF(OR(E1473="",E1473="!!!",F1473="NEW"),"",INDEX(B$2:B1472,-1+SUMPRODUCT(MAX(ROW(E$2:E1472)*(E1473=E$2:E1472)))))</f>
        <v/>
      </c>
      <c r="J1473" s="24" t="str">
        <f ca="1">IF(OR(E1473="",E1473="!!!",F1473="NEW"),"",COUNTBLANK(OFFSET(A$1,,,SUMPRODUCT(MAX(ROW(E$2:E1473)*(E1473=E$2:E1473)))))-COUNTBLANK(OFFSET(A$1,,,SUMPRODUCT(MAX(ROW(E$1:E1472)*(E2=E$1:E1472))))))</f>
        <v/>
      </c>
      <c r="K1473" s="24" t="str">
        <f>IF(OR(E1473="",E1473="!!!",F1473="NEW"),"",INDEX(J$1:J1472,SUMPRODUCT(MAX(ROW(E$1:E1472)*(E1473=E$1:E1472)))))</f>
        <v/>
      </c>
      <c r="L1473" s="25"/>
    </row>
    <row r="1474" spans="1:12" x14ac:dyDescent="0.3">
      <c r="A1474" t="s">
        <v>830</v>
      </c>
      <c r="E1474" s="20" t="str">
        <f t="shared" si="166"/>
        <v/>
      </c>
      <c r="F1474" s="21" t="str">
        <f>IF(OR(E1474="",E1474="!!!"),"",IF(NOT(ISNA(VLOOKUP(E1474,E$1:E1473,1,FALSE()))),"OLD",IF(AND(E1474&lt;&gt;"",E1474&lt;&gt;"!!!"),"NEW","")))</f>
        <v/>
      </c>
      <c r="G1474" s="22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3" t="str">
        <f t="shared" ca="1" si="167"/>
        <v/>
      </c>
      <c r="I1474" s="24" t="str">
        <f>IF(OR(E1474="",E1474="!!!",F1474="NEW"),"",INDEX(B$2:B1473,-1+SUMPRODUCT(MAX(ROW(E$2:E1473)*(E1474=E$2:E1473)))))</f>
        <v/>
      </c>
      <c r="J1474" s="24" t="str">
        <f ca="1">IF(OR(E1474="",E1474="!!!",F1474="NEW"),"",COUNTBLANK(OFFSET(A$1,,,SUMPRODUCT(MAX(ROW(E$2:E1474)*(E1474=E$2:E1474)))))-COUNTBLANK(OFFSET(A$1,,,SUMPRODUCT(MAX(ROW(E$1:E1473)*(E2=E$1:E1473))))))</f>
        <v/>
      </c>
      <c r="K1474" s="24" t="str">
        <f>IF(OR(E1474="",E1474="!!!",F1474="NEW"),"",INDEX(J$1:J1473,SUMPRODUCT(MAX(ROW(E$1:E1473)*(E1474=E$1:E1473)))))</f>
        <v/>
      </c>
      <c r="L1474" s="25"/>
    </row>
    <row r="1475" spans="1:12" x14ac:dyDescent="0.3">
      <c r="A1475" t="s">
        <v>351</v>
      </c>
      <c r="E1475" s="20" t="str">
        <f t="shared" si="166"/>
        <v/>
      </c>
      <c r="F1475" s="21" t="str">
        <f>IF(OR(E1475="",E1475="!!!"),"",IF(NOT(ISNA(VLOOKUP(E1475,E$1:E1474,1,FALSE()))),"OLD",IF(AND(E1475&lt;&gt;"",E1475&lt;&gt;"!!!"),"NEW","")))</f>
        <v/>
      </c>
      <c r="G1475" s="22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3" t="str">
        <f t="shared" ca="1" si="167"/>
        <v/>
      </c>
      <c r="I1475" s="24" t="str">
        <f>IF(OR(E1475="",E1475="!!!",F1475="NEW"),"",INDEX(B$2:B1474,-1+SUMPRODUCT(MAX(ROW(E$2:E1474)*(E1475=E$2:E1474)))))</f>
        <v/>
      </c>
      <c r="J1475" s="24" t="str">
        <f ca="1">IF(OR(E1475="",E1475="!!!",F1475="NEW"),"",COUNTBLANK(OFFSET(A$1,,,SUMPRODUCT(MAX(ROW(E$2:E1475)*(E1475=E$2:E1475)))))-COUNTBLANK(OFFSET(A$1,,,SUMPRODUCT(MAX(ROW(E$1:E1474)*(E2=E$1:E1474))))))</f>
        <v/>
      </c>
      <c r="K1475" s="24" t="str">
        <f>IF(OR(E1475="",E1475="!!!",F1475="NEW"),"",INDEX(J$1:J1474,SUMPRODUCT(MAX(ROW(E$1:E1474)*(E1475=E$1:E1474)))))</f>
        <v/>
      </c>
      <c r="L1475" s="25"/>
    </row>
    <row r="1476" spans="1:12" x14ac:dyDescent="0.3">
      <c r="A1476" t="s">
        <v>978</v>
      </c>
      <c r="E1476" s="20" t="str">
        <f t="shared" si="166"/>
        <v/>
      </c>
      <c r="F1476" s="21" t="str">
        <f>IF(OR(E1476="",E1476="!!!"),"",IF(NOT(ISNA(VLOOKUP(E1476,E$1:E1475,1,FALSE()))),"OLD",IF(AND(E1476&lt;&gt;"",E1476&lt;&gt;"!!!"),"NEW","")))</f>
        <v/>
      </c>
      <c r="G1476" s="22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3" t="str">
        <f t="shared" ca="1" si="167"/>
        <v/>
      </c>
      <c r="I1476" s="24" t="str">
        <f>IF(OR(E1476="",E1476="!!!",F1476="NEW"),"",INDEX(B$2:B1475,-1+SUMPRODUCT(MAX(ROW(E$2:E1475)*(E1476=E$2:E1475)))))</f>
        <v/>
      </c>
      <c r="J1476" s="24" t="str">
        <f ca="1">IF(OR(E1476="",E1476="!!!",F1476="NEW"),"",COUNTBLANK(OFFSET(A$1,,,SUMPRODUCT(MAX(ROW(E$2:E1476)*(E1476=E$2:E1476)))))-COUNTBLANK(OFFSET(A$1,,,SUMPRODUCT(MAX(ROW(E$1:E1475)*(E2=E$1:E1475))))))</f>
        <v/>
      </c>
      <c r="K1476" s="24" t="str">
        <f>IF(OR(E1476="",E1476="!!!",F1476="NEW"),"",INDEX(J$1:J1475,SUMPRODUCT(MAX(ROW(E$1:E1475)*(E1476=E$1:E1475)))))</f>
        <v/>
      </c>
      <c r="L1476" s="25"/>
    </row>
    <row r="1477" spans="1:12" x14ac:dyDescent="0.3">
      <c r="A1477" t="s">
        <v>340</v>
      </c>
      <c r="B1477" s="26" t="s">
        <v>354</v>
      </c>
      <c r="C1477" s="26" t="s">
        <v>341</v>
      </c>
      <c r="D1477" s="26" t="s">
        <v>332</v>
      </c>
      <c r="E1477" s="20" t="str">
        <f t="shared" si="166"/>
        <v>!!!</v>
      </c>
      <c r="F1477" s="21" t="str">
        <f>IF(OR(E1477="",E1477="!!!"),"",IF(NOT(ISNA(VLOOKUP(E1477,E$1:E1476,1,FALSE()))),"OLD",IF(AND(E1477&lt;&gt;"",E1477&lt;&gt;"!!!"),"NEW","")))</f>
        <v/>
      </c>
      <c r="G1477" s="22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3" t="str">
        <f t="shared" ca="1" si="167"/>
        <v/>
      </c>
      <c r="I1477" s="24" t="str">
        <f>IF(OR(E1477="",E1477="!!!",F1477="NEW"),"",INDEX(B$2:B1476,-1+SUMPRODUCT(MAX(ROW(E$2:E1476)*(E1477=E$2:E1476)))))</f>
        <v/>
      </c>
      <c r="J1477" s="24" t="str">
        <f ca="1">IF(OR(E1477="",E1477="!!!",F1477="NEW"),"",COUNTBLANK(OFFSET(A$1,,,SUMPRODUCT(MAX(ROW(E$2:E1477)*(E1477=E$2:E1477)))))-COUNTBLANK(OFFSET(A$1,,,SUMPRODUCT(MAX(ROW(E$1:E1476)*(E2=E$1:E1476))))))</f>
        <v/>
      </c>
      <c r="K1477" s="24" t="str">
        <f>IF(OR(E1477="",E1477="!!!",F1477="NEW"),"",INDEX(J$1:J1476,SUMPRODUCT(MAX(ROW(E$1:E1476)*(E1477=E$1:E1476)))))</f>
        <v/>
      </c>
      <c r="L1477" s="25"/>
    </row>
    <row r="1478" spans="1:12" x14ac:dyDescent="0.3">
      <c r="A1478" t="s">
        <v>979</v>
      </c>
      <c r="B1478" s="26" t="s">
        <v>357</v>
      </c>
      <c r="C1478" s="26" t="s">
        <v>355</v>
      </c>
      <c r="E1478" s="20" t="str">
        <f t="shared" si="166"/>
        <v/>
      </c>
      <c r="F1478" s="21" t="str">
        <f>IF(OR(E1478="",E1478="!!!"),"",IF(NOT(ISNA(VLOOKUP(E1478,E$1:E1477,1,FALSE()))),"OLD",IF(AND(E1478&lt;&gt;"",E1478&lt;&gt;"!!!"),"NEW","")))</f>
        <v/>
      </c>
      <c r="G1478" s="22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3" t="str">
        <f t="shared" ca="1" si="167"/>
        <v/>
      </c>
      <c r="I1478" s="24" t="str">
        <f>IF(OR(E1478="",E1478="!!!",F1478="NEW"),"",INDEX(B$2:B1477,-1+SUMPRODUCT(MAX(ROW(E$2:E1477)*(E1478=E$2:E1477)))))</f>
        <v/>
      </c>
      <c r="J1478" s="24" t="str">
        <f ca="1">IF(OR(E1478="",E1478="!!!",F1478="NEW"),"",COUNTBLANK(OFFSET(A$1,,,SUMPRODUCT(MAX(ROW(E$2:E1478)*(E1478=E$2:E1478)))))-COUNTBLANK(OFFSET(A$1,,,SUMPRODUCT(MAX(ROW(E$1:E1477)*(E2=E$1:E1477))))))</f>
        <v/>
      </c>
      <c r="K1478" s="24" t="str">
        <f>IF(OR(E1478="",E1478="!!!",F1478="NEW"),"",INDEX(J$1:J1477,SUMPRODUCT(MAX(ROW(E$1:E1477)*(E1478=E$1:E1477)))))</f>
        <v/>
      </c>
      <c r="L1478" s="25"/>
    </row>
    <row r="1479" spans="1:12" x14ac:dyDescent="0.3">
      <c r="A1479" t="s">
        <v>385</v>
      </c>
      <c r="E1479" s="20" t="str">
        <f t="shared" si="166"/>
        <v/>
      </c>
      <c r="F1479" s="21" t="str">
        <f>IF(OR(E1479="",E1479="!!!"),"",IF(NOT(ISNA(VLOOKUP(E1479,E$1:E1478,1,FALSE()))),"OLD",IF(AND(E1479&lt;&gt;"",E1479&lt;&gt;"!!!"),"NEW","")))</f>
        <v/>
      </c>
      <c r="G1479" s="22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3" t="str">
        <f t="shared" ca="1" si="167"/>
        <v/>
      </c>
      <c r="I1479" s="24" t="str">
        <f>IF(OR(E1479="",E1479="!!!",F1479="NEW"),"",INDEX(B$2:B1478,-1+SUMPRODUCT(MAX(ROW(E$2:E1478)*(E1479=E$2:E1478)))))</f>
        <v/>
      </c>
      <c r="J1479" s="24" t="str">
        <f ca="1">IF(OR(E1479="",E1479="!!!",F1479="NEW"),"",COUNTBLANK(OFFSET(A$1,,,SUMPRODUCT(MAX(ROW(E$2:E1479)*(E1479=E$2:E1479)))))-COUNTBLANK(OFFSET(A$1,,,SUMPRODUCT(MAX(ROW(E$1:E1478)*(E2=E$1:E1478))))))</f>
        <v/>
      </c>
      <c r="K1479" s="24" t="str">
        <f>IF(OR(E1479="",E1479="!!!",F1479="NEW"),"",INDEX(J$1:J1478,SUMPRODUCT(MAX(ROW(E$1:E1478)*(E1479=E$1:E1478)))))</f>
        <v/>
      </c>
      <c r="L1479" s="25"/>
    </row>
    <row r="1480" spans="1:12" x14ac:dyDescent="0.3">
      <c r="A1480" t="s">
        <v>980</v>
      </c>
      <c r="E1480" s="20" t="str">
        <f t="shared" si="166"/>
        <v/>
      </c>
      <c r="F1480" s="21" t="str">
        <f>IF(OR(E1480="",E1480="!!!"),"",IF(NOT(ISNA(VLOOKUP(E1480,E$1:E1479,1,FALSE()))),"OLD",IF(AND(E1480&lt;&gt;"",E1480&lt;&gt;"!!!"),"NEW","")))</f>
        <v/>
      </c>
      <c r="G1480" s="22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3" t="str">
        <f t="shared" ca="1" si="167"/>
        <v/>
      </c>
      <c r="I1480" s="24" t="str">
        <f>IF(OR(E1480="",E1480="!!!",F1480="NEW"),"",INDEX(B$2:B1479,-1+SUMPRODUCT(MAX(ROW(E$2:E1479)*(E1480=E$2:E1479)))))</f>
        <v/>
      </c>
      <c r="J1480" s="24" t="str">
        <f ca="1">IF(OR(E1480="",E1480="!!!",F1480="NEW"),"",COUNTBLANK(OFFSET(A$1,,,SUMPRODUCT(MAX(ROW(E$2:E1480)*(E1480=E$2:E1480)))))-COUNTBLANK(OFFSET(A$1,,,SUMPRODUCT(MAX(ROW(E$1:E1479)*(E2=E$1:E1479))))))</f>
        <v/>
      </c>
      <c r="K1480" s="24" t="str">
        <f>IF(OR(E1480="",E1480="!!!",F1480="NEW"),"",INDEX(J$1:J1479,SUMPRODUCT(MAX(ROW(E$1:E1479)*(E1480=E$1:E1479)))))</f>
        <v/>
      </c>
      <c r="L1480" s="25"/>
    </row>
    <row r="1481" spans="1:12" x14ac:dyDescent="0.3">
      <c r="A1481" t="s">
        <v>340</v>
      </c>
      <c r="B1481" s="26" t="s">
        <v>431</v>
      </c>
      <c r="C1481" s="26" t="s">
        <v>341</v>
      </c>
      <c r="D1481" s="26" t="s">
        <v>332</v>
      </c>
      <c r="E1481" s="20" t="str">
        <f t="shared" si="166"/>
        <v>!!!</v>
      </c>
      <c r="F1481" s="21" t="str">
        <f>IF(OR(E1481="",E1481="!!!"),"",IF(NOT(ISNA(VLOOKUP(E1481,E$1:E1480,1,FALSE()))),"OLD",IF(AND(E1481&lt;&gt;"",E1481&lt;&gt;"!!!"),"NEW","")))</f>
        <v/>
      </c>
      <c r="G1481" s="22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3" t="str">
        <f t="shared" ca="1" si="167"/>
        <v/>
      </c>
      <c r="I1481" s="24" t="str">
        <f>IF(OR(E1481="",E1481="!!!",F1481="NEW"),"",INDEX(B$2:B1480,-1+SUMPRODUCT(MAX(ROW(E$2:E1480)*(E1481=E$2:E1480)))))</f>
        <v/>
      </c>
      <c r="J1481" s="24" t="str">
        <f ca="1">IF(OR(E1481="",E1481="!!!",F1481="NEW"),"",COUNTBLANK(OFFSET(A$1,,,SUMPRODUCT(MAX(ROW(E$2:E1481)*(E1481=E$2:E1481)))))-COUNTBLANK(OFFSET(A$1,,,SUMPRODUCT(MAX(ROW(E$1:E1480)*(E2=E$1:E1480))))))</f>
        <v/>
      </c>
      <c r="K1481" s="24" t="str">
        <f>IF(OR(E1481="",E1481="!!!",F1481="NEW"),"",INDEX(J$1:J1480,SUMPRODUCT(MAX(ROW(E$1:E1480)*(E1481=E$1:E1480)))))</f>
        <v/>
      </c>
      <c r="L1481" s="25"/>
    </row>
    <row r="1482" spans="1:12" x14ac:dyDescent="0.3">
      <c r="A1482" t="s">
        <v>380</v>
      </c>
      <c r="E1482" s="20" t="str">
        <f t="shared" si="166"/>
        <v/>
      </c>
      <c r="F1482" s="21" t="str">
        <f>IF(OR(E1482="",E1482="!!!"),"",IF(NOT(ISNA(VLOOKUP(E1482,E$1:E1481,1,FALSE()))),"OLD",IF(AND(E1482&lt;&gt;"",E1482&lt;&gt;"!!!"),"NEW","")))</f>
        <v/>
      </c>
      <c r="G1482" s="22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3" t="str">
        <f t="shared" ca="1" si="167"/>
        <v/>
      </c>
      <c r="I1482" s="24" t="str">
        <f>IF(OR(E1482="",E1482="!!!",F1482="NEW"),"",INDEX(B$2:B1481,-1+SUMPRODUCT(MAX(ROW(E$2:E1481)*(E1482=E$2:E1481)))))</f>
        <v/>
      </c>
      <c r="J1482" s="24" t="str">
        <f ca="1">IF(OR(E1482="",E1482="!!!",F1482="NEW"),"",COUNTBLANK(OFFSET(A$1,,,SUMPRODUCT(MAX(ROW(E$2:E1482)*(E1482=E$2:E1482)))))-COUNTBLANK(OFFSET(A$1,,,SUMPRODUCT(MAX(ROW(E$1:E1481)*(E2=E$1:E1481))))))</f>
        <v/>
      </c>
      <c r="K1482" s="24" t="str">
        <f>IF(OR(E1482="",E1482="!!!",F1482="NEW"),"",INDEX(J$1:J1481,SUMPRODUCT(MAX(ROW(E$1:E1481)*(E1482=E$1:E1481)))))</f>
        <v/>
      </c>
      <c r="L1482" s="25"/>
    </row>
    <row r="1483" spans="1:12" x14ac:dyDescent="0.3">
      <c r="A1483" t="s">
        <v>961</v>
      </c>
      <c r="B1483" s="26" t="s">
        <v>509</v>
      </c>
      <c r="C1483" s="26" t="s">
        <v>331</v>
      </c>
      <c r="D1483" s="26" t="s">
        <v>332</v>
      </c>
      <c r="E1483" s="20" t="str">
        <f t="shared" si="166"/>
        <v>!!!</v>
      </c>
      <c r="F1483" s="21" t="str">
        <f>IF(OR(E1483="",E1483="!!!"),"",IF(NOT(ISNA(VLOOKUP(E1483,E$1:E1482,1,FALSE()))),"OLD",IF(AND(E1483&lt;&gt;"",E1483&lt;&gt;"!!!"),"NEW","")))</f>
        <v/>
      </c>
      <c r="G1483" s="22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3" t="str">
        <f t="shared" ca="1" si="167"/>
        <v/>
      </c>
      <c r="I1483" s="24" t="str">
        <f>IF(OR(E1483="",E1483="!!!",F1483="NEW"),"",INDEX(B$2:B1482,-1+SUMPRODUCT(MAX(ROW(E$2:E1482)*(E1483=E$2:E1482)))))</f>
        <v/>
      </c>
      <c r="J1483" s="24" t="str">
        <f ca="1">IF(OR(E1483="",E1483="!!!",F1483="NEW"),"",COUNTBLANK(OFFSET(A$1,,,SUMPRODUCT(MAX(ROW(E$2:E1483)*(E1483=E$2:E1483)))))-COUNTBLANK(OFFSET(A$1,,,SUMPRODUCT(MAX(ROW(E$1:E1482)*(E2=E$1:E1482))))))</f>
        <v/>
      </c>
      <c r="K1483" s="24" t="str">
        <f>IF(OR(E1483="",E1483="!!!",F1483="NEW"),"",INDEX(J$1:J1482,SUMPRODUCT(MAX(ROW(E$1:E1482)*(E1483=E$1:E1482)))))</f>
        <v/>
      </c>
      <c r="L1483" s="25"/>
    </row>
    <row r="1484" spans="1:12" x14ac:dyDescent="0.3">
      <c r="A1484" t="s">
        <v>461</v>
      </c>
      <c r="E1484" s="20" t="str">
        <f t="shared" si="166"/>
        <v/>
      </c>
      <c r="F1484" s="21" t="str">
        <f>IF(OR(E1484="",E1484="!!!"),"",IF(NOT(ISNA(VLOOKUP(E1484,E$1:E1483,1,FALSE()))),"OLD",IF(AND(E1484&lt;&gt;"",E1484&lt;&gt;"!!!"),"NEW","")))</f>
        <v/>
      </c>
      <c r="G1484" s="22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3" t="str">
        <f t="shared" ca="1" si="167"/>
        <v/>
      </c>
      <c r="I1484" s="24" t="str">
        <f>IF(OR(E1484="",E1484="!!!",F1484="NEW"),"",INDEX(B$2:B1483,-1+SUMPRODUCT(MAX(ROW(E$2:E1483)*(E1484=E$2:E1483)))))</f>
        <v/>
      </c>
      <c r="J1484" s="24" t="str">
        <f ca="1">IF(OR(E1484="",E1484="!!!",F1484="NEW"),"",COUNTBLANK(OFFSET(A$1,,,SUMPRODUCT(MAX(ROW(E$2:E1484)*(E1484=E$2:E1484)))))-COUNTBLANK(OFFSET(A$1,,,SUMPRODUCT(MAX(ROW(E$1:E1483)*(E2=E$1:E1483))))))</f>
        <v/>
      </c>
      <c r="K1484" s="24" t="str">
        <f>IF(OR(E1484="",E1484="!!!",F1484="NEW"),"",INDEX(J$1:J1483,SUMPRODUCT(MAX(ROW(E$1:E1483)*(E1484=E$1:E1483)))))</f>
        <v/>
      </c>
      <c r="L1484" s="25"/>
    </row>
    <row r="1485" spans="1:12" x14ac:dyDescent="0.3">
      <c r="A1485" t="s">
        <v>981</v>
      </c>
      <c r="B1485" s="26" t="s">
        <v>515</v>
      </c>
      <c r="C1485" s="26" t="s">
        <v>355</v>
      </c>
      <c r="E1485" s="20" t="str">
        <f t="shared" si="166"/>
        <v/>
      </c>
      <c r="F1485" s="21" t="str">
        <f>IF(OR(E1485="",E1485="!!!"),"",IF(NOT(ISNA(VLOOKUP(E1485,E$1:E1484,1,FALSE()))),"OLD",IF(AND(E1485&lt;&gt;"",E1485&lt;&gt;"!!!"),"NEW","")))</f>
        <v/>
      </c>
      <c r="G1485" s="22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3" t="str">
        <f t="shared" ca="1" si="167"/>
        <v/>
      </c>
      <c r="I1485" s="24" t="str">
        <f>IF(OR(E1485="",E1485="!!!",F1485="NEW"),"",INDEX(B$2:B1484,-1+SUMPRODUCT(MAX(ROW(E$2:E1484)*(E1485=E$2:E1484)))))</f>
        <v/>
      </c>
      <c r="J1485" s="24" t="str">
        <f ca="1">IF(OR(E1485="",E1485="!!!",F1485="NEW"),"",COUNTBLANK(OFFSET(A$1,,,SUMPRODUCT(MAX(ROW(E$2:E1485)*(E1485=E$2:E1485)))))-COUNTBLANK(OFFSET(A$1,,,SUMPRODUCT(MAX(ROW(E$1:E1484)*(E2=E$1:E1484))))))</f>
        <v/>
      </c>
      <c r="K1485" s="24" t="str">
        <f>IF(OR(E1485="",E1485="!!!",F1485="NEW"),"",INDEX(J$1:J1484,SUMPRODUCT(MAX(ROW(E$1:E1484)*(E1485=E$1:E1484)))))</f>
        <v/>
      </c>
      <c r="L1485" s="25"/>
    </row>
    <row r="1486" spans="1:12" x14ac:dyDescent="0.3">
      <c r="A1486" t="s">
        <v>338</v>
      </c>
      <c r="E1486" s="20" t="str">
        <f t="shared" si="166"/>
        <v/>
      </c>
      <c r="F1486" s="21" t="str">
        <f>IF(OR(E1486="",E1486="!!!"),"",IF(NOT(ISNA(VLOOKUP(E1486,E$1:E1485,1,FALSE()))),"OLD",IF(AND(E1486&lt;&gt;"",E1486&lt;&gt;"!!!"),"NEW","")))</f>
        <v/>
      </c>
      <c r="G1486" s="22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3" t="str">
        <f t="shared" ca="1" si="167"/>
        <v/>
      </c>
      <c r="I1486" s="24" t="str">
        <f>IF(OR(E1486="",E1486="!!!",F1486="NEW"),"",INDEX(B$2:B1485,-1+SUMPRODUCT(MAX(ROW(E$2:E1485)*(E1486=E$2:E1485)))))</f>
        <v/>
      </c>
      <c r="J1486" s="24" t="str">
        <f ca="1">IF(OR(E1486="",E1486="!!!",F1486="NEW"),"",COUNTBLANK(OFFSET(A$1,,,SUMPRODUCT(MAX(ROW(E$2:E1486)*(E1486=E$2:E1486)))))-COUNTBLANK(OFFSET(A$1,,,SUMPRODUCT(MAX(ROW(E$1:E1485)*(E2=E$1:E1485))))))</f>
        <v/>
      </c>
      <c r="K1486" s="24" t="str">
        <f>IF(OR(E1486="",E1486="!!!",F1486="NEW"),"",INDEX(J$1:J1485,SUMPRODUCT(MAX(ROW(E$1:E1485)*(E1486=E$1:E1485)))))</f>
        <v/>
      </c>
      <c r="L1486" s="25"/>
    </row>
    <row r="1487" spans="1:12" x14ac:dyDescent="0.3">
      <c r="A1487" t="s">
        <v>575</v>
      </c>
      <c r="E1487" s="20" t="str">
        <f t="shared" si="166"/>
        <v/>
      </c>
      <c r="F1487" s="21" t="str">
        <f>IF(OR(E1487="",E1487="!!!"),"",IF(NOT(ISNA(VLOOKUP(E1487,E$1:E1486,1,FALSE()))),"OLD",IF(AND(E1487&lt;&gt;"",E1487&lt;&gt;"!!!"),"NEW","")))</f>
        <v/>
      </c>
      <c r="G1487" s="22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3" t="str">
        <f t="shared" ca="1" si="167"/>
        <v/>
      </c>
      <c r="I1487" s="24" t="str">
        <f>IF(OR(E1487="",E1487="!!!",F1487="NEW"),"",INDEX(B$2:B1486,-1+SUMPRODUCT(MAX(ROW(E$2:E1486)*(E1487=E$2:E1486)))))</f>
        <v/>
      </c>
      <c r="J1487" s="24" t="str">
        <f ca="1">IF(OR(E1487="",E1487="!!!",F1487="NEW"),"",COUNTBLANK(OFFSET(A$1,,,SUMPRODUCT(MAX(ROW(E$2:E1487)*(E1487=E$2:E1487)))))-COUNTBLANK(OFFSET(A$1,,,SUMPRODUCT(MAX(ROW(E$1:E1486)*(E2=E$1:E1486))))))</f>
        <v/>
      </c>
      <c r="K1487" s="24" t="str">
        <f>IF(OR(E1487="",E1487="!!!",F1487="NEW"),"",INDEX(J$1:J1486,SUMPRODUCT(MAX(ROW(E$1:E1486)*(E1487=E$1:E1486)))))</f>
        <v/>
      </c>
      <c r="L1487" s="25"/>
    </row>
    <row r="1489" spans="1:12" x14ac:dyDescent="0.3">
      <c r="A1489" t="s">
        <v>982</v>
      </c>
    </row>
    <row r="1490" spans="1:12" x14ac:dyDescent="0.3">
      <c r="A1490" t="s">
        <v>983</v>
      </c>
      <c r="E1490" s="20" t="str">
        <f t="shared" ref="E1490:E1495" si="168">IF(D1490="?OLD","!!!","")</f>
        <v/>
      </c>
      <c r="F1490" s="21" t="str">
        <f>IF(OR(E1490="",E1490="!!!"),"",IF(NOT(ISNA(VLOOKUP(E1490,E$1:E1489,1,FALSE()))),"OLD",IF(AND(E1490&lt;&gt;"",E1490&lt;&gt;"!!!"),"NEW","")))</f>
        <v/>
      </c>
      <c r="G1490" s="22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3" t="str">
        <f t="shared" ref="H1490:H1495" ca="1" si="169">IF(J1490&lt;&gt;1,"",IF(I1490="SBJ","CB","?"))</f>
        <v/>
      </c>
      <c r="I1490" s="24" t="str">
        <f>IF(OR(E1490="",E1490="!!!",F1490="NEW"),"",INDEX(B$2:B1489,-1+SUMPRODUCT(MAX(ROW(E$2:E1489)*(E1490=E$2:E1489)))))</f>
        <v/>
      </c>
      <c r="J1490" s="24" t="str">
        <f ca="1">IF(OR(E1490="",E1490="!!!",F1490="NEW"),"",COUNTBLANK(OFFSET(A$1,,,SUMPRODUCT(MAX(ROW(E$2:E1490)*(E1490=E$2:E1490)))))-COUNTBLANK(OFFSET(A$1,,,SUMPRODUCT(MAX(ROW(E$1:E1489)*(E2=E$1:E1489))))))</f>
        <v/>
      </c>
      <c r="K1490" s="24" t="str">
        <f>IF(OR(E1490="",E1490="!!!",F1490="NEW"),"",INDEX(J$1:J1489,SUMPRODUCT(MAX(ROW(E$1:E1489)*(E1490=E$1:E1489)))))</f>
        <v/>
      </c>
      <c r="L1490" s="25"/>
    </row>
    <row r="1491" spans="1:12" x14ac:dyDescent="0.3">
      <c r="A1491" t="s">
        <v>984</v>
      </c>
      <c r="E1491" s="20" t="str">
        <f t="shared" si="168"/>
        <v/>
      </c>
      <c r="F1491" s="21" t="str">
        <f>IF(OR(E1491="",E1491="!!!"),"",IF(NOT(ISNA(VLOOKUP(E1491,E$1:E1490,1,FALSE()))),"OLD",IF(AND(E1491&lt;&gt;"",E1491&lt;&gt;"!!!"),"NEW","")))</f>
        <v/>
      </c>
      <c r="G1491" s="22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3" t="str">
        <f t="shared" ca="1" si="169"/>
        <v/>
      </c>
      <c r="I1491" s="24" t="str">
        <f>IF(OR(E1491="",E1491="!!!",F1491="NEW"),"",INDEX(B$2:B1490,-1+SUMPRODUCT(MAX(ROW(E$2:E1490)*(E1491=E$2:E1490)))))</f>
        <v/>
      </c>
      <c r="J1491" s="24" t="str">
        <f ca="1">IF(OR(E1491="",E1491="!!!",F1491="NEW"),"",COUNTBLANK(OFFSET(A$1,,,SUMPRODUCT(MAX(ROW(E$2:E1491)*(E1491=E$2:E1491)))))-COUNTBLANK(OFFSET(A$1,,,SUMPRODUCT(MAX(ROW(E$1:E1490)*(E2=E$1:E1490))))))</f>
        <v/>
      </c>
      <c r="K1491" s="24" t="str">
        <f>IF(OR(E1491="",E1491="!!!",F1491="NEW"),"",INDEX(J$1:J1490,SUMPRODUCT(MAX(ROW(E$1:E1490)*(E1491=E$1:E1490)))))</f>
        <v/>
      </c>
      <c r="L1491" s="25"/>
    </row>
    <row r="1492" spans="1:12" x14ac:dyDescent="0.3">
      <c r="A1492" t="s">
        <v>349</v>
      </c>
      <c r="B1492" s="26" t="s">
        <v>330</v>
      </c>
      <c r="C1492" s="26" t="s">
        <v>341</v>
      </c>
      <c r="D1492" s="26" t="s">
        <v>332</v>
      </c>
      <c r="E1492" s="20" t="str">
        <f t="shared" si="168"/>
        <v>!!!</v>
      </c>
      <c r="F1492" s="21" t="str">
        <f>IF(OR(E1492="",E1492="!!!"),"",IF(NOT(ISNA(VLOOKUP(E1492,E$1:E1491,1,FALSE()))),"OLD",IF(AND(E1492&lt;&gt;"",E1492&lt;&gt;"!!!"),"NEW","")))</f>
        <v/>
      </c>
      <c r="G1492" s="22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3" t="str">
        <f t="shared" ca="1" si="169"/>
        <v/>
      </c>
      <c r="I1492" s="24" t="str">
        <f>IF(OR(E1492="",E1492="!!!",F1492="NEW"),"",INDEX(B$2:B1491,-1+SUMPRODUCT(MAX(ROW(E$2:E1491)*(E1492=E$2:E1491)))))</f>
        <v/>
      </c>
      <c r="J1492" s="24" t="str">
        <f ca="1">IF(OR(E1492="",E1492="!!!",F1492="NEW"),"",COUNTBLANK(OFFSET(A$1,,,SUMPRODUCT(MAX(ROW(E$2:E1492)*(E1492=E$2:E1492)))))-COUNTBLANK(OFFSET(A$1,,,SUMPRODUCT(MAX(ROW(E$1:E1491)*(E2=E$1:E1491))))))</f>
        <v/>
      </c>
      <c r="K1492" s="24" t="str">
        <f>IF(OR(E1492="",E1492="!!!",F1492="NEW"),"",INDEX(J$1:J1491,SUMPRODUCT(MAX(ROW(E$1:E1491)*(E1492=E$1:E1491)))))</f>
        <v/>
      </c>
      <c r="L1492" s="25"/>
    </row>
    <row r="1493" spans="1:12" x14ac:dyDescent="0.3">
      <c r="A1493" t="s">
        <v>380</v>
      </c>
      <c r="E1493" s="20" t="str">
        <f t="shared" si="168"/>
        <v/>
      </c>
      <c r="F1493" s="21" t="str">
        <f>IF(OR(E1493="",E1493="!!!"),"",IF(NOT(ISNA(VLOOKUP(E1493,E$1:E1492,1,FALSE()))),"OLD",IF(AND(E1493&lt;&gt;"",E1493&lt;&gt;"!!!"),"NEW","")))</f>
        <v/>
      </c>
      <c r="G1493" s="22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/>
      </c>
      <c r="H1493" s="23" t="str">
        <f t="shared" ca="1" si="169"/>
        <v/>
      </c>
      <c r="I1493" s="24" t="str">
        <f>IF(OR(E1493="",E1493="!!!",F1493="NEW"),"",INDEX(B$2:B1492,-1+SUMPRODUCT(MAX(ROW(E$2:E1492)*(E1493=E$2:E1492)))))</f>
        <v/>
      </c>
      <c r="J1493" s="24" t="str">
        <f ca="1">IF(OR(E1493="",E1493="!!!",F1493="NEW"),"",COUNTBLANK(OFFSET(A$1,,,SUMPRODUCT(MAX(ROW(E$2:E1493)*(E1493=E$2:E1493)))))-COUNTBLANK(OFFSET(A$1,,,SUMPRODUCT(MAX(ROW(E$1:E1492)*(E2=E$1:E1492))))))</f>
        <v/>
      </c>
      <c r="K1493" s="24" t="str">
        <f>IF(OR(E1493="",E1493="!!!",F1493="NEW"),"",INDEX(J$1:J1492,SUMPRODUCT(MAX(ROW(E$1:E1492)*(E1493=E$1:E1492)))))</f>
        <v/>
      </c>
      <c r="L1493" s="25"/>
    </row>
    <row r="1494" spans="1:12" x14ac:dyDescent="0.3">
      <c r="A1494" t="s">
        <v>448</v>
      </c>
      <c r="B1494" s="26" t="s">
        <v>344</v>
      </c>
      <c r="C1494" s="26" t="s">
        <v>331</v>
      </c>
      <c r="D1494" s="26" t="s">
        <v>332</v>
      </c>
      <c r="E1494" s="20" t="str">
        <f t="shared" si="168"/>
        <v>!!!</v>
      </c>
      <c r="F1494" s="21" t="str">
        <f>IF(OR(E1494="",E1494="!!!"),"",IF(NOT(ISNA(VLOOKUP(E1494,E$1:E1493,1,FALSE()))),"OLD",IF(AND(E1494&lt;&gt;"",E1494&lt;&gt;"!!!"),"NEW","")))</f>
        <v/>
      </c>
      <c r="G1494" s="22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3" t="str">
        <f t="shared" ca="1" si="169"/>
        <v/>
      </c>
      <c r="I1494" s="24" t="str">
        <f>IF(OR(E1494="",E1494="!!!",F1494="NEW"),"",INDEX(B$2:B1493,-1+SUMPRODUCT(MAX(ROW(E$2:E1493)*(E1494=E$2:E1493)))))</f>
        <v/>
      </c>
      <c r="J1494" s="24" t="str">
        <f ca="1">IF(OR(E1494="",E1494="!!!",F1494="NEW"),"",COUNTBLANK(OFFSET(A$1,,,SUMPRODUCT(MAX(ROW(E$2:E1494)*(E1494=E$2:E1494)))))-COUNTBLANK(OFFSET(A$1,,,SUMPRODUCT(MAX(ROW(E$1:E1493)*(E2=E$1:E1493))))))</f>
        <v/>
      </c>
      <c r="K1494" s="24" t="str">
        <f>IF(OR(E1494="",E1494="!!!",F1494="NEW"),"",INDEX(J$1:J1493,SUMPRODUCT(MAX(ROW(E$1:E1493)*(E1494=E$1:E1493)))))</f>
        <v/>
      </c>
      <c r="L1494" s="25"/>
    </row>
    <row r="1495" spans="1:12" x14ac:dyDescent="0.3">
      <c r="A1495" t="s">
        <v>338</v>
      </c>
      <c r="E1495" s="20" t="str">
        <f t="shared" si="168"/>
        <v/>
      </c>
      <c r="F1495" s="21" t="str">
        <f>IF(OR(E1495="",E1495="!!!"),"",IF(NOT(ISNA(VLOOKUP(E1495,E$1:E1494,1,FALSE()))),"OLD",IF(AND(E1495&lt;&gt;"",E1495&lt;&gt;"!!!"),"NEW","")))</f>
        <v/>
      </c>
      <c r="G1495" s="22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3" t="str">
        <f t="shared" ca="1" si="169"/>
        <v/>
      </c>
      <c r="I1495" s="24" t="str">
        <f>IF(OR(E1495="",E1495="!!!",F1495="NEW"),"",INDEX(B$2:B1494,-1+SUMPRODUCT(MAX(ROW(E$2:E1494)*(E1495=E$2:E1494)))))</f>
        <v/>
      </c>
      <c r="J1495" s="24" t="str">
        <f ca="1">IF(OR(E1495="",E1495="!!!",F1495="NEW"),"",COUNTBLANK(OFFSET(A$1,,,SUMPRODUCT(MAX(ROW(E$2:E1495)*(E1495=E$2:E1495)))))-COUNTBLANK(OFFSET(A$1,,,SUMPRODUCT(MAX(ROW(E$1:E1494)*(E2=E$1:E1494))))))</f>
        <v/>
      </c>
      <c r="K1495" s="24" t="str">
        <f>IF(OR(E1495="",E1495="!!!",F1495="NEW"),"",INDEX(J$1:J1494,SUMPRODUCT(MAX(ROW(E$1:E1494)*(E1495=E$1:E1494)))))</f>
        <v/>
      </c>
      <c r="L1495" s="25"/>
    </row>
    <row r="1497" spans="1:12" x14ac:dyDescent="0.3">
      <c r="A1497" t="s">
        <v>985</v>
      </c>
    </row>
    <row r="1498" spans="1:12" x14ac:dyDescent="0.3">
      <c r="A1498" t="s">
        <v>986</v>
      </c>
      <c r="E1498" s="20" t="str">
        <f t="shared" ref="E1498:E1520" si="170">IF(D1498="?OLD","!!!","")</f>
        <v/>
      </c>
      <c r="F1498" s="21" t="str">
        <f>IF(OR(E1498="",E1498="!!!"),"",IF(NOT(ISNA(VLOOKUP(E1498,E$1:E1497,1,FALSE()))),"OLD",IF(AND(E1498&lt;&gt;"",E1498&lt;&gt;"!!!"),"NEW","")))</f>
        <v/>
      </c>
      <c r="G1498" s="22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3" t="str">
        <f t="shared" ref="H1498:H1520" ca="1" si="171">IF(J1498&lt;&gt;1,"",IF(I1498="SBJ","CB","?"))</f>
        <v/>
      </c>
      <c r="I1498" s="24" t="str">
        <f>IF(OR(E1498="",E1498="!!!",F1498="NEW"),"",INDEX(B$2:B1497,-1+SUMPRODUCT(MAX(ROW(E$2:E1497)*(E1498=E$2:E1497)))))</f>
        <v/>
      </c>
      <c r="J1498" s="24" t="str">
        <f ca="1">IF(OR(E1498="",E1498="!!!",F1498="NEW"),"",COUNTBLANK(OFFSET(A$1,,,SUMPRODUCT(MAX(ROW(E$2:E1498)*(E1498=E$2:E1498)))))-COUNTBLANK(OFFSET(A$1,,,SUMPRODUCT(MAX(ROW(E$1:E1497)*(E2=E$1:E1497))))))</f>
        <v/>
      </c>
      <c r="K1498" s="24" t="str">
        <f>IF(OR(E1498="",E1498="!!!",F1498="NEW"),"",INDEX(J$1:J1497,SUMPRODUCT(MAX(ROW(E$1:E1497)*(E1498=E$1:E1497)))))</f>
        <v/>
      </c>
      <c r="L1498" s="25"/>
    </row>
    <row r="1499" spans="1:12" x14ac:dyDescent="0.3">
      <c r="A1499" t="s">
        <v>340</v>
      </c>
      <c r="B1499" s="26" t="s">
        <v>330</v>
      </c>
      <c r="C1499" s="26" t="s">
        <v>341</v>
      </c>
      <c r="D1499" s="26" t="s">
        <v>332</v>
      </c>
      <c r="E1499" s="20" t="str">
        <f t="shared" si="170"/>
        <v>!!!</v>
      </c>
      <c r="F1499" s="21" t="str">
        <f>IF(OR(E1499="",E1499="!!!"),"",IF(NOT(ISNA(VLOOKUP(E1499,E$1:E1498,1,FALSE()))),"OLD",IF(AND(E1499&lt;&gt;"",E1499&lt;&gt;"!!!"),"NEW","")))</f>
        <v/>
      </c>
      <c r="G1499" s="22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3" t="str">
        <f t="shared" ca="1" si="171"/>
        <v/>
      </c>
      <c r="I1499" s="24" t="str">
        <f>IF(OR(E1499="",E1499="!!!",F1499="NEW"),"",INDEX(B$2:B1498,-1+SUMPRODUCT(MAX(ROW(E$2:E1498)*(E1499=E$2:E1498)))))</f>
        <v/>
      </c>
      <c r="J1499" s="24" t="str">
        <f ca="1">IF(OR(E1499="",E1499="!!!",F1499="NEW"),"",COUNTBLANK(OFFSET(A$1,,,SUMPRODUCT(MAX(ROW(E$2:E1499)*(E1499=E$2:E1499)))))-COUNTBLANK(OFFSET(A$1,,,SUMPRODUCT(MAX(ROW(E$1:E1498)*(E2=E$1:E1498))))))</f>
        <v/>
      </c>
      <c r="K1499" s="24" t="str">
        <f>IF(OR(E1499="",E1499="!!!",F1499="NEW"),"",INDEX(J$1:J1498,SUMPRODUCT(MAX(ROW(E$1:E1498)*(E1499=E$1:E1498)))))</f>
        <v/>
      </c>
      <c r="L1499" s="25"/>
    </row>
    <row r="1500" spans="1:12" x14ac:dyDescent="0.3">
      <c r="A1500" t="s">
        <v>532</v>
      </c>
      <c r="B1500" s="26" t="s">
        <v>344</v>
      </c>
      <c r="E1500" s="20" t="str">
        <f t="shared" si="170"/>
        <v/>
      </c>
      <c r="F1500" s="21" t="str">
        <f>IF(OR(E1500="",E1500="!!!"),"",IF(NOT(ISNA(VLOOKUP(E1500,E$1:E1499,1,FALSE()))),"OLD",IF(AND(E1500&lt;&gt;"",E1500&lt;&gt;"!!!"),"NEW","")))</f>
        <v/>
      </c>
      <c r="G1500" s="22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3" t="str">
        <f t="shared" ca="1" si="171"/>
        <v/>
      </c>
      <c r="I1500" s="24" t="str">
        <f>IF(OR(E1500="",E1500="!!!",F1500="NEW"),"",INDEX(B$2:B1499,-1+SUMPRODUCT(MAX(ROW(E$2:E1499)*(E1500=E$2:E1499)))))</f>
        <v/>
      </c>
      <c r="J1500" s="24" t="str">
        <f ca="1">IF(OR(E1500="",E1500="!!!",F1500="NEW"),"",COUNTBLANK(OFFSET(A$1,,,SUMPRODUCT(MAX(ROW(E$2:E1500)*(E1500=E$2:E1500)))))-COUNTBLANK(OFFSET(A$1,,,SUMPRODUCT(MAX(ROW(E$1:E1499)*(E2=E$1:E1499))))))</f>
        <v/>
      </c>
      <c r="K1500" s="24" t="str">
        <f>IF(OR(E1500="",E1500="!!!",F1500="NEW"),"",INDEX(J$1:J1499,SUMPRODUCT(MAX(ROW(E$1:E1499)*(E1500=E$1:E1499)))))</f>
        <v/>
      </c>
      <c r="L1500" s="25"/>
    </row>
    <row r="1501" spans="1:12" x14ac:dyDescent="0.3">
      <c r="A1501" t="s">
        <v>987</v>
      </c>
      <c r="E1501" s="20" t="str">
        <f t="shared" si="170"/>
        <v/>
      </c>
      <c r="F1501" s="21" t="str">
        <f>IF(OR(E1501="",E1501="!!!"),"",IF(NOT(ISNA(VLOOKUP(E1501,E$1:E1500,1,FALSE()))),"OLD",IF(AND(E1501&lt;&gt;"",E1501&lt;&gt;"!!!"),"NEW","")))</f>
        <v/>
      </c>
      <c r="G1501" s="22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3" t="str">
        <f t="shared" ca="1" si="171"/>
        <v/>
      </c>
      <c r="I1501" s="24" t="str">
        <f>IF(OR(E1501="",E1501="!!!",F1501="NEW"),"",INDEX(B$2:B1500,-1+SUMPRODUCT(MAX(ROW(E$2:E1500)*(E1501=E$2:E1500)))))</f>
        <v/>
      </c>
      <c r="J1501" s="24" t="str">
        <f ca="1">IF(OR(E1501="",E1501="!!!",F1501="NEW"),"",COUNTBLANK(OFFSET(A$1,,,SUMPRODUCT(MAX(ROW(E$2:E1501)*(E1501=E$2:E1501)))))-COUNTBLANK(OFFSET(A$1,,,SUMPRODUCT(MAX(ROW(E$1:E1500)*(E2=E$1:E1500))))))</f>
        <v/>
      </c>
      <c r="K1501" s="24" t="str">
        <f>IF(OR(E1501="",E1501="!!!",F1501="NEW"),"",INDEX(J$1:J1500,SUMPRODUCT(MAX(ROW(E$1:E1500)*(E1501=E$1:E1500)))))</f>
        <v/>
      </c>
      <c r="L1501" s="25"/>
    </row>
    <row r="1502" spans="1:12" x14ac:dyDescent="0.3">
      <c r="A1502" t="s">
        <v>542</v>
      </c>
      <c r="B1502" s="26" t="s">
        <v>357</v>
      </c>
      <c r="E1502" s="20" t="str">
        <f t="shared" si="170"/>
        <v/>
      </c>
      <c r="F1502" s="21" t="str">
        <f>IF(OR(E1502="",E1502="!!!"),"",IF(NOT(ISNA(VLOOKUP(E1502,E$1:E1501,1,FALSE()))),"OLD",IF(AND(E1502&lt;&gt;"",E1502&lt;&gt;"!!!"),"NEW","")))</f>
        <v/>
      </c>
      <c r="G1502" s="22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3" t="str">
        <f t="shared" ca="1" si="171"/>
        <v/>
      </c>
      <c r="I1502" s="24" t="str">
        <f>IF(OR(E1502="",E1502="!!!",F1502="NEW"),"",INDEX(B$2:B1501,-1+SUMPRODUCT(MAX(ROW(E$2:E1501)*(E1502=E$2:E1501)))))</f>
        <v/>
      </c>
      <c r="J1502" s="24" t="str">
        <f ca="1">IF(OR(E1502="",E1502="!!!",F1502="NEW"),"",COUNTBLANK(OFFSET(A$1,,,SUMPRODUCT(MAX(ROW(E$2:E1502)*(E1502=E$2:E1502)))))-COUNTBLANK(OFFSET(A$1,,,SUMPRODUCT(MAX(ROW(E$1:E1501)*(E2=E$1:E1501))))))</f>
        <v/>
      </c>
      <c r="K1502" s="24" t="str">
        <f>IF(OR(E1502="",E1502="!!!",F1502="NEW"),"",INDEX(J$1:J1501,SUMPRODUCT(MAX(ROW(E$1:E1501)*(E1502=E$1:E1501)))))</f>
        <v/>
      </c>
      <c r="L1502" s="25"/>
    </row>
    <row r="1503" spans="1:12" x14ac:dyDescent="0.3">
      <c r="A1503" t="s">
        <v>477</v>
      </c>
      <c r="E1503" s="20" t="str">
        <f t="shared" si="170"/>
        <v/>
      </c>
      <c r="F1503" s="21" t="str">
        <f>IF(OR(E1503="",E1503="!!!"),"",IF(NOT(ISNA(VLOOKUP(E1503,E$1:E1502,1,FALSE()))),"OLD",IF(AND(E1503&lt;&gt;"",E1503&lt;&gt;"!!!"),"NEW","")))</f>
        <v/>
      </c>
      <c r="G1503" s="22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3" t="str">
        <f t="shared" ca="1" si="171"/>
        <v/>
      </c>
      <c r="I1503" s="24" t="str">
        <f>IF(OR(E1503="",E1503="!!!",F1503="NEW"),"",INDEX(B$2:B1502,-1+SUMPRODUCT(MAX(ROW(E$2:E1502)*(E1503=E$2:E1502)))))</f>
        <v/>
      </c>
      <c r="J1503" s="24" t="str">
        <f ca="1">IF(OR(E1503="",E1503="!!!",F1503="NEW"),"",COUNTBLANK(OFFSET(A$1,,,SUMPRODUCT(MAX(ROW(E$2:E1503)*(E1503=E$2:E1503)))))-COUNTBLANK(OFFSET(A$1,,,SUMPRODUCT(MAX(ROW(E$1:E1502)*(E2=E$1:E1502))))))</f>
        <v/>
      </c>
      <c r="K1503" s="24" t="str">
        <f>IF(OR(E1503="",E1503="!!!",F1503="NEW"),"",INDEX(J$1:J1502,SUMPRODUCT(MAX(ROW(E$1:E1502)*(E1503=E$1:E1502)))))</f>
        <v/>
      </c>
      <c r="L1503" s="25"/>
    </row>
    <row r="1504" spans="1:12" x14ac:dyDescent="0.3">
      <c r="A1504" t="s">
        <v>956</v>
      </c>
      <c r="B1504" s="26" t="s">
        <v>362</v>
      </c>
      <c r="C1504" s="26" t="s">
        <v>358</v>
      </c>
      <c r="E1504" s="20" t="str">
        <f t="shared" si="170"/>
        <v/>
      </c>
      <c r="F1504" s="21" t="str">
        <f>IF(OR(E1504="",E1504="!!!"),"",IF(NOT(ISNA(VLOOKUP(E1504,E$1:E1503,1,FALSE()))),"OLD",IF(AND(E1504&lt;&gt;"",E1504&lt;&gt;"!!!"),"NEW","")))</f>
        <v/>
      </c>
      <c r="G1504" s="22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3" t="str">
        <f t="shared" ca="1" si="171"/>
        <v/>
      </c>
      <c r="I1504" s="24" t="str">
        <f>IF(OR(E1504="",E1504="!!!",F1504="NEW"),"",INDEX(B$2:B1503,-1+SUMPRODUCT(MAX(ROW(E$2:E1503)*(E1504=E$2:E1503)))))</f>
        <v/>
      </c>
      <c r="J1504" s="24" t="str">
        <f ca="1">IF(OR(E1504="",E1504="!!!",F1504="NEW"),"",COUNTBLANK(OFFSET(A$1,,,SUMPRODUCT(MAX(ROW(E$2:E1504)*(E1504=E$2:E1504)))))-COUNTBLANK(OFFSET(A$1,,,SUMPRODUCT(MAX(ROW(E$1:E1503)*(E2=E$1:E1503))))))</f>
        <v/>
      </c>
      <c r="K1504" s="24" t="str">
        <f>IF(OR(E1504="",E1504="!!!",F1504="NEW"),"",INDEX(J$1:J1503,SUMPRODUCT(MAX(ROW(E$1:E1503)*(E1504=E$1:E1503)))))</f>
        <v/>
      </c>
      <c r="L1504" s="25"/>
    </row>
    <row r="1505" spans="1:12" x14ac:dyDescent="0.3">
      <c r="A1505" t="s">
        <v>988</v>
      </c>
      <c r="B1505" s="26" t="s">
        <v>378</v>
      </c>
      <c r="C1505" s="26" t="s">
        <v>366</v>
      </c>
      <c r="E1505" s="20" t="str">
        <f t="shared" si="170"/>
        <v/>
      </c>
      <c r="F1505" s="21" t="str">
        <f>IF(OR(E1505="",E1505="!!!"),"",IF(NOT(ISNA(VLOOKUP(E1505,E$1:E1504,1,FALSE()))),"OLD",IF(AND(E1505&lt;&gt;"",E1505&lt;&gt;"!!!"),"NEW","")))</f>
        <v/>
      </c>
      <c r="G1505" s="22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/>
      </c>
      <c r="H1505" s="23" t="str">
        <f t="shared" ca="1" si="171"/>
        <v/>
      </c>
      <c r="I1505" s="24" t="str">
        <f>IF(OR(E1505="",E1505="!!!",F1505="NEW"),"",INDEX(B$2:B1504,-1+SUMPRODUCT(MAX(ROW(E$2:E1504)*(E1505=E$2:E1504)))))</f>
        <v/>
      </c>
      <c r="J1505" s="24" t="str">
        <f ca="1">IF(OR(E1505="",E1505="!!!",F1505="NEW"),"",COUNTBLANK(OFFSET(A$1,,,SUMPRODUCT(MAX(ROW(E$2:E1505)*(E1505=E$2:E1505)))))-COUNTBLANK(OFFSET(A$1,,,SUMPRODUCT(MAX(ROW(E$1:E1504)*(E2=E$1:E1504))))))</f>
        <v/>
      </c>
      <c r="K1505" s="24" t="str">
        <f>IF(OR(E1505="",E1505="!!!",F1505="NEW"),"",INDEX(J$1:J1504,SUMPRODUCT(MAX(ROW(E$1:E1504)*(E1505=E$1:E1504)))))</f>
        <v/>
      </c>
      <c r="L1505" s="25"/>
    </row>
    <row r="1506" spans="1:12" x14ac:dyDescent="0.3">
      <c r="A1506" t="s">
        <v>989</v>
      </c>
      <c r="E1506" s="20" t="str">
        <f t="shared" si="170"/>
        <v/>
      </c>
      <c r="F1506" s="21" t="str">
        <f>IF(OR(E1506="",E1506="!!!"),"",IF(NOT(ISNA(VLOOKUP(E1506,E$1:E1505,1,FALSE()))),"OLD",IF(AND(E1506&lt;&gt;"",E1506&lt;&gt;"!!!"),"NEW","")))</f>
        <v/>
      </c>
      <c r="G1506" s="22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3" t="str">
        <f t="shared" ca="1" si="171"/>
        <v/>
      </c>
      <c r="I1506" s="24" t="str">
        <f>IF(OR(E1506="",E1506="!!!",F1506="NEW"),"",INDEX(B$2:B1505,-1+SUMPRODUCT(MAX(ROW(E$2:E1505)*(E1506=E$2:E1505)))))</f>
        <v/>
      </c>
      <c r="J1506" s="24" t="str">
        <f ca="1">IF(OR(E1506="",E1506="!!!",F1506="NEW"),"",COUNTBLANK(OFFSET(A$1,,,SUMPRODUCT(MAX(ROW(E$2:E1506)*(E1506=E$2:E1506)))))-COUNTBLANK(OFFSET(A$1,,,SUMPRODUCT(MAX(ROW(E$1:E1505)*(E2=E$1:E1505))))))</f>
        <v/>
      </c>
      <c r="K1506" s="24" t="str">
        <f>IF(OR(E1506="",E1506="!!!",F1506="NEW"),"",INDEX(J$1:J1505,SUMPRODUCT(MAX(ROW(E$1:E1505)*(E1506=E$1:E1505)))))</f>
        <v/>
      </c>
      <c r="L1506" s="25"/>
    </row>
    <row r="1507" spans="1:12" x14ac:dyDescent="0.3">
      <c r="A1507" t="s">
        <v>410</v>
      </c>
      <c r="E1507" s="20" t="str">
        <f t="shared" si="170"/>
        <v/>
      </c>
      <c r="F1507" s="21" t="str">
        <f>IF(OR(E1507="",E1507="!!!"),"",IF(NOT(ISNA(VLOOKUP(E1507,E$1:E1506,1,FALSE()))),"OLD",IF(AND(E1507&lt;&gt;"",E1507&lt;&gt;"!!!"),"NEW","")))</f>
        <v/>
      </c>
      <c r="G1507" s="22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/>
      </c>
      <c r="H1507" s="23" t="str">
        <f t="shared" ca="1" si="171"/>
        <v/>
      </c>
      <c r="I1507" s="24" t="str">
        <f>IF(OR(E1507="",E1507="!!!",F1507="NEW"),"",INDEX(B$2:B1506,-1+SUMPRODUCT(MAX(ROW(E$2:E1506)*(E1507=E$2:E1506)))))</f>
        <v/>
      </c>
      <c r="J1507" s="24" t="str">
        <f ca="1">IF(OR(E1507="",E1507="!!!",F1507="NEW"),"",COUNTBLANK(OFFSET(A$1,,,SUMPRODUCT(MAX(ROW(E$2:E1507)*(E1507=E$2:E1507)))))-COUNTBLANK(OFFSET(A$1,,,SUMPRODUCT(MAX(ROW(E$1:E1506)*(E2=E$1:E1506))))))</f>
        <v/>
      </c>
      <c r="K1507" s="24" t="str">
        <f>IF(OR(E1507="",E1507="!!!",F1507="NEW"),"",INDEX(J$1:J1506,SUMPRODUCT(MAX(ROW(E$1:E1506)*(E1507=E$1:E1506)))))</f>
        <v/>
      </c>
      <c r="L1507" s="25"/>
    </row>
    <row r="1508" spans="1:12" x14ac:dyDescent="0.3">
      <c r="A1508" t="s">
        <v>543</v>
      </c>
      <c r="B1508" s="26" t="s">
        <v>354</v>
      </c>
      <c r="C1508" s="26" t="s">
        <v>355</v>
      </c>
      <c r="E1508" s="20" t="str">
        <f t="shared" si="170"/>
        <v/>
      </c>
      <c r="F1508" s="21" t="str">
        <f>IF(OR(E1508="",E1508="!!!"),"",IF(NOT(ISNA(VLOOKUP(E1508,E$1:E1507,1,FALSE()))),"OLD",IF(AND(E1508&lt;&gt;"",E1508&lt;&gt;"!!!"),"NEW","")))</f>
        <v/>
      </c>
      <c r="G1508" s="22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3" t="str">
        <f t="shared" ca="1" si="171"/>
        <v/>
      </c>
      <c r="I1508" s="24" t="str">
        <f>IF(OR(E1508="",E1508="!!!",F1508="NEW"),"",INDEX(B$2:B1507,-1+SUMPRODUCT(MAX(ROW(E$2:E1507)*(E1508=E$2:E1507)))))</f>
        <v/>
      </c>
      <c r="J1508" s="24" t="str">
        <f ca="1">IF(OR(E1508="",E1508="!!!",F1508="NEW"),"",COUNTBLANK(OFFSET(A$1,,,SUMPRODUCT(MAX(ROW(E$2:E1508)*(E1508=E$2:E1508)))))-COUNTBLANK(OFFSET(A$1,,,SUMPRODUCT(MAX(ROW(E$1:E1507)*(E2=E$1:E1507))))))</f>
        <v/>
      </c>
      <c r="K1508" s="24" t="str">
        <f>IF(OR(E1508="",E1508="!!!",F1508="NEW"),"",INDEX(J$1:J1507,SUMPRODUCT(MAX(ROW(E$1:E1507)*(E1508=E$1:E1507)))))</f>
        <v/>
      </c>
      <c r="L1508" s="25"/>
    </row>
    <row r="1509" spans="1:12" x14ac:dyDescent="0.3">
      <c r="A1509" t="s">
        <v>385</v>
      </c>
      <c r="E1509" s="20" t="str">
        <f t="shared" si="170"/>
        <v/>
      </c>
      <c r="F1509" s="21" t="str">
        <f>IF(OR(E1509="",E1509="!!!"),"",IF(NOT(ISNA(VLOOKUP(E1509,E$1:E1508,1,FALSE()))),"OLD",IF(AND(E1509&lt;&gt;"",E1509&lt;&gt;"!!!"),"NEW","")))</f>
        <v/>
      </c>
      <c r="G1509" s="22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/>
      </c>
      <c r="H1509" s="23" t="str">
        <f t="shared" ca="1" si="171"/>
        <v/>
      </c>
      <c r="I1509" s="24" t="str">
        <f>IF(OR(E1509="",E1509="!!!",F1509="NEW"),"",INDEX(B$2:B1508,-1+SUMPRODUCT(MAX(ROW(E$2:E1508)*(E1509=E$2:E1508)))))</f>
        <v/>
      </c>
      <c r="J1509" s="24" t="str">
        <f ca="1">IF(OR(E1509="",E1509="!!!",F1509="NEW"),"",COUNTBLANK(OFFSET(A$1,,,SUMPRODUCT(MAX(ROW(E$2:E1509)*(E1509=E$2:E1509)))))-COUNTBLANK(OFFSET(A$1,,,SUMPRODUCT(MAX(ROW(E$1:E1508)*(E2=E$1:E1508))))))</f>
        <v/>
      </c>
      <c r="K1509" s="24" t="str">
        <f>IF(OR(E1509="",E1509="!!!",F1509="NEW"),"",INDEX(J$1:J1508,SUMPRODUCT(MAX(ROW(E$1:E1508)*(E1509=E$1:E1508)))))</f>
        <v/>
      </c>
      <c r="L1509" s="25"/>
    </row>
    <row r="1510" spans="1:12" x14ac:dyDescent="0.3">
      <c r="A1510" t="s">
        <v>353</v>
      </c>
      <c r="B1510" s="26" t="s">
        <v>362</v>
      </c>
      <c r="C1510" s="26" t="s">
        <v>355</v>
      </c>
      <c r="E1510" s="20" t="str">
        <f t="shared" si="170"/>
        <v/>
      </c>
      <c r="F1510" s="21" t="str">
        <f>IF(OR(E1510="",E1510="!!!"),"",IF(NOT(ISNA(VLOOKUP(E1510,E$1:E1509,1,FALSE()))),"OLD",IF(AND(E1510&lt;&gt;"",E1510&lt;&gt;"!!!"),"NEW","")))</f>
        <v/>
      </c>
      <c r="G1510" s="22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/>
      </c>
      <c r="H1510" s="23" t="str">
        <f t="shared" ca="1" si="171"/>
        <v/>
      </c>
      <c r="I1510" s="24" t="str">
        <f>IF(OR(E1510="",E1510="!!!",F1510="NEW"),"",INDEX(B$2:B1509,-1+SUMPRODUCT(MAX(ROW(E$2:E1509)*(E1510=E$2:E1509)))))</f>
        <v/>
      </c>
      <c r="J1510" s="24" t="str">
        <f ca="1">IF(OR(E1510="",E1510="!!!",F1510="NEW"),"",COUNTBLANK(OFFSET(A$1,,,SUMPRODUCT(MAX(ROW(E$2:E1510)*(E1510=E$2:E1510)))))-COUNTBLANK(OFFSET(A$1,,,SUMPRODUCT(MAX(ROW(E$1:E1509)*(E2=E$1:E1509))))))</f>
        <v/>
      </c>
      <c r="K1510" s="24" t="str">
        <f>IF(OR(E1510="",E1510="!!!",F1510="NEW"),"",INDEX(J$1:J1509,SUMPRODUCT(MAX(ROW(E$1:E1509)*(E1510=E$1:E1509)))))</f>
        <v/>
      </c>
      <c r="L1510" s="25"/>
    </row>
    <row r="1511" spans="1:12" x14ac:dyDescent="0.3">
      <c r="A1511" t="s">
        <v>407</v>
      </c>
      <c r="E1511" s="20" t="str">
        <f t="shared" si="170"/>
        <v/>
      </c>
      <c r="F1511" s="21" t="str">
        <f>IF(OR(E1511="",E1511="!!!"),"",IF(NOT(ISNA(VLOOKUP(E1511,E$1:E1510,1,FALSE()))),"OLD",IF(AND(E1511&lt;&gt;"",E1511&lt;&gt;"!!!"),"NEW","")))</f>
        <v/>
      </c>
      <c r="G1511" s="22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3" t="str">
        <f t="shared" ca="1" si="171"/>
        <v/>
      </c>
      <c r="I1511" s="24" t="str">
        <f>IF(OR(E1511="",E1511="!!!",F1511="NEW"),"",INDEX(B$2:B1510,-1+SUMPRODUCT(MAX(ROW(E$2:E1510)*(E1511=E$2:E1510)))))</f>
        <v/>
      </c>
      <c r="J1511" s="24" t="str">
        <f ca="1">IF(OR(E1511="",E1511="!!!",F1511="NEW"),"",COUNTBLANK(OFFSET(A$1,,,SUMPRODUCT(MAX(ROW(E$2:E1511)*(E1511=E$2:E1511)))))-COUNTBLANK(OFFSET(A$1,,,SUMPRODUCT(MAX(ROW(E$1:E1510)*(E2=E$1:E1510))))))</f>
        <v/>
      </c>
      <c r="K1511" s="24" t="str">
        <f>IF(OR(E1511="",E1511="!!!",F1511="NEW"),"",INDEX(J$1:J1510,SUMPRODUCT(MAX(ROW(E$1:E1510)*(E1511=E$1:E1510)))))</f>
        <v/>
      </c>
      <c r="L1511" s="25"/>
    </row>
    <row r="1512" spans="1:12" x14ac:dyDescent="0.3">
      <c r="A1512" t="s">
        <v>363</v>
      </c>
      <c r="E1512" s="20" t="str">
        <f t="shared" si="170"/>
        <v/>
      </c>
      <c r="F1512" s="21" t="str">
        <f>IF(OR(E1512="",E1512="!!!"),"",IF(NOT(ISNA(VLOOKUP(E1512,E$1:E1511,1,FALSE()))),"OLD",IF(AND(E1512&lt;&gt;"",E1512&lt;&gt;"!!!"),"NEW","")))</f>
        <v/>
      </c>
      <c r="G1512" s="22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/>
      </c>
      <c r="H1512" s="23" t="str">
        <f t="shared" ca="1" si="171"/>
        <v/>
      </c>
      <c r="I1512" s="24" t="str">
        <f>IF(OR(E1512="",E1512="!!!",F1512="NEW"),"",INDEX(B$2:B1511,-1+SUMPRODUCT(MAX(ROW(E$2:E1511)*(E1512=E$2:E1511)))))</f>
        <v/>
      </c>
      <c r="J1512" s="24" t="str">
        <f ca="1">IF(OR(E1512="",E1512="!!!",F1512="NEW"),"",COUNTBLANK(OFFSET(A$1,,,SUMPRODUCT(MAX(ROW(E$2:E1512)*(E1512=E$2:E1512)))))-COUNTBLANK(OFFSET(A$1,,,SUMPRODUCT(MAX(ROW(E$1:E1511)*(E2=E$1:E1511))))))</f>
        <v/>
      </c>
      <c r="K1512" s="24" t="str">
        <f>IF(OR(E1512="",E1512="!!!",F1512="NEW"),"",INDEX(J$1:J1511,SUMPRODUCT(MAX(ROW(E$1:E1511)*(E1512=E$1:E1511)))))</f>
        <v/>
      </c>
      <c r="L1512" s="25"/>
    </row>
    <row r="1513" spans="1:12" x14ac:dyDescent="0.3">
      <c r="A1513" t="s">
        <v>990</v>
      </c>
      <c r="E1513" s="20" t="str">
        <f t="shared" si="170"/>
        <v/>
      </c>
      <c r="F1513" s="21" t="str">
        <f>IF(OR(E1513="",E1513="!!!"),"",IF(NOT(ISNA(VLOOKUP(E1513,E$1:E1512,1,FALSE()))),"OLD",IF(AND(E1513&lt;&gt;"",E1513&lt;&gt;"!!!"),"NEW","")))</f>
        <v/>
      </c>
      <c r="G1513" s="22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/>
      </c>
      <c r="H1513" s="23" t="str">
        <f t="shared" ca="1" si="171"/>
        <v/>
      </c>
      <c r="I1513" s="24" t="str">
        <f>IF(OR(E1513="",E1513="!!!",F1513="NEW"),"",INDEX(B$2:B1512,-1+SUMPRODUCT(MAX(ROW(E$2:E1512)*(E1513=E$2:E1512)))))</f>
        <v/>
      </c>
      <c r="J1513" s="24" t="str">
        <f ca="1">IF(OR(E1513="",E1513="!!!",F1513="NEW"),"",COUNTBLANK(OFFSET(A$1,,,SUMPRODUCT(MAX(ROW(E$2:E1513)*(E1513=E$2:E1513)))))-COUNTBLANK(OFFSET(A$1,,,SUMPRODUCT(MAX(ROW(E$1:E1512)*(E2=E$1:E1512))))))</f>
        <v/>
      </c>
      <c r="K1513" s="24" t="str">
        <f>IF(OR(E1513="",E1513="!!!",F1513="NEW"),"",INDEX(J$1:J1512,SUMPRODUCT(MAX(ROW(E$1:E1512)*(E1513=E$1:E1512)))))</f>
        <v/>
      </c>
      <c r="L1513" s="25"/>
    </row>
    <row r="1514" spans="1:12" x14ac:dyDescent="0.3">
      <c r="A1514" t="s">
        <v>477</v>
      </c>
      <c r="E1514" s="20" t="str">
        <f t="shared" si="170"/>
        <v/>
      </c>
      <c r="F1514" s="21" t="str">
        <f>IF(OR(E1514="",E1514="!!!"),"",IF(NOT(ISNA(VLOOKUP(E1514,E$1:E1513,1,FALSE()))),"OLD",IF(AND(E1514&lt;&gt;"",E1514&lt;&gt;"!!!"),"NEW","")))</f>
        <v/>
      </c>
      <c r="G1514" s="22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3" t="str">
        <f t="shared" ca="1" si="171"/>
        <v/>
      </c>
      <c r="I1514" s="24" t="str">
        <f>IF(OR(E1514="",E1514="!!!",F1514="NEW"),"",INDEX(B$2:B1513,-1+SUMPRODUCT(MAX(ROW(E$2:E1513)*(E1514=E$2:E1513)))))</f>
        <v/>
      </c>
      <c r="J1514" s="24" t="str">
        <f ca="1">IF(OR(E1514="",E1514="!!!",F1514="NEW"),"",COUNTBLANK(OFFSET(A$1,,,SUMPRODUCT(MAX(ROW(E$2:E1514)*(E1514=E$2:E1514)))))-COUNTBLANK(OFFSET(A$1,,,SUMPRODUCT(MAX(ROW(E$1:E1513)*(E2=E$1:E1513))))))</f>
        <v/>
      </c>
      <c r="K1514" s="24" t="str">
        <f>IF(OR(E1514="",E1514="!!!",F1514="NEW"),"",INDEX(J$1:J1513,SUMPRODUCT(MAX(ROW(E$1:E1513)*(E1514=E$1:E1513)))))</f>
        <v/>
      </c>
      <c r="L1514" s="25"/>
    </row>
    <row r="1515" spans="1:12" x14ac:dyDescent="0.3">
      <c r="A1515" t="s">
        <v>399</v>
      </c>
      <c r="E1515" s="20" t="str">
        <f t="shared" si="170"/>
        <v/>
      </c>
      <c r="F1515" s="21" t="str">
        <f>IF(OR(E1515="",E1515="!!!"),"",IF(NOT(ISNA(VLOOKUP(E1515,E$1:E1514,1,FALSE()))),"OLD",IF(AND(E1515&lt;&gt;"",E1515&lt;&gt;"!!!"),"NEW","")))</f>
        <v/>
      </c>
      <c r="G1515" s="22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3" t="str">
        <f t="shared" ca="1" si="171"/>
        <v/>
      </c>
      <c r="I1515" s="24" t="str">
        <f>IF(OR(E1515="",E1515="!!!",F1515="NEW"),"",INDEX(B$2:B1514,-1+SUMPRODUCT(MAX(ROW(E$2:E1514)*(E1515=E$2:E1514)))))</f>
        <v/>
      </c>
      <c r="J1515" s="24" t="str">
        <f ca="1">IF(OR(E1515="",E1515="!!!",F1515="NEW"),"",COUNTBLANK(OFFSET(A$1,,,SUMPRODUCT(MAX(ROW(E$2:E1515)*(E1515=E$2:E1515)))))-COUNTBLANK(OFFSET(A$1,,,SUMPRODUCT(MAX(ROW(E$1:E1514)*(E2=E$1:E1514))))))</f>
        <v/>
      </c>
      <c r="K1515" s="24" t="str">
        <f>IF(OR(E1515="",E1515="!!!",F1515="NEW"),"",INDEX(J$1:J1514,SUMPRODUCT(MAX(ROW(E$1:E1514)*(E1515=E$1:E1514)))))</f>
        <v/>
      </c>
      <c r="L1515" s="25"/>
    </row>
    <row r="1516" spans="1:12" x14ac:dyDescent="0.3">
      <c r="A1516" t="s">
        <v>991</v>
      </c>
      <c r="B1516" s="26" t="s">
        <v>378</v>
      </c>
      <c r="C1516" s="26" t="s">
        <v>331</v>
      </c>
      <c r="D1516" s="26" t="s">
        <v>332</v>
      </c>
      <c r="E1516" s="20" t="str">
        <f t="shared" si="170"/>
        <v>!!!</v>
      </c>
      <c r="F1516" s="21" t="str">
        <f>IF(OR(E1516="",E1516="!!!"),"",IF(NOT(ISNA(VLOOKUP(E1516,E$1:E1515,1,FALSE()))),"OLD",IF(AND(E1516&lt;&gt;"",E1516&lt;&gt;"!!!"),"NEW","")))</f>
        <v/>
      </c>
      <c r="G1516" s="22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/>
      </c>
      <c r="H1516" s="23" t="str">
        <f t="shared" ca="1" si="171"/>
        <v/>
      </c>
      <c r="I1516" s="24" t="str">
        <f>IF(OR(E1516="",E1516="!!!",F1516="NEW"),"",INDEX(B$2:B1515,-1+SUMPRODUCT(MAX(ROW(E$2:E1515)*(E1516=E$2:E1515)))))</f>
        <v/>
      </c>
      <c r="J1516" s="24" t="str">
        <f ca="1">IF(OR(E1516="",E1516="!!!",F1516="NEW"),"",COUNTBLANK(OFFSET(A$1,,,SUMPRODUCT(MAX(ROW(E$2:E1516)*(E1516=E$2:E1516)))))-COUNTBLANK(OFFSET(A$1,,,SUMPRODUCT(MAX(ROW(E$1:E1515)*(E2=E$1:E1515))))))</f>
        <v/>
      </c>
      <c r="K1516" s="24" t="str">
        <f>IF(OR(E1516="",E1516="!!!",F1516="NEW"),"",INDEX(J$1:J1515,SUMPRODUCT(MAX(ROW(E$1:E1515)*(E1516=E$1:E1515)))))</f>
        <v/>
      </c>
      <c r="L1516" s="25"/>
    </row>
    <row r="1517" spans="1:12" x14ac:dyDescent="0.3">
      <c r="A1517" t="s">
        <v>463</v>
      </c>
      <c r="E1517" s="20" t="str">
        <f t="shared" si="170"/>
        <v/>
      </c>
      <c r="F1517" s="21" t="str">
        <f>IF(OR(E1517="",E1517="!!!"),"",IF(NOT(ISNA(VLOOKUP(E1517,E$1:E1516,1,FALSE()))),"OLD",IF(AND(E1517&lt;&gt;"",E1517&lt;&gt;"!!!"),"NEW","")))</f>
        <v/>
      </c>
      <c r="G1517" s="22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3" t="str">
        <f t="shared" ca="1" si="171"/>
        <v/>
      </c>
      <c r="I1517" s="24" t="str">
        <f>IF(OR(E1517="",E1517="!!!",F1517="NEW"),"",INDEX(B$2:B1516,-1+SUMPRODUCT(MAX(ROW(E$2:E1516)*(E1517=E$2:E1516)))))</f>
        <v/>
      </c>
      <c r="J1517" s="24" t="str">
        <f ca="1">IF(OR(E1517="",E1517="!!!",F1517="NEW"),"",COUNTBLANK(OFFSET(A$1,,,SUMPRODUCT(MAX(ROW(E$2:E1517)*(E1517=E$2:E1517)))))-COUNTBLANK(OFFSET(A$1,,,SUMPRODUCT(MAX(ROW(E$1:E1516)*(E2=E$1:E1516))))))</f>
        <v/>
      </c>
      <c r="K1517" s="24" t="str">
        <f>IF(OR(E1517="",E1517="!!!",F1517="NEW"),"",INDEX(J$1:J1516,SUMPRODUCT(MAX(ROW(E$1:E1516)*(E1517=E$1:E1516)))))</f>
        <v/>
      </c>
      <c r="L1517" s="25"/>
    </row>
    <row r="1518" spans="1:12" x14ac:dyDescent="0.3">
      <c r="A1518" t="s">
        <v>618</v>
      </c>
      <c r="B1518" s="26" t="s">
        <v>362</v>
      </c>
      <c r="C1518" s="26" t="s">
        <v>331</v>
      </c>
      <c r="D1518" s="26" t="s">
        <v>332</v>
      </c>
      <c r="E1518" s="20" t="str">
        <f t="shared" si="170"/>
        <v>!!!</v>
      </c>
      <c r="F1518" s="21" t="str">
        <f>IF(OR(E1518="",E1518="!!!"),"",IF(NOT(ISNA(VLOOKUP(E1518,E$1:E1517,1,FALSE()))),"OLD",IF(AND(E1518&lt;&gt;"",E1518&lt;&gt;"!!!"),"NEW","")))</f>
        <v/>
      </c>
      <c r="G1518" s="22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3" t="str">
        <f t="shared" ca="1" si="171"/>
        <v/>
      </c>
      <c r="I1518" s="24" t="str">
        <f>IF(OR(E1518="",E1518="!!!",F1518="NEW"),"",INDEX(B$2:B1517,-1+SUMPRODUCT(MAX(ROW(E$2:E1517)*(E1518=E$2:E1517)))))</f>
        <v/>
      </c>
      <c r="J1518" s="24" t="str">
        <f ca="1">IF(OR(E1518="",E1518="!!!",F1518="NEW"),"",COUNTBLANK(OFFSET(A$1,,,SUMPRODUCT(MAX(ROW(E$2:E1518)*(E1518=E$2:E1518)))))-COUNTBLANK(OFFSET(A$1,,,SUMPRODUCT(MAX(ROW(E$1:E1517)*(E2=E$1:E1517))))))</f>
        <v/>
      </c>
      <c r="K1518" s="24" t="str">
        <f>IF(OR(E1518="",E1518="!!!",F1518="NEW"),"",INDEX(J$1:J1517,SUMPRODUCT(MAX(ROW(E$1:E1517)*(E1518=E$1:E1517)))))</f>
        <v/>
      </c>
      <c r="L1518" s="25"/>
    </row>
    <row r="1519" spans="1:12" x14ac:dyDescent="0.3">
      <c r="A1519" t="s">
        <v>992</v>
      </c>
      <c r="E1519" s="20" t="str">
        <f t="shared" si="170"/>
        <v/>
      </c>
      <c r="F1519" s="21" t="str">
        <f>IF(OR(E1519="",E1519="!!!"),"",IF(NOT(ISNA(VLOOKUP(E1519,E$1:E1518,1,FALSE()))),"OLD",IF(AND(E1519&lt;&gt;"",E1519&lt;&gt;"!!!"),"NEW","")))</f>
        <v/>
      </c>
      <c r="G1519" s="22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3" t="str">
        <f t="shared" ca="1" si="171"/>
        <v/>
      </c>
      <c r="I1519" s="24" t="str">
        <f>IF(OR(E1519="",E1519="!!!",F1519="NEW"),"",INDEX(B$2:B1518,-1+SUMPRODUCT(MAX(ROW(E$2:E1518)*(E1519=E$2:E1518)))))</f>
        <v/>
      </c>
      <c r="J1519" s="24" t="str">
        <f ca="1">IF(OR(E1519="",E1519="!!!",F1519="NEW"),"",COUNTBLANK(OFFSET(A$1,,,SUMPRODUCT(MAX(ROW(E$2:E1519)*(E1519=E$2:E1519)))))-COUNTBLANK(OFFSET(A$1,,,SUMPRODUCT(MAX(ROW(E$1:E1518)*(E2=E$1:E1518))))))</f>
        <v/>
      </c>
      <c r="K1519" s="24" t="str">
        <f>IF(OR(E1519="",E1519="!!!",F1519="NEW"),"",INDEX(J$1:J1518,SUMPRODUCT(MAX(ROW(E$1:E1518)*(E1519=E$1:E1518)))))</f>
        <v/>
      </c>
      <c r="L1519" s="25"/>
    </row>
    <row r="1520" spans="1:12" x14ac:dyDescent="0.3">
      <c r="A1520" t="s">
        <v>338</v>
      </c>
      <c r="E1520" s="20" t="str">
        <f t="shared" si="170"/>
        <v/>
      </c>
      <c r="F1520" s="21" t="str">
        <f>IF(OR(E1520="",E1520="!!!"),"",IF(NOT(ISNA(VLOOKUP(E1520,E$1:E1519,1,FALSE()))),"OLD",IF(AND(E1520&lt;&gt;"",E1520&lt;&gt;"!!!"),"NEW","")))</f>
        <v/>
      </c>
      <c r="G1520" s="22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3" t="str">
        <f t="shared" ca="1" si="171"/>
        <v/>
      </c>
      <c r="I1520" s="24" t="str">
        <f>IF(OR(E1520="",E1520="!!!",F1520="NEW"),"",INDEX(B$2:B1519,-1+SUMPRODUCT(MAX(ROW(E$2:E1519)*(E1520=E$2:E1519)))))</f>
        <v/>
      </c>
      <c r="J1520" s="24" t="str">
        <f ca="1">IF(OR(E1520="",E1520="!!!",F1520="NEW"),"",COUNTBLANK(OFFSET(A$1,,,SUMPRODUCT(MAX(ROW(E$2:E1520)*(E1520=E$2:E1520)))))-COUNTBLANK(OFFSET(A$1,,,SUMPRODUCT(MAX(ROW(E$1:E1519)*(E2=E$1:E1519))))))</f>
        <v/>
      </c>
      <c r="K1520" s="24" t="str">
        <f>IF(OR(E1520="",E1520="!!!",F1520="NEW"),"",INDEX(J$1:J1519,SUMPRODUCT(MAX(ROW(E$1:E1519)*(E1520=E$1:E1519)))))</f>
        <v/>
      </c>
      <c r="L1520" s="25"/>
    </row>
    <row r="1522" spans="1:12" x14ac:dyDescent="0.3">
      <c r="A1522" t="s">
        <v>993</v>
      </c>
    </row>
    <row r="1523" spans="1:12" x14ac:dyDescent="0.3">
      <c r="A1523" t="s">
        <v>340</v>
      </c>
      <c r="B1523" s="26" t="s">
        <v>330</v>
      </c>
      <c r="C1523" s="26" t="s">
        <v>341</v>
      </c>
      <c r="D1523" s="26" t="s">
        <v>332</v>
      </c>
      <c r="E1523" s="20" t="str">
        <f t="shared" ref="E1523:E1541" si="172">IF(D1523="?OLD","!!!","")</f>
        <v>!!!</v>
      </c>
      <c r="F1523" s="21" t="str">
        <f>IF(OR(E1523="",E1523="!!!"),"",IF(NOT(ISNA(VLOOKUP(E1523,E$1:E1522,1,FALSE()))),"OLD",IF(AND(E1523&lt;&gt;"",E1523&lt;&gt;"!!!"),"NEW","")))</f>
        <v/>
      </c>
      <c r="G1523" s="22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3" t="str">
        <f t="shared" ref="H1523:H1541" ca="1" si="173">IF(J1523&lt;&gt;1,"",IF(I1523="SBJ","CB","?"))</f>
        <v/>
      </c>
      <c r="I1523" s="24" t="str">
        <f>IF(OR(E1523="",E1523="!!!",F1523="NEW"),"",INDEX(B$2:B1522,-1+SUMPRODUCT(MAX(ROW(E$2:E1522)*(E1523=E$2:E1522)))))</f>
        <v/>
      </c>
      <c r="J1523" s="24" t="str">
        <f ca="1">IF(OR(E1523="",E1523="!!!",F1523="NEW"),"",COUNTBLANK(OFFSET(A$1,,,SUMPRODUCT(MAX(ROW(E$2:E1523)*(E1523=E$2:E1523)))))-COUNTBLANK(OFFSET(A$1,,,SUMPRODUCT(MAX(ROW(E$1:E1522)*(E2=E$1:E1522))))))</f>
        <v/>
      </c>
      <c r="K1523" s="24" t="str">
        <f>IF(OR(E1523="",E1523="!!!",F1523="NEW"),"",INDEX(J$1:J1522,SUMPRODUCT(MAX(ROW(E$1:E1522)*(E1523=E$1:E1522)))))</f>
        <v/>
      </c>
      <c r="L1523" s="25"/>
    </row>
    <row r="1524" spans="1:12" x14ac:dyDescent="0.3">
      <c r="A1524" t="s">
        <v>759</v>
      </c>
      <c r="E1524" s="20" t="str">
        <f t="shared" si="172"/>
        <v/>
      </c>
      <c r="F1524" s="21" t="str">
        <f>IF(OR(E1524="",E1524="!!!"),"",IF(NOT(ISNA(VLOOKUP(E1524,E$1:E1523,1,FALSE()))),"OLD",IF(AND(E1524&lt;&gt;"",E1524&lt;&gt;"!!!"),"NEW","")))</f>
        <v/>
      </c>
      <c r="G1524" s="22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3" t="str">
        <f t="shared" ca="1" si="173"/>
        <v/>
      </c>
      <c r="I1524" s="24" t="str">
        <f>IF(OR(E1524="",E1524="!!!",F1524="NEW"),"",INDEX(B$2:B1523,-1+SUMPRODUCT(MAX(ROW(E$2:E1523)*(E1524=E$2:E1523)))))</f>
        <v/>
      </c>
      <c r="J1524" s="24" t="str">
        <f ca="1">IF(OR(E1524="",E1524="!!!",F1524="NEW"),"",COUNTBLANK(OFFSET(A$1,,,SUMPRODUCT(MAX(ROW(E$2:E1524)*(E1524=E$2:E1524)))))-COUNTBLANK(OFFSET(A$1,,,SUMPRODUCT(MAX(ROW(E$1:E1523)*(E2=E$1:E1523))))))</f>
        <v/>
      </c>
      <c r="K1524" s="24" t="str">
        <f>IF(OR(E1524="",E1524="!!!",F1524="NEW"),"",INDEX(J$1:J1523,SUMPRODUCT(MAX(ROW(E$1:E1523)*(E1524=E$1:E1523)))))</f>
        <v/>
      </c>
      <c r="L1524" s="25"/>
    </row>
    <row r="1525" spans="1:12" x14ac:dyDescent="0.3">
      <c r="A1525" t="s">
        <v>363</v>
      </c>
      <c r="E1525" s="20" t="str">
        <f t="shared" si="172"/>
        <v/>
      </c>
      <c r="F1525" s="21" t="str">
        <f>IF(OR(E1525="",E1525="!!!"),"",IF(NOT(ISNA(VLOOKUP(E1525,E$1:E1524,1,FALSE()))),"OLD",IF(AND(E1525&lt;&gt;"",E1525&lt;&gt;"!!!"),"NEW","")))</f>
        <v/>
      </c>
      <c r="G1525" s="22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3" t="str">
        <f t="shared" ca="1" si="173"/>
        <v/>
      </c>
      <c r="I1525" s="24" t="str">
        <f>IF(OR(E1525="",E1525="!!!",F1525="NEW"),"",INDEX(B$2:B1524,-1+SUMPRODUCT(MAX(ROW(E$2:E1524)*(E1525=E$2:E1524)))))</f>
        <v/>
      </c>
      <c r="J1525" s="24" t="str">
        <f ca="1">IF(OR(E1525="",E1525="!!!",F1525="NEW"),"",COUNTBLANK(OFFSET(A$1,,,SUMPRODUCT(MAX(ROW(E$2:E1525)*(E1525=E$2:E1525)))))-COUNTBLANK(OFFSET(A$1,,,SUMPRODUCT(MAX(ROW(E$1:E1524)*(E2=E$1:E1524))))))</f>
        <v/>
      </c>
      <c r="K1525" s="24" t="str">
        <f>IF(OR(E1525="",E1525="!!!",F1525="NEW"),"",INDEX(J$1:J1524,SUMPRODUCT(MAX(ROW(E$1:E1524)*(E1525=E$1:E1524)))))</f>
        <v/>
      </c>
      <c r="L1525" s="25"/>
    </row>
    <row r="1526" spans="1:12" x14ac:dyDescent="0.3">
      <c r="A1526" t="s">
        <v>994</v>
      </c>
      <c r="E1526" s="20" t="str">
        <f t="shared" si="172"/>
        <v/>
      </c>
      <c r="F1526" s="21" t="str">
        <f>IF(OR(E1526="",E1526="!!!"),"",IF(NOT(ISNA(VLOOKUP(E1526,E$1:E1525,1,FALSE()))),"OLD",IF(AND(E1526&lt;&gt;"",E1526&lt;&gt;"!!!"),"NEW","")))</f>
        <v/>
      </c>
      <c r="G1526" s="22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/>
      </c>
      <c r="H1526" s="23" t="str">
        <f t="shared" ca="1" si="173"/>
        <v/>
      </c>
      <c r="I1526" s="24" t="str">
        <f>IF(OR(E1526="",E1526="!!!",F1526="NEW"),"",INDEX(B$2:B1525,-1+SUMPRODUCT(MAX(ROW(E$2:E1525)*(E1526=E$2:E1525)))))</f>
        <v/>
      </c>
      <c r="J1526" s="24" t="str">
        <f ca="1">IF(OR(E1526="",E1526="!!!",F1526="NEW"),"",COUNTBLANK(OFFSET(A$1,,,SUMPRODUCT(MAX(ROW(E$2:E1526)*(E1526=E$2:E1526)))))-COUNTBLANK(OFFSET(A$1,,,SUMPRODUCT(MAX(ROW(E$1:E1525)*(E2=E$1:E1525))))))</f>
        <v/>
      </c>
      <c r="K1526" s="24" t="str">
        <f>IF(OR(E1526="",E1526="!!!",F1526="NEW"),"",INDEX(J$1:J1525,SUMPRODUCT(MAX(ROW(E$1:E1525)*(E1526=E$1:E1525)))))</f>
        <v/>
      </c>
      <c r="L1526" s="25"/>
    </row>
    <row r="1527" spans="1:12" x14ac:dyDescent="0.3">
      <c r="A1527" t="s">
        <v>386</v>
      </c>
      <c r="E1527" s="20" t="str">
        <f t="shared" si="172"/>
        <v/>
      </c>
      <c r="F1527" s="21" t="str">
        <f>IF(OR(E1527="",E1527="!!!"),"",IF(NOT(ISNA(VLOOKUP(E1527,E$1:E1526,1,FALSE()))),"OLD",IF(AND(E1527&lt;&gt;"",E1527&lt;&gt;"!!!"),"NEW","")))</f>
        <v/>
      </c>
      <c r="G1527" s="22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3" t="str">
        <f t="shared" ca="1" si="173"/>
        <v/>
      </c>
      <c r="I1527" s="24" t="str">
        <f>IF(OR(E1527="",E1527="!!!",F1527="NEW"),"",INDEX(B$2:B1526,-1+SUMPRODUCT(MAX(ROW(E$2:E1526)*(E1527=E$2:E1526)))))</f>
        <v/>
      </c>
      <c r="J1527" s="24" t="str">
        <f ca="1">IF(OR(E1527="",E1527="!!!",F1527="NEW"),"",COUNTBLANK(OFFSET(A$1,,,SUMPRODUCT(MAX(ROW(E$2:E1527)*(E1527=E$2:E1527)))))-COUNTBLANK(OFFSET(A$1,,,SUMPRODUCT(MAX(ROW(E$1:E1526)*(E2=E$1:E1526))))))</f>
        <v/>
      </c>
      <c r="K1527" s="24" t="str">
        <f>IF(OR(E1527="",E1527="!!!",F1527="NEW"),"",INDEX(J$1:J1526,SUMPRODUCT(MAX(ROW(E$1:E1526)*(E1527=E$1:E1526)))))</f>
        <v/>
      </c>
      <c r="L1527" s="25"/>
    </row>
    <row r="1528" spans="1:12" x14ac:dyDescent="0.3">
      <c r="A1528" t="s">
        <v>995</v>
      </c>
      <c r="B1528" s="26" t="s">
        <v>337</v>
      </c>
      <c r="C1528" s="26" t="s">
        <v>355</v>
      </c>
      <c r="E1528" s="20" t="str">
        <f t="shared" si="172"/>
        <v/>
      </c>
      <c r="F1528" s="21" t="str">
        <f>IF(OR(E1528="",E1528="!!!"),"",IF(NOT(ISNA(VLOOKUP(E1528,E$1:E1527,1,FALSE()))),"OLD",IF(AND(E1528&lt;&gt;"",E1528&lt;&gt;"!!!"),"NEW","")))</f>
        <v/>
      </c>
      <c r="G1528" s="22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3" t="str">
        <f t="shared" ca="1" si="173"/>
        <v/>
      </c>
      <c r="I1528" s="24" t="str">
        <f>IF(OR(E1528="",E1528="!!!",F1528="NEW"),"",INDEX(B$2:B1527,-1+SUMPRODUCT(MAX(ROW(E$2:E1527)*(E1528=E$2:E1527)))))</f>
        <v/>
      </c>
      <c r="J1528" s="24" t="str">
        <f ca="1">IF(OR(E1528="",E1528="!!!",F1528="NEW"),"",COUNTBLANK(OFFSET(A$1,,,SUMPRODUCT(MAX(ROW(E$2:E1528)*(E1528=E$2:E1528)))))-COUNTBLANK(OFFSET(A$1,,,SUMPRODUCT(MAX(ROW(E$1:E1527)*(E2=E$1:E1527))))))</f>
        <v/>
      </c>
      <c r="K1528" s="24" t="str">
        <f>IF(OR(E1528="",E1528="!!!",F1528="NEW"),"",INDEX(J$1:J1527,SUMPRODUCT(MAX(ROW(E$1:E1527)*(E1528=E$1:E1527)))))</f>
        <v/>
      </c>
      <c r="L1528" s="25"/>
    </row>
    <row r="1529" spans="1:12" x14ac:dyDescent="0.3">
      <c r="A1529" t="s">
        <v>351</v>
      </c>
      <c r="E1529" s="20" t="str">
        <f t="shared" si="172"/>
        <v/>
      </c>
      <c r="F1529" s="21" t="str">
        <f>IF(OR(E1529="",E1529="!!!"),"",IF(NOT(ISNA(VLOOKUP(E1529,E$1:E1528,1,FALSE()))),"OLD",IF(AND(E1529&lt;&gt;"",E1529&lt;&gt;"!!!"),"NEW","")))</f>
        <v/>
      </c>
      <c r="G1529" s="22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3" t="str">
        <f t="shared" ca="1" si="173"/>
        <v/>
      </c>
      <c r="I1529" s="24" t="str">
        <f>IF(OR(E1529="",E1529="!!!",F1529="NEW"),"",INDEX(B$2:B1528,-1+SUMPRODUCT(MAX(ROW(E$2:E1528)*(E1529=E$2:E1528)))))</f>
        <v/>
      </c>
      <c r="J1529" s="24" t="str">
        <f ca="1">IF(OR(E1529="",E1529="!!!",F1529="NEW"),"",COUNTBLANK(OFFSET(A$1,,,SUMPRODUCT(MAX(ROW(E$2:E1529)*(E1529=E$2:E1529)))))-COUNTBLANK(OFFSET(A$1,,,SUMPRODUCT(MAX(ROW(E$1:E1528)*(E2=E$1:E1528))))))</f>
        <v/>
      </c>
      <c r="K1529" s="24" t="str">
        <f>IF(OR(E1529="",E1529="!!!",F1529="NEW"),"",INDEX(J$1:J1528,SUMPRODUCT(MAX(ROW(E$1:E1528)*(E1529=E$1:E1528)))))</f>
        <v/>
      </c>
      <c r="L1529" s="25"/>
    </row>
    <row r="1530" spans="1:12" x14ac:dyDescent="0.3">
      <c r="A1530" t="s">
        <v>385</v>
      </c>
      <c r="E1530" s="20" t="str">
        <f t="shared" si="172"/>
        <v/>
      </c>
      <c r="F1530" s="21" t="str">
        <f>IF(OR(E1530="",E1530="!!!"),"",IF(NOT(ISNA(VLOOKUP(E1530,E$1:E1529,1,FALSE()))),"OLD",IF(AND(E1530&lt;&gt;"",E1530&lt;&gt;"!!!"),"NEW","")))</f>
        <v/>
      </c>
      <c r="G1530" s="22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/>
      </c>
      <c r="H1530" s="23" t="str">
        <f t="shared" ca="1" si="173"/>
        <v/>
      </c>
      <c r="I1530" s="24" t="str">
        <f>IF(OR(E1530="",E1530="!!!",F1530="NEW"),"",INDEX(B$2:B1529,-1+SUMPRODUCT(MAX(ROW(E$2:E1529)*(E1530=E$2:E1529)))))</f>
        <v/>
      </c>
      <c r="J1530" s="24" t="str">
        <f ca="1">IF(OR(E1530="",E1530="!!!",F1530="NEW"),"",COUNTBLANK(OFFSET(A$1,,,SUMPRODUCT(MAX(ROW(E$2:E1530)*(E1530=E$2:E1530)))))-COUNTBLANK(OFFSET(A$1,,,SUMPRODUCT(MAX(ROW(E$1:E1529)*(E2=E$1:E1529))))))</f>
        <v/>
      </c>
      <c r="K1530" s="24" t="str">
        <f>IF(OR(E1530="",E1530="!!!",F1530="NEW"),"",INDEX(J$1:J1529,SUMPRODUCT(MAX(ROW(E$1:E1529)*(E1530=E$1:E1529)))))</f>
        <v/>
      </c>
      <c r="L1530" s="25"/>
    </row>
    <row r="1531" spans="1:12" x14ac:dyDescent="0.3">
      <c r="A1531" t="s">
        <v>996</v>
      </c>
      <c r="E1531" s="20" t="str">
        <f t="shared" si="172"/>
        <v/>
      </c>
      <c r="F1531" s="21" t="str">
        <f>IF(OR(E1531="",E1531="!!!"),"",IF(NOT(ISNA(VLOOKUP(E1531,E$1:E1530,1,FALSE()))),"OLD",IF(AND(E1531&lt;&gt;"",E1531&lt;&gt;"!!!"),"NEW","")))</f>
        <v/>
      </c>
      <c r="G1531" s="22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3" t="str">
        <f t="shared" ca="1" si="173"/>
        <v/>
      </c>
      <c r="I1531" s="24" t="str">
        <f>IF(OR(E1531="",E1531="!!!",F1531="NEW"),"",INDEX(B$2:B1530,-1+SUMPRODUCT(MAX(ROW(E$2:E1530)*(E1531=E$2:E1530)))))</f>
        <v/>
      </c>
      <c r="J1531" s="24" t="str">
        <f ca="1">IF(OR(E1531="",E1531="!!!",F1531="NEW"),"",COUNTBLANK(OFFSET(A$1,,,SUMPRODUCT(MAX(ROW(E$2:E1531)*(E1531=E$2:E1531)))))-COUNTBLANK(OFFSET(A$1,,,SUMPRODUCT(MAX(ROW(E$1:E1530)*(E2=E$1:E1530))))))</f>
        <v/>
      </c>
      <c r="K1531" s="24" t="str">
        <f>IF(OR(E1531="",E1531="!!!",F1531="NEW"),"",INDEX(J$1:J1530,SUMPRODUCT(MAX(ROW(E$1:E1530)*(E1531=E$1:E1530)))))</f>
        <v/>
      </c>
      <c r="L1531" s="25"/>
    </row>
    <row r="1532" spans="1:12" x14ac:dyDescent="0.3">
      <c r="A1532" t="s">
        <v>997</v>
      </c>
      <c r="B1532" s="26" t="s">
        <v>337</v>
      </c>
      <c r="C1532" s="26" t="s">
        <v>355</v>
      </c>
      <c r="E1532" s="20" t="str">
        <f t="shared" si="172"/>
        <v/>
      </c>
      <c r="F1532" s="21" t="str">
        <f>IF(OR(E1532="",E1532="!!!"),"",IF(NOT(ISNA(VLOOKUP(E1532,E$1:E1531,1,FALSE()))),"OLD",IF(AND(E1532&lt;&gt;"",E1532&lt;&gt;"!!!"),"NEW","")))</f>
        <v/>
      </c>
      <c r="G1532" s="22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3" t="str">
        <f t="shared" ca="1" si="173"/>
        <v/>
      </c>
      <c r="I1532" s="24" t="str">
        <f>IF(OR(E1532="",E1532="!!!",F1532="NEW"),"",INDEX(B$2:B1531,-1+SUMPRODUCT(MAX(ROW(E$2:E1531)*(E1532=E$2:E1531)))))</f>
        <v/>
      </c>
      <c r="J1532" s="24" t="str">
        <f ca="1">IF(OR(E1532="",E1532="!!!",F1532="NEW"),"",COUNTBLANK(OFFSET(A$1,,,SUMPRODUCT(MAX(ROW(E$2:E1532)*(E1532=E$2:E1532)))))-COUNTBLANK(OFFSET(A$1,,,SUMPRODUCT(MAX(ROW(E$1:E1531)*(E2=E$1:E1531))))))</f>
        <v/>
      </c>
      <c r="K1532" s="24" t="str">
        <f>IF(OR(E1532="",E1532="!!!",F1532="NEW"),"",INDEX(J$1:J1531,SUMPRODUCT(MAX(ROW(E$1:E1531)*(E1532=E$1:E1531)))))</f>
        <v/>
      </c>
      <c r="L1532" s="25"/>
    </row>
    <row r="1533" spans="1:12" x14ac:dyDescent="0.3">
      <c r="A1533" t="s">
        <v>11</v>
      </c>
      <c r="E1533" s="20" t="str">
        <f t="shared" si="172"/>
        <v/>
      </c>
      <c r="F1533" s="21" t="str">
        <f>IF(OR(E1533="",E1533="!!!"),"",IF(NOT(ISNA(VLOOKUP(E1533,E$1:E1532,1,FALSE()))),"OLD",IF(AND(E1533&lt;&gt;"",E1533&lt;&gt;"!!!"),"NEW","")))</f>
        <v/>
      </c>
      <c r="G1533" s="22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3" t="str">
        <f t="shared" ca="1" si="173"/>
        <v/>
      </c>
      <c r="I1533" s="24" t="str">
        <f>IF(OR(E1533="",E1533="!!!",F1533="NEW"),"",INDEX(B$2:B1532,-1+SUMPRODUCT(MAX(ROW(E$2:E1532)*(E1533=E$2:E1532)))))</f>
        <v/>
      </c>
      <c r="J1533" s="24" t="str">
        <f ca="1">IF(OR(E1533="",E1533="!!!",F1533="NEW"),"",COUNTBLANK(OFFSET(A$1,,,SUMPRODUCT(MAX(ROW(E$2:E1533)*(E1533=E$2:E1533)))))-COUNTBLANK(OFFSET(A$1,,,SUMPRODUCT(MAX(ROW(E$1:E1532)*(E2=E$1:E1532))))))</f>
        <v/>
      </c>
      <c r="K1533" s="24" t="str">
        <f>IF(OR(E1533="",E1533="!!!",F1533="NEW"),"",INDEX(J$1:J1532,SUMPRODUCT(MAX(ROW(E$1:E1532)*(E1533=E$1:E1532)))))</f>
        <v/>
      </c>
      <c r="L1533" s="25"/>
    </row>
    <row r="1534" spans="1:12" x14ac:dyDescent="0.3">
      <c r="A1534" t="s">
        <v>385</v>
      </c>
      <c r="E1534" s="20" t="str">
        <f t="shared" si="172"/>
        <v/>
      </c>
      <c r="F1534" s="21" t="str">
        <f>IF(OR(E1534="",E1534="!!!"),"",IF(NOT(ISNA(VLOOKUP(E1534,E$1:E1533,1,FALSE()))),"OLD",IF(AND(E1534&lt;&gt;"",E1534&lt;&gt;"!!!"),"NEW","")))</f>
        <v/>
      </c>
      <c r="G1534" s="22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3" t="str">
        <f t="shared" ca="1" si="173"/>
        <v/>
      </c>
      <c r="I1534" s="24" t="str">
        <f>IF(OR(E1534="",E1534="!!!",F1534="NEW"),"",INDEX(B$2:B1533,-1+SUMPRODUCT(MAX(ROW(E$2:E1533)*(E1534=E$2:E1533)))))</f>
        <v/>
      </c>
      <c r="J1534" s="24" t="str">
        <f ca="1">IF(OR(E1534="",E1534="!!!",F1534="NEW"),"",COUNTBLANK(OFFSET(A$1,,,SUMPRODUCT(MAX(ROW(E$2:E1534)*(E1534=E$2:E1534)))))-COUNTBLANK(OFFSET(A$1,,,SUMPRODUCT(MAX(ROW(E$1:E1533)*(E2=E$1:E1533))))))</f>
        <v/>
      </c>
      <c r="K1534" s="24" t="str">
        <f>IF(OR(E1534="",E1534="!!!",F1534="NEW"),"",INDEX(J$1:J1533,SUMPRODUCT(MAX(ROW(E$1:E1533)*(E1534=E$1:E1533)))))</f>
        <v/>
      </c>
      <c r="L1534" s="25"/>
    </row>
    <row r="1535" spans="1:12" x14ac:dyDescent="0.3">
      <c r="A1535" t="s">
        <v>998</v>
      </c>
      <c r="B1535" s="26" t="s">
        <v>378</v>
      </c>
      <c r="C1535" s="26" t="s">
        <v>355</v>
      </c>
      <c r="E1535" s="20" t="str">
        <f t="shared" si="172"/>
        <v/>
      </c>
      <c r="F1535" s="21" t="str">
        <f>IF(OR(E1535="",E1535="!!!"),"",IF(NOT(ISNA(VLOOKUP(E1535,E$1:E1534,1,FALSE()))),"OLD",IF(AND(E1535&lt;&gt;"",E1535&lt;&gt;"!!!"),"NEW","")))</f>
        <v/>
      </c>
      <c r="G1535" s="22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/>
      </c>
      <c r="H1535" s="23" t="str">
        <f t="shared" ca="1" si="173"/>
        <v/>
      </c>
      <c r="I1535" s="24" t="str">
        <f>IF(OR(E1535="",E1535="!!!",F1535="NEW"),"",INDEX(B$2:B1534,-1+SUMPRODUCT(MAX(ROW(E$2:E1534)*(E1535=E$2:E1534)))))</f>
        <v/>
      </c>
      <c r="J1535" s="24" t="str">
        <f ca="1">IF(OR(E1535="",E1535="!!!",F1535="NEW"),"",COUNTBLANK(OFFSET(A$1,,,SUMPRODUCT(MAX(ROW(E$2:E1535)*(E1535=E$2:E1535)))))-COUNTBLANK(OFFSET(A$1,,,SUMPRODUCT(MAX(ROW(E$1:E1534)*(E2=E$1:E1534))))))</f>
        <v/>
      </c>
      <c r="K1535" s="24" t="str">
        <f>IF(OR(E1535="",E1535="!!!",F1535="NEW"),"",INDEX(J$1:J1534,SUMPRODUCT(MAX(ROW(E$1:E1534)*(E1535=E$1:E1534)))))</f>
        <v/>
      </c>
      <c r="L1535" s="25"/>
    </row>
    <row r="1536" spans="1:12" x14ac:dyDescent="0.3">
      <c r="A1536" t="s">
        <v>407</v>
      </c>
      <c r="E1536" s="20" t="str">
        <f t="shared" si="172"/>
        <v/>
      </c>
      <c r="F1536" s="21" t="str">
        <f>IF(OR(E1536="",E1536="!!!"),"",IF(NOT(ISNA(VLOOKUP(E1536,E$1:E1535,1,FALSE()))),"OLD",IF(AND(E1536&lt;&gt;"",E1536&lt;&gt;"!!!"),"NEW","")))</f>
        <v/>
      </c>
      <c r="G1536" s="22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3" t="str">
        <f t="shared" ca="1" si="173"/>
        <v/>
      </c>
      <c r="I1536" s="24" t="str">
        <f>IF(OR(E1536="",E1536="!!!",F1536="NEW"),"",INDEX(B$2:B1535,-1+SUMPRODUCT(MAX(ROW(E$2:E1535)*(E1536=E$2:E1535)))))</f>
        <v/>
      </c>
      <c r="J1536" s="24" t="str">
        <f ca="1">IF(OR(E1536="",E1536="!!!",F1536="NEW"),"",COUNTBLANK(OFFSET(A$1,,,SUMPRODUCT(MAX(ROW(E$2:E1536)*(E1536=E$2:E1536)))))-COUNTBLANK(OFFSET(A$1,,,SUMPRODUCT(MAX(ROW(E$1:E1535)*(E2=E$1:E1535))))))</f>
        <v/>
      </c>
      <c r="K1536" s="24" t="str">
        <f>IF(OR(E1536="",E1536="!!!",F1536="NEW"),"",INDEX(J$1:J1535,SUMPRODUCT(MAX(ROW(E$1:E1535)*(E1536=E$1:E1535)))))</f>
        <v/>
      </c>
      <c r="L1536" s="25"/>
    </row>
    <row r="1537" spans="1:12" x14ac:dyDescent="0.3">
      <c r="A1537" t="s">
        <v>363</v>
      </c>
      <c r="E1537" s="20" t="str">
        <f t="shared" si="172"/>
        <v/>
      </c>
      <c r="F1537" s="21" t="str">
        <f>IF(OR(E1537="",E1537="!!!"),"",IF(NOT(ISNA(VLOOKUP(E1537,E$1:E1536,1,FALSE()))),"OLD",IF(AND(E1537&lt;&gt;"",E1537&lt;&gt;"!!!"),"NEW","")))</f>
        <v/>
      </c>
      <c r="G1537" s="22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3" t="str">
        <f t="shared" ca="1" si="173"/>
        <v/>
      </c>
      <c r="I1537" s="24" t="str">
        <f>IF(OR(E1537="",E1537="!!!",F1537="NEW"),"",INDEX(B$2:B1536,-1+SUMPRODUCT(MAX(ROW(E$2:E1536)*(E1537=E$2:E1536)))))</f>
        <v/>
      </c>
      <c r="J1537" s="24" t="str">
        <f ca="1">IF(OR(E1537="",E1537="!!!",F1537="NEW"),"",COUNTBLANK(OFFSET(A$1,,,SUMPRODUCT(MAX(ROW(E$2:E1537)*(E1537=E$2:E1537)))))-COUNTBLANK(OFFSET(A$1,,,SUMPRODUCT(MAX(ROW(E$1:E1536)*(E2=E$1:E1536))))))</f>
        <v/>
      </c>
      <c r="K1537" s="24" t="str">
        <f>IF(OR(E1537="",E1537="!!!",F1537="NEW"),"",INDEX(J$1:J1536,SUMPRODUCT(MAX(ROW(E$1:E1536)*(E1537=E$1:E1536)))))</f>
        <v/>
      </c>
      <c r="L1537" s="25"/>
    </row>
    <row r="1538" spans="1:12" x14ac:dyDescent="0.3">
      <c r="A1538" t="s">
        <v>359</v>
      </c>
      <c r="E1538" s="20" t="str">
        <f t="shared" si="172"/>
        <v/>
      </c>
      <c r="F1538" s="21" t="str">
        <f>IF(OR(E1538="",E1538="!!!"),"",IF(NOT(ISNA(VLOOKUP(E1538,E$1:E1537,1,FALSE()))),"OLD",IF(AND(E1538&lt;&gt;"",E1538&lt;&gt;"!!!"),"NEW","")))</f>
        <v/>
      </c>
      <c r="G1538" s="22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3" t="str">
        <f t="shared" ca="1" si="173"/>
        <v/>
      </c>
      <c r="I1538" s="24" t="str">
        <f>IF(OR(E1538="",E1538="!!!",F1538="NEW"),"",INDEX(B$2:B1537,-1+SUMPRODUCT(MAX(ROW(E$2:E1537)*(E1538=E$2:E1537)))))</f>
        <v/>
      </c>
      <c r="J1538" s="24" t="str">
        <f ca="1">IF(OR(E1538="",E1538="!!!",F1538="NEW"),"",COUNTBLANK(OFFSET(A$1,,,SUMPRODUCT(MAX(ROW(E$2:E1538)*(E1538=E$2:E1538)))))-COUNTBLANK(OFFSET(A$1,,,SUMPRODUCT(MAX(ROW(E$1:E1537)*(E2=E$1:E1537))))))</f>
        <v/>
      </c>
      <c r="K1538" s="24" t="str">
        <f>IF(OR(E1538="",E1538="!!!",F1538="NEW"),"",INDEX(J$1:J1537,SUMPRODUCT(MAX(ROW(E$1:E1537)*(E1538=E$1:E1537)))))</f>
        <v/>
      </c>
      <c r="L1538" s="25"/>
    </row>
    <row r="1539" spans="1:12" x14ac:dyDescent="0.3">
      <c r="A1539" t="s">
        <v>373</v>
      </c>
      <c r="B1539" s="26" t="s">
        <v>357</v>
      </c>
      <c r="C1539" s="26" t="s">
        <v>331</v>
      </c>
      <c r="D1539" s="26" t="s">
        <v>332</v>
      </c>
      <c r="E1539" s="20" t="str">
        <f t="shared" si="172"/>
        <v>!!!</v>
      </c>
      <c r="F1539" s="21" t="str">
        <f>IF(OR(E1539="",E1539="!!!"),"",IF(NOT(ISNA(VLOOKUP(E1539,E$1:E1538,1,FALSE()))),"OLD",IF(AND(E1539&lt;&gt;"",E1539&lt;&gt;"!!!"),"NEW","")))</f>
        <v/>
      </c>
      <c r="G1539" s="22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3" t="str">
        <f t="shared" ca="1" si="173"/>
        <v/>
      </c>
      <c r="I1539" s="24" t="str">
        <f>IF(OR(E1539="",E1539="!!!",F1539="NEW"),"",INDEX(B$2:B1538,-1+SUMPRODUCT(MAX(ROW(E$2:E1538)*(E1539=E$2:E1538)))))</f>
        <v/>
      </c>
      <c r="J1539" s="24" t="str">
        <f ca="1">IF(OR(E1539="",E1539="!!!",F1539="NEW"),"",COUNTBLANK(OFFSET(A$1,,,SUMPRODUCT(MAX(ROW(E$2:E1539)*(E1539=E$2:E1539)))))-COUNTBLANK(OFFSET(A$1,,,SUMPRODUCT(MAX(ROW(E$1:E1538)*(E2=E$1:E1538))))))</f>
        <v/>
      </c>
      <c r="K1539" s="24" t="str">
        <f>IF(OR(E1539="",E1539="!!!",F1539="NEW"),"",INDEX(J$1:J1538,SUMPRODUCT(MAX(ROW(E$1:E1538)*(E1539=E$1:E1538)))))</f>
        <v/>
      </c>
      <c r="L1539" s="25"/>
    </row>
    <row r="1540" spans="1:12" x14ac:dyDescent="0.3">
      <c r="A1540" t="s">
        <v>999</v>
      </c>
      <c r="E1540" s="20" t="str">
        <f t="shared" si="172"/>
        <v/>
      </c>
      <c r="F1540" s="21" t="str">
        <f>IF(OR(E1540="",E1540="!!!"),"",IF(NOT(ISNA(VLOOKUP(E1540,E$1:E1539,1,FALSE()))),"OLD",IF(AND(E1540&lt;&gt;"",E1540&lt;&gt;"!!!"),"NEW","")))</f>
        <v/>
      </c>
      <c r="G1540" s="22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3" t="str">
        <f t="shared" ca="1" si="173"/>
        <v/>
      </c>
      <c r="I1540" s="24" t="str">
        <f>IF(OR(E1540="",E1540="!!!",F1540="NEW"),"",INDEX(B$2:B1539,-1+SUMPRODUCT(MAX(ROW(E$2:E1539)*(E1540=E$2:E1539)))))</f>
        <v/>
      </c>
      <c r="J1540" s="24" t="str">
        <f ca="1">IF(OR(E1540="",E1540="!!!",F1540="NEW"),"",COUNTBLANK(OFFSET(A$1,,,SUMPRODUCT(MAX(ROW(E$2:E1540)*(E1540=E$2:E1540)))))-COUNTBLANK(OFFSET(A$1,,,SUMPRODUCT(MAX(ROW(E$1:E1539)*(E2=E$1:E1539))))))</f>
        <v/>
      </c>
      <c r="K1540" s="24" t="str">
        <f>IF(OR(E1540="",E1540="!!!",F1540="NEW"),"",INDEX(J$1:J1539,SUMPRODUCT(MAX(ROW(E$1:E1539)*(E1540=E$1:E1539)))))</f>
        <v/>
      </c>
      <c r="L1540" s="25"/>
    </row>
    <row r="1541" spans="1:12" x14ac:dyDescent="0.3">
      <c r="A1541" t="s">
        <v>338</v>
      </c>
      <c r="E1541" s="20" t="str">
        <f t="shared" si="172"/>
        <v/>
      </c>
      <c r="F1541" s="21" t="str">
        <f>IF(OR(E1541="",E1541="!!!"),"",IF(NOT(ISNA(VLOOKUP(E1541,E$1:E1540,1,FALSE()))),"OLD",IF(AND(E1541&lt;&gt;"",E1541&lt;&gt;"!!!"),"NEW","")))</f>
        <v/>
      </c>
      <c r="G1541" s="22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3" t="str">
        <f t="shared" ca="1" si="173"/>
        <v/>
      </c>
      <c r="I1541" s="24" t="str">
        <f>IF(OR(E1541="",E1541="!!!",F1541="NEW"),"",INDEX(B$2:B1540,-1+SUMPRODUCT(MAX(ROW(E$2:E1540)*(E1541=E$2:E1540)))))</f>
        <v/>
      </c>
      <c r="J1541" s="24" t="str">
        <f ca="1">IF(OR(E1541="",E1541="!!!",F1541="NEW"),"",COUNTBLANK(OFFSET(A$1,,,SUMPRODUCT(MAX(ROW(E$2:E1541)*(E1541=E$2:E1541)))))-COUNTBLANK(OFFSET(A$1,,,SUMPRODUCT(MAX(ROW(E$1:E1540)*(E2=E$1:E1540))))))</f>
        <v/>
      </c>
      <c r="K1541" s="24" t="str">
        <f>IF(OR(E1541="",E1541="!!!",F1541="NEW"),"",INDEX(J$1:J1540,SUMPRODUCT(MAX(ROW(E$1:E1540)*(E1541=E$1:E1540)))))</f>
        <v/>
      </c>
      <c r="L1541" s="25"/>
    </row>
    <row r="1543" spans="1:12" x14ac:dyDescent="0.3">
      <c r="A1543" t="s">
        <v>1000</v>
      </c>
    </row>
    <row r="1544" spans="1:12" x14ac:dyDescent="0.3">
      <c r="A1544" t="s">
        <v>530</v>
      </c>
      <c r="E1544" s="20" t="str">
        <f>IF(D1544="?OLD","!!!","")</f>
        <v/>
      </c>
      <c r="F1544" s="21" t="str">
        <f>IF(OR(E1544="",E1544="!!!"),"",IF(NOT(ISNA(VLOOKUP(E1544,E$1:E1543,1,FALSE()))),"OLD",IF(AND(E1544&lt;&gt;"",E1544&lt;&gt;"!!!"),"NEW","")))</f>
        <v/>
      </c>
      <c r="G1544" s="22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3" t="str">
        <f ca="1">IF(J1544&lt;&gt;1,"",IF(I1544="SBJ","CB","?"))</f>
        <v/>
      </c>
      <c r="I1544" s="24" t="str">
        <f>IF(OR(E1544="",E1544="!!!",F1544="NEW"),"",INDEX(B$2:B1543,-1+SUMPRODUCT(MAX(ROW(E$2:E1543)*(E1544=E$2:E1543)))))</f>
        <v/>
      </c>
      <c r="J1544" s="24" t="str">
        <f ca="1">IF(OR(E1544="",E1544="!!!",F1544="NEW"),"",COUNTBLANK(OFFSET(A$1,,,SUMPRODUCT(MAX(ROW(E$2:E1544)*(E1544=E$2:E1544)))))-COUNTBLANK(OFFSET(A$1,,,SUMPRODUCT(MAX(ROW(E$1:E1543)*(E2=E$1:E1543))))))</f>
        <v/>
      </c>
      <c r="K1544" s="24" t="str">
        <f>IF(OR(E1544="",E1544="!!!",F1544="NEW"),"",INDEX(J$1:J1543,SUMPRODUCT(MAX(ROW(E$1:E1543)*(E1544=E$1:E1543)))))</f>
        <v/>
      </c>
      <c r="L1544" s="25"/>
    </row>
    <row r="1545" spans="1:12" x14ac:dyDescent="0.3">
      <c r="A1545" t="s">
        <v>473</v>
      </c>
      <c r="B1545" s="26" t="s">
        <v>330</v>
      </c>
      <c r="C1545" s="26" t="s">
        <v>438</v>
      </c>
      <c r="D1545" s="26" t="s">
        <v>332</v>
      </c>
      <c r="E1545" s="20" t="str">
        <f>IF(D1545="?OLD","!!!","")</f>
        <v>!!!</v>
      </c>
      <c r="F1545" s="21" t="str">
        <f>IF(OR(E1545="",E1545="!!!"),"",IF(NOT(ISNA(VLOOKUP(E1545,E$1:E1544,1,FALSE()))),"OLD",IF(AND(E1545&lt;&gt;"",E1545&lt;&gt;"!!!"),"NEW","")))</f>
        <v/>
      </c>
      <c r="G1545" s="22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3" t="str">
        <f ca="1">IF(J1545&lt;&gt;1,"",IF(I1545="SBJ","CB","?"))</f>
        <v/>
      </c>
      <c r="I1545" s="24" t="str">
        <f>IF(OR(E1545="",E1545="!!!",F1545="NEW"),"",INDEX(B$2:B1544,-1+SUMPRODUCT(MAX(ROW(E$2:E1544)*(E1545=E$2:E1544)))))</f>
        <v/>
      </c>
      <c r="J1545" s="24" t="str">
        <f ca="1">IF(OR(E1545="",E1545="!!!",F1545="NEW"),"",COUNTBLANK(OFFSET(A$1,,,SUMPRODUCT(MAX(ROW(E$2:E1545)*(E1545=E$2:E1545)))))-COUNTBLANK(OFFSET(A$1,,,SUMPRODUCT(MAX(ROW(E$1:E1544)*(E2=E$1:E1544))))))</f>
        <v/>
      </c>
      <c r="K1545" s="24" t="str">
        <f>IF(OR(E1545="",E1545="!!!",F1545="NEW"),"",INDEX(J$1:J1544,SUMPRODUCT(MAX(ROW(E$1:E1544)*(E1545=E$1:E1544)))))</f>
        <v/>
      </c>
      <c r="L1545" s="25"/>
    </row>
    <row r="1546" spans="1:12" x14ac:dyDescent="0.3">
      <c r="A1546" t="s">
        <v>407</v>
      </c>
      <c r="E1546" s="20" t="str">
        <f>IF(D1546="?OLD","!!!","")</f>
        <v/>
      </c>
      <c r="F1546" s="21" t="str">
        <f>IF(OR(E1546="",E1546="!!!"),"",IF(NOT(ISNA(VLOOKUP(E1546,E$1:E1545,1,FALSE()))),"OLD",IF(AND(E1546&lt;&gt;"",E1546&lt;&gt;"!!!"),"NEW","")))</f>
        <v/>
      </c>
      <c r="G1546" s="22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3" t="str">
        <f ca="1">IF(J1546&lt;&gt;1,"",IF(I1546="SBJ","CB","?"))</f>
        <v/>
      </c>
      <c r="I1546" s="24" t="str">
        <f>IF(OR(E1546="",E1546="!!!",F1546="NEW"),"",INDEX(B$2:B1545,-1+SUMPRODUCT(MAX(ROW(E$2:E1545)*(E1546=E$2:E1545)))))</f>
        <v/>
      </c>
      <c r="J1546" s="24" t="str">
        <f ca="1">IF(OR(E1546="",E1546="!!!",F1546="NEW"),"",COUNTBLANK(OFFSET(A$1,,,SUMPRODUCT(MAX(ROW(E$2:E1546)*(E1546=E$2:E1546)))))-COUNTBLANK(OFFSET(A$1,,,SUMPRODUCT(MAX(ROW(E$1:E1545)*(E2=E$1:E1545))))))</f>
        <v/>
      </c>
      <c r="K1546" s="24" t="str">
        <f>IF(OR(E1546="",E1546="!!!",F1546="NEW"),"",INDEX(J$1:J1545,SUMPRODUCT(MAX(ROW(E$1:E1545)*(E1546=E$1:E1545)))))</f>
        <v/>
      </c>
      <c r="L1546" s="25"/>
    </row>
    <row r="1547" spans="1:12" x14ac:dyDescent="0.3">
      <c r="A1547" t="s">
        <v>862</v>
      </c>
      <c r="E1547" s="20" t="str">
        <f>IF(D1547="?OLD","!!!","")</f>
        <v/>
      </c>
      <c r="F1547" s="21" t="str">
        <f>IF(OR(E1547="",E1547="!!!"),"",IF(NOT(ISNA(VLOOKUP(E1547,E$1:E1546,1,FALSE()))),"OLD",IF(AND(E1547&lt;&gt;"",E1547&lt;&gt;"!!!"),"NEW","")))</f>
        <v/>
      </c>
      <c r="G1547" s="22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3" t="str">
        <f ca="1">IF(J1547&lt;&gt;1,"",IF(I1547="SBJ","CB","?"))</f>
        <v/>
      </c>
      <c r="I1547" s="24" t="str">
        <f>IF(OR(E1547="",E1547="!!!",F1547="NEW"),"",INDEX(B$2:B1546,-1+SUMPRODUCT(MAX(ROW(E$2:E1546)*(E1547=E$2:E1546)))))</f>
        <v/>
      </c>
      <c r="J1547" s="24" t="str">
        <f ca="1">IF(OR(E1547="",E1547="!!!",F1547="NEW"),"",COUNTBLANK(OFFSET(A$1,,,SUMPRODUCT(MAX(ROW(E$2:E1547)*(E1547=E$2:E1547)))))-COUNTBLANK(OFFSET(A$1,,,SUMPRODUCT(MAX(ROW(E$1:E1546)*(E2=E$1:E1546))))))</f>
        <v/>
      </c>
      <c r="K1547" s="24" t="str">
        <f>IF(OR(E1547="",E1547="!!!",F1547="NEW"),"",INDEX(J$1:J1546,SUMPRODUCT(MAX(ROW(E$1:E1546)*(E1547=E$1:E1546)))))</f>
        <v/>
      </c>
      <c r="L1547" s="25"/>
    </row>
    <row r="1548" spans="1:12" x14ac:dyDescent="0.3">
      <c r="A1548" t="s">
        <v>338</v>
      </c>
      <c r="E1548" s="20" t="str">
        <f>IF(D1548="?OLD","!!!","")</f>
        <v/>
      </c>
      <c r="F1548" s="21" t="str">
        <f>IF(OR(E1548="",E1548="!!!"),"",IF(NOT(ISNA(VLOOKUP(E1548,E$1:E1547,1,FALSE()))),"OLD",IF(AND(E1548&lt;&gt;"",E1548&lt;&gt;"!!!"),"NEW","")))</f>
        <v/>
      </c>
      <c r="G1548" s="22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3" t="str">
        <f ca="1">IF(J1548&lt;&gt;1,"",IF(I1548="SBJ","CB","?"))</f>
        <v/>
      </c>
      <c r="I1548" s="24" t="str">
        <f>IF(OR(E1548="",E1548="!!!",F1548="NEW"),"",INDEX(B$2:B1547,-1+SUMPRODUCT(MAX(ROW(E$2:E1547)*(E1548=E$2:E1547)))))</f>
        <v/>
      </c>
      <c r="J1548" s="24" t="str">
        <f ca="1">IF(OR(E1548="",E1548="!!!",F1548="NEW"),"",COUNTBLANK(OFFSET(A$1,,,SUMPRODUCT(MAX(ROW(E$2:E1548)*(E1548=E$2:E1548)))))-COUNTBLANK(OFFSET(A$1,,,SUMPRODUCT(MAX(ROW(E$1:E1547)*(E2=E$1:E1547))))))</f>
        <v/>
      </c>
      <c r="K1548" s="24" t="str">
        <f>IF(OR(E1548="",E1548="!!!",F1548="NEW"),"",INDEX(J$1:J1547,SUMPRODUCT(MAX(ROW(E$1:E1547)*(E1548=E$1:E1547)))))</f>
        <v/>
      </c>
      <c r="L1548" s="25"/>
    </row>
    <row r="1550" spans="1:12" x14ac:dyDescent="0.3">
      <c r="A1550" t="s">
        <v>1001</v>
      </c>
    </row>
    <row r="1551" spans="1:12" x14ac:dyDescent="0.3">
      <c r="A1551" t="s">
        <v>424</v>
      </c>
      <c r="B1551" s="26" t="s">
        <v>330</v>
      </c>
      <c r="C1551" s="26" t="s">
        <v>341</v>
      </c>
      <c r="D1551" s="26" t="s">
        <v>332</v>
      </c>
      <c r="E1551" s="20" t="str">
        <f t="shared" ref="E1551:E1558" si="174">IF(D1551="?OLD","!!!","")</f>
        <v>!!!</v>
      </c>
      <c r="F1551" s="21" t="str">
        <f>IF(OR(E1551="",E1551="!!!"),"",IF(NOT(ISNA(VLOOKUP(E1551,E$1:E1550,1,FALSE()))),"OLD",IF(AND(E1551&lt;&gt;"",E1551&lt;&gt;"!!!"),"NEW","")))</f>
        <v/>
      </c>
      <c r="G1551" s="22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3" t="str">
        <f t="shared" ref="H1551:H1558" ca="1" si="175">IF(J1551&lt;&gt;1,"",IF(I1551="SBJ","CB","?"))</f>
        <v/>
      </c>
      <c r="I1551" s="24" t="str">
        <f>IF(OR(E1551="",E1551="!!!",F1551="NEW"),"",INDEX(B$2:B1550,-1+SUMPRODUCT(MAX(ROW(E$2:E1550)*(E1551=E$2:E1550)))))</f>
        <v/>
      </c>
      <c r="J1551" s="24" t="str">
        <f ca="1">IF(OR(E1551="",E1551="!!!",F1551="NEW"),"",COUNTBLANK(OFFSET(A$1,,,SUMPRODUCT(MAX(ROW(E$2:E1551)*(E1551=E$2:E1551)))))-COUNTBLANK(OFFSET(A$1,,,SUMPRODUCT(MAX(ROW(E$1:E1550)*(E2=E$1:E1550))))))</f>
        <v/>
      </c>
      <c r="K1551" s="24" t="str">
        <f>IF(OR(E1551="",E1551="!!!",F1551="NEW"),"",INDEX(J$1:J1550,SUMPRODUCT(MAX(ROW(E$1:E1550)*(E1551=E$1:E1550)))))</f>
        <v/>
      </c>
      <c r="L1551" s="25"/>
    </row>
    <row r="1552" spans="1:12" x14ac:dyDescent="0.3">
      <c r="A1552" t="s">
        <v>1002</v>
      </c>
      <c r="E1552" s="20" t="str">
        <f t="shared" si="174"/>
        <v/>
      </c>
      <c r="F1552" s="21" t="str">
        <f>IF(OR(E1552="",E1552="!!!"),"",IF(NOT(ISNA(VLOOKUP(E1552,E$1:E1551,1,FALSE()))),"OLD",IF(AND(E1552&lt;&gt;"",E1552&lt;&gt;"!!!"),"NEW","")))</f>
        <v/>
      </c>
      <c r="G1552" s="22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/>
      </c>
      <c r="H1552" s="23" t="str">
        <f t="shared" ca="1" si="175"/>
        <v/>
      </c>
      <c r="I1552" s="24" t="str">
        <f>IF(OR(E1552="",E1552="!!!",F1552="NEW"),"",INDEX(B$2:B1551,-1+SUMPRODUCT(MAX(ROW(E$2:E1551)*(E1552=E$2:E1551)))))</f>
        <v/>
      </c>
      <c r="J1552" s="24" t="str">
        <f ca="1">IF(OR(E1552="",E1552="!!!",F1552="NEW"),"",COUNTBLANK(OFFSET(A$1,,,SUMPRODUCT(MAX(ROW(E$2:E1552)*(E1552=E$2:E1552)))))-COUNTBLANK(OFFSET(A$1,,,SUMPRODUCT(MAX(ROW(E$1:E1551)*(E2=E$1:E1551))))))</f>
        <v/>
      </c>
      <c r="K1552" s="24" t="str">
        <f>IF(OR(E1552="",E1552="!!!",F1552="NEW"),"",INDEX(J$1:J1551,SUMPRODUCT(MAX(ROW(E$1:E1551)*(E1552=E$1:E1551)))))</f>
        <v/>
      </c>
      <c r="L1552" s="25"/>
    </row>
    <row r="1553" spans="1:12" x14ac:dyDescent="0.3">
      <c r="A1553" t="s">
        <v>510</v>
      </c>
      <c r="E1553" s="20" t="str">
        <f t="shared" si="174"/>
        <v/>
      </c>
      <c r="F1553" s="21" t="str">
        <f>IF(OR(E1553="",E1553="!!!"),"",IF(NOT(ISNA(VLOOKUP(E1553,E$1:E1552,1,FALSE()))),"OLD",IF(AND(E1553&lt;&gt;"",E1553&lt;&gt;"!!!"),"NEW","")))</f>
        <v/>
      </c>
      <c r="G1553" s="22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3" t="str">
        <f t="shared" ca="1" si="175"/>
        <v/>
      </c>
      <c r="I1553" s="24" t="str">
        <f>IF(OR(E1553="",E1553="!!!",F1553="NEW"),"",INDEX(B$2:B1552,-1+SUMPRODUCT(MAX(ROW(E$2:E1552)*(E1553=E$2:E1552)))))</f>
        <v/>
      </c>
      <c r="J1553" s="24" t="str">
        <f ca="1">IF(OR(E1553="",E1553="!!!",F1553="NEW"),"",COUNTBLANK(OFFSET(A$1,,,SUMPRODUCT(MAX(ROW(E$2:E1553)*(E1553=E$2:E1553)))))-COUNTBLANK(OFFSET(A$1,,,SUMPRODUCT(MAX(ROW(E$1:E1552)*(E2=E$1:E1552))))))</f>
        <v/>
      </c>
      <c r="K1553" s="24" t="str">
        <f>IF(OR(E1553="",E1553="!!!",F1553="NEW"),"",INDEX(J$1:J1552,SUMPRODUCT(MAX(ROW(E$1:E1552)*(E1553=E$1:E1552)))))</f>
        <v/>
      </c>
      <c r="L1553" s="25"/>
    </row>
    <row r="1554" spans="1:12" x14ac:dyDescent="0.3">
      <c r="A1554" t="s">
        <v>629</v>
      </c>
      <c r="E1554" s="20" t="str">
        <f t="shared" si="174"/>
        <v/>
      </c>
      <c r="F1554" s="21" t="str">
        <f>IF(OR(E1554="",E1554="!!!"),"",IF(NOT(ISNA(VLOOKUP(E1554,E$1:E1553,1,FALSE()))),"OLD",IF(AND(E1554&lt;&gt;"",E1554&lt;&gt;"!!!"),"NEW","")))</f>
        <v/>
      </c>
      <c r="G1554" s="22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3" t="str">
        <f t="shared" ca="1" si="175"/>
        <v/>
      </c>
      <c r="I1554" s="24" t="str">
        <f>IF(OR(E1554="",E1554="!!!",F1554="NEW"),"",INDEX(B$2:B1553,-1+SUMPRODUCT(MAX(ROW(E$2:E1553)*(E1554=E$2:E1553)))))</f>
        <v/>
      </c>
      <c r="J1554" s="24" t="str">
        <f ca="1">IF(OR(E1554="",E1554="!!!",F1554="NEW"),"",COUNTBLANK(OFFSET(A$1,,,SUMPRODUCT(MAX(ROW(E$2:E1554)*(E1554=E$2:E1554)))))-COUNTBLANK(OFFSET(A$1,,,SUMPRODUCT(MAX(ROW(E$1:E1553)*(E2=E$1:E1553))))))</f>
        <v/>
      </c>
      <c r="K1554" s="24" t="str">
        <f>IF(OR(E1554="",E1554="!!!",F1554="NEW"),"",INDEX(J$1:J1553,SUMPRODUCT(MAX(ROW(E$1:E1553)*(E1554=E$1:E1553)))))</f>
        <v/>
      </c>
      <c r="L1554" s="25"/>
    </row>
    <row r="1555" spans="1:12" x14ac:dyDescent="0.3">
      <c r="A1555" t="s">
        <v>363</v>
      </c>
      <c r="E1555" s="20" t="str">
        <f t="shared" si="174"/>
        <v/>
      </c>
      <c r="F1555" s="21" t="str">
        <f>IF(OR(E1555="",E1555="!!!"),"",IF(NOT(ISNA(VLOOKUP(E1555,E$1:E1554,1,FALSE()))),"OLD",IF(AND(E1555&lt;&gt;"",E1555&lt;&gt;"!!!"),"NEW","")))</f>
        <v/>
      </c>
      <c r="G1555" s="22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3" t="str">
        <f t="shared" ca="1" si="175"/>
        <v/>
      </c>
      <c r="I1555" s="24" t="str">
        <f>IF(OR(E1555="",E1555="!!!",F1555="NEW"),"",INDEX(B$2:B1554,-1+SUMPRODUCT(MAX(ROW(E$2:E1554)*(E1555=E$2:E1554)))))</f>
        <v/>
      </c>
      <c r="J1555" s="24" t="str">
        <f ca="1">IF(OR(E1555="",E1555="!!!",F1555="NEW"),"",COUNTBLANK(OFFSET(A$1,,,SUMPRODUCT(MAX(ROW(E$2:E1555)*(E1555=E$2:E1555)))))-COUNTBLANK(OFFSET(A$1,,,SUMPRODUCT(MAX(ROW(E$1:E1554)*(E2=E$1:E1554))))))</f>
        <v/>
      </c>
      <c r="K1555" s="24" t="str">
        <f>IF(OR(E1555="",E1555="!!!",F1555="NEW"),"",INDEX(J$1:J1554,SUMPRODUCT(MAX(ROW(E$1:E1554)*(E1555=E$1:E1554)))))</f>
        <v/>
      </c>
      <c r="L1555" s="25"/>
    </row>
    <row r="1556" spans="1:12" x14ac:dyDescent="0.3">
      <c r="A1556" t="s">
        <v>599</v>
      </c>
      <c r="E1556" s="20" t="str">
        <f t="shared" si="174"/>
        <v/>
      </c>
      <c r="F1556" s="21" t="str">
        <f>IF(OR(E1556="",E1556="!!!"),"",IF(NOT(ISNA(VLOOKUP(E1556,E$1:E1555,1,FALSE()))),"OLD",IF(AND(E1556&lt;&gt;"",E1556&lt;&gt;"!!!"),"NEW","")))</f>
        <v/>
      </c>
      <c r="G1556" s="22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3" t="str">
        <f t="shared" ca="1" si="175"/>
        <v/>
      </c>
      <c r="I1556" s="24" t="str">
        <f>IF(OR(E1556="",E1556="!!!",F1556="NEW"),"",INDEX(B$2:B1555,-1+SUMPRODUCT(MAX(ROW(E$2:E1555)*(E1556=E$2:E1555)))))</f>
        <v/>
      </c>
      <c r="J1556" s="24" t="str">
        <f ca="1">IF(OR(E1556="",E1556="!!!",F1556="NEW"),"",COUNTBLANK(OFFSET(A$1,,,SUMPRODUCT(MAX(ROW(E$2:E1556)*(E1556=E$2:E1556)))))-COUNTBLANK(OFFSET(A$1,,,SUMPRODUCT(MAX(ROW(E$1:E1555)*(E2=E$1:E1555))))))</f>
        <v/>
      </c>
      <c r="K1556" s="24" t="str">
        <f>IF(OR(E1556="",E1556="!!!",F1556="NEW"),"",INDEX(J$1:J1555,SUMPRODUCT(MAX(ROW(E$1:E1555)*(E1556=E$1:E1555)))))</f>
        <v/>
      </c>
      <c r="L1556" s="25"/>
    </row>
    <row r="1557" spans="1:12" x14ac:dyDescent="0.3">
      <c r="A1557" t="s">
        <v>1003</v>
      </c>
      <c r="B1557" s="26" t="s">
        <v>337</v>
      </c>
      <c r="C1557" s="26" t="s">
        <v>355</v>
      </c>
      <c r="E1557" s="20" t="str">
        <f t="shared" si="174"/>
        <v/>
      </c>
      <c r="F1557" s="21" t="str">
        <f>IF(OR(E1557="",E1557="!!!"),"",IF(NOT(ISNA(VLOOKUP(E1557,E$1:E1556,1,FALSE()))),"OLD",IF(AND(E1557&lt;&gt;"",E1557&lt;&gt;"!!!"),"NEW","")))</f>
        <v/>
      </c>
      <c r="G1557" s="22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3" t="str">
        <f t="shared" ca="1" si="175"/>
        <v/>
      </c>
      <c r="I1557" s="24" t="str">
        <f>IF(OR(E1557="",E1557="!!!",F1557="NEW"),"",INDEX(B$2:B1556,-1+SUMPRODUCT(MAX(ROW(E$2:E1556)*(E1557=E$2:E1556)))))</f>
        <v/>
      </c>
      <c r="J1557" s="24" t="str">
        <f ca="1">IF(OR(E1557="",E1557="!!!",F1557="NEW"),"",COUNTBLANK(OFFSET(A$1,,,SUMPRODUCT(MAX(ROW(E$2:E1557)*(E1557=E$2:E1557)))))-COUNTBLANK(OFFSET(A$1,,,SUMPRODUCT(MAX(ROW(E$1:E1556)*(E2=E$1:E1556))))))</f>
        <v/>
      </c>
      <c r="K1557" s="24" t="str">
        <f>IF(OR(E1557="",E1557="!!!",F1557="NEW"),"",INDEX(J$1:J1556,SUMPRODUCT(MAX(ROW(E$1:E1556)*(E1557=E$1:E1556)))))</f>
        <v/>
      </c>
      <c r="L1557" s="25"/>
    </row>
    <row r="1558" spans="1:12" x14ac:dyDescent="0.3">
      <c r="A1558" t="s">
        <v>338</v>
      </c>
      <c r="E1558" s="20" t="str">
        <f t="shared" si="174"/>
        <v/>
      </c>
      <c r="F1558" s="21" t="str">
        <f>IF(OR(E1558="",E1558="!!!"),"",IF(NOT(ISNA(VLOOKUP(E1558,E$1:E1557,1,FALSE()))),"OLD",IF(AND(E1558&lt;&gt;"",E1558&lt;&gt;"!!!"),"NEW","")))</f>
        <v/>
      </c>
      <c r="G1558" s="22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3" t="str">
        <f t="shared" ca="1" si="175"/>
        <v/>
      </c>
      <c r="I1558" s="24" t="str">
        <f>IF(OR(E1558="",E1558="!!!",F1558="NEW"),"",INDEX(B$2:B1557,-1+SUMPRODUCT(MAX(ROW(E$2:E1557)*(E1558=E$2:E1557)))))</f>
        <v/>
      </c>
      <c r="J1558" s="24" t="str">
        <f ca="1">IF(OR(E1558="",E1558="!!!",F1558="NEW"),"",COUNTBLANK(OFFSET(A$1,,,SUMPRODUCT(MAX(ROW(E$2:E1558)*(E1558=E$2:E1558)))))-COUNTBLANK(OFFSET(A$1,,,SUMPRODUCT(MAX(ROW(E$1:E1557)*(E2=E$1:E1557))))))</f>
        <v/>
      </c>
      <c r="K1558" s="24" t="str">
        <f>IF(OR(E1558="",E1558="!!!",F1558="NEW"),"",INDEX(J$1:J1557,SUMPRODUCT(MAX(ROW(E$1:E1557)*(E1558=E$1:E1557)))))</f>
        <v/>
      </c>
      <c r="L1558" s="25"/>
    </row>
    <row r="1560" spans="1:12" x14ac:dyDescent="0.3">
      <c r="A1560" t="s">
        <v>1004</v>
      </c>
    </row>
    <row r="1561" spans="1:12" x14ac:dyDescent="0.3">
      <c r="A1561" t="s">
        <v>530</v>
      </c>
      <c r="E1561" s="20" t="str">
        <f t="shared" ref="E1561:E1569" si="176">IF(D1561="?OLD","!!!","")</f>
        <v/>
      </c>
      <c r="F1561" s="21" t="str">
        <f>IF(OR(E1561="",E1561="!!!"),"",IF(NOT(ISNA(VLOOKUP(E1561,E$1:E1560,1,FALSE()))),"OLD",IF(AND(E1561&lt;&gt;"",E1561&lt;&gt;"!!!"),"NEW","")))</f>
        <v/>
      </c>
      <c r="G1561" s="22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3" t="str">
        <f t="shared" ref="H1561:H1569" ca="1" si="177">IF(J1561&lt;&gt;1,"",IF(I1561="SBJ","CB","?"))</f>
        <v/>
      </c>
      <c r="I1561" s="24" t="str">
        <f>IF(OR(E1561="",E1561="!!!",F1561="NEW"),"",INDEX(B$2:B1560,-1+SUMPRODUCT(MAX(ROW(E$2:E1560)*(E1561=E$2:E1560)))))</f>
        <v/>
      </c>
      <c r="J1561" s="24" t="str">
        <f ca="1">IF(OR(E1561="",E1561="!!!",F1561="NEW"),"",COUNTBLANK(OFFSET(A$1,,,SUMPRODUCT(MAX(ROW(E$2:E1561)*(E1561=E$2:E1561)))))-COUNTBLANK(OFFSET(A$1,,,SUMPRODUCT(MAX(ROW(E$1:E1560)*(E2=E$1:E1560))))))</f>
        <v/>
      </c>
      <c r="K1561" s="24" t="str">
        <f>IF(OR(E1561="",E1561="!!!",F1561="NEW"),"",INDEX(J$1:J1560,SUMPRODUCT(MAX(ROW(E$1:E1560)*(E1561=E$1:E1560)))))</f>
        <v/>
      </c>
      <c r="L1561" s="25"/>
    </row>
    <row r="1562" spans="1:12" x14ac:dyDescent="0.3">
      <c r="A1562" t="s">
        <v>871</v>
      </c>
      <c r="E1562" s="20" t="str">
        <f t="shared" si="176"/>
        <v/>
      </c>
      <c r="F1562" s="21" t="str">
        <f>IF(OR(E1562="",E1562="!!!"),"",IF(NOT(ISNA(VLOOKUP(E1562,E$1:E1561,1,FALSE()))),"OLD",IF(AND(E1562&lt;&gt;"",E1562&lt;&gt;"!!!"),"NEW","")))</f>
        <v/>
      </c>
      <c r="G1562" s="22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3" t="str">
        <f t="shared" ca="1" si="177"/>
        <v/>
      </c>
      <c r="I1562" s="24" t="str">
        <f>IF(OR(E1562="",E1562="!!!",F1562="NEW"),"",INDEX(B$2:B1561,-1+SUMPRODUCT(MAX(ROW(E$2:E1561)*(E1562=E$2:E1561)))))</f>
        <v/>
      </c>
      <c r="J1562" s="24" t="str">
        <f ca="1">IF(OR(E1562="",E1562="!!!",F1562="NEW"),"",COUNTBLANK(OFFSET(A$1,,,SUMPRODUCT(MAX(ROW(E$2:E1562)*(E1562=E$2:E1562)))))-COUNTBLANK(OFFSET(A$1,,,SUMPRODUCT(MAX(ROW(E$1:E1561)*(E2=E$1:E1561))))))</f>
        <v/>
      </c>
      <c r="K1562" s="24" t="str">
        <f>IF(OR(E1562="",E1562="!!!",F1562="NEW"),"",INDEX(J$1:J1561,SUMPRODUCT(MAX(ROW(E$1:E1561)*(E1562=E$1:E1561)))))</f>
        <v/>
      </c>
      <c r="L1562" s="25"/>
    </row>
    <row r="1563" spans="1:12" x14ac:dyDescent="0.3">
      <c r="A1563" t="s">
        <v>353</v>
      </c>
      <c r="B1563" s="26" t="s">
        <v>330</v>
      </c>
      <c r="C1563" s="26" t="s">
        <v>355</v>
      </c>
      <c r="E1563" s="20" t="str">
        <f t="shared" si="176"/>
        <v/>
      </c>
      <c r="F1563" s="21" t="str">
        <f>IF(OR(E1563="",E1563="!!!"),"",IF(NOT(ISNA(VLOOKUP(E1563,E$1:E1562,1,FALSE()))),"OLD",IF(AND(E1563&lt;&gt;"",E1563&lt;&gt;"!!!"),"NEW","")))</f>
        <v/>
      </c>
      <c r="G1563" s="22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3" t="str">
        <f t="shared" ca="1" si="177"/>
        <v/>
      </c>
      <c r="I1563" s="24" t="str">
        <f>IF(OR(E1563="",E1563="!!!",F1563="NEW"),"",INDEX(B$2:B1562,-1+SUMPRODUCT(MAX(ROW(E$2:E1562)*(E1563=E$2:E1562)))))</f>
        <v/>
      </c>
      <c r="J1563" s="24" t="str">
        <f ca="1">IF(OR(E1563="",E1563="!!!",F1563="NEW"),"",COUNTBLANK(OFFSET(A$1,,,SUMPRODUCT(MAX(ROW(E$2:E1563)*(E1563=E$2:E1563)))))-COUNTBLANK(OFFSET(A$1,,,SUMPRODUCT(MAX(ROW(E$1:E1562)*(E2=E$1:E1562))))))</f>
        <v/>
      </c>
      <c r="K1563" s="24" t="str">
        <f>IF(OR(E1563="",E1563="!!!",F1563="NEW"),"",INDEX(J$1:J1562,SUMPRODUCT(MAX(ROW(E$1:E1562)*(E1563=E$1:E1562)))))</f>
        <v/>
      </c>
      <c r="L1563" s="25"/>
    </row>
    <row r="1564" spans="1:12" x14ac:dyDescent="0.3">
      <c r="A1564" t="s">
        <v>407</v>
      </c>
      <c r="E1564" s="20" t="str">
        <f t="shared" si="176"/>
        <v/>
      </c>
      <c r="F1564" s="21" t="str">
        <f>IF(OR(E1564="",E1564="!!!"),"",IF(NOT(ISNA(VLOOKUP(E1564,E$1:E1563,1,FALSE()))),"OLD",IF(AND(E1564&lt;&gt;"",E1564&lt;&gt;"!!!"),"NEW","")))</f>
        <v/>
      </c>
      <c r="G1564" s="22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3" t="str">
        <f t="shared" ca="1" si="177"/>
        <v/>
      </c>
      <c r="I1564" s="24" t="str">
        <f>IF(OR(E1564="",E1564="!!!",F1564="NEW"),"",INDEX(B$2:B1563,-1+SUMPRODUCT(MAX(ROW(E$2:E1563)*(E1564=E$2:E1563)))))</f>
        <v/>
      </c>
      <c r="J1564" s="24" t="str">
        <f ca="1">IF(OR(E1564="",E1564="!!!",F1564="NEW"),"",COUNTBLANK(OFFSET(A$1,,,SUMPRODUCT(MAX(ROW(E$2:E1564)*(E1564=E$2:E1564)))))-COUNTBLANK(OFFSET(A$1,,,SUMPRODUCT(MAX(ROW(E$1:E1563)*(E2=E$1:E1563))))))</f>
        <v/>
      </c>
      <c r="K1564" s="24" t="str">
        <f>IF(OR(E1564="",E1564="!!!",F1564="NEW"),"",INDEX(J$1:J1563,SUMPRODUCT(MAX(ROW(E$1:E1563)*(E1564=E$1:E1563)))))</f>
        <v/>
      </c>
      <c r="L1564" s="25"/>
    </row>
    <row r="1565" spans="1:12" x14ac:dyDescent="0.3">
      <c r="A1565" t="s">
        <v>359</v>
      </c>
      <c r="E1565" s="20" t="str">
        <f t="shared" si="176"/>
        <v/>
      </c>
      <c r="F1565" s="21" t="str">
        <f>IF(OR(E1565="",E1565="!!!"),"",IF(NOT(ISNA(VLOOKUP(E1565,E$1:E1564,1,FALSE()))),"OLD",IF(AND(E1565&lt;&gt;"",E1565&lt;&gt;"!!!"),"NEW","")))</f>
        <v/>
      </c>
      <c r="G1565" s="22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3" t="str">
        <f t="shared" ca="1" si="177"/>
        <v/>
      </c>
      <c r="I1565" s="24" t="str">
        <f>IF(OR(E1565="",E1565="!!!",F1565="NEW"),"",INDEX(B$2:B1564,-1+SUMPRODUCT(MAX(ROW(E$2:E1564)*(E1565=E$2:E1564)))))</f>
        <v/>
      </c>
      <c r="J1565" s="24" t="str">
        <f ca="1">IF(OR(E1565="",E1565="!!!",F1565="NEW"),"",COUNTBLANK(OFFSET(A$1,,,SUMPRODUCT(MAX(ROW(E$2:E1565)*(E1565=E$2:E1565)))))-COUNTBLANK(OFFSET(A$1,,,SUMPRODUCT(MAX(ROW(E$1:E1564)*(E2=E$1:E1564))))))</f>
        <v/>
      </c>
      <c r="K1565" s="24" t="str">
        <f>IF(OR(E1565="",E1565="!!!",F1565="NEW"),"",INDEX(J$1:J1564,SUMPRODUCT(MAX(ROW(E$1:E1564)*(E1565=E$1:E1564)))))</f>
        <v/>
      </c>
      <c r="L1565" s="25"/>
    </row>
    <row r="1566" spans="1:12" x14ac:dyDescent="0.3">
      <c r="A1566" t="s">
        <v>1005</v>
      </c>
      <c r="B1566" s="26" t="s">
        <v>337</v>
      </c>
      <c r="C1566" s="26" t="s">
        <v>331</v>
      </c>
      <c r="D1566" s="26" t="s">
        <v>332</v>
      </c>
      <c r="E1566" s="20" t="str">
        <f t="shared" si="176"/>
        <v>!!!</v>
      </c>
      <c r="F1566" s="21" t="str">
        <f>IF(OR(E1566="",E1566="!!!"),"",IF(NOT(ISNA(VLOOKUP(E1566,E$1:E1565,1,FALSE()))),"OLD",IF(AND(E1566&lt;&gt;"",E1566&lt;&gt;"!!!"),"NEW","")))</f>
        <v/>
      </c>
      <c r="G1566" s="22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3" t="str">
        <f t="shared" ca="1" si="177"/>
        <v/>
      </c>
      <c r="I1566" s="24" t="str">
        <f>IF(OR(E1566="",E1566="!!!",F1566="NEW"),"",INDEX(B$2:B1565,-1+SUMPRODUCT(MAX(ROW(E$2:E1565)*(E1566=E$2:E1565)))))</f>
        <v/>
      </c>
      <c r="J1566" s="24" t="str">
        <f ca="1">IF(OR(E1566="",E1566="!!!",F1566="NEW"),"",COUNTBLANK(OFFSET(A$1,,,SUMPRODUCT(MAX(ROW(E$2:E1566)*(E1566=E$2:E1566)))))-COUNTBLANK(OFFSET(A$1,,,SUMPRODUCT(MAX(ROW(E$1:E1565)*(E2=E$1:E1565))))))</f>
        <v/>
      </c>
      <c r="K1566" s="24" t="str">
        <f>IF(OR(E1566="",E1566="!!!",F1566="NEW"),"",INDEX(J$1:J1565,SUMPRODUCT(MAX(ROW(E$1:E1565)*(E1566=E$1:E1565)))))</f>
        <v/>
      </c>
      <c r="L1566" s="25"/>
    </row>
    <row r="1567" spans="1:12" x14ac:dyDescent="0.3">
      <c r="A1567" t="s">
        <v>477</v>
      </c>
      <c r="E1567" s="20" t="str">
        <f t="shared" si="176"/>
        <v/>
      </c>
      <c r="F1567" s="21" t="str">
        <f>IF(OR(E1567="",E1567="!!!"),"",IF(NOT(ISNA(VLOOKUP(E1567,E$1:E1566,1,FALSE()))),"OLD",IF(AND(E1567&lt;&gt;"",E1567&lt;&gt;"!!!"),"NEW","")))</f>
        <v/>
      </c>
      <c r="G1567" s="22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3" t="str">
        <f t="shared" ca="1" si="177"/>
        <v/>
      </c>
      <c r="I1567" s="24" t="str">
        <f>IF(OR(E1567="",E1567="!!!",F1567="NEW"),"",INDEX(B$2:B1566,-1+SUMPRODUCT(MAX(ROW(E$2:E1566)*(E1567=E$2:E1566)))))</f>
        <v/>
      </c>
      <c r="J1567" s="24" t="str">
        <f ca="1">IF(OR(E1567="",E1567="!!!",F1567="NEW"),"",COUNTBLANK(OFFSET(A$1,,,SUMPRODUCT(MAX(ROW(E$2:E1567)*(E1567=E$2:E1567)))))-COUNTBLANK(OFFSET(A$1,,,SUMPRODUCT(MAX(ROW(E$1:E1566)*(E2=E$1:E1566))))))</f>
        <v/>
      </c>
      <c r="K1567" s="24" t="str">
        <f>IF(OR(E1567="",E1567="!!!",F1567="NEW"),"",INDEX(J$1:J1566,SUMPRODUCT(MAX(ROW(E$1:E1566)*(E1567=E$1:E1566)))))</f>
        <v/>
      </c>
      <c r="L1567" s="25"/>
    </row>
    <row r="1568" spans="1:12" x14ac:dyDescent="0.3">
      <c r="A1568" t="s">
        <v>373</v>
      </c>
      <c r="B1568" s="26" t="s">
        <v>337</v>
      </c>
      <c r="C1568" s="26" t="s">
        <v>355</v>
      </c>
      <c r="E1568" s="20" t="str">
        <f t="shared" si="176"/>
        <v/>
      </c>
      <c r="F1568" s="21" t="str">
        <f>IF(OR(E1568="",E1568="!!!"),"",IF(NOT(ISNA(VLOOKUP(E1568,E$1:E1567,1,FALSE()))),"OLD",IF(AND(E1568&lt;&gt;"",E1568&lt;&gt;"!!!"),"NEW","")))</f>
        <v/>
      </c>
      <c r="G1568" s="22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3" t="str">
        <f t="shared" ca="1" si="177"/>
        <v/>
      </c>
      <c r="I1568" s="24" t="str">
        <f>IF(OR(E1568="",E1568="!!!",F1568="NEW"),"",INDEX(B$2:B1567,-1+SUMPRODUCT(MAX(ROW(E$2:E1567)*(E1568=E$2:E1567)))))</f>
        <v/>
      </c>
      <c r="J1568" s="24" t="str">
        <f ca="1">IF(OR(E1568="",E1568="!!!",F1568="NEW"),"",COUNTBLANK(OFFSET(A$1,,,SUMPRODUCT(MAX(ROW(E$2:E1568)*(E1568=E$2:E1568)))))-COUNTBLANK(OFFSET(A$1,,,SUMPRODUCT(MAX(ROW(E$1:E1567)*(E2=E$1:E1567))))))</f>
        <v/>
      </c>
      <c r="K1568" s="24" t="str">
        <f>IF(OR(E1568="",E1568="!!!",F1568="NEW"),"",INDEX(J$1:J1567,SUMPRODUCT(MAX(ROW(E$1:E1567)*(E1568=E$1:E1567)))))</f>
        <v/>
      </c>
      <c r="L1568" s="25"/>
    </row>
    <row r="1569" spans="1:12" x14ac:dyDescent="0.3">
      <c r="A1569" t="s">
        <v>338</v>
      </c>
      <c r="E1569" s="20" t="str">
        <f t="shared" si="176"/>
        <v/>
      </c>
      <c r="F1569" s="21" t="str">
        <f>IF(OR(E1569="",E1569="!!!"),"",IF(NOT(ISNA(VLOOKUP(E1569,E$1:E1568,1,FALSE()))),"OLD",IF(AND(E1569&lt;&gt;"",E1569&lt;&gt;"!!!"),"NEW","")))</f>
        <v/>
      </c>
      <c r="G1569" s="22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3" t="str">
        <f t="shared" ca="1" si="177"/>
        <v/>
      </c>
      <c r="I1569" s="24" t="str">
        <f>IF(OR(E1569="",E1569="!!!",F1569="NEW"),"",INDEX(B$2:B1568,-1+SUMPRODUCT(MAX(ROW(E$2:E1568)*(E1569=E$2:E1568)))))</f>
        <v/>
      </c>
      <c r="J1569" s="24" t="str">
        <f ca="1">IF(OR(E1569="",E1569="!!!",F1569="NEW"),"",COUNTBLANK(OFFSET(A$1,,,SUMPRODUCT(MAX(ROW(E$2:E1569)*(E1569=E$2:E1569)))))-COUNTBLANK(OFFSET(A$1,,,SUMPRODUCT(MAX(ROW(E$1:E1568)*(E2=E$1:E1568))))))</f>
        <v/>
      </c>
      <c r="K1569" s="24" t="str">
        <f>IF(OR(E1569="",E1569="!!!",F1569="NEW"),"",INDEX(J$1:J1568,SUMPRODUCT(MAX(ROW(E$1:E1568)*(E1569=E$1:E1568)))))</f>
        <v/>
      </c>
      <c r="L1569" s="25"/>
    </row>
    <row r="1571" spans="1:12" x14ac:dyDescent="0.3">
      <c r="A1571" t="s">
        <v>1006</v>
      </c>
    </row>
    <row r="1572" spans="1:12" x14ac:dyDescent="0.3">
      <c r="A1572" t="s">
        <v>758</v>
      </c>
      <c r="E1572" s="20" t="str">
        <f t="shared" ref="E1572:E1577" si="178">IF(D1572="?OLD","!!!","")</f>
        <v/>
      </c>
      <c r="F1572" s="21" t="str">
        <f>IF(OR(E1572="",E1572="!!!"),"",IF(NOT(ISNA(VLOOKUP(E1572,E$1:E1571,1,FALSE()))),"OLD",IF(AND(E1572&lt;&gt;"",E1572&lt;&gt;"!!!"),"NEW","")))</f>
        <v/>
      </c>
      <c r="G1572" s="22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3" t="str">
        <f t="shared" ref="H1572:H1577" ca="1" si="179">IF(J1572&lt;&gt;1,"",IF(I1572="SBJ","CB","?"))</f>
        <v/>
      </c>
      <c r="I1572" s="24" t="str">
        <f>IF(OR(E1572="",E1572="!!!",F1572="NEW"),"",INDEX(B$2:B1571,-1+SUMPRODUCT(MAX(ROW(E$2:E1571)*(E1572=E$2:E1571)))))</f>
        <v/>
      </c>
      <c r="J1572" s="24" t="str">
        <f ca="1">IF(OR(E1572="",E1572="!!!",F1572="NEW"),"",COUNTBLANK(OFFSET(A$1,,,SUMPRODUCT(MAX(ROW(E$2:E1572)*(E1572=E$2:E1572)))))-COUNTBLANK(OFFSET(A$1,,,SUMPRODUCT(MAX(ROW(E$1:E1571)*(E2=E$1:E1571))))))</f>
        <v/>
      </c>
      <c r="K1572" s="24" t="str">
        <f>IF(OR(E1572="",E1572="!!!",F1572="NEW"),"",INDEX(J$1:J1571,SUMPRODUCT(MAX(ROW(E$1:E1571)*(E1572=E$1:E1571)))))</f>
        <v/>
      </c>
      <c r="L1572" s="25"/>
    </row>
    <row r="1573" spans="1:12" x14ac:dyDescent="0.3">
      <c r="A1573" t="s">
        <v>407</v>
      </c>
      <c r="E1573" s="20" t="str">
        <f t="shared" si="178"/>
        <v/>
      </c>
      <c r="F1573" s="21" t="str">
        <f>IF(OR(E1573="",E1573="!!!"),"",IF(NOT(ISNA(VLOOKUP(E1573,E$1:E1572,1,FALSE()))),"OLD",IF(AND(E1573&lt;&gt;"",E1573&lt;&gt;"!!!"),"NEW","")))</f>
        <v/>
      </c>
      <c r="G1573" s="22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3" t="str">
        <f t="shared" ca="1" si="179"/>
        <v/>
      </c>
      <c r="I1573" s="24" t="str">
        <f>IF(OR(E1573="",E1573="!!!",F1573="NEW"),"",INDEX(B$2:B1572,-1+SUMPRODUCT(MAX(ROW(E$2:E1572)*(E1573=E$2:E1572)))))</f>
        <v/>
      </c>
      <c r="J1573" s="24" t="str">
        <f ca="1">IF(OR(E1573="",E1573="!!!",F1573="NEW"),"",COUNTBLANK(OFFSET(A$1,,,SUMPRODUCT(MAX(ROW(E$2:E1573)*(E1573=E$2:E1573)))))-COUNTBLANK(OFFSET(A$1,,,SUMPRODUCT(MAX(ROW(E$1:E1572)*(E2=E$1:E1572))))))</f>
        <v/>
      </c>
      <c r="K1573" s="24" t="str">
        <f>IF(OR(E1573="",E1573="!!!",F1573="NEW"),"",INDEX(J$1:J1572,SUMPRODUCT(MAX(ROW(E$1:E1572)*(E1573=E$1:E1572)))))</f>
        <v/>
      </c>
      <c r="L1573" s="25"/>
    </row>
    <row r="1574" spans="1:12" x14ac:dyDescent="0.3">
      <c r="A1574" t="s">
        <v>473</v>
      </c>
      <c r="B1574" s="26" t="s">
        <v>330</v>
      </c>
      <c r="C1574" s="26" t="s">
        <v>438</v>
      </c>
      <c r="D1574" s="26" t="s">
        <v>332</v>
      </c>
      <c r="E1574" s="20" t="str">
        <f t="shared" si="178"/>
        <v>!!!</v>
      </c>
      <c r="F1574" s="21" t="str">
        <f>IF(OR(E1574="",E1574="!!!"),"",IF(NOT(ISNA(VLOOKUP(E1574,E$1:E1573,1,FALSE()))),"OLD",IF(AND(E1574&lt;&gt;"",E1574&lt;&gt;"!!!"),"NEW","")))</f>
        <v/>
      </c>
      <c r="G1574" s="22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3" t="str">
        <f t="shared" ca="1" si="179"/>
        <v/>
      </c>
      <c r="I1574" s="24" t="str">
        <f>IF(OR(E1574="",E1574="!!!",F1574="NEW"),"",INDEX(B$2:B1573,-1+SUMPRODUCT(MAX(ROW(E$2:E1573)*(E1574=E$2:E1573)))))</f>
        <v/>
      </c>
      <c r="J1574" s="24" t="str">
        <f ca="1">IF(OR(E1574="",E1574="!!!",F1574="NEW"),"",COUNTBLANK(OFFSET(A$1,,,SUMPRODUCT(MAX(ROW(E$2:E1574)*(E1574=E$2:E1574)))))-COUNTBLANK(OFFSET(A$1,,,SUMPRODUCT(MAX(ROW(E$1:E1573)*(E2=E$1:E1573))))))</f>
        <v/>
      </c>
      <c r="K1574" s="24" t="str">
        <f>IF(OR(E1574="",E1574="!!!",F1574="NEW"),"",INDEX(J$1:J1573,SUMPRODUCT(MAX(ROW(E$1:E1573)*(E1574=E$1:E1573)))))</f>
        <v/>
      </c>
      <c r="L1574" s="25"/>
    </row>
    <row r="1575" spans="1:12" x14ac:dyDescent="0.3">
      <c r="A1575" t="s">
        <v>359</v>
      </c>
      <c r="E1575" s="20" t="str">
        <f t="shared" si="178"/>
        <v/>
      </c>
      <c r="F1575" s="21" t="str">
        <f>IF(OR(E1575="",E1575="!!!"),"",IF(NOT(ISNA(VLOOKUP(E1575,E$1:E1574,1,FALSE()))),"OLD",IF(AND(E1575&lt;&gt;"",E1575&lt;&gt;"!!!"),"NEW","")))</f>
        <v/>
      </c>
      <c r="G1575" s="22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3" t="str">
        <f t="shared" ca="1" si="179"/>
        <v/>
      </c>
      <c r="I1575" s="24" t="str">
        <f>IF(OR(E1575="",E1575="!!!",F1575="NEW"),"",INDEX(B$2:B1574,-1+SUMPRODUCT(MAX(ROW(E$2:E1574)*(E1575=E$2:E1574)))))</f>
        <v/>
      </c>
      <c r="J1575" s="24" t="str">
        <f ca="1">IF(OR(E1575="",E1575="!!!",F1575="NEW"),"",COUNTBLANK(OFFSET(A$1,,,SUMPRODUCT(MAX(ROW(E$2:E1575)*(E1575=E$2:E1575)))))-COUNTBLANK(OFFSET(A$1,,,SUMPRODUCT(MAX(ROW(E$1:E1574)*(E2=E$1:E1574))))))</f>
        <v/>
      </c>
      <c r="K1575" s="24" t="str">
        <f>IF(OR(E1575="",E1575="!!!",F1575="NEW"),"",INDEX(J$1:J1574,SUMPRODUCT(MAX(ROW(E$1:E1574)*(E1575=E$1:E1574)))))</f>
        <v/>
      </c>
      <c r="L1575" s="25"/>
    </row>
    <row r="1576" spans="1:12" x14ac:dyDescent="0.3">
      <c r="A1576" t="s">
        <v>1007</v>
      </c>
      <c r="B1576" s="26" t="s">
        <v>337</v>
      </c>
      <c r="C1576" s="26" t="s">
        <v>331</v>
      </c>
      <c r="D1576" s="26" t="s">
        <v>332</v>
      </c>
      <c r="E1576" s="20" t="str">
        <f t="shared" si="178"/>
        <v>!!!</v>
      </c>
      <c r="F1576" s="21" t="str">
        <f>IF(OR(E1576="",E1576="!!!"),"",IF(NOT(ISNA(VLOOKUP(E1576,E$1:E1575,1,FALSE()))),"OLD",IF(AND(E1576&lt;&gt;"",E1576&lt;&gt;"!!!"),"NEW","")))</f>
        <v/>
      </c>
      <c r="G1576" s="22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3" t="str">
        <f t="shared" ca="1" si="179"/>
        <v/>
      </c>
      <c r="I1576" s="24" t="str">
        <f>IF(OR(E1576="",E1576="!!!",F1576="NEW"),"",INDEX(B$2:B1575,-1+SUMPRODUCT(MAX(ROW(E$2:E1575)*(E1576=E$2:E1575)))))</f>
        <v/>
      </c>
      <c r="J1576" s="24" t="str">
        <f ca="1">IF(OR(E1576="",E1576="!!!",F1576="NEW"),"",COUNTBLANK(OFFSET(A$1,,,SUMPRODUCT(MAX(ROW(E$2:E1576)*(E1576=E$2:E1576)))))-COUNTBLANK(OFFSET(A$1,,,SUMPRODUCT(MAX(ROW(E$1:E1575)*(E2=E$1:E1575))))))</f>
        <v/>
      </c>
      <c r="K1576" s="24" t="str">
        <f>IF(OR(E1576="",E1576="!!!",F1576="NEW"),"",INDEX(J$1:J1575,SUMPRODUCT(MAX(ROW(E$1:E1575)*(E1576=E$1:E1575)))))</f>
        <v/>
      </c>
      <c r="L1576" s="25"/>
    </row>
    <row r="1577" spans="1:12" x14ac:dyDescent="0.3">
      <c r="A1577" t="s">
        <v>638</v>
      </c>
      <c r="E1577" s="20" t="str">
        <f t="shared" si="178"/>
        <v/>
      </c>
      <c r="F1577" s="21" t="str">
        <f>IF(OR(E1577="",E1577="!!!"),"",IF(NOT(ISNA(VLOOKUP(E1577,E$1:E1576,1,FALSE()))),"OLD",IF(AND(E1577&lt;&gt;"",E1577&lt;&gt;"!!!"),"NEW","")))</f>
        <v/>
      </c>
      <c r="G1577" s="22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3" t="str">
        <f t="shared" ca="1" si="179"/>
        <v/>
      </c>
      <c r="I1577" s="24" t="str">
        <f>IF(OR(E1577="",E1577="!!!",F1577="NEW"),"",INDEX(B$2:B1576,-1+SUMPRODUCT(MAX(ROW(E$2:E1576)*(E1577=E$2:E1576)))))</f>
        <v/>
      </c>
      <c r="J1577" s="24" t="str">
        <f ca="1">IF(OR(E1577="",E1577="!!!",F1577="NEW"),"",COUNTBLANK(OFFSET(A$1,,,SUMPRODUCT(MAX(ROW(E$2:E1577)*(E1577=E$2:E1577)))))-COUNTBLANK(OFFSET(A$1,,,SUMPRODUCT(MAX(ROW(E$1:E1576)*(E2=E$1:E1576))))))</f>
        <v/>
      </c>
      <c r="K1577" s="24" t="str">
        <f>IF(OR(E1577="",E1577="!!!",F1577="NEW"),"",INDEX(J$1:J1576,SUMPRODUCT(MAX(ROW(E$1:E1576)*(E1577=E$1:E1576)))))</f>
        <v/>
      </c>
      <c r="L1577" s="25"/>
    </row>
    <row r="1579" spans="1:12" x14ac:dyDescent="0.3">
      <c r="A1579" t="s">
        <v>1008</v>
      </c>
    </row>
    <row r="1580" spans="1:12" x14ac:dyDescent="0.3">
      <c r="A1580" t="s">
        <v>328</v>
      </c>
      <c r="E1580" s="20" t="str">
        <f t="shared" ref="E1580:E1590" si="180">IF(D1580="?OLD","!!!","")</f>
        <v/>
      </c>
      <c r="F1580" s="21" t="str">
        <f>IF(OR(E1580="",E1580="!!!"),"",IF(NOT(ISNA(VLOOKUP(E1580,E$1:E1579,1,FALSE()))),"OLD",IF(AND(E1580&lt;&gt;"",E1580&lt;&gt;"!!!"),"NEW","")))</f>
        <v/>
      </c>
      <c r="G1580" s="22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3" t="str">
        <f t="shared" ref="H1580:H1590" ca="1" si="181">IF(J1580&lt;&gt;1,"",IF(I1580="SBJ","CB","?"))</f>
        <v/>
      </c>
      <c r="I1580" s="24" t="str">
        <f>IF(OR(E1580="",E1580="!!!",F1580="NEW"),"",INDEX(B$2:B1579,-1+SUMPRODUCT(MAX(ROW(E$2:E1579)*(E1580=E$2:E1579)))))</f>
        <v/>
      </c>
      <c r="J1580" s="24" t="str">
        <f ca="1">IF(OR(E1580="",E1580="!!!",F1580="NEW"),"",COUNTBLANK(OFFSET(A$1,,,SUMPRODUCT(MAX(ROW(E$2:E1580)*(E1580=E$2:E1580)))))-COUNTBLANK(OFFSET(A$1,,,SUMPRODUCT(MAX(ROW(E$1:E1579)*(E2=E$1:E1579))))))</f>
        <v/>
      </c>
      <c r="K1580" s="24" t="str">
        <f>IF(OR(E1580="",E1580="!!!",F1580="NEW"),"",INDEX(J$1:J1579,SUMPRODUCT(MAX(ROW(E$1:E1579)*(E1580=E$1:E1579)))))</f>
        <v/>
      </c>
      <c r="L1580" s="25"/>
    </row>
    <row r="1581" spans="1:12" x14ac:dyDescent="0.3">
      <c r="A1581" t="s">
        <v>795</v>
      </c>
      <c r="B1581" s="26" t="s">
        <v>330</v>
      </c>
      <c r="C1581" s="26" t="s">
        <v>331</v>
      </c>
      <c r="D1581" s="26" t="s">
        <v>332</v>
      </c>
      <c r="E1581" s="20" t="str">
        <f t="shared" si="180"/>
        <v>!!!</v>
      </c>
      <c r="F1581" s="21" t="str">
        <f>IF(OR(E1581="",E1581="!!!"),"",IF(NOT(ISNA(VLOOKUP(E1581,E$1:E1580,1,FALSE()))),"OLD",IF(AND(E1581&lt;&gt;"",E1581&lt;&gt;"!!!"),"NEW","")))</f>
        <v/>
      </c>
      <c r="G1581" s="22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3" t="str">
        <f t="shared" ca="1" si="181"/>
        <v/>
      </c>
      <c r="I1581" s="24" t="str">
        <f>IF(OR(E1581="",E1581="!!!",F1581="NEW"),"",INDEX(B$2:B1580,-1+SUMPRODUCT(MAX(ROW(E$2:E1580)*(E1581=E$2:E1580)))))</f>
        <v/>
      </c>
      <c r="J1581" s="24" t="str">
        <f ca="1">IF(OR(E1581="",E1581="!!!",F1581="NEW"),"",COUNTBLANK(OFFSET(A$1,,,SUMPRODUCT(MAX(ROW(E$2:E1581)*(E1581=E$2:E1581)))))-COUNTBLANK(OFFSET(A$1,,,SUMPRODUCT(MAX(ROW(E$1:E1580)*(E2=E$1:E1580))))))</f>
        <v/>
      </c>
      <c r="K1581" s="24" t="str">
        <f>IF(OR(E1581="",E1581="!!!",F1581="NEW"),"",INDEX(J$1:J1580,SUMPRODUCT(MAX(ROW(E$1:E1580)*(E1581=E$1:E1580)))))</f>
        <v/>
      </c>
      <c r="L1581" s="25"/>
    </row>
    <row r="1582" spans="1:12" x14ac:dyDescent="0.3">
      <c r="A1582" t="s">
        <v>333</v>
      </c>
      <c r="E1582" s="20" t="str">
        <f t="shared" si="180"/>
        <v/>
      </c>
      <c r="F1582" s="21" t="str">
        <f>IF(OR(E1582="",E1582="!!!"),"",IF(NOT(ISNA(VLOOKUP(E1582,E$1:E1581,1,FALSE()))),"OLD",IF(AND(E1582&lt;&gt;"",E1582&lt;&gt;"!!!"),"NEW","")))</f>
        <v/>
      </c>
      <c r="G1582" s="22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3" t="str">
        <f t="shared" ca="1" si="181"/>
        <v/>
      </c>
      <c r="I1582" s="24" t="str">
        <f>IF(OR(E1582="",E1582="!!!",F1582="NEW"),"",INDEX(B$2:B1581,-1+SUMPRODUCT(MAX(ROW(E$2:E1581)*(E1582=E$2:E1581)))))</f>
        <v/>
      </c>
      <c r="J1582" s="24" t="str">
        <f ca="1">IF(OR(E1582="",E1582="!!!",F1582="NEW"),"",COUNTBLANK(OFFSET(A$1,,,SUMPRODUCT(MAX(ROW(E$2:E1582)*(E1582=E$2:E1582)))))-COUNTBLANK(OFFSET(A$1,,,SUMPRODUCT(MAX(ROW(E$1:E1581)*(E2=E$1:E1581))))))</f>
        <v/>
      </c>
      <c r="K1582" s="24" t="str">
        <f>IF(OR(E1582="",E1582="!!!",F1582="NEW"),"",INDEX(J$1:J1581,SUMPRODUCT(MAX(ROW(E$1:E1581)*(E1582=E$1:E1581)))))</f>
        <v/>
      </c>
      <c r="L1582" s="25"/>
    </row>
    <row r="1583" spans="1:12" x14ac:dyDescent="0.3">
      <c r="A1583" t="s">
        <v>484</v>
      </c>
      <c r="E1583" s="20" t="str">
        <f t="shared" si="180"/>
        <v/>
      </c>
      <c r="F1583" s="21" t="str">
        <f>IF(OR(E1583="",E1583="!!!"),"",IF(NOT(ISNA(VLOOKUP(E1583,E$1:E1582,1,FALSE()))),"OLD",IF(AND(E1583&lt;&gt;"",E1583&lt;&gt;"!!!"),"NEW","")))</f>
        <v/>
      </c>
      <c r="G1583" s="22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3" t="str">
        <f t="shared" ca="1" si="181"/>
        <v/>
      </c>
      <c r="I1583" s="24" t="str">
        <f>IF(OR(E1583="",E1583="!!!",F1583="NEW"),"",INDEX(B$2:B1582,-1+SUMPRODUCT(MAX(ROW(E$2:E1582)*(E1583=E$2:E1582)))))</f>
        <v/>
      </c>
      <c r="J1583" s="24" t="str">
        <f ca="1">IF(OR(E1583="",E1583="!!!",F1583="NEW"),"",COUNTBLANK(OFFSET(A$1,,,SUMPRODUCT(MAX(ROW(E$2:E1583)*(E1583=E$2:E1583)))))-COUNTBLANK(OFFSET(A$1,,,SUMPRODUCT(MAX(ROW(E$1:E1582)*(E2=E$1:E1582))))))</f>
        <v/>
      </c>
      <c r="K1583" s="24" t="str">
        <f>IF(OR(E1583="",E1583="!!!",F1583="NEW"),"",INDEX(J$1:J1582,SUMPRODUCT(MAX(ROW(E$1:E1582)*(E1583=E$1:E1582)))))</f>
        <v/>
      </c>
      <c r="L1583" s="25"/>
    </row>
    <row r="1584" spans="1:12" x14ac:dyDescent="0.3">
      <c r="A1584" t="s">
        <v>906</v>
      </c>
      <c r="E1584" s="20" t="str">
        <f t="shared" si="180"/>
        <v/>
      </c>
      <c r="F1584" s="21" t="str">
        <f>IF(OR(E1584="",E1584="!!!"),"",IF(NOT(ISNA(VLOOKUP(E1584,E$1:E1583,1,FALSE()))),"OLD",IF(AND(E1584&lt;&gt;"",E1584&lt;&gt;"!!!"),"NEW","")))</f>
        <v/>
      </c>
      <c r="G1584" s="22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3" t="str">
        <f t="shared" ca="1" si="181"/>
        <v/>
      </c>
      <c r="I1584" s="24" t="str">
        <f>IF(OR(E1584="",E1584="!!!",F1584="NEW"),"",INDEX(B$2:B1583,-1+SUMPRODUCT(MAX(ROW(E$2:E1583)*(E1584=E$2:E1583)))))</f>
        <v/>
      </c>
      <c r="J1584" s="24" t="str">
        <f ca="1">IF(OR(E1584="",E1584="!!!",F1584="NEW"),"",COUNTBLANK(OFFSET(A$1,,,SUMPRODUCT(MAX(ROW(E$2:E1584)*(E1584=E$2:E1584)))))-COUNTBLANK(OFFSET(A$1,,,SUMPRODUCT(MAX(ROW(E$1:E1583)*(E2=E$1:E1583))))))</f>
        <v/>
      </c>
      <c r="K1584" s="24" t="str">
        <f>IF(OR(E1584="",E1584="!!!",F1584="NEW"),"",INDEX(J$1:J1583,SUMPRODUCT(MAX(ROW(E$1:E1583)*(E1584=E$1:E1583)))))</f>
        <v/>
      </c>
      <c r="L1584" s="25"/>
    </row>
    <row r="1585" spans="1:12" x14ac:dyDescent="0.3">
      <c r="A1585" t="s">
        <v>410</v>
      </c>
      <c r="E1585" s="20" t="str">
        <f t="shared" si="180"/>
        <v/>
      </c>
      <c r="F1585" s="21" t="str">
        <f>IF(OR(E1585="",E1585="!!!"),"",IF(NOT(ISNA(VLOOKUP(E1585,E$1:E1584,1,FALSE()))),"OLD",IF(AND(E1585&lt;&gt;"",E1585&lt;&gt;"!!!"),"NEW","")))</f>
        <v/>
      </c>
      <c r="G1585" s="22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3" t="str">
        <f t="shared" ca="1" si="181"/>
        <v/>
      </c>
      <c r="I1585" s="24" t="str">
        <f>IF(OR(E1585="",E1585="!!!",F1585="NEW"),"",INDEX(B$2:B1584,-1+SUMPRODUCT(MAX(ROW(E$2:E1584)*(E1585=E$2:E1584)))))</f>
        <v/>
      </c>
      <c r="J1585" s="24" t="str">
        <f ca="1">IF(OR(E1585="",E1585="!!!",F1585="NEW"),"",COUNTBLANK(OFFSET(A$1,,,SUMPRODUCT(MAX(ROW(E$2:E1585)*(E1585=E$2:E1585)))))-COUNTBLANK(OFFSET(A$1,,,SUMPRODUCT(MAX(ROW(E$1:E1584)*(E2=E$1:E1584))))))</f>
        <v/>
      </c>
      <c r="K1585" s="24" t="str">
        <f>IF(OR(E1585="",E1585="!!!",F1585="NEW"),"",INDEX(J$1:J1584,SUMPRODUCT(MAX(ROW(E$1:E1584)*(E1585=E$1:E1584)))))</f>
        <v/>
      </c>
      <c r="L1585" s="25"/>
    </row>
    <row r="1586" spans="1:12" x14ac:dyDescent="0.3">
      <c r="A1586" t="s">
        <v>340</v>
      </c>
      <c r="B1586" s="26" t="s">
        <v>354</v>
      </c>
      <c r="C1586" s="26" t="s">
        <v>341</v>
      </c>
      <c r="D1586" s="26" t="s">
        <v>332</v>
      </c>
      <c r="E1586" s="20" t="str">
        <f t="shared" si="180"/>
        <v>!!!</v>
      </c>
      <c r="F1586" s="21" t="str">
        <f>IF(OR(E1586="",E1586="!!!"),"",IF(NOT(ISNA(VLOOKUP(E1586,E$1:E1585,1,FALSE()))),"OLD",IF(AND(E1586&lt;&gt;"",E1586&lt;&gt;"!!!"),"NEW","")))</f>
        <v/>
      </c>
      <c r="G1586" s="22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3" t="str">
        <f t="shared" ca="1" si="181"/>
        <v/>
      </c>
      <c r="I1586" s="24" t="str">
        <f>IF(OR(E1586="",E1586="!!!",F1586="NEW"),"",INDEX(B$2:B1585,-1+SUMPRODUCT(MAX(ROW(E$2:E1585)*(E1586=E$2:E1585)))))</f>
        <v/>
      </c>
      <c r="J1586" s="24" t="str">
        <f ca="1">IF(OR(E1586="",E1586="!!!",F1586="NEW"),"",COUNTBLANK(OFFSET(A$1,,,SUMPRODUCT(MAX(ROW(E$2:E1586)*(E1586=E$2:E1586)))))-COUNTBLANK(OFFSET(A$1,,,SUMPRODUCT(MAX(ROW(E$1:E1585)*(E2=E$1:E1585))))))</f>
        <v/>
      </c>
      <c r="K1586" s="24" t="str">
        <f>IF(OR(E1586="",E1586="!!!",F1586="NEW"),"",INDEX(J$1:J1585,SUMPRODUCT(MAX(ROW(E$1:E1585)*(E1586=E$1:E1585)))))</f>
        <v/>
      </c>
      <c r="L1586" s="25"/>
    </row>
    <row r="1587" spans="1:12" x14ac:dyDescent="0.3">
      <c r="A1587" t="s">
        <v>759</v>
      </c>
      <c r="E1587" s="20" t="str">
        <f t="shared" si="180"/>
        <v/>
      </c>
      <c r="F1587" s="21" t="str">
        <f>IF(OR(E1587="",E1587="!!!"),"",IF(NOT(ISNA(VLOOKUP(E1587,E$1:E1586,1,FALSE()))),"OLD",IF(AND(E1587&lt;&gt;"",E1587&lt;&gt;"!!!"),"NEW","")))</f>
        <v/>
      </c>
      <c r="G1587" s="22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/>
      </c>
      <c r="H1587" s="23" t="str">
        <f t="shared" ca="1" si="181"/>
        <v/>
      </c>
      <c r="I1587" s="24" t="str">
        <f>IF(OR(E1587="",E1587="!!!",F1587="NEW"),"",INDEX(B$2:B1586,-1+SUMPRODUCT(MAX(ROW(E$2:E1586)*(E1587=E$2:E1586)))))</f>
        <v/>
      </c>
      <c r="J1587" s="24" t="str">
        <f ca="1">IF(OR(E1587="",E1587="!!!",F1587="NEW"),"",COUNTBLANK(OFFSET(A$1,,,SUMPRODUCT(MAX(ROW(E$2:E1587)*(E1587=E$2:E1587)))))-COUNTBLANK(OFFSET(A$1,,,SUMPRODUCT(MAX(ROW(E$1:E1586)*(E2=E$1:E1586))))))</f>
        <v/>
      </c>
      <c r="K1587" s="24" t="str">
        <f>IF(OR(E1587="",E1587="!!!",F1587="NEW"),"",INDEX(J$1:J1586,SUMPRODUCT(MAX(ROW(E$1:E1586)*(E1587=E$1:E1586)))))</f>
        <v/>
      </c>
      <c r="L1587" s="25"/>
    </row>
    <row r="1588" spans="1:12" x14ac:dyDescent="0.3">
      <c r="A1588" t="s">
        <v>399</v>
      </c>
      <c r="E1588" s="20" t="str">
        <f t="shared" si="180"/>
        <v/>
      </c>
      <c r="F1588" s="21" t="str">
        <f>IF(OR(E1588="",E1588="!!!"),"",IF(NOT(ISNA(VLOOKUP(E1588,E$1:E1587,1,FALSE()))),"OLD",IF(AND(E1588&lt;&gt;"",E1588&lt;&gt;"!!!"),"NEW","")))</f>
        <v/>
      </c>
      <c r="G1588" s="22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3" t="str">
        <f t="shared" ca="1" si="181"/>
        <v/>
      </c>
      <c r="I1588" s="24" t="str">
        <f>IF(OR(E1588="",E1588="!!!",F1588="NEW"),"",INDEX(B$2:B1587,-1+SUMPRODUCT(MAX(ROW(E$2:E1587)*(E1588=E$2:E1587)))))</f>
        <v/>
      </c>
      <c r="J1588" s="24" t="str">
        <f ca="1">IF(OR(E1588="",E1588="!!!",F1588="NEW"),"",COUNTBLANK(OFFSET(A$1,,,SUMPRODUCT(MAX(ROW(E$2:E1588)*(E1588=E$2:E1588)))))-COUNTBLANK(OFFSET(A$1,,,SUMPRODUCT(MAX(ROW(E$1:E1587)*(E2=E$1:E1587))))))</f>
        <v/>
      </c>
      <c r="K1588" s="24" t="str">
        <f>IF(OR(E1588="",E1588="!!!",F1588="NEW"),"",INDEX(J$1:J1587,SUMPRODUCT(MAX(ROW(E$1:E1587)*(E1588=E$1:E1587)))))</f>
        <v/>
      </c>
      <c r="L1588" s="25"/>
    </row>
    <row r="1589" spans="1:12" x14ac:dyDescent="0.3">
      <c r="A1589" t="s">
        <v>979</v>
      </c>
      <c r="B1589" s="26" t="s">
        <v>357</v>
      </c>
      <c r="C1589" s="26" t="s">
        <v>331</v>
      </c>
      <c r="D1589" s="26" t="s">
        <v>332</v>
      </c>
      <c r="E1589" s="20" t="str">
        <f t="shared" si="180"/>
        <v>!!!</v>
      </c>
      <c r="F1589" s="21" t="str">
        <f>IF(OR(E1589="",E1589="!!!"),"",IF(NOT(ISNA(VLOOKUP(E1589,E$1:E1588,1,FALSE()))),"OLD",IF(AND(E1589&lt;&gt;"",E1589&lt;&gt;"!!!"),"NEW","")))</f>
        <v/>
      </c>
      <c r="G1589" s="22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3" t="str">
        <f t="shared" ca="1" si="181"/>
        <v/>
      </c>
      <c r="I1589" s="24" t="str">
        <f>IF(OR(E1589="",E1589="!!!",F1589="NEW"),"",INDEX(B$2:B1588,-1+SUMPRODUCT(MAX(ROW(E$2:E1588)*(E1589=E$2:E1588)))))</f>
        <v/>
      </c>
      <c r="J1589" s="24" t="str">
        <f ca="1">IF(OR(E1589="",E1589="!!!",F1589="NEW"),"",COUNTBLANK(OFFSET(A$1,,,SUMPRODUCT(MAX(ROW(E$2:E1589)*(E1589=E$2:E1589)))))-COUNTBLANK(OFFSET(A$1,,,SUMPRODUCT(MAX(ROW(E$1:E1588)*(E2=E$1:E1588))))))</f>
        <v/>
      </c>
      <c r="K1589" s="24" t="str">
        <f>IF(OR(E1589="",E1589="!!!",F1589="NEW"),"",INDEX(J$1:J1588,SUMPRODUCT(MAX(ROW(E$1:E1588)*(E1589=E$1:E1588)))))</f>
        <v/>
      </c>
      <c r="L1589" s="25"/>
    </row>
    <row r="1590" spans="1:12" x14ac:dyDescent="0.3">
      <c r="A1590" t="s">
        <v>338</v>
      </c>
      <c r="E1590" s="20" t="str">
        <f t="shared" si="180"/>
        <v/>
      </c>
      <c r="F1590" s="21" t="str">
        <f>IF(OR(E1590="",E1590="!!!"),"",IF(NOT(ISNA(VLOOKUP(E1590,E$1:E1589,1,FALSE()))),"OLD",IF(AND(E1590&lt;&gt;"",E1590&lt;&gt;"!!!"),"NEW","")))</f>
        <v/>
      </c>
      <c r="G1590" s="22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3" t="str">
        <f t="shared" ca="1" si="181"/>
        <v/>
      </c>
      <c r="I1590" s="24" t="str">
        <f>IF(OR(E1590="",E1590="!!!",F1590="NEW"),"",INDEX(B$2:B1589,-1+SUMPRODUCT(MAX(ROW(E$2:E1589)*(E1590=E$2:E1589)))))</f>
        <v/>
      </c>
      <c r="J1590" s="24" t="str">
        <f ca="1">IF(OR(E1590="",E1590="!!!",F1590="NEW"),"",COUNTBLANK(OFFSET(A$1,,,SUMPRODUCT(MAX(ROW(E$2:E1590)*(E1590=E$2:E1590)))))-COUNTBLANK(OFFSET(A$1,,,SUMPRODUCT(MAX(ROW(E$1:E1589)*(E2=E$1:E1589))))))</f>
        <v/>
      </c>
      <c r="K1590" s="24" t="str">
        <f>IF(OR(E1590="",E1590="!!!",F1590="NEW"),"",INDEX(J$1:J1589,SUMPRODUCT(MAX(ROW(E$1:E1589)*(E1590=E$1:E1589)))))</f>
        <v/>
      </c>
      <c r="L1590" s="25"/>
    </row>
    <row r="1592" spans="1:12" x14ac:dyDescent="0.3">
      <c r="A1592" t="s">
        <v>1009</v>
      </c>
    </row>
    <row r="1593" spans="1:12" x14ac:dyDescent="0.3">
      <c r="A1593" t="s">
        <v>527</v>
      </c>
      <c r="E1593" s="20" t="str">
        <f t="shared" ref="E1593:E1600" si="182">IF(D1593="?OLD","!!!","")</f>
        <v/>
      </c>
      <c r="F1593" s="21" t="str">
        <f>IF(OR(E1593="",E1593="!!!"),"",IF(NOT(ISNA(VLOOKUP(E1593,E$1:E1592,1,FALSE()))),"OLD",IF(AND(E1593&lt;&gt;"",E1593&lt;&gt;"!!!"),"NEW","")))</f>
        <v/>
      </c>
      <c r="G1593" s="22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3" t="str">
        <f t="shared" ref="H1593:H1600" ca="1" si="183">IF(J1593&lt;&gt;1,"",IF(I1593="SBJ","CB","?"))</f>
        <v/>
      </c>
      <c r="I1593" s="24" t="str">
        <f>IF(OR(E1593="",E1593="!!!",F1593="NEW"),"",INDEX(B$2:B1592,-1+SUMPRODUCT(MAX(ROW(E$2:E1592)*(E1593=E$2:E1592)))))</f>
        <v/>
      </c>
      <c r="J1593" s="24" t="str">
        <f ca="1">IF(OR(E1593="",E1593="!!!",F1593="NEW"),"",COUNTBLANK(OFFSET(A$1,,,SUMPRODUCT(MAX(ROW(E$2:E1593)*(E1593=E$2:E1593)))))-COUNTBLANK(OFFSET(A$1,,,SUMPRODUCT(MAX(ROW(E$1:E1592)*(E2=E$1:E1592))))))</f>
        <v/>
      </c>
      <c r="K1593" s="24" t="str">
        <f>IF(OR(E1593="",E1593="!!!",F1593="NEW"),"",INDEX(J$1:J1592,SUMPRODUCT(MAX(ROW(E$1:E1592)*(E1593=E$1:E1592)))))</f>
        <v/>
      </c>
      <c r="L1593" s="25"/>
    </row>
    <row r="1594" spans="1:12" x14ac:dyDescent="0.3">
      <c r="A1594" t="s">
        <v>528</v>
      </c>
      <c r="B1594" s="26" t="s">
        <v>337</v>
      </c>
      <c r="C1594" s="26" t="s">
        <v>355</v>
      </c>
      <c r="E1594" s="20" t="str">
        <f t="shared" si="182"/>
        <v/>
      </c>
      <c r="F1594" s="21" t="str">
        <f>IF(OR(E1594="",E1594="!!!"),"",IF(NOT(ISNA(VLOOKUP(E1594,E$1:E1593,1,FALSE()))),"OLD",IF(AND(E1594&lt;&gt;"",E1594&lt;&gt;"!!!"),"NEW","")))</f>
        <v/>
      </c>
      <c r="G1594" s="22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3" t="str">
        <f t="shared" ca="1" si="183"/>
        <v/>
      </c>
      <c r="I1594" s="24" t="str">
        <f>IF(OR(E1594="",E1594="!!!",F1594="NEW"),"",INDEX(B$2:B1593,-1+SUMPRODUCT(MAX(ROW(E$2:E1593)*(E1594=E$2:E1593)))))</f>
        <v/>
      </c>
      <c r="J1594" s="24" t="str">
        <f ca="1">IF(OR(E1594="",E1594="!!!",F1594="NEW"),"",COUNTBLANK(OFFSET(A$1,,,SUMPRODUCT(MAX(ROW(E$2:E1594)*(E1594=E$2:E1594)))))-COUNTBLANK(OFFSET(A$1,,,SUMPRODUCT(MAX(ROW(E$1:E1593)*(E2=E$1:E1593))))))</f>
        <v/>
      </c>
      <c r="K1594" s="24" t="str">
        <f>IF(OR(E1594="",E1594="!!!",F1594="NEW"),"",INDEX(J$1:J1593,SUMPRODUCT(MAX(ROW(E$1:E1593)*(E1594=E$1:E1593)))))</f>
        <v/>
      </c>
      <c r="L1594" s="25"/>
    </row>
    <row r="1595" spans="1:12" x14ac:dyDescent="0.3">
      <c r="A1595" t="s">
        <v>529</v>
      </c>
      <c r="E1595" s="20" t="str">
        <f t="shared" si="182"/>
        <v/>
      </c>
      <c r="F1595" s="21" t="str">
        <f>IF(OR(E1595="",E1595="!!!"),"",IF(NOT(ISNA(VLOOKUP(E1595,E$1:E1594,1,FALSE()))),"OLD",IF(AND(E1595&lt;&gt;"",E1595&lt;&gt;"!!!"),"NEW","")))</f>
        <v/>
      </c>
      <c r="G1595" s="22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/>
      </c>
      <c r="H1595" s="23" t="str">
        <f t="shared" ca="1" si="183"/>
        <v/>
      </c>
      <c r="I1595" s="24" t="str">
        <f>IF(OR(E1595="",E1595="!!!",F1595="NEW"),"",INDEX(B$2:B1594,-1+SUMPRODUCT(MAX(ROW(E$2:E1594)*(E1595=E$2:E1594)))))</f>
        <v/>
      </c>
      <c r="J1595" s="24" t="str">
        <f ca="1">IF(OR(E1595="",E1595="!!!",F1595="NEW"),"",COUNTBLANK(OFFSET(A$1,,,SUMPRODUCT(MAX(ROW(E$2:E1595)*(E1595=E$2:E1595)))))-COUNTBLANK(OFFSET(A$1,,,SUMPRODUCT(MAX(ROW(E$1:E1594)*(E2=E$1:E1594))))))</f>
        <v/>
      </c>
      <c r="K1595" s="24" t="str">
        <f>IF(OR(E1595="",E1595="!!!",F1595="NEW"),"",INDEX(J$1:J1594,SUMPRODUCT(MAX(ROW(E$1:E1594)*(E1595=E$1:E1594)))))</f>
        <v/>
      </c>
      <c r="L1595" s="25"/>
    </row>
    <row r="1596" spans="1:12" x14ac:dyDescent="0.3">
      <c r="A1596" t="s">
        <v>1010</v>
      </c>
      <c r="E1596" s="20" t="str">
        <f t="shared" si="182"/>
        <v/>
      </c>
      <c r="F1596" s="21" t="str">
        <f>IF(OR(E1596="",E1596="!!!"),"",IF(NOT(ISNA(VLOOKUP(E1596,E$1:E1595,1,FALSE()))),"OLD",IF(AND(E1596&lt;&gt;"",E1596&lt;&gt;"!!!"),"NEW","")))</f>
        <v/>
      </c>
      <c r="G1596" s="22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3" t="str">
        <f t="shared" ca="1" si="183"/>
        <v/>
      </c>
      <c r="I1596" s="24" t="str">
        <f>IF(OR(E1596="",E1596="!!!",F1596="NEW"),"",INDEX(B$2:B1595,-1+SUMPRODUCT(MAX(ROW(E$2:E1595)*(E1596=E$2:E1595)))))</f>
        <v/>
      </c>
      <c r="J1596" s="24" t="str">
        <f ca="1">IF(OR(E1596="",E1596="!!!",F1596="NEW"),"",COUNTBLANK(OFFSET(A$1,,,SUMPRODUCT(MAX(ROW(E$2:E1596)*(E1596=E$2:E1596)))))-COUNTBLANK(OFFSET(A$1,,,SUMPRODUCT(MAX(ROW(E$1:E1595)*(E2=E$1:E1595))))))</f>
        <v/>
      </c>
      <c r="K1596" s="24" t="str">
        <f>IF(OR(E1596="",E1596="!!!",F1596="NEW"),"",INDEX(J$1:J1595,SUMPRODUCT(MAX(ROW(E$1:E1595)*(E1596=E$1:E1595)))))</f>
        <v/>
      </c>
      <c r="L1596" s="25"/>
    </row>
    <row r="1597" spans="1:12" x14ac:dyDescent="0.3">
      <c r="A1597" t="s">
        <v>1011</v>
      </c>
      <c r="E1597" s="20" t="str">
        <f t="shared" si="182"/>
        <v/>
      </c>
      <c r="F1597" s="21" t="str">
        <f>IF(OR(E1597="",E1597="!!!"),"",IF(NOT(ISNA(VLOOKUP(E1597,E$1:E1596,1,FALSE()))),"OLD",IF(AND(E1597&lt;&gt;"",E1597&lt;&gt;"!!!"),"NEW","")))</f>
        <v/>
      </c>
      <c r="G1597" s="22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/>
      </c>
      <c r="H1597" s="23" t="str">
        <f t="shared" ca="1" si="183"/>
        <v/>
      </c>
      <c r="I1597" s="24" t="str">
        <f>IF(OR(E1597="",E1597="!!!",F1597="NEW"),"",INDEX(B$2:B1596,-1+SUMPRODUCT(MAX(ROW(E$2:E1596)*(E1597=E$2:E1596)))))</f>
        <v/>
      </c>
      <c r="J1597" s="24" t="str">
        <f ca="1">IF(OR(E1597="",E1597="!!!",F1597="NEW"),"",COUNTBLANK(OFFSET(A$1,,,SUMPRODUCT(MAX(ROW(E$2:E1597)*(E1597=E$2:E1597)))))-COUNTBLANK(OFFSET(A$1,,,SUMPRODUCT(MAX(ROW(E$1:E1596)*(E2=E$1:E1596))))))</f>
        <v/>
      </c>
      <c r="K1597" s="24" t="str">
        <f>IF(OR(E1597="",E1597="!!!",F1597="NEW"),"",INDEX(J$1:J1596,SUMPRODUCT(MAX(ROW(E$1:E1596)*(E1597=E$1:E1596)))))</f>
        <v/>
      </c>
      <c r="L1597" s="25"/>
    </row>
    <row r="1598" spans="1:12" x14ac:dyDescent="0.3">
      <c r="A1598" t="s">
        <v>1012</v>
      </c>
      <c r="B1598" s="26" t="s">
        <v>337</v>
      </c>
      <c r="C1598" s="26" t="s">
        <v>544</v>
      </c>
      <c r="E1598" s="20" t="str">
        <f t="shared" si="182"/>
        <v/>
      </c>
      <c r="F1598" s="21" t="str">
        <f>IF(OR(E1598="",E1598="!!!"),"",IF(NOT(ISNA(VLOOKUP(E1598,E$1:E1597,1,FALSE()))),"OLD",IF(AND(E1598&lt;&gt;"",E1598&lt;&gt;"!!!"),"NEW","")))</f>
        <v/>
      </c>
      <c r="G1598" s="22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3" t="str">
        <f t="shared" ca="1" si="183"/>
        <v/>
      </c>
      <c r="I1598" s="24" t="str">
        <f>IF(OR(E1598="",E1598="!!!",F1598="NEW"),"",INDEX(B$2:B1597,-1+SUMPRODUCT(MAX(ROW(E$2:E1597)*(E1598=E$2:E1597)))))</f>
        <v/>
      </c>
      <c r="J1598" s="24" t="str">
        <f ca="1">IF(OR(E1598="",E1598="!!!",F1598="NEW"),"",COUNTBLANK(OFFSET(A$1,,,SUMPRODUCT(MAX(ROW(E$2:E1598)*(E1598=E$2:E1598)))))-COUNTBLANK(OFFSET(A$1,,,SUMPRODUCT(MAX(ROW(E$1:E1597)*(E2=E$1:E1597))))))</f>
        <v/>
      </c>
      <c r="K1598" s="24" t="str">
        <f>IF(OR(E1598="",E1598="!!!",F1598="NEW"),"",INDEX(J$1:J1597,SUMPRODUCT(MAX(ROW(E$1:E1597)*(E1598=E$1:E1597)))))</f>
        <v/>
      </c>
      <c r="L1598" s="25"/>
    </row>
    <row r="1599" spans="1:12" x14ac:dyDescent="0.3">
      <c r="A1599" t="s">
        <v>979</v>
      </c>
      <c r="B1599" s="26" t="s">
        <v>344</v>
      </c>
      <c r="C1599" s="26" t="s">
        <v>355</v>
      </c>
      <c r="E1599" s="20" t="str">
        <f t="shared" si="182"/>
        <v/>
      </c>
      <c r="F1599" s="21" t="str">
        <f>IF(OR(E1599="",E1599="!!!"),"",IF(NOT(ISNA(VLOOKUP(E1599,E$1:E1598,1,FALSE()))),"OLD",IF(AND(E1599&lt;&gt;"",E1599&lt;&gt;"!!!"),"NEW","")))</f>
        <v/>
      </c>
      <c r="G1599" s="22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3" t="str">
        <f t="shared" ca="1" si="183"/>
        <v/>
      </c>
      <c r="I1599" s="24" t="str">
        <f>IF(OR(E1599="",E1599="!!!",F1599="NEW"),"",INDEX(B$2:B1598,-1+SUMPRODUCT(MAX(ROW(E$2:E1598)*(E1599=E$2:E1598)))))</f>
        <v/>
      </c>
      <c r="J1599" s="24" t="str">
        <f ca="1">IF(OR(E1599="",E1599="!!!",F1599="NEW"),"",COUNTBLANK(OFFSET(A$1,,,SUMPRODUCT(MAX(ROW(E$2:E1599)*(E1599=E$2:E1599)))))-COUNTBLANK(OFFSET(A$1,,,SUMPRODUCT(MAX(ROW(E$1:E1598)*(E2=E$1:E1598))))))</f>
        <v/>
      </c>
      <c r="K1599" s="24" t="str">
        <f>IF(OR(E1599="",E1599="!!!",F1599="NEW"),"",INDEX(J$1:J1598,SUMPRODUCT(MAX(ROW(E$1:E1598)*(E1599=E$1:E1598)))))</f>
        <v/>
      </c>
      <c r="L1599" s="25"/>
    </row>
    <row r="1600" spans="1:12" x14ac:dyDescent="0.3">
      <c r="A1600" t="s">
        <v>338</v>
      </c>
      <c r="E1600" s="20" t="str">
        <f t="shared" si="182"/>
        <v/>
      </c>
      <c r="F1600" s="21" t="str">
        <f>IF(OR(E1600="",E1600="!!!"),"",IF(NOT(ISNA(VLOOKUP(E1600,E$1:E1599,1,FALSE()))),"OLD",IF(AND(E1600&lt;&gt;"",E1600&lt;&gt;"!!!"),"NEW","")))</f>
        <v/>
      </c>
      <c r="G1600" s="22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3" t="str">
        <f t="shared" ca="1" si="183"/>
        <v/>
      </c>
      <c r="I1600" s="24" t="str">
        <f>IF(OR(E1600="",E1600="!!!",F1600="NEW"),"",INDEX(B$2:B1599,-1+SUMPRODUCT(MAX(ROW(E$2:E1599)*(E1600=E$2:E1599)))))</f>
        <v/>
      </c>
      <c r="J1600" s="24" t="str">
        <f ca="1">IF(OR(E1600="",E1600="!!!",F1600="NEW"),"",COUNTBLANK(OFFSET(A$1,,,SUMPRODUCT(MAX(ROW(E$2:E1600)*(E1600=E$2:E1600)))))-COUNTBLANK(OFFSET(A$1,,,SUMPRODUCT(MAX(ROW(E$1:E1599)*(E2=E$1:E1599))))))</f>
        <v/>
      </c>
      <c r="K1600" s="24" t="str">
        <f>IF(OR(E1600="",E1600="!!!",F1600="NEW"),"",INDEX(J$1:J1599,SUMPRODUCT(MAX(ROW(E$1:E1599)*(E1600=E$1:E1599)))))</f>
        <v/>
      </c>
      <c r="L1600" s="25"/>
    </row>
    <row r="1602" spans="1:12" x14ac:dyDescent="0.3">
      <c r="A1602" t="s">
        <v>1013</v>
      </c>
    </row>
    <row r="1603" spans="1:12" x14ac:dyDescent="0.3">
      <c r="A1603" t="s">
        <v>424</v>
      </c>
      <c r="B1603" s="26" t="s">
        <v>330</v>
      </c>
      <c r="C1603" s="26" t="s">
        <v>341</v>
      </c>
      <c r="D1603" s="26" t="s">
        <v>332</v>
      </c>
      <c r="E1603" s="20" t="str">
        <f t="shared" ref="E1603:E1609" si="184">IF(D1603="?OLD","!!!","")</f>
        <v>!!!</v>
      </c>
      <c r="F1603" s="21" t="str">
        <f>IF(OR(E1603="",E1603="!!!"),"",IF(NOT(ISNA(VLOOKUP(E1603,E$1:E1602,1,FALSE()))),"OLD",IF(AND(E1603&lt;&gt;"",E1603&lt;&gt;"!!!"),"NEW","")))</f>
        <v/>
      </c>
      <c r="G1603" s="22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3" t="str">
        <f t="shared" ref="H1603:H1609" ca="1" si="185">IF(J1603&lt;&gt;1,"",IF(I1603="SBJ","CB","?"))</f>
        <v/>
      </c>
      <c r="I1603" s="24" t="str">
        <f>IF(OR(E1603="",E1603="!!!",F1603="NEW"),"",INDEX(B$2:B1602,-1+SUMPRODUCT(MAX(ROW(E$2:E1602)*(E1603=E$2:E1602)))))</f>
        <v/>
      </c>
      <c r="J1603" s="24" t="str">
        <f ca="1">IF(OR(E1603="",E1603="!!!",F1603="NEW"),"",COUNTBLANK(OFFSET(A$1,,,SUMPRODUCT(MAX(ROW(E$2:E1603)*(E1603=E$2:E1603)))))-COUNTBLANK(OFFSET(A$1,,,SUMPRODUCT(MAX(ROW(E$1:E1602)*(E2=E$1:E1602))))))</f>
        <v/>
      </c>
      <c r="K1603" s="24" t="str">
        <f>IF(OR(E1603="",E1603="!!!",F1603="NEW"),"",INDEX(J$1:J1602,SUMPRODUCT(MAX(ROW(E$1:E1602)*(E1603=E$1:E1602)))))</f>
        <v/>
      </c>
      <c r="L1603" s="25"/>
    </row>
    <row r="1604" spans="1:12" x14ac:dyDescent="0.3">
      <c r="A1604" t="s">
        <v>377</v>
      </c>
      <c r="B1604" s="26" t="s">
        <v>337</v>
      </c>
      <c r="C1604" s="26" t="s">
        <v>379</v>
      </c>
      <c r="D1604" s="26" t="s">
        <v>332</v>
      </c>
      <c r="E1604" s="20" t="str">
        <f t="shared" si="184"/>
        <v>!!!</v>
      </c>
      <c r="F1604" s="21" t="str">
        <f>IF(OR(E1604="",E1604="!!!"),"",IF(NOT(ISNA(VLOOKUP(E1604,E$1:E1603,1,FALSE()))),"OLD",IF(AND(E1604&lt;&gt;"",E1604&lt;&gt;"!!!"),"NEW","")))</f>
        <v/>
      </c>
      <c r="G1604" s="22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3" t="str">
        <f t="shared" ca="1" si="185"/>
        <v/>
      </c>
      <c r="I1604" s="24" t="str">
        <f>IF(OR(E1604="",E1604="!!!",F1604="NEW"),"",INDEX(B$2:B1603,-1+SUMPRODUCT(MAX(ROW(E$2:E1603)*(E1604=E$2:E1603)))))</f>
        <v/>
      </c>
      <c r="J1604" s="24" t="str">
        <f ca="1">IF(OR(E1604="",E1604="!!!",F1604="NEW"),"",COUNTBLANK(OFFSET(A$1,,,SUMPRODUCT(MAX(ROW(E$2:E1604)*(E1604=E$2:E1604)))))-COUNTBLANK(OFFSET(A$1,,,SUMPRODUCT(MAX(ROW(E$1:E1603)*(E2=E$1:E1603))))))</f>
        <v/>
      </c>
      <c r="K1604" s="24" t="str">
        <f>IF(OR(E1604="",E1604="!!!",F1604="NEW"),"",INDEX(J$1:J1603,SUMPRODUCT(MAX(ROW(E$1:E1603)*(E1604=E$1:E1603)))))</f>
        <v/>
      </c>
      <c r="L1604" s="25"/>
    </row>
    <row r="1605" spans="1:12" x14ac:dyDescent="0.3">
      <c r="A1605" t="s">
        <v>351</v>
      </c>
      <c r="E1605" s="20" t="str">
        <f t="shared" si="184"/>
        <v/>
      </c>
      <c r="F1605" s="21" t="str">
        <f>IF(OR(E1605="",E1605="!!!"),"",IF(NOT(ISNA(VLOOKUP(E1605,E$1:E1604,1,FALSE()))),"OLD",IF(AND(E1605&lt;&gt;"",E1605&lt;&gt;"!!!"),"NEW","")))</f>
        <v/>
      </c>
      <c r="G1605" s="22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3" t="str">
        <f t="shared" ca="1" si="185"/>
        <v/>
      </c>
      <c r="I1605" s="24" t="str">
        <f>IF(OR(E1605="",E1605="!!!",F1605="NEW"),"",INDEX(B$2:B1604,-1+SUMPRODUCT(MAX(ROW(E$2:E1604)*(E1605=E$2:E1604)))))</f>
        <v/>
      </c>
      <c r="J1605" s="24" t="str">
        <f ca="1">IF(OR(E1605="",E1605="!!!",F1605="NEW"),"",COUNTBLANK(OFFSET(A$1,,,SUMPRODUCT(MAX(ROW(E$2:E1605)*(E1605=E$2:E1605)))))-COUNTBLANK(OFFSET(A$1,,,SUMPRODUCT(MAX(ROW(E$1:E1604)*(E2=E$1:E1604))))))</f>
        <v/>
      </c>
      <c r="K1605" s="24" t="str">
        <f>IF(OR(E1605="",E1605="!!!",F1605="NEW"),"",INDEX(J$1:J1604,SUMPRODUCT(MAX(ROW(E$1:E1604)*(E1605=E$1:E1604)))))</f>
        <v/>
      </c>
      <c r="L1605" s="25"/>
    </row>
    <row r="1606" spans="1:12" x14ac:dyDescent="0.3">
      <c r="A1606" t="s">
        <v>345</v>
      </c>
      <c r="E1606" s="20" t="str">
        <f t="shared" si="184"/>
        <v/>
      </c>
      <c r="F1606" s="21" t="str">
        <f>IF(OR(E1606="",E1606="!!!"),"",IF(NOT(ISNA(VLOOKUP(E1606,E$1:E1605,1,FALSE()))),"OLD",IF(AND(E1606&lt;&gt;"",E1606&lt;&gt;"!!!"),"NEW","")))</f>
        <v/>
      </c>
      <c r="G1606" s="22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/>
      </c>
      <c r="H1606" s="23" t="str">
        <f t="shared" ca="1" si="185"/>
        <v/>
      </c>
      <c r="I1606" s="24" t="str">
        <f>IF(OR(E1606="",E1606="!!!",F1606="NEW"),"",INDEX(B$2:B1605,-1+SUMPRODUCT(MAX(ROW(E$2:E1605)*(E1606=E$2:E1605)))))</f>
        <v/>
      </c>
      <c r="J1606" s="24" t="str">
        <f ca="1">IF(OR(E1606="",E1606="!!!",F1606="NEW"),"",COUNTBLANK(OFFSET(A$1,,,SUMPRODUCT(MAX(ROW(E$2:E1606)*(E1606=E$2:E1606)))))-COUNTBLANK(OFFSET(A$1,,,SUMPRODUCT(MAX(ROW(E$1:E1605)*(E2=E$1:E1605))))))</f>
        <v/>
      </c>
      <c r="K1606" s="24" t="str">
        <f>IF(OR(E1606="",E1606="!!!",F1606="NEW"),"",INDEX(J$1:J1605,SUMPRODUCT(MAX(ROW(E$1:E1605)*(E1606=E$1:E1605)))))</f>
        <v/>
      </c>
      <c r="L1606" s="25"/>
    </row>
    <row r="1607" spans="1:12" x14ac:dyDescent="0.3">
      <c r="A1607" t="s">
        <v>1014</v>
      </c>
      <c r="B1607" s="26" t="s">
        <v>378</v>
      </c>
      <c r="C1607" s="26" t="s">
        <v>438</v>
      </c>
      <c r="D1607" s="26" t="s">
        <v>332</v>
      </c>
      <c r="E1607" s="20" t="str">
        <f t="shared" si="184"/>
        <v>!!!</v>
      </c>
      <c r="F1607" s="21" t="str">
        <f>IF(OR(E1607="",E1607="!!!"),"",IF(NOT(ISNA(VLOOKUP(E1607,E$1:E1606,1,FALSE()))),"OLD",IF(AND(E1607&lt;&gt;"",E1607&lt;&gt;"!!!"),"NEW","")))</f>
        <v/>
      </c>
      <c r="G1607" s="22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3" t="str">
        <f t="shared" ca="1" si="185"/>
        <v/>
      </c>
      <c r="I1607" s="24" t="str">
        <f>IF(OR(E1607="",E1607="!!!",F1607="NEW"),"",INDEX(B$2:B1606,-1+SUMPRODUCT(MAX(ROW(E$2:E1606)*(E1607=E$2:E1606)))))</f>
        <v/>
      </c>
      <c r="J1607" s="24" t="str">
        <f ca="1">IF(OR(E1607="",E1607="!!!",F1607="NEW"),"",COUNTBLANK(OFFSET(A$1,,,SUMPRODUCT(MAX(ROW(E$2:E1607)*(E1607=E$2:E1607)))))-COUNTBLANK(OFFSET(A$1,,,SUMPRODUCT(MAX(ROW(E$1:E1606)*(E2=E$1:E1606))))))</f>
        <v/>
      </c>
      <c r="K1607" s="24" t="str">
        <f>IF(OR(E1607="",E1607="!!!",F1607="NEW"),"",INDEX(J$1:J1606,SUMPRODUCT(MAX(ROW(E$1:E1606)*(E1607=E$1:E1606)))))</f>
        <v/>
      </c>
      <c r="L1607" s="25"/>
    </row>
    <row r="1608" spans="1:12" x14ac:dyDescent="0.3">
      <c r="A1608" t="s">
        <v>979</v>
      </c>
      <c r="B1608" s="26" t="s">
        <v>337</v>
      </c>
      <c r="C1608" s="26" t="s">
        <v>355</v>
      </c>
      <c r="E1608" s="20" t="str">
        <f t="shared" si="184"/>
        <v/>
      </c>
      <c r="F1608" s="21" t="str">
        <f>IF(OR(E1608="",E1608="!!!"),"",IF(NOT(ISNA(VLOOKUP(E1608,E$1:E1607,1,FALSE()))),"OLD",IF(AND(E1608&lt;&gt;"",E1608&lt;&gt;"!!!"),"NEW","")))</f>
        <v/>
      </c>
      <c r="G1608" s="22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3" t="str">
        <f t="shared" ca="1" si="185"/>
        <v/>
      </c>
      <c r="I1608" s="24" t="str">
        <f>IF(OR(E1608="",E1608="!!!",F1608="NEW"),"",INDEX(B$2:B1607,-1+SUMPRODUCT(MAX(ROW(E$2:E1607)*(E1608=E$2:E1607)))))</f>
        <v/>
      </c>
      <c r="J1608" s="24" t="str">
        <f ca="1">IF(OR(E1608="",E1608="!!!",F1608="NEW"),"",COUNTBLANK(OFFSET(A$1,,,SUMPRODUCT(MAX(ROW(E$2:E1608)*(E1608=E$2:E1608)))))-COUNTBLANK(OFFSET(A$1,,,SUMPRODUCT(MAX(ROW(E$1:E1607)*(E2=E$1:E1607))))))</f>
        <v/>
      </c>
      <c r="K1608" s="24" t="str">
        <f>IF(OR(E1608="",E1608="!!!",F1608="NEW"),"",INDEX(J$1:J1607,SUMPRODUCT(MAX(ROW(E$1:E1607)*(E1608=E$1:E1607)))))</f>
        <v/>
      </c>
      <c r="L1608" s="25"/>
    </row>
    <row r="1609" spans="1:12" x14ac:dyDescent="0.3">
      <c r="A1609" t="s">
        <v>338</v>
      </c>
      <c r="E1609" s="20" t="str">
        <f t="shared" si="184"/>
        <v/>
      </c>
      <c r="F1609" s="21" t="str">
        <f>IF(OR(E1609="",E1609="!!!"),"",IF(NOT(ISNA(VLOOKUP(E1609,E$1:E1608,1,FALSE()))),"OLD",IF(AND(E1609&lt;&gt;"",E1609&lt;&gt;"!!!"),"NEW","")))</f>
        <v/>
      </c>
      <c r="G1609" s="22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3" t="str">
        <f t="shared" ca="1" si="185"/>
        <v/>
      </c>
      <c r="I1609" s="24" t="str">
        <f>IF(OR(E1609="",E1609="!!!",F1609="NEW"),"",INDEX(B$2:B1608,-1+SUMPRODUCT(MAX(ROW(E$2:E1608)*(E1609=E$2:E1608)))))</f>
        <v/>
      </c>
      <c r="J1609" s="24" t="str">
        <f ca="1">IF(OR(E1609="",E1609="!!!",F1609="NEW"),"",COUNTBLANK(OFFSET(A$1,,,SUMPRODUCT(MAX(ROW(E$2:E1609)*(E1609=E$2:E1609)))))-COUNTBLANK(OFFSET(A$1,,,SUMPRODUCT(MAX(ROW(E$1:E1608)*(E2=E$1:E1608))))))</f>
        <v/>
      </c>
      <c r="K1609" s="24" t="str">
        <f>IF(OR(E1609="",E1609="!!!",F1609="NEW"),"",INDEX(J$1:J1608,SUMPRODUCT(MAX(ROW(E$1:E1608)*(E1609=E$1:E1608)))))</f>
        <v/>
      </c>
      <c r="L1609" s="25"/>
    </row>
    <row r="1611" spans="1:12" x14ac:dyDescent="0.3">
      <c r="A1611" t="s">
        <v>1015</v>
      </c>
    </row>
    <row r="1612" spans="1:12" x14ac:dyDescent="0.3">
      <c r="A1612" t="s">
        <v>1016</v>
      </c>
      <c r="E1612" s="20" t="str">
        <f t="shared" ref="E1612:E1619" si="186">IF(D1612="?OLD","!!!","")</f>
        <v/>
      </c>
      <c r="F1612" s="21" t="str">
        <f>IF(OR(E1612="",E1612="!!!"),"",IF(NOT(ISNA(VLOOKUP(E1612,E$1:E1611,1,FALSE()))),"OLD",IF(AND(E1612&lt;&gt;"",E1612&lt;&gt;"!!!"),"NEW","")))</f>
        <v/>
      </c>
      <c r="G1612" s="22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3" t="str">
        <f t="shared" ref="H1612:H1619" ca="1" si="187">IF(J1612&lt;&gt;1,"",IF(I1612="SBJ","CB","?"))</f>
        <v/>
      </c>
      <c r="I1612" s="24" t="str">
        <f>IF(OR(E1612="",E1612="!!!",F1612="NEW"),"",INDEX(B$2:B1611,-1+SUMPRODUCT(MAX(ROW(E$2:E1611)*(E1612=E$2:E1611)))))</f>
        <v/>
      </c>
      <c r="J1612" s="24" t="str">
        <f ca="1">IF(OR(E1612="",E1612="!!!",F1612="NEW"),"",COUNTBLANK(OFFSET(A$1,,,SUMPRODUCT(MAX(ROW(E$2:E1612)*(E1612=E$2:E1612)))))-COUNTBLANK(OFFSET(A$1,,,SUMPRODUCT(MAX(ROW(E$1:E1611)*(E2=E$1:E1611))))))</f>
        <v/>
      </c>
      <c r="K1612" s="24" t="str">
        <f>IF(OR(E1612="",E1612="!!!",F1612="NEW"),"",INDEX(J$1:J1611,SUMPRODUCT(MAX(ROW(E$1:E1611)*(E1612=E$1:E1611)))))</f>
        <v/>
      </c>
      <c r="L1612" s="25"/>
    </row>
    <row r="1613" spans="1:12" x14ac:dyDescent="0.3">
      <c r="A1613" t="s">
        <v>1017</v>
      </c>
      <c r="E1613" s="20" t="str">
        <f t="shared" si="186"/>
        <v/>
      </c>
      <c r="F1613" s="21" t="str">
        <f>IF(OR(E1613="",E1613="!!!"),"",IF(NOT(ISNA(VLOOKUP(E1613,E$1:E1612,1,FALSE()))),"OLD",IF(AND(E1613&lt;&gt;"",E1613&lt;&gt;"!!!"),"NEW","")))</f>
        <v/>
      </c>
      <c r="G1613" s="22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3" t="str">
        <f t="shared" ca="1" si="187"/>
        <v/>
      </c>
      <c r="I1613" s="24" t="str">
        <f>IF(OR(E1613="",E1613="!!!",F1613="NEW"),"",INDEX(B$2:B1612,-1+SUMPRODUCT(MAX(ROW(E$2:E1612)*(E1613=E$2:E1612)))))</f>
        <v/>
      </c>
      <c r="J1613" s="24" t="str">
        <f ca="1">IF(OR(E1613="",E1613="!!!",F1613="NEW"),"",COUNTBLANK(OFFSET(A$1,,,SUMPRODUCT(MAX(ROW(E$2:E1613)*(E1613=E$2:E1613)))))-COUNTBLANK(OFFSET(A$1,,,SUMPRODUCT(MAX(ROW(E$1:E1612)*(E2=E$1:E1612))))))</f>
        <v/>
      </c>
      <c r="K1613" s="24" t="str">
        <f>IF(OR(E1613="",E1613="!!!",F1613="NEW"),"",INDEX(J$1:J1612,SUMPRODUCT(MAX(ROW(E$1:E1612)*(E1613=E$1:E1612)))))</f>
        <v/>
      </c>
      <c r="L1613" s="25"/>
    </row>
    <row r="1614" spans="1:12" x14ac:dyDescent="0.3">
      <c r="A1614" t="s">
        <v>1018</v>
      </c>
      <c r="B1614" s="26" t="s">
        <v>330</v>
      </c>
      <c r="C1614" s="26" t="s">
        <v>331</v>
      </c>
      <c r="D1614" s="26" t="s">
        <v>332</v>
      </c>
      <c r="E1614" s="20" t="str">
        <f t="shared" si="186"/>
        <v>!!!</v>
      </c>
      <c r="F1614" s="21" t="str">
        <f>IF(OR(E1614="",E1614="!!!"),"",IF(NOT(ISNA(VLOOKUP(E1614,E$1:E1613,1,FALSE()))),"OLD",IF(AND(E1614&lt;&gt;"",E1614&lt;&gt;"!!!"),"NEW","")))</f>
        <v/>
      </c>
      <c r="G1614" s="22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3" t="str">
        <f t="shared" ca="1" si="187"/>
        <v/>
      </c>
      <c r="I1614" s="24" t="str">
        <f>IF(OR(E1614="",E1614="!!!",F1614="NEW"),"",INDEX(B$2:B1613,-1+SUMPRODUCT(MAX(ROW(E$2:E1613)*(E1614=E$2:E1613)))))</f>
        <v/>
      </c>
      <c r="J1614" s="24" t="str">
        <f ca="1">IF(OR(E1614="",E1614="!!!",F1614="NEW"),"",COUNTBLANK(OFFSET(A$1,,,SUMPRODUCT(MAX(ROW(E$2:E1614)*(E1614=E$2:E1614)))))-COUNTBLANK(OFFSET(A$1,,,SUMPRODUCT(MAX(ROW(E$1:E1613)*(E2=E$1:E1613))))))</f>
        <v/>
      </c>
      <c r="K1614" s="24" t="str">
        <f>IF(OR(E1614="",E1614="!!!",F1614="NEW"),"",INDEX(J$1:J1613,SUMPRODUCT(MAX(ROW(E$1:E1613)*(E1614=E$1:E1613)))))</f>
        <v/>
      </c>
      <c r="L1614" s="25"/>
    </row>
    <row r="1615" spans="1:12" x14ac:dyDescent="0.3">
      <c r="A1615" t="s">
        <v>576</v>
      </c>
      <c r="E1615" s="20" t="str">
        <f t="shared" si="186"/>
        <v/>
      </c>
      <c r="F1615" s="21" t="str">
        <f>IF(OR(E1615="",E1615="!!!"),"",IF(NOT(ISNA(VLOOKUP(E1615,E$1:E1614,1,FALSE()))),"OLD",IF(AND(E1615&lt;&gt;"",E1615&lt;&gt;"!!!"),"NEW","")))</f>
        <v/>
      </c>
      <c r="G1615" s="22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3" t="str">
        <f t="shared" ca="1" si="187"/>
        <v/>
      </c>
      <c r="I1615" s="24" t="str">
        <f>IF(OR(E1615="",E1615="!!!",F1615="NEW"),"",INDEX(B$2:B1614,-1+SUMPRODUCT(MAX(ROW(E$2:E1614)*(E1615=E$2:E1614)))))</f>
        <v/>
      </c>
      <c r="J1615" s="24" t="str">
        <f ca="1">IF(OR(E1615="",E1615="!!!",F1615="NEW"),"",COUNTBLANK(OFFSET(A$1,,,SUMPRODUCT(MAX(ROW(E$2:E1615)*(E1615=E$2:E1615)))))-COUNTBLANK(OFFSET(A$1,,,SUMPRODUCT(MAX(ROW(E$1:E1614)*(E2=E$1:E1614))))))</f>
        <v/>
      </c>
      <c r="K1615" s="24" t="str">
        <f>IF(OR(E1615="",E1615="!!!",F1615="NEW"),"",INDEX(J$1:J1614,SUMPRODUCT(MAX(ROW(E$1:E1614)*(E1615=E$1:E1614)))))</f>
        <v/>
      </c>
      <c r="L1615" s="25"/>
    </row>
    <row r="1616" spans="1:12" x14ac:dyDescent="0.3">
      <c r="A1616" t="s">
        <v>149</v>
      </c>
      <c r="E1616" s="20" t="str">
        <f t="shared" si="186"/>
        <v/>
      </c>
      <c r="F1616" s="21" t="str">
        <f>IF(OR(E1616="",E1616="!!!"),"",IF(NOT(ISNA(VLOOKUP(E1616,E$1:E1615,1,FALSE()))),"OLD",IF(AND(E1616&lt;&gt;"",E1616&lt;&gt;"!!!"),"NEW","")))</f>
        <v/>
      </c>
      <c r="G1616" s="22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3" t="str">
        <f t="shared" ca="1" si="187"/>
        <v/>
      </c>
      <c r="I1616" s="24" t="str">
        <f>IF(OR(E1616="",E1616="!!!",F1616="NEW"),"",INDEX(B$2:B1615,-1+SUMPRODUCT(MAX(ROW(E$2:E1615)*(E1616=E$2:E1615)))))</f>
        <v/>
      </c>
      <c r="J1616" s="24" t="str">
        <f ca="1">IF(OR(E1616="",E1616="!!!",F1616="NEW"),"",COUNTBLANK(OFFSET(A$1,,,SUMPRODUCT(MAX(ROW(E$2:E1616)*(E1616=E$2:E1616)))))-COUNTBLANK(OFFSET(A$1,,,SUMPRODUCT(MAX(ROW(E$1:E1615)*(E2=E$1:E1615))))))</f>
        <v/>
      </c>
      <c r="K1616" s="24" t="str">
        <f>IF(OR(E1616="",E1616="!!!",F1616="NEW"),"",INDEX(J$1:J1615,SUMPRODUCT(MAX(ROW(E$1:E1615)*(E1616=E$1:E1615)))))</f>
        <v/>
      </c>
      <c r="L1616" s="25"/>
    </row>
    <row r="1617" spans="1:12" x14ac:dyDescent="0.3">
      <c r="A1617" t="s">
        <v>1019</v>
      </c>
      <c r="B1617" s="26" t="s">
        <v>344</v>
      </c>
      <c r="C1617" s="26" t="s">
        <v>366</v>
      </c>
      <c r="E1617" s="20" t="str">
        <f t="shared" si="186"/>
        <v/>
      </c>
      <c r="F1617" s="21" t="str">
        <f>IF(OR(E1617="",E1617="!!!"),"",IF(NOT(ISNA(VLOOKUP(E1617,E$1:E1616,1,FALSE()))),"OLD",IF(AND(E1617&lt;&gt;"",E1617&lt;&gt;"!!!"),"NEW","")))</f>
        <v/>
      </c>
      <c r="G1617" s="22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/>
      </c>
      <c r="H1617" s="23" t="str">
        <f t="shared" ca="1" si="187"/>
        <v/>
      </c>
      <c r="I1617" s="24" t="str">
        <f>IF(OR(E1617="",E1617="!!!",F1617="NEW"),"",INDEX(B$2:B1616,-1+SUMPRODUCT(MAX(ROW(E$2:E1616)*(E1617=E$2:E1616)))))</f>
        <v/>
      </c>
      <c r="J1617" s="24" t="str">
        <f ca="1">IF(OR(E1617="",E1617="!!!",F1617="NEW"),"",COUNTBLANK(OFFSET(A$1,,,SUMPRODUCT(MAX(ROW(E$2:E1617)*(E1617=E$2:E1617)))))-COUNTBLANK(OFFSET(A$1,,,SUMPRODUCT(MAX(ROW(E$1:E1616)*(E2=E$1:E1616))))))</f>
        <v/>
      </c>
      <c r="K1617" s="24" t="str">
        <f>IF(OR(E1617="",E1617="!!!",F1617="NEW"),"",INDEX(J$1:J1616,SUMPRODUCT(MAX(ROW(E$1:E1616)*(E1617=E$1:E1616)))))</f>
        <v/>
      </c>
      <c r="L1617" s="25"/>
    </row>
    <row r="1618" spans="1:12" x14ac:dyDescent="0.3">
      <c r="A1618" t="s">
        <v>723</v>
      </c>
      <c r="B1618" s="26" t="s">
        <v>378</v>
      </c>
      <c r="C1618" s="26" t="s">
        <v>496</v>
      </c>
      <c r="D1618" s="26" t="s">
        <v>332</v>
      </c>
      <c r="E1618" s="20" t="str">
        <f t="shared" si="186"/>
        <v>!!!</v>
      </c>
      <c r="F1618" s="21" t="str">
        <f>IF(OR(E1618="",E1618="!!!"),"",IF(NOT(ISNA(VLOOKUP(E1618,E$1:E1617,1,FALSE()))),"OLD",IF(AND(E1618&lt;&gt;"",E1618&lt;&gt;"!!!"),"NEW","")))</f>
        <v/>
      </c>
      <c r="G1618" s="22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3" t="str">
        <f t="shared" ca="1" si="187"/>
        <v/>
      </c>
      <c r="I1618" s="24" t="str">
        <f>IF(OR(E1618="",E1618="!!!",F1618="NEW"),"",INDEX(B$2:B1617,-1+SUMPRODUCT(MAX(ROW(E$2:E1617)*(E1618=E$2:E1617)))))</f>
        <v/>
      </c>
      <c r="J1618" s="24" t="str">
        <f ca="1">IF(OR(E1618="",E1618="!!!",F1618="NEW"),"",COUNTBLANK(OFFSET(A$1,,,SUMPRODUCT(MAX(ROW(E$2:E1618)*(E1618=E$2:E1618)))))-COUNTBLANK(OFFSET(A$1,,,SUMPRODUCT(MAX(ROW(E$1:E1617)*(E2=E$1:E1617))))))</f>
        <v/>
      </c>
      <c r="K1618" s="24" t="str">
        <f>IF(OR(E1618="",E1618="!!!",F1618="NEW"),"",INDEX(J$1:J1617,SUMPRODUCT(MAX(ROW(E$1:E1617)*(E1618=E$1:E1617)))))</f>
        <v/>
      </c>
      <c r="L1618" s="25"/>
    </row>
    <row r="1619" spans="1:12" x14ac:dyDescent="0.3">
      <c r="A1619" t="s">
        <v>338</v>
      </c>
      <c r="E1619" s="20" t="str">
        <f t="shared" si="186"/>
        <v/>
      </c>
      <c r="F1619" s="21" t="str">
        <f>IF(OR(E1619="",E1619="!!!"),"",IF(NOT(ISNA(VLOOKUP(E1619,E$1:E1618,1,FALSE()))),"OLD",IF(AND(E1619&lt;&gt;"",E1619&lt;&gt;"!!!"),"NEW","")))</f>
        <v/>
      </c>
      <c r="G1619" s="22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3" t="str">
        <f t="shared" ca="1" si="187"/>
        <v/>
      </c>
      <c r="I1619" s="24" t="str">
        <f>IF(OR(E1619="",E1619="!!!",F1619="NEW"),"",INDEX(B$2:B1618,-1+SUMPRODUCT(MAX(ROW(E$2:E1618)*(E1619=E$2:E1618)))))</f>
        <v/>
      </c>
      <c r="J1619" s="24" t="str">
        <f ca="1">IF(OR(E1619="",E1619="!!!",F1619="NEW"),"",COUNTBLANK(OFFSET(A$1,,,SUMPRODUCT(MAX(ROW(E$2:E1619)*(E1619=E$2:E1619)))))-COUNTBLANK(OFFSET(A$1,,,SUMPRODUCT(MAX(ROW(E$1:E1618)*(E2=E$1:E1618))))))</f>
        <v/>
      </c>
      <c r="K1619" s="24" t="str">
        <f>IF(OR(E1619="",E1619="!!!",F1619="NEW"),"",INDEX(J$1:J1618,SUMPRODUCT(MAX(ROW(E$1:E1618)*(E1619=E$1:E1618)))))</f>
        <v/>
      </c>
      <c r="L1619" s="25"/>
    </row>
    <row r="1621" spans="1:12" x14ac:dyDescent="0.3">
      <c r="A1621" t="s">
        <v>1020</v>
      </c>
    </row>
    <row r="1622" spans="1:12" x14ac:dyDescent="0.3">
      <c r="A1622" t="s">
        <v>1016</v>
      </c>
      <c r="E1622" s="20" t="str">
        <f t="shared" ref="E1622:E1628" si="188">IF(D1622="?OLD","!!!","")</f>
        <v/>
      </c>
      <c r="F1622" s="21" t="str">
        <f>IF(OR(E1622="",E1622="!!!"),"",IF(NOT(ISNA(VLOOKUP(E1622,E$1:E1621,1,FALSE()))),"OLD",IF(AND(E1622&lt;&gt;"",E1622&lt;&gt;"!!!"),"NEW","")))</f>
        <v/>
      </c>
      <c r="G1622" s="22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3" t="str">
        <f t="shared" ref="H1622:H1628" ca="1" si="189">IF(J1622&lt;&gt;1,"",IF(I1622="SBJ","CB","?"))</f>
        <v/>
      </c>
      <c r="I1622" s="24" t="str">
        <f>IF(OR(E1622="",E1622="!!!",F1622="NEW"),"",INDEX(B$2:B1621,-1+SUMPRODUCT(MAX(ROW(E$2:E1621)*(E1622=E$2:E1621)))))</f>
        <v/>
      </c>
      <c r="J1622" s="24" t="str">
        <f ca="1">IF(OR(E1622="",E1622="!!!",F1622="NEW"),"",COUNTBLANK(OFFSET(A$1,,,SUMPRODUCT(MAX(ROW(E$2:E1622)*(E1622=E$2:E1622)))))-COUNTBLANK(OFFSET(A$1,,,SUMPRODUCT(MAX(ROW(E$1:E1621)*(E2=E$1:E1621))))))</f>
        <v/>
      </c>
      <c r="K1622" s="24" t="str">
        <f>IF(OR(E1622="",E1622="!!!",F1622="NEW"),"",INDEX(J$1:J1621,SUMPRODUCT(MAX(ROW(E$1:E1621)*(E1622=E$1:E1621)))))</f>
        <v/>
      </c>
      <c r="L1622" s="25"/>
    </row>
    <row r="1623" spans="1:12" x14ac:dyDescent="0.3">
      <c r="A1623" t="s">
        <v>1017</v>
      </c>
      <c r="E1623" s="20" t="str">
        <f t="shared" si="188"/>
        <v/>
      </c>
      <c r="F1623" s="21" t="str">
        <f>IF(OR(E1623="",E1623="!!!"),"",IF(NOT(ISNA(VLOOKUP(E1623,E$1:E1622,1,FALSE()))),"OLD",IF(AND(E1623&lt;&gt;"",E1623&lt;&gt;"!!!"),"NEW","")))</f>
        <v/>
      </c>
      <c r="G1623" s="22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3" t="str">
        <f t="shared" ca="1" si="189"/>
        <v/>
      </c>
      <c r="I1623" s="24" t="str">
        <f>IF(OR(E1623="",E1623="!!!",F1623="NEW"),"",INDEX(B$2:B1622,-1+SUMPRODUCT(MAX(ROW(E$2:E1622)*(E1623=E$2:E1622)))))</f>
        <v/>
      </c>
      <c r="J1623" s="24" t="str">
        <f ca="1">IF(OR(E1623="",E1623="!!!",F1623="NEW"),"",COUNTBLANK(OFFSET(A$1,,,SUMPRODUCT(MAX(ROW(E$2:E1623)*(E1623=E$2:E1623)))))-COUNTBLANK(OFFSET(A$1,,,SUMPRODUCT(MAX(ROW(E$1:E1622)*(E2=E$1:E1622))))))</f>
        <v/>
      </c>
      <c r="K1623" s="24" t="str">
        <f>IF(OR(E1623="",E1623="!!!",F1623="NEW"),"",INDEX(J$1:J1622,SUMPRODUCT(MAX(ROW(E$1:E1622)*(E1623=E$1:E1622)))))</f>
        <v/>
      </c>
      <c r="L1623" s="25"/>
    </row>
    <row r="1624" spans="1:12" x14ac:dyDescent="0.3">
      <c r="A1624" t="s">
        <v>1021</v>
      </c>
      <c r="B1624" s="26" t="s">
        <v>337</v>
      </c>
      <c r="C1624" s="26" t="s">
        <v>331</v>
      </c>
      <c r="D1624" s="26" t="s">
        <v>332</v>
      </c>
      <c r="E1624" s="20" t="str">
        <f t="shared" si="188"/>
        <v>!!!</v>
      </c>
      <c r="F1624" s="21" t="str">
        <f>IF(OR(E1624="",E1624="!!!"),"",IF(NOT(ISNA(VLOOKUP(E1624,E$1:E1623,1,FALSE()))),"OLD",IF(AND(E1624&lt;&gt;"",E1624&lt;&gt;"!!!"),"NEW","")))</f>
        <v/>
      </c>
      <c r="G1624" s="22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3" t="str">
        <f t="shared" ca="1" si="189"/>
        <v/>
      </c>
      <c r="I1624" s="24" t="str">
        <f>IF(OR(E1624="",E1624="!!!",F1624="NEW"),"",INDEX(B$2:B1623,-1+SUMPRODUCT(MAX(ROW(E$2:E1623)*(E1624=E$2:E1623)))))</f>
        <v/>
      </c>
      <c r="J1624" s="24" t="str">
        <f ca="1">IF(OR(E1624="",E1624="!!!",F1624="NEW"),"",COUNTBLANK(OFFSET(A$1,,,SUMPRODUCT(MAX(ROW(E$2:E1624)*(E1624=E$2:E1624)))))-COUNTBLANK(OFFSET(A$1,,,SUMPRODUCT(MAX(ROW(E$1:E1623)*(E2=E$1:E1623))))))</f>
        <v/>
      </c>
      <c r="K1624" s="24" t="str">
        <f>IF(OR(E1624="",E1624="!!!",F1624="NEW"),"",INDEX(J$1:J1623,SUMPRODUCT(MAX(ROW(E$1:E1623)*(E1624=E$1:E1623)))))</f>
        <v/>
      </c>
      <c r="L1624" s="25"/>
    </row>
    <row r="1625" spans="1:12" x14ac:dyDescent="0.3">
      <c r="A1625" t="s">
        <v>201</v>
      </c>
      <c r="E1625" s="20" t="str">
        <f t="shared" si="188"/>
        <v/>
      </c>
      <c r="F1625" s="21" t="str">
        <f>IF(OR(E1625="",E1625="!!!"),"",IF(NOT(ISNA(VLOOKUP(E1625,E$1:E1624,1,FALSE()))),"OLD",IF(AND(E1625&lt;&gt;"",E1625&lt;&gt;"!!!"),"NEW","")))</f>
        <v/>
      </c>
      <c r="G1625" s="22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3" t="str">
        <f t="shared" ca="1" si="189"/>
        <v/>
      </c>
      <c r="I1625" s="24" t="str">
        <f>IF(OR(E1625="",E1625="!!!",F1625="NEW"),"",INDEX(B$2:B1624,-1+SUMPRODUCT(MAX(ROW(E$2:E1624)*(E1625=E$2:E1624)))))</f>
        <v/>
      </c>
      <c r="J1625" s="24" t="str">
        <f ca="1">IF(OR(E1625="",E1625="!!!",F1625="NEW"),"",COUNTBLANK(OFFSET(A$1,,,SUMPRODUCT(MAX(ROW(E$2:E1625)*(E1625=E$2:E1625)))))-COUNTBLANK(OFFSET(A$1,,,SUMPRODUCT(MAX(ROW(E$1:E1624)*(E2=E$1:E1624))))))</f>
        <v/>
      </c>
      <c r="K1625" s="24" t="str">
        <f>IF(OR(E1625="",E1625="!!!",F1625="NEW"),"",INDEX(J$1:J1624,SUMPRODUCT(MAX(ROW(E$1:E1624)*(E1625=E$1:E1624)))))</f>
        <v/>
      </c>
      <c r="L1625" s="25"/>
    </row>
    <row r="1626" spans="1:12" x14ac:dyDescent="0.3">
      <c r="A1626" t="s">
        <v>1019</v>
      </c>
      <c r="B1626" s="26" t="s">
        <v>344</v>
      </c>
      <c r="C1626" s="26" t="s">
        <v>366</v>
      </c>
      <c r="E1626" s="20" t="str">
        <f t="shared" si="188"/>
        <v/>
      </c>
      <c r="F1626" s="21" t="str">
        <f>IF(OR(E1626="",E1626="!!!"),"",IF(NOT(ISNA(VLOOKUP(E1626,E$1:E1625,1,FALSE()))),"OLD",IF(AND(E1626&lt;&gt;"",E1626&lt;&gt;"!!!"),"NEW","")))</f>
        <v/>
      </c>
      <c r="G1626" s="22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3" t="str">
        <f t="shared" ca="1" si="189"/>
        <v/>
      </c>
      <c r="I1626" s="24" t="str">
        <f>IF(OR(E1626="",E1626="!!!",F1626="NEW"),"",INDEX(B$2:B1625,-1+SUMPRODUCT(MAX(ROW(E$2:E1625)*(E1626=E$2:E1625)))))</f>
        <v/>
      </c>
      <c r="J1626" s="24" t="str">
        <f ca="1">IF(OR(E1626="",E1626="!!!",F1626="NEW"),"",COUNTBLANK(OFFSET(A$1,,,SUMPRODUCT(MAX(ROW(E$2:E1626)*(E1626=E$2:E1626)))))-COUNTBLANK(OFFSET(A$1,,,SUMPRODUCT(MAX(ROW(E$1:E1625)*(E2=E$1:E1625))))))</f>
        <v/>
      </c>
      <c r="K1626" s="24" t="str">
        <f>IF(OR(E1626="",E1626="!!!",F1626="NEW"),"",INDEX(J$1:J1625,SUMPRODUCT(MAX(ROW(E$1:E1625)*(E1626=E$1:E1625)))))</f>
        <v/>
      </c>
      <c r="L1626" s="25"/>
    </row>
    <row r="1627" spans="1:12" x14ac:dyDescent="0.3">
      <c r="A1627" t="s">
        <v>723</v>
      </c>
      <c r="B1627" s="26" t="s">
        <v>378</v>
      </c>
      <c r="C1627" s="26" t="s">
        <v>496</v>
      </c>
      <c r="D1627" s="26" t="s">
        <v>332</v>
      </c>
      <c r="E1627" s="20" t="str">
        <f t="shared" si="188"/>
        <v>!!!</v>
      </c>
      <c r="F1627" s="21" t="str">
        <f>IF(OR(E1627="",E1627="!!!"),"",IF(NOT(ISNA(VLOOKUP(E1627,E$1:E1626,1,FALSE()))),"OLD",IF(AND(E1627&lt;&gt;"",E1627&lt;&gt;"!!!"),"NEW","")))</f>
        <v/>
      </c>
      <c r="G1627" s="22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/>
      </c>
      <c r="H1627" s="23" t="str">
        <f t="shared" ca="1" si="189"/>
        <v/>
      </c>
      <c r="I1627" s="24" t="str">
        <f>IF(OR(E1627="",E1627="!!!",F1627="NEW"),"",INDEX(B$2:B1626,-1+SUMPRODUCT(MAX(ROW(E$2:E1626)*(E1627=E$2:E1626)))))</f>
        <v/>
      </c>
      <c r="J1627" s="24" t="str">
        <f ca="1">IF(OR(E1627="",E1627="!!!",F1627="NEW"),"",COUNTBLANK(OFFSET(A$1,,,SUMPRODUCT(MAX(ROW(E$2:E1627)*(E1627=E$2:E1627)))))-COUNTBLANK(OFFSET(A$1,,,SUMPRODUCT(MAX(ROW(E$1:E1626)*(E2=E$1:E1626))))))</f>
        <v/>
      </c>
      <c r="K1627" s="24" t="str">
        <f>IF(OR(E1627="",E1627="!!!",F1627="NEW"),"",INDEX(J$1:J1626,SUMPRODUCT(MAX(ROW(E$1:E1626)*(E1627=E$1:E1626)))))</f>
        <v/>
      </c>
      <c r="L1627" s="25"/>
    </row>
    <row r="1628" spans="1:12" x14ac:dyDescent="0.3">
      <c r="A1628" t="s">
        <v>338</v>
      </c>
      <c r="E1628" s="20" t="str">
        <f t="shared" si="188"/>
        <v/>
      </c>
      <c r="F1628" s="21" t="str">
        <f>IF(OR(E1628="",E1628="!!!"),"",IF(NOT(ISNA(VLOOKUP(E1628,E$1:E1627,1,FALSE()))),"OLD",IF(AND(E1628&lt;&gt;"",E1628&lt;&gt;"!!!"),"NEW","")))</f>
        <v/>
      </c>
      <c r="G1628" s="22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3" t="str">
        <f t="shared" ca="1" si="189"/>
        <v/>
      </c>
      <c r="I1628" s="24" t="str">
        <f>IF(OR(E1628="",E1628="!!!",F1628="NEW"),"",INDEX(B$2:B1627,-1+SUMPRODUCT(MAX(ROW(E$2:E1627)*(E1628=E$2:E1627)))))</f>
        <v/>
      </c>
      <c r="J1628" s="24" t="str">
        <f ca="1">IF(OR(E1628="",E1628="!!!",F1628="NEW"),"",COUNTBLANK(OFFSET(A$1,,,SUMPRODUCT(MAX(ROW(E$2:E1628)*(E1628=E$2:E1628)))))-COUNTBLANK(OFFSET(A$1,,,SUMPRODUCT(MAX(ROW(E$1:E1627)*(E2=E$1:E1627))))))</f>
        <v/>
      </c>
      <c r="K1628" s="24" t="str">
        <f>IF(OR(E1628="",E1628="!!!",F1628="NEW"),"",INDEX(J$1:J1627,SUMPRODUCT(MAX(ROW(E$1:E1627)*(E1628=E$1:E1627)))))</f>
        <v/>
      </c>
      <c r="L1628" s="25"/>
    </row>
    <row r="1630" spans="1:12" x14ac:dyDescent="0.3">
      <c r="A1630" t="s">
        <v>1022</v>
      </c>
    </row>
    <row r="1631" spans="1:12" x14ac:dyDescent="0.3">
      <c r="A1631" t="s">
        <v>483</v>
      </c>
      <c r="B1631" s="26" t="s">
        <v>330</v>
      </c>
      <c r="C1631" s="26" t="s">
        <v>438</v>
      </c>
      <c r="D1631" s="26" t="s">
        <v>332</v>
      </c>
      <c r="E1631" s="20" t="str">
        <f t="shared" ref="E1631:E1636" si="190">IF(D1631="?OLD","!!!","")</f>
        <v>!!!</v>
      </c>
      <c r="F1631" s="21" t="str">
        <f>IF(OR(E1631="",E1631="!!!"),"",IF(NOT(ISNA(VLOOKUP(E1631,E$1:E1630,1,FALSE()))),"OLD",IF(AND(E1631&lt;&gt;"",E1631&lt;&gt;"!!!"),"NEW","")))</f>
        <v/>
      </c>
      <c r="G1631" s="22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3" t="str">
        <f t="shared" ref="H1631:H1636" ca="1" si="191">IF(J1631&lt;&gt;1,"",IF(I1631="SBJ","CB","?"))</f>
        <v/>
      </c>
      <c r="I1631" s="24" t="str">
        <f>IF(OR(E1631="",E1631="!!!",F1631="NEW"),"",INDEX(B$2:B1630,-1+SUMPRODUCT(MAX(ROW(E$2:E1630)*(E1631=E$2:E1630)))))</f>
        <v/>
      </c>
      <c r="J1631" s="24" t="str">
        <f ca="1">IF(OR(E1631="",E1631="!!!",F1631="NEW"),"",COUNTBLANK(OFFSET(A$1,,,SUMPRODUCT(MAX(ROW(E$2:E1631)*(E1631=E$2:E1631)))))-COUNTBLANK(OFFSET(A$1,,,SUMPRODUCT(MAX(ROW(E$1:E1630)*(E2=E$1:E1630))))))</f>
        <v/>
      </c>
      <c r="K1631" s="24" t="str">
        <f>IF(OR(E1631="",E1631="!!!",F1631="NEW"),"",INDEX(J$1:J1630,SUMPRODUCT(MAX(ROW(E$1:E1630)*(E1631=E$1:E1630)))))</f>
        <v/>
      </c>
      <c r="L1631" s="25"/>
    </row>
    <row r="1632" spans="1:12" x14ac:dyDescent="0.3">
      <c r="A1632" t="s">
        <v>407</v>
      </c>
      <c r="E1632" s="20" t="str">
        <f t="shared" si="190"/>
        <v/>
      </c>
      <c r="F1632" s="21" t="str">
        <f>IF(OR(E1632="",E1632="!!!"),"",IF(NOT(ISNA(VLOOKUP(E1632,E$1:E1631,1,FALSE()))),"OLD",IF(AND(E1632&lt;&gt;"",E1632&lt;&gt;"!!!"),"NEW","")))</f>
        <v/>
      </c>
      <c r="G1632" s="22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3" t="str">
        <f t="shared" ca="1" si="191"/>
        <v/>
      </c>
      <c r="I1632" s="24" t="str">
        <f>IF(OR(E1632="",E1632="!!!",F1632="NEW"),"",INDEX(B$2:B1631,-1+SUMPRODUCT(MAX(ROW(E$2:E1631)*(E1632=E$2:E1631)))))</f>
        <v/>
      </c>
      <c r="J1632" s="24" t="str">
        <f ca="1">IF(OR(E1632="",E1632="!!!",F1632="NEW"),"",COUNTBLANK(OFFSET(A$1,,,SUMPRODUCT(MAX(ROW(E$2:E1632)*(E1632=E$2:E1632)))))-COUNTBLANK(OFFSET(A$1,,,SUMPRODUCT(MAX(ROW(E$1:E1631)*(E2=E$1:E1631))))))</f>
        <v/>
      </c>
      <c r="K1632" s="24" t="str">
        <f>IF(OR(E1632="",E1632="!!!",F1632="NEW"),"",INDEX(J$1:J1631,SUMPRODUCT(MAX(ROW(E$1:E1631)*(E1632=E$1:E1631)))))</f>
        <v/>
      </c>
      <c r="L1632" s="25"/>
    </row>
    <row r="1633" spans="1:12" x14ac:dyDescent="0.3">
      <c r="A1633" t="s">
        <v>1023</v>
      </c>
      <c r="E1633" s="20" t="str">
        <f t="shared" si="190"/>
        <v/>
      </c>
      <c r="F1633" s="21" t="str">
        <f>IF(OR(E1633="",E1633="!!!"),"",IF(NOT(ISNA(VLOOKUP(E1633,E$1:E1632,1,FALSE()))),"OLD",IF(AND(E1633&lt;&gt;"",E1633&lt;&gt;"!!!"),"NEW","")))</f>
        <v/>
      </c>
      <c r="G1633" s="22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3" t="str">
        <f t="shared" ca="1" si="191"/>
        <v/>
      </c>
      <c r="I1633" s="24" t="str">
        <f>IF(OR(E1633="",E1633="!!!",F1633="NEW"),"",INDEX(B$2:B1632,-1+SUMPRODUCT(MAX(ROW(E$2:E1632)*(E1633=E$2:E1632)))))</f>
        <v/>
      </c>
      <c r="J1633" s="24" t="str">
        <f ca="1">IF(OR(E1633="",E1633="!!!",F1633="NEW"),"",COUNTBLANK(OFFSET(A$1,,,SUMPRODUCT(MAX(ROW(E$2:E1633)*(E1633=E$2:E1633)))))-COUNTBLANK(OFFSET(A$1,,,SUMPRODUCT(MAX(ROW(E$1:E1632)*(E2=E$1:E1632))))))</f>
        <v/>
      </c>
      <c r="K1633" s="24" t="str">
        <f>IF(OR(E1633="",E1633="!!!",F1633="NEW"),"",INDEX(J$1:J1632,SUMPRODUCT(MAX(ROW(E$1:E1632)*(E1633=E$1:E1632)))))</f>
        <v/>
      </c>
      <c r="L1633" s="25"/>
    </row>
    <row r="1634" spans="1:12" x14ac:dyDescent="0.3">
      <c r="A1634" t="s">
        <v>1024</v>
      </c>
      <c r="E1634" s="20" t="str">
        <f t="shared" si="190"/>
        <v/>
      </c>
      <c r="F1634" s="21" t="str">
        <f>IF(OR(E1634="",E1634="!!!"),"",IF(NOT(ISNA(VLOOKUP(E1634,E$1:E1633,1,FALSE()))),"OLD",IF(AND(E1634&lt;&gt;"",E1634&lt;&gt;"!!!"),"NEW","")))</f>
        <v/>
      </c>
      <c r="G1634" s="22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/>
      </c>
      <c r="H1634" s="23" t="str">
        <f t="shared" ca="1" si="191"/>
        <v/>
      </c>
      <c r="I1634" s="24" t="str">
        <f>IF(OR(E1634="",E1634="!!!",F1634="NEW"),"",INDEX(B$2:B1633,-1+SUMPRODUCT(MAX(ROW(E$2:E1633)*(E1634=E$2:E1633)))))</f>
        <v/>
      </c>
      <c r="J1634" s="24" t="str">
        <f ca="1">IF(OR(E1634="",E1634="!!!",F1634="NEW"),"",COUNTBLANK(OFFSET(A$1,,,SUMPRODUCT(MAX(ROW(E$2:E1634)*(E1634=E$2:E1634)))))-COUNTBLANK(OFFSET(A$1,,,SUMPRODUCT(MAX(ROW(E$1:E1633)*(E2=E$1:E1633))))))</f>
        <v/>
      </c>
      <c r="K1634" s="24" t="str">
        <f>IF(OR(E1634="",E1634="!!!",F1634="NEW"),"",INDEX(J$1:J1633,SUMPRODUCT(MAX(ROW(E$1:E1633)*(E1634=E$1:E1633)))))</f>
        <v/>
      </c>
      <c r="L1634" s="25"/>
    </row>
    <row r="1635" spans="1:12" x14ac:dyDescent="0.3">
      <c r="A1635" t="s">
        <v>1019</v>
      </c>
      <c r="B1635" s="26" t="s">
        <v>337</v>
      </c>
      <c r="C1635" s="26" t="s">
        <v>366</v>
      </c>
      <c r="E1635" s="20" t="str">
        <f t="shared" si="190"/>
        <v/>
      </c>
      <c r="F1635" s="21" t="str">
        <f>IF(OR(E1635="",E1635="!!!"),"",IF(NOT(ISNA(VLOOKUP(E1635,E$1:E1634,1,FALSE()))),"OLD",IF(AND(E1635&lt;&gt;"",E1635&lt;&gt;"!!!"),"NEW","")))</f>
        <v/>
      </c>
      <c r="G1635" s="22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3" t="str">
        <f t="shared" ca="1" si="191"/>
        <v/>
      </c>
      <c r="I1635" s="24" t="str">
        <f>IF(OR(E1635="",E1635="!!!",F1635="NEW"),"",INDEX(B$2:B1634,-1+SUMPRODUCT(MAX(ROW(E$2:E1634)*(E1635=E$2:E1634)))))</f>
        <v/>
      </c>
      <c r="J1635" s="24" t="str">
        <f ca="1">IF(OR(E1635="",E1635="!!!",F1635="NEW"),"",COUNTBLANK(OFFSET(A$1,,,SUMPRODUCT(MAX(ROW(E$2:E1635)*(E1635=E$2:E1635)))))-COUNTBLANK(OFFSET(A$1,,,SUMPRODUCT(MAX(ROW(E$1:E1634)*(E2=E$1:E1634))))))</f>
        <v/>
      </c>
      <c r="K1635" s="24" t="str">
        <f>IF(OR(E1635="",E1635="!!!",F1635="NEW"),"",INDEX(J$1:J1634,SUMPRODUCT(MAX(ROW(E$1:E1634)*(E1635=E$1:E1634)))))</f>
        <v/>
      </c>
      <c r="L1635" s="25"/>
    </row>
    <row r="1636" spans="1:12" x14ac:dyDescent="0.3">
      <c r="A1636" t="s">
        <v>338</v>
      </c>
      <c r="E1636" s="20" t="str">
        <f t="shared" si="190"/>
        <v/>
      </c>
      <c r="F1636" s="21" t="str">
        <f>IF(OR(E1636="",E1636="!!!"),"",IF(NOT(ISNA(VLOOKUP(E1636,E$1:E1635,1,FALSE()))),"OLD",IF(AND(E1636&lt;&gt;"",E1636&lt;&gt;"!!!"),"NEW","")))</f>
        <v/>
      </c>
      <c r="G1636" s="22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3" t="str">
        <f t="shared" ca="1" si="191"/>
        <v/>
      </c>
      <c r="I1636" s="24" t="str">
        <f>IF(OR(E1636="",E1636="!!!",F1636="NEW"),"",INDEX(B$2:B1635,-1+SUMPRODUCT(MAX(ROW(E$2:E1635)*(E1636=E$2:E1635)))))</f>
        <v/>
      </c>
      <c r="J1636" s="24" t="str">
        <f ca="1">IF(OR(E1636="",E1636="!!!",F1636="NEW"),"",COUNTBLANK(OFFSET(A$1,,,SUMPRODUCT(MAX(ROW(E$2:E1636)*(E1636=E$2:E1636)))))-COUNTBLANK(OFFSET(A$1,,,SUMPRODUCT(MAX(ROW(E$1:E1635)*(E2=E$1:E1635))))))</f>
        <v/>
      </c>
      <c r="K1636" s="24" t="str">
        <f>IF(OR(E1636="",E1636="!!!",F1636="NEW"),"",INDEX(J$1:J1635,SUMPRODUCT(MAX(ROW(E$1:E1635)*(E1636=E$1:E1635)))))</f>
        <v/>
      </c>
      <c r="L1636" s="25"/>
    </row>
    <row r="1638" spans="1:12" x14ac:dyDescent="0.3">
      <c r="A1638" t="s">
        <v>1025</v>
      </c>
    </row>
    <row r="1639" spans="1:12" x14ac:dyDescent="0.3">
      <c r="A1639" t="s">
        <v>483</v>
      </c>
      <c r="B1639" s="26" t="s">
        <v>330</v>
      </c>
      <c r="C1639" s="26" t="s">
        <v>394</v>
      </c>
      <c r="D1639" s="26" t="s">
        <v>332</v>
      </c>
      <c r="E1639" s="20" t="str">
        <f t="shared" ref="E1639:E1647" si="192">IF(D1639="?OLD","!!!","")</f>
        <v>!!!</v>
      </c>
      <c r="F1639" s="21" t="str">
        <f>IF(OR(E1639="",E1639="!!!"),"",IF(NOT(ISNA(VLOOKUP(E1639,E$1:E1638,1,FALSE()))),"OLD",IF(AND(E1639&lt;&gt;"",E1639&lt;&gt;"!!!"),"NEW","")))</f>
        <v/>
      </c>
      <c r="G1639" s="22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/>
      </c>
      <c r="H1639" s="23" t="str">
        <f t="shared" ref="H1639:H1647" ca="1" si="193">IF(J1639&lt;&gt;1,"",IF(I1639="SBJ","CB","?"))</f>
        <v/>
      </c>
      <c r="I1639" s="24" t="str">
        <f>IF(OR(E1639="",E1639="!!!",F1639="NEW"),"",INDEX(B$2:B1638,-1+SUMPRODUCT(MAX(ROW(E$2:E1638)*(E1639=E$2:E1638)))))</f>
        <v/>
      </c>
      <c r="J1639" s="24" t="str">
        <f ca="1">IF(OR(E1639="",E1639="!!!",F1639="NEW"),"",COUNTBLANK(OFFSET(A$1,,,SUMPRODUCT(MAX(ROW(E$2:E1639)*(E1639=E$2:E1639)))))-COUNTBLANK(OFFSET(A$1,,,SUMPRODUCT(MAX(ROW(E$1:E1638)*(E2=E$1:E1638))))))</f>
        <v/>
      </c>
      <c r="K1639" s="24" t="str">
        <f>IF(OR(E1639="",E1639="!!!",F1639="NEW"),"",INDEX(J$1:J1638,SUMPRODUCT(MAX(ROW(E$1:E1638)*(E1639=E$1:E1638)))))</f>
        <v/>
      </c>
      <c r="L1639" s="25"/>
    </row>
    <row r="1640" spans="1:12" x14ac:dyDescent="0.3">
      <c r="A1640" t="s">
        <v>333</v>
      </c>
      <c r="E1640" s="20" t="str">
        <f t="shared" si="192"/>
        <v/>
      </c>
      <c r="F1640" s="21" t="str">
        <f>IF(OR(E1640="",E1640="!!!"),"",IF(NOT(ISNA(VLOOKUP(E1640,E$1:E1639,1,FALSE()))),"OLD",IF(AND(E1640&lt;&gt;"",E1640&lt;&gt;"!!!"),"NEW","")))</f>
        <v/>
      </c>
      <c r="G1640" s="22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3" t="str">
        <f t="shared" ca="1" si="193"/>
        <v/>
      </c>
      <c r="I1640" s="24" t="str">
        <f>IF(OR(E1640="",E1640="!!!",F1640="NEW"),"",INDEX(B$2:B1639,-1+SUMPRODUCT(MAX(ROW(E$2:E1639)*(E1640=E$2:E1639)))))</f>
        <v/>
      </c>
      <c r="J1640" s="24" t="str">
        <f ca="1">IF(OR(E1640="",E1640="!!!",F1640="NEW"),"",COUNTBLANK(OFFSET(A$1,,,SUMPRODUCT(MAX(ROW(E$2:E1640)*(E1640=E$2:E1640)))))-COUNTBLANK(OFFSET(A$1,,,SUMPRODUCT(MAX(ROW(E$1:E1639)*(E2=E$1:E1639))))))</f>
        <v/>
      </c>
      <c r="K1640" s="24" t="str">
        <f>IF(OR(E1640="",E1640="!!!",F1640="NEW"),"",INDEX(J$1:J1639,SUMPRODUCT(MAX(ROW(E$1:E1639)*(E1640=E$1:E1639)))))</f>
        <v/>
      </c>
      <c r="L1640" s="25"/>
    </row>
    <row r="1641" spans="1:12" x14ac:dyDescent="0.3">
      <c r="A1641" t="s">
        <v>1026</v>
      </c>
      <c r="E1641" s="20" t="str">
        <f t="shared" si="192"/>
        <v/>
      </c>
      <c r="F1641" s="21" t="str">
        <f>IF(OR(E1641="",E1641="!!!"),"",IF(NOT(ISNA(VLOOKUP(E1641,E$1:E1640,1,FALSE()))),"OLD",IF(AND(E1641&lt;&gt;"",E1641&lt;&gt;"!!!"),"NEW","")))</f>
        <v/>
      </c>
      <c r="G1641" s="22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3" t="str">
        <f t="shared" ca="1" si="193"/>
        <v/>
      </c>
      <c r="I1641" s="24" t="str">
        <f>IF(OR(E1641="",E1641="!!!",F1641="NEW"),"",INDEX(B$2:B1640,-1+SUMPRODUCT(MAX(ROW(E$2:E1640)*(E1641=E$2:E1640)))))</f>
        <v/>
      </c>
      <c r="J1641" s="24" t="str">
        <f ca="1">IF(OR(E1641="",E1641="!!!",F1641="NEW"),"",COUNTBLANK(OFFSET(A$1,,,SUMPRODUCT(MAX(ROW(E$2:E1641)*(E1641=E$2:E1641)))))-COUNTBLANK(OFFSET(A$1,,,SUMPRODUCT(MAX(ROW(E$1:E1640)*(E2=E$1:E1640))))))</f>
        <v/>
      </c>
      <c r="K1641" s="24" t="str">
        <f>IF(OR(E1641="",E1641="!!!",F1641="NEW"),"",INDEX(J$1:J1640,SUMPRODUCT(MAX(ROW(E$1:E1640)*(E1641=E$1:E1640)))))</f>
        <v/>
      </c>
      <c r="L1641" s="25"/>
    </row>
    <row r="1642" spans="1:12" x14ac:dyDescent="0.3">
      <c r="A1642" t="s">
        <v>988</v>
      </c>
      <c r="B1642" s="26" t="s">
        <v>337</v>
      </c>
      <c r="C1642" s="26" t="s">
        <v>355</v>
      </c>
      <c r="E1642" s="20" t="str">
        <f t="shared" si="192"/>
        <v/>
      </c>
      <c r="F1642" s="21" t="str">
        <f>IF(OR(E1642="",E1642="!!!"),"",IF(NOT(ISNA(VLOOKUP(E1642,E$1:E1641,1,FALSE()))),"OLD",IF(AND(E1642&lt;&gt;"",E1642&lt;&gt;"!!!"),"NEW","")))</f>
        <v/>
      </c>
      <c r="G1642" s="22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3" t="str">
        <f t="shared" ca="1" si="193"/>
        <v/>
      </c>
      <c r="I1642" s="24" t="str">
        <f>IF(OR(E1642="",E1642="!!!",F1642="NEW"),"",INDEX(B$2:B1641,-1+SUMPRODUCT(MAX(ROW(E$2:E1641)*(E1642=E$2:E1641)))))</f>
        <v/>
      </c>
      <c r="J1642" s="24" t="str">
        <f ca="1">IF(OR(E1642="",E1642="!!!",F1642="NEW"),"",COUNTBLANK(OFFSET(A$1,,,SUMPRODUCT(MAX(ROW(E$2:E1642)*(E1642=E$2:E1642)))))-COUNTBLANK(OFFSET(A$1,,,SUMPRODUCT(MAX(ROW(E$1:E1641)*(E2=E$1:E1641))))))</f>
        <v/>
      </c>
      <c r="K1642" s="24" t="str">
        <f>IF(OR(E1642="",E1642="!!!",F1642="NEW"),"",INDEX(J$1:J1641,SUMPRODUCT(MAX(ROW(E$1:E1641)*(E1642=E$1:E1641)))))</f>
        <v/>
      </c>
      <c r="L1642" s="25"/>
    </row>
    <row r="1643" spans="1:12" x14ac:dyDescent="0.3">
      <c r="A1643" t="s">
        <v>399</v>
      </c>
      <c r="E1643" s="20" t="str">
        <f t="shared" si="192"/>
        <v/>
      </c>
      <c r="F1643" s="21" t="str">
        <f>IF(OR(E1643="",E1643="!!!"),"",IF(NOT(ISNA(VLOOKUP(E1643,E$1:E1642,1,FALSE()))),"OLD",IF(AND(E1643&lt;&gt;"",E1643&lt;&gt;"!!!"),"NEW","")))</f>
        <v/>
      </c>
      <c r="G1643" s="22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3" t="str">
        <f t="shared" ca="1" si="193"/>
        <v/>
      </c>
      <c r="I1643" s="24" t="str">
        <f>IF(OR(E1643="",E1643="!!!",F1643="NEW"),"",INDEX(B$2:B1642,-1+SUMPRODUCT(MAX(ROW(E$2:E1642)*(E1643=E$2:E1642)))))</f>
        <v/>
      </c>
      <c r="J1643" s="24" t="str">
        <f ca="1">IF(OR(E1643="",E1643="!!!",F1643="NEW"),"",COUNTBLANK(OFFSET(A$1,,,SUMPRODUCT(MAX(ROW(E$2:E1643)*(E1643=E$2:E1643)))))-COUNTBLANK(OFFSET(A$1,,,SUMPRODUCT(MAX(ROW(E$1:E1642)*(E2=E$1:E1642))))))</f>
        <v/>
      </c>
      <c r="K1643" s="24" t="str">
        <f>IF(OR(E1643="",E1643="!!!",F1643="NEW"),"",INDEX(J$1:J1642,SUMPRODUCT(MAX(ROW(E$1:E1642)*(E1643=E$1:E1642)))))</f>
        <v/>
      </c>
      <c r="L1643" s="25"/>
    </row>
    <row r="1644" spans="1:12" x14ac:dyDescent="0.3">
      <c r="A1644" t="s">
        <v>1027</v>
      </c>
      <c r="B1644" s="26" t="s">
        <v>337</v>
      </c>
      <c r="C1644" s="26" t="s">
        <v>568</v>
      </c>
      <c r="D1644" s="26" t="s">
        <v>332</v>
      </c>
      <c r="E1644" s="20" t="str">
        <f t="shared" si="192"/>
        <v>!!!</v>
      </c>
      <c r="F1644" s="21" t="str">
        <f>IF(OR(E1644="",E1644="!!!"),"",IF(NOT(ISNA(VLOOKUP(E1644,E$1:E1643,1,FALSE()))),"OLD",IF(AND(E1644&lt;&gt;"",E1644&lt;&gt;"!!!"),"NEW","")))</f>
        <v/>
      </c>
      <c r="G1644" s="22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3" t="str">
        <f t="shared" ca="1" si="193"/>
        <v/>
      </c>
      <c r="I1644" s="24" t="str">
        <f>IF(OR(E1644="",E1644="!!!",F1644="NEW"),"",INDEX(B$2:B1643,-1+SUMPRODUCT(MAX(ROW(E$2:E1643)*(E1644=E$2:E1643)))))</f>
        <v/>
      </c>
      <c r="J1644" s="24" t="str">
        <f ca="1">IF(OR(E1644="",E1644="!!!",F1644="NEW"),"",COUNTBLANK(OFFSET(A$1,,,SUMPRODUCT(MAX(ROW(E$2:E1644)*(E1644=E$2:E1644)))))-COUNTBLANK(OFFSET(A$1,,,SUMPRODUCT(MAX(ROW(E$1:E1643)*(E2=E$1:E1643))))))</f>
        <v/>
      </c>
      <c r="K1644" s="24" t="str">
        <f>IF(OR(E1644="",E1644="!!!",F1644="NEW"),"",INDEX(J$1:J1643,SUMPRODUCT(MAX(ROW(E$1:E1643)*(E1644=E$1:E1643)))))</f>
        <v/>
      </c>
      <c r="L1644" s="25"/>
    </row>
    <row r="1645" spans="1:12" x14ac:dyDescent="0.3">
      <c r="A1645" t="s">
        <v>359</v>
      </c>
      <c r="E1645" s="20" t="str">
        <f t="shared" si="192"/>
        <v/>
      </c>
      <c r="F1645" s="21" t="str">
        <f>IF(OR(E1645="",E1645="!!!"),"",IF(NOT(ISNA(VLOOKUP(E1645,E$1:E1644,1,FALSE()))),"OLD",IF(AND(E1645&lt;&gt;"",E1645&lt;&gt;"!!!"),"NEW","")))</f>
        <v/>
      </c>
      <c r="G1645" s="22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3" t="str">
        <f t="shared" ca="1" si="193"/>
        <v/>
      </c>
      <c r="I1645" s="24" t="str">
        <f>IF(OR(E1645="",E1645="!!!",F1645="NEW"),"",INDEX(B$2:B1644,-1+SUMPRODUCT(MAX(ROW(E$2:E1644)*(E1645=E$2:E1644)))))</f>
        <v/>
      </c>
      <c r="J1645" s="24" t="str">
        <f ca="1">IF(OR(E1645="",E1645="!!!",F1645="NEW"),"",COUNTBLANK(OFFSET(A$1,,,SUMPRODUCT(MAX(ROW(E$2:E1645)*(E1645=E$2:E1645)))))-COUNTBLANK(OFFSET(A$1,,,SUMPRODUCT(MAX(ROW(E$1:E1644)*(E2=E$1:E1644))))))</f>
        <v/>
      </c>
      <c r="K1645" s="24" t="str">
        <f>IF(OR(E1645="",E1645="!!!",F1645="NEW"),"",INDEX(J$1:J1644,SUMPRODUCT(MAX(ROW(E$1:E1644)*(E1645=E$1:E1644)))))</f>
        <v/>
      </c>
      <c r="L1645" s="25"/>
    </row>
    <row r="1646" spans="1:12" x14ac:dyDescent="0.3">
      <c r="A1646" t="s">
        <v>919</v>
      </c>
      <c r="B1646" s="26" t="s">
        <v>337</v>
      </c>
      <c r="C1646" s="26" t="s">
        <v>496</v>
      </c>
      <c r="D1646" s="26" t="s">
        <v>332</v>
      </c>
      <c r="E1646" s="20" t="str">
        <f t="shared" si="192"/>
        <v>!!!</v>
      </c>
      <c r="F1646" s="21" t="str">
        <f>IF(OR(E1646="",E1646="!!!"),"",IF(NOT(ISNA(VLOOKUP(E1646,E$1:E1645,1,FALSE()))),"OLD",IF(AND(E1646&lt;&gt;"",E1646&lt;&gt;"!!!"),"NEW","")))</f>
        <v/>
      </c>
      <c r="G1646" s="22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3" t="str">
        <f t="shared" ca="1" si="193"/>
        <v/>
      </c>
      <c r="I1646" s="24" t="str">
        <f>IF(OR(E1646="",E1646="!!!",F1646="NEW"),"",INDEX(B$2:B1645,-1+SUMPRODUCT(MAX(ROW(E$2:E1645)*(E1646=E$2:E1645)))))</f>
        <v/>
      </c>
      <c r="J1646" s="24" t="str">
        <f ca="1">IF(OR(E1646="",E1646="!!!",F1646="NEW"),"",COUNTBLANK(OFFSET(A$1,,,SUMPRODUCT(MAX(ROW(E$2:E1646)*(E1646=E$2:E1646)))))-COUNTBLANK(OFFSET(A$1,,,SUMPRODUCT(MAX(ROW(E$1:E1645)*(E2=E$1:E1645))))))</f>
        <v/>
      </c>
      <c r="K1646" s="24" t="str">
        <f>IF(OR(E1646="",E1646="!!!",F1646="NEW"),"",INDEX(J$1:J1645,SUMPRODUCT(MAX(ROW(E$1:E1645)*(E1646=E$1:E1645)))))</f>
        <v/>
      </c>
      <c r="L1646" s="25"/>
    </row>
    <row r="1647" spans="1:12" x14ac:dyDescent="0.3">
      <c r="A1647" t="s">
        <v>338</v>
      </c>
      <c r="E1647" s="20" t="str">
        <f t="shared" si="192"/>
        <v/>
      </c>
      <c r="F1647" s="21" t="str">
        <f>IF(OR(E1647="",E1647="!!!"),"",IF(NOT(ISNA(VLOOKUP(E1647,E$1:E1646,1,FALSE()))),"OLD",IF(AND(E1647&lt;&gt;"",E1647&lt;&gt;"!!!"),"NEW","")))</f>
        <v/>
      </c>
      <c r="G1647" s="22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3" t="str">
        <f t="shared" ca="1" si="193"/>
        <v/>
      </c>
      <c r="I1647" s="24" t="str">
        <f>IF(OR(E1647="",E1647="!!!",F1647="NEW"),"",INDEX(B$2:B1646,-1+SUMPRODUCT(MAX(ROW(E$2:E1646)*(E1647=E$2:E1646)))))</f>
        <v/>
      </c>
      <c r="J1647" s="24" t="str">
        <f ca="1">IF(OR(E1647="",E1647="!!!",F1647="NEW"),"",COUNTBLANK(OFFSET(A$1,,,SUMPRODUCT(MAX(ROW(E$2:E1647)*(E1647=E$2:E1647)))))-COUNTBLANK(OFFSET(A$1,,,SUMPRODUCT(MAX(ROW(E$1:E1646)*(E2=E$1:E1646))))))</f>
        <v/>
      </c>
      <c r="K1647" s="24" t="str">
        <f>IF(OR(E1647="",E1647="!!!",F1647="NEW"),"",INDEX(J$1:J1646,SUMPRODUCT(MAX(ROW(E$1:E1646)*(E1647=E$1:E1646)))))</f>
        <v/>
      </c>
      <c r="L1647" s="25"/>
    </row>
    <row r="1649" spans="1:12" x14ac:dyDescent="0.3">
      <c r="A1649" t="s">
        <v>1028</v>
      </c>
    </row>
    <row r="1650" spans="1:12" x14ac:dyDescent="0.3">
      <c r="A1650" t="s">
        <v>483</v>
      </c>
      <c r="B1650" s="26" t="s">
        <v>330</v>
      </c>
      <c r="C1650" s="26" t="s">
        <v>394</v>
      </c>
      <c r="D1650" s="26" t="s">
        <v>332</v>
      </c>
      <c r="E1650" s="20" t="str">
        <f t="shared" ref="E1650:E1657" si="194">IF(D1650="?OLD","!!!","")</f>
        <v>!!!</v>
      </c>
      <c r="F1650" s="21" t="str">
        <f>IF(OR(E1650="",E1650="!!!"),"",IF(NOT(ISNA(VLOOKUP(E1650,E$1:E1649,1,FALSE()))),"OLD",IF(AND(E1650&lt;&gt;"",E1650&lt;&gt;"!!!"),"NEW","")))</f>
        <v/>
      </c>
      <c r="G1650" s="22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/>
      </c>
      <c r="H1650" s="23" t="str">
        <f t="shared" ref="H1650:H1657" ca="1" si="195">IF(J1650&lt;&gt;1,"",IF(I1650="SBJ","CB","?"))</f>
        <v/>
      </c>
      <c r="I1650" s="24" t="str">
        <f>IF(OR(E1650="",E1650="!!!",F1650="NEW"),"",INDEX(B$2:B1649,-1+SUMPRODUCT(MAX(ROW(E$2:E1649)*(E1650=E$2:E1649)))))</f>
        <v/>
      </c>
      <c r="J1650" s="24" t="str">
        <f ca="1">IF(OR(E1650="",E1650="!!!",F1650="NEW"),"",COUNTBLANK(OFFSET(A$1,,,SUMPRODUCT(MAX(ROW(E$2:E1650)*(E1650=E$2:E1650)))))-COUNTBLANK(OFFSET(A$1,,,SUMPRODUCT(MAX(ROW(E$1:E1649)*(E2=E$1:E1649))))))</f>
        <v/>
      </c>
      <c r="K1650" s="24" t="str">
        <f>IF(OR(E1650="",E1650="!!!",F1650="NEW"),"",INDEX(J$1:J1649,SUMPRODUCT(MAX(ROW(E$1:E1649)*(E1650=E$1:E1649)))))</f>
        <v/>
      </c>
      <c r="L1650" s="25"/>
    </row>
    <row r="1651" spans="1:12" x14ac:dyDescent="0.3">
      <c r="A1651" t="s">
        <v>333</v>
      </c>
      <c r="E1651" s="20" t="str">
        <f t="shared" si="194"/>
        <v/>
      </c>
      <c r="F1651" s="21" t="str">
        <f>IF(OR(E1651="",E1651="!!!"),"",IF(NOT(ISNA(VLOOKUP(E1651,E$1:E1650,1,FALSE()))),"OLD",IF(AND(E1651&lt;&gt;"",E1651&lt;&gt;"!!!"),"NEW","")))</f>
        <v/>
      </c>
      <c r="G1651" s="22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3" t="str">
        <f t="shared" ca="1" si="195"/>
        <v/>
      </c>
      <c r="I1651" s="24" t="str">
        <f>IF(OR(E1651="",E1651="!!!",F1651="NEW"),"",INDEX(B$2:B1650,-1+SUMPRODUCT(MAX(ROW(E$2:E1650)*(E1651=E$2:E1650)))))</f>
        <v/>
      </c>
      <c r="J1651" s="24" t="str">
        <f ca="1">IF(OR(E1651="",E1651="!!!",F1651="NEW"),"",COUNTBLANK(OFFSET(A$1,,,SUMPRODUCT(MAX(ROW(E$2:E1651)*(E1651=E$2:E1651)))))-COUNTBLANK(OFFSET(A$1,,,SUMPRODUCT(MAX(ROW(E$1:E1650)*(E2=E$1:E1650))))))</f>
        <v/>
      </c>
      <c r="K1651" s="24" t="str">
        <f>IF(OR(E1651="",E1651="!!!",F1651="NEW"),"",INDEX(J$1:J1650,SUMPRODUCT(MAX(ROW(E$1:E1650)*(E1651=E$1:E1650)))))</f>
        <v/>
      </c>
      <c r="L1651" s="25"/>
    </row>
    <row r="1652" spans="1:12" x14ac:dyDescent="0.3">
      <c r="A1652" t="s">
        <v>380</v>
      </c>
      <c r="E1652" s="20" t="str">
        <f t="shared" si="194"/>
        <v/>
      </c>
      <c r="F1652" s="21" t="str">
        <f>IF(OR(E1652="",E1652="!!!"),"",IF(NOT(ISNA(VLOOKUP(E1652,E$1:E1651,1,FALSE()))),"OLD",IF(AND(E1652&lt;&gt;"",E1652&lt;&gt;"!!!"),"NEW","")))</f>
        <v/>
      </c>
      <c r="G1652" s="22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3" t="str">
        <f t="shared" ca="1" si="195"/>
        <v/>
      </c>
      <c r="I1652" s="24" t="str">
        <f>IF(OR(E1652="",E1652="!!!",F1652="NEW"),"",INDEX(B$2:B1651,-1+SUMPRODUCT(MAX(ROW(E$2:E1651)*(E1652=E$2:E1651)))))</f>
        <v/>
      </c>
      <c r="J1652" s="24" t="str">
        <f ca="1">IF(OR(E1652="",E1652="!!!",F1652="NEW"),"",COUNTBLANK(OFFSET(A$1,,,SUMPRODUCT(MAX(ROW(E$2:E1652)*(E1652=E$2:E1652)))))-COUNTBLANK(OFFSET(A$1,,,SUMPRODUCT(MAX(ROW(E$1:E1651)*(E2=E$1:E1651))))))</f>
        <v/>
      </c>
      <c r="K1652" s="24" t="str">
        <f>IF(OR(E1652="",E1652="!!!",F1652="NEW"),"",INDEX(J$1:J1651,SUMPRODUCT(MAX(ROW(E$1:E1651)*(E1652=E$1:E1651)))))</f>
        <v/>
      </c>
      <c r="L1652" s="25"/>
    </row>
    <row r="1653" spans="1:12" x14ac:dyDescent="0.3">
      <c r="A1653" t="s">
        <v>1029</v>
      </c>
      <c r="E1653" s="20" t="str">
        <f t="shared" si="194"/>
        <v/>
      </c>
      <c r="F1653" s="21" t="str">
        <f>IF(OR(E1653="",E1653="!!!"),"",IF(NOT(ISNA(VLOOKUP(E1653,E$1:E1652,1,FALSE()))),"OLD",IF(AND(E1653&lt;&gt;"",E1653&lt;&gt;"!!!"),"NEW","")))</f>
        <v/>
      </c>
      <c r="G1653" s="22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3" t="str">
        <f t="shared" ca="1" si="195"/>
        <v/>
      </c>
      <c r="I1653" s="24" t="str">
        <f>IF(OR(E1653="",E1653="!!!",F1653="NEW"),"",INDEX(B$2:B1652,-1+SUMPRODUCT(MAX(ROW(E$2:E1652)*(E1653=E$2:E1652)))))</f>
        <v/>
      </c>
      <c r="J1653" s="24" t="str">
        <f ca="1">IF(OR(E1653="",E1653="!!!",F1653="NEW"),"",COUNTBLANK(OFFSET(A$1,,,SUMPRODUCT(MAX(ROW(E$2:E1653)*(E1653=E$2:E1653)))))-COUNTBLANK(OFFSET(A$1,,,SUMPRODUCT(MAX(ROW(E$1:E1652)*(E2=E$1:E1652))))))</f>
        <v/>
      </c>
      <c r="K1653" s="24" t="str">
        <f>IF(OR(E1653="",E1653="!!!",F1653="NEW"),"",INDEX(J$1:J1652,SUMPRODUCT(MAX(ROW(E$1:E1652)*(E1653=E$1:E1652)))))</f>
        <v/>
      </c>
      <c r="L1653" s="25"/>
    </row>
    <row r="1654" spans="1:12" x14ac:dyDescent="0.3">
      <c r="A1654" t="s">
        <v>1030</v>
      </c>
      <c r="B1654" s="26" t="s">
        <v>337</v>
      </c>
      <c r="C1654" s="26" t="s">
        <v>331</v>
      </c>
      <c r="D1654" s="26" t="s">
        <v>332</v>
      </c>
      <c r="E1654" s="20" t="str">
        <f t="shared" si="194"/>
        <v>!!!</v>
      </c>
      <c r="F1654" s="21" t="str">
        <f>IF(OR(E1654="",E1654="!!!"),"",IF(NOT(ISNA(VLOOKUP(E1654,E$1:E1653,1,FALSE()))),"OLD",IF(AND(E1654&lt;&gt;"",E1654&lt;&gt;"!!!"),"NEW","")))</f>
        <v/>
      </c>
      <c r="G1654" s="22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3" t="str">
        <f t="shared" ca="1" si="195"/>
        <v/>
      </c>
      <c r="I1654" s="24" t="str">
        <f>IF(OR(E1654="",E1654="!!!",F1654="NEW"),"",INDEX(B$2:B1653,-1+SUMPRODUCT(MAX(ROW(E$2:E1653)*(E1654=E$2:E1653)))))</f>
        <v/>
      </c>
      <c r="J1654" s="24" t="str">
        <f ca="1">IF(OR(E1654="",E1654="!!!",F1654="NEW"),"",COUNTBLANK(OFFSET(A$1,,,SUMPRODUCT(MAX(ROW(E$2:E1654)*(E1654=E$2:E1654)))))-COUNTBLANK(OFFSET(A$1,,,SUMPRODUCT(MAX(ROW(E$1:E1653)*(E2=E$1:E1653))))))</f>
        <v/>
      </c>
      <c r="K1654" s="24" t="str">
        <f>IF(OR(E1654="",E1654="!!!",F1654="NEW"),"",INDEX(J$1:J1653,SUMPRODUCT(MAX(ROW(E$1:E1653)*(E1654=E$1:E1653)))))</f>
        <v/>
      </c>
      <c r="L1654" s="25"/>
    </row>
    <row r="1655" spans="1:12" x14ac:dyDescent="0.3">
      <c r="A1655" t="s">
        <v>359</v>
      </c>
      <c r="E1655" s="20" t="str">
        <f t="shared" si="194"/>
        <v/>
      </c>
      <c r="F1655" s="21" t="str">
        <f>IF(OR(E1655="",E1655="!!!"),"",IF(NOT(ISNA(VLOOKUP(E1655,E$1:E1654,1,FALSE()))),"OLD",IF(AND(E1655&lt;&gt;"",E1655&lt;&gt;"!!!"),"NEW","")))</f>
        <v/>
      </c>
      <c r="G1655" s="22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3" t="str">
        <f t="shared" ca="1" si="195"/>
        <v/>
      </c>
      <c r="I1655" s="24" t="str">
        <f>IF(OR(E1655="",E1655="!!!",F1655="NEW"),"",INDEX(B$2:B1654,-1+SUMPRODUCT(MAX(ROW(E$2:E1654)*(E1655=E$2:E1654)))))</f>
        <v/>
      </c>
      <c r="J1655" s="24" t="str">
        <f ca="1">IF(OR(E1655="",E1655="!!!",F1655="NEW"),"",COUNTBLANK(OFFSET(A$1,,,SUMPRODUCT(MAX(ROW(E$2:E1655)*(E1655=E$2:E1655)))))-COUNTBLANK(OFFSET(A$1,,,SUMPRODUCT(MAX(ROW(E$1:E1654)*(E2=E$1:E1654))))))</f>
        <v/>
      </c>
      <c r="K1655" s="24" t="str">
        <f>IF(OR(E1655="",E1655="!!!",F1655="NEW"),"",INDEX(J$1:J1654,SUMPRODUCT(MAX(ROW(E$1:E1654)*(E1655=E$1:E1654)))))</f>
        <v/>
      </c>
      <c r="L1655" s="25"/>
    </row>
    <row r="1656" spans="1:12" x14ac:dyDescent="0.3">
      <c r="A1656" t="s">
        <v>329</v>
      </c>
      <c r="B1656" s="26" t="s">
        <v>337</v>
      </c>
      <c r="C1656" s="26" t="s">
        <v>331</v>
      </c>
      <c r="D1656" s="26" t="s">
        <v>332</v>
      </c>
      <c r="E1656" s="20" t="str">
        <f t="shared" si="194"/>
        <v>!!!</v>
      </c>
      <c r="F1656" s="21" t="str">
        <f>IF(OR(E1656="",E1656="!!!"),"",IF(NOT(ISNA(VLOOKUP(E1656,E$1:E1655,1,FALSE()))),"OLD",IF(AND(E1656&lt;&gt;"",E1656&lt;&gt;"!!!"),"NEW","")))</f>
        <v/>
      </c>
      <c r="G1656" s="22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3" t="str">
        <f t="shared" ca="1" si="195"/>
        <v/>
      </c>
      <c r="I1656" s="24" t="str">
        <f>IF(OR(E1656="",E1656="!!!",F1656="NEW"),"",INDEX(B$2:B1655,-1+SUMPRODUCT(MAX(ROW(E$2:E1655)*(E1656=E$2:E1655)))))</f>
        <v/>
      </c>
      <c r="J1656" s="24" t="str">
        <f ca="1">IF(OR(E1656="",E1656="!!!",F1656="NEW"),"",COUNTBLANK(OFFSET(A$1,,,SUMPRODUCT(MAX(ROW(E$2:E1656)*(E1656=E$2:E1656)))))-COUNTBLANK(OFFSET(A$1,,,SUMPRODUCT(MAX(ROW(E$1:E1655)*(E2=E$1:E1655))))))</f>
        <v/>
      </c>
      <c r="K1656" s="24" t="str">
        <f>IF(OR(E1656="",E1656="!!!",F1656="NEW"),"",INDEX(J$1:J1655,SUMPRODUCT(MAX(ROW(E$1:E1655)*(E1656=E$1:E1655)))))</f>
        <v/>
      </c>
      <c r="L1656" s="25"/>
    </row>
    <row r="1657" spans="1:12" x14ac:dyDescent="0.3">
      <c r="A1657" t="s">
        <v>338</v>
      </c>
      <c r="E1657" s="20" t="str">
        <f t="shared" si="194"/>
        <v/>
      </c>
      <c r="F1657" s="21" t="str">
        <f>IF(OR(E1657="",E1657="!!!"),"",IF(NOT(ISNA(VLOOKUP(E1657,E$1:E1656,1,FALSE()))),"OLD",IF(AND(E1657&lt;&gt;"",E1657&lt;&gt;"!!!"),"NEW","")))</f>
        <v/>
      </c>
      <c r="G1657" s="22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3" t="str">
        <f t="shared" ca="1" si="195"/>
        <v/>
      </c>
      <c r="I1657" s="24" t="str">
        <f>IF(OR(E1657="",E1657="!!!",F1657="NEW"),"",INDEX(B$2:B1656,-1+SUMPRODUCT(MAX(ROW(E$2:E1656)*(E1657=E$2:E1656)))))</f>
        <v/>
      </c>
      <c r="J1657" s="24" t="str">
        <f ca="1">IF(OR(E1657="",E1657="!!!",F1657="NEW"),"",COUNTBLANK(OFFSET(A$1,,,SUMPRODUCT(MAX(ROW(E$2:E1657)*(E1657=E$2:E1657)))))-COUNTBLANK(OFFSET(A$1,,,SUMPRODUCT(MAX(ROW(E$1:E1656)*(E2=E$1:E1656))))))</f>
        <v/>
      </c>
      <c r="K1657" s="24" t="str">
        <f>IF(OR(E1657="",E1657="!!!",F1657="NEW"),"",INDEX(J$1:J1656,SUMPRODUCT(MAX(ROW(E$1:E1656)*(E1657=E$1:E1656)))))</f>
        <v/>
      </c>
      <c r="L1657" s="25"/>
    </row>
    <row r="1659" spans="1:12" x14ac:dyDescent="0.3">
      <c r="A1659" t="s">
        <v>1031</v>
      </c>
    </row>
    <row r="1660" spans="1:12" x14ac:dyDescent="0.3">
      <c r="A1660" t="s">
        <v>483</v>
      </c>
      <c r="B1660" s="26" t="s">
        <v>354</v>
      </c>
      <c r="C1660" s="26" t="s">
        <v>394</v>
      </c>
      <c r="D1660" s="26" t="s">
        <v>332</v>
      </c>
      <c r="E1660" s="20" t="str">
        <f t="shared" ref="E1660:E1666" si="196">IF(D1660="?OLD","!!!","")</f>
        <v>!!!</v>
      </c>
      <c r="F1660" s="21" t="str">
        <f>IF(OR(E1660="",E1660="!!!"),"",IF(NOT(ISNA(VLOOKUP(E1660,E$1:E1659,1,FALSE()))),"OLD",IF(AND(E1660&lt;&gt;"",E1660&lt;&gt;"!!!"),"NEW","")))</f>
        <v/>
      </c>
      <c r="G1660" s="22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/>
      </c>
      <c r="H1660" s="23" t="str">
        <f t="shared" ref="H1660:H1666" ca="1" si="197">IF(J1660&lt;&gt;1,"",IF(I1660="SBJ","CB","?"))</f>
        <v/>
      </c>
      <c r="I1660" s="24" t="str">
        <f>IF(OR(E1660="",E1660="!!!",F1660="NEW"),"",INDEX(B$2:B1659,-1+SUMPRODUCT(MAX(ROW(E$2:E1659)*(E1660=E$2:E1659)))))</f>
        <v/>
      </c>
      <c r="J1660" s="24" t="str">
        <f ca="1">IF(OR(E1660="",E1660="!!!",F1660="NEW"),"",COUNTBLANK(OFFSET(A$1,,,SUMPRODUCT(MAX(ROW(E$2:E1660)*(E1660=E$2:E1660)))))-COUNTBLANK(OFFSET(A$1,,,SUMPRODUCT(MAX(ROW(E$1:E1659)*(E2=E$1:E1659))))))</f>
        <v/>
      </c>
      <c r="K1660" s="24" t="str">
        <f>IF(OR(E1660="",E1660="!!!",F1660="NEW"),"",INDEX(J$1:J1659,SUMPRODUCT(MAX(ROW(E$1:E1659)*(E1660=E$1:E1659)))))</f>
        <v/>
      </c>
      <c r="L1660" s="25"/>
    </row>
    <row r="1661" spans="1:12" x14ac:dyDescent="0.3">
      <c r="A1661" t="s">
        <v>333</v>
      </c>
      <c r="E1661" s="20" t="str">
        <f t="shared" si="196"/>
        <v/>
      </c>
      <c r="F1661" s="21" t="str">
        <f>IF(OR(E1661="",E1661="!!!"),"",IF(NOT(ISNA(VLOOKUP(E1661,E$1:E1660,1,FALSE()))),"OLD",IF(AND(E1661&lt;&gt;"",E1661&lt;&gt;"!!!"),"NEW","")))</f>
        <v/>
      </c>
      <c r="G1661" s="22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3" t="str">
        <f t="shared" ca="1" si="197"/>
        <v/>
      </c>
      <c r="I1661" s="24" t="str">
        <f>IF(OR(E1661="",E1661="!!!",F1661="NEW"),"",INDEX(B$2:B1660,-1+SUMPRODUCT(MAX(ROW(E$2:E1660)*(E1661=E$2:E1660)))))</f>
        <v/>
      </c>
      <c r="J1661" s="24" t="str">
        <f ca="1">IF(OR(E1661="",E1661="!!!",F1661="NEW"),"",COUNTBLANK(OFFSET(A$1,,,SUMPRODUCT(MAX(ROW(E$2:E1661)*(E1661=E$2:E1661)))))-COUNTBLANK(OFFSET(A$1,,,SUMPRODUCT(MAX(ROW(E$1:E1660)*(E2=E$1:E1660))))))</f>
        <v/>
      </c>
      <c r="K1661" s="24" t="str">
        <f>IF(OR(E1661="",E1661="!!!",F1661="NEW"),"",INDEX(J$1:J1660,SUMPRODUCT(MAX(ROW(E$1:E1660)*(E1661=E$1:E1660)))))</f>
        <v/>
      </c>
      <c r="L1661" s="25"/>
    </row>
    <row r="1662" spans="1:12" x14ac:dyDescent="0.3">
      <c r="A1662" t="s">
        <v>556</v>
      </c>
      <c r="E1662" s="20" t="str">
        <f t="shared" si="196"/>
        <v/>
      </c>
      <c r="F1662" s="21" t="str">
        <f>IF(OR(E1662="",E1662="!!!"),"",IF(NOT(ISNA(VLOOKUP(E1662,E$1:E1661,1,FALSE()))),"OLD",IF(AND(E1662&lt;&gt;"",E1662&lt;&gt;"!!!"),"NEW","")))</f>
        <v/>
      </c>
      <c r="G1662" s="22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3" t="str">
        <f t="shared" ca="1" si="197"/>
        <v/>
      </c>
      <c r="I1662" s="24" t="str">
        <f>IF(OR(E1662="",E1662="!!!",F1662="NEW"),"",INDEX(B$2:B1661,-1+SUMPRODUCT(MAX(ROW(E$2:E1661)*(E1662=E$2:E1661)))))</f>
        <v/>
      </c>
      <c r="J1662" s="24" t="str">
        <f ca="1">IF(OR(E1662="",E1662="!!!",F1662="NEW"),"",COUNTBLANK(OFFSET(A$1,,,SUMPRODUCT(MAX(ROW(E$2:E1662)*(E1662=E$2:E1662)))))-COUNTBLANK(OFFSET(A$1,,,SUMPRODUCT(MAX(ROW(E$1:E1661)*(E2=E$1:E1661))))))</f>
        <v/>
      </c>
      <c r="K1662" s="24" t="str">
        <f>IF(OR(E1662="",E1662="!!!",F1662="NEW"),"",INDEX(J$1:J1661,SUMPRODUCT(MAX(ROW(E$1:E1661)*(E1662=E$1:E1661)))))</f>
        <v/>
      </c>
      <c r="L1662" s="25"/>
    </row>
    <row r="1663" spans="1:12" x14ac:dyDescent="0.3">
      <c r="A1663" t="s">
        <v>1032</v>
      </c>
      <c r="E1663" s="20" t="str">
        <f t="shared" si="196"/>
        <v/>
      </c>
      <c r="F1663" s="21" t="str">
        <f>IF(OR(E1663="",E1663="!!!"),"",IF(NOT(ISNA(VLOOKUP(E1663,E$1:E1662,1,FALSE()))),"OLD",IF(AND(E1663&lt;&gt;"",E1663&lt;&gt;"!!!"),"NEW","")))</f>
        <v/>
      </c>
      <c r="G1663" s="22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/>
      </c>
      <c r="H1663" s="23" t="str">
        <f t="shared" ca="1" si="197"/>
        <v/>
      </c>
      <c r="I1663" s="24" t="str">
        <f>IF(OR(E1663="",E1663="!!!",F1663="NEW"),"",INDEX(B$2:B1662,-1+SUMPRODUCT(MAX(ROW(E$2:E1662)*(E1663=E$2:E1662)))))</f>
        <v/>
      </c>
      <c r="J1663" s="24" t="str">
        <f ca="1">IF(OR(E1663="",E1663="!!!",F1663="NEW"),"",COUNTBLANK(OFFSET(A$1,,,SUMPRODUCT(MAX(ROW(E$2:E1663)*(E1663=E$2:E1663)))))-COUNTBLANK(OFFSET(A$1,,,SUMPRODUCT(MAX(ROW(E$1:E1662)*(E2=E$1:E1662))))))</f>
        <v/>
      </c>
      <c r="K1663" s="24" t="str">
        <f>IF(OR(E1663="",E1663="!!!",F1663="NEW"),"",INDEX(J$1:J1662,SUMPRODUCT(MAX(ROW(E$1:E1662)*(E1663=E$1:E1662)))))</f>
        <v/>
      </c>
      <c r="L1663" s="25"/>
    </row>
    <row r="1664" spans="1:12" x14ac:dyDescent="0.3">
      <c r="A1664" t="s">
        <v>1014</v>
      </c>
      <c r="B1664" s="26" t="s">
        <v>337</v>
      </c>
      <c r="C1664" s="26" t="s">
        <v>438</v>
      </c>
      <c r="D1664" s="26" t="s">
        <v>332</v>
      </c>
      <c r="E1664" s="20" t="str">
        <f t="shared" si="196"/>
        <v>!!!</v>
      </c>
      <c r="F1664" s="21" t="str">
        <f>IF(OR(E1664="",E1664="!!!"),"",IF(NOT(ISNA(VLOOKUP(E1664,E$1:E1663,1,FALSE()))),"OLD",IF(AND(E1664&lt;&gt;"",E1664&lt;&gt;"!!!"),"NEW","")))</f>
        <v/>
      </c>
      <c r="G1664" s="22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3" t="str">
        <f t="shared" ca="1" si="197"/>
        <v/>
      </c>
      <c r="I1664" s="24" t="str">
        <f>IF(OR(E1664="",E1664="!!!",F1664="NEW"),"",INDEX(B$2:B1663,-1+SUMPRODUCT(MAX(ROW(E$2:E1663)*(E1664=E$2:E1663)))))</f>
        <v/>
      </c>
      <c r="J1664" s="24" t="str">
        <f ca="1">IF(OR(E1664="",E1664="!!!",F1664="NEW"),"",COUNTBLANK(OFFSET(A$1,,,SUMPRODUCT(MAX(ROW(E$2:E1664)*(E1664=E$2:E1664)))))-COUNTBLANK(OFFSET(A$1,,,SUMPRODUCT(MAX(ROW(E$1:E1663)*(E2=E$1:E1663))))))</f>
        <v/>
      </c>
      <c r="K1664" s="24" t="str">
        <f>IF(OR(E1664="",E1664="!!!",F1664="NEW"),"",INDEX(J$1:J1663,SUMPRODUCT(MAX(ROW(E$1:E1663)*(E1664=E$1:E1663)))))</f>
        <v/>
      </c>
      <c r="L1664" s="25"/>
    </row>
    <row r="1665" spans="1:12" x14ac:dyDescent="0.3">
      <c r="A1665" t="s">
        <v>1033</v>
      </c>
      <c r="B1665" s="26" t="s">
        <v>337</v>
      </c>
      <c r="C1665" s="26" t="s">
        <v>366</v>
      </c>
      <c r="E1665" s="20" t="str">
        <f t="shared" si="196"/>
        <v/>
      </c>
      <c r="F1665" s="21" t="str">
        <f>IF(OR(E1665="",E1665="!!!"),"",IF(NOT(ISNA(VLOOKUP(E1665,E$1:E1664,1,FALSE()))),"OLD",IF(AND(E1665&lt;&gt;"",E1665&lt;&gt;"!!!"),"NEW","")))</f>
        <v/>
      </c>
      <c r="G1665" s="22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3" t="str">
        <f t="shared" ca="1" si="197"/>
        <v/>
      </c>
      <c r="I1665" s="24" t="str">
        <f>IF(OR(E1665="",E1665="!!!",F1665="NEW"),"",INDEX(B$2:B1664,-1+SUMPRODUCT(MAX(ROW(E$2:E1664)*(E1665=E$2:E1664)))))</f>
        <v/>
      </c>
      <c r="J1665" s="24" t="str">
        <f ca="1">IF(OR(E1665="",E1665="!!!",F1665="NEW"),"",COUNTBLANK(OFFSET(A$1,,,SUMPRODUCT(MAX(ROW(E$2:E1665)*(E1665=E$2:E1665)))))-COUNTBLANK(OFFSET(A$1,,,SUMPRODUCT(MAX(ROW(E$1:E1664)*(E2=E$1:E1664))))))</f>
        <v/>
      </c>
      <c r="K1665" s="24" t="str">
        <f>IF(OR(E1665="",E1665="!!!",F1665="NEW"),"",INDEX(J$1:J1664,SUMPRODUCT(MAX(ROW(E$1:E1664)*(E1665=E$1:E1664)))))</f>
        <v/>
      </c>
      <c r="L1665" s="25"/>
    </row>
    <row r="1666" spans="1:12" x14ac:dyDescent="0.3">
      <c r="A1666" t="s">
        <v>338</v>
      </c>
      <c r="E1666" s="20" t="str">
        <f t="shared" si="196"/>
        <v/>
      </c>
      <c r="F1666" s="21" t="str">
        <f>IF(OR(E1666="",E1666="!!!"),"",IF(NOT(ISNA(VLOOKUP(E1666,E$1:E1665,1,FALSE()))),"OLD",IF(AND(E1666&lt;&gt;"",E1666&lt;&gt;"!!!"),"NEW","")))</f>
        <v/>
      </c>
      <c r="G1666" s="22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3" t="str">
        <f t="shared" ca="1" si="197"/>
        <v/>
      </c>
      <c r="I1666" s="24" t="str">
        <f>IF(OR(E1666="",E1666="!!!",F1666="NEW"),"",INDEX(B$2:B1665,-1+SUMPRODUCT(MAX(ROW(E$2:E1665)*(E1666=E$2:E1665)))))</f>
        <v/>
      </c>
      <c r="J1666" s="24" t="str">
        <f ca="1">IF(OR(E1666="",E1666="!!!",F1666="NEW"),"",COUNTBLANK(OFFSET(A$1,,,SUMPRODUCT(MAX(ROW(E$2:E1666)*(E1666=E$2:E1666)))))-COUNTBLANK(OFFSET(A$1,,,SUMPRODUCT(MAX(ROW(E$1:E1665)*(E2=E$1:E1665))))))</f>
        <v/>
      </c>
      <c r="K1666" s="24" t="str">
        <f>IF(OR(E1666="",E1666="!!!",F1666="NEW"),"",INDEX(J$1:J1665,SUMPRODUCT(MAX(ROW(E$1:E1665)*(E1666=E$1:E1665)))))</f>
        <v/>
      </c>
      <c r="L1666" s="25"/>
    </row>
    <row r="1668" spans="1:12" x14ac:dyDescent="0.3">
      <c r="A1668" t="s">
        <v>1034</v>
      </c>
    </row>
    <row r="1669" spans="1:12" x14ac:dyDescent="0.3">
      <c r="A1669" t="s">
        <v>613</v>
      </c>
      <c r="E1669" s="20" t="str">
        <f t="shared" ref="E1669:E1692" si="198">IF(D1669="?OLD","!!!","")</f>
        <v/>
      </c>
      <c r="F1669" s="21" t="str">
        <f>IF(OR(E1669="",E1669="!!!"),"",IF(NOT(ISNA(VLOOKUP(E1669,E$1:E1668,1,FALSE()))),"OLD",IF(AND(E1669&lt;&gt;"",E1669&lt;&gt;"!!!"),"NEW","")))</f>
        <v/>
      </c>
      <c r="G1669" s="22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3" t="str">
        <f t="shared" ref="H1669:H1692" ca="1" si="199">IF(J1669&lt;&gt;1,"",IF(I1669="SBJ","CB","?"))</f>
        <v/>
      </c>
      <c r="I1669" s="24" t="str">
        <f>IF(OR(E1669="",E1669="!!!",F1669="NEW"),"",INDEX(B$2:B1668,-1+SUMPRODUCT(MAX(ROW(E$2:E1668)*(E1669=E$2:E1668)))))</f>
        <v/>
      </c>
      <c r="J1669" s="24" t="str">
        <f ca="1">IF(OR(E1669="",E1669="!!!",F1669="NEW"),"",COUNTBLANK(OFFSET(A$1,,,SUMPRODUCT(MAX(ROW(E$2:E1669)*(E1669=E$2:E1669)))))-COUNTBLANK(OFFSET(A$1,,,SUMPRODUCT(MAX(ROW(E$1:E1668)*(E2=E$1:E1668))))))</f>
        <v/>
      </c>
      <c r="K1669" s="24" t="str">
        <f>IF(OR(E1669="",E1669="!!!",F1669="NEW"),"",INDEX(J$1:J1668,SUMPRODUCT(MAX(ROW(E$1:E1668)*(E1669=E$1:E1668)))))</f>
        <v/>
      </c>
      <c r="L1669" s="25"/>
    </row>
    <row r="1670" spans="1:12" x14ac:dyDescent="0.3">
      <c r="A1670" t="s">
        <v>441</v>
      </c>
      <c r="E1670" s="20" t="str">
        <f t="shared" si="198"/>
        <v/>
      </c>
      <c r="F1670" s="21" t="str">
        <f>IF(OR(E1670="",E1670="!!!"),"",IF(NOT(ISNA(VLOOKUP(E1670,E$1:E1669,1,FALSE()))),"OLD",IF(AND(E1670&lt;&gt;"",E1670&lt;&gt;"!!!"),"NEW","")))</f>
        <v/>
      </c>
      <c r="G1670" s="22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3" t="str">
        <f t="shared" ca="1" si="199"/>
        <v/>
      </c>
      <c r="I1670" s="24" t="str">
        <f>IF(OR(E1670="",E1670="!!!",F1670="NEW"),"",INDEX(B$2:B1669,-1+SUMPRODUCT(MAX(ROW(E$2:E1669)*(E1670=E$2:E1669)))))</f>
        <v/>
      </c>
      <c r="J1670" s="24" t="str">
        <f ca="1">IF(OR(E1670="",E1670="!!!",F1670="NEW"),"",COUNTBLANK(OFFSET(A$1,,,SUMPRODUCT(MAX(ROW(E$2:E1670)*(E1670=E$2:E1670)))))-COUNTBLANK(OFFSET(A$1,,,SUMPRODUCT(MAX(ROW(E$1:E1669)*(E2=E$1:E1669))))))</f>
        <v/>
      </c>
      <c r="K1670" s="24" t="str">
        <f>IF(OR(E1670="",E1670="!!!",F1670="NEW"),"",INDEX(J$1:J1669,SUMPRODUCT(MAX(ROW(E$1:E1669)*(E1670=E$1:E1669)))))</f>
        <v/>
      </c>
      <c r="L1670" s="25"/>
    </row>
    <row r="1671" spans="1:12" x14ac:dyDescent="0.3">
      <c r="A1671" t="s">
        <v>437</v>
      </c>
      <c r="B1671" s="26" t="s">
        <v>330</v>
      </c>
      <c r="C1671" s="26" t="s">
        <v>438</v>
      </c>
      <c r="D1671" s="26" t="s">
        <v>332</v>
      </c>
      <c r="E1671" s="20" t="str">
        <f t="shared" si="198"/>
        <v>!!!</v>
      </c>
      <c r="F1671" s="21" t="str">
        <f>IF(OR(E1671="",E1671="!!!"),"",IF(NOT(ISNA(VLOOKUP(E1671,E$1:E1670,1,FALSE()))),"OLD",IF(AND(E1671&lt;&gt;"",E1671&lt;&gt;"!!!"),"NEW","")))</f>
        <v/>
      </c>
      <c r="G1671" s="22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3" t="str">
        <f t="shared" ca="1" si="199"/>
        <v/>
      </c>
      <c r="I1671" s="24" t="str">
        <f>IF(OR(E1671="",E1671="!!!",F1671="NEW"),"",INDEX(B$2:B1670,-1+SUMPRODUCT(MAX(ROW(E$2:E1670)*(E1671=E$2:E1670)))))</f>
        <v/>
      </c>
      <c r="J1671" s="24" t="str">
        <f ca="1">IF(OR(E1671="",E1671="!!!",F1671="NEW"),"",COUNTBLANK(OFFSET(A$1,,,SUMPRODUCT(MAX(ROW(E$2:E1671)*(E1671=E$2:E1671)))))-COUNTBLANK(OFFSET(A$1,,,SUMPRODUCT(MAX(ROW(E$1:E1670)*(E2=E$1:E1670))))))</f>
        <v/>
      </c>
      <c r="K1671" s="24" t="str">
        <f>IF(OR(E1671="",E1671="!!!",F1671="NEW"),"",INDEX(J$1:J1670,SUMPRODUCT(MAX(ROW(E$1:E1670)*(E1671=E$1:E1670)))))</f>
        <v/>
      </c>
      <c r="L1671" s="25"/>
    </row>
    <row r="1672" spans="1:12" x14ac:dyDescent="0.3">
      <c r="A1672" t="s">
        <v>484</v>
      </c>
      <c r="E1672" s="20" t="str">
        <f t="shared" si="198"/>
        <v/>
      </c>
      <c r="F1672" s="21" t="str">
        <f>IF(OR(E1672="",E1672="!!!"),"",IF(NOT(ISNA(VLOOKUP(E1672,E$1:E1671,1,FALSE()))),"OLD",IF(AND(E1672&lt;&gt;"",E1672&lt;&gt;"!!!"),"NEW","")))</f>
        <v/>
      </c>
      <c r="G1672" s="22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/>
      </c>
      <c r="H1672" s="23" t="str">
        <f t="shared" ca="1" si="199"/>
        <v/>
      </c>
      <c r="I1672" s="24" t="str">
        <f>IF(OR(E1672="",E1672="!!!",F1672="NEW"),"",INDEX(B$2:B1671,-1+SUMPRODUCT(MAX(ROW(E$2:E1671)*(E1672=E$2:E1671)))))</f>
        <v/>
      </c>
      <c r="J1672" s="24" t="str">
        <f ca="1">IF(OR(E1672="",E1672="!!!",F1672="NEW"),"",COUNTBLANK(OFFSET(A$1,,,SUMPRODUCT(MAX(ROW(E$2:E1672)*(E1672=E$2:E1672)))))-COUNTBLANK(OFFSET(A$1,,,SUMPRODUCT(MAX(ROW(E$1:E1671)*(E2=E$1:E1671))))))</f>
        <v/>
      </c>
      <c r="K1672" s="24" t="str">
        <f>IF(OR(E1672="",E1672="!!!",F1672="NEW"),"",INDEX(J$1:J1671,SUMPRODUCT(MAX(ROW(E$1:E1671)*(E1672=E$1:E1671)))))</f>
        <v/>
      </c>
      <c r="L1672" s="25"/>
    </row>
    <row r="1673" spans="1:12" x14ac:dyDescent="0.3">
      <c r="A1673" t="s">
        <v>1035</v>
      </c>
      <c r="E1673" s="20" t="str">
        <f t="shared" si="198"/>
        <v/>
      </c>
      <c r="F1673" s="21" t="str">
        <f>IF(OR(E1673="",E1673="!!!"),"",IF(NOT(ISNA(VLOOKUP(E1673,E$1:E1672,1,FALSE()))),"OLD",IF(AND(E1673&lt;&gt;"",E1673&lt;&gt;"!!!"),"NEW","")))</f>
        <v/>
      </c>
      <c r="G1673" s="22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3" t="str">
        <f t="shared" ca="1" si="199"/>
        <v/>
      </c>
      <c r="I1673" s="24" t="str">
        <f>IF(OR(E1673="",E1673="!!!",F1673="NEW"),"",INDEX(B$2:B1672,-1+SUMPRODUCT(MAX(ROW(E$2:E1672)*(E1673=E$2:E1672)))))</f>
        <v/>
      </c>
      <c r="J1673" s="24" t="str">
        <f ca="1">IF(OR(E1673="",E1673="!!!",F1673="NEW"),"",COUNTBLANK(OFFSET(A$1,,,SUMPRODUCT(MAX(ROW(E$2:E1673)*(E1673=E$2:E1673)))))-COUNTBLANK(OFFSET(A$1,,,SUMPRODUCT(MAX(ROW(E$1:E1672)*(E2=E$1:E1672))))))</f>
        <v/>
      </c>
      <c r="K1673" s="24" t="str">
        <f>IF(OR(E1673="",E1673="!!!",F1673="NEW"),"",INDEX(J$1:J1672,SUMPRODUCT(MAX(ROW(E$1:E1672)*(E1673=E$1:E1672)))))</f>
        <v/>
      </c>
      <c r="L1673" s="25"/>
    </row>
    <row r="1674" spans="1:12" x14ac:dyDescent="0.3">
      <c r="A1674" t="s">
        <v>461</v>
      </c>
      <c r="E1674" s="20" t="str">
        <f t="shared" si="198"/>
        <v/>
      </c>
      <c r="F1674" s="21" t="str">
        <f>IF(OR(E1674="",E1674="!!!"),"",IF(NOT(ISNA(VLOOKUP(E1674,E$1:E1673,1,FALSE()))),"OLD",IF(AND(E1674&lt;&gt;"",E1674&lt;&gt;"!!!"),"NEW","")))</f>
        <v/>
      </c>
      <c r="G1674" s="22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3" t="str">
        <f t="shared" ca="1" si="199"/>
        <v/>
      </c>
      <c r="I1674" s="24" t="str">
        <f>IF(OR(E1674="",E1674="!!!",F1674="NEW"),"",INDEX(B$2:B1673,-1+SUMPRODUCT(MAX(ROW(E$2:E1673)*(E1674=E$2:E1673)))))</f>
        <v/>
      </c>
      <c r="J1674" s="24" t="str">
        <f ca="1">IF(OR(E1674="",E1674="!!!",F1674="NEW"),"",COUNTBLANK(OFFSET(A$1,,,SUMPRODUCT(MAX(ROW(E$2:E1674)*(E1674=E$2:E1674)))))-COUNTBLANK(OFFSET(A$1,,,SUMPRODUCT(MAX(ROW(E$1:E1673)*(E2=E$1:E1673))))))</f>
        <v/>
      </c>
      <c r="K1674" s="24" t="str">
        <f>IF(OR(E1674="",E1674="!!!",F1674="NEW"),"",INDEX(J$1:J1673,SUMPRODUCT(MAX(ROW(E$1:E1673)*(E1674=E$1:E1673)))))</f>
        <v/>
      </c>
      <c r="L1674" s="25"/>
    </row>
    <row r="1675" spans="1:12" x14ac:dyDescent="0.3">
      <c r="A1675" t="s">
        <v>444</v>
      </c>
      <c r="B1675" s="26" t="s">
        <v>378</v>
      </c>
      <c r="C1675" s="26" t="s">
        <v>358</v>
      </c>
      <c r="E1675" s="20" t="str">
        <f t="shared" si="198"/>
        <v/>
      </c>
      <c r="F1675" s="21" t="str">
        <f>IF(OR(E1675="",E1675="!!!"),"",IF(NOT(ISNA(VLOOKUP(E1675,E$1:E1674,1,FALSE()))),"OLD",IF(AND(E1675&lt;&gt;"",E1675&lt;&gt;"!!!"),"NEW","")))</f>
        <v/>
      </c>
      <c r="G1675" s="22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/>
      </c>
      <c r="H1675" s="23" t="str">
        <f t="shared" ca="1" si="199"/>
        <v/>
      </c>
      <c r="I1675" s="24" t="str">
        <f>IF(OR(E1675="",E1675="!!!",F1675="NEW"),"",INDEX(B$2:B1674,-1+SUMPRODUCT(MAX(ROW(E$2:E1674)*(E1675=E$2:E1674)))))</f>
        <v/>
      </c>
      <c r="J1675" s="24" t="str">
        <f ca="1">IF(OR(E1675="",E1675="!!!",F1675="NEW"),"",COUNTBLANK(OFFSET(A$1,,,SUMPRODUCT(MAX(ROW(E$2:E1675)*(E1675=E$2:E1675)))))-COUNTBLANK(OFFSET(A$1,,,SUMPRODUCT(MAX(ROW(E$1:E1674)*(E2=E$1:E1674))))))</f>
        <v/>
      </c>
      <c r="K1675" s="24" t="str">
        <f>IF(OR(E1675="",E1675="!!!",F1675="NEW"),"",INDEX(J$1:J1674,SUMPRODUCT(MAX(ROW(E$1:E1674)*(E1675=E$1:E1674)))))</f>
        <v/>
      </c>
      <c r="L1675" s="25"/>
    </row>
    <row r="1676" spans="1:12" x14ac:dyDescent="0.3">
      <c r="A1676" t="s">
        <v>1036</v>
      </c>
      <c r="E1676" s="20" t="str">
        <f t="shared" si="198"/>
        <v/>
      </c>
      <c r="F1676" s="21" t="str">
        <f>IF(OR(E1676="",E1676="!!!"),"",IF(NOT(ISNA(VLOOKUP(E1676,E$1:E1675,1,FALSE()))),"OLD",IF(AND(E1676&lt;&gt;"",E1676&lt;&gt;"!!!"),"NEW","")))</f>
        <v/>
      </c>
      <c r="G1676" s="22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/>
      </c>
      <c r="H1676" s="23" t="str">
        <f t="shared" ca="1" si="199"/>
        <v/>
      </c>
      <c r="I1676" s="24" t="str">
        <f>IF(OR(E1676="",E1676="!!!",F1676="NEW"),"",INDEX(B$2:B1675,-1+SUMPRODUCT(MAX(ROW(E$2:E1675)*(E1676=E$2:E1675)))))</f>
        <v/>
      </c>
      <c r="J1676" s="24" t="str">
        <f ca="1">IF(OR(E1676="",E1676="!!!",F1676="NEW"),"",COUNTBLANK(OFFSET(A$1,,,SUMPRODUCT(MAX(ROW(E$2:E1676)*(E1676=E$2:E1676)))))-COUNTBLANK(OFFSET(A$1,,,SUMPRODUCT(MAX(ROW(E$1:E1675)*(E2=E$1:E1675))))))</f>
        <v/>
      </c>
      <c r="K1676" s="24" t="str">
        <f>IF(OR(E1676="",E1676="!!!",F1676="NEW"),"",INDEX(J$1:J1675,SUMPRODUCT(MAX(ROW(E$1:E1675)*(E1676=E$1:E1675)))))</f>
        <v/>
      </c>
      <c r="L1676" s="25"/>
    </row>
    <row r="1677" spans="1:12" x14ac:dyDescent="0.3">
      <c r="A1677" t="s">
        <v>1037</v>
      </c>
      <c r="B1677" s="26" t="s">
        <v>337</v>
      </c>
      <c r="C1677" s="26" t="s">
        <v>366</v>
      </c>
      <c r="E1677" s="20" t="str">
        <f t="shared" si="198"/>
        <v/>
      </c>
      <c r="F1677" s="21" t="str">
        <f>IF(OR(E1677="",E1677="!!!"),"",IF(NOT(ISNA(VLOOKUP(E1677,E$1:E1676,1,FALSE()))),"OLD",IF(AND(E1677&lt;&gt;"",E1677&lt;&gt;"!!!"),"NEW","")))</f>
        <v/>
      </c>
      <c r="G1677" s="22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/>
      </c>
      <c r="H1677" s="23" t="str">
        <f t="shared" ca="1" si="199"/>
        <v/>
      </c>
      <c r="I1677" s="24" t="str">
        <f>IF(OR(E1677="",E1677="!!!",F1677="NEW"),"",INDEX(B$2:B1676,-1+SUMPRODUCT(MAX(ROW(E$2:E1676)*(E1677=E$2:E1676)))))</f>
        <v/>
      </c>
      <c r="J1677" s="24" t="str">
        <f ca="1">IF(OR(E1677="",E1677="!!!",F1677="NEW"),"",COUNTBLANK(OFFSET(A$1,,,SUMPRODUCT(MAX(ROW(E$2:E1677)*(E1677=E$2:E1677)))))-COUNTBLANK(OFFSET(A$1,,,SUMPRODUCT(MAX(ROW(E$1:E1676)*(E2=E$1:E1676))))))</f>
        <v/>
      </c>
      <c r="K1677" s="24" t="str">
        <f>IF(OR(E1677="",E1677="!!!",F1677="NEW"),"",INDEX(J$1:J1676,SUMPRODUCT(MAX(ROW(E$1:E1676)*(E1677=E$1:E1676)))))</f>
        <v/>
      </c>
      <c r="L1677" s="25"/>
    </row>
    <row r="1678" spans="1:12" x14ac:dyDescent="0.3">
      <c r="A1678" t="s">
        <v>1038</v>
      </c>
      <c r="E1678" s="20" t="str">
        <f t="shared" si="198"/>
        <v/>
      </c>
      <c r="F1678" s="21" t="str">
        <f>IF(OR(E1678="",E1678="!!!"),"",IF(NOT(ISNA(VLOOKUP(E1678,E$1:E1677,1,FALSE()))),"OLD",IF(AND(E1678&lt;&gt;"",E1678&lt;&gt;"!!!"),"NEW","")))</f>
        <v/>
      </c>
      <c r="G1678" s="22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3" t="str">
        <f t="shared" ca="1" si="199"/>
        <v/>
      </c>
      <c r="I1678" s="24" t="str">
        <f>IF(OR(E1678="",E1678="!!!",F1678="NEW"),"",INDEX(B$2:B1677,-1+SUMPRODUCT(MAX(ROW(E$2:E1677)*(E1678=E$2:E1677)))))</f>
        <v/>
      </c>
      <c r="J1678" s="24" t="str">
        <f ca="1">IF(OR(E1678="",E1678="!!!",F1678="NEW"),"",COUNTBLANK(OFFSET(A$1,,,SUMPRODUCT(MAX(ROW(E$2:E1678)*(E1678=E$2:E1678)))))-COUNTBLANK(OFFSET(A$1,,,SUMPRODUCT(MAX(ROW(E$1:E1677)*(E2=E$1:E1677))))))</f>
        <v/>
      </c>
      <c r="K1678" s="24" t="str">
        <f>IF(OR(E1678="",E1678="!!!",F1678="NEW"),"",INDEX(J$1:J1677,SUMPRODUCT(MAX(ROW(E$1:E1677)*(E1678=E$1:E1677)))))</f>
        <v/>
      </c>
      <c r="L1678" s="25"/>
    </row>
    <row r="1679" spans="1:12" x14ac:dyDescent="0.3">
      <c r="A1679" t="s">
        <v>351</v>
      </c>
      <c r="E1679" s="20" t="str">
        <f t="shared" si="198"/>
        <v/>
      </c>
      <c r="F1679" s="21" t="str">
        <f>IF(OR(E1679="",E1679="!!!"),"",IF(NOT(ISNA(VLOOKUP(E1679,E$1:E1678,1,FALSE()))),"OLD",IF(AND(E1679&lt;&gt;"",E1679&lt;&gt;"!!!"),"NEW","")))</f>
        <v/>
      </c>
      <c r="G1679" s="22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/>
      </c>
      <c r="H1679" s="23" t="str">
        <f t="shared" ca="1" si="199"/>
        <v/>
      </c>
      <c r="I1679" s="24" t="str">
        <f>IF(OR(E1679="",E1679="!!!",F1679="NEW"),"",INDEX(B$2:B1678,-1+SUMPRODUCT(MAX(ROW(E$2:E1678)*(E1679=E$2:E1678)))))</f>
        <v/>
      </c>
      <c r="J1679" s="24" t="str">
        <f ca="1">IF(OR(E1679="",E1679="!!!",F1679="NEW"),"",COUNTBLANK(OFFSET(A$1,,,SUMPRODUCT(MAX(ROW(E$2:E1679)*(E1679=E$2:E1679)))))-COUNTBLANK(OFFSET(A$1,,,SUMPRODUCT(MAX(ROW(E$1:E1678)*(E2=E$1:E1678))))))</f>
        <v/>
      </c>
      <c r="K1679" s="24" t="str">
        <f>IF(OR(E1679="",E1679="!!!",F1679="NEW"),"",INDEX(J$1:J1678,SUMPRODUCT(MAX(ROW(E$1:E1678)*(E1679=E$1:E1678)))))</f>
        <v/>
      </c>
      <c r="L1679" s="25"/>
    </row>
    <row r="1680" spans="1:12" x14ac:dyDescent="0.3">
      <c r="A1680" t="s">
        <v>383</v>
      </c>
      <c r="E1680" s="20" t="str">
        <f t="shared" si="198"/>
        <v/>
      </c>
      <c r="F1680" s="21" t="str">
        <f>IF(OR(E1680="",E1680="!!!"),"",IF(NOT(ISNA(VLOOKUP(E1680,E$1:E1679,1,FALSE()))),"OLD",IF(AND(E1680&lt;&gt;"",E1680&lt;&gt;"!!!"),"NEW","")))</f>
        <v/>
      </c>
      <c r="G1680" s="22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3" t="str">
        <f t="shared" ca="1" si="199"/>
        <v/>
      </c>
      <c r="I1680" s="24" t="str">
        <f>IF(OR(E1680="",E1680="!!!",F1680="NEW"),"",INDEX(B$2:B1679,-1+SUMPRODUCT(MAX(ROW(E$2:E1679)*(E1680=E$2:E1679)))))</f>
        <v/>
      </c>
      <c r="J1680" s="24" t="str">
        <f ca="1">IF(OR(E1680="",E1680="!!!",F1680="NEW"),"",COUNTBLANK(OFFSET(A$1,,,SUMPRODUCT(MAX(ROW(E$2:E1680)*(E1680=E$2:E1680)))))-COUNTBLANK(OFFSET(A$1,,,SUMPRODUCT(MAX(ROW(E$1:E1679)*(E2=E$1:E1679))))))</f>
        <v/>
      </c>
      <c r="K1680" s="24" t="str">
        <f>IF(OR(E1680="",E1680="!!!",F1680="NEW"),"",INDEX(J$1:J1679,SUMPRODUCT(MAX(ROW(E$1:E1679)*(E1680=E$1:E1679)))))</f>
        <v/>
      </c>
      <c r="L1680" s="25"/>
    </row>
    <row r="1681" spans="1:12" x14ac:dyDescent="0.3">
      <c r="A1681" t="s">
        <v>1039</v>
      </c>
      <c r="E1681" s="20" t="str">
        <f t="shared" si="198"/>
        <v/>
      </c>
      <c r="F1681" s="21" t="str">
        <f>IF(OR(E1681="",E1681="!!!"),"",IF(NOT(ISNA(VLOOKUP(E1681,E$1:E1680,1,FALSE()))),"OLD",IF(AND(E1681&lt;&gt;"",E1681&lt;&gt;"!!!"),"NEW","")))</f>
        <v/>
      </c>
      <c r="G1681" s="22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3" t="str">
        <f t="shared" ca="1" si="199"/>
        <v/>
      </c>
      <c r="I1681" s="24" t="str">
        <f>IF(OR(E1681="",E1681="!!!",F1681="NEW"),"",INDEX(B$2:B1680,-1+SUMPRODUCT(MAX(ROW(E$2:E1680)*(E1681=E$2:E1680)))))</f>
        <v/>
      </c>
      <c r="J1681" s="24" t="str">
        <f ca="1">IF(OR(E1681="",E1681="!!!",F1681="NEW"),"",COUNTBLANK(OFFSET(A$1,,,SUMPRODUCT(MAX(ROW(E$2:E1681)*(E1681=E$2:E1681)))))-COUNTBLANK(OFFSET(A$1,,,SUMPRODUCT(MAX(ROW(E$1:E1680)*(E2=E$1:E1680))))))</f>
        <v/>
      </c>
      <c r="K1681" s="24" t="str">
        <f>IF(OR(E1681="",E1681="!!!",F1681="NEW"),"",INDEX(J$1:J1680,SUMPRODUCT(MAX(ROW(E$1:E1680)*(E1681=E$1:E1680)))))</f>
        <v/>
      </c>
      <c r="L1681" s="25"/>
    </row>
    <row r="1682" spans="1:12" x14ac:dyDescent="0.3">
      <c r="A1682" t="s">
        <v>766</v>
      </c>
      <c r="B1682" s="26" t="s">
        <v>337</v>
      </c>
      <c r="C1682" s="26" t="s">
        <v>355</v>
      </c>
      <c r="E1682" s="20" t="str">
        <f t="shared" si="198"/>
        <v/>
      </c>
      <c r="F1682" s="21" t="str">
        <f>IF(OR(E1682="",E1682="!!!"),"",IF(NOT(ISNA(VLOOKUP(E1682,E$1:E1681,1,FALSE()))),"OLD",IF(AND(E1682&lt;&gt;"",E1682&lt;&gt;"!!!"),"NEW","")))</f>
        <v/>
      </c>
      <c r="G1682" s="22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/>
      </c>
      <c r="H1682" s="23" t="str">
        <f t="shared" ca="1" si="199"/>
        <v/>
      </c>
      <c r="I1682" s="24" t="str">
        <f>IF(OR(E1682="",E1682="!!!",F1682="NEW"),"",INDEX(B$2:B1681,-1+SUMPRODUCT(MAX(ROW(E$2:E1681)*(E1682=E$2:E1681)))))</f>
        <v/>
      </c>
      <c r="J1682" s="24" t="str">
        <f ca="1">IF(OR(E1682="",E1682="!!!",F1682="NEW"),"",COUNTBLANK(OFFSET(A$1,,,SUMPRODUCT(MAX(ROW(E$2:E1682)*(E1682=E$2:E1682)))))-COUNTBLANK(OFFSET(A$1,,,SUMPRODUCT(MAX(ROW(E$1:E1681)*(E2=E$1:E1681))))))</f>
        <v/>
      </c>
      <c r="K1682" s="24" t="str">
        <f>IF(OR(E1682="",E1682="!!!",F1682="NEW"),"",INDEX(J$1:J1681,SUMPRODUCT(MAX(ROW(E$1:E1681)*(E1682=E$1:E1681)))))</f>
        <v/>
      </c>
      <c r="L1682" s="25"/>
    </row>
    <row r="1683" spans="1:12" x14ac:dyDescent="0.3">
      <c r="A1683" t="s">
        <v>351</v>
      </c>
      <c r="E1683" s="20" t="str">
        <f t="shared" si="198"/>
        <v/>
      </c>
      <c r="F1683" s="21" t="str">
        <f>IF(OR(E1683="",E1683="!!!"),"",IF(NOT(ISNA(VLOOKUP(E1683,E$1:E1682,1,FALSE()))),"OLD",IF(AND(E1683&lt;&gt;"",E1683&lt;&gt;"!!!"),"NEW","")))</f>
        <v/>
      </c>
      <c r="G1683" s="22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/>
      </c>
      <c r="H1683" s="23" t="str">
        <f t="shared" ca="1" si="199"/>
        <v/>
      </c>
      <c r="I1683" s="24" t="str">
        <f>IF(OR(E1683="",E1683="!!!",F1683="NEW"),"",INDEX(B$2:B1682,-1+SUMPRODUCT(MAX(ROW(E$2:E1682)*(E1683=E$2:E1682)))))</f>
        <v/>
      </c>
      <c r="J1683" s="24" t="str">
        <f ca="1">IF(OR(E1683="",E1683="!!!",F1683="NEW"),"",COUNTBLANK(OFFSET(A$1,,,SUMPRODUCT(MAX(ROW(E$2:E1683)*(E1683=E$2:E1683)))))-COUNTBLANK(OFFSET(A$1,,,SUMPRODUCT(MAX(ROW(E$1:E1682)*(E2=E$1:E1682))))))</f>
        <v/>
      </c>
      <c r="K1683" s="24" t="str">
        <f>IF(OR(E1683="",E1683="!!!",F1683="NEW"),"",INDEX(J$1:J1682,SUMPRODUCT(MAX(ROW(E$1:E1682)*(E1683=E$1:E1682)))))</f>
        <v/>
      </c>
      <c r="L1683" s="25"/>
    </row>
    <row r="1684" spans="1:12" x14ac:dyDescent="0.3">
      <c r="A1684" t="s">
        <v>1040</v>
      </c>
      <c r="E1684" s="20" t="str">
        <f t="shared" si="198"/>
        <v/>
      </c>
      <c r="F1684" s="21" t="str">
        <f>IF(OR(E1684="",E1684="!!!"),"",IF(NOT(ISNA(VLOOKUP(E1684,E$1:E1683,1,FALSE()))),"OLD",IF(AND(E1684&lt;&gt;"",E1684&lt;&gt;"!!!"),"NEW","")))</f>
        <v/>
      </c>
      <c r="G1684" s="22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3" t="str">
        <f t="shared" ca="1" si="199"/>
        <v/>
      </c>
      <c r="I1684" s="24" t="str">
        <f>IF(OR(E1684="",E1684="!!!",F1684="NEW"),"",INDEX(B$2:B1683,-1+SUMPRODUCT(MAX(ROW(E$2:E1683)*(E1684=E$2:E1683)))))</f>
        <v/>
      </c>
      <c r="J1684" s="24" t="str">
        <f ca="1">IF(OR(E1684="",E1684="!!!",F1684="NEW"),"",COUNTBLANK(OFFSET(A$1,,,SUMPRODUCT(MAX(ROW(E$2:E1684)*(E1684=E$2:E1684)))))-COUNTBLANK(OFFSET(A$1,,,SUMPRODUCT(MAX(ROW(E$1:E1683)*(E2=E$1:E1683))))))</f>
        <v/>
      </c>
      <c r="K1684" s="24" t="str">
        <f>IF(OR(E1684="",E1684="!!!",F1684="NEW"),"",INDEX(J$1:J1683,SUMPRODUCT(MAX(ROW(E$1:E1683)*(E1684=E$1:E1683)))))</f>
        <v/>
      </c>
      <c r="L1684" s="25"/>
    </row>
    <row r="1685" spans="1:12" x14ac:dyDescent="0.3">
      <c r="A1685" t="s">
        <v>1041</v>
      </c>
      <c r="B1685" s="26" t="s">
        <v>378</v>
      </c>
      <c r="C1685" s="26" t="s">
        <v>355</v>
      </c>
      <c r="E1685" s="20" t="str">
        <f t="shared" si="198"/>
        <v/>
      </c>
      <c r="F1685" s="21" t="str">
        <f>IF(OR(E1685="",E1685="!!!"),"",IF(NOT(ISNA(VLOOKUP(E1685,E$1:E1684,1,FALSE()))),"OLD",IF(AND(E1685&lt;&gt;"",E1685&lt;&gt;"!!!"),"NEW","")))</f>
        <v/>
      </c>
      <c r="G1685" s="22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3" t="str">
        <f t="shared" ca="1" si="199"/>
        <v/>
      </c>
      <c r="I1685" s="24" t="str">
        <f>IF(OR(E1685="",E1685="!!!",F1685="NEW"),"",INDEX(B$2:B1684,-1+SUMPRODUCT(MAX(ROW(E$2:E1684)*(E1685=E$2:E1684)))))</f>
        <v/>
      </c>
      <c r="J1685" s="24" t="str">
        <f ca="1">IF(OR(E1685="",E1685="!!!",F1685="NEW"),"",COUNTBLANK(OFFSET(A$1,,,SUMPRODUCT(MAX(ROW(E$2:E1685)*(E1685=E$2:E1685)))))-COUNTBLANK(OFFSET(A$1,,,SUMPRODUCT(MAX(ROW(E$1:E1684)*(E2=E$1:E1684))))))</f>
        <v/>
      </c>
      <c r="K1685" s="24" t="str">
        <f>IF(OR(E1685="",E1685="!!!",F1685="NEW"),"",INDEX(J$1:J1684,SUMPRODUCT(MAX(ROW(E$1:E1684)*(E1685=E$1:E1684)))))</f>
        <v/>
      </c>
      <c r="L1685" s="25"/>
    </row>
    <row r="1686" spans="1:12" x14ac:dyDescent="0.3">
      <c r="A1686" t="s">
        <v>351</v>
      </c>
      <c r="E1686" s="20" t="str">
        <f t="shared" si="198"/>
        <v/>
      </c>
      <c r="F1686" s="21" t="str">
        <f>IF(OR(E1686="",E1686="!!!"),"",IF(NOT(ISNA(VLOOKUP(E1686,E$1:E1685,1,FALSE()))),"OLD",IF(AND(E1686&lt;&gt;"",E1686&lt;&gt;"!!!"),"NEW","")))</f>
        <v/>
      </c>
      <c r="G1686" s="22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3" t="str">
        <f t="shared" ca="1" si="199"/>
        <v/>
      </c>
      <c r="I1686" s="24" t="str">
        <f>IF(OR(E1686="",E1686="!!!",F1686="NEW"),"",INDEX(B$2:B1685,-1+SUMPRODUCT(MAX(ROW(E$2:E1685)*(E1686=E$2:E1685)))))</f>
        <v/>
      </c>
      <c r="J1686" s="24" t="str">
        <f ca="1">IF(OR(E1686="",E1686="!!!",F1686="NEW"),"",COUNTBLANK(OFFSET(A$1,,,SUMPRODUCT(MAX(ROW(E$2:E1686)*(E1686=E$2:E1686)))))-COUNTBLANK(OFFSET(A$1,,,SUMPRODUCT(MAX(ROW(E$1:E1685)*(E2=E$1:E1685))))))</f>
        <v/>
      </c>
      <c r="K1686" s="24" t="str">
        <f>IF(OR(E1686="",E1686="!!!",F1686="NEW"),"",INDEX(J$1:J1685,SUMPRODUCT(MAX(ROW(E$1:E1685)*(E1686=E$1:E1685)))))</f>
        <v/>
      </c>
      <c r="L1686" s="25"/>
    </row>
    <row r="1687" spans="1:12" x14ac:dyDescent="0.3">
      <c r="A1687" t="s">
        <v>776</v>
      </c>
      <c r="B1687" s="26" t="s">
        <v>378</v>
      </c>
      <c r="C1687" s="26" t="s">
        <v>355</v>
      </c>
      <c r="E1687" s="20" t="str">
        <f t="shared" si="198"/>
        <v/>
      </c>
      <c r="F1687" s="21" t="str">
        <f>IF(OR(E1687="",E1687="!!!"),"",IF(NOT(ISNA(VLOOKUP(E1687,E$1:E1686,1,FALSE()))),"OLD",IF(AND(E1687&lt;&gt;"",E1687&lt;&gt;"!!!"),"NEW","")))</f>
        <v/>
      </c>
      <c r="G1687" s="22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3" t="str">
        <f t="shared" ca="1" si="199"/>
        <v/>
      </c>
      <c r="I1687" s="24" t="str">
        <f>IF(OR(E1687="",E1687="!!!",F1687="NEW"),"",INDEX(B$2:B1686,-1+SUMPRODUCT(MAX(ROW(E$2:E1686)*(E1687=E$2:E1686)))))</f>
        <v/>
      </c>
      <c r="J1687" s="24" t="str">
        <f ca="1">IF(OR(E1687="",E1687="!!!",F1687="NEW"),"",COUNTBLANK(OFFSET(A$1,,,SUMPRODUCT(MAX(ROW(E$2:E1687)*(E1687=E$2:E1687)))))-COUNTBLANK(OFFSET(A$1,,,SUMPRODUCT(MAX(ROW(E$1:E1686)*(E2=E$1:E1686))))))</f>
        <v/>
      </c>
      <c r="K1687" s="24" t="str">
        <f>IF(OR(E1687="",E1687="!!!",F1687="NEW"),"",INDEX(J$1:J1686,SUMPRODUCT(MAX(ROW(E$1:E1686)*(E1687=E$1:E1686)))))</f>
        <v/>
      </c>
      <c r="L1687" s="25"/>
    </row>
    <row r="1688" spans="1:12" x14ac:dyDescent="0.3">
      <c r="A1688" t="s">
        <v>477</v>
      </c>
      <c r="E1688" s="20" t="str">
        <f t="shared" si="198"/>
        <v/>
      </c>
      <c r="F1688" s="21" t="str">
        <f>IF(OR(E1688="",E1688="!!!"),"",IF(NOT(ISNA(VLOOKUP(E1688,E$1:E1687,1,FALSE()))),"OLD",IF(AND(E1688&lt;&gt;"",E1688&lt;&gt;"!!!"),"NEW","")))</f>
        <v/>
      </c>
      <c r="G1688" s="22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3" t="str">
        <f t="shared" ca="1" si="199"/>
        <v/>
      </c>
      <c r="I1688" s="24" t="str">
        <f>IF(OR(E1688="",E1688="!!!",F1688="NEW"),"",INDEX(B$2:B1687,-1+SUMPRODUCT(MAX(ROW(E$2:E1687)*(E1688=E$2:E1687)))))</f>
        <v/>
      </c>
      <c r="J1688" s="24" t="str">
        <f ca="1">IF(OR(E1688="",E1688="!!!",F1688="NEW"),"",COUNTBLANK(OFFSET(A$1,,,SUMPRODUCT(MAX(ROW(E$2:E1688)*(E1688=E$2:E1688)))))-COUNTBLANK(OFFSET(A$1,,,SUMPRODUCT(MAX(ROW(E$1:E1687)*(E2=E$1:E1687))))))</f>
        <v/>
      </c>
      <c r="K1688" s="24" t="str">
        <f>IF(OR(E1688="",E1688="!!!",F1688="NEW"),"",INDEX(J$1:J1687,SUMPRODUCT(MAX(ROW(E$1:E1687)*(E1688=E$1:E1687)))))</f>
        <v/>
      </c>
      <c r="L1688" s="25"/>
    </row>
    <row r="1689" spans="1:12" x14ac:dyDescent="0.3">
      <c r="A1689" t="s">
        <v>35</v>
      </c>
      <c r="E1689" s="20" t="str">
        <f t="shared" si="198"/>
        <v/>
      </c>
      <c r="F1689" s="21" t="str">
        <f>IF(OR(E1689="",E1689="!!!"),"",IF(NOT(ISNA(VLOOKUP(E1689,E$1:E1688,1,FALSE()))),"OLD",IF(AND(E1689&lt;&gt;"",E1689&lt;&gt;"!!!"),"NEW","")))</f>
        <v/>
      </c>
      <c r="G1689" s="22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3" t="str">
        <f t="shared" ca="1" si="199"/>
        <v/>
      </c>
      <c r="I1689" s="24" t="str">
        <f>IF(OR(E1689="",E1689="!!!",F1689="NEW"),"",INDEX(B$2:B1688,-1+SUMPRODUCT(MAX(ROW(E$2:E1688)*(E1689=E$2:E1688)))))</f>
        <v/>
      </c>
      <c r="J1689" s="24" t="str">
        <f ca="1">IF(OR(E1689="",E1689="!!!",F1689="NEW"),"",COUNTBLANK(OFFSET(A$1,,,SUMPRODUCT(MAX(ROW(E$2:E1689)*(E1689=E$2:E1689)))))-COUNTBLANK(OFFSET(A$1,,,SUMPRODUCT(MAX(ROW(E$1:E1688)*(E2=E$1:E1688))))))</f>
        <v/>
      </c>
      <c r="K1689" s="24" t="str">
        <f>IF(OR(E1689="",E1689="!!!",F1689="NEW"),"",INDEX(J$1:J1688,SUMPRODUCT(MAX(ROW(E$1:E1688)*(E1689=E$1:E1688)))))</f>
        <v/>
      </c>
      <c r="L1689" s="25"/>
    </row>
    <row r="1690" spans="1:12" x14ac:dyDescent="0.3">
      <c r="A1690" t="s">
        <v>455</v>
      </c>
      <c r="B1690" s="26" t="s">
        <v>515</v>
      </c>
      <c r="C1690" s="26" t="s">
        <v>366</v>
      </c>
      <c r="E1690" s="20" t="str">
        <f t="shared" si="198"/>
        <v/>
      </c>
      <c r="F1690" s="21" t="str">
        <f>IF(OR(E1690="",E1690="!!!"),"",IF(NOT(ISNA(VLOOKUP(E1690,E$1:E1689,1,FALSE()))),"OLD",IF(AND(E1690&lt;&gt;"",E1690&lt;&gt;"!!!"),"NEW","")))</f>
        <v/>
      </c>
      <c r="G1690" s="22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/>
      </c>
      <c r="H1690" s="23" t="str">
        <f t="shared" ca="1" si="199"/>
        <v/>
      </c>
      <c r="I1690" s="24" t="str">
        <f>IF(OR(E1690="",E1690="!!!",F1690="NEW"),"",INDEX(B$2:B1689,-1+SUMPRODUCT(MAX(ROW(E$2:E1689)*(E1690=E$2:E1689)))))</f>
        <v/>
      </c>
      <c r="J1690" s="24" t="str">
        <f ca="1">IF(OR(E1690="",E1690="!!!",F1690="NEW"),"",COUNTBLANK(OFFSET(A$1,,,SUMPRODUCT(MAX(ROW(E$2:E1690)*(E1690=E$2:E1690)))))-COUNTBLANK(OFFSET(A$1,,,SUMPRODUCT(MAX(ROW(E$1:E1689)*(E2=E$1:E1689))))))</f>
        <v/>
      </c>
      <c r="K1690" s="24" t="str">
        <f>IF(OR(E1690="",E1690="!!!",F1690="NEW"),"",INDEX(J$1:J1689,SUMPRODUCT(MAX(ROW(E$1:E1689)*(E1690=E$1:E1689)))))</f>
        <v/>
      </c>
      <c r="L1690" s="25"/>
    </row>
    <row r="1691" spans="1:12" x14ac:dyDescent="0.3">
      <c r="A1691" t="s">
        <v>1042</v>
      </c>
      <c r="B1691" s="26" t="s">
        <v>362</v>
      </c>
      <c r="C1691" s="26" t="s">
        <v>496</v>
      </c>
      <c r="D1691" s="26" t="s">
        <v>332</v>
      </c>
      <c r="E1691" s="20" t="str">
        <f t="shared" si="198"/>
        <v>!!!</v>
      </c>
      <c r="F1691" s="21" t="str">
        <f>IF(OR(E1691="",E1691="!!!"),"",IF(NOT(ISNA(VLOOKUP(E1691,E$1:E1690,1,FALSE()))),"OLD",IF(AND(E1691&lt;&gt;"",E1691&lt;&gt;"!!!"),"NEW","")))</f>
        <v/>
      </c>
      <c r="G1691" s="22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3" t="str">
        <f t="shared" ca="1" si="199"/>
        <v/>
      </c>
      <c r="I1691" s="24" t="str">
        <f>IF(OR(E1691="",E1691="!!!",F1691="NEW"),"",INDEX(B$2:B1690,-1+SUMPRODUCT(MAX(ROW(E$2:E1690)*(E1691=E$2:E1690)))))</f>
        <v/>
      </c>
      <c r="J1691" s="24" t="str">
        <f ca="1">IF(OR(E1691="",E1691="!!!",F1691="NEW"),"",COUNTBLANK(OFFSET(A$1,,,SUMPRODUCT(MAX(ROW(E$2:E1691)*(E1691=E$2:E1691)))))-COUNTBLANK(OFFSET(A$1,,,SUMPRODUCT(MAX(ROW(E$1:E1690)*(E2=E$1:E1690))))))</f>
        <v/>
      </c>
      <c r="K1691" s="24" t="str">
        <f>IF(OR(E1691="",E1691="!!!",F1691="NEW"),"",INDEX(J$1:J1690,SUMPRODUCT(MAX(ROW(E$1:E1690)*(E1691=E$1:E1690)))))</f>
        <v/>
      </c>
      <c r="L1691" s="25"/>
    </row>
    <row r="1692" spans="1:12" x14ac:dyDescent="0.3">
      <c r="A1692" t="s">
        <v>338</v>
      </c>
      <c r="E1692" s="20" t="str">
        <f t="shared" si="198"/>
        <v/>
      </c>
      <c r="F1692" s="21" t="str">
        <f>IF(OR(E1692="",E1692="!!!"),"",IF(NOT(ISNA(VLOOKUP(E1692,E$1:E1691,1,FALSE()))),"OLD",IF(AND(E1692&lt;&gt;"",E1692&lt;&gt;"!!!"),"NEW","")))</f>
        <v/>
      </c>
      <c r="G1692" s="22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/>
      </c>
      <c r="H1692" s="23" t="str">
        <f t="shared" ca="1" si="199"/>
        <v/>
      </c>
      <c r="I1692" s="24" t="str">
        <f>IF(OR(E1692="",E1692="!!!",F1692="NEW"),"",INDEX(B$2:B1691,-1+SUMPRODUCT(MAX(ROW(E$2:E1691)*(E1692=E$2:E1691)))))</f>
        <v/>
      </c>
      <c r="J1692" s="24" t="str">
        <f ca="1">IF(OR(E1692="",E1692="!!!",F1692="NEW"),"",COUNTBLANK(OFFSET(A$1,,,SUMPRODUCT(MAX(ROW(E$2:E1692)*(E1692=E$2:E1692)))))-COUNTBLANK(OFFSET(A$1,,,SUMPRODUCT(MAX(ROW(E$1:E1691)*(E2=E$1:E1691))))))</f>
        <v/>
      </c>
      <c r="K1692" s="24" t="str">
        <f>IF(OR(E1692="",E1692="!!!",F1692="NEW"),"",INDEX(J$1:J1691,SUMPRODUCT(MAX(ROW(E$1:E1691)*(E1692=E$1:E1691)))))</f>
        <v/>
      </c>
      <c r="L1692" s="25"/>
    </row>
    <row r="1694" spans="1:12" x14ac:dyDescent="0.3">
      <c r="A1694" t="s">
        <v>1043</v>
      </c>
    </row>
    <row r="1695" spans="1:12" x14ac:dyDescent="0.3">
      <c r="A1695" t="s">
        <v>628</v>
      </c>
      <c r="E1695" s="20" t="str">
        <f t="shared" ref="E1695:E1705" si="200">IF(D1695="?OLD","!!!","")</f>
        <v/>
      </c>
      <c r="F1695" s="21" t="str">
        <f>IF(OR(E1695="",E1695="!!!"),"",IF(NOT(ISNA(VLOOKUP(E1695,E$1:E1694,1,FALSE()))),"OLD",IF(AND(E1695&lt;&gt;"",E1695&lt;&gt;"!!!"),"NEW","")))</f>
        <v/>
      </c>
      <c r="G1695" s="22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3" t="str">
        <f t="shared" ref="H1695:H1705" ca="1" si="201">IF(J1695&lt;&gt;1,"",IF(I1695="SBJ","CB","?"))</f>
        <v/>
      </c>
      <c r="I1695" s="24" t="str">
        <f>IF(OR(E1695="",E1695="!!!",F1695="NEW"),"",INDEX(B$2:B1694,-1+SUMPRODUCT(MAX(ROW(E$2:E1694)*(E1695=E$2:E1694)))))</f>
        <v/>
      </c>
      <c r="J1695" s="24" t="str">
        <f ca="1">IF(OR(E1695="",E1695="!!!",F1695="NEW"),"",COUNTBLANK(OFFSET(A$1,,,SUMPRODUCT(MAX(ROW(E$2:E1695)*(E1695=E$2:E1695)))))-COUNTBLANK(OFFSET(A$1,,,SUMPRODUCT(MAX(ROW(E$1:E1694)*(E2=E$1:E1694))))))</f>
        <v/>
      </c>
      <c r="K1695" s="24" t="str">
        <f>IF(OR(E1695="",E1695="!!!",F1695="NEW"),"",INDEX(J$1:J1694,SUMPRODUCT(MAX(ROW(E$1:E1694)*(E1695=E$1:E1694)))))</f>
        <v/>
      </c>
      <c r="L1695" s="25"/>
    </row>
    <row r="1696" spans="1:12" x14ac:dyDescent="0.3">
      <c r="A1696" t="s">
        <v>646</v>
      </c>
      <c r="E1696" s="20" t="str">
        <f t="shared" si="200"/>
        <v/>
      </c>
      <c r="F1696" s="21" t="str">
        <f>IF(OR(E1696="",E1696="!!!"),"",IF(NOT(ISNA(VLOOKUP(E1696,E$1:E1695,1,FALSE()))),"OLD",IF(AND(E1696&lt;&gt;"",E1696&lt;&gt;"!!!"),"NEW","")))</f>
        <v/>
      </c>
      <c r="G1696" s="22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3" t="str">
        <f t="shared" ca="1" si="201"/>
        <v/>
      </c>
      <c r="I1696" s="24" t="str">
        <f>IF(OR(E1696="",E1696="!!!",F1696="NEW"),"",INDEX(B$2:B1695,-1+SUMPRODUCT(MAX(ROW(E$2:E1695)*(E1696=E$2:E1695)))))</f>
        <v/>
      </c>
      <c r="J1696" s="24" t="str">
        <f ca="1">IF(OR(E1696="",E1696="!!!",F1696="NEW"),"",COUNTBLANK(OFFSET(A$1,,,SUMPRODUCT(MAX(ROW(E$2:E1696)*(E1696=E$2:E1696)))))-COUNTBLANK(OFFSET(A$1,,,SUMPRODUCT(MAX(ROW(E$1:E1695)*(E2=E$1:E1695))))))</f>
        <v/>
      </c>
      <c r="K1696" s="24" t="str">
        <f>IF(OR(E1696="",E1696="!!!",F1696="NEW"),"",INDEX(J$1:J1695,SUMPRODUCT(MAX(ROW(E$1:E1695)*(E1696=E$1:E1695)))))</f>
        <v/>
      </c>
      <c r="L1696" s="25"/>
    </row>
    <row r="1697" spans="1:12" x14ac:dyDescent="0.3">
      <c r="A1697" t="s">
        <v>871</v>
      </c>
      <c r="E1697" s="20" t="str">
        <f t="shared" si="200"/>
        <v/>
      </c>
      <c r="F1697" s="21" t="str">
        <f>IF(OR(E1697="",E1697="!!!"),"",IF(NOT(ISNA(VLOOKUP(E1697,E$1:E1696,1,FALSE()))),"OLD",IF(AND(E1697&lt;&gt;"",E1697&lt;&gt;"!!!"),"NEW","")))</f>
        <v/>
      </c>
      <c r="G1697" s="22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3" t="str">
        <f t="shared" ca="1" si="201"/>
        <v/>
      </c>
      <c r="I1697" s="24" t="str">
        <f>IF(OR(E1697="",E1697="!!!",F1697="NEW"),"",INDEX(B$2:B1696,-1+SUMPRODUCT(MAX(ROW(E$2:E1696)*(E1697=E$2:E1696)))))</f>
        <v/>
      </c>
      <c r="J1697" s="24" t="str">
        <f ca="1">IF(OR(E1697="",E1697="!!!",F1697="NEW"),"",COUNTBLANK(OFFSET(A$1,,,SUMPRODUCT(MAX(ROW(E$2:E1697)*(E1697=E$2:E1697)))))-COUNTBLANK(OFFSET(A$1,,,SUMPRODUCT(MAX(ROW(E$1:E1696)*(E2=E$1:E1696))))))</f>
        <v/>
      </c>
      <c r="K1697" s="24" t="str">
        <f>IF(OR(E1697="",E1697="!!!",F1697="NEW"),"",INDEX(J$1:J1696,SUMPRODUCT(MAX(ROW(E$1:E1696)*(E1697=E$1:E1696)))))</f>
        <v/>
      </c>
      <c r="L1697" s="25"/>
    </row>
    <row r="1698" spans="1:12" x14ac:dyDescent="0.3">
      <c r="A1698" t="s">
        <v>565</v>
      </c>
      <c r="B1698" s="26" t="s">
        <v>330</v>
      </c>
      <c r="C1698" s="26" t="s">
        <v>355</v>
      </c>
      <c r="E1698" s="20" t="str">
        <f t="shared" si="200"/>
        <v/>
      </c>
      <c r="F1698" s="21" t="str">
        <f>IF(OR(E1698="",E1698="!!!"),"",IF(NOT(ISNA(VLOOKUP(E1698,E$1:E1697,1,FALSE()))),"OLD",IF(AND(E1698&lt;&gt;"",E1698&lt;&gt;"!!!"),"NEW","")))</f>
        <v/>
      </c>
      <c r="G1698" s="22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3" t="str">
        <f t="shared" ca="1" si="201"/>
        <v/>
      </c>
      <c r="I1698" s="24" t="str">
        <f>IF(OR(E1698="",E1698="!!!",F1698="NEW"),"",INDEX(B$2:B1697,-1+SUMPRODUCT(MAX(ROW(E$2:E1697)*(E1698=E$2:E1697)))))</f>
        <v/>
      </c>
      <c r="J1698" s="24" t="str">
        <f ca="1">IF(OR(E1698="",E1698="!!!",F1698="NEW"),"",COUNTBLANK(OFFSET(A$1,,,SUMPRODUCT(MAX(ROW(E$2:E1698)*(E1698=E$2:E1698)))))-COUNTBLANK(OFFSET(A$1,,,SUMPRODUCT(MAX(ROW(E$1:E1697)*(E2=E$1:E1697))))))</f>
        <v/>
      </c>
      <c r="K1698" s="24" t="str">
        <f>IF(OR(E1698="",E1698="!!!",F1698="NEW"),"",INDEX(J$1:J1697,SUMPRODUCT(MAX(ROW(E$1:E1697)*(E1698=E$1:E1697)))))</f>
        <v/>
      </c>
      <c r="L1698" s="25"/>
    </row>
    <row r="1699" spans="1:12" x14ac:dyDescent="0.3">
      <c r="A1699" t="s">
        <v>380</v>
      </c>
      <c r="E1699" s="20" t="str">
        <f t="shared" si="200"/>
        <v/>
      </c>
      <c r="F1699" s="21" t="str">
        <f>IF(OR(E1699="",E1699="!!!"),"",IF(NOT(ISNA(VLOOKUP(E1699,E$1:E1698,1,FALSE()))),"OLD",IF(AND(E1699&lt;&gt;"",E1699&lt;&gt;"!!!"),"NEW","")))</f>
        <v/>
      </c>
      <c r="G1699" s="22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3" t="str">
        <f t="shared" ca="1" si="201"/>
        <v/>
      </c>
      <c r="I1699" s="24" t="str">
        <f>IF(OR(E1699="",E1699="!!!",F1699="NEW"),"",INDEX(B$2:B1698,-1+SUMPRODUCT(MAX(ROW(E$2:E1698)*(E1699=E$2:E1698)))))</f>
        <v/>
      </c>
      <c r="J1699" s="24" t="str">
        <f ca="1">IF(OR(E1699="",E1699="!!!",F1699="NEW"),"",COUNTBLANK(OFFSET(A$1,,,SUMPRODUCT(MAX(ROW(E$2:E1699)*(E1699=E$2:E1699)))))-COUNTBLANK(OFFSET(A$1,,,SUMPRODUCT(MAX(ROW(E$1:E1698)*(E2=E$1:E1698))))))</f>
        <v/>
      </c>
      <c r="K1699" s="24" t="str">
        <f>IF(OR(E1699="",E1699="!!!",F1699="NEW"),"",INDEX(J$1:J1698,SUMPRODUCT(MAX(ROW(E$1:E1698)*(E1699=E$1:E1698)))))</f>
        <v/>
      </c>
      <c r="L1699" s="25"/>
    </row>
    <row r="1700" spans="1:12" x14ac:dyDescent="0.3">
      <c r="A1700" t="s">
        <v>569</v>
      </c>
      <c r="B1700" s="26" t="s">
        <v>344</v>
      </c>
      <c r="C1700" s="26" t="s">
        <v>496</v>
      </c>
      <c r="D1700" s="26" t="s">
        <v>332</v>
      </c>
      <c r="E1700" s="20" t="str">
        <f t="shared" si="200"/>
        <v>!!!</v>
      </c>
      <c r="F1700" s="21" t="str">
        <f>IF(OR(E1700="",E1700="!!!"),"",IF(NOT(ISNA(VLOOKUP(E1700,E$1:E1699,1,FALSE()))),"OLD",IF(AND(E1700&lt;&gt;"",E1700&lt;&gt;"!!!"),"NEW","")))</f>
        <v/>
      </c>
      <c r="G1700" s="22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3" t="str">
        <f t="shared" ca="1" si="201"/>
        <v/>
      </c>
      <c r="I1700" s="24" t="str">
        <f>IF(OR(E1700="",E1700="!!!",F1700="NEW"),"",INDEX(B$2:B1699,-1+SUMPRODUCT(MAX(ROW(E$2:E1699)*(E1700=E$2:E1699)))))</f>
        <v/>
      </c>
      <c r="J1700" s="24" t="str">
        <f ca="1">IF(OR(E1700="",E1700="!!!",F1700="NEW"),"",COUNTBLANK(OFFSET(A$1,,,SUMPRODUCT(MAX(ROW(E$2:E1700)*(E1700=E$2:E1700)))))-COUNTBLANK(OFFSET(A$1,,,SUMPRODUCT(MAX(ROW(E$1:E1699)*(E2=E$1:E1699))))))</f>
        <v/>
      </c>
      <c r="K1700" s="24" t="str">
        <f>IF(OR(E1700="",E1700="!!!",F1700="NEW"),"",INDEX(J$1:J1699,SUMPRODUCT(MAX(ROW(E$1:E1699)*(E1700=E$1:E1699)))))</f>
        <v/>
      </c>
      <c r="L1700" s="25"/>
    </row>
    <row r="1701" spans="1:12" x14ac:dyDescent="0.3">
      <c r="A1701" t="s">
        <v>334</v>
      </c>
      <c r="E1701" s="20" t="str">
        <f t="shared" si="200"/>
        <v/>
      </c>
      <c r="F1701" s="21" t="str">
        <f>IF(OR(E1701="",E1701="!!!"),"",IF(NOT(ISNA(VLOOKUP(E1701,E$1:E1700,1,FALSE()))),"OLD",IF(AND(E1701&lt;&gt;"",E1701&lt;&gt;"!!!"),"NEW","")))</f>
        <v/>
      </c>
      <c r="G1701" s="22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3" t="str">
        <f t="shared" ca="1" si="201"/>
        <v/>
      </c>
      <c r="I1701" s="24" t="str">
        <f>IF(OR(E1701="",E1701="!!!",F1701="NEW"),"",INDEX(B$2:B1700,-1+SUMPRODUCT(MAX(ROW(E$2:E1700)*(E1701=E$2:E1700)))))</f>
        <v/>
      </c>
      <c r="J1701" s="24" t="str">
        <f ca="1">IF(OR(E1701="",E1701="!!!",F1701="NEW"),"",COUNTBLANK(OFFSET(A$1,,,SUMPRODUCT(MAX(ROW(E$2:E1701)*(E1701=E$2:E1701)))))-COUNTBLANK(OFFSET(A$1,,,SUMPRODUCT(MAX(ROW(E$1:E1700)*(E2=E$1:E1700))))))</f>
        <v/>
      </c>
      <c r="K1701" s="24" t="str">
        <f>IF(OR(E1701="",E1701="!!!",F1701="NEW"),"",INDEX(J$1:J1700,SUMPRODUCT(MAX(ROW(E$1:E1700)*(E1701=E$1:E1700)))))</f>
        <v/>
      </c>
      <c r="L1701" s="25"/>
    </row>
    <row r="1702" spans="1:12" x14ac:dyDescent="0.3">
      <c r="A1702" t="s">
        <v>894</v>
      </c>
      <c r="E1702" s="20" t="str">
        <f t="shared" si="200"/>
        <v/>
      </c>
      <c r="F1702" s="21" t="str">
        <f>IF(OR(E1702="",E1702="!!!"),"",IF(NOT(ISNA(VLOOKUP(E1702,E$1:E1701,1,FALSE()))),"OLD",IF(AND(E1702&lt;&gt;"",E1702&lt;&gt;"!!!"),"NEW","")))</f>
        <v/>
      </c>
      <c r="G1702" s="22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3" t="str">
        <f t="shared" ca="1" si="201"/>
        <v/>
      </c>
      <c r="I1702" s="24" t="str">
        <f>IF(OR(E1702="",E1702="!!!",F1702="NEW"),"",INDEX(B$2:B1701,-1+SUMPRODUCT(MAX(ROW(E$2:E1701)*(E1702=E$2:E1701)))))</f>
        <v/>
      </c>
      <c r="J1702" s="24" t="str">
        <f ca="1">IF(OR(E1702="",E1702="!!!",F1702="NEW"),"",COUNTBLANK(OFFSET(A$1,,,SUMPRODUCT(MAX(ROW(E$2:E1702)*(E1702=E$2:E1702)))))-COUNTBLANK(OFFSET(A$1,,,SUMPRODUCT(MAX(ROW(E$1:E1701)*(E2=E$1:E1701))))))</f>
        <v/>
      </c>
      <c r="K1702" s="24" t="str">
        <f>IF(OR(E1702="",E1702="!!!",F1702="NEW"),"",INDEX(J$1:J1701,SUMPRODUCT(MAX(ROW(E$1:E1701)*(E1702=E$1:E1701)))))</f>
        <v/>
      </c>
      <c r="L1702" s="25"/>
    </row>
    <row r="1703" spans="1:12" x14ac:dyDescent="0.3">
      <c r="A1703" t="s">
        <v>923</v>
      </c>
      <c r="B1703" s="26" t="s">
        <v>337</v>
      </c>
      <c r="C1703" s="26" t="s">
        <v>663</v>
      </c>
      <c r="E1703" s="20" t="str">
        <f t="shared" si="200"/>
        <v/>
      </c>
      <c r="F1703" s="21" t="str">
        <f>IF(OR(E1703="",E1703="!!!"),"",IF(NOT(ISNA(VLOOKUP(E1703,E$1:E1702,1,FALSE()))),"OLD",IF(AND(E1703&lt;&gt;"",E1703&lt;&gt;"!!!"),"NEW","")))</f>
        <v/>
      </c>
      <c r="G1703" s="22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/>
      </c>
      <c r="H1703" s="23" t="str">
        <f t="shared" ca="1" si="201"/>
        <v/>
      </c>
      <c r="I1703" s="24" t="str">
        <f>IF(OR(E1703="",E1703="!!!",F1703="NEW"),"",INDEX(B$2:B1702,-1+SUMPRODUCT(MAX(ROW(E$2:E1702)*(E1703=E$2:E1702)))))</f>
        <v/>
      </c>
      <c r="J1703" s="24" t="str">
        <f ca="1">IF(OR(E1703="",E1703="!!!",F1703="NEW"),"",COUNTBLANK(OFFSET(A$1,,,SUMPRODUCT(MAX(ROW(E$2:E1703)*(E1703=E$2:E1703)))))-COUNTBLANK(OFFSET(A$1,,,SUMPRODUCT(MAX(ROW(E$1:E1702)*(E2=E$1:E1702))))))</f>
        <v/>
      </c>
      <c r="K1703" s="24" t="str">
        <f>IF(OR(E1703="",E1703="!!!",F1703="NEW"),"",INDEX(J$1:J1702,SUMPRODUCT(MAX(ROW(E$1:E1702)*(E1703=E$1:E1702)))))</f>
        <v/>
      </c>
      <c r="L1703" s="25"/>
    </row>
    <row r="1704" spans="1:12" x14ac:dyDescent="0.3">
      <c r="A1704" t="s">
        <v>926</v>
      </c>
      <c r="E1704" s="20" t="str">
        <f t="shared" si="200"/>
        <v/>
      </c>
      <c r="F1704" s="21" t="str">
        <f>IF(OR(E1704="",E1704="!!!"),"",IF(NOT(ISNA(VLOOKUP(E1704,E$1:E1703,1,FALSE()))),"OLD",IF(AND(E1704&lt;&gt;"",E1704&lt;&gt;"!!!"),"NEW","")))</f>
        <v/>
      </c>
      <c r="G1704" s="22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3" t="str">
        <f t="shared" ca="1" si="201"/>
        <v/>
      </c>
      <c r="I1704" s="24" t="str">
        <f>IF(OR(E1704="",E1704="!!!",F1704="NEW"),"",INDEX(B$2:B1703,-1+SUMPRODUCT(MAX(ROW(E$2:E1703)*(E1704=E$2:E1703)))))</f>
        <v/>
      </c>
      <c r="J1704" s="24" t="str">
        <f ca="1">IF(OR(E1704="",E1704="!!!",F1704="NEW"),"",COUNTBLANK(OFFSET(A$1,,,SUMPRODUCT(MAX(ROW(E$2:E1704)*(E1704=E$2:E1704)))))-COUNTBLANK(OFFSET(A$1,,,SUMPRODUCT(MAX(ROW(E$1:E1703)*(E2=E$1:E1703))))))</f>
        <v/>
      </c>
      <c r="K1704" s="24" t="str">
        <f>IF(OR(E1704="",E1704="!!!",F1704="NEW"),"",INDEX(J$1:J1703,SUMPRODUCT(MAX(ROW(E$1:E1703)*(E1704=E$1:E1703)))))</f>
        <v/>
      </c>
      <c r="L1704" s="25"/>
    </row>
    <row r="1705" spans="1:12" x14ac:dyDescent="0.3">
      <c r="A1705" t="s">
        <v>338</v>
      </c>
      <c r="E1705" s="20" t="str">
        <f t="shared" si="200"/>
        <v/>
      </c>
      <c r="F1705" s="21" t="str">
        <f>IF(OR(E1705="",E1705="!!!"),"",IF(NOT(ISNA(VLOOKUP(E1705,E$1:E1704,1,FALSE()))),"OLD",IF(AND(E1705&lt;&gt;"",E1705&lt;&gt;"!!!"),"NEW","")))</f>
        <v/>
      </c>
      <c r="G1705" s="22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3" t="str">
        <f t="shared" ca="1" si="201"/>
        <v/>
      </c>
      <c r="I1705" s="24" t="str">
        <f>IF(OR(E1705="",E1705="!!!",F1705="NEW"),"",INDEX(B$2:B1704,-1+SUMPRODUCT(MAX(ROW(E$2:E1704)*(E1705=E$2:E1704)))))</f>
        <v/>
      </c>
      <c r="J1705" s="24" t="str">
        <f ca="1">IF(OR(E1705="",E1705="!!!",F1705="NEW"),"",COUNTBLANK(OFFSET(A$1,,,SUMPRODUCT(MAX(ROW(E$2:E1705)*(E1705=E$2:E1705)))))-COUNTBLANK(OFFSET(A$1,,,SUMPRODUCT(MAX(ROW(E$1:E1704)*(E2=E$1:E1704))))))</f>
        <v/>
      </c>
      <c r="K1705" s="24" t="str">
        <f>IF(OR(E1705="",E1705="!!!",F1705="NEW"),"",INDEX(J$1:J1704,SUMPRODUCT(MAX(ROW(E$1:E1704)*(E1705=E$1:E1704)))))</f>
        <v/>
      </c>
      <c r="L1705" s="25"/>
    </row>
    <row r="1707" spans="1:12" x14ac:dyDescent="0.3">
      <c r="A1707" t="s">
        <v>1044</v>
      </c>
    </row>
    <row r="1708" spans="1:12" x14ac:dyDescent="0.3">
      <c r="A1708" t="s">
        <v>1045</v>
      </c>
      <c r="B1708" s="26" t="s">
        <v>337</v>
      </c>
      <c r="C1708" s="26" t="s">
        <v>438</v>
      </c>
      <c r="D1708" s="26" t="s">
        <v>332</v>
      </c>
      <c r="E1708" s="20" t="str">
        <f t="shared" ref="E1708:E1741" si="202">IF(D1708="?OLD","!!!","")</f>
        <v>!!!</v>
      </c>
      <c r="F1708" s="21" t="str">
        <f>IF(OR(E1708="",E1708="!!!"),"",IF(NOT(ISNA(VLOOKUP(E1708,E$1:E1707,1,FALSE()))),"OLD",IF(AND(E1708&lt;&gt;"",E1708&lt;&gt;"!!!"),"NEW","")))</f>
        <v/>
      </c>
      <c r="G1708" s="22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3" t="str">
        <f t="shared" ref="H1708:H1741" ca="1" si="203">IF(J1708&lt;&gt;1,"",IF(I1708="SBJ","CB","?"))</f>
        <v/>
      </c>
      <c r="I1708" s="24" t="str">
        <f>IF(OR(E1708="",E1708="!!!",F1708="NEW"),"",INDEX(B$2:B1707,-1+SUMPRODUCT(MAX(ROW(E$2:E1707)*(E1708=E$2:E1707)))))</f>
        <v/>
      </c>
      <c r="J1708" s="24" t="str">
        <f ca="1">IF(OR(E1708="",E1708="!!!",F1708="NEW"),"",COUNTBLANK(OFFSET(A$1,,,SUMPRODUCT(MAX(ROW(E$2:E1708)*(E1708=E$2:E1708)))))-COUNTBLANK(OFFSET(A$1,,,SUMPRODUCT(MAX(ROW(E$1:E1707)*(E2=E$1:E1707))))))</f>
        <v/>
      </c>
      <c r="K1708" s="24" t="str">
        <f>IF(OR(E1708="",E1708="!!!",F1708="NEW"),"",INDEX(J$1:J1707,SUMPRODUCT(MAX(ROW(E$1:E1707)*(E1708=E$1:E1707)))))</f>
        <v/>
      </c>
      <c r="L1708" s="25"/>
    </row>
    <row r="1709" spans="1:12" x14ac:dyDescent="0.3">
      <c r="A1709" t="s">
        <v>1046</v>
      </c>
      <c r="E1709" s="20" t="str">
        <f t="shared" si="202"/>
        <v/>
      </c>
      <c r="F1709" s="21" t="str">
        <f>IF(OR(E1709="",E1709="!!!"),"",IF(NOT(ISNA(VLOOKUP(E1709,E$1:E1708,1,FALSE()))),"OLD",IF(AND(E1709&lt;&gt;"",E1709&lt;&gt;"!!!"),"NEW","")))</f>
        <v/>
      </c>
      <c r="G1709" s="22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3" t="str">
        <f t="shared" ca="1" si="203"/>
        <v/>
      </c>
      <c r="I1709" s="24" t="str">
        <f>IF(OR(E1709="",E1709="!!!",F1709="NEW"),"",INDEX(B$2:B1708,-1+SUMPRODUCT(MAX(ROW(E$2:E1708)*(E1709=E$2:E1708)))))</f>
        <v/>
      </c>
      <c r="J1709" s="24" t="str">
        <f ca="1">IF(OR(E1709="",E1709="!!!",F1709="NEW"),"",COUNTBLANK(OFFSET(A$1,,,SUMPRODUCT(MAX(ROW(E$2:E1709)*(E1709=E$2:E1709)))))-COUNTBLANK(OFFSET(A$1,,,SUMPRODUCT(MAX(ROW(E$1:E1708)*(E2=E$1:E1708))))))</f>
        <v/>
      </c>
      <c r="K1709" s="24" t="str">
        <f>IF(OR(E1709="",E1709="!!!",F1709="NEW"),"",INDEX(J$1:J1708,SUMPRODUCT(MAX(ROW(E$1:E1708)*(E1709=E$1:E1708)))))</f>
        <v/>
      </c>
      <c r="L1709" s="25"/>
    </row>
    <row r="1710" spans="1:12" x14ac:dyDescent="0.3">
      <c r="A1710" t="s">
        <v>351</v>
      </c>
      <c r="E1710" s="20" t="str">
        <f t="shared" si="202"/>
        <v/>
      </c>
      <c r="F1710" s="21" t="str">
        <f>IF(OR(E1710="",E1710="!!!"),"",IF(NOT(ISNA(VLOOKUP(E1710,E$1:E1709,1,FALSE()))),"OLD",IF(AND(E1710&lt;&gt;"",E1710&lt;&gt;"!!!"),"NEW","")))</f>
        <v/>
      </c>
      <c r="G1710" s="22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3" t="str">
        <f t="shared" ca="1" si="203"/>
        <v/>
      </c>
      <c r="I1710" s="24" t="str">
        <f>IF(OR(E1710="",E1710="!!!",F1710="NEW"),"",INDEX(B$2:B1709,-1+SUMPRODUCT(MAX(ROW(E$2:E1709)*(E1710=E$2:E1709)))))</f>
        <v/>
      </c>
      <c r="J1710" s="24" t="str">
        <f ca="1">IF(OR(E1710="",E1710="!!!",F1710="NEW"),"",COUNTBLANK(OFFSET(A$1,,,SUMPRODUCT(MAX(ROW(E$2:E1710)*(E1710=E$2:E1710)))))-COUNTBLANK(OFFSET(A$1,,,SUMPRODUCT(MAX(ROW(E$1:E1709)*(E2=E$1:E1709))))))</f>
        <v/>
      </c>
      <c r="K1710" s="24" t="str">
        <f>IF(OR(E1710="",E1710="!!!",F1710="NEW"),"",INDEX(J$1:J1709,SUMPRODUCT(MAX(ROW(E$1:E1709)*(E1710=E$1:E1709)))))</f>
        <v/>
      </c>
      <c r="L1710" s="25"/>
    </row>
    <row r="1711" spans="1:12" x14ac:dyDescent="0.3">
      <c r="A1711" t="s">
        <v>370</v>
      </c>
      <c r="E1711" s="20" t="str">
        <f t="shared" si="202"/>
        <v/>
      </c>
      <c r="F1711" s="21" t="str">
        <f>IF(OR(E1711="",E1711="!!!"),"",IF(NOT(ISNA(VLOOKUP(E1711,E$1:E1710,1,FALSE()))),"OLD",IF(AND(E1711&lt;&gt;"",E1711&lt;&gt;"!!!"),"NEW","")))</f>
        <v/>
      </c>
      <c r="G1711" s="22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/>
      </c>
      <c r="H1711" s="23" t="str">
        <f t="shared" ca="1" si="203"/>
        <v/>
      </c>
      <c r="I1711" s="24" t="str">
        <f>IF(OR(E1711="",E1711="!!!",F1711="NEW"),"",INDEX(B$2:B1710,-1+SUMPRODUCT(MAX(ROW(E$2:E1710)*(E1711=E$2:E1710)))))</f>
        <v/>
      </c>
      <c r="J1711" s="24" t="str">
        <f ca="1">IF(OR(E1711="",E1711="!!!",F1711="NEW"),"",COUNTBLANK(OFFSET(A$1,,,SUMPRODUCT(MAX(ROW(E$2:E1711)*(E1711=E$2:E1711)))))-COUNTBLANK(OFFSET(A$1,,,SUMPRODUCT(MAX(ROW(E$1:E1710)*(E2=E$1:E1710))))))</f>
        <v/>
      </c>
      <c r="K1711" s="24" t="str">
        <f>IF(OR(E1711="",E1711="!!!",F1711="NEW"),"",INDEX(J$1:J1710,SUMPRODUCT(MAX(ROW(E$1:E1710)*(E1711=E$1:E1710)))))</f>
        <v/>
      </c>
      <c r="L1711" s="25"/>
    </row>
    <row r="1712" spans="1:12" x14ac:dyDescent="0.3">
      <c r="A1712" t="s">
        <v>473</v>
      </c>
      <c r="B1712" s="26" t="s">
        <v>354</v>
      </c>
      <c r="C1712" s="26" t="s">
        <v>438</v>
      </c>
      <c r="D1712" s="26" t="s">
        <v>332</v>
      </c>
      <c r="E1712" s="20" t="str">
        <f t="shared" si="202"/>
        <v>!!!</v>
      </c>
      <c r="F1712" s="21" t="str">
        <f>IF(OR(E1712="",E1712="!!!"),"",IF(NOT(ISNA(VLOOKUP(E1712,E$1:E1711,1,FALSE()))),"OLD",IF(AND(E1712&lt;&gt;"",E1712&lt;&gt;"!!!"),"NEW","")))</f>
        <v/>
      </c>
      <c r="G1712" s="22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3" t="str">
        <f t="shared" ca="1" si="203"/>
        <v/>
      </c>
      <c r="I1712" s="24" t="str">
        <f>IF(OR(E1712="",E1712="!!!",F1712="NEW"),"",INDEX(B$2:B1711,-1+SUMPRODUCT(MAX(ROW(E$2:E1711)*(E1712=E$2:E1711)))))</f>
        <v/>
      </c>
      <c r="J1712" s="24" t="str">
        <f ca="1">IF(OR(E1712="",E1712="!!!",F1712="NEW"),"",COUNTBLANK(OFFSET(A$1,,,SUMPRODUCT(MAX(ROW(E$2:E1712)*(E1712=E$2:E1712)))))-COUNTBLANK(OFFSET(A$1,,,SUMPRODUCT(MAX(ROW(E$1:E1711)*(E2=E$1:E1711))))))</f>
        <v/>
      </c>
      <c r="K1712" s="24" t="str">
        <f>IF(OR(E1712="",E1712="!!!",F1712="NEW"),"",INDEX(J$1:J1711,SUMPRODUCT(MAX(ROW(E$1:E1711)*(E1712=E$1:E1711)))))</f>
        <v/>
      </c>
      <c r="L1712" s="25"/>
    </row>
    <row r="1713" spans="1:12" x14ac:dyDescent="0.3">
      <c r="A1713" t="s">
        <v>393</v>
      </c>
      <c r="B1713" s="26" t="s">
        <v>362</v>
      </c>
      <c r="C1713" s="26" t="s">
        <v>394</v>
      </c>
      <c r="D1713" s="26" t="s">
        <v>332</v>
      </c>
      <c r="E1713" s="20" t="str">
        <f t="shared" si="202"/>
        <v>!!!</v>
      </c>
      <c r="F1713" s="21" t="str">
        <f>IF(OR(E1713="",E1713="!!!"),"",IF(NOT(ISNA(VLOOKUP(E1713,E$1:E1712,1,FALSE()))),"OLD",IF(AND(E1713&lt;&gt;"",E1713&lt;&gt;"!!!"),"NEW","")))</f>
        <v/>
      </c>
      <c r="G1713" s="22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3" t="str">
        <f t="shared" ca="1" si="203"/>
        <v/>
      </c>
      <c r="I1713" s="24" t="str">
        <f>IF(OR(E1713="",E1713="!!!",F1713="NEW"),"",INDEX(B$2:B1712,-1+SUMPRODUCT(MAX(ROW(E$2:E1712)*(E1713=E$2:E1712)))))</f>
        <v/>
      </c>
      <c r="J1713" s="24" t="str">
        <f ca="1">IF(OR(E1713="",E1713="!!!",F1713="NEW"),"",COUNTBLANK(OFFSET(A$1,,,SUMPRODUCT(MAX(ROW(E$2:E1713)*(E1713=E$2:E1713)))))-COUNTBLANK(OFFSET(A$1,,,SUMPRODUCT(MAX(ROW(E$1:E1712)*(E2=E$1:E1712))))))</f>
        <v/>
      </c>
      <c r="K1713" s="24" t="str">
        <f>IF(OR(E1713="",E1713="!!!",F1713="NEW"),"",INDEX(J$1:J1712,SUMPRODUCT(MAX(ROW(E$1:E1712)*(E1713=E$1:E1712)))))</f>
        <v/>
      </c>
      <c r="L1713" s="25"/>
    </row>
    <row r="1714" spans="1:12" x14ac:dyDescent="0.3">
      <c r="A1714" t="s">
        <v>1033</v>
      </c>
      <c r="B1714" s="26" t="s">
        <v>357</v>
      </c>
      <c r="C1714" s="26" t="s">
        <v>561</v>
      </c>
      <c r="D1714" s="26" t="s">
        <v>332</v>
      </c>
      <c r="E1714" s="20" t="str">
        <f t="shared" si="202"/>
        <v>!!!</v>
      </c>
      <c r="F1714" s="21" t="str">
        <f>IF(OR(E1714="",E1714="!!!"),"",IF(NOT(ISNA(VLOOKUP(E1714,E$1:E1713,1,FALSE()))),"OLD",IF(AND(E1714&lt;&gt;"",E1714&lt;&gt;"!!!"),"NEW","")))</f>
        <v/>
      </c>
      <c r="G1714" s="22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/>
      </c>
      <c r="H1714" s="23" t="str">
        <f t="shared" ca="1" si="203"/>
        <v/>
      </c>
      <c r="I1714" s="24" t="str">
        <f>IF(OR(E1714="",E1714="!!!",F1714="NEW"),"",INDEX(B$2:B1713,-1+SUMPRODUCT(MAX(ROW(E$2:E1713)*(E1714=E$2:E1713)))))</f>
        <v/>
      </c>
      <c r="J1714" s="24" t="str">
        <f ca="1">IF(OR(E1714="",E1714="!!!",F1714="NEW"),"",COUNTBLANK(OFFSET(A$1,,,SUMPRODUCT(MAX(ROW(E$2:E1714)*(E1714=E$2:E1714)))))-COUNTBLANK(OFFSET(A$1,,,SUMPRODUCT(MAX(ROW(E$1:E1713)*(E2=E$1:E1713))))))</f>
        <v/>
      </c>
      <c r="K1714" s="24" t="str">
        <f>IF(OR(E1714="",E1714="!!!",F1714="NEW"),"",INDEX(J$1:J1713,SUMPRODUCT(MAX(ROW(E$1:E1713)*(E1714=E$1:E1713)))))</f>
        <v/>
      </c>
      <c r="L1714" s="25"/>
    </row>
    <row r="1715" spans="1:12" x14ac:dyDescent="0.3">
      <c r="A1715" t="s">
        <v>1047</v>
      </c>
      <c r="E1715" s="20" t="str">
        <f t="shared" si="202"/>
        <v/>
      </c>
      <c r="F1715" s="21" t="str">
        <f>IF(OR(E1715="",E1715="!!!"),"",IF(NOT(ISNA(VLOOKUP(E1715,E$1:E1714,1,FALSE()))),"OLD",IF(AND(E1715&lt;&gt;"",E1715&lt;&gt;"!!!"),"NEW","")))</f>
        <v/>
      </c>
      <c r="G1715" s="22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/>
      </c>
      <c r="H1715" s="23" t="str">
        <f t="shared" ca="1" si="203"/>
        <v/>
      </c>
      <c r="I1715" s="24" t="str">
        <f>IF(OR(E1715="",E1715="!!!",F1715="NEW"),"",INDEX(B$2:B1714,-1+SUMPRODUCT(MAX(ROW(E$2:E1714)*(E1715=E$2:E1714)))))</f>
        <v/>
      </c>
      <c r="J1715" s="24" t="str">
        <f ca="1">IF(OR(E1715="",E1715="!!!",F1715="NEW"),"",COUNTBLANK(OFFSET(A$1,,,SUMPRODUCT(MAX(ROW(E$2:E1715)*(E1715=E$2:E1715)))))-COUNTBLANK(OFFSET(A$1,,,SUMPRODUCT(MAX(ROW(E$1:E1714)*(E2=E$1:E1714))))))</f>
        <v/>
      </c>
      <c r="K1715" s="24" t="str">
        <f>IF(OR(E1715="",E1715="!!!",F1715="NEW"),"",INDEX(J$1:J1714,SUMPRODUCT(MAX(ROW(E$1:E1714)*(E1715=E$1:E1714)))))</f>
        <v/>
      </c>
      <c r="L1715" s="25"/>
    </row>
    <row r="1716" spans="1:12" x14ac:dyDescent="0.3">
      <c r="A1716" t="s">
        <v>385</v>
      </c>
      <c r="E1716" s="20" t="str">
        <f t="shared" si="202"/>
        <v/>
      </c>
      <c r="F1716" s="21" t="str">
        <f>IF(OR(E1716="",E1716="!!!"),"",IF(NOT(ISNA(VLOOKUP(E1716,E$1:E1715,1,FALSE()))),"OLD",IF(AND(E1716&lt;&gt;"",E1716&lt;&gt;"!!!"),"NEW","")))</f>
        <v/>
      </c>
      <c r="G1716" s="22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3" t="str">
        <f t="shared" ca="1" si="203"/>
        <v/>
      </c>
      <c r="I1716" s="24" t="str">
        <f>IF(OR(E1716="",E1716="!!!",F1716="NEW"),"",INDEX(B$2:B1715,-1+SUMPRODUCT(MAX(ROW(E$2:E1715)*(E1716=E$2:E1715)))))</f>
        <v/>
      </c>
      <c r="J1716" s="24" t="str">
        <f ca="1">IF(OR(E1716="",E1716="!!!",F1716="NEW"),"",COUNTBLANK(OFFSET(A$1,,,SUMPRODUCT(MAX(ROW(E$2:E1716)*(E1716=E$2:E1716)))))-COUNTBLANK(OFFSET(A$1,,,SUMPRODUCT(MAX(ROW(E$1:E1715)*(E2=E$1:E1715))))))</f>
        <v/>
      </c>
      <c r="K1716" s="24" t="str">
        <f>IF(OR(E1716="",E1716="!!!",F1716="NEW"),"",INDEX(J$1:J1715,SUMPRODUCT(MAX(ROW(E$1:E1715)*(E1716=E$1:E1715)))))</f>
        <v/>
      </c>
      <c r="L1716" s="25"/>
    </row>
    <row r="1717" spans="1:12" x14ac:dyDescent="0.3">
      <c r="A1717" t="s">
        <v>765</v>
      </c>
      <c r="E1717" s="20" t="str">
        <f t="shared" si="202"/>
        <v/>
      </c>
      <c r="F1717" s="21" t="str">
        <f>IF(OR(E1717="",E1717="!!!"),"",IF(NOT(ISNA(VLOOKUP(E1717,E$1:E1716,1,FALSE()))),"OLD",IF(AND(E1717&lt;&gt;"",E1717&lt;&gt;"!!!"),"NEW","")))</f>
        <v/>
      </c>
      <c r="G1717" s="22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3" t="str">
        <f t="shared" ca="1" si="203"/>
        <v/>
      </c>
      <c r="I1717" s="24" t="str">
        <f>IF(OR(E1717="",E1717="!!!",F1717="NEW"),"",INDEX(B$2:B1716,-1+SUMPRODUCT(MAX(ROW(E$2:E1716)*(E1717=E$2:E1716)))))</f>
        <v/>
      </c>
      <c r="J1717" s="24" t="str">
        <f ca="1">IF(OR(E1717="",E1717="!!!",F1717="NEW"),"",COUNTBLANK(OFFSET(A$1,,,SUMPRODUCT(MAX(ROW(E$2:E1717)*(E1717=E$2:E1717)))))-COUNTBLANK(OFFSET(A$1,,,SUMPRODUCT(MAX(ROW(E$1:E1716)*(E2=E$1:E1716))))))</f>
        <v/>
      </c>
      <c r="K1717" s="24" t="str">
        <f>IF(OR(E1717="",E1717="!!!",F1717="NEW"),"",INDEX(J$1:J1716,SUMPRODUCT(MAX(ROW(E$1:E1716)*(E1717=E$1:E1716)))))</f>
        <v/>
      </c>
      <c r="L1717" s="25"/>
    </row>
    <row r="1718" spans="1:12" x14ac:dyDescent="0.3">
      <c r="A1718" t="s">
        <v>535</v>
      </c>
      <c r="E1718" s="20" t="str">
        <f t="shared" si="202"/>
        <v/>
      </c>
      <c r="F1718" s="21" t="str">
        <f>IF(OR(E1718="",E1718="!!!"),"",IF(NOT(ISNA(VLOOKUP(E1718,E$1:E1717,1,FALSE()))),"OLD",IF(AND(E1718&lt;&gt;"",E1718&lt;&gt;"!!!"),"NEW","")))</f>
        <v/>
      </c>
      <c r="G1718" s="22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/>
      </c>
      <c r="H1718" s="23" t="str">
        <f t="shared" ca="1" si="203"/>
        <v/>
      </c>
      <c r="I1718" s="24" t="str">
        <f>IF(OR(E1718="",E1718="!!!",F1718="NEW"),"",INDEX(B$2:B1717,-1+SUMPRODUCT(MAX(ROW(E$2:E1717)*(E1718=E$2:E1717)))))</f>
        <v/>
      </c>
      <c r="J1718" s="24" t="str">
        <f ca="1">IF(OR(E1718="",E1718="!!!",F1718="NEW"),"",COUNTBLANK(OFFSET(A$1,,,SUMPRODUCT(MAX(ROW(E$2:E1718)*(E1718=E$2:E1718)))))-COUNTBLANK(OFFSET(A$1,,,SUMPRODUCT(MAX(ROW(E$1:E1717)*(E2=E$1:E1717))))))</f>
        <v/>
      </c>
      <c r="K1718" s="24" t="str">
        <f>IF(OR(E1718="",E1718="!!!",F1718="NEW"),"",INDEX(J$1:J1717,SUMPRODUCT(MAX(ROW(E$1:E1717)*(E1718=E$1:E1717)))))</f>
        <v/>
      </c>
      <c r="L1718" s="25"/>
    </row>
    <row r="1719" spans="1:12" x14ac:dyDescent="0.3">
      <c r="A1719" t="s">
        <v>1048</v>
      </c>
      <c r="E1719" s="20" t="str">
        <f t="shared" si="202"/>
        <v/>
      </c>
      <c r="F1719" s="21" t="str">
        <f>IF(OR(E1719="",E1719="!!!"),"",IF(NOT(ISNA(VLOOKUP(E1719,E$1:E1718,1,FALSE()))),"OLD",IF(AND(E1719&lt;&gt;"",E1719&lt;&gt;"!!!"),"NEW","")))</f>
        <v/>
      </c>
      <c r="G1719" s="22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3" t="str">
        <f t="shared" ca="1" si="203"/>
        <v/>
      </c>
      <c r="I1719" s="24" t="str">
        <f>IF(OR(E1719="",E1719="!!!",F1719="NEW"),"",INDEX(B$2:B1718,-1+SUMPRODUCT(MAX(ROW(E$2:E1718)*(E1719=E$2:E1718)))))</f>
        <v/>
      </c>
      <c r="J1719" s="24" t="str">
        <f ca="1">IF(OR(E1719="",E1719="!!!",F1719="NEW"),"",COUNTBLANK(OFFSET(A$1,,,SUMPRODUCT(MAX(ROW(E$2:E1719)*(E1719=E$2:E1719)))))-COUNTBLANK(OFFSET(A$1,,,SUMPRODUCT(MAX(ROW(E$1:E1718)*(E2=E$1:E1718))))))</f>
        <v/>
      </c>
      <c r="K1719" s="24" t="str">
        <f>IF(OR(E1719="",E1719="!!!",F1719="NEW"),"",INDEX(J$1:J1718,SUMPRODUCT(MAX(ROW(E$1:E1718)*(E1719=E$1:E1718)))))</f>
        <v/>
      </c>
      <c r="L1719" s="25"/>
    </row>
    <row r="1720" spans="1:12" x14ac:dyDescent="0.3">
      <c r="A1720" t="s">
        <v>620</v>
      </c>
      <c r="B1720" s="26" t="s">
        <v>362</v>
      </c>
      <c r="C1720" s="26" t="s">
        <v>663</v>
      </c>
      <c r="E1720" s="20" t="str">
        <f t="shared" si="202"/>
        <v/>
      </c>
      <c r="F1720" s="21" t="str">
        <f>IF(OR(E1720="",E1720="!!!"),"",IF(NOT(ISNA(VLOOKUP(E1720,E$1:E1719,1,FALSE()))),"OLD",IF(AND(E1720&lt;&gt;"",E1720&lt;&gt;"!!!"),"NEW","")))</f>
        <v/>
      </c>
      <c r="G1720" s="22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3" t="str">
        <f t="shared" ca="1" si="203"/>
        <v/>
      </c>
      <c r="I1720" s="24" t="str">
        <f>IF(OR(E1720="",E1720="!!!",F1720="NEW"),"",INDEX(B$2:B1719,-1+SUMPRODUCT(MAX(ROW(E$2:E1719)*(E1720=E$2:E1719)))))</f>
        <v/>
      </c>
      <c r="J1720" s="24" t="str">
        <f ca="1">IF(OR(E1720="",E1720="!!!",F1720="NEW"),"",COUNTBLANK(OFFSET(A$1,,,SUMPRODUCT(MAX(ROW(E$2:E1720)*(E1720=E$2:E1720)))))-COUNTBLANK(OFFSET(A$1,,,SUMPRODUCT(MAX(ROW(E$1:E1719)*(E2=E$1:E1719))))))</f>
        <v/>
      </c>
      <c r="K1720" s="24" t="str">
        <f>IF(OR(E1720="",E1720="!!!",F1720="NEW"),"",INDEX(J$1:J1719,SUMPRODUCT(MAX(ROW(E$1:E1719)*(E1720=E$1:E1719)))))</f>
        <v/>
      </c>
      <c r="L1720" s="25"/>
    </row>
    <row r="1721" spans="1:12" x14ac:dyDescent="0.3">
      <c r="A1721" t="s">
        <v>334</v>
      </c>
      <c r="E1721" s="20" t="str">
        <f t="shared" si="202"/>
        <v/>
      </c>
      <c r="F1721" s="21" t="str">
        <f>IF(OR(E1721="",E1721="!!!"),"",IF(NOT(ISNA(VLOOKUP(E1721,E$1:E1720,1,FALSE()))),"OLD",IF(AND(E1721&lt;&gt;"",E1721&lt;&gt;"!!!"),"NEW","")))</f>
        <v/>
      </c>
      <c r="G1721" s="22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3" t="str">
        <f t="shared" ca="1" si="203"/>
        <v/>
      </c>
      <c r="I1721" s="24" t="str">
        <f>IF(OR(E1721="",E1721="!!!",F1721="NEW"),"",INDEX(B$2:B1720,-1+SUMPRODUCT(MAX(ROW(E$2:E1720)*(E1721=E$2:E1720)))))</f>
        <v/>
      </c>
      <c r="J1721" s="24" t="str">
        <f ca="1">IF(OR(E1721="",E1721="!!!",F1721="NEW"),"",COUNTBLANK(OFFSET(A$1,,,SUMPRODUCT(MAX(ROW(E$2:E1721)*(E1721=E$2:E1721)))))-COUNTBLANK(OFFSET(A$1,,,SUMPRODUCT(MAX(ROW(E$1:E1720)*(E2=E$1:E1720))))))</f>
        <v/>
      </c>
      <c r="K1721" s="24" t="str">
        <f>IF(OR(E1721="",E1721="!!!",F1721="NEW"),"",INDEX(J$1:J1720,SUMPRODUCT(MAX(ROW(E$1:E1720)*(E1721=E$1:E1720)))))</f>
        <v/>
      </c>
      <c r="L1721" s="25"/>
    </row>
    <row r="1722" spans="1:12" x14ac:dyDescent="0.3">
      <c r="A1722" t="s">
        <v>543</v>
      </c>
      <c r="B1722" s="26" t="s">
        <v>515</v>
      </c>
      <c r="C1722" s="26" t="s">
        <v>355</v>
      </c>
      <c r="E1722" s="20" t="str">
        <f t="shared" si="202"/>
        <v/>
      </c>
      <c r="F1722" s="21" t="str">
        <f>IF(OR(E1722="",E1722="!!!"),"",IF(NOT(ISNA(VLOOKUP(E1722,E$1:E1721,1,FALSE()))),"OLD",IF(AND(E1722&lt;&gt;"",E1722&lt;&gt;"!!!"),"NEW","")))</f>
        <v/>
      </c>
      <c r="G1722" s="22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3" t="str">
        <f t="shared" ca="1" si="203"/>
        <v/>
      </c>
      <c r="I1722" s="24" t="str">
        <f>IF(OR(E1722="",E1722="!!!",F1722="NEW"),"",INDEX(B$2:B1721,-1+SUMPRODUCT(MAX(ROW(E$2:E1721)*(E1722=E$2:E1721)))))</f>
        <v/>
      </c>
      <c r="J1722" s="24" t="str">
        <f ca="1">IF(OR(E1722="",E1722="!!!",F1722="NEW"),"",COUNTBLANK(OFFSET(A$1,,,SUMPRODUCT(MAX(ROW(E$2:E1722)*(E1722=E$2:E1722)))))-COUNTBLANK(OFFSET(A$1,,,SUMPRODUCT(MAX(ROW(E$1:E1721)*(E2=E$1:E1721))))))</f>
        <v/>
      </c>
      <c r="K1722" s="24" t="str">
        <f>IF(OR(E1722="",E1722="!!!",F1722="NEW"),"",INDEX(J$1:J1721,SUMPRODUCT(MAX(ROW(E$1:E1721)*(E1722=E$1:E1721)))))</f>
        <v/>
      </c>
      <c r="L1722" s="25"/>
    </row>
    <row r="1723" spans="1:12" x14ac:dyDescent="0.3">
      <c r="A1723" t="s">
        <v>751</v>
      </c>
      <c r="E1723" s="20" t="str">
        <f t="shared" si="202"/>
        <v/>
      </c>
      <c r="F1723" s="21" t="str">
        <f>IF(OR(E1723="",E1723="!!!"),"",IF(NOT(ISNA(VLOOKUP(E1723,E$1:E1722,1,FALSE()))),"OLD",IF(AND(E1723&lt;&gt;"",E1723&lt;&gt;"!!!"),"NEW","")))</f>
        <v/>
      </c>
      <c r="G1723" s="22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/>
      </c>
      <c r="H1723" s="23" t="str">
        <f t="shared" ca="1" si="203"/>
        <v/>
      </c>
      <c r="I1723" s="24" t="str">
        <f>IF(OR(E1723="",E1723="!!!",F1723="NEW"),"",INDEX(B$2:B1722,-1+SUMPRODUCT(MAX(ROW(E$2:E1722)*(E1723=E$2:E1722)))))</f>
        <v/>
      </c>
      <c r="J1723" s="24" t="str">
        <f ca="1">IF(OR(E1723="",E1723="!!!",F1723="NEW"),"",COUNTBLANK(OFFSET(A$1,,,SUMPRODUCT(MAX(ROW(E$2:E1723)*(E1723=E$2:E1723)))))-COUNTBLANK(OFFSET(A$1,,,SUMPRODUCT(MAX(ROW(E$1:E1722)*(E2=E$1:E1722))))))</f>
        <v/>
      </c>
      <c r="K1723" s="24" t="str">
        <f>IF(OR(E1723="",E1723="!!!",F1723="NEW"),"",INDEX(J$1:J1722,SUMPRODUCT(MAX(ROW(E$1:E1722)*(E1723=E$1:E1722)))))</f>
        <v/>
      </c>
      <c r="L1723" s="25"/>
    </row>
    <row r="1724" spans="1:12" x14ac:dyDescent="0.3">
      <c r="A1724" t="s">
        <v>351</v>
      </c>
      <c r="E1724" s="20" t="str">
        <f t="shared" si="202"/>
        <v/>
      </c>
      <c r="F1724" s="21" t="str">
        <f>IF(OR(E1724="",E1724="!!!"),"",IF(NOT(ISNA(VLOOKUP(E1724,E$1:E1723,1,FALSE()))),"OLD",IF(AND(E1724&lt;&gt;"",E1724&lt;&gt;"!!!"),"NEW","")))</f>
        <v/>
      </c>
      <c r="G1724" s="22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3" t="str">
        <f t="shared" ca="1" si="203"/>
        <v/>
      </c>
      <c r="I1724" s="24" t="str">
        <f>IF(OR(E1724="",E1724="!!!",F1724="NEW"),"",INDEX(B$2:B1723,-1+SUMPRODUCT(MAX(ROW(E$2:E1723)*(E1724=E$2:E1723)))))</f>
        <v/>
      </c>
      <c r="J1724" s="24" t="str">
        <f ca="1">IF(OR(E1724="",E1724="!!!",F1724="NEW"),"",COUNTBLANK(OFFSET(A$1,,,SUMPRODUCT(MAX(ROW(E$2:E1724)*(E1724=E$2:E1724)))))-COUNTBLANK(OFFSET(A$1,,,SUMPRODUCT(MAX(ROW(E$1:E1723)*(E2=E$1:E1723))))))</f>
        <v/>
      </c>
      <c r="K1724" s="24" t="str">
        <f>IF(OR(E1724="",E1724="!!!",F1724="NEW"),"",INDEX(J$1:J1723,SUMPRODUCT(MAX(ROW(E$1:E1723)*(E1724=E$1:E1723)))))</f>
        <v/>
      </c>
      <c r="L1724" s="25"/>
    </row>
    <row r="1725" spans="1:12" x14ac:dyDescent="0.3">
      <c r="A1725" t="s">
        <v>380</v>
      </c>
      <c r="B1725" s="26" t="s">
        <v>354</v>
      </c>
      <c r="E1725" s="20" t="str">
        <f t="shared" si="202"/>
        <v/>
      </c>
      <c r="F1725" s="21" t="str">
        <f>IF(OR(E1725="",E1725="!!!"),"",IF(NOT(ISNA(VLOOKUP(E1725,E$1:E1724,1,FALSE()))),"OLD",IF(AND(E1725&lt;&gt;"",E1725&lt;&gt;"!!!"),"NEW","")))</f>
        <v/>
      </c>
      <c r="G1725" s="22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/>
      </c>
      <c r="H1725" s="23" t="str">
        <f t="shared" ca="1" si="203"/>
        <v/>
      </c>
      <c r="I1725" s="24" t="str">
        <f>IF(OR(E1725="",E1725="!!!",F1725="NEW"),"",INDEX(B$2:B1724,-1+SUMPRODUCT(MAX(ROW(E$2:E1724)*(E1725=E$2:E1724)))))</f>
        <v/>
      </c>
      <c r="J1725" s="24" t="str">
        <f ca="1">IF(OR(E1725="",E1725="!!!",F1725="NEW"),"",COUNTBLANK(OFFSET(A$1,,,SUMPRODUCT(MAX(ROW(E$2:E1725)*(E1725=E$2:E1725)))))-COUNTBLANK(OFFSET(A$1,,,SUMPRODUCT(MAX(ROW(E$1:E1724)*(E2=E$1:E1724))))))</f>
        <v/>
      </c>
      <c r="K1725" s="24" t="str">
        <f>IF(OR(E1725="",E1725="!!!",F1725="NEW"),"",INDEX(J$1:J1724,SUMPRODUCT(MAX(ROW(E$1:E1724)*(E1725=E$1:E1724)))))</f>
        <v/>
      </c>
      <c r="L1725" s="25"/>
    </row>
    <row r="1726" spans="1:12" x14ac:dyDescent="0.3">
      <c r="A1726" t="s">
        <v>461</v>
      </c>
      <c r="E1726" s="20" t="str">
        <f t="shared" si="202"/>
        <v/>
      </c>
      <c r="F1726" s="21" t="str">
        <f>IF(OR(E1726="",E1726="!!!"),"",IF(NOT(ISNA(VLOOKUP(E1726,E$1:E1725,1,FALSE()))),"OLD",IF(AND(E1726&lt;&gt;"",E1726&lt;&gt;"!!!"),"NEW","")))</f>
        <v/>
      </c>
      <c r="G1726" s="22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/>
      </c>
      <c r="H1726" s="23" t="str">
        <f t="shared" ca="1" si="203"/>
        <v/>
      </c>
      <c r="I1726" s="24" t="str">
        <f>IF(OR(E1726="",E1726="!!!",F1726="NEW"),"",INDEX(B$2:B1725,-1+SUMPRODUCT(MAX(ROW(E$2:E1725)*(E1726=E$2:E1725)))))</f>
        <v/>
      </c>
      <c r="J1726" s="24" t="str">
        <f ca="1">IF(OR(E1726="",E1726="!!!",F1726="NEW"),"",COUNTBLANK(OFFSET(A$1,,,SUMPRODUCT(MAX(ROW(E$2:E1726)*(E1726=E$2:E1726)))))-COUNTBLANK(OFFSET(A$1,,,SUMPRODUCT(MAX(ROW(E$1:E1725)*(E2=E$1:E1725))))))</f>
        <v/>
      </c>
      <c r="K1726" s="24" t="str">
        <f>IF(OR(E1726="",E1726="!!!",F1726="NEW"),"",INDEX(J$1:J1725,SUMPRODUCT(MAX(ROW(E$1:E1725)*(E1726=E$1:E1725)))))</f>
        <v/>
      </c>
      <c r="L1726" s="25"/>
    </row>
    <row r="1727" spans="1:12" x14ac:dyDescent="0.3">
      <c r="A1727" t="s">
        <v>335</v>
      </c>
      <c r="E1727" s="20" t="str">
        <f t="shared" si="202"/>
        <v/>
      </c>
      <c r="F1727" s="21" t="str">
        <f>IF(OR(E1727="",E1727="!!!"),"",IF(NOT(ISNA(VLOOKUP(E1727,E$1:E1726,1,FALSE()))),"OLD",IF(AND(E1727&lt;&gt;"",E1727&lt;&gt;"!!!"),"NEW","")))</f>
        <v/>
      </c>
      <c r="G1727" s="22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/>
      </c>
      <c r="H1727" s="23" t="str">
        <f t="shared" ca="1" si="203"/>
        <v/>
      </c>
      <c r="I1727" s="24" t="str">
        <f>IF(OR(E1727="",E1727="!!!",F1727="NEW"),"",INDEX(B$2:B1726,-1+SUMPRODUCT(MAX(ROW(E$2:E1726)*(E1727=E$2:E1726)))))</f>
        <v/>
      </c>
      <c r="J1727" s="24" t="str">
        <f ca="1">IF(OR(E1727="",E1727="!!!",F1727="NEW"),"",COUNTBLANK(OFFSET(A$1,,,SUMPRODUCT(MAX(ROW(E$2:E1727)*(E1727=E$2:E1727)))))-COUNTBLANK(OFFSET(A$1,,,SUMPRODUCT(MAX(ROW(E$1:E1726)*(E2=E$1:E1726))))))</f>
        <v/>
      </c>
      <c r="K1727" s="24" t="str">
        <f>IF(OR(E1727="",E1727="!!!",F1727="NEW"),"",INDEX(J$1:J1726,SUMPRODUCT(MAX(ROW(E$1:E1726)*(E1727=E$1:E1726)))))</f>
        <v/>
      </c>
      <c r="L1727" s="25"/>
    </row>
    <row r="1728" spans="1:12" x14ac:dyDescent="0.3">
      <c r="A1728" t="s">
        <v>1049</v>
      </c>
      <c r="E1728" s="20" t="str">
        <f t="shared" si="202"/>
        <v/>
      </c>
      <c r="F1728" s="21" t="str">
        <f>IF(OR(E1728="",E1728="!!!"),"",IF(NOT(ISNA(VLOOKUP(E1728,E$1:E1727,1,FALSE()))),"OLD",IF(AND(E1728&lt;&gt;"",E1728&lt;&gt;"!!!"),"NEW","")))</f>
        <v/>
      </c>
      <c r="G1728" s="22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3" t="str">
        <f t="shared" ca="1" si="203"/>
        <v/>
      </c>
      <c r="I1728" s="24" t="str">
        <f>IF(OR(E1728="",E1728="!!!",F1728="NEW"),"",INDEX(B$2:B1727,-1+SUMPRODUCT(MAX(ROW(E$2:E1727)*(E1728=E$2:E1727)))))</f>
        <v/>
      </c>
      <c r="J1728" s="24" t="str">
        <f ca="1">IF(OR(E1728="",E1728="!!!",F1728="NEW"),"",COUNTBLANK(OFFSET(A$1,,,SUMPRODUCT(MAX(ROW(E$2:E1728)*(E1728=E$2:E1728)))))-COUNTBLANK(OFFSET(A$1,,,SUMPRODUCT(MAX(ROW(E$1:E1727)*(E2=E$1:E1727))))))</f>
        <v/>
      </c>
      <c r="K1728" s="24" t="str">
        <f>IF(OR(E1728="",E1728="!!!",F1728="NEW"),"",INDEX(J$1:J1727,SUMPRODUCT(MAX(ROW(E$1:E1727)*(E1728=E$1:E1727)))))</f>
        <v/>
      </c>
      <c r="L1728" s="25"/>
    </row>
    <row r="1729" spans="1:12" x14ac:dyDescent="0.3">
      <c r="A1729" t="s">
        <v>461</v>
      </c>
      <c r="E1729" s="20" t="str">
        <f t="shared" si="202"/>
        <v/>
      </c>
      <c r="F1729" s="21" t="str">
        <f>IF(OR(E1729="",E1729="!!!"),"",IF(NOT(ISNA(VLOOKUP(E1729,E$1:E1728,1,FALSE()))),"OLD",IF(AND(E1729&lt;&gt;"",E1729&lt;&gt;"!!!"),"NEW","")))</f>
        <v/>
      </c>
      <c r="G1729" s="22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3" t="str">
        <f t="shared" ca="1" si="203"/>
        <v/>
      </c>
      <c r="I1729" s="24" t="str">
        <f>IF(OR(E1729="",E1729="!!!",F1729="NEW"),"",INDEX(B$2:B1728,-1+SUMPRODUCT(MAX(ROW(E$2:E1728)*(E1729=E$2:E1728)))))</f>
        <v/>
      </c>
      <c r="J1729" s="24" t="str">
        <f ca="1">IF(OR(E1729="",E1729="!!!",F1729="NEW"),"",COUNTBLANK(OFFSET(A$1,,,SUMPRODUCT(MAX(ROW(E$2:E1729)*(E1729=E$2:E1729)))))-COUNTBLANK(OFFSET(A$1,,,SUMPRODUCT(MAX(ROW(E$1:E1728)*(E2=E$1:E1728))))))</f>
        <v/>
      </c>
      <c r="K1729" s="24" t="str">
        <f>IF(OR(E1729="",E1729="!!!",F1729="NEW"),"",INDEX(J$1:J1728,SUMPRODUCT(MAX(ROW(E$1:E1728)*(E1729=E$1:E1728)))))</f>
        <v/>
      </c>
      <c r="L1729" s="25"/>
    </row>
    <row r="1730" spans="1:12" x14ac:dyDescent="0.3">
      <c r="A1730" t="s">
        <v>359</v>
      </c>
      <c r="E1730" s="20" t="str">
        <f t="shared" si="202"/>
        <v/>
      </c>
      <c r="F1730" s="21" t="str">
        <f>IF(OR(E1730="",E1730="!!!"),"",IF(NOT(ISNA(VLOOKUP(E1730,E$1:E1729,1,FALSE()))),"OLD",IF(AND(E1730&lt;&gt;"",E1730&lt;&gt;"!!!"),"NEW","")))</f>
        <v/>
      </c>
      <c r="G1730" s="22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3" t="str">
        <f t="shared" ca="1" si="203"/>
        <v/>
      </c>
      <c r="I1730" s="24" t="str">
        <f>IF(OR(E1730="",E1730="!!!",F1730="NEW"),"",INDEX(B$2:B1729,-1+SUMPRODUCT(MAX(ROW(E$2:E1729)*(E1730=E$2:E1729)))))</f>
        <v/>
      </c>
      <c r="J1730" s="24" t="str">
        <f ca="1">IF(OR(E1730="",E1730="!!!",F1730="NEW"),"",COUNTBLANK(OFFSET(A$1,,,SUMPRODUCT(MAX(ROW(E$2:E1730)*(E1730=E$2:E1730)))))-COUNTBLANK(OFFSET(A$1,,,SUMPRODUCT(MAX(ROW(E$1:E1729)*(E2=E$1:E1729))))))</f>
        <v/>
      </c>
      <c r="K1730" s="24" t="str">
        <f>IF(OR(E1730="",E1730="!!!",F1730="NEW"),"",INDEX(J$1:J1729,SUMPRODUCT(MAX(ROW(E$1:E1729)*(E1730=E$1:E1729)))))</f>
        <v/>
      </c>
      <c r="L1730" s="25"/>
    </row>
    <row r="1731" spans="1:12" x14ac:dyDescent="0.3">
      <c r="A1731" t="s">
        <v>1050</v>
      </c>
      <c r="B1731" s="26" t="s">
        <v>378</v>
      </c>
      <c r="C1731" s="26" t="s">
        <v>568</v>
      </c>
      <c r="D1731" s="26" t="s">
        <v>332</v>
      </c>
      <c r="E1731" s="20" t="str">
        <f t="shared" si="202"/>
        <v>!!!</v>
      </c>
      <c r="F1731" s="21" t="str">
        <f>IF(OR(E1731="",E1731="!!!"),"",IF(NOT(ISNA(VLOOKUP(E1731,E$1:E1730,1,FALSE()))),"OLD",IF(AND(E1731&lt;&gt;"",E1731&lt;&gt;"!!!"),"NEW","")))</f>
        <v/>
      </c>
      <c r="G1731" s="22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3" t="str">
        <f t="shared" ca="1" si="203"/>
        <v/>
      </c>
      <c r="I1731" s="24" t="str">
        <f>IF(OR(E1731="",E1731="!!!",F1731="NEW"),"",INDEX(B$2:B1730,-1+SUMPRODUCT(MAX(ROW(E$2:E1730)*(E1731=E$2:E1730)))))</f>
        <v/>
      </c>
      <c r="J1731" s="24" t="str">
        <f ca="1">IF(OR(E1731="",E1731="!!!",F1731="NEW"),"",COUNTBLANK(OFFSET(A$1,,,SUMPRODUCT(MAX(ROW(E$2:E1731)*(E1731=E$2:E1731)))))-COUNTBLANK(OFFSET(A$1,,,SUMPRODUCT(MAX(ROW(E$1:E1730)*(E2=E$1:E1730))))))</f>
        <v/>
      </c>
      <c r="K1731" s="24" t="str">
        <f>IF(OR(E1731="",E1731="!!!",F1731="NEW"),"",INDEX(J$1:J1730,SUMPRODUCT(MAX(ROW(E$1:E1730)*(E1731=E$1:E1730)))))</f>
        <v/>
      </c>
      <c r="L1731" s="25"/>
    </row>
    <row r="1732" spans="1:12" x14ac:dyDescent="0.3">
      <c r="A1732" t="s">
        <v>1051</v>
      </c>
      <c r="B1732" s="26" t="s">
        <v>515</v>
      </c>
      <c r="C1732" s="26" t="s">
        <v>394</v>
      </c>
      <c r="D1732" s="26" t="s">
        <v>332</v>
      </c>
      <c r="E1732" s="20" t="str">
        <f t="shared" si="202"/>
        <v>!!!</v>
      </c>
      <c r="F1732" s="21" t="str">
        <f>IF(OR(E1732="",E1732="!!!"),"",IF(NOT(ISNA(VLOOKUP(E1732,E$1:E1731,1,FALSE()))),"OLD",IF(AND(E1732&lt;&gt;"",E1732&lt;&gt;"!!!"),"NEW","")))</f>
        <v/>
      </c>
      <c r="G1732" s="22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/>
      </c>
      <c r="H1732" s="23" t="str">
        <f t="shared" ca="1" si="203"/>
        <v/>
      </c>
      <c r="I1732" s="24" t="str">
        <f>IF(OR(E1732="",E1732="!!!",F1732="NEW"),"",INDEX(B$2:B1731,-1+SUMPRODUCT(MAX(ROW(E$2:E1731)*(E1732=E$2:E1731)))))</f>
        <v/>
      </c>
      <c r="J1732" s="24" t="str">
        <f ca="1">IF(OR(E1732="",E1732="!!!",F1732="NEW"),"",COUNTBLANK(OFFSET(A$1,,,SUMPRODUCT(MAX(ROW(E$2:E1732)*(E1732=E$2:E1732)))))-COUNTBLANK(OFFSET(A$1,,,SUMPRODUCT(MAX(ROW(E$1:E1731)*(E2=E$1:E1731))))))</f>
        <v/>
      </c>
      <c r="K1732" s="24" t="str">
        <f>IF(OR(E1732="",E1732="!!!",F1732="NEW"),"",INDEX(J$1:J1731,SUMPRODUCT(MAX(ROW(E$1:E1731)*(E1732=E$1:E1731)))))</f>
        <v/>
      </c>
      <c r="L1732" s="25"/>
    </row>
    <row r="1733" spans="1:12" x14ac:dyDescent="0.3">
      <c r="A1733" t="s">
        <v>1052</v>
      </c>
      <c r="B1733" s="26" t="s">
        <v>362</v>
      </c>
      <c r="C1733" s="26" t="s">
        <v>561</v>
      </c>
      <c r="D1733" s="26" t="s">
        <v>332</v>
      </c>
      <c r="E1733" s="20" t="str">
        <f t="shared" si="202"/>
        <v>!!!</v>
      </c>
      <c r="F1733" s="21" t="str">
        <f>IF(OR(E1733="",E1733="!!!"),"",IF(NOT(ISNA(VLOOKUP(E1733,E$1:E1732,1,FALSE()))),"OLD",IF(AND(E1733&lt;&gt;"",E1733&lt;&gt;"!!!"),"NEW","")))</f>
        <v/>
      </c>
      <c r="G1733" s="22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3" t="str">
        <f t="shared" ca="1" si="203"/>
        <v/>
      </c>
      <c r="I1733" s="24" t="str">
        <f>IF(OR(E1733="",E1733="!!!",F1733="NEW"),"",INDEX(B$2:B1732,-1+SUMPRODUCT(MAX(ROW(E$2:E1732)*(E1733=E$2:E1732)))))</f>
        <v/>
      </c>
      <c r="J1733" s="24" t="str">
        <f ca="1">IF(OR(E1733="",E1733="!!!",F1733="NEW"),"",COUNTBLANK(OFFSET(A$1,,,SUMPRODUCT(MAX(ROW(E$2:E1733)*(E1733=E$2:E1733)))))-COUNTBLANK(OFFSET(A$1,,,SUMPRODUCT(MAX(ROW(E$1:E1732)*(E2=E$1:E1732))))))</f>
        <v/>
      </c>
      <c r="K1733" s="24" t="str">
        <f>IF(OR(E1733="",E1733="!!!",F1733="NEW"),"",INDEX(J$1:J1732,SUMPRODUCT(MAX(ROW(E$1:E1732)*(E1733=E$1:E1732)))))</f>
        <v/>
      </c>
      <c r="L1733" s="25"/>
    </row>
    <row r="1734" spans="1:12" x14ac:dyDescent="0.3">
      <c r="A1734" t="s">
        <v>1053</v>
      </c>
      <c r="E1734" s="20" t="str">
        <f t="shared" si="202"/>
        <v/>
      </c>
      <c r="F1734" s="21" t="str">
        <f>IF(OR(E1734="",E1734="!!!"),"",IF(NOT(ISNA(VLOOKUP(E1734,E$1:E1733,1,FALSE()))),"OLD",IF(AND(E1734&lt;&gt;"",E1734&lt;&gt;"!!!"),"NEW","")))</f>
        <v/>
      </c>
      <c r="G1734" s="22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/>
      </c>
      <c r="H1734" s="23" t="str">
        <f t="shared" ca="1" si="203"/>
        <v/>
      </c>
      <c r="I1734" s="24" t="str">
        <f>IF(OR(E1734="",E1734="!!!",F1734="NEW"),"",INDEX(B$2:B1733,-1+SUMPRODUCT(MAX(ROW(E$2:E1733)*(E1734=E$2:E1733)))))</f>
        <v/>
      </c>
      <c r="J1734" s="24" t="str">
        <f ca="1">IF(OR(E1734="",E1734="!!!",F1734="NEW"),"",COUNTBLANK(OFFSET(A$1,,,SUMPRODUCT(MAX(ROW(E$2:E1734)*(E1734=E$2:E1734)))))-COUNTBLANK(OFFSET(A$1,,,SUMPRODUCT(MAX(ROW(E$1:E1733)*(E2=E$1:E1733))))))</f>
        <v/>
      </c>
      <c r="K1734" s="24" t="str">
        <f>IF(OR(E1734="",E1734="!!!",F1734="NEW"),"",INDEX(J$1:J1733,SUMPRODUCT(MAX(ROW(E$1:E1733)*(E1734=E$1:E1733)))))</f>
        <v/>
      </c>
      <c r="L1734" s="25"/>
    </row>
    <row r="1735" spans="1:12" x14ac:dyDescent="0.3">
      <c r="A1735" t="s">
        <v>351</v>
      </c>
      <c r="E1735" s="20" t="str">
        <f t="shared" si="202"/>
        <v/>
      </c>
      <c r="F1735" s="21" t="str">
        <f>IF(OR(E1735="",E1735="!!!"),"",IF(NOT(ISNA(VLOOKUP(E1735,E$1:E1734,1,FALSE()))),"OLD",IF(AND(E1735&lt;&gt;"",E1735&lt;&gt;"!!!"),"NEW","")))</f>
        <v/>
      </c>
      <c r="G1735" s="22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3" t="str">
        <f t="shared" ca="1" si="203"/>
        <v/>
      </c>
      <c r="I1735" s="24" t="str">
        <f>IF(OR(E1735="",E1735="!!!",F1735="NEW"),"",INDEX(B$2:B1734,-1+SUMPRODUCT(MAX(ROW(E$2:E1734)*(E1735=E$2:E1734)))))</f>
        <v/>
      </c>
      <c r="J1735" s="24" t="str">
        <f ca="1">IF(OR(E1735="",E1735="!!!",F1735="NEW"),"",COUNTBLANK(OFFSET(A$1,,,SUMPRODUCT(MAX(ROW(E$2:E1735)*(E1735=E$2:E1735)))))-COUNTBLANK(OFFSET(A$1,,,SUMPRODUCT(MAX(ROW(E$1:E1734)*(E2=E$1:E1734))))))</f>
        <v/>
      </c>
      <c r="K1735" s="24" t="str">
        <f>IF(OR(E1735="",E1735="!!!",F1735="NEW"),"",INDEX(J$1:J1734,SUMPRODUCT(MAX(ROW(E$1:E1734)*(E1735=E$1:E1734)))))</f>
        <v/>
      </c>
      <c r="L1735" s="25"/>
    </row>
    <row r="1736" spans="1:12" x14ac:dyDescent="0.3">
      <c r="A1736" t="s">
        <v>667</v>
      </c>
      <c r="E1736" s="20" t="str">
        <f t="shared" si="202"/>
        <v/>
      </c>
      <c r="F1736" s="21" t="str">
        <f>IF(OR(E1736="",E1736="!!!"),"",IF(NOT(ISNA(VLOOKUP(E1736,E$1:E1735,1,FALSE()))),"OLD",IF(AND(E1736&lt;&gt;"",E1736&lt;&gt;"!!!"),"NEW","")))</f>
        <v/>
      </c>
      <c r="G1736" s="22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/>
      </c>
      <c r="H1736" s="23" t="str">
        <f t="shared" ca="1" si="203"/>
        <v/>
      </c>
      <c r="I1736" s="24" t="str">
        <f>IF(OR(E1736="",E1736="!!!",F1736="NEW"),"",INDEX(B$2:B1735,-1+SUMPRODUCT(MAX(ROW(E$2:E1735)*(E1736=E$2:E1735)))))</f>
        <v/>
      </c>
      <c r="J1736" s="24" t="str">
        <f ca="1">IF(OR(E1736="",E1736="!!!",F1736="NEW"),"",COUNTBLANK(OFFSET(A$1,,,SUMPRODUCT(MAX(ROW(E$2:E1736)*(E1736=E$2:E1736)))))-COUNTBLANK(OFFSET(A$1,,,SUMPRODUCT(MAX(ROW(E$1:E1735)*(E2=E$1:E1735))))))</f>
        <v/>
      </c>
      <c r="K1736" s="24" t="str">
        <f>IF(OR(E1736="",E1736="!!!",F1736="NEW"),"",INDEX(J$1:J1735,SUMPRODUCT(MAX(ROW(E$1:E1735)*(E1736=E$1:E1735)))))</f>
        <v/>
      </c>
      <c r="L1736" s="25"/>
    </row>
    <row r="1737" spans="1:12" x14ac:dyDescent="0.3">
      <c r="A1737" t="s">
        <v>473</v>
      </c>
      <c r="B1737" s="26" t="s">
        <v>431</v>
      </c>
      <c r="C1737" s="26" t="s">
        <v>438</v>
      </c>
      <c r="D1737" s="26" t="s">
        <v>332</v>
      </c>
      <c r="E1737" s="20" t="str">
        <f t="shared" si="202"/>
        <v>!!!</v>
      </c>
      <c r="F1737" s="21" t="str">
        <f>IF(OR(E1737="",E1737="!!!"),"",IF(NOT(ISNA(VLOOKUP(E1737,E$1:E1736,1,FALSE()))),"OLD",IF(AND(E1737&lt;&gt;"",E1737&lt;&gt;"!!!"),"NEW","")))</f>
        <v/>
      </c>
      <c r="G1737" s="22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/>
      </c>
      <c r="H1737" s="23" t="str">
        <f t="shared" ca="1" si="203"/>
        <v/>
      </c>
      <c r="I1737" s="24" t="str">
        <f>IF(OR(E1737="",E1737="!!!",F1737="NEW"),"",INDEX(B$2:B1736,-1+SUMPRODUCT(MAX(ROW(E$2:E1736)*(E1737=E$2:E1736)))))</f>
        <v/>
      </c>
      <c r="J1737" s="24" t="str">
        <f ca="1">IF(OR(E1737="",E1737="!!!",F1737="NEW"),"",COUNTBLANK(OFFSET(A$1,,,SUMPRODUCT(MAX(ROW(E$2:E1737)*(E1737=E$2:E1737)))))-COUNTBLANK(OFFSET(A$1,,,SUMPRODUCT(MAX(ROW(E$1:E1736)*(E2=E$1:E1736))))))</f>
        <v/>
      </c>
      <c r="K1737" s="24" t="str">
        <f>IF(OR(E1737="",E1737="!!!",F1737="NEW"),"",INDEX(J$1:J1736,SUMPRODUCT(MAX(ROW(E$1:E1736)*(E1737=E$1:E1736)))))</f>
        <v/>
      </c>
      <c r="L1737" s="25"/>
    </row>
    <row r="1738" spans="1:12" x14ac:dyDescent="0.3">
      <c r="A1738" t="s">
        <v>1054</v>
      </c>
      <c r="E1738" s="20" t="str">
        <f t="shared" si="202"/>
        <v/>
      </c>
      <c r="F1738" s="21" t="str">
        <f>IF(OR(E1738="",E1738="!!!"),"",IF(NOT(ISNA(VLOOKUP(E1738,E$1:E1737,1,FALSE()))),"OLD",IF(AND(E1738&lt;&gt;"",E1738&lt;&gt;"!!!"),"NEW","")))</f>
        <v/>
      </c>
      <c r="G1738" s="22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3" t="str">
        <f t="shared" ca="1" si="203"/>
        <v/>
      </c>
      <c r="I1738" s="24" t="str">
        <f>IF(OR(E1738="",E1738="!!!",F1738="NEW"),"",INDEX(B$2:B1737,-1+SUMPRODUCT(MAX(ROW(E$2:E1737)*(E1738=E$2:E1737)))))</f>
        <v/>
      </c>
      <c r="J1738" s="24" t="str">
        <f ca="1">IF(OR(E1738="",E1738="!!!",F1738="NEW"),"",COUNTBLANK(OFFSET(A$1,,,SUMPRODUCT(MAX(ROW(E$2:E1738)*(E1738=E$2:E1738)))))-COUNTBLANK(OFFSET(A$1,,,SUMPRODUCT(MAX(ROW(E$1:E1737)*(E2=E$1:E1737))))))</f>
        <v/>
      </c>
      <c r="K1738" s="24" t="str">
        <f>IF(OR(E1738="",E1738="!!!",F1738="NEW"),"",INDEX(J$1:J1737,SUMPRODUCT(MAX(ROW(E$1:E1737)*(E1738=E$1:E1737)))))</f>
        <v/>
      </c>
      <c r="L1738" s="25"/>
    </row>
    <row r="1739" spans="1:12" x14ac:dyDescent="0.3">
      <c r="A1739" t="s">
        <v>363</v>
      </c>
      <c r="E1739" s="20" t="str">
        <f t="shared" si="202"/>
        <v/>
      </c>
      <c r="F1739" s="21" t="str">
        <f>IF(OR(E1739="",E1739="!!!"),"",IF(NOT(ISNA(VLOOKUP(E1739,E$1:E1738,1,FALSE()))),"OLD",IF(AND(E1739&lt;&gt;"",E1739&lt;&gt;"!!!"),"NEW","")))</f>
        <v/>
      </c>
      <c r="G1739" s="22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3" t="str">
        <f t="shared" ca="1" si="203"/>
        <v/>
      </c>
      <c r="I1739" s="24" t="str">
        <f>IF(OR(E1739="",E1739="!!!",F1739="NEW"),"",INDEX(B$2:B1738,-1+SUMPRODUCT(MAX(ROW(E$2:E1738)*(E1739=E$2:E1738)))))</f>
        <v/>
      </c>
      <c r="J1739" s="24" t="str">
        <f ca="1">IF(OR(E1739="",E1739="!!!",F1739="NEW"),"",COUNTBLANK(OFFSET(A$1,,,SUMPRODUCT(MAX(ROW(E$2:E1739)*(E1739=E$2:E1739)))))-COUNTBLANK(OFFSET(A$1,,,SUMPRODUCT(MAX(ROW(E$1:E1738)*(E2=E$1:E1738))))))</f>
        <v/>
      </c>
      <c r="K1739" s="24" t="str">
        <f>IF(OR(E1739="",E1739="!!!",F1739="NEW"),"",INDEX(J$1:J1738,SUMPRODUCT(MAX(ROW(E$1:E1738)*(E1739=E$1:E1738)))))</f>
        <v/>
      </c>
      <c r="L1739" s="25"/>
    </row>
    <row r="1740" spans="1:12" x14ac:dyDescent="0.3">
      <c r="A1740" t="s">
        <v>1055</v>
      </c>
      <c r="E1740" s="20" t="str">
        <f t="shared" si="202"/>
        <v/>
      </c>
      <c r="F1740" s="21" t="str">
        <f>IF(OR(E1740="",E1740="!!!"),"",IF(NOT(ISNA(VLOOKUP(E1740,E$1:E1739,1,FALSE()))),"OLD",IF(AND(E1740&lt;&gt;"",E1740&lt;&gt;"!!!"),"NEW","")))</f>
        <v/>
      </c>
      <c r="G1740" s="22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/>
      </c>
      <c r="H1740" s="23" t="str">
        <f t="shared" ca="1" si="203"/>
        <v/>
      </c>
      <c r="I1740" s="24" t="str">
        <f>IF(OR(E1740="",E1740="!!!",F1740="NEW"),"",INDEX(B$2:B1739,-1+SUMPRODUCT(MAX(ROW(E$2:E1739)*(E1740=E$2:E1739)))))</f>
        <v/>
      </c>
      <c r="J1740" s="24" t="str">
        <f ca="1">IF(OR(E1740="",E1740="!!!",F1740="NEW"),"",COUNTBLANK(OFFSET(A$1,,,SUMPRODUCT(MAX(ROW(E$2:E1740)*(E1740=E$2:E1740)))))-COUNTBLANK(OFFSET(A$1,,,SUMPRODUCT(MAX(ROW(E$1:E1739)*(E2=E$1:E1739))))))</f>
        <v/>
      </c>
      <c r="K1740" s="24" t="str">
        <f>IF(OR(E1740="",E1740="!!!",F1740="NEW"),"",INDEX(J$1:J1739,SUMPRODUCT(MAX(ROW(E$1:E1739)*(E1740=E$1:E1739)))))</f>
        <v/>
      </c>
      <c r="L1740" s="25"/>
    </row>
    <row r="1741" spans="1:12" x14ac:dyDescent="0.3">
      <c r="A1741" t="s">
        <v>638</v>
      </c>
      <c r="E1741" s="20" t="str">
        <f t="shared" si="202"/>
        <v/>
      </c>
      <c r="F1741" s="21" t="str">
        <f>IF(OR(E1741="",E1741="!!!"),"",IF(NOT(ISNA(VLOOKUP(E1741,E$1:E1740,1,FALSE()))),"OLD",IF(AND(E1741&lt;&gt;"",E1741&lt;&gt;"!!!"),"NEW","")))</f>
        <v/>
      </c>
      <c r="G1741" s="22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/>
      </c>
      <c r="H1741" s="23" t="str">
        <f t="shared" ca="1" si="203"/>
        <v/>
      </c>
      <c r="I1741" s="24" t="str">
        <f>IF(OR(E1741="",E1741="!!!",F1741="NEW"),"",INDEX(B$2:B1740,-1+SUMPRODUCT(MAX(ROW(E$2:E1740)*(E1741=E$2:E1740)))))</f>
        <v/>
      </c>
      <c r="J1741" s="24" t="str">
        <f ca="1">IF(OR(E1741="",E1741="!!!",F1741="NEW"),"",COUNTBLANK(OFFSET(A$1,,,SUMPRODUCT(MAX(ROW(E$2:E1741)*(E1741=E$2:E1741)))))-COUNTBLANK(OFFSET(A$1,,,SUMPRODUCT(MAX(ROW(E$1:E1740)*(E2=E$1:E1740))))))</f>
        <v/>
      </c>
      <c r="K1741" s="24" t="str">
        <f>IF(OR(E1741="",E1741="!!!",F1741="NEW"),"",INDEX(J$1:J1740,SUMPRODUCT(MAX(ROW(E$1:E1740)*(E1741=E$1:E1740)))))</f>
        <v/>
      </c>
      <c r="L1741" s="25"/>
    </row>
    <row r="1743" spans="1:12" x14ac:dyDescent="0.3">
      <c r="A1743" t="s">
        <v>1056</v>
      </c>
    </row>
    <row r="1744" spans="1:12" x14ac:dyDescent="0.3">
      <c r="A1744" t="s">
        <v>1045</v>
      </c>
      <c r="B1744" s="26" t="s">
        <v>344</v>
      </c>
      <c r="C1744" s="26" t="s">
        <v>438</v>
      </c>
      <c r="D1744" s="26" t="s">
        <v>332</v>
      </c>
      <c r="E1744" s="20" t="str">
        <f t="shared" ref="E1744:E1773" si="204">IF(D1744="?OLD","!!!","")</f>
        <v>!!!</v>
      </c>
      <c r="F1744" s="21" t="str">
        <f>IF(OR(E1744="",E1744="!!!"),"",IF(NOT(ISNA(VLOOKUP(E1744,E$1:E1743,1,FALSE()))),"OLD",IF(AND(E1744&lt;&gt;"",E1744&lt;&gt;"!!!"),"NEW","")))</f>
        <v/>
      </c>
      <c r="G1744" s="22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3" t="str">
        <f t="shared" ref="H1744:H1773" ca="1" si="205">IF(J1744&lt;&gt;1,"",IF(I1744="SBJ","CB","?"))</f>
        <v/>
      </c>
      <c r="I1744" s="24" t="str">
        <f>IF(OR(E1744="",E1744="!!!",F1744="NEW"),"",INDEX(B$2:B1743,-1+SUMPRODUCT(MAX(ROW(E$2:E1743)*(E1744=E$2:E1743)))))</f>
        <v/>
      </c>
      <c r="J1744" s="24" t="str">
        <f ca="1">IF(OR(E1744="",E1744="!!!",F1744="NEW"),"",COUNTBLANK(OFFSET(A$1,,,SUMPRODUCT(MAX(ROW(E$2:E1744)*(E1744=E$2:E1744)))))-COUNTBLANK(OFFSET(A$1,,,SUMPRODUCT(MAX(ROW(E$1:E1743)*(E2=E$1:E1743))))))</f>
        <v/>
      </c>
      <c r="K1744" s="24" t="str">
        <f>IF(OR(E1744="",E1744="!!!",F1744="NEW"),"",INDEX(J$1:J1743,SUMPRODUCT(MAX(ROW(E$1:E1743)*(E1744=E$1:E1743)))))</f>
        <v/>
      </c>
      <c r="L1744" s="25"/>
    </row>
    <row r="1745" spans="1:12" x14ac:dyDescent="0.3">
      <c r="A1745" t="s">
        <v>759</v>
      </c>
      <c r="E1745" s="20" t="str">
        <f t="shared" si="204"/>
        <v/>
      </c>
      <c r="F1745" s="21" t="str">
        <f>IF(OR(E1745="",E1745="!!!"),"",IF(NOT(ISNA(VLOOKUP(E1745,E$1:E1744,1,FALSE()))),"OLD",IF(AND(E1745&lt;&gt;"",E1745&lt;&gt;"!!!"),"NEW","")))</f>
        <v/>
      </c>
      <c r="G1745" s="22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/>
      </c>
      <c r="H1745" s="23" t="str">
        <f t="shared" ca="1" si="205"/>
        <v/>
      </c>
      <c r="I1745" s="24" t="str">
        <f>IF(OR(E1745="",E1745="!!!",F1745="NEW"),"",INDEX(B$2:B1744,-1+SUMPRODUCT(MAX(ROW(E$2:E1744)*(E1745=E$2:E1744)))))</f>
        <v/>
      </c>
      <c r="J1745" s="24" t="str">
        <f ca="1">IF(OR(E1745="",E1745="!!!",F1745="NEW"),"",COUNTBLANK(OFFSET(A$1,,,SUMPRODUCT(MAX(ROW(E$2:E1745)*(E1745=E$2:E1745)))))-COUNTBLANK(OFFSET(A$1,,,SUMPRODUCT(MAX(ROW(E$1:E1744)*(E2=E$1:E1744))))))</f>
        <v/>
      </c>
      <c r="K1745" s="24" t="str">
        <f>IF(OR(E1745="",E1745="!!!",F1745="NEW"),"",INDEX(J$1:J1744,SUMPRODUCT(MAX(ROW(E$1:E1744)*(E1745=E$1:E1744)))))</f>
        <v/>
      </c>
      <c r="L1745" s="25"/>
    </row>
    <row r="1746" spans="1:12" x14ac:dyDescent="0.3">
      <c r="A1746" t="s">
        <v>437</v>
      </c>
      <c r="B1746" s="26" t="s">
        <v>330</v>
      </c>
      <c r="C1746" s="26" t="s">
        <v>438</v>
      </c>
      <c r="D1746" s="26" t="s">
        <v>332</v>
      </c>
      <c r="E1746" s="20" t="str">
        <f t="shared" si="204"/>
        <v>!!!</v>
      </c>
      <c r="F1746" s="21" t="str">
        <f>IF(OR(E1746="",E1746="!!!"),"",IF(NOT(ISNA(VLOOKUP(E1746,E$1:E1745,1,FALSE()))),"OLD",IF(AND(E1746&lt;&gt;"",E1746&lt;&gt;"!!!"),"NEW","")))</f>
        <v/>
      </c>
      <c r="G1746" s="22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/>
      </c>
      <c r="H1746" s="23" t="str">
        <f t="shared" ca="1" si="205"/>
        <v/>
      </c>
      <c r="I1746" s="24" t="str">
        <f>IF(OR(E1746="",E1746="!!!",F1746="NEW"),"",INDEX(B$2:B1745,-1+SUMPRODUCT(MAX(ROW(E$2:E1745)*(E1746=E$2:E1745)))))</f>
        <v/>
      </c>
      <c r="J1746" s="24" t="str">
        <f ca="1">IF(OR(E1746="",E1746="!!!",F1746="NEW"),"",COUNTBLANK(OFFSET(A$1,,,SUMPRODUCT(MAX(ROW(E$2:E1746)*(E1746=E$2:E1746)))))-COUNTBLANK(OFFSET(A$1,,,SUMPRODUCT(MAX(ROW(E$1:E1745)*(E2=E$1:E1745))))))</f>
        <v/>
      </c>
      <c r="K1746" s="24" t="str">
        <f>IF(OR(E1746="",E1746="!!!",F1746="NEW"),"",INDEX(J$1:J1745,SUMPRODUCT(MAX(ROW(E$1:E1745)*(E1746=E$1:E1745)))))</f>
        <v/>
      </c>
      <c r="L1746" s="25"/>
    </row>
    <row r="1747" spans="1:12" x14ac:dyDescent="0.3">
      <c r="A1747" t="s">
        <v>1057</v>
      </c>
      <c r="E1747" s="20" t="str">
        <f t="shared" si="204"/>
        <v/>
      </c>
      <c r="F1747" s="21" t="str">
        <f>IF(OR(E1747="",E1747="!!!"),"",IF(NOT(ISNA(VLOOKUP(E1747,E$1:E1746,1,FALSE()))),"OLD",IF(AND(E1747&lt;&gt;"",E1747&lt;&gt;"!!!"),"NEW","")))</f>
        <v/>
      </c>
      <c r="G1747" s="22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3" t="str">
        <f t="shared" ca="1" si="205"/>
        <v/>
      </c>
      <c r="I1747" s="24" t="str">
        <f>IF(OR(E1747="",E1747="!!!",F1747="NEW"),"",INDEX(B$2:B1746,-1+SUMPRODUCT(MAX(ROW(E$2:E1746)*(E1747=E$2:E1746)))))</f>
        <v/>
      </c>
      <c r="J1747" s="24" t="str">
        <f ca="1">IF(OR(E1747="",E1747="!!!",F1747="NEW"),"",COUNTBLANK(OFFSET(A$1,,,SUMPRODUCT(MAX(ROW(E$2:E1747)*(E1747=E$2:E1747)))))-COUNTBLANK(OFFSET(A$1,,,SUMPRODUCT(MAX(ROW(E$1:E1746)*(E2=E$1:E1746))))))</f>
        <v/>
      </c>
      <c r="K1747" s="24" t="str">
        <f>IF(OR(E1747="",E1747="!!!",F1747="NEW"),"",INDEX(J$1:J1746,SUMPRODUCT(MAX(ROW(E$1:E1746)*(E1747=E$1:E1746)))))</f>
        <v/>
      </c>
      <c r="L1747" s="25"/>
    </row>
    <row r="1748" spans="1:12" x14ac:dyDescent="0.3">
      <c r="A1748" t="s">
        <v>351</v>
      </c>
      <c r="E1748" s="20" t="str">
        <f t="shared" si="204"/>
        <v/>
      </c>
      <c r="F1748" s="21" t="str">
        <f>IF(OR(E1748="",E1748="!!!"),"",IF(NOT(ISNA(VLOOKUP(E1748,E$1:E1747,1,FALSE()))),"OLD",IF(AND(E1748&lt;&gt;"",E1748&lt;&gt;"!!!"),"NEW","")))</f>
        <v/>
      </c>
      <c r="G1748" s="22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3" t="str">
        <f t="shared" ca="1" si="205"/>
        <v/>
      </c>
      <c r="I1748" s="24" t="str">
        <f>IF(OR(E1748="",E1748="!!!",F1748="NEW"),"",INDEX(B$2:B1747,-1+SUMPRODUCT(MAX(ROW(E$2:E1747)*(E1748=E$2:E1747)))))</f>
        <v/>
      </c>
      <c r="J1748" s="24" t="str">
        <f ca="1">IF(OR(E1748="",E1748="!!!",F1748="NEW"),"",COUNTBLANK(OFFSET(A$1,,,SUMPRODUCT(MAX(ROW(E$2:E1748)*(E1748=E$2:E1748)))))-COUNTBLANK(OFFSET(A$1,,,SUMPRODUCT(MAX(ROW(E$1:E1747)*(E2=E$1:E1747))))))</f>
        <v/>
      </c>
      <c r="K1748" s="24" t="str">
        <f>IF(OR(E1748="",E1748="!!!",F1748="NEW"),"",INDEX(J$1:J1747,SUMPRODUCT(MAX(ROW(E$1:E1747)*(E1748=E$1:E1747)))))</f>
        <v/>
      </c>
      <c r="L1748" s="25"/>
    </row>
    <row r="1749" spans="1:12" x14ac:dyDescent="0.3">
      <c r="A1749" t="s">
        <v>370</v>
      </c>
      <c r="E1749" s="20" t="str">
        <f t="shared" si="204"/>
        <v/>
      </c>
      <c r="F1749" s="21" t="str">
        <f>IF(OR(E1749="",E1749="!!!"),"",IF(NOT(ISNA(VLOOKUP(E1749,E$1:E1748,1,FALSE()))),"OLD",IF(AND(E1749&lt;&gt;"",E1749&lt;&gt;"!!!"),"NEW","")))</f>
        <v/>
      </c>
      <c r="G1749" s="22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/>
      </c>
      <c r="H1749" s="23" t="str">
        <f t="shared" ca="1" si="205"/>
        <v/>
      </c>
      <c r="I1749" s="24" t="str">
        <f>IF(OR(E1749="",E1749="!!!",F1749="NEW"),"",INDEX(B$2:B1748,-1+SUMPRODUCT(MAX(ROW(E$2:E1748)*(E1749=E$2:E1748)))))</f>
        <v/>
      </c>
      <c r="J1749" s="24" t="str">
        <f ca="1">IF(OR(E1749="",E1749="!!!",F1749="NEW"),"",COUNTBLANK(OFFSET(A$1,,,SUMPRODUCT(MAX(ROW(E$2:E1749)*(E1749=E$2:E1749)))))-COUNTBLANK(OFFSET(A$1,,,SUMPRODUCT(MAX(ROW(E$1:E1748)*(E2=E$1:E1748))))))</f>
        <v/>
      </c>
      <c r="K1749" s="24" t="str">
        <f>IF(OR(E1749="",E1749="!!!",F1749="NEW"),"",INDEX(J$1:J1748,SUMPRODUCT(MAX(ROW(E$1:E1748)*(E1749=E$1:E1748)))))</f>
        <v/>
      </c>
      <c r="L1749" s="25"/>
    </row>
    <row r="1750" spans="1:12" x14ac:dyDescent="0.3">
      <c r="A1750" t="s">
        <v>437</v>
      </c>
      <c r="B1750" s="26" t="s">
        <v>354</v>
      </c>
      <c r="C1750" s="26" t="s">
        <v>438</v>
      </c>
      <c r="D1750" s="26" t="s">
        <v>332</v>
      </c>
      <c r="E1750" s="20" t="str">
        <f t="shared" si="204"/>
        <v>!!!</v>
      </c>
      <c r="F1750" s="21" t="str">
        <f>IF(OR(E1750="",E1750="!!!"),"",IF(NOT(ISNA(VLOOKUP(E1750,E$1:E1749,1,FALSE()))),"OLD",IF(AND(E1750&lt;&gt;"",E1750&lt;&gt;"!!!"),"NEW","")))</f>
        <v/>
      </c>
      <c r="G1750" s="22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/>
      </c>
      <c r="H1750" s="23" t="str">
        <f t="shared" ca="1" si="205"/>
        <v/>
      </c>
      <c r="I1750" s="24" t="str">
        <f>IF(OR(E1750="",E1750="!!!",F1750="NEW"),"",INDEX(B$2:B1749,-1+SUMPRODUCT(MAX(ROW(E$2:E1749)*(E1750=E$2:E1749)))))</f>
        <v/>
      </c>
      <c r="J1750" s="24" t="str">
        <f ca="1">IF(OR(E1750="",E1750="!!!",F1750="NEW"),"",COUNTBLANK(OFFSET(A$1,,,SUMPRODUCT(MAX(ROW(E$2:E1750)*(E1750=E$2:E1750)))))-COUNTBLANK(OFFSET(A$1,,,SUMPRODUCT(MAX(ROW(E$1:E1749)*(E2=E$1:E1749))))))</f>
        <v/>
      </c>
      <c r="K1750" s="24" t="str">
        <f>IF(OR(E1750="",E1750="!!!",F1750="NEW"),"",INDEX(J$1:J1749,SUMPRODUCT(MAX(ROW(E$1:E1749)*(E1750=E$1:E1749)))))</f>
        <v/>
      </c>
      <c r="L1750" s="25"/>
    </row>
    <row r="1751" spans="1:12" x14ac:dyDescent="0.3">
      <c r="A1751" t="s">
        <v>1053</v>
      </c>
      <c r="E1751" s="20" t="str">
        <f t="shared" si="204"/>
        <v/>
      </c>
      <c r="F1751" s="21" t="str">
        <f>IF(OR(E1751="",E1751="!!!"),"",IF(NOT(ISNA(VLOOKUP(E1751,E$1:E1750,1,FALSE()))),"OLD",IF(AND(E1751&lt;&gt;"",E1751&lt;&gt;"!!!"),"NEW","")))</f>
        <v/>
      </c>
      <c r="G1751" s="22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3" t="str">
        <f t="shared" ca="1" si="205"/>
        <v/>
      </c>
      <c r="I1751" s="24" t="str">
        <f>IF(OR(E1751="",E1751="!!!",F1751="NEW"),"",INDEX(B$2:B1750,-1+SUMPRODUCT(MAX(ROW(E$2:E1750)*(E1751=E$2:E1750)))))</f>
        <v/>
      </c>
      <c r="J1751" s="24" t="str">
        <f ca="1">IF(OR(E1751="",E1751="!!!",F1751="NEW"),"",COUNTBLANK(OFFSET(A$1,,,SUMPRODUCT(MAX(ROW(E$2:E1751)*(E1751=E$2:E1751)))))-COUNTBLANK(OFFSET(A$1,,,SUMPRODUCT(MAX(ROW(E$1:E1750)*(E2=E$1:E1750))))))</f>
        <v/>
      </c>
      <c r="K1751" s="24" t="str">
        <f>IF(OR(E1751="",E1751="!!!",F1751="NEW"),"",INDEX(J$1:J1750,SUMPRODUCT(MAX(ROW(E$1:E1750)*(E1751=E$1:E1750)))))</f>
        <v/>
      </c>
      <c r="L1751" s="25"/>
    </row>
    <row r="1752" spans="1:12" x14ac:dyDescent="0.3">
      <c r="A1752" t="s">
        <v>351</v>
      </c>
      <c r="E1752" s="20" t="str">
        <f t="shared" si="204"/>
        <v/>
      </c>
      <c r="F1752" s="21" t="str">
        <f>IF(OR(E1752="",E1752="!!!"),"",IF(NOT(ISNA(VLOOKUP(E1752,E$1:E1751,1,FALSE()))),"OLD",IF(AND(E1752&lt;&gt;"",E1752&lt;&gt;"!!!"),"NEW","")))</f>
        <v/>
      </c>
      <c r="G1752" s="22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3" t="str">
        <f t="shared" ca="1" si="205"/>
        <v/>
      </c>
      <c r="I1752" s="24" t="str">
        <f>IF(OR(E1752="",E1752="!!!",F1752="NEW"),"",INDEX(B$2:B1751,-1+SUMPRODUCT(MAX(ROW(E$2:E1751)*(E1752=E$2:E1751)))))</f>
        <v/>
      </c>
      <c r="J1752" s="24" t="str">
        <f ca="1">IF(OR(E1752="",E1752="!!!",F1752="NEW"),"",COUNTBLANK(OFFSET(A$1,,,SUMPRODUCT(MAX(ROW(E$2:E1752)*(E1752=E$2:E1752)))))-COUNTBLANK(OFFSET(A$1,,,SUMPRODUCT(MAX(ROW(E$1:E1751)*(E2=E$1:E1751))))))</f>
        <v/>
      </c>
      <c r="K1752" s="24" t="str">
        <f>IF(OR(E1752="",E1752="!!!",F1752="NEW"),"",INDEX(J$1:J1751,SUMPRODUCT(MAX(ROW(E$1:E1751)*(E1752=E$1:E1751)))))</f>
        <v/>
      </c>
      <c r="L1752" s="25"/>
    </row>
    <row r="1753" spans="1:12" x14ac:dyDescent="0.3">
      <c r="A1753" t="s">
        <v>1058</v>
      </c>
      <c r="E1753" s="20" t="str">
        <f t="shared" si="204"/>
        <v/>
      </c>
      <c r="F1753" s="21" t="str">
        <f>IF(OR(E1753="",E1753="!!!"),"",IF(NOT(ISNA(VLOOKUP(E1753,E$1:E1752,1,FALSE()))),"OLD",IF(AND(E1753&lt;&gt;"",E1753&lt;&gt;"!!!"),"NEW","")))</f>
        <v/>
      </c>
      <c r="G1753" s="22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3" t="str">
        <f t="shared" ca="1" si="205"/>
        <v/>
      </c>
      <c r="I1753" s="24" t="str">
        <f>IF(OR(E1753="",E1753="!!!",F1753="NEW"),"",INDEX(B$2:B1752,-1+SUMPRODUCT(MAX(ROW(E$2:E1752)*(E1753=E$2:E1752)))))</f>
        <v/>
      </c>
      <c r="J1753" s="24" t="str">
        <f ca="1">IF(OR(E1753="",E1753="!!!",F1753="NEW"),"",COUNTBLANK(OFFSET(A$1,,,SUMPRODUCT(MAX(ROW(E$2:E1753)*(E1753=E$2:E1753)))))-COUNTBLANK(OFFSET(A$1,,,SUMPRODUCT(MAX(ROW(E$1:E1752)*(E2=E$1:E1752))))))</f>
        <v/>
      </c>
      <c r="K1753" s="24" t="str">
        <f>IF(OR(E1753="",E1753="!!!",F1753="NEW"),"",INDEX(J$1:J1752,SUMPRODUCT(MAX(ROW(E$1:E1752)*(E1753=E$1:E1752)))))</f>
        <v/>
      </c>
      <c r="L1753" s="25"/>
    </row>
    <row r="1754" spans="1:12" x14ac:dyDescent="0.3">
      <c r="A1754" t="s">
        <v>385</v>
      </c>
      <c r="E1754" s="20" t="str">
        <f t="shared" si="204"/>
        <v/>
      </c>
      <c r="F1754" s="21" t="str">
        <f>IF(OR(E1754="",E1754="!!!"),"",IF(NOT(ISNA(VLOOKUP(E1754,E$1:E1753,1,FALSE()))),"OLD",IF(AND(E1754&lt;&gt;"",E1754&lt;&gt;"!!!"),"NEW","")))</f>
        <v/>
      </c>
      <c r="G1754" s="22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/>
      </c>
      <c r="H1754" s="23" t="str">
        <f t="shared" ca="1" si="205"/>
        <v/>
      </c>
      <c r="I1754" s="24" t="str">
        <f>IF(OR(E1754="",E1754="!!!",F1754="NEW"),"",INDEX(B$2:B1753,-1+SUMPRODUCT(MAX(ROW(E$2:E1753)*(E1754=E$2:E1753)))))</f>
        <v/>
      </c>
      <c r="J1754" s="24" t="str">
        <f ca="1">IF(OR(E1754="",E1754="!!!",F1754="NEW"),"",COUNTBLANK(OFFSET(A$1,,,SUMPRODUCT(MAX(ROW(E$2:E1754)*(E1754=E$2:E1754)))))-COUNTBLANK(OFFSET(A$1,,,SUMPRODUCT(MAX(ROW(E$1:E1753)*(E2=E$1:E1753))))))</f>
        <v/>
      </c>
      <c r="K1754" s="24" t="str">
        <f>IF(OR(E1754="",E1754="!!!",F1754="NEW"),"",INDEX(J$1:J1753,SUMPRODUCT(MAX(ROW(E$1:E1753)*(E1754=E$1:E1753)))))</f>
        <v/>
      </c>
      <c r="L1754" s="25"/>
    </row>
    <row r="1755" spans="1:12" x14ac:dyDescent="0.3">
      <c r="A1755" t="s">
        <v>547</v>
      </c>
      <c r="E1755" s="20" t="str">
        <f t="shared" si="204"/>
        <v/>
      </c>
      <c r="F1755" s="21" t="str">
        <f>IF(OR(E1755="",E1755="!!!"),"",IF(NOT(ISNA(VLOOKUP(E1755,E$1:E1754,1,FALSE()))),"OLD",IF(AND(E1755&lt;&gt;"",E1755&lt;&gt;"!!!"),"NEW","")))</f>
        <v/>
      </c>
      <c r="G1755" s="22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3" t="str">
        <f t="shared" ca="1" si="205"/>
        <v/>
      </c>
      <c r="I1755" s="24" t="str">
        <f>IF(OR(E1755="",E1755="!!!",F1755="NEW"),"",INDEX(B$2:B1754,-1+SUMPRODUCT(MAX(ROW(E$2:E1754)*(E1755=E$2:E1754)))))</f>
        <v/>
      </c>
      <c r="J1755" s="24" t="str">
        <f ca="1">IF(OR(E1755="",E1755="!!!",F1755="NEW"),"",COUNTBLANK(OFFSET(A$1,,,SUMPRODUCT(MAX(ROW(E$2:E1755)*(E1755=E$2:E1755)))))-COUNTBLANK(OFFSET(A$1,,,SUMPRODUCT(MAX(ROW(E$1:E1754)*(E2=E$1:E1754))))))</f>
        <v/>
      </c>
      <c r="K1755" s="24" t="str">
        <f>IF(OR(E1755="",E1755="!!!",F1755="NEW"),"",INDEX(J$1:J1754,SUMPRODUCT(MAX(ROW(E$1:E1754)*(E1755=E$1:E1754)))))</f>
        <v/>
      </c>
      <c r="L1755" s="25"/>
    </row>
    <row r="1756" spans="1:12" x14ac:dyDescent="0.3">
      <c r="A1756" t="s">
        <v>351</v>
      </c>
      <c r="E1756" s="20" t="str">
        <f t="shared" si="204"/>
        <v/>
      </c>
      <c r="F1756" s="21" t="str">
        <f>IF(OR(E1756="",E1756="!!!"),"",IF(NOT(ISNA(VLOOKUP(E1756,E$1:E1755,1,FALSE()))),"OLD",IF(AND(E1756&lt;&gt;"",E1756&lt;&gt;"!!!"),"NEW","")))</f>
        <v/>
      </c>
      <c r="G1756" s="22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/>
      </c>
      <c r="H1756" s="23" t="str">
        <f t="shared" ca="1" si="205"/>
        <v/>
      </c>
      <c r="I1756" s="24" t="str">
        <f>IF(OR(E1756="",E1756="!!!",F1756="NEW"),"",INDEX(B$2:B1755,-1+SUMPRODUCT(MAX(ROW(E$2:E1755)*(E1756=E$2:E1755)))))</f>
        <v/>
      </c>
      <c r="J1756" s="24" t="str">
        <f ca="1">IF(OR(E1756="",E1756="!!!",F1756="NEW"),"",COUNTBLANK(OFFSET(A$1,,,SUMPRODUCT(MAX(ROW(E$2:E1756)*(E1756=E$2:E1756)))))-COUNTBLANK(OFFSET(A$1,,,SUMPRODUCT(MAX(ROW(E$1:E1755)*(E2=E$1:E1755))))))</f>
        <v/>
      </c>
      <c r="K1756" s="24" t="str">
        <f>IF(OR(E1756="",E1756="!!!",F1756="NEW"),"",INDEX(J$1:J1755,SUMPRODUCT(MAX(ROW(E$1:E1755)*(E1756=E$1:E1755)))))</f>
        <v/>
      </c>
      <c r="L1756" s="25"/>
    </row>
    <row r="1757" spans="1:12" x14ac:dyDescent="0.3">
      <c r="A1757" t="s">
        <v>646</v>
      </c>
      <c r="E1757" s="20" t="str">
        <f t="shared" si="204"/>
        <v/>
      </c>
      <c r="F1757" s="21" t="str">
        <f>IF(OR(E1757="",E1757="!!!"),"",IF(NOT(ISNA(VLOOKUP(E1757,E$1:E1756,1,FALSE()))),"OLD",IF(AND(E1757&lt;&gt;"",E1757&lt;&gt;"!!!"),"NEW","")))</f>
        <v/>
      </c>
      <c r="G1757" s="22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/>
      </c>
      <c r="H1757" s="23" t="str">
        <f t="shared" ca="1" si="205"/>
        <v/>
      </c>
      <c r="I1757" s="24" t="str">
        <f>IF(OR(E1757="",E1757="!!!",F1757="NEW"),"",INDEX(B$2:B1756,-1+SUMPRODUCT(MAX(ROW(E$2:E1756)*(E1757=E$2:E1756)))))</f>
        <v/>
      </c>
      <c r="J1757" s="24" t="str">
        <f ca="1">IF(OR(E1757="",E1757="!!!",F1757="NEW"),"",COUNTBLANK(OFFSET(A$1,,,SUMPRODUCT(MAX(ROW(E$2:E1757)*(E1757=E$2:E1757)))))-COUNTBLANK(OFFSET(A$1,,,SUMPRODUCT(MAX(ROW(E$1:E1756)*(E2=E$1:E1756))))))</f>
        <v/>
      </c>
      <c r="K1757" s="24" t="str">
        <f>IF(OR(E1757="",E1757="!!!",F1757="NEW"),"",INDEX(J$1:J1756,SUMPRODUCT(MAX(ROW(E$1:E1756)*(E1757=E$1:E1756)))))</f>
        <v/>
      </c>
      <c r="L1757" s="25"/>
    </row>
    <row r="1758" spans="1:12" x14ac:dyDescent="0.3">
      <c r="A1758" t="s">
        <v>372</v>
      </c>
      <c r="E1758" s="20" t="str">
        <f t="shared" si="204"/>
        <v/>
      </c>
      <c r="F1758" s="21" t="str">
        <f>IF(OR(E1758="",E1758="!!!"),"",IF(NOT(ISNA(VLOOKUP(E1758,E$1:E1757,1,FALSE()))),"OLD",IF(AND(E1758&lt;&gt;"",E1758&lt;&gt;"!!!"),"NEW","")))</f>
        <v/>
      </c>
      <c r="G1758" s="22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3" t="str">
        <f t="shared" ca="1" si="205"/>
        <v/>
      </c>
      <c r="I1758" s="24" t="str">
        <f>IF(OR(E1758="",E1758="!!!",F1758="NEW"),"",INDEX(B$2:B1757,-1+SUMPRODUCT(MAX(ROW(E$2:E1757)*(E1758=E$2:E1757)))))</f>
        <v/>
      </c>
      <c r="J1758" s="24" t="str">
        <f ca="1">IF(OR(E1758="",E1758="!!!",F1758="NEW"),"",COUNTBLANK(OFFSET(A$1,,,SUMPRODUCT(MAX(ROW(E$2:E1758)*(E1758=E$2:E1758)))))-COUNTBLANK(OFFSET(A$1,,,SUMPRODUCT(MAX(ROW(E$1:E1757)*(E2=E$1:E1757))))))</f>
        <v/>
      </c>
      <c r="K1758" s="24" t="str">
        <f>IF(OR(E1758="",E1758="!!!",F1758="NEW"),"",INDEX(J$1:J1757,SUMPRODUCT(MAX(ROW(E$1:E1757)*(E1758=E$1:E1757)))))</f>
        <v/>
      </c>
      <c r="L1758" s="25"/>
    </row>
    <row r="1759" spans="1:12" x14ac:dyDescent="0.3">
      <c r="A1759" t="s">
        <v>334</v>
      </c>
      <c r="E1759" s="20" t="str">
        <f t="shared" si="204"/>
        <v/>
      </c>
      <c r="F1759" s="21" t="str">
        <f>IF(OR(E1759="",E1759="!!!"),"",IF(NOT(ISNA(VLOOKUP(E1759,E$1:E1758,1,FALSE()))),"OLD",IF(AND(E1759&lt;&gt;"",E1759&lt;&gt;"!!!"),"NEW","")))</f>
        <v/>
      </c>
      <c r="G1759" s="22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3" t="str">
        <f t="shared" ca="1" si="205"/>
        <v/>
      </c>
      <c r="I1759" s="24" t="str">
        <f>IF(OR(E1759="",E1759="!!!",F1759="NEW"),"",INDEX(B$2:B1758,-1+SUMPRODUCT(MAX(ROW(E$2:E1758)*(E1759=E$2:E1758)))))</f>
        <v/>
      </c>
      <c r="J1759" s="24" t="str">
        <f ca="1">IF(OR(E1759="",E1759="!!!",F1759="NEW"),"",COUNTBLANK(OFFSET(A$1,,,SUMPRODUCT(MAX(ROW(E$2:E1759)*(E1759=E$2:E1759)))))-COUNTBLANK(OFFSET(A$1,,,SUMPRODUCT(MAX(ROW(E$1:E1758)*(E2=E$1:E1758))))))</f>
        <v/>
      </c>
      <c r="K1759" s="24" t="str">
        <f>IF(OR(E1759="",E1759="!!!",F1759="NEW"),"",INDEX(J$1:J1758,SUMPRODUCT(MAX(ROW(E$1:E1758)*(E1759=E$1:E1758)))))</f>
        <v/>
      </c>
      <c r="L1759" s="25"/>
    </row>
    <row r="1760" spans="1:12" x14ac:dyDescent="0.3">
      <c r="A1760" t="s">
        <v>335</v>
      </c>
      <c r="E1760" s="20" t="str">
        <f t="shared" si="204"/>
        <v/>
      </c>
      <c r="F1760" s="21" t="str">
        <f>IF(OR(E1760="",E1760="!!!"),"",IF(NOT(ISNA(VLOOKUP(E1760,E$1:E1759,1,FALSE()))),"OLD",IF(AND(E1760&lt;&gt;"",E1760&lt;&gt;"!!!"),"NEW","")))</f>
        <v/>
      </c>
      <c r="G1760" s="22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/>
      </c>
      <c r="H1760" s="23" t="str">
        <f t="shared" ca="1" si="205"/>
        <v/>
      </c>
      <c r="I1760" s="24" t="str">
        <f>IF(OR(E1760="",E1760="!!!",F1760="NEW"),"",INDEX(B$2:B1759,-1+SUMPRODUCT(MAX(ROW(E$2:E1759)*(E1760=E$2:E1759)))))</f>
        <v/>
      </c>
      <c r="J1760" s="24" t="str">
        <f ca="1">IF(OR(E1760="",E1760="!!!",F1760="NEW"),"",COUNTBLANK(OFFSET(A$1,,,SUMPRODUCT(MAX(ROW(E$2:E1760)*(E1760=E$2:E1760)))))-COUNTBLANK(OFFSET(A$1,,,SUMPRODUCT(MAX(ROW(E$1:E1759)*(E2=E$1:E1759))))))</f>
        <v/>
      </c>
      <c r="K1760" s="24" t="str">
        <f>IF(OR(E1760="",E1760="!!!",F1760="NEW"),"",INDEX(J$1:J1759,SUMPRODUCT(MAX(ROW(E$1:E1759)*(E1760=E$1:E1759)))))</f>
        <v/>
      </c>
      <c r="L1760" s="25"/>
    </row>
    <row r="1761" spans="1:12" x14ac:dyDescent="0.3">
      <c r="A1761" t="s">
        <v>1059</v>
      </c>
      <c r="B1761" s="26" t="s">
        <v>362</v>
      </c>
      <c r="C1761" s="26" t="s">
        <v>331</v>
      </c>
      <c r="D1761" s="26" t="s">
        <v>332</v>
      </c>
      <c r="E1761" s="20" t="str">
        <f t="shared" si="204"/>
        <v>!!!</v>
      </c>
      <c r="F1761" s="21" t="str">
        <f>IF(OR(E1761="",E1761="!!!"),"",IF(NOT(ISNA(VLOOKUP(E1761,E$1:E1760,1,FALSE()))),"OLD",IF(AND(E1761&lt;&gt;"",E1761&lt;&gt;"!!!"),"NEW","")))</f>
        <v/>
      </c>
      <c r="G1761" s="22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/>
      </c>
      <c r="H1761" s="23" t="str">
        <f t="shared" ca="1" si="205"/>
        <v/>
      </c>
      <c r="I1761" s="24" t="str">
        <f>IF(OR(E1761="",E1761="!!!",F1761="NEW"),"",INDEX(B$2:B1760,-1+SUMPRODUCT(MAX(ROW(E$2:E1760)*(E1761=E$2:E1760)))))</f>
        <v/>
      </c>
      <c r="J1761" s="24" t="str">
        <f ca="1">IF(OR(E1761="",E1761="!!!",F1761="NEW"),"",COUNTBLANK(OFFSET(A$1,,,SUMPRODUCT(MAX(ROW(E$2:E1761)*(E1761=E$2:E1761)))))-COUNTBLANK(OFFSET(A$1,,,SUMPRODUCT(MAX(ROW(E$1:E1760)*(E2=E$1:E1760))))))</f>
        <v/>
      </c>
      <c r="K1761" s="24" t="str">
        <f>IF(OR(E1761="",E1761="!!!",F1761="NEW"),"",INDEX(J$1:J1760,SUMPRODUCT(MAX(ROW(E$1:E1760)*(E1761=E$1:E1760)))))</f>
        <v/>
      </c>
      <c r="L1761" s="25"/>
    </row>
    <row r="1762" spans="1:12" x14ac:dyDescent="0.3">
      <c r="A1762" t="s">
        <v>841</v>
      </c>
      <c r="E1762" s="20" t="str">
        <f t="shared" si="204"/>
        <v/>
      </c>
      <c r="F1762" s="21" t="str">
        <f>IF(OR(E1762="",E1762="!!!"),"",IF(NOT(ISNA(VLOOKUP(E1762,E$1:E1761,1,FALSE()))),"OLD",IF(AND(E1762&lt;&gt;"",E1762&lt;&gt;"!!!"),"NEW","")))</f>
        <v/>
      </c>
      <c r="G1762" s="22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/>
      </c>
      <c r="H1762" s="23" t="str">
        <f t="shared" ca="1" si="205"/>
        <v/>
      </c>
      <c r="I1762" s="24" t="str">
        <f>IF(OR(E1762="",E1762="!!!",F1762="NEW"),"",INDEX(B$2:B1761,-1+SUMPRODUCT(MAX(ROW(E$2:E1761)*(E1762=E$2:E1761)))))</f>
        <v/>
      </c>
      <c r="J1762" s="24" t="str">
        <f ca="1">IF(OR(E1762="",E1762="!!!",F1762="NEW"),"",COUNTBLANK(OFFSET(A$1,,,SUMPRODUCT(MAX(ROW(E$2:E1762)*(E1762=E$2:E1762)))))-COUNTBLANK(OFFSET(A$1,,,SUMPRODUCT(MAX(ROW(E$1:E1761)*(E2=E$1:E1761))))))</f>
        <v/>
      </c>
      <c r="K1762" s="24" t="str">
        <f>IF(OR(E1762="",E1762="!!!",F1762="NEW"),"",INDEX(J$1:J1761,SUMPRODUCT(MAX(ROW(E$1:E1761)*(E1762=E$1:E1761)))))</f>
        <v/>
      </c>
      <c r="L1762" s="25"/>
    </row>
    <row r="1763" spans="1:12" x14ac:dyDescent="0.3">
      <c r="A1763" t="s">
        <v>329</v>
      </c>
      <c r="B1763" s="26" t="s">
        <v>431</v>
      </c>
      <c r="C1763" s="26" t="s">
        <v>544</v>
      </c>
      <c r="E1763" s="20" t="str">
        <f t="shared" si="204"/>
        <v/>
      </c>
      <c r="F1763" s="21" t="str">
        <f>IF(OR(E1763="",E1763="!!!"),"",IF(NOT(ISNA(VLOOKUP(E1763,E$1:E1762,1,FALSE()))),"OLD",IF(AND(E1763&lt;&gt;"",E1763&lt;&gt;"!!!"),"NEW","")))</f>
        <v/>
      </c>
      <c r="G1763" s="22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3" t="str">
        <f t="shared" ca="1" si="205"/>
        <v/>
      </c>
      <c r="I1763" s="24" t="str">
        <f>IF(OR(E1763="",E1763="!!!",F1763="NEW"),"",INDEX(B$2:B1762,-1+SUMPRODUCT(MAX(ROW(E$2:E1762)*(E1763=E$2:E1762)))))</f>
        <v/>
      </c>
      <c r="J1763" s="24" t="str">
        <f ca="1">IF(OR(E1763="",E1763="!!!",F1763="NEW"),"",COUNTBLANK(OFFSET(A$1,,,SUMPRODUCT(MAX(ROW(E$2:E1763)*(E1763=E$2:E1763)))))-COUNTBLANK(OFFSET(A$1,,,SUMPRODUCT(MAX(ROW(E$1:E1762)*(E2=E$1:E1762))))))</f>
        <v/>
      </c>
      <c r="K1763" s="24" t="str">
        <f>IF(OR(E1763="",E1763="!!!",F1763="NEW"),"",INDEX(J$1:J1762,SUMPRODUCT(MAX(ROW(E$1:E1762)*(E1763=E$1:E1762)))))</f>
        <v/>
      </c>
      <c r="L1763" s="25"/>
    </row>
    <row r="1764" spans="1:12" x14ac:dyDescent="0.3">
      <c r="A1764" t="s">
        <v>1060</v>
      </c>
      <c r="E1764" s="20" t="str">
        <f t="shared" si="204"/>
        <v/>
      </c>
      <c r="F1764" s="21" t="str">
        <f>IF(OR(E1764="",E1764="!!!"),"",IF(NOT(ISNA(VLOOKUP(E1764,E$1:E1763,1,FALSE()))),"OLD",IF(AND(E1764&lt;&gt;"",E1764&lt;&gt;"!!!"),"NEW","")))</f>
        <v/>
      </c>
      <c r="G1764" s="22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3" t="str">
        <f t="shared" ca="1" si="205"/>
        <v/>
      </c>
      <c r="I1764" s="24" t="str">
        <f>IF(OR(E1764="",E1764="!!!",F1764="NEW"),"",INDEX(B$2:B1763,-1+SUMPRODUCT(MAX(ROW(E$2:E1763)*(E1764=E$2:E1763)))))</f>
        <v/>
      </c>
      <c r="J1764" s="24" t="str">
        <f ca="1">IF(OR(E1764="",E1764="!!!",F1764="NEW"),"",COUNTBLANK(OFFSET(A$1,,,SUMPRODUCT(MAX(ROW(E$2:E1764)*(E1764=E$2:E1764)))))-COUNTBLANK(OFFSET(A$1,,,SUMPRODUCT(MAX(ROW(E$1:E1763)*(E2=E$1:E1763))))))</f>
        <v/>
      </c>
      <c r="K1764" s="24" t="str">
        <f>IF(OR(E1764="",E1764="!!!",F1764="NEW"),"",INDEX(J$1:J1763,SUMPRODUCT(MAX(ROW(E$1:E1763)*(E1764=E$1:E1763)))))</f>
        <v/>
      </c>
      <c r="L1764" s="25"/>
    </row>
    <row r="1765" spans="1:12" x14ac:dyDescent="0.3">
      <c r="A1765" t="s">
        <v>351</v>
      </c>
      <c r="E1765" s="20" t="str">
        <f t="shared" si="204"/>
        <v/>
      </c>
      <c r="F1765" s="21" t="str">
        <f>IF(OR(E1765="",E1765="!!!"),"",IF(NOT(ISNA(VLOOKUP(E1765,E$1:E1764,1,FALSE()))),"OLD",IF(AND(E1765&lt;&gt;"",E1765&lt;&gt;"!!!"),"NEW","")))</f>
        <v/>
      </c>
      <c r="G1765" s="22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/>
      </c>
      <c r="H1765" s="23" t="str">
        <f t="shared" ca="1" si="205"/>
        <v/>
      </c>
      <c r="I1765" s="24" t="str">
        <f>IF(OR(E1765="",E1765="!!!",F1765="NEW"),"",INDEX(B$2:B1764,-1+SUMPRODUCT(MAX(ROW(E$2:E1764)*(E1765=E$2:E1764)))))</f>
        <v/>
      </c>
      <c r="J1765" s="24" t="str">
        <f ca="1">IF(OR(E1765="",E1765="!!!",F1765="NEW"),"",COUNTBLANK(OFFSET(A$1,,,SUMPRODUCT(MAX(ROW(E$2:E1765)*(E1765=E$2:E1765)))))-COUNTBLANK(OFFSET(A$1,,,SUMPRODUCT(MAX(ROW(E$1:E1764)*(E2=E$1:E1764))))))</f>
        <v/>
      </c>
      <c r="K1765" s="24" t="str">
        <f>IF(OR(E1765="",E1765="!!!",F1765="NEW"),"",INDEX(J$1:J1764,SUMPRODUCT(MAX(ROW(E$1:E1764)*(E1765=E$1:E1764)))))</f>
        <v/>
      </c>
      <c r="L1765" s="25"/>
    </row>
    <row r="1766" spans="1:12" x14ac:dyDescent="0.3">
      <c r="A1766" t="s">
        <v>380</v>
      </c>
      <c r="E1766" s="20" t="str">
        <f t="shared" si="204"/>
        <v/>
      </c>
      <c r="F1766" s="21" t="str">
        <f>IF(OR(E1766="",E1766="!!!"),"",IF(NOT(ISNA(VLOOKUP(E1766,E$1:E1765,1,FALSE()))),"OLD",IF(AND(E1766&lt;&gt;"",E1766&lt;&gt;"!!!"),"NEW","")))</f>
        <v/>
      </c>
      <c r="G1766" s="22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/>
      </c>
      <c r="H1766" s="23" t="str">
        <f t="shared" ca="1" si="205"/>
        <v/>
      </c>
      <c r="I1766" s="24" t="str">
        <f>IF(OR(E1766="",E1766="!!!",F1766="NEW"),"",INDEX(B$2:B1765,-1+SUMPRODUCT(MAX(ROW(E$2:E1765)*(E1766=E$2:E1765)))))</f>
        <v/>
      </c>
      <c r="J1766" s="24" t="str">
        <f ca="1">IF(OR(E1766="",E1766="!!!",F1766="NEW"),"",COUNTBLANK(OFFSET(A$1,,,SUMPRODUCT(MAX(ROW(E$2:E1766)*(E1766=E$2:E1766)))))-COUNTBLANK(OFFSET(A$1,,,SUMPRODUCT(MAX(ROW(E$1:E1765)*(E2=E$1:E1765))))))</f>
        <v/>
      </c>
      <c r="K1766" s="24" t="str">
        <f>IF(OR(E1766="",E1766="!!!",F1766="NEW"),"",INDEX(J$1:J1765,SUMPRODUCT(MAX(ROW(E$1:E1765)*(E1766=E$1:E1765)))))</f>
        <v/>
      </c>
      <c r="L1766" s="25"/>
    </row>
    <row r="1767" spans="1:12" x14ac:dyDescent="0.3">
      <c r="A1767" t="s">
        <v>1061</v>
      </c>
      <c r="E1767" s="20" t="str">
        <f t="shared" si="204"/>
        <v/>
      </c>
      <c r="F1767" s="21" t="str">
        <f>IF(OR(E1767="",E1767="!!!"),"",IF(NOT(ISNA(VLOOKUP(E1767,E$1:E1766,1,FALSE()))),"OLD",IF(AND(E1767&lt;&gt;"",E1767&lt;&gt;"!!!"),"NEW","")))</f>
        <v/>
      </c>
      <c r="G1767" s="22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/>
      </c>
      <c r="H1767" s="23" t="str">
        <f t="shared" ca="1" si="205"/>
        <v/>
      </c>
      <c r="I1767" s="24" t="str">
        <f>IF(OR(E1767="",E1767="!!!",F1767="NEW"),"",INDEX(B$2:B1766,-1+SUMPRODUCT(MAX(ROW(E$2:E1766)*(E1767=E$2:E1766)))))</f>
        <v/>
      </c>
      <c r="J1767" s="24" t="str">
        <f ca="1">IF(OR(E1767="",E1767="!!!",F1767="NEW"),"",COUNTBLANK(OFFSET(A$1,,,SUMPRODUCT(MAX(ROW(E$2:E1767)*(E1767=E$2:E1767)))))-COUNTBLANK(OFFSET(A$1,,,SUMPRODUCT(MAX(ROW(E$1:E1766)*(E2=E$1:E1766))))))</f>
        <v/>
      </c>
      <c r="K1767" s="24" t="str">
        <f>IF(OR(E1767="",E1767="!!!",F1767="NEW"),"",INDEX(J$1:J1766,SUMPRODUCT(MAX(ROW(E$1:E1766)*(E1767=E$1:E1766)))))</f>
        <v/>
      </c>
      <c r="L1767" s="25"/>
    </row>
    <row r="1768" spans="1:12" x14ac:dyDescent="0.3">
      <c r="A1768" t="s">
        <v>385</v>
      </c>
      <c r="E1768" s="20" t="str">
        <f t="shared" si="204"/>
        <v/>
      </c>
      <c r="F1768" s="21" t="str">
        <f>IF(OR(E1768="",E1768="!!!"),"",IF(NOT(ISNA(VLOOKUP(E1768,E$1:E1767,1,FALSE()))),"OLD",IF(AND(E1768&lt;&gt;"",E1768&lt;&gt;"!!!"),"NEW","")))</f>
        <v/>
      </c>
      <c r="G1768" s="22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/>
      </c>
      <c r="H1768" s="23" t="str">
        <f t="shared" ca="1" si="205"/>
        <v/>
      </c>
      <c r="I1768" s="24" t="str">
        <f>IF(OR(E1768="",E1768="!!!",F1768="NEW"),"",INDEX(B$2:B1767,-1+SUMPRODUCT(MAX(ROW(E$2:E1767)*(E1768=E$2:E1767)))))</f>
        <v/>
      </c>
      <c r="J1768" s="24" t="str">
        <f ca="1">IF(OR(E1768="",E1768="!!!",F1768="NEW"),"",COUNTBLANK(OFFSET(A$1,,,SUMPRODUCT(MAX(ROW(E$2:E1768)*(E1768=E$2:E1768)))))-COUNTBLANK(OFFSET(A$1,,,SUMPRODUCT(MAX(ROW(E$1:E1767)*(E2=E$1:E1767))))))</f>
        <v/>
      </c>
      <c r="K1768" s="24" t="str">
        <f>IF(OR(E1768="",E1768="!!!",F1768="NEW"),"",INDEX(J$1:J1767,SUMPRODUCT(MAX(ROW(E$1:E1767)*(E1768=E$1:E1767)))))</f>
        <v/>
      </c>
      <c r="L1768" s="25"/>
    </row>
    <row r="1769" spans="1:12" x14ac:dyDescent="0.3">
      <c r="A1769" t="s">
        <v>1062</v>
      </c>
      <c r="E1769" s="20" t="str">
        <f t="shared" si="204"/>
        <v/>
      </c>
      <c r="F1769" s="21" t="str">
        <f>IF(OR(E1769="",E1769="!!!"),"",IF(NOT(ISNA(VLOOKUP(E1769,E$1:E1768,1,FALSE()))),"OLD",IF(AND(E1769&lt;&gt;"",E1769&lt;&gt;"!!!"),"NEW","")))</f>
        <v/>
      </c>
      <c r="G1769" s="22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3" t="str">
        <f t="shared" ca="1" si="205"/>
        <v/>
      </c>
      <c r="I1769" s="24" t="str">
        <f>IF(OR(E1769="",E1769="!!!",F1769="NEW"),"",INDEX(B$2:B1768,-1+SUMPRODUCT(MAX(ROW(E$2:E1768)*(E1769=E$2:E1768)))))</f>
        <v/>
      </c>
      <c r="J1769" s="24" t="str">
        <f ca="1">IF(OR(E1769="",E1769="!!!",F1769="NEW"),"",COUNTBLANK(OFFSET(A$1,,,SUMPRODUCT(MAX(ROW(E$2:E1769)*(E1769=E$2:E1769)))))-COUNTBLANK(OFFSET(A$1,,,SUMPRODUCT(MAX(ROW(E$1:E1768)*(E2=E$1:E1768))))))</f>
        <v/>
      </c>
      <c r="K1769" s="24" t="str">
        <f>IF(OR(E1769="",E1769="!!!",F1769="NEW"),"",INDEX(J$1:J1768,SUMPRODUCT(MAX(ROW(E$1:E1768)*(E1769=E$1:E1768)))))</f>
        <v/>
      </c>
      <c r="L1769" s="25"/>
    </row>
    <row r="1770" spans="1:12" x14ac:dyDescent="0.3">
      <c r="A1770" t="s">
        <v>333</v>
      </c>
      <c r="E1770" s="20" t="str">
        <f t="shared" si="204"/>
        <v/>
      </c>
      <c r="F1770" s="21" t="str">
        <f>IF(OR(E1770="",E1770="!!!"),"",IF(NOT(ISNA(VLOOKUP(E1770,E$1:E1769,1,FALSE()))),"OLD",IF(AND(E1770&lt;&gt;"",E1770&lt;&gt;"!!!"),"NEW","")))</f>
        <v/>
      </c>
      <c r="G1770" s="22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3" t="str">
        <f t="shared" ca="1" si="205"/>
        <v/>
      </c>
      <c r="I1770" s="24" t="str">
        <f>IF(OR(E1770="",E1770="!!!",F1770="NEW"),"",INDEX(B$2:B1769,-1+SUMPRODUCT(MAX(ROW(E$2:E1769)*(E1770=E$2:E1769)))))</f>
        <v/>
      </c>
      <c r="J1770" s="24" t="str">
        <f ca="1">IF(OR(E1770="",E1770="!!!",F1770="NEW"),"",COUNTBLANK(OFFSET(A$1,,,SUMPRODUCT(MAX(ROW(E$2:E1770)*(E1770=E$2:E1770)))))-COUNTBLANK(OFFSET(A$1,,,SUMPRODUCT(MAX(ROW(E$1:E1769)*(E2=E$1:E1769))))))</f>
        <v/>
      </c>
      <c r="K1770" s="24" t="str">
        <f>IF(OR(E1770="",E1770="!!!",F1770="NEW"),"",INDEX(J$1:J1769,SUMPRODUCT(MAX(ROW(E$1:E1769)*(E1770=E$1:E1769)))))</f>
        <v/>
      </c>
      <c r="L1770" s="25"/>
    </row>
    <row r="1771" spans="1:12" x14ac:dyDescent="0.3">
      <c r="A1771" t="s">
        <v>430</v>
      </c>
      <c r="E1771" s="20" t="str">
        <f t="shared" si="204"/>
        <v/>
      </c>
      <c r="F1771" s="21" t="str">
        <f>IF(OR(E1771="",E1771="!!!"),"",IF(NOT(ISNA(VLOOKUP(E1771,E$1:E1770,1,FALSE()))),"OLD",IF(AND(E1771&lt;&gt;"",E1771&lt;&gt;"!!!"),"NEW","")))</f>
        <v/>
      </c>
      <c r="G1771" s="22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3" t="str">
        <f t="shared" ca="1" si="205"/>
        <v/>
      </c>
      <c r="I1771" s="24" t="str">
        <f>IF(OR(E1771="",E1771="!!!",F1771="NEW"),"",INDEX(B$2:B1770,-1+SUMPRODUCT(MAX(ROW(E$2:E1770)*(E1771=E$2:E1770)))))</f>
        <v/>
      </c>
      <c r="J1771" s="24" t="str">
        <f ca="1">IF(OR(E1771="",E1771="!!!",F1771="NEW"),"",COUNTBLANK(OFFSET(A$1,,,SUMPRODUCT(MAX(ROW(E$2:E1771)*(E1771=E$2:E1771)))))-COUNTBLANK(OFFSET(A$1,,,SUMPRODUCT(MAX(ROW(E$1:E1770)*(E2=E$1:E1770))))))</f>
        <v/>
      </c>
      <c r="K1771" s="24" t="str">
        <f>IF(OR(E1771="",E1771="!!!",F1771="NEW"),"",INDEX(J$1:J1770,SUMPRODUCT(MAX(ROW(E$1:E1770)*(E1771=E$1:E1770)))))</f>
        <v/>
      </c>
      <c r="L1771" s="25"/>
    </row>
    <row r="1772" spans="1:12" x14ac:dyDescent="0.3">
      <c r="A1772" t="s">
        <v>408</v>
      </c>
      <c r="E1772" s="20" t="str">
        <f t="shared" si="204"/>
        <v/>
      </c>
      <c r="F1772" s="21" t="str">
        <f>IF(OR(E1772="",E1772="!!!"),"",IF(NOT(ISNA(VLOOKUP(E1772,E$1:E1771,1,FALSE()))),"OLD",IF(AND(E1772&lt;&gt;"",E1772&lt;&gt;"!!!"),"NEW","")))</f>
        <v/>
      </c>
      <c r="G1772" s="22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3" t="str">
        <f t="shared" ca="1" si="205"/>
        <v/>
      </c>
      <c r="I1772" s="24" t="str">
        <f>IF(OR(E1772="",E1772="!!!",F1772="NEW"),"",INDEX(B$2:B1771,-1+SUMPRODUCT(MAX(ROW(E$2:E1771)*(E1772=E$2:E1771)))))</f>
        <v/>
      </c>
      <c r="J1772" s="24" t="str">
        <f ca="1">IF(OR(E1772="",E1772="!!!",F1772="NEW"),"",COUNTBLANK(OFFSET(A$1,,,SUMPRODUCT(MAX(ROW(E$2:E1772)*(E1772=E$2:E1772)))))-COUNTBLANK(OFFSET(A$1,,,SUMPRODUCT(MAX(ROW(E$1:E1771)*(E2=E$1:E1771))))))</f>
        <v/>
      </c>
      <c r="K1772" s="24" t="str">
        <f>IF(OR(E1772="",E1772="!!!",F1772="NEW"),"",INDEX(J$1:J1771,SUMPRODUCT(MAX(ROW(E$1:E1771)*(E1772=E$1:E1771)))))</f>
        <v/>
      </c>
      <c r="L1772" s="25"/>
    </row>
    <row r="1773" spans="1:12" x14ac:dyDescent="0.3">
      <c r="A1773" t="s">
        <v>638</v>
      </c>
      <c r="E1773" s="20" t="str">
        <f t="shared" si="204"/>
        <v/>
      </c>
      <c r="F1773" s="21" t="str">
        <f>IF(OR(E1773="",E1773="!!!"),"",IF(NOT(ISNA(VLOOKUP(E1773,E$1:E1772,1,FALSE()))),"OLD",IF(AND(E1773&lt;&gt;"",E1773&lt;&gt;"!!!"),"NEW","")))</f>
        <v/>
      </c>
      <c r="G1773" s="22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/>
      </c>
      <c r="H1773" s="23" t="str">
        <f t="shared" ca="1" si="205"/>
        <v/>
      </c>
      <c r="I1773" s="24" t="str">
        <f>IF(OR(E1773="",E1773="!!!",F1773="NEW"),"",INDEX(B$2:B1772,-1+SUMPRODUCT(MAX(ROW(E$2:E1772)*(E1773=E$2:E1772)))))</f>
        <v/>
      </c>
      <c r="J1773" s="24" t="str">
        <f ca="1">IF(OR(E1773="",E1773="!!!",F1773="NEW"),"",COUNTBLANK(OFFSET(A$1,,,SUMPRODUCT(MAX(ROW(E$2:E1773)*(E1773=E$2:E1773)))))-COUNTBLANK(OFFSET(A$1,,,SUMPRODUCT(MAX(ROW(E$1:E1772)*(E2=E$1:E1772))))))</f>
        <v/>
      </c>
      <c r="K1773" s="24" t="str">
        <f>IF(OR(E1773="",E1773="!!!",F1773="NEW"),"",INDEX(J$1:J1772,SUMPRODUCT(MAX(ROW(E$1:E1772)*(E1773=E$1:E1772)))))</f>
        <v/>
      </c>
      <c r="L1773" s="25"/>
    </row>
    <row r="1775" spans="1:12" x14ac:dyDescent="0.3">
      <c r="A1775" t="s">
        <v>1063</v>
      </c>
    </row>
    <row r="1776" spans="1:12" x14ac:dyDescent="0.3">
      <c r="A1776" t="s">
        <v>628</v>
      </c>
      <c r="E1776" s="20" t="str">
        <f t="shared" ref="E1776:E1783" si="206">IF(D1776="?OLD","!!!","")</f>
        <v/>
      </c>
      <c r="F1776" s="21" t="str">
        <f>IF(OR(E1776="",E1776="!!!"),"",IF(NOT(ISNA(VLOOKUP(E1776,E$1:E1775,1,FALSE()))),"OLD",IF(AND(E1776&lt;&gt;"",E1776&lt;&gt;"!!!"),"NEW","")))</f>
        <v/>
      </c>
      <c r="G1776" s="22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3" t="str">
        <f t="shared" ref="H1776:H1783" ca="1" si="207">IF(J1776&lt;&gt;1,"",IF(I1776="SBJ","CB","?"))</f>
        <v/>
      </c>
      <c r="I1776" s="24" t="str">
        <f>IF(OR(E1776="",E1776="!!!",F1776="NEW"),"",INDEX(B$2:B1775,-1+SUMPRODUCT(MAX(ROW(E$2:E1775)*(E1776=E$2:E1775)))))</f>
        <v/>
      </c>
      <c r="J1776" s="24" t="str">
        <f ca="1">IF(OR(E1776="",E1776="!!!",F1776="NEW"),"",COUNTBLANK(OFFSET(A$1,,,SUMPRODUCT(MAX(ROW(E$2:E1776)*(E1776=E$2:E1776)))))-COUNTBLANK(OFFSET(A$1,,,SUMPRODUCT(MAX(ROW(E$1:E1775)*(E2=E$1:E1775))))))</f>
        <v/>
      </c>
      <c r="K1776" s="24" t="str">
        <f>IF(OR(E1776="",E1776="!!!",F1776="NEW"),"",INDEX(J$1:J1775,SUMPRODUCT(MAX(ROW(E$1:E1775)*(E1776=E$1:E1775)))))</f>
        <v/>
      </c>
      <c r="L1776" s="25"/>
    </row>
    <row r="1777" spans="1:12" x14ac:dyDescent="0.3">
      <c r="A1777" t="s">
        <v>1040</v>
      </c>
      <c r="E1777" s="20" t="str">
        <f t="shared" si="206"/>
        <v/>
      </c>
      <c r="F1777" s="21" t="str">
        <f>IF(OR(E1777="",E1777="!!!"),"",IF(NOT(ISNA(VLOOKUP(E1777,E$1:E1776,1,FALSE()))),"OLD",IF(AND(E1777&lt;&gt;"",E1777&lt;&gt;"!!!"),"NEW","")))</f>
        <v/>
      </c>
      <c r="G1777" s="22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3" t="str">
        <f t="shared" ca="1" si="207"/>
        <v/>
      </c>
      <c r="I1777" s="24" t="str">
        <f>IF(OR(E1777="",E1777="!!!",F1777="NEW"),"",INDEX(B$2:B1776,-1+SUMPRODUCT(MAX(ROW(E$2:E1776)*(E1777=E$2:E1776)))))</f>
        <v/>
      </c>
      <c r="J1777" s="24" t="str">
        <f ca="1">IF(OR(E1777="",E1777="!!!",F1777="NEW"),"",COUNTBLANK(OFFSET(A$1,,,SUMPRODUCT(MAX(ROW(E$2:E1777)*(E1777=E$2:E1777)))))-COUNTBLANK(OFFSET(A$1,,,SUMPRODUCT(MAX(ROW(E$1:E1776)*(E2=E$1:E1776))))))</f>
        <v/>
      </c>
      <c r="K1777" s="24" t="str">
        <f>IF(OR(E1777="",E1777="!!!",F1777="NEW"),"",INDEX(J$1:J1776,SUMPRODUCT(MAX(ROW(E$1:E1776)*(E1777=E$1:E1776)))))</f>
        <v/>
      </c>
      <c r="L1777" s="25"/>
    </row>
    <row r="1778" spans="1:12" x14ac:dyDescent="0.3">
      <c r="A1778" t="s">
        <v>1041</v>
      </c>
      <c r="B1778" s="26" t="s">
        <v>330</v>
      </c>
      <c r="C1778" s="26" t="s">
        <v>355</v>
      </c>
      <c r="E1778" s="20" t="str">
        <f t="shared" si="206"/>
        <v/>
      </c>
      <c r="F1778" s="21" t="str">
        <f>IF(OR(E1778="",E1778="!!!"),"",IF(NOT(ISNA(VLOOKUP(E1778,E$1:E1777,1,FALSE()))),"OLD",IF(AND(E1778&lt;&gt;"",E1778&lt;&gt;"!!!"),"NEW","")))</f>
        <v/>
      </c>
      <c r="G1778" s="22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/>
      </c>
      <c r="H1778" s="23" t="str">
        <f t="shared" ca="1" si="207"/>
        <v/>
      </c>
      <c r="I1778" s="24" t="str">
        <f>IF(OR(E1778="",E1778="!!!",F1778="NEW"),"",INDEX(B$2:B1777,-1+SUMPRODUCT(MAX(ROW(E$2:E1777)*(E1778=E$2:E1777)))))</f>
        <v/>
      </c>
      <c r="J1778" s="24" t="str">
        <f ca="1">IF(OR(E1778="",E1778="!!!",F1778="NEW"),"",COUNTBLANK(OFFSET(A$1,,,SUMPRODUCT(MAX(ROW(E$2:E1778)*(E1778=E$2:E1778)))))-COUNTBLANK(OFFSET(A$1,,,SUMPRODUCT(MAX(ROW(E$1:E1777)*(E2=E$1:E1777))))))</f>
        <v/>
      </c>
      <c r="K1778" s="24" t="str">
        <f>IF(OR(E1778="",E1778="!!!",F1778="NEW"),"",INDEX(J$1:J1777,SUMPRODUCT(MAX(ROW(E$1:E1777)*(E1778=E$1:E1777)))))</f>
        <v/>
      </c>
      <c r="L1778" s="25"/>
    </row>
    <row r="1779" spans="1:12" x14ac:dyDescent="0.3">
      <c r="A1779" t="s">
        <v>385</v>
      </c>
      <c r="E1779" s="20" t="str">
        <f t="shared" si="206"/>
        <v/>
      </c>
      <c r="F1779" s="21" t="str">
        <f>IF(OR(E1779="",E1779="!!!"),"",IF(NOT(ISNA(VLOOKUP(E1779,E$1:E1778,1,FALSE()))),"OLD",IF(AND(E1779&lt;&gt;"",E1779&lt;&gt;"!!!"),"NEW","")))</f>
        <v/>
      </c>
      <c r="G1779" s="22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3" t="str">
        <f t="shared" ca="1" si="207"/>
        <v/>
      </c>
      <c r="I1779" s="24" t="str">
        <f>IF(OR(E1779="",E1779="!!!",F1779="NEW"),"",INDEX(B$2:B1778,-1+SUMPRODUCT(MAX(ROW(E$2:E1778)*(E1779=E$2:E1778)))))</f>
        <v/>
      </c>
      <c r="J1779" s="24" t="str">
        <f ca="1">IF(OR(E1779="",E1779="!!!",F1779="NEW"),"",COUNTBLANK(OFFSET(A$1,,,SUMPRODUCT(MAX(ROW(E$2:E1779)*(E1779=E$2:E1779)))))-COUNTBLANK(OFFSET(A$1,,,SUMPRODUCT(MAX(ROW(E$1:E1778)*(E2=E$1:E1778))))))</f>
        <v/>
      </c>
      <c r="K1779" s="24" t="str">
        <f>IF(OR(E1779="",E1779="!!!",F1779="NEW"),"",INDEX(J$1:J1778,SUMPRODUCT(MAX(ROW(E$1:E1778)*(E1779=E$1:E1778)))))</f>
        <v/>
      </c>
      <c r="L1779" s="25"/>
    </row>
    <row r="1780" spans="1:12" x14ac:dyDescent="0.3">
      <c r="A1780" t="s">
        <v>1039</v>
      </c>
      <c r="E1780" s="20" t="str">
        <f t="shared" si="206"/>
        <v/>
      </c>
      <c r="F1780" s="21" t="str">
        <f>IF(OR(E1780="",E1780="!!!"),"",IF(NOT(ISNA(VLOOKUP(E1780,E$1:E1779,1,FALSE()))),"OLD",IF(AND(E1780&lt;&gt;"",E1780&lt;&gt;"!!!"),"NEW","")))</f>
        <v/>
      </c>
      <c r="G1780" s="22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/>
      </c>
      <c r="H1780" s="23" t="str">
        <f t="shared" ca="1" si="207"/>
        <v/>
      </c>
      <c r="I1780" s="24" t="str">
        <f>IF(OR(E1780="",E1780="!!!",F1780="NEW"),"",INDEX(B$2:B1779,-1+SUMPRODUCT(MAX(ROW(E$2:E1779)*(E1780=E$2:E1779)))))</f>
        <v/>
      </c>
      <c r="J1780" s="24" t="str">
        <f ca="1">IF(OR(E1780="",E1780="!!!",F1780="NEW"),"",COUNTBLANK(OFFSET(A$1,,,SUMPRODUCT(MAX(ROW(E$2:E1780)*(E1780=E$2:E1780)))))-COUNTBLANK(OFFSET(A$1,,,SUMPRODUCT(MAX(ROW(E$1:E1779)*(E2=E$1:E1779))))))</f>
        <v/>
      </c>
      <c r="K1780" s="24" t="str">
        <f>IF(OR(E1780="",E1780="!!!",F1780="NEW"),"",INDEX(J$1:J1779,SUMPRODUCT(MAX(ROW(E$1:E1779)*(E1780=E$1:E1779)))))</f>
        <v/>
      </c>
      <c r="L1780" s="25"/>
    </row>
    <row r="1781" spans="1:12" x14ac:dyDescent="0.3">
      <c r="A1781" t="s">
        <v>766</v>
      </c>
      <c r="B1781" s="26" t="s">
        <v>378</v>
      </c>
      <c r="C1781" s="26" t="s">
        <v>355</v>
      </c>
      <c r="E1781" s="20" t="str">
        <f t="shared" si="206"/>
        <v/>
      </c>
      <c r="F1781" s="21" t="str">
        <f>IF(OR(E1781="",E1781="!!!"),"",IF(NOT(ISNA(VLOOKUP(E1781,E$1:E1780,1,FALSE()))),"OLD",IF(AND(E1781&lt;&gt;"",E1781&lt;&gt;"!!!"),"NEW","")))</f>
        <v/>
      </c>
      <c r="G1781" s="22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/>
      </c>
      <c r="H1781" s="23" t="str">
        <f t="shared" ca="1" si="207"/>
        <v/>
      </c>
      <c r="I1781" s="24" t="str">
        <f>IF(OR(E1781="",E1781="!!!",F1781="NEW"),"",INDEX(B$2:B1780,-1+SUMPRODUCT(MAX(ROW(E$2:E1780)*(E1781=E$2:E1780)))))</f>
        <v/>
      </c>
      <c r="J1781" s="24" t="str">
        <f ca="1">IF(OR(E1781="",E1781="!!!",F1781="NEW"),"",COUNTBLANK(OFFSET(A$1,,,SUMPRODUCT(MAX(ROW(E$2:E1781)*(E1781=E$2:E1781)))))-COUNTBLANK(OFFSET(A$1,,,SUMPRODUCT(MAX(ROW(E$1:E1780)*(E2=E$1:E1780))))))</f>
        <v/>
      </c>
      <c r="K1781" s="24" t="str">
        <f>IF(OR(E1781="",E1781="!!!",F1781="NEW"),"",INDEX(J$1:J1780,SUMPRODUCT(MAX(ROW(E$1:E1780)*(E1781=E$1:E1780)))))</f>
        <v/>
      </c>
      <c r="L1781" s="25"/>
    </row>
    <row r="1782" spans="1:12" x14ac:dyDescent="0.3">
      <c r="A1782" t="s">
        <v>1064</v>
      </c>
      <c r="E1782" s="20" t="str">
        <f t="shared" si="206"/>
        <v/>
      </c>
      <c r="F1782" s="21" t="str">
        <f>IF(OR(E1782="",E1782="!!!"),"",IF(NOT(ISNA(VLOOKUP(E1782,E$1:E1781,1,FALSE()))),"OLD",IF(AND(E1782&lt;&gt;"",E1782&lt;&gt;"!!!"),"NEW","")))</f>
        <v/>
      </c>
      <c r="G1782" s="22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/>
      </c>
      <c r="H1782" s="23" t="str">
        <f t="shared" ca="1" si="207"/>
        <v/>
      </c>
      <c r="I1782" s="24" t="str">
        <f>IF(OR(E1782="",E1782="!!!",F1782="NEW"),"",INDEX(B$2:B1781,-1+SUMPRODUCT(MAX(ROW(E$2:E1781)*(E1782=E$2:E1781)))))</f>
        <v/>
      </c>
      <c r="J1782" s="24" t="str">
        <f ca="1">IF(OR(E1782="",E1782="!!!",F1782="NEW"),"",COUNTBLANK(OFFSET(A$1,,,SUMPRODUCT(MAX(ROW(E$2:E1782)*(E1782=E$2:E1782)))))-COUNTBLANK(OFFSET(A$1,,,SUMPRODUCT(MAX(ROW(E$1:E1781)*(E2=E$1:E1781))))))</f>
        <v/>
      </c>
      <c r="K1782" s="24" t="str">
        <f>IF(OR(E1782="",E1782="!!!",F1782="NEW"),"",INDEX(J$1:J1781,SUMPRODUCT(MAX(ROW(E$1:E1781)*(E1782=E$1:E1781)))))</f>
        <v/>
      </c>
      <c r="L1782" s="25"/>
    </row>
    <row r="1783" spans="1:12" x14ac:dyDescent="0.3">
      <c r="A1783" t="s">
        <v>638</v>
      </c>
      <c r="E1783" s="20" t="str">
        <f t="shared" si="206"/>
        <v/>
      </c>
      <c r="F1783" s="21" t="str">
        <f>IF(OR(E1783="",E1783="!!!"),"",IF(NOT(ISNA(VLOOKUP(E1783,E$1:E1782,1,FALSE()))),"OLD",IF(AND(E1783&lt;&gt;"",E1783&lt;&gt;"!!!"),"NEW","")))</f>
        <v/>
      </c>
      <c r="G1783" s="22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3" t="str">
        <f t="shared" ca="1" si="207"/>
        <v/>
      </c>
      <c r="I1783" s="24" t="str">
        <f>IF(OR(E1783="",E1783="!!!",F1783="NEW"),"",INDEX(B$2:B1782,-1+SUMPRODUCT(MAX(ROW(E$2:E1782)*(E1783=E$2:E1782)))))</f>
        <v/>
      </c>
      <c r="J1783" s="24" t="str">
        <f ca="1">IF(OR(E1783="",E1783="!!!",F1783="NEW"),"",COUNTBLANK(OFFSET(A$1,,,SUMPRODUCT(MAX(ROW(E$2:E1783)*(E1783=E$2:E1783)))))-COUNTBLANK(OFFSET(A$1,,,SUMPRODUCT(MAX(ROW(E$1:E1782)*(E2=E$1:E1782))))))</f>
        <v/>
      </c>
      <c r="K1783" s="24" t="str">
        <f>IF(OR(E1783="",E1783="!!!",F1783="NEW"),"",INDEX(J$1:J1782,SUMPRODUCT(MAX(ROW(E$1:E1782)*(E1783=E$1:E1782)))))</f>
        <v/>
      </c>
      <c r="L1783" s="25"/>
    </row>
    <row r="1785" spans="1:12" x14ac:dyDescent="0.3">
      <c r="A1785" t="s">
        <v>1065</v>
      </c>
    </row>
    <row r="1786" spans="1:12" x14ac:dyDescent="0.3">
      <c r="A1786" t="s">
        <v>1010</v>
      </c>
      <c r="E1786" s="20" t="str">
        <f t="shared" ref="E1786:E1806" si="208">IF(D1786="?OLD","!!!","")</f>
        <v/>
      </c>
      <c r="F1786" s="21" t="str">
        <f>IF(OR(E1786="",E1786="!!!"),"",IF(NOT(ISNA(VLOOKUP(E1786,E$1:E1785,1,FALSE()))),"OLD",IF(AND(E1786&lt;&gt;"",E1786&lt;&gt;"!!!"),"NEW","")))</f>
        <v/>
      </c>
      <c r="G1786" s="22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3" t="str">
        <f t="shared" ref="H1786:H1806" ca="1" si="209">IF(J1786&lt;&gt;1,"",IF(I1786="SBJ","CB","?"))</f>
        <v/>
      </c>
      <c r="I1786" s="24" t="str">
        <f>IF(OR(E1786="",E1786="!!!",F1786="NEW"),"",INDEX(B$2:B1785,-1+SUMPRODUCT(MAX(ROW(E$2:E1785)*(E1786=E$2:E1785)))))</f>
        <v/>
      </c>
      <c r="J1786" s="24" t="str">
        <f ca="1">IF(OR(E1786="",E1786="!!!",F1786="NEW"),"",COUNTBLANK(OFFSET(A$1,,,SUMPRODUCT(MAX(ROW(E$2:E1786)*(E1786=E$2:E1786)))))-COUNTBLANK(OFFSET(A$1,,,SUMPRODUCT(MAX(ROW(E$1:E1785)*(E2=E$1:E1785))))))</f>
        <v/>
      </c>
      <c r="K1786" s="24" t="str">
        <f>IF(OR(E1786="",E1786="!!!",F1786="NEW"),"",INDEX(J$1:J1785,SUMPRODUCT(MAX(ROW(E$1:E1785)*(E1786=E$1:E1785)))))</f>
        <v/>
      </c>
      <c r="L1786" s="25"/>
    </row>
    <row r="1787" spans="1:12" x14ac:dyDescent="0.3">
      <c r="A1787" t="s">
        <v>1066</v>
      </c>
      <c r="E1787" s="20" t="str">
        <f t="shared" si="208"/>
        <v/>
      </c>
      <c r="F1787" s="21" t="str">
        <f>IF(OR(E1787="",E1787="!!!"),"",IF(NOT(ISNA(VLOOKUP(E1787,E$1:E1786,1,FALSE()))),"OLD",IF(AND(E1787&lt;&gt;"",E1787&lt;&gt;"!!!"),"NEW","")))</f>
        <v/>
      </c>
      <c r="G1787" s="22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3" t="str">
        <f t="shared" ca="1" si="209"/>
        <v/>
      </c>
      <c r="I1787" s="24" t="str">
        <f>IF(OR(E1787="",E1787="!!!",F1787="NEW"),"",INDEX(B$2:B1786,-1+SUMPRODUCT(MAX(ROW(E$2:E1786)*(E1787=E$2:E1786)))))</f>
        <v/>
      </c>
      <c r="J1787" s="24" t="str">
        <f ca="1">IF(OR(E1787="",E1787="!!!",F1787="NEW"),"",COUNTBLANK(OFFSET(A$1,,,SUMPRODUCT(MAX(ROW(E$2:E1787)*(E1787=E$2:E1787)))))-COUNTBLANK(OFFSET(A$1,,,SUMPRODUCT(MAX(ROW(E$1:E1786)*(E2=E$1:E1786))))))</f>
        <v/>
      </c>
      <c r="K1787" s="24" t="str">
        <f>IF(OR(E1787="",E1787="!!!",F1787="NEW"),"",INDEX(J$1:J1786,SUMPRODUCT(MAX(ROW(E$1:E1786)*(E1787=E$1:E1786)))))</f>
        <v/>
      </c>
      <c r="L1787" s="25"/>
    </row>
    <row r="1788" spans="1:12" x14ac:dyDescent="0.3">
      <c r="A1788" t="s">
        <v>1067</v>
      </c>
      <c r="B1788" s="26" t="s">
        <v>330</v>
      </c>
      <c r="C1788" s="26" t="s">
        <v>544</v>
      </c>
      <c r="E1788" s="20" t="str">
        <f t="shared" si="208"/>
        <v/>
      </c>
      <c r="F1788" s="21" t="str">
        <f>IF(OR(E1788="",E1788="!!!"),"",IF(NOT(ISNA(VLOOKUP(E1788,E$1:E1787,1,FALSE()))),"OLD",IF(AND(E1788&lt;&gt;"",E1788&lt;&gt;"!!!"),"NEW","")))</f>
        <v/>
      </c>
      <c r="G1788" s="22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3" t="str">
        <f t="shared" ca="1" si="209"/>
        <v/>
      </c>
      <c r="I1788" s="24" t="str">
        <f>IF(OR(E1788="",E1788="!!!",F1788="NEW"),"",INDEX(B$2:B1787,-1+SUMPRODUCT(MAX(ROW(E$2:E1787)*(E1788=E$2:E1787)))))</f>
        <v/>
      </c>
      <c r="J1788" s="24" t="str">
        <f ca="1">IF(OR(E1788="",E1788="!!!",F1788="NEW"),"",COUNTBLANK(OFFSET(A$1,,,SUMPRODUCT(MAX(ROW(E$2:E1788)*(E1788=E$2:E1788)))))-COUNTBLANK(OFFSET(A$1,,,SUMPRODUCT(MAX(ROW(E$1:E1787)*(E2=E$1:E1787))))))</f>
        <v/>
      </c>
      <c r="K1788" s="24" t="str">
        <f>IF(OR(E1788="",E1788="!!!",F1788="NEW"),"",INDEX(J$1:J1787,SUMPRODUCT(MAX(ROW(E$1:E1787)*(E1788=E$1:E1787)))))</f>
        <v/>
      </c>
      <c r="L1788" s="25"/>
    </row>
    <row r="1789" spans="1:12" x14ac:dyDescent="0.3">
      <c r="A1789" t="s">
        <v>1068</v>
      </c>
      <c r="E1789" s="20" t="str">
        <f t="shared" si="208"/>
        <v/>
      </c>
      <c r="F1789" s="21" t="str">
        <f>IF(OR(E1789="",E1789="!!!"),"",IF(NOT(ISNA(VLOOKUP(E1789,E$1:E1788,1,FALSE()))),"OLD",IF(AND(E1789&lt;&gt;"",E1789&lt;&gt;"!!!"),"NEW","")))</f>
        <v/>
      </c>
      <c r="G1789" s="22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/>
      </c>
      <c r="H1789" s="23" t="str">
        <f t="shared" ca="1" si="209"/>
        <v/>
      </c>
      <c r="I1789" s="24" t="str">
        <f>IF(OR(E1789="",E1789="!!!",F1789="NEW"),"",INDEX(B$2:B1788,-1+SUMPRODUCT(MAX(ROW(E$2:E1788)*(E1789=E$2:E1788)))))</f>
        <v/>
      </c>
      <c r="J1789" s="24" t="str">
        <f ca="1">IF(OR(E1789="",E1789="!!!",F1789="NEW"),"",COUNTBLANK(OFFSET(A$1,,,SUMPRODUCT(MAX(ROW(E$2:E1789)*(E1789=E$2:E1789)))))-COUNTBLANK(OFFSET(A$1,,,SUMPRODUCT(MAX(ROW(E$1:E1788)*(E2=E$1:E1788))))))</f>
        <v/>
      </c>
      <c r="K1789" s="24" t="str">
        <f>IF(OR(E1789="",E1789="!!!",F1789="NEW"),"",INDEX(J$1:J1788,SUMPRODUCT(MAX(ROW(E$1:E1788)*(E1789=E$1:E1788)))))</f>
        <v/>
      </c>
      <c r="L1789" s="25"/>
    </row>
    <row r="1790" spans="1:12" x14ac:dyDescent="0.3">
      <c r="A1790" t="s">
        <v>466</v>
      </c>
      <c r="E1790" s="20" t="str">
        <f t="shared" si="208"/>
        <v/>
      </c>
      <c r="F1790" s="21" t="str">
        <f>IF(OR(E1790="",E1790="!!!"),"",IF(NOT(ISNA(VLOOKUP(E1790,E$1:E1789,1,FALSE()))),"OLD",IF(AND(E1790&lt;&gt;"",E1790&lt;&gt;"!!!"),"NEW","")))</f>
        <v/>
      </c>
      <c r="G1790" s="22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/>
      </c>
      <c r="H1790" s="23" t="str">
        <f t="shared" ca="1" si="209"/>
        <v/>
      </c>
      <c r="I1790" s="24" t="str">
        <f>IF(OR(E1790="",E1790="!!!",F1790="NEW"),"",INDEX(B$2:B1789,-1+SUMPRODUCT(MAX(ROW(E$2:E1789)*(E1790=E$2:E1789)))))</f>
        <v/>
      </c>
      <c r="J1790" s="24" t="str">
        <f ca="1">IF(OR(E1790="",E1790="!!!",F1790="NEW"),"",COUNTBLANK(OFFSET(A$1,,,SUMPRODUCT(MAX(ROW(E$2:E1790)*(E1790=E$2:E1790)))))-COUNTBLANK(OFFSET(A$1,,,SUMPRODUCT(MAX(ROW(E$1:E1789)*(E2=E$1:E1789))))))</f>
        <v/>
      </c>
      <c r="K1790" s="24" t="str">
        <f>IF(OR(E1790="",E1790="!!!",F1790="NEW"),"",INDEX(J$1:J1789,SUMPRODUCT(MAX(ROW(E$1:E1789)*(E1790=E$1:E1789)))))</f>
        <v/>
      </c>
      <c r="L1790" s="25"/>
    </row>
    <row r="1791" spans="1:12" x14ac:dyDescent="0.3">
      <c r="A1791" t="s">
        <v>410</v>
      </c>
      <c r="E1791" s="20" t="str">
        <f t="shared" si="208"/>
        <v/>
      </c>
      <c r="F1791" s="21" t="str">
        <f>IF(OR(E1791="",E1791="!!!"),"",IF(NOT(ISNA(VLOOKUP(E1791,E$1:E1790,1,FALSE()))),"OLD",IF(AND(E1791&lt;&gt;"",E1791&lt;&gt;"!!!"),"NEW","")))</f>
        <v/>
      </c>
      <c r="G1791" s="22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/>
      </c>
      <c r="H1791" s="23" t="str">
        <f t="shared" ca="1" si="209"/>
        <v/>
      </c>
      <c r="I1791" s="24" t="str">
        <f>IF(OR(E1791="",E1791="!!!",F1791="NEW"),"",INDEX(B$2:B1790,-1+SUMPRODUCT(MAX(ROW(E$2:E1790)*(E1791=E$2:E1790)))))</f>
        <v/>
      </c>
      <c r="J1791" s="24" t="str">
        <f ca="1">IF(OR(E1791="",E1791="!!!",F1791="NEW"),"",COUNTBLANK(OFFSET(A$1,,,SUMPRODUCT(MAX(ROW(E$2:E1791)*(E1791=E$2:E1791)))))-COUNTBLANK(OFFSET(A$1,,,SUMPRODUCT(MAX(ROW(E$1:E1790)*(E2=E$1:E1790))))))</f>
        <v/>
      </c>
      <c r="K1791" s="24" t="str">
        <f>IF(OR(E1791="",E1791="!!!",F1791="NEW"),"",INDEX(J$1:J1790,SUMPRODUCT(MAX(ROW(E$1:E1790)*(E1791=E$1:E1790)))))</f>
        <v/>
      </c>
      <c r="L1791" s="25"/>
    </row>
    <row r="1792" spans="1:12" x14ac:dyDescent="0.3">
      <c r="A1792" t="s">
        <v>348</v>
      </c>
      <c r="E1792" s="20" t="str">
        <f t="shared" si="208"/>
        <v/>
      </c>
      <c r="F1792" s="21" t="str">
        <f>IF(OR(E1792="",E1792="!!!"),"",IF(NOT(ISNA(VLOOKUP(E1792,E$1:E1791,1,FALSE()))),"OLD",IF(AND(E1792&lt;&gt;"",E1792&lt;&gt;"!!!"),"NEW","")))</f>
        <v/>
      </c>
      <c r="G1792" s="22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/>
      </c>
      <c r="H1792" s="23" t="str">
        <f t="shared" ca="1" si="209"/>
        <v/>
      </c>
      <c r="I1792" s="24" t="str">
        <f>IF(OR(E1792="",E1792="!!!",F1792="NEW"),"",INDEX(B$2:B1791,-1+SUMPRODUCT(MAX(ROW(E$2:E1791)*(E1792=E$2:E1791)))))</f>
        <v/>
      </c>
      <c r="J1792" s="24" t="str">
        <f ca="1">IF(OR(E1792="",E1792="!!!",F1792="NEW"),"",COUNTBLANK(OFFSET(A$1,,,SUMPRODUCT(MAX(ROW(E$2:E1792)*(E1792=E$2:E1792)))))-COUNTBLANK(OFFSET(A$1,,,SUMPRODUCT(MAX(ROW(E$1:E1791)*(E2=E$1:E1791))))))</f>
        <v/>
      </c>
      <c r="K1792" s="24" t="str">
        <f>IF(OR(E1792="",E1792="!!!",F1792="NEW"),"",INDEX(J$1:J1791,SUMPRODUCT(MAX(ROW(E$1:E1791)*(E1792=E$1:E1791)))))</f>
        <v/>
      </c>
      <c r="L1792" s="25"/>
    </row>
    <row r="1793" spans="1:12" x14ac:dyDescent="0.3">
      <c r="A1793" t="s">
        <v>370</v>
      </c>
      <c r="E1793" s="20" t="str">
        <f t="shared" si="208"/>
        <v/>
      </c>
      <c r="F1793" s="21" t="str">
        <f>IF(OR(E1793="",E1793="!!!"),"",IF(NOT(ISNA(VLOOKUP(E1793,E$1:E1792,1,FALSE()))),"OLD",IF(AND(E1793&lt;&gt;"",E1793&lt;&gt;"!!!"),"NEW","")))</f>
        <v/>
      </c>
      <c r="G1793" s="22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3" t="str">
        <f t="shared" ca="1" si="209"/>
        <v/>
      </c>
      <c r="I1793" s="24" t="str">
        <f>IF(OR(E1793="",E1793="!!!",F1793="NEW"),"",INDEX(B$2:B1792,-1+SUMPRODUCT(MAX(ROW(E$2:E1792)*(E1793=E$2:E1792)))))</f>
        <v/>
      </c>
      <c r="J1793" s="24" t="str">
        <f ca="1">IF(OR(E1793="",E1793="!!!",F1793="NEW"),"",COUNTBLANK(OFFSET(A$1,,,SUMPRODUCT(MAX(ROW(E$2:E1793)*(E1793=E$2:E1793)))))-COUNTBLANK(OFFSET(A$1,,,SUMPRODUCT(MAX(ROW(E$1:E1792)*(E2=E$1:E1792))))))</f>
        <v/>
      </c>
      <c r="K1793" s="24" t="str">
        <f>IF(OR(E1793="",E1793="!!!",F1793="NEW"),"",INDEX(J$1:J1792,SUMPRODUCT(MAX(ROW(E$1:E1792)*(E1793=E$1:E1792)))))</f>
        <v/>
      </c>
      <c r="L1793" s="25"/>
    </row>
    <row r="1794" spans="1:12" x14ac:dyDescent="0.3">
      <c r="A1794" t="s">
        <v>399</v>
      </c>
      <c r="E1794" s="20" t="str">
        <f t="shared" si="208"/>
        <v/>
      </c>
      <c r="F1794" s="21" t="str">
        <f>IF(OR(E1794="",E1794="!!!"),"",IF(NOT(ISNA(VLOOKUP(E1794,E$1:E1793,1,FALSE()))),"OLD",IF(AND(E1794&lt;&gt;"",E1794&lt;&gt;"!!!"),"NEW","")))</f>
        <v/>
      </c>
      <c r="G1794" s="22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3" t="str">
        <f t="shared" ca="1" si="209"/>
        <v/>
      </c>
      <c r="I1794" s="24" t="str">
        <f>IF(OR(E1794="",E1794="!!!",F1794="NEW"),"",INDEX(B$2:B1793,-1+SUMPRODUCT(MAX(ROW(E$2:E1793)*(E1794=E$2:E1793)))))</f>
        <v/>
      </c>
      <c r="J1794" s="24" t="str">
        <f ca="1">IF(OR(E1794="",E1794="!!!",F1794="NEW"),"",COUNTBLANK(OFFSET(A$1,,,SUMPRODUCT(MAX(ROW(E$2:E1794)*(E1794=E$2:E1794)))))-COUNTBLANK(OFFSET(A$1,,,SUMPRODUCT(MAX(ROW(E$1:E1793)*(E2=E$1:E1793))))))</f>
        <v/>
      </c>
      <c r="K1794" s="24" t="str">
        <f>IF(OR(E1794="",E1794="!!!",F1794="NEW"),"",INDEX(J$1:J1793,SUMPRODUCT(MAX(ROW(E$1:E1793)*(E1794=E$1:E1793)))))</f>
        <v/>
      </c>
      <c r="L1794" s="25"/>
    </row>
    <row r="1795" spans="1:12" x14ac:dyDescent="0.3">
      <c r="A1795" t="s">
        <v>1011</v>
      </c>
      <c r="E1795" s="20" t="str">
        <f t="shared" si="208"/>
        <v/>
      </c>
      <c r="F1795" s="21" t="str">
        <f>IF(OR(E1795="",E1795="!!!"),"",IF(NOT(ISNA(VLOOKUP(E1795,E$1:E1794,1,FALSE()))),"OLD",IF(AND(E1795&lt;&gt;"",E1795&lt;&gt;"!!!"),"NEW","")))</f>
        <v/>
      </c>
      <c r="G1795" s="22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/>
      </c>
      <c r="H1795" s="23" t="str">
        <f t="shared" ca="1" si="209"/>
        <v/>
      </c>
      <c r="I1795" s="24" t="str">
        <f>IF(OR(E1795="",E1795="!!!",F1795="NEW"),"",INDEX(B$2:B1794,-1+SUMPRODUCT(MAX(ROW(E$2:E1794)*(E1795=E$2:E1794)))))</f>
        <v/>
      </c>
      <c r="J1795" s="24" t="str">
        <f ca="1">IF(OR(E1795="",E1795="!!!",F1795="NEW"),"",COUNTBLANK(OFFSET(A$1,,,SUMPRODUCT(MAX(ROW(E$2:E1795)*(E1795=E$2:E1795)))))-COUNTBLANK(OFFSET(A$1,,,SUMPRODUCT(MAX(ROW(E$1:E1794)*(E2=E$1:E1794))))))</f>
        <v/>
      </c>
      <c r="K1795" s="24" t="str">
        <f>IF(OR(E1795="",E1795="!!!",F1795="NEW"),"",INDEX(J$1:J1794,SUMPRODUCT(MAX(ROW(E$1:E1794)*(E1795=E$1:E1794)))))</f>
        <v/>
      </c>
      <c r="L1795" s="25"/>
    </row>
    <row r="1796" spans="1:12" x14ac:dyDescent="0.3">
      <c r="A1796" t="s">
        <v>1069</v>
      </c>
      <c r="E1796" s="20" t="str">
        <f t="shared" si="208"/>
        <v/>
      </c>
      <c r="F1796" s="21" t="str">
        <f>IF(OR(E1796="",E1796="!!!"),"",IF(NOT(ISNA(VLOOKUP(E1796,E$1:E1795,1,FALSE()))),"OLD",IF(AND(E1796&lt;&gt;"",E1796&lt;&gt;"!!!"),"NEW","")))</f>
        <v/>
      </c>
      <c r="G1796" s="22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3" t="str">
        <f t="shared" ca="1" si="209"/>
        <v/>
      </c>
      <c r="I1796" s="24" t="str">
        <f>IF(OR(E1796="",E1796="!!!",F1796="NEW"),"",INDEX(B$2:B1795,-1+SUMPRODUCT(MAX(ROW(E$2:E1795)*(E1796=E$2:E1795)))))</f>
        <v/>
      </c>
      <c r="J1796" s="24" t="str">
        <f ca="1">IF(OR(E1796="",E1796="!!!",F1796="NEW"),"",COUNTBLANK(OFFSET(A$1,,,SUMPRODUCT(MAX(ROW(E$2:E1796)*(E1796=E$2:E1796)))))-COUNTBLANK(OFFSET(A$1,,,SUMPRODUCT(MAX(ROW(E$1:E1795)*(E2=E$1:E1795))))))</f>
        <v/>
      </c>
      <c r="K1796" s="24" t="str">
        <f>IF(OR(E1796="",E1796="!!!",F1796="NEW"),"",INDEX(J$1:J1795,SUMPRODUCT(MAX(ROW(E$1:E1795)*(E1796=E$1:E1795)))))</f>
        <v/>
      </c>
      <c r="L1796" s="25"/>
    </row>
    <row r="1797" spans="1:12" x14ac:dyDescent="0.3">
      <c r="A1797" t="s">
        <v>11</v>
      </c>
      <c r="E1797" s="20" t="str">
        <f t="shared" si="208"/>
        <v/>
      </c>
      <c r="F1797" s="21" t="str">
        <f>IF(OR(E1797="",E1797="!!!"),"",IF(NOT(ISNA(VLOOKUP(E1797,E$1:E1796,1,FALSE()))),"OLD",IF(AND(E1797&lt;&gt;"",E1797&lt;&gt;"!!!"),"NEW","")))</f>
        <v/>
      </c>
      <c r="G1797" s="22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3" t="str">
        <f t="shared" ca="1" si="209"/>
        <v/>
      </c>
      <c r="I1797" s="24" t="str">
        <f>IF(OR(E1797="",E1797="!!!",F1797="NEW"),"",INDEX(B$2:B1796,-1+SUMPRODUCT(MAX(ROW(E$2:E1796)*(E1797=E$2:E1796)))))</f>
        <v/>
      </c>
      <c r="J1797" s="24" t="str">
        <f ca="1">IF(OR(E1797="",E1797="!!!",F1797="NEW"),"",COUNTBLANK(OFFSET(A$1,,,SUMPRODUCT(MAX(ROW(E$2:E1797)*(E1797=E$2:E1797)))))-COUNTBLANK(OFFSET(A$1,,,SUMPRODUCT(MAX(ROW(E$1:E1796)*(E2=E$1:E1796))))))</f>
        <v/>
      </c>
      <c r="K1797" s="24" t="str">
        <f>IF(OR(E1797="",E1797="!!!",F1797="NEW"),"",INDEX(J$1:J1796,SUMPRODUCT(MAX(ROW(E$1:E1796)*(E1797=E$1:E1796)))))</f>
        <v/>
      </c>
      <c r="L1797" s="25"/>
    </row>
    <row r="1798" spans="1:12" x14ac:dyDescent="0.3">
      <c r="A1798" t="s">
        <v>495</v>
      </c>
      <c r="B1798" s="26" t="s">
        <v>354</v>
      </c>
      <c r="C1798" s="26" t="s">
        <v>496</v>
      </c>
      <c r="D1798" s="26" t="s">
        <v>332</v>
      </c>
      <c r="E1798" s="20" t="str">
        <f t="shared" si="208"/>
        <v>!!!</v>
      </c>
      <c r="F1798" s="21" t="str">
        <f>IF(OR(E1798="",E1798="!!!"),"",IF(NOT(ISNA(VLOOKUP(E1798,E$1:E1797,1,FALSE()))),"OLD",IF(AND(E1798&lt;&gt;"",E1798&lt;&gt;"!!!"),"NEW","")))</f>
        <v/>
      </c>
      <c r="G1798" s="22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3" t="str">
        <f t="shared" ca="1" si="209"/>
        <v/>
      </c>
      <c r="I1798" s="24" t="str">
        <f>IF(OR(E1798="",E1798="!!!",F1798="NEW"),"",INDEX(B$2:B1797,-1+SUMPRODUCT(MAX(ROW(E$2:E1797)*(E1798=E$2:E1797)))))</f>
        <v/>
      </c>
      <c r="J1798" s="24" t="str">
        <f ca="1">IF(OR(E1798="",E1798="!!!",F1798="NEW"),"",COUNTBLANK(OFFSET(A$1,,,SUMPRODUCT(MAX(ROW(E$2:E1798)*(E1798=E$2:E1798)))))-COUNTBLANK(OFFSET(A$1,,,SUMPRODUCT(MAX(ROW(E$1:E1797)*(E2=E$1:E1797))))))</f>
        <v/>
      </c>
      <c r="K1798" s="24" t="str">
        <f>IF(OR(E1798="",E1798="!!!",F1798="NEW"),"",INDEX(J$1:J1797,SUMPRODUCT(MAX(ROW(E$1:E1797)*(E1798=E$1:E1797)))))</f>
        <v/>
      </c>
      <c r="L1798" s="25"/>
    </row>
    <row r="1799" spans="1:12" x14ac:dyDescent="0.3">
      <c r="A1799" t="s">
        <v>11</v>
      </c>
      <c r="E1799" s="20" t="str">
        <f t="shared" si="208"/>
        <v/>
      </c>
      <c r="F1799" s="21" t="str">
        <f>IF(OR(E1799="",E1799="!!!"),"",IF(NOT(ISNA(VLOOKUP(E1799,E$1:E1798,1,FALSE()))),"OLD",IF(AND(E1799&lt;&gt;"",E1799&lt;&gt;"!!!"),"NEW","")))</f>
        <v/>
      </c>
      <c r="G1799" s="22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/>
      </c>
      <c r="H1799" s="23" t="str">
        <f t="shared" ca="1" si="209"/>
        <v/>
      </c>
      <c r="I1799" s="24" t="str">
        <f>IF(OR(E1799="",E1799="!!!",F1799="NEW"),"",INDEX(B$2:B1798,-1+SUMPRODUCT(MAX(ROW(E$2:E1798)*(E1799=E$2:E1798)))))</f>
        <v/>
      </c>
      <c r="J1799" s="24" t="str">
        <f ca="1">IF(OR(E1799="",E1799="!!!",F1799="NEW"),"",COUNTBLANK(OFFSET(A$1,,,SUMPRODUCT(MAX(ROW(E$2:E1799)*(E1799=E$2:E1799)))))-COUNTBLANK(OFFSET(A$1,,,SUMPRODUCT(MAX(ROW(E$1:E1798)*(E2=E$1:E1798))))))</f>
        <v/>
      </c>
      <c r="K1799" s="24" t="str">
        <f>IF(OR(E1799="",E1799="!!!",F1799="NEW"),"",INDEX(J$1:J1798,SUMPRODUCT(MAX(ROW(E$1:E1798)*(E1799=E$1:E1798)))))</f>
        <v/>
      </c>
      <c r="L1799" s="25"/>
    </row>
    <row r="1800" spans="1:12" x14ac:dyDescent="0.3">
      <c r="A1800" t="s">
        <v>1070</v>
      </c>
      <c r="E1800" s="20" t="str">
        <f t="shared" si="208"/>
        <v/>
      </c>
      <c r="F1800" s="21" t="str">
        <f>IF(OR(E1800="",E1800="!!!"),"",IF(NOT(ISNA(VLOOKUP(E1800,E$1:E1799,1,FALSE()))),"OLD",IF(AND(E1800&lt;&gt;"",E1800&lt;&gt;"!!!"),"NEW","")))</f>
        <v/>
      </c>
      <c r="G1800" s="22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/>
      </c>
      <c r="H1800" s="23" t="str">
        <f t="shared" ca="1" si="209"/>
        <v/>
      </c>
      <c r="I1800" s="24" t="str">
        <f>IF(OR(E1800="",E1800="!!!",F1800="NEW"),"",INDEX(B$2:B1799,-1+SUMPRODUCT(MAX(ROW(E$2:E1799)*(E1800=E$2:E1799)))))</f>
        <v/>
      </c>
      <c r="J1800" s="24" t="str">
        <f ca="1">IF(OR(E1800="",E1800="!!!",F1800="NEW"),"",COUNTBLANK(OFFSET(A$1,,,SUMPRODUCT(MAX(ROW(E$2:E1800)*(E1800=E$2:E1800)))))-COUNTBLANK(OFFSET(A$1,,,SUMPRODUCT(MAX(ROW(E$1:E1799)*(E2=E$1:E1799))))))</f>
        <v/>
      </c>
      <c r="K1800" s="24" t="str">
        <f>IF(OR(E1800="",E1800="!!!",F1800="NEW"),"",INDEX(J$1:J1799,SUMPRODUCT(MAX(ROW(E$1:E1799)*(E1800=E$1:E1799)))))</f>
        <v/>
      </c>
      <c r="L1800" s="25"/>
    </row>
    <row r="1801" spans="1:12" x14ac:dyDescent="0.3">
      <c r="A1801" t="s">
        <v>1071</v>
      </c>
      <c r="E1801" s="20" t="str">
        <f t="shared" si="208"/>
        <v/>
      </c>
      <c r="F1801" s="21" t="str">
        <f>IF(OR(E1801="",E1801="!!!"),"",IF(NOT(ISNA(VLOOKUP(E1801,E$1:E1800,1,FALSE()))),"OLD",IF(AND(E1801&lt;&gt;"",E1801&lt;&gt;"!!!"),"NEW","")))</f>
        <v/>
      </c>
      <c r="G1801" s="22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/>
      </c>
      <c r="H1801" s="23" t="str">
        <f t="shared" ca="1" si="209"/>
        <v/>
      </c>
      <c r="I1801" s="24" t="str">
        <f>IF(OR(E1801="",E1801="!!!",F1801="NEW"),"",INDEX(B$2:B1800,-1+SUMPRODUCT(MAX(ROW(E$2:E1800)*(E1801=E$2:E1800)))))</f>
        <v/>
      </c>
      <c r="J1801" s="24" t="str">
        <f ca="1">IF(OR(E1801="",E1801="!!!",F1801="NEW"),"",COUNTBLANK(OFFSET(A$1,,,SUMPRODUCT(MAX(ROW(E$2:E1801)*(E1801=E$2:E1801)))))-COUNTBLANK(OFFSET(A$1,,,SUMPRODUCT(MAX(ROW(E$1:E1800)*(E2=E$1:E1800))))))</f>
        <v/>
      </c>
      <c r="K1801" s="24" t="str">
        <f>IF(OR(E1801="",E1801="!!!",F1801="NEW"),"",INDEX(J$1:J1800,SUMPRODUCT(MAX(ROW(E$1:E1800)*(E1801=E$1:E1800)))))</f>
        <v/>
      </c>
      <c r="L1801" s="25"/>
    </row>
    <row r="1802" spans="1:12" x14ac:dyDescent="0.3">
      <c r="A1802" t="s">
        <v>385</v>
      </c>
      <c r="E1802" s="20" t="str">
        <f t="shared" si="208"/>
        <v/>
      </c>
      <c r="F1802" s="21" t="str">
        <f>IF(OR(E1802="",E1802="!!!"),"",IF(NOT(ISNA(VLOOKUP(E1802,E$1:E1801,1,FALSE()))),"OLD",IF(AND(E1802&lt;&gt;"",E1802&lt;&gt;"!!!"),"NEW","")))</f>
        <v/>
      </c>
      <c r="G1802" s="22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3" t="str">
        <f t="shared" ca="1" si="209"/>
        <v/>
      </c>
      <c r="I1802" s="24" t="str">
        <f>IF(OR(E1802="",E1802="!!!",F1802="NEW"),"",INDEX(B$2:B1801,-1+SUMPRODUCT(MAX(ROW(E$2:E1801)*(E1802=E$2:E1801)))))</f>
        <v/>
      </c>
      <c r="J1802" s="24" t="str">
        <f ca="1">IF(OR(E1802="",E1802="!!!",F1802="NEW"),"",COUNTBLANK(OFFSET(A$1,,,SUMPRODUCT(MAX(ROW(E$2:E1802)*(E1802=E$2:E1802)))))-COUNTBLANK(OFFSET(A$1,,,SUMPRODUCT(MAX(ROW(E$1:E1801)*(E2=E$1:E1801))))))</f>
        <v/>
      </c>
      <c r="K1802" s="24" t="str">
        <f>IF(OR(E1802="",E1802="!!!",F1802="NEW"),"",INDEX(J$1:J1801,SUMPRODUCT(MAX(ROW(E$1:E1801)*(E1802=E$1:E1801)))))</f>
        <v/>
      </c>
      <c r="L1802" s="25"/>
    </row>
    <row r="1803" spans="1:12" x14ac:dyDescent="0.3">
      <c r="A1803" t="s">
        <v>363</v>
      </c>
      <c r="E1803" s="20" t="str">
        <f t="shared" si="208"/>
        <v/>
      </c>
      <c r="F1803" s="21" t="str">
        <f>IF(OR(E1803="",E1803="!!!"),"",IF(NOT(ISNA(VLOOKUP(E1803,E$1:E1802,1,FALSE()))),"OLD",IF(AND(E1803&lt;&gt;"",E1803&lt;&gt;"!!!"),"NEW","")))</f>
        <v/>
      </c>
      <c r="G1803" s="22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3" t="str">
        <f t="shared" ca="1" si="209"/>
        <v/>
      </c>
      <c r="I1803" s="24" t="str">
        <f>IF(OR(E1803="",E1803="!!!",F1803="NEW"),"",INDEX(B$2:B1802,-1+SUMPRODUCT(MAX(ROW(E$2:E1802)*(E1803=E$2:E1802)))))</f>
        <v/>
      </c>
      <c r="J1803" s="24" t="str">
        <f ca="1">IF(OR(E1803="",E1803="!!!",F1803="NEW"),"",COUNTBLANK(OFFSET(A$1,,,SUMPRODUCT(MAX(ROW(E$2:E1803)*(E1803=E$2:E1803)))))-COUNTBLANK(OFFSET(A$1,,,SUMPRODUCT(MAX(ROW(E$1:E1802)*(E2=E$1:E1802))))))</f>
        <v/>
      </c>
      <c r="K1803" s="24" t="str">
        <f>IF(OR(E1803="",E1803="!!!",F1803="NEW"),"",INDEX(J$1:J1802,SUMPRODUCT(MAX(ROW(E$1:E1802)*(E1803=E$1:E1802)))))</f>
        <v/>
      </c>
      <c r="L1803" s="25"/>
    </row>
    <row r="1804" spans="1:12" x14ac:dyDescent="0.3">
      <c r="A1804" t="s">
        <v>1072</v>
      </c>
      <c r="E1804" s="20" t="str">
        <f t="shared" si="208"/>
        <v/>
      </c>
      <c r="F1804" s="21" t="str">
        <f>IF(OR(E1804="",E1804="!!!"),"",IF(NOT(ISNA(VLOOKUP(E1804,E$1:E1803,1,FALSE()))),"OLD",IF(AND(E1804&lt;&gt;"",E1804&lt;&gt;"!!!"),"NEW","")))</f>
        <v/>
      </c>
      <c r="G1804" s="22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/>
      </c>
      <c r="H1804" s="23" t="str">
        <f t="shared" ca="1" si="209"/>
        <v/>
      </c>
      <c r="I1804" s="24" t="str">
        <f>IF(OR(E1804="",E1804="!!!",F1804="NEW"),"",INDEX(B$2:B1803,-1+SUMPRODUCT(MAX(ROW(E$2:E1803)*(E1804=E$2:E1803)))))</f>
        <v/>
      </c>
      <c r="J1804" s="24" t="str">
        <f ca="1">IF(OR(E1804="",E1804="!!!",F1804="NEW"),"",COUNTBLANK(OFFSET(A$1,,,SUMPRODUCT(MAX(ROW(E$2:E1804)*(E1804=E$2:E1804)))))-COUNTBLANK(OFFSET(A$1,,,SUMPRODUCT(MAX(ROW(E$1:E1803)*(E2=E$1:E1803))))))</f>
        <v/>
      </c>
      <c r="K1804" s="24" t="str">
        <f>IF(OR(E1804="",E1804="!!!",F1804="NEW"),"",INDEX(J$1:J1803,SUMPRODUCT(MAX(ROW(E$1:E1803)*(E1804=E$1:E1803)))))</f>
        <v/>
      </c>
      <c r="L1804" s="25"/>
    </row>
    <row r="1805" spans="1:12" x14ac:dyDescent="0.3">
      <c r="A1805" t="s">
        <v>333</v>
      </c>
      <c r="E1805" s="20" t="str">
        <f t="shared" si="208"/>
        <v/>
      </c>
      <c r="F1805" s="21" t="str">
        <f>IF(OR(E1805="",E1805="!!!"),"",IF(NOT(ISNA(VLOOKUP(E1805,E$1:E1804,1,FALSE()))),"OLD",IF(AND(E1805&lt;&gt;"",E1805&lt;&gt;"!!!"),"NEW","")))</f>
        <v/>
      </c>
      <c r="G1805" s="22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/>
      </c>
      <c r="H1805" s="23" t="str">
        <f t="shared" ca="1" si="209"/>
        <v/>
      </c>
      <c r="I1805" s="24" t="str">
        <f>IF(OR(E1805="",E1805="!!!",F1805="NEW"),"",INDEX(B$2:B1804,-1+SUMPRODUCT(MAX(ROW(E$2:E1804)*(E1805=E$2:E1804)))))</f>
        <v/>
      </c>
      <c r="J1805" s="24" t="str">
        <f ca="1">IF(OR(E1805="",E1805="!!!",F1805="NEW"),"",COUNTBLANK(OFFSET(A$1,,,SUMPRODUCT(MAX(ROW(E$2:E1805)*(E1805=E$2:E1805)))))-COUNTBLANK(OFFSET(A$1,,,SUMPRODUCT(MAX(ROW(E$1:E1804)*(E2=E$1:E1804))))))</f>
        <v/>
      </c>
      <c r="K1805" s="24" t="str">
        <f>IF(OR(E1805="",E1805="!!!",F1805="NEW"),"",INDEX(J$1:J1804,SUMPRODUCT(MAX(ROW(E$1:E1804)*(E1805=E$1:E1804)))))</f>
        <v/>
      </c>
      <c r="L1805" s="25"/>
    </row>
    <row r="1806" spans="1:12" x14ac:dyDescent="0.3">
      <c r="A1806" t="s">
        <v>638</v>
      </c>
      <c r="E1806" s="20" t="str">
        <f t="shared" si="208"/>
        <v/>
      </c>
      <c r="F1806" s="21" t="str">
        <f>IF(OR(E1806="",E1806="!!!"),"",IF(NOT(ISNA(VLOOKUP(E1806,E$1:E1805,1,FALSE()))),"OLD",IF(AND(E1806&lt;&gt;"",E1806&lt;&gt;"!!!"),"NEW","")))</f>
        <v/>
      </c>
      <c r="G1806" s="22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3" t="str">
        <f t="shared" ca="1" si="209"/>
        <v/>
      </c>
      <c r="I1806" s="24" t="str">
        <f>IF(OR(E1806="",E1806="!!!",F1806="NEW"),"",INDEX(B$2:B1805,-1+SUMPRODUCT(MAX(ROW(E$2:E1805)*(E1806=E$2:E1805)))))</f>
        <v/>
      </c>
      <c r="J1806" s="24" t="str">
        <f ca="1">IF(OR(E1806="",E1806="!!!",F1806="NEW"),"",COUNTBLANK(OFFSET(A$1,,,SUMPRODUCT(MAX(ROW(E$2:E1806)*(E1806=E$2:E1806)))))-COUNTBLANK(OFFSET(A$1,,,SUMPRODUCT(MAX(ROW(E$1:E1805)*(E2=E$1:E1805))))))</f>
        <v/>
      </c>
      <c r="K1806" s="24" t="str">
        <f>IF(OR(E1806="",E1806="!!!",F1806="NEW"),"",INDEX(J$1:J1805,SUMPRODUCT(MAX(ROW(E$1:E1805)*(E1806=E$1:E1805)))))</f>
        <v/>
      </c>
      <c r="L1806" s="25"/>
    </row>
    <row r="1808" spans="1:12" x14ac:dyDescent="0.3">
      <c r="A1808" t="s">
        <v>1073</v>
      </c>
    </row>
    <row r="1809" spans="1:12" x14ac:dyDescent="0.3">
      <c r="A1809" t="s">
        <v>628</v>
      </c>
      <c r="E1809" s="20" t="str">
        <f t="shared" ref="E1809:E1823" si="210">IF(D1809="?OLD","!!!","")</f>
        <v/>
      </c>
      <c r="F1809" s="21" t="str">
        <f>IF(OR(E1809="",E1809="!!!"),"",IF(NOT(ISNA(VLOOKUP(E1809,E$1:E1808,1,FALSE()))),"OLD",IF(AND(E1809&lt;&gt;"",E1809&lt;&gt;"!!!"),"NEW","")))</f>
        <v/>
      </c>
      <c r="G1809" s="22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3" t="str">
        <f t="shared" ref="H1809:H1823" ca="1" si="211">IF(J1809&lt;&gt;1,"",IF(I1809="SBJ","CB","?"))</f>
        <v/>
      </c>
      <c r="I1809" s="24" t="str">
        <f>IF(OR(E1809="",E1809="!!!",F1809="NEW"),"",INDEX(B$2:B1808,-1+SUMPRODUCT(MAX(ROW(E$2:E1808)*(E1809=E$2:E1808)))))</f>
        <v/>
      </c>
      <c r="J1809" s="24" t="str">
        <f ca="1">IF(OR(E1809="",E1809="!!!",F1809="NEW"),"",COUNTBLANK(OFFSET(A$1,,,SUMPRODUCT(MAX(ROW(E$2:E1809)*(E1809=E$2:E1809)))))-COUNTBLANK(OFFSET(A$1,,,SUMPRODUCT(MAX(ROW(E$1:E1808)*(E2=E$1:E1808))))))</f>
        <v/>
      </c>
      <c r="K1809" s="24" t="str">
        <f>IF(OR(E1809="",E1809="!!!",F1809="NEW"),"",INDEX(J$1:J1808,SUMPRODUCT(MAX(ROW(E$1:E1808)*(E1809=E$1:E1808)))))</f>
        <v/>
      </c>
      <c r="L1809" s="25"/>
    </row>
    <row r="1810" spans="1:12" x14ac:dyDescent="0.3">
      <c r="A1810" t="s">
        <v>371</v>
      </c>
      <c r="B1810" s="26" t="s">
        <v>330</v>
      </c>
      <c r="C1810" s="26" t="s">
        <v>341</v>
      </c>
      <c r="D1810" s="26" t="s">
        <v>332</v>
      </c>
      <c r="E1810" s="20" t="str">
        <f t="shared" si="210"/>
        <v>!!!</v>
      </c>
      <c r="F1810" s="21" t="str">
        <f>IF(OR(E1810="",E1810="!!!"),"",IF(NOT(ISNA(VLOOKUP(E1810,E$1:E1809,1,FALSE()))),"OLD",IF(AND(E1810&lt;&gt;"",E1810&lt;&gt;"!!!"),"NEW","")))</f>
        <v/>
      </c>
      <c r="G1810" s="22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3" t="str">
        <f t="shared" ca="1" si="211"/>
        <v/>
      </c>
      <c r="I1810" s="24" t="str">
        <f>IF(OR(E1810="",E1810="!!!",F1810="NEW"),"",INDEX(B$2:B1809,-1+SUMPRODUCT(MAX(ROW(E$2:E1809)*(E1810=E$2:E1809)))))</f>
        <v/>
      </c>
      <c r="J1810" s="24" t="str">
        <f ca="1">IF(OR(E1810="",E1810="!!!",F1810="NEW"),"",COUNTBLANK(OFFSET(A$1,,,SUMPRODUCT(MAX(ROW(E$2:E1810)*(E1810=E$2:E1810)))))-COUNTBLANK(OFFSET(A$1,,,SUMPRODUCT(MAX(ROW(E$1:E1809)*(E2=E$1:E1809))))))</f>
        <v/>
      </c>
      <c r="K1810" s="24" t="str">
        <f>IF(OR(E1810="",E1810="!!!",F1810="NEW"),"",INDEX(J$1:J1809,SUMPRODUCT(MAX(ROW(E$1:E1809)*(E1810=E$1:E1809)))))</f>
        <v/>
      </c>
      <c r="L1810" s="25"/>
    </row>
    <row r="1811" spans="1:12" x14ac:dyDescent="0.3">
      <c r="A1811" t="s">
        <v>646</v>
      </c>
      <c r="E1811" s="20" t="str">
        <f t="shared" si="210"/>
        <v/>
      </c>
      <c r="F1811" s="21" t="str">
        <f>IF(OR(E1811="",E1811="!!!"),"",IF(NOT(ISNA(VLOOKUP(E1811,E$1:E1810,1,FALSE()))),"OLD",IF(AND(E1811&lt;&gt;"",E1811&lt;&gt;"!!!"),"NEW","")))</f>
        <v/>
      </c>
      <c r="G1811" s="22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3" t="str">
        <f t="shared" ca="1" si="211"/>
        <v/>
      </c>
      <c r="I1811" s="24" t="str">
        <f>IF(OR(E1811="",E1811="!!!",F1811="NEW"),"",INDEX(B$2:B1810,-1+SUMPRODUCT(MAX(ROW(E$2:E1810)*(E1811=E$2:E1810)))))</f>
        <v/>
      </c>
      <c r="J1811" s="24" t="str">
        <f ca="1">IF(OR(E1811="",E1811="!!!",F1811="NEW"),"",COUNTBLANK(OFFSET(A$1,,,SUMPRODUCT(MAX(ROW(E$2:E1811)*(E1811=E$2:E1811)))))-COUNTBLANK(OFFSET(A$1,,,SUMPRODUCT(MAX(ROW(E$1:E1810)*(E2=E$1:E1810))))))</f>
        <v/>
      </c>
      <c r="K1811" s="24" t="str">
        <f>IF(OR(E1811="",E1811="!!!",F1811="NEW"),"",INDEX(J$1:J1810,SUMPRODUCT(MAX(ROW(E$1:E1810)*(E1811=E$1:E1810)))))</f>
        <v/>
      </c>
      <c r="L1811" s="25"/>
    </row>
    <row r="1812" spans="1:12" x14ac:dyDescent="0.3">
      <c r="A1812" t="s">
        <v>1074</v>
      </c>
      <c r="E1812" s="20" t="str">
        <f t="shared" si="210"/>
        <v/>
      </c>
      <c r="F1812" s="21" t="str">
        <f>IF(OR(E1812="",E1812="!!!"),"",IF(NOT(ISNA(VLOOKUP(E1812,E$1:E1811,1,FALSE()))),"OLD",IF(AND(E1812&lt;&gt;"",E1812&lt;&gt;"!!!"),"NEW","")))</f>
        <v/>
      </c>
      <c r="G1812" s="22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3" t="str">
        <f t="shared" ca="1" si="211"/>
        <v/>
      </c>
      <c r="I1812" s="24" t="str">
        <f>IF(OR(E1812="",E1812="!!!",F1812="NEW"),"",INDEX(B$2:B1811,-1+SUMPRODUCT(MAX(ROW(E$2:E1811)*(E1812=E$2:E1811)))))</f>
        <v/>
      </c>
      <c r="J1812" s="24" t="str">
        <f ca="1">IF(OR(E1812="",E1812="!!!",F1812="NEW"),"",COUNTBLANK(OFFSET(A$1,,,SUMPRODUCT(MAX(ROW(E$2:E1812)*(E1812=E$2:E1812)))))-COUNTBLANK(OFFSET(A$1,,,SUMPRODUCT(MAX(ROW(E$1:E1811)*(E2=E$1:E1811))))))</f>
        <v/>
      </c>
      <c r="K1812" s="24" t="str">
        <f>IF(OR(E1812="",E1812="!!!",F1812="NEW"),"",INDEX(J$1:J1811,SUMPRODUCT(MAX(ROW(E$1:E1811)*(E1812=E$1:E1811)))))</f>
        <v/>
      </c>
      <c r="L1812" s="25"/>
    </row>
    <row r="1813" spans="1:12" x14ac:dyDescent="0.3">
      <c r="A1813" t="s">
        <v>477</v>
      </c>
      <c r="E1813" s="20" t="str">
        <f t="shared" si="210"/>
        <v/>
      </c>
      <c r="F1813" s="21" t="str">
        <f>IF(OR(E1813="",E1813="!!!"),"",IF(NOT(ISNA(VLOOKUP(E1813,E$1:E1812,1,FALSE()))),"OLD",IF(AND(E1813&lt;&gt;"",E1813&lt;&gt;"!!!"),"NEW","")))</f>
        <v/>
      </c>
      <c r="G1813" s="22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/>
      </c>
      <c r="H1813" s="23" t="str">
        <f t="shared" ca="1" si="211"/>
        <v/>
      </c>
      <c r="I1813" s="24" t="str">
        <f>IF(OR(E1813="",E1813="!!!",F1813="NEW"),"",INDEX(B$2:B1812,-1+SUMPRODUCT(MAX(ROW(E$2:E1812)*(E1813=E$2:E1812)))))</f>
        <v/>
      </c>
      <c r="J1813" s="24" t="str">
        <f ca="1">IF(OR(E1813="",E1813="!!!",F1813="NEW"),"",COUNTBLANK(OFFSET(A$1,,,SUMPRODUCT(MAX(ROW(E$2:E1813)*(E1813=E$2:E1813)))))-COUNTBLANK(OFFSET(A$1,,,SUMPRODUCT(MAX(ROW(E$1:E1812)*(E2=E$1:E1812))))))</f>
        <v/>
      </c>
      <c r="K1813" s="24" t="str">
        <f>IF(OR(E1813="",E1813="!!!",F1813="NEW"),"",INDEX(J$1:J1812,SUMPRODUCT(MAX(ROW(E$1:E1812)*(E1813=E$1:E1812)))))</f>
        <v/>
      </c>
      <c r="L1813" s="25"/>
    </row>
    <row r="1814" spans="1:12" x14ac:dyDescent="0.3">
      <c r="A1814" t="s">
        <v>1075</v>
      </c>
      <c r="E1814" s="20" t="str">
        <f t="shared" si="210"/>
        <v/>
      </c>
      <c r="F1814" s="21" t="str">
        <f>IF(OR(E1814="",E1814="!!!"),"",IF(NOT(ISNA(VLOOKUP(E1814,E$1:E1813,1,FALSE()))),"OLD",IF(AND(E1814&lt;&gt;"",E1814&lt;&gt;"!!!"),"NEW","")))</f>
        <v/>
      </c>
      <c r="G1814" s="22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/>
      </c>
      <c r="H1814" s="23" t="str">
        <f t="shared" ca="1" si="211"/>
        <v/>
      </c>
      <c r="I1814" s="24" t="str">
        <f>IF(OR(E1814="",E1814="!!!",F1814="NEW"),"",INDEX(B$2:B1813,-1+SUMPRODUCT(MAX(ROW(E$2:E1813)*(E1814=E$2:E1813)))))</f>
        <v/>
      </c>
      <c r="J1814" s="24" t="str">
        <f ca="1">IF(OR(E1814="",E1814="!!!",F1814="NEW"),"",COUNTBLANK(OFFSET(A$1,,,SUMPRODUCT(MAX(ROW(E$2:E1814)*(E1814=E$2:E1814)))))-COUNTBLANK(OFFSET(A$1,,,SUMPRODUCT(MAX(ROW(E$1:E1813)*(E2=E$1:E1813))))))</f>
        <v/>
      </c>
      <c r="K1814" s="24" t="str">
        <f>IF(OR(E1814="",E1814="!!!",F1814="NEW"),"",INDEX(J$1:J1813,SUMPRODUCT(MAX(ROW(E$1:E1813)*(E1814=E$1:E1813)))))</f>
        <v/>
      </c>
      <c r="L1814" s="25"/>
    </row>
    <row r="1815" spans="1:12" x14ac:dyDescent="0.3">
      <c r="A1815" t="s">
        <v>1076</v>
      </c>
      <c r="B1815" s="26" t="s">
        <v>337</v>
      </c>
      <c r="C1815" s="26" t="s">
        <v>355</v>
      </c>
      <c r="E1815" s="20" t="str">
        <f t="shared" si="210"/>
        <v/>
      </c>
      <c r="F1815" s="21" t="str">
        <f>IF(OR(E1815="",E1815="!!!"),"",IF(NOT(ISNA(VLOOKUP(E1815,E$1:E1814,1,FALSE()))),"OLD",IF(AND(E1815&lt;&gt;"",E1815&lt;&gt;"!!!"),"NEW","")))</f>
        <v/>
      </c>
      <c r="G1815" s="22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/>
      </c>
      <c r="H1815" s="23" t="str">
        <f t="shared" ca="1" si="211"/>
        <v/>
      </c>
      <c r="I1815" s="24" t="str">
        <f>IF(OR(E1815="",E1815="!!!",F1815="NEW"),"",INDEX(B$2:B1814,-1+SUMPRODUCT(MAX(ROW(E$2:E1814)*(E1815=E$2:E1814)))))</f>
        <v/>
      </c>
      <c r="J1815" s="24" t="str">
        <f ca="1">IF(OR(E1815="",E1815="!!!",F1815="NEW"),"",COUNTBLANK(OFFSET(A$1,,,SUMPRODUCT(MAX(ROW(E$2:E1815)*(E1815=E$2:E1815)))))-COUNTBLANK(OFFSET(A$1,,,SUMPRODUCT(MAX(ROW(E$1:E1814)*(E2=E$1:E1814))))))</f>
        <v/>
      </c>
      <c r="K1815" s="24" t="str">
        <f>IF(OR(E1815="",E1815="!!!",F1815="NEW"),"",INDEX(J$1:J1814,SUMPRODUCT(MAX(ROW(E$1:E1814)*(E1815=E$1:E1814)))))</f>
        <v/>
      </c>
      <c r="L1815" s="25"/>
    </row>
    <row r="1816" spans="1:12" x14ac:dyDescent="0.3">
      <c r="A1816" t="s">
        <v>667</v>
      </c>
      <c r="E1816" s="20" t="str">
        <f t="shared" si="210"/>
        <v/>
      </c>
      <c r="F1816" s="21" t="str">
        <f>IF(OR(E1816="",E1816="!!!"),"",IF(NOT(ISNA(VLOOKUP(E1816,E$1:E1815,1,FALSE()))),"OLD",IF(AND(E1816&lt;&gt;"",E1816&lt;&gt;"!!!"),"NEW","")))</f>
        <v/>
      </c>
      <c r="G1816" s="22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3" t="str">
        <f t="shared" ca="1" si="211"/>
        <v/>
      </c>
      <c r="I1816" s="24" t="str">
        <f>IF(OR(E1816="",E1816="!!!",F1816="NEW"),"",INDEX(B$2:B1815,-1+SUMPRODUCT(MAX(ROW(E$2:E1815)*(E1816=E$2:E1815)))))</f>
        <v/>
      </c>
      <c r="J1816" s="24" t="str">
        <f ca="1">IF(OR(E1816="",E1816="!!!",F1816="NEW"),"",COUNTBLANK(OFFSET(A$1,,,SUMPRODUCT(MAX(ROW(E$2:E1816)*(E1816=E$2:E1816)))))-COUNTBLANK(OFFSET(A$1,,,SUMPRODUCT(MAX(ROW(E$1:E1815)*(E2=E$1:E1815))))))</f>
        <v/>
      </c>
      <c r="K1816" s="24" t="str">
        <f>IF(OR(E1816="",E1816="!!!",F1816="NEW"),"",INDEX(J$1:J1815,SUMPRODUCT(MAX(ROW(E$1:E1815)*(E1816=E$1:E1815)))))</f>
        <v/>
      </c>
      <c r="L1816" s="25"/>
    </row>
    <row r="1817" spans="1:12" x14ac:dyDescent="0.3">
      <c r="A1817" t="s">
        <v>841</v>
      </c>
      <c r="E1817" s="20" t="str">
        <f t="shared" si="210"/>
        <v/>
      </c>
      <c r="F1817" s="21" t="str">
        <f>IF(OR(E1817="",E1817="!!!"),"",IF(NOT(ISNA(VLOOKUP(E1817,E$1:E1816,1,FALSE()))),"OLD",IF(AND(E1817&lt;&gt;"",E1817&lt;&gt;"!!!"),"NEW","")))</f>
        <v/>
      </c>
      <c r="G1817" s="22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3" t="str">
        <f t="shared" ca="1" si="211"/>
        <v/>
      </c>
      <c r="I1817" s="24" t="str">
        <f>IF(OR(E1817="",E1817="!!!",F1817="NEW"),"",INDEX(B$2:B1816,-1+SUMPRODUCT(MAX(ROW(E$2:E1816)*(E1817=E$2:E1816)))))</f>
        <v/>
      </c>
      <c r="J1817" s="24" t="str">
        <f ca="1">IF(OR(E1817="",E1817="!!!",F1817="NEW"),"",COUNTBLANK(OFFSET(A$1,,,SUMPRODUCT(MAX(ROW(E$2:E1817)*(E1817=E$2:E1817)))))-COUNTBLANK(OFFSET(A$1,,,SUMPRODUCT(MAX(ROW(E$1:E1816)*(E2=E$1:E1816))))))</f>
        <v/>
      </c>
      <c r="K1817" s="24" t="str">
        <f>IF(OR(E1817="",E1817="!!!",F1817="NEW"),"",INDEX(J$1:J1816,SUMPRODUCT(MAX(ROW(E$1:E1816)*(E1817=E$1:E1816)))))</f>
        <v/>
      </c>
      <c r="L1817" s="25"/>
    </row>
    <row r="1818" spans="1:12" x14ac:dyDescent="0.3">
      <c r="A1818" t="s">
        <v>1077</v>
      </c>
      <c r="E1818" s="20" t="str">
        <f t="shared" si="210"/>
        <v/>
      </c>
      <c r="F1818" s="21" t="str">
        <f>IF(OR(E1818="",E1818="!!!"),"",IF(NOT(ISNA(VLOOKUP(E1818,E$1:E1817,1,FALSE()))),"OLD",IF(AND(E1818&lt;&gt;"",E1818&lt;&gt;"!!!"),"NEW","")))</f>
        <v/>
      </c>
      <c r="G1818" s="22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/>
      </c>
      <c r="H1818" s="23" t="str">
        <f t="shared" ca="1" si="211"/>
        <v/>
      </c>
      <c r="I1818" s="24" t="str">
        <f>IF(OR(E1818="",E1818="!!!",F1818="NEW"),"",INDEX(B$2:B1817,-1+SUMPRODUCT(MAX(ROW(E$2:E1817)*(E1818=E$2:E1817)))))</f>
        <v/>
      </c>
      <c r="J1818" s="24" t="str">
        <f ca="1">IF(OR(E1818="",E1818="!!!",F1818="NEW"),"",COUNTBLANK(OFFSET(A$1,,,SUMPRODUCT(MAX(ROW(E$2:E1818)*(E1818=E$2:E1818)))))-COUNTBLANK(OFFSET(A$1,,,SUMPRODUCT(MAX(ROW(E$1:E1817)*(E2=E$1:E1817))))))</f>
        <v/>
      </c>
      <c r="K1818" s="24" t="str">
        <f>IF(OR(E1818="",E1818="!!!",F1818="NEW"),"",INDEX(J$1:J1817,SUMPRODUCT(MAX(ROW(E$1:E1817)*(E1818=E$1:E1817)))))</f>
        <v/>
      </c>
      <c r="L1818" s="25"/>
    </row>
    <row r="1819" spans="1:12" x14ac:dyDescent="0.3">
      <c r="A1819" t="s">
        <v>1067</v>
      </c>
      <c r="B1819" s="26" t="s">
        <v>337</v>
      </c>
      <c r="C1819" s="26" t="s">
        <v>544</v>
      </c>
      <c r="E1819" s="20" t="str">
        <f t="shared" si="210"/>
        <v/>
      </c>
      <c r="F1819" s="21" t="str">
        <f>IF(OR(E1819="",E1819="!!!"),"",IF(NOT(ISNA(VLOOKUP(E1819,E$1:E1818,1,FALSE()))),"OLD",IF(AND(E1819&lt;&gt;"",E1819&lt;&gt;"!!!"),"NEW","")))</f>
        <v/>
      </c>
      <c r="G1819" s="22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3" t="str">
        <f t="shared" ca="1" si="211"/>
        <v/>
      </c>
      <c r="I1819" s="24" t="str">
        <f>IF(OR(E1819="",E1819="!!!",F1819="NEW"),"",INDEX(B$2:B1818,-1+SUMPRODUCT(MAX(ROW(E$2:E1818)*(E1819=E$2:E1818)))))</f>
        <v/>
      </c>
      <c r="J1819" s="24" t="str">
        <f ca="1">IF(OR(E1819="",E1819="!!!",F1819="NEW"),"",COUNTBLANK(OFFSET(A$1,,,SUMPRODUCT(MAX(ROW(E$2:E1819)*(E1819=E$2:E1819)))))-COUNTBLANK(OFFSET(A$1,,,SUMPRODUCT(MAX(ROW(E$1:E1818)*(E2=E$1:E1818))))))</f>
        <v/>
      </c>
      <c r="K1819" s="24" t="str">
        <f>IF(OR(E1819="",E1819="!!!",F1819="NEW"),"",INDEX(J$1:J1818,SUMPRODUCT(MAX(ROW(E$1:E1818)*(E1819=E$1:E1818)))))</f>
        <v/>
      </c>
      <c r="L1819" s="25"/>
    </row>
    <row r="1820" spans="1:12" x14ac:dyDescent="0.3">
      <c r="A1820" t="s">
        <v>463</v>
      </c>
      <c r="E1820" s="20" t="str">
        <f t="shared" si="210"/>
        <v/>
      </c>
      <c r="F1820" s="21" t="str">
        <f>IF(OR(E1820="",E1820="!!!"),"",IF(NOT(ISNA(VLOOKUP(E1820,E$1:E1819,1,FALSE()))),"OLD",IF(AND(E1820&lt;&gt;"",E1820&lt;&gt;"!!!"),"NEW","")))</f>
        <v/>
      </c>
      <c r="G1820" s="22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/>
      </c>
      <c r="H1820" s="23" t="str">
        <f t="shared" ca="1" si="211"/>
        <v/>
      </c>
      <c r="I1820" s="24" t="str">
        <f>IF(OR(E1820="",E1820="!!!",F1820="NEW"),"",INDEX(B$2:B1819,-1+SUMPRODUCT(MAX(ROW(E$2:E1819)*(E1820=E$2:E1819)))))</f>
        <v/>
      </c>
      <c r="J1820" s="24" t="str">
        <f ca="1">IF(OR(E1820="",E1820="!!!",F1820="NEW"),"",COUNTBLANK(OFFSET(A$1,,,SUMPRODUCT(MAX(ROW(E$2:E1820)*(E1820=E$2:E1820)))))-COUNTBLANK(OFFSET(A$1,,,SUMPRODUCT(MAX(ROW(E$1:E1819)*(E2=E$1:E1819))))))</f>
        <v/>
      </c>
      <c r="K1820" s="24" t="str">
        <f>IF(OR(E1820="",E1820="!!!",F1820="NEW"),"",INDEX(J$1:J1819,SUMPRODUCT(MAX(ROW(E$1:E1819)*(E1820=E$1:E1819)))))</f>
        <v/>
      </c>
      <c r="L1820" s="25"/>
    </row>
    <row r="1821" spans="1:12" x14ac:dyDescent="0.3">
      <c r="A1821" t="s">
        <v>1078</v>
      </c>
      <c r="B1821" s="26" t="s">
        <v>378</v>
      </c>
      <c r="C1821" s="26" t="s">
        <v>331</v>
      </c>
      <c r="D1821" s="26" t="s">
        <v>332</v>
      </c>
      <c r="E1821" s="20" t="str">
        <f t="shared" si="210"/>
        <v>!!!</v>
      </c>
      <c r="F1821" s="21" t="str">
        <f>IF(OR(E1821="",E1821="!!!"),"",IF(NOT(ISNA(VLOOKUP(E1821,E$1:E1820,1,FALSE()))),"OLD",IF(AND(E1821&lt;&gt;"",E1821&lt;&gt;"!!!"),"NEW","")))</f>
        <v/>
      </c>
      <c r="G1821" s="22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3" t="str">
        <f t="shared" ca="1" si="211"/>
        <v/>
      </c>
      <c r="I1821" s="24" t="str">
        <f>IF(OR(E1821="",E1821="!!!",F1821="NEW"),"",INDEX(B$2:B1820,-1+SUMPRODUCT(MAX(ROW(E$2:E1820)*(E1821=E$2:E1820)))))</f>
        <v/>
      </c>
      <c r="J1821" s="24" t="str">
        <f ca="1">IF(OR(E1821="",E1821="!!!",F1821="NEW"),"",COUNTBLANK(OFFSET(A$1,,,SUMPRODUCT(MAX(ROW(E$2:E1821)*(E1821=E$2:E1821)))))-COUNTBLANK(OFFSET(A$1,,,SUMPRODUCT(MAX(ROW(E$1:E1820)*(E2=E$1:E1820))))))</f>
        <v/>
      </c>
      <c r="K1821" s="24" t="str">
        <f>IF(OR(E1821="",E1821="!!!",F1821="NEW"),"",INDEX(J$1:J1820,SUMPRODUCT(MAX(ROW(E$1:E1820)*(E1821=E$1:E1820)))))</f>
        <v/>
      </c>
      <c r="L1821" s="25"/>
    </row>
    <row r="1822" spans="1:12" x14ac:dyDescent="0.3">
      <c r="A1822" t="s">
        <v>333</v>
      </c>
      <c r="E1822" s="20" t="str">
        <f t="shared" si="210"/>
        <v/>
      </c>
      <c r="F1822" s="21" t="str">
        <f>IF(OR(E1822="",E1822="!!!"),"",IF(NOT(ISNA(VLOOKUP(E1822,E$1:E1821,1,FALSE()))),"OLD",IF(AND(E1822&lt;&gt;"",E1822&lt;&gt;"!!!"),"NEW","")))</f>
        <v/>
      </c>
      <c r="G1822" s="22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/>
      </c>
      <c r="H1822" s="23" t="str">
        <f t="shared" ca="1" si="211"/>
        <v/>
      </c>
      <c r="I1822" s="24" t="str">
        <f>IF(OR(E1822="",E1822="!!!",F1822="NEW"),"",INDEX(B$2:B1821,-1+SUMPRODUCT(MAX(ROW(E$2:E1821)*(E1822=E$2:E1821)))))</f>
        <v/>
      </c>
      <c r="J1822" s="24" t="str">
        <f ca="1">IF(OR(E1822="",E1822="!!!",F1822="NEW"),"",COUNTBLANK(OFFSET(A$1,,,SUMPRODUCT(MAX(ROW(E$2:E1822)*(E1822=E$2:E1822)))))-COUNTBLANK(OFFSET(A$1,,,SUMPRODUCT(MAX(ROW(E$1:E1821)*(E2=E$1:E1821))))))</f>
        <v/>
      </c>
      <c r="K1822" s="24" t="str">
        <f>IF(OR(E1822="",E1822="!!!",F1822="NEW"),"",INDEX(J$1:J1821,SUMPRODUCT(MAX(ROW(E$1:E1821)*(E1822=E$1:E1821)))))</f>
        <v/>
      </c>
      <c r="L1822" s="25"/>
    </row>
    <row r="1823" spans="1:12" x14ac:dyDescent="0.3">
      <c r="A1823" t="s">
        <v>638</v>
      </c>
      <c r="E1823" s="20" t="str">
        <f t="shared" si="210"/>
        <v/>
      </c>
      <c r="F1823" s="21" t="str">
        <f>IF(OR(E1823="",E1823="!!!"),"",IF(NOT(ISNA(VLOOKUP(E1823,E$1:E1822,1,FALSE()))),"OLD",IF(AND(E1823&lt;&gt;"",E1823&lt;&gt;"!!!"),"NEW","")))</f>
        <v/>
      </c>
      <c r="G1823" s="22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/>
      </c>
      <c r="H1823" s="23" t="str">
        <f t="shared" ca="1" si="211"/>
        <v/>
      </c>
      <c r="I1823" s="24" t="str">
        <f>IF(OR(E1823="",E1823="!!!",F1823="NEW"),"",INDEX(B$2:B1822,-1+SUMPRODUCT(MAX(ROW(E$2:E1822)*(E1823=E$2:E1822)))))</f>
        <v/>
      </c>
      <c r="J1823" s="24" t="str">
        <f ca="1">IF(OR(E1823="",E1823="!!!",F1823="NEW"),"",COUNTBLANK(OFFSET(A$1,,,SUMPRODUCT(MAX(ROW(E$2:E1823)*(E1823=E$2:E1823)))))-COUNTBLANK(OFFSET(A$1,,,SUMPRODUCT(MAX(ROW(E$1:E1822)*(E2=E$1:E1822))))))</f>
        <v/>
      </c>
      <c r="K1823" s="24" t="str">
        <f>IF(OR(E1823="",E1823="!!!",F1823="NEW"),"",INDEX(J$1:J1822,SUMPRODUCT(MAX(ROW(E$1:E1822)*(E1823=E$1:E1822)))))</f>
        <v/>
      </c>
      <c r="L1823" s="25"/>
    </row>
    <row r="1825" spans="1:12" x14ac:dyDescent="0.3">
      <c r="A1825" t="s">
        <v>573</v>
      </c>
      <c r="E1825" s="20" t="str">
        <f>IF(D1825="?OLD","!!!","")</f>
        <v/>
      </c>
      <c r="F1825" s="21" t="str">
        <f>IF(OR(E1825="",E1825="!!!"),"",IF(NOT(ISNA(VLOOKUP(E1825,E$1:E1824,1,FALSE()))),"OLD",IF(AND(E1825&lt;&gt;"",E1825&lt;&gt;"!!!"),"NEW","")))</f>
        <v/>
      </c>
      <c r="G1825" s="22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/>
      </c>
      <c r="H1825" s="23" t="str">
        <f ca="1">IF(J1825&lt;&gt;1,"",IF(I1825="SBJ","CB","?"))</f>
        <v/>
      </c>
      <c r="I1825" s="24" t="str">
        <f>IF(OR(E1825="",E1825="!!!",F1825="NEW"),"",INDEX(B$2:B1824,-1+SUMPRODUCT(MAX(ROW(E$2:E1824)*(E1825=E$2:E1824)))))</f>
        <v/>
      </c>
      <c r="J1825" s="24" t="str">
        <f ca="1">IF(OR(E1825="",E1825="!!!",F1825="NEW"),"",COUNTBLANK(OFFSET(A$1,,,SUMPRODUCT(MAX(ROW(E$2:E1825)*(E1825=E$2:E1825)))))-COUNTBLANK(OFFSET(A$1,,,SUMPRODUCT(MAX(ROW(E$1:E1824)*(E2=E$1:E1824))))))</f>
        <v/>
      </c>
      <c r="K1825" s="24" t="str">
        <f>IF(OR(E1825="",E1825="!!!",F1825="NEW"),"",INDEX(J$1:J1824,SUMPRODUCT(MAX(ROW(E$1:E1824)*(E1825=E$1:E1824)))))</f>
        <v/>
      </c>
      <c r="L1825" s="25"/>
    </row>
    <row r="1826" spans="1:12" x14ac:dyDescent="0.3">
      <c r="A1826" t="s">
        <v>1079</v>
      </c>
    </row>
    <row r="1827" spans="1:12" x14ac:dyDescent="0.3">
      <c r="A1827" t="s">
        <v>1080</v>
      </c>
      <c r="B1827" s="26" t="s">
        <v>330</v>
      </c>
      <c r="C1827" s="26" t="s">
        <v>355</v>
      </c>
      <c r="E1827" s="20" t="str">
        <f t="shared" ref="E1827:E1859" si="212">IF(D1827="?OLD","!!!","")</f>
        <v/>
      </c>
      <c r="F1827" s="21" t="str">
        <f>IF(OR(E1827="",E1827="!!!"),"",IF(NOT(ISNA(VLOOKUP(E1827,E$1:E1826,1,FALSE()))),"OLD",IF(AND(E1827&lt;&gt;"",E1827&lt;&gt;"!!!"),"NEW","")))</f>
        <v/>
      </c>
      <c r="G1827" s="22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/>
      </c>
      <c r="H1827" s="23" t="str">
        <f t="shared" ref="H1827:H1859" ca="1" si="213">IF(J1827&lt;&gt;1,"",IF(I1827="SBJ","CB","?"))</f>
        <v/>
      </c>
      <c r="I1827" s="24" t="str">
        <f>IF(OR(E1827="",E1827="!!!",F1827="NEW"),"",INDEX(B$2:B1826,-1+SUMPRODUCT(MAX(ROW(E$2:E1826)*(E1827=E$2:E1826)))))</f>
        <v/>
      </c>
      <c r="J1827" s="24" t="str">
        <f ca="1">IF(OR(E1827="",E1827="!!!",F1827="NEW"),"",COUNTBLANK(OFFSET(A$1,,,SUMPRODUCT(MAX(ROW(E$2:E1827)*(E1827=E$2:E1827)))))-COUNTBLANK(OFFSET(A$1,,,SUMPRODUCT(MAX(ROW(E$1:E1826)*(E2=E$1:E1826))))))</f>
        <v/>
      </c>
      <c r="K1827" s="24" t="str">
        <f>IF(OR(E1827="",E1827="!!!",F1827="NEW"),"",INDEX(J$1:J1826,SUMPRODUCT(MAX(ROW(E$1:E1826)*(E1827=E$1:E1826)))))</f>
        <v/>
      </c>
      <c r="L1827" s="25"/>
    </row>
    <row r="1828" spans="1:12" x14ac:dyDescent="0.3">
      <c r="A1828" t="s">
        <v>1081</v>
      </c>
      <c r="B1828" s="26" t="s">
        <v>378</v>
      </c>
      <c r="C1828" s="26" t="s">
        <v>496</v>
      </c>
      <c r="D1828" s="26" t="s">
        <v>332</v>
      </c>
      <c r="E1828" s="20" t="str">
        <f t="shared" si="212"/>
        <v>!!!</v>
      </c>
      <c r="F1828" s="21" t="str">
        <f>IF(OR(E1828="",E1828="!!!"),"",IF(NOT(ISNA(VLOOKUP(E1828,E$1:E1827,1,FALSE()))),"OLD",IF(AND(E1828&lt;&gt;"",E1828&lt;&gt;"!!!"),"NEW","")))</f>
        <v/>
      </c>
      <c r="G1828" s="22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/>
      </c>
      <c r="H1828" s="23" t="str">
        <f t="shared" ca="1" si="213"/>
        <v/>
      </c>
      <c r="I1828" s="24" t="str">
        <f>IF(OR(E1828="",E1828="!!!",F1828="NEW"),"",INDEX(B$2:B1827,-1+SUMPRODUCT(MAX(ROW(E$2:E1827)*(E1828=E$2:E1827)))))</f>
        <v/>
      </c>
      <c r="J1828" s="24" t="str">
        <f ca="1">IF(OR(E1828="",E1828="!!!",F1828="NEW"),"",COUNTBLANK(OFFSET(A$1,,,SUMPRODUCT(MAX(ROW(E$2:E1828)*(E1828=E$2:E1828)))))-COUNTBLANK(OFFSET(A$1,,,SUMPRODUCT(MAX(ROW(E$1:E1827)*(E2=E$1:E1827))))))</f>
        <v/>
      </c>
      <c r="K1828" s="24" t="str">
        <f>IF(OR(E1828="",E1828="!!!",F1828="NEW"),"",INDEX(J$1:J1827,SUMPRODUCT(MAX(ROW(E$1:E1827)*(E1828=E$1:E1827)))))</f>
        <v/>
      </c>
      <c r="L1828" s="25"/>
    </row>
    <row r="1829" spans="1:12" x14ac:dyDescent="0.3">
      <c r="A1829" t="s">
        <v>1082</v>
      </c>
      <c r="E1829" s="20" t="str">
        <f t="shared" si="212"/>
        <v/>
      </c>
      <c r="F1829" s="21" t="str">
        <f>IF(OR(E1829="",E1829="!!!"),"",IF(NOT(ISNA(VLOOKUP(E1829,E$1:E1828,1,FALSE()))),"OLD",IF(AND(E1829&lt;&gt;"",E1829&lt;&gt;"!!!"),"NEW","")))</f>
        <v/>
      </c>
      <c r="G1829" s="22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3" t="str">
        <f t="shared" ca="1" si="213"/>
        <v/>
      </c>
      <c r="I1829" s="24" t="str">
        <f>IF(OR(E1829="",E1829="!!!",F1829="NEW"),"",INDEX(B$2:B1828,-1+SUMPRODUCT(MAX(ROW(E$2:E1828)*(E1829=E$2:E1828)))))</f>
        <v/>
      </c>
      <c r="J1829" s="24" t="str">
        <f ca="1">IF(OR(E1829="",E1829="!!!",F1829="NEW"),"",COUNTBLANK(OFFSET(A$1,,,SUMPRODUCT(MAX(ROW(E$2:E1829)*(E1829=E$2:E1829)))))-COUNTBLANK(OFFSET(A$1,,,SUMPRODUCT(MAX(ROW(E$1:E1828)*(E2=E$1:E1828))))))</f>
        <v/>
      </c>
      <c r="K1829" s="24" t="str">
        <f>IF(OR(E1829="",E1829="!!!",F1829="NEW"),"",INDEX(J$1:J1828,SUMPRODUCT(MAX(ROW(E$1:E1828)*(E1829=E$1:E1828)))))</f>
        <v/>
      </c>
      <c r="L1829" s="25"/>
    </row>
    <row r="1830" spans="1:12" x14ac:dyDescent="0.3">
      <c r="A1830" t="s">
        <v>1083</v>
      </c>
      <c r="E1830" s="20" t="str">
        <f t="shared" si="212"/>
        <v/>
      </c>
      <c r="F1830" s="21" t="str">
        <f>IF(OR(E1830="",E1830="!!!"),"",IF(NOT(ISNA(VLOOKUP(E1830,E$1:E1829,1,FALSE()))),"OLD",IF(AND(E1830&lt;&gt;"",E1830&lt;&gt;"!!!"),"NEW","")))</f>
        <v/>
      </c>
      <c r="G1830" s="22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/>
      </c>
      <c r="H1830" s="23" t="str">
        <f t="shared" ca="1" si="213"/>
        <v/>
      </c>
      <c r="I1830" s="24" t="str">
        <f>IF(OR(E1830="",E1830="!!!",F1830="NEW"),"",INDEX(B$2:B1829,-1+SUMPRODUCT(MAX(ROW(E$2:E1829)*(E1830=E$2:E1829)))))</f>
        <v/>
      </c>
      <c r="J1830" s="24" t="str">
        <f ca="1">IF(OR(E1830="",E1830="!!!",F1830="NEW"),"",COUNTBLANK(OFFSET(A$1,,,SUMPRODUCT(MAX(ROW(E$2:E1830)*(E1830=E$2:E1830)))))-COUNTBLANK(OFFSET(A$1,,,SUMPRODUCT(MAX(ROW(E$1:E1829)*(E2=E$1:E1829))))))</f>
        <v/>
      </c>
      <c r="K1830" s="24" t="str">
        <f>IF(OR(E1830="",E1830="!!!",F1830="NEW"),"",INDEX(J$1:J1829,SUMPRODUCT(MAX(ROW(E$1:E1829)*(E1830=E$1:E1829)))))</f>
        <v/>
      </c>
      <c r="L1830" s="25"/>
    </row>
    <row r="1831" spans="1:12" x14ac:dyDescent="0.3">
      <c r="A1831" t="s">
        <v>1084</v>
      </c>
      <c r="E1831" s="20" t="str">
        <f t="shared" si="212"/>
        <v/>
      </c>
      <c r="F1831" s="21" t="str">
        <f>IF(OR(E1831="",E1831="!!!"),"",IF(NOT(ISNA(VLOOKUP(E1831,E$1:E1830,1,FALSE()))),"OLD",IF(AND(E1831&lt;&gt;"",E1831&lt;&gt;"!!!"),"NEW","")))</f>
        <v/>
      </c>
      <c r="G1831" s="22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3" t="str">
        <f t="shared" ca="1" si="213"/>
        <v/>
      </c>
      <c r="I1831" s="24" t="str">
        <f>IF(OR(E1831="",E1831="!!!",F1831="NEW"),"",INDEX(B$2:B1830,-1+SUMPRODUCT(MAX(ROW(E$2:E1830)*(E1831=E$2:E1830)))))</f>
        <v/>
      </c>
      <c r="J1831" s="24" t="str">
        <f ca="1">IF(OR(E1831="",E1831="!!!",F1831="NEW"),"",COUNTBLANK(OFFSET(A$1,,,SUMPRODUCT(MAX(ROW(E$2:E1831)*(E1831=E$2:E1831)))))-COUNTBLANK(OFFSET(A$1,,,SUMPRODUCT(MAX(ROW(E$1:E1830)*(E2=E$1:E1830))))))</f>
        <v/>
      </c>
      <c r="K1831" s="24" t="str">
        <f>IF(OR(E1831="",E1831="!!!",F1831="NEW"),"",INDEX(J$1:J1830,SUMPRODUCT(MAX(ROW(E$1:E1830)*(E1831=E$1:E1830)))))</f>
        <v/>
      </c>
      <c r="L1831" s="25"/>
    </row>
    <row r="1832" spans="1:12" x14ac:dyDescent="0.3">
      <c r="A1832" t="s">
        <v>1085</v>
      </c>
      <c r="E1832" s="20" t="str">
        <f t="shared" si="212"/>
        <v/>
      </c>
      <c r="F1832" s="21" t="str">
        <f>IF(OR(E1832="",E1832="!!!"),"",IF(NOT(ISNA(VLOOKUP(E1832,E$1:E1831,1,FALSE()))),"OLD",IF(AND(E1832&lt;&gt;"",E1832&lt;&gt;"!!!"),"NEW","")))</f>
        <v/>
      </c>
      <c r="G1832" s="22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/>
      </c>
      <c r="H1832" s="23" t="str">
        <f t="shared" ca="1" si="213"/>
        <v/>
      </c>
      <c r="I1832" s="24" t="str">
        <f>IF(OR(E1832="",E1832="!!!",F1832="NEW"),"",INDEX(B$2:B1831,-1+SUMPRODUCT(MAX(ROW(E$2:E1831)*(E1832=E$2:E1831)))))</f>
        <v/>
      </c>
      <c r="J1832" s="24" t="str">
        <f ca="1">IF(OR(E1832="",E1832="!!!",F1832="NEW"),"",COUNTBLANK(OFFSET(A$1,,,SUMPRODUCT(MAX(ROW(E$2:E1832)*(E1832=E$2:E1832)))))-COUNTBLANK(OFFSET(A$1,,,SUMPRODUCT(MAX(ROW(E$1:E1831)*(E2=E$1:E1831))))))</f>
        <v/>
      </c>
      <c r="K1832" s="24" t="str">
        <f>IF(OR(E1832="",E1832="!!!",F1832="NEW"),"",INDEX(J$1:J1831,SUMPRODUCT(MAX(ROW(E$1:E1831)*(E1832=E$1:E1831)))))</f>
        <v/>
      </c>
      <c r="L1832" s="25"/>
    </row>
    <row r="1833" spans="1:12" x14ac:dyDescent="0.3">
      <c r="A1833" t="s">
        <v>399</v>
      </c>
      <c r="E1833" s="20" t="str">
        <f t="shared" si="212"/>
        <v/>
      </c>
      <c r="F1833" s="21" t="str">
        <f>IF(OR(E1833="",E1833="!!!"),"",IF(NOT(ISNA(VLOOKUP(E1833,E$1:E1832,1,FALSE()))),"OLD",IF(AND(E1833&lt;&gt;"",E1833&lt;&gt;"!!!"),"NEW","")))</f>
        <v/>
      </c>
      <c r="G1833" s="22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3" t="str">
        <f t="shared" ca="1" si="213"/>
        <v/>
      </c>
      <c r="I1833" s="24" t="str">
        <f>IF(OR(E1833="",E1833="!!!",F1833="NEW"),"",INDEX(B$2:B1832,-1+SUMPRODUCT(MAX(ROW(E$2:E1832)*(E1833=E$2:E1832)))))</f>
        <v/>
      </c>
      <c r="J1833" s="24" t="str">
        <f ca="1">IF(OR(E1833="",E1833="!!!",F1833="NEW"),"",COUNTBLANK(OFFSET(A$1,,,SUMPRODUCT(MAX(ROW(E$2:E1833)*(E1833=E$2:E1833)))))-COUNTBLANK(OFFSET(A$1,,,SUMPRODUCT(MAX(ROW(E$1:E1832)*(E2=E$1:E1832))))))</f>
        <v/>
      </c>
      <c r="K1833" s="24" t="str">
        <f>IF(OR(E1833="",E1833="!!!",F1833="NEW"),"",INDEX(J$1:J1832,SUMPRODUCT(MAX(ROW(E$1:E1832)*(E1833=E$1:E1832)))))</f>
        <v/>
      </c>
      <c r="L1833" s="25"/>
    </row>
    <row r="1834" spans="1:12" x14ac:dyDescent="0.3">
      <c r="A1834" t="s">
        <v>1086</v>
      </c>
      <c r="E1834" s="20" t="str">
        <f t="shared" si="212"/>
        <v/>
      </c>
      <c r="F1834" s="21" t="str">
        <f>IF(OR(E1834="",E1834="!!!"),"",IF(NOT(ISNA(VLOOKUP(E1834,E$1:E1833,1,FALSE()))),"OLD",IF(AND(E1834&lt;&gt;"",E1834&lt;&gt;"!!!"),"NEW","")))</f>
        <v/>
      </c>
      <c r="G1834" s="22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/>
      </c>
      <c r="H1834" s="23" t="str">
        <f t="shared" ca="1" si="213"/>
        <v/>
      </c>
      <c r="I1834" s="24" t="str">
        <f>IF(OR(E1834="",E1834="!!!",F1834="NEW"),"",INDEX(B$2:B1833,-1+SUMPRODUCT(MAX(ROW(E$2:E1833)*(E1834=E$2:E1833)))))</f>
        <v/>
      </c>
      <c r="J1834" s="24" t="str">
        <f ca="1">IF(OR(E1834="",E1834="!!!",F1834="NEW"),"",COUNTBLANK(OFFSET(A$1,,,SUMPRODUCT(MAX(ROW(E$2:E1834)*(E1834=E$2:E1834)))))-COUNTBLANK(OFFSET(A$1,,,SUMPRODUCT(MAX(ROW(E$1:E1833)*(E2=E$1:E1833))))))</f>
        <v/>
      </c>
      <c r="K1834" s="24" t="str">
        <f>IF(OR(E1834="",E1834="!!!",F1834="NEW"),"",INDEX(J$1:J1833,SUMPRODUCT(MAX(ROW(E$1:E1833)*(E1834=E$1:E1833)))))</f>
        <v/>
      </c>
      <c r="L1834" s="25"/>
    </row>
    <row r="1835" spans="1:12" x14ac:dyDescent="0.3">
      <c r="A1835" t="s">
        <v>1087</v>
      </c>
      <c r="B1835" s="26" t="s">
        <v>354</v>
      </c>
      <c r="C1835" s="26" t="s">
        <v>331</v>
      </c>
      <c r="D1835" s="26" t="s">
        <v>332</v>
      </c>
      <c r="E1835" s="20" t="str">
        <f t="shared" si="212"/>
        <v>!!!</v>
      </c>
      <c r="F1835" s="21" t="str">
        <f>IF(OR(E1835="",E1835="!!!"),"",IF(NOT(ISNA(VLOOKUP(E1835,E$1:E1834,1,FALSE()))),"OLD",IF(AND(E1835&lt;&gt;"",E1835&lt;&gt;"!!!"),"NEW","")))</f>
        <v/>
      </c>
      <c r="G1835" s="22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3" t="str">
        <f t="shared" ca="1" si="213"/>
        <v/>
      </c>
      <c r="I1835" s="24" t="str">
        <f>IF(OR(E1835="",E1835="!!!",F1835="NEW"),"",INDEX(B$2:B1834,-1+SUMPRODUCT(MAX(ROW(E$2:E1834)*(E1835=E$2:E1834)))))</f>
        <v/>
      </c>
      <c r="J1835" s="24" t="str">
        <f ca="1">IF(OR(E1835="",E1835="!!!",F1835="NEW"),"",COUNTBLANK(OFFSET(A$1,,,SUMPRODUCT(MAX(ROW(E$2:E1835)*(E1835=E$2:E1835)))))-COUNTBLANK(OFFSET(A$1,,,SUMPRODUCT(MAX(ROW(E$1:E1834)*(E2=E$1:E1834))))))</f>
        <v/>
      </c>
      <c r="K1835" s="24" t="str">
        <f>IF(OR(E1835="",E1835="!!!",F1835="NEW"),"",INDEX(J$1:J1834,SUMPRODUCT(MAX(ROW(E$1:E1834)*(E1835=E$1:E1834)))))</f>
        <v/>
      </c>
      <c r="L1835" s="25"/>
    </row>
    <row r="1836" spans="1:12" x14ac:dyDescent="0.3">
      <c r="A1836" t="s">
        <v>410</v>
      </c>
      <c r="E1836" s="20" t="str">
        <f t="shared" si="212"/>
        <v/>
      </c>
      <c r="F1836" s="21" t="str">
        <f>IF(OR(E1836="",E1836="!!!"),"",IF(NOT(ISNA(VLOOKUP(E1836,E$1:E1835,1,FALSE()))),"OLD",IF(AND(E1836&lt;&gt;"",E1836&lt;&gt;"!!!"),"NEW","")))</f>
        <v/>
      </c>
      <c r="G1836" s="22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/>
      </c>
      <c r="H1836" s="23" t="str">
        <f t="shared" ca="1" si="213"/>
        <v/>
      </c>
      <c r="I1836" s="24" t="str">
        <f>IF(OR(E1836="",E1836="!!!",F1836="NEW"),"",INDEX(B$2:B1835,-1+SUMPRODUCT(MAX(ROW(E$2:E1835)*(E1836=E$2:E1835)))))</f>
        <v/>
      </c>
      <c r="J1836" s="24" t="str">
        <f ca="1">IF(OR(E1836="",E1836="!!!",F1836="NEW"),"",COUNTBLANK(OFFSET(A$1,,,SUMPRODUCT(MAX(ROW(E$2:E1836)*(E1836=E$2:E1836)))))-COUNTBLANK(OFFSET(A$1,,,SUMPRODUCT(MAX(ROW(E$1:E1835)*(E2=E$1:E1835))))))</f>
        <v/>
      </c>
      <c r="K1836" s="24" t="str">
        <f>IF(OR(E1836="",E1836="!!!",F1836="NEW"),"",INDEX(J$1:J1835,SUMPRODUCT(MAX(ROW(E$1:E1835)*(E1836=E$1:E1835)))))</f>
        <v/>
      </c>
      <c r="L1836" s="25"/>
    </row>
    <row r="1837" spans="1:12" x14ac:dyDescent="0.3">
      <c r="A1837" t="s">
        <v>575</v>
      </c>
      <c r="E1837" s="20" t="str">
        <f t="shared" si="212"/>
        <v/>
      </c>
      <c r="F1837" s="21" t="str">
        <f>IF(OR(E1837="",E1837="!!!"),"",IF(NOT(ISNA(VLOOKUP(E1837,E$1:E1836,1,FALSE()))),"OLD",IF(AND(E1837&lt;&gt;"",E1837&lt;&gt;"!!!"),"NEW","")))</f>
        <v/>
      </c>
      <c r="G1837" s="22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3" t="str">
        <f t="shared" ca="1" si="213"/>
        <v/>
      </c>
      <c r="I1837" s="24" t="str">
        <f>IF(OR(E1837="",E1837="!!!",F1837="NEW"),"",INDEX(B$2:B1836,-1+SUMPRODUCT(MAX(ROW(E$2:E1836)*(E1837=E$2:E1836)))))</f>
        <v/>
      </c>
      <c r="J1837" s="24" t="str">
        <f ca="1">IF(OR(E1837="",E1837="!!!",F1837="NEW"),"",COUNTBLANK(OFFSET(A$1,,,SUMPRODUCT(MAX(ROW(E$2:E1837)*(E1837=E$2:E1837)))))-COUNTBLANK(OFFSET(A$1,,,SUMPRODUCT(MAX(ROW(E$1:E1836)*(E2=E$1:E1836))))))</f>
        <v/>
      </c>
      <c r="K1837" s="24" t="str">
        <f>IF(OR(E1837="",E1837="!!!",F1837="NEW"),"",INDEX(J$1:J1836,SUMPRODUCT(MAX(ROW(E$1:E1836)*(E1837=E$1:E1836)))))</f>
        <v/>
      </c>
      <c r="L1837" s="25"/>
    </row>
    <row r="1838" spans="1:12" x14ac:dyDescent="0.3">
      <c r="A1838" t="s">
        <v>1088</v>
      </c>
      <c r="B1838" s="26" t="s">
        <v>354</v>
      </c>
      <c r="C1838" s="26" t="s">
        <v>355</v>
      </c>
      <c r="E1838" s="20" t="str">
        <f t="shared" si="212"/>
        <v/>
      </c>
      <c r="F1838" s="21" t="str">
        <f>IF(OR(E1838="",E1838="!!!"),"",IF(NOT(ISNA(VLOOKUP(E1838,E$1:E1837,1,FALSE()))),"OLD",IF(AND(E1838&lt;&gt;"",E1838&lt;&gt;"!!!"),"NEW","")))</f>
        <v/>
      </c>
      <c r="G1838" s="22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3" t="str">
        <f t="shared" ca="1" si="213"/>
        <v/>
      </c>
      <c r="I1838" s="24" t="str">
        <f>IF(OR(E1838="",E1838="!!!",F1838="NEW"),"",INDEX(B$2:B1837,-1+SUMPRODUCT(MAX(ROW(E$2:E1837)*(E1838=E$2:E1837)))))</f>
        <v/>
      </c>
      <c r="J1838" s="24" t="str">
        <f ca="1">IF(OR(E1838="",E1838="!!!",F1838="NEW"),"",COUNTBLANK(OFFSET(A$1,,,SUMPRODUCT(MAX(ROW(E$2:E1838)*(E1838=E$2:E1838)))))-COUNTBLANK(OFFSET(A$1,,,SUMPRODUCT(MAX(ROW(E$1:E1837)*(E2=E$1:E1837))))))</f>
        <v/>
      </c>
      <c r="K1838" s="24" t="str">
        <f>IF(OR(E1838="",E1838="!!!",F1838="NEW"),"",INDEX(J$1:J1837,SUMPRODUCT(MAX(ROW(E$1:E1837)*(E1838=E$1:E1837)))))</f>
        <v/>
      </c>
      <c r="L1838" s="25"/>
    </row>
    <row r="1839" spans="1:12" x14ac:dyDescent="0.3">
      <c r="A1839" t="s">
        <v>1089</v>
      </c>
      <c r="E1839" s="20" t="str">
        <f t="shared" si="212"/>
        <v/>
      </c>
      <c r="F1839" s="21" t="str">
        <f>IF(OR(E1839="",E1839="!!!"),"",IF(NOT(ISNA(VLOOKUP(E1839,E$1:E1838,1,FALSE()))),"OLD",IF(AND(E1839&lt;&gt;"",E1839&lt;&gt;"!!!"),"NEW","")))</f>
        <v/>
      </c>
      <c r="G1839" s="22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/>
      </c>
      <c r="H1839" s="23" t="str">
        <f t="shared" ca="1" si="213"/>
        <v/>
      </c>
      <c r="I1839" s="24" t="str">
        <f>IF(OR(E1839="",E1839="!!!",F1839="NEW"),"",INDEX(B$2:B1838,-1+SUMPRODUCT(MAX(ROW(E$2:E1838)*(E1839=E$2:E1838)))))</f>
        <v/>
      </c>
      <c r="J1839" s="24" t="str">
        <f ca="1">IF(OR(E1839="",E1839="!!!",F1839="NEW"),"",COUNTBLANK(OFFSET(A$1,,,SUMPRODUCT(MAX(ROW(E$2:E1839)*(E1839=E$2:E1839)))))-COUNTBLANK(OFFSET(A$1,,,SUMPRODUCT(MAX(ROW(E$1:E1838)*(E2=E$1:E1838))))))</f>
        <v/>
      </c>
      <c r="K1839" s="24" t="str">
        <f>IF(OR(E1839="",E1839="!!!",F1839="NEW"),"",INDEX(J$1:J1838,SUMPRODUCT(MAX(ROW(E$1:E1838)*(E1839=E$1:E1838)))))</f>
        <v/>
      </c>
      <c r="L1839" s="25"/>
    </row>
    <row r="1840" spans="1:12" x14ac:dyDescent="0.3">
      <c r="A1840" t="s">
        <v>614</v>
      </c>
      <c r="B1840" s="26" t="s">
        <v>357</v>
      </c>
      <c r="C1840" s="26" t="s">
        <v>355</v>
      </c>
      <c r="E1840" s="20" t="str">
        <f t="shared" si="212"/>
        <v/>
      </c>
      <c r="F1840" s="21" t="str">
        <f>IF(OR(E1840="",E1840="!!!"),"",IF(NOT(ISNA(VLOOKUP(E1840,E$1:E1839,1,FALSE()))),"OLD",IF(AND(E1840&lt;&gt;"",E1840&lt;&gt;"!!!"),"NEW","")))</f>
        <v/>
      </c>
      <c r="G1840" s="22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3" t="str">
        <f t="shared" ca="1" si="213"/>
        <v/>
      </c>
      <c r="I1840" s="24" t="str">
        <f>IF(OR(E1840="",E1840="!!!",F1840="NEW"),"",INDEX(B$2:B1839,-1+SUMPRODUCT(MAX(ROW(E$2:E1839)*(E1840=E$2:E1839)))))</f>
        <v/>
      </c>
      <c r="J1840" s="24" t="str">
        <f ca="1">IF(OR(E1840="",E1840="!!!",F1840="NEW"),"",COUNTBLANK(OFFSET(A$1,,,SUMPRODUCT(MAX(ROW(E$2:E1840)*(E1840=E$2:E1840)))))-COUNTBLANK(OFFSET(A$1,,,SUMPRODUCT(MAX(ROW(E$1:E1839)*(E2=E$1:E1839))))))</f>
        <v/>
      </c>
      <c r="K1840" s="24" t="str">
        <f>IF(OR(E1840="",E1840="!!!",F1840="NEW"),"",INDEX(J$1:J1839,SUMPRODUCT(MAX(ROW(E$1:E1839)*(E1840=E$1:E1839)))))</f>
        <v/>
      </c>
      <c r="L1840" s="25"/>
    </row>
    <row r="1841" spans="1:12" x14ac:dyDescent="0.3">
      <c r="A1841" t="s">
        <v>385</v>
      </c>
      <c r="E1841" s="20" t="str">
        <f t="shared" si="212"/>
        <v/>
      </c>
      <c r="F1841" s="21" t="str">
        <f>IF(OR(E1841="",E1841="!!!"),"",IF(NOT(ISNA(VLOOKUP(E1841,E$1:E1840,1,FALSE()))),"OLD",IF(AND(E1841&lt;&gt;"",E1841&lt;&gt;"!!!"),"NEW","")))</f>
        <v/>
      </c>
      <c r="G1841" s="22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/>
      </c>
      <c r="H1841" s="23" t="str">
        <f t="shared" ca="1" si="213"/>
        <v/>
      </c>
      <c r="I1841" s="24" t="str">
        <f>IF(OR(E1841="",E1841="!!!",F1841="NEW"),"",INDEX(B$2:B1840,-1+SUMPRODUCT(MAX(ROW(E$2:E1840)*(E1841=E$2:E1840)))))</f>
        <v/>
      </c>
      <c r="J1841" s="24" t="str">
        <f ca="1">IF(OR(E1841="",E1841="!!!",F1841="NEW"),"",COUNTBLANK(OFFSET(A$1,,,SUMPRODUCT(MAX(ROW(E$2:E1841)*(E1841=E$2:E1841)))))-COUNTBLANK(OFFSET(A$1,,,SUMPRODUCT(MAX(ROW(E$1:E1840)*(E2=E$1:E1840))))))</f>
        <v/>
      </c>
      <c r="K1841" s="24" t="str">
        <f>IF(OR(E1841="",E1841="!!!",F1841="NEW"),"",INDEX(J$1:J1840,SUMPRODUCT(MAX(ROW(E$1:E1840)*(E1841=E$1:E1840)))))</f>
        <v/>
      </c>
      <c r="L1841" s="25"/>
    </row>
    <row r="1842" spans="1:12" x14ac:dyDescent="0.3">
      <c r="A1842" t="s">
        <v>1090</v>
      </c>
      <c r="B1842" s="26" t="s">
        <v>362</v>
      </c>
      <c r="C1842" s="26" t="s">
        <v>355</v>
      </c>
      <c r="E1842" s="20" t="str">
        <f t="shared" si="212"/>
        <v/>
      </c>
      <c r="F1842" s="21" t="str">
        <f>IF(OR(E1842="",E1842="!!!"),"",IF(NOT(ISNA(VLOOKUP(E1842,E$1:E1841,1,FALSE()))),"OLD",IF(AND(E1842&lt;&gt;"",E1842&lt;&gt;"!!!"),"NEW","")))</f>
        <v/>
      </c>
      <c r="G1842" s="22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3" t="str">
        <f t="shared" ca="1" si="213"/>
        <v/>
      </c>
      <c r="I1842" s="24" t="str">
        <f>IF(OR(E1842="",E1842="!!!",F1842="NEW"),"",INDEX(B$2:B1841,-1+SUMPRODUCT(MAX(ROW(E$2:E1841)*(E1842=E$2:E1841)))))</f>
        <v/>
      </c>
      <c r="J1842" s="24" t="str">
        <f ca="1">IF(OR(E1842="",E1842="!!!",F1842="NEW"),"",COUNTBLANK(OFFSET(A$1,,,SUMPRODUCT(MAX(ROW(E$2:E1842)*(E1842=E$2:E1842)))))-COUNTBLANK(OFFSET(A$1,,,SUMPRODUCT(MAX(ROW(E$1:E1841)*(E2=E$1:E1841))))))</f>
        <v/>
      </c>
      <c r="K1842" s="24" t="str">
        <f>IF(OR(E1842="",E1842="!!!",F1842="NEW"),"",INDEX(J$1:J1841,SUMPRODUCT(MAX(ROW(E$1:E1841)*(E1842=E$1:E1841)))))</f>
        <v/>
      </c>
      <c r="L1842" s="25"/>
    </row>
    <row r="1843" spans="1:12" x14ac:dyDescent="0.3">
      <c r="A1843" t="s">
        <v>351</v>
      </c>
      <c r="E1843" s="20" t="str">
        <f t="shared" si="212"/>
        <v/>
      </c>
      <c r="F1843" s="21" t="str">
        <f>IF(OR(E1843="",E1843="!!!"),"",IF(NOT(ISNA(VLOOKUP(E1843,E$1:E1842,1,FALSE()))),"OLD",IF(AND(E1843&lt;&gt;"",E1843&lt;&gt;"!!!"),"NEW","")))</f>
        <v/>
      </c>
      <c r="G1843" s="22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3" t="str">
        <f t="shared" ca="1" si="213"/>
        <v/>
      </c>
      <c r="I1843" s="24" t="str">
        <f>IF(OR(E1843="",E1843="!!!",F1843="NEW"),"",INDEX(B$2:B1842,-1+SUMPRODUCT(MAX(ROW(E$2:E1842)*(E1843=E$2:E1842)))))</f>
        <v/>
      </c>
      <c r="J1843" s="24" t="str">
        <f ca="1">IF(OR(E1843="",E1843="!!!",F1843="NEW"),"",COUNTBLANK(OFFSET(A$1,,,SUMPRODUCT(MAX(ROW(E$2:E1843)*(E1843=E$2:E1843)))))-COUNTBLANK(OFFSET(A$1,,,SUMPRODUCT(MAX(ROW(E$1:E1842)*(E2=E$1:E1842))))))</f>
        <v/>
      </c>
      <c r="K1843" s="24" t="str">
        <f>IF(OR(E1843="",E1843="!!!",F1843="NEW"),"",INDEX(J$1:J1842,SUMPRODUCT(MAX(ROW(E$1:E1842)*(E1843=E$1:E1842)))))</f>
        <v/>
      </c>
      <c r="L1843" s="25"/>
    </row>
    <row r="1844" spans="1:12" x14ac:dyDescent="0.3">
      <c r="A1844" t="s">
        <v>487</v>
      </c>
      <c r="E1844" s="20" t="str">
        <f t="shared" si="212"/>
        <v/>
      </c>
      <c r="F1844" s="21" t="str">
        <f>IF(OR(E1844="",E1844="!!!"),"",IF(NOT(ISNA(VLOOKUP(E1844,E$1:E1843,1,FALSE()))),"OLD",IF(AND(E1844&lt;&gt;"",E1844&lt;&gt;"!!!"),"NEW","")))</f>
        <v/>
      </c>
      <c r="G1844" s="22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/>
      </c>
      <c r="H1844" s="23" t="str">
        <f t="shared" ca="1" si="213"/>
        <v/>
      </c>
      <c r="I1844" s="24" t="str">
        <f>IF(OR(E1844="",E1844="!!!",F1844="NEW"),"",INDEX(B$2:B1843,-1+SUMPRODUCT(MAX(ROW(E$2:E1843)*(E1844=E$2:E1843)))))</f>
        <v/>
      </c>
      <c r="J1844" s="24" t="str">
        <f ca="1">IF(OR(E1844="",E1844="!!!",F1844="NEW"),"",COUNTBLANK(OFFSET(A$1,,,SUMPRODUCT(MAX(ROW(E$2:E1844)*(E1844=E$2:E1844)))))-COUNTBLANK(OFFSET(A$1,,,SUMPRODUCT(MAX(ROW(E$1:E1843)*(E2=E$1:E1843))))))</f>
        <v/>
      </c>
      <c r="K1844" s="24" t="str">
        <f>IF(OR(E1844="",E1844="!!!",F1844="NEW"),"",INDEX(J$1:J1843,SUMPRODUCT(MAX(ROW(E$1:E1843)*(E1844=E$1:E1843)))))</f>
        <v/>
      </c>
      <c r="L1844" s="25"/>
    </row>
    <row r="1845" spans="1:12" x14ac:dyDescent="0.3">
      <c r="A1845" t="s">
        <v>473</v>
      </c>
      <c r="B1845" s="26" t="s">
        <v>431</v>
      </c>
      <c r="C1845" s="26" t="s">
        <v>438</v>
      </c>
      <c r="D1845" s="26" t="s">
        <v>332</v>
      </c>
      <c r="E1845" s="20" t="str">
        <f t="shared" si="212"/>
        <v>!!!</v>
      </c>
      <c r="F1845" s="21" t="str">
        <f>IF(OR(E1845="",E1845="!!!"),"",IF(NOT(ISNA(VLOOKUP(E1845,E$1:E1844,1,FALSE()))),"OLD",IF(AND(E1845&lt;&gt;"",E1845&lt;&gt;"!!!"),"NEW","")))</f>
        <v/>
      </c>
      <c r="G1845" s="22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3" t="str">
        <f t="shared" ca="1" si="213"/>
        <v/>
      </c>
      <c r="I1845" s="24" t="str">
        <f>IF(OR(E1845="",E1845="!!!",F1845="NEW"),"",INDEX(B$2:B1844,-1+SUMPRODUCT(MAX(ROW(E$2:E1844)*(E1845=E$2:E1844)))))</f>
        <v/>
      </c>
      <c r="J1845" s="24" t="str">
        <f ca="1">IF(OR(E1845="",E1845="!!!",F1845="NEW"),"",COUNTBLANK(OFFSET(A$1,,,SUMPRODUCT(MAX(ROW(E$2:E1845)*(E1845=E$2:E1845)))))-COUNTBLANK(OFFSET(A$1,,,SUMPRODUCT(MAX(ROW(E$1:E1844)*(E2=E$1:E1844))))))</f>
        <v/>
      </c>
      <c r="K1845" s="24" t="str">
        <f>IF(OR(E1845="",E1845="!!!",F1845="NEW"),"",INDEX(J$1:J1844,SUMPRODUCT(MAX(ROW(E$1:E1844)*(E1845=E$1:E1844)))))</f>
        <v/>
      </c>
      <c r="L1845" s="25"/>
    </row>
    <row r="1846" spans="1:12" x14ac:dyDescent="0.3">
      <c r="A1846" t="s">
        <v>407</v>
      </c>
      <c r="E1846" s="20" t="str">
        <f t="shared" si="212"/>
        <v/>
      </c>
      <c r="F1846" s="21" t="str">
        <f>IF(OR(E1846="",E1846="!!!"),"",IF(NOT(ISNA(VLOOKUP(E1846,E$1:E1845,1,FALSE()))),"OLD",IF(AND(E1846&lt;&gt;"",E1846&lt;&gt;"!!!"),"NEW","")))</f>
        <v/>
      </c>
      <c r="G1846" s="22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3" t="str">
        <f t="shared" ca="1" si="213"/>
        <v/>
      </c>
      <c r="I1846" s="24" t="str">
        <f>IF(OR(E1846="",E1846="!!!",F1846="NEW"),"",INDEX(B$2:B1845,-1+SUMPRODUCT(MAX(ROW(E$2:E1845)*(E1846=E$2:E1845)))))</f>
        <v/>
      </c>
      <c r="J1846" s="24" t="str">
        <f ca="1">IF(OR(E1846="",E1846="!!!",F1846="NEW"),"",COUNTBLANK(OFFSET(A$1,,,SUMPRODUCT(MAX(ROW(E$2:E1846)*(E1846=E$2:E1846)))))-COUNTBLANK(OFFSET(A$1,,,SUMPRODUCT(MAX(ROW(E$1:E1845)*(E2=E$1:E1845))))))</f>
        <v/>
      </c>
      <c r="K1846" s="24" t="str">
        <f>IF(OR(E1846="",E1846="!!!",F1846="NEW"),"",INDEX(J$1:J1845,SUMPRODUCT(MAX(ROW(E$1:E1845)*(E1846=E$1:E1845)))))</f>
        <v/>
      </c>
      <c r="L1846" s="25"/>
    </row>
    <row r="1847" spans="1:12" x14ac:dyDescent="0.3">
      <c r="A1847" t="s">
        <v>1091</v>
      </c>
      <c r="E1847" s="20" t="str">
        <f t="shared" si="212"/>
        <v/>
      </c>
      <c r="F1847" s="21" t="str">
        <f>IF(OR(E1847="",E1847="!!!"),"",IF(NOT(ISNA(VLOOKUP(E1847,E$1:E1846,1,FALSE()))),"OLD",IF(AND(E1847&lt;&gt;"",E1847&lt;&gt;"!!!"),"NEW","")))</f>
        <v/>
      </c>
      <c r="G1847" s="22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3" t="str">
        <f t="shared" ca="1" si="213"/>
        <v/>
      </c>
      <c r="I1847" s="24" t="str">
        <f>IF(OR(E1847="",E1847="!!!",F1847="NEW"),"",INDEX(B$2:B1846,-1+SUMPRODUCT(MAX(ROW(E$2:E1846)*(E1847=E$2:E1846)))))</f>
        <v/>
      </c>
      <c r="J1847" s="24" t="str">
        <f ca="1">IF(OR(E1847="",E1847="!!!",F1847="NEW"),"",COUNTBLANK(OFFSET(A$1,,,SUMPRODUCT(MAX(ROW(E$2:E1847)*(E1847=E$2:E1847)))))-COUNTBLANK(OFFSET(A$1,,,SUMPRODUCT(MAX(ROW(E$1:E1846)*(E2=E$1:E1846))))))</f>
        <v/>
      </c>
      <c r="K1847" s="24" t="str">
        <f>IF(OR(E1847="",E1847="!!!",F1847="NEW"),"",INDEX(J$1:J1846,SUMPRODUCT(MAX(ROW(E$1:E1846)*(E1847=E$1:E1846)))))</f>
        <v/>
      </c>
      <c r="L1847" s="25"/>
    </row>
    <row r="1848" spans="1:12" x14ac:dyDescent="0.3">
      <c r="A1848" t="s">
        <v>1092</v>
      </c>
      <c r="E1848" s="20" t="str">
        <f t="shared" si="212"/>
        <v/>
      </c>
      <c r="F1848" s="21" t="str">
        <f>IF(OR(E1848="",E1848="!!!"),"",IF(NOT(ISNA(VLOOKUP(E1848,E$1:E1847,1,FALSE()))),"OLD",IF(AND(E1848&lt;&gt;"",E1848&lt;&gt;"!!!"),"NEW","")))</f>
        <v/>
      </c>
      <c r="G1848" s="22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/>
      </c>
      <c r="H1848" s="23" t="str">
        <f t="shared" ca="1" si="213"/>
        <v/>
      </c>
      <c r="I1848" s="24" t="str">
        <f>IF(OR(E1848="",E1848="!!!",F1848="NEW"),"",INDEX(B$2:B1847,-1+SUMPRODUCT(MAX(ROW(E$2:E1847)*(E1848=E$2:E1847)))))</f>
        <v/>
      </c>
      <c r="J1848" s="24" t="str">
        <f ca="1">IF(OR(E1848="",E1848="!!!",F1848="NEW"),"",COUNTBLANK(OFFSET(A$1,,,SUMPRODUCT(MAX(ROW(E$2:E1848)*(E1848=E$2:E1848)))))-COUNTBLANK(OFFSET(A$1,,,SUMPRODUCT(MAX(ROW(E$1:E1847)*(E2=E$1:E1847))))))</f>
        <v/>
      </c>
      <c r="K1848" s="24" t="str">
        <f>IF(OR(E1848="",E1848="!!!",F1848="NEW"),"",INDEX(J$1:J1847,SUMPRODUCT(MAX(ROW(E$1:E1847)*(E1848=E$1:E1847)))))</f>
        <v/>
      </c>
      <c r="L1848" s="25"/>
    </row>
    <row r="1849" spans="1:12" x14ac:dyDescent="0.3">
      <c r="A1849" t="s">
        <v>430</v>
      </c>
      <c r="E1849" s="20" t="str">
        <f t="shared" si="212"/>
        <v/>
      </c>
      <c r="F1849" s="21" t="str">
        <f>IF(OR(E1849="",E1849="!!!"),"",IF(NOT(ISNA(VLOOKUP(E1849,E$1:E1848,1,FALSE()))),"OLD",IF(AND(E1849&lt;&gt;"",E1849&lt;&gt;"!!!"),"NEW","")))</f>
        <v/>
      </c>
      <c r="G1849" s="22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3" t="str">
        <f t="shared" ca="1" si="213"/>
        <v/>
      </c>
      <c r="I1849" s="24" t="str">
        <f>IF(OR(E1849="",E1849="!!!",F1849="NEW"),"",INDEX(B$2:B1848,-1+SUMPRODUCT(MAX(ROW(E$2:E1848)*(E1849=E$2:E1848)))))</f>
        <v/>
      </c>
      <c r="J1849" s="24" t="str">
        <f ca="1">IF(OR(E1849="",E1849="!!!",F1849="NEW"),"",COUNTBLANK(OFFSET(A$1,,,SUMPRODUCT(MAX(ROW(E$2:E1849)*(E1849=E$2:E1849)))))-COUNTBLANK(OFFSET(A$1,,,SUMPRODUCT(MAX(ROW(E$1:E1848)*(E2=E$1:E1848))))))</f>
        <v/>
      </c>
      <c r="K1849" s="24" t="str">
        <f>IF(OR(E1849="",E1849="!!!",F1849="NEW"),"",INDEX(J$1:J1848,SUMPRODUCT(MAX(ROW(E$1:E1848)*(E1849=E$1:E1848)))))</f>
        <v/>
      </c>
      <c r="L1849" s="25"/>
    </row>
    <row r="1850" spans="1:12" x14ac:dyDescent="0.3">
      <c r="A1850" t="s">
        <v>380</v>
      </c>
      <c r="E1850" s="20" t="str">
        <f t="shared" si="212"/>
        <v/>
      </c>
      <c r="F1850" s="21" t="str">
        <f>IF(OR(E1850="",E1850="!!!"),"",IF(NOT(ISNA(VLOOKUP(E1850,E$1:E1849,1,FALSE()))),"OLD",IF(AND(E1850&lt;&gt;"",E1850&lt;&gt;"!!!"),"NEW","")))</f>
        <v/>
      </c>
      <c r="G1850" s="22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/>
      </c>
      <c r="H1850" s="23" t="str">
        <f t="shared" ca="1" si="213"/>
        <v/>
      </c>
      <c r="I1850" s="24" t="str">
        <f>IF(OR(E1850="",E1850="!!!",F1850="NEW"),"",INDEX(B$2:B1849,-1+SUMPRODUCT(MAX(ROW(E$2:E1849)*(E1850=E$2:E1849)))))</f>
        <v/>
      </c>
      <c r="J1850" s="24" t="str">
        <f ca="1">IF(OR(E1850="",E1850="!!!",F1850="NEW"),"",COUNTBLANK(OFFSET(A$1,,,SUMPRODUCT(MAX(ROW(E$2:E1850)*(E1850=E$2:E1850)))))-COUNTBLANK(OFFSET(A$1,,,SUMPRODUCT(MAX(ROW(E$1:E1849)*(E2=E$1:E1849))))))</f>
        <v/>
      </c>
      <c r="K1850" s="24" t="str">
        <f>IF(OR(E1850="",E1850="!!!",F1850="NEW"),"",INDEX(J$1:J1849,SUMPRODUCT(MAX(ROW(E$1:E1849)*(E1850=E$1:E1849)))))</f>
        <v/>
      </c>
      <c r="L1850" s="25"/>
    </row>
    <row r="1851" spans="1:12" x14ac:dyDescent="0.3">
      <c r="A1851" t="s">
        <v>1093</v>
      </c>
      <c r="E1851" s="20" t="str">
        <f t="shared" si="212"/>
        <v/>
      </c>
      <c r="F1851" s="21" t="str">
        <f>IF(OR(E1851="",E1851="!!!"),"",IF(NOT(ISNA(VLOOKUP(E1851,E$1:E1850,1,FALSE()))),"OLD",IF(AND(E1851&lt;&gt;"",E1851&lt;&gt;"!!!"),"NEW","")))</f>
        <v/>
      </c>
      <c r="G1851" s="22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3" t="str">
        <f t="shared" ca="1" si="213"/>
        <v/>
      </c>
      <c r="I1851" s="24" t="str">
        <f>IF(OR(E1851="",E1851="!!!",F1851="NEW"),"",INDEX(B$2:B1850,-1+SUMPRODUCT(MAX(ROW(E$2:E1850)*(E1851=E$2:E1850)))))</f>
        <v/>
      </c>
      <c r="J1851" s="24" t="str">
        <f ca="1">IF(OR(E1851="",E1851="!!!",F1851="NEW"),"",COUNTBLANK(OFFSET(A$1,,,SUMPRODUCT(MAX(ROW(E$2:E1851)*(E1851=E$2:E1851)))))-COUNTBLANK(OFFSET(A$1,,,SUMPRODUCT(MAX(ROW(E$1:E1850)*(E2=E$1:E1850))))))</f>
        <v/>
      </c>
      <c r="K1851" s="24" t="str">
        <f>IF(OR(E1851="",E1851="!!!",F1851="NEW"),"",INDEX(J$1:J1850,SUMPRODUCT(MAX(ROW(E$1:E1850)*(E1851=E$1:E1850)))))</f>
        <v/>
      </c>
      <c r="L1851" s="25"/>
    </row>
    <row r="1852" spans="1:12" x14ac:dyDescent="0.3">
      <c r="A1852" t="s">
        <v>614</v>
      </c>
      <c r="B1852" s="26" t="s">
        <v>362</v>
      </c>
      <c r="C1852" s="26" t="s">
        <v>331</v>
      </c>
      <c r="D1852" s="26" t="s">
        <v>332</v>
      </c>
      <c r="E1852" s="20" t="str">
        <f t="shared" si="212"/>
        <v>!!!</v>
      </c>
      <c r="F1852" s="21" t="str">
        <f>IF(OR(E1852="",E1852="!!!"),"",IF(NOT(ISNA(VLOOKUP(E1852,E$1:E1851,1,FALSE()))),"OLD",IF(AND(E1852&lt;&gt;"",E1852&lt;&gt;"!!!"),"NEW","")))</f>
        <v/>
      </c>
      <c r="G1852" s="22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3" t="str">
        <f t="shared" ca="1" si="213"/>
        <v/>
      </c>
      <c r="I1852" s="24" t="str">
        <f>IF(OR(E1852="",E1852="!!!",F1852="NEW"),"",INDEX(B$2:B1851,-1+SUMPRODUCT(MAX(ROW(E$2:E1851)*(E1852=E$2:E1851)))))</f>
        <v/>
      </c>
      <c r="J1852" s="24" t="str">
        <f ca="1">IF(OR(E1852="",E1852="!!!",F1852="NEW"),"",COUNTBLANK(OFFSET(A$1,,,SUMPRODUCT(MAX(ROW(E$2:E1852)*(E1852=E$2:E1852)))))-COUNTBLANK(OFFSET(A$1,,,SUMPRODUCT(MAX(ROW(E$1:E1851)*(E2=E$1:E1851))))))</f>
        <v/>
      </c>
      <c r="K1852" s="24" t="str">
        <f>IF(OR(E1852="",E1852="!!!",F1852="NEW"),"",INDEX(J$1:J1851,SUMPRODUCT(MAX(ROW(E$1:E1851)*(E1852=E$1:E1851)))))</f>
        <v/>
      </c>
      <c r="L1852" s="25"/>
    </row>
    <row r="1853" spans="1:12" x14ac:dyDescent="0.3">
      <c r="A1853" t="s">
        <v>385</v>
      </c>
      <c r="E1853" s="20" t="str">
        <f t="shared" si="212"/>
        <v/>
      </c>
      <c r="F1853" s="21" t="str">
        <f>IF(OR(E1853="",E1853="!!!"),"",IF(NOT(ISNA(VLOOKUP(E1853,E$1:E1852,1,FALSE()))),"OLD",IF(AND(E1853&lt;&gt;"",E1853&lt;&gt;"!!!"),"NEW","")))</f>
        <v/>
      </c>
      <c r="G1853" s="22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3" t="str">
        <f t="shared" ca="1" si="213"/>
        <v/>
      </c>
      <c r="I1853" s="24" t="str">
        <f>IF(OR(E1853="",E1853="!!!",F1853="NEW"),"",INDEX(B$2:B1852,-1+SUMPRODUCT(MAX(ROW(E$2:E1852)*(E1853=E$2:E1852)))))</f>
        <v/>
      </c>
      <c r="J1853" s="24" t="str">
        <f ca="1">IF(OR(E1853="",E1853="!!!",F1853="NEW"),"",COUNTBLANK(OFFSET(A$1,,,SUMPRODUCT(MAX(ROW(E$2:E1853)*(E1853=E$2:E1853)))))-COUNTBLANK(OFFSET(A$1,,,SUMPRODUCT(MAX(ROW(E$1:E1852)*(E2=E$1:E1852))))))</f>
        <v/>
      </c>
      <c r="K1853" s="24" t="str">
        <f>IF(OR(E1853="",E1853="!!!",F1853="NEW"),"",INDEX(J$1:J1852,SUMPRODUCT(MAX(ROW(E$1:E1852)*(E1853=E$1:E1852)))))</f>
        <v/>
      </c>
      <c r="L1853" s="25"/>
    </row>
    <row r="1854" spans="1:12" x14ac:dyDescent="0.3">
      <c r="A1854" t="s">
        <v>1090</v>
      </c>
      <c r="B1854" s="26" t="s">
        <v>515</v>
      </c>
      <c r="C1854" s="26" t="s">
        <v>355</v>
      </c>
      <c r="E1854" s="20" t="str">
        <f t="shared" si="212"/>
        <v/>
      </c>
      <c r="F1854" s="21" t="str">
        <f>IF(OR(E1854="",E1854="!!!"),"",IF(NOT(ISNA(VLOOKUP(E1854,E$1:E1853,1,FALSE()))),"OLD",IF(AND(E1854&lt;&gt;"",E1854&lt;&gt;"!!!"),"NEW","")))</f>
        <v/>
      </c>
      <c r="G1854" s="22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/>
      </c>
      <c r="H1854" s="23" t="str">
        <f t="shared" ca="1" si="213"/>
        <v/>
      </c>
      <c r="I1854" s="24" t="str">
        <f>IF(OR(E1854="",E1854="!!!",F1854="NEW"),"",INDEX(B$2:B1853,-1+SUMPRODUCT(MAX(ROW(E$2:E1853)*(E1854=E$2:E1853)))))</f>
        <v/>
      </c>
      <c r="J1854" s="24" t="str">
        <f ca="1">IF(OR(E1854="",E1854="!!!",F1854="NEW"),"",COUNTBLANK(OFFSET(A$1,,,SUMPRODUCT(MAX(ROW(E$2:E1854)*(E1854=E$2:E1854)))))-COUNTBLANK(OFFSET(A$1,,,SUMPRODUCT(MAX(ROW(E$1:E1853)*(E2=E$1:E1853))))))</f>
        <v/>
      </c>
      <c r="K1854" s="24" t="str">
        <f>IF(OR(E1854="",E1854="!!!",F1854="NEW"),"",INDEX(J$1:J1853,SUMPRODUCT(MAX(ROW(E$1:E1853)*(E1854=E$1:E1853)))))</f>
        <v/>
      </c>
      <c r="L1854" s="25"/>
    </row>
    <row r="1855" spans="1:12" x14ac:dyDescent="0.3">
      <c r="A1855" t="s">
        <v>359</v>
      </c>
      <c r="E1855" s="20" t="str">
        <f t="shared" si="212"/>
        <v/>
      </c>
      <c r="F1855" s="21" t="str">
        <f>IF(OR(E1855="",E1855="!!!"),"",IF(NOT(ISNA(VLOOKUP(E1855,E$1:E1854,1,FALSE()))),"OLD",IF(AND(E1855&lt;&gt;"",E1855&lt;&gt;"!!!"),"NEW","")))</f>
        <v/>
      </c>
      <c r="G1855" s="22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3" t="str">
        <f t="shared" ca="1" si="213"/>
        <v/>
      </c>
      <c r="I1855" s="24" t="str">
        <f>IF(OR(E1855="",E1855="!!!",F1855="NEW"),"",INDEX(B$2:B1854,-1+SUMPRODUCT(MAX(ROW(E$2:E1854)*(E1855=E$2:E1854)))))</f>
        <v/>
      </c>
      <c r="J1855" s="24" t="str">
        <f ca="1">IF(OR(E1855="",E1855="!!!",F1855="NEW"),"",COUNTBLANK(OFFSET(A$1,,,SUMPRODUCT(MAX(ROW(E$2:E1855)*(E1855=E$2:E1855)))))-COUNTBLANK(OFFSET(A$1,,,SUMPRODUCT(MAX(ROW(E$1:E1854)*(E2=E$1:E1854))))))</f>
        <v/>
      </c>
      <c r="K1855" s="24" t="str">
        <f>IF(OR(E1855="",E1855="!!!",F1855="NEW"),"",INDEX(J$1:J1854,SUMPRODUCT(MAX(ROW(E$1:E1854)*(E1855=E$1:E1854)))))</f>
        <v/>
      </c>
      <c r="L1855" s="25"/>
    </row>
    <row r="1856" spans="1:12" x14ac:dyDescent="0.3">
      <c r="A1856" t="s">
        <v>1094</v>
      </c>
      <c r="E1856" s="20" t="str">
        <f t="shared" si="212"/>
        <v/>
      </c>
      <c r="F1856" s="21" t="str">
        <f>IF(OR(E1856="",E1856="!!!"),"",IF(NOT(ISNA(VLOOKUP(E1856,E$1:E1855,1,FALSE()))),"OLD",IF(AND(E1856&lt;&gt;"",E1856&lt;&gt;"!!!"),"NEW","")))</f>
        <v/>
      </c>
      <c r="G1856" s="22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3" t="str">
        <f t="shared" ca="1" si="213"/>
        <v/>
      </c>
      <c r="I1856" s="24" t="str">
        <f>IF(OR(E1856="",E1856="!!!",F1856="NEW"),"",INDEX(B$2:B1855,-1+SUMPRODUCT(MAX(ROW(E$2:E1855)*(E1856=E$2:E1855)))))</f>
        <v/>
      </c>
      <c r="J1856" s="24" t="str">
        <f ca="1">IF(OR(E1856="",E1856="!!!",F1856="NEW"),"",COUNTBLANK(OFFSET(A$1,,,SUMPRODUCT(MAX(ROW(E$2:E1856)*(E1856=E$2:E1856)))))-COUNTBLANK(OFFSET(A$1,,,SUMPRODUCT(MAX(ROW(E$1:E1855)*(E2=E$1:E1855))))))</f>
        <v/>
      </c>
      <c r="K1856" s="24" t="str">
        <f>IF(OR(E1856="",E1856="!!!",F1856="NEW"),"",INDEX(J$1:J1855,SUMPRODUCT(MAX(ROW(E$1:E1855)*(E1856=E$1:E1855)))))</f>
        <v/>
      </c>
      <c r="L1856" s="25"/>
    </row>
    <row r="1857" spans="1:12" x14ac:dyDescent="0.3">
      <c r="A1857" t="s">
        <v>1095</v>
      </c>
      <c r="B1857" s="26" t="s">
        <v>515</v>
      </c>
      <c r="C1857" s="26" t="s">
        <v>331</v>
      </c>
      <c r="D1857" s="26" t="s">
        <v>332</v>
      </c>
      <c r="E1857" s="20" t="str">
        <f t="shared" si="212"/>
        <v>!!!</v>
      </c>
      <c r="F1857" s="21" t="str">
        <f>IF(OR(E1857="",E1857="!!!"),"",IF(NOT(ISNA(VLOOKUP(E1857,E$1:E1856,1,FALSE()))),"OLD",IF(AND(E1857&lt;&gt;"",E1857&lt;&gt;"!!!"),"NEW","")))</f>
        <v/>
      </c>
      <c r="G1857" s="22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/>
      </c>
      <c r="H1857" s="23" t="str">
        <f t="shared" ca="1" si="213"/>
        <v/>
      </c>
      <c r="I1857" s="24" t="str">
        <f>IF(OR(E1857="",E1857="!!!",F1857="NEW"),"",INDEX(B$2:B1856,-1+SUMPRODUCT(MAX(ROW(E$2:E1856)*(E1857=E$2:E1856)))))</f>
        <v/>
      </c>
      <c r="J1857" s="24" t="str">
        <f ca="1">IF(OR(E1857="",E1857="!!!",F1857="NEW"),"",COUNTBLANK(OFFSET(A$1,,,SUMPRODUCT(MAX(ROW(E$2:E1857)*(E1857=E$2:E1857)))))-COUNTBLANK(OFFSET(A$1,,,SUMPRODUCT(MAX(ROW(E$1:E1856)*(E2=E$1:E1856))))))</f>
        <v/>
      </c>
      <c r="K1857" s="24" t="str">
        <f>IF(OR(E1857="",E1857="!!!",F1857="NEW"),"",INDEX(J$1:J1856,SUMPRODUCT(MAX(ROW(E$1:E1856)*(E1857=E$1:E1856)))))</f>
        <v/>
      </c>
      <c r="L1857" s="25"/>
    </row>
    <row r="1858" spans="1:12" x14ac:dyDescent="0.3">
      <c r="A1858" t="s">
        <v>338</v>
      </c>
      <c r="E1858" s="20" t="str">
        <f t="shared" si="212"/>
        <v/>
      </c>
      <c r="F1858" s="21" t="str">
        <f>IF(OR(E1858="",E1858="!!!"),"",IF(NOT(ISNA(VLOOKUP(E1858,E$1:E1857,1,FALSE()))),"OLD",IF(AND(E1858&lt;&gt;"",E1858&lt;&gt;"!!!"),"NEW","")))</f>
        <v/>
      </c>
      <c r="G1858" s="22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/>
      </c>
      <c r="H1858" s="23" t="str">
        <f t="shared" ca="1" si="213"/>
        <v/>
      </c>
      <c r="I1858" s="24" t="str">
        <f>IF(OR(E1858="",E1858="!!!",F1858="NEW"),"",INDEX(B$2:B1857,-1+SUMPRODUCT(MAX(ROW(E$2:E1857)*(E1858=E$2:E1857)))))</f>
        <v/>
      </c>
      <c r="J1858" s="24" t="str">
        <f ca="1">IF(OR(E1858="",E1858="!!!",F1858="NEW"),"",COUNTBLANK(OFFSET(A$1,,,SUMPRODUCT(MAX(ROW(E$2:E1858)*(E1858=E$2:E1858)))))-COUNTBLANK(OFFSET(A$1,,,SUMPRODUCT(MAX(ROW(E$1:E1857)*(E2=E$1:E1857))))))</f>
        <v/>
      </c>
      <c r="K1858" s="24" t="str">
        <f>IF(OR(E1858="",E1858="!!!",F1858="NEW"),"",INDEX(J$1:J1857,SUMPRODUCT(MAX(ROW(E$1:E1857)*(E1858=E$1:E1857)))))</f>
        <v/>
      </c>
      <c r="L1858" s="25"/>
    </row>
    <row r="1859" spans="1:12" x14ac:dyDescent="0.3">
      <c r="A1859" t="s">
        <v>575</v>
      </c>
      <c r="E1859" s="20" t="str">
        <f t="shared" si="212"/>
        <v/>
      </c>
      <c r="F1859" s="21" t="str">
        <f>IF(OR(E1859="",E1859="!!!"),"",IF(NOT(ISNA(VLOOKUP(E1859,E$1:E1858,1,FALSE()))),"OLD",IF(AND(E1859&lt;&gt;"",E1859&lt;&gt;"!!!"),"NEW","")))</f>
        <v/>
      </c>
      <c r="G1859" s="22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/>
      </c>
      <c r="H1859" s="23" t="str">
        <f t="shared" ca="1" si="213"/>
        <v/>
      </c>
      <c r="I1859" s="24" t="str">
        <f>IF(OR(E1859="",E1859="!!!",F1859="NEW"),"",INDEX(B$2:B1858,-1+SUMPRODUCT(MAX(ROW(E$2:E1858)*(E1859=E$2:E1858)))))</f>
        <v/>
      </c>
      <c r="J1859" s="24" t="str">
        <f ca="1">IF(OR(E1859="",E1859="!!!",F1859="NEW"),"",COUNTBLANK(OFFSET(A$1,,,SUMPRODUCT(MAX(ROW(E$2:E1859)*(E1859=E$2:E1859)))))-COUNTBLANK(OFFSET(A$1,,,SUMPRODUCT(MAX(ROW(E$1:E1858)*(E2=E$1:E1858))))))</f>
        <v/>
      </c>
      <c r="K1859" s="24" t="str">
        <f>IF(OR(E1859="",E1859="!!!",F1859="NEW"),"",INDEX(J$1:J1858,SUMPRODUCT(MAX(ROW(E$1:E1858)*(E1859=E$1:E1858)))))</f>
        <v/>
      </c>
      <c r="L1859" s="25"/>
    </row>
    <row r="1861" spans="1:12" x14ac:dyDescent="0.3">
      <c r="A1861" t="s">
        <v>1096</v>
      </c>
    </row>
    <row r="1862" spans="1:12" x14ac:dyDescent="0.3">
      <c r="A1862" t="s">
        <v>1097</v>
      </c>
      <c r="E1862" s="20" t="str">
        <f t="shared" ref="E1862:E1903" si="214">IF(D1862="?OLD","!!!","")</f>
        <v/>
      </c>
      <c r="F1862" s="21" t="str">
        <f>IF(OR(E1862="",E1862="!!!"),"",IF(NOT(ISNA(VLOOKUP(E1862,E$1:E1861,1,FALSE()))),"OLD",IF(AND(E1862&lt;&gt;"",E1862&lt;&gt;"!!!"),"NEW","")))</f>
        <v/>
      </c>
      <c r="G1862" s="22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/>
      </c>
      <c r="H1862" s="23" t="str">
        <f t="shared" ref="H1862:H1903" ca="1" si="215">IF(J1862&lt;&gt;1,"",IF(I1862="SBJ","CB","?"))</f>
        <v/>
      </c>
      <c r="I1862" s="24" t="str">
        <f>IF(OR(E1862="",E1862="!!!",F1862="NEW"),"",INDEX(B$2:B1861,-1+SUMPRODUCT(MAX(ROW(E$2:E1861)*(E1862=E$2:E1861)))))</f>
        <v/>
      </c>
      <c r="J1862" s="24" t="str">
        <f ca="1">IF(OR(E1862="",E1862="!!!",F1862="NEW"),"",COUNTBLANK(OFFSET(A$1,,,SUMPRODUCT(MAX(ROW(E$2:E1862)*(E1862=E$2:E1862)))))-COUNTBLANK(OFFSET(A$1,,,SUMPRODUCT(MAX(ROW(E$1:E1861)*(E2=E$1:E1861))))))</f>
        <v/>
      </c>
      <c r="K1862" s="24" t="str">
        <f>IF(OR(E1862="",E1862="!!!",F1862="NEW"),"",INDEX(J$1:J1861,SUMPRODUCT(MAX(ROW(E$1:E1861)*(E1862=E$1:E1861)))))</f>
        <v/>
      </c>
      <c r="L1862" s="25"/>
    </row>
    <row r="1863" spans="1:12" x14ac:dyDescent="0.3">
      <c r="A1863" t="s">
        <v>454</v>
      </c>
      <c r="E1863" s="20" t="str">
        <f t="shared" si="214"/>
        <v/>
      </c>
      <c r="F1863" s="21" t="str">
        <f>IF(OR(E1863="",E1863="!!!"),"",IF(NOT(ISNA(VLOOKUP(E1863,E$1:E1862,1,FALSE()))),"OLD",IF(AND(E1863&lt;&gt;"",E1863&lt;&gt;"!!!"),"NEW","")))</f>
        <v/>
      </c>
      <c r="G1863" s="22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/>
      </c>
      <c r="H1863" s="23" t="str">
        <f t="shared" ca="1" si="215"/>
        <v/>
      </c>
      <c r="I1863" s="24" t="str">
        <f>IF(OR(E1863="",E1863="!!!",F1863="NEW"),"",INDEX(B$2:B1862,-1+SUMPRODUCT(MAX(ROW(E$2:E1862)*(E1863=E$2:E1862)))))</f>
        <v/>
      </c>
      <c r="J1863" s="24" t="str">
        <f ca="1">IF(OR(E1863="",E1863="!!!",F1863="NEW"),"",COUNTBLANK(OFFSET(A$1,,,SUMPRODUCT(MAX(ROW(E$2:E1863)*(E1863=E$2:E1863)))))-COUNTBLANK(OFFSET(A$1,,,SUMPRODUCT(MAX(ROW(E$1:E1862)*(E2=E$1:E1862))))))</f>
        <v/>
      </c>
      <c r="K1863" s="24" t="str">
        <f>IF(OR(E1863="",E1863="!!!",F1863="NEW"),"",INDEX(J$1:J1862,SUMPRODUCT(MAX(ROW(E$1:E1862)*(E1863=E$1:E1862)))))</f>
        <v/>
      </c>
      <c r="L1863" s="25"/>
    </row>
    <row r="1864" spans="1:12" x14ac:dyDescent="0.3">
      <c r="A1864" t="s">
        <v>371</v>
      </c>
      <c r="E1864" s="20" t="str">
        <f t="shared" si="214"/>
        <v/>
      </c>
      <c r="F1864" s="21" t="str">
        <f>IF(OR(E1864="",E1864="!!!"),"",IF(NOT(ISNA(VLOOKUP(E1864,E$1:E1863,1,FALSE()))),"OLD",IF(AND(E1864&lt;&gt;"",E1864&lt;&gt;"!!!"),"NEW","")))</f>
        <v/>
      </c>
      <c r="G1864" s="22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/>
      </c>
      <c r="H1864" s="23" t="str">
        <f t="shared" ca="1" si="215"/>
        <v/>
      </c>
      <c r="I1864" s="24" t="str">
        <f>IF(OR(E1864="",E1864="!!!",F1864="NEW"),"",INDEX(B$2:B1863,-1+SUMPRODUCT(MAX(ROW(E$2:E1863)*(E1864=E$2:E1863)))))</f>
        <v/>
      </c>
      <c r="J1864" s="24" t="str">
        <f ca="1">IF(OR(E1864="",E1864="!!!",F1864="NEW"),"",COUNTBLANK(OFFSET(A$1,,,SUMPRODUCT(MAX(ROW(E$2:E1864)*(E1864=E$2:E1864)))))-COUNTBLANK(OFFSET(A$1,,,SUMPRODUCT(MAX(ROW(E$1:E1863)*(E2=E$1:E1863))))))</f>
        <v/>
      </c>
      <c r="K1864" s="24" t="str">
        <f>IF(OR(E1864="",E1864="!!!",F1864="NEW"),"",INDEX(J$1:J1863,SUMPRODUCT(MAX(ROW(E$1:E1863)*(E1864=E$1:E1863)))))</f>
        <v/>
      </c>
      <c r="L1864" s="25"/>
    </row>
    <row r="1865" spans="1:12" x14ac:dyDescent="0.3">
      <c r="A1865" t="s">
        <v>542</v>
      </c>
      <c r="E1865" s="20" t="str">
        <f t="shared" si="214"/>
        <v/>
      </c>
      <c r="F1865" s="21" t="str">
        <f>IF(OR(E1865="",E1865="!!!"),"",IF(NOT(ISNA(VLOOKUP(E1865,E$1:E1864,1,FALSE()))),"OLD",IF(AND(E1865&lt;&gt;"",E1865&lt;&gt;"!!!"),"NEW","")))</f>
        <v/>
      </c>
      <c r="G1865" s="22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/>
      </c>
      <c r="H1865" s="23" t="str">
        <f t="shared" ca="1" si="215"/>
        <v/>
      </c>
      <c r="I1865" s="24" t="str">
        <f>IF(OR(E1865="",E1865="!!!",F1865="NEW"),"",INDEX(B$2:B1864,-1+SUMPRODUCT(MAX(ROW(E$2:E1864)*(E1865=E$2:E1864)))))</f>
        <v/>
      </c>
      <c r="J1865" s="24" t="str">
        <f ca="1">IF(OR(E1865="",E1865="!!!",F1865="NEW"),"",COUNTBLANK(OFFSET(A$1,,,SUMPRODUCT(MAX(ROW(E$2:E1865)*(E1865=E$2:E1865)))))-COUNTBLANK(OFFSET(A$1,,,SUMPRODUCT(MAX(ROW(E$1:E1864)*(E2=E$1:E1864))))))</f>
        <v/>
      </c>
      <c r="K1865" s="24" t="str">
        <f>IF(OR(E1865="",E1865="!!!",F1865="NEW"),"",INDEX(J$1:J1864,SUMPRODUCT(MAX(ROW(E$1:E1864)*(E1865=E$1:E1864)))))</f>
        <v/>
      </c>
      <c r="L1865" s="25"/>
    </row>
    <row r="1866" spans="1:12" x14ac:dyDescent="0.3">
      <c r="A1866" t="s">
        <v>1098</v>
      </c>
      <c r="B1866" s="26" t="s">
        <v>344</v>
      </c>
      <c r="C1866" s="26" t="s">
        <v>544</v>
      </c>
      <c r="E1866" s="20" t="str">
        <f t="shared" si="214"/>
        <v/>
      </c>
      <c r="F1866" s="21" t="str">
        <f>IF(OR(E1866="",E1866="!!!"),"",IF(NOT(ISNA(VLOOKUP(E1866,E$1:E1865,1,FALSE()))),"OLD",IF(AND(E1866&lt;&gt;"",E1866&lt;&gt;"!!!"),"NEW","")))</f>
        <v/>
      </c>
      <c r="G1866" s="22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/>
      </c>
      <c r="H1866" s="23" t="str">
        <f t="shared" ca="1" si="215"/>
        <v/>
      </c>
      <c r="I1866" s="24" t="str">
        <f>IF(OR(E1866="",E1866="!!!",F1866="NEW"),"",INDEX(B$2:B1865,-1+SUMPRODUCT(MAX(ROW(E$2:E1865)*(E1866=E$2:E1865)))))</f>
        <v/>
      </c>
      <c r="J1866" s="24" t="str">
        <f ca="1">IF(OR(E1866="",E1866="!!!",F1866="NEW"),"",COUNTBLANK(OFFSET(A$1,,,SUMPRODUCT(MAX(ROW(E$2:E1866)*(E1866=E$2:E1866)))))-COUNTBLANK(OFFSET(A$1,,,SUMPRODUCT(MAX(ROW(E$1:E1865)*(E2=E$1:E1865))))))</f>
        <v/>
      </c>
      <c r="K1866" s="24" t="str">
        <f>IF(OR(E1866="",E1866="!!!",F1866="NEW"),"",INDEX(J$1:J1865,SUMPRODUCT(MAX(ROW(E$1:E1865)*(E1866=E$1:E1865)))))</f>
        <v/>
      </c>
      <c r="L1866" s="25"/>
    </row>
    <row r="1867" spans="1:12" x14ac:dyDescent="0.3">
      <c r="A1867" t="s">
        <v>351</v>
      </c>
      <c r="E1867" s="20" t="str">
        <f t="shared" si="214"/>
        <v/>
      </c>
      <c r="F1867" s="21" t="str">
        <f>IF(OR(E1867="",E1867="!!!"),"",IF(NOT(ISNA(VLOOKUP(E1867,E$1:E1866,1,FALSE()))),"OLD",IF(AND(E1867&lt;&gt;"",E1867&lt;&gt;"!!!"),"NEW","")))</f>
        <v/>
      </c>
      <c r="G1867" s="22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/>
      </c>
      <c r="H1867" s="23" t="str">
        <f t="shared" ca="1" si="215"/>
        <v/>
      </c>
      <c r="I1867" s="24" t="str">
        <f>IF(OR(E1867="",E1867="!!!",F1867="NEW"),"",INDEX(B$2:B1866,-1+SUMPRODUCT(MAX(ROW(E$2:E1866)*(E1867=E$2:E1866)))))</f>
        <v/>
      </c>
      <c r="J1867" s="24" t="str">
        <f ca="1">IF(OR(E1867="",E1867="!!!",F1867="NEW"),"",COUNTBLANK(OFFSET(A$1,,,SUMPRODUCT(MAX(ROW(E$2:E1867)*(E1867=E$2:E1867)))))-COUNTBLANK(OFFSET(A$1,,,SUMPRODUCT(MAX(ROW(E$1:E1866)*(E2=E$1:E1866))))))</f>
        <v/>
      </c>
      <c r="K1867" s="24" t="str">
        <f>IF(OR(E1867="",E1867="!!!",F1867="NEW"),"",INDEX(J$1:J1866,SUMPRODUCT(MAX(ROW(E$1:E1866)*(E1867=E$1:E1866)))))</f>
        <v/>
      </c>
      <c r="L1867" s="25"/>
    </row>
    <row r="1868" spans="1:12" x14ac:dyDescent="0.3">
      <c r="A1868" t="s">
        <v>487</v>
      </c>
      <c r="E1868" s="20" t="str">
        <f t="shared" si="214"/>
        <v/>
      </c>
      <c r="F1868" s="21" t="str">
        <f>IF(OR(E1868="",E1868="!!!"),"",IF(NOT(ISNA(VLOOKUP(E1868,E$1:E1867,1,FALSE()))),"OLD",IF(AND(E1868&lt;&gt;"",E1868&lt;&gt;"!!!"),"NEW","")))</f>
        <v/>
      </c>
      <c r="G1868" s="22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/>
      </c>
      <c r="H1868" s="23" t="str">
        <f t="shared" ca="1" si="215"/>
        <v/>
      </c>
      <c r="I1868" s="24" t="str">
        <f>IF(OR(E1868="",E1868="!!!",F1868="NEW"),"",INDEX(B$2:B1867,-1+SUMPRODUCT(MAX(ROW(E$2:E1867)*(E1868=E$2:E1867)))))</f>
        <v/>
      </c>
      <c r="J1868" s="24" t="str">
        <f ca="1">IF(OR(E1868="",E1868="!!!",F1868="NEW"),"",COUNTBLANK(OFFSET(A$1,,,SUMPRODUCT(MAX(ROW(E$2:E1868)*(E1868=E$2:E1868)))))-COUNTBLANK(OFFSET(A$1,,,SUMPRODUCT(MAX(ROW(E$1:E1867)*(E2=E$1:E1867))))))</f>
        <v/>
      </c>
      <c r="K1868" s="24" t="str">
        <f>IF(OR(E1868="",E1868="!!!",F1868="NEW"),"",INDEX(J$1:J1867,SUMPRODUCT(MAX(ROW(E$1:E1867)*(E1868=E$1:E1867)))))</f>
        <v/>
      </c>
      <c r="L1868" s="25"/>
    </row>
    <row r="1869" spans="1:12" x14ac:dyDescent="0.3">
      <c r="A1869" t="s">
        <v>792</v>
      </c>
      <c r="E1869" s="20" t="str">
        <f t="shared" si="214"/>
        <v/>
      </c>
      <c r="F1869" s="21" t="str">
        <f>IF(OR(E1869="",E1869="!!!"),"",IF(NOT(ISNA(VLOOKUP(E1869,E$1:E1868,1,FALSE()))),"OLD",IF(AND(E1869&lt;&gt;"",E1869&lt;&gt;"!!!"),"NEW","")))</f>
        <v/>
      </c>
      <c r="G1869" s="22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/>
      </c>
      <c r="H1869" s="23" t="str">
        <f t="shared" ca="1" si="215"/>
        <v/>
      </c>
      <c r="I1869" s="24" t="str">
        <f>IF(OR(E1869="",E1869="!!!",F1869="NEW"),"",INDEX(B$2:B1868,-1+SUMPRODUCT(MAX(ROW(E$2:E1868)*(E1869=E$2:E1868)))))</f>
        <v/>
      </c>
      <c r="J1869" s="24" t="str">
        <f ca="1">IF(OR(E1869="",E1869="!!!",F1869="NEW"),"",COUNTBLANK(OFFSET(A$1,,,SUMPRODUCT(MAX(ROW(E$2:E1869)*(E1869=E$2:E1869)))))-COUNTBLANK(OFFSET(A$1,,,SUMPRODUCT(MAX(ROW(E$1:E1868)*(E2=E$1:E1868))))))</f>
        <v/>
      </c>
      <c r="K1869" s="24" t="str">
        <f>IF(OR(E1869="",E1869="!!!",F1869="NEW"),"",INDEX(J$1:J1868,SUMPRODUCT(MAX(ROW(E$1:E1868)*(E1869=E$1:E1868)))))</f>
        <v/>
      </c>
      <c r="L1869" s="25"/>
    </row>
    <row r="1870" spans="1:12" x14ac:dyDescent="0.3">
      <c r="A1870" t="s">
        <v>1099</v>
      </c>
      <c r="B1870" s="26" t="s">
        <v>354</v>
      </c>
      <c r="C1870" s="26" t="s">
        <v>394</v>
      </c>
      <c r="D1870" s="26" t="s">
        <v>332</v>
      </c>
      <c r="E1870" s="20" t="str">
        <f t="shared" si="214"/>
        <v>!!!</v>
      </c>
      <c r="F1870" s="21" t="str">
        <f>IF(OR(E1870="",E1870="!!!"),"",IF(NOT(ISNA(VLOOKUP(E1870,E$1:E1869,1,FALSE()))),"OLD",IF(AND(E1870&lt;&gt;"",E1870&lt;&gt;"!!!"),"NEW","")))</f>
        <v/>
      </c>
      <c r="G1870" s="22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/>
      </c>
      <c r="H1870" s="23" t="str">
        <f t="shared" ca="1" si="215"/>
        <v/>
      </c>
      <c r="I1870" s="24" t="str">
        <f>IF(OR(E1870="",E1870="!!!",F1870="NEW"),"",INDEX(B$2:B1869,-1+SUMPRODUCT(MAX(ROW(E$2:E1869)*(E1870=E$2:E1869)))))</f>
        <v/>
      </c>
      <c r="J1870" s="24" t="str">
        <f ca="1">IF(OR(E1870="",E1870="!!!",F1870="NEW"),"",COUNTBLANK(OFFSET(A$1,,,SUMPRODUCT(MAX(ROW(E$2:E1870)*(E1870=E$2:E1870)))))-COUNTBLANK(OFFSET(A$1,,,SUMPRODUCT(MAX(ROW(E$1:E1869)*(E2=E$1:E1869))))))</f>
        <v/>
      </c>
      <c r="K1870" s="24" t="str">
        <f>IF(OR(E1870="",E1870="!!!",F1870="NEW"),"",INDEX(J$1:J1869,SUMPRODUCT(MAX(ROW(E$1:E1869)*(E1870=E$1:E1869)))))</f>
        <v/>
      </c>
      <c r="L1870" s="25"/>
    </row>
    <row r="1871" spans="1:12" x14ac:dyDescent="0.3">
      <c r="A1871" t="s">
        <v>489</v>
      </c>
      <c r="B1871" s="26" t="s">
        <v>354</v>
      </c>
      <c r="C1871" s="26" t="s">
        <v>358</v>
      </c>
      <c r="E1871" s="20" t="str">
        <f t="shared" si="214"/>
        <v/>
      </c>
      <c r="F1871" s="21" t="str">
        <f>IF(OR(E1871="",E1871="!!!"),"",IF(NOT(ISNA(VLOOKUP(E1871,E$1:E1870,1,FALSE()))),"OLD",IF(AND(E1871&lt;&gt;"",E1871&lt;&gt;"!!!"),"NEW","")))</f>
        <v/>
      </c>
      <c r="G1871" s="22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/>
      </c>
      <c r="H1871" s="23" t="str">
        <f t="shared" ca="1" si="215"/>
        <v/>
      </c>
      <c r="I1871" s="24" t="str">
        <f>IF(OR(E1871="",E1871="!!!",F1871="NEW"),"",INDEX(B$2:B1870,-1+SUMPRODUCT(MAX(ROW(E$2:E1870)*(E1871=E$2:E1870)))))</f>
        <v/>
      </c>
      <c r="J1871" s="24" t="str">
        <f ca="1">IF(OR(E1871="",E1871="!!!",F1871="NEW"),"",COUNTBLANK(OFFSET(A$1,,,SUMPRODUCT(MAX(ROW(E$2:E1871)*(E1871=E$2:E1871)))))-COUNTBLANK(OFFSET(A$1,,,SUMPRODUCT(MAX(ROW(E$1:E1870)*(E2=E$1:E1870))))))</f>
        <v/>
      </c>
      <c r="K1871" s="24" t="str">
        <f>IF(OR(E1871="",E1871="!!!",F1871="NEW"),"",INDEX(J$1:J1870,SUMPRODUCT(MAX(ROW(E$1:E1870)*(E1871=E$1:E1870)))))</f>
        <v/>
      </c>
      <c r="L1871" s="25"/>
    </row>
    <row r="1872" spans="1:12" x14ac:dyDescent="0.3">
      <c r="A1872" t="s">
        <v>414</v>
      </c>
      <c r="E1872" s="20" t="str">
        <f t="shared" si="214"/>
        <v/>
      </c>
      <c r="F1872" s="21" t="str">
        <f>IF(OR(E1872="",E1872="!!!"),"",IF(NOT(ISNA(VLOOKUP(E1872,E$1:E1871,1,FALSE()))),"OLD",IF(AND(E1872&lt;&gt;"",E1872&lt;&gt;"!!!"),"NEW","")))</f>
        <v/>
      </c>
      <c r="G1872" s="22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/>
      </c>
      <c r="H1872" s="23" t="str">
        <f t="shared" ca="1" si="215"/>
        <v/>
      </c>
      <c r="I1872" s="24" t="str">
        <f>IF(OR(E1872="",E1872="!!!",F1872="NEW"),"",INDEX(B$2:B1871,-1+SUMPRODUCT(MAX(ROW(E$2:E1871)*(E1872=E$2:E1871)))))</f>
        <v/>
      </c>
      <c r="J1872" s="24" t="str">
        <f ca="1">IF(OR(E1872="",E1872="!!!",F1872="NEW"),"",COUNTBLANK(OFFSET(A$1,,,SUMPRODUCT(MAX(ROW(E$2:E1872)*(E1872=E$2:E1872)))))-COUNTBLANK(OFFSET(A$1,,,SUMPRODUCT(MAX(ROW(E$1:E1871)*(E2=E$1:E1871))))))</f>
        <v/>
      </c>
      <c r="K1872" s="24" t="str">
        <f>IF(OR(E1872="",E1872="!!!",F1872="NEW"),"",INDEX(J$1:J1871,SUMPRODUCT(MAX(ROW(E$1:E1871)*(E1872=E$1:E1871)))))</f>
        <v/>
      </c>
      <c r="L1872" s="25"/>
    </row>
    <row r="1873" spans="1:12" x14ac:dyDescent="0.3">
      <c r="A1873" t="s">
        <v>1100</v>
      </c>
      <c r="E1873" s="20" t="str">
        <f t="shared" si="214"/>
        <v/>
      </c>
      <c r="F1873" s="21" t="str">
        <f>IF(OR(E1873="",E1873="!!!"),"",IF(NOT(ISNA(VLOOKUP(E1873,E$1:E1872,1,FALSE()))),"OLD",IF(AND(E1873&lt;&gt;"",E1873&lt;&gt;"!!!"),"NEW","")))</f>
        <v/>
      </c>
      <c r="G1873" s="22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/>
      </c>
      <c r="H1873" s="23" t="str">
        <f t="shared" ca="1" si="215"/>
        <v/>
      </c>
      <c r="I1873" s="24" t="str">
        <f>IF(OR(E1873="",E1873="!!!",F1873="NEW"),"",INDEX(B$2:B1872,-1+SUMPRODUCT(MAX(ROW(E$2:E1872)*(E1873=E$2:E1872)))))</f>
        <v/>
      </c>
      <c r="J1873" s="24" t="str">
        <f ca="1">IF(OR(E1873="",E1873="!!!",F1873="NEW"),"",COUNTBLANK(OFFSET(A$1,,,SUMPRODUCT(MAX(ROW(E$2:E1873)*(E1873=E$2:E1873)))))-COUNTBLANK(OFFSET(A$1,,,SUMPRODUCT(MAX(ROW(E$1:E1872)*(E2=E$1:E1872))))))</f>
        <v/>
      </c>
      <c r="K1873" s="24" t="str">
        <f>IF(OR(E1873="",E1873="!!!",F1873="NEW"),"",INDEX(J$1:J1872,SUMPRODUCT(MAX(ROW(E$1:E1872)*(E1873=E$1:E1872)))))</f>
        <v/>
      </c>
      <c r="L1873" s="25"/>
    </row>
    <row r="1874" spans="1:12" x14ac:dyDescent="0.3">
      <c r="A1874" t="s">
        <v>1101</v>
      </c>
      <c r="E1874" s="20" t="str">
        <f t="shared" si="214"/>
        <v/>
      </c>
      <c r="F1874" s="21" t="str">
        <f>IF(OR(E1874="",E1874="!!!"),"",IF(NOT(ISNA(VLOOKUP(E1874,E$1:E1873,1,FALSE()))),"OLD",IF(AND(E1874&lt;&gt;"",E1874&lt;&gt;"!!!"),"NEW","")))</f>
        <v/>
      </c>
      <c r="G1874" s="22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/>
      </c>
      <c r="H1874" s="23" t="str">
        <f t="shared" ca="1" si="215"/>
        <v/>
      </c>
      <c r="I1874" s="24" t="str">
        <f>IF(OR(E1874="",E1874="!!!",F1874="NEW"),"",INDEX(B$2:B1873,-1+SUMPRODUCT(MAX(ROW(E$2:E1873)*(E1874=E$2:E1873)))))</f>
        <v/>
      </c>
      <c r="J1874" s="24" t="str">
        <f ca="1">IF(OR(E1874="",E1874="!!!",F1874="NEW"),"",COUNTBLANK(OFFSET(A$1,,,SUMPRODUCT(MAX(ROW(E$2:E1874)*(E1874=E$2:E1874)))))-COUNTBLANK(OFFSET(A$1,,,SUMPRODUCT(MAX(ROW(E$1:E1873)*(E2=E$1:E1873))))))</f>
        <v/>
      </c>
      <c r="K1874" s="24" t="str">
        <f>IF(OR(E1874="",E1874="!!!",F1874="NEW"),"",INDEX(J$1:J1873,SUMPRODUCT(MAX(ROW(E$1:E1873)*(E1874=E$1:E1873)))))</f>
        <v/>
      </c>
      <c r="L1874" s="25"/>
    </row>
    <row r="1875" spans="1:12" x14ac:dyDescent="0.3">
      <c r="A1875" t="s">
        <v>1102</v>
      </c>
      <c r="B1875" s="26" t="s">
        <v>378</v>
      </c>
      <c r="C1875" s="26" t="s">
        <v>355</v>
      </c>
      <c r="E1875" s="20" t="str">
        <f t="shared" si="214"/>
        <v/>
      </c>
      <c r="F1875" s="21" t="str">
        <f>IF(OR(E1875="",E1875="!!!"),"",IF(NOT(ISNA(VLOOKUP(E1875,E$1:E1874,1,FALSE()))),"OLD",IF(AND(E1875&lt;&gt;"",E1875&lt;&gt;"!!!"),"NEW","")))</f>
        <v/>
      </c>
      <c r="G1875" s="22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/>
      </c>
      <c r="H1875" s="23" t="str">
        <f t="shared" ca="1" si="215"/>
        <v/>
      </c>
      <c r="I1875" s="24" t="str">
        <f>IF(OR(E1875="",E1875="!!!",F1875="NEW"),"",INDEX(B$2:B1874,-1+SUMPRODUCT(MAX(ROW(E$2:E1874)*(E1875=E$2:E1874)))))</f>
        <v/>
      </c>
      <c r="J1875" s="24" t="str">
        <f ca="1">IF(OR(E1875="",E1875="!!!",F1875="NEW"),"",COUNTBLANK(OFFSET(A$1,,,SUMPRODUCT(MAX(ROW(E$2:E1875)*(E1875=E$2:E1875)))))-COUNTBLANK(OFFSET(A$1,,,SUMPRODUCT(MAX(ROW(E$1:E1874)*(E2=E$1:E1874))))))</f>
        <v/>
      </c>
      <c r="K1875" s="24" t="str">
        <f>IF(OR(E1875="",E1875="!!!",F1875="NEW"),"",INDEX(J$1:J1874,SUMPRODUCT(MAX(ROW(E$1:E1874)*(E1875=E$1:E1874)))))</f>
        <v/>
      </c>
      <c r="L1875" s="25"/>
    </row>
    <row r="1876" spans="1:12" x14ac:dyDescent="0.3">
      <c r="A1876" t="s">
        <v>1103</v>
      </c>
      <c r="E1876" s="20" t="str">
        <f t="shared" si="214"/>
        <v/>
      </c>
      <c r="F1876" s="21" t="str">
        <f>IF(OR(E1876="",E1876="!!!"),"",IF(NOT(ISNA(VLOOKUP(E1876,E$1:E1875,1,FALSE()))),"OLD",IF(AND(E1876&lt;&gt;"",E1876&lt;&gt;"!!!"),"NEW","")))</f>
        <v/>
      </c>
      <c r="G1876" s="22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/>
      </c>
      <c r="H1876" s="23" t="str">
        <f t="shared" ca="1" si="215"/>
        <v/>
      </c>
      <c r="I1876" s="24" t="str">
        <f>IF(OR(E1876="",E1876="!!!",F1876="NEW"),"",INDEX(B$2:B1875,-1+SUMPRODUCT(MAX(ROW(E$2:E1875)*(E1876=E$2:E1875)))))</f>
        <v/>
      </c>
      <c r="J1876" s="24" t="str">
        <f ca="1">IF(OR(E1876="",E1876="!!!",F1876="NEW"),"",COUNTBLANK(OFFSET(A$1,,,SUMPRODUCT(MAX(ROW(E$2:E1876)*(E1876=E$2:E1876)))))-COUNTBLANK(OFFSET(A$1,,,SUMPRODUCT(MAX(ROW(E$1:E1875)*(E2=E$1:E1875))))))</f>
        <v/>
      </c>
      <c r="K1876" s="24" t="str">
        <f>IF(OR(E1876="",E1876="!!!",F1876="NEW"),"",INDEX(J$1:J1875,SUMPRODUCT(MAX(ROW(E$1:E1875)*(E1876=E$1:E1875)))))</f>
        <v/>
      </c>
      <c r="L1876" s="25"/>
    </row>
    <row r="1877" spans="1:12" x14ac:dyDescent="0.3">
      <c r="A1877" t="s">
        <v>351</v>
      </c>
      <c r="E1877" s="20" t="str">
        <f t="shared" si="214"/>
        <v/>
      </c>
      <c r="F1877" s="21" t="str">
        <f>IF(OR(E1877="",E1877="!!!"),"",IF(NOT(ISNA(VLOOKUP(E1877,E$1:E1876,1,FALSE()))),"OLD",IF(AND(E1877&lt;&gt;"",E1877&lt;&gt;"!!!"),"NEW","")))</f>
        <v/>
      </c>
      <c r="G1877" s="22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/>
      </c>
      <c r="H1877" s="23" t="str">
        <f t="shared" ca="1" si="215"/>
        <v/>
      </c>
      <c r="I1877" s="24" t="str">
        <f>IF(OR(E1877="",E1877="!!!",F1877="NEW"),"",INDEX(B$2:B1876,-1+SUMPRODUCT(MAX(ROW(E$2:E1876)*(E1877=E$2:E1876)))))</f>
        <v/>
      </c>
      <c r="J1877" s="24" t="str">
        <f ca="1">IF(OR(E1877="",E1877="!!!",F1877="NEW"),"",COUNTBLANK(OFFSET(A$1,,,SUMPRODUCT(MAX(ROW(E$2:E1877)*(E1877=E$2:E1877)))))-COUNTBLANK(OFFSET(A$1,,,SUMPRODUCT(MAX(ROW(E$1:E1876)*(E2=E$1:E1876))))))</f>
        <v/>
      </c>
      <c r="K1877" s="24" t="str">
        <f>IF(OR(E1877="",E1877="!!!",F1877="NEW"),"",INDEX(J$1:J1876,SUMPRODUCT(MAX(ROW(E$1:E1876)*(E1877=E$1:E1876)))))</f>
        <v/>
      </c>
      <c r="L1877" s="25"/>
    </row>
    <row r="1878" spans="1:12" x14ac:dyDescent="0.3">
      <c r="A1878" t="s">
        <v>333</v>
      </c>
      <c r="E1878" s="20" t="str">
        <f t="shared" si="214"/>
        <v/>
      </c>
      <c r="F1878" s="21" t="str">
        <f>IF(OR(E1878="",E1878="!!!"),"",IF(NOT(ISNA(VLOOKUP(E1878,E$1:E1877,1,FALSE()))),"OLD",IF(AND(E1878&lt;&gt;"",E1878&lt;&gt;"!!!"),"NEW","")))</f>
        <v/>
      </c>
      <c r="G1878" s="22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/>
      </c>
      <c r="H1878" s="23" t="str">
        <f t="shared" ca="1" si="215"/>
        <v/>
      </c>
      <c r="I1878" s="24" t="str">
        <f>IF(OR(E1878="",E1878="!!!",F1878="NEW"),"",INDEX(B$2:B1877,-1+SUMPRODUCT(MAX(ROW(E$2:E1877)*(E1878=E$2:E1877)))))</f>
        <v/>
      </c>
      <c r="J1878" s="24" t="str">
        <f ca="1">IF(OR(E1878="",E1878="!!!",F1878="NEW"),"",COUNTBLANK(OFFSET(A$1,,,SUMPRODUCT(MAX(ROW(E$2:E1878)*(E1878=E$2:E1878)))))-COUNTBLANK(OFFSET(A$1,,,SUMPRODUCT(MAX(ROW(E$1:E1877)*(E2=E$1:E1877))))))</f>
        <v/>
      </c>
      <c r="K1878" s="24" t="str">
        <f>IF(OR(E1878="",E1878="!!!",F1878="NEW"),"",INDEX(J$1:J1877,SUMPRODUCT(MAX(ROW(E$1:E1877)*(E1878=E$1:E1877)))))</f>
        <v/>
      </c>
      <c r="L1878" s="25"/>
    </row>
    <row r="1879" spans="1:12" x14ac:dyDescent="0.3">
      <c r="A1879" t="s">
        <v>380</v>
      </c>
      <c r="E1879" s="20" t="str">
        <f t="shared" si="214"/>
        <v/>
      </c>
      <c r="F1879" s="21" t="str">
        <f>IF(OR(E1879="",E1879="!!!"),"",IF(NOT(ISNA(VLOOKUP(E1879,E$1:E1878,1,FALSE()))),"OLD",IF(AND(E1879&lt;&gt;"",E1879&lt;&gt;"!!!"),"NEW","")))</f>
        <v/>
      </c>
      <c r="G1879" s="22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/>
      </c>
      <c r="H1879" s="23" t="str">
        <f t="shared" ca="1" si="215"/>
        <v/>
      </c>
      <c r="I1879" s="24" t="str">
        <f>IF(OR(E1879="",E1879="!!!",F1879="NEW"),"",INDEX(B$2:B1878,-1+SUMPRODUCT(MAX(ROW(E$2:E1878)*(E1879=E$2:E1878)))))</f>
        <v/>
      </c>
      <c r="J1879" s="24" t="str">
        <f ca="1">IF(OR(E1879="",E1879="!!!",F1879="NEW"),"",COUNTBLANK(OFFSET(A$1,,,SUMPRODUCT(MAX(ROW(E$2:E1879)*(E1879=E$2:E1879)))))-COUNTBLANK(OFFSET(A$1,,,SUMPRODUCT(MAX(ROW(E$1:E1878)*(E2=E$1:E1878))))))</f>
        <v/>
      </c>
      <c r="K1879" s="24" t="str">
        <f>IF(OR(E1879="",E1879="!!!",F1879="NEW"),"",INDEX(J$1:J1878,SUMPRODUCT(MAX(ROW(E$1:E1878)*(E1879=E$1:E1878)))))</f>
        <v/>
      </c>
      <c r="L1879" s="25"/>
    </row>
    <row r="1880" spans="1:12" x14ac:dyDescent="0.3">
      <c r="A1880" t="s">
        <v>1104</v>
      </c>
      <c r="B1880" s="26" t="s">
        <v>330</v>
      </c>
      <c r="C1880" s="26" t="s">
        <v>331</v>
      </c>
      <c r="D1880" s="26" t="s">
        <v>332</v>
      </c>
      <c r="E1880" s="20" t="str">
        <f t="shared" si="214"/>
        <v>!!!</v>
      </c>
      <c r="F1880" s="21" t="str">
        <f>IF(OR(E1880="",E1880="!!!"),"",IF(NOT(ISNA(VLOOKUP(E1880,E$1:E1879,1,FALSE()))),"OLD",IF(AND(E1880&lt;&gt;"",E1880&lt;&gt;"!!!"),"NEW","")))</f>
        <v/>
      </c>
      <c r="G1880" s="22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/>
      </c>
      <c r="H1880" s="23" t="str">
        <f t="shared" ca="1" si="215"/>
        <v/>
      </c>
      <c r="I1880" s="24" t="str">
        <f>IF(OR(E1880="",E1880="!!!",F1880="NEW"),"",INDEX(B$2:B1879,-1+SUMPRODUCT(MAX(ROW(E$2:E1879)*(E1880=E$2:E1879)))))</f>
        <v/>
      </c>
      <c r="J1880" s="24" t="str">
        <f ca="1">IF(OR(E1880="",E1880="!!!",F1880="NEW"),"",COUNTBLANK(OFFSET(A$1,,,SUMPRODUCT(MAX(ROW(E$2:E1880)*(E1880=E$2:E1880)))))-COUNTBLANK(OFFSET(A$1,,,SUMPRODUCT(MAX(ROW(E$1:E1879)*(E2=E$1:E1879))))))</f>
        <v/>
      </c>
      <c r="K1880" s="24" t="str">
        <f>IF(OR(E1880="",E1880="!!!",F1880="NEW"),"",INDEX(J$1:J1879,SUMPRODUCT(MAX(ROW(E$1:E1879)*(E1880=E$1:E1879)))))</f>
        <v/>
      </c>
      <c r="L1880" s="25"/>
    </row>
    <row r="1881" spans="1:12" x14ac:dyDescent="0.3">
      <c r="A1881" t="s">
        <v>351</v>
      </c>
      <c r="E1881" s="20" t="str">
        <f t="shared" si="214"/>
        <v/>
      </c>
      <c r="F1881" s="21" t="str">
        <f>IF(OR(E1881="",E1881="!!!"),"",IF(NOT(ISNA(VLOOKUP(E1881,E$1:E1880,1,FALSE()))),"OLD",IF(AND(E1881&lt;&gt;"",E1881&lt;&gt;"!!!"),"NEW","")))</f>
        <v/>
      </c>
      <c r="G1881" s="22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/>
      </c>
      <c r="H1881" s="23" t="str">
        <f t="shared" ca="1" si="215"/>
        <v/>
      </c>
      <c r="I1881" s="24" t="str">
        <f>IF(OR(E1881="",E1881="!!!",F1881="NEW"),"",INDEX(B$2:B1880,-1+SUMPRODUCT(MAX(ROW(E$2:E1880)*(E1881=E$2:E1880)))))</f>
        <v/>
      </c>
      <c r="J1881" s="24" t="str">
        <f ca="1">IF(OR(E1881="",E1881="!!!",F1881="NEW"),"",COUNTBLANK(OFFSET(A$1,,,SUMPRODUCT(MAX(ROW(E$2:E1881)*(E1881=E$2:E1881)))))-COUNTBLANK(OFFSET(A$1,,,SUMPRODUCT(MAX(ROW(E$1:E1880)*(E2=E$1:E1880))))))</f>
        <v/>
      </c>
      <c r="K1881" s="24" t="str">
        <f>IF(OR(E1881="",E1881="!!!",F1881="NEW"),"",INDEX(J$1:J1880,SUMPRODUCT(MAX(ROW(E$1:E1880)*(E1881=E$1:E1880)))))</f>
        <v/>
      </c>
      <c r="L1881" s="25"/>
    </row>
    <row r="1882" spans="1:12" x14ac:dyDescent="0.3">
      <c r="A1882" t="s">
        <v>352</v>
      </c>
      <c r="E1882" s="20" t="str">
        <f t="shared" si="214"/>
        <v/>
      </c>
      <c r="F1882" s="21" t="str">
        <f>IF(OR(E1882="",E1882="!!!"),"",IF(NOT(ISNA(VLOOKUP(E1882,E$1:E1881,1,FALSE()))),"OLD",IF(AND(E1882&lt;&gt;"",E1882&lt;&gt;"!!!"),"NEW","")))</f>
        <v/>
      </c>
      <c r="G1882" s="22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/>
      </c>
      <c r="H1882" s="23" t="str">
        <f t="shared" ca="1" si="215"/>
        <v/>
      </c>
      <c r="I1882" s="24" t="str">
        <f>IF(OR(E1882="",E1882="!!!",F1882="NEW"),"",INDEX(B$2:B1881,-1+SUMPRODUCT(MAX(ROW(E$2:E1881)*(E1882=E$2:E1881)))))</f>
        <v/>
      </c>
      <c r="J1882" s="24" t="str">
        <f ca="1">IF(OR(E1882="",E1882="!!!",F1882="NEW"),"",COUNTBLANK(OFFSET(A$1,,,SUMPRODUCT(MAX(ROW(E$2:E1882)*(E1882=E$2:E1882)))))-COUNTBLANK(OFFSET(A$1,,,SUMPRODUCT(MAX(ROW(E$1:E1881)*(E2=E$1:E1881))))))</f>
        <v/>
      </c>
      <c r="K1882" s="24" t="str">
        <f>IF(OR(E1882="",E1882="!!!",F1882="NEW"),"",INDEX(J$1:J1881,SUMPRODUCT(MAX(ROW(E$1:E1881)*(E1882=E$1:E1881)))))</f>
        <v/>
      </c>
      <c r="L1882" s="25"/>
    </row>
    <row r="1883" spans="1:12" x14ac:dyDescent="0.3">
      <c r="A1883" t="s">
        <v>371</v>
      </c>
      <c r="B1883" s="26" t="s">
        <v>450</v>
      </c>
      <c r="C1883" s="26" t="s">
        <v>341</v>
      </c>
      <c r="D1883" s="26" t="s">
        <v>332</v>
      </c>
      <c r="E1883" s="20" t="str">
        <f t="shared" si="214"/>
        <v>!!!</v>
      </c>
      <c r="F1883" s="21" t="str">
        <f>IF(OR(E1883="",E1883="!!!"),"",IF(NOT(ISNA(VLOOKUP(E1883,E$1:E1882,1,FALSE()))),"OLD",IF(AND(E1883&lt;&gt;"",E1883&lt;&gt;"!!!"),"NEW","")))</f>
        <v/>
      </c>
      <c r="G1883" s="22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/>
      </c>
      <c r="H1883" s="23" t="str">
        <f t="shared" ca="1" si="215"/>
        <v/>
      </c>
      <c r="I1883" s="24" t="str">
        <f>IF(OR(E1883="",E1883="!!!",F1883="NEW"),"",INDEX(B$2:B1882,-1+SUMPRODUCT(MAX(ROW(E$2:E1882)*(E1883=E$2:E1882)))))</f>
        <v/>
      </c>
      <c r="J1883" s="24" t="str">
        <f ca="1">IF(OR(E1883="",E1883="!!!",F1883="NEW"),"",COUNTBLANK(OFFSET(A$1,,,SUMPRODUCT(MAX(ROW(E$2:E1883)*(E1883=E$2:E1883)))))-COUNTBLANK(OFFSET(A$1,,,SUMPRODUCT(MAX(ROW(E$1:E1882)*(E2=E$1:E1882))))))</f>
        <v/>
      </c>
      <c r="K1883" s="24" t="str">
        <f>IF(OR(E1883="",E1883="!!!",F1883="NEW"),"",INDEX(J$1:J1882,SUMPRODUCT(MAX(ROW(E$1:E1882)*(E1883=E$1:E1882)))))</f>
        <v/>
      </c>
      <c r="L1883" s="25"/>
    </row>
    <row r="1884" spans="1:12" x14ac:dyDescent="0.3">
      <c r="A1884" t="s">
        <v>363</v>
      </c>
      <c r="E1884" s="20" t="str">
        <f t="shared" si="214"/>
        <v/>
      </c>
      <c r="F1884" s="21" t="str">
        <f>IF(OR(E1884="",E1884="!!!"),"",IF(NOT(ISNA(VLOOKUP(E1884,E$1:E1883,1,FALSE()))),"OLD",IF(AND(E1884&lt;&gt;"",E1884&lt;&gt;"!!!"),"NEW","")))</f>
        <v/>
      </c>
      <c r="G1884" s="22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/>
      </c>
      <c r="H1884" s="23" t="str">
        <f t="shared" ca="1" si="215"/>
        <v/>
      </c>
      <c r="I1884" s="24" t="str">
        <f>IF(OR(E1884="",E1884="!!!",F1884="NEW"),"",INDEX(B$2:B1883,-1+SUMPRODUCT(MAX(ROW(E$2:E1883)*(E1884=E$2:E1883)))))</f>
        <v/>
      </c>
      <c r="J1884" s="24" t="str">
        <f ca="1">IF(OR(E1884="",E1884="!!!",F1884="NEW"),"",COUNTBLANK(OFFSET(A$1,,,SUMPRODUCT(MAX(ROW(E$2:E1884)*(E1884=E$2:E1884)))))-COUNTBLANK(OFFSET(A$1,,,SUMPRODUCT(MAX(ROW(E$1:E1883)*(E2=E$1:E1883))))))</f>
        <v/>
      </c>
      <c r="K1884" s="24" t="str">
        <f>IF(OR(E1884="",E1884="!!!",F1884="NEW"),"",INDEX(J$1:J1883,SUMPRODUCT(MAX(ROW(E$1:E1883)*(E1884=E$1:E1883)))))</f>
        <v/>
      </c>
      <c r="L1884" s="25"/>
    </row>
    <row r="1885" spans="1:12" x14ac:dyDescent="0.3">
      <c r="A1885" t="s">
        <v>1105</v>
      </c>
      <c r="E1885" s="20" t="str">
        <f t="shared" si="214"/>
        <v/>
      </c>
      <c r="F1885" s="21" t="str">
        <f>IF(OR(E1885="",E1885="!!!"),"",IF(NOT(ISNA(VLOOKUP(E1885,E$1:E1884,1,FALSE()))),"OLD",IF(AND(E1885&lt;&gt;"",E1885&lt;&gt;"!!!"),"NEW","")))</f>
        <v/>
      </c>
      <c r="G1885" s="22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/>
      </c>
      <c r="H1885" s="23" t="str">
        <f t="shared" ca="1" si="215"/>
        <v/>
      </c>
      <c r="I1885" s="24" t="str">
        <f>IF(OR(E1885="",E1885="!!!",F1885="NEW"),"",INDEX(B$2:B1884,-1+SUMPRODUCT(MAX(ROW(E$2:E1884)*(E1885=E$2:E1884)))))</f>
        <v/>
      </c>
      <c r="J1885" s="24" t="str">
        <f ca="1">IF(OR(E1885="",E1885="!!!",F1885="NEW"),"",COUNTBLANK(OFFSET(A$1,,,SUMPRODUCT(MAX(ROW(E$2:E1885)*(E1885=E$2:E1885)))))-COUNTBLANK(OFFSET(A$1,,,SUMPRODUCT(MAX(ROW(E$1:E1884)*(E2=E$1:E1884))))))</f>
        <v/>
      </c>
      <c r="K1885" s="24" t="str">
        <f>IF(OR(E1885="",E1885="!!!",F1885="NEW"),"",INDEX(J$1:J1884,SUMPRODUCT(MAX(ROW(E$1:E1884)*(E1885=E$1:E1884)))))</f>
        <v/>
      </c>
      <c r="L1885" s="25"/>
    </row>
    <row r="1886" spans="1:12" x14ac:dyDescent="0.3">
      <c r="A1886" t="s">
        <v>1106</v>
      </c>
      <c r="E1886" s="20" t="str">
        <f t="shared" si="214"/>
        <v/>
      </c>
      <c r="F1886" s="21" t="str">
        <f>IF(OR(E1886="",E1886="!!!"),"",IF(NOT(ISNA(VLOOKUP(E1886,E$1:E1885,1,FALSE()))),"OLD",IF(AND(E1886&lt;&gt;"",E1886&lt;&gt;"!!!"),"NEW","")))</f>
        <v/>
      </c>
      <c r="G1886" s="22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/>
      </c>
      <c r="H1886" s="23" t="str">
        <f t="shared" ca="1" si="215"/>
        <v/>
      </c>
      <c r="I1886" s="24" t="str">
        <f>IF(OR(E1886="",E1886="!!!",F1886="NEW"),"",INDEX(B$2:B1885,-1+SUMPRODUCT(MAX(ROW(E$2:E1885)*(E1886=E$2:E1885)))))</f>
        <v/>
      </c>
      <c r="J1886" s="24" t="str">
        <f ca="1">IF(OR(E1886="",E1886="!!!",F1886="NEW"),"",COUNTBLANK(OFFSET(A$1,,,SUMPRODUCT(MAX(ROW(E$2:E1886)*(E1886=E$2:E1886)))))-COUNTBLANK(OFFSET(A$1,,,SUMPRODUCT(MAX(ROW(E$1:E1885)*(E2=E$1:E1885))))))</f>
        <v/>
      </c>
      <c r="K1886" s="24" t="str">
        <f>IF(OR(E1886="",E1886="!!!",F1886="NEW"),"",INDEX(J$1:J1885,SUMPRODUCT(MAX(ROW(E$1:E1885)*(E1886=E$1:E1885)))))</f>
        <v/>
      </c>
      <c r="L1886" s="25"/>
    </row>
    <row r="1887" spans="1:12" x14ac:dyDescent="0.3">
      <c r="A1887" t="s">
        <v>333</v>
      </c>
      <c r="E1887" s="20" t="str">
        <f t="shared" si="214"/>
        <v/>
      </c>
      <c r="F1887" s="21" t="str">
        <f>IF(OR(E1887="",E1887="!!!"),"",IF(NOT(ISNA(VLOOKUP(E1887,E$1:E1886,1,FALSE()))),"OLD",IF(AND(E1887&lt;&gt;"",E1887&lt;&gt;"!!!"),"NEW","")))</f>
        <v/>
      </c>
      <c r="G1887" s="22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/>
      </c>
      <c r="H1887" s="23" t="str">
        <f t="shared" ca="1" si="215"/>
        <v/>
      </c>
      <c r="I1887" s="24" t="str">
        <f>IF(OR(E1887="",E1887="!!!",F1887="NEW"),"",INDEX(B$2:B1886,-1+SUMPRODUCT(MAX(ROW(E$2:E1886)*(E1887=E$2:E1886)))))</f>
        <v/>
      </c>
      <c r="J1887" s="24" t="str">
        <f ca="1">IF(OR(E1887="",E1887="!!!",F1887="NEW"),"",COUNTBLANK(OFFSET(A$1,,,SUMPRODUCT(MAX(ROW(E$2:E1887)*(E1887=E$2:E1887)))))-COUNTBLANK(OFFSET(A$1,,,SUMPRODUCT(MAX(ROW(E$1:E1886)*(E2=E$1:E1886))))))</f>
        <v/>
      </c>
      <c r="K1887" s="24" t="str">
        <f>IF(OR(E1887="",E1887="!!!",F1887="NEW"),"",INDEX(J$1:J1886,SUMPRODUCT(MAX(ROW(E$1:E1886)*(E1887=E$1:E1886)))))</f>
        <v/>
      </c>
      <c r="L1887" s="25"/>
    </row>
    <row r="1888" spans="1:12" x14ac:dyDescent="0.3">
      <c r="A1888" t="s">
        <v>351</v>
      </c>
      <c r="E1888" s="20" t="str">
        <f t="shared" si="214"/>
        <v/>
      </c>
      <c r="F1888" s="21" t="str">
        <f>IF(OR(E1888="",E1888="!!!"),"",IF(NOT(ISNA(VLOOKUP(E1888,E$1:E1887,1,FALSE()))),"OLD",IF(AND(E1888&lt;&gt;"",E1888&lt;&gt;"!!!"),"NEW","")))</f>
        <v/>
      </c>
      <c r="G1888" s="22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/>
      </c>
      <c r="H1888" s="23" t="str">
        <f t="shared" ca="1" si="215"/>
        <v/>
      </c>
      <c r="I1888" s="24" t="str">
        <f>IF(OR(E1888="",E1888="!!!",F1888="NEW"),"",INDEX(B$2:B1887,-1+SUMPRODUCT(MAX(ROW(E$2:E1887)*(E1888=E$2:E1887)))))</f>
        <v/>
      </c>
      <c r="J1888" s="24" t="str">
        <f ca="1">IF(OR(E1888="",E1888="!!!",F1888="NEW"),"",COUNTBLANK(OFFSET(A$1,,,SUMPRODUCT(MAX(ROW(E$2:E1888)*(E1888=E$2:E1888)))))-COUNTBLANK(OFFSET(A$1,,,SUMPRODUCT(MAX(ROW(E$1:E1887)*(E2=E$1:E1887))))))</f>
        <v/>
      </c>
      <c r="K1888" s="24" t="str">
        <f>IF(OR(E1888="",E1888="!!!",F1888="NEW"),"",INDEX(J$1:J1887,SUMPRODUCT(MAX(ROW(E$1:E1887)*(E1888=E$1:E1887)))))</f>
        <v/>
      </c>
      <c r="L1888" s="25"/>
    </row>
    <row r="1889" spans="1:12" x14ac:dyDescent="0.3">
      <c r="A1889" t="s">
        <v>1107</v>
      </c>
      <c r="E1889" s="20" t="str">
        <f t="shared" si="214"/>
        <v/>
      </c>
      <c r="F1889" s="21" t="str">
        <f>IF(OR(E1889="",E1889="!!!"),"",IF(NOT(ISNA(VLOOKUP(E1889,E$1:E1888,1,FALSE()))),"OLD",IF(AND(E1889&lt;&gt;"",E1889&lt;&gt;"!!!"),"NEW","")))</f>
        <v/>
      </c>
      <c r="G1889" s="22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/>
      </c>
      <c r="H1889" s="23" t="str">
        <f t="shared" ca="1" si="215"/>
        <v/>
      </c>
      <c r="I1889" s="24" t="str">
        <f>IF(OR(E1889="",E1889="!!!",F1889="NEW"),"",INDEX(B$2:B1888,-1+SUMPRODUCT(MAX(ROW(E$2:E1888)*(E1889=E$2:E1888)))))</f>
        <v/>
      </c>
      <c r="J1889" s="24" t="str">
        <f ca="1">IF(OR(E1889="",E1889="!!!",F1889="NEW"),"",COUNTBLANK(OFFSET(A$1,,,SUMPRODUCT(MAX(ROW(E$2:E1889)*(E1889=E$2:E1889)))))-COUNTBLANK(OFFSET(A$1,,,SUMPRODUCT(MAX(ROW(E$1:E1888)*(E2=E$1:E1888))))))</f>
        <v/>
      </c>
      <c r="K1889" s="24" t="str">
        <f>IF(OR(E1889="",E1889="!!!",F1889="NEW"),"",INDEX(J$1:J1888,SUMPRODUCT(MAX(ROW(E$1:E1888)*(E1889=E$1:E1888)))))</f>
        <v/>
      </c>
      <c r="L1889" s="25"/>
    </row>
    <row r="1890" spans="1:12" x14ac:dyDescent="0.3">
      <c r="A1890" t="s">
        <v>430</v>
      </c>
      <c r="E1890" s="20" t="str">
        <f t="shared" si="214"/>
        <v/>
      </c>
      <c r="F1890" s="21" t="str">
        <f>IF(OR(E1890="",E1890="!!!"),"",IF(NOT(ISNA(VLOOKUP(E1890,E$1:E1889,1,FALSE()))),"OLD",IF(AND(E1890&lt;&gt;"",E1890&lt;&gt;"!!!"),"NEW","")))</f>
        <v/>
      </c>
      <c r="G1890" s="22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/>
      </c>
      <c r="H1890" s="23" t="str">
        <f t="shared" ca="1" si="215"/>
        <v/>
      </c>
      <c r="I1890" s="24" t="str">
        <f>IF(OR(E1890="",E1890="!!!",F1890="NEW"),"",INDEX(B$2:B1889,-1+SUMPRODUCT(MAX(ROW(E$2:E1889)*(E1890=E$2:E1889)))))</f>
        <v/>
      </c>
      <c r="J1890" s="24" t="str">
        <f ca="1">IF(OR(E1890="",E1890="!!!",F1890="NEW"),"",COUNTBLANK(OFFSET(A$1,,,SUMPRODUCT(MAX(ROW(E$2:E1890)*(E1890=E$2:E1890)))))-COUNTBLANK(OFFSET(A$1,,,SUMPRODUCT(MAX(ROW(E$1:E1889)*(E2=E$1:E1889))))))</f>
        <v/>
      </c>
      <c r="K1890" s="24" t="str">
        <f>IF(OR(E1890="",E1890="!!!",F1890="NEW"),"",INDEX(J$1:J1889,SUMPRODUCT(MAX(ROW(E$1:E1889)*(E1890=E$1:E1889)))))</f>
        <v/>
      </c>
      <c r="L1890" s="25"/>
    </row>
    <row r="1891" spans="1:12" x14ac:dyDescent="0.3">
      <c r="A1891" t="s">
        <v>380</v>
      </c>
      <c r="E1891" s="20" t="str">
        <f t="shared" si="214"/>
        <v/>
      </c>
      <c r="F1891" s="21" t="str">
        <f>IF(OR(E1891="",E1891="!!!"),"",IF(NOT(ISNA(VLOOKUP(E1891,E$1:E1890,1,FALSE()))),"OLD",IF(AND(E1891&lt;&gt;"",E1891&lt;&gt;"!!!"),"NEW","")))</f>
        <v/>
      </c>
      <c r="G1891" s="22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/>
      </c>
      <c r="H1891" s="23" t="str">
        <f t="shared" ca="1" si="215"/>
        <v/>
      </c>
      <c r="I1891" s="24" t="str">
        <f>IF(OR(E1891="",E1891="!!!",F1891="NEW"),"",INDEX(B$2:B1890,-1+SUMPRODUCT(MAX(ROW(E$2:E1890)*(E1891=E$2:E1890)))))</f>
        <v/>
      </c>
      <c r="J1891" s="24" t="str">
        <f ca="1">IF(OR(E1891="",E1891="!!!",F1891="NEW"),"",COUNTBLANK(OFFSET(A$1,,,SUMPRODUCT(MAX(ROW(E$2:E1891)*(E1891=E$2:E1891)))))-COUNTBLANK(OFFSET(A$1,,,SUMPRODUCT(MAX(ROW(E$1:E1890)*(E2=E$1:E1890))))))</f>
        <v/>
      </c>
      <c r="K1891" s="24" t="str">
        <f>IF(OR(E1891="",E1891="!!!",F1891="NEW"),"",INDEX(J$1:J1890,SUMPRODUCT(MAX(ROW(E$1:E1890)*(E1891=E$1:E1890)))))</f>
        <v/>
      </c>
      <c r="L1891" s="25"/>
    </row>
    <row r="1892" spans="1:12" x14ac:dyDescent="0.3">
      <c r="A1892" t="s">
        <v>1108</v>
      </c>
      <c r="B1892" s="26" t="s">
        <v>362</v>
      </c>
      <c r="C1892" s="26" t="s">
        <v>331</v>
      </c>
      <c r="D1892" s="26" t="s">
        <v>332</v>
      </c>
      <c r="E1892" s="20" t="str">
        <f t="shared" si="214"/>
        <v>!!!</v>
      </c>
      <c r="F1892" s="21" t="str">
        <f>IF(OR(E1892="",E1892="!!!"),"",IF(NOT(ISNA(VLOOKUP(E1892,E$1:E1891,1,FALSE()))),"OLD",IF(AND(E1892&lt;&gt;"",E1892&lt;&gt;"!!!"),"NEW","")))</f>
        <v/>
      </c>
      <c r="G1892" s="22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/>
      </c>
      <c r="H1892" s="23" t="str">
        <f t="shared" ca="1" si="215"/>
        <v/>
      </c>
      <c r="I1892" s="24" t="str">
        <f>IF(OR(E1892="",E1892="!!!",F1892="NEW"),"",INDEX(B$2:B1891,-1+SUMPRODUCT(MAX(ROW(E$2:E1891)*(E1892=E$2:E1891)))))</f>
        <v/>
      </c>
      <c r="J1892" s="24" t="str">
        <f ca="1">IF(OR(E1892="",E1892="!!!",F1892="NEW"),"",COUNTBLANK(OFFSET(A$1,,,SUMPRODUCT(MAX(ROW(E$2:E1892)*(E1892=E$2:E1892)))))-COUNTBLANK(OFFSET(A$1,,,SUMPRODUCT(MAX(ROW(E$1:E1891)*(E2=E$1:E1891))))))</f>
        <v/>
      </c>
      <c r="K1892" s="24" t="str">
        <f>IF(OR(E1892="",E1892="!!!",F1892="NEW"),"",INDEX(J$1:J1891,SUMPRODUCT(MAX(ROW(E$1:E1891)*(E1892=E$1:E1891)))))</f>
        <v/>
      </c>
      <c r="L1892" s="25"/>
    </row>
    <row r="1893" spans="1:12" x14ac:dyDescent="0.3">
      <c r="A1893" t="s">
        <v>351</v>
      </c>
      <c r="E1893" s="20" t="str">
        <f t="shared" si="214"/>
        <v/>
      </c>
      <c r="F1893" s="21" t="str">
        <f>IF(OR(E1893="",E1893="!!!"),"",IF(NOT(ISNA(VLOOKUP(E1893,E$1:E1892,1,FALSE()))),"OLD",IF(AND(E1893&lt;&gt;"",E1893&lt;&gt;"!!!"),"NEW","")))</f>
        <v/>
      </c>
      <c r="G1893" s="22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/>
      </c>
      <c r="H1893" s="23" t="str">
        <f t="shared" ca="1" si="215"/>
        <v/>
      </c>
      <c r="I1893" s="24" t="str">
        <f>IF(OR(E1893="",E1893="!!!",F1893="NEW"),"",INDEX(B$2:B1892,-1+SUMPRODUCT(MAX(ROW(E$2:E1892)*(E1893=E$2:E1892)))))</f>
        <v/>
      </c>
      <c r="J1893" s="24" t="str">
        <f ca="1">IF(OR(E1893="",E1893="!!!",F1893="NEW"),"",COUNTBLANK(OFFSET(A$1,,,SUMPRODUCT(MAX(ROW(E$2:E1893)*(E1893=E$2:E1893)))))-COUNTBLANK(OFFSET(A$1,,,SUMPRODUCT(MAX(ROW(E$1:E1892)*(E2=E$1:E1892))))))</f>
        <v/>
      </c>
      <c r="K1893" s="24" t="str">
        <f>IF(OR(E1893="",E1893="!!!",F1893="NEW"),"",INDEX(J$1:J1892,SUMPRODUCT(MAX(ROW(E$1:E1892)*(E1893=E$1:E1892)))))</f>
        <v/>
      </c>
      <c r="L1893" s="25"/>
    </row>
    <row r="1894" spans="1:12" x14ac:dyDescent="0.3">
      <c r="A1894" t="s">
        <v>352</v>
      </c>
      <c r="E1894" s="20" t="str">
        <f t="shared" si="214"/>
        <v/>
      </c>
      <c r="F1894" s="21" t="str">
        <f>IF(OR(E1894="",E1894="!!!"),"",IF(NOT(ISNA(VLOOKUP(E1894,E$1:E1893,1,FALSE()))),"OLD",IF(AND(E1894&lt;&gt;"",E1894&lt;&gt;"!!!"),"NEW","")))</f>
        <v/>
      </c>
      <c r="G1894" s="22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/>
      </c>
      <c r="H1894" s="23" t="str">
        <f t="shared" ca="1" si="215"/>
        <v/>
      </c>
      <c r="I1894" s="24" t="str">
        <f>IF(OR(E1894="",E1894="!!!",F1894="NEW"),"",INDEX(B$2:B1893,-1+SUMPRODUCT(MAX(ROW(E$2:E1893)*(E1894=E$2:E1893)))))</f>
        <v/>
      </c>
      <c r="J1894" s="24" t="str">
        <f ca="1">IF(OR(E1894="",E1894="!!!",F1894="NEW"),"",COUNTBLANK(OFFSET(A$1,,,SUMPRODUCT(MAX(ROW(E$2:E1894)*(E1894=E$2:E1894)))))-COUNTBLANK(OFFSET(A$1,,,SUMPRODUCT(MAX(ROW(E$1:E1893)*(E2=E$1:E1893))))))</f>
        <v/>
      </c>
      <c r="K1894" s="24" t="str">
        <f>IF(OR(E1894="",E1894="!!!",F1894="NEW"),"",INDEX(J$1:J1893,SUMPRODUCT(MAX(ROW(E$1:E1893)*(E1894=E$1:E1893)))))</f>
        <v/>
      </c>
      <c r="L1894" s="25"/>
    </row>
    <row r="1895" spans="1:12" x14ac:dyDescent="0.3">
      <c r="A1895" t="s">
        <v>1109</v>
      </c>
      <c r="B1895" s="26" t="s">
        <v>456</v>
      </c>
      <c r="C1895" s="26" t="s">
        <v>379</v>
      </c>
      <c r="D1895" s="26" t="s">
        <v>332</v>
      </c>
      <c r="E1895" s="20" t="str">
        <f t="shared" si="214"/>
        <v>!!!</v>
      </c>
      <c r="F1895" s="21" t="str">
        <f>IF(OR(E1895="",E1895="!!!"),"",IF(NOT(ISNA(VLOOKUP(E1895,E$1:E1894,1,FALSE()))),"OLD",IF(AND(E1895&lt;&gt;"",E1895&lt;&gt;"!!!"),"NEW","")))</f>
        <v/>
      </c>
      <c r="G1895" s="22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/>
      </c>
      <c r="H1895" s="23" t="str">
        <f t="shared" ca="1" si="215"/>
        <v/>
      </c>
      <c r="I1895" s="24" t="str">
        <f>IF(OR(E1895="",E1895="!!!",F1895="NEW"),"",INDEX(B$2:B1894,-1+SUMPRODUCT(MAX(ROW(E$2:E1894)*(E1895=E$2:E1894)))))</f>
        <v/>
      </c>
      <c r="J1895" s="24" t="str">
        <f ca="1">IF(OR(E1895="",E1895="!!!",F1895="NEW"),"",COUNTBLANK(OFFSET(A$1,,,SUMPRODUCT(MAX(ROW(E$2:E1895)*(E1895=E$2:E1895)))))-COUNTBLANK(OFFSET(A$1,,,SUMPRODUCT(MAX(ROW(E$1:E1894)*(E2=E$1:E1894))))))</f>
        <v/>
      </c>
      <c r="K1895" s="24" t="str">
        <f>IF(OR(E1895="",E1895="!!!",F1895="NEW"),"",INDEX(J$1:J1894,SUMPRODUCT(MAX(ROW(E$1:E1894)*(E1895=E$1:E1894)))))</f>
        <v/>
      </c>
      <c r="L1895" s="25"/>
    </row>
    <row r="1896" spans="1:12" x14ac:dyDescent="0.3">
      <c r="A1896" t="s">
        <v>1110</v>
      </c>
      <c r="B1896" s="26" t="s">
        <v>1111</v>
      </c>
      <c r="C1896" s="26" t="s">
        <v>355</v>
      </c>
      <c r="E1896" s="20" t="str">
        <f t="shared" si="214"/>
        <v/>
      </c>
      <c r="F1896" s="21" t="str">
        <f>IF(OR(E1896="",E1896="!!!"),"",IF(NOT(ISNA(VLOOKUP(E1896,E$1:E1895,1,FALSE()))),"OLD",IF(AND(E1896&lt;&gt;"",E1896&lt;&gt;"!!!"),"NEW","")))</f>
        <v/>
      </c>
      <c r="G1896" s="22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/>
      </c>
      <c r="H1896" s="23" t="str">
        <f t="shared" ca="1" si="215"/>
        <v/>
      </c>
      <c r="I1896" s="24" t="str">
        <f>IF(OR(E1896="",E1896="!!!",F1896="NEW"),"",INDEX(B$2:B1895,-1+SUMPRODUCT(MAX(ROW(E$2:E1895)*(E1896=E$2:E1895)))))</f>
        <v/>
      </c>
      <c r="J1896" s="24" t="str">
        <f ca="1">IF(OR(E1896="",E1896="!!!",F1896="NEW"),"",COUNTBLANK(OFFSET(A$1,,,SUMPRODUCT(MAX(ROW(E$2:E1896)*(E1896=E$2:E1896)))))-COUNTBLANK(OFFSET(A$1,,,SUMPRODUCT(MAX(ROW(E$1:E1895)*(E2=E$1:E1895))))))</f>
        <v/>
      </c>
      <c r="K1896" s="24" t="str">
        <f>IF(OR(E1896="",E1896="!!!",F1896="NEW"),"",INDEX(J$1:J1895,SUMPRODUCT(MAX(ROW(E$1:E1895)*(E1896=E$1:E1895)))))</f>
        <v/>
      </c>
      <c r="L1896" s="25"/>
    </row>
    <row r="1897" spans="1:12" x14ac:dyDescent="0.3">
      <c r="A1897" t="s">
        <v>1112</v>
      </c>
      <c r="E1897" s="20" t="str">
        <f t="shared" si="214"/>
        <v/>
      </c>
      <c r="F1897" s="21" t="str">
        <f>IF(OR(E1897="",E1897="!!!"),"",IF(NOT(ISNA(VLOOKUP(E1897,E$1:E1896,1,FALSE()))),"OLD",IF(AND(E1897&lt;&gt;"",E1897&lt;&gt;"!!!"),"NEW","")))</f>
        <v/>
      </c>
      <c r="G1897" s="22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/>
      </c>
      <c r="H1897" s="23" t="str">
        <f t="shared" ca="1" si="215"/>
        <v/>
      </c>
      <c r="I1897" s="24" t="str">
        <f>IF(OR(E1897="",E1897="!!!",F1897="NEW"),"",INDEX(B$2:B1896,-1+SUMPRODUCT(MAX(ROW(E$2:E1896)*(E1897=E$2:E1896)))))</f>
        <v/>
      </c>
      <c r="J1897" s="24" t="str">
        <f ca="1">IF(OR(E1897="",E1897="!!!",F1897="NEW"),"",COUNTBLANK(OFFSET(A$1,,,SUMPRODUCT(MAX(ROW(E$2:E1897)*(E1897=E$2:E1897)))))-COUNTBLANK(OFFSET(A$1,,,SUMPRODUCT(MAX(ROW(E$1:E1896)*(E2=E$1:E1896))))))</f>
        <v/>
      </c>
      <c r="K1897" s="24" t="str">
        <f>IF(OR(E1897="",E1897="!!!",F1897="NEW"),"",INDEX(J$1:J1896,SUMPRODUCT(MAX(ROW(E$1:E1896)*(E1897=E$1:E1896)))))</f>
        <v/>
      </c>
      <c r="L1897" s="25"/>
    </row>
    <row r="1898" spans="1:12" x14ac:dyDescent="0.3">
      <c r="A1898" t="s">
        <v>667</v>
      </c>
      <c r="E1898" s="20" t="str">
        <f t="shared" si="214"/>
        <v/>
      </c>
      <c r="F1898" s="21" t="str">
        <f>IF(OR(E1898="",E1898="!!!"),"",IF(NOT(ISNA(VLOOKUP(E1898,E$1:E1897,1,FALSE()))),"OLD",IF(AND(E1898&lt;&gt;"",E1898&lt;&gt;"!!!"),"NEW","")))</f>
        <v/>
      </c>
      <c r="G1898" s="22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/>
      </c>
      <c r="H1898" s="23" t="str">
        <f t="shared" ca="1" si="215"/>
        <v/>
      </c>
      <c r="I1898" s="24" t="str">
        <f>IF(OR(E1898="",E1898="!!!",F1898="NEW"),"",INDEX(B$2:B1897,-1+SUMPRODUCT(MAX(ROW(E$2:E1897)*(E1898=E$2:E1897)))))</f>
        <v/>
      </c>
      <c r="J1898" s="24" t="str">
        <f ca="1">IF(OR(E1898="",E1898="!!!",F1898="NEW"),"",COUNTBLANK(OFFSET(A$1,,,SUMPRODUCT(MAX(ROW(E$2:E1898)*(E1898=E$2:E1898)))))-COUNTBLANK(OFFSET(A$1,,,SUMPRODUCT(MAX(ROW(E$1:E1897)*(E2=E$1:E1897))))))</f>
        <v/>
      </c>
      <c r="K1898" s="24" t="str">
        <f>IF(OR(E1898="",E1898="!!!",F1898="NEW"),"",INDEX(J$1:J1897,SUMPRODUCT(MAX(ROW(E$1:E1897)*(E1898=E$1:E1897)))))</f>
        <v/>
      </c>
      <c r="L1898" s="25"/>
    </row>
    <row r="1899" spans="1:12" x14ac:dyDescent="0.3">
      <c r="A1899" t="s">
        <v>437</v>
      </c>
      <c r="B1899" s="26" t="s">
        <v>1113</v>
      </c>
      <c r="C1899" s="26" t="s">
        <v>438</v>
      </c>
      <c r="D1899" s="26" t="s">
        <v>332</v>
      </c>
      <c r="E1899" s="20" t="str">
        <f t="shared" si="214"/>
        <v>!!!</v>
      </c>
      <c r="F1899" s="21" t="str">
        <f>IF(OR(E1899="",E1899="!!!"),"",IF(NOT(ISNA(VLOOKUP(E1899,E$1:E1898,1,FALSE()))),"OLD",IF(AND(E1899&lt;&gt;"",E1899&lt;&gt;"!!!"),"NEW","")))</f>
        <v/>
      </c>
      <c r="G1899" s="22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/>
      </c>
      <c r="H1899" s="23" t="str">
        <f t="shared" ca="1" si="215"/>
        <v/>
      </c>
      <c r="I1899" s="24" t="str">
        <f>IF(OR(E1899="",E1899="!!!",F1899="NEW"),"",INDEX(B$2:B1898,-1+SUMPRODUCT(MAX(ROW(E$2:E1898)*(E1899=E$2:E1898)))))</f>
        <v/>
      </c>
      <c r="J1899" s="24" t="str">
        <f ca="1">IF(OR(E1899="",E1899="!!!",F1899="NEW"),"",COUNTBLANK(OFFSET(A$1,,,SUMPRODUCT(MAX(ROW(E$2:E1899)*(E1899=E$2:E1899)))))-COUNTBLANK(OFFSET(A$1,,,SUMPRODUCT(MAX(ROW(E$1:E1898)*(E2=E$1:E1898))))))</f>
        <v/>
      </c>
      <c r="K1899" s="24" t="str">
        <f>IF(OR(E1899="",E1899="!!!",F1899="NEW"),"",INDEX(J$1:J1898,SUMPRODUCT(MAX(ROW(E$1:E1898)*(E1899=E$1:E1898)))))</f>
        <v/>
      </c>
      <c r="L1899" s="25"/>
    </row>
    <row r="1900" spans="1:12" x14ac:dyDescent="0.3">
      <c r="A1900" t="s">
        <v>659</v>
      </c>
      <c r="E1900" s="20" t="str">
        <f t="shared" si="214"/>
        <v/>
      </c>
      <c r="F1900" s="21" t="str">
        <f>IF(OR(E1900="",E1900="!!!"),"",IF(NOT(ISNA(VLOOKUP(E1900,E$1:E1899,1,FALSE()))),"OLD",IF(AND(E1900&lt;&gt;"",E1900&lt;&gt;"!!!"),"NEW","")))</f>
        <v/>
      </c>
      <c r="G1900" s="22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/>
      </c>
      <c r="H1900" s="23" t="str">
        <f t="shared" ca="1" si="215"/>
        <v/>
      </c>
      <c r="I1900" s="24" t="str">
        <f>IF(OR(E1900="",E1900="!!!",F1900="NEW"),"",INDEX(B$2:B1899,-1+SUMPRODUCT(MAX(ROW(E$2:E1899)*(E1900=E$2:E1899)))))</f>
        <v/>
      </c>
      <c r="J1900" s="24" t="str">
        <f ca="1">IF(OR(E1900="",E1900="!!!",F1900="NEW"),"",COUNTBLANK(OFFSET(A$1,,,SUMPRODUCT(MAX(ROW(E$2:E1900)*(E1900=E$2:E1900)))))-COUNTBLANK(OFFSET(A$1,,,SUMPRODUCT(MAX(ROW(E$1:E1899)*(E2=E$1:E1899))))))</f>
        <v/>
      </c>
      <c r="K1900" s="24" t="str">
        <f>IF(OR(E1900="",E1900="!!!",F1900="NEW"),"",INDEX(J$1:J1899,SUMPRODUCT(MAX(ROW(E$1:E1899)*(E1900=E$1:E1899)))))</f>
        <v/>
      </c>
      <c r="L1900" s="25"/>
    </row>
    <row r="1901" spans="1:12" x14ac:dyDescent="0.3">
      <c r="A1901" t="s">
        <v>1114</v>
      </c>
      <c r="B1901" s="26" t="s">
        <v>1115</v>
      </c>
      <c r="C1901" s="26" t="s">
        <v>544</v>
      </c>
      <c r="E1901" s="20" t="str">
        <f t="shared" si="214"/>
        <v/>
      </c>
      <c r="F1901" s="21" t="str">
        <f>IF(OR(E1901="",E1901="!!!"),"",IF(NOT(ISNA(VLOOKUP(E1901,E$1:E1900,1,FALSE()))),"OLD",IF(AND(E1901&lt;&gt;"",E1901&lt;&gt;"!!!"),"NEW","")))</f>
        <v/>
      </c>
      <c r="G1901" s="22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/>
      </c>
      <c r="H1901" s="23" t="str">
        <f t="shared" ca="1" si="215"/>
        <v/>
      </c>
      <c r="I1901" s="24" t="str">
        <f>IF(OR(E1901="",E1901="!!!",F1901="NEW"),"",INDEX(B$2:B1900,-1+SUMPRODUCT(MAX(ROW(E$2:E1900)*(E1901=E$2:E1900)))))</f>
        <v/>
      </c>
      <c r="J1901" s="24" t="str">
        <f ca="1">IF(OR(E1901="",E1901="!!!",F1901="NEW"),"",COUNTBLANK(OFFSET(A$1,,,SUMPRODUCT(MAX(ROW(E$2:E1901)*(E1901=E$2:E1901)))))-COUNTBLANK(OFFSET(A$1,,,SUMPRODUCT(MAX(ROW(E$1:E1900)*(E2=E$1:E1900))))))</f>
        <v/>
      </c>
      <c r="K1901" s="24" t="str">
        <f>IF(OR(E1901="",E1901="!!!",F1901="NEW"),"",INDEX(J$1:J1900,SUMPRODUCT(MAX(ROW(E$1:E1900)*(E1901=E$1:E1900)))))</f>
        <v/>
      </c>
      <c r="L1901" s="25"/>
    </row>
    <row r="1902" spans="1:12" x14ac:dyDescent="0.3">
      <c r="A1902" t="s">
        <v>759</v>
      </c>
      <c r="E1902" s="20" t="str">
        <f t="shared" si="214"/>
        <v/>
      </c>
      <c r="F1902" s="21" t="str">
        <f>IF(OR(E1902="",E1902="!!!"),"",IF(NOT(ISNA(VLOOKUP(E1902,E$1:E1901,1,FALSE()))),"OLD",IF(AND(E1902&lt;&gt;"",E1902&lt;&gt;"!!!"),"NEW","")))</f>
        <v/>
      </c>
      <c r="G1902" s="22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/>
      </c>
      <c r="H1902" s="23" t="str">
        <f t="shared" ca="1" si="215"/>
        <v/>
      </c>
      <c r="I1902" s="24" t="str">
        <f>IF(OR(E1902="",E1902="!!!",F1902="NEW"),"",INDEX(B$2:B1901,-1+SUMPRODUCT(MAX(ROW(E$2:E1901)*(E1902=E$2:E1901)))))</f>
        <v/>
      </c>
      <c r="J1902" s="24" t="str">
        <f ca="1">IF(OR(E1902="",E1902="!!!",F1902="NEW"),"",COUNTBLANK(OFFSET(A$1,,,SUMPRODUCT(MAX(ROW(E$2:E1902)*(E1902=E$2:E1902)))))-COUNTBLANK(OFFSET(A$1,,,SUMPRODUCT(MAX(ROW(E$1:E1901)*(E2=E$1:E1901))))))</f>
        <v/>
      </c>
      <c r="K1902" s="24" t="str">
        <f>IF(OR(E1902="",E1902="!!!",F1902="NEW"),"",INDEX(J$1:J1901,SUMPRODUCT(MAX(ROW(E$1:E1901)*(E1902=E$1:E1901)))))</f>
        <v/>
      </c>
      <c r="L1902" s="25"/>
    </row>
    <row r="1903" spans="1:12" x14ac:dyDescent="0.3">
      <c r="A1903" t="s">
        <v>338</v>
      </c>
      <c r="E1903" s="20" t="str">
        <f t="shared" si="214"/>
        <v/>
      </c>
      <c r="F1903" s="21" t="str">
        <f>IF(OR(E1903="",E1903="!!!"),"",IF(NOT(ISNA(VLOOKUP(E1903,E$1:E1902,1,FALSE()))),"OLD",IF(AND(E1903&lt;&gt;"",E1903&lt;&gt;"!!!"),"NEW","")))</f>
        <v/>
      </c>
      <c r="G1903" s="22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/>
      </c>
      <c r="H1903" s="23" t="str">
        <f t="shared" ca="1" si="215"/>
        <v/>
      </c>
      <c r="I1903" s="24" t="str">
        <f>IF(OR(E1903="",E1903="!!!",F1903="NEW"),"",INDEX(B$2:B1902,-1+SUMPRODUCT(MAX(ROW(E$2:E1902)*(E1903=E$2:E1902)))))</f>
        <v/>
      </c>
      <c r="J1903" s="24" t="str">
        <f ca="1">IF(OR(E1903="",E1903="!!!",F1903="NEW"),"",COUNTBLANK(OFFSET(A$1,,,SUMPRODUCT(MAX(ROW(E$2:E1903)*(E1903=E$2:E1903)))))-COUNTBLANK(OFFSET(A$1,,,SUMPRODUCT(MAX(ROW(E$1:E1902)*(E2=E$1:E1902))))))</f>
        <v/>
      </c>
      <c r="K1903" s="24" t="str">
        <f>IF(OR(E1903="",E1903="!!!",F1903="NEW"),"",INDEX(J$1:J1902,SUMPRODUCT(MAX(ROW(E$1:E1902)*(E1903=E$1:E1902)))))</f>
        <v/>
      </c>
      <c r="L1903" s="25"/>
    </row>
    <row r="1905" spans="1:12" x14ac:dyDescent="0.3">
      <c r="A1905" t="s">
        <v>1116</v>
      </c>
    </row>
    <row r="1906" spans="1:12" x14ac:dyDescent="0.3">
      <c r="A1906" t="s">
        <v>873</v>
      </c>
      <c r="E1906" s="20" t="str">
        <f t="shared" ref="E1906:E1916" si="216">IF(D1906="?OLD","!!!","")</f>
        <v/>
      </c>
      <c r="F1906" s="21" t="str">
        <f>IF(OR(E1906="",E1906="!!!"),"",IF(NOT(ISNA(VLOOKUP(E1906,E$1:E1905,1,FALSE()))),"OLD",IF(AND(E1906&lt;&gt;"",E1906&lt;&gt;"!!!"),"NEW","")))</f>
        <v/>
      </c>
      <c r="G1906" s="22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/>
      </c>
      <c r="H1906" s="23" t="str">
        <f t="shared" ref="H1906:H1916" ca="1" si="217">IF(J1906&lt;&gt;1,"",IF(I1906="SBJ","CB","?"))</f>
        <v/>
      </c>
      <c r="I1906" s="24" t="str">
        <f>IF(OR(E1906="",E1906="!!!",F1906="NEW"),"",INDEX(B$2:B1905,-1+SUMPRODUCT(MAX(ROW(E$2:E1905)*(E1906=E$2:E1905)))))</f>
        <v/>
      </c>
      <c r="J1906" s="24" t="str">
        <f ca="1">IF(OR(E1906="",E1906="!!!",F1906="NEW"),"",COUNTBLANK(OFFSET(A$1,,,SUMPRODUCT(MAX(ROW(E$2:E1906)*(E1906=E$2:E1906)))))-COUNTBLANK(OFFSET(A$1,,,SUMPRODUCT(MAX(ROW(E$1:E1905)*(E2=E$1:E1905))))))</f>
        <v/>
      </c>
      <c r="K1906" s="24" t="str">
        <f>IF(OR(E1906="",E1906="!!!",F1906="NEW"),"",INDEX(J$1:J1905,SUMPRODUCT(MAX(ROW(E$1:E1905)*(E1906=E$1:E1905)))))</f>
        <v/>
      </c>
      <c r="L1906" s="25"/>
    </row>
    <row r="1907" spans="1:12" x14ac:dyDescent="0.3">
      <c r="A1907" t="s">
        <v>351</v>
      </c>
      <c r="E1907" s="20" t="str">
        <f t="shared" si="216"/>
        <v/>
      </c>
      <c r="F1907" s="21" t="str">
        <f>IF(OR(E1907="",E1907="!!!"),"",IF(NOT(ISNA(VLOOKUP(E1907,E$1:E1906,1,FALSE()))),"OLD",IF(AND(E1907&lt;&gt;"",E1907&lt;&gt;"!!!"),"NEW","")))</f>
        <v/>
      </c>
      <c r="G1907" s="22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/>
      </c>
      <c r="H1907" s="23" t="str">
        <f t="shared" ca="1" si="217"/>
        <v/>
      </c>
      <c r="I1907" s="24" t="str">
        <f>IF(OR(E1907="",E1907="!!!",F1907="NEW"),"",INDEX(B$2:B1906,-1+SUMPRODUCT(MAX(ROW(E$2:E1906)*(E1907=E$2:E1906)))))</f>
        <v/>
      </c>
      <c r="J1907" s="24" t="str">
        <f ca="1">IF(OR(E1907="",E1907="!!!",F1907="NEW"),"",COUNTBLANK(OFFSET(A$1,,,SUMPRODUCT(MAX(ROW(E$2:E1907)*(E1907=E$2:E1907)))))-COUNTBLANK(OFFSET(A$1,,,SUMPRODUCT(MAX(ROW(E$1:E1906)*(E2=E$1:E1906))))))</f>
        <v/>
      </c>
      <c r="K1907" s="24" t="str">
        <f>IF(OR(E1907="",E1907="!!!",F1907="NEW"),"",INDEX(J$1:J1906,SUMPRODUCT(MAX(ROW(E$1:E1906)*(E1907=E$1:E1906)))))</f>
        <v/>
      </c>
      <c r="L1907" s="25"/>
    </row>
    <row r="1908" spans="1:12" x14ac:dyDescent="0.3">
      <c r="A1908" t="s">
        <v>782</v>
      </c>
      <c r="E1908" s="20" t="str">
        <f t="shared" si="216"/>
        <v/>
      </c>
      <c r="F1908" s="21" t="str">
        <f>IF(OR(E1908="",E1908="!!!"),"",IF(NOT(ISNA(VLOOKUP(E1908,E$1:E1907,1,FALSE()))),"OLD",IF(AND(E1908&lt;&gt;"",E1908&lt;&gt;"!!!"),"NEW","")))</f>
        <v/>
      </c>
      <c r="G1908" s="22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/>
      </c>
      <c r="H1908" s="23" t="str">
        <f t="shared" ca="1" si="217"/>
        <v/>
      </c>
      <c r="I1908" s="24" t="str">
        <f>IF(OR(E1908="",E1908="!!!",F1908="NEW"),"",INDEX(B$2:B1907,-1+SUMPRODUCT(MAX(ROW(E$2:E1907)*(E1908=E$2:E1907)))))</f>
        <v/>
      </c>
      <c r="J1908" s="24" t="str">
        <f ca="1">IF(OR(E1908="",E1908="!!!",F1908="NEW"),"",COUNTBLANK(OFFSET(A$1,,,SUMPRODUCT(MAX(ROW(E$2:E1908)*(E1908=E$2:E1908)))))-COUNTBLANK(OFFSET(A$1,,,SUMPRODUCT(MAX(ROW(E$1:E1907)*(E2=E$1:E1907))))))</f>
        <v/>
      </c>
      <c r="K1908" s="24" t="str">
        <f>IF(OR(E1908="",E1908="!!!",F1908="NEW"),"",INDEX(J$1:J1907,SUMPRODUCT(MAX(ROW(E$1:E1907)*(E1908=E$1:E1907)))))</f>
        <v/>
      </c>
      <c r="L1908" s="25"/>
    </row>
    <row r="1909" spans="1:12" x14ac:dyDescent="0.3">
      <c r="A1909" t="s">
        <v>363</v>
      </c>
      <c r="E1909" s="20" t="str">
        <f t="shared" si="216"/>
        <v/>
      </c>
      <c r="F1909" s="21" t="str">
        <f>IF(OR(E1909="",E1909="!!!"),"",IF(NOT(ISNA(VLOOKUP(E1909,E$1:E1908,1,FALSE()))),"OLD",IF(AND(E1909&lt;&gt;"",E1909&lt;&gt;"!!!"),"NEW","")))</f>
        <v/>
      </c>
      <c r="G1909" s="22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/>
      </c>
      <c r="H1909" s="23" t="str">
        <f t="shared" ca="1" si="217"/>
        <v/>
      </c>
      <c r="I1909" s="24" t="str">
        <f>IF(OR(E1909="",E1909="!!!",F1909="NEW"),"",INDEX(B$2:B1908,-1+SUMPRODUCT(MAX(ROW(E$2:E1908)*(E1909=E$2:E1908)))))</f>
        <v/>
      </c>
      <c r="J1909" s="24" t="str">
        <f ca="1">IF(OR(E1909="",E1909="!!!",F1909="NEW"),"",COUNTBLANK(OFFSET(A$1,,,SUMPRODUCT(MAX(ROW(E$2:E1909)*(E1909=E$2:E1909)))))-COUNTBLANK(OFFSET(A$1,,,SUMPRODUCT(MAX(ROW(E$1:E1908)*(E2=E$1:E1908))))))</f>
        <v/>
      </c>
      <c r="K1909" s="24" t="str">
        <f>IF(OR(E1909="",E1909="!!!",F1909="NEW"),"",INDEX(J$1:J1908,SUMPRODUCT(MAX(ROW(E$1:E1908)*(E1909=E$1:E1908)))))</f>
        <v/>
      </c>
      <c r="L1909" s="25"/>
    </row>
    <row r="1910" spans="1:12" x14ac:dyDescent="0.3">
      <c r="A1910" t="s">
        <v>351</v>
      </c>
      <c r="E1910" s="20" t="str">
        <f t="shared" si="216"/>
        <v/>
      </c>
      <c r="F1910" s="21" t="str">
        <f>IF(OR(E1910="",E1910="!!!"),"",IF(NOT(ISNA(VLOOKUP(E1910,E$1:E1909,1,FALSE()))),"OLD",IF(AND(E1910&lt;&gt;"",E1910&lt;&gt;"!!!"),"NEW","")))</f>
        <v/>
      </c>
      <c r="G1910" s="22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/>
      </c>
      <c r="H1910" s="23" t="str">
        <f t="shared" ca="1" si="217"/>
        <v/>
      </c>
      <c r="I1910" s="24" t="str">
        <f>IF(OR(E1910="",E1910="!!!",F1910="NEW"),"",INDEX(B$2:B1909,-1+SUMPRODUCT(MAX(ROW(E$2:E1909)*(E1910=E$2:E1909)))))</f>
        <v/>
      </c>
      <c r="J1910" s="24" t="str">
        <f ca="1">IF(OR(E1910="",E1910="!!!",F1910="NEW"),"",COUNTBLANK(OFFSET(A$1,,,SUMPRODUCT(MAX(ROW(E$2:E1910)*(E1910=E$2:E1910)))))-COUNTBLANK(OFFSET(A$1,,,SUMPRODUCT(MAX(ROW(E$1:E1909)*(E2=E$1:E1909))))))</f>
        <v/>
      </c>
      <c r="K1910" s="24" t="str">
        <f>IF(OR(E1910="",E1910="!!!",F1910="NEW"),"",INDEX(J$1:J1909,SUMPRODUCT(MAX(ROW(E$1:E1909)*(E1910=E$1:E1909)))))</f>
        <v/>
      </c>
      <c r="L1910" s="25"/>
    </row>
    <row r="1911" spans="1:12" x14ac:dyDescent="0.3">
      <c r="A1911" t="s">
        <v>370</v>
      </c>
      <c r="E1911" s="20" t="str">
        <f t="shared" si="216"/>
        <v/>
      </c>
      <c r="F1911" s="21" t="str">
        <f>IF(OR(E1911="",E1911="!!!"),"",IF(NOT(ISNA(VLOOKUP(E1911,E$1:E1910,1,FALSE()))),"OLD",IF(AND(E1911&lt;&gt;"",E1911&lt;&gt;"!!!"),"NEW","")))</f>
        <v/>
      </c>
      <c r="G1911" s="22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/>
      </c>
      <c r="H1911" s="23" t="str">
        <f t="shared" ca="1" si="217"/>
        <v/>
      </c>
      <c r="I1911" s="24" t="str">
        <f>IF(OR(E1911="",E1911="!!!",F1911="NEW"),"",INDEX(B$2:B1910,-1+SUMPRODUCT(MAX(ROW(E$2:E1910)*(E1911=E$2:E1910)))))</f>
        <v/>
      </c>
      <c r="J1911" s="24" t="str">
        <f ca="1">IF(OR(E1911="",E1911="!!!",F1911="NEW"),"",COUNTBLANK(OFFSET(A$1,,,SUMPRODUCT(MAX(ROW(E$2:E1911)*(E1911=E$2:E1911)))))-COUNTBLANK(OFFSET(A$1,,,SUMPRODUCT(MAX(ROW(E$1:E1910)*(E2=E$1:E1910))))))</f>
        <v/>
      </c>
      <c r="K1911" s="24" t="str">
        <f>IF(OR(E1911="",E1911="!!!",F1911="NEW"),"",INDEX(J$1:J1910,SUMPRODUCT(MAX(ROW(E$1:E1910)*(E1911=E$1:E1910)))))</f>
        <v/>
      </c>
      <c r="L1911" s="25"/>
    </row>
    <row r="1912" spans="1:12" x14ac:dyDescent="0.3">
      <c r="A1912" t="s">
        <v>340</v>
      </c>
      <c r="B1912" s="26" t="s">
        <v>354</v>
      </c>
      <c r="C1912" s="26" t="s">
        <v>341</v>
      </c>
      <c r="D1912" s="26" t="s">
        <v>332</v>
      </c>
      <c r="E1912" s="20" t="str">
        <f t="shared" si="216"/>
        <v>!!!</v>
      </c>
      <c r="F1912" s="21" t="str">
        <f>IF(OR(E1912="",E1912="!!!"),"",IF(NOT(ISNA(VLOOKUP(E1912,E$1:E1911,1,FALSE()))),"OLD",IF(AND(E1912&lt;&gt;"",E1912&lt;&gt;"!!!"),"NEW","")))</f>
        <v/>
      </c>
      <c r="G1912" s="22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/>
      </c>
      <c r="H1912" s="23" t="str">
        <f t="shared" ca="1" si="217"/>
        <v/>
      </c>
      <c r="I1912" s="24" t="str">
        <f>IF(OR(E1912="",E1912="!!!",F1912="NEW"),"",INDEX(B$2:B1911,-1+SUMPRODUCT(MAX(ROW(E$2:E1911)*(E1912=E$2:E1911)))))</f>
        <v/>
      </c>
      <c r="J1912" s="24" t="str">
        <f ca="1">IF(OR(E1912="",E1912="!!!",F1912="NEW"),"",COUNTBLANK(OFFSET(A$1,,,SUMPRODUCT(MAX(ROW(E$2:E1912)*(E1912=E$2:E1912)))))-COUNTBLANK(OFFSET(A$1,,,SUMPRODUCT(MAX(ROW(E$1:E1911)*(E2=E$1:E1911))))))</f>
        <v/>
      </c>
      <c r="K1912" s="24" t="str">
        <f>IF(OR(E1912="",E1912="!!!",F1912="NEW"),"",INDEX(J$1:J1911,SUMPRODUCT(MAX(ROW(E$1:E1911)*(E1912=E$1:E1911)))))</f>
        <v/>
      </c>
      <c r="L1912" s="25"/>
    </row>
    <row r="1913" spans="1:12" x14ac:dyDescent="0.3">
      <c r="A1913" t="s">
        <v>334</v>
      </c>
      <c r="E1913" s="20" t="str">
        <f t="shared" si="216"/>
        <v/>
      </c>
      <c r="F1913" s="21" t="str">
        <f>IF(OR(E1913="",E1913="!!!"),"",IF(NOT(ISNA(VLOOKUP(E1913,E$1:E1912,1,FALSE()))),"OLD",IF(AND(E1913&lt;&gt;"",E1913&lt;&gt;"!!!"),"NEW","")))</f>
        <v/>
      </c>
      <c r="G1913" s="22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/>
      </c>
      <c r="H1913" s="23" t="str">
        <f t="shared" ca="1" si="217"/>
        <v/>
      </c>
      <c r="I1913" s="24" t="str">
        <f>IF(OR(E1913="",E1913="!!!",F1913="NEW"),"",INDEX(B$2:B1912,-1+SUMPRODUCT(MAX(ROW(E$2:E1912)*(E1913=E$2:E1912)))))</f>
        <v/>
      </c>
      <c r="J1913" s="24" t="str">
        <f ca="1">IF(OR(E1913="",E1913="!!!",F1913="NEW"),"",COUNTBLANK(OFFSET(A$1,,,SUMPRODUCT(MAX(ROW(E$2:E1913)*(E1913=E$2:E1913)))))-COUNTBLANK(OFFSET(A$1,,,SUMPRODUCT(MAX(ROW(E$1:E1912)*(E2=E$1:E1912))))))</f>
        <v/>
      </c>
      <c r="K1913" s="24" t="str">
        <f>IF(OR(E1913="",E1913="!!!",F1913="NEW"),"",INDEX(J$1:J1912,SUMPRODUCT(MAX(ROW(E$1:E1912)*(E1913=E$1:E1912)))))</f>
        <v/>
      </c>
      <c r="L1913" s="25"/>
    </row>
    <row r="1914" spans="1:12" x14ac:dyDescent="0.3">
      <c r="A1914" t="s">
        <v>1117</v>
      </c>
      <c r="B1914" s="26" t="s">
        <v>378</v>
      </c>
      <c r="C1914" s="26" t="s">
        <v>496</v>
      </c>
      <c r="D1914" s="26" t="s">
        <v>332</v>
      </c>
      <c r="E1914" s="20" t="str">
        <f t="shared" si="216"/>
        <v>!!!</v>
      </c>
      <c r="F1914" s="21" t="str">
        <f>IF(OR(E1914="",E1914="!!!"),"",IF(NOT(ISNA(VLOOKUP(E1914,E$1:E1913,1,FALSE()))),"OLD",IF(AND(E1914&lt;&gt;"",E1914&lt;&gt;"!!!"),"NEW","")))</f>
        <v/>
      </c>
      <c r="G1914" s="22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/>
      </c>
      <c r="H1914" s="23" t="str">
        <f t="shared" ca="1" si="217"/>
        <v/>
      </c>
      <c r="I1914" s="24" t="str">
        <f>IF(OR(E1914="",E1914="!!!",F1914="NEW"),"",INDEX(B$2:B1913,-1+SUMPRODUCT(MAX(ROW(E$2:E1913)*(E1914=E$2:E1913)))))</f>
        <v/>
      </c>
      <c r="J1914" s="24" t="str">
        <f ca="1">IF(OR(E1914="",E1914="!!!",F1914="NEW"),"",COUNTBLANK(OFFSET(A$1,,,SUMPRODUCT(MAX(ROW(E$2:E1914)*(E1914=E$2:E1914)))))-COUNTBLANK(OFFSET(A$1,,,SUMPRODUCT(MAX(ROW(E$1:E1913)*(E2=E$1:E1913))))))</f>
        <v/>
      </c>
      <c r="K1914" s="24" t="str">
        <f>IF(OR(E1914="",E1914="!!!",F1914="NEW"),"",INDEX(J$1:J1913,SUMPRODUCT(MAX(ROW(E$1:E1913)*(E1914=E$1:E1913)))))</f>
        <v/>
      </c>
      <c r="L1914" s="25"/>
    </row>
    <row r="1915" spans="1:12" x14ac:dyDescent="0.3">
      <c r="A1915" t="s">
        <v>1118</v>
      </c>
      <c r="E1915" s="20" t="str">
        <f t="shared" si="216"/>
        <v/>
      </c>
      <c r="F1915" s="21" t="str">
        <f>IF(OR(E1915="",E1915="!!!"),"",IF(NOT(ISNA(VLOOKUP(E1915,E$1:E1914,1,FALSE()))),"OLD",IF(AND(E1915&lt;&gt;"",E1915&lt;&gt;"!!!"),"NEW","")))</f>
        <v/>
      </c>
      <c r="G1915" s="22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/>
      </c>
      <c r="H1915" s="23" t="str">
        <f t="shared" ca="1" si="217"/>
        <v/>
      </c>
      <c r="I1915" s="24" t="str">
        <f>IF(OR(E1915="",E1915="!!!",F1915="NEW"),"",INDEX(B$2:B1914,-1+SUMPRODUCT(MAX(ROW(E$2:E1914)*(E1915=E$2:E1914)))))</f>
        <v/>
      </c>
      <c r="J1915" s="24" t="str">
        <f ca="1">IF(OR(E1915="",E1915="!!!",F1915="NEW"),"",COUNTBLANK(OFFSET(A$1,,,SUMPRODUCT(MAX(ROW(E$2:E1915)*(E1915=E$2:E1915)))))-COUNTBLANK(OFFSET(A$1,,,SUMPRODUCT(MAX(ROW(E$1:E1914)*(E2=E$1:E1914))))))</f>
        <v/>
      </c>
      <c r="K1915" s="24" t="str">
        <f>IF(OR(E1915="",E1915="!!!",F1915="NEW"),"",INDEX(J$1:J1914,SUMPRODUCT(MAX(ROW(E$1:E1914)*(E1915=E$1:E1914)))))</f>
        <v/>
      </c>
      <c r="L1915" s="25"/>
    </row>
    <row r="1916" spans="1:12" x14ac:dyDescent="0.3">
      <c r="A1916" t="s">
        <v>338</v>
      </c>
      <c r="E1916" s="20" t="str">
        <f t="shared" si="216"/>
        <v/>
      </c>
      <c r="F1916" s="21" t="str">
        <f>IF(OR(E1916="",E1916="!!!"),"",IF(NOT(ISNA(VLOOKUP(E1916,E$1:E1915,1,FALSE()))),"OLD",IF(AND(E1916&lt;&gt;"",E1916&lt;&gt;"!!!"),"NEW","")))</f>
        <v/>
      </c>
      <c r="G1916" s="22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/>
      </c>
      <c r="H1916" s="23" t="str">
        <f t="shared" ca="1" si="217"/>
        <v/>
      </c>
      <c r="I1916" s="24" t="str">
        <f>IF(OR(E1916="",E1916="!!!",F1916="NEW"),"",INDEX(B$2:B1915,-1+SUMPRODUCT(MAX(ROW(E$2:E1915)*(E1916=E$2:E1915)))))</f>
        <v/>
      </c>
      <c r="J1916" s="24" t="str">
        <f ca="1">IF(OR(E1916="",E1916="!!!",F1916="NEW"),"",COUNTBLANK(OFFSET(A$1,,,SUMPRODUCT(MAX(ROW(E$2:E1916)*(E1916=E$2:E1916)))))-COUNTBLANK(OFFSET(A$1,,,SUMPRODUCT(MAX(ROW(E$1:E1915)*(E2=E$1:E1915))))))</f>
        <v/>
      </c>
      <c r="K1916" s="24" t="str">
        <f>IF(OR(E1916="",E1916="!!!",F1916="NEW"),"",INDEX(J$1:J1915,SUMPRODUCT(MAX(ROW(E$1:E1915)*(E1916=E$1:E1915)))))</f>
        <v/>
      </c>
      <c r="L1916" s="25"/>
    </row>
    <row r="1918" spans="1:12" x14ac:dyDescent="0.3">
      <c r="A1918" t="s">
        <v>1119</v>
      </c>
    </row>
    <row r="1919" spans="1:12" x14ac:dyDescent="0.3">
      <c r="A1919" t="s">
        <v>527</v>
      </c>
      <c r="E1919" s="20" t="str">
        <f t="shared" ref="E1919:E1942" si="218">IF(D1919="?OLD","!!!","")</f>
        <v/>
      </c>
      <c r="F1919" s="21" t="str">
        <f>IF(OR(E1919="",E1919="!!!"),"",IF(NOT(ISNA(VLOOKUP(E1919,E$1:E1918,1,FALSE()))),"OLD",IF(AND(E1919&lt;&gt;"",E1919&lt;&gt;"!!!"),"NEW","")))</f>
        <v/>
      </c>
      <c r="G1919" s="22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/>
      </c>
      <c r="H1919" s="23" t="str">
        <f t="shared" ref="H1919:H1942" ca="1" si="219">IF(J1919&lt;&gt;1,"",IF(I1919="SBJ","CB","?"))</f>
        <v/>
      </c>
      <c r="I1919" s="24" t="str">
        <f>IF(OR(E1919="",E1919="!!!",F1919="NEW"),"",INDEX(B$2:B1918,-1+SUMPRODUCT(MAX(ROW(E$2:E1918)*(E1919=E$2:E1918)))))</f>
        <v/>
      </c>
      <c r="J1919" s="24" t="str">
        <f ca="1">IF(OR(E1919="",E1919="!!!",F1919="NEW"),"",COUNTBLANK(OFFSET(A$1,,,SUMPRODUCT(MAX(ROW(E$2:E1919)*(E1919=E$2:E1919)))))-COUNTBLANK(OFFSET(A$1,,,SUMPRODUCT(MAX(ROW(E$1:E1918)*(E2=E$1:E1918))))))</f>
        <v/>
      </c>
      <c r="K1919" s="24" t="str">
        <f>IF(OR(E1919="",E1919="!!!",F1919="NEW"),"",INDEX(J$1:J1918,SUMPRODUCT(MAX(ROW(E$1:E1918)*(E1919=E$1:E1918)))))</f>
        <v/>
      </c>
      <c r="L1919" s="25"/>
    </row>
    <row r="1920" spans="1:12" x14ac:dyDescent="0.3">
      <c r="A1920" t="s">
        <v>528</v>
      </c>
      <c r="E1920" s="20" t="str">
        <f t="shared" si="218"/>
        <v/>
      </c>
      <c r="F1920" s="21" t="str">
        <f>IF(OR(E1920="",E1920="!!!"),"",IF(NOT(ISNA(VLOOKUP(E1920,E$1:E1919,1,FALSE()))),"OLD",IF(AND(E1920&lt;&gt;"",E1920&lt;&gt;"!!!"),"NEW","")))</f>
        <v/>
      </c>
      <c r="G1920" s="22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/>
      </c>
      <c r="H1920" s="23" t="str">
        <f t="shared" ca="1" si="219"/>
        <v/>
      </c>
      <c r="I1920" s="24" t="str">
        <f>IF(OR(E1920="",E1920="!!!",F1920="NEW"),"",INDEX(B$2:B1919,-1+SUMPRODUCT(MAX(ROW(E$2:E1919)*(E1920=E$2:E1919)))))</f>
        <v/>
      </c>
      <c r="J1920" s="24" t="str">
        <f ca="1">IF(OR(E1920="",E1920="!!!",F1920="NEW"),"",COUNTBLANK(OFFSET(A$1,,,SUMPRODUCT(MAX(ROW(E$2:E1920)*(E1920=E$2:E1920)))))-COUNTBLANK(OFFSET(A$1,,,SUMPRODUCT(MAX(ROW(E$1:E1919)*(E2=E$1:E1919))))))</f>
        <v/>
      </c>
      <c r="K1920" s="24" t="str">
        <f>IF(OR(E1920="",E1920="!!!",F1920="NEW"),"",INDEX(J$1:J1919,SUMPRODUCT(MAX(ROW(E$1:E1919)*(E1920=E$1:E1919)))))</f>
        <v/>
      </c>
      <c r="L1920" s="25"/>
    </row>
    <row r="1921" spans="1:12" x14ac:dyDescent="0.3">
      <c r="A1921" t="s">
        <v>529</v>
      </c>
      <c r="E1921" s="20" t="str">
        <f t="shared" si="218"/>
        <v/>
      </c>
      <c r="F1921" s="21" t="str">
        <f>IF(OR(E1921="",E1921="!!!"),"",IF(NOT(ISNA(VLOOKUP(E1921,E$1:E1920,1,FALSE()))),"OLD",IF(AND(E1921&lt;&gt;"",E1921&lt;&gt;"!!!"),"NEW","")))</f>
        <v/>
      </c>
      <c r="G1921" s="22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/>
      </c>
      <c r="H1921" s="23" t="str">
        <f t="shared" ca="1" si="219"/>
        <v/>
      </c>
      <c r="I1921" s="24" t="str">
        <f>IF(OR(E1921="",E1921="!!!",F1921="NEW"),"",INDEX(B$2:B1920,-1+SUMPRODUCT(MAX(ROW(E$2:E1920)*(E1921=E$2:E1920)))))</f>
        <v/>
      </c>
      <c r="J1921" s="24" t="str">
        <f ca="1">IF(OR(E1921="",E1921="!!!",F1921="NEW"),"",COUNTBLANK(OFFSET(A$1,,,SUMPRODUCT(MAX(ROW(E$2:E1921)*(E1921=E$2:E1921)))))-COUNTBLANK(OFFSET(A$1,,,SUMPRODUCT(MAX(ROW(E$1:E1920)*(E2=E$1:E1920))))))</f>
        <v/>
      </c>
      <c r="K1921" s="24" t="str">
        <f>IF(OR(E1921="",E1921="!!!",F1921="NEW"),"",INDEX(J$1:J1920,SUMPRODUCT(MAX(ROW(E$1:E1920)*(E1921=E$1:E1920)))))</f>
        <v/>
      </c>
      <c r="L1921" s="25"/>
    </row>
    <row r="1922" spans="1:12" x14ac:dyDescent="0.3">
      <c r="A1922" t="s">
        <v>391</v>
      </c>
      <c r="B1922" s="26" t="s">
        <v>450</v>
      </c>
      <c r="C1922" s="26" t="s">
        <v>341</v>
      </c>
      <c r="D1922" s="26" t="s">
        <v>332</v>
      </c>
      <c r="E1922" s="20" t="str">
        <f t="shared" si="218"/>
        <v>!!!</v>
      </c>
      <c r="F1922" s="21" t="str">
        <f>IF(OR(E1922="",E1922="!!!"),"",IF(NOT(ISNA(VLOOKUP(E1922,E$1:E1921,1,FALSE()))),"OLD",IF(AND(E1922&lt;&gt;"",E1922&lt;&gt;"!!!"),"NEW","")))</f>
        <v/>
      </c>
      <c r="G1922" s="22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/>
      </c>
      <c r="H1922" s="23" t="str">
        <f t="shared" ca="1" si="219"/>
        <v/>
      </c>
      <c r="I1922" s="24" t="str">
        <f>IF(OR(E1922="",E1922="!!!",F1922="NEW"),"",INDEX(B$2:B1921,-1+SUMPRODUCT(MAX(ROW(E$2:E1921)*(E1922=E$2:E1921)))))</f>
        <v/>
      </c>
      <c r="J1922" s="24" t="str">
        <f ca="1">IF(OR(E1922="",E1922="!!!",F1922="NEW"),"",COUNTBLANK(OFFSET(A$1,,,SUMPRODUCT(MAX(ROW(E$2:E1922)*(E1922=E$2:E1922)))))-COUNTBLANK(OFFSET(A$1,,,SUMPRODUCT(MAX(ROW(E$1:E1921)*(E2=E$1:E1921))))))</f>
        <v/>
      </c>
      <c r="K1922" s="24" t="str">
        <f>IF(OR(E1922="",E1922="!!!",F1922="NEW"),"",INDEX(J$1:J1921,SUMPRODUCT(MAX(ROW(E$1:E1921)*(E1922=E$1:E1921)))))</f>
        <v/>
      </c>
      <c r="L1922" s="25"/>
    </row>
    <row r="1923" spans="1:12" x14ac:dyDescent="0.3">
      <c r="A1923" t="s">
        <v>333</v>
      </c>
      <c r="E1923" s="20" t="str">
        <f t="shared" si="218"/>
        <v/>
      </c>
      <c r="F1923" s="21" t="str">
        <f>IF(OR(E1923="",E1923="!!!"),"",IF(NOT(ISNA(VLOOKUP(E1923,E$1:E1922,1,FALSE()))),"OLD",IF(AND(E1923&lt;&gt;"",E1923&lt;&gt;"!!!"),"NEW","")))</f>
        <v/>
      </c>
      <c r="G1923" s="22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/>
      </c>
      <c r="H1923" s="23" t="str">
        <f t="shared" ca="1" si="219"/>
        <v/>
      </c>
      <c r="I1923" s="24" t="str">
        <f>IF(OR(E1923="",E1923="!!!",F1923="NEW"),"",INDEX(B$2:B1922,-1+SUMPRODUCT(MAX(ROW(E$2:E1922)*(E1923=E$2:E1922)))))</f>
        <v/>
      </c>
      <c r="J1923" s="24" t="str">
        <f ca="1">IF(OR(E1923="",E1923="!!!",F1923="NEW"),"",COUNTBLANK(OFFSET(A$1,,,SUMPRODUCT(MAX(ROW(E$2:E1923)*(E1923=E$2:E1923)))))-COUNTBLANK(OFFSET(A$1,,,SUMPRODUCT(MAX(ROW(E$1:E1922)*(E2=E$1:E1922))))))</f>
        <v/>
      </c>
      <c r="K1923" s="24" t="str">
        <f>IF(OR(E1923="",E1923="!!!",F1923="NEW"),"",INDEX(J$1:J1922,SUMPRODUCT(MAX(ROW(E$1:E1922)*(E1923=E$1:E1922)))))</f>
        <v/>
      </c>
      <c r="L1923" s="25"/>
    </row>
    <row r="1924" spans="1:12" x14ac:dyDescent="0.3">
      <c r="A1924" t="s">
        <v>827</v>
      </c>
      <c r="E1924" s="20" t="str">
        <f t="shared" si="218"/>
        <v/>
      </c>
      <c r="F1924" s="21" t="str">
        <f>IF(OR(E1924="",E1924="!!!"),"",IF(NOT(ISNA(VLOOKUP(E1924,E$1:E1923,1,FALSE()))),"OLD",IF(AND(E1924&lt;&gt;"",E1924&lt;&gt;"!!!"),"NEW","")))</f>
        <v/>
      </c>
      <c r="G1924" s="22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/>
      </c>
      <c r="H1924" s="23" t="str">
        <f t="shared" ca="1" si="219"/>
        <v/>
      </c>
      <c r="I1924" s="24" t="str">
        <f>IF(OR(E1924="",E1924="!!!",F1924="NEW"),"",INDEX(B$2:B1923,-1+SUMPRODUCT(MAX(ROW(E$2:E1923)*(E1924=E$2:E1923)))))</f>
        <v/>
      </c>
      <c r="J1924" s="24" t="str">
        <f ca="1">IF(OR(E1924="",E1924="!!!",F1924="NEW"),"",COUNTBLANK(OFFSET(A$1,,,SUMPRODUCT(MAX(ROW(E$2:E1924)*(E1924=E$2:E1924)))))-COUNTBLANK(OFFSET(A$1,,,SUMPRODUCT(MAX(ROW(E$1:E1923)*(E2=E$1:E1923))))))</f>
        <v/>
      </c>
      <c r="K1924" s="24" t="str">
        <f>IF(OR(E1924="",E1924="!!!",F1924="NEW"),"",INDEX(J$1:J1923,SUMPRODUCT(MAX(ROW(E$1:E1923)*(E1924=E$1:E1923)))))</f>
        <v/>
      </c>
      <c r="L1924" s="25"/>
    </row>
    <row r="1925" spans="1:12" x14ac:dyDescent="0.3">
      <c r="A1925" t="s">
        <v>1120</v>
      </c>
      <c r="E1925" s="20" t="str">
        <f t="shared" si="218"/>
        <v/>
      </c>
      <c r="F1925" s="21" t="str">
        <f>IF(OR(E1925="",E1925="!!!"),"",IF(NOT(ISNA(VLOOKUP(E1925,E$1:E1924,1,FALSE()))),"OLD",IF(AND(E1925&lt;&gt;"",E1925&lt;&gt;"!!!"),"NEW","")))</f>
        <v/>
      </c>
      <c r="G1925" s="22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/>
      </c>
      <c r="H1925" s="23" t="str">
        <f t="shared" ca="1" si="219"/>
        <v/>
      </c>
      <c r="I1925" s="24" t="str">
        <f>IF(OR(E1925="",E1925="!!!",F1925="NEW"),"",INDEX(B$2:B1924,-1+SUMPRODUCT(MAX(ROW(E$2:E1924)*(E1925=E$2:E1924)))))</f>
        <v/>
      </c>
      <c r="J1925" s="24" t="str">
        <f ca="1">IF(OR(E1925="",E1925="!!!",F1925="NEW"),"",COUNTBLANK(OFFSET(A$1,,,SUMPRODUCT(MAX(ROW(E$2:E1925)*(E1925=E$2:E1925)))))-COUNTBLANK(OFFSET(A$1,,,SUMPRODUCT(MAX(ROW(E$1:E1924)*(E2=E$1:E1924))))))</f>
        <v/>
      </c>
      <c r="K1925" s="24" t="str">
        <f>IF(OR(E1925="",E1925="!!!",F1925="NEW"),"",INDEX(J$1:J1924,SUMPRODUCT(MAX(ROW(E$1:E1924)*(E1925=E$1:E1924)))))</f>
        <v/>
      </c>
      <c r="L1925" s="25"/>
    </row>
    <row r="1926" spans="1:12" x14ac:dyDescent="0.3">
      <c r="A1926" t="s">
        <v>410</v>
      </c>
      <c r="E1926" s="20" t="str">
        <f t="shared" si="218"/>
        <v/>
      </c>
      <c r="F1926" s="21" t="str">
        <f>IF(OR(E1926="",E1926="!!!"),"",IF(NOT(ISNA(VLOOKUP(E1926,E$1:E1925,1,FALSE()))),"OLD",IF(AND(E1926&lt;&gt;"",E1926&lt;&gt;"!!!"),"NEW","")))</f>
        <v/>
      </c>
      <c r="G1926" s="22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/>
      </c>
      <c r="H1926" s="23" t="str">
        <f t="shared" ca="1" si="219"/>
        <v/>
      </c>
      <c r="I1926" s="24" t="str">
        <f>IF(OR(E1926="",E1926="!!!",F1926="NEW"),"",INDEX(B$2:B1925,-1+SUMPRODUCT(MAX(ROW(E$2:E1925)*(E1926=E$2:E1925)))))</f>
        <v/>
      </c>
      <c r="J1926" s="24" t="str">
        <f ca="1">IF(OR(E1926="",E1926="!!!",F1926="NEW"),"",COUNTBLANK(OFFSET(A$1,,,SUMPRODUCT(MAX(ROW(E$2:E1926)*(E1926=E$2:E1926)))))-COUNTBLANK(OFFSET(A$1,,,SUMPRODUCT(MAX(ROW(E$1:E1925)*(E2=E$1:E1925))))))</f>
        <v/>
      </c>
      <c r="K1926" s="24" t="str">
        <f>IF(OR(E1926="",E1926="!!!",F1926="NEW"),"",INDEX(J$1:J1925,SUMPRODUCT(MAX(ROW(E$1:E1925)*(E1926=E$1:E1925)))))</f>
        <v/>
      </c>
      <c r="L1926" s="25"/>
    </row>
    <row r="1927" spans="1:12" x14ac:dyDescent="0.3">
      <c r="A1927" t="s">
        <v>468</v>
      </c>
      <c r="B1927" s="26" t="s">
        <v>330</v>
      </c>
      <c r="C1927" s="26" t="s">
        <v>438</v>
      </c>
      <c r="D1927" s="26" t="s">
        <v>332</v>
      </c>
      <c r="E1927" s="20" t="str">
        <f t="shared" si="218"/>
        <v>!!!</v>
      </c>
      <c r="F1927" s="21" t="str">
        <f>IF(OR(E1927="",E1927="!!!"),"",IF(NOT(ISNA(VLOOKUP(E1927,E$1:E1926,1,FALSE()))),"OLD",IF(AND(E1927&lt;&gt;"",E1927&lt;&gt;"!!!"),"NEW","")))</f>
        <v/>
      </c>
      <c r="G1927" s="22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/>
      </c>
      <c r="H1927" s="23" t="str">
        <f t="shared" ca="1" si="219"/>
        <v/>
      </c>
      <c r="I1927" s="24" t="str">
        <f>IF(OR(E1927="",E1927="!!!",F1927="NEW"),"",INDEX(B$2:B1926,-1+SUMPRODUCT(MAX(ROW(E$2:E1926)*(E1927=E$2:E1926)))))</f>
        <v/>
      </c>
      <c r="J1927" s="24" t="str">
        <f ca="1">IF(OR(E1927="",E1927="!!!",F1927="NEW"),"",COUNTBLANK(OFFSET(A$1,,,SUMPRODUCT(MAX(ROW(E$2:E1927)*(E1927=E$2:E1927)))))-COUNTBLANK(OFFSET(A$1,,,SUMPRODUCT(MAX(ROW(E$1:E1926)*(E2=E$1:E1926))))))</f>
        <v/>
      </c>
      <c r="K1927" s="24" t="str">
        <f>IF(OR(E1927="",E1927="!!!",F1927="NEW"),"",INDEX(J$1:J1926,SUMPRODUCT(MAX(ROW(E$1:E1926)*(E1927=E$1:E1926)))))</f>
        <v/>
      </c>
      <c r="L1927" s="25"/>
    </row>
    <row r="1928" spans="1:12" x14ac:dyDescent="0.3">
      <c r="A1928" t="s">
        <v>1121</v>
      </c>
      <c r="E1928" s="20" t="str">
        <f t="shared" si="218"/>
        <v/>
      </c>
      <c r="F1928" s="21" t="str">
        <f>IF(OR(E1928="",E1928="!!!"),"",IF(NOT(ISNA(VLOOKUP(E1928,E$1:E1927,1,FALSE()))),"OLD",IF(AND(E1928&lt;&gt;"",E1928&lt;&gt;"!!!"),"NEW","")))</f>
        <v/>
      </c>
      <c r="G1928" s="22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/>
      </c>
      <c r="H1928" s="23" t="str">
        <f t="shared" ca="1" si="219"/>
        <v/>
      </c>
      <c r="I1928" s="24" t="str">
        <f>IF(OR(E1928="",E1928="!!!",F1928="NEW"),"",INDEX(B$2:B1927,-1+SUMPRODUCT(MAX(ROW(E$2:E1927)*(E1928=E$2:E1927)))))</f>
        <v/>
      </c>
      <c r="J1928" s="24" t="str">
        <f ca="1">IF(OR(E1928="",E1928="!!!",F1928="NEW"),"",COUNTBLANK(OFFSET(A$1,,,SUMPRODUCT(MAX(ROW(E$2:E1928)*(E1928=E$2:E1928)))))-COUNTBLANK(OFFSET(A$1,,,SUMPRODUCT(MAX(ROW(E$1:E1927)*(E2=E$1:E1927))))))</f>
        <v/>
      </c>
      <c r="K1928" s="24" t="str">
        <f>IF(OR(E1928="",E1928="!!!",F1928="NEW"),"",INDEX(J$1:J1927,SUMPRODUCT(MAX(ROW(E$1:E1927)*(E1928=E$1:E1927)))))</f>
        <v/>
      </c>
      <c r="L1928" s="25"/>
    </row>
    <row r="1929" spans="1:12" x14ac:dyDescent="0.3">
      <c r="A1929" t="s">
        <v>1122</v>
      </c>
      <c r="B1929" s="26" t="s">
        <v>344</v>
      </c>
      <c r="C1929" s="26" t="s">
        <v>355</v>
      </c>
      <c r="E1929" s="20" t="str">
        <f t="shared" si="218"/>
        <v/>
      </c>
      <c r="F1929" s="21" t="str">
        <f>IF(OR(E1929="",E1929="!!!"),"",IF(NOT(ISNA(VLOOKUP(E1929,E$1:E1928,1,FALSE()))),"OLD",IF(AND(E1929&lt;&gt;"",E1929&lt;&gt;"!!!"),"NEW","")))</f>
        <v/>
      </c>
      <c r="G1929" s="22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/>
      </c>
      <c r="H1929" s="23" t="str">
        <f t="shared" ca="1" si="219"/>
        <v/>
      </c>
      <c r="I1929" s="24" t="str">
        <f>IF(OR(E1929="",E1929="!!!",F1929="NEW"),"",INDEX(B$2:B1928,-1+SUMPRODUCT(MAX(ROW(E$2:E1928)*(E1929=E$2:E1928)))))</f>
        <v/>
      </c>
      <c r="J1929" s="24" t="str">
        <f ca="1">IF(OR(E1929="",E1929="!!!",F1929="NEW"),"",COUNTBLANK(OFFSET(A$1,,,SUMPRODUCT(MAX(ROW(E$2:E1929)*(E1929=E$2:E1929)))))-COUNTBLANK(OFFSET(A$1,,,SUMPRODUCT(MAX(ROW(E$1:E1928)*(E2=E$1:E1928))))))</f>
        <v/>
      </c>
      <c r="K1929" s="24" t="str">
        <f>IF(OR(E1929="",E1929="!!!",F1929="NEW"),"",INDEX(J$1:J1928,SUMPRODUCT(MAX(ROW(E$1:E1928)*(E1929=E$1:E1928)))))</f>
        <v/>
      </c>
      <c r="L1929" s="25"/>
    </row>
    <row r="1930" spans="1:12" x14ac:dyDescent="0.3">
      <c r="A1930" t="s">
        <v>1123</v>
      </c>
      <c r="E1930" s="20" t="str">
        <f t="shared" si="218"/>
        <v/>
      </c>
      <c r="F1930" s="21" t="str">
        <f>IF(OR(E1930="",E1930="!!!"),"",IF(NOT(ISNA(VLOOKUP(E1930,E$1:E1929,1,FALSE()))),"OLD",IF(AND(E1930&lt;&gt;"",E1930&lt;&gt;"!!!"),"NEW","")))</f>
        <v/>
      </c>
      <c r="G1930" s="22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/>
      </c>
      <c r="H1930" s="23" t="str">
        <f t="shared" ca="1" si="219"/>
        <v/>
      </c>
      <c r="I1930" s="24" t="str">
        <f>IF(OR(E1930="",E1930="!!!",F1930="NEW"),"",INDEX(B$2:B1929,-1+SUMPRODUCT(MAX(ROW(E$2:E1929)*(E1930=E$2:E1929)))))</f>
        <v/>
      </c>
      <c r="J1930" s="24" t="str">
        <f ca="1">IF(OR(E1930="",E1930="!!!",F1930="NEW"),"",COUNTBLANK(OFFSET(A$1,,,SUMPRODUCT(MAX(ROW(E$2:E1930)*(E1930=E$2:E1930)))))-COUNTBLANK(OFFSET(A$1,,,SUMPRODUCT(MAX(ROW(E$1:E1929)*(E2=E$1:E1929))))))</f>
        <v/>
      </c>
      <c r="K1930" s="24" t="str">
        <f>IF(OR(E1930="",E1930="!!!",F1930="NEW"),"",INDEX(J$1:J1929,SUMPRODUCT(MAX(ROW(E$1:E1929)*(E1930=E$1:E1929)))))</f>
        <v/>
      </c>
      <c r="L1930" s="25"/>
    </row>
    <row r="1931" spans="1:12" x14ac:dyDescent="0.3">
      <c r="A1931" t="s">
        <v>351</v>
      </c>
      <c r="E1931" s="20" t="str">
        <f t="shared" si="218"/>
        <v/>
      </c>
      <c r="F1931" s="21" t="str">
        <f>IF(OR(E1931="",E1931="!!!"),"",IF(NOT(ISNA(VLOOKUP(E1931,E$1:E1930,1,FALSE()))),"OLD",IF(AND(E1931&lt;&gt;"",E1931&lt;&gt;"!!!"),"NEW","")))</f>
        <v/>
      </c>
      <c r="G1931" s="22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/>
      </c>
      <c r="H1931" s="23" t="str">
        <f t="shared" ca="1" si="219"/>
        <v/>
      </c>
      <c r="I1931" s="24" t="str">
        <f>IF(OR(E1931="",E1931="!!!",F1931="NEW"),"",INDEX(B$2:B1930,-1+SUMPRODUCT(MAX(ROW(E$2:E1930)*(E1931=E$2:E1930)))))</f>
        <v/>
      </c>
      <c r="J1931" s="24" t="str">
        <f ca="1">IF(OR(E1931="",E1931="!!!",F1931="NEW"),"",COUNTBLANK(OFFSET(A$1,,,SUMPRODUCT(MAX(ROW(E$2:E1931)*(E1931=E$2:E1931)))))-COUNTBLANK(OFFSET(A$1,,,SUMPRODUCT(MAX(ROW(E$1:E1930)*(E2=E$1:E1930))))))</f>
        <v/>
      </c>
      <c r="K1931" s="24" t="str">
        <f>IF(OR(E1931="",E1931="!!!",F1931="NEW"),"",INDEX(J$1:J1930,SUMPRODUCT(MAX(ROW(E$1:E1930)*(E1931=E$1:E1930)))))</f>
        <v/>
      </c>
      <c r="L1931" s="25"/>
    </row>
    <row r="1932" spans="1:12" x14ac:dyDescent="0.3">
      <c r="A1932" t="s">
        <v>372</v>
      </c>
      <c r="E1932" s="20" t="str">
        <f t="shared" si="218"/>
        <v/>
      </c>
      <c r="F1932" s="21" t="str">
        <f>IF(OR(E1932="",E1932="!!!"),"",IF(NOT(ISNA(VLOOKUP(E1932,E$1:E1931,1,FALSE()))),"OLD",IF(AND(E1932&lt;&gt;"",E1932&lt;&gt;"!!!"),"NEW","")))</f>
        <v/>
      </c>
      <c r="G1932" s="22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/>
      </c>
      <c r="H1932" s="23" t="str">
        <f t="shared" ca="1" si="219"/>
        <v/>
      </c>
      <c r="I1932" s="24" t="str">
        <f>IF(OR(E1932="",E1932="!!!",F1932="NEW"),"",INDEX(B$2:B1931,-1+SUMPRODUCT(MAX(ROW(E$2:E1931)*(E1932=E$2:E1931)))))</f>
        <v/>
      </c>
      <c r="J1932" s="24" t="str">
        <f ca="1">IF(OR(E1932="",E1932="!!!",F1932="NEW"),"",COUNTBLANK(OFFSET(A$1,,,SUMPRODUCT(MAX(ROW(E$2:E1932)*(E1932=E$2:E1932)))))-COUNTBLANK(OFFSET(A$1,,,SUMPRODUCT(MAX(ROW(E$1:E1931)*(E2=E$1:E1931))))))</f>
        <v/>
      </c>
      <c r="K1932" s="24" t="str">
        <f>IF(OR(E1932="",E1932="!!!",F1932="NEW"),"",INDEX(J$1:J1931,SUMPRODUCT(MAX(ROW(E$1:E1931)*(E1932=E$1:E1931)))))</f>
        <v/>
      </c>
      <c r="L1932" s="25"/>
    </row>
    <row r="1933" spans="1:12" x14ac:dyDescent="0.3">
      <c r="A1933" t="s">
        <v>477</v>
      </c>
      <c r="E1933" s="20" t="str">
        <f t="shared" si="218"/>
        <v/>
      </c>
      <c r="F1933" s="21" t="str">
        <f>IF(OR(E1933="",E1933="!!!"),"",IF(NOT(ISNA(VLOOKUP(E1933,E$1:E1932,1,FALSE()))),"OLD",IF(AND(E1933&lt;&gt;"",E1933&lt;&gt;"!!!"),"NEW","")))</f>
        <v/>
      </c>
      <c r="G1933" s="22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/>
      </c>
      <c r="H1933" s="23" t="str">
        <f t="shared" ca="1" si="219"/>
        <v/>
      </c>
      <c r="I1933" s="24" t="str">
        <f>IF(OR(E1933="",E1933="!!!",F1933="NEW"),"",INDEX(B$2:B1932,-1+SUMPRODUCT(MAX(ROW(E$2:E1932)*(E1933=E$2:E1932)))))</f>
        <v/>
      </c>
      <c r="J1933" s="24" t="str">
        <f ca="1">IF(OR(E1933="",E1933="!!!",F1933="NEW"),"",COUNTBLANK(OFFSET(A$1,,,SUMPRODUCT(MAX(ROW(E$2:E1933)*(E1933=E$2:E1933)))))-COUNTBLANK(OFFSET(A$1,,,SUMPRODUCT(MAX(ROW(E$1:E1932)*(E2=E$1:E1932))))))</f>
        <v/>
      </c>
      <c r="K1933" s="24" t="str">
        <f>IF(OR(E1933="",E1933="!!!",F1933="NEW"),"",INDEX(J$1:J1932,SUMPRODUCT(MAX(ROW(E$1:E1932)*(E1933=E$1:E1932)))))</f>
        <v/>
      </c>
      <c r="L1933" s="25"/>
    </row>
    <row r="1934" spans="1:12" x14ac:dyDescent="0.3">
      <c r="A1934" t="s">
        <v>393</v>
      </c>
      <c r="B1934" s="26" t="s">
        <v>362</v>
      </c>
      <c r="C1934" s="26" t="s">
        <v>394</v>
      </c>
      <c r="D1934" s="26" t="s">
        <v>332</v>
      </c>
      <c r="E1934" s="20" t="str">
        <f t="shared" si="218"/>
        <v>!!!</v>
      </c>
      <c r="F1934" s="21" t="str">
        <f>IF(OR(E1934="",E1934="!!!"),"",IF(NOT(ISNA(VLOOKUP(E1934,E$1:E1933,1,FALSE()))),"OLD",IF(AND(E1934&lt;&gt;"",E1934&lt;&gt;"!!!"),"NEW","")))</f>
        <v/>
      </c>
      <c r="G1934" s="22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/>
      </c>
      <c r="H1934" s="23" t="str">
        <f t="shared" ca="1" si="219"/>
        <v/>
      </c>
      <c r="I1934" s="24" t="str">
        <f>IF(OR(E1934="",E1934="!!!",F1934="NEW"),"",INDEX(B$2:B1933,-1+SUMPRODUCT(MAX(ROW(E$2:E1933)*(E1934=E$2:E1933)))))</f>
        <v/>
      </c>
      <c r="J1934" s="24" t="str">
        <f ca="1">IF(OR(E1934="",E1934="!!!",F1934="NEW"),"",COUNTBLANK(OFFSET(A$1,,,SUMPRODUCT(MAX(ROW(E$2:E1934)*(E1934=E$2:E1934)))))-COUNTBLANK(OFFSET(A$1,,,SUMPRODUCT(MAX(ROW(E$1:E1933)*(E2=E$1:E1933))))))</f>
        <v/>
      </c>
      <c r="K1934" s="24" t="str">
        <f>IF(OR(E1934="",E1934="!!!",F1934="NEW"),"",INDEX(J$1:J1933,SUMPRODUCT(MAX(ROW(E$1:E1933)*(E1934=E$1:E1933)))))</f>
        <v/>
      </c>
      <c r="L1934" s="25"/>
    </row>
    <row r="1935" spans="1:12" x14ac:dyDescent="0.3">
      <c r="A1935" t="s">
        <v>1124</v>
      </c>
      <c r="B1935" s="26" t="s">
        <v>378</v>
      </c>
      <c r="C1935" s="26" t="s">
        <v>561</v>
      </c>
      <c r="D1935" s="26" t="s">
        <v>332</v>
      </c>
      <c r="E1935" s="20" t="str">
        <f t="shared" si="218"/>
        <v>!!!</v>
      </c>
      <c r="F1935" s="21" t="str">
        <f>IF(OR(E1935="",E1935="!!!"),"",IF(NOT(ISNA(VLOOKUP(E1935,E$1:E1934,1,FALSE()))),"OLD",IF(AND(E1935&lt;&gt;"",E1935&lt;&gt;"!!!"),"NEW","")))</f>
        <v/>
      </c>
      <c r="G1935" s="22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/>
      </c>
      <c r="H1935" s="23" t="str">
        <f t="shared" ca="1" si="219"/>
        <v/>
      </c>
      <c r="I1935" s="24" t="str">
        <f>IF(OR(E1935="",E1935="!!!",F1935="NEW"),"",INDEX(B$2:B1934,-1+SUMPRODUCT(MAX(ROW(E$2:E1934)*(E1935=E$2:E1934)))))</f>
        <v/>
      </c>
      <c r="J1935" s="24" t="str">
        <f ca="1">IF(OR(E1935="",E1935="!!!",F1935="NEW"),"",COUNTBLANK(OFFSET(A$1,,,SUMPRODUCT(MAX(ROW(E$2:E1935)*(E1935=E$2:E1935)))))-COUNTBLANK(OFFSET(A$1,,,SUMPRODUCT(MAX(ROW(E$1:E1934)*(E2=E$1:E1934))))))</f>
        <v/>
      </c>
      <c r="K1935" s="24" t="str">
        <f>IF(OR(E1935="",E1935="!!!",F1935="NEW"),"",INDEX(J$1:J1934,SUMPRODUCT(MAX(ROW(E$1:E1934)*(E1935=E$1:E1934)))))</f>
        <v/>
      </c>
      <c r="L1935" s="25"/>
    </row>
    <row r="1936" spans="1:12" x14ac:dyDescent="0.3">
      <c r="A1936" t="s">
        <v>789</v>
      </c>
      <c r="E1936" s="20" t="str">
        <f t="shared" si="218"/>
        <v/>
      </c>
      <c r="F1936" s="21" t="str">
        <f>IF(OR(E1936="",E1936="!!!"),"",IF(NOT(ISNA(VLOOKUP(E1936,E$1:E1935,1,FALSE()))),"OLD",IF(AND(E1936&lt;&gt;"",E1936&lt;&gt;"!!!"),"NEW","")))</f>
        <v/>
      </c>
      <c r="G1936" s="22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/>
      </c>
      <c r="H1936" s="23" t="str">
        <f t="shared" ca="1" si="219"/>
        <v/>
      </c>
      <c r="I1936" s="24" t="str">
        <f>IF(OR(E1936="",E1936="!!!",F1936="NEW"),"",INDEX(B$2:B1935,-1+SUMPRODUCT(MAX(ROW(E$2:E1935)*(E1936=E$2:E1935)))))</f>
        <v/>
      </c>
      <c r="J1936" s="24" t="str">
        <f ca="1">IF(OR(E1936="",E1936="!!!",F1936="NEW"),"",COUNTBLANK(OFFSET(A$1,,,SUMPRODUCT(MAX(ROW(E$2:E1936)*(E1936=E$2:E1936)))))-COUNTBLANK(OFFSET(A$1,,,SUMPRODUCT(MAX(ROW(E$1:E1935)*(E2=E$1:E1935))))))</f>
        <v/>
      </c>
      <c r="K1936" s="24" t="str">
        <f>IF(OR(E1936="",E1936="!!!",F1936="NEW"),"",INDEX(J$1:J1935,SUMPRODUCT(MAX(ROW(E$1:E1935)*(E1936=E$1:E1935)))))</f>
        <v/>
      </c>
      <c r="L1936" s="25"/>
    </row>
    <row r="1937" spans="1:12" x14ac:dyDescent="0.3">
      <c r="A1937" t="s">
        <v>1125</v>
      </c>
      <c r="E1937" s="20" t="str">
        <f t="shared" si="218"/>
        <v/>
      </c>
      <c r="F1937" s="21" t="str">
        <f>IF(OR(E1937="",E1937="!!!"),"",IF(NOT(ISNA(VLOOKUP(E1937,E$1:E1936,1,FALSE()))),"OLD",IF(AND(E1937&lt;&gt;"",E1937&lt;&gt;"!!!"),"NEW","")))</f>
        <v/>
      </c>
      <c r="G1937" s="22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/>
      </c>
      <c r="H1937" s="23" t="str">
        <f t="shared" ca="1" si="219"/>
        <v/>
      </c>
      <c r="I1937" s="24" t="str">
        <f>IF(OR(E1937="",E1937="!!!",F1937="NEW"),"",INDEX(B$2:B1936,-1+SUMPRODUCT(MAX(ROW(E$2:E1936)*(E1937=E$2:E1936)))))</f>
        <v/>
      </c>
      <c r="J1937" s="24" t="str">
        <f ca="1">IF(OR(E1937="",E1937="!!!",F1937="NEW"),"",COUNTBLANK(OFFSET(A$1,,,SUMPRODUCT(MAX(ROW(E$2:E1937)*(E1937=E$2:E1937)))))-COUNTBLANK(OFFSET(A$1,,,SUMPRODUCT(MAX(ROW(E$1:E1936)*(E2=E$1:E1936))))))</f>
        <v/>
      </c>
      <c r="K1937" s="24" t="str">
        <f>IF(OR(E1937="",E1937="!!!",F1937="NEW"),"",INDEX(J$1:J1936,SUMPRODUCT(MAX(ROW(E$1:E1936)*(E1937=E$1:E1936)))))</f>
        <v/>
      </c>
      <c r="L1937" s="25"/>
    </row>
    <row r="1938" spans="1:12" x14ac:dyDescent="0.3">
      <c r="A1938" t="s">
        <v>396</v>
      </c>
      <c r="E1938" s="20" t="str">
        <f t="shared" si="218"/>
        <v/>
      </c>
      <c r="F1938" s="21" t="str">
        <f>IF(OR(E1938="",E1938="!!!"),"",IF(NOT(ISNA(VLOOKUP(E1938,E$1:E1937,1,FALSE()))),"OLD",IF(AND(E1938&lt;&gt;"",E1938&lt;&gt;"!!!"),"NEW","")))</f>
        <v/>
      </c>
      <c r="G1938" s="22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/>
      </c>
      <c r="H1938" s="23" t="str">
        <f t="shared" ca="1" si="219"/>
        <v/>
      </c>
      <c r="I1938" s="24" t="str">
        <f>IF(OR(E1938="",E1938="!!!",F1938="NEW"),"",INDEX(B$2:B1937,-1+SUMPRODUCT(MAX(ROW(E$2:E1937)*(E1938=E$2:E1937)))))</f>
        <v/>
      </c>
      <c r="J1938" s="24" t="str">
        <f ca="1">IF(OR(E1938="",E1938="!!!",F1938="NEW"),"",COUNTBLANK(OFFSET(A$1,,,SUMPRODUCT(MAX(ROW(E$2:E1938)*(E1938=E$2:E1938)))))-COUNTBLANK(OFFSET(A$1,,,SUMPRODUCT(MAX(ROW(E$1:E1937)*(E2=E$1:E1937))))))</f>
        <v/>
      </c>
      <c r="K1938" s="24" t="str">
        <f>IF(OR(E1938="",E1938="!!!",F1938="NEW"),"",INDEX(J$1:J1937,SUMPRODUCT(MAX(ROW(E$1:E1937)*(E1938=E$1:E1937)))))</f>
        <v/>
      </c>
      <c r="L1938" s="25"/>
    </row>
    <row r="1939" spans="1:12" x14ac:dyDescent="0.3">
      <c r="A1939" t="s">
        <v>466</v>
      </c>
      <c r="E1939" s="20" t="str">
        <f t="shared" si="218"/>
        <v/>
      </c>
      <c r="F1939" s="21" t="str">
        <f>IF(OR(E1939="",E1939="!!!"),"",IF(NOT(ISNA(VLOOKUP(E1939,E$1:E1938,1,FALSE()))),"OLD",IF(AND(E1939&lt;&gt;"",E1939&lt;&gt;"!!!"),"NEW","")))</f>
        <v/>
      </c>
      <c r="G1939" s="22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/>
      </c>
      <c r="H1939" s="23" t="str">
        <f t="shared" ca="1" si="219"/>
        <v/>
      </c>
      <c r="I1939" s="24" t="str">
        <f>IF(OR(E1939="",E1939="!!!",F1939="NEW"),"",INDEX(B$2:B1938,-1+SUMPRODUCT(MAX(ROW(E$2:E1938)*(E1939=E$2:E1938)))))</f>
        <v/>
      </c>
      <c r="J1939" s="24" t="str">
        <f ca="1">IF(OR(E1939="",E1939="!!!",F1939="NEW"),"",COUNTBLANK(OFFSET(A$1,,,SUMPRODUCT(MAX(ROW(E$2:E1939)*(E1939=E$2:E1939)))))-COUNTBLANK(OFFSET(A$1,,,SUMPRODUCT(MAX(ROW(E$1:E1938)*(E2=E$1:E1938))))))</f>
        <v/>
      </c>
      <c r="K1939" s="24" t="str">
        <f>IF(OR(E1939="",E1939="!!!",F1939="NEW"),"",INDEX(J$1:J1938,SUMPRODUCT(MAX(ROW(E$1:E1938)*(E1939=E$1:E1938)))))</f>
        <v/>
      </c>
      <c r="L1939" s="25"/>
    </row>
    <row r="1940" spans="1:12" x14ac:dyDescent="0.3">
      <c r="A1940" t="s">
        <v>351</v>
      </c>
      <c r="E1940" s="20" t="str">
        <f t="shared" si="218"/>
        <v/>
      </c>
      <c r="F1940" s="21" t="str">
        <f>IF(OR(E1940="",E1940="!!!"),"",IF(NOT(ISNA(VLOOKUP(E1940,E$1:E1939,1,FALSE()))),"OLD",IF(AND(E1940&lt;&gt;"",E1940&lt;&gt;"!!!"),"NEW","")))</f>
        <v/>
      </c>
      <c r="G1940" s="22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/>
      </c>
      <c r="H1940" s="23" t="str">
        <f t="shared" ca="1" si="219"/>
        <v/>
      </c>
      <c r="I1940" s="24" t="str">
        <f>IF(OR(E1940="",E1940="!!!",F1940="NEW"),"",INDEX(B$2:B1939,-1+SUMPRODUCT(MAX(ROW(E$2:E1939)*(E1940=E$2:E1939)))))</f>
        <v/>
      </c>
      <c r="J1940" s="24" t="str">
        <f ca="1">IF(OR(E1940="",E1940="!!!",F1940="NEW"),"",COUNTBLANK(OFFSET(A$1,,,SUMPRODUCT(MAX(ROW(E$2:E1940)*(E1940=E$2:E1940)))))-COUNTBLANK(OFFSET(A$1,,,SUMPRODUCT(MAX(ROW(E$1:E1939)*(E2=E$1:E1939))))))</f>
        <v/>
      </c>
      <c r="K1940" s="24" t="str">
        <f>IF(OR(E1940="",E1940="!!!",F1940="NEW"),"",INDEX(J$1:J1939,SUMPRODUCT(MAX(ROW(E$1:E1939)*(E1940=E$1:E1939)))))</f>
        <v/>
      </c>
      <c r="L1940" s="25"/>
    </row>
    <row r="1941" spans="1:12" x14ac:dyDescent="0.3">
      <c r="A1941" t="s">
        <v>667</v>
      </c>
      <c r="E1941" s="20" t="str">
        <f t="shared" si="218"/>
        <v/>
      </c>
      <c r="F1941" s="21" t="str">
        <f>IF(OR(E1941="",E1941="!!!"),"",IF(NOT(ISNA(VLOOKUP(E1941,E$1:E1940,1,FALSE()))),"OLD",IF(AND(E1941&lt;&gt;"",E1941&lt;&gt;"!!!"),"NEW","")))</f>
        <v/>
      </c>
      <c r="G1941" s="22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/>
      </c>
      <c r="H1941" s="23" t="str">
        <f t="shared" ca="1" si="219"/>
        <v/>
      </c>
      <c r="I1941" s="24" t="str">
        <f>IF(OR(E1941="",E1941="!!!",F1941="NEW"),"",INDEX(B$2:B1940,-1+SUMPRODUCT(MAX(ROW(E$2:E1940)*(E1941=E$2:E1940)))))</f>
        <v/>
      </c>
      <c r="J1941" s="24" t="str">
        <f ca="1">IF(OR(E1941="",E1941="!!!",F1941="NEW"),"",COUNTBLANK(OFFSET(A$1,,,SUMPRODUCT(MAX(ROW(E$2:E1941)*(E1941=E$2:E1941)))))-COUNTBLANK(OFFSET(A$1,,,SUMPRODUCT(MAX(ROW(E$1:E1940)*(E2=E$1:E1940))))))</f>
        <v/>
      </c>
      <c r="K1941" s="24" t="str">
        <f>IF(OR(E1941="",E1941="!!!",F1941="NEW"),"",INDEX(J$1:J1940,SUMPRODUCT(MAX(ROW(E$1:E1940)*(E1941=E$1:E1940)))))</f>
        <v/>
      </c>
      <c r="L1941" s="25"/>
    </row>
    <row r="1942" spans="1:12" x14ac:dyDescent="0.3">
      <c r="A1942" t="s">
        <v>638</v>
      </c>
      <c r="E1942" s="20" t="str">
        <f t="shared" si="218"/>
        <v/>
      </c>
      <c r="F1942" s="21" t="str">
        <f>IF(OR(E1942="",E1942="!!!"),"",IF(NOT(ISNA(VLOOKUP(E1942,E$1:E1941,1,FALSE()))),"OLD",IF(AND(E1942&lt;&gt;"",E1942&lt;&gt;"!!!"),"NEW","")))</f>
        <v/>
      </c>
      <c r="G1942" s="22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/>
      </c>
      <c r="H1942" s="23" t="str">
        <f t="shared" ca="1" si="219"/>
        <v/>
      </c>
      <c r="I1942" s="24" t="str">
        <f>IF(OR(E1942="",E1942="!!!",F1942="NEW"),"",INDEX(B$2:B1941,-1+SUMPRODUCT(MAX(ROW(E$2:E1941)*(E1942=E$2:E1941)))))</f>
        <v/>
      </c>
      <c r="J1942" s="24" t="str">
        <f ca="1">IF(OR(E1942="",E1942="!!!",F1942="NEW"),"",COUNTBLANK(OFFSET(A$1,,,SUMPRODUCT(MAX(ROW(E$2:E1942)*(E1942=E$2:E1942)))))-COUNTBLANK(OFFSET(A$1,,,SUMPRODUCT(MAX(ROW(E$1:E1941)*(E2=E$1:E1941))))))</f>
        <v/>
      </c>
      <c r="K1942" s="24" t="str">
        <f>IF(OR(E1942="",E1942="!!!",F1942="NEW"),"",INDEX(J$1:J1941,SUMPRODUCT(MAX(ROW(E$1:E1941)*(E1942=E$1:E1941)))))</f>
        <v/>
      </c>
      <c r="L1942" s="25"/>
    </row>
    <row r="1944" spans="1:12" x14ac:dyDescent="0.3">
      <c r="A1944" t="s">
        <v>1126</v>
      </c>
    </row>
    <row r="1945" spans="1:12" x14ac:dyDescent="0.3">
      <c r="A1945" t="s">
        <v>1127</v>
      </c>
      <c r="E1945" s="20" t="str">
        <f t="shared" ref="E1945:E1952" si="220">IF(D1945="?OLD","!!!","")</f>
        <v/>
      </c>
      <c r="F1945" s="21" t="str">
        <f>IF(OR(E1945="",E1945="!!!"),"",IF(NOT(ISNA(VLOOKUP(E1945,E$1:E1944,1,FALSE()))),"OLD",IF(AND(E1945&lt;&gt;"",E1945&lt;&gt;"!!!"),"NEW","")))</f>
        <v/>
      </c>
      <c r="G1945" s="22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/>
      </c>
      <c r="H1945" s="23" t="str">
        <f t="shared" ref="H1945:H1952" ca="1" si="221">IF(J1945&lt;&gt;1,"",IF(I1945="SBJ","CB","?"))</f>
        <v/>
      </c>
      <c r="I1945" s="24" t="str">
        <f>IF(OR(E1945="",E1945="!!!",F1945="NEW"),"",INDEX(B$2:B1944,-1+SUMPRODUCT(MAX(ROW(E$2:E1944)*(E1945=E$2:E1944)))))</f>
        <v/>
      </c>
      <c r="J1945" s="24" t="str">
        <f ca="1">IF(OR(E1945="",E1945="!!!",F1945="NEW"),"",COUNTBLANK(OFFSET(A$1,,,SUMPRODUCT(MAX(ROW(E$2:E1945)*(E1945=E$2:E1945)))))-COUNTBLANK(OFFSET(A$1,,,SUMPRODUCT(MAX(ROW(E$1:E1944)*(E2=E$1:E1944))))))</f>
        <v/>
      </c>
      <c r="K1945" s="24" t="str">
        <f>IF(OR(E1945="",E1945="!!!",F1945="NEW"),"",INDEX(J$1:J1944,SUMPRODUCT(MAX(ROW(E$1:E1944)*(E1945=E$1:E1944)))))</f>
        <v/>
      </c>
      <c r="L1945" s="25"/>
    </row>
    <row r="1946" spans="1:12" x14ac:dyDescent="0.3">
      <c r="A1946" t="s">
        <v>426</v>
      </c>
      <c r="E1946" s="20" t="str">
        <f t="shared" si="220"/>
        <v/>
      </c>
      <c r="F1946" s="21" t="str">
        <f>IF(OR(E1946="",E1946="!!!"),"",IF(NOT(ISNA(VLOOKUP(E1946,E$1:E1945,1,FALSE()))),"OLD",IF(AND(E1946&lt;&gt;"",E1946&lt;&gt;"!!!"),"NEW","")))</f>
        <v/>
      </c>
      <c r="G1946" s="22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/>
      </c>
      <c r="H1946" s="23" t="str">
        <f t="shared" ca="1" si="221"/>
        <v/>
      </c>
      <c r="I1946" s="24" t="str">
        <f>IF(OR(E1946="",E1946="!!!",F1946="NEW"),"",INDEX(B$2:B1945,-1+SUMPRODUCT(MAX(ROW(E$2:E1945)*(E1946=E$2:E1945)))))</f>
        <v/>
      </c>
      <c r="J1946" s="24" t="str">
        <f ca="1">IF(OR(E1946="",E1946="!!!",F1946="NEW"),"",COUNTBLANK(OFFSET(A$1,,,SUMPRODUCT(MAX(ROW(E$2:E1946)*(E1946=E$2:E1946)))))-COUNTBLANK(OFFSET(A$1,,,SUMPRODUCT(MAX(ROW(E$1:E1945)*(E2=E$1:E1945))))))</f>
        <v/>
      </c>
      <c r="K1946" s="24" t="str">
        <f>IF(OR(E1946="",E1946="!!!",F1946="NEW"),"",INDEX(J$1:J1945,SUMPRODUCT(MAX(ROW(E$1:E1945)*(E1946=E$1:E1945)))))</f>
        <v/>
      </c>
      <c r="L1946" s="25"/>
    </row>
    <row r="1947" spans="1:12" x14ac:dyDescent="0.3">
      <c r="A1947" t="s">
        <v>427</v>
      </c>
      <c r="B1947" s="26" t="s">
        <v>337</v>
      </c>
      <c r="C1947" s="26" t="s">
        <v>355</v>
      </c>
      <c r="E1947" s="20" t="str">
        <f t="shared" si="220"/>
        <v/>
      </c>
      <c r="F1947" s="21" t="str">
        <f>IF(OR(E1947="",E1947="!!!"),"",IF(NOT(ISNA(VLOOKUP(E1947,E$1:E1946,1,FALSE()))),"OLD",IF(AND(E1947&lt;&gt;"",E1947&lt;&gt;"!!!"),"NEW","")))</f>
        <v/>
      </c>
      <c r="G1947" s="22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/>
      </c>
      <c r="H1947" s="23" t="str">
        <f t="shared" ca="1" si="221"/>
        <v/>
      </c>
      <c r="I1947" s="24" t="str">
        <f>IF(OR(E1947="",E1947="!!!",F1947="NEW"),"",INDEX(B$2:B1946,-1+SUMPRODUCT(MAX(ROW(E$2:E1946)*(E1947=E$2:E1946)))))</f>
        <v/>
      </c>
      <c r="J1947" s="24" t="str">
        <f ca="1">IF(OR(E1947="",E1947="!!!",F1947="NEW"),"",COUNTBLANK(OFFSET(A$1,,,SUMPRODUCT(MAX(ROW(E$2:E1947)*(E1947=E$2:E1947)))))-COUNTBLANK(OFFSET(A$1,,,SUMPRODUCT(MAX(ROW(E$1:E1946)*(E2=E$1:E1946))))))</f>
        <v/>
      </c>
      <c r="K1947" s="24" t="str">
        <f>IF(OR(E1947="",E1947="!!!",F1947="NEW"),"",INDEX(J$1:J1946,SUMPRODUCT(MAX(ROW(E$1:E1946)*(E1947=E$1:E1946)))))</f>
        <v/>
      </c>
      <c r="L1947" s="25"/>
    </row>
    <row r="1948" spans="1:12" x14ac:dyDescent="0.3">
      <c r="A1948" t="s">
        <v>511</v>
      </c>
      <c r="E1948" s="20" t="str">
        <f t="shared" si="220"/>
        <v/>
      </c>
      <c r="F1948" s="21" t="str">
        <f>IF(OR(E1948="",E1948="!!!"),"",IF(NOT(ISNA(VLOOKUP(E1948,E$1:E1947,1,FALSE()))),"OLD",IF(AND(E1948&lt;&gt;"",E1948&lt;&gt;"!!!"),"NEW","")))</f>
        <v/>
      </c>
      <c r="G1948" s="22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/>
      </c>
      <c r="H1948" s="23" t="str">
        <f t="shared" ca="1" si="221"/>
        <v/>
      </c>
      <c r="I1948" s="24" t="str">
        <f>IF(OR(E1948="",E1948="!!!",F1948="NEW"),"",INDEX(B$2:B1947,-1+SUMPRODUCT(MAX(ROW(E$2:E1947)*(E1948=E$2:E1947)))))</f>
        <v/>
      </c>
      <c r="J1948" s="24" t="str">
        <f ca="1">IF(OR(E1948="",E1948="!!!",F1948="NEW"),"",COUNTBLANK(OFFSET(A$1,,,SUMPRODUCT(MAX(ROW(E$2:E1948)*(E1948=E$2:E1948)))))-COUNTBLANK(OFFSET(A$1,,,SUMPRODUCT(MAX(ROW(E$1:E1947)*(E2=E$1:E1947))))))</f>
        <v/>
      </c>
      <c r="K1948" s="24" t="str">
        <f>IF(OR(E1948="",E1948="!!!",F1948="NEW"),"",INDEX(J$1:J1947,SUMPRODUCT(MAX(ROW(E$1:E1947)*(E1948=E$1:E1947)))))</f>
        <v/>
      </c>
      <c r="L1948" s="25"/>
    </row>
    <row r="1949" spans="1:12" x14ac:dyDescent="0.3">
      <c r="A1949" t="s">
        <v>437</v>
      </c>
      <c r="B1949" s="26" t="s">
        <v>330</v>
      </c>
      <c r="C1949" s="26" t="s">
        <v>438</v>
      </c>
      <c r="D1949" s="26" t="s">
        <v>332</v>
      </c>
      <c r="E1949" s="20" t="str">
        <f t="shared" si="220"/>
        <v>!!!</v>
      </c>
      <c r="F1949" s="21" t="str">
        <f>IF(OR(E1949="",E1949="!!!"),"",IF(NOT(ISNA(VLOOKUP(E1949,E$1:E1948,1,FALSE()))),"OLD",IF(AND(E1949&lt;&gt;"",E1949&lt;&gt;"!!!"),"NEW","")))</f>
        <v/>
      </c>
      <c r="G1949" s="22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/>
      </c>
      <c r="H1949" s="23" t="str">
        <f t="shared" ca="1" si="221"/>
        <v/>
      </c>
      <c r="I1949" s="24" t="str">
        <f>IF(OR(E1949="",E1949="!!!",F1949="NEW"),"",INDEX(B$2:B1948,-1+SUMPRODUCT(MAX(ROW(E$2:E1948)*(E1949=E$2:E1948)))))</f>
        <v/>
      </c>
      <c r="J1949" s="24" t="str">
        <f ca="1">IF(OR(E1949="",E1949="!!!",F1949="NEW"),"",COUNTBLANK(OFFSET(A$1,,,SUMPRODUCT(MAX(ROW(E$2:E1949)*(E1949=E$2:E1949)))))-COUNTBLANK(OFFSET(A$1,,,SUMPRODUCT(MAX(ROW(E$1:E1948)*(E2=E$1:E1948))))))</f>
        <v/>
      </c>
      <c r="K1949" s="24" t="str">
        <f>IF(OR(E1949="",E1949="!!!",F1949="NEW"),"",INDEX(J$1:J1948,SUMPRODUCT(MAX(ROW(E$1:E1948)*(E1949=E$1:E1948)))))</f>
        <v/>
      </c>
      <c r="L1949" s="25"/>
    </row>
    <row r="1950" spans="1:12" x14ac:dyDescent="0.3">
      <c r="A1950" t="s">
        <v>850</v>
      </c>
      <c r="E1950" s="20" t="str">
        <f t="shared" si="220"/>
        <v/>
      </c>
      <c r="F1950" s="21" t="str">
        <f>IF(OR(E1950="",E1950="!!!"),"",IF(NOT(ISNA(VLOOKUP(E1950,E$1:E1949,1,FALSE()))),"OLD",IF(AND(E1950&lt;&gt;"",E1950&lt;&gt;"!!!"),"NEW","")))</f>
        <v/>
      </c>
      <c r="G1950" s="22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/>
      </c>
      <c r="H1950" s="23" t="str">
        <f t="shared" ca="1" si="221"/>
        <v/>
      </c>
      <c r="I1950" s="24" t="str">
        <f>IF(OR(E1950="",E1950="!!!",F1950="NEW"),"",INDEX(B$2:B1949,-1+SUMPRODUCT(MAX(ROW(E$2:E1949)*(E1950=E$2:E1949)))))</f>
        <v/>
      </c>
      <c r="J1950" s="24" t="str">
        <f ca="1">IF(OR(E1950="",E1950="!!!",F1950="NEW"),"",COUNTBLANK(OFFSET(A$1,,,SUMPRODUCT(MAX(ROW(E$2:E1950)*(E1950=E$2:E1950)))))-COUNTBLANK(OFFSET(A$1,,,SUMPRODUCT(MAX(ROW(E$1:E1949)*(E2=E$1:E1949))))))</f>
        <v/>
      </c>
      <c r="K1950" s="24" t="str">
        <f>IF(OR(E1950="",E1950="!!!",F1950="NEW"),"",INDEX(J$1:J1949,SUMPRODUCT(MAX(ROW(E$1:E1949)*(E1950=E$1:E1949)))))</f>
        <v/>
      </c>
      <c r="L1950" s="25"/>
    </row>
    <row r="1951" spans="1:12" x14ac:dyDescent="0.3">
      <c r="A1951" t="s">
        <v>395</v>
      </c>
      <c r="B1951" s="26" t="s">
        <v>344</v>
      </c>
      <c r="C1951" s="26" t="s">
        <v>366</v>
      </c>
      <c r="E1951" s="20" t="str">
        <f t="shared" si="220"/>
        <v/>
      </c>
      <c r="F1951" s="21" t="str">
        <f>IF(OR(E1951="",E1951="!!!"),"",IF(NOT(ISNA(VLOOKUP(E1951,E$1:E1950,1,FALSE()))),"OLD",IF(AND(E1951&lt;&gt;"",E1951&lt;&gt;"!!!"),"NEW","")))</f>
        <v/>
      </c>
      <c r="G1951" s="22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/>
      </c>
      <c r="H1951" s="23" t="str">
        <f t="shared" ca="1" si="221"/>
        <v/>
      </c>
      <c r="I1951" s="24" t="str">
        <f>IF(OR(E1951="",E1951="!!!",F1951="NEW"),"",INDEX(B$2:B1950,-1+SUMPRODUCT(MAX(ROW(E$2:E1950)*(E1951=E$2:E1950)))))</f>
        <v/>
      </c>
      <c r="J1951" s="24" t="str">
        <f ca="1">IF(OR(E1951="",E1951="!!!",F1951="NEW"),"",COUNTBLANK(OFFSET(A$1,,,SUMPRODUCT(MAX(ROW(E$2:E1951)*(E1951=E$2:E1951)))))-COUNTBLANK(OFFSET(A$1,,,SUMPRODUCT(MAX(ROW(E$1:E1950)*(E2=E$1:E1950))))))</f>
        <v/>
      </c>
      <c r="K1951" s="24" t="str">
        <f>IF(OR(E1951="",E1951="!!!",F1951="NEW"),"",INDEX(J$1:J1950,SUMPRODUCT(MAX(ROW(E$1:E1950)*(E1951=E$1:E1950)))))</f>
        <v/>
      </c>
      <c r="L1951" s="25"/>
    </row>
    <row r="1952" spans="1:12" x14ac:dyDescent="0.3">
      <c r="A1952" t="s">
        <v>338</v>
      </c>
      <c r="E1952" s="20" t="str">
        <f t="shared" si="220"/>
        <v/>
      </c>
      <c r="F1952" s="21" t="str">
        <f>IF(OR(E1952="",E1952="!!!"),"",IF(NOT(ISNA(VLOOKUP(E1952,E$1:E1951,1,FALSE()))),"OLD",IF(AND(E1952&lt;&gt;"",E1952&lt;&gt;"!!!"),"NEW","")))</f>
        <v/>
      </c>
      <c r="G1952" s="22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/>
      </c>
      <c r="H1952" s="23" t="str">
        <f t="shared" ca="1" si="221"/>
        <v/>
      </c>
      <c r="I1952" s="24" t="str">
        <f>IF(OR(E1952="",E1952="!!!",F1952="NEW"),"",INDEX(B$2:B1951,-1+SUMPRODUCT(MAX(ROW(E$2:E1951)*(E1952=E$2:E1951)))))</f>
        <v/>
      </c>
      <c r="J1952" s="24" t="str">
        <f ca="1">IF(OR(E1952="",E1952="!!!",F1952="NEW"),"",COUNTBLANK(OFFSET(A$1,,,SUMPRODUCT(MAX(ROW(E$2:E1952)*(E1952=E$2:E1952)))))-COUNTBLANK(OFFSET(A$1,,,SUMPRODUCT(MAX(ROW(E$1:E1951)*(E2=E$1:E1951))))))</f>
        <v/>
      </c>
      <c r="K1952" s="24" t="str">
        <f>IF(OR(E1952="",E1952="!!!",F1952="NEW"),"",INDEX(J$1:J1951,SUMPRODUCT(MAX(ROW(E$1:E1951)*(E1952=E$1:E1951)))))</f>
        <v/>
      </c>
      <c r="L1952" s="25"/>
    </row>
    <row r="1954" spans="1:12" x14ac:dyDescent="0.3">
      <c r="A1954" t="s">
        <v>1128</v>
      </c>
    </row>
    <row r="1955" spans="1:12" x14ac:dyDescent="0.3">
      <c r="A1955" t="s">
        <v>468</v>
      </c>
      <c r="B1955" s="26" t="s">
        <v>330</v>
      </c>
      <c r="C1955" s="26" t="s">
        <v>438</v>
      </c>
      <c r="D1955" s="26" t="s">
        <v>332</v>
      </c>
      <c r="E1955" s="20" t="str">
        <f t="shared" ref="E1955:E1980" si="222">IF(D1955="?OLD","!!!","")</f>
        <v>!!!</v>
      </c>
      <c r="F1955" s="21" t="str">
        <f>IF(OR(E1955="",E1955="!!!"),"",IF(NOT(ISNA(VLOOKUP(E1955,E$1:E1954,1,FALSE()))),"OLD",IF(AND(E1955&lt;&gt;"",E1955&lt;&gt;"!!!"),"NEW","")))</f>
        <v/>
      </c>
      <c r="G1955" s="22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/>
      </c>
      <c r="H1955" s="23" t="str">
        <f t="shared" ref="H1955:H1980" ca="1" si="223">IF(J1955&lt;&gt;1,"",IF(I1955="SBJ","CB","?"))</f>
        <v/>
      </c>
      <c r="I1955" s="24" t="str">
        <f>IF(OR(E1955="",E1955="!!!",F1955="NEW"),"",INDEX(B$2:B1954,-1+SUMPRODUCT(MAX(ROW(E$2:E1954)*(E1955=E$2:E1954)))))</f>
        <v/>
      </c>
      <c r="J1955" s="24" t="str">
        <f ca="1">IF(OR(E1955="",E1955="!!!",F1955="NEW"),"",COUNTBLANK(OFFSET(A$1,,,SUMPRODUCT(MAX(ROW(E$2:E1955)*(E1955=E$2:E1955)))))-COUNTBLANK(OFFSET(A$1,,,SUMPRODUCT(MAX(ROW(E$1:E1954)*(E2=E$1:E1954))))))</f>
        <v/>
      </c>
      <c r="K1955" s="24" t="str">
        <f>IF(OR(E1955="",E1955="!!!",F1955="NEW"),"",INDEX(J$1:J1954,SUMPRODUCT(MAX(ROW(E$1:E1954)*(E1955=E$1:E1954)))))</f>
        <v/>
      </c>
      <c r="L1955" s="25"/>
    </row>
    <row r="1956" spans="1:12" x14ac:dyDescent="0.3">
      <c r="A1956" t="s">
        <v>710</v>
      </c>
      <c r="E1956" s="20" t="str">
        <f t="shared" si="222"/>
        <v/>
      </c>
      <c r="F1956" s="21" t="str">
        <f>IF(OR(E1956="",E1956="!!!"),"",IF(NOT(ISNA(VLOOKUP(E1956,E$1:E1955,1,FALSE()))),"OLD",IF(AND(E1956&lt;&gt;"",E1956&lt;&gt;"!!!"),"NEW","")))</f>
        <v/>
      </c>
      <c r="G1956" s="22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/>
      </c>
      <c r="H1956" s="23" t="str">
        <f t="shared" ca="1" si="223"/>
        <v/>
      </c>
      <c r="I1956" s="24" t="str">
        <f>IF(OR(E1956="",E1956="!!!",F1956="NEW"),"",INDEX(B$2:B1955,-1+SUMPRODUCT(MAX(ROW(E$2:E1955)*(E1956=E$2:E1955)))))</f>
        <v/>
      </c>
      <c r="J1956" s="24" t="str">
        <f ca="1">IF(OR(E1956="",E1956="!!!",F1956="NEW"),"",COUNTBLANK(OFFSET(A$1,,,SUMPRODUCT(MAX(ROW(E$2:E1956)*(E1956=E$2:E1956)))))-COUNTBLANK(OFFSET(A$1,,,SUMPRODUCT(MAX(ROW(E$1:E1955)*(E2=E$1:E1955))))))</f>
        <v/>
      </c>
      <c r="K1956" s="24" t="str">
        <f>IF(OR(E1956="",E1956="!!!",F1956="NEW"),"",INDEX(J$1:J1955,SUMPRODUCT(MAX(ROW(E$1:E1955)*(E1956=E$1:E1955)))))</f>
        <v/>
      </c>
      <c r="L1956" s="25"/>
    </row>
    <row r="1957" spans="1:12" x14ac:dyDescent="0.3">
      <c r="A1957" t="s">
        <v>841</v>
      </c>
      <c r="E1957" s="20" t="str">
        <f t="shared" si="222"/>
        <v/>
      </c>
      <c r="F1957" s="21" t="str">
        <f>IF(OR(E1957="",E1957="!!!"),"",IF(NOT(ISNA(VLOOKUP(E1957,E$1:E1956,1,FALSE()))),"OLD",IF(AND(E1957&lt;&gt;"",E1957&lt;&gt;"!!!"),"NEW","")))</f>
        <v/>
      </c>
      <c r="G1957" s="22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/>
      </c>
      <c r="H1957" s="23" t="str">
        <f t="shared" ca="1" si="223"/>
        <v/>
      </c>
      <c r="I1957" s="24" t="str">
        <f>IF(OR(E1957="",E1957="!!!",F1957="NEW"),"",INDEX(B$2:B1956,-1+SUMPRODUCT(MAX(ROW(E$2:E1956)*(E1957=E$2:E1956)))))</f>
        <v/>
      </c>
      <c r="J1957" s="24" t="str">
        <f ca="1">IF(OR(E1957="",E1957="!!!",F1957="NEW"),"",COUNTBLANK(OFFSET(A$1,,,SUMPRODUCT(MAX(ROW(E$2:E1957)*(E1957=E$2:E1957)))))-COUNTBLANK(OFFSET(A$1,,,SUMPRODUCT(MAX(ROW(E$1:E1956)*(E2=E$1:E1956))))))</f>
        <v/>
      </c>
      <c r="K1957" s="24" t="str">
        <f>IF(OR(E1957="",E1957="!!!",F1957="NEW"),"",INDEX(J$1:J1956,SUMPRODUCT(MAX(ROW(E$1:E1956)*(E1957=E$1:E1956)))))</f>
        <v/>
      </c>
      <c r="L1957" s="25"/>
    </row>
    <row r="1958" spans="1:12" x14ac:dyDescent="0.3">
      <c r="A1958" t="s">
        <v>1129</v>
      </c>
      <c r="B1958" s="26" t="s">
        <v>344</v>
      </c>
      <c r="C1958" s="26" t="s">
        <v>544</v>
      </c>
      <c r="E1958" s="20" t="str">
        <f t="shared" si="222"/>
        <v/>
      </c>
      <c r="F1958" s="21" t="str">
        <f>IF(OR(E1958="",E1958="!!!"),"",IF(NOT(ISNA(VLOOKUP(E1958,E$1:E1957,1,FALSE()))),"OLD",IF(AND(E1958&lt;&gt;"",E1958&lt;&gt;"!!!"),"NEW","")))</f>
        <v/>
      </c>
      <c r="G1958" s="22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/>
      </c>
      <c r="H1958" s="23" t="str">
        <f t="shared" ca="1" si="223"/>
        <v/>
      </c>
      <c r="I1958" s="24" t="str">
        <f>IF(OR(E1958="",E1958="!!!",F1958="NEW"),"",INDEX(B$2:B1957,-1+SUMPRODUCT(MAX(ROW(E$2:E1957)*(E1958=E$2:E1957)))))</f>
        <v/>
      </c>
      <c r="J1958" s="24" t="str">
        <f ca="1">IF(OR(E1958="",E1958="!!!",F1958="NEW"),"",COUNTBLANK(OFFSET(A$1,,,SUMPRODUCT(MAX(ROW(E$2:E1958)*(E1958=E$2:E1958)))))-COUNTBLANK(OFFSET(A$1,,,SUMPRODUCT(MAX(ROW(E$1:E1957)*(E2=E$1:E1957))))))</f>
        <v/>
      </c>
      <c r="K1958" s="24" t="str">
        <f>IF(OR(E1958="",E1958="!!!",F1958="NEW"),"",INDEX(J$1:J1957,SUMPRODUCT(MAX(ROW(E$1:E1957)*(E1958=E$1:E1957)))))</f>
        <v/>
      </c>
      <c r="L1958" s="25"/>
    </row>
    <row r="1959" spans="1:12" x14ac:dyDescent="0.3">
      <c r="A1959" t="s">
        <v>351</v>
      </c>
      <c r="E1959" s="20" t="str">
        <f t="shared" si="222"/>
        <v/>
      </c>
      <c r="F1959" s="21" t="str">
        <f>IF(OR(E1959="",E1959="!!!"),"",IF(NOT(ISNA(VLOOKUP(E1959,E$1:E1958,1,FALSE()))),"OLD",IF(AND(E1959&lt;&gt;"",E1959&lt;&gt;"!!!"),"NEW","")))</f>
        <v/>
      </c>
      <c r="G1959" s="22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/>
      </c>
      <c r="H1959" s="23" t="str">
        <f t="shared" ca="1" si="223"/>
        <v/>
      </c>
      <c r="I1959" s="24" t="str">
        <f>IF(OR(E1959="",E1959="!!!",F1959="NEW"),"",INDEX(B$2:B1958,-1+SUMPRODUCT(MAX(ROW(E$2:E1958)*(E1959=E$2:E1958)))))</f>
        <v/>
      </c>
      <c r="J1959" s="24" t="str">
        <f ca="1">IF(OR(E1959="",E1959="!!!",F1959="NEW"),"",COUNTBLANK(OFFSET(A$1,,,SUMPRODUCT(MAX(ROW(E$2:E1959)*(E1959=E$2:E1959)))))-COUNTBLANK(OFFSET(A$1,,,SUMPRODUCT(MAX(ROW(E$1:E1958)*(E2=E$1:E1958))))))</f>
        <v/>
      </c>
      <c r="K1959" s="24" t="str">
        <f>IF(OR(E1959="",E1959="!!!",F1959="NEW"),"",INDEX(J$1:J1958,SUMPRODUCT(MAX(ROW(E$1:E1958)*(E1959=E$1:E1958)))))</f>
        <v/>
      </c>
      <c r="L1959" s="25"/>
    </row>
    <row r="1960" spans="1:12" x14ac:dyDescent="0.3">
      <c r="A1960" t="s">
        <v>1130</v>
      </c>
      <c r="E1960" s="20" t="str">
        <f t="shared" si="222"/>
        <v/>
      </c>
      <c r="F1960" s="21" t="str">
        <f>IF(OR(E1960="",E1960="!!!"),"",IF(NOT(ISNA(VLOOKUP(E1960,E$1:E1959,1,FALSE()))),"OLD",IF(AND(E1960&lt;&gt;"",E1960&lt;&gt;"!!!"),"NEW","")))</f>
        <v/>
      </c>
      <c r="G1960" s="22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/>
      </c>
      <c r="H1960" s="23" t="str">
        <f t="shared" ca="1" si="223"/>
        <v/>
      </c>
      <c r="I1960" s="24" t="str">
        <f>IF(OR(E1960="",E1960="!!!",F1960="NEW"),"",INDEX(B$2:B1959,-1+SUMPRODUCT(MAX(ROW(E$2:E1959)*(E1960=E$2:E1959)))))</f>
        <v/>
      </c>
      <c r="J1960" s="24" t="str">
        <f ca="1">IF(OR(E1960="",E1960="!!!",F1960="NEW"),"",COUNTBLANK(OFFSET(A$1,,,SUMPRODUCT(MAX(ROW(E$2:E1960)*(E1960=E$2:E1960)))))-COUNTBLANK(OFFSET(A$1,,,SUMPRODUCT(MAX(ROW(E$1:E1959)*(E2=E$1:E1959))))))</f>
        <v/>
      </c>
      <c r="K1960" s="24" t="str">
        <f>IF(OR(E1960="",E1960="!!!",F1960="NEW"),"",INDEX(J$1:J1959,SUMPRODUCT(MAX(ROW(E$1:E1959)*(E1960=E$1:E1959)))))</f>
        <v/>
      </c>
      <c r="L1960" s="25"/>
    </row>
    <row r="1961" spans="1:12" x14ac:dyDescent="0.3">
      <c r="A1961" t="s">
        <v>380</v>
      </c>
      <c r="E1961" s="20" t="str">
        <f t="shared" si="222"/>
        <v/>
      </c>
      <c r="F1961" s="21" t="str">
        <f>IF(OR(E1961="",E1961="!!!"),"",IF(NOT(ISNA(VLOOKUP(E1961,E$1:E1960,1,FALSE()))),"OLD",IF(AND(E1961&lt;&gt;"",E1961&lt;&gt;"!!!"),"NEW","")))</f>
        <v/>
      </c>
      <c r="G1961" s="22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/>
      </c>
      <c r="H1961" s="23" t="str">
        <f t="shared" ca="1" si="223"/>
        <v/>
      </c>
      <c r="I1961" s="24" t="str">
        <f>IF(OR(E1961="",E1961="!!!",F1961="NEW"),"",INDEX(B$2:B1960,-1+SUMPRODUCT(MAX(ROW(E$2:E1960)*(E1961=E$2:E1960)))))</f>
        <v/>
      </c>
      <c r="J1961" s="24" t="str">
        <f ca="1">IF(OR(E1961="",E1961="!!!",F1961="NEW"),"",COUNTBLANK(OFFSET(A$1,,,SUMPRODUCT(MAX(ROW(E$2:E1961)*(E1961=E$2:E1961)))))-COUNTBLANK(OFFSET(A$1,,,SUMPRODUCT(MAX(ROW(E$1:E1960)*(E2=E$1:E1960))))))</f>
        <v/>
      </c>
      <c r="K1961" s="24" t="str">
        <f>IF(OR(E1961="",E1961="!!!",F1961="NEW"),"",INDEX(J$1:J1960,SUMPRODUCT(MAX(ROW(E$1:E1960)*(E1961=E$1:E1960)))))</f>
        <v/>
      </c>
      <c r="L1961" s="25"/>
    </row>
    <row r="1962" spans="1:12" x14ac:dyDescent="0.3">
      <c r="A1962" t="s">
        <v>1131</v>
      </c>
      <c r="B1962" s="26" t="s">
        <v>357</v>
      </c>
      <c r="C1962" s="26" t="s">
        <v>331</v>
      </c>
      <c r="D1962" s="26" t="s">
        <v>332</v>
      </c>
      <c r="E1962" s="20" t="str">
        <f t="shared" si="222"/>
        <v>!!!</v>
      </c>
      <c r="F1962" s="21" t="str">
        <f>IF(OR(E1962="",E1962="!!!"),"",IF(NOT(ISNA(VLOOKUP(E1962,E$1:E1961,1,FALSE()))),"OLD",IF(AND(E1962&lt;&gt;"",E1962&lt;&gt;"!!!"),"NEW","")))</f>
        <v/>
      </c>
      <c r="G1962" s="22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/>
      </c>
      <c r="H1962" s="23" t="str">
        <f t="shared" ca="1" si="223"/>
        <v/>
      </c>
      <c r="I1962" s="24" t="str">
        <f>IF(OR(E1962="",E1962="!!!",F1962="NEW"),"",INDEX(B$2:B1961,-1+SUMPRODUCT(MAX(ROW(E$2:E1961)*(E1962=E$2:E1961)))))</f>
        <v/>
      </c>
      <c r="J1962" s="24" t="str">
        <f ca="1">IF(OR(E1962="",E1962="!!!",F1962="NEW"),"",COUNTBLANK(OFFSET(A$1,,,SUMPRODUCT(MAX(ROW(E$2:E1962)*(E1962=E$2:E1962)))))-COUNTBLANK(OFFSET(A$1,,,SUMPRODUCT(MAX(ROW(E$1:E1961)*(E2=E$1:E1961))))))</f>
        <v/>
      </c>
      <c r="K1962" s="24" t="str">
        <f>IF(OR(E1962="",E1962="!!!",F1962="NEW"),"",INDEX(J$1:J1961,SUMPRODUCT(MAX(ROW(E$1:E1961)*(E1962=E$1:E1961)))))</f>
        <v/>
      </c>
      <c r="L1962" s="25"/>
    </row>
    <row r="1963" spans="1:12" x14ac:dyDescent="0.3">
      <c r="A1963" t="s">
        <v>477</v>
      </c>
      <c r="E1963" s="20" t="str">
        <f t="shared" si="222"/>
        <v/>
      </c>
      <c r="F1963" s="21" t="str">
        <f>IF(OR(E1963="",E1963="!!!"),"",IF(NOT(ISNA(VLOOKUP(E1963,E$1:E1962,1,FALSE()))),"OLD",IF(AND(E1963&lt;&gt;"",E1963&lt;&gt;"!!!"),"NEW","")))</f>
        <v/>
      </c>
      <c r="G1963" s="22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/>
      </c>
      <c r="H1963" s="23" t="str">
        <f t="shared" ca="1" si="223"/>
        <v/>
      </c>
      <c r="I1963" s="24" t="str">
        <f>IF(OR(E1963="",E1963="!!!",F1963="NEW"),"",INDEX(B$2:B1962,-1+SUMPRODUCT(MAX(ROW(E$2:E1962)*(E1963=E$2:E1962)))))</f>
        <v/>
      </c>
      <c r="J1963" s="24" t="str">
        <f ca="1">IF(OR(E1963="",E1963="!!!",F1963="NEW"),"",COUNTBLANK(OFFSET(A$1,,,SUMPRODUCT(MAX(ROW(E$2:E1963)*(E1963=E$2:E1963)))))-COUNTBLANK(OFFSET(A$1,,,SUMPRODUCT(MAX(ROW(E$1:E1962)*(E2=E$1:E1962))))))</f>
        <v/>
      </c>
      <c r="K1963" s="24" t="str">
        <f>IF(OR(E1963="",E1963="!!!",F1963="NEW"),"",INDEX(J$1:J1962,SUMPRODUCT(MAX(ROW(E$1:E1962)*(E1963=E$1:E1962)))))</f>
        <v/>
      </c>
      <c r="L1963" s="25"/>
    </row>
    <row r="1964" spans="1:12" x14ac:dyDescent="0.3">
      <c r="A1964" t="s">
        <v>715</v>
      </c>
      <c r="B1964" s="26" t="s">
        <v>515</v>
      </c>
      <c r="C1964" s="26" t="s">
        <v>379</v>
      </c>
      <c r="D1964" s="26" t="s">
        <v>332</v>
      </c>
      <c r="E1964" s="20" t="str">
        <f t="shared" si="222"/>
        <v>!!!</v>
      </c>
      <c r="F1964" s="21" t="str">
        <f>IF(OR(E1964="",E1964="!!!"),"",IF(NOT(ISNA(VLOOKUP(E1964,E$1:E1963,1,FALSE()))),"OLD",IF(AND(E1964&lt;&gt;"",E1964&lt;&gt;"!!!"),"NEW","")))</f>
        <v/>
      </c>
      <c r="G1964" s="22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/>
      </c>
      <c r="H1964" s="23" t="str">
        <f t="shared" ca="1" si="223"/>
        <v/>
      </c>
      <c r="I1964" s="24" t="str">
        <f>IF(OR(E1964="",E1964="!!!",F1964="NEW"),"",INDEX(B$2:B1963,-1+SUMPRODUCT(MAX(ROW(E$2:E1963)*(E1964=E$2:E1963)))))</f>
        <v/>
      </c>
      <c r="J1964" s="24" t="str">
        <f ca="1">IF(OR(E1964="",E1964="!!!",F1964="NEW"),"",COUNTBLANK(OFFSET(A$1,,,SUMPRODUCT(MAX(ROW(E$2:E1964)*(E1964=E$2:E1964)))))-COUNTBLANK(OFFSET(A$1,,,SUMPRODUCT(MAX(ROW(E$1:E1963)*(E2=E$1:E1963))))))</f>
        <v/>
      </c>
      <c r="K1964" s="24" t="str">
        <f>IF(OR(E1964="",E1964="!!!",F1964="NEW"),"",INDEX(J$1:J1963,SUMPRODUCT(MAX(ROW(E$1:E1963)*(E1964=E$1:E1963)))))</f>
        <v/>
      </c>
      <c r="L1964" s="25"/>
    </row>
    <row r="1965" spans="1:12" x14ac:dyDescent="0.3">
      <c r="A1965" t="s">
        <v>618</v>
      </c>
      <c r="B1965" s="26" t="s">
        <v>362</v>
      </c>
      <c r="C1965" s="26" t="s">
        <v>355</v>
      </c>
      <c r="E1965" s="20" t="str">
        <f t="shared" si="222"/>
        <v/>
      </c>
      <c r="F1965" s="21" t="str">
        <f>IF(OR(E1965="",E1965="!!!"),"",IF(NOT(ISNA(VLOOKUP(E1965,E$1:E1964,1,FALSE()))),"OLD",IF(AND(E1965&lt;&gt;"",E1965&lt;&gt;"!!!"),"NEW","")))</f>
        <v/>
      </c>
      <c r="G1965" s="22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/>
      </c>
      <c r="H1965" s="23" t="str">
        <f t="shared" ca="1" si="223"/>
        <v/>
      </c>
      <c r="I1965" s="24" t="str">
        <f>IF(OR(E1965="",E1965="!!!",F1965="NEW"),"",INDEX(B$2:B1964,-1+SUMPRODUCT(MAX(ROW(E$2:E1964)*(E1965=E$2:E1964)))))</f>
        <v/>
      </c>
      <c r="J1965" s="24" t="str">
        <f ca="1">IF(OR(E1965="",E1965="!!!",F1965="NEW"),"",COUNTBLANK(OFFSET(A$1,,,SUMPRODUCT(MAX(ROW(E$2:E1965)*(E1965=E$2:E1965)))))-COUNTBLANK(OFFSET(A$1,,,SUMPRODUCT(MAX(ROW(E$1:E1964)*(E2=E$1:E1964))))))</f>
        <v/>
      </c>
      <c r="K1965" s="24" t="str">
        <f>IF(OR(E1965="",E1965="!!!",F1965="NEW"),"",INDEX(J$1:J1964,SUMPRODUCT(MAX(ROW(E$1:E1964)*(E1965=E$1:E1964)))))</f>
        <v/>
      </c>
      <c r="L1965" s="25"/>
    </row>
    <row r="1966" spans="1:12" x14ac:dyDescent="0.3">
      <c r="A1966" t="s">
        <v>385</v>
      </c>
      <c r="E1966" s="20" t="str">
        <f t="shared" si="222"/>
        <v/>
      </c>
      <c r="F1966" s="21" t="str">
        <f>IF(OR(E1966="",E1966="!!!"),"",IF(NOT(ISNA(VLOOKUP(E1966,E$1:E1965,1,FALSE()))),"OLD",IF(AND(E1966&lt;&gt;"",E1966&lt;&gt;"!!!"),"NEW","")))</f>
        <v/>
      </c>
      <c r="G1966" s="22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/>
      </c>
      <c r="H1966" s="23" t="str">
        <f t="shared" ca="1" si="223"/>
        <v/>
      </c>
      <c r="I1966" s="24" t="str">
        <f>IF(OR(E1966="",E1966="!!!",F1966="NEW"),"",INDEX(B$2:B1965,-1+SUMPRODUCT(MAX(ROW(E$2:E1965)*(E1966=E$2:E1965)))))</f>
        <v/>
      </c>
      <c r="J1966" s="24" t="str">
        <f ca="1">IF(OR(E1966="",E1966="!!!",F1966="NEW"),"",COUNTBLANK(OFFSET(A$1,,,SUMPRODUCT(MAX(ROW(E$2:E1966)*(E1966=E$2:E1966)))))-COUNTBLANK(OFFSET(A$1,,,SUMPRODUCT(MAX(ROW(E$1:E1965)*(E2=E$1:E1965))))))</f>
        <v/>
      </c>
      <c r="K1966" s="24" t="str">
        <f>IF(OR(E1966="",E1966="!!!",F1966="NEW"),"",INDEX(J$1:J1965,SUMPRODUCT(MAX(ROW(E$1:E1965)*(E1966=E$1:E1965)))))</f>
        <v/>
      </c>
      <c r="L1966" s="25"/>
    </row>
    <row r="1967" spans="1:12" x14ac:dyDescent="0.3">
      <c r="A1967" t="s">
        <v>477</v>
      </c>
      <c r="E1967" s="20" t="str">
        <f t="shared" si="222"/>
        <v/>
      </c>
      <c r="F1967" s="21" t="str">
        <f>IF(OR(E1967="",E1967="!!!"),"",IF(NOT(ISNA(VLOOKUP(E1967,E$1:E1966,1,FALSE()))),"OLD",IF(AND(E1967&lt;&gt;"",E1967&lt;&gt;"!!!"),"NEW","")))</f>
        <v/>
      </c>
      <c r="G1967" s="22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/>
      </c>
      <c r="H1967" s="23" t="str">
        <f t="shared" ca="1" si="223"/>
        <v/>
      </c>
      <c r="I1967" s="24" t="str">
        <f>IF(OR(E1967="",E1967="!!!",F1967="NEW"),"",INDEX(B$2:B1966,-1+SUMPRODUCT(MAX(ROW(E$2:E1966)*(E1967=E$2:E1966)))))</f>
        <v/>
      </c>
      <c r="J1967" s="24" t="str">
        <f ca="1">IF(OR(E1967="",E1967="!!!",F1967="NEW"),"",COUNTBLANK(OFFSET(A$1,,,SUMPRODUCT(MAX(ROW(E$2:E1967)*(E1967=E$2:E1967)))))-COUNTBLANK(OFFSET(A$1,,,SUMPRODUCT(MAX(ROW(E$1:E1966)*(E2=E$1:E1966))))))</f>
        <v/>
      </c>
      <c r="K1967" s="24" t="str">
        <f>IF(OR(E1967="",E1967="!!!",F1967="NEW"),"",INDEX(J$1:J1966,SUMPRODUCT(MAX(ROW(E$1:E1966)*(E1967=E$1:E1966)))))</f>
        <v/>
      </c>
      <c r="L1967" s="25"/>
    </row>
    <row r="1968" spans="1:12" x14ac:dyDescent="0.3">
      <c r="A1968" t="s">
        <v>1132</v>
      </c>
      <c r="B1968" s="26" t="s">
        <v>460</v>
      </c>
      <c r="C1968" s="26" t="s">
        <v>379</v>
      </c>
      <c r="D1968" s="26" t="s">
        <v>332</v>
      </c>
      <c r="E1968" s="20" t="str">
        <f t="shared" si="222"/>
        <v>!!!</v>
      </c>
      <c r="F1968" s="21" t="str">
        <f>IF(OR(E1968="",E1968="!!!"),"",IF(NOT(ISNA(VLOOKUP(E1968,E$1:E1967,1,FALSE()))),"OLD",IF(AND(E1968&lt;&gt;"",E1968&lt;&gt;"!!!"),"NEW","")))</f>
        <v/>
      </c>
      <c r="G1968" s="22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/>
      </c>
      <c r="H1968" s="23" t="str">
        <f t="shared" ca="1" si="223"/>
        <v/>
      </c>
      <c r="I1968" s="24" t="str">
        <f>IF(OR(E1968="",E1968="!!!",F1968="NEW"),"",INDEX(B$2:B1967,-1+SUMPRODUCT(MAX(ROW(E$2:E1967)*(E1968=E$2:E1967)))))</f>
        <v/>
      </c>
      <c r="J1968" s="24" t="str">
        <f ca="1">IF(OR(E1968="",E1968="!!!",F1968="NEW"),"",COUNTBLANK(OFFSET(A$1,,,SUMPRODUCT(MAX(ROW(E$2:E1968)*(E1968=E$2:E1968)))))-COUNTBLANK(OFFSET(A$1,,,SUMPRODUCT(MAX(ROW(E$1:E1967)*(E2=E$1:E1967))))))</f>
        <v/>
      </c>
      <c r="K1968" s="24" t="str">
        <f>IF(OR(E1968="",E1968="!!!",F1968="NEW"),"",INDEX(J$1:J1967,SUMPRODUCT(MAX(ROW(E$1:E1967)*(E1968=E$1:E1967)))))</f>
        <v/>
      </c>
      <c r="L1968" s="25"/>
    </row>
    <row r="1969" spans="1:12" x14ac:dyDescent="0.3">
      <c r="A1969" t="s">
        <v>1133</v>
      </c>
      <c r="B1969" s="26" t="s">
        <v>515</v>
      </c>
      <c r="C1969" s="26" t="s">
        <v>355</v>
      </c>
      <c r="E1969" s="20" t="str">
        <f t="shared" si="222"/>
        <v/>
      </c>
      <c r="F1969" s="21" t="str">
        <f>IF(OR(E1969="",E1969="!!!"),"",IF(NOT(ISNA(VLOOKUP(E1969,E$1:E1968,1,FALSE()))),"OLD",IF(AND(E1969&lt;&gt;"",E1969&lt;&gt;"!!!"),"NEW","")))</f>
        <v/>
      </c>
      <c r="G1969" s="22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/>
      </c>
      <c r="H1969" s="23" t="str">
        <f t="shared" ca="1" si="223"/>
        <v/>
      </c>
      <c r="I1969" s="24" t="str">
        <f>IF(OR(E1969="",E1969="!!!",F1969="NEW"),"",INDEX(B$2:B1968,-1+SUMPRODUCT(MAX(ROW(E$2:E1968)*(E1969=E$2:E1968)))))</f>
        <v/>
      </c>
      <c r="J1969" s="24" t="str">
        <f ca="1">IF(OR(E1969="",E1969="!!!",F1969="NEW"),"",COUNTBLANK(OFFSET(A$1,,,SUMPRODUCT(MAX(ROW(E$2:E1969)*(E1969=E$2:E1969)))))-COUNTBLANK(OFFSET(A$1,,,SUMPRODUCT(MAX(ROW(E$1:E1968)*(E2=E$1:E1968))))))</f>
        <v/>
      </c>
      <c r="K1969" s="24" t="str">
        <f>IF(OR(E1969="",E1969="!!!",F1969="NEW"),"",INDEX(J$1:J1968,SUMPRODUCT(MAX(ROW(E$1:E1968)*(E1969=E$1:E1968)))))</f>
        <v/>
      </c>
      <c r="L1969" s="25"/>
    </row>
    <row r="1970" spans="1:12" x14ac:dyDescent="0.3">
      <c r="A1970" t="s">
        <v>351</v>
      </c>
      <c r="E1970" s="20" t="str">
        <f t="shared" si="222"/>
        <v/>
      </c>
      <c r="F1970" s="21" t="str">
        <f>IF(OR(E1970="",E1970="!!!"),"",IF(NOT(ISNA(VLOOKUP(E1970,E$1:E1969,1,FALSE()))),"OLD",IF(AND(E1970&lt;&gt;"",E1970&lt;&gt;"!!!"),"NEW","")))</f>
        <v/>
      </c>
      <c r="G1970" s="22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/>
      </c>
      <c r="H1970" s="23" t="str">
        <f t="shared" ca="1" si="223"/>
        <v/>
      </c>
      <c r="I1970" s="24" t="str">
        <f>IF(OR(E1970="",E1970="!!!",F1970="NEW"),"",INDEX(B$2:B1969,-1+SUMPRODUCT(MAX(ROW(E$2:E1969)*(E1970=E$2:E1969)))))</f>
        <v/>
      </c>
      <c r="J1970" s="24" t="str">
        <f ca="1">IF(OR(E1970="",E1970="!!!",F1970="NEW"),"",COUNTBLANK(OFFSET(A$1,,,SUMPRODUCT(MAX(ROW(E$2:E1970)*(E1970=E$2:E1970)))))-COUNTBLANK(OFFSET(A$1,,,SUMPRODUCT(MAX(ROW(E$1:E1969)*(E2=E$1:E1969))))))</f>
        <v/>
      </c>
      <c r="K1970" s="24" t="str">
        <f>IF(OR(E1970="",E1970="!!!",F1970="NEW"),"",INDEX(J$1:J1969,SUMPRODUCT(MAX(ROW(E$1:E1969)*(E1970=E$1:E1969)))))</f>
        <v/>
      </c>
      <c r="L1970" s="25"/>
    </row>
    <row r="1971" spans="1:12" x14ac:dyDescent="0.3">
      <c r="A1971" t="s">
        <v>385</v>
      </c>
      <c r="E1971" s="20" t="str">
        <f t="shared" si="222"/>
        <v/>
      </c>
      <c r="F1971" s="21" t="str">
        <f>IF(OR(E1971="",E1971="!!!"),"",IF(NOT(ISNA(VLOOKUP(E1971,E$1:E1970,1,FALSE()))),"OLD",IF(AND(E1971&lt;&gt;"",E1971&lt;&gt;"!!!"),"NEW","")))</f>
        <v/>
      </c>
      <c r="G1971" s="22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/>
      </c>
      <c r="H1971" s="23" t="str">
        <f t="shared" ca="1" si="223"/>
        <v/>
      </c>
      <c r="I1971" s="24" t="str">
        <f>IF(OR(E1971="",E1971="!!!",F1971="NEW"),"",INDEX(B$2:B1970,-1+SUMPRODUCT(MAX(ROW(E$2:E1970)*(E1971=E$2:E1970)))))</f>
        <v/>
      </c>
      <c r="J1971" s="24" t="str">
        <f ca="1">IF(OR(E1971="",E1971="!!!",F1971="NEW"),"",COUNTBLANK(OFFSET(A$1,,,SUMPRODUCT(MAX(ROW(E$2:E1971)*(E1971=E$2:E1971)))))-COUNTBLANK(OFFSET(A$1,,,SUMPRODUCT(MAX(ROW(E$1:E1970)*(E2=E$1:E1970))))))</f>
        <v/>
      </c>
      <c r="K1971" s="24" t="str">
        <f>IF(OR(E1971="",E1971="!!!",F1971="NEW"),"",INDEX(J$1:J1970,SUMPRODUCT(MAX(ROW(E$1:E1970)*(E1971=E$1:E1970)))))</f>
        <v/>
      </c>
      <c r="L1971" s="25"/>
    </row>
    <row r="1972" spans="1:12" x14ac:dyDescent="0.3">
      <c r="A1972" t="s">
        <v>1134</v>
      </c>
      <c r="E1972" s="20" t="str">
        <f t="shared" si="222"/>
        <v/>
      </c>
      <c r="F1972" s="21" t="str">
        <f>IF(OR(E1972="",E1972="!!!"),"",IF(NOT(ISNA(VLOOKUP(E1972,E$1:E1971,1,FALSE()))),"OLD",IF(AND(E1972&lt;&gt;"",E1972&lt;&gt;"!!!"),"NEW","")))</f>
        <v/>
      </c>
      <c r="G1972" s="22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/>
      </c>
      <c r="H1972" s="23" t="str">
        <f t="shared" ca="1" si="223"/>
        <v/>
      </c>
      <c r="I1972" s="24" t="str">
        <f>IF(OR(E1972="",E1972="!!!",F1972="NEW"),"",INDEX(B$2:B1971,-1+SUMPRODUCT(MAX(ROW(E$2:E1971)*(E1972=E$2:E1971)))))</f>
        <v/>
      </c>
      <c r="J1972" s="24" t="str">
        <f ca="1">IF(OR(E1972="",E1972="!!!",F1972="NEW"),"",COUNTBLANK(OFFSET(A$1,,,SUMPRODUCT(MAX(ROW(E$2:E1972)*(E1972=E$2:E1972)))))-COUNTBLANK(OFFSET(A$1,,,SUMPRODUCT(MAX(ROW(E$1:E1971)*(E2=E$1:E1971))))))</f>
        <v/>
      </c>
      <c r="K1972" s="24" t="str">
        <f>IF(OR(E1972="",E1972="!!!",F1972="NEW"),"",INDEX(J$1:J1971,SUMPRODUCT(MAX(ROW(E$1:E1971)*(E1972=E$1:E1971)))))</f>
        <v/>
      </c>
      <c r="L1972" s="25"/>
    </row>
    <row r="1973" spans="1:12" x14ac:dyDescent="0.3">
      <c r="A1973" t="s">
        <v>1135</v>
      </c>
      <c r="E1973" s="20" t="str">
        <f t="shared" si="222"/>
        <v/>
      </c>
      <c r="F1973" s="21" t="str">
        <f>IF(OR(E1973="",E1973="!!!"),"",IF(NOT(ISNA(VLOOKUP(E1973,E$1:E1972,1,FALSE()))),"OLD",IF(AND(E1973&lt;&gt;"",E1973&lt;&gt;"!!!"),"NEW","")))</f>
        <v/>
      </c>
      <c r="G1973" s="22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/>
      </c>
      <c r="H1973" s="23" t="str">
        <f t="shared" ca="1" si="223"/>
        <v/>
      </c>
      <c r="I1973" s="24" t="str">
        <f>IF(OR(E1973="",E1973="!!!",F1973="NEW"),"",INDEX(B$2:B1972,-1+SUMPRODUCT(MAX(ROW(E$2:E1972)*(E1973=E$2:E1972)))))</f>
        <v/>
      </c>
      <c r="J1973" s="24" t="str">
        <f ca="1">IF(OR(E1973="",E1973="!!!",F1973="NEW"),"",COUNTBLANK(OFFSET(A$1,,,SUMPRODUCT(MAX(ROW(E$2:E1973)*(E1973=E$2:E1973)))))-COUNTBLANK(OFFSET(A$1,,,SUMPRODUCT(MAX(ROW(E$1:E1972)*(E2=E$1:E1972))))))</f>
        <v/>
      </c>
      <c r="K1973" s="24" t="str">
        <f>IF(OR(E1973="",E1973="!!!",F1973="NEW"),"",INDEX(J$1:J1972,SUMPRODUCT(MAX(ROW(E$1:E1972)*(E1973=E$1:E1972)))))</f>
        <v/>
      </c>
      <c r="L1973" s="25"/>
    </row>
    <row r="1974" spans="1:12" x14ac:dyDescent="0.3">
      <c r="A1974" t="s">
        <v>437</v>
      </c>
      <c r="B1974" s="26" t="s">
        <v>354</v>
      </c>
      <c r="C1974" s="26" t="s">
        <v>438</v>
      </c>
      <c r="D1974" s="26" t="s">
        <v>332</v>
      </c>
      <c r="E1974" s="20" t="str">
        <f t="shared" si="222"/>
        <v>!!!</v>
      </c>
      <c r="F1974" s="21" t="str">
        <f>IF(OR(E1974="",E1974="!!!"),"",IF(NOT(ISNA(VLOOKUP(E1974,E$1:E1973,1,FALSE()))),"OLD",IF(AND(E1974&lt;&gt;"",E1974&lt;&gt;"!!!"),"NEW","")))</f>
        <v/>
      </c>
      <c r="G1974" s="22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/>
      </c>
      <c r="H1974" s="23" t="str">
        <f t="shared" ca="1" si="223"/>
        <v/>
      </c>
      <c r="I1974" s="24" t="str">
        <f>IF(OR(E1974="",E1974="!!!",F1974="NEW"),"",INDEX(B$2:B1973,-1+SUMPRODUCT(MAX(ROW(E$2:E1973)*(E1974=E$2:E1973)))))</f>
        <v/>
      </c>
      <c r="J1974" s="24" t="str">
        <f ca="1">IF(OR(E1974="",E1974="!!!",F1974="NEW"),"",COUNTBLANK(OFFSET(A$1,,,SUMPRODUCT(MAX(ROW(E$2:E1974)*(E1974=E$2:E1974)))))-COUNTBLANK(OFFSET(A$1,,,SUMPRODUCT(MAX(ROW(E$1:E1973)*(E2=E$1:E1973))))))</f>
        <v/>
      </c>
      <c r="K1974" s="24" t="str">
        <f>IF(OR(E1974="",E1974="!!!",F1974="NEW"),"",INDEX(J$1:J1973,SUMPRODUCT(MAX(ROW(E$1:E1973)*(E1974=E$1:E1973)))))</f>
        <v/>
      </c>
      <c r="L1974" s="25"/>
    </row>
    <row r="1975" spans="1:12" x14ac:dyDescent="0.3">
      <c r="A1975" t="s">
        <v>1136</v>
      </c>
      <c r="E1975" s="20" t="str">
        <f t="shared" si="222"/>
        <v/>
      </c>
      <c r="F1975" s="21" t="str">
        <f>IF(OR(E1975="",E1975="!!!"),"",IF(NOT(ISNA(VLOOKUP(E1975,E$1:E1974,1,FALSE()))),"OLD",IF(AND(E1975&lt;&gt;"",E1975&lt;&gt;"!!!"),"NEW","")))</f>
        <v/>
      </c>
      <c r="G1975" s="22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/>
      </c>
      <c r="H1975" s="23" t="str">
        <f t="shared" ca="1" si="223"/>
        <v/>
      </c>
      <c r="I1975" s="24" t="str">
        <f>IF(OR(E1975="",E1975="!!!",F1975="NEW"),"",INDEX(B$2:B1974,-1+SUMPRODUCT(MAX(ROW(E$2:E1974)*(E1975=E$2:E1974)))))</f>
        <v/>
      </c>
      <c r="J1975" s="24" t="str">
        <f ca="1">IF(OR(E1975="",E1975="!!!",F1975="NEW"),"",COUNTBLANK(OFFSET(A$1,,,SUMPRODUCT(MAX(ROW(E$2:E1975)*(E1975=E$2:E1975)))))-COUNTBLANK(OFFSET(A$1,,,SUMPRODUCT(MAX(ROW(E$1:E1974)*(E2=E$1:E1974))))))</f>
        <v/>
      </c>
      <c r="K1975" s="24" t="str">
        <f>IF(OR(E1975="",E1975="!!!",F1975="NEW"),"",INDEX(J$1:J1974,SUMPRODUCT(MAX(ROW(E$1:E1974)*(E1975=E$1:E1974)))))</f>
        <v/>
      </c>
      <c r="L1975" s="25"/>
    </row>
    <row r="1976" spans="1:12" x14ac:dyDescent="0.3">
      <c r="A1976" t="s">
        <v>363</v>
      </c>
      <c r="E1976" s="20" t="str">
        <f t="shared" si="222"/>
        <v/>
      </c>
      <c r="F1976" s="21" t="str">
        <f>IF(OR(E1976="",E1976="!!!"),"",IF(NOT(ISNA(VLOOKUP(E1976,E$1:E1975,1,FALSE()))),"OLD",IF(AND(E1976&lt;&gt;"",E1976&lt;&gt;"!!!"),"NEW","")))</f>
        <v/>
      </c>
      <c r="G1976" s="22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/>
      </c>
      <c r="H1976" s="23" t="str">
        <f t="shared" ca="1" si="223"/>
        <v/>
      </c>
      <c r="I1976" s="24" t="str">
        <f>IF(OR(E1976="",E1976="!!!",F1976="NEW"),"",INDEX(B$2:B1975,-1+SUMPRODUCT(MAX(ROW(E$2:E1975)*(E1976=E$2:E1975)))))</f>
        <v/>
      </c>
      <c r="J1976" s="24" t="str">
        <f ca="1">IF(OR(E1976="",E1976="!!!",F1976="NEW"),"",COUNTBLANK(OFFSET(A$1,,,SUMPRODUCT(MAX(ROW(E$2:E1976)*(E1976=E$2:E1976)))))-COUNTBLANK(OFFSET(A$1,,,SUMPRODUCT(MAX(ROW(E$1:E1975)*(E2=E$1:E1975))))))</f>
        <v/>
      </c>
      <c r="K1976" s="24" t="str">
        <f>IF(OR(E1976="",E1976="!!!",F1976="NEW"),"",INDEX(J$1:J1975,SUMPRODUCT(MAX(ROW(E$1:E1975)*(E1976=E$1:E1975)))))</f>
        <v/>
      </c>
      <c r="L1976" s="25"/>
    </row>
    <row r="1977" spans="1:12" x14ac:dyDescent="0.3">
      <c r="A1977" t="s">
        <v>414</v>
      </c>
      <c r="E1977" s="20" t="str">
        <f t="shared" si="222"/>
        <v/>
      </c>
      <c r="F1977" s="21" t="str">
        <f>IF(OR(E1977="",E1977="!!!"),"",IF(NOT(ISNA(VLOOKUP(E1977,E$1:E1976,1,FALSE()))),"OLD",IF(AND(E1977&lt;&gt;"",E1977&lt;&gt;"!!!"),"NEW","")))</f>
        <v/>
      </c>
      <c r="G1977" s="22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/>
      </c>
      <c r="H1977" s="23" t="str">
        <f t="shared" ca="1" si="223"/>
        <v/>
      </c>
      <c r="I1977" s="24" t="str">
        <f>IF(OR(E1977="",E1977="!!!",F1977="NEW"),"",INDEX(B$2:B1976,-1+SUMPRODUCT(MAX(ROW(E$2:E1976)*(E1977=E$2:E1976)))))</f>
        <v/>
      </c>
      <c r="J1977" s="24" t="str">
        <f ca="1">IF(OR(E1977="",E1977="!!!",F1977="NEW"),"",COUNTBLANK(OFFSET(A$1,,,SUMPRODUCT(MAX(ROW(E$2:E1977)*(E1977=E$2:E1977)))))-COUNTBLANK(OFFSET(A$1,,,SUMPRODUCT(MAX(ROW(E$1:E1976)*(E2=E$1:E1976))))))</f>
        <v/>
      </c>
      <c r="K1977" s="24" t="str">
        <f>IF(OR(E1977="",E1977="!!!",F1977="NEW"),"",INDEX(J$1:J1976,SUMPRODUCT(MAX(ROW(E$1:E1976)*(E1977=E$1:E1976)))))</f>
        <v/>
      </c>
      <c r="L1977" s="25"/>
    </row>
    <row r="1978" spans="1:12" x14ac:dyDescent="0.3">
      <c r="A1978" t="s">
        <v>803</v>
      </c>
      <c r="B1978" s="26" t="s">
        <v>378</v>
      </c>
      <c r="C1978" s="26" t="s">
        <v>355</v>
      </c>
      <c r="E1978" s="20" t="str">
        <f t="shared" si="222"/>
        <v/>
      </c>
      <c r="F1978" s="21" t="str">
        <f>IF(OR(E1978="",E1978="!!!"),"",IF(NOT(ISNA(VLOOKUP(E1978,E$1:E1977,1,FALSE()))),"OLD",IF(AND(E1978&lt;&gt;"",E1978&lt;&gt;"!!!"),"NEW","")))</f>
        <v/>
      </c>
      <c r="G1978" s="22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/>
      </c>
      <c r="H1978" s="23" t="str">
        <f t="shared" ca="1" si="223"/>
        <v/>
      </c>
      <c r="I1978" s="24" t="str">
        <f>IF(OR(E1978="",E1978="!!!",F1978="NEW"),"",INDEX(B$2:B1977,-1+SUMPRODUCT(MAX(ROW(E$2:E1977)*(E1978=E$2:E1977)))))</f>
        <v/>
      </c>
      <c r="J1978" s="24" t="str">
        <f ca="1">IF(OR(E1978="",E1978="!!!",F1978="NEW"),"",COUNTBLANK(OFFSET(A$1,,,SUMPRODUCT(MAX(ROW(E$2:E1978)*(E1978=E$2:E1978)))))-COUNTBLANK(OFFSET(A$1,,,SUMPRODUCT(MAX(ROW(E$1:E1977)*(E2=E$1:E1977))))))</f>
        <v/>
      </c>
      <c r="K1978" s="24" t="str">
        <f>IF(OR(E1978="",E1978="!!!",F1978="NEW"),"",INDEX(J$1:J1977,SUMPRODUCT(MAX(ROW(E$1:E1977)*(E1978=E$1:E1977)))))</f>
        <v/>
      </c>
      <c r="L1978" s="25"/>
    </row>
    <row r="1979" spans="1:12" x14ac:dyDescent="0.3">
      <c r="A1979" t="s">
        <v>1137</v>
      </c>
      <c r="E1979" s="20" t="str">
        <f t="shared" si="222"/>
        <v/>
      </c>
      <c r="F1979" s="21" t="str">
        <f>IF(OR(E1979="",E1979="!!!"),"",IF(NOT(ISNA(VLOOKUP(E1979,E$1:E1978,1,FALSE()))),"OLD",IF(AND(E1979&lt;&gt;"",E1979&lt;&gt;"!!!"),"NEW","")))</f>
        <v/>
      </c>
      <c r="G1979" s="22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/>
      </c>
      <c r="H1979" s="23" t="str">
        <f t="shared" ca="1" si="223"/>
        <v/>
      </c>
      <c r="I1979" s="24" t="str">
        <f>IF(OR(E1979="",E1979="!!!",F1979="NEW"),"",INDEX(B$2:B1978,-1+SUMPRODUCT(MAX(ROW(E$2:E1978)*(E1979=E$2:E1978)))))</f>
        <v/>
      </c>
      <c r="J1979" s="24" t="str">
        <f ca="1">IF(OR(E1979="",E1979="!!!",F1979="NEW"),"",COUNTBLANK(OFFSET(A$1,,,SUMPRODUCT(MAX(ROW(E$2:E1979)*(E1979=E$2:E1979)))))-COUNTBLANK(OFFSET(A$1,,,SUMPRODUCT(MAX(ROW(E$1:E1978)*(E2=E$1:E1978))))))</f>
        <v/>
      </c>
      <c r="K1979" s="24" t="str">
        <f>IF(OR(E1979="",E1979="!!!",F1979="NEW"),"",INDEX(J$1:J1978,SUMPRODUCT(MAX(ROW(E$1:E1978)*(E1979=E$1:E1978)))))</f>
        <v/>
      </c>
      <c r="L1979" s="25"/>
    </row>
    <row r="1980" spans="1:12" x14ac:dyDescent="0.3">
      <c r="A1980" t="s">
        <v>338</v>
      </c>
      <c r="E1980" s="20" t="str">
        <f t="shared" si="222"/>
        <v/>
      </c>
      <c r="F1980" s="21" t="str">
        <f>IF(OR(E1980="",E1980="!!!"),"",IF(NOT(ISNA(VLOOKUP(E1980,E$1:E1979,1,FALSE()))),"OLD",IF(AND(E1980&lt;&gt;"",E1980&lt;&gt;"!!!"),"NEW","")))</f>
        <v/>
      </c>
      <c r="G1980" s="22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/>
      </c>
      <c r="H1980" s="23" t="str">
        <f t="shared" ca="1" si="223"/>
        <v/>
      </c>
      <c r="I1980" s="24" t="str">
        <f>IF(OR(E1980="",E1980="!!!",F1980="NEW"),"",INDEX(B$2:B1979,-1+SUMPRODUCT(MAX(ROW(E$2:E1979)*(E1980=E$2:E1979)))))</f>
        <v/>
      </c>
      <c r="J1980" s="24" t="str">
        <f ca="1">IF(OR(E1980="",E1980="!!!",F1980="NEW"),"",COUNTBLANK(OFFSET(A$1,,,SUMPRODUCT(MAX(ROW(E$2:E1980)*(E1980=E$2:E1980)))))-COUNTBLANK(OFFSET(A$1,,,SUMPRODUCT(MAX(ROW(E$1:E1979)*(E2=E$1:E1979))))))</f>
        <v/>
      </c>
      <c r="K1980" s="24" t="str">
        <f>IF(OR(E1980="",E1980="!!!",F1980="NEW"),"",INDEX(J$1:J1979,SUMPRODUCT(MAX(ROW(E$1:E1979)*(E1980=E$1:E1979)))))</f>
        <v/>
      </c>
      <c r="L1980" s="25"/>
    </row>
    <row r="1982" spans="1:12" x14ac:dyDescent="0.3">
      <c r="A1982" t="s">
        <v>573</v>
      </c>
      <c r="E1982" s="20" t="str">
        <f>IF(D1982="?OLD","!!!","")</f>
        <v/>
      </c>
      <c r="F1982" s="21" t="str">
        <f>IF(OR(E1982="",E1982="!!!"),"",IF(NOT(ISNA(VLOOKUP(E1982,E$1:E1981,1,FALSE()))),"OLD",IF(AND(E1982&lt;&gt;"",E1982&lt;&gt;"!!!"),"NEW","")))</f>
        <v/>
      </c>
      <c r="G1982" s="22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/>
      </c>
      <c r="H1982" s="23" t="str">
        <f ca="1">IF(J1982&lt;&gt;1,"",IF(I1982="SBJ","CB","?"))</f>
        <v/>
      </c>
      <c r="I1982" s="24" t="str">
        <f>IF(OR(E1982="",E1982="!!!",F1982="NEW"),"",INDEX(B$2:B1981,-1+SUMPRODUCT(MAX(ROW(E$2:E1981)*(E1982=E$2:E1981)))))</f>
        <v/>
      </c>
      <c r="J1982" s="24" t="str">
        <f ca="1">IF(OR(E1982="",E1982="!!!",F1982="NEW"),"",COUNTBLANK(OFFSET(A$1,,,SUMPRODUCT(MAX(ROW(E$2:E1982)*(E1982=E$2:E1982)))))-COUNTBLANK(OFFSET(A$1,,,SUMPRODUCT(MAX(ROW(E$1:E1981)*(E2=E$1:E1981))))))</f>
        <v/>
      </c>
      <c r="K1982" s="24" t="str">
        <f>IF(OR(E1982="",E1982="!!!",F1982="NEW"),"",INDEX(J$1:J1981,SUMPRODUCT(MAX(ROW(E$1:E1981)*(E1982=E$1:E1981)))))</f>
        <v/>
      </c>
      <c r="L1982" s="25"/>
    </row>
    <row r="1983" spans="1:12" x14ac:dyDescent="0.3">
      <c r="A1983" t="s">
        <v>1138</v>
      </c>
    </row>
    <row r="1984" spans="1:12" x14ac:dyDescent="0.3">
      <c r="A1984" t="s">
        <v>887</v>
      </c>
      <c r="E1984" s="20" t="str">
        <f t="shared" ref="E1984:E2006" si="224">IF(D1984="?OLD","!!!","")</f>
        <v/>
      </c>
      <c r="F1984" s="21" t="str">
        <f>IF(OR(E1984="",E1984="!!!"),"",IF(NOT(ISNA(VLOOKUP(E1984,E$1:E1983,1,FALSE()))),"OLD",IF(AND(E1984&lt;&gt;"",E1984&lt;&gt;"!!!"),"NEW","")))</f>
        <v/>
      </c>
      <c r="G1984" s="22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/>
      </c>
      <c r="H1984" s="23" t="str">
        <f t="shared" ref="H1984:H2006" ca="1" si="225">IF(J1984&lt;&gt;1,"",IF(I1984="SBJ","CB","?"))</f>
        <v/>
      </c>
      <c r="I1984" s="24" t="str">
        <f>IF(OR(E1984="",E1984="!!!",F1984="NEW"),"",INDEX(B$2:B1983,-1+SUMPRODUCT(MAX(ROW(E$2:E1983)*(E1984=E$2:E1983)))))</f>
        <v/>
      </c>
      <c r="J1984" s="24" t="str">
        <f ca="1">IF(OR(E1984="",E1984="!!!",F1984="NEW"),"",COUNTBLANK(OFFSET(A$1,,,SUMPRODUCT(MAX(ROW(E$2:E1984)*(E1984=E$2:E1984)))))-COUNTBLANK(OFFSET(A$1,,,SUMPRODUCT(MAX(ROW(E$1:E1983)*(E2=E$1:E1983))))))</f>
        <v/>
      </c>
      <c r="K1984" s="24" t="str">
        <f>IF(OR(E1984="",E1984="!!!",F1984="NEW"),"",INDEX(J$1:J1983,SUMPRODUCT(MAX(ROW(E$1:E1983)*(E1984=E$1:E1983)))))</f>
        <v/>
      </c>
      <c r="L1984" s="25"/>
    </row>
    <row r="1985" spans="1:12" x14ac:dyDescent="0.3">
      <c r="A1985" t="s">
        <v>1139</v>
      </c>
      <c r="B1985" s="26" t="s">
        <v>330</v>
      </c>
      <c r="C1985" s="26" t="s">
        <v>496</v>
      </c>
      <c r="D1985" s="26" t="s">
        <v>332</v>
      </c>
      <c r="E1985" s="20" t="str">
        <f t="shared" si="224"/>
        <v>!!!</v>
      </c>
      <c r="F1985" s="21" t="str">
        <f>IF(OR(E1985="",E1985="!!!"),"",IF(NOT(ISNA(VLOOKUP(E1985,E$1:E1984,1,FALSE()))),"OLD",IF(AND(E1985&lt;&gt;"",E1985&lt;&gt;"!!!"),"NEW","")))</f>
        <v/>
      </c>
      <c r="G1985" s="22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/>
      </c>
      <c r="H1985" s="23" t="str">
        <f t="shared" ca="1" si="225"/>
        <v/>
      </c>
      <c r="I1985" s="24" t="str">
        <f>IF(OR(E1985="",E1985="!!!",F1985="NEW"),"",INDEX(B$2:B1984,-1+SUMPRODUCT(MAX(ROW(E$2:E1984)*(E1985=E$2:E1984)))))</f>
        <v/>
      </c>
      <c r="J1985" s="24" t="str">
        <f ca="1">IF(OR(E1985="",E1985="!!!",F1985="NEW"),"",COUNTBLANK(OFFSET(A$1,,,SUMPRODUCT(MAX(ROW(E$2:E1985)*(E1985=E$2:E1985)))))-COUNTBLANK(OFFSET(A$1,,,SUMPRODUCT(MAX(ROW(E$1:E1984)*(E2=E$1:E1984))))))</f>
        <v/>
      </c>
      <c r="K1985" s="24" t="str">
        <f>IF(OR(E1985="",E1985="!!!",F1985="NEW"),"",INDEX(J$1:J1984,SUMPRODUCT(MAX(ROW(E$1:E1984)*(E1985=E$1:E1984)))))</f>
        <v/>
      </c>
      <c r="L1985" s="25"/>
    </row>
    <row r="1986" spans="1:12" x14ac:dyDescent="0.3">
      <c r="A1986" t="s">
        <v>410</v>
      </c>
      <c r="E1986" s="20" t="str">
        <f t="shared" si="224"/>
        <v/>
      </c>
      <c r="F1986" s="21" t="str">
        <f>IF(OR(E1986="",E1986="!!!"),"",IF(NOT(ISNA(VLOOKUP(E1986,E$1:E1985,1,FALSE()))),"OLD",IF(AND(E1986&lt;&gt;"",E1986&lt;&gt;"!!!"),"NEW","")))</f>
        <v/>
      </c>
      <c r="G1986" s="22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/>
      </c>
      <c r="H1986" s="23" t="str">
        <f t="shared" ca="1" si="225"/>
        <v/>
      </c>
      <c r="I1986" s="24" t="str">
        <f>IF(OR(E1986="",E1986="!!!",F1986="NEW"),"",INDEX(B$2:B1985,-1+SUMPRODUCT(MAX(ROW(E$2:E1985)*(E1986=E$2:E1985)))))</f>
        <v/>
      </c>
      <c r="J1986" s="24" t="str">
        <f ca="1">IF(OR(E1986="",E1986="!!!",F1986="NEW"),"",COUNTBLANK(OFFSET(A$1,,,SUMPRODUCT(MAX(ROW(E$2:E1986)*(E1986=E$2:E1986)))))-COUNTBLANK(OFFSET(A$1,,,SUMPRODUCT(MAX(ROW(E$1:E1985)*(E2=E$1:E1985))))))</f>
        <v/>
      </c>
      <c r="K1986" s="24" t="str">
        <f>IF(OR(E1986="",E1986="!!!",F1986="NEW"),"",INDEX(J$1:J1985,SUMPRODUCT(MAX(ROW(E$1:E1985)*(E1986=E$1:E1985)))))</f>
        <v/>
      </c>
      <c r="L1986" s="25"/>
    </row>
    <row r="1987" spans="1:12" x14ac:dyDescent="0.3">
      <c r="A1987" t="s">
        <v>575</v>
      </c>
      <c r="E1987" s="20" t="str">
        <f t="shared" si="224"/>
        <v/>
      </c>
      <c r="F1987" s="21" t="str">
        <f>IF(OR(E1987="",E1987="!!!"),"",IF(NOT(ISNA(VLOOKUP(E1987,E$1:E1986,1,FALSE()))),"OLD",IF(AND(E1987&lt;&gt;"",E1987&lt;&gt;"!!!"),"NEW","")))</f>
        <v/>
      </c>
      <c r="G1987" s="22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/>
      </c>
      <c r="H1987" s="23" t="str">
        <f t="shared" ca="1" si="225"/>
        <v/>
      </c>
      <c r="I1987" s="24" t="str">
        <f>IF(OR(E1987="",E1987="!!!",F1987="NEW"),"",INDEX(B$2:B1986,-1+SUMPRODUCT(MAX(ROW(E$2:E1986)*(E1987=E$2:E1986)))))</f>
        <v/>
      </c>
      <c r="J1987" s="24" t="str">
        <f ca="1">IF(OR(E1987="",E1987="!!!",F1987="NEW"),"",COUNTBLANK(OFFSET(A$1,,,SUMPRODUCT(MAX(ROW(E$2:E1987)*(E1987=E$2:E1987)))))-COUNTBLANK(OFFSET(A$1,,,SUMPRODUCT(MAX(ROW(E$1:E1986)*(E2=E$1:E1986))))))</f>
        <v/>
      </c>
      <c r="K1987" s="24" t="str">
        <f>IF(OR(E1987="",E1987="!!!",F1987="NEW"),"",INDEX(J$1:J1986,SUMPRODUCT(MAX(ROW(E$1:E1986)*(E1987=E$1:E1986)))))</f>
        <v/>
      </c>
      <c r="L1987" s="25"/>
    </row>
    <row r="1988" spans="1:12" x14ac:dyDescent="0.3">
      <c r="A1988" t="s">
        <v>1045</v>
      </c>
      <c r="B1988" s="26" t="s">
        <v>330</v>
      </c>
      <c r="C1988" s="26" t="s">
        <v>438</v>
      </c>
      <c r="D1988" s="26" t="s">
        <v>332</v>
      </c>
      <c r="E1988" s="20" t="str">
        <f t="shared" si="224"/>
        <v>!!!</v>
      </c>
      <c r="F1988" s="21" t="str">
        <f>IF(OR(E1988="",E1988="!!!"),"",IF(NOT(ISNA(VLOOKUP(E1988,E$1:E1987,1,FALSE()))),"OLD",IF(AND(E1988&lt;&gt;"",E1988&lt;&gt;"!!!"),"NEW","")))</f>
        <v/>
      </c>
      <c r="G1988" s="22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/>
      </c>
      <c r="H1988" s="23" t="str">
        <f t="shared" ca="1" si="225"/>
        <v/>
      </c>
      <c r="I1988" s="24" t="str">
        <f>IF(OR(E1988="",E1988="!!!",F1988="NEW"),"",INDEX(B$2:B1987,-1+SUMPRODUCT(MAX(ROW(E$2:E1987)*(E1988=E$2:E1987)))))</f>
        <v/>
      </c>
      <c r="J1988" s="24" t="str">
        <f ca="1">IF(OR(E1988="",E1988="!!!",F1988="NEW"),"",COUNTBLANK(OFFSET(A$1,,,SUMPRODUCT(MAX(ROW(E$2:E1988)*(E1988=E$2:E1988)))))-COUNTBLANK(OFFSET(A$1,,,SUMPRODUCT(MAX(ROW(E$1:E1987)*(E2=E$1:E1987))))))</f>
        <v/>
      </c>
      <c r="K1988" s="24" t="str">
        <f>IF(OR(E1988="",E1988="!!!",F1988="NEW"),"",INDEX(J$1:J1987,SUMPRODUCT(MAX(ROW(E$1:E1987)*(E1988=E$1:E1987)))))</f>
        <v/>
      </c>
      <c r="L1988" s="25"/>
    </row>
    <row r="1989" spans="1:12" x14ac:dyDescent="0.3">
      <c r="A1989" t="s">
        <v>351</v>
      </c>
      <c r="E1989" s="20" t="str">
        <f t="shared" si="224"/>
        <v/>
      </c>
      <c r="F1989" s="21" t="str">
        <f>IF(OR(E1989="",E1989="!!!"),"",IF(NOT(ISNA(VLOOKUP(E1989,E$1:E1988,1,FALSE()))),"OLD",IF(AND(E1989&lt;&gt;"",E1989&lt;&gt;"!!!"),"NEW","")))</f>
        <v/>
      </c>
      <c r="G1989" s="22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/>
      </c>
      <c r="H1989" s="23" t="str">
        <f t="shared" ca="1" si="225"/>
        <v/>
      </c>
      <c r="I1989" s="24" t="str">
        <f>IF(OR(E1989="",E1989="!!!",F1989="NEW"),"",INDEX(B$2:B1988,-1+SUMPRODUCT(MAX(ROW(E$2:E1988)*(E1989=E$2:E1988)))))</f>
        <v/>
      </c>
      <c r="J1989" s="24" t="str">
        <f ca="1">IF(OR(E1989="",E1989="!!!",F1989="NEW"),"",COUNTBLANK(OFFSET(A$1,,,SUMPRODUCT(MAX(ROW(E$2:E1989)*(E1989=E$2:E1989)))))-COUNTBLANK(OFFSET(A$1,,,SUMPRODUCT(MAX(ROW(E$1:E1988)*(E2=E$1:E1988))))))</f>
        <v/>
      </c>
      <c r="K1989" s="24" t="str">
        <f>IF(OR(E1989="",E1989="!!!",F1989="NEW"),"",INDEX(J$1:J1988,SUMPRODUCT(MAX(ROW(E$1:E1988)*(E1989=E$1:E1988)))))</f>
        <v/>
      </c>
      <c r="L1989" s="25"/>
    </row>
    <row r="1990" spans="1:12" x14ac:dyDescent="0.3">
      <c r="A1990" t="s">
        <v>370</v>
      </c>
      <c r="E1990" s="20" t="str">
        <f t="shared" si="224"/>
        <v/>
      </c>
      <c r="F1990" s="21" t="str">
        <f>IF(OR(E1990="",E1990="!!!"),"",IF(NOT(ISNA(VLOOKUP(E1990,E$1:E1989,1,FALSE()))),"OLD",IF(AND(E1990&lt;&gt;"",E1990&lt;&gt;"!!!"),"NEW","")))</f>
        <v/>
      </c>
      <c r="G1990" s="22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/>
      </c>
      <c r="H1990" s="23" t="str">
        <f t="shared" ca="1" si="225"/>
        <v/>
      </c>
      <c r="I1990" s="24" t="str">
        <f>IF(OR(E1990="",E1990="!!!",F1990="NEW"),"",INDEX(B$2:B1989,-1+SUMPRODUCT(MAX(ROW(E$2:E1989)*(E1990=E$2:E1989)))))</f>
        <v/>
      </c>
      <c r="J1990" s="24" t="str">
        <f ca="1">IF(OR(E1990="",E1990="!!!",F1990="NEW"),"",COUNTBLANK(OFFSET(A$1,,,SUMPRODUCT(MAX(ROW(E$2:E1990)*(E1990=E$2:E1990)))))-COUNTBLANK(OFFSET(A$1,,,SUMPRODUCT(MAX(ROW(E$1:E1989)*(E2=E$1:E1989))))))</f>
        <v/>
      </c>
      <c r="K1990" s="24" t="str">
        <f>IF(OR(E1990="",E1990="!!!",F1990="NEW"),"",INDEX(J$1:J1989,SUMPRODUCT(MAX(ROW(E$1:E1989)*(E1990=E$1:E1989)))))</f>
        <v/>
      </c>
      <c r="L1990" s="25"/>
    </row>
    <row r="1991" spans="1:12" x14ac:dyDescent="0.3">
      <c r="A1991" t="s">
        <v>399</v>
      </c>
      <c r="B1991" s="26" t="s">
        <v>354</v>
      </c>
      <c r="C1991" s="26" t="s">
        <v>394</v>
      </c>
      <c r="D1991" s="26" t="s">
        <v>332</v>
      </c>
      <c r="E1991" s="20" t="str">
        <f t="shared" si="224"/>
        <v>!!!</v>
      </c>
      <c r="F1991" s="21" t="str">
        <f>IF(OR(E1991="",E1991="!!!"),"",IF(NOT(ISNA(VLOOKUP(E1991,E$1:E1990,1,FALSE()))),"OLD",IF(AND(E1991&lt;&gt;"",E1991&lt;&gt;"!!!"),"NEW","")))</f>
        <v/>
      </c>
      <c r="G1991" s="22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/>
      </c>
      <c r="H1991" s="23" t="str">
        <f t="shared" ca="1" si="225"/>
        <v/>
      </c>
      <c r="I1991" s="24" t="str">
        <f>IF(OR(E1991="",E1991="!!!",F1991="NEW"),"",INDEX(B$2:B1990,-1+SUMPRODUCT(MAX(ROW(E$2:E1990)*(E1991=E$2:E1990)))))</f>
        <v/>
      </c>
      <c r="J1991" s="24" t="str">
        <f ca="1">IF(OR(E1991="",E1991="!!!",F1991="NEW"),"",COUNTBLANK(OFFSET(A$1,,,SUMPRODUCT(MAX(ROW(E$2:E1991)*(E1991=E$2:E1991)))))-COUNTBLANK(OFFSET(A$1,,,SUMPRODUCT(MAX(ROW(E$1:E1990)*(E2=E$1:E1990))))))</f>
        <v/>
      </c>
      <c r="K1991" s="24" t="str">
        <f>IF(OR(E1991="",E1991="!!!",F1991="NEW"),"",INDEX(J$1:J1990,SUMPRODUCT(MAX(ROW(E$1:E1990)*(E1991=E$1:E1990)))))</f>
        <v/>
      </c>
      <c r="L1991" s="25"/>
    </row>
    <row r="1992" spans="1:12" x14ac:dyDescent="0.3">
      <c r="A1992" t="s">
        <v>489</v>
      </c>
      <c r="B1992" s="26" t="s">
        <v>378</v>
      </c>
      <c r="C1992" s="26" t="s">
        <v>358</v>
      </c>
      <c r="E1992" s="20" t="str">
        <f t="shared" si="224"/>
        <v/>
      </c>
      <c r="F1992" s="21" t="str">
        <f>IF(OR(E1992="",E1992="!!!"),"",IF(NOT(ISNA(VLOOKUP(E1992,E$1:E1991,1,FALSE()))),"OLD",IF(AND(E1992&lt;&gt;"",E1992&lt;&gt;"!!!"),"NEW","")))</f>
        <v/>
      </c>
      <c r="G1992" s="22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/>
      </c>
      <c r="H1992" s="23" t="str">
        <f t="shared" ca="1" si="225"/>
        <v/>
      </c>
      <c r="I1992" s="24" t="str">
        <f>IF(OR(E1992="",E1992="!!!",F1992="NEW"),"",INDEX(B$2:B1991,-1+SUMPRODUCT(MAX(ROW(E$2:E1991)*(E1992=E$2:E1991)))))</f>
        <v/>
      </c>
      <c r="J1992" s="24" t="str">
        <f ca="1">IF(OR(E1992="",E1992="!!!",F1992="NEW"),"",COUNTBLANK(OFFSET(A$1,,,SUMPRODUCT(MAX(ROW(E$2:E1992)*(E1992=E$2:E1992)))))-COUNTBLANK(OFFSET(A$1,,,SUMPRODUCT(MAX(ROW(E$1:E1991)*(E2=E$1:E1991))))))</f>
        <v/>
      </c>
      <c r="K1992" s="24" t="str">
        <f>IF(OR(E1992="",E1992="!!!",F1992="NEW"),"",INDEX(J$1:J1991,SUMPRODUCT(MAX(ROW(E$1:E1991)*(E1992=E$1:E1991)))))</f>
        <v/>
      </c>
      <c r="L1992" s="25"/>
    </row>
    <row r="1993" spans="1:12" x14ac:dyDescent="0.3">
      <c r="A1993" t="s">
        <v>1140</v>
      </c>
      <c r="E1993" s="20" t="str">
        <f t="shared" si="224"/>
        <v/>
      </c>
      <c r="F1993" s="21" t="str">
        <f>IF(OR(E1993="",E1993="!!!"),"",IF(NOT(ISNA(VLOOKUP(E1993,E$1:E1992,1,FALSE()))),"OLD",IF(AND(E1993&lt;&gt;"",E1993&lt;&gt;"!!!"),"NEW","")))</f>
        <v/>
      </c>
      <c r="G1993" s="22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/>
      </c>
      <c r="H1993" s="23" t="str">
        <f t="shared" ca="1" si="225"/>
        <v/>
      </c>
      <c r="I1993" s="24" t="str">
        <f>IF(OR(E1993="",E1993="!!!",F1993="NEW"),"",INDEX(B$2:B1992,-1+SUMPRODUCT(MAX(ROW(E$2:E1992)*(E1993=E$2:E1992)))))</f>
        <v/>
      </c>
      <c r="J1993" s="24" t="str">
        <f ca="1">IF(OR(E1993="",E1993="!!!",F1993="NEW"),"",COUNTBLANK(OFFSET(A$1,,,SUMPRODUCT(MAX(ROW(E$2:E1993)*(E1993=E$2:E1993)))))-COUNTBLANK(OFFSET(A$1,,,SUMPRODUCT(MAX(ROW(E$1:E1992)*(E2=E$1:E1992))))))</f>
        <v/>
      </c>
      <c r="K1993" s="24" t="str">
        <f>IF(OR(E1993="",E1993="!!!",F1993="NEW"),"",INDEX(J$1:J1992,SUMPRODUCT(MAX(ROW(E$1:E1992)*(E1993=E$1:E1992)))))</f>
        <v/>
      </c>
      <c r="L1993" s="25"/>
    </row>
    <row r="1994" spans="1:12" x14ac:dyDescent="0.3">
      <c r="A1994" t="s">
        <v>1141</v>
      </c>
      <c r="B1994" s="26" t="s">
        <v>337</v>
      </c>
      <c r="C1994" s="26" t="s">
        <v>366</v>
      </c>
      <c r="E1994" s="20" t="str">
        <f t="shared" si="224"/>
        <v/>
      </c>
      <c r="F1994" s="21" t="str">
        <f>IF(OR(E1994="",E1994="!!!"),"",IF(NOT(ISNA(VLOOKUP(E1994,E$1:E1993,1,FALSE()))),"OLD",IF(AND(E1994&lt;&gt;"",E1994&lt;&gt;"!!!"),"NEW","")))</f>
        <v/>
      </c>
      <c r="G1994" s="22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/>
      </c>
      <c r="H1994" s="23" t="str">
        <f t="shared" ca="1" si="225"/>
        <v/>
      </c>
      <c r="I1994" s="24" t="str">
        <f>IF(OR(E1994="",E1994="!!!",F1994="NEW"),"",INDEX(B$2:B1993,-1+SUMPRODUCT(MAX(ROW(E$2:E1993)*(E1994=E$2:E1993)))))</f>
        <v/>
      </c>
      <c r="J1994" s="24" t="str">
        <f ca="1">IF(OR(E1994="",E1994="!!!",F1994="NEW"),"",COUNTBLANK(OFFSET(A$1,,,SUMPRODUCT(MAX(ROW(E$2:E1994)*(E1994=E$2:E1994)))))-COUNTBLANK(OFFSET(A$1,,,SUMPRODUCT(MAX(ROW(E$1:E1993)*(E2=E$1:E1993))))))</f>
        <v/>
      </c>
      <c r="K1994" s="24" t="str">
        <f>IF(OR(E1994="",E1994="!!!",F1994="NEW"),"",INDEX(J$1:J1993,SUMPRODUCT(MAX(ROW(E$1:E1993)*(E1994=E$1:E1993)))))</f>
        <v/>
      </c>
      <c r="L1994" s="25"/>
    </row>
    <row r="1995" spans="1:12" x14ac:dyDescent="0.3">
      <c r="A1995" t="s">
        <v>333</v>
      </c>
      <c r="E1995" s="20" t="str">
        <f t="shared" si="224"/>
        <v/>
      </c>
      <c r="F1995" s="21" t="str">
        <f>IF(OR(E1995="",E1995="!!!"),"",IF(NOT(ISNA(VLOOKUP(E1995,E$1:E1994,1,FALSE()))),"OLD",IF(AND(E1995&lt;&gt;"",E1995&lt;&gt;"!!!"),"NEW","")))</f>
        <v/>
      </c>
      <c r="G1995" s="22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/>
      </c>
      <c r="H1995" s="23" t="str">
        <f t="shared" ca="1" si="225"/>
        <v/>
      </c>
      <c r="I1995" s="24" t="str">
        <f>IF(OR(E1995="",E1995="!!!",F1995="NEW"),"",INDEX(B$2:B1994,-1+SUMPRODUCT(MAX(ROW(E$2:E1994)*(E1995=E$2:E1994)))))</f>
        <v/>
      </c>
      <c r="J1995" s="24" t="str">
        <f ca="1">IF(OR(E1995="",E1995="!!!",F1995="NEW"),"",COUNTBLANK(OFFSET(A$1,,,SUMPRODUCT(MAX(ROW(E$2:E1995)*(E1995=E$2:E1995)))))-COUNTBLANK(OFFSET(A$1,,,SUMPRODUCT(MAX(ROW(E$1:E1994)*(E2=E$1:E1994))))))</f>
        <v/>
      </c>
      <c r="K1995" s="24" t="str">
        <f>IF(OR(E1995="",E1995="!!!",F1995="NEW"),"",INDEX(J$1:J1994,SUMPRODUCT(MAX(ROW(E$1:E1994)*(E1995=E$1:E1994)))))</f>
        <v/>
      </c>
      <c r="L1995" s="25"/>
    </row>
    <row r="1996" spans="1:12" x14ac:dyDescent="0.3">
      <c r="A1996" t="s">
        <v>385</v>
      </c>
      <c r="E1996" s="20" t="str">
        <f t="shared" si="224"/>
        <v/>
      </c>
      <c r="F1996" s="21" t="str">
        <f>IF(OR(E1996="",E1996="!!!"),"",IF(NOT(ISNA(VLOOKUP(E1996,E$1:E1995,1,FALSE()))),"OLD",IF(AND(E1996&lt;&gt;"",E1996&lt;&gt;"!!!"),"NEW","")))</f>
        <v/>
      </c>
      <c r="G1996" s="22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/>
      </c>
      <c r="H1996" s="23" t="str">
        <f t="shared" ca="1" si="225"/>
        <v/>
      </c>
      <c r="I1996" s="24" t="str">
        <f>IF(OR(E1996="",E1996="!!!",F1996="NEW"),"",INDEX(B$2:B1995,-1+SUMPRODUCT(MAX(ROW(E$2:E1995)*(E1996=E$2:E1995)))))</f>
        <v/>
      </c>
      <c r="J1996" s="24" t="str">
        <f ca="1">IF(OR(E1996="",E1996="!!!",F1996="NEW"),"",COUNTBLANK(OFFSET(A$1,,,SUMPRODUCT(MAX(ROW(E$2:E1996)*(E1996=E$2:E1996)))))-COUNTBLANK(OFFSET(A$1,,,SUMPRODUCT(MAX(ROW(E$1:E1995)*(E2=E$1:E1995))))))</f>
        <v/>
      </c>
      <c r="K1996" s="24" t="str">
        <f>IF(OR(E1996="",E1996="!!!",F1996="NEW"),"",INDEX(J$1:J1995,SUMPRODUCT(MAX(ROW(E$1:E1995)*(E1996=E$1:E1995)))))</f>
        <v/>
      </c>
      <c r="L1996" s="25"/>
    </row>
    <row r="1997" spans="1:12" x14ac:dyDescent="0.3">
      <c r="A1997" t="s">
        <v>437</v>
      </c>
      <c r="B1997" s="26" t="s">
        <v>330</v>
      </c>
      <c r="C1997" s="26" t="s">
        <v>438</v>
      </c>
      <c r="D1997" s="26" t="s">
        <v>332</v>
      </c>
      <c r="E1997" s="20" t="str">
        <f t="shared" si="224"/>
        <v>!!!</v>
      </c>
      <c r="F1997" s="21" t="str">
        <f>IF(OR(E1997="",E1997="!!!"),"",IF(NOT(ISNA(VLOOKUP(E1997,E$1:E1996,1,FALSE()))),"OLD",IF(AND(E1997&lt;&gt;"",E1997&lt;&gt;"!!!"),"NEW","")))</f>
        <v/>
      </c>
      <c r="G1997" s="22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/>
      </c>
      <c r="H1997" s="23" t="str">
        <f t="shared" ca="1" si="225"/>
        <v/>
      </c>
      <c r="I1997" s="24" t="str">
        <f>IF(OR(E1997="",E1997="!!!",F1997="NEW"),"",INDEX(B$2:B1996,-1+SUMPRODUCT(MAX(ROW(E$2:E1996)*(E1997=E$2:E1996)))))</f>
        <v/>
      </c>
      <c r="J1997" s="24" t="str">
        <f ca="1">IF(OR(E1997="",E1997="!!!",F1997="NEW"),"",COUNTBLANK(OFFSET(A$1,,,SUMPRODUCT(MAX(ROW(E$2:E1997)*(E1997=E$2:E1997)))))-COUNTBLANK(OFFSET(A$1,,,SUMPRODUCT(MAX(ROW(E$1:E1996)*(E2=E$1:E1996))))))</f>
        <v/>
      </c>
      <c r="K1997" s="24" t="str">
        <f>IF(OR(E1997="",E1997="!!!",F1997="NEW"),"",INDEX(J$1:J1996,SUMPRODUCT(MAX(ROW(E$1:E1996)*(E1997=E$1:E1996)))))</f>
        <v/>
      </c>
      <c r="L1997" s="25"/>
    </row>
    <row r="1998" spans="1:12" x14ac:dyDescent="0.3">
      <c r="A1998" t="s">
        <v>710</v>
      </c>
      <c r="E1998" s="20" t="str">
        <f t="shared" si="224"/>
        <v/>
      </c>
      <c r="F1998" s="21" t="str">
        <f>IF(OR(E1998="",E1998="!!!"),"",IF(NOT(ISNA(VLOOKUP(E1998,E$1:E1997,1,FALSE()))),"OLD",IF(AND(E1998&lt;&gt;"",E1998&lt;&gt;"!!!"),"NEW","")))</f>
        <v/>
      </c>
      <c r="G1998" s="22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/>
      </c>
      <c r="H1998" s="23" t="str">
        <f t="shared" ca="1" si="225"/>
        <v/>
      </c>
      <c r="I1998" s="24" t="str">
        <f>IF(OR(E1998="",E1998="!!!",F1998="NEW"),"",INDEX(B$2:B1997,-1+SUMPRODUCT(MAX(ROW(E$2:E1997)*(E1998=E$2:E1997)))))</f>
        <v/>
      </c>
      <c r="J1998" s="24" t="str">
        <f ca="1">IF(OR(E1998="",E1998="!!!",F1998="NEW"),"",COUNTBLANK(OFFSET(A$1,,,SUMPRODUCT(MAX(ROW(E$2:E1998)*(E1998=E$2:E1998)))))-COUNTBLANK(OFFSET(A$1,,,SUMPRODUCT(MAX(ROW(E$1:E1997)*(E2=E$1:E1997))))))</f>
        <v/>
      </c>
      <c r="K1998" s="24" t="str">
        <f>IF(OR(E1998="",E1998="!!!",F1998="NEW"),"",INDEX(J$1:J1997,SUMPRODUCT(MAX(ROW(E$1:E1997)*(E1998=E$1:E1997)))))</f>
        <v/>
      </c>
      <c r="L1998" s="25"/>
    </row>
    <row r="1999" spans="1:12" x14ac:dyDescent="0.3">
      <c r="A1999" t="s">
        <v>1142</v>
      </c>
      <c r="E1999" s="20" t="str">
        <f t="shared" si="224"/>
        <v/>
      </c>
      <c r="F1999" s="21" t="str">
        <f>IF(OR(E1999="",E1999="!!!"),"",IF(NOT(ISNA(VLOOKUP(E1999,E$1:E1998,1,FALSE()))),"OLD",IF(AND(E1999&lt;&gt;"",E1999&lt;&gt;"!!!"),"NEW","")))</f>
        <v/>
      </c>
      <c r="G1999" s="22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/>
      </c>
      <c r="H1999" s="23" t="str">
        <f t="shared" ca="1" si="225"/>
        <v/>
      </c>
      <c r="I1999" s="24" t="str">
        <f>IF(OR(E1999="",E1999="!!!",F1999="NEW"),"",INDEX(B$2:B1998,-1+SUMPRODUCT(MAX(ROW(E$2:E1998)*(E1999=E$2:E1998)))))</f>
        <v/>
      </c>
      <c r="J1999" s="24" t="str">
        <f ca="1">IF(OR(E1999="",E1999="!!!",F1999="NEW"),"",COUNTBLANK(OFFSET(A$1,,,SUMPRODUCT(MAX(ROW(E$2:E1999)*(E1999=E$2:E1999)))))-COUNTBLANK(OFFSET(A$1,,,SUMPRODUCT(MAX(ROW(E$1:E1998)*(E2=E$1:E1998))))))</f>
        <v/>
      </c>
      <c r="K1999" s="24" t="str">
        <f>IF(OR(E1999="",E1999="!!!",F1999="NEW"),"",INDEX(J$1:J1998,SUMPRODUCT(MAX(ROW(E$1:E1998)*(E1999=E$1:E1998)))))</f>
        <v/>
      </c>
      <c r="L1999" s="25"/>
    </row>
    <row r="2000" spans="1:12" x14ac:dyDescent="0.3">
      <c r="A2000" t="s">
        <v>1143</v>
      </c>
      <c r="B2000" s="26" t="s">
        <v>337</v>
      </c>
      <c r="C2000" s="26" t="s">
        <v>355</v>
      </c>
      <c r="E2000" s="20" t="str">
        <f t="shared" si="224"/>
        <v/>
      </c>
      <c r="F2000" s="21" t="str">
        <f>IF(OR(E2000="",E2000="!!!"),"",IF(NOT(ISNA(VLOOKUP(E2000,E$1:E1999,1,FALSE()))),"OLD",IF(AND(E2000&lt;&gt;"",E2000&lt;&gt;"!!!"),"NEW","")))</f>
        <v/>
      </c>
      <c r="G2000" s="22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/>
      </c>
      <c r="H2000" s="23" t="str">
        <f t="shared" ca="1" si="225"/>
        <v/>
      </c>
      <c r="I2000" s="24" t="str">
        <f>IF(OR(E2000="",E2000="!!!",F2000="NEW"),"",INDEX(B$2:B1999,-1+SUMPRODUCT(MAX(ROW(E$2:E1999)*(E2000=E$2:E1999)))))</f>
        <v/>
      </c>
      <c r="J2000" s="24" t="str">
        <f ca="1">IF(OR(E2000="",E2000="!!!",F2000="NEW"),"",COUNTBLANK(OFFSET(A$1,,,SUMPRODUCT(MAX(ROW(E$2:E2000)*(E2000=E$2:E2000)))))-COUNTBLANK(OFFSET(A$1,,,SUMPRODUCT(MAX(ROW(E$1:E1999)*(E2=E$1:E1999))))))</f>
        <v/>
      </c>
      <c r="K2000" s="24" t="str">
        <f>IF(OR(E2000="",E2000="!!!",F2000="NEW"),"",INDEX(J$1:J1999,SUMPRODUCT(MAX(ROW(E$1:E1999)*(E2000=E$1:E1999)))))</f>
        <v/>
      </c>
      <c r="L2000" s="25"/>
    </row>
    <row r="2001" spans="1:12" x14ac:dyDescent="0.3">
      <c r="A2001" t="s">
        <v>841</v>
      </c>
      <c r="E2001" s="20" t="str">
        <f t="shared" si="224"/>
        <v/>
      </c>
      <c r="F2001" s="21" t="str">
        <f>IF(OR(E2001="",E2001="!!!"),"",IF(NOT(ISNA(VLOOKUP(E2001,E$1:E2000,1,FALSE()))),"OLD",IF(AND(E2001&lt;&gt;"",E2001&lt;&gt;"!!!"),"NEW","")))</f>
        <v/>
      </c>
      <c r="G2001" s="22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/>
      </c>
      <c r="H2001" s="23" t="str">
        <f t="shared" ca="1" si="225"/>
        <v/>
      </c>
      <c r="I2001" s="24" t="str">
        <f>IF(OR(E2001="",E2001="!!!",F2001="NEW"),"",INDEX(B$2:B2000,-1+SUMPRODUCT(MAX(ROW(E$2:E2000)*(E2001=E$2:E2000)))))</f>
        <v/>
      </c>
      <c r="J2001" s="24" t="str">
        <f ca="1">IF(OR(E2001="",E2001="!!!",F2001="NEW"),"",COUNTBLANK(OFFSET(A$1,,,SUMPRODUCT(MAX(ROW(E$2:E2001)*(E2001=E$2:E2001)))))-COUNTBLANK(OFFSET(A$1,,,SUMPRODUCT(MAX(ROW(E$1:E2000)*(E2=E$1:E2000))))))</f>
        <v/>
      </c>
      <c r="K2001" s="24" t="str">
        <f>IF(OR(E2001="",E2001="!!!",F2001="NEW"),"",INDEX(J$1:J2000,SUMPRODUCT(MAX(ROW(E$1:E2000)*(E2001=E$1:E2000)))))</f>
        <v/>
      </c>
      <c r="L2001" s="25"/>
    </row>
    <row r="2002" spans="1:12" x14ac:dyDescent="0.3">
      <c r="A2002" t="s">
        <v>1144</v>
      </c>
      <c r="E2002" s="20" t="str">
        <f t="shared" si="224"/>
        <v/>
      </c>
      <c r="F2002" s="21" t="str">
        <f>IF(OR(E2002="",E2002="!!!"),"",IF(NOT(ISNA(VLOOKUP(E2002,E$1:E2001,1,FALSE()))),"OLD",IF(AND(E2002&lt;&gt;"",E2002&lt;&gt;"!!!"),"NEW","")))</f>
        <v/>
      </c>
      <c r="G2002" s="22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/>
      </c>
      <c r="H2002" s="23" t="str">
        <f t="shared" ca="1" si="225"/>
        <v/>
      </c>
      <c r="I2002" s="24" t="str">
        <f>IF(OR(E2002="",E2002="!!!",F2002="NEW"),"",INDEX(B$2:B2001,-1+SUMPRODUCT(MAX(ROW(E$2:E2001)*(E2002=E$2:E2001)))))</f>
        <v/>
      </c>
      <c r="J2002" s="24" t="str">
        <f ca="1">IF(OR(E2002="",E2002="!!!",F2002="NEW"),"",COUNTBLANK(OFFSET(A$1,,,SUMPRODUCT(MAX(ROW(E$2:E2002)*(E2002=E$2:E2002)))))-COUNTBLANK(OFFSET(A$1,,,SUMPRODUCT(MAX(ROW(E$1:E2001)*(E2=E$1:E2001))))))</f>
        <v/>
      </c>
      <c r="K2002" s="24" t="str">
        <f>IF(OR(E2002="",E2002="!!!",F2002="NEW"),"",INDEX(J$1:J2001,SUMPRODUCT(MAX(ROW(E$1:E2001)*(E2002=E$1:E2001)))))</f>
        <v/>
      </c>
      <c r="L2002" s="25"/>
    </row>
    <row r="2003" spans="1:12" x14ac:dyDescent="0.3">
      <c r="A2003" t="s">
        <v>329</v>
      </c>
      <c r="B2003" s="26" t="s">
        <v>344</v>
      </c>
      <c r="C2003" s="26" t="s">
        <v>544</v>
      </c>
      <c r="E2003" s="20" t="str">
        <f t="shared" si="224"/>
        <v/>
      </c>
      <c r="F2003" s="21" t="str">
        <f>IF(OR(E2003="",E2003="!!!"),"",IF(NOT(ISNA(VLOOKUP(E2003,E$1:E2002,1,FALSE()))),"OLD",IF(AND(E2003&lt;&gt;"",E2003&lt;&gt;"!!!"),"NEW","")))</f>
        <v/>
      </c>
      <c r="G2003" s="22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/>
      </c>
      <c r="H2003" s="23" t="str">
        <f t="shared" ca="1" si="225"/>
        <v/>
      </c>
      <c r="I2003" s="24" t="str">
        <f>IF(OR(E2003="",E2003="!!!",F2003="NEW"),"",INDEX(B$2:B2002,-1+SUMPRODUCT(MAX(ROW(E$2:E2002)*(E2003=E$2:E2002)))))</f>
        <v/>
      </c>
      <c r="J2003" s="24" t="str">
        <f ca="1">IF(OR(E2003="",E2003="!!!",F2003="NEW"),"",COUNTBLANK(OFFSET(A$1,,,SUMPRODUCT(MAX(ROW(E$2:E2003)*(E2003=E$2:E2003)))))-COUNTBLANK(OFFSET(A$1,,,SUMPRODUCT(MAX(ROW(E$1:E2002)*(E2=E$1:E2002))))))</f>
        <v/>
      </c>
      <c r="K2003" s="24" t="str">
        <f>IF(OR(E2003="",E2003="!!!",F2003="NEW"),"",INDEX(J$1:J2002,SUMPRODUCT(MAX(ROW(E$1:E2002)*(E2003=E$1:E2002)))))</f>
        <v/>
      </c>
      <c r="L2003" s="25"/>
    </row>
    <row r="2004" spans="1:12" x14ac:dyDescent="0.3">
      <c r="A2004" t="s">
        <v>638</v>
      </c>
      <c r="E2004" s="20" t="str">
        <f t="shared" si="224"/>
        <v/>
      </c>
      <c r="F2004" s="21" t="str">
        <f>IF(OR(E2004="",E2004="!!!"),"",IF(NOT(ISNA(VLOOKUP(E2004,E$1:E2003,1,FALSE()))),"OLD",IF(AND(E2004&lt;&gt;"",E2004&lt;&gt;"!!!"),"NEW","")))</f>
        <v/>
      </c>
      <c r="G2004" s="22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/>
      </c>
      <c r="H2004" s="23" t="str">
        <f t="shared" ca="1" si="225"/>
        <v/>
      </c>
      <c r="I2004" s="24" t="str">
        <f>IF(OR(E2004="",E2004="!!!",F2004="NEW"),"",INDEX(B$2:B2003,-1+SUMPRODUCT(MAX(ROW(E$2:E2003)*(E2004=E$2:E2003)))))</f>
        <v/>
      </c>
      <c r="J2004" s="24" t="str">
        <f ca="1">IF(OR(E2004="",E2004="!!!",F2004="NEW"),"",COUNTBLANK(OFFSET(A$1,,,SUMPRODUCT(MAX(ROW(E$2:E2004)*(E2004=E$2:E2004)))))-COUNTBLANK(OFFSET(A$1,,,SUMPRODUCT(MAX(ROW(E$1:E2003)*(E2=E$1:E2003))))))</f>
        <v/>
      </c>
      <c r="K2004" s="24" t="str">
        <f>IF(OR(E2004="",E2004="!!!",F2004="NEW"),"",INDEX(J$1:J2003,SUMPRODUCT(MAX(ROW(E$1:E2003)*(E2004=E$1:E2003)))))</f>
        <v/>
      </c>
      <c r="L2004" s="25"/>
    </row>
    <row r="2005" spans="1:12" x14ac:dyDescent="0.3">
      <c r="A2005" t="s">
        <v>575</v>
      </c>
      <c r="E2005" s="20" t="str">
        <f t="shared" si="224"/>
        <v/>
      </c>
      <c r="F2005" s="21" t="str">
        <f>IF(OR(E2005="",E2005="!!!"),"",IF(NOT(ISNA(VLOOKUP(E2005,E$1:E2004,1,FALSE()))),"OLD",IF(AND(E2005&lt;&gt;"",E2005&lt;&gt;"!!!"),"NEW","")))</f>
        <v/>
      </c>
      <c r="G2005" s="22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/>
      </c>
      <c r="H2005" s="23" t="str">
        <f t="shared" ca="1" si="225"/>
        <v/>
      </c>
      <c r="I2005" s="24" t="str">
        <f>IF(OR(E2005="",E2005="!!!",F2005="NEW"),"",INDEX(B$2:B2004,-1+SUMPRODUCT(MAX(ROW(E$2:E2004)*(E2005=E$2:E2004)))))</f>
        <v/>
      </c>
      <c r="J2005" s="24" t="str">
        <f ca="1">IF(OR(E2005="",E2005="!!!",F2005="NEW"),"",COUNTBLANK(OFFSET(A$1,,,SUMPRODUCT(MAX(ROW(E$2:E2005)*(E2005=E$2:E2005)))))-COUNTBLANK(OFFSET(A$1,,,SUMPRODUCT(MAX(ROW(E$1:E2004)*(E2=E$1:E2004))))))</f>
        <v/>
      </c>
      <c r="K2005" s="24" t="str">
        <f>IF(OR(E2005="",E2005="!!!",F2005="NEW"),"",INDEX(J$1:J2004,SUMPRODUCT(MAX(ROW(E$1:E2004)*(E2005=E$1:E2004)))))</f>
        <v/>
      </c>
      <c r="L2005" s="25"/>
    </row>
    <row r="2006" spans="1:12" x14ac:dyDescent="0.3">
      <c r="A2006" t="s">
        <v>888</v>
      </c>
      <c r="E2006" s="20" t="str">
        <f t="shared" si="224"/>
        <v/>
      </c>
      <c r="F2006" s="21" t="str">
        <f>IF(OR(E2006="",E2006="!!!"),"",IF(NOT(ISNA(VLOOKUP(E2006,E$1:E2005,1,FALSE()))),"OLD",IF(AND(E2006&lt;&gt;"",E2006&lt;&gt;"!!!"),"NEW","")))</f>
        <v/>
      </c>
      <c r="G2006" s="22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/>
      </c>
      <c r="H2006" s="23" t="str">
        <f t="shared" ca="1" si="225"/>
        <v/>
      </c>
      <c r="I2006" s="24" t="str">
        <f>IF(OR(E2006="",E2006="!!!",F2006="NEW"),"",INDEX(B$2:B2005,-1+SUMPRODUCT(MAX(ROW(E$2:E2005)*(E2006=E$2:E2005)))))</f>
        <v/>
      </c>
      <c r="J2006" s="24" t="str">
        <f ca="1">IF(OR(E2006="",E2006="!!!",F2006="NEW"),"",COUNTBLANK(OFFSET(A$1,,,SUMPRODUCT(MAX(ROW(E$2:E2006)*(E2006=E$2:E2006)))))-COUNTBLANK(OFFSET(A$1,,,SUMPRODUCT(MAX(ROW(E$1:E2005)*(E2=E$1:E2005))))))</f>
        <v/>
      </c>
      <c r="K2006" s="24" t="str">
        <f>IF(OR(E2006="",E2006="!!!",F2006="NEW"),"",INDEX(J$1:J2005,SUMPRODUCT(MAX(ROW(E$1:E2005)*(E2006=E$1:E2005)))))</f>
        <v/>
      </c>
      <c r="L2006" s="25"/>
    </row>
    <row r="2008" spans="1:12" x14ac:dyDescent="0.3">
      <c r="A2008" t="s">
        <v>1145</v>
      </c>
    </row>
    <row r="2009" spans="1:12" x14ac:dyDescent="0.3">
      <c r="A2009" t="s">
        <v>1146</v>
      </c>
      <c r="B2009" s="26" t="s">
        <v>337</v>
      </c>
      <c r="C2009" s="26" t="s">
        <v>355</v>
      </c>
      <c r="E2009" s="20" t="str">
        <f t="shared" ref="E2009:E2014" si="226">IF(D2009="?OLD","!!!","")</f>
        <v/>
      </c>
      <c r="F2009" s="21" t="str">
        <f>IF(OR(E2009="",E2009="!!!"),"",IF(NOT(ISNA(VLOOKUP(E2009,E$1:E2008,1,FALSE()))),"OLD",IF(AND(E2009&lt;&gt;"",E2009&lt;&gt;"!!!"),"NEW","")))</f>
        <v/>
      </c>
      <c r="G2009" s="22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/>
      </c>
      <c r="H2009" s="23" t="str">
        <f t="shared" ref="H2009:H2014" ca="1" si="227">IF(J2009&lt;&gt;1,"",IF(I2009="SBJ","CB","?"))</f>
        <v/>
      </c>
      <c r="I2009" s="24" t="str">
        <f>IF(OR(E2009="",E2009="!!!",F2009="NEW"),"",INDEX(B$2:B2008,-1+SUMPRODUCT(MAX(ROW(E$2:E2008)*(E2009=E$2:E2008)))))</f>
        <v/>
      </c>
      <c r="J2009" s="24" t="str">
        <f ca="1">IF(OR(E2009="",E2009="!!!",F2009="NEW"),"",COUNTBLANK(OFFSET(A$1,,,SUMPRODUCT(MAX(ROW(E$2:E2009)*(E2009=E$2:E2009)))))-COUNTBLANK(OFFSET(A$1,,,SUMPRODUCT(MAX(ROW(E$1:E2008)*(E2=E$1:E2008))))))</f>
        <v/>
      </c>
      <c r="K2009" s="24" t="str">
        <f>IF(OR(E2009="",E2009="!!!",F2009="NEW"),"",INDEX(J$1:J2008,SUMPRODUCT(MAX(ROW(E$1:E2008)*(E2009=E$1:E2008)))))</f>
        <v/>
      </c>
      <c r="L2009" s="25"/>
    </row>
    <row r="2010" spans="1:12" x14ac:dyDescent="0.3">
      <c r="A2010" t="s">
        <v>351</v>
      </c>
      <c r="E2010" s="20" t="str">
        <f t="shared" si="226"/>
        <v/>
      </c>
      <c r="F2010" s="21" t="str">
        <f>IF(OR(E2010="",E2010="!!!"),"",IF(NOT(ISNA(VLOOKUP(E2010,E$1:E2009,1,FALSE()))),"OLD",IF(AND(E2010&lt;&gt;"",E2010&lt;&gt;"!!!"),"NEW","")))</f>
        <v/>
      </c>
      <c r="G2010" s="22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/>
      </c>
      <c r="H2010" s="23" t="str">
        <f t="shared" ca="1" si="227"/>
        <v/>
      </c>
      <c r="I2010" s="24" t="str">
        <f>IF(OR(E2010="",E2010="!!!",F2010="NEW"),"",INDEX(B$2:B2009,-1+SUMPRODUCT(MAX(ROW(E$2:E2009)*(E2010=E$2:E2009)))))</f>
        <v/>
      </c>
      <c r="J2010" s="24" t="str">
        <f ca="1">IF(OR(E2010="",E2010="!!!",F2010="NEW"),"",COUNTBLANK(OFFSET(A$1,,,SUMPRODUCT(MAX(ROW(E$2:E2010)*(E2010=E$2:E2010)))))-COUNTBLANK(OFFSET(A$1,,,SUMPRODUCT(MAX(ROW(E$1:E2009)*(E2=E$1:E2009))))))</f>
        <v/>
      </c>
      <c r="K2010" s="24" t="str">
        <f>IF(OR(E2010="",E2010="!!!",F2010="NEW"),"",INDEX(J$1:J2009,SUMPRODUCT(MAX(ROW(E$1:E2009)*(E2010=E$1:E2009)))))</f>
        <v/>
      </c>
      <c r="L2010" s="25"/>
    </row>
    <row r="2011" spans="1:12" x14ac:dyDescent="0.3">
      <c r="A2011" t="s">
        <v>917</v>
      </c>
      <c r="B2011" s="26" t="s">
        <v>330</v>
      </c>
      <c r="C2011" s="26" t="s">
        <v>341</v>
      </c>
      <c r="D2011" s="26" t="s">
        <v>332</v>
      </c>
      <c r="E2011" s="20" t="str">
        <f t="shared" si="226"/>
        <v>!!!</v>
      </c>
      <c r="F2011" s="21" t="str">
        <f>IF(OR(E2011="",E2011="!!!"),"",IF(NOT(ISNA(VLOOKUP(E2011,E$1:E2010,1,FALSE()))),"OLD",IF(AND(E2011&lt;&gt;"",E2011&lt;&gt;"!!!"),"NEW","")))</f>
        <v/>
      </c>
      <c r="G2011" s="22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/>
      </c>
      <c r="H2011" s="23" t="str">
        <f t="shared" ca="1" si="227"/>
        <v/>
      </c>
      <c r="I2011" s="24" t="str">
        <f>IF(OR(E2011="",E2011="!!!",F2011="NEW"),"",INDEX(B$2:B2010,-1+SUMPRODUCT(MAX(ROW(E$2:E2010)*(E2011=E$2:E2010)))))</f>
        <v/>
      </c>
      <c r="J2011" s="24" t="str">
        <f ca="1">IF(OR(E2011="",E2011="!!!",F2011="NEW"),"",COUNTBLANK(OFFSET(A$1,,,SUMPRODUCT(MAX(ROW(E$2:E2011)*(E2011=E$2:E2011)))))-COUNTBLANK(OFFSET(A$1,,,SUMPRODUCT(MAX(ROW(E$1:E2010)*(E2=E$1:E2010))))))</f>
        <v/>
      </c>
      <c r="K2011" s="24" t="str">
        <f>IF(OR(E2011="",E2011="!!!",F2011="NEW"),"",INDEX(J$1:J2010,SUMPRODUCT(MAX(ROW(E$1:E2010)*(E2011=E$1:E2010)))))</f>
        <v/>
      </c>
      <c r="L2011" s="25"/>
    </row>
    <row r="2012" spans="1:12" x14ac:dyDescent="0.3">
      <c r="A2012" t="s">
        <v>1147</v>
      </c>
      <c r="E2012" s="20" t="str">
        <f t="shared" si="226"/>
        <v/>
      </c>
      <c r="F2012" s="21" t="str">
        <f>IF(OR(E2012="",E2012="!!!"),"",IF(NOT(ISNA(VLOOKUP(E2012,E$1:E2011,1,FALSE()))),"OLD",IF(AND(E2012&lt;&gt;"",E2012&lt;&gt;"!!!"),"NEW","")))</f>
        <v/>
      </c>
      <c r="G2012" s="22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/>
      </c>
      <c r="H2012" s="23" t="str">
        <f t="shared" ca="1" si="227"/>
        <v/>
      </c>
      <c r="I2012" s="24" t="str">
        <f>IF(OR(E2012="",E2012="!!!",F2012="NEW"),"",INDEX(B$2:B2011,-1+SUMPRODUCT(MAX(ROW(E$2:E2011)*(E2012=E$2:E2011)))))</f>
        <v/>
      </c>
      <c r="J2012" s="24" t="str">
        <f ca="1">IF(OR(E2012="",E2012="!!!",F2012="NEW"),"",COUNTBLANK(OFFSET(A$1,,,SUMPRODUCT(MAX(ROW(E$2:E2012)*(E2012=E$2:E2012)))))-COUNTBLANK(OFFSET(A$1,,,SUMPRODUCT(MAX(ROW(E$1:E2011)*(E2=E$1:E2011))))))</f>
        <v/>
      </c>
      <c r="K2012" s="24" t="str">
        <f>IF(OR(E2012="",E2012="!!!",F2012="NEW"),"",INDEX(J$1:J2011,SUMPRODUCT(MAX(ROW(E$1:E2011)*(E2012=E$1:E2011)))))</f>
        <v/>
      </c>
      <c r="L2012" s="25"/>
    </row>
    <row r="2013" spans="1:12" x14ac:dyDescent="0.3">
      <c r="A2013" t="s">
        <v>1148</v>
      </c>
      <c r="B2013" s="26" t="s">
        <v>344</v>
      </c>
      <c r="C2013" s="26" t="s">
        <v>341</v>
      </c>
      <c r="D2013" s="26" t="s">
        <v>332</v>
      </c>
      <c r="E2013" s="20" t="str">
        <f t="shared" si="226"/>
        <v>!!!</v>
      </c>
      <c r="F2013" s="21" t="str">
        <f>IF(OR(E2013="",E2013="!!!"),"",IF(NOT(ISNA(VLOOKUP(E2013,E$1:E2012,1,FALSE()))),"OLD",IF(AND(E2013&lt;&gt;"",E2013&lt;&gt;"!!!"),"NEW","")))</f>
        <v/>
      </c>
      <c r="G2013" s="22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/>
      </c>
      <c r="H2013" s="23" t="str">
        <f t="shared" ca="1" si="227"/>
        <v/>
      </c>
      <c r="I2013" s="24" t="str">
        <f>IF(OR(E2013="",E2013="!!!",F2013="NEW"),"",INDEX(B$2:B2012,-1+SUMPRODUCT(MAX(ROW(E$2:E2012)*(E2013=E$2:E2012)))))</f>
        <v/>
      </c>
      <c r="J2013" s="24" t="str">
        <f ca="1">IF(OR(E2013="",E2013="!!!",F2013="NEW"),"",COUNTBLANK(OFFSET(A$1,,,SUMPRODUCT(MAX(ROW(E$2:E2013)*(E2013=E$2:E2013)))))-COUNTBLANK(OFFSET(A$1,,,SUMPRODUCT(MAX(ROW(E$1:E2012)*(E2=E$1:E2012))))))</f>
        <v/>
      </c>
      <c r="K2013" s="24" t="str">
        <f>IF(OR(E2013="",E2013="!!!",F2013="NEW"),"",INDEX(J$1:J2012,SUMPRODUCT(MAX(ROW(E$1:E2012)*(E2013=E$1:E2012)))))</f>
        <v/>
      </c>
      <c r="L2013" s="25"/>
    </row>
    <row r="2014" spans="1:12" x14ac:dyDescent="0.3">
      <c r="A2014" t="s">
        <v>338</v>
      </c>
      <c r="E2014" s="20" t="str">
        <f t="shared" si="226"/>
        <v/>
      </c>
      <c r="F2014" s="21" t="str">
        <f>IF(OR(E2014="",E2014="!!!"),"",IF(NOT(ISNA(VLOOKUP(E2014,E$1:E2013,1,FALSE()))),"OLD",IF(AND(E2014&lt;&gt;"",E2014&lt;&gt;"!!!"),"NEW","")))</f>
        <v/>
      </c>
      <c r="G2014" s="22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/>
      </c>
      <c r="H2014" s="23" t="str">
        <f t="shared" ca="1" si="227"/>
        <v/>
      </c>
      <c r="I2014" s="24" t="str">
        <f>IF(OR(E2014="",E2014="!!!",F2014="NEW"),"",INDEX(B$2:B2013,-1+SUMPRODUCT(MAX(ROW(E$2:E2013)*(E2014=E$2:E2013)))))</f>
        <v/>
      </c>
      <c r="J2014" s="24" t="str">
        <f ca="1">IF(OR(E2014="",E2014="!!!",F2014="NEW"),"",COUNTBLANK(OFFSET(A$1,,,SUMPRODUCT(MAX(ROW(E$2:E2014)*(E2014=E$2:E2014)))))-COUNTBLANK(OFFSET(A$1,,,SUMPRODUCT(MAX(ROW(E$1:E2013)*(E2=E$1:E2013))))))</f>
        <v/>
      </c>
      <c r="K2014" s="24" t="str">
        <f>IF(OR(E2014="",E2014="!!!",F2014="NEW"),"",INDEX(J$1:J2013,SUMPRODUCT(MAX(ROW(E$1:E2013)*(E2014=E$1:E2013)))))</f>
        <v/>
      </c>
      <c r="L2014" s="25"/>
    </row>
    <row r="2016" spans="1:12" x14ac:dyDescent="0.3">
      <c r="A2016" t="s">
        <v>1149</v>
      </c>
    </row>
    <row r="2017" spans="1:12" x14ac:dyDescent="0.3">
      <c r="A2017" t="s">
        <v>424</v>
      </c>
      <c r="B2017" s="26" t="s">
        <v>330</v>
      </c>
      <c r="C2017" s="26" t="s">
        <v>341</v>
      </c>
      <c r="D2017" s="26" t="s">
        <v>332</v>
      </c>
      <c r="E2017" s="20" t="str">
        <f>IF(D2017="?OLD","!!!","")</f>
        <v>!!!</v>
      </c>
      <c r="F2017" s="21" t="str">
        <f>IF(OR(E2017="",E2017="!!!"),"",IF(NOT(ISNA(VLOOKUP(E2017,E$1:E2016,1,FALSE()))),"OLD",IF(AND(E2017&lt;&gt;"",E2017&lt;&gt;"!!!"),"NEW","")))</f>
        <v/>
      </c>
      <c r="G2017" s="22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/>
      </c>
      <c r="H2017" s="23" t="str">
        <f ca="1">IF(J2017&lt;&gt;1,"",IF(I2017="SBJ","CB","?"))</f>
        <v/>
      </c>
      <c r="I2017" s="24" t="str">
        <f>IF(OR(E2017="",E2017="!!!",F2017="NEW"),"",INDEX(B$2:B2016,-1+SUMPRODUCT(MAX(ROW(E$2:E2016)*(E2017=E$2:E2016)))))</f>
        <v/>
      </c>
      <c r="J2017" s="24" t="str">
        <f ca="1">IF(OR(E2017="",E2017="!!!",F2017="NEW"),"",COUNTBLANK(OFFSET(A$1,,,SUMPRODUCT(MAX(ROW(E$2:E2017)*(E2017=E$2:E2017)))))-COUNTBLANK(OFFSET(A$1,,,SUMPRODUCT(MAX(ROW(E$1:E2016)*(E2=E$1:E2016))))))</f>
        <v/>
      </c>
      <c r="K2017" s="24" t="str">
        <f>IF(OR(E2017="",E2017="!!!",F2017="NEW"),"",INDEX(J$1:J2016,SUMPRODUCT(MAX(ROW(E$1:E2016)*(E2017=E$1:E2016)))))</f>
        <v/>
      </c>
      <c r="L2017" s="25"/>
    </row>
    <row r="2018" spans="1:12" x14ac:dyDescent="0.3">
      <c r="A2018" t="s">
        <v>1150</v>
      </c>
      <c r="E2018" s="20" t="str">
        <f>IF(D2018="?OLD","!!!","")</f>
        <v/>
      </c>
      <c r="F2018" s="21" t="str">
        <f>IF(OR(E2018="",E2018="!!!"),"",IF(NOT(ISNA(VLOOKUP(E2018,E$1:E2017,1,FALSE()))),"OLD",IF(AND(E2018&lt;&gt;"",E2018&lt;&gt;"!!!"),"NEW","")))</f>
        <v/>
      </c>
      <c r="G2018" s="22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/>
      </c>
      <c r="H2018" s="23" t="str">
        <f ca="1">IF(J2018&lt;&gt;1,"",IF(I2018="SBJ","CB","?"))</f>
        <v/>
      </c>
      <c r="I2018" s="24" t="str">
        <f>IF(OR(E2018="",E2018="!!!",F2018="NEW"),"",INDEX(B$2:B2017,-1+SUMPRODUCT(MAX(ROW(E$2:E2017)*(E2018=E$2:E2017)))))</f>
        <v/>
      </c>
      <c r="J2018" s="24" t="str">
        <f ca="1">IF(OR(E2018="",E2018="!!!",F2018="NEW"),"",COUNTBLANK(OFFSET(A$1,,,SUMPRODUCT(MAX(ROW(E$2:E2018)*(E2018=E$2:E2018)))))-COUNTBLANK(OFFSET(A$1,,,SUMPRODUCT(MAX(ROW(E$1:E2017)*(E2=E$1:E2017))))))</f>
        <v/>
      </c>
      <c r="K2018" s="24" t="str">
        <f>IF(OR(E2018="",E2018="!!!",F2018="NEW"),"",INDEX(J$1:J2017,SUMPRODUCT(MAX(ROW(E$1:E2017)*(E2018=E$1:E2017)))))</f>
        <v/>
      </c>
      <c r="L2018" s="25"/>
    </row>
    <row r="2019" spans="1:12" x14ac:dyDescent="0.3">
      <c r="A2019" t="s">
        <v>1151</v>
      </c>
      <c r="B2019" s="26" t="s">
        <v>344</v>
      </c>
      <c r="C2019" s="26" t="s">
        <v>341</v>
      </c>
      <c r="D2019" s="26" t="s">
        <v>332</v>
      </c>
      <c r="E2019" s="20" t="str">
        <f>IF(D2019="?OLD","!!!","")</f>
        <v>!!!</v>
      </c>
      <c r="F2019" s="21" t="str">
        <f>IF(OR(E2019="",E2019="!!!"),"",IF(NOT(ISNA(VLOOKUP(E2019,E$1:E2018,1,FALSE()))),"OLD",IF(AND(E2019&lt;&gt;"",E2019&lt;&gt;"!!!"),"NEW","")))</f>
        <v/>
      </c>
      <c r="G2019" s="22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/>
      </c>
      <c r="H2019" s="23" t="str">
        <f ca="1">IF(J2019&lt;&gt;1,"",IF(I2019="SBJ","CB","?"))</f>
        <v/>
      </c>
      <c r="I2019" s="24" t="str">
        <f>IF(OR(E2019="",E2019="!!!",F2019="NEW"),"",INDEX(B$2:B2018,-1+SUMPRODUCT(MAX(ROW(E$2:E2018)*(E2019=E$2:E2018)))))</f>
        <v/>
      </c>
      <c r="J2019" s="24" t="str">
        <f ca="1">IF(OR(E2019="",E2019="!!!",F2019="NEW"),"",COUNTBLANK(OFFSET(A$1,,,SUMPRODUCT(MAX(ROW(E$2:E2019)*(E2019=E$2:E2019)))))-COUNTBLANK(OFFSET(A$1,,,SUMPRODUCT(MAX(ROW(E$1:E2018)*(E2=E$1:E2018))))))</f>
        <v/>
      </c>
      <c r="K2019" s="24" t="str">
        <f>IF(OR(E2019="",E2019="!!!",F2019="NEW"),"",INDEX(J$1:J2018,SUMPRODUCT(MAX(ROW(E$1:E2018)*(E2019=E$1:E2018)))))</f>
        <v/>
      </c>
      <c r="L2019" s="25"/>
    </row>
    <row r="2020" spans="1:12" x14ac:dyDescent="0.3">
      <c r="A2020" t="s">
        <v>491</v>
      </c>
      <c r="E2020" s="20" t="str">
        <f>IF(D2020="?OLD","!!!","")</f>
        <v/>
      </c>
      <c r="F2020" s="21" t="str">
        <f>IF(OR(E2020="",E2020="!!!"),"",IF(NOT(ISNA(VLOOKUP(E2020,E$1:E2019,1,FALSE()))),"OLD",IF(AND(E2020&lt;&gt;"",E2020&lt;&gt;"!!!"),"NEW","")))</f>
        <v/>
      </c>
      <c r="G2020" s="22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/>
      </c>
      <c r="H2020" s="23" t="str">
        <f ca="1">IF(J2020&lt;&gt;1,"",IF(I2020="SBJ","CB","?"))</f>
        <v/>
      </c>
      <c r="I2020" s="24" t="str">
        <f>IF(OR(E2020="",E2020="!!!",F2020="NEW"),"",INDEX(B$2:B2019,-1+SUMPRODUCT(MAX(ROW(E$2:E2019)*(E2020=E$2:E2019)))))</f>
        <v/>
      </c>
      <c r="J2020" s="24" t="str">
        <f ca="1">IF(OR(E2020="",E2020="!!!",F2020="NEW"),"",COUNTBLANK(OFFSET(A$1,,,SUMPRODUCT(MAX(ROW(E$2:E2020)*(E2020=E$2:E2020)))))-COUNTBLANK(OFFSET(A$1,,,SUMPRODUCT(MAX(ROW(E$1:E2019)*(E2=E$1:E2019))))))</f>
        <v/>
      </c>
      <c r="K2020" s="24" t="str">
        <f>IF(OR(E2020="",E2020="!!!",F2020="NEW"),"",INDEX(J$1:J2019,SUMPRODUCT(MAX(ROW(E$1:E2019)*(E2020=E$1:E2019)))))</f>
        <v/>
      </c>
      <c r="L2020" s="25"/>
    </row>
    <row r="2021" spans="1:12" x14ac:dyDescent="0.3">
      <c r="A2021" t="s">
        <v>338</v>
      </c>
      <c r="E2021" s="20" t="str">
        <f>IF(D2021="?OLD","!!!","")</f>
        <v/>
      </c>
      <c r="F2021" s="21" t="str">
        <f>IF(OR(E2021="",E2021="!!!"),"",IF(NOT(ISNA(VLOOKUP(E2021,E$1:E2020,1,FALSE()))),"OLD",IF(AND(E2021&lt;&gt;"",E2021&lt;&gt;"!!!"),"NEW","")))</f>
        <v/>
      </c>
      <c r="G2021" s="22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/>
      </c>
      <c r="H2021" s="23" t="str">
        <f ca="1">IF(J2021&lt;&gt;1,"",IF(I2021="SBJ","CB","?"))</f>
        <v/>
      </c>
      <c r="I2021" s="24" t="str">
        <f>IF(OR(E2021="",E2021="!!!",F2021="NEW"),"",INDEX(B$2:B2020,-1+SUMPRODUCT(MAX(ROW(E$2:E2020)*(E2021=E$2:E2020)))))</f>
        <v/>
      </c>
      <c r="J2021" s="24" t="str">
        <f ca="1">IF(OR(E2021="",E2021="!!!",F2021="NEW"),"",COUNTBLANK(OFFSET(A$1,,,SUMPRODUCT(MAX(ROW(E$2:E2021)*(E2021=E$2:E2021)))))-COUNTBLANK(OFFSET(A$1,,,SUMPRODUCT(MAX(ROW(E$1:E2020)*(E2=E$1:E2020))))))</f>
        <v/>
      </c>
      <c r="K2021" s="24" t="str">
        <f>IF(OR(E2021="",E2021="!!!",F2021="NEW"),"",INDEX(J$1:J2020,SUMPRODUCT(MAX(ROW(E$1:E2020)*(E2021=E$1:E2020)))))</f>
        <v/>
      </c>
      <c r="L2021" s="25"/>
    </row>
    <row r="2023" spans="1:12" x14ac:dyDescent="0.3">
      <c r="A2023" t="s">
        <v>1152</v>
      </c>
    </row>
    <row r="2024" spans="1:12" x14ac:dyDescent="0.3">
      <c r="A2024" t="s">
        <v>527</v>
      </c>
      <c r="E2024" s="20" t="str">
        <f t="shared" ref="E2024:E2041" si="228">IF(D2024="?OLD","!!!","")</f>
        <v/>
      </c>
      <c r="F2024" s="21" t="str">
        <f>IF(OR(E2024="",E2024="!!!"),"",IF(NOT(ISNA(VLOOKUP(E2024,E$1:E2023,1,FALSE()))),"OLD",IF(AND(E2024&lt;&gt;"",E2024&lt;&gt;"!!!"),"NEW","")))</f>
        <v/>
      </c>
      <c r="G2024" s="22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/>
      </c>
      <c r="H2024" s="23" t="str">
        <f t="shared" ref="H2024:H2041" ca="1" si="229">IF(J2024&lt;&gt;1,"",IF(I2024="SBJ","CB","?"))</f>
        <v/>
      </c>
      <c r="I2024" s="24" t="str">
        <f>IF(OR(E2024="",E2024="!!!",F2024="NEW"),"",INDEX(B$2:B2023,-1+SUMPRODUCT(MAX(ROW(E$2:E2023)*(E2024=E$2:E2023)))))</f>
        <v/>
      </c>
      <c r="J2024" s="24" t="str">
        <f ca="1">IF(OR(E2024="",E2024="!!!",F2024="NEW"),"",COUNTBLANK(OFFSET(A$1,,,SUMPRODUCT(MAX(ROW(E$2:E2024)*(E2024=E$2:E2024)))))-COUNTBLANK(OFFSET(A$1,,,SUMPRODUCT(MAX(ROW(E$1:E2023)*(E2=E$1:E2023))))))</f>
        <v/>
      </c>
      <c r="K2024" s="24" t="str">
        <f>IF(OR(E2024="",E2024="!!!",F2024="NEW"),"",INDEX(J$1:J2023,SUMPRODUCT(MAX(ROW(E$1:E2023)*(E2024=E$1:E2023)))))</f>
        <v/>
      </c>
      <c r="L2024" s="25"/>
    </row>
    <row r="2025" spans="1:12" x14ac:dyDescent="0.3">
      <c r="A2025" t="s">
        <v>528</v>
      </c>
      <c r="E2025" s="20" t="str">
        <f t="shared" si="228"/>
        <v/>
      </c>
      <c r="F2025" s="21" t="str">
        <f>IF(OR(E2025="",E2025="!!!"),"",IF(NOT(ISNA(VLOOKUP(E2025,E$1:E2024,1,FALSE()))),"OLD",IF(AND(E2025&lt;&gt;"",E2025&lt;&gt;"!!!"),"NEW","")))</f>
        <v/>
      </c>
      <c r="G2025" s="22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/>
      </c>
      <c r="H2025" s="23" t="str">
        <f t="shared" ca="1" si="229"/>
        <v/>
      </c>
      <c r="I2025" s="24" t="str">
        <f>IF(OR(E2025="",E2025="!!!",F2025="NEW"),"",INDEX(B$2:B2024,-1+SUMPRODUCT(MAX(ROW(E$2:E2024)*(E2025=E$2:E2024)))))</f>
        <v/>
      </c>
      <c r="J2025" s="24" t="str">
        <f ca="1">IF(OR(E2025="",E2025="!!!",F2025="NEW"),"",COUNTBLANK(OFFSET(A$1,,,SUMPRODUCT(MAX(ROW(E$2:E2025)*(E2025=E$2:E2025)))))-COUNTBLANK(OFFSET(A$1,,,SUMPRODUCT(MAX(ROW(E$1:E2024)*(E2=E$1:E2024))))))</f>
        <v/>
      </c>
      <c r="K2025" s="24" t="str">
        <f>IF(OR(E2025="",E2025="!!!",F2025="NEW"),"",INDEX(J$1:J2024,SUMPRODUCT(MAX(ROW(E$1:E2024)*(E2025=E$1:E2024)))))</f>
        <v/>
      </c>
      <c r="L2025" s="25"/>
    </row>
    <row r="2026" spans="1:12" x14ac:dyDescent="0.3">
      <c r="A2026" t="s">
        <v>529</v>
      </c>
      <c r="E2026" s="20" t="str">
        <f t="shared" si="228"/>
        <v/>
      </c>
      <c r="F2026" s="21" t="str">
        <f>IF(OR(E2026="",E2026="!!!"),"",IF(NOT(ISNA(VLOOKUP(E2026,E$1:E2025,1,FALSE()))),"OLD",IF(AND(E2026&lt;&gt;"",E2026&lt;&gt;"!!!"),"NEW","")))</f>
        <v/>
      </c>
      <c r="G2026" s="22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/>
      </c>
      <c r="H2026" s="23" t="str">
        <f t="shared" ca="1" si="229"/>
        <v/>
      </c>
      <c r="I2026" s="24" t="str">
        <f>IF(OR(E2026="",E2026="!!!",F2026="NEW"),"",INDEX(B$2:B2025,-1+SUMPRODUCT(MAX(ROW(E$2:E2025)*(E2026=E$2:E2025)))))</f>
        <v/>
      </c>
      <c r="J2026" s="24" t="str">
        <f ca="1">IF(OR(E2026="",E2026="!!!",F2026="NEW"),"",COUNTBLANK(OFFSET(A$1,,,SUMPRODUCT(MAX(ROW(E$2:E2026)*(E2026=E$2:E2026)))))-COUNTBLANK(OFFSET(A$1,,,SUMPRODUCT(MAX(ROW(E$1:E2025)*(E2=E$1:E2025))))))</f>
        <v/>
      </c>
      <c r="K2026" s="24" t="str">
        <f>IF(OR(E2026="",E2026="!!!",F2026="NEW"),"",INDEX(J$1:J2025,SUMPRODUCT(MAX(ROW(E$1:E2025)*(E2026=E$1:E2025)))))</f>
        <v/>
      </c>
      <c r="L2026" s="25"/>
    </row>
    <row r="2027" spans="1:12" x14ac:dyDescent="0.3">
      <c r="A2027" t="s">
        <v>424</v>
      </c>
      <c r="B2027" s="26" t="s">
        <v>330</v>
      </c>
      <c r="C2027" s="26" t="s">
        <v>341</v>
      </c>
      <c r="D2027" s="26" t="s">
        <v>332</v>
      </c>
      <c r="E2027" s="20" t="str">
        <f t="shared" si="228"/>
        <v>!!!</v>
      </c>
      <c r="F2027" s="21" t="str">
        <f>IF(OR(E2027="",E2027="!!!"),"",IF(NOT(ISNA(VLOOKUP(E2027,E$1:E2026,1,FALSE()))),"OLD",IF(AND(E2027&lt;&gt;"",E2027&lt;&gt;"!!!"),"NEW","")))</f>
        <v/>
      </c>
      <c r="G2027" s="22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/>
      </c>
      <c r="H2027" s="23" t="str">
        <f t="shared" ca="1" si="229"/>
        <v/>
      </c>
      <c r="I2027" s="24" t="str">
        <f>IF(OR(E2027="",E2027="!!!",F2027="NEW"),"",INDEX(B$2:B2026,-1+SUMPRODUCT(MAX(ROW(E$2:E2026)*(E2027=E$2:E2026)))))</f>
        <v/>
      </c>
      <c r="J2027" s="24" t="str">
        <f ca="1">IF(OR(E2027="",E2027="!!!",F2027="NEW"),"",COUNTBLANK(OFFSET(A$1,,,SUMPRODUCT(MAX(ROW(E$2:E2027)*(E2027=E$2:E2027)))))-COUNTBLANK(OFFSET(A$1,,,SUMPRODUCT(MAX(ROW(E$1:E2026)*(E2=E$1:E2026))))))</f>
        <v/>
      </c>
      <c r="K2027" s="24" t="str">
        <f>IF(OR(E2027="",E2027="!!!",F2027="NEW"),"",INDEX(J$1:J2026,SUMPRODUCT(MAX(ROW(E$1:E2026)*(E2027=E$1:E2026)))))</f>
        <v/>
      </c>
      <c r="L2027" s="25"/>
    </row>
    <row r="2028" spans="1:12" x14ac:dyDescent="0.3">
      <c r="A2028" t="s">
        <v>1150</v>
      </c>
      <c r="E2028" s="20" t="str">
        <f t="shared" si="228"/>
        <v/>
      </c>
      <c r="F2028" s="21" t="str">
        <f>IF(OR(E2028="",E2028="!!!"),"",IF(NOT(ISNA(VLOOKUP(E2028,E$1:E2027,1,FALSE()))),"OLD",IF(AND(E2028&lt;&gt;"",E2028&lt;&gt;"!!!"),"NEW","")))</f>
        <v/>
      </c>
      <c r="G2028" s="22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/>
      </c>
      <c r="H2028" s="23" t="str">
        <f t="shared" ca="1" si="229"/>
        <v/>
      </c>
      <c r="I2028" s="24" t="str">
        <f>IF(OR(E2028="",E2028="!!!",F2028="NEW"),"",INDEX(B$2:B2027,-1+SUMPRODUCT(MAX(ROW(E$2:E2027)*(E2028=E$2:E2027)))))</f>
        <v/>
      </c>
      <c r="J2028" s="24" t="str">
        <f ca="1">IF(OR(E2028="",E2028="!!!",F2028="NEW"),"",COUNTBLANK(OFFSET(A$1,,,SUMPRODUCT(MAX(ROW(E$2:E2028)*(E2028=E$2:E2028)))))-COUNTBLANK(OFFSET(A$1,,,SUMPRODUCT(MAX(ROW(E$1:E2027)*(E2=E$1:E2027))))))</f>
        <v/>
      </c>
      <c r="K2028" s="24" t="str">
        <f>IF(OR(E2028="",E2028="!!!",F2028="NEW"),"",INDEX(J$1:J2027,SUMPRODUCT(MAX(ROW(E$1:E2027)*(E2028=E$1:E2027)))))</f>
        <v/>
      </c>
      <c r="L2028" s="25"/>
    </row>
    <row r="2029" spans="1:12" x14ac:dyDescent="0.3">
      <c r="A2029" t="s">
        <v>1151</v>
      </c>
      <c r="B2029" s="26" t="s">
        <v>344</v>
      </c>
      <c r="C2029" s="26" t="s">
        <v>341</v>
      </c>
      <c r="D2029" s="26" t="s">
        <v>332</v>
      </c>
      <c r="E2029" s="20" t="str">
        <f t="shared" si="228"/>
        <v>!!!</v>
      </c>
      <c r="F2029" s="21" t="str">
        <f>IF(OR(E2029="",E2029="!!!"),"",IF(NOT(ISNA(VLOOKUP(E2029,E$1:E2028,1,FALSE()))),"OLD",IF(AND(E2029&lt;&gt;"",E2029&lt;&gt;"!!!"),"NEW","")))</f>
        <v/>
      </c>
      <c r="G2029" s="22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/>
      </c>
      <c r="H2029" s="23" t="str">
        <f t="shared" ca="1" si="229"/>
        <v/>
      </c>
      <c r="I2029" s="24" t="str">
        <f>IF(OR(E2029="",E2029="!!!",F2029="NEW"),"",INDEX(B$2:B2028,-1+SUMPRODUCT(MAX(ROW(E$2:E2028)*(E2029=E$2:E2028)))))</f>
        <v/>
      </c>
      <c r="J2029" s="24" t="str">
        <f ca="1">IF(OR(E2029="",E2029="!!!",F2029="NEW"),"",COUNTBLANK(OFFSET(A$1,,,SUMPRODUCT(MAX(ROW(E$2:E2029)*(E2029=E$2:E2029)))))-COUNTBLANK(OFFSET(A$1,,,SUMPRODUCT(MAX(ROW(E$1:E2028)*(E2=E$1:E2028))))))</f>
        <v/>
      </c>
      <c r="K2029" s="24" t="str">
        <f>IF(OR(E2029="",E2029="!!!",F2029="NEW"),"",INDEX(J$1:J2028,SUMPRODUCT(MAX(ROW(E$1:E2028)*(E2029=E$1:E2028)))))</f>
        <v/>
      </c>
      <c r="L2029" s="25"/>
    </row>
    <row r="2030" spans="1:12" x14ac:dyDescent="0.3">
      <c r="A2030" t="s">
        <v>351</v>
      </c>
      <c r="E2030" s="20" t="str">
        <f t="shared" si="228"/>
        <v/>
      </c>
      <c r="F2030" s="21" t="str">
        <f>IF(OR(E2030="",E2030="!!!"),"",IF(NOT(ISNA(VLOOKUP(E2030,E$1:E2029,1,FALSE()))),"OLD",IF(AND(E2030&lt;&gt;"",E2030&lt;&gt;"!!!"),"NEW","")))</f>
        <v/>
      </c>
      <c r="G2030" s="22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/>
      </c>
      <c r="H2030" s="23" t="str">
        <f t="shared" ca="1" si="229"/>
        <v/>
      </c>
      <c r="I2030" s="24" t="str">
        <f>IF(OR(E2030="",E2030="!!!",F2030="NEW"),"",INDEX(B$2:B2029,-1+SUMPRODUCT(MAX(ROW(E$2:E2029)*(E2030=E$2:E2029)))))</f>
        <v/>
      </c>
      <c r="J2030" s="24" t="str">
        <f ca="1">IF(OR(E2030="",E2030="!!!",F2030="NEW"),"",COUNTBLANK(OFFSET(A$1,,,SUMPRODUCT(MAX(ROW(E$2:E2030)*(E2030=E$2:E2030)))))-COUNTBLANK(OFFSET(A$1,,,SUMPRODUCT(MAX(ROW(E$1:E2029)*(E2=E$1:E2029))))))</f>
        <v/>
      </c>
      <c r="K2030" s="24" t="str">
        <f>IF(OR(E2030="",E2030="!!!",F2030="NEW"),"",INDEX(J$1:J2029,SUMPRODUCT(MAX(ROW(E$1:E2029)*(E2030=E$1:E2029)))))</f>
        <v/>
      </c>
      <c r="L2030" s="25"/>
    </row>
    <row r="2031" spans="1:12" x14ac:dyDescent="0.3">
      <c r="A2031" t="s">
        <v>1153</v>
      </c>
      <c r="E2031" s="20" t="str">
        <f t="shared" si="228"/>
        <v/>
      </c>
      <c r="F2031" s="21" t="str">
        <f>IF(OR(E2031="",E2031="!!!"),"",IF(NOT(ISNA(VLOOKUP(E2031,E$1:E2030,1,FALSE()))),"OLD",IF(AND(E2031&lt;&gt;"",E2031&lt;&gt;"!!!"),"NEW","")))</f>
        <v/>
      </c>
      <c r="G2031" s="22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/>
      </c>
      <c r="H2031" s="23" t="str">
        <f t="shared" ca="1" si="229"/>
        <v/>
      </c>
      <c r="I2031" s="24" t="str">
        <f>IF(OR(E2031="",E2031="!!!",F2031="NEW"),"",INDEX(B$2:B2030,-1+SUMPRODUCT(MAX(ROW(E$2:E2030)*(E2031=E$2:E2030)))))</f>
        <v/>
      </c>
      <c r="J2031" s="24" t="str">
        <f ca="1">IF(OR(E2031="",E2031="!!!",F2031="NEW"),"",COUNTBLANK(OFFSET(A$1,,,SUMPRODUCT(MAX(ROW(E$2:E2031)*(E2031=E$2:E2031)))))-COUNTBLANK(OFFSET(A$1,,,SUMPRODUCT(MAX(ROW(E$1:E2030)*(E2=E$1:E2030))))))</f>
        <v/>
      </c>
      <c r="K2031" s="24" t="str">
        <f>IF(OR(E2031="",E2031="!!!",F2031="NEW"),"",INDEX(J$1:J2030,SUMPRODUCT(MAX(ROW(E$1:E2030)*(E2031=E$1:E2030)))))</f>
        <v/>
      </c>
      <c r="L2031" s="25"/>
    </row>
    <row r="2032" spans="1:12" x14ac:dyDescent="0.3">
      <c r="A2032" t="s">
        <v>917</v>
      </c>
      <c r="B2032" s="26" t="s">
        <v>354</v>
      </c>
      <c r="C2032" s="26" t="s">
        <v>341</v>
      </c>
      <c r="D2032" s="26" t="s">
        <v>332</v>
      </c>
      <c r="E2032" s="20" t="str">
        <f t="shared" si="228"/>
        <v>!!!</v>
      </c>
      <c r="F2032" s="21" t="str">
        <f>IF(OR(E2032="",E2032="!!!"),"",IF(NOT(ISNA(VLOOKUP(E2032,E$1:E2031,1,FALSE()))),"OLD",IF(AND(E2032&lt;&gt;"",E2032&lt;&gt;"!!!"),"NEW","")))</f>
        <v/>
      </c>
      <c r="G2032" s="22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/>
      </c>
      <c r="H2032" s="23" t="str">
        <f t="shared" ca="1" si="229"/>
        <v/>
      </c>
      <c r="I2032" s="24" t="str">
        <f>IF(OR(E2032="",E2032="!!!",F2032="NEW"),"",INDEX(B$2:B2031,-1+SUMPRODUCT(MAX(ROW(E$2:E2031)*(E2032=E$2:E2031)))))</f>
        <v/>
      </c>
      <c r="J2032" s="24" t="str">
        <f ca="1">IF(OR(E2032="",E2032="!!!",F2032="NEW"),"",COUNTBLANK(OFFSET(A$1,,,SUMPRODUCT(MAX(ROW(E$2:E2032)*(E2032=E$2:E2032)))))-COUNTBLANK(OFFSET(A$1,,,SUMPRODUCT(MAX(ROW(E$1:E2031)*(E2=E$1:E2031))))))</f>
        <v/>
      </c>
      <c r="K2032" s="24" t="str">
        <f>IF(OR(E2032="",E2032="!!!",F2032="NEW"),"",INDEX(J$1:J2031,SUMPRODUCT(MAX(ROW(E$1:E2031)*(E2032=E$1:E2031)))))</f>
        <v/>
      </c>
      <c r="L2032" s="25"/>
    </row>
    <row r="2033" spans="1:12" x14ac:dyDescent="0.3">
      <c r="A2033" t="s">
        <v>343</v>
      </c>
      <c r="B2033" s="26" t="s">
        <v>357</v>
      </c>
      <c r="E2033" s="20" t="str">
        <f t="shared" si="228"/>
        <v/>
      </c>
      <c r="F2033" s="21" t="str">
        <f>IF(OR(E2033="",E2033="!!!"),"",IF(NOT(ISNA(VLOOKUP(E2033,E$1:E2032,1,FALSE()))),"OLD",IF(AND(E2033&lt;&gt;"",E2033&lt;&gt;"!!!"),"NEW","")))</f>
        <v/>
      </c>
      <c r="G2033" s="22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/>
      </c>
      <c r="H2033" s="23" t="str">
        <f t="shared" ca="1" si="229"/>
        <v/>
      </c>
      <c r="I2033" s="24" t="str">
        <f>IF(OR(E2033="",E2033="!!!",F2033="NEW"),"",INDEX(B$2:B2032,-1+SUMPRODUCT(MAX(ROW(E$2:E2032)*(E2033=E$2:E2032)))))</f>
        <v/>
      </c>
      <c r="J2033" s="24" t="str">
        <f ca="1">IF(OR(E2033="",E2033="!!!",F2033="NEW"),"",COUNTBLANK(OFFSET(A$1,,,SUMPRODUCT(MAX(ROW(E$2:E2033)*(E2033=E$2:E2033)))))-COUNTBLANK(OFFSET(A$1,,,SUMPRODUCT(MAX(ROW(E$1:E2032)*(E2=E$1:E2032))))))</f>
        <v/>
      </c>
      <c r="K2033" s="24" t="str">
        <f>IF(OR(E2033="",E2033="!!!",F2033="NEW"),"",INDEX(J$1:J2032,SUMPRODUCT(MAX(ROW(E$1:E2032)*(E2033=E$1:E2032)))))</f>
        <v/>
      </c>
      <c r="L2033" s="25"/>
    </row>
    <row r="2034" spans="1:12" x14ac:dyDescent="0.3">
      <c r="A2034" t="s">
        <v>599</v>
      </c>
      <c r="E2034" s="20" t="str">
        <f t="shared" si="228"/>
        <v/>
      </c>
      <c r="F2034" s="21" t="str">
        <f>IF(OR(E2034="",E2034="!!!"),"",IF(NOT(ISNA(VLOOKUP(E2034,E$1:E2033,1,FALSE()))),"OLD",IF(AND(E2034&lt;&gt;"",E2034&lt;&gt;"!!!"),"NEW","")))</f>
        <v/>
      </c>
      <c r="G2034" s="22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/>
      </c>
      <c r="H2034" s="23" t="str">
        <f t="shared" ca="1" si="229"/>
        <v/>
      </c>
      <c r="I2034" s="24" t="str">
        <f>IF(OR(E2034="",E2034="!!!",F2034="NEW"),"",INDEX(B$2:B2033,-1+SUMPRODUCT(MAX(ROW(E$2:E2033)*(E2034=E$2:E2033)))))</f>
        <v/>
      </c>
      <c r="J2034" s="24" t="str">
        <f ca="1">IF(OR(E2034="",E2034="!!!",F2034="NEW"),"",COUNTBLANK(OFFSET(A$1,,,SUMPRODUCT(MAX(ROW(E$2:E2034)*(E2034=E$2:E2034)))))-COUNTBLANK(OFFSET(A$1,,,SUMPRODUCT(MAX(ROW(E$1:E2033)*(E2=E$1:E2033))))))</f>
        <v/>
      </c>
      <c r="K2034" s="24" t="str">
        <f>IF(OR(E2034="",E2034="!!!",F2034="NEW"),"",INDEX(J$1:J2033,SUMPRODUCT(MAX(ROW(E$1:E2033)*(E2034=E$1:E2033)))))</f>
        <v/>
      </c>
      <c r="L2034" s="25"/>
    </row>
    <row r="2035" spans="1:12" x14ac:dyDescent="0.3">
      <c r="A2035" t="s">
        <v>1154</v>
      </c>
      <c r="B2035" s="26" t="s">
        <v>362</v>
      </c>
      <c r="C2035" s="26" t="s">
        <v>358</v>
      </c>
      <c r="E2035" s="20" t="str">
        <f t="shared" si="228"/>
        <v/>
      </c>
      <c r="F2035" s="21" t="str">
        <f>IF(OR(E2035="",E2035="!!!"),"",IF(NOT(ISNA(VLOOKUP(E2035,E$1:E2034,1,FALSE()))),"OLD",IF(AND(E2035&lt;&gt;"",E2035&lt;&gt;"!!!"),"NEW","")))</f>
        <v/>
      </c>
      <c r="G2035" s="22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/>
      </c>
      <c r="H2035" s="23" t="str">
        <f t="shared" ca="1" si="229"/>
        <v/>
      </c>
      <c r="I2035" s="24" t="str">
        <f>IF(OR(E2035="",E2035="!!!",F2035="NEW"),"",INDEX(B$2:B2034,-1+SUMPRODUCT(MAX(ROW(E$2:E2034)*(E2035=E$2:E2034)))))</f>
        <v/>
      </c>
      <c r="J2035" s="24" t="str">
        <f ca="1">IF(OR(E2035="",E2035="!!!",F2035="NEW"),"",COUNTBLANK(OFFSET(A$1,,,SUMPRODUCT(MAX(ROW(E$2:E2035)*(E2035=E$2:E2035)))))-COUNTBLANK(OFFSET(A$1,,,SUMPRODUCT(MAX(ROW(E$1:E2034)*(E2=E$1:E2034))))))</f>
        <v/>
      </c>
      <c r="K2035" s="24" t="str">
        <f>IF(OR(E2035="",E2035="!!!",F2035="NEW"),"",INDEX(J$1:J2034,SUMPRODUCT(MAX(ROW(E$1:E2034)*(E2035=E$1:E2034)))))</f>
        <v/>
      </c>
      <c r="L2035" s="25"/>
    </row>
    <row r="2036" spans="1:12" x14ac:dyDescent="0.3">
      <c r="A2036" t="s">
        <v>1155</v>
      </c>
      <c r="B2036" s="26" t="s">
        <v>378</v>
      </c>
      <c r="C2036" s="26" t="s">
        <v>690</v>
      </c>
      <c r="D2036" s="26" t="s">
        <v>332</v>
      </c>
      <c r="E2036" s="20" t="str">
        <f t="shared" si="228"/>
        <v>!!!</v>
      </c>
      <c r="F2036" s="21" t="str">
        <f>IF(OR(E2036="",E2036="!!!"),"",IF(NOT(ISNA(VLOOKUP(E2036,E$1:E2035,1,FALSE()))),"OLD",IF(AND(E2036&lt;&gt;"",E2036&lt;&gt;"!!!"),"NEW","")))</f>
        <v/>
      </c>
      <c r="G2036" s="22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/>
      </c>
      <c r="H2036" s="23" t="str">
        <f t="shared" ca="1" si="229"/>
        <v/>
      </c>
      <c r="I2036" s="24" t="str">
        <f>IF(OR(E2036="",E2036="!!!",F2036="NEW"),"",INDEX(B$2:B2035,-1+SUMPRODUCT(MAX(ROW(E$2:E2035)*(E2036=E$2:E2035)))))</f>
        <v/>
      </c>
      <c r="J2036" s="24" t="str">
        <f ca="1">IF(OR(E2036="",E2036="!!!",F2036="NEW"),"",COUNTBLANK(OFFSET(A$1,,,SUMPRODUCT(MAX(ROW(E$2:E2036)*(E2036=E$2:E2036)))))-COUNTBLANK(OFFSET(A$1,,,SUMPRODUCT(MAX(ROW(E$1:E2035)*(E2=E$1:E2035))))))</f>
        <v/>
      </c>
      <c r="K2036" s="24" t="str">
        <f>IF(OR(E2036="",E2036="!!!",F2036="NEW"),"",INDEX(J$1:J2035,SUMPRODUCT(MAX(ROW(E$1:E2035)*(E2036=E$1:E2035)))))</f>
        <v/>
      </c>
      <c r="L2036" s="25"/>
    </row>
    <row r="2037" spans="1:12" x14ac:dyDescent="0.3">
      <c r="A2037" t="s">
        <v>463</v>
      </c>
      <c r="E2037" s="20" t="str">
        <f t="shared" si="228"/>
        <v/>
      </c>
      <c r="F2037" s="21" t="str">
        <f>IF(OR(E2037="",E2037="!!!"),"",IF(NOT(ISNA(VLOOKUP(E2037,E$1:E2036,1,FALSE()))),"OLD",IF(AND(E2037&lt;&gt;"",E2037&lt;&gt;"!!!"),"NEW","")))</f>
        <v/>
      </c>
      <c r="G2037" s="22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/>
      </c>
      <c r="H2037" s="23" t="str">
        <f t="shared" ca="1" si="229"/>
        <v/>
      </c>
      <c r="I2037" s="24" t="str">
        <f>IF(OR(E2037="",E2037="!!!",F2037="NEW"),"",INDEX(B$2:B2036,-1+SUMPRODUCT(MAX(ROW(E$2:E2036)*(E2037=E$2:E2036)))))</f>
        <v/>
      </c>
      <c r="J2037" s="24" t="str">
        <f ca="1">IF(OR(E2037="",E2037="!!!",F2037="NEW"),"",COUNTBLANK(OFFSET(A$1,,,SUMPRODUCT(MAX(ROW(E$2:E2037)*(E2037=E$2:E2037)))))-COUNTBLANK(OFFSET(A$1,,,SUMPRODUCT(MAX(ROW(E$1:E2036)*(E2=E$1:E2036))))))</f>
        <v/>
      </c>
      <c r="K2037" s="24" t="str">
        <f>IF(OR(E2037="",E2037="!!!",F2037="NEW"),"",INDEX(J$1:J2036,SUMPRODUCT(MAX(ROW(E$1:E2036)*(E2037=E$1:E2036)))))</f>
        <v/>
      </c>
      <c r="L2037" s="25"/>
    </row>
    <row r="2038" spans="1:12" x14ac:dyDescent="0.3">
      <c r="A2038" t="s">
        <v>1156</v>
      </c>
      <c r="B2038" s="26" t="s">
        <v>362</v>
      </c>
      <c r="C2038" s="26" t="s">
        <v>331</v>
      </c>
      <c r="D2038" s="26" t="s">
        <v>332</v>
      </c>
      <c r="E2038" s="20" t="str">
        <f t="shared" si="228"/>
        <v>!!!</v>
      </c>
      <c r="F2038" s="21" t="str">
        <f>IF(OR(E2038="",E2038="!!!"),"",IF(NOT(ISNA(VLOOKUP(E2038,E$1:E2037,1,FALSE()))),"OLD",IF(AND(E2038&lt;&gt;"",E2038&lt;&gt;"!!!"),"NEW","")))</f>
        <v/>
      </c>
      <c r="G2038" s="22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/>
      </c>
      <c r="H2038" s="23" t="str">
        <f t="shared" ca="1" si="229"/>
        <v/>
      </c>
      <c r="I2038" s="24" t="str">
        <f>IF(OR(E2038="",E2038="!!!",F2038="NEW"),"",INDEX(B$2:B2037,-1+SUMPRODUCT(MAX(ROW(E$2:E2037)*(E2038=E$2:E2037)))))</f>
        <v/>
      </c>
      <c r="J2038" s="24" t="str">
        <f ca="1">IF(OR(E2038="",E2038="!!!",F2038="NEW"),"",COUNTBLANK(OFFSET(A$1,,,SUMPRODUCT(MAX(ROW(E$2:E2038)*(E2038=E$2:E2038)))))-COUNTBLANK(OFFSET(A$1,,,SUMPRODUCT(MAX(ROW(E$1:E2037)*(E2=E$1:E2037))))))</f>
        <v/>
      </c>
      <c r="K2038" s="24" t="str">
        <f>IF(OR(E2038="",E2038="!!!",F2038="NEW"),"",INDEX(J$1:J2037,SUMPRODUCT(MAX(ROW(E$1:E2037)*(E2038=E$1:E2037)))))</f>
        <v/>
      </c>
      <c r="L2038" s="25"/>
    </row>
    <row r="2039" spans="1:12" x14ac:dyDescent="0.3">
      <c r="A2039" t="s">
        <v>1157</v>
      </c>
      <c r="E2039" s="20" t="str">
        <f t="shared" si="228"/>
        <v/>
      </c>
      <c r="F2039" s="21" t="str">
        <f>IF(OR(E2039="",E2039="!!!"),"",IF(NOT(ISNA(VLOOKUP(E2039,E$1:E2038,1,FALSE()))),"OLD",IF(AND(E2039&lt;&gt;"",E2039&lt;&gt;"!!!"),"NEW","")))</f>
        <v/>
      </c>
      <c r="G2039" s="22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/>
      </c>
      <c r="H2039" s="23" t="str">
        <f t="shared" ca="1" si="229"/>
        <v/>
      </c>
      <c r="I2039" s="24" t="str">
        <f>IF(OR(E2039="",E2039="!!!",F2039="NEW"),"",INDEX(B$2:B2038,-1+SUMPRODUCT(MAX(ROW(E$2:E2038)*(E2039=E$2:E2038)))))</f>
        <v/>
      </c>
      <c r="J2039" s="24" t="str">
        <f ca="1">IF(OR(E2039="",E2039="!!!",F2039="NEW"),"",COUNTBLANK(OFFSET(A$1,,,SUMPRODUCT(MAX(ROW(E$2:E2039)*(E2039=E$2:E2039)))))-COUNTBLANK(OFFSET(A$1,,,SUMPRODUCT(MAX(ROW(E$1:E2038)*(E2=E$1:E2038))))))</f>
        <v/>
      </c>
      <c r="K2039" s="24" t="str">
        <f>IF(OR(E2039="",E2039="!!!",F2039="NEW"),"",INDEX(J$1:J2038,SUMPRODUCT(MAX(ROW(E$1:E2038)*(E2039=E$1:E2038)))))</f>
        <v/>
      </c>
      <c r="L2039" s="25"/>
    </row>
    <row r="2040" spans="1:12" x14ac:dyDescent="0.3">
      <c r="A2040" t="s">
        <v>857</v>
      </c>
      <c r="E2040" s="20" t="str">
        <f t="shared" si="228"/>
        <v/>
      </c>
      <c r="F2040" s="21" t="str">
        <f>IF(OR(E2040="",E2040="!!!"),"",IF(NOT(ISNA(VLOOKUP(E2040,E$1:E2039,1,FALSE()))),"OLD",IF(AND(E2040&lt;&gt;"",E2040&lt;&gt;"!!!"),"NEW","")))</f>
        <v/>
      </c>
      <c r="G2040" s="22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/>
      </c>
      <c r="H2040" s="23" t="str">
        <f t="shared" ca="1" si="229"/>
        <v/>
      </c>
      <c r="I2040" s="24" t="str">
        <f>IF(OR(E2040="",E2040="!!!",F2040="NEW"),"",INDEX(B$2:B2039,-1+SUMPRODUCT(MAX(ROW(E$2:E2039)*(E2040=E$2:E2039)))))</f>
        <v/>
      </c>
      <c r="J2040" s="24" t="str">
        <f ca="1">IF(OR(E2040="",E2040="!!!",F2040="NEW"),"",COUNTBLANK(OFFSET(A$1,,,SUMPRODUCT(MAX(ROW(E$2:E2040)*(E2040=E$2:E2040)))))-COUNTBLANK(OFFSET(A$1,,,SUMPRODUCT(MAX(ROW(E$1:E2039)*(E2=E$1:E2039))))))</f>
        <v/>
      </c>
      <c r="K2040" s="24" t="str">
        <f>IF(OR(E2040="",E2040="!!!",F2040="NEW"),"",INDEX(J$1:J2039,SUMPRODUCT(MAX(ROW(E$1:E2039)*(E2040=E$1:E2039)))))</f>
        <v/>
      </c>
      <c r="L2040" s="25"/>
    </row>
    <row r="2041" spans="1:12" x14ac:dyDescent="0.3">
      <c r="A2041" t="s">
        <v>338</v>
      </c>
      <c r="E2041" s="20" t="str">
        <f t="shared" si="228"/>
        <v/>
      </c>
      <c r="F2041" s="21" t="str">
        <f>IF(OR(E2041="",E2041="!!!"),"",IF(NOT(ISNA(VLOOKUP(E2041,E$1:E2040,1,FALSE()))),"OLD",IF(AND(E2041&lt;&gt;"",E2041&lt;&gt;"!!!"),"NEW","")))</f>
        <v/>
      </c>
      <c r="G2041" s="22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/>
      </c>
      <c r="H2041" s="23" t="str">
        <f t="shared" ca="1" si="229"/>
        <v/>
      </c>
      <c r="I2041" s="24" t="str">
        <f>IF(OR(E2041="",E2041="!!!",F2041="NEW"),"",INDEX(B$2:B2040,-1+SUMPRODUCT(MAX(ROW(E$2:E2040)*(E2041=E$2:E2040)))))</f>
        <v/>
      </c>
      <c r="J2041" s="24" t="str">
        <f ca="1">IF(OR(E2041="",E2041="!!!",F2041="NEW"),"",COUNTBLANK(OFFSET(A$1,,,SUMPRODUCT(MAX(ROW(E$2:E2041)*(E2041=E$2:E2041)))))-COUNTBLANK(OFFSET(A$1,,,SUMPRODUCT(MAX(ROW(E$1:E2040)*(E2=E$1:E2040))))))</f>
        <v/>
      </c>
      <c r="K2041" s="24" t="str">
        <f>IF(OR(E2041="",E2041="!!!",F2041="NEW"),"",INDEX(J$1:J2040,SUMPRODUCT(MAX(ROW(E$1:E2040)*(E2041=E$1:E2040)))))</f>
        <v/>
      </c>
      <c r="L2041" s="25"/>
    </row>
    <row r="2043" spans="1:12" x14ac:dyDescent="0.3">
      <c r="A2043" t="s">
        <v>1158</v>
      </c>
    </row>
    <row r="2044" spans="1:12" x14ac:dyDescent="0.3">
      <c r="A2044" t="s">
        <v>424</v>
      </c>
      <c r="B2044" s="26" t="s">
        <v>330</v>
      </c>
      <c r="C2044" s="26" t="s">
        <v>341</v>
      </c>
      <c r="D2044" s="26" t="s">
        <v>332</v>
      </c>
      <c r="E2044" s="20" t="str">
        <f t="shared" ref="E2044:E2056" si="230">IF(D2044="?OLD","!!!","")</f>
        <v>!!!</v>
      </c>
      <c r="F2044" s="21" t="str">
        <f>IF(OR(E2044="",E2044="!!!"),"",IF(NOT(ISNA(VLOOKUP(E2044,E$1:E2043,1,FALSE()))),"OLD",IF(AND(E2044&lt;&gt;"",E2044&lt;&gt;"!!!"),"NEW","")))</f>
        <v/>
      </c>
      <c r="G2044" s="22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/>
      </c>
      <c r="H2044" s="23" t="str">
        <f t="shared" ref="H2044:H2056" ca="1" si="231">IF(J2044&lt;&gt;1,"",IF(I2044="SBJ","CB","?"))</f>
        <v/>
      </c>
      <c r="I2044" s="24" t="str">
        <f>IF(OR(E2044="",E2044="!!!",F2044="NEW"),"",INDEX(B$2:B2043,-1+SUMPRODUCT(MAX(ROW(E$2:E2043)*(E2044=E$2:E2043)))))</f>
        <v/>
      </c>
      <c r="J2044" s="24" t="str">
        <f ca="1">IF(OR(E2044="",E2044="!!!",F2044="NEW"),"",COUNTBLANK(OFFSET(A$1,,,SUMPRODUCT(MAX(ROW(E$2:E2044)*(E2044=E$2:E2044)))))-COUNTBLANK(OFFSET(A$1,,,SUMPRODUCT(MAX(ROW(E$1:E2043)*(E2=E$1:E2043))))))</f>
        <v/>
      </c>
      <c r="K2044" s="24" t="str">
        <f>IF(OR(E2044="",E2044="!!!",F2044="NEW"),"",INDEX(J$1:J2043,SUMPRODUCT(MAX(ROW(E$1:E2043)*(E2044=E$1:E2043)))))</f>
        <v/>
      </c>
      <c r="L2044" s="25"/>
    </row>
    <row r="2045" spans="1:12" x14ac:dyDescent="0.3">
      <c r="A2045" t="s">
        <v>1159</v>
      </c>
      <c r="E2045" s="20" t="str">
        <f t="shared" si="230"/>
        <v/>
      </c>
      <c r="F2045" s="21" t="str">
        <f>IF(OR(E2045="",E2045="!!!"),"",IF(NOT(ISNA(VLOOKUP(E2045,E$1:E2044,1,FALSE()))),"OLD",IF(AND(E2045&lt;&gt;"",E2045&lt;&gt;"!!!"),"NEW","")))</f>
        <v/>
      </c>
      <c r="G2045" s="22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/>
      </c>
      <c r="H2045" s="23" t="str">
        <f t="shared" ca="1" si="231"/>
        <v/>
      </c>
      <c r="I2045" s="24" t="str">
        <f>IF(OR(E2045="",E2045="!!!",F2045="NEW"),"",INDEX(B$2:B2044,-1+SUMPRODUCT(MAX(ROW(E$2:E2044)*(E2045=E$2:E2044)))))</f>
        <v/>
      </c>
      <c r="J2045" s="24" t="str">
        <f ca="1">IF(OR(E2045="",E2045="!!!",F2045="NEW"),"",COUNTBLANK(OFFSET(A$1,,,SUMPRODUCT(MAX(ROW(E$2:E2045)*(E2045=E$2:E2045)))))-COUNTBLANK(OFFSET(A$1,,,SUMPRODUCT(MAX(ROW(E$1:E2044)*(E2=E$1:E2044))))))</f>
        <v/>
      </c>
      <c r="K2045" s="24" t="str">
        <f>IF(OR(E2045="",E2045="!!!",F2045="NEW"),"",INDEX(J$1:J2044,SUMPRODUCT(MAX(ROW(E$1:E2044)*(E2045=E$1:E2044)))))</f>
        <v/>
      </c>
      <c r="L2045" s="25"/>
    </row>
    <row r="2046" spans="1:12" x14ac:dyDescent="0.3">
      <c r="A2046" t="s">
        <v>351</v>
      </c>
      <c r="E2046" s="20" t="str">
        <f t="shared" si="230"/>
        <v/>
      </c>
      <c r="F2046" s="21" t="str">
        <f>IF(OR(E2046="",E2046="!!!"),"",IF(NOT(ISNA(VLOOKUP(E2046,E$1:E2045,1,FALSE()))),"OLD",IF(AND(E2046&lt;&gt;"",E2046&lt;&gt;"!!!"),"NEW","")))</f>
        <v/>
      </c>
      <c r="G2046" s="22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/>
      </c>
      <c r="H2046" s="23" t="str">
        <f t="shared" ca="1" si="231"/>
        <v/>
      </c>
      <c r="I2046" s="24" t="str">
        <f>IF(OR(E2046="",E2046="!!!",F2046="NEW"),"",INDEX(B$2:B2045,-1+SUMPRODUCT(MAX(ROW(E$2:E2045)*(E2046=E$2:E2045)))))</f>
        <v/>
      </c>
      <c r="J2046" s="24" t="str">
        <f ca="1">IF(OR(E2046="",E2046="!!!",F2046="NEW"),"",COUNTBLANK(OFFSET(A$1,,,SUMPRODUCT(MAX(ROW(E$2:E2046)*(E2046=E$2:E2046)))))-COUNTBLANK(OFFSET(A$1,,,SUMPRODUCT(MAX(ROW(E$1:E2045)*(E2=E$1:E2045))))))</f>
        <v/>
      </c>
      <c r="K2046" s="24" t="str">
        <f>IF(OR(E2046="",E2046="!!!",F2046="NEW"),"",INDEX(J$1:J2045,SUMPRODUCT(MAX(ROW(E$1:E2045)*(E2046=E$1:E2045)))))</f>
        <v/>
      </c>
      <c r="L2046" s="25"/>
    </row>
    <row r="2047" spans="1:12" x14ac:dyDescent="0.3">
      <c r="A2047" t="s">
        <v>340</v>
      </c>
      <c r="B2047" s="26" t="s">
        <v>354</v>
      </c>
      <c r="C2047" s="26" t="s">
        <v>341</v>
      </c>
      <c r="D2047" s="26" t="s">
        <v>332</v>
      </c>
      <c r="E2047" s="20" t="str">
        <f t="shared" si="230"/>
        <v>!!!</v>
      </c>
      <c r="F2047" s="21" t="str">
        <f>IF(OR(E2047="",E2047="!!!"),"",IF(NOT(ISNA(VLOOKUP(E2047,E$1:E2046,1,FALSE()))),"OLD",IF(AND(E2047&lt;&gt;"",E2047&lt;&gt;"!!!"),"NEW","")))</f>
        <v/>
      </c>
      <c r="G2047" s="22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/>
      </c>
      <c r="H2047" s="23" t="str">
        <f t="shared" ca="1" si="231"/>
        <v/>
      </c>
      <c r="I2047" s="24" t="str">
        <f>IF(OR(E2047="",E2047="!!!",F2047="NEW"),"",INDEX(B$2:B2046,-1+SUMPRODUCT(MAX(ROW(E$2:E2046)*(E2047=E$2:E2046)))))</f>
        <v/>
      </c>
      <c r="J2047" s="24" t="str">
        <f ca="1">IF(OR(E2047="",E2047="!!!",F2047="NEW"),"",COUNTBLANK(OFFSET(A$1,,,SUMPRODUCT(MAX(ROW(E$2:E2047)*(E2047=E$2:E2047)))))-COUNTBLANK(OFFSET(A$1,,,SUMPRODUCT(MAX(ROW(E$1:E2046)*(E2=E$1:E2046))))))</f>
        <v/>
      </c>
      <c r="K2047" s="24" t="str">
        <f>IF(OR(E2047="",E2047="!!!",F2047="NEW"),"",INDEX(J$1:J2046,SUMPRODUCT(MAX(ROW(E$1:E2046)*(E2047=E$1:E2046)))))</f>
        <v/>
      </c>
      <c r="L2047" s="25"/>
    </row>
    <row r="2048" spans="1:12" x14ac:dyDescent="0.3">
      <c r="A2048" t="s">
        <v>1160</v>
      </c>
      <c r="E2048" s="20" t="str">
        <f t="shared" si="230"/>
        <v/>
      </c>
      <c r="F2048" s="21" t="str">
        <f>IF(OR(E2048="",E2048="!!!"),"",IF(NOT(ISNA(VLOOKUP(E2048,E$1:E2047,1,FALSE()))),"OLD",IF(AND(E2048&lt;&gt;"",E2048&lt;&gt;"!!!"),"NEW","")))</f>
        <v/>
      </c>
      <c r="G2048" s="22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/>
      </c>
      <c r="H2048" s="23" t="str">
        <f t="shared" ca="1" si="231"/>
        <v/>
      </c>
      <c r="I2048" s="24" t="str">
        <f>IF(OR(E2048="",E2048="!!!",F2048="NEW"),"",INDEX(B$2:B2047,-1+SUMPRODUCT(MAX(ROW(E$2:E2047)*(E2048=E$2:E2047)))))</f>
        <v/>
      </c>
      <c r="J2048" s="24" t="str">
        <f ca="1">IF(OR(E2048="",E2048="!!!",F2048="NEW"),"",COUNTBLANK(OFFSET(A$1,,,SUMPRODUCT(MAX(ROW(E$2:E2048)*(E2048=E$2:E2048)))))-COUNTBLANK(OFFSET(A$1,,,SUMPRODUCT(MAX(ROW(E$1:E2047)*(E2=E$1:E2047))))))</f>
        <v/>
      </c>
      <c r="K2048" s="24" t="str">
        <f>IF(OR(E2048="",E2048="!!!",F2048="NEW"),"",INDEX(J$1:J2047,SUMPRODUCT(MAX(ROW(E$1:E2047)*(E2048=E$1:E2047)))))</f>
        <v/>
      </c>
      <c r="L2048" s="25"/>
    </row>
    <row r="2049" spans="1:12" x14ac:dyDescent="0.3">
      <c r="A2049" t="s">
        <v>363</v>
      </c>
      <c r="E2049" s="20" t="str">
        <f t="shared" si="230"/>
        <v/>
      </c>
      <c r="F2049" s="21" t="str">
        <f>IF(OR(E2049="",E2049="!!!"),"",IF(NOT(ISNA(VLOOKUP(E2049,E$1:E2048,1,FALSE()))),"OLD",IF(AND(E2049&lt;&gt;"",E2049&lt;&gt;"!!!"),"NEW","")))</f>
        <v/>
      </c>
      <c r="G2049" s="22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/>
      </c>
      <c r="H2049" s="23" t="str">
        <f t="shared" ca="1" si="231"/>
        <v/>
      </c>
      <c r="I2049" s="24" t="str">
        <f>IF(OR(E2049="",E2049="!!!",F2049="NEW"),"",INDEX(B$2:B2048,-1+SUMPRODUCT(MAX(ROW(E$2:E2048)*(E2049=E$2:E2048)))))</f>
        <v/>
      </c>
      <c r="J2049" s="24" t="str">
        <f ca="1">IF(OR(E2049="",E2049="!!!",F2049="NEW"),"",COUNTBLANK(OFFSET(A$1,,,SUMPRODUCT(MAX(ROW(E$2:E2049)*(E2049=E$2:E2049)))))-COUNTBLANK(OFFSET(A$1,,,SUMPRODUCT(MAX(ROW(E$1:E2048)*(E2=E$1:E2048))))))</f>
        <v/>
      </c>
      <c r="K2049" s="24" t="str">
        <f>IF(OR(E2049="",E2049="!!!",F2049="NEW"),"",INDEX(J$1:J2048,SUMPRODUCT(MAX(ROW(E$1:E2048)*(E2049=E$1:E2048)))))</f>
        <v/>
      </c>
      <c r="L2049" s="25"/>
    </row>
    <row r="2050" spans="1:12" x14ac:dyDescent="0.3">
      <c r="A2050" t="s">
        <v>351</v>
      </c>
      <c r="E2050" s="20" t="str">
        <f t="shared" si="230"/>
        <v/>
      </c>
      <c r="F2050" s="21" t="str">
        <f>IF(OR(E2050="",E2050="!!!"),"",IF(NOT(ISNA(VLOOKUP(E2050,E$1:E2049,1,FALSE()))),"OLD",IF(AND(E2050&lt;&gt;"",E2050&lt;&gt;"!!!"),"NEW","")))</f>
        <v/>
      </c>
      <c r="G2050" s="22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/>
      </c>
      <c r="H2050" s="23" t="str">
        <f t="shared" ca="1" si="231"/>
        <v/>
      </c>
      <c r="I2050" s="24" t="str">
        <f>IF(OR(E2050="",E2050="!!!",F2050="NEW"),"",INDEX(B$2:B2049,-1+SUMPRODUCT(MAX(ROW(E$2:E2049)*(E2050=E$2:E2049)))))</f>
        <v/>
      </c>
      <c r="J2050" s="24" t="str">
        <f ca="1">IF(OR(E2050="",E2050="!!!",F2050="NEW"),"",COUNTBLANK(OFFSET(A$1,,,SUMPRODUCT(MAX(ROW(E$2:E2050)*(E2050=E$2:E2050)))))-COUNTBLANK(OFFSET(A$1,,,SUMPRODUCT(MAX(ROW(E$1:E2049)*(E2=E$1:E2049))))))</f>
        <v/>
      </c>
      <c r="K2050" s="24" t="str">
        <f>IF(OR(E2050="",E2050="!!!",F2050="NEW"),"",INDEX(J$1:J2049,SUMPRODUCT(MAX(ROW(E$1:E2049)*(E2050=E$1:E2049)))))</f>
        <v/>
      </c>
      <c r="L2050" s="25"/>
    </row>
    <row r="2051" spans="1:12" x14ac:dyDescent="0.3">
      <c r="A2051" t="s">
        <v>414</v>
      </c>
      <c r="E2051" s="20" t="str">
        <f t="shared" si="230"/>
        <v/>
      </c>
      <c r="F2051" s="21" t="str">
        <f>IF(OR(E2051="",E2051="!!!"),"",IF(NOT(ISNA(VLOOKUP(E2051,E$1:E2050,1,FALSE()))),"OLD",IF(AND(E2051&lt;&gt;"",E2051&lt;&gt;"!!!"),"NEW","")))</f>
        <v/>
      </c>
      <c r="G2051" s="22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/>
      </c>
      <c r="H2051" s="23" t="str">
        <f t="shared" ca="1" si="231"/>
        <v/>
      </c>
      <c r="I2051" s="24" t="str">
        <f>IF(OR(E2051="",E2051="!!!",F2051="NEW"),"",INDEX(B$2:B2050,-1+SUMPRODUCT(MAX(ROW(E$2:E2050)*(E2051=E$2:E2050)))))</f>
        <v/>
      </c>
      <c r="J2051" s="24" t="str">
        <f ca="1">IF(OR(E2051="",E2051="!!!",F2051="NEW"),"",COUNTBLANK(OFFSET(A$1,,,SUMPRODUCT(MAX(ROW(E$2:E2051)*(E2051=E$2:E2051)))))-COUNTBLANK(OFFSET(A$1,,,SUMPRODUCT(MAX(ROW(E$1:E2050)*(E2=E$1:E2050))))))</f>
        <v/>
      </c>
      <c r="K2051" s="24" t="str">
        <f>IF(OR(E2051="",E2051="!!!",F2051="NEW"),"",INDEX(J$1:J2050,SUMPRODUCT(MAX(ROW(E$1:E2050)*(E2051=E$1:E2050)))))</f>
        <v/>
      </c>
      <c r="L2051" s="25"/>
    </row>
    <row r="2052" spans="1:12" x14ac:dyDescent="0.3">
      <c r="A2052" t="s">
        <v>1161</v>
      </c>
      <c r="E2052" s="20" t="str">
        <f t="shared" si="230"/>
        <v/>
      </c>
      <c r="F2052" s="21" t="str">
        <f>IF(OR(E2052="",E2052="!!!"),"",IF(NOT(ISNA(VLOOKUP(E2052,E$1:E2051,1,FALSE()))),"OLD",IF(AND(E2052&lt;&gt;"",E2052&lt;&gt;"!!!"),"NEW","")))</f>
        <v/>
      </c>
      <c r="G2052" s="22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/>
      </c>
      <c r="H2052" s="23" t="str">
        <f t="shared" ca="1" si="231"/>
        <v/>
      </c>
      <c r="I2052" s="24" t="str">
        <f>IF(OR(E2052="",E2052="!!!",F2052="NEW"),"",INDEX(B$2:B2051,-1+SUMPRODUCT(MAX(ROW(E$2:E2051)*(E2052=E$2:E2051)))))</f>
        <v/>
      </c>
      <c r="J2052" s="24" t="str">
        <f ca="1">IF(OR(E2052="",E2052="!!!",F2052="NEW"),"",COUNTBLANK(OFFSET(A$1,,,SUMPRODUCT(MAX(ROW(E$2:E2052)*(E2052=E$2:E2052)))))-COUNTBLANK(OFFSET(A$1,,,SUMPRODUCT(MAX(ROW(E$1:E2051)*(E2=E$1:E2051))))))</f>
        <v/>
      </c>
      <c r="K2052" s="24" t="str">
        <f>IF(OR(E2052="",E2052="!!!",F2052="NEW"),"",INDEX(J$1:J2051,SUMPRODUCT(MAX(ROW(E$1:E2051)*(E2052=E$1:E2051)))))</f>
        <v/>
      </c>
      <c r="L2052" s="25"/>
    </row>
    <row r="2053" spans="1:12" x14ac:dyDescent="0.3">
      <c r="A2053" t="s">
        <v>1162</v>
      </c>
      <c r="B2053" s="26" t="s">
        <v>509</v>
      </c>
      <c r="C2053" s="26" t="s">
        <v>355</v>
      </c>
      <c r="E2053" s="20" t="str">
        <f t="shared" si="230"/>
        <v/>
      </c>
      <c r="F2053" s="21" t="str">
        <f>IF(OR(E2053="",E2053="!!!"),"",IF(NOT(ISNA(VLOOKUP(E2053,E$1:E2052,1,FALSE()))),"OLD",IF(AND(E2053&lt;&gt;"",E2053&lt;&gt;"!!!"),"NEW","")))</f>
        <v/>
      </c>
      <c r="G2053" s="22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/>
      </c>
      <c r="H2053" s="23" t="str">
        <f t="shared" ca="1" si="231"/>
        <v/>
      </c>
      <c r="I2053" s="24" t="str">
        <f>IF(OR(E2053="",E2053="!!!",F2053="NEW"),"",INDEX(B$2:B2052,-1+SUMPRODUCT(MAX(ROW(E$2:E2052)*(E2053=E$2:E2052)))))</f>
        <v/>
      </c>
      <c r="J2053" s="24" t="str">
        <f ca="1">IF(OR(E2053="",E2053="!!!",F2053="NEW"),"",COUNTBLANK(OFFSET(A$1,,,SUMPRODUCT(MAX(ROW(E$2:E2053)*(E2053=E$2:E2053)))))-COUNTBLANK(OFFSET(A$1,,,SUMPRODUCT(MAX(ROW(E$1:E2052)*(E2=E$1:E2052))))))</f>
        <v/>
      </c>
      <c r="K2053" s="24" t="str">
        <f>IF(OR(E2053="",E2053="!!!",F2053="NEW"),"",INDEX(J$1:J2052,SUMPRODUCT(MAX(ROW(E$1:E2052)*(E2053=E$1:E2052)))))</f>
        <v/>
      </c>
      <c r="L2053" s="25"/>
    </row>
    <row r="2054" spans="1:12" x14ac:dyDescent="0.3">
      <c r="A2054" t="s">
        <v>349</v>
      </c>
      <c r="B2054" s="26" t="s">
        <v>431</v>
      </c>
      <c r="C2054" s="26" t="s">
        <v>341</v>
      </c>
      <c r="D2054" s="26" t="s">
        <v>332</v>
      </c>
      <c r="E2054" s="20" t="str">
        <f t="shared" si="230"/>
        <v>!!!</v>
      </c>
      <c r="F2054" s="21" t="str">
        <f>IF(OR(E2054="",E2054="!!!"),"",IF(NOT(ISNA(VLOOKUP(E2054,E$1:E2053,1,FALSE()))),"OLD",IF(AND(E2054&lt;&gt;"",E2054&lt;&gt;"!!!"),"NEW","")))</f>
        <v/>
      </c>
      <c r="G2054" s="22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/>
      </c>
      <c r="H2054" s="23" t="str">
        <f t="shared" ca="1" si="231"/>
        <v/>
      </c>
      <c r="I2054" s="24" t="str">
        <f>IF(OR(E2054="",E2054="!!!",F2054="NEW"),"",INDEX(B$2:B2053,-1+SUMPRODUCT(MAX(ROW(E$2:E2053)*(E2054=E$2:E2053)))))</f>
        <v/>
      </c>
      <c r="J2054" s="24" t="str">
        <f ca="1">IF(OR(E2054="",E2054="!!!",F2054="NEW"),"",COUNTBLANK(OFFSET(A$1,,,SUMPRODUCT(MAX(ROW(E$2:E2054)*(E2054=E$2:E2054)))))-COUNTBLANK(OFFSET(A$1,,,SUMPRODUCT(MAX(ROW(E$1:E2053)*(E2=E$1:E2053))))))</f>
        <v/>
      </c>
      <c r="K2054" s="24" t="str">
        <f>IF(OR(E2054="",E2054="!!!",F2054="NEW"),"",INDEX(J$1:J2053,SUMPRODUCT(MAX(ROW(E$1:E2053)*(E2054=E$1:E2053)))))</f>
        <v/>
      </c>
      <c r="L2054" s="25"/>
    </row>
    <row r="2055" spans="1:12" x14ac:dyDescent="0.3">
      <c r="A2055" t="s">
        <v>1163</v>
      </c>
      <c r="E2055" s="20" t="str">
        <f t="shared" si="230"/>
        <v/>
      </c>
      <c r="F2055" s="21" t="str">
        <f>IF(OR(E2055="",E2055="!!!"),"",IF(NOT(ISNA(VLOOKUP(E2055,E$1:E2054,1,FALSE()))),"OLD",IF(AND(E2055&lt;&gt;"",E2055&lt;&gt;"!!!"),"NEW","")))</f>
        <v/>
      </c>
      <c r="G2055" s="22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/>
      </c>
      <c r="H2055" s="23" t="str">
        <f t="shared" ca="1" si="231"/>
        <v/>
      </c>
      <c r="I2055" s="24" t="str">
        <f>IF(OR(E2055="",E2055="!!!",F2055="NEW"),"",INDEX(B$2:B2054,-1+SUMPRODUCT(MAX(ROW(E$2:E2054)*(E2055=E$2:E2054)))))</f>
        <v/>
      </c>
      <c r="J2055" s="24" t="str">
        <f ca="1">IF(OR(E2055="",E2055="!!!",F2055="NEW"),"",COUNTBLANK(OFFSET(A$1,,,SUMPRODUCT(MAX(ROW(E$2:E2055)*(E2055=E$2:E2055)))))-COUNTBLANK(OFFSET(A$1,,,SUMPRODUCT(MAX(ROW(E$1:E2054)*(E2=E$1:E2054))))))</f>
        <v/>
      </c>
      <c r="K2055" s="24" t="str">
        <f>IF(OR(E2055="",E2055="!!!",F2055="NEW"),"",INDEX(J$1:J2054,SUMPRODUCT(MAX(ROW(E$1:E2054)*(E2055=E$1:E2054)))))</f>
        <v/>
      </c>
      <c r="L2055" s="25"/>
    </row>
    <row r="2056" spans="1:12" x14ac:dyDescent="0.3">
      <c r="A2056" t="s">
        <v>338</v>
      </c>
      <c r="E2056" s="20" t="str">
        <f t="shared" si="230"/>
        <v/>
      </c>
      <c r="F2056" s="21" t="str">
        <f>IF(OR(E2056="",E2056="!!!"),"",IF(NOT(ISNA(VLOOKUP(E2056,E$1:E2055,1,FALSE()))),"OLD",IF(AND(E2056&lt;&gt;"",E2056&lt;&gt;"!!!"),"NEW","")))</f>
        <v/>
      </c>
      <c r="G2056" s="22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/>
      </c>
      <c r="H2056" s="23" t="str">
        <f t="shared" ca="1" si="231"/>
        <v/>
      </c>
      <c r="I2056" s="24" t="str">
        <f>IF(OR(E2056="",E2056="!!!",F2056="NEW"),"",INDEX(B$2:B2055,-1+SUMPRODUCT(MAX(ROW(E$2:E2055)*(E2056=E$2:E2055)))))</f>
        <v/>
      </c>
      <c r="J2056" s="24" t="str">
        <f ca="1">IF(OR(E2056="",E2056="!!!",F2056="NEW"),"",COUNTBLANK(OFFSET(A$1,,,SUMPRODUCT(MAX(ROW(E$2:E2056)*(E2056=E$2:E2056)))))-COUNTBLANK(OFFSET(A$1,,,SUMPRODUCT(MAX(ROW(E$1:E2055)*(E2=E$1:E2055))))))</f>
        <v/>
      </c>
      <c r="K2056" s="24" t="str">
        <f>IF(OR(E2056="",E2056="!!!",F2056="NEW"),"",INDEX(J$1:J2055,SUMPRODUCT(MAX(ROW(E$1:E2055)*(E2056=E$1:E2055)))))</f>
        <v/>
      </c>
      <c r="L2056" s="25"/>
    </row>
    <row r="2058" spans="1:12" x14ac:dyDescent="0.3">
      <c r="A2058" t="s">
        <v>573</v>
      </c>
      <c r="E2058" s="20" t="str">
        <f>IF(D2058="?OLD","!!!","")</f>
        <v/>
      </c>
      <c r="F2058" s="21" t="str">
        <f>IF(OR(E2058="",E2058="!!!"),"",IF(NOT(ISNA(VLOOKUP(E2058,E$1:E2057,1,FALSE()))),"OLD",IF(AND(E2058&lt;&gt;"",E2058&lt;&gt;"!!!"),"NEW","")))</f>
        <v/>
      </c>
      <c r="G2058" s="22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/>
      </c>
      <c r="H2058" s="23" t="str">
        <f ca="1">IF(J2058&lt;&gt;1,"",IF(I2058="SBJ","CB","?"))</f>
        <v/>
      </c>
      <c r="I2058" s="24" t="str">
        <f>IF(OR(E2058="",E2058="!!!",F2058="NEW"),"",INDEX(B$2:B2057,-1+SUMPRODUCT(MAX(ROW(E$2:E2057)*(E2058=E$2:E2057)))))</f>
        <v/>
      </c>
      <c r="J2058" s="24" t="str">
        <f ca="1">IF(OR(E2058="",E2058="!!!",F2058="NEW"),"",COUNTBLANK(OFFSET(A$1,,,SUMPRODUCT(MAX(ROW(E$2:E2058)*(E2058=E$2:E2058)))))-COUNTBLANK(OFFSET(A$1,,,SUMPRODUCT(MAX(ROW(E$1:E2057)*(E2=E$1:E2057))))))</f>
        <v/>
      </c>
      <c r="K2058" s="24" t="str">
        <f>IF(OR(E2058="",E2058="!!!",F2058="NEW"),"",INDEX(J$1:J2057,SUMPRODUCT(MAX(ROW(E$1:E2057)*(E2058=E$1:E2057)))))</f>
        <v/>
      </c>
      <c r="L2058" s="25"/>
    </row>
    <row r="2059" spans="1:12" x14ac:dyDescent="0.3">
      <c r="A2059" t="s">
        <v>1164</v>
      </c>
    </row>
    <row r="2060" spans="1:12" x14ac:dyDescent="0.3">
      <c r="A2060" t="s">
        <v>424</v>
      </c>
      <c r="B2060" s="26" t="s">
        <v>330</v>
      </c>
      <c r="C2060" s="26" t="s">
        <v>341</v>
      </c>
      <c r="D2060" s="26" t="s">
        <v>332</v>
      </c>
      <c r="E2060" s="20" t="str">
        <f t="shared" ref="E2060:E2092" si="232">IF(D2060="?OLD","!!!","")</f>
        <v>!!!</v>
      </c>
      <c r="F2060" s="21" t="str">
        <f>IF(OR(E2060="",E2060="!!!"),"",IF(NOT(ISNA(VLOOKUP(E2060,E$1:E2059,1,FALSE()))),"OLD",IF(AND(E2060&lt;&gt;"",E2060&lt;&gt;"!!!"),"NEW","")))</f>
        <v/>
      </c>
      <c r="G2060" s="22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/>
      </c>
      <c r="H2060" s="23" t="str">
        <f t="shared" ref="H2060:H2092" ca="1" si="233">IF(J2060&lt;&gt;1,"",IF(I2060="SBJ","CB","?"))</f>
        <v/>
      </c>
      <c r="I2060" s="24" t="str">
        <f>IF(OR(E2060="",E2060="!!!",F2060="NEW"),"",INDEX(B$2:B2059,-1+SUMPRODUCT(MAX(ROW(E$2:E2059)*(E2060=E$2:E2059)))))</f>
        <v/>
      </c>
      <c r="J2060" s="24" t="str">
        <f ca="1">IF(OR(E2060="",E2060="!!!",F2060="NEW"),"",COUNTBLANK(OFFSET(A$1,,,SUMPRODUCT(MAX(ROW(E$2:E2060)*(E2060=E$2:E2060)))))-COUNTBLANK(OFFSET(A$1,,,SUMPRODUCT(MAX(ROW(E$1:E2059)*(E2=E$1:E2059))))))</f>
        <v/>
      </c>
      <c r="K2060" s="24" t="str">
        <f>IF(OR(E2060="",E2060="!!!",F2060="NEW"),"",INDEX(J$1:J2059,SUMPRODUCT(MAX(ROW(E$1:E2059)*(E2060=E$1:E2059)))))</f>
        <v/>
      </c>
      <c r="L2060" s="25"/>
    </row>
    <row r="2061" spans="1:12" x14ac:dyDescent="0.3">
      <c r="A2061" t="s">
        <v>1150</v>
      </c>
      <c r="E2061" s="20" t="str">
        <f t="shared" si="232"/>
        <v/>
      </c>
      <c r="F2061" s="21" t="str">
        <f>IF(OR(E2061="",E2061="!!!"),"",IF(NOT(ISNA(VLOOKUP(E2061,E$1:E2060,1,FALSE()))),"OLD",IF(AND(E2061&lt;&gt;"",E2061&lt;&gt;"!!!"),"NEW","")))</f>
        <v/>
      </c>
      <c r="G2061" s="22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/>
      </c>
      <c r="H2061" s="23" t="str">
        <f t="shared" ca="1" si="233"/>
        <v/>
      </c>
      <c r="I2061" s="24" t="str">
        <f>IF(OR(E2061="",E2061="!!!",F2061="NEW"),"",INDEX(B$2:B2060,-1+SUMPRODUCT(MAX(ROW(E$2:E2060)*(E2061=E$2:E2060)))))</f>
        <v/>
      </c>
      <c r="J2061" s="24" t="str">
        <f ca="1">IF(OR(E2061="",E2061="!!!",F2061="NEW"),"",COUNTBLANK(OFFSET(A$1,,,SUMPRODUCT(MAX(ROW(E$2:E2061)*(E2061=E$2:E2061)))))-COUNTBLANK(OFFSET(A$1,,,SUMPRODUCT(MAX(ROW(E$1:E2060)*(E2=E$1:E2060))))))</f>
        <v/>
      </c>
      <c r="K2061" s="24" t="str">
        <f>IF(OR(E2061="",E2061="!!!",F2061="NEW"),"",INDEX(J$1:J2060,SUMPRODUCT(MAX(ROW(E$1:E2060)*(E2061=E$1:E2060)))))</f>
        <v/>
      </c>
      <c r="L2061" s="25"/>
    </row>
    <row r="2062" spans="1:12" x14ac:dyDescent="0.3">
      <c r="A2062" t="s">
        <v>371</v>
      </c>
      <c r="B2062" s="26" t="s">
        <v>344</v>
      </c>
      <c r="C2062" s="26" t="s">
        <v>341</v>
      </c>
      <c r="D2062" s="26" t="s">
        <v>332</v>
      </c>
      <c r="E2062" s="20" t="str">
        <f t="shared" si="232"/>
        <v>!!!</v>
      </c>
      <c r="F2062" s="21" t="str">
        <f>IF(OR(E2062="",E2062="!!!"),"",IF(NOT(ISNA(VLOOKUP(E2062,E$1:E2061,1,FALSE()))),"OLD",IF(AND(E2062&lt;&gt;"",E2062&lt;&gt;"!!!"),"NEW","")))</f>
        <v/>
      </c>
      <c r="G2062" s="22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/>
      </c>
      <c r="H2062" s="23" t="str">
        <f t="shared" ca="1" si="233"/>
        <v/>
      </c>
      <c r="I2062" s="24" t="str">
        <f>IF(OR(E2062="",E2062="!!!",F2062="NEW"),"",INDEX(B$2:B2061,-1+SUMPRODUCT(MAX(ROW(E$2:E2061)*(E2062=E$2:E2061)))))</f>
        <v/>
      </c>
      <c r="J2062" s="24" t="str">
        <f ca="1">IF(OR(E2062="",E2062="!!!",F2062="NEW"),"",COUNTBLANK(OFFSET(A$1,,,SUMPRODUCT(MAX(ROW(E$2:E2062)*(E2062=E$2:E2062)))))-COUNTBLANK(OFFSET(A$1,,,SUMPRODUCT(MAX(ROW(E$1:E2061)*(E2=E$1:E2061))))))</f>
        <v/>
      </c>
      <c r="K2062" s="24" t="str">
        <f>IF(OR(E2062="",E2062="!!!",F2062="NEW"),"",INDEX(J$1:J2061,SUMPRODUCT(MAX(ROW(E$1:E2061)*(E2062=E$1:E2061)))))</f>
        <v/>
      </c>
      <c r="L2062" s="25"/>
    </row>
    <row r="2063" spans="1:12" x14ac:dyDescent="0.3">
      <c r="A2063" t="s">
        <v>685</v>
      </c>
      <c r="E2063" s="20" t="str">
        <f t="shared" si="232"/>
        <v/>
      </c>
      <c r="F2063" s="21" t="str">
        <f>IF(OR(E2063="",E2063="!!!"),"",IF(NOT(ISNA(VLOOKUP(E2063,E$1:E2062,1,FALSE()))),"OLD",IF(AND(E2063&lt;&gt;"",E2063&lt;&gt;"!!!"),"NEW","")))</f>
        <v/>
      </c>
      <c r="G2063" s="22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/>
      </c>
      <c r="H2063" s="23" t="str">
        <f t="shared" ca="1" si="233"/>
        <v/>
      </c>
      <c r="I2063" s="24" t="str">
        <f>IF(OR(E2063="",E2063="!!!",F2063="NEW"),"",INDEX(B$2:B2062,-1+SUMPRODUCT(MAX(ROW(E$2:E2062)*(E2063=E$2:E2062)))))</f>
        <v/>
      </c>
      <c r="J2063" s="24" t="str">
        <f ca="1">IF(OR(E2063="",E2063="!!!",F2063="NEW"),"",COUNTBLANK(OFFSET(A$1,,,SUMPRODUCT(MAX(ROW(E$2:E2063)*(E2063=E$2:E2063)))))-COUNTBLANK(OFFSET(A$1,,,SUMPRODUCT(MAX(ROW(E$1:E2062)*(E2=E$1:E2062))))))</f>
        <v/>
      </c>
      <c r="K2063" s="24" t="str">
        <f>IF(OR(E2063="",E2063="!!!",F2063="NEW"),"",INDEX(J$1:J2062,SUMPRODUCT(MAX(ROW(E$1:E2062)*(E2063=E$1:E2062)))))</f>
        <v/>
      </c>
      <c r="L2063" s="25"/>
    </row>
    <row r="2064" spans="1:12" x14ac:dyDescent="0.3">
      <c r="A2064" t="s">
        <v>351</v>
      </c>
      <c r="E2064" s="20" t="str">
        <f t="shared" si="232"/>
        <v/>
      </c>
      <c r="F2064" s="21" t="str">
        <f>IF(OR(E2064="",E2064="!!!"),"",IF(NOT(ISNA(VLOOKUP(E2064,E$1:E2063,1,FALSE()))),"OLD",IF(AND(E2064&lt;&gt;"",E2064&lt;&gt;"!!!"),"NEW","")))</f>
        <v/>
      </c>
      <c r="G2064" s="22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/>
      </c>
      <c r="H2064" s="23" t="str">
        <f t="shared" ca="1" si="233"/>
        <v/>
      </c>
      <c r="I2064" s="24" t="str">
        <f>IF(OR(E2064="",E2064="!!!",F2064="NEW"),"",INDEX(B$2:B2063,-1+SUMPRODUCT(MAX(ROW(E$2:E2063)*(E2064=E$2:E2063)))))</f>
        <v/>
      </c>
      <c r="J2064" s="24" t="str">
        <f ca="1">IF(OR(E2064="",E2064="!!!",F2064="NEW"),"",COUNTBLANK(OFFSET(A$1,,,SUMPRODUCT(MAX(ROW(E$2:E2064)*(E2064=E$2:E2064)))))-COUNTBLANK(OFFSET(A$1,,,SUMPRODUCT(MAX(ROW(E$1:E2063)*(E2=E$1:E2063))))))</f>
        <v/>
      </c>
      <c r="K2064" s="24" t="str">
        <f>IF(OR(E2064="",E2064="!!!",F2064="NEW"),"",INDEX(J$1:J2063,SUMPRODUCT(MAX(ROW(E$1:E2063)*(E2064=E$1:E2063)))))</f>
        <v/>
      </c>
      <c r="L2064" s="25"/>
    </row>
    <row r="2065" spans="1:12" x14ac:dyDescent="0.3">
      <c r="A2065" t="s">
        <v>1153</v>
      </c>
      <c r="E2065" s="20" t="str">
        <f t="shared" si="232"/>
        <v/>
      </c>
      <c r="F2065" s="21" t="str">
        <f>IF(OR(E2065="",E2065="!!!"),"",IF(NOT(ISNA(VLOOKUP(E2065,E$1:E2064,1,FALSE()))),"OLD",IF(AND(E2065&lt;&gt;"",E2065&lt;&gt;"!!!"),"NEW","")))</f>
        <v/>
      </c>
      <c r="G2065" s="22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/>
      </c>
      <c r="H2065" s="23" t="str">
        <f t="shared" ca="1" si="233"/>
        <v/>
      </c>
      <c r="I2065" s="24" t="str">
        <f>IF(OR(E2065="",E2065="!!!",F2065="NEW"),"",INDEX(B$2:B2064,-1+SUMPRODUCT(MAX(ROW(E$2:E2064)*(E2065=E$2:E2064)))))</f>
        <v/>
      </c>
      <c r="J2065" s="24" t="str">
        <f ca="1">IF(OR(E2065="",E2065="!!!",F2065="NEW"),"",COUNTBLANK(OFFSET(A$1,,,SUMPRODUCT(MAX(ROW(E$2:E2065)*(E2065=E$2:E2065)))))-COUNTBLANK(OFFSET(A$1,,,SUMPRODUCT(MAX(ROW(E$1:E2064)*(E2=E$1:E2064))))))</f>
        <v/>
      </c>
      <c r="K2065" s="24" t="str">
        <f>IF(OR(E2065="",E2065="!!!",F2065="NEW"),"",INDEX(J$1:J2064,SUMPRODUCT(MAX(ROW(E$1:E2064)*(E2065=E$1:E2064)))))</f>
        <v/>
      </c>
      <c r="L2065" s="25"/>
    </row>
    <row r="2066" spans="1:12" x14ac:dyDescent="0.3">
      <c r="A2066" t="s">
        <v>917</v>
      </c>
      <c r="B2066" s="26" t="s">
        <v>354</v>
      </c>
      <c r="C2066" s="26" t="s">
        <v>341</v>
      </c>
      <c r="D2066" s="26" t="s">
        <v>332</v>
      </c>
      <c r="E2066" s="20" t="str">
        <f t="shared" si="232"/>
        <v>!!!</v>
      </c>
      <c r="F2066" s="21" t="str">
        <f>IF(OR(E2066="",E2066="!!!"),"",IF(NOT(ISNA(VLOOKUP(E2066,E$1:E2065,1,FALSE()))),"OLD",IF(AND(E2066&lt;&gt;"",E2066&lt;&gt;"!!!"),"NEW","")))</f>
        <v/>
      </c>
      <c r="G2066" s="22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/>
      </c>
      <c r="H2066" s="23" t="str">
        <f t="shared" ca="1" si="233"/>
        <v/>
      </c>
      <c r="I2066" s="24" t="str">
        <f>IF(OR(E2066="",E2066="!!!",F2066="NEW"),"",INDEX(B$2:B2065,-1+SUMPRODUCT(MAX(ROW(E$2:E2065)*(E2066=E$2:E2065)))))</f>
        <v/>
      </c>
      <c r="J2066" s="24" t="str">
        <f ca="1">IF(OR(E2066="",E2066="!!!",F2066="NEW"),"",COUNTBLANK(OFFSET(A$1,,,SUMPRODUCT(MAX(ROW(E$2:E2066)*(E2066=E$2:E2066)))))-COUNTBLANK(OFFSET(A$1,,,SUMPRODUCT(MAX(ROW(E$1:E2065)*(E2=E$1:E2065))))))</f>
        <v/>
      </c>
      <c r="K2066" s="24" t="str">
        <f>IF(OR(E2066="",E2066="!!!",F2066="NEW"),"",INDEX(J$1:J2065,SUMPRODUCT(MAX(ROW(E$1:E2065)*(E2066=E$1:E2065)))))</f>
        <v/>
      </c>
      <c r="L2066" s="25"/>
    </row>
    <row r="2067" spans="1:12" x14ac:dyDescent="0.3">
      <c r="A2067" t="s">
        <v>532</v>
      </c>
      <c r="B2067" s="26" t="s">
        <v>357</v>
      </c>
      <c r="C2067" s="26" t="s">
        <v>341</v>
      </c>
      <c r="D2067" s="26" t="s">
        <v>332</v>
      </c>
      <c r="E2067" s="20" t="str">
        <f t="shared" si="232"/>
        <v>!!!</v>
      </c>
      <c r="F2067" s="21" t="str">
        <f>IF(OR(E2067="",E2067="!!!"),"",IF(NOT(ISNA(VLOOKUP(E2067,E$1:E2066,1,FALSE()))),"OLD",IF(AND(E2067&lt;&gt;"",E2067&lt;&gt;"!!!"),"NEW","")))</f>
        <v/>
      </c>
      <c r="G2067" s="22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/>
      </c>
      <c r="H2067" s="23" t="str">
        <f t="shared" ca="1" si="233"/>
        <v/>
      </c>
      <c r="I2067" s="24" t="str">
        <f>IF(OR(E2067="",E2067="!!!",F2067="NEW"),"",INDEX(B$2:B2066,-1+SUMPRODUCT(MAX(ROW(E$2:E2066)*(E2067=E$2:E2066)))))</f>
        <v/>
      </c>
      <c r="J2067" s="24" t="str">
        <f ca="1">IF(OR(E2067="",E2067="!!!",F2067="NEW"),"",COUNTBLANK(OFFSET(A$1,,,SUMPRODUCT(MAX(ROW(E$2:E2067)*(E2067=E$2:E2067)))))-COUNTBLANK(OFFSET(A$1,,,SUMPRODUCT(MAX(ROW(E$1:E2066)*(E2=E$1:E2066))))))</f>
        <v/>
      </c>
      <c r="K2067" s="24" t="str">
        <f>IF(OR(E2067="",E2067="!!!",F2067="NEW"),"",INDEX(J$1:J2066,SUMPRODUCT(MAX(ROW(E$1:E2066)*(E2067=E$1:E2066)))))</f>
        <v/>
      </c>
      <c r="L2067" s="25"/>
    </row>
    <row r="2068" spans="1:12" x14ac:dyDescent="0.3">
      <c r="A2068" t="s">
        <v>461</v>
      </c>
      <c r="E2068" s="20" t="str">
        <f t="shared" si="232"/>
        <v/>
      </c>
      <c r="F2068" s="21" t="str">
        <f>IF(OR(E2068="",E2068="!!!"),"",IF(NOT(ISNA(VLOOKUP(E2068,E$1:E2067,1,FALSE()))),"OLD",IF(AND(E2068&lt;&gt;"",E2068&lt;&gt;"!!!"),"NEW","")))</f>
        <v/>
      </c>
      <c r="G2068" s="22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/>
      </c>
      <c r="H2068" s="23" t="str">
        <f t="shared" ca="1" si="233"/>
        <v/>
      </c>
      <c r="I2068" s="24" t="str">
        <f>IF(OR(E2068="",E2068="!!!",F2068="NEW"),"",INDEX(B$2:B2067,-1+SUMPRODUCT(MAX(ROW(E$2:E2067)*(E2068=E$2:E2067)))))</f>
        <v/>
      </c>
      <c r="J2068" s="24" t="str">
        <f ca="1">IF(OR(E2068="",E2068="!!!",F2068="NEW"),"",COUNTBLANK(OFFSET(A$1,,,SUMPRODUCT(MAX(ROW(E$2:E2068)*(E2068=E$2:E2068)))))-COUNTBLANK(OFFSET(A$1,,,SUMPRODUCT(MAX(ROW(E$1:E2067)*(E2=E$1:E2067))))))</f>
        <v/>
      </c>
      <c r="K2068" s="24" t="str">
        <f>IF(OR(E2068="",E2068="!!!",F2068="NEW"),"",INDEX(J$1:J2067,SUMPRODUCT(MAX(ROW(E$1:E2067)*(E2068=E$1:E2067)))))</f>
        <v/>
      </c>
      <c r="L2068" s="25"/>
    </row>
    <row r="2069" spans="1:12" x14ac:dyDescent="0.3">
      <c r="A2069" t="s">
        <v>1165</v>
      </c>
      <c r="B2069" s="26" t="s">
        <v>378</v>
      </c>
      <c r="C2069" s="26" t="s">
        <v>496</v>
      </c>
      <c r="D2069" s="26" t="s">
        <v>332</v>
      </c>
      <c r="E2069" s="20" t="str">
        <f t="shared" si="232"/>
        <v>!!!</v>
      </c>
      <c r="F2069" s="21" t="str">
        <f>IF(OR(E2069="",E2069="!!!"),"",IF(NOT(ISNA(VLOOKUP(E2069,E$1:E2068,1,FALSE()))),"OLD",IF(AND(E2069&lt;&gt;"",E2069&lt;&gt;"!!!"),"NEW","")))</f>
        <v/>
      </c>
      <c r="G2069" s="22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/>
      </c>
      <c r="H2069" s="23" t="str">
        <f t="shared" ca="1" si="233"/>
        <v/>
      </c>
      <c r="I2069" s="24" t="str">
        <f>IF(OR(E2069="",E2069="!!!",F2069="NEW"),"",INDEX(B$2:B2068,-1+SUMPRODUCT(MAX(ROW(E$2:E2068)*(E2069=E$2:E2068)))))</f>
        <v/>
      </c>
      <c r="J2069" s="24" t="str">
        <f ca="1">IF(OR(E2069="",E2069="!!!",F2069="NEW"),"",COUNTBLANK(OFFSET(A$1,,,SUMPRODUCT(MAX(ROW(E$2:E2069)*(E2069=E$2:E2069)))))-COUNTBLANK(OFFSET(A$1,,,SUMPRODUCT(MAX(ROW(E$1:E2068)*(E2=E$1:E2068))))))</f>
        <v/>
      </c>
      <c r="K2069" s="24" t="str">
        <f>IF(OR(E2069="",E2069="!!!",F2069="NEW"),"",INDEX(J$1:J2068,SUMPRODUCT(MAX(ROW(E$1:E2068)*(E2069=E$1:E2068)))))</f>
        <v/>
      </c>
      <c r="L2069" s="25"/>
    </row>
    <row r="2070" spans="1:12" x14ac:dyDescent="0.3">
      <c r="A2070" t="s">
        <v>1166</v>
      </c>
      <c r="E2070" s="20" t="str">
        <f t="shared" si="232"/>
        <v/>
      </c>
      <c r="F2070" s="21" t="str">
        <f>IF(OR(E2070="",E2070="!!!"),"",IF(NOT(ISNA(VLOOKUP(E2070,E$1:E2069,1,FALSE()))),"OLD",IF(AND(E2070&lt;&gt;"",E2070&lt;&gt;"!!!"),"NEW","")))</f>
        <v/>
      </c>
      <c r="G2070" s="22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/>
      </c>
      <c r="H2070" s="23" t="str">
        <f t="shared" ca="1" si="233"/>
        <v/>
      </c>
      <c r="I2070" s="24" t="str">
        <f>IF(OR(E2070="",E2070="!!!",F2070="NEW"),"",INDEX(B$2:B2069,-1+SUMPRODUCT(MAX(ROW(E$2:E2069)*(E2070=E$2:E2069)))))</f>
        <v/>
      </c>
      <c r="J2070" s="24" t="str">
        <f ca="1">IF(OR(E2070="",E2070="!!!",F2070="NEW"),"",COUNTBLANK(OFFSET(A$1,,,SUMPRODUCT(MAX(ROW(E$2:E2070)*(E2070=E$2:E2070)))))-COUNTBLANK(OFFSET(A$1,,,SUMPRODUCT(MAX(ROW(E$1:E2069)*(E2=E$1:E2069))))))</f>
        <v/>
      </c>
      <c r="K2070" s="24" t="str">
        <f>IF(OR(E2070="",E2070="!!!",F2070="NEW"),"",INDEX(J$1:J2069,SUMPRODUCT(MAX(ROW(E$1:E2069)*(E2070=E$1:E2069)))))</f>
        <v/>
      </c>
      <c r="L2070" s="25"/>
    </row>
    <row r="2071" spans="1:12" x14ac:dyDescent="0.3">
      <c r="A2071" t="s">
        <v>1167</v>
      </c>
      <c r="E2071" s="20" t="str">
        <f t="shared" si="232"/>
        <v/>
      </c>
      <c r="F2071" s="21" t="str">
        <f>IF(OR(E2071="",E2071="!!!"),"",IF(NOT(ISNA(VLOOKUP(E2071,E$1:E2070,1,FALSE()))),"OLD",IF(AND(E2071&lt;&gt;"",E2071&lt;&gt;"!!!"),"NEW","")))</f>
        <v/>
      </c>
      <c r="G2071" s="22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/>
      </c>
      <c r="H2071" s="23" t="str">
        <f t="shared" ca="1" si="233"/>
        <v/>
      </c>
      <c r="I2071" s="24" t="str">
        <f>IF(OR(E2071="",E2071="!!!",F2071="NEW"),"",INDEX(B$2:B2070,-1+SUMPRODUCT(MAX(ROW(E$2:E2070)*(E2071=E$2:E2070)))))</f>
        <v/>
      </c>
      <c r="J2071" s="24" t="str">
        <f ca="1">IF(OR(E2071="",E2071="!!!",F2071="NEW"),"",COUNTBLANK(OFFSET(A$1,,,SUMPRODUCT(MAX(ROW(E$2:E2071)*(E2071=E$2:E2071)))))-COUNTBLANK(OFFSET(A$1,,,SUMPRODUCT(MAX(ROW(E$1:E2070)*(E2=E$1:E2070))))))</f>
        <v/>
      </c>
      <c r="K2071" s="24" t="str">
        <f>IF(OR(E2071="",E2071="!!!",F2071="NEW"),"",INDEX(J$1:J2070,SUMPRODUCT(MAX(ROW(E$1:E2070)*(E2071=E$1:E2070)))))</f>
        <v/>
      </c>
      <c r="L2071" s="25"/>
    </row>
    <row r="2072" spans="1:12" x14ac:dyDescent="0.3">
      <c r="A2072" t="s">
        <v>351</v>
      </c>
      <c r="E2072" s="20" t="str">
        <f t="shared" si="232"/>
        <v/>
      </c>
      <c r="F2072" s="21" t="str">
        <f>IF(OR(E2072="",E2072="!!!"),"",IF(NOT(ISNA(VLOOKUP(E2072,E$1:E2071,1,FALSE()))),"OLD",IF(AND(E2072&lt;&gt;"",E2072&lt;&gt;"!!!"),"NEW","")))</f>
        <v/>
      </c>
      <c r="G2072" s="22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/>
      </c>
      <c r="H2072" s="23" t="str">
        <f t="shared" ca="1" si="233"/>
        <v/>
      </c>
      <c r="I2072" s="24" t="str">
        <f>IF(OR(E2072="",E2072="!!!",F2072="NEW"),"",INDEX(B$2:B2071,-1+SUMPRODUCT(MAX(ROW(E$2:E2071)*(E2072=E$2:E2071)))))</f>
        <v/>
      </c>
      <c r="J2072" s="24" t="str">
        <f ca="1">IF(OR(E2072="",E2072="!!!",F2072="NEW"),"",COUNTBLANK(OFFSET(A$1,,,SUMPRODUCT(MAX(ROW(E$2:E2072)*(E2072=E$2:E2072)))))-COUNTBLANK(OFFSET(A$1,,,SUMPRODUCT(MAX(ROW(E$1:E2071)*(E2=E$1:E2071))))))</f>
        <v/>
      </c>
      <c r="K2072" s="24" t="str">
        <f>IF(OR(E2072="",E2072="!!!",F2072="NEW"),"",INDEX(J$1:J2071,SUMPRODUCT(MAX(ROW(E$1:E2071)*(E2072=E$1:E2071)))))</f>
        <v/>
      </c>
      <c r="L2072" s="25"/>
    </row>
    <row r="2073" spans="1:12" x14ac:dyDescent="0.3">
      <c r="A2073" t="s">
        <v>359</v>
      </c>
      <c r="B2073" s="26" t="s">
        <v>354</v>
      </c>
      <c r="E2073" s="20" t="str">
        <f t="shared" si="232"/>
        <v/>
      </c>
      <c r="F2073" s="21" t="str">
        <f>IF(OR(E2073="",E2073="!!!"),"",IF(NOT(ISNA(VLOOKUP(E2073,E$1:E2072,1,FALSE()))),"OLD",IF(AND(E2073&lt;&gt;"",E2073&lt;&gt;"!!!"),"NEW","")))</f>
        <v/>
      </c>
      <c r="G2073" s="22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/>
      </c>
      <c r="H2073" s="23" t="str">
        <f t="shared" ca="1" si="233"/>
        <v/>
      </c>
      <c r="I2073" s="24" t="str">
        <f>IF(OR(E2073="",E2073="!!!",F2073="NEW"),"",INDEX(B$2:B2072,-1+SUMPRODUCT(MAX(ROW(E$2:E2072)*(E2073=E$2:E2072)))))</f>
        <v/>
      </c>
      <c r="J2073" s="24" t="str">
        <f ca="1">IF(OR(E2073="",E2073="!!!",F2073="NEW"),"",COUNTBLANK(OFFSET(A$1,,,SUMPRODUCT(MAX(ROW(E$2:E2073)*(E2073=E$2:E2073)))))-COUNTBLANK(OFFSET(A$1,,,SUMPRODUCT(MAX(ROW(E$1:E2072)*(E2=E$1:E2072))))))</f>
        <v/>
      </c>
      <c r="K2073" s="24" t="str">
        <f>IF(OR(E2073="",E2073="!!!",F2073="NEW"),"",INDEX(J$1:J2072,SUMPRODUCT(MAX(ROW(E$1:E2072)*(E2073=E$1:E2072)))))</f>
        <v/>
      </c>
      <c r="L2073" s="25"/>
    </row>
    <row r="2074" spans="1:12" x14ac:dyDescent="0.3">
      <c r="A2074" t="s">
        <v>1084</v>
      </c>
      <c r="E2074" s="20" t="str">
        <f t="shared" si="232"/>
        <v/>
      </c>
      <c r="F2074" s="21" t="str">
        <f>IF(OR(E2074="",E2074="!!!"),"",IF(NOT(ISNA(VLOOKUP(E2074,E$1:E2073,1,FALSE()))),"OLD",IF(AND(E2074&lt;&gt;"",E2074&lt;&gt;"!!!"),"NEW","")))</f>
        <v/>
      </c>
      <c r="G2074" s="22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/>
      </c>
      <c r="H2074" s="23" t="str">
        <f t="shared" ca="1" si="233"/>
        <v/>
      </c>
      <c r="I2074" s="24" t="str">
        <f>IF(OR(E2074="",E2074="!!!",F2074="NEW"),"",INDEX(B$2:B2073,-1+SUMPRODUCT(MAX(ROW(E$2:E2073)*(E2074=E$2:E2073)))))</f>
        <v/>
      </c>
      <c r="J2074" s="24" t="str">
        <f ca="1">IF(OR(E2074="",E2074="!!!",F2074="NEW"),"",COUNTBLANK(OFFSET(A$1,,,SUMPRODUCT(MAX(ROW(E$2:E2074)*(E2074=E$2:E2074)))))-COUNTBLANK(OFFSET(A$1,,,SUMPRODUCT(MAX(ROW(E$1:E2073)*(E2=E$1:E2073))))))</f>
        <v/>
      </c>
      <c r="K2074" s="24" t="str">
        <f>IF(OR(E2074="",E2074="!!!",F2074="NEW"),"",INDEX(J$1:J2073,SUMPRODUCT(MAX(ROW(E$1:E2073)*(E2074=E$1:E2073)))))</f>
        <v/>
      </c>
      <c r="L2074" s="25"/>
    </row>
    <row r="2075" spans="1:12" x14ac:dyDescent="0.3">
      <c r="A2075" t="s">
        <v>410</v>
      </c>
      <c r="E2075" s="20" t="str">
        <f t="shared" si="232"/>
        <v/>
      </c>
      <c r="F2075" s="21" t="str">
        <f>IF(OR(E2075="",E2075="!!!"),"",IF(NOT(ISNA(VLOOKUP(E2075,E$1:E2074,1,FALSE()))),"OLD",IF(AND(E2075&lt;&gt;"",E2075&lt;&gt;"!!!"),"NEW","")))</f>
        <v/>
      </c>
      <c r="G2075" s="22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/>
      </c>
      <c r="H2075" s="23" t="str">
        <f t="shared" ca="1" si="233"/>
        <v/>
      </c>
      <c r="I2075" s="24" t="str">
        <f>IF(OR(E2075="",E2075="!!!",F2075="NEW"),"",INDEX(B$2:B2074,-1+SUMPRODUCT(MAX(ROW(E$2:E2074)*(E2075=E$2:E2074)))))</f>
        <v/>
      </c>
      <c r="J2075" s="24" t="str">
        <f ca="1">IF(OR(E2075="",E2075="!!!",F2075="NEW"),"",COUNTBLANK(OFFSET(A$1,,,SUMPRODUCT(MAX(ROW(E$2:E2075)*(E2075=E$2:E2075)))))-COUNTBLANK(OFFSET(A$1,,,SUMPRODUCT(MAX(ROW(E$1:E2074)*(E2=E$1:E2074))))))</f>
        <v/>
      </c>
      <c r="K2075" s="24" t="str">
        <f>IF(OR(E2075="",E2075="!!!",F2075="NEW"),"",INDEX(J$1:J2074,SUMPRODUCT(MAX(ROW(E$1:E2074)*(E2075=E$1:E2074)))))</f>
        <v/>
      </c>
      <c r="L2075" s="25"/>
    </row>
    <row r="2076" spans="1:12" x14ac:dyDescent="0.3">
      <c r="A2076" t="s">
        <v>575</v>
      </c>
      <c r="E2076" s="20" t="str">
        <f t="shared" si="232"/>
        <v/>
      </c>
      <c r="F2076" s="21" t="str">
        <f>IF(OR(E2076="",E2076="!!!"),"",IF(NOT(ISNA(VLOOKUP(E2076,E$1:E2075,1,FALSE()))),"OLD",IF(AND(E2076&lt;&gt;"",E2076&lt;&gt;"!!!"),"NEW","")))</f>
        <v/>
      </c>
      <c r="G2076" s="22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/>
      </c>
      <c r="H2076" s="23" t="str">
        <f t="shared" ca="1" si="233"/>
        <v/>
      </c>
      <c r="I2076" s="24" t="str">
        <f>IF(OR(E2076="",E2076="!!!",F2076="NEW"),"",INDEX(B$2:B2075,-1+SUMPRODUCT(MAX(ROW(E$2:E2075)*(E2076=E$2:E2075)))))</f>
        <v/>
      </c>
      <c r="J2076" s="24" t="str">
        <f ca="1">IF(OR(E2076="",E2076="!!!",F2076="NEW"),"",COUNTBLANK(OFFSET(A$1,,,SUMPRODUCT(MAX(ROW(E$2:E2076)*(E2076=E$2:E2076)))))-COUNTBLANK(OFFSET(A$1,,,SUMPRODUCT(MAX(ROW(E$1:E2075)*(E2=E$1:E2075))))))</f>
        <v/>
      </c>
      <c r="K2076" s="24" t="str">
        <f>IF(OR(E2076="",E2076="!!!",F2076="NEW"),"",INDEX(J$1:J2075,SUMPRODUCT(MAX(ROW(E$1:E2075)*(E2076=E$1:E2075)))))</f>
        <v/>
      </c>
      <c r="L2076" s="25"/>
    </row>
    <row r="2077" spans="1:12" x14ac:dyDescent="0.3">
      <c r="A2077" t="s">
        <v>1168</v>
      </c>
      <c r="B2077" s="26" t="s">
        <v>378</v>
      </c>
      <c r="C2077" s="26" t="s">
        <v>355</v>
      </c>
      <c r="E2077" s="20" t="str">
        <f t="shared" si="232"/>
        <v/>
      </c>
      <c r="F2077" s="21" t="str">
        <f>IF(OR(E2077="",E2077="!!!"),"",IF(NOT(ISNA(VLOOKUP(E2077,E$1:E2076,1,FALSE()))),"OLD",IF(AND(E2077&lt;&gt;"",E2077&lt;&gt;"!!!"),"NEW","")))</f>
        <v/>
      </c>
      <c r="G2077" s="22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/>
      </c>
      <c r="H2077" s="23" t="str">
        <f t="shared" ca="1" si="233"/>
        <v/>
      </c>
      <c r="I2077" s="24" t="str">
        <f>IF(OR(E2077="",E2077="!!!",F2077="NEW"),"",INDEX(B$2:B2076,-1+SUMPRODUCT(MAX(ROW(E$2:E2076)*(E2077=E$2:E2076)))))</f>
        <v/>
      </c>
      <c r="J2077" s="24" t="str">
        <f ca="1">IF(OR(E2077="",E2077="!!!",F2077="NEW"),"",COUNTBLANK(OFFSET(A$1,,,SUMPRODUCT(MAX(ROW(E$2:E2077)*(E2077=E$2:E2077)))))-COUNTBLANK(OFFSET(A$1,,,SUMPRODUCT(MAX(ROW(E$1:E2076)*(E2=E$1:E2076))))))</f>
        <v/>
      </c>
      <c r="K2077" s="24" t="str">
        <f>IF(OR(E2077="",E2077="!!!",F2077="NEW"),"",INDEX(J$1:J2076,SUMPRODUCT(MAX(ROW(E$1:E2076)*(E2077=E$1:E2076)))))</f>
        <v/>
      </c>
      <c r="L2077" s="25"/>
    </row>
    <row r="2078" spans="1:12" x14ac:dyDescent="0.3">
      <c r="A2078" t="s">
        <v>477</v>
      </c>
      <c r="E2078" s="20" t="str">
        <f t="shared" si="232"/>
        <v/>
      </c>
      <c r="F2078" s="21" t="str">
        <f>IF(OR(E2078="",E2078="!!!"),"",IF(NOT(ISNA(VLOOKUP(E2078,E$1:E2077,1,FALSE()))),"OLD",IF(AND(E2078&lt;&gt;"",E2078&lt;&gt;"!!!"),"NEW","")))</f>
        <v/>
      </c>
      <c r="G2078" s="22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/>
      </c>
      <c r="H2078" s="23" t="str">
        <f t="shared" ca="1" si="233"/>
        <v/>
      </c>
      <c r="I2078" s="24" t="str">
        <f>IF(OR(E2078="",E2078="!!!",F2078="NEW"),"",INDEX(B$2:B2077,-1+SUMPRODUCT(MAX(ROW(E$2:E2077)*(E2078=E$2:E2077)))))</f>
        <v/>
      </c>
      <c r="J2078" s="24" t="str">
        <f ca="1">IF(OR(E2078="",E2078="!!!",F2078="NEW"),"",COUNTBLANK(OFFSET(A$1,,,SUMPRODUCT(MAX(ROW(E$2:E2078)*(E2078=E$2:E2078)))))-COUNTBLANK(OFFSET(A$1,,,SUMPRODUCT(MAX(ROW(E$1:E2077)*(E2=E$1:E2077))))))</f>
        <v/>
      </c>
      <c r="K2078" s="24" t="str">
        <f>IF(OR(E2078="",E2078="!!!",F2078="NEW"),"",INDEX(J$1:J2077,SUMPRODUCT(MAX(ROW(E$1:E2077)*(E2078=E$1:E2077)))))</f>
        <v/>
      </c>
      <c r="L2078" s="25"/>
    </row>
    <row r="2079" spans="1:12" x14ac:dyDescent="0.3">
      <c r="A2079" t="s">
        <v>380</v>
      </c>
      <c r="E2079" s="20" t="str">
        <f t="shared" si="232"/>
        <v/>
      </c>
      <c r="F2079" s="21" t="str">
        <f>IF(OR(E2079="",E2079="!!!"),"",IF(NOT(ISNA(VLOOKUP(E2079,E$1:E2078,1,FALSE()))),"OLD",IF(AND(E2079&lt;&gt;"",E2079&lt;&gt;"!!!"),"NEW","")))</f>
        <v/>
      </c>
      <c r="G2079" s="22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/>
      </c>
      <c r="H2079" s="23" t="str">
        <f t="shared" ca="1" si="233"/>
        <v/>
      </c>
      <c r="I2079" s="24" t="str">
        <f>IF(OR(E2079="",E2079="!!!",F2079="NEW"),"",INDEX(B$2:B2078,-1+SUMPRODUCT(MAX(ROW(E$2:E2078)*(E2079=E$2:E2078)))))</f>
        <v/>
      </c>
      <c r="J2079" s="24" t="str">
        <f ca="1">IF(OR(E2079="",E2079="!!!",F2079="NEW"),"",COUNTBLANK(OFFSET(A$1,,,SUMPRODUCT(MAX(ROW(E$2:E2079)*(E2079=E$2:E2079)))))-COUNTBLANK(OFFSET(A$1,,,SUMPRODUCT(MAX(ROW(E$1:E2078)*(E2=E$1:E2078))))))</f>
        <v/>
      </c>
      <c r="K2079" s="24" t="str">
        <f>IF(OR(E2079="",E2079="!!!",F2079="NEW"),"",INDEX(J$1:J2078,SUMPRODUCT(MAX(ROW(E$1:E2078)*(E2079=E$1:E2078)))))</f>
        <v/>
      </c>
      <c r="L2079" s="25"/>
    </row>
    <row r="2080" spans="1:12" x14ac:dyDescent="0.3">
      <c r="A2080" t="s">
        <v>666</v>
      </c>
      <c r="B2080" s="26" t="s">
        <v>362</v>
      </c>
      <c r="C2080" s="26" t="s">
        <v>331</v>
      </c>
      <c r="D2080" s="26" t="s">
        <v>332</v>
      </c>
      <c r="E2080" s="20" t="str">
        <f t="shared" si="232"/>
        <v>!!!</v>
      </c>
      <c r="F2080" s="21" t="str">
        <f>IF(OR(E2080="",E2080="!!!"),"",IF(NOT(ISNA(VLOOKUP(E2080,E$1:E2079,1,FALSE()))),"OLD",IF(AND(E2080&lt;&gt;"",E2080&lt;&gt;"!!!"),"NEW","")))</f>
        <v/>
      </c>
      <c r="G2080" s="22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/>
      </c>
      <c r="H2080" s="23" t="str">
        <f t="shared" ca="1" si="233"/>
        <v/>
      </c>
      <c r="I2080" s="24" t="str">
        <f>IF(OR(E2080="",E2080="!!!",F2080="NEW"),"",INDEX(B$2:B2079,-1+SUMPRODUCT(MAX(ROW(E$2:E2079)*(E2080=E$2:E2079)))))</f>
        <v/>
      </c>
      <c r="J2080" s="24" t="str">
        <f ca="1">IF(OR(E2080="",E2080="!!!",F2080="NEW"),"",COUNTBLANK(OFFSET(A$1,,,SUMPRODUCT(MAX(ROW(E$2:E2080)*(E2080=E$2:E2080)))))-COUNTBLANK(OFFSET(A$1,,,SUMPRODUCT(MAX(ROW(E$1:E2079)*(E2=E$1:E2079))))))</f>
        <v/>
      </c>
      <c r="K2080" s="24" t="str">
        <f>IF(OR(E2080="",E2080="!!!",F2080="NEW"),"",INDEX(J$1:J2079,SUMPRODUCT(MAX(ROW(E$1:E2079)*(E2080=E$1:E2079)))))</f>
        <v/>
      </c>
      <c r="L2080" s="25"/>
    </row>
    <row r="2081" spans="1:12" x14ac:dyDescent="0.3">
      <c r="A2081" t="s">
        <v>351</v>
      </c>
      <c r="E2081" s="20" t="str">
        <f t="shared" si="232"/>
        <v/>
      </c>
      <c r="F2081" s="21" t="str">
        <f>IF(OR(E2081="",E2081="!!!"),"",IF(NOT(ISNA(VLOOKUP(E2081,E$1:E2080,1,FALSE()))),"OLD",IF(AND(E2081&lt;&gt;"",E2081&lt;&gt;"!!!"),"NEW","")))</f>
        <v/>
      </c>
      <c r="G2081" s="22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/>
      </c>
      <c r="H2081" s="23" t="str">
        <f t="shared" ca="1" si="233"/>
        <v/>
      </c>
      <c r="I2081" s="24" t="str">
        <f>IF(OR(E2081="",E2081="!!!",F2081="NEW"),"",INDEX(B$2:B2080,-1+SUMPRODUCT(MAX(ROW(E$2:E2080)*(E2081=E$2:E2080)))))</f>
        <v/>
      </c>
      <c r="J2081" s="24" t="str">
        <f ca="1">IF(OR(E2081="",E2081="!!!",F2081="NEW"),"",COUNTBLANK(OFFSET(A$1,,,SUMPRODUCT(MAX(ROW(E$2:E2081)*(E2081=E$2:E2081)))))-COUNTBLANK(OFFSET(A$1,,,SUMPRODUCT(MAX(ROW(E$1:E2080)*(E2=E$1:E2080))))))</f>
        <v/>
      </c>
      <c r="K2081" s="24" t="str">
        <f>IF(OR(E2081="",E2081="!!!",F2081="NEW"),"",INDEX(J$1:J2080,SUMPRODUCT(MAX(ROW(E$1:E2080)*(E2081=E$1:E2080)))))</f>
        <v/>
      </c>
      <c r="L2081" s="25"/>
    </row>
    <row r="2082" spans="1:12" x14ac:dyDescent="0.3">
      <c r="A2082" t="s">
        <v>398</v>
      </c>
      <c r="E2082" s="20" t="str">
        <f t="shared" si="232"/>
        <v/>
      </c>
      <c r="F2082" s="21" t="str">
        <f>IF(OR(E2082="",E2082="!!!"),"",IF(NOT(ISNA(VLOOKUP(E2082,E$1:E2081,1,FALSE()))),"OLD",IF(AND(E2082&lt;&gt;"",E2082&lt;&gt;"!!!"),"NEW","")))</f>
        <v/>
      </c>
      <c r="G2082" s="22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/>
      </c>
      <c r="H2082" s="23" t="str">
        <f t="shared" ca="1" si="233"/>
        <v/>
      </c>
      <c r="I2082" s="24" t="str">
        <f>IF(OR(E2082="",E2082="!!!",F2082="NEW"),"",INDEX(B$2:B2081,-1+SUMPRODUCT(MAX(ROW(E$2:E2081)*(E2082=E$2:E2081)))))</f>
        <v/>
      </c>
      <c r="J2082" s="24" t="str">
        <f ca="1">IF(OR(E2082="",E2082="!!!",F2082="NEW"),"",COUNTBLANK(OFFSET(A$1,,,SUMPRODUCT(MAX(ROW(E$2:E2082)*(E2082=E$2:E2082)))))-COUNTBLANK(OFFSET(A$1,,,SUMPRODUCT(MAX(ROW(E$1:E2081)*(E2=E$1:E2081))))))</f>
        <v/>
      </c>
      <c r="K2082" s="24" t="str">
        <f>IF(OR(E2082="",E2082="!!!",F2082="NEW"),"",INDEX(J$1:J2081,SUMPRODUCT(MAX(ROW(E$1:E2081)*(E2082=E$1:E2081)))))</f>
        <v/>
      </c>
      <c r="L2082" s="25"/>
    </row>
    <row r="2083" spans="1:12" x14ac:dyDescent="0.3">
      <c r="A2083" t="s">
        <v>1169</v>
      </c>
      <c r="E2083" s="20" t="str">
        <f t="shared" si="232"/>
        <v/>
      </c>
      <c r="F2083" s="21" t="str">
        <f>IF(OR(E2083="",E2083="!!!"),"",IF(NOT(ISNA(VLOOKUP(E2083,E$1:E2082,1,FALSE()))),"OLD",IF(AND(E2083&lt;&gt;"",E2083&lt;&gt;"!!!"),"NEW","")))</f>
        <v/>
      </c>
      <c r="G2083" s="22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/>
      </c>
      <c r="H2083" s="23" t="str">
        <f t="shared" ca="1" si="233"/>
        <v/>
      </c>
      <c r="I2083" s="24" t="str">
        <f>IF(OR(E2083="",E2083="!!!",F2083="NEW"),"",INDEX(B$2:B2082,-1+SUMPRODUCT(MAX(ROW(E$2:E2082)*(E2083=E$2:E2082)))))</f>
        <v/>
      </c>
      <c r="J2083" s="24" t="str">
        <f ca="1">IF(OR(E2083="",E2083="!!!",F2083="NEW"),"",COUNTBLANK(OFFSET(A$1,,,SUMPRODUCT(MAX(ROW(E$2:E2083)*(E2083=E$2:E2083)))))-COUNTBLANK(OFFSET(A$1,,,SUMPRODUCT(MAX(ROW(E$1:E2082)*(E2=E$1:E2082))))))</f>
        <v/>
      </c>
      <c r="K2083" s="24" t="str">
        <f>IF(OR(E2083="",E2083="!!!",F2083="NEW"),"",INDEX(J$1:J2082,SUMPRODUCT(MAX(ROW(E$1:E2082)*(E2083=E$1:E2082)))))</f>
        <v/>
      </c>
      <c r="L2083" s="25"/>
    </row>
    <row r="2084" spans="1:12" x14ac:dyDescent="0.3">
      <c r="A2084" t="s">
        <v>1170</v>
      </c>
      <c r="E2084" s="20" t="str">
        <f t="shared" si="232"/>
        <v/>
      </c>
      <c r="F2084" s="21" t="str">
        <f>IF(OR(E2084="",E2084="!!!"),"",IF(NOT(ISNA(VLOOKUP(E2084,E$1:E2083,1,FALSE()))),"OLD",IF(AND(E2084&lt;&gt;"",E2084&lt;&gt;"!!!"),"NEW","")))</f>
        <v/>
      </c>
      <c r="G2084" s="22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/>
      </c>
      <c r="H2084" s="23" t="str">
        <f t="shared" ca="1" si="233"/>
        <v/>
      </c>
      <c r="I2084" s="24" t="str">
        <f>IF(OR(E2084="",E2084="!!!",F2084="NEW"),"",INDEX(B$2:B2083,-1+SUMPRODUCT(MAX(ROW(E$2:E2083)*(E2084=E$2:E2083)))))</f>
        <v/>
      </c>
      <c r="J2084" s="24" t="str">
        <f ca="1">IF(OR(E2084="",E2084="!!!",F2084="NEW"),"",COUNTBLANK(OFFSET(A$1,,,SUMPRODUCT(MAX(ROW(E$2:E2084)*(E2084=E$2:E2084)))))-COUNTBLANK(OFFSET(A$1,,,SUMPRODUCT(MAX(ROW(E$1:E2083)*(E2=E$1:E2083))))))</f>
        <v/>
      </c>
      <c r="K2084" s="24" t="str">
        <f>IF(OR(E2084="",E2084="!!!",F2084="NEW"),"",INDEX(J$1:J2083,SUMPRODUCT(MAX(ROW(E$1:E2083)*(E2084=E$1:E2083)))))</f>
        <v/>
      </c>
      <c r="L2084" s="25"/>
    </row>
    <row r="2085" spans="1:12" x14ac:dyDescent="0.3">
      <c r="A2085" t="s">
        <v>1171</v>
      </c>
      <c r="B2085" s="26" t="s">
        <v>450</v>
      </c>
      <c r="C2085" s="26" t="s">
        <v>341</v>
      </c>
      <c r="D2085" s="26" t="s">
        <v>332</v>
      </c>
      <c r="E2085" s="20" t="str">
        <f t="shared" si="232"/>
        <v>!!!</v>
      </c>
      <c r="F2085" s="21" t="str">
        <f>IF(OR(E2085="",E2085="!!!"),"",IF(NOT(ISNA(VLOOKUP(E2085,E$1:E2084,1,FALSE()))),"OLD",IF(AND(E2085&lt;&gt;"",E2085&lt;&gt;"!!!"),"NEW","")))</f>
        <v/>
      </c>
      <c r="G2085" s="22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/>
      </c>
      <c r="H2085" s="23" t="str">
        <f t="shared" ca="1" si="233"/>
        <v/>
      </c>
      <c r="I2085" s="24" t="str">
        <f>IF(OR(E2085="",E2085="!!!",F2085="NEW"),"",INDEX(B$2:B2084,-1+SUMPRODUCT(MAX(ROW(E$2:E2084)*(E2085=E$2:E2084)))))</f>
        <v/>
      </c>
      <c r="J2085" s="24" t="str">
        <f ca="1">IF(OR(E2085="",E2085="!!!",F2085="NEW"),"",COUNTBLANK(OFFSET(A$1,,,SUMPRODUCT(MAX(ROW(E$2:E2085)*(E2085=E$2:E2085)))))-COUNTBLANK(OFFSET(A$1,,,SUMPRODUCT(MAX(ROW(E$1:E2084)*(E2=E$1:E2084))))))</f>
        <v/>
      </c>
      <c r="K2085" s="24" t="str">
        <f>IF(OR(E2085="",E2085="!!!",F2085="NEW"),"",INDEX(J$1:J2084,SUMPRODUCT(MAX(ROW(E$1:E2084)*(E2085=E$1:E2084)))))</f>
        <v/>
      </c>
      <c r="L2085" s="25"/>
    </row>
    <row r="2086" spans="1:12" x14ac:dyDescent="0.3">
      <c r="A2086" t="s">
        <v>419</v>
      </c>
      <c r="E2086" s="20" t="str">
        <f t="shared" si="232"/>
        <v/>
      </c>
      <c r="F2086" s="21" t="str">
        <f>IF(OR(E2086="",E2086="!!!"),"",IF(NOT(ISNA(VLOOKUP(E2086,E$1:E2085,1,FALSE()))),"OLD",IF(AND(E2086&lt;&gt;"",E2086&lt;&gt;"!!!"),"NEW","")))</f>
        <v/>
      </c>
      <c r="G2086" s="22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/>
      </c>
      <c r="H2086" s="23" t="str">
        <f t="shared" ca="1" si="233"/>
        <v/>
      </c>
      <c r="I2086" s="24" t="str">
        <f>IF(OR(E2086="",E2086="!!!",F2086="NEW"),"",INDEX(B$2:B2085,-1+SUMPRODUCT(MAX(ROW(E$2:E2085)*(E2086=E$2:E2085)))))</f>
        <v/>
      </c>
      <c r="J2086" s="24" t="str">
        <f ca="1">IF(OR(E2086="",E2086="!!!",F2086="NEW"),"",COUNTBLANK(OFFSET(A$1,,,SUMPRODUCT(MAX(ROW(E$2:E2086)*(E2086=E$2:E2086)))))-COUNTBLANK(OFFSET(A$1,,,SUMPRODUCT(MAX(ROW(E$1:E2085)*(E2=E$1:E2085))))))</f>
        <v/>
      </c>
      <c r="K2086" s="24" t="str">
        <f>IF(OR(E2086="",E2086="!!!",F2086="NEW"),"",INDEX(J$1:J2085,SUMPRODUCT(MAX(ROW(E$1:E2085)*(E2086=E$1:E2085)))))</f>
        <v/>
      </c>
      <c r="L2086" s="25"/>
    </row>
    <row r="2087" spans="1:12" x14ac:dyDescent="0.3">
      <c r="A2087" t="s">
        <v>1172</v>
      </c>
      <c r="B2087" s="26" t="s">
        <v>513</v>
      </c>
      <c r="C2087" s="26" t="s">
        <v>331</v>
      </c>
      <c r="D2087" s="26" t="s">
        <v>332</v>
      </c>
      <c r="E2087" s="20" t="str">
        <f t="shared" si="232"/>
        <v>!!!</v>
      </c>
      <c r="F2087" s="21" t="str">
        <f>IF(OR(E2087="",E2087="!!!"),"",IF(NOT(ISNA(VLOOKUP(E2087,E$1:E2086,1,FALSE()))),"OLD",IF(AND(E2087&lt;&gt;"",E2087&lt;&gt;"!!!"),"NEW","")))</f>
        <v/>
      </c>
      <c r="G2087" s="22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/>
      </c>
      <c r="H2087" s="23" t="str">
        <f t="shared" ca="1" si="233"/>
        <v/>
      </c>
      <c r="I2087" s="24" t="str">
        <f>IF(OR(E2087="",E2087="!!!",F2087="NEW"),"",INDEX(B$2:B2086,-1+SUMPRODUCT(MAX(ROW(E$2:E2086)*(E2087=E$2:E2086)))))</f>
        <v/>
      </c>
      <c r="J2087" s="24" t="str">
        <f ca="1">IF(OR(E2087="",E2087="!!!",F2087="NEW"),"",COUNTBLANK(OFFSET(A$1,,,SUMPRODUCT(MAX(ROW(E$2:E2087)*(E2087=E$2:E2087)))))-COUNTBLANK(OFFSET(A$1,,,SUMPRODUCT(MAX(ROW(E$1:E2086)*(E2=E$1:E2086))))))</f>
        <v/>
      </c>
      <c r="K2087" s="24" t="str">
        <f>IF(OR(E2087="",E2087="!!!",F2087="NEW"),"",INDEX(J$1:J2086,SUMPRODUCT(MAX(ROW(E$1:E2086)*(E2087=E$1:E2086)))))</f>
        <v/>
      </c>
      <c r="L2087" s="25"/>
    </row>
    <row r="2088" spans="1:12" x14ac:dyDescent="0.3">
      <c r="A2088" t="s">
        <v>1173</v>
      </c>
      <c r="E2088" s="20" t="str">
        <f t="shared" si="232"/>
        <v/>
      </c>
      <c r="F2088" s="21" t="str">
        <f>IF(OR(E2088="",E2088="!!!"),"",IF(NOT(ISNA(VLOOKUP(E2088,E$1:E2087,1,FALSE()))),"OLD",IF(AND(E2088&lt;&gt;"",E2088&lt;&gt;"!!!"),"NEW","")))</f>
        <v/>
      </c>
      <c r="G2088" s="22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/>
      </c>
      <c r="H2088" s="23" t="str">
        <f t="shared" ca="1" si="233"/>
        <v/>
      </c>
      <c r="I2088" s="24" t="str">
        <f>IF(OR(E2088="",E2088="!!!",F2088="NEW"),"",INDEX(B$2:B2087,-1+SUMPRODUCT(MAX(ROW(E$2:E2087)*(E2088=E$2:E2087)))))</f>
        <v/>
      </c>
      <c r="J2088" s="24" t="str">
        <f ca="1">IF(OR(E2088="",E2088="!!!",F2088="NEW"),"",COUNTBLANK(OFFSET(A$1,,,SUMPRODUCT(MAX(ROW(E$2:E2088)*(E2088=E$2:E2088)))))-COUNTBLANK(OFFSET(A$1,,,SUMPRODUCT(MAX(ROW(E$1:E2087)*(E2=E$1:E2087))))))</f>
        <v/>
      </c>
      <c r="K2088" s="24" t="str">
        <f>IF(OR(E2088="",E2088="!!!",F2088="NEW"),"",INDEX(J$1:J2087,SUMPRODUCT(MAX(ROW(E$1:E2087)*(E2088=E$1:E2087)))))</f>
        <v/>
      </c>
      <c r="L2088" s="25"/>
    </row>
    <row r="2089" spans="1:12" x14ac:dyDescent="0.3">
      <c r="A2089" t="s">
        <v>1174</v>
      </c>
      <c r="B2089" s="26" t="s">
        <v>460</v>
      </c>
      <c r="C2089" s="26" t="s">
        <v>663</v>
      </c>
      <c r="E2089" s="20" t="str">
        <f t="shared" si="232"/>
        <v/>
      </c>
      <c r="F2089" s="21" t="str">
        <f>IF(OR(E2089="",E2089="!!!"),"",IF(NOT(ISNA(VLOOKUP(E2089,E$1:E2088,1,FALSE()))),"OLD",IF(AND(E2089&lt;&gt;"",E2089&lt;&gt;"!!!"),"NEW","")))</f>
        <v/>
      </c>
      <c r="G2089" s="22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/>
      </c>
      <c r="H2089" s="23" t="str">
        <f t="shared" ca="1" si="233"/>
        <v/>
      </c>
      <c r="I2089" s="24" t="str">
        <f>IF(OR(E2089="",E2089="!!!",F2089="NEW"),"",INDEX(B$2:B2088,-1+SUMPRODUCT(MAX(ROW(E$2:E2088)*(E2089=E$2:E2088)))))</f>
        <v/>
      </c>
      <c r="J2089" s="24" t="str">
        <f ca="1">IF(OR(E2089="",E2089="!!!",F2089="NEW"),"",COUNTBLANK(OFFSET(A$1,,,SUMPRODUCT(MAX(ROW(E$2:E2089)*(E2089=E$2:E2089)))))-COUNTBLANK(OFFSET(A$1,,,SUMPRODUCT(MAX(ROW(E$1:E2088)*(E2=E$1:E2088))))))</f>
        <v/>
      </c>
      <c r="K2089" s="24" t="str">
        <f>IF(OR(E2089="",E2089="!!!",F2089="NEW"),"",INDEX(J$1:J2088,SUMPRODUCT(MAX(ROW(E$1:E2088)*(E2089=E$1:E2088)))))</f>
        <v/>
      </c>
      <c r="L2089" s="25"/>
    </row>
    <row r="2090" spans="1:12" x14ac:dyDescent="0.3">
      <c r="A2090" t="s">
        <v>1175</v>
      </c>
      <c r="E2090" s="20" t="str">
        <f t="shared" si="232"/>
        <v/>
      </c>
      <c r="F2090" s="21" t="str">
        <f>IF(OR(E2090="",E2090="!!!"),"",IF(NOT(ISNA(VLOOKUP(E2090,E$1:E2089,1,FALSE()))),"OLD",IF(AND(E2090&lt;&gt;"",E2090&lt;&gt;"!!!"),"NEW","")))</f>
        <v/>
      </c>
      <c r="G2090" s="22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/>
      </c>
      <c r="H2090" s="23" t="str">
        <f t="shared" ca="1" si="233"/>
        <v/>
      </c>
      <c r="I2090" s="24" t="str">
        <f>IF(OR(E2090="",E2090="!!!",F2090="NEW"),"",INDEX(B$2:B2089,-1+SUMPRODUCT(MAX(ROW(E$2:E2089)*(E2090=E$2:E2089)))))</f>
        <v/>
      </c>
      <c r="J2090" s="24" t="str">
        <f ca="1">IF(OR(E2090="",E2090="!!!",F2090="NEW"),"",COUNTBLANK(OFFSET(A$1,,,SUMPRODUCT(MAX(ROW(E$2:E2090)*(E2090=E$2:E2090)))))-COUNTBLANK(OFFSET(A$1,,,SUMPRODUCT(MAX(ROW(E$1:E2089)*(E2=E$1:E2089))))))</f>
        <v/>
      </c>
      <c r="K2090" s="24" t="str">
        <f>IF(OR(E2090="",E2090="!!!",F2090="NEW"),"",INDEX(J$1:J2089,SUMPRODUCT(MAX(ROW(E$1:E2089)*(E2090=E$1:E2089)))))</f>
        <v/>
      </c>
      <c r="L2090" s="25"/>
    </row>
    <row r="2091" spans="1:12" x14ac:dyDescent="0.3">
      <c r="A2091" t="s">
        <v>338</v>
      </c>
      <c r="E2091" s="20" t="str">
        <f t="shared" si="232"/>
        <v/>
      </c>
      <c r="F2091" s="21" t="str">
        <f>IF(OR(E2091="",E2091="!!!"),"",IF(NOT(ISNA(VLOOKUP(E2091,E$1:E2090,1,FALSE()))),"OLD",IF(AND(E2091&lt;&gt;"",E2091&lt;&gt;"!!!"),"NEW","")))</f>
        <v/>
      </c>
      <c r="G2091" s="22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/>
      </c>
      <c r="H2091" s="23" t="str">
        <f t="shared" ca="1" si="233"/>
        <v/>
      </c>
      <c r="I2091" s="24" t="str">
        <f>IF(OR(E2091="",E2091="!!!",F2091="NEW"),"",INDEX(B$2:B2090,-1+SUMPRODUCT(MAX(ROW(E$2:E2090)*(E2091=E$2:E2090)))))</f>
        <v/>
      </c>
      <c r="J2091" s="24" t="str">
        <f ca="1">IF(OR(E2091="",E2091="!!!",F2091="NEW"),"",COUNTBLANK(OFFSET(A$1,,,SUMPRODUCT(MAX(ROW(E$2:E2091)*(E2091=E$2:E2091)))))-COUNTBLANK(OFFSET(A$1,,,SUMPRODUCT(MAX(ROW(E$1:E2090)*(E2=E$1:E2090))))))</f>
        <v/>
      </c>
      <c r="K2091" s="24" t="str">
        <f>IF(OR(E2091="",E2091="!!!",F2091="NEW"),"",INDEX(J$1:J2090,SUMPRODUCT(MAX(ROW(E$1:E2090)*(E2091=E$1:E2090)))))</f>
        <v/>
      </c>
      <c r="L2091" s="25"/>
    </row>
    <row r="2092" spans="1:12" x14ac:dyDescent="0.3">
      <c r="A2092" t="s">
        <v>575</v>
      </c>
      <c r="E2092" s="20" t="str">
        <f t="shared" si="232"/>
        <v/>
      </c>
      <c r="F2092" s="21" t="str">
        <f>IF(OR(E2092="",E2092="!!!"),"",IF(NOT(ISNA(VLOOKUP(E2092,E$1:E2091,1,FALSE()))),"OLD",IF(AND(E2092&lt;&gt;"",E2092&lt;&gt;"!!!"),"NEW","")))</f>
        <v/>
      </c>
      <c r="G2092" s="22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/>
      </c>
      <c r="H2092" s="23" t="str">
        <f t="shared" ca="1" si="233"/>
        <v/>
      </c>
      <c r="I2092" s="24" t="str">
        <f>IF(OR(E2092="",E2092="!!!",F2092="NEW"),"",INDEX(B$2:B2091,-1+SUMPRODUCT(MAX(ROW(E$2:E2091)*(E2092=E$2:E2091)))))</f>
        <v/>
      </c>
      <c r="J2092" s="24" t="str">
        <f ca="1">IF(OR(E2092="",E2092="!!!",F2092="NEW"),"",COUNTBLANK(OFFSET(A$1,,,SUMPRODUCT(MAX(ROW(E$2:E2092)*(E2092=E$2:E2092)))))-COUNTBLANK(OFFSET(A$1,,,SUMPRODUCT(MAX(ROW(E$1:E2091)*(E2=E$1:E2091))))))</f>
        <v/>
      </c>
      <c r="K2092" s="24" t="str">
        <f>IF(OR(E2092="",E2092="!!!",F2092="NEW"),"",INDEX(J$1:J2091,SUMPRODUCT(MAX(ROW(E$1:E2091)*(E2092=E$1:E2091)))))</f>
        <v/>
      </c>
      <c r="L2092" s="25"/>
    </row>
    <row r="2094" spans="1:12" x14ac:dyDescent="0.3">
      <c r="A2094" t="s">
        <v>1176</v>
      </c>
    </row>
    <row r="2095" spans="1:12" x14ac:dyDescent="0.3">
      <c r="A2095" t="s">
        <v>1177</v>
      </c>
      <c r="E2095" s="20" t="str">
        <f>IF(D2095="?OLD","!!!","")</f>
        <v/>
      </c>
      <c r="F2095" s="21" t="str">
        <f>IF(OR(E2095="",E2095="!!!"),"",IF(NOT(ISNA(VLOOKUP(E2095,E$1:E2094,1,FALSE()))),"OLD",IF(AND(E2095&lt;&gt;"",E2095&lt;&gt;"!!!"),"NEW","")))</f>
        <v/>
      </c>
      <c r="G2095" s="22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/>
      </c>
      <c r="H2095" s="23" t="str">
        <f ca="1">IF(J2095&lt;&gt;1,"",IF(I2095="SBJ","CB","?"))</f>
        <v/>
      </c>
      <c r="I2095" s="24" t="str">
        <f>IF(OR(E2095="",E2095="!!!",F2095="NEW"),"",INDEX(B$2:B2094,-1+SUMPRODUCT(MAX(ROW(E$2:E2094)*(E2095=E$2:E2094)))))</f>
        <v/>
      </c>
      <c r="J2095" s="24" t="str">
        <f ca="1">IF(OR(E2095="",E2095="!!!",F2095="NEW"),"",COUNTBLANK(OFFSET(A$1,,,SUMPRODUCT(MAX(ROW(E$2:E2095)*(E2095=E$2:E2095)))))-COUNTBLANK(OFFSET(A$1,,,SUMPRODUCT(MAX(ROW(E$1:E2094)*(E2=E$1:E2094))))))</f>
        <v/>
      </c>
      <c r="K2095" s="24" t="str">
        <f>IF(OR(E2095="",E2095="!!!",F2095="NEW"),"",INDEX(J$1:J2094,SUMPRODUCT(MAX(ROW(E$1:E2094)*(E2095=E$1:E2094)))))</f>
        <v/>
      </c>
      <c r="L2095" s="25"/>
    </row>
    <row r="2096" spans="1:12" x14ac:dyDescent="0.3">
      <c r="A2096" t="s">
        <v>1178</v>
      </c>
      <c r="B2096" s="26" t="s">
        <v>337</v>
      </c>
      <c r="C2096" s="26" t="s">
        <v>366</v>
      </c>
      <c r="E2096" s="20" t="str">
        <f>IF(D2096="?OLD","!!!","")</f>
        <v/>
      </c>
      <c r="F2096" s="21" t="str">
        <f>IF(OR(E2096="",E2096="!!!"),"",IF(NOT(ISNA(VLOOKUP(E2096,E$1:E2095,1,FALSE()))),"OLD",IF(AND(E2096&lt;&gt;"",E2096&lt;&gt;"!!!"),"NEW","")))</f>
        <v/>
      </c>
      <c r="G2096" s="22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/>
      </c>
      <c r="H2096" s="23" t="str">
        <f ca="1">IF(J2096&lt;&gt;1,"",IF(I2096="SBJ","CB","?"))</f>
        <v/>
      </c>
      <c r="I2096" s="24" t="str">
        <f>IF(OR(E2096="",E2096="!!!",F2096="NEW"),"",INDEX(B$2:B2095,-1+SUMPRODUCT(MAX(ROW(E$2:E2095)*(E2096=E$2:E2095)))))</f>
        <v/>
      </c>
      <c r="J2096" s="24" t="str">
        <f ca="1">IF(OR(E2096="",E2096="!!!",F2096="NEW"),"",COUNTBLANK(OFFSET(A$1,,,SUMPRODUCT(MAX(ROW(E$2:E2096)*(E2096=E$2:E2096)))))-COUNTBLANK(OFFSET(A$1,,,SUMPRODUCT(MAX(ROW(E$1:E2095)*(E2=E$1:E2095))))))</f>
        <v/>
      </c>
      <c r="K2096" s="24" t="str">
        <f>IF(OR(E2096="",E2096="!!!",F2096="NEW"),"",INDEX(J$1:J2095,SUMPRODUCT(MAX(ROW(E$1:E2095)*(E2096=E$1:E2095)))))</f>
        <v/>
      </c>
      <c r="L2096" s="25"/>
    </row>
    <row r="2097" spans="1:12" x14ac:dyDescent="0.3">
      <c r="A2097" t="s">
        <v>338</v>
      </c>
      <c r="E2097" s="20" t="str">
        <f>IF(D2097="?OLD","!!!","")</f>
        <v/>
      </c>
      <c r="F2097" s="21" t="str">
        <f>IF(OR(E2097="",E2097="!!!"),"",IF(NOT(ISNA(VLOOKUP(E2097,E$1:E2096,1,FALSE()))),"OLD",IF(AND(E2097&lt;&gt;"",E2097&lt;&gt;"!!!"),"NEW","")))</f>
        <v/>
      </c>
      <c r="G2097" s="22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/>
      </c>
      <c r="H2097" s="23" t="str">
        <f ca="1">IF(J2097&lt;&gt;1,"",IF(I2097="SBJ","CB","?"))</f>
        <v/>
      </c>
      <c r="I2097" s="24" t="str">
        <f>IF(OR(E2097="",E2097="!!!",F2097="NEW"),"",INDEX(B$2:B2096,-1+SUMPRODUCT(MAX(ROW(E$2:E2096)*(E2097=E$2:E2096)))))</f>
        <v/>
      </c>
      <c r="J2097" s="24" t="str">
        <f ca="1">IF(OR(E2097="",E2097="!!!",F2097="NEW"),"",COUNTBLANK(OFFSET(A$1,,,SUMPRODUCT(MAX(ROW(E$2:E2097)*(E2097=E$2:E2097)))))-COUNTBLANK(OFFSET(A$1,,,SUMPRODUCT(MAX(ROW(E$1:E2096)*(E2=E$1:E2096))))))</f>
        <v/>
      </c>
      <c r="K2097" s="24" t="str">
        <f>IF(OR(E2097="",E2097="!!!",F2097="NEW"),"",INDEX(J$1:J2096,SUMPRODUCT(MAX(ROW(E$1:E2096)*(E2097=E$1:E2096)))))</f>
        <v/>
      </c>
      <c r="L2097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2025-07-15T17:44:51Z</dcterms:created>
  <dcterms:modified xsi:type="dcterms:W3CDTF">2025-08-21T12:19:41Z</dcterms:modified>
</cp:coreProperties>
</file>