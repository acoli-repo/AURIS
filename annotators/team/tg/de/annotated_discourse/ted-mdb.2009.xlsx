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annotated_discourse\"/>
    </mc:Choice>
  </mc:AlternateContent>
  <xr:revisionPtr revIDLastSave="0" documentId="13_ncr:1_{A3ADDC58-1D4F-4D8A-A963-722842F2F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840" i="2" l="1"/>
  <c r="E839" i="2"/>
  <c r="E836" i="2"/>
  <c r="E835" i="2"/>
  <c r="G835" i="2" s="1"/>
  <c r="E834" i="2"/>
  <c r="G834" i="2" s="1"/>
  <c r="J833" i="2"/>
  <c r="H833" i="2" s="1"/>
  <c r="E833" i="2"/>
  <c r="F833" i="2" s="1"/>
  <c r="K833" i="2" s="1"/>
  <c r="E832" i="2"/>
  <c r="G832" i="2" s="1"/>
  <c r="E831" i="2"/>
  <c r="G831" i="2" s="1"/>
  <c r="K830" i="2"/>
  <c r="J830" i="2"/>
  <c r="H830" i="2" s="1"/>
  <c r="I830" i="2"/>
  <c r="G830" i="2"/>
  <c r="F830" i="2"/>
  <c r="E830" i="2"/>
  <c r="E829" i="2"/>
  <c r="J828" i="2"/>
  <c r="H828" i="2" s="1"/>
  <c r="F828" i="2"/>
  <c r="E828" i="2"/>
  <c r="K827" i="2"/>
  <c r="I827" i="2"/>
  <c r="F827" i="2"/>
  <c r="E827" i="2"/>
  <c r="G826" i="2"/>
  <c r="F826" i="2"/>
  <c r="E826" i="2"/>
  <c r="E825" i="2"/>
  <c r="K824" i="2"/>
  <c r="F824" i="2"/>
  <c r="E824" i="2"/>
  <c r="G824" i="2" s="1"/>
  <c r="K823" i="2"/>
  <c r="J823" i="2"/>
  <c r="H823" i="2" s="1"/>
  <c r="I823" i="2"/>
  <c r="G823" i="2"/>
  <c r="E823" i="2"/>
  <c r="F823" i="2" s="1"/>
  <c r="K822" i="2"/>
  <c r="J822" i="2"/>
  <c r="H822" i="2" s="1"/>
  <c r="I822" i="2"/>
  <c r="G822" i="2"/>
  <c r="F822" i="2"/>
  <c r="E822" i="2"/>
  <c r="G821" i="2"/>
  <c r="F821" i="2"/>
  <c r="E821" i="2"/>
  <c r="E820" i="2"/>
  <c r="K819" i="2"/>
  <c r="F819" i="2"/>
  <c r="E819" i="2"/>
  <c r="K818" i="2"/>
  <c r="J818" i="2"/>
  <c r="H818" i="2" s="1"/>
  <c r="G818" i="2"/>
  <c r="F818" i="2"/>
  <c r="E818" i="2"/>
  <c r="G817" i="2"/>
  <c r="F817" i="2"/>
  <c r="E817" i="2"/>
  <c r="E816" i="2"/>
  <c r="K815" i="2"/>
  <c r="G815" i="2"/>
  <c r="E815" i="2"/>
  <c r="F815" i="2" s="1"/>
  <c r="K814" i="2"/>
  <c r="J814" i="2"/>
  <c r="H814" i="2" s="1"/>
  <c r="I814" i="2"/>
  <c r="G814" i="2"/>
  <c r="F814" i="2"/>
  <c r="E814" i="2"/>
  <c r="K813" i="2"/>
  <c r="J813" i="2"/>
  <c r="H813" i="2" s="1"/>
  <c r="I813" i="2"/>
  <c r="G813" i="2"/>
  <c r="F813" i="2"/>
  <c r="E813" i="2"/>
  <c r="G812" i="2"/>
  <c r="F812" i="2"/>
  <c r="E812" i="2"/>
  <c r="E811" i="2"/>
  <c r="K810" i="2"/>
  <c r="F810" i="2"/>
  <c r="E810" i="2"/>
  <c r="K809" i="2"/>
  <c r="J809" i="2"/>
  <c r="H809" i="2" s="1"/>
  <c r="I809" i="2"/>
  <c r="G809" i="2"/>
  <c r="F809" i="2"/>
  <c r="E809" i="2"/>
  <c r="F808" i="2"/>
  <c r="E808" i="2"/>
  <c r="G808" i="2" s="1"/>
  <c r="E807" i="2"/>
  <c r="K806" i="2"/>
  <c r="G806" i="2"/>
  <c r="F806" i="2"/>
  <c r="J806" i="2" s="1"/>
  <c r="H806" i="2" s="1"/>
  <c r="E806" i="2"/>
  <c r="K805" i="2"/>
  <c r="J805" i="2"/>
  <c r="H805" i="2" s="1"/>
  <c r="F805" i="2"/>
  <c r="E805" i="2"/>
  <c r="I805" i="2" s="1"/>
  <c r="J804" i="2"/>
  <c r="H804" i="2" s="1"/>
  <c r="I804" i="2"/>
  <c r="G804" i="2"/>
  <c r="F804" i="2"/>
  <c r="E804" i="2"/>
  <c r="G803" i="2"/>
  <c r="F803" i="2"/>
  <c r="E803" i="2"/>
  <c r="E802" i="2"/>
  <c r="K801" i="2"/>
  <c r="F801" i="2"/>
  <c r="E801" i="2"/>
  <c r="J801" i="2" s="1"/>
  <c r="H801" i="2" s="1"/>
  <c r="K800" i="2"/>
  <c r="J800" i="2"/>
  <c r="H800" i="2" s="1"/>
  <c r="I800" i="2"/>
  <c r="F800" i="2"/>
  <c r="E800" i="2"/>
  <c r="G800" i="2" s="1"/>
  <c r="K799" i="2"/>
  <c r="J799" i="2"/>
  <c r="H799" i="2" s="1"/>
  <c r="I799" i="2"/>
  <c r="G799" i="2"/>
  <c r="E799" i="2"/>
  <c r="F799" i="2" s="1"/>
  <c r="G798" i="2"/>
  <c r="F798" i="2"/>
  <c r="E798" i="2"/>
  <c r="E797" i="2"/>
  <c r="J796" i="2"/>
  <c r="H796" i="2" s="1"/>
  <c r="F796" i="2"/>
  <c r="E796" i="2"/>
  <c r="K795" i="2"/>
  <c r="I795" i="2"/>
  <c r="G795" i="2"/>
  <c r="F795" i="2"/>
  <c r="E795" i="2"/>
  <c r="G794" i="2"/>
  <c r="F794" i="2"/>
  <c r="E794" i="2"/>
  <c r="E793" i="2"/>
  <c r="E792" i="2"/>
  <c r="G792" i="2" s="1"/>
  <c r="K791" i="2"/>
  <c r="J791" i="2"/>
  <c r="H791" i="2" s="1"/>
  <c r="I791" i="2"/>
  <c r="G791" i="2"/>
  <c r="E791" i="2"/>
  <c r="F791" i="2" s="1"/>
  <c r="K790" i="2"/>
  <c r="J790" i="2"/>
  <c r="H790" i="2" s="1"/>
  <c r="I790" i="2"/>
  <c r="G790" i="2"/>
  <c r="F790" i="2"/>
  <c r="E790" i="2"/>
  <c r="G789" i="2"/>
  <c r="F789" i="2"/>
  <c r="E789" i="2"/>
  <c r="K789" i="2" s="1"/>
  <c r="E788" i="2"/>
  <c r="E787" i="2"/>
  <c r="K786" i="2"/>
  <c r="J786" i="2"/>
  <c r="H786" i="2" s="1"/>
  <c r="G786" i="2"/>
  <c r="F786" i="2"/>
  <c r="E786" i="2"/>
  <c r="G785" i="2"/>
  <c r="F785" i="2"/>
  <c r="E785" i="2"/>
  <c r="E784" i="2"/>
  <c r="K783" i="2"/>
  <c r="E783" i="2"/>
  <c r="F783" i="2" s="1"/>
  <c r="J782" i="2"/>
  <c r="H782" i="2" s="1"/>
  <c r="I782" i="2"/>
  <c r="G782" i="2"/>
  <c r="F782" i="2"/>
  <c r="K782" i="2" s="1"/>
  <c r="E782" i="2"/>
  <c r="E781" i="2"/>
  <c r="G781" i="2" s="1"/>
  <c r="G780" i="2"/>
  <c r="F780" i="2"/>
  <c r="E780" i="2"/>
  <c r="E779" i="2"/>
  <c r="E778" i="2"/>
  <c r="E777" i="2"/>
  <c r="G777" i="2" s="1"/>
  <c r="F776" i="2"/>
  <c r="E776" i="2"/>
  <c r="G776" i="2" s="1"/>
  <c r="E775" i="2"/>
  <c r="K774" i="2"/>
  <c r="G774" i="2"/>
  <c r="F774" i="2"/>
  <c r="J774" i="2" s="1"/>
  <c r="H774" i="2" s="1"/>
  <c r="E774" i="2"/>
  <c r="E773" i="2"/>
  <c r="E771" i="2"/>
  <c r="G769" i="2"/>
  <c r="F769" i="2"/>
  <c r="E769" i="2"/>
  <c r="E768" i="2"/>
  <c r="E767" i="2"/>
  <c r="E766" i="2"/>
  <c r="G766" i="2" s="1"/>
  <c r="K765" i="2"/>
  <c r="J765" i="2"/>
  <c r="H765" i="2" s="1"/>
  <c r="G765" i="2"/>
  <c r="E765" i="2"/>
  <c r="F765" i="2" s="1"/>
  <c r="G764" i="2"/>
  <c r="F764" i="2"/>
  <c r="E764" i="2"/>
  <c r="E763" i="2"/>
  <c r="E762" i="2"/>
  <c r="E761" i="2"/>
  <c r="G760" i="2"/>
  <c r="F760" i="2"/>
  <c r="E760" i="2"/>
  <c r="E759" i="2"/>
  <c r="E758" i="2"/>
  <c r="G758" i="2" s="1"/>
  <c r="J757" i="2"/>
  <c r="H757" i="2" s="1"/>
  <c r="I757" i="2"/>
  <c r="E757" i="2"/>
  <c r="F757" i="2" s="1"/>
  <c r="K756" i="2"/>
  <c r="J756" i="2"/>
  <c r="H756" i="2" s="1"/>
  <c r="G756" i="2"/>
  <c r="F756" i="2"/>
  <c r="I756" i="2" s="1"/>
  <c r="E756" i="2"/>
  <c r="G755" i="2"/>
  <c r="F755" i="2"/>
  <c r="E755" i="2"/>
  <c r="E754" i="2"/>
  <c r="E753" i="2"/>
  <c r="E752" i="2"/>
  <c r="G751" i="2"/>
  <c r="F751" i="2"/>
  <c r="E751" i="2"/>
  <c r="E750" i="2"/>
  <c r="K749" i="2"/>
  <c r="E749" i="2"/>
  <c r="F749" i="2" s="1"/>
  <c r="J748" i="2"/>
  <c r="H748" i="2" s="1"/>
  <c r="I748" i="2"/>
  <c r="G748" i="2"/>
  <c r="F748" i="2"/>
  <c r="K748" i="2" s="1"/>
  <c r="E748" i="2"/>
  <c r="E747" i="2"/>
  <c r="G747" i="2" s="1"/>
  <c r="G746" i="2"/>
  <c r="F746" i="2"/>
  <c r="E746" i="2"/>
  <c r="E743" i="2"/>
  <c r="E742" i="2"/>
  <c r="E741" i="2"/>
  <c r="G741" i="2" s="1"/>
  <c r="J740" i="2"/>
  <c r="H740" i="2" s="1"/>
  <c r="F740" i="2"/>
  <c r="K740" i="2" s="1"/>
  <c r="E740" i="2"/>
  <c r="G740" i="2" s="1"/>
  <c r="E739" i="2"/>
  <c r="G738" i="2"/>
  <c r="F738" i="2"/>
  <c r="E738" i="2"/>
  <c r="E737" i="2"/>
  <c r="E736" i="2"/>
  <c r="I735" i="2"/>
  <c r="G735" i="2"/>
  <c r="F735" i="2"/>
  <c r="K735" i="2" s="1"/>
  <c r="E735" i="2"/>
  <c r="G734" i="2"/>
  <c r="E734" i="2"/>
  <c r="E733" i="2"/>
  <c r="E732" i="2"/>
  <c r="G732" i="2" s="1"/>
  <c r="K731" i="2"/>
  <c r="J731" i="2"/>
  <c r="H731" i="2" s="1"/>
  <c r="G731" i="2"/>
  <c r="E731" i="2"/>
  <c r="F731" i="2" s="1"/>
  <c r="G730" i="2"/>
  <c r="F730" i="2"/>
  <c r="E730" i="2"/>
  <c r="G729" i="2"/>
  <c r="E729" i="2"/>
  <c r="E728" i="2"/>
  <c r="E727" i="2"/>
  <c r="G726" i="2"/>
  <c r="F726" i="2"/>
  <c r="K726" i="2" s="1"/>
  <c r="E726" i="2"/>
  <c r="G725" i="2"/>
  <c r="E725" i="2"/>
  <c r="E724" i="2"/>
  <c r="J723" i="2"/>
  <c r="H723" i="2" s="1"/>
  <c r="I723" i="2"/>
  <c r="E723" i="2"/>
  <c r="F723" i="2" s="1"/>
  <c r="J722" i="2"/>
  <c r="H722" i="2" s="1"/>
  <c r="G722" i="2"/>
  <c r="F722" i="2"/>
  <c r="K722" i="2" s="1"/>
  <c r="E722" i="2"/>
  <c r="I721" i="2"/>
  <c r="G721" i="2"/>
  <c r="F721" i="2"/>
  <c r="K721" i="2" s="1"/>
  <c r="E721" i="2"/>
  <c r="J721" i="2" s="1"/>
  <c r="H721" i="2" s="1"/>
  <c r="G720" i="2"/>
  <c r="E720" i="2"/>
  <c r="G719" i="2"/>
  <c r="F719" i="2"/>
  <c r="K719" i="2" s="1"/>
  <c r="E719" i="2"/>
  <c r="K718" i="2"/>
  <c r="J718" i="2"/>
  <c r="H718" i="2" s="1"/>
  <c r="G718" i="2"/>
  <c r="F718" i="2"/>
  <c r="E718" i="2"/>
  <c r="I718" i="2" s="1"/>
  <c r="J717" i="2"/>
  <c r="H717" i="2" s="1"/>
  <c r="I717" i="2"/>
  <c r="F717" i="2"/>
  <c r="E717" i="2"/>
  <c r="G716" i="2"/>
  <c r="E716" i="2"/>
  <c r="K715" i="2"/>
  <c r="J715" i="2"/>
  <c r="H715" i="2" s="1"/>
  <c r="G715" i="2"/>
  <c r="F715" i="2"/>
  <c r="I715" i="2" s="1"/>
  <c r="E715" i="2"/>
  <c r="E714" i="2"/>
  <c r="E713" i="2"/>
  <c r="G712" i="2"/>
  <c r="E712" i="2"/>
  <c r="K711" i="2"/>
  <c r="J711" i="2"/>
  <c r="H711" i="2" s="1"/>
  <c r="G711" i="2"/>
  <c r="F711" i="2"/>
  <c r="E711" i="2"/>
  <c r="I711" i="2" s="1"/>
  <c r="I710" i="2"/>
  <c r="G710" i="2"/>
  <c r="F710" i="2"/>
  <c r="E710" i="2"/>
  <c r="K710" i="2" s="1"/>
  <c r="E709" i="2"/>
  <c r="E706" i="2"/>
  <c r="G705" i="2"/>
  <c r="F705" i="2"/>
  <c r="E705" i="2"/>
  <c r="F704" i="2"/>
  <c r="E704" i="2"/>
  <c r="F703" i="2"/>
  <c r="I703" i="2" s="1"/>
  <c r="E703" i="2"/>
  <c r="G702" i="2"/>
  <c r="E702" i="2"/>
  <c r="G701" i="2"/>
  <c r="F701" i="2"/>
  <c r="E701" i="2"/>
  <c r="K700" i="2"/>
  <c r="J700" i="2"/>
  <c r="H700" i="2" s="1"/>
  <c r="G700" i="2"/>
  <c r="F700" i="2"/>
  <c r="E700" i="2"/>
  <c r="I700" i="2" s="1"/>
  <c r="J699" i="2"/>
  <c r="H699" i="2" s="1"/>
  <c r="I699" i="2"/>
  <c r="F699" i="2"/>
  <c r="E699" i="2"/>
  <c r="G698" i="2"/>
  <c r="E698" i="2"/>
  <c r="K697" i="2"/>
  <c r="J697" i="2"/>
  <c r="H697" i="2" s="1"/>
  <c r="G697" i="2"/>
  <c r="F697" i="2"/>
  <c r="I697" i="2" s="1"/>
  <c r="E697" i="2"/>
  <c r="F696" i="2"/>
  <c r="E696" i="2"/>
  <c r="G696" i="2" s="1"/>
  <c r="G695" i="2"/>
  <c r="F695" i="2"/>
  <c r="E695" i="2"/>
  <c r="E694" i="2"/>
  <c r="E693" i="2"/>
  <c r="E692" i="2"/>
  <c r="E691" i="2"/>
  <c r="K690" i="2"/>
  <c r="J690" i="2"/>
  <c r="H690" i="2" s="1"/>
  <c r="I690" i="2"/>
  <c r="G690" i="2"/>
  <c r="F690" i="2"/>
  <c r="E690" i="2"/>
  <c r="K689" i="2"/>
  <c r="J689" i="2"/>
  <c r="H689" i="2" s="1"/>
  <c r="I689" i="2"/>
  <c r="F689" i="2"/>
  <c r="E689" i="2"/>
  <c r="G689" i="2" s="1"/>
  <c r="G688" i="2"/>
  <c r="E688" i="2"/>
  <c r="G687" i="2"/>
  <c r="F687" i="2"/>
  <c r="E687" i="2"/>
  <c r="G686" i="2"/>
  <c r="E686" i="2"/>
  <c r="F685" i="2"/>
  <c r="E685" i="2"/>
  <c r="E684" i="2"/>
  <c r="E683" i="2"/>
  <c r="K682" i="2"/>
  <c r="J682" i="2"/>
  <c r="H682" i="2" s="1"/>
  <c r="I682" i="2"/>
  <c r="G682" i="2"/>
  <c r="F682" i="2"/>
  <c r="E682" i="2"/>
  <c r="E681" i="2"/>
  <c r="G681" i="2" s="1"/>
  <c r="E680" i="2"/>
  <c r="K679" i="2"/>
  <c r="G679" i="2"/>
  <c r="F679" i="2"/>
  <c r="J679" i="2" s="1"/>
  <c r="H679" i="2" s="1"/>
  <c r="E679" i="2"/>
  <c r="E678" i="2"/>
  <c r="F677" i="2"/>
  <c r="I677" i="2" s="1"/>
  <c r="E677" i="2"/>
  <c r="E676" i="2"/>
  <c r="E675" i="2"/>
  <c r="G673" i="2"/>
  <c r="F673" i="2"/>
  <c r="E673" i="2"/>
  <c r="F671" i="2"/>
  <c r="E671" i="2"/>
  <c r="G671" i="2" s="1"/>
  <c r="K670" i="2"/>
  <c r="J670" i="2"/>
  <c r="H670" i="2" s="1"/>
  <c r="E670" i="2"/>
  <c r="F670" i="2" s="1"/>
  <c r="K669" i="2"/>
  <c r="J669" i="2"/>
  <c r="H669" i="2" s="1"/>
  <c r="I669" i="2"/>
  <c r="G669" i="2"/>
  <c r="F669" i="2"/>
  <c r="E669" i="2"/>
  <c r="J668" i="2"/>
  <c r="H668" i="2" s="1"/>
  <c r="G668" i="2"/>
  <c r="E668" i="2"/>
  <c r="F668" i="2" s="1"/>
  <c r="K668" i="2" s="1"/>
  <c r="E667" i="2"/>
  <c r="E666" i="2"/>
  <c r="E665" i="2"/>
  <c r="J664" i="2"/>
  <c r="H664" i="2" s="1"/>
  <c r="I664" i="2"/>
  <c r="G664" i="2"/>
  <c r="E664" i="2"/>
  <c r="F664" i="2" s="1"/>
  <c r="K664" i="2" s="1"/>
  <c r="E663" i="2"/>
  <c r="G662" i="2"/>
  <c r="E662" i="2"/>
  <c r="K661" i="2"/>
  <c r="J661" i="2"/>
  <c r="H661" i="2" s="1"/>
  <c r="G661" i="2"/>
  <c r="F661" i="2"/>
  <c r="I661" i="2" s="1"/>
  <c r="E661" i="2"/>
  <c r="E660" i="2"/>
  <c r="G660" i="2" s="1"/>
  <c r="G659" i="2"/>
  <c r="E659" i="2"/>
  <c r="E658" i="2"/>
  <c r="E657" i="2"/>
  <c r="E656" i="2"/>
  <c r="E655" i="2"/>
  <c r="G655" i="2" s="1"/>
  <c r="G654" i="2"/>
  <c r="E654" i="2"/>
  <c r="G653" i="2"/>
  <c r="F653" i="2"/>
  <c r="E653" i="2"/>
  <c r="E652" i="2"/>
  <c r="G651" i="2"/>
  <c r="E651" i="2"/>
  <c r="G650" i="2"/>
  <c r="E650" i="2"/>
  <c r="G649" i="2"/>
  <c r="F649" i="2"/>
  <c r="E649" i="2"/>
  <c r="F648" i="2"/>
  <c r="E648" i="2"/>
  <c r="E647" i="2"/>
  <c r="G647" i="2" s="1"/>
  <c r="K646" i="2"/>
  <c r="J646" i="2"/>
  <c r="H646" i="2" s="1"/>
  <c r="I646" i="2"/>
  <c r="E646" i="2"/>
  <c r="F646" i="2" s="1"/>
  <c r="I645" i="2"/>
  <c r="G645" i="2"/>
  <c r="F645" i="2"/>
  <c r="E645" i="2"/>
  <c r="E644" i="2"/>
  <c r="E643" i="2"/>
  <c r="G642" i="2"/>
  <c r="E642" i="2"/>
  <c r="G641" i="2"/>
  <c r="E641" i="2"/>
  <c r="I640" i="2"/>
  <c r="G640" i="2"/>
  <c r="F640" i="2"/>
  <c r="E640" i="2"/>
  <c r="F639" i="2"/>
  <c r="E639" i="2"/>
  <c r="K638" i="2"/>
  <c r="J638" i="2"/>
  <c r="H638" i="2" s="1"/>
  <c r="E638" i="2"/>
  <c r="F638" i="2" s="1"/>
  <c r="K637" i="2"/>
  <c r="J637" i="2"/>
  <c r="H637" i="2" s="1"/>
  <c r="I637" i="2"/>
  <c r="G637" i="2"/>
  <c r="F637" i="2"/>
  <c r="E637" i="2"/>
  <c r="J636" i="2"/>
  <c r="H636" i="2" s="1"/>
  <c r="G636" i="2"/>
  <c r="E636" i="2"/>
  <c r="F636" i="2" s="1"/>
  <c r="I636" i="2" s="1"/>
  <c r="G635" i="2"/>
  <c r="E635" i="2"/>
  <c r="E634" i="2"/>
  <c r="G633" i="2"/>
  <c r="E633" i="2"/>
  <c r="K630" i="2"/>
  <c r="J630" i="2"/>
  <c r="H630" i="2" s="1"/>
  <c r="G630" i="2"/>
  <c r="E630" i="2"/>
  <c r="F630" i="2" s="1"/>
  <c r="I630" i="2" s="1"/>
  <c r="F629" i="2"/>
  <c r="I629" i="2" s="1"/>
  <c r="E629" i="2"/>
  <c r="G628" i="2"/>
  <c r="E628" i="2"/>
  <c r="K627" i="2"/>
  <c r="J627" i="2"/>
  <c r="H627" i="2" s="1"/>
  <c r="G627" i="2"/>
  <c r="F627" i="2"/>
  <c r="I627" i="2" s="1"/>
  <c r="E627" i="2"/>
  <c r="K626" i="2"/>
  <c r="J626" i="2"/>
  <c r="H626" i="2" s="1"/>
  <c r="G626" i="2"/>
  <c r="E626" i="2"/>
  <c r="F626" i="2" s="1"/>
  <c r="I626" i="2" s="1"/>
  <c r="G625" i="2"/>
  <c r="E625" i="2"/>
  <c r="E624" i="2"/>
  <c r="E623" i="2"/>
  <c r="G622" i="2"/>
  <c r="E622" i="2"/>
  <c r="E621" i="2"/>
  <c r="G620" i="2"/>
  <c r="E620" i="2"/>
  <c r="G619" i="2"/>
  <c r="F619" i="2"/>
  <c r="E619" i="2"/>
  <c r="K618" i="2"/>
  <c r="F618" i="2"/>
  <c r="E618" i="2"/>
  <c r="G617" i="2"/>
  <c r="E617" i="2"/>
  <c r="E616" i="2"/>
  <c r="E615" i="2"/>
  <c r="F614" i="2"/>
  <c r="E614" i="2"/>
  <c r="E613" i="2"/>
  <c r="G613" i="2" s="1"/>
  <c r="E612" i="2"/>
  <c r="J611" i="2"/>
  <c r="H611" i="2" s="1"/>
  <c r="I611" i="2"/>
  <c r="G611" i="2"/>
  <c r="F611" i="2"/>
  <c r="K611" i="2" s="1"/>
  <c r="E611" i="2"/>
  <c r="E610" i="2"/>
  <c r="E609" i="2"/>
  <c r="G608" i="2"/>
  <c r="E608" i="2"/>
  <c r="F607" i="2"/>
  <c r="J607" i="2" s="1"/>
  <c r="H607" i="2" s="1"/>
  <c r="E607" i="2"/>
  <c r="E606" i="2"/>
  <c r="K605" i="2"/>
  <c r="J605" i="2"/>
  <c r="H605" i="2" s="1"/>
  <c r="I605" i="2"/>
  <c r="F605" i="2"/>
  <c r="E605" i="2"/>
  <c r="G605" i="2" s="1"/>
  <c r="E604" i="2"/>
  <c r="G603" i="2"/>
  <c r="F603" i="2"/>
  <c r="E603" i="2"/>
  <c r="E602" i="2"/>
  <c r="G601" i="2"/>
  <c r="F601" i="2"/>
  <c r="J601" i="2" s="1"/>
  <c r="H601" i="2" s="1"/>
  <c r="E601" i="2"/>
  <c r="E600" i="2"/>
  <c r="J599" i="2"/>
  <c r="H599" i="2" s="1"/>
  <c r="F599" i="2"/>
  <c r="K599" i="2" s="1"/>
  <c r="E599" i="2"/>
  <c r="E598" i="2"/>
  <c r="F597" i="2"/>
  <c r="E597" i="2"/>
  <c r="G597" i="2" s="1"/>
  <c r="E596" i="2"/>
  <c r="J595" i="2"/>
  <c r="H595" i="2" s="1"/>
  <c r="I595" i="2"/>
  <c r="G595" i="2"/>
  <c r="F595" i="2"/>
  <c r="K595" i="2" s="1"/>
  <c r="E595" i="2"/>
  <c r="E594" i="2"/>
  <c r="E593" i="2"/>
  <c r="G590" i="2"/>
  <c r="E590" i="2"/>
  <c r="F589" i="2"/>
  <c r="J589" i="2" s="1"/>
  <c r="H589" i="2" s="1"/>
  <c r="E589" i="2"/>
  <c r="E588" i="2"/>
  <c r="K587" i="2"/>
  <c r="J587" i="2"/>
  <c r="H587" i="2" s="1"/>
  <c r="I587" i="2"/>
  <c r="F587" i="2"/>
  <c r="E587" i="2"/>
  <c r="G587" i="2" s="1"/>
  <c r="E586" i="2"/>
  <c r="G585" i="2"/>
  <c r="F585" i="2"/>
  <c r="E585" i="2"/>
  <c r="E584" i="2"/>
  <c r="J583" i="2"/>
  <c r="H583" i="2" s="1"/>
  <c r="G583" i="2"/>
  <c r="F583" i="2"/>
  <c r="E583" i="2"/>
  <c r="E582" i="2"/>
  <c r="J581" i="2"/>
  <c r="H581" i="2" s="1"/>
  <c r="F581" i="2"/>
  <c r="K581" i="2" s="1"/>
  <c r="E581" i="2"/>
  <c r="E580" i="2"/>
  <c r="F579" i="2"/>
  <c r="E579" i="2"/>
  <c r="G579" i="2" s="1"/>
  <c r="E578" i="2"/>
  <c r="J575" i="2"/>
  <c r="H575" i="2" s="1"/>
  <c r="I575" i="2"/>
  <c r="G575" i="2"/>
  <c r="F575" i="2"/>
  <c r="K575" i="2" s="1"/>
  <c r="E575" i="2"/>
  <c r="G574" i="2"/>
  <c r="E574" i="2"/>
  <c r="E573" i="2"/>
  <c r="G572" i="2"/>
  <c r="E572" i="2"/>
  <c r="F571" i="2"/>
  <c r="J571" i="2" s="1"/>
  <c r="H571" i="2" s="1"/>
  <c r="E571" i="2"/>
  <c r="E570" i="2"/>
  <c r="K569" i="2"/>
  <c r="J569" i="2"/>
  <c r="H569" i="2" s="1"/>
  <c r="I569" i="2"/>
  <c r="F569" i="2"/>
  <c r="E569" i="2"/>
  <c r="G569" i="2" s="1"/>
  <c r="E568" i="2"/>
  <c r="G567" i="2"/>
  <c r="F567" i="2"/>
  <c r="E567" i="2"/>
  <c r="E566" i="2"/>
  <c r="G565" i="2"/>
  <c r="E565" i="2"/>
  <c r="E564" i="2"/>
  <c r="G563" i="2"/>
  <c r="F563" i="2"/>
  <c r="E563" i="2"/>
  <c r="E562" i="2"/>
  <c r="E561" i="2"/>
  <c r="G561" i="2" s="1"/>
  <c r="E560" i="2"/>
  <c r="G559" i="2"/>
  <c r="F559" i="2"/>
  <c r="E559" i="2"/>
  <c r="E558" i="2"/>
  <c r="E555" i="2"/>
  <c r="G554" i="2"/>
  <c r="E554" i="2"/>
  <c r="E553" i="2"/>
  <c r="E552" i="2"/>
  <c r="E551" i="2"/>
  <c r="K550" i="2"/>
  <c r="J550" i="2"/>
  <c r="H550" i="2" s="1"/>
  <c r="E550" i="2"/>
  <c r="F550" i="2" s="1"/>
  <c r="J549" i="2"/>
  <c r="H549" i="2" s="1"/>
  <c r="I549" i="2"/>
  <c r="G549" i="2"/>
  <c r="F549" i="2"/>
  <c r="K549" i="2" s="1"/>
  <c r="E549" i="2"/>
  <c r="G548" i="2"/>
  <c r="E548" i="2"/>
  <c r="E547" i="2"/>
  <c r="G546" i="2"/>
  <c r="E546" i="2"/>
  <c r="G545" i="2"/>
  <c r="E545" i="2"/>
  <c r="G544" i="2"/>
  <c r="E544" i="2"/>
  <c r="F543" i="2"/>
  <c r="J543" i="2" s="1"/>
  <c r="H543" i="2" s="1"/>
  <c r="E543" i="2"/>
  <c r="E542" i="2"/>
  <c r="K541" i="2"/>
  <c r="J541" i="2"/>
  <c r="H541" i="2" s="1"/>
  <c r="G541" i="2"/>
  <c r="F541" i="2"/>
  <c r="I541" i="2" s="1"/>
  <c r="E541" i="2"/>
  <c r="K540" i="2"/>
  <c r="J540" i="2"/>
  <c r="H540" i="2" s="1"/>
  <c r="I540" i="2"/>
  <c r="G540" i="2"/>
  <c r="E540" i="2"/>
  <c r="F540" i="2" s="1"/>
  <c r="E539" i="2"/>
  <c r="I538" i="2"/>
  <c r="G538" i="2"/>
  <c r="F538" i="2"/>
  <c r="E538" i="2"/>
  <c r="E537" i="2"/>
  <c r="G536" i="2"/>
  <c r="E536" i="2"/>
  <c r="E535" i="2"/>
  <c r="G534" i="2"/>
  <c r="E534" i="2"/>
  <c r="G533" i="2"/>
  <c r="F533" i="2"/>
  <c r="E533" i="2"/>
  <c r="G532" i="2"/>
  <c r="E532" i="2"/>
  <c r="E531" i="2"/>
  <c r="G530" i="2"/>
  <c r="E530" i="2"/>
  <c r="E529" i="2"/>
  <c r="G528" i="2"/>
  <c r="E528" i="2"/>
  <c r="E527" i="2"/>
  <c r="E526" i="2"/>
  <c r="G525" i="2"/>
  <c r="F525" i="2"/>
  <c r="E525" i="2"/>
  <c r="E524" i="2"/>
  <c r="E523" i="2"/>
  <c r="G522" i="2"/>
  <c r="E522" i="2"/>
  <c r="E521" i="2"/>
  <c r="J520" i="2"/>
  <c r="H520" i="2" s="1"/>
  <c r="G520" i="2"/>
  <c r="F520" i="2"/>
  <c r="E520" i="2"/>
  <c r="E519" i="2"/>
  <c r="G518" i="2"/>
  <c r="E518" i="2"/>
  <c r="G515" i="2"/>
  <c r="F515" i="2"/>
  <c r="E515" i="2"/>
  <c r="E514" i="2"/>
  <c r="F514" i="2" s="1"/>
  <c r="J513" i="2"/>
  <c r="H513" i="2" s="1"/>
  <c r="I513" i="2"/>
  <c r="G513" i="2"/>
  <c r="F513" i="2"/>
  <c r="E513" i="2"/>
  <c r="K513" i="2" s="1"/>
  <c r="E512" i="2"/>
  <c r="J511" i="2"/>
  <c r="H511" i="2" s="1"/>
  <c r="G511" i="2"/>
  <c r="F511" i="2"/>
  <c r="E511" i="2"/>
  <c r="K511" i="2" s="1"/>
  <c r="K510" i="2"/>
  <c r="I510" i="2"/>
  <c r="G510" i="2"/>
  <c r="F510" i="2"/>
  <c r="E510" i="2"/>
  <c r="E509" i="2"/>
  <c r="G508" i="2"/>
  <c r="E508" i="2"/>
  <c r="G507" i="2"/>
  <c r="F507" i="2"/>
  <c r="E507" i="2"/>
  <c r="E506" i="2"/>
  <c r="J505" i="2"/>
  <c r="H505" i="2" s="1"/>
  <c r="I505" i="2"/>
  <c r="G505" i="2"/>
  <c r="F505" i="2"/>
  <c r="E505" i="2"/>
  <c r="K504" i="2"/>
  <c r="I504" i="2"/>
  <c r="G504" i="2"/>
  <c r="F504" i="2"/>
  <c r="E504" i="2"/>
  <c r="F503" i="2"/>
  <c r="E503" i="2"/>
  <c r="K502" i="2"/>
  <c r="G502" i="2"/>
  <c r="F502" i="2"/>
  <c r="I502" i="2" s="1"/>
  <c r="E502" i="2"/>
  <c r="K501" i="2"/>
  <c r="J501" i="2"/>
  <c r="H501" i="2" s="1"/>
  <c r="I501" i="2"/>
  <c r="F501" i="2"/>
  <c r="E501" i="2"/>
  <c r="G501" i="2" s="1"/>
  <c r="G500" i="2"/>
  <c r="E500" i="2"/>
  <c r="G499" i="2"/>
  <c r="F499" i="2"/>
  <c r="E499" i="2"/>
  <c r="E498" i="2"/>
  <c r="J497" i="2"/>
  <c r="H497" i="2" s="1"/>
  <c r="I497" i="2"/>
  <c r="G497" i="2"/>
  <c r="F497" i="2"/>
  <c r="E497" i="2"/>
  <c r="K496" i="2"/>
  <c r="I496" i="2"/>
  <c r="G496" i="2"/>
  <c r="F496" i="2"/>
  <c r="E496" i="2"/>
  <c r="G495" i="2"/>
  <c r="F495" i="2"/>
  <c r="E495" i="2"/>
  <c r="E494" i="2"/>
  <c r="K493" i="2"/>
  <c r="J493" i="2"/>
  <c r="H493" i="2" s="1"/>
  <c r="F493" i="2"/>
  <c r="I493" i="2" s="1"/>
  <c r="E493" i="2"/>
  <c r="G493" i="2" s="1"/>
  <c r="K492" i="2"/>
  <c r="J492" i="2"/>
  <c r="H492" i="2" s="1"/>
  <c r="I492" i="2"/>
  <c r="G492" i="2"/>
  <c r="E492" i="2"/>
  <c r="F492" i="2" s="1"/>
  <c r="G491" i="2"/>
  <c r="F491" i="2"/>
  <c r="E491" i="2"/>
  <c r="E490" i="2"/>
  <c r="F489" i="2"/>
  <c r="E489" i="2"/>
  <c r="E488" i="2"/>
  <c r="E487" i="2"/>
  <c r="K486" i="2"/>
  <c r="J486" i="2"/>
  <c r="H486" i="2" s="1"/>
  <c r="I486" i="2"/>
  <c r="G486" i="2"/>
  <c r="F486" i="2"/>
  <c r="E486" i="2"/>
  <c r="E485" i="2"/>
  <c r="G485" i="2" s="1"/>
  <c r="J484" i="2"/>
  <c r="H484" i="2" s="1"/>
  <c r="I484" i="2"/>
  <c r="G484" i="2"/>
  <c r="F484" i="2"/>
  <c r="E484" i="2"/>
  <c r="K484" i="2" s="1"/>
  <c r="G483" i="2"/>
  <c r="F483" i="2"/>
  <c r="I483" i="2" s="1"/>
  <c r="E483" i="2"/>
  <c r="G480" i="2"/>
  <c r="F480" i="2"/>
  <c r="E480" i="2"/>
  <c r="E479" i="2"/>
  <c r="E478" i="2"/>
  <c r="E477" i="2"/>
  <c r="K476" i="2"/>
  <c r="J476" i="2"/>
  <c r="H476" i="2" s="1"/>
  <c r="I476" i="2"/>
  <c r="G476" i="2"/>
  <c r="F476" i="2"/>
  <c r="E476" i="2"/>
  <c r="E475" i="2"/>
  <c r="G475" i="2" s="1"/>
  <c r="J474" i="2"/>
  <c r="H474" i="2" s="1"/>
  <c r="I474" i="2"/>
  <c r="G474" i="2"/>
  <c r="F474" i="2"/>
  <c r="E474" i="2"/>
  <c r="K474" i="2" s="1"/>
  <c r="G473" i="2"/>
  <c r="F473" i="2"/>
  <c r="I473" i="2" s="1"/>
  <c r="E473" i="2"/>
  <c r="K473" i="2" s="1"/>
  <c r="G472" i="2"/>
  <c r="E472" i="2"/>
  <c r="F471" i="2"/>
  <c r="E471" i="2"/>
  <c r="E470" i="2"/>
  <c r="E469" i="2"/>
  <c r="K468" i="2"/>
  <c r="J468" i="2"/>
  <c r="H468" i="2" s="1"/>
  <c r="I468" i="2"/>
  <c r="G468" i="2"/>
  <c r="F468" i="2"/>
  <c r="E468" i="2"/>
  <c r="E467" i="2"/>
  <c r="G467" i="2" s="1"/>
  <c r="J466" i="2"/>
  <c r="H466" i="2" s="1"/>
  <c r="I466" i="2"/>
  <c r="G466" i="2"/>
  <c r="F466" i="2"/>
  <c r="E466" i="2"/>
  <c r="K466" i="2" s="1"/>
  <c r="G465" i="2"/>
  <c r="F465" i="2"/>
  <c r="E465" i="2"/>
  <c r="J465" i="2" s="1"/>
  <c r="H465" i="2" s="1"/>
  <c r="G464" i="2"/>
  <c r="F464" i="2"/>
  <c r="E464" i="2"/>
  <c r="E463" i="2"/>
  <c r="E462" i="2"/>
  <c r="E461" i="2"/>
  <c r="K460" i="2"/>
  <c r="J460" i="2"/>
  <c r="H460" i="2" s="1"/>
  <c r="I460" i="2"/>
  <c r="G460" i="2"/>
  <c r="F460" i="2"/>
  <c r="E460" i="2"/>
  <c r="E459" i="2"/>
  <c r="G459" i="2" s="1"/>
  <c r="J458" i="2"/>
  <c r="H458" i="2" s="1"/>
  <c r="I458" i="2"/>
  <c r="G458" i="2"/>
  <c r="F458" i="2"/>
  <c r="E458" i="2"/>
  <c r="K458" i="2" s="1"/>
  <c r="G457" i="2"/>
  <c r="F457" i="2"/>
  <c r="I457" i="2" s="1"/>
  <c r="E457" i="2"/>
  <c r="K457" i="2" s="1"/>
  <c r="E456" i="2"/>
  <c r="F455" i="2"/>
  <c r="E455" i="2"/>
  <c r="E454" i="2"/>
  <c r="E453" i="2"/>
  <c r="K452" i="2"/>
  <c r="J452" i="2"/>
  <c r="H452" i="2" s="1"/>
  <c r="I452" i="2"/>
  <c r="G452" i="2"/>
  <c r="F452" i="2"/>
  <c r="E452" i="2"/>
  <c r="E451" i="2"/>
  <c r="G451" i="2" s="1"/>
  <c r="J449" i="2"/>
  <c r="H449" i="2" s="1"/>
  <c r="I449" i="2"/>
  <c r="G449" i="2"/>
  <c r="F449" i="2"/>
  <c r="E449" i="2"/>
  <c r="K449" i="2" s="1"/>
  <c r="G447" i="2"/>
  <c r="F447" i="2"/>
  <c r="I447" i="2" s="1"/>
  <c r="E447" i="2"/>
  <c r="G446" i="2"/>
  <c r="F446" i="2"/>
  <c r="E446" i="2"/>
  <c r="E445" i="2"/>
  <c r="E444" i="2"/>
  <c r="E443" i="2"/>
  <c r="K442" i="2"/>
  <c r="J442" i="2"/>
  <c r="H442" i="2" s="1"/>
  <c r="I442" i="2"/>
  <c r="G442" i="2"/>
  <c r="F442" i="2"/>
  <c r="E442" i="2"/>
  <c r="E441" i="2"/>
  <c r="G441" i="2" s="1"/>
  <c r="J440" i="2"/>
  <c r="H440" i="2" s="1"/>
  <c r="I440" i="2"/>
  <c r="G440" i="2"/>
  <c r="F440" i="2"/>
  <c r="E440" i="2"/>
  <c r="K440" i="2" s="1"/>
  <c r="G439" i="2"/>
  <c r="F439" i="2"/>
  <c r="I439" i="2" s="1"/>
  <c r="E439" i="2"/>
  <c r="E438" i="2"/>
  <c r="F437" i="2"/>
  <c r="E437" i="2"/>
  <c r="E436" i="2"/>
  <c r="E435" i="2"/>
  <c r="K434" i="2"/>
  <c r="J434" i="2"/>
  <c r="H434" i="2" s="1"/>
  <c r="I434" i="2"/>
  <c r="G434" i="2"/>
  <c r="F434" i="2"/>
  <c r="E434" i="2"/>
  <c r="E433" i="2"/>
  <c r="G433" i="2" s="1"/>
  <c r="J432" i="2"/>
  <c r="H432" i="2" s="1"/>
  <c r="I432" i="2"/>
  <c r="G432" i="2"/>
  <c r="F432" i="2"/>
  <c r="E432" i="2"/>
  <c r="K432" i="2" s="1"/>
  <c r="G431" i="2"/>
  <c r="F431" i="2"/>
  <c r="I431" i="2" s="1"/>
  <c r="E431" i="2"/>
  <c r="K431" i="2" s="1"/>
  <c r="E430" i="2"/>
  <c r="E429" i="2"/>
  <c r="E428" i="2"/>
  <c r="E427" i="2"/>
  <c r="K426" i="2"/>
  <c r="J426" i="2"/>
  <c r="H426" i="2" s="1"/>
  <c r="I426" i="2"/>
  <c r="G426" i="2"/>
  <c r="F426" i="2"/>
  <c r="E426" i="2"/>
  <c r="E423" i="2"/>
  <c r="G423" i="2" s="1"/>
  <c r="J422" i="2"/>
  <c r="H422" i="2" s="1"/>
  <c r="I422" i="2"/>
  <c r="G422" i="2"/>
  <c r="F422" i="2"/>
  <c r="E422" i="2"/>
  <c r="K422" i="2" s="1"/>
  <c r="G421" i="2"/>
  <c r="F421" i="2"/>
  <c r="I421" i="2" s="1"/>
  <c r="E421" i="2"/>
  <c r="E420" i="2"/>
  <c r="E419" i="2"/>
  <c r="E418" i="2"/>
  <c r="E417" i="2"/>
  <c r="K416" i="2"/>
  <c r="J416" i="2"/>
  <c r="H416" i="2" s="1"/>
  <c r="I416" i="2"/>
  <c r="G416" i="2"/>
  <c r="F416" i="2"/>
  <c r="E416" i="2"/>
  <c r="E415" i="2"/>
  <c r="G415" i="2" s="1"/>
  <c r="J414" i="2"/>
  <c r="H414" i="2" s="1"/>
  <c r="I414" i="2"/>
  <c r="G414" i="2"/>
  <c r="F414" i="2"/>
  <c r="E414" i="2"/>
  <c r="K414" i="2" s="1"/>
  <c r="G413" i="2"/>
  <c r="F413" i="2"/>
  <c r="I413" i="2" s="1"/>
  <c r="E413" i="2"/>
  <c r="F412" i="2"/>
  <c r="E412" i="2"/>
  <c r="G411" i="2"/>
  <c r="E411" i="2"/>
  <c r="E410" i="2"/>
  <c r="E409" i="2"/>
  <c r="K408" i="2"/>
  <c r="J408" i="2"/>
  <c r="H408" i="2" s="1"/>
  <c r="I408" i="2"/>
  <c r="G408" i="2"/>
  <c r="F408" i="2"/>
  <c r="E408" i="2"/>
  <c r="E407" i="2"/>
  <c r="G407" i="2" s="1"/>
  <c r="J406" i="2"/>
  <c r="H406" i="2" s="1"/>
  <c r="I406" i="2"/>
  <c r="G406" i="2"/>
  <c r="F406" i="2"/>
  <c r="E406" i="2"/>
  <c r="K406" i="2" s="1"/>
  <c r="I405" i="2"/>
  <c r="G405" i="2"/>
  <c r="F405" i="2"/>
  <c r="K405" i="2" s="1"/>
  <c r="E405" i="2"/>
  <c r="J405" i="2" s="1"/>
  <c r="H405" i="2" s="1"/>
  <c r="E404" i="2"/>
  <c r="G403" i="2"/>
  <c r="E403" i="2"/>
  <c r="F402" i="2"/>
  <c r="E402" i="2"/>
  <c r="K402" i="2" s="1"/>
  <c r="E401" i="2"/>
  <c r="K400" i="2"/>
  <c r="J400" i="2"/>
  <c r="H400" i="2" s="1"/>
  <c r="I400" i="2"/>
  <c r="G400" i="2"/>
  <c r="F400" i="2"/>
  <c r="E400" i="2"/>
  <c r="E399" i="2"/>
  <c r="J398" i="2"/>
  <c r="H398" i="2" s="1"/>
  <c r="I398" i="2"/>
  <c r="G398" i="2"/>
  <c r="F398" i="2"/>
  <c r="E398" i="2"/>
  <c r="K398" i="2" s="1"/>
  <c r="K397" i="2"/>
  <c r="I397" i="2"/>
  <c r="G397" i="2"/>
  <c r="F397" i="2"/>
  <c r="E397" i="2"/>
  <c r="J397" i="2" s="1"/>
  <c r="H397" i="2" s="1"/>
  <c r="J396" i="2"/>
  <c r="H396" i="2" s="1"/>
  <c r="F396" i="2"/>
  <c r="E396" i="2"/>
  <c r="F395" i="2"/>
  <c r="E395" i="2"/>
  <c r="F394" i="2"/>
  <c r="E394" i="2"/>
  <c r="G393" i="2"/>
  <c r="E393" i="2"/>
  <c r="G392" i="2"/>
  <c r="F392" i="2"/>
  <c r="E392" i="2"/>
  <c r="E391" i="2"/>
  <c r="G390" i="2"/>
  <c r="F390" i="2"/>
  <c r="J390" i="2" s="1"/>
  <c r="H390" i="2" s="1"/>
  <c r="E390" i="2"/>
  <c r="G389" i="2"/>
  <c r="E389" i="2"/>
  <c r="E386" i="2"/>
  <c r="G385" i="2"/>
  <c r="F385" i="2"/>
  <c r="E385" i="2"/>
  <c r="F384" i="2"/>
  <c r="K384" i="2" s="1"/>
  <c r="E384" i="2"/>
  <c r="E383" i="2"/>
  <c r="K382" i="2"/>
  <c r="J382" i="2"/>
  <c r="H382" i="2" s="1"/>
  <c r="I382" i="2"/>
  <c r="G382" i="2"/>
  <c r="F382" i="2"/>
  <c r="E382" i="2"/>
  <c r="K381" i="2"/>
  <c r="J381" i="2"/>
  <c r="H381" i="2" s="1"/>
  <c r="E381" i="2"/>
  <c r="F381" i="2" s="1"/>
  <c r="G380" i="2"/>
  <c r="F380" i="2"/>
  <c r="E380" i="2"/>
  <c r="E379" i="2"/>
  <c r="J378" i="2"/>
  <c r="H378" i="2" s="1"/>
  <c r="G378" i="2"/>
  <c r="F378" i="2"/>
  <c r="E378" i="2"/>
  <c r="I377" i="2"/>
  <c r="G377" i="2"/>
  <c r="F377" i="2"/>
  <c r="K377" i="2" s="1"/>
  <c r="E377" i="2"/>
  <c r="E376" i="2"/>
  <c r="G375" i="2"/>
  <c r="E375" i="2"/>
  <c r="J374" i="2"/>
  <c r="H374" i="2" s="1"/>
  <c r="I374" i="2"/>
  <c r="G374" i="2"/>
  <c r="F374" i="2"/>
  <c r="K374" i="2" s="1"/>
  <c r="E374" i="2"/>
  <c r="G373" i="2"/>
  <c r="E373" i="2"/>
  <c r="I372" i="2"/>
  <c r="G372" i="2"/>
  <c r="F372" i="2"/>
  <c r="J372" i="2" s="1"/>
  <c r="H372" i="2" s="1"/>
  <c r="E372" i="2"/>
  <c r="K372" i="2" s="1"/>
  <c r="G371" i="2"/>
  <c r="F371" i="2"/>
  <c r="K371" i="2" s="1"/>
  <c r="E371" i="2"/>
  <c r="G370" i="2"/>
  <c r="F370" i="2"/>
  <c r="J370" i="2" s="1"/>
  <c r="H370" i="2" s="1"/>
  <c r="E370" i="2"/>
  <c r="E369" i="2"/>
  <c r="J368" i="2"/>
  <c r="H368" i="2" s="1"/>
  <c r="F368" i="2"/>
  <c r="E368" i="2"/>
  <c r="K368" i="2" s="1"/>
  <c r="G367" i="2"/>
  <c r="E367" i="2"/>
  <c r="G366" i="2"/>
  <c r="F366" i="2"/>
  <c r="K366" i="2" s="1"/>
  <c r="E366" i="2"/>
  <c r="K365" i="2"/>
  <c r="I365" i="2"/>
  <c r="E365" i="2"/>
  <c r="F365" i="2" s="1"/>
  <c r="J364" i="2"/>
  <c r="H364" i="2" s="1"/>
  <c r="I364" i="2"/>
  <c r="G364" i="2"/>
  <c r="F364" i="2"/>
  <c r="E364" i="2"/>
  <c r="K364" i="2" s="1"/>
  <c r="G363" i="2"/>
  <c r="F363" i="2"/>
  <c r="I363" i="2" s="1"/>
  <c r="E363" i="2"/>
  <c r="K363" i="2" s="1"/>
  <c r="E362" i="2"/>
  <c r="F361" i="2"/>
  <c r="K361" i="2" s="1"/>
  <c r="E361" i="2"/>
  <c r="F360" i="2"/>
  <c r="E360" i="2"/>
  <c r="J357" i="2"/>
  <c r="H357" i="2" s="1"/>
  <c r="I357" i="2"/>
  <c r="E357" i="2"/>
  <c r="F357" i="2" s="1"/>
  <c r="K356" i="2"/>
  <c r="I356" i="2"/>
  <c r="G356" i="2"/>
  <c r="F356" i="2"/>
  <c r="J356" i="2" s="1"/>
  <c r="H356" i="2" s="1"/>
  <c r="E356" i="2"/>
  <c r="E355" i="2"/>
  <c r="J354" i="2"/>
  <c r="H354" i="2" s="1"/>
  <c r="G354" i="2"/>
  <c r="F354" i="2"/>
  <c r="I354" i="2" s="1"/>
  <c r="E354" i="2"/>
  <c r="E353" i="2"/>
  <c r="F352" i="2"/>
  <c r="E352" i="2"/>
  <c r="J352" i="2" s="1"/>
  <c r="H352" i="2" s="1"/>
  <c r="F351" i="2"/>
  <c r="E351" i="2"/>
  <c r="E350" i="2"/>
  <c r="E349" i="2"/>
  <c r="G348" i="2"/>
  <c r="F348" i="2"/>
  <c r="J348" i="2" s="1"/>
  <c r="H348" i="2" s="1"/>
  <c r="E348" i="2"/>
  <c r="G347" i="2"/>
  <c r="E347" i="2"/>
  <c r="J346" i="2"/>
  <c r="H346" i="2" s="1"/>
  <c r="I346" i="2"/>
  <c r="G346" i="2"/>
  <c r="F346" i="2"/>
  <c r="E346" i="2"/>
  <c r="K346" i="2" s="1"/>
  <c r="F345" i="2"/>
  <c r="K345" i="2" s="1"/>
  <c r="E345" i="2"/>
  <c r="E344" i="2"/>
  <c r="E343" i="2"/>
  <c r="E342" i="2"/>
  <c r="G341" i="2"/>
  <c r="E341" i="2"/>
  <c r="G340" i="2"/>
  <c r="F340" i="2"/>
  <c r="J340" i="2" s="1"/>
  <c r="H340" i="2" s="1"/>
  <c r="E340" i="2"/>
  <c r="K339" i="2"/>
  <c r="J339" i="2"/>
  <c r="H339" i="2" s="1"/>
  <c r="I339" i="2"/>
  <c r="G339" i="2"/>
  <c r="E339" i="2"/>
  <c r="F339" i="2" s="1"/>
  <c r="J338" i="2"/>
  <c r="H338" i="2" s="1"/>
  <c r="I338" i="2"/>
  <c r="G338" i="2"/>
  <c r="F338" i="2"/>
  <c r="E338" i="2"/>
  <c r="K338" i="2" s="1"/>
  <c r="G337" i="2"/>
  <c r="E337" i="2"/>
  <c r="G334" i="2"/>
  <c r="E334" i="2"/>
  <c r="G333" i="2"/>
  <c r="E333" i="2"/>
  <c r="K332" i="2"/>
  <c r="F332" i="2"/>
  <c r="E332" i="2"/>
  <c r="K331" i="2"/>
  <c r="J331" i="2"/>
  <c r="H331" i="2" s="1"/>
  <c r="I331" i="2"/>
  <c r="G331" i="2"/>
  <c r="E331" i="2"/>
  <c r="F331" i="2" s="1"/>
  <c r="G330" i="2"/>
  <c r="F330" i="2"/>
  <c r="E330" i="2"/>
  <c r="J329" i="2"/>
  <c r="H329" i="2" s="1"/>
  <c r="I329" i="2"/>
  <c r="F329" i="2"/>
  <c r="E329" i="2"/>
  <c r="G328" i="2"/>
  <c r="F328" i="2"/>
  <c r="J328" i="2" s="1"/>
  <c r="H328" i="2" s="1"/>
  <c r="E328" i="2"/>
  <c r="F327" i="2"/>
  <c r="I327" i="2" s="1"/>
  <c r="E327" i="2"/>
  <c r="K326" i="2"/>
  <c r="J326" i="2"/>
  <c r="H326" i="2" s="1"/>
  <c r="G326" i="2"/>
  <c r="F326" i="2"/>
  <c r="E326" i="2"/>
  <c r="K325" i="2"/>
  <c r="I325" i="2"/>
  <c r="G325" i="2"/>
  <c r="F325" i="2"/>
  <c r="J325" i="2" s="1"/>
  <c r="H325" i="2" s="1"/>
  <c r="E325" i="2"/>
  <c r="E324" i="2"/>
  <c r="K323" i="2"/>
  <c r="G323" i="2"/>
  <c r="E323" i="2"/>
  <c r="F323" i="2" s="1"/>
  <c r="K322" i="2"/>
  <c r="J322" i="2"/>
  <c r="H322" i="2" s="1"/>
  <c r="I322" i="2"/>
  <c r="G322" i="2"/>
  <c r="F322" i="2"/>
  <c r="E322" i="2"/>
  <c r="K321" i="2"/>
  <c r="J321" i="2"/>
  <c r="H321" i="2" s="1"/>
  <c r="I321" i="2"/>
  <c r="G321" i="2"/>
  <c r="F321" i="2"/>
  <c r="E321" i="2"/>
  <c r="E320" i="2"/>
  <c r="E319" i="2"/>
  <c r="K318" i="2"/>
  <c r="J318" i="2"/>
  <c r="H318" i="2" s="1"/>
  <c r="F318" i="2"/>
  <c r="E318" i="2"/>
  <c r="I317" i="2"/>
  <c r="G317" i="2"/>
  <c r="F317" i="2"/>
  <c r="E317" i="2"/>
  <c r="G316" i="2"/>
  <c r="F316" i="2"/>
  <c r="E316" i="2"/>
  <c r="E315" i="2"/>
  <c r="E314" i="2"/>
  <c r="J313" i="2"/>
  <c r="H313" i="2" s="1"/>
  <c r="G313" i="2"/>
  <c r="F313" i="2"/>
  <c r="K313" i="2" s="1"/>
  <c r="E313" i="2"/>
  <c r="F312" i="2"/>
  <c r="E312" i="2"/>
  <c r="E311" i="2"/>
  <c r="K310" i="2"/>
  <c r="J310" i="2"/>
  <c r="H310" i="2" s="1"/>
  <c r="I310" i="2"/>
  <c r="E310" i="2"/>
  <c r="F310" i="2" s="1"/>
  <c r="K309" i="2"/>
  <c r="J309" i="2"/>
  <c r="H309" i="2" s="1"/>
  <c r="I309" i="2"/>
  <c r="G309" i="2"/>
  <c r="F309" i="2"/>
  <c r="E309" i="2"/>
  <c r="G308" i="2"/>
  <c r="F308" i="2"/>
  <c r="E308" i="2"/>
  <c r="E307" i="2"/>
  <c r="E306" i="2"/>
  <c r="E305" i="2"/>
  <c r="I304" i="2"/>
  <c r="G304" i="2"/>
  <c r="F304" i="2"/>
  <c r="K304" i="2" s="1"/>
  <c r="E304" i="2"/>
  <c r="E303" i="2"/>
  <c r="F300" i="2"/>
  <c r="K300" i="2" s="1"/>
  <c r="E300" i="2"/>
  <c r="E299" i="2"/>
  <c r="K298" i="2"/>
  <c r="J298" i="2"/>
  <c r="H298" i="2" s="1"/>
  <c r="I298" i="2"/>
  <c r="F298" i="2"/>
  <c r="E298" i="2"/>
  <c r="G298" i="2" s="1"/>
  <c r="E297" i="2"/>
  <c r="G297" i="2" s="1"/>
  <c r="K296" i="2"/>
  <c r="J296" i="2"/>
  <c r="H296" i="2" s="1"/>
  <c r="I296" i="2"/>
  <c r="G296" i="2"/>
  <c r="F296" i="2"/>
  <c r="E296" i="2"/>
  <c r="I295" i="2"/>
  <c r="G295" i="2"/>
  <c r="F295" i="2"/>
  <c r="E295" i="2"/>
  <c r="G294" i="2"/>
  <c r="E294" i="2"/>
  <c r="G293" i="2"/>
  <c r="F293" i="2"/>
  <c r="E293" i="2"/>
  <c r="E292" i="2"/>
  <c r="E291" i="2"/>
  <c r="K290" i="2"/>
  <c r="J290" i="2"/>
  <c r="H290" i="2" s="1"/>
  <c r="I290" i="2"/>
  <c r="F290" i="2"/>
  <c r="E290" i="2"/>
  <c r="G290" i="2" s="1"/>
  <c r="E289" i="2"/>
  <c r="G289" i="2" s="1"/>
  <c r="K288" i="2"/>
  <c r="J288" i="2"/>
  <c r="H288" i="2" s="1"/>
  <c r="I288" i="2"/>
  <c r="G288" i="2"/>
  <c r="F288" i="2"/>
  <c r="E288" i="2"/>
  <c r="G287" i="2"/>
  <c r="F287" i="2"/>
  <c r="E287" i="2"/>
  <c r="G286" i="2"/>
  <c r="F286" i="2"/>
  <c r="E286" i="2"/>
  <c r="E285" i="2"/>
  <c r="E284" i="2"/>
  <c r="E281" i="2"/>
  <c r="K280" i="2"/>
  <c r="J280" i="2"/>
  <c r="H280" i="2" s="1"/>
  <c r="I280" i="2"/>
  <c r="F280" i="2"/>
  <c r="E280" i="2"/>
  <c r="G280" i="2" s="1"/>
  <c r="E279" i="2"/>
  <c r="G279" i="2" s="1"/>
  <c r="K278" i="2"/>
  <c r="J278" i="2"/>
  <c r="H278" i="2" s="1"/>
  <c r="I278" i="2"/>
  <c r="G278" i="2"/>
  <c r="F278" i="2"/>
  <c r="E278" i="2"/>
  <c r="I277" i="2"/>
  <c r="G277" i="2"/>
  <c r="F277" i="2"/>
  <c r="E277" i="2"/>
  <c r="E276" i="2"/>
  <c r="E275" i="2"/>
  <c r="E274" i="2"/>
  <c r="E273" i="2"/>
  <c r="K272" i="2"/>
  <c r="J272" i="2"/>
  <c r="H272" i="2" s="1"/>
  <c r="I272" i="2"/>
  <c r="F272" i="2"/>
  <c r="E272" i="2"/>
  <c r="G272" i="2" s="1"/>
  <c r="E271" i="2"/>
  <c r="G271" i="2" s="1"/>
  <c r="K270" i="2"/>
  <c r="J270" i="2"/>
  <c r="H270" i="2" s="1"/>
  <c r="I270" i="2"/>
  <c r="G270" i="2"/>
  <c r="F270" i="2"/>
  <c r="E270" i="2"/>
  <c r="G267" i="2"/>
  <c r="F267" i="2"/>
  <c r="E267" i="2"/>
  <c r="E266" i="2"/>
  <c r="G265" i="2"/>
  <c r="E265" i="2"/>
  <c r="F264" i="2"/>
  <c r="K264" i="2" s="1"/>
  <c r="E264" i="2"/>
  <c r="E263" i="2"/>
  <c r="K262" i="2"/>
  <c r="J262" i="2"/>
  <c r="H262" i="2" s="1"/>
  <c r="I262" i="2"/>
  <c r="F262" i="2"/>
  <c r="E262" i="2"/>
  <c r="G262" i="2" s="1"/>
  <c r="E261" i="2"/>
  <c r="G261" i="2" s="1"/>
  <c r="K260" i="2"/>
  <c r="J260" i="2"/>
  <c r="H260" i="2" s="1"/>
  <c r="I260" i="2"/>
  <c r="G260" i="2"/>
  <c r="F260" i="2"/>
  <c r="E260" i="2"/>
  <c r="I259" i="2"/>
  <c r="G259" i="2"/>
  <c r="F259" i="2"/>
  <c r="E259" i="2"/>
  <c r="G258" i="2"/>
  <c r="E258" i="2"/>
  <c r="G257" i="2"/>
  <c r="F257" i="2"/>
  <c r="E257" i="2"/>
  <c r="E256" i="2"/>
  <c r="E255" i="2"/>
  <c r="K254" i="2"/>
  <c r="J254" i="2"/>
  <c r="H254" i="2" s="1"/>
  <c r="I254" i="2"/>
  <c r="F254" i="2"/>
  <c r="E254" i="2"/>
  <c r="G254" i="2" s="1"/>
  <c r="E253" i="2"/>
  <c r="G253" i="2" s="1"/>
  <c r="K252" i="2"/>
  <c r="J252" i="2"/>
  <c r="H252" i="2" s="1"/>
  <c r="I252" i="2"/>
  <c r="G252" i="2"/>
  <c r="F252" i="2"/>
  <c r="E252" i="2"/>
  <c r="G251" i="2"/>
  <c r="F251" i="2"/>
  <c r="E251" i="2"/>
  <c r="G250" i="2"/>
  <c r="F250" i="2"/>
  <c r="E250" i="2"/>
  <c r="E249" i="2"/>
  <c r="F248" i="2"/>
  <c r="E248" i="2"/>
  <c r="E247" i="2"/>
  <c r="E246" i="2"/>
  <c r="G246" i="2" s="1"/>
  <c r="E245" i="2"/>
  <c r="G245" i="2" s="1"/>
  <c r="K244" i="2"/>
  <c r="J244" i="2"/>
  <c r="H244" i="2" s="1"/>
  <c r="I244" i="2"/>
  <c r="G244" i="2"/>
  <c r="F244" i="2"/>
  <c r="E244" i="2"/>
  <c r="G241" i="2"/>
  <c r="F241" i="2"/>
  <c r="E241" i="2"/>
  <c r="E240" i="2"/>
  <c r="G239" i="2"/>
  <c r="E239" i="2"/>
  <c r="F238" i="2"/>
  <c r="K238" i="2" s="1"/>
  <c r="E238" i="2"/>
  <c r="E237" i="2"/>
  <c r="E236" i="2"/>
  <c r="E235" i="2"/>
  <c r="G235" i="2" s="1"/>
  <c r="K234" i="2"/>
  <c r="J234" i="2"/>
  <c r="H234" i="2" s="1"/>
  <c r="I234" i="2"/>
  <c r="G234" i="2"/>
  <c r="F234" i="2"/>
  <c r="E234" i="2"/>
  <c r="J233" i="2"/>
  <c r="H233" i="2" s="1"/>
  <c r="I233" i="2"/>
  <c r="G233" i="2"/>
  <c r="F233" i="2"/>
  <c r="K233" i="2" s="1"/>
  <c r="E233" i="2"/>
  <c r="F232" i="2"/>
  <c r="E232" i="2"/>
  <c r="E231" i="2"/>
  <c r="E230" i="2"/>
  <c r="G229" i="2"/>
  <c r="F229" i="2"/>
  <c r="J229" i="2" s="1"/>
  <c r="H229" i="2" s="1"/>
  <c r="E229" i="2"/>
  <c r="E228" i="2"/>
  <c r="G228" i="2" s="1"/>
  <c r="E227" i="2"/>
  <c r="K226" i="2"/>
  <c r="J226" i="2"/>
  <c r="H226" i="2" s="1"/>
  <c r="I226" i="2"/>
  <c r="G226" i="2"/>
  <c r="F226" i="2"/>
  <c r="E226" i="2"/>
  <c r="J225" i="2"/>
  <c r="H225" i="2" s="1"/>
  <c r="G225" i="2"/>
  <c r="F225" i="2"/>
  <c r="E225" i="2"/>
  <c r="E224" i="2"/>
  <c r="E223" i="2"/>
  <c r="G222" i="2"/>
  <c r="F222" i="2"/>
  <c r="E222" i="2"/>
  <c r="G221" i="2"/>
  <c r="E221" i="2"/>
  <c r="J220" i="2"/>
  <c r="H220" i="2" s="1"/>
  <c r="F220" i="2"/>
  <c r="E220" i="2"/>
  <c r="G220" i="2" s="1"/>
  <c r="E219" i="2"/>
  <c r="K218" i="2"/>
  <c r="J218" i="2"/>
  <c r="H218" i="2" s="1"/>
  <c r="I218" i="2"/>
  <c r="G218" i="2"/>
  <c r="F218" i="2"/>
  <c r="E218" i="2"/>
  <c r="K217" i="2"/>
  <c r="J217" i="2"/>
  <c r="H217" i="2" s="1"/>
  <c r="I217" i="2"/>
  <c r="G217" i="2"/>
  <c r="F217" i="2"/>
  <c r="E217" i="2"/>
  <c r="G216" i="2"/>
  <c r="E216" i="2"/>
  <c r="G215" i="2"/>
  <c r="F215" i="2"/>
  <c r="E215" i="2"/>
  <c r="G214" i="2"/>
  <c r="E214" i="2"/>
  <c r="J213" i="2"/>
  <c r="H213" i="2" s="1"/>
  <c r="F213" i="2"/>
  <c r="E213" i="2"/>
  <c r="E212" i="2"/>
  <c r="E210" i="2"/>
  <c r="K208" i="2"/>
  <c r="J208" i="2"/>
  <c r="H208" i="2" s="1"/>
  <c r="I208" i="2"/>
  <c r="G208" i="2"/>
  <c r="F208" i="2"/>
  <c r="E208" i="2"/>
  <c r="G207" i="2"/>
  <c r="F207" i="2"/>
  <c r="E207" i="2"/>
  <c r="G206" i="2"/>
  <c r="F206" i="2"/>
  <c r="J206" i="2" s="1"/>
  <c r="H206" i="2" s="1"/>
  <c r="E206" i="2"/>
  <c r="G205" i="2"/>
  <c r="E205" i="2"/>
  <c r="F204" i="2"/>
  <c r="E204" i="2"/>
  <c r="E203" i="2"/>
  <c r="J202" i="2"/>
  <c r="H202" i="2" s="1"/>
  <c r="F202" i="2"/>
  <c r="E202" i="2"/>
  <c r="G202" i="2" s="1"/>
  <c r="E201" i="2"/>
  <c r="K200" i="2"/>
  <c r="J200" i="2"/>
  <c r="H200" i="2" s="1"/>
  <c r="I200" i="2"/>
  <c r="G200" i="2"/>
  <c r="F200" i="2"/>
  <c r="E200" i="2"/>
  <c r="K199" i="2"/>
  <c r="J199" i="2"/>
  <c r="H199" i="2" s="1"/>
  <c r="I199" i="2"/>
  <c r="G199" i="2"/>
  <c r="F199" i="2"/>
  <c r="E199" i="2"/>
  <c r="G198" i="2"/>
  <c r="E198" i="2"/>
  <c r="F195" i="2"/>
  <c r="E195" i="2"/>
  <c r="E194" i="2"/>
  <c r="J193" i="2"/>
  <c r="H193" i="2" s="1"/>
  <c r="G193" i="2"/>
  <c r="F193" i="2"/>
  <c r="E193" i="2"/>
  <c r="K193" i="2" s="1"/>
  <c r="E192" i="2"/>
  <c r="E191" i="2"/>
  <c r="K190" i="2"/>
  <c r="J190" i="2"/>
  <c r="H190" i="2" s="1"/>
  <c r="I190" i="2"/>
  <c r="G190" i="2"/>
  <c r="F190" i="2"/>
  <c r="E190" i="2"/>
  <c r="J189" i="2"/>
  <c r="H189" i="2" s="1"/>
  <c r="G189" i="2"/>
  <c r="F189" i="2"/>
  <c r="E189" i="2"/>
  <c r="F188" i="2"/>
  <c r="E188" i="2"/>
  <c r="E187" i="2"/>
  <c r="G186" i="2"/>
  <c r="F186" i="2"/>
  <c r="K186" i="2" s="1"/>
  <c r="E186" i="2"/>
  <c r="E185" i="2"/>
  <c r="G185" i="2" s="1"/>
  <c r="E184" i="2"/>
  <c r="G184" i="2" s="1"/>
  <c r="E183" i="2"/>
  <c r="K182" i="2"/>
  <c r="J182" i="2"/>
  <c r="H182" i="2" s="1"/>
  <c r="I182" i="2"/>
  <c r="G182" i="2"/>
  <c r="F182" i="2"/>
  <c r="E182" i="2"/>
  <c r="K181" i="2"/>
  <c r="I181" i="2"/>
  <c r="G181" i="2"/>
  <c r="F181" i="2"/>
  <c r="J181" i="2" s="1"/>
  <c r="H181" i="2" s="1"/>
  <c r="E181" i="2"/>
  <c r="E180" i="2"/>
  <c r="G179" i="2"/>
  <c r="F179" i="2"/>
  <c r="I179" i="2" s="1"/>
  <c r="E179" i="2"/>
  <c r="F178" i="2"/>
  <c r="E178" i="2"/>
  <c r="G177" i="2"/>
  <c r="F177" i="2"/>
  <c r="I177" i="2" s="1"/>
  <c r="E177" i="2"/>
  <c r="J177" i="2" s="1"/>
  <c r="H177" i="2" s="1"/>
  <c r="E176" i="2"/>
  <c r="G176" i="2" s="1"/>
  <c r="K175" i="2"/>
  <c r="I175" i="2"/>
  <c r="G175" i="2"/>
  <c r="E175" i="2"/>
  <c r="F175" i="2" s="1"/>
  <c r="J175" i="2" s="1"/>
  <c r="H175" i="2" s="1"/>
  <c r="I174" i="2"/>
  <c r="G174" i="2"/>
  <c r="F174" i="2"/>
  <c r="K174" i="2" s="1"/>
  <c r="E174" i="2"/>
  <c r="F173" i="2"/>
  <c r="E173" i="2"/>
  <c r="G172" i="2"/>
  <c r="F172" i="2"/>
  <c r="I172" i="2" s="1"/>
  <c r="E172" i="2"/>
  <c r="E171" i="2"/>
  <c r="G170" i="2"/>
  <c r="F170" i="2"/>
  <c r="K170" i="2" s="1"/>
  <c r="E170" i="2"/>
  <c r="J170" i="2" s="1"/>
  <c r="H170" i="2" s="1"/>
  <c r="I169" i="2"/>
  <c r="F169" i="2"/>
  <c r="E169" i="2"/>
  <c r="F168" i="2"/>
  <c r="I168" i="2" s="1"/>
  <c r="E168" i="2"/>
  <c r="G168" i="2" s="1"/>
  <c r="K165" i="2"/>
  <c r="J165" i="2"/>
  <c r="H165" i="2" s="1"/>
  <c r="I165" i="2"/>
  <c r="E165" i="2"/>
  <c r="F165" i="2" s="1"/>
  <c r="K164" i="2"/>
  <c r="J164" i="2"/>
  <c r="H164" i="2" s="1"/>
  <c r="I164" i="2"/>
  <c r="G164" i="2"/>
  <c r="F164" i="2"/>
  <c r="E164" i="2"/>
  <c r="G163" i="2"/>
  <c r="F163" i="2"/>
  <c r="E163" i="2"/>
  <c r="F162" i="2"/>
  <c r="E162" i="2"/>
  <c r="K161" i="2"/>
  <c r="G161" i="2"/>
  <c r="F161" i="2"/>
  <c r="E161" i="2"/>
  <c r="E160" i="2"/>
  <c r="K159" i="2"/>
  <c r="I159" i="2"/>
  <c r="G159" i="2"/>
  <c r="F159" i="2"/>
  <c r="J159" i="2" s="1"/>
  <c r="H159" i="2" s="1"/>
  <c r="E159" i="2"/>
  <c r="I158" i="2"/>
  <c r="F158" i="2"/>
  <c r="E158" i="2"/>
  <c r="G158" i="2" s="1"/>
  <c r="K157" i="2"/>
  <c r="I157" i="2"/>
  <c r="G157" i="2"/>
  <c r="E157" i="2"/>
  <c r="F157" i="2" s="1"/>
  <c r="K156" i="2"/>
  <c r="J156" i="2"/>
  <c r="H156" i="2" s="1"/>
  <c r="I156" i="2"/>
  <c r="G156" i="2"/>
  <c r="F156" i="2"/>
  <c r="E156" i="2"/>
  <c r="E155" i="2"/>
  <c r="G155" i="2" s="1"/>
  <c r="J154" i="2"/>
  <c r="H154" i="2" s="1"/>
  <c r="G154" i="2"/>
  <c r="F154" i="2"/>
  <c r="I154" i="2" s="1"/>
  <c r="E154" i="2"/>
  <c r="F153" i="2"/>
  <c r="E153" i="2"/>
  <c r="G152" i="2"/>
  <c r="F152" i="2"/>
  <c r="K152" i="2" s="1"/>
  <c r="E152" i="2"/>
  <c r="E151" i="2"/>
  <c r="G151" i="2" s="1"/>
  <c r="I150" i="2"/>
  <c r="F150" i="2"/>
  <c r="J150" i="2" s="1"/>
  <c r="H150" i="2" s="1"/>
  <c r="E150" i="2"/>
  <c r="G150" i="2" s="1"/>
  <c r="I149" i="2"/>
  <c r="G149" i="2"/>
  <c r="E149" i="2"/>
  <c r="F149" i="2" s="1"/>
  <c r="K148" i="2"/>
  <c r="I148" i="2"/>
  <c r="G148" i="2"/>
  <c r="F148" i="2"/>
  <c r="J148" i="2" s="1"/>
  <c r="H148" i="2" s="1"/>
  <c r="E148" i="2"/>
  <c r="J147" i="2"/>
  <c r="H147" i="2" s="1"/>
  <c r="G147" i="2"/>
  <c r="F147" i="2"/>
  <c r="K147" i="2" s="1"/>
  <c r="E147" i="2"/>
  <c r="E146" i="2"/>
  <c r="K145" i="2"/>
  <c r="G145" i="2"/>
  <c r="F145" i="2"/>
  <c r="I145" i="2" s="1"/>
  <c r="E145" i="2"/>
  <c r="F144" i="2"/>
  <c r="E144" i="2"/>
  <c r="K143" i="2"/>
  <c r="G143" i="2"/>
  <c r="F143" i="2"/>
  <c r="I143" i="2" s="1"/>
  <c r="E143" i="2"/>
  <c r="J143" i="2" s="1"/>
  <c r="H143" i="2" s="1"/>
  <c r="E142" i="2"/>
  <c r="G142" i="2" s="1"/>
  <c r="K141" i="2"/>
  <c r="I141" i="2"/>
  <c r="G141" i="2"/>
  <c r="E141" i="2"/>
  <c r="F141" i="2" s="1"/>
  <c r="J141" i="2" s="1"/>
  <c r="H141" i="2" s="1"/>
  <c r="I140" i="2"/>
  <c r="G140" i="2"/>
  <c r="F140" i="2"/>
  <c r="K140" i="2" s="1"/>
  <c r="E140" i="2"/>
  <c r="F139" i="2"/>
  <c r="E139" i="2"/>
  <c r="J138" i="2"/>
  <c r="H138" i="2" s="1"/>
  <c r="G138" i="2"/>
  <c r="F138" i="2"/>
  <c r="E138" i="2"/>
  <c r="E135" i="2"/>
  <c r="K134" i="2"/>
  <c r="G134" i="2"/>
  <c r="F134" i="2"/>
  <c r="J134" i="2" s="1"/>
  <c r="H134" i="2" s="1"/>
  <c r="E134" i="2"/>
  <c r="I133" i="2"/>
  <c r="F133" i="2"/>
  <c r="E133" i="2"/>
  <c r="K133" i="2" s="1"/>
  <c r="K132" i="2"/>
  <c r="F132" i="2"/>
  <c r="I132" i="2" s="1"/>
  <c r="E132" i="2"/>
  <c r="G132" i="2" s="1"/>
  <c r="K131" i="2"/>
  <c r="J131" i="2"/>
  <c r="H131" i="2" s="1"/>
  <c r="I131" i="2"/>
  <c r="E131" i="2"/>
  <c r="F131" i="2" s="1"/>
  <c r="K130" i="2"/>
  <c r="J130" i="2"/>
  <c r="H130" i="2" s="1"/>
  <c r="I130" i="2"/>
  <c r="G130" i="2"/>
  <c r="F130" i="2"/>
  <c r="E130" i="2"/>
  <c r="J129" i="2"/>
  <c r="H129" i="2" s="1"/>
  <c r="G129" i="2"/>
  <c r="F129" i="2"/>
  <c r="E129" i="2"/>
  <c r="F128" i="2"/>
  <c r="E128" i="2"/>
  <c r="K127" i="2"/>
  <c r="G127" i="2"/>
  <c r="F127" i="2"/>
  <c r="E127" i="2"/>
  <c r="E126" i="2"/>
  <c r="K125" i="2"/>
  <c r="I125" i="2"/>
  <c r="G125" i="2"/>
  <c r="F125" i="2"/>
  <c r="J125" i="2" s="1"/>
  <c r="H125" i="2" s="1"/>
  <c r="E125" i="2"/>
  <c r="I124" i="2"/>
  <c r="F124" i="2"/>
  <c r="E124" i="2"/>
  <c r="G124" i="2" s="1"/>
  <c r="K123" i="2"/>
  <c r="I123" i="2"/>
  <c r="G123" i="2"/>
  <c r="E123" i="2"/>
  <c r="F123" i="2" s="1"/>
  <c r="K122" i="2"/>
  <c r="J122" i="2"/>
  <c r="H122" i="2" s="1"/>
  <c r="I122" i="2"/>
  <c r="G122" i="2"/>
  <c r="F122" i="2"/>
  <c r="E122" i="2"/>
  <c r="E121" i="2"/>
  <c r="G121" i="2" s="1"/>
  <c r="G120" i="2"/>
  <c r="F120" i="2"/>
  <c r="I120" i="2" s="1"/>
  <c r="E120" i="2"/>
  <c r="F119" i="2"/>
  <c r="E119" i="2"/>
  <c r="E118" i="2"/>
  <c r="G117" i="2"/>
  <c r="F117" i="2"/>
  <c r="K117" i="2" s="1"/>
  <c r="E117" i="2"/>
  <c r="E116" i="2"/>
  <c r="E115" i="2"/>
  <c r="G115" i="2" s="1"/>
  <c r="K114" i="2"/>
  <c r="I114" i="2"/>
  <c r="G114" i="2"/>
  <c r="E114" i="2"/>
  <c r="F114" i="2" s="1"/>
  <c r="G113" i="2"/>
  <c r="F113" i="2"/>
  <c r="E113" i="2"/>
  <c r="G112" i="2"/>
  <c r="E112" i="2"/>
  <c r="F111" i="2"/>
  <c r="E111" i="2"/>
  <c r="K111" i="2" s="1"/>
  <c r="G110" i="2"/>
  <c r="E110" i="2"/>
  <c r="J109" i="2"/>
  <c r="H109" i="2" s="1"/>
  <c r="G109" i="2"/>
  <c r="F109" i="2"/>
  <c r="K109" i="2" s="1"/>
  <c r="E109" i="2"/>
  <c r="I109" i="2" s="1"/>
  <c r="E108" i="2"/>
  <c r="E107" i="2"/>
  <c r="G107" i="2" s="1"/>
  <c r="G106" i="2"/>
  <c r="E106" i="2"/>
  <c r="F106" i="2" s="1"/>
  <c r="K106" i="2" s="1"/>
  <c r="J105" i="2"/>
  <c r="H105" i="2" s="1"/>
  <c r="G105" i="2"/>
  <c r="F105" i="2"/>
  <c r="E105" i="2"/>
  <c r="G104" i="2"/>
  <c r="E104" i="2"/>
  <c r="F103" i="2"/>
  <c r="E103" i="2"/>
  <c r="E102" i="2"/>
  <c r="G101" i="2"/>
  <c r="F101" i="2"/>
  <c r="K101" i="2" s="1"/>
  <c r="E101" i="2"/>
  <c r="E100" i="2"/>
  <c r="E99" i="2"/>
  <c r="G99" i="2" s="1"/>
  <c r="K98" i="2"/>
  <c r="I98" i="2"/>
  <c r="G98" i="2"/>
  <c r="E98" i="2"/>
  <c r="F98" i="2" s="1"/>
  <c r="G97" i="2"/>
  <c r="F97" i="2"/>
  <c r="E97" i="2"/>
  <c r="G96" i="2"/>
  <c r="E96" i="2"/>
  <c r="F93" i="2"/>
  <c r="E93" i="2"/>
  <c r="K93" i="2" s="1"/>
  <c r="G92" i="2"/>
  <c r="E92" i="2"/>
  <c r="J91" i="2"/>
  <c r="H91" i="2" s="1"/>
  <c r="G91" i="2"/>
  <c r="F91" i="2"/>
  <c r="K91" i="2" s="1"/>
  <c r="E91" i="2"/>
  <c r="I91" i="2" s="1"/>
  <c r="E90" i="2"/>
  <c r="E89" i="2"/>
  <c r="G89" i="2" s="1"/>
  <c r="G88" i="2"/>
  <c r="E88" i="2"/>
  <c r="F88" i="2" s="1"/>
  <c r="K88" i="2" s="1"/>
  <c r="J87" i="2"/>
  <c r="H87" i="2" s="1"/>
  <c r="G87" i="2"/>
  <c r="F87" i="2"/>
  <c r="E87" i="2"/>
  <c r="G86" i="2"/>
  <c r="E86" i="2"/>
  <c r="F85" i="2"/>
  <c r="E85" i="2"/>
  <c r="E84" i="2"/>
  <c r="G83" i="2"/>
  <c r="F83" i="2"/>
  <c r="K83" i="2" s="1"/>
  <c r="E83" i="2"/>
  <c r="E82" i="2"/>
  <c r="E81" i="2"/>
  <c r="G81" i="2" s="1"/>
  <c r="K80" i="2"/>
  <c r="I80" i="2"/>
  <c r="G80" i="2"/>
  <c r="E80" i="2"/>
  <c r="F80" i="2" s="1"/>
  <c r="G79" i="2"/>
  <c r="F79" i="2"/>
  <c r="E79" i="2"/>
  <c r="G78" i="2"/>
  <c r="E78" i="2"/>
  <c r="F77" i="2"/>
  <c r="E77" i="2"/>
  <c r="K77" i="2" s="1"/>
  <c r="G76" i="2"/>
  <c r="E76" i="2"/>
  <c r="J75" i="2"/>
  <c r="H75" i="2" s="1"/>
  <c r="G75" i="2"/>
  <c r="F75" i="2"/>
  <c r="K75" i="2" s="1"/>
  <c r="E75" i="2"/>
  <c r="I75" i="2" s="1"/>
  <c r="E74" i="2"/>
  <c r="E73" i="2"/>
  <c r="G73" i="2" s="1"/>
  <c r="G72" i="2"/>
  <c r="E72" i="2"/>
  <c r="F72" i="2" s="1"/>
  <c r="K72" i="2" s="1"/>
  <c r="J71" i="2"/>
  <c r="H71" i="2" s="1"/>
  <c r="G71" i="2"/>
  <c r="F71" i="2"/>
  <c r="K71" i="2" s="1"/>
  <c r="E71" i="2"/>
  <c r="G70" i="2"/>
  <c r="E70" i="2"/>
  <c r="F69" i="2"/>
  <c r="E69" i="2"/>
  <c r="E68" i="2"/>
  <c r="G67" i="2"/>
  <c r="F67" i="2"/>
  <c r="K67" i="2" s="1"/>
  <c r="E67" i="2"/>
  <c r="E66" i="2"/>
  <c r="E65" i="2"/>
  <c r="G65" i="2" s="1"/>
  <c r="K64" i="2"/>
  <c r="I64" i="2"/>
  <c r="G64" i="2"/>
  <c r="E64" i="2"/>
  <c r="F64" i="2" s="1"/>
  <c r="G61" i="2"/>
  <c r="F61" i="2"/>
  <c r="K61" i="2" s="1"/>
  <c r="E61" i="2"/>
  <c r="I61" i="2" s="1"/>
  <c r="I60" i="2"/>
  <c r="G60" i="2"/>
  <c r="F60" i="2"/>
  <c r="E60" i="2"/>
  <c r="F59" i="2"/>
  <c r="E59" i="2"/>
  <c r="G58" i="2"/>
  <c r="E58" i="2"/>
  <c r="G57" i="2"/>
  <c r="F57" i="2"/>
  <c r="K57" i="2" s="1"/>
  <c r="E57" i="2"/>
  <c r="E56" i="2"/>
  <c r="E55" i="2"/>
  <c r="G55" i="2" s="1"/>
  <c r="K54" i="2"/>
  <c r="I54" i="2"/>
  <c r="G54" i="2"/>
  <c r="E54" i="2"/>
  <c r="F54" i="2" s="1"/>
  <c r="G53" i="2"/>
  <c r="F53" i="2"/>
  <c r="K53" i="2" s="1"/>
  <c r="E53" i="2"/>
  <c r="E52" i="2"/>
  <c r="E51" i="2"/>
  <c r="F51" i="2" s="1"/>
  <c r="G50" i="2"/>
  <c r="E50" i="2"/>
  <c r="G49" i="2"/>
  <c r="F49" i="2"/>
  <c r="K49" i="2" s="1"/>
  <c r="E49" i="2"/>
  <c r="I49" i="2" s="1"/>
  <c r="E48" i="2"/>
  <c r="E47" i="2"/>
  <c r="G47" i="2" s="1"/>
  <c r="K46" i="2"/>
  <c r="I46" i="2"/>
  <c r="G46" i="2"/>
  <c r="E46" i="2"/>
  <c r="F46" i="2" s="1"/>
  <c r="J45" i="2"/>
  <c r="H45" i="2" s="1"/>
  <c r="G45" i="2"/>
  <c r="F45" i="2"/>
  <c r="K45" i="2" s="1"/>
  <c r="E45" i="2"/>
  <c r="E44" i="2"/>
  <c r="F44" i="2" s="1"/>
  <c r="F43" i="2"/>
  <c r="E43" i="2"/>
  <c r="G42" i="2"/>
  <c r="E42" i="2"/>
  <c r="G41" i="2"/>
  <c r="F41" i="2"/>
  <c r="J41" i="2" s="1"/>
  <c r="H41" i="2" s="1"/>
  <c r="E41" i="2"/>
  <c r="E40" i="2"/>
  <c r="E37" i="2"/>
  <c r="G37" i="2" s="1"/>
  <c r="G36" i="2"/>
  <c r="E36" i="2"/>
  <c r="F36" i="2" s="1"/>
  <c r="K36" i="2" s="1"/>
  <c r="J35" i="2"/>
  <c r="H35" i="2" s="1"/>
  <c r="G35" i="2"/>
  <c r="F35" i="2"/>
  <c r="K35" i="2" s="1"/>
  <c r="E35" i="2"/>
  <c r="F34" i="2"/>
  <c r="E34" i="2"/>
  <c r="F33" i="2"/>
  <c r="E33" i="2"/>
  <c r="E32" i="2"/>
  <c r="K31" i="2"/>
  <c r="J31" i="2"/>
  <c r="H31" i="2" s="1"/>
  <c r="G31" i="2"/>
  <c r="F31" i="2"/>
  <c r="E31" i="2"/>
  <c r="E30" i="2"/>
  <c r="E29" i="2"/>
  <c r="G29" i="2" s="1"/>
  <c r="G28" i="2"/>
  <c r="E28" i="2"/>
  <c r="F28" i="2" s="1"/>
  <c r="K28" i="2" s="1"/>
  <c r="J27" i="2"/>
  <c r="H27" i="2" s="1"/>
  <c r="G27" i="2"/>
  <c r="F27" i="2"/>
  <c r="K27" i="2" s="1"/>
  <c r="E27" i="2"/>
  <c r="E26" i="2"/>
  <c r="F26" i="2" s="1"/>
  <c r="F25" i="2"/>
  <c r="E25" i="2"/>
  <c r="E24" i="2"/>
  <c r="K23" i="2"/>
  <c r="J23" i="2"/>
  <c r="H23" i="2" s="1"/>
  <c r="G23" i="2"/>
  <c r="F23" i="2"/>
  <c r="E23" i="2"/>
  <c r="E22" i="2"/>
  <c r="E21" i="2"/>
  <c r="G21" i="2" s="1"/>
  <c r="G18" i="2"/>
  <c r="E18" i="2"/>
  <c r="F18" i="2" s="1"/>
  <c r="K18" i="2" s="1"/>
  <c r="J17" i="2"/>
  <c r="H17" i="2" s="1"/>
  <c r="G17" i="2"/>
  <c r="F17" i="2"/>
  <c r="K17" i="2" s="1"/>
  <c r="E17" i="2"/>
  <c r="I17" i="2" s="1"/>
  <c r="G16" i="2"/>
  <c r="F16" i="2"/>
  <c r="I16" i="2" s="1"/>
  <c r="E16" i="2"/>
  <c r="F15" i="2"/>
  <c r="E15" i="2"/>
  <c r="G14" i="2"/>
  <c r="E14" i="2"/>
  <c r="K13" i="2"/>
  <c r="J13" i="2"/>
  <c r="H13" i="2" s="1"/>
  <c r="G13" i="2"/>
  <c r="F13" i="2"/>
  <c r="E13" i="2"/>
  <c r="E12" i="2"/>
  <c r="E11" i="2"/>
  <c r="G11" i="2" s="1"/>
  <c r="I10" i="2"/>
  <c r="G10" i="2"/>
  <c r="E10" i="2"/>
  <c r="F10" i="2" s="1"/>
  <c r="K10" i="2" s="1"/>
  <c r="J9" i="2"/>
  <c r="H9" i="2" s="1"/>
  <c r="G9" i="2"/>
  <c r="F9" i="2"/>
  <c r="K9" i="2" s="1"/>
  <c r="E9" i="2"/>
  <c r="I9" i="2" s="1"/>
  <c r="I8" i="2"/>
  <c r="G8" i="2"/>
  <c r="F8" i="2"/>
  <c r="E8" i="2"/>
  <c r="E7" i="2"/>
  <c r="E6" i="2"/>
  <c r="G6" i="2" s="1"/>
  <c r="K5" i="2"/>
  <c r="J5" i="2"/>
  <c r="H5" i="2" s="1"/>
  <c r="G5" i="2"/>
  <c r="F5" i="2"/>
  <c r="E5" i="2"/>
  <c r="I5" i="2" s="1"/>
  <c r="E4" i="2"/>
  <c r="E3" i="2"/>
  <c r="G3" i="2" s="1"/>
  <c r="G74" i="2" l="1"/>
  <c r="F74" i="2"/>
  <c r="K74" i="2" s="1"/>
  <c r="J74" i="2"/>
  <c r="H74" i="2" s="1"/>
  <c r="G108" i="2"/>
  <c r="F108" i="2"/>
  <c r="J108" i="2" s="1"/>
  <c r="H108" i="2" s="1"/>
  <c r="J14" i="2"/>
  <c r="H14" i="2" s="1"/>
  <c r="F14" i="2"/>
  <c r="I14" i="2" s="1"/>
  <c r="G22" i="2"/>
  <c r="F22" i="2"/>
  <c r="I22" i="2" s="1"/>
  <c r="K34" i="2"/>
  <c r="J34" i="2"/>
  <c r="H34" i="2" s="1"/>
  <c r="I57" i="2"/>
  <c r="K59" i="2"/>
  <c r="J59" i="2"/>
  <c r="H59" i="2" s="1"/>
  <c r="I59" i="2"/>
  <c r="G59" i="2"/>
  <c r="K70" i="2"/>
  <c r="J70" i="2"/>
  <c r="H70" i="2" s="1"/>
  <c r="F70" i="2"/>
  <c r="I74" i="2"/>
  <c r="K79" i="2"/>
  <c r="I79" i="2"/>
  <c r="F86" i="2"/>
  <c r="K86" i="2" s="1"/>
  <c r="I90" i="2"/>
  <c r="K97" i="2"/>
  <c r="I97" i="2"/>
  <c r="K104" i="2"/>
  <c r="J104" i="2"/>
  <c r="H104" i="2" s="1"/>
  <c r="F104" i="2"/>
  <c r="I108" i="2"/>
  <c r="K113" i="2"/>
  <c r="I113" i="2"/>
  <c r="G192" i="2"/>
  <c r="K192" i="2"/>
  <c r="J192" i="2"/>
  <c r="H192" i="2" s="1"/>
  <c r="F192" i="2"/>
  <c r="I192" i="2" s="1"/>
  <c r="G212" i="2"/>
  <c r="F212" i="2"/>
  <c r="K212" i="2" s="1"/>
  <c r="I263" i="2"/>
  <c r="G263" i="2"/>
  <c r="F263" i="2"/>
  <c r="K263" i="2" s="1"/>
  <c r="G299" i="2"/>
  <c r="F299" i="2"/>
  <c r="K299" i="2" s="1"/>
  <c r="J330" i="2"/>
  <c r="H330" i="2" s="1"/>
  <c r="I330" i="2"/>
  <c r="K330" i="2"/>
  <c r="G12" i="2"/>
  <c r="F12" i="2"/>
  <c r="I12" i="2" s="1"/>
  <c r="K26" i="2"/>
  <c r="J26" i="2"/>
  <c r="H26" i="2" s="1"/>
  <c r="G26" i="2"/>
  <c r="G30" i="2"/>
  <c r="F30" i="2"/>
  <c r="J101" i="2"/>
  <c r="H101" i="2" s="1"/>
  <c r="G236" i="2"/>
  <c r="F236" i="2"/>
  <c r="K236" i="2" s="1"/>
  <c r="K287" i="2"/>
  <c r="J287" i="2"/>
  <c r="H287" i="2" s="1"/>
  <c r="I287" i="2"/>
  <c r="K12" i="2"/>
  <c r="G24" i="2"/>
  <c r="I26" i="2"/>
  <c r="I30" i="2"/>
  <c r="F32" i="2"/>
  <c r="J32" i="2" s="1"/>
  <c r="H32" i="2" s="1"/>
  <c r="G34" i="2"/>
  <c r="G40" i="2"/>
  <c r="F40" i="2"/>
  <c r="K40" i="2" s="1"/>
  <c r="K41" i="2"/>
  <c r="J49" i="2"/>
  <c r="H49" i="2" s="1"/>
  <c r="J53" i="2"/>
  <c r="H53" i="2" s="1"/>
  <c r="J68" i="2"/>
  <c r="H68" i="2" s="1"/>
  <c r="F68" i="2"/>
  <c r="I68" i="2" s="1"/>
  <c r="I70" i="2"/>
  <c r="I72" i="2"/>
  <c r="F84" i="2"/>
  <c r="J84" i="2" s="1"/>
  <c r="H84" i="2" s="1"/>
  <c r="I86" i="2"/>
  <c r="I88" i="2"/>
  <c r="J102" i="2"/>
  <c r="H102" i="2" s="1"/>
  <c r="I102" i="2"/>
  <c r="F102" i="2"/>
  <c r="I104" i="2"/>
  <c r="I106" i="2"/>
  <c r="J118" i="2"/>
  <c r="H118" i="2" s="1"/>
  <c r="I118" i="2"/>
  <c r="F118" i="2"/>
  <c r="K150" i="2"/>
  <c r="K163" i="2"/>
  <c r="I163" i="2"/>
  <c r="J172" i="2"/>
  <c r="H172" i="2" s="1"/>
  <c r="G183" i="2"/>
  <c r="F183" i="2"/>
  <c r="I183" i="2" s="1"/>
  <c r="J183" i="2"/>
  <c r="H183" i="2" s="1"/>
  <c r="G201" i="2"/>
  <c r="F201" i="2"/>
  <c r="J201" i="2" s="1"/>
  <c r="H201" i="2" s="1"/>
  <c r="K201" i="2"/>
  <c r="G237" i="2"/>
  <c r="F237" i="2"/>
  <c r="J237" i="2" s="1"/>
  <c r="H237" i="2" s="1"/>
  <c r="K237" i="2"/>
  <c r="K320" i="2"/>
  <c r="J320" i="2"/>
  <c r="H320" i="2" s="1"/>
  <c r="G320" i="2"/>
  <c r="F320" i="2"/>
  <c r="I320" i="2" s="1"/>
  <c r="J343" i="2"/>
  <c r="H343" i="2" s="1"/>
  <c r="K343" i="2"/>
  <c r="F343" i="2"/>
  <c r="I343" i="2"/>
  <c r="G343" i="2"/>
  <c r="F506" i="2"/>
  <c r="K506" i="2" s="1"/>
  <c r="J506" i="2"/>
  <c r="H506" i="2" s="1"/>
  <c r="I506" i="2"/>
  <c r="G506" i="2"/>
  <c r="I185" i="2"/>
  <c r="K185" i="2"/>
  <c r="J185" i="2"/>
  <c r="H185" i="2" s="1"/>
  <c r="F185" i="2"/>
  <c r="K44" i="2"/>
  <c r="J44" i="2"/>
  <c r="H44" i="2" s="1"/>
  <c r="K108" i="2"/>
  <c r="J117" i="2"/>
  <c r="H117" i="2" s="1"/>
  <c r="G7" i="2"/>
  <c r="K14" i="2"/>
  <c r="I18" i="2"/>
  <c r="F7" i="2"/>
  <c r="K7" i="2" s="1"/>
  <c r="I13" i="2"/>
  <c r="K15" i="2"/>
  <c r="J15" i="2"/>
  <c r="H15" i="2" s="1"/>
  <c r="I15" i="2"/>
  <c r="G15" i="2"/>
  <c r="I27" i="2"/>
  <c r="I28" i="2"/>
  <c r="J30" i="2"/>
  <c r="H30" i="2" s="1"/>
  <c r="G32" i="2"/>
  <c r="I34" i="2"/>
  <c r="I40" i="2"/>
  <c r="F42" i="2"/>
  <c r="K42" i="2" s="1"/>
  <c r="G44" i="2"/>
  <c r="G48" i="2"/>
  <c r="F48" i="2"/>
  <c r="F52" i="2"/>
  <c r="I52" i="2" s="1"/>
  <c r="J57" i="2"/>
  <c r="H57" i="2" s="1"/>
  <c r="K60" i="2"/>
  <c r="J60" i="2"/>
  <c r="H60" i="2" s="1"/>
  <c r="J61" i="2"/>
  <c r="H61" i="2" s="1"/>
  <c r="G66" i="2"/>
  <c r="F66" i="2"/>
  <c r="G68" i="2"/>
  <c r="I71" i="2"/>
  <c r="J79" i="2"/>
  <c r="H79" i="2" s="1"/>
  <c r="G82" i="2"/>
  <c r="F82" i="2"/>
  <c r="J82" i="2"/>
  <c r="H82" i="2" s="1"/>
  <c r="G84" i="2"/>
  <c r="J97" i="2"/>
  <c r="H97" i="2" s="1"/>
  <c r="G100" i="2"/>
  <c r="F100" i="2"/>
  <c r="J100" i="2" s="1"/>
  <c r="H100" i="2" s="1"/>
  <c r="G102" i="2"/>
  <c r="J113" i="2"/>
  <c r="H113" i="2" s="1"/>
  <c r="G116" i="2"/>
  <c r="F116" i="2"/>
  <c r="G118" i="2"/>
  <c r="I147" i="2"/>
  <c r="K168" i="2"/>
  <c r="K173" i="2"/>
  <c r="K189" i="2"/>
  <c r="I189" i="2"/>
  <c r="I201" i="2"/>
  <c r="K216" i="2"/>
  <c r="J216" i="2"/>
  <c r="H216" i="2" s="1"/>
  <c r="F216" i="2"/>
  <c r="I216" i="2" s="1"/>
  <c r="I225" i="2"/>
  <c r="K225" i="2"/>
  <c r="J6" i="2"/>
  <c r="H6" i="2" s="1"/>
  <c r="I6" i="2"/>
  <c r="F6" i="2"/>
  <c r="K6" i="2"/>
  <c r="J83" i="2"/>
  <c r="H83" i="2" s="1"/>
  <c r="I256" i="2"/>
  <c r="G256" i="2"/>
  <c r="K256" i="2"/>
  <c r="F256" i="2"/>
  <c r="J256" i="2" s="1"/>
  <c r="H256" i="2" s="1"/>
  <c r="G292" i="2"/>
  <c r="F292" i="2"/>
  <c r="J292" i="2" s="1"/>
  <c r="H292" i="2" s="1"/>
  <c r="I23" i="2"/>
  <c r="K25" i="2"/>
  <c r="J25" i="2"/>
  <c r="H25" i="2" s="1"/>
  <c r="I25" i="2"/>
  <c r="G25" i="2"/>
  <c r="K30" i="2"/>
  <c r="I35" i="2"/>
  <c r="I36" i="2"/>
  <c r="J40" i="2"/>
  <c r="H40" i="2" s="1"/>
  <c r="I44" i="2"/>
  <c r="J50" i="2"/>
  <c r="H50" i="2" s="1"/>
  <c r="I50" i="2"/>
  <c r="F50" i="2"/>
  <c r="K50" i="2" s="1"/>
  <c r="G52" i="2"/>
  <c r="G56" i="2"/>
  <c r="F56" i="2"/>
  <c r="K68" i="2"/>
  <c r="K78" i="2"/>
  <c r="J78" i="2"/>
  <c r="H78" i="2" s="1"/>
  <c r="F78" i="2"/>
  <c r="I78" i="2" s="1"/>
  <c r="K87" i="2"/>
  <c r="I87" i="2"/>
  <c r="K96" i="2"/>
  <c r="J96" i="2"/>
  <c r="H96" i="2" s="1"/>
  <c r="F96" i="2"/>
  <c r="I96" i="2" s="1"/>
  <c r="K102" i="2"/>
  <c r="K105" i="2"/>
  <c r="I105" i="2"/>
  <c r="F112" i="2"/>
  <c r="I112" i="2" s="1"/>
  <c r="K118" i="2"/>
  <c r="J120" i="2"/>
  <c r="H120" i="2" s="1"/>
  <c r="K169" i="2"/>
  <c r="K177" i="2"/>
  <c r="G180" i="2"/>
  <c r="F180" i="2"/>
  <c r="I180" i="2" s="1"/>
  <c r="J180" i="2"/>
  <c r="H180" i="2" s="1"/>
  <c r="K183" i="2"/>
  <c r="K207" i="2"/>
  <c r="J207" i="2"/>
  <c r="H207" i="2" s="1"/>
  <c r="I207" i="2"/>
  <c r="G219" i="2"/>
  <c r="F219" i="2"/>
  <c r="K219" i="2" s="1"/>
  <c r="J219" i="2"/>
  <c r="H219" i="2" s="1"/>
  <c r="I219" i="2"/>
  <c r="J230" i="2"/>
  <c r="H230" i="2" s="1"/>
  <c r="I230" i="2"/>
  <c r="G230" i="2"/>
  <c r="F230" i="2"/>
  <c r="K230" i="2" s="1"/>
  <c r="G249" i="2"/>
  <c r="F249" i="2"/>
  <c r="K249" i="2" s="1"/>
  <c r="K285" i="2"/>
  <c r="J285" i="2"/>
  <c r="H285" i="2" s="1"/>
  <c r="G285" i="2"/>
  <c r="F285" i="2"/>
  <c r="I285" i="2" s="1"/>
  <c r="K307" i="2"/>
  <c r="J307" i="2"/>
  <c r="H307" i="2" s="1"/>
  <c r="I307" i="2"/>
  <c r="G307" i="2"/>
  <c r="F307" i="2"/>
  <c r="F24" i="2"/>
  <c r="K24" i="2" s="1"/>
  <c r="K8" i="2"/>
  <c r="J8" i="2"/>
  <c r="H8" i="2" s="1"/>
  <c r="I31" i="2"/>
  <c r="K33" i="2"/>
  <c r="J33" i="2"/>
  <c r="H33" i="2" s="1"/>
  <c r="I33" i="2"/>
  <c r="G33" i="2"/>
  <c r="I45" i="2"/>
  <c r="I58" i="2"/>
  <c r="F58" i="2"/>
  <c r="K58" i="2" s="1"/>
  <c r="K69" i="2"/>
  <c r="K85" i="2"/>
  <c r="K103" i="2"/>
  <c r="K129" i="2"/>
  <c r="I129" i="2"/>
  <c r="J163" i="2"/>
  <c r="H163" i="2" s="1"/>
  <c r="K187" i="2"/>
  <c r="J187" i="2"/>
  <c r="H187" i="2" s="1"/>
  <c r="G187" i="2"/>
  <c r="F187" i="2"/>
  <c r="I187" i="2" s="1"/>
  <c r="K202" i="2"/>
  <c r="I202" i="2"/>
  <c r="K51" i="2"/>
  <c r="J51" i="2"/>
  <c r="H51" i="2" s="1"/>
  <c r="I51" i="2"/>
  <c r="G51" i="2"/>
  <c r="G90" i="2"/>
  <c r="F90" i="2"/>
  <c r="K90" i="2" s="1"/>
  <c r="G203" i="2"/>
  <c r="F203" i="2"/>
  <c r="K203" i="2" s="1"/>
  <c r="J67" i="2"/>
  <c r="H67" i="2" s="1"/>
  <c r="K251" i="2"/>
  <c r="J251" i="2"/>
  <c r="H251" i="2" s="1"/>
  <c r="I251" i="2"/>
  <c r="G4" i="2"/>
  <c r="F4" i="2"/>
  <c r="K16" i="2"/>
  <c r="J16" i="2"/>
  <c r="H16" i="2" s="1"/>
  <c r="I41" i="2"/>
  <c r="K43" i="2"/>
  <c r="J43" i="2"/>
  <c r="H43" i="2" s="1"/>
  <c r="I43" i="2"/>
  <c r="G43" i="2"/>
  <c r="I53" i="2"/>
  <c r="I67" i="2"/>
  <c r="J76" i="2"/>
  <c r="H76" i="2" s="1"/>
  <c r="I76" i="2"/>
  <c r="F76" i="2"/>
  <c r="K76" i="2" s="1"/>
  <c r="I83" i="2"/>
  <c r="F92" i="2"/>
  <c r="K92" i="2" s="1"/>
  <c r="I101" i="2"/>
  <c r="J110" i="2"/>
  <c r="H110" i="2" s="1"/>
  <c r="I110" i="2"/>
  <c r="F110" i="2"/>
  <c r="K110" i="2" s="1"/>
  <c r="I117" i="2"/>
  <c r="K139" i="2"/>
  <c r="G194" i="2"/>
  <c r="F194" i="2"/>
  <c r="K194" i="2" s="1"/>
  <c r="K223" i="2"/>
  <c r="J223" i="2"/>
  <c r="H223" i="2" s="1"/>
  <c r="G223" i="2"/>
  <c r="F223" i="2"/>
  <c r="I223" i="2" s="1"/>
  <c r="G276" i="2"/>
  <c r="F276" i="2"/>
  <c r="K276" i="2" s="1"/>
  <c r="K308" i="2"/>
  <c r="J308" i="2"/>
  <c r="H308" i="2" s="1"/>
  <c r="I308" i="2"/>
  <c r="J119" i="2"/>
  <c r="H119" i="2" s="1"/>
  <c r="K128" i="2"/>
  <c r="I144" i="2"/>
  <c r="J153" i="2"/>
  <c r="H153" i="2" s="1"/>
  <c r="K162" i="2"/>
  <c r="I178" i="2"/>
  <c r="K188" i="2"/>
  <c r="K195" i="2"/>
  <c r="J195" i="2"/>
  <c r="H195" i="2" s="1"/>
  <c r="J204" i="2"/>
  <c r="H204" i="2" s="1"/>
  <c r="I204" i="2"/>
  <c r="I213" i="2"/>
  <c r="G227" i="2"/>
  <c r="F227" i="2"/>
  <c r="J227" i="2" s="1"/>
  <c r="H227" i="2" s="1"/>
  <c r="K232" i="2"/>
  <c r="J232" i="2"/>
  <c r="H232" i="2" s="1"/>
  <c r="J248" i="2"/>
  <c r="H248" i="2" s="1"/>
  <c r="I248" i="2"/>
  <c r="G248" i="2"/>
  <c r="I255" i="2"/>
  <c r="G255" i="2"/>
  <c r="F255" i="2"/>
  <c r="J255" i="2" s="1"/>
  <c r="H255" i="2" s="1"/>
  <c r="K312" i="2"/>
  <c r="J312" i="2"/>
  <c r="H312" i="2" s="1"/>
  <c r="I312" i="2"/>
  <c r="G324" i="2"/>
  <c r="J324" i="2"/>
  <c r="H324" i="2" s="1"/>
  <c r="K324" i="2"/>
  <c r="I324" i="2"/>
  <c r="F324" i="2"/>
  <c r="J337" i="2"/>
  <c r="H337" i="2" s="1"/>
  <c r="F337" i="2"/>
  <c r="I337" i="2" s="1"/>
  <c r="F341" i="2"/>
  <c r="I341" i="2" s="1"/>
  <c r="J341" i="2"/>
  <c r="H341" i="2" s="1"/>
  <c r="K341" i="2"/>
  <c r="F383" i="2"/>
  <c r="I383" i="2" s="1"/>
  <c r="G383" i="2"/>
  <c r="K239" i="2"/>
  <c r="J239" i="2"/>
  <c r="H239" i="2" s="1"/>
  <c r="K258" i="2"/>
  <c r="K267" i="2"/>
  <c r="J267" i="2"/>
  <c r="H267" i="2" s="1"/>
  <c r="J274" i="2"/>
  <c r="H274" i="2" s="1"/>
  <c r="G274" i="2"/>
  <c r="G281" i="2"/>
  <c r="F281" i="2"/>
  <c r="K281" i="2" s="1"/>
  <c r="J306" i="2"/>
  <c r="H306" i="2" s="1"/>
  <c r="I306" i="2"/>
  <c r="G306" i="2"/>
  <c r="F306" i="2"/>
  <c r="K241" i="2"/>
  <c r="J241" i="2"/>
  <c r="H241" i="2" s="1"/>
  <c r="J10" i="2"/>
  <c r="H10" i="2" s="1"/>
  <c r="K11" i="2"/>
  <c r="J18" i="2"/>
  <c r="H18" i="2" s="1"/>
  <c r="J28" i="2"/>
  <c r="H28" i="2" s="1"/>
  <c r="J36" i="2"/>
  <c r="H36" i="2" s="1"/>
  <c r="K37" i="2"/>
  <c r="J46" i="2"/>
  <c r="H46" i="2" s="1"/>
  <c r="J54" i="2"/>
  <c r="H54" i="2" s="1"/>
  <c r="J64" i="2"/>
  <c r="H64" i="2" s="1"/>
  <c r="G69" i="2"/>
  <c r="J72" i="2"/>
  <c r="H72" i="2" s="1"/>
  <c r="K73" i="2"/>
  <c r="G77" i="2"/>
  <c r="J80" i="2"/>
  <c r="H80" i="2" s="1"/>
  <c r="G85" i="2"/>
  <c r="J88" i="2"/>
  <c r="H88" i="2" s="1"/>
  <c r="G93" i="2"/>
  <c r="J98" i="2"/>
  <c r="H98" i="2" s="1"/>
  <c r="G103" i="2"/>
  <c r="J106" i="2"/>
  <c r="H106" i="2" s="1"/>
  <c r="G111" i="2"/>
  <c r="J114" i="2"/>
  <c r="H114" i="2" s="1"/>
  <c r="K115" i="2"/>
  <c r="G119" i="2"/>
  <c r="J127" i="2"/>
  <c r="H127" i="2" s="1"/>
  <c r="G128" i="2"/>
  <c r="G133" i="2"/>
  <c r="K138" i="2"/>
  <c r="G139" i="2"/>
  <c r="G144" i="2"/>
  <c r="I152" i="2"/>
  <c r="G153" i="2"/>
  <c r="K155" i="2"/>
  <c r="J161" i="2"/>
  <c r="H161" i="2" s="1"/>
  <c r="G162" i="2"/>
  <c r="G169" i="2"/>
  <c r="K172" i="2"/>
  <c r="G173" i="2"/>
  <c r="G178" i="2"/>
  <c r="G188" i="2"/>
  <c r="G195" i="2"/>
  <c r="G204" i="2"/>
  <c r="K206" i="2"/>
  <c r="G213" i="2"/>
  <c r="K215" i="2"/>
  <c r="J215" i="2"/>
  <c r="H215" i="2" s="1"/>
  <c r="I220" i="2"/>
  <c r="J222" i="2"/>
  <c r="H222" i="2" s="1"/>
  <c r="I222" i="2"/>
  <c r="I229" i="2"/>
  <c r="G232" i="2"/>
  <c r="F239" i="2"/>
  <c r="I239" i="2" s="1"/>
  <c r="K248" i="2"/>
  <c r="K255" i="2"/>
  <c r="F258" i="2"/>
  <c r="J258" i="2" s="1"/>
  <c r="H258" i="2" s="1"/>
  <c r="F265" i="2"/>
  <c r="K265" i="2" s="1"/>
  <c r="F274" i="2"/>
  <c r="K274" i="2" s="1"/>
  <c r="K286" i="2"/>
  <c r="J286" i="2"/>
  <c r="H286" i="2" s="1"/>
  <c r="I286" i="2"/>
  <c r="K293" i="2"/>
  <c r="J293" i="2"/>
  <c r="H293" i="2" s="1"/>
  <c r="I293" i="2"/>
  <c r="K295" i="2"/>
  <c r="J295" i="2"/>
  <c r="H295" i="2" s="1"/>
  <c r="J300" i="2"/>
  <c r="H300" i="2" s="1"/>
  <c r="I300" i="2"/>
  <c r="G300" i="2"/>
  <c r="K306" i="2"/>
  <c r="G312" i="2"/>
  <c r="K317" i="2"/>
  <c r="J317" i="2"/>
  <c r="H317" i="2" s="1"/>
  <c r="G319" i="2"/>
  <c r="F319" i="2"/>
  <c r="J319" i="2" s="1"/>
  <c r="H319" i="2" s="1"/>
  <c r="I69" i="2"/>
  <c r="I77" i="2"/>
  <c r="I85" i="2"/>
  <c r="I93" i="2"/>
  <c r="I103" i="2"/>
  <c r="I111" i="2"/>
  <c r="I119" i="2"/>
  <c r="J124" i="2"/>
  <c r="H124" i="2" s="1"/>
  <c r="I128" i="2"/>
  <c r="J133" i="2"/>
  <c r="H133" i="2" s="1"/>
  <c r="I139" i="2"/>
  <c r="J140" i="2"/>
  <c r="H140" i="2" s="1"/>
  <c r="J144" i="2"/>
  <c r="H144" i="2" s="1"/>
  <c r="J149" i="2"/>
  <c r="H149" i="2" s="1"/>
  <c r="I153" i="2"/>
  <c r="J158" i="2"/>
  <c r="H158" i="2" s="1"/>
  <c r="I162" i="2"/>
  <c r="J169" i="2"/>
  <c r="H169" i="2" s="1"/>
  <c r="J171" i="2"/>
  <c r="H171" i="2" s="1"/>
  <c r="I173" i="2"/>
  <c r="J174" i="2"/>
  <c r="H174" i="2" s="1"/>
  <c r="J178" i="2"/>
  <c r="H178" i="2" s="1"/>
  <c r="I188" i="2"/>
  <c r="G191" i="2"/>
  <c r="F191" i="2"/>
  <c r="I195" i="2"/>
  <c r="K204" i="2"/>
  <c r="K213" i="2"/>
  <c r="K220" i="2"/>
  <c r="K224" i="2"/>
  <c r="I232" i="2"/>
  <c r="I240" i="2"/>
  <c r="I241" i="2"/>
  <c r="J266" i="2"/>
  <c r="H266" i="2" s="1"/>
  <c r="I266" i="2"/>
  <c r="I267" i="2"/>
  <c r="K275" i="2"/>
  <c r="J275" i="2"/>
  <c r="H275" i="2" s="1"/>
  <c r="I275" i="2"/>
  <c r="K277" i="2"/>
  <c r="J277" i="2"/>
  <c r="H277" i="2" s="1"/>
  <c r="I284" i="2"/>
  <c r="G284" i="2"/>
  <c r="G291" i="2"/>
  <c r="F291" i="2"/>
  <c r="I291" i="2" s="1"/>
  <c r="J304" i="2"/>
  <c r="H304" i="2" s="1"/>
  <c r="G315" i="2"/>
  <c r="F315" i="2"/>
  <c r="K315" i="2" s="1"/>
  <c r="I385" i="2"/>
  <c r="K385" i="2"/>
  <c r="F3" i="2"/>
  <c r="K3" i="2" s="1"/>
  <c r="F11" i="2"/>
  <c r="F21" i="2"/>
  <c r="F29" i="2"/>
  <c r="F37" i="2"/>
  <c r="F47" i="2"/>
  <c r="F55" i="2"/>
  <c r="K55" i="2" s="1"/>
  <c r="F65" i="2"/>
  <c r="K65" i="2" s="1"/>
  <c r="J69" i="2"/>
  <c r="H69" i="2" s="1"/>
  <c r="F73" i="2"/>
  <c r="J77" i="2"/>
  <c r="H77" i="2" s="1"/>
  <c r="F81" i="2"/>
  <c r="J85" i="2"/>
  <c r="H85" i="2" s="1"/>
  <c r="F89" i="2"/>
  <c r="K89" i="2" s="1"/>
  <c r="J93" i="2"/>
  <c r="H93" i="2" s="1"/>
  <c r="F99" i="2"/>
  <c r="J103" i="2"/>
  <c r="H103" i="2" s="1"/>
  <c r="F107" i="2"/>
  <c r="K107" i="2" s="1"/>
  <c r="J111" i="2"/>
  <c r="H111" i="2" s="1"/>
  <c r="F115" i="2"/>
  <c r="K119" i="2"/>
  <c r="F121" i="2"/>
  <c r="K124" i="2"/>
  <c r="F126" i="2"/>
  <c r="J128" i="2"/>
  <c r="H128" i="2" s="1"/>
  <c r="G131" i="2"/>
  <c r="F135" i="2"/>
  <c r="J139" i="2"/>
  <c r="H139" i="2" s="1"/>
  <c r="F142" i="2"/>
  <c r="K144" i="2"/>
  <c r="F146" i="2"/>
  <c r="K149" i="2"/>
  <c r="F151" i="2"/>
  <c r="K153" i="2"/>
  <c r="F155" i="2"/>
  <c r="K158" i="2"/>
  <c r="F160" i="2"/>
  <c r="J162" i="2"/>
  <c r="H162" i="2" s="1"/>
  <c r="G165" i="2"/>
  <c r="F171" i="2"/>
  <c r="J173" i="2"/>
  <c r="H173" i="2" s="1"/>
  <c r="F176" i="2"/>
  <c r="K178" i="2"/>
  <c r="F184" i="2"/>
  <c r="J188" i="2"/>
  <c r="H188" i="2" s="1"/>
  <c r="K198" i="2"/>
  <c r="J214" i="2"/>
  <c r="H214" i="2" s="1"/>
  <c r="F224" i="2"/>
  <c r="F231" i="2"/>
  <c r="K231" i="2" s="1"/>
  <c r="F240" i="2"/>
  <c r="K240" i="2" s="1"/>
  <c r="G247" i="2"/>
  <c r="F247" i="2"/>
  <c r="K247" i="2" s="1"/>
  <c r="F266" i="2"/>
  <c r="K266" i="2" s="1"/>
  <c r="F275" i="2"/>
  <c r="F284" i="2"/>
  <c r="J284" i="2" s="1"/>
  <c r="H284" i="2" s="1"/>
  <c r="G303" i="2"/>
  <c r="I303" i="2"/>
  <c r="K391" i="2"/>
  <c r="K430" i="2"/>
  <c r="J430" i="2"/>
  <c r="H430" i="2" s="1"/>
  <c r="I430" i="2"/>
  <c r="G430" i="2"/>
  <c r="F430" i="2"/>
  <c r="K120" i="2"/>
  <c r="J123" i="2"/>
  <c r="H123" i="2" s="1"/>
  <c r="G126" i="2"/>
  <c r="I127" i="2"/>
  <c r="J132" i="2"/>
  <c r="H132" i="2" s="1"/>
  <c r="I134" i="2"/>
  <c r="G135" i="2"/>
  <c r="I138" i="2"/>
  <c r="J145" i="2"/>
  <c r="H145" i="2" s="1"/>
  <c r="G146" i="2"/>
  <c r="J152" i="2"/>
  <c r="H152" i="2" s="1"/>
  <c r="K154" i="2"/>
  <c r="J157" i="2"/>
  <c r="H157" i="2" s="1"/>
  <c r="G160" i="2"/>
  <c r="I161" i="2"/>
  <c r="J168" i="2"/>
  <c r="H168" i="2" s="1"/>
  <c r="I170" i="2"/>
  <c r="G171" i="2"/>
  <c r="K179" i="2"/>
  <c r="J179" i="2"/>
  <c r="H179" i="2" s="1"/>
  <c r="I184" i="2"/>
  <c r="J186" i="2"/>
  <c r="H186" i="2" s="1"/>
  <c r="I186" i="2"/>
  <c r="I193" i="2"/>
  <c r="F198" i="2"/>
  <c r="I198" i="2" s="1"/>
  <c r="F205" i="2"/>
  <c r="I205" i="2" s="1"/>
  <c r="I206" i="2"/>
  <c r="G210" i="2"/>
  <c r="F210" i="2"/>
  <c r="F214" i="2"/>
  <c r="K214" i="2" s="1"/>
  <c r="I215" i="2"/>
  <c r="F221" i="2"/>
  <c r="K222" i="2"/>
  <c r="G224" i="2"/>
  <c r="F228" i="2"/>
  <c r="K229" i="2"/>
  <c r="G231" i="2"/>
  <c r="J238" i="2"/>
  <c r="H238" i="2" s="1"/>
  <c r="I238" i="2"/>
  <c r="G238" i="2"/>
  <c r="G240" i="2"/>
  <c r="K250" i="2"/>
  <c r="J250" i="2"/>
  <c r="H250" i="2" s="1"/>
  <c r="I250" i="2"/>
  <c r="K257" i="2"/>
  <c r="J257" i="2"/>
  <c r="H257" i="2" s="1"/>
  <c r="I257" i="2"/>
  <c r="K259" i="2"/>
  <c r="J259" i="2"/>
  <c r="H259" i="2" s="1"/>
  <c r="J264" i="2"/>
  <c r="H264" i="2" s="1"/>
  <c r="I264" i="2"/>
  <c r="G264" i="2"/>
  <c r="G266" i="2"/>
  <c r="G273" i="2"/>
  <c r="F273" i="2"/>
  <c r="G275" i="2"/>
  <c r="K284" i="2"/>
  <c r="F294" i="2"/>
  <c r="J294" i="2" s="1"/>
  <c r="H294" i="2" s="1"/>
  <c r="F303" i="2"/>
  <c r="K303" i="2" s="1"/>
  <c r="G311" i="2"/>
  <c r="F311" i="2"/>
  <c r="K311" i="2" s="1"/>
  <c r="K316" i="2"/>
  <c r="J316" i="2"/>
  <c r="H316" i="2" s="1"/>
  <c r="I316" i="2"/>
  <c r="I345" i="2"/>
  <c r="J327" i="2"/>
  <c r="H327" i="2" s="1"/>
  <c r="G327" i="2"/>
  <c r="F333" i="2"/>
  <c r="J333" i="2" s="1"/>
  <c r="H333" i="2" s="1"/>
  <c r="F347" i="2"/>
  <c r="J347" i="2" s="1"/>
  <c r="H347" i="2" s="1"/>
  <c r="F355" i="2"/>
  <c r="K355" i="2" s="1"/>
  <c r="G355" i="2"/>
  <c r="J361" i="2"/>
  <c r="H361" i="2" s="1"/>
  <c r="G361" i="2"/>
  <c r="I366" i="2"/>
  <c r="G376" i="2"/>
  <c r="F376" i="2"/>
  <c r="J380" i="2"/>
  <c r="H380" i="2" s="1"/>
  <c r="I380" i="2"/>
  <c r="J394" i="2"/>
  <c r="H394" i="2" s="1"/>
  <c r="I394" i="2"/>
  <c r="G394" i="2"/>
  <c r="K394" i="2"/>
  <c r="K411" i="2"/>
  <c r="J411" i="2"/>
  <c r="H411" i="2" s="1"/>
  <c r="F411" i="2"/>
  <c r="I411" i="2" s="1"/>
  <c r="G436" i="2"/>
  <c r="F436" i="2"/>
  <c r="K436" i="2" s="1"/>
  <c r="I477" i="2"/>
  <c r="I348" i="2"/>
  <c r="G353" i="2"/>
  <c r="F353" i="2"/>
  <c r="K353" i="2" s="1"/>
  <c r="J366" i="2"/>
  <c r="H366" i="2" s="1"/>
  <c r="G369" i="2"/>
  <c r="F369" i="2"/>
  <c r="J369" i="2" s="1"/>
  <c r="H369" i="2" s="1"/>
  <c r="K445" i="2"/>
  <c r="J445" i="2"/>
  <c r="H445" i="2" s="1"/>
  <c r="I445" i="2"/>
  <c r="G445" i="2"/>
  <c r="F445" i="2"/>
  <c r="G529" i="2"/>
  <c r="F529" i="2"/>
  <c r="I529" i="2" s="1"/>
  <c r="K329" i="2"/>
  <c r="I342" i="2"/>
  <c r="G342" i="2"/>
  <c r="F342" i="2"/>
  <c r="F344" i="2"/>
  <c r="K344" i="2" s="1"/>
  <c r="K348" i="2"/>
  <c r="J351" i="2"/>
  <c r="H351" i="2" s="1"/>
  <c r="K351" i="2"/>
  <c r="I351" i="2"/>
  <c r="I361" i="2"/>
  <c r="F367" i="2"/>
  <c r="K367" i="2" s="1"/>
  <c r="J367" i="2"/>
  <c r="H367" i="2" s="1"/>
  <c r="I369" i="2"/>
  <c r="F373" i="2"/>
  <c r="J373" i="2" s="1"/>
  <c r="H373" i="2" s="1"/>
  <c r="K386" i="2"/>
  <c r="G386" i="2"/>
  <c r="K392" i="2"/>
  <c r="J392" i="2"/>
  <c r="H392" i="2" s="1"/>
  <c r="K395" i="2"/>
  <c r="J395" i="2"/>
  <c r="H395" i="2" s="1"/>
  <c r="G395" i="2"/>
  <c r="K412" i="2"/>
  <c r="J412" i="2"/>
  <c r="H412" i="2" s="1"/>
  <c r="I412" i="2"/>
  <c r="G412" i="2"/>
  <c r="I418" i="2"/>
  <c r="G418" i="2"/>
  <c r="F418" i="2"/>
  <c r="J418" i="2" s="1"/>
  <c r="H418" i="2" s="1"/>
  <c r="K418" i="2"/>
  <c r="G470" i="2"/>
  <c r="F470" i="2"/>
  <c r="K470" i="2" s="1"/>
  <c r="J498" i="2"/>
  <c r="H498" i="2" s="1"/>
  <c r="I498" i="2"/>
  <c r="G498" i="2"/>
  <c r="F498" i="2"/>
  <c r="K498" i="2"/>
  <c r="F246" i="2"/>
  <c r="I305" i="2"/>
  <c r="G344" i="2"/>
  <c r="F349" i="2"/>
  <c r="G349" i="2"/>
  <c r="I371" i="2"/>
  <c r="G379" i="2"/>
  <c r="F386" i="2"/>
  <c r="I386" i="2" s="1"/>
  <c r="G399" i="2"/>
  <c r="F399" i="2"/>
  <c r="I399" i="2" s="1"/>
  <c r="I404" i="2"/>
  <c r="F404" i="2"/>
  <c r="K404" i="2" s="1"/>
  <c r="I409" i="2"/>
  <c r="G409" i="2"/>
  <c r="F409" i="2"/>
  <c r="G419" i="2"/>
  <c r="K438" i="2"/>
  <c r="J438" i="2"/>
  <c r="H438" i="2" s="1"/>
  <c r="I438" i="2"/>
  <c r="F438" i="2"/>
  <c r="G479" i="2"/>
  <c r="F479" i="2"/>
  <c r="K479" i="2" s="1"/>
  <c r="I521" i="2"/>
  <c r="K521" i="2"/>
  <c r="F521" i="2"/>
  <c r="J521" i="2" s="1"/>
  <c r="H521" i="2" s="1"/>
  <c r="G521" i="2"/>
  <c r="F235" i="2"/>
  <c r="F245" i="2"/>
  <c r="F253" i="2"/>
  <c r="F261" i="2"/>
  <c r="F271" i="2"/>
  <c r="F279" i="2"/>
  <c r="F289" i="2"/>
  <c r="F297" i="2"/>
  <c r="F305" i="2"/>
  <c r="G310" i="2"/>
  <c r="F314" i="2"/>
  <c r="I318" i="2"/>
  <c r="G318" i="2"/>
  <c r="I323" i="2"/>
  <c r="K327" i="2"/>
  <c r="G329" i="2"/>
  <c r="I332" i="2"/>
  <c r="G332" i="2"/>
  <c r="J332" i="2"/>
  <c r="H332" i="2" s="1"/>
  <c r="K334" i="2"/>
  <c r="I334" i="2"/>
  <c r="J334" i="2"/>
  <c r="H334" i="2" s="1"/>
  <c r="F334" i="2"/>
  <c r="I340" i="2"/>
  <c r="J342" i="2"/>
  <c r="H342" i="2" s="1"/>
  <c r="K347" i="2"/>
  <c r="G351" i="2"/>
  <c r="K354" i="2"/>
  <c r="G362" i="2"/>
  <c r="F362" i="2"/>
  <c r="J362" i="2" s="1"/>
  <c r="H362" i="2" s="1"/>
  <c r="I367" i="2"/>
  <c r="F375" i="2"/>
  <c r="I375" i="2" s="1"/>
  <c r="F379" i="2"/>
  <c r="G381" i="2"/>
  <c r="I390" i="2"/>
  <c r="I392" i="2"/>
  <c r="I395" i="2"/>
  <c r="J399" i="2"/>
  <c r="H399" i="2" s="1"/>
  <c r="I401" i="2"/>
  <c r="G401" i="2"/>
  <c r="F401" i="2"/>
  <c r="J401" i="2" s="1"/>
  <c r="H401" i="2" s="1"/>
  <c r="G404" i="2"/>
  <c r="J409" i="2"/>
  <c r="H409" i="2" s="1"/>
  <c r="K413" i="2"/>
  <c r="F419" i="2"/>
  <c r="K419" i="2" s="1"/>
  <c r="G438" i="2"/>
  <c r="K456" i="2"/>
  <c r="G456" i="2"/>
  <c r="F456" i="2"/>
  <c r="J456" i="2" s="1"/>
  <c r="H456" i="2" s="1"/>
  <c r="K499" i="2"/>
  <c r="J499" i="2"/>
  <c r="H499" i="2" s="1"/>
  <c r="I499" i="2"/>
  <c r="K559" i="2"/>
  <c r="J559" i="2"/>
  <c r="H559" i="2" s="1"/>
  <c r="I559" i="2"/>
  <c r="G584" i="2"/>
  <c r="F584" i="2"/>
  <c r="K584" i="2" s="1"/>
  <c r="G305" i="2"/>
  <c r="I313" i="2"/>
  <c r="G314" i="2"/>
  <c r="J323" i="2"/>
  <c r="H323" i="2" s="1"/>
  <c r="K328" i="2"/>
  <c r="I328" i="2"/>
  <c r="K340" i="2"/>
  <c r="K342" i="2"/>
  <c r="J345" i="2"/>
  <c r="H345" i="2" s="1"/>
  <c r="G345" i="2"/>
  <c r="K352" i="2"/>
  <c r="I352" i="2"/>
  <c r="G352" i="2"/>
  <c r="I360" i="2"/>
  <c r="G360" i="2"/>
  <c r="K360" i="2"/>
  <c r="J360" i="2"/>
  <c r="H360" i="2" s="1"/>
  <c r="I368" i="2"/>
  <c r="G368" i="2"/>
  <c r="I381" i="2"/>
  <c r="J384" i="2"/>
  <c r="H384" i="2" s="1"/>
  <c r="J389" i="2"/>
  <c r="H389" i="2" s="1"/>
  <c r="F389" i="2"/>
  <c r="K389" i="2" s="1"/>
  <c r="F393" i="2"/>
  <c r="K393" i="2" s="1"/>
  <c r="J393" i="2"/>
  <c r="H393" i="2" s="1"/>
  <c r="K396" i="2"/>
  <c r="I396" i="2"/>
  <c r="G396" i="2"/>
  <c r="K399" i="2"/>
  <c r="K409" i="2"/>
  <c r="I420" i="2"/>
  <c r="G420" i="2"/>
  <c r="F420" i="2"/>
  <c r="K420" i="2" s="1"/>
  <c r="K439" i="2"/>
  <c r="G509" i="2"/>
  <c r="F509" i="2"/>
  <c r="I509" i="2" s="1"/>
  <c r="K531" i="2"/>
  <c r="F531" i="2"/>
  <c r="I531" i="2" s="1"/>
  <c r="J531" i="2"/>
  <c r="H531" i="2" s="1"/>
  <c r="G531" i="2"/>
  <c r="G391" i="2"/>
  <c r="F391" i="2"/>
  <c r="J391" i="2" s="1"/>
  <c r="H391" i="2" s="1"/>
  <c r="I391" i="2"/>
  <c r="J402" i="2"/>
  <c r="H402" i="2" s="1"/>
  <c r="I402" i="2"/>
  <c r="G402" i="2"/>
  <c r="K421" i="2"/>
  <c r="G429" i="2"/>
  <c r="F429" i="2"/>
  <c r="K429" i="2" s="1"/>
  <c r="I443" i="2"/>
  <c r="K490" i="2"/>
  <c r="G490" i="2"/>
  <c r="F490" i="2"/>
  <c r="J490" i="2" s="1"/>
  <c r="H490" i="2" s="1"/>
  <c r="F588" i="2"/>
  <c r="J588" i="2" s="1"/>
  <c r="H588" i="2" s="1"/>
  <c r="G588" i="2"/>
  <c r="G350" i="2"/>
  <c r="J403" i="2"/>
  <c r="H403" i="2" s="1"/>
  <c r="I403" i="2"/>
  <c r="I410" i="2"/>
  <c r="G410" i="2"/>
  <c r="K494" i="2"/>
  <c r="J494" i="2"/>
  <c r="H494" i="2" s="1"/>
  <c r="I494" i="2"/>
  <c r="G494" i="2"/>
  <c r="F494" i="2"/>
  <c r="I507" i="2"/>
  <c r="K507" i="2"/>
  <c r="J507" i="2"/>
  <c r="H507" i="2" s="1"/>
  <c r="J512" i="2"/>
  <c r="H512" i="2" s="1"/>
  <c r="F512" i="2"/>
  <c r="K512" i="2" s="1"/>
  <c r="I512" i="2"/>
  <c r="F542" i="2"/>
  <c r="I542" i="2" s="1"/>
  <c r="G542" i="2"/>
  <c r="K542" i="2"/>
  <c r="J542" i="2"/>
  <c r="H542" i="2" s="1"/>
  <c r="G600" i="2"/>
  <c r="I609" i="2"/>
  <c r="J609" i="2"/>
  <c r="H609" i="2" s="1"/>
  <c r="G609" i="2"/>
  <c r="K643" i="2"/>
  <c r="J643" i="2"/>
  <c r="H643" i="2" s="1"/>
  <c r="I643" i="2"/>
  <c r="G643" i="2"/>
  <c r="F643" i="2"/>
  <c r="I326" i="2"/>
  <c r="F350" i="2"/>
  <c r="J350" i="2" s="1"/>
  <c r="H350" i="2" s="1"/>
  <c r="G357" i="2"/>
  <c r="G365" i="2"/>
  <c r="J371" i="2"/>
  <c r="H371" i="2" s="1"/>
  <c r="K378" i="2"/>
  <c r="I378" i="2"/>
  <c r="J385" i="2"/>
  <c r="H385" i="2" s="1"/>
  <c r="K390" i="2"/>
  <c r="F403" i="2"/>
  <c r="K403" i="2" s="1"/>
  <c r="F410" i="2"/>
  <c r="K410" i="2" s="1"/>
  <c r="J428" i="2"/>
  <c r="H428" i="2" s="1"/>
  <c r="I428" i="2"/>
  <c r="G428" i="2"/>
  <c r="F428" i="2"/>
  <c r="K428" i="2" s="1"/>
  <c r="K437" i="2"/>
  <c r="J437" i="2"/>
  <c r="H437" i="2" s="1"/>
  <c r="I437" i="2"/>
  <c r="G437" i="2"/>
  <c r="K446" i="2"/>
  <c r="J446" i="2"/>
  <c r="H446" i="2" s="1"/>
  <c r="I446" i="2"/>
  <c r="G462" i="2"/>
  <c r="F462" i="2"/>
  <c r="K462" i="2" s="1"/>
  <c r="K465" i="2"/>
  <c r="I465" i="2"/>
  <c r="K471" i="2"/>
  <c r="J471" i="2"/>
  <c r="H471" i="2" s="1"/>
  <c r="I471" i="2"/>
  <c r="G471" i="2"/>
  <c r="K480" i="2"/>
  <c r="J480" i="2"/>
  <c r="H480" i="2" s="1"/>
  <c r="I480" i="2"/>
  <c r="I495" i="2"/>
  <c r="K495" i="2"/>
  <c r="J495" i="2"/>
  <c r="H495" i="2" s="1"/>
  <c r="K503" i="2"/>
  <c r="I503" i="2"/>
  <c r="J503" i="2"/>
  <c r="H503" i="2" s="1"/>
  <c r="G503" i="2"/>
  <c r="G512" i="2"/>
  <c r="I519" i="2"/>
  <c r="G519" i="2"/>
  <c r="K519" i="2"/>
  <c r="J519" i="2"/>
  <c r="H519" i="2" s="1"/>
  <c r="F519" i="2"/>
  <c r="F546" i="2"/>
  <c r="I546" i="2" s="1"/>
  <c r="K546" i="2"/>
  <c r="J582" i="2"/>
  <c r="H582" i="2" s="1"/>
  <c r="K582" i="2"/>
  <c r="I582" i="2"/>
  <c r="G582" i="2"/>
  <c r="F582" i="2"/>
  <c r="J593" i="2"/>
  <c r="H593" i="2" s="1"/>
  <c r="G593" i="2"/>
  <c r="F593" i="2"/>
  <c r="K593" i="2" s="1"/>
  <c r="F600" i="2"/>
  <c r="F609" i="2"/>
  <c r="K609" i="2" s="1"/>
  <c r="F688" i="2"/>
  <c r="K688" i="2"/>
  <c r="J688" i="2"/>
  <c r="H688" i="2" s="1"/>
  <c r="I688" i="2"/>
  <c r="J454" i="2"/>
  <c r="H454" i="2" s="1"/>
  <c r="I454" i="2"/>
  <c r="G454" i="2"/>
  <c r="F454" i="2"/>
  <c r="K454" i="2" s="1"/>
  <c r="I463" i="2"/>
  <c r="G463" i="2"/>
  <c r="I472" i="2"/>
  <c r="G488" i="2"/>
  <c r="F488" i="2"/>
  <c r="J488" i="2" s="1"/>
  <c r="H488" i="2" s="1"/>
  <c r="K491" i="2"/>
  <c r="J491" i="2"/>
  <c r="H491" i="2" s="1"/>
  <c r="I491" i="2"/>
  <c r="I515" i="2"/>
  <c r="K515" i="2"/>
  <c r="J515" i="2"/>
  <c r="H515" i="2" s="1"/>
  <c r="F523" i="2"/>
  <c r="K523" i="2" s="1"/>
  <c r="J523" i="2"/>
  <c r="H523" i="2" s="1"/>
  <c r="I523" i="2"/>
  <c r="G523" i="2"/>
  <c r="K552" i="2"/>
  <c r="F570" i="2"/>
  <c r="J570" i="2"/>
  <c r="H570" i="2" s="1"/>
  <c r="I570" i="2"/>
  <c r="G570" i="2"/>
  <c r="K570" i="2"/>
  <c r="K579" i="2"/>
  <c r="J579" i="2"/>
  <c r="H579" i="2" s="1"/>
  <c r="I579" i="2"/>
  <c r="K673" i="2"/>
  <c r="J673" i="2"/>
  <c r="H673" i="2" s="1"/>
  <c r="I673" i="2"/>
  <c r="K350" i="2"/>
  <c r="K357" i="2"/>
  <c r="J363" i="2"/>
  <c r="H363" i="2" s="1"/>
  <c r="J365" i="2"/>
  <c r="H365" i="2" s="1"/>
  <c r="K370" i="2"/>
  <c r="I370" i="2"/>
  <c r="J377" i="2"/>
  <c r="H377" i="2" s="1"/>
  <c r="K380" i="2"/>
  <c r="I384" i="2"/>
  <c r="G384" i="2"/>
  <c r="I435" i="2"/>
  <c r="K447" i="2"/>
  <c r="F463" i="2"/>
  <c r="K463" i="2" s="1"/>
  <c r="F472" i="2"/>
  <c r="K472" i="2" s="1"/>
  <c r="K483" i="2"/>
  <c r="K488" i="2"/>
  <c r="F500" i="2"/>
  <c r="F544" i="2"/>
  <c r="I544" i="2" s="1"/>
  <c r="F552" i="2"/>
  <c r="J552" i="2" s="1"/>
  <c r="H552" i="2" s="1"/>
  <c r="F598" i="2"/>
  <c r="G598" i="2"/>
  <c r="G444" i="2"/>
  <c r="F444" i="2"/>
  <c r="K455" i="2"/>
  <c r="J455" i="2"/>
  <c r="H455" i="2" s="1"/>
  <c r="I455" i="2"/>
  <c r="G455" i="2"/>
  <c r="K464" i="2"/>
  <c r="J464" i="2"/>
  <c r="H464" i="2" s="1"/>
  <c r="I464" i="2"/>
  <c r="J478" i="2"/>
  <c r="H478" i="2" s="1"/>
  <c r="G478" i="2"/>
  <c r="F478" i="2"/>
  <c r="K478" i="2" s="1"/>
  <c r="K489" i="2"/>
  <c r="J489" i="2"/>
  <c r="H489" i="2" s="1"/>
  <c r="I489" i="2"/>
  <c r="G489" i="2"/>
  <c r="K539" i="2"/>
  <c r="J539" i="2"/>
  <c r="H539" i="2" s="1"/>
  <c r="F539" i="2"/>
  <c r="I539" i="2"/>
  <c r="G539" i="2"/>
  <c r="G552" i="2"/>
  <c r="G602" i="2"/>
  <c r="F602" i="2"/>
  <c r="K619" i="2"/>
  <c r="I619" i="2"/>
  <c r="J619" i="2"/>
  <c r="H619" i="2" s="1"/>
  <c r="J564" i="2"/>
  <c r="H564" i="2" s="1"/>
  <c r="K564" i="2"/>
  <c r="F564" i="2"/>
  <c r="I564" i="2" s="1"/>
  <c r="J566" i="2"/>
  <c r="H566" i="2" s="1"/>
  <c r="G566" i="2"/>
  <c r="F566" i="2"/>
  <c r="K566" i="2"/>
  <c r="G573" i="2"/>
  <c r="F580" i="2"/>
  <c r="G580" i="2"/>
  <c r="F610" i="2"/>
  <c r="I610" i="2" s="1"/>
  <c r="K525" i="2"/>
  <c r="I525" i="2"/>
  <c r="G527" i="2"/>
  <c r="F527" i="2"/>
  <c r="I533" i="2"/>
  <c r="K533" i="2"/>
  <c r="G535" i="2"/>
  <c r="K535" i="2"/>
  <c r="F535" i="2"/>
  <c r="J535" i="2" s="1"/>
  <c r="H535" i="2" s="1"/>
  <c r="F537" i="2"/>
  <c r="K553" i="2"/>
  <c r="F553" i="2"/>
  <c r="I553" i="2" s="1"/>
  <c r="K555" i="2"/>
  <c r="G555" i="2"/>
  <c r="F555" i="2"/>
  <c r="J555" i="2" s="1"/>
  <c r="H555" i="2" s="1"/>
  <c r="G564" i="2"/>
  <c r="I566" i="2"/>
  <c r="F573" i="2"/>
  <c r="J573" i="2" s="1"/>
  <c r="H573" i="2" s="1"/>
  <c r="J594" i="2"/>
  <c r="H594" i="2" s="1"/>
  <c r="K594" i="2"/>
  <c r="F594" i="2"/>
  <c r="K603" i="2"/>
  <c r="J603" i="2"/>
  <c r="H603" i="2" s="1"/>
  <c r="I603" i="2"/>
  <c r="G610" i="2"/>
  <c r="F612" i="2"/>
  <c r="I612" i="2" s="1"/>
  <c r="G612" i="2"/>
  <c r="J612" i="2"/>
  <c r="H612" i="2" s="1"/>
  <c r="F615" i="2"/>
  <c r="I615" i="2" s="1"/>
  <c r="K644" i="2"/>
  <c r="J644" i="2"/>
  <c r="H644" i="2" s="1"/>
  <c r="I644" i="2"/>
  <c r="G644" i="2"/>
  <c r="F644" i="2"/>
  <c r="J413" i="2"/>
  <c r="H413" i="2" s="1"/>
  <c r="F417" i="2"/>
  <c r="I417" i="2" s="1"/>
  <c r="J421" i="2"/>
  <c r="H421" i="2" s="1"/>
  <c r="F427" i="2"/>
  <c r="I427" i="2" s="1"/>
  <c r="J431" i="2"/>
  <c r="H431" i="2" s="1"/>
  <c r="F435" i="2"/>
  <c r="J439" i="2"/>
  <c r="H439" i="2" s="1"/>
  <c r="F443" i="2"/>
  <c r="J447" i="2"/>
  <c r="H447" i="2" s="1"/>
  <c r="F453" i="2"/>
  <c r="J457" i="2"/>
  <c r="H457" i="2" s="1"/>
  <c r="F461" i="2"/>
  <c r="I461" i="2" s="1"/>
  <c r="F469" i="2"/>
  <c r="J473" i="2"/>
  <c r="H473" i="2" s="1"/>
  <c r="F477" i="2"/>
  <c r="J483" i="2"/>
  <c r="H483" i="2" s="1"/>
  <c r="F487" i="2"/>
  <c r="K497" i="2"/>
  <c r="J502" i="2"/>
  <c r="H502" i="2" s="1"/>
  <c r="K505" i="2"/>
  <c r="G514" i="2"/>
  <c r="G537" i="2"/>
  <c r="G543" i="2"/>
  <c r="K543" i="2"/>
  <c r="I543" i="2"/>
  <c r="I545" i="2"/>
  <c r="F545" i="2"/>
  <c r="K545" i="2" s="1"/>
  <c r="F547" i="2"/>
  <c r="K547" i="2" s="1"/>
  <c r="G553" i="2"/>
  <c r="I555" i="2"/>
  <c r="F574" i="2"/>
  <c r="J574" i="2" s="1"/>
  <c r="H574" i="2" s="1"/>
  <c r="K585" i="2"/>
  <c r="J585" i="2"/>
  <c r="H585" i="2" s="1"/>
  <c r="I585" i="2"/>
  <c r="G594" i="2"/>
  <c r="F596" i="2"/>
  <c r="J596" i="2" s="1"/>
  <c r="H596" i="2" s="1"/>
  <c r="I596" i="2"/>
  <c r="G596" i="2"/>
  <c r="K596" i="2"/>
  <c r="K612" i="2"/>
  <c r="G615" i="2"/>
  <c r="K635" i="2"/>
  <c r="F635" i="2"/>
  <c r="J635" i="2" s="1"/>
  <c r="H635" i="2" s="1"/>
  <c r="G639" i="2"/>
  <c r="K639" i="2"/>
  <c r="J639" i="2"/>
  <c r="H639" i="2" s="1"/>
  <c r="I639" i="2"/>
  <c r="I656" i="2"/>
  <c r="F662" i="2"/>
  <c r="K662" i="2" s="1"/>
  <c r="J662" i="2"/>
  <c r="H662" i="2" s="1"/>
  <c r="I662" i="2"/>
  <c r="J666" i="2"/>
  <c r="H666" i="2" s="1"/>
  <c r="K666" i="2"/>
  <c r="I666" i="2"/>
  <c r="G666" i="2"/>
  <c r="F666" i="2"/>
  <c r="J695" i="2"/>
  <c r="H695" i="2" s="1"/>
  <c r="I695" i="2"/>
  <c r="G417" i="2"/>
  <c r="G427" i="2"/>
  <c r="G435" i="2"/>
  <c r="G443" i="2"/>
  <c r="G453" i="2"/>
  <c r="G461" i="2"/>
  <c r="G469" i="2"/>
  <c r="G477" i="2"/>
  <c r="G487" i="2"/>
  <c r="I514" i="2"/>
  <c r="I535" i="2"/>
  <c r="G547" i="2"/>
  <c r="I558" i="2"/>
  <c r="F560" i="2"/>
  <c r="J560" i="2" s="1"/>
  <c r="H560" i="2" s="1"/>
  <c r="K560" i="2"/>
  <c r="G560" i="2"/>
  <c r="I562" i="2"/>
  <c r="G562" i="2"/>
  <c r="F562" i="2"/>
  <c r="K562" i="2"/>
  <c r="K567" i="2"/>
  <c r="J567" i="2"/>
  <c r="H567" i="2" s="1"/>
  <c r="I567" i="2"/>
  <c r="F578" i="2"/>
  <c r="G578" i="2"/>
  <c r="F604" i="2"/>
  <c r="J604" i="2" s="1"/>
  <c r="H604" i="2" s="1"/>
  <c r="K604" i="2"/>
  <c r="G604" i="2"/>
  <c r="I608" i="2"/>
  <c r="G623" i="2"/>
  <c r="K653" i="2"/>
  <c r="J653" i="2"/>
  <c r="H653" i="2" s="1"/>
  <c r="I653" i="2"/>
  <c r="G667" i="2"/>
  <c r="I691" i="2"/>
  <c r="G691" i="2"/>
  <c r="F691" i="2"/>
  <c r="J691" i="2" s="1"/>
  <c r="H691" i="2" s="1"/>
  <c r="K691" i="2"/>
  <c r="F407" i="2"/>
  <c r="F415" i="2"/>
  <c r="F423" i="2"/>
  <c r="F433" i="2"/>
  <c r="F441" i="2"/>
  <c r="F451" i="2"/>
  <c r="F459" i="2"/>
  <c r="F467" i="2"/>
  <c r="F475" i="2"/>
  <c r="F485" i="2"/>
  <c r="J496" i="2"/>
  <c r="H496" i="2" s="1"/>
  <c r="J504" i="2"/>
  <c r="H504" i="2" s="1"/>
  <c r="F508" i="2"/>
  <c r="J510" i="2"/>
  <c r="H510" i="2" s="1"/>
  <c r="J514" i="2"/>
  <c r="H514" i="2" s="1"/>
  <c r="F518" i="2"/>
  <c r="J518" i="2"/>
  <c r="H518" i="2" s="1"/>
  <c r="K520" i="2"/>
  <c r="I520" i="2"/>
  <c r="J522" i="2"/>
  <c r="H522" i="2" s="1"/>
  <c r="F522" i="2"/>
  <c r="F524" i="2"/>
  <c r="J525" i="2"/>
  <c r="H525" i="2" s="1"/>
  <c r="F530" i="2"/>
  <c r="I530" i="2" s="1"/>
  <c r="F532" i="2"/>
  <c r="J533" i="2"/>
  <c r="H533" i="2" s="1"/>
  <c r="J538" i="2"/>
  <c r="H538" i="2" s="1"/>
  <c r="K538" i="2"/>
  <c r="I547" i="2"/>
  <c r="G551" i="2"/>
  <c r="F551" i="2"/>
  <c r="F558" i="2"/>
  <c r="K558" i="2" s="1"/>
  <c r="J562" i="2"/>
  <c r="H562" i="2" s="1"/>
  <c r="F586" i="2"/>
  <c r="G586" i="2"/>
  <c r="I594" i="2"/>
  <c r="F616" i="2"/>
  <c r="J616" i="2" s="1"/>
  <c r="H616" i="2" s="1"/>
  <c r="I616" i="2"/>
  <c r="G616" i="2"/>
  <c r="F623" i="2"/>
  <c r="J623" i="2" s="1"/>
  <c r="H623" i="2" s="1"/>
  <c r="J658" i="2"/>
  <c r="H658" i="2" s="1"/>
  <c r="F658" i="2"/>
  <c r="K658" i="2" s="1"/>
  <c r="F667" i="2"/>
  <c r="K667" i="2" s="1"/>
  <c r="K514" i="2"/>
  <c r="G524" i="2"/>
  <c r="F526" i="2"/>
  <c r="K526" i="2"/>
  <c r="G526" i="2"/>
  <c r="F528" i="2"/>
  <c r="J528" i="2" s="1"/>
  <c r="H528" i="2" s="1"/>
  <c r="K528" i="2"/>
  <c r="F534" i="2"/>
  <c r="J534" i="2" s="1"/>
  <c r="H534" i="2" s="1"/>
  <c r="K534" i="2"/>
  <c r="F536" i="2"/>
  <c r="F548" i="2"/>
  <c r="G558" i="2"/>
  <c r="I560" i="2"/>
  <c r="I563" i="2"/>
  <c r="K563" i="2"/>
  <c r="J563" i="2"/>
  <c r="H563" i="2" s="1"/>
  <c r="F568" i="2"/>
  <c r="K568" i="2" s="1"/>
  <c r="G568" i="2"/>
  <c r="I574" i="2"/>
  <c r="K597" i="2"/>
  <c r="J597" i="2"/>
  <c r="H597" i="2" s="1"/>
  <c r="I597" i="2"/>
  <c r="F606" i="2"/>
  <c r="K606" i="2" s="1"/>
  <c r="J606" i="2"/>
  <c r="H606" i="2" s="1"/>
  <c r="I606" i="2"/>
  <c r="G606" i="2"/>
  <c r="K616" i="2"/>
  <c r="J624" i="2"/>
  <c r="H624" i="2" s="1"/>
  <c r="K624" i="2"/>
  <c r="G624" i="2"/>
  <c r="F624" i="2"/>
  <c r="I624" i="2" s="1"/>
  <c r="F654" i="2"/>
  <c r="K654" i="2"/>
  <c r="J654" i="2"/>
  <c r="H654" i="2" s="1"/>
  <c r="I654" i="2"/>
  <c r="G658" i="2"/>
  <c r="I550" i="2"/>
  <c r="I571" i="2"/>
  <c r="G571" i="2"/>
  <c r="I589" i="2"/>
  <c r="G589" i="2"/>
  <c r="I607" i="2"/>
  <c r="G607" i="2"/>
  <c r="G621" i="2"/>
  <c r="F621" i="2"/>
  <c r="G629" i="2"/>
  <c r="K629" i="2"/>
  <c r="J629" i="2"/>
  <c r="H629" i="2" s="1"/>
  <c r="K645" i="2"/>
  <c r="J645" i="2"/>
  <c r="H645" i="2" s="1"/>
  <c r="I668" i="2"/>
  <c r="F680" i="2"/>
  <c r="K680" i="2" s="1"/>
  <c r="J680" i="2"/>
  <c r="H680" i="2" s="1"/>
  <c r="I680" i="2"/>
  <c r="G680" i="2"/>
  <c r="K701" i="2"/>
  <c r="J701" i="2"/>
  <c r="H701" i="2" s="1"/>
  <c r="J767" i="2"/>
  <c r="H767" i="2" s="1"/>
  <c r="J652" i="2"/>
  <c r="H652" i="2" s="1"/>
  <c r="G652" i="2"/>
  <c r="G663" i="2"/>
  <c r="K663" i="2"/>
  <c r="J663" i="2"/>
  <c r="H663" i="2" s="1"/>
  <c r="K693" i="2"/>
  <c r="I693" i="2"/>
  <c r="J693" i="2"/>
  <c r="H693" i="2" s="1"/>
  <c r="F693" i="2"/>
  <c r="I511" i="2"/>
  <c r="K571" i="2"/>
  <c r="I581" i="2"/>
  <c r="G581" i="2"/>
  <c r="K589" i="2"/>
  <c r="I599" i="2"/>
  <c r="G599" i="2"/>
  <c r="K607" i="2"/>
  <c r="K614" i="2"/>
  <c r="I614" i="2"/>
  <c r="G614" i="2"/>
  <c r="J618" i="2"/>
  <c r="H618" i="2" s="1"/>
  <c r="G618" i="2"/>
  <c r="F620" i="2"/>
  <c r="K621" i="2"/>
  <c r="K640" i="2"/>
  <c r="J640" i="2"/>
  <c r="H640" i="2" s="1"/>
  <c r="K648" i="2"/>
  <c r="J648" i="2"/>
  <c r="H648" i="2" s="1"/>
  <c r="I648" i="2"/>
  <c r="G648" i="2"/>
  <c r="F652" i="2"/>
  <c r="I652" i="2" s="1"/>
  <c r="F663" i="2"/>
  <c r="G693" i="2"/>
  <c r="K696" i="2"/>
  <c r="I696" i="2"/>
  <c r="G750" i="2"/>
  <c r="K750" i="2"/>
  <c r="F750" i="2"/>
  <c r="J750" i="2" s="1"/>
  <c r="H750" i="2" s="1"/>
  <c r="K755" i="2"/>
  <c r="J755" i="2"/>
  <c r="H755" i="2" s="1"/>
  <c r="I755" i="2"/>
  <c r="J554" i="2"/>
  <c r="H554" i="2" s="1"/>
  <c r="K565" i="2"/>
  <c r="J608" i="2"/>
  <c r="H608" i="2" s="1"/>
  <c r="J634" i="2"/>
  <c r="H634" i="2" s="1"/>
  <c r="K634" i="2"/>
  <c r="I634" i="2"/>
  <c r="G634" i="2"/>
  <c r="K652" i="2"/>
  <c r="G657" i="2"/>
  <c r="J676" i="2"/>
  <c r="H676" i="2" s="1"/>
  <c r="G676" i="2"/>
  <c r="K676" i="2"/>
  <c r="I676" i="2"/>
  <c r="F676" i="2"/>
  <c r="F706" i="2"/>
  <c r="J706" i="2"/>
  <c r="H706" i="2" s="1"/>
  <c r="G706" i="2"/>
  <c r="K706" i="2"/>
  <c r="I706" i="2"/>
  <c r="G550" i="2"/>
  <c r="F554" i="2"/>
  <c r="F561" i="2"/>
  <c r="F565" i="2"/>
  <c r="F572" i="2"/>
  <c r="K572" i="2" s="1"/>
  <c r="K583" i="2"/>
  <c r="I583" i="2"/>
  <c r="F590" i="2"/>
  <c r="K590" i="2" s="1"/>
  <c r="K601" i="2"/>
  <c r="I601" i="2"/>
  <c r="F608" i="2"/>
  <c r="K608" i="2" s="1"/>
  <c r="J614" i="2"/>
  <c r="H614" i="2" s="1"/>
  <c r="I618" i="2"/>
  <c r="F628" i="2"/>
  <c r="J628" i="2" s="1"/>
  <c r="H628" i="2" s="1"/>
  <c r="K628" i="2"/>
  <c r="I628" i="2"/>
  <c r="F634" i="2"/>
  <c r="I649" i="2"/>
  <c r="K649" i="2"/>
  <c r="J649" i="2"/>
  <c r="H649" i="2" s="1"/>
  <c r="F657" i="2"/>
  <c r="I657" i="2" s="1"/>
  <c r="I663" i="2"/>
  <c r="K677" i="2"/>
  <c r="J677" i="2"/>
  <c r="H677" i="2" s="1"/>
  <c r="G677" i="2"/>
  <c r="J696" i="2"/>
  <c r="H696" i="2" s="1"/>
  <c r="J703" i="2"/>
  <c r="H703" i="2" s="1"/>
  <c r="G709" i="2"/>
  <c r="K709" i="2"/>
  <c r="J709" i="2"/>
  <c r="H709" i="2" s="1"/>
  <c r="F709" i="2"/>
  <c r="I709" i="2"/>
  <c r="G742" i="2"/>
  <c r="F742" i="2"/>
  <c r="I742" i="2" s="1"/>
  <c r="K742" i="2"/>
  <c r="G683" i="2"/>
  <c r="F683" i="2"/>
  <c r="K685" i="2"/>
  <c r="I685" i="2"/>
  <c r="F698" i="2"/>
  <c r="J698" i="2"/>
  <c r="H698" i="2" s="1"/>
  <c r="I698" i="2"/>
  <c r="K704" i="2"/>
  <c r="I704" i="2"/>
  <c r="G704" i="2"/>
  <c r="G713" i="2"/>
  <c r="F713" i="2"/>
  <c r="K713" i="2" s="1"/>
  <c r="K636" i="2"/>
  <c r="J642" i="2"/>
  <c r="H642" i="2" s="1"/>
  <c r="G685" i="2"/>
  <c r="K687" i="2"/>
  <c r="J687" i="2"/>
  <c r="H687" i="2" s="1"/>
  <c r="K698" i="2"/>
  <c r="J704" i="2"/>
  <c r="H704" i="2" s="1"/>
  <c r="G714" i="2"/>
  <c r="F714" i="2"/>
  <c r="I714" i="2" s="1"/>
  <c r="J714" i="2"/>
  <c r="H714" i="2" s="1"/>
  <c r="J719" i="2"/>
  <c r="H719" i="2" s="1"/>
  <c r="K728" i="2"/>
  <c r="I728" i="2"/>
  <c r="G728" i="2"/>
  <c r="F728" i="2"/>
  <c r="J728" i="2" s="1"/>
  <c r="H728" i="2" s="1"/>
  <c r="J821" i="2"/>
  <c r="H821" i="2" s="1"/>
  <c r="I821" i="2"/>
  <c r="F613" i="2"/>
  <c r="I613" i="2" s="1"/>
  <c r="F617" i="2"/>
  <c r="F622" i="2"/>
  <c r="I622" i="2" s="1"/>
  <c r="F633" i="2"/>
  <c r="G638" i="2"/>
  <c r="F642" i="2"/>
  <c r="F647" i="2"/>
  <c r="F651" i="2"/>
  <c r="F656" i="2"/>
  <c r="F660" i="2"/>
  <c r="F665" i="2"/>
  <c r="I665" i="2" s="1"/>
  <c r="G670" i="2"/>
  <c r="I671" i="2"/>
  <c r="J685" i="2"/>
  <c r="H685" i="2" s="1"/>
  <c r="J692" i="2"/>
  <c r="H692" i="2" s="1"/>
  <c r="G692" i="2"/>
  <c r="I694" i="2"/>
  <c r="F775" i="2"/>
  <c r="K775" i="2"/>
  <c r="J775" i="2"/>
  <c r="H775" i="2" s="1"/>
  <c r="I775" i="2"/>
  <c r="G775" i="2"/>
  <c r="K803" i="2"/>
  <c r="I803" i="2"/>
  <c r="F807" i="2"/>
  <c r="K807" i="2" s="1"/>
  <c r="J807" i="2"/>
  <c r="H807" i="2" s="1"/>
  <c r="I807" i="2"/>
  <c r="G807" i="2"/>
  <c r="K625" i="2"/>
  <c r="J650" i="2"/>
  <c r="H650" i="2" s="1"/>
  <c r="G656" i="2"/>
  <c r="G665" i="2"/>
  <c r="J671" i="2"/>
  <c r="H671" i="2" s="1"/>
  <c r="F675" i="2"/>
  <c r="F678" i="2"/>
  <c r="I678" i="2" s="1"/>
  <c r="J684" i="2"/>
  <c r="H684" i="2" s="1"/>
  <c r="G684" i="2"/>
  <c r="F692" i="2"/>
  <c r="K692" i="2" s="1"/>
  <c r="F694" i="2"/>
  <c r="K694" i="2" s="1"/>
  <c r="I705" i="2"/>
  <c r="K705" i="2"/>
  <c r="J705" i="2"/>
  <c r="H705" i="2" s="1"/>
  <c r="F625" i="2"/>
  <c r="I638" i="2"/>
  <c r="F641" i="2"/>
  <c r="G646" i="2"/>
  <c r="I647" i="2"/>
  <c r="F650" i="2"/>
  <c r="F655" i="2"/>
  <c r="F659" i="2"/>
  <c r="I670" i="2"/>
  <c r="K671" i="2"/>
  <c r="G675" i="2"/>
  <c r="G678" i="2"/>
  <c r="I679" i="2"/>
  <c r="F681" i="2"/>
  <c r="F684" i="2"/>
  <c r="F686" i="2"/>
  <c r="K686" i="2" s="1"/>
  <c r="I687" i="2"/>
  <c r="I692" i="2"/>
  <c r="G694" i="2"/>
  <c r="I701" i="2"/>
  <c r="J736" i="2"/>
  <c r="H736" i="2" s="1"/>
  <c r="G759" i="2"/>
  <c r="F759" i="2"/>
  <c r="K759" i="2" s="1"/>
  <c r="K808" i="2"/>
  <c r="J808" i="2"/>
  <c r="H808" i="2" s="1"/>
  <c r="I808" i="2"/>
  <c r="G733" i="2"/>
  <c r="F733" i="2"/>
  <c r="J733" i="2" s="1"/>
  <c r="H733" i="2" s="1"/>
  <c r="K733" i="2"/>
  <c r="G737" i="2"/>
  <c r="F737" i="2"/>
  <c r="K764" i="2"/>
  <c r="J764" i="2"/>
  <c r="H764" i="2" s="1"/>
  <c r="I764" i="2"/>
  <c r="F716" i="2"/>
  <c r="K716" i="2" s="1"/>
  <c r="I719" i="2"/>
  <c r="F725" i="2"/>
  <c r="K725" i="2" s="1"/>
  <c r="J738" i="2"/>
  <c r="H738" i="2" s="1"/>
  <c r="I738" i="2"/>
  <c r="J746" i="2"/>
  <c r="H746" i="2" s="1"/>
  <c r="I746" i="2"/>
  <c r="G784" i="2"/>
  <c r="J784" i="2"/>
  <c r="H784" i="2" s="1"/>
  <c r="I784" i="2"/>
  <c r="F784" i="2"/>
  <c r="K784" i="2" s="1"/>
  <c r="K794" i="2"/>
  <c r="J794" i="2"/>
  <c r="H794" i="2" s="1"/>
  <c r="G816" i="2"/>
  <c r="F816" i="2"/>
  <c r="J816" i="2" s="1"/>
  <c r="H816" i="2" s="1"/>
  <c r="K825" i="2"/>
  <c r="J825" i="2"/>
  <c r="H825" i="2" s="1"/>
  <c r="G825" i="2"/>
  <c r="F825" i="2"/>
  <c r="I825" i="2" s="1"/>
  <c r="J710" i="2"/>
  <c r="H710" i="2" s="1"/>
  <c r="F712" i="2"/>
  <c r="K712" i="2" s="1"/>
  <c r="K738" i="2"/>
  <c r="I773" i="2"/>
  <c r="G779" i="2"/>
  <c r="F779" i="2"/>
  <c r="J779" i="2" s="1"/>
  <c r="H779" i="2" s="1"/>
  <c r="K785" i="2"/>
  <c r="J785" i="2"/>
  <c r="H785" i="2" s="1"/>
  <c r="I785" i="2"/>
  <c r="K817" i="2"/>
  <c r="J817" i="2"/>
  <c r="H817" i="2" s="1"/>
  <c r="I817" i="2"/>
  <c r="K826" i="2"/>
  <c r="J826" i="2"/>
  <c r="H826" i="2" s="1"/>
  <c r="K703" i="2"/>
  <c r="G703" i="2"/>
  <c r="I716" i="2"/>
  <c r="F729" i="2"/>
  <c r="K729" i="2" s="1"/>
  <c r="F734" i="2"/>
  <c r="F739" i="2"/>
  <c r="K739" i="2" s="1"/>
  <c r="J739" i="2"/>
  <c r="H739" i="2" s="1"/>
  <c r="I739" i="2"/>
  <c r="G739" i="2"/>
  <c r="I768" i="2"/>
  <c r="K768" i="2"/>
  <c r="J768" i="2"/>
  <c r="H768" i="2" s="1"/>
  <c r="G768" i="2"/>
  <c r="F768" i="2"/>
  <c r="K776" i="2"/>
  <c r="J776" i="2"/>
  <c r="H776" i="2" s="1"/>
  <c r="I776" i="2"/>
  <c r="K797" i="2"/>
  <c r="J797" i="2"/>
  <c r="H797" i="2" s="1"/>
  <c r="I797" i="2"/>
  <c r="G797" i="2"/>
  <c r="F797" i="2"/>
  <c r="J780" i="2"/>
  <c r="H780" i="2" s="1"/>
  <c r="I780" i="2"/>
  <c r="K788" i="2"/>
  <c r="J788" i="2"/>
  <c r="H788" i="2" s="1"/>
  <c r="I788" i="2"/>
  <c r="G788" i="2"/>
  <c r="F788" i="2"/>
  <c r="G811" i="2"/>
  <c r="F811" i="2"/>
  <c r="I811" i="2" s="1"/>
  <c r="K829" i="2"/>
  <c r="J829" i="2"/>
  <c r="H829" i="2" s="1"/>
  <c r="G829" i="2"/>
  <c r="F829" i="2"/>
  <c r="I829" i="2" s="1"/>
  <c r="K695" i="2"/>
  <c r="G699" i="2"/>
  <c r="K699" i="2"/>
  <c r="G717" i="2"/>
  <c r="K717" i="2"/>
  <c r="J726" i="2"/>
  <c r="H726" i="2" s="1"/>
  <c r="I751" i="2"/>
  <c r="G754" i="2"/>
  <c r="F754" i="2"/>
  <c r="G763" i="2"/>
  <c r="F763" i="2"/>
  <c r="K763" i="2" s="1"/>
  <c r="K769" i="2"/>
  <c r="I769" i="2"/>
  <c r="K798" i="2"/>
  <c r="J798" i="2"/>
  <c r="H798" i="2" s="1"/>
  <c r="I798" i="2"/>
  <c r="J802" i="2"/>
  <c r="H802" i="2" s="1"/>
  <c r="G802" i="2"/>
  <c r="F802" i="2"/>
  <c r="I802" i="2" s="1"/>
  <c r="K820" i="2"/>
  <c r="G820" i="2"/>
  <c r="F820" i="2"/>
  <c r="J820" i="2" s="1"/>
  <c r="H820" i="2" s="1"/>
  <c r="F702" i="2"/>
  <c r="I702" i="2" s="1"/>
  <c r="K720" i="2"/>
  <c r="J720" i="2"/>
  <c r="H720" i="2" s="1"/>
  <c r="F720" i="2"/>
  <c r="I720" i="2" s="1"/>
  <c r="G724" i="2"/>
  <c r="F724" i="2"/>
  <c r="K724" i="2" s="1"/>
  <c r="K727" i="2"/>
  <c r="K730" i="2"/>
  <c r="J730" i="2"/>
  <c r="H730" i="2" s="1"/>
  <c r="I730" i="2"/>
  <c r="G743" i="2"/>
  <c r="F743" i="2"/>
  <c r="J743" i="2" s="1"/>
  <c r="H743" i="2" s="1"/>
  <c r="K751" i="2"/>
  <c r="J751" i="2"/>
  <c r="H751" i="2" s="1"/>
  <c r="K760" i="2"/>
  <c r="J760" i="2"/>
  <c r="H760" i="2" s="1"/>
  <c r="J789" i="2"/>
  <c r="H789" i="2" s="1"/>
  <c r="I789" i="2"/>
  <c r="K793" i="2"/>
  <c r="J793" i="2"/>
  <c r="H793" i="2" s="1"/>
  <c r="I793" i="2"/>
  <c r="G793" i="2"/>
  <c r="F793" i="2"/>
  <c r="J812" i="2"/>
  <c r="H812" i="2" s="1"/>
  <c r="I812" i="2"/>
  <c r="K821" i="2"/>
  <c r="I722" i="2"/>
  <c r="K723" i="2"/>
  <c r="I731" i="2"/>
  <c r="I740" i="2"/>
  <c r="K757" i="2"/>
  <c r="I765" i="2"/>
  <c r="K777" i="2"/>
  <c r="J787" i="2"/>
  <c r="H787" i="2" s="1"/>
  <c r="K796" i="2"/>
  <c r="I810" i="2"/>
  <c r="J819" i="2"/>
  <c r="H819" i="2" s="1"/>
  <c r="K828" i="2"/>
  <c r="G749" i="2"/>
  <c r="F753" i="2"/>
  <c r="K753" i="2" s="1"/>
  <c r="F758" i="2"/>
  <c r="K758" i="2" s="1"/>
  <c r="F762" i="2"/>
  <c r="J762" i="2" s="1"/>
  <c r="H762" i="2" s="1"/>
  <c r="F767" i="2"/>
  <c r="K767" i="2" s="1"/>
  <c r="F773" i="2"/>
  <c r="F778" i="2"/>
  <c r="G783" i="2"/>
  <c r="F787" i="2"/>
  <c r="K787" i="2" s="1"/>
  <c r="F792" i="2"/>
  <c r="K792" i="2" s="1"/>
  <c r="J727" i="2"/>
  <c r="H727" i="2" s="1"/>
  <c r="I752" i="2"/>
  <c r="G753" i="2"/>
  <c r="J761" i="2"/>
  <c r="H761" i="2" s="1"/>
  <c r="G762" i="2"/>
  <c r="G767" i="2"/>
  <c r="G773" i="2"/>
  <c r="G778" i="2"/>
  <c r="I786" i="2"/>
  <c r="G787" i="2"/>
  <c r="J795" i="2"/>
  <c r="H795" i="2" s="1"/>
  <c r="G796" i="2"/>
  <c r="G801" i="2"/>
  <c r="K804" i="2"/>
  <c r="G805" i="2"/>
  <c r="G810" i="2"/>
  <c r="I818" i="2"/>
  <c r="G819" i="2"/>
  <c r="J827" i="2"/>
  <c r="H827" i="2" s="1"/>
  <c r="G828" i="2"/>
  <c r="G723" i="2"/>
  <c r="F727" i="2"/>
  <c r="I727" i="2" s="1"/>
  <c r="F732" i="2"/>
  <c r="F736" i="2"/>
  <c r="I736" i="2" s="1"/>
  <c r="F741" i="2"/>
  <c r="F747" i="2"/>
  <c r="J747" i="2" s="1"/>
  <c r="H747" i="2" s="1"/>
  <c r="I749" i="2"/>
  <c r="F752" i="2"/>
  <c r="J752" i="2" s="1"/>
  <c r="H752" i="2" s="1"/>
  <c r="G757" i="2"/>
  <c r="F761" i="2"/>
  <c r="I761" i="2" s="1"/>
  <c r="F766" i="2"/>
  <c r="I767" i="2"/>
  <c r="F771" i="2"/>
  <c r="I771" i="2" s="1"/>
  <c r="I774" i="2"/>
  <c r="F777" i="2"/>
  <c r="F781" i="2"/>
  <c r="I783" i="2"/>
  <c r="I792" i="2"/>
  <c r="I801" i="2"/>
  <c r="I806" i="2"/>
  <c r="I815" i="2"/>
  <c r="I824" i="2"/>
  <c r="I726" i="2"/>
  <c r="G727" i="2"/>
  <c r="J735" i="2"/>
  <c r="H735" i="2" s="1"/>
  <c r="G736" i="2"/>
  <c r="K746" i="2"/>
  <c r="J749" i="2"/>
  <c r="H749" i="2" s="1"/>
  <c r="G752" i="2"/>
  <c r="I760" i="2"/>
  <c r="G761" i="2"/>
  <c r="I762" i="2"/>
  <c r="J769" i="2"/>
  <c r="H769" i="2" s="1"/>
  <c r="G771" i="2"/>
  <c r="J778" i="2"/>
  <c r="H778" i="2" s="1"/>
  <c r="K780" i="2"/>
  <c r="J783" i="2"/>
  <c r="H783" i="2" s="1"/>
  <c r="I787" i="2"/>
  <c r="J792" i="2"/>
  <c r="H792" i="2" s="1"/>
  <c r="I794" i="2"/>
  <c r="I796" i="2"/>
  <c r="J803" i="2"/>
  <c r="H803" i="2" s="1"/>
  <c r="J810" i="2"/>
  <c r="H810" i="2" s="1"/>
  <c r="K812" i="2"/>
  <c r="J815" i="2"/>
  <c r="H815" i="2" s="1"/>
  <c r="I819" i="2"/>
  <c r="J824" i="2"/>
  <c r="H824" i="2" s="1"/>
  <c r="I826" i="2"/>
  <c r="G827" i="2"/>
  <c r="I828" i="2"/>
  <c r="J839" i="2"/>
  <c r="H839" i="2" s="1"/>
  <c r="F832" i="2"/>
  <c r="G833" i="2"/>
  <c r="I835" i="2"/>
  <c r="F831" i="2"/>
  <c r="J835" i="2"/>
  <c r="H835" i="2" s="1"/>
  <c r="I833" i="2"/>
  <c r="K835" i="2"/>
  <c r="F840" i="2"/>
  <c r="J840" i="2" s="1"/>
  <c r="H840" i="2" s="1"/>
  <c r="F839" i="2"/>
  <c r="K839" i="2" s="1"/>
  <c r="G840" i="2"/>
  <c r="F836" i="2"/>
  <c r="G839" i="2"/>
  <c r="F835" i="2"/>
  <c r="G836" i="2"/>
  <c r="F834" i="2"/>
  <c r="K834" i="2" s="1"/>
  <c r="I839" i="2"/>
  <c r="K379" i="2" l="1"/>
  <c r="I379" i="2"/>
  <c r="J379" i="2"/>
  <c r="H379" i="2" s="1"/>
  <c r="I537" i="2"/>
  <c r="K537" i="2"/>
  <c r="J537" i="2"/>
  <c r="H537" i="2" s="1"/>
  <c r="K459" i="2"/>
  <c r="J459" i="2"/>
  <c r="H459" i="2" s="1"/>
  <c r="I459" i="2"/>
  <c r="J600" i="2"/>
  <c r="H600" i="2" s="1"/>
  <c r="K600" i="2"/>
  <c r="J683" i="2"/>
  <c r="H683" i="2" s="1"/>
  <c r="I683" i="2"/>
  <c r="K683" i="2"/>
  <c r="I524" i="2"/>
  <c r="K524" i="2"/>
  <c r="J524" i="2"/>
  <c r="H524" i="2" s="1"/>
  <c r="I836" i="2"/>
  <c r="K836" i="2"/>
  <c r="J836" i="2"/>
  <c r="H836" i="2" s="1"/>
  <c r="I602" i="2"/>
  <c r="J602" i="2"/>
  <c r="H602" i="2" s="1"/>
  <c r="K602" i="2"/>
  <c r="K633" i="2"/>
  <c r="J633" i="2"/>
  <c r="H633" i="2" s="1"/>
  <c r="I633" i="2"/>
  <c r="K536" i="2"/>
  <c r="J536" i="2"/>
  <c r="H536" i="2" s="1"/>
  <c r="I536" i="2"/>
  <c r="J469" i="2"/>
  <c r="H469" i="2" s="1"/>
  <c r="K469" i="2"/>
  <c r="I469" i="2"/>
  <c r="I600" i="2"/>
  <c r="K598" i="2"/>
  <c r="J598" i="2"/>
  <c r="H598" i="2" s="1"/>
  <c r="I598" i="2"/>
  <c r="K778" i="2"/>
  <c r="I778" i="2"/>
  <c r="I620" i="2"/>
  <c r="K620" i="2"/>
  <c r="J620" i="2"/>
  <c r="H620" i="2" s="1"/>
  <c r="I580" i="2"/>
  <c r="J580" i="2"/>
  <c r="H580" i="2" s="1"/>
  <c r="K580" i="2"/>
  <c r="K500" i="2"/>
  <c r="J500" i="2"/>
  <c r="H500" i="2" s="1"/>
  <c r="I500" i="2"/>
  <c r="J551" i="2"/>
  <c r="H551" i="2" s="1"/>
  <c r="I551" i="2"/>
  <c r="K551" i="2"/>
  <c r="J734" i="2"/>
  <c r="H734" i="2" s="1"/>
  <c r="I734" i="2"/>
  <c r="K734" i="2"/>
  <c r="K754" i="2"/>
  <c r="J754" i="2"/>
  <c r="H754" i="2" s="1"/>
  <c r="I754" i="2"/>
  <c r="K737" i="2"/>
  <c r="J737" i="2"/>
  <c r="H737" i="2" s="1"/>
  <c r="I737" i="2"/>
  <c r="I578" i="2"/>
  <c r="K578" i="2"/>
  <c r="J578" i="2"/>
  <c r="H578" i="2" s="1"/>
  <c r="J527" i="2"/>
  <c r="H527" i="2" s="1"/>
  <c r="I527" i="2"/>
  <c r="K527" i="2"/>
  <c r="K444" i="2"/>
  <c r="I444" i="2"/>
  <c r="J444" i="2"/>
  <c r="H444" i="2" s="1"/>
  <c r="K349" i="2"/>
  <c r="I349" i="2"/>
  <c r="J349" i="2"/>
  <c r="H349" i="2" s="1"/>
  <c r="K660" i="2"/>
  <c r="J660" i="2"/>
  <c r="H660" i="2" s="1"/>
  <c r="I660" i="2"/>
  <c r="K532" i="2"/>
  <c r="I532" i="2"/>
  <c r="I816" i="2"/>
  <c r="I573" i="2"/>
  <c r="K116" i="2"/>
  <c r="I116" i="2"/>
  <c r="I840" i="2"/>
  <c r="J732" i="2"/>
  <c r="H732" i="2" s="1"/>
  <c r="I732" i="2"/>
  <c r="I724" i="2"/>
  <c r="I713" i="2"/>
  <c r="J487" i="2"/>
  <c r="H487" i="2" s="1"/>
  <c r="K487" i="2"/>
  <c r="J615" i="2"/>
  <c r="H615" i="2" s="1"/>
  <c r="K544" i="2"/>
  <c r="I593" i="2"/>
  <c r="I487" i="2"/>
  <c r="I429" i="2"/>
  <c r="J509" i="2"/>
  <c r="H509" i="2" s="1"/>
  <c r="J420" i="2"/>
  <c r="H420" i="2" s="1"/>
  <c r="K373" i="2"/>
  <c r="K305" i="2"/>
  <c r="J305" i="2"/>
  <c r="H305" i="2" s="1"/>
  <c r="K235" i="2"/>
  <c r="J235" i="2"/>
  <c r="H235" i="2" s="1"/>
  <c r="I235" i="2"/>
  <c r="I479" i="2"/>
  <c r="I419" i="2"/>
  <c r="J404" i="2"/>
  <c r="H404" i="2" s="1"/>
  <c r="K246" i="2"/>
  <c r="I246" i="2"/>
  <c r="J246" i="2"/>
  <c r="H246" i="2" s="1"/>
  <c r="J529" i="2"/>
  <c r="H529" i="2" s="1"/>
  <c r="I436" i="2"/>
  <c r="I311" i="2"/>
  <c r="K273" i="2"/>
  <c r="J273" i="2"/>
  <c r="H273" i="2" s="1"/>
  <c r="J315" i="2"/>
  <c r="H315" i="2" s="1"/>
  <c r="J291" i="2"/>
  <c r="H291" i="2" s="1"/>
  <c r="J160" i="2"/>
  <c r="H160" i="2" s="1"/>
  <c r="K160" i="2"/>
  <c r="J142" i="2"/>
  <c r="H142" i="2" s="1"/>
  <c r="K142" i="2"/>
  <c r="I142" i="2"/>
  <c r="J37" i="2"/>
  <c r="H37" i="2" s="1"/>
  <c r="I37" i="2"/>
  <c r="I231" i="2"/>
  <c r="K319" i="2"/>
  <c r="J265" i="2"/>
  <c r="H265" i="2" s="1"/>
  <c r="J383" i="2"/>
  <c r="H383" i="2" s="1"/>
  <c r="I276" i="2"/>
  <c r="J58" i="2"/>
  <c r="H58" i="2" s="1"/>
  <c r="I249" i="2"/>
  <c r="J112" i="2"/>
  <c r="H112" i="2" s="1"/>
  <c r="I389" i="2"/>
  <c r="I212" i="2"/>
  <c r="K831" i="2"/>
  <c r="J831" i="2"/>
  <c r="H831" i="2" s="1"/>
  <c r="I831" i="2"/>
  <c r="J741" i="2"/>
  <c r="H741" i="2" s="1"/>
  <c r="I741" i="2"/>
  <c r="K641" i="2"/>
  <c r="J641" i="2"/>
  <c r="H641" i="2" s="1"/>
  <c r="J617" i="2"/>
  <c r="H617" i="2" s="1"/>
  <c r="I617" i="2"/>
  <c r="K617" i="2"/>
  <c r="J766" i="2"/>
  <c r="H766" i="2" s="1"/>
  <c r="I766" i="2"/>
  <c r="K736" i="2"/>
  <c r="K656" i="2"/>
  <c r="J656" i="2"/>
  <c r="H656" i="2" s="1"/>
  <c r="K433" i="2"/>
  <c r="I433" i="2"/>
  <c r="J433" i="2"/>
  <c r="H433" i="2" s="1"/>
  <c r="J453" i="2"/>
  <c r="H453" i="2" s="1"/>
  <c r="K453" i="2"/>
  <c r="J247" i="2"/>
  <c r="H247" i="2" s="1"/>
  <c r="I121" i="2"/>
  <c r="J121" i="2"/>
  <c r="H121" i="2" s="1"/>
  <c r="I265" i="2"/>
  <c r="K802" i="2"/>
  <c r="J657" i="2"/>
  <c r="H657" i="2" s="1"/>
  <c r="J545" i="2"/>
  <c r="H545" i="2" s="1"/>
  <c r="K530" i="2"/>
  <c r="K423" i="2"/>
  <c r="J423" i="2"/>
  <c r="H423" i="2" s="1"/>
  <c r="I423" i="2"/>
  <c r="I758" i="2"/>
  <c r="K771" i="2"/>
  <c r="J724" i="2"/>
  <c r="H724" i="2" s="1"/>
  <c r="I779" i="2"/>
  <c r="I659" i="2"/>
  <c r="J659" i="2"/>
  <c r="H659" i="2" s="1"/>
  <c r="J565" i="2"/>
  <c r="H565" i="2" s="1"/>
  <c r="I565" i="2"/>
  <c r="K657" i="2"/>
  <c r="K548" i="2"/>
  <c r="I548" i="2"/>
  <c r="J530" i="2"/>
  <c r="H530" i="2" s="1"/>
  <c r="K485" i="2"/>
  <c r="J485" i="2"/>
  <c r="H485" i="2" s="1"/>
  <c r="I485" i="2"/>
  <c r="K415" i="2"/>
  <c r="J415" i="2"/>
  <c r="H415" i="2" s="1"/>
  <c r="I415" i="2"/>
  <c r="I667" i="2"/>
  <c r="K623" i="2"/>
  <c r="J558" i="2"/>
  <c r="H558" i="2" s="1"/>
  <c r="K574" i="2"/>
  <c r="K443" i="2"/>
  <c r="J443" i="2"/>
  <c r="H443" i="2" s="1"/>
  <c r="K702" i="2"/>
  <c r="K615" i="2"/>
  <c r="J547" i="2"/>
  <c r="H547" i="2" s="1"/>
  <c r="K610" i="2"/>
  <c r="J463" i="2"/>
  <c r="H463" i="2" s="1"/>
  <c r="J546" i="2"/>
  <c r="H546" i="2" s="1"/>
  <c r="I453" i="2"/>
  <c r="J429" i="2"/>
  <c r="H429" i="2" s="1"/>
  <c r="K509" i="2"/>
  <c r="I393" i="2"/>
  <c r="J584" i="2"/>
  <c r="H584" i="2" s="1"/>
  <c r="K297" i="2"/>
  <c r="J297" i="2"/>
  <c r="H297" i="2" s="1"/>
  <c r="I297" i="2"/>
  <c r="J479" i="2"/>
  <c r="H479" i="2" s="1"/>
  <c r="J419" i="2"/>
  <c r="H419" i="2" s="1"/>
  <c r="K369" i="2"/>
  <c r="I470" i="2"/>
  <c r="K529" i="2"/>
  <c r="J344" i="2"/>
  <c r="H344" i="2" s="1"/>
  <c r="J436" i="2"/>
  <c r="H436" i="2" s="1"/>
  <c r="J311" i="2"/>
  <c r="H311" i="2" s="1"/>
  <c r="K221" i="2"/>
  <c r="J221" i="2"/>
  <c r="H221" i="2" s="1"/>
  <c r="J224" i="2"/>
  <c r="H224" i="2" s="1"/>
  <c r="I224" i="2"/>
  <c r="K184" i="2"/>
  <c r="J184" i="2"/>
  <c r="H184" i="2" s="1"/>
  <c r="I115" i="2"/>
  <c r="J115" i="2"/>
  <c r="H115" i="2" s="1"/>
  <c r="I81" i="2"/>
  <c r="J81" i="2"/>
  <c r="H81" i="2" s="1"/>
  <c r="I29" i="2"/>
  <c r="J29" i="2"/>
  <c r="H29" i="2" s="1"/>
  <c r="I315" i="2"/>
  <c r="J231" i="2"/>
  <c r="H231" i="2" s="1"/>
  <c r="K191" i="2"/>
  <c r="J191" i="2"/>
  <c r="H191" i="2" s="1"/>
  <c r="I319" i="2"/>
  <c r="K29" i="2"/>
  <c r="I281" i="2"/>
  <c r="K383" i="2"/>
  <c r="J276" i="2"/>
  <c r="H276" i="2" s="1"/>
  <c r="I194" i="2"/>
  <c r="K4" i="2"/>
  <c r="I4" i="2"/>
  <c r="J4" i="2"/>
  <c r="H4" i="2" s="1"/>
  <c r="J203" i="2"/>
  <c r="H203" i="2" s="1"/>
  <c r="J249" i="2"/>
  <c r="H249" i="2" s="1"/>
  <c r="K112" i="2"/>
  <c r="K32" i="2"/>
  <c r="K292" i="2"/>
  <c r="K82" i="2"/>
  <c r="I82" i="2"/>
  <c r="I84" i="2"/>
  <c r="J52" i="2"/>
  <c r="H52" i="2" s="1"/>
  <c r="I32" i="2"/>
  <c r="I299" i="2"/>
  <c r="J212" i="2"/>
  <c r="H212" i="2" s="1"/>
  <c r="J86" i="2"/>
  <c r="H86" i="2" s="1"/>
  <c r="K675" i="2"/>
  <c r="J675" i="2"/>
  <c r="H675" i="2" s="1"/>
  <c r="K840" i="2"/>
  <c r="J702" i="2"/>
  <c r="H702" i="2" s="1"/>
  <c r="J712" i="2"/>
  <c r="H712" i="2" s="1"/>
  <c r="I675" i="2"/>
  <c r="I245" i="2"/>
  <c r="K245" i="2"/>
  <c r="J245" i="2"/>
  <c r="H245" i="2" s="1"/>
  <c r="J353" i="2"/>
  <c r="H353" i="2" s="1"/>
  <c r="I47" i="2"/>
  <c r="J47" i="2"/>
  <c r="H47" i="2" s="1"/>
  <c r="I743" i="2"/>
  <c r="J651" i="2"/>
  <c r="H651" i="2" s="1"/>
  <c r="I651" i="2"/>
  <c r="K743" i="2"/>
  <c r="K811" i="2"/>
  <c r="I729" i="2"/>
  <c r="K816" i="2"/>
  <c r="I686" i="2"/>
  <c r="K647" i="2"/>
  <c r="J647" i="2"/>
  <c r="H647" i="2" s="1"/>
  <c r="J753" i="2"/>
  <c r="H753" i="2" s="1"/>
  <c r="I820" i="2"/>
  <c r="J763" i="2"/>
  <c r="H763" i="2" s="1"/>
  <c r="J811" i="2"/>
  <c r="H811" i="2" s="1"/>
  <c r="J729" i="2"/>
  <c r="H729" i="2" s="1"/>
  <c r="K779" i="2"/>
  <c r="K761" i="2"/>
  <c r="J725" i="2"/>
  <c r="H725" i="2" s="1"/>
  <c r="I733" i="2"/>
  <c r="J759" i="2"/>
  <c r="H759" i="2" s="1"/>
  <c r="K684" i="2"/>
  <c r="I684" i="2"/>
  <c r="J655" i="2"/>
  <c r="H655" i="2" s="1"/>
  <c r="K655" i="2"/>
  <c r="I655" i="2"/>
  <c r="J771" i="2"/>
  <c r="H771" i="2" s="1"/>
  <c r="J686" i="2"/>
  <c r="H686" i="2" s="1"/>
  <c r="K659" i="2"/>
  <c r="K642" i="2"/>
  <c r="I642" i="2"/>
  <c r="K651" i="2"/>
  <c r="J742" i="2"/>
  <c r="H742" i="2" s="1"/>
  <c r="K561" i="2"/>
  <c r="J561" i="2"/>
  <c r="H561" i="2" s="1"/>
  <c r="J590" i="2"/>
  <c r="H590" i="2" s="1"/>
  <c r="I750" i="2"/>
  <c r="J621" i="2"/>
  <c r="H621" i="2" s="1"/>
  <c r="I621" i="2"/>
  <c r="I561" i="2"/>
  <c r="J548" i="2"/>
  <c r="H548" i="2" s="1"/>
  <c r="I528" i="2"/>
  <c r="I658" i="2"/>
  <c r="J553" i="2"/>
  <c r="H553" i="2" s="1"/>
  <c r="K518" i="2"/>
  <c r="I518" i="2"/>
  <c r="K475" i="2"/>
  <c r="J475" i="2"/>
  <c r="H475" i="2" s="1"/>
  <c r="I475" i="2"/>
  <c r="I407" i="2"/>
  <c r="K407" i="2"/>
  <c r="J407" i="2"/>
  <c r="H407" i="2" s="1"/>
  <c r="J667" i="2"/>
  <c r="H667" i="2" s="1"/>
  <c r="I623" i="2"/>
  <c r="I635" i="2"/>
  <c r="K477" i="2"/>
  <c r="J477" i="2"/>
  <c r="H477" i="2" s="1"/>
  <c r="J610" i="2"/>
  <c r="H610" i="2" s="1"/>
  <c r="I552" i="2"/>
  <c r="I488" i="2"/>
  <c r="I462" i="2"/>
  <c r="I350" i="2"/>
  <c r="I490" i="2"/>
  <c r="I456" i="2"/>
  <c r="K401" i="2"/>
  <c r="J386" i="2"/>
  <c r="H386" i="2" s="1"/>
  <c r="I362" i="2"/>
  <c r="K289" i="2"/>
  <c r="J289" i="2"/>
  <c r="H289" i="2" s="1"/>
  <c r="I289" i="2"/>
  <c r="I353" i="2"/>
  <c r="J470" i="2"/>
  <c r="H470" i="2" s="1"/>
  <c r="I344" i="2"/>
  <c r="I273" i="2"/>
  <c r="I191" i="2"/>
  <c r="J303" i="2"/>
  <c r="H303" i="2" s="1"/>
  <c r="I221" i="2"/>
  <c r="I155" i="2"/>
  <c r="J155" i="2"/>
  <c r="H155" i="2" s="1"/>
  <c r="I135" i="2"/>
  <c r="K135" i="2"/>
  <c r="I21" i="2"/>
  <c r="J21" i="2"/>
  <c r="H21" i="2" s="1"/>
  <c r="I160" i="2"/>
  <c r="J135" i="2"/>
  <c r="H135" i="2" s="1"/>
  <c r="J281" i="2"/>
  <c r="H281" i="2" s="1"/>
  <c r="I258" i="2"/>
  <c r="K337" i="2"/>
  <c r="J194" i="2"/>
  <c r="H194" i="2" s="1"/>
  <c r="I92" i="2"/>
  <c r="I203" i="2"/>
  <c r="I24" i="2"/>
  <c r="K180" i="2"/>
  <c r="K84" i="2"/>
  <c r="I42" i="2"/>
  <c r="K22" i="2"/>
  <c r="I237" i="2"/>
  <c r="K52" i="2"/>
  <c r="J263" i="2"/>
  <c r="H263" i="2" s="1"/>
  <c r="J586" i="2"/>
  <c r="H586" i="2" s="1"/>
  <c r="I586" i="2"/>
  <c r="K508" i="2"/>
  <c r="I508" i="2"/>
  <c r="J613" i="2"/>
  <c r="H613" i="2" s="1"/>
  <c r="K613" i="2"/>
  <c r="J417" i="2"/>
  <c r="H417" i="2" s="1"/>
  <c r="K417" i="2"/>
  <c r="K333" i="2"/>
  <c r="I333" i="2"/>
  <c r="K294" i="2"/>
  <c r="I89" i="2"/>
  <c r="J89" i="2"/>
  <c r="H89" i="2" s="1"/>
  <c r="J56" i="2"/>
  <c r="H56" i="2" s="1"/>
  <c r="K56" i="2"/>
  <c r="I56" i="2"/>
  <c r="K66" i="2"/>
  <c r="I66" i="2"/>
  <c r="J625" i="2"/>
  <c r="H625" i="2" s="1"/>
  <c r="I625" i="2"/>
  <c r="I572" i="2"/>
  <c r="K573" i="2"/>
  <c r="J834" i="2"/>
  <c r="H834" i="2" s="1"/>
  <c r="K762" i="2"/>
  <c r="K741" i="2"/>
  <c r="I763" i="2"/>
  <c r="I725" i="2"/>
  <c r="I759" i="2"/>
  <c r="J713" i="2"/>
  <c r="H713" i="2" s="1"/>
  <c r="J758" i="2"/>
  <c r="H758" i="2" s="1"/>
  <c r="K781" i="2"/>
  <c r="I781" i="2"/>
  <c r="K832" i="2"/>
  <c r="J832" i="2"/>
  <c r="H832" i="2" s="1"/>
  <c r="I832" i="2"/>
  <c r="I753" i="2"/>
  <c r="I777" i="2"/>
  <c r="J777" i="2"/>
  <c r="H777" i="2" s="1"/>
  <c r="J781" i="2"/>
  <c r="H781" i="2" s="1"/>
  <c r="K732" i="2"/>
  <c r="K752" i="2"/>
  <c r="J681" i="2"/>
  <c r="H681" i="2" s="1"/>
  <c r="K681" i="2"/>
  <c r="I681" i="2"/>
  <c r="K650" i="2"/>
  <c r="I650" i="2"/>
  <c r="K714" i="2"/>
  <c r="I554" i="2"/>
  <c r="K554" i="2"/>
  <c r="J572" i="2"/>
  <c r="H572" i="2" s="1"/>
  <c r="I604" i="2"/>
  <c r="J568" i="2"/>
  <c r="H568" i="2" s="1"/>
  <c r="I568" i="2"/>
  <c r="I590" i="2"/>
  <c r="K467" i="2"/>
  <c r="J467" i="2"/>
  <c r="H467" i="2" s="1"/>
  <c r="I467" i="2"/>
  <c r="J435" i="2"/>
  <c r="H435" i="2" s="1"/>
  <c r="K435" i="2"/>
  <c r="I478" i="2"/>
  <c r="J462" i="2"/>
  <c r="H462" i="2" s="1"/>
  <c r="K588" i="2"/>
  <c r="K362" i="2"/>
  <c r="J279" i="2"/>
  <c r="H279" i="2" s="1"/>
  <c r="I279" i="2"/>
  <c r="K279" i="2"/>
  <c r="I214" i="2"/>
  <c r="J176" i="2"/>
  <c r="H176" i="2" s="1"/>
  <c r="I176" i="2"/>
  <c r="K176" i="2"/>
  <c r="I107" i="2"/>
  <c r="J107" i="2"/>
  <c r="H107" i="2" s="1"/>
  <c r="I73" i="2"/>
  <c r="J73" i="2"/>
  <c r="H73" i="2" s="1"/>
  <c r="J11" i="2"/>
  <c r="H11" i="2" s="1"/>
  <c r="I11" i="2"/>
  <c r="K227" i="2"/>
  <c r="I227" i="2"/>
  <c r="K81" i="2"/>
  <c r="K21" i="2"/>
  <c r="I274" i="2"/>
  <c r="J92" i="2"/>
  <c r="H92" i="2" s="1"/>
  <c r="J90" i="2"/>
  <c r="H90" i="2" s="1"/>
  <c r="J24" i="2"/>
  <c r="H24" i="2" s="1"/>
  <c r="I292" i="2"/>
  <c r="J12" i="2"/>
  <c r="H12" i="2" s="1"/>
  <c r="J42" i="2"/>
  <c r="H42" i="2" s="1"/>
  <c r="J355" i="2"/>
  <c r="H355" i="2" s="1"/>
  <c r="I355" i="2"/>
  <c r="K210" i="2"/>
  <c r="I210" i="2"/>
  <c r="J210" i="2"/>
  <c r="H210" i="2" s="1"/>
  <c r="K100" i="2"/>
  <c r="I100" i="2"/>
  <c r="I7" i="2"/>
  <c r="I236" i="2"/>
  <c r="I271" i="2"/>
  <c r="K271" i="2"/>
  <c r="J271" i="2"/>
  <c r="H271" i="2" s="1"/>
  <c r="K376" i="2"/>
  <c r="J376" i="2"/>
  <c r="H376" i="2" s="1"/>
  <c r="J151" i="2"/>
  <c r="H151" i="2" s="1"/>
  <c r="K151" i="2"/>
  <c r="I151" i="2"/>
  <c r="J3" i="2"/>
  <c r="H3" i="2" s="1"/>
  <c r="I3" i="2"/>
  <c r="I834" i="2"/>
  <c r="K747" i="2"/>
  <c r="I747" i="2"/>
  <c r="K773" i="2"/>
  <c r="J773" i="2"/>
  <c r="H773" i="2" s="1"/>
  <c r="K766" i="2"/>
  <c r="I712" i="2"/>
  <c r="J716" i="2"/>
  <c r="H716" i="2" s="1"/>
  <c r="K678" i="2"/>
  <c r="J678" i="2"/>
  <c r="H678" i="2" s="1"/>
  <c r="I641" i="2"/>
  <c r="J694" i="2"/>
  <c r="H694" i="2" s="1"/>
  <c r="K665" i="2"/>
  <c r="J665" i="2"/>
  <c r="H665" i="2" s="1"/>
  <c r="K622" i="2"/>
  <c r="J622" i="2"/>
  <c r="H622" i="2" s="1"/>
  <c r="I534" i="2"/>
  <c r="J526" i="2"/>
  <c r="H526" i="2" s="1"/>
  <c r="I526" i="2"/>
  <c r="K586" i="2"/>
  <c r="J532" i="2"/>
  <c r="H532" i="2" s="1"/>
  <c r="I522" i="2"/>
  <c r="K522" i="2"/>
  <c r="J508" i="2"/>
  <c r="H508" i="2" s="1"/>
  <c r="K451" i="2"/>
  <c r="J451" i="2"/>
  <c r="H451" i="2" s="1"/>
  <c r="I451" i="2"/>
  <c r="K461" i="2"/>
  <c r="J461" i="2"/>
  <c r="H461" i="2" s="1"/>
  <c r="K427" i="2"/>
  <c r="J427" i="2"/>
  <c r="H427" i="2" s="1"/>
  <c r="J472" i="2"/>
  <c r="H472" i="2" s="1"/>
  <c r="J410" i="2"/>
  <c r="H410" i="2" s="1"/>
  <c r="I588" i="2"/>
  <c r="I584" i="2"/>
  <c r="K261" i="2"/>
  <c r="J261" i="2"/>
  <c r="H261" i="2" s="1"/>
  <c r="I261" i="2"/>
  <c r="I373" i="2"/>
  <c r="I347" i="2"/>
  <c r="K291" i="2"/>
  <c r="I294" i="2"/>
  <c r="J205" i="2"/>
  <c r="H205" i="2" s="1"/>
  <c r="I171" i="2"/>
  <c r="K171" i="2"/>
  <c r="J126" i="2"/>
  <c r="H126" i="2" s="1"/>
  <c r="K126" i="2"/>
  <c r="I99" i="2"/>
  <c r="J99" i="2"/>
  <c r="H99" i="2" s="1"/>
  <c r="I65" i="2"/>
  <c r="J65" i="2"/>
  <c r="H65" i="2" s="1"/>
  <c r="J240" i="2"/>
  <c r="H240" i="2" s="1"/>
  <c r="I126" i="2"/>
  <c r="K121" i="2"/>
  <c r="K99" i="2"/>
  <c r="K47" i="2"/>
  <c r="J7" i="2"/>
  <c r="H7" i="2" s="1"/>
  <c r="J236" i="2"/>
  <c r="H236" i="2" s="1"/>
  <c r="J299" i="2"/>
  <c r="H299" i="2" s="1"/>
  <c r="K441" i="2"/>
  <c r="J441" i="2"/>
  <c r="H441" i="2" s="1"/>
  <c r="I441" i="2"/>
  <c r="J544" i="2"/>
  <c r="H544" i="2" s="1"/>
  <c r="J375" i="2"/>
  <c r="H375" i="2" s="1"/>
  <c r="K375" i="2"/>
  <c r="I314" i="2"/>
  <c r="K314" i="2"/>
  <c r="K253" i="2"/>
  <c r="J253" i="2"/>
  <c r="H253" i="2" s="1"/>
  <c r="I253" i="2"/>
  <c r="J314" i="2"/>
  <c r="H314" i="2" s="1"/>
  <c r="I376" i="2"/>
  <c r="K228" i="2"/>
  <c r="J228" i="2"/>
  <c r="H228" i="2" s="1"/>
  <c r="I228" i="2"/>
  <c r="I247" i="2"/>
  <c r="K205" i="2"/>
  <c r="I146" i="2"/>
  <c r="J146" i="2"/>
  <c r="H146" i="2" s="1"/>
  <c r="J55" i="2"/>
  <c r="H55" i="2" s="1"/>
  <c r="I55" i="2"/>
  <c r="K146" i="2"/>
  <c r="J198" i="2"/>
  <c r="H198" i="2" s="1"/>
  <c r="J116" i="2"/>
  <c r="H116" i="2" s="1"/>
  <c r="J66" i="2"/>
  <c r="H66" i="2" s="1"/>
  <c r="K48" i="2"/>
  <c r="J48" i="2"/>
  <c r="H48" i="2" s="1"/>
  <c r="I48" i="2"/>
  <c r="J22" i="2"/>
  <c r="H22" i="2" s="1"/>
</calcChain>
</file>

<file path=xl/sharedStrings.xml><?xml version="1.0" encoding="utf-8"?>
<sst xmlns="http://schemas.openxmlformats.org/spreadsheetml/2006/main" count="1676" uniqueCount="575">
  <si>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</si>
  <si>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</si>
  <si>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</si>
  <si>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</si>
  <si>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</si>
  <si>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</si>
  <si>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</si>
  <si>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</si>
  <si>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</si>
  <si>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</si>
  <si>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</si>
  <si>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</si>
  <si>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Als kleines Mädchen stellte ich mir vor , dass ich eines Tages von Zuhause weglaufe .</t>
  </si>
  <si>
    <t>2</t>
  </si>
  <si>
    <t>(in particular)</t>
  </si>
  <si>
    <t>Seit dem sechsten Lebensjahr bewahrte ich eine Tasche mit Kleidung und Konservendosen in meinem Wandschrank auf .</t>
  </si>
  <si>
    <t>specific</t>
  </si>
  <si>
    <t>(orig: Expansion.Level-of-detail.Arg2-as-detail)</t>
  </si>
  <si>
    <t>3</t>
  </si>
  <si>
    <t>(because)</t>
  </si>
  <si>
    <t>In mir war eine tiefe Unruhe , eine Angst , Opfer zu werden , von einem Leben voller Routine und Langeweile .</t>
  </si>
  <si>
    <t>reason</t>
  </si>
  <si>
    <t>(orig: Contingency.Cause.Reason)</t>
  </si>
  <si>
    <t>4</t>
  </si>
  <si>
    <t>(and)</t>
  </si>
  <si>
    <t>Viele meiner frühkindlichen Erinnerungen beinhalteten komplizierte Wachträume , in denen ich Grenzen überschritt , Beeren sammelte und allerlei seltsame Leute traf , die unkonventionelle Leben auf der Straße führten .</t>
  </si>
  <si>
    <t>Conjunction</t>
  </si>
  <si>
    <t>(orig: Expansion.Conjunction)</t>
  </si>
  <si>
    <t>5</t>
  </si>
  <si>
    <t>Die Jahre sind vergangen , aber viele meiner Abenteuer , von denen ich als Kind fantasierte -- zu reisen ; meinen Weg zu erfinden zwischen Welten , anders als der meinen -- wurden durch meine Arbeit als Dokumentarfotografin Wirklichkeit .</t>
  </si>
  <si>
    <t>(orig: Temporal.Asynchronous.Precedence)</t>
  </si>
  <si>
    <t>6</t>
  </si>
  <si>
    <t>Aber keine andere Erfahrung kam meinen Kindheitsfantasien so nah , wie die , wie andere Herumtreiber zu leben und ihr Leben überall in den USA zu dokumentieren .</t>
  </si>
  <si>
    <t>contra-expectation</t>
  </si>
  <si>
    <t>(orig: Comparison.Concession.Arg2-as-denier)</t>
  </si>
  <si>
    <t>7</t>
  </si>
  <si>
    <t>Das ist der Traum vom nomadischen Leben , eine andere Art amerikanischer Traum , gelebt von jungen Landstreichern , Herumreisenden , Trampern , Nichtsesshaften und Vagabunden .</t>
  </si>
  <si>
    <t>8</t>
  </si>
  <si>
    <t>In den meisten Köpfen ist der Vagabund Teil der Vergangenheit .</t>
  </si>
  <si>
    <t>9</t>
  </si>
  <si>
    <t>Das Wort " Landstreicher " erinnert an ein Schwarz-Weiß-Foto eines dem Wetter ausgesetzten , verrußten Mannes , der seine Beine aus einem Waggon baumeln lässt .</t>
  </si>
  <si>
    <t>10</t>
  </si>
  <si>
    <t>Aber diese Fotos sind in Farbe : Sie porträtieren eine Gemeinschaft , die im Land herumwirbelt , heftig lebendig und schöpferisch frei .</t>
  </si>
  <si>
    <t>Contrast</t>
  </si>
  <si>
    <t>(orig: Comparison.Contrast)</t>
  </si>
  <si>
    <t>11</t>
  </si>
  <si>
    <t>Sie sehen das Amerika , das sonst niemand zu sehen bekommt .</t>
  </si>
  <si>
    <t>12</t>
  </si>
  <si>
    <t>Wie ihre Vorgänger bereisen die heutigen Nomaden die Hauptverkehrsadern der Vereinigten Staaten aus Stahl und Asphalt .</t>
  </si>
  <si>
    <t>13</t>
  </si>
  <si>
    <t>Am Tag springen sie auf Güterzüge oder strecken den Daumen raus , und fahren auf der Autobahn mit jedem mit , egal ob Lkw-Fahrer oder nicht berufstätige Mütter .</t>
  </si>
  <si>
    <t>14</t>
  </si>
  <si>
    <t>Nachts schlafen sie unter den Sternen , gekauert an ihr Rudel aus Hunden , Katzen und Haustierratten zwischen ihren Körpern .</t>
  </si>
  <si>
    <t>15</t>
  </si>
  <si>
    <t>Manche Reisende haben sich dieses Leben ausgesucht , verzichten auf Materielles , herkömmliche Arbeit und Uni-Abschlüsse im Tausch gegen einen Hauch von Abenteuer .</t>
  </si>
  <si>
    <t>16</t>
  </si>
  <si>
    <t>Andere kommen von der Schattenseite der Gesellschaft ; sie bekamen sie nie , die Chance zum sozialen Aufstieg : Ausbrecher aus Pflegefamilien , jugendliche Ausreißer auf der Flucht vor Missbrauch und unversöhnlichen Elternhäusern .</t>
  </si>
  <si>
    <t>17</t>
  </si>
  <si>
    <t>Was andere als Geschichten von Entbehrung und wirtschaftlichem Versagen ansehen , betrachten die Reisenden durch das Prisma der Befreiung und Freiheit .</t>
  </si>
  <si>
    <t>18</t>
  </si>
  <si>
    <t>Lieber zehren sie vom Überfluss einer -- aus ihrer Sicht -- verschwenderischen Konsumgesellschaft , als sich mit einer unrealistischen Chance auf den herkömmlichen " American Dream " abzurackern .</t>
  </si>
  <si>
    <t>19</t>
  </si>
  <si>
    <t>Sie nutzen die Tatsache aus , dass in den USA bis zu 40 % der Lebensmittel im Abfall landen , in dem sie nach einwandfreien Nahrungsmitteln in Containern und Abfalleimern suchen .</t>
  </si>
  <si>
    <t>20</t>
  </si>
  <si>
    <t>Sie opfern materiellen Komfort im Austausch gegen den Raum und die Zeit , ihr kreatives Inneres zu entdecken , um zu träumen , zu lesen , Musik zu machen , Kunst zu erschaffen und zu schreiben .</t>
  </si>
  <si>
    <t>21</t>
  </si>
  <si>
    <t>Aber es gibt viele Aspekte an dieser Art zu leben , die alles andere als idyllisch sind .</t>
  </si>
  <si>
    <t>22</t>
  </si>
  <si>
    <t>Niemand verliert seine inneren Dämonen , indem er auf der Straße lebt .</t>
  </si>
  <si>
    <t>(orig: Contingency.Cause+SpeechAct.Result+SpeechAct)</t>
  </si>
  <si>
    <t>23</t>
  </si>
  <si>
    <t>Drogensucht und extremes Wetter gehören zur Wirklichkeit , Güterzüge verstümmeln oder töten , und wer auf der Straße gelebt hat , kann ein Zeugnis von der Unmenge an Gesetzen ablegen , wodurch sich Obdachlose strafbar machen .</t>
  </si>
  <si>
    <t>24</t>
  </si>
  <si>
    <t>(for instance)</t>
  </si>
  <si>
    <t>Wussten Sie , dass es in vielen Städten der USA nun illegal ist , auf dem Bordstein zu sitzen , sich in eine Decke zu wickeln , im eigenen Auto zu übernachten , einem Fremden Essen anzubieten ?</t>
  </si>
  <si>
    <t>instance</t>
  </si>
  <si>
    <t>(orig: Expansion.Instantiation)</t>
  </si>
  <si>
    <t>25</t>
  </si>
  <si>
    <t>Ich kenne diese Gesetze , weil ich sah , wie Freunde und andere Herumreisende ins Gefängnis geschleppt oder vorgeladen wurden , weil sie diese sogenannten " Verbrechen " begangen hatten .</t>
  </si>
  <si>
    <t>26</t>
  </si>
  <si>
    <t>Vielleicht fragen Sie sich , wieso jemand ein Leben wie dieses wählt , unter der Fuchtel diskriminierender Gesetze , aus Mülltonnen zu essen , unter Brücken zu schlafen , hier und da Saisonjobs anzunehmen .</t>
  </si>
  <si>
    <t>27</t>
  </si>
  <si>
    <t>Darauf gibt es so viele Antworten wie Menschen , die dieses Leben führen , aber Herumreisende antworten oft mit einem Wort : Freiheit .</t>
  </si>
  <si>
    <t>28</t>
  </si>
  <si>
    <t>(so)</t>
  </si>
  <si>
    <t>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</si>
  <si>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(orig: Contingency.Cause.Result)</t>
  </si>
  <si>
    <t>29</t>
  </si>
  <si>
    <t>Vielen Dank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</si>
  <si>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</si>
  <si>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</si>
  <si>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</si>
  <si>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</si>
  <si>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</si>
  <si>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</si>
  <si>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</si>
  <si>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</si>
  <si>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</si>
  <si>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</si>
  <si>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</si>
  <si>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Als kleines Mädchen stellte ich mir vor , dass ich eines Tages von Zuhause weglaufe .</t>
  </si>
  <si>
    <t>Als</t>
  </si>
  <si>
    <t>kleines</t>
  </si>
  <si>
    <t>Mädchen</t>
  </si>
  <si>
    <t>other</t>
  </si>
  <si>
    <t>indef-np.bare</t>
  </si>
  <si>
    <t>stellte</t>
  </si>
  <si>
    <t>ich</t>
  </si>
  <si>
    <t>SBJ</t>
  </si>
  <si>
    <t>pron.pper</t>
  </si>
  <si>
    <t>?OLD</t>
  </si>
  <si>
    <t>mir</t>
  </si>
  <si>
    <t>OBJ</t>
  </si>
  <si>
    <t>vor</t>
  </si>
  <si>
    <t>,</t>
  </si>
  <si>
    <t>dass</t>
  </si>
  <si>
    <t>SBJ_2</t>
  </si>
  <si>
    <t>eines</t>
  </si>
  <si>
    <t>Tages</t>
  </si>
  <si>
    <t>OBJ_2</t>
  </si>
  <si>
    <t>indef-np.a</t>
  </si>
  <si>
    <t>von</t>
  </si>
  <si>
    <t>Zuhause</t>
  </si>
  <si>
    <t>other_3</t>
  </si>
  <si>
    <t>weglaufe</t>
  </si>
  <si>
    <t>.</t>
  </si>
  <si>
    <t># text = Seit dem sechsten Lebensjahr bewahrte ich eine Tasche mit Kleidung und Konservendosen in meinem Wandschrank auf .</t>
  </si>
  <si>
    <t>Seit</t>
  </si>
  <si>
    <t>dem</t>
  </si>
  <si>
    <t>sechsten</t>
  </si>
  <si>
    <t>Lebensjahr</t>
  </si>
  <si>
    <t>def-np.the</t>
  </si>
  <si>
    <t>bewahrte</t>
  </si>
  <si>
    <t>eine</t>
  </si>
  <si>
    <t>Tasche</t>
  </si>
  <si>
    <t>mit</t>
  </si>
  <si>
    <t>Kleidung</t>
  </si>
  <si>
    <t>other_2</t>
  </si>
  <si>
    <t>und</t>
  </si>
  <si>
    <t>Konservendosen</t>
  </si>
  <si>
    <t>in</t>
  </si>
  <si>
    <t>meinem</t>
  </si>
  <si>
    <t>pron.ppos</t>
  </si>
  <si>
    <t>Wandschrank</t>
  </si>
  <si>
    <t>auf</t>
  </si>
  <si>
    <t># text = In mir war eine tiefe Unruhe , eine Angst , Opfer zu werden , von einem Leben voller Routine und Langeweile .</t>
  </si>
  <si>
    <t>In</t>
  </si>
  <si>
    <t>war</t>
  </si>
  <si>
    <t>tiefe</t>
  </si>
  <si>
    <t>Unruhe</t>
  </si>
  <si>
    <t>Angst</t>
  </si>
  <si>
    <t>Opfer</t>
  </si>
  <si>
    <t>zu</t>
  </si>
  <si>
    <t>werden</t>
  </si>
  <si>
    <t>einem</t>
  </si>
  <si>
    <t>Leben</t>
  </si>
  <si>
    <t>voller</t>
  </si>
  <si>
    <t>Routine</t>
  </si>
  <si>
    <t>Langeweile</t>
  </si>
  <si>
    <t># text = Viele meiner frühkindlichen Erinnerungen beinhalteten komplizierte Wachträume , in denen ich Grenzen überschritt , Beeren sammelte und allerlei seltsame Leute traf , die unkonventionelle Leben auf der Straße führten .</t>
  </si>
  <si>
    <t>Viele</t>
  </si>
  <si>
    <t>pron</t>
  </si>
  <si>
    <t>meiner</t>
  </si>
  <si>
    <t>frühkindlichen</t>
  </si>
  <si>
    <t>Erinnerungen</t>
  </si>
  <si>
    <t>indef-np</t>
  </si>
  <si>
    <t>beinhalteten</t>
  </si>
  <si>
    <t>komplizierte</t>
  </si>
  <si>
    <t>Wachträume</t>
  </si>
  <si>
    <t>denen</t>
  </si>
  <si>
    <t>Grenzen</t>
  </si>
  <si>
    <t>überschritt</t>
  </si>
  <si>
    <t>Beeren</t>
  </si>
  <si>
    <t>sammelte</t>
  </si>
  <si>
    <t>allerlei</t>
  </si>
  <si>
    <t>seltsame</t>
  </si>
  <si>
    <t>Leute</t>
  </si>
  <si>
    <t>indef-np.quant</t>
  </si>
  <si>
    <t>traf</t>
  </si>
  <si>
    <t>die</t>
  </si>
  <si>
    <t>unkonventionelle</t>
  </si>
  <si>
    <t>der</t>
  </si>
  <si>
    <t>Straße</t>
  </si>
  <si>
    <t>führten</t>
  </si>
  <si>
    <t># text = Die Jahre sind vergangen , aber viele meiner Abenteuer , von denen ich als Kind fantasierte -- zu reisen ; meinen Weg zu erfinden zwischen Welten , anders als der meinen -- wurden durch meine Arbeit als Dokumentarfotografin Wirklichkeit .</t>
  </si>
  <si>
    <t>Die</t>
  </si>
  <si>
    <t>Jahre</t>
  </si>
  <si>
    <t>sind</t>
  </si>
  <si>
    <t>vergangen</t>
  </si>
  <si>
    <t>aber</t>
  </si>
  <si>
    <t>viele</t>
  </si>
  <si>
    <t>Abenteuer</t>
  </si>
  <si>
    <t>als</t>
  </si>
  <si>
    <t>Kind</t>
  </si>
  <si>
    <t>fantasierte</t>
  </si>
  <si>
    <t>reisen</t>
  </si>
  <si>
    <t>;</t>
  </si>
  <si>
    <t>meinen</t>
  </si>
  <si>
    <t>Weg</t>
  </si>
  <si>
    <t>OBJ_3</t>
  </si>
  <si>
    <t>erfinden</t>
  </si>
  <si>
    <t>zwischen</t>
  </si>
  <si>
    <t>Welten</t>
  </si>
  <si>
    <t>anders</t>
  </si>
  <si>
    <t>wurden</t>
  </si>
  <si>
    <t>durch</t>
  </si>
  <si>
    <t>meine</t>
  </si>
  <si>
    <t>Arbeit</t>
  </si>
  <si>
    <t>Dokumentarfotografin</t>
  </si>
  <si>
    <t>Wirklichkeit</t>
  </si>
  <si>
    <t># text = Aber keine andere Erfahrung kam meinen Kindheitsfantasien so nah , wie die , wie andere Herumtreiber zu leben und ihr Leben überall in den USA zu dokumentieren .</t>
  </si>
  <si>
    <t>Aber</t>
  </si>
  <si>
    <t>keine</t>
  </si>
  <si>
    <t>andere</t>
  </si>
  <si>
    <t>Erfahrung</t>
  </si>
  <si>
    <t>kam</t>
  </si>
  <si>
    <t>Kindheitsfantasien</t>
  </si>
  <si>
    <t>so</t>
  </si>
  <si>
    <t>nah</t>
  </si>
  <si>
    <t>wie</t>
  </si>
  <si>
    <t>Herumtreiber</t>
  </si>
  <si>
    <t>leben</t>
  </si>
  <si>
    <t>ihr</t>
  </si>
  <si>
    <t>überall</t>
  </si>
  <si>
    <t>den</t>
  </si>
  <si>
    <t>USA</t>
  </si>
  <si>
    <t>ne</t>
  </si>
  <si>
    <t>dokumentieren</t>
  </si>
  <si>
    <t># text = Das ist der Traum vom nomadischen Leben , eine andere Art amerikanischer Traum , gelebt von jungen Landstreichern , Herumreisenden , Trampern , Nichtsesshaften und Vagabunden .</t>
  </si>
  <si>
    <t>Das</t>
  </si>
  <si>
    <t>pron.pds</t>
  </si>
  <si>
    <t>ist</t>
  </si>
  <si>
    <t>Traum</t>
  </si>
  <si>
    <t>nomadischen</t>
  </si>
  <si>
    <t>Art</t>
  </si>
  <si>
    <t>amerikanischer</t>
  </si>
  <si>
    <t>gelebt</t>
  </si>
  <si>
    <t>jungen</t>
  </si>
  <si>
    <t>Landstreichern</t>
  </si>
  <si>
    <t>Herumreisenden</t>
  </si>
  <si>
    <t>Trampern</t>
  </si>
  <si>
    <t>Nichtsesshaften</t>
  </si>
  <si>
    <t>Vagabunden</t>
  </si>
  <si>
    <t># text = In den meisten Köpfen ist der Vagabund Teil der Vergangenheit .</t>
  </si>
  <si>
    <t>meisten</t>
  </si>
  <si>
    <t>Köpfen</t>
  </si>
  <si>
    <t>Vagabund</t>
  </si>
  <si>
    <t>Teil</t>
  </si>
  <si>
    <t>Vergangenheit</t>
  </si>
  <si>
    <t>--</t>
  </si>
  <si>
    <t># text = Das Wort " Landstreicher " erinnert an ein Schwarz-Weiß-Foto eines dem Wetter ausgesetzten , verrußten Mannes , der seine Beine aus einem Waggon baumeln lässt .</t>
  </si>
  <si>
    <t>Wort</t>
  </si>
  <si>
    <t>&amp;quot;</t>
  </si>
  <si>
    <t>Landstreicher</t>
  </si>
  <si>
    <t>erinnert</t>
  </si>
  <si>
    <t>an</t>
  </si>
  <si>
    <t>ein</t>
  </si>
  <si>
    <t>Schwarz</t>
  </si>
  <si>
    <t>Weiß</t>
  </si>
  <si>
    <t>Foto</t>
  </si>
  <si>
    <t>pron.pind</t>
  </si>
  <si>
    <t>Wetter</t>
  </si>
  <si>
    <t>OBJ_4</t>
  </si>
  <si>
    <t>ausgesetzten</t>
  </si>
  <si>
    <t>verrußten</t>
  </si>
  <si>
    <t>Mannes</t>
  </si>
  <si>
    <t>SBJ_4</t>
  </si>
  <si>
    <t>seine</t>
  </si>
  <si>
    <t>Beine</t>
  </si>
  <si>
    <t>aus</t>
  </si>
  <si>
    <t>Waggon</t>
  </si>
  <si>
    <t>other_5</t>
  </si>
  <si>
    <t>baumeln</t>
  </si>
  <si>
    <t>lässt</t>
  </si>
  <si>
    <t># text = Aber diese Fotos sind in Farbe : Sie porträtieren eine Gemeinschaft , die im Land herumwirbelt , heftig lebendig und schöpferisch frei .</t>
  </si>
  <si>
    <t>diese</t>
  </si>
  <si>
    <t>Fotos</t>
  </si>
  <si>
    <t>def-np.dem</t>
  </si>
  <si>
    <t>Farbe</t>
  </si>
  <si>
    <t>:</t>
  </si>
  <si>
    <t>Sie</t>
  </si>
  <si>
    <t>porträtieren</t>
  </si>
  <si>
    <t>Gemeinschaft</t>
  </si>
  <si>
    <t>SBJ_3</t>
  </si>
  <si>
    <t>Land</t>
  </si>
  <si>
    <t>herumwirbelt</t>
  </si>
  <si>
    <t>heftig</t>
  </si>
  <si>
    <t>lebendig</t>
  </si>
  <si>
    <t>schöpferisch</t>
  </si>
  <si>
    <t>frei</t>
  </si>
  <si>
    <t># text = Sie sehen das Amerika , das sonst niemand zu sehen bekommt .</t>
  </si>
  <si>
    <t>sehen</t>
  </si>
  <si>
    <t>das</t>
  </si>
  <si>
    <t>Amerika</t>
  </si>
  <si>
    <t>sonst</t>
  </si>
  <si>
    <t>niemand</t>
  </si>
  <si>
    <t>bekommt</t>
  </si>
  <si>
    <t># text = Wie ihre Vorgänger bereisen die heutigen Nomaden die Hauptverkehrsadern der Vereinigten Staaten aus Stahl und Asphalt .</t>
  </si>
  <si>
    <t>Wie</t>
  </si>
  <si>
    <t>ihre</t>
  </si>
  <si>
    <t>Vorgänger</t>
  </si>
  <si>
    <t>bereisen</t>
  </si>
  <si>
    <t>heutigen</t>
  </si>
  <si>
    <t>Nomaden</t>
  </si>
  <si>
    <t>Hauptverkehrsadern</t>
  </si>
  <si>
    <t>def-np.poss</t>
  </si>
  <si>
    <t>Vereinigten</t>
  </si>
  <si>
    <t>Staaten</t>
  </si>
  <si>
    <t>Stahl</t>
  </si>
  <si>
    <t>Asphalt</t>
  </si>
  <si>
    <t># text = Am Tag springen sie auf Güterzüge oder strecken den Daumen raus , und fahren auf der Autobahn mit jedem mit , egal ob Lkw-Fahrer oder nicht berufstätige Mütter .</t>
  </si>
  <si>
    <t>An</t>
  </si>
  <si>
    <t>Tag</t>
  </si>
  <si>
    <t>springen</t>
  </si>
  <si>
    <t>sie</t>
  </si>
  <si>
    <t>Güterzüge</t>
  </si>
  <si>
    <t>oder</t>
  </si>
  <si>
    <t>strecken</t>
  </si>
  <si>
    <t>Daumen</t>
  </si>
  <si>
    <t>raus</t>
  </si>
  <si>
    <t>fahren</t>
  </si>
  <si>
    <t>Autobahn</t>
  </si>
  <si>
    <t>jedem</t>
  </si>
  <si>
    <t>egal</t>
  </si>
  <si>
    <t>ob</t>
  </si>
  <si>
    <t>Lkw</t>
  </si>
  <si>
    <t>SBJ_5</t>
  </si>
  <si>
    <t>Fahrer</t>
  </si>
  <si>
    <t>nicht</t>
  </si>
  <si>
    <t>berufstätige</t>
  </si>
  <si>
    <t>Mütter</t>
  </si>
  <si>
    <t>other_4</t>
  </si>
  <si>
    <t># text = Nachts schlafen sie unter den Sternen , gekauert an ihr Rudel aus Hunden , Katzen und Haustierratten zwischen ihren Körpern .</t>
  </si>
  <si>
    <t>Nachts</t>
  </si>
  <si>
    <t>schlafen</t>
  </si>
  <si>
    <t>unter</t>
  </si>
  <si>
    <t>Sternen</t>
  </si>
  <si>
    <t>gekauert</t>
  </si>
  <si>
    <t>Rudel</t>
  </si>
  <si>
    <t>Hunden</t>
  </si>
  <si>
    <t>Katzen</t>
  </si>
  <si>
    <t>Haustierratten</t>
  </si>
  <si>
    <t>ihren</t>
  </si>
  <si>
    <t>Körpern</t>
  </si>
  <si>
    <t># text = Manche Reisende haben sich dieses Leben ausgesucht , verzichten auf Materielles , herkömmliche Arbeit und Uni-Abschlüsse im Tausch gegen einen Hauch von Abenteuer .</t>
  </si>
  <si>
    <t>Manche</t>
  </si>
  <si>
    <t>Reisende</t>
  </si>
  <si>
    <t>haben</t>
  </si>
  <si>
    <t>sich</t>
  </si>
  <si>
    <t>dieses</t>
  </si>
  <si>
    <t>ausgesucht</t>
  </si>
  <si>
    <t>verzichten</t>
  </si>
  <si>
    <t>Materielles</t>
  </si>
  <si>
    <t>herkömmliche</t>
  </si>
  <si>
    <t>Uni</t>
  </si>
  <si>
    <t>Abschlüsse</t>
  </si>
  <si>
    <t>Tausch</t>
  </si>
  <si>
    <t>gegen</t>
  </si>
  <si>
    <t>einen</t>
  </si>
  <si>
    <t>Hauch</t>
  </si>
  <si>
    <t># text = Andere kommen von der Schattenseite der Gesellschaft ; sie bekamen sie nie , die Chance zum sozialen Aufstieg : Ausbrecher aus Pflegefamilien , jugendliche Ausreißer auf der Flucht vor Missbrauch und unversöhnlichen Elternhäusern .</t>
  </si>
  <si>
    <t>Andere</t>
  </si>
  <si>
    <t>kommen</t>
  </si>
  <si>
    <t>Schattenseite</t>
  </si>
  <si>
    <t>Gesellschaft</t>
  </si>
  <si>
    <t>bekamen</t>
  </si>
  <si>
    <t>nie</t>
  </si>
  <si>
    <t>Chance</t>
  </si>
  <si>
    <t>sozialen</t>
  </si>
  <si>
    <t>Aufstieg</t>
  </si>
  <si>
    <t>Ausbrecher</t>
  </si>
  <si>
    <t>Pflegefamilien</t>
  </si>
  <si>
    <t>other_6</t>
  </si>
  <si>
    <t>jugendliche</t>
  </si>
  <si>
    <t>Ausreißer</t>
  </si>
  <si>
    <t>Flucht</t>
  </si>
  <si>
    <t>Missbrauch</t>
  </si>
  <si>
    <t>unversöhnlichen</t>
  </si>
  <si>
    <t>Elternhäusern</t>
  </si>
  <si>
    <t>other_7</t>
  </si>
  <si>
    <t># text = Was andere als Geschichten von Entbehrung und wirtschaftlichem Versagen ansehen , betrachten die Reisenden durch das Prisma der Befreiung und Freiheit .</t>
  </si>
  <si>
    <t>Was</t>
  </si>
  <si>
    <t>Geschichten</t>
  </si>
  <si>
    <t>Entbehrung</t>
  </si>
  <si>
    <t>wirtschaftlichem</t>
  </si>
  <si>
    <t>Versagen</t>
  </si>
  <si>
    <t>ansehen</t>
  </si>
  <si>
    <t>betrachten</t>
  </si>
  <si>
    <t>Reisenden</t>
  </si>
  <si>
    <t>Prisma</t>
  </si>
  <si>
    <t>Befreiung</t>
  </si>
  <si>
    <t>Freiheit</t>
  </si>
  <si>
    <t># text = Lieber zehren sie vom Überfluss einer -- aus ihrer Sicht -- verschwenderischen Konsumgesellschaft , als sich mit einer unrealistischen Chance auf den herkömmlichen " American Dream " abzurackern .</t>
  </si>
  <si>
    <t>Lieber</t>
  </si>
  <si>
    <t>zehren</t>
  </si>
  <si>
    <t>Überfluss</t>
  </si>
  <si>
    <t>einer</t>
  </si>
  <si>
    <t>ihrer</t>
  </si>
  <si>
    <t>Sicht</t>
  </si>
  <si>
    <t>verschwenderischen</t>
  </si>
  <si>
    <t>Konsumgesellschaft</t>
  </si>
  <si>
    <t>unrealistischen</t>
  </si>
  <si>
    <t>herkömmlichen</t>
  </si>
  <si>
    <t>American</t>
  </si>
  <si>
    <t>Dream</t>
  </si>
  <si>
    <t>abzurackern</t>
  </si>
  <si>
    <t># text = Sie nutzen die Tatsache aus , dass in den USA bis zu 40 % der Lebensmittel im Abfall landen , in dem sie nach einwandfreien Nahrungsmitteln in Containern und Abfalleimern suchen .</t>
  </si>
  <si>
    <t>nutzen</t>
  </si>
  <si>
    <t>Tatsache</t>
  </si>
  <si>
    <t>bis</t>
  </si>
  <si>
    <t>40</t>
  </si>
  <si>
    <t>%</t>
  </si>
  <si>
    <t>Lebensmittel</t>
  </si>
  <si>
    <t>Abfall</t>
  </si>
  <si>
    <t>landen</t>
  </si>
  <si>
    <t>nach</t>
  </si>
  <si>
    <t>einwandfreien</t>
  </si>
  <si>
    <t>Nahrungsmitteln</t>
  </si>
  <si>
    <t>Containern</t>
  </si>
  <si>
    <t>Abfalleimern</t>
  </si>
  <si>
    <t>suchen</t>
  </si>
  <si>
    <t># text = Sie opfern materiellen Komfort im Austausch gegen den Raum und die Zeit , ihr kreatives Inneres zu entdecken , um zu träumen , zu lesen , Musik zu machen , Kunst zu erschaffen und zu schreiben .</t>
  </si>
  <si>
    <t>opfern</t>
  </si>
  <si>
    <t>materiellen</t>
  </si>
  <si>
    <t>Komfort</t>
  </si>
  <si>
    <t>Austausch</t>
  </si>
  <si>
    <t>Raum</t>
  </si>
  <si>
    <t>Zeit</t>
  </si>
  <si>
    <t>kreatives</t>
  </si>
  <si>
    <t>Inneres</t>
  </si>
  <si>
    <t>entdecken</t>
  </si>
  <si>
    <t>um</t>
  </si>
  <si>
    <t>träumen</t>
  </si>
  <si>
    <t>lesen</t>
  </si>
  <si>
    <t>Musik</t>
  </si>
  <si>
    <t>machen</t>
  </si>
  <si>
    <t>Kunst</t>
  </si>
  <si>
    <t>erschaffen</t>
  </si>
  <si>
    <t>schreiben</t>
  </si>
  <si>
    <t># text = Aber es gibt viele Aspekte an dieser Art zu leben , die alles andere als idyllisch sind .</t>
  </si>
  <si>
    <t>es</t>
  </si>
  <si>
    <t>gibt</t>
  </si>
  <si>
    <t>Aspekte</t>
  </si>
  <si>
    <t>dieser</t>
  </si>
  <si>
    <t>alles</t>
  </si>
  <si>
    <t>idyllisch</t>
  </si>
  <si>
    <t># text = Niemand verliert seine inneren Dämonen , indem er auf der Straße lebt .</t>
  </si>
  <si>
    <t>Niemand</t>
  </si>
  <si>
    <t>verliert</t>
  </si>
  <si>
    <t>inneren</t>
  </si>
  <si>
    <t>Dämonen</t>
  </si>
  <si>
    <t>indem</t>
  </si>
  <si>
    <t>er</t>
  </si>
  <si>
    <t>lebt</t>
  </si>
  <si>
    <t># text = Drogensucht und extremes Wetter gehören zur Wirklichkeit , Güterzüge verstümmeln oder töten , und wer auf der Straße gelebt hat , kann ein Zeugnis von der Unmenge an Gesetzen ablegen , wodurch sich Obdachlose strafbar machen .</t>
  </si>
  <si>
    <t>Drogensucht</t>
  </si>
  <si>
    <t>extremes</t>
  </si>
  <si>
    <t>gehören</t>
  </si>
  <si>
    <t>verstümmeln</t>
  </si>
  <si>
    <t>töten</t>
  </si>
  <si>
    <t>wer</t>
  </si>
  <si>
    <t>pron.pint</t>
  </si>
  <si>
    <t>hat</t>
  </si>
  <si>
    <t>kann</t>
  </si>
  <si>
    <t>Zeugnis</t>
  </si>
  <si>
    <t>Unmenge</t>
  </si>
  <si>
    <t>Gesetzen</t>
  </si>
  <si>
    <t>ablegen</t>
  </si>
  <si>
    <t>wodurch</t>
  </si>
  <si>
    <t>Obdachlose</t>
  </si>
  <si>
    <t>strafbar</t>
  </si>
  <si>
    <t># text = Wussten Sie , dass es in vielen Städten der USA nun illegal ist , auf dem Bordstein zu sitzen , sich in eine Decke zu wickeln , im eigenen Auto zu übernachten , einem Fremden Essen anzubieten ?</t>
  </si>
  <si>
    <t>Wussten</t>
  </si>
  <si>
    <t>vielen</t>
  </si>
  <si>
    <t>Städten</t>
  </si>
  <si>
    <t>nun</t>
  </si>
  <si>
    <t>illegal</t>
  </si>
  <si>
    <t>Bordstein</t>
  </si>
  <si>
    <t>sitzen</t>
  </si>
  <si>
    <t>Decke</t>
  </si>
  <si>
    <t>wickeln</t>
  </si>
  <si>
    <t>eigenen</t>
  </si>
  <si>
    <t>Auto</t>
  </si>
  <si>
    <t>übernachten</t>
  </si>
  <si>
    <t>Fremden</t>
  </si>
  <si>
    <t>Essen</t>
  </si>
  <si>
    <t>anzubieten</t>
  </si>
  <si>
    <t>?</t>
  </si>
  <si>
    <t># text = Ich kenne diese Gesetze , weil ich sah , wie Freunde und andere Herumreisende ins Gefängnis geschleppt oder vorgeladen wurden , weil sie diese sogenannten \" Verbrechen \" begangen hatten .</t>
  </si>
  <si>
    <t>Ich</t>
  </si>
  <si>
    <t>kenne</t>
  </si>
  <si>
    <t>Gesetze</t>
  </si>
  <si>
    <t>weil</t>
  </si>
  <si>
    <t>sah</t>
  </si>
  <si>
    <t>Freunde</t>
  </si>
  <si>
    <t>Herumreisende</t>
  </si>
  <si>
    <t>Gefängnis</t>
  </si>
  <si>
    <t>geschleppt</t>
  </si>
  <si>
    <t>vorgeladen</t>
  </si>
  <si>
    <t>sogenannten</t>
  </si>
  <si>
    <t>Verbrechen</t>
  </si>
  <si>
    <t>begangen</t>
  </si>
  <si>
    <t>hatten</t>
  </si>
  <si>
    <t># text = Vielleicht fragen Sie sich , wieso jemand ein Leben wie dieses wählt , unter der Fuchtel diskriminierender Gesetze , aus Mülltonnen zu essen , unter Brücken zu schlafen , hier und da Saisonjobs anzunehmen .</t>
  </si>
  <si>
    <t>Vielleicht</t>
  </si>
  <si>
    <t>fragen</t>
  </si>
  <si>
    <t>wieso</t>
  </si>
  <si>
    <t>jemand</t>
  </si>
  <si>
    <t>wählt</t>
  </si>
  <si>
    <t>Fuchtel</t>
  </si>
  <si>
    <t>diskriminierender</t>
  </si>
  <si>
    <t>Mülltonnen</t>
  </si>
  <si>
    <t>essen</t>
  </si>
  <si>
    <t>Brücken</t>
  </si>
  <si>
    <t>hier</t>
  </si>
  <si>
    <t>da</t>
  </si>
  <si>
    <t>Saisonjobs</t>
  </si>
  <si>
    <t>anzunehmen</t>
  </si>
  <si>
    <t># text = Darauf gibt es so viele Antworten wie Menschen , die dieses Leben führen , aber Herumreisende antworten oft mit einem Wort : Freiheit .</t>
  </si>
  <si>
    <t>Darauf</t>
  </si>
  <si>
    <t>Antworten</t>
  </si>
  <si>
    <t>Menschen</t>
  </si>
  <si>
    <t>führen</t>
  </si>
  <si>
    <t>antworten</t>
  </si>
  <si>
    <t>oft</t>
  </si>
  <si>
    <t># text = 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</si>
  <si>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Bis</t>
  </si>
  <si>
    <t>wir</t>
  </si>
  <si>
    <t>wo</t>
  </si>
  <si>
    <t>Würde</t>
  </si>
  <si>
    <t>bei</t>
  </si>
  <si>
    <t>garantiert</t>
  </si>
  <si>
    <t>wird</t>
  </si>
  <si>
    <t>sodass</t>
  </si>
  <si>
    <t>arbeiten</t>
  </si>
  <si>
    <t>gut</t>
  </si>
  <si>
    <t>nur</t>
  </si>
  <si>
    <t>überleben</t>
  </si>
  <si>
    <t>immer</t>
  </si>
  <si>
    <t>auch</t>
  </si>
  <si>
    <t>jene</t>
  </si>
  <si>
    <t>geben</t>
  </si>
  <si>
    <t>offene</t>
  </si>
  <si>
    <t>aufsuchen</t>
  </si>
  <si>
    <t>Mittel</t>
  </si>
  <si>
    <t>selbstverständlich</t>
  </si>
  <si>
    <t>Rebellion</t>
  </si>
  <si>
    <t># text = Vielen Dank</t>
  </si>
  <si>
    <t>Vielen</t>
  </si>
  <si>
    <t>Dank</t>
  </si>
  <si>
    <t>NoRel</t>
  </si>
  <si>
    <t>synchrony</t>
  </si>
  <si>
    <t>als kleines Mädchen</t>
  </si>
  <si>
    <t>(konkret)</t>
  </si>
  <si>
    <t>(denn)</t>
  </si>
  <si>
    <t>(und)</t>
  </si>
  <si>
    <t>after</t>
  </si>
  <si>
    <t>das ist (konkret)</t>
  </si>
  <si>
    <t>(im Allgemeinen)</t>
  </si>
  <si>
    <t>set</t>
  </si>
  <si>
    <t>similarity</t>
  </si>
  <si>
    <t>means</t>
  </si>
  <si>
    <t>(indem)</t>
  </si>
  <si>
    <t>contrast</t>
  </si>
  <si>
    <t>(im Gegensatz dazu)</t>
  </si>
  <si>
    <t>(speziell)</t>
  </si>
  <si>
    <t>hypophora</t>
  </si>
  <si>
    <t>(etwa)</t>
  </si>
  <si>
    <t>EntRel</t>
  </si>
  <si>
    <t>koreferent: diese Gesetze</t>
  </si>
  <si>
    <t>vielleicht</t>
  </si>
  <si>
    <t>[der Grund ist]</t>
  </si>
  <si>
    <t>enablement</t>
  </si>
  <si>
    <t>(zu diesem Zweck)</t>
  </si>
  <si>
    <t>die Jahre sind vergangen (seitdem)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</si>
</sst>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J2" sqref="J2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552</v>
      </c>
      <c r="H2" s="10">
        <v>2</v>
      </c>
      <c r="I2" s="11" t="s">
        <v>551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 t="s">
        <v>573</v>
      </c>
      <c r="H3" s="10" t="s">
        <v>10</v>
      </c>
      <c r="I3" s="11" t="s">
        <v>572</v>
      </c>
      <c r="J3" s="12" t="s">
        <v>17</v>
      </c>
    </row>
    <row r="4" spans="1:10" ht="60" customHeight="1" x14ac:dyDescent="0.3">
      <c r="A4" s="6" t="s">
        <v>18</v>
      </c>
      <c r="B4" s="6" t="s">
        <v>11</v>
      </c>
      <c r="C4" s="6" t="s">
        <v>19</v>
      </c>
      <c r="D4" s="7" t="s">
        <v>11</v>
      </c>
      <c r="E4" s="8" t="s">
        <v>20</v>
      </c>
      <c r="F4" s="6" t="s">
        <v>11</v>
      </c>
      <c r="G4" s="9" t="s">
        <v>554</v>
      </c>
      <c r="H4" s="10">
        <v>1</v>
      </c>
      <c r="I4" s="11" t="s">
        <v>21</v>
      </c>
      <c r="J4" s="12" t="s">
        <v>22</v>
      </c>
    </row>
    <row r="5" spans="1:10" ht="60" customHeight="1" x14ac:dyDescent="0.3">
      <c r="A5" s="6" t="s">
        <v>23</v>
      </c>
      <c r="B5" s="6" t="s">
        <v>11</v>
      </c>
      <c r="C5" s="6" t="s">
        <v>24</v>
      </c>
      <c r="D5" s="7" t="s">
        <v>11</v>
      </c>
      <c r="E5" s="8" t="s">
        <v>25</v>
      </c>
      <c r="F5" s="6" t="s">
        <v>11</v>
      </c>
      <c r="G5" s="9" t="s">
        <v>555</v>
      </c>
      <c r="H5" s="10" t="s">
        <v>18</v>
      </c>
      <c r="I5" s="11" t="s">
        <v>26</v>
      </c>
      <c r="J5" s="12" t="s">
        <v>27</v>
      </c>
    </row>
    <row r="6" spans="1:10" ht="60" customHeight="1" x14ac:dyDescent="0.3">
      <c r="A6" s="6" t="s">
        <v>28</v>
      </c>
      <c r="B6" s="6" t="s">
        <v>11</v>
      </c>
      <c r="C6" s="6" t="s">
        <v>11</v>
      </c>
      <c r="D6" s="7" t="s">
        <v>11</v>
      </c>
      <c r="E6" s="8" t="s">
        <v>29</v>
      </c>
      <c r="F6" s="6" t="s">
        <v>11</v>
      </c>
      <c r="G6" s="9" t="s">
        <v>574</v>
      </c>
      <c r="H6" s="10" t="s">
        <v>23</v>
      </c>
      <c r="I6" s="11" t="s">
        <v>556</v>
      </c>
      <c r="J6" s="12" t="s">
        <v>30</v>
      </c>
    </row>
    <row r="7" spans="1:10" ht="60" customHeight="1" x14ac:dyDescent="0.3">
      <c r="A7" s="6" t="s">
        <v>31</v>
      </c>
      <c r="B7" s="6" t="s">
        <v>11</v>
      </c>
      <c r="C7" s="6" t="s">
        <v>11</v>
      </c>
      <c r="D7" s="7" t="s">
        <v>11</v>
      </c>
      <c r="E7" s="8" t="s">
        <v>32</v>
      </c>
      <c r="F7" s="6" t="s">
        <v>11</v>
      </c>
      <c r="G7" s="9" t="s">
        <v>189</v>
      </c>
      <c r="H7" s="10">
        <v>5</v>
      </c>
      <c r="I7" s="11" t="s">
        <v>33</v>
      </c>
      <c r="J7" s="12" t="s">
        <v>34</v>
      </c>
    </row>
    <row r="8" spans="1:10" ht="60" customHeight="1" x14ac:dyDescent="0.3">
      <c r="A8" s="6" t="s">
        <v>35</v>
      </c>
      <c r="B8" s="6" t="s">
        <v>11</v>
      </c>
      <c r="C8" s="6" t="s">
        <v>11</v>
      </c>
      <c r="D8" s="7" t="s">
        <v>11</v>
      </c>
      <c r="E8" s="8" t="s">
        <v>36</v>
      </c>
      <c r="F8" s="6" t="s">
        <v>11</v>
      </c>
      <c r="G8" s="9" t="s">
        <v>557</v>
      </c>
      <c r="H8" s="10">
        <v>6</v>
      </c>
      <c r="I8" s="11" t="s">
        <v>16</v>
      </c>
      <c r="J8" s="12"/>
    </row>
    <row r="9" spans="1:10" ht="60" customHeight="1" x14ac:dyDescent="0.3">
      <c r="A9" s="6" t="s">
        <v>37</v>
      </c>
      <c r="B9" s="6" t="s">
        <v>11</v>
      </c>
      <c r="C9" s="6" t="s">
        <v>11</v>
      </c>
      <c r="D9" s="7" t="s">
        <v>11</v>
      </c>
      <c r="E9" s="8" t="s">
        <v>38</v>
      </c>
      <c r="F9" s="6" t="s">
        <v>11</v>
      </c>
      <c r="G9" s="9" t="s">
        <v>558</v>
      </c>
      <c r="H9" s="10">
        <v>7</v>
      </c>
      <c r="I9" s="11" t="s">
        <v>559</v>
      </c>
      <c r="J9" s="12"/>
    </row>
    <row r="10" spans="1:10" ht="60" customHeight="1" x14ac:dyDescent="0.3">
      <c r="A10" s="6" t="s">
        <v>39</v>
      </c>
      <c r="B10" s="6" t="s">
        <v>11</v>
      </c>
      <c r="C10" s="6" t="s">
        <v>14</v>
      </c>
      <c r="D10" s="7" t="s">
        <v>11</v>
      </c>
      <c r="E10" s="8" t="s">
        <v>40</v>
      </c>
      <c r="F10" s="6" t="s">
        <v>11</v>
      </c>
      <c r="G10" s="9" t="s">
        <v>553</v>
      </c>
      <c r="H10" s="10">
        <v>7</v>
      </c>
      <c r="I10" s="11" t="s">
        <v>16</v>
      </c>
      <c r="J10" s="12" t="s">
        <v>17</v>
      </c>
    </row>
    <row r="11" spans="1:10" ht="60" customHeight="1" x14ac:dyDescent="0.3">
      <c r="A11" s="6" t="s">
        <v>41</v>
      </c>
      <c r="B11" s="6" t="s">
        <v>11</v>
      </c>
      <c r="C11" s="6" t="s">
        <v>11</v>
      </c>
      <c r="D11" s="7" t="s">
        <v>11</v>
      </c>
      <c r="E11" s="8" t="s">
        <v>42</v>
      </c>
      <c r="F11" s="6" t="s">
        <v>11</v>
      </c>
      <c r="G11" s="9" t="s">
        <v>189</v>
      </c>
      <c r="H11" s="10" t="s">
        <v>39</v>
      </c>
      <c r="I11" s="11" t="s">
        <v>43</v>
      </c>
      <c r="J11" s="12" t="s">
        <v>44</v>
      </c>
    </row>
    <row r="12" spans="1:10" ht="60" customHeight="1" x14ac:dyDescent="0.3">
      <c r="A12" s="6" t="s">
        <v>45</v>
      </c>
      <c r="B12" s="6" t="s">
        <v>11</v>
      </c>
      <c r="C12" s="6" t="s">
        <v>14</v>
      </c>
      <c r="D12" s="7" t="s">
        <v>11</v>
      </c>
      <c r="E12" s="8" t="s">
        <v>46</v>
      </c>
      <c r="F12" s="6" t="s">
        <v>11</v>
      </c>
      <c r="G12" s="9" t="s">
        <v>553</v>
      </c>
      <c r="H12" s="10" t="s">
        <v>41</v>
      </c>
      <c r="I12" s="11" t="s">
        <v>16</v>
      </c>
      <c r="J12" s="12" t="s">
        <v>17</v>
      </c>
    </row>
    <row r="13" spans="1:10" ht="60" customHeight="1" x14ac:dyDescent="0.3">
      <c r="A13" s="6" t="s">
        <v>47</v>
      </c>
      <c r="B13" s="6" t="s">
        <v>11</v>
      </c>
      <c r="C13" s="6" t="s">
        <v>11</v>
      </c>
      <c r="D13" s="7" t="s">
        <v>11</v>
      </c>
      <c r="E13" s="8" t="s">
        <v>48</v>
      </c>
      <c r="F13" s="6" t="s">
        <v>11</v>
      </c>
      <c r="G13" s="9" t="s">
        <v>219</v>
      </c>
      <c r="H13" s="10">
        <v>9</v>
      </c>
      <c r="I13" s="11" t="s">
        <v>560</v>
      </c>
      <c r="J13" s="12"/>
    </row>
    <row r="14" spans="1:10" ht="60" customHeight="1" x14ac:dyDescent="0.3">
      <c r="A14" s="6" t="s">
        <v>49</v>
      </c>
      <c r="B14" s="6" t="s">
        <v>11</v>
      </c>
      <c r="C14" s="6" t="s">
        <v>24</v>
      </c>
      <c r="D14" s="7" t="s">
        <v>11</v>
      </c>
      <c r="E14" s="8" t="s">
        <v>50</v>
      </c>
      <c r="F14" s="6" t="s">
        <v>11</v>
      </c>
      <c r="G14" s="9" t="s">
        <v>562</v>
      </c>
      <c r="H14" s="10" t="s">
        <v>47</v>
      </c>
      <c r="I14" s="11" t="s">
        <v>561</v>
      </c>
      <c r="J14" s="12" t="s">
        <v>27</v>
      </c>
    </row>
    <row r="15" spans="1:10" ht="60" customHeight="1" x14ac:dyDescent="0.3">
      <c r="A15" s="6" t="s">
        <v>51</v>
      </c>
      <c r="B15" s="6" t="s">
        <v>11</v>
      </c>
      <c r="C15" s="6" t="s">
        <v>24</v>
      </c>
      <c r="D15" s="7" t="s">
        <v>11</v>
      </c>
      <c r="E15" s="8" t="s">
        <v>52</v>
      </c>
      <c r="F15" s="6" t="s">
        <v>11</v>
      </c>
      <c r="G15" s="9" t="s">
        <v>555</v>
      </c>
      <c r="H15" s="10">
        <v>12</v>
      </c>
      <c r="I15" s="11" t="s">
        <v>26</v>
      </c>
      <c r="J15" s="12" t="s">
        <v>27</v>
      </c>
    </row>
    <row r="16" spans="1:10" ht="60" customHeight="1" x14ac:dyDescent="0.3">
      <c r="A16" s="6" t="s">
        <v>53</v>
      </c>
      <c r="B16" s="6" t="s">
        <v>11</v>
      </c>
      <c r="C16" s="6" t="s">
        <v>11</v>
      </c>
      <c r="D16" s="7" t="s">
        <v>11</v>
      </c>
      <c r="E16" s="8" t="s">
        <v>54</v>
      </c>
      <c r="F16" s="6" t="s">
        <v>11</v>
      </c>
      <c r="G16" s="9" t="s">
        <v>565</v>
      </c>
      <c r="H16" s="10">
        <v>12</v>
      </c>
      <c r="I16" s="11" t="s">
        <v>75</v>
      </c>
      <c r="J16" s="12"/>
    </row>
    <row r="17" spans="1:10" ht="60" customHeight="1" x14ac:dyDescent="0.3">
      <c r="A17" s="6" t="s">
        <v>55</v>
      </c>
      <c r="B17" s="6" t="s">
        <v>11</v>
      </c>
      <c r="C17" s="6" t="s">
        <v>24</v>
      </c>
      <c r="D17" s="7" t="s">
        <v>11</v>
      </c>
      <c r="E17" s="8" t="s">
        <v>56</v>
      </c>
      <c r="F17" s="6" t="s">
        <v>11</v>
      </c>
      <c r="G17" s="9" t="s">
        <v>564</v>
      </c>
      <c r="H17" s="10" t="s">
        <v>53</v>
      </c>
      <c r="I17" s="11" t="s">
        <v>563</v>
      </c>
      <c r="J17" s="12" t="s">
        <v>27</v>
      </c>
    </row>
    <row r="18" spans="1:10" ht="60" customHeight="1" x14ac:dyDescent="0.3">
      <c r="A18" s="6" t="s">
        <v>57</v>
      </c>
      <c r="B18" s="6" t="s">
        <v>11</v>
      </c>
      <c r="C18" s="6" t="s">
        <v>11</v>
      </c>
      <c r="D18" s="7" t="s">
        <v>11</v>
      </c>
      <c r="E18" s="8" t="s">
        <v>58</v>
      </c>
      <c r="F18" s="6" t="s">
        <v>11</v>
      </c>
      <c r="G18" s="9" t="s">
        <v>555</v>
      </c>
      <c r="H18" s="10">
        <v>16</v>
      </c>
      <c r="I18" s="11" t="s">
        <v>26</v>
      </c>
      <c r="J18" s="12"/>
    </row>
    <row r="19" spans="1:10" ht="60" customHeight="1" x14ac:dyDescent="0.3">
      <c r="A19" s="6" t="s">
        <v>59</v>
      </c>
      <c r="B19" s="6" t="s">
        <v>11</v>
      </c>
      <c r="C19" s="6" t="s">
        <v>19</v>
      </c>
      <c r="D19" s="7" t="s">
        <v>11</v>
      </c>
      <c r="E19" s="8" t="s">
        <v>60</v>
      </c>
      <c r="F19" s="6" t="s">
        <v>11</v>
      </c>
      <c r="G19" s="9" t="s">
        <v>554</v>
      </c>
      <c r="H19" s="10" t="s">
        <v>57</v>
      </c>
      <c r="I19" s="11" t="s">
        <v>21</v>
      </c>
      <c r="J19" s="12" t="s">
        <v>22</v>
      </c>
    </row>
    <row r="20" spans="1:10" ht="60" customHeight="1" x14ac:dyDescent="0.3">
      <c r="A20" s="6" t="s">
        <v>61</v>
      </c>
      <c r="B20" s="6" t="s">
        <v>11</v>
      </c>
      <c r="C20" s="6" t="s">
        <v>24</v>
      </c>
      <c r="D20" s="7" t="s">
        <v>11</v>
      </c>
      <c r="E20" s="8" t="s">
        <v>62</v>
      </c>
      <c r="F20" s="6" t="s">
        <v>11</v>
      </c>
      <c r="G20" s="9" t="s">
        <v>562</v>
      </c>
      <c r="H20" s="10" t="s">
        <v>59</v>
      </c>
      <c r="I20" s="11" t="s">
        <v>561</v>
      </c>
      <c r="J20" s="12" t="s">
        <v>27</v>
      </c>
    </row>
    <row r="21" spans="1:10" ht="60" customHeight="1" x14ac:dyDescent="0.3">
      <c r="A21" s="6" t="s">
        <v>63</v>
      </c>
      <c r="B21" s="6" t="s">
        <v>11</v>
      </c>
      <c r="C21" s="6" t="s">
        <v>11</v>
      </c>
      <c r="D21" s="7" t="s">
        <v>11</v>
      </c>
      <c r="E21" s="8" t="s">
        <v>64</v>
      </c>
      <c r="F21" s="6" t="s">
        <v>11</v>
      </c>
      <c r="G21" s="9" t="s">
        <v>553</v>
      </c>
      <c r="H21" s="10">
        <v>17</v>
      </c>
      <c r="I21" s="11" t="s">
        <v>16</v>
      </c>
      <c r="J21" s="12"/>
    </row>
    <row r="22" spans="1:10" ht="60" customHeight="1" x14ac:dyDescent="0.3">
      <c r="A22" s="6" t="s">
        <v>65</v>
      </c>
      <c r="B22" s="6" t="s">
        <v>11</v>
      </c>
      <c r="C22" s="6" t="s">
        <v>11</v>
      </c>
      <c r="D22" s="7" t="s">
        <v>11</v>
      </c>
      <c r="E22" s="8" t="s">
        <v>66</v>
      </c>
      <c r="F22" s="6" t="s">
        <v>11</v>
      </c>
      <c r="G22" s="9" t="s">
        <v>189</v>
      </c>
      <c r="H22" s="10" t="s">
        <v>63</v>
      </c>
      <c r="I22" s="11" t="s">
        <v>33</v>
      </c>
      <c r="J22" s="12" t="s">
        <v>34</v>
      </c>
    </row>
    <row r="23" spans="1:10" ht="60" customHeight="1" x14ac:dyDescent="0.3">
      <c r="A23" s="6" t="s">
        <v>67</v>
      </c>
      <c r="B23" s="6" t="s">
        <v>11</v>
      </c>
      <c r="C23" s="6" t="s">
        <v>19</v>
      </c>
      <c r="D23" s="7" t="s">
        <v>11</v>
      </c>
      <c r="E23" s="8" t="s">
        <v>68</v>
      </c>
      <c r="F23" s="6" t="s">
        <v>11</v>
      </c>
      <c r="G23" s="9" t="s">
        <v>554</v>
      </c>
      <c r="H23" s="10" t="s">
        <v>65</v>
      </c>
      <c r="I23" s="11" t="s">
        <v>21</v>
      </c>
      <c r="J23" s="12" t="s">
        <v>69</v>
      </c>
    </row>
    <row r="24" spans="1:10" ht="60" customHeight="1" x14ac:dyDescent="0.3">
      <c r="A24" s="6" t="s">
        <v>70</v>
      </c>
      <c r="B24" s="6" t="s">
        <v>11</v>
      </c>
      <c r="C24" s="6" t="s">
        <v>14</v>
      </c>
      <c r="D24" s="7" t="s">
        <v>11</v>
      </c>
      <c r="E24" s="8" t="s">
        <v>71</v>
      </c>
      <c r="F24" s="6" t="s">
        <v>11</v>
      </c>
      <c r="G24" s="9" t="s">
        <v>553</v>
      </c>
      <c r="H24" s="10" t="s">
        <v>67</v>
      </c>
      <c r="I24" s="11" t="s">
        <v>16</v>
      </c>
      <c r="J24" s="12" t="s">
        <v>17</v>
      </c>
    </row>
    <row r="25" spans="1:10" ht="60" customHeight="1" x14ac:dyDescent="0.3">
      <c r="A25" s="6" t="s">
        <v>72</v>
      </c>
      <c r="B25" s="6" t="s">
        <v>11</v>
      </c>
      <c r="C25" s="6" t="s">
        <v>73</v>
      </c>
      <c r="D25" s="7" t="s">
        <v>11</v>
      </c>
      <c r="E25" s="8" t="s">
        <v>74</v>
      </c>
      <c r="F25" s="6" t="s">
        <v>11</v>
      </c>
      <c r="G25" s="9" t="s">
        <v>567</v>
      </c>
      <c r="H25" s="10">
        <v>21</v>
      </c>
      <c r="I25" s="11" t="s">
        <v>75</v>
      </c>
      <c r="J25" s="12" t="s">
        <v>76</v>
      </c>
    </row>
    <row r="26" spans="1:10" ht="60" customHeight="1" x14ac:dyDescent="0.3">
      <c r="A26" s="6" t="s">
        <v>77</v>
      </c>
      <c r="B26" s="6" t="s">
        <v>11</v>
      </c>
      <c r="C26" s="6" t="s">
        <v>11</v>
      </c>
      <c r="D26" s="7" t="s">
        <v>11</v>
      </c>
      <c r="E26" s="8" t="s">
        <v>78</v>
      </c>
      <c r="F26" s="6" t="s">
        <v>11</v>
      </c>
      <c r="G26" s="9" t="s">
        <v>11</v>
      </c>
      <c r="H26" s="10">
        <v>24</v>
      </c>
      <c r="I26" s="11" t="s">
        <v>568</v>
      </c>
      <c r="J26" s="12" t="s">
        <v>569</v>
      </c>
    </row>
    <row r="27" spans="1:10" ht="60" customHeight="1" x14ac:dyDescent="0.3">
      <c r="A27" s="6" t="s">
        <v>79</v>
      </c>
      <c r="B27" s="6" t="s">
        <v>11</v>
      </c>
      <c r="C27" s="6" t="s">
        <v>11</v>
      </c>
      <c r="D27" s="7" t="s">
        <v>11</v>
      </c>
      <c r="E27" s="8" t="s">
        <v>80</v>
      </c>
      <c r="F27" s="6" t="s">
        <v>11</v>
      </c>
      <c r="G27" s="9" t="s">
        <v>570</v>
      </c>
      <c r="H27" s="10">
        <v>27</v>
      </c>
      <c r="I27" s="11" t="s">
        <v>566</v>
      </c>
      <c r="J27" s="12"/>
    </row>
    <row r="28" spans="1:10" ht="60" customHeight="1" x14ac:dyDescent="0.3">
      <c r="A28" s="6" t="s">
        <v>81</v>
      </c>
      <c r="B28" s="6" t="s">
        <v>11</v>
      </c>
      <c r="C28" s="6" t="s">
        <v>11</v>
      </c>
      <c r="D28" s="7" t="s">
        <v>11</v>
      </c>
      <c r="E28" s="8" t="s">
        <v>82</v>
      </c>
      <c r="F28" s="6" t="s">
        <v>11</v>
      </c>
      <c r="G28" s="9" t="s">
        <v>571</v>
      </c>
      <c r="H28" s="10" t="s">
        <v>79</v>
      </c>
      <c r="I28" s="11" t="s">
        <v>21</v>
      </c>
      <c r="J28" s="12" t="s">
        <v>22</v>
      </c>
    </row>
    <row r="29" spans="1:10" ht="60" customHeight="1" x14ac:dyDescent="0.3">
      <c r="A29" s="6" t="s">
        <v>83</v>
      </c>
      <c r="B29" s="6" t="s">
        <v>11</v>
      </c>
      <c r="C29" s="6" t="s">
        <v>84</v>
      </c>
      <c r="D29" s="7" t="s">
        <v>11</v>
      </c>
      <c r="E29" s="8" t="s">
        <v>85</v>
      </c>
      <c r="F29" s="6" t="s">
        <v>11</v>
      </c>
      <c r="G29" s="9" t="s">
        <v>555</v>
      </c>
      <c r="H29" s="10">
        <v>27</v>
      </c>
      <c r="I29" s="11" t="s">
        <v>26</v>
      </c>
      <c r="J29" s="12" t="s">
        <v>86</v>
      </c>
    </row>
    <row r="30" spans="1:10" ht="60" customHeight="1" x14ac:dyDescent="0.3">
      <c r="A30" s="6" t="s">
        <v>87</v>
      </c>
      <c r="B30" s="6" t="s">
        <v>11</v>
      </c>
      <c r="C30" s="6" t="s">
        <v>11</v>
      </c>
      <c r="D30" s="7" t="s">
        <v>11</v>
      </c>
      <c r="E30" s="8" t="s">
        <v>88</v>
      </c>
      <c r="F30" s="6" t="s">
        <v>11</v>
      </c>
      <c r="G30" s="9" t="s">
        <v>11</v>
      </c>
      <c r="H30" s="10" t="s">
        <v>11</v>
      </c>
      <c r="I30" s="11" t="s">
        <v>550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89</v>
      </c>
      <c r="B1" s="13" t="s">
        <v>90</v>
      </c>
      <c r="C1" s="13" t="s">
        <v>91</v>
      </c>
      <c r="D1" s="13" t="s">
        <v>92</v>
      </c>
      <c r="E1" s="14" t="s">
        <v>93</v>
      </c>
      <c r="F1" s="15" t="s">
        <v>94</v>
      </c>
      <c r="G1" s="16" t="s">
        <v>95</v>
      </c>
      <c r="H1" s="17" t="s">
        <v>96</v>
      </c>
      <c r="I1" s="18" t="s">
        <v>97</v>
      </c>
      <c r="J1" s="18" t="s">
        <v>98</v>
      </c>
      <c r="K1" s="18" t="s">
        <v>99</v>
      </c>
      <c r="L1" s="19" t="s">
        <v>9</v>
      </c>
    </row>
    <row r="2" spans="1:12" x14ac:dyDescent="0.3">
      <c r="A2" t="s">
        <v>100</v>
      </c>
    </row>
    <row r="3" spans="1:12" x14ac:dyDescent="0.3">
      <c r="A3" t="s">
        <v>101</v>
      </c>
      <c r="E3" s="20" t="str">
        <f t="shared" ref="E3:E18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18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102</v>
      </c>
      <c r="E4" s="20" t="str">
        <f t="shared" si="0"/>
        <v/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103</v>
      </c>
      <c r="B5" s="26" t="s">
        <v>104</v>
      </c>
      <c r="C5" s="26" t="s">
        <v>105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106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107</v>
      </c>
      <c r="B7" s="26" t="s">
        <v>108</v>
      </c>
      <c r="C7" s="26" t="s">
        <v>109</v>
      </c>
      <c r="D7" s="26" t="s">
        <v>110</v>
      </c>
      <c r="E7" s="20" t="str">
        <f t="shared" si="0"/>
        <v>!!!</v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111</v>
      </c>
      <c r="B8" s="26" t="s">
        <v>112</v>
      </c>
      <c r="E8" s="20" t="str">
        <f t="shared" si="0"/>
        <v/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113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114</v>
      </c>
      <c r="E10" s="20" t="str">
        <f t="shared" si="0"/>
        <v/>
      </c>
      <c r="F10" s="21" t="str">
        <f>IF(OR(E10="",E10="!!!"),"",IF(NOT(ISNA(VLOOKUP(E10,E$1:E9,1,FALSE()))),"OLD",IF(AND(E10&lt;&gt;"",E10&lt;&gt;"!!!"),"NEW","")))</f>
        <v/>
      </c>
      <c r="G10" s="22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/>
    </row>
    <row r="11" spans="1:12" x14ac:dyDescent="0.3">
      <c r="A11" t="s">
        <v>115</v>
      </c>
      <c r="E11" s="20" t="str">
        <f t="shared" si="0"/>
        <v/>
      </c>
      <c r="F11" s="21" t="str">
        <f>IF(OR(E11="",E11="!!!"),"",IF(NOT(ISNA(VLOOKUP(E11,E$1:E10,1,FALSE()))),"OLD",IF(AND(E11&lt;&gt;"",E11&lt;&gt;"!!!"),"NEW","")))</f>
        <v/>
      </c>
      <c r="G11" s="22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/>
    </row>
    <row r="12" spans="1:12" x14ac:dyDescent="0.3">
      <c r="A12" t="s">
        <v>107</v>
      </c>
      <c r="B12" s="26" t="s">
        <v>116</v>
      </c>
      <c r="C12" s="26" t="s">
        <v>109</v>
      </c>
      <c r="D12" s="26" t="s">
        <v>110</v>
      </c>
      <c r="E12" s="20" t="str">
        <f t="shared" si="0"/>
        <v>!!!</v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ca="1" si="1"/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117</v>
      </c>
      <c r="E13" s="20" t="str">
        <f t="shared" si="0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1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118</v>
      </c>
      <c r="B14" s="26" t="s">
        <v>119</v>
      </c>
      <c r="C14" s="26" t="s">
        <v>120</v>
      </c>
      <c r="E14" s="20" t="str">
        <f t="shared" si="0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1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121</v>
      </c>
      <c r="E15" s="20" t="str">
        <f t="shared" si="0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1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122</v>
      </c>
      <c r="B16" s="26" t="s">
        <v>123</v>
      </c>
      <c r="C16" s="26" t="s">
        <v>105</v>
      </c>
      <c r="E16" s="20" t="str">
        <f t="shared" si="0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1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124</v>
      </c>
      <c r="E17" s="20" t="str">
        <f t="shared" si="0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1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125</v>
      </c>
      <c r="E18" s="20" t="str">
        <f t="shared" si="0"/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1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20" spans="1:12" x14ac:dyDescent="0.3">
      <c r="A20" t="s">
        <v>126</v>
      </c>
    </row>
    <row r="21" spans="1:12" x14ac:dyDescent="0.3">
      <c r="A21" t="s">
        <v>127</v>
      </c>
      <c r="E21" s="20" t="str">
        <f t="shared" ref="E21:E37" si="2">IF(D21="?OLD","!!!","")</f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ref="H21:H37" ca="1" si="3">IF(J21&lt;&gt;1,"",IF(I21="SBJ","CB","?"))</f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128</v>
      </c>
      <c r="E22" s="20" t="str">
        <f t="shared" si="2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3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129</v>
      </c>
      <c r="E23" s="20" t="str">
        <f t="shared" si="2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3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130</v>
      </c>
      <c r="B24" s="26" t="s">
        <v>104</v>
      </c>
      <c r="C24" s="26" t="s">
        <v>131</v>
      </c>
      <c r="D24" s="26" t="s">
        <v>110</v>
      </c>
      <c r="E24" s="20" t="str">
        <f t="shared" si="2"/>
        <v>!!!</v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3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132</v>
      </c>
      <c r="E25" s="20" t="str">
        <f t="shared" si="2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3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107</v>
      </c>
      <c r="B26" s="26" t="s">
        <v>108</v>
      </c>
      <c r="C26" s="26" t="s">
        <v>109</v>
      </c>
      <c r="D26" s="26" t="s">
        <v>110</v>
      </c>
      <c r="E26" s="20" t="str">
        <f t="shared" si="2"/>
        <v>!!!</v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3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133</v>
      </c>
      <c r="E27" s="20" t="str">
        <f t="shared" si="2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3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134</v>
      </c>
      <c r="B28" s="26" t="s">
        <v>112</v>
      </c>
      <c r="C28" s="26" t="s">
        <v>120</v>
      </c>
      <c r="E28" s="20" t="str">
        <f t="shared" si="2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3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135</v>
      </c>
      <c r="E29" s="20" t="str">
        <f t="shared" si="2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3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136</v>
      </c>
      <c r="B30" s="26" t="s">
        <v>137</v>
      </c>
      <c r="C30" s="26" t="s">
        <v>105</v>
      </c>
      <c r="E30" s="20" t="str">
        <f t="shared" si="2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3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138</v>
      </c>
      <c r="E31" s="20" t="str">
        <f t="shared" si="2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3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139</v>
      </c>
      <c r="B32" s="26" t="s">
        <v>123</v>
      </c>
      <c r="C32" s="26" t="s">
        <v>105</v>
      </c>
      <c r="E32" s="20" t="str">
        <f t="shared" si="2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3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140</v>
      </c>
      <c r="E33" s="20" t="str">
        <f t="shared" si="2"/>
        <v/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3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141</v>
      </c>
      <c r="B34" s="26" t="s">
        <v>137</v>
      </c>
      <c r="C34" s="26" t="s">
        <v>142</v>
      </c>
      <c r="D34" s="26" t="s">
        <v>110</v>
      </c>
      <c r="E34" s="20" t="str">
        <f t="shared" si="2"/>
        <v>!!!</v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3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143</v>
      </c>
      <c r="B35" s="26" t="s">
        <v>104</v>
      </c>
      <c r="C35" s="26" t="s">
        <v>105</v>
      </c>
      <c r="E35" s="20" t="str">
        <f t="shared" si="2"/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ca="1" si="3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6" spans="1:12" x14ac:dyDescent="0.3">
      <c r="A36" t="s">
        <v>144</v>
      </c>
      <c r="E36" s="20" t="str">
        <f t="shared" si="2"/>
        <v/>
      </c>
      <c r="F36" s="21" t="str">
        <f>IF(OR(E36="",E36="!!!"),"",IF(NOT(ISNA(VLOOKUP(E36,E$1:E35,1,FALSE()))),"OLD",IF(AND(E36&lt;&gt;"",E36&lt;&gt;"!!!"),"NEW","")))</f>
        <v/>
      </c>
      <c r="G36" s="22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t="shared" ca="1" si="3"/>
        <v/>
      </c>
      <c r="I36" s="24" t="str">
        <f>IF(OR(E36="",E36="!!!",F36="NEW"),"",INDEX(B$2:B35,-1+SUMPRODUCT(MAX(ROW(E$2:E35)*(E36=E$2:E35)))))</f>
        <v/>
      </c>
      <c r="J36" s="24" t="str">
        <f ca="1">IF(OR(E36="",E36="!!!",F36="NEW"),"",COUNTBLANK(OFFSET(A$1,,,SUMPRODUCT(MAX(ROW(E$2:E36)*(E36=E$2:E36)))))-COUNTBLANK(OFFSET(A$1,,,SUMPRODUCT(MAX(ROW(E$1:E35)*(E2=E$1:E35))))))</f>
        <v/>
      </c>
      <c r="K36" s="24" t="str">
        <f>IF(OR(E36="",E36="!!!",F36="NEW"),"",INDEX(J$1:J35,SUMPRODUCT(MAX(ROW(E$1:E35)*(E36=E$1:E35)))))</f>
        <v/>
      </c>
      <c r="L36" s="25"/>
    </row>
    <row r="37" spans="1:12" x14ac:dyDescent="0.3">
      <c r="A37" t="s">
        <v>125</v>
      </c>
      <c r="E37" s="20" t="str">
        <f t="shared" si="2"/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ca="1" si="3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9" spans="1:12" x14ac:dyDescent="0.3">
      <c r="A39" t="s">
        <v>145</v>
      </c>
    </row>
    <row r="40" spans="1:12" x14ac:dyDescent="0.3">
      <c r="A40" t="s">
        <v>146</v>
      </c>
      <c r="E40" s="20" t="str">
        <f t="shared" ref="E40:E61" si="4">IF(D40="?OLD","!!!","")</f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ref="H40:H61" ca="1" si="5">IF(J40&lt;&gt;1,"",IF(I40="SBJ","CB","?"))</f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111</v>
      </c>
      <c r="B41" s="26" t="s">
        <v>104</v>
      </c>
      <c r="C41" s="26" t="s">
        <v>109</v>
      </c>
      <c r="D41" s="26" t="s">
        <v>110</v>
      </c>
      <c r="E41" s="20" t="str">
        <f t="shared" si="4"/>
        <v>!!!</v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5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147</v>
      </c>
      <c r="E42" s="20" t="str">
        <f t="shared" si="4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5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133</v>
      </c>
      <c r="E43" s="20" t="str">
        <f t="shared" si="4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5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148</v>
      </c>
      <c r="E44" s="20" t="str">
        <f t="shared" si="4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5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149</v>
      </c>
      <c r="B45" s="26" t="s">
        <v>108</v>
      </c>
      <c r="C45" s="26" t="s">
        <v>120</v>
      </c>
      <c r="E45" s="20" t="str">
        <f t="shared" si="4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5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114</v>
      </c>
      <c r="E46" s="20" t="str">
        <f t="shared" si="4"/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5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133</v>
      </c>
      <c r="E47" s="20" t="str">
        <f t="shared" si="4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5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150</v>
      </c>
      <c r="B48" s="26" t="s">
        <v>137</v>
      </c>
      <c r="C48" s="26" t="s">
        <v>120</v>
      </c>
      <c r="E48" s="20" t="str">
        <f t="shared" si="4"/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5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114</v>
      </c>
      <c r="E49" s="20" t="str">
        <f t="shared" si="4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5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151</v>
      </c>
      <c r="B50" s="26" t="s">
        <v>123</v>
      </c>
      <c r="C50" s="26" t="s">
        <v>105</v>
      </c>
      <c r="E50" s="20" t="str">
        <f t="shared" si="4"/>
        <v/>
      </c>
      <c r="F50" s="21" t="str">
        <f>IF(OR(E50="",E50="!!!"),"",IF(NOT(ISNA(VLOOKUP(E50,E$1:E49,1,FALSE()))),"OLD",IF(AND(E50&lt;&gt;"",E50&lt;&gt;"!!!"),"NEW","")))</f>
        <v/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5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152</v>
      </c>
      <c r="E51" s="20" t="str">
        <f t="shared" si="4"/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5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153</v>
      </c>
      <c r="E52" s="20" t="str">
        <f t="shared" si="4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5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114</v>
      </c>
      <c r="E53" s="20" t="str">
        <f t="shared" si="4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5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121</v>
      </c>
      <c r="E54" s="20" t="str">
        <f t="shared" si="4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5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154</v>
      </c>
      <c r="E55" s="20" t="str">
        <f t="shared" si="4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5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155</v>
      </c>
      <c r="B56" s="26" t="s">
        <v>104</v>
      </c>
      <c r="C56" s="26" t="s">
        <v>120</v>
      </c>
      <c r="E56" s="20" t="str">
        <f t="shared" si="4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5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156</v>
      </c>
      <c r="E57" s="20" t="str">
        <f t="shared" si="4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5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157</v>
      </c>
      <c r="B58" s="26" t="s">
        <v>104</v>
      </c>
      <c r="C58" s="26" t="s">
        <v>105</v>
      </c>
      <c r="E58" s="20" t="str">
        <f t="shared" si="4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5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138</v>
      </c>
      <c r="E59" s="20" t="str">
        <f t="shared" si="4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5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158</v>
      </c>
      <c r="B60" s="26" t="s">
        <v>137</v>
      </c>
      <c r="C60" s="26" t="s">
        <v>105</v>
      </c>
      <c r="E60" s="20" t="str">
        <f t="shared" si="4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5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125</v>
      </c>
      <c r="E61" s="20" t="str">
        <f t="shared" si="4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5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3" spans="1:12" x14ac:dyDescent="0.3">
      <c r="A63" t="s">
        <v>159</v>
      </c>
    </row>
    <row r="64" spans="1:12" x14ac:dyDescent="0.3">
      <c r="A64" t="s">
        <v>160</v>
      </c>
      <c r="B64" s="26" t="s">
        <v>108</v>
      </c>
      <c r="C64" s="26" t="s">
        <v>161</v>
      </c>
      <c r="D64" s="26" t="s">
        <v>110</v>
      </c>
      <c r="E64" s="20" t="str">
        <f t="shared" ref="E64:E93" si="6">IF(D64="?OLD","!!!","")</f>
        <v>!!!</v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ref="H64:H93" ca="1" si="7">IF(J64&lt;&gt;1,"",IF(I64="SBJ","CB","?"))</f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162</v>
      </c>
      <c r="E65" s="20" t="str">
        <f t="shared" si="6"/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ca="1" si="7"/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163</v>
      </c>
      <c r="E66" s="20" t="str">
        <f t="shared" si="6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7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164</v>
      </c>
      <c r="B67" s="26" t="s">
        <v>112</v>
      </c>
      <c r="C67" s="26" t="s">
        <v>165</v>
      </c>
      <c r="E67" s="20" t="str">
        <f t="shared" si="6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7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166</v>
      </c>
      <c r="E68" s="20" t="str">
        <f t="shared" si="6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7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167</v>
      </c>
      <c r="E69" s="20" t="str">
        <f t="shared" si="6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7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168</v>
      </c>
      <c r="B70" s="26" t="s">
        <v>112</v>
      </c>
      <c r="C70" s="26" t="s">
        <v>105</v>
      </c>
      <c r="E70" s="20" t="str">
        <f t="shared" si="6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7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114</v>
      </c>
      <c r="E71" s="20" t="str">
        <f t="shared" si="6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7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140</v>
      </c>
      <c r="E72" s="20" t="str">
        <f t="shared" si="6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7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169</v>
      </c>
      <c r="E73" s="20" t="str">
        <f t="shared" si="6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7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107</v>
      </c>
      <c r="B74" s="26" t="s">
        <v>116</v>
      </c>
      <c r="C74" s="26" t="s">
        <v>109</v>
      </c>
      <c r="D74" s="26" t="s">
        <v>110</v>
      </c>
      <c r="E74" s="20" t="str">
        <f t="shared" si="6"/>
        <v>!!!</v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7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170</v>
      </c>
      <c r="B75" s="26" t="s">
        <v>119</v>
      </c>
      <c r="C75" s="26" t="s">
        <v>105</v>
      </c>
      <c r="E75" s="20" t="str">
        <f t="shared" si="6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7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171</v>
      </c>
      <c r="E76" s="20" t="str">
        <f t="shared" si="6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7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114</v>
      </c>
      <c r="E77" s="20" t="str">
        <f t="shared" si="6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7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172</v>
      </c>
      <c r="B78" s="26" t="s">
        <v>108</v>
      </c>
      <c r="C78" s="26" t="s">
        <v>105</v>
      </c>
      <c r="E78" s="20" t="str">
        <f t="shared" si="6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7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173</v>
      </c>
      <c r="E79" s="20" t="str">
        <f t="shared" si="6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7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138</v>
      </c>
      <c r="E80" s="20" t="str">
        <f t="shared" si="6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7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174</v>
      </c>
      <c r="E81" s="20" t="str">
        <f t="shared" si="6"/>
        <v/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7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2" spans="1:12" x14ac:dyDescent="0.3">
      <c r="A82" t="s">
        <v>175</v>
      </c>
      <c r="E82" s="20" t="str">
        <f t="shared" si="6"/>
        <v/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ca="1" si="7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176</v>
      </c>
      <c r="B83" s="26" t="s">
        <v>137</v>
      </c>
      <c r="C83" s="26" t="s">
        <v>177</v>
      </c>
      <c r="E83" s="20" t="str">
        <f t="shared" si="6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7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178</v>
      </c>
      <c r="E84" s="20" t="str">
        <f t="shared" si="6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7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114</v>
      </c>
      <c r="E85" s="20" t="str">
        <f t="shared" si="6"/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7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179</v>
      </c>
      <c r="E86" s="20" t="str">
        <f t="shared" si="6"/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7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180</v>
      </c>
      <c r="E87" s="20" t="str">
        <f t="shared" si="6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7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155</v>
      </c>
      <c r="B88" s="26" t="s">
        <v>119</v>
      </c>
      <c r="C88" s="26" t="s">
        <v>131</v>
      </c>
      <c r="D88" s="26" t="s">
        <v>110</v>
      </c>
      <c r="E88" s="20" t="str">
        <f t="shared" si="6"/>
        <v>!!!</v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7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144</v>
      </c>
      <c r="E89" s="20" t="str">
        <f t="shared" si="6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7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181</v>
      </c>
      <c r="E90" s="20" t="str">
        <f t="shared" si="6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7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182</v>
      </c>
      <c r="B91" s="26" t="s">
        <v>137</v>
      </c>
      <c r="C91" s="26" t="s">
        <v>131</v>
      </c>
      <c r="D91" s="26" t="s">
        <v>110</v>
      </c>
      <c r="E91" s="20" t="str">
        <f t="shared" si="6"/>
        <v>!!!</v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7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183</v>
      </c>
      <c r="E92" s="20" t="str">
        <f t="shared" si="6"/>
        <v/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7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125</v>
      </c>
      <c r="E93" s="20" t="str">
        <f t="shared" si="6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7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5" spans="1:12" x14ac:dyDescent="0.3">
      <c r="A95" t="s">
        <v>184</v>
      </c>
    </row>
    <row r="96" spans="1:12" x14ac:dyDescent="0.3">
      <c r="A96" t="s">
        <v>185</v>
      </c>
      <c r="E96" s="20" t="str">
        <f t="shared" ref="E96:E135" si="8">IF(D96="?OLD","!!!","")</f>
        <v/>
      </c>
      <c r="F96" s="21" t="str">
        <f>IF(OR(E96="",E96="!!!"),"",IF(NOT(ISNA(VLOOKUP(E96,E$1:E95,1,FALSE()))),"OLD",IF(AND(E96&lt;&gt;"",E96&lt;&gt;"!!!"),"NEW","")))</f>
        <v/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ref="H96:H135" ca="1" si="9">IF(J96&lt;&gt;1,"",IF(I96="SBJ","CB","?"))</f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186</v>
      </c>
      <c r="B97" s="26" t="s">
        <v>108</v>
      </c>
      <c r="C97" s="26" t="s">
        <v>131</v>
      </c>
      <c r="D97" s="26" t="s">
        <v>110</v>
      </c>
      <c r="E97" s="20" t="str">
        <f t="shared" si="8"/>
        <v>!!!</v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9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187</v>
      </c>
      <c r="E98" s="20" t="str">
        <f t="shared" si="8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9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188</v>
      </c>
      <c r="E99" s="20" t="str">
        <f t="shared" si="8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9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114</v>
      </c>
      <c r="E100" s="20" t="str">
        <f t="shared" si="8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9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189</v>
      </c>
      <c r="E101" s="20" t="str">
        <f t="shared" si="8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9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190</v>
      </c>
      <c r="B102" s="26" t="s">
        <v>104</v>
      </c>
      <c r="C102" s="26" t="s">
        <v>161</v>
      </c>
      <c r="D102" s="26" t="s">
        <v>110</v>
      </c>
      <c r="E102" s="20" t="str">
        <f t="shared" si="8"/>
        <v>!!!</v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9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162</v>
      </c>
      <c r="E103" s="20" t="str">
        <f t="shared" si="8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9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191</v>
      </c>
      <c r="B104" s="26" t="s">
        <v>137</v>
      </c>
      <c r="C104" s="26" t="s">
        <v>165</v>
      </c>
      <c r="E104" s="20" t="str">
        <f t="shared" si="8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9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114</v>
      </c>
      <c r="E105" s="20" t="str">
        <f t="shared" si="8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9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121</v>
      </c>
      <c r="E106" s="20" t="str">
        <f t="shared" si="8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9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169</v>
      </c>
      <c r="E107" s="20" t="str">
        <f t="shared" si="8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9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107</v>
      </c>
      <c r="B108" s="26" t="s">
        <v>116</v>
      </c>
      <c r="C108" s="26" t="s">
        <v>109</v>
      </c>
      <c r="D108" s="26" t="s">
        <v>110</v>
      </c>
      <c r="E108" s="20" t="str">
        <f t="shared" si="8"/>
        <v>!!!</v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9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192</v>
      </c>
      <c r="E109" s="20" t="str">
        <f t="shared" si="8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9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193</v>
      </c>
      <c r="B110" s="26" t="s">
        <v>137</v>
      </c>
      <c r="C110" s="26" t="s">
        <v>105</v>
      </c>
      <c r="E110" s="20" t="str">
        <f t="shared" si="8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9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194</v>
      </c>
      <c r="E111" s="20" t="str">
        <f t="shared" si="8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9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11</v>
      </c>
      <c r="E112" s="20" t="str">
        <f t="shared" si="8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9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152</v>
      </c>
      <c r="E113" s="20" t="str">
        <f t="shared" si="8"/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9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4" spans="1:12" x14ac:dyDescent="0.3">
      <c r="A114" t="s">
        <v>195</v>
      </c>
      <c r="E114" s="20" t="str">
        <f t="shared" si="8"/>
        <v/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9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x14ac:dyDescent="0.3">
      <c r="A115" t="s">
        <v>196</v>
      </c>
      <c r="E115" s="20" t="str">
        <f t="shared" si="8"/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ca="1" si="9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/>
    </row>
    <row r="116" spans="1:12" x14ac:dyDescent="0.3">
      <c r="A116" t="s">
        <v>197</v>
      </c>
      <c r="E116" s="20" t="str">
        <f t="shared" si="8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9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198</v>
      </c>
      <c r="B117" s="26" t="s">
        <v>199</v>
      </c>
      <c r="C117" s="26" t="s">
        <v>165</v>
      </c>
      <c r="E117" s="20" t="str">
        <f t="shared" si="8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9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152</v>
      </c>
      <c r="E118" s="20" t="str">
        <f t="shared" si="8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9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200</v>
      </c>
      <c r="E119" s="20" t="str">
        <f t="shared" si="8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9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201</v>
      </c>
      <c r="E120" s="20" t="str">
        <f t="shared" si="8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9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202</v>
      </c>
      <c r="B121" s="26" t="s">
        <v>123</v>
      </c>
      <c r="C121" s="26" t="s">
        <v>105</v>
      </c>
      <c r="E121" s="20" t="str">
        <f t="shared" si="8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9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114</v>
      </c>
      <c r="E122" s="20" t="str">
        <f t="shared" si="8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9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203</v>
      </c>
      <c r="E123" s="20" t="str">
        <f t="shared" si="8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9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192</v>
      </c>
      <c r="E124" s="20" t="str">
        <f t="shared" si="8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9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181</v>
      </c>
      <c r="E125" s="20" t="str">
        <f t="shared" si="8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9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197</v>
      </c>
      <c r="B126" s="26" t="s">
        <v>123</v>
      </c>
      <c r="C126" s="26" t="s">
        <v>109</v>
      </c>
      <c r="D126" s="26" t="s">
        <v>110</v>
      </c>
      <c r="E126" s="20" t="str">
        <f t="shared" si="8"/>
        <v>!!!</v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9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11</v>
      </c>
      <c r="E127" s="20" t="str">
        <f t="shared" si="8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9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204</v>
      </c>
      <c r="E128" s="20" t="str">
        <f t="shared" si="8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9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205</v>
      </c>
      <c r="E129" s="20" t="str">
        <f t="shared" si="8"/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9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206</v>
      </c>
      <c r="E130" s="20" t="str">
        <f t="shared" si="8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9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207</v>
      </c>
      <c r="B131" s="26" t="s">
        <v>137</v>
      </c>
      <c r="C131" s="26" t="s">
        <v>165</v>
      </c>
      <c r="E131" s="20" t="str">
        <f t="shared" si="8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9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192</v>
      </c>
      <c r="E132" s="20" t="str">
        <f t="shared" si="8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9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208</v>
      </c>
      <c r="E133" s="20" t="str">
        <f t="shared" si="8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9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209</v>
      </c>
      <c r="B134" s="26" t="s">
        <v>123</v>
      </c>
      <c r="C134" s="26" t="s">
        <v>105</v>
      </c>
      <c r="E134" s="20" t="str">
        <f t="shared" si="8"/>
        <v/>
      </c>
      <c r="F134" s="21" t="str">
        <f>IF(OR(E134="",E134="!!!"),"",IF(NOT(ISNA(VLOOKUP(E134,E$1:E133,1,FALSE()))),"OLD",IF(AND(E134&lt;&gt;"",E134&lt;&gt;"!!!"),"NEW","")))</f>
        <v/>
      </c>
      <c r="G134" s="22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t="shared" ca="1" si="9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125</v>
      </c>
      <c r="E135" s="20" t="str">
        <f t="shared" si="8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9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7" spans="1:12" x14ac:dyDescent="0.3">
      <c r="A137" t="s">
        <v>210</v>
      </c>
    </row>
    <row r="138" spans="1:12" x14ac:dyDescent="0.3">
      <c r="A138" t="s">
        <v>211</v>
      </c>
      <c r="E138" s="20" t="str">
        <f t="shared" ref="E138:E165" si="10">IF(D138="?OLD","!!!","")</f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ref="H138:H165" ca="1" si="11">IF(J138&lt;&gt;1,"",IF(I138="SBJ","CB","?"))</f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212</v>
      </c>
      <c r="B139" s="26" t="s">
        <v>137</v>
      </c>
      <c r="C139" s="26" t="s">
        <v>161</v>
      </c>
      <c r="D139" s="26" t="s">
        <v>110</v>
      </c>
      <c r="E139" s="20" t="str">
        <f t="shared" si="10"/>
        <v>!!!</v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11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213</v>
      </c>
      <c r="E140" s="20" t="str">
        <f t="shared" si="10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1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214</v>
      </c>
      <c r="B141" s="26" t="s">
        <v>108</v>
      </c>
      <c r="C141" s="26" t="s">
        <v>177</v>
      </c>
      <c r="E141" s="20" t="str">
        <f t="shared" si="10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1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215</v>
      </c>
      <c r="E142" s="20" t="str">
        <f t="shared" si="10"/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1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197</v>
      </c>
      <c r="E143" s="20" t="str">
        <f t="shared" si="10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1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216</v>
      </c>
      <c r="B144" s="26" t="s">
        <v>112</v>
      </c>
      <c r="C144" s="26" t="s">
        <v>165</v>
      </c>
      <c r="E144" s="20" t="str">
        <f t="shared" si="10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1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217</v>
      </c>
      <c r="E145" s="20" t="str">
        <f t="shared" si="10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1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218</v>
      </c>
      <c r="E146" s="20" t="str">
        <f t="shared" si="10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11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7" spans="1:12" x14ac:dyDescent="0.3">
      <c r="A147" t="s">
        <v>114</v>
      </c>
      <c r="E147" s="20" t="str">
        <f t="shared" si="10"/>
        <v/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11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219</v>
      </c>
      <c r="E148" s="20" t="str">
        <f t="shared" si="10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11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179</v>
      </c>
      <c r="B149" s="26" t="s">
        <v>116</v>
      </c>
      <c r="C149" s="26" t="s">
        <v>161</v>
      </c>
      <c r="D149" s="26" t="s">
        <v>110</v>
      </c>
      <c r="E149" s="20" t="str">
        <f t="shared" si="10"/>
        <v>!!!</v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11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114</v>
      </c>
      <c r="E150" s="20" t="str">
        <f t="shared" si="10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1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219</v>
      </c>
      <c r="E151" s="20" t="str">
        <f t="shared" si="10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11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213</v>
      </c>
      <c r="E152" s="20" t="str">
        <f t="shared" si="10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1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220</v>
      </c>
      <c r="B153" s="26" t="s">
        <v>137</v>
      </c>
      <c r="C153" s="26" t="s">
        <v>105</v>
      </c>
      <c r="E153" s="20" t="str">
        <f t="shared" si="10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1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152</v>
      </c>
      <c r="E154" s="20" t="str">
        <f t="shared" si="10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1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221</v>
      </c>
      <c r="E155" s="20" t="str">
        <f t="shared" si="10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1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138</v>
      </c>
      <c r="E156" s="20" t="str">
        <f t="shared" si="10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1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222</v>
      </c>
      <c r="E157" s="20" t="str">
        <f t="shared" si="10"/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11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155</v>
      </c>
      <c r="B158" s="26" t="s">
        <v>199</v>
      </c>
      <c r="C158" s="26" t="s">
        <v>165</v>
      </c>
      <c r="E158" s="20" t="str">
        <f t="shared" si="10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1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223</v>
      </c>
      <c r="E159" s="20" t="str">
        <f t="shared" si="10"/>
        <v/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11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140</v>
      </c>
      <c r="E160" s="20" t="str">
        <f t="shared" si="10"/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11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224</v>
      </c>
      <c r="E161" s="20" t="str">
        <f t="shared" si="10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11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225</v>
      </c>
      <c r="B162" s="26" t="s">
        <v>123</v>
      </c>
      <c r="C162" s="26" t="s">
        <v>226</v>
      </c>
      <c r="D162" s="26" t="s">
        <v>110</v>
      </c>
      <c r="E162" s="20" t="str">
        <f t="shared" si="10"/>
        <v>!!!</v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ca="1" si="11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152</v>
      </c>
      <c r="E163" s="20" t="str">
        <f t="shared" si="10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11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227</v>
      </c>
      <c r="E164" s="20" t="str">
        <f t="shared" si="10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1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125</v>
      </c>
      <c r="E165" s="20" t="str">
        <f t="shared" si="10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1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7" spans="1:12" x14ac:dyDescent="0.3">
      <c r="A167" t="s">
        <v>228</v>
      </c>
    </row>
    <row r="168" spans="1:12" x14ac:dyDescent="0.3">
      <c r="A168" t="s">
        <v>229</v>
      </c>
      <c r="B168" s="26" t="s">
        <v>108</v>
      </c>
      <c r="C168" s="26" t="s">
        <v>230</v>
      </c>
      <c r="D168" s="26" t="s">
        <v>110</v>
      </c>
      <c r="E168" s="20" t="str">
        <f t="shared" ref="E168:E195" si="12">IF(D168="?OLD","!!!","")</f>
        <v>!!!</v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ref="H168:H195" ca="1" si="13">IF(J168&lt;&gt;1,"",IF(I168="SBJ","CB","?"))</f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231</v>
      </c>
      <c r="E169" s="20" t="str">
        <f t="shared" si="12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3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181</v>
      </c>
      <c r="E170" s="20" t="str">
        <f t="shared" si="12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3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232</v>
      </c>
      <c r="B171" s="26" t="s">
        <v>104</v>
      </c>
      <c r="C171" s="26" t="s">
        <v>131</v>
      </c>
      <c r="D171" s="26" t="s">
        <v>110</v>
      </c>
      <c r="E171" s="20" t="str">
        <f t="shared" si="12"/>
        <v>!!!</v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3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121</v>
      </c>
      <c r="E172" s="20" t="str">
        <f t="shared" si="12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3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128</v>
      </c>
      <c r="E173" s="20" t="str">
        <f t="shared" si="12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3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233</v>
      </c>
      <c r="E174" s="20" t="str">
        <f t="shared" si="12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3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155</v>
      </c>
      <c r="B175" s="26" t="s">
        <v>104</v>
      </c>
      <c r="C175" s="26" t="s">
        <v>131</v>
      </c>
      <c r="D175" s="26" t="s">
        <v>110</v>
      </c>
      <c r="E175" s="20" t="str">
        <f t="shared" si="12"/>
        <v>!!!</v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3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114</v>
      </c>
      <c r="E176" s="20" t="str">
        <f t="shared" si="12"/>
        <v/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3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133</v>
      </c>
      <c r="E177" s="20" t="str">
        <f t="shared" si="12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3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8" spans="1:12" x14ac:dyDescent="0.3">
      <c r="A178" t="s">
        <v>213</v>
      </c>
      <c r="E178" s="20" t="str">
        <f t="shared" si="12"/>
        <v/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13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79" spans="1:12" x14ac:dyDescent="0.3">
      <c r="A179" t="s">
        <v>234</v>
      </c>
      <c r="B179" s="26" t="s">
        <v>119</v>
      </c>
      <c r="C179" s="26" t="s">
        <v>120</v>
      </c>
      <c r="E179" s="20" t="str">
        <f t="shared" si="12"/>
        <v/>
      </c>
      <c r="F179" s="21" t="str">
        <f>IF(OR(E179="",E179="!!!"),"",IF(NOT(ISNA(VLOOKUP(E179,E$1:E178,1,FALSE()))),"OLD",IF(AND(E179&lt;&gt;"",E179&lt;&gt;"!!!"),"NEW","")))</f>
        <v/>
      </c>
      <c r="G179" s="22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t="shared" ca="1" si="13"/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235</v>
      </c>
      <c r="E180" s="20" t="str">
        <f t="shared" si="12"/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ca="1" si="13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232</v>
      </c>
      <c r="B181" s="26" t="s">
        <v>104</v>
      </c>
      <c r="C181" s="26" t="s">
        <v>105</v>
      </c>
      <c r="E181" s="20" t="str">
        <f t="shared" si="12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3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114</v>
      </c>
      <c r="E182" s="20" t="str">
        <f t="shared" si="12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3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236</v>
      </c>
      <c r="E183" s="20" t="str">
        <f t="shared" si="12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13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121</v>
      </c>
      <c r="E184" s="20" t="str">
        <f t="shared" si="12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3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237</v>
      </c>
      <c r="E185" s="20" t="str">
        <f t="shared" si="12"/>
        <v/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13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238</v>
      </c>
      <c r="B186" s="26" t="s">
        <v>137</v>
      </c>
      <c r="C186" s="26" t="s">
        <v>105</v>
      </c>
      <c r="E186" s="20" t="str">
        <f t="shared" si="12"/>
        <v/>
      </c>
      <c r="F186" s="21" t="str">
        <f>IF(OR(E186="",E186="!!!"),"",IF(NOT(ISNA(VLOOKUP(E186,E$1:E185,1,FALSE()))),"OLD",IF(AND(E186&lt;&gt;"",E186&lt;&gt;"!!!"),"NEW","")))</f>
        <v/>
      </c>
      <c r="G186" s="22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t="shared" ca="1" si="13"/>
        <v/>
      </c>
      <c r="I186" s="24" t="str">
        <f>IF(OR(E186="",E186="!!!",F186="NEW"),"",INDEX(B$2:B185,-1+SUMPRODUCT(MAX(ROW(E$2:E185)*(E186=E$2:E185)))))</f>
        <v/>
      </c>
      <c r="J186" s="24" t="str">
        <f ca="1">IF(OR(E186="",E186="!!!",F186="NEW"),"",COUNTBLANK(OFFSET(A$1,,,SUMPRODUCT(MAX(ROW(E$2:E186)*(E186=E$2:E186)))))-COUNTBLANK(OFFSET(A$1,,,SUMPRODUCT(MAX(ROW(E$1:E185)*(E2=E$1:E185))))))</f>
        <v/>
      </c>
      <c r="K186" s="24" t="str">
        <f>IF(OR(E186="",E186="!!!",F186="NEW"),"",INDEX(J$1:J185,SUMPRODUCT(MAX(ROW(E$1:E185)*(E186=E$1:E185)))))</f>
        <v/>
      </c>
      <c r="L186" s="25"/>
    </row>
    <row r="187" spans="1:12" x14ac:dyDescent="0.3">
      <c r="A187" t="s">
        <v>114</v>
      </c>
      <c r="E187" s="20" t="str">
        <f t="shared" si="12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3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239</v>
      </c>
      <c r="B188" s="26" t="s">
        <v>123</v>
      </c>
      <c r="C188" s="26" t="s">
        <v>105</v>
      </c>
      <c r="E188" s="20" t="str">
        <f t="shared" si="12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3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114</v>
      </c>
      <c r="E189" s="20" t="str">
        <f t="shared" si="12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3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240</v>
      </c>
      <c r="B190" s="26" t="s">
        <v>123</v>
      </c>
      <c r="C190" s="26" t="s">
        <v>105</v>
      </c>
      <c r="E190" s="20" t="str">
        <f t="shared" si="12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3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114</v>
      </c>
      <c r="E191" s="20" t="str">
        <f t="shared" si="12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3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241</v>
      </c>
      <c r="B192" s="26" t="s">
        <v>123</v>
      </c>
      <c r="C192" s="26" t="s">
        <v>226</v>
      </c>
      <c r="D192" s="26" t="s">
        <v>110</v>
      </c>
      <c r="E192" s="20" t="str">
        <f t="shared" si="12"/>
        <v>!!!</v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3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138</v>
      </c>
      <c r="E193" s="20" t="str">
        <f t="shared" si="12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3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242</v>
      </c>
      <c r="B194" s="26" t="s">
        <v>123</v>
      </c>
      <c r="C194" s="26" t="s">
        <v>226</v>
      </c>
      <c r="D194" s="26" t="s">
        <v>110</v>
      </c>
      <c r="E194" s="20" t="str">
        <f t="shared" si="12"/>
        <v>!!!</v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3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125</v>
      </c>
      <c r="E195" s="20" t="str">
        <f t="shared" si="12"/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3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7" spans="1:12" x14ac:dyDescent="0.3">
      <c r="A197" t="s">
        <v>243</v>
      </c>
    </row>
    <row r="198" spans="1:12" x14ac:dyDescent="0.3">
      <c r="A198" t="s">
        <v>146</v>
      </c>
      <c r="E198" s="20" t="str">
        <f t="shared" ref="E198:E208" si="14">IF(D198="?OLD","!!!","")</f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ref="H198:H208" ca="1" si="15">IF(J198&lt;&gt;1,"",IF(I198="SBJ","CB","?"))</f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224</v>
      </c>
      <c r="E199" s="20" t="str">
        <f t="shared" si="14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5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244</v>
      </c>
      <c r="E200" s="20" t="str">
        <f t="shared" si="14"/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15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245</v>
      </c>
      <c r="B201" s="26" t="s">
        <v>104</v>
      </c>
      <c r="C201" s="26" t="s">
        <v>131</v>
      </c>
      <c r="D201" s="26" t="s">
        <v>110</v>
      </c>
      <c r="E201" s="20" t="str">
        <f t="shared" si="14"/>
        <v>!!!</v>
      </c>
      <c r="F201" s="21" t="str">
        <f>IF(OR(E201="",E201="!!!"),"",IF(NOT(ISNA(VLOOKUP(E201,E$1:E200,1,FALSE()))),"OLD",IF(AND(E201&lt;&gt;"",E201&lt;&gt;"!!!"),"NEW","")))</f>
        <v/>
      </c>
      <c r="G201" s="22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t="shared" ca="1" si="15"/>
        <v/>
      </c>
      <c r="I201" s="24" t="str">
        <f>IF(OR(E201="",E201="!!!",F201="NEW"),"",INDEX(B$2:B200,-1+SUMPRODUCT(MAX(ROW(E$2:E200)*(E201=E$2:E200)))))</f>
        <v/>
      </c>
      <c r="J201" s="24" t="str">
        <f ca="1">IF(OR(E201="",E201="!!!",F201="NEW"),"",COUNTBLANK(OFFSET(A$1,,,SUMPRODUCT(MAX(ROW(E$2:E201)*(E201=E$2:E201)))))-COUNTBLANK(OFFSET(A$1,,,SUMPRODUCT(MAX(ROW(E$1:E200)*(E2=E$1:E200))))))</f>
        <v/>
      </c>
      <c r="K201" s="24" t="str">
        <f>IF(OR(E201="",E201="!!!",F201="NEW"),"",INDEX(J$1:J200,SUMPRODUCT(MAX(ROW(E$1:E200)*(E201=E$1:E200)))))</f>
        <v/>
      </c>
      <c r="L201" s="25"/>
    </row>
    <row r="202" spans="1:12" x14ac:dyDescent="0.3">
      <c r="A202" t="s">
        <v>231</v>
      </c>
      <c r="E202" s="20" t="str">
        <f t="shared" si="14"/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15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181</v>
      </c>
      <c r="E203" s="20" t="str">
        <f t="shared" si="14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5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246</v>
      </c>
      <c r="E204" s="20" t="str">
        <f t="shared" si="14"/>
        <v/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5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5" spans="1:12" x14ac:dyDescent="0.3">
      <c r="A205" t="s">
        <v>247</v>
      </c>
      <c r="B205" s="26" t="s">
        <v>104</v>
      </c>
      <c r="C205" s="26" t="s">
        <v>131</v>
      </c>
      <c r="D205" s="26" t="s">
        <v>110</v>
      </c>
      <c r="E205" s="20" t="str">
        <f t="shared" si="14"/>
        <v>!!!</v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15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181</v>
      </c>
      <c r="E206" s="20" t="str">
        <f t="shared" si="14"/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15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248</v>
      </c>
      <c r="B207" s="26" t="s">
        <v>104</v>
      </c>
      <c r="C207" s="26" t="s">
        <v>131</v>
      </c>
      <c r="D207" s="26" t="s">
        <v>110</v>
      </c>
      <c r="E207" s="20" t="str">
        <f t="shared" si="14"/>
        <v>!!!</v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ca="1" si="15"/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125</v>
      </c>
      <c r="E208" s="20" t="str">
        <f t="shared" si="14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5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10" spans="1:12" x14ac:dyDescent="0.3">
      <c r="A210" t="s">
        <v>249</v>
      </c>
      <c r="E210" s="20" t="str">
        <f>IF(D210="?OLD","!!!","")</f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ca="1">IF(J210&lt;&gt;1,"",IF(I210="SBJ","CB","?"))</f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250</v>
      </c>
    </row>
    <row r="212" spans="1:12" x14ac:dyDescent="0.3">
      <c r="A212" t="s">
        <v>229</v>
      </c>
      <c r="E212" s="20" t="str">
        <f t="shared" ref="E212:E241" si="16">IF(D212="?OLD","!!!","")</f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ref="H212:H241" ca="1" si="17">IF(J212&lt;&gt;1,"",IF(I212="SBJ","CB","?"))</f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251</v>
      </c>
      <c r="B213" s="26" t="s">
        <v>108</v>
      </c>
      <c r="C213" s="26" t="s">
        <v>131</v>
      </c>
      <c r="D213" s="26" t="s">
        <v>110</v>
      </c>
      <c r="E213" s="20" t="str">
        <f t="shared" si="16"/>
        <v>!!!</v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17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252</v>
      </c>
      <c r="E214" s="20" t="str">
        <f t="shared" si="16"/>
        <v/>
      </c>
      <c r="F214" s="21" t="str">
        <f>IF(OR(E214="",E214="!!!"),"",IF(NOT(ISNA(VLOOKUP(E214,E$1:E213,1,FALSE()))),"OLD",IF(AND(E214&lt;&gt;"",E214&lt;&gt;"!!!"),"NEW","")))</f>
        <v/>
      </c>
      <c r="G214" s="22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t="shared" ca="1" si="17"/>
        <v/>
      </c>
      <c r="I214" s="24" t="str">
        <f>IF(OR(E214="",E214="!!!",F214="NEW"),"",INDEX(B$2:B213,-1+SUMPRODUCT(MAX(ROW(E$2:E213)*(E214=E$2:E213)))))</f>
        <v/>
      </c>
      <c r="J214" s="24" t="str">
        <f ca="1">IF(OR(E214="",E214="!!!",F214="NEW"),"",COUNTBLANK(OFFSET(A$1,,,SUMPRODUCT(MAX(ROW(E$2:E214)*(E214=E$2:E214)))))-COUNTBLANK(OFFSET(A$1,,,SUMPRODUCT(MAX(ROW(E$1:E213)*(E2=E$1:E213))))))</f>
        <v/>
      </c>
      <c r="K214" s="24" t="str">
        <f>IF(OR(E214="",E214="!!!",F214="NEW"),"",INDEX(J$1:J213,SUMPRODUCT(MAX(ROW(E$1:E213)*(E214=E$1:E213)))))</f>
        <v/>
      </c>
      <c r="L214" s="25"/>
    </row>
    <row r="215" spans="1:12" x14ac:dyDescent="0.3">
      <c r="A215" t="s">
        <v>253</v>
      </c>
      <c r="B215" s="26" t="s">
        <v>137</v>
      </c>
      <c r="C215" s="26" t="s">
        <v>105</v>
      </c>
      <c r="E215" s="20" t="str">
        <f t="shared" si="16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17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252</v>
      </c>
      <c r="E216" s="20" t="str">
        <f t="shared" si="16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17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254</v>
      </c>
      <c r="E217" s="20" t="str">
        <f t="shared" si="16"/>
        <v/>
      </c>
      <c r="F217" s="21" t="str">
        <f>IF(OR(E217="",E217="!!!"),"",IF(NOT(ISNA(VLOOKUP(E217,E$1:E216,1,FALSE()))),"OLD",IF(AND(E217&lt;&gt;"",E217&lt;&gt;"!!!"),"NEW","")))</f>
        <v/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t="shared" ca="1" si="17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255</v>
      </c>
      <c r="E218" s="20" t="str">
        <f t="shared" si="16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17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256</v>
      </c>
      <c r="E219" s="20" t="str">
        <f t="shared" si="16"/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17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257</v>
      </c>
      <c r="E220" s="20" t="str">
        <f t="shared" si="16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17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11</v>
      </c>
      <c r="E221" s="20" t="str">
        <f t="shared" si="16"/>
        <v/>
      </c>
      <c r="F221" s="21" t="str">
        <f>IF(OR(E221="",E221="!!!"),"",IF(NOT(ISNA(VLOOKUP(E221,E$1:E220,1,FALSE()))),"OLD",IF(AND(E221&lt;&gt;"",E221&lt;&gt;"!!!"),"NEW","")))</f>
        <v/>
      </c>
      <c r="G221" s="22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3" t="str">
        <f t="shared" ca="1" si="17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258</v>
      </c>
      <c r="E222" s="20" t="str">
        <f t="shared" si="16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17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11</v>
      </c>
      <c r="E223" s="20" t="str">
        <f t="shared" si="16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17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259</v>
      </c>
      <c r="B224" s="26" t="s">
        <v>104</v>
      </c>
      <c r="C224" s="26" t="s">
        <v>120</v>
      </c>
      <c r="E224" s="20" t="str">
        <f t="shared" si="16"/>
        <v/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17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117</v>
      </c>
      <c r="B225" s="26" t="s">
        <v>123</v>
      </c>
      <c r="C225" s="26" t="s">
        <v>260</v>
      </c>
      <c r="E225" s="20" t="str">
        <f t="shared" si="16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17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128</v>
      </c>
      <c r="E226" s="20" t="str">
        <f t="shared" si="16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17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261</v>
      </c>
      <c r="B227" s="26" t="s">
        <v>262</v>
      </c>
      <c r="C227" s="26" t="s">
        <v>131</v>
      </c>
      <c r="D227" s="26" t="s">
        <v>110</v>
      </c>
      <c r="E227" s="20" t="str">
        <f t="shared" si="16"/>
        <v>!!!</v>
      </c>
      <c r="F227" s="21" t="str">
        <f>IF(OR(E227="",E227="!!!"),"",IF(NOT(ISNA(VLOOKUP(E227,E$1:E226,1,FALSE()))),"OLD",IF(AND(E227&lt;&gt;"",E227&lt;&gt;"!!!"),"NEW","")))</f>
        <v/>
      </c>
      <c r="G227" s="22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3" t="str">
        <f t="shared" ca="1" si="17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263</v>
      </c>
      <c r="E228" s="20" t="str">
        <f t="shared" si="16"/>
        <v/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17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114</v>
      </c>
      <c r="E229" s="20" t="str">
        <f t="shared" si="16"/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17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264</v>
      </c>
      <c r="E230" s="20" t="str">
        <f t="shared" si="16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17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265</v>
      </c>
      <c r="B231" s="26" t="s">
        <v>137</v>
      </c>
      <c r="C231" s="26" t="s">
        <v>120</v>
      </c>
      <c r="E231" s="20" t="str">
        <f t="shared" si="16"/>
        <v/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17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114</v>
      </c>
      <c r="E232" s="20" t="str">
        <f t="shared" si="16"/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17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181</v>
      </c>
      <c r="B233" s="26" t="s">
        <v>266</v>
      </c>
      <c r="E233" s="20" t="str">
        <f t="shared" si="16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17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267</v>
      </c>
      <c r="E234" s="20" t="str">
        <f t="shared" si="16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17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5" spans="1:12" x14ac:dyDescent="0.3">
      <c r="A235" t="s">
        <v>268</v>
      </c>
      <c r="B235" s="26" t="s">
        <v>262</v>
      </c>
      <c r="C235" s="26" t="s">
        <v>165</v>
      </c>
      <c r="E235" s="20" t="str">
        <f t="shared" si="16"/>
        <v/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17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269</v>
      </c>
      <c r="E236" s="20" t="str">
        <f t="shared" si="16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17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154</v>
      </c>
      <c r="E237" s="20" t="str">
        <f t="shared" si="16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17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270</v>
      </c>
      <c r="B238" s="26" t="s">
        <v>271</v>
      </c>
      <c r="C238" s="26" t="s">
        <v>120</v>
      </c>
      <c r="E238" s="20" t="str">
        <f t="shared" si="16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17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272</v>
      </c>
      <c r="E239" s="20" t="str">
        <f t="shared" si="16"/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17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273</v>
      </c>
      <c r="E240" s="20" t="str">
        <f t="shared" si="16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17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125</v>
      </c>
      <c r="E241" s="20" t="str">
        <f t="shared" si="16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17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3" spans="1:12" x14ac:dyDescent="0.3">
      <c r="A243" t="s">
        <v>274</v>
      </c>
    </row>
    <row r="244" spans="1:12" x14ac:dyDescent="0.3">
      <c r="A244" t="s">
        <v>211</v>
      </c>
      <c r="E244" s="20" t="str">
        <f t="shared" ref="E244:E267" si="18">IF(D244="?OLD","!!!","")</f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ref="H244:H267" ca="1" si="19">IF(J244&lt;&gt;1,"",IF(I244="SBJ","CB","?"))</f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275</v>
      </c>
      <c r="B245" s="26" t="s">
        <v>137</v>
      </c>
      <c r="C245" s="26" t="s">
        <v>230</v>
      </c>
      <c r="D245" s="26" t="s">
        <v>110</v>
      </c>
      <c r="E245" s="20" t="str">
        <f t="shared" si="18"/>
        <v>!!!</v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19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276</v>
      </c>
      <c r="B246" s="26" t="s">
        <v>108</v>
      </c>
      <c r="C246" s="26" t="s">
        <v>277</v>
      </c>
      <c r="D246" s="26" t="s">
        <v>110</v>
      </c>
      <c r="E246" s="20" t="str">
        <f t="shared" si="18"/>
        <v>!!!</v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19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187</v>
      </c>
      <c r="E247" s="20" t="str">
        <f t="shared" si="18"/>
        <v/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19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140</v>
      </c>
      <c r="E248" s="20" t="str">
        <f t="shared" si="18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19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278</v>
      </c>
      <c r="B249" s="26" t="s">
        <v>137</v>
      </c>
      <c r="C249" s="26" t="s">
        <v>105</v>
      </c>
      <c r="E249" s="20" t="str">
        <f t="shared" si="18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19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279</v>
      </c>
      <c r="E250" s="20" t="str">
        <f t="shared" si="18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19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280</v>
      </c>
      <c r="B251" s="26" t="s">
        <v>108</v>
      </c>
      <c r="C251" s="26" t="s">
        <v>109</v>
      </c>
      <c r="D251" s="26" t="s">
        <v>110</v>
      </c>
      <c r="E251" s="20" t="str">
        <f t="shared" si="18"/>
        <v>!!!</v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19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281</v>
      </c>
      <c r="E252" s="20" t="str">
        <f t="shared" si="18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19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133</v>
      </c>
      <c r="E253" s="20" t="str">
        <f t="shared" si="18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19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282</v>
      </c>
      <c r="B254" s="26" t="s">
        <v>112</v>
      </c>
      <c r="C254" s="26" t="s">
        <v>120</v>
      </c>
      <c r="E254" s="20" t="str">
        <f t="shared" si="18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19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114</v>
      </c>
      <c r="E255" s="20" t="str">
        <f t="shared" si="18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19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179</v>
      </c>
      <c r="B256" s="26" t="s">
        <v>283</v>
      </c>
      <c r="E256" s="20" t="str">
        <f t="shared" si="18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19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140</v>
      </c>
      <c r="E257" s="20" t="str">
        <f t="shared" si="18"/>
        <v/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19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128</v>
      </c>
      <c r="E258" s="20" t="str">
        <f t="shared" si="18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19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284</v>
      </c>
      <c r="B259" s="26" t="s">
        <v>123</v>
      </c>
      <c r="C259" s="26" t="s">
        <v>131</v>
      </c>
      <c r="D259" s="26" t="s">
        <v>110</v>
      </c>
      <c r="E259" s="20" t="str">
        <f t="shared" si="18"/>
        <v>!!!</v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19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285</v>
      </c>
      <c r="E260" s="20" t="str">
        <f t="shared" si="18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19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114</v>
      </c>
      <c r="E261" s="20" t="str">
        <f t="shared" si="18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19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286</v>
      </c>
      <c r="E262" s="20" t="str">
        <f t="shared" si="18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19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287</v>
      </c>
      <c r="E263" s="20" t="str">
        <f t="shared" si="18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19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138</v>
      </c>
      <c r="E264" s="20" t="str">
        <f t="shared" si="18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19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288</v>
      </c>
      <c r="E265" s="20" t="str">
        <f t="shared" si="18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19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289</v>
      </c>
      <c r="E266" s="20" t="str">
        <f t="shared" si="18"/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19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125</v>
      </c>
      <c r="E267" s="20" t="str">
        <f t="shared" si="18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19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9" spans="1:12" x14ac:dyDescent="0.3">
      <c r="A269" t="s">
        <v>290</v>
      </c>
    </row>
    <row r="270" spans="1:12" x14ac:dyDescent="0.3">
      <c r="A270" t="s">
        <v>280</v>
      </c>
      <c r="B270" s="26" t="s">
        <v>108</v>
      </c>
      <c r="C270" s="26" t="s">
        <v>109</v>
      </c>
      <c r="D270" s="26" t="s">
        <v>110</v>
      </c>
      <c r="E270" s="20" t="str">
        <f t="shared" ref="E270:E281" si="20">IF(D270="?OLD","!!!","")</f>
        <v>!!!</v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ref="H270:H281" ca="1" si="21">IF(J270&lt;&gt;1,"",IF(I270="SBJ","CB","?"))</f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291</v>
      </c>
      <c r="E271" s="20" t="str">
        <f t="shared" si="20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1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292</v>
      </c>
      <c r="E272" s="20" t="str">
        <f t="shared" si="20"/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1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3" spans="1:12" x14ac:dyDescent="0.3">
      <c r="A273" t="s">
        <v>293</v>
      </c>
      <c r="B273" s="26" t="s">
        <v>112</v>
      </c>
      <c r="C273" s="26" t="s">
        <v>131</v>
      </c>
      <c r="D273" s="26" t="s">
        <v>110</v>
      </c>
      <c r="E273" s="20" t="str">
        <f t="shared" si="20"/>
        <v>!!!</v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21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114</v>
      </c>
      <c r="E274" s="20" t="str">
        <f t="shared" si="20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21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292</v>
      </c>
      <c r="B275" s="26" t="s">
        <v>199</v>
      </c>
      <c r="C275" s="26" t="s">
        <v>161</v>
      </c>
      <c r="D275" s="26" t="s">
        <v>110</v>
      </c>
      <c r="E275" s="20" t="str">
        <f t="shared" si="20"/>
        <v>!!!</v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21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294</v>
      </c>
      <c r="E276" s="20" t="str">
        <f t="shared" si="20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21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295</v>
      </c>
      <c r="B277" s="26" t="s">
        <v>283</v>
      </c>
      <c r="C277" s="26" t="s">
        <v>260</v>
      </c>
      <c r="E277" s="20" t="str">
        <f t="shared" si="20"/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1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152</v>
      </c>
      <c r="E278" s="20" t="str">
        <f t="shared" si="20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21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291</v>
      </c>
      <c r="E279" s="20" t="str">
        <f t="shared" si="20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21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296</v>
      </c>
      <c r="E280" s="20" t="str">
        <f t="shared" si="20"/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21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125</v>
      </c>
      <c r="E281" s="20" t="str">
        <f t="shared" si="20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1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3" spans="1:12" x14ac:dyDescent="0.3">
      <c r="A283" t="s">
        <v>297</v>
      </c>
    </row>
    <row r="284" spans="1:12" x14ac:dyDescent="0.3">
      <c r="A284" t="s">
        <v>298</v>
      </c>
      <c r="E284" s="20" t="str">
        <f t="shared" ref="E284:E300" si="22">IF(D284="?OLD","!!!","")</f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ref="H284:H300" ca="1" si="23">IF(J284&lt;&gt;1,"",IF(I284="SBJ","CB","?"))</f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299</v>
      </c>
      <c r="E285" s="20" t="str">
        <f t="shared" si="22"/>
        <v/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23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300</v>
      </c>
      <c r="B286" s="26" t="s">
        <v>104</v>
      </c>
      <c r="C286" s="26" t="s">
        <v>165</v>
      </c>
      <c r="E286" s="20" t="str">
        <f t="shared" si="22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23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301</v>
      </c>
      <c r="E287" s="20" t="str">
        <f t="shared" si="22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23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179</v>
      </c>
      <c r="E288" s="20" t="str">
        <f t="shared" si="22"/>
        <v/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23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302</v>
      </c>
      <c r="E289" s="20" t="str">
        <f t="shared" si="22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23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303</v>
      </c>
      <c r="B290" s="26" t="s">
        <v>108</v>
      </c>
      <c r="C290" s="26" t="s">
        <v>131</v>
      </c>
      <c r="D290" s="26" t="s">
        <v>110</v>
      </c>
      <c r="E290" s="20" t="str">
        <f t="shared" si="22"/>
        <v>!!!</v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3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179</v>
      </c>
      <c r="E291" s="20" t="str">
        <f t="shared" si="22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3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304</v>
      </c>
      <c r="B292" s="26" t="s">
        <v>112</v>
      </c>
      <c r="C292" s="26" t="s">
        <v>305</v>
      </c>
      <c r="D292" s="26" t="s">
        <v>110</v>
      </c>
      <c r="E292" s="20" t="str">
        <f t="shared" si="22"/>
        <v>!!!</v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23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181</v>
      </c>
      <c r="E293" s="20" t="str">
        <f t="shared" si="22"/>
        <v/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3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306</v>
      </c>
      <c r="E294" s="20" t="str">
        <f t="shared" si="22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23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307</v>
      </c>
      <c r="B295" s="26" t="s">
        <v>137</v>
      </c>
      <c r="C295" s="26" t="s">
        <v>226</v>
      </c>
      <c r="D295" s="26" t="s">
        <v>110</v>
      </c>
      <c r="E295" s="20" t="str">
        <f t="shared" si="22"/>
        <v>!!!</v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23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269</v>
      </c>
      <c r="E296" s="20" t="str">
        <f t="shared" si="22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3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308</v>
      </c>
      <c r="B297" s="26" t="s">
        <v>137</v>
      </c>
      <c r="C297" s="26" t="s">
        <v>105</v>
      </c>
      <c r="E297" s="20" t="str">
        <f t="shared" si="22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23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138</v>
      </c>
      <c r="E298" s="20" t="str">
        <f t="shared" si="22"/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23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309</v>
      </c>
      <c r="B299" s="26" t="s">
        <v>123</v>
      </c>
      <c r="C299" s="26" t="s">
        <v>105</v>
      </c>
      <c r="E299" s="20" t="str">
        <f t="shared" si="22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3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125</v>
      </c>
      <c r="E300" s="20" t="str">
        <f t="shared" si="22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3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2" spans="1:12" x14ac:dyDescent="0.3">
      <c r="A302" t="s">
        <v>310</v>
      </c>
    </row>
    <row r="303" spans="1:12" x14ac:dyDescent="0.3">
      <c r="A303" t="s">
        <v>311</v>
      </c>
      <c r="E303" s="20" t="str">
        <f t="shared" ref="E303:E334" si="24">IF(D303="?OLD","!!!","")</f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ref="H303:H334" ca="1" si="25">IF(J303&lt;&gt;1,"",IF(I303="SBJ","CB","?"))</f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128</v>
      </c>
      <c r="E304" s="20" t="str">
        <f t="shared" si="24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25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312</v>
      </c>
      <c r="B305" s="26" t="s">
        <v>104</v>
      </c>
      <c r="C305" s="26" t="s">
        <v>131</v>
      </c>
      <c r="D305" s="26" t="s">
        <v>110</v>
      </c>
      <c r="E305" s="20" t="str">
        <f t="shared" si="24"/>
        <v>!!!</v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25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313</v>
      </c>
      <c r="E306" s="20" t="str">
        <f t="shared" si="24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25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314</v>
      </c>
      <c r="B307" s="26" t="s">
        <v>108</v>
      </c>
      <c r="C307" s="26" t="s">
        <v>161</v>
      </c>
      <c r="D307" s="26" t="s">
        <v>110</v>
      </c>
      <c r="E307" s="20" t="str">
        <f t="shared" si="24"/>
        <v>!!!</v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25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144</v>
      </c>
      <c r="E308" s="20" t="str">
        <f t="shared" si="24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25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315</v>
      </c>
      <c r="B309" s="26" t="s">
        <v>104</v>
      </c>
      <c r="C309" s="26" t="s">
        <v>105</v>
      </c>
      <c r="E309" s="20" t="str">
        <f t="shared" si="24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25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316</v>
      </c>
      <c r="E310" s="20" t="str">
        <f t="shared" si="24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25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317</v>
      </c>
      <c r="E311" s="20" t="str">
        <f t="shared" si="24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25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224</v>
      </c>
      <c r="E312" s="20" t="str">
        <f t="shared" si="24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25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318</v>
      </c>
      <c r="B313" s="26" t="s">
        <v>119</v>
      </c>
      <c r="C313" s="26" t="s">
        <v>131</v>
      </c>
      <c r="D313" s="26" t="s">
        <v>110</v>
      </c>
      <c r="E313" s="20" t="str">
        <f t="shared" si="24"/>
        <v>!!!</v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25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319</v>
      </c>
      <c r="E314" s="20" t="str">
        <f t="shared" si="24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25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114</v>
      </c>
      <c r="E315" s="20" t="str">
        <f t="shared" si="24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25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138</v>
      </c>
      <c r="E316" s="20" t="str">
        <f t="shared" si="24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25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320</v>
      </c>
      <c r="E317" s="20" t="str">
        <f t="shared" si="24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25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144</v>
      </c>
      <c r="E318" s="20" t="str">
        <f t="shared" si="24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25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181</v>
      </c>
      <c r="E319" s="20" t="str">
        <f t="shared" si="24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25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321</v>
      </c>
      <c r="B320" s="26" t="s">
        <v>137</v>
      </c>
      <c r="C320" s="26" t="s">
        <v>131</v>
      </c>
      <c r="D320" s="26" t="s">
        <v>110</v>
      </c>
      <c r="E320" s="20" t="str">
        <f t="shared" si="24"/>
        <v>!!!</v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25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135</v>
      </c>
      <c r="E321" s="20" t="str">
        <f t="shared" si="24"/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25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322</v>
      </c>
      <c r="B322" s="26" t="s">
        <v>123</v>
      </c>
      <c r="C322" s="26" t="s">
        <v>260</v>
      </c>
      <c r="E322" s="20" t="str">
        <f t="shared" si="24"/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25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135</v>
      </c>
      <c r="E323" s="20" t="str">
        <f t="shared" si="24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25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114</v>
      </c>
      <c r="E324" s="20" t="str">
        <f t="shared" si="24"/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25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323</v>
      </c>
      <c r="E325" s="20" t="str">
        <f t="shared" si="24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25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324</v>
      </c>
      <c r="E326" s="20" t="str">
        <f t="shared" si="24"/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25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325</v>
      </c>
      <c r="B327" s="26" t="s">
        <v>326</v>
      </c>
      <c r="C327" s="26" t="s">
        <v>226</v>
      </c>
      <c r="D327" s="26" t="s">
        <v>110</v>
      </c>
      <c r="E327" s="20" t="str">
        <f t="shared" si="24"/>
        <v>!!!</v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25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11</v>
      </c>
      <c r="E328" s="20" t="str">
        <f t="shared" si="24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25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327</v>
      </c>
      <c r="E329" s="20" t="str">
        <f t="shared" si="24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25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316</v>
      </c>
      <c r="E330" s="20" t="str">
        <f t="shared" si="24"/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25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328</v>
      </c>
      <c r="E331" s="20" t="str">
        <f t="shared" si="24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25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329</v>
      </c>
      <c r="E332" s="20" t="str">
        <f t="shared" si="24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25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330</v>
      </c>
      <c r="B333" s="26" t="s">
        <v>331</v>
      </c>
      <c r="C333" s="26" t="s">
        <v>105</v>
      </c>
      <c r="E333" s="20" t="str">
        <f t="shared" si="24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25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125</v>
      </c>
      <c r="E334" s="20" t="str">
        <f t="shared" si="24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25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6" spans="1:12" x14ac:dyDescent="0.3">
      <c r="A336" t="s">
        <v>332</v>
      </c>
    </row>
    <row r="337" spans="1:12" x14ac:dyDescent="0.3">
      <c r="A337" t="s">
        <v>333</v>
      </c>
      <c r="E337" s="20" t="str">
        <f t="shared" ref="E337:E357" si="26">IF(D337="?OLD","!!!","")</f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ref="H337:H357" ca="1" si="27">IF(J337&lt;&gt;1,"",IF(I337="SBJ","CB","?"))</f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334</v>
      </c>
      <c r="E338" s="20" t="str">
        <f t="shared" si="26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27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314</v>
      </c>
      <c r="B339" s="26" t="s">
        <v>108</v>
      </c>
      <c r="C339" s="26" t="s">
        <v>161</v>
      </c>
      <c r="D339" s="26" t="s">
        <v>110</v>
      </c>
      <c r="E339" s="20" t="str">
        <f t="shared" si="26"/>
        <v>!!!</v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27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335</v>
      </c>
      <c r="E340" s="20" t="str">
        <f t="shared" si="26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27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224</v>
      </c>
      <c r="E341" s="20" t="str">
        <f t="shared" si="26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27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336</v>
      </c>
      <c r="B342" s="26" t="s">
        <v>104</v>
      </c>
      <c r="C342" s="26" t="s">
        <v>131</v>
      </c>
      <c r="D342" s="26" t="s">
        <v>110</v>
      </c>
      <c r="E342" s="20" t="str">
        <f t="shared" si="26"/>
        <v>!!!</v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27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114</v>
      </c>
      <c r="E343" s="20" t="str">
        <f t="shared" si="26"/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27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337</v>
      </c>
      <c r="E344" s="20" t="str">
        <f t="shared" si="26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27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255</v>
      </c>
      <c r="E345" s="20" t="str">
        <f t="shared" si="26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27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222</v>
      </c>
      <c r="B346" s="26" t="s">
        <v>123</v>
      </c>
      <c r="C346" s="26" t="s">
        <v>109</v>
      </c>
      <c r="D346" s="26" t="s">
        <v>110</v>
      </c>
      <c r="E346" s="20" t="str">
        <f t="shared" si="26"/>
        <v>!!!</v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27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338</v>
      </c>
      <c r="B347" s="26" t="s">
        <v>137</v>
      </c>
      <c r="C347" s="26" t="s">
        <v>165</v>
      </c>
      <c r="E347" s="20" t="str">
        <f t="shared" si="26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27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269</v>
      </c>
      <c r="E348" s="20" t="str">
        <f t="shared" si="26"/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27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339</v>
      </c>
      <c r="B349" s="26" t="s">
        <v>137</v>
      </c>
      <c r="C349" s="26" t="s">
        <v>105</v>
      </c>
      <c r="E349" s="20" t="str">
        <f t="shared" si="26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27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114</v>
      </c>
      <c r="E350" s="20" t="str">
        <f t="shared" si="26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27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340</v>
      </c>
      <c r="B351" s="26" t="s">
        <v>123</v>
      </c>
      <c r="C351" s="26" t="s">
        <v>105</v>
      </c>
      <c r="E351" s="20" t="str">
        <f t="shared" si="26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27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138</v>
      </c>
      <c r="E352" s="20" t="str">
        <f t="shared" si="26"/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27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341</v>
      </c>
      <c r="B353" s="26" t="s">
        <v>123</v>
      </c>
      <c r="C353" s="26" t="s">
        <v>105</v>
      </c>
      <c r="E353" s="20" t="str">
        <f t="shared" si="26"/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27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201</v>
      </c>
      <c r="E354" s="20" t="str">
        <f t="shared" si="26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27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342</v>
      </c>
      <c r="E355" s="20" t="str">
        <f t="shared" si="26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27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343</v>
      </c>
      <c r="B356" s="26" t="s">
        <v>137</v>
      </c>
      <c r="C356" s="26" t="s">
        <v>165</v>
      </c>
      <c r="E356" s="20" t="str">
        <f t="shared" si="26"/>
        <v/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27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125</v>
      </c>
      <c r="E357" s="20" t="str">
        <f t="shared" si="26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27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9" spans="1:12" x14ac:dyDescent="0.3">
      <c r="A359" t="s">
        <v>344</v>
      </c>
    </row>
    <row r="360" spans="1:12" x14ac:dyDescent="0.3">
      <c r="A360" t="s">
        <v>345</v>
      </c>
      <c r="B360" s="26" t="s">
        <v>137</v>
      </c>
      <c r="C360" s="26" t="s">
        <v>260</v>
      </c>
      <c r="E360" s="20" t="str">
        <f t="shared" ref="E360:E386" si="28">IF(D360="?OLD","!!!","")</f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ref="H360:H386" ca="1" si="29">IF(J360&lt;&gt;1,"",IF(I360="SBJ","CB","?"))</f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346</v>
      </c>
      <c r="B361" s="26" t="s">
        <v>108</v>
      </c>
      <c r="C361" s="26" t="s">
        <v>177</v>
      </c>
      <c r="E361" s="20" t="str">
        <f t="shared" si="28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29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347</v>
      </c>
      <c r="E362" s="20" t="str">
        <f t="shared" si="28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29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348</v>
      </c>
      <c r="B363" s="26" t="s">
        <v>112</v>
      </c>
      <c r="E363" s="20" t="str">
        <f t="shared" si="28"/>
        <v/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ca="1" si="29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4" spans="1:12" x14ac:dyDescent="0.3">
      <c r="A364" t="s">
        <v>349</v>
      </c>
      <c r="B364" s="26" t="s">
        <v>137</v>
      </c>
      <c r="C364" s="26" t="s">
        <v>230</v>
      </c>
      <c r="D364" s="26" t="s">
        <v>110</v>
      </c>
      <c r="E364" s="20" t="str">
        <f t="shared" si="28"/>
        <v>!!!</v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29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155</v>
      </c>
      <c r="B365" s="26" t="s">
        <v>112</v>
      </c>
      <c r="C365" s="26" t="s">
        <v>277</v>
      </c>
      <c r="D365" s="26" t="s">
        <v>110</v>
      </c>
      <c r="E365" s="20" t="str">
        <f t="shared" si="28"/>
        <v>!!!</v>
      </c>
      <c r="F365" s="21" t="str">
        <f>IF(OR(E365="",E365="!!!"),"",IF(NOT(ISNA(VLOOKUP(E365,E$1:E364,1,FALSE()))),"OLD",IF(AND(E365&lt;&gt;"",E365&lt;&gt;"!!!"),"NEW","")))</f>
        <v/>
      </c>
      <c r="G365" s="22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3" t="str">
        <f t="shared" ca="1" si="29"/>
        <v/>
      </c>
      <c r="I365" s="24" t="str">
        <f>IF(OR(E365="",E365="!!!",F365="NEW"),"",INDEX(B$2:B364,-1+SUMPRODUCT(MAX(ROW(E$2:E364)*(E365=E$2:E364)))))</f>
        <v/>
      </c>
      <c r="J365" s="24" t="str">
        <f ca="1">IF(OR(E365="",E365="!!!",F365="NEW"),"",COUNTBLANK(OFFSET(A$1,,,SUMPRODUCT(MAX(ROW(E$2:E365)*(E365=E$2:E365)))))-COUNTBLANK(OFFSET(A$1,,,SUMPRODUCT(MAX(ROW(E$1:E364)*(E2=E$1:E364))))))</f>
        <v/>
      </c>
      <c r="K365" s="24" t="str">
        <f>IF(OR(E365="",E365="!!!",F365="NEW"),"",INDEX(J$1:J364,SUMPRODUCT(MAX(ROW(E$1:E364)*(E365=E$1:E364)))))</f>
        <v/>
      </c>
      <c r="L365" s="25"/>
    </row>
    <row r="366" spans="1:12" x14ac:dyDescent="0.3">
      <c r="A366" t="s">
        <v>350</v>
      </c>
      <c r="E366" s="20" t="str">
        <f t="shared" si="28"/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29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114</v>
      </c>
      <c r="E367" s="20" t="str">
        <f t="shared" si="28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29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351</v>
      </c>
      <c r="E368" s="20" t="str">
        <f t="shared" si="28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29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144</v>
      </c>
      <c r="E369" s="20" t="str">
        <f t="shared" si="28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29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352</v>
      </c>
      <c r="B370" s="26" t="s">
        <v>137</v>
      </c>
      <c r="C370" s="26" t="s">
        <v>226</v>
      </c>
      <c r="D370" s="26" t="s">
        <v>110</v>
      </c>
      <c r="E370" s="20" t="str">
        <f t="shared" si="28"/>
        <v>!!!</v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29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114</v>
      </c>
      <c r="E371" s="20" t="str">
        <f t="shared" si="28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29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353</v>
      </c>
      <c r="E372" s="20" t="str">
        <f t="shared" si="28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29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207</v>
      </c>
      <c r="B373" s="26" t="s">
        <v>104</v>
      </c>
      <c r="C373" s="26" t="s">
        <v>105</v>
      </c>
      <c r="E373" s="20" t="str">
        <f t="shared" si="28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29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138</v>
      </c>
      <c r="E374" s="20" t="str">
        <f t="shared" si="28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29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354</v>
      </c>
      <c r="B375" s="26" t="s">
        <v>137</v>
      </c>
      <c r="C375" s="26" t="s">
        <v>226</v>
      </c>
      <c r="D375" s="26" t="s">
        <v>110</v>
      </c>
      <c r="E375" s="20" t="str">
        <f t="shared" si="28"/>
        <v>!!!</v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29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11</v>
      </c>
      <c r="E376" s="20" t="str">
        <f t="shared" si="28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29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355</v>
      </c>
      <c r="E377" s="20" t="str">
        <f t="shared" si="28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29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140</v>
      </c>
      <c r="E378" s="20" t="str">
        <f t="shared" si="28"/>
        <v/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29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128</v>
      </c>
      <c r="E379" s="20" t="str">
        <f t="shared" si="28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29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356</v>
      </c>
      <c r="B380" s="26" t="s">
        <v>137</v>
      </c>
      <c r="C380" s="26" t="s">
        <v>131</v>
      </c>
      <c r="D380" s="26" t="s">
        <v>110</v>
      </c>
      <c r="E380" s="20" t="str">
        <f t="shared" si="28"/>
        <v>!!!</v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29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357</v>
      </c>
      <c r="E381" s="20" t="str">
        <f t="shared" si="28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29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358</v>
      </c>
      <c r="E382" s="20" t="str">
        <f t="shared" si="28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29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359</v>
      </c>
      <c r="B383" s="26" t="s">
        <v>123</v>
      </c>
      <c r="C383" s="26" t="s">
        <v>120</v>
      </c>
      <c r="E383" s="20" t="str">
        <f t="shared" si="28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29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121</v>
      </c>
      <c r="E384" s="20" t="str">
        <f t="shared" si="28"/>
        <v/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29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191</v>
      </c>
      <c r="B385" s="26" t="s">
        <v>331</v>
      </c>
      <c r="C385" s="26" t="s">
        <v>105</v>
      </c>
      <c r="E385" s="20" t="str">
        <f t="shared" si="28"/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ca="1" si="29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125</v>
      </c>
      <c r="E386" s="20" t="str">
        <f t="shared" si="28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29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8" spans="1:12" x14ac:dyDescent="0.3">
      <c r="A388" t="s">
        <v>360</v>
      </c>
    </row>
    <row r="389" spans="1:12" x14ac:dyDescent="0.3">
      <c r="A389" t="s">
        <v>361</v>
      </c>
      <c r="B389" s="26" t="s">
        <v>108</v>
      </c>
      <c r="C389" s="26" t="s">
        <v>260</v>
      </c>
      <c r="E389" s="20" t="str">
        <f t="shared" ref="E389:E423" si="30">IF(D389="?OLD","!!!","")</f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ref="H389:H423" ca="1" si="31">IF(J389&lt;&gt;1,"",IF(I389="SBJ","CB","?"))</f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362</v>
      </c>
      <c r="E390" s="20" t="str">
        <f t="shared" si="30"/>
        <v/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31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121</v>
      </c>
      <c r="E391" s="20" t="str">
        <f t="shared" si="30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31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181</v>
      </c>
      <c r="E392" s="20" t="str">
        <f t="shared" si="30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31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363</v>
      </c>
      <c r="B393" s="26" t="s">
        <v>104</v>
      </c>
      <c r="C393" s="26" t="s">
        <v>131</v>
      </c>
      <c r="D393" s="26" t="s">
        <v>110</v>
      </c>
      <c r="E393" s="20" t="str">
        <f t="shared" si="30"/>
        <v>!!!</v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31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181</v>
      </c>
      <c r="E394" s="20" t="str">
        <f t="shared" si="30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31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364</v>
      </c>
      <c r="B395" s="26" t="s">
        <v>137</v>
      </c>
      <c r="C395" s="26" t="s">
        <v>131</v>
      </c>
      <c r="D395" s="26" t="s">
        <v>110</v>
      </c>
      <c r="E395" s="20" t="str">
        <f t="shared" si="30"/>
        <v>!!!</v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31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196</v>
      </c>
      <c r="E396" s="20" t="str">
        <f t="shared" si="30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31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314</v>
      </c>
      <c r="B397" s="26" t="s">
        <v>116</v>
      </c>
      <c r="C397" s="26" t="s">
        <v>161</v>
      </c>
      <c r="D397" s="26" t="s">
        <v>110</v>
      </c>
      <c r="E397" s="20" t="str">
        <f t="shared" si="30"/>
        <v>!!!</v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31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365</v>
      </c>
      <c r="E398" s="20" t="str">
        <f t="shared" si="30"/>
        <v/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31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314</v>
      </c>
      <c r="B399" s="26" t="s">
        <v>116</v>
      </c>
      <c r="C399" s="26" t="s">
        <v>161</v>
      </c>
      <c r="D399" s="26" t="s">
        <v>110</v>
      </c>
      <c r="E399" s="20" t="str">
        <f t="shared" si="30"/>
        <v>!!!</v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31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366</v>
      </c>
      <c r="E400" s="20" t="str">
        <f t="shared" si="30"/>
        <v/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31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114</v>
      </c>
      <c r="E401" s="20" t="str">
        <f t="shared" si="30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31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179</v>
      </c>
      <c r="E402" s="20" t="str">
        <f t="shared" si="30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31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367</v>
      </c>
      <c r="B403" s="26" t="s">
        <v>119</v>
      </c>
      <c r="C403" s="26" t="s">
        <v>131</v>
      </c>
      <c r="D403" s="26" t="s">
        <v>110</v>
      </c>
      <c r="E403" s="20" t="str">
        <f t="shared" si="30"/>
        <v>!!!</v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31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152</v>
      </c>
      <c r="B404" s="26" t="s">
        <v>331</v>
      </c>
      <c r="C404" s="26" t="s">
        <v>260</v>
      </c>
      <c r="E404" s="20" t="str">
        <f t="shared" si="30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31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128</v>
      </c>
      <c r="E405" s="20" t="str">
        <f t="shared" si="30"/>
        <v/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31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368</v>
      </c>
      <c r="E406" s="20" t="str">
        <f t="shared" si="30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31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369</v>
      </c>
      <c r="B407" s="26" t="s">
        <v>123</v>
      </c>
      <c r="C407" s="26" t="s">
        <v>131</v>
      </c>
      <c r="D407" s="26" t="s">
        <v>110</v>
      </c>
      <c r="E407" s="20" t="str">
        <f t="shared" si="30"/>
        <v>!!!</v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31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279</v>
      </c>
      <c r="E408" s="20" t="str">
        <f t="shared" si="30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31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370</v>
      </c>
      <c r="B409" s="26" t="s">
        <v>271</v>
      </c>
      <c r="C409" s="26" t="s">
        <v>105</v>
      </c>
      <c r="E409" s="20" t="str">
        <f t="shared" si="30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31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269</v>
      </c>
      <c r="E410" s="20" t="str">
        <f t="shared" si="30"/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ca="1" si="31"/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371</v>
      </c>
      <c r="B411" s="26" t="s">
        <v>372</v>
      </c>
      <c r="C411" s="26" t="s">
        <v>226</v>
      </c>
      <c r="D411" s="26" t="s">
        <v>110</v>
      </c>
      <c r="E411" s="20" t="str">
        <f t="shared" si="30"/>
        <v>!!!</v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31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114</v>
      </c>
      <c r="E412" s="20" t="str">
        <f t="shared" si="30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31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373</v>
      </c>
      <c r="E413" s="20" t="str">
        <f t="shared" si="30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31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374</v>
      </c>
      <c r="B414" s="26" t="s">
        <v>331</v>
      </c>
      <c r="C414" s="26" t="s">
        <v>105</v>
      </c>
      <c r="E414" s="20" t="str">
        <f t="shared" si="30"/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ca="1" si="31"/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144</v>
      </c>
      <c r="E415" s="20" t="str">
        <f t="shared" si="30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31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181</v>
      </c>
      <c r="E416" s="20" t="str">
        <f t="shared" si="30"/>
        <v/>
      </c>
      <c r="F416" s="21" t="str">
        <f>IF(OR(E416="",E416="!!!"),"",IF(NOT(ISNA(VLOOKUP(E416,E$1:E415,1,FALSE()))),"OLD",IF(AND(E416&lt;&gt;"",E416&lt;&gt;"!!!"),"NEW","")))</f>
        <v/>
      </c>
      <c r="G416" s="22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t="shared" ca="1" si="31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375</v>
      </c>
      <c r="B417" s="26" t="s">
        <v>271</v>
      </c>
      <c r="C417" s="26" t="s">
        <v>131</v>
      </c>
      <c r="D417" s="26" t="s">
        <v>110</v>
      </c>
      <c r="E417" s="20" t="str">
        <f t="shared" si="30"/>
        <v>!!!</v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31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113</v>
      </c>
      <c r="E418" s="20" t="str">
        <f t="shared" si="30"/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31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376</v>
      </c>
      <c r="B419" s="26" t="s">
        <v>372</v>
      </c>
      <c r="C419" s="26" t="s">
        <v>105</v>
      </c>
      <c r="E419" s="20" t="str">
        <f t="shared" si="30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31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138</v>
      </c>
      <c r="E420" s="20" t="str">
        <f t="shared" si="30"/>
        <v/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31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377</v>
      </c>
      <c r="E421" s="20" t="str">
        <f t="shared" si="30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31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378</v>
      </c>
      <c r="B422" s="26" t="s">
        <v>379</v>
      </c>
      <c r="C422" s="26" t="s">
        <v>105</v>
      </c>
      <c r="E422" s="20" t="str">
        <f t="shared" si="30"/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31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125</v>
      </c>
      <c r="E423" s="20" t="str">
        <f t="shared" si="30"/>
        <v/>
      </c>
      <c r="F423" s="21" t="str">
        <f>IF(OR(E423="",E423="!!!"),"",IF(NOT(ISNA(VLOOKUP(E423,E$1:E422,1,FALSE()))),"OLD",IF(AND(E423&lt;&gt;"",E423&lt;&gt;"!!!"),"NEW","")))</f>
        <v/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31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5" spans="1:12" x14ac:dyDescent="0.3">
      <c r="A425" t="s">
        <v>380</v>
      </c>
    </row>
    <row r="426" spans="1:12" x14ac:dyDescent="0.3">
      <c r="A426" t="s">
        <v>381</v>
      </c>
      <c r="B426" s="26" t="s">
        <v>108</v>
      </c>
      <c r="C426" s="26" t="s">
        <v>161</v>
      </c>
      <c r="D426" s="26" t="s">
        <v>110</v>
      </c>
      <c r="E426" s="20" t="str">
        <f t="shared" ref="E426:E447" si="32">IF(D426="?OLD","!!!","")</f>
        <v>!!!</v>
      </c>
      <c r="F426" s="21" t="str">
        <f>IF(OR(E426="",E426="!!!"),"",IF(NOT(ISNA(VLOOKUP(E426,E$1:E425,1,FALSE()))),"OLD",IF(AND(E426&lt;&gt;"",E426&lt;&gt;"!!!"),"NEW","")))</f>
        <v/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ref="H426:H447" ca="1" si="33">IF(J426&lt;&gt;1,"",IF(I426="SBJ","CB","?"))</f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213</v>
      </c>
      <c r="B427" s="26" t="s">
        <v>116</v>
      </c>
      <c r="C427" s="26" t="s">
        <v>260</v>
      </c>
      <c r="E427" s="20" t="str">
        <f t="shared" si="32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33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192</v>
      </c>
      <c r="E428" s="20" t="str">
        <f t="shared" si="32"/>
        <v/>
      </c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33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382</v>
      </c>
      <c r="B429" s="26" t="s">
        <v>104</v>
      </c>
      <c r="C429" s="26" t="s">
        <v>105</v>
      </c>
      <c r="E429" s="20" t="str">
        <f t="shared" si="32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33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121</v>
      </c>
      <c r="E430" s="20" t="str">
        <f t="shared" si="32"/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33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383</v>
      </c>
      <c r="B431" s="26" t="s">
        <v>137</v>
      </c>
      <c r="C431" s="26" t="s">
        <v>105</v>
      </c>
      <c r="E431" s="20" t="str">
        <f t="shared" si="32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33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138</v>
      </c>
      <c r="E432" s="20" t="str">
        <f t="shared" si="32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33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384</v>
      </c>
      <c r="E433" s="20" t="str">
        <f t="shared" si="32"/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t="shared" ca="1" si="33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385</v>
      </c>
      <c r="B434" s="26" t="s">
        <v>123</v>
      </c>
      <c r="C434" s="26" t="s">
        <v>105</v>
      </c>
      <c r="E434" s="20" t="str">
        <f t="shared" si="32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33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386</v>
      </c>
      <c r="E435" s="20" t="str">
        <f t="shared" si="32"/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33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114</v>
      </c>
      <c r="E436" s="20" t="str">
        <f t="shared" si="32"/>
        <v/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33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387</v>
      </c>
      <c r="E437" s="20" t="str">
        <f t="shared" si="32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33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179</v>
      </c>
      <c r="E438" s="20" t="str">
        <f t="shared" si="32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33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388</v>
      </c>
      <c r="B439" s="26" t="s">
        <v>116</v>
      </c>
      <c r="C439" s="26" t="s">
        <v>131</v>
      </c>
      <c r="D439" s="26" t="s">
        <v>110</v>
      </c>
      <c r="E439" s="20" t="str">
        <f t="shared" si="32"/>
        <v>!!!</v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33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205</v>
      </c>
      <c r="E440" s="20" t="str">
        <f t="shared" si="32"/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33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292</v>
      </c>
      <c r="E441" s="20" t="str">
        <f t="shared" si="32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33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389</v>
      </c>
      <c r="B442" s="26" t="s">
        <v>137</v>
      </c>
      <c r="C442" s="26" t="s">
        <v>131</v>
      </c>
      <c r="D442" s="26" t="s">
        <v>110</v>
      </c>
      <c r="E442" s="20" t="str">
        <f t="shared" si="32"/>
        <v>!!!</v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33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181</v>
      </c>
      <c r="E443" s="20" t="str">
        <f t="shared" si="32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33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390</v>
      </c>
      <c r="B444" s="26" t="s">
        <v>123</v>
      </c>
      <c r="C444" s="26" t="s">
        <v>131</v>
      </c>
      <c r="D444" s="26" t="s">
        <v>110</v>
      </c>
      <c r="E444" s="20" t="str">
        <f t="shared" si="32"/>
        <v>!!!</v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33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138</v>
      </c>
      <c r="E445" s="20" t="str">
        <f t="shared" si="32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33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391</v>
      </c>
      <c r="B446" s="26" t="s">
        <v>331</v>
      </c>
      <c r="C446" s="26" t="s">
        <v>105</v>
      </c>
      <c r="E446" s="20" t="str">
        <f t="shared" si="32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33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125</v>
      </c>
      <c r="E447" s="20" t="str">
        <f t="shared" si="32"/>
        <v/>
      </c>
      <c r="F447" s="21" t="str">
        <f>IF(OR(E447="",E447="!!!"),"",IF(NOT(ISNA(VLOOKUP(E447,E$1:E446,1,FALSE()))),"OLD",IF(AND(E447&lt;&gt;"",E447&lt;&gt;"!!!"),"NEW","")))</f>
        <v/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33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9" spans="1:12" x14ac:dyDescent="0.3">
      <c r="A449" t="s">
        <v>249</v>
      </c>
      <c r="E449" s="20" t="str">
        <f>IF(D449="?OLD","!!!","")</f>
        <v/>
      </c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ca="1">IF(J449&lt;&gt;1,"",IF(I449="SBJ","CB","?"))</f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392</v>
      </c>
    </row>
    <row r="451" spans="1:12" x14ac:dyDescent="0.3">
      <c r="A451" t="s">
        <v>393</v>
      </c>
      <c r="E451" s="20" t="str">
        <f t="shared" ref="E451:E480" si="34">IF(D451="?OLD","!!!","")</f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ref="H451:H480" ca="1" si="35">IF(J451&lt;&gt;1,"",IF(I451="SBJ","CB","?"))</f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394</v>
      </c>
      <c r="E452" s="20" t="str">
        <f t="shared" si="34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35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314</v>
      </c>
      <c r="B453" s="26" t="s">
        <v>108</v>
      </c>
      <c r="C453" s="26" t="s">
        <v>161</v>
      </c>
      <c r="D453" s="26" t="s">
        <v>110</v>
      </c>
      <c r="E453" s="20" t="str">
        <f t="shared" si="34"/>
        <v>!!!</v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35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121</v>
      </c>
      <c r="E454" s="20" t="str">
        <f t="shared" si="34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35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128</v>
      </c>
      <c r="E455" s="20" t="str">
        <f t="shared" si="34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35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395</v>
      </c>
      <c r="B456" s="26" t="s">
        <v>104</v>
      </c>
      <c r="C456" s="26" t="s">
        <v>131</v>
      </c>
      <c r="D456" s="26" t="s">
        <v>110</v>
      </c>
      <c r="E456" s="20" t="str">
        <f t="shared" si="34"/>
        <v>!!!</v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35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396</v>
      </c>
      <c r="E457" s="20" t="str">
        <f t="shared" si="34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35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11</v>
      </c>
      <c r="E458" s="20" t="str">
        <f t="shared" si="34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35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269</v>
      </c>
      <c r="E459" s="20" t="str">
        <f t="shared" si="34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35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397</v>
      </c>
      <c r="E460" s="20" t="str">
        <f t="shared" si="34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35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398</v>
      </c>
      <c r="B461" s="26" t="s">
        <v>331</v>
      </c>
      <c r="C461" s="26" t="s">
        <v>165</v>
      </c>
      <c r="E461" s="20" t="str">
        <f t="shared" si="34"/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35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11</v>
      </c>
      <c r="E462" s="20" t="str">
        <f t="shared" si="34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35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399</v>
      </c>
      <c r="E463" s="20" t="str">
        <f t="shared" si="34"/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ca="1" si="35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400</v>
      </c>
      <c r="B464" s="26" t="s">
        <v>137</v>
      </c>
      <c r="C464" s="26" t="s">
        <v>177</v>
      </c>
      <c r="E464" s="20" t="str">
        <f t="shared" si="34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35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114</v>
      </c>
      <c r="E465" s="20" t="str">
        <f t="shared" si="34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35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192</v>
      </c>
      <c r="E466" s="20" t="str">
        <f t="shared" si="34"/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35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348</v>
      </c>
      <c r="E467" s="20" t="str">
        <f t="shared" si="34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35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135</v>
      </c>
      <c r="E468" s="20" t="str">
        <f t="shared" si="34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35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396</v>
      </c>
      <c r="E469" s="20" t="str">
        <f t="shared" si="34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35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401</v>
      </c>
      <c r="E470" s="20" t="str">
        <f t="shared" si="34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35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367</v>
      </c>
      <c r="B471" s="26" t="s">
        <v>137</v>
      </c>
      <c r="C471" s="26" t="s">
        <v>120</v>
      </c>
      <c r="E471" s="20" t="str">
        <f t="shared" si="34"/>
        <v/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35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144</v>
      </c>
      <c r="E472" s="20" t="str">
        <f t="shared" si="34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35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224</v>
      </c>
      <c r="E473" s="20" t="str">
        <f t="shared" si="34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35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402</v>
      </c>
      <c r="E474" s="20" t="str">
        <f t="shared" si="34"/>
        <v/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t="shared" ca="1" si="35"/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252</v>
      </c>
      <c r="E475" s="20" t="str">
        <f t="shared" si="34"/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t="shared" ca="1" si="35"/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403</v>
      </c>
      <c r="E476" s="20" t="str">
        <f t="shared" si="34"/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ca="1" si="35"/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404</v>
      </c>
      <c r="B477" s="26" t="s">
        <v>137</v>
      </c>
      <c r="C477" s="26" t="s">
        <v>226</v>
      </c>
      <c r="D477" s="26" t="s">
        <v>110</v>
      </c>
      <c r="E477" s="20" t="str">
        <f t="shared" si="34"/>
        <v>!!!</v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35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8" spans="1:12" x14ac:dyDescent="0.3">
      <c r="A478" t="s">
        <v>252</v>
      </c>
      <c r="E478" s="20" t="str">
        <f t="shared" si="34"/>
        <v/>
      </c>
      <c r="F478" s="21" t="str">
        <f>IF(OR(E478="",E478="!!!"),"",IF(NOT(ISNA(VLOOKUP(E478,E$1:E477,1,FALSE()))),"OLD",IF(AND(E478&lt;&gt;"",E478&lt;&gt;"!!!"),"NEW","")))</f>
        <v/>
      </c>
      <c r="G478" s="22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3" t="str">
        <f t="shared" ca="1" si="35"/>
        <v/>
      </c>
      <c r="I478" s="24" t="str">
        <f>IF(OR(E478="",E478="!!!",F478="NEW"),"",INDEX(B$2:B477,-1+SUMPRODUCT(MAX(ROW(E$2:E477)*(E478=E$2:E477)))))</f>
        <v/>
      </c>
      <c r="J478" s="24" t="str">
        <f ca="1">IF(OR(E478="",E478="!!!",F478="NEW"),"",COUNTBLANK(OFFSET(A$1,,,SUMPRODUCT(MAX(ROW(E$2:E478)*(E478=E$2:E478)))))-COUNTBLANK(OFFSET(A$1,,,SUMPRODUCT(MAX(ROW(E$1:E477)*(E2=E$1:E477))))))</f>
        <v/>
      </c>
      <c r="K478" s="24" t="str">
        <f>IF(OR(E478="",E478="!!!",F478="NEW"),"",INDEX(J$1:J477,SUMPRODUCT(MAX(ROW(E$1:E477)*(E478=E$1:E477)))))</f>
        <v/>
      </c>
      <c r="L478" s="25"/>
    </row>
    <row r="479" spans="1:12" x14ac:dyDescent="0.3">
      <c r="A479" t="s">
        <v>405</v>
      </c>
      <c r="E479" s="20" t="str">
        <f t="shared" si="34"/>
        <v/>
      </c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ca="1" si="35"/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125</v>
      </c>
      <c r="E480" s="20" t="str">
        <f t="shared" si="34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35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2" spans="1:12" x14ac:dyDescent="0.3">
      <c r="A482" t="s">
        <v>406</v>
      </c>
    </row>
    <row r="483" spans="1:12" x14ac:dyDescent="0.3">
      <c r="A483" t="s">
        <v>280</v>
      </c>
      <c r="B483" s="26" t="s">
        <v>108</v>
      </c>
      <c r="C483" s="26" t="s">
        <v>109</v>
      </c>
      <c r="D483" s="26" t="s">
        <v>110</v>
      </c>
      <c r="E483" s="20" t="str">
        <f t="shared" ref="E483:E515" si="36">IF(D483="?OLD","!!!","")</f>
        <v>!!!</v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ref="H483:H515" ca="1" si="37">IF(J483&lt;&gt;1,"",IF(I483="SBJ","CB","?"))</f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407</v>
      </c>
      <c r="E484" s="20" t="str">
        <f t="shared" si="36"/>
        <v/>
      </c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37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5" spans="1:12" x14ac:dyDescent="0.3">
      <c r="A485" t="s">
        <v>179</v>
      </c>
      <c r="E485" s="20" t="str">
        <f t="shared" si="36"/>
        <v/>
      </c>
      <c r="F485" s="21" t="str">
        <f>IF(OR(E485="",E485="!!!"),"",IF(NOT(ISNA(VLOOKUP(E485,E$1:E484,1,FALSE()))),"OLD",IF(AND(E485&lt;&gt;"",E485&lt;&gt;"!!!"),"NEW","")))</f>
        <v/>
      </c>
      <c r="G485" s="22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t="shared" ca="1" si="37"/>
        <v/>
      </c>
      <c r="I485" s="24" t="str">
        <f>IF(OR(E485="",E485="!!!",F485="NEW"),"",INDEX(B$2:B484,-1+SUMPRODUCT(MAX(ROW(E$2:E484)*(E485=E$2:E484)))))</f>
        <v/>
      </c>
      <c r="J485" s="24" t="str">
        <f ca="1">IF(OR(E485="",E485="!!!",F485="NEW"),"",COUNTBLANK(OFFSET(A$1,,,SUMPRODUCT(MAX(ROW(E$2:E485)*(E485=E$2:E485)))))-COUNTBLANK(OFFSET(A$1,,,SUMPRODUCT(MAX(ROW(E$1:E484)*(E2=E$1:E484))))))</f>
        <v/>
      </c>
      <c r="K485" s="24" t="str">
        <f>IF(OR(E485="",E485="!!!",F485="NEW"),"",INDEX(J$1:J484,SUMPRODUCT(MAX(ROW(E$1:E484)*(E485=E$1:E484)))))</f>
        <v/>
      </c>
      <c r="L485" s="25"/>
    </row>
    <row r="486" spans="1:12" x14ac:dyDescent="0.3">
      <c r="A486" t="s">
        <v>408</v>
      </c>
      <c r="B486" s="26" t="s">
        <v>112</v>
      </c>
      <c r="C486" s="26" t="s">
        <v>131</v>
      </c>
      <c r="D486" s="26" t="s">
        <v>110</v>
      </c>
      <c r="E486" s="20" t="str">
        <f t="shared" si="36"/>
        <v>!!!</v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37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269</v>
      </c>
      <c r="E487" s="20" t="str">
        <f t="shared" si="36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37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114</v>
      </c>
      <c r="E488" s="20" t="str">
        <f t="shared" si="36"/>
        <v/>
      </c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37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5"/>
    </row>
    <row r="489" spans="1:12" x14ac:dyDescent="0.3">
      <c r="A489" t="s">
        <v>115</v>
      </c>
      <c r="E489" s="20" t="str">
        <f t="shared" si="36"/>
        <v/>
      </c>
      <c r="F489" s="21" t="str">
        <f>IF(OR(E489="",E489="!!!"),"",IF(NOT(ISNA(VLOOKUP(E489,E$1:E488,1,FALSE()))),"OLD",IF(AND(E489&lt;&gt;"",E489&lt;&gt;"!!!"),"NEW","")))</f>
        <v/>
      </c>
      <c r="G489" s="22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3" t="str">
        <f t="shared" ca="1" si="37"/>
        <v/>
      </c>
      <c r="I489" s="24" t="str">
        <f>IF(OR(E489="",E489="!!!",F489="NEW"),"",INDEX(B$2:B488,-1+SUMPRODUCT(MAX(ROW(E$2:E488)*(E489=E$2:E488)))))</f>
        <v/>
      </c>
      <c r="J489" s="24" t="str">
        <f ca="1">IF(OR(E489="",E489="!!!",F489="NEW"),"",COUNTBLANK(OFFSET(A$1,,,SUMPRODUCT(MAX(ROW(E$2:E489)*(E489=E$2:E489)))))-COUNTBLANK(OFFSET(A$1,,,SUMPRODUCT(MAX(ROW(E$1:E488)*(E2=E$1:E488))))))</f>
        <v/>
      </c>
      <c r="K489" s="24" t="str">
        <f>IF(OR(E489="",E489="!!!",F489="NEW"),"",INDEX(J$1:J488,SUMPRODUCT(MAX(ROW(E$1:E488)*(E489=E$1:E488)))))</f>
        <v/>
      </c>
      <c r="L489" s="25"/>
    </row>
    <row r="490" spans="1:12" x14ac:dyDescent="0.3">
      <c r="A490" t="s">
        <v>140</v>
      </c>
      <c r="E490" s="20" t="str">
        <f t="shared" si="36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37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224</v>
      </c>
      <c r="E491" s="20" t="str">
        <f t="shared" si="36"/>
        <v/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37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225</v>
      </c>
      <c r="B492" s="26" t="s">
        <v>137</v>
      </c>
      <c r="C492" s="26" t="s">
        <v>226</v>
      </c>
      <c r="D492" s="26" t="s">
        <v>110</v>
      </c>
      <c r="E492" s="20" t="str">
        <f t="shared" si="36"/>
        <v>!!!</v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37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3" spans="1:12" x14ac:dyDescent="0.3">
      <c r="A493" t="s">
        <v>409</v>
      </c>
      <c r="E493" s="20" t="str">
        <f t="shared" si="36"/>
        <v/>
      </c>
      <c r="F493" s="21" t="str">
        <f>IF(OR(E493="",E493="!!!"),"",IF(NOT(ISNA(VLOOKUP(E493,E$1:E492,1,FALSE()))),"OLD",IF(AND(E493&lt;&gt;"",E493&lt;&gt;"!!!"),"NEW","")))</f>
        <v/>
      </c>
      <c r="G493" s="22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t="shared" ca="1" si="37"/>
        <v/>
      </c>
      <c r="I493" s="24" t="str">
        <f>IF(OR(E493="",E493="!!!",F493="NEW"),"",INDEX(B$2:B492,-1+SUMPRODUCT(MAX(ROW(E$2:E492)*(E493=E$2:E492)))))</f>
        <v/>
      </c>
      <c r="J493" s="24" t="str">
        <f ca="1">IF(OR(E493="",E493="!!!",F493="NEW"),"",COUNTBLANK(OFFSET(A$1,,,SUMPRODUCT(MAX(ROW(E$2:E493)*(E493=E$2:E493)))))-COUNTBLANK(OFFSET(A$1,,,SUMPRODUCT(MAX(ROW(E$1:E492)*(E2=E$1:E492))))))</f>
        <v/>
      </c>
      <c r="K493" s="24" t="str">
        <f>IF(OR(E493="",E493="!!!",F493="NEW"),"",INDEX(J$1:J492,SUMPRODUCT(MAX(ROW(E$1:E492)*(E493=E$1:E492)))))</f>
        <v/>
      </c>
      <c r="L493" s="25"/>
    </row>
    <row r="494" spans="1:12" x14ac:dyDescent="0.3">
      <c r="A494" t="s">
        <v>152</v>
      </c>
      <c r="B494" s="26" t="s">
        <v>123</v>
      </c>
      <c r="C494" s="26" t="s">
        <v>260</v>
      </c>
      <c r="E494" s="20" t="str">
        <f t="shared" si="36"/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ca="1" si="37"/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410</v>
      </c>
      <c r="E495" s="20" t="str">
        <f t="shared" si="36"/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ca="1" si="37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411</v>
      </c>
      <c r="B496" s="26" t="s">
        <v>137</v>
      </c>
      <c r="C496" s="26" t="s">
        <v>177</v>
      </c>
      <c r="E496" s="20" t="str">
        <f t="shared" si="36"/>
        <v/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37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181</v>
      </c>
      <c r="E497" s="20" t="str">
        <f t="shared" si="36"/>
        <v/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37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412</v>
      </c>
      <c r="B498" s="26" t="s">
        <v>123</v>
      </c>
      <c r="C498" s="26" t="s">
        <v>131</v>
      </c>
      <c r="D498" s="26" t="s">
        <v>110</v>
      </c>
      <c r="E498" s="20" t="str">
        <f t="shared" si="36"/>
        <v>!!!</v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37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140</v>
      </c>
      <c r="E499" s="20" t="str">
        <f t="shared" si="36"/>
        <v/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37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128</v>
      </c>
      <c r="E500" s="20" t="str">
        <f t="shared" si="36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37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413</v>
      </c>
      <c r="B501" s="26" t="s">
        <v>137</v>
      </c>
      <c r="C501" s="26" t="s">
        <v>131</v>
      </c>
      <c r="D501" s="26" t="s">
        <v>110</v>
      </c>
      <c r="E501" s="20" t="str">
        <f t="shared" si="36"/>
        <v>!!!</v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37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414</v>
      </c>
      <c r="E502" s="20" t="str">
        <f t="shared" si="36"/>
        <v/>
      </c>
      <c r="F502" s="21" t="str">
        <f>IF(OR(E502="",E502="!!!"),"",IF(NOT(ISNA(VLOOKUP(E502,E$1:E501,1,FALSE()))),"OLD",IF(AND(E502&lt;&gt;"",E502&lt;&gt;"!!!"),"NEW","")))</f>
        <v/>
      </c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37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114</v>
      </c>
      <c r="E503" s="20" t="str">
        <f t="shared" si="36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37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140</v>
      </c>
      <c r="E504" s="20" t="str">
        <f t="shared" si="36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37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128</v>
      </c>
      <c r="E505" s="20" t="str">
        <f t="shared" si="36"/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37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314</v>
      </c>
      <c r="B506" s="26" t="s">
        <v>283</v>
      </c>
      <c r="C506" s="26" t="s">
        <v>161</v>
      </c>
      <c r="D506" s="26" t="s">
        <v>110</v>
      </c>
      <c r="E506" s="20" t="str">
        <f t="shared" si="36"/>
        <v>!!!</v>
      </c>
      <c r="F506" s="21" t="str">
        <f>IF(OR(E506="",E506="!!!"),"",IF(NOT(ISNA(VLOOKUP(E506,E$1:E505,1,FALSE()))),"OLD",IF(AND(E506&lt;&gt;"",E506&lt;&gt;"!!!"),"NEW","")))</f>
        <v/>
      </c>
      <c r="G506" s="22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3" t="str">
        <f t="shared" ca="1" si="37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415</v>
      </c>
      <c r="E507" s="20" t="str">
        <f t="shared" si="36"/>
        <v/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37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416</v>
      </c>
      <c r="E508" s="20" t="str">
        <f t="shared" si="36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37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417</v>
      </c>
      <c r="B509" s="26" t="s">
        <v>123</v>
      </c>
      <c r="C509" s="26" t="s">
        <v>105</v>
      </c>
      <c r="E509" s="20" t="str">
        <f t="shared" si="36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37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140</v>
      </c>
      <c r="E510" s="20" t="str">
        <f t="shared" si="36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37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418</v>
      </c>
      <c r="B511" s="26" t="s">
        <v>123</v>
      </c>
      <c r="C511" s="26" t="s">
        <v>105</v>
      </c>
      <c r="E511" s="20" t="str">
        <f t="shared" si="36"/>
        <v/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37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138</v>
      </c>
      <c r="E512" s="20" t="str">
        <f t="shared" si="36"/>
        <v/>
      </c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37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419</v>
      </c>
      <c r="B513" s="26" t="s">
        <v>331</v>
      </c>
      <c r="C513" s="26" t="s">
        <v>105</v>
      </c>
      <c r="E513" s="20" t="str">
        <f t="shared" si="36"/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37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420</v>
      </c>
      <c r="E514" s="20" t="str">
        <f t="shared" si="36"/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ca="1" si="37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5" spans="1:12" x14ac:dyDescent="0.3">
      <c r="A515" t="s">
        <v>125</v>
      </c>
      <c r="E515" s="20" t="str">
        <f t="shared" si="36"/>
        <v/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37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7" spans="1:12" x14ac:dyDescent="0.3">
      <c r="A517" t="s">
        <v>421</v>
      </c>
    </row>
    <row r="518" spans="1:12" x14ac:dyDescent="0.3">
      <c r="A518" t="s">
        <v>280</v>
      </c>
      <c r="B518" s="26" t="s">
        <v>108</v>
      </c>
      <c r="C518" s="26" t="s">
        <v>109</v>
      </c>
      <c r="D518" s="26" t="s">
        <v>110</v>
      </c>
      <c r="E518" s="20" t="str">
        <f t="shared" ref="E518:E555" si="38">IF(D518="?OLD","!!!","")</f>
        <v>!!!</v>
      </c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ref="H518:H555" ca="1" si="39">IF(J518&lt;&gt;1,"",IF(I518="SBJ","CB","?"))</f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5"/>
    </row>
    <row r="519" spans="1:12" x14ac:dyDescent="0.3">
      <c r="A519" t="s">
        <v>422</v>
      </c>
      <c r="E519" s="20" t="str">
        <f t="shared" si="38"/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39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423</v>
      </c>
      <c r="E520" s="20" t="str">
        <f t="shared" si="38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39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424</v>
      </c>
      <c r="B521" s="26" t="s">
        <v>112</v>
      </c>
      <c r="C521" s="26" t="s">
        <v>105</v>
      </c>
      <c r="E521" s="20" t="str">
        <f t="shared" si="38"/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39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140</v>
      </c>
      <c r="E522" s="20" t="str">
        <f t="shared" si="38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39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128</v>
      </c>
      <c r="E523" s="20" t="str">
        <f t="shared" si="38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39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425</v>
      </c>
      <c r="B524" s="26" t="s">
        <v>104</v>
      </c>
      <c r="C524" s="26" t="s">
        <v>131</v>
      </c>
      <c r="D524" s="26" t="s">
        <v>110</v>
      </c>
      <c r="E524" s="20" t="str">
        <f t="shared" si="38"/>
        <v>!!!</v>
      </c>
      <c r="F524" s="21" t="str">
        <f>IF(OR(E524="",E524="!!!"),"",IF(NOT(ISNA(VLOOKUP(E524,E$1:E523,1,FALSE()))),"OLD",IF(AND(E524&lt;&gt;"",E524&lt;&gt;"!!!"),"NEW","")))</f>
        <v/>
      </c>
      <c r="G524" s="22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3" t="str">
        <f t="shared" ca="1" si="39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/>
    </row>
    <row r="525" spans="1:12" x14ac:dyDescent="0.3">
      <c r="A525" t="s">
        <v>357</v>
      </c>
      <c r="E525" s="20" t="str">
        <f t="shared" si="38"/>
        <v/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39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224</v>
      </c>
      <c r="E526" s="20" t="str">
        <f t="shared" si="38"/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39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426</v>
      </c>
      <c r="B527" s="26" t="s">
        <v>137</v>
      </c>
      <c r="C527" s="26" t="s">
        <v>131</v>
      </c>
      <c r="D527" s="26" t="s">
        <v>110</v>
      </c>
      <c r="E527" s="20" t="str">
        <f t="shared" si="38"/>
        <v>!!!</v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39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138</v>
      </c>
      <c r="E528" s="20" t="str">
        <f t="shared" si="38"/>
        <v/>
      </c>
      <c r="F528" s="21" t="str">
        <f>IF(OR(E528="",E528="!!!"),"",IF(NOT(ISNA(VLOOKUP(E528,E$1:E527,1,FALSE()))),"OLD",IF(AND(E528&lt;&gt;"",E528&lt;&gt;"!!!"),"NEW","")))</f>
        <v/>
      </c>
      <c r="G528" s="22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3" t="str">
        <f t="shared" ca="1" si="39"/>
        <v/>
      </c>
      <c r="I528" s="24" t="str">
        <f>IF(OR(E528="",E528="!!!",F528="NEW"),"",INDEX(B$2:B527,-1+SUMPRODUCT(MAX(ROW(E$2:E527)*(E528=E$2:E527)))))</f>
        <v/>
      </c>
      <c r="J528" s="24" t="str">
        <f ca="1">IF(OR(E528="",E528="!!!",F528="NEW"),"",COUNTBLANK(OFFSET(A$1,,,SUMPRODUCT(MAX(ROW(E$2:E528)*(E528=E$2:E528)))))-COUNTBLANK(OFFSET(A$1,,,SUMPRODUCT(MAX(ROW(E$1:E527)*(E2=E$1:E527))))))</f>
        <v/>
      </c>
      <c r="K528" s="24" t="str">
        <f>IF(OR(E528="",E528="!!!",F528="NEW"),"",INDEX(J$1:J527,SUMPRODUCT(MAX(ROW(E$1:E527)*(E528=E$1:E527)))))</f>
        <v/>
      </c>
      <c r="L528" s="25"/>
    </row>
    <row r="529" spans="1:12" x14ac:dyDescent="0.3">
      <c r="A529" t="s">
        <v>179</v>
      </c>
      <c r="E529" s="20" t="str">
        <f t="shared" si="38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39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427</v>
      </c>
      <c r="B530" s="26" t="s">
        <v>119</v>
      </c>
      <c r="C530" s="26" t="s">
        <v>131</v>
      </c>
      <c r="D530" s="26" t="s">
        <v>110</v>
      </c>
      <c r="E530" s="20" t="str">
        <f t="shared" si="38"/>
        <v>!!!</v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39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114</v>
      </c>
      <c r="E531" s="20" t="str">
        <f t="shared" si="38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39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222</v>
      </c>
      <c r="E532" s="20" t="str">
        <f t="shared" si="38"/>
        <v/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39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3" spans="1:12" x14ac:dyDescent="0.3">
      <c r="A533" t="s">
        <v>428</v>
      </c>
      <c r="E533" s="20" t="str">
        <f t="shared" si="38"/>
        <v/>
      </c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39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/>
    </row>
    <row r="534" spans="1:12" x14ac:dyDescent="0.3">
      <c r="A534" t="s">
        <v>429</v>
      </c>
      <c r="B534" s="26" t="s">
        <v>119</v>
      </c>
      <c r="C534" s="26" t="s">
        <v>165</v>
      </c>
      <c r="E534" s="20" t="str">
        <f t="shared" si="38"/>
        <v/>
      </c>
      <c r="F534" s="21" t="str">
        <f>IF(OR(E534="",E534="!!!"),"",IF(NOT(ISNA(VLOOKUP(E534,E$1:E533,1,FALSE()))),"OLD",IF(AND(E534&lt;&gt;"",E534&lt;&gt;"!!!"),"NEW","")))</f>
        <v/>
      </c>
      <c r="G534" s="22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t="shared" ca="1" si="39"/>
        <v/>
      </c>
      <c r="I534" s="24" t="str">
        <f>IF(OR(E534="",E534="!!!",F534="NEW"),"",INDEX(B$2:B533,-1+SUMPRODUCT(MAX(ROW(E$2:E533)*(E534=E$2:E533)))))</f>
        <v/>
      </c>
      <c r="J534" s="24" t="str">
        <f ca="1">IF(OR(E534="",E534="!!!",F534="NEW"),"",COUNTBLANK(OFFSET(A$1,,,SUMPRODUCT(MAX(ROW(E$2:E534)*(E534=E$2:E534)))))-COUNTBLANK(OFFSET(A$1,,,SUMPRODUCT(MAX(ROW(E$1:E533)*(E2=E$1:E533))))))</f>
        <v/>
      </c>
      <c r="K534" s="24" t="str">
        <f>IF(OR(E534="",E534="!!!",F534="NEW"),"",INDEX(J$1:J533,SUMPRODUCT(MAX(ROW(E$1:E533)*(E534=E$1:E533)))))</f>
        <v/>
      </c>
      <c r="L534" s="25"/>
    </row>
    <row r="535" spans="1:12" x14ac:dyDescent="0.3">
      <c r="A535" t="s">
        <v>152</v>
      </c>
      <c r="E535" s="20" t="str">
        <f t="shared" si="38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39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430</v>
      </c>
      <c r="E536" s="20" t="str">
        <f t="shared" si="38"/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t="shared" ca="1" si="39"/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114</v>
      </c>
      <c r="E537" s="20" t="str">
        <f t="shared" si="38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39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431</v>
      </c>
      <c r="E538" s="20" t="str">
        <f t="shared" si="38"/>
        <v/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t="shared" ca="1" si="39"/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152</v>
      </c>
      <c r="E539" s="20" t="str">
        <f t="shared" si="38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39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432</v>
      </c>
      <c r="E540" s="20" t="str">
        <f t="shared" si="38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39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1" spans="1:12" x14ac:dyDescent="0.3">
      <c r="A541" t="s">
        <v>114</v>
      </c>
      <c r="E541" s="20" t="str">
        <f t="shared" si="38"/>
        <v/>
      </c>
      <c r="F541" s="21" t="str">
        <f>IF(OR(E541="",E541="!!!"),"",IF(NOT(ISNA(VLOOKUP(E541,E$1:E540,1,FALSE()))),"OLD",IF(AND(E541&lt;&gt;"",E541&lt;&gt;"!!!"),"NEW","")))</f>
        <v/>
      </c>
      <c r="G541" s="22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3" t="str">
        <f t="shared" ca="1" si="39"/>
        <v/>
      </c>
      <c r="I541" s="24" t="str">
        <f>IF(OR(E541="",E541="!!!",F541="NEW"),"",INDEX(B$2:B540,-1+SUMPRODUCT(MAX(ROW(E$2:E540)*(E541=E$2:E540)))))</f>
        <v/>
      </c>
      <c r="J541" s="24" t="str">
        <f ca="1">IF(OR(E541="",E541="!!!",F541="NEW"),"",COUNTBLANK(OFFSET(A$1,,,SUMPRODUCT(MAX(ROW(E$2:E541)*(E541=E$2:E541)))))-COUNTBLANK(OFFSET(A$1,,,SUMPRODUCT(MAX(ROW(E$1:E540)*(E2=E$1:E540))))))</f>
        <v/>
      </c>
      <c r="K541" s="24" t="str">
        <f>IF(OR(E541="",E541="!!!",F541="NEW"),"",INDEX(J$1:J540,SUMPRODUCT(MAX(ROW(E$1:E540)*(E541=E$1:E540)))))</f>
        <v/>
      </c>
      <c r="L541" s="25"/>
    </row>
    <row r="542" spans="1:12" x14ac:dyDescent="0.3">
      <c r="A542" t="s">
        <v>152</v>
      </c>
      <c r="E542" s="20" t="str">
        <f t="shared" si="38"/>
        <v/>
      </c>
      <c r="F542" s="21" t="str">
        <f>IF(OR(E542="",E542="!!!"),"",IF(NOT(ISNA(VLOOKUP(E542,E$1:E541,1,FALSE()))),"OLD",IF(AND(E542&lt;&gt;"",E542&lt;&gt;"!!!"),"NEW","")))</f>
        <v/>
      </c>
      <c r="G542" s="22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3" t="str">
        <f t="shared" ca="1" si="39"/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433</v>
      </c>
      <c r="E543" s="20" t="str">
        <f t="shared" si="38"/>
        <v/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ca="1" si="39"/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114</v>
      </c>
      <c r="E544" s="20" t="str">
        <f t="shared" si="38"/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39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434</v>
      </c>
      <c r="B545" s="26" t="s">
        <v>119</v>
      </c>
      <c r="C545" s="26" t="s">
        <v>105</v>
      </c>
      <c r="E545" s="20" t="str">
        <f t="shared" si="38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39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152</v>
      </c>
      <c r="E546" s="20" t="str">
        <f t="shared" si="38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39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435</v>
      </c>
      <c r="E547" s="20" t="str">
        <f t="shared" si="38"/>
        <v/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39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114</v>
      </c>
      <c r="E548" s="20" t="str">
        <f t="shared" si="38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39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436</v>
      </c>
      <c r="B549" s="26" t="s">
        <v>119</v>
      </c>
      <c r="C549" s="26" t="s">
        <v>105</v>
      </c>
      <c r="E549" s="20" t="str">
        <f t="shared" si="38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39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152</v>
      </c>
      <c r="E550" s="20" t="str">
        <f t="shared" si="38"/>
        <v/>
      </c>
      <c r="F550" s="21" t="str">
        <f>IF(OR(E550="",E550="!!!"),"",IF(NOT(ISNA(VLOOKUP(E550,E$1:E549,1,FALSE()))),"OLD",IF(AND(E550&lt;&gt;"",E550&lt;&gt;"!!!"),"NEW","")))</f>
        <v/>
      </c>
      <c r="G550" s="22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3" t="str">
        <f t="shared" ca="1" si="39"/>
        <v/>
      </c>
      <c r="I550" s="24" t="str">
        <f>IF(OR(E550="",E550="!!!",F550="NEW"),"",INDEX(B$2:B549,-1+SUMPRODUCT(MAX(ROW(E$2:E549)*(E550=E$2:E549)))))</f>
        <v/>
      </c>
      <c r="J550" s="24" t="str">
        <f ca="1">IF(OR(E550="",E550="!!!",F550="NEW"),"",COUNTBLANK(OFFSET(A$1,,,SUMPRODUCT(MAX(ROW(E$2:E550)*(E550=E$2:E550)))))-COUNTBLANK(OFFSET(A$1,,,SUMPRODUCT(MAX(ROW(E$1:E549)*(E2=E$1:E549))))))</f>
        <v/>
      </c>
      <c r="K550" s="24" t="str">
        <f>IF(OR(E550="",E550="!!!",F550="NEW"),"",INDEX(J$1:J549,SUMPRODUCT(MAX(ROW(E$1:E549)*(E550=E$1:E549)))))</f>
        <v/>
      </c>
      <c r="L550" s="25"/>
    </row>
    <row r="551" spans="1:12" x14ac:dyDescent="0.3">
      <c r="A551" t="s">
        <v>437</v>
      </c>
      <c r="E551" s="20" t="str">
        <f t="shared" si="38"/>
        <v/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39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138</v>
      </c>
      <c r="E552" s="20" t="str">
        <f t="shared" si="38"/>
        <v/>
      </c>
      <c r="F552" s="21" t="str">
        <f>IF(OR(E552="",E552="!!!"),"",IF(NOT(ISNA(VLOOKUP(E552,E$1:E551,1,FALSE()))),"OLD",IF(AND(E552&lt;&gt;"",E552&lt;&gt;"!!!"),"NEW","")))</f>
        <v/>
      </c>
      <c r="G552" s="22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3" t="str">
        <f t="shared" ca="1" si="39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5"/>
    </row>
    <row r="553" spans="1:12" x14ac:dyDescent="0.3">
      <c r="A553" t="s">
        <v>152</v>
      </c>
      <c r="E553" s="20" t="str">
        <f t="shared" si="38"/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ca="1" si="39"/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438</v>
      </c>
      <c r="E554" s="20" t="str">
        <f t="shared" si="38"/>
        <v/>
      </c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39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125</v>
      </c>
      <c r="E555" s="20" t="str">
        <f t="shared" si="38"/>
        <v/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39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7" spans="1:12" x14ac:dyDescent="0.3">
      <c r="A557" t="s">
        <v>439</v>
      </c>
    </row>
    <row r="558" spans="1:12" x14ac:dyDescent="0.3">
      <c r="A558" t="s">
        <v>211</v>
      </c>
      <c r="E558" s="20" t="str">
        <f t="shared" ref="E558:E575" si="40">IF(D558="?OLD","!!!","")</f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ref="H558:H575" ca="1" si="41">IF(J558&lt;&gt;1,"",IF(I558="SBJ","CB","?"))</f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440</v>
      </c>
      <c r="E559" s="20" t="str">
        <f t="shared" si="40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41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441</v>
      </c>
      <c r="E560" s="20" t="str">
        <f t="shared" si="40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41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190</v>
      </c>
      <c r="E561" s="20" t="str">
        <f t="shared" si="40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41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442</v>
      </c>
      <c r="B562" s="26" t="s">
        <v>119</v>
      </c>
      <c r="C562" s="26" t="s">
        <v>177</v>
      </c>
      <c r="E562" s="20" t="str">
        <f t="shared" si="40"/>
        <v/>
      </c>
      <c r="F562" s="21" t="str">
        <f>IF(OR(E562="",E562="!!!"),"",IF(NOT(ISNA(VLOOKUP(E562,E$1:E561,1,FALSE()))),"OLD",IF(AND(E562&lt;&gt;"",E562&lt;&gt;"!!!"),"NEW","")))</f>
        <v/>
      </c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41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5"/>
    </row>
    <row r="563" spans="1:12" x14ac:dyDescent="0.3">
      <c r="A563" t="s">
        <v>255</v>
      </c>
      <c r="E563" s="20" t="str">
        <f t="shared" si="40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41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443</v>
      </c>
      <c r="B564" s="26" t="s">
        <v>123</v>
      </c>
      <c r="C564" s="26" t="s">
        <v>230</v>
      </c>
      <c r="D564" s="26" t="s">
        <v>110</v>
      </c>
      <c r="E564" s="20" t="str">
        <f t="shared" si="40"/>
        <v>!!!</v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41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234</v>
      </c>
      <c r="B565" s="26" t="s">
        <v>137</v>
      </c>
      <c r="C565" s="26" t="s">
        <v>277</v>
      </c>
      <c r="D565" s="26" t="s">
        <v>110</v>
      </c>
      <c r="E565" s="20" t="str">
        <f t="shared" si="40"/>
        <v>!!!</v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41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152</v>
      </c>
      <c r="E566" s="20" t="str">
        <f t="shared" si="40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41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221</v>
      </c>
      <c r="E567" s="20" t="str">
        <f t="shared" si="40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41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114</v>
      </c>
      <c r="E568" s="20" t="str">
        <f t="shared" si="40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41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179</v>
      </c>
      <c r="B569" s="26" t="s">
        <v>116</v>
      </c>
      <c r="E569" s="20" t="str">
        <f t="shared" si="40"/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41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444</v>
      </c>
      <c r="B570" s="26" t="s">
        <v>116</v>
      </c>
      <c r="C570" s="26" t="s">
        <v>260</v>
      </c>
      <c r="E570" s="20" t="str">
        <f t="shared" si="40"/>
        <v/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41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213</v>
      </c>
      <c r="B571" s="26" t="s">
        <v>104</v>
      </c>
      <c r="C571" s="26" t="s">
        <v>260</v>
      </c>
      <c r="E571" s="20" t="str">
        <f t="shared" si="40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41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192</v>
      </c>
      <c r="E572" s="20" t="str">
        <f t="shared" si="40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41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445</v>
      </c>
      <c r="E573" s="20" t="str">
        <f t="shared" si="40"/>
        <v/>
      </c>
      <c r="F573" s="21" t="str">
        <f>IF(OR(E573="",E573="!!!"),"",IF(NOT(ISNA(VLOOKUP(E573,E$1:E572,1,FALSE()))),"OLD",IF(AND(E573&lt;&gt;"",E573&lt;&gt;"!!!"),"NEW","")))</f>
        <v/>
      </c>
      <c r="G573" s="22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3" t="str">
        <f t="shared" ca="1" si="41"/>
        <v/>
      </c>
      <c r="I573" s="24" t="str">
        <f>IF(OR(E573="",E573="!!!",F573="NEW"),"",INDEX(B$2:B572,-1+SUMPRODUCT(MAX(ROW(E$2:E572)*(E573=E$2:E572)))))</f>
        <v/>
      </c>
      <c r="J573" s="24" t="str">
        <f ca="1">IF(OR(E573="",E573="!!!",F573="NEW"),"",COUNTBLANK(OFFSET(A$1,,,SUMPRODUCT(MAX(ROW(E$2:E573)*(E573=E$2:E573)))))-COUNTBLANK(OFFSET(A$1,,,SUMPRODUCT(MAX(ROW(E$1:E572)*(E2=E$1:E572))))))</f>
        <v/>
      </c>
      <c r="K573" s="24" t="str">
        <f>IF(OR(E573="",E573="!!!",F573="NEW"),"",INDEX(J$1:J572,SUMPRODUCT(MAX(ROW(E$1:E572)*(E573=E$1:E572)))))</f>
        <v/>
      </c>
      <c r="L573" s="25"/>
    </row>
    <row r="574" spans="1:12" x14ac:dyDescent="0.3">
      <c r="A574" t="s">
        <v>187</v>
      </c>
      <c r="E574" s="20" t="str">
        <f t="shared" si="40"/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41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125</v>
      </c>
      <c r="E575" s="20" t="str">
        <f t="shared" si="40"/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ca="1" si="41"/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7" spans="1:12" x14ac:dyDescent="0.3">
      <c r="A577" t="s">
        <v>446</v>
      </c>
    </row>
    <row r="578" spans="1:12" x14ac:dyDescent="0.3">
      <c r="A578" t="s">
        <v>447</v>
      </c>
      <c r="B578" s="26" t="s">
        <v>108</v>
      </c>
      <c r="C578" s="26" t="s">
        <v>260</v>
      </c>
      <c r="E578" s="20" t="str">
        <f t="shared" ref="E578:E590" si="42">IF(D578="?OLD","!!!","")</f>
        <v/>
      </c>
      <c r="F578" s="21" t="str">
        <f>IF(OR(E578="",E578="!!!"),"",IF(NOT(ISNA(VLOOKUP(E578,E$1:E577,1,FALSE()))),"OLD",IF(AND(E578&lt;&gt;"",E578&lt;&gt;"!!!"),"NEW","")))</f>
        <v/>
      </c>
      <c r="G578" s="22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3" t="str">
        <f t="shared" ref="H578:H590" ca="1" si="43">IF(J578&lt;&gt;1,"",IF(I578="SBJ","CB","?"))</f>
        <v/>
      </c>
      <c r="I578" s="24" t="str">
        <f>IF(OR(E578="",E578="!!!",F578="NEW"),"",INDEX(B$2:B577,-1+SUMPRODUCT(MAX(ROW(E$2:E577)*(E578=E$2:E577)))))</f>
        <v/>
      </c>
      <c r="J578" s="24" t="str">
        <f ca="1">IF(OR(E578="",E578="!!!",F578="NEW"),"",COUNTBLANK(OFFSET(A$1,,,SUMPRODUCT(MAX(ROW(E$2:E578)*(E578=E$2:E578)))))-COUNTBLANK(OFFSET(A$1,,,SUMPRODUCT(MAX(ROW(E$1:E577)*(E2=E$1:E577))))))</f>
        <v/>
      </c>
      <c r="K578" s="24" t="str">
        <f>IF(OR(E578="",E578="!!!",F578="NEW"),"",INDEX(J$1:J577,SUMPRODUCT(MAX(ROW(E$1:E577)*(E578=E$1:E577)))))</f>
        <v/>
      </c>
      <c r="L578" s="25"/>
    </row>
    <row r="579" spans="1:12" x14ac:dyDescent="0.3">
      <c r="A579" t="s">
        <v>448</v>
      </c>
      <c r="E579" s="20" t="str">
        <f t="shared" si="42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43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267</v>
      </c>
      <c r="E580" s="20" t="str">
        <f t="shared" si="42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43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449</v>
      </c>
      <c r="E581" s="20" t="str">
        <f t="shared" si="42"/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43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2" spans="1:12" x14ac:dyDescent="0.3">
      <c r="A582" t="s">
        <v>450</v>
      </c>
      <c r="B582" s="26" t="s">
        <v>112</v>
      </c>
      <c r="C582" s="26" t="s">
        <v>165</v>
      </c>
      <c r="E582" s="20" t="str">
        <f t="shared" si="42"/>
        <v/>
      </c>
      <c r="F582" s="21" t="str">
        <f>IF(OR(E582="",E582="!!!"),"",IF(NOT(ISNA(VLOOKUP(E582,E$1:E581,1,FALSE()))),"OLD",IF(AND(E582&lt;&gt;"",E582&lt;&gt;"!!!"),"NEW","")))</f>
        <v/>
      </c>
      <c r="G582" s="22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t="shared" ca="1" si="43"/>
        <v/>
      </c>
      <c r="I582" s="24" t="str">
        <f>IF(OR(E582="",E582="!!!",F582="NEW"),"",INDEX(B$2:B581,-1+SUMPRODUCT(MAX(ROW(E$2:E581)*(E582=E$2:E581)))))</f>
        <v/>
      </c>
      <c r="J582" s="24" t="str">
        <f ca="1">IF(OR(E582="",E582="!!!",F582="NEW"),"",COUNTBLANK(OFFSET(A$1,,,SUMPRODUCT(MAX(ROW(E$2:E582)*(E582=E$2:E582)))))-COUNTBLANK(OFFSET(A$1,,,SUMPRODUCT(MAX(ROW(E$1:E581)*(E2=E$1:E581))))))</f>
        <v/>
      </c>
      <c r="K582" s="24" t="str">
        <f>IF(OR(E582="",E582="!!!",F582="NEW"),"",INDEX(J$1:J581,SUMPRODUCT(MAX(ROW(E$1:E581)*(E582=E$1:E581)))))</f>
        <v/>
      </c>
      <c r="L582" s="25"/>
    </row>
    <row r="583" spans="1:12" x14ac:dyDescent="0.3">
      <c r="A583" t="s">
        <v>114</v>
      </c>
      <c r="E583" s="20" t="str">
        <f t="shared" si="42"/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ca="1" si="43"/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451</v>
      </c>
      <c r="E584" s="20" t="str">
        <f t="shared" si="42"/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ca="1" si="43"/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452</v>
      </c>
      <c r="B585" s="26" t="s">
        <v>116</v>
      </c>
      <c r="C585" s="26" t="s">
        <v>109</v>
      </c>
      <c r="D585" s="26" t="s">
        <v>110</v>
      </c>
      <c r="E585" s="20" t="str">
        <f t="shared" si="42"/>
        <v>!!!</v>
      </c>
      <c r="F585" s="21" t="str">
        <f>IF(OR(E585="",E585="!!!"),"",IF(NOT(ISNA(VLOOKUP(E585,E$1:E584,1,FALSE()))),"OLD",IF(AND(E585&lt;&gt;"",E585&lt;&gt;"!!!"),"NEW","")))</f>
        <v/>
      </c>
      <c r="G585" s="22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3" t="str">
        <f t="shared" ca="1" si="43"/>
        <v/>
      </c>
      <c r="I585" s="24" t="str">
        <f>IF(OR(E585="",E585="!!!",F585="NEW"),"",INDEX(B$2:B584,-1+SUMPRODUCT(MAX(ROW(E$2:E584)*(E585=E$2:E584)))))</f>
        <v/>
      </c>
      <c r="J585" s="24" t="str">
        <f ca="1">IF(OR(E585="",E585="!!!",F585="NEW"),"",COUNTBLANK(OFFSET(A$1,,,SUMPRODUCT(MAX(ROW(E$2:E585)*(E585=E$2:E585)))))-COUNTBLANK(OFFSET(A$1,,,SUMPRODUCT(MAX(ROW(E$1:E584)*(E2=E$1:E584))))))</f>
        <v/>
      </c>
      <c r="K585" s="24" t="str">
        <f>IF(OR(E585="",E585="!!!",F585="NEW"),"",INDEX(J$1:J584,SUMPRODUCT(MAX(ROW(E$1:E584)*(E585=E$1:E584)))))</f>
        <v/>
      </c>
      <c r="L585" s="25"/>
    </row>
    <row r="586" spans="1:12" x14ac:dyDescent="0.3">
      <c r="A586" t="s">
        <v>144</v>
      </c>
      <c r="E586" s="20" t="str">
        <f t="shared" si="42"/>
        <v/>
      </c>
      <c r="F586" s="21" t="str">
        <f>IF(OR(E586="",E586="!!!"),"",IF(NOT(ISNA(VLOOKUP(E586,E$1:E585,1,FALSE()))),"OLD",IF(AND(E586&lt;&gt;"",E586&lt;&gt;"!!!"),"NEW","")))</f>
        <v/>
      </c>
      <c r="G586" s="22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3" t="str">
        <f t="shared" ca="1" si="43"/>
        <v/>
      </c>
      <c r="I586" s="24" t="str">
        <f>IF(OR(E586="",E586="!!!",F586="NEW"),"",INDEX(B$2:B585,-1+SUMPRODUCT(MAX(ROW(E$2:E585)*(E586=E$2:E585)))))</f>
        <v/>
      </c>
      <c r="J586" s="24" t="str">
        <f ca="1">IF(OR(E586="",E586="!!!",F586="NEW"),"",COUNTBLANK(OFFSET(A$1,,,SUMPRODUCT(MAX(ROW(E$2:E586)*(E586=E$2:E586)))))-COUNTBLANK(OFFSET(A$1,,,SUMPRODUCT(MAX(ROW(E$1:E585)*(E2=E$1:E585))))))</f>
        <v/>
      </c>
      <c r="K586" s="24" t="str">
        <f>IF(OR(E586="",E586="!!!",F586="NEW"),"",INDEX(J$1:J585,SUMPRODUCT(MAX(ROW(E$1:E585)*(E586=E$1:E585)))))</f>
        <v/>
      </c>
      <c r="L586" s="25"/>
    </row>
    <row r="587" spans="1:12" x14ac:dyDescent="0.3">
      <c r="A587" t="s">
        <v>181</v>
      </c>
      <c r="E587" s="20" t="str">
        <f t="shared" si="42"/>
        <v/>
      </c>
      <c r="F587" s="21" t="str">
        <f>IF(OR(E587="",E587="!!!"),"",IF(NOT(ISNA(VLOOKUP(E587,E$1:E586,1,FALSE()))),"OLD",IF(AND(E587&lt;&gt;"",E587&lt;&gt;"!!!"),"NEW","")))</f>
        <v/>
      </c>
      <c r="G587" s="22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3" t="str">
        <f t="shared" ca="1" si="43"/>
        <v/>
      </c>
      <c r="I587" s="24" t="str">
        <f>IF(OR(E587="",E587="!!!",F587="NEW"),"",INDEX(B$2:B586,-1+SUMPRODUCT(MAX(ROW(E$2:E586)*(E587=E$2:E586)))))</f>
        <v/>
      </c>
      <c r="J587" s="24" t="str">
        <f ca="1">IF(OR(E587="",E587="!!!",F587="NEW"),"",COUNTBLANK(OFFSET(A$1,,,SUMPRODUCT(MAX(ROW(E$2:E587)*(E587=E$2:E587)))))-COUNTBLANK(OFFSET(A$1,,,SUMPRODUCT(MAX(ROW(E$1:E586)*(E2=E$1:E586))))))</f>
        <v/>
      </c>
      <c r="K587" s="24" t="str">
        <f>IF(OR(E587="",E587="!!!",F587="NEW"),"",INDEX(J$1:J586,SUMPRODUCT(MAX(ROW(E$1:E586)*(E587=E$1:E586)))))</f>
        <v/>
      </c>
      <c r="L587" s="25"/>
    </row>
    <row r="588" spans="1:12" x14ac:dyDescent="0.3">
      <c r="A588" t="s">
        <v>182</v>
      </c>
      <c r="B588" s="26" t="s">
        <v>137</v>
      </c>
      <c r="C588" s="26" t="s">
        <v>131</v>
      </c>
      <c r="D588" s="26" t="s">
        <v>110</v>
      </c>
      <c r="E588" s="20" t="str">
        <f t="shared" si="42"/>
        <v>!!!</v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43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453</v>
      </c>
      <c r="E589" s="20" t="str">
        <f t="shared" si="42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43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125</v>
      </c>
      <c r="E590" s="20" t="str">
        <f t="shared" si="42"/>
        <v/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43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2" spans="1:12" x14ac:dyDescent="0.3">
      <c r="A592" t="s">
        <v>454</v>
      </c>
    </row>
    <row r="593" spans="1:12" x14ac:dyDescent="0.3">
      <c r="A593" t="s">
        <v>455</v>
      </c>
      <c r="E593" s="20" t="str">
        <f t="shared" ref="E593:E630" si="44">IF(D593="?OLD","!!!","")</f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ref="H593:H630" ca="1" si="45">IF(J593&lt;&gt;1,"",IF(I593="SBJ","CB","?"))</f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138</v>
      </c>
      <c r="E594" s="20" t="str">
        <f t="shared" si="44"/>
        <v/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45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456</v>
      </c>
      <c r="E595" s="20" t="str">
        <f t="shared" si="44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45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261</v>
      </c>
      <c r="B596" s="26" t="s">
        <v>108</v>
      </c>
      <c r="C596" s="26" t="s">
        <v>105</v>
      </c>
      <c r="E596" s="20" t="str">
        <f t="shared" si="44"/>
        <v/>
      </c>
      <c r="F596" s="21" t="str">
        <f>IF(OR(E596="",E596="!!!"),"",IF(NOT(ISNA(VLOOKUP(E596,E$1:E595,1,FALSE()))),"OLD",IF(AND(E596&lt;&gt;"",E596&lt;&gt;"!!!"),"NEW","")))</f>
        <v/>
      </c>
      <c r="G596" s="22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3" t="str">
        <f t="shared" ca="1" si="45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7" spans="1:12" x14ac:dyDescent="0.3">
      <c r="A597" t="s">
        <v>457</v>
      </c>
      <c r="E597" s="20" t="str">
        <f t="shared" si="44"/>
        <v/>
      </c>
      <c r="F597" s="21" t="str">
        <f>IF(OR(E597="",E597="!!!"),"",IF(NOT(ISNA(VLOOKUP(E597,E$1:E596,1,FALSE()))),"OLD",IF(AND(E597&lt;&gt;"",E597&lt;&gt;"!!!"),"NEW","")))</f>
        <v/>
      </c>
      <c r="G597" s="22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t="shared" ca="1" si="45"/>
        <v/>
      </c>
      <c r="I597" s="24" t="str">
        <f>IF(OR(E597="",E597="!!!",F597="NEW"),"",INDEX(B$2:B596,-1+SUMPRODUCT(MAX(ROW(E$2:E596)*(E597=E$2:E596)))))</f>
        <v/>
      </c>
      <c r="J597" s="24" t="str">
        <f ca="1">IF(OR(E597="",E597="!!!",F597="NEW"),"",COUNTBLANK(OFFSET(A$1,,,SUMPRODUCT(MAX(ROW(E$2:E597)*(E597=E$2:E597)))))-COUNTBLANK(OFFSET(A$1,,,SUMPRODUCT(MAX(ROW(E$1:E596)*(E2=E$1:E596))))))</f>
        <v/>
      </c>
      <c r="K597" s="24" t="str">
        <f>IF(OR(E597="",E597="!!!",F597="NEW"),"",INDEX(J$1:J596,SUMPRODUCT(MAX(ROW(E$1:E596)*(E597=E$1:E596)))))</f>
        <v/>
      </c>
      <c r="L597" s="25"/>
    </row>
    <row r="598" spans="1:12" x14ac:dyDescent="0.3">
      <c r="A598" t="s">
        <v>152</v>
      </c>
      <c r="B598" s="26" t="s">
        <v>137</v>
      </c>
      <c r="C598" s="26" t="s">
        <v>260</v>
      </c>
      <c r="E598" s="20" t="str">
        <f t="shared" si="44"/>
        <v/>
      </c>
      <c r="F598" s="21" t="str">
        <f>IF(OR(E598="",E598="!!!"),"",IF(NOT(ISNA(VLOOKUP(E598,E$1:E597,1,FALSE()))),"OLD",IF(AND(E598&lt;&gt;"",E598&lt;&gt;"!!!"),"NEW","")))</f>
        <v/>
      </c>
      <c r="G598" s="22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t="shared" ca="1" si="45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181</v>
      </c>
      <c r="E599" s="20" t="str">
        <f t="shared" si="44"/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45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209</v>
      </c>
      <c r="B600" s="26" t="s">
        <v>104</v>
      </c>
      <c r="C600" s="26" t="s">
        <v>131</v>
      </c>
      <c r="D600" s="26" t="s">
        <v>110</v>
      </c>
      <c r="E600" s="20" t="str">
        <f t="shared" si="44"/>
        <v>!!!</v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45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114</v>
      </c>
      <c r="E601" s="20" t="str">
        <f t="shared" si="44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45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315</v>
      </c>
      <c r="B602" s="26" t="s">
        <v>137</v>
      </c>
      <c r="C602" s="26" t="s">
        <v>105</v>
      </c>
      <c r="E602" s="20" t="str">
        <f t="shared" si="44"/>
        <v/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45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458</v>
      </c>
      <c r="E603" s="20" t="str">
        <f t="shared" si="44"/>
        <v/>
      </c>
      <c r="F603" s="21" t="str">
        <f>IF(OR(E603="",E603="!!!"),"",IF(NOT(ISNA(VLOOKUP(E603,E$1:E602,1,FALSE()))),"OLD",IF(AND(E603&lt;&gt;"",E603&lt;&gt;"!!!"),"NEW","")))</f>
        <v/>
      </c>
      <c r="G603" s="22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3" t="str">
        <f t="shared" ca="1" si="45"/>
        <v/>
      </c>
      <c r="I603" s="24" t="str">
        <f>IF(OR(E603="",E603="!!!",F603="NEW"),"",INDEX(B$2:B602,-1+SUMPRODUCT(MAX(ROW(E$2:E602)*(E603=E$2:E602)))))</f>
        <v/>
      </c>
      <c r="J603" s="24" t="str">
        <f ca="1">IF(OR(E603="",E603="!!!",F603="NEW"),"",COUNTBLANK(OFFSET(A$1,,,SUMPRODUCT(MAX(ROW(E$2:E603)*(E603=E$2:E603)))))-COUNTBLANK(OFFSET(A$1,,,SUMPRODUCT(MAX(ROW(E$1:E602)*(E2=E$1:E602))))))</f>
        <v/>
      </c>
      <c r="K603" s="24" t="str">
        <f>IF(OR(E603="",E603="!!!",F603="NEW"),"",INDEX(J$1:J602,SUMPRODUCT(MAX(ROW(E$1:E602)*(E603=E$1:E602)))))</f>
        <v/>
      </c>
      <c r="L603" s="25"/>
    </row>
    <row r="604" spans="1:12" x14ac:dyDescent="0.3">
      <c r="A604" t="s">
        <v>316</v>
      </c>
      <c r="E604" s="20" t="str">
        <f t="shared" si="44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45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459</v>
      </c>
      <c r="E605" s="20" t="str">
        <f t="shared" si="44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45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6" spans="1:12" x14ac:dyDescent="0.3">
      <c r="A606" t="s">
        <v>114</v>
      </c>
      <c r="E606" s="20" t="str">
        <f t="shared" si="44"/>
        <v/>
      </c>
      <c r="F606" s="21" t="str">
        <f>IF(OR(E606="",E606="!!!"),"",IF(NOT(ISNA(VLOOKUP(E606,E$1:E605,1,FALSE()))),"OLD",IF(AND(E606&lt;&gt;"",E606&lt;&gt;"!!!"),"NEW","")))</f>
        <v/>
      </c>
      <c r="G606" s="22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3" t="str">
        <f t="shared" ca="1" si="45"/>
        <v/>
      </c>
      <c r="I606" s="24" t="str">
        <f>IF(OR(E606="",E606="!!!",F606="NEW"),"",INDEX(B$2:B605,-1+SUMPRODUCT(MAX(ROW(E$2:E605)*(E606=E$2:E605)))))</f>
        <v/>
      </c>
      <c r="J606" s="24" t="str">
        <f ca="1">IF(OR(E606="",E606="!!!",F606="NEW"),"",COUNTBLANK(OFFSET(A$1,,,SUMPRODUCT(MAX(ROW(E$2:E606)*(E606=E$2:E606)))))-COUNTBLANK(OFFSET(A$1,,,SUMPRODUCT(MAX(ROW(E$1:E605)*(E2=E$1:E605))))))</f>
        <v/>
      </c>
      <c r="K606" s="24" t="str">
        <f>IF(OR(E606="",E606="!!!",F606="NEW"),"",INDEX(J$1:J605,SUMPRODUCT(MAX(ROW(E$1:E605)*(E606=E$1:E605)))))</f>
        <v/>
      </c>
      <c r="L606" s="25"/>
    </row>
    <row r="607" spans="1:12" x14ac:dyDescent="0.3">
      <c r="A607" t="s">
        <v>138</v>
      </c>
      <c r="E607" s="20" t="str">
        <f t="shared" si="44"/>
        <v/>
      </c>
      <c r="F607" s="21" t="str">
        <f>IF(OR(E607="",E607="!!!"),"",IF(NOT(ISNA(VLOOKUP(E607,E$1:E606,1,FALSE()))),"OLD",IF(AND(E607&lt;&gt;"",E607&lt;&gt;"!!!"),"NEW","")))</f>
        <v/>
      </c>
      <c r="G607" s="22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3" t="str">
        <f t="shared" ca="1" si="45"/>
        <v/>
      </c>
      <c r="I607" s="24" t="str">
        <f>IF(OR(E607="",E607="!!!",F607="NEW"),"",INDEX(B$2:B606,-1+SUMPRODUCT(MAX(ROW(E$2:E606)*(E607=E$2:E606)))))</f>
        <v/>
      </c>
      <c r="J607" s="24" t="str">
        <f ca="1">IF(OR(E607="",E607="!!!",F607="NEW"),"",COUNTBLANK(OFFSET(A$1,,,SUMPRODUCT(MAX(ROW(E$2:E607)*(E607=E$2:E607)))))-COUNTBLANK(OFFSET(A$1,,,SUMPRODUCT(MAX(ROW(E$1:E606)*(E2=E$1:E606))))))</f>
        <v/>
      </c>
      <c r="K607" s="24" t="str">
        <f>IF(OR(E607="",E607="!!!",F607="NEW"),"",INDEX(J$1:J606,SUMPRODUCT(MAX(ROW(E$1:E606)*(E607=E$1:E606)))))</f>
        <v/>
      </c>
      <c r="L607" s="25"/>
    </row>
    <row r="608" spans="1:12" x14ac:dyDescent="0.3">
      <c r="A608" t="s">
        <v>460</v>
      </c>
      <c r="B608" s="26" t="s">
        <v>116</v>
      </c>
      <c r="C608" s="26" t="s">
        <v>461</v>
      </c>
      <c r="E608" s="20" t="str">
        <f t="shared" si="44"/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ca="1" si="45"/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144</v>
      </c>
      <c r="E609" s="20" t="str">
        <f t="shared" si="44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45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181</v>
      </c>
      <c r="E610" s="20" t="str">
        <f t="shared" si="44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45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182</v>
      </c>
      <c r="B611" s="26" t="s">
        <v>137</v>
      </c>
      <c r="C611" s="26" t="s">
        <v>131</v>
      </c>
      <c r="D611" s="26" t="s">
        <v>110</v>
      </c>
      <c r="E611" s="20" t="str">
        <f t="shared" si="44"/>
        <v>!!!</v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45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236</v>
      </c>
      <c r="E612" s="20" t="str">
        <f t="shared" si="44"/>
        <v/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45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462</v>
      </c>
      <c r="E613" s="20" t="str">
        <f t="shared" si="44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45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114</v>
      </c>
      <c r="E614" s="20" t="str">
        <f t="shared" si="44"/>
        <v/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45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463</v>
      </c>
      <c r="E615" s="20" t="str">
        <f t="shared" si="44"/>
        <v/>
      </c>
      <c r="F615" s="21" t="str">
        <f>IF(OR(E615="",E615="!!!"),"",IF(NOT(ISNA(VLOOKUP(E615,E$1:E614,1,FALSE()))),"OLD",IF(AND(E615&lt;&gt;"",E615&lt;&gt;"!!!"),"NEW","")))</f>
        <v/>
      </c>
      <c r="G615" s="22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3" t="str">
        <f t="shared" ca="1" si="45"/>
        <v/>
      </c>
      <c r="I615" s="24" t="str">
        <f>IF(OR(E615="",E615="!!!",F615="NEW"),"",INDEX(B$2:B614,-1+SUMPRODUCT(MAX(ROW(E$2:E614)*(E615=E$2:E614)))))</f>
        <v/>
      </c>
      <c r="J615" s="24" t="str">
        <f ca="1">IF(OR(E615="",E615="!!!",F615="NEW"),"",COUNTBLANK(OFFSET(A$1,,,SUMPRODUCT(MAX(ROW(E$2:E615)*(E615=E$2:E615)))))-COUNTBLANK(OFFSET(A$1,,,SUMPRODUCT(MAX(ROW(E$1:E614)*(E2=E$1:E614))))))</f>
        <v/>
      </c>
      <c r="K615" s="24" t="str">
        <f>IF(OR(E615="",E615="!!!",F615="NEW"),"",INDEX(J$1:J614,SUMPRODUCT(MAX(ROW(E$1:E614)*(E615=E$1:E614)))))</f>
        <v/>
      </c>
      <c r="L615" s="25"/>
    </row>
    <row r="616" spans="1:12" x14ac:dyDescent="0.3">
      <c r="A616" t="s">
        <v>256</v>
      </c>
      <c r="E616" s="20" t="str">
        <f t="shared" si="44"/>
        <v/>
      </c>
      <c r="F616" s="21" t="str">
        <f>IF(OR(E616="",E616="!!!"),"",IF(NOT(ISNA(VLOOKUP(E616,E$1:E615,1,FALSE()))),"OLD",IF(AND(E616&lt;&gt;"",E616&lt;&gt;"!!!"),"NEW","")))</f>
        <v/>
      </c>
      <c r="G616" s="22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t="shared" ca="1" si="45"/>
        <v/>
      </c>
      <c r="I616" s="24" t="str">
        <f>IF(OR(E616="",E616="!!!",F616="NEW"),"",INDEX(B$2:B615,-1+SUMPRODUCT(MAX(ROW(E$2:E615)*(E616=E$2:E615)))))</f>
        <v/>
      </c>
      <c r="J616" s="24" t="str">
        <f ca="1">IF(OR(E616="",E616="!!!",F616="NEW"),"",COUNTBLANK(OFFSET(A$1,,,SUMPRODUCT(MAX(ROW(E$2:E616)*(E616=E$2:E616)))))-COUNTBLANK(OFFSET(A$1,,,SUMPRODUCT(MAX(ROW(E$1:E615)*(E2=E$1:E615))))))</f>
        <v/>
      </c>
      <c r="K616" s="24" t="str">
        <f>IF(OR(E616="",E616="!!!",F616="NEW"),"",INDEX(J$1:J615,SUMPRODUCT(MAX(ROW(E$1:E615)*(E616=E$1:E615)))))</f>
        <v/>
      </c>
      <c r="L616" s="25"/>
    </row>
    <row r="617" spans="1:12" x14ac:dyDescent="0.3">
      <c r="A617" t="s">
        <v>464</v>
      </c>
      <c r="B617" s="26" t="s">
        <v>119</v>
      </c>
      <c r="C617" s="26" t="s">
        <v>120</v>
      </c>
      <c r="E617" s="20" t="str">
        <f t="shared" si="44"/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ca="1" si="45"/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121</v>
      </c>
      <c r="E618" s="20" t="str">
        <f t="shared" si="44"/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45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181</v>
      </c>
      <c r="E619" s="20" t="str">
        <f t="shared" si="44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45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465</v>
      </c>
      <c r="B620" s="26" t="s">
        <v>123</v>
      </c>
      <c r="C620" s="26" t="s">
        <v>131</v>
      </c>
      <c r="D620" s="26" t="s">
        <v>110</v>
      </c>
      <c r="E620" s="20" t="str">
        <f t="shared" si="44"/>
        <v>!!!</v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45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255</v>
      </c>
      <c r="E621" s="20" t="str">
        <f t="shared" si="44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45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466</v>
      </c>
      <c r="B622" s="26" t="s">
        <v>331</v>
      </c>
      <c r="C622" s="26" t="s">
        <v>105</v>
      </c>
      <c r="E622" s="20" t="str">
        <f t="shared" si="44"/>
        <v/>
      </c>
      <c r="F622" s="21" t="str">
        <f>IF(OR(E622="",E622="!!!"),"",IF(NOT(ISNA(VLOOKUP(E622,E$1:E621,1,FALSE()))),"OLD",IF(AND(E622&lt;&gt;"",E622&lt;&gt;"!!!"),"NEW","")))</f>
        <v/>
      </c>
      <c r="G622" s="22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3" t="str">
        <f t="shared" ca="1" si="45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/>
    </row>
    <row r="623" spans="1:12" x14ac:dyDescent="0.3">
      <c r="A623" t="s">
        <v>467</v>
      </c>
      <c r="E623" s="20" t="str">
        <f t="shared" si="44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45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114</v>
      </c>
      <c r="E624" s="20" t="str">
        <f t="shared" si="44"/>
        <v/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45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468</v>
      </c>
      <c r="B625" s="26" t="s">
        <v>116</v>
      </c>
      <c r="C625" s="26" t="s">
        <v>161</v>
      </c>
      <c r="D625" s="26" t="s">
        <v>110</v>
      </c>
      <c r="E625" s="20" t="str">
        <f t="shared" si="44"/>
        <v>!!!</v>
      </c>
      <c r="F625" s="21" t="str">
        <f>IF(OR(E625="",E625="!!!"),"",IF(NOT(ISNA(VLOOKUP(E625,E$1:E624,1,FALSE()))),"OLD",IF(AND(E625&lt;&gt;"",E625&lt;&gt;"!!!"),"NEW","")))</f>
        <v/>
      </c>
      <c r="G625" s="22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3" t="str">
        <f t="shared" ca="1" si="45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348</v>
      </c>
      <c r="B626" s="26" t="s">
        <v>119</v>
      </c>
      <c r="E626" s="20" t="str">
        <f t="shared" si="44"/>
        <v/>
      </c>
      <c r="F626" s="21" t="str">
        <f>IF(OR(E626="",E626="!!!"),"",IF(NOT(ISNA(VLOOKUP(E626,E$1:E625,1,FALSE()))),"OLD",IF(AND(E626&lt;&gt;"",E626&lt;&gt;"!!!"),"NEW","")))</f>
        <v/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45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7" spans="1:12" x14ac:dyDescent="0.3">
      <c r="A627" t="s">
        <v>469</v>
      </c>
      <c r="B627" s="26" t="s">
        <v>116</v>
      </c>
      <c r="C627" s="26" t="s">
        <v>105</v>
      </c>
      <c r="E627" s="20" t="str">
        <f t="shared" si="44"/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45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470</v>
      </c>
      <c r="E628" s="20" t="str">
        <f t="shared" si="44"/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45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435</v>
      </c>
      <c r="E629" s="20" t="str">
        <f t="shared" si="44"/>
        <v/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ca="1" si="45"/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125</v>
      </c>
      <c r="E630" s="20" t="str">
        <f t="shared" si="44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45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2" spans="1:12" x14ac:dyDescent="0.3">
      <c r="A632" t="s">
        <v>471</v>
      </c>
    </row>
    <row r="633" spans="1:12" x14ac:dyDescent="0.3">
      <c r="A633" t="s">
        <v>472</v>
      </c>
      <c r="E633" s="20" t="str">
        <f t="shared" ref="E633:E671" si="46">IF(D633="?OLD","!!!","")</f>
        <v/>
      </c>
      <c r="F633" s="21" t="str">
        <f>IF(OR(E633="",E633="!!!"),"",IF(NOT(ISNA(VLOOKUP(E633,E$1:E632,1,FALSE()))),"OLD",IF(AND(E633&lt;&gt;"",E633&lt;&gt;"!!!"),"NEW","")))</f>
        <v/>
      </c>
      <c r="G633" s="22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3" t="str">
        <f t="shared" ref="H633:H671" ca="1" si="47">IF(J633&lt;&gt;1,"",IF(I633="SBJ","CB","?"))</f>
        <v/>
      </c>
      <c r="I633" s="24" t="str">
        <f>IF(OR(E633="",E633="!!!",F633="NEW"),"",INDEX(B$2:B632,-1+SUMPRODUCT(MAX(ROW(E$2:E632)*(E633=E$2:E632)))))</f>
        <v/>
      </c>
      <c r="J633" s="24" t="str">
        <f ca="1">IF(OR(E633="",E633="!!!",F633="NEW"),"",COUNTBLANK(OFFSET(A$1,,,SUMPRODUCT(MAX(ROW(E$2:E633)*(E633=E$2:E633)))))-COUNTBLANK(OFFSET(A$1,,,SUMPRODUCT(MAX(ROW(E$1:E632)*(E2=E$1:E632))))))</f>
        <v/>
      </c>
      <c r="K633" s="24" t="str">
        <f>IF(OR(E633="",E633="!!!",F633="NEW"),"",INDEX(J$1:J632,SUMPRODUCT(MAX(ROW(E$1:E632)*(E633=E$1:E632)))))</f>
        <v/>
      </c>
      <c r="L633" s="25"/>
    </row>
    <row r="634" spans="1:12" x14ac:dyDescent="0.3">
      <c r="A634" t="s">
        <v>280</v>
      </c>
      <c r="B634" s="26" t="s">
        <v>108</v>
      </c>
      <c r="C634" s="26" t="s">
        <v>109</v>
      </c>
      <c r="D634" s="26" t="s">
        <v>110</v>
      </c>
      <c r="E634" s="20" t="str">
        <f t="shared" si="46"/>
        <v>!!!</v>
      </c>
      <c r="F634" s="21" t="str">
        <f>IF(OR(E634="",E634="!!!"),"",IF(NOT(ISNA(VLOOKUP(E634,E$1:E633,1,FALSE()))),"OLD",IF(AND(E634&lt;&gt;"",E634&lt;&gt;"!!!"),"NEW","")))</f>
        <v/>
      </c>
      <c r="G634" s="22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t="shared" ca="1" si="47"/>
        <v/>
      </c>
      <c r="I634" s="24" t="str">
        <f>IF(OR(E634="",E634="!!!",F634="NEW"),"",INDEX(B$2:B633,-1+SUMPRODUCT(MAX(ROW(E$2:E633)*(E634=E$2:E633)))))</f>
        <v/>
      </c>
      <c r="J634" s="24" t="str">
        <f ca="1">IF(OR(E634="",E634="!!!",F634="NEW"),"",COUNTBLANK(OFFSET(A$1,,,SUMPRODUCT(MAX(ROW(E$2:E634)*(E634=E$2:E634)))))-COUNTBLANK(OFFSET(A$1,,,SUMPRODUCT(MAX(ROW(E$1:E633)*(E2=E$1:E633))))))</f>
        <v/>
      </c>
      <c r="K634" s="24" t="str">
        <f>IF(OR(E634="",E634="!!!",F634="NEW"),"",INDEX(J$1:J633,SUMPRODUCT(MAX(ROW(E$1:E633)*(E634=E$1:E633)))))</f>
        <v/>
      </c>
      <c r="L634" s="25"/>
    </row>
    <row r="635" spans="1:12" x14ac:dyDescent="0.3">
      <c r="A635" t="s">
        <v>114</v>
      </c>
      <c r="E635" s="20" t="str">
        <f t="shared" si="46"/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ca="1" si="47"/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115</v>
      </c>
      <c r="E636" s="20" t="str">
        <f t="shared" si="46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47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440</v>
      </c>
      <c r="B637" s="26" t="s">
        <v>116</v>
      </c>
      <c r="C637" s="26" t="s">
        <v>109</v>
      </c>
      <c r="D637" s="26" t="s">
        <v>110</v>
      </c>
      <c r="E637" s="20" t="str">
        <f t="shared" si="46"/>
        <v>!!!</v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47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140</v>
      </c>
      <c r="E638" s="20" t="str">
        <f t="shared" si="46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47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473</v>
      </c>
      <c r="E639" s="20" t="str">
        <f t="shared" si="46"/>
        <v/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47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474</v>
      </c>
      <c r="B640" s="26" t="s">
        <v>137</v>
      </c>
      <c r="C640" s="26" t="s">
        <v>305</v>
      </c>
      <c r="D640" s="26" t="s">
        <v>110</v>
      </c>
      <c r="E640" s="20" t="str">
        <f t="shared" si="46"/>
        <v>!!!</v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47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181</v>
      </c>
      <c r="E641" s="20" t="str">
        <f t="shared" si="46"/>
        <v/>
      </c>
      <c r="F641" s="21" t="str">
        <f>IF(OR(E641="",E641="!!!"),"",IF(NOT(ISNA(VLOOKUP(E641,E$1:E640,1,FALSE()))),"OLD",IF(AND(E641&lt;&gt;"",E641&lt;&gt;"!!!"),"NEW","")))</f>
        <v/>
      </c>
      <c r="G641" s="22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3" t="str">
        <f t="shared" ca="1" si="47"/>
        <v/>
      </c>
      <c r="I641" s="24" t="str">
        <f>IF(OR(E641="",E641="!!!",F641="NEW"),"",INDEX(B$2:B640,-1+SUMPRODUCT(MAX(ROW(E$2:E640)*(E641=E$2:E640)))))</f>
        <v/>
      </c>
      <c r="J641" s="24" t="str">
        <f ca="1">IF(OR(E641="",E641="!!!",F641="NEW"),"",COUNTBLANK(OFFSET(A$1,,,SUMPRODUCT(MAX(ROW(E$2:E641)*(E641=E$2:E641)))))-COUNTBLANK(OFFSET(A$1,,,SUMPRODUCT(MAX(ROW(E$1:E640)*(E2=E$1:E640))))))</f>
        <v/>
      </c>
      <c r="K641" s="24" t="str">
        <f>IF(OR(E641="",E641="!!!",F641="NEW"),"",INDEX(J$1:J640,SUMPRODUCT(MAX(ROW(E$1:E640)*(E641=E$1:E640)))))</f>
        <v/>
      </c>
      <c r="L641" s="25"/>
    </row>
    <row r="642" spans="1:12" x14ac:dyDescent="0.3">
      <c r="A642" t="s">
        <v>225</v>
      </c>
      <c r="B642" s="26" t="s">
        <v>123</v>
      </c>
      <c r="C642" s="26" t="s">
        <v>226</v>
      </c>
      <c r="D642" s="26" t="s">
        <v>110</v>
      </c>
      <c r="E642" s="20" t="str">
        <f t="shared" si="46"/>
        <v>!!!</v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47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475</v>
      </c>
      <c r="E643" s="20" t="str">
        <f t="shared" si="46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47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476</v>
      </c>
      <c r="E644" s="20" t="str">
        <f t="shared" si="46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47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231</v>
      </c>
      <c r="E645" s="20" t="str">
        <f t="shared" si="46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47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6" spans="1:12" x14ac:dyDescent="0.3">
      <c r="A646" t="s">
        <v>114</v>
      </c>
      <c r="E646" s="20" t="str">
        <f t="shared" si="46"/>
        <v/>
      </c>
      <c r="F646" s="21" t="str">
        <f>IF(OR(E646="",E646="!!!"),"",IF(NOT(ISNA(VLOOKUP(E646,E$1:E645,1,FALSE()))),"OLD",IF(AND(E646&lt;&gt;"",E646&lt;&gt;"!!!"),"NEW","")))</f>
        <v/>
      </c>
      <c r="G646" s="22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t="shared" ca="1" si="47"/>
        <v/>
      </c>
      <c r="I646" s="24" t="str">
        <f>IF(OR(E646="",E646="!!!",F646="NEW"),"",INDEX(B$2:B645,-1+SUMPRODUCT(MAX(ROW(E$2:E645)*(E646=E$2:E645)))))</f>
        <v/>
      </c>
      <c r="J646" s="24" t="str">
        <f ca="1">IF(OR(E646="",E646="!!!",F646="NEW"),"",COUNTBLANK(OFFSET(A$1,,,SUMPRODUCT(MAX(ROW(E$2:E646)*(E646=E$2:E646)))))-COUNTBLANK(OFFSET(A$1,,,SUMPRODUCT(MAX(ROW(E$1:E645)*(E2=E$1:E645))))))</f>
        <v/>
      </c>
      <c r="K646" s="24" t="str">
        <f>IF(OR(E646="",E646="!!!",F646="NEW"),"",INDEX(J$1:J645,SUMPRODUCT(MAX(ROW(E$1:E645)*(E646=E$1:E645)))))</f>
        <v/>
      </c>
      <c r="L646" s="25"/>
    </row>
    <row r="647" spans="1:12" x14ac:dyDescent="0.3">
      <c r="A647" t="s">
        <v>144</v>
      </c>
      <c r="E647" s="20" t="str">
        <f t="shared" si="46"/>
        <v/>
      </c>
      <c r="F647" s="21" t="str">
        <f>IF(OR(E647="",E647="!!!"),"",IF(NOT(ISNA(VLOOKUP(E647,E$1:E646,1,FALSE()))),"OLD",IF(AND(E647&lt;&gt;"",E647&lt;&gt;"!!!"),"NEW","")))</f>
        <v/>
      </c>
      <c r="G647" s="22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t="shared" ca="1" si="47"/>
        <v/>
      </c>
      <c r="I647" s="24" t="str">
        <f>IF(OR(E647="",E647="!!!",F647="NEW"),"",INDEX(B$2:B646,-1+SUMPRODUCT(MAX(ROW(E$2:E646)*(E647=E$2:E646)))))</f>
        <v/>
      </c>
      <c r="J647" s="24" t="str">
        <f ca="1">IF(OR(E647="",E647="!!!",F647="NEW"),"",COUNTBLANK(OFFSET(A$1,,,SUMPRODUCT(MAX(ROW(E$2:E647)*(E647=E$2:E647)))))-COUNTBLANK(OFFSET(A$1,,,SUMPRODUCT(MAX(ROW(E$1:E646)*(E2=E$1:E646))))))</f>
        <v/>
      </c>
      <c r="K647" s="24" t="str">
        <f>IF(OR(E647="",E647="!!!",F647="NEW"),"",INDEX(J$1:J646,SUMPRODUCT(MAX(ROW(E$1:E646)*(E647=E$1:E646)))))</f>
        <v/>
      </c>
      <c r="L647" s="25"/>
    </row>
    <row r="648" spans="1:12" x14ac:dyDescent="0.3">
      <c r="A648" t="s">
        <v>128</v>
      </c>
      <c r="E648" s="20" t="str">
        <f t="shared" si="46"/>
        <v/>
      </c>
      <c r="F648" s="21" t="str">
        <f>IF(OR(E648="",E648="!!!"),"",IF(NOT(ISNA(VLOOKUP(E648,E$1:E647,1,FALSE()))),"OLD",IF(AND(E648&lt;&gt;"",E648&lt;&gt;"!!!"),"NEW","")))</f>
        <v/>
      </c>
      <c r="G648" s="22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3" t="str">
        <f t="shared" ca="1" si="47"/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477</v>
      </c>
      <c r="B649" s="26" t="s">
        <v>123</v>
      </c>
      <c r="C649" s="26" t="s">
        <v>131</v>
      </c>
      <c r="D649" s="26" t="s">
        <v>110</v>
      </c>
      <c r="E649" s="20" t="str">
        <f t="shared" si="46"/>
        <v>!!!</v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47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152</v>
      </c>
      <c r="E650" s="20" t="str">
        <f t="shared" si="46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47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478</v>
      </c>
      <c r="E651" s="20" t="str">
        <f t="shared" si="46"/>
        <v/>
      </c>
      <c r="F651" s="21" t="str">
        <f>IF(OR(E651="",E651="!!!"),"",IF(NOT(ISNA(VLOOKUP(E651,E$1:E650,1,FALSE()))),"OLD",IF(AND(E651&lt;&gt;"",E651&lt;&gt;"!!!"),"NEW","")))</f>
        <v/>
      </c>
      <c r="G651" s="22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t="shared" ca="1" si="47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5"/>
    </row>
    <row r="652" spans="1:12" x14ac:dyDescent="0.3">
      <c r="A652" t="s">
        <v>114</v>
      </c>
      <c r="E652" s="20" t="str">
        <f t="shared" si="46"/>
        <v/>
      </c>
      <c r="F652" s="21" t="str">
        <f>IF(OR(E652="",E652="!!!"),"",IF(NOT(ISNA(VLOOKUP(E652,E$1:E651,1,FALSE()))),"OLD",IF(AND(E652&lt;&gt;"",E652&lt;&gt;"!!!"),"NEW","")))</f>
        <v/>
      </c>
      <c r="G652" s="22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3" t="str">
        <f t="shared" ca="1" si="47"/>
        <v/>
      </c>
      <c r="I652" s="24" t="str">
        <f>IF(OR(E652="",E652="!!!",F652="NEW"),"",INDEX(B$2:B651,-1+SUMPRODUCT(MAX(ROW(E$2:E651)*(E652=E$2:E651)))))</f>
        <v/>
      </c>
      <c r="J652" s="24" t="str">
        <f ca="1">IF(OR(E652="",E652="!!!",F652="NEW"),"",COUNTBLANK(OFFSET(A$1,,,SUMPRODUCT(MAX(ROW(E$2:E652)*(E652=E$2:E652)))))-COUNTBLANK(OFFSET(A$1,,,SUMPRODUCT(MAX(ROW(E$1:E651)*(E2=E$1:E651))))))</f>
        <v/>
      </c>
      <c r="K652" s="24" t="str">
        <f>IF(OR(E652="",E652="!!!",F652="NEW"),"",INDEX(J$1:J651,SUMPRODUCT(MAX(ROW(E$1:E651)*(E652=E$1:E651)))))</f>
        <v/>
      </c>
      <c r="L652" s="25"/>
    </row>
    <row r="653" spans="1:12" x14ac:dyDescent="0.3">
      <c r="A653" t="s">
        <v>348</v>
      </c>
      <c r="B653" s="26" t="s">
        <v>119</v>
      </c>
      <c r="E653" s="20" t="str">
        <f t="shared" si="46"/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ca="1" si="47"/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140</v>
      </c>
      <c r="E654" s="20" t="str">
        <f t="shared" si="46"/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47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133</v>
      </c>
      <c r="E655" s="20" t="str">
        <f t="shared" si="46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47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479</v>
      </c>
      <c r="B656" s="26" t="s">
        <v>137</v>
      </c>
      <c r="C656" s="26" t="s">
        <v>120</v>
      </c>
      <c r="E656" s="20" t="str">
        <f t="shared" si="46"/>
        <v/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47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152</v>
      </c>
      <c r="E657" s="20" t="str">
        <f t="shared" si="46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47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480</v>
      </c>
      <c r="E658" s="20" t="str">
        <f t="shared" si="46"/>
        <v/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47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114</v>
      </c>
      <c r="E659" s="20" t="str">
        <f t="shared" si="46"/>
        <v/>
      </c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47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140</v>
      </c>
      <c r="E660" s="20" t="str">
        <f t="shared" si="46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47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128</v>
      </c>
      <c r="E661" s="20" t="str">
        <f t="shared" si="46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47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481</v>
      </c>
      <c r="E662" s="20" t="str">
        <f t="shared" si="46"/>
        <v/>
      </c>
      <c r="F662" s="21" t="str">
        <f>IF(OR(E662="",E662="!!!"),"",IF(NOT(ISNA(VLOOKUP(E662,E$1:E661,1,FALSE()))),"OLD",IF(AND(E662&lt;&gt;"",E662&lt;&gt;"!!!"),"NEW","")))</f>
        <v/>
      </c>
      <c r="G662" s="22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t="shared" ca="1" si="47"/>
        <v/>
      </c>
      <c r="I662" s="24" t="str">
        <f>IF(OR(E662="",E662="!!!",F662="NEW"),"",INDEX(B$2:B661,-1+SUMPRODUCT(MAX(ROW(E$2:E661)*(E662=E$2:E661)))))</f>
        <v/>
      </c>
      <c r="J662" s="24" t="str">
        <f ca="1">IF(OR(E662="",E662="!!!",F662="NEW"),"",COUNTBLANK(OFFSET(A$1,,,SUMPRODUCT(MAX(ROW(E$2:E662)*(E662=E$2:E662)))))-COUNTBLANK(OFFSET(A$1,,,SUMPRODUCT(MAX(ROW(E$1:E661)*(E2=E$1:E661))))))</f>
        <v/>
      </c>
      <c r="K662" s="24" t="str">
        <f>IF(OR(E662="",E662="!!!",F662="NEW"),"",INDEX(J$1:J661,SUMPRODUCT(MAX(ROW(E$1:E661)*(E662=E$1:E661)))))</f>
        <v/>
      </c>
      <c r="L662" s="25"/>
    </row>
    <row r="663" spans="1:12" x14ac:dyDescent="0.3">
      <c r="A663" t="s">
        <v>482</v>
      </c>
      <c r="B663" s="26" t="s">
        <v>123</v>
      </c>
      <c r="C663" s="26" t="s">
        <v>131</v>
      </c>
      <c r="D663" s="26" t="s">
        <v>110</v>
      </c>
      <c r="E663" s="20" t="str">
        <f t="shared" si="46"/>
        <v>!!!</v>
      </c>
      <c r="F663" s="21" t="str">
        <f>IF(OR(E663="",E663="!!!"),"",IF(NOT(ISNA(VLOOKUP(E663,E$1:E662,1,FALSE()))),"OLD",IF(AND(E663&lt;&gt;"",E663&lt;&gt;"!!!"),"NEW","")))</f>
        <v/>
      </c>
      <c r="G663" s="22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3" t="str">
        <f t="shared" ca="1" si="47"/>
        <v/>
      </c>
      <c r="I663" s="24" t="str">
        <f>IF(OR(E663="",E663="!!!",F663="NEW"),"",INDEX(B$2:B662,-1+SUMPRODUCT(MAX(ROW(E$2:E662)*(E663=E$2:E662)))))</f>
        <v/>
      </c>
      <c r="J663" s="24" t="str">
        <f ca="1">IF(OR(E663="",E663="!!!",F663="NEW"),"",COUNTBLANK(OFFSET(A$1,,,SUMPRODUCT(MAX(ROW(E$2:E663)*(E663=E$2:E663)))))-COUNTBLANK(OFFSET(A$1,,,SUMPRODUCT(MAX(ROW(E$1:E662)*(E2=E$1:E662))))))</f>
        <v/>
      </c>
      <c r="K663" s="24" t="str">
        <f>IF(OR(E663="",E663="!!!",F663="NEW"),"",INDEX(J$1:J662,SUMPRODUCT(MAX(ROW(E$1:E662)*(E663=E$1:E662)))))</f>
        <v/>
      </c>
      <c r="L663" s="25"/>
    </row>
    <row r="664" spans="1:12" x14ac:dyDescent="0.3">
      <c r="A664" t="s">
        <v>152</v>
      </c>
      <c r="E664" s="20" t="str">
        <f t="shared" si="46"/>
        <v/>
      </c>
      <c r="F664" s="21" t="str">
        <f>IF(OR(E664="",E664="!!!"),"",IF(NOT(ISNA(VLOOKUP(E664,E$1:E663,1,FALSE()))),"OLD",IF(AND(E664&lt;&gt;"",E664&lt;&gt;"!!!"),"NEW","")))</f>
        <v/>
      </c>
      <c r="G664" s="22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3" t="str">
        <f t="shared" ca="1" si="47"/>
        <v/>
      </c>
      <c r="I664" s="24" t="str">
        <f>IF(OR(E664="",E664="!!!",F664="NEW"),"",INDEX(B$2:B663,-1+SUMPRODUCT(MAX(ROW(E$2:E663)*(E664=E$2:E663)))))</f>
        <v/>
      </c>
      <c r="J664" s="24" t="str">
        <f ca="1">IF(OR(E664="",E664="!!!",F664="NEW"),"",COUNTBLANK(OFFSET(A$1,,,SUMPRODUCT(MAX(ROW(E$2:E664)*(E664=E$2:E664)))))-COUNTBLANK(OFFSET(A$1,,,SUMPRODUCT(MAX(ROW(E$1:E663)*(E2=E$1:E663))))))</f>
        <v/>
      </c>
      <c r="K664" s="24" t="str">
        <f>IF(OR(E664="",E664="!!!",F664="NEW"),"",INDEX(J$1:J663,SUMPRODUCT(MAX(ROW(E$1:E663)*(E664=E$1:E663)))))</f>
        <v/>
      </c>
      <c r="L664" s="25"/>
    </row>
    <row r="665" spans="1:12" x14ac:dyDescent="0.3">
      <c r="A665" t="s">
        <v>483</v>
      </c>
      <c r="E665" s="20" t="str">
        <f t="shared" si="46"/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47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114</v>
      </c>
      <c r="E666" s="20" t="str">
        <f t="shared" si="46"/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t="shared" ca="1" si="47"/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154</v>
      </c>
      <c r="E667" s="20" t="str">
        <f t="shared" si="46"/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47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484</v>
      </c>
      <c r="B668" s="26" t="s">
        <v>119</v>
      </c>
      <c r="C668" s="26" t="s">
        <v>120</v>
      </c>
      <c r="E668" s="20" t="str">
        <f t="shared" si="46"/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t="shared" ca="1" si="47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69" spans="1:12" x14ac:dyDescent="0.3">
      <c r="A669" t="s">
        <v>485</v>
      </c>
      <c r="B669" s="26" t="s">
        <v>119</v>
      </c>
      <c r="C669" s="26" t="s">
        <v>105</v>
      </c>
      <c r="E669" s="20" t="str">
        <f t="shared" si="46"/>
        <v/>
      </c>
      <c r="F669" s="21" t="str">
        <f>IF(OR(E669="",E669="!!!"),"",IF(NOT(ISNA(VLOOKUP(E669,E$1:E668,1,FALSE()))),"OLD",IF(AND(E669&lt;&gt;"",E669&lt;&gt;"!!!"),"NEW","")))</f>
        <v/>
      </c>
      <c r="G669" s="22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t="shared" ca="1" si="47"/>
        <v/>
      </c>
      <c r="I669" s="24" t="str">
        <f>IF(OR(E669="",E669="!!!",F669="NEW"),"",INDEX(B$2:B668,-1+SUMPRODUCT(MAX(ROW(E$2:E668)*(E669=E$2:E668)))))</f>
        <v/>
      </c>
      <c r="J669" s="24" t="str">
        <f ca="1">IF(OR(E669="",E669="!!!",F669="NEW"),"",COUNTBLANK(OFFSET(A$1,,,SUMPRODUCT(MAX(ROW(E$2:E669)*(E669=E$2:E669)))))-COUNTBLANK(OFFSET(A$1,,,SUMPRODUCT(MAX(ROW(E$1:E668)*(E2=E$1:E668))))))</f>
        <v/>
      </c>
      <c r="K669" s="24" t="str">
        <f>IF(OR(E669="",E669="!!!",F669="NEW"),"",INDEX(J$1:J668,SUMPRODUCT(MAX(ROW(E$1:E668)*(E669=E$1:E668)))))</f>
        <v/>
      </c>
      <c r="L669" s="25"/>
    </row>
    <row r="670" spans="1:12" x14ac:dyDescent="0.3">
      <c r="A670" t="s">
        <v>486</v>
      </c>
      <c r="E670" s="20" t="str">
        <f t="shared" si="46"/>
        <v/>
      </c>
      <c r="F670" s="21" t="str">
        <f>IF(OR(E670="",E670="!!!"),"",IF(NOT(ISNA(VLOOKUP(E670,E$1:E669,1,FALSE()))),"OLD",IF(AND(E670&lt;&gt;"",E670&lt;&gt;"!!!"),"NEW","")))</f>
        <v/>
      </c>
      <c r="G670" s="22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3" t="str">
        <f t="shared" ca="1" si="47"/>
        <v/>
      </c>
      <c r="I670" s="24" t="str">
        <f>IF(OR(E670="",E670="!!!",F670="NEW"),"",INDEX(B$2:B669,-1+SUMPRODUCT(MAX(ROW(E$2:E669)*(E670=E$2:E669)))))</f>
        <v/>
      </c>
      <c r="J670" s="24" t="str">
        <f ca="1">IF(OR(E670="",E670="!!!",F670="NEW"),"",COUNTBLANK(OFFSET(A$1,,,SUMPRODUCT(MAX(ROW(E$2:E670)*(E670=E$2:E670)))))-COUNTBLANK(OFFSET(A$1,,,SUMPRODUCT(MAX(ROW(E$1:E669)*(E2=E$1:E669))))))</f>
        <v/>
      </c>
      <c r="K670" s="24" t="str">
        <f>IF(OR(E670="",E670="!!!",F670="NEW"),"",INDEX(J$1:J669,SUMPRODUCT(MAX(ROW(E$1:E669)*(E670=E$1:E669)))))</f>
        <v/>
      </c>
      <c r="L670" s="25"/>
    </row>
    <row r="671" spans="1:12" x14ac:dyDescent="0.3">
      <c r="A671" t="s">
        <v>487</v>
      </c>
      <c r="E671" s="20" t="str">
        <f t="shared" si="46"/>
        <v/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ca="1" si="47"/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3" spans="1:12" x14ac:dyDescent="0.3">
      <c r="A673" t="s">
        <v>249</v>
      </c>
      <c r="E673" s="20" t="str">
        <f>IF(D673="?OLD","!!!","")</f>
        <v/>
      </c>
      <c r="F673" s="21" t="str">
        <f>IF(OR(E673="",E673="!!!"),"",IF(NOT(ISNA(VLOOKUP(E673,E$1:E672,1,FALSE()))),"OLD",IF(AND(E673&lt;&gt;"",E673&lt;&gt;"!!!"),"NEW","")))</f>
        <v/>
      </c>
      <c r="G673" s="22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3" t="str">
        <f ca="1">IF(J673&lt;&gt;1,"",IF(I673="SBJ","CB","?"))</f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5"/>
    </row>
    <row r="674" spans="1:12" x14ac:dyDescent="0.3">
      <c r="A674" t="s">
        <v>488</v>
      </c>
    </row>
    <row r="675" spans="1:12" x14ac:dyDescent="0.3">
      <c r="A675" t="s">
        <v>489</v>
      </c>
      <c r="B675" s="26" t="s">
        <v>108</v>
      </c>
      <c r="C675" s="26" t="s">
        <v>109</v>
      </c>
      <c r="D675" s="26" t="s">
        <v>110</v>
      </c>
      <c r="E675" s="20" t="str">
        <f t="shared" ref="E675:E706" si="48">IF(D675="?OLD","!!!","")</f>
        <v>!!!</v>
      </c>
      <c r="F675" s="21" t="str">
        <f>IF(OR(E675="",E675="!!!"),"",IF(NOT(ISNA(VLOOKUP(E675,E$1:E674,1,FALSE()))),"OLD",IF(AND(E675&lt;&gt;"",E675&lt;&gt;"!!!"),"NEW","")))</f>
        <v/>
      </c>
      <c r="G675" s="22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t="shared" ref="H675:H706" ca="1" si="49">IF(J675&lt;&gt;1,"",IF(I675="SBJ","CB","?"))</f>
        <v/>
      </c>
      <c r="I675" s="24" t="str">
        <f>IF(OR(E675="",E675="!!!",F675="NEW"),"",INDEX(B$2:B674,-1+SUMPRODUCT(MAX(ROW(E$2:E674)*(E675=E$2:E674)))))</f>
        <v/>
      </c>
      <c r="J675" s="24" t="str">
        <f ca="1">IF(OR(E675="",E675="!!!",F675="NEW"),"",COUNTBLANK(OFFSET(A$1,,,SUMPRODUCT(MAX(ROW(E$2:E675)*(E675=E$2:E675)))))-COUNTBLANK(OFFSET(A$1,,,SUMPRODUCT(MAX(ROW(E$1:E674)*(E2=E$1:E674))))))</f>
        <v/>
      </c>
      <c r="K675" s="24" t="str">
        <f>IF(OR(E675="",E675="!!!",F675="NEW"),"",INDEX(J$1:J674,SUMPRODUCT(MAX(ROW(E$1:E674)*(E675=E$1:E674)))))</f>
        <v/>
      </c>
      <c r="L675" s="25"/>
    </row>
    <row r="676" spans="1:12" x14ac:dyDescent="0.3">
      <c r="A676" t="s">
        <v>490</v>
      </c>
      <c r="E676" s="20" t="str">
        <f t="shared" si="48"/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ca="1" si="49"/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275</v>
      </c>
      <c r="B677" s="26" t="s">
        <v>137</v>
      </c>
      <c r="C677" s="26" t="s">
        <v>230</v>
      </c>
      <c r="D677" s="26" t="s">
        <v>110</v>
      </c>
      <c r="E677" s="20" t="str">
        <f t="shared" si="48"/>
        <v>!!!</v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49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491</v>
      </c>
      <c r="B678" s="26" t="s">
        <v>112</v>
      </c>
      <c r="C678" s="26" t="s">
        <v>277</v>
      </c>
      <c r="D678" s="26" t="s">
        <v>110</v>
      </c>
      <c r="E678" s="20" t="str">
        <f t="shared" si="48"/>
        <v>!!!</v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49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114</v>
      </c>
      <c r="E679" s="20" t="str">
        <f t="shared" si="48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49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492</v>
      </c>
      <c r="E680" s="20" t="str">
        <f t="shared" si="48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49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107</v>
      </c>
      <c r="B681" s="26" t="s">
        <v>116</v>
      </c>
      <c r="C681" s="26" t="s">
        <v>109</v>
      </c>
      <c r="D681" s="26" t="s">
        <v>110</v>
      </c>
      <c r="E681" s="20" t="str">
        <f t="shared" si="48"/>
        <v>!!!</v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49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2" spans="1:12" x14ac:dyDescent="0.3">
      <c r="A682" t="s">
        <v>493</v>
      </c>
      <c r="E682" s="20" t="str">
        <f t="shared" si="48"/>
        <v/>
      </c>
      <c r="F682" s="21" t="str">
        <f>IF(OR(E682="",E682="!!!"),"",IF(NOT(ISNA(VLOOKUP(E682,E$1:E681,1,FALSE()))),"OLD",IF(AND(E682&lt;&gt;"",E682&lt;&gt;"!!!"),"NEW","")))</f>
        <v/>
      </c>
      <c r="G682" s="22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3" t="str">
        <f t="shared" ca="1" si="49"/>
        <v/>
      </c>
      <c r="I682" s="24" t="str">
        <f>IF(OR(E682="",E682="!!!",F682="NEW"),"",INDEX(B$2:B681,-1+SUMPRODUCT(MAX(ROW(E$2:E681)*(E682=E$2:E681)))))</f>
        <v/>
      </c>
      <c r="J682" s="24" t="str">
        <f ca="1">IF(OR(E682="",E682="!!!",F682="NEW"),"",COUNTBLANK(OFFSET(A$1,,,SUMPRODUCT(MAX(ROW(E$2:E682)*(E682=E$2:E682)))))-COUNTBLANK(OFFSET(A$1,,,SUMPRODUCT(MAX(ROW(E$1:E681)*(E2=E$1:E681))))))</f>
        <v/>
      </c>
      <c r="K682" s="24" t="str">
        <f>IF(OR(E682="",E682="!!!",F682="NEW"),"",INDEX(J$1:J681,SUMPRODUCT(MAX(ROW(E$1:E681)*(E682=E$1:E681)))))</f>
        <v/>
      </c>
      <c r="L682" s="25"/>
    </row>
    <row r="683" spans="1:12" x14ac:dyDescent="0.3">
      <c r="A683" t="s">
        <v>114</v>
      </c>
      <c r="E683" s="20" t="str">
        <f t="shared" si="48"/>
        <v/>
      </c>
      <c r="F683" s="21" t="str">
        <f>IF(OR(E683="",E683="!!!"),"",IF(NOT(ISNA(VLOOKUP(E683,E$1:E682,1,FALSE()))),"OLD",IF(AND(E683&lt;&gt;"",E683&lt;&gt;"!!!"),"NEW","")))</f>
        <v/>
      </c>
      <c r="G683" s="22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3" t="str">
        <f t="shared" ca="1" si="49"/>
        <v/>
      </c>
      <c r="I683" s="24" t="str">
        <f>IF(OR(E683="",E683="!!!",F683="NEW"),"",INDEX(B$2:B682,-1+SUMPRODUCT(MAX(ROW(E$2:E682)*(E683=E$2:E682)))))</f>
        <v/>
      </c>
      <c r="J683" s="24" t="str">
        <f ca="1">IF(OR(E683="",E683="!!!",F683="NEW"),"",COUNTBLANK(OFFSET(A$1,,,SUMPRODUCT(MAX(ROW(E$2:E683)*(E683=E$2:E683)))))-COUNTBLANK(OFFSET(A$1,,,SUMPRODUCT(MAX(ROW(E$1:E682)*(E2=E$1:E682))))))</f>
        <v/>
      </c>
      <c r="K683" s="24" t="str">
        <f>IF(OR(E683="",E683="!!!",F683="NEW"),"",INDEX(J$1:J682,SUMPRODUCT(MAX(ROW(E$1:E682)*(E683=E$1:E682)))))</f>
        <v/>
      </c>
      <c r="L683" s="25"/>
    </row>
    <row r="684" spans="1:12" x14ac:dyDescent="0.3">
      <c r="A684" t="s">
        <v>219</v>
      </c>
      <c r="E684" s="20" t="str">
        <f t="shared" si="48"/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ca="1" si="49"/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494</v>
      </c>
      <c r="B685" s="26" t="s">
        <v>123</v>
      </c>
      <c r="C685" s="26" t="s">
        <v>105</v>
      </c>
      <c r="E685" s="20" t="str">
        <f t="shared" si="48"/>
        <v/>
      </c>
      <c r="F685" s="21" t="str">
        <f>IF(OR(E685="",E685="!!!"),"",IF(NOT(ISNA(VLOOKUP(E685,E$1:E684,1,FALSE()))),"OLD",IF(AND(E685&lt;&gt;"",E685&lt;&gt;"!!!"),"NEW","")))</f>
        <v/>
      </c>
      <c r="G685" s="22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3" t="str">
        <f t="shared" ca="1" si="49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/>
    </row>
    <row r="686" spans="1:12" x14ac:dyDescent="0.3">
      <c r="A686" t="s">
        <v>138</v>
      </c>
      <c r="E686" s="20" t="str">
        <f t="shared" si="48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49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213</v>
      </c>
      <c r="E687" s="20" t="str">
        <f t="shared" si="48"/>
        <v/>
      </c>
      <c r="F687" s="21" t="str">
        <f>IF(OR(E687="",E687="!!!"),"",IF(NOT(ISNA(VLOOKUP(E687,E$1:E686,1,FALSE()))),"OLD",IF(AND(E687&lt;&gt;"",E687&lt;&gt;"!!!"),"NEW","")))</f>
        <v/>
      </c>
      <c r="G687" s="22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3" t="str">
        <f t="shared" ca="1" si="49"/>
        <v/>
      </c>
      <c r="I687" s="24" t="str">
        <f>IF(OR(E687="",E687="!!!",F687="NEW"),"",INDEX(B$2:B686,-1+SUMPRODUCT(MAX(ROW(E$2:E686)*(E687=E$2:E686)))))</f>
        <v/>
      </c>
      <c r="J687" s="24" t="str">
        <f ca="1">IF(OR(E687="",E687="!!!",F687="NEW"),"",COUNTBLANK(OFFSET(A$1,,,SUMPRODUCT(MAX(ROW(E$2:E687)*(E687=E$2:E687)))))-COUNTBLANK(OFFSET(A$1,,,SUMPRODUCT(MAX(ROW(E$1:E686)*(E2=E$1:E686))))))</f>
        <v/>
      </c>
      <c r="K687" s="24" t="str">
        <f>IF(OR(E687="",E687="!!!",F687="NEW"),"",INDEX(J$1:J686,SUMPRODUCT(MAX(ROW(E$1:E686)*(E687=E$1:E686)))))</f>
        <v/>
      </c>
      <c r="L687" s="25"/>
    </row>
    <row r="688" spans="1:12" x14ac:dyDescent="0.3">
      <c r="A688" t="s">
        <v>495</v>
      </c>
      <c r="B688" s="26" t="s">
        <v>331</v>
      </c>
      <c r="C688" s="26" t="s">
        <v>105</v>
      </c>
      <c r="E688" s="20" t="str">
        <f t="shared" si="48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49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140</v>
      </c>
      <c r="E689" s="20" t="str">
        <f t="shared" si="48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49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292</v>
      </c>
      <c r="E690" s="20" t="str">
        <f t="shared" si="48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49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496</v>
      </c>
      <c r="B691" s="26" t="s">
        <v>123</v>
      </c>
      <c r="C691" s="26" t="s">
        <v>131</v>
      </c>
      <c r="D691" s="26" t="s">
        <v>110</v>
      </c>
      <c r="E691" s="20" t="str">
        <f t="shared" si="48"/>
        <v>!!!</v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49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2" spans="1:12" x14ac:dyDescent="0.3">
      <c r="A692" t="s">
        <v>497</v>
      </c>
      <c r="E692" s="20" t="str">
        <f t="shared" si="48"/>
        <v/>
      </c>
      <c r="F692" s="21" t="str">
        <f>IF(OR(E692="",E692="!!!"),"",IF(NOT(ISNA(VLOOKUP(E692,E$1:E691,1,FALSE()))),"OLD",IF(AND(E692&lt;&gt;"",E692&lt;&gt;"!!!"),"NEW","")))</f>
        <v/>
      </c>
      <c r="G692" s="22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t="shared" ca="1" si="49"/>
        <v/>
      </c>
      <c r="I692" s="24" t="str">
        <f>IF(OR(E692="",E692="!!!",F692="NEW"),"",INDEX(B$2:B691,-1+SUMPRODUCT(MAX(ROW(E$2:E691)*(E692=E$2:E691)))))</f>
        <v/>
      </c>
      <c r="J692" s="24" t="str">
        <f ca="1">IF(OR(E692="",E692="!!!",F692="NEW"),"",COUNTBLANK(OFFSET(A$1,,,SUMPRODUCT(MAX(ROW(E$2:E692)*(E692=E$2:E692)))))-COUNTBLANK(OFFSET(A$1,,,SUMPRODUCT(MAX(ROW(E$1:E691)*(E2=E$1:E691))))))</f>
        <v/>
      </c>
      <c r="K692" s="24" t="str">
        <f>IF(OR(E692="",E692="!!!",F692="NEW"),"",INDEX(J$1:J691,SUMPRODUCT(MAX(ROW(E$1:E691)*(E692=E$1:E691)))))</f>
        <v/>
      </c>
      <c r="L692" s="25"/>
    </row>
    <row r="693" spans="1:12" x14ac:dyDescent="0.3">
      <c r="A693" t="s">
        <v>316</v>
      </c>
      <c r="E693" s="20" t="str">
        <f t="shared" si="48"/>
        <v/>
      </c>
      <c r="F693" s="21" t="str">
        <f>IF(OR(E693="",E693="!!!"),"",IF(NOT(ISNA(VLOOKUP(E693,E$1:E692,1,FALSE()))),"OLD",IF(AND(E693&lt;&gt;"",E693&lt;&gt;"!!!"),"NEW","")))</f>
        <v/>
      </c>
      <c r="G693" s="22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3" t="str">
        <f t="shared" ca="1" si="49"/>
        <v/>
      </c>
      <c r="I693" s="24" t="str">
        <f>IF(OR(E693="",E693="!!!",F693="NEW"),"",INDEX(B$2:B692,-1+SUMPRODUCT(MAX(ROW(E$2:E692)*(E693=E$2:E692)))))</f>
        <v/>
      </c>
      <c r="J693" s="24" t="str">
        <f ca="1">IF(OR(E693="",E693="!!!",F693="NEW"),"",COUNTBLANK(OFFSET(A$1,,,SUMPRODUCT(MAX(ROW(E$2:E693)*(E693=E$2:E693)))))-COUNTBLANK(OFFSET(A$1,,,SUMPRODUCT(MAX(ROW(E$1:E692)*(E2=E$1:E692))))))</f>
        <v/>
      </c>
      <c r="K693" s="24" t="str">
        <f>IF(OR(E693="",E693="!!!",F693="NEW"),"",INDEX(J$1:J692,SUMPRODUCT(MAX(ROW(E$1:E692)*(E693=E$1:E692)))))</f>
        <v/>
      </c>
      <c r="L693" s="25"/>
    </row>
    <row r="694" spans="1:12" x14ac:dyDescent="0.3">
      <c r="A694" t="s">
        <v>498</v>
      </c>
      <c r="E694" s="20" t="str">
        <f t="shared" si="48"/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ca="1" si="49"/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5" spans="1:12" x14ac:dyDescent="0.3">
      <c r="A695" t="s">
        <v>204</v>
      </c>
      <c r="E695" s="20" t="str">
        <f t="shared" si="48"/>
        <v/>
      </c>
      <c r="F695" s="21" t="str">
        <f>IF(OR(E695="",E695="!!!"),"",IF(NOT(ISNA(VLOOKUP(E695,E$1:E694,1,FALSE()))),"OLD",IF(AND(E695&lt;&gt;"",E695&lt;&gt;"!!!"),"NEW","")))</f>
        <v/>
      </c>
      <c r="G695" s="22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3" t="str">
        <f t="shared" ca="1" si="49"/>
        <v/>
      </c>
      <c r="I695" s="24" t="str">
        <f>IF(OR(E695="",E695="!!!",F695="NEW"),"",INDEX(B$2:B694,-1+SUMPRODUCT(MAX(ROW(E$2:E694)*(E695=E$2:E694)))))</f>
        <v/>
      </c>
      <c r="J695" s="24" t="str">
        <f ca="1">IF(OR(E695="",E695="!!!",F695="NEW"),"",COUNTBLANK(OFFSET(A$1,,,SUMPRODUCT(MAX(ROW(E$2:E695)*(E695=E$2:E695)))))-COUNTBLANK(OFFSET(A$1,,,SUMPRODUCT(MAX(ROW(E$1:E694)*(E2=E$1:E694))))))</f>
        <v/>
      </c>
      <c r="K695" s="24" t="str">
        <f>IF(OR(E695="",E695="!!!",F695="NEW"),"",INDEX(J$1:J694,SUMPRODUCT(MAX(ROW(E$1:E694)*(E695=E$1:E694)))))</f>
        <v/>
      </c>
      <c r="L695" s="25"/>
    </row>
    <row r="696" spans="1:12" x14ac:dyDescent="0.3">
      <c r="A696" t="s">
        <v>114</v>
      </c>
      <c r="E696" s="20" t="str">
        <f t="shared" si="48"/>
        <v/>
      </c>
      <c r="F696" s="21" t="str">
        <f>IF(OR(E696="",E696="!!!"),"",IF(NOT(ISNA(VLOOKUP(E696,E$1:E695,1,FALSE()))),"OLD",IF(AND(E696&lt;&gt;"",E696&lt;&gt;"!!!"),"NEW","")))</f>
        <v/>
      </c>
      <c r="G696" s="22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3" t="str">
        <f t="shared" ca="1" si="49"/>
        <v/>
      </c>
      <c r="I696" s="24" t="str">
        <f>IF(OR(E696="",E696="!!!",F696="NEW"),"",INDEX(B$2:B695,-1+SUMPRODUCT(MAX(ROW(E$2:E695)*(E696=E$2:E695)))))</f>
        <v/>
      </c>
      <c r="J696" s="24" t="str">
        <f ca="1">IF(OR(E696="",E696="!!!",F696="NEW"),"",COUNTBLANK(OFFSET(A$1,,,SUMPRODUCT(MAX(ROW(E$2:E696)*(E696=E$2:E696)))))-COUNTBLANK(OFFSET(A$1,,,SUMPRODUCT(MAX(ROW(E$1:E695)*(E2=E$1:E695))))))</f>
        <v/>
      </c>
      <c r="K696" s="24" t="str">
        <f>IF(OR(E696="",E696="!!!",F696="NEW"),"",INDEX(J$1:J695,SUMPRODUCT(MAX(ROW(E$1:E695)*(E696=E$1:E695)))))</f>
        <v/>
      </c>
      <c r="L696" s="25"/>
    </row>
    <row r="697" spans="1:12" x14ac:dyDescent="0.3">
      <c r="A697" t="s">
        <v>492</v>
      </c>
      <c r="E697" s="20" t="str">
        <f t="shared" si="48"/>
        <v/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ca="1" si="49"/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314</v>
      </c>
      <c r="B698" s="26" t="s">
        <v>266</v>
      </c>
      <c r="C698" s="26" t="s">
        <v>161</v>
      </c>
      <c r="D698" s="26" t="s">
        <v>110</v>
      </c>
      <c r="E698" s="20" t="str">
        <f t="shared" si="48"/>
        <v>!!!</v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49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275</v>
      </c>
      <c r="B699" s="26" t="s">
        <v>271</v>
      </c>
      <c r="C699" s="26" t="s">
        <v>230</v>
      </c>
      <c r="D699" s="26" t="s">
        <v>110</v>
      </c>
      <c r="E699" s="20" t="str">
        <f t="shared" si="48"/>
        <v>!!!</v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49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499</v>
      </c>
      <c r="E700" s="20" t="str">
        <f t="shared" si="48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49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252</v>
      </c>
      <c r="E701" s="20" t="str">
        <f t="shared" si="48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49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500</v>
      </c>
      <c r="B702" s="26" t="s">
        <v>262</v>
      </c>
      <c r="C702" s="26" t="s">
        <v>277</v>
      </c>
      <c r="D702" s="26" t="s">
        <v>110</v>
      </c>
      <c r="E702" s="20" t="str">
        <f t="shared" si="48"/>
        <v>!!!</v>
      </c>
      <c r="F702" s="21" t="str">
        <f>IF(OR(E702="",E702="!!!"),"",IF(NOT(ISNA(VLOOKUP(E702,E$1:E701,1,FALSE()))),"OLD",IF(AND(E702&lt;&gt;"",E702&lt;&gt;"!!!"),"NEW","")))</f>
        <v/>
      </c>
      <c r="G702" s="22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t="shared" ca="1" si="49"/>
        <v/>
      </c>
      <c r="I702" s="24" t="str">
        <f>IF(OR(E702="",E702="!!!",F702="NEW"),"",INDEX(B$2:B701,-1+SUMPRODUCT(MAX(ROW(E$2:E701)*(E702=E$2:E701)))))</f>
        <v/>
      </c>
      <c r="J702" s="24" t="str">
        <f ca="1">IF(OR(E702="",E702="!!!",F702="NEW"),"",COUNTBLANK(OFFSET(A$1,,,SUMPRODUCT(MAX(ROW(E$2:E702)*(E702=E$2:E702)))))-COUNTBLANK(OFFSET(A$1,,,SUMPRODUCT(MAX(ROW(E$1:E701)*(E2=E$1:E701))))))</f>
        <v/>
      </c>
      <c r="K702" s="24" t="str">
        <f>IF(OR(E702="",E702="!!!",F702="NEW"),"",INDEX(J$1:J701,SUMPRODUCT(MAX(ROW(E$1:E701)*(E702=E$1:E701)))))</f>
        <v/>
      </c>
      <c r="L702" s="25"/>
    </row>
    <row r="703" spans="1:12" x14ac:dyDescent="0.3">
      <c r="A703" t="s">
        <v>252</v>
      </c>
      <c r="E703" s="20" t="str">
        <f t="shared" si="48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49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501</v>
      </c>
      <c r="E704" s="20" t="str">
        <f t="shared" si="48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49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502</v>
      </c>
      <c r="E705" s="20" t="str">
        <f t="shared" si="48"/>
        <v/>
      </c>
      <c r="F705" s="21" t="str">
        <f>IF(OR(E705="",E705="!!!"),"",IF(NOT(ISNA(VLOOKUP(E705,E$1:E704,1,FALSE()))),"OLD",IF(AND(E705&lt;&gt;"",E705&lt;&gt;"!!!"),"NEW","")))</f>
        <v/>
      </c>
      <c r="G705" s="22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3" t="str">
        <f t="shared" ca="1" si="49"/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125</v>
      </c>
      <c r="E706" s="20" t="str">
        <f t="shared" si="48"/>
        <v/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49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8" spans="1:12" x14ac:dyDescent="0.3">
      <c r="A708" t="s">
        <v>503</v>
      </c>
    </row>
    <row r="709" spans="1:12" x14ac:dyDescent="0.3">
      <c r="A709" t="s">
        <v>504</v>
      </c>
      <c r="E709" s="20" t="str">
        <f t="shared" ref="E709:E743" si="50">IF(D709="?OLD","!!!","")</f>
        <v/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ref="H709:H743" ca="1" si="51">IF(J709&lt;&gt;1,"",IF(I709="SBJ","CB","?"))</f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505</v>
      </c>
      <c r="E710" s="20" t="str">
        <f t="shared" si="50"/>
        <v/>
      </c>
      <c r="F710" s="21" t="str">
        <f>IF(OR(E710="",E710="!!!"),"",IF(NOT(ISNA(VLOOKUP(E710,E$1:E709,1,FALSE()))),"OLD",IF(AND(E710&lt;&gt;"",E710&lt;&gt;"!!!"),"NEW","")))</f>
        <v/>
      </c>
      <c r="G710" s="22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3" t="str">
        <f t="shared" ca="1" si="51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5"/>
    </row>
    <row r="711" spans="1:12" x14ac:dyDescent="0.3">
      <c r="A711" t="s">
        <v>280</v>
      </c>
      <c r="B711" s="26" t="s">
        <v>108</v>
      </c>
      <c r="C711" s="26" t="s">
        <v>109</v>
      </c>
      <c r="D711" s="26" t="s">
        <v>110</v>
      </c>
      <c r="E711" s="20" t="str">
        <f t="shared" si="50"/>
        <v>!!!</v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51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348</v>
      </c>
      <c r="B712" s="26" t="s">
        <v>112</v>
      </c>
      <c r="E712" s="20" t="str">
        <f t="shared" si="50"/>
        <v/>
      </c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51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114</v>
      </c>
      <c r="E713" s="20" t="str">
        <f t="shared" si="50"/>
        <v/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51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506</v>
      </c>
      <c r="E714" s="20" t="str">
        <f t="shared" si="50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51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5" spans="1:12" x14ac:dyDescent="0.3">
      <c r="A715" t="s">
        <v>507</v>
      </c>
      <c r="B715" s="26" t="s">
        <v>283</v>
      </c>
      <c r="C715" s="26" t="s">
        <v>260</v>
      </c>
      <c r="E715" s="20" t="str">
        <f t="shared" si="50"/>
        <v/>
      </c>
      <c r="F715" s="21" t="str">
        <f>IF(OR(E715="",E715="!!!"),"",IF(NOT(ISNA(VLOOKUP(E715,E$1:E714,1,FALSE()))),"OLD",IF(AND(E715&lt;&gt;"",E715&lt;&gt;"!!!"),"NEW","")))</f>
        <v/>
      </c>
      <c r="G715" s="22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t="shared" ca="1" si="51"/>
        <v/>
      </c>
      <c r="I715" s="24" t="str">
        <f>IF(OR(E715="",E715="!!!",F715="NEW"),"",INDEX(B$2:B714,-1+SUMPRODUCT(MAX(ROW(E$2:E714)*(E715=E$2:E714)))))</f>
        <v/>
      </c>
      <c r="J715" s="24" t="str">
        <f ca="1">IF(OR(E715="",E715="!!!",F715="NEW"),"",COUNTBLANK(OFFSET(A$1,,,SUMPRODUCT(MAX(ROW(E$2:E715)*(E715=E$2:E715)))))-COUNTBLANK(OFFSET(A$1,,,SUMPRODUCT(MAX(ROW(E$1:E714)*(E2=E$1:E714))))))</f>
        <v/>
      </c>
      <c r="K715" s="24" t="str">
        <f>IF(OR(E715="",E715="!!!",F715="NEW"),"",INDEX(J$1:J714,SUMPRODUCT(MAX(ROW(E$1:E714)*(E715=E$1:E714)))))</f>
        <v/>
      </c>
      <c r="L715" s="25"/>
    </row>
    <row r="716" spans="1:12" x14ac:dyDescent="0.3">
      <c r="A716" t="s">
        <v>256</v>
      </c>
      <c r="E716" s="20" t="str">
        <f t="shared" si="50"/>
        <v/>
      </c>
      <c r="F716" s="21" t="str">
        <f>IF(OR(E716="",E716="!!!"),"",IF(NOT(ISNA(VLOOKUP(E716,E$1:E715,1,FALSE()))),"OLD",IF(AND(E716&lt;&gt;"",E716&lt;&gt;"!!!"),"NEW","")))</f>
        <v/>
      </c>
      <c r="G716" s="22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t="shared" ca="1" si="51"/>
        <v/>
      </c>
      <c r="I716" s="24" t="str">
        <f>IF(OR(E716="",E716="!!!",F716="NEW"),"",INDEX(B$2:B715,-1+SUMPRODUCT(MAX(ROW(E$2:E715)*(E716=E$2:E715)))))</f>
        <v/>
      </c>
      <c r="J716" s="24" t="str">
        <f ca="1">IF(OR(E716="",E716="!!!",F716="NEW"),"",COUNTBLANK(OFFSET(A$1,,,SUMPRODUCT(MAX(ROW(E$2:E716)*(E716=E$2:E716)))))-COUNTBLANK(OFFSET(A$1,,,SUMPRODUCT(MAX(ROW(E$1:E715)*(E2=E$1:E715))))))</f>
        <v/>
      </c>
      <c r="K716" s="24" t="str">
        <f>IF(OR(E716="",E716="!!!",F716="NEW"),"",INDEX(J$1:J715,SUMPRODUCT(MAX(ROW(E$1:E715)*(E716=E$1:E715)))))</f>
        <v/>
      </c>
      <c r="L716" s="25"/>
    </row>
    <row r="717" spans="1:12" x14ac:dyDescent="0.3">
      <c r="A717" t="s">
        <v>155</v>
      </c>
      <c r="B717" s="26" t="s">
        <v>119</v>
      </c>
      <c r="C717" s="26" t="s">
        <v>120</v>
      </c>
      <c r="E717" s="20" t="str">
        <f t="shared" si="50"/>
        <v/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ca="1" si="51"/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219</v>
      </c>
      <c r="E718" s="20" t="str">
        <f t="shared" si="50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51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349</v>
      </c>
      <c r="B719" s="26" t="s">
        <v>137</v>
      </c>
      <c r="C719" s="26" t="s">
        <v>230</v>
      </c>
      <c r="D719" s="26" t="s">
        <v>110</v>
      </c>
      <c r="E719" s="20" t="str">
        <f t="shared" si="50"/>
        <v>!!!</v>
      </c>
      <c r="F719" s="21" t="str">
        <f>IF(OR(E719="",E719="!!!"),"",IF(NOT(ISNA(VLOOKUP(E719,E$1:E718,1,FALSE()))),"OLD",IF(AND(E719&lt;&gt;"",E719&lt;&gt;"!!!"),"NEW","")))</f>
        <v/>
      </c>
      <c r="G719" s="22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3" t="str">
        <f t="shared" ca="1" si="51"/>
        <v/>
      </c>
      <c r="I719" s="24" t="str">
        <f>IF(OR(E719="",E719="!!!",F719="NEW"),"",INDEX(B$2:B718,-1+SUMPRODUCT(MAX(ROW(E$2:E718)*(E719=E$2:E718)))))</f>
        <v/>
      </c>
      <c r="J719" s="24" t="str">
        <f ca="1">IF(OR(E719="",E719="!!!",F719="NEW"),"",COUNTBLANK(OFFSET(A$1,,,SUMPRODUCT(MAX(ROW(E$2:E719)*(E719=E$2:E719)))))-COUNTBLANK(OFFSET(A$1,,,SUMPRODUCT(MAX(ROW(E$1:E718)*(E2=E$1:E718))))))</f>
        <v/>
      </c>
      <c r="K719" s="24" t="str">
        <f>IF(OR(E719="",E719="!!!",F719="NEW"),"",INDEX(J$1:J718,SUMPRODUCT(MAX(ROW(E$1:E718)*(E719=E$1:E718)))))</f>
        <v/>
      </c>
      <c r="L719" s="25"/>
    </row>
    <row r="720" spans="1:12" x14ac:dyDescent="0.3">
      <c r="A720" t="s">
        <v>508</v>
      </c>
      <c r="E720" s="20" t="str">
        <f t="shared" si="50"/>
        <v/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51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114</v>
      </c>
      <c r="E721" s="20" t="str">
        <f t="shared" si="50"/>
        <v/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51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335</v>
      </c>
      <c r="E722" s="20" t="str">
        <f t="shared" si="50"/>
        <v/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51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181</v>
      </c>
      <c r="E723" s="20" t="str">
        <f t="shared" si="50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51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509</v>
      </c>
      <c r="B724" s="26" t="s">
        <v>123</v>
      </c>
      <c r="C724" s="26" t="s">
        <v>131</v>
      </c>
      <c r="D724" s="26" t="s">
        <v>110</v>
      </c>
      <c r="E724" s="20" t="str">
        <f t="shared" si="50"/>
        <v>!!!</v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51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510</v>
      </c>
      <c r="E725" s="20" t="str">
        <f t="shared" si="50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51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491</v>
      </c>
      <c r="B726" s="26" t="s">
        <v>199</v>
      </c>
      <c r="C726" s="26" t="s">
        <v>105</v>
      </c>
      <c r="E726" s="20" t="str">
        <f t="shared" si="50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51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7" spans="1:12" x14ac:dyDescent="0.3">
      <c r="A727" t="s">
        <v>114</v>
      </c>
      <c r="E727" s="20" t="str">
        <f t="shared" si="50"/>
        <v/>
      </c>
      <c r="F727" s="21" t="str">
        <f>IF(OR(E727="",E727="!!!"),"",IF(NOT(ISNA(VLOOKUP(E727,E$1:E726,1,FALSE()))),"OLD",IF(AND(E727&lt;&gt;"",E727&lt;&gt;"!!!"),"NEW","")))</f>
        <v/>
      </c>
      <c r="G727" s="22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t="shared" ca="1" si="51"/>
        <v/>
      </c>
      <c r="I727" s="24" t="str">
        <f>IF(OR(E727="",E727="!!!",F727="NEW"),"",INDEX(B$2:B726,-1+SUMPRODUCT(MAX(ROW(E$2:E726)*(E727=E$2:E726)))))</f>
        <v/>
      </c>
      <c r="J727" s="24" t="str">
        <f ca="1">IF(OR(E727="",E727="!!!",F727="NEW"),"",COUNTBLANK(OFFSET(A$1,,,SUMPRODUCT(MAX(ROW(E$2:E727)*(E727=E$2:E727)))))-COUNTBLANK(OFFSET(A$1,,,SUMPRODUCT(MAX(ROW(E$1:E726)*(E2=E$1:E726))))))</f>
        <v/>
      </c>
      <c r="K727" s="24" t="str">
        <f>IF(OR(E727="",E727="!!!",F727="NEW"),"",INDEX(J$1:J726,SUMPRODUCT(MAX(ROW(E$1:E726)*(E727=E$1:E726)))))</f>
        <v/>
      </c>
      <c r="L727" s="25"/>
    </row>
    <row r="728" spans="1:12" x14ac:dyDescent="0.3">
      <c r="A728" t="s">
        <v>269</v>
      </c>
      <c r="E728" s="20" t="str">
        <f t="shared" si="50"/>
        <v/>
      </c>
      <c r="F728" s="21" t="str">
        <f>IF(OR(E728="",E728="!!!"),"",IF(NOT(ISNA(VLOOKUP(E728,E$1:E727,1,FALSE()))),"OLD",IF(AND(E728&lt;&gt;"",E728&lt;&gt;"!!!"),"NEW","")))</f>
        <v/>
      </c>
      <c r="G728" s="22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3" t="str">
        <f t="shared" ca="1" si="51"/>
        <v/>
      </c>
      <c r="I728" s="24" t="str">
        <f>IF(OR(E728="",E728="!!!",F728="NEW"),"",INDEX(B$2:B727,-1+SUMPRODUCT(MAX(ROW(E$2:E727)*(E728=E$2:E727)))))</f>
        <v/>
      </c>
      <c r="J728" s="24" t="str">
        <f ca="1">IF(OR(E728="",E728="!!!",F728="NEW"),"",COUNTBLANK(OFFSET(A$1,,,SUMPRODUCT(MAX(ROW(E$2:E728)*(E728=E$2:E728)))))-COUNTBLANK(OFFSET(A$1,,,SUMPRODUCT(MAX(ROW(E$1:E727)*(E2=E$1:E727))))))</f>
        <v/>
      </c>
      <c r="K728" s="24" t="str">
        <f>IF(OR(E728="",E728="!!!",F728="NEW"),"",INDEX(J$1:J727,SUMPRODUCT(MAX(ROW(E$1:E727)*(E728=E$1:E727)))))</f>
        <v/>
      </c>
      <c r="L728" s="25"/>
    </row>
    <row r="729" spans="1:12" x14ac:dyDescent="0.3">
      <c r="A729" t="s">
        <v>511</v>
      </c>
      <c r="B729" s="26" t="s">
        <v>123</v>
      </c>
      <c r="C729" s="26" t="s">
        <v>226</v>
      </c>
      <c r="D729" s="26" t="s">
        <v>110</v>
      </c>
      <c r="E729" s="20" t="str">
        <f t="shared" si="50"/>
        <v>!!!</v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ca="1" si="51"/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152</v>
      </c>
      <c r="E730" s="20" t="str">
        <f t="shared" si="50"/>
        <v/>
      </c>
      <c r="F730" s="21" t="str">
        <f>IF(OR(E730="",E730="!!!"),"",IF(NOT(ISNA(VLOOKUP(E730,E$1:E729,1,FALSE()))),"OLD",IF(AND(E730&lt;&gt;"",E730&lt;&gt;"!!!"),"NEW","")))</f>
        <v/>
      </c>
      <c r="G730" s="22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3" t="str">
        <f t="shared" ca="1" si="51"/>
        <v/>
      </c>
      <c r="I730" s="24" t="str">
        <f>IF(OR(E730="",E730="!!!",F730="NEW"),"",INDEX(B$2:B729,-1+SUMPRODUCT(MAX(ROW(E$2:E729)*(E730=E$2:E729)))))</f>
        <v/>
      </c>
      <c r="J730" s="24" t="str">
        <f ca="1">IF(OR(E730="",E730="!!!",F730="NEW"),"",COUNTBLANK(OFFSET(A$1,,,SUMPRODUCT(MAX(ROW(E$2:E730)*(E730=E$2:E730)))))-COUNTBLANK(OFFSET(A$1,,,SUMPRODUCT(MAX(ROW(E$1:E729)*(E2=E$1:E729))))))</f>
        <v/>
      </c>
      <c r="K730" s="24" t="str">
        <f>IF(OR(E730="",E730="!!!",F730="NEW"),"",INDEX(J$1:J729,SUMPRODUCT(MAX(ROW(E$1:E729)*(E730=E$1:E729)))))</f>
        <v/>
      </c>
      <c r="L730" s="25"/>
    </row>
    <row r="731" spans="1:12" x14ac:dyDescent="0.3">
      <c r="A731" t="s">
        <v>512</v>
      </c>
      <c r="E731" s="20" t="str">
        <f t="shared" si="50"/>
        <v/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51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114</v>
      </c>
      <c r="E732" s="20" t="str">
        <f t="shared" si="50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51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335</v>
      </c>
      <c r="E733" s="20" t="str">
        <f t="shared" si="50"/>
        <v/>
      </c>
      <c r="F733" s="21" t="str">
        <f>IF(OR(E733="",E733="!!!"),"",IF(NOT(ISNA(VLOOKUP(E733,E$1:E732,1,FALSE()))),"OLD",IF(AND(E733&lt;&gt;"",E733&lt;&gt;"!!!"),"NEW","")))</f>
        <v/>
      </c>
      <c r="G733" s="22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3" t="str">
        <f t="shared" ca="1" si="51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4" spans="1:12" x14ac:dyDescent="0.3">
      <c r="A734" t="s">
        <v>513</v>
      </c>
      <c r="B734" s="26" t="s">
        <v>331</v>
      </c>
      <c r="C734" s="26" t="s">
        <v>105</v>
      </c>
      <c r="E734" s="20" t="str">
        <f t="shared" si="50"/>
        <v/>
      </c>
      <c r="F734" s="21" t="str">
        <f>IF(OR(E734="",E734="!!!"),"",IF(NOT(ISNA(VLOOKUP(E734,E$1:E733,1,FALSE()))),"OLD",IF(AND(E734&lt;&gt;"",E734&lt;&gt;"!!!"),"NEW","")))</f>
        <v/>
      </c>
      <c r="G734" s="22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t="shared" ca="1" si="51"/>
        <v/>
      </c>
      <c r="I734" s="24" t="str">
        <f>IF(OR(E734="",E734="!!!",F734="NEW"),"",INDEX(B$2:B733,-1+SUMPRODUCT(MAX(ROW(E$2:E733)*(E734=E$2:E733)))))</f>
        <v/>
      </c>
      <c r="J734" s="24" t="str">
        <f ca="1">IF(OR(E734="",E734="!!!",F734="NEW"),"",COUNTBLANK(OFFSET(A$1,,,SUMPRODUCT(MAX(ROW(E$2:E734)*(E734=E$2:E734)))))-COUNTBLANK(OFFSET(A$1,,,SUMPRODUCT(MAX(ROW(E$1:E733)*(E2=E$1:E733))))))</f>
        <v/>
      </c>
      <c r="K734" s="24" t="str">
        <f>IF(OR(E734="",E734="!!!",F734="NEW"),"",INDEX(J$1:J733,SUMPRODUCT(MAX(ROW(E$1:E733)*(E734=E$1:E733)))))</f>
        <v/>
      </c>
      <c r="L734" s="25"/>
    </row>
    <row r="735" spans="1:12" x14ac:dyDescent="0.3">
      <c r="A735" t="s">
        <v>152</v>
      </c>
      <c r="E735" s="20" t="str">
        <f t="shared" si="50"/>
        <v/>
      </c>
      <c r="F735" s="21" t="str">
        <f>IF(OR(E735="",E735="!!!"),"",IF(NOT(ISNA(VLOOKUP(E735,E$1:E734,1,FALSE()))),"OLD",IF(AND(E735&lt;&gt;"",E735&lt;&gt;"!!!"),"NEW","")))</f>
        <v/>
      </c>
      <c r="G735" s="22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3" t="str">
        <f t="shared" ca="1" si="51"/>
        <v/>
      </c>
      <c r="I735" s="24" t="str">
        <f>IF(OR(E735="",E735="!!!",F735="NEW"),"",INDEX(B$2:B734,-1+SUMPRODUCT(MAX(ROW(E$2:E734)*(E735=E$2:E734)))))</f>
        <v/>
      </c>
      <c r="J735" s="24" t="str">
        <f ca="1">IF(OR(E735="",E735="!!!",F735="NEW"),"",COUNTBLANK(OFFSET(A$1,,,SUMPRODUCT(MAX(ROW(E$2:E735)*(E735=E$2:E735)))))-COUNTBLANK(OFFSET(A$1,,,SUMPRODUCT(MAX(ROW(E$1:E734)*(E2=E$1:E734))))))</f>
        <v/>
      </c>
      <c r="K735" s="24" t="str">
        <f>IF(OR(E735="",E735="!!!",F735="NEW"),"",INDEX(J$1:J734,SUMPRODUCT(MAX(ROW(E$1:E734)*(E735=E$1:E734)))))</f>
        <v/>
      </c>
      <c r="L735" s="25"/>
    </row>
    <row r="736" spans="1:12" x14ac:dyDescent="0.3">
      <c r="A736" t="s">
        <v>334</v>
      </c>
      <c r="E736" s="20" t="str">
        <f t="shared" si="50"/>
        <v/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ca="1" si="51"/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114</v>
      </c>
      <c r="E737" s="20" t="str">
        <f t="shared" si="50"/>
        <v/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ca="1" si="51"/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514</v>
      </c>
      <c r="E738" s="20" t="str">
        <f t="shared" si="50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51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138</v>
      </c>
      <c r="E739" s="20" t="str">
        <f t="shared" si="50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51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515</v>
      </c>
      <c r="E740" s="20" t="str">
        <f t="shared" si="50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51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516</v>
      </c>
      <c r="B741" s="26" t="s">
        <v>119</v>
      </c>
      <c r="C741" s="26" t="s">
        <v>105</v>
      </c>
      <c r="E741" s="20" t="str">
        <f t="shared" si="50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51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2" spans="1:12" x14ac:dyDescent="0.3">
      <c r="A742" t="s">
        <v>517</v>
      </c>
      <c r="E742" s="20" t="str">
        <f t="shared" si="50"/>
        <v/>
      </c>
      <c r="F742" s="21" t="str">
        <f>IF(OR(E742="",E742="!!!"),"",IF(NOT(ISNA(VLOOKUP(E742,E$1:E741,1,FALSE()))),"OLD",IF(AND(E742&lt;&gt;"",E742&lt;&gt;"!!!"),"NEW","")))</f>
        <v/>
      </c>
      <c r="G742" s="22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t="shared" ca="1" si="51"/>
        <v/>
      </c>
      <c r="I742" s="24" t="str">
        <f>IF(OR(E742="",E742="!!!",F742="NEW"),"",INDEX(B$2:B741,-1+SUMPRODUCT(MAX(ROW(E$2:E741)*(E742=E$2:E741)))))</f>
        <v/>
      </c>
      <c r="J742" s="24" t="str">
        <f ca="1">IF(OR(E742="",E742="!!!",F742="NEW"),"",COUNTBLANK(OFFSET(A$1,,,SUMPRODUCT(MAX(ROW(E$2:E742)*(E742=E$2:E742)))))-COUNTBLANK(OFFSET(A$1,,,SUMPRODUCT(MAX(ROW(E$1:E741)*(E2=E$1:E741))))))</f>
        <v/>
      </c>
      <c r="K742" s="24" t="str">
        <f>IF(OR(E742="",E742="!!!",F742="NEW"),"",INDEX(J$1:J741,SUMPRODUCT(MAX(ROW(E$1:E741)*(E742=E$1:E741)))))</f>
        <v/>
      </c>
      <c r="L742" s="25"/>
    </row>
    <row r="743" spans="1:12" x14ac:dyDescent="0.3">
      <c r="A743" t="s">
        <v>125</v>
      </c>
      <c r="E743" s="20" t="str">
        <f t="shared" si="50"/>
        <v/>
      </c>
      <c r="F743" s="21" t="str">
        <f>IF(OR(E743="",E743="!!!"),"",IF(NOT(ISNA(VLOOKUP(E743,E$1:E742,1,FALSE()))),"OLD",IF(AND(E743&lt;&gt;"",E743&lt;&gt;"!!!"),"NEW","")))</f>
        <v/>
      </c>
      <c r="G743" s="22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t="shared" ca="1" si="51"/>
        <v/>
      </c>
      <c r="I743" s="24" t="str">
        <f>IF(OR(E743="",E743="!!!",F743="NEW"),"",INDEX(B$2:B742,-1+SUMPRODUCT(MAX(ROW(E$2:E742)*(E743=E$2:E742)))))</f>
        <v/>
      </c>
      <c r="J743" s="24" t="str">
        <f ca="1">IF(OR(E743="",E743="!!!",F743="NEW"),"",COUNTBLANK(OFFSET(A$1,,,SUMPRODUCT(MAX(ROW(E$2:E743)*(E743=E$2:E743)))))-COUNTBLANK(OFFSET(A$1,,,SUMPRODUCT(MAX(ROW(E$1:E742)*(E2=E$1:E742))))))</f>
        <v/>
      </c>
      <c r="K743" s="24" t="str">
        <f>IF(OR(E743="",E743="!!!",F743="NEW"),"",INDEX(J$1:J742,SUMPRODUCT(MAX(ROW(E$1:E742)*(E743=E$1:E742)))))</f>
        <v/>
      </c>
      <c r="L743" s="25"/>
    </row>
    <row r="745" spans="1:12" x14ac:dyDescent="0.3">
      <c r="A745" t="s">
        <v>518</v>
      </c>
    </row>
    <row r="746" spans="1:12" x14ac:dyDescent="0.3">
      <c r="A746" t="s">
        <v>519</v>
      </c>
      <c r="E746" s="20" t="str">
        <f t="shared" ref="E746:E769" si="52">IF(D746="?OLD","!!!","")</f>
        <v/>
      </c>
      <c r="F746" s="21" t="str">
        <f>IF(OR(E746="",E746="!!!"),"",IF(NOT(ISNA(VLOOKUP(E746,E$1:E745,1,FALSE()))),"OLD",IF(AND(E746&lt;&gt;"",E746&lt;&gt;"!!!"),"NEW","")))</f>
        <v/>
      </c>
      <c r="G746" s="22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3" t="str">
        <f t="shared" ref="H746:H769" ca="1" si="53">IF(J746&lt;&gt;1,"",IF(I746="SBJ","CB","?"))</f>
        <v/>
      </c>
      <c r="I746" s="24" t="str">
        <f>IF(OR(E746="",E746="!!!",F746="NEW"),"",INDEX(B$2:B745,-1+SUMPRODUCT(MAX(ROW(E$2:E745)*(E746=E$2:E745)))))</f>
        <v/>
      </c>
      <c r="J746" s="24" t="str">
        <f ca="1">IF(OR(E746="",E746="!!!",F746="NEW"),"",COUNTBLANK(OFFSET(A$1,,,SUMPRODUCT(MAX(ROW(E$2:E746)*(E746=E$2:E746)))))-COUNTBLANK(OFFSET(A$1,,,SUMPRODUCT(MAX(ROW(E$1:E745)*(E2=E$1:E745))))))</f>
        <v/>
      </c>
      <c r="K746" s="24" t="str">
        <f>IF(OR(E746="",E746="!!!",F746="NEW"),"",INDEX(J$1:J745,SUMPRODUCT(MAX(ROW(E$1:E745)*(E746=E$1:E745)))))</f>
        <v/>
      </c>
      <c r="L746" s="25"/>
    </row>
    <row r="747" spans="1:12" x14ac:dyDescent="0.3">
      <c r="A747" t="s">
        <v>441</v>
      </c>
      <c r="E747" s="20" t="str">
        <f t="shared" si="52"/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t="shared" ca="1" si="53"/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440</v>
      </c>
      <c r="E748" s="20" t="str">
        <f t="shared" si="52"/>
        <v/>
      </c>
      <c r="F748" s="21" t="str">
        <f>IF(OR(E748="",E748="!!!"),"",IF(NOT(ISNA(VLOOKUP(E748,E$1:E747,1,FALSE()))),"OLD",IF(AND(E748&lt;&gt;"",E748&lt;&gt;"!!!"),"NEW","")))</f>
        <v/>
      </c>
      <c r="G748" s="22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t="shared" ca="1" si="53"/>
        <v/>
      </c>
      <c r="I748" s="24" t="str">
        <f>IF(OR(E748="",E748="!!!",F748="NEW"),"",INDEX(B$2:B747,-1+SUMPRODUCT(MAX(ROW(E$2:E747)*(E748=E$2:E747)))))</f>
        <v/>
      </c>
      <c r="J748" s="24" t="str">
        <f ca="1">IF(OR(E748="",E748="!!!",F748="NEW"),"",COUNTBLANK(OFFSET(A$1,,,SUMPRODUCT(MAX(ROW(E$2:E748)*(E748=E$2:E748)))))-COUNTBLANK(OFFSET(A$1,,,SUMPRODUCT(MAX(ROW(E$1:E747)*(E2=E$1:E747))))))</f>
        <v/>
      </c>
      <c r="K748" s="24" t="str">
        <f>IF(OR(E748="",E748="!!!",F748="NEW"),"",INDEX(J$1:J747,SUMPRODUCT(MAX(ROW(E$1:E747)*(E748=E$1:E747)))))</f>
        <v/>
      </c>
      <c r="L748" s="25"/>
    </row>
    <row r="749" spans="1:12" x14ac:dyDescent="0.3">
      <c r="A749" t="s">
        <v>217</v>
      </c>
      <c r="E749" s="20" t="str">
        <f t="shared" si="52"/>
        <v/>
      </c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ca="1" si="53"/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0" spans="1:12" x14ac:dyDescent="0.3">
      <c r="A750" t="s">
        <v>190</v>
      </c>
      <c r="E750" s="20" t="str">
        <f t="shared" si="52"/>
        <v/>
      </c>
      <c r="F750" s="21" t="str">
        <f>IF(OR(E750="",E750="!!!"),"",IF(NOT(ISNA(VLOOKUP(E750,E$1:E749,1,FALSE()))),"OLD",IF(AND(E750&lt;&gt;"",E750&lt;&gt;"!!!"),"NEW","")))</f>
        <v/>
      </c>
      <c r="G750" s="22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t="shared" ca="1" si="53"/>
        <v/>
      </c>
      <c r="I750" s="24" t="str">
        <f>IF(OR(E750="",E750="!!!",F750="NEW"),"",INDEX(B$2:B749,-1+SUMPRODUCT(MAX(ROW(E$2:E749)*(E750=E$2:E749)))))</f>
        <v/>
      </c>
      <c r="J750" s="24" t="str">
        <f ca="1">IF(OR(E750="",E750="!!!",F750="NEW"),"",COUNTBLANK(OFFSET(A$1,,,SUMPRODUCT(MAX(ROW(E$2:E750)*(E750=E$2:E750)))))-COUNTBLANK(OFFSET(A$1,,,SUMPRODUCT(MAX(ROW(E$1:E749)*(E2=E$1:E749))))))</f>
        <v/>
      </c>
      <c r="K750" s="24" t="str">
        <f>IF(OR(E750="",E750="!!!",F750="NEW"),"",INDEX(J$1:J749,SUMPRODUCT(MAX(ROW(E$1:E749)*(E750=E$1:E749)))))</f>
        <v/>
      </c>
      <c r="L750" s="25"/>
    </row>
    <row r="751" spans="1:12" x14ac:dyDescent="0.3">
      <c r="A751" t="s">
        <v>520</v>
      </c>
      <c r="B751" s="26" t="s">
        <v>108</v>
      </c>
      <c r="C751" s="26" t="s">
        <v>177</v>
      </c>
      <c r="E751" s="20" t="str">
        <f t="shared" si="52"/>
        <v/>
      </c>
      <c r="F751" s="21" t="str">
        <f>IF(OR(E751="",E751="!!!"),"",IF(NOT(ISNA(VLOOKUP(E751,E$1:E750,1,FALSE()))),"OLD",IF(AND(E751&lt;&gt;"",E751&lt;&gt;"!!!"),"NEW","")))</f>
        <v/>
      </c>
      <c r="G751" s="22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3" t="str">
        <f t="shared" ca="1" si="53"/>
        <v/>
      </c>
      <c r="I751" s="24" t="str">
        <f>IF(OR(E751="",E751="!!!",F751="NEW"),"",INDEX(B$2:B750,-1+SUMPRODUCT(MAX(ROW(E$2:E750)*(E751=E$2:E750)))))</f>
        <v/>
      </c>
      <c r="J751" s="24" t="str">
        <f ca="1">IF(OR(E751="",E751="!!!",F751="NEW"),"",COUNTBLANK(OFFSET(A$1,,,SUMPRODUCT(MAX(ROW(E$2:E751)*(E751=E$2:E751)))))-COUNTBLANK(OFFSET(A$1,,,SUMPRODUCT(MAX(ROW(E$1:E750)*(E2=E$1:E750))))))</f>
        <v/>
      </c>
      <c r="K751" s="24" t="str">
        <f>IF(OR(E751="",E751="!!!",F751="NEW"),"",INDEX(J$1:J750,SUMPRODUCT(MAX(ROW(E$1:E750)*(E751=E$1:E750)))))</f>
        <v/>
      </c>
      <c r="L751" s="25"/>
    </row>
    <row r="752" spans="1:12" x14ac:dyDescent="0.3">
      <c r="A752" t="s">
        <v>219</v>
      </c>
      <c r="E752" s="20" t="str">
        <f t="shared" si="52"/>
        <v/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ca="1" si="53"/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521</v>
      </c>
      <c r="B753" s="26" t="s">
        <v>137</v>
      </c>
      <c r="C753" s="26" t="s">
        <v>105</v>
      </c>
      <c r="E753" s="20" t="str">
        <f t="shared" si="52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53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114</v>
      </c>
      <c r="E754" s="20" t="str">
        <f t="shared" si="52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53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179</v>
      </c>
      <c r="B755" s="26" t="s">
        <v>266</v>
      </c>
      <c r="E755" s="20" t="str">
        <f t="shared" si="52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53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349</v>
      </c>
      <c r="B756" s="26" t="s">
        <v>271</v>
      </c>
      <c r="C756" s="26" t="s">
        <v>230</v>
      </c>
      <c r="D756" s="26" t="s">
        <v>110</v>
      </c>
      <c r="E756" s="20" t="str">
        <f t="shared" si="52"/>
        <v>!!!</v>
      </c>
      <c r="F756" s="21" t="str">
        <f>IF(OR(E756="",E756="!!!"),"",IF(NOT(ISNA(VLOOKUP(E756,E$1:E755,1,FALSE()))),"OLD",IF(AND(E756&lt;&gt;"",E756&lt;&gt;"!!!"),"NEW","")))</f>
        <v/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53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155</v>
      </c>
      <c r="B757" s="26" t="s">
        <v>262</v>
      </c>
      <c r="C757" s="26" t="s">
        <v>277</v>
      </c>
      <c r="D757" s="26" t="s">
        <v>110</v>
      </c>
      <c r="E757" s="20" t="str">
        <f t="shared" si="52"/>
        <v>!!!</v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53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522</v>
      </c>
      <c r="E758" s="20" t="str">
        <f t="shared" si="52"/>
        <v/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53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114</v>
      </c>
      <c r="E759" s="20" t="str">
        <f t="shared" si="52"/>
        <v/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53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189</v>
      </c>
      <c r="E760" s="20" t="str">
        <f t="shared" si="52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53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495</v>
      </c>
      <c r="B761" s="26" t="s">
        <v>116</v>
      </c>
      <c r="C761" s="26" t="s">
        <v>105</v>
      </c>
      <c r="E761" s="20" t="str">
        <f t="shared" si="52"/>
        <v/>
      </c>
      <c r="F761" s="21" t="str">
        <f>IF(OR(E761="",E761="!!!"),"",IF(NOT(ISNA(VLOOKUP(E761,E$1:E760,1,FALSE()))),"OLD",IF(AND(E761&lt;&gt;"",E761&lt;&gt;"!!!"),"NEW","")))</f>
        <v/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53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523</v>
      </c>
      <c r="E762" s="20" t="str">
        <f t="shared" si="52"/>
        <v/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53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524</v>
      </c>
      <c r="E763" s="20" t="str">
        <f t="shared" si="52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53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135</v>
      </c>
      <c r="E764" s="20" t="str">
        <f t="shared" si="52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53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154</v>
      </c>
      <c r="E765" s="20" t="str">
        <f t="shared" si="52"/>
        <v/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53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6" spans="1:12" x14ac:dyDescent="0.3">
      <c r="A766" t="s">
        <v>251</v>
      </c>
      <c r="B766" s="26" t="s">
        <v>137</v>
      </c>
      <c r="C766" s="26" t="s">
        <v>120</v>
      </c>
      <c r="E766" s="20" t="str">
        <f t="shared" si="52"/>
        <v/>
      </c>
      <c r="F766" s="21" t="str">
        <f>IF(OR(E766="",E766="!!!"),"",IF(NOT(ISNA(VLOOKUP(E766,E$1:E765,1,FALSE()))),"OLD",IF(AND(E766&lt;&gt;"",E766&lt;&gt;"!!!"),"NEW","")))</f>
        <v/>
      </c>
      <c r="G766" s="22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t="shared" ca="1" si="53"/>
        <v/>
      </c>
      <c r="I766" s="24" t="str">
        <f>IF(OR(E766="",E766="!!!",F766="NEW"),"",INDEX(B$2:B765,-1+SUMPRODUCT(MAX(ROW(E$2:E765)*(E766=E$2:E765)))))</f>
        <v/>
      </c>
      <c r="J766" s="24" t="str">
        <f ca="1">IF(OR(E766="",E766="!!!",F766="NEW"),"",COUNTBLANK(OFFSET(A$1,,,SUMPRODUCT(MAX(ROW(E$2:E766)*(E766=E$2:E766)))))-COUNTBLANK(OFFSET(A$1,,,SUMPRODUCT(MAX(ROW(E$1:E765)*(E2=E$1:E765))))))</f>
        <v/>
      </c>
      <c r="K766" s="24" t="str">
        <f>IF(OR(E766="",E766="!!!",F766="NEW"),"",INDEX(J$1:J765,SUMPRODUCT(MAX(ROW(E$1:E765)*(E766=E$1:E765)))))</f>
        <v/>
      </c>
      <c r="L766" s="25"/>
    </row>
    <row r="767" spans="1:12" x14ac:dyDescent="0.3">
      <c r="A767" t="s">
        <v>279</v>
      </c>
      <c r="E767" s="20" t="str">
        <f t="shared" si="52"/>
        <v/>
      </c>
      <c r="F767" s="21" t="str">
        <f>IF(OR(E767="",E767="!!!"),"",IF(NOT(ISNA(VLOOKUP(E767,E$1:E766,1,FALSE()))),"OLD",IF(AND(E767&lt;&gt;"",E767&lt;&gt;"!!!"),"NEW","")))</f>
        <v/>
      </c>
      <c r="G767" s="22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t="shared" ca="1" si="53"/>
        <v/>
      </c>
      <c r="I767" s="24" t="str">
        <f>IF(OR(E767="",E767="!!!",F767="NEW"),"",INDEX(B$2:B766,-1+SUMPRODUCT(MAX(ROW(E$2:E766)*(E767=E$2:E766)))))</f>
        <v/>
      </c>
      <c r="J767" s="24" t="str">
        <f ca="1">IF(OR(E767="",E767="!!!",F767="NEW"),"",COUNTBLANK(OFFSET(A$1,,,SUMPRODUCT(MAX(ROW(E$2:E767)*(E767=E$2:E767)))))-COUNTBLANK(OFFSET(A$1,,,SUMPRODUCT(MAX(ROW(E$1:E766)*(E2=E$1:E766))))))</f>
        <v/>
      </c>
      <c r="K767" s="24" t="str">
        <f>IF(OR(E767="",E767="!!!",F767="NEW"),"",INDEX(J$1:J766,SUMPRODUCT(MAX(ROW(E$1:E766)*(E767=E$1:E766)))))</f>
        <v/>
      </c>
      <c r="L767" s="25"/>
    </row>
    <row r="768" spans="1:12" x14ac:dyDescent="0.3">
      <c r="A768" t="s">
        <v>391</v>
      </c>
      <c r="B768" s="26" t="s">
        <v>123</v>
      </c>
      <c r="C768" s="26" t="s">
        <v>105</v>
      </c>
      <c r="E768" s="20" t="str">
        <f t="shared" si="52"/>
        <v/>
      </c>
      <c r="F768" s="21" t="str">
        <f>IF(OR(E768="",E768="!!!"),"",IF(NOT(ISNA(VLOOKUP(E768,E$1:E767,1,FALSE()))),"OLD",IF(AND(E768&lt;&gt;"",E768&lt;&gt;"!!!"),"NEW","")))</f>
        <v/>
      </c>
      <c r="G768" s="22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3" t="str">
        <f t="shared" ca="1" si="53"/>
        <v/>
      </c>
      <c r="I768" s="24" t="str">
        <f>IF(OR(E768="",E768="!!!",F768="NEW"),"",INDEX(B$2:B767,-1+SUMPRODUCT(MAX(ROW(E$2:E767)*(E768=E$2:E767)))))</f>
        <v/>
      </c>
      <c r="J768" s="24" t="str">
        <f ca="1">IF(OR(E768="",E768="!!!",F768="NEW"),"",COUNTBLANK(OFFSET(A$1,,,SUMPRODUCT(MAX(ROW(E$2:E768)*(E768=E$2:E768)))))-COUNTBLANK(OFFSET(A$1,,,SUMPRODUCT(MAX(ROW(E$1:E767)*(E2=E$1:E767))))))</f>
        <v/>
      </c>
      <c r="K768" s="24" t="str">
        <f>IF(OR(E768="",E768="!!!",F768="NEW"),"",INDEX(J$1:J767,SUMPRODUCT(MAX(ROW(E$1:E767)*(E768=E$1:E767)))))</f>
        <v/>
      </c>
      <c r="L768" s="25"/>
    </row>
    <row r="769" spans="1:12" x14ac:dyDescent="0.3">
      <c r="A769" t="s">
        <v>125</v>
      </c>
      <c r="E769" s="20" t="str">
        <f t="shared" si="52"/>
        <v/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ca="1" si="53"/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1" spans="1:12" x14ac:dyDescent="0.3">
      <c r="A771" t="s">
        <v>249</v>
      </c>
      <c r="E771" s="20" t="str">
        <f>IF(D771="?OLD","!!!","")</f>
        <v/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ca="1">IF(J771&lt;&gt;1,"",IF(I771="SBJ","CB","?"))</f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525</v>
      </c>
    </row>
    <row r="773" spans="1:12" x14ac:dyDescent="0.3">
      <c r="A773" t="s">
        <v>526</v>
      </c>
      <c r="E773" s="20" t="str">
        <f t="shared" ref="E773:E804" si="54">IF(D773="?OLD","!!!","")</f>
        <v/>
      </c>
      <c r="F773" s="21" t="str">
        <f>IF(OR(E773="",E773="!!!"),"",IF(NOT(ISNA(VLOOKUP(E773,E$1:E772,1,FALSE()))),"OLD",IF(AND(E773&lt;&gt;"",E773&lt;&gt;"!!!"),"NEW","")))</f>
        <v/>
      </c>
      <c r="G773" s="22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3" t="str">
        <f t="shared" ref="H773:H804" ca="1" si="55">IF(J773&lt;&gt;1,"",IF(I773="SBJ","CB","?"))</f>
        <v/>
      </c>
      <c r="I773" s="24" t="str">
        <f>IF(OR(E773="",E773="!!!",F773="NEW"),"",INDEX(B$2:B772,-1+SUMPRODUCT(MAX(ROW(E$2:E772)*(E773=E$2:E772)))))</f>
        <v/>
      </c>
      <c r="J773" s="24" t="str">
        <f ca="1">IF(OR(E773="",E773="!!!",F773="NEW"),"",COUNTBLANK(OFFSET(A$1,,,SUMPRODUCT(MAX(ROW(E$2:E773)*(E773=E$2:E773)))))-COUNTBLANK(OFFSET(A$1,,,SUMPRODUCT(MAX(ROW(E$1:E772)*(E2=E$1:E772))))))</f>
        <v/>
      </c>
      <c r="K773" s="24" t="str">
        <f>IF(OR(E773="",E773="!!!",F773="NEW"),"",INDEX(J$1:J772,SUMPRODUCT(MAX(ROW(E$1:E772)*(E773=E$1:E772)))))</f>
        <v/>
      </c>
      <c r="L773" s="25"/>
    </row>
    <row r="774" spans="1:12" x14ac:dyDescent="0.3">
      <c r="A774" t="s">
        <v>527</v>
      </c>
      <c r="B774" s="26" t="s">
        <v>116</v>
      </c>
      <c r="C774" s="26" t="s">
        <v>161</v>
      </c>
      <c r="D774" s="26" t="s">
        <v>110</v>
      </c>
      <c r="E774" s="20" t="str">
        <f t="shared" si="54"/>
        <v>!!!</v>
      </c>
      <c r="F774" s="21" t="str">
        <f>IF(OR(E774="",E774="!!!"),"",IF(NOT(ISNA(VLOOKUP(E774,E$1:E773,1,FALSE()))),"OLD",IF(AND(E774&lt;&gt;"",E774&lt;&gt;"!!!"),"NEW","")))</f>
        <v/>
      </c>
      <c r="G774" s="22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3" t="str">
        <f t="shared" ca="1" si="55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5"/>
    </row>
    <row r="775" spans="1:12" x14ac:dyDescent="0.3">
      <c r="A775" t="s">
        <v>140</v>
      </c>
      <c r="E775" s="20" t="str">
        <f t="shared" si="54"/>
        <v/>
      </c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55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/>
    </row>
    <row r="776" spans="1:12" x14ac:dyDescent="0.3">
      <c r="A776" t="s">
        <v>396</v>
      </c>
      <c r="E776" s="20" t="str">
        <f t="shared" si="54"/>
        <v/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55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364</v>
      </c>
      <c r="B777" s="26" t="s">
        <v>137</v>
      </c>
      <c r="C777" s="26" t="s">
        <v>120</v>
      </c>
      <c r="E777" s="20" t="str">
        <f t="shared" si="54"/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55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8" spans="1:12" x14ac:dyDescent="0.3">
      <c r="A778" t="s">
        <v>221</v>
      </c>
      <c r="E778" s="20" t="str">
        <f t="shared" si="54"/>
        <v/>
      </c>
      <c r="F778" s="21" t="str">
        <f>IF(OR(E778="",E778="!!!"),"",IF(NOT(ISNA(VLOOKUP(E778,E$1:E777,1,FALSE()))),"OLD",IF(AND(E778&lt;&gt;"",E778&lt;&gt;"!!!"),"NEW","")))</f>
        <v/>
      </c>
      <c r="G778" s="22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t="shared" ca="1" si="55"/>
        <v/>
      </c>
      <c r="I778" s="24" t="str">
        <f>IF(OR(E778="",E778="!!!",F778="NEW"),"",INDEX(B$2:B777,-1+SUMPRODUCT(MAX(ROW(E$2:E777)*(E778=E$2:E777)))))</f>
        <v/>
      </c>
      <c r="J778" s="24" t="str">
        <f ca="1">IF(OR(E778="",E778="!!!",F778="NEW"),"",COUNTBLANK(OFFSET(A$1,,,SUMPRODUCT(MAX(ROW(E$2:E778)*(E778=E$2:E778)))))-COUNTBLANK(OFFSET(A$1,,,SUMPRODUCT(MAX(ROW(E$1:E777)*(E2=E$1:E777))))))</f>
        <v/>
      </c>
      <c r="K778" s="24" t="str">
        <f>IF(OR(E778="",E778="!!!",F778="NEW"),"",INDEX(J$1:J777,SUMPRODUCT(MAX(ROW(E$1:E777)*(E778=E$1:E777)))))</f>
        <v/>
      </c>
      <c r="L778" s="25"/>
    </row>
    <row r="779" spans="1:12" x14ac:dyDescent="0.3">
      <c r="A779" t="s">
        <v>114</v>
      </c>
      <c r="E779" s="20" t="str">
        <f t="shared" si="54"/>
        <v/>
      </c>
      <c r="F779" s="21" t="str">
        <f>IF(OR(E779="",E779="!!!"),"",IF(NOT(ISNA(VLOOKUP(E779,E$1:E778,1,FALSE()))),"OLD",IF(AND(E779&lt;&gt;"",E779&lt;&gt;"!!!"),"NEW","")))</f>
        <v/>
      </c>
      <c r="G779" s="22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3" t="str">
        <f t="shared" ca="1" si="55"/>
        <v/>
      </c>
      <c r="I779" s="24" t="str">
        <f>IF(OR(E779="",E779="!!!",F779="NEW"),"",INDEX(B$2:B778,-1+SUMPRODUCT(MAX(ROW(E$2:E778)*(E779=E$2:E778)))))</f>
        <v/>
      </c>
      <c r="J779" s="24" t="str">
        <f ca="1">IF(OR(E779="",E779="!!!",F779="NEW"),"",COUNTBLANK(OFFSET(A$1,,,SUMPRODUCT(MAX(ROW(E$2:E779)*(E779=E$2:E779)))))-COUNTBLANK(OFFSET(A$1,,,SUMPRODUCT(MAX(ROW(E$1:E778)*(E2=E$1:E778))))))</f>
        <v/>
      </c>
      <c r="K779" s="24" t="str">
        <f>IF(OR(E779="",E779="!!!",F779="NEW"),"",INDEX(J$1:J778,SUMPRODUCT(MAX(ROW(E$1:E778)*(E779=E$1:E778)))))</f>
        <v/>
      </c>
      <c r="L779" s="25"/>
    </row>
    <row r="780" spans="1:12" x14ac:dyDescent="0.3">
      <c r="A780" t="s">
        <v>528</v>
      </c>
      <c r="E780" s="20" t="str">
        <f t="shared" si="54"/>
        <v/>
      </c>
      <c r="F780" s="21" t="str">
        <f>IF(OR(E780="",E780="!!!"),"",IF(NOT(ISNA(VLOOKUP(E780,E$1:E779,1,FALSE()))),"OLD",IF(AND(E780&lt;&gt;"",E780&lt;&gt;"!!!"),"NEW","")))</f>
        <v/>
      </c>
      <c r="G780" s="22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3" t="str">
        <f t="shared" ca="1" si="55"/>
        <v/>
      </c>
      <c r="I780" s="24" t="str">
        <f>IF(OR(E780="",E780="!!!",F780="NEW"),"",INDEX(B$2:B779,-1+SUMPRODUCT(MAX(ROW(E$2:E779)*(E780=E$2:E779)))))</f>
        <v/>
      </c>
      <c r="J780" s="24" t="str">
        <f ca="1">IF(OR(E780="",E780="!!!",F780="NEW"),"",COUNTBLANK(OFFSET(A$1,,,SUMPRODUCT(MAX(ROW(E$2:E780)*(E780=E$2:E780)))))-COUNTBLANK(OFFSET(A$1,,,SUMPRODUCT(MAX(ROW(E$1:E779)*(E2=E$1:E779))))))</f>
        <v/>
      </c>
      <c r="K780" s="24" t="str">
        <f>IF(OR(E780="",E780="!!!",F780="NEW"),"",INDEX(J$1:J779,SUMPRODUCT(MAX(ROW(E$1:E779)*(E780=E$1:E779)))))</f>
        <v/>
      </c>
      <c r="L780" s="25"/>
    </row>
    <row r="781" spans="1:12" x14ac:dyDescent="0.3">
      <c r="A781" t="s">
        <v>322</v>
      </c>
      <c r="B781" s="26" t="s">
        <v>199</v>
      </c>
      <c r="C781" s="26" t="s">
        <v>260</v>
      </c>
      <c r="E781" s="20" t="str">
        <f t="shared" si="54"/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t="shared" ca="1" si="55"/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521</v>
      </c>
      <c r="B782" s="26" t="s">
        <v>283</v>
      </c>
      <c r="C782" s="26" t="s">
        <v>105</v>
      </c>
      <c r="E782" s="20" t="str">
        <f t="shared" si="54"/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t="shared" ca="1" si="55"/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267</v>
      </c>
      <c r="E783" s="20" t="str">
        <f t="shared" si="54"/>
        <v/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t="shared" ca="1" si="55"/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4" spans="1:12" x14ac:dyDescent="0.3">
      <c r="A784" t="s">
        <v>529</v>
      </c>
      <c r="B784" s="26" t="s">
        <v>199</v>
      </c>
      <c r="C784" s="26" t="s">
        <v>165</v>
      </c>
      <c r="E784" s="20" t="str">
        <f t="shared" si="54"/>
        <v/>
      </c>
      <c r="F784" s="21" t="str">
        <f>IF(OR(E784="",E784="!!!"),"",IF(NOT(ISNA(VLOOKUP(E784,E$1:E783,1,FALSE()))),"OLD",IF(AND(E784&lt;&gt;"",E784&lt;&gt;"!!!"),"NEW","")))</f>
        <v/>
      </c>
      <c r="G784" s="22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3" t="str">
        <f t="shared" ca="1" si="55"/>
        <v/>
      </c>
      <c r="I784" s="24" t="str">
        <f>IF(OR(E784="",E784="!!!",F784="NEW"),"",INDEX(B$2:B783,-1+SUMPRODUCT(MAX(ROW(E$2:E783)*(E784=E$2:E783)))))</f>
        <v/>
      </c>
      <c r="J784" s="24" t="str">
        <f ca="1">IF(OR(E784="",E784="!!!",F784="NEW"),"",COUNTBLANK(OFFSET(A$1,,,SUMPRODUCT(MAX(ROW(E$2:E784)*(E784=E$2:E784)))))-COUNTBLANK(OFFSET(A$1,,,SUMPRODUCT(MAX(ROW(E$1:E783)*(E2=E$1:E783))))))</f>
        <v/>
      </c>
      <c r="K784" s="24" t="str">
        <f>IF(OR(E784="",E784="!!!",F784="NEW"),"",INDEX(J$1:J783,SUMPRODUCT(MAX(ROW(E$1:E783)*(E784=E$1:E783)))))</f>
        <v/>
      </c>
      <c r="L784" s="25"/>
    </row>
    <row r="785" spans="1:12" x14ac:dyDescent="0.3">
      <c r="A785" t="s">
        <v>530</v>
      </c>
      <c r="E785" s="20" t="str">
        <f t="shared" si="54"/>
        <v/>
      </c>
      <c r="F785" s="21" t="str">
        <f>IF(OR(E785="",E785="!!!"),"",IF(NOT(ISNA(VLOOKUP(E785,E$1:E784,1,FALSE()))),"OLD",IF(AND(E785&lt;&gt;"",E785&lt;&gt;"!!!"),"NEW","")))</f>
        <v/>
      </c>
      <c r="G785" s="22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t="shared" ca="1" si="55"/>
        <v/>
      </c>
      <c r="I785" s="24" t="str">
        <f>IF(OR(E785="",E785="!!!",F785="NEW"),"",INDEX(B$2:B784,-1+SUMPRODUCT(MAX(ROW(E$2:E784)*(E785=E$2:E784)))))</f>
        <v/>
      </c>
      <c r="J785" s="24" t="str">
        <f ca="1">IF(OR(E785="",E785="!!!",F785="NEW"),"",COUNTBLANK(OFFSET(A$1,,,SUMPRODUCT(MAX(ROW(E$2:E785)*(E785=E$2:E785)))))-COUNTBLANK(OFFSET(A$1,,,SUMPRODUCT(MAX(ROW(E$1:E784)*(E2=E$1:E784))))))</f>
        <v/>
      </c>
      <c r="K785" s="24" t="str">
        <f>IF(OR(E785="",E785="!!!",F785="NEW"),"",INDEX(J$1:J784,SUMPRODUCT(MAX(ROW(E$1:E784)*(E785=E$1:E784)))))</f>
        <v/>
      </c>
      <c r="L785" s="25"/>
    </row>
    <row r="786" spans="1:12" x14ac:dyDescent="0.3">
      <c r="A786" t="s">
        <v>181</v>
      </c>
      <c r="E786" s="20" t="str">
        <f t="shared" si="54"/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ca="1" si="55"/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207</v>
      </c>
      <c r="B787" s="26" t="s">
        <v>123</v>
      </c>
      <c r="C787" s="26" t="s">
        <v>131</v>
      </c>
      <c r="D787" s="26" t="s">
        <v>110</v>
      </c>
      <c r="E787" s="20" t="str">
        <f t="shared" si="54"/>
        <v>!!!</v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55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531</v>
      </c>
      <c r="E788" s="20" t="str">
        <f t="shared" si="54"/>
        <v/>
      </c>
      <c r="F788" s="21" t="str">
        <f>IF(OR(E788="",E788="!!!"),"",IF(NOT(ISNA(VLOOKUP(E788,E$1:E787,1,FALSE()))),"OLD",IF(AND(E788&lt;&gt;"",E788&lt;&gt;"!!!"),"NEW","")))</f>
        <v/>
      </c>
      <c r="G788" s="22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3" t="str">
        <f t="shared" ca="1" si="55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5"/>
    </row>
    <row r="789" spans="1:12" x14ac:dyDescent="0.3">
      <c r="A789" t="s">
        <v>532</v>
      </c>
      <c r="E789" s="20" t="str">
        <f t="shared" si="54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55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114</v>
      </c>
      <c r="E790" s="20" t="str">
        <f t="shared" si="54"/>
        <v/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55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1" spans="1:12" x14ac:dyDescent="0.3">
      <c r="A791" t="s">
        <v>533</v>
      </c>
      <c r="E791" s="20" t="str">
        <f t="shared" si="54"/>
        <v/>
      </c>
      <c r="F791" s="21" t="str">
        <f>IF(OR(E791="",E791="!!!"),"",IF(NOT(ISNA(VLOOKUP(E791,E$1:E790,1,FALSE()))),"OLD",IF(AND(E791&lt;&gt;"",E791&lt;&gt;"!!!"),"NEW","")))</f>
        <v/>
      </c>
      <c r="G791" s="22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3" t="str">
        <f t="shared" ca="1" si="55"/>
        <v/>
      </c>
      <c r="I791" s="24" t="str">
        <f>IF(OR(E791="",E791="!!!",F791="NEW"),"",INDEX(B$2:B790,-1+SUMPRODUCT(MAX(ROW(E$2:E790)*(E791=E$2:E790)))))</f>
        <v/>
      </c>
      <c r="J791" s="24" t="str">
        <f ca="1">IF(OR(E791="",E791="!!!",F791="NEW"),"",COUNTBLANK(OFFSET(A$1,,,SUMPRODUCT(MAX(ROW(E$2:E791)*(E791=E$2:E791)))))-COUNTBLANK(OFFSET(A$1,,,SUMPRODUCT(MAX(ROW(E$1:E790)*(E2=E$1:E790))))))</f>
        <v/>
      </c>
      <c r="K791" s="24" t="str">
        <f>IF(OR(E791="",E791="!!!",F791="NEW"),"",INDEX(J$1:J790,SUMPRODUCT(MAX(ROW(E$1:E790)*(E791=E$1:E790)))))</f>
        <v/>
      </c>
      <c r="L791" s="25"/>
    </row>
    <row r="792" spans="1:12" x14ac:dyDescent="0.3">
      <c r="A792" t="s">
        <v>314</v>
      </c>
      <c r="B792" s="26" t="s">
        <v>266</v>
      </c>
      <c r="C792" s="26" t="s">
        <v>161</v>
      </c>
      <c r="D792" s="26" t="s">
        <v>110</v>
      </c>
      <c r="E792" s="20" t="str">
        <f t="shared" si="54"/>
        <v>!!!</v>
      </c>
      <c r="F792" s="21" t="str">
        <f>IF(OR(E792="",E792="!!!"),"",IF(NOT(ISNA(VLOOKUP(E792,E$1:E791,1,FALSE()))),"OLD",IF(AND(E792&lt;&gt;"",E792&lt;&gt;"!!!"),"NEW","")))</f>
        <v/>
      </c>
      <c r="G792" s="22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3" t="str">
        <f t="shared" ca="1" si="55"/>
        <v/>
      </c>
      <c r="I792" s="24" t="str">
        <f>IF(OR(E792="",E792="!!!",F792="NEW"),"",INDEX(B$2:B791,-1+SUMPRODUCT(MAX(ROW(E$2:E791)*(E792=E$2:E791)))))</f>
        <v/>
      </c>
      <c r="J792" s="24" t="str">
        <f ca="1">IF(OR(E792="",E792="!!!",F792="NEW"),"",COUNTBLANK(OFFSET(A$1,,,SUMPRODUCT(MAX(ROW(E$2:E792)*(E792=E$2:E792)))))-COUNTBLANK(OFFSET(A$1,,,SUMPRODUCT(MAX(ROW(E$1:E791)*(E2=E$1:E791))))))</f>
        <v/>
      </c>
      <c r="K792" s="24" t="str">
        <f>IF(OR(E792="",E792="!!!",F792="NEW"),"",INDEX(J$1:J791,SUMPRODUCT(MAX(ROW(E$1:E791)*(E792=E$1:E791)))))</f>
        <v/>
      </c>
      <c r="L792" s="25"/>
    </row>
    <row r="793" spans="1:12" x14ac:dyDescent="0.3">
      <c r="A793" t="s">
        <v>534</v>
      </c>
      <c r="E793" s="20" t="str">
        <f t="shared" si="54"/>
        <v/>
      </c>
      <c r="F793" s="21" t="str">
        <f>IF(OR(E793="",E793="!!!"),"",IF(NOT(ISNA(VLOOKUP(E793,E$1:E792,1,FALSE()))),"OLD",IF(AND(E793&lt;&gt;"",E793&lt;&gt;"!!!"),"NEW","")))</f>
        <v/>
      </c>
      <c r="G793" s="22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3" t="str">
        <f t="shared" ca="1" si="55"/>
        <v/>
      </c>
      <c r="I793" s="24" t="str">
        <f>IF(OR(E793="",E793="!!!",F793="NEW"),"",INDEX(B$2:B792,-1+SUMPRODUCT(MAX(ROW(E$2:E792)*(E793=E$2:E792)))))</f>
        <v/>
      </c>
      <c r="J793" s="24" t="str">
        <f ca="1">IF(OR(E793="",E793="!!!",F793="NEW"),"",COUNTBLANK(OFFSET(A$1,,,SUMPRODUCT(MAX(ROW(E$2:E793)*(E793=E$2:E793)))))-COUNTBLANK(OFFSET(A$1,,,SUMPRODUCT(MAX(ROW(E$1:E792)*(E2=E$1:E792))))))</f>
        <v/>
      </c>
      <c r="K793" s="24" t="str">
        <f>IF(OR(E793="",E793="!!!",F793="NEW"),"",INDEX(J$1:J792,SUMPRODUCT(MAX(ROW(E$1:E792)*(E793=E$1:E792)))))</f>
        <v/>
      </c>
      <c r="L793" s="25"/>
    </row>
    <row r="794" spans="1:12" x14ac:dyDescent="0.3">
      <c r="A794" t="s">
        <v>114</v>
      </c>
      <c r="E794" s="20" t="str">
        <f t="shared" si="54"/>
        <v/>
      </c>
      <c r="F794" s="21" t="str">
        <f>IF(OR(E794="",E794="!!!"),"",IF(NOT(ISNA(VLOOKUP(E794,E$1:E793,1,FALSE()))),"OLD",IF(AND(E794&lt;&gt;"",E794&lt;&gt;"!!!"),"NEW","")))</f>
        <v/>
      </c>
      <c r="G794" s="22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t="shared" ca="1" si="55"/>
        <v/>
      </c>
      <c r="I794" s="24" t="str">
        <f>IF(OR(E794="",E794="!!!",F794="NEW"),"",INDEX(B$2:B793,-1+SUMPRODUCT(MAX(ROW(E$2:E793)*(E794=E$2:E793)))))</f>
        <v/>
      </c>
      <c r="J794" s="24" t="str">
        <f ca="1">IF(OR(E794="",E794="!!!",F794="NEW"),"",COUNTBLANK(OFFSET(A$1,,,SUMPRODUCT(MAX(ROW(E$2:E794)*(E794=E$2:E794)))))-COUNTBLANK(OFFSET(A$1,,,SUMPRODUCT(MAX(ROW(E$1:E793)*(E2=E$1:E793))))))</f>
        <v/>
      </c>
      <c r="K794" s="24" t="str">
        <f>IF(OR(E794="",E794="!!!",F794="NEW"),"",INDEX(J$1:J793,SUMPRODUCT(MAX(ROW(E$1:E793)*(E794=E$1:E793)))))</f>
        <v/>
      </c>
      <c r="L794" s="25"/>
    </row>
    <row r="795" spans="1:12" x14ac:dyDescent="0.3">
      <c r="A795" t="s">
        <v>431</v>
      </c>
      <c r="E795" s="20" t="str">
        <f t="shared" si="54"/>
        <v/>
      </c>
      <c r="F795" s="21" t="str">
        <f>IF(OR(E795="",E795="!!!"),"",IF(NOT(ISNA(VLOOKUP(E795,E$1:E794,1,FALSE()))),"OLD",IF(AND(E795&lt;&gt;"",E795&lt;&gt;"!!!"),"NEW","")))</f>
        <v/>
      </c>
      <c r="G795" s="22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t="shared" ca="1" si="55"/>
        <v/>
      </c>
      <c r="I795" s="24" t="str">
        <f>IF(OR(E795="",E795="!!!",F795="NEW"),"",INDEX(B$2:B794,-1+SUMPRODUCT(MAX(ROW(E$2:E794)*(E795=E$2:E794)))))</f>
        <v/>
      </c>
      <c r="J795" s="24" t="str">
        <f ca="1">IF(OR(E795="",E795="!!!",F795="NEW"),"",COUNTBLANK(OFFSET(A$1,,,SUMPRODUCT(MAX(ROW(E$2:E795)*(E795=E$2:E795)))))-COUNTBLANK(OFFSET(A$1,,,SUMPRODUCT(MAX(ROW(E$1:E794)*(E2=E$1:E794))))))</f>
        <v/>
      </c>
      <c r="K795" s="24" t="str">
        <f>IF(OR(E795="",E795="!!!",F795="NEW"),"",INDEX(J$1:J794,SUMPRODUCT(MAX(ROW(E$1:E794)*(E795=E$1:E794)))))</f>
        <v/>
      </c>
      <c r="L795" s="25"/>
    </row>
    <row r="796" spans="1:12" x14ac:dyDescent="0.3">
      <c r="A796" t="s">
        <v>535</v>
      </c>
      <c r="E796" s="20" t="str">
        <f t="shared" si="54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55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152</v>
      </c>
      <c r="E797" s="20" t="str">
        <f t="shared" si="54"/>
        <v/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55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221</v>
      </c>
      <c r="E798" s="20" t="str">
        <f t="shared" si="54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55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114</v>
      </c>
      <c r="E799" s="20" t="str">
        <f t="shared" si="54"/>
        <v/>
      </c>
      <c r="F799" s="21" t="str">
        <f>IF(OR(E799="",E799="!!!"),"",IF(NOT(ISNA(VLOOKUP(E799,E$1:E798,1,FALSE()))),"OLD",IF(AND(E799&lt;&gt;"",E799&lt;&gt;"!!!"),"NEW","")))</f>
        <v/>
      </c>
      <c r="G799" s="22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t="shared" ca="1" si="55"/>
        <v/>
      </c>
      <c r="I799" s="24" t="str">
        <f>IF(OR(E799="",E799="!!!",F799="NEW"),"",INDEX(B$2:B798,-1+SUMPRODUCT(MAX(ROW(E$2:E798)*(E799=E$2:E798)))))</f>
        <v/>
      </c>
      <c r="J799" s="24" t="str">
        <f ca="1">IF(OR(E799="",E799="!!!",F799="NEW"),"",COUNTBLANK(OFFSET(A$1,,,SUMPRODUCT(MAX(ROW(E$2:E799)*(E799=E$2:E799)))))-COUNTBLANK(OFFSET(A$1,,,SUMPRODUCT(MAX(ROW(E$1:E798)*(E2=E$1:E798))))))</f>
        <v/>
      </c>
      <c r="K799" s="24" t="str">
        <f>IF(OR(E799="",E799="!!!",F799="NEW"),"",INDEX(J$1:J798,SUMPRODUCT(MAX(ROW(E$1:E798)*(E799=E$1:E798)))))</f>
        <v/>
      </c>
      <c r="L799" s="25"/>
    </row>
    <row r="800" spans="1:12" x14ac:dyDescent="0.3">
      <c r="A800" t="s">
        <v>138</v>
      </c>
      <c r="E800" s="20" t="str">
        <f t="shared" si="54"/>
        <v/>
      </c>
      <c r="F800" s="21" t="str">
        <f>IF(OR(E800="",E800="!!!"),"",IF(NOT(ISNA(VLOOKUP(E800,E$1:E799,1,FALSE()))),"OLD",IF(AND(E800&lt;&gt;"",E800&lt;&gt;"!!!"),"NEW","")))</f>
        <v/>
      </c>
      <c r="G800" s="22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t="shared" ca="1" si="55"/>
        <v/>
      </c>
      <c r="I800" s="24" t="str">
        <f>IF(OR(E800="",E800="!!!",F800="NEW"),"",INDEX(B$2:B799,-1+SUMPRODUCT(MAX(ROW(E$2:E799)*(E800=E$2:E799)))))</f>
        <v/>
      </c>
      <c r="J800" s="24" t="str">
        <f ca="1">IF(OR(E800="",E800="!!!",F800="NEW"),"",COUNTBLANK(OFFSET(A$1,,,SUMPRODUCT(MAX(ROW(E$2:E800)*(E800=E$2:E800)))))-COUNTBLANK(OFFSET(A$1,,,SUMPRODUCT(MAX(ROW(E$1:E799)*(E2=E$1:E799))))))</f>
        <v/>
      </c>
      <c r="K800" s="24" t="str">
        <f>IF(OR(E800="",E800="!!!",F800="NEW"),"",INDEX(J$1:J799,SUMPRODUCT(MAX(ROW(E$1:E799)*(E800=E$1:E799)))))</f>
        <v/>
      </c>
      <c r="L800" s="25"/>
    </row>
    <row r="801" spans="1:12" x14ac:dyDescent="0.3">
      <c r="A801" t="s">
        <v>328</v>
      </c>
      <c r="E801" s="20" t="str">
        <f t="shared" si="54"/>
        <v/>
      </c>
      <c r="F801" s="21" t="str">
        <f>IF(OR(E801="",E801="!!!"),"",IF(NOT(ISNA(VLOOKUP(E801,E$1:E800,1,FALSE()))),"OLD",IF(AND(E801&lt;&gt;"",E801&lt;&gt;"!!!"),"NEW","")))</f>
        <v/>
      </c>
      <c r="G801" s="22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3" t="str">
        <f t="shared" ca="1" si="55"/>
        <v/>
      </c>
      <c r="I801" s="24" t="str">
        <f>IF(OR(E801="",E801="!!!",F801="NEW"),"",INDEX(B$2:B800,-1+SUMPRODUCT(MAX(ROW(E$2:E800)*(E801=E$2:E800)))))</f>
        <v/>
      </c>
      <c r="J801" s="24" t="str">
        <f ca="1">IF(OR(E801="",E801="!!!",F801="NEW"),"",COUNTBLANK(OFFSET(A$1,,,SUMPRODUCT(MAX(ROW(E$2:E801)*(E801=E$2:E801)))))-COUNTBLANK(OFFSET(A$1,,,SUMPRODUCT(MAX(ROW(E$1:E800)*(E2=E$1:E800))))))</f>
        <v/>
      </c>
      <c r="K801" s="24" t="str">
        <f>IF(OR(E801="",E801="!!!",F801="NEW"),"",INDEX(J$1:J800,SUMPRODUCT(MAX(ROW(E$1:E800)*(E801=E$1:E800)))))</f>
        <v/>
      </c>
      <c r="L801" s="25"/>
    </row>
    <row r="802" spans="1:12" x14ac:dyDescent="0.3">
      <c r="A802" t="s">
        <v>536</v>
      </c>
      <c r="E802" s="20" t="str">
        <f t="shared" si="54"/>
        <v/>
      </c>
      <c r="F802" s="21" t="str">
        <f>IF(OR(E802="",E802="!!!"),"",IF(NOT(ISNA(VLOOKUP(E802,E$1:E801,1,FALSE()))),"OLD",IF(AND(E802&lt;&gt;"",E802&lt;&gt;"!!!"),"NEW","")))</f>
        <v/>
      </c>
      <c r="G802" s="22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3" t="str">
        <f t="shared" ca="1" si="55"/>
        <v/>
      </c>
      <c r="I802" s="24" t="str">
        <f>IF(OR(E802="",E802="!!!",F802="NEW"),"",INDEX(B$2:B801,-1+SUMPRODUCT(MAX(ROW(E$2:E801)*(E802=E$2:E801)))))</f>
        <v/>
      </c>
      <c r="J802" s="24" t="str">
        <f ca="1">IF(OR(E802="",E802="!!!",F802="NEW"),"",COUNTBLANK(OFFSET(A$1,,,SUMPRODUCT(MAX(ROW(E$2:E802)*(E802=E$2:E802)))))-COUNTBLANK(OFFSET(A$1,,,SUMPRODUCT(MAX(ROW(E$1:E801)*(E2=E$1:E801))))))</f>
        <v/>
      </c>
      <c r="K802" s="24" t="str">
        <f>IF(OR(E802="",E802="!!!",F802="NEW"),"",INDEX(J$1:J801,SUMPRODUCT(MAX(ROW(E$1:E801)*(E802=E$1:E801)))))</f>
        <v/>
      </c>
      <c r="L802" s="25"/>
    </row>
    <row r="803" spans="1:12" x14ac:dyDescent="0.3">
      <c r="A803" t="s">
        <v>431</v>
      </c>
      <c r="E803" s="20" t="str">
        <f t="shared" si="54"/>
        <v/>
      </c>
      <c r="F803" s="21" t="str">
        <f>IF(OR(E803="",E803="!!!"),"",IF(NOT(ISNA(VLOOKUP(E803,E$1:E802,1,FALSE()))),"OLD",IF(AND(E803&lt;&gt;"",E803&lt;&gt;"!!!"),"NEW","")))</f>
        <v/>
      </c>
      <c r="G803" s="22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3" t="str">
        <f t="shared" ca="1" si="55"/>
        <v/>
      </c>
      <c r="I803" s="24" t="str">
        <f>IF(OR(E803="",E803="!!!",F803="NEW"),"",INDEX(B$2:B802,-1+SUMPRODUCT(MAX(ROW(E$2:E802)*(E803=E$2:E802)))))</f>
        <v/>
      </c>
      <c r="J803" s="24" t="str">
        <f ca="1">IF(OR(E803="",E803="!!!",F803="NEW"),"",COUNTBLANK(OFFSET(A$1,,,SUMPRODUCT(MAX(ROW(E$2:E803)*(E803=E$2:E803)))))-COUNTBLANK(OFFSET(A$1,,,SUMPRODUCT(MAX(ROW(E$1:E802)*(E2=E$1:E802))))))</f>
        <v/>
      </c>
      <c r="K803" s="24" t="str">
        <f>IF(OR(E803="",E803="!!!",F803="NEW"),"",INDEX(J$1:J802,SUMPRODUCT(MAX(ROW(E$1:E802)*(E803=E$1:E802)))))</f>
        <v/>
      </c>
      <c r="L803" s="25"/>
    </row>
    <row r="804" spans="1:12" x14ac:dyDescent="0.3">
      <c r="A804" t="s">
        <v>152</v>
      </c>
      <c r="E804" s="20" t="str">
        <f t="shared" si="54"/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55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537</v>
      </c>
      <c r="E805" s="20" t="str">
        <f t="shared" ref="E805:E836" si="56">IF(D805="?OLD","!!!","")</f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ref="H805:H836" ca="1" si="57">IF(J805&lt;&gt;1,"",IF(I805="SBJ","CB","?"))</f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114</v>
      </c>
      <c r="E806" s="20" t="str">
        <f t="shared" si="56"/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57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532</v>
      </c>
      <c r="E807" s="20" t="str">
        <f t="shared" si="56"/>
        <v/>
      </c>
      <c r="F807" s="21" t="str">
        <f>IF(OR(E807="",E807="!!!"),"",IF(NOT(ISNA(VLOOKUP(E807,E$1:E806,1,FALSE()))),"OLD",IF(AND(E807&lt;&gt;"",E807&lt;&gt;"!!!"),"NEW","")))</f>
        <v/>
      </c>
      <c r="G807" s="22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t="shared" ca="1" si="57"/>
        <v/>
      </c>
      <c r="I807" s="24" t="str">
        <f>IF(OR(E807="",E807="!!!",F807="NEW"),"",INDEX(B$2:B806,-1+SUMPRODUCT(MAX(ROW(E$2:E806)*(E807=E$2:E806)))))</f>
        <v/>
      </c>
      <c r="J807" s="24" t="str">
        <f ca="1">IF(OR(E807="",E807="!!!",F807="NEW"),"",COUNTBLANK(OFFSET(A$1,,,SUMPRODUCT(MAX(ROW(E$2:E807)*(E807=E$2:E807)))))-COUNTBLANK(OFFSET(A$1,,,SUMPRODUCT(MAX(ROW(E$1:E806)*(E2=E$1:E806))))))</f>
        <v/>
      </c>
      <c r="K807" s="24" t="str">
        <f>IF(OR(E807="",E807="!!!",F807="NEW"),"",INDEX(J$1:J806,SUMPRODUCT(MAX(ROW(E$1:E806)*(E807=E$1:E806)))))</f>
        <v/>
      </c>
      <c r="L807" s="25"/>
    </row>
    <row r="808" spans="1:12" x14ac:dyDescent="0.3">
      <c r="A808" t="s">
        <v>440</v>
      </c>
      <c r="E808" s="20" t="str">
        <f t="shared" si="56"/>
        <v/>
      </c>
      <c r="F808" s="21" t="str">
        <f>IF(OR(E808="",E808="!!!"),"",IF(NOT(ISNA(VLOOKUP(E808,E$1:E807,1,FALSE()))),"OLD",IF(AND(E808&lt;&gt;"",E808&lt;&gt;"!!!"),"NEW","")))</f>
        <v/>
      </c>
      <c r="G808" s="22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3" t="str">
        <f t="shared" ca="1" si="57"/>
        <v/>
      </c>
      <c r="I808" s="24" t="str">
        <f>IF(OR(E808="",E808="!!!",F808="NEW"),"",INDEX(B$2:B807,-1+SUMPRODUCT(MAX(ROW(E$2:E807)*(E808=E$2:E807)))))</f>
        <v/>
      </c>
      <c r="J808" s="24" t="str">
        <f ca="1">IF(OR(E808="",E808="!!!",F808="NEW"),"",COUNTBLANK(OFFSET(A$1,,,SUMPRODUCT(MAX(ROW(E$2:E808)*(E808=E$2:E808)))))-COUNTBLANK(OFFSET(A$1,,,SUMPRODUCT(MAX(ROW(E$1:E807)*(E2=E$1:E807))))))</f>
        <v/>
      </c>
      <c r="K808" s="24" t="str">
        <f>IF(OR(E808="",E808="!!!",F808="NEW"),"",INDEX(J$1:J807,SUMPRODUCT(MAX(ROW(E$1:E807)*(E808=E$1:E807)))))</f>
        <v/>
      </c>
      <c r="L808" s="25"/>
    </row>
    <row r="809" spans="1:12" x14ac:dyDescent="0.3">
      <c r="A809" t="s">
        <v>538</v>
      </c>
      <c r="E809" s="20" t="str">
        <f t="shared" si="56"/>
        <v/>
      </c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57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5"/>
    </row>
    <row r="810" spans="1:12" x14ac:dyDescent="0.3">
      <c r="A810" t="s">
        <v>539</v>
      </c>
      <c r="E810" s="20" t="str">
        <f t="shared" si="56"/>
        <v/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57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1" spans="1:12" x14ac:dyDescent="0.3">
      <c r="A811" t="s">
        <v>540</v>
      </c>
      <c r="B811" s="26" t="s">
        <v>112</v>
      </c>
      <c r="C811" s="26" t="s">
        <v>230</v>
      </c>
      <c r="D811" s="26" t="s">
        <v>110</v>
      </c>
      <c r="E811" s="20" t="str">
        <f t="shared" si="56"/>
        <v>!!!</v>
      </c>
      <c r="F811" s="21" t="str">
        <f>IF(OR(E811="",E811="!!!"),"",IF(NOT(ISNA(VLOOKUP(E811,E$1:E810,1,FALSE()))),"OLD",IF(AND(E811&lt;&gt;"",E811&lt;&gt;"!!!"),"NEW","")))</f>
        <v/>
      </c>
      <c r="G811" s="22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3" t="str">
        <f t="shared" ca="1" si="57"/>
        <v/>
      </c>
      <c r="I811" s="24" t="str">
        <f>IF(OR(E811="",E811="!!!",F811="NEW"),"",INDEX(B$2:B810,-1+SUMPRODUCT(MAX(ROW(E$2:E810)*(E811=E$2:E810)))))</f>
        <v/>
      </c>
      <c r="J811" s="24" t="str">
        <f ca="1">IF(OR(E811="",E811="!!!",F811="NEW"),"",COUNTBLANK(OFFSET(A$1,,,SUMPRODUCT(MAX(ROW(E$2:E811)*(E811=E$2:E811)))))-COUNTBLANK(OFFSET(A$1,,,SUMPRODUCT(MAX(ROW(E$1:E810)*(E2=E$1:E810))))))</f>
        <v/>
      </c>
      <c r="K811" s="24" t="str">
        <f>IF(OR(E811="",E811="!!!",F811="NEW"),"",INDEX(J$1:J810,SUMPRODUCT(MAX(ROW(E$1:E810)*(E811=E$1:E810)))))</f>
        <v/>
      </c>
      <c r="L811" s="25"/>
    </row>
    <row r="812" spans="1:12" x14ac:dyDescent="0.3">
      <c r="A812" t="s">
        <v>541</v>
      </c>
      <c r="E812" s="20" t="str">
        <f t="shared" si="56"/>
        <v/>
      </c>
      <c r="F812" s="21" t="str">
        <f>IF(OR(E812="",E812="!!!"),"",IF(NOT(ISNA(VLOOKUP(E812,E$1:E811,1,FALSE()))),"OLD",IF(AND(E812&lt;&gt;"",E812&lt;&gt;"!!!"),"NEW","")))</f>
        <v/>
      </c>
      <c r="G812" s="22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3" t="str">
        <f t="shared" ca="1" si="57"/>
        <v/>
      </c>
      <c r="I812" s="24" t="str">
        <f>IF(OR(E812="",E812="!!!",F812="NEW"),"",INDEX(B$2:B811,-1+SUMPRODUCT(MAX(ROW(E$2:E811)*(E812=E$2:E811)))))</f>
        <v/>
      </c>
      <c r="J812" s="24" t="str">
        <f ca="1">IF(OR(E812="",E812="!!!",F812="NEW"),"",COUNTBLANK(OFFSET(A$1,,,SUMPRODUCT(MAX(ROW(E$2:E812)*(E812=E$2:E812)))))-COUNTBLANK(OFFSET(A$1,,,SUMPRODUCT(MAX(ROW(E$1:E811)*(E2=E$1:E811))))))</f>
        <v/>
      </c>
      <c r="K812" s="24" t="str">
        <f>IF(OR(E812="",E812="!!!",F812="NEW"),"",INDEX(J$1:J811,SUMPRODUCT(MAX(ROW(E$1:E811)*(E812=E$1:E811)))))</f>
        <v/>
      </c>
      <c r="L812" s="25"/>
    </row>
    <row r="813" spans="1:12" x14ac:dyDescent="0.3">
      <c r="A813" t="s">
        <v>114</v>
      </c>
      <c r="E813" s="20" t="str">
        <f t="shared" si="56"/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ca="1" si="57"/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179</v>
      </c>
      <c r="B814" s="26" t="s">
        <v>116</v>
      </c>
      <c r="E814" s="20" t="str">
        <f t="shared" si="56"/>
        <v/>
      </c>
      <c r="F814" s="21" t="str">
        <f>IF(OR(E814="",E814="!!!"),"",IF(NOT(ISNA(VLOOKUP(E814,E$1:E813,1,FALSE()))),"OLD",IF(AND(E814&lt;&gt;"",E814&lt;&gt;"!!!"),"NEW","")))</f>
        <v/>
      </c>
      <c r="G814" s="22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3" t="str">
        <f t="shared" ca="1" si="57"/>
        <v/>
      </c>
      <c r="I814" s="24" t="str">
        <f>IF(OR(E814="",E814="!!!",F814="NEW"),"",INDEX(B$2:B813,-1+SUMPRODUCT(MAX(ROW(E$2:E813)*(E814=E$2:E813)))))</f>
        <v/>
      </c>
      <c r="J814" s="24" t="str">
        <f ca="1">IF(OR(E814="",E814="!!!",F814="NEW"),"",COUNTBLANK(OFFSET(A$1,,,SUMPRODUCT(MAX(ROW(E$2:E814)*(E814=E$2:E814)))))-COUNTBLANK(OFFSET(A$1,,,SUMPRODUCT(MAX(ROW(E$1:E813)*(E2=E$1:E813))))))</f>
        <v/>
      </c>
      <c r="K814" s="24" t="str">
        <f>IF(OR(E814="",E814="!!!",F814="NEW"),"",INDEX(J$1:J813,SUMPRODUCT(MAX(ROW(E$1:E813)*(E814=E$1:E813)))))</f>
        <v/>
      </c>
      <c r="L814" s="25"/>
    </row>
    <row r="815" spans="1:12" x14ac:dyDescent="0.3">
      <c r="A815" t="s">
        <v>179</v>
      </c>
      <c r="E815" s="20" t="str">
        <f t="shared" si="56"/>
        <v/>
      </c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57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5"/>
    </row>
    <row r="816" spans="1:12" x14ac:dyDescent="0.3">
      <c r="A816" t="s">
        <v>252</v>
      </c>
      <c r="E816" s="20" t="str">
        <f t="shared" si="56"/>
        <v/>
      </c>
      <c r="F816" s="21" t="str">
        <f>IF(OR(E816="",E816="!!!"),"",IF(NOT(ISNA(VLOOKUP(E816,E$1:E815,1,FALSE()))),"OLD",IF(AND(E816&lt;&gt;"",E816&lt;&gt;"!!!"),"NEW","")))</f>
        <v/>
      </c>
      <c r="G816" s="22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t="shared" ca="1" si="57"/>
        <v/>
      </c>
      <c r="I816" s="24" t="str">
        <f>IF(OR(E816="",E816="!!!",F816="NEW"),"",INDEX(B$2:B815,-1+SUMPRODUCT(MAX(ROW(E$2:E815)*(E816=E$2:E815)))))</f>
        <v/>
      </c>
      <c r="J816" s="24" t="str">
        <f ca="1">IF(OR(E816="",E816="!!!",F816="NEW"),"",COUNTBLANK(OFFSET(A$1,,,SUMPRODUCT(MAX(ROW(E$2:E816)*(E816=E$2:E816)))))-COUNTBLANK(OFFSET(A$1,,,SUMPRODUCT(MAX(ROW(E$1:E815)*(E2=E$1:E815))))))</f>
        <v/>
      </c>
      <c r="K816" s="24" t="str">
        <f>IF(OR(E816="",E816="!!!",F816="NEW"),"",INDEX(J$1:J815,SUMPRODUCT(MAX(ROW(E$1:E815)*(E816=E$1:E815)))))</f>
        <v/>
      </c>
      <c r="L816" s="25"/>
    </row>
    <row r="817" spans="1:12" x14ac:dyDescent="0.3">
      <c r="A817" t="s">
        <v>542</v>
      </c>
      <c r="E817" s="20" t="str">
        <f t="shared" si="56"/>
        <v/>
      </c>
      <c r="F817" s="21" t="str">
        <f>IF(OR(E817="",E817="!!!"),"",IF(NOT(ISNA(VLOOKUP(E817,E$1:E816,1,FALSE()))),"OLD",IF(AND(E817&lt;&gt;"",E817&lt;&gt;"!!!"),"NEW","")))</f>
        <v/>
      </c>
      <c r="G817" s="22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t="shared" ca="1" si="57"/>
        <v/>
      </c>
      <c r="I817" s="24" t="str">
        <f>IF(OR(E817="",E817="!!!",F817="NEW"),"",INDEX(B$2:B816,-1+SUMPRODUCT(MAX(ROW(E$2:E816)*(E817=E$2:E816)))))</f>
        <v/>
      </c>
      <c r="J817" s="24" t="str">
        <f ca="1">IF(OR(E817="",E817="!!!",F817="NEW"),"",COUNTBLANK(OFFSET(A$1,,,SUMPRODUCT(MAX(ROW(E$2:E817)*(E817=E$2:E817)))))-COUNTBLANK(OFFSET(A$1,,,SUMPRODUCT(MAX(ROW(E$1:E816)*(E2=E$1:E816))))))</f>
        <v/>
      </c>
      <c r="K817" s="24" t="str">
        <f>IF(OR(E817="",E817="!!!",F817="NEW"),"",INDEX(J$1:J816,SUMPRODUCT(MAX(ROW(E$1:E816)*(E817=E$1:E816)))))</f>
        <v/>
      </c>
      <c r="L817" s="25"/>
    </row>
    <row r="818" spans="1:12" x14ac:dyDescent="0.3">
      <c r="A818" t="s">
        <v>182</v>
      </c>
      <c r="B818" s="26" t="s">
        <v>119</v>
      </c>
      <c r="C818" s="26" t="s">
        <v>131</v>
      </c>
      <c r="D818" s="26" t="s">
        <v>110</v>
      </c>
      <c r="E818" s="20" t="str">
        <f t="shared" si="56"/>
        <v>!!!</v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57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252</v>
      </c>
      <c r="E819" s="20" t="str">
        <f t="shared" si="56"/>
        <v/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57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543</v>
      </c>
      <c r="E820" s="20" t="str">
        <f t="shared" si="56"/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57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279</v>
      </c>
      <c r="E821" s="20" t="str">
        <f t="shared" si="56"/>
        <v/>
      </c>
      <c r="F821" s="21" t="str">
        <f>IF(OR(E821="",E821="!!!"),"",IF(NOT(ISNA(VLOOKUP(E821,E$1:E820,1,FALSE()))),"OLD",IF(AND(E821&lt;&gt;"",E821&lt;&gt;"!!!"),"NEW","")))</f>
        <v/>
      </c>
      <c r="G821" s="22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3" t="str">
        <f t="shared" ca="1" si="57"/>
        <v/>
      </c>
      <c r="I821" s="24" t="str">
        <f>IF(OR(E821="",E821="!!!",F821="NEW"),"",INDEX(B$2:B820,-1+SUMPRODUCT(MAX(ROW(E$2:E820)*(E821=E$2:E820)))))</f>
        <v/>
      </c>
      <c r="J821" s="24" t="str">
        <f ca="1">IF(OR(E821="",E821="!!!",F821="NEW"),"",COUNTBLANK(OFFSET(A$1,,,SUMPRODUCT(MAX(ROW(E$2:E821)*(E821=E$2:E821)))))-COUNTBLANK(OFFSET(A$1,,,SUMPRODUCT(MAX(ROW(E$1:E820)*(E2=E$1:E820))))))</f>
        <v/>
      </c>
      <c r="K821" s="24" t="str">
        <f>IF(OR(E821="",E821="!!!",F821="NEW"),"",INDEX(J$1:J820,SUMPRODUCT(MAX(ROW(E$1:E820)*(E821=E$1:E820)))))</f>
        <v/>
      </c>
      <c r="L821" s="25"/>
    </row>
    <row r="822" spans="1:12" x14ac:dyDescent="0.3">
      <c r="A822" t="s">
        <v>192</v>
      </c>
      <c r="E822" s="20" t="str">
        <f t="shared" si="56"/>
        <v/>
      </c>
      <c r="F822" s="21" t="str">
        <f>IF(OR(E822="",E822="!!!"),"",IF(NOT(ISNA(VLOOKUP(E822,E$1:E821,1,FALSE()))),"OLD",IF(AND(E822&lt;&gt;"",E822&lt;&gt;"!!!"),"NEW","")))</f>
        <v/>
      </c>
      <c r="G822" s="22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t="shared" ca="1" si="57"/>
        <v/>
      </c>
      <c r="I822" s="24" t="str">
        <f>IF(OR(E822="",E822="!!!",F822="NEW"),"",INDEX(B$2:B821,-1+SUMPRODUCT(MAX(ROW(E$2:E821)*(E822=E$2:E821)))))</f>
        <v/>
      </c>
      <c r="J822" s="24" t="str">
        <f ca="1">IF(OR(E822="",E822="!!!",F822="NEW"),"",COUNTBLANK(OFFSET(A$1,,,SUMPRODUCT(MAX(ROW(E$2:E822)*(E822=E$2:E822)))))-COUNTBLANK(OFFSET(A$1,,,SUMPRODUCT(MAX(ROW(E$1:E821)*(E2=E$1:E821))))))</f>
        <v/>
      </c>
      <c r="K822" s="24" t="str">
        <f>IF(OR(E822="",E822="!!!",F822="NEW"),"",INDEX(J$1:J821,SUMPRODUCT(MAX(ROW(E$1:E821)*(E822=E$1:E821)))))</f>
        <v/>
      </c>
      <c r="L822" s="25"/>
    </row>
    <row r="823" spans="1:12" x14ac:dyDescent="0.3">
      <c r="A823" t="s">
        <v>544</v>
      </c>
      <c r="B823" s="26" t="s">
        <v>104</v>
      </c>
      <c r="C823" s="26" t="s">
        <v>105</v>
      </c>
      <c r="E823" s="20" t="str">
        <f t="shared" si="56"/>
        <v/>
      </c>
      <c r="F823" s="21" t="str">
        <f>IF(OR(E823="",E823="!!!"),"",IF(NOT(ISNA(VLOOKUP(E823,E$1:E822,1,FALSE()))),"OLD",IF(AND(E823&lt;&gt;"",E823&lt;&gt;"!!!"),"NEW","")))</f>
        <v/>
      </c>
      <c r="G823" s="22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t="shared" ca="1" si="57"/>
        <v/>
      </c>
      <c r="I823" s="24" t="str">
        <f>IF(OR(E823="",E823="!!!",F823="NEW"),"",INDEX(B$2:B822,-1+SUMPRODUCT(MAX(ROW(E$2:E822)*(E823=E$2:E822)))))</f>
        <v/>
      </c>
      <c r="J823" s="24" t="str">
        <f ca="1">IF(OR(E823="",E823="!!!",F823="NEW"),"",COUNTBLANK(OFFSET(A$1,,,SUMPRODUCT(MAX(ROW(E$2:E823)*(E823=E$2:E823)))))-COUNTBLANK(OFFSET(A$1,,,SUMPRODUCT(MAX(ROW(E$1:E822)*(E2=E$1:E822))))))</f>
        <v/>
      </c>
      <c r="K823" s="24" t="str">
        <f>IF(OR(E823="",E823="!!!",F823="NEW"),"",INDEX(J$1:J822,SUMPRODUCT(MAX(ROW(E$1:E822)*(E823=E$1:E822)))))</f>
        <v/>
      </c>
      <c r="L823" s="25"/>
    </row>
    <row r="824" spans="1:12" x14ac:dyDescent="0.3">
      <c r="A824" t="s">
        <v>152</v>
      </c>
      <c r="B824" s="26" t="s">
        <v>123</v>
      </c>
      <c r="C824" s="26" t="s">
        <v>260</v>
      </c>
      <c r="E824" s="20" t="str">
        <f t="shared" si="56"/>
        <v/>
      </c>
      <c r="F824" s="21" t="str">
        <f>IF(OR(E824="",E824="!!!"),"",IF(NOT(ISNA(VLOOKUP(E824,E$1:E823,1,FALSE()))),"OLD",IF(AND(E824&lt;&gt;"",E824&lt;&gt;"!!!"),"NEW","")))</f>
        <v/>
      </c>
      <c r="G824" s="22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3" t="str">
        <f t="shared" ca="1" si="57"/>
        <v/>
      </c>
      <c r="I824" s="24" t="str">
        <f>IF(OR(E824="",E824="!!!",F824="NEW"),"",INDEX(B$2:B823,-1+SUMPRODUCT(MAX(ROW(E$2:E823)*(E824=E$2:E823)))))</f>
        <v/>
      </c>
      <c r="J824" s="24" t="str">
        <f ca="1">IF(OR(E824="",E824="!!!",F824="NEW"),"",COUNTBLANK(OFFSET(A$1,,,SUMPRODUCT(MAX(ROW(E$2:E824)*(E824=E$2:E824)))))-COUNTBLANK(OFFSET(A$1,,,SUMPRODUCT(MAX(ROW(E$1:E823)*(E2=E$1:E823))))))</f>
        <v/>
      </c>
      <c r="K824" s="24" t="str">
        <f>IF(OR(E824="",E824="!!!",F824="NEW"),"",INDEX(J$1:J823,SUMPRODUCT(MAX(ROW(E$1:E823)*(E824=E$1:E823)))))</f>
        <v/>
      </c>
      <c r="L824" s="25"/>
    </row>
    <row r="825" spans="1:12" x14ac:dyDescent="0.3">
      <c r="A825" t="s">
        <v>181</v>
      </c>
      <c r="E825" s="20" t="str">
        <f t="shared" si="56"/>
        <v/>
      </c>
      <c r="F825" s="21" t="str">
        <f>IF(OR(E825="",E825="!!!"),"",IF(NOT(ISNA(VLOOKUP(E825,E$1:E824,1,FALSE()))),"OLD",IF(AND(E825&lt;&gt;"",E825&lt;&gt;"!!!"),"NEW","")))</f>
        <v/>
      </c>
      <c r="G825" s="22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3" t="str">
        <f t="shared" ca="1" si="57"/>
        <v/>
      </c>
      <c r="I825" s="24" t="str">
        <f>IF(OR(E825="",E825="!!!",F825="NEW"),"",INDEX(B$2:B824,-1+SUMPRODUCT(MAX(ROW(E$2:E824)*(E825=E$2:E824)))))</f>
        <v/>
      </c>
      <c r="J825" s="24" t="str">
        <f ca="1">IF(OR(E825="",E825="!!!",F825="NEW"),"",COUNTBLANK(OFFSET(A$1,,,SUMPRODUCT(MAX(ROW(E$2:E825)*(E825=E$2:E825)))))-COUNTBLANK(OFFSET(A$1,,,SUMPRODUCT(MAX(ROW(E$1:E824)*(E2=E$1:E824))))))</f>
        <v/>
      </c>
      <c r="K825" s="24" t="str">
        <f>IF(OR(E825="",E825="!!!",F825="NEW"),"",INDEX(J$1:J824,SUMPRODUCT(MAX(ROW(E$1:E824)*(E825=E$1:E824)))))</f>
        <v/>
      </c>
      <c r="L825" s="25"/>
    </row>
    <row r="826" spans="1:12" x14ac:dyDescent="0.3">
      <c r="A826" t="s">
        <v>375</v>
      </c>
      <c r="B826" s="26" t="s">
        <v>137</v>
      </c>
      <c r="C826" s="26" t="s">
        <v>131</v>
      </c>
      <c r="D826" s="26" t="s">
        <v>110</v>
      </c>
      <c r="E826" s="20" t="str">
        <f t="shared" si="56"/>
        <v>!!!</v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ca="1" si="57"/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114</v>
      </c>
      <c r="E827" s="20" t="str">
        <f t="shared" si="56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57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152</v>
      </c>
      <c r="B828" s="26" t="s">
        <v>331</v>
      </c>
      <c r="C828" s="26" t="s">
        <v>260</v>
      </c>
      <c r="E828" s="20" t="str">
        <f t="shared" si="56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57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181</v>
      </c>
      <c r="E829" s="20" t="str">
        <f t="shared" si="56"/>
        <v/>
      </c>
      <c r="F829" s="21" t="str">
        <f>IF(OR(E829="",E829="!!!"),"",IF(NOT(ISNA(VLOOKUP(E829,E$1:E828,1,FALSE()))),"OLD",IF(AND(E829&lt;&gt;"",E829&lt;&gt;"!!!"),"NEW","")))</f>
        <v/>
      </c>
      <c r="G829" s="22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t="shared" ca="1" si="57"/>
        <v/>
      </c>
      <c r="I829" s="24" t="str">
        <f>IF(OR(E829="",E829="!!!",F829="NEW"),"",INDEX(B$2:B828,-1+SUMPRODUCT(MAX(ROW(E$2:E828)*(E829=E$2:E828)))))</f>
        <v/>
      </c>
      <c r="J829" s="24" t="str">
        <f ca="1">IF(OR(E829="",E829="!!!",F829="NEW"),"",COUNTBLANK(OFFSET(A$1,,,SUMPRODUCT(MAX(ROW(E$2:E829)*(E829=E$2:E829)))))-COUNTBLANK(OFFSET(A$1,,,SUMPRODUCT(MAX(ROW(E$1:E828)*(E2=E$1:E828))))))</f>
        <v/>
      </c>
      <c r="K829" s="24" t="str">
        <f>IF(OR(E829="",E829="!!!",F829="NEW"),"",INDEX(J$1:J828,SUMPRODUCT(MAX(ROW(E$1:E828)*(E829=E$1:E828)))))</f>
        <v/>
      </c>
      <c r="L829" s="25"/>
    </row>
    <row r="830" spans="1:12" x14ac:dyDescent="0.3">
      <c r="A830" t="s">
        <v>390</v>
      </c>
      <c r="B830" s="26" t="s">
        <v>123</v>
      </c>
      <c r="C830" s="26" t="s">
        <v>131</v>
      </c>
      <c r="D830" s="26" t="s">
        <v>110</v>
      </c>
      <c r="E830" s="20" t="str">
        <f t="shared" si="56"/>
        <v>!!!</v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57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138</v>
      </c>
      <c r="E831" s="20" t="str">
        <f t="shared" si="56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57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545</v>
      </c>
      <c r="E832" s="20" t="str">
        <f t="shared" si="56"/>
        <v/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57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3" spans="1:12" x14ac:dyDescent="0.3">
      <c r="A833" t="s">
        <v>152</v>
      </c>
      <c r="B833" s="26" t="s">
        <v>271</v>
      </c>
      <c r="C833" s="26" t="s">
        <v>260</v>
      </c>
      <c r="E833" s="20" t="str">
        <f t="shared" si="56"/>
        <v/>
      </c>
      <c r="F833" s="21" t="str">
        <f>IF(OR(E833="",E833="!!!"),"",IF(NOT(ISNA(VLOOKUP(E833,E$1:E832,1,FALSE()))),"OLD",IF(AND(E833&lt;&gt;"",E833&lt;&gt;"!!!"),"NEW","")))</f>
        <v/>
      </c>
      <c r="G833" s="22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3" t="str">
        <f t="shared" ca="1" si="57"/>
        <v/>
      </c>
      <c r="I833" s="24" t="str">
        <f>IF(OR(E833="",E833="!!!",F833="NEW"),"",INDEX(B$2:B832,-1+SUMPRODUCT(MAX(ROW(E$2:E832)*(E833=E$2:E832)))))</f>
        <v/>
      </c>
      <c r="J833" s="24" t="str">
        <f ca="1">IF(OR(E833="",E833="!!!",F833="NEW"),"",COUNTBLANK(OFFSET(A$1,,,SUMPRODUCT(MAX(ROW(E$2:E833)*(E833=E$2:E833)))))-COUNTBLANK(OFFSET(A$1,,,SUMPRODUCT(MAX(ROW(E$1:E832)*(E2=E$1:E832))))))</f>
        <v/>
      </c>
      <c r="K833" s="24" t="str">
        <f>IF(OR(E833="",E833="!!!",F833="NEW"),"",INDEX(J$1:J832,SUMPRODUCT(MAX(ROW(E$1:E832)*(E833=E$1:E832)))))</f>
        <v/>
      </c>
      <c r="L833" s="25"/>
    </row>
    <row r="834" spans="1:12" x14ac:dyDescent="0.3">
      <c r="A834" t="s">
        <v>181</v>
      </c>
      <c r="E834" s="20" t="str">
        <f t="shared" si="56"/>
        <v/>
      </c>
      <c r="F834" s="21" t="str">
        <f>IF(OR(E834="",E834="!!!"),"",IF(NOT(ISNA(VLOOKUP(E834,E$1:E833,1,FALSE()))),"OLD",IF(AND(E834&lt;&gt;"",E834&lt;&gt;"!!!"),"NEW","")))</f>
        <v/>
      </c>
      <c r="G834" s="22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3" t="str">
        <f t="shared" ca="1" si="57"/>
        <v/>
      </c>
      <c r="I834" s="24" t="str">
        <f>IF(OR(E834="",E834="!!!",F834="NEW"),"",INDEX(B$2:B833,-1+SUMPRODUCT(MAX(ROW(E$2:E833)*(E834=E$2:E833)))))</f>
        <v/>
      </c>
      <c r="J834" s="24" t="str">
        <f ca="1">IF(OR(E834="",E834="!!!",F834="NEW"),"",COUNTBLANK(OFFSET(A$1,,,SUMPRODUCT(MAX(ROW(E$2:E834)*(E834=E$2:E834)))))-COUNTBLANK(OFFSET(A$1,,,SUMPRODUCT(MAX(ROW(E$1:E833)*(E2=E$1:E833))))))</f>
        <v/>
      </c>
      <c r="K834" s="24" t="str">
        <f>IF(OR(E834="",E834="!!!",F834="NEW"),"",INDEX(J$1:J833,SUMPRODUCT(MAX(ROW(E$1:E833)*(E834=E$1:E833)))))</f>
        <v/>
      </c>
      <c r="L834" s="25"/>
    </row>
    <row r="835" spans="1:12" x14ac:dyDescent="0.3">
      <c r="A835" t="s">
        <v>546</v>
      </c>
      <c r="B835" s="26" t="s">
        <v>331</v>
      </c>
      <c r="C835" s="26" t="s">
        <v>131</v>
      </c>
      <c r="D835" s="26" t="s">
        <v>110</v>
      </c>
      <c r="E835" s="20" t="str">
        <f t="shared" si="56"/>
        <v>!!!</v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ca="1" si="57"/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125</v>
      </c>
      <c r="E836" s="20" t="str">
        <f t="shared" si="56"/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57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8" spans="1:12" x14ac:dyDescent="0.3">
      <c r="A838" t="s">
        <v>547</v>
      </c>
    </row>
    <row r="839" spans="1:12" x14ac:dyDescent="0.3">
      <c r="A839" t="s">
        <v>548</v>
      </c>
      <c r="E839" s="20" t="str">
        <f>IF(D839="?OLD","!!!","")</f>
        <v/>
      </c>
      <c r="F839" s="21" t="str">
        <f>IF(OR(E839="",E839="!!!"),"",IF(NOT(ISNA(VLOOKUP(E839,E$1:E838,1,FALSE()))),"OLD",IF(AND(E839&lt;&gt;"",E839&lt;&gt;"!!!"),"NEW","")))</f>
        <v/>
      </c>
      <c r="G839" s="22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3" t="str">
        <f ca="1">IF(J839&lt;&gt;1,"",IF(I839="SBJ","CB","?"))</f>
        <v/>
      </c>
      <c r="I839" s="24" t="str">
        <f>IF(OR(E839="",E839="!!!",F839="NEW"),"",INDEX(B$2:B838,-1+SUMPRODUCT(MAX(ROW(E$2:E838)*(E839=E$2:E838)))))</f>
        <v/>
      </c>
      <c r="J839" s="24" t="str">
        <f ca="1">IF(OR(E839="",E839="!!!",F839="NEW"),"",COUNTBLANK(OFFSET(A$1,,,SUMPRODUCT(MAX(ROW(E$2:E839)*(E839=E$2:E839)))))-COUNTBLANK(OFFSET(A$1,,,SUMPRODUCT(MAX(ROW(E$1:E838)*(E2=E$1:E838))))))</f>
        <v/>
      </c>
      <c r="K839" s="24" t="str">
        <f>IF(OR(E839="",E839="!!!",F839="NEW"),"",INDEX(J$1:J838,SUMPRODUCT(MAX(ROW(E$1:E838)*(E839=E$1:E838)))))</f>
        <v/>
      </c>
      <c r="L839" s="25"/>
    </row>
    <row r="840" spans="1:12" x14ac:dyDescent="0.3">
      <c r="A840" t="s">
        <v>549</v>
      </c>
      <c r="B840" s="26" t="s">
        <v>104</v>
      </c>
      <c r="C840" s="26" t="s">
        <v>177</v>
      </c>
      <c r="E840" s="20" t="str">
        <f>IF(D840="?OLD","!!!","")</f>
        <v/>
      </c>
      <c r="F840" s="21" t="str">
        <f>IF(OR(E840="",E840="!!!"),"",IF(NOT(ISNA(VLOOKUP(E840,E$1:E839,1,FALSE()))),"OLD",IF(AND(E840&lt;&gt;"",E840&lt;&gt;"!!!"),"NEW","")))</f>
        <v/>
      </c>
      <c r="G840" s="22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ca="1">IF(J840&lt;&gt;1,"",IF(I840="SBJ","CB","?"))</f>
        <v/>
      </c>
      <c r="I840" s="24" t="str">
        <f>IF(OR(E840="",E840="!!!",F840="NEW"),"",INDEX(B$2:B839,-1+SUMPRODUCT(MAX(ROW(E$2:E839)*(E840=E$2:E839)))))</f>
        <v/>
      </c>
      <c r="J840" s="24" t="str">
        <f ca="1">IF(OR(E840="",E840="!!!",F840="NEW"),"",COUNTBLANK(OFFSET(A$1,,,SUMPRODUCT(MAX(ROW(E$2:E840)*(E840=E$2:E840)))))-COUNTBLANK(OFFSET(A$1,,,SUMPRODUCT(MAX(ROW(E$1:E839)*(E2=E$1:E839))))))</f>
        <v/>
      </c>
      <c r="K840" s="24" t="str">
        <f>IF(OR(E840="",E840="!!!",F840="NEW"),"",INDEX(J$1:J839,SUMPRODUCT(MAX(ROW(E$1:E839)*(E840=E$1:E839)))))</f>
        <v/>
      </c>
      <c r="L840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2025-07-15T17:44:54Z</dcterms:created>
  <dcterms:modified xsi:type="dcterms:W3CDTF">2025-08-21T12:20:07Z</dcterms:modified>
</cp:coreProperties>
</file>