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entence-level annotation" sheetId="1" r:id="rId1"/>
    <sheet name="word-level annotation" sheetId="2" r:id="rId2"/>
  </sheets>
  <calcPr calcId="124519" fullCalcOnLoad="1"/>
</workbook>
</file>

<file path=xl/sharedStrings.xml><?xml version="1.0" encoding="utf-8"?>
<sst xmlns="http://schemas.openxmlformats.org/spreadsheetml/2006/main" count="7390" uniqueCount="1953">
  <si>
    <t>ID</t>
  </si>
  <si>
    <t>PRED_ID</t>
  </si>
  <si>
    <t>MARKER_AUTO</t>
  </si>
  <si>
    <t>PREDICATE</t>
  </si>
  <si>
    <t>TEXT</t>
  </si>
  <si>
    <t>SENTENCE</t>
  </si>
  <si>
    <t>MARKER</t>
  </si>
  <si>
    <t>TARGET</t>
  </si>
  <si>
    <t>RELATION</t>
  </si>
  <si>
    <t>COMMENT</t>
  </si>
  <si>
    <t>1</t>
  </si>
  <si>
    <t>2</t>
  </si>
  <si>
    <t>_</t>
  </si>
  <si>
    <t>wachsen</t>
  </si>
  <si>
    <t>Ich wuchs mit einer gehörigen Portion Science Fiction auf .</t>
  </si>
  <si>
    <t>file://conllu/de/teddy-807.conllu#s1_0</t>
  </si>
  <si>
    <t>4</t>
  </si>
  <si>
    <t>fahren</t>
  </si>
  <si>
    <t>In meiner Schulzeit fuhr ich mit dem Bus zur zu der Schule , jeden Tag eine Stunde pro Strecke .</t>
  </si>
  <si>
    <t>file://conllu/de/teddy-807.conllu#s2_0</t>
  </si>
  <si>
    <t>3</t>
  </si>
  <si>
    <t>stecken</t>
  </si>
  <si>
    <t>Und meine Nase steckte immer in einem Buch , einem Science Fiction Buch , das meine Gedanken in andere Welten entführte und auf erzählerische Weise meine tief in mir sitzende , unersättliche Neugier befriedigte .</t>
  </si>
  <si>
    <t>file://conllu/de/teddy-807.conllu#s3_0</t>
  </si>
  <si>
    <t>zeigen</t>
  </si>
  <si>
    <t>Diese Neugier zeigte sich auch darin , dass ich immer , wenn ich nicht in der Schule war , durch die Wälder streunte , wanderte und &amp;quot; Proben &amp;quot; sammelte , Frösche und Schlangen und Käfer und Teichwasser , alles nach Hause brachte und unter dem Mikroskop betrachtete .</t>
  </si>
  <si>
    <t>file://conllu/de/teddy-807.conllu#s4_0</t>
  </si>
  <si>
    <t>5</t>
  </si>
  <si>
    <t>sein (sein wissenschaftsbegeistern)</t>
  </si>
  <si>
    <t>Ich war total wissenschaftsbegeistert , wissen Sie .</t>
  </si>
  <si>
    <t>file://conllu/de/teddy-807.conllu#s5_0</t>
  </si>
  <si>
    <t>6</t>
  </si>
  <si>
    <t>gehen</t>
  </si>
  <si>
    <t>Es ging dabei immer um den Versuch , die Welt zu verstehen und die Grenzen des Möglichen auszuloten .</t>
  </si>
  <si>
    <t>file://conllu/de/teddy-807.conllu#s6_0</t>
  </si>
  <si>
    <t>7</t>
  </si>
  <si>
    <t>scheinen</t>
  </si>
  <si>
    <t>Und meine Liebe zu Science Fiction schien sich in meiner Umgebung widerzuspiegeln , denn damals , in den späten 60ern , flogen wir zum zu dem Mond und erforschten die Tiefsee .</t>
  </si>
  <si>
    <t>file://conllu/de/teddy-807.conllu#s7_0</t>
  </si>
  <si>
    <t>8</t>
  </si>
  <si>
    <t>kommen</t>
  </si>
  <si>
    <t>Jacques Cousteau kam in unsere Wohnzimmer mit seinen faszinierenden Sendungen , die uns Tiere und Orte und eine Welt voller Wunder zeigten , die wir uns vorher nie hätten vorstellen können .</t>
  </si>
  <si>
    <t>file://conllu/de/teddy-807.conllu#s8_0</t>
  </si>
  <si>
    <t>9</t>
  </si>
  <si>
    <t>14</t>
  </si>
  <si>
    <t>passen</t>
  </si>
  <si>
    <t>Das hat dann wohl ganz gut zu jener Science Fiction Rolle gepasst .</t>
  </si>
  <si>
    <t>file://conllu/de/teddy-807.conllu#s9_0</t>
  </si>
  <si>
    <t>10</t>
  </si>
  <si>
    <t>sein (sein Künstler)</t>
  </si>
  <si>
    <t>Und ich war Künstler .</t>
  </si>
  <si>
    <t>file://conllu/de/teddy-807.conllu#s10_0</t>
  </si>
  <si>
    <t>11</t>
  </si>
  <si>
    <t>zeichnen</t>
  </si>
  <si>
    <t>Ich konnte zeichnen .</t>
  </si>
  <si>
    <t>file://conllu/de/teddy-807.conllu#s11_0</t>
  </si>
  <si>
    <t>12</t>
  </si>
  <si>
    <t>malen</t>
  </si>
  <si>
    <t>Ich konnte malen .</t>
  </si>
  <si>
    <t>file://conllu/de/teddy-807.conllu#s12_0</t>
  </si>
  <si>
    <t>13</t>
  </si>
  <si>
    <t>28</t>
  </si>
  <si>
    <t>erschaffen</t>
  </si>
  <si>
    <t>Und da es weder Videospiele noch diese Übersättigung mit computergenerierten Filmen noch die ganze Bildsprache in der Medienlandschaft gab , musste ich die Bilder in meinem Kopf erschaffen .</t>
  </si>
  <si>
    <t>file://conllu/de/teddy-807.conllu#s13_0</t>
  </si>
  <si>
    <t>müssen</t>
  </si>
  <si>
    <t>Das mussten wir damals alle .</t>
  </si>
  <si>
    <t>file://conllu/de/teddy-807.conllu#s14_0</t>
  </si>
  <si>
    <t>15</t>
  </si>
  <si>
    <t>nehmen</t>
  </si>
  <si>
    <t>Wenn wir als Kinder ein Buch lasen , nahmen wir die Beschreibung des Autors und projizierten sie auf die Leinwand in unseren Köpfen .</t>
  </si>
  <si>
    <t>file://conllu/de/teddy-807.conllu#s15_0</t>
  </si>
  <si>
    <t>16</t>
  </si>
  <si>
    <t>Was?</t>
  </si>
  <si>
    <t>sein (sein Zeichnen)</t>
  </si>
  <si>
    <t>Meine Reaktion darauf war das Zeichnen und Malen von Außerirdischen , außerirdischen Welten , Robotern , Raumschiffen und all so was .</t>
  </si>
  <si>
    <t>file://conllu/de/teddy-807.conllu#s16_0</t>
  </si>
  <si>
    <t>18</t>
  </si>
  <si>
    <t>halen</t>
  </si>
  <si>
    <t>Die Kreativität musste halt irgendwie raus .</t>
  </si>
  <si>
    <t>file://conllu/de/teddy-807.conllu#s18_0</t>
  </si>
  <si>
    <t>19</t>
  </si>
  <si>
    <t>geschehen</t>
  </si>
  <si>
    <t>Und dabei geschah etwas Interessantes .</t>
  </si>
  <si>
    <t>file://conllu/de/teddy-807.conllu#s19_0</t>
  </si>
  <si>
    <t>20</t>
  </si>
  <si>
    <t>17</t>
  </si>
  <si>
    <t>unbekannt</t>
  </si>
  <si>
    <t>Was mich nämlich an Jacques Cousteaus Sendungen faszinierte , war der Gedanke an eine uns völlig unbekannte Welt hier auf unserer Erde selbst .</t>
  </si>
  <si>
    <t>file://conllu/de/teddy-807.conllu#s20_0</t>
  </si>
  <si>
    <t>21</t>
  </si>
  <si>
    <t>erreichen</t>
  </si>
  <si>
    <t>Sicherlich würde ich ja niemals eine außerirdische Welt mit einem Raumschiff erreichen .</t>
  </si>
  <si>
    <t>file://conllu/de/teddy-807.conllu#s21_0</t>
  </si>
  <si>
    <t>22</t>
  </si>
  <si>
    <t>Das schien mir ziemlich unwahrscheinlich .</t>
  </si>
  <si>
    <t>file://conllu/de/teddy-807.conllu#s22_0</t>
  </si>
  <si>
    <t>23</t>
  </si>
  <si>
    <t>sein (sein Welt)</t>
  </si>
  <si>
    <t>Aber hier war eine Welt , die ich tatsächlich betreten konnte , hier auf der Erde , und sie war genauso faszinierend und exotisch wie all das , was ich mir immer vorgestellt hatte , als ich diese Bücher gelesen hatte .</t>
  </si>
  <si>
    <t>file://conllu/de/teddy-807.conllu#s23_0</t>
  </si>
  <si>
    <t>24</t>
  </si>
  <si>
    <t>beschließen</t>
  </si>
  <si>
    <t>Also beschloss ich , als ich 15 war , Taucher zu werden .</t>
  </si>
  <si>
    <t>file://conllu/de/teddy-807.conllu#s24_0</t>
  </si>
  <si>
    <t>25</t>
  </si>
  <si>
    <t>sein</t>
  </si>
  <si>
    <t>Das einzige Problem dabei war , dass ich in einem kleinen Dorf in Kanada lebte , 1 000 km vom von dem nächsten Ozean entfernt .</t>
  </si>
  <si>
    <t>file://conllu/de/teddy-807.conllu#s25_0</t>
  </si>
  <si>
    <t>26</t>
  </si>
  <si>
    <t>lassen</t>
  </si>
  <si>
    <t>Davon ließ ich mich aber nicht entmutigen .</t>
  </si>
  <si>
    <t>file://conllu/de/teddy-807.conllu#s26_0</t>
  </si>
  <si>
    <t>27</t>
  </si>
  <si>
    <t>nerven</t>
  </si>
  <si>
    <t>Ich nervte meinen Vater , bis er endlich eine Tauchschule in Buffalo , New York , ausfindig gemacht hatte , genau auf der anderen Seite der Grenze , wo wir lebten .</t>
  </si>
  <si>
    <t>file://conllu/de/teddy-807.conllu#s27_0</t>
  </si>
  <si>
    <t>machen</t>
  </si>
  <si>
    <t>Ich machte meinen Tauchschein in einem Pool der YMCA mitten im in dem Winter in Buffalo , New York .</t>
  </si>
  <si>
    <t>file://conllu/de/teddy-807.conllu#s28_0</t>
  </si>
  <si>
    <t>29</t>
  </si>
  <si>
    <t>bekommen</t>
  </si>
  <si>
    <t>Den Ozean aber , einen echten Ozean , bekam ich erst zwei Jahre später zu Gesicht , als wir nach Kalifornien zogen .</t>
  </si>
  <si>
    <t>file://conllu/de/teddy-807.conllu#s29_0</t>
  </si>
  <si>
    <t>30</t>
  </si>
  <si>
    <t>verbringen</t>
  </si>
  <si>
    <t>Seitdem , in den 40 Jahren , die inzwischen verstrichen sind , habe ich ungefähr 3 000 Stunden unter Wasser verbracht .</t>
  </si>
  <si>
    <t>file://conllu/de/teddy-807.conllu#s30_0</t>
  </si>
  <si>
    <t>31</t>
  </si>
  <si>
    <t>Stunde|Stunden</t>
  </si>
  <si>
    <t>500 Stunden davon in Tauchbooten .</t>
  </si>
  <si>
    <t>file://conllu/de/teddy-807.conllu#s31_0</t>
  </si>
  <si>
    <t>32</t>
  </si>
  <si>
    <t>lernen</t>
  </si>
  <si>
    <t>Und ich habe gelernt , dass die Welt der Tiefsee , selbst in den flacheren Ozeanen , so reich an faszinierendem Leben ist , wie wir es uns wirklich kaum vorstellen können .</t>
  </si>
  <si>
    <t>file://conllu/de/teddy-807.conllu#s32_0</t>
  </si>
  <si>
    <t>33</t>
  </si>
  <si>
    <t>kennen</t>
  </si>
  <si>
    <t>Die Phantasie der Natur kennt keine Grenzen , ganz im in dem Gegensatz zu unserer eigenen , kläglichen menschlichen Vorstellungskraft .</t>
  </si>
  <si>
    <t>file://conllu/de/teddy-807.conllu#s33_0</t>
  </si>
  <si>
    <t>34</t>
  </si>
  <si>
    <t>empfinden</t>
  </si>
  <si>
    <t>Bis zum zu dem heutigen Tage empfinde ich tiefste Ehrfurcht für das , was ich auf meinen Tauchgängen sehe .</t>
  </si>
  <si>
    <t>file://conllu/de/teddy-807.conllu#s34_0</t>
  </si>
  <si>
    <t>35</t>
  </si>
  <si>
    <t>halten</t>
  </si>
  <si>
    <t>Und meine Liebe zum zu dem Ozean hält an , mit derselben Intensität wie eh und je .</t>
  </si>
  <si>
    <t>file://conllu/de/teddy-807.conllu#s35_0</t>
  </si>
  <si>
    <t>36</t>
  </si>
  <si>
    <t>sein (sein Filmemachen)</t>
  </si>
  <si>
    <t>Als ich mir dann als Erwachsener einen Beruf aussuchte , war es das Filmemachen .</t>
  </si>
  <si>
    <t>file://conllu/de/teddy-807.conllu#s36_0</t>
  </si>
  <si>
    <t>37</t>
  </si>
  <si>
    <t>Das schien die beste Möglichkeit , meinen inneren Drang , Geschichten zu erzählen , mit meinem Bedürfnis , Bilder zu erschaffen , zu vereinen .</t>
  </si>
  <si>
    <t>file://conllu/de/teddy-807.conllu#s37_0</t>
  </si>
  <si>
    <t>38</t>
  </si>
  <si>
    <t>Als Kind zeichnete ich ständig Comicbücher und so .</t>
  </si>
  <si>
    <t>file://conllu/de/teddy-807.conllu#s38_0</t>
  </si>
  <si>
    <t>39</t>
  </si>
  <si>
    <t>zusammenzuführen</t>
  </si>
  <si>
    <t>Also waren Filme der Weg , Bilder und Geschichten zusammenzuführen .</t>
  </si>
  <si>
    <t>file://conllu/de/teddy-807.conllu#s39_0</t>
  </si>
  <si>
    <t>40</t>
  </si>
  <si>
    <t>Das passte zusammen .</t>
  </si>
  <si>
    <t>file://conllu/de/teddy-807.conllu#s40_0</t>
  </si>
  <si>
    <t>41</t>
  </si>
  <si>
    <t>sein (sein natürlich)</t>
  </si>
  <si>
    <t>Natürlich waren die Geschichten , die ich mir aussuchte , aus dem Science Fiction Bereich : &amp;quot; Terminator &amp;quot; , &amp;quot; Aliens &amp;quot; , und &amp;quot; Abyss &amp;quot; .</t>
  </si>
  <si>
    <t>file://conllu/de/teddy-807.conllu#s41_0</t>
  </si>
  <si>
    <t>42</t>
  </si>
  <si>
    <t>Ich meine?</t>
  </si>
  <si>
    <t>verbinden</t>
  </si>
  <si>
    <t>Bei &amp;quot; Abyss &amp;quot; konnte ich meine Vorliebe für die Unterwasserwelt und das Tauchen mit dem Filmemachen verbinden .</t>
  </si>
  <si>
    <t>file://conllu/de/teddy-807.conllu#s42_0</t>
  </si>
  <si>
    <t>43</t>
  </si>
  <si>
    <t>verflochen</t>
  </si>
  <si>
    <t>Also verflochten sich quasi meine beiden Leidenschaften .</t>
  </si>
  <si>
    <t>file://conllu/de/teddy-807.conllu#s43_0</t>
  </si>
  <si>
    <t>44</t>
  </si>
  <si>
    <t>passieren</t>
  </si>
  <si>
    <t>Etwas Interessantes passierte bei &amp;quot; Abyss &amp;quot; : Um ein erzählerisches Problem in diesem Film zu lösen und zwar mussten wir so eine Art flüssiges Wasserwesen erschaffen , griffen wir auf computergenerierte Animation , CG , zurück .</t>
  </si>
  <si>
    <t>file://conllu/de/teddy-807.conllu#s44_0</t>
  </si>
  <si>
    <t>45</t>
  </si>
  <si>
    <t>herauskommen</t>
  </si>
  <si>
    <t>Was dabei herauskam , war die erste computergenerierte Soft Surface Figur , die je in einem Film zu sehen war .</t>
  </si>
  <si>
    <t>file://conllu/de/teddy-807.conllu#s45_0</t>
  </si>
  <si>
    <t>46</t>
  </si>
  <si>
    <t>bringen</t>
  </si>
  <si>
    <t>Der Film brachte zwar kein Geld ein , genau gesagt spielte er gerade mal seine Produktionskosten ein , doch bemerkte ich etwas Faszinierendes : Das Publikum auf der ganzen Welt war wie hypnotisiert vom von dem Zauber , der davon ausging .</t>
  </si>
  <si>
    <t>file://conllu/de/teddy-807.conllu#s46_0</t>
  </si>
  <si>
    <t>47</t>
  </si>
  <si>
    <t>unterscheiden</t>
  </si>
  <si>
    <t>Laut Arthur Clarke's Gesetz sind bekanntlich fortgeschrittliche Technologie und Zauberei nicht mehr voneinander zu unterscheiden .</t>
  </si>
  <si>
    <t>file://conllu/de/teddy-807.conllu#s47_0</t>
  </si>
  <si>
    <t>48</t>
  </si>
  <si>
    <t>sehen</t>
  </si>
  <si>
    <t>Sie sahen also etwas Magisches .</t>
  </si>
  <si>
    <t>file://conllu/de/teddy-807.conllu#s48_0</t>
  </si>
  <si>
    <t>49</t>
  </si>
  <si>
    <t>finden</t>
  </si>
  <si>
    <t>Und das fand ich ungeheuer spannend .</t>
  </si>
  <si>
    <t>file://conllu/de/teddy-807.conllu#s49_0</t>
  </si>
  <si>
    <t>50</t>
  </si>
  <si>
    <t>denken</t>
  </si>
  <si>
    <t>Und ich dachte mir : &amp;quot; Wow , das muss unbedingt in die Filmkunst einbezogen werden . &amp;quot;</t>
  </si>
  <si>
    <t>file://conllu/de/teddy-807.conllu#s50_0</t>
  </si>
  <si>
    <t>51</t>
  </si>
  <si>
    <t>Also gingen wir in &amp;quot; Terminator 2 &amp;quot; , meinem nächsten Film , noch viel weiter .</t>
  </si>
  <si>
    <t>file://conllu/de/teddy-807.conllu#s51_0</t>
  </si>
  <si>
    <t>52</t>
  </si>
  <si>
    <t>erschufen</t>
  </si>
  <si>
    <t>Zusammen mit ILM erschufen wir dort den Typen aus flüssigem Metall .</t>
  </si>
  <si>
    <t>file://conllu/de/teddy-807.conllu#s52_0</t>
  </si>
  <si>
    <t>53</t>
  </si>
  <si>
    <t>hängen</t>
  </si>
  <si>
    <t>Der Erfolg hing ganz davon ab , wie dieser Effekt ankommen würde .</t>
  </si>
  <si>
    <t>file://conllu/de/teddy-807.conllu#s53_0</t>
  </si>
  <si>
    <t>54</t>
  </si>
  <si>
    <t>funktionieren</t>
  </si>
  <si>
    <t>Und es funktionierte .</t>
  </si>
  <si>
    <t>file://conllu/de/teddy-807.conllu#s54_0</t>
  </si>
  <si>
    <t>55</t>
  </si>
  <si>
    <t>schaffen</t>
  </si>
  <si>
    <t>Wieder hatten wir etwas Magisches geschaffen .</t>
  </si>
  <si>
    <t>file://conllu/de/teddy-807.conllu#s55_0</t>
  </si>
  <si>
    <t>56</t>
  </si>
  <si>
    <t>sein (sein dieselbe)</t>
  </si>
  <si>
    <t>Und die Wirkung im in dem Publikum war dieselbe .</t>
  </si>
  <si>
    <t>file://conllu/de/teddy-807.conllu#s56_0</t>
  </si>
  <si>
    <t>57</t>
  </si>
  <si>
    <t>eingespielen</t>
  </si>
  <si>
    <t>Allerdings haben wir mit dem Film schon ein bisschen mehr Geld eingespielt .</t>
  </si>
  <si>
    <t>file://conllu/de/teddy-807.conllu#s57_0</t>
  </si>
  <si>
    <t>58</t>
  </si>
  <si>
    <t>sein (sein erreichen)</t>
  </si>
  <si>
    <t>Von diesen beiden Erfahrungen ausgehend , war eine ganz neue Welt erreicht , eine ganz neue Welt der Kreativität für Filmschaffende .</t>
  </si>
  <si>
    <t>file://conllu/de/teddy-807.conllu#s58_0</t>
  </si>
  <si>
    <t>59</t>
  </si>
  <si>
    <t>gründen</t>
  </si>
  <si>
    <t>Also gründete ich eine Firma , zusammen mit meinem guten Freund Stan Winston , der zu jener Zeit der beste Make- Up und Creature Designer war .</t>
  </si>
  <si>
    <t>file://conllu/de/teddy-807.conllu#s59_0</t>
  </si>
  <si>
    <t>60</t>
  </si>
  <si>
    <t>heißen</t>
  </si>
  <si>
    <t>Sie hieß &amp;quot; Digital Domain &amp;quot; .</t>
  </si>
  <si>
    <t>file://conllu/de/teddy-807.conllu#s60_0</t>
  </si>
  <si>
    <t>61</t>
  </si>
  <si>
    <t>.</t>
  </si>
  <si>
    <t>Die Grundidee dieser Firma war es , die Phase analoger Prozesse mit optischen Druckern etc. zu überspringen und gleich mit digitalen Produktionen zu beginnen .</t>
  </si>
  <si>
    <t>file://conllu/de/teddy-807.conllu#s61_0</t>
  </si>
  <si>
    <t>62</t>
  </si>
  <si>
    <t>taten</t>
  </si>
  <si>
    <t>Das taten wir dann auch und verschafften uns so eine Zeitlang einen Wettbewerbsvorteil .</t>
  </si>
  <si>
    <t>file://conllu/de/teddy-807.conllu#s62_0</t>
  </si>
  <si>
    <t>63</t>
  </si>
  <si>
    <t>merken</t>
  </si>
  <si>
    <t>Aber Mitte der 90er Jahre merkten wir doch , dass wir im in dem Creature und Character Design wofür wir die Firma ja eigentlich gegründet hatten zu langsam vorankamen .</t>
  </si>
  <si>
    <t>file://conllu/de/teddy-807.conllu#s63_0</t>
  </si>
  <si>
    <t>64</t>
  </si>
  <si>
    <t>schreiben</t>
  </si>
  <si>
    <t>Ich hatte dieses Stück &amp;quot; Avatar &amp;quot; geschrieben , das die Messlatte in Sachen visueller Effekte und computergenerierter Effekte in ganz neue Höhen schieben sollte , mit realistischen menschlichen , ausdrucksvollen Charakteren , die mittels CG hergestellt worden waren .</t>
  </si>
  <si>
    <t>file://conllu/de/teddy-807.conllu#s64_0</t>
  </si>
  <si>
    <t>65</t>
  </si>
  <si>
    <t>sein (sein CG)</t>
  </si>
  <si>
    <t>Und die Hauptfiguren sollten alle CG sein .</t>
  </si>
  <si>
    <t>file://conllu/de/teddy-807.conllu#s65_0</t>
  </si>
  <si>
    <t>66</t>
  </si>
  <si>
    <t>Und die Welt sollte CG sein .</t>
  </si>
  <si>
    <t>file://conllu/de/teddy-807.conllu#s66_0</t>
  </si>
  <si>
    <t>67</t>
  </si>
  <si>
    <t>drücken</t>
  </si>
  <si>
    <t>Aber die Messlatte drückte ganz schön zurück .</t>
  </si>
  <si>
    <t>file://conllu/de/teddy-807.conllu#s67_0</t>
  </si>
  <si>
    <t>68</t>
  </si>
  <si>
    <t>sagen</t>
  </si>
  <si>
    <t>Und die Leute in meiner Firma sagten mir , dass wir vorläufig noch nicht in der Lage seien , das zu schaffen .</t>
  </si>
  <si>
    <t>file://conllu/de/teddy-807.conllu#s68_0</t>
  </si>
  <si>
    <t>69</t>
  </si>
  <si>
    <t>verschieben</t>
  </si>
  <si>
    <t>Also verschob ich das und machte diesen anderen Film über das große Schiff , das untergeht .</t>
  </si>
  <si>
    <t>file://conllu/de/teddy-807.conllu#s69_0</t>
  </si>
  <si>
    <t>70</t>
  </si>
  <si>
    <t>verkaufen</t>
  </si>
  <si>
    <t>( Lachen ) Dem Filmstudio habe ich das als &amp;quot; Romeo und Julia auf einem Schiff &amp;quot; verkauft .</t>
  </si>
  <si>
    <t>file://conllu/de/teddy-807.conllu#s70_0</t>
  </si>
  <si>
    <t>71</t>
  </si>
  <si>
    <t>werden</t>
  </si>
  <si>
    <t>Es wurde ein Liebesfilm epischen Ausmaßes , ein leidenschaftlicher Film .</t>
  </si>
  <si>
    <t>file://conllu/de/teddy-807.conllu#s71_0</t>
  </si>
  <si>
    <t>72</t>
  </si>
  <si>
    <t>hinabtauchen</t>
  </si>
  <si>
    <t>Insgeheim aber wollte ich eigentlich zum zu dem echten Wrack der Titanic hinabtauchen .</t>
  </si>
  <si>
    <t>file://conllu/de/teddy-807.conllu#s72_0</t>
  </si>
  <si>
    <t>73</t>
  </si>
  <si>
    <t>Darum habe ich den Film gemacht .</t>
  </si>
  <si>
    <t>file://conllu/de/teddy-807.conllu#s73_0</t>
  </si>
  <si>
    <t>74</t>
  </si>
  <si>
    <t>sein (sein Wahrheit)</t>
  </si>
  <si>
    <t>( Beifall ) Das ist die Wahrheit .</t>
  </si>
  <si>
    <t>file://conllu/de/teddy-807.conllu#s74_0</t>
  </si>
  <si>
    <t>75</t>
  </si>
  <si>
    <t>wissen</t>
  </si>
  <si>
    <t>Das Studio wusste das aber nicht .</t>
  </si>
  <si>
    <t>file://conllu/de/teddy-807.conllu#s75_0</t>
  </si>
  <si>
    <t>76</t>
  </si>
  <si>
    <t>überzeugt</t>
  </si>
  <si>
    <t>Ich habe sie aber überzeugt , indem ich sagte : &amp;quot; Wir tauchen zu dem Wrack .</t>
  </si>
  <si>
    <t>file://conllu/de/teddy-807.conllu#s76_0</t>
  </si>
  <si>
    <t>77</t>
  </si>
  <si>
    <t>filmen</t>
  </si>
  <si>
    <t>Wir filmen das echte Wrack .</t>
  </si>
  <si>
    <t>file://conllu/de/teddy-807.conllu#s77_0</t>
  </si>
  <si>
    <t>78</t>
  </si>
  <si>
    <t>Wir werden es in der Eröffnungssequenz des Films zeigen .</t>
  </si>
  <si>
    <t>file://conllu/de/teddy-807.conllu#s78_0</t>
  </si>
  <si>
    <t>79</t>
  </si>
  <si>
    <t>sein (sein wichtig)</t>
  </si>
  <si>
    <t>Das ist ungeheuer wichtig .</t>
  </si>
  <si>
    <t>file://conllu/de/teddy-807.conllu#s79_0</t>
  </si>
  <si>
    <t>80</t>
  </si>
  <si>
    <t>sein (sein Aufhänger)</t>
  </si>
  <si>
    <t>Es ist ein guter Aufhänger fürs Marketing . &amp;quot;</t>
  </si>
  <si>
    <t>file://conllu/de/teddy-807.conllu#s80_0</t>
  </si>
  <si>
    <t>81</t>
  </si>
  <si>
    <t>überreden</t>
  </si>
  <si>
    <t>Und ich überredete sie , eine Expedition zu finanzieren .</t>
  </si>
  <si>
    <t>file://conllu/de/teddy-807.conllu#s81_0</t>
  </si>
  <si>
    <t>82</t>
  </si>
  <si>
    <t>verrückt</t>
  </si>
  <si>
    <t>Klingt verrückt .</t>
  </si>
  <si>
    <t>file://conllu/de/teddy-807.conllu#s82_0</t>
  </si>
  <si>
    <t>83</t>
  </si>
  <si>
    <t>Aber das geht wieder darauf zurück , dass die eigene Vorstellungskraft eine Realität schaffen kann .</t>
  </si>
  <si>
    <t>file://conllu/de/teddy-807.conllu#s83_0</t>
  </si>
  <si>
    <t>84</t>
  </si>
  <si>
    <t>Wir schufen dann tatsächlich sechs Monate später eine Realität , in der ich mich in einem russischen Tauchboot wiederfand , vier Kilometer unter der Oberfläche des Nordatlantik , und mir die echte Titanic durch ein Bullauge anschaute .</t>
  </si>
  <si>
    <t>file://conllu/de/teddy-807.conllu#s84_0</t>
  </si>
  <si>
    <t>85</t>
  </si>
  <si>
    <t>sein (sein Film)</t>
  </si>
  <si>
    <t>Das war kein Film , kein HD , das war echt .</t>
  </si>
  <si>
    <t>file://conllu/de/teddy-807.conllu#s85_0</t>
  </si>
  <si>
    <t>86</t>
  </si>
  <si>
    <t>umhauen</t>
  </si>
  <si>
    <t>Also , das hat mich wirklich umgehauen .</t>
  </si>
  <si>
    <t>file://conllu/de/teddy-807.conllu#s86_0</t>
  </si>
  <si>
    <t>87</t>
  </si>
  <si>
    <t>sein (sein enorm)</t>
  </si>
  <si>
    <t>Und die Vorbereitungen dazu waren enorm .</t>
  </si>
  <si>
    <t>file://conllu/de/teddy-807.conllu#s87_0</t>
  </si>
  <si>
    <t>88</t>
  </si>
  <si>
    <t>bauen</t>
  </si>
  <si>
    <t>Wir mussten Kameras und Scheinwerfer und alles Mögliche bauen .</t>
  </si>
  <si>
    <t>file://conllu/de/teddy-807.conllu#s88_0</t>
  </si>
  <si>
    <t>89</t>
  </si>
  <si>
    <t>fallen</t>
  </si>
  <si>
    <t>Und mir fiel auf , wie sehr diese Tiefseetauchgänge , einer Weltraummission ähnelten .</t>
  </si>
  <si>
    <t>file://conllu/de/teddy-807.conllu#s89_0</t>
  </si>
  <si>
    <t>90</t>
  </si>
  <si>
    <t>sein (sein planung)</t>
  </si>
  <si>
    <t>Na ja , sie waren auch hochtechnisch und bedurften umfangreicher Planung .</t>
  </si>
  <si>
    <t>file://conllu/de/teddy-807.conllu#s90_0</t>
  </si>
  <si>
    <t>91</t>
  </si>
  <si>
    <t>steigen</t>
  </si>
  <si>
    <t>Man steigt in diese Kapsel , dann schwebt man in diese dunkle , feindselige Umgebung hinunter , wo keine Hoffnung auf Rettung besteht , wenn man es nicht selbst zurück schafft .</t>
  </si>
  <si>
    <t>file://conllu/de/teddy-807.conllu#s91_0</t>
  </si>
  <si>
    <t>92</t>
  </si>
  <si>
    <t>sein (sein denken)</t>
  </si>
  <si>
    <t>Und ich dachte mir , &amp;quot; Wow , das ist genauso , als wäre ich in einem Science Fiction Film .</t>
  </si>
  <si>
    <t>file://conllu/de/teddy-807.conllu#s92_0</t>
  </si>
  <si>
    <t>93</t>
  </si>
  <si>
    <t>sein (sein cool)</t>
  </si>
  <si>
    <t>Das ist echt cool . &amp;quot;</t>
  </si>
  <si>
    <t>file://conllu/de/teddy-807.conllu#s93_0</t>
  </si>
  <si>
    <t>94</t>
  </si>
  <si>
    <t>sein (sein besitzen)</t>
  </si>
  <si>
    <t>Ich war regelrecht besessen vom von dem Erforschen der Tiefsee .</t>
  </si>
  <si>
    <t>file://conllu/de/teddy-807.conllu#s94_0</t>
  </si>
  <si>
    <t>95</t>
  </si>
  <si>
    <t>Teil</t>
  </si>
  <si>
    <t>Jedenfalls von dem Teil , der mit Neugier und Wissenschaft zu tun hat .</t>
  </si>
  <si>
    <t>file://conllu/de/teddy-807.conllu#s95_0</t>
  </si>
  <si>
    <t>96</t>
  </si>
  <si>
    <t>Es war alles .</t>
  </si>
  <si>
    <t>file://conllu/de/teddy-807.conllu#s96_0</t>
  </si>
  <si>
    <t>97</t>
  </si>
  <si>
    <t>sein (sein Abenteuer)</t>
  </si>
  <si>
    <t>Es war Abenteuer , es war Neugier .</t>
  </si>
  <si>
    <t>file://conllu/de/teddy-807.conllu#s97_0</t>
  </si>
  <si>
    <t>98</t>
  </si>
  <si>
    <t>sein (sein Vorstellungskraft)</t>
  </si>
  <si>
    <t>Es war Vorstellungskraft .</t>
  </si>
  <si>
    <t>file://conllu/de/teddy-807.conllu#s98_0</t>
  </si>
  <si>
    <t>99</t>
  </si>
  <si>
    <t>sein (sein Erfahrung)</t>
  </si>
  <si>
    <t>Und es war eine Erfahrung , die mir Hollywood nicht geben konnte .</t>
  </si>
  <si>
    <t>file://conllu/de/teddy-807.conllu#s99_0</t>
  </si>
  <si>
    <t>100</t>
  </si>
  <si>
    <t>Denn , wissen Sie , ich konnte mir ein Wesen vorstellen , für das wir dann einen visuellen Effekt gestalten konnten .</t>
  </si>
  <si>
    <t>file://conllu/de/teddy-807.conllu#s100_0</t>
  </si>
  <si>
    <t>101</t>
  </si>
  <si>
    <t>sehen (sehen vorstellen)</t>
  </si>
  <si>
    <t>Aber ich konnte mir nicht das vorstellen , was ich außerhalb des Fensters sehen würde .</t>
  </si>
  <si>
    <t>file://conllu/de/teddy-807.conllu#s101_0</t>
  </si>
  <si>
    <t>102</t>
  </si>
  <si>
    <t>Bei einigen der folgenden Expeditionen habe ich Wesen in Thermalquellen gesehen , und manchmal Dinge , die ich noch nie vorher gesehen hatte , manchmal auch Dinge , die überhaupt noch niemand zuvor gesehen hatte und für die die Wissenschaft zum zu dem Zeitpunkt , als wir sie sahen , noch gar keine Worte gefunden hatte .</t>
  </si>
  <si>
    <t>file://conllu/de/teddy-807.conllu#s102_0</t>
  </si>
  <si>
    <t>103</t>
  </si>
  <si>
    <t>umgeworfen</t>
  </si>
  <si>
    <t>Das hat mich also richtig umgeworfen , und ich wollte mehr .</t>
  </si>
  <si>
    <t>file://conllu/de/teddy-807.conllu#s103_0</t>
  </si>
  <si>
    <t>104</t>
  </si>
  <si>
    <t>treffen</t>
  </si>
  <si>
    <t>Und so traf ich dann eine etwas ungewöhnliche Entscheidung .</t>
  </si>
  <si>
    <t>file://conllu/de/teddy-807.conllu#s104_0</t>
  </si>
  <si>
    <t>105</t>
  </si>
  <si>
    <t>Nach dem Erfolg von &amp;quot; Titanic &amp;quot; sagte ich mir , &amp;quot; Okay , ich will meinen Hauptberuf als Filmemacher in Hollywood auf Eis legen und werde für eine Weile Vollzeit Forscher . &amp;quot;</t>
  </si>
  <si>
    <t>file://conllu/de/teddy-807.conllu#s105_0</t>
  </si>
  <si>
    <t>106</t>
  </si>
  <si>
    <t>beginnen</t>
  </si>
  <si>
    <t>Und dann begannen wir , diese Expeditionen zu planen .</t>
  </si>
  <si>
    <t>file://conllu/de/teddy-807.conllu#s106_0</t>
  </si>
  <si>
    <t>107</t>
  </si>
  <si>
    <t>tauchen</t>
  </si>
  <si>
    <t>Wir tauchten zur zu der &amp;quot; Bismarck &amp;quot; , und erforschten sie mit Roboterfahrzeugen .</t>
  </si>
  <si>
    <t>file://conllu/de/teddy-807.conllu#s107_0</t>
  </si>
  <si>
    <t>108</t>
  </si>
  <si>
    <t>kehren</t>
  </si>
  <si>
    <t>Wir kehrten zum zu dem Wrack der Titanic zurück .</t>
  </si>
  <si>
    <t>file://conllu/de/teddy-807.conllu#s108_0</t>
  </si>
  <si>
    <t>109</t>
  </si>
  <si>
    <t>Wir nahmen kleine Roboter , die wir gebaut hatten , die ein Fiberglaskabel abwickelten .</t>
  </si>
  <si>
    <t>file://conllu/de/teddy-807.conllu#s109_0</t>
  </si>
  <si>
    <t>110</t>
  </si>
  <si>
    <t>sein (sein hineinzutauchen)</t>
  </si>
  <si>
    <t>Unsere Absicht war , hineinzutauchen und sich das Innere des Schiffs anzusehen , was nie zuvor getan worden war .</t>
  </si>
  <si>
    <t>file://conllu/de/teddy-807.conllu#s110_0</t>
  </si>
  <si>
    <t>111</t>
  </si>
  <si>
    <t>erkunden</t>
  </si>
  <si>
    <t>Niemand hatte je das Innere des Wracks erkundet .</t>
  </si>
  <si>
    <t>file://conllu/de/teddy-807.conllu#s111_0</t>
  </si>
  <si>
    <t>112</t>
  </si>
  <si>
    <t>haben</t>
  </si>
  <si>
    <t>Man hatte noch keine Mittel dafür .</t>
  </si>
  <si>
    <t>file://conllu/de/teddy-807.conllu#s112_0</t>
  </si>
  <si>
    <t>113</t>
  </si>
  <si>
    <t>entwickeln</t>
  </si>
  <si>
    <t>Also entwickelten wir die nötige Technologie .</t>
  </si>
  <si>
    <t>file://conllu/de/teddy-807.conllu#s113_0</t>
  </si>
  <si>
    <t>114</t>
  </si>
  <si>
    <t>sitzen</t>
  </si>
  <si>
    <t>Na und da sitze ich nun , auf dem Deck der Titanic , in einem Tauchboot , und sehe Planken , die diesen Brettern hier ziemlich ähneln und von denen ich weiß , dass einst die Band dort gespielt hat .</t>
  </si>
  <si>
    <t>file://conllu/de/teddy-807.conllu#s114_0</t>
  </si>
  <si>
    <t>115</t>
  </si>
  <si>
    <t>Durch?</t>
  </si>
  <si>
    <t>fliegen</t>
  </si>
  <si>
    <t>Und ich fliege mit einem kleinen Roboterfahrzeug durch die Gänge des Schiffs .</t>
  </si>
  <si>
    <t>file://conllu/de/teddy-807.conllu#s115_0</t>
  </si>
  <si>
    <t>116</t>
  </si>
  <si>
    <t>bedienen</t>
  </si>
  <si>
    <t>Ich bediene es zwar eigentlich nur , aber mein Bewusstsein ist innerhalb des Fahrzeugs .</t>
  </si>
  <si>
    <t>file://conllu/de/teddy-807.conllu#s116_0</t>
  </si>
  <si>
    <t>117</t>
  </si>
  <si>
    <t>fühlen</t>
  </si>
  <si>
    <t>Es fühlte sich an , als wäre ich körperlich innerhalb des Schiffswracks der Titanic anwesend .</t>
  </si>
  <si>
    <t>file://conllu/de/teddy-807.conllu#s117_0</t>
  </si>
  <si>
    <t>118</t>
  </si>
  <si>
    <t>sein (sein Form)</t>
  </si>
  <si>
    <t>Das war die surrealste Form eines Déjà- vu , die ich je erlebt habe .</t>
  </si>
  <si>
    <t>file://conllu/de/teddy-807.conllu#s118_0</t>
  </si>
  <si>
    <t>119</t>
  </si>
  <si>
    <t>Denn bevor ich jeweils um eine Ecke bog , wusste ich immer schon , was gleich im in dem Lichtkegel des Fahrzeugs auftauchen würde , da ich monatelang übers über das Filmset gelaufen war , als wir den Film drehten .</t>
  </si>
  <si>
    <t>file://conllu/de/teddy-807.conllu#s119_0</t>
  </si>
  <si>
    <t>120</t>
  </si>
  <si>
    <t>sein (sein Kopie)</t>
  </si>
  <si>
    <t>Das Set war nämlich eine genaue Kopie der Baupläne des Schiffs .</t>
  </si>
  <si>
    <t>file://conllu/de/teddy-807.conllu#s120_0</t>
  </si>
  <si>
    <t>121</t>
  </si>
  <si>
    <t>Das war also eine höchst merkwürdige Erfahrung .</t>
  </si>
  <si>
    <t>file://conllu/de/teddy-807.conllu#s121_0</t>
  </si>
  <si>
    <t>122</t>
  </si>
  <si>
    <t>Sie machte mir dieses Telepräsenz Erlebnis bewusst , dass man solch roboterhafte Avatare verwenden und so das eigene Bewusstsein in das Fahrzeug , in diese andere Form der Existenz verlegen kann .</t>
  </si>
  <si>
    <t>file://conllu/de/teddy-807.conllu#s122_0</t>
  </si>
  <si>
    <t>123</t>
  </si>
  <si>
    <t>sein (sein ungeheuer)</t>
  </si>
  <si>
    <t>Es war wirklich ungeheuer tiefgreifend und vielleicht auch ein kleiner Ausblick auf das , was vielleicht in einigen Jahrzehnten passieren könnte , wenn man Cyborg Körper hat , um etwas zu erforschen oder andere Dinge zu tun , in allen möglichen post- humanen Zukunftszenarios , die ich mir als Science Fiction Fan vorstellen kann .</t>
  </si>
  <si>
    <t>file://conllu/de/teddy-807.conllu#s123_0</t>
  </si>
  <si>
    <t>124</t>
  </si>
  <si>
    <t>Nach diesen Expeditionen begannen wir das , was wir da unten gesehen hatten , wirklich schätzen zu lernen , zum zu dem Beispiel diese Tiefseequellen , wo wir diese unglaublich verblüffenden Tiere sahen .</t>
  </si>
  <si>
    <t>file://conllu/de/teddy-807.conllu#s124_0</t>
  </si>
  <si>
    <t>125</t>
  </si>
  <si>
    <t>sein (sein Außerirdische)</t>
  </si>
  <si>
    <t>Das sind quasi Außerirdische , aber hier auf Erden .</t>
  </si>
  <si>
    <t>file://conllu/de/teddy-807.conllu#s125_0</t>
  </si>
  <si>
    <t>126</t>
  </si>
  <si>
    <t>leben</t>
  </si>
  <si>
    <t>Sie leben mit Hilfe von Chemosynthese .</t>
  </si>
  <si>
    <t>file://conllu/de/teddy-807.conllu#s126_0</t>
  </si>
  <si>
    <t>127</t>
  </si>
  <si>
    <t>existieren</t>
  </si>
  <si>
    <t>Sie existieren nicht in einem auf Sonnenlicht basierten System , wie wir das tun .</t>
  </si>
  <si>
    <t>file://conllu/de/teddy-807.conllu#s127_0</t>
  </si>
  <si>
    <t>128</t>
  </si>
  <si>
    <t>Und so sieht man Tiere , die direkt neben einer 500 Grad Celsius heißen Wasserwolke leben .</t>
  </si>
  <si>
    <t>file://conllu/de/teddy-807.conllu#s128_0</t>
  </si>
  <si>
    <t>129</t>
  </si>
  <si>
    <t>vorstellen</t>
  </si>
  <si>
    <t>Und man kann sich nicht vorstellen , dass sie dort überleben können .</t>
  </si>
  <si>
    <t>file://conllu/de/teddy-807.conllu#s129_0</t>
  </si>
  <si>
    <t>131</t>
  </si>
  <si>
    <t>landen</t>
  </si>
  <si>
    <t>Und so landete ich bei den Leuten , die sich für den Weltraum interessieren und die mit der NASA zu tun haben und im in dem NASA Sachverständigenrat sitzen und richtige Weltraummissionen planen .</t>
  </si>
  <si>
    <t>file://conllu/de/teddy-807.conllu#s131_0</t>
  </si>
  <si>
    <t>132</t>
  </si>
  <si>
    <t>Sie fahren nach Russland , durchlaufen vor der Mission das biomedizinische Protokoll samt allem Drum und Dran , fliegen dann zur zu der internationalen Weltraumstation und nehmen unsere 3D Kamerasysteme mit .</t>
  </si>
  <si>
    <t>file://conllu/de/teddy-807.conllu#s132_0</t>
  </si>
  <si>
    <t>133</t>
  </si>
  <si>
    <t>sein (sein faszinierend)</t>
  </si>
  <si>
    <t>Das war faszinierend .</t>
  </si>
  <si>
    <t>file://conllu/de/teddy-807.conllu#s133_0</t>
  </si>
  <si>
    <t>134</t>
  </si>
  <si>
    <t>laufen</t>
  </si>
  <si>
    <t>Aber am an dem Ende lief es darauf hinaus , dass ich Weltraumwissenschaftler mit uns in die Tiefsee nahm .</t>
  </si>
  <si>
    <t>file://conllu/de/teddy-807.conllu#s134_0</t>
  </si>
  <si>
    <t>135</t>
  </si>
  <si>
    <t>Ich nahm sie mit und verschaftte ihnen Zugang zu der Welt da unten : Astrobiologen , Planetenwissenschaftler , Leute , die sich für solche extremen Situationen interessierten .</t>
  </si>
  <si>
    <t>file://conllu/de/teddy-807.conllu#s135_0</t>
  </si>
  <si>
    <t>136</t>
  </si>
  <si>
    <t>Ich nahm sie zu den Quellen mit , damit sie sich umschauen , Proben nehmen und Instrumente testen konnten und so weiter .</t>
  </si>
  <si>
    <t>file://conllu/de/teddy-807.conllu#s136_0</t>
  </si>
  <si>
    <t>137</t>
  </si>
  <si>
    <t>drehen</t>
  </si>
  <si>
    <t>Wir drehten zwar Dokumentarfilme , betrieben aber eigentlich Wissenschaft , genauer gesagt : Weltraumwissenschaft .</t>
  </si>
  <si>
    <t>file://conllu/de/teddy-807.conllu#s137_0</t>
  </si>
  <si>
    <t>138</t>
  </si>
  <si>
    <t>schließen</t>
  </si>
  <si>
    <t>So schloss sich der Kreis zwischen meiner Existenz als Science Fiction Fan , damals als Kind , und der Umsetzung in die Realität .</t>
  </si>
  <si>
    <t>file://conllu/de/teddy-807.conllu#s138_0</t>
  </si>
  <si>
    <t>140</t>
  </si>
  <si>
    <t>Ich habe eine Menge über Wissenschaft gelernt .</t>
  </si>
  <si>
    <t>file://conllu/de/teddy-807.conllu#s140_0</t>
  </si>
  <si>
    <t>141</t>
  </si>
  <si>
    <t>Aber ich habe auch viel über Führungsstil gelernt .</t>
  </si>
  <si>
    <t>file://conllu/de/teddy-807.conllu#s141_0</t>
  </si>
  <si>
    <t>142</t>
  </si>
  <si>
    <t>Jetzt denken Sie sicherlich , ein Regisseur muss auch führen können , ein Führer sein wie ein Schiffskapitän oder so .</t>
  </si>
  <si>
    <t>file://conllu/de/teddy-807.conllu#s142_0</t>
  </si>
  <si>
    <t>143</t>
  </si>
  <si>
    <t>verstehen</t>
  </si>
  <si>
    <t>Ich verstand aber nicht viel von Führung , bevor ich diese Expeditionen antrat .</t>
  </si>
  <si>
    <t>file://conllu/de/teddy-807.conllu#s143_0</t>
  </si>
  <si>
    <t>144</t>
  </si>
  <si>
    <t>Denn an einem bestimmten Punkt musste ich mir sagen : &amp;quot; Was mache ich eigentlich hier ?</t>
  </si>
  <si>
    <t>file://conllu/de/teddy-807.conllu#s144_0</t>
  </si>
  <si>
    <t>145</t>
  </si>
  <si>
    <t>mach</t>
  </si>
  <si>
    <t>Wieso mache ich das ?</t>
  </si>
  <si>
    <t>file://conllu/de/teddy-807.conllu#s145_0</t>
  </si>
  <si>
    <t>146</t>
  </si>
  <si>
    <t>Was kommt dabei heraus ? &amp;quot;</t>
  </si>
  <si>
    <t>file://conllu/de/teddy-807.conllu#s146_0</t>
  </si>
  <si>
    <t>147</t>
  </si>
  <si>
    <t>Diese blöden Filme bringen uns kein Geld ein .</t>
  </si>
  <si>
    <t>file://conllu/de/teddy-807.conllu#s147_0</t>
  </si>
  <si>
    <t>148</t>
  </si>
  <si>
    <t>spielen</t>
  </si>
  <si>
    <t>Wir spielen mal gerade die Produktionskosten ein .</t>
  </si>
  <si>
    <t>file://conllu/de/teddy-807.conllu#s148_0</t>
  </si>
  <si>
    <t>149</t>
  </si>
  <si>
    <t>Spur</t>
  </si>
  <si>
    <t>Von Ruhm keine Spur .</t>
  </si>
  <si>
    <t>file://conllu/de/teddy-807.conllu#s149_0</t>
  </si>
  <si>
    <t>150</t>
  </si>
  <si>
    <t>Alle denken , ich sei zwischen &amp;quot; Titanic &amp;quot; und &amp;quot; Avatar &amp;quot; davongelaufen und hätte mir irgendwo die Nägel auf einem Handtuch am an dem Strand gefeilt .</t>
  </si>
  <si>
    <t>file://conllu/de/teddy-807.conllu#s150_0</t>
  </si>
  <si>
    <t>151</t>
  </si>
  <si>
    <t>Ich habe alle diese Filme , diese Dokumentarfilme , für ein sehr kleines Publikum gemacht .</t>
  </si>
  <si>
    <t>file://conllu/de/teddy-807.conllu#s151_0</t>
  </si>
  <si>
    <t>152</t>
  </si>
  <si>
    <t>Kein</t>
  </si>
  <si>
    <t>Kein Ruhm , keine Ehre , kein Geld .</t>
  </si>
  <si>
    <t>file://conllu/de/teddy-807.conllu#s152_0</t>
  </si>
  <si>
    <t>153</t>
  </si>
  <si>
    <t>Was machst du nur ?</t>
  </si>
  <si>
    <t>file://conllu/de/teddy-807.conllu#s153_0</t>
  </si>
  <si>
    <t>154</t>
  </si>
  <si>
    <t>Du machst es um der Aufgabe willen , um der Herausforderung willen und der Ozean ist die herausforderndste Umgebung , die es gibt .</t>
  </si>
  <si>
    <t>file://conllu/de/teddy-807.conllu#s154_0</t>
  </si>
  <si>
    <t>155</t>
  </si>
  <si>
    <t>Du machst es des Entdeckerrausches wegen , und wegen der seltsamen Verbindung , die entsteht , wenn eine kleine Gruppe von Leuten ein Team bildet .</t>
  </si>
  <si>
    <t>file://conllu/de/teddy-807.conllu#s155_0</t>
  </si>
  <si>
    <t>156</t>
  </si>
  <si>
    <t>Denn wir haben all dies mit nur 10 bis 12 Leuten gemacht , die jahrelang ununterbrochen zusammengearbeitet haben .</t>
  </si>
  <si>
    <t>file://conllu/de/teddy-807.conllu#s156_0</t>
  </si>
  <si>
    <t>157</t>
  </si>
  <si>
    <t>sein (sein See)</t>
  </si>
  <si>
    <t>Manchmal waren wir 2 bis 3 Monate hintereinander auf See .</t>
  </si>
  <si>
    <t>file://conllu/de/teddy-807.conllu#s157_0</t>
  </si>
  <si>
    <t>158</t>
  </si>
  <si>
    <t>erklären (erklären erkennen)</t>
  </si>
  <si>
    <t>Und in dieser Gemeinschaft erkennt man , dass die wichtigste Sache die Achtung ist , die man vor einander hat , weil man eine Aufgabe bewältigt hat , die man keinem anderem erklären kann .</t>
  </si>
  <si>
    <t>file://conllu/de/teddy-807.conllu#s158_0</t>
  </si>
  <si>
    <t>159</t>
  </si>
  <si>
    <t>erklären (erklären sagen)</t>
  </si>
  <si>
    <t>Wenn man an Land zurückkehrt und sich sagt , &amp;quot; Wir mussten es tun , das Fiberglas , die Schallschwächung , und das ganz Drumherum , die ganze Technik , und die Schwierigkeiten , das menschliche Leistungsvermögen , wenn man auf See arbeitet &amp;quot; , dann kann man das anderen einfach nicht erklären .</t>
  </si>
  <si>
    <t>file://conllu/de/teddy-807.conllu#s159_0</t>
  </si>
  <si>
    <t>160</t>
  </si>
  <si>
    <t>sein (sein wissen)</t>
  </si>
  <si>
    <t>Das ist wie bei Polizisten oder bei Soldaten , die etwas gemeinsam durchgemacht haben und wissen , dass sie es nie jemanden erklären können .</t>
  </si>
  <si>
    <t>file://conllu/de/teddy-807.conllu#s160_0</t>
  </si>
  <si>
    <t>161</t>
  </si>
  <si>
    <t>entstehen</t>
  </si>
  <si>
    <t>Da entsteht eine Verbindung , ein gegenseitiger Respekt .</t>
  </si>
  <si>
    <t>file://conllu/de/teddy-807.conllu#s161_0</t>
  </si>
  <si>
    <t>162</t>
  </si>
  <si>
    <t>versuchen</t>
  </si>
  <si>
    <t>Als ich also zurückkam , um meinen nächsten Film &amp;quot; Avatar &amp;quot; zu drehen , versuchte ich denselben Führungsstil anzuwenden , nämlich dass man sein Team respektiert und sich im in dem Gegenzug dessen Respekt verdient .</t>
  </si>
  <si>
    <t>file://conllu/de/teddy-807.conllu#s162_0</t>
  </si>
  <si>
    <t>163</t>
  </si>
  <si>
    <t>Dadurch?</t>
  </si>
  <si>
    <t>verändern</t>
  </si>
  <si>
    <t>Dadurch wurde die Dynamik wirklich verändert .</t>
  </si>
  <si>
    <t>file://conllu/de/teddy-807.conllu#s163_0</t>
  </si>
  <si>
    <t>164</t>
  </si>
  <si>
    <t>stehen</t>
  </si>
  <si>
    <t>Da stand ich also wieder mit einem kleinen Team auf unbekanntem Terrain .</t>
  </si>
  <si>
    <t>file://conllu/de/teddy-807.conllu#s164_0</t>
  </si>
  <si>
    <t>165</t>
  </si>
  <si>
    <t>Wir drehten &amp;quot; Avatar &amp;quot; mit einer neuen Technik , die es vorher noch nicht gab .</t>
  </si>
  <si>
    <t>file://conllu/de/teddy-807.conllu#s165_0</t>
  </si>
  <si>
    <t>166</t>
  </si>
  <si>
    <t>aufregend</t>
  </si>
  <si>
    <t>Ungeheuer aufregend .</t>
  </si>
  <si>
    <t>file://conllu/de/teddy-807.conllu#s166_0</t>
  </si>
  <si>
    <t>167</t>
  </si>
  <si>
    <t>Herausforderung</t>
  </si>
  <si>
    <t>Eine ungeheure Herausforderung .</t>
  </si>
  <si>
    <t>file://conllu/de/teddy-807.conllu#s167_0</t>
  </si>
  <si>
    <t>168</t>
  </si>
  <si>
    <t>Und wir wurden für einen Zeitraum von viereinhalb Jahren zu einer richtigen Familie .</t>
  </si>
  <si>
    <t>file://conllu/de/teddy-807.conllu#s168_0</t>
  </si>
  <si>
    <t>169</t>
  </si>
  <si>
    <t>Dadurch veränderte sich meine Art , Filme zu machen , komplett .</t>
  </si>
  <si>
    <t>file://conllu/de/teddy-807.conllu#s169_0</t>
  </si>
  <si>
    <t>170</t>
  </si>
  <si>
    <t>geben</t>
  </si>
  <si>
    <t>Es gab Leute , die meinten , wir hätten diese Ozeanwesen ja wirklich gut nachgemacht und auf den Planeten Pandora transportiert .</t>
  </si>
  <si>
    <t>file://conllu/de/teddy-807.conllu#s170_0</t>
  </si>
  <si>
    <t>171</t>
  </si>
  <si>
    <t>sein (sein Art)</t>
  </si>
  <si>
    <t>Für mich war es mehr eine prinzipielle Art , meinen Job zu tun , der eigentliche Prozess , der sich im in dem Ergebnis geändert hat .</t>
  </si>
  <si>
    <t>file://conllu/de/teddy-807.conllu#s171_0</t>
  </si>
  <si>
    <t>172</t>
  </si>
  <si>
    <t>Was können wir also aus all dem schließen ?</t>
  </si>
  <si>
    <t>file://conllu/de/teddy-807.conllu#s172_0</t>
  </si>
  <si>
    <t>173</t>
  </si>
  <si>
    <t>Welche Lektionen haben wir gelernt ?</t>
  </si>
  <si>
    <t>file://conllu/de/teddy-807.conllu#s173_0</t>
  </si>
  <si>
    <t>174</t>
  </si>
  <si>
    <t>glauben</t>
  </si>
  <si>
    <t>Ich glaube , an erster Stelle steht die Neugier .</t>
  </si>
  <si>
    <t>file://conllu/de/teddy-807.conllu#s174_0</t>
  </si>
  <si>
    <t>175</t>
  </si>
  <si>
    <t>sein (sein Eigenschaft)</t>
  </si>
  <si>
    <t>Es ist die mächtigste menschliche Eigenschaft .</t>
  </si>
  <si>
    <t>file://conllu/de/teddy-807.conllu#s175_0</t>
  </si>
  <si>
    <t>176</t>
  </si>
  <si>
    <t>sein (sein Kraft)</t>
  </si>
  <si>
    <t>Unsere Vorstellungskraft ist eine Kraft , die sogar eine Realität schaffen kann .</t>
  </si>
  <si>
    <t>file://conllu/de/teddy-807.conllu#s176_0</t>
  </si>
  <si>
    <t>177</t>
  </si>
  <si>
    <t>Und die Achtung deines Teams ist wichtiger als aller Lorbeer dieser Welt .</t>
  </si>
  <si>
    <t>file://conllu/de/teddy-807.conllu#s177_0</t>
  </si>
  <si>
    <t>178</t>
  </si>
  <si>
    <t>Zu mir kommen junge Filmemacher , die sagen : &amp;quot; Geben Sie mir einen Rat , wie ich so etwas machen kann . &amp;quot;</t>
  </si>
  <si>
    <t>file://conllu/de/teddy-807.conllu#s178_0</t>
  </si>
  <si>
    <t>179</t>
  </si>
  <si>
    <t>Und ich sage : &amp;quot; Schränke dich nicht selbst ein .</t>
  </si>
  <si>
    <t>file://conllu/de/teddy-807.conllu#s179_0</t>
  </si>
  <si>
    <t>180</t>
  </si>
  <si>
    <t>besorgen</t>
  </si>
  <si>
    <t>Das besorgen schon andere für dich .</t>
  </si>
  <si>
    <t>file://conllu/de/teddy-807.conllu#s180_0</t>
  </si>
  <si>
    <t>181</t>
  </si>
  <si>
    <t>dir</t>
  </si>
  <si>
    <t>Tu es nicht dir selbst an , wette nicht gegen sich selbst .</t>
  </si>
  <si>
    <t>file://conllu/de/teddy-807.conllu#s181_0</t>
  </si>
  <si>
    <t>182</t>
  </si>
  <si>
    <t>Risiko</t>
  </si>
  <si>
    <t>Sondern nimm Risiken auf dich . &amp;quot;</t>
  </si>
  <si>
    <t>file://conllu/de/teddy-807.conllu#s182_0</t>
  </si>
  <si>
    <t>183</t>
  </si>
  <si>
    <t>Die NASA hat so einen Lieblingssatz : &amp;quot; Scheitern ist keine Alternative . &amp;quot;</t>
  </si>
  <si>
    <t>file://conllu/de/teddy-807.conllu#s183_0</t>
  </si>
  <si>
    <t>184</t>
  </si>
  <si>
    <t>sein (sein Alternative)</t>
  </si>
  <si>
    <t>Aber in der Kunst und beim bei dem Erforschen muss Scheitern eine Alternative sein , denn dort garantiert es einen Vertrauensvorschuss .</t>
  </si>
  <si>
    <t>file://conllu/de/teddy-807.conllu#s184_0</t>
  </si>
  <si>
    <t>185</t>
  </si>
  <si>
    <t>angegangen</t>
  </si>
  <si>
    <t>Kein wichtiges Unterfangen , das Innovation verlangte , wurde je ohne Risiko angegangen .</t>
  </si>
  <si>
    <t>file://conllu/de/teddy-807.conllu#s185_0</t>
  </si>
  <si>
    <t>186</t>
  </si>
  <si>
    <t>sein (sein bereit)</t>
  </si>
  <si>
    <t>Man muss bereit sein , solche Risiken auf sich zu nehmen .</t>
  </si>
  <si>
    <t>file://conllu/de/teddy-807.conllu#s186_0</t>
  </si>
  <si>
    <t>187</t>
  </si>
  <si>
    <t>sein (sein Gedanke)</t>
  </si>
  <si>
    <t>Das ist der Gedanke , den ich Ihnen gern mit auf den Weg geben möchte .</t>
  </si>
  <si>
    <t>file://conllu/de/teddy-807.conllu#s187_0</t>
  </si>
  <si>
    <t>188</t>
  </si>
  <si>
    <t>Scheitern ist durchaus eine Alternative , Angst aber ist keine .</t>
  </si>
  <si>
    <t>file://conllu/de/teddy-807.conllu#s188_0</t>
  </si>
  <si>
    <t>189</t>
  </si>
  <si>
    <t>Dank</t>
  </si>
  <si>
    <t>Danke .</t>
  </si>
  <si>
    <t>file://conllu/de/teddy-807.conllu#s189_0</t>
  </si>
  <si>
    <t>WORD</t>
  </si>
  <si>
    <t>GR</t>
  </si>
  <si>
    <t>NP_TYPE</t>
  </si>
  <si>
    <t>REF_AUTO</t>
  </si>
  <si>
    <t>COREF</t>
  </si>
  <si>
    <t>REF</t>
  </si>
  <si>
    <t>IS</t>
  </si>
  <si>
    <t>CB</t>
  </si>
  <si>
    <t>GR_ANTE</t>
  </si>
  <si>
    <t>REF_DIST</t>
  </si>
  <si>
    <t>REF_DIST_ANTE</t>
  </si>
  <si>
    <t># text = Ich wuchs mit einer gehörigen Portion Science Fiction auf.</t>
  </si>
  <si>
    <t>Ich</t>
  </si>
  <si>
    <t>SBJ</t>
  </si>
  <si>
    <t>pron.pper</t>
  </si>
  <si>
    <t>?OLD</t>
  </si>
  <si>
    <t>wuchs</t>
  </si>
  <si>
    <t>mit</t>
  </si>
  <si>
    <t>einer</t>
  </si>
  <si>
    <t>gehörigen</t>
  </si>
  <si>
    <t>Portion</t>
  </si>
  <si>
    <t>other</t>
  </si>
  <si>
    <t>indef-np.a</t>
  </si>
  <si>
    <t>Science</t>
  </si>
  <si>
    <t>other_2</t>
  </si>
  <si>
    <t>ne</t>
  </si>
  <si>
    <t>Fiction</t>
  </si>
  <si>
    <t>auf</t>
  </si>
  <si>
    <t># text = In meiner Schulzeit fuhr ich mit dem Bus zur Schule, jeden Tag eine Stunde pro Strecke.</t>
  </si>
  <si>
    <t>In</t>
  </si>
  <si>
    <t>meiner</t>
  </si>
  <si>
    <t>pron.ppos</t>
  </si>
  <si>
    <t>Schulzeit</t>
  </si>
  <si>
    <t>indef-np.bare</t>
  </si>
  <si>
    <t>fuhr</t>
  </si>
  <si>
    <t>ich</t>
  </si>
  <si>
    <t>dem</t>
  </si>
  <si>
    <t>Bus</t>
  </si>
  <si>
    <t>def-np.the</t>
  </si>
  <si>
    <t>zu</t>
  </si>
  <si>
    <t>other_3</t>
  </si>
  <si>
    <t>pron.pind</t>
  </si>
  <si>
    <t>der</t>
  </si>
  <si>
    <t>Schule</t>
  </si>
  <si>
    <t>,</t>
  </si>
  <si>
    <t>jeden</t>
  </si>
  <si>
    <t>Tag</t>
  </si>
  <si>
    <t>eine</t>
  </si>
  <si>
    <t>Stunde</t>
  </si>
  <si>
    <t>OBJ</t>
  </si>
  <si>
    <t>pro</t>
  </si>
  <si>
    <t>Strecke</t>
  </si>
  <si>
    <t># text = Und meine Nase steckte immer in einem Buch, einem Science-Fiction-Buch, das meine Gedanken in andere Welten entführte und auf erzählerische Weise meine tief in mir sitzende, unersättliche Neugier befriedigte.</t>
  </si>
  <si>
    <t>Und</t>
  </si>
  <si>
    <t>meine</t>
  </si>
  <si>
    <t>Nase</t>
  </si>
  <si>
    <t>steckte</t>
  </si>
  <si>
    <t>immer</t>
  </si>
  <si>
    <t>in</t>
  </si>
  <si>
    <t>einem</t>
  </si>
  <si>
    <t>Buch</t>
  </si>
  <si>
    <t>das</t>
  </si>
  <si>
    <t>SBJ_4</t>
  </si>
  <si>
    <t>other_5</t>
  </si>
  <si>
    <t>Gedanken</t>
  </si>
  <si>
    <t>OBJ_4</t>
  </si>
  <si>
    <t>andere</t>
  </si>
  <si>
    <t>Welten</t>
  </si>
  <si>
    <t>other_4</t>
  </si>
  <si>
    <t>entführte</t>
  </si>
  <si>
    <t>und</t>
  </si>
  <si>
    <t>erzählerische</t>
  </si>
  <si>
    <t>Weise</t>
  </si>
  <si>
    <t>SBJ_3</t>
  </si>
  <si>
    <t>pron</t>
  </si>
  <si>
    <t>tief</t>
  </si>
  <si>
    <t>OBJ_2</t>
  </si>
  <si>
    <t>mir</t>
  </si>
  <si>
    <t>sitzende</t>
  </si>
  <si>
    <t>unersättliche</t>
  </si>
  <si>
    <t>Neugier</t>
  </si>
  <si>
    <t>SBJ_2</t>
  </si>
  <si>
    <t>befriedigte</t>
  </si>
  <si>
    <t>--</t>
  </si>
  <si>
    <t># text = Diese Neugier zeigte sich auch darin, dass ich immer, wenn ich nicht in der Schule war, durch die Wälder streunte, wanderte und "Proben" sammelte, Frösche und Schlangen und Käfer und Teichwasser, alles nach Hause brachte und unter dem Mikroskop betrachtete.</t>
  </si>
  <si>
    <t>Diese</t>
  </si>
  <si>
    <t>pron.pds</t>
  </si>
  <si>
    <t>def-np.dem</t>
  </si>
  <si>
    <t>zeigte</t>
  </si>
  <si>
    <t>sich</t>
  </si>
  <si>
    <t>auch</t>
  </si>
  <si>
    <t>darin</t>
  </si>
  <si>
    <t>pron.padv</t>
  </si>
  <si>
    <t>dass</t>
  </si>
  <si>
    <t>wenn</t>
  </si>
  <si>
    <t>nicht</t>
  </si>
  <si>
    <t>war</t>
  </si>
  <si>
    <t>durch</t>
  </si>
  <si>
    <t>die</t>
  </si>
  <si>
    <t>Wälder</t>
  </si>
  <si>
    <t>streunte</t>
  </si>
  <si>
    <t>wanderte</t>
  </si>
  <si>
    <t>&amp;quot;</t>
  </si>
  <si>
    <t>Proben</t>
  </si>
  <si>
    <t>sammelte</t>
  </si>
  <si>
    <t>Frösche</t>
  </si>
  <si>
    <t>Schlangen</t>
  </si>
  <si>
    <t>Käfer</t>
  </si>
  <si>
    <t>Teichwasser</t>
  </si>
  <si>
    <t>alles</t>
  </si>
  <si>
    <t>nach</t>
  </si>
  <si>
    <t>Hause</t>
  </si>
  <si>
    <t>brachte</t>
  </si>
  <si>
    <t>unter</t>
  </si>
  <si>
    <t>Mikroskop</t>
  </si>
  <si>
    <t>betrachtete</t>
  </si>
  <si>
    <t># text = Ich war total wissenschaftsbegeistert, wissen Sie.</t>
  </si>
  <si>
    <t>total</t>
  </si>
  <si>
    <t>wissenschaftsbegeistert</t>
  </si>
  <si>
    <t>Sie</t>
  </si>
  <si>
    <t># text = Es ging dabei immer um den Versuch, die Welt zu verstehen und die Grenzen des Möglichen auszuloten.</t>
  </si>
  <si>
    <t>Es</t>
  </si>
  <si>
    <t>ging</t>
  </si>
  <si>
    <t>dabei</t>
  </si>
  <si>
    <t>um</t>
  </si>
  <si>
    <t>den</t>
  </si>
  <si>
    <t>Versuch</t>
  </si>
  <si>
    <t>Welt</t>
  </si>
  <si>
    <t>OBJ_3</t>
  </si>
  <si>
    <t>Grenzen</t>
  </si>
  <si>
    <t>des</t>
  </si>
  <si>
    <t>Möglichen</t>
  </si>
  <si>
    <t>auszuloten</t>
  </si>
  <si>
    <t># text = Und meine Liebe zu Science Fiction schien sich in meiner Umgebung widerzuspiegeln, denn damals, in den späten 60ern, flogen wir zum Mond und erforschten die Tiefsee.</t>
  </si>
  <si>
    <t>Liebe</t>
  </si>
  <si>
    <t>schien</t>
  </si>
  <si>
    <t>Umgebung</t>
  </si>
  <si>
    <t>indef-np</t>
  </si>
  <si>
    <t>widerzuspiegeln</t>
  </si>
  <si>
    <t>denn</t>
  </si>
  <si>
    <t>damals</t>
  </si>
  <si>
    <t>späten</t>
  </si>
  <si>
    <t>60ern</t>
  </si>
  <si>
    <t>flogen</t>
  </si>
  <si>
    <t>wir</t>
  </si>
  <si>
    <t>Mond</t>
  </si>
  <si>
    <t>erforschten</t>
  </si>
  <si>
    <t>Tiefsee</t>
  </si>
  <si>
    <t># text = Jacques Cousteau kam in unsere Wohnzimmer mit seinen faszinierenden Sendungen, die uns Tiere und Orte und eine Welt voller Wunder zeigten, die wir uns vorher nie hätten vorstellen können.</t>
  </si>
  <si>
    <t>Jacques</t>
  </si>
  <si>
    <t>Cousteau</t>
  </si>
  <si>
    <t>kam</t>
  </si>
  <si>
    <t>unsere</t>
  </si>
  <si>
    <t>Wohnzimmer</t>
  </si>
  <si>
    <t>seinen</t>
  </si>
  <si>
    <t>faszinierenden</t>
  </si>
  <si>
    <t>Sendungen</t>
  </si>
  <si>
    <t>uns</t>
  </si>
  <si>
    <t>Tiere</t>
  </si>
  <si>
    <t>Orte</t>
  </si>
  <si>
    <t>voller</t>
  </si>
  <si>
    <t>Wunder</t>
  </si>
  <si>
    <t>zeigten</t>
  </si>
  <si>
    <t>vorher</t>
  </si>
  <si>
    <t>nie</t>
  </si>
  <si>
    <t>hätten</t>
  </si>
  <si>
    <t>können</t>
  </si>
  <si>
    <t># text = Das hat dann wohl ganz gut zu jener Science-Fiction-Rolle gepasst.</t>
  </si>
  <si>
    <t>Das</t>
  </si>
  <si>
    <t>hat</t>
  </si>
  <si>
    <t>dann</t>
  </si>
  <si>
    <t>wohl</t>
  </si>
  <si>
    <t>ganz</t>
  </si>
  <si>
    <t>gut</t>
  </si>
  <si>
    <t>jener</t>
  </si>
  <si>
    <t>Rolle</t>
  </si>
  <si>
    <t>gepasst</t>
  </si>
  <si>
    <t># text = Und ich war Künstler.</t>
  </si>
  <si>
    <t>Künstler</t>
  </si>
  <si>
    <t># text = Ich konnte zeichnen.</t>
  </si>
  <si>
    <t>konnte</t>
  </si>
  <si>
    <t># text = Ich konnte malen.</t>
  </si>
  <si>
    <t># text = Und da es weder Videospiele noch diese Übersättigung mit computergenerierten Filmen noch die ganze Bildsprache in der Medienlandschaft gab, musste ich die Bilder in meinem Kopf erschaffen.</t>
  </si>
  <si>
    <t>da</t>
  </si>
  <si>
    <t>es</t>
  </si>
  <si>
    <t>weder</t>
  </si>
  <si>
    <t>Videospiele</t>
  </si>
  <si>
    <t>noch</t>
  </si>
  <si>
    <t>diese</t>
  </si>
  <si>
    <t>Übersättigung</t>
  </si>
  <si>
    <t>computergenerierten</t>
  </si>
  <si>
    <t>Filmen</t>
  </si>
  <si>
    <t>ganze</t>
  </si>
  <si>
    <t>Bildsprache</t>
  </si>
  <si>
    <t>Medienlandschaft</t>
  </si>
  <si>
    <t>gab</t>
  </si>
  <si>
    <t>musste</t>
  </si>
  <si>
    <t>Bilder</t>
  </si>
  <si>
    <t>meinem</t>
  </si>
  <si>
    <t>Kopf</t>
  </si>
  <si>
    <t># text = Das mussten wir damals alle.</t>
  </si>
  <si>
    <t>mussten</t>
  </si>
  <si>
    <t>alle</t>
  </si>
  <si>
    <t># text = Wenn wir als Kinder ein Buch lasen, nahmen wir die Beschreibung des Autors und projizierten sie auf die Leinwand in unseren Köpfen.</t>
  </si>
  <si>
    <t>Wenn</t>
  </si>
  <si>
    <t>als</t>
  </si>
  <si>
    <t>Kinder</t>
  </si>
  <si>
    <t>ein</t>
  </si>
  <si>
    <t>lasen</t>
  </si>
  <si>
    <t>nahmen</t>
  </si>
  <si>
    <t>Beschreibung</t>
  </si>
  <si>
    <t>Autors</t>
  </si>
  <si>
    <t>projizierten</t>
  </si>
  <si>
    <t>sie</t>
  </si>
  <si>
    <t>Leinwand</t>
  </si>
  <si>
    <t>unseren</t>
  </si>
  <si>
    <t>Köpfen</t>
  </si>
  <si>
    <t># text = Meine Reaktion darauf war das Zeichnen und Malen von Außerirdischen, außerirdischen Welten, Robotern, Raumschiffen und all so was.</t>
  </si>
  <si>
    <t>Meine</t>
  </si>
  <si>
    <t>Reaktion</t>
  </si>
  <si>
    <t>darauf</t>
  </si>
  <si>
    <t>Zeichnen</t>
  </si>
  <si>
    <t>Malen</t>
  </si>
  <si>
    <t>von</t>
  </si>
  <si>
    <t>Außerirdischen</t>
  </si>
  <si>
    <t>außerirdischen</t>
  </si>
  <si>
    <t>Robotern</t>
  </si>
  <si>
    <t>Raumschiffen</t>
  </si>
  <si>
    <t>all</t>
  </si>
  <si>
    <t>so</t>
  </si>
  <si>
    <t>was</t>
  </si>
  <si>
    <t># text = Im Matheunterricht wurde ich ständig vom Lehrer erwischt, wie ich, hinterm Lehrbuch versteckt, herummalte.</t>
  </si>
  <si>
    <t>Matheunterricht</t>
  </si>
  <si>
    <t>wurde</t>
  </si>
  <si>
    <t>ständig</t>
  </si>
  <si>
    <t>Lehrer</t>
  </si>
  <si>
    <t>erwischt</t>
  </si>
  <si>
    <t>wie</t>
  </si>
  <si>
    <t>hinterm</t>
  </si>
  <si>
    <t>Lehrbuch</t>
  </si>
  <si>
    <t>versteckt</t>
  </si>
  <si>
    <t>herummalte</t>
  </si>
  <si>
    <t># text = Die Kreativität musste halt irgendwie raus.</t>
  </si>
  <si>
    <t>Die</t>
  </si>
  <si>
    <t>Kreativität</t>
  </si>
  <si>
    <t>halt</t>
  </si>
  <si>
    <t>irgendwie</t>
  </si>
  <si>
    <t>raus</t>
  </si>
  <si>
    <t># text = Und dabei geschah etwas Interessantes.</t>
  </si>
  <si>
    <t>geschah</t>
  </si>
  <si>
    <t>etwas</t>
  </si>
  <si>
    <t>Interessantes</t>
  </si>
  <si>
    <t>indef-np.quant</t>
  </si>
  <si>
    <t># text = Was mich nämlich an Jacques Cousteaus Sendungen faszinierte, war der Gedanke an eine uns völlig unbekannte Welt hier auf unserer Erde selbst.</t>
  </si>
  <si>
    <t>Was</t>
  </si>
  <si>
    <t>mich</t>
  </si>
  <si>
    <t>nämlich</t>
  </si>
  <si>
    <t>an</t>
  </si>
  <si>
    <t>Cousteaus</t>
  </si>
  <si>
    <t>faszinierte</t>
  </si>
  <si>
    <t>Gedanke</t>
  </si>
  <si>
    <t>völlig</t>
  </si>
  <si>
    <t>unbekannte</t>
  </si>
  <si>
    <t>def-np.poss</t>
  </si>
  <si>
    <t>hier</t>
  </si>
  <si>
    <t>unserer</t>
  </si>
  <si>
    <t>Erde</t>
  </si>
  <si>
    <t>selbst</t>
  </si>
  <si>
    <t># text = Sicherlich würde ich ja niemals eine außerirdische Welt mit einem Raumschiff erreichen.</t>
  </si>
  <si>
    <t>Sicherlich</t>
  </si>
  <si>
    <t>würde</t>
  </si>
  <si>
    <t>ja</t>
  </si>
  <si>
    <t>niemals</t>
  </si>
  <si>
    <t>außerirdische</t>
  </si>
  <si>
    <t>Raumschiff</t>
  </si>
  <si>
    <t># text = Das schien mir ziemlich unwahrscheinlich.</t>
  </si>
  <si>
    <t>ziemlich</t>
  </si>
  <si>
    <t>unwahrscheinlich</t>
  </si>
  <si>
    <t># text = Aber hier war eine Welt, die ich tatsächlich betreten konnte, hier auf der Erde, und sie war genauso faszinierend und exotisch wie all das, was ich mir immer vorgestellt hatte, als ich diese Bücher gelesen hatte.</t>
  </si>
  <si>
    <t>Aber</t>
  </si>
  <si>
    <t>tatsächlich</t>
  </si>
  <si>
    <t>betreten</t>
  </si>
  <si>
    <t>genauso</t>
  </si>
  <si>
    <t>faszinierend</t>
  </si>
  <si>
    <t>exotisch</t>
  </si>
  <si>
    <t>vorgestellt</t>
  </si>
  <si>
    <t>hatte</t>
  </si>
  <si>
    <t>Bücher</t>
  </si>
  <si>
    <t>gelesen</t>
  </si>
  <si>
    <t># text = Also beschloss ich, als ich 15 war, Taucher zu werden.</t>
  </si>
  <si>
    <t>Also</t>
  </si>
  <si>
    <t>beschloss</t>
  </si>
  <si>
    <t>Taucher</t>
  </si>
  <si>
    <t># text = Das einzige Problem dabei war, dass ich in einem kleinen Dorf in Kanada lebte, 1 000 km vom nächsten Ozean entfernt.</t>
  </si>
  <si>
    <t>einzige</t>
  </si>
  <si>
    <t>Problem</t>
  </si>
  <si>
    <t>kleinen</t>
  </si>
  <si>
    <t>Dorf</t>
  </si>
  <si>
    <t>Kanada</t>
  </si>
  <si>
    <t>lebte</t>
  </si>
  <si>
    <t>000</t>
  </si>
  <si>
    <t>km</t>
  </si>
  <si>
    <t>nächsten</t>
  </si>
  <si>
    <t>Ozean</t>
  </si>
  <si>
    <t>entfernt</t>
  </si>
  <si>
    <t># text = Davon ließ ich mich aber nicht entmutigen.</t>
  </si>
  <si>
    <t>Davon</t>
  </si>
  <si>
    <t>ließ</t>
  </si>
  <si>
    <t>aber</t>
  </si>
  <si>
    <t>entmutigen</t>
  </si>
  <si>
    <t># text = Ich nervte meinen Vater, bis er endlich eine Tauchschule in Buffalo, New York, ausfindig gemacht hatte, genau auf der anderen Seite der Grenze, wo wir lebten.</t>
  </si>
  <si>
    <t>nervte</t>
  </si>
  <si>
    <t>meinen</t>
  </si>
  <si>
    <t>Vater</t>
  </si>
  <si>
    <t>bis</t>
  </si>
  <si>
    <t>er</t>
  </si>
  <si>
    <t>endlich</t>
  </si>
  <si>
    <t>Tauchschule</t>
  </si>
  <si>
    <t>Buffalo</t>
  </si>
  <si>
    <t>New</t>
  </si>
  <si>
    <t>York</t>
  </si>
  <si>
    <t>ausfindig</t>
  </si>
  <si>
    <t>gemacht</t>
  </si>
  <si>
    <t>genau</t>
  </si>
  <si>
    <t>anderen</t>
  </si>
  <si>
    <t>Seite</t>
  </si>
  <si>
    <t>def-np.the.other</t>
  </si>
  <si>
    <t>Grenze</t>
  </si>
  <si>
    <t>wo</t>
  </si>
  <si>
    <t>lebten</t>
  </si>
  <si>
    <t># text = Ich machte meinen Tauchschein in einem Pool der YMCA mitten im Winter in Buffalo, New York.</t>
  </si>
  <si>
    <t>machte</t>
  </si>
  <si>
    <t>Tauchschein</t>
  </si>
  <si>
    <t>Pool</t>
  </si>
  <si>
    <t>YMCA</t>
  </si>
  <si>
    <t>mitten</t>
  </si>
  <si>
    <t>Winter</t>
  </si>
  <si>
    <t># text = Den Ozean aber, einen echten Ozean, bekam ich erst zwei Jahre später zu Gesicht, als wir nach Kalifornien zogen.</t>
  </si>
  <si>
    <t>Den</t>
  </si>
  <si>
    <t>einen</t>
  </si>
  <si>
    <t>echten</t>
  </si>
  <si>
    <t>bekam</t>
  </si>
  <si>
    <t>erst</t>
  </si>
  <si>
    <t>zwei</t>
  </si>
  <si>
    <t>Jahre</t>
  </si>
  <si>
    <t>später</t>
  </si>
  <si>
    <t>Gesicht</t>
  </si>
  <si>
    <t>Kalifornien</t>
  </si>
  <si>
    <t>zogen</t>
  </si>
  <si>
    <t># text = Seitdem, in den 40 Jahren, die inzwischen verstrichen sind, habe ich ungefähr 3 000 Stunden unter Wasser verbracht.</t>
  </si>
  <si>
    <t>Seitdem</t>
  </si>
  <si>
    <t>Jahren</t>
  </si>
  <si>
    <t>def-np.quant</t>
  </si>
  <si>
    <t>inzwischen</t>
  </si>
  <si>
    <t>verstrichen</t>
  </si>
  <si>
    <t>sind</t>
  </si>
  <si>
    <t>habe</t>
  </si>
  <si>
    <t>ungefähr</t>
  </si>
  <si>
    <t>Stunden</t>
  </si>
  <si>
    <t>Wasser</t>
  </si>
  <si>
    <t>verbracht</t>
  </si>
  <si>
    <t># text = 500 Stunden davon in Tauchbooten.</t>
  </si>
  <si>
    <t>500</t>
  </si>
  <si>
    <t>davon</t>
  </si>
  <si>
    <t>Tauchbooten</t>
  </si>
  <si>
    <t># text = Und ich habe gelernt, dass die Welt der Tiefsee, selbst in den flacheren Ozeanen, so reich an faszinierendem Leben ist, wie wir es uns wirklich kaum vorstellen können.</t>
  </si>
  <si>
    <t>gelernt</t>
  </si>
  <si>
    <t>flacheren</t>
  </si>
  <si>
    <t>Ozeanen</t>
  </si>
  <si>
    <t>reich</t>
  </si>
  <si>
    <t>faszinierendem</t>
  </si>
  <si>
    <t>Leben</t>
  </si>
  <si>
    <t>ist</t>
  </si>
  <si>
    <t>wirklich</t>
  </si>
  <si>
    <t>kaum</t>
  </si>
  <si>
    <t># text = Die Phantasie der Natur kennt keine Grenzen, ganz im Gegensatz zu unserer eigenen, kläglichen menschlichen Vorstellungskraft.</t>
  </si>
  <si>
    <t>Phantasie</t>
  </si>
  <si>
    <t>Natur</t>
  </si>
  <si>
    <t>kennt</t>
  </si>
  <si>
    <t>keine</t>
  </si>
  <si>
    <t>Gegensatz</t>
  </si>
  <si>
    <t>eigenen</t>
  </si>
  <si>
    <t>kläglichen</t>
  </si>
  <si>
    <t>menschlichen</t>
  </si>
  <si>
    <t>Vorstellungskraft</t>
  </si>
  <si>
    <t># text = Bis zum heutigen Tage empfinde ich tiefste Ehrfurcht für das, was ich auf meinen Tauchgängen sehe.</t>
  </si>
  <si>
    <t>Bis</t>
  </si>
  <si>
    <t>heutigen</t>
  </si>
  <si>
    <t>Tage</t>
  </si>
  <si>
    <t>empfinde</t>
  </si>
  <si>
    <t>tiefste</t>
  </si>
  <si>
    <t>Ehrfurcht</t>
  </si>
  <si>
    <t>für</t>
  </si>
  <si>
    <t>Tauchgängen</t>
  </si>
  <si>
    <t>sehe</t>
  </si>
  <si>
    <t># text = Und meine Liebe zum Ozean hält an, mit derselben Intensität wie eh und je.</t>
  </si>
  <si>
    <t>hält</t>
  </si>
  <si>
    <t>derselben</t>
  </si>
  <si>
    <t>Intensität</t>
  </si>
  <si>
    <t>eh</t>
  </si>
  <si>
    <t>je</t>
  </si>
  <si>
    <t># text = Als ich mir dann als Erwachsener einen Beruf aussuchte, war es das Filmemachen.</t>
  </si>
  <si>
    <t>Als</t>
  </si>
  <si>
    <t>Erwachsener</t>
  </si>
  <si>
    <t>Beruf</t>
  </si>
  <si>
    <t>aussuchte</t>
  </si>
  <si>
    <t>Filmemachen</t>
  </si>
  <si>
    <t># text = Das schien die beste Möglichkeit, meinen inneren Drang, Geschichten zu erzählen, mit meinem Bedürfnis, Bilder zu erschaffen, zu vereinen.</t>
  </si>
  <si>
    <t>beste</t>
  </si>
  <si>
    <t>Möglichkeit</t>
  </si>
  <si>
    <t>inneren</t>
  </si>
  <si>
    <t>Drang</t>
  </si>
  <si>
    <t>Geschichten</t>
  </si>
  <si>
    <t>erzählen</t>
  </si>
  <si>
    <t>Bedürfnis</t>
  </si>
  <si>
    <t>OBJ_5</t>
  </si>
  <si>
    <t>vereinen</t>
  </si>
  <si>
    <t># text = Als Kind zeichnete ich ständig Comicbücher und so.</t>
  </si>
  <si>
    <t>Kind</t>
  </si>
  <si>
    <t>zeichnete</t>
  </si>
  <si>
    <t>Comicbücher</t>
  </si>
  <si>
    <t># text = Also waren Filme der Weg, Bilder und Geschichten zusammenzuführen.</t>
  </si>
  <si>
    <t>waren</t>
  </si>
  <si>
    <t>Filme</t>
  </si>
  <si>
    <t>Weg</t>
  </si>
  <si>
    <t># text = Das passte zusammen.</t>
  </si>
  <si>
    <t>passte</t>
  </si>
  <si>
    <t>zusammen</t>
  </si>
  <si>
    <t># text = Natürlich waren die Geschichten, die ich mir aussuchte, aus dem Science-Fiction-Bereich: "Terminator", "Aliens", und "Abyss".</t>
  </si>
  <si>
    <t>Natürlich</t>
  </si>
  <si>
    <t>aus</t>
  </si>
  <si>
    <t>Bereich</t>
  </si>
  <si>
    <t>:</t>
  </si>
  <si>
    <t>Terminator</t>
  </si>
  <si>
    <t>Aliens</t>
  </si>
  <si>
    <t>Abyss</t>
  </si>
  <si>
    <t># text = Bei "Abyss" konnte ich meine Vorliebe für die Unterwasserwelt und das Tauchen mit dem Filmemachen verbinden.</t>
  </si>
  <si>
    <t>Bei</t>
  </si>
  <si>
    <t>Vorliebe</t>
  </si>
  <si>
    <t>Unterwasserwelt</t>
  </si>
  <si>
    <t>Tauchen</t>
  </si>
  <si>
    <t># text = Also verflochten sich quasi meine beiden Leidenschaften.</t>
  </si>
  <si>
    <t>verflochten</t>
  </si>
  <si>
    <t>quasi</t>
  </si>
  <si>
    <t>beiden</t>
  </si>
  <si>
    <t>Leidenschaften</t>
  </si>
  <si>
    <t># text = Etwas Interessantes passierte bei "Abyss": Um ein erzählerisches Problem in diesem Film zu lösen - und zwar mussten wir so eine Art flüssiges Wasserwesen erschaffen -, griffen wir auf computergenerierte Animation, CG, zurück.</t>
  </si>
  <si>
    <t>Etwas</t>
  </si>
  <si>
    <t>passierte</t>
  </si>
  <si>
    <t>bei</t>
  </si>
  <si>
    <t>Um</t>
  </si>
  <si>
    <t>erzählerisches</t>
  </si>
  <si>
    <t>diesem</t>
  </si>
  <si>
    <t>Film</t>
  </si>
  <si>
    <t>lösen</t>
  </si>
  <si>
    <t>zwar</t>
  </si>
  <si>
    <t>Art</t>
  </si>
  <si>
    <t>flüssiges</t>
  </si>
  <si>
    <t>Wasserwesen</t>
  </si>
  <si>
    <t>griffen</t>
  </si>
  <si>
    <t>computergenerierte</t>
  </si>
  <si>
    <t>Animation</t>
  </si>
  <si>
    <t>CG</t>
  </si>
  <si>
    <t>zurück</t>
  </si>
  <si>
    <t># text = Was dabei herauskam, war die erste computergenerierte Soft-Surface-Figur, die je in einem Film zu sehen war.</t>
  </si>
  <si>
    <t>herauskam</t>
  </si>
  <si>
    <t>erste</t>
  </si>
  <si>
    <t>Soft</t>
  </si>
  <si>
    <t>Surface</t>
  </si>
  <si>
    <t>Figur</t>
  </si>
  <si>
    <t># text = Der Film brachte zwar kein Geld ein, genau gesagt spielte er gerade mal seine Produktionskosten ein, doch bemerkte ich etwas Faszinierendes: Das Publikum auf der ganzen Welt war wie hypnotisiert vom Zauber, der davon ausging.</t>
  </si>
  <si>
    <t>Der</t>
  </si>
  <si>
    <t>kein</t>
  </si>
  <si>
    <t>Geld</t>
  </si>
  <si>
    <t>gesagt</t>
  </si>
  <si>
    <t>spielte</t>
  </si>
  <si>
    <t>gerade</t>
  </si>
  <si>
    <t>mal</t>
  </si>
  <si>
    <t>seine</t>
  </si>
  <si>
    <t>Produktionskosten</t>
  </si>
  <si>
    <t>doch</t>
  </si>
  <si>
    <t>bemerkte</t>
  </si>
  <si>
    <t>Faszinierendes</t>
  </si>
  <si>
    <t>Publikum</t>
  </si>
  <si>
    <t>ganzen</t>
  </si>
  <si>
    <t>hypnotisiert</t>
  </si>
  <si>
    <t>Zauber</t>
  </si>
  <si>
    <t>SBJ_5</t>
  </si>
  <si>
    <t>ausging</t>
  </si>
  <si>
    <t># text = Laut Arthur Clarke's Gesetz sind bekanntlich fortgeschrittliche Technologie und Zauberei nicht mehr voneinander zu unterscheiden.</t>
  </si>
  <si>
    <t>Laut</t>
  </si>
  <si>
    <t>Arthur</t>
  </si>
  <si>
    <t>Clarke's</t>
  </si>
  <si>
    <t>Gesetz</t>
  </si>
  <si>
    <t>bekanntlich</t>
  </si>
  <si>
    <t>fortgeschrittliche</t>
  </si>
  <si>
    <t>Technologie</t>
  </si>
  <si>
    <t>Zauberei</t>
  </si>
  <si>
    <t>mehr</t>
  </si>
  <si>
    <t>voneinander</t>
  </si>
  <si>
    <t># text = Sie sahen also etwas Magisches.</t>
  </si>
  <si>
    <t>sahen</t>
  </si>
  <si>
    <t>also</t>
  </si>
  <si>
    <t>Magisches</t>
  </si>
  <si>
    <t># text = Und das fand ich ungeheuer spannend.</t>
  </si>
  <si>
    <t>fand</t>
  </si>
  <si>
    <t>ungeheuer</t>
  </si>
  <si>
    <t>spannend</t>
  </si>
  <si>
    <t># text = Und ich dachte mir: "Wow, das muss unbedingt in die Filmkunst einbezogen werden."</t>
  </si>
  <si>
    <t>dachte</t>
  </si>
  <si>
    <t>Wow</t>
  </si>
  <si>
    <t>muss</t>
  </si>
  <si>
    <t>unbedingt</t>
  </si>
  <si>
    <t>Filmkunst</t>
  </si>
  <si>
    <t>einbezogen</t>
  </si>
  <si>
    <t># text = Also gingen wir in \"Terminator 2\", meinem nächsten Film, noch viel weiter.</t>
  </si>
  <si>
    <t>gingen</t>
  </si>
  <si>
    <t>viel</t>
  </si>
  <si>
    <t>weiter</t>
  </si>
  <si>
    <t># text = Zusammen mit ILM erschufen wir dort den Typen aus flüssigem Metall.</t>
  </si>
  <si>
    <t>Zusammen</t>
  </si>
  <si>
    <t>ILM</t>
  </si>
  <si>
    <t>dort</t>
  </si>
  <si>
    <t>Typen</t>
  </si>
  <si>
    <t>flüssigem</t>
  </si>
  <si>
    <t>Metall</t>
  </si>
  <si>
    <t># text = Der Erfolg hing ganz davon ab, wie dieser Effekt ankommen würde.</t>
  </si>
  <si>
    <t>Erfolg</t>
  </si>
  <si>
    <t>hing</t>
  </si>
  <si>
    <t>ab</t>
  </si>
  <si>
    <t>dieser</t>
  </si>
  <si>
    <t>Effekt</t>
  </si>
  <si>
    <t>ankommen</t>
  </si>
  <si>
    <t># text = Und es funktionierte.</t>
  </si>
  <si>
    <t>funktionierte</t>
  </si>
  <si>
    <t># text = Wieder hatten wir etwas Magisches geschaffen.</t>
  </si>
  <si>
    <t>Wieder</t>
  </si>
  <si>
    <t>hatten</t>
  </si>
  <si>
    <t>geschaffen</t>
  </si>
  <si>
    <t># text = Und die Wirkung im Publikum war dieselbe.</t>
  </si>
  <si>
    <t>Wirkung</t>
  </si>
  <si>
    <t>dieselbe</t>
  </si>
  <si>
    <t># text = Allerdings haben wir mit dem Film schon ein bisschen mehr Geld eingespielt.</t>
  </si>
  <si>
    <t>Allerdings</t>
  </si>
  <si>
    <t>schon</t>
  </si>
  <si>
    <t>bisschen</t>
  </si>
  <si>
    <t>eingespielt</t>
  </si>
  <si>
    <t># text = Von diesen beiden Erfahrungen ausgehend, war eine ganz neue Welt erreicht, eine ganz neue Welt der Kreativität für Filmschaffende.</t>
  </si>
  <si>
    <t>Von</t>
  </si>
  <si>
    <t>diesen</t>
  </si>
  <si>
    <t>Erfahrungen</t>
  </si>
  <si>
    <t>ausgehend</t>
  </si>
  <si>
    <t>neue</t>
  </si>
  <si>
    <t>erreicht</t>
  </si>
  <si>
    <t>Filmschaffende</t>
  </si>
  <si>
    <t># text = Also gründete ich eine Firma, zusammen mit meinem guten Freund Stan Winston, der zu jener Zeit der beste Make-Up- und Creature-Designer war.</t>
  </si>
  <si>
    <t>gründete</t>
  </si>
  <si>
    <t>Firma</t>
  </si>
  <si>
    <t>guten</t>
  </si>
  <si>
    <t>Freund</t>
  </si>
  <si>
    <t>Stan</t>
  </si>
  <si>
    <t>Winston</t>
  </si>
  <si>
    <t>Zeit</t>
  </si>
  <si>
    <t>Make-</t>
  </si>
  <si>
    <t>Up</t>
  </si>
  <si>
    <t>Creature</t>
  </si>
  <si>
    <t>Designer</t>
  </si>
  <si>
    <t># text = Sie hieß "Digital Domain".</t>
  </si>
  <si>
    <t>hieß</t>
  </si>
  <si>
    <t>Digital</t>
  </si>
  <si>
    <t>Domain</t>
  </si>
  <si>
    <t># text = Die Grundidee dieser Firma war es, die Phase analoger Prozesse mit optischen Druckern etc. zu überspringen und gleich mit digitalen Produktionen zu beginnen.</t>
  </si>
  <si>
    <t>Grundidee</t>
  </si>
  <si>
    <t>Phase</t>
  </si>
  <si>
    <t>analoger</t>
  </si>
  <si>
    <t>Prozesse</t>
  </si>
  <si>
    <t>optischen</t>
  </si>
  <si>
    <t>Druckern</t>
  </si>
  <si>
    <t>etc.</t>
  </si>
  <si>
    <t>überspringen</t>
  </si>
  <si>
    <t>gleich</t>
  </si>
  <si>
    <t>digitalen</t>
  </si>
  <si>
    <t>Produktionen</t>
  </si>
  <si>
    <t># text = Das taten wir dann auch und verschafften uns so eine Zeitlang einen Wettbewerbsvorteil.</t>
  </si>
  <si>
    <t>verschafften</t>
  </si>
  <si>
    <t>Zeitlang</t>
  </si>
  <si>
    <t>Wettbewerbsvorteil</t>
  </si>
  <si>
    <t># text = Aber Mitte der 90er Jahre merkten wir doch, dass wir im Creature- und Character-Design - wofür wir die Firma ja eigentlich gegründet hatten - zu langsam vorankamen.</t>
  </si>
  <si>
    <t>Mitte</t>
  </si>
  <si>
    <t>90er</t>
  </si>
  <si>
    <t>merkten</t>
  </si>
  <si>
    <t>Character</t>
  </si>
  <si>
    <t>Design</t>
  </si>
  <si>
    <t>wofür</t>
  </si>
  <si>
    <t>eigentlich</t>
  </si>
  <si>
    <t>gegründet</t>
  </si>
  <si>
    <t>langsam</t>
  </si>
  <si>
    <t>vorankamen</t>
  </si>
  <si>
    <t># text = Ich hatte dieses Stück \"Avatar\" geschrieben, das die Messlatte in Sachen visueller Effekte und computergenerierter Effekte in ganz neue Höhen schieben sollte, mit realistischen menschlichen, ausdrucksvollen Charakteren, die mittels CG hergestellt worden waren.</t>
  </si>
  <si>
    <t>dieses</t>
  </si>
  <si>
    <t>Stück</t>
  </si>
  <si>
    <t>Avatar</t>
  </si>
  <si>
    <t>geschrieben</t>
  </si>
  <si>
    <t>Messlatte</t>
  </si>
  <si>
    <t>Sachen</t>
  </si>
  <si>
    <t>visueller</t>
  </si>
  <si>
    <t>Effekte</t>
  </si>
  <si>
    <t>computergenerierter</t>
  </si>
  <si>
    <t>Höhen</t>
  </si>
  <si>
    <t>schieben</t>
  </si>
  <si>
    <t>sollte</t>
  </si>
  <si>
    <t>realistischen</t>
  </si>
  <si>
    <t>ausdrucksvollen</t>
  </si>
  <si>
    <t>Charakteren</t>
  </si>
  <si>
    <t>mittels</t>
  </si>
  <si>
    <t>hergestellt</t>
  </si>
  <si>
    <t>worden</t>
  </si>
  <si>
    <t># text = Und die Hauptfiguren sollten alle CG sein.</t>
  </si>
  <si>
    <t>Hauptfiguren</t>
  </si>
  <si>
    <t>sollten</t>
  </si>
  <si>
    <t># text = Und die Welt sollte CG sein.</t>
  </si>
  <si>
    <t># text = Aber die Messlatte drückte ganz schön zurück.</t>
  </si>
  <si>
    <t>drückte</t>
  </si>
  <si>
    <t>schön</t>
  </si>
  <si>
    <t># text = Und die Leute in meiner Firma sagten mir, dass wir vorläufig noch nicht in der Lage seien, das zu schaffen.</t>
  </si>
  <si>
    <t>Leute</t>
  </si>
  <si>
    <t>sagten</t>
  </si>
  <si>
    <t>vorläufig</t>
  </si>
  <si>
    <t>Lage</t>
  </si>
  <si>
    <t>seien</t>
  </si>
  <si>
    <t># text = Also verschob ich das und machte diesen anderen Film über das große Schiff, das untergeht.</t>
  </si>
  <si>
    <t>verschob</t>
  </si>
  <si>
    <t>def-np.dem.other</t>
  </si>
  <si>
    <t>über</t>
  </si>
  <si>
    <t>große</t>
  </si>
  <si>
    <t>Schiff</t>
  </si>
  <si>
    <t>untergeht</t>
  </si>
  <si>
    <t># text = (Lachen) Dem Filmstudio habe ich das als \"Romeo und Julia auf einem Schiff\" verkauft.</t>
  </si>
  <si>
    <t>(</t>
  </si>
  <si>
    <t>Lachen</t>
  </si>
  <si>
    <t>)</t>
  </si>
  <si>
    <t>Dem</t>
  </si>
  <si>
    <t>Filmstudio</t>
  </si>
  <si>
    <t>Romeo</t>
  </si>
  <si>
    <t>Julia</t>
  </si>
  <si>
    <t>verkauft</t>
  </si>
  <si>
    <t># text = Es wurde ein Liebesfilm epischen Ausmaßes, ein leidenschaftlicher Film.</t>
  </si>
  <si>
    <t>Liebesfilm</t>
  </si>
  <si>
    <t>epischen</t>
  </si>
  <si>
    <t>Ausmaßes</t>
  </si>
  <si>
    <t>leidenschaftlicher</t>
  </si>
  <si>
    <t># text = Insgeheim aber wollte ich eigentlich zum echten Wrack der Titanic hinabtauchen.</t>
  </si>
  <si>
    <t>Insgeheim</t>
  </si>
  <si>
    <t>wollte</t>
  </si>
  <si>
    <t>Wrack</t>
  </si>
  <si>
    <t>Titanic</t>
  </si>
  <si>
    <t># text = Darum habe ich den Film gemacht.</t>
  </si>
  <si>
    <t>Darum</t>
  </si>
  <si>
    <t># text = (Beifall) Das ist die Wahrheit.</t>
  </si>
  <si>
    <t>Beifall</t>
  </si>
  <si>
    <t>Wahrheit</t>
  </si>
  <si>
    <t># text = Das Studio wusste das aber nicht.</t>
  </si>
  <si>
    <t>Studio</t>
  </si>
  <si>
    <t>wusste</t>
  </si>
  <si>
    <t># text = Ich habe sie aber überzeugt, indem ich sagte: \"Wir tauchen zu dem Wrack.</t>
  </si>
  <si>
    <t>indem</t>
  </si>
  <si>
    <t>sagte</t>
  </si>
  <si>
    <t>Wir</t>
  </si>
  <si>
    <t># text = Wir filmen das echte Wrack.</t>
  </si>
  <si>
    <t>echte</t>
  </si>
  <si>
    <t># text = Wir werden es in der Eröffnungssequenz des Films zeigen.</t>
  </si>
  <si>
    <t>Eröffnungssequenz</t>
  </si>
  <si>
    <t>Films</t>
  </si>
  <si>
    <t># text = Das ist ungeheuer wichtig.</t>
  </si>
  <si>
    <t>wichtig</t>
  </si>
  <si>
    <t># text = Es ist ein guter Aufhänger fürs Marketing.\"</t>
  </si>
  <si>
    <t>guter</t>
  </si>
  <si>
    <t>Aufhänger</t>
  </si>
  <si>
    <t>fürs</t>
  </si>
  <si>
    <t>Marketing</t>
  </si>
  <si>
    <t># text = Und ich überredete sie, eine Expedition zu finanzieren.</t>
  </si>
  <si>
    <t>überredete</t>
  </si>
  <si>
    <t>Expedition</t>
  </si>
  <si>
    <t>finanzieren</t>
  </si>
  <si>
    <t># text = Klingt verrückt.</t>
  </si>
  <si>
    <t>Klingt</t>
  </si>
  <si>
    <t># text = Aber das geht wieder darauf zurück, dass die eigene Vorstellungskraft eine Realität schaffen kann.</t>
  </si>
  <si>
    <t>geht</t>
  </si>
  <si>
    <t>wieder</t>
  </si>
  <si>
    <t>eigene</t>
  </si>
  <si>
    <t>Realität</t>
  </si>
  <si>
    <t>kann</t>
  </si>
  <si>
    <t># text = Wir schufen dann tatsächlich sechs Monate später eine Realität, in der ich mich in einem russischen Tauchboot wiederfand, vier Kilometer unter der Oberfläche des Nordatlantik, und mir die echte Titanic durch ein Bullauge anschaute.</t>
  </si>
  <si>
    <t>schufen</t>
  </si>
  <si>
    <t>sechs</t>
  </si>
  <si>
    <t>Monate</t>
  </si>
  <si>
    <t>russischen</t>
  </si>
  <si>
    <t>Tauchboot</t>
  </si>
  <si>
    <t>wiederfand</t>
  </si>
  <si>
    <t>vier</t>
  </si>
  <si>
    <t>Kilometer</t>
  </si>
  <si>
    <t>Oberfläche</t>
  </si>
  <si>
    <t>Nordatlantik</t>
  </si>
  <si>
    <t>Bullauge</t>
  </si>
  <si>
    <t>anschaute</t>
  </si>
  <si>
    <t># text = Das war kein Film, kein HD, das war echt.</t>
  </si>
  <si>
    <t>HD</t>
  </si>
  <si>
    <t>echt</t>
  </si>
  <si>
    <t># text = Also, das hat mich wirklich umgehauen.</t>
  </si>
  <si>
    <t>umgehauen</t>
  </si>
  <si>
    <t># text = Und die Vorbereitungen dazu waren enorm.</t>
  </si>
  <si>
    <t>Vorbereitungen</t>
  </si>
  <si>
    <t>dazu</t>
  </si>
  <si>
    <t>enorm</t>
  </si>
  <si>
    <t># text = Wir mussten Kameras und Scheinwerfer und alles Mögliche bauen.</t>
  </si>
  <si>
    <t>Kameras</t>
  </si>
  <si>
    <t>Scheinwerfer</t>
  </si>
  <si>
    <t>Mögliche</t>
  </si>
  <si>
    <t># text = Und mir fiel auf, wie sehr diese Tiefseetauchgänge, einer Weltraummission ähnelten.</t>
  </si>
  <si>
    <t>fiel</t>
  </si>
  <si>
    <t>sehr</t>
  </si>
  <si>
    <t>Tiefseetauchgänge</t>
  </si>
  <si>
    <t>Weltraummission</t>
  </si>
  <si>
    <t>ähnelten</t>
  </si>
  <si>
    <t># text = Na ja, sie waren auch hochtechnisch und bedurften umfangreicher Planung.</t>
  </si>
  <si>
    <t>Na</t>
  </si>
  <si>
    <t>hochtechnisch</t>
  </si>
  <si>
    <t>bedurften</t>
  </si>
  <si>
    <t>umfangreicher</t>
  </si>
  <si>
    <t>Planung</t>
  </si>
  <si>
    <t># text = Man steigt in diese Kapsel, dann schwebt man in diese dunkle, feindselige Umgebung hinunter, wo keine Hoffnung auf Rettung besteht, wenn man es nicht selbst zurück schafft.</t>
  </si>
  <si>
    <t>Man</t>
  </si>
  <si>
    <t>steigt</t>
  </si>
  <si>
    <t>Kapsel</t>
  </si>
  <si>
    <t>schwebt</t>
  </si>
  <si>
    <t>man</t>
  </si>
  <si>
    <t>dunkle</t>
  </si>
  <si>
    <t>feindselige</t>
  </si>
  <si>
    <t>hinunter</t>
  </si>
  <si>
    <t>Hoffnung</t>
  </si>
  <si>
    <t>Rettung</t>
  </si>
  <si>
    <t>besteht</t>
  </si>
  <si>
    <t>schafft</t>
  </si>
  <si>
    <t># text = Und ich dachte mir, \"Wow, das ist genauso, als wäre ich in einem Science-Fiction-Film.</t>
  </si>
  <si>
    <t>wäre</t>
  </si>
  <si>
    <t># text = Das ist echt cool.\"</t>
  </si>
  <si>
    <t>cool</t>
  </si>
  <si>
    <t># text = Ich war regelrecht besessen vom Erforschen der Tiefsee.</t>
  </si>
  <si>
    <t>regelrecht</t>
  </si>
  <si>
    <t>besessen</t>
  </si>
  <si>
    <t>Erforschen</t>
  </si>
  <si>
    <t># text = Jedenfalls von dem Teil, der mit Neugier und Wissenschaft zu tun hat.</t>
  </si>
  <si>
    <t>Jedenfalls</t>
  </si>
  <si>
    <t>Wissenschaft</t>
  </si>
  <si>
    <t>tun</t>
  </si>
  <si>
    <t># text = Es war alles.</t>
  </si>
  <si>
    <t># text = Es war Abenteuer, es war Neugier.</t>
  </si>
  <si>
    <t>Abenteuer</t>
  </si>
  <si>
    <t># text = Es war Vorstellungskraft.</t>
  </si>
  <si>
    <t># text = Und es war eine Erfahrung, die mir Hollywood nicht geben konnte.</t>
  </si>
  <si>
    <t>Erfahrung</t>
  </si>
  <si>
    <t>Hollywood</t>
  </si>
  <si>
    <t># text = Denn, wissen Sie, ich konnte mir ein Wesen vorstellen, für das wir dann einen visuellen Effekt gestalten konnten.</t>
  </si>
  <si>
    <t>Denn</t>
  </si>
  <si>
    <t>Wesen</t>
  </si>
  <si>
    <t>visuellen</t>
  </si>
  <si>
    <t>gestalten</t>
  </si>
  <si>
    <t>konnten</t>
  </si>
  <si>
    <t># text = Aber ich konnte mir nicht das vorstellen, was ich außerhalb des Fensters sehen würde.</t>
  </si>
  <si>
    <t>außerhalb</t>
  </si>
  <si>
    <t>Fensters</t>
  </si>
  <si>
    <t># text = Bei einigen der folgenden Expeditionen habe ich Wesen in Thermalquellen gesehen, und manchmal Dinge, die ich noch nie vorher gesehen hatte, manchmal auch Dinge, die überhaupt noch niemand zuvor gesehen hatte und für die die Wissenschaft zum Zeitpunkt, als wir sie sahen, noch gar keine Worte gefunden hatte.</t>
  </si>
  <si>
    <t>einigen</t>
  </si>
  <si>
    <t>folgenden</t>
  </si>
  <si>
    <t>Expeditionen</t>
  </si>
  <si>
    <t>Thermalquellen</t>
  </si>
  <si>
    <t>gesehen</t>
  </si>
  <si>
    <t>manchmal</t>
  </si>
  <si>
    <t>Dinge</t>
  </si>
  <si>
    <t>überhaupt</t>
  </si>
  <si>
    <t>niemand</t>
  </si>
  <si>
    <t>zuvor</t>
  </si>
  <si>
    <t>other_6</t>
  </si>
  <si>
    <t>other_7</t>
  </si>
  <si>
    <t>Zeitpunkt</t>
  </si>
  <si>
    <t>SBJ_7</t>
  </si>
  <si>
    <t>OBJ_7</t>
  </si>
  <si>
    <t>gar</t>
  </si>
  <si>
    <t>other_9</t>
  </si>
  <si>
    <t>Worte</t>
  </si>
  <si>
    <t>OBJ_8</t>
  </si>
  <si>
    <t>gefunden</t>
  </si>
  <si>
    <t># text = Das hat mich also richtig umgeworfen, und ich wollte mehr.</t>
  </si>
  <si>
    <t>richtig</t>
  </si>
  <si>
    <t># text = Und so traf ich dann eine etwas ungewöhnliche Entscheidung.</t>
  </si>
  <si>
    <t>traf</t>
  </si>
  <si>
    <t>ungewöhnliche</t>
  </si>
  <si>
    <t>Entscheidung</t>
  </si>
  <si>
    <t># text = Nach dem Erfolg von \"Titanic\" sagte ich mir, \"Okay, ich will meinen Hauptberuf als Filmemacher in Hollywood auf Eis legen und werde für eine Weile Vollzeit-Forscher.\"</t>
  </si>
  <si>
    <t>Nach</t>
  </si>
  <si>
    <t>Okay</t>
  </si>
  <si>
    <t>will</t>
  </si>
  <si>
    <t>Hauptberuf</t>
  </si>
  <si>
    <t>Filmemacher</t>
  </si>
  <si>
    <t>Eis</t>
  </si>
  <si>
    <t>legen</t>
  </si>
  <si>
    <t>werde</t>
  </si>
  <si>
    <t>Weile</t>
  </si>
  <si>
    <t>Vollzeit</t>
  </si>
  <si>
    <t>Forscher</t>
  </si>
  <si>
    <t># text = Und dann begannen wir, diese Expeditionen zu planen.</t>
  </si>
  <si>
    <t>begannen</t>
  </si>
  <si>
    <t>planen</t>
  </si>
  <si>
    <t># text = Wir tauchten zur "Bismarck", und erforschten sie mit Roboterfahrzeugen.</t>
  </si>
  <si>
    <t>tauchten</t>
  </si>
  <si>
    <t>Bismarck</t>
  </si>
  <si>
    <t>Roboterfahrzeugen</t>
  </si>
  <si>
    <t># text = Wir kehrten zum Wrack der Titanic zurück.</t>
  </si>
  <si>
    <t>kehrten</t>
  </si>
  <si>
    <t># text = Wir nahmen kleine Roboter, die wir gebaut hatten, die ein Fiberglaskabel abwickelten.</t>
  </si>
  <si>
    <t>kleine</t>
  </si>
  <si>
    <t>Roboter</t>
  </si>
  <si>
    <t>gebaut</t>
  </si>
  <si>
    <t>Fiberglaskabel</t>
  </si>
  <si>
    <t>abwickelten</t>
  </si>
  <si>
    <t># text = Unsere Absicht war, hineinzutauchen und sich das Innere des Schiffs anzusehen, was nie zuvor getan worden war.</t>
  </si>
  <si>
    <t>Unsere</t>
  </si>
  <si>
    <t>Absicht</t>
  </si>
  <si>
    <t>hineinzutauchen</t>
  </si>
  <si>
    <t>Innere</t>
  </si>
  <si>
    <t>Schiffs</t>
  </si>
  <si>
    <t>anzusehen</t>
  </si>
  <si>
    <t>getan</t>
  </si>
  <si>
    <t># text = Niemand hatte je das Innere des Wracks erkundet.</t>
  </si>
  <si>
    <t>Niemand</t>
  </si>
  <si>
    <t>Wracks</t>
  </si>
  <si>
    <t>erkundet</t>
  </si>
  <si>
    <t># text = Man hatte noch keine Mittel dafür.</t>
  </si>
  <si>
    <t>Mittel</t>
  </si>
  <si>
    <t>dafür</t>
  </si>
  <si>
    <t># text = Also entwickelten wir die nötige Technologie.</t>
  </si>
  <si>
    <t>entwickelten</t>
  </si>
  <si>
    <t>nötige</t>
  </si>
  <si>
    <t># text = Na und da sitze ich nun, auf dem Deck der Titanic, in einem Tauchboot, und sehe Planken, die diesen Brettern hier ziemlich ähneln und von denen ich weiß, dass einst die Band dort gespielt hat.</t>
  </si>
  <si>
    <t>sitze</t>
  </si>
  <si>
    <t>nun</t>
  </si>
  <si>
    <t>Deck</t>
  </si>
  <si>
    <t>Planken</t>
  </si>
  <si>
    <t>Brettern</t>
  </si>
  <si>
    <t>ähneln</t>
  </si>
  <si>
    <t>denen</t>
  </si>
  <si>
    <t>weiß</t>
  </si>
  <si>
    <t>einst</t>
  </si>
  <si>
    <t>Band</t>
  </si>
  <si>
    <t>gespielt</t>
  </si>
  <si>
    <t># text = Und ich fliege mit einem kleinen Roboterfahrzeug durch die Gänge des Schiffs.</t>
  </si>
  <si>
    <t>fliege</t>
  </si>
  <si>
    <t>Roboterfahrzeug</t>
  </si>
  <si>
    <t>Gänge</t>
  </si>
  <si>
    <t># text = Ich bediene es zwar eigentlich nur, aber mein Bewusstsein ist innerhalb des Fahrzeugs.</t>
  </si>
  <si>
    <t>bediene</t>
  </si>
  <si>
    <t>nur</t>
  </si>
  <si>
    <t>mein</t>
  </si>
  <si>
    <t>Bewusstsein</t>
  </si>
  <si>
    <t>innerhalb</t>
  </si>
  <si>
    <t>Fahrzeugs</t>
  </si>
  <si>
    <t># text = Es fühlte sich an, als wäre ich körperlich innerhalb des Schiffswracks der Titanic anwesend.</t>
  </si>
  <si>
    <t>fühlte</t>
  </si>
  <si>
    <t>körperlich</t>
  </si>
  <si>
    <t>Schiffswracks</t>
  </si>
  <si>
    <t>anwesend</t>
  </si>
  <si>
    <t># text = Das war die surrealste Form eines Déjà-vu, die ich je erlebt habe.</t>
  </si>
  <si>
    <t>surrealste</t>
  </si>
  <si>
    <t>Form</t>
  </si>
  <si>
    <t>eines</t>
  </si>
  <si>
    <t>Déjà-</t>
  </si>
  <si>
    <t>vu</t>
  </si>
  <si>
    <t>erlebt</t>
  </si>
  <si>
    <t># text = Denn bevor ich jeweils um eine Ecke bog, wusste ich immer schon, was gleich im Lichtkegel des Fahrzeugs auftauchen würde, da ich monatelang übers Filmset gelaufen war, als wir den Film drehten.</t>
  </si>
  <si>
    <t>bevor</t>
  </si>
  <si>
    <t>jeweils</t>
  </si>
  <si>
    <t>Ecke</t>
  </si>
  <si>
    <t>bog</t>
  </si>
  <si>
    <t>Lichtkegel</t>
  </si>
  <si>
    <t>auftauchen</t>
  </si>
  <si>
    <t>monatelang</t>
  </si>
  <si>
    <t>Filmset</t>
  </si>
  <si>
    <t>gelaufen</t>
  </si>
  <si>
    <t>drehten</t>
  </si>
  <si>
    <t># text = Das Set war nämlich eine genaue Kopie der Baupläne des Schiffs.</t>
  </si>
  <si>
    <t>Set</t>
  </si>
  <si>
    <t>genaue</t>
  </si>
  <si>
    <t>Kopie</t>
  </si>
  <si>
    <t>Baupläne</t>
  </si>
  <si>
    <t># text = Das war also eine höchst merkwürdige Erfahrung.</t>
  </si>
  <si>
    <t>höchst</t>
  </si>
  <si>
    <t>merkwürdige</t>
  </si>
  <si>
    <t># text = Sie machte mir dieses Telepräsenz-Erlebnis bewusst, dass man solch roboterhafte Avatare verwenden und so das eigene Bewusstsein in das Fahrzeug, in diese andere Form der Existenz verlegen kann.</t>
  </si>
  <si>
    <t>Telepräsenz</t>
  </si>
  <si>
    <t>Erlebnis</t>
  </si>
  <si>
    <t>bewusst</t>
  </si>
  <si>
    <t>solch</t>
  </si>
  <si>
    <t>roboterhafte</t>
  </si>
  <si>
    <t>Avatare</t>
  </si>
  <si>
    <t>verwenden</t>
  </si>
  <si>
    <t>Fahrzeug</t>
  </si>
  <si>
    <t>Existenz</t>
  </si>
  <si>
    <t>verlegen</t>
  </si>
  <si>
    <t># text = Es war wirklich ungeheuer tiefgreifend und vielleicht auch ein kleiner Ausblick auf das, was vielleicht in einigen Jahrzehnten passieren könnte, wenn man Cyborg-Körper hat, um etwas zu erforschen oder andere Dinge zu tun, in allen möglichen post-humanen Zukunftszenarios, die ich mir als Science-Fiction-Fan vorstellen kann.</t>
  </si>
  <si>
    <t>tiefgreifend</t>
  </si>
  <si>
    <t>vielleicht</t>
  </si>
  <si>
    <t>kleiner</t>
  </si>
  <si>
    <t>Ausblick</t>
  </si>
  <si>
    <t>Jahrzehnten</t>
  </si>
  <si>
    <t>könnte</t>
  </si>
  <si>
    <t>SBJ_6</t>
  </si>
  <si>
    <t>Cyborg</t>
  </si>
  <si>
    <t>OBJ_6</t>
  </si>
  <si>
    <t>Körper</t>
  </si>
  <si>
    <t>erforschen</t>
  </si>
  <si>
    <t>oder</t>
  </si>
  <si>
    <t>allen</t>
  </si>
  <si>
    <t>möglichen</t>
  </si>
  <si>
    <t>post-</t>
  </si>
  <si>
    <t>humanen</t>
  </si>
  <si>
    <t>Zukunftszenarios</t>
  </si>
  <si>
    <t>Fan</t>
  </si>
  <si>
    <t># text = Nach diesen Expeditionen begannen wir das, was wir da unten gesehen hatten, wirklich schätzen zu lernen, zum Beispiel diese Tiefseequellen, wo wir diese unglaublich verblüffenden Tiere sahen.</t>
  </si>
  <si>
    <t>unten</t>
  </si>
  <si>
    <t>schätzen</t>
  </si>
  <si>
    <t>Beispiel</t>
  </si>
  <si>
    <t>Tiefseequellen</t>
  </si>
  <si>
    <t>unglaublich</t>
  </si>
  <si>
    <t>verblüffenden</t>
  </si>
  <si>
    <t># text = Das sind quasi Außerirdische, aber hier auf Erden.</t>
  </si>
  <si>
    <t>Außerirdische</t>
  </si>
  <si>
    <t>Erden</t>
  </si>
  <si>
    <t># text = Sie leben mit Hilfe von Chemosynthese.</t>
  </si>
  <si>
    <t>Hilfe</t>
  </si>
  <si>
    <t>Chemosynthese</t>
  </si>
  <si>
    <t># text = Sie existieren nicht in einem auf Sonnenlicht basierten System, wie wir das tun.</t>
  </si>
  <si>
    <t>Sonnenlicht</t>
  </si>
  <si>
    <t>basierten</t>
  </si>
  <si>
    <t>System</t>
  </si>
  <si>
    <t># text = Und so sieht man Tiere, die direkt neben einer 500 Grad Celsius heißen Wasserwolke leben.</t>
  </si>
  <si>
    <t>sieht</t>
  </si>
  <si>
    <t>direkt</t>
  </si>
  <si>
    <t>neben</t>
  </si>
  <si>
    <t>Grad</t>
  </si>
  <si>
    <t>Celsius</t>
  </si>
  <si>
    <t>Wasserwolke</t>
  </si>
  <si>
    <t># text = Und man kann sich nicht vorstellen, dass sie dort überleben können.</t>
  </si>
  <si>
    <t>überleben</t>
  </si>
  <si>
    <t># text = Zur selben Zeit interessierte ich mich außerdem sehr für Weltraumwissenschaft, das war wieder der Science-Fiction-Einfluss aus meiner Kindheit.</t>
  </si>
  <si>
    <t>Zu</t>
  </si>
  <si>
    <t>selben</t>
  </si>
  <si>
    <t>interessierte</t>
  </si>
  <si>
    <t>außerdem</t>
  </si>
  <si>
    <t>Weltraumwissenschaft</t>
  </si>
  <si>
    <t>Einfluss</t>
  </si>
  <si>
    <t>Kindheit</t>
  </si>
  <si>
    <t># text = Und so landete ich bei den Leuten, die sich für den Weltraum interessieren und die mit der NASA zu tun haben und im NASA-Sachverständigenrat sitzen und richtige Weltraummissionen planen.</t>
  </si>
  <si>
    <t>landete</t>
  </si>
  <si>
    <t>Leuten</t>
  </si>
  <si>
    <t>Weltraum</t>
  </si>
  <si>
    <t>interessieren</t>
  </si>
  <si>
    <t>NASA</t>
  </si>
  <si>
    <t>Sachverständigenrat</t>
  </si>
  <si>
    <t>richtige</t>
  </si>
  <si>
    <t>Weltraummissionen</t>
  </si>
  <si>
    <t># text = Sie fahren nach Russland, durchlaufen vor der Mission das biomedizinische Protokoll samt allem Drum und Dran, fliegen dann zur internationalen Weltraumstation und nehmen unsere 3D-Kamerasysteme mit.</t>
  </si>
  <si>
    <t>Russland</t>
  </si>
  <si>
    <t>durchlaufen</t>
  </si>
  <si>
    <t>vor</t>
  </si>
  <si>
    <t>Mission</t>
  </si>
  <si>
    <t>biomedizinische</t>
  </si>
  <si>
    <t>Protokoll</t>
  </si>
  <si>
    <t>samt</t>
  </si>
  <si>
    <t>allem</t>
  </si>
  <si>
    <t>Drum</t>
  </si>
  <si>
    <t>Dran</t>
  </si>
  <si>
    <t>internationalen</t>
  </si>
  <si>
    <t>Weltraumstation</t>
  </si>
  <si>
    <t>3D</t>
  </si>
  <si>
    <t>Kamerasysteme</t>
  </si>
  <si>
    <t># text = Das war faszinierend.</t>
  </si>
  <si>
    <t># text = Aber am Ende lief es darauf hinaus, dass ich Weltraumwissenschaftler mit uns in die Tiefsee nahm.</t>
  </si>
  <si>
    <t>Ende</t>
  </si>
  <si>
    <t>lief</t>
  </si>
  <si>
    <t>hinaus</t>
  </si>
  <si>
    <t>Weltraumwissenschaftler</t>
  </si>
  <si>
    <t>nahm</t>
  </si>
  <si>
    <t># text = Ich nahm sie mit und verschaftte ihnen Zugang zu der Welt da unten: Astrobiologen, Planetenwissenschaftler, Leute, die sich für solche extremen Situationen interessierten.</t>
  </si>
  <si>
    <t>verschaftte</t>
  </si>
  <si>
    <t>ihnen</t>
  </si>
  <si>
    <t>Zugang</t>
  </si>
  <si>
    <t>Astrobiologen</t>
  </si>
  <si>
    <t>Planetenwissenschaftler</t>
  </si>
  <si>
    <t>solche</t>
  </si>
  <si>
    <t>extremen</t>
  </si>
  <si>
    <t>Situationen</t>
  </si>
  <si>
    <t>interessierten</t>
  </si>
  <si>
    <t># text = Ich nahm sie zu den Quellen mit, damit sie sich umschauen, Proben nehmen und Instrumente testen konnten und so weiter.</t>
  </si>
  <si>
    <t>Quellen</t>
  </si>
  <si>
    <t>damit</t>
  </si>
  <si>
    <t>umschauen</t>
  </si>
  <si>
    <t>Instrumente</t>
  </si>
  <si>
    <t>testen</t>
  </si>
  <si>
    <t># text = Wir drehten zwar Dokumentarfilme, betrieben aber eigentlich Wissenschaft, genauer gesagt: Weltraumwissenschaft.</t>
  </si>
  <si>
    <t>Dokumentarfilme</t>
  </si>
  <si>
    <t>betrieben</t>
  </si>
  <si>
    <t>genauer</t>
  </si>
  <si>
    <t># text = So schloss sich der Kreis zwischen meiner Existenz als Science-Fiction-Fan, damals als Kind, und der Umsetzung in die Realität.</t>
  </si>
  <si>
    <t>So</t>
  </si>
  <si>
    <t>schloss</t>
  </si>
  <si>
    <t>Kreis</t>
  </si>
  <si>
    <t>zwischen</t>
  </si>
  <si>
    <t>Umsetzung</t>
  </si>
  <si>
    <t># text = Im Laufe dieser Entdeckungsreise habe ich eine Menge gelernt.</t>
  </si>
  <si>
    <t>Laufe</t>
  </si>
  <si>
    <t>Entdeckungsreise</t>
  </si>
  <si>
    <t>Menge</t>
  </si>
  <si>
    <t># text = Ich habe eine Menge über Wissenschaft gelernt.</t>
  </si>
  <si>
    <t># text = Aber ich habe auch viel über Führungsstil gelernt.</t>
  </si>
  <si>
    <t>Führungsstil</t>
  </si>
  <si>
    <t># text = Jetzt denken Sie sicherlich, ein Regisseur muss auch führen können, ein Führer sein wie ein Schiffskapitän oder so.</t>
  </si>
  <si>
    <t>Jetzt</t>
  </si>
  <si>
    <t>sicherlich</t>
  </si>
  <si>
    <t>Regisseur</t>
  </si>
  <si>
    <t>führen</t>
  </si>
  <si>
    <t>Führer</t>
  </si>
  <si>
    <t>Schiffskapitän</t>
  </si>
  <si>
    <t># text = Ich verstand aber nicht viel von Führung, bevor ich diese Expeditionen antrat.</t>
  </si>
  <si>
    <t>verstand</t>
  </si>
  <si>
    <t>Führung</t>
  </si>
  <si>
    <t>antrat</t>
  </si>
  <si>
    <t># text = Denn an einem bestimmten Punkt musste ich mir sagen: \"Was mache ich eigentlich hier?</t>
  </si>
  <si>
    <t>bestimmten</t>
  </si>
  <si>
    <t>Punkt</t>
  </si>
  <si>
    <t>mache</t>
  </si>
  <si>
    <t>?</t>
  </si>
  <si>
    <t># text = Wieso mache ich das?</t>
  </si>
  <si>
    <t>Wieso</t>
  </si>
  <si>
    <t># text = Was kommt dabei heraus?"</t>
  </si>
  <si>
    <t>kommt</t>
  </si>
  <si>
    <t>heraus</t>
  </si>
  <si>
    <t># text = Diese blöden Filme bringen uns kein Geld ein.</t>
  </si>
  <si>
    <t>blöden</t>
  </si>
  <si>
    <t># text = Wir spielen mal gerade die Produktionskosten ein.</t>
  </si>
  <si>
    <t># text = Von Ruhm keine Spur.</t>
  </si>
  <si>
    <t>Ruhm</t>
  </si>
  <si>
    <t># text = Alle denken, ich sei zwischen "Titanic" und "Avatar" davongelaufen und hätte mir irgendwo die Nägel auf einem Handtuch am Strand gefeilt.</t>
  </si>
  <si>
    <t>Alle</t>
  </si>
  <si>
    <t>sei</t>
  </si>
  <si>
    <t>davongelaufen</t>
  </si>
  <si>
    <t>hätte</t>
  </si>
  <si>
    <t>irgendwo</t>
  </si>
  <si>
    <t>Nägel</t>
  </si>
  <si>
    <t>Handtuch</t>
  </si>
  <si>
    <t>Strand</t>
  </si>
  <si>
    <t>gefeilt</t>
  </si>
  <si>
    <t># text = Ich habe alle diese Filme, diese Dokumentarfilme, für ein sehr kleines Publikum gemacht.</t>
  </si>
  <si>
    <t>kleines</t>
  </si>
  <si>
    <t># text = Kein Ruhm, keine Ehre, kein Geld.</t>
  </si>
  <si>
    <t>Ehre</t>
  </si>
  <si>
    <t># text = Was machst du nur?</t>
  </si>
  <si>
    <t>machst</t>
  </si>
  <si>
    <t>du</t>
  </si>
  <si>
    <t># text = Du machst es um der Aufgabe willen, um der Herausforderung willen - und der Ozean ist die herausforderndste Umgebung, die es gibt.</t>
  </si>
  <si>
    <t>Du</t>
  </si>
  <si>
    <t>Aufgabe</t>
  </si>
  <si>
    <t>willen</t>
  </si>
  <si>
    <t>herausforderndste</t>
  </si>
  <si>
    <t>gibt</t>
  </si>
  <si>
    <t># text = Du machst es des Entdeckerrausches wegen, und wegen der seltsamen Verbindung, die entsteht, wenn eine kleine Gruppe von Leuten ein Team bildet.</t>
  </si>
  <si>
    <t>Entdeckerrausches</t>
  </si>
  <si>
    <t>wegen</t>
  </si>
  <si>
    <t>seltsamen</t>
  </si>
  <si>
    <t>Verbindung</t>
  </si>
  <si>
    <t>entsteht</t>
  </si>
  <si>
    <t>Gruppe</t>
  </si>
  <si>
    <t>Team</t>
  </si>
  <si>
    <t>bildet</t>
  </si>
  <si>
    <t># text = Denn wir haben all dies mit nur 10 bis 12 Leuten gemacht, die jahrelang ununterbrochen zusammengearbeitet haben.</t>
  </si>
  <si>
    <t>dies</t>
  </si>
  <si>
    <t>jahrelang</t>
  </si>
  <si>
    <t>ununterbrochen</t>
  </si>
  <si>
    <t>zusammengearbeitet</t>
  </si>
  <si>
    <t># text = Manchmal waren wir 2 bis 3 Monate hintereinander auf See.</t>
  </si>
  <si>
    <t>Manchmal</t>
  </si>
  <si>
    <t>hintereinander</t>
  </si>
  <si>
    <t>See</t>
  </si>
  <si>
    <t># text = Und in dieser Gemeinschaft erkennt man, dass die wichtigste Sache die Achtung ist, die man vor einander hat, weil man eine Aufgabe bewältigt hat, die man keinem anderem erklären kann.</t>
  </si>
  <si>
    <t>Gemeinschaft</t>
  </si>
  <si>
    <t>erkennt</t>
  </si>
  <si>
    <t>wichtigste</t>
  </si>
  <si>
    <t>Sache</t>
  </si>
  <si>
    <t>Achtung</t>
  </si>
  <si>
    <t>einander</t>
  </si>
  <si>
    <t>weil</t>
  </si>
  <si>
    <t>bewältigt</t>
  </si>
  <si>
    <t>keinem</t>
  </si>
  <si>
    <t>anderem</t>
  </si>
  <si>
    <t>erklären</t>
  </si>
  <si>
    <t># text = Wenn man an Land zurückkehrt und sich sagt, \"Wir mussten es tun, das Fiberglas, die Schallschwächung, und das ganz Drumherum, die ganze Technik, und die Schwierigkeiten, das menschliche Leistungsvermögen, wenn man auf See arbeitet\", dann kann man das anderen einfach nicht erklären.</t>
  </si>
  <si>
    <t>Land</t>
  </si>
  <si>
    <t>zurückkehrt</t>
  </si>
  <si>
    <t>sagt</t>
  </si>
  <si>
    <t>Fiberglas</t>
  </si>
  <si>
    <t>Schallschwächung</t>
  </si>
  <si>
    <t>Drumherum</t>
  </si>
  <si>
    <t>Technik</t>
  </si>
  <si>
    <t>Schwierigkeiten</t>
  </si>
  <si>
    <t>menschliche</t>
  </si>
  <si>
    <t>Leistungsvermögen</t>
  </si>
  <si>
    <t>arbeitet</t>
  </si>
  <si>
    <t>einfach</t>
  </si>
  <si>
    <t># text = Das ist wie bei Polizisten oder bei Soldaten, die etwas gemeinsam durchgemacht haben und wissen, dass sie es nie jemanden erklären können.</t>
  </si>
  <si>
    <t>Polizisten</t>
  </si>
  <si>
    <t>Soldaten</t>
  </si>
  <si>
    <t>gemeinsam</t>
  </si>
  <si>
    <t>durchgemacht</t>
  </si>
  <si>
    <t>jemanden</t>
  </si>
  <si>
    <t># text = Da entsteht eine Verbindung, ein gegenseitiger Respekt.</t>
  </si>
  <si>
    <t>Da</t>
  </si>
  <si>
    <t>gegenseitiger</t>
  </si>
  <si>
    <t>Respekt</t>
  </si>
  <si>
    <t># text = Als ich also zurückkam, um meinen nächsten Film \"Avatar\" zu drehen, versuchte ich denselben Führungsstil anzuwenden, nämlich dass man sein Team respektiert und sich im Gegenzug dessen Respekt verdient.</t>
  </si>
  <si>
    <t>zurückkam</t>
  </si>
  <si>
    <t>versuchte</t>
  </si>
  <si>
    <t>denselben</t>
  </si>
  <si>
    <t>anzuwenden</t>
  </si>
  <si>
    <t>respektiert</t>
  </si>
  <si>
    <t>Gegenzug</t>
  </si>
  <si>
    <t>dessen</t>
  </si>
  <si>
    <t>verdient</t>
  </si>
  <si>
    <t># text = Dadurch wurde die Dynamik wirklich verändert.</t>
  </si>
  <si>
    <t>Dadurch</t>
  </si>
  <si>
    <t>Dynamik</t>
  </si>
  <si>
    <t>verändert</t>
  </si>
  <si>
    <t># text = Da stand ich also wieder mit einem kleinen Team auf unbekanntem Terrain.</t>
  </si>
  <si>
    <t>stand</t>
  </si>
  <si>
    <t>unbekanntem</t>
  </si>
  <si>
    <t>Terrain</t>
  </si>
  <si>
    <t># text = Wir drehten "Avatar" mit einer neuen Technik, die es vorher noch nicht gab.</t>
  </si>
  <si>
    <t>neuen</t>
  </si>
  <si>
    <t># text = Ungeheuer aufregend.</t>
  </si>
  <si>
    <t>Ungeheuer</t>
  </si>
  <si>
    <t># text = Eine ungeheure Herausforderung.</t>
  </si>
  <si>
    <t>Eine</t>
  </si>
  <si>
    <t>ungeheure</t>
  </si>
  <si>
    <t># text = Und wir wurden für einen Zeitraum von viereinhalb Jahren zu einer richtigen Familie.</t>
  </si>
  <si>
    <t>wurden</t>
  </si>
  <si>
    <t>Zeitraum</t>
  </si>
  <si>
    <t>viereinhalb</t>
  </si>
  <si>
    <t>richtigen</t>
  </si>
  <si>
    <t>Familie</t>
  </si>
  <si>
    <t># text = Dadurch veränderte sich meine Art, Filme zu machen, komplett.</t>
  </si>
  <si>
    <t>veränderte</t>
  </si>
  <si>
    <t>komplett</t>
  </si>
  <si>
    <t># text = Es gab Leute, die meinten, wir hätten diese Ozeanwesen ja wirklich gut nachgemacht und auf den Planeten Pandora transportiert.</t>
  </si>
  <si>
    <t>meinten</t>
  </si>
  <si>
    <t>Ozeanwesen</t>
  </si>
  <si>
    <t>nachgemacht</t>
  </si>
  <si>
    <t>Planeten</t>
  </si>
  <si>
    <t>Pandora</t>
  </si>
  <si>
    <t>transportiert</t>
  </si>
  <si>
    <t># text = Für mich war es mehr eine prinzipielle Art, meinen Job zu tun, der eigentliche Prozess, der sich im Ergebnis geändert hat.</t>
  </si>
  <si>
    <t>Für</t>
  </si>
  <si>
    <t>prinzipielle</t>
  </si>
  <si>
    <t>Job</t>
  </si>
  <si>
    <t>eigentliche</t>
  </si>
  <si>
    <t>Prozess</t>
  </si>
  <si>
    <t>Ergebnis</t>
  </si>
  <si>
    <t>geändert</t>
  </si>
  <si>
    <t># text = Was können wir also aus all dem schließen?</t>
  </si>
  <si>
    <t># text = Welche Lektionen haben wir gelernt?</t>
  </si>
  <si>
    <t>Welche</t>
  </si>
  <si>
    <t>Lektionen</t>
  </si>
  <si>
    <t># text = Ich glaube, an erster Stelle steht die Neugier.</t>
  </si>
  <si>
    <t>glaube</t>
  </si>
  <si>
    <t>erster</t>
  </si>
  <si>
    <t>Stelle</t>
  </si>
  <si>
    <t>steht</t>
  </si>
  <si>
    <t># text = Es ist die mächtigste menschliche Eigenschaft.</t>
  </si>
  <si>
    <t>mächtigste</t>
  </si>
  <si>
    <t>Eigenschaft</t>
  </si>
  <si>
    <t># text = Unsere Vorstellungskraft ist eine Kraft, die sogar eine Realität schaffen kann.</t>
  </si>
  <si>
    <t>Kraft</t>
  </si>
  <si>
    <t>sogar</t>
  </si>
  <si>
    <t># text = Und die Achtung deines Teams ist wichtiger als aller Lorbeer dieser Welt.</t>
  </si>
  <si>
    <t>deines</t>
  </si>
  <si>
    <t>Teams</t>
  </si>
  <si>
    <t>wichtiger</t>
  </si>
  <si>
    <t>aller</t>
  </si>
  <si>
    <t>Lorbeer</t>
  </si>
  <si>
    <t># text = Zu mir kommen junge Filmemacher, die sagen: "Geben Sie mir einen Rat, wie ich so etwas machen kann."</t>
  </si>
  <si>
    <t>junge</t>
  </si>
  <si>
    <t>Geben</t>
  </si>
  <si>
    <t>Rat</t>
  </si>
  <si>
    <t># text = Und ich sage: \"Schränke dich nicht selbst ein.</t>
  </si>
  <si>
    <t>sage</t>
  </si>
  <si>
    <t>Schränke</t>
  </si>
  <si>
    <t>dich</t>
  </si>
  <si>
    <t># text = Das besorgen schon andere für dich.</t>
  </si>
  <si>
    <t># text = Tu es nicht dir selbst an, wette nicht gegen sich selbst.</t>
  </si>
  <si>
    <t>Tu</t>
  </si>
  <si>
    <t>wette</t>
  </si>
  <si>
    <t>gegen</t>
  </si>
  <si>
    <t># text = Sondern nimm Risiken auf dich."</t>
  </si>
  <si>
    <t>Sondern</t>
  </si>
  <si>
    <t>nimm</t>
  </si>
  <si>
    <t>Risiken</t>
  </si>
  <si>
    <t># text = Die NASA hat so einen Lieblingssatz: "Scheitern ist keine Alternative."</t>
  </si>
  <si>
    <t>Lieblingssatz</t>
  </si>
  <si>
    <t>Scheitern</t>
  </si>
  <si>
    <t>Alternative</t>
  </si>
  <si>
    <t># text = Aber in der Kunst und beim Erforschen muss Scheitern eine Alternative sein, denn dort garantiert es einen Vertrauensvorschuss.</t>
  </si>
  <si>
    <t>Kunst</t>
  </si>
  <si>
    <t>garantiert</t>
  </si>
  <si>
    <t>Vertrauensvorschuss</t>
  </si>
  <si>
    <t># text = Kein wichtiges Unterfangen, das Innovation verlangte, wurde je ohne Risiko angegangen.</t>
  </si>
  <si>
    <t>wichtiges</t>
  </si>
  <si>
    <t>Unterfangen</t>
  </si>
  <si>
    <t>Innovation</t>
  </si>
  <si>
    <t>verlangte</t>
  </si>
  <si>
    <t>ohne</t>
  </si>
  <si>
    <t># text = Man muss bereit sein, solche Risiken auf sich zu nehmen.</t>
  </si>
  <si>
    <t>bereit</t>
  </si>
  <si>
    <t># text = Das ist der Gedanke, den ich Ihnen gern mit auf den Weg geben möchte.</t>
  </si>
  <si>
    <t>Ihnen</t>
  </si>
  <si>
    <t>gern</t>
  </si>
  <si>
    <t>möchte</t>
  </si>
  <si>
    <t># text = Scheitern ist durchaus eine Alternative, Angst aber ist keine.</t>
  </si>
  <si>
    <t>durchaus</t>
  </si>
  <si>
    <t>Angst</t>
  </si>
  <si>
    <t># text = Danke.</t>
  </si>
  <si>
    <t>Danke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</si>
</sst>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10">
    <fill>
      <patternFill patternType="none"/>
    </fill>
    <fill>
      <patternFill patternType="gray125"/>
    </fill>
    <fill>
      <patternFill patternType="solid">
        <fgColor rgb="FFF7D1D5"/>
        <bgColor indexed="64"/>
      </patternFill>
    </fill>
    <fill>
      <patternFill patternType="solid">
        <fgColor rgb="FFFFF5CE"/>
        <bgColor indexed="64"/>
      </patternFill>
    </fill>
    <fill>
      <patternFill patternType="solid">
        <fgColor rgb="FFDEDCE6"/>
        <bgColor indexed="64"/>
      </patternFill>
    </fill>
    <fill>
      <patternFill patternType="solid">
        <fgColor rgb="FFB4C7DC"/>
        <bgColor indexed="64"/>
      </patternFill>
    </fill>
    <fill>
      <patternFill patternType="solid">
        <fgColor rgb="FFDDE8CB"/>
        <bgColor indexed="64"/>
      </patternFill>
    </fill>
    <fill>
      <patternFill patternType="solid">
        <fgColor rgb="FFDEE6EF"/>
        <bgColor indexed="64"/>
      </patternFill>
    </fill>
    <fill>
      <patternFill patternType="solid">
        <fgColor rgb="FFE0C2CD"/>
        <bgColor indexed="64"/>
      </patternFill>
    </fill>
    <fill>
      <patternFill patternType="solid">
        <fgColor rgb="FFEEEEEE"/>
        <bgColor indexed="64"/>
      </patternFill>
    </fill>
  </fills>
  <borders count="1">
    <border>
      <left/>
      <right/>
      <top/>
      <bottom/>
      <diagonal/>
    </border>
  </borders>
  <cellStyleXfs count="1">
    <xf numFmtId="0" fontId="0" fillId="0" borderId="0"/>
  </cellStyleXfs>
  <cellXfs count="28">
    <xf numFmtId="0" fontId="0" fillId="0" borderId="0" xfId="0"/>
    <xf numFmtId="0" fontId="1" fillId="0" borderId="0" xfId="0" applyFont="1" applyAlignment="1">
      <alignment horizontal="center" vertical="center"/>
    </xf>
    <xf numFmtId="0" fontId="1" fillId="2" borderId="0" xfId="0" applyFont="1" applyFill="1" applyAlignment="1">
      <alignment horizontal="center" vertical="center"/>
    </xf>
    <xf numFmtId="0" fontId="1" fillId="3" borderId="0" xfId="0" applyFont="1" applyFill="1" applyAlignment="1">
      <alignment horizontal="center" vertical="center"/>
    </xf>
    <xf numFmtId="0" fontId="1" fillId="4" borderId="0" xfId="0" applyFont="1" applyFill="1" applyAlignment="1">
      <alignment horizontal="center" vertical="center"/>
    </xf>
    <xf numFmtId="0" fontId="1" fillId="5" borderId="0" xfId="0" applyFont="1" applyFill="1" applyAlignment="1">
      <alignment horizontal="center" vertical="center"/>
    </xf>
    <xf numFmtId="0" fontId="0" fillId="0" borderId="0" xfId="0" applyAlignment="1">
      <alignment horizontal="center" vertical="top"/>
    </xf>
    <xf numFmtId="0" fontId="0" fillId="0" borderId="0" xfId="0" applyAlignment="1" applyProtection="1">
      <alignment horizontal="center" vertical="top" wrapText="1"/>
      <protection locked="0"/>
    </xf>
    <xf numFmtId="0" fontId="0" fillId="0" borderId="0" xfId="0" applyAlignment="1">
      <alignment horizontal="left" vertical="top" wrapText="1"/>
    </xf>
    <xf numFmtId="0" fontId="0" fillId="2" borderId="0" xfId="0" applyFill="1" applyAlignment="1" applyProtection="1">
      <alignment horizontal="center" vertical="top" wrapText="1"/>
      <protection locked="0"/>
    </xf>
    <xf numFmtId="0" fontId="0" fillId="3" borderId="0" xfId="0" applyFill="1" applyAlignment="1" applyProtection="1">
      <alignment horizontal="center" vertical="top"/>
      <protection locked="0"/>
    </xf>
    <xf numFmtId="0" fontId="0" fillId="4" borderId="0" xfId="0" applyFill="1" applyAlignment="1" applyProtection="1">
      <alignment horizontal="center" vertical="top" wrapText="1"/>
      <protection locked="0"/>
    </xf>
    <xf numFmtId="0" fontId="0" fillId="5" borderId="0" xfId="0" applyFill="1" applyAlignment="1" applyProtection="1">
      <alignment horizontal="left" vertical="top" wrapText="1"/>
      <protection locked="0"/>
    </xf>
    <xf numFmtId="0" fontId="1" fillId="0" borderId="0" xfId="0" applyFont="1" applyAlignment="1">
      <alignment horizontal="center"/>
    </xf>
    <xf numFmtId="0" fontId="1" fillId="3" borderId="0" xfId="0" applyFont="1" applyFill="1" applyAlignment="1">
      <alignment horizontal="center"/>
    </xf>
    <xf numFmtId="0" fontId="1" fillId="6" borderId="0" xfId="0" applyFont="1" applyFill="1" applyAlignment="1">
      <alignment horizontal="center"/>
    </xf>
    <xf numFmtId="0" fontId="1" fillId="7" borderId="0" xfId="0" applyFont="1" applyFill="1" applyAlignment="1">
      <alignment horizontal="center"/>
    </xf>
    <xf numFmtId="0" fontId="1" fillId="8" borderId="0" xfId="0" applyFont="1" applyFill="1" applyAlignment="1">
      <alignment horizontal="center"/>
    </xf>
    <xf numFmtId="0" fontId="1" fillId="9" borderId="0" xfId="0" applyFont="1" applyFill="1" applyAlignment="1">
      <alignment horizontal="center"/>
    </xf>
    <xf numFmtId="0" fontId="1" fillId="5" borderId="0" xfId="0" applyFont="1" applyFill="1" applyAlignment="1">
      <alignment horizontal="center"/>
    </xf>
    <xf numFmtId="0" fontId="0" fillId="0" borderId="0" xfId="0"/>
    <xf numFmtId="0" fontId="0" fillId="0" borderId="0" xfId="0" applyAlignment="1" applyProtection="1">
      <alignment horizontal="center"/>
      <protection locked="0"/>
    </xf>
    <xf numFmtId="0" fontId="0" fillId="3" borderId="0" xfId="0" applyFill="1" applyAlignment="1" applyProtection="1">
      <alignment horizontal="center"/>
      <protection locked="0"/>
    </xf>
    <xf numFmtId="0" fontId="0" fillId="6" borderId="0" xfId="0" applyFill="1" applyAlignment="1" applyProtection="1">
      <alignment horizontal="center"/>
      <protection locked="0"/>
    </xf>
    <xf numFmtId="0" fontId="0" fillId="7" borderId="0" xfId="0" applyFill="1" applyAlignment="1" applyProtection="1">
      <alignment horizontal="center"/>
      <protection locked="0"/>
    </xf>
    <xf numFmtId="0" fontId="0" fillId="8" borderId="0" xfId="0" applyFill="1" applyAlignment="1" applyProtection="1">
      <alignment horizontal="center"/>
      <protection locked="0"/>
    </xf>
    <xf numFmtId="0" fontId="0" fillId="9" borderId="0" xfId="0" applyFill="1"/>
    <xf numFmtId="0" fontId="0" fillId="5" borderId="0" xfId="0" applyFill="1" applyAlignment="1" applyProtection="1">
      <alignment horizontal="left" wrapText="1"/>
      <protection locked="0"/>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187"/>
  <sheetViews>
    <sheetView tabSelected="1" workbookViewId="0">
      <pane xSplit="5" ySplit="1" topLeftCell="F2" activePane="bottomRight" state="frozen"/>
      <selection pane="topRight" activeCell="F1" sqref="F1"/>
      <selection pane="bottomLeft" activeCell="A2" sqref="A2"/>
      <selection pane="bottomRight"/>
    </sheetView>
  </sheetViews>
  <sheetFormatPr defaultRowHeight="60" customHeight="1"/>
  <cols>
    <col min="2" max="3" width="0" hidden="1" customWidth="1"/>
    <col min="4" max="4" width="10.7109375" customWidth="1"/>
    <col min="5" max="5" width="80.7109375" customWidth="1"/>
    <col min="6" max="6" width="0" hidden="1" customWidth="1"/>
    <col min="7" max="7" width="10.7109375" customWidth="1"/>
    <col min="9" max="9" width="10.7109375" customWidth="1"/>
    <col min="10" max="10" width="40.7109375" customWidth="1"/>
  </cols>
  <sheetData>
    <row r="1" spans="1:10" ht="60" customHeight="1">
      <c r="A1" s="1" t="s">
        <v>0</v>
      </c>
      <c r="B1" s="1" t="s">
        <v>1</v>
      </c>
      <c r="C1" s="1" t="s">
        <v>2</v>
      </c>
      <c r="D1" s="1" t="s">
        <v>3</v>
      </c>
      <c r="E1" s="1" t="s">
        <v>4</v>
      </c>
      <c r="F1" s="1" t="s">
        <v>5</v>
      </c>
      <c r="G1" s="2" t="s">
        <v>6</v>
      </c>
      <c r="H1" s="3" t="s">
        <v>7</v>
      </c>
      <c r="I1" s="4" t="s">
        <v>8</v>
      </c>
      <c r="J1" s="5" t="s">
        <v>9</v>
      </c>
    </row>
    <row r="2" spans="1:10" ht="60" customHeight="1">
      <c r="A2" s="6" t="s">
        <v>10</v>
      </c>
      <c r="B2" s="6" t="s">
        <v>11</v>
      </c>
      <c r="C2" s="6" t="s">
        <v>12</v>
      </c>
      <c r="D2" s="7" t="s">
        <v>13</v>
      </c>
      <c r="E2" s="8" t="s">
        <v>14</v>
      </c>
      <c r="F2" s="6" t="s">
        <v>15</v>
      </c>
      <c r="G2" s="9">
        <f>IF(A2=1,"_",IF(C2="_","???",C2))</f>
        <v/>
      </c>
      <c r="H2" s="10" t="s">
        <v>12</v>
      </c>
      <c r="I2" s="11" t="s">
        <v>12</v>
      </c>
      <c r="J2" s="12"/>
    </row>
    <row r="3" spans="1:10" ht="60" customHeight="1">
      <c r="A3" s="6" t="s">
        <v>11</v>
      </c>
      <c r="B3" s="6" t="s">
        <v>16</v>
      </c>
      <c r="C3" s="6" t="s">
        <v>12</v>
      </c>
      <c r="D3" s="7" t="s">
        <v>17</v>
      </c>
      <c r="E3" s="8" t="s">
        <v>18</v>
      </c>
      <c r="F3" s="6" t="s">
        <v>19</v>
      </c>
      <c r="G3" s="9">
        <f>IF(A3=1,"_",IF(C3="_","???",C3))</f>
        <v/>
      </c>
      <c r="H3" s="10" t="s">
        <v>12</v>
      </c>
      <c r="I3" s="11" t="s">
        <v>12</v>
      </c>
      <c r="J3" s="12"/>
    </row>
    <row r="4" spans="1:10" ht="60" customHeight="1">
      <c r="A4" s="6" t="s">
        <v>20</v>
      </c>
      <c r="B4" s="6" t="s">
        <v>16</v>
      </c>
      <c r="C4" s="6" t="s">
        <v>12</v>
      </c>
      <c r="D4" s="7" t="s">
        <v>21</v>
      </c>
      <c r="E4" s="8" t="s">
        <v>22</v>
      </c>
      <c r="F4" s="6" t="s">
        <v>23</v>
      </c>
      <c r="G4" s="9">
        <f>IF(A4=1,"_",IF(C4="_","???",C4))</f>
        <v/>
      </c>
      <c r="H4" s="10" t="s">
        <v>12</v>
      </c>
      <c r="I4" s="11" t="s">
        <v>12</v>
      </c>
      <c r="J4" s="12"/>
    </row>
    <row r="5" spans="1:10" ht="60" customHeight="1">
      <c r="A5" s="6" t="s">
        <v>16</v>
      </c>
      <c r="B5" s="6" t="s">
        <v>20</v>
      </c>
      <c r="C5" s="6" t="s">
        <v>12</v>
      </c>
      <c r="D5" s="7" t="s">
        <v>24</v>
      </c>
      <c r="E5" s="8" t="s">
        <v>25</v>
      </c>
      <c r="F5" s="6" t="s">
        <v>26</v>
      </c>
      <c r="G5" s="9">
        <f>IF(A5=1,"_",IF(C5="_","???",C5))</f>
        <v/>
      </c>
      <c r="H5" s="10" t="s">
        <v>12</v>
      </c>
      <c r="I5" s="11" t="s">
        <v>12</v>
      </c>
      <c r="J5" s="12"/>
    </row>
    <row r="6" spans="1:10" ht="60" customHeight="1">
      <c r="A6" s="6" t="s">
        <v>27</v>
      </c>
      <c r="B6" s="6" t="s">
        <v>11</v>
      </c>
      <c r="C6" s="6" t="s">
        <v>12</v>
      </c>
      <c r="D6" s="7" t="s">
        <v>28</v>
      </c>
      <c r="E6" s="8" t="s">
        <v>29</v>
      </c>
      <c r="F6" s="6" t="s">
        <v>30</v>
      </c>
      <c r="G6" s="9">
        <f>IF(A6=1,"_",IF(C6="_","???",C6))</f>
        <v/>
      </c>
      <c r="H6" s="10" t="s">
        <v>12</v>
      </c>
      <c r="I6" s="11" t="s">
        <v>12</v>
      </c>
      <c r="J6" s="12"/>
    </row>
    <row r="7" spans="1:10" ht="60" customHeight="1">
      <c r="A7" s="6" t="s">
        <v>31</v>
      </c>
      <c r="B7" s="6" t="s">
        <v>11</v>
      </c>
      <c r="C7" s="6" t="s">
        <v>12</v>
      </c>
      <c r="D7" s="7" t="s">
        <v>32</v>
      </c>
      <c r="E7" s="8" t="s">
        <v>33</v>
      </c>
      <c r="F7" s="6" t="s">
        <v>34</v>
      </c>
      <c r="G7" s="9">
        <f>IF(A7=1,"_",IF(C7="_","???",C7))</f>
        <v/>
      </c>
      <c r="H7" s="10" t="s">
        <v>12</v>
      </c>
      <c r="I7" s="11" t="s">
        <v>12</v>
      </c>
      <c r="J7" s="12"/>
    </row>
    <row r="8" spans="1:10" ht="60" customHeight="1">
      <c r="A8" s="6" t="s">
        <v>35</v>
      </c>
      <c r="B8" s="6" t="s">
        <v>35</v>
      </c>
      <c r="C8" s="6" t="s">
        <v>12</v>
      </c>
      <c r="D8" s="7" t="s">
        <v>36</v>
      </c>
      <c r="E8" s="8" t="s">
        <v>37</v>
      </c>
      <c r="F8" s="6" t="s">
        <v>38</v>
      </c>
      <c r="G8" s="9">
        <f>IF(A8=1,"_",IF(C8="_","???",C8))</f>
        <v/>
      </c>
      <c r="H8" s="10" t="s">
        <v>12</v>
      </c>
      <c r="I8" s="11" t="s">
        <v>12</v>
      </c>
      <c r="J8" s="12"/>
    </row>
    <row r="9" spans="1:10" ht="60" customHeight="1">
      <c r="A9" s="6" t="s">
        <v>39</v>
      </c>
      <c r="B9" s="6" t="s">
        <v>20</v>
      </c>
      <c r="C9" s="6" t="s">
        <v>12</v>
      </c>
      <c r="D9" s="7" t="s">
        <v>40</v>
      </c>
      <c r="E9" s="8" t="s">
        <v>41</v>
      </c>
      <c r="F9" s="6" t="s">
        <v>42</v>
      </c>
      <c r="G9" s="9">
        <f>IF(A9=1,"_",IF(C9="_","???",C9))</f>
        <v/>
      </c>
      <c r="H9" s="10" t="s">
        <v>12</v>
      </c>
      <c r="I9" s="11" t="s">
        <v>12</v>
      </c>
      <c r="J9" s="12"/>
    </row>
    <row r="10" spans="1:10" ht="60" customHeight="1">
      <c r="A10" s="6" t="s">
        <v>43</v>
      </c>
      <c r="B10" s="6" t="s">
        <v>44</v>
      </c>
      <c r="C10" s="6" t="s">
        <v>12</v>
      </c>
      <c r="D10" s="7" t="s">
        <v>45</v>
      </c>
      <c r="E10" s="8" t="s">
        <v>46</v>
      </c>
      <c r="F10" s="6" t="s">
        <v>47</v>
      </c>
      <c r="G10" s="9">
        <f>IF(A10=1,"_",IF(C10="_","???",C10))</f>
        <v/>
      </c>
      <c r="H10" s="10" t="s">
        <v>12</v>
      </c>
      <c r="I10" s="11" t="s">
        <v>12</v>
      </c>
      <c r="J10" s="12"/>
    </row>
    <row r="11" spans="1:10" ht="60" customHeight="1">
      <c r="A11" s="6" t="s">
        <v>48</v>
      </c>
      <c r="B11" s="6" t="s">
        <v>20</v>
      </c>
      <c r="C11" s="6" t="s">
        <v>12</v>
      </c>
      <c r="D11" s="7" t="s">
        <v>49</v>
      </c>
      <c r="E11" s="8" t="s">
        <v>50</v>
      </c>
      <c r="F11" s="6" t="s">
        <v>51</v>
      </c>
      <c r="G11" s="9">
        <f>IF(A11=1,"_",IF(C11="_","???",C11))</f>
        <v/>
      </c>
      <c r="H11" s="10" t="s">
        <v>12</v>
      </c>
      <c r="I11" s="11" t="s">
        <v>12</v>
      </c>
      <c r="J11" s="12"/>
    </row>
    <row r="12" spans="1:10" ht="60" customHeight="1">
      <c r="A12" s="6" t="s">
        <v>52</v>
      </c>
      <c r="B12" s="6" t="s">
        <v>20</v>
      </c>
      <c r="C12" s="6" t="s">
        <v>12</v>
      </c>
      <c r="D12" s="7" t="s">
        <v>53</v>
      </c>
      <c r="E12" s="8" t="s">
        <v>54</v>
      </c>
      <c r="F12" s="6" t="s">
        <v>55</v>
      </c>
      <c r="G12" s="9">
        <f>IF(A12=1,"_",IF(C12="_","???",C12))</f>
        <v/>
      </c>
      <c r="H12" s="10" t="s">
        <v>12</v>
      </c>
      <c r="I12" s="11" t="s">
        <v>12</v>
      </c>
      <c r="J12" s="12"/>
    </row>
    <row r="13" spans="1:10" ht="60" customHeight="1">
      <c r="A13" s="6" t="s">
        <v>56</v>
      </c>
      <c r="B13" s="6" t="s">
        <v>20</v>
      </c>
      <c r="C13" s="6" t="s">
        <v>12</v>
      </c>
      <c r="D13" s="7" t="s">
        <v>57</v>
      </c>
      <c r="E13" s="8" t="s">
        <v>58</v>
      </c>
      <c r="F13" s="6" t="s">
        <v>59</v>
      </c>
      <c r="G13" s="9">
        <f>IF(A13=1,"_",IF(C13="_","???",C13))</f>
        <v/>
      </c>
      <c r="H13" s="10" t="s">
        <v>12</v>
      </c>
      <c r="I13" s="11" t="s">
        <v>12</v>
      </c>
      <c r="J13" s="12"/>
    </row>
    <row r="14" spans="1:10" ht="60" customHeight="1">
      <c r="A14" s="6" t="s">
        <v>60</v>
      </c>
      <c r="B14" s="6" t="s">
        <v>61</v>
      </c>
      <c r="C14" s="6" t="s">
        <v>12</v>
      </c>
      <c r="D14" s="7" t="s">
        <v>62</v>
      </c>
      <c r="E14" s="8" t="s">
        <v>63</v>
      </c>
      <c r="F14" s="6" t="s">
        <v>64</v>
      </c>
      <c r="G14" s="9">
        <f>IF(A14=1,"_",IF(C14="_","???",C14))</f>
        <v/>
      </c>
      <c r="H14" s="10" t="s">
        <v>12</v>
      </c>
      <c r="I14" s="11" t="s">
        <v>12</v>
      </c>
      <c r="J14" s="12"/>
    </row>
    <row r="15" spans="1:10" ht="60" customHeight="1">
      <c r="A15" s="6" t="s">
        <v>44</v>
      </c>
      <c r="B15" s="6" t="s">
        <v>11</v>
      </c>
      <c r="C15" s="6" t="s">
        <v>12</v>
      </c>
      <c r="D15" s="7" t="s">
        <v>65</v>
      </c>
      <c r="E15" s="8" t="s">
        <v>66</v>
      </c>
      <c r="F15" s="6" t="s">
        <v>67</v>
      </c>
      <c r="G15" s="9">
        <f>IF(A15=1,"_",IF(C15="_","???",C15))</f>
        <v/>
      </c>
      <c r="H15" s="10" t="s">
        <v>12</v>
      </c>
      <c r="I15" s="11" t="s">
        <v>12</v>
      </c>
      <c r="J15" s="12"/>
    </row>
    <row r="16" spans="1:10" ht="60" customHeight="1">
      <c r="A16" s="6" t="s">
        <v>68</v>
      </c>
      <c r="B16" s="6" t="s">
        <v>43</v>
      </c>
      <c r="C16" s="6" t="s">
        <v>12</v>
      </c>
      <c r="D16" s="7" t="s">
        <v>69</v>
      </c>
      <c r="E16" s="8" t="s">
        <v>70</v>
      </c>
      <c r="F16" s="6" t="s">
        <v>71</v>
      </c>
      <c r="G16" s="9">
        <f>IF(A16=1,"_",IF(C16="_","???",C16))</f>
        <v/>
      </c>
      <c r="H16" s="10" t="s">
        <v>12</v>
      </c>
      <c r="I16" s="11" t="s">
        <v>12</v>
      </c>
      <c r="J16" s="12"/>
    </row>
    <row r="17" spans="1:10" ht="60" customHeight="1">
      <c r="A17" s="6" t="s">
        <v>72</v>
      </c>
      <c r="B17" s="6" t="s">
        <v>16</v>
      </c>
      <c r="C17" s="6" t="s">
        <v>73</v>
      </c>
      <c r="D17" s="7" t="s">
        <v>74</v>
      </c>
      <c r="E17" s="8" t="s">
        <v>75</v>
      </c>
      <c r="F17" s="6" t="s">
        <v>76</v>
      </c>
      <c r="G17" s="9">
        <f>IF(A17=1,"_",IF(C17="_","???",C17))</f>
        <v/>
      </c>
      <c r="H17" s="10" t="s">
        <v>12</v>
      </c>
      <c r="I17" s="11" t="s">
        <v>12</v>
      </c>
      <c r="J17" s="12"/>
    </row>
    <row r="18" spans="1:10" ht="60" customHeight="1">
      <c r="A18" s="6" t="s">
        <v>77</v>
      </c>
      <c r="B18" s="6" t="s">
        <v>16</v>
      </c>
      <c r="C18" s="6" t="s">
        <v>12</v>
      </c>
      <c r="D18" s="7" t="s">
        <v>78</v>
      </c>
      <c r="E18" s="8" t="s">
        <v>79</v>
      </c>
      <c r="F18" s="6" t="s">
        <v>80</v>
      </c>
      <c r="G18" s="9">
        <f>IF(A18=1,"_",IF(C18="_","???",C18))</f>
        <v/>
      </c>
      <c r="H18" s="10" t="s">
        <v>12</v>
      </c>
      <c r="I18" s="11" t="s">
        <v>12</v>
      </c>
      <c r="J18" s="12"/>
    </row>
    <row r="19" spans="1:10" ht="60" customHeight="1">
      <c r="A19" s="6" t="s">
        <v>81</v>
      </c>
      <c r="B19" s="6" t="s">
        <v>20</v>
      </c>
      <c r="C19" s="6" t="s">
        <v>12</v>
      </c>
      <c r="D19" s="7" t="s">
        <v>82</v>
      </c>
      <c r="E19" s="8" t="s">
        <v>83</v>
      </c>
      <c r="F19" s="6" t="s">
        <v>84</v>
      </c>
      <c r="G19" s="9">
        <f>IF(A19=1,"_",IF(C19="_","???",C19))</f>
        <v/>
      </c>
      <c r="H19" s="10" t="s">
        <v>12</v>
      </c>
      <c r="I19" s="11" t="s">
        <v>12</v>
      </c>
      <c r="J19" s="12"/>
    </row>
    <row r="20" spans="1:10" ht="60" customHeight="1">
      <c r="A20" s="6" t="s">
        <v>85</v>
      </c>
      <c r="B20" s="6" t="s">
        <v>86</v>
      </c>
      <c r="C20" s="6" t="s">
        <v>12</v>
      </c>
      <c r="D20" s="7" t="s">
        <v>87</v>
      </c>
      <c r="E20" s="8" t="s">
        <v>88</v>
      </c>
      <c r="F20" s="6" t="s">
        <v>89</v>
      </c>
      <c r="G20" s="9">
        <f>IF(A20=1,"_",IF(C20="_","???",C20))</f>
        <v/>
      </c>
      <c r="H20" s="10" t="s">
        <v>12</v>
      </c>
      <c r="I20" s="11" t="s">
        <v>12</v>
      </c>
      <c r="J20" s="12"/>
    </row>
    <row r="21" spans="1:10" ht="60" customHeight="1">
      <c r="A21" s="6" t="s">
        <v>90</v>
      </c>
      <c r="B21" s="6" t="s">
        <v>56</v>
      </c>
      <c r="C21" s="6" t="s">
        <v>12</v>
      </c>
      <c r="D21" s="7" t="s">
        <v>91</v>
      </c>
      <c r="E21" s="8" t="s">
        <v>92</v>
      </c>
      <c r="F21" s="6" t="s">
        <v>93</v>
      </c>
      <c r="G21" s="9">
        <f>IF(A21=1,"_",IF(C21="_","???",C21))</f>
        <v/>
      </c>
      <c r="H21" s="10" t="s">
        <v>12</v>
      </c>
      <c r="I21" s="11" t="s">
        <v>12</v>
      </c>
      <c r="J21" s="12"/>
    </row>
    <row r="22" spans="1:10" ht="60" customHeight="1">
      <c r="A22" s="6" t="s">
        <v>94</v>
      </c>
      <c r="B22" s="6" t="s">
        <v>11</v>
      </c>
      <c r="C22" s="6" t="s">
        <v>12</v>
      </c>
      <c r="D22" s="7" t="s">
        <v>36</v>
      </c>
      <c r="E22" s="8" t="s">
        <v>95</v>
      </c>
      <c r="F22" s="6" t="s">
        <v>96</v>
      </c>
      <c r="G22" s="9">
        <f>IF(A22=1,"_",IF(C22="_","???",C22))</f>
        <v/>
      </c>
      <c r="H22" s="10" t="s">
        <v>12</v>
      </c>
      <c r="I22" s="11" t="s">
        <v>12</v>
      </c>
      <c r="J22" s="12"/>
    </row>
    <row r="23" spans="1:10" ht="60" customHeight="1">
      <c r="A23" s="6" t="s">
        <v>97</v>
      </c>
      <c r="B23" s="6" t="s">
        <v>20</v>
      </c>
      <c r="C23" s="6" t="s">
        <v>12</v>
      </c>
      <c r="D23" s="7" t="s">
        <v>98</v>
      </c>
      <c r="E23" s="8" t="s">
        <v>99</v>
      </c>
      <c r="F23" s="6" t="s">
        <v>100</v>
      </c>
      <c r="G23" s="9">
        <f>IF(A23=1,"_",IF(C23="_","???",C23))</f>
        <v/>
      </c>
      <c r="H23" s="10" t="s">
        <v>12</v>
      </c>
      <c r="I23" s="11" t="s">
        <v>12</v>
      </c>
      <c r="J23" s="12"/>
    </row>
    <row r="24" spans="1:10" ht="60" customHeight="1">
      <c r="A24" s="6" t="s">
        <v>101</v>
      </c>
      <c r="B24" s="6" t="s">
        <v>11</v>
      </c>
      <c r="C24" s="6" t="s">
        <v>12</v>
      </c>
      <c r="D24" s="7" t="s">
        <v>102</v>
      </c>
      <c r="E24" s="8" t="s">
        <v>103</v>
      </c>
      <c r="F24" s="6" t="s">
        <v>104</v>
      </c>
      <c r="G24" s="9">
        <f>IF(A24=1,"_",IF(C24="_","???",C24))</f>
        <v/>
      </c>
      <c r="H24" s="10" t="s">
        <v>12</v>
      </c>
      <c r="I24" s="11" t="s">
        <v>12</v>
      </c>
      <c r="J24" s="12"/>
    </row>
    <row r="25" spans="1:10" ht="60" customHeight="1">
      <c r="A25" s="6" t="s">
        <v>105</v>
      </c>
      <c r="B25" s="6" t="s">
        <v>27</v>
      </c>
      <c r="C25" s="6" t="s">
        <v>12</v>
      </c>
      <c r="D25" s="7" t="s">
        <v>106</v>
      </c>
      <c r="E25" s="8" t="s">
        <v>107</v>
      </c>
      <c r="F25" s="6" t="s">
        <v>108</v>
      </c>
      <c r="G25" s="9">
        <f>IF(A25=1,"_",IF(C25="_","???",C25))</f>
        <v/>
      </c>
      <c r="H25" s="10" t="s">
        <v>12</v>
      </c>
      <c r="I25" s="11" t="s">
        <v>12</v>
      </c>
      <c r="J25" s="12"/>
    </row>
    <row r="26" spans="1:10" ht="60" customHeight="1">
      <c r="A26" s="6" t="s">
        <v>109</v>
      </c>
      <c r="B26" s="6" t="s">
        <v>11</v>
      </c>
      <c r="C26" s="6" t="s">
        <v>12</v>
      </c>
      <c r="D26" s="7" t="s">
        <v>110</v>
      </c>
      <c r="E26" s="8" t="s">
        <v>111</v>
      </c>
      <c r="F26" s="6" t="s">
        <v>112</v>
      </c>
      <c r="G26" s="9">
        <f>IF(A26=1,"_",IF(C26="_","???",C26))</f>
        <v/>
      </c>
      <c r="H26" s="10" t="s">
        <v>12</v>
      </c>
      <c r="I26" s="11" t="s">
        <v>12</v>
      </c>
      <c r="J26" s="12"/>
    </row>
    <row r="27" spans="1:10" ht="60" customHeight="1">
      <c r="A27" s="6" t="s">
        <v>113</v>
      </c>
      <c r="B27" s="6" t="s">
        <v>11</v>
      </c>
      <c r="C27" s="6" t="s">
        <v>12</v>
      </c>
      <c r="D27" s="7" t="s">
        <v>114</v>
      </c>
      <c r="E27" s="8" t="s">
        <v>115</v>
      </c>
      <c r="F27" s="6" t="s">
        <v>116</v>
      </c>
      <c r="G27" s="9">
        <f>IF(A27=1,"_",IF(C27="_","???",C27))</f>
        <v/>
      </c>
      <c r="H27" s="10" t="s">
        <v>12</v>
      </c>
      <c r="I27" s="11" t="s">
        <v>12</v>
      </c>
      <c r="J27" s="12"/>
    </row>
    <row r="28" spans="1:10" ht="60" customHeight="1">
      <c r="A28" s="6" t="s">
        <v>61</v>
      </c>
      <c r="B28" s="6" t="s">
        <v>11</v>
      </c>
      <c r="C28" s="6" t="s">
        <v>12</v>
      </c>
      <c r="D28" s="7" t="s">
        <v>117</v>
      </c>
      <c r="E28" s="8" t="s">
        <v>118</v>
      </c>
      <c r="F28" s="6" t="s">
        <v>119</v>
      </c>
      <c r="G28" s="9">
        <f>IF(A28=1,"_",IF(C28="_","???",C28))</f>
        <v/>
      </c>
      <c r="H28" s="10" t="s">
        <v>12</v>
      </c>
      <c r="I28" s="11" t="s">
        <v>12</v>
      </c>
      <c r="J28" s="12"/>
    </row>
    <row r="29" spans="1:10" ht="60" customHeight="1">
      <c r="A29" s="6" t="s">
        <v>120</v>
      </c>
      <c r="B29" s="6" t="s">
        <v>43</v>
      </c>
      <c r="C29" s="6" t="s">
        <v>12</v>
      </c>
      <c r="D29" s="7" t="s">
        <v>121</v>
      </c>
      <c r="E29" s="8" t="s">
        <v>122</v>
      </c>
      <c r="F29" s="6" t="s">
        <v>123</v>
      </c>
      <c r="G29" s="9">
        <f>IF(A29=1,"_",IF(C29="_","???",C29))</f>
        <v/>
      </c>
      <c r="H29" s="10" t="s">
        <v>12</v>
      </c>
      <c r="I29" s="11" t="s">
        <v>12</v>
      </c>
      <c r="J29" s="12"/>
    </row>
    <row r="30" spans="1:10" ht="60" customHeight="1">
      <c r="A30" s="6" t="s">
        <v>124</v>
      </c>
      <c r="B30" s="6" t="s">
        <v>90</v>
      </c>
      <c r="C30" s="6" t="s">
        <v>12</v>
      </c>
      <c r="D30" s="7" t="s">
        <v>125</v>
      </c>
      <c r="E30" s="8" t="s">
        <v>126</v>
      </c>
      <c r="F30" s="6" t="s">
        <v>127</v>
      </c>
      <c r="G30" s="9">
        <f>IF(A30=1,"_",IF(C30="_","???",C30))</f>
        <v/>
      </c>
      <c r="H30" s="10" t="s">
        <v>12</v>
      </c>
      <c r="I30" s="11" t="s">
        <v>12</v>
      </c>
      <c r="J30" s="12"/>
    </row>
    <row r="31" spans="1:10" ht="60" customHeight="1">
      <c r="A31" s="6" t="s">
        <v>128</v>
      </c>
      <c r="B31" s="6" t="s">
        <v>11</v>
      </c>
      <c r="C31" s="6" t="s">
        <v>12</v>
      </c>
      <c r="D31" s="7" t="s">
        <v>129</v>
      </c>
      <c r="E31" s="8" t="s">
        <v>130</v>
      </c>
      <c r="F31" s="6" t="s">
        <v>131</v>
      </c>
      <c r="G31" s="9">
        <f>IF(A31=1,"_",IF(C31="_","???",C31))</f>
        <v/>
      </c>
      <c r="H31" s="10" t="s">
        <v>12</v>
      </c>
      <c r="I31" s="11" t="s">
        <v>12</v>
      </c>
      <c r="J31" s="12"/>
    </row>
    <row r="32" spans="1:10" ht="60" customHeight="1">
      <c r="A32" s="6" t="s">
        <v>132</v>
      </c>
      <c r="B32" s="6" t="s">
        <v>16</v>
      </c>
      <c r="C32" s="6" t="s">
        <v>12</v>
      </c>
      <c r="D32" s="7" t="s">
        <v>133</v>
      </c>
      <c r="E32" s="8" t="s">
        <v>134</v>
      </c>
      <c r="F32" s="6" t="s">
        <v>135</v>
      </c>
      <c r="G32" s="9">
        <f>IF(A32=1,"_",IF(C32="_","???",C32))</f>
        <v/>
      </c>
      <c r="H32" s="10" t="s">
        <v>12</v>
      </c>
      <c r="I32" s="11" t="s">
        <v>12</v>
      </c>
      <c r="J32" s="12"/>
    </row>
    <row r="33" spans="1:10" ht="60" customHeight="1">
      <c r="A33" s="6" t="s">
        <v>136</v>
      </c>
      <c r="B33" s="6" t="s">
        <v>27</v>
      </c>
      <c r="C33" s="6" t="s">
        <v>12</v>
      </c>
      <c r="D33" s="7" t="s">
        <v>137</v>
      </c>
      <c r="E33" s="8" t="s">
        <v>138</v>
      </c>
      <c r="F33" s="6" t="s">
        <v>139</v>
      </c>
      <c r="G33" s="9">
        <f>IF(A33=1,"_",IF(C33="_","???",C33))</f>
        <v/>
      </c>
      <c r="H33" s="10" t="s">
        <v>12</v>
      </c>
      <c r="I33" s="11" t="s">
        <v>12</v>
      </c>
      <c r="J33" s="12"/>
    </row>
    <row r="34" spans="1:10" ht="60" customHeight="1">
      <c r="A34" s="6" t="s">
        <v>140</v>
      </c>
      <c r="B34" s="6" t="s">
        <v>31</v>
      </c>
      <c r="C34" s="6" t="s">
        <v>73</v>
      </c>
      <c r="D34" s="7" t="s">
        <v>141</v>
      </c>
      <c r="E34" s="8" t="s">
        <v>142</v>
      </c>
      <c r="F34" s="6" t="s">
        <v>143</v>
      </c>
      <c r="G34" s="9">
        <f>IF(A34=1,"_",IF(C34="_","???",C34))</f>
        <v/>
      </c>
      <c r="H34" s="10" t="s">
        <v>12</v>
      </c>
      <c r="I34" s="11" t="s">
        <v>12</v>
      </c>
      <c r="J34" s="12"/>
    </row>
    <row r="35" spans="1:10" ht="60" customHeight="1">
      <c r="A35" s="6" t="s">
        <v>144</v>
      </c>
      <c r="B35" s="6" t="s">
        <v>35</v>
      </c>
      <c r="C35" s="6" t="s">
        <v>12</v>
      </c>
      <c r="D35" s="7" t="s">
        <v>145</v>
      </c>
      <c r="E35" s="8" t="s">
        <v>146</v>
      </c>
      <c r="F35" s="6" t="s">
        <v>147</v>
      </c>
      <c r="G35" s="9">
        <f>IF(A35=1,"_",IF(C35="_","???",C35))</f>
        <v/>
      </c>
      <c r="H35" s="10" t="s">
        <v>12</v>
      </c>
      <c r="I35" s="11" t="s">
        <v>12</v>
      </c>
      <c r="J35" s="12"/>
    </row>
    <row r="36" spans="1:10" ht="60" customHeight="1">
      <c r="A36" s="6" t="s">
        <v>148</v>
      </c>
      <c r="B36" s="6" t="s">
        <v>52</v>
      </c>
      <c r="C36" s="6" t="s">
        <v>12</v>
      </c>
      <c r="D36" s="7" t="s">
        <v>149</v>
      </c>
      <c r="E36" s="8" t="s">
        <v>150</v>
      </c>
      <c r="F36" s="6" t="s">
        <v>151</v>
      </c>
      <c r="G36" s="9">
        <f>IF(A36=1,"_",IF(C36="_","???",C36))</f>
        <v/>
      </c>
      <c r="H36" s="10" t="s">
        <v>12</v>
      </c>
      <c r="I36" s="11" t="s">
        <v>12</v>
      </c>
      <c r="J36" s="12"/>
    </row>
    <row r="37" spans="1:10" ht="60" customHeight="1">
      <c r="A37" s="6" t="s">
        <v>152</v>
      </c>
      <c r="B37" s="6" t="s">
        <v>11</v>
      </c>
      <c r="C37" s="6" t="s">
        <v>12</v>
      </c>
      <c r="D37" s="7" t="s">
        <v>36</v>
      </c>
      <c r="E37" s="8" t="s">
        <v>153</v>
      </c>
      <c r="F37" s="6" t="s">
        <v>154</v>
      </c>
      <c r="G37" s="9">
        <f>IF(A37=1,"_",IF(C37="_","???",C37))</f>
        <v/>
      </c>
      <c r="H37" s="10" t="s">
        <v>12</v>
      </c>
      <c r="I37" s="11" t="s">
        <v>12</v>
      </c>
      <c r="J37" s="12"/>
    </row>
    <row r="38" spans="1:10" ht="60" customHeight="1">
      <c r="A38" s="6" t="s">
        <v>155</v>
      </c>
      <c r="B38" s="6" t="s">
        <v>20</v>
      </c>
      <c r="C38" s="6" t="s">
        <v>12</v>
      </c>
      <c r="D38" s="7" t="s">
        <v>53</v>
      </c>
      <c r="E38" s="8" t="s">
        <v>156</v>
      </c>
      <c r="F38" s="6" t="s">
        <v>157</v>
      </c>
      <c r="G38" s="9">
        <f>IF(A38=1,"_",IF(C38="_","???",C38))</f>
        <v/>
      </c>
      <c r="H38" s="10" t="s">
        <v>12</v>
      </c>
      <c r="I38" s="11" t="s">
        <v>12</v>
      </c>
      <c r="J38" s="12"/>
    </row>
    <row r="39" spans="1:10" ht="60" customHeight="1">
      <c r="A39" s="6" t="s">
        <v>158</v>
      </c>
      <c r="B39" s="6" t="s">
        <v>48</v>
      </c>
      <c r="C39" s="6" t="s">
        <v>12</v>
      </c>
      <c r="D39" s="7" t="s">
        <v>159</v>
      </c>
      <c r="E39" s="8" t="s">
        <v>160</v>
      </c>
      <c r="F39" s="6" t="s">
        <v>161</v>
      </c>
      <c r="G39" s="9">
        <f>IF(A39=1,"_",IF(C39="_","???",C39))</f>
        <v/>
      </c>
      <c r="H39" s="10" t="s">
        <v>12</v>
      </c>
      <c r="I39" s="11" t="s">
        <v>12</v>
      </c>
      <c r="J39" s="12"/>
    </row>
    <row r="40" spans="1:10" ht="60" customHeight="1">
      <c r="A40" s="6" t="s">
        <v>162</v>
      </c>
      <c r="B40" s="6" t="s">
        <v>11</v>
      </c>
      <c r="C40" s="6" t="s">
        <v>12</v>
      </c>
      <c r="D40" s="7" t="s">
        <v>45</v>
      </c>
      <c r="E40" s="8" t="s">
        <v>163</v>
      </c>
      <c r="F40" s="6" t="s">
        <v>164</v>
      </c>
      <c r="G40" s="9">
        <f>IF(A40=1,"_",IF(C40="_","???",C40))</f>
        <v/>
      </c>
      <c r="H40" s="10" t="s">
        <v>12</v>
      </c>
      <c r="I40" s="11" t="s">
        <v>12</v>
      </c>
      <c r="J40" s="12"/>
    </row>
    <row r="41" spans="1:10" ht="60" customHeight="1">
      <c r="A41" s="6" t="s">
        <v>165</v>
      </c>
      <c r="B41" s="6" t="s">
        <v>11</v>
      </c>
      <c r="C41" s="6" t="s">
        <v>12</v>
      </c>
      <c r="D41" s="7" t="s">
        <v>166</v>
      </c>
      <c r="E41" s="8" t="s">
        <v>167</v>
      </c>
      <c r="F41" s="6" t="s">
        <v>168</v>
      </c>
      <c r="G41" s="9">
        <f>IF(A41=1,"_",IF(C41="_","???",C41))</f>
        <v/>
      </c>
      <c r="H41" s="10" t="s">
        <v>12</v>
      </c>
      <c r="I41" s="11" t="s">
        <v>12</v>
      </c>
      <c r="J41" s="12"/>
    </row>
    <row r="42" spans="1:10" ht="60" customHeight="1">
      <c r="A42" s="6" t="s">
        <v>169</v>
      </c>
      <c r="B42" s="6" t="s">
        <v>77</v>
      </c>
      <c r="C42" s="6" t="s">
        <v>170</v>
      </c>
      <c r="D42" s="7" t="s">
        <v>171</v>
      </c>
      <c r="E42" s="8" t="s">
        <v>172</v>
      </c>
      <c r="F42" s="6" t="s">
        <v>173</v>
      </c>
      <c r="G42" s="9">
        <f>IF(A42=1,"_",IF(C42="_","???",C42))</f>
        <v/>
      </c>
      <c r="H42" s="10" t="s">
        <v>12</v>
      </c>
      <c r="I42" s="11" t="s">
        <v>12</v>
      </c>
      <c r="J42" s="12"/>
    </row>
    <row r="43" spans="1:10" ht="60" customHeight="1">
      <c r="A43" s="6" t="s">
        <v>174</v>
      </c>
      <c r="B43" s="6" t="s">
        <v>11</v>
      </c>
      <c r="C43" s="6" t="s">
        <v>12</v>
      </c>
      <c r="D43" s="7" t="s">
        <v>175</v>
      </c>
      <c r="E43" s="8" t="s">
        <v>176</v>
      </c>
      <c r="F43" s="6" t="s">
        <v>177</v>
      </c>
      <c r="G43" s="9">
        <f>IF(A43=1,"_",IF(C43="_","???",C43))</f>
        <v/>
      </c>
      <c r="H43" s="10" t="s">
        <v>12</v>
      </c>
      <c r="I43" s="11" t="s">
        <v>12</v>
      </c>
      <c r="J43" s="12"/>
    </row>
    <row r="44" spans="1:10" ht="60" customHeight="1">
      <c r="A44" s="6" t="s">
        <v>178</v>
      </c>
      <c r="B44" s="6" t="s">
        <v>20</v>
      </c>
      <c r="C44" s="6" t="s">
        <v>12</v>
      </c>
      <c r="D44" s="7" t="s">
        <v>179</v>
      </c>
      <c r="E44" s="8" t="s">
        <v>180</v>
      </c>
      <c r="F44" s="6" t="s">
        <v>181</v>
      </c>
      <c r="G44" s="9">
        <f>IF(A44=1,"_",IF(C44="_","???",C44))</f>
        <v/>
      </c>
      <c r="H44" s="10" t="s">
        <v>12</v>
      </c>
      <c r="I44" s="11" t="s">
        <v>12</v>
      </c>
      <c r="J44" s="12"/>
    </row>
    <row r="45" spans="1:10" ht="60" customHeight="1">
      <c r="A45" s="6" t="s">
        <v>182</v>
      </c>
      <c r="B45" s="6" t="s">
        <v>20</v>
      </c>
      <c r="C45" s="6" t="s">
        <v>73</v>
      </c>
      <c r="D45" s="7" t="s">
        <v>183</v>
      </c>
      <c r="E45" s="8" t="s">
        <v>184</v>
      </c>
      <c r="F45" s="6" t="s">
        <v>185</v>
      </c>
      <c r="G45" s="9">
        <f>IF(A45=1,"_",IF(C45="_","???",C45))</f>
        <v/>
      </c>
      <c r="H45" s="10" t="s">
        <v>12</v>
      </c>
      <c r="I45" s="11" t="s">
        <v>12</v>
      </c>
      <c r="J45" s="12"/>
    </row>
    <row r="46" spans="1:10" ht="60" customHeight="1">
      <c r="A46" s="6" t="s">
        <v>186</v>
      </c>
      <c r="B46" s="6" t="s">
        <v>20</v>
      </c>
      <c r="C46" s="6" t="s">
        <v>12</v>
      </c>
      <c r="D46" s="7" t="s">
        <v>187</v>
      </c>
      <c r="E46" s="8" t="s">
        <v>188</v>
      </c>
      <c r="F46" s="6" t="s">
        <v>189</v>
      </c>
      <c r="G46" s="9">
        <f>IF(A46=1,"_",IF(C46="_","???",C46))</f>
        <v/>
      </c>
      <c r="H46" s="10" t="s">
        <v>12</v>
      </c>
      <c r="I46" s="11" t="s">
        <v>12</v>
      </c>
      <c r="J46" s="12"/>
    </row>
    <row r="47" spans="1:10" ht="60" customHeight="1">
      <c r="A47" s="6" t="s">
        <v>190</v>
      </c>
      <c r="B47" s="6" t="s">
        <v>68</v>
      </c>
      <c r="C47" s="6" t="s">
        <v>12</v>
      </c>
      <c r="D47" s="7" t="s">
        <v>191</v>
      </c>
      <c r="E47" s="8" t="s">
        <v>192</v>
      </c>
      <c r="F47" s="6" t="s">
        <v>193</v>
      </c>
      <c r="G47" s="9">
        <f>IF(A47=1,"_",IF(C47="_","???",C47))</f>
        <v/>
      </c>
      <c r="H47" s="10" t="s">
        <v>12</v>
      </c>
      <c r="I47" s="11" t="s">
        <v>12</v>
      </c>
      <c r="J47" s="12"/>
    </row>
    <row r="48" spans="1:10" ht="60" customHeight="1">
      <c r="A48" s="6" t="s">
        <v>194</v>
      </c>
      <c r="B48" s="6" t="s">
        <v>11</v>
      </c>
      <c r="C48" s="6" t="s">
        <v>12</v>
      </c>
      <c r="D48" s="7" t="s">
        <v>195</v>
      </c>
      <c r="E48" s="8" t="s">
        <v>196</v>
      </c>
      <c r="F48" s="6" t="s">
        <v>197</v>
      </c>
      <c r="G48" s="9">
        <f>IF(A48=1,"_",IF(C48="_","???",C48))</f>
        <v/>
      </c>
      <c r="H48" s="10" t="s">
        <v>12</v>
      </c>
      <c r="I48" s="11" t="s">
        <v>12</v>
      </c>
      <c r="J48" s="12"/>
    </row>
    <row r="49" spans="1:10" ht="60" customHeight="1">
      <c r="A49" s="6" t="s">
        <v>198</v>
      </c>
      <c r="B49" s="6" t="s">
        <v>20</v>
      </c>
      <c r="C49" s="6" t="s">
        <v>12</v>
      </c>
      <c r="D49" s="7" t="s">
        <v>199</v>
      </c>
      <c r="E49" s="8" t="s">
        <v>200</v>
      </c>
      <c r="F49" s="6" t="s">
        <v>201</v>
      </c>
      <c r="G49" s="9">
        <f>IF(A49=1,"_",IF(C49="_","???",C49))</f>
        <v/>
      </c>
      <c r="H49" s="10" t="s">
        <v>12</v>
      </c>
      <c r="I49" s="11" t="s">
        <v>12</v>
      </c>
      <c r="J49" s="12"/>
    </row>
    <row r="50" spans="1:10" ht="60" customHeight="1">
      <c r="A50" s="6" t="s">
        <v>202</v>
      </c>
      <c r="B50" s="6" t="s">
        <v>20</v>
      </c>
      <c r="C50" s="6" t="s">
        <v>12</v>
      </c>
      <c r="D50" s="7" t="s">
        <v>203</v>
      </c>
      <c r="E50" s="8" t="s">
        <v>204</v>
      </c>
      <c r="F50" s="6" t="s">
        <v>205</v>
      </c>
      <c r="G50" s="9">
        <f>IF(A50=1,"_",IF(C50="_","???",C50))</f>
        <v/>
      </c>
      <c r="H50" s="10" t="s">
        <v>12</v>
      </c>
      <c r="I50" s="11" t="s">
        <v>12</v>
      </c>
      <c r="J50" s="12"/>
    </row>
    <row r="51" spans="1:10" ht="60" customHeight="1">
      <c r="A51" s="6" t="s">
        <v>206</v>
      </c>
      <c r="B51" s="6" t="s">
        <v>11</v>
      </c>
      <c r="C51" s="6" t="s">
        <v>12</v>
      </c>
      <c r="D51" s="7" t="s">
        <v>32</v>
      </c>
      <c r="E51" s="8" t="s">
        <v>207</v>
      </c>
      <c r="F51" s="6" t="s">
        <v>208</v>
      </c>
      <c r="G51" s="9">
        <f>IF(A51=1,"_",IF(C51="_","???",C51))</f>
        <v/>
      </c>
      <c r="H51" s="10" t="s">
        <v>12</v>
      </c>
      <c r="I51" s="11" t="s">
        <v>12</v>
      </c>
      <c r="J51" s="12"/>
    </row>
    <row r="52" spans="1:10" ht="60" customHeight="1">
      <c r="A52" s="6" t="s">
        <v>209</v>
      </c>
      <c r="B52" s="6" t="s">
        <v>16</v>
      </c>
      <c r="C52" s="6" t="s">
        <v>12</v>
      </c>
      <c r="D52" s="7" t="s">
        <v>210</v>
      </c>
      <c r="E52" s="8" t="s">
        <v>211</v>
      </c>
      <c r="F52" s="6" t="s">
        <v>212</v>
      </c>
      <c r="G52" s="9">
        <f>IF(A52=1,"_",IF(C52="_","???",C52))</f>
        <v/>
      </c>
      <c r="H52" s="10" t="s">
        <v>12</v>
      </c>
      <c r="I52" s="11" t="s">
        <v>12</v>
      </c>
      <c r="J52" s="12"/>
    </row>
    <row r="53" spans="1:10" ht="60" customHeight="1">
      <c r="A53" s="6" t="s">
        <v>213</v>
      </c>
      <c r="B53" s="6" t="s">
        <v>20</v>
      </c>
      <c r="C53" s="6" t="s">
        <v>12</v>
      </c>
      <c r="D53" s="7" t="s">
        <v>214</v>
      </c>
      <c r="E53" s="8" t="s">
        <v>215</v>
      </c>
      <c r="F53" s="6" t="s">
        <v>216</v>
      </c>
      <c r="G53" s="9">
        <f>IF(A53=1,"_",IF(C53="_","???",C53))</f>
        <v/>
      </c>
      <c r="H53" s="10" t="s">
        <v>12</v>
      </c>
      <c r="I53" s="11" t="s">
        <v>12</v>
      </c>
      <c r="J53" s="12"/>
    </row>
    <row r="54" spans="1:10" ht="60" customHeight="1">
      <c r="A54" s="6" t="s">
        <v>217</v>
      </c>
      <c r="B54" s="6" t="s">
        <v>20</v>
      </c>
      <c r="C54" s="6" t="s">
        <v>12</v>
      </c>
      <c r="D54" s="7" t="s">
        <v>218</v>
      </c>
      <c r="E54" s="8" t="s">
        <v>219</v>
      </c>
      <c r="F54" s="6" t="s">
        <v>220</v>
      </c>
      <c r="G54" s="9">
        <f>IF(A54=1,"_",IF(C54="_","???",C54))</f>
        <v/>
      </c>
      <c r="H54" s="10" t="s">
        <v>12</v>
      </c>
      <c r="I54" s="11" t="s">
        <v>12</v>
      </c>
      <c r="J54" s="12"/>
    </row>
    <row r="55" spans="1:10" ht="60" customHeight="1">
      <c r="A55" s="6" t="s">
        <v>221</v>
      </c>
      <c r="B55" s="6" t="s">
        <v>31</v>
      </c>
      <c r="C55" s="6" t="s">
        <v>12</v>
      </c>
      <c r="D55" s="7" t="s">
        <v>222</v>
      </c>
      <c r="E55" s="8" t="s">
        <v>223</v>
      </c>
      <c r="F55" s="6" t="s">
        <v>224</v>
      </c>
      <c r="G55" s="9">
        <f>IF(A55=1,"_",IF(C55="_","???",C55))</f>
        <v/>
      </c>
      <c r="H55" s="10" t="s">
        <v>12</v>
      </c>
      <c r="I55" s="11" t="s">
        <v>12</v>
      </c>
      <c r="J55" s="12"/>
    </row>
    <row r="56" spans="1:10" ht="60" customHeight="1">
      <c r="A56" s="6" t="s">
        <v>225</v>
      </c>
      <c r="B56" s="6" t="s">
        <v>35</v>
      </c>
      <c r="C56" s="6" t="s">
        <v>12</v>
      </c>
      <c r="D56" s="7" t="s">
        <v>226</v>
      </c>
      <c r="E56" s="8" t="s">
        <v>227</v>
      </c>
      <c r="F56" s="6" t="s">
        <v>228</v>
      </c>
      <c r="G56" s="9">
        <f>IF(A56=1,"_",IF(C56="_","???",C56))</f>
        <v/>
      </c>
      <c r="H56" s="10" t="s">
        <v>12</v>
      </c>
      <c r="I56" s="11" t="s">
        <v>12</v>
      </c>
      <c r="J56" s="12"/>
    </row>
    <row r="57" spans="1:10" ht="60" customHeight="1">
      <c r="A57" s="6" t="s">
        <v>229</v>
      </c>
      <c r="B57" s="6" t="s">
        <v>56</v>
      </c>
      <c r="C57" s="6" t="s">
        <v>12</v>
      </c>
      <c r="D57" s="7" t="s">
        <v>230</v>
      </c>
      <c r="E57" s="8" t="s">
        <v>231</v>
      </c>
      <c r="F57" s="6" t="s">
        <v>232</v>
      </c>
      <c r="G57" s="9">
        <f>IF(A57=1,"_",IF(C57="_","???",C57))</f>
        <v/>
      </c>
      <c r="H57" s="10" t="s">
        <v>12</v>
      </c>
      <c r="I57" s="11" t="s">
        <v>12</v>
      </c>
      <c r="J57" s="12"/>
    </row>
    <row r="58" spans="1:10" ht="60" customHeight="1">
      <c r="A58" s="6" t="s">
        <v>233</v>
      </c>
      <c r="B58" s="6" t="s">
        <v>35</v>
      </c>
      <c r="C58" s="6" t="s">
        <v>12</v>
      </c>
      <c r="D58" s="7" t="s">
        <v>234</v>
      </c>
      <c r="E58" s="8" t="s">
        <v>235</v>
      </c>
      <c r="F58" s="6" t="s">
        <v>236</v>
      </c>
      <c r="G58" s="9">
        <f>IF(A58=1,"_",IF(C58="_","???",C58))</f>
        <v/>
      </c>
      <c r="H58" s="10" t="s">
        <v>12</v>
      </c>
      <c r="I58" s="11" t="s">
        <v>12</v>
      </c>
      <c r="J58" s="12"/>
    </row>
    <row r="59" spans="1:10" ht="60" customHeight="1">
      <c r="A59" s="6" t="s">
        <v>237</v>
      </c>
      <c r="B59" s="6" t="s">
        <v>11</v>
      </c>
      <c r="C59" s="6" t="s">
        <v>12</v>
      </c>
      <c r="D59" s="7" t="s">
        <v>238</v>
      </c>
      <c r="E59" s="8" t="s">
        <v>239</v>
      </c>
      <c r="F59" s="6" t="s">
        <v>240</v>
      </c>
      <c r="G59" s="9">
        <f>IF(A59=1,"_",IF(C59="_","???",C59))</f>
        <v/>
      </c>
      <c r="H59" s="10" t="s">
        <v>12</v>
      </c>
      <c r="I59" s="11" t="s">
        <v>12</v>
      </c>
      <c r="J59" s="12"/>
    </row>
    <row r="60" spans="1:10" ht="60" customHeight="1">
      <c r="A60" s="6" t="s">
        <v>241</v>
      </c>
      <c r="B60" s="6" t="s">
        <v>11</v>
      </c>
      <c r="C60" s="6" t="s">
        <v>12</v>
      </c>
      <c r="D60" s="7" t="s">
        <v>242</v>
      </c>
      <c r="E60" s="8" t="s">
        <v>243</v>
      </c>
      <c r="F60" s="6" t="s">
        <v>244</v>
      </c>
      <c r="G60" s="9">
        <f>IF(A60=1,"_",IF(C60="_","???",C60))</f>
        <v/>
      </c>
      <c r="H60" s="10" t="s">
        <v>12</v>
      </c>
      <c r="I60" s="11" t="s">
        <v>12</v>
      </c>
      <c r="J60" s="12"/>
    </row>
    <row r="61" spans="1:10" ht="60" customHeight="1">
      <c r="A61" s="6" t="s">
        <v>245</v>
      </c>
      <c r="B61" s="6" t="s">
        <v>105</v>
      </c>
      <c r="C61" s="6" t="s">
        <v>12</v>
      </c>
      <c r="D61" s="7" t="s">
        <v>246</v>
      </c>
      <c r="E61" s="8" t="s">
        <v>247</v>
      </c>
      <c r="F61" s="6" t="s">
        <v>248</v>
      </c>
      <c r="G61" s="9">
        <f>IF(A61=1,"_",IF(C61="_","???",C61))</f>
        <v/>
      </c>
      <c r="H61" s="10" t="s">
        <v>12</v>
      </c>
      <c r="I61" s="11" t="s">
        <v>12</v>
      </c>
      <c r="J61" s="12"/>
    </row>
    <row r="62" spans="1:10" ht="60" customHeight="1">
      <c r="A62" s="6" t="s">
        <v>249</v>
      </c>
      <c r="B62" s="6" t="s">
        <v>11</v>
      </c>
      <c r="C62" s="6" t="s">
        <v>12</v>
      </c>
      <c r="D62" s="7" t="s">
        <v>250</v>
      </c>
      <c r="E62" s="8" t="s">
        <v>251</v>
      </c>
      <c r="F62" s="6" t="s">
        <v>252</v>
      </c>
      <c r="G62" s="9">
        <f>IF(A62=1,"_",IF(C62="_","???",C62))</f>
        <v/>
      </c>
      <c r="H62" s="10" t="s">
        <v>12</v>
      </c>
      <c r="I62" s="11" t="s">
        <v>12</v>
      </c>
      <c r="J62" s="12"/>
    </row>
    <row r="63" spans="1:10" ht="60" customHeight="1">
      <c r="A63" s="6" t="s">
        <v>253</v>
      </c>
      <c r="B63" s="6" t="s">
        <v>31</v>
      </c>
      <c r="C63" s="6" t="s">
        <v>12</v>
      </c>
      <c r="D63" s="7" t="s">
        <v>254</v>
      </c>
      <c r="E63" s="8" t="s">
        <v>255</v>
      </c>
      <c r="F63" s="6" t="s">
        <v>256</v>
      </c>
      <c r="G63" s="9">
        <f>IF(A63=1,"_",IF(C63="_","???",C63))</f>
        <v/>
      </c>
      <c r="H63" s="10" t="s">
        <v>12</v>
      </c>
      <c r="I63" s="11" t="s">
        <v>12</v>
      </c>
      <c r="J63" s="12"/>
    </row>
    <row r="64" spans="1:10" ht="60" customHeight="1">
      <c r="A64" s="6" t="s">
        <v>257</v>
      </c>
      <c r="B64" s="6" t="s">
        <v>39</v>
      </c>
      <c r="C64" s="6" t="s">
        <v>12</v>
      </c>
      <c r="D64" s="7" t="s">
        <v>258</v>
      </c>
      <c r="E64" s="8" t="s">
        <v>259</v>
      </c>
      <c r="F64" s="6" t="s">
        <v>260</v>
      </c>
      <c r="G64" s="9">
        <f>IF(A64=1,"_",IF(C64="_","???",C64))</f>
        <v/>
      </c>
      <c r="H64" s="10" t="s">
        <v>12</v>
      </c>
      <c r="I64" s="11" t="s">
        <v>12</v>
      </c>
      <c r="J64" s="12"/>
    </row>
    <row r="65" spans="1:10" ht="60" customHeight="1">
      <c r="A65" s="6" t="s">
        <v>261</v>
      </c>
      <c r="B65" s="6" t="s">
        <v>35</v>
      </c>
      <c r="C65" s="6" t="s">
        <v>12</v>
      </c>
      <c r="D65" s="7" t="s">
        <v>262</v>
      </c>
      <c r="E65" s="8" t="s">
        <v>263</v>
      </c>
      <c r="F65" s="6" t="s">
        <v>264</v>
      </c>
      <c r="G65" s="9">
        <f>IF(A65=1,"_",IF(C65="_","???",C65))</f>
        <v/>
      </c>
      <c r="H65" s="10" t="s">
        <v>12</v>
      </c>
      <c r="I65" s="11" t="s">
        <v>12</v>
      </c>
      <c r="J65" s="12"/>
    </row>
    <row r="66" spans="1:10" ht="60" customHeight="1">
      <c r="A66" s="6" t="s">
        <v>265</v>
      </c>
      <c r="B66" s="6" t="s">
        <v>31</v>
      </c>
      <c r="C66" s="6" t="s">
        <v>12</v>
      </c>
      <c r="D66" s="7" t="s">
        <v>262</v>
      </c>
      <c r="E66" s="8" t="s">
        <v>266</v>
      </c>
      <c r="F66" s="6" t="s">
        <v>267</v>
      </c>
      <c r="G66" s="9">
        <f>IF(A66=1,"_",IF(C66="_","???",C66))</f>
        <v/>
      </c>
      <c r="H66" s="10" t="s">
        <v>12</v>
      </c>
      <c r="I66" s="11" t="s">
        <v>12</v>
      </c>
      <c r="J66" s="12"/>
    </row>
    <row r="67" spans="1:10" ht="60" customHeight="1">
      <c r="A67" s="6" t="s">
        <v>268</v>
      </c>
      <c r="B67" s="6" t="s">
        <v>16</v>
      </c>
      <c r="C67" s="6" t="s">
        <v>12</v>
      </c>
      <c r="D67" s="7" t="s">
        <v>269</v>
      </c>
      <c r="E67" s="8" t="s">
        <v>270</v>
      </c>
      <c r="F67" s="6" t="s">
        <v>271</v>
      </c>
      <c r="G67" s="9">
        <f>IF(A67=1,"_",IF(C67="_","???",C67))</f>
        <v/>
      </c>
      <c r="H67" s="10" t="s">
        <v>12</v>
      </c>
      <c r="I67" s="11" t="s">
        <v>12</v>
      </c>
      <c r="J67" s="12"/>
    </row>
    <row r="68" spans="1:10" ht="60" customHeight="1">
      <c r="A68" s="6" t="s">
        <v>272</v>
      </c>
      <c r="B68" s="6" t="s">
        <v>35</v>
      </c>
      <c r="C68" s="6" t="s">
        <v>12</v>
      </c>
      <c r="D68" s="7" t="s">
        <v>273</v>
      </c>
      <c r="E68" s="8" t="s">
        <v>274</v>
      </c>
      <c r="F68" s="6" t="s">
        <v>275</v>
      </c>
      <c r="G68" s="9">
        <f>IF(A68=1,"_",IF(C68="_","???",C68))</f>
        <v/>
      </c>
      <c r="H68" s="10" t="s">
        <v>12</v>
      </c>
      <c r="I68" s="11" t="s">
        <v>12</v>
      </c>
      <c r="J68" s="12"/>
    </row>
    <row r="69" spans="1:10" ht="60" customHeight="1">
      <c r="A69" s="6" t="s">
        <v>276</v>
      </c>
      <c r="B69" s="6" t="s">
        <v>11</v>
      </c>
      <c r="C69" s="6" t="s">
        <v>12</v>
      </c>
      <c r="D69" s="7" t="s">
        <v>277</v>
      </c>
      <c r="E69" s="8" t="s">
        <v>278</v>
      </c>
      <c r="F69" s="6" t="s">
        <v>279</v>
      </c>
      <c r="G69" s="9">
        <f>IF(A69=1,"_",IF(C69="_","???",C69))</f>
        <v/>
      </c>
      <c r="H69" s="10" t="s">
        <v>12</v>
      </c>
      <c r="I69" s="11" t="s">
        <v>12</v>
      </c>
      <c r="J69" s="12"/>
    </row>
    <row r="70" spans="1:10" ht="60" customHeight="1">
      <c r="A70" s="6" t="s">
        <v>280</v>
      </c>
      <c r="B70" s="6" t="s">
        <v>77</v>
      </c>
      <c r="C70" s="6" t="s">
        <v>12</v>
      </c>
      <c r="D70" s="7" t="s">
        <v>281</v>
      </c>
      <c r="E70" s="8" t="s">
        <v>282</v>
      </c>
      <c r="F70" s="6" t="s">
        <v>283</v>
      </c>
      <c r="G70" s="9">
        <f>IF(A70=1,"_",IF(C70="_","???",C70))</f>
        <v/>
      </c>
      <c r="H70" s="10" t="s">
        <v>12</v>
      </c>
      <c r="I70" s="11" t="s">
        <v>12</v>
      </c>
      <c r="J70" s="12"/>
    </row>
    <row r="71" spans="1:10" ht="60" customHeight="1">
      <c r="A71" s="6" t="s">
        <v>284</v>
      </c>
      <c r="B71" s="6" t="s">
        <v>11</v>
      </c>
      <c r="C71" s="6" t="s">
        <v>12</v>
      </c>
      <c r="D71" s="7" t="s">
        <v>285</v>
      </c>
      <c r="E71" s="8" t="s">
        <v>286</v>
      </c>
      <c r="F71" s="6" t="s">
        <v>287</v>
      </c>
      <c r="G71" s="9">
        <f>IF(A71=1,"_",IF(C71="_","???",C71))</f>
        <v/>
      </c>
      <c r="H71" s="10" t="s">
        <v>12</v>
      </c>
      <c r="I71" s="11" t="s">
        <v>12</v>
      </c>
      <c r="J71" s="12"/>
    </row>
    <row r="72" spans="1:10" ht="60" customHeight="1">
      <c r="A72" s="6" t="s">
        <v>288</v>
      </c>
      <c r="B72" s="6" t="s">
        <v>56</v>
      </c>
      <c r="C72" s="6" t="s">
        <v>12</v>
      </c>
      <c r="D72" s="7" t="s">
        <v>289</v>
      </c>
      <c r="E72" s="8" t="s">
        <v>290</v>
      </c>
      <c r="F72" s="6" t="s">
        <v>291</v>
      </c>
      <c r="G72" s="9">
        <f>IF(A72=1,"_",IF(C72="_","???",C72))</f>
        <v/>
      </c>
      <c r="H72" s="10" t="s">
        <v>12</v>
      </c>
      <c r="I72" s="11" t="s">
        <v>12</v>
      </c>
      <c r="J72" s="12"/>
    </row>
    <row r="73" spans="1:10" ht="60" customHeight="1">
      <c r="A73" s="6" t="s">
        <v>292</v>
      </c>
      <c r="B73" s="6" t="s">
        <v>31</v>
      </c>
      <c r="C73" s="6" t="s">
        <v>12</v>
      </c>
      <c r="D73" s="7" t="s">
        <v>117</v>
      </c>
      <c r="E73" s="8" t="s">
        <v>293</v>
      </c>
      <c r="F73" s="6" t="s">
        <v>294</v>
      </c>
      <c r="G73" s="9">
        <f>IF(A73=1,"_",IF(C73="_","???",C73))</f>
        <v/>
      </c>
      <c r="H73" s="10" t="s">
        <v>12</v>
      </c>
      <c r="I73" s="11" t="s">
        <v>12</v>
      </c>
      <c r="J73" s="12"/>
    </row>
    <row r="74" spans="1:10" ht="60" customHeight="1">
      <c r="A74" s="6" t="s">
        <v>295</v>
      </c>
      <c r="B74" s="6" t="s">
        <v>27</v>
      </c>
      <c r="C74" s="6" t="s">
        <v>12</v>
      </c>
      <c r="D74" s="7" t="s">
        <v>296</v>
      </c>
      <c r="E74" s="8" t="s">
        <v>297</v>
      </c>
      <c r="F74" s="6" t="s">
        <v>298</v>
      </c>
      <c r="G74" s="9">
        <f>IF(A74=1,"_",IF(C74="_","???",C74))</f>
        <v/>
      </c>
      <c r="H74" s="10" t="s">
        <v>12</v>
      </c>
      <c r="I74" s="11" t="s">
        <v>12</v>
      </c>
      <c r="J74" s="12"/>
    </row>
    <row r="75" spans="1:10" ht="60" customHeight="1">
      <c r="A75" s="6" t="s">
        <v>299</v>
      </c>
      <c r="B75" s="6" t="s">
        <v>20</v>
      </c>
      <c r="C75" s="6" t="s">
        <v>12</v>
      </c>
      <c r="D75" s="7" t="s">
        <v>300</v>
      </c>
      <c r="E75" s="8" t="s">
        <v>301</v>
      </c>
      <c r="F75" s="6" t="s">
        <v>302</v>
      </c>
      <c r="G75" s="9">
        <f>IF(A75=1,"_",IF(C75="_","???",C75))</f>
        <v/>
      </c>
      <c r="H75" s="10" t="s">
        <v>12</v>
      </c>
      <c r="I75" s="11" t="s">
        <v>12</v>
      </c>
      <c r="J75" s="12"/>
    </row>
    <row r="76" spans="1:10" ht="60" customHeight="1">
      <c r="A76" s="6" t="s">
        <v>303</v>
      </c>
      <c r="B76" s="6" t="s">
        <v>27</v>
      </c>
      <c r="C76" s="6" t="s">
        <v>12</v>
      </c>
      <c r="D76" s="7" t="s">
        <v>304</v>
      </c>
      <c r="E76" s="8" t="s">
        <v>305</v>
      </c>
      <c r="F76" s="6" t="s">
        <v>306</v>
      </c>
      <c r="G76" s="9">
        <f>IF(A76=1,"_",IF(C76="_","???",C76))</f>
        <v/>
      </c>
      <c r="H76" s="10" t="s">
        <v>12</v>
      </c>
      <c r="I76" s="11" t="s">
        <v>12</v>
      </c>
      <c r="J76" s="12"/>
    </row>
    <row r="77" spans="1:10" ht="60" customHeight="1">
      <c r="A77" s="6" t="s">
        <v>307</v>
      </c>
      <c r="B77" s="6" t="s">
        <v>11</v>
      </c>
      <c r="C77" s="6" t="s">
        <v>12</v>
      </c>
      <c r="D77" s="7" t="s">
        <v>308</v>
      </c>
      <c r="E77" s="8" t="s">
        <v>309</v>
      </c>
      <c r="F77" s="6" t="s">
        <v>310</v>
      </c>
      <c r="G77" s="9">
        <f>IF(A77=1,"_",IF(C77="_","???",C77))</f>
        <v/>
      </c>
      <c r="H77" s="10" t="s">
        <v>12</v>
      </c>
      <c r="I77" s="11" t="s">
        <v>12</v>
      </c>
      <c r="J77" s="12"/>
    </row>
    <row r="78" spans="1:10" ht="60" customHeight="1">
      <c r="A78" s="6" t="s">
        <v>311</v>
      </c>
      <c r="B78" s="6" t="s">
        <v>43</v>
      </c>
      <c r="C78" s="6" t="s">
        <v>12</v>
      </c>
      <c r="D78" s="7" t="s">
        <v>24</v>
      </c>
      <c r="E78" s="8" t="s">
        <v>312</v>
      </c>
      <c r="F78" s="6" t="s">
        <v>313</v>
      </c>
      <c r="G78" s="9">
        <f>IF(A78=1,"_",IF(C78="_","???",C78))</f>
        <v/>
      </c>
      <c r="H78" s="10" t="s">
        <v>12</v>
      </c>
      <c r="I78" s="11" t="s">
        <v>12</v>
      </c>
      <c r="J78" s="12"/>
    </row>
    <row r="79" spans="1:10" ht="60" customHeight="1">
      <c r="A79" s="6" t="s">
        <v>314</v>
      </c>
      <c r="B79" s="6" t="s">
        <v>11</v>
      </c>
      <c r="C79" s="6" t="s">
        <v>12</v>
      </c>
      <c r="D79" s="7" t="s">
        <v>315</v>
      </c>
      <c r="E79" s="8" t="s">
        <v>316</v>
      </c>
      <c r="F79" s="6" t="s">
        <v>317</v>
      </c>
      <c r="G79" s="9">
        <f>IF(A79=1,"_",IF(C79="_","???",C79))</f>
        <v/>
      </c>
      <c r="H79" s="10" t="s">
        <v>12</v>
      </c>
      <c r="I79" s="11" t="s">
        <v>12</v>
      </c>
      <c r="J79" s="12"/>
    </row>
    <row r="80" spans="1:10" ht="60" customHeight="1">
      <c r="A80" s="6" t="s">
        <v>318</v>
      </c>
      <c r="B80" s="6" t="s">
        <v>11</v>
      </c>
      <c r="C80" s="6" t="s">
        <v>12</v>
      </c>
      <c r="D80" s="7" t="s">
        <v>319</v>
      </c>
      <c r="E80" s="8" t="s">
        <v>320</v>
      </c>
      <c r="F80" s="6" t="s">
        <v>321</v>
      </c>
      <c r="G80" s="9">
        <f>IF(A80=1,"_",IF(C80="_","???",C80))</f>
        <v/>
      </c>
      <c r="H80" s="10" t="s">
        <v>12</v>
      </c>
      <c r="I80" s="11" t="s">
        <v>12</v>
      </c>
      <c r="J80" s="12"/>
    </row>
    <row r="81" spans="1:10" ht="60" customHeight="1">
      <c r="A81" s="6" t="s">
        <v>322</v>
      </c>
      <c r="B81" s="6" t="s">
        <v>20</v>
      </c>
      <c r="C81" s="6" t="s">
        <v>12</v>
      </c>
      <c r="D81" s="7" t="s">
        <v>323</v>
      </c>
      <c r="E81" s="8" t="s">
        <v>324</v>
      </c>
      <c r="F81" s="6" t="s">
        <v>325</v>
      </c>
      <c r="G81" s="9">
        <f>IF(A81=1,"_",IF(C81="_","???",C81))</f>
        <v/>
      </c>
      <c r="H81" s="10" t="s">
        <v>12</v>
      </c>
      <c r="I81" s="11" t="s">
        <v>12</v>
      </c>
      <c r="J81" s="12"/>
    </row>
    <row r="82" spans="1:10" ht="60" customHeight="1">
      <c r="A82" s="6" t="s">
        <v>326</v>
      </c>
      <c r="B82" s="6" t="s">
        <v>11</v>
      </c>
      <c r="C82" s="6" t="s">
        <v>12</v>
      </c>
      <c r="D82" s="7" t="s">
        <v>327</v>
      </c>
      <c r="E82" s="8" t="s">
        <v>328</v>
      </c>
      <c r="F82" s="6" t="s">
        <v>329</v>
      </c>
      <c r="G82" s="9">
        <f>IF(A82=1,"_",IF(C82="_","???",C82))</f>
        <v/>
      </c>
      <c r="H82" s="10" t="s">
        <v>12</v>
      </c>
      <c r="I82" s="11" t="s">
        <v>12</v>
      </c>
      <c r="J82" s="12"/>
    </row>
    <row r="83" spans="1:10" ht="60" customHeight="1">
      <c r="A83" s="6" t="s">
        <v>330</v>
      </c>
      <c r="B83" s="6" t="s">
        <v>20</v>
      </c>
      <c r="C83" s="6" t="s">
        <v>12</v>
      </c>
      <c r="D83" s="7" t="s">
        <v>32</v>
      </c>
      <c r="E83" s="8" t="s">
        <v>331</v>
      </c>
      <c r="F83" s="6" t="s">
        <v>332</v>
      </c>
      <c r="G83" s="9">
        <f>IF(A83=1,"_",IF(C83="_","???",C83))</f>
        <v/>
      </c>
      <c r="H83" s="10" t="s">
        <v>12</v>
      </c>
      <c r="I83" s="11" t="s">
        <v>12</v>
      </c>
      <c r="J83" s="12"/>
    </row>
    <row r="84" spans="1:10" ht="60" customHeight="1">
      <c r="A84" s="6" t="s">
        <v>333</v>
      </c>
      <c r="B84" s="6" t="s">
        <v>11</v>
      </c>
      <c r="C84" s="6" t="s">
        <v>12</v>
      </c>
      <c r="D84" s="7" t="s">
        <v>222</v>
      </c>
      <c r="E84" s="8" t="s">
        <v>334</v>
      </c>
      <c r="F84" s="6" t="s">
        <v>335</v>
      </c>
      <c r="G84" s="9">
        <f>IF(A84=1,"_",IF(C84="_","???",C84))</f>
        <v/>
      </c>
      <c r="H84" s="10" t="s">
        <v>12</v>
      </c>
      <c r="I84" s="11" t="s">
        <v>12</v>
      </c>
      <c r="J84" s="12"/>
    </row>
    <row r="85" spans="1:10" ht="60" customHeight="1">
      <c r="A85" s="6" t="s">
        <v>336</v>
      </c>
      <c r="B85" s="6" t="s">
        <v>11</v>
      </c>
      <c r="C85" s="6" t="s">
        <v>12</v>
      </c>
      <c r="D85" s="7" t="s">
        <v>337</v>
      </c>
      <c r="E85" s="8" t="s">
        <v>338</v>
      </c>
      <c r="F85" s="6" t="s">
        <v>339</v>
      </c>
      <c r="G85" s="9">
        <f>IF(A85=1,"_",IF(C85="_","???",C85))</f>
        <v/>
      </c>
      <c r="H85" s="10" t="s">
        <v>12</v>
      </c>
      <c r="I85" s="11" t="s">
        <v>12</v>
      </c>
      <c r="J85" s="12"/>
    </row>
    <row r="86" spans="1:10" ht="60" customHeight="1">
      <c r="A86" s="6" t="s">
        <v>340</v>
      </c>
      <c r="B86" s="6" t="s">
        <v>35</v>
      </c>
      <c r="C86" s="6" t="s">
        <v>12</v>
      </c>
      <c r="D86" s="7" t="s">
        <v>341</v>
      </c>
      <c r="E86" s="8" t="s">
        <v>342</v>
      </c>
      <c r="F86" s="6" t="s">
        <v>343</v>
      </c>
      <c r="G86" s="9">
        <f>IF(A86=1,"_",IF(C86="_","???",C86))</f>
        <v/>
      </c>
      <c r="H86" s="10" t="s">
        <v>12</v>
      </c>
      <c r="I86" s="11" t="s">
        <v>12</v>
      </c>
      <c r="J86" s="12"/>
    </row>
    <row r="87" spans="1:10" ht="60" customHeight="1">
      <c r="A87" s="6" t="s">
        <v>344</v>
      </c>
      <c r="B87" s="6" t="s">
        <v>27</v>
      </c>
      <c r="C87" s="6" t="s">
        <v>12</v>
      </c>
      <c r="D87" s="7" t="s">
        <v>345</v>
      </c>
      <c r="E87" s="8" t="s">
        <v>346</v>
      </c>
      <c r="F87" s="6" t="s">
        <v>347</v>
      </c>
      <c r="G87" s="9">
        <f>IF(A87=1,"_",IF(C87="_","???",C87))</f>
        <v/>
      </c>
      <c r="H87" s="10" t="s">
        <v>12</v>
      </c>
      <c r="I87" s="11" t="s">
        <v>12</v>
      </c>
      <c r="J87" s="12"/>
    </row>
    <row r="88" spans="1:10" ht="60" customHeight="1">
      <c r="A88" s="6" t="s">
        <v>348</v>
      </c>
      <c r="B88" s="6" t="s">
        <v>43</v>
      </c>
      <c r="C88" s="6" t="s">
        <v>12</v>
      </c>
      <c r="D88" s="7" t="s">
        <v>349</v>
      </c>
      <c r="E88" s="8" t="s">
        <v>350</v>
      </c>
      <c r="F88" s="6" t="s">
        <v>351</v>
      </c>
      <c r="G88" s="9">
        <f>IF(A88=1,"_",IF(C88="_","???",C88))</f>
        <v/>
      </c>
      <c r="H88" s="10" t="s">
        <v>12</v>
      </c>
      <c r="I88" s="11" t="s">
        <v>12</v>
      </c>
      <c r="J88" s="12"/>
    </row>
    <row r="89" spans="1:10" ht="60" customHeight="1">
      <c r="A89" s="6" t="s">
        <v>352</v>
      </c>
      <c r="B89" s="6" t="s">
        <v>20</v>
      </c>
      <c r="C89" s="6" t="s">
        <v>12</v>
      </c>
      <c r="D89" s="7" t="s">
        <v>353</v>
      </c>
      <c r="E89" s="8" t="s">
        <v>354</v>
      </c>
      <c r="F89" s="6" t="s">
        <v>355</v>
      </c>
      <c r="G89" s="9">
        <f>IF(A89=1,"_",IF(C89="_","???",C89))</f>
        <v/>
      </c>
      <c r="H89" s="10" t="s">
        <v>12</v>
      </c>
      <c r="I89" s="11" t="s">
        <v>12</v>
      </c>
      <c r="J89" s="12"/>
    </row>
    <row r="90" spans="1:10" ht="60" customHeight="1">
      <c r="A90" s="6" t="s">
        <v>356</v>
      </c>
      <c r="B90" s="6" t="s">
        <v>27</v>
      </c>
      <c r="C90" s="6" t="s">
        <v>12</v>
      </c>
      <c r="D90" s="7" t="s">
        <v>357</v>
      </c>
      <c r="E90" s="8" t="s">
        <v>358</v>
      </c>
      <c r="F90" s="6" t="s">
        <v>359</v>
      </c>
      <c r="G90" s="9">
        <f>IF(A90=1,"_",IF(C90="_","???",C90))</f>
        <v/>
      </c>
      <c r="H90" s="10" t="s">
        <v>12</v>
      </c>
      <c r="I90" s="11" t="s">
        <v>12</v>
      </c>
      <c r="J90" s="12"/>
    </row>
    <row r="91" spans="1:10" ht="60" customHeight="1">
      <c r="A91" s="6" t="s">
        <v>360</v>
      </c>
      <c r="B91" s="6" t="s">
        <v>11</v>
      </c>
      <c r="C91" s="6" t="s">
        <v>12</v>
      </c>
      <c r="D91" s="7" t="s">
        <v>361</v>
      </c>
      <c r="E91" s="8" t="s">
        <v>362</v>
      </c>
      <c r="F91" s="6" t="s">
        <v>363</v>
      </c>
      <c r="G91" s="9">
        <f>IF(A91=1,"_",IF(C91="_","???",C91))</f>
        <v/>
      </c>
      <c r="H91" s="10" t="s">
        <v>12</v>
      </c>
      <c r="I91" s="11" t="s">
        <v>12</v>
      </c>
      <c r="J91" s="12"/>
    </row>
    <row r="92" spans="1:10" ht="60" customHeight="1">
      <c r="A92" s="6" t="s">
        <v>364</v>
      </c>
      <c r="B92" s="6" t="s">
        <v>48</v>
      </c>
      <c r="C92" s="6" t="s">
        <v>12</v>
      </c>
      <c r="D92" s="7" t="s">
        <v>365</v>
      </c>
      <c r="E92" s="8" t="s">
        <v>366</v>
      </c>
      <c r="F92" s="6" t="s">
        <v>367</v>
      </c>
      <c r="G92" s="9">
        <f>IF(A92=1,"_",IF(C92="_","???",C92))</f>
        <v/>
      </c>
      <c r="H92" s="10" t="s">
        <v>12</v>
      </c>
      <c r="I92" s="11" t="s">
        <v>12</v>
      </c>
      <c r="J92" s="12"/>
    </row>
    <row r="93" spans="1:10" ht="60" customHeight="1">
      <c r="A93" s="6" t="s">
        <v>368</v>
      </c>
      <c r="B93" s="6" t="s">
        <v>11</v>
      </c>
      <c r="C93" s="6" t="s">
        <v>12</v>
      </c>
      <c r="D93" s="7" t="s">
        <v>369</v>
      </c>
      <c r="E93" s="8" t="s">
        <v>370</v>
      </c>
      <c r="F93" s="6" t="s">
        <v>371</v>
      </c>
      <c r="G93" s="9">
        <f>IF(A93=1,"_",IF(C93="_","???",C93))</f>
        <v/>
      </c>
      <c r="H93" s="10" t="s">
        <v>12</v>
      </c>
      <c r="I93" s="11" t="s">
        <v>12</v>
      </c>
      <c r="J93" s="12"/>
    </row>
    <row r="94" spans="1:10" ht="60" customHeight="1">
      <c r="A94" s="6" t="s">
        <v>372</v>
      </c>
      <c r="B94" s="6" t="s">
        <v>11</v>
      </c>
      <c r="C94" s="6" t="s">
        <v>12</v>
      </c>
      <c r="D94" s="7" t="s">
        <v>373</v>
      </c>
      <c r="E94" s="8" t="s">
        <v>374</v>
      </c>
      <c r="F94" s="6" t="s">
        <v>375</v>
      </c>
      <c r="G94" s="9">
        <f>IF(A94=1,"_",IF(C94="_","???",C94))</f>
        <v/>
      </c>
      <c r="H94" s="10" t="s">
        <v>12</v>
      </c>
      <c r="I94" s="11" t="s">
        <v>12</v>
      </c>
      <c r="J94" s="12"/>
    </row>
    <row r="95" spans="1:10" ht="60" customHeight="1">
      <c r="A95" s="6" t="s">
        <v>376</v>
      </c>
      <c r="B95" s="6" t="s">
        <v>16</v>
      </c>
      <c r="C95" s="6" t="s">
        <v>12</v>
      </c>
      <c r="D95" s="7" t="s">
        <v>377</v>
      </c>
      <c r="E95" s="8" t="s">
        <v>378</v>
      </c>
      <c r="F95" s="6" t="s">
        <v>379</v>
      </c>
      <c r="G95" s="9">
        <f>IF(A95=1,"_",IF(C95="_","???",C95))</f>
        <v/>
      </c>
      <c r="H95" s="10" t="s">
        <v>12</v>
      </c>
      <c r="I95" s="11" t="s">
        <v>12</v>
      </c>
      <c r="J95" s="12"/>
    </row>
    <row r="96" spans="1:10" ht="60" customHeight="1">
      <c r="A96" s="6" t="s">
        <v>380</v>
      </c>
      <c r="B96" s="6" t="s">
        <v>16</v>
      </c>
      <c r="C96" s="6" t="s">
        <v>12</v>
      </c>
      <c r="D96" s="7" t="s">
        <v>246</v>
      </c>
      <c r="E96" s="8" t="s">
        <v>381</v>
      </c>
      <c r="F96" s="6" t="s">
        <v>382</v>
      </c>
      <c r="G96" s="9">
        <f>IF(A96=1,"_",IF(C96="_","???",C96))</f>
        <v/>
      </c>
      <c r="H96" s="10" t="s">
        <v>12</v>
      </c>
      <c r="I96" s="11" t="s">
        <v>12</v>
      </c>
      <c r="J96" s="12"/>
    </row>
    <row r="97" spans="1:10" ht="60" customHeight="1">
      <c r="A97" s="6" t="s">
        <v>383</v>
      </c>
      <c r="B97" s="6" t="s">
        <v>11</v>
      </c>
      <c r="C97" s="6" t="s">
        <v>12</v>
      </c>
      <c r="D97" s="7" t="s">
        <v>384</v>
      </c>
      <c r="E97" s="8" t="s">
        <v>385</v>
      </c>
      <c r="F97" s="6" t="s">
        <v>386</v>
      </c>
      <c r="G97" s="9">
        <f>IF(A97=1,"_",IF(C97="_","???",C97))</f>
        <v/>
      </c>
      <c r="H97" s="10" t="s">
        <v>12</v>
      </c>
      <c r="I97" s="11" t="s">
        <v>12</v>
      </c>
      <c r="J97" s="12"/>
    </row>
    <row r="98" spans="1:10" ht="60" customHeight="1">
      <c r="A98" s="6" t="s">
        <v>387</v>
      </c>
      <c r="B98" s="6" t="s">
        <v>11</v>
      </c>
      <c r="C98" s="6" t="s">
        <v>12</v>
      </c>
      <c r="D98" s="7" t="s">
        <v>388</v>
      </c>
      <c r="E98" s="8" t="s">
        <v>389</v>
      </c>
      <c r="F98" s="6" t="s">
        <v>390</v>
      </c>
      <c r="G98" s="9">
        <f>IF(A98=1,"_",IF(C98="_","???",C98))</f>
        <v/>
      </c>
      <c r="H98" s="10" t="s">
        <v>12</v>
      </c>
      <c r="I98" s="11" t="s">
        <v>12</v>
      </c>
      <c r="J98" s="12"/>
    </row>
    <row r="99" spans="1:10" ht="60" customHeight="1">
      <c r="A99" s="6" t="s">
        <v>391</v>
      </c>
      <c r="B99" s="6" t="s">
        <v>20</v>
      </c>
      <c r="C99" s="6" t="s">
        <v>12</v>
      </c>
      <c r="D99" s="7" t="s">
        <v>392</v>
      </c>
      <c r="E99" s="8" t="s">
        <v>393</v>
      </c>
      <c r="F99" s="6" t="s">
        <v>394</v>
      </c>
      <c r="G99" s="9">
        <f>IF(A99=1,"_",IF(C99="_","???",C99))</f>
        <v/>
      </c>
      <c r="H99" s="10" t="s">
        <v>12</v>
      </c>
      <c r="I99" s="11" t="s">
        <v>12</v>
      </c>
      <c r="J99" s="12"/>
    </row>
    <row r="100" spans="1:10" ht="60" customHeight="1">
      <c r="A100" s="6" t="s">
        <v>395</v>
      </c>
      <c r="B100" s="6" t="s">
        <v>20</v>
      </c>
      <c r="C100" s="6" t="s">
        <v>12</v>
      </c>
      <c r="D100" s="7" t="s">
        <v>300</v>
      </c>
      <c r="E100" s="8" t="s">
        <v>396</v>
      </c>
      <c r="F100" s="6" t="s">
        <v>397</v>
      </c>
      <c r="G100" s="9">
        <f>IF(A100=1,"_",IF(C100="_","???",C100))</f>
        <v/>
      </c>
      <c r="H100" s="10" t="s">
        <v>12</v>
      </c>
      <c r="I100" s="11" t="s">
        <v>12</v>
      </c>
      <c r="J100" s="12"/>
    </row>
    <row r="101" spans="1:10" ht="60" customHeight="1">
      <c r="A101" s="6" t="s">
        <v>398</v>
      </c>
      <c r="B101" s="6" t="s">
        <v>44</v>
      </c>
      <c r="C101" s="6" t="s">
        <v>73</v>
      </c>
      <c r="D101" s="7" t="s">
        <v>399</v>
      </c>
      <c r="E101" s="8" t="s">
        <v>400</v>
      </c>
      <c r="F101" s="6" t="s">
        <v>401</v>
      </c>
      <c r="G101" s="9">
        <f>IF(A101=1,"_",IF(C101="_","???",C101))</f>
        <v/>
      </c>
      <c r="H101" s="10" t="s">
        <v>12</v>
      </c>
      <c r="I101" s="11" t="s">
        <v>12</v>
      </c>
      <c r="J101" s="12"/>
    </row>
    <row r="102" spans="1:10" ht="60" customHeight="1">
      <c r="A102" s="6" t="s">
        <v>402</v>
      </c>
      <c r="B102" s="6" t="s">
        <v>52</v>
      </c>
      <c r="C102" s="6" t="s">
        <v>12</v>
      </c>
      <c r="D102" s="7" t="s">
        <v>195</v>
      </c>
      <c r="E102" s="8" t="s">
        <v>403</v>
      </c>
      <c r="F102" s="6" t="s">
        <v>404</v>
      </c>
      <c r="G102" s="9">
        <f>IF(A102=1,"_",IF(C102="_","???",C102))</f>
        <v/>
      </c>
      <c r="H102" s="10" t="s">
        <v>12</v>
      </c>
      <c r="I102" s="11" t="s">
        <v>12</v>
      </c>
      <c r="J102" s="12"/>
    </row>
    <row r="103" spans="1:10" ht="60" customHeight="1">
      <c r="A103" s="6" t="s">
        <v>405</v>
      </c>
      <c r="B103" s="6" t="s">
        <v>31</v>
      </c>
      <c r="C103" s="6" t="s">
        <v>12</v>
      </c>
      <c r="D103" s="7" t="s">
        <v>406</v>
      </c>
      <c r="E103" s="8" t="s">
        <v>407</v>
      </c>
      <c r="F103" s="6" t="s">
        <v>408</v>
      </c>
      <c r="G103" s="9">
        <f>IF(A103=1,"_",IF(C103="_","???",C103))</f>
        <v/>
      </c>
      <c r="H103" s="10" t="s">
        <v>12</v>
      </c>
      <c r="I103" s="11" t="s">
        <v>12</v>
      </c>
      <c r="J103" s="12"/>
    </row>
    <row r="104" spans="1:10" ht="60" customHeight="1">
      <c r="A104" s="6" t="s">
        <v>409</v>
      </c>
      <c r="B104" s="6" t="s">
        <v>20</v>
      </c>
      <c r="C104" s="6" t="s">
        <v>12</v>
      </c>
      <c r="D104" s="7" t="s">
        <v>410</v>
      </c>
      <c r="E104" s="8" t="s">
        <v>411</v>
      </c>
      <c r="F104" s="6" t="s">
        <v>412</v>
      </c>
      <c r="G104" s="9">
        <f>IF(A104=1,"_",IF(C104="_","???",C104))</f>
        <v/>
      </c>
      <c r="H104" s="10" t="s">
        <v>12</v>
      </c>
      <c r="I104" s="11" t="s">
        <v>12</v>
      </c>
      <c r="J104" s="12"/>
    </row>
    <row r="105" spans="1:10" ht="60" customHeight="1">
      <c r="A105" s="6" t="s">
        <v>413</v>
      </c>
      <c r="B105" s="6" t="s">
        <v>39</v>
      </c>
      <c r="C105" s="6" t="s">
        <v>12</v>
      </c>
      <c r="D105" s="7" t="s">
        <v>273</v>
      </c>
      <c r="E105" s="8" t="s">
        <v>414</v>
      </c>
      <c r="F105" s="6" t="s">
        <v>415</v>
      </c>
      <c r="G105" s="9">
        <f>IF(A105=1,"_",IF(C105="_","???",C105))</f>
        <v/>
      </c>
      <c r="H105" s="10" t="s">
        <v>12</v>
      </c>
      <c r="I105" s="11" t="s">
        <v>12</v>
      </c>
      <c r="J105" s="12"/>
    </row>
    <row r="106" spans="1:10" ht="60" customHeight="1">
      <c r="A106" s="6" t="s">
        <v>416</v>
      </c>
      <c r="B106" s="6" t="s">
        <v>20</v>
      </c>
      <c r="C106" s="6" t="s">
        <v>12</v>
      </c>
      <c r="D106" s="7" t="s">
        <v>417</v>
      </c>
      <c r="E106" s="8" t="s">
        <v>418</v>
      </c>
      <c r="F106" s="6" t="s">
        <v>419</v>
      </c>
      <c r="G106" s="9">
        <f>IF(A106=1,"_",IF(C106="_","???",C106))</f>
        <v/>
      </c>
      <c r="H106" s="10" t="s">
        <v>12</v>
      </c>
      <c r="I106" s="11" t="s">
        <v>12</v>
      </c>
      <c r="J106" s="12"/>
    </row>
    <row r="107" spans="1:10" ht="60" customHeight="1">
      <c r="A107" s="6" t="s">
        <v>420</v>
      </c>
      <c r="B107" s="6" t="s">
        <v>11</v>
      </c>
      <c r="C107" s="6" t="s">
        <v>12</v>
      </c>
      <c r="D107" s="7" t="s">
        <v>421</v>
      </c>
      <c r="E107" s="8" t="s">
        <v>422</v>
      </c>
      <c r="F107" s="6" t="s">
        <v>423</v>
      </c>
      <c r="G107" s="9">
        <f>IF(A107=1,"_",IF(C107="_","???",C107))</f>
        <v/>
      </c>
      <c r="H107" s="10" t="s">
        <v>12</v>
      </c>
      <c r="I107" s="11" t="s">
        <v>12</v>
      </c>
      <c r="J107" s="12"/>
    </row>
    <row r="108" spans="1:10" ht="60" customHeight="1">
      <c r="A108" s="6" t="s">
        <v>424</v>
      </c>
      <c r="B108" s="6" t="s">
        <v>11</v>
      </c>
      <c r="C108" s="6" t="s">
        <v>12</v>
      </c>
      <c r="D108" s="7" t="s">
        <v>425</v>
      </c>
      <c r="E108" s="8" t="s">
        <v>426</v>
      </c>
      <c r="F108" s="6" t="s">
        <v>427</v>
      </c>
      <c r="G108" s="9">
        <f>IF(A108=1,"_",IF(C108="_","???",C108))</f>
        <v/>
      </c>
      <c r="H108" s="10" t="s">
        <v>12</v>
      </c>
      <c r="I108" s="11" t="s">
        <v>12</v>
      </c>
      <c r="J108" s="12"/>
    </row>
    <row r="109" spans="1:10" ht="60" customHeight="1">
      <c r="A109" s="6" t="s">
        <v>428</v>
      </c>
      <c r="B109" s="6" t="s">
        <v>11</v>
      </c>
      <c r="C109" s="6" t="s">
        <v>12</v>
      </c>
      <c r="D109" s="7" t="s">
        <v>69</v>
      </c>
      <c r="E109" s="8" t="s">
        <v>429</v>
      </c>
      <c r="F109" s="6" t="s">
        <v>430</v>
      </c>
      <c r="G109" s="9">
        <f>IF(A109=1,"_",IF(C109="_","???",C109))</f>
        <v/>
      </c>
      <c r="H109" s="10" t="s">
        <v>12</v>
      </c>
      <c r="I109" s="11" t="s">
        <v>12</v>
      </c>
      <c r="J109" s="12"/>
    </row>
    <row r="110" spans="1:10" ht="60" customHeight="1">
      <c r="A110" s="6" t="s">
        <v>431</v>
      </c>
      <c r="B110" s="6" t="s">
        <v>20</v>
      </c>
      <c r="C110" s="6" t="s">
        <v>73</v>
      </c>
      <c r="D110" s="7" t="s">
        <v>432</v>
      </c>
      <c r="E110" s="8" t="s">
        <v>433</v>
      </c>
      <c r="F110" s="6" t="s">
        <v>434</v>
      </c>
      <c r="G110" s="9">
        <f>IF(A110=1,"_",IF(C110="_","???",C110))</f>
        <v/>
      </c>
      <c r="H110" s="10" t="s">
        <v>12</v>
      </c>
      <c r="I110" s="11" t="s">
        <v>12</v>
      </c>
      <c r="J110" s="12"/>
    </row>
    <row r="111" spans="1:10" ht="60" customHeight="1">
      <c r="A111" s="6" t="s">
        <v>435</v>
      </c>
      <c r="B111" s="6" t="s">
        <v>39</v>
      </c>
      <c r="C111" s="6" t="s">
        <v>12</v>
      </c>
      <c r="D111" s="7" t="s">
        <v>436</v>
      </c>
      <c r="E111" s="8" t="s">
        <v>437</v>
      </c>
      <c r="F111" s="6" t="s">
        <v>438</v>
      </c>
      <c r="G111" s="9">
        <f>IF(A111=1,"_",IF(C111="_","???",C111))</f>
        <v/>
      </c>
      <c r="H111" s="10" t="s">
        <v>12</v>
      </c>
      <c r="I111" s="11" t="s">
        <v>12</v>
      </c>
      <c r="J111" s="12"/>
    </row>
    <row r="112" spans="1:10" ht="60" customHeight="1">
      <c r="A112" s="6" t="s">
        <v>439</v>
      </c>
      <c r="B112" s="6" t="s">
        <v>11</v>
      </c>
      <c r="C112" s="6" t="s">
        <v>12</v>
      </c>
      <c r="D112" s="7" t="s">
        <v>440</v>
      </c>
      <c r="E112" s="8" t="s">
        <v>441</v>
      </c>
      <c r="F112" s="6" t="s">
        <v>442</v>
      </c>
      <c r="G112" s="9">
        <f>IF(A112=1,"_",IF(C112="_","???",C112))</f>
        <v/>
      </c>
      <c r="H112" s="10" t="s">
        <v>12</v>
      </c>
      <c r="I112" s="11" t="s">
        <v>12</v>
      </c>
      <c r="J112" s="12"/>
    </row>
    <row r="113" spans="1:10" ht="60" customHeight="1">
      <c r="A113" s="6" t="s">
        <v>443</v>
      </c>
      <c r="B113" s="6" t="s">
        <v>11</v>
      </c>
      <c r="C113" s="6" t="s">
        <v>12</v>
      </c>
      <c r="D113" s="7" t="s">
        <v>444</v>
      </c>
      <c r="E113" s="8" t="s">
        <v>445</v>
      </c>
      <c r="F113" s="6" t="s">
        <v>446</v>
      </c>
      <c r="G113" s="9">
        <f>IF(A113=1,"_",IF(C113="_","???",C113))</f>
        <v/>
      </c>
      <c r="H113" s="10" t="s">
        <v>12</v>
      </c>
      <c r="I113" s="11" t="s">
        <v>12</v>
      </c>
      <c r="J113" s="12"/>
    </row>
    <row r="114" spans="1:10" ht="60" customHeight="1">
      <c r="A114" s="6" t="s">
        <v>447</v>
      </c>
      <c r="B114" s="6" t="s">
        <v>16</v>
      </c>
      <c r="C114" s="6" t="s">
        <v>12</v>
      </c>
      <c r="D114" s="7" t="s">
        <v>448</v>
      </c>
      <c r="E114" s="8" t="s">
        <v>449</v>
      </c>
      <c r="F114" s="6" t="s">
        <v>450</v>
      </c>
      <c r="G114" s="9">
        <f>IF(A114=1,"_",IF(C114="_","???",C114))</f>
        <v/>
      </c>
      <c r="H114" s="10" t="s">
        <v>12</v>
      </c>
      <c r="I114" s="11" t="s">
        <v>12</v>
      </c>
      <c r="J114" s="12"/>
    </row>
    <row r="115" spans="1:10" ht="60" customHeight="1">
      <c r="A115" s="6" t="s">
        <v>451</v>
      </c>
      <c r="B115" s="6" t="s">
        <v>20</v>
      </c>
      <c r="C115" s="6" t="s">
        <v>452</v>
      </c>
      <c r="D115" s="7" t="s">
        <v>453</v>
      </c>
      <c r="E115" s="8" t="s">
        <v>454</v>
      </c>
      <c r="F115" s="6" t="s">
        <v>455</v>
      </c>
      <c r="G115" s="9">
        <f>IF(A115=1,"_",IF(C115="_","???",C115))</f>
        <v/>
      </c>
      <c r="H115" s="10" t="s">
        <v>12</v>
      </c>
      <c r="I115" s="11" t="s">
        <v>12</v>
      </c>
      <c r="J115" s="12"/>
    </row>
    <row r="116" spans="1:10" ht="60" customHeight="1">
      <c r="A116" s="6" t="s">
        <v>456</v>
      </c>
      <c r="B116" s="6" t="s">
        <v>11</v>
      </c>
      <c r="C116" s="6" t="s">
        <v>12</v>
      </c>
      <c r="D116" s="7" t="s">
        <v>457</v>
      </c>
      <c r="E116" s="8" t="s">
        <v>458</v>
      </c>
      <c r="F116" s="6" t="s">
        <v>459</v>
      </c>
      <c r="G116" s="9">
        <f>IF(A116=1,"_",IF(C116="_","???",C116))</f>
        <v/>
      </c>
      <c r="H116" s="10" t="s">
        <v>12</v>
      </c>
      <c r="I116" s="11" t="s">
        <v>12</v>
      </c>
      <c r="J116" s="12"/>
    </row>
    <row r="117" spans="1:10" ht="60" customHeight="1">
      <c r="A117" s="6" t="s">
        <v>460</v>
      </c>
      <c r="B117" s="6" t="s">
        <v>11</v>
      </c>
      <c r="C117" s="6" t="s">
        <v>12</v>
      </c>
      <c r="D117" s="7" t="s">
        <v>461</v>
      </c>
      <c r="E117" s="8" t="s">
        <v>462</v>
      </c>
      <c r="F117" s="6" t="s">
        <v>463</v>
      </c>
      <c r="G117" s="9">
        <f>IF(A117=1,"_",IF(C117="_","???",C117))</f>
        <v/>
      </c>
      <c r="H117" s="10" t="s">
        <v>12</v>
      </c>
      <c r="I117" s="11" t="s">
        <v>12</v>
      </c>
      <c r="J117" s="12"/>
    </row>
    <row r="118" spans="1:10" ht="60" customHeight="1">
      <c r="A118" s="6" t="s">
        <v>464</v>
      </c>
      <c r="B118" s="6" t="s">
        <v>11</v>
      </c>
      <c r="C118" s="6" t="s">
        <v>12</v>
      </c>
      <c r="D118" s="7" t="s">
        <v>465</v>
      </c>
      <c r="E118" s="8" t="s">
        <v>466</v>
      </c>
      <c r="F118" s="6" t="s">
        <v>467</v>
      </c>
      <c r="G118" s="9">
        <f>IF(A118=1,"_",IF(C118="_","???",C118))</f>
        <v/>
      </c>
      <c r="H118" s="10" t="s">
        <v>12</v>
      </c>
      <c r="I118" s="11" t="s">
        <v>12</v>
      </c>
      <c r="J118" s="12"/>
    </row>
    <row r="119" spans="1:10" ht="60" customHeight="1">
      <c r="A119" s="6" t="s">
        <v>468</v>
      </c>
      <c r="B119" s="6" t="s">
        <v>48</v>
      </c>
      <c r="C119" s="6" t="s">
        <v>73</v>
      </c>
      <c r="D119" s="7" t="s">
        <v>300</v>
      </c>
      <c r="E119" s="8" t="s">
        <v>469</v>
      </c>
      <c r="F119" s="6" t="s">
        <v>470</v>
      </c>
      <c r="G119" s="9">
        <f>IF(A119=1,"_",IF(C119="_","???",C119))</f>
        <v/>
      </c>
      <c r="H119" s="10" t="s">
        <v>12</v>
      </c>
      <c r="I119" s="11" t="s">
        <v>12</v>
      </c>
      <c r="J119" s="12"/>
    </row>
    <row r="120" spans="1:10" ht="60" customHeight="1">
      <c r="A120" s="6" t="s">
        <v>471</v>
      </c>
      <c r="B120" s="6" t="s">
        <v>20</v>
      </c>
      <c r="C120" s="6" t="s">
        <v>12</v>
      </c>
      <c r="D120" s="7" t="s">
        <v>472</v>
      </c>
      <c r="E120" s="8" t="s">
        <v>473</v>
      </c>
      <c r="F120" s="6" t="s">
        <v>474</v>
      </c>
      <c r="G120" s="9">
        <f>IF(A120=1,"_",IF(C120="_","???",C120))</f>
        <v/>
      </c>
      <c r="H120" s="10" t="s">
        <v>12</v>
      </c>
      <c r="I120" s="11" t="s">
        <v>12</v>
      </c>
      <c r="J120" s="12"/>
    </row>
    <row r="121" spans="1:10" ht="60" customHeight="1">
      <c r="A121" s="6" t="s">
        <v>475</v>
      </c>
      <c r="B121" s="6" t="s">
        <v>11</v>
      </c>
      <c r="C121" s="6" t="s">
        <v>12</v>
      </c>
      <c r="D121" s="7" t="s">
        <v>392</v>
      </c>
      <c r="E121" s="8" t="s">
        <v>476</v>
      </c>
      <c r="F121" s="6" t="s">
        <v>477</v>
      </c>
      <c r="G121" s="9">
        <f>IF(A121=1,"_",IF(C121="_","???",C121))</f>
        <v/>
      </c>
      <c r="H121" s="10" t="s">
        <v>12</v>
      </c>
      <c r="I121" s="11" t="s">
        <v>12</v>
      </c>
      <c r="J121" s="12"/>
    </row>
    <row r="122" spans="1:10" ht="60" customHeight="1">
      <c r="A122" s="6" t="s">
        <v>478</v>
      </c>
      <c r="B122" s="6" t="s">
        <v>11</v>
      </c>
      <c r="C122" s="6" t="s">
        <v>12</v>
      </c>
      <c r="D122" s="7" t="s">
        <v>117</v>
      </c>
      <c r="E122" s="8" t="s">
        <v>479</v>
      </c>
      <c r="F122" s="6" t="s">
        <v>480</v>
      </c>
      <c r="G122" s="9">
        <f>IF(A122=1,"_",IF(C122="_","???",C122))</f>
        <v/>
      </c>
      <c r="H122" s="10" t="s">
        <v>12</v>
      </c>
      <c r="I122" s="11" t="s">
        <v>12</v>
      </c>
      <c r="J122" s="12"/>
    </row>
    <row r="123" spans="1:10" ht="60" customHeight="1">
      <c r="A123" s="6" t="s">
        <v>481</v>
      </c>
      <c r="B123" s="6" t="s">
        <v>11</v>
      </c>
      <c r="C123" s="6" t="s">
        <v>12</v>
      </c>
      <c r="D123" s="7" t="s">
        <v>482</v>
      </c>
      <c r="E123" s="8" t="s">
        <v>483</v>
      </c>
      <c r="F123" s="6" t="s">
        <v>484</v>
      </c>
      <c r="G123" s="9">
        <f>IF(A123=1,"_",IF(C123="_","???",C123))</f>
        <v/>
      </c>
      <c r="H123" s="10" t="s">
        <v>12</v>
      </c>
      <c r="I123" s="11" t="s">
        <v>12</v>
      </c>
      <c r="J123" s="12"/>
    </row>
    <row r="124" spans="1:10" ht="60" customHeight="1">
      <c r="A124" s="6" t="s">
        <v>485</v>
      </c>
      <c r="B124" s="6" t="s">
        <v>16</v>
      </c>
      <c r="C124" s="6" t="s">
        <v>12</v>
      </c>
      <c r="D124" s="7" t="s">
        <v>417</v>
      </c>
      <c r="E124" s="8" t="s">
        <v>486</v>
      </c>
      <c r="F124" s="6" t="s">
        <v>487</v>
      </c>
      <c r="G124" s="9">
        <f>IF(A124=1,"_",IF(C124="_","???",C124))</f>
        <v/>
      </c>
      <c r="H124" s="10" t="s">
        <v>12</v>
      </c>
      <c r="I124" s="11" t="s">
        <v>12</v>
      </c>
      <c r="J124" s="12"/>
    </row>
    <row r="125" spans="1:10" ht="60" customHeight="1">
      <c r="A125" s="6" t="s">
        <v>488</v>
      </c>
      <c r="B125" s="6" t="s">
        <v>11</v>
      </c>
      <c r="C125" s="6" t="s">
        <v>12</v>
      </c>
      <c r="D125" s="7" t="s">
        <v>489</v>
      </c>
      <c r="E125" s="8" t="s">
        <v>490</v>
      </c>
      <c r="F125" s="6" t="s">
        <v>491</v>
      </c>
      <c r="G125" s="9">
        <f>IF(A125=1,"_",IF(C125="_","???",C125))</f>
        <v/>
      </c>
      <c r="H125" s="10" t="s">
        <v>12</v>
      </c>
      <c r="I125" s="11" t="s">
        <v>12</v>
      </c>
      <c r="J125" s="12"/>
    </row>
    <row r="126" spans="1:10" ht="60" customHeight="1">
      <c r="A126" s="6" t="s">
        <v>492</v>
      </c>
      <c r="B126" s="6" t="s">
        <v>11</v>
      </c>
      <c r="C126" s="6" t="s">
        <v>12</v>
      </c>
      <c r="D126" s="7" t="s">
        <v>493</v>
      </c>
      <c r="E126" s="8" t="s">
        <v>494</v>
      </c>
      <c r="F126" s="6" t="s">
        <v>495</v>
      </c>
      <c r="G126" s="9">
        <f>IF(A126=1,"_",IF(C126="_","???",C126))</f>
        <v/>
      </c>
      <c r="H126" s="10" t="s">
        <v>12</v>
      </c>
      <c r="I126" s="11" t="s">
        <v>12</v>
      </c>
      <c r="J126" s="12"/>
    </row>
    <row r="127" spans="1:10" ht="60" customHeight="1">
      <c r="A127" s="6" t="s">
        <v>496</v>
      </c>
      <c r="B127" s="6" t="s">
        <v>11</v>
      </c>
      <c r="C127" s="6" t="s">
        <v>12</v>
      </c>
      <c r="D127" s="7" t="s">
        <v>497</v>
      </c>
      <c r="E127" s="8" t="s">
        <v>498</v>
      </c>
      <c r="F127" s="6" t="s">
        <v>499</v>
      </c>
      <c r="G127" s="9">
        <f>IF(A127=1,"_",IF(C127="_","???",C127))</f>
        <v/>
      </c>
      <c r="H127" s="10" t="s">
        <v>12</v>
      </c>
      <c r="I127" s="11" t="s">
        <v>12</v>
      </c>
      <c r="J127" s="12"/>
    </row>
    <row r="128" spans="1:10" ht="60" customHeight="1">
      <c r="A128" s="6" t="s">
        <v>500</v>
      </c>
      <c r="B128" s="6" t="s">
        <v>20</v>
      </c>
      <c r="C128" s="6" t="s">
        <v>12</v>
      </c>
      <c r="D128" s="7" t="s">
        <v>195</v>
      </c>
      <c r="E128" s="8" t="s">
        <v>501</v>
      </c>
      <c r="F128" s="6" t="s">
        <v>502</v>
      </c>
      <c r="G128" s="9">
        <f>IF(A128=1,"_",IF(C128="_","???",C128))</f>
        <v/>
      </c>
      <c r="H128" s="10" t="s">
        <v>12</v>
      </c>
      <c r="I128" s="11" t="s">
        <v>12</v>
      </c>
      <c r="J128" s="12"/>
    </row>
    <row r="129" spans="1:10" ht="60" customHeight="1">
      <c r="A129" s="6" t="s">
        <v>503</v>
      </c>
      <c r="B129" s="6" t="s">
        <v>31</v>
      </c>
      <c r="C129" s="6" t="s">
        <v>12</v>
      </c>
      <c r="D129" s="7" t="s">
        <v>504</v>
      </c>
      <c r="E129" s="8" t="s">
        <v>505</v>
      </c>
      <c r="F129" s="6" t="s">
        <v>506</v>
      </c>
      <c r="G129" s="9">
        <f>IF(A129=1,"_",IF(C129="_","???",C129))</f>
        <v/>
      </c>
      <c r="H129" s="10" t="s">
        <v>12</v>
      </c>
      <c r="I129" s="11" t="s">
        <v>12</v>
      </c>
      <c r="J129" s="12"/>
    </row>
    <row r="130" spans="1:10" ht="60" customHeight="1">
      <c r="A130" s="6" t="s">
        <v>507</v>
      </c>
      <c r="B130" s="6" t="s">
        <v>20</v>
      </c>
      <c r="C130" s="6" t="s">
        <v>12</v>
      </c>
      <c r="D130" s="7" t="s">
        <v>508</v>
      </c>
      <c r="E130" s="8" t="s">
        <v>509</v>
      </c>
      <c r="F130" s="6" t="s">
        <v>510</v>
      </c>
      <c r="G130" s="9">
        <f>IF(A130=1,"_",IF(C130="_","???",C130))</f>
        <v/>
      </c>
      <c r="H130" s="10" t="s">
        <v>12</v>
      </c>
      <c r="I130" s="11" t="s">
        <v>12</v>
      </c>
      <c r="J130" s="12"/>
    </row>
    <row r="131" spans="1:10" ht="60" customHeight="1">
      <c r="A131" s="6" t="s">
        <v>511</v>
      </c>
      <c r="B131" s="6" t="s">
        <v>11</v>
      </c>
      <c r="C131" s="6" t="s">
        <v>12</v>
      </c>
      <c r="D131" s="7" t="s">
        <v>17</v>
      </c>
      <c r="E131" s="8" t="s">
        <v>512</v>
      </c>
      <c r="F131" s="6" t="s">
        <v>513</v>
      </c>
      <c r="G131" s="9">
        <f>IF(A131=1,"_",IF(C131="_","???",C131))</f>
        <v/>
      </c>
      <c r="H131" s="10" t="s">
        <v>12</v>
      </c>
      <c r="I131" s="11" t="s">
        <v>12</v>
      </c>
      <c r="J131" s="12"/>
    </row>
    <row r="132" spans="1:10" ht="60" customHeight="1">
      <c r="A132" s="6" t="s">
        <v>514</v>
      </c>
      <c r="B132" s="6" t="s">
        <v>11</v>
      </c>
      <c r="C132" s="6" t="s">
        <v>12</v>
      </c>
      <c r="D132" s="7" t="s">
        <v>515</v>
      </c>
      <c r="E132" s="8" t="s">
        <v>516</v>
      </c>
      <c r="F132" s="6" t="s">
        <v>517</v>
      </c>
      <c r="G132" s="9">
        <f>IF(A132=1,"_",IF(C132="_","???",C132))</f>
        <v/>
      </c>
      <c r="H132" s="10" t="s">
        <v>12</v>
      </c>
      <c r="I132" s="11" t="s">
        <v>12</v>
      </c>
      <c r="J132" s="12"/>
    </row>
    <row r="133" spans="1:10" ht="60" customHeight="1">
      <c r="A133" s="6" t="s">
        <v>518</v>
      </c>
      <c r="B133" s="6" t="s">
        <v>27</v>
      </c>
      <c r="C133" s="6" t="s">
        <v>12</v>
      </c>
      <c r="D133" s="7" t="s">
        <v>519</v>
      </c>
      <c r="E133" s="8" t="s">
        <v>520</v>
      </c>
      <c r="F133" s="6" t="s">
        <v>521</v>
      </c>
      <c r="G133" s="9">
        <f>IF(A133=1,"_",IF(C133="_","???",C133))</f>
        <v/>
      </c>
      <c r="H133" s="10" t="s">
        <v>12</v>
      </c>
      <c r="I133" s="11" t="s">
        <v>12</v>
      </c>
      <c r="J133" s="12"/>
    </row>
    <row r="134" spans="1:10" ht="60" customHeight="1">
      <c r="A134" s="6" t="s">
        <v>522</v>
      </c>
      <c r="B134" s="6" t="s">
        <v>11</v>
      </c>
      <c r="C134" s="6" t="s">
        <v>12</v>
      </c>
      <c r="D134" s="7" t="s">
        <v>69</v>
      </c>
      <c r="E134" s="8" t="s">
        <v>523</v>
      </c>
      <c r="F134" s="6" t="s">
        <v>524</v>
      </c>
      <c r="G134" s="9">
        <f>IF(A134=1,"_",IF(C134="_","???",C134))</f>
        <v/>
      </c>
      <c r="H134" s="10" t="s">
        <v>12</v>
      </c>
      <c r="I134" s="11" t="s">
        <v>12</v>
      </c>
      <c r="J134" s="12"/>
    </row>
    <row r="135" spans="1:10" ht="60" customHeight="1">
      <c r="A135" s="6" t="s">
        <v>525</v>
      </c>
      <c r="B135" s="6" t="s">
        <v>11</v>
      </c>
      <c r="C135" s="6" t="s">
        <v>12</v>
      </c>
      <c r="D135" s="7" t="s">
        <v>69</v>
      </c>
      <c r="E135" s="8" t="s">
        <v>526</v>
      </c>
      <c r="F135" s="6" t="s">
        <v>527</v>
      </c>
      <c r="G135" s="9">
        <f>IF(A135=1,"_",IF(C135="_","???",C135))</f>
        <v/>
      </c>
      <c r="H135" s="10" t="s">
        <v>12</v>
      </c>
      <c r="I135" s="11" t="s">
        <v>12</v>
      </c>
      <c r="J135" s="12"/>
    </row>
    <row r="136" spans="1:10" ht="60" customHeight="1">
      <c r="A136" s="6" t="s">
        <v>528</v>
      </c>
      <c r="B136" s="6" t="s">
        <v>11</v>
      </c>
      <c r="C136" s="6" t="s">
        <v>12</v>
      </c>
      <c r="D136" s="7" t="s">
        <v>529</v>
      </c>
      <c r="E136" s="8" t="s">
        <v>530</v>
      </c>
      <c r="F136" s="6" t="s">
        <v>531</v>
      </c>
      <c r="G136" s="9">
        <f>IF(A136=1,"_",IF(C136="_","???",C136))</f>
        <v/>
      </c>
      <c r="H136" s="10" t="s">
        <v>12</v>
      </c>
      <c r="I136" s="11" t="s">
        <v>12</v>
      </c>
      <c r="J136" s="12"/>
    </row>
    <row r="137" spans="1:10" ht="60" customHeight="1">
      <c r="A137" s="6" t="s">
        <v>532</v>
      </c>
      <c r="B137" s="6" t="s">
        <v>11</v>
      </c>
      <c r="C137" s="6" t="s">
        <v>12</v>
      </c>
      <c r="D137" s="7" t="s">
        <v>533</v>
      </c>
      <c r="E137" s="8" t="s">
        <v>534</v>
      </c>
      <c r="F137" s="6" t="s">
        <v>535</v>
      </c>
      <c r="G137" s="9">
        <f>IF(A137=1,"_",IF(C137="_","???",C137))</f>
        <v/>
      </c>
      <c r="H137" s="10" t="s">
        <v>12</v>
      </c>
      <c r="I137" s="11" t="s">
        <v>12</v>
      </c>
      <c r="J137" s="12"/>
    </row>
    <row r="138" spans="1:10" ht="60" customHeight="1">
      <c r="A138" s="6" t="s">
        <v>536</v>
      </c>
      <c r="B138" s="6" t="s">
        <v>35</v>
      </c>
      <c r="C138" s="6" t="s">
        <v>12</v>
      </c>
      <c r="D138" s="7" t="s">
        <v>133</v>
      </c>
      <c r="E138" s="8" t="s">
        <v>537</v>
      </c>
      <c r="F138" s="6" t="s">
        <v>538</v>
      </c>
      <c r="G138" s="9">
        <f>IF(A138=1,"_",IF(C138="_","???",C138))</f>
        <v/>
      </c>
      <c r="H138" s="10" t="s">
        <v>12</v>
      </c>
      <c r="I138" s="11" t="s">
        <v>12</v>
      </c>
      <c r="J138" s="12"/>
    </row>
    <row r="139" spans="1:10" ht="60" customHeight="1">
      <c r="A139" s="6" t="s">
        <v>539</v>
      </c>
      <c r="B139" s="6" t="s">
        <v>39</v>
      </c>
      <c r="C139" s="6" t="s">
        <v>12</v>
      </c>
      <c r="D139" s="7" t="s">
        <v>133</v>
      </c>
      <c r="E139" s="8" t="s">
        <v>540</v>
      </c>
      <c r="F139" s="6" t="s">
        <v>541</v>
      </c>
      <c r="G139" s="9">
        <f>IF(A139=1,"_",IF(C139="_","???",C139))</f>
        <v/>
      </c>
      <c r="H139" s="10" t="s">
        <v>12</v>
      </c>
      <c r="I139" s="11" t="s">
        <v>12</v>
      </c>
      <c r="J139" s="12"/>
    </row>
    <row r="140" spans="1:10" ht="60" customHeight="1">
      <c r="A140" s="6" t="s">
        <v>542</v>
      </c>
      <c r="B140" s="6" t="s">
        <v>11</v>
      </c>
      <c r="C140" s="6" t="s">
        <v>12</v>
      </c>
      <c r="D140" s="7" t="s">
        <v>203</v>
      </c>
      <c r="E140" s="8" t="s">
        <v>543</v>
      </c>
      <c r="F140" s="6" t="s">
        <v>544</v>
      </c>
      <c r="G140" s="9">
        <f>IF(A140=1,"_",IF(C140="_","???",C140))</f>
        <v/>
      </c>
      <c r="H140" s="10" t="s">
        <v>12</v>
      </c>
      <c r="I140" s="11" t="s">
        <v>12</v>
      </c>
      <c r="J140" s="12"/>
    </row>
    <row r="141" spans="1:10" ht="60" customHeight="1">
      <c r="A141" s="6" t="s">
        <v>545</v>
      </c>
      <c r="B141" s="6" t="s">
        <v>11</v>
      </c>
      <c r="C141" s="6" t="s">
        <v>12</v>
      </c>
      <c r="D141" s="7" t="s">
        <v>546</v>
      </c>
      <c r="E141" s="8" t="s">
        <v>547</v>
      </c>
      <c r="F141" s="6" t="s">
        <v>548</v>
      </c>
      <c r="G141" s="9">
        <f>IF(A141=1,"_",IF(C141="_","???",C141))</f>
        <v/>
      </c>
      <c r="H141" s="10" t="s">
        <v>12</v>
      </c>
      <c r="I141" s="11" t="s">
        <v>12</v>
      </c>
      <c r="J141" s="12"/>
    </row>
    <row r="142" spans="1:10" ht="60" customHeight="1">
      <c r="A142" s="6" t="s">
        <v>549</v>
      </c>
      <c r="B142" s="6" t="s">
        <v>43</v>
      </c>
      <c r="C142" s="6" t="s">
        <v>73</v>
      </c>
      <c r="D142" s="7" t="s">
        <v>273</v>
      </c>
      <c r="E142" s="8" t="s">
        <v>550</v>
      </c>
      <c r="F142" s="6" t="s">
        <v>551</v>
      </c>
      <c r="G142" s="9">
        <f>IF(A142=1,"_",IF(C142="_","???",C142))</f>
        <v/>
      </c>
      <c r="H142" s="10" t="s">
        <v>12</v>
      </c>
      <c r="I142" s="11" t="s">
        <v>12</v>
      </c>
      <c r="J142" s="12"/>
    </row>
    <row r="143" spans="1:10" ht="60" customHeight="1">
      <c r="A143" s="6" t="s">
        <v>552</v>
      </c>
      <c r="B143" s="6" t="s">
        <v>11</v>
      </c>
      <c r="C143" s="6" t="s">
        <v>12</v>
      </c>
      <c r="D143" s="7" t="s">
        <v>553</v>
      </c>
      <c r="E143" s="8" t="s">
        <v>554</v>
      </c>
      <c r="F143" s="6" t="s">
        <v>555</v>
      </c>
      <c r="G143" s="9">
        <f>IF(A143=1,"_",IF(C143="_","???",C143))</f>
        <v/>
      </c>
      <c r="H143" s="10" t="s">
        <v>12</v>
      </c>
      <c r="I143" s="11" t="s">
        <v>12</v>
      </c>
      <c r="J143" s="12"/>
    </row>
    <row r="144" spans="1:10" ht="60" customHeight="1">
      <c r="A144" s="6" t="s">
        <v>556</v>
      </c>
      <c r="B144" s="6" t="s">
        <v>11</v>
      </c>
      <c r="C144" s="6" t="s">
        <v>73</v>
      </c>
      <c r="D144" s="7" t="s">
        <v>40</v>
      </c>
      <c r="E144" s="8" t="s">
        <v>557</v>
      </c>
      <c r="F144" s="6" t="s">
        <v>558</v>
      </c>
      <c r="G144" s="9">
        <f>IF(A144=1,"_",IF(C144="_","???",C144))</f>
        <v/>
      </c>
      <c r="H144" s="10" t="s">
        <v>12</v>
      </c>
      <c r="I144" s="11" t="s">
        <v>12</v>
      </c>
      <c r="J144" s="12"/>
    </row>
    <row r="145" spans="1:10" ht="60" customHeight="1">
      <c r="A145" s="6" t="s">
        <v>559</v>
      </c>
      <c r="B145" s="6" t="s">
        <v>16</v>
      </c>
      <c r="C145" s="6" t="s">
        <v>12</v>
      </c>
      <c r="D145" s="7" t="s">
        <v>187</v>
      </c>
      <c r="E145" s="8" t="s">
        <v>560</v>
      </c>
      <c r="F145" s="6" t="s">
        <v>561</v>
      </c>
      <c r="G145" s="9">
        <f>IF(A145=1,"_",IF(C145="_","???",C145))</f>
        <v/>
      </c>
      <c r="H145" s="10" t="s">
        <v>12</v>
      </c>
      <c r="I145" s="11" t="s">
        <v>12</v>
      </c>
      <c r="J145" s="12"/>
    </row>
    <row r="146" spans="1:10" ht="60" customHeight="1">
      <c r="A146" s="6" t="s">
        <v>562</v>
      </c>
      <c r="B146" s="6" t="s">
        <v>11</v>
      </c>
      <c r="C146" s="6" t="s">
        <v>12</v>
      </c>
      <c r="D146" s="7" t="s">
        <v>563</v>
      </c>
      <c r="E146" s="8" t="s">
        <v>564</v>
      </c>
      <c r="F146" s="6" t="s">
        <v>565</v>
      </c>
      <c r="G146" s="9">
        <f>IF(A146=1,"_",IF(C146="_","???",C146))</f>
        <v/>
      </c>
      <c r="H146" s="10" t="s">
        <v>12</v>
      </c>
      <c r="I146" s="11" t="s">
        <v>12</v>
      </c>
      <c r="J146" s="12"/>
    </row>
    <row r="147" spans="1:10" ht="60" customHeight="1">
      <c r="A147" s="6" t="s">
        <v>566</v>
      </c>
      <c r="B147" s="6" t="s">
        <v>16</v>
      </c>
      <c r="C147" s="6" t="s">
        <v>12</v>
      </c>
      <c r="D147" s="7" t="s">
        <v>567</v>
      </c>
      <c r="E147" s="8" t="s">
        <v>568</v>
      </c>
      <c r="F147" s="6" t="s">
        <v>569</v>
      </c>
      <c r="G147" s="9">
        <f>IF(A147=1,"_",IF(C147="_","???",C147))</f>
        <v/>
      </c>
      <c r="H147" s="10" t="s">
        <v>12</v>
      </c>
      <c r="I147" s="11" t="s">
        <v>12</v>
      </c>
      <c r="J147" s="12"/>
    </row>
    <row r="148" spans="1:10" ht="60" customHeight="1">
      <c r="A148" s="6" t="s">
        <v>570</v>
      </c>
      <c r="B148" s="6" t="s">
        <v>11</v>
      </c>
      <c r="C148" s="6" t="s">
        <v>12</v>
      </c>
      <c r="D148" s="7" t="s">
        <v>203</v>
      </c>
      <c r="E148" s="8" t="s">
        <v>571</v>
      </c>
      <c r="F148" s="6" t="s">
        <v>572</v>
      </c>
      <c r="G148" s="9">
        <f>IF(A148=1,"_",IF(C148="_","???",C148))</f>
        <v/>
      </c>
      <c r="H148" s="10" t="s">
        <v>12</v>
      </c>
      <c r="I148" s="11" t="s">
        <v>12</v>
      </c>
      <c r="J148" s="12"/>
    </row>
    <row r="149" spans="1:10" ht="60" customHeight="1">
      <c r="A149" s="6" t="s">
        <v>573</v>
      </c>
      <c r="B149" s="6" t="s">
        <v>68</v>
      </c>
      <c r="C149" s="6" t="s">
        <v>12</v>
      </c>
      <c r="D149" s="7" t="s">
        <v>117</v>
      </c>
      <c r="E149" s="8" t="s">
        <v>574</v>
      </c>
      <c r="F149" s="6" t="s">
        <v>575</v>
      </c>
      <c r="G149" s="9">
        <f>IF(A149=1,"_",IF(C149="_","???",C149))</f>
        <v/>
      </c>
      <c r="H149" s="10" t="s">
        <v>12</v>
      </c>
      <c r="I149" s="11" t="s">
        <v>12</v>
      </c>
      <c r="J149" s="12"/>
    </row>
    <row r="150" spans="1:10" ht="60" customHeight="1">
      <c r="A150" s="6" t="s">
        <v>576</v>
      </c>
      <c r="B150" s="6" t="s">
        <v>10</v>
      </c>
      <c r="C150" s="6" t="s">
        <v>12</v>
      </c>
      <c r="D150" s="7" t="s">
        <v>577</v>
      </c>
      <c r="E150" s="8" t="s">
        <v>578</v>
      </c>
      <c r="F150" s="6" t="s">
        <v>579</v>
      </c>
      <c r="G150" s="9">
        <f>IF(A150=1,"_",IF(C150="_","???",C150))</f>
        <v/>
      </c>
      <c r="H150" s="10" t="s">
        <v>12</v>
      </c>
      <c r="I150" s="11" t="s">
        <v>12</v>
      </c>
      <c r="J150" s="12"/>
    </row>
    <row r="151" spans="1:10" ht="60" customHeight="1">
      <c r="A151" s="6" t="s">
        <v>580</v>
      </c>
      <c r="B151" s="6" t="s">
        <v>11</v>
      </c>
      <c r="C151" s="6" t="s">
        <v>73</v>
      </c>
      <c r="D151" s="7" t="s">
        <v>117</v>
      </c>
      <c r="E151" s="8" t="s">
        <v>581</v>
      </c>
      <c r="F151" s="6" t="s">
        <v>582</v>
      </c>
      <c r="G151" s="9">
        <f>IF(A151=1,"_",IF(C151="_","???",C151))</f>
        <v/>
      </c>
      <c r="H151" s="10" t="s">
        <v>12</v>
      </c>
      <c r="I151" s="11" t="s">
        <v>12</v>
      </c>
      <c r="J151" s="12"/>
    </row>
    <row r="152" spans="1:10" ht="60" customHeight="1">
      <c r="A152" s="6" t="s">
        <v>583</v>
      </c>
      <c r="B152" s="6" t="s">
        <v>11</v>
      </c>
      <c r="C152" s="6" t="s">
        <v>12</v>
      </c>
      <c r="D152" s="7" t="s">
        <v>117</v>
      </c>
      <c r="E152" s="8" t="s">
        <v>584</v>
      </c>
      <c r="F152" s="6" t="s">
        <v>585</v>
      </c>
      <c r="G152" s="9">
        <f>IF(A152=1,"_",IF(C152="_","???",C152))</f>
        <v/>
      </c>
      <c r="H152" s="10" t="s">
        <v>12</v>
      </c>
      <c r="I152" s="11" t="s">
        <v>12</v>
      </c>
      <c r="J152" s="12"/>
    </row>
    <row r="153" spans="1:10" ht="60" customHeight="1">
      <c r="A153" s="6" t="s">
        <v>586</v>
      </c>
      <c r="B153" s="6" t="s">
        <v>11</v>
      </c>
      <c r="C153" s="6" t="s">
        <v>12</v>
      </c>
      <c r="D153" s="7" t="s">
        <v>117</v>
      </c>
      <c r="E153" s="8" t="s">
        <v>587</v>
      </c>
      <c r="F153" s="6" t="s">
        <v>588</v>
      </c>
      <c r="G153" s="9">
        <f>IF(A153=1,"_",IF(C153="_","???",C153))</f>
        <v/>
      </c>
      <c r="H153" s="10" t="s">
        <v>12</v>
      </c>
      <c r="I153" s="11" t="s">
        <v>12</v>
      </c>
      <c r="J153" s="12"/>
    </row>
    <row r="154" spans="1:10" ht="60" customHeight="1">
      <c r="A154" s="6" t="s">
        <v>589</v>
      </c>
      <c r="B154" s="6" t="s">
        <v>56</v>
      </c>
      <c r="C154" s="6" t="s">
        <v>12</v>
      </c>
      <c r="D154" s="7" t="s">
        <v>117</v>
      </c>
      <c r="E154" s="8" t="s">
        <v>590</v>
      </c>
      <c r="F154" s="6" t="s">
        <v>591</v>
      </c>
      <c r="G154" s="9">
        <f>IF(A154=1,"_",IF(C154="_","???",C154))</f>
        <v/>
      </c>
      <c r="H154" s="10" t="s">
        <v>12</v>
      </c>
      <c r="I154" s="11" t="s">
        <v>12</v>
      </c>
      <c r="J154" s="12"/>
    </row>
    <row r="155" spans="1:10" ht="60" customHeight="1">
      <c r="A155" s="6" t="s">
        <v>592</v>
      </c>
      <c r="B155" s="6" t="s">
        <v>11</v>
      </c>
      <c r="C155" s="6" t="s">
        <v>12</v>
      </c>
      <c r="D155" s="7" t="s">
        <v>593</v>
      </c>
      <c r="E155" s="8" t="s">
        <v>594</v>
      </c>
      <c r="F155" s="6" t="s">
        <v>595</v>
      </c>
      <c r="G155" s="9">
        <f>IF(A155=1,"_",IF(C155="_","???",C155))</f>
        <v/>
      </c>
      <c r="H155" s="10" t="s">
        <v>12</v>
      </c>
      <c r="I155" s="11" t="s">
        <v>12</v>
      </c>
      <c r="J155" s="12"/>
    </row>
    <row r="156" spans="1:10" ht="60" customHeight="1">
      <c r="A156" s="6" t="s">
        <v>596</v>
      </c>
      <c r="B156" s="6" t="s">
        <v>136</v>
      </c>
      <c r="C156" s="6" t="s">
        <v>12</v>
      </c>
      <c r="D156" s="7" t="s">
        <v>597</v>
      </c>
      <c r="E156" s="8" t="s">
        <v>598</v>
      </c>
      <c r="F156" s="6" t="s">
        <v>599</v>
      </c>
      <c r="G156" s="9">
        <f>IF(A156=1,"_",IF(C156="_","???",C156))</f>
        <v/>
      </c>
      <c r="H156" s="10" t="s">
        <v>12</v>
      </c>
      <c r="I156" s="11" t="s">
        <v>12</v>
      </c>
      <c r="J156" s="12"/>
    </row>
    <row r="157" spans="1:10" ht="60" customHeight="1">
      <c r="A157" s="6" t="s">
        <v>600</v>
      </c>
      <c r="B157" s="6" t="s">
        <v>213</v>
      </c>
      <c r="C157" s="6" t="s">
        <v>12</v>
      </c>
      <c r="D157" s="7" t="s">
        <v>601</v>
      </c>
      <c r="E157" s="8" t="s">
        <v>602</v>
      </c>
      <c r="F157" s="6" t="s">
        <v>603</v>
      </c>
      <c r="G157" s="9">
        <f>IF(A157=1,"_",IF(C157="_","???",C157))</f>
        <v/>
      </c>
      <c r="H157" s="10" t="s">
        <v>12</v>
      </c>
      <c r="I157" s="11" t="s">
        <v>12</v>
      </c>
      <c r="J157" s="12"/>
    </row>
    <row r="158" spans="1:10" ht="60" customHeight="1">
      <c r="A158" s="6" t="s">
        <v>604</v>
      </c>
      <c r="B158" s="6" t="s">
        <v>11</v>
      </c>
      <c r="C158" s="6" t="s">
        <v>12</v>
      </c>
      <c r="D158" s="7" t="s">
        <v>605</v>
      </c>
      <c r="E158" s="8" t="s">
        <v>606</v>
      </c>
      <c r="F158" s="6" t="s">
        <v>607</v>
      </c>
      <c r="G158" s="9">
        <f>IF(A158=1,"_",IF(C158="_","???",C158))</f>
        <v/>
      </c>
      <c r="H158" s="10" t="s">
        <v>12</v>
      </c>
      <c r="I158" s="11" t="s">
        <v>12</v>
      </c>
      <c r="J158" s="12"/>
    </row>
    <row r="159" spans="1:10" ht="60" customHeight="1">
      <c r="A159" s="6" t="s">
        <v>608</v>
      </c>
      <c r="B159" s="6" t="s">
        <v>11</v>
      </c>
      <c r="C159" s="6" t="s">
        <v>12</v>
      </c>
      <c r="D159" s="7" t="s">
        <v>609</v>
      </c>
      <c r="E159" s="8" t="s">
        <v>610</v>
      </c>
      <c r="F159" s="6" t="s">
        <v>611</v>
      </c>
      <c r="G159" s="9">
        <f>IF(A159=1,"_",IF(C159="_","???",C159))</f>
        <v/>
      </c>
      <c r="H159" s="10" t="s">
        <v>12</v>
      </c>
      <c r="I159" s="11" t="s">
        <v>12</v>
      </c>
      <c r="J159" s="12"/>
    </row>
    <row r="160" spans="1:10" ht="60" customHeight="1">
      <c r="A160" s="6" t="s">
        <v>612</v>
      </c>
      <c r="B160" s="6" t="s">
        <v>72</v>
      </c>
      <c r="C160" s="6" t="s">
        <v>12</v>
      </c>
      <c r="D160" s="7" t="s">
        <v>613</v>
      </c>
      <c r="E160" s="8" t="s">
        <v>614</v>
      </c>
      <c r="F160" s="6" t="s">
        <v>615</v>
      </c>
      <c r="G160" s="9">
        <f>IF(A160=1,"_",IF(C160="_","???",C160))</f>
        <v/>
      </c>
      <c r="H160" s="10" t="s">
        <v>12</v>
      </c>
      <c r="I160" s="11" t="s">
        <v>12</v>
      </c>
      <c r="J160" s="12"/>
    </row>
    <row r="161" spans="1:10" ht="60" customHeight="1">
      <c r="A161" s="6" t="s">
        <v>616</v>
      </c>
      <c r="B161" s="6" t="s">
        <v>31</v>
      </c>
      <c r="C161" s="6" t="s">
        <v>617</v>
      </c>
      <c r="D161" s="7" t="s">
        <v>618</v>
      </c>
      <c r="E161" s="8" t="s">
        <v>619</v>
      </c>
      <c r="F161" s="6" t="s">
        <v>620</v>
      </c>
      <c r="G161" s="9">
        <f>IF(A161=1,"_",IF(C161="_","???",C161))</f>
        <v/>
      </c>
      <c r="H161" s="10" t="s">
        <v>12</v>
      </c>
      <c r="I161" s="11" t="s">
        <v>12</v>
      </c>
      <c r="J161" s="12"/>
    </row>
    <row r="162" spans="1:10" ht="60" customHeight="1">
      <c r="A162" s="6" t="s">
        <v>621</v>
      </c>
      <c r="B162" s="6" t="s">
        <v>11</v>
      </c>
      <c r="C162" s="6" t="s">
        <v>12</v>
      </c>
      <c r="D162" s="7" t="s">
        <v>622</v>
      </c>
      <c r="E162" s="8" t="s">
        <v>623</v>
      </c>
      <c r="F162" s="6" t="s">
        <v>624</v>
      </c>
      <c r="G162" s="9">
        <f>IF(A162=1,"_",IF(C162="_","???",C162))</f>
        <v/>
      </c>
      <c r="H162" s="10" t="s">
        <v>12</v>
      </c>
      <c r="I162" s="11" t="s">
        <v>12</v>
      </c>
      <c r="J162" s="12"/>
    </row>
    <row r="163" spans="1:10" ht="60" customHeight="1">
      <c r="A163" s="6" t="s">
        <v>625</v>
      </c>
      <c r="B163" s="6" t="s">
        <v>11</v>
      </c>
      <c r="C163" s="6" t="s">
        <v>12</v>
      </c>
      <c r="D163" s="7" t="s">
        <v>529</v>
      </c>
      <c r="E163" s="8" t="s">
        <v>626</v>
      </c>
      <c r="F163" s="6" t="s">
        <v>627</v>
      </c>
      <c r="G163" s="9">
        <f>IF(A163=1,"_",IF(C163="_","???",C163))</f>
        <v/>
      </c>
      <c r="H163" s="10" t="s">
        <v>12</v>
      </c>
      <c r="I163" s="11" t="s">
        <v>12</v>
      </c>
      <c r="J163" s="12"/>
    </row>
    <row r="164" spans="1:10" ht="60" customHeight="1">
      <c r="A164" s="6" t="s">
        <v>628</v>
      </c>
      <c r="B164" s="6" t="s">
        <v>11</v>
      </c>
      <c r="C164" s="6" t="s">
        <v>12</v>
      </c>
      <c r="D164" s="7" t="s">
        <v>629</v>
      </c>
      <c r="E164" s="8" t="s">
        <v>630</v>
      </c>
      <c r="F164" s="6" t="s">
        <v>631</v>
      </c>
      <c r="G164" s="9">
        <f>IF(A164=1,"_",IF(C164="_","???",C164))</f>
        <v/>
      </c>
      <c r="H164" s="10" t="s">
        <v>12</v>
      </c>
      <c r="I164" s="11" t="s">
        <v>12</v>
      </c>
      <c r="J164" s="12"/>
    </row>
    <row r="165" spans="1:10" ht="60" customHeight="1">
      <c r="A165" s="6" t="s">
        <v>632</v>
      </c>
      <c r="B165" s="6" t="s">
        <v>20</v>
      </c>
      <c r="C165" s="6" t="s">
        <v>12</v>
      </c>
      <c r="D165" s="7" t="s">
        <v>633</v>
      </c>
      <c r="E165" s="8" t="s">
        <v>634</v>
      </c>
      <c r="F165" s="6" t="s">
        <v>635</v>
      </c>
      <c r="G165" s="9">
        <f>IF(A165=1,"_",IF(C165="_","???",C165))</f>
        <v/>
      </c>
      <c r="H165" s="10" t="s">
        <v>12</v>
      </c>
      <c r="I165" s="11" t="s">
        <v>12</v>
      </c>
      <c r="J165" s="12"/>
    </row>
    <row r="166" spans="1:10" ht="60" customHeight="1">
      <c r="A166" s="6" t="s">
        <v>636</v>
      </c>
      <c r="B166" s="6" t="s">
        <v>20</v>
      </c>
      <c r="C166" s="6" t="s">
        <v>12</v>
      </c>
      <c r="D166" s="7" t="s">
        <v>285</v>
      </c>
      <c r="E166" s="8" t="s">
        <v>637</v>
      </c>
      <c r="F166" s="6" t="s">
        <v>638</v>
      </c>
      <c r="G166" s="9">
        <f>IF(A166=1,"_",IF(C166="_","???",C166))</f>
        <v/>
      </c>
      <c r="H166" s="10" t="s">
        <v>12</v>
      </c>
      <c r="I166" s="11" t="s">
        <v>12</v>
      </c>
      <c r="J166" s="12"/>
    </row>
    <row r="167" spans="1:10" ht="60" customHeight="1">
      <c r="A167" s="6" t="s">
        <v>639</v>
      </c>
      <c r="B167" s="6" t="s">
        <v>11</v>
      </c>
      <c r="C167" s="6" t="s">
        <v>617</v>
      </c>
      <c r="D167" s="7" t="s">
        <v>618</v>
      </c>
      <c r="E167" s="8" t="s">
        <v>640</v>
      </c>
      <c r="F167" s="6" t="s">
        <v>641</v>
      </c>
      <c r="G167" s="9">
        <f>IF(A167=1,"_",IF(C167="_","???",C167))</f>
        <v/>
      </c>
      <c r="H167" s="10" t="s">
        <v>12</v>
      </c>
      <c r="I167" s="11" t="s">
        <v>12</v>
      </c>
      <c r="J167" s="12"/>
    </row>
    <row r="168" spans="1:10" ht="60" customHeight="1">
      <c r="A168" s="6" t="s">
        <v>642</v>
      </c>
      <c r="B168" s="6" t="s">
        <v>11</v>
      </c>
      <c r="C168" s="6" t="s">
        <v>12</v>
      </c>
      <c r="D168" s="7" t="s">
        <v>643</v>
      </c>
      <c r="E168" s="8" t="s">
        <v>644</v>
      </c>
      <c r="F168" s="6" t="s">
        <v>645</v>
      </c>
      <c r="G168" s="9">
        <f>IF(A168=1,"_",IF(C168="_","???",C168))</f>
        <v/>
      </c>
      <c r="H168" s="10" t="s">
        <v>12</v>
      </c>
      <c r="I168" s="11" t="s">
        <v>12</v>
      </c>
      <c r="J168" s="12"/>
    </row>
    <row r="169" spans="1:10" ht="60" customHeight="1">
      <c r="A169" s="6" t="s">
        <v>646</v>
      </c>
      <c r="B169" s="6" t="s">
        <v>20</v>
      </c>
      <c r="C169" s="6" t="s">
        <v>12</v>
      </c>
      <c r="D169" s="7" t="s">
        <v>647</v>
      </c>
      <c r="E169" s="8" t="s">
        <v>648</v>
      </c>
      <c r="F169" s="6" t="s">
        <v>649</v>
      </c>
      <c r="G169" s="9">
        <f>IF(A169=1,"_",IF(C169="_","???",C169))</f>
        <v/>
      </c>
      <c r="H169" s="10" t="s">
        <v>12</v>
      </c>
      <c r="I169" s="11" t="s">
        <v>12</v>
      </c>
      <c r="J169" s="12"/>
    </row>
    <row r="170" spans="1:10" ht="60" customHeight="1">
      <c r="A170" s="6" t="s">
        <v>650</v>
      </c>
      <c r="B170" s="6" t="s">
        <v>39</v>
      </c>
      <c r="C170" s="6" t="s">
        <v>73</v>
      </c>
      <c r="D170" s="7" t="s">
        <v>533</v>
      </c>
      <c r="E170" s="8" t="s">
        <v>651</v>
      </c>
      <c r="F170" s="6" t="s">
        <v>652</v>
      </c>
      <c r="G170" s="9">
        <f>IF(A170=1,"_",IF(C170="_","???",C170))</f>
        <v/>
      </c>
      <c r="H170" s="10" t="s">
        <v>12</v>
      </c>
      <c r="I170" s="11" t="s">
        <v>12</v>
      </c>
      <c r="J170" s="12"/>
    </row>
    <row r="171" spans="1:10" ht="60" customHeight="1">
      <c r="A171" s="6" t="s">
        <v>653</v>
      </c>
      <c r="B171" s="6" t="s">
        <v>27</v>
      </c>
      <c r="C171" s="6" t="s">
        <v>12</v>
      </c>
      <c r="D171" s="7" t="s">
        <v>133</v>
      </c>
      <c r="E171" s="8" t="s">
        <v>654</v>
      </c>
      <c r="F171" s="6" t="s">
        <v>655</v>
      </c>
      <c r="G171" s="9">
        <f>IF(A171=1,"_",IF(C171="_","???",C171))</f>
        <v/>
      </c>
      <c r="H171" s="10" t="s">
        <v>12</v>
      </c>
      <c r="I171" s="11" t="s">
        <v>12</v>
      </c>
      <c r="J171" s="12"/>
    </row>
    <row r="172" spans="1:10" ht="60" customHeight="1">
      <c r="A172" s="6" t="s">
        <v>656</v>
      </c>
      <c r="B172" s="6" t="s">
        <v>11</v>
      </c>
      <c r="C172" s="6" t="s">
        <v>12</v>
      </c>
      <c r="D172" s="7" t="s">
        <v>657</v>
      </c>
      <c r="E172" s="8" t="s">
        <v>658</v>
      </c>
      <c r="F172" s="6" t="s">
        <v>659</v>
      </c>
      <c r="G172" s="9">
        <f>IF(A172=1,"_",IF(C172="_","???",C172))</f>
        <v/>
      </c>
      <c r="H172" s="10" t="s">
        <v>12</v>
      </c>
      <c r="I172" s="11" t="s">
        <v>12</v>
      </c>
      <c r="J172" s="12"/>
    </row>
    <row r="173" spans="1:10" ht="60" customHeight="1">
      <c r="A173" s="6" t="s">
        <v>660</v>
      </c>
      <c r="B173" s="6" t="s">
        <v>11</v>
      </c>
      <c r="C173" s="6" t="s">
        <v>12</v>
      </c>
      <c r="D173" s="7" t="s">
        <v>661</v>
      </c>
      <c r="E173" s="8" t="s">
        <v>662</v>
      </c>
      <c r="F173" s="6" t="s">
        <v>663</v>
      </c>
      <c r="G173" s="9">
        <f>IF(A173=1,"_",IF(C173="_","???",C173))</f>
        <v/>
      </c>
      <c r="H173" s="10" t="s">
        <v>12</v>
      </c>
      <c r="I173" s="11" t="s">
        <v>12</v>
      </c>
      <c r="J173" s="12"/>
    </row>
    <row r="174" spans="1:10" ht="60" customHeight="1">
      <c r="A174" s="6" t="s">
        <v>664</v>
      </c>
      <c r="B174" s="6" t="s">
        <v>20</v>
      </c>
      <c r="C174" s="6" t="s">
        <v>12</v>
      </c>
      <c r="D174" s="7" t="s">
        <v>665</v>
      </c>
      <c r="E174" s="8" t="s">
        <v>666</v>
      </c>
      <c r="F174" s="6" t="s">
        <v>667</v>
      </c>
      <c r="G174" s="9">
        <f>IF(A174=1,"_",IF(C174="_","???",C174))</f>
        <v/>
      </c>
      <c r="H174" s="10" t="s">
        <v>12</v>
      </c>
      <c r="I174" s="11" t="s">
        <v>12</v>
      </c>
      <c r="J174" s="12"/>
    </row>
    <row r="175" spans="1:10" ht="60" customHeight="1">
      <c r="A175" s="6" t="s">
        <v>668</v>
      </c>
      <c r="B175" s="6" t="s">
        <v>31</v>
      </c>
      <c r="C175" s="6" t="s">
        <v>12</v>
      </c>
      <c r="D175" s="7" t="s">
        <v>315</v>
      </c>
      <c r="E175" s="8" t="s">
        <v>669</v>
      </c>
      <c r="F175" s="6" t="s">
        <v>670</v>
      </c>
      <c r="G175" s="9">
        <f>IF(A175=1,"_",IF(C175="_","???",C175))</f>
        <v/>
      </c>
      <c r="H175" s="10" t="s">
        <v>12</v>
      </c>
      <c r="I175" s="11" t="s">
        <v>12</v>
      </c>
      <c r="J175" s="12"/>
    </row>
    <row r="176" spans="1:10" ht="60" customHeight="1">
      <c r="A176" s="6" t="s">
        <v>671</v>
      </c>
      <c r="B176" s="6" t="s">
        <v>20</v>
      </c>
      <c r="C176" s="6" t="s">
        <v>12</v>
      </c>
      <c r="D176" s="7" t="s">
        <v>40</v>
      </c>
      <c r="E176" s="8" t="s">
        <v>672</v>
      </c>
      <c r="F176" s="6" t="s">
        <v>673</v>
      </c>
      <c r="G176" s="9">
        <f>IF(A176=1,"_",IF(C176="_","???",C176))</f>
        <v/>
      </c>
      <c r="H176" s="10" t="s">
        <v>12</v>
      </c>
      <c r="I176" s="11" t="s">
        <v>12</v>
      </c>
      <c r="J176" s="12"/>
    </row>
    <row r="177" spans="1:10" ht="60" customHeight="1">
      <c r="A177" s="6" t="s">
        <v>674</v>
      </c>
      <c r="B177" s="6" t="s">
        <v>20</v>
      </c>
      <c r="C177" s="6" t="s">
        <v>12</v>
      </c>
      <c r="D177" s="7" t="s">
        <v>273</v>
      </c>
      <c r="E177" s="8" t="s">
        <v>675</v>
      </c>
      <c r="F177" s="6" t="s">
        <v>676</v>
      </c>
      <c r="G177" s="9">
        <f>IF(A177=1,"_",IF(C177="_","???",C177))</f>
        <v/>
      </c>
      <c r="H177" s="10" t="s">
        <v>12</v>
      </c>
      <c r="I177" s="11" t="s">
        <v>12</v>
      </c>
      <c r="J177" s="12"/>
    </row>
    <row r="178" spans="1:10" ht="60" customHeight="1">
      <c r="A178" s="6" t="s">
        <v>677</v>
      </c>
      <c r="B178" s="6" t="s">
        <v>11</v>
      </c>
      <c r="C178" s="6" t="s">
        <v>12</v>
      </c>
      <c r="D178" s="7" t="s">
        <v>678</v>
      </c>
      <c r="E178" s="8" t="s">
        <v>679</v>
      </c>
      <c r="F178" s="6" t="s">
        <v>680</v>
      </c>
      <c r="G178" s="9">
        <f>IF(A178=1,"_",IF(C178="_","???",C178))</f>
        <v/>
      </c>
      <c r="H178" s="10" t="s">
        <v>12</v>
      </c>
      <c r="I178" s="11" t="s">
        <v>12</v>
      </c>
      <c r="J178" s="12"/>
    </row>
    <row r="179" spans="1:10" ht="60" customHeight="1">
      <c r="A179" s="6" t="s">
        <v>681</v>
      </c>
      <c r="B179" s="6" t="s">
        <v>16</v>
      </c>
      <c r="C179" s="6" t="s">
        <v>12</v>
      </c>
      <c r="D179" s="7" t="s">
        <v>682</v>
      </c>
      <c r="E179" s="8" t="s">
        <v>683</v>
      </c>
      <c r="F179" s="6" t="s">
        <v>684</v>
      </c>
      <c r="G179" s="9">
        <f>IF(A179=1,"_",IF(C179="_","???",C179))</f>
        <v/>
      </c>
      <c r="H179" s="10" t="s">
        <v>12</v>
      </c>
      <c r="I179" s="11" t="s">
        <v>12</v>
      </c>
      <c r="J179" s="12"/>
    </row>
    <row r="180" spans="1:10" ht="60" customHeight="1">
      <c r="A180" s="6" t="s">
        <v>685</v>
      </c>
      <c r="B180" s="6" t="s">
        <v>20</v>
      </c>
      <c r="C180" s="6" t="s">
        <v>12</v>
      </c>
      <c r="D180" s="7" t="s">
        <v>686</v>
      </c>
      <c r="E180" s="8" t="s">
        <v>687</v>
      </c>
      <c r="F180" s="6" t="s">
        <v>688</v>
      </c>
      <c r="G180" s="9">
        <f>IF(A180=1,"_",IF(C180="_","???",C180))</f>
        <v/>
      </c>
      <c r="H180" s="10" t="s">
        <v>12</v>
      </c>
      <c r="I180" s="11" t="s">
        <v>12</v>
      </c>
      <c r="J180" s="12"/>
    </row>
    <row r="181" spans="1:10" ht="60" customHeight="1">
      <c r="A181" s="6" t="s">
        <v>689</v>
      </c>
      <c r="B181" s="6" t="s">
        <v>20</v>
      </c>
      <c r="C181" s="6" t="s">
        <v>12</v>
      </c>
      <c r="D181" s="7" t="s">
        <v>440</v>
      </c>
      <c r="E181" s="8" t="s">
        <v>690</v>
      </c>
      <c r="F181" s="6" t="s">
        <v>691</v>
      </c>
      <c r="G181" s="9">
        <f>IF(A181=1,"_",IF(C181="_","???",C181))</f>
        <v/>
      </c>
      <c r="H181" s="10" t="s">
        <v>12</v>
      </c>
      <c r="I181" s="11" t="s">
        <v>12</v>
      </c>
      <c r="J181" s="12"/>
    </row>
    <row r="182" spans="1:10" ht="60" customHeight="1">
      <c r="A182" s="6" t="s">
        <v>692</v>
      </c>
      <c r="B182" s="6" t="s">
        <v>60</v>
      </c>
      <c r="C182" s="6" t="s">
        <v>12</v>
      </c>
      <c r="D182" s="7" t="s">
        <v>693</v>
      </c>
      <c r="E182" s="8" t="s">
        <v>694</v>
      </c>
      <c r="F182" s="6" t="s">
        <v>695</v>
      </c>
      <c r="G182" s="9">
        <f>IF(A182=1,"_",IF(C182="_","???",C182))</f>
        <v/>
      </c>
      <c r="H182" s="10" t="s">
        <v>12</v>
      </c>
      <c r="I182" s="11" t="s">
        <v>12</v>
      </c>
      <c r="J182" s="12"/>
    </row>
    <row r="183" spans="1:10" ht="60" customHeight="1">
      <c r="A183" s="6" t="s">
        <v>696</v>
      </c>
      <c r="B183" s="6" t="s">
        <v>60</v>
      </c>
      <c r="C183" s="6" t="s">
        <v>12</v>
      </c>
      <c r="D183" s="7" t="s">
        <v>697</v>
      </c>
      <c r="E183" s="8" t="s">
        <v>698</v>
      </c>
      <c r="F183" s="6" t="s">
        <v>699</v>
      </c>
      <c r="G183" s="9">
        <f>IF(A183=1,"_",IF(C183="_","???",C183))</f>
        <v/>
      </c>
      <c r="H183" s="10" t="s">
        <v>12</v>
      </c>
      <c r="I183" s="11" t="s">
        <v>12</v>
      </c>
      <c r="J183" s="12"/>
    </row>
    <row r="184" spans="1:10" ht="60" customHeight="1">
      <c r="A184" s="6" t="s">
        <v>700</v>
      </c>
      <c r="B184" s="6" t="s">
        <v>16</v>
      </c>
      <c r="C184" s="6" t="s">
        <v>12</v>
      </c>
      <c r="D184" s="7" t="s">
        <v>701</v>
      </c>
      <c r="E184" s="8" t="s">
        <v>702</v>
      </c>
      <c r="F184" s="6" t="s">
        <v>703</v>
      </c>
      <c r="G184" s="9">
        <f>IF(A184=1,"_",IF(C184="_","???",C184))</f>
        <v/>
      </c>
      <c r="H184" s="10" t="s">
        <v>12</v>
      </c>
      <c r="I184" s="11" t="s">
        <v>12</v>
      </c>
      <c r="J184" s="12"/>
    </row>
    <row r="185" spans="1:10" ht="60" customHeight="1">
      <c r="A185" s="6" t="s">
        <v>704</v>
      </c>
      <c r="B185" s="6" t="s">
        <v>11</v>
      </c>
      <c r="C185" s="6" t="s">
        <v>12</v>
      </c>
      <c r="D185" s="7" t="s">
        <v>705</v>
      </c>
      <c r="E185" s="8" t="s">
        <v>706</v>
      </c>
      <c r="F185" s="6" t="s">
        <v>707</v>
      </c>
      <c r="G185" s="9">
        <f>IF(A185=1,"_",IF(C185="_","???",C185))</f>
        <v/>
      </c>
      <c r="H185" s="10" t="s">
        <v>12</v>
      </c>
      <c r="I185" s="11" t="s">
        <v>12</v>
      </c>
      <c r="J185" s="12"/>
    </row>
    <row r="186" spans="1:10" ht="60" customHeight="1">
      <c r="A186" s="6" t="s">
        <v>708</v>
      </c>
      <c r="B186" s="6" t="s">
        <v>11</v>
      </c>
      <c r="C186" s="6" t="s">
        <v>12</v>
      </c>
      <c r="D186" s="7" t="s">
        <v>693</v>
      </c>
      <c r="E186" s="8" t="s">
        <v>709</v>
      </c>
      <c r="F186" s="6" t="s">
        <v>710</v>
      </c>
      <c r="G186" s="9">
        <f>IF(A186=1,"_",IF(C186="_","???",C186))</f>
        <v/>
      </c>
      <c r="H186" s="10" t="s">
        <v>12</v>
      </c>
      <c r="I186" s="11" t="s">
        <v>12</v>
      </c>
      <c r="J186" s="12"/>
    </row>
    <row r="187" spans="1:10" ht="60" customHeight="1">
      <c r="A187" s="6" t="s">
        <v>711</v>
      </c>
      <c r="B187" s="6" t="s">
        <v>10</v>
      </c>
      <c r="C187" s="6" t="s">
        <v>12</v>
      </c>
      <c r="D187" s="7" t="s">
        <v>712</v>
      </c>
      <c r="E187" s="8" t="s">
        <v>713</v>
      </c>
      <c r="F187" s="6" t="s">
        <v>714</v>
      </c>
      <c r="G187" s="9">
        <f>IF(A187=1,"_",IF(C187="_","???",C187))</f>
        <v/>
      </c>
      <c r="H187" s="10" t="s">
        <v>12</v>
      </c>
      <c r="I187" s="11" t="s">
        <v>12</v>
      </c>
      <c r="J187" s="12"/>
    </row>
  </sheetData>
  <sheetProtection sheet="1" objects="1" scenarios="1"/>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L3542"/>
  <sheetViews>
    <sheetView workbookViewId="0">
      <pane xSplit="1" ySplit="1" topLeftCell="B2" activePane="bottomRight" state="frozen"/>
      <selection pane="topRight" activeCell="B1" sqref="B1"/>
      <selection pane="bottomLeft" activeCell="A2" sqref="A2"/>
      <selection pane="bottomRight"/>
    </sheetView>
  </sheetViews>
  <sheetFormatPr defaultRowHeight="15"/>
  <cols>
    <col min="1" max="1" width="20.7109375" customWidth="1"/>
    <col min="3" max="3" width="15.7109375" customWidth="1"/>
    <col min="4" max="4" width="10.7109375" customWidth="1"/>
    <col min="9" max="11" width="0" hidden="1" customWidth="1"/>
    <col min="12" max="12" width="40.7109375" customWidth="1"/>
  </cols>
  <sheetData>
    <row r="1" spans="1:12">
      <c r="A1" s="13" t="s">
        <v>715</v>
      </c>
      <c r="B1" s="13" t="s">
        <v>716</v>
      </c>
      <c r="C1" s="13" t="s">
        <v>717</v>
      </c>
      <c r="D1" s="13" t="s">
        <v>718</v>
      </c>
      <c r="E1" s="14" t="s">
        <v>719</v>
      </c>
      <c r="F1" s="15" t="s">
        <v>720</v>
      </c>
      <c r="G1" s="16" t="s">
        <v>721</v>
      </c>
      <c r="H1" s="17" t="s">
        <v>722</v>
      </c>
      <c r="I1" s="18" t="s">
        <v>723</v>
      </c>
      <c r="J1" s="18" t="s">
        <v>724</v>
      </c>
      <c r="K1" s="18" t="s">
        <v>725</v>
      </c>
      <c r="L1" s="19" t="s">
        <v>9</v>
      </c>
    </row>
    <row r="2" spans="1:12">
      <c r="A2" s="20" t="s">
        <v>726</v>
      </c>
    </row>
    <row r="3" spans="1:12">
      <c r="A3" s="20" t="s">
        <v>727</v>
      </c>
      <c r="B3" s="21" t="s">
        <v>728</v>
      </c>
      <c r="C3" s="21" t="s">
        <v>729</v>
      </c>
      <c r="D3" s="21" t="s">
        <v>730</v>
      </c>
      <c r="E3" s="22">
        <f>IF(D3="?OLD","!!!","")</f>
        <v/>
      </c>
      <c r="F3" s="23" t="str">
        <f>IF(OR(E3="",E3="!!!"),"",IF(NOT(ISNA(VLOOKUP(E3,E$1:E2,1,FALSE()))),"OLD",IF(AND(E3&lt;&gt;"",E3&lt;&gt;"!!!"),"NEW","")))</f>
        <v> </v>
      </c>
      <c r="G3" s="24" t="str">
        <f>IF(OR(E3="",E3="!!!"),"",IF(OR(J3=0,AND(J3=1,K3=1),AND(J3=1,I3="SBJ"),AND(J3=1,I3=0)),"?IN_FOCUS",IF(J3&lt;=2,"?ACTIVATED",IF(J3&lt;&gt;"","?FAMILIAR",IF(F3="NEW",IF(ISNA(VLOOKUP(E3,#REF!,1,FALSE())),"?TYPE_IDENTIFIABLE","?REFERENTIAL"),"_")))))</f>
        <v> </v>
      </c>
      <c r="H3" s="25" t="str">
        <f>IF(J3&lt;&gt;1,"",IF(I3="SBJ","CB","?"))</f>
        <v> </v>
      </c>
      <c r="I3" s="26" t="str">
        <f>IF(OR(E3="",E3="!!!",F3="NEW"),"",INDEX(B2:B$2,-1+SUMPRODUCT(MAX(ROW(E2:E$2)*(E3=E2:E$2)))))</f>
        <v> </v>
      </c>
      <c r="J3" s="26" t="str">
        <f>IF(OR(E3="",E3="!!!",F3="NEW"),"",COUNTBLANK(OFFSET(A$1,,,SUMPRODUCT(MAX(ROW(E$2:E3)*(E3=E$2:E3)))))-COUNTBLANK(OFFSET(A$1,,,SUMPRODUCT(MAX(ROW(E$1:E2)*(E2=E$1:E2))))))</f>
        <v> </v>
      </c>
      <c r="K3" s="26" t="str">
        <f>IF(OR(E3="",E3="!!!",F3="NEW"),"",INDEX(J$1:J2,SUMPRODUCT(MAX(ROW(E$1:E2)*(E3=E$1:E2)))))</f>
        <v> </v>
      </c>
      <c r="L3" s="27"/>
    </row>
    <row r="4" spans="1:12">
      <c r="A4" s="20" t="s">
        <v>731</v>
      </c>
      <c r="E4" s="22">
        <f>IF(D4="?OLD","!!!","")</f>
        <v/>
      </c>
      <c r="F4" s="23" t="str">
        <f>IF(OR(E4="",E4="!!!"),"",IF(NOT(ISNA(VLOOKUP(E4,E$1:E3,1,FALSE()))),"OLD",IF(AND(E4&lt;&gt;"",E4&lt;&gt;"!!!"),"NEW","")))</f>
        <v> </v>
      </c>
      <c r="G4" s="24" t="str">
        <f>IF(OR(E4="",E4="!!!"),"",IF(OR(J4=0,AND(J4=1,K4=1),AND(J4=1,I4="SBJ"),AND(J4=1,I4=0)),"?IN_FOCUS",IF(J4&lt;=2,"?ACTIVATED",IF(J4&lt;&gt;"","?FAMILIAR",IF(F4="NEW",IF(ISNA(VLOOKUP(E4,#REF!,1,FALSE())),"?TYPE_IDENTIFIABLE","?REFERENTIAL"),"_")))))</f>
        <v> </v>
      </c>
      <c r="H4" s="25" t="str">
        <f>IF(J4&lt;&gt;1,"",IF(I4="SBJ","CB","?"))</f>
        <v> </v>
      </c>
      <c r="I4" s="26" t="str">
        <f>IF(OR(E4="",E4="!!!",F4="NEW"),"",INDEX(B3:B$2,-1+SUMPRODUCT(MAX(ROW(E3:E$2)*(E4=E3:E$2)))))</f>
        <v> </v>
      </c>
      <c r="J4" s="26" t="str">
        <f>IF(OR(E4="",E4="!!!",F4="NEW"),"",COUNTBLANK(OFFSET(A$1,,,SUMPRODUCT(MAX(ROW(E$2:E4)*(E4=E$2:E4)))))-COUNTBLANK(OFFSET(A$1,,,SUMPRODUCT(MAX(ROW(E$1:E3)*(E2=E$1:E3))))))</f>
        <v> </v>
      </c>
      <c r="K4" s="26" t="str">
        <f>IF(OR(E4="",E4="!!!",F4="NEW"),"",INDEX(J$1:J3,SUMPRODUCT(MAX(ROW(E$1:E3)*(E4=E$1:E3)))))</f>
        <v> </v>
      </c>
      <c r="L4" s="27"/>
    </row>
    <row r="5" spans="1:12">
      <c r="A5" s="20" t="s">
        <v>732</v>
      </c>
      <c r="E5" s="22">
        <f>IF(D5="?OLD","!!!","")</f>
        <v/>
      </c>
      <c r="F5" s="23" t="str">
        <f>IF(OR(E5="",E5="!!!"),"",IF(NOT(ISNA(VLOOKUP(E5,E$1:E4,1,FALSE()))),"OLD",IF(AND(E5&lt;&gt;"",E5&lt;&gt;"!!!"),"NEW","")))</f>
        <v> </v>
      </c>
      <c r="G5" s="24" t="str">
        <f>IF(OR(E5="",E5="!!!"),"",IF(OR(J5=0,AND(J5=1,K5=1),AND(J5=1,I5="SBJ"),AND(J5=1,I5=0)),"?IN_FOCUS",IF(J5&lt;=2,"?ACTIVATED",IF(J5&lt;&gt;"","?FAMILIAR",IF(F5="NEW",IF(ISNA(VLOOKUP(E5,#REF!,1,FALSE())),"?TYPE_IDENTIFIABLE","?REFERENTIAL"),"_")))))</f>
        <v> </v>
      </c>
      <c r="H5" s="25" t="str">
        <f>IF(J5&lt;&gt;1,"",IF(I5="SBJ","CB","?"))</f>
        <v> </v>
      </c>
      <c r="I5" s="26" t="str">
        <f>IF(OR(E5="",E5="!!!",F5="NEW"),"",INDEX(B4:B$2,-1+SUMPRODUCT(MAX(ROW(E4:E$2)*(E5=E4:E$2)))))</f>
        <v> </v>
      </c>
      <c r="J5" s="26" t="str">
        <f>IF(OR(E5="",E5="!!!",F5="NEW"),"",COUNTBLANK(OFFSET(A$1,,,SUMPRODUCT(MAX(ROW(E$2:E5)*(E5=E$2:E5)))))-COUNTBLANK(OFFSET(A$1,,,SUMPRODUCT(MAX(ROW(E$1:E4)*(E2=E$1:E4))))))</f>
        <v> </v>
      </c>
      <c r="K5" s="26" t="str">
        <f>IF(OR(E5="",E5="!!!",F5="NEW"),"",INDEX(J$1:J4,SUMPRODUCT(MAX(ROW(E$1:E4)*(E5=E$1:E4)))))</f>
        <v> </v>
      </c>
      <c r="L5" s="27"/>
    </row>
    <row r="6" spans="1:12">
      <c r="A6" s="20" t="s">
        <v>733</v>
      </c>
      <c r="E6" s="22">
        <f>IF(D6="?OLD","!!!","")</f>
        <v/>
      </c>
      <c r="F6" s="23" t="str">
        <f>IF(OR(E6="",E6="!!!"),"",IF(NOT(ISNA(VLOOKUP(E6,E$1:E5,1,FALSE()))),"OLD",IF(AND(E6&lt;&gt;"",E6&lt;&gt;"!!!"),"NEW","")))</f>
        <v> </v>
      </c>
      <c r="G6" s="24" t="str">
        <f>IF(OR(E6="",E6="!!!"),"",IF(OR(J6=0,AND(J6=1,K6=1),AND(J6=1,I6="SBJ"),AND(J6=1,I6=0)),"?IN_FOCUS",IF(J6&lt;=2,"?ACTIVATED",IF(J6&lt;&gt;"","?FAMILIAR",IF(F6="NEW",IF(ISNA(VLOOKUP(E6,#REF!,1,FALSE())),"?TYPE_IDENTIFIABLE","?REFERENTIAL"),"_")))))</f>
        <v> </v>
      </c>
      <c r="H6" s="25" t="str">
        <f>IF(J6&lt;&gt;1,"",IF(I6="SBJ","CB","?"))</f>
        <v> </v>
      </c>
      <c r="I6" s="26" t="str">
        <f>IF(OR(E6="",E6="!!!",F6="NEW"),"",INDEX(B5:B$2,-1+SUMPRODUCT(MAX(ROW(E5:E$2)*(E6=E5:E$2)))))</f>
        <v> </v>
      </c>
      <c r="J6" s="26" t="str">
        <f>IF(OR(E6="",E6="!!!",F6="NEW"),"",COUNTBLANK(OFFSET(A$1,,,SUMPRODUCT(MAX(ROW(E$2:E6)*(E6=E$2:E6)))))-COUNTBLANK(OFFSET(A$1,,,SUMPRODUCT(MAX(ROW(E$1:E5)*(E2=E$1:E5))))))</f>
        <v> </v>
      </c>
      <c r="K6" s="26" t="str">
        <f>IF(OR(E6="",E6="!!!",F6="NEW"),"",INDEX(J$1:J5,SUMPRODUCT(MAX(ROW(E$1:E5)*(E6=E$1:E5)))))</f>
        <v> </v>
      </c>
      <c r="L6" s="27"/>
    </row>
    <row r="7" spans="1:12">
      <c r="A7" s="20" t="s">
        <v>734</v>
      </c>
      <c r="E7" s="22">
        <f>IF(D7="?OLD","!!!","")</f>
        <v/>
      </c>
      <c r="F7" s="23" t="str">
        <f>IF(OR(E7="",E7="!!!"),"",IF(NOT(ISNA(VLOOKUP(E7,E$1:E6,1,FALSE()))),"OLD",IF(AND(E7&lt;&gt;"",E7&lt;&gt;"!!!"),"NEW","")))</f>
        <v> </v>
      </c>
      <c r="G7" s="24" t="str">
        <f>IF(OR(E7="",E7="!!!"),"",IF(OR(J7=0,AND(J7=1,K7=1),AND(J7=1,I7="SBJ"),AND(J7=1,I7=0)),"?IN_FOCUS",IF(J7&lt;=2,"?ACTIVATED",IF(J7&lt;&gt;"","?FAMILIAR",IF(F7="NEW",IF(ISNA(VLOOKUP(E7,#REF!,1,FALSE())),"?TYPE_IDENTIFIABLE","?REFERENTIAL"),"_")))))</f>
        <v> </v>
      </c>
      <c r="H7" s="25" t="str">
        <f>IF(J7&lt;&gt;1,"",IF(I7="SBJ","CB","?"))</f>
        <v> </v>
      </c>
      <c r="I7" s="26" t="str">
        <f>IF(OR(E7="",E7="!!!",F7="NEW"),"",INDEX(B6:B$2,-1+SUMPRODUCT(MAX(ROW(E6:E$2)*(E7=E6:E$2)))))</f>
        <v> </v>
      </c>
      <c r="J7" s="26" t="str">
        <f>IF(OR(E7="",E7="!!!",F7="NEW"),"",COUNTBLANK(OFFSET(A$1,,,SUMPRODUCT(MAX(ROW(E$2:E7)*(E7=E$2:E7)))))-COUNTBLANK(OFFSET(A$1,,,SUMPRODUCT(MAX(ROW(E$1:E6)*(E2=E$1:E6))))))</f>
        <v> </v>
      </c>
      <c r="K7" s="26" t="str">
        <f>IF(OR(E7="",E7="!!!",F7="NEW"),"",INDEX(J$1:J6,SUMPRODUCT(MAX(ROW(E$1:E6)*(E7=E$1:E6)))))</f>
        <v> </v>
      </c>
      <c r="L7" s="27"/>
    </row>
    <row r="8" spans="1:12">
      <c r="A8" s="20" t="s">
        <v>735</v>
      </c>
      <c r="B8" s="21" t="s">
        <v>736</v>
      </c>
      <c r="C8" s="21" t="s">
        <v>737</v>
      </c>
      <c r="E8" s="22">
        <f>IF(D8="?OLD","!!!","")</f>
        <v/>
      </c>
      <c r="F8" s="23" t="str">
        <f>IF(OR(E8="",E8="!!!"),"",IF(NOT(ISNA(VLOOKUP(E8,E$1:E7,1,FALSE()))),"OLD",IF(AND(E8&lt;&gt;"",E8&lt;&gt;"!!!"),"NEW","")))</f>
        <v> </v>
      </c>
      <c r="G8" s="24" t="str">
        <f>IF(OR(E8="",E8="!!!"),"",IF(OR(J8=0,AND(J8=1,K8=1),AND(J8=1,I8="SBJ"),AND(J8=1,I8=0)),"?IN_FOCUS",IF(J8&lt;=2,"?ACTIVATED",IF(J8&lt;&gt;"","?FAMILIAR",IF(F8="NEW",IF(ISNA(VLOOKUP(E8,#REF!,1,FALSE())),"?TYPE_IDENTIFIABLE","?REFERENTIAL"),"_")))))</f>
        <v> </v>
      </c>
      <c r="H8" s="25" t="str">
        <f>IF(J8&lt;&gt;1,"",IF(I8="SBJ","CB","?"))</f>
        <v> </v>
      </c>
      <c r="I8" s="26" t="str">
        <f>IF(OR(E8="",E8="!!!",F8="NEW"),"",INDEX(B7:B$2,-1+SUMPRODUCT(MAX(ROW(E7:E$2)*(E8=E7:E$2)))))</f>
        <v> </v>
      </c>
      <c r="J8" s="26" t="str">
        <f>IF(OR(E8="",E8="!!!",F8="NEW"),"",COUNTBLANK(OFFSET(A$1,,,SUMPRODUCT(MAX(ROW(E$2:E8)*(E8=E$2:E8)))))-COUNTBLANK(OFFSET(A$1,,,SUMPRODUCT(MAX(ROW(E$1:E7)*(E2=E$1:E7))))))</f>
        <v> </v>
      </c>
      <c r="K8" s="26" t="str">
        <f>IF(OR(E8="",E8="!!!",F8="NEW"),"",INDEX(J$1:J7,SUMPRODUCT(MAX(ROW(E$1:E7)*(E8=E$1:E7)))))</f>
        <v> </v>
      </c>
      <c r="L8" s="27"/>
    </row>
    <row r="9" spans="1:12">
      <c r="A9" s="20" t="s">
        <v>738</v>
      </c>
      <c r="B9" s="21" t="s">
        <v>739</v>
      </c>
      <c r="C9" s="21" t="s">
        <v>740</v>
      </c>
      <c r="D9" s="21" t="s">
        <v>730</v>
      </c>
      <c r="E9" s="22">
        <f>IF(D9="?OLD","!!!","")</f>
        <v/>
      </c>
      <c r="F9" s="23" t="str">
        <f>IF(OR(E9="",E9="!!!"),"",IF(NOT(ISNA(VLOOKUP(E9,E$1:E8,1,FALSE()))),"OLD",IF(AND(E9&lt;&gt;"",E9&lt;&gt;"!!!"),"NEW","")))</f>
        <v> </v>
      </c>
      <c r="G9" s="24" t="str">
        <f>IF(OR(E9="",E9="!!!"),"",IF(OR(J9=0,AND(J9=1,K9=1),AND(J9=1,I9="SBJ"),AND(J9=1,I9=0)),"?IN_FOCUS",IF(J9&lt;=2,"?ACTIVATED",IF(J9&lt;&gt;"","?FAMILIAR",IF(F9="NEW",IF(ISNA(VLOOKUP(E9,#REF!,1,FALSE())),"?TYPE_IDENTIFIABLE","?REFERENTIAL"),"_")))))</f>
        <v> </v>
      </c>
      <c r="H9" s="25" t="str">
        <f>IF(J9&lt;&gt;1,"",IF(I9="SBJ","CB","?"))</f>
        <v> </v>
      </c>
      <c r="I9" s="26" t="str">
        <f>IF(OR(E9="",E9="!!!",F9="NEW"),"",INDEX(B8:B$2,-1+SUMPRODUCT(MAX(ROW(E8:E$2)*(E9=E8:E$2)))))</f>
        <v> </v>
      </c>
      <c r="J9" s="26" t="str">
        <f>IF(OR(E9="",E9="!!!",F9="NEW"),"",COUNTBLANK(OFFSET(A$1,,,SUMPRODUCT(MAX(ROW(E$2:E9)*(E9=E$2:E9)))))-COUNTBLANK(OFFSET(A$1,,,SUMPRODUCT(MAX(ROW(E$1:E8)*(E2=E$1:E8))))))</f>
        <v> </v>
      </c>
      <c r="K9" s="26" t="str">
        <f>IF(OR(E9="",E9="!!!",F9="NEW"),"",INDEX(J$1:J8,SUMPRODUCT(MAX(ROW(E$1:E8)*(E9=E$1:E8)))))</f>
        <v> </v>
      </c>
      <c r="L9" s="27"/>
    </row>
    <row r="10" spans="1:12">
      <c r="A10" s="20" t="s">
        <v>741</v>
      </c>
      <c r="E10" s="22">
        <f>IF(D10="?OLD","!!!","")</f>
        <v/>
      </c>
      <c r="F10" s="23" t="str">
        <f>IF(OR(E10="",E10="!!!"),"",IF(NOT(ISNA(VLOOKUP(E10,E$1:E9,1,FALSE()))),"OLD",IF(AND(E10&lt;&gt;"",E10&lt;&gt;"!!!"),"NEW","")))</f>
        <v> </v>
      </c>
      <c r="G10" s="24" t="str">
        <f>IF(OR(E10="",E10="!!!"),"",IF(OR(J10=0,AND(J10=1,K10=1),AND(J10=1,I10="SBJ"),AND(J10=1,I10=0)),"?IN_FOCUS",IF(J10&lt;=2,"?ACTIVATED",IF(J10&lt;&gt;"","?FAMILIAR",IF(F10="NEW",IF(ISNA(VLOOKUP(E10,#REF!,1,FALSE())),"?TYPE_IDENTIFIABLE","?REFERENTIAL"),"_")))))</f>
        <v> </v>
      </c>
      <c r="H10" s="25" t="str">
        <f>IF(J10&lt;&gt;1,"",IF(I10="SBJ","CB","?"))</f>
        <v> </v>
      </c>
      <c r="I10" s="26" t="str">
        <f>IF(OR(E10="",E10="!!!",F10="NEW"),"",INDEX(B9:B$2,-1+SUMPRODUCT(MAX(ROW(E9:E$2)*(E10=E9:E$2)))))</f>
        <v> </v>
      </c>
      <c r="J10" s="26" t="str">
        <f>IF(OR(E10="",E10="!!!",F10="NEW"),"",COUNTBLANK(OFFSET(A$1,,,SUMPRODUCT(MAX(ROW(E$2:E10)*(E10=E$2:E10)))))-COUNTBLANK(OFFSET(A$1,,,SUMPRODUCT(MAX(ROW(E$1:E9)*(E2=E$1:E9))))))</f>
        <v> </v>
      </c>
      <c r="K10" s="26" t="str">
        <f>IF(OR(E10="",E10="!!!",F10="NEW"),"",INDEX(J$1:J9,SUMPRODUCT(MAX(ROW(E$1:E9)*(E10=E$1:E9)))))</f>
        <v> </v>
      </c>
      <c r="L10" s="27"/>
    </row>
    <row r="11" spans="1:12">
      <c r="A11" s="20" t="s">
        <v>742</v>
      </c>
      <c r="E11" s="22">
        <f>IF(D11="?OLD","!!!","")</f>
        <v/>
      </c>
      <c r="F11" s="23" t="str">
        <f>IF(OR(E11="",E11="!!!"),"",IF(NOT(ISNA(VLOOKUP(E11,E$1:E10,1,FALSE()))),"OLD",IF(AND(E11&lt;&gt;"",E11&lt;&gt;"!!!"),"NEW","")))</f>
        <v> </v>
      </c>
      <c r="G11" s="24" t="str">
        <f>IF(OR(E11="",E11="!!!"),"",IF(OR(J11=0,AND(J11=1,K11=1),AND(J11=1,I11="SBJ"),AND(J11=1,I11=0)),"?IN_FOCUS",IF(J11&lt;=2,"?ACTIVATED",IF(J11&lt;&gt;"","?FAMILIAR",IF(F11="NEW",IF(ISNA(VLOOKUP(E11,#REF!,1,FALSE())),"?TYPE_IDENTIFIABLE","?REFERENTIAL"),"_")))))</f>
        <v> </v>
      </c>
      <c r="H11" s="25" t="str">
        <f>IF(J11&lt;&gt;1,"",IF(I11="SBJ","CB","?"))</f>
        <v> </v>
      </c>
      <c r="I11" s="26" t="str">
        <f>IF(OR(E11="",E11="!!!",F11="NEW"),"",INDEX(B10:B$2,-1+SUMPRODUCT(MAX(ROW(E10:E$2)*(E11=E10:E$2)))))</f>
        <v> </v>
      </c>
      <c r="J11" s="26" t="str">
        <f>IF(OR(E11="",E11="!!!",F11="NEW"),"",COUNTBLANK(OFFSET(A$1,,,SUMPRODUCT(MAX(ROW(E$2:E11)*(E11=E$2:E11)))))-COUNTBLANK(OFFSET(A$1,,,SUMPRODUCT(MAX(ROW(E$1:E10)*(E2=E$1:E10))))))</f>
        <v> </v>
      </c>
      <c r="K11" s="26" t="str">
        <f>IF(OR(E11="",E11="!!!",F11="NEW"),"",INDEX(J$1:J10,SUMPRODUCT(MAX(ROW(E$1:E10)*(E11=E$1:E10)))))</f>
        <v> </v>
      </c>
      <c r="L11" s="27"/>
    </row>
    <row r="12" spans="1:12">
      <c r="A12" s="20" t="s">
        <v>246</v>
      </c>
      <c r="E12" s="22">
        <f>IF(D12="?OLD","!!!","")</f>
        <v/>
      </c>
      <c r="F12" s="23" t="str">
        <f>IF(OR(E12="",E12="!!!"),"",IF(NOT(ISNA(VLOOKUP(E12,E$1:E11,1,FALSE()))),"OLD",IF(AND(E12&lt;&gt;"",E12&lt;&gt;"!!!"),"NEW","")))</f>
        <v> </v>
      </c>
      <c r="G12" s="24" t="str">
        <f>IF(OR(E12="",E12="!!!"),"",IF(OR(J12=0,AND(J12=1,K12=1),AND(J12=1,I12="SBJ"),AND(J12=1,I12=0)),"?IN_FOCUS",IF(J12&lt;=2,"?ACTIVATED",IF(J12&lt;&gt;"","?FAMILIAR",IF(F12="NEW",IF(ISNA(VLOOKUP(E12,#REF!,1,FALSE())),"?TYPE_IDENTIFIABLE","?REFERENTIAL"),"_")))))</f>
        <v> </v>
      </c>
      <c r="H12" s="25" t="str">
        <f>IF(J12&lt;&gt;1,"",IF(I12="SBJ","CB","?"))</f>
        <v> </v>
      </c>
      <c r="I12" s="26" t="str">
        <f>IF(OR(E12="",E12="!!!",F12="NEW"),"",INDEX(B11:B$2,-1+SUMPRODUCT(MAX(ROW(E11:E$2)*(E12=E11:E$2)))))</f>
        <v> </v>
      </c>
      <c r="J12" s="26" t="str">
        <f>IF(OR(E12="",E12="!!!",F12="NEW"),"",COUNTBLANK(OFFSET(A$1,,,SUMPRODUCT(MAX(ROW(E$2:E12)*(E12=E$2:E12)))))-COUNTBLANK(OFFSET(A$1,,,SUMPRODUCT(MAX(ROW(E$1:E11)*(E2=E$1:E11))))))</f>
        <v> </v>
      </c>
      <c r="K12" s="26" t="str">
        <f>IF(OR(E12="",E12="!!!",F12="NEW"),"",INDEX(J$1:J11,SUMPRODUCT(MAX(ROW(E$1:E11)*(E12=E$1:E11)))))</f>
        <v> </v>
      </c>
      <c r="L12" s="27"/>
    </row>
    <row r="13" spans="1:12">
      <c r="A13" s="20"/>
    </row>
    <row r="14" spans="1:12">
      <c r="A14" s="20" t="s">
        <v>743</v>
      </c>
    </row>
    <row r="15" spans="1:12">
      <c r="A15" s="20" t="s">
        <v>744</v>
      </c>
      <c r="E15" s="22">
        <f>IF(D15="?OLD","!!!","")</f>
        <v/>
      </c>
      <c r="F15" s="23" t="str">
        <f>IF(OR(E15="",E15="!!!"),"",IF(NOT(ISNA(VLOOKUP(E15,E$1:E14,1,FALSE()))),"OLD",IF(AND(E15&lt;&gt;"",E15&lt;&gt;"!!!"),"NEW","")))</f>
        <v> </v>
      </c>
      <c r="G15" s="24" t="str">
        <f>IF(OR(E15="",E15="!!!"),"",IF(OR(J15=0,AND(J15=1,K15=1),AND(J15=1,I15="SBJ"),AND(J15=1,I15=0)),"?IN_FOCUS",IF(J15&lt;=2,"?ACTIVATED",IF(J15&lt;&gt;"","?FAMILIAR",IF(F15="NEW",IF(ISNA(VLOOKUP(E15,#REF!,1,FALSE())),"?TYPE_IDENTIFIABLE","?REFERENTIAL"),"_")))))</f>
        <v> </v>
      </c>
      <c r="H15" s="25" t="str">
        <f>IF(J15&lt;&gt;1,"",IF(I15="SBJ","CB","?"))</f>
        <v> </v>
      </c>
      <c r="I15" s="26" t="str">
        <f>IF(OR(E15="",E15="!!!",F15="NEW"),"",INDEX(B14:B$2,-1+SUMPRODUCT(MAX(ROW(E14:E$2)*(E15=E14:E$2)))))</f>
        <v> </v>
      </c>
      <c r="J15" s="26" t="str">
        <f>IF(OR(E15="",E15="!!!",F15="NEW"),"",COUNTBLANK(OFFSET(A$1,,,SUMPRODUCT(MAX(ROW(E$2:E15)*(E15=E$2:E15)))))-COUNTBLANK(OFFSET(A$1,,,SUMPRODUCT(MAX(ROW(E$1:E14)*(E2=E$1:E14))))))</f>
        <v> </v>
      </c>
      <c r="K15" s="26" t="str">
        <f>IF(OR(E15="",E15="!!!",F15="NEW"),"",INDEX(J$1:J14,SUMPRODUCT(MAX(ROW(E$1:E14)*(E15=E$1:E14)))))</f>
        <v> </v>
      </c>
      <c r="L15" s="27"/>
    </row>
    <row r="16" spans="1:12">
      <c r="A16" s="20" t="s">
        <v>745</v>
      </c>
      <c r="B16" s="21" t="s">
        <v>739</v>
      </c>
      <c r="C16" s="21" t="s">
        <v>746</v>
      </c>
      <c r="D16" s="21" t="s">
        <v>730</v>
      </c>
      <c r="E16" s="22">
        <f>IF(D16="?OLD","!!!","")</f>
        <v/>
      </c>
      <c r="F16" s="23" t="str">
        <f>IF(OR(E16="",E16="!!!"),"",IF(NOT(ISNA(VLOOKUP(E16,E$1:E15,1,FALSE()))),"OLD",IF(AND(E16&lt;&gt;"",E16&lt;&gt;"!!!"),"NEW","")))</f>
        <v> </v>
      </c>
      <c r="G16" s="24" t="str">
        <f>IF(OR(E16="",E16="!!!"),"",IF(OR(J16=0,AND(J16=1,K16=1),AND(J16=1,I16="SBJ"),AND(J16=1,I16=0)),"?IN_FOCUS",IF(J16&lt;=2,"?ACTIVATED",IF(J16&lt;&gt;"","?FAMILIAR",IF(F16="NEW",IF(ISNA(VLOOKUP(E16,#REF!,1,FALSE())),"?TYPE_IDENTIFIABLE","?REFERENTIAL"),"_")))))</f>
        <v> </v>
      </c>
      <c r="H16" s="25" t="str">
        <f>IF(J16&lt;&gt;1,"",IF(I16="SBJ","CB","?"))</f>
        <v> </v>
      </c>
      <c r="I16" s="26" t="str">
        <f>IF(OR(E16="",E16="!!!",F16="NEW"),"",INDEX(B15:B$2,-1+SUMPRODUCT(MAX(ROW(E15:E$2)*(E16=E15:E$2)))))</f>
        <v> </v>
      </c>
      <c r="J16" s="26" t="str">
        <f>IF(OR(E16="",E16="!!!",F16="NEW"),"",COUNTBLANK(OFFSET(A$1,,,SUMPRODUCT(MAX(ROW(E$2:E16)*(E16=E$2:E16)))))-COUNTBLANK(OFFSET(A$1,,,SUMPRODUCT(MAX(ROW(E$1:E15)*(E2=E$1:E15))))))</f>
        <v> </v>
      </c>
      <c r="K16" s="26" t="str">
        <f>IF(OR(E16="",E16="!!!",F16="NEW"),"",INDEX(J$1:J15,SUMPRODUCT(MAX(ROW(E$1:E15)*(E16=E$1:E15)))))</f>
        <v> </v>
      </c>
      <c r="L16" s="27"/>
    </row>
    <row r="17" spans="1:12">
      <c r="A17" s="20" t="s">
        <v>747</v>
      </c>
      <c r="B17" s="21" t="s">
        <v>736</v>
      </c>
      <c r="C17" s="21" t="s">
        <v>748</v>
      </c>
      <c r="E17" s="22">
        <f>IF(D17="?OLD","!!!","")</f>
        <v/>
      </c>
      <c r="F17" s="23" t="str">
        <f>IF(OR(E17="",E17="!!!"),"",IF(NOT(ISNA(VLOOKUP(E17,E$1:E16,1,FALSE()))),"OLD",IF(AND(E17&lt;&gt;"",E17&lt;&gt;"!!!"),"NEW","")))</f>
        <v> </v>
      </c>
      <c r="G17" s="24" t="str">
        <f>IF(OR(E17="",E17="!!!"),"",IF(OR(J17=0,AND(J17=1,K17=1),AND(J17=1,I17="SBJ"),AND(J17=1,I17=0)),"?IN_FOCUS",IF(J17&lt;=2,"?ACTIVATED",IF(J17&lt;&gt;"","?FAMILIAR",IF(F17="NEW",IF(ISNA(VLOOKUP(E17,#REF!,1,FALSE())),"?TYPE_IDENTIFIABLE","?REFERENTIAL"),"_")))))</f>
        <v> </v>
      </c>
      <c r="H17" s="25" t="str">
        <f>IF(J17&lt;&gt;1,"",IF(I17="SBJ","CB","?"))</f>
        <v> </v>
      </c>
      <c r="I17" s="26" t="str">
        <f>IF(OR(E17="",E17="!!!",F17="NEW"),"",INDEX(B16:B$2,-1+SUMPRODUCT(MAX(ROW(E16:E$2)*(E17=E16:E$2)))))</f>
        <v> </v>
      </c>
      <c r="J17" s="26" t="str">
        <f>IF(OR(E17="",E17="!!!",F17="NEW"),"",COUNTBLANK(OFFSET(A$1,,,SUMPRODUCT(MAX(ROW(E$2:E17)*(E17=E$2:E17)))))-COUNTBLANK(OFFSET(A$1,,,SUMPRODUCT(MAX(ROW(E$1:E16)*(E2=E$1:E16))))))</f>
        <v> </v>
      </c>
      <c r="K17" s="26" t="str">
        <f>IF(OR(E17="",E17="!!!",F17="NEW"),"",INDEX(J$1:J16,SUMPRODUCT(MAX(ROW(E$1:E16)*(E17=E$1:E16)))))</f>
        <v> </v>
      </c>
      <c r="L17" s="27"/>
    </row>
    <row r="18" spans="1:12">
      <c r="A18" s="20" t="s">
        <v>749</v>
      </c>
      <c r="E18" s="22">
        <f>IF(D18="?OLD","!!!","")</f>
        <v/>
      </c>
      <c r="F18" s="23" t="str">
        <f>IF(OR(E18="",E18="!!!"),"",IF(NOT(ISNA(VLOOKUP(E18,E$1:E17,1,FALSE()))),"OLD",IF(AND(E18&lt;&gt;"",E18&lt;&gt;"!!!"),"NEW","")))</f>
        <v> </v>
      </c>
      <c r="G18" s="24" t="str">
        <f>IF(OR(E18="",E18="!!!"),"",IF(OR(J18=0,AND(J18=1,K18=1),AND(J18=1,I18="SBJ"),AND(J18=1,I18=0)),"?IN_FOCUS",IF(J18&lt;=2,"?ACTIVATED",IF(J18&lt;&gt;"","?FAMILIAR",IF(F18="NEW",IF(ISNA(VLOOKUP(E18,#REF!,1,FALSE())),"?TYPE_IDENTIFIABLE","?REFERENTIAL"),"_")))))</f>
        <v> </v>
      </c>
      <c r="H18" s="25" t="str">
        <f>IF(J18&lt;&gt;1,"",IF(I18="SBJ","CB","?"))</f>
        <v> </v>
      </c>
      <c r="I18" s="26" t="str">
        <f>IF(OR(E18="",E18="!!!",F18="NEW"),"",INDEX(B17:B$2,-1+SUMPRODUCT(MAX(ROW(E17:E$2)*(E18=E17:E$2)))))</f>
        <v> </v>
      </c>
      <c r="J18" s="26" t="str">
        <f>IF(OR(E18="",E18="!!!",F18="NEW"),"",COUNTBLANK(OFFSET(A$1,,,SUMPRODUCT(MAX(ROW(E$2:E18)*(E18=E$2:E18)))))-COUNTBLANK(OFFSET(A$1,,,SUMPRODUCT(MAX(ROW(E$1:E17)*(E2=E$1:E17))))))</f>
        <v> </v>
      </c>
      <c r="K18" s="26" t="str">
        <f>IF(OR(E18="",E18="!!!",F18="NEW"),"",INDEX(J$1:J17,SUMPRODUCT(MAX(ROW(E$1:E17)*(E18=E$1:E17)))))</f>
        <v> </v>
      </c>
      <c r="L18" s="27"/>
    </row>
    <row r="19" spans="1:12">
      <c r="A19" s="20" t="s">
        <v>750</v>
      </c>
      <c r="B19" s="21" t="s">
        <v>728</v>
      </c>
      <c r="C19" s="21" t="s">
        <v>729</v>
      </c>
      <c r="D19" s="21" t="s">
        <v>730</v>
      </c>
      <c r="E19" s="22">
        <f>IF(D19="?OLD","!!!","")</f>
        <v/>
      </c>
      <c r="F19" s="23" t="str">
        <f>IF(OR(E19="",E19="!!!"),"",IF(NOT(ISNA(VLOOKUP(E19,E$1:E18,1,FALSE()))),"OLD",IF(AND(E19&lt;&gt;"",E19&lt;&gt;"!!!"),"NEW","")))</f>
        <v> </v>
      </c>
      <c r="G19" s="24" t="str">
        <f>IF(OR(E19="",E19="!!!"),"",IF(OR(J19=0,AND(J19=1,K19=1),AND(J19=1,I19="SBJ"),AND(J19=1,I19=0)),"?IN_FOCUS",IF(J19&lt;=2,"?ACTIVATED",IF(J19&lt;&gt;"","?FAMILIAR",IF(F19="NEW",IF(ISNA(VLOOKUP(E19,#REF!,1,FALSE())),"?TYPE_IDENTIFIABLE","?REFERENTIAL"),"_")))))</f>
        <v> </v>
      </c>
      <c r="H19" s="25" t="str">
        <f>IF(J19&lt;&gt;1,"",IF(I19="SBJ","CB","?"))</f>
        <v> </v>
      </c>
      <c r="I19" s="26" t="str">
        <f>IF(OR(E19="",E19="!!!",F19="NEW"),"",INDEX(B18:B$2,-1+SUMPRODUCT(MAX(ROW(E18:E$2)*(E19=E18:E$2)))))</f>
        <v> </v>
      </c>
      <c r="J19" s="26" t="str">
        <f>IF(OR(E19="",E19="!!!",F19="NEW"),"",COUNTBLANK(OFFSET(A$1,,,SUMPRODUCT(MAX(ROW(E$2:E19)*(E19=E$2:E19)))))-COUNTBLANK(OFFSET(A$1,,,SUMPRODUCT(MAX(ROW(E$1:E18)*(E2=E$1:E18))))))</f>
        <v> </v>
      </c>
      <c r="K19" s="26" t="str">
        <f>IF(OR(E19="",E19="!!!",F19="NEW"),"",INDEX(J$1:J18,SUMPRODUCT(MAX(ROW(E$1:E18)*(E19=E$1:E18)))))</f>
        <v> </v>
      </c>
      <c r="L19" s="27"/>
    </row>
    <row r="20" spans="1:12">
      <c r="A20" s="20" t="s">
        <v>732</v>
      </c>
      <c r="E20" s="22">
        <f>IF(D20="?OLD","!!!","")</f>
        <v/>
      </c>
      <c r="F20" s="23" t="str">
        <f>IF(OR(E20="",E20="!!!"),"",IF(NOT(ISNA(VLOOKUP(E20,E$1:E19,1,FALSE()))),"OLD",IF(AND(E20&lt;&gt;"",E20&lt;&gt;"!!!"),"NEW","")))</f>
        <v> </v>
      </c>
      <c r="G20" s="24" t="str">
        <f>IF(OR(E20="",E20="!!!"),"",IF(OR(J20=0,AND(J20=1,K20=1),AND(J20=1,I20="SBJ"),AND(J20=1,I20=0)),"?IN_FOCUS",IF(J20&lt;=2,"?ACTIVATED",IF(J20&lt;&gt;"","?FAMILIAR",IF(F20="NEW",IF(ISNA(VLOOKUP(E20,#REF!,1,FALSE())),"?TYPE_IDENTIFIABLE","?REFERENTIAL"),"_")))))</f>
        <v> </v>
      </c>
      <c r="H20" s="25" t="str">
        <f>IF(J20&lt;&gt;1,"",IF(I20="SBJ","CB","?"))</f>
        <v> </v>
      </c>
      <c r="I20" s="26" t="str">
        <f>IF(OR(E20="",E20="!!!",F20="NEW"),"",INDEX(B19:B$2,-1+SUMPRODUCT(MAX(ROW(E19:E$2)*(E20=E19:E$2)))))</f>
        <v> </v>
      </c>
      <c r="J20" s="26" t="str">
        <f>IF(OR(E20="",E20="!!!",F20="NEW"),"",COUNTBLANK(OFFSET(A$1,,,SUMPRODUCT(MAX(ROW(E$2:E20)*(E20=E$2:E20)))))-COUNTBLANK(OFFSET(A$1,,,SUMPRODUCT(MAX(ROW(E$1:E19)*(E2=E$1:E19))))))</f>
        <v> </v>
      </c>
      <c r="K20" s="26" t="str">
        <f>IF(OR(E20="",E20="!!!",F20="NEW"),"",INDEX(J$1:J19,SUMPRODUCT(MAX(ROW(E$1:E19)*(E20=E$1:E19)))))</f>
        <v> </v>
      </c>
      <c r="L20" s="27"/>
    </row>
    <row r="21" spans="1:12">
      <c r="A21" s="20" t="s">
        <v>751</v>
      </c>
      <c r="E21" s="22">
        <f>IF(D21="?OLD","!!!","")</f>
        <v/>
      </c>
      <c r="F21" s="23" t="str">
        <f>IF(OR(E21="",E21="!!!"),"",IF(NOT(ISNA(VLOOKUP(E21,E$1:E20,1,FALSE()))),"OLD",IF(AND(E21&lt;&gt;"",E21&lt;&gt;"!!!"),"NEW","")))</f>
        <v> </v>
      </c>
      <c r="G21" s="24" t="str">
        <f>IF(OR(E21="",E21="!!!"),"",IF(OR(J21=0,AND(J21=1,K21=1),AND(J21=1,I21="SBJ"),AND(J21=1,I21=0)),"?IN_FOCUS",IF(J21&lt;=2,"?ACTIVATED",IF(J21&lt;&gt;"","?FAMILIAR",IF(F21="NEW",IF(ISNA(VLOOKUP(E21,#REF!,1,FALSE())),"?TYPE_IDENTIFIABLE","?REFERENTIAL"),"_")))))</f>
        <v> </v>
      </c>
      <c r="H21" s="25" t="str">
        <f>IF(J21&lt;&gt;1,"",IF(I21="SBJ","CB","?"))</f>
        <v> </v>
      </c>
      <c r="I21" s="26" t="str">
        <f>IF(OR(E21="",E21="!!!",F21="NEW"),"",INDEX(B20:B$2,-1+SUMPRODUCT(MAX(ROW(E20:E$2)*(E21=E20:E$2)))))</f>
        <v> </v>
      </c>
      <c r="J21" s="26" t="str">
        <f>IF(OR(E21="",E21="!!!",F21="NEW"),"",COUNTBLANK(OFFSET(A$1,,,SUMPRODUCT(MAX(ROW(E$2:E21)*(E21=E$2:E21)))))-COUNTBLANK(OFFSET(A$1,,,SUMPRODUCT(MAX(ROW(E$1:E20)*(E2=E$1:E20))))))</f>
        <v> </v>
      </c>
      <c r="K21" s="26" t="str">
        <f>IF(OR(E21="",E21="!!!",F21="NEW"),"",INDEX(J$1:J20,SUMPRODUCT(MAX(ROW(E$1:E20)*(E21=E$1:E20)))))</f>
        <v> </v>
      </c>
      <c r="L21" s="27"/>
    </row>
    <row r="22" spans="1:12">
      <c r="A22" s="20" t="s">
        <v>752</v>
      </c>
      <c r="B22" s="21" t="s">
        <v>736</v>
      </c>
      <c r="C22" s="21" t="s">
        <v>753</v>
      </c>
      <c r="D22" s="21" t="s">
        <v>730</v>
      </c>
      <c r="E22" s="22">
        <f>IF(D22="?OLD","!!!","")</f>
        <v/>
      </c>
      <c r="F22" s="23" t="str">
        <f>IF(OR(E22="",E22="!!!"),"",IF(NOT(ISNA(VLOOKUP(E22,E$1:E21,1,FALSE()))),"OLD",IF(AND(E22&lt;&gt;"",E22&lt;&gt;"!!!"),"NEW","")))</f>
        <v> </v>
      </c>
      <c r="G22" s="24" t="str">
        <f>IF(OR(E22="",E22="!!!"),"",IF(OR(J22=0,AND(J22=1,K22=1),AND(J22=1,I22="SBJ"),AND(J22=1,I22=0)),"?IN_FOCUS",IF(J22&lt;=2,"?ACTIVATED",IF(J22&lt;&gt;"","?FAMILIAR",IF(F22="NEW",IF(ISNA(VLOOKUP(E22,#REF!,1,FALSE())),"?TYPE_IDENTIFIABLE","?REFERENTIAL"),"_")))))</f>
        <v> </v>
      </c>
      <c r="H22" s="25" t="str">
        <f>IF(J22&lt;&gt;1,"",IF(I22="SBJ","CB","?"))</f>
        <v> </v>
      </c>
      <c r="I22" s="26" t="str">
        <f>IF(OR(E22="",E22="!!!",F22="NEW"),"",INDEX(B21:B$2,-1+SUMPRODUCT(MAX(ROW(E21:E$2)*(E22=E21:E$2)))))</f>
        <v> </v>
      </c>
      <c r="J22" s="26" t="str">
        <f>IF(OR(E22="",E22="!!!",F22="NEW"),"",COUNTBLANK(OFFSET(A$1,,,SUMPRODUCT(MAX(ROW(E$2:E22)*(E22=E$2:E22)))))-COUNTBLANK(OFFSET(A$1,,,SUMPRODUCT(MAX(ROW(E$1:E21)*(E2=E$1:E21))))))</f>
        <v> </v>
      </c>
      <c r="K22" s="26" t="str">
        <f>IF(OR(E22="",E22="!!!",F22="NEW"),"",INDEX(J$1:J21,SUMPRODUCT(MAX(ROW(E$1:E21)*(E22=E$1:E21)))))</f>
        <v> </v>
      </c>
      <c r="L22" s="27"/>
    </row>
    <row r="23" spans="1:12">
      <c r="A23" s="20" t="s">
        <v>754</v>
      </c>
      <c r="B23" s="21" t="s">
        <v>755</v>
      </c>
      <c r="C23" s="21" t="s">
        <v>756</v>
      </c>
      <c r="E23" s="22">
        <f>IF(D23="?OLD","!!!","")</f>
        <v/>
      </c>
      <c r="F23" s="23" t="str">
        <f>IF(OR(E23="",E23="!!!"),"",IF(NOT(ISNA(VLOOKUP(E23,E$1:E22,1,FALSE()))),"OLD",IF(AND(E23&lt;&gt;"",E23&lt;&gt;"!!!"),"NEW","")))</f>
        <v> </v>
      </c>
      <c r="G23" s="24" t="str">
        <f>IF(OR(E23="",E23="!!!"),"",IF(OR(J23=0,AND(J23=1,K23=1),AND(J23=1,I23="SBJ"),AND(J23=1,I23=0)),"?IN_FOCUS",IF(J23&lt;=2,"?ACTIVATED",IF(J23&lt;&gt;"","?FAMILIAR",IF(F23="NEW",IF(ISNA(VLOOKUP(E23,#REF!,1,FALSE())),"?TYPE_IDENTIFIABLE","?REFERENTIAL"),"_")))))</f>
        <v> </v>
      </c>
      <c r="H23" s="25" t="str">
        <f>IF(J23&lt;&gt;1,"",IF(I23="SBJ","CB","?"))</f>
        <v> </v>
      </c>
      <c r="I23" s="26" t="str">
        <f>IF(OR(E23="",E23="!!!",F23="NEW"),"",INDEX(B22:B$2,-1+SUMPRODUCT(MAX(ROW(E22:E$2)*(E23=E22:E$2)))))</f>
        <v> </v>
      </c>
      <c r="J23" s="26" t="str">
        <f>IF(OR(E23="",E23="!!!",F23="NEW"),"",COUNTBLANK(OFFSET(A$1,,,SUMPRODUCT(MAX(ROW(E$2:E23)*(E23=E$2:E23)))))-COUNTBLANK(OFFSET(A$1,,,SUMPRODUCT(MAX(ROW(E$1:E22)*(E2=E$1:E22))))))</f>
        <v> </v>
      </c>
      <c r="K23" s="26" t="str">
        <f>IF(OR(E23="",E23="!!!",F23="NEW"),"",INDEX(J$1:J22,SUMPRODUCT(MAX(ROW(E$1:E22)*(E23=E$1:E22)))))</f>
        <v> </v>
      </c>
      <c r="L23" s="27"/>
    </row>
    <row r="24" spans="1:12">
      <c r="A24" s="20" t="s">
        <v>757</v>
      </c>
      <c r="E24" s="22">
        <f>IF(D24="?OLD","!!!","")</f>
        <v/>
      </c>
      <c r="F24" s="23" t="str">
        <f>IF(OR(E24="",E24="!!!"),"",IF(NOT(ISNA(VLOOKUP(E24,E$1:E23,1,FALSE()))),"OLD",IF(AND(E24&lt;&gt;"",E24&lt;&gt;"!!!"),"NEW","")))</f>
        <v> </v>
      </c>
      <c r="G24" s="24" t="str">
        <f>IF(OR(E24="",E24="!!!"),"",IF(OR(J24=0,AND(J24=1,K24=1),AND(J24=1,I24="SBJ"),AND(J24=1,I24=0)),"?IN_FOCUS",IF(J24&lt;=2,"?ACTIVATED",IF(J24&lt;&gt;"","?FAMILIAR",IF(F24="NEW",IF(ISNA(VLOOKUP(E24,#REF!,1,FALSE())),"?TYPE_IDENTIFIABLE","?REFERENTIAL"),"_")))))</f>
        <v> </v>
      </c>
      <c r="H24" s="25" t="str">
        <f>IF(J24&lt;&gt;1,"",IF(I24="SBJ","CB","?"))</f>
        <v> </v>
      </c>
      <c r="I24" s="26" t="str">
        <f>IF(OR(E24="",E24="!!!",F24="NEW"),"",INDEX(B23:B$2,-1+SUMPRODUCT(MAX(ROW(E23:E$2)*(E24=E23:E$2)))))</f>
        <v> </v>
      </c>
      <c r="J24" s="26" t="str">
        <f>IF(OR(E24="",E24="!!!",F24="NEW"),"",COUNTBLANK(OFFSET(A$1,,,SUMPRODUCT(MAX(ROW(E$2:E24)*(E24=E$2:E24)))))-COUNTBLANK(OFFSET(A$1,,,SUMPRODUCT(MAX(ROW(E$1:E23)*(E2=E$1:E23))))))</f>
        <v> </v>
      </c>
      <c r="K24" s="26" t="str">
        <f>IF(OR(E24="",E24="!!!",F24="NEW"),"",INDEX(J$1:J23,SUMPRODUCT(MAX(ROW(E$1:E23)*(E24=E$1:E23)))))</f>
        <v> </v>
      </c>
      <c r="L24" s="27"/>
    </row>
    <row r="25" spans="1:12">
      <c r="A25" s="20" t="s">
        <v>758</v>
      </c>
      <c r="B25" s="21" t="s">
        <v>739</v>
      </c>
      <c r="C25" s="21" t="s">
        <v>753</v>
      </c>
      <c r="D25" s="21" t="s">
        <v>730</v>
      </c>
      <c r="E25" s="22">
        <f>IF(D25="?OLD","!!!","")</f>
        <v/>
      </c>
      <c r="F25" s="23" t="str">
        <f>IF(OR(E25="",E25="!!!"),"",IF(NOT(ISNA(VLOOKUP(E25,E$1:E24,1,FALSE()))),"OLD",IF(AND(E25&lt;&gt;"",E25&lt;&gt;"!!!"),"NEW","")))</f>
        <v> </v>
      </c>
      <c r="G25" s="24" t="str">
        <f>IF(OR(E25="",E25="!!!"),"",IF(OR(J25=0,AND(J25=1,K25=1),AND(J25=1,I25="SBJ"),AND(J25=1,I25=0)),"?IN_FOCUS",IF(J25&lt;=2,"?ACTIVATED",IF(J25&lt;&gt;"","?FAMILIAR",IF(F25="NEW",IF(ISNA(VLOOKUP(E25,#REF!,1,FALSE())),"?TYPE_IDENTIFIABLE","?REFERENTIAL"),"_")))))</f>
        <v> </v>
      </c>
      <c r="H25" s="25" t="str">
        <f>IF(J25&lt;&gt;1,"",IF(I25="SBJ","CB","?"))</f>
        <v> </v>
      </c>
      <c r="I25" s="26" t="str">
        <f>IF(OR(E25="",E25="!!!",F25="NEW"),"",INDEX(B24:B$2,-1+SUMPRODUCT(MAX(ROW(E24:E$2)*(E25=E24:E$2)))))</f>
        <v> </v>
      </c>
      <c r="J25" s="26" t="str">
        <f>IF(OR(E25="",E25="!!!",F25="NEW"),"",COUNTBLANK(OFFSET(A$1,,,SUMPRODUCT(MAX(ROW(E$2:E25)*(E25=E$2:E25)))))-COUNTBLANK(OFFSET(A$1,,,SUMPRODUCT(MAX(ROW(E$1:E24)*(E2=E$1:E24))))))</f>
        <v> </v>
      </c>
      <c r="K25" s="26" t="str">
        <f>IF(OR(E25="",E25="!!!",F25="NEW"),"",INDEX(J$1:J24,SUMPRODUCT(MAX(ROW(E$1:E24)*(E25=E$1:E24)))))</f>
        <v> </v>
      </c>
      <c r="L25" s="27"/>
    </row>
    <row r="26" spans="1:12">
      <c r="A26" s="20" t="s">
        <v>759</v>
      </c>
      <c r="E26" s="22">
        <f>IF(D26="?OLD","!!!","")</f>
        <v/>
      </c>
      <c r="F26" s="23" t="str">
        <f>IF(OR(E26="",E26="!!!"),"",IF(NOT(ISNA(VLOOKUP(E26,E$1:E25,1,FALSE()))),"OLD",IF(AND(E26&lt;&gt;"",E26&lt;&gt;"!!!"),"NEW","")))</f>
        <v> </v>
      </c>
      <c r="G26" s="24" t="str">
        <f>IF(OR(E26="",E26="!!!"),"",IF(OR(J26=0,AND(J26=1,K26=1),AND(J26=1,I26="SBJ"),AND(J26=1,I26=0)),"?IN_FOCUS",IF(J26&lt;=2,"?ACTIVATED",IF(J26&lt;&gt;"","?FAMILIAR",IF(F26="NEW",IF(ISNA(VLOOKUP(E26,#REF!,1,FALSE())),"?TYPE_IDENTIFIABLE","?REFERENTIAL"),"_")))))</f>
        <v> </v>
      </c>
      <c r="H26" s="25" t="str">
        <f>IF(J26&lt;&gt;1,"",IF(I26="SBJ","CB","?"))</f>
        <v> </v>
      </c>
      <c r="I26" s="26" t="str">
        <f>IF(OR(E26="",E26="!!!",F26="NEW"),"",INDEX(B25:B$2,-1+SUMPRODUCT(MAX(ROW(E25:E$2)*(E26=E25:E$2)))))</f>
        <v> </v>
      </c>
      <c r="J26" s="26" t="str">
        <f>IF(OR(E26="",E26="!!!",F26="NEW"),"",COUNTBLANK(OFFSET(A$1,,,SUMPRODUCT(MAX(ROW(E$2:E26)*(E26=E$2:E26)))))-COUNTBLANK(OFFSET(A$1,,,SUMPRODUCT(MAX(ROW(E$1:E25)*(E2=E$1:E25))))))</f>
        <v> </v>
      </c>
      <c r="K26" s="26" t="str">
        <f>IF(OR(E26="",E26="!!!",F26="NEW"),"",INDEX(J$1:J25,SUMPRODUCT(MAX(ROW(E$1:E25)*(E26=E$1:E25)))))</f>
        <v> </v>
      </c>
      <c r="L26" s="27"/>
    </row>
    <row r="27" spans="1:12">
      <c r="A27" s="20" t="s">
        <v>760</v>
      </c>
      <c r="B27" s="21" t="s">
        <v>755</v>
      </c>
      <c r="C27" s="21" t="s">
        <v>756</v>
      </c>
      <c r="E27" s="22">
        <f>IF(D27="?OLD","!!!","")</f>
        <v/>
      </c>
      <c r="F27" s="23" t="str">
        <f>IF(OR(E27="",E27="!!!"),"",IF(NOT(ISNA(VLOOKUP(E27,E$1:E26,1,FALSE()))),"OLD",IF(AND(E27&lt;&gt;"",E27&lt;&gt;"!!!"),"NEW","")))</f>
        <v> </v>
      </c>
      <c r="G27" s="24" t="str">
        <f>IF(OR(E27="",E27="!!!"),"",IF(OR(J27=0,AND(J27=1,K27=1),AND(J27=1,I27="SBJ"),AND(J27=1,I27=0)),"?IN_FOCUS",IF(J27&lt;=2,"?ACTIVATED",IF(J27&lt;&gt;"","?FAMILIAR",IF(F27="NEW",IF(ISNA(VLOOKUP(E27,#REF!,1,FALSE())),"?TYPE_IDENTIFIABLE","?REFERENTIAL"),"_")))))</f>
        <v> </v>
      </c>
      <c r="H27" s="25" t="str">
        <f>IF(J27&lt;&gt;1,"",IF(I27="SBJ","CB","?"))</f>
        <v> </v>
      </c>
      <c r="I27" s="26" t="str">
        <f>IF(OR(E27="",E27="!!!",F27="NEW"),"",INDEX(B26:B$2,-1+SUMPRODUCT(MAX(ROW(E26:E$2)*(E27=E26:E$2)))))</f>
        <v> </v>
      </c>
      <c r="J27" s="26" t="str">
        <f>IF(OR(E27="",E27="!!!",F27="NEW"),"",COUNTBLANK(OFFSET(A$1,,,SUMPRODUCT(MAX(ROW(E$2:E27)*(E27=E$2:E27)))))-COUNTBLANK(OFFSET(A$1,,,SUMPRODUCT(MAX(ROW(E$1:E26)*(E2=E$1:E26))))))</f>
        <v> </v>
      </c>
      <c r="K27" s="26" t="str">
        <f>IF(OR(E27="",E27="!!!",F27="NEW"),"",INDEX(J$1:J26,SUMPRODUCT(MAX(ROW(E$1:E26)*(E27=E$1:E26)))))</f>
        <v> </v>
      </c>
      <c r="L27" s="27"/>
    </row>
    <row r="28" spans="1:12">
      <c r="A28" s="20" t="s">
        <v>761</v>
      </c>
      <c r="B28" s="21" t="s">
        <v>739</v>
      </c>
      <c r="C28" s="21" t="s">
        <v>748</v>
      </c>
      <c r="E28" s="22">
        <f>IF(D28="?OLD","!!!","")</f>
        <v/>
      </c>
      <c r="F28" s="23" t="str">
        <f>IF(OR(E28="",E28="!!!"),"",IF(NOT(ISNA(VLOOKUP(E28,E$1:E27,1,FALSE()))),"OLD",IF(AND(E28&lt;&gt;"",E28&lt;&gt;"!!!"),"NEW","")))</f>
        <v> </v>
      </c>
      <c r="G28" s="24" t="str">
        <f>IF(OR(E28="",E28="!!!"),"",IF(OR(J28=0,AND(J28=1,K28=1),AND(J28=1,I28="SBJ"),AND(J28=1,I28=0)),"?IN_FOCUS",IF(J28&lt;=2,"?ACTIVATED",IF(J28&lt;&gt;"","?FAMILIAR",IF(F28="NEW",IF(ISNA(VLOOKUP(E28,#REF!,1,FALSE())),"?TYPE_IDENTIFIABLE","?REFERENTIAL"),"_")))))</f>
        <v> </v>
      </c>
      <c r="H28" s="25" t="str">
        <f>IF(J28&lt;&gt;1,"",IF(I28="SBJ","CB","?"))</f>
        <v> </v>
      </c>
      <c r="I28" s="26" t="str">
        <f>IF(OR(E28="",E28="!!!",F28="NEW"),"",INDEX(B27:B$2,-1+SUMPRODUCT(MAX(ROW(E27:E$2)*(E28=E27:E$2)))))</f>
        <v> </v>
      </c>
      <c r="J28" s="26" t="str">
        <f>IF(OR(E28="",E28="!!!",F28="NEW"),"",COUNTBLANK(OFFSET(A$1,,,SUMPRODUCT(MAX(ROW(E$2:E28)*(E28=E$2:E28)))))-COUNTBLANK(OFFSET(A$1,,,SUMPRODUCT(MAX(ROW(E$1:E27)*(E2=E$1:E27))))))</f>
        <v> </v>
      </c>
      <c r="K28" s="26" t="str">
        <f>IF(OR(E28="",E28="!!!",F28="NEW"),"",INDEX(J$1:J27,SUMPRODUCT(MAX(ROW(E$1:E27)*(E28=E$1:E27)))))</f>
        <v> </v>
      </c>
      <c r="L28" s="27"/>
    </row>
    <row r="29" spans="1:12">
      <c r="A29" s="20" t="s">
        <v>762</v>
      </c>
      <c r="E29" s="22">
        <f>IF(D29="?OLD","!!!","")</f>
        <v/>
      </c>
      <c r="F29" s="23" t="str">
        <f>IF(OR(E29="",E29="!!!"),"",IF(NOT(ISNA(VLOOKUP(E29,E$1:E28,1,FALSE()))),"OLD",IF(AND(E29&lt;&gt;"",E29&lt;&gt;"!!!"),"NEW","")))</f>
        <v> </v>
      </c>
      <c r="G29" s="24" t="str">
        <f>IF(OR(E29="",E29="!!!"),"",IF(OR(J29=0,AND(J29=1,K29=1),AND(J29=1,I29="SBJ"),AND(J29=1,I29=0)),"?IN_FOCUS",IF(J29&lt;=2,"?ACTIVATED",IF(J29&lt;&gt;"","?FAMILIAR",IF(F29="NEW",IF(ISNA(VLOOKUP(E29,#REF!,1,FALSE())),"?TYPE_IDENTIFIABLE","?REFERENTIAL"),"_")))))</f>
        <v> </v>
      </c>
      <c r="H29" s="25" t="str">
        <f>IF(J29&lt;&gt;1,"",IF(I29="SBJ","CB","?"))</f>
        <v> </v>
      </c>
      <c r="I29" s="26" t="str">
        <f>IF(OR(E29="",E29="!!!",F29="NEW"),"",INDEX(B28:B$2,-1+SUMPRODUCT(MAX(ROW(E28:E$2)*(E29=E28:E$2)))))</f>
        <v> </v>
      </c>
      <c r="J29" s="26" t="str">
        <f>IF(OR(E29="",E29="!!!",F29="NEW"),"",COUNTBLANK(OFFSET(A$1,,,SUMPRODUCT(MAX(ROW(E$2:E29)*(E29=E$2:E29)))))-COUNTBLANK(OFFSET(A$1,,,SUMPRODUCT(MAX(ROW(E$1:E28)*(E2=E$1:E28))))))</f>
        <v> </v>
      </c>
      <c r="K29" s="26" t="str">
        <f>IF(OR(E29="",E29="!!!",F29="NEW"),"",INDEX(J$1:J28,SUMPRODUCT(MAX(ROW(E$1:E28)*(E29=E$1:E28)))))</f>
        <v> </v>
      </c>
      <c r="L29" s="27"/>
    </row>
    <row r="30" spans="1:12">
      <c r="A30" s="20" t="s">
        <v>763</v>
      </c>
      <c r="B30" s="21" t="s">
        <v>764</v>
      </c>
      <c r="C30" s="21" t="s">
        <v>737</v>
      </c>
      <c r="E30" s="22">
        <f>IF(D30="?OLD","!!!","")</f>
        <v/>
      </c>
      <c r="F30" s="23" t="str">
        <f>IF(OR(E30="",E30="!!!"),"",IF(NOT(ISNA(VLOOKUP(E30,E$1:E29,1,FALSE()))),"OLD",IF(AND(E30&lt;&gt;"",E30&lt;&gt;"!!!"),"NEW","")))</f>
        <v> </v>
      </c>
      <c r="G30" s="24" t="str">
        <f>IF(OR(E30="",E30="!!!"),"",IF(OR(J30=0,AND(J30=1,K30=1),AND(J30=1,I30="SBJ"),AND(J30=1,I30=0)),"?IN_FOCUS",IF(J30&lt;=2,"?ACTIVATED",IF(J30&lt;&gt;"","?FAMILIAR",IF(F30="NEW",IF(ISNA(VLOOKUP(E30,#REF!,1,FALSE())),"?TYPE_IDENTIFIABLE","?REFERENTIAL"),"_")))))</f>
        <v> </v>
      </c>
      <c r="H30" s="25" t="str">
        <f>IF(J30&lt;&gt;1,"",IF(I30="SBJ","CB","?"))</f>
        <v> </v>
      </c>
      <c r="I30" s="26" t="str">
        <f>IF(OR(E30="",E30="!!!",F30="NEW"),"",INDEX(B29:B$2,-1+SUMPRODUCT(MAX(ROW(E29:E$2)*(E30=E29:E$2)))))</f>
        <v> </v>
      </c>
      <c r="J30" s="26" t="str">
        <f>IF(OR(E30="",E30="!!!",F30="NEW"),"",COUNTBLANK(OFFSET(A$1,,,SUMPRODUCT(MAX(ROW(E$2:E30)*(E30=E$2:E30)))))-COUNTBLANK(OFFSET(A$1,,,SUMPRODUCT(MAX(ROW(E$1:E29)*(E2=E$1:E29))))))</f>
        <v> </v>
      </c>
      <c r="K30" s="26" t="str">
        <f>IF(OR(E30="",E30="!!!",F30="NEW"),"",INDEX(J$1:J29,SUMPRODUCT(MAX(ROW(E$1:E29)*(E30=E$1:E29)))))</f>
        <v> </v>
      </c>
      <c r="L30" s="27"/>
    </row>
    <row r="31" spans="1:12">
      <c r="A31" s="20" t="s">
        <v>765</v>
      </c>
      <c r="E31" s="22">
        <f>IF(D31="?OLD","!!!","")</f>
        <v/>
      </c>
      <c r="F31" s="23" t="str">
        <f>IF(OR(E31="",E31="!!!"),"",IF(NOT(ISNA(VLOOKUP(E31,E$1:E30,1,FALSE()))),"OLD",IF(AND(E31&lt;&gt;"",E31&lt;&gt;"!!!"),"NEW","")))</f>
        <v> </v>
      </c>
      <c r="G31" s="24" t="str">
        <f>IF(OR(E31="",E31="!!!"),"",IF(OR(J31=0,AND(J31=1,K31=1),AND(J31=1,I31="SBJ"),AND(J31=1,I31=0)),"?IN_FOCUS",IF(J31&lt;=2,"?ACTIVATED",IF(J31&lt;&gt;"","?FAMILIAR",IF(F31="NEW",IF(ISNA(VLOOKUP(E31,#REF!,1,FALSE())),"?TYPE_IDENTIFIABLE","?REFERENTIAL"),"_")))))</f>
        <v> </v>
      </c>
      <c r="H31" s="25" t="str">
        <f>IF(J31&lt;&gt;1,"",IF(I31="SBJ","CB","?"))</f>
        <v> </v>
      </c>
      <c r="I31" s="26" t="str">
        <f>IF(OR(E31="",E31="!!!",F31="NEW"),"",INDEX(B30:B$2,-1+SUMPRODUCT(MAX(ROW(E30:E$2)*(E31=E30:E$2)))))</f>
        <v> </v>
      </c>
      <c r="J31" s="26" t="str">
        <f>IF(OR(E31="",E31="!!!",F31="NEW"),"",COUNTBLANK(OFFSET(A$1,,,SUMPRODUCT(MAX(ROW(E$2:E31)*(E31=E$2:E31)))))-COUNTBLANK(OFFSET(A$1,,,SUMPRODUCT(MAX(ROW(E$1:E30)*(E2=E$1:E30))))))</f>
        <v> </v>
      </c>
      <c r="K31" s="26" t="str">
        <f>IF(OR(E31="",E31="!!!",F31="NEW"),"",INDEX(J$1:J30,SUMPRODUCT(MAX(ROW(E$1:E30)*(E31=E$1:E30)))))</f>
        <v> </v>
      </c>
      <c r="L31" s="27"/>
    </row>
    <row r="32" spans="1:12">
      <c r="A32" s="20" t="s">
        <v>766</v>
      </c>
      <c r="B32" s="21" t="s">
        <v>739</v>
      </c>
      <c r="C32" s="21" t="s">
        <v>748</v>
      </c>
      <c r="E32" s="22">
        <f>IF(D32="?OLD","!!!","")</f>
        <v/>
      </c>
      <c r="F32" s="23" t="str">
        <f>IF(OR(E32="",E32="!!!"),"",IF(NOT(ISNA(VLOOKUP(E32,E$1:E31,1,FALSE()))),"OLD",IF(AND(E32&lt;&gt;"",E32&lt;&gt;"!!!"),"NEW","")))</f>
        <v> </v>
      </c>
      <c r="G32" s="24" t="str">
        <f>IF(OR(E32="",E32="!!!"),"",IF(OR(J32=0,AND(J32=1,K32=1),AND(J32=1,I32="SBJ"),AND(J32=1,I32=0)),"?IN_FOCUS",IF(J32&lt;=2,"?ACTIVATED",IF(J32&lt;&gt;"","?FAMILIAR",IF(F32="NEW",IF(ISNA(VLOOKUP(E32,#REF!,1,FALSE())),"?TYPE_IDENTIFIABLE","?REFERENTIAL"),"_")))))</f>
        <v> </v>
      </c>
      <c r="H32" s="25" t="str">
        <f>IF(J32&lt;&gt;1,"",IF(I32="SBJ","CB","?"))</f>
        <v> </v>
      </c>
      <c r="I32" s="26" t="str">
        <f>IF(OR(E32="",E32="!!!",F32="NEW"),"",INDEX(B31:B$2,-1+SUMPRODUCT(MAX(ROW(E31:E$2)*(E32=E31:E$2)))))</f>
        <v> </v>
      </c>
      <c r="J32" s="26" t="str">
        <f>IF(OR(E32="",E32="!!!",F32="NEW"),"",COUNTBLANK(OFFSET(A$1,,,SUMPRODUCT(MAX(ROW(E$2:E32)*(E32=E$2:E32)))))-COUNTBLANK(OFFSET(A$1,,,SUMPRODUCT(MAX(ROW(E$1:E31)*(E2=E$1:E31))))))</f>
        <v> </v>
      </c>
      <c r="K32" s="26" t="str">
        <f>IF(OR(E32="",E32="!!!",F32="NEW"),"",INDEX(J$1:J31,SUMPRODUCT(MAX(ROW(E$1:E31)*(E32=E$1:E31)))))</f>
        <v> </v>
      </c>
      <c r="L32" s="27"/>
    </row>
    <row r="33" spans="1:12">
      <c r="A33" s="20" t="s">
        <v>246</v>
      </c>
      <c r="E33" s="22">
        <f>IF(D33="?OLD","!!!","")</f>
        <v/>
      </c>
      <c r="F33" s="23" t="str">
        <f>IF(OR(E33="",E33="!!!"),"",IF(NOT(ISNA(VLOOKUP(E33,E$1:E32,1,FALSE()))),"OLD",IF(AND(E33&lt;&gt;"",E33&lt;&gt;"!!!"),"NEW","")))</f>
        <v> </v>
      </c>
      <c r="G33" s="24" t="str">
        <f>IF(OR(E33="",E33="!!!"),"",IF(OR(J33=0,AND(J33=1,K33=1),AND(J33=1,I33="SBJ"),AND(J33=1,I33=0)),"?IN_FOCUS",IF(J33&lt;=2,"?ACTIVATED",IF(J33&lt;&gt;"","?FAMILIAR",IF(F33="NEW",IF(ISNA(VLOOKUP(E33,#REF!,1,FALSE())),"?TYPE_IDENTIFIABLE","?REFERENTIAL"),"_")))))</f>
        <v> </v>
      </c>
      <c r="H33" s="25" t="str">
        <f>IF(J33&lt;&gt;1,"",IF(I33="SBJ","CB","?"))</f>
        <v> </v>
      </c>
      <c r="I33" s="26" t="str">
        <f>IF(OR(E33="",E33="!!!",F33="NEW"),"",INDEX(B32:B$2,-1+SUMPRODUCT(MAX(ROW(E32:E$2)*(E33=E32:E$2)))))</f>
        <v> </v>
      </c>
      <c r="J33" s="26" t="str">
        <f>IF(OR(E33="",E33="!!!",F33="NEW"),"",COUNTBLANK(OFFSET(A$1,,,SUMPRODUCT(MAX(ROW(E$2:E33)*(E33=E$2:E33)))))-COUNTBLANK(OFFSET(A$1,,,SUMPRODUCT(MAX(ROW(E$1:E32)*(E2=E$1:E32))))))</f>
        <v> </v>
      </c>
      <c r="K33" s="26" t="str">
        <f>IF(OR(E33="",E33="!!!",F33="NEW"),"",INDEX(J$1:J32,SUMPRODUCT(MAX(ROW(E$1:E32)*(E33=E$1:E32)))))</f>
        <v> </v>
      </c>
      <c r="L33" s="27"/>
    </row>
    <row r="34" spans="1:12">
      <c r="A34" s="20"/>
    </row>
    <row r="35" spans="1:12">
      <c r="A35" s="20" t="s">
        <v>767</v>
      </c>
    </row>
    <row r="36" spans="1:12">
      <c r="A36" s="20" t="s">
        <v>768</v>
      </c>
      <c r="E36" s="22">
        <f>IF(D36="?OLD","!!!","")</f>
        <v/>
      </c>
      <c r="F36" s="23" t="str">
        <f>IF(OR(E36="",E36="!!!"),"",IF(NOT(ISNA(VLOOKUP(E36,E$1:E35,1,FALSE()))),"OLD",IF(AND(E36&lt;&gt;"",E36&lt;&gt;"!!!"),"NEW","")))</f>
        <v> </v>
      </c>
      <c r="G36" s="24" t="str">
        <f>IF(OR(E36="",E36="!!!"),"",IF(OR(J36=0,AND(J36=1,K36=1),AND(J36=1,I36="SBJ"),AND(J36=1,I36=0)),"?IN_FOCUS",IF(J36&lt;=2,"?ACTIVATED",IF(J36&lt;&gt;"","?FAMILIAR",IF(F36="NEW",IF(ISNA(VLOOKUP(E36,#REF!,1,FALSE())),"?TYPE_IDENTIFIABLE","?REFERENTIAL"),"_")))))</f>
        <v> </v>
      </c>
      <c r="H36" s="25" t="str">
        <f>IF(J36&lt;&gt;1,"",IF(I36="SBJ","CB","?"))</f>
        <v> </v>
      </c>
      <c r="I36" s="26" t="str">
        <f>IF(OR(E36="",E36="!!!",F36="NEW"),"",INDEX(B35:B$2,-1+SUMPRODUCT(MAX(ROW(E35:E$2)*(E36=E35:E$2)))))</f>
        <v> </v>
      </c>
      <c r="J36" s="26" t="str">
        <f>IF(OR(E36="",E36="!!!",F36="NEW"),"",COUNTBLANK(OFFSET(A$1,,,SUMPRODUCT(MAX(ROW(E$2:E36)*(E36=E$2:E36)))))-COUNTBLANK(OFFSET(A$1,,,SUMPRODUCT(MAX(ROW(E$1:E35)*(E2=E$1:E35))))))</f>
        <v> </v>
      </c>
      <c r="K36" s="26" t="str">
        <f>IF(OR(E36="",E36="!!!",F36="NEW"),"",INDEX(J$1:J35,SUMPRODUCT(MAX(ROW(E$1:E35)*(E36=E$1:E35)))))</f>
        <v> </v>
      </c>
      <c r="L36" s="27"/>
    </row>
    <row r="37" spans="1:12">
      <c r="A37" s="20" t="s">
        <v>769</v>
      </c>
      <c r="B37" s="21" t="s">
        <v>739</v>
      </c>
      <c r="C37" s="21" t="s">
        <v>746</v>
      </c>
      <c r="D37" s="21" t="s">
        <v>730</v>
      </c>
      <c r="E37" s="22">
        <f>IF(D37="?OLD","!!!","")</f>
        <v/>
      </c>
      <c r="F37" s="23" t="str">
        <f>IF(OR(E37="",E37="!!!"),"",IF(NOT(ISNA(VLOOKUP(E37,E$1:E36,1,FALSE()))),"OLD",IF(AND(E37&lt;&gt;"",E37&lt;&gt;"!!!"),"NEW","")))</f>
        <v> </v>
      </c>
      <c r="G37" s="24" t="str">
        <f>IF(OR(E37="",E37="!!!"),"",IF(OR(J37=0,AND(J37=1,K37=1),AND(J37=1,I37="SBJ"),AND(J37=1,I37=0)),"?IN_FOCUS",IF(J37&lt;=2,"?ACTIVATED",IF(J37&lt;&gt;"","?FAMILIAR",IF(F37="NEW",IF(ISNA(VLOOKUP(E37,#REF!,1,FALSE())),"?TYPE_IDENTIFIABLE","?REFERENTIAL"),"_")))))</f>
        <v> </v>
      </c>
      <c r="H37" s="25" t="str">
        <f>IF(J37&lt;&gt;1,"",IF(I37="SBJ","CB","?"))</f>
        <v> </v>
      </c>
      <c r="I37" s="26" t="str">
        <f>IF(OR(E37="",E37="!!!",F37="NEW"),"",INDEX(B36:B$2,-1+SUMPRODUCT(MAX(ROW(E36:E$2)*(E37=E36:E$2)))))</f>
        <v> </v>
      </c>
      <c r="J37" s="26" t="str">
        <f>IF(OR(E37="",E37="!!!",F37="NEW"),"",COUNTBLANK(OFFSET(A$1,,,SUMPRODUCT(MAX(ROW(E$2:E37)*(E37=E$2:E37)))))-COUNTBLANK(OFFSET(A$1,,,SUMPRODUCT(MAX(ROW(E$1:E36)*(E2=E$1:E36))))))</f>
        <v> </v>
      </c>
      <c r="K37" s="26" t="str">
        <f>IF(OR(E37="",E37="!!!",F37="NEW"),"",INDEX(J$1:J36,SUMPRODUCT(MAX(ROW(E$1:E36)*(E37=E$1:E36)))))</f>
        <v> </v>
      </c>
      <c r="L37" s="27"/>
    </row>
    <row r="38" spans="1:12">
      <c r="A38" s="20" t="s">
        <v>770</v>
      </c>
      <c r="B38" s="21" t="s">
        <v>728</v>
      </c>
      <c r="C38" s="21" t="s">
        <v>748</v>
      </c>
      <c r="E38" s="22">
        <f>IF(D38="?OLD","!!!","")</f>
        <v/>
      </c>
      <c r="F38" s="23" t="str">
        <f>IF(OR(E38="",E38="!!!"),"",IF(NOT(ISNA(VLOOKUP(E38,E$1:E37,1,FALSE()))),"OLD",IF(AND(E38&lt;&gt;"",E38&lt;&gt;"!!!"),"NEW","")))</f>
        <v> </v>
      </c>
      <c r="G38" s="24" t="str">
        <f>IF(OR(E38="",E38="!!!"),"",IF(OR(J38=0,AND(J38=1,K38=1),AND(J38=1,I38="SBJ"),AND(J38=1,I38=0)),"?IN_FOCUS",IF(J38&lt;=2,"?ACTIVATED",IF(J38&lt;&gt;"","?FAMILIAR",IF(F38="NEW",IF(ISNA(VLOOKUP(E38,#REF!,1,FALSE())),"?TYPE_IDENTIFIABLE","?REFERENTIAL"),"_")))))</f>
        <v> </v>
      </c>
      <c r="H38" s="25" t="str">
        <f>IF(J38&lt;&gt;1,"",IF(I38="SBJ","CB","?"))</f>
        <v> </v>
      </c>
      <c r="I38" s="26" t="str">
        <f>IF(OR(E38="",E38="!!!",F38="NEW"),"",INDEX(B37:B$2,-1+SUMPRODUCT(MAX(ROW(E37:E$2)*(E38=E37:E$2)))))</f>
        <v> </v>
      </c>
      <c r="J38" s="26" t="str">
        <f>IF(OR(E38="",E38="!!!",F38="NEW"),"",COUNTBLANK(OFFSET(A$1,,,SUMPRODUCT(MAX(ROW(E$2:E38)*(E38=E$2:E38)))))-COUNTBLANK(OFFSET(A$1,,,SUMPRODUCT(MAX(ROW(E$1:E37)*(E2=E$1:E37))))))</f>
        <v> </v>
      </c>
      <c r="K38" s="26" t="str">
        <f>IF(OR(E38="",E38="!!!",F38="NEW"),"",INDEX(J$1:J37,SUMPRODUCT(MAX(ROW(E$1:E37)*(E38=E$1:E37)))))</f>
        <v> </v>
      </c>
      <c r="L38" s="27"/>
    </row>
    <row r="39" spans="1:12">
      <c r="A39" s="20" t="s">
        <v>771</v>
      </c>
      <c r="E39" s="22">
        <f>IF(D39="?OLD","!!!","")</f>
        <v/>
      </c>
      <c r="F39" s="23" t="str">
        <f>IF(OR(E39="",E39="!!!"),"",IF(NOT(ISNA(VLOOKUP(E39,E$1:E38,1,FALSE()))),"OLD",IF(AND(E39&lt;&gt;"",E39&lt;&gt;"!!!"),"NEW","")))</f>
        <v> </v>
      </c>
      <c r="G39" s="24" t="str">
        <f>IF(OR(E39="",E39="!!!"),"",IF(OR(J39=0,AND(J39=1,K39=1),AND(J39=1,I39="SBJ"),AND(J39=1,I39=0)),"?IN_FOCUS",IF(J39&lt;=2,"?ACTIVATED",IF(J39&lt;&gt;"","?FAMILIAR",IF(F39="NEW",IF(ISNA(VLOOKUP(E39,#REF!,1,FALSE())),"?TYPE_IDENTIFIABLE","?REFERENTIAL"),"_")))))</f>
        <v> </v>
      </c>
      <c r="H39" s="25" t="str">
        <f>IF(J39&lt;&gt;1,"",IF(I39="SBJ","CB","?"))</f>
        <v> </v>
      </c>
      <c r="I39" s="26" t="str">
        <f>IF(OR(E39="",E39="!!!",F39="NEW"),"",INDEX(B38:B$2,-1+SUMPRODUCT(MAX(ROW(E38:E$2)*(E39=E38:E$2)))))</f>
        <v> </v>
      </c>
      <c r="J39" s="26" t="str">
        <f>IF(OR(E39="",E39="!!!",F39="NEW"),"",COUNTBLANK(OFFSET(A$1,,,SUMPRODUCT(MAX(ROW(E$2:E39)*(E39=E$2:E39)))))-COUNTBLANK(OFFSET(A$1,,,SUMPRODUCT(MAX(ROW(E$1:E38)*(E2=E$1:E38))))))</f>
        <v> </v>
      </c>
      <c r="K39" s="26" t="str">
        <f>IF(OR(E39="",E39="!!!",F39="NEW"),"",INDEX(J$1:J38,SUMPRODUCT(MAX(ROW(E$1:E38)*(E39=E$1:E38)))))</f>
        <v> </v>
      </c>
      <c r="L39" s="27"/>
    </row>
    <row r="40" spans="1:12">
      <c r="A40" s="20" t="s">
        <v>772</v>
      </c>
      <c r="E40" s="22">
        <f>IF(D40="?OLD","!!!","")</f>
        <v/>
      </c>
      <c r="F40" s="23" t="str">
        <f>IF(OR(E40="",E40="!!!"),"",IF(NOT(ISNA(VLOOKUP(E40,E$1:E39,1,FALSE()))),"OLD",IF(AND(E40&lt;&gt;"",E40&lt;&gt;"!!!"),"NEW","")))</f>
        <v> </v>
      </c>
      <c r="G40" s="24" t="str">
        <f>IF(OR(E40="",E40="!!!"),"",IF(OR(J40=0,AND(J40=1,K40=1),AND(J40=1,I40="SBJ"),AND(J40=1,I40=0)),"?IN_FOCUS",IF(J40&lt;=2,"?ACTIVATED",IF(J40&lt;&gt;"","?FAMILIAR",IF(F40="NEW",IF(ISNA(VLOOKUP(E40,#REF!,1,FALSE())),"?TYPE_IDENTIFIABLE","?REFERENTIAL"),"_")))))</f>
        <v> </v>
      </c>
      <c r="H40" s="25" t="str">
        <f>IF(J40&lt;&gt;1,"",IF(I40="SBJ","CB","?"))</f>
        <v> </v>
      </c>
      <c r="I40" s="26" t="str">
        <f>IF(OR(E40="",E40="!!!",F40="NEW"),"",INDEX(B39:B$2,-1+SUMPRODUCT(MAX(ROW(E39:E$2)*(E40=E39:E$2)))))</f>
        <v> </v>
      </c>
      <c r="J40" s="26" t="str">
        <f>IF(OR(E40="",E40="!!!",F40="NEW"),"",COUNTBLANK(OFFSET(A$1,,,SUMPRODUCT(MAX(ROW(E$2:E40)*(E40=E$2:E40)))))-COUNTBLANK(OFFSET(A$1,,,SUMPRODUCT(MAX(ROW(E$1:E39)*(E2=E$1:E39))))))</f>
        <v> </v>
      </c>
      <c r="K40" s="26" t="str">
        <f>IF(OR(E40="",E40="!!!",F40="NEW"),"",INDEX(J$1:J39,SUMPRODUCT(MAX(ROW(E$1:E39)*(E40=E$1:E39)))))</f>
        <v> </v>
      </c>
      <c r="L40" s="27"/>
    </row>
    <row r="41" spans="1:12">
      <c r="A41" s="20" t="s">
        <v>773</v>
      </c>
      <c r="E41" s="22">
        <f>IF(D41="?OLD","!!!","")</f>
        <v/>
      </c>
      <c r="F41" s="23" t="str">
        <f>IF(OR(E41="",E41="!!!"),"",IF(NOT(ISNA(VLOOKUP(E41,E$1:E40,1,FALSE()))),"OLD",IF(AND(E41&lt;&gt;"",E41&lt;&gt;"!!!"),"NEW","")))</f>
        <v> </v>
      </c>
      <c r="G41" s="24" t="str">
        <f>IF(OR(E41="",E41="!!!"),"",IF(OR(J41=0,AND(J41=1,K41=1),AND(J41=1,I41="SBJ"),AND(J41=1,I41=0)),"?IN_FOCUS",IF(J41&lt;=2,"?ACTIVATED",IF(J41&lt;&gt;"","?FAMILIAR",IF(F41="NEW",IF(ISNA(VLOOKUP(E41,#REF!,1,FALSE())),"?TYPE_IDENTIFIABLE","?REFERENTIAL"),"_")))))</f>
        <v> </v>
      </c>
      <c r="H41" s="25" t="str">
        <f>IF(J41&lt;&gt;1,"",IF(I41="SBJ","CB","?"))</f>
        <v> </v>
      </c>
      <c r="I41" s="26" t="str">
        <f>IF(OR(E41="",E41="!!!",F41="NEW"),"",INDEX(B40:B$2,-1+SUMPRODUCT(MAX(ROW(E40:E$2)*(E41=E40:E$2)))))</f>
        <v> </v>
      </c>
      <c r="J41" s="26" t="str">
        <f>IF(OR(E41="",E41="!!!",F41="NEW"),"",COUNTBLANK(OFFSET(A$1,,,SUMPRODUCT(MAX(ROW(E$2:E41)*(E41=E$2:E41)))))-COUNTBLANK(OFFSET(A$1,,,SUMPRODUCT(MAX(ROW(E$1:E40)*(E2=E$1:E40))))))</f>
        <v> </v>
      </c>
      <c r="K41" s="26" t="str">
        <f>IF(OR(E41="",E41="!!!",F41="NEW"),"",INDEX(J$1:J40,SUMPRODUCT(MAX(ROW(E$1:E40)*(E41=E$1:E40)))))</f>
        <v> </v>
      </c>
      <c r="L41" s="27"/>
    </row>
    <row r="42" spans="1:12">
      <c r="A42" s="20" t="s">
        <v>774</v>
      </c>
      <c r="E42" s="22">
        <f>IF(D42="?OLD","!!!","")</f>
        <v/>
      </c>
      <c r="F42" s="23" t="str">
        <f>IF(OR(E42="",E42="!!!"),"",IF(NOT(ISNA(VLOOKUP(E42,E$1:E41,1,FALSE()))),"OLD",IF(AND(E42&lt;&gt;"",E42&lt;&gt;"!!!"),"NEW","")))</f>
        <v> </v>
      </c>
      <c r="G42" s="24" t="str">
        <f>IF(OR(E42="",E42="!!!"),"",IF(OR(J42=0,AND(J42=1,K42=1),AND(J42=1,I42="SBJ"),AND(J42=1,I42=0)),"?IN_FOCUS",IF(J42&lt;=2,"?ACTIVATED",IF(J42&lt;&gt;"","?FAMILIAR",IF(F42="NEW",IF(ISNA(VLOOKUP(E42,#REF!,1,FALSE())),"?TYPE_IDENTIFIABLE","?REFERENTIAL"),"_")))))</f>
        <v> </v>
      </c>
      <c r="H42" s="25" t="str">
        <f>IF(J42&lt;&gt;1,"",IF(I42="SBJ","CB","?"))</f>
        <v> </v>
      </c>
      <c r="I42" s="26" t="str">
        <f>IF(OR(E42="",E42="!!!",F42="NEW"),"",INDEX(B41:B$2,-1+SUMPRODUCT(MAX(ROW(E41:E$2)*(E42=E41:E$2)))))</f>
        <v> </v>
      </c>
      <c r="J42" s="26" t="str">
        <f>IF(OR(E42="",E42="!!!",F42="NEW"),"",COUNTBLANK(OFFSET(A$1,,,SUMPRODUCT(MAX(ROW(E$2:E42)*(E42=E$2:E42)))))-COUNTBLANK(OFFSET(A$1,,,SUMPRODUCT(MAX(ROW(E$1:E41)*(E2=E$1:E41))))))</f>
        <v> </v>
      </c>
      <c r="K42" s="26" t="str">
        <f>IF(OR(E42="",E42="!!!",F42="NEW"),"",INDEX(J$1:J41,SUMPRODUCT(MAX(ROW(E$1:E41)*(E42=E$1:E41)))))</f>
        <v> </v>
      </c>
      <c r="L42" s="27"/>
    </row>
    <row r="43" spans="1:12">
      <c r="A43" s="20" t="s">
        <v>775</v>
      </c>
      <c r="B43" s="21" t="s">
        <v>736</v>
      </c>
      <c r="C43" s="21" t="s">
        <v>737</v>
      </c>
      <c r="E43" s="22">
        <f>IF(D43="?OLD","!!!","")</f>
        <v/>
      </c>
      <c r="F43" s="23" t="str">
        <f>IF(OR(E43="",E43="!!!"),"",IF(NOT(ISNA(VLOOKUP(E43,E$1:E42,1,FALSE()))),"OLD",IF(AND(E43&lt;&gt;"",E43&lt;&gt;"!!!"),"NEW","")))</f>
        <v> </v>
      </c>
      <c r="G43" s="24" t="str">
        <f>IF(OR(E43="",E43="!!!"),"",IF(OR(J43=0,AND(J43=1,K43=1),AND(J43=1,I43="SBJ"),AND(J43=1,I43=0)),"?IN_FOCUS",IF(J43&lt;=2,"?ACTIVATED",IF(J43&lt;&gt;"","?FAMILIAR",IF(F43="NEW",IF(ISNA(VLOOKUP(E43,#REF!,1,FALSE())),"?TYPE_IDENTIFIABLE","?REFERENTIAL"),"_")))))</f>
        <v> </v>
      </c>
      <c r="H43" s="25" t="str">
        <f>IF(J43&lt;&gt;1,"",IF(I43="SBJ","CB","?"))</f>
        <v> </v>
      </c>
      <c r="I43" s="26" t="str">
        <f>IF(OR(E43="",E43="!!!",F43="NEW"),"",INDEX(B42:B$2,-1+SUMPRODUCT(MAX(ROW(E42:E$2)*(E43=E42:E$2)))))</f>
        <v> </v>
      </c>
      <c r="J43" s="26" t="str">
        <f>IF(OR(E43="",E43="!!!",F43="NEW"),"",COUNTBLANK(OFFSET(A$1,,,SUMPRODUCT(MAX(ROW(E$2:E43)*(E43=E$2:E43)))))-COUNTBLANK(OFFSET(A$1,,,SUMPRODUCT(MAX(ROW(E$1:E42)*(E2=E$1:E42))))))</f>
        <v> </v>
      </c>
      <c r="K43" s="26" t="str">
        <f>IF(OR(E43="",E43="!!!",F43="NEW"),"",INDEX(J$1:J42,SUMPRODUCT(MAX(ROW(E$1:E42)*(E43=E$1:E42)))))</f>
        <v> </v>
      </c>
      <c r="L43" s="27"/>
    </row>
    <row r="44" spans="1:12">
      <c r="A44" s="20" t="s">
        <v>759</v>
      </c>
      <c r="E44" s="22">
        <f>IF(D44="?OLD","!!!","")</f>
        <v/>
      </c>
      <c r="F44" s="23" t="str">
        <f>IF(OR(E44="",E44="!!!"),"",IF(NOT(ISNA(VLOOKUP(E44,E$1:E43,1,FALSE()))),"OLD",IF(AND(E44&lt;&gt;"",E44&lt;&gt;"!!!"),"NEW","")))</f>
        <v> </v>
      </c>
      <c r="G44" s="24" t="str">
        <f>IF(OR(E44="",E44="!!!"),"",IF(OR(J44=0,AND(J44=1,K44=1),AND(J44=1,I44="SBJ"),AND(J44=1,I44=0)),"?IN_FOCUS",IF(J44&lt;=2,"?ACTIVATED",IF(J44&lt;&gt;"","?FAMILIAR",IF(F44="NEW",IF(ISNA(VLOOKUP(E44,#REF!,1,FALSE())),"?TYPE_IDENTIFIABLE","?REFERENTIAL"),"_")))))</f>
        <v> </v>
      </c>
      <c r="H44" s="25" t="str">
        <f>IF(J44&lt;&gt;1,"",IF(I44="SBJ","CB","?"))</f>
        <v> </v>
      </c>
      <c r="I44" s="26" t="str">
        <f>IF(OR(E44="",E44="!!!",F44="NEW"),"",INDEX(B43:B$2,-1+SUMPRODUCT(MAX(ROW(E43:E$2)*(E44=E43:E$2)))))</f>
        <v> </v>
      </c>
      <c r="J44" s="26" t="str">
        <f>IF(OR(E44="",E44="!!!",F44="NEW"),"",COUNTBLANK(OFFSET(A$1,,,SUMPRODUCT(MAX(ROW(E$2:E44)*(E44=E$2:E44)))))-COUNTBLANK(OFFSET(A$1,,,SUMPRODUCT(MAX(ROW(E$1:E43)*(E2=E$1:E43))))))</f>
        <v> </v>
      </c>
      <c r="K44" s="26" t="str">
        <f>IF(OR(E44="",E44="!!!",F44="NEW"),"",INDEX(J$1:J43,SUMPRODUCT(MAX(ROW(E$1:E43)*(E44=E$1:E43)))))</f>
        <v> </v>
      </c>
      <c r="L44" s="27"/>
    </row>
    <row r="45" spans="1:12">
      <c r="A45" s="20" t="s">
        <v>774</v>
      </c>
      <c r="E45" s="22">
        <f>IF(D45="?OLD","!!!","")</f>
        <v/>
      </c>
      <c r="F45" s="23" t="str">
        <f>IF(OR(E45="",E45="!!!"),"",IF(NOT(ISNA(VLOOKUP(E45,E$1:E44,1,FALSE()))),"OLD",IF(AND(E45&lt;&gt;"",E45&lt;&gt;"!!!"),"NEW","")))</f>
        <v> </v>
      </c>
      <c r="G45" s="24" t="str">
        <f>IF(OR(E45="",E45="!!!"),"",IF(OR(J45=0,AND(J45=1,K45=1),AND(J45=1,I45="SBJ"),AND(J45=1,I45=0)),"?IN_FOCUS",IF(J45&lt;=2,"?ACTIVATED",IF(J45&lt;&gt;"","?FAMILIAR",IF(F45="NEW",IF(ISNA(VLOOKUP(E45,#REF!,1,FALSE())),"?TYPE_IDENTIFIABLE","?REFERENTIAL"),"_")))))</f>
        <v> </v>
      </c>
      <c r="H45" s="25" t="str">
        <f>IF(J45&lt;&gt;1,"",IF(I45="SBJ","CB","?"))</f>
        <v> </v>
      </c>
      <c r="I45" s="26" t="str">
        <f>IF(OR(E45="",E45="!!!",F45="NEW"),"",INDEX(B44:B$2,-1+SUMPRODUCT(MAX(ROW(E44:E$2)*(E45=E44:E$2)))))</f>
        <v> </v>
      </c>
      <c r="J45" s="26" t="str">
        <f>IF(OR(E45="",E45="!!!",F45="NEW"),"",COUNTBLANK(OFFSET(A$1,,,SUMPRODUCT(MAX(ROW(E$2:E45)*(E45=E$2:E45)))))-COUNTBLANK(OFFSET(A$1,,,SUMPRODUCT(MAX(ROW(E$1:E44)*(E2=E$1:E44))))))</f>
        <v> </v>
      </c>
      <c r="K45" s="26" t="str">
        <f>IF(OR(E45="",E45="!!!",F45="NEW"),"",INDEX(J$1:J44,SUMPRODUCT(MAX(ROW(E$1:E44)*(E45=E$1:E44)))))</f>
        <v> </v>
      </c>
      <c r="L45" s="27"/>
    </row>
    <row r="46" spans="1:12">
      <c r="A46" s="20" t="s">
        <v>738</v>
      </c>
      <c r="B46" s="21" t="s">
        <v>739</v>
      </c>
      <c r="C46" s="21" t="s">
        <v>740</v>
      </c>
      <c r="D46" s="21" t="s">
        <v>730</v>
      </c>
      <c r="E46" s="22">
        <f>IF(D46="?OLD","!!!","")</f>
        <v/>
      </c>
      <c r="F46" s="23" t="str">
        <f>IF(OR(E46="",E46="!!!"),"",IF(NOT(ISNA(VLOOKUP(E46,E$1:E45,1,FALSE()))),"OLD",IF(AND(E46&lt;&gt;"",E46&lt;&gt;"!!!"),"NEW","")))</f>
        <v> </v>
      </c>
      <c r="G46" s="24" t="str">
        <f>IF(OR(E46="",E46="!!!"),"",IF(OR(J46=0,AND(J46=1,K46=1),AND(J46=1,I46="SBJ"),AND(J46=1,I46=0)),"?IN_FOCUS",IF(J46&lt;=2,"?ACTIVATED",IF(J46&lt;&gt;"","?FAMILIAR",IF(F46="NEW",IF(ISNA(VLOOKUP(E46,#REF!,1,FALSE())),"?TYPE_IDENTIFIABLE","?REFERENTIAL"),"_")))))</f>
        <v> </v>
      </c>
      <c r="H46" s="25" t="str">
        <f>IF(J46&lt;&gt;1,"",IF(I46="SBJ","CB","?"))</f>
        <v> </v>
      </c>
      <c r="I46" s="26" t="str">
        <f>IF(OR(E46="",E46="!!!",F46="NEW"),"",INDEX(B45:B$2,-1+SUMPRODUCT(MAX(ROW(E45:E$2)*(E46=E45:E$2)))))</f>
        <v> </v>
      </c>
      <c r="J46" s="26" t="str">
        <f>IF(OR(E46="",E46="!!!",F46="NEW"),"",COUNTBLANK(OFFSET(A$1,,,SUMPRODUCT(MAX(ROW(E$2:E46)*(E46=E$2:E46)))))-COUNTBLANK(OFFSET(A$1,,,SUMPRODUCT(MAX(ROW(E$1:E45)*(E2=E$1:E45))))))</f>
        <v> </v>
      </c>
      <c r="K46" s="26" t="str">
        <f>IF(OR(E46="",E46="!!!",F46="NEW"),"",INDEX(J$1:J45,SUMPRODUCT(MAX(ROW(E$1:E45)*(E46=E$1:E45)))))</f>
        <v> </v>
      </c>
      <c r="L46" s="27"/>
    </row>
    <row r="47" spans="1:12">
      <c r="A47" s="20" t="s">
        <v>12</v>
      </c>
      <c r="E47" s="22">
        <f>IF(D47="?OLD","!!!","")</f>
        <v/>
      </c>
      <c r="F47" s="23" t="str">
        <f>IF(OR(E47="",E47="!!!"),"",IF(NOT(ISNA(VLOOKUP(E47,E$1:E46,1,FALSE()))),"OLD",IF(AND(E47&lt;&gt;"",E47&lt;&gt;"!!!"),"NEW","")))</f>
        <v> </v>
      </c>
      <c r="G47" s="24" t="str">
        <f>IF(OR(E47="",E47="!!!"),"",IF(OR(J47=0,AND(J47=1,K47=1),AND(J47=1,I47="SBJ"),AND(J47=1,I47=0)),"?IN_FOCUS",IF(J47&lt;=2,"?ACTIVATED",IF(J47&lt;&gt;"","?FAMILIAR",IF(F47="NEW",IF(ISNA(VLOOKUP(E47,#REF!,1,FALSE())),"?TYPE_IDENTIFIABLE","?REFERENTIAL"),"_")))))</f>
        <v> </v>
      </c>
      <c r="H47" s="25" t="str">
        <f>IF(J47&lt;&gt;1,"",IF(I47="SBJ","CB","?"))</f>
        <v> </v>
      </c>
      <c r="I47" s="26" t="str">
        <f>IF(OR(E47="",E47="!!!",F47="NEW"),"",INDEX(B46:B$2,-1+SUMPRODUCT(MAX(ROW(E46:E$2)*(E47=E46:E$2)))))</f>
        <v> </v>
      </c>
      <c r="J47" s="26" t="str">
        <f>IF(OR(E47="",E47="!!!",F47="NEW"),"",COUNTBLANK(OFFSET(A$1,,,SUMPRODUCT(MAX(ROW(E$2:E47)*(E47=E$2:E47)))))-COUNTBLANK(OFFSET(A$1,,,SUMPRODUCT(MAX(ROW(E$1:E46)*(E2=E$1:E46))))))</f>
        <v> </v>
      </c>
      <c r="K47" s="26" t="str">
        <f>IF(OR(E47="",E47="!!!",F47="NEW"),"",INDEX(J$1:J46,SUMPRODUCT(MAX(ROW(E$1:E46)*(E47=E$1:E46)))))</f>
        <v> </v>
      </c>
      <c r="L47" s="27"/>
    </row>
    <row r="48" spans="1:12">
      <c r="A48" s="20" t="s">
        <v>741</v>
      </c>
      <c r="E48" s="22">
        <f>IF(D48="?OLD","!!!","")</f>
        <v/>
      </c>
      <c r="F48" s="23" t="str">
        <f>IF(OR(E48="",E48="!!!"),"",IF(NOT(ISNA(VLOOKUP(E48,E$1:E47,1,FALSE()))),"OLD",IF(AND(E48&lt;&gt;"",E48&lt;&gt;"!!!"),"NEW","")))</f>
        <v> </v>
      </c>
      <c r="G48" s="24" t="str">
        <f>IF(OR(E48="",E48="!!!"),"",IF(OR(J48=0,AND(J48=1,K48=1),AND(J48=1,I48="SBJ"),AND(J48=1,I48=0)),"?IN_FOCUS",IF(J48&lt;=2,"?ACTIVATED",IF(J48&lt;&gt;"","?FAMILIAR",IF(F48="NEW",IF(ISNA(VLOOKUP(E48,#REF!,1,FALSE())),"?TYPE_IDENTIFIABLE","?REFERENTIAL"),"_")))))</f>
        <v> </v>
      </c>
      <c r="H48" s="25" t="str">
        <f>IF(J48&lt;&gt;1,"",IF(I48="SBJ","CB","?"))</f>
        <v> </v>
      </c>
      <c r="I48" s="26" t="str">
        <f>IF(OR(E48="",E48="!!!",F48="NEW"),"",INDEX(B47:B$2,-1+SUMPRODUCT(MAX(ROW(E47:E$2)*(E48=E47:E$2)))))</f>
        <v> </v>
      </c>
      <c r="J48" s="26" t="str">
        <f>IF(OR(E48="",E48="!!!",F48="NEW"),"",COUNTBLANK(OFFSET(A$1,,,SUMPRODUCT(MAX(ROW(E$2:E48)*(E48=E$2:E48)))))-COUNTBLANK(OFFSET(A$1,,,SUMPRODUCT(MAX(ROW(E$1:E47)*(E2=E$1:E47))))))</f>
        <v> </v>
      </c>
      <c r="K48" s="26" t="str">
        <f>IF(OR(E48="",E48="!!!",F48="NEW"),"",INDEX(J$1:J47,SUMPRODUCT(MAX(ROW(E$1:E47)*(E48=E$1:E47)))))</f>
        <v> </v>
      </c>
      <c r="L48" s="27"/>
    </row>
    <row r="49" spans="1:12">
      <c r="A49" s="20" t="s">
        <v>12</v>
      </c>
      <c r="E49" s="22">
        <f>IF(D49="?OLD","!!!","")</f>
        <v/>
      </c>
      <c r="F49" s="23" t="str">
        <f>IF(OR(E49="",E49="!!!"),"",IF(NOT(ISNA(VLOOKUP(E49,E$1:E48,1,FALSE()))),"OLD",IF(AND(E49&lt;&gt;"",E49&lt;&gt;"!!!"),"NEW","")))</f>
        <v> </v>
      </c>
      <c r="G49" s="24" t="str">
        <f>IF(OR(E49="",E49="!!!"),"",IF(OR(J49=0,AND(J49=1,K49=1),AND(J49=1,I49="SBJ"),AND(J49=1,I49=0)),"?IN_FOCUS",IF(J49&lt;=2,"?ACTIVATED",IF(J49&lt;&gt;"","?FAMILIAR",IF(F49="NEW",IF(ISNA(VLOOKUP(E49,#REF!,1,FALSE())),"?TYPE_IDENTIFIABLE","?REFERENTIAL"),"_")))))</f>
        <v> </v>
      </c>
      <c r="H49" s="25" t="str">
        <f>IF(J49&lt;&gt;1,"",IF(I49="SBJ","CB","?"))</f>
        <v> </v>
      </c>
      <c r="I49" s="26" t="str">
        <f>IF(OR(E49="",E49="!!!",F49="NEW"),"",INDEX(B48:B$2,-1+SUMPRODUCT(MAX(ROW(E48:E$2)*(E49=E48:E$2)))))</f>
        <v> </v>
      </c>
      <c r="J49" s="26" t="str">
        <f>IF(OR(E49="",E49="!!!",F49="NEW"),"",COUNTBLANK(OFFSET(A$1,,,SUMPRODUCT(MAX(ROW(E$2:E49)*(E49=E$2:E49)))))-COUNTBLANK(OFFSET(A$1,,,SUMPRODUCT(MAX(ROW(E$1:E48)*(E2=E$1:E48))))))</f>
        <v> </v>
      </c>
      <c r="K49" s="26" t="str">
        <f>IF(OR(E49="",E49="!!!",F49="NEW"),"",INDEX(J$1:J48,SUMPRODUCT(MAX(ROW(E$1:E48)*(E49=E$1:E48)))))</f>
        <v> </v>
      </c>
      <c r="L49" s="27"/>
    </row>
    <row r="50" spans="1:12">
      <c r="A50" s="20" t="s">
        <v>775</v>
      </c>
      <c r="E50" s="22">
        <f>IF(D50="?OLD","!!!","")</f>
        <v/>
      </c>
      <c r="F50" s="23" t="str">
        <f>IF(OR(E50="",E50="!!!"),"",IF(NOT(ISNA(VLOOKUP(E50,E$1:E49,1,FALSE()))),"OLD",IF(AND(E50&lt;&gt;"",E50&lt;&gt;"!!!"),"NEW","")))</f>
        <v> </v>
      </c>
      <c r="G50" s="24" t="str">
        <f>IF(OR(E50="",E50="!!!"),"",IF(OR(J50=0,AND(J50=1,K50=1),AND(J50=1,I50="SBJ"),AND(J50=1,I50=0)),"?IN_FOCUS",IF(J50&lt;=2,"?ACTIVATED",IF(J50&lt;&gt;"","?FAMILIAR",IF(F50="NEW",IF(ISNA(VLOOKUP(E50,#REF!,1,FALSE())),"?TYPE_IDENTIFIABLE","?REFERENTIAL"),"_")))))</f>
        <v> </v>
      </c>
      <c r="H50" s="25" t="str">
        <f>IF(J50&lt;&gt;1,"",IF(I50="SBJ","CB","?"))</f>
        <v> </v>
      </c>
      <c r="I50" s="26" t="str">
        <f>IF(OR(E50="",E50="!!!",F50="NEW"),"",INDEX(B49:B$2,-1+SUMPRODUCT(MAX(ROW(E49:E$2)*(E50=E49:E$2)))))</f>
        <v> </v>
      </c>
      <c r="J50" s="26" t="str">
        <f>IF(OR(E50="",E50="!!!",F50="NEW"),"",COUNTBLANK(OFFSET(A$1,,,SUMPRODUCT(MAX(ROW(E$2:E50)*(E50=E$2:E50)))))-COUNTBLANK(OFFSET(A$1,,,SUMPRODUCT(MAX(ROW(E$1:E49)*(E2=E$1:E49))))))</f>
        <v> </v>
      </c>
      <c r="K50" s="26" t="str">
        <f>IF(OR(E50="",E50="!!!",F50="NEW"),"",INDEX(J$1:J49,SUMPRODUCT(MAX(ROW(E$1:E49)*(E50=E$1:E49)))))</f>
        <v> </v>
      </c>
      <c r="L50" s="27"/>
    </row>
    <row r="51" spans="1:12">
      <c r="A51" s="20" t="s">
        <v>759</v>
      </c>
      <c r="E51" s="22">
        <f>IF(D51="?OLD","!!!","")</f>
        <v/>
      </c>
      <c r="F51" s="23" t="str">
        <f>IF(OR(E51="",E51="!!!"),"",IF(NOT(ISNA(VLOOKUP(E51,E$1:E50,1,FALSE()))),"OLD",IF(AND(E51&lt;&gt;"",E51&lt;&gt;"!!!"),"NEW","")))</f>
        <v> </v>
      </c>
      <c r="G51" s="24" t="str">
        <f>IF(OR(E51="",E51="!!!"),"",IF(OR(J51=0,AND(J51=1,K51=1),AND(J51=1,I51="SBJ"),AND(J51=1,I51=0)),"?IN_FOCUS",IF(J51&lt;=2,"?ACTIVATED",IF(J51&lt;&gt;"","?FAMILIAR",IF(F51="NEW",IF(ISNA(VLOOKUP(E51,#REF!,1,FALSE())),"?TYPE_IDENTIFIABLE","?REFERENTIAL"),"_")))))</f>
        <v> </v>
      </c>
      <c r="H51" s="25" t="str">
        <f>IF(J51&lt;&gt;1,"",IF(I51="SBJ","CB","?"))</f>
        <v> </v>
      </c>
      <c r="I51" s="26" t="str">
        <f>IF(OR(E51="",E51="!!!",F51="NEW"),"",INDEX(B50:B$2,-1+SUMPRODUCT(MAX(ROW(E50:E$2)*(E51=E50:E$2)))))</f>
        <v> </v>
      </c>
      <c r="J51" s="26" t="str">
        <f>IF(OR(E51="",E51="!!!",F51="NEW"),"",COUNTBLANK(OFFSET(A$1,,,SUMPRODUCT(MAX(ROW(E$2:E51)*(E51=E$2:E51)))))-COUNTBLANK(OFFSET(A$1,,,SUMPRODUCT(MAX(ROW(E$1:E50)*(E2=E$1:E50))))))</f>
        <v> </v>
      </c>
      <c r="K51" s="26" t="str">
        <f>IF(OR(E51="",E51="!!!",F51="NEW"),"",INDEX(J$1:J50,SUMPRODUCT(MAX(ROW(E$1:E50)*(E51=E$1:E50)))))</f>
        <v> </v>
      </c>
      <c r="L51" s="27"/>
    </row>
    <row r="52" spans="1:12">
      <c r="A52" s="20" t="s">
        <v>776</v>
      </c>
      <c r="B52" s="21" t="s">
        <v>777</v>
      </c>
      <c r="E52" s="22">
        <f>IF(D52="?OLD","!!!","")</f>
        <v/>
      </c>
      <c r="F52" s="23" t="str">
        <f>IF(OR(E52="",E52="!!!"),"",IF(NOT(ISNA(VLOOKUP(E52,E$1:E51,1,FALSE()))),"OLD",IF(AND(E52&lt;&gt;"",E52&lt;&gt;"!!!"),"NEW","")))</f>
        <v> </v>
      </c>
      <c r="G52" s="24" t="str">
        <f>IF(OR(E52="",E52="!!!"),"",IF(OR(J52=0,AND(J52=1,K52=1),AND(J52=1,I52="SBJ"),AND(J52=1,I52=0)),"?IN_FOCUS",IF(J52&lt;=2,"?ACTIVATED",IF(J52&lt;&gt;"","?FAMILIAR",IF(F52="NEW",IF(ISNA(VLOOKUP(E52,#REF!,1,FALSE())),"?TYPE_IDENTIFIABLE","?REFERENTIAL"),"_")))))</f>
        <v> </v>
      </c>
      <c r="H52" s="25" t="str">
        <f>IF(J52&lt;&gt;1,"",IF(I52="SBJ","CB","?"))</f>
        <v> </v>
      </c>
      <c r="I52" s="26" t="str">
        <f>IF(OR(E52="",E52="!!!",F52="NEW"),"",INDEX(B51:B$2,-1+SUMPRODUCT(MAX(ROW(E51:E$2)*(E52=E51:E$2)))))</f>
        <v> </v>
      </c>
      <c r="J52" s="26" t="str">
        <f>IF(OR(E52="",E52="!!!",F52="NEW"),"",COUNTBLANK(OFFSET(A$1,,,SUMPRODUCT(MAX(ROW(E$2:E52)*(E52=E$2:E52)))))-COUNTBLANK(OFFSET(A$1,,,SUMPRODUCT(MAX(ROW(E$1:E51)*(E2=E$1:E51))))))</f>
        <v> </v>
      </c>
      <c r="K52" s="26" t="str">
        <f>IF(OR(E52="",E52="!!!",F52="NEW"),"",INDEX(J$1:J51,SUMPRODUCT(MAX(ROW(E$1:E51)*(E52=E$1:E51)))))</f>
        <v> </v>
      </c>
      <c r="L52" s="27"/>
    </row>
    <row r="53" spans="1:12">
      <c r="A53" s="20" t="s">
        <v>769</v>
      </c>
      <c r="B53" s="21" t="s">
        <v>778</v>
      </c>
      <c r="C53" s="21" t="s">
        <v>746</v>
      </c>
      <c r="D53" s="21" t="s">
        <v>730</v>
      </c>
      <c r="E53" s="22">
        <f>IF(D53="?OLD","!!!","")</f>
        <v/>
      </c>
      <c r="F53" s="23" t="str">
        <f>IF(OR(E53="",E53="!!!"),"",IF(NOT(ISNA(VLOOKUP(E53,E$1:E52,1,FALSE()))),"OLD",IF(AND(E53&lt;&gt;"",E53&lt;&gt;"!!!"),"NEW","")))</f>
        <v> </v>
      </c>
      <c r="G53" s="24" t="str">
        <f>IF(OR(E53="",E53="!!!"),"",IF(OR(J53=0,AND(J53=1,K53=1),AND(J53=1,I53="SBJ"),AND(J53=1,I53=0)),"?IN_FOCUS",IF(J53&lt;=2,"?ACTIVATED",IF(J53&lt;&gt;"","?FAMILIAR",IF(F53="NEW",IF(ISNA(VLOOKUP(E53,#REF!,1,FALSE())),"?TYPE_IDENTIFIABLE","?REFERENTIAL"),"_")))))</f>
        <v> </v>
      </c>
      <c r="H53" s="25" t="str">
        <f>IF(J53&lt;&gt;1,"",IF(I53="SBJ","CB","?"))</f>
        <v> </v>
      </c>
      <c r="I53" s="26" t="str">
        <f>IF(OR(E53="",E53="!!!",F53="NEW"),"",INDEX(B52:B$2,-1+SUMPRODUCT(MAX(ROW(E52:E$2)*(E53=E52:E$2)))))</f>
        <v> </v>
      </c>
      <c r="J53" s="26" t="str">
        <f>IF(OR(E53="",E53="!!!",F53="NEW"),"",COUNTBLANK(OFFSET(A$1,,,SUMPRODUCT(MAX(ROW(E$2:E53)*(E53=E$2:E53)))))-COUNTBLANK(OFFSET(A$1,,,SUMPRODUCT(MAX(ROW(E$1:E52)*(E2=E$1:E52))))))</f>
        <v> </v>
      </c>
      <c r="K53" s="26" t="str">
        <f>IF(OR(E53="",E53="!!!",F53="NEW"),"",INDEX(J$1:J52,SUMPRODUCT(MAX(ROW(E$1:E52)*(E53=E$1:E52)))))</f>
        <v> </v>
      </c>
      <c r="L53" s="27"/>
    </row>
    <row r="54" spans="1:12">
      <c r="A54" s="20" t="s">
        <v>779</v>
      </c>
      <c r="B54" s="21" t="s">
        <v>780</v>
      </c>
      <c r="C54" s="21" t="s">
        <v>748</v>
      </c>
      <c r="E54" s="22">
        <f>IF(D54="?OLD","!!!","")</f>
        <v/>
      </c>
      <c r="F54" s="23" t="str">
        <f>IF(OR(E54="",E54="!!!"),"",IF(NOT(ISNA(VLOOKUP(E54,E$1:E53,1,FALSE()))),"OLD",IF(AND(E54&lt;&gt;"",E54&lt;&gt;"!!!"),"NEW","")))</f>
        <v> </v>
      </c>
      <c r="G54" s="24" t="str">
        <f>IF(OR(E54="",E54="!!!"),"",IF(OR(J54=0,AND(J54=1,K54=1),AND(J54=1,I54="SBJ"),AND(J54=1,I54=0)),"?IN_FOCUS",IF(J54&lt;=2,"?ACTIVATED",IF(J54&lt;&gt;"","?FAMILIAR",IF(F54="NEW",IF(ISNA(VLOOKUP(E54,#REF!,1,FALSE())),"?TYPE_IDENTIFIABLE","?REFERENTIAL"),"_")))))</f>
        <v> </v>
      </c>
      <c r="H54" s="25" t="str">
        <f>IF(J54&lt;&gt;1,"",IF(I54="SBJ","CB","?"))</f>
        <v> </v>
      </c>
      <c r="I54" s="26" t="str">
        <f>IF(OR(E54="",E54="!!!",F54="NEW"),"",INDEX(B53:B$2,-1+SUMPRODUCT(MAX(ROW(E53:E$2)*(E54=E53:E$2)))))</f>
        <v> </v>
      </c>
      <c r="J54" s="26" t="str">
        <f>IF(OR(E54="",E54="!!!",F54="NEW"),"",COUNTBLANK(OFFSET(A$1,,,SUMPRODUCT(MAX(ROW(E$2:E54)*(E54=E$2:E54)))))-COUNTBLANK(OFFSET(A$1,,,SUMPRODUCT(MAX(ROW(E$1:E53)*(E2=E$1:E53))))))</f>
        <v> </v>
      </c>
      <c r="K54" s="26" t="str">
        <f>IF(OR(E54="",E54="!!!",F54="NEW"),"",INDEX(J$1:J53,SUMPRODUCT(MAX(ROW(E$1:E53)*(E54=E$1:E53)))))</f>
        <v> </v>
      </c>
      <c r="L54" s="27"/>
    </row>
    <row r="55" spans="1:12">
      <c r="A55" s="20" t="s">
        <v>773</v>
      </c>
      <c r="E55" s="22">
        <f>IF(D55="?OLD","!!!","")</f>
        <v/>
      </c>
      <c r="F55" s="23" t="str">
        <f>IF(OR(E55="",E55="!!!"),"",IF(NOT(ISNA(VLOOKUP(E55,E$1:E54,1,FALSE()))),"OLD",IF(AND(E55&lt;&gt;"",E55&lt;&gt;"!!!"),"NEW","")))</f>
        <v> </v>
      </c>
      <c r="G55" s="24" t="str">
        <f>IF(OR(E55="",E55="!!!"),"",IF(OR(J55=0,AND(J55=1,K55=1),AND(J55=1,I55="SBJ"),AND(J55=1,I55=0)),"?IN_FOCUS",IF(J55&lt;=2,"?ACTIVATED",IF(J55&lt;&gt;"","?FAMILIAR",IF(F55="NEW",IF(ISNA(VLOOKUP(E55,#REF!,1,FALSE())),"?TYPE_IDENTIFIABLE","?REFERENTIAL"),"_")))))</f>
        <v> </v>
      </c>
      <c r="H55" s="25" t="str">
        <f>IF(J55&lt;&gt;1,"",IF(I55="SBJ","CB","?"))</f>
        <v> </v>
      </c>
      <c r="I55" s="26" t="str">
        <f>IF(OR(E55="",E55="!!!",F55="NEW"),"",INDEX(B54:B$2,-1+SUMPRODUCT(MAX(ROW(E54:E$2)*(E55=E54:E$2)))))</f>
        <v> </v>
      </c>
      <c r="J55" s="26" t="str">
        <f>IF(OR(E55="",E55="!!!",F55="NEW"),"",COUNTBLANK(OFFSET(A$1,,,SUMPRODUCT(MAX(ROW(E$2:E55)*(E55=E$2:E55)))))-COUNTBLANK(OFFSET(A$1,,,SUMPRODUCT(MAX(ROW(E$1:E54)*(E2=E$1:E54))))))</f>
        <v> </v>
      </c>
      <c r="K55" s="26" t="str">
        <f>IF(OR(E55="",E55="!!!",F55="NEW"),"",INDEX(J$1:J54,SUMPRODUCT(MAX(ROW(E$1:E54)*(E55=E$1:E54)))))</f>
        <v> </v>
      </c>
      <c r="L55" s="27"/>
    </row>
    <row r="56" spans="1:12">
      <c r="A56" s="20" t="s">
        <v>781</v>
      </c>
      <c r="E56" s="22">
        <f>IF(D56="?OLD","!!!","")</f>
        <v/>
      </c>
      <c r="F56" s="23" t="str">
        <f>IF(OR(E56="",E56="!!!"),"",IF(NOT(ISNA(VLOOKUP(E56,E$1:E55,1,FALSE()))),"OLD",IF(AND(E56&lt;&gt;"",E56&lt;&gt;"!!!"),"NEW","")))</f>
        <v> </v>
      </c>
      <c r="G56" s="24" t="str">
        <f>IF(OR(E56="",E56="!!!"),"",IF(OR(J56=0,AND(J56=1,K56=1),AND(J56=1,I56="SBJ"),AND(J56=1,I56=0)),"?IN_FOCUS",IF(J56&lt;=2,"?ACTIVATED",IF(J56&lt;&gt;"","?FAMILIAR",IF(F56="NEW",IF(ISNA(VLOOKUP(E56,#REF!,1,FALSE())),"?TYPE_IDENTIFIABLE","?REFERENTIAL"),"_")))))</f>
        <v> </v>
      </c>
      <c r="H56" s="25" t="str">
        <f>IF(J56&lt;&gt;1,"",IF(I56="SBJ","CB","?"))</f>
        <v> </v>
      </c>
      <c r="I56" s="26" t="str">
        <f>IF(OR(E56="",E56="!!!",F56="NEW"),"",INDEX(B55:B$2,-1+SUMPRODUCT(MAX(ROW(E55:E$2)*(E56=E55:E$2)))))</f>
        <v> </v>
      </c>
      <c r="J56" s="26" t="str">
        <f>IF(OR(E56="",E56="!!!",F56="NEW"),"",COUNTBLANK(OFFSET(A$1,,,SUMPRODUCT(MAX(ROW(E$2:E56)*(E56=E$2:E56)))))-COUNTBLANK(OFFSET(A$1,,,SUMPRODUCT(MAX(ROW(E$1:E55)*(E2=E$1:E55))))))</f>
        <v> </v>
      </c>
      <c r="K56" s="26" t="str">
        <f>IF(OR(E56="",E56="!!!",F56="NEW"),"",INDEX(J$1:J55,SUMPRODUCT(MAX(ROW(E$1:E55)*(E56=E$1:E55)))))</f>
        <v> </v>
      </c>
      <c r="L56" s="27"/>
    </row>
    <row r="57" spans="1:12">
      <c r="A57" s="20" t="s">
        <v>782</v>
      </c>
      <c r="B57" s="21" t="s">
        <v>783</v>
      </c>
      <c r="C57" s="21" t="s">
        <v>748</v>
      </c>
      <c r="E57" s="22">
        <f>IF(D57="?OLD","!!!","")</f>
        <v/>
      </c>
      <c r="F57" s="23" t="str">
        <f>IF(OR(E57="",E57="!!!"),"",IF(NOT(ISNA(VLOOKUP(E57,E$1:E56,1,FALSE()))),"OLD",IF(AND(E57&lt;&gt;"",E57&lt;&gt;"!!!"),"NEW","")))</f>
        <v> </v>
      </c>
      <c r="G57" s="24" t="str">
        <f>IF(OR(E57="",E57="!!!"),"",IF(OR(J57=0,AND(J57=1,K57=1),AND(J57=1,I57="SBJ"),AND(J57=1,I57=0)),"?IN_FOCUS",IF(J57&lt;=2,"?ACTIVATED",IF(J57&lt;&gt;"","?FAMILIAR",IF(F57="NEW",IF(ISNA(VLOOKUP(E57,#REF!,1,FALSE())),"?TYPE_IDENTIFIABLE","?REFERENTIAL"),"_")))))</f>
        <v> </v>
      </c>
      <c r="H57" s="25" t="str">
        <f>IF(J57&lt;&gt;1,"",IF(I57="SBJ","CB","?"))</f>
        <v> </v>
      </c>
      <c r="I57" s="26" t="str">
        <f>IF(OR(E57="",E57="!!!",F57="NEW"),"",INDEX(B56:B$2,-1+SUMPRODUCT(MAX(ROW(E56:E$2)*(E57=E56:E$2)))))</f>
        <v> </v>
      </c>
      <c r="J57" s="26" t="str">
        <f>IF(OR(E57="",E57="!!!",F57="NEW"),"",COUNTBLANK(OFFSET(A$1,,,SUMPRODUCT(MAX(ROW(E$2:E57)*(E57=E$2:E57)))))-COUNTBLANK(OFFSET(A$1,,,SUMPRODUCT(MAX(ROW(E$1:E56)*(E2=E$1:E56))))))</f>
        <v> </v>
      </c>
      <c r="K57" s="26" t="str">
        <f>IF(OR(E57="",E57="!!!",F57="NEW"),"",INDEX(J$1:J56,SUMPRODUCT(MAX(ROW(E$1:E56)*(E57=E$1:E56)))))</f>
        <v> </v>
      </c>
      <c r="L57" s="27"/>
    </row>
    <row r="58" spans="1:12">
      <c r="A58" s="20" t="s">
        <v>784</v>
      </c>
      <c r="E58" s="22">
        <f>IF(D58="?OLD","!!!","")</f>
        <v/>
      </c>
      <c r="F58" s="23" t="str">
        <f>IF(OR(E58="",E58="!!!"),"",IF(NOT(ISNA(VLOOKUP(E58,E$1:E57,1,FALSE()))),"OLD",IF(AND(E58&lt;&gt;"",E58&lt;&gt;"!!!"),"NEW","")))</f>
        <v> </v>
      </c>
      <c r="G58" s="24" t="str">
        <f>IF(OR(E58="",E58="!!!"),"",IF(OR(J58=0,AND(J58=1,K58=1),AND(J58=1,I58="SBJ"),AND(J58=1,I58=0)),"?IN_FOCUS",IF(J58&lt;=2,"?ACTIVATED",IF(J58&lt;&gt;"","?FAMILIAR",IF(F58="NEW",IF(ISNA(VLOOKUP(E58,#REF!,1,FALSE())),"?TYPE_IDENTIFIABLE","?REFERENTIAL"),"_")))))</f>
        <v> </v>
      </c>
      <c r="H58" s="25" t="str">
        <f>IF(J58&lt;&gt;1,"",IF(I58="SBJ","CB","?"))</f>
        <v> </v>
      </c>
      <c r="I58" s="26" t="str">
        <f>IF(OR(E58="",E58="!!!",F58="NEW"),"",INDEX(B57:B$2,-1+SUMPRODUCT(MAX(ROW(E57:E$2)*(E58=E57:E$2)))))</f>
        <v> </v>
      </c>
      <c r="J58" s="26" t="str">
        <f>IF(OR(E58="",E58="!!!",F58="NEW"),"",COUNTBLANK(OFFSET(A$1,,,SUMPRODUCT(MAX(ROW(E$2:E58)*(E58=E$2:E58)))))-COUNTBLANK(OFFSET(A$1,,,SUMPRODUCT(MAX(ROW(E$1:E57)*(E2=E$1:E57))))))</f>
        <v> </v>
      </c>
      <c r="K58" s="26" t="str">
        <f>IF(OR(E58="",E58="!!!",F58="NEW"),"",INDEX(J$1:J57,SUMPRODUCT(MAX(ROW(E$1:E57)*(E58=E$1:E57)))))</f>
        <v> </v>
      </c>
      <c r="L58" s="27"/>
    </row>
    <row r="59" spans="1:12">
      <c r="A59" s="20" t="s">
        <v>785</v>
      </c>
      <c r="E59" s="22">
        <f>IF(D59="?OLD","!!!","")</f>
        <v/>
      </c>
      <c r="F59" s="23" t="str">
        <f>IF(OR(E59="",E59="!!!"),"",IF(NOT(ISNA(VLOOKUP(E59,E$1:E58,1,FALSE()))),"OLD",IF(AND(E59&lt;&gt;"",E59&lt;&gt;"!!!"),"NEW","")))</f>
        <v> </v>
      </c>
      <c r="G59" s="24" t="str">
        <f>IF(OR(E59="",E59="!!!"),"",IF(OR(J59=0,AND(J59=1,K59=1),AND(J59=1,I59="SBJ"),AND(J59=1,I59=0)),"?IN_FOCUS",IF(J59&lt;=2,"?ACTIVATED",IF(J59&lt;&gt;"","?FAMILIAR",IF(F59="NEW",IF(ISNA(VLOOKUP(E59,#REF!,1,FALSE())),"?TYPE_IDENTIFIABLE","?REFERENTIAL"),"_")))))</f>
        <v> </v>
      </c>
      <c r="H59" s="25" t="str">
        <f>IF(J59&lt;&gt;1,"",IF(I59="SBJ","CB","?"))</f>
        <v> </v>
      </c>
      <c r="I59" s="26" t="str">
        <f>IF(OR(E59="",E59="!!!",F59="NEW"),"",INDEX(B58:B$2,-1+SUMPRODUCT(MAX(ROW(E58:E$2)*(E59=E58:E$2)))))</f>
        <v> </v>
      </c>
      <c r="J59" s="26" t="str">
        <f>IF(OR(E59="",E59="!!!",F59="NEW"),"",COUNTBLANK(OFFSET(A$1,,,SUMPRODUCT(MAX(ROW(E$2:E59)*(E59=E$2:E59)))))-COUNTBLANK(OFFSET(A$1,,,SUMPRODUCT(MAX(ROW(E$1:E58)*(E2=E$1:E58))))))</f>
        <v> </v>
      </c>
      <c r="K59" s="26" t="str">
        <f>IF(OR(E59="",E59="!!!",F59="NEW"),"",INDEX(J$1:J58,SUMPRODUCT(MAX(ROW(E$1:E58)*(E59=E$1:E58)))))</f>
        <v> </v>
      </c>
      <c r="L59" s="27"/>
    </row>
    <row r="60" spans="1:12">
      <c r="A60" s="20" t="s">
        <v>742</v>
      </c>
      <c r="E60" s="22">
        <f>IF(D60="?OLD","!!!","")</f>
        <v/>
      </c>
      <c r="F60" s="23" t="str">
        <f>IF(OR(E60="",E60="!!!"),"",IF(NOT(ISNA(VLOOKUP(E60,E$1:E59,1,FALSE()))),"OLD",IF(AND(E60&lt;&gt;"",E60&lt;&gt;"!!!"),"NEW","")))</f>
        <v> </v>
      </c>
      <c r="G60" s="24" t="str">
        <f>IF(OR(E60="",E60="!!!"),"",IF(OR(J60=0,AND(J60=1,K60=1),AND(J60=1,I60="SBJ"),AND(J60=1,I60=0)),"?IN_FOCUS",IF(J60&lt;=2,"?ACTIVATED",IF(J60&lt;&gt;"","?FAMILIAR",IF(F60="NEW",IF(ISNA(VLOOKUP(E60,#REF!,1,FALSE())),"?TYPE_IDENTIFIABLE","?REFERENTIAL"),"_")))))</f>
        <v> </v>
      </c>
      <c r="H60" s="25" t="str">
        <f>IF(J60&lt;&gt;1,"",IF(I60="SBJ","CB","?"))</f>
        <v> </v>
      </c>
      <c r="I60" s="26" t="str">
        <f>IF(OR(E60="",E60="!!!",F60="NEW"),"",INDEX(B59:B$2,-1+SUMPRODUCT(MAX(ROW(E59:E$2)*(E60=E59:E$2)))))</f>
        <v> </v>
      </c>
      <c r="J60" s="26" t="str">
        <f>IF(OR(E60="",E60="!!!",F60="NEW"),"",COUNTBLANK(OFFSET(A$1,,,SUMPRODUCT(MAX(ROW(E$2:E60)*(E60=E$2:E60)))))-COUNTBLANK(OFFSET(A$1,,,SUMPRODUCT(MAX(ROW(E$1:E59)*(E2=E$1:E59))))))</f>
        <v> </v>
      </c>
      <c r="K60" s="26" t="str">
        <f>IF(OR(E60="",E60="!!!",F60="NEW"),"",INDEX(J$1:J59,SUMPRODUCT(MAX(ROW(E$1:E59)*(E60=E$1:E59)))))</f>
        <v> </v>
      </c>
      <c r="L60" s="27"/>
    </row>
    <row r="61" spans="1:12">
      <c r="A61" s="20" t="s">
        <v>786</v>
      </c>
      <c r="E61" s="22">
        <f>IF(D61="?OLD","!!!","")</f>
        <v/>
      </c>
      <c r="F61" s="23" t="str">
        <f>IF(OR(E61="",E61="!!!"),"",IF(NOT(ISNA(VLOOKUP(E61,E$1:E60,1,FALSE()))),"OLD",IF(AND(E61&lt;&gt;"",E61&lt;&gt;"!!!"),"NEW","")))</f>
        <v> </v>
      </c>
      <c r="G61" s="24" t="str">
        <f>IF(OR(E61="",E61="!!!"),"",IF(OR(J61=0,AND(J61=1,K61=1),AND(J61=1,I61="SBJ"),AND(J61=1,I61=0)),"?IN_FOCUS",IF(J61&lt;=2,"?ACTIVATED",IF(J61&lt;&gt;"","?FAMILIAR",IF(F61="NEW",IF(ISNA(VLOOKUP(E61,#REF!,1,FALSE())),"?TYPE_IDENTIFIABLE","?REFERENTIAL"),"_")))))</f>
        <v> </v>
      </c>
      <c r="H61" s="25" t="str">
        <f>IF(J61&lt;&gt;1,"",IF(I61="SBJ","CB","?"))</f>
        <v> </v>
      </c>
      <c r="I61" s="26" t="str">
        <f>IF(OR(E61="",E61="!!!",F61="NEW"),"",INDEX(B60:B$2,-1+SUMPRODUCT(MAX(ROW(E60:E$2)*(E61=E60:E$2)))))</f>
        <v> </v>
      </c>
      <c r="J61" s="26" t="str">
        <f>IF(OR(E61="",E61="!!!",F61="NEW"),"",COUNTBLANK(OFFSET(A$1,,,SUMPRODUCT(MAX(ROW(E$2:E61)*(E61=E$2:E61)))))-COUNTBLANK(OFFSET(A$1,,,SUMPRODUCT(MAX(ROW(E$1:E60)*(E2=E$1:E60))))))</f>
        <v> </v>
      </c>
      <c r="K61" s="26" t="str">
        <f>IF(OR(E61="",E61="!!!",F61="NEW"),"",INDEX(J$1:J60,SUMPRODUCT(MAX(ROW(E$1:E60)*(E61=E$1:E60)))))</f>
        <v> </v>
      </c>
      <c r="L61" s="27"/>
    </row>
    <row r="62" spans="1:12">
      <c r="A62" s="20" t="s">
        <v>787</v>
      </c>
      <c r="B62" s="21" t="s">
        <v>783</v>
      </c>
      <c r="C62" s="21" t="s">
        <v>748</v>
      </c>
      <c r="E62" s="22">
        <f>IF(D62="?OLD","!!!","")</f>
        <v/>
      </c>
      <c r="F62" s="23" t="str">
        <f>IF(OR(E62="",E62="!!!"),"",IF(NOT(ISNA(VLOOKUP(E62,E$1:E61,1,FALSE()))),"OLD",IF(AND(E62&lt;&gt;"",E62&lt;&gt;"!!!"),"NEW","")))</f>
        <v> </v>
      </c>
      <c r="G62" s="24" t="str">
        <f>IF(OR(E62="",E62="!!!"),"",IF(OR(J62=0,AND(J62=1,K62=1),AND(J62=1,I62="SBJ"),AND(J62=1,I62=0)),"?IN_FOCUS",IF(J62&lt;=2,"?ACTIVATED",IF(J62&lt;&gt;"","?FAMILIAR",IF(F62="NEW",IF(ISNA(VLOOKUP(E62,#REF!,1,FALSE())),"?TYPE_IDENTIFIABLE","?REFERENTIAL"),"_")))))</f>
        <v> </v>
      </c>
      <c r="H62" s="25" t="str">
        <f>IF(J62&lt;&gt;1,"",IF(I62="SBJ","CB","?"))</f>
        <v> </v>
      </c>
      <c r="I62" s="26" t="str">
        <f>IF(OR(E62="",E62="!!!",F62="NEW"),"",INDEX(B61:B$2,-1+SUMPRODUCT(MAX(ROW(E61:E$2)*(E62=E61:E$2)))))</f>
        <v> </v>
      </c>
      <c r="J62" s="26" t="str">
        <f>IF(OR(E62="",E62="!!!",F62="NEW"),"",COUNTBLANK(OFFSET(A$1,,,SUMPRODUCT(MAX(ROW(E$2:E62)*(E62=E$2:E62)))))-COUNTBLANK(OFFSET(A$1,,,SUMPRODUCT(MAX(ROW(E$1:E61)*(E2=E$1:E61))))))</f>
        <v> </v>
      </c>
      <c r="K62" s="26" t="str">
        <f>IF(OR(E62="",E62="!!!",F62="NEW"),"",INDEX(J$1:J61,SUMPRODUCT(MAX(ROW(E$1:E61)*(E62=E$1:E61)))))</f>
        <v> </v>
      </c>
      <c r="L62" s="27"/>
    </row>
    <row r="63" spans="1:12">
      <c r="A63" s="20" t="s">
        <v>769</v>
      </c>
      <c r="B63" s="21" t="s">
        <v>788</v>
      </c>
      <c r="C63" s="21" t="s">
        <v>789</v>
      </c>
      <c r="D63" s="21" t="s">
        <v>730</v>
      </c>
      <c r="E63" s="22">
        <f>IF(D63="?OLD","!!!","")</f>
        <v/>
      </c>
      <c r="F63" s="23" t="str">
        <f>IF(OR(E63="",E63="!!!"),"",IF(NOT(ISNA(VLOOKUP(E63,E$1:E62,1,FALSE()))),"OLD",IF(AND(E63&lt;&gt;"",E63&lt;&gt;"!!!"),"NEW","")))</f>
        <v> </v>
      </c>
      <c r="G63" s="24" t="str">
        <f>IF(OR(E63="",E63="!!!"),"",IF(OR(J63=0,AND(J63=1,K63=1),AND(J63=1,I63="SBJ"),AND(J63=1,I63=0)),"?IN_FOCUS",IF(J63&lt;=2,"?ACTIVATED",IF(J63&lt;&gt;"","?FAMILIAR",IF(F63="NEW",IF(ISNA(VLOOKUP(E63,#REF!,1,FALSE())),"?TYPE_IDENTIFIABLE","?REFERENTIAL"),"_")))))</f>
        <v> </v>
      </c>
      <c r="H63" s="25" t="str">
        <f>IF(J63&lt;&gt;1,"",IF(I63="SBJ","CB","?"))</f>
        <v> </v>
      </c>
      <c r="I63" s="26" t="str">
        <f>IF(OR(E63="",E63="!!!",F63="NEW"),"",INDEX(B62:B$2,-1+SUMPRODUCT(MAX(ROW(E62:E$2)*(E63=E62:E$2)))))</f>
        <v> </v>
      </c>
      <c r="J63" s="26" t="str">
        <f>IF(OR(E63="",E63="!!!",F63="NEW"),"",COUNTBLANK(OFFSET(A$1,,,SUMPRODUCT(MAX(ROW(E$2:E63)*(E63=E$2:E63)))))-COUNTBLANK(OFFSET(A$1,,,SUMPRODUCT(MAX(ROW(E$1:E62)*(E2=E$1:E62))))))</f>
        <v> </v>
      </c>
      <c r="K63" s="26" t="str">
        <f>IF(OR(E63="",E63="!!!",F63="NEW"),"",INDEX(J$1:J62,SUMPRODUCT(MAX(ROW(E$1:E62)*(E63=E$1:E62)))))</f>
        <v> </v>
      </c>
      <c r="L63" s="27"/>
    </row>
    <row r="64" spans="1:12">
      <c r="A64" s="20" t="s">
        <v>790</v>
      </c>
      <c r="B64" s="21" t="s">
        <v>791</v>
      </c>
      <c r="E64" s="22">
        <f>IF(D64="?OLD","!!!","")</f>
        <v/>
      </c>
      <c r="F64" s="23" t="str">
        <f>IF(OR(E64="",E64="!!!"),"",IF(NOT(ISNA(VLOOKUP(E64,E$1:E63,1,FALSE()))),"OLD",IF(AND(E64&lt;&gt;"",E64&lt;&gt;"!!!"),"NEW","")))</f>
        <v> </v>
      </c>
      <c r="G64" s="24" t="str">
        <f>IF(OR(E64="",E64="!!!"),"",IF(OR(J64=0,AND(J64=1,K64=1),AND(J64=1,I64="SBJ"),AND(J64=1,I64=0)),"?IN_FOCUS",IF(J64&lt;=2,"?ACTIVATED",IF(J64&lt;&gt;"","?FAMILIAR",IF(F64="NEW",IF(ISNA(VLOOKUP(E64,#REF!,1,FALSE())),"?TYPE_IDENTIFIABLE","?REFERENTIAL"),"_")))))</f>
        <v> </v>
      </c>
      <c r="H64" s="25" t="str">
        <f>IF(J64&lt;&gt;1,"",IF(I64="SBJ","CB","?"))</f>
        <v> </v>
      </c>
      <c r="I64" s="26" t="str">
        <f>IF(OR(E64="",E64="!!!",F64="NEW"),"",INDEX(B63:B$2,-1+SUMPRODUCT(MAX(ROW(E63:E$2)*(E64=E63:E$2)))))</f>
        <v> </v>
      </c>
      <c r="J64" s="26" t="str">
        <f>IF(OR(E64="",E64="!!!",F64="NEW"),"",COUNTBLANK(OFFSET(A$1,,,SUMPRODUCT(MAX(ROW(E$2:E64)*(E64=E$2:E64)))))-COUNTBLANK(OFFSET(A$1,,,SUMPRODUCT(MAX(ROW(E$1:E63)*(E2=E$1:E63))))))</f>
        <v> </v>
      </c>
      <c r="K64" s="26" t="str">
        <f>IF(OR(E64="",E64="!!!",F64="NEW"),"",INDEX(J$1:J63,SUMPRODUCT(MAX(ROW(E$1:E63)*(E64=E$1:E63)))))</f>
        <v> </v>
      </c>
      <c r="L64" s="27"/>
    </row>
    <row r="65" spans="1:12">
      <c r="A65" s="20" t="s">
        <v>773</v>
      </c>
      <c r="E65" s="22">
        <f>IF(D65="?OLD","!!!","")</f>
        <v/>
      </c>
      <c r="F65" s="23" t="str">
        <f>IF(OR(E65="",E65="!!!"),"",IF(NOT(ISNA(VLOOKUP(E65,E$1:E64,1,FALSE()))),"OLD",IF(AND(E65&lt;&gt;"",E65&lt;&gt;"!!!"),"NEW","")))</f>
        <v> </v>
      </c>
      <c r="G65" s="24" t="str">
        <f>IF(OR(E65="",E65="!!!"),"",IF(OR(J65=0,AND(J65=1,K65=1),AND(J65=1,I65="SBJ"),AND(J65=1,I65=0)),"?IN_FOCUS",IF(J65&lt;=2,"?ACTIVATED",IF(J65&lt;&gt;"","?FAMILIAR",IF(F65="NEW",IF(ISNA(VLOOKUP(E65,#REF!,1,FALSE())),"?TYPE_IDENTIFIABLE","?REFERENTIAL"),"_")))))</f>
        <v> </v>
      </c>
      <c r="H65" s="25" t="str">
        <f>IF(J65&lt;&gt;1,"",IF(I65="SBJ","CB","?"))</f>
        <v> </v>
      </c>
      <c r="I65" s="26" t="str">
        <f>IF(OR(E65="",E65="!!!",F65="NEW"),"",INDEX(B64:B$2,-1+SUMPRODUCT(MAX(ROW(E64:E$2)*(E65=E64:E$2)))))</f>
        <v> </v>
      </c>
      <c r="J65" s="26" t="str">
        <f>IF(OR(E65="",E65="!!!",F65="NEW"),"",COUNTBLANK(OFFSET(A$1,,,SUMPRODUCT(MAX(ROW(E$2:E65)*(E65=E$2:E65)))))-COUNTBLANK(OFFSET(A$1,,,SUMPRODUCT(MAX(ROW(E$1:E64)*(E2=E$1:E64))))))</f>
        <v> </v>
      </c>
      <c r="K65" s="26" t="str">
        <f>IF(OR(E65="",E65="!!!",F65="NEW"),"",INDEX(J$1:J64,SUMPRODUCT(MAX(ROW(E$1:E64)*(E65=E$1:E64)))))</f>
        <v> </v>
      </c>
      <c r="L65" s="27"/>
    </row>
    <row r="66" spans="1:12">
      <c r="A66" s="20" t="s">
        <v>792</v>
      </c>
      <c r="B66" s="21" t="s">
        <v>791</v>
      </c>
      <c r="C66" s="21" t="s">
        <v>729</v>
      </c>
      <c r="D66" s="21" t="s">
        <v>730</v>
      </c>
      <c r="E66" s="22">
        <f>IF(D66="?OLD","!!!","")</f>
        <v/>
      </c>
      <c r="F66" s="23" t="str">
        <f>IF(OR(E66="",E66="!!!"),"",IF(NOT(ISNA(VLOOKUP(E66,E$1:E65,1,FALSE()))),"OLD",IF(AND(E66&lt;&gt;"",E66&lt;&gt;"!!!"),"NEW","")))</f>
        <v> </v>
      </c>
      <c r="G66" s="24" t="str">
        <f>IF(OR(E66="",E66="!!!"),"",IF(OR(J66=0,AND(J66=1,K66=1),AND(J66=1,I66="SBJ"),AND(J66=1,I66=0)),"?IN_FOCUS",IF(J66&lt;=2,"?ACTIVATED",IF(J66&lt;&gt;"","?FAMILIAR",IF(F66="NEW",IF(ISNA(VLOOKUP(E66,#REF!,1,FALSE())),"?TYPE_IDENTIFIABLE","?REFERENTIAL"),"_")))))</f>
        <v> </v>
      </c>
      <c r="H66" s="25" t="str">
        <f>IF(J66&lt;&gt;1,"",IF(I66="SBJ","CB","?"))</f>
        <v> </v>
      </c>
      <c r="I66" s="26" t="str">
        <f>IF(OR(E66="",E66="!!!",F66="NEW"),"",INDEX(B65:B$2,-1+SUMPRODUCT(MAX(ROW(E65:E$2)*(E66=E65:E$2)))))</f>
        <v> </v>
      </c>
      <c r="J66" s="26" t="str">
        <f>IF(OR(E66="",E66="!!!",F66="NEW"),"",COUNTBLANK(OFFSET(A$1,,,SUMPRODUCT(MAX(ROW(E$2:E66)*(E66=E$2:E66)))))-COUNTBLANK(OFFSET(A$1,,,SUMPRODUCT(MAX(ROW(E$1:E65)*(E2=E$1:E65))))))</f>
        <v> </v>
      </c>
      <c r="K66" s="26" t="str">
        <f>IF(OR(E66="",E66="!!!",F66="NEW"),"",INDEX(J$1:J65,SUMPRODUCT(MAX(ROW(E$1:E65)*(E66=E$1:E65)))))</f>
        <v> </v>
      </c>
      <c r="L66" s="27"/>
    </row>
    <row r="67" spans="1:12">
      <c r="A67" s="20" t="s">
        <v>793</v>
      </c>
      <c r="E67" s="22">
        <f>IF(D67="?OLD","!!!","")</f>
        <v/>
      </c>
      <c r="F67" s="23" t="str">
        <f>IF(OR(E67="",E67="!!!"),"",IF(NOT(ISNA(VLOOKUP(E67,E$1:E66,1,FALSE()))),"OLD",IF(AND(E67&lt;&gt;"",E67&lt;&gt;"!!!"),"NEW","")))</f>
        <v> </v>
      </c>
      <c r="G67" s="24" t="str">
        <f>IF(OR(E67="",E67="!!!"),"",IF(OR(J67=0,AND(J67=1,K67=1),AND(J67=1,I67="SBJ"),AND(J67=1,I67=0)),"?IN_FOCUS",IF(J67&lt;=2,"?ACTIVATED",IF(J67&lt;&gt;"","?FAMILIAR",IF(F67="NEW",IF(ISNA(VLOOKUP(E67,#REF!,1,FALSE())),"?TYPE_IDENTIFIABLE","?REFERENTIAL"),"_")))))</f>
        <v> </v>
      </c>
      <c r="H67" s="25" t="str">
        <f>IF(J67&lt;&gt;1,"",IF(I67="SBJ","CB","?"))</f>
        <v> </v>
      </c>
      <c r="I67" s="26" t="str">
        <f>IF(OR(E67="",E67="!!!",F67="NEW"),"",INDEX(B66:B$2,-1+SUMPRODUCT(MAX(ROW(E66:E$2)*(E67=E66:E$2)))))</f>
        <v> </v>
      </c>
      <c r="J67" s="26" t="str">
        <f>IF(OR(E67="",E67="!!!",F67="NEW"),"",COUNTBLANK(OFFSET(A$1,,,SUMPRODUCT(MAX(ROW(E$2:E67)*(E67=E$2:E67)))))-COUNTBLANK(OFFSET(A$1,,,SUMPRODUCT(MAX(ROW(E$1:E66)*(E2=E$1:E66))))))</f>
        <v> </v>
      </c>
      <c r="K67" s="26" t="str">
        <f>IF(OR(E67="",E67="!!!",F67="NEW"),"",INDEX(J$1:J66,SUMPRODUCT(MAX(ROW(E$1:E66)*(E67=E$1:E66)))))</f>
        <v> </v>
      </c>
      <c r="L67" s="27"/>
    </row>
    <row r="68" spans="1:12">
      <c r="A68" s="20" t="s">
        <v>759</v>
      </c>
      <c r="E68" s="22">
        <f>IF(D68="?OLD","!!!","")</f>
        <v/>
      </c>
      <c r="F68" s="23" t="str">
        <f>IF(OR(E68="",E68="!!!"),"",IF(NOT(ISNA(VLOOKUP(E68,E$1:E67,1,FALSE()))),"OLD",IF(AND(E68&lt;&gt;"",E68&lt;&gt;"!!!"),"NEW","")))</f>
        <v> </v>
      </c>
      <c r="G68" s="24" t="str">
        <f>IF(OR(E68="",E68="!!!"),"",IF(OR(J68=0,AND(J68=1,K68=1),AND(J68=1,I68="SBJ"),AND(J68=1,I68=0)),"?IN_FOCUS",IF(J68&lt;=2,"?ACTIVATED",IF(J68&lt;&gt;"","?FAMILIAR",IF(F68="NEW",IF(ISNA(VLOOKUP(E68,#REF!,1,FALSE())),"?TYPE_IDENTIFIABLE","?REFERENTIAL"),"_")))))</f>
        <v> </v>
      </c>
      <c r="H68" s="25" t="str">
        <f>IF(J68&lt;&gt;1,"",IF(I68="SBJ","CB","?"))</f>
        <v> </v>
      </c>
      <c r="I68" s="26" t="str">
        <f>IF(OR(E68="",E68="!!!",F68="NEW"),"",INDEX(B67:B$2,-1+SUMPRODUCT(MAX(ROW(E67:E$2)*(E68=E67:E$2)))))</f>
        <v> </v>
      </c>
      <c r="J68" s="26" t="str">
        <f>IF(OR(E68="",E68="!!!",F68="NEW"),"",COUNTBLANK(OFFSET(A$1,,,SUMPRODUCT(MAX(ROW(E$2:E68)*(E68=E$2:E68)))))-COUNTBLANK(OFFSET(A$1,,,SUMPRODUCT(MAX(ROW(E$1:E67)*(E2=E$1:E67))))))</f>
        <v> </v>
      </c>
      <c r="K68" s="26" t="str">
        <f>IF(OR(E68="",E68="!!!",F68="NEW"),"",INDEX(J$1:J67,SUMPRODUCT(MAX(ROW(E$1:E67)*(E68=E$1:E67)))))</f>
        <v> </v>
      </c>
      <c r="L68" s="27"/>
    </row>
    <row r="69" spans="1:12">
      <c r="A69" s="20" t="s">
        <v>794</v>
      </c>
      <c r="E69" s="22">
        <f>IF(D69="?OLD","!!!","")</f>
        <v/>
      </c>
      <c r="F69" s="23" t="str">
        <f>IF(OR(E69="",E69="!!!"),"",IF(NOT(ISNA(VLOOKUP(E69,E$1:E68,1,FALSE()))),"OLD",IF(AND(E69&lt;&gt;"",E69&lt;&gt;"!!!"),"NEW","")))</f>
        <v> </v>
      </c>
      <c r="G69" s="24" t="str">
        <f>IF(OR(E69="",E69="!!!"),"",IF(OR(J69=0,AND(J69=1,K69=1),AND(J69=1,I69="SBJ"),AND(J69=1,I69=0)),"?IN_FOCUS",IF(J69&lt;=2,"?ACTIVATED",IF(J69&lt;&gt;"","?FAMILIAR",IF(F69="NEW",IF(ISNA(VLOOKUP(E69,#REF!,1,FALSE())),"?TYPE_IDENTIFIABLE","?REFERENTIAL"),"_")))))</f>
        <v> </v>
      </c>
      <c r="H69" s="25" t="str">
        <f>IF(J69&lt;&gt;1,"",IF(I69="SBJ","CB","?"))</f>
        <v> </v>
      </c>
      <c r="I69" s="26" t="str">
        <f>IF(OR(E69="",E69="!!!",F69="NEW"),"",INDEX(B68:B$2,-1+SUMPRODUCT(MAX(ROW(E68:E$2)*(E69=E68:E$2)))))</f>
        <v> </v>
      </c>
      <c r="J69" s="26" t="str">
        <f>IF(OR(E69="",E69="!!!",F69="NEW"),"",COUNTBLANK(OFFSET(A$1,,,SUMPRODUCT(MAX(ROW(E$2:E69)*(E69=E$2:E69)))))-COUNTBLANK(OFFSET(A$1,,,SUMPRODUCT(MAX(ROW(E$1:E68)*(E2=E$1:E68))))))</f>
        <v> </v>
      </c>
      <c r="K69" s="26" t="str">
        <f>IF(OR(E69="",E69="!!!",F69="NEW"),"",INDEX(J$1:J68,SUMPRODUCT(MAX(ROW(E$1:E68)*(E69=E$1:E68)))))</f>
        <v> </v>
      </c>
      <c r="L69" s="27"/>
    </row>
    <row r="70" spans="1:12">
      <c r="A70" s="20" t="s">
        <v>795</v>
      </c>
      <c r="B70" s="21" t="s">
        <v>796</v>
      </c>
      <c r="C70" s="21" t="s">
        <v>748</v>
      </c>
      <c r="E70" s="22">
        <f>IF(D70="?OLD","!!!","")</f>
        <v/>
      </c>
      <c r="F70" s="23" t="str">
        <f>IF(OR(E70="",E70="!!!"),"",IF(NOT(ISNA(VLOOKUP(E70,E$1:E69,1,FALSE()))),"OLD",IF(AND(E70&lt;&gt;"",E70&lt;&gt;"!!!"),"NEW","")))</f>
        <v> </v>
      </c>
      <c r="G70" s="24" t="str">
        <f>IF(OR(E70="",E70="!!!"),"",IF(OR(J70=0,AND(J70=1,K70=1),AND(J70=1,I70="SBJ"),AND(J70=1,I70=0)),"?IN_FOCUS",IF(J70&lt;=2,"?ACTIVATED",IF(J70&lt;&gt;"","?FAMILIAR",IF(F70="NEW",IF(ISNA(VLOOKUP(E70,#REF!,1,FALSE())),"?TYPE_IDENTIFIABLE","?REFERENTIAL"),"_")))))</f>
        <v> </v>
      </c>
      <c r="H70" s="25" t="str">
        <f>IF(J70&lt;&gt;1,"",IF(I70="SBJ","CB","?"))</f>
        <v> </v>
      </c>
      <c r="I70" s="26" t="str">
        <f>IF(OR(E70="",E70="!!!",F70="NEW"),"",INDEX(B69:B$2,-1+SUMPRODUCT(MAX(ROW(E69:E$2)*(E70=E69:E$2)))))</f>
        <v> </v>
      </c>
      <c r="J70" s="26" t="str">
        <f>IF(OR(E70="",E70="!!!",F70="NEW"),"",COUNTBLANK(OFFSET(A$1,,,SUMPRODUCT(MAX(ROW(E$2:E70)*(E70=E$2:E70)))))-COUNTBLANK(OFFSET(A$1,,,SUMPRODUCT(MAX(ROW(E$1:E69)*(E2=E$1:E69))))))</f>
        <v> </v>
      </c>
      <c r="K70" s="26" t="str">
        <f>IF(OR(E70="",E70="!!!",F70="NEW"),"",INDEX(J$1:J69,SUMPRODUCT(MAX(ROW(E$1:E69)*(E70=E$1:E69)))))</f>
        <v> </v>
      </c>
      <c r="L70" s="27"/>
    </row>
    <row r="71" spans="1:12">
      <c r="A71" s="20" t="s">
        <v>797</v>
      </c>
      <c r="E71" s="22">
        <f>IF(D71="?OLD","!!!","")</f>
        <v/>
      </c>
      <c r="F71" s="23" t="str">
        <f>IF(OR(E71="",E71="!!!"),"",IF(NOT(ISNA(VLOOKUP(E71,E$1:E70,1,FALSE()))),"OLD",IF(AND(E71&lt;&gt;"",E71&lt;&gt;"!!!"),"NEW","")))</f>
        <v> </v>
      </c>
      <c r="G71" s="24" t="str">
        <f>IF(OR(E71="",E71="!!!"),"",IF(OR(J71=0,AND(J71=1,K71=1),AND(J71=1,I71="SBJ"),AND(J71=1,I71=0)),"?IN_FOCUS",IF(J71&lt;=2,"?ACTIVATED",IF(J71&lt;&gt;"","?FAMILIAR",IF(F71="NEW",IF(ISNA(VLOOKUP(E71,#REF!,1,FALSE())),"?TYPE_IDENTIFIABLE","?REFERENTIAL"),"_")))))</f>
        <v> </v>
      </c>
      <c r="H71" s="25" t="str">
        <f>IF(J71&lt;&gt;1,"",IF(I71="SBJ","CB","?"))</f>
        <v> </v>
      </c>
      <c r="I71" s="26" t="str">
        <f>IF(OR(E71="",E71="!!!",F71="NEW"),"",INDEX(B70:B$2,-1+SUMPRODUCT(MAX(ROW(E70:E$2)*(E71=E70:E$2)))))</f>
        <v> </v>
      </c>
      <c r="J71" s="26" t="str">
        <f>IF(OR(E71="",E71="!!!",F71="NEW"),"",COUNTBLANK(OFFSET(A$1,,,SUMPRODUCT(MAX(ROW(E$2:E71)*(E71=E$2:E71)))))-COUNTBLANK(OFFSET(A$1,,,SUMPRODUCT(MAX(ROW(E$1:E70)*(E2=E$1:E70))))))</f>
        <v> </v>
      </c>
      <c r="K71" s="26" t="str">
        <f>IF(OR(E71="",E71="!!!",F71="NEW"),"",INDEX(J$1:J70,SUMPRODUCT(MAX(ROW(E$1:E70)*(E71=E$1:E70)))))</f>
        <v> </v>
      </c>
      <c r="L71" s="27"/>
    </row>
    <row r="72" spans="1:12">
      <c r="A72" s="20" t="s">
        <v>246</v>
      </c>
      <c r="E72" s="22">
        <f>IF(D72="?OLD","!!!","")</f>
        <v/>
      </c>
      <c r="F72" s="23" t="str">
        <f>IF(OR(E72="",E72="!!!"),"",IF(NOT(ISNA(VLOOKUP(E72,E$1:E71,1,FALSE()))),"OLD",IF(AND(E72&lt;&gt;"",E72&lt;&gt;"!!!"),"NEW","")))</f>
        <v> </v>
      </c>
      <c r="G72" s="24" t="str">
        <f>IF(OR(E72="",E72="!!!"),"",IF(OR(J72=0,AND(J72=1,K72=1),AND(J72=1,I72="SBJ"),AND(J72=1,I72=0)),"?IN_FOCUS",IF(J72&lt;=2,"?ACTIVATED",IF(J72&lt;&gt;"","?FAMILIAR",IF(F72="NEW",IF(ISNA(VLOOKUP(E72,#REF!,1,FALSE())),"?TYPE_IDENTIFIABLE","?REFERENTIAL"),"_")))))</f>
        <v> </v>
      </c>
      <c r="H72" s="25" t="str">
        <f>IF(J72&lt;&gt;1,"",IF(I72="SBJ","CB","?"))</f>
        <v> </v>
      </c>
      <c r="I72" s="26" t="str">
        <f>IF(OR(E72="",E72="!!!",F72="NEW"),"",INDEX(B71:B$2,-1+SUMPRODUCT(MAX(ROW(E71:E$2)*(E72=E71:E$2)))))</f>
        <v> </v>
      </c>
      <c r="J72" s="26" t="str">
        <f>IF(OR(E72="",E72="!!!",F72="NEW"),"",COUNTBLANK(OFFSET(A$1,,,SUMPRODUCT(MAX(ROW(E$2:E72)*(E72=E$2:E72)))))-COUNTBLANK(OFFSET(A$1,,,SUMPRODUCT(MAX(ROW(E$1:E71)*(E2=E$1:E71))))))</f>
        <v> </v>
      </c>
      <c r="K72" s="26" t="str">
        <f>IF(OR(E72="",E72="!!!",F72="NEW"),"",INDEX(J$1:J71,SUMPRODUCT(MAX(ROW(E$1:E71)*(E72=E$1:E71)))))</f>
        <v> </v>
      </c>
      <c r="L72" s="27"/>
    </row>
    <row r="73" spans="1:12">
      <c r="A73" s="20"/>
    </row>
    <row r="74" spans="1:12">
      <c r="A74" s="20" t="s">
        <v>798</v>
      </c>
      <c r="E74" s="22">
        <f>IF(D74="?OLD","!!!","")</f>
        <v/>
      </c>
      <c r="F74" s="23" t="str">
        <f>IF(OR(E74="",E74="!!!"),"",IF(NOT(ISNA(VLOOKUP(E74,E$1:E73,1,FALSE()))),"OLD",IF(AND(E74&lt;&gt;"",E74&lt;&gt;"!!!"),"NEW","")))</f>
        <v> </v>
      </c>
      <c r="G74" s="24" t="str">
        <f>IF(OR(E74="",E74="!!!"),"",IF(OR(J74=0,AND(J74=1,K74=1),AND(J74=1,I74="SBJ"),AND(J74=1,I74=0)),"?IN_FOCUS",IF(J74&lt;=2,"?ACTIVATED",IF(J74&lt;&gt;"","?FAMILIAR",IF(F74="NEW",IF(ISNA(VLOOKUP(E74,#REF!,1,FALSE())),"?TYPE_IDENTIFIABLE","?REFERENTIAL"),"_")))))</f>
        <v> </v>
      </c>
      <c r="H74" s="25" t="str">
        <f>IF(J74&lt;&gt;1,"",IF(I74="SBJ","CB","?"))</f>
        <v> </v>
      </c>
      <c r="I74" s="26" t="str">
        <f>IF(OR(E74="",E74="!!!",F74="NEW"),"",INDEX(B73:B$2,-1+SUMPRODUCT(MAX(ROW(E73:E$2)*(E74=E73:E$2)))))</f>
        <v> </v>
      </c>
      <c r="J74" s="26" t="str">
        <f>IF(OR(E74="",E74="!!!",F74="NEW"),"",COUNTBLANK(OFFSET(A$1,,,SUMPRODUCT(MAX(ROW(E$2:E74)*(E74=E$2:E74)))))-COUNTBLANK(OFFSET(A$1,,,SUMPRODUCT(MAX(ROW(E$1:E73)*(E2=E$1:E73))))))</f>
        <v> </v>
      </c>
      <c r="K74" s="26" t="str">
        <f>IF(OR(E74="",E74="!!!",F74="NEW"),"",INDEX(J$1:J73,SUMPRODUCT(MAX(ROW(E$1:E73)*(E74=E$1:E73)))))</f>
        <v> </v>
      </c>
      <c r="L74" s="27"/>
    </row>
    <row r="75" spans="1:12">
      <c r="A75" s="20" t="s">
        <v>799</v>
      </c>
    </row>
    <row r="76" spans="1:12">
      <c r="A76" s="20" t="s">
        <v>800</v>
      </c>
      <c r="B76" s="21" t="s">
        <v>739</v>
      </c>
      <c r="C76" s="21" t="s">
        <v>801</v>
      </c>
      <c r="D76" s="21" t="s">
        <v>730</v>
      </c>
      <c r="E76" s="22">
        <f>IF(D76="?OLD","!!!","")</f>
        <v/>
      </c>
      <c r="F76" s="23" t="str">
        <f>IF(OR(E76="",E76="!!!"),"",IF(NOT(ISNA(VLOOKUP(E76,E$1:E75,1,FALSE()))),"OLD",IF(AND(E76&lt;&gt;"",E76&lt;&gt;"!!!"),"NEW","")))</f>
        <v> </v>
      </c>
      <c r="G76" s="24" t="str">
        <f>IF(OR(E76="",E76="!!!"),"",IF(OR(J76=0,AND(J76=1,K76=1),AND(J76=1,I76="SBJ"),AND(J76=1,I76=0)),"?IN_FOCUS",IF(J76&lt;=2,"?ACTIVATED",IF(J76&lt;&gt;"","?FAMILIAR",IF(F76="NEW",IF(ISNA(VLOOKUP(E76,#REF!,1,FALSE())),"?TYPE_IDENTIFIABLE","?REFERENTIAL"),"_")))))</f>
        <v> </v>
      </c>
      <c r="H76" s="25" t="str">
        <f>IF(J76&lt;&gt;1,"",IF(I76="SBJ","CB","?"))</f>
        <v> </v>
      </c>
      <c r="I76" s="26" t="str">
        <f>IF(OR(E76="",E76="!!!",F76="NEW"),"",INDEX(B75:B$2,-1+SUMPRODUCT(MAX(ROW(E75:E$2)*(E76=E75:E$2)))))</f>
        <v> </v>
      </c>
      <c r="J76" s="26" t="str">
        <f>IF(OR(E76="",E76="!!!",F76="NEW"),"",COUNTBLANK(OFFSET(A$1,,,SUMPRODUCT(MAX(ROW(E$2:E76)*(E76=E$2:E76)))))-COUNTBLANK(OFFSET(A$1,,,SUMPRODUCT(MAX(ROW(E$1:E75)*(E2=E$1:E75))))))</f>
        <v> </v>
      </c>
      <c r="K76" s="26" t="str">
        <f>IF(OR(E76="",E76="!!!",F76="NEW"),"",INDEX(J$1:J75,SUMPRODUCT(MAX(ROW(E$1:E75)*(E76=E$1:E75)))))</f>
        <v> </v>
      </c>
      <c r="L76" s="27"/>
    </row>
    <row r="77" spans="1:12">
      <c r="A77" s="20" t="s">
        <v>795</v>
      </c>
      <c r="B77" s="21" t="s">
        <v>728</v>
      </c>
      <c r="C77" s="21" t="s">
        <v>802</v>
      </c>
      <c r="D77" s="21" t="s">
        <v>730</v>
      </c>
      <c r="E77" s="22">
        <f>IF(D77="?OLD","!!!","")</f>
        <v/>
      </c>
      <c r="F77" s="23" t="str">
        <f>IF(OR(E77="",E77="!!!"),"",IF(NOT(ISNA(VLOOKUP(E77,E$1:E76,1,FALSE()))),"OLD",IF(AND(E77&lt;&gt;"",E77&lt;&gt;"!!!"),"NEW","")))</f>
        <v> </v>
      </c>
      <c r="G77" s="24" t="str">
        <f>IF(OR(E77="",E77="!!!"),"",IF(OR(J77=0,AND(J77=1,K77=1),AND(J77=1,I77="SBJ"),AND(J77=1,I77=0)),"?IN_FOCUS",IF(J77&lt;=2,"?ACTIVATED",IF(J77&lt;&gt;"","?FAMILIAR",IF(F77="NEW",IF(ISNA(VLOOKUP(E77,#REF!,1,FALSE())),"?TYPE_IDENTIFIABLE","?REFERENTIAL"),"_")))))</f>
        <v> </v>
      </c>
      <c r="H77" s="25" t="str">
        <f>IF(J77&lt;&gt;1,"",IF(I77="SBJ","CB","?"))</f>
        <v> </v>
      </c>
      <c r="I77" s="26" t="str">
        <f>IF(OR(E77="",E77="!!!",F77="NEW"),"",INDEX(B76:B$2,-1+SUMPRODUCT(MAX(ROW(E76:E$2)*(E77=E76:E$2)))))</f>
        <v> </v>
      </c>
      <c r="J77" s="26" t="str">
        <f>IF(OR(E77="",E77="!!!",F77="NEW"),"",COUNTBLANK(OFFSET(A$1,,,SUMPRODUCT(MAX(ROW(E$2:E77)*(E77=E$2:E77)))))-COUNTBLANK(OFFSET(A$1,,,SUMPRODUCT(MAX(ROW(E$1:E76)*(E2=E$1:E76))))))</f>
        <v> </v>
      </c>
      <c r="K77" s="26" t="str">
        <f>IF(OR(E77="",E77="!!!",F77="NEW"),"",INDEX(J$1:J76,SUMPRODUCT(MAX(ROW(E$1:E76)*(E77=E$1:E76)))))</f>
        <v> </v>
      </c>
      <c r="L77" s="27"/>
    </row>
    <row r="78" spans="1:12">
      <c r="A78" s="20" t="s">
        <v>803</v>
      </c>
      <c r="E78" s="22">
        <f>IF(D78="?OLD","!!!","")</f>
        <v/>
      </c>
      <c r="F78" s="23" t="str">
        <f>IF(OR(E78="",E78="!!!"),"",IF(NOT(ISNA(VLOOKUP(E78,E$1:E77,1,FALSE()))),"OLD",IF(AND(E78&lt;&gt;"",E78&lt;&gt;"!!!"),"NEW","")))</f>
        <v> </v>
      </c>
      <c r="G78" s="24" t="str">
        <f>IF(OR(E78="",E78="!!!"),"",IF(OR(J78=0,AND(J78=1,K78=1),AND(J78=1,I78="SBJ"),AND(J78=1,I78=0)),"?IN_FOCUS",IF(J78&lt;=2,"?ACTIVATED",IF(J78&lt;&gt;"","?FAMILIAR",IF(F78="NEW",IF(ISNA(VLOOKUP(E78,#REF!,1,FALSE())),"?TYPE_IDENTIFIABLE","?REFERENTIAL"),"_")))))</f>
        <v> </v>
      </c>
      <c r="H78" s="25" t="str">
        <f>IF(J78&lt;&gt;1,"",IF(I78="SBJ","CB","?"))</f>
        <v> </v>
      </c>
      <c r="I78" s="26" t="str">
        <f>IF(OR(E78="",E78="!!!",F78="NEW"),"",INDEX(B77:B$2,-1+SUMPRODUCT(MAX(ROW(E77:E$2)*(E78=E77:E$2)))))</f>
        <v> </v>
      </c>
      <c r="J78" s="26" t="str">
        <f>IF(OR(E78="",E78="!!!",F78="NEW"),"",COUNTBLANK(OFFSET(A$1,,,SUMPRODUCT(MAX(ROW(E$2:E78)*(E78=E$2:E78)))))-COUNTBLANK(OFFSET(A$1,,,SUMPRODUCT(MAX(ROW(E$1:E77)*(E2=E$1:E77))))))</f>
        <v> </v>
      </c>
      <c r="K78" s="26" t="str">
        <f>IF(OR(E78="",E78="!!!",F78="NEW"),"",INDEX(J$1:J77,SUMPRODUCT(MAX(ROW(E$1:E77)*(E78=E$1:E77)))))</f>
        <v> </v>
      </c>
      <c r="L78" s="27"/>
    </row>
    <row r="79" spans="1:12">
      <c r="A79" s="20" t="s">
        <v>804</v>
      </c>
      <c r="B79" s="21" t="s">
        <v>764</v>
      </c>
      <c r="E79" s="22">
        <f>IF(D79="?OLD","!!!","")</f>
        <v/>
      </c>
      <c r="F79" s="23" t="str">
        <f>IF(OR(E79="",E79="!!!"),"",IF(NOT(ISNA(VLOOKUP(E79,E$1:E78,1,FALSE()))),"OLD",IF(AND(E79&lt;&gt;"",E79&lt;&gt;"!!!"),"NEW","")))</f>
        <v> </v>
      </c>
      <c r="G79" s="24" t="str">
        <f>IF(OR(E79="",E79="!!!"),"",IF(OR(J79=0,AND(J79=1,K79=1),AND(J79=1,I79="SBJ"),AND(J79=1,I79=0)),"?IN_FOCUS",IF(J79&lt;=2,"?ACTIVATED",IF(J79&lt;&gt;"","?FAMILIAR",IF(F79="NEW",IF(ISNA(VLOOKUP(E79,#REF!,1,FALSE())),"?TYPE_IDENTIFIABLE","?REFERENTIAL"),"_")))))</f>
        <v> </v>
      </c>
      <c r="H79" s="25" t="str">
        <f>IF(J79&lt;&gt;1,"",IF(I79="SBJ","CB","?"))</f>
        <v> </v>
      </c>
      <c r="I79" s="26" t="str">
        <f>IF(OR(E79="",E79="!!!",F79="NEW"),"",INDEX(B78:B$2,-1+SUMPRODUCT(MAX(ROW(E78:E$2)*(E79=E78:E$2)))))</f>
        <v> </v>
      </c>
      <c r="J79" s="26" t="str">
        <f>IF(OR(E79="",E79="!!!",F79="NEW"),"",COUNTBLANK(OFFSET(A$1,,,SUMPRODUCT(MAX(ROW(E$2:E79)*(E79=E$2:E79)))))-COUNTBLANK(OFFSET(A$1,,,SUMPRODUCT(MAX(ROW(E$1:E78)*(E2=E$1:E78))))))</f>
        <v> </v>
      </c>
      <c r="K79" s="26" t="str">
        <f>IF(OR(E79="",E79="!!!",F79="NEW"),"",INDEX(J$1:J78,SUMPRODUCT(MAX(ROW(E$1:E78)*(E79=E$1:E78)))))</f>
        <v> </v>
      </c>
      <c r="L79" s="27"/>
    </row>
    <row r="80" spans="1:12">
      <c r="A80" s="20" t="s">
        <v>805</v>
      </c>
      <c r="E80" s="22">
        <f>IF(D80="?OLD","!!!","")</f>
        <v/>
      </c>
      <c r="F80" s="23" t="str">
        <f>IF(OR(E80="",E80="!!!"),"",IF(NOT(ISNA(VLOOKUP(E80,E$1:E79,1,FALSE()))),"OLD",IF(AND(E80&lt;&gt;"",E80&lt;&gt;"!!!"),"NEW","")))</f>
        <v> </v>
      </c>
      <c r="G80" s="24" t="str">
        <f>IF(OR(E80="",E80="!!!"),"",IF(OR(J80=0,AND(J80=1,K80=1),AND(J80=1,I80="SBJ"),AND(J80=1,I80=0)),"?IN_FOCUS",IF(J80&lt;=2,"?ACTIVATED",IF(J80&lt;&gt;"","?FAMILIAR",IF(F80="NEW",IF(ISNA(VLOOKUP(E80,#REF!,1,FALSE())),"?TYPE_IDENTIFIABLE","?REFERENTIAL"),"_")))))</f>
        <v> </v>
      </c>
      <c r="H80" s="25" t="str">
        <f>IF(J80&lt;&gt;1,"",IF(I80="SBJ","CB","?"))</f>
        <v> </v>
      </c>
      <c r="I80" s="26" t="str">
        <f>IF(OR(E80="",E80="!!!",F80="NEW"),"",INDEX(B79:B$2,-1+SUMPRODUCT(MAX(ROW(E79:E$2)*(E80=E79:E$2)))))</f>
        <v> </v>
      </c>
      <c r="J80" s="26" t="str">
        <f>IF(OR(E80="",E80="!!!",F80="NEW"),"",COUNTBLANK(OFFSET(A$1,,,SUMPRODUCT(MAX(ROW(E$2:E80)*(E80=E$2:E80)))))-COUNTBLANK(OFFSET(A$1,,,SUMPRODUCT(MAX(ROW(E$1:E79)*(E2=E$1:E79))))))</f>
        <v> </v>
      </c>
      <c r="K80" s="26" t="str">
        <f>IF(OR(E80="",E80="!!!",F80="NEW"),"",INDEX(J$1:J79,SUMPRODUCT(MAX(ROW(E$1:E79)*(E80=E$1:E79)))))</f>
        <v> </v>
      </c>
      <c r="L80" s="27"/>
    </row>
    <row r="81" spans="1:12">
      <c r="A81" s="20" t="s">
        <v>806</v>
      </c>
      <c r="B81" s="21" t="s">
        <v>736</v>
      </c>
      <c r="C81" s="21" t="s">
        <v>807</v>
      </c>
      <c r="D81" s="21" t="s">
        <v>730</v>
      </c>
      <c r="E81" s="22">
        <f>IF(D81="?OLD","!!!","")</f>
        <v/>
      </c>
      <c r="F81" s="23" t="str">
        <f>IF(OR(E81="",E81="!!!"),"",IF(NOT(ISNA(VLOOKUP(E81,E$1:E80,1,FALSE()))),"OLD",IF(AND(E81&lt;&gt;"",E81&lt;&gt;"!!!"),"NEW","")))</f>
        <v> </v>
      </c>
      <c r="G81" s="24" t="str">
        <f>IF(OR(E81="",E81="!!!"),"",IF(OR(J81=0,AND(J81=1,K81=1),AND(J81=1,I81="SBJ"),AND(J81=1,I81=0)),"?IN_FOCUS",IF(J81&lt;=2,"?ACTIVATED",IF(J81&lt;&gt;"","?FAMILIAR",IF(F81="NEW",IF(ISNA(VLOOKUP(E81,#REF!,1,FALSE())),"?TYPE_IDENTIFIABLE","?REFERENTIAL"),"_")))))</f>
        <v> </v>
      </c>
      <c r="H81" s="25" t="str">
        <f>IF(J81&lt;&gt;1,"",IF(I81="SBJ","CB","?"))</f>
        <v> </v>
      </c>
      <c r="I81" s="26" t="str">
        <f>IF(OR(E81="",E81="!!!",F81="NEW"),"",INDEX(B80:B$2,-1+SUMPRODUCT(MAX(ROW(E80:E$2)*(E81=E80:E$2)))))</f>
        <v> </v>
      </c>
      <c r="J81" s="26" t="str">
        <f>IF(OR(E81="",E81="!!!",F81="NEW"),"",COUNTBLANK(OFFSET(A$1,,,SUMPRODUCT(MAX(ROW(E$2:E81)*(E81=E$2:E81)))))-COUNTBLANK(OFFSET(A$1,,,SUMPRODUCT(MAX(ROW(E$1:E80)*(E2=E$1:E80))))))</f>
        <v> </v>
      </c>
      <c r="K81" s="26" t="str">
        <f>IF(OR(E81="",E81="!!!",F81="NEW"),"",INDEX(J$1:J80,SUMPRODUCT(MAX(ROW(E$1:E80)*(E81=E$1:E80)))))</f>
        <v> </v>
      </c>
      <c r="L81" s="27"/>
    </row>
    <row r="82" spans="1:12">
      <c r="A82" s="20" t="s">
        <v>759</v>
      </c>
      <c r="E82" s="22">
        <f>IF(D82="?OLD","!!!","")</f>
        <v/>
      </c>
      <c r="F82" s="23" t="str">
        <f>IF(OR(E82="",E82="!!!"),"",IF(NOT(ISNA(VLOOKUP(E82,E$1:E81,1,FALSE()))),"OLD",IF(AND(E82&lt;&gt;"",E82&lt;&gt;"!!!"),"NEW","")))</f>
        <v> </v>
      </c>
      <c r="G82" s="24" t="str">
        <f>IF(OR(E82="",E82="!!!"),"",IF(OR(J82=0,AND(J82=1,K82=1),AND(J82=1,I82="SBJ"),AND(J82=1,I82=0)),"?IN_FOCUS",IF(J82&lt;=2,"?ACTIVATED",IF(J82&lt;&gt;"","?FAMILIAR",IF(F82="NEW",IF(ISNA(VLOOKUP(E82,#REF!,1,FALSE())),"?TYPE_IDENTIFIABLE","?REFERENTIAL"),"_")))))</f>
        <v> </v>
      </c>
      <c r="H82" s="25" t="str">
        <f>IF(J82&lt;&gt;1,"",IF(I82="SBJ","CB","?"))</f>
        <v> </v>
      </c>
      <c r="I82" s="26" t="str">
        <f>IF(OR(E82="",E82="!!!",F82="NEW"),"",INDEX(B81:B$2,-1+SUMPRODUCT(MAX(ROW(E81:E$2)*(E82=E81:E$2)))))</f>
        <v> </v>
      </c>
      <c r="J82" s="26" t="str">
        <f>IF(OR(E82="",E82="!!!",F82="NEW"),"",COUNTBLANK(OFFSET(A$1,,,SUMPRODUCT(MAX(ROW(E$2:E82)*(E82=E$2:E82)))))-COUNTBLANK(OFFSET(A$1,,,SUMPRODUCT(MAX(ROW(E$1:E81)*(E2=E$1:E81))))))</f>
        <v> </v>
      </c>
      <c r="K82" s="26" t="str">
        <f>IF(OR(E82="",E82="!!!",F82="NEW"),"",INDEX(J$1:J81,SUMPRODUCT(MAX(ROW(E$1:E81)*(E82=E$1:E81)))))</f>
        <v> </v>
      </c>
      <c r="L82" s="27"/>
    </row>
    <row r="83" spans="1:12">
      <c r="A83" s="20" t="s">
        <v>808</v>
      </c>
      <c r="E83" s="22">
        <f>IF(D83="?OLD","!!!","")</f>
        <v/>
      </c>
      <c r="F83" s="23" t="str">
        <f>IF(OR(E83="",E83="!!!"),"",IF(NOT(ISNA(VLOOKUP(E83,E$1:E82,1,FALSE()))),"OLD",IF(AND(E83&lt;&gt;"",E83&lt;&gt;"!!!"),"NEW","")))</f>
        <v> </v>
      </c>
      <c r="G83" s="24" t="str">
        <f>IF(OR(E83="",E83="!!!"),"",IF(OR(J83=0,AND(J83=1,K83=1),AND(J83=1,I83="SBJ"),AND(J83=1,I83=0)),"?IN_FOCUS",IF(J83&lt;=2,"?ACTIVATED",IF(J83&lt;&gt;"","?FAMILIAR",IF(F83="NEW",IF(ISNA(VLOOKUP(E83,#REF!,1,FALSE())),"?TYPE_IDENTIFIABLE","?REFERENTIAL"),"_")))))</f>
        <v> </v>
      </c>
      <c r="H83" s="25" t="str">
        <f>IF(J83&lt;&gt;1,"",IF(I83="SBJ","CB","?"))</f>
        <v> </v>
      </c>
      <c r="I83" s="26" t="str">
        <f>IF(OR(E83="",E83="!!!",F83="NEW"),"",INDEX(B82:B$2,-1+SUMPRODUCT(MAX(ROW(E82:E$2)*(E83=E82:E$2)))))</f>
        <v> </v>
      </c>
      <c r="J83" s="26" t="str">
        <f>IF(OR(E83="",E83="!!!",F83="NEW"),"",COUNTBLANK(OFFSET(A$1,,,SUMPRODUCT(MAX(ROW(E$2:E83)*(E83=E$2:E83)))))-COUNTBLANK(OFFSET(A$1,,,SUMPRODUCT(MAX(ROW(E$1:E82)*(E2=E$1:E82))))))</f>
        <v> </v>
      </c>
      <c r="K83" s="26" t="str">
        <f>IF(OR(E83="",E83="!!!",F83="NEW"),"",INDEX(J$1:J82,SUMPRODUCT(MAX(ROW(E$1:E82)*(E83=E$1:E82)))))</f>
        <v> </v>
      </c>
      <c r="L83" s="27"/>
    </row>
    <row r="84" spans="1:12">
      <c r="A84" s="20" t="s">
        <v>750</v>
      </c>
      <c r="B84" s="21" t="s">
        <v>777</v>
      </c>
      <c r="C84" s="21" t="s">
        <v>729</v>
      </c>
      <c r="D84" s="21" t="s">
        <v>730</v>
      </c>
      <c r="E84" s="22">
        <f>IF(D84="?OLD","!!!","")</f>
        <v/>
      </c>
      <c r="F84" s="23" t="str">
        <f>IF(OR(E84="",E84="!!!"),"",IF(NOT(ISNA(VLOOKUP(E84,E$1:E83,1,FALSE()))),"OLD",IF(AND(E84&lt;&gt;"",E84&lt;&gt;"!!!"),"NEW","")))</f>
        <v> </v>
      </c>
      <c r="G84" s="24" t="str">
        <f>IF(OR(E84="",E84="!!!"),"",IF(OR(J84=0,AND(J84=1,K84=1),AND(J84=1,I84="SBJ"),AND(J84=1,I84=0)),"?IN_FOCUS",IF(J84&lt;=2,"?ACTIVATED",IF(J84&lt;&gt;"","?FAMILIAR",IF(F84="NEW",IF(ISNA(VLOOKUP(E84,#REF!,1,FALSE())),"?TYPE_IDENTIFIABLE","?REFERENTIAL"),"_")))))</f>
        <v> </v>
      </c>
      <c r="H84" s="25" t="str">
        <f>IF(J84&lt;&gt;1,"",IF(I84="SBJ","CB","?"))</f>
        <v> </v>
      </c>
      <c r="I84" s="26" t="str">
        <f>IF(OR(E84="",E84="!!!",F84="NEW"),"",INDEX(B83:B$2,-1+SUMPRODUCT(MAX(ROW(E83:E$2)*(E84=E83:E$2)))))</f>
        <v> </v>
      </c>
      <c r="J84" s="26" t="str">
        <f>IF(OR(E84="",E84="!!!",F84="NEW"),"",COUNTBLANK(OFFSET(A$1,,,SUMPRODUCT(MAX(ROW(E$2:E84)*(E84=E$2:E84)))))-COUNTBLANK(OFFSET(A$1,,,SUMPRODUCT(MAX(ROW(E$1:E83)*(E2=E$1:E83))))))</f>
        <v> </v>
      </c>
      <c r="K84" s="26" t="str">
        <f>IF(OR(E84="",E84="!!!",F84="NEW"),"",INDEX(J$1:J83,SUMPRODUCT(MAX(ROW(E$1:E83)*(E84=E$1:E83)))))</f>
        <v> </v>
      </c>
      <c r="L84" s="27"/>
    </row>
    <row r="85" spans="1:12">
      <c r="A85" s="20" t="s">
        <v>772</v>
      </c>
      <c r="E85" s="22">
        <f>IF(D85="?OLD","!!!","")</f>
        <v/>
      </c>
      <c r="F85" s="23" t="str">
        <f>IF(OR(E85="",E85="!!!"),"",IF(NOT(ISNA(VLOOKUP(E85,E$1:E84,1,FALSE()))),"OLD",IF(AND(E85&lt;&gt;"",E85&lt;&gt;"!!!"),"NEW","")))</f>
        <v> </v>
      </c>
      <c r="G85" s="24" t="str">
        <f>IF(OR(E85="",E85="!!!"),"",IF(OR(J85=0,AND(J85=1,K85=1),AND(J85=1,I85="SBJ"),AND(J85=1,I85=0)),"?IN_FOCUS",IF(J85&lt;=2,"?ACTIVATED",IF(J85&lt;&gt;"","?FAMILIAR",IF(F85="NEW",IF(ISNA(VLOOKUP(E85,#REF!,1,FALSE())),"?TYPE_IDENTIFIABLE","?REFERENTIAL"),"_")))))</f>
        <v> </v>
      </c>
      <c r="H85" s="25" t="str">
        <f>IF(J85&lt;&gt;1,"",IF(I85="SBJ","CB","?"))</f>
        <v> </v>
      </c>
      <c r="I85" s="26" t="str">
        <f>IF(OR(E85="",E85="!!!",F85="NEW"),"",INDEX(B84:B$2,-1+SUMPRODUCT(MAX(ROW(E84:E$2)*(E85=E84:E$2)))))</f>
        <v> </v>
      </c>
      <c r="J85" s="26" t="str">
        <f>IF(OR(E85="",E85="!!!",F85="NEW"),"",COUNTBLANK(OFFSET(A$1,,,SUMPRODUCT(MAX(ROW(E$2:E85)*(E85=E$2:E85)))))-COUNTBLANK(OFFSET(A$1,,,SUMPRODUCT(MAX(ROW(E$1:E84)*(E2=E$1:E84))))))</f>
        <v> </v>
      </c>
      <c r="K85" s="26" t="str">
        <f>IF(OR(E85="",E85="!!!",F85="NEW"),"",INDEX(J$1:J84,SUMPRODUCT(MAX(ROW(E$1:E84)*(E85=E$1:E84)))))</f>
        <v> </v>
      </c>
      <c r="L85" s="27"/>
    </row>
    <row r="86" spans="1:12">
      <c r="A86" s="20" t="s">
        <v>759</v>
      </c>
      <c r="E86" s="22">
        <f>IF(D86="?OLD","!!!","")</f>
        <v/>
      </c>
      <c r="F86" s="23" t="str">
        <f>IF(OR(E86="",E86="!!!"),"",IF(NOT(ISNA(VLOOKUP(E86,E$1:E85,1,FALSE()))),"OLD",IF(AND(E86&lt;&gt;"",E86&lt;&gt;"!!!"),"NEW","")))</f>
        <v> </v>
      </c>
      <c r="G86" s="24" t="str">
        <f>IF(OR(E86="",E86="!!!"),"",IF(OR(J86=0,AND(J86=1,K86=1),AND(J86=1,I86="SBJ"),AND(J86=1,I86=0)),"?IN_FOCUS",IF(J86&lt;=2,"?ACTIVATED",IF(J86&lt;&gt;"","?FAMILIAR",IF(F86="NEW",IF(ISNA(VLOOKUP(E86,#REF!,1,FALSE())),"?TYPE_IDENTIFIABLE","?REFERENTIAL"),"_")))))</f>
        <v> </v>
      </c>
      <c r="H86" s="25" t="str">
        <f>IF(J86&lt;&gt;1,"",IF(I86="SBJ","CB","?"))</f>
        <v> </v>
      </c>
      <c r="I86" s="26" t="str">
        <f>IF(OR(E86="",E86="!!!",F86="NEW"),"",INDEX(B85:B$2,-1+SUMPRODUCT(MAX(ROW(E85:E$2)*(E86=E85:E$2)))))</f>
        <v> </v>
      </c>
      <c r="J86" s="26" t="str">
        <f>IF(OR(E86="",E86="!!!",F86="NEW"),"",COUNTBLANK(OFFSET(A$1,,,SUMPRODUCT(MAX(ROW(E$2:E86)*(E86=E$2:E86)))))-COUNTBLANK(OFFSET(A$1,,,SUMPRODUCT(MAX(ROW(E$1:E85)*(E2=E$1:E85))))))</f>
        <v> </v>
      </c>
      <c r="K86" s="26" t="str">
        <f>IF(OR(E86="",E86="!!!",F86="NEW"),"",INDEX(J$1:J85,SUMPRODUCT(MAX(ROW(E$1:E85)*(E86=E$1:E85)))))</f>
        <v> </v>
      </c>
      <c r="L86" s="27"/>
    </row>
    <row r="87" spans="1:12">
      <c r="A87" s="20" t="s">
        <v>809</v>
      </c>
      <c r="E87" s="22">
        <f>IF(D87="?OLD","!!!","")</f>
        <v/>
      </c>
      <c r="F87" s="23" t="str">
        <f>IF(OR(E87="",E87="!!!"),"",IF(NOT(ISNA(VLOOKUP(E87,E$1:E86,1,FALSE()))),"OLD",IF(AND(E87&lt;&gt;"",E87&lt;&gt;"!!!"),"NEW","")))</f>
        <v> </v>
      </c>
      <c r="G87" s="24" t="str">
        <f>IF(OR(E87="",E87="!!!"),"",IF(OR(J87=0,AND(J87=1,K87=1),AND(J87=1,I87="SBJ"),AND(J87=1,I87=0)),"?IN_FOCUS",IF(J87&lt;=2,"?ACTIVATED",IF(J87&lt;&gt;"","?FAMILIAR",IF(F87="NEW",IF(ISNA(VLOOKUP(E87,#REF!,1,FALSE())),"?TYPE_IDENTIFIABLE","?REFERENTIAL"),"_")))))</f>
        <v> </v>
      </c>
      <c r="H87" s="25" t="str">
        <f>IF(J87&lt;&gt;1,"",IF(I87="SBJ","CB","?"))</f>
        <v> </v>
      </c>
      <c r="I87" s="26" t="str">
        <f>IF(OR(E87="",E87="!!!",F87="NEW"),"",INDEX(B86:B$2,-1+SUMPRODUCT(MAX(ROW(E86:E$2)*(E87=E86:E$2)))))</f>
        <v> </v>
      </c>
      <c r="J87" s="26" t="str">
        <f>IF(OR(E87="",E87="!!!",F87="NEW"),"",COUNTBLANK(OFFSET(A$1,,,SUMPRODUCT(MAX(ROW(E$2:E87)*(E87=E$2:E87)))))-COUNTBLANK(OFFSET(A$1,,,SUMPRODUCT(MAX(ROW(E$1:E86)*(E2=E$1:E86))))))</f>
        <v> </v>
      </c>
      <c r="K87" s="26" t="str">
        <f>IF(OR(E87="",E87="!!!",F87="NEW"),"",INDEX(J$1:J86,SUMPRODUCT(MAX(ROW(E$1:E86)*(E87=E$1:E86)))))</f>
        <v> </v>
      </c>
      <c r="L87" s="27"/>
    </row>
    <row r="88" spans="1:12">
      <c r="A88" s="20" t="s">
        <v>750</v>
      </c>
      <c r="B88" s="21" t="s">
        <v>796</v>
      </c>
      <c r="C88" s="21" t="s">
        <v>729</v>
      </c>
      <c r="D88" s="21" t="s">
        <v>730</v>
      </c>
      <c r="E88" s="22">
        <f>IF(D88="?OLD","!!!","")</f>
        <v/>
      </c>
      <c r="F88" s="23" t="str">
        <f>IF(OR(E88="",E88="!!!"),"",IF(NOT(ISNA(VLOOKUP(E88,E$1:E87,1,FALSE()))),"OLD",IF(AND(E88&lt;&gt;"",E88&lt;&gt;"!!!"),"NEW","")))</f>
        <v> </v>
      </c>
      <c r="G88" s="24" t="str">
        <f>IF(OR(E88="",E88="!!!"),"",IF(OR(J88=0,AND(J88=1,K88=1),AND(J88=1,I88="SBJ"),AND(J88=1,I88=0)),"?IN_FOCUS",IF(J88&lt;=2,"?ACTIVATED",IF(J88&lt;&gt;"","?FAMILIAR",IF(F88="NEW",IF(ISNA(VLOOKUP(E88,#REF!,1,FALSE())),"?TYPE_IDENTIFIABLE","?REFERENTIAL"),"_")))))</f>
        <v> </v>
      </c>
      <c r="H88" s="25" t="str">
        <f>IF(J88&lt;&gt;1,"",IF(I88="SBJ","CB","?"))</f>
        <v> </v>
      </c>
      <c r="I88" s="26" t="str">
        <f>IF(OR(E88="",E88="!!!",F88="NEW"),"",INDEX(B87:B$2,-1+SUMPRODUCT(MAX(ROW(E87:E$2)*(E88=E87:E$2)))))</f>
        <v> </v>
      </c>
      <c r="J88" s="26" t="str">
        <f>IF(OR(E88="",E88="!!!",F88="NEW"),"",COUNTBLANK(OFFSET(A$1,,,SUMPRODUCT(MAX(ROW(E$2:E88)*(E88=E$2:E88)))))-COUNTBLANK(OFFSET(A$1,,,SUMPRODUCT(MAX(ROW(E$1:E87)*(E2=E$1:E87))))))</f>
        <v> </v>
      </c>
      <c r="K88" s="26" t="str">
        <f>IF(OR(E88="",E88="!!!",F88="NEW"),"",INDEX(J$1:J87,SUMPRODUCT(MAX(ROW(E$1:E87)*(E88=E$1:E87)))))</f>
        <v> </v>
      </c>
      <c r="L88" s="27"/>
    </row>
    <row r="89" spans="1:12">
      <c r="A89" s="20" t="s">
        <v>810</v>
      </c>
      <c r="E89" s="22">
        <f>IF(D89="?OLD","!!!","")</f>
        <v/>
      </c>
      <c r="F89" s="23" t="str">
        <f>IF(OR(E89="",E89="!!!"),"",IF(NOT(ISNA(VLOOKUP(E89,E$1:E88,1,FALSE()))),"OLD",IF(AND(E89&lt;&gt;"",E89&lt;&gt;"!!!"),"NEW","")))</f>
        <v> </v>
      </c>
      <c r="G89" s="24" t="str">
        <f>IF(OR(E89="",E89="!!!"),"",IF(OR(J89=0,AND(J89=1,K89=1),AND(J89=1,I89="SBJ"),AND(J89=1,I89=0)),"?IN_FOCUS",IF(J89&lt;=2,"?ACTIVATED",IF(J89&lt;&gt;"","?FAMILIAR",IF(F89="NEW",IF(ISNA(VLOOKUP(E89,#REF!,1,FALSE())),"?TYPE_IDENTIFIABLE","?REFERENTIAL"),"_")))))</f>
        <v> </v>
      </c>
      <c r="H89" s="25" t="str">
        <f>IF(J89&lt;&gt;1,"",IF(I89="SBJ","CB","?"))</f>
        <v> </v>
      </c>
      <c r="I89" s="26" t="str">
        <f>IF(OR(E89="",E89="!!!",F89="NEW"),"",INDEX(B88:B$2,-1+SUMPRODUCT(MAX(ROW(E88:E$2)*(E89=E88:E$2)))))</f>
        <v> </v>
      </c>
      <c r="J89" s="26" t="str">
        <f>IF(OR(E89="",E89="!!!",F89="NEW"),"",COUNTBLANK(OFFSET(A$1,,,SUMPRODUCT(MAX(ROW(E$2:E89)*(E89=E$2:E89)))))-COUNTBLANK(OFFSET(A$1,,,SUMPRODUCT(MAX(ROW(E$1:E88)*(E2=E$1:E88))))))</f>
        <v> </v>
      </c>
      <c r="K89" s="26" t="str">
        <f>IF(OR(E89="",E89="!!!",F89="NEW"),"",INDEX(J$1:J88,SUMPRODUCT(MAX(ROW(E$1:E88)*(E89=E$1:E88)))))</f>
        <v> </v>
      </c>
      <c r="L89" s="27"/>
    </row>
    <row r="90" spans="1:12">
      <c r="A90" s="20" t="s">
        <v>773</v>
      </c>
      <c r="E90" s="22">
        <f>IF(D90="?OLD","!!!","")</f>
        <v/>
      </c>
      <c r="F90" s="23" t="str">
        <f>IF(OR(E90="",E90="!!!"),"",IF(NOT(ISNA(VLOOKUP(E90,E$1:E89,1,FALSE()))),"OLD",IF(AND(E90&lt;&gt;"",E90&lt;&gt;"!!!"),"NEW","")))</f>
        <v> </v>
      </c>
      <c r="G90" s="24" t="str">
        <f>IF(OR(E90="",E90="!!!"),"",IF(OR(J90=0,AND(J90=1,K90=1),AND(J90=1,I90="SBJ"),AND(J90=1,I90=0)),"?IN_FOCUS",IF(J90&lt;=2,"?ACTIVATED",IF(J90&lt;&gt;"","?FAMILIAR",IF(F90="NEW",IF(ISNA(VLOOKUP(E90,#REF!,1,FALSE())),"?TYPE_IDENTIFIABLE","?REFERENTIAL"),"_")))))</f>
        <v> </v>
      </c>
      <c r="H90" s="25" t="str">
        <f>IF(J90&lt;&gt;1,"",IF(I90="SBJ","CB","?"))</f>
        <v> </v>
      </c>
      <c r="I90" s="26" t="str">
        <f>IF(OR(E90="",E90="!!!",F90="NEW"),"",INDEX(B89:B$2,-1+SUMPRODUCT(MAX(ROW(E89:E$2)*(E90=E89:E$2)))))</f>
        <v> </v>
      </c>
      <c r="J90" s="26" t="str">
        <f>IF(OR(E90="",E90="!!!",F90="NEW"),"",COUNTBLANK(OFFSET(A$1,,,SUMPRODUCT(MAX(ROW(E$2:E90)*(E90=E$2:E90)))))-COUNTBLANK(OFFSET(A$1,,,SUMPRODUCT(MAX(ROW(E$1:E89)*(E2=E$1:E89))))))</f>
        <v> </v>
      </c>
      <c r="K90" s="26" t="str">
        <f>IF(OR(E90="",E90="!!!",F90="NEW"),"",INDEX(J$1:J89,SUMPRODUCT(MAX(ROW(E$1:E89)*(E90=E$1:E89)))))</f>
        <v> </v>
      </c>
      <c r="L90" s="27"/>
    </row>
    <row r="91" spans="1:12">
      <c r="A91" s="20" t="s">
        <v>757</v>
      </c>
      <c r="E91" s="22">
        <f>IF(D91="?OLD","!!!","")</f>
        <v/>
      </c>
      <c r="F91" s="23" t="str">
        <f>IF(OR(E91="",E91="!!!"),"",IF(NOT(ISNA(VLOOKUP(E91,E$1:E90,1,FALSE()))),"OLD",IF(AND(E91&lt;&gt;"",E91&lt;&gt;"!!!"),"NEW","")))</f>
        <v> </v>
      </c>
      <c r="G91" s="24" t="str">
        <f>IF(OR(E91="",E91="!!!"),"",IF(OR(J91=0,AND(J91=1,K91=1),AND(J91=1,I91="SBJ"),AND(J91=1,I91=0)),"?IN_FOCUS",IF(J91&lt;=2,"?ACTIVATED",IF(J91&lt;&gt;"","?FAMILIAR",IF(F91="NEW",IF(ISNA(VLOOKUP(E91,#REF!,1,FALSE())),"?TYPE_IDENTIFIABLE","?REFERENTIAL"),"_")))))</f>
        <v> </v>
      </c>
      <c r="H91" s="25" t="str">
        <f>IF(J91&lt;&gt;1,"",IF(I91="SBJ","CB","?"))</f>
        <v> </v>
      </c>
      <c r="I91" s="26" t="str">
        <f>IF(OR(E91="",E91="!!!",F91="NEW"),"",INDEX(B90:B$2,-1+SUMPRODUCT(MAX(ROW(E90:E$2)*(E91=E90:E$2)))))</f>
        <v> </v>
      </c>
      <c r="J91" s="26" t="str">
        <f>IF(OR(E91="",E91="!!!",F91="NEW"),"",COUNTBLANK(OFFSET(A$1,,,SUMPRODUCT(MAX(ROW(E$2:E91)*(E91=E$2:E91)))))-COUNTBLANK(OFFSET(A$1,,,SUMPRODUCT(MAX(ROW(E$1:E90)*(E2=E$1:E90))))))</f>
        <v> </v>
      </c>
      <c r="K91" s="26" t="str">
        <f>IF(OR(E91="",E91="!!!",F91="NEW"),"",INDEX(J$1:J90,SUMPRODUCT(MAX(ROW(E$1:E90)*(E91=E$1:E90)))))</f>
        <v> </v>
      </c>
      <c r="L91" s="27"/>
    </row>
    <row r="92" spans="1:12">
      <c r="A92" s="20" t="s">
        <v>758</v>
      </c>
      <c r="B92" s="21" t="s">
        <v>739</v>
      </c>
      <c r="C92" s="21" t="s">
        <v>753</v>
      </c>
      <c r="D92" s="21" t="s">
        <v>730</v>
      </c>
      <c r="E92" s="22">
        <f>IF(D92="?OLD","!!!","")</f>
        <v/>
      </c>
      <c r="F92" s="23" t="str">
        <f>IF(OR(E92="",E92="!!!"),"",IF(NOT(ISNA(VLOOKUP(E92,E$1:E91,1,FALSE()))),"OLD",IF(AND(E92&lt;&gt;"",E92&lt;&gt;"!!!"),"NEW","")))</f>
        <v> </v>
      </c>
      <c r="G92" s="24" t="str">
        <f>IF(OR(E92="",E92="!!!"),"",IF(OR(J92=0,AND(J92=1,K92=1),AND(J92=1,I92="SBJ"),AND(J92=1,I92=0)),"?IN_FOCUS",IF(J92&lt;=2,"?ACTIVATED",IF(J92&lt;&gt;"","?FAMILIAR",IF(F92="NEW",IF(ISNA(VLOOKUP(E92,#REF!,1,FALSE())),"?TYPE_IDENTIFIABLE","?REFERENTIAL"),"_")))))</f>
        <v> </v>
      </c>
      <c r="H92" s="25" t="str">
        <f>IF(J92&lt;&gt;1,"",IF(I92="SBJ","CB","?"))</f>
        <v> </v>
      </c>
      <c r="I92" s="26" t="str">
        <f>IF(OR(E92="",E92="!!!",F92="NEW"),"",INDEX(B91:B$2,-1+SUMPRODUCT(MAX(ROW(E91:E$2)*(E92=E91:E$2)))))</f>
        <v> </v>
      </c>
      <c r="J92" s="26" t="str">
        <f>IF(OR(E92="",E92="!!!",F92="NEW"),"",COUNTBLANK(OFFSET(A$1,,,SUMPRODUCT(MAX(ROW(E$2:E92)*(E92=E$2:E92)))))-COUNTBLANK(OFFSET(A$1,,,SUMPRODUCT(MAX(ROW(E$1:E91)*(E2=E$1:E91))))))</f>
        <v> </v>
      </c>
      <c r="K92" s="26" t="str">
        <f>IF(OR(E92="",E92="!!!",F92="NEW"),"",INDEX(J$1:J91,SUMPRODUCT(MAX(ROW(E$1:E91)*(E92=E$1:E91)))))</f>
        <v> </v>
      </c>
      <c r="L92" s="27"/>
    </row>
    <row r="93" spans="1:12">
      <c r="A93" s="20" t="s">
        <v>811</v>
      </c>
      <c r="E93" s="22">
        <f>IF(D93="?OLD","!!!","")</f>
        <v/>
      </c>
      <c r="F93" s="23" t="str">
        <f>IF(OR(E93="",E93="!!!"),"",IF(NOT(ISNA(VLOOKUP(E93,E$1:E92,1,FALSE()))),"OLD",IF(AND(E93&lt;&gt;"",E93&lt;&gt;"!!!"),"NEW","")))</f>
        <v> </v>
      </c>
      <c r="G93" s="24" t="str">
        <f>IF(OR(E93="",E93="!!!"),"",IF(OR(J93=0,AND(J93=1,K93=1),AND(J93=1,I93="SBJ"),AND(J93=1,I93=0)),"?IN_FOCUS",IF(J93&lt;=2,"?ACTIVATED",IF(J93&lt;&gt;"","?FAMILIAR",IF(F93="NEW",IF(ISNA(VLOOKUP(E93,#REF!,1,FALSE())),"?TYPE_IDENTIFIABLE","?REFERENTIAL"),"_")))))</f>
        <v> </v>
      </c>
      <c r="H93" s="25" t="str">
        <f>IF(J93&lt;&gt;1,"",IF(I93="SBJ","CB","?"))</f>
        <v> </v>
      </c>
      <c r="I93" s="26" t="str">
        <f>IF(OR(E93="",E93="!!!",F93="NEW"),"",INDEX(B92:B$2,-1+SUMPRODUCT(MAX(ROW(E92:E$2)*(E93=E92:E$2)))))</f>
        <v> </v>
      </c>
      <c r="J93" s="26" t="str">
        <f>IF(OR(E93="",E93="!!!",F93="NEW"),"",COUNTBLANK(OFFSET(A$1,,,SUMPRODUCT(MAX(ROW(E$2:E93)*(E93=E$2:E93)))))-COUNTBLANK(OFFSET(A$1,,,SUMPRODUCT(MAX(ROW(E$1:E92)*(E2=E$1:E92))))))</f>
        <v> </v>
      </c>
      <c r="K93" s="26" t="str">
        <f>IF(OR(E93="",E93="!!!",F93="NEW"),"",INDEX(J$1:J92,SUMPRODUCT(MAX(ROW(E$1:E92)*(E93=E$1:E92)))))</f>
        <v> </v>
      </c>
      <c r="L93" s="27"/>
    </row>
    <row r="94" spans="1:12">
      <c r="A94" s="20" t="s">
        <v>759</v>
      </c>
      <c r="E94" s="22">
        <f>IF(D94="?OLD","!!!","")</f>
        <v/>
      </c>
      <c r="F94" s="23" t="str">
        <f>IF(OR(E94="",E94="!!!"),"",IF(NOT(ISNA(VLOOKUP(E94,E$1:E93,1,FALSE()))),"OLD",IF(AND(E94&lt;&gt;"",E94&lt;&gt;"!!!"),"NEW","")))</f>
        <v> </v>
      </c>
      <c r="G94" s="24" t="str">
        <f>IF(OR(E94="",E94="!!!"),"",IF(OR(J94=0,AND(J94=1,K94=1),AND(J94=1,I94="SBJ"),AND(J94=1,I94=0)),"?IN_FOCUS",IF(J94&lt;=2,"?ACTIVATED",IF(J94&lt;&gt;"","?FAMILIAR",IF(F94="NEW",IF(ISNA(VLOOKUP(E94,#REF!,1,FALSE())),"?TYPE_IDENTIFIABLE","?REFERENTIAL"),"_")))))</f>
        <v> </v>
      </c>
      <c r="H94" s="25" t="str">
        <f>IF(J94&lt;&gt;1,"",IF(I94="SBJ","CB","?"))</f>
        <v> </v>
      </c>
      <c r="I94" s="26" t="str">
        <f>IF(OR(E94="",E94="!!!",F94="NEW"),"",INDEX(B93:B$2,-1+SUMPRODUCT(MAX(ROW(E93:E$2)*(E94=E93:E$2)))))</f>
        <v> </v>
      </c>
      <c r="J94" s="26" t="str">
        <f>IF(OR(E94="",E94="!!!",F94="NEW"),"",COUNTBLANK(OFFSET(A$1,,,SUMPRODUCT(MAX(ROW(E$2:E94)*(E94=E$2:E94)))))-COUNTBLANK(OFFSET(A$1,,,SUMPRODUCT(MAX(ROW(E$1:E93)*(E2=E$1:E93))))))</f>
        <v> </v>
      </c>
      <c r="K94" s="26" t="str">
        <f>IF(OR(E94="",E94="!!!",F94="NEW"),"",INDEX(J$1:J93,SUMPRODUCT(MAX(ROW(E$1:E93)*(E94=E$1:E93)))))</f>
        <v> </v>
      </c>
      <c r="L94" s="27"/>
    </row>
    <row r="95" spans="1:12">
      <c r="A95" s="20" t="s">
        <v>812</v>
      </c>
      <c r="E95" s="22">
        <f>IF(D95="?OLD","!!!","")</f>
        <v/>
      </c>
      <c r="F95" s="23" t="str">
        <f>IF(OR(E95="",E95="!!!"),"",IF(NOT(ISNA(VLOOKUP(E95,E$1:E94,1,FALSE()))),"OLD",IF(AND(E95&lt;&gt;"",E95&lt;&gt;"!!!"),"NEW","")))</f>
        <v> </v>
      </c>
      <c r="G95" s="24" t="str">
        <f>IF(OR(E95="",E95="!!!"),"",IF(OR(J95=0,AND(J95=1,K95=1),AND(J95=1,I95="SBJ"),AND(J95=1,I95=0)),"?IN_FOCUS",IF(J95&lt;=2,"?ACTIVATED",IF(J95&lt;&gt;"","?FAMILIAR",IF(F95="NEW",IF(ISNA(VLOOKUP(E95,#REF!,1,FALSE())),"?TYPE_IDENTIFIABLE","?REFERENTIAL"),"_")))))</f>
        <v> </v>
      </c>
      <c r="H95" s="25" t="str">
        <f>IF(J95&lt;&gt;1,"",IF(I95="SBJ","CB","?"))</f>
        <v> </v>
      </c>
      <c r="I95" s="26" t="str">
        <f>IF(OR(E95="",E95="!!!",F95="NEW"),"",INDEX(B94:B$2,-1+SUMPRODUCT(MAX(ROW(E94:E$2)*(E95=E94:E$2)))))</f>
        <v> </v>
      </c>
      <c r="J95" s="26" t="str">
        <f>IF(OR(E95="",E95="!!!",F95="NEW"),"",COUNTBLANK(OFFSET(A$1,,,SUMPRODUCT(MAX(ROW(E$2:E95)*(E95=E$2:E95)))))-COUNTBLANK(OFFSET(A$1,,,SUMPRODUCT(MAX(ROW(E$1:E94)*(E2=E$1:E94))))))</f>
        <v> </v>
      </c>
      <c r="K95" s="26" t="str">
        <f>IF(OR(E95="",E95="!!!",F95="NEW"),"",INDEX(J$1:J94,SUMPRODUCT(MAX(ROW(E$1:E94)*(E95=E$1:E94)))))</f>
        <v> </v>
      </c>
      <c r="L95" s="27"/>
    </row>
    <row r="96" spans="1:12">
      <c r="A96" s="20" t="s">
        <v>813</v>
      </c>
      <c r="E96" s="22">
        <f>IF(D96="?OLD","!!!","")</f>
        <v/>
      </c>
      <c r="F96" s="23" t="str">
        <f>IF(OR(E96="",E96="!!!"),"",IF(NOT(ISNA(VLOOKUP(E96,E$1:E95,1,FALSE()))),"OLD",IF(AND(E96&lt;&gt;"",E96&lt;&gt;"!!!"),"NEW","")))</f>
        <v> </v>
      </c>
      <c r="G96" s="24" t="str">
        <f>IF(OR(E96="",E96="!!!"),"",IF(OR(J96=0,AND(J96=1,K96=1),AND(J96=1,I96="SBJ"),AND(J96=1,I96=0)),"?IN_FOCUS",IF(J96&lt;=2,"?ACTIVATED",IF(J96&lt;&gt;"","?FAMILIAR",IF(F96="NEW",IF(ISNA(VLOOKUP(E96,#REF!,1,FALSE())),"?TYPE_IDENTIFIABLE","?REFERENTIAL"),"_")))))</f>
        <v> </v>
      </c>
      <c r="H96" s="25" t="str">
        <f>IF(J96&lt;&gt;1,"",IF(I96="SBJ","CB","?"))</f>
        <v> </v>
      </c>
      <c r="I96" s="26" t="str">
        <f>IF(OR(E96="",E96="!!!",F96="NEW"),"",INDEX(B95:B$2,-1+SUMPRODUCT(MAX(ROW(E95:E$2)*(E96=E95:E$2)))))</f>
        <v> </v>
      </c>
      <c r="J96" s="26" t="str">
        <f>IF(OR(E96="",E96="!!!",F96="NEW"),"",COUNTBLANK(OFFSET(A$1,,,SUMPRODUCT(MAX(ROW(E$2:E96)*(E96=E$2:E96)))))-COUNTBLANK(OFFSET(A$1,,,SUMPRODUCT(MAX(ROW(E$1:E95)*(E2=E$1:E95))))))</f>
        <v> </v>
      </c>
      <c r="K96" s="26" t="str">
        <f>IF(OR(E96="",E96="!!!",F96="NEW"),"",INDEX(J$1:J95,SUMPRODUCT(MAX(ROW(E$1:E95)*(E96=E$1:E95)))))</f>
        <v> </v>
      </c>
      <c r="L96" s="27"/>
    </row>
    <row r="97" spans="1:12">
      <c r="A97" s="20" t="s">
        <v>814</v>
      </c>
      <c r="B97" s="21" t="s">
        <v>739</v>
      </c>
      <c r="C97" s="21" t="s">
        <v>753</v>
      </c>
      <c r="D97" s="21" t="s">
        <v>730</v>
      </c>
      <c r="E97" s="22">
        <f>IF(D97="?OLD","!!!","")</f>
        <v/>
      </c>
      <c r="F97" s="23" t="str">
        <f>IF(OR(E97="",E97="!!!"),"",IF(NOT(ISNA(VLOOKUP(E97,E$1:E96,1,FALSE()))),"OLD",IF(AND(E97&lt;&gt;"",E97&lt;&gt;"!!!"),"NEW","")))</f>
        <v> </v>
      </c>
      <c r="G97" s="24" t="str">
        <f>IF(OR(E97="",E97="!!!"),"",IF(OR(J97=0,AND(J97=1,K97=1),AND(J97=1,I97="SBJ"),AND(J97=1,I97=0)),"?IN_FOCUS",IF(J97&lt;=2,"?ACTIVATED",IF(J97&lt;&gt;"","?FAMILIAR",IF(F97="NEW",IF(ISNA(VLOOKUP(E97,#REF!,1,FALSE())),"?TYPE_IDENTIFIABLE","?REFERENTIAL"),"_")))))</f>
        <v> </v>
      </c>
      <c r="H97" s="25" t="str">
        <f>IF(J97&lt;&gt;1,"",IF(I97="SBJ","CB","?"))</f>
        <v> </v>
      </c>
      <c r="I97" s="26" t="str">
        <f>IF(OR(E97="",E97="!!!",F97="NEW"),"",INDEX(B96:B$2,-1+SUMPRODUCT(MAX(ROW(E96:E$2)*(E97=E96:E$2)))))</f>
        <v> </v>
      </c>
      <c r="J97" s="26" t="str">
        <f>IF(OR(E97="",E97="!!!",F97="NEW"),"",COUNTBLANK(OFFSET(A$1,,,SUMPRODUCT(MAX(ROW(E$2:E97)*(E97=E$2:E97)))))-COUNTBLANK(OFFSET(A$1,,,SUMPRODUCT(MAX(ROW(E$1:E96)*(E2=E$1:E96))))))</f>
        <v> </v>
      </c>
      <c r="K97" s="26" t="str">
        <f>IF(OR(E97="",E97="!!!",F97="NEW"),"",INDEX(J$1:J96,SUMPRODUCT(MAX(ROW(E$1:E96)*(E97=E$1:E96)))))</f>
        <v> </v>
      </c>
      <c r="L97" s="27"/>
    </row>
    <row r="98" spans="1:12">
      <c r="A98" s="20" t="s">
        <v>815</v>
      </c>
      <c r="E98" s="22">
        <f>IF(D98="?OLD","!!!","")</f>
        <v/>
      </c>
      <c r="F98" s="23" t="str">
        <f>IF(OR(E98="",E98="!!!"),"",IF(NOT(ISNA(VLOOKUP(E98,E$1:E97,1,FALSE()))),"OLD",IF(AND(E98&lt;&gt;"",E98&lt;&gt;"!!!"),"NEW","")))</f>
        <v> </v>
      </c>
      <c r="G98" s="24" t="str">
        <f>IF(OR(E98="",E98="!!!"),"",IF(OR(J98=0,AND(J98=1,K98=1),AND(J98=1,I98="SBJ"),AND(J98=1,I98=0)),"?IN_FOCUS",IF(J98&lt;=2,"?ACTIVATED",IF(J98&lt;&gt;"","?FAMILIAR",IF(F98="NEW",IF(ISNA(VLOOKUP(E98,#REF!,1,FALSE())),"?TYPE_IDENTIFIABLE","?REFERENTIAL"),"_")))))</f>
        <v> </v>
      </c>
      <c r="H98" s="25" t="str">
        <f>IF(J98&lt;&gt;1,"",IF(I98="SBJ","CB","?"))</f>
        <v> </v>
      </c>
      <c r="I98" s="26" t="str">
        <f>IF(OR(E98="",E98="!!!",F98="NEW"),"",INDEX(B97:B$2,-1+SUMPRODUCT(MAX(ROW(E97:E$2)*(E98=E97:E$2)))))</f>
        <v> </v>
      </c>
      <c r="J98" s="26" t="str">
        <f>IF(OR(E98="",E98="!!!",F98="NEW"),"",COUNTBLANK(OFFSET(A$1,,,SUMPRODUCT(MAX(ROW(E$2:E98)*(E98=E$2:E98)))))-COUNTBLANK(OFFSET(A$1,,,SUMPRODUCT(MAX(ROW(E$1:E97)*(E2=E$1:E97))))))</f>
        <v> </v>
      </c>
      <c r="K98" s="26" t="str">
        <f>IF(OR(E98="",E98="!!!",F98="NEW"),"",INDEX(J$1:J97,SUMPRODUCT(MAX(ROW(E$1:E97)*(E98=E$1:E97)))))</f>
        <v> </v>
      </c>
      <c r="L98" s="27"/>
    </row>
    <row r="99" spans="1:12">
      <c r="A99" s="20" t="s">
        <v>759</v>
      </c>
      <c r="E99" s="22">
        <f>IF(D99="?OLD","!!!","")</f>
        <v/>
      </c>
      <c r="F99" s="23" t="str">
        <f>IF(OR(E99="",E99="!!!"),"",IF(NOT(ISNA(VLOOKUP(E99,E$1:E98,1,FALSE()))),"OLD",IF(AND(E99&lt;&gt;"",E99&lt;&gt;"!!!"),"NEW","")))</f>
        <v> </v>
      </c>
      <c r="G99" s="24" t="str">
        <f>IF(OR(E99="",E99="!!!"),"",IF(OR(J99=0,AND(J99=1,K99=1),AND(J99=1,I99="SBJ"),AND(J99=1,I99=0)),"?IN_FOCUS",IF(J99&lt;=2,"?ACTIVATED",IF(J99&lt;&gt;"","?FAMILIAR",IF(F99="NEW",IF(ISNA(VLOOKUP(E99,#REF!,1,FALSE())),"?TYPE_IDENTIFIABLE","?REFERENTIAL"),"_")))))</f>
        <v> </v>
      </c>
      <c r="H99" s="25" t="str">
        <f>IF(J99&lt;&gt;1,"",IF(I99="SBJ","CB","?"))</f>
        <v> </v>
      </c>
      <c r="I99" s="26" t="str">
        <f>IF(OR(E99="",E99="!!!",F99="NEW"),"",INDEX(B98:B$2,-1+SUMPRODUCT(MAX(ROW(E98:E$2)*(E99=E98:E$2)))))</f>
        <v> </v>
      </c>
      <c r="J99" s="26" t="str">
        <f>IF(OR(E99="",E99="!!!",F99="NEW"),"",COUNTBLANK(OFFSET(A$1,,,SUMPRODUCT(MAX(ROW(E$2:E99)*(E99=E$2:E99)))))-COUNTBLANK(OFFSET(A$1,,,SUMPRODUCT(MAX(ROW(E$1:E98)*(E2=E$1:E98))))))</f>
        <v> </v>
      </c>
      <c r="K99" s="26" t="str">
        <f>IF(OR(E99="",E99="!!!",F99="NEW"),"",INDEX(J$1:J98,SUMPRODUCT(MAX(ROW(E$1:E98)*(E99=E$1:E98)))))</f>
        <v> </v>
      </c>
      <c r="L99" s="27"/>
    </row>
    <row r="100" spans="1:12">
      <c r="A100" s="20" t="s">
        <v>816</v>
      </c>
      <c r="E100" s="22">
        <f>IF(D100="?OLD","!!!","")</f>
        <v/>
      </c>
      <c r="F100" s="23" t="str">
        <f>IF(OR(E100="",E100="!!!"),"",IF(NOT(ISNA(VLOOKUP(E100,E$1:E99,1,FALSE()))),"OLD",IF(AND(E100&lt;&gt;"",E100&lt;&gt;"!!!"),"NEW","")))</f>
        <v> </v>
      </c>
      <c r="G100" s="24" t="str">
        <f>IF(OR(E100="",E100="!!!"),"",IF(OR(J100=0,AND(J100=1,K100=1),AND(J100=1,I100="SBJ"),AND(J100=1,I100=0)),"?IN_FOCUS",IF(J100&lt;=2,"?ACTIVATED",IF(J100&lt;&gt;"","?FAMILIAR",IF(F100="NEW",IF(ISNA(VLOOKUP(E100,#REF!,1,FALSE())),"?TYPE_IDENTIFIABLE","?REFERENTIAL"),"_")))))</f>
        <v> </v>
      </c>
      <c r="H100" s="25" t="str">
        <f>IF(J100&lt;&gt;1,"",IF(I100="SBJ","CB","?"))</f>
        <v> </v>
      </c>
      <c r="I100" s="26" t="str">
        <f>IF(OR(E100="",E100="!!!",F100="NEW"),"",INDEX(B99:B$2,-1+SUMPRODUCT(MAX(ROW(E99:E$2)*(E100=E99:E$2)))))</f>
        <v> </v>
      </c>
      <c r="J100" s="26" t="str">
        <f>IF(OR(E100="",E100="!!!",F100="NEW"),"",COUNTBLANK(OFFSET(A$1,,,SUMPRODUCT(MAX(ROW(E$2:E100)*(E100=E$2:E100)))))-COUNTBLANK(OFFSET(A$1,,,SUMPRODUCT(MAX(ROW(E$1:E99)*(E2=E$1:E99))))))</f>
        <v> </v>
      </c>
      <c r="K100" s="26" t="str">
        <f>IF(OR(E100="",E100="!!!",F100="NEW"),"",INDEX(J$1:J99,SUMPRODUCT(MAX(ROW(E$1:E99)*(E100=E$1:E99)))))</f>
        <v> </v>
      </c>
      <c r="L100" s="27"/>
    </row>
    <row r="101" spans="1:12">
      <c r="A101" s="20" t="s">
        <v>785</v>
      </c>
      <c r="E101" s="22">
        <f>IF(D101="?OLD","!!!","")</f>
        <v/>
      </c>
      <c r="F101" s="23" t="str">
        <f>IF(OR(E101="",E101="!!!"),"",IF(NOT(ISNA(VLOOKUP(E101,E$1:E100,1,FALSE()))),"OLD",IF(AND(E101&lt;&gt;"",E101&lt;&gt;"!!!"),"NEW","")))</f>
        <v> </v>
      </c>
      <c r="G101" s="24" t="str">
        <f>IF(OR(E101="",E101="!!!"),"",IF(OR(J101=0,AND(J101=1,K101=1),AND(J101=1,I101="SBJ"),AND(J101=1,I101=0)),"?IN_FOCUS",IF(J101&lt;=2,"?ACTIVATED",IF(J101&lt;&gt;"","?FAMILIAR",IF(F101="NEW",IF(ISNA(VLOOKUP(E101,#REF!,1,FALSE())),"?TYPE_IDENTIFIABLE","?REFERENTIAL"),"_")))))</f>
        <v> </v>
      </c>
      <c r="H101" s="25" t="str">
        <f>IF(J101&lt;&gt;1,"",IF(I101="SBJ","CB","?"))</f>
        <v> </v>
      </c>
      <c r="I101" s="26" t="str">
        <f>IF(OR(E101="",E101="!!!",F101="NEW"),"",INDEX(B100:B$2,-1+SUMPRODUCT(MAX(ROW(E100:E$2)*(E101=E100:E$2)))))</f>
        <v> </v>
      </c>
      <c r="J101" s="26" t="str">
        <f>IF(OR(E101="",E101="!!!",F101="NEW"),"",COUNTBLANK(OFFSET(A$1,,,SUMPRODUCT(MAX(ROW(E$2:E101)*(E101=E$2:E101)))))-COUNTBLANK(OFFSET(A$1,,,SUMPRODUCT(MAX(ROW(E$1:E100)*(E2=E$1:E100))))))</f>
        <v> </v>
      </c>
      <c r="K101" s="26" t="str">
        <f>IF(OR(E101="",E101="!!!",F101="NEW"),"",INDEX(J$1:J100,SUMPRODUCT(MAX(ROW(E$1:E100)*(E101=E$1:E100)))))</f>
        <v> </v>
      </c>
      <c r="L101" s="27"/>
    </row>
    <row r="102" spans="1:12">
      <c r="A102" s="20" t="s">
        <v>817</v>
      </c>
      <c r="E102" s="22">
        <f>IF(D102="?OLD","!!!","")</f>
        <v/>
      </c>
      <c r="F102" s="23" t="str">
        <f>IF(OR(E102="",E102="!!!"),"",IF(NOT(ISNA(VLOOKUP(E102,E$1:E101,1,FALSE()))),"OLD",IF(AND(E102&lt;&gt;"",E102&lt;&gt;"!!!"),"NEW","")))</f>
        <v> </v>
      </c>
      <c r="G102" s="24" t="str">
        <f>IF(OR(E102="",E102="!!!"),"",IF(OR(J102=0,AND(J102=1,K102=1),AND(J102=1,I102="SBJ"),AND(J102=1,I102=0)),"?IN_FOCUS",IF(J102&lt;=2,"?ACTIVATED",IF(J102&lt;&gt;"","?FAMILIAR",IF(F102="NEW",IF(ISNA(VLOOKUP(E102,#REF!,1,FALSE())),"?TYPE_IDENTIFIABLE","?REFERENTIAL"),"_")))))</f>
        <v> </v>
      </c>
      <c r="H102" s="25" t="str">
        <f>IF(J102&lt;&gt;1,"",IF(I102="SBJ","CB","?"))</f>
        <v> </v>
      </c>
      <c r="I102" s="26" t="str">
        <f>IF(OR(E102="",E102="!!!",F102="NEW"),"",INDEX(B101:B$2,-1+SUMPRODUCT(MAX(ROW(E101:E$2)*(E102=E101:E$2)))))</f>
        <v> </v>
      </c>
      <c r="J102" s="26" t="str">
        <f>IF(OR(E102="",E102="!!!",F102="NEW"),"",COUNTBLANK(OFFSET(A$1,,,SUMPRODUCT(MAX(ROW(E$2:E102)*(E102=E$2:E102)))))-COUNTBLANK(OFFSET(A$1,,,SUMPRODUCT(MAX(ROW(E$1:E101)*(E2=E$1:E101))))))</f>
        <v> </v>
      </c>
      <c r="K102" s="26" t="str">
        <f>IF(OR(E102="",E102="!!!",F102="NEW"),"",INDEX(J$1:J101,SUMPRODUCT(MAX(ROW(E$1:E101)*(E102=E$1:E101)))))</f>
        <v> </v>
      </c>
      <c r="L102" s="27"/>
    </row>
    <row r="103" spans="1:12">
      <c r="A103" s="20" t="s">
        <v>818</v>
      </c>
      <c r="B103" s="21" t="s">
        <v>791</v>
      </c>
      <c r="C103" s="21" t="s">
        <v>748</v>
      </c>
      <c r="E103" s="22">
        <f>IF(D103="?OLD","!!!","")</f>
        <v/>
      </c>
      <c r="F103" s="23" t="str">
        <f>IF(OR(E103="",E103="!!!"),"",IF(NOT(ISNA(VLOOKUP(E103,E$1:E102,1,FALSE()))),"OLD",IF(AND(E103&lt;&gt;"",E103&lt;&gt;"!!!"),"NEW","")))</f>
        <v> </v>
      </c>
      <c r="G103" s="24" t="str">
        <f>IF(OR(E103="",E103="!!!"),"",IF(OR(J103=0,AND(J103=1,K103=1),AND(J103=1,I103="SBJ"),AND(J103=1,I103=0)),"?IN_FOCUS",IF(J103&lt;=2,"?ACTIVATED",IF(J103&lt;&gt;"","?FAMILIAR",IF(F103="NEW",IF(ISNA(VLOOKUP(E103,#REF!,1,FALSE())),"?TYPE_IDENTIFIABLE","?REFERENTIAL"),"_")))))</f>
        <v> </v>
      </c>
      <c r="H103" s="25" t="str">
        <f>IF(J103&lt;&gt;1,"",IF(I103="SBJ","CB","?"))</f>
        <v> </v>
      </c>
      <c r="I103" s="26" t="str">
        <f>IF(OR(E103="",E103="!!!",F103="NEW"),"",INDEX(B102:B$2,-1+SUMPRODUCT(MAX(ROW(E102:E$2)*(E103=E102:E$2)))))</f>
        <v> </v>
      </c>
      <c r="J103" s="26" t="str">
        <f>IF(OR(E103="",E103="!!!",F103="NEW"),"",COUNTBLANK(OFFSET(A$1,,,SUMPRODUCT(MAX(ROW(E$2:E103)*(E103=E$2:E103)))))-COUNTBLANK(OFFSET(A$1,,,SUMPRODUCT(MAX(ROW(E$1:E102)*(E2=E$1:E102))))))</f>
        <v> </v>
      </c>
      <c r="K103" s="26" t="str">
        <f>IF(OR(E103="",E103="!!!",F103="NEW"),"",INDEX(J$1:J102,SUMPRODUCT(MAX(ROW(E$1:E102)*(E103=E$1:E102)))))</f>
        <v> </v>
      </c>
      <c r="L103" s="27"/>
    </row>
    <row r="104" spans="1:12">
      <c r="A104" s="20" t="s">
        <v>817</v>
      </c>
      <c r="E104" s="22">
        <f>IF(D104="?OLD","!!!","")</f>
        <v/>
      </c>
      <c r="F104" s="23" t="str">
        <f>IF(OR(E104="",E104="!!!"),"",IF(NOT(ISNA(VLOOKUP(E104,E$1:E103,1,FALSE()))),"OLD",IF(AND(E104&lt;&gt;"",E104&lt;&gt;"!!!"),"NEW","")))</f>
        <v> </v>
      </c>
      <c r="G104" s="24" t="str">
        <f>IF(OR(E104="",E104="!!!"),"",IF(OR(J104=0,AND(J104=1,K104=1),AND(J104=1,I104="SBJ"),AND(J104=1,I104=0)),"?IN_FOCUS",IF(J104&lt;=2,"?ACTIVATED",IF(J104&lt;&gt;"","?FAMILIAR",IF(F104="NEW",IF(ISNA(VLOOKUP(E104,#REF!,1,FALSE())),"?TYPE_IDENTIFIABLE","?REFERENTIAL"),"_")))))</f>
        <v> </v>
      </c>
      <c r="H104" s="25" t="str">
        <f>IF(J104&lt;&gt;1,"",IF(I104="SBJ","CB","?"))</f>
        <v> </v>
      </c>
      <c r="I104" s="26" t="str">
        <f>IF(OR(E104="",E104="!!!",F104="NEW"),"",INDEX(B103:B$2,-1+SUMPRODUCT(MAX(ROW(E103:E$2)*(E104=E103:E$2)))))</f>
        <v> </v>
      </c>
      <c r="J104" s="26" t="str">
        <f>IF(OR(E104="",E104="!!!",F104="NEW"),"",COUNTBLANK(OFFSET(A$1,,,SUMPRODUCT(MAX(ROW(E$2:E104)*(E104=E$2:E104)))))-COUNTBLANK(OFFSET(A$1,,,SUMPRODUCT(MAX(ROW(E$1:E103)*(E2=E$1:E103))))))</f>
        <v> </v>
      </c>
      <c r="K104" s="26" t="str">
        <f>IF(OR(E104="",E104="!!!",F104="NEW"),"",INDEX(J$1:J103,SUMPRODUCT(MAX(ROW(E$1:E103)*(E104=E$1:E103)))))</f>
        <v> </v>
      </c>
      <c r="L104" s="27"/>
    </row>
    <row r="105" spans="1:12">
      <c r="A105" s="20" t="s">
        <v>819</v>
      </c>
      <c r="E105" s="22">
        <f>IF(D105="?OLD","!!!","")</f>
        <v/>
      </c>
      <c r="F105" s="23" t="str">
        <f>IF(OR(E105="",E105="!!!"),"",IF(NOT(ISNA(VLOOKUP(E105,E$1:E104,1,FALSE()))),"OLD",IF(AND(E105&lt;&gt;"",E105&lt;&gt;"!!!"),"NEW","")))</f>
        <v> </v>
      </c>
      <c r="G105" s="24" t="str">
        <f>IF(OR(E105="",E105="!!!"),"",IF(OR(J105=0,AND(J105=1,K105=1),AND(J105=1,I105="SBJ"),AND(J105=1,I105=0)),"?IN_FOCUS",IF(J105&lt;=2,"?ACTIVATED",IF(J105&lt;&gt;"","?FAMILIAR",IF(F105="NEW",IF(ISNA(VLOOKUP(E105,#REF!,1,FALSE())),"?TYPE_IDENTIFIABLE","?REFERENTIAL"),"_")))))</f>
        <v> </v>
      </c>
      <c r="H105" s="25" t="str">
        <f>IF(J105&lt;&gt;1,"",IF(I105="SBJ","CB","?"))</f>
        <v> </v>
      </c>
      <c r="I105" s="26" t="str">
        <f>IF(OR(E105="",E105="!!!",F105="NEW"),"",INDEX(B104:B$2,-1+SUMPRODUCT(MAX(ROW(E104:E$2)*(E105=E104:E$2)))))</f>
        <v> </v>
      </c>
      <c r="J105" s="26" t="str">
        <f>IF(OR(E105="",E105="!!!",F105="NEW"),"",COUNTBLANK(OFFSET(A$1,,,SUMPRODUCT(MAX(ROW(E$2:E105)*(E105=E$2:E105)))))-COUNTBLANK(OFFSET(A$1,,,SUMPRODUCT(MAX(ROW(E$1:E104)*(E2=E$1:E104))))))</f>
        <v> </v>
      </c>
      <c r="K105" s="26" t="str">
        <f>IF(OR(E105="",E105="!!!",F105="NEW"),"",INDEX(J$1:J104,SUMPRODUCT(MAX(ROW(E$1:E104)*(E105=E$1:E104)))))</f>
        <v> </v>
      </c>
      <c r="L105" s="27"/>
    </row>
    <row r="106" spans="1:12">
      <c r="A106" s="20" t="s">
        <v>759</v>
      </c>
      <c r="E106" s="22">
        <f>IF(D106="?OLD","!!!","")</f>
        <v/>
      </c>
      <c r="F106" s="23" t="str">
        <f>IF(OR(E106="",E106="!!!"),"",IF(NOT(ISNA(VLOOKUP(E106,E$1:E105,1,FALSE()))),"OLD",IF(AND(E106&lt;&gt;"",E106&lt;&gt;"!!!"),"NEW","")))</f>
        <v> </v>
      </c>
      <c r="G106" s="24" t="str">
        <f>IF(OR(E106="",E106="!!!"),"",IF(OR(J106=0,AND(J106=1,K106=1),AND(J106=1,I106="SBJ"),AND(J106=1,I106=0)),"?IN_FOCUS",IF(J106&lt;=2,"?ACTIVATED",IF(J106&lt;&gt;"","?FAMILIAR",IF(F106="NEW",IF(ISNA(VLOOKUP(E106,#REF!,1,FALSE())),"?TYPE_IDENTIFIABLE","?REFERENTIAL"),"_")))))</f>
        <v> </v>
      </c>
      <c r="H106" s="25" t="str">
        <f>IF(J106&lt;&gt;1,"",IF(I106="SBJ","CB","?"))</f>
        <v> </v>
      </c>
      <c r="I106" s="26" t="str">
        <f>IF(OR(E106="",E106="!!!",F106="NEW"),"",INDEX(B105:B$2,-1+SUMPRODUCT(MAX(ROW(E105:E$2)*(E106=E105:E$2)))))</f>
        <v> </v>
      </c>
      <c r="J106" s="26" t="str">
        <f>IF(OR(E106="",E106="!!!",F106="NEW"),"",COUNTBLANK(OFFSET(A$1,,,SUMPRODUCT(MAX(ROW(E$2:E106)*(E106=E$2:E106)))))-COUNTBLANK(OFFSET(A$1,,,SUMPRODUCT(MAX(ROW(E$1:E105)*(E2=E$1:E105))))))</f>
        <v> </v>
      </c>
      <c r="K106" s="26" t="str">
        <f>IF(OR(E106="",E106="!!!",F106="NEW"),"",INDEX(J$1:J105,SUMPRODUCT(MAX(ROW(E$1:E105)*(E106=E$1:E105)))))</f>
        <v> </v>
      </c>
      <c r="L106" s="27"/>
    </row>
    <row r="107" spans="1:12">
      <c r="A107" s="20" t="s">
        <v>820</v>
      </c>
      <c r="B107" s="21" t="s">
        <v>736</v>
      </c>
      <c r="C107" s="21" t="s">
        <v>740</v>
      </c>
      <c r="D107" s="21" t="s">
        <v>730</v>
      </c>
      <c r="E107" s="22">
        <f>IF(D107="?OLD","!!!","")</f>
        <v/>
      </c>
      <c r="F107" s="23" t="str">
        <f>IF(OR(E107="",E107="!!!"),"",IF(NOT(ISNA(VLOOKUP(E107,E$1:E106,1,FALSE()))),"OLD",IF(AND(E107&lt;&gt;"",E107&lt;&gt;"!!!"),"NEW","")))</f>
        <v> </v>
      </c>
      <c r="G107" s="24" t="str">
        <f>IF(OR(E107="",E107="!!!"),"",IF(OR(J107=0,AND(J107=1,K107=1),AND(J107=1,I107="SBJ"),AND(J107=1,I107=0)),"?IN_FOCUS",IF(J107&lt;=2,"?ACTIVATED",IF(J107&lt;&gt;"","?FAMILIAR",IF(F107="NEW",IF(ISNA(VLOOKUP(E107,#REF!,1,FALSE())),"?TYPE_IDENTIFIABLE","?REFERENTIAL"),"_")))))</f>
        <v> </v>
      </c>
      <c r="H107" s="25" t="str">
        <f>IF(J107&lt;&gt;1,"",IF(I107="SBJ","CB","?"))</f>
        <v> </v>
      </c>
      <c r="I107" s="26" t="str">
        <f>IF(OR(E107="",E107="!!!",F107="NEW"),"",INDEX(B106:B$2,-1+SUMPRODUCT(MAX(ROW(E106:E$2)*(E107=E106:E$2)))))</f>
        <v> </v>
      </c>
      <c r="J107" s="26" t="str">
        <f>IF(OR(E107="",E107="!!!",F107="NEW"),"",COUNTBLANK(OFFSET(A$1,,,SUMPRODUCT(MAX(ROW(E$2:E107)*(E107=E$2:E107)))))-COUNTBLANK(OFFSET(A$1,,,SUMPRODUCT(MAX(ROW(E$1:E106)*(E2=E$1:E106))))))</f>
        <v> </v>
      </c>
      <c r="K107" s="26" t="str">
        <f>IF(OR(E107="",E107="!!!",F107="NEW"),"",INDEX(J$1:J106,SUMPRODUCT(MAX(ROW(E$1:E106)*(E107=E$1:E106)))))</f>
        <v> </v>
      </c>
      <c r="L107" s="27"/>
    </row>
    <row r="108" spans="1:12">
      <c r="A108" s="20" t="s">
        <v>785</v>
      </c>
      <c r="E108" s="22">
        <f>IF(D108="?OLD","!!!","")</f>
        <v/>
      </c>
      <c r="F108" s="23" t="str">
        <f>IF(OR(E108="",E108="!!!"),"",IF(NOT(ISNA(VLOOKUP(E108,E$1:E107,1,FALSE()))),"OLD",IF(AND(E108&lt;&gt;"",E108&lt;&gt;"!!!"),"NEW","")))</f>
        <v> </v>
      </c>
      <c r="G108" s="24" t="str">
        <f>IF(OR(E108="",E108="!!!"),"",IF(OR(J108=0,AND(J108=1,K108=1),AND(J108=1,I108="SBJ"),AND(J108=1,I108=0)),"?IN_FOCUS",IF(J108&lt;=2,"?ACTIVATED",IF(J108&lt;&gt;"","?FAMILIAR",IF(F108="NEW",IF(ISNA(VLOOKUP(E108,#REF!,1,FALSE())),"?TYPE_IDENTIFIABLE","?REFERENTIAL"),"_")))))</f>
        <v> </v>
      </c>
      <c r="H108" s="25" t="str">
        <f>IF(J108&lt;&gt;1,"",IF(I108="SBJ","CB","?"))</f>
        <v> </v>
      </c>
      <c r="I108" s="26" t="str">
        <f>IF(OR(E108="",E108="!!!",F108="NEW"),"",INDEX(B107:B$2,-1+SUMPRODUCT(MAX(ROW(E107:E$2)*(E108=E107:E$2)))))</f>
        <v> </v>
      </c>
      <c r="J108" s="26" t="str">
        <f>IF(OR(E108="",E108="!!!",F108="NEW"),"",COUNTBLANK(OFFSET(A$1,,,SUMPRODUCT(MAX(ROW(E$2:E108)*(E108=E$2:E108)))))-COUNTBLANK(OFFSET(A$1,,,SUMPRODUCT(MAX(ROW(E$1:E107)*(E2=E$1:E107))))))</f>
        <v> </v>
      </c>
      <c r="K108" s="26" t="str">
        <f>IF(OR(E108="",E108="!!!",F108="NEW"),"",INDEX(J$1:J107,SUMPRODUCT(MAX(ROW(E$1:E107)*(E108=E$1:E107)))))</f>
        <v> </v>
      </c>
      <c r="L108" s="27"/>
    </row>
    <row r="109" spans="1:12">
      <c r="A109" s="20" t="s">
        <v>821</v>
      </c>
      <c r="B109" s="21" t="s">
        <v>736</v>
      </c>
      <c r="C109" s="21" t="s">
        <v>748</v>
      </c>
      <c r="E109" s="22">
        <f>IF(D109="?OLD","!!!","")</f>
        <v/>
      </c>
      <c r="F109" s="23" t="str">
        <f>IF(OR(E109="",E109="!!!"),"",IF(NOT(ISNA(VLOOKUP(E109,E$1:E108,1,FALSE()))),"OLD",IF(AND(E109&lt;&gt;"",E109&lt;&gt;"!!!"),"NEW","")))</f>
        <v> </v>
      </c>
      <c r="G109" s="24" t="str">
        <f>IF(OR(E109="",E109="!!!"),"",IF(OR(J109=0,AND(J109=1,K109=1),AND(J109=1,I109="SBJ"),AND(J109=1,I109=0)),"?IN_FOCUS",IF(J109&lt;=2,"?ACTIVATED",IF(J109&lt;&gt;"","?FAMILIAR",IF(F109="NEW",IF(ISNA(VLOOKUP(E109,#REF!,1,FALSE())),"?TYPE_IDENTIFIABLE","?REFERENTIAL"),"_")))))</f>
        <v> </v>
      </c>
      <c r="H109" s="25" t="str">
        <f>IF(J109&lt;&gt;1,"",IF(I109="SBJ","CB","?"))</f>
        <v> </v>
      </c>
      <c r="I109" s="26" t="str">
        <f>IF(OR(E109="",E109="!!!",F109="NEW"),"",INDEX(B108:B$2,-1+SUMPRODUCT(MAX(ROW(E108:E$2)*(E109=E108:E$2)))))</f>
        <v> </v>
      </c>
      <c r="J109" s="26" t="str">
        <f>IF(OR(E109="",E109="!!!",F109="NEW"),"",COUNTBLANK(OFFSET(A$1,,,SUMPRODUCT(MAX(ROW(E$2:E109)*(E109=E$2:E109)))))-COUNTBLANK(OFFSET(A$1,,,SUMPRODUCT(MAX(ROW(E$1:E108)*(E2=E$1:E108))))))</f>
        <v> </v>
      </c>
      <c r="K109" s="26" t="str">
        <f>IF(OR(E109="",E109="!!!",F109="NEW"),"",INDEX(J$1:J108,SUMPRODUCT(MAX(ROW(E$1:E108)*(E109=E$1:E108)))))</f>
        <v> </v>
      </c>
      <c r="L109" s="27"/>
    </row>
    <row r="110" spans="1:12">
      <c r="A110" s="20" t="s">
        <v>785</v>
      </c>
      <c r="E110" s="22">
        <f>IF(D110="?OLD","!!!","")</f>
        <v/>
      </c>
      <c r="F110" s="23" t="str">
        <f>IF(OR(E110="",E110="!!!"),"",IF(NOT(ISNA(VLOOKUP(E110,E$1:E109,1,FALSE()))),"OLD",IF(AND(E110&lt;&gt;"",E110&lt;&gt;"!!!"),"NEW","")))</f>
        <v> </v>
      </c>
      <c r="G110" s="24" t="str">
        <f>IF(OR(E110="",E110="!!!"),"",IF(OR(J110=0,AND(J110=1,K110=1),AND(J110=1,I110="SBJ"),AND(J110=1,I110=0)),"?IN_FOCUS",IF(J110&lt;=2,"?ACTIVATED",IF(J110&lt;&gt;"","?FAMILIAR",IF(F110="NEW",IF(ISNA(VLOOKUP(E110,#REF!,1,FALSE())),"?TYPE_IDENTIFIABLE","?REFERENTIAL"),"_")))))</f>
        <v> </v>
      </c>
      <c r="H110" s="25" t="str">
        <f>IF(J110&lt;&gt;1,"",IF(I110="SBJ","CB","?"))</f>
        <v> </v>
      </c>
      <c r="I110" s="26" t="str">
        <f>IF(OR(E110="",E110="!!!",F110="NEW"),"",INDEX(B109:B$2,-1+SUMPRODUCT(MAX(ROW(E109:E$2)*(E110=E109:E$2)))))</f>
        <v> </v>
      </c>
      <c r="J110" s="26" t="str">
        <f>IF(OR(E110="",E110="!!!",F110="NEW"),"",COUNTBLANK(OFFSET(A$1,,,SUMPRODUCT(MAX(ROW(E$2:E110)*(E110=E$2:E110)))))-COUNTBLANK(OFFSET(A$1,,,SUMPRODUCT(MAX(ROW(E$1:E109)*(E2=E$1:E109))))))</f>
        <v> </v>
      </c>
      <c r="K110" s="26" t="str">
        <f>IF(OR(E110="",E110="!!!",F110="NEW"),"",INDEX(J$1:J109,SUMPRODUCT(MAX(ROW(E$1:E109)*(E110=E$1:E109)))))</f>
        <v> </v>
      </c>
      <c r="L110" s="27"/>
    </row>
    <row r="111" spans="1:12">
      <c r="A111" s="20" t="s">
        <v>822</v>
      </c>
      <c r="B111" s="21" t="s">
        <v>736</v>
      </c>
      <c r="C111" s="21" t="s">
        <v>748</v>
      </c>
      <c r="E111" s="22">
        <f>IF(D111="?OLD","!!!","")</f>
        <v/>
      </c>
      <c r="F111" s="23" t="str">
        <f>IF(OR(E111="",E111="!!!"),"",IF(NOT(ISNA(VLOOKUP(E111,E$1:E110,1,FALSE()))),"OLD",IF(AND(E111&lt;&gt;"",E111&lt;&gt;"!!!"),"NEW","")))</f>
        <v> </v>
      </c>
      <c r="G111" s="24" t="str">
        <f>IF(OR(E111="",E111="!!!"),"",IF(OR(J111=0,AND(J111=1,K111=1),AND(J111=1,I111="SBJ"),AND(J111=1,I111=0)),"?IN_FOCUS",IF(J111&lt;=2,"?ACTIVATED",IF(J111&lt;&gt;"","?FAMILIAR",IF(F111="NEW",IF(ISNA(VLOOKUP(E111,#REF!,1,FALSE())),"?TYPE_IDENTIFIABLE","?REFERENTIAL"),"_")))))</f>
        <v> </v>
      </c>
      <c r="H111" s="25" t="str">
        <f>IF(J111&lt;&gt;1,"",IF(I111="SBJ","CB","?"))</f>
        <v> </v>
      </c>
      <c r="I111" s="26" t="str">
        <f>IF(OR(E111="",E111="!!!",F111="NEW"),"",INDEX(B110:B$2,-1+SUMPRODUCT(MAX(ROW(E110:E$2)*(E111=E110:E$2)))))</f>
        <v> </v>
      </c>
      <c r="J111" s="26" t="str">
        <f>IF(OR(E111="",E111="!!!",F111="NEW"),"",COUNTBLANK(OFFSET(A$1,,,SUMPRODUCT(MAX(ROW(E$2:E111)*(E111=E$2:E111)))))-COUNTBLANK(OFFSET(A$1,,,SUMPRODUCT(MAX(ROW(E$1:E110)*(E2=E$1:E110))))))</f>
        <v> </v>
      </c>
      <c r="K111" s="26" t="str">
        <f>IF(OR(E111="",E111="!!!",F111="NEW"),"",INDEX(J$1:J110,SUMPRODUCT(MAX(ROW(E$1:E110)*(E111=E$1:E110)))))</f>
        <v> </v>
      </c>
      <c r="L111" s="27"/>
    </row>
    <row r="112" spans="1:12">
      <c r="A112" s="20" t="s">
        <v>785</v>
      </c>
      <c r="E112" s="22">
        <f>IF(D112="?OLD","!!!","")</f>
        <v/>
      </c>
      <c r="F112" s="23" t="str">
        <f>IF(OR(E112="",E112="!!!"),"",IF(NOT(ISNA(VLOOKUP(E112,E$1:E111,1,FALSE()))),"OLD",IF(AND(E112&lt;&gt;"",E112&lt;&gt;"!!!"),"NEW","")))</f>
        <v> </v>
      </c>
      <c r="G112" s="24" t="str">
        <f>IF(OR(E112="",E112="!!!"),"",IF(OR(J112=0,AND(J112=1,K112=1),AND(J112=1,I112="SBJ"),AND(J112=1,I112=0)),"?IN_FOCUS",IF(J112&lt;=2,"?ACTIVATED",IF(J112&lt;&gt;"","?FAMILIAR",IF(F112="NEW",IF(ISNA(VLOOKUP(E112,#REF!,1,FALSE())),"?TYPE_IDENTIFIABLE","?REFERENTIAL"),"_")))))</f>
        <v> </v>
      </c>
      <c r="H112" s="25" t="str">
        <f>IF(J112&lt;&gt;1,"",IF(I112="SBJ","CB","?"))</f>
        <v> </v>
      </c>
      <c r="I112" s="26" t="str">
        <f>IF(OR(E112="",E112="!!!",F112="NEW"),"",INDEX(B111:B$2,-1+SUMPRODUCT(MAX(ROW(E111:E$2)*(E112=E111:E$2)))))</f>
        <v> </v>
      </c>
      <c r="J112" s="26" t="str">
        <f>IF(OR(E112="",E112="!!!",F112="NEW"),"",COUNTBLANK(OFFSET(A$1,,,SUMPRODUCT(MAX(ROW(E$2:E112)*(E112=E$2:E112)))))-COUNTBLANK(OFFSET(A$1,,,SUMPRODUCT(MAX(ROW(E$1:E111)*(E2=E$1:E111))))))</f>
        <v> </v>
      </c>
      <c r="K112" s="26" t="str">
        <f>IF(OR(E112="",E112="!!!",F112="NEW"),"",INDEX(J$1:J111,SUMPRODUCT(MAX(ROW(E$1:E111)*(E112=E$1:E111)))))</f>
        <v> </v>
      </c>
      <c r="L112" s="27"/>
    </row>
    <row r="113" spans="1:12">
      <c r="A113" s="20" t="s">
        <v>823</v>
      </c>
      <c r="B113" s="21" t="s">
        <v>739</v>
      </c>
      <c r="C113" s="21" t="s">
        <v>748</v>
      </c>
      <c r="E113" s="22">
        <f>IF(D113="?OLD","!!!","")</f>
        <v/>
      </c>
      <c r="F113" s="23" t="str">
        <f>IF(OR(E113="",E113="!!!"),"",IF(NOT(ISNA(VLOOKUP(E113,E$1:E112,1,FALSE()))),"OLD",IF(AND(E113&lt;&gt;"",E113&lt;&gt;"!!!"),"NEW","")))</f>
        <v> </v>
      </c>
      <c r="G113" s="24" t="str">
        <f>IF(OR(E113="",E113="!!!"),"",IF(OR(J113=0,AND(J113=1,K113=1),AND(J113=1,I113="SBJ"),AND(J113=1,I113=0)),"?IN_FOCUS",IF(J113&lt;=2,"?ACTIVATED",IF(J113&lt;&gt;"","?FAMILIAR",IF(F113="NEW",IF(ISNA(VLOOKUP(E113,#REF!,1,FALSE())),"?TYPE_IDENTIFIABLE","?REFERENTIAL"),"_")))))</f>
        <v> </v>
      </c>
      <c r="H113" s="25" t="str">
        <f>IF(J113&lt;&gt;1,"",IF(I113="SBJ","CB","?"))</f>
        <v> </v>
      </c>
      <c r="I113" s="26" t="str">
        <f>IF(OR(E113="",E113="!!!",F113="NEW"),"",INDEX(B112:B$2,-1+SUMPRODUCT(MAX(ROW(E112:E$2)*(E113=E112:E$2)))))</f>
        <v> </v>
      </c>
      <c r="J113" s="26" t="str">
        <f>IF(OR(E113="",E113="!!!",F113="NEW"),"",COUNTBLANK(OFFSET(A$1,,,SUMPRODUCT(MAX(ROW(E$2:E113)*(E113=E$2:E113)))))-COUNTBLANK(OFFSET(A$1,,,SUMPRODUCT(MAX(ROW(E$1:E112)*(E2=E$1:E112))))))</f>
        <v> </v>
      </c>
      <c r="K113" s="26" t="str">
        <f>IF(OR(E113="",E113="!!!",F113="NEW"),"",INDEX(J$1:J112,SUMPRODUCT(MAX(ROW(E$1:E112)*(E113=E$1:E112)))))</f>
        <v> </v>
      </c>
      <c r="L113" s="27"/>
    </row>
    <row r="114" spans="1:12">
      <c r="A114" s="20" t="s">
        <v>759</v>
      </c>
      <c r="E114" s="22">
        <f>IF(D114="?OLD","!!!","")</f>
        <v/>
      </c>
      <c r="F114" s="23" t="str">
        <f>IF(OR(E114="",E114="!!!"),"",IF(NOT(ISNA(VLOOKUP(E114,E$1:E113,1,FALSE()))),"OLD",IF(AND(E114&lt;&gt;"",E114&lt;&gt;"!!!"),"NEW","")))</f>
        <v> </v>
      </c>
      <c r="G114" s="24" t="str">
        <f>IF(OR(E114="",E114="!!!"),"",IF(OR(J114=0,AND(J114=1,K114=1),AND(J114=1,I114="SBJ"),AND(J114=1,I114=0)),"?IN_FOCUS",IF(J114&lt;=2,"?ACTIVATED",IF(J114&lt;&gt;"","?FAMILIAR",IF(F114="NEW",IF(ISNA(VLOOKUP(E114,#REF!,1,FALSE())),"?TYPE_IDENTIFIABLE","?REFERENTIAL"),"_")))))</f>
        <v> </v>
      </c>
      <c r="H114" s="25" t="str">
        <f>IF(J114&lt;&gt;1,"",IF(I114="SBJ","CB","?"))</f>
        <v> </v>
      </c>
      <c r="I114" s="26" t="str">
        <f>IF(OR(E114="",E114="!!!",F114="NEW"),"",INDEX(B113:B$2,-1+SUMPRODUCT(MAX(ROW(E113:E$2)*(E114=E113:E$2)))))</f>
        <v> </v>
      </c>
      <c r="J114" s="26" t="str">
        <f>IF(OR(E114="",E114="!!!",F114="NEW"),"",COUNTBLANK(OFFSET(A$1,,,SUMPRODUCT(MAX(ROW(E$2:E114)*(E114=E$2:E114)))))-COUNTBLANK(OFFSET(A$1,,,SUMPRODUCT(MAX(ROW(E$1:E113)*(E2=E$1:E113))))))</f>
        <v> </v>
      </c>
      <c r="K114" s="26" t="str">
        <f>IF(OR(E114="",E114="!!!",F114="NEW"),"",INDEX(J$1:J113,SUMPRODUCT(MAX(ROW(E$1:E113)*(E114=E$1:E113)))))</f>
        <v> </v>
      </c>
      <c r="L114" s="27"/>
    </row>
    <row r="115" spans="1:12">
      <c r="A115" s="20" t="s">
        <v>824</v>
      </c>
      <c r="B115" s="21" t="s">
        <v>791</v>
      </c>
      <c r="C115" s="21" t="s">
        <v>756</v>
      </c>
      <c r="E115" s="22">
        <f>IF(D115="?OLD","!!!","")</f>
        <v/>
      </c>
      <c r="F115" s="23" t="str">
        <f>IF(OR(E115="",E115="!!!"),"",IF(NOT(ISNA(VLOOKUP(E115,E$1:E114,1,FALSE()))),"OLD",IF(AND(E115&lt;&gt;"",E115&lt;&gt;"!!!"),"NEW","")))</f>
        <v> </v>
      </c>
      <c r="G115" s="24" t="str">
        <f>IF(OR(E115="",E115="!!!"),"",IF(OR(J115=0,AND(J115=1,K115=1),AND(J115=1,I115="SBJ"),AND(J115=1,I115=0)),"?IN_FOCUS",IF(J115&lt;=2,"?ACTIVATED",IF(J115&lt;&gt;"","?FAMILIAR",IF(F115="NEW",IF(ISNA(VLOOKUP(E115,#REF!,1,FALSE())),"?TYPE_IDENTIFIABLE","?REFERENTIAL"),"_")))))</f>
        <v> </v>
      </c>
      <c r="H115" s="25" t="str">
        <f>IF(J115&lt;&gt;1,"",IF(I115="SBJ","CB","?"))</f>
        <v> </v>
      </c>
      <c r="I115" s="26" t="str">
        <f>IF(OR(E115="",E115="!!!",F115="NEW"),"",INDEX(B114:B$2,-1+SUMPRODUCT(MAX(ROW(E114:E$2)*(E115=E114:E$2)))))</f>
        <v> </v>
      </c>
      <c r="J115" s="26" t="str">
        <f>IF(OR(E115="",E115="!!!",F115="NEW"),"",COUNTBLANK(OFFSET(A$1,,,SUMPRODUCT(MAX(ROW(E$2:E115)*(E115=E$2:E115)))))-COUNTBLANK(OFFSET(A$1,,,SUMPRODUCT(MAX(ROW(E$1:E114)*(E2=E$1:E114))))))</f>
        <v> </v>
      </c>
      <c r="K115" s="26" t="str">
        <f>IF(OR(E115="",E115="!!!",F115="NEW"),"",INDEX(J$1:J114,SUMPRODUCT(MAX(ROW(E$1:E114)*(E115=E$1:E114)))))</f>
        <v> </v>
      </c>
      <c r="L115" s="27"/>
    </row>
    <row r="116" spans="1:12">
      <c r="A116" s="20" t="s">
        <v>825</v>
      </c>
      <c r="E116" s="22">
        <f>IF(D116="?OLD","!!!","")</f>
        <v/>
      </c>
      <c r="F116" s="23" t="str">
        <f>IF(OR(E116="",E116="!!!"),"",IF(NOT(ISNA(VLOOKUP(E116,E$1:E115,1,FALSE()))),"OLD",IF(AND(E116&lt;&gt;"",E116&lt;&gt;"!!!"),"NEW","")))</f>
        <v> </v>
      </c>
      <c r="G116" s="24" t="str">
        <f>IF(OR(E116="",E116="!!!"),"",IF(OR(J116=0,AND(J116=1,K116=1),AND(J116=1,I116="SBJ"),AND(J116=1,I116=0)),"?IN_FOCUS",IF(J116&lt;=2,"?ACTIVATED",IF(J116&lt;&gt;"","?FAMILIAR",IF(F116="NEW",IF(ISNA(VLOOKUP(E116,#REF!,1,FALSE())),"?TYPE_IDENTIFIABLE","?REFERENTIAL"),"_")))))</f>
        <v> </v>
      </c>
      <c r="H116" s="25" t="str">
        <f>IF(J116&lt;&gt;1,"",IF(I116="SBJ","CB","?"))</f>
        <v> </v>
      </c>
      <c r="I116" s="26" t="str">
        <f>IF(OR(E116="",E116="!!!",F116="NEW"),"",INDEX(B115:B$2,-1+SUMPRODUCT(MAX(ROW(E115:E$2)*(E116=E115:E$2)))))</f>
        <v> </v>
      </c>
      <c r="J116" s="26" t="str">
        <f>IF(OR(E116="",E116="!!!",F116="NEW"),"",COUNTBLANK(OFFSET(A$1,,,SUMPRODUCT(MAX(ROW(E$2:E116)*(E116=E$2:E116)))))-COUNTBLANK(OFFSET(A$1,,,SUMPRODUCT(MAX(ROW(E$1:E115)*(E2=E$1:E115))))))</f>
        <v> </v>
      </c>
      <c r="K116" s="26" t="str">
        <f>IF(OR(E116="",E116="!!!",F116="NEW"),"",INDEX(J$1:J115,SUMPRODUCT(MAX(ROW(E$1:E115)*(E116=E$1:E115)))))</f>
        <v> </v>
      </c>
      <c r="L116" s="27"/>
    </row>
    <row r="117" spans="1:12">
      <c r="A117" s="20" t="s">
        <v>826</v>
      </c>
      <c r="B117" s="21" t="s">
        <v>739</v>
      </c>
      <c r="C117" s="21" t="s">
        <v>748</v>
      </c>
      <c r="E117" s="22">
        <f>IF(D117="?OLD","!!!","")</f>
        <v/>
      </c>
      <c r="F117" s="23" t="str">
        <f>IF(OR(E117="",E117="!!!"),"",IF(NOT(ISNA(VLOOKUP(E117,E$1:E116,1,FALSE()))),"OLD",IF(AND(E117&lt;&gt;"",E117&lt;&gt;"!!!"),"NEW","")))</f>
        <v> </v>
      </c>
      <c r="G117" s="24" t="str">
        <f>IF(OR(E117="",E117="!!!"),"",IF(OR(J117=0,AND(J117=1,K117=1),AND(J117=1,I117="SBJ"),AND(J117=1,I117=0)),"?IN_FOCUS",IF(J117&lt;=2,"?ACTIVATED",IF(J117&lt;&gt;"","?FAMILIAR",IF(F117="NEW",IF(ISNA(VLOOKUP(E117,#REF!,1,FALSE())),"?TYPE_IDENTIFIABLE","?REFERENTIAL"),"_")))))</f>
        <v> </v>
      </c>
      <c r="H117" s="25" t="str">
        <f>IF(J117&lt;&gt;1,"",IF(I117="SBJ","CB","?"))</f>
        <v> </v>
      </c>
      <c r="I117" s="26" t="str">
        <f>IF(OR(E117="",E117="!!!",F117="NEW"),"",INDEX(B116:B$2,-1+SUMPRODUCT(MAX(ROW(E116:E$2)*(E117=E116:E$2)))))</f>
        <v> </v>
      </c>
      <c r="J117" s="26" t="str">
        <f>IF(OR(E117="",E117="!!!",F117="NEW"),"",COUNTBLANK(OFFSET(A$1,,,SUMPRODUCT(MAX(ROW(E$2:E117)*(E117=E$2:E117)))))-COUNTBLANK(OFFSET(A$1,,,SUMPRODUCT(MAX(ROW(E$1:E116)*(E2=E$1:E116))))))</f>
        <v> </v>
      </c>
      <c r="K117" s="26" t="str">
        <f>IF(OR(E117="",E117="!!!",F117="NEW"),"",INDEX(J$1:J116,SUMPRODUCT(MAX(ROW(E$1:E116)*(E117=E$1:E116)))))</f>
        <v> </v>
      </c>
      <c r="L117" s="27"/>
    </row>
    <row r="118" spans="1:12">
      <c r="A118" s="20" t="s">
        <v>827</v>
      </c>
      <c r="E118" s="22">
        <f>IF(D118="?OLD","!!!","")</f>
        <v/>
      </c>
      <c r="F118" s="23" t="str">
        <f>IF(OR(E118="",E118="!!!"),"",IF(NOT(ISNA(VLOOKUP(E118,E$1:E117,1,FALSE()))),"OLD",IF(AND(E118&lt;&gt;"",E118&lt;&gt;"!!!"),"NEW","")))</f>
        <v> </v>
      </c>
      <c r="G118" s="24" t="str">
        <f>IF(OR(E118="",E118="!!!"),"",IF(OR(J118=0,AND(J118=1,K118=1),AND(J118=1,I118="SBJ"),AND(J118=1,I118=0)),"?IN_FOCUS",IF(J118&lt;=2,"?ACTIVATED",IF(J118&lt;&gt;"","?FAMILIAR",IF(F118="NEW",IF(ISNA(VLOOKUP(E118,#REF!,1,FALSE())),"?TYPE_IDENTIFIABLE","?REFERENTIAL"),"_")))))</f>
        <v> </v>
      </c>
      <c r="H118" s="25" t="str">
        <f>IF(J118&lt;&gt;1,"",IF(I118="SBJ","CB","?"))</f>
        <v> </v>
      </c>
      <c r="I118" s="26" t="str">
        <f>IF(OR(E118="",E118="!!!",F118="NEW"),"",INDEX(B117:B$2,-1+SUMPRODUCT(MAX(ROW(E117:E$2)*(E118=E117:E$2)))))</f>
        <v> </v>
      </c>
      <c r="J118" s="26" t="str">
        <f>IF(OR(E118="",E118="!!!",F118="NEW"),"",COUNTBLANK(OFFSET(A$1,,,SUMPRODUCT(MAX(ROW(E$2:E118)*(E118=E$2:E118)))))-COUNTBLANK(OFFSET(A$1,,,SUMPRODUCT(MAX(ROW(E$1:E117)*(E2=E$1:E117))))))</f>
        <v> </v>
      </c>
      <c r="K118" s="26" t="str">
        <f>IF(OR(E118="",E118="!!!",F118="NEW"),"",INDEX(J$1:J117,SUMPRODUCT(MAX(ROW(E$1:E117)*(E118=E$1:E117)))))</f>
        <v> </v>
      </c>
      <c r="L118" s="27"/>
    </row>
    <row r="119" spans="1:12">
      <c r="A119" s="20" t="s">
        <v>785</v>
      </c>
      <c r="E119" s="22">
        <f>IF(D119="?OLD","!!!","")</f>
        <v/>
      </c>
      <c r="F119" s="23" t="str">
        <f>IF(OR(E119="",E119="!!!"),"",IF(NOT(ISNA(VLOOKUP(E119,E$1:E118,1,FALSE()))),"OLD",IF(AND(E119&lt;&gt;"",E119&lt;&gt;"!!!"),"NEW","")))</f>
        <v> </v>
      </c>
      <c r="G119" s="24" t="str">
        <f>IF(OR(E119="",E119="!!!"),"",IF(OR(J119=0,AND(J119=1,K119=1),AND(J119=1,I119="SBJ"),AND(J119=1,I119=0)),"?IN_FOCUS",IF(J119&lt;=2,"?ACTIVATED",IF(J119&lt;&gt;"","?FAMILIAR",IF(F119="NEW",IF(ISNA(VLOOKUP(E119,#REF!,1,FALSE())),"?TYPE_IDENTIFIABLE","?REFERENTIAL"),"_")))))</f>
        <v> </v>
      </c>
      <c r="H119" s="25" t="str">
        <f>IF(J119&lt;&gt;1,"",IF(I119="SBJ","CB","?"))</f>
        <v> </v>
      </c>
      <c r="I119" s="26" t="str">
        <f>IF(OR(E119="",E119="!!!",F119="NEW"),"",INDEX(B118:B$2,-1+SUMPRODUCT(MAX(ROW(E118:E$2)*(E119=E118:E$2)))))</f>
        <v> </v>
      </c>
      <c r="J119" s="26" t="str">
        <f>IF(OR(E119="",E119="!!!",F119="NEW"),"",COUNTBLANK(OFFSET(A$1,,,SUMPRODUCT(MAX(ROW(E$2:E119)*(E119=E$2:E119)))))-COUNTBLANK(OFFSET(A$1,,,SUMPRODUCT(MAX(ROW(E$1:E118)*(E2=E$1:E118))))))</f>
        <v> </v>
      </c>
      <c r="K119" s="26" t="str">
        <f>IF(OR(E119="",E119="!!!",F119="NEW"),"",INDEX(J$1:J118,SUMPRODUCT(MAX(ROW(E$1:E118)*(E119=E$1:E118)))))</f>
        <v> </v>
      </c>
      <c r="L119" s="27"/>
    </row>
    <row r="120" spans="1:12">
      <c r="A120" s="20" t="s">
        <v>828</v>
      </c>
      <c r="E120" s="22">
        <f>IF(D120="?OLD","!!!","")</f>
        <v/>
      </c>
      <c r="F120" s="23" t="str">
        <f>IF(OR(E120="",E120="!!!"),"",IF(NOT(ISNA(VLOOKUP(E120,E$1:E119,1,FALSE()))),"OLD",IF(AND(E120&lt;&gt;"",E120&lt;&gt;"!!!"),"NEW","")))</f>
        <v> </v>
      </c>
      <c r="G120" s="24" t="str">
        <f>IF(OR(E120="",E120="!!!"),"",IF(OR(J120=0,AND(J120=1,K120=1),AND(J120=1,I120="SBJ"),AND(J120=1,I120=0)),"?IN_FOCUS",IF(J120&lt;=2,"?ACTIVATED",IF(J120&lt;&gt;"","?FAMILIAR",IF(F120="NEW",IF(ISNA(VLOOKUP(E120,#REF!,1,FALSE())),"?TYPE_IDENTIFIABLE","?REFERENTIAL"),"_")))))</f>
        <v> </v>
      </c>
      <c r="H120" s="25" t="str">
        <f>IF(J120&lt;&gt;1,"",IF(I120="SBJ","CB","?"))</f>
        <v> </v>
      </c>
      <c r="I120" s="26" t="str">
        <f>IF(OR(E120="",E120="!!!",F120="NEW"),"",INDEX(B119:B$2,-1+SUMPRODUCT(MAX(ROW(E119:E$2)*(E120=E119:E$2)))))</f>
        <v> </v>
      </c>
      <c r="J120" s="26" t="str">
        <f>IF(OR(E120="",E120="!!!",F120="NEW"),"",COUNTBLANK(OFFSET(A$1,,,SUMPRODUCT(MAX(ROW(E$2:E120)*(E120=E$2:E120)))))-COUNTBLANK(OFFSET(A$1,,,SUMPRODUCT(MAX(ROW(E$1:E119)*(E2=E$1:E119))))))</f>
        <v> </v>
      </c>
      <c r="K120" s="26" t="str">
        <f>IF(OR(E120="",E120="!!!",F120="NEW"),"",INDEX(J$1:J119,SUMPRODUCT(MAX(ROW(E$1:E119)*(E120=E$1:E119)))))</f>
        <v> </v>
      </c>
      <c r="L120" s="27"/>
    </row>
    <row r="121" spans="1:12">
      <c r="A121" s="20" t="s">
        <v>751</v>
      </c>
      <c r="E121" s="22">
        <f>IF(D121="?OLD","!!!","")</f>
        <v/>
      </c>
      <c r="F121" s="23" t="str">
        <f>IF(OR(E121="",E121="!!!"),"",IF(NOT(ISNA(VLOOKUP(E121,E$1:E120,1,FALSE()))),"OLD",IF(AND(E121&lt;&gt;"",E121&lt;&gt;"!!!"),"NEW","")))</f>
        <v> </v>
      </c>
      <c r="G121" s="24" t="str">
        <f>IF(OR(E121="",E121="!!!"),"",IF(OR(J121=0,AND(J121=1,K121=1),AND(J121=1,I121="SBJ"),AND(J121=1,I121=0)),"?IN_FOCUS",IF(J121&lt;=2,"?ACTIVATED",IF(J121&lt;&gt;"","?FAMILIAR",IF(F121="NEW",IF(ISNA(VLOOKUP(E121,#REF!,1,FALSE())),"?TYPE_IDENTIFIABLE","?REFERENTIAL"),"_")))))</f>
        <v> </v>
      </c>
      <c r="H121" s="25" t="str">
        <f>IF(J121&lt;&gt;1,"",IF(I121="SBJ","CB","?"))</f>
        <v> </v>
      </c>
      <c r="I121" s="26" t="str">
        <f>IF(OR(E121="",E121="!!!",F121="NEW"),"",INDEX(B120:B$2,-1+SUMPRODUCT(MAX(ROW(E120:E$2)*(E121=E120:E$2)))))</f>
        <v> </v>
      </c>
      <c r="J121" s="26" t="str">
        <f>IF(OR(E121="",E121="!!!",F121="NEW"),"",COUNTBLANK(OFFSET(A$1,,,SUMPRODUCT(MAX(ROW(E$2:E121)*(E121=E$2:E121)))))-COUNTBLANK(OFFSET(A$1,,,SUMPRODUCT(MAX(ROW(E$1:E120)*(E2=E$1:E120))))))</f>
        <v> </v>
      </c>
      <c r="K121" s="26" t="str">
        <f>IF(OR(E121="",E121="!!!",F121="NEW"),"",INDEX(J$1:J120,SUMPRODUCT(MAX(ROW(E$1:E120)*(E121=E$1:E120)))))</f>
        <v> </v>
      </c>
      <c r="L121" s="27"/>
    </row>
    <row r="122" spans="1:12">
      <c r="A122" s="20" t="s">
        <v>829</v>
      </c>
      <c r="B122" s="21" t="s">
        <v>755</v>
      </c>
      <c r="C122" s="21" t="s">
        <v>753</v>
      </c>
      <c r="D122" s="21" t="s">
        <v>730</v>
      </c>
      <c r="E122" s="22">
        <f>IF(D122="?OLD","!!!","")</f>
        <v/>
      </c>
      <c r="F122" s="23" t="str">
        <f>IF(OR(E122="",E122="!!!"),"",IF(NOT(ISNA(VLOOKUP(E122,E$1:E121,1,FALSE()))),"OLD",IF(AND(E122&lt;&gt;"",E122&lt;&gt;"!!!"),"NEW","")))</f>
        <v> </v>
      </c>
      <c r="G122" s="24" t="str">
        <f>IF(OR(E122="",E122="!!!"),"",IF(OR(J122=0,AND(J122=1,K122=1),AND(J122=1,I122="SBJ"),AND(J122=1,I122=0)),"?IN_FOCUS",IF(J122&lt;=2,"?ACTIVATED",IF(J122&lt;&gt;"","?FAMILIAR",IF(F122="NEW",IF(ISNA(VLOOKUP(E122,#REF!,1,FALSE())),"?TYPE_IDENTIFIABLE","?REFERENTIAL"),"_")))))</f>
        <v> </v>
      </c>
      <c r="H122" s="25" t="str">
        <f>IF(J122&lt;&gt;1,"",IF(I122="SBJ","CB","?"))</f>
        <v> </v>
      </c>
      <c r="I122" s="26" t="str">
        <f>IF(OR(E122="",E122="!!!",F122="NEW"),"",INDEX(B121:B$2,-1+SUMPRODUCT(MAX(ROW(E121:E$2)*(E122=E121:E$2)))))</f>
        <v> </v>
      </c>
      <c r="J122" s="26" t="str">
        <f>IF(OR(E122="",E122="!!!",F122="NEW"),"",COUNTBLANK(OFFSET(A$1,,,SUMPRODUCT(MAX(ROW(E$2:E122)*(E122=E$2:E122)))))-COUNTBLANK(OFFSET(A$1,,,SUMPRODUCT(MAX(ROW(E$1:E121)*(E2=E$1:E121))))))</f>
        <v> </v>
      </c>
      <c r="K122" s="26" t="str">
        <f>IF(OR(E122="",E122="!!!",F122="NEW"),"",INDEX(J$1:J121,SUMPRODUCT(MAX(ROW(E$1:E121)*(E122=E$1:E121)))))</f>
        <v> </v>
      </c>
      <c r="L122" s="27"/>
    </row>
    <row r="123" spans="1:12">
      <c r="A123" s="20" t="s">
        <v>830</v>
      </c>
      <c r="E123" s="22">
        <f>IF(D123="?OLD","!!!","")</f>
        <v/>
      </c>
      <c r="F123" s="23" t="str">
        <f>IF(OR(E123="",E123="!!!"),"",IF(NOT(ISNA(VLOOKUP(E123,E$1:E122,1,FALSE()))),"OLD",IF(AND(E123&lt;&gt;"",E123&lt;&gt;"!!!"),"NEW","")))</f>
        <v> </v>
      </c>
      <c r="G123" s="24" t="str">
        <f>IF(OR(E123="",E123="!!!"),"",IF(OR(J123=0,AND(J123=1,K123=1),AND(J123=1,I123="SBJ"),AND(J123=1,I123=0)),"?IN_FOCUS",IF(J123&lt;=2,"?ACTIVATED",IF(J123&lt;&gt;"","?FAMILIAR",IF(F123="NEW",IF(ISNA(VLOOKUP(E123,#REF!,1,FALSE())),"?TYPE_IDENTIFIABLE","?REFERENTIAL"),"_")))))</f>
        <v> </v>
      </c>
      <c r="H123" s="25" t="str">
        <f>IF(J123&lt;&gt;1,"",IF(I123="SBJ","CB","?"))</f>
        <v> </v>
      </c>
      <c r="I123" s="26" t="str">
        <f>IF(OR(E123="",E123="!!!",F123="NEW"),"",INDEX(B122:B$2,-1+SUMPRODUCT(MAX(ROW(E122:E$2)*(E123=E122:E$2)))))</f>
        <v> </v>
      </c>
      <c r="J123" s="26" t="str">
        <f>IF(OR(E123="",E123="!!!",F123="NEW"),"",COUNTBLANK(OFFSET(A$1,,,SUMPRODUCT(MAX(ROW(E$2:E123)*(E123=E$2:E123)))))-COUNTBLANK(OFFSET(A$1,,,SUMPRODUCT(MAX(ROW(E$1:E122)*(E2=E$1:E122))))))</f>
        <v> </v>
      </c>
      <c r="K123" s="26" t="str">
        <f>IF(OR(E123="",E123="!!!",F123="NEW"),"",INDEX(J$1:J122,SUMPRODUCT(MAX(ROW(E$1:E122)*(E123=E$1:E122)))))</f>
        <v> </v>
      </c>
      <c r="L123" s="27"/>
    </row>
    <row r="124" spans="1:12">
      <c r="A124" s="20" t="s">
        <v>246</v>
      </c>
      <c r="E124" s="22">
        <f>IF(D124="?OLD","!!!","")</f>
        <v/>
      </c>
      <c r="F124" s="23" t="str">
        <f>IF(OR(E124="",E124="!!!"),"",IF(NOT(ISNA(VLOOKUP(E124,E$1:E123,1,FALSE()))),"OLD",IF(AND(E124&lt;&gt;"",E124&lt;&gt;"!!!"),"NEW","")))</f>
        <v> </v>
      </c>
      <c r="G124" s="24" t="str">
        <f>IF(OR(E124="",E124="!!!"),"",IF(OR(J124=0,AND(J124=1,K124=1),AND(J124=1,I124="SBJ"),AND(J124=1,I124=0)),"?IN_FOCUS",IF(J124&lt;=2,"?ACTIVATED",IF(J124&lt;&gt;"","?FAMILIAR",IF(F124="NEW",IF(ISNA(VLOOKUP(E124,#REF!,1,FALSE())),"?TYPE_IDENTIFIABLE","?REFERENTIAL"),"_")))))</f>
        <v> </v>
      </c>
      <c r="H124" s="25" t="str">
        <f>IF(J124&lt;&gt;1,"",IF(I124="SBJ","CB","?"))</f>
        <v> </v>
      </c>
      <c r="I124" s="26" t="str">
        <f>IF(OR(E124="",E124="!!!",F124="NEW"),"",INDEX(B123:B$2,-1+SUMPRODUCT(MAX(ROW(E123:E$2)*(E124=E123:E$2)))))</f>
        <v> </v>
      </c>
      <c r="J124" s="26" t="str">
        <f>IF(OR(E124="",E124="!!!",F124="NEW"),"",COUNTBLANK(OFFSET(A$1,,,SUMPRODUCT(MAX(ROW(E$2:E124)*(E124=E$2:E124)))))-COUNTBLANK(OFFSET(A$1,,,SUMPRODUCT(MAX(ROW(E$1:E123)*(E2=E$1:E123))))))</f>
        <v> </v>
      </c>
      <c r="K124" s="26" t="str">
        <f>IF(OR(E124="",E124="!!!",F124="NEW"),"",INDEX(J$1:J123,SUMPRODUCT(MAX(ROW(E$1:E123)*(E124=E$1:E123)))))</f>
        <v> </v>
      </c>
      <c r="L124" s="27"/>
    </row>
    <row r="125" spans="1:12">
      <c r="A125" s="20"/>
    </row>
    <row r="126" spans="1:12">
      <c r="A126" s="20" t="s">
        <v>831</v>
      </c>
    </row>
    <row r="127" spans="1:12">
      <c r="A127" s="20" t="s">
        <v>727</v>
      </c>
      <c r="B127" s="21" t="s">
        <v>728</v>
      </c>
      <c r="C127" s="21" t="s">
        <v>729</v>
      </c>
      <c r="D127" s="21" t="s">
        <v>730</v>
      </c>
      <c r="E127" s="22">
        <f>IF(D127="?OLD","!!!","")</f>
        <v/>
      </c>
      <c r="F127" s="23" t="str">
        <f>IF(OR(E127="",E127="!!!"),"",IF(NOT(ISNA(VLOOKUP(E127,E$1:E126,1,FALSE()))),"OLD",IF(AND(E127&lt;&gt;"",E127&lt;&gt;"!!!"),"NEW","")))</f>
        <v> </v>
      </c>
      <c r="G127" s="24" t="str">
        <f>IF(OR(E127="",E127="!!!"),"",IF(OR(J127=0,AND(J127=1,K127=1),AND(J127=1,I127="SBJ"),AND(J127=1,I127=0)),"?IN_FOCUS",IF(J127&lt;=2,"?ACTIVATED",IF(J127&lt;&gt;"","?FAMILIAR",IF(F127="NEW",IF(ISNA(VLOOKUP(E127,#REF!,1,FALSE())),"?TYPE_IDENTIFIABLE","?REFERENTIAL"),"_")))))</f>
        <v> </v>
      </c>
      <c r="H127" s="25" t="str">
        <f>IF(J127&lt;&gt;1,"",IF(I127="SBJ","CB","?"))</f>
        <v> </v>
      </c>
      <c r="I127" s="26" t="str">
        <f>IF(OR(E127="",E127="!!!",F127="NEW"),"",INDEX(B126:B$2,-1+SUMPRODUCT(MAX(ROW(E126:E$2)*(E127=E126:E$2)))))</f>
        <v> </v>
      </c>
      <c r="J127" s="26" t="str">
        <f>IF(OR(E127="",E127="!!!",F127="NEW"),"",COUNTBLANK(OFFSET(A$1,,,SUMPRODUCT(MAX(ROW(E$2:E127)*(E127=E$2:E127)))))-COUNTBLANK(OFFSET(A$1,,,SUMPRODUCT(MAX(ROW(E$1:E126)*(E2=E$1:E126))))))</f>
        <v> </v>
      </c>
      <c r="K127" s="26" t="str">
        <f>IF(OR(E127="",E127="!!!",F127="NEW"),"",INDEX(J$1:J126,SUMPRODUCT(MAX(ROW(E$1:E126)*(E127=E$1:E126)))))</f>
        <v> </v>
      </c>
      <c r="L127" s="27"/>
    </row>
    <row r="128" spans="1:12">
      <c r="A128" s="20" t="s">
        <v>811</v>
      </c>
      <c r="E128" s="22">
        <f>IF(D128="?OLD","!!!","")</f>
        <v/>
      </c>
      <c r="F128" s="23" t="str">
        <f>IF(OR(E128="",E128="!!!"),"",IF(NOT(ISNA(VLOOKUP(E128,E$1:E127,1,FALSE()))),"OLD",IF(AND(E128&lt;&gt;"",E128&lt;&gt;"!!!"),"NEW","")))</f>
        <v> </v>
      </c>
      <c r="G128" s="24" t="str">
        <f>IF(OR(E128="",E128="!!!"),"",IF(OR(J128=0,AND(J128=1,K128=1),AND(J128=1,I128="SBJ"),AND(J128=1,I128=0)),"?IN_FOCUS",IF(J128&lt;=2,"?ACTIVATED",IF(J128&lt;&gt;"","?FAMILIAR",IF(F128="NEW",IF(ISNA(VLOOKUP(E128,#REF!,1,FALSE())),"?TYPE_IDENTIFIABLE","?REFERENTIAL"),"_")))))</f>
        <v> </v>
      </c>
      <c r="H128" s="25" t="str">
        <f>IF(J128&lt;&gt;1,"",IF(I128="SBJ","CB","?"))</f>
        <v> </v>
      </c>
      <c r="I128" s="26" t="str">
        <f>IF(OR(E128="",E128="!!!",F128="NEW"),"",INDEX(B127:B$2,-1+SUMPRODUCT(MAX(ROW(E127:E$2)*(E128=E127:E$2)))))</f>
        <v> </v>
      </c>
      <c r="J128" s="26" t="str">
        <f>IF(OR(E128="",E128="!!!",F128="NEW"),"",COUNTBLANK(OFFSET(A$1,,,SUMPRODUCT(MAX(ROW(E$2:E128)*(E128=E$2:E128)))))-COUNTBLANK(OFFSET(A$1,,,SUMPRODUCT(MAX(ROW(E$1:E127)*(E2=E$1:E127))))))</f>
        <v> </v>
      </c>
      <c r="K128" s="26" t="str">
        <f>IF(OR(E128="",E128="!!!",F128="NEW"),"",INDEX(J$1:J127,SUMPRODUCT(MAX(ROW(E$1:E127)*(E128=E$1:E127)))))</f>
        <v> </v>
      </c>
      <c r="L128" s="27"/>
    </row>
    <row r="129" spans="1:12">
      <c r="A129" s="20" t="s">
        <v>832</v>
      </c>
      <c r="E129" s="22">
        <f>IF(D129="?OLD","!!!","")</f>
        <v/>
      </c>
      <c r="F129" s="23" t="str">
        <f>IF(OR(E129="",E129="!!!"),"",IF(NOT(ISNA(VLOOKUP(E129,E$1:E128,1,FALSE()))),"OLD",IF(AND(E129&lt;&gt;"",E129&lt;&gt;"!!!"),"NEW","")))</f>
        <v> </v>
      </c>
      <c r="G129" s="24" t="str">
        <f>IF(OR(E129="",E129="!!!"),"",IF(OR(J129=0,AND(J129=1,K129=1),AND(J129=1,I129="SBJ"),AND(J129=1,I129=0)),"?IN_FOCUS",IF(J129&lt;=2,"?ACTIVATED",IF(J129&lt;&gt;"","?FAMILIAR",IF(F129="NEW",IF(ISNA(VLOOKUP(E129,#REF!,1,FALSE())),"?TYPE_IDENTIFIABLE","?REFERENTIAL"),"_")))))</f>
        <v> </v>
      </c>
      <c r="H129" s="25" t="str">
        <f>IF(J129&lt;&gt;1,"",IF(I129="SBJ","CB","?"))</f>
        <v> </v>
      </c>
      <c r="I129" s="26" t="str">
        <f>IF(OR(E129="",E129="!!!",F129="NEW"),"",INDEX(B128:B$2,-1+SUMPRODUCT(MAX(ROW(E128:E$2)*(E129=E128:E$2)))))</f>
        <v> </v>
      </c>
      <c r="J129" s="26" t="str">
        <f>IF(OR(E129="",E129="!!!",F129="NEW"),"",COUNTBLANK(OFFSET(A$1,,,SUMPRODUCT(MAX(ROW(E$2:E129)*(E129=E$2:E129)))))-COUNTBLANK(OFFSET(A$1,,,SUMPRODUCT(MAX(ROW(E$1:E128)*(E2=E$1:E128))))))</f>
        <v> </v>
      </c>
      <c r="K129" s="26" t="str">
        <f>IF(OR(E129="",E129="!!!",F129="NEW"),"",INDEX(J$1:J128,SUMPRODUCT(MAX(ROW(E$1:E128)*(E129=E$1:E128)))))</f>
        <v> </v>
      </c>
      <c r="L129" s="27"/>
    </row>
    <row r="130" spans="1:12">
      <c r="A130" s="20" t="s">
        <v>833</v>
      </c>
      <c r="E130" s="22">
        <f>IF(D130="?OLD","!!!","")</f>
        <v/>
      </c>
      <c r="F130" s="23" t="str">
        <f>IF(OR(E130="",E130="!!!"),"",IF(NOT(ISNA(VLOOKUP(E130,E$1:E129,1,FALSE()))),"OLD",IF(AND(E130&lt;&gt;"",E130&lt;&gt;"!!!"),"NEW","")))</f>
        <v> </v>
      </c>
      <c r="G130" s="24" t="str">
        <f>IF(OR(E130="",E130="!!!"),"",IF(OR(J130=0,AND(J130=1,K130=1),AND(J130=1,I130="SBJ"),AND(J130=1,I130=0)),"?IN_FOCUS",IF(J130&lt;=2,"?ACTIVATED",IF(J130&lt;&gt;"","?FAMILIAR",IF(F130="NEW",IF(ISNA(VLOOKUP(E130,#REF!,1,FALSE())),"?TYPE_IDENTIFIABLE","?REFERENTIAL"),"_")))))</f>
        <v> </v>
      </c>
      <c r="H130" s="25" t="str">
        <f>IF(J130&lt;&gt;1,"",IF(I130="SBJ","CB","?"))</f>
        <v> </v>
      </c>
      <c r="I130" s="26" t="str">
        <f>IF(OR(E130="",E130="!!!",F130="NEW"),"",INDEX(B129:B$2,-1+SUMPRODUCT(MAX(ROW(E129:E$2)*(E130=E129:E$2)))))</f>
        <v> </v>
      </c>
      <c r="J130" s="26" t="str">
        <f>IF(OR(E130="",E130="!!!",F130="NEW"),"",COUNTBLANK(OFFSET(A$1,,,SUMPRODUCT(MAX(ROW(E$2:E130)*(E130=E$2:E130)))))-COUNTBLANK(OFFSET(A$1,,,SUMPRODUCT(MAX(ROW(E$1:E129)*(E2=E$1:E129))))))</f>
        <v> </v>
      </c>
      <c r="K130" s="26" t="str">
        <f>IF(OR(E130="",E130="!!!",F130="NEW"),"",INDEX(J$1:J129,SUMPRODUCT(MAX(ROW(E$1:E129)*(E130=E$1:E129)))))</f>
        <v> </v>
      </c>
      <c r="L130" s="27"/>
    </row>
    <row r="131" spans="1:12">
      <c r="A131" s="20" t="s">
        <v>759</v>
      </c>
      <c r="E131" s="22">
        <f>IF(D131="?OLD","!!!","")</f>
        <v/>
      </c>
      <c r="F131" s="23" t="str">
        <f>IF(OR(E131="",E131="!!!"),"",IF(NOT(ISNA(VLOOKUP(E131,E$1:E130,1,FALSE()))),"OLD",IF(AND(E131&lt;&gt;"",E131&lt;&gt;"!!!"),"NEW","")))</f>
        <v> </v>
      </c>
      <c r="G131" s="24" t="str">
        <f>IF(OR(E131="",E131="!!!"),"",IF(OR(J131=0,AND(J131=1,K131=1),AND(J131=1,I131="SBJ"),AND(J131=1,I131=0)),"?IN_FOCUS",IF(J131&lt;=2,"?ACTIVATED",IF(J131&lt;&gt;"","?FAMILIAR",IF(F131="NEW",IF(ISNA(VLOOKUP(E131,#REF!,1,FALSE())),"?TYPE_IDENTIFIABLE","?REFERENTIAL"),"_")))))</f>
        <v> </v>
      </c>
      <c r="H131" s="25" t="str">
        <f>IF(J131&lt;&gt;1,"",IF(I131="SBJ","CB","?"))</f>
        <v> </v>
      </c>
      <c r="I131" s="26" t="str">
        <f>IF(OR(E131="",E131="!!!",F131="NEW"),"",INDEX(B130:B$2,-1+SUMPRODUCT(MAX(ROW(E130:E$2)*(E131=E130:E$2)))))</f>
        <v> </v>
      </c>
      <c r="J131" s="26" t="str">
        <f>IF(OR(E131="",E131="!!!",F131="NEW"),"",COUNTBLANK(OFFSET(A$1,,,SUMPRODUCT(MAX(ROW(E$2:E131)*(E131=E$2:E131)))))-COUNTBLANK(OFFSET(A$1,,,SUMPRODUCT(MAX(ROW(E$1:E130)*(E2=E$1:E130))))))</f>
        <v> </v>
      </c>
      <c r="K131" s="26" t="str">
        <f>IF(OR(E131="",E131="!!!",F131="NEW"),"",INDEX(J$1:J130,SUMPRODUCT(MAX(ROW(E$1:E130)*(E131=E$1:E130)))))</f>
        <v> </v>
      </c>
      <c r="L131" s="27"/>
    </row>
    <row r="132" spans="1:12">
      <c r="A132" s="20" t="s">
        <v>300</v>
      </c>
      <c r="E132" s="22">
        <f>IF(D132="?OLD","!!!","")</f>
        <v/>
      </c>
      <c r="F132" s="23" t="str">
        <f>IF(OR(E132="",E132="!!!"),"",IF(NOT(ISNA(VLOOKUP(E132,E$1:E131,1,FALSE()))),"OLD",IF(AND(E132&lt;&gt;"",E132&lt;&gt;"!!!"),"NEW","")))</f>
        <v> </v>
      </c>
      <c r="G132" s="24" t="str">
        <f>IF(OR(E132="",E132="!!!"),"",IF(OR(J132=0,AND(J132=1,K132=1),AND(J132=1,I132="SBJ"),AND(J132=1,I132=0)),"?IN_FOCUS",IF(J132&lt;=2,"?ACTIVATED",IF(J132&lt;&gt;"","?FAMILIAR",IF(F132="NEW",IF(ISNA(VLOOKUP(E132,#REF!,1,FALSE())),"?TYPE_IDENTIFIABLE","?REFERENTIAL"),"_")))))</f>
        <v> </v>
      </c>
      <c r="H132" s="25" t="str">
        <f>IF(J132&lt;&gt;1,"",IF(I132="SBJ","CB","?"))</f>
        <v> </v>
      </c>
      <c r="I132" s="26" t="str">
        <f>IF(OR(E132="",E132="!!!",F132="NEW"),"",INDEX(B131:B$2,-1+SUMPRODUCT(MAX(ROW(E131:E$2)*(E132=E131:E$2)))))</f>
        <v> </v>
      </c>
      <c r="J132" s="26" t="str">
        <f>IF(OR(E132="",E132="!!!",F132="NEW"),"",COUNTBLANK(OFFSET(A$1,,,SUMPRODUCT(MAX(ROW(E$2:E132)*(E132=E$2:E132)))))-COUNTBLANK(OFFSET(A$1,,,SUMPRODUCT(MAX(ROW(E$1:E131)*(E2=E$1:E131))))))</f>
        <v> </v>
      </c>
      <c r="K132" s="26" t="str">
        <f>IF(OR(E132="",E132="!!!",F132="NEW"),"",INDEX(J$1:J131,SUMPRODUCT(MAX(ROW(E$1:E131)*(E132=E$1:E131)))))</f>
        <v> </v>
      </c>
      <c r="L132" s="27"/>
    </row>
    <row r="133" spans="1:12">
      <c r="A133" s="20" t="s">
        <v>834</v>
      </c>
      <c r="B133" s="21" t="s">
        <v>796</v>
      </c>
      <c r="C133" s="21" t="s">
        <v>729</v>
      </c>
      <c r="D133" s="21" t="s">
        <v>730</v>
      </c>
      <c r="E133" s="22">
        <f>IF(D133="?OLD","!!!","")</f>
        <v/>
      </c>
      <c r="F133" s="23" t="str">
        <f>IF(OR(E133="",E133="!!!"),"",IF(NOT(ISNA(VLOOKUP(E133,E$1:E132,1,FALSE()))),"OLD",IF(AND(E133&lt;&gt;"",E133&lt;&gt;"!!!"),"NEW","")))</f>
        <v> </v>
      </c>
      <c r="G133" s="24" t="str">
        <f>IF(OR(E133="",E133="!!!"),"",IF(OR(J133=0,AND(J133=1,K133=1),AND(J133=1,I133="SBJ"),AND(J133=1,I133=0)),"?IN_FOCUS",IF(J133&lt;=2,"?ACTIVATED",IF(J133&lt;&gt;"","?FAMILIAR",IF(F133="NEW",IF(ISNA(VLOOKUP(E133,#REF!,1,FALSE())),"?TYPE_IDENTIFIABLE","?REFERENTIAL"),"_")))))</f>
        <v> </v>
      </c>
      <c r="H133" s="25" t="str">
        <f>IF(J133&lt;&gt;1,"",IF(I133="SBJ","CB","?"))</f>
        <v> </v>
      </c>
      <c r="I133" s="26" t="str">
        <f>IF(OR(E133="",E133="!!!",F133="NEW"),"",INDEX(B132:B$2,-1+SUMPRODUCT(MAX(ROW(E132:E$2)*(E133=E132:E$2)))))</f>
        <v> </v>
      </c>
      <c r="J133" s="26" t="str">
        <f>IF(OR(E133="",E133="!!!",F133="NEW"),"",COUNTBLANK(OFFSET(A$1,,,SUMPRODUCT(MAX(ROW(E$2:E133)*(E133=E$2:E133)))))-COUNTBLANK(OFFSET(A$1,,,SUMPRODUCT(MAX(ROW(E$1:E132)*(E2=E$1:E132))))))</f>
        <v> </v>
      </c>
      <c r="K133" s="26" t="str">
        <f>IF(OR(E133="",E133="!!!",F133="NEW"),"",INDEX(J$1:J132,SUMPRODUCT(MAX(ROW(E$1:E132)*(E133=E$1:E132)))))</f>
        <v> </v>
      </c>
      <c r="L133" s="27"/>
    </row>
    <row r="134" spans="1:12">
      <c r="A134" s="20" t="s">
        <v>246</v>
      </c>
      <c r="E134" s="22">
        <f>IF(D134="?OLD","!!!","")</f>
        <v/>
      </c>
      <c r="F134" s="23" t="str">
        <f>IF(OR(E134="",E134="!!!"),"",IF(NOT(ISNA(VLOOKUP(E134,E$1:E133,1,FALSE()))),"OLD",IF(AND(E134&lt;&gt;"",E134&lt;&gt;"!!!"),"NEW","")))</f>
        <v> </v>
      </c>
      <c r="G134" s="24" t="str">
        <f>IF(OR(E134="",E134="!!!"),"",IF(OR(J134=0,AND(J134=1,K134=1),AND(J134=1,I134="SBJ"),AND(J134=1,I134=0)),"?IN_FOCUS",IF(J134&lt;=2,"?ACTIVATED",IF(J134&lt;&gt;"","?FAMILIAR",IF(F134="NEW",IF(ISNA(VLOOKUP(E134,#REF!,1,FALSE())),"?TYPE_IDENTIFIABLE","?REFERENTIAL"),"_")))))</f>
        <v> </v>
      </c>
      <c r="H134" s="25" t="str">
        <f>IF(J134&lt;&gt;1,"",IF(I134="SBJ","CB","?"))</f>
        <v> </v>
      </c>
      <c r="I134" s="26" t="str">
        <f>IF(OR(E134="",E134="!!!",F134="NEW"),"",INDEX(B133:B$2,-1+SUMPRODUCT(MAX(ROW(E133:E$2)*(E134=E133:E$2)))))</f>
        <v> </v>
      </c>
      <c r="J134" s="26" t="str">
        <f>IF(OR(E134="",E134="!!!",F134="NEW"),"",COUNTBLANK(OFFSET(A$1,,,SUMPRODUCT(MAX(ROW(E$2:E134)*(E134=E$2:E134)))))-COUNTBLANK(OFFSET(A$1,,,SUMPRODUCT(MAX(ROW(E$1:E133)*(E2=E$1:E133))))))</f>
        <v> </v>
      </c>
      <c r="K134" s="26" t="str">
        <f>IF(OR(E134="",E134="!!!",F134="NEW"),"",INDEX(J$1:J133,SUMPRODUCT(MAX(ROW(E$1:E133)*(E134=E$1:E133)))))</f>
        <v> </v>
      </c>
      <c r="L134" s="27"/>
    </row>
    <row r="135" spans="1:12">
      <c r="A135" s="20"/>
    </row>
    <row r="136" spans="1:12">
      <c r="A136" s="20" t="s">
        <v>835</v>
      </c>
    </row>
    <row r="137" spans="1:12">
      <c r="A137" s="20" t="s">
        <v>836</v>
      </c>
      <c r="B137" s="21" t="s">
        <v>728</v>
      </c>
      <c r="C137" s="21" t="s">
        <v>729</v>
      </c>
      <c r="D137" s="21" t="s">
        <v>730</v>
      </c>
      <c r="E137" s="22">
        <f>IF(D137="?OLD","!!!","")</f>
        <v/>
      </c>
      <c r="F137" s="23" t="str">
        <f>IF(OR(E137="",E137="!!!"),"",IF(NOT(ISNA(VLOOKUP(E137,E$1:E136,1,FALSE()))),"OLD",IF(AND(E137&lt;&gt;"",E137&lt;&gt;"!!!"),"NEW","")))</f>
        <v> </v>
      </c>
      <c r="G137" s="24" t="str">
        <f>IF(OR(E137="",E137="!!!"),"",IF(OR(J137=0,AND(J137=1,K137=1),AND(J137=1,I137="SBJ"),AND(J137=1,I137=0)),"?IN_FOCUS",IF(J137&lt;=2,"?ACTIVATED",IF(J137&lt;&gt;"","?FAMILIAR",IF(F137="NEW",IF(ISNA(VLOOKUP(E137,#REF!,1,FALSE())),"?TYPE_IDENTIFIABLE","?REFERENTIAL"),"_")))))</f>
        <v> </v>
      </c>
      <c r="H137" s="25" t="str">
        <f>IF(J137&lt;&gt;1,"",IF(I137="SBJ","CB","?"))</f>
        <v> </v>
      </c>
      <c r="I137" s="26" t="str">
        <f>IF(OR(E137="",E137="!!!",F137="NEW"),"",INDEX(B136:B$2,-1+SUMPRODUCT(MAX(ROW(E136:E$2)*(E137=E136:E$2)))))</f>
        <v> </v>
      </c>
      <c r="J137" s="26" t="str">
        <f>IF(OR(E137="",E137="!!!",F137="NEW"),"",COUNTBLANK(OFFSET(A$1,,,SUMPRODUCT(MAX(ROW(E$2:E137)*(E137=E$2:E137)))))-COUNTBLANK(OFFSET(A$1,,,SUMPRODUCT(MAX(ROW(E$1:E136)*(E2=E$1:E136))))))</f>
        <v> </v>
      </c>
      <c r="K137" s="26" t="str">
        <f>IF(OR(E137="",E137="!!!",F137="NEW"),"",INDEX(J$1:J136,SUMPRODUCT(MAX(ROW(E$1:E136)*(E137=E$1:E136)))))</f>
        <v> </v>
      </c>
      <c r="L137" s="27"/>
    </row>
    <row r="138" spans="1:12">
      <c r="A138" s="20" t="s">
        <v>837</v>
      </c>
      <c r="E138" s="22">
        <f>IF(D138="?OLD","!!!","")</f>
        <v/>
      </c>
      <c r="F138" s="23" t="str">
        <f>IF(OR(E138="",E138="!!!"),"",IF(NOT(ISNA(VLOOKUP(E138,E$1:E137,1,FALSE()))),"OLD",IF(AND(E138&lt;&gt;"",E138&lt;&gt;"!!!"),"NEW","")))</f>
        <v> </v>
      </c>
      <c r="G138" s="24" t="str">
        <f>IF(OR(E138="",E138="!!!"),"",IF(OR(J138=0,AND(J138=1,K138=1),AND(J138=1,I138="SBJ"),AND(J138=1,I138=0)),"?IN_FOCUS",IF(J138&lt;=2,"?ACTIVATED",IF(J138&lt;&gt;"","?FAMILIAR",IF(F138="NEW",IF(ISNA(VLOOKUP(E138,#REF!,1,FALSE())),"?TYPE_IDENTIFIABLE","?REFERENTIAL"),"_")))))</f>
        <v> </v>
      </c>
      <c r="H138" s="25" t="str">
        <f>IF(J138&lt;&gt;1,"",IF(I138="SBJ","CB","?"))</f>
        <v> </v>
      </c>
      <c r="I138" s="26" t="str">
        <f>IF(OR(E138="",E138="!!!",F138="NEW"),"",INDEX(B137:B$2,-1+SUMPRODUCT(MAX(ROW(E137:E$2)*(E138=E137:E$2)))))</f>
        <v> </v>
      </c>
      <c r="J138" s="26" t="str">
        <f>IF(OR(E138="",E138="!!!",F138="NEW"),"",COUNTBLANK(OFFSET(A$1,,,SUMPRODUCT(MAX(ROW(E$2:E138)*(E138=E$2:E138)))))-COUNTBLANK(OFFSET(A$1,,,SUMPRODUCT(MAX(ROW(E$1:E137)*(E2=E$1:E137))))))</f>
        <v> </v>
      </c>
      <c r="K138" s="26" t="str">
        <f>IF(OR(E138="",E138="!!!",F138="NEW"),"",INDEX(J$1:J137,SUMPRODUCT(MAX(ROW(E$1:E137)*(E138=E$1:E137)))))</f>
        <v> </v>
      </c>
      <c r="L138" s="27"/>
    </row>
    <row r="139" spans="1:12">
      <c r="A139" s="20" t="s">
        <v>838</v>
      </c>
      <c r="E139" s="22">
        <f>IF(D139="?OLD","!!!","")</f>
        <v/>
      </c>
      <c r="F139" s="23" t="str">
        <f>IF(OR(E139="",E139="!!!"),"",IF(NOT(ISNA(VLOOKUP(E139,E$1:E138,1,FALSE()))),"OLD",IF(AND(E139&lt;&gt;"",E139&lt;&gt;"!!!"),"NEW","")))</f>
        <v> </v>
      </c>
      <c r="G139" s="24" t="str">
        <f>IF(OR(E139="",E139="!!!"),"",IF(OR(J139=0,AND(J139=1,K139=1),AND(J139=1,I139="SBJ"),AND(J139=1,I139=0)),"?IN_FOCUS",IF(J139&lt;=2,"?ACTIVATED",IF(J139&lt;&gt;"","?FAMILIAR",IF(F139="NEW",IF(ISNA(VLOOKUP(E139,#REF!,1,FALSE())),"?TYPE_IDENTIFIABLE","?REFERENTIAL"),"_")))))</f>
        <v> </v>
      </c>
      <c r="H139" s="25" t="str">
        <f>IF(J139&lt;&gt;1,"",IF(I139="SBJ","CB","?"))</f>
        <v> </v>
      </c>
      <c r="I139" s="26" t="str">
        <f>IF(OR(E139="",E139="!!!",F139="NEW"),"",INDEX(B138:B$2,-1+SUMPRODUCT(MAX(ROW(E138:E$2)*(E139=E138:E$2)))))</f>
        <v> </v>
      </c>
      <c r="J139" s="26" t="str">
        <f>IF(OR(E139="",E139="!!!",F139="NEW"),"",COUNTBLANK(OFFSET(A$1,,,SUMPRODUCT(MAX(ROW(E$2:E139)*(E139=E$2:E139)))))-COUNTBLANK(OFFSET(A$1,,,SUMPRODUCT(MAX(ROW(E$1:E138)*(E2=E$1:E138))))))</f>
        <v> </v>
      </c>
      <c r="K139" s="26" t="str">
        <f>IF(OR(E139="",E139="!!!",F139="NEW"),"",INDEX(J$1:J138,SUMPRODUCT(MAX(ROW(E$1:E138)*(E139=E$1:E138)))))</f>
        <v> </v>
      </c>
      <c r="L139" s="27"/>
    </row>
    <row r="140" spans="1:12">
      <c r="A140" s="20" t="s">
        <v>772</v>
      </c>
      <c r="E140" s="22">
        <f>IF(D140="?OLD","!!!","")</f>
        <v/>
      </c>
      <c r="F140" s="23" t="str">
        <f>IF(OR(E140="",E140="!!!"),"",IF(NOT(ISNA(VLOOKUP(E140,E$1:E139,1,FALSE()))),"OLD",IF(AND(E140&lt;&gt;"",E140&lt;&gt;"!!!"),"NEW","")))</f>
        <v> </v>
      </c>
      <c r="G140" s="24" t="str">
        <f>IF(OR(E140="",E140="!!!"),"",IF(OR(J140=0,AND(J140=1,K140=1),AND(J140=1,I140="SBJ"),AND(J140=1,I140=0)),"?IN_FOCUS",IF(J140&lt;=2,"?ACTIVATED",IF(J140&lt;&gt;"","?FAMILIAR",IF(F140="NEW",IF(ISNA(VLOOKUP(E140,#REF!,1,FALSE())),"?TYPE_IDENTIFIABLE","?REFERENTIAL"),"_")))))</f>
        <v> </v>
      </c>
      <c r="H140" s="25" t="str">
        <f>IF(J140&lt;&gt;1,"",IF(I140="SBJ","CB","?"))</f>
        <v> </v>
      </c>
      <c r="I140" s="26" t="str">
        <f>IF(OR(E140="",E140="!!!",F140="NEW"),"",INDEX(B139:B$2,-1+SUMPRODUCT(MAX(ROW(E139:E$2)*(E140=E139:E$2)))))</f>
        <v> </v>
      </c>
      <c r="J140" s="26" t="str">
        <f>IF(OR(E140="",E140="!!!",F140="NEW"),"",COUNTBLANK(OFFSET(A$1,,,SUMPRODUCT(MAX(ROW(E$2:E140)*(E140=E$2:E140)))))-COUNTBLANK(OFFSET(A$1,,,SUMPRODUCT(MAX(ROW(E$1:E139)*(E2=E$1:E139))))))</f>
        <v> </v>
      </c>
      <c r="K140" s="26" t="str">
        <f>IF(OR(E140="",E140="!!!",F140="NEW"),"",INDEX(J$1:J139,SUMPRODUCT(MAX(ROW(E$1:E139)*(E140=E$1:E139)))))</f>
        <v> </v>
      </c>
      <c r="L140" s="27"/>
    </row>
    <row r="141" spans="1:12">
      <c r="A141" s="20" t="s">
        <v>839</v>
      </c>
      <c r="E141" s="22">
        <f>IF(D141="?OLD","!!!","")</f>
        <v/>
      </c>
      <c r="F141" s="23" t="str">
        <f>IF(OR(E141="",E141="!!!"),"",IF(NOT(ISNA(VLOOKUP(E141,E$1:E140,1,FALSE()))),"OLD",IF(AND(E141&lt;&gt;"",E141&lt;&gt;"!!!"),"NEW","")))</f>
        <v> </v>
      </c>
      <c r="G141" s="24" t="str">
        <f>IF(OR(E141="",E141="!!!"),"",IF(OR(J141=0,AND(J141=1,K141=1),AND(J141=1,I141="SBJ"),AND(J141=1,I141=0)),"?IN_FOCUS",IF(J141&lt;=2,"?ACTIVATED",IF(J141&lt;&gt;"","?FAMILIAR",IF(F141="NEW",IF(ISNA(VLOOKUP(E141,#REF!,1,FALSE())),"?TYPE_IDENTIFIABLE","?REFERENTIAL"),"_")))))</f>
        <v> </v>
      </c>
      <c r="H141" s="25" t="str">
        <f>IF(J141&lt;&gt;1,"",IF(I141="SBJ","CB","?"))</f>
        <v> </v>
      </c>
      <c r="I141" s="26" t="str">
        <f>IF(OR(E141="",E141="!!!",F141="NEW"),"",INDEX(B140:B$2,-1+SUMPRODUCT(MAX(ROW(E140:E$2)*(E141=E140:E$2)))))</f>
        <v> </v>
      </c>
      <c r="J141" s="26" t="str">
        <f>IF(OR(E141="",E141="!!!",F141="NEW"),"",COUNTBLANK(OFFSET(A$1,,,SUMPRODUCT(MAX(ROW(E$2:E141)*(E141=E$2:E141)))))-COUNTBLANK(OFFSET(A$1,,,SUMPRODUCT(MAX(ROW(E$1:E140)*(E2=E$1:E140))))))</f>
        <v> </v>
      </c>
      <c r="K141" s="26" t="str">
        <f>IF(OR(E141="",E141="!!!",F141="NEW"),"",INDEX(J$1:J140,SUMPRODUCT(MAX(ROW(E$1:E140)*(E141=E$1:E140)))))</f>
        <v> </v>
      </c>
      <c r="L141" s="27"/>
    </row>
    <row r="142" spans="1:12">
      <c r="A142" s="20" t="s">
        <v>840</v>
      </c>
      <c r="E142" s="22">
        <f>IF(D142="?OLD","!!!","")</f>
        <v/>
      </c>
      <c r="F142" s="23" t="str">
        <f>IF(OR(E142="",E142="!!!"),"",IF(NOT(ISNA(VLOOKUP(E142,E$1:E141,1,FALSE()))),"OLD",IF(AND(E142&lt;&gt;"",E142&lt;&gt;"!!!"),"NEW","")))</f>
        <v> </v>
      </c>
      <c r="G142" s="24" t="str">
        <f>IF(OR(E142="",E142="!!!"),"",IF(OR(J142=0,AND(J142=1,K142=1),AND(J142=1,I142="SBJ"),AND(J142=1,I142=0)),"?IN_FOCUS",IF(J142&lt;=2,"?ACTIVATED",IF(J142&lt;&gt;"","?FAMILIAR",IF(F142="NEW",IF(ISNA(VLOOKUP(E142,#REF!,1,FALSE())),"?TYPE_IDENTIFIABLE","?REFERENTIAL"),"_")))))</f>
        <v> </v>
      </c>
      <c r="H142" s="25" t="str">
        <f>IF(J142&lt;&gt;1,"",IF(I142="SBJ","CB","?"))</f>
        <v> </v>
      </c>
      <c r="I142" s="26" t="str">
        <f>IF(OR(E142="",E142="!!!",F142="NEW"),"",INDEX(B141:B$2,-1+SUMPRODUCT(MAX(ROW(E141:E$2)*(E142=E141:E$2)))))</f>
        <v> </v>
      </c>
      <c r="J142" s="26" t="str">
        <f>IF(OR(E142="",E142="!!!",F142="NEW"),"",COUNTBLANK(OFFSET(A$1,,,SUMPRODUCT(MAX(ROW(E$2:E142)*(E142=E$2:E142)))))-COUNTBLANK(OFFSET(A$1,,,SUMPRODUCT(MAX(ROW(E$1:E141)*(E2=E$1:E141))))))</f>
        <v> </v>
      </c>
      <c r="K142" s="26" t="str">
        <f>IF(OR(E142="",E142="!!!",F142="NEW"),"",INDEX(J$1:J141,SUMPRODUCT(MAX(ROW(E$1:E141)*(E142=E$1:E141)))))</f>
        <v> </v>
      </c>
      <c r="L142" s="27"/>
    </row>
    <row r="143" spans="1:12">
      <c r="A143" s="20" t="s">
        <v>841</v>
      </c>
      <c r="B143" s="21" t="s">
        <v>736</v>
      </c>
      <c r="C143" s="21" t="s">
        <v>753</v>
      </c>
      <c r="D143" s="21" t="s">
        <v>730</v>
      </c>
      <c r="E143" s="22">
        <f>IF(D143="?OLD","!!!","")</f>
        <v/>
      </c>
      <c r="F143" s="23" t="str">
        <f>IF(OR(E143="",E143="!!!"),"",IF(NOT(ISNA(VLOOKUP(E143,E$1:E142,1,FALSE()))),"OLD",IF(AND(E143&lt;&gt;"",E143&lt;&gt;"!!!"),"NEW","")))</f>
        <v> </v>
      </c>
      <c r="G143" s="24" t="str">
        <f>IF(OR(E143="",E143="!!!"),"",IF(OR(J143=0,AND(J143=1,K143=1),AND(J143=1,I143="SBJ"),AND(J143=1,I143=0)),"?IN_FOCUS",IF(J143&lt;=2,"?ACTIVATED",IF(J143&lt;&gt;"","?FAMILIAR",IF(F143="NEW",IF(ISNA(VLOOKUP(E143,#REF!,1,FALSE())),"?TYPE_IDENTIFIABLE","?REFERENTIAL"),"_")))))</f>
        <v> </v>
      </c>
      <c r="H143" s="25" t="str">
        <f>IF(J143&lt;&gt;1,"",IF(I143="SBJ","CB","?"))</f>
        <v> </v>
      </c>
      <c r="I143" s="26" t="str">
        <f>IF(OR(E143="",E143="!!!",F143="NEW"),"",INDEX(B142:B$2,-1+SUMPRODUCT(MAX(ROW(E142:E$2)*(E143=E142:E$2)))))</f>
        <v> </v>
      </c>
      <c r="J143" s="26" t="str">
        <f>IF(OR(E143="",E143="!!!",F143="NEW"),"",COUNTBLANK(OFFSET(A$1,,,SUMPRODUCT(MAX(ROW(E$2:E143)*(E143=E$2:E143)))))-COUNTBLANK(OFFSET(A$1,,,SUMPRODUCT(MAX(ROW(E$1:E142)*(E2=E$1:E142))))))</f>
        <v> </v>
      </c>
      <c r="K143" s="26" t="str">
        <f>IF(OR(E143="",E143="!!!",F143="NEW"),"",INDEX(J$1:J142,SUMPRODUCT(MAX(ROW(E$1:E142)*(E143=E$1:E142)))))</f>
        <v> </v>
      </c>
      <c r="L143" s="27"/>
    </row>
    <row r="144" spans="1:12">
      <c r="A144" s="20" t="s">
        <v>759</v>
      </c>
      <c r="E144" s="22">
        <f>IF(D144="?OLD","!!!","")</f>
        <v/>
      </c>
      <c r="F144" s="23" t="str">
        <f>IF(OR(E144="",E144="!!!"),"",IF(NOT(ISNA(VLOOKUP(E144,E$1:E143,1,FALSE()))),"OLD",IF(AND(E144&lt;&gt;"",E144&lt;&gt;"!!!"),"NEW","")))</f>
        <v> </v>
      </c>
      <c r="G144" s="24" t="str">
        <f>IF(OR(E144="",E144="!!!"),"",IF(OR(J144=0,AND(J144=1,K144=1),AND(J144=1,I144="SBJ"),AND(J144=1,I144=0)),"?IN_FOCUS",IF(J144&lt;=2,"?ACTIVATED",IF(J144&lt;&gt;"","?FAMILIAR",IF(F144="NEW",IF(ISNA(VLOOKUP(E144,#REF!,1,FALSE())),"?TYPE_IDENTIFIABLE","?REFERENTIAL"),"_")))))</f>
        <v> </v>
      </c>
      <c r="H144" s="25" t="str">
        <f>IF(J144&lt;&gt;1,"",IF(I144="SBJ","CB","?"))</f>
        <v> </v>
      </c>
      <c r="I144" s="26" t="str">
        <f>IF(OR(E144="",E144="!!!",F144="NEW"),"",INDEX(B143:B$2,-1+SUMPRODUCT(MAX(ROW(E143:E$2)*(E144=E143:E$2)))))</f>
        <v> </v>
      </c>
      <c r="J144" s="26" t="str">
        <f>IF(OR(E144="",E144="!!!",F144="NEW"),"",COUNTBLANK(OFFSET(A$1,,,SUMPRODUCT(MAX(ROW(E$2:E144)*(E144=E$2:E144)))))-COUNTBLANK(OFFSET(A$1,,,SUMPRODUCT(MAX(ROW(E$1:E143)*(E2=E$1:E143))))))</f>
        <v> </v>
      </c>
      <c r="K144" s="26" t="str">
        <f>IF(OR(E144="",E144="!!!",F144="NEW"),"",INDEX(J$1:J143,SUMPRODUCT(MAX(ROW(E$1:E143)*(E144=E$1:E143)))))</f>
        <v> </v>
      </c>
      <c r="L144" s="27"/>
    </row>
    <row r="145" spans="1:12">
      <c r="A145" s="20" t="s">
        <v>813</v>
      </c>
      <c r="E145" s="22">
        <f>IF(D145="?OLD","!!!","")</f>
        <v/>
      </c>
      <c r="F145" s="23" t="str">
        <f>IF(OR(E145="",E145="!!!"),"",IF(NOT(ISNA(VLOOKUP(E145,E$1:E144,1,FALSE()))),"OLD",IF(AND(E145&lt;&gt;"",E145&lt;&gt;"!!!"),"NEW","")))</f>
        <v> </v>
      </c>
      <c r="G145" s="24" t="str">
        <f>IF(OR(E145="",E145="!!!"),"",IF(OR(J145=0,AND(J145=1,K145=1),AND(J145=1,I145="SBJ"),AND(J145=1,I145=0)),"?IN_FOCUS",IF(J145&lt;=2,"?ACTIVATED",IF(J145&lt;&gt;"","?FAMILIAR",IF(F145="NEW",IF(ISNA(VLOOKUP(E145,#REF!,1,FALSE())),"?TYPE_IDENTIFIABLE","?REFERENTIAL"),"_")))))</f>
        <v> </v>
      </c>
      <c r="H145" s="25" t="str">
        <f>IF(J145&lt;&gt;1,"",IF(I145="SBJ","CB","?"))</f>
        <v> </v>
      </c>
      <c r="I145" s="26" t="str">
        <f>IF(OR(E145="",E145="!!!",F145="NEW"),"",INDEX(B144:B$2,-1+SUMPRODUCT(MAX(ROW(E144:E$2)*(E145=E144:E$2)))))</f>
        <v> </v>
      </c>
      <c r="J145" s="26" t="str">
        <f>IF(OR(E145="",E145="!!!",F145="NEW"),"",COUNTBLANK(OFFSET(A$1,,,SUMPRODUCT(MAX(ROW(E$2:E145)*(E145=E$2:E145)))))-COUNTBLANK(OFFSET(A$1,,,SUMPRODUCT(MAX(ROW(E$1:E144)*(E2=E$1:E144))))))</f>
        <v> </v>
      </c>
      <c r="K145" s="26" t="str">
        <f>IF(OR(E145="",E145="!!!",F145="NEW"),"",INDEX(J$1:J144,SUMPRODUCT(MAX(ROW(E$1:E144)*(E145=E$1:E144)))))</f>
        <v> </v>
      </c>
      <c r="L145" s="27"/>
    </row>
    <row r="146" spans="1:12">
      <c r="A146" s="20" t="s">
        <v>842</v>
      </c>
      <c r="B146" s="21" t="s">
        <v>843</v>
      </c>
      <c r="C146" s="21" t="s">
        <v>753</v>
      </c>
      <c r="D146" s="21" t="s">
        <v>730</v>
      </c>
      <c r="E146" s="22">
        <f>IF(D146="?OLD","!!!","")</f>
        <v/>
      </c>
      <c r="F146" s="23" t="str">
        <f>IF(OR(E146="",E146="!!!"),"",IF(NOT(ISNA(VLOOKUP(E146,E$1:E145,1,FALSE()))),"OLD",IF(AND(E146&lt;&gt;"",E146&lt;&gt;"!!!"),"NEW","")))</f>
        <v> </v>
      </c>
      <c r="G146" s="24" t="str">
        <f>IF(OR(E146="",E146="!!!"),"",IF(OR(J146=0,AND(J146=1,K146=1),AND(J146=1,I146="SBJ"),AND(J146=1,I146=0)),"?IN_FOCUS",IF(J146&lt;=2,"?ACTIVATED",IF(J146&lt;&gt;"","?FAMILIAR",IF(F146="NEW",IF(ISNA(VLOOKUP(E146,#REF!,1,FALSE())),"?TYPE_IDENTIFIABLE","?REFERENTIAL"),"_")))))</f>
        <v> </v>
      </c>
      <c r="H146" s="25" t="str">
        <f>IF(J146&lt;&gt;1,"",IF(I146="SBJ","CB","?"))</f>
        <v> </v>
      </c>
      <c r="I146" s="26" t="str">
        <f>IF(OR(E146="",E146="!!!",F146="NEW"),"",INDEX(B145:B$2,-1+SUMPRODUCT(MAX(ROW(E145:E$2)*(E146=E145:E$2)))))</f>
        <v> </v>
      </c>
      <c r="J146" s="26" t="str">
        <f>IF(OR(E146="",E146="!!!",F146="NEW"),"",COUNTBLANK(OFFSET(A$1,,,SUMPRODUCT(MAX(ROW(E$2:E146)*(E146=E$2:E146)))))-COUNTBLANK(OFFSET(A$1,,,SUMPRODUCT(MAX(ROW(E$1:E145)*(E2=E$1:E145))))))</f>
        <v> </v>
      </c>
      <c r="K146" s="26" t="str">
        <f>IF(OR(E146="",E146="!!!",F146="NEW"),"",INDEX(J$1:J145,SUMPRODUCT(MAX(ROW(E$1:E145)*(E146=E$1:E145)))))</f>
        <v> </v>
      </c>
      <c r="L146" s="27"/>
    </row>
    <row r="147" spans="1:12">
      <c r="A147" s="20" t="s">
        <v>754</v>
      </c>
      <c r="E147" s="22">
        <f>IF(D147="?OLD","!!!","")</f>
        <v/>
      </c>
      <c r="F147" s="23" t="str">
        <f>IF(OR(E147="",E147="!!!"),"",IF(NOT(ISNA(VLOOKUP(E147,E$1:E146,1,FALSE()))),"OLD",IF(AND(E147&lt;&gt;"",E147&lt;&gt;"!!!"),"NEW","")))</f>
        <v> </v>
      </c>
      <c r="G147" s="24" t="str">
        <f>IF(OR(E147="",E147="!!!"),"",IF(OR(J147=0,AND(J147=1,K147=1),AND(J147=1,I147="SBJ"),AND(J147=1,I147=0)),"?IN_FOCUS",IF(J147&lt;=2,"?ACTIVATED",IF(J147&lt;&gt;"","?FAMILIAR",IF(F147="NEW",IF(ISNA(VLOOKUP(E147,#REF!,1,FALSE())),"?TYPE_IDENTIFIABLE","?REFERENTIAL"),"_")))))</f>
        <v> </v>
      </c>
      <c r="H147" s="25" t="str">
        <f>IF(J147&lt;&gt;1,"",IF(I147="SBJ","CB","?"))</f>
        <v> </v>
      </c>
      <c r="I147" s="26" t="str">
        <f>IF(OR(E147="",E147="!!!",F147="NEW"),"",INDEX(B146:B$2,-1+SUMPRODUCT(MAX(ROW(E146:E$2)*(E147=E146:E$2)))))</f>
        <v> </v>
      </c>
      <c r="J147" s="26" t="str">
        <f>IF(OR(E147="",E147="!!!",F147="NEW"),"",COUNTBLANK(OFFSET(A$1,,,SUMPRODUCT(MAX(ROW(E$2:E147)*(E147=E$2:E147)))))-COUNTBLANK(OFFSET(A$1,,,SUMPRODUCT(MAX(ROW(E$1:E146)*(E2=E$1:E146))))))</f>
        <v> </v>
      </c>
      <c r="K147" s="26" t="str">
        <f>IF(OR(E147="",E147="!!!",F147="NEW"),"",INDEX(J$1:J146,SUMPRODUCT(MAX(ROW(E$1:E146)*(E147=E$1:E146)))))</f>
        <v> </v>
      </c>
      <c r="L147" s="27"/>
    </row>
    <row r="148" spans="1:12">
      <c r="A148" s="20" t="s">
        <v>546</v>
      </c>
      <c r="E148" s="22">
        <f>IF(D148="?OLD","!!!","")</f>
        <v/>
      </c>
      <c r="F148" s="23" t="str">
        <f>IF(OR(E148="",E148="!!!"),"",IF(NOT(ISNA(VLOOKUP(E148,E$1:E147,1,FALSE()))),"OLD",IF(AND(E148&lt;&gt;"",E148&lt;&gt;"!!!"),"NEW","")))</f>
        <v> </v>
      </c>
      <c r="G148" s="24" t="str">
        <f>IF(OR(E148="",E148="!!!"),"",IF(OR(J148=0,AND(J148=1,K148=1),AND(J148=1,I148="SBJ"),AND(J148=1,I148=0)),"?IN_FOCUS",IF(J148&lt;=2,"?ACTIVATED",IF(J148&lt;&gt;"","?FAMILIAR",IF(F148="NEW",IF(ISNA(VLOOKUP(E148,#REF!,1,FALSE())),"?TYPE_IDENTIFIABLE","?REFERENTIAL"),"_")))))</f>
        <v> </v>
      </c>
      <c r="H148" s="25" t="str">
        <f>IF(J148&lt;&gt;1,"",IF(I148="SBJ","CB","?"))</f>
        <v> </v>
      </c>
      <c r="I148" s="26" t="str">
        <f>IF(OR(E148="",E148="!!!",F148="NEW"),"",INDEX(B147:B$2,-1+SUMPRODUCT(MAX(ROW(E147:E$2)*(E148=E147:E$2)))))</f>
        <v> </v>
      </c>
      <c r="J148" s="26" t="str">
        <f>IF(OR(E148="",E148="!!!",F148="NEW"),"",COUNTBLANK(OFFSET(A$1,,,SUMPRODUCT(MAX(ROW(E$2:E148)*(E148=E$2:E148)))))-COUNTBLANK(OFFSET(A$1,,,SUMPRODUCT(MAX(ROW(E$1:E147)*(E2=E$1:E147))))))</f>
        <v> </v>
      </c>
      <c r="K148" s="26" t="str">
        <f>IF(OR(E148="",E148="!!!",F148="NEW"),"",INDEX(J$1:J147,SUMPRODUCT(MAX(ROW(E$1:E147)*(E148=E$1:E147)))))</f>
        <v> </v>
      </c>
      <c r="L148" s="27"/>
    </row>
    <row r="149" spans="1:12">
      <c r="A149" s="20" t="s">
        <v>785</v>
      </c>
      <c r="E149" s="22">
        <f>IF(D149="?OLD","!!!","")</f>
        <v/>
      </c>
      <c r="F149" s="23" t="str">
        <f>IF(OR(E149="",E149="!!!"),"",IF(NOT(ISNA(VLOOKUP(E149,E$1:E148,1,FALSE()))),"OLD",IF(AND(E149&lt;&gt;"",E149&lt;&gt;"!!!"),"NEW","")))</f>
        <v> </v>
      </c>
      <c r="G149" s="24" t="str">
        <f>IF(OR(E149="",E149="!!!"),"",IF(OR(J149=0,AND(J149=1,K149=1),AND(J149=1,I149="SBJ"),AND(J149=1,I149=0)),"?IN_FOCUS",IF(J149&lt;=2,"?ACTIVATED",IF(J149&lt;&gt;"","?FAMILIAR",IF(F149="NEW",IF(ISNA(VLOOKUP(E149,#REF!,1,FALSE())),"?TYPE_IDENTIFIABLE","?REFERENTIAL"),"_")))))</f>
        <v> </v>
      </c>
      <c r="H149" s="25" t="str">
        <f>IF(J149&lt;&gt;1,"",IF(I149="SBJ","CB","?"))</f>
        <v> </v>
      </c>
      <c r="I149" s="26" t="str">
        <f>IF(OR(E149="",E149="!!!",F149="NEW"),"",INDEX(B148:B$2,-1+SUMPRODUCT(MAX(ROW(E148:E$2)*(E149=E148:E$2)))))</f>
        <v> </v>
      </c>
      <c r="J149" s="26" t="str">
        <f>IF(OR(E149="",E149="!!!",F149="NEW"),"",COUNTBLANK(OFFSET(A$1,,,SUMPRODUCT(MAX(ROW(E$2:E149)*(E149=E$2:E149)))))-COUNTBLANK(OFFSET(A$1,,,SUMPRODUCT(MAX(ROW(E$1:E148)*(E2=E$1:E148))))))</f>
        <v> </v>
      </c>
      <c r="K149" s="26" t="str">
        <f>IF(OR(E149="",E149="!!!",F149="NEW"),"",INDEX(J$1:J148,SUMPRODUCT(MAX(ROW(E$1:E148)*(E149=E$1:E148)))))</f>
        <v> </v>
      </c>
      <c r="L149" s="27"/>
    </row>
    <row r="150" spans="1:12">
      <c r="A150" s="20" t="s">
        <v>813</v>
      </c>
      <c r="E150" s="22">
        <f>IF(D150="?OLD","!!!","")</f>
        <v/>
      </c>
      <c r="F150" s="23" t="str">
        <f>IF(OR(E150="",E150="!!!"),"",IF(NOT(ISNA(VLOOKUP(E150,E$1:E149,1,FALSE()))),"OLD",IF(AND(E150&lt;&gt;"",E150&lt;&gt;"!!!"),"NEW","")))</f>
        <v> </v>
      </c>
      <c r="G150" s="24" t="str">
        <f>IF(OR(E150="",E150="!!!"),"",IF(OR(J150=0,AND(J150=1,K150=1),AND(J150=1,I150="SBJ"),AND(J150=1,I150=0)),"?IN_FOCUS",IF(J150&lt;=2,"?ACTIVATED",IF(J150&lt;&gt;"","?FAMILIAR",IF(F150="NEW",IF(ISNA(VLOOKUP(E150,#REF!,1,FALSE())),"?TYPE_IDENTIFIABLE","?REFERENTIAL"),"_")))))</f>
        <v> </v>
      </c>
      <c r="H150" s="25" t="str">
        <f>IF(J150&lt;&gt;1,"",IF(I150="SBJ","CB","?"))</f>
        <v> </v>
      </c>
      <c r="I150" s="26" t="str">
        <f>IF(OR(E150="",E150="!!!",F150="NEW"),"",INDEX(B149:B$2,-1+SUMPRODUCT(MAX(ROW(E149:E$2)*(E150=E149:E$2)))))</f>
        <v> </v>
      </c>
      <c r="J150" s="26" t="str">
        <f>IF(OR(E150="",E150="!!!",F150="NEW"),"",COUNTBLANK(OFFSET(A$1,,,SUMPRODUCT(MAX(ROW(E$2:E150)*(E150=E$2:E150)))))-COUNTBLANK(OFFSET(A$1,,,SUMPRODUCT(MAX(ROW(E$1:E149)*(E2=E$1:E149))))))</f>
        <v> </v>
      </c>
      <c r="K150" s="26" t="str">
        <f>IF(OR(E150="",E150="!!!",F150="NEW"),"",INDEX(J$1:J149,SUMPRODUCT(MAX(ROW(E$1:E149)*(E150=E$1:E149)))))</f>
        <v> </v>
      </c>
      <c r="L150" s="27"/>
    </row>
    <row r="151" spans="1:12">
      <c r="A151" s="20" t="s">
        <v>844</v>
      </c>
      <c r="B151" s="21" t="s">
        <v>777</v>
      </c>
      <c r="C151" s="21" t="s">
        <v>753</v>
      </c>
      <c r="D151" s="21" t="s">
        <v>730</v>
      </c>
      <c r="E151" s="22">
        <f>IF(D151="?OLD","!!!","")</f>
        <v/>
      </c>
      <c r="F151" s="23" t="str">
        <f>IF(OR(E151="",E151="!!!"),"",IF(NOT(ISNA(VLOOKUP(E151,E$1:E150,1,FALSE()))),"OLD",IF(AND(E151&lt;&gt;"",E151&lt;&gt;"!!!"),"NEW","")))</f>
        <v> </v>
      </c>
      <c r="G151" s="24" t="str">
        <f>IF(OR(E151="",E151="!!!"),"",IF(OR(J151=0,AND(J151=1,K151=1),AND(J151=1,I151="SBJ"),AND(J151=1,I151=0)),"?IN_FOCUS",IF(J151&lt;=2,"?ACTIVATED",IF(J151&lt;&gt;"","?FAMILIAR",IF(F151="NEW",IF(ISNA(VLOOKUP(E151,#REF!,1,FALSE())),"?TYPE_IDENTIFIABLE","?REFERENTIAL"),"_")))))</f>
        <v> </v>
      </c>
      <c r="H151" s="25" t="str">
        <f>IF(J151&lt;&gt;1,"",IF(I151="SBJ","CB","?"))</f>
        <v> </v>
      </c>
      <c r="I151" s="26" t="str">
        <f>IF(OR(E151="",E151="!!!",F151="NEW"),"",INDEX(B150:B$2,-1+SUMPRODUCT(MAX(ROW(E150:E$2)*(E151=E150:E$2)))))</f>
        <v> </v>
      </c>
      <c r="J151" s="26" t="str">
        <f>IF(OR(E151="",E151="!!!",F151="NEW"),"",COUNTBLANK(OFFSET(A$1,,,SUMPRODUCT(MAX(ROW(E$2:E151)*(E151=E$2:E151)))))-COUNTBLANK(OFFSET(A$1,,,SUMPRODUCT(MAX(ROW(E$1:E150)*(E2=E$1:E150))))))</f>
        <v> </v>
      </c>
      <c r="K151" s="26" t="str">
        <f>IF(OR(E151="",E151="!!!",F151="NEW"),"",INDEX(J$1:J150,SUMPRODUCT(MAX(ROW(E$1:E150)*(E151=E$1:E150)))))</f>
        <v> </v>
      </c>
      <c r="L151" s="27"/>
    </row>
    <row r="152" spans="1:12">
      <c r="A152" s="20" t="s">
        <v>845</v>
      </c>
      <c r="E152" s="22">
        <f>IF(D152="?OLD","!!!","")</f>
        <v/>
      </c>
      <c r="F152" s="23" t="str">
        <f>IF(OR(E152="",E152="!!!"),"",IF(NOT(ISNA(VLOOKUP(E152,E$1:E151,1,FALSE()))),"OLD",IF(AND(E152&lt;&gt;"",E152&lt;&gt;"!!!"),"NEW","")))</f>
        <v> </v>
      </c>
      <c r="G152" s="24" t="str">
        <f>IF(OR(E152="",E152="!!!"),"",IF(OR(J152=0,AND(J152=1,K152=1),AND(J152=1,I152="SBJ"),AND(J152=1,I152=0)),"?IN_FOCUS",IF(J152&lt;=2,"?ACTIVATED",IF(J152&lt;&gt;"","?FAMILIAR",IF(F152="NEW",IF(ISNA(VLOOKUP(E152,#REF!,1,FALSE())),"?TYPE_IDENTIFIABLE","?REFERENTIAL"),"_")))))</f>
        <v> </v>
      </c>
      <c r="H152" s="25" t="str">
        <f>IF(J152&lt;&gt;1,"",IF(I152="SBJ","CB","?"))</f>
        <v> </v>
      </c>
      <c r="I152" s="26" t="str">
        <f>IF(OR(E152="",E152="!!!",F152="NEW"),"",INDEX(B151:B$2,-1+SUMPRODUCT(MAX(ROW(E151:E$2)*(E152=E151:E$2)))))</f>
        <v> </v>
      </c>
      <c r="J152" s="26" t="str">
        <f>IF(OR(E152="",E152="!!!",F152="NEW"),"",COUNTBLANK(OFFSET(A$1,,,SUMPRODUCT(MAX(ROW(E$2:E152)*(E152=E$2:E152)))))-COUNTBLANK(OFFSET(A$1,,,SUMPRODUCT(MAX(ROW(E$1:E151)*(E2=E$1:E151))))))</f>
        <v> </v>
      </c>
      <c r="K152" s="26" t="str">
        <f>IF(OR(E152="",E152="!!!",F152="NEW"),"",INDEX(J$1:J151,SUMPRODUCT(MAX(ROW(E$1:E151)*(E152=E$1:E151)))))</f>
        <v> </v>
      </c>
      <c r="L152" s="27"/>
    </row>
    <row r="153" spans="1:12">
      <c r="A153" s="20" t="s">
        <v>846</v>
      </c>
      <c r="B153" s="21" t="s">
        <v>778</v>
      </c>
      <c r="C153" s="21" t="s">
        <v>753</v>
      </c>
      <c r="D153" s="21" t="s">
        <v>730</v>
      </c>
      <c r="E153" s="22">
        <f>IF(D153="?OLD","!!!","")</f>
        <v/>
      </c>
      <c r="F153" s="23" t="str">
        <f>IF(OR(E153="",E153="!!!"),"",IF(NOT(ISNA(VLOOKUP(E153,E$1:E152,1,FALSE()))),"OLD",IF(AND(E153&lt;&gt;"",E153&lt;&gt;"!!!"),"NEW","")))</f>
        <v> </v>
      </c>
      <c r="G153" s="24" t="str">
        <f>IF(OR(E153="",E153="!!!"),"",IF(OR(J153=0,AND(J153=1,K153=1),AND(J153=1,I153="SBJ"),AND(J153=1,I153=0)),"?IN_FOCUS",IF(J153&lt;=2,"?ACTIVATED",IF(J153&lt;&gt;"","?FAMILIAR",IF(F153="NEW",IF(ISNA(VLOOKUP(E153,#REF!,1,FALSE())),"?TYPE_IDENTIFIABLE","?REFERENTIAL"),"_")))))</f>
        <v> </v>
      </c>
      <c r="H153" s="25" t="str">
        <f>IF(J153&lt;&gt;1,"",IF(I153="SBJ","CB","?"))</f>
        <v> </v>
      </c>
      <c r="I153" s="26" t="str">
        <f>IF(OR(E153="",E153="!!!",F153="NEW"),"",INDEX(B152:B$2,-1+SUMPRODUCT(MAX(ROW(E152:E$2)*(E153=E152:E$2)))))</f>
        <v> </v>
      </c>
      <c r="J153" s="26" t="str">
        <f>IF(OR(E153="",E153="!!!",F153="NEW"),"",COUNTBLANK(OFFSET(A$1,,,SUMPRODUCT(MAX(ROW(E$2:E153)*(E153=E$2:E153)))))-COUNTBLANK(OFFSET(A$1,,,SUMPRODUCT(MAX(ROW(E$1:E152)*(E2=E$1:E152))))))</f>
        <v> </v>
      </c>
      <c r="K153" s="26" t="str">
        <f>IF(OR(E153="",E153="!!!",F153="NEW"),"",INDEX(J$1:J152,SUMPRODUCT(MAX(ROW(E$1:E152)*(E153=E$1:E152)))))</f>
        <v> </v>
      </c>
      <c r="L153" s="27"/>
    </row>
    <row r="154" spans="1:12">
      <c r="A154" s="20" t="s">
        <v>847</v>
      </c>
      <c r="E154" s="22">
        <f>IF(D154="?OLD","!!!","")</f>
        <v/>
      </c>
      <c r="F154" s="23" t="str">
        <f>IF(OR(E154="",E154="!!!"),"",IF(NOT(ISNA(VLOOKUP(E154,E$1:E153,1,FALSE()))),"OLD",IF(AND(E154&lt;&gt;"",E154&lt;&gt;"!!!"),"NEW","")))</f>
        <v> </v>
      </c>
      <c r="G154" s="24" t="str">
        <f>IF(OR(E154="",E154="!!!"),"",IF(OR(J154=0,AND(J154=1,K154=1),AND(J154=1,I154="SBJ"),AND(J154=1,I154=0)),"?IN_FOCUS",IF(J154&lt;=2,"?ACTIVATED",IF(J154&lt;&gt;"","?FAMILIAR",IF(F154="NEW",IF(ISNA(VLOOKUP(E154,#REF!,1,FALSE())),"?TYPE_IDENTIFIABLE","?REFERENTIAL"),"_")))))</f>
        <v> </v>
      </c>
      <c r="H154" s="25" t="str">
        <f>IF(J154&lt;&gt;1,"",IF(I154="SBJ","CB","?"))</f>
        <v> </v>
      </c>
      <c r="I154" s="26" t="str">
        <f>IF(OR(E154="",E154="!!!",F154="NEW"),"",INDEX(B153:B$2,-1+SUMPRODUCT(MAX(ROW(E153:E$2)*(E154=E153:E$2)))))</f>
        <v> </v>
      </c>
      <c r="J154" s="26" t="str">
        <f>IF(OR(E154="",E154="!!!",F154="NEW"),"",COUNTBLANK(OFFSET(A$1,,,SUMPRODUCT(MAX(ROW(E$2:E154)*(E154=E$2:E154)))))-COUNTBLANK(OFFSET(A$1,,,SUMPRODUCT(MAX(ROW(E$1:E153)*(E2=E$1:E153))))))</f>
        <v> </v>
      </c>
      <c r="K154" s="26" t="str">
        <f>IF(OR(E154="",E154="!!!",F154="NEW"),"",INDEX(J$1:J153,SUMPRODUCT(MAX(ROW(E$1:E153)*(E154=E$1:E153)))))</f>
        <v> </v>
      </c>
      <c r="L154" s="27"/>
    </row>
    <row r="155" spans="1:12">
      <c r="A155" s="20" t="s">
        <v>246</v>
      </c>
      <c r="E155" s="22">
        <f>IF(D155="?OLD","!!!","")</f>
        <v/>
      </c>
      <c r="F155" s="23" t="str">
        <f>IF(OR(E155="",E155="!!!"),"",IF(NOT(ISNA(VLOOKUP(E155,E$1:E154,1,FALSE()))),"OLD",IF(AND(E155&lt;&gt;"",E155&lt;&gt;"!!!"),"NEW","")))</f>
        <v> </v>
      </c>
      <c r="G155" s="24" t="str">
        <f>IF(OR(E155="",E155="!!!"),"",IF(OR(J155=0,AND(J155=1,K155=1),AND(J155=1,I155="SBJ"),AND(J155=1,I155=0)),"?IN_FOCUS",IF(J155&lt;=2,"?ACTIVATED",IF(J155&lt;&gt;"","?FAMILIAR",IF(F155="NEW",IF(ISNA(VLOOKUP(E155,#REF!,1,FALSE())),"?TYPE_IDENTIFIABLE","?REFERENTIAL"),"_")))))</f>
        <v> </v>
      </c>
      <c r="H155" s="25" t="str">
        <f>IF(J155&lt;&gt;1,"",IF(I155="SBJ","CB","?"))</f>
        <v> </v>
      </c>
      <c r="I155" s="26" t="str">
        <f>IF(OR(E155="",E155="!!!",F155="NEW"),"",INDEX(B154:B$2,-1+SUMPRODUCT(MAX(ROW(E154:E$2)*(E155=E154:E$2)))))</f>
        <v> </v>
      </c>
      <c r="J155" s="26" t="str">
        <f>IF(OR(E155="",E155="!!!",F155="NEW"),"",COUNTBLANK(OFFSET(A$1,,,SUMPRODUCT(MAX(ROW(E$2:E155)*(E155=E$2:E155)))))-COUNTBLANK(OFFSET(A$1,,,SUMPRODUCT(MAX(ROW(E$1:E154)*(E2=E$1:E154))))))</f>
        <v> </v>
      </c>
      <c r="K155" s="26" t="str">
        <f>IF(OR(E155="",E155="!!!",F155="NEW"),"",INDEX(J$1:J154,SUMPRODUCT(MAX(ROW(E$1:E154)*(E155=E$1:E154)))))</f>
        <v> </v>
      </c>
      <c r="L155" s="27"/>
    </row>
    <row r="156" spans="1:12">
      <c r="A156" s="20"/>
    </row>
    <row r="157" spans="1:12">
      <c r="A157" s="20" t="s">
        <v>848</v>
      </c>
    </row>
    <row r="158" spans="1:12">
      <c r="A158" s="20" t="s">
        <v>768</v>
      </c>
      <c r="E158" s="22">
        <f>IF(D158="?OLD","!!!","")</f>
        <v/>
      </c>
      <c r="F158" s="23" t="str">
        <f>IF(OR(E158="",E158="!!!"),"",IF(NOT(ISNA(VLOOKUP(E158,E$1:E157,1,FALSE()))),"OLD",IF(AND(E158&lt;&gt;"",E158&lt;&gt;"!!!"),"NEW","")))</f>
        <v> </v>
      </c>
      <c r="G158" s="24" t="str">
        <f>IF(OR(E158="",E158="!!!"),"",IF(OR(J158=0,AND(J158=1,K158=1),AND(J158=1,I158="SBJ"),AND(J158=1,I158=0)),"?IN_FOCUS",IF(J158&lt;=2,"?ACTIVATED",IF(J158&lt;&gt;"","?FAMILIAR",IF(F158="NEW",IF(ISNA(VLOOKUP(E158,#REF!,1,FALSE())),"?TYPE_IDENTIFIABLE","?REFERENTIAL"),"_")))))</f>
        <v> </v>
      </c>
      <c r="H158" s="25" t="str">
        <f>IF(J158&lt;&gt;1,"",IF(I158="SBJ","CB","?"))</f>
        <v> </v>
      </c>
      <c r="I158" s="26" t="str">
        <f>IF(OR(E158="",E158="!!!",F158="NEW"),"",INDEX(B157:B$2,-1+SUMPRODUCT(MAX(ROW(E157:E$2)*(E158=E157:E$2)))))</f>
        <v> </v>
      </c>
      <c r="J158" s="26" t="str">
        <f>IF(OR(E158="",E158="!!!",F158="NEW"),"",COUNTBLANK(OFFSET(A$1,,,SUMPRODUCT(MAX(ROW(E$2:E158)*(E158=E$2:E158)))))-COUNTBLANK(OFFSET(A$1,,,SUMPRODUCT(MAX(ROW(E$1:E157)*(E2=E$1:E157))))))</f>
        <v> </v>
      </c>
      <c r="K158" s="26" t="str">
        <f>IF(OR(E158="",E158="!!!",F158="NEW"),"",INDEX(J$1:J157,SUMPRODUCT(MAX(ROW(E$1:E157)*(E158=E$1:E157)))))</f>
        <v> </v>
      </c>
      <c r="L158" s="27"/>
    </row>
    <row r="159" spans="1:12">
      <c r="A159" s="20" t="s">
        <v>769</v>
      </c>
      <c r="B159" s="21" t="s">
        <v>739</v>
      </c>
      <c r="C159" s="21" t="s">
        <v>746</v>
      </c>
      <c r="D159" s="21" t="s">
        <v>730</v>
      </c>
      <c r="E159" s="22">
        <f>IF(D159="?OLD","!!!","")</f>
        <v/>
      </c>
      <c r="F159" s="23" t="str">
        <f>IF(OR(E159="",E159="!!!"),"",IF(NOT(ISNA(VLOOKUP(E159,E$1:E158,1,FALSE()))),"OLD",IF(AND(E159&lt;&gt;"",E159&lt;&gt;"!!!"),"NEW","")))</f>
        <v> </v>
      </c>
      <c r="G159" s="24" t="str">
        <f>IF(OR(E159="",E159="!!!"),"",IF(OR(J159=0,AND(J159=1,K159=1),AND(J159=1,I159="SBJ"),AND(J159=1,I159=0)),"?IN_FOCUS",IF(J159&lt;=2,"?ACTIVATED",IF(J159&lt;&gt;"","?FAMILIAR",IF(F159="NEW",IF(ISNA(VLOOKUP(E159,#REF!,1,FALSE())),"?TYPE_IDENTIFIABLE","?REFERENTIAL"),"_")))))</f>
        <v> </v>
      </c>
      <c r="H159" s="25" t="str">
        <f>IF(J159&lt;&gt;1,"",IF(I159="SBJ","CB","?"))</f>
        <v> </v>
      </c>
      <c r="I159" s="26" t="str">
        <f>IF(OR(E159="",E159="!!!",F159="NEW"),"",INDEX(B158:B$2,-1+SUMPRODUCT(MAX(ROW(E158:E$2)*(E159=E158:E$2)))))</f>
        <v> </v>
      </c>
      <c r="J159" s="26" t="str">
        <f>IF(OR(E159="",E159="!!!",F159="NEW"),"",COUNTBLANK(OFFSET(A$1,,,SUMPRODUCT(MAX(ROW(E$2:E159)*(E159=E$2:E159)))))-COUNTBLANK(OFFSET(A$1,,,SUMPRODUCT(MAX(ROW(E$1:E158)*(E2=E$1:E158))))))</f>
        <v> </v>
      </c>
      <c r="K159" s="26" t="str">
        <f>IF(OR(E159="",E159="!!!",F159="NEW"),"",INDEX(J$1:J158,SUMPRODUCT(MAX(ROW(E$1:E158)*(E159=E$1:E158)))))</f>
        <v> </v>
      </c>
      <c r="L159" s="27"/>
    </row>
    <row r="160" spans="1:12">
      <c r="A160" s="20" t="s">
        <v>849</v>
      </c>
      <c r="B160" s="21" t="s">
        <v>728</v>
      </c>
      <c r="C160" s="21" t="s">
        <v>748</v>
      </c>
      <c r="E160" s="22">
        <f>IF(D160="?OLD","!!!","")</f>
        <v/>
      </c>
      <c r="F160" s="23" t="str">
        <f>IF(OR(E160="",E160="!!!"),"",IF(NOT(ISNA(VLOOKUP(E160,E$1:E159,1,FALSE()))),"OLD",IF(AND(E160&lt;&gt;"",E160&lt;&gt;"!!!"),"NEW","")))</f>
        <v> </v>
      </c>
      <c r="G160" s="24" t="str">
        <f>IF(OR(E160="",E160="!!!"),"",IF(OR(J160=0,AND(J160=1,K160=1),AND(J160=1,I160="SBJ"),AND(J160=1,I160=0)),"?IN_FOCUS",IF(J160&lt;=2,"?ACTIVATED",IF(J160&lt;&gt;"","?FAMILIAR",IF(F160="NEW",IF(ISNA(VLOOKUP(E160,#REF!,1,FALSE())),"?TYPE_IDENTIFIABLE","?REFERENTIAL"),"_")))))</f>
        <v> </v>
      </c>
      <c r="H160" s="25" t="str">
        <f>IF(J160&lt;&gt;1,"",IF(I160="SBJ","CB","?"))</f>
        <v> </v>
      </c>
      <c r="I160" s="26" t="str">
        <f>IF(OR(E160="",E160="!!!",F160="NEW"),"",INDEX(B159:B$2,-1+SUMPRODUCT(MAX(ROW(E159:E$2)*(E160=E159:E$2)))))</f>
        <v> </v>
      </c>
      <c r="J160" s="26" t="str">
        <f>IF(OR(E160="",E160="!!!",F160="NEW"),"",COUNTBLANK(OFFSET(A$1,,,SUMPRODUCT(MAX(ROW(E$2:E160)*(E160=E$2:E160)))))-COUNTBLANK(OFFSET(A$1,,,SUMPRODUCT(MAX(ROW(E$1:E159)*(E2=E$1:E159))))))</f>
        <v> </v>
      </c>
      <c r="K160" s="26" t="str">
        <f>IF(OR(E160="",E160="!!!",F160="NEW"),"",INDEX(J$1:J159,SUMPRODUCT(MAX(ROW(E$1:E159)*(E160=E$1:E159)))))</f>
        <v> </v>
      </c>
      <c r="L160" s="27"/>
    </row>
    <row r="161" spans="1:12">
      <c r="A161" s="20" t="s">
        <v>754</v>
      </c>
      <c r="E161" s="22">
        <f>IF(D161="?OLD","!!!","")</f>
        <v/>
      </c>
      <c r="F161" s="23" t="str">
        <f>IF(OR(E161="",E161="!!!"),"",IF(NOT(ISNA(VLOOKUP(E161,E$1:E160,1,FALSE()))),"OLD",IF(AND(E161&lt;&gt;"",E161&lt;&gt;"!!!"),"NEW","")))</f>
        <v> </v>
      </c>
      <c r="G161" s="24" t="str">
        <f>IF(OR(E161="",E161="!!!"),"",IF(OR(J161=0,AND(J161=1,K161=1),AND(J161=1,I161="SBJ"),AND(J161=1,I161=0)),"?IN_FOCUS",IF(J161&lt;=2,"?ACTIVATED",IF(J161&lt;&gt;"","?FAMILIAR",IF(F161="NEW",IF(ISNA(VLOOKUP(E161,#REF!,1,FALSE())),"?TYPE_IDENTIFIABLE","?REFERENTIAL"),"_")))))</f>
        <v> </v>
      </c>
      <c r="H161" s="25" t="str">
        <f>IF(J161&lt;&gt;1,"",IF(I161="SBJ","CB","?"))</f>
        <v> </v>
      </c>
      <c r="I161" s="26" t="str">
        <f>IF(OR(E161="",E161="!!!",F161="NEW"),"",INDEX(B160:B$2,-1+SUMPRODUCT(MAX(ROW(E160:E$2)*(E161=E160:E$2)))))</f>
        <v> </v>
      </c>
      <c r="J161" s="26" t="str">
        <f>IF(OR(E161="",E161="!!!",F161="NEW"),"",COUNTBLANK(OFFSET(A$1,,,SUMPRODUCT(MAX(ROW(E$2:E161)*(E161=E$2:E161)))))-COUNTBLANK(OFFSET(A$1,,,SUMPRODUCT(MAX(ROW(E$1:E160)*(E2=E$1:E160))))))</f>
        <v> </v>
      </c>
      <c r="K161" s="26" t="str">
        <f>IF(OR(E161="",E161="!!!",F161="NEW"),"",INDEX(J$1:J160,SUMPRODUCT(MAX(ROW(E$1:E160)*(E161=E$1:E160)))))</f>
        <v> </v>
      </c>
      <c r="L161" s="27"/>
    </row>
    <row r="162" spans="1:12">
      <c r="A162" s="20" t="s">
        <v>738</v>
      </c>
      <c r="B162" s="21" t="s">
        <v>739</v>
      </c>
      <c r="C162" s="21" t="s">
        <v>740</v>
      </c>
      <c r="D162" s="21" t="s">
        <v>730</v>
      </c>
      <c r="E162" s="22">
        <f>IF(D162="?OLD","!!!","")</f>
        <v/>
      </c>
      <c r="F162" s="23" t="str">
        <f>IF(OR(E162="",E162="!!!"),"",IF(NOT(ISNA(VLOOKUP(E162,E$1:E161,1,FALSE()))),"OLD",IF(AND(E162&lt;&gt;"",E162&lt;&gt;"!!!"),"NEW","")))</f>
        <v> </v>
      </c>
      <c r="G162" s="24" t="str">
        <f>IF(OR(E162="",E162="!!!"),"",IF(OR(J162=0,AND(J162=1,K162=1),AND(J162=1,I162="SBJ"),AND(J162=1,I162=0)),"?IN_FOCUS",IF(J162&lt;=2,"?ACTIVATED",IF(J162&lt;&gt;"","?FAMILIAR",IF(F162="NEW",IF(ISNA(VLOOKUP(E162,#REF!,1,FALSE())),"?TYPE_IDENTIFIABLE","?REFERENTIAL"),"_")))))</f>
        <v> </v>
      </c>
      <c r="H162" s="25" t="str">
        <f>IF(J162&lt;&gt;1,"",IF(I162="SBJ","CB","?"))</f>
        <v> </v>
      </c>
      <c r="I162" s="26" t="str">
        <f>IF(OR(E162="",E162="!!!",F162="NEW"),"",INDEX(B161:B$2,-1+SUMPRODUCT(MAX(ROW(E161:E$2)*(E162=E161:E$2)))))</f>
        <v> </v>
      </c>
      <c r="J162" s="26" t="str">
        <f>IF(OR(E162="",E162="!!!",F162="NEW"),"",COUNTBLANK(OFFSET(A$1,,,SUMPRODUCT(MAX(ROW(E$2:E162)*(E162=E$2:E162)))))-COUNTBLANK(OFFSET(A$1,,,SUMPRODUCT(MAX(ROW(E$1:E161)*(E2=E$1:E161))))))</f>
        <v> </v>
      </c>
      <c r="K162" s="26" t="str">
        <f>IF(OR(E162="",E162="!!!",F162="NEW"),"",INDEX(J$1:J161,SUMPRODUCT(MAX(ROW(E$1:E161)*(E162=E$1:E161)))))</f>
        <v> </v>
      </c>
      <c r="L162" s="27"/>
    </row>
    <row r="163" spans="1:12">
      <c r="A163" s="20" t="s">
        <v>741</v>
      </c>
      <c r="E163" s="22">
        <f>IF(D163="?OLD","!!!","")</f>
        <v/>
      </c>
      <c r="F163" s="23" t="str">
        <f>IF(OR(E163="",E163="!!!"),"",IF(NOT(ISNA(VLOOKUP(E163,E$1:E162,1,FALSE()))),"OLD",IF(AND(E163&lt;&gt;"",E163&lt;&gt;"!!!"),"NEW","")))</f>
        <v> </v>
      </c>
      <c r="G163" s="24" t="str">
        <f>IF(OR(E163="",E163="!!!"),"",IF(OR(J163=0,AND(J163=1,K163=1),AND(J163=1,I163="SBJ"),AND(J163=1,I163=0)),"?IN_FOCUS",IF(J163&lt;=2,"?ACTIVATED",IF(J163&lt;&gt;"","?FAMILIAR",IF(F163="NEW",IF(ISNA(VLOOKUP(E163,#REF!,1,FALSE())),"?TYPE_IDENTIFIABLE","?REFERENTIAL"),"_")))))</f>
        <v> </v>
      </c>
      <c r="H163" s="25" t="str">
        <f>IF(J163&lt;&gt;1,"",IF(I163="SBJ","CB","?"))</f>
        <v> </v>
      </c>
      <c r="I163" s="26" t="str">
        <f>IF(OR(E163="",E163="!!!",F163="NEW"),"",INDEX(B162:B$2,-1+SUMPRODUCT(MAX(ROW(E162:E$2)*(E163=E162:E$2)))))</f>
        <v> </v>
      </c>
      <c r="J163" s="26" t="str">
        <f>IF(OR(E163="",E163="!!!",F163="NEW"),"",COUNTBLANK(OFFSET(A$1,,,SUMPRODUCT(MAX(ROW(E$2:E163)*(E163=E$2:E163)))))-COUNTBLANK(OFFSET(A$1,,,SUMPRODUCT(MAX(ROW(E$1:E162)*(E2=E$1:E162))))))</f>
        <v> </v>
      </c>
      <c r="K163" s="26" t="str">
        <f>IF(OR(E163="",E163="!!!",F163="NEW"),"",INDEX(J$1:J162,SUMPRODUCT(MAX(ROW(E$1:E162)*(E163=E$1:E162)))))</f>
        <v> </v>
      </c>
      <c r="L163" s="27"/>
    </row>
    <row r="164" spans="1:12">
      <c r="A164" s="20" t="s">
        <v>850</v>
      </c>
      <c r="E164" s="22">
        <f>IF(D164="?OLD","!!!","")</f>
        <v/>
      </c>
      <c r="F164" s="23" t="str">
        <f>IF(OR(E164="",E164="!!!"),"",IF(NOT(ISNA(VLOOKUP(E164,E$1:E163,1,FALSE()))),"OLD",IF(AND(E164&lt;&gt;"",E164&lt;&gt;"!!!"),"NEW","")))</f>
        <v> </v>
      </c>
      <c r="G164" s="24" t="str">
        <f>IF(OR(E164="",E164="!!!"),"",IF(OR(J164=0,AND(J164=1,K164=1),AND(J164=1,I164="SBJ"),AND(J164=1,I164=0)),"?IN_FOCUS",IF(J164&lt;=2,"?ACTIVATED",IF(J164&lt;&gt;"","?FAMILIAR",IF(F164="NEW",IF(ISNA(VLOOKUP(E164,#REF!,1,FALSE())),"?TYPE_IDENTIFIABLE","?REFERENTIAL"),"_")))))</f>
        <v> </v>
      </c>
      <c r="H164" s="25" t="str">
        <f>IF(J164&lt;&gt;1,"",IF(I164="SBJ","CB","?"))</f>
        <v> </v>
      </c>
      <c r="I164" s="26" t="str">
        <f>IF(OR(E164="",E164="!!!",F164="NEW"),"",INDEX(B163:B$2,-1+SUMPRODUCT(MAX(ROW(E163:E$2)*(E164=E163:E$2)))))</f>
        <v> </v>
      </c>
      <c r="J164" s="26" t="str">
        <f>IF(OR(E164="",E164="!!!",F164="NEW"),"",COUNTBLANK(OFFSET(A$1,,,SUMPRODUCT(MAX(ROW(E$2:E164)*(E164=E$2:E164)))))-COUNTBLANK(OFFSET(A$1,,,SUMPRODUCT(MAX(ROW(E$1:E163)*(E2=E$1:E163))))))</f>
        <v> </v>
      </c>
      <c r="K164" s="26" t="str">
        <f>IF(OR(E164="",E164="!!!",F164="NEW"),"",INDEX(J$1:J163,SUMPRODUCT(MAX(ROW(E$1:E163)*(E164=E$1:E163)))))</f>
        <v> </v>
      </c>
      <c r="L164" s="27"/>
    </row>
    <row r="165" spans="1:12">
      <c r="A165" s="20" t="s">
        <v>804</v>
      </c>
      <c r="B165" s="21" t="s">
        <v>764</v>
      </c>
      <c r="E165" s="22">
        <f>IF(D165="?OLD","!!!","")</f>
        <v/>
      </c>
      <c r="F165" s="23" t="str">
        <f>IF(OR(E165="",E165="!!!"),"",IF(NOT(ISNA(VLOOKUP(E165,E$1:E164,1,FALSE()))),"OLD",IF(AND(E165&lt;&gt;"",E165&lt;&gt;"!!!"),"NEW","")))</f>
        <v> </v>
      </c>
      <c r="G165" s="24" t="str">
        <f>IF(OR(E165="",E165="!!!"),"",IF(OR(J165=0,AND(J165=1,K165=1),AND(J165=1,I165="SBJ"),AND(J165=1,I165=0)),"?IN_FOCUS",IF(J165&lt;=2,"?ACTIVATED",IF(J165&lt;&gt;"","?FAMILIAR",IF(F165="NEW",IF(ISNA(VLOOKUP(E165,#REF!,1,FALSE())),"?TYPE_IDENTIFIABLE","?REFERENTIAL"),"_")))))</f>
        <v> </v>
      </c>
      <c r="H165" s="25" t="str">
        <f>IF(J165&lt;&gt;1,"",IF(I165="SBJ","CB","?"))</f>
        <v> </v>
      </c>
      <c r="I165" s="26" t="str">
        <f>IF(OR(E165="",E165="!!!",F165="NEW"),"",INDEX(B164:B$2,-1+SUMPRODUCT(MAX(ROW(E164:E$2)*(E165=E164:E$2)))))</f>
        <v> </v>
      </c>
      <c r="J165" s="26" t="str">
        <f>IF(OR(E165="",E165="!!!",F165="NEW"),"",COUNTBLANK(OFFSET(A$1,,,SUMPRODUCT(MAX(ROW(E$2:E165)*(E165=E$2:E165)))))-COUNTBLANK(OFFSET(A$1,,,SUMPRODUCT(MAX(ROW(E$1:E164)*(E2=E$1:E164))))))</f>
        <v> </v>
      </c>
      <c r="K165" s="26" t="str">
        <f>IF(OR(E165="",E165="!!!",F165="NEW"),"",INDEX(J$1:J164,SUMPRODUCT(MAX(ROW(E$1:E164)*(E165=E$1:E164)))))</f>
        <v> </v>
      </c>
      <c r="L165" s="27"/>
    </row>
    <row r="166" spans="1:12">
      <c r="A166" s="20" t="s">
        <v>773</v>
      </c>
      <c r="E166" s="22">
        <f>IF(D166="?OLD","!!!","")</f>
        <v/>
      </c>
      <c r="F166" s="23" t="str">
        <f>IF(OR(E166="",E166="!!!"),"",IF(NOT(ISNA(VLOOKUP(E166,E$1:E165,1,FALSE()))),"OLD",IF(AND(E166&lt;&gt;"",E166&lt;&gt;"!!!"),"NEW","")))</f>
        <v> </v>
      </c>
      <c r="G166" s="24" t="str">
        <f>IF(OR(E166="",E166="!!!"),"",IF(OR(J166=0,AND(J166=1,K166=1),AND(J166=1,I166="SBJ"),AND(J166=1,I166=0)),"?IN_FOCUS",IF(J166&lt;=2,"?ACTIVATED",IF(J166&lt;&gt;"","?FAMILIAR",IF(F166="NEW",IF(ISNA(VLOOKUP(E166,#REF!,1,FALSE())),"?TYPE_IDENTIFIABLE","?REFERENTIAL"),"_")))))</f>
        <v> </v>
      </c>
      <c r="H166" s="25" t="str">
        <f>IF(J166&lt;&gt;1,"",IF(I166="SBJ","CB","?"))</f>
        <v> </v>
      </c>
      <c r="I166" s="26" t="str">
        <f>IF(OR(E166="",E166="!!!",F166="NEW"),"",INDEX(B165:B$2,-1+SUMPRODUCT(MAX(ROW(E165:E$2)*(E166=E165:E$2)))))</f>
        <v> </v>
      </c>
      <c r="J166" s="26" t="str">
        <f>IF(OR(E166="",E166="!!!",F166="NEW"),"",COUNTBLANK(OFFSET(A$1,,,SUMPRODUCT(MAX(ROW(E$2:E166)*(E166=E$2:E166)))))-COUNTBLANK(OFFSET(A$1,,,SUMPRODUCT(MAX(ROW(E$1:E165)*(E2=E$1:E165))))))</f>
        <v> </v>
      </c>
      <c r="K166" s="26" t="str">
        <f>IF(OR(E166="",E166="!!!",F166="NEW"),"",INDEX(J$1:J165,SUMPRODUCT(MAX(ROW(E$1:E165)*(E166=E$1:E165)))))</f>
        <v> </v>
      </c>
      <c r="L166" s="27"/>
    </row>
    <row r="167" spans="1:12">
      <c r="A167" s="20" t="s">
        <v>745</v>
      </c>
      <c r="E167" s="22">
        <f>IF(D167="?OLD","!!!","")</f>
        <v/>
      </c>
      <c r="F167" s="23" t="str">
        <f>IF(OR(E167="",E167="!!!"),"",IF(NOT(ISNA(VLOOKUP(E167,E$1:E166,1,FALSE()))),"OLD",IF(AND(E167&lt;&gt;"",E167&lt;&gt;"!!!"),"NEW","")))</f>
        <v> </v>
      </c>
      <c r="G167" s="24" t="str">
        <f>IF(OR(E167="",E167="!!!"),"",IF(OR(J167=0,AND(J167=1,K167=1),AND(J167=1,I167="SBJ"),AND(J167=1,I167=0)),"?IN_FOCUS",IF(J167&lt;=2,"?ACTIVATED",IF(J167&lt;&gt;"","?FAMILIAR",IF(F167="NEW",IF(ISNA(VLOOKUP(E167,#REF!,1,FALSE())),"?TYPE_IDENTIFIABLE","?REFERENTIAL"),"_")))))</f>
        <v> </v>
      </c>
      <c r="H167" s="25" t="str">
        <f>IF(J167&lt;&gt;1,"",IF(I167="SBJ","CB","?"))</f>
        <v> </v>
      </c>
      <c r="I167" s="26" t="str">
        <f>IF(OR(E167="",E167="!!!",F167="NEW"),"",INDEX(B166:B$2,-1+SUMPRODUCT(MAX(ROW(E166:E$2)*(E167=E166:E$2)))))</f>
        <v> </v>
      </c>
      <c r="J167" s="26" t="str">
        <f>IF(OR(E167="",E167="!!!",F167="NEW"),"",COUNTBLANK(OFFSET(A$1,,,SUMPRODUCT(MAX(ROW(E$2:E167)*(E167=E$2:E167)))))-COUNTBLANK(OFFSET(A$1,,,SUMPRODUCT(MAX(ROW(E$1:E166)*(E2=E$1:E166))))))</f>
        <v> </v>
      </c>
      <c r="K167" s="26" t="str">
        <f>IF(OR(E167="",E167="!!!",F167="NEW"),"",INDEX(J$1:J166,SUMPRODUCT(MAX(ROW(E$1:E166)*(E167=E$1:E166)))))</f>
        <v> </v>
      </c>
      <c r="L167" s="27"/>
    </row>
    <row r="168" spans="1:12">
      <c r="A168" s="20" t="s">
        <v>851</v>
      </c>
      <c r="B168" s="21" t="s">
        <v>736</v>
      </c>
      <c r="C168" s="21" t="s">
        <v>852</v>
      </c>
      <c r="E168" s="22">
        <f>IF(D168="?OLD","!!!","")</f>
        <v/>
      </c>
      <c r="F168" s="23" t="str">
        <f>IF(OR(E168="",E168="!!!"),"",IF(NOT(ISNA(VLOOKUP(E168,E$1:E167,1,FALSE()))),"OLD",IF(AND(E168&lt;&gt;"",E168&lt;&gt;"!!!"),"NEW","")))</f>
        <v> </v>
      </c>
      <c r="G168" s="24" t="str">
        <f>IF(OR(E168="",E168="!!!"),"",IF(OR(J168=0,AND(J168=1,K168=1),AND(J168=1,I168="SBJ"),AND(J168=1,I168=0)),"?IN_FOCUS",IF(J168&lt;=2,"?ACTIVATED",IF(J168&lt;&gt;"","?FAMILIAR",IF(F168="NEW",IF(ISNA(VLOOKUP(E168,#REF!,1,FALSE())),"?TYPE_IDENTIFIABLE","?REFERENTIAL"),"_")))))</f>
        <v> </v>
      </c>
      <c r="H168" s="25" t="str">
        <f>IF(J168&lt;&gt;1,"",IF(I168="SBJ","CB","?"))</f>
        <v> </v>
      </c>
      <c r="I168" s="26" t="str">
        <f>IF(OR(E168="",E168="!!!",F168="NEW"),"",INDEX(B167:B$2,-1+SUMPRODUCT(MAX(ROW(E167:E$2)*(E168=E167:E$2)))))</f>
        <v> </v>
      </c>
      <c r="J168" s="26" t="str">
        <f>IF(OR(E168="",E168="!!!",F168="NEW"),"",COUNTBLANK(OFFSET(A$1,,,SUMPRODUCT(MAX(ROW(E$2:E168)*(E168=E$2:E168)))))-COUNTBLANK(OFFSET(A$1,,,SUMPRODUCT(MAX(ROW(E$1:E167)*(E2=E$1:E167))))))</f>
        <v> </v>
      </c>
      <c r="K168" s="26" t="str">
        <f>IF(OR(E168="",E168="!!!",F168="NEW"),"",INDEX(J$1:J167,SUMPRODUCT(MAX(ROW(E$1:E167)*(E168=E$1:E167)))))</f>
        <v> </v>
      </c>
      <c r="L168" s="27"/>
    </row>
    <row r="169" spans="1:12">
      <c r="A169" s="20" t="s">
        <v>853</v>
      </c>
      <c r="E169" s="22">
        <f>IF(D169="?OLD","!!!","")</f>
        <v/>
      </c>
      <c r="F169" s="23" t="str">
        <f>IF(OR(E169="",E169="!!!"),"",IF(NOT(ISNA(VLOOKUP(E169,E$1:E168,1,FALSE()))),"OLD",IF(AND(E169&lt;&gt;"",E169&lt;&gt;"!!!"),"NEW","")))</f>
        <v> </v>
      </c>
      <c r="G169" s="24" t="str">
        <f>IF(OR(E169="",E169="!!!"),"",IF(OR(J169=0,AND(J169=1,K169=1),AND(J169=1,I169="SBJ"),AND(J169=1,I169=0)),"?IN_FOCUS",IF(J169&lt;=2,"?ACTIVATED",IF(J169&lt;&gt;"","?FAMILIAR",IF(F169="NEW",IF(ISNA(VLOOKUP(E169,#REF!,1,FALSE())),"?TYPE_IDENTIFIABLE","?REFERENTIAL"),"_")))))</f>
        <v> </v>
      </c>
      <c r="H169" s="25" t="str">
        <f>IF(J169&lt;&gt;1,"",IF(I169="SBJ","CB","?"))</f>
        <v> </v>
      </c>
      <c r="I169" s="26" t="str">
        <f>IF(OR(E169="",E169="!!!",F169="NEW"),"",INDEX(B168:B$2,-1+SUMPRODUCT(MAX(ROW(E168:E$2)*(E169=E168:E$2)))))</f>
        <v> </v>
      </c>
      <c r="J169" s="26" t="str">
        <f>IF(OR(E169="",E169="!!!",F169="NEW"),"",COUNTBLANK(OFFSET(A$1,,,SUMPRODUCT(MAX(ROW(E$2:E169)*(E169=E$2:E169)))))-COUNTBLANK(OFFSET(A$1,,,SUMPRODUCT(MAX(ROW(E$1:E168)*(E2=E$1:E168))))))</f>
        <v> </v>
      </c>
      <c r="K169" s="26" t="str">
        <f>IF(OR(E169="",E169="!!!",F169="NEW"),"",INDEX(J$1:J168,SUMPRODUCT(MAX(ROW(E$1:E168)*(E169=E$1:E168)))))</f>
        <v> </v>
      </c>
      <c r="L169" s="27"/>
    </row>
    <row r="170" spans="1:12">
      <c r="A170" s="20" t="s">
        <v>759</v>
      </c>
      <c r="E170" s="22">
        <f>IF(D170="?OLD","!!!","")</f>
        <v/>
      </c>
      <c r="F170" s="23" t="str">
        <f>IF(OR(E170="",E170="!!!"),"",IF(NOT(ISNA(VLOOKUP(E170,E$1:E169,1,FALSE()))),"OLD",IF(AND(E170&lt;&gt;"",E170&lt;&gt;"!!!"),"NEW","")))</f>
        <v> </v>
      </c>
      <c r="G170" s="24" t="str">
        <f>IF(OR(E170="",E170="!!!"),"",IF(OR(J170=0,AND(J170=1,K170=1),AND(J170=1,I170="SBJ"),AND(J170=1,I170=0)),"?IN_FOCUS",IF(J170&lt;=2,"?ACTIVATED",IF(J170&lt;&gt;"","?FAMILIAR",IF(F170="NEW",IF(ISNA(VLOOKUP(E170,#REF!,1,FALSE())),"?TYPE_IDENTIFIABLE","?REFERENTIAL"),"_")))))</f>
        <v> </v>
      </c>
      <c r="H170" s="25" t="str">
        <f>IF(J170&lt;&gt;1,"",IF(I170="SBJ","CB","?"))</f>
        <v> </v>
      </c>
      <c r="I170" s="26" t="str">
        <f>IF(OR(E170="",E170="!!!",F170="NEW"),"",INDEX(B169:B$2,-1+SUMPRODUCT(MAX(ROW(E169:E$2)*(E170=E169:E$2)))))</f>
        <v> </v>
      </c>
      <c r="J170" s="26" t="str">
        <f>IF(OR(E170="",E170="!!!",F170="NEW"),"",COUNTBLANK(OFFSET(A$1,,,SUMPRODUCT(MAX(ROW(E$2:E170)*(E170=E$2:E170)))))-COUNTBLANK(OFFSET(A$1,,,SUMPRODUCT(MAX(ROW(E$1:E169)*(E2=E$1:E169))))))</f>
        <v> </v>
      </c>
      <c r="K170" s="26" t="str">
        <f>IF(OR(E170="",E170="!!!",F170="NEW"),"",INDEX(J$1:J169,SUMPRODUCT(MAX(ROW(E$1:E169)*(E170=E$1:E169)))))</f>
        <v> </v>
      </c>
      <c r="L170" s="27"/>
    </row>
    <row r="171" spans="1:12">
      <c r="A171" s="20" t="s">
        <v>854</v>
      </c>
      <c r="E171" s="22">
        <f>IF(D171="?OLD","!!!","")</f>
        <v/>
      </c>
      <c r="F171" s="23" t="str">
        <f>IF(OR(E171="",E171="!!!"),"",IF(NOT(ISNA(VLOOKUP(E171,E$1:E170,1,FALSE()))),"OLD",IF(AND(E171&lt;&gt;"",E171&lt;&gt;"!!!"),"NEW","")))</f>
        <v> </v>
      </c>
      <c r="G171" s="24" t="str">
        <f>IF(OR(E171="",E171="!!!"),"",IF(OR(J171=0,AND(J171=1,K171=1),AND(J171=1,I171="SBJ"),AND(J171=1,I171=0)),"?IN_FOCUS",IF(J171&lt;=2,"?ACTIVATED",IF(J171&lt;&gt;"","?FAMILIAR",IF(F171="NEW",IF(ISNA(VLOOKUP(E171,#REF!,1,FALSE())),"?TYPE_IDENTIFIABLE","?REFERENTIAL"),"_")))))</f>
        <v> </v>
      </c>
      <c r="H171" s="25" t="str">
        <f>IF(J171&lt;&gt;1,"",IF(I171="SBJ","CB","?"))</f>
        <v> </v>
      </c>
      <c r="I171" s="26" t="str">
        <f>IF(OR(E171="",E171="!!!",F171="NEW"),"",INDEX(B170:B$2,-1+SUMPRODUCT(MAX(ROW(E170:E$2)*(E171=E170:E$2)))))</f>
        <v> </v>
      </c>
      <c r="J171" s="26" t="str">
        <f>IF(OR(E171="",E171="!!!",F171="NEW"),"",COUNTBLANK(OFFSET(A$1,,,SUMPRODUCT(MAX(ROW(E$2:E171)*(E171=E$2:E171)))))-COUNTBLANK(OFFSET(A$1,,,SUMPRODUCT(MAX(ROW(E$1:E170)*(E2=E$1:E170))))))</f>
        <v> </v>
      </c>
      <c r="K171" s="26" t="str">
        <f>IF(OR(E171="",E171="!!!",F171="NEW"),"",INDEX(J$1:J170,SUMPRODUCT(MAX(ROW(E$1:E170)*(E171=E$1:E170)))))</f>
        <v> </v>
      </c>
      <c r="L171" s="27"/>
    </row>
    <row r="172" spans="1:12">
      <c r="A172" s="20" t="s">
        <v>855</v>
      </c>
      <c r="E172" s="22">
        <f>IF(D172="?OLD","!!!","")</f>
        <v/>
      </c>
      <c r="F172" s="23" t="str">
        <f>IF(OR(E172="",E172="!!!"),"",IF(NOT(ISNA(VLOOKUP(E172,E$1:E171,1,FALSE()))),"OLD",IF(AND(E172&lt;&gt;"",E172&lt;&gt;"!!!"),"NEW","")))</f>
        <v> </v>
      </c>
      <c r="G172" s="24" t="str">
        <f>IF(OR(E172="",E172="!!!"),"",IF(OR(J172=0,AND(J172=1,K172=1),AND(J172=1,I172="SBJ"),AND(J172=1,I172=0)),"?IN_FOCUS",IF(J172&lt;=2,"?ACTIVATED",IF(J172&lt;&gt;"","?FAMILIAR",IF(F172="NEW",IF(ISNA(VLOOKUP(E172,#REF!,1,FALSE())),"?TYPE_IDENTIFIABLE","?REFERENTIAL"),"_")))))</f>
        <v> </v>
      </c>
      <c r="H172" s="25" t="str">
        <f>IF(J172&lt;&gt;1,"",IF(I172="SBJ","CB","?"))</f>
        <v> </v>
      </c>
      <c r="I172" s="26" t="str">
        <f>IF(OR(E172="",E172="!!!",F172="NEW"),"",INDEX(B171:B$2,-1+SUMPRODUCT(MAX(ROW(E171:E$2)*(E172=E171:E$2)))))</f>
        <v> </v>
      </c>
      <c r="J172" s="26" t="str">
        <f>IF(OR(E172="",E172="!!!",F172="NEW"),"",COUNTBLANK(OFFSET(A$1,,,SUMPRODUCT(MAX(ROW(E$2:E172)*(E172=E$2:E172)))))-COUNTBLANK(OFFSET(A$1,,,SUMPRODUCT(MAX(ROW(E$1:E171)*(E2=E$1:E171))))))</f>
        <v> </v>
      </c>
      <c r="K172" s="26" t="str">
        <f>IF(OR(E172="",E172="!!!",F172="NEW"),"",INDEX(J$1:J171,SUMPRODUCT(MAX(ROW(E$1:E171)*(E172=E$1:E171)))))</f>
        <v> </v>
      </c>
      <c r="L172" s="27"/>
    </row>
    <row r="173" spans="1:12">
      <c r="A173" s="20" t="s">
        <v>759</v>
      </c>
      <c r="E173" s="22">
        <f>IF(D173="?OLD","!!!","")</f>
        <v/>
      </c>
      <c r="F173" s="23" t="str">
        <f>IF(OR(E173="",E173="!!!"),"",IF(NOT(ISNA(VLOOKUP(E173,E$1:E172,1,FALSE()))),"OLD",IF(AND(E173&lt;&gt;"",E173&lt;&gt;"!!!"),"NEW","")))</f>
        <v> </v>
      </c>
      <c r="G173" s="24" t="str">
        <f>IF(OR(E173="",E173="!!!"),"",IF(OR(J173=0,AND(J173=1,K173=1),AND(J173=1,I173="SBJ"),AND(J173=1,I173=0)),"?IN_FOCUS",IF(J173&lt;=2,"?ACTIVATED",IF(J173&lt;&gt;"","?FAMILIAR",IF(F173="NEW",IF(ISNA(VLOOKUP(E173,#REF!,1,FALSE())),"?TYPE_IDENTIFIABLE","?REFERENTIAL"),"_")))))</f>
        <v> </v>
      </c>
      <c r="H173" s="25" t="str">
        <f>IF(J173&lt;&gt;1,"",IF(I173="SBJ","CB","?"))</f>
        <v> </v>
      </c>
      <c r="I173" s="26" t="str">
        <f>IF(OR(E173="",E173="!!!",F173="NEW"),"",INDEX(B172:B$2,-1+SUMPRODUCT(MAX(ROW(E172:E$2)*(E173=E172:E$2)))))</f>
        <v> </v>
      </c>
      <c r="J173" s="26" t="str">
        <f>IF(OR(E173="",E173="!!!",F173="NEW"),"",COUNTBLANK(OFFSET(A$1,,,SUMPRODUCT(MAX(ROW(E$2:E173)*(E173=E$2:E173)))))-COUNTBLANK(OFFSET(A$1,,,SUMPRODUCT(MAX(ROW(E$1:E172)*(E2=E$1:E172))))))</f>
        <v> </v>
      </c>
      <c r="K173" s="26" t="str">
        <f>IF(OR(E173="",E173="!!!",F173="NEW"),"",INDEX(J$1:J172,SUMPRODUCT(MAX(ROW(E$1:E172)*(E173=E$1:E172)))))</f>
        <v> </v>
      </c>
      <c r="L173" s="27"/>
    </row>
    <row r="174" spans="1:12">
      <c r="A174" s="20" t="s">
        <v>773</v>
      </c>
      <c r="E174" s="22">
        <f>IF(D174="?OLD","!!!","")</f>
        <v/>
      </c>
      <c r="F174" s="23" t="str">
        <f>IF(OR(E174="",E174="!!!"),"",IF(NOT(ISNA(VLOOKUP(E174,E$1:E173,1,FALSE()))),"OLD",IF(AND(E174&lt;&gt;"",E174&lt;&gt;"!!!"),"NEW","")))</f>
        <v> </v>
      </c>
      <c r="G174" s="24" t="str">
        <f>IF(OR(E174="",E174="!!!"),"",IF(OR(J174=0,AND(J174=1,K174=1),AND(J174=1,I174="SBJ"),AND(J174=1,I174=0)),"?IN_FOCUS",IF(J174&lt;=2,"?ACTIVATED",IF(J174&lt;&gt;"","?FAMILIAR",IF(F174="NEW",IF(ISNA(VLOOKUP(E174,#REF!,1,FALSE())),"?TYPE_IDENTIFIABLE","?REFERENTIAL"),"_")))))</f>
        <v> </v>
      </c>
      <c r="H174" s="25" t="str">
        <f>IF(J174&lt;&gt;1,"",IF(I174="SBJ","CB","?"))</f>
        <v> </v>
      </c>
      <c r="I174" s="26" t="str">
        <f>IF(OR(E174="",E174="!!!",F174="NEW"),"",INDEX(B173:B$2,-1+SUMPRODUCT(MAX(ROW(E173:E$2)*(E174=E173:E$2)))))</f>
        <v> </v>
      </c>
      <c r="J174" s="26" t="str">
        <f>IF(OR(E174="",E174="!!!",F174="NEW"),"",COUNTBLANK(OFFSET(A$1,,,SUMPRODUCT(MAX(ROW(E$2:E174)*(E174=E$2:E174)))))-COUNTBLANK(OFFSET(A$1,,,SUMPRODUCT(MAX(ROW(E$1:E173)*(E2=E$1:E173))))))</f>
        <v> </v>
      </c>
      <c r="K174" s="26" t="str">
        <f>IF(OR(E174="",E174="!!!",F174="NEW"),"",INDEX(J$1:J173,SUMPRODUCT(MAX(ROW(E$1:E173)*(E174=E$1:E173)))))</f>
        <v> </v>
      </c>
      <c r="L174" s="27"/>
    </row>
    <row r="175" spans="1:12">
      <c r="A175" s="20" t="s">
        <v>840</v>
      </c>
      <c r="E175" s="22">
        <f>IF(D175="?OLD","!!!","")</f>
        <v/>
      </c>
      <c r="F175" s="23" t="str">
        <f>IF(OR(E175="",E175="!!!"),"",IF(NOT(ISNA(VLOOKUP(E175,E$1:E174,1,FALSE()))),"OLD",IF(AND(E175&lt;&gt;"",E175&lt;&gt;"!!!"),"NEW","")))</f>
        <v> </v>
      </c>
      <c r="G175" s="24" t="str">
        <f>IF(OR(E175="",E175="!!!"),"",IF(OR(J175=0,AND(J175=1,K175=1),AND(J175=1,I175="SBJ"),AND(J175=1,I175=0)),"?IN_FOCUS",IF(J175&lt;=2,"?ACTIVATED",IF(J175&lt;&gt;"","?FAMILIAR",IF(F175="NEW",IF(ISNA(VLOOKUP(E175,#REF!,1,FALSE())),"?TYPE_IDENTIFIABLE","?REFERENTIAL"),"_")))))</f>
        <v> </v>
      </c>
      <c r="H175" s="25" t="str">
        <f>IF(J175&lt;&gt;1,"",IF(I175="SBJ","CB","?"))</f>
        <v> </v>
      </c>
      <c r="I175" s="26" t="str">
        <f>IF(OR(E175="",E175="!!!",F175="NEW"),"",INDEX(B174:B$2,-1+SUMPRODUCT(MAX(ROW(E174:E$2)*(E175=E174:E$2)))))</f>
        <v> </v>
      </c>
      <c r="J175" s="26" t="str">
        <f>IF(OR(E175="",E175="!!!",F175="NEW"),"",COUNTBLANK(OFFSET(A$1,,,SUMPRODUCT(MAX(ROW(E$2:E175)*(E175=E$2:E175)))))-COUNTBLANK(OFFSET(A$1,,,SUMPRODUCT(MAX(ROW(E$1:E174)*(E2=E$1:E174))))))</f>
        <v> </v>
      </c>
      <c r="K175" s="26" t="str">
        <f>IF(OR(E175="",E175="!!!",F175="NEW"),"",INDEX(J$1:J174,SUMPRODUCT(MAX(ROW(E$1:E174)*(E175=E$1:E174)))))</f>
        <v> </v>
      </c>
      <c r="L175" s="27"/>
    </row>
    <row r="176" spans="1:12">
      <c r="A176" s="20" t="s">
        <v>856</v>
      </c>
      <c r="E176" s="22">
        <f>IF(D176="?OLD","!!!","")</f>
        <v/>
      </c>
      <c r="F176" s="23" t="str">
        <f>IF(OR(E176="",E176="!!!"),"",IF(NOT(ISNA(VLOOKUP(E176,E$1:E175,1,FALSE()))),"OLD",IF(AND(E176&lt;&gt;"",E176&lt;&gt;"!!!"),"NEW","")))</f>
        <v> </v>
      </c>
      <c r="G176" s="24" t="str">
        <f>IF(OR(E176="",E176="!!!"),"",IF(OR(J176=0,AND(J176=1,K176=1),AND(J176=1,I176="SBJ"),AND(J176=1,I176=0)),"?IN_FOCUS",IF(J176&lt;=2,"?ACTIVATED",IF(J176&lt;&gt;"","?FAMILIAR",IF(F176="NEW",IF(ISNA(VLOOKUP(E176,#REF!,1,FALSE())),"?TYPE_IDENTIFIABLE","?REFERENTIAL"),"_")))))</f>
        <v> </v>
      </c>
      <c r="H176" s="25" t="str">
        <f>IF(J176&lt;&gt;1,"",IF(I176="SBJ","CB","?"))</f>
        <v> </v>
      </c>
      <c r="I176" s="26" t="str">
        <f>IF(OR(E176="",E176="!!!",F176="NEW"),"",INDEX(B175:B$2,-1+SUMPRODUCT(MAX(ROW(E175:E$2)*(E176=E175:E$2)))))</f>
        <v> </v>
      </c>
      <c r="J176" s="26" t="str">
        <f>IF(OR(E176="",E176="!!!",F176="NEW"),"",COUNTBLANK(OFFSET(A$1,,,SUMPRODUCT(MAX(ROW(E$2:E176)*(E176=E$2:E176)))))-COUNTBLANK(OFFSET(A$1,,,SUMPRODUCT(MAX(ROW(E$1:E175)*(E2=E$1:E175))))))</f>
        <v> </v>
      </c>
      <c r="K176" s="26" t="str">
        <f>IF(OR(E176="",E176="!!!",F176="NEW"),"",INDEX(J$1:J175,SUMPRODUCT(MAX(ROW(E$1:E175)*(E176=E$1:E175)))))</f>
        <v> </v>
      </c>
      <c r="L176" s="27"/>
    </row>
    <row r="177" spans="1:12">
      <c r="A177" s="20" t="s">
        <v>857</v>
      </c>
      <c r="B177" s="21" t="s">
        <v>755</v>
      </c>
      <c r="C177" s="21" t="s">
        <v>753</v>
      </c>
      <c r="D177" s="21" t="s">
        <v>730</v>
      </c>
      <c r="E177" s="22">
        <f>IF(D177="?OLD","!!!","")</f>
        <v/>
      </c>
      <c r="F177" s="23" t="str">
        <f>IF(OR(E177="",E177="!!!"),"",IF(NOT(ISNA(VLOOKUP(E177,E$1:E176,1,FALSE()))),"OLD",IF(AND(E177&lt;&gt;"",E177&lt;&gt;"!!!"),"NEW","")))</f>
        <v> </v>
      </c>
      <c r="G177" s="24" t="str">
        <f>IF(OR(E177="",E177="!!!"),"",IF(OR(J177=0,AND(J177=1,K177=1),AND(J177=1,I177="SBJ"),AND(J177=1,I177=0)),"?IN_FOCUS",IF(J177&lt;=2,"?ACTIVATED",IF(J177&lt;&gt;"","?FAMILIAR",IF(F177="NEW",IF(ISNA(VLOOKUP(E177,#REF!,1,FALSE())),"?TYPE_IDENTIFIABLE","?REFERENTIAL"),"_")))))</f>
        <v> </v>
      </c>
      <c r="H177" s="25" t="str">
        <f>IF(J177&lt;&gt;1,"",IF(I177="SBJ","CB","?"))</f>
        <v> </v>
      </c>
      <c r="I177" s="26" t="str">
        <f>IF(OR(E177="",E177="!!!",F177="NEW"),"",INDEX(B176:B$2,-1+SUMPRODUCT(MAX(ROW(E176:E$2)*(E177=E176:E$2)))))</f>
        <v> </v>
      </c>
      <c r="J177" s="26" t="str">
        <f>IF(OR(E177="",E177="!!!",F177="NEW"),"",COUNTBLANK(OFFSET(A$1,,,SUMPRODUCT(MAX(ROW(E$2:E177)*(E177=E$2:E177)))))-COUNTBLANK(OFFSET(A$1,,,SUMPRODUCT(MAX(ROW(E$1:E176)*(E2=E$1:E176))))))</f>
        <v> </v>
      </c>
      <c r="K177" s="26" t="str">
        <f>IF(OR(E177="",E177="!!!",F177="NEW"),"",INDEX(J$1:J176,SUMPRODUCT(MAX(ROW(E$1:E176)*(E177=E$1:E176)))))</f>
        <v> </v>
      </c>
      <c r="L177" s="27"/>
    </row>
    <row r="178" spans="1:12">
      <c r="A178" s="20" t="s">
        <v>759</v>
      </c>
      <c r="E178" s="22">
        <f>IF(D178="?OLD","!!!","")</f>
        <v/>
      </c>
      <c r="F178" s="23" t="str">
        <f>IF(OR(E178="",E178="!!!"),"",IF(NOT(ISNA(VLOOKUP(E178,E$1:E177,1,FALSE()))),"OLD",IF(AND(E178&lt;&gt;"",E178&lt;&gt;"!!!"),"NEW","")))</f>
        <v> </v>
      </c>
      <c r="G178" s="24" t="str">
        <f>IF(OR(E178="",E178="!!!"),"",IF(OR(J178=0,AND(J178=1,K178=1),AND(J178=1,I178="SBJ"),AND(J178=1,I178=0)),"?IN_FOCUS",IF(J178&lt;=2,"?ACTIVATED",IF(J178&lt;&gt;"","?FAMILIAR",IF(F178="NEW",IF(ISNA(VLOOKUP(E178,#REF!,1,FALSE())),"?TYPE_IDENTIFIABLE","?REFERENTIAL"),"_")))))</f>
        <v> </v>
      </c>
      <c r="H178" s="25" t="str">
        <f>IF(J178&lt;&gt;1,"",IF(I178="SBJ","CB","?"))</f>
        <v> </v>
      </c>
      <c r="I178" s="26" t="str">
        <f>IF(OR(E178="",E178="!!!",F178="NEW"),"",INDEX(B177:B$2,-1+SUMPRODUCT(MAX(ROW(E177:E$2)*(E178=E177:E$2)))))</f>
        <v> </v>
      </c>
      <c r="J178" s="26" t="str">
        <f>IF(OR(E178="",E178="!!!",F178="NEW"),"",COUNTBLANK(OFFSET(A$1,,,SUMPRODUCT(MAX(ROW(E$2:E178)*(E178=E$2:E178)))))-COUNTBLANK(OFFSET(A$1,,,SUMPRODUCT(MAX(ROW(E$1:E177)*(E2=E$1:E177))))))</f>
        <v> </v>
      </c>
      <c r="K178" s="26" t="str">
        <f>IF(OR(E178="",E178="!!!",F178="NEW"),"",INDEX(J$1:J177,SUMPRODUCT(MAX(ROW(E$1:E177)*(E178=E$1:E177)))))</f>
        <v> </v>
      </c>
      <c r="L178" s="27"/>
    </row>
    <row r="179" spans="1:12">
      <c r="A179" s="20" t="s">
        <v>858</v>
      </c>
      <c r="E179" s="22">
        <f>IF(D179="?OLD","!!!","")</f>
        <v/>
      </c>
      <c r="F179" s="23" t="str">
        <f>IF(OR(E179="",E179="!!!"),"",IF(NOT(ISNA(VLOOKUP(E179,E$1:E178,1,FALSE()))),"OLD",IF(AND(E179&lt;&gt;"",E179&lt;&gt;"!!!"),"NEW","")))</f>
        <v> </v>
      </c>
      <c r="G179" s="24" t="str">
        <f>IF(OR(E179="",E179="!!!"),"",IF(OR(J179=0,AND(J179=1,K179=1),AND(J179=1,I179="SBJ"),AND(J179=1,I179=0)),"?IN_FOCUS",IF(J179&lt;=2,"?ACTIVATED",IF(J179&lt;&gt;"","?FAMILIAR",IF(F179="NEW",IF(ISNA(VLOOKUP(E179,#REF!,1,FALSE())),"?TYPE_IDENTIFIABLE","?REFERENTIAL"),"_")))))</f>
        <v> </v>
      </c>
      <c r="H179" s="25" t="str">
        <f>IF(J179&lt;&gt;1,"",IF(I179="SBJ","CB","?"))</f>
        <v> </v>
      </c>
      <c r="I179" s="26" t="str">
        <f>IF(OR(E179="",E179="!!!",F179="NEW"),"",INDEX(B178:B$2,-1+SUMPRODUCT(MAX(ROW(E178:E$2)*(E179=E178:E$2)))))</f>
        <v> </v>
      </c>
      <c r="J179" s="26" t="str">
        <f>IF(OR(E179="",E179="!!!",F179="NEW"),"",COUNTBLANK(OFFSET(A$1,,,SUMPRODUCT(MAX(ROW(E$2:E179)*(E179=E$2:E179)))))-COUNTBLANK(OFFSET(A$1,,,SUMPRODUCT(MAX(ROW(E$1:E178)*(E2=E$1:E178))))))</f>
        <v> </v>
      </c>
      <c r="K179" s="26" t="str">
        <f>IF(OR(E179="",E179="!!!",F179="NEW"),"",INDEX(J$1:J178,SUMPRODUCT(MAX(ROW(E$1:E178)*(E179=E$1:E178)))))</f>
        <v> </v>
      </c>
      <c r="L179" s="27"/>
    </row>
    <row r="180" spans="1:12">
      <c r="A180" s="20" t="s">
        <v>859</v>
      </c>
      <c r="B180" s="21" t="s">
        <v>788</v>
      </c>
      <c r="C180" s="21" t="s">
        <v>789</v>
      </c>
      <c r="D180" s="21" t="s">
        <v>730</v>
      </c>
      <c r="E180" s="22">
        <f>IF(D180="?OLD","!!!","")</f>
        <v/>
      </c>
      <c r="F180" s="23" t="str">
        <f>IF(OR(E180="",E180="!!!"),"",IF(NOT(ISNA(VLOOKUP(E180,E$1:E179,1,FALSE()))),"OLD",IF(AND(E180&lt;&gt;"",E180&lt;&gt;"!!!"),"NEW","")))</f>
        <v> </v>
      </c>
      <c r="G180" s="24" t="str">
        <f>IF(OR(E180="",E180="!!!"),"",IF(OR(J180=0,AND(J180=1,K180=1),AND(J180=1,I180="SBJ"),AND(J180=1,I180=0)),"?IN_FOCUS",IF(J180&lt;=2,"?ACTIVATED",IF(J180&lt;&gt;"","?FAMILIAR",IF(F180="NEW",IF(ISNA(VLOOKUP(E180,#REF!,1,FALSE())),"?TYPE_IDENTIFIABLE","?REFERENTIAL"),"_")))))</f>
        <v> </v>
      </c>
      <c r="H180" s="25" t="str">
        <f>IF(J180&lt;&gt;1,"",IF(I180="SBJ","CB","?"))</f>
        <v> </v>
      </c>
      <c r="I180" s="26" t="str">
        <f>IF(OR(E180="",E180="!!!",F180="NEW"),"",INDEX(B179:B$2,-1+SUMPRODUCT(MAX(ROW(E179:E$2)*(E180=E179:E$2)))))</f>
        <v> </v>
      </c>
      <c r="J180" s="26" t="str">
        <f>IF(OR(E180="",E180="!!!",F180="NEW"),"",COUNTBLANK(OFFSET(A$1,,,SUMPRODUCT(MAX(ROW(E$2:E180)*(E180=E$2:E180)))))-COUNTBLANK(OFFSET(A$1,,,SUMPRODUCT(MAX(ROW(E$1:E179)*(E2=E$1:E179))))))</f>
        <v> </v>
      </c>
      <c r="K180" s="26" t="str">
        <f>IF(OR(E180="",E180="!!!",F180="NEW"),"",INDEX(J$1:J179,SUMPRODUCT(MAX(ROW(E$1:E179)*(E180=E$1:E179)))))</f>
        <v> </v>
      </c>
      <c r="L180" s="27"/>
    </row>
    <row r="181" spans="1:12">
      <c r="A181" s="20" t="s">
        <v>754</v>
      </c>
      <c r="B181" s="21" t="s">
        <v>783</v>
      </c>
      <c r="C181" s="21" t="s">
        <v>756</v>
      </c>
      <c r="E181" s="22">
        <f>IF(D181="?OLD","!!!","")</f>
        <v/>
      </c>
      <c r="F181" s="23" t="str">
        <f>IF(OR(E181="",E181="!!!"),"",IF(NOT(ISNA(VLOOKUP(E181,E$1:E180,1,FALSE()))),"OLD",IF(AND(E181&lt;&gt;"",E181&lt;&gt;"!!!"),"NEW","")))</f>
        <v> </v>
      </c>
      <c r="G181" s="24" t="str">
        <f>IF(OR(E181="",E181="!!!"),"",IF(OR(J181=0,AND(J181=1,K181=1),AND(J181=1,I181="SBJ"),AND(J181=1,I181=0)),"?IN_FOCUS",IF(J181&lt;=2,"?ACTIVATED",IF(J181&lt;&gt;"","?FAMILIAR",IF(F181="NEW",IF(ISNA(VLOOKUP(E181,#REF!,1,FALSE())),"?TYPE_IDENTIFIABLE","?REFERENTIAL"),"_")))))</f>
        <v> </v>
      </c>
      <c r="H181" s="25" t="str">
        <f>IF(J181&lt;&gt;1,"",IF(I181="SBJ","CB","?"))</f>
        <v> </v>
      </c>
      <c r="I181" s="26" t="str">
        <f>IF(OR(E181="",E181="!!!",F181="NEW"),"",INDEX(B180:B$2,-1+SUMPRODUCT(MAX(ROW(E180:E$2)*(E181=E180:E$2)))))</f>
        <v> </v>
      </c>
      <c r="J181" s="26" t="str">
        <f>IF(OR(E181="",E181="!!!",F181="NEW"),"",COUNTBLANK(OFFSET(A$1,,,SUMPRODUCT(MAX(ROW(E$2:E181)*(E181=E$2:E181)))))-COUNTBLANK(OFFSET(A$1,,,SUMPRODUCT(MAX(ROW(E$1:E180)*(E2=E$1:E180))))))</f>
        <v> </v>
      </c>
      <c r="K181" s="26" t="str">
        <f>IF(OR(E181="",E181="!!!",F181="NEW"),"",INDEX(J$1:J180,SUMPRODUCT(MAX(ROW(E$1:E180)*(E181=E$1:E180)))))</f>
        <v> </v>
      </c>
      <c r="L181" s="27"/>
    </row>
    <row r="182" spans="1:12">
      <c r="A182" s="20" t="s">
        <v>751</v>
      </c>
      <c r="E182" s="22">
        <f>IF(D182="?OLD","!!!","")</f>
        <v/>
      </c>
      <c r="F182" s="23" t="str">
        <f>IF(OR(E182="",E182="!!!"),"",IF(NOT(ISNA(VLOOKUP(E182,E$1:E181,1,FALSE()))),"OLD",IF(AND(E182&lt;&gt;"",E182&lt;&gt;"!!!"),"NEW","")))</f>
        <v> </v>
      </c>
      <c r="G182" s="24" t="str">
        <f>IF(OR(E182="",E182="!!!"),"",IF(OR(J182=0,AND(J182=1,K182=1),AND(J182=1,I182="SBJ"),AND(J182=1,I182=0)),"?IN_FOCUS",IF(J182&lt;=2,"?ACTIVATED",IF(J182&lt;&gt;"","?FAMILIAR",IF(F182="NEW",IF(ISNA(VLOOKUP(E182,#REF!,1,FALSE())),"?TYPE_IDENTIFIABLE","?REFERENTIAL"),"_")))))</f>
        <v> </v>
      </c>
      <c r="H182" s="25" t="str">
        <f>IF(J182&lt;&gt;1,"",IF(I182="SBJ","CB","?"))</f>
        <v> </v>
      </c>
      <c r="I182" s="26" t="str">
        <f>IF(OR(E182="",E182="!!!",F182="NEW"),"",INDEX(B181:B$2,-1+SUMPRODUCT(MAX(ROW(E181:E$2)*(E182=E181:E$2)))))</f>
        <v> </v>
      </c>
      <c r="J182" s="26" t="str">
        <f>IF(OR(E182="",E182="!!!",F182="NEW"),"",COUNTBLANK(OFFSET(A$1,,,SUMPRODUCT(MAX(ROW(E$2:E182)*(E182=E$2:E182)))))-COUNTBLANK(OFFSET(A$1,,,SUMPRODUCT(MAX(ROW(E$1:E181)*(E2=E$1:E181))))))</f>
        <v> </v>
      </c>
      <c r="K182" s="26" t="str">
        <f>IF(OR(E182="",E182="!!!",F182="NEW"),"",INDEX(J$1:J181,SUMPRODUCT(MAX(ROW(E$1:E181)*(E182=E$1:E181)))))</f>
        <v> </v>
      </c>
      <c r="L182" s="27"/>
    </row>
    <row r="183" spans="1:12">
      <c r="A183" s="20" t="s">
        <v>860</v>
      </c>
      <c r="B183" s="21" t="s">
        <v>755</v>
      </c>
      <c r="C183" s="21" t="s">
        <v>753</v>
      </c>
      <c r="D183" s="21" t="s">
        <v>730</v>
      </c>
      <c r="E183" s="22">
        <f>IF(D183="?OLD","!!!","")</f>
        <v/>
      </c>
      <c r="F183" s="23" t="str">
        <f>IF(OR(E183="",E183="!!!"),"",IF(NOT(ISNA(VLOOKUP(E183,E$1:E182,1,FALSE()))),"OLD",IF(AND(E183&lt;&gt;"",E183&lt;&gt;"!!!"),"NEW","")))</f>
        <v> </v>
      </c>
      <c r="G183" s="24" t="str">
        <f>IF(OR(E183="",E183="!!!"),"",IF(OR(J183=0,AND(J183=1,K183=1),AND(J183=1,I183="SBJ"),AND(J183=1,I183=0)),"?IN_FOCUS",IF(J183&lt;=2,"?ACTIVATED",IF(J183&lt;&gt;"","?FAMILIAR",IF(F183="NEW",IF(ISNA(VLOOKUP(E183,#REF!,1,FALSE())),"?TYPE_IDENTIFIABLE","?REFERENTIAL"),"_")))))</f>
        <v> </v>
      </c>
      <c r="H183" s="25" t="str">
        <f>IF(J183&lt;&gt;1,"",IF(I183="SBJ","CB","?"))</f>
        <v> </v>
      </c>
      <c r="I183" s="26" t="str">
        <f>IF(OR(E183="",E183="!!!",F183="NEW"),"",INDEX(B182:B$2,-1+SUMPRODUCT(MAX(ROW(E182:E$2)*(E183=E182:E$2)))))</f>
        <v> </v>
      </c>
      <c r="J183" s="26" t="str">
        <f>IF(OR(E183="",E183="!!!",F183="NEW"),"",COUNTBLANK(OFFSET(A$1,,,SUMPRODUCT(MAX(ROW(E$2:E183)*(E183=E$2:E183)))))-COUNTBLANK(OFFSET(A$1,,,SUMPRODUCT(MAX(ROW(E$1:E182)*(E2=E$1:E182))))))</f>
        <v> </v>
      </c>
      <c r="K183" s="26" t="str">
        <f>IF(OR(E183="",E183="!!!",F183="NEW"),"",INDEX(J$1:J182,SUMPRODUCT(MAX(ROW(E$1:E182)*(E183=E$1:E182)))))</f>
        <v> </v>
      </c>
      <c r="L183" s="27"/>
    </row>
    <row r="184" spans="1:12">
      <c r="A184" s="20" t="s">
        <v>785</v>
      </c>
      <c r="E184" s="22">
        <f>IF(D184="?OLD","!!!","")</f>
        <v/>
      </c>
      <c r="F184" s="23" t="str">
        <f>IF(OR(E184="",E184="!!!"),"",IF(NOT(ISNA(VLOOKUP(E184,E$1:E183,1,FALSE()))),"OLD",IF(AND(E184&lt;&gt;"",E184&lt;&gt;"!!!"),"NEW","")))</f>
        <v> </v>
      </c>
      <c r="G184" s="24" t="str">
        <f>IF(OR(E184="",E184="!!!"),"",IF(OR(J184=0,AND(J184=1,K184=1),AND(J184=1,I184="SBJ"),AND(J184=1,I184=0)),"?IN_FOCUS",IF(J184&lt;=2,"?ACTIVATED",IF(J184&lt;&gt;"","?FAMILIAR",IF(F184="NEW",IF(ISNA(VLOOKUP(E184,#REF!,1,FALSE())),"?TYPE_IDENTIFIABLE","?REFERENTIAL"),"_")))))</f>
        <v> </v>
      </c>
      <c r="H184" s="25" t="str">
        <f>IF(J184&lt;&gt;1,"",IF(I184="SBJ","CB","?"))</f>
        <v> </v>
      </c>
      <c r="I184" s="26" t="str">
        <f>IF(OR(E184="",E184="!!!",F184="NEW"),"",INDEX(B183:B$2,-1+SUMPRODUCT(MAX(ROW(E183:E$2)*(E184=E183:E$2)))))</f>
        <v> </v>
      </c>
      <c r="J184" s="26" t="str">
        <f>IF(OR(E184="",E184="!!!",F184="NEW"),"",COUNTBLANK(OFFSET(A$1,,,SUMPRODUCT(MAX(ROW(E$2:E184)*(E184=E$2:E184)))))-COUNTBLANK(OFFSET(A$1,,,SUMPRODUCT(MAX(ROW(E$1:E183)*(E2=E$1:E183))))))</f>
        <v> </v>
      </c>
      <c r="K184" s="26" t="str">
        <f>IF(OR(E184="",E184="!!!",F184="NEW"),"",INDEX(J$1:J183,SUMPRODUCT(MAX(ROW(E$1:E183)*(E184=E$1:E183)))))</f>
        <v> </v>
      </c>
      <c r="L184" s="27"/>
    </row>
    <row r="185" spans="1:12">
      <c r="A185" s="20" t="s">
        <v>861</v>
      </c>
      <c r="E185" s="22">
        <f>IF(D185="?OLD","!!!","")</f>
        <v/>
      </c>
      <c r="F185" s="23" t="str">
        <f>IF(OR(E185="",E185="!!!"),"",IF(NOT(ISNA(VLOOKUP(E185,E$1:E184,1,FALSE()))),"OLD",IF(AND(E185&lt;&gt;"",E185&lt;&gt;"!!!"),"NEW","")))</f>
        <v> </v>
      </c>
      <c r="G185" s="24" t="str">
        <f>IF(OR(E185="",E185="!!!"),"",IF(OR(J185=0,AND(J185=1,K185=1),AND(J185=1,I185="SBJ"),AND(J185=1,I185=0)),"?IN_FOCUS",IF(J185&lt;=2,"?ACTIVATED",IF(J185&lt;&gt;"","?FAMILIAR",IF(F185="NEW",IF(ISNA(VLOOKUP(E185,#REF!,1,FALSE())),"?TYPE_IDENTIFIABLE","?REFERENTIAL"),"_")))))</f>
        <v> </v>
      </c>
      <c r="H185" s="25" t="str">
        <f>IF(J185&lt;&gt;1,"",IF(I185="SBJ","CB","?"))</f>
        <v> </v>
      </c>
      <c r="I185" s="26" t="str">
        <f>IF(OR(E185="",E185="!!!",F185="NEW"),"",INDEX(B184:B$2,-1+SUMPRODUCT(MAX(ROW(E184:E$2)*(E185=E184:E$2)))))</f>
        <v> </v>
      </c>
      <c r="J185" s="26" t="str">
        <f>IF(OR(E185="",E185="!!!",F185="NEW"),"",COUNTBLANK(OFFSET(A$1,,,SUMPRODUCT(MAX(ROW(E$2:E185)*(E185=E$2:E185)))))-COUNTBLANK(OFFSET(A$1,,,SUMPRODUCT(MAX(ROW(E$1:E184)*(E2=E$1:E184))))))</f>
        <v> </v>
      </c>
      <c r="K185" s="26" t="str">
        <f>IF(OR(E185="",E185="!!!",F185="NEW"),"",INDEX(J$1:J184,SUMPRODUCT(MAX(ROW(E$1:E184)*(E185=E$1:E184)))))</f>
        <v> </v>
      </c>
      <c r="L185" s="27"/>
    </row>
    <row r="186" spans="1:12">
      <c r="A186" s="20" t="s">
        <v>813</v>
      </c>
      <c r="E186" s="22">
        <f>IF(D186="?OLD","!!!","")</f>
        <v/>
      </c>
      <c r="F186" s="23" t="str">
        <f>IF(OR(E186="",E186="!!!"),"",IF(NOT(ISNA(VLOOKUP(E186,E$1:E185,1,FALSE()))),"OLD",IF(AND(E186&lt;&gt;"",E186&lt;&gt;"!!!"),"NEW","")))</f>
        <v> </v>
      </c>
      <c r="G186" s="24" t="str">
        <f>IF(OR(E186="",E186="!!!"),"",IF(OR(J186=0,AND(J186=1,K186=1),AND(J186=1,I186="SBJ"),AND(J186=1,I186=0)),"?IN_FOCUS",IF(J186&lt;=2,"?ACTIVATED",IF(J186&lt;&gt;"","?FAMILIAR",IF(F186="NEW",IF(ISNA(VLOOKUP(E186,#REF!,1,FALSE())),"?TYPE_IDENTIFIABLE","?REFERENTIAL"),"_")))))</f>
        <v> </v>
      </c>
      <c r="H186" s="25" t="str">
        <f>IF(J186&lt;&gt;1,"",IF(I186="SBJ","CB","?"))</f>
        <v> </v>
      </c>
      <c r="I186" s="26" t="str">
        <f>IF(OR(E186="",E186="!!!",F186="NEW"),"",INDEX(B185:B$2,-1+SUMPRODUCT(MAX(ROW(E185:E$2)*(E186=E185:E$2)))))</f>
        <v> </v>
      </c>
      <c r="J186" s="26" t="str">
        <f>IF(OR(E186="",E186="!!!",F186="NEW"),"",COUNTBLANK(OFFSET(A$1,,,SUMPRODUCT(MAX(ROW(E$2:E186)*(E186=E$2:E186)))))-COUNTBLANK(OFFSET(A$1,,,SUMPRODUCT(MAX(ROW(E$1:E185)*(E2=E$1:E185))))))</f>
        <v> </v>
      </c>
      <c r="K186" s="26" t="str">
        <f>IF(OR(E186="",E186="!!!",F186="NEW"),"",INDEX(J$1:J185,SUMPRODUCT(MAX(ROW(E$1:E185)*(E186=E$1:E185)))))</f>
        <v> </v>
      </c>
      <c r="L186" s="27"/>
    </row>
    <row r="187" spans="1:12">
      <c r="A187" s="20" t="s">
        <v>862</v>
      </c>
      <c r="B187" s="21" t="s">
        <v>780</v>
      </c>
      <c r="C187" s="21" t="s">
        <v>753</v>
      </c>
      <c r="D187" s="21" t="s">
        <v>730</v>
      </c>
      <c r="E187" s="22">
        <f>IF(D187="?OLD","!!!","")</f>
        <v/>
      </c>
      <c r="F187" s="23" t="str">
        <f>IF(OR(E187="",E187="!!!"),"",IF(NOT(ISNA(VLOOKUP(E187,E$1:E186,1,FALSE()))),"OLD",IF(AND(E187&lt;&gt;"",E187&lt;&gt;"!!!"),"NEW","")))</f>
        <v> </v>
      </c>
      <c r="G187" s="24" t="str">
        <f>IF(OR(E187="",E187="!!!"),"",IF(OR(J187=0,AND(J187=1,K187=1),AND(J187=1,I187="SBJ"),AND(J187=1,I187=0)),"?IN_FOCUS",IF(J187&lt;=2,"?ACTIVATED",IF(J187&lt;&gt;"","?FAMILIAR",IF(F187="NEW",IF(ISNA(VLOOKUP(E187,#REF!,1,FALSE())),"?TYPE_IDENTIFIABLE","?REFERENTIAL"),"_")))))</f>
        <v> </v>
      </c>
      <c r="H187" s="25" t="str">
        <f>IF(J187&lt;&gt;1,"",IF(I187="SBJ","CB","?"))</f>
        <v> </v>
      </c>
      <c r="I187" s="26" t="str">
        <f>IF(OR(E187="",E187="!!!",F187="NEW"),"",INDEX(B186:B$2,-1+SUMPRODUCT(MAX(ROW(E186:E$2)*(E187=E186:E$2)))))</f>
        <v> </v>
      </c>
      <c r="J187" s="26" t="str">
        <f>IF(OR(E187="",E187="!!!",F187="NEW"),"",COUNTBLANK(OFFSET(A$1,,,SUMPRODUCT(MAX(ROW(E$2:E187)*(E187=E$2:E187)))))-COUNTBLANK(OFFSET(A$1,,,SUMPRODUCT(MAX(ROW(E$1:E186)*(E2=E$1:E186))))))</f>
        <v> </v>
      </c>
      <c r="K187" s="26" t="str">
        <f>IF(OR(E187="",E187="!!!",F187="NEW"),"",INDEX(J$1:J186,SUMPRODUCT(MAX(ROW(E$1:E186)*(E187=E$1:E186)))))</f>
        <v> </v>
      </c>
      <c r="L187" s="27"/>
    </row>
    <row r="188" spans="1:12">
      <c r="A188" s="20" t="s">
        <v>246</v>
      </c>
      <c r="E188" s="22">
        <f>IF(D188="?OLD","!!!","")</f>
        <v/>
      </c>
      <c r="F188" s="23" t="str">
        <f>IF(OR(E188="",E188="!!!"),"",IF(NOT(ISNA(VLOOKUP(E188,E$1:E187,1,FALSE()))),"OLD",IF(AND(E188&lt;&gt;"",E188&lt;&gt;"!!!"),"NEW","")))</f>
        <v> </v>
      </c>
      <c r="G188" s="24" t="str">
        <f>IF(OR(E188="",E188="!!!"),"",IF(OR(J188=0,AND(J188=1,K188=1),AND(J188=1,I188="SBJ"),AND(J188=1,I188=0)),"?IN_FOCUS",IF(J188&lt;=2,"?ACTIVATED",IF(J188&lt;&gt;"","?FAMILIAR",IF(F188="NEW",IF(ISNA(VLOOKUP(E188,#REF!,1,FALSE())),"?TYPE_IDENTIFIABLE","?REFERENTIAL"),"_")))))</f>
        <v> </v>
      </c>
      <c r="H188" s="25" t="str">
        <f>IF(J188&lt;&gt;1,"",IF(I188="SBJ","CB","?"))</f>
        <v> </v>
      </c>
      <c r="I188" s="26" t="str">
        <f>IF(OR(E188="",E188="!!!",F188="NEW"),"",INDEX(B187:B$2,-1+SUMPRODUCT(MAX(ROW(E187:E$2)*(E188=E187:E$2)))))</f>
        <v> </v>
      </c>
      <c r="J188" s="26" t="str">
        <f>IF(OR(E188="",E188="!!!",F188="NEW"),"",COUNTBLANK(OFFSET(A$1,,,SUMPRODUCT(MAX(ROW(E$2:E188)*(E188=E$2:E188)))))-COUNTBLANK(OFFSET(A$1,,,SUMPRODUCT(MAX(ROW(E$1:E187)*(E2=E$1:E187))))))</f>
        <v> </v>
      </c>
      <c r="K188" s="26" t="str">
        <f>IF(OR(E188="",E188="!!!",F188="NEW"),"",INDEX(J$1:J187,SUMPRODUCT(MAX(ROW(E$1:E187)*(E188=E$1:E187)))))</f>
        <v> </v>
      </c>
      <c r="L188" s="27"/>
    </row>
    <row r="189" spans="1:12">
      <c r="A189" s="20"/>
    </row>
    <row r="190" spans="1:12">
      <c r="A190" s="20" t="s">
        <v>863</v>
      </c>
    </row>
    <row r="191" spans="1:12">
      <c r="A191" s="20" t="s">
        <v>864</v>
      </c>
      <c r="B191" s="21" t="s">
        <v>728</v>
      </c>
      <c r="C191" s="21" t="s">
        <v>740</v>
      </c>
      <c r="D191" s="21" t="s">
        <v>730</v>
      </c>
      <c r="E191" s="22">
        <f>IF(D191="?OLD","!!!","")</f>
        <v/>
      </c>
      <c r="F191" s="23" t="str">
        <f>IF(OR(E191="",E191="!!!"),"",IF(NOT(ISNA(VLOOKUP(E191,E$1:E190,1,FALSE()))),"OLD",IF(AND(E191&lt;&gt;"",E191&lt;&gt;"!!!"),"NEW","")))</f>
        <v> </v>
      </c>
      <c r="G191" s="24" t="str">
        <f>IF(OR(E191="",E191="!!!"),"",IF(OR(J191=0,AND(J191=1,K191=1),AND(J191=1,I191="SBJ"),AND(J191=1,I191=0)),"?IN_FOCUS",IF(J191&lt;=2,"?ACTIVATED",IF(J191&lt;&gt;"","?FAMILIAR",IF(F191="NEW",IF(ISNA(VLOOKUP(E191,#REF!,1,FALSE())),"?TYPE_IDENTIFIABLE","?REFERENTIAL"),"_")))))</f>
        <v> </v>
      </c>
      <c r="H191" s="25" t="str">
        <f>IF(J191&lt;&gt;1,"",IF(I191="SBJ","CB","?"))</f>
        <v> </v>
      </c>
      <c r="I191" s="26" t="str">
        <f>IF(OR(E191="",E191="!!!",F191="NEW"),"",INDEX(B190:B$2,-1+SUMPRODUCT(MAX(ROW(E190:E$2)*(E191=E190:E$2)))))</f>
        <v> </v>
      </c>
      <c r="J191" s="26" t="str">
        <f>IF(OR(E191="",E191="!!!",F191="NEW"),"",COUNTBLANK(OFFSET(A$1,,,SUMPRODUCT(MAX(ROW(E$2:E191)*(E191=E$2:E191)))))-COUNTBLANK(OFFSET(A$1,,,SUMPRODUCT(MAX(ROW(E$1:E190)*(E2=E$1:E190))))))</f>
        <v> </v>
      </c>
      <c r="K191" s="26" t="str">
        <f>IF(OR(E191="",E191="!!!",F191="NEW"),"",INDEX(J$1:J190,SUMPRODUCT(MAX(ROW(E$1:E190)*(E191=E$1:E190)))))</f>
        <v> </v>
      </c>
      <c r="L191" s="27"/>
    </row>
    <row r="192" spans="1:12">
      <c r="A192" s="20" t="s">
        <v>865</v>
      </c>
      <c r="E192" s="22">
        <f>IF(D192="?OLD","!!!","")</f>
        <v/>
      </c>
      <c r="F192" s="23" t="str">
        <f>IF(OR(E192="",E192="!!!"),"",IF(NOT(ISNA(VLOOKUP(E192,E$1:E191,1,FALSE()))),"OLD",IF(AND(E192&lt;&gt;"",E192&lt;&gt;"!!!"),"NEW","")))</f>
        <v> </v>
      </c>
      <c r="G192" s="24" t="str">
        <f>IF(OR(E192="",E192="!!!"),"",IF(OR(J192=0,AND(J192=1,K192=1),AND(J192=1,I192="SBJ"),AND(J192=1,I192=0)),"?IN_FOCUS",IF(J192&lt;=2,"?ACTIVATED",IF(J192&lt;&gt;"","?FAMILIAR",IF(F192="NEW",IF(ISNA(VLOOKUP(E192,#REF!,1,FALSE())),"?TYPE_IDENTIFIABLE","?REFERENTIAL"),"_")))))</f>
        <v> </v>
      </c>
      <c r="H192" s="25" t="str">
        <f>IF(J192&lt;&gt;1,"",IF(I192="SBJ","CB","?"))</f>
        <v> </v>
      </c>
      <c r="I192" s="26" t="str">
        <f>IF(OR(E192="",E192="!!!",F192="NEW"),"",INDEX(B191:B$2,-1+SUMPRODUCT(MAX(ROW(E191:E$2)*(E192=E191:E$2)))))</f>
        <v> </v>
      </c>
      <c r="J192" s="26" t="str">
        <f>IF(OR(E192="",E192="!!!",F192="NEW"),"",COUNTBLANK(OFFSET(A$1,,,SUMPRODUCT(MAX(ROW(E$2:E192)*(E192=E$2:E192)))))-COUNTBLANK(OFFSET(A$1,,,SUMPRODUCT(MAX(ROW(E$1:E191)*(E2=E$1:E191))))))</f>
        <v> </v>
      </c>
      <c r="K192" s="26" t="str">
        <f>IF(OR(E192="",E192="!!!",F192="NEW"),"",INDEX(J$1:J191,SUMPRODUCT(MAX(ROW(E$1:E191)*(E192=E$1:E191)))))</f>
        <v> </v>
      </c>
      <c r="L192" s="27"/>
    </row>
    <row r="193" spans="1:12">
      <c r="A193" s="20" t="s">
        <v>866</v>
      </c>
      <c r="E193" s="22">
        <f>IF(D193="?OLD","!!!","")</f>
        <v/>
      </c>
      <c r="F193" s="23" t="str">
        <f>IF(OR(E193="",E193="!!!"),"",IF(NOT(ISNA(VLOOKUP(E193,E$1:E192,1,FALSE()))),"OLD",IF(AND(E193&lt;&gt;"",E193&lt;&gt;"!!!"),"NEW","")))</f>
        <v> </v>
      </c>
      <c r="G193" s="24" t="str">
        <f>IF(OR(E193="",E193="!!!"),"",IF(OR(J193=0,AND(J193=1,K193=1),AND(J193=1,I193="SBJ"),AND(J193=1,I193=0)),"?IN_FOCUS",IF(J193&lt;=2,"?ACTIVATED",IF(J193&lt;&gt;"","?FAMILIAR",IF(F193="NEW",IF(ISNA(VLOOKUP(E193,#REF!,1,FALSE())),"?TYPE_IDENTIFIABLE","?REFERENTIAL"),"_")))))</f>
        <v> </v>
      </c>
      <c r="H193" s="25" t="str">
        <f>IF(J193&lt;&gt;1,"",IF(I193="SBJ","CB","?"))</f>
        <v> </v>
      </c>
      <c r="I193" s="26" t="str">
        <f>IF(OR(E193="",E193="!!!",F193="NEW"),"",INDEX(B192:B$2,-1+SUMPRODUCT(MAX(ROW(E192:E$2)*(E193=E192:E$2)))))</f>
        <v> </v>
      </c>
      <c r="J193" s="26" t="str">
        <f>IF(OR(E193="",E193="!!!",F193="NEW"),"",COUNTBLANK(OFFSET(A$1,,,SUMPRODUCT(MAX(ROW(E$2:E193)*(E193=E$2:E193)))))-COUNTBLANK(OFFSET(A$1,,,SUMPRODUCT(MAX(ROW(E$1:E192)*(E2=E$1:E192))))))</f>
        <v> </v>
      </c>
      <c r="K193" s="26" t="str">
        <f>IF(OR(E193="",E193="!!!",F193="NEW"),"",INDEX(J$1:J192,SUMPRODUCT(MAX(ROW(E$1:E192)*(E193=E$1:E192)))))</f>
        <v> </v>
      </c>
      <c r="L193" s="27"/>
    </row>
    <row r="194" spans="1:12">
      <c r="A194" s="20" t="s">
        <v>773</v>
      </c>
      <c r="E194" s="22">
        <f>IF(D194="?OLD","!!!","")</f>
        <v/>
      </c>
      <c r="F194" s="23" t="str">
        <f>IF(OR(E194="",E194="!!!"),"",IF(NOT(ISNA(VLOOKUP(E194,E$1:E193,1,FALSE()))),"OLD",IF(AND(E194&lt;&gt;"",E194&lt;&gt;"!!!"),"NEW","")))</f>
        <v> </v>
      </c>
      <c r="G194" s="24" t="str">
        <f>IF(OR(E194="",E194="!!!"),"",IF(OR(J194=0,AND(J194=1,K194=1),AND(J194=1,I194="SBJ"),AND(J194=1,I194=0)),"?IN_FOCUS",IF(J194&lt;=2,"?ACTIVATED",IF(J194&lt;&gt;"","?FAMILIAR",IF(F194="NEW",IF(ISNA(VLOOKUP(E194,#REF!,1,FALSE())),"?TYPE_IDENTIFIABLE","?REFERENTIAL"),"_")))))</f>
        <v> </v>
      </c>
      <c r="H194" s="25" t="str">
        <f>IF(J194&lt;&gt;1,"",IF(I194="SBJ","CB","?"))</f>
        <v> </v>
      </c>
      <c r="I194" s="26" t="str">
        <f>IF(OR(E194="",E194="!!!",F194="NEW"),"",INDEX(B193:B$2,-1+SUMPRODUCT(MAX(ROW(E193:E$2)*(E194=E193:E$2)))))</f>
        <v> </v>
      </c>
      <c r="J194" s="26" t="str">
        <f>IF(OR(E194="",E194="!!!",F194="NEW"),"",COUNTBLANK(OFFSET(A$1,,,SUMPRODUCT(MAX(ROW(E$2:E194)*(E194=E$2:E194)))))-COUNTBLANK(OFFSET(A$1,,,SUMPRODUCT(MAX(ROW(E$1:E193)*(E2=E$1:E193))))))</f>
        <v> </v>
      </c>
      <c r="K194" s="26" t="str">
        <f>IF(OR(E194="",E194="!!!",F194="NEW"),"",INDEX(J$1:J193,SUMPRODUCT(MAX(ROW(E$1:E193)*(E194=E$1:E193)))))</f>
        <v> </v>
      </c>
      <c r="L194" s="27"/>
    </row>
    <row r="195" spans="1:12">
      <c r="A195" s="20" t="s">
        <v>867</v>
      </c>
      <c r="B195" s="21" t="s">
        <v>739</v>
      </c>
      <c r="C195" s="21" t="s">
        <v>746</v>
      </c>
      <c r="D195" s="21" t="s">
        <v>730</v>
      </c>
      <c r="E195" s="22">
        <f>IF(D195="?OLD","!!!","")</f>
        <v/>
      </c>
      <c r="F195" s="23" t="str">
        <f>IF(OR(E195="",E195="!!!"),"",IF(NOT(ISNA(VLOOKUP(E195,E$1:E194,1,FALSE()))),"OLD",IF(AND(E195&lt;&gt;"",E195&lt;&gt;"!!!"),"NEW","")))</f>
        <v> </v>
      </c>
      <c r="G195" s="24" t="str">
        <f>IF(OR(E195="",E195="!!!"),"",IF(OR(J195=0,AND(J195=1,K195=1),AND(J195=1,I195="SBJ"),AND(J195=1,I195=0)),"?IN_FOCUS",IF(J195&lt;=2,"?ACTIVATED",IF(J195&lt;&gt;"","?FAMILIAR",IF(F195="NEW",IF(ISNA(VLOOKUP(E195,#REF!,1,FALSE())),"?TYPE_IDENTIFIABLE","?REFERENTIAL"),"_")))))</f>
        <v> </v>
      </c>
      <c r="H195" s="25" t="str">
        <f>IF(J195&lt;&gt;1,"",IF(I195="SBJ","CB","?"))</f>
        <v> </v>
      </c>
      <c r="I195" s="26" t="str">
        <f>IF(OR(E195="",E195="!!!",F195="NEW"),"",INDEX(B194:B$2,-1+SUMPRODUCT(MAX(ROW(E194:E$2)*(E195=E194:E$2)))))</f>
        <v> </v>
      </c>
      <c r="J195" s="26" t="str">
        <f>IF(OR(E195="",E195="!!!",F195="NEW"),"",COUNTBLANK(OFFSET(A$1,,,SUMPRODUCT(MAX(ROW(E$2:E195)*(E195=E$2:E195)))))-COUNTBLANK(OFFSET(A$1,,,SUMPRODUCT(MAX(ROW(E$1:E194)*(E2=E$1:E194))))))</f>
        <v> </v>
      </c>
      <c r="K195" s="26" t="str">
        <f>IF(OR(E195="",E195="!!!",F195="NEW"),"",INDEX(J$1:J194,SUMPRODUCT(MAX(ROW(E$1:E194)*(E195=E$1:E194)))))</f>
        <v> </v>
      </c>
      <c r="L195" s="27"/>
    </row>
    <row r="196" spans="1:12">
      <c r="A196" s="20" t="s">
        <v>868</v>
      </c>
      <c r="B196" s="21" t="s">
        <v>736</v>
      </c>
      <c r="C196" s="21" t="s">
        <v>748</v>
      </c>
      <c r="E196" s="22">
        <f>IF(D196="?OLD","!!!","")</f>
        <v/>
      </c>
      <c r="F196" s="23" t="str">
        <f>IF(OR(E196="",E196="!!!"),"",IF(NOT(ISNA(VLOOKUP(E196,E$1:E195,1,FALSE()))),"OLD",IF(AND(E196&lt;&gt;"",E196&lt;&gt;"!!!"),"NEW","")))</f>
        <v> </v>
      </c>
      <c r="G196" s="24" t="str">
        <f>IF(OR(E196="",E196="!!!"),"",IF(OR(J196=0,AND(J196=1,K196=1),AND(J196=1,I196="SBJ"),AND(J196=1,I196=0)),"?IN_FOCUS",IF(J196&lt;=2,"?ACTIVATED",IF(J196&lt;&gt;"","?FAMILIAR",IF(F196="NEW",IF(ISNA(VLOOKUP(E196,#REF!,1,FALSE())),"?TYPE_IDENTIFIABLE","?REFERENTIAL"),"_")))))</f>
        <v> </v>
      </c>
      <c r="H196" s="25" t="str">
        <f>IF(J196&lt;&gt;1,"",IF(I196="SBJ","CB","?"))</f>
        <v> </v>
      </c>
      <c r="I196" s="26" t="str">
        <f>IF(OR(E196="",E196="!!!",F196="NEW"),"",INDEX(B195:B$2,-1+SUMPRODUCT(MAX(ROW(E195:E$2)*(E196=E195:E$2)))))</f>
        <v> </v>
      </c>
      <c r="J196" s="26" t="str">
        <f>IF(OR(E196="",E196="!!!",F196="NEW"),"",COUNTBLANK(OFFSET(A$1,,,SUMPRODUCT(MAX(ROW(E$2:E196)*(E196=E$2:E196)))))-COUNTBLANK(OFFSET(A$1,,,SUMPRODUCT(MAX(ROW(E$1:E195)*(E2=E$1:E195))))))</f>
        <v> </v>
      </c>
      <c r="K196" s="26" t="str">
        <f>IF(OR(E196="",E196="!!!",F196="NEW"),"",INDEX(J$1:J195,SUMPRODUCT(MAX(ROW(E$1:E195)*(E196=E$1:E195)))))</f>
        <v> </v>
      </c>
      <c r="L196" s="27"/>
    </row>
    <row r="197" spans="1:12">
      <c r="A197" s="20" t="s">
        <v>732</v>
      </c>
      <c r="E197" s="22">
        <f>IF(D197="?OLD","!!!","")</f>
        <v/>
      </c>
      <c r="F197" s="23" t="str">
        <f>IF(OR(E197="",E197="!!!"),"",IF(NOT(ISNA(VLOOKUP(E197,E$1:E196,1,FALSE()))),"OLD",IF(AND(E197&lt;&gt;"",E197&lt;&gt;"!!!"),"NEW","")))</f>
        <v> </v>
      </c>
      <c r="G197" s="24" t="str">
        <f>IF(OR(E197="",E197="!!!"),"",IF(OR(J197=0,AND(J197=1,K197=1),AND(J197=1,I197="SBJ"),AND(J197=1,I197=0)),"?IN_FOCUS",IF(J197&lt;=2,"?ACTIVATED",IF(J197&lt;&gt;"","?FAMILIAR",IF(F197="NEW",IF(ISNA(VLOOKUP(E197,#REF!,1,FALSE())),"?TYPE_IDENTIFIABLE","?REFERENTIAL"),"_")))))</f>
        <v> </v>
      </c>
      <c r="H197" s="25" t="str">
        <f>IF(J197&lt;&gt;1,"",IF(I197="SBJ","CB","?"))</f>
        <v> </v>
      </c>
      <c r="I197" s="26" t="str">
        <f>IF(OR(E197="",E197="!!!",F197="NEW"),"",INDEX(B196:B$2,-1+SUMPRODUCT(MAX(ROW(E196:E$2)*(E197=E196:E$2)))))</f>
        <v> </v>
      </c>
      <c r="J197" s="26" t="str">
        <f>IF(OR(E197="",E197="!!!",F197="NEW"),"",COUNTBLANK(OFFSET(A$1,,,SUMPRODUCT(MAX(ROW(E$2:E197)*(E197=E$2:E197)))))-COUNTBLANK(OFFSET(A$1,,,SUMPRODUCT(MAX(ROW(E$1:E196)*(E2=E$1:E196))))))</f>
        <v> </v>
      </c>
      <c r="K197" s="26" t="str">
        <f>IF(OR(E197="",E197="!!!",F197="NEW"),"",INDEX(J$1:J196,SUMPRODUCT(MAX(ROW(E$1:E196)*(E197=E$1:E196)))))</f>
        <v> </v>
      </c>
      <c r="L197" s="27"/>
    </row>
    <row r="198" spans="1:12">
      <c r="A198" s="20" t="s">
        <v>869</v>
      </c>
      <c r="E198" s="22">
        <f>IF(D198="?OLD","!!!","")</f>
        <v/>
      </c>
      <c r="F198" s="23" t="str">
        <f>IF(OR(E198="",E198="!!!"),"",IF(NOT(ISNA(VLOOKUP(E198,E$1:E197,1,FALSE()))),"OLD",IF(AND(E198&lt;&gt;"",E198&lt;&gt;"!!!"),"NEW","")))</f>
        <v> </v>
      </c>
      <c r="G198" s="24" t="str">
        <f>IF(OR(E198="",E198="!!!"),"",IF(OR(J198=0,AND(J198=1,K198=1),AND(J198=1,I198="SBJ"),AND(J198=1,I198=0)),"?IN_FOCUS",IF(J198&lt;=2,"?ACTIVATED",IF(J198&lt;&gt;"","?FAMILIAR",IF(F198="NEW",IF(ISNA(VLOOKUP(E198,#REF!,1,FALSE())),"?TYPE_IDENTIFIABLE","?REFERENTIAL"),"_")))))</f>
        <v> </v>
      </c>
      <c r="H198" s="25" t="str">
        <f>IF(J198&lt;&gt;1,"",IF(I198="SBJ","CB","?"))</f>
        <v> </v>
      </c>
      <c r="I198" s="26" t="str">
        <f>IF(OR(E198="",E198="!!!",F198="NEW"),"",INDEX(B197:B$2,-1+SUMPRODUCT(MAX(ROW(E197:E$2)*(E198=E197:E$2)))))</f>
        <v> </v>
      </c>
      <c r="J198" s="26" t="str">
        <f>IF(OR(E198="",E198="!!!",F198="NEW"),"",COUNTBLANK(OFFSET(A$1,,,SUMPRODUCT(MAX(ROW(E$2:E198)*(E198=E$2:E198)))))-COUNTBLANK(OFFSET(A$1,,,SUMPRODUCT(MAX(ROW(E$1:E197)*(E2=E$1:E197))))))</f>
        <v> </v>
      </c>
      <c r="K198" s="26" t="str">
        <f>IF(OR(E198="",E198="!!!",F198="NEW"),"",INDEX(J$1:J197,SUMPRODUCT(MAX(ROW(E$1:E197)*(E198=E$1:E197)))))</f>
        <v> </v>
      </c>
      <c r="L198" s="27"/>
    </row>
    <row r="199" spans="1:12">
      <c r="A199" s="20" t="s">
        <v>870</v>
      </c>
      <c r="E199" s="22">
        <f>IF(D199="?OLD","!!!","")</f>
        <v/>
      </c>
      <c r="F199" s="23" t="str">
        <f>IF(OR(E199="",E199="!!!"),"",IF(NOT(ISNA(VLOOKUP(E199,E$1:E198,1,FALSE()))),"OLD",IF(AND(E199&lt;&gt;"",E199&lt;&gt;"!!!"),"NEW","")))</f>
        <v> </v>
      </c>
      <c r="G199" s="24" t="str">
        <f>IF(OR(E199="",E199="!!!"),"",IF(OR(J199=0,AND(J199=1,K199=1),AND(J199=1,I199="SBJ"),AND(J199=1,I199=0)),"?IN_FOCUS",IF(J199&lt;=2,"?ACTIVATED",IF(J199&lt;&gt;"","?FAMILIAR",IF(F199="NEW",IF(ISNA(VLOOKUP(E199,#REF!,1,FALSE())),"?TYPE_IDENTIFIABLE","?REFERENTIAL"),"_")))))</f>
        <v> </v>
      </c>
      <c r="H199" s="25" t="str">
        <f>IF(J199&lt;&gt;1,"",IF(I199="SBJ","CB","?"))</f>
        <v> </v>
      </c>
      <c r="I199" s="26" t="str">
        <f>IF(OR(E199="",E199="!!!",F199="NEW"),"",INDEX(B198:B$2,-1+SUMPRODUCT(MAX(ROW(E198:E$2)*(E199=E198:E$2)))))</f>
        <v> </v>
      </c>
      <c r="J199" s="26" t="str">
        <f>IF(OR(E199="",E199="!!!",F199="NEW"),"",COUNTBLANK(OFFSET(A$1,,,SUMPRODUCT(MAX(ROW(E$2:E199)*(E199=E$2:E199)))))-COUNTBLANK(OFFSET(A$1,,,SUMPRODUCT(MAX(ROW(E$1:E198)*(E2=E$1:E198))))))</f>
        <v> </v>
      </c>
      <c r="K199" s="26" t="str">
        <f>IF(OR(E199="",E199="!!!",F199="NEW"),"",INDEX(J$1:J198,SUMPRODUCT(MAX(ROW(E$1:E198)*(E199=E$1:E198)))))</f>
        <v> </v>
      </c>
      <c r="L199" s="27"/>
    </row>
    <row r="200" spans="1:12">
      <c r="A200" s="20" t="s">
        <v>871</v>
      </c>
      <c r="B200" s="21" t="s">
        <v>736</v>
      </c>
      <c r="C200" s="21" t="s">
        <v>852</v>
      </c>
      <c r="E200" s="22">
        <f>IF(D200="?OLD","!!!","")</f>
        <v/>
      </c>
      <c r="F200" s="23" t="str">
        <f>IF(OR(E200="",E200="!!!"),"",IF(NOT(ISNA(VLOOKUP(E200,E$1:E199,1,FALSE()))),"OLD",IF(AND(E200&lt;&gt;"",E200&lt;&gt;"!!!"),"NEW","")))</f>
        <v> </v>
      </c>
      <c r="G200" s="24" t="str">
        <f>IF(OR(E200="",E200="!!!"),"",IF(OR(J200=0,AND(J200=1,K200=1),AND(J200=1,I200="SBJ"),AND(J200=1,I200=0)),"?IN_FOCUS",IF(J200&lt;=2,"?ACTIVATED",IF(J200&lt;&gt;"","?FAMILIAR",IF(F200="NEW",IF(ISNA(VLOOKUP(E200,#REF!,1,FALSE())),"?TYPE_IDENTIFIABLE","?REFERENTIAL"),"_")))))</f>
        <v> </v>
      </c>
      <c r="H200" s="25" t="str">
        <f>IF(J200&lt;&gt;1,"",IF(I200="SBJ","CB","?"))</f>
        <v> </v>
      </c>
      <c r="I200" s="26" t="str">
        <f>IF(OR(E200="",E200="!!!",F200="NEW"),"",INDEX(B199:B$2,-1+SUMPRODUCT(MAX(ROW(E199:E$2)*(E200=E199:E$2)))))</f>
        <v> </v>
      </c>
      <c r="J200" s="26" t="str">
        <f>IF(OR(E200="",E200="!!!",F200="NEW"),"",COUNTBLANK(OFFSET(A$1,,,SUMPRODUCT(MAX(ROW(E$2:E200)*(E200=E$2:E200)))))-COUNTBLANK(OFFSET(A$1,,,SUMPRODUCT(MAX(ROW(E$1:E199)*(E2=E$1:E199))))))</f>
        <v> </v>
      </c>
      <c r="K200" s="26" t="str">
        <f>IF(OR(E200="",E200="!!!",F200="NEW"),"",INDEX(J$1:J199,SUMPRODUCT(MAX(ROW(E$1:E199)*(E200=E$1:E199)))))</f>
        <v> </v>
      </c>
      <c r="L200" s="27"/>
    </row>
    <row r="201" spans="1:12">
      <c r="A201" s="20" t="s">
        <v>759</v>
      </c>
      <c r="E201" s="22">
        <f>IF(D201="?OLD","!!!","")</f>
        <v/>
      </c>
      <c r="F201" s="23" t="str">
        <f>IF(OR(E201="",E201="!!!"),"",IF(NOT(ISNA(VLOOKUP(E201,E$1:E200,1,FALSE()))),"OLD",IF(AND(E201&lt;&gt;"",E201&lt;&gt;"!!!"),"NEW","")))</f>
        <v> </v>
      </c>
      <c r="G201" s="24" t="str">
        <f>IF(OR(E201="",E201="!!!"),"",IF(OR(J201=0,AND(J201=1,K201=1),AND(J201=1,I201="SBJ"),AND(J201=1,I201=0)),"?IN_FOCUS",IF(J201&lt;=2,"?ACTIVATED",IF(J201&lt;&gt;"","?FAMILIAR",IF(F201="NEW",IF(ISNA(VLOOKUP(E201,#REF!,1,FALSE())),"?TYPE_IDENTIFIABLE","?REFERENTIAL"),"_")))))</f>
        <v> </v>
      </c>
      <c r="H201" s="25" t="str">
        <f>IF(J201&lt;&gt;1,"",IF(I201="SBJ","CB","?"))</f>
        <v> </v>
      </c>
      <c r="I201" s="26" t="str">
        <f>IF(OR(E201="",E201="!!!",F201="NEW"),"",INDEX(B200:B$2,-1+SUMPRODUCT(MAX(ROW(E200:E$2)*(E201=E200:E$2)))))</f>
        <v> </v>
      </c>
      <c r="J201" s="26" t="str">
        <f>IF(OR(E201="",E201="!!!",F201="NEW"),"",COUNTBLANK(OFFSET(A$1,,,SUMPRODUCT(MAX(ROW(E$2:E201)*(E201=E$2:E201)))))-COUNTBLANK(OFFSET(A$1,,,SUMPRODUCT(MAX(ROW(E$1:E200)*(E2=E$1:E200))))))</f>
        <v> </v>
      </c>
      <c r="K201" s="26" t="str">
        <f>IF(OR(E201="",E201="!!!",F201="NEW"),"",INDEX(J$1:J200,SUMPRODUCT(MAX(ROW(E$1:E200)*(E201=E$1:E200)))))</f>
        <v> </v>
      </c>
      <c r="L201" s="27"/>
    </row>
    <row r="202" spans="1:12">
      <c r="A202" s="20" t="s">
        <v>813</v>
      </c>
      <c r="B202" s="21" t="s">
        <v>788</v>
      </c>
      <c r="E202" s="22">
        <f>IF(D202="?OLD","!!!","")</f>
        <v/>
      </c>
      <c r="F202" s="23" t="str">
        <f>IF(OR(E202="",E202="!!!"),"",IF(NOT(ISNA(VLOOKUP(E202,E$1:E201,1,FALSE()))),"OLD",IF(AND(E202&lt;&gt;"",E202&lt;&gt;"!!!"),"NEW","")))</f>
        <v> </v>
      </c>
      <c r="G202" s="24" t="str">
        <f>IF(OR(E202="",E202="!!!"),"",IF(OR(J202=0,AND(J202=1,K202=1),AND(J202=1,I202="SBJ"),AND(J202=1,I202=0)),"?IN_FOCUS",IF(J202&lt;=2,"?ACTIVATED",IF(J202&lt;&gt;"","?FAMILIAR",IF(F202="NEW",IF(ISNA(VLOOKUP(E202,#REF!,1,FALSE())),"?TYPE_IDENTIFIABLE","?REFERENTIAL"),"_")))))</f>
        <v> </v>
      </c>
      <c r="H202" s="25" t="str">
        <f>IF(J202&lt;&gt;1,"",IF(I202="SBJ","CB","?"))</f>
        <v> </v>
      </c>
      <c r="I202" s="26" t="str">
        <f>IF(OR(E202="",E202="!!!",F202="NEW"),"",INDEX(B201:B$2,-1+SUMPRODUCT(MAX(ROW(E201:E$2)*(E202=E201:E$2)))))</f>
        <v> </v>
      </c>
      <c r="J202" s="26" t="str">
        <f>IF(OR(E202="",E202="!!!",F202="NEW"),"",COUNTBLANK(OFFSET(A$1,,,SUMPRODUCT(MAX(ROW(E$2:E202)*(E202=E$2:E202)))))-COUNTBLANK(OFFSET(A$1,,,SUMPRODUCT(MAX(ROW(E$1:E201)*(E2=E$1:E201))))))</f>
        <v> </v>
      </c>
      <c r="K202" s="26" t="str">
        <f>IF(OR(E202="",E202="!!!",F202="NEW"),"",INDEX(J$1:J201,SUMPRODUCT(MAX(ROW(E$1:E201)*(E202=E$1:E201)))))</f>
        <v> </v>
      </c>
      <c r="L202" s="27"/>
    </row>
    <row r="203" spans="1:12">
      <c r="A203" s="20" t="s">
        <v>872</v>
      </c>
      <c r="B203" s="21" t="s">
        <v>780</v>
      </c>
      <c r="C203" s="21" t="s">
        <v>789</v>
      </c>
      <c r="D203" s="21" t="s">
        <v>730</v>
      </c>
      <c r="E203" s="22">
        <f>IF(D203="?OLD","!!!","")</f>
        <v/>
      </c>
      <c r="F203" s="23" t="str">
        <f>IF(OR(E203="",E203="!!!"),"",IF(NOT(ISNA(VLOOKUP(E203,E$1:E202,1,FALSE()))),"OLD",IF(AND(E203&lt;&gt;"",E203&lt;&gt;"!!!"),"NEW","")))</f>
        <v> </v>
      </c>
      <c r="G203" s="24" t="str">
        <f>IF(OR(E203="",E203="!!!"),"",IF(OR(J203=0,AND(J203=1,K203=1),AND(J203=1,I203="SBJ"),AND(J203=1,I203=0)),"?IN_FOCUS",IF(J203&lt;=2,"?ACTIVATED",IF(J203&lt;&gt;"","?FAMILIAR",IF(F203="NEW",IF(ISNA(VLOOKUP(E203,#REF!,1,FALSE())),"?TYPE_IDENTIFIABLE","?REFERENTIAL"),"_")))))</f>
        <v> </v>
      </c>
      <c r="H203" s="25" t="str">
        <f>IF(J203&lt;&gt;1,"",IF(I203="SBJ","CB","?"))</f>
        <v> </v>
      </c>
      <c r="I203" s="26" t="str">
        <f>IF(OR(E203="",E203="!!!",F203="NEW"),"",INDEX(B202:B$2,-1+SUMPRODUCT(MAX(ROW(E202:E$2)*(E203=E202:E$2)))))</f>
        <v> </v>
      </c>
      <c r="J203" s="26" t="str">
        <f>IF(OR(E203="",E203="!!!",F203="NEW"),"",COUNTBLANK(OFFSET(A$1,,,SUMPRODUCT(MAX(ROW(E$2:E203)*(E203=E$2:E203)))))-COUNTBLANK(OFFSET(A$1,,,SUMPRODUCT(MAX(ROW(E$1:E202)*(E2=E$1:E202))))))</f>
        <v> </v>
      </c>
      <c r="K203" s="26" t="str">
        <f>IF(OR(E203="",E203="!!!",F203="NEW"),"",INDEX(J$1:J202,SUMPRODUCT(MAX(ROW(E$1:E202)*(E203=E$1:E202)))))</f>
        <v> </v>
      </c>
      <c r="L203" s="27"/>
    </row>
    <row r="204" spans="1:12">
      <c r="A204" s="20" t="s">
        <v>873</v>
      </c>
      <c r="B204" s="21" t="s">
        <v>843</v>
      </c>
      <c r="C204" s="21" t="s">
        <v>748</v>
      </c>
      <c r="E204" s="22">
        <f>IF(D204="?OLD","!!!","")</f>
        <v/>
      </c>
      <c r="F204" s="23" t="str">
        <f>IF(OR(E204="",E204="!!!"),"",IF(NOT(ISNA(VLOOKUP(E204,E$1:E203,1,FALSE()))),"OLD",IF(AND(E204&lt;&gt;"",E204&lt;&gt;"!!!"),"NEW","")))</f>
        <v> </v>
      </c>
      <c r="G204" s="24" t="str">
        <f>IF(OR(E204="",E204="!!!"),"",IF(OR(J204=0,AND(J204=1,K204=1),AND(J204=1,I204="SBJ"),AND(J204=1,I204=0)),"?IN_FOCUS",IF(J204&lt;=2,"?ACTIVATED",IF(J204&lt;&gt;"","?FAMILIAR",IF(F204="NEW",IF(ISNA(VLOOKUP(E204,#REF!,1,FALSE())),"?TYPE_IDENTIFIABLE","?REFERENTIAL"),"_")))))</f>
        <v> </v>
      </c>
      <c r="H204" s="25" t="str">
        <f>IF(J204&lt;&gt;1,"",IF(I204="SBJ","CB","?"))</f>
        <v> </v>
      </c>
      <c r="I204" s="26" t="str">
        <f>IF(OR(E204="",E204="!!!",F204="NEW"),"",INDEX(B203:B$2,-1+SUMPRODUCT(MAX(ROW(E203:E$2)*(E204=E203:E$2)))))</f>
        <v> </v>
      </c>
      <c r="J204" s="26" t="str">
        <f>IF(OR(E204="",E204="!!!",F204="NEW"),"",COUNTBLANK(OFFSET(A$1,,,SUMPRODUCT(MAX(ROW(E$2:E204)*(E204=E$2:E204)))))-COUNTBLANK(OFFSET(A$1,,,SUMPRODUCT(MAX(ROW(E$1:E203)*(E2=E$1:E203))))))</f>
        <v> </v>
      </c>
      <c r="K204" s="26" t="str">
        <f>IF(OR(E204="",E204="!!!",F204="NEW"),"",INDEX(J$1:J203,SUMPRODUCT(MAX(ROW(E$1:E203)*(E204=E$1:E203)))))</f>
        <v> </v>
      </c>
      <c r="L204" s="27"/>
    </row>
    <row r="205" spans="1:12">
      <c r="A205" s="20" t="s">
        <v>785</v>
      </c>
      <c r="E205" s="22">
        <f>IF(D205="?OLD","!!!","")</f>
        <v/>
      </c>
      <c r="F205" s="23" t="str">
        <f>IF(OR(E205="",E205="!!!"),"",IF(NOT(ISNA(VLOOKUP(E205,E$1:E204,1,FALSE()))),"OLD",IF(AND(E205&lt;&gt;"",E205&lt;&gt;"!!!"),"NEW","")))</f>
        <v> </v>
      </c>
      <c r="G205" s="24" t="str">
        <f>IF(OR(E205="",E205="!!!"),"",IF(OR(J205=0,AND(J205=1,K205=1),AND(J205=1,I205="SBJ"),AND(J205=1,I205=0)),"?IN_FOCUS",IF(J205&lt;=2,"?ACTIVATED",IF(J205&lt;&gt;"","?FAMILIAR",IF(F205="NEW",IF(ISNA(VLOOKUP(E205,#REF!,1,FALSE())),"?TYPE_IDENTIFIABLE","?REFERENTIAL"),"_")))))</f>
        <v> </v>
      </c>
      <c r="H205" s="25" t="str">
        <f>IF(J205&lt;&gt;1,"",IF(I205="SBJ","CB","?"))</f>
        <v> </v>
      </c>
      <c r="I205" s="26" t="str">
        <f>IF(OR(E205="",E205="!!!",F205="NEW"),"",INDEX(B204:B$2,-1+SUMPRODUCT(MAX(ROW(E204:E$2)*(E205=E204:E$2)))))</f>
        <v> </v>
      </c>
      <c r="J205" s="26" t="str">
        <f>IF(OR(E205="",E205="!!!",F205="NEW"),"",COUNTBLANK(OFFSET(A$1,,,SUMPRODUCT(MAX(ROW(E$2:E205)*(E205=E$2:E205)))))-COUNTBLANK(OFFSET(A$1,,,SUMPRODUCT(MAX(ROW(E$1:E204)*(E2=E$1:E204))))))</f>
        <v> </v>
      </c>
      <c r="K205" s="26" t="str">
        <f>IF(OR(E205="",E205="!!!",F205="NEW"),"",INDEX(J$1:J204,SUMPRODUCT(MAX(ROW(E$1:E204)*(E205=E$1:E204)))))</f>
        <v> </v>
      </c>
      <c r="L205" s="27"/>
    </row>
    <row r="206" spans="1:12">
      <c r="A206" s="20" t="s">
        <v>874</v>
      </c>
      <c r="B206" s="21" t="s">
        <v>783</v>
      </c>
      <c r="C206" s="21" t="s">
        <v>748</v>
      </c>
      <c r="E206" s="22">
        <f>IF(D206="?OLD","!!!","")</f>
        <v/>
      </c>
      <c r="F206" s="23" t="str">
        <f>IF(OR(E206="",E206="!!!"),"",IF(NOT(ISNA(VLOOKUP(E206,E$1:E205,1,FALSE()))),"OLD",IF(AND(E206&lt;&gt;"",E206&lt;&gt;"!!!"),"NEW","")))</f>
        <v> </v>
      </c>
      <c r="G206" s="24" t="str">
        <f>IF(OR(E206="",E206="!!!"),"",IF(OR(J206=0,AND(J206=1,K206=1),AND(J206=1,I206="SBJ"),AND(J206=1,I206=0)),"?IN_FOCUS",IF(J206&lt;=2,"?ACTIVATED",IF(J206&lt;&gt;"","?FAMILIAR",IF(F206="NEW",IF(ISNA(VLOOKUP(E206,#REF!,1,FALSE())),"?TYPE_IDENTIFIABLE","?REFERENTIAL"),"_")))))</f>
        <v> </v>
      </c>
      <c r="H206" s="25" t="str">
        <f>IF(J206&lt;&gt;1,"",IF(I206="SBJ","CB","?"))</f>
        <v> </v>
      </c>
      <c r="I206" s="26" t="str">
        <f>IF(OR(E206="",E206="!!!",F206="NEW"),"",INDEX(B205:B$2,-1+SUMPRODUCT(MAX(ROW(E205:E$2)*(E206=E205:E$2)))))</f>
        <v> </v>
      </c>
      <c r="J206" s="26" t="str">
        <f>IF(OR(E206="",E206="!!!",F206="NEW"),"",COUNTBLANK(OFFSET(A$1,,,SUMPRODUCT(MAX(ROW(E$2:E206)*(E206=E$2:E206)))))-COUNTBLANK(OFFSET(A$1,,,SUMPRODUCT(MAX(ROW(E$1:E205)*(E2=E$1:E205))))))</f>
        <v> </v>
      </c>
      <c r="K206" s="26" t="str">
        <f>IF(OR(E206="",E206="!!!",F206="NEW"),"",INDEX(J$1:J205,SUMPRODUCT(MAX(ROW(E$1:E205)*(E206=E$1:E205)))))</f>
        <v> </v>
      </c>
      <c r="L206" s="27"/>
    </row>
    <row r="207" spans="1:12">
      <c r="A207" s="20" t="s">
        <v>785</v>
      </c>
      <c r="E207" s="22">
        <f>IF(D207="?OLD","!!!","")</f>
        <v/>
      </c>
      <c r="F207" s="23" t="str">
        <f>IF(OR(E207="",E207="!!!"),"",IF(NOT(ISNA(VLOOKUP(E207,E$1:E206,1,FALSE()))),"OLD",IF(AND(E207&lt;&gt;"",E207&lt;&gt;"!!!"),"NEW","")))</f>
        <v> </v>
      </c>
      <c r="G207" s="24" t="str">
        <f>IF(OR(E207="",E207="!!!"),"",IF(OR(J207=0,AND(J207=1,K207=1),AND(J207=1,I207="SBJ"),AND(J207=1,I207=0)),"?IN_FOCUS",IF(J207&lt;=2,"?ACTIVATED",IF(J207&lt;&gt;"","?FAMILIAR",IF(F207="NEW",IF(ISNA(VLOOKUP(E207,#REF!,1,FALSE())),"?TYPE_IDENTIFIABLE","?REFERENTIAL"),"_")))))</f>
        <v> </v>
      </c>
      <c r="H207" s="25" t="str">
        <f>IF(J207&lt;&gt;1,"",IF(I207="SBJ","CB","?"))</f>
        <v> </v>
      </c>
      <c r="I207" s="26" t="str">
        <f>IF(OR(E207="",E207="!!!",F207="NEW"),"",INDEX(B206:B$2,-1+SUMPRODUCT(MAX(ROW(E206:E$2)*(E207=E206:E$2)))))</f>
        <v> </v>
      </c>
      <c r="J207" s="26" t="str">
        <f>IF(OR(E207="",E207="!!!",F207="NEW"),"",COUNTBLANK(OFFSET(A$1,,,SUMPRODUCT(MAX(ROW(E$2:E207)*(E207=E$2:E207)))))-COUNTBLANK(OFFSET(A$1,,,SUMPRODUCT(MAX(ROW(E$1:E206)*(E2=E$1:E206))))))</f>
        <v> </v>
      </c>
      <c r="K207" s="26" t="str">
        <f>IF(OR(E207="",E207="!!!",F207="NEW"),"",INDEX(J$1:J206,SUMPRODUCT(MAX(ROW(E$1:E206)*(E207=E$1:E206)))))</f>
        <v> </v>
      </c>
      <c r="L207" s="27"/>
    </row>
    <row r="208" spans="1:12">
      <c r="A208" s="20" t="s">
        <v>762</v>
      </c>
      <c r="E208" s="22">
        <f>IF(D208="?OLD","!!!","")</f>
        <v/>
      </c>
      <c r="F208" s="23" t="str">
        <f>IF(OR(E208="",E208="!!!"),"",IF(NOT(ISNA(VLOOKUP(E208,E$1:E207,1,FALSE()))),"OLD",IF(AND(E208&lt;&gt;"",E208&lt;&gt;"!!!"),"NEW","")))</f>
        <v> </v>
      </c>
      <c r="G208" s="24" t="str">
        <f>IF(OR(E208="",E208="!!!"),"",IF(OR(J208=0,AND(J208=1,K208=1),AND(J208=1,I208="SBJ"),AND(J208=1,I208=0)),"?IN_FOCUS",IF(J208&lt;=2,"?ACTIVATED",IF(J208&lt;&gt;"","?FAMILIAR",IF(F208="NEW",IF(ISNA(VLOOKUP(E208,#REF!,1,FALSE())),"?TYPE_IDENTIFIABLE","?REFERENTIAL"),"_")))))</f>
        <v> </v>
      </c>
      <c r="H208" s="25" t="str">
        <f>IF(J208&lt;&gt;1,"",IF(I208="SBJ","CB","?"))</f>
        <v> </v>
      </c>
      <c r="I208" s="26" t="str">
        <f>IF(OR(E208="",E208="!!!",F208="NEW"),"",INDEX(B207:B$2,-1+SUMPRODUCT(MAX(ROW(E207:E$2)*(E208=E207:E$2)))))</f>
        <v> </v>
      </c>
      <c r="J208" s="26" t="str">
        <f>IF(OR(E208="",E208="!!!",F208="NEW"),"",COUNTBLANK(OFFSET(A$1,,,SUMPRODUCT(MAX(ROW(E$2:E208)*(E208=E$2:E208)))))-COUNTBLANK(OFFSET(A$1,,,SUMPRODUCT(MAX(ROW(E$1:E207)*(E2=E$1:E207))))))</f>
        <v> </v>
      </c>
      <c r="K208" s="26" t="str">
        <f>IF(OR(E208="",E208="!!!",F208="NEW"),"",INDEX(J$1:J207,SUMPRODUCT(MAX(ROW(E$1:E207)*(E208=E$1:E207)))))</f>
        <v> </v>
      </c>
      <c r="L208" s="27"/>
    </row>
    <row r="209" spans="1:12">
      <c r="A209" s="20" t="s">
        <v>842</v>
      </c>
      <c r="B209" s="21" t="s">
        <v>783</v>
      </c>
      <c r="C209" s="21" t="s">
        <v>737</v>
      </c>
      <c r="E209" s="22">
        <f>IF(D209="?OLD","!!!","")</f>
        <v/>
      </c>
      <c r="F209" s="23" t="str">
        <f>IF(OR(E209="",E209="!!!"),"",IF(NOT(ISNA(VLOOKUP(E209,E$1:E208,1,FALSE()))),"OLD",IF(AND(E209&lt;&gt;"",E209&lt;&gt;"!!!"),"NEW","")))</f>
        <v> </v>
      </c>
      <c r="G209" s="24" t="str">
        <f>IF(OR(E209="",E209="!!!"),"",IF(OR(J209=0,AND(J209=1,K209=1),AND(J209=1,I209="SBJ"),AND(J209=1,I209=0)),"?IN_FOCUS",IF(J209&lt;=2,"?ACTIVATED",IF(J209&lt;&gt;"","?FAMILIAR",IF(F209="NEW",IF(ISNA(VLOOKUP(E209,#REF!,1,FALSE())),"?TYPE_IDENTIFIABLE","?REFERENTIAL"),"_")))))</f>
        <v> </v>
      </c>
      <c r="H209" s="25" t="str">
        <f>IF(J209&lt;&gt;1,"",IF(I209="SBJ","CB","?"))</f>
        <v> </v>
      </c>
      <c r="I209" s="26" t="str">
        <f>IF(OR(E209="",E209="!!!",F209="NEW"),"",INDEX(B208:B$2,-1+SUMPRODUCT(MAX(ROW(E208:E$2)*(E209=E208:E$2)))))</f>
        <v> </v>
      </c>
      <c r="J209" s="26" t="str">
        <f>IF(OR(E209="",E209="!!!",F209="NEW"),"",COUNTBLANK(OFFSET(A$1,,,SUMPRODUCT(MAX(ROW(E$2:E209)*(E209=E$2:E209)))))-COUNTBLANK(OFFSET(A$1,,,SUMPRODUCT(MAX(ROW(E$1:E208)*(E2=E$1:E208))))))</f>
        <v> </v>
      </c>
      <c r="K209" s="26" t="str">
        <f>IF(OR(E209="",E209="!!!",F209="NEW"),"",INDEX(J$1:J208,SUMPRODUCT(MAX(ROW(E$1:E208)*(E209=E$1:E208)))))</f>
        <v> </v>
      </c>
      <c r="L209" s="27"/>
    </row>
    <row r="210" spans="1:12">
      <c r="A210" s="20" t="s">
        <v>875</v>
      </c>
      <c r="E210" s="22">
        <f>IF(D210="?OLD","!!!","")</f>
        <v/>
      </c>
      <c r="F210" s="23" t="str">
        <f>IF(OR(E210="",E210="!!!"),"",IF(NOT(ISNA(VLOOKUP(E210,E$1:E209,1,FALSE()))),"OLD",IF(AND(E210&lt;&gt;"",E210&lt;&gt;"!!!"),"NEW","")))</f>
        <v> </v>
      </c>
      <c r="G210" s="24" t="str">
        <f>IF(OR(E210="",E210="!!!"),"",IF(OR(J210=0,AND(J210=1,K210=1),AND(J210=1,I210="SBJ"),AND(J210=1,I210=0)),"?IN_FOCUS",IF(J210&lt;=2,"?ACTIVATED",IF(J210&lt;&gt;"","?FAMILIAR",IF(F210="NEW",IF(ISNA(VLOOKUP(E210,#REF!,1,FALSE())),"?TYPE_IDENTIFIABLE","?REFERENTIAL"),"_")))))</f>
        <v> </v>
      </c>
      <c r="H210" s="25" t="str">
        <f>IF(J210&lt;&gt;1,"",IF(I210="SBJ","CB","?"))</f>
        <v> </v>
      </c>
      <c r="I210" s="26" t="str">
        <f>IF(OR(E210="",E210="!!!",F210="NEW"),"",INDEX(B209:B$2,-1+SUMPRODUCT(MAX(ROW(E209:E$2)*(E210=E209:E$2)))))</f>
        <v> </v>
      </c>
      <c r="J210" s="26" t="str">
        <f>IF(OR(E210="",E210="!!!",F210="NEW"),"",COUNTBLANK(OFFSET(A$1,,,SUMPRODUCT(MAX(ROW(E$2:E210)*(E210=E$2:E210)))))-COUNTBLANK(OFFSET(A$1,,,SUMPRODUCT(MAX(ROW(E$1:E209)*(E2=E$1:E209))))))</f>
        <v> </v>
      </c>
      <c r="K210" s="26" t="str">
        <f>IF(OR(E210="",E210="!!!",F210="NEW"),"",INDEX(J$1:J209,SUMPRODUCT(MAX(ROW(E$1:E209)*(E210=E$1:E209)))))</f>
        <v> </v>
      </c>
      <c r="L210" s="27"/>
    </row>
    <row r="211" spans="1:12">
      <c r="A211" s="20" t="s">
        <v>876</v>
      </c>
      <c r="B211" s="21" t="s">
        <v>778</v>
      </c>
      <c r="C211" s="21" t="s">
        <v>748</v>
      </c>
      <c r="E211" s="22">
        <f>IF(D211="?OLD","!!!","")</f>
        <v/>
      </c>
      <c r="F211" s="23" t="str">
        <f>IF(OR(E211="",E211="!!!"),"",IF(NOT(ISNA(VLOOKUP(E211,E$1:E210,1,FALSE()))),"OLD",IF(AND(E211&lt;&gt;"",E211&lt;&gt;"!!!"),"NEW","")))</f>
        <v> </v>
      </c>
      <c r="G211" s="24" t="str">
        <f>IF(OR(E211="",E211="!!!"),"",IF(OR(J211=0,AND(J211=1,K211=1),AND(J211=1,I211="SBJ"),AND(J211=1,I211=0)),"?IN_FOCUS",IF(J211&lt;=2,"?ACTIVATED",IF(J211&lt;&gt;"","?FAMILIAR",IF(F211="NEW",IF(ISNA(VLOOKUP(E211,#REF!,1,FALSE())),"?TYPE_IDENTIFIABLE","?REFERENTIAL"),"_")))))</f>
        <v> </v>
      </c>
      <c r="H211" s="25" t="str">
        <f>IF(J211&lt;&gt;1,"",IF(I211="SBJ","CB","?"))</f>
        <v> </v>
      </c>
      <c r="I211" s="26" t="str">
        <f>IF(OR(E211="",E211="!!!",F211="NEW"),"",INDEX(B210:B$2,-1+SUMPRODUCT(MAX(ROW(E210:E$2)*(E211=E210:E$2)))))</f>
        <v> </v>
      </c>
      <c r="J211" s="26" t="str">
        <f>IF(OR(E211="",E211="!!!",F211="NEW"),"",COUNTBLANK(OFFSET(A$1,,,SUMPRODUCT(MAX(ROW(E$2:E211)*(E211=E$2:E211)))))-COUNTBLANK(OFFSET(A$1,,,SUMPRODUCT(MAX(ROW(E$1:E210)*(E2=E$1:E210))))))</f>
        <v> </v>
      </c>
      <c r="K211" s="26" t="str">
        <f>IF(OR(E211="",E211="!!!",F211="NEW"),"",INDEX(J$1:J210,SUMPRODUCT(MAX(ROW(E$1:E210)*(E211=E$1:E210)))))</f>
        <v> </v>
      </c>
      <c r="L211" s="27"/>
    </row>
    <row r="212" spans="1:12">
      <c r="A212" s="20" t="s">
        <v>877</v>
      </c>
      <c r="E212" s="22">
        <f>IF(D212="?OLD","!!!","")</f>
        <v/>
      </c>
      <c r="F212" s="23" t="str">
        <f>IF(OR(E212="",E212="!!!"),"",IF(NOT(ISNA(VLOOKUP(E212,E$1:E211,1,FALSE()))),"OLD",IF(AND(E212&lt;&gt;"",E212&lt;&gt;"!!!"),"NEW","")))</f>
        <v> </v>
      </c>
      <c r="G212" s="24" t="str">
        <f>IF(OR(E212="",E212="!!!"),"",IF(OR(J212=0,AND(J212=1,K212=1),AND(J212=1,I212="SBJ"),AND(J212=1,I212=0)),"?IN_FOCUS",IF(J212&lt;=2,"?ACTIVATED",IF(J212&lt;&gt;"","?FAMILIAR",IF(F212="NEW",IF(ISNA(VLOOKUP(E212,#REF!,1,FALSE())),"?TYPE_IDENTIFIABLE","?REFERENTIAL"),"_")))))</f>
        <v> </v>
      </c>
      <c r="H212" s="25" t="str">
        <f>IF(J212&lt;&gt;1,"",IF(I212="SBJ","CB","?"))</f>
        <v> </v>
      </c>
      <c r="I212" s="26" t="str">
        <f>IF(OR(E212="",E212="!!!",F212="NEW"),"",INDEX(B211:B$2,-1+SUMPRODUCT(MAX(ROW(E211:E$2)*(E212=E211:E$2)))))</f>
        <v> </v>
      </c>
      <c r="J212" s="26" t="str">
        <f>IF(OR(E212="",E212="!!!",F212="NEW"),"",COUNTBLANK(OFFSET(A$1,,,SUMPRODUCT(MAX(ROW(E$2:E212)*(E212=E$2:E212)))))-COUNTBLANK(OFFSET(A$1,,,SUMPRODUCT(MAX(ROW(E$1:E211)*(E2=E$1:E211))))))</f>
        <v> </v>
      </c>
      <c r="K212" s="26" t="str">
        <f>IF(OR(E212="",E212="!!!",F212="NEW"),"",INDEX(J$1:J211,SUMPRODUCT(MAX(ROW(E$1:E211)*(E212=E$1:E211)))))</f>
        <v> </v>
      </c>
      <c r="L212" s="27"/>
    </row>
    <row r="213" spans="1:12">
      <c r="A213" s="20" t="s">
        <v>759</v>
      </c>
      <c r="E213" s="22">
        <f>IF(D213="?OLD","!!!","")</f>
        <v/>
      </c>
      <c r="F213" s="23" t="str">
        <f>IF(OR(E213="",E213="!!!"),"",IF(NOT(ISNA(VLOOKUP(E213,E$1:E212,1,FALSE()))),"OLD",IF(AND(E213&lt;&gt;"",E213&lt;&gt;"!!!"),"NEW","")))</f>
        <v> </v>
      </c>
      <c r="G213" s="24" t="str">
        <f>IF(OR(E213="",E213="!!!"),"",IF(OR(J213=0,AND(J213=1,K213=1),AND(J213=1,I213="SBJ"),AND(J213=1,I213=0)),"?IN_FOCUS",IF(J213&lt;=2,"?ACTIVATED",IF(J213&lt;&gt;"","?FAMILIAR",IF(F213="NEW",IF(ISNA(VLOOKUP(E213,#REF!,1,FALSE())),"?TYPE_IDENTIFIABLE","?REFERENTIAL"),"_")))))</f>
        <v> </v>
      </c>
      <c r="H213" s="25" t="str">
        <f>IF(J213&lt;&gt;1,"",IF(I213="SBJ","CB","?"))</f>
        <v> </v>
      </c>
      <c r="I213" s="26" t="str">
        <f>IF(OR(E213="",E213="!!!",F213="NEW"),"",INDEX(B212:B$2,-1+SUMPRODUCT(MAX(ROW(E212:E$2)*(E213=E212:E$2)))))</f>
        <v> </v>
      </c>
      <c r="J213" s="26" t="str">
        <f>IF(OR(E213="",E213="!!!",F213="NEW"),"",COUNTBLANK(OFFSET(A$1,,,SUMPRODUCT(MAX(ROW(E$2:E213)*(E213=E$2:E213)))))-COUNTBLANK(OFFSET(A$1,,,SUMPRODUCT(MAX(ROW(E$1:E212)*(E2=E$1:E212))))))</f>
        <v> </v>
      </c>
      <c r="K213" s="26" t="str">
        <f>IF(OR(E213="",E213="!!!",F213="NEW"),"",INDEX(J$1:J212,SUMPRODUCT(MAX(ROW(E$1:E212)*(E213=E$1:E212)))))</f>
        <v> </v>
      </c>
      <c r="L213" s="27"/>
    </row>
    <row r="214" spans="1:12">
      <c r="A214" s="20" t="s">
        <v>813</v>
      </c>
      <c r="B214" s="21" t="s">
        <v>843</v>
      </c>
      <c r="E214" s="22">
        <f>IF(D214="?OLD","!!!","")</f>
        <v/>
      </c>
      <c r="F214" s="23" t="str">
        <f>IF(OR(E214="",E214="!!!"),"",IF(NOT(ISNA(VLOOKUP(E214,E$1:E213,1,FALSE()))),"OLD",IF(AND(E214&lt;&gt;"",E214&lt;&gt;"!!!"),"NEW","")))</f>
        <v> </v>
      </c>
      <c r="G214" s="24" t="str">
        <f>IF(OR(E214="",E214="!!!"),"",IF(OR(J214=0,AND(J214=1,K214=1),AND(J214=1,I214="SBJ"),AND(J214=1,I214=0)),"?IN_FOCUS",IF(J214&lt;=2,"?ACTIVATED",IF(J214&lt;&gt;"","?FAMILIAR",IF(F214="NEW",IF(ISNA(VLOOKUP(E214,#REF!,1,FALSE())),"?TYPE_IDENTIFIABLE","?REFERENTIAL"),"_")))))</f>
        <v> </v>
      </c>
      <c r="H214" s="25" t="str">
        <f>IF(J214&lt;&gt;1,"",IF(I214="SBJ","CB","?"))</f>
        <v> </v>
      </c>
      <c r="I214" s="26" t="str">
        <f>IF(OR(E214="",E214="!!!",F214="NEW"),"",INDEX(B213:B$2,-1+SUMPRODUCT(MAX(ROW(E213:E$2)*(E214=E213:E$2)))))</f>
        <v> </v>
      </c>
      <c r="J214" s="26" t="str">
        <f>IF(OR(E214="",E214="!!!",F214="NEW"),"",COUNTBLANK(OFFSET(A$1,,,SUMPRODUCT(MAX(ROW(E$2:E214)*(E214=E$2:E214)))))-COUNTBLANK(OFFSET(A$1,,,SUMPRODUCT(MAX(ROW(E$1:E213)*(E2=E$1:E213))))))</f>
        <v> </v>
      </c>
      <c r="K214" s="26" t="str">
        <f>IF(OR(E214="",E214="!!!",F214="NEW"),"",INDEX(J$1:J213,SUMPRODUCT(MAX(ROW(E$1:E213)*(E214=E$1:E213)))))</f>
        <v> </v>
      </c>
      <c r="L214" s="27"/>
    </row>
    <row r="215" spans="1:12">
      <c r="A215" s="20" t="s">
        <v>859</v>
      </c>
      <c r="B215" s="21" t="s">
        <v>788</v>
      </c>
      <c r="C215" s="21" t="s">
        <v>789</v>
      </c>
      <c r="D215" s="21" t="s">
        <v>730</v>
      </c>
      <c r="E215" s="22">
        <f>IF(D215="?OLD","!!!","")</f>
        <v/>
      </c>
      <c r="F215" s="23" t="str">
        <f>IF(OR(E215="",E215="!!!"),"",IF(NOT(ISNA(VLOOKUP(E215,E$1:E214,1,FALSE()))),"OLD",IF(AND(E215&lt;&gt;"",E215&lt;&gt;"!!!"),"NEW","")))</f>
        <v> </v>
      </c>
      <c r="G215" s="24" t="str">
        <f>IF(OR(E215="",E215="!!!"),"",IF(OR(J215=0,AND(J215=1,K215=1),AND(J215=1,I215="SBJ"),AND(J215=1,I215=0)),"?IN_FOCUS",IF(J215&lt;=2,"?ACTIVATED",IF(J215&lt;&gt;"","?FAMILIAR",IF(F215="NEW",IF(ISNA(VLOOKUP(E215,#REF!,1,FALSE())),"?TYPE_IDENTIFIABLE","?REFERENTIAL"),"_")))))</f>
        <v> </v>
      </c>
      <c r="H215" s="25" t="str">
        <f>IF(J215&lt;&gt;1,"",IF(I215="SBJ","CB","?"))</f>
        <v> </v>
      </c>
      <c r="I215" s="26" t="str">
        <f>IF(OR(E215="",E215="!!!",F215="NEW"),"",INDEX(B214:B$2,-1+SUMPRODUCT(MAX(ROW(E214:E$2)*(E215=E214:E$2)))))</f>
        <v> </v>
      </c>
      <c r="J215" s="26" t="str">
        <f>IF(OR(E215="",E215="!!!",F215="NEW"),"",COUNTBLANK(OFFSET(A$1,,,SUMPRODUCT(MAX(ROW(E$2:E215)*(E215=E$2:E215)))))-COUNTBLANK(OFFSET(A$1,,,SUMPRODUCT(MAX(ROW(E$1:E214)*(E2=E$1:E214))))))</f>
        <v> </v>
      </c>
      <c r="K215" s="26" t="str">
        <f>IF(OR(E215="",E215="!!!",F215="NEW"),"",INDEX(J$1:J214,SUMPRODUCT(MAX(ROW(E$1:E214)*(E215=E$1:E214)))))</f>
        <v> </v>
      </c>
      <c r="L215" s="27"/>
    </row>
    <row r="216" spans="1:12">
      <c r="A216" s="20" t="s">
        <v>872</v>
      </c>
      <c r="B216" s="21" t="s">
        <v>843</v>
      </c>
      <c r="C216" s="21" t="s">
        <v>789</v>
      </c>
      <c r="D216" s="21" t="s">
        <v>730</v>
      </c>
      <c r="E216" s="22">
        <f>IF(D216="?OLD","!!!","")</f>
        <v/>
      </c>
      <c r="F216" s="23" t="str">
        <f>IF(OR(E216="",E216="!!!"),"",IF(NOT(ISNA(VLOOKUP(E216,E$1:E215,1,FALSE()))),"OLD",IF(AND(E216&lt;&gt;"",E216&lt;&gt;"!!!"),"NEW","")))</f>
        <v> </v>
      </c>
      <c r="G216" s="24" t="str">
        <f>IF(OR(E216="",E216="!!!"),"",IF(OR(J216=0,AND(J216=1,K216=1),AND(J216=1,I216="SBJ"),AND(J216=1,I216=0)),"?IN_FOCUS",IF(J216&lt;=2,"?ACTIVATED",IF(J216&lt;&gt;"","?FAMILIAR",IF(F216="NEW",IF(ISNA(VLOOKUP(E216,#REF!,1,FALSE())),"?TYPE_IDENTIFIABLE","?REFERENTIAL"),"_")))))</f>
        <v> </v>
      </c>
      <c r="H216" s="25" t="str">
        <f>IF(J216&lt;&gt;1,"",IF(I216="SBJ","CB","?"))</f>
        <v> </v>
      </c>
      <c r="I216" s="26" t="str">
        <f>IF(OR(E216="",E216="!!!",F216="NEW"),"",INDEX(B215:B$2,-1+SUMPRODUCT(MAX(ROW(E215:E$2)*(E216=E215:E$2)))))</f>
        <v> </v>
      </c>
      <c r="J216" s="26" t="str">
        <f>IF(OR(E216="",E216="!!!",F216="NEW"),"",COUNTBLANK(OFFSET(A$1,,,SUMPRODUCT(MAX(ROW(E$2:E216)*(E216=E$2:E216)))))-COUNTBLANK(OFFSET(A$1,,,SUMPRODUCT(MAX(ROW(E$1:E215)*(E2=E$1:E215))))))</f>
        <v> </v>
      </c>
      <c r="K216" s="26" t="str">
        <f>IF(OR(E216="",E216="!!!",F216="NEW"),"",INDEX(J$1:J215,SUMPRODUCT(MAX(ROW(E$1:E215)*(E216=E$1:E215)))))</f>
        <v> </v>
      </c>
      <c r="L216" s="27"/>
    </row>
    <row r="217" spans="1:12">
      <c r="A217" s="20" t="s">
        <v>878</v>
      </c>
      <c r="E217" s="22">
        <f>IF(D217="?OLD","!!!","")</f>
        <v/>
      </c>
      <c r="F217" s="23" t="str">
        <f>IF(OR(E217="",E217="!!!"),"",IF(NOT(ISNA(VLOOKUP(E217,E$1:E216,1,FALSE()))),"OLD",IF(AND(E217&lt;&gt;"",E217&lt;&gt;"!!!"),"NEW","")))</f>
        <v> </v>
      </c>
      <c r="G217" s="24" t="str">
        <f>IF(OR(E217="",E217="!!!"),"",IF(OR(J217=0,AND(J217=1,K217=1),AND(J217=1,I217="SBJ"),AND(J217=1,I217=0)),"?IN_FOCUS",IF(J217&lt;=2,"?ACTIVATED",IF(J217&lt;&gt;"","?FAMILIAR",IF(F217="NEW",IF(ISNA(VLOOKUP(E217,#REF!,1,FALSE())),"?TYPE_IDENTIFIABLE","?REFERENTIAL"),"_")))))</f>
        <v> </v>
      </c>
      <c r="H217" s="25" t="str">
        <f>IF(J217&lt;&gt;1,"",IF(I217="SBJ","CB","?"))</f>
        <v> </v>
      </c>
      <c r="I217" s="26" t="str">
        <f>IF(OR(E217="",E217="!!!",F217="NEW"),"",INDEX(B216:B$2,-1+SUMPRODUCT(MAX(ROW(E216:E$2)*(E217=E216:E$2)))))</f>
        <v> </v>
      </c>
      <c r="J217" s="26" t="str">
        <f>IF(OR(E217="",E217="!!!",F217="NEW"),"",COUNTBLANK(OFFSET(A$1,,,SUMPRODUCT(MAX(ROW(E$2:E217)*(E217=E$2:E217)))))-COUNTBLANK(OFFSET(A$1,,,SUMPRODUCT(MAX(ROW(E$1:E216)*(E2=E$1:E216))))))</f>
        <v> </v>
      </c>
      <c r="K217" s="26" t="str">
        <f>IF(OR(E217="",E217="!!!",F217="NEW"),"",INDEX(J$1:J216,SUMPRODUCT(MAX(ROW(E$1:E216)*(E217=E$1:E216)))))</f>
        <v> </v>
      </c>
      <c r="L217" s="27"/>
    </row>
    <row r="218" spans="1:12">
      <c r="A218" s="20" t="s">
        <v>879</v>
      </c>
      <c r="E218" s="22">
        <f>IF(D218="?OLD","!!!","")</f>
        <v/>
      </c>
      <c r="F218" s="23" t="str">
        <f>IF(OR(E218="",E218="!!!"),"",IF(NOT(ISNA(VLOOKUP(E218,E$1:E217,1,FALSE()))),"OLD",IF(AND(E218&lt;&gt;"",E218&lt;&gt;"!!!"),"NEW","")))</f>
        <v> </v>
      </c>
      <c r="G218" s="24" t="str">
        <f>IF(OR(E218="",E218="!!!"),"",IF(OR(J218=0,AND(J218=1,K218=1),AND(J218=1,I218="SBJ"),AND(J218=1,I218=0)),"?IN_FOCUS",IF(J218&lt;=2,"?ACTIVATED",IF(J218&lt;&gt;"","?FAMILIAR",IF(F218="NEW",IF(ISNA(VLOOKUP(E218,#REF!,1,FALSE())),"?TYPE_IDENTIFIABLE","?REFERENTIAL"),"_")))))</f>
        <v> </v>
      </c>
      <c r="H218" s="25" t="str">
        <f>IF(J218&lt;&gt;1,"",IF(I218="SBJ","CB","?"))</f>
        <v> </v>
      </c>
      <c r="I218" s="26" t="str">
        <f>IF(OR(E218="",E218="!!!",F218="NEW"),"",INDEX(B217:B$2,-1+SUMPRODUCT(MAX(ROW(E217:E$2)*(E218=E217:E$2)))))</f>
        <v> </v>
      </c>
      <c r="J218" s="26" t="str">
        <f>IF(OR(E218="",E218="!!!",F218="NEW"),"",COUNTBLANK(OFFSET(A$1,,,SUMPRODUCT(MAX(ROW(E$2:E218)*(E218=E$2:E218)))))-COUNTBLANK(OFFSET(A$1,,,SUMPRODUCT(MAX(ROW(E$1:E217)*(E2=E$1:E217))))))</f>
        <v> </v>
      </c>
      <c r="K218" s="26" t="str">
        <f>IF(OR(E218="",E218="!!!",F218="NEW"),"",INDEX(J$1:J217,SUMPRODUCT(MAX(ROW(E$1:E217)*(E218=E$1:E217)))))</f>
        <v> </v>
      </c>
      <c r="L218" s="27"/>
    </row>
    <row r="219" spans="1:12">
      <c r="A219" s="20" t="s">
        <v>880</v>
      </c>
      <c r="E219" s="22">
        <f>IF(D219="?OLD","!!!","")</f>
        <v/>
      </c>
      <c r="F219" s="23" t="str">
        <f>IF(OR(E219="",E219="!!!"),"",IF(NOT(ISNA(VLOOKUP(E219,E$1:E218,1,FALSE()))),"OLD",IF(AND(E219&lt;&gt;"",E219&lt;&gt;"!!!"),"NEW","")))</f>
        <v> </v>
      </c>
      <c r="G219" s="24" t="str">
        <f>IF(OR(E219="",E219="!!!"),"",IF(OR(J219=0,AND(J219=1,K219=1),AND(J219=1,I219="SBJ"),AND(J219=1,I219=0)),"?IN_FOCUS",IF(J219&lt;=2,"?ACTIVATED",IF(J219&lt;&gt;"","?FAMILIAR",IF(F219="NEW",IF(ISNA(VLOOKUP(E219,#REF!,1,FALSE())),"?TYPE_IDENTIFIABLE","?REFERENTIAL"),"_")))))</f>
        <v> </v>
      </c>
      <c r="H219" s="25" t="str">
        <f>IF(J219&lt;&gt;1,"",IF(I219="SBJ","CB","?"))</f>
        <v> </v>
      </c>
      <c r="I219" s="26" t="str">
        <f>IF(OR(E219="",E219="!!!",F219="NEW"),"",INDEX(B218:B$2,-1+SUMPRODUCT(MAX(ROW(E218:E$2)*(E219=E218:E$2)))))</f>
        <v> </v>
      </c>
      <c r="J219" s="26" t="str">
        <f>IF(OR(E219="",E219="!!!",F219="NEW"),"",COUNTBLANK(OFFSET(A$1,,,SUMPRODUCT(MAX(ROW(E$2:E219)*(E219=E$2:E219)))))-COUNTBLANK(OFFSET(A$1,,,SUMPRODUCT(MAX(ROW(E$1:E218)*(E2=E$1:E218))))))</f>
        <v> </v>
      </c>
      <c r="K219" s="26" t="str">
        <f>IF(OR(E219="",E219="!!!",F219="NEW"),"",INDEX(J$1:J218,SUMPRODUCT(MAX(ROW(E$1:E218)*(E219=E$1:E218)))))</f>
        <v> </v>
      </c>
      <c r="L219" s="27"/>
    </row>
    <row r="220" spans="1:12">
      <c r="A220" s="20" t="s">
        <v>504</v>
      </c>
      <c r="E220" s="22">
        <f>IF(D220="?OLD","!!!","")</f>
        <v/>
      </c>
      <c r="F220" s="23" t="str">
        <f>IF(OR(E220="",E220="!!!"),"",IF(NOT(ISNA(VLOOKUP(E220,E$1:E219,1,FALSE()))),"OLD",IF(AND(E220&lt;&gt;"",E220&lt;&gt;"!!!"),"NEW","")))</f>
        <v> </v>
      </c>
      <c r="G220" s="24" t="str">
        <f>IF(OR(E220="",E220="!!!"),"",IF(OR(J220=0,AND(J220=1,K220=1),AND(J220=1,I220="SBJ"),AND(J220=1,I220=0)),"?IN_FOCUS",IF(J220&lt;=2,"?ACTIVATED",IF(J220&lt;&gt;"","?FAMILIAR",IF(F220="NEW",IF(ISNA(VLOOKUP(E220,#REF!,1,FALSE())),"?TYPE_IDENTIFIABLE","?REFERENTIAL"),"_")))))</f>
        <v> </v>
      </c>
      <c r="H220" s="25" t="str">
        <f>IF(J220&lt;&gt;1,"",IF(I220="SBJ","CB","?"))</f>
        <v> </v>
      </c>
      <c r="I220" s="26" t="str">
        <f>IF(OR(E220="",E220="!!!",F220="NEW"),"",INDEX(B219:B$2,-1+SUMPRODUCT(MAX(ROW(E219:E$2)*(E220=E219:E$2)))))</f>
        <v> </v>
      </c>
      <c r="J220" s="26" t="str">
        <f>IF(OR(E220="",E220="!!!",F220="NEW"),"",COUNTBLANK(OFFSET(A$1,,,SUMPRODUCT(MAX(ROW(E$2:E220)*(E220=E$2:E220)))))-COUNTBLANK(OFFSET(A$1,,,SUMPRODUCT(MAX(ROW(E$1:E219)*(E2=E$1:E219))))))</f>
        <v> </v>
      </c>
      <c r="K220" s="26" t="str">
        <f>IF(OR(E220="",E220="!!!",F220="NEW"),"",INDEX(J$1:J219,SUMPRODUCT(MAX(ROW(E$1:E219)*(E220=E$1:E219)))))</f>
        <v> </v>
      </c>
      <c r="L220" s="27"/>
    </row>
    <row r="221" spans="1:12">
      <c r="A221" s="20" t="s">
        <v>881</v>
      </c>
      <c r="E221" s="22">
        <f>IF(D221="?OLD","!!!","")</f>
        <v/>
      </c>
      <c r="F221" s="23" t="str">
        <f>IF(OR(E221="",E221="!!!"),"",IF(NOT(ISNA(VLOOKUP(E221,E$1:E220,1,FALSE()))),"OLD",IF(AND(E221&lt;&gt;"",E221&lt;&gt;"!!!"),"NEW","")))</f>
        <v> </v>
      </c>
      <c r="G221" s="24" t="str">
        <f>IF(OR(E221="",E221="!!!"),"",IF(OR(J221=0,AND(J221=1,K221=1),AND(J221=1,I221="SBJ"),AND(J221=1,I221=0)),"?IN_FOCUS",IF(J221&lt;=2,"?ACTIVATED",IF(J221&lt;&gt;"","?FAMILIAR",IF(F221="NEW",IF(ISNA(VLOOKUP(E221,#REF!,1,FALSE())),"?TYPE_IDENTIFIABLE","?REFERENTIAL"),"_")))))</f>
        <v> </v>
      </c>
      <c r="H221" s="25" t="str">
        <f>IF(J221&lt;&gt;1,"",IF(I221="SBJ","CB","?"))</f>
        <v> </v>
      </c>
      <c r="I221" s="26" t="str">
        <f>IF(OR(E221="",E221="!!!",F221="NEW"),"",INDEX(B220:B$2,-1+SUMPRODUCT(MAX(ROW(E220:E$2)*(E221=E220:E$2)))))</f>
        <v> </v>
      </c>
      <c r="J221" s="26" t="str">
        <f>IF(OR(E221="",E221="!!!",F221="NEW"),"",COUNTBLANK(OFFSET(A$1,,,SUMPRODUCT(MAX(ROW(E$2:E221)*(E221=E$2:E221)))))-COUNTBLANK(OFFSET(A$1,,,SUMPRODUCT(MAX(ROW(E$1:E220)*(E2=E$1:E220))))))</f>
        <v> </v>
      </c>
      <c r="K221" s="26" t="str">
        <f>IF(OR(E221="",E221="!!!",F221="NEW"),"",INDEX(J$1:J220,SUMPRODUCT(MAX(ROW(E$1:E220)*(E221=E$1:E220)))))</f>
        <v> </v>
      </c>
      <c r="L221" s="27"/>
    </row>
    <row r="222" spans="1:12">
      <c r="A222" s="20" t="s">
        <v>246</v>
      </c>
      <c r="E222" s="22">
        <f>IF(D222="?OLD","!!!","")</f>
        <v/>
      </c>
      <c r="F222" s="23" t="str">
        <f>IF(OR(E222="",E222="!!!"),"",IF(NOT(ISNA(VLOOKUP(E222,E$1:E221,1,FALSE()))),"OLD",IF(AND(E222&lt;&gt;"",E222&lt;&gt;"!!!"),"NEW","")))</f>
        <v> </v>
      </c>
      <c r="G222" s="24" t="str">
        <f>IF(OR(E222="",E222="!!!"),"",IF(OR(J222=0,AND(J222=1,K222=1),AND(J222=1,I222="SBJ"),AND(J222=1,I222=0)),"?IN_FOCUS",IF(J222&lt;=2,"?ACTIVATED",IF(J222&lt;&gt;"","?FAMILIAR",IF(F222="NEW",IF(ISNA(VLOOKUP(E222,#REF!,1,FALSE())),"?TYPE_IDENTIFIABLE","?REFERENTIAL"),"_")))))</f>
        <v> </v>
      </c>
      <c r="H222" s="25" t="str">
        <f>IF(J222&lt;&gt;1,"",IF(I222="SBJ","CB","?"))</f>
        <v> </v>
      </c>
      <c r="I222" s="26" t="str">
        <f>IF(OR(E222="",E222="!!!",F222="NEW"),"",INDEX(B221:B$2,-1+SUMPRODUCT(MAX(ROW(E221:E$2)*(E222=E221:E$2)))))</f>
        <v> </v>
      </c>
      <c r="J222" s="26" t="str">
        <f>IF(OR(E222="",E222="!!!",F222="NEW"),"",COUNTBLANK(OFFSET(A$1,,,SUMPRODUCT(MAX(ROW(E$2:E222)*(E222=E$2:E222)))))-COUNTBLANK(OFFSET(A$1,,,SUMPRODUCT(MAX(ROW(E$1:E221)*(E2=E$1:E221))))))</f>
        <v> </v>
      </c>
      <c r="K222" s="26" t="str">
        <f>IF(OR(E222="",E222="!!!",F222="NEW"),"",INDEX(J$1:J221,SUMPRODUCT(MAX(ROW(E$1:E221)*(E222=E$1:E221)))))</f>
        <v> </v>
      </c>
      <c r="L222" s="27"/>
    </row>
    <row r="223" spans="1:12">
      <c r="A223" s="20"/>
    </row>
    <row r="224" spans="1:12">
      <c r="A224" s="20" t="s">
        <v>882</v>
      </c>
    </row>
    <row r="225" spans="1:12">
      <c r="A225" s="20" t="s">
        <v>883</v>
      </c>
      <c r="B225" s="21" t="s">
        <v>728</v>
      </c>
      <c r="C225" s="21" t="s">
        <v>801</v>
      </c>
      <c r="D225" s="21" t="s">
        <v>730</v>
      </c>
      <c r="E225" s="22">
        <f>IF(D225="?OLD","!!!","")</f>
        <v/>
      </c>
      <c r="F225" s="23" t="str">
        <f>IF(OR(E225="",E225="!!!"),"",IF(NOT(ISNA(VLOOKUP(E225,E$1:E224,1,FALSE()))),"OLD",IF(AND(E225&lt;&gt;"",E225&lt;&gt;"!!!"),"NEW","")))</f>
        <v> </v>
      </c>
      <c r="G225" s="24" t="str">
        <f>IF(OR(E225="",E225="!!!"),"",IF(OR(J225=0,AND(J225=1,K225=1),AND(J225=1,I225="SBJ"),AND(J225=1,I225=0)),"?IN_FOCUS",IF(J225&lt;=2,"?ACTIVATED",IF(J225&lt;&gt;"","?FAMILIAR",IF(F225="NEW",IF(ISNA(VLOOKUP(E225,#REF!,1,FALSE())),"?TYPE_IDENTIFIABLE","?REFERENTIAL"),"_")))))</f>
        <v> </v>
      </c>
      <c r="H225" s="25" t="str">
        <f>IF(J225&lt;&gt;1,"",IF(I225="SBJ","CB","?"))</f>
        <v> </v>
      </c>
      <c r="I225" s="26" t="str">
        <f>IF(OR(E225="",E225="!!!",F225="NEW"),"",INDEX(B224:B$2,-1+SUMPRODUCT(MAX(ROW(E224:E$2)*(E225=E224:E$2)))))</f>
        <v> </v>
      </c>
      <c r="J225" s="26" t="str">
        <f>IF(OR(E225="",E225="!!!",F225="NEW"),"",COUNTBLANK(OFFSET(A$1,,,SUMPRODUCT(MAX(ROW(E$2:E225)*(E225=E$2:E225)))))-COUNTBLANK(OFFSET(A$1,,,SUMPRODUCT(MAX(ROW(E$1:E224)*(E2=E$1:E224))))))</f>
        <v> </v>
      </c>
      <c r="K225" s="26" t="str">
        <f>IF(OR(E225="",E225="!!!",F225="NEW"),"",INDEX(J$1:J224,SUMPRODUCT(MAX(ROW(E$1:E224)*(E225=E$1:E224)))))</f>
        <v> </v>
      </c>
      <c r="L225" s="27"/>
    </row>
    <row r="226" spans="1:12">
      <c r="A226" s="20" t="s">
        <v>884</v>
      </c>
      <c r="E226" s="22">
        <f>IF(D226="?OLD","!!!","")</f>
        <v/>
      </c>
      <c r="F226" s="23" t="str">
        <f>IF(OR(E226="",E226="!!!"),"",IF(NOT(ISNA(VLOOKUP(E226,E$1:E225,1,FALSE()))),"OLD",IF(AND(E226&lt;&gt;"",E226&lt;&gt;"!!!"),"NEW","")))</f>
        <v> </v>
      </c>
      <c r="G226" s="24" t="str">
        <f>IF(OR(E226="",E226="!!!"),"",IF(OR(J226=0,AND(J226=1,K226=1),AND(J226=1,I226="SBJ"),AND(J226=1,I226=0)),"?IN_FOCUS",IF(J226&lt;=2,"?ACTIVATED",IF(J226&lt;&gt;"","?FAMILIAR",IF(F226="NEW",IF(ISNA(VLOOKUP(E226,#REF!,1,FALSE())),"?TYPE_IDENTIFIABLE","?REFERENTIAL"),"_")))))</f>
        <v> </v>
      </c>
      <c r="H226" s="25" t="str">
        <f>IF(J226&lt;&gt;1,"",IF(I226="SBJ","CB","?"))</f>
        <v> </v>
      </c>
      <c r="I226" s="26" t="str">
        <f>IF(OR(E226="",E226="!!!",F226="NEW"),"",INDEX(B225:B$2,-1+SUMPRODUCT(MAX(ROW(E225:E$2)*(E226=E225:E$2)))))</f>
        <v> </v>
      </c>
      <c r="J226" s="26" t="str">
        <f>IF(OR(E226="",E226="!!!",F226="NEW"),"",COUNTBLANK(OFFSET(A$1,,,SUMPRODUCT(MAX(ROW(E$2:E226)*(E226=E$2:E226)))))-COUNTBLANK(OFFSET(A$1,,,SUMPRODUCT(MAX(ROW(E$1:E225)*(E2=E$1:E225))))))</f>
        <v> </v>
      </c>
      <c r="K226" s="26" t="str">
        <f>IF(OR(E226="",E226="!!!",F226="NEW"),"",INDEX(J$1:J225,SUMPRODUCT(MAX(ROW(E$1:E225)*(E226=E$1:E225)))))</f>
        <v> </v>
      </c>
      <c r="L226" s="27"/>
    </row>
    <row r="227" spans="1:12">
      <c r="A227" s="20" t="s">
        <v>885</v>
      </c>
      <c r="E227" s="22">
        <f>IF(D227="?OLD","!!!","")</f>
        <v/>
      </c>
      <c r="F227" s="23" t="str">
        <f>IF(OR(E227="",E227="!!!"),"",IF(NOT(ISNA(VLOOKUP(E227,E$1:E226,1,FALSE()))),"OLD",IF(AND(E227&lt;&gt;"",E227&lt;&gt;"!!!"),"NEW","")))</f>
        <v> </v>
      </c>
      <c r="G227" s="24" t="str">
        <f>IF(OR(E227="",E227="!!!"),"",IF(OR(J227=0,AND(J227=1,K227=1),AND(J227=1,I227="SBJ"),AND(J227=1,I227=0)),"?IN_FOCUS",IF(J227&lt;=2,"?ACTIVATED",IF(J227&lt;&gt;"","?FAMILIAR",IF(F227="NEW",IF(ISNA(VLOOKUP(E227,#REF!,1,FALSE())),"?TYPE_IDENTIFIABLE","?REFERENTIAL"),"_")))))</f>
        <v> </v>
      </c>
      <c r="H227" s="25" t="str">
        <f>IF(J227&lt;&gt;1,"",IF(I227="SBJ","CB","?"))</f>
        <v> </v>
      </c>
      <c r="I227" s="26" t="str">
        <f>IF(OR(E227="",E227="!!!",F227="NEW"),"",INDEX(B226:B$2,-1+SUMPRODUCT(MAX(ROW(E226:E$2)*(E227=E226:E$2)))))</f>
        <v> </v>
      </c>
      <c r="J227" s="26" t="str">
        <f>IF(OR(E227="",E227="!!!",F227="NEW"),"",COUNTBLANK(OFFSET(A$1,,,SUMPRODUCT(MAX(ROW(E$2:E227)*(E227=E$2:E227)))))-COUNTBLANK(OFFSET(A$1,,,SUMPRODUCT(MAX(ROW(E$1:E226)*(E2=E$1:E226))))))</f>
        <v> </v>
      </c>
      <c r="K227" s="26" t="str">
        <f>IF(OR(E227="",E227="!!!",F227="NEW"),"",INDEX(J$1:J226,SUMPRODUCT(MAX(ROW(E$1:E226)*(E227=E$1:E226)))))</f>
        <v> </v>
      </c>
      <c r="L227" s="27"/>
    </row>
    <row r="228" spans="1:12">
      <c r="A228" s="20" t="s">
        <v>886</v>
      </c>
      <c r="E228" s="22">
        <f>IF(D228="?OLD","!!!","")</f>
        <v/>
      </c>
      <c r="F228" s="23" t="str">
        <f>IF(OR(E228="",E228="!!!"),"",IF(NOT(ISNA(VLOOKUP(E228,E$1:E227,1,FALSE()))),"OLD",IF(AND(E228&lt;&gt;"",E228&lt;&gt;"!!!"),"NEW","")))</f>
        <v> </v>
      </c>
      <c r="G228" s="24" t="str">
        <f>IF(OR(E228="",E228="!!!"),"",IF(OR(J228=0,AND(J228=1,K228=1),AND(J228=1,I228="SBJ"),AND(J228=1,I228=0)),"?IN_FOCUS",IF(J228&lt;=2,"?ACTIVATED",IF(J228&lt;&gt;"","?FAMILIAR",IF(F228="NEW",IF(ISNA(VLOOKUP(E228,#REF!,1,FALSE())),"?TYPE_IDENTIFIABLE","?REFERENTIAL"),"_")))))</f>
        <v> </v>
      </c>
      <c r="H228" s="25" t="str">
        <f>IF(J228&lt;&gt;1,"",IF(I228="SBJ","CB","?"))</f>
        <v> </v>
      </c>
      <c r="I228" s="26" t="str">
        <f>IF(OR(E228="",E228="!!!",F228="NEW"),"",INDEX(B227:B$2,-1+SUMPRODUCT(MAX(ROW(E227:E$2)*(E228=E227:E$2)))))</f>
        <v> </v>
      </c>
      <c r="J228" s="26" t="str">
        <f>IF(OR(E228="",E228="!!!",F228="NEW"),"",COUNTBLANK(OFFSET(A$1,,,SUMPRODUCT(MAX(ROW(E$2:E228)*(E228=E$2:E228)))))-COUNTBLANK(OFFSET(A$1,,,SUMPRODUCT(MAX(ROW(E$1:E227)*(E2=E$1:E227))))))</f>
        <v> </v>
      </c>
      <c r="K228" s="26" t="str">
        <f>IF(OR(E228="",E228="!!!",F228="NEW"),"",INDEX(J$1:J227,SUMPRODUCT(MAX(ROW(E$1:E227)*(E228=E$1:E227)))))</f>
        <v> </v>
      </c>
      <c r="L228" s="27"/>
    </row>
    <row r="229" spans="1:12">
      <c r="A229" s="20" t="s">
        <v>887</v>
      </c>
      <c r="E229" s="22">
        <f>IF(D229="?OLD","!!!","")</f>
        <v/>
      </c>
      <c r="F229" s="23" t="str">
        <f>IF(OR(E229="",E229="!!!"),"",IF(NOT(ISNA(VLOOKUP(E229,E$1:E228,1,FALSE()))),"OLD",IF(AND(E229&lt;&gt;"",E229&lt;&gt;"!!!"),"NEW","")))</f>
        <v> </v>
      </c>
      <c r="G229" s="24" t="str">
        <f>IF(OR(E229="",E229="!!!"),"",IF(OR(J229=0,AND(J229=1,K229=1),AND(J229=1,I229="SBJ"),AND(J229=1,I229=0)),"?IN_FOCUS",IF(J229&lt;=2,"?ACTIVATED",IF(J229&lt;&gt;"","?FAMILIAR",IF(F229="NEW",IF(ISNA(VLOOKUP(E229,#REF!,1,FALSE())),"?TYPE_IDENTIFIABLE","?REFERENTIAL"),"_")))))</f>
        <v> </v>
      </c>
      <c r="H229" s="25" t="str">
        <f>IF(J229&lt;&gt;1,"",IF(I229="SBJ","CB","?"))</f>
        <v> </v>
      </c>
      <c r="I229" s="26" t="str">
        <f>IF(OR(E229="",E229="!!!",F229="NEW"),"",INDEX(B228:B$2,-1+SUMPRODUCT(MAX(ROW(E228:E$2)*(E229=E228:E$2)))))</f>
        <v> </v>
      </c>
      <c r="J229" s="26" t="str">
        <f>IF(OR(E229="",E229="!!!",F229="NEW"),"",COUNTBLANK(OFFSET(A$1,,,SUMPRODUCT(MAX(ROW(E$2:E229)*(E229=E$2:E229)))))-COUNTBLANK(OFFSET(A$1,,,SUMPRODUCT(MAX(ROW(E$1:E228)*(E2=E$1:E228))))))</f>
        <v> </v>
      </c>
      <c r="K229" s="26" t="str">
        <f>IF(OR(E229="",E229="!!!",F229="NEW"),"",INDEX(J$1:J228,SUMPRODUCT(MAX(ROW(E$1:E228)*(E229=E$1:E228)))))</f>
        <v> </v>
      </c>
      <c r="L229" s="27"/>
    </row>
    <row r="230" spans="1:12">
      <c r="A230" s="20" t="s">
        <v>888</v>
      </c>
      <c r="E230" s="22">
        <f>IF(D230="?OLD","!!!","")</f>
        <v/>
      </c>
      <c r="F230" s="23" t="str">
        <f>IF(OR(E230="",E230="!!!"),"",IF(NOT(ISNA(VLOOKUP(E230,E$1:E229,1,FALSE()))),"OLD",IF(AND(E230&lt;&gt;"",E230&lt;&gt;"!!!"),"NEW","")))</f>
        <v> </v>
      </c>
      <c r="G230" s="24" t="str">
        <f>IF(OR(E230="",E230="!!!"),"",IF(OR(J230=0,AND(J230=1,K230=1),AND(J230=1,I230="SBJ"),AND(J230=1,I230=0)),"?IN_FOCUS",IF(J230&lt;=2,"?ACTIVATED",IF(J230&lt;&gt;"","?FAMILIAR",IF(F230="NEW",IF(ISNA(VLOOKUP(E230,#REF!,1,FALSE())),"?TYPE_IDENTIFIABLE","?REFERENTIAL"),"_")))))</f>
        <v> </v>
      </c>
      <c r="H230" s="25" t="str">
        <f>IF(J230&lt;&gt;1,"",IF(I230="SBJ","CB","?"))</f>
        <v> </v>
      </c>
      <c r="I230" s="26" t="str">
        <f>IF(OR(E230="",E230="!!!",F230="NEW"),"",INDEX(B229:B$2,-1+SUMPRODUCT(MAX(ROW(E229:E$2)*(E230=E229:E$2)))))</f>
        <v> </v>
      </c>
      <c r="J230" s="26" t="str">
        <f>IF(OR(E230="",E230="!!!",F230="NEW"),"",COUNTBLANK(OFFSET(A$1,,,SUMPRODUCT(MAX(ROW(E$2:E230)*(E230=E$2:E230)))))-COUNTBLANK(OFFSET(A$1,,,SUMPRODUCT(MAX(ROW(E$1:E229)*(E2=E$1:E229))))))</f>
        <v> </v>
      </c>
      <c r="K230" s="26" t="str">
        <f>IF(OR(E230="",E230="!!!",F230="NEW"),"",INDEX(J$1:J229,SUMPRODUCT(MAX(ROW(E$1:E229)*(E230=E$1:E229)))))</f>
        <v> </v>
      </c>
      <c r="L230" s="27"/>
    </row>
    <row r="231" spans="1:12">
      <c r="A231" s="20" t="s">
        <v>754</v>
      </c>
      <c r="B231" s="21" t="s">
        <v>739</v>
      </c>
      <c r="C231" s="21" t="s">
        <v>756</v>
      </c>
      <c r="E231" s="22">
        <f>IF(D231="?OLD","!!!","")</f>
        <v/>
      </c>
      <c r="F231" s="23" t="str">
        <f>IF(OR(E231="",E231="!!!"),"",IF(NOT(ISNA(VLOOKUP(E231,E$1:E230,1,FALSE()))),"OLD",IF(AND(E231&lt;&gt;"",E231&lt;&gt;"!!!"),"NEW","")))</f>
        <v> </v>
      </c>
      <c r="G231" s="24" t="str">
        <f>IF(OR(E231="",E231="!!!"),"",IF(OR(J231=0,AND(J231=1,K231=1),AND(J231=1,I231="SBJ"),AND(J231=1,I231=0)),"?IN_FOCUS",IF(J231&lt;=2,"?ACTIVATED",IF(J231&lt;&gt;"","?FAMILIAR",IF(F231="NEW",IF(ISNA(VLOOKUP(E231,#REF!,1,FALSE())),"?TYPE_IDENTIFIABLE","?REFERENTIAL"),"_")))))</f>
        <v> </v>
      </c>
      <c r="H231" s="25" t="str">
        <f>IF(J231&lt;&gt;1,"",IF(I231="SBJ","CB","?"))</f>
        <v> </v>
      </c>
      <c r="I231" s="26" t="str">
        <f>IF(OR(E231="",E231="!!!",F231="NEW"),"",INDEX(B230:B$2,-1+SUMPRODUCT(MAX(ROW(E230:E$2)*(E231=E230:E$2)))))</f>
        <v> </v>
      </c>
      <c r="J231" s="26" t="str">
        <f>IF(OR(E231="",E231="!!!",F231="NEW"),"",COUNTBLANK(OFFSET(A$1,,,SUMPRODUCT(MAX(ROW(E$2:E231)*(E231=E$2:E231)))))-COUNTBLANK(OFFSET(A$1,,,SUMPRODUCT(MAX(ROW(E$1:E230)*(E2=E$1:E230))))))</f>
        <v> </v>
      </c>
      <c r="K231" s="26" t="str">
        <f>IF(OR(E231="",E231="!!!",F231="NEW"),"",INDEX(J$1:J230,SUMPRODUCT(MAX(ROW(E$1:E230)*(E231=E$1:E230)))))</f>
        <v> </v>
      </c>
      <c r="L231" s="27"/>
    </row>
    <row r="232" spans="1:12">
      <c r="A232" s="20" t="s">
        <v>889</v>
      </c>
      <c r="E232" s="22">
        <f>IF(D232="?OLD","!!!","")</f>
        <v/>
      </c>
      <c r="F232" s="23" t="str">
        <f>IF(OR(E232="",E232="!!!"),"",IF(NOT(ISNA(VLOOKUP(E232,E$1:E231,1,FALSE()))),"OLD",IF(AND(E232&lt;&gt;"",E232&lt;&gt;"!!!"),"NEW","")))</f>
        <v> </v>
      </c>
      <c r="G232" s="24" t="str">
        <f>IF(OR(E232="",E232="!!!"),"",IF(OR(J232=0,AND(J232=1,K232=1),AND(J232=1,I232="SBJ"),AND(J232=1,I232=0)),"?IN_FOCUS",IF(J232&lt;=2,"?ACTIVATED",IF(J232&lt;&gt;"","?FAMILIAR",IF(F232="NEW",IF(ISNA(VLOOKUP(E232,#REF!,1,FALSE())),"?TYPE_IDENTIFIABLE","?REFERENTIAL"),"_")))))</f>
        <v> </v>
      </c>
      <c r="H232" s="25" t="str">
        <f>IF(J232&lt;&gt;1,"",IF(I232="SBJ","CB","?"))</f>
        <v> </v>
      </c>
      <c r="I232" s="26" t="str">
        <f>IF(OR(E232="",E232="!!!",F232="NEW"),"",INDEX(B231:B$2,-1+SUMPRODUCT(MAX(ROW(E231:E$2)*(E232=E231:E$2)))))</f>
        <v> </v>
      </c>
      <c r="J232" s="26" t="str">
        <f>IF(OR(E232="",E232="!!!",F232="NEW"),"",COUNTBLANK(OFFSET(A$1,,,SUMPRODUCT(MAX(ROW(E$2:E232)*(E232=E$2:E232)))))-COUNTBLANK(OFFSET(A$1,,,SUMPRODUCT(MAX(ROW(E$1:E231)*(E2=E$1:E231))))))</f>
        <v> </v>
      </c>
      <c r="K232" s="26" t="str">
        <f>IF(OR(E232="",E232="!!!",F232="NEW"),"",INDEX(J$1:J231,SUMPRODUCT(MAX(ROW(E$1:E231)*(E232=E$1:E231)))))</f>
        <v> </v>
      </c>
      <c r="L232" s="27"/>
    </row>
    <row r="233" spans="1:12">
      <c r="A233" s="20" t="s">
        <v>738</v>
      </c>
      <c r="B233" s="21" t="s">
        <v>736</v>
      </c>
      <c r="C233" s="21" t="s">
        <v>740</v>
      </c>
      <c r="D233" s="21" t="s">
        <v>730</v>
      </c>
      <c r="E233" s="22">
        <f>IF(D233="?OLD","!!!","")</f>
        <v/>
      </c>
      <c r="F233" s="23" t="str">
        <f>IF(OR(E233="",E233="!!!"),"",IF(NOT(ISNA(VLOOKUP(E233,E$1:E232,1,FALSE()))),"OLD",IF(AND(E233&lt;&gt;"",E233&lt;&gt;"!!!"),"NEW","")))</f>
        <v> </v>
      </c>
      <c r="G233" s="24" t="str">
        <f>IF(OR(E233="",E233="!!!"),"",IF(OR(J233=0,AND(J233=1,K233=1),AND(J233=1,I233="SBJ"),AND(J233=1,I233=0)),"?IN_FOCUS",IF(J233&lt;=2,"?ACTIVATED",IF(J233&lt;&gt;"","?FAMILIAR",IF(F233="NEW",IF(ISNA(VLOOKUP(E233,#REF!,1,FALSE())),"?TYPE_IDENTIFIABLE","?REFERENTIAL"),"_")))))</f>
        <v> </v>
      </c>
      <c r="H233" s="25" t="str">
        <f>IF(J233&lt;&gt;1,"",IF(I233="SBJ","CB","?"))</f>
        <v> </v>
      </c>
      <c r="I233" s="26" t="str">
        <f>IF(OR(E233="",E233="!!!",F233="NEW"),"",INDEX(B232:B$2,-1+SUMPRODUCT(MAX(ROW(E232:E$2)*(E233=E232:E$2)))))</f>
        <v> </v>
      </c>
      <c r="J233" s="26" t="str">
        <f>IF(OR(E233="",E233="!!!",F233="NEW"),"",COUNTBLANK(OFFSET(A$1,,,SUMPRODUCT(MAX(ROW(E$2:E233)*(E233=E$2:E233)))))-COUNTBLANK(OFFSET(A$1,,,SUMPRODUCT(MAX(ROW(E$1:E232)*(E2=E$1:E232))))))</f>
        <v> </v>
      </c>
      <c r="K233" s="26" t="str">
        <f>IF(OR(E233="",E233="!!!",F233="NEW"),"",INDEX(J$1:J232,SUMPRODUCT(MAX(ROW(E$1:E232)*(E233=E$1:E232)))))</f>
        <v> </v>
      </c>
      <c r="L233" s="27"/>
    </row>
    <row r="234" spans="1:12">
      <c r="A234" s="20" t="s">
        <v>12</v>
      </c>
      <c r="E234" s="22">
        <f>IF(D234="?OLD","!!!","")</f>
        <v/>
      </c>
      <c r="F234" s="23" t="str">
        <f>IF(OR(E234="",E234="!!!"),"",IF(NOT(ISNA(VLOOKUP(E234,E$1:E233,1,FALSE()))),"OLD",IF(AND(E234&lt;&gt;"",E234&lt;&gt;"!!!"),"NEW","")))</f>
        <v> </v>
      </c>
      <c r="G234" s="24" t="str">
        <f>IF(OR(E234="",E234="!!!"),"",IF(OR(J234=0,AND(J234=1,K234=1),AND(J234=1,I234="SBJ"),AND(J234=1,I234=0)),"?IN_FOCUS",IF(J234&lt;=2,"?ACTIVATED",IF(J234&lt;&gt;"","?FAMILIAR",IF(F234="NEW",IF(ISNA(VLOOKUP(E234,#REF!,1,FALSE())),"?TYPE_IDENTIFIABLE","?REFERENTIAL"),"_")))))</f>
        <v> </v>
      </c>
      <c r="H234" s="25" t="str">
        <f>IF(J234&lt;&gt;1,"",IF(I234="SBJ","CB","?"))</f>
        <v> </v>
      </c>
      <c r="I234" s="26" t="str">
        <f>IF(OR(E234="",E234="!!!",F234="NEW"),"",INDEX(B233:B$2,-1+SUMPRODUCT(MAX(ROW(E233:E$2)*(E234=E233:E$2)))))</f>
        <v> </v>
      </c>
      <c r="J234" s="26" t="str">
        <f>IF(OR(E234="",E234="!!!",F234="NEW"),"",COUNTBLANK(OFFSET(A$1,,,SUMPRODUCT(MAX(ROW(E$2:E234)*(E234=E$2:E234)))))-COUNTBLANK(OFFSET(A$1,,,SUMPRODUCT(MAX(ROW(E$1:E233)*(E2=E$1:E233))))))</f>
        <v> </v>
      </c>
      <c r="K234" s="26" t="str">
        <f>IF(OR(E234="",E234="!!!",F234="NEW"),"",INDEX(J$1:J233,SUMPRODUCT(MAX(ROW(E$1:E233)*(E234=E$1:E233)))))</f>
        <v> </v>
      </c>
      <c r="L234" s="27"/>
    </row>
    <row r="235" spans="1:12">
      <c r="A235" s="20" t="s">
        <v>741</v>
      </c>
      <c r="E235" s="22">
        <f>IF(D235="?OLD","!!!","")</f>
        <v/>
      </c>
      <c r="F235" s="23" t="str">
        <f>IF(OR(E235="",E235="!!!"),"",IF(NOT(ISNA(VLOOKUP(E235,E$1:E234,1,FALSE()))),"OLD",IF(AND(E235&lt;&gt;"",E235&lt;&gt;"!!!"),"NEW","")))</f>
        <v> </v>
      </c>
      <c r="G235" s="24" t="str">
        <f>IF(OR(E235="",E235="!!!"),"",IF(OR(J235=0,AND(J235=1,K235=1),AND(J235=1,I235="SBJ"),AND(J235=1,I235=0)),"?IN_FOCUS",IF(J235&lt;=2,"?ACTIVATED",IF(J235&lt;&gt;"","?FAMILIAR",IF(F235="NEW",IF(ISNA(VLOOKUP(E235,#REF!,1,FALSE())),"?TYPE_IDENTIFIABLE","?REFERENTIAL"),"_")))))</f>
        <v> </v>
      </c>
      <c r="H235" s="25" t="str">
        <f>IF(J235&lt;&gt;1,"",IF(I235="SBJ","CB","?"))</f>
        <v> </v>
      </c>
      <c r="I235" s="26" t="str">
        <f>IF(OR(E235="",E235="!!!",F235="NEW"),"",INDEX(B234:B$2,-1+SUMPRODUCT(MAX(ROW(E234:E$2)*(E235=E234:E$2)))))</f>
        <v> </v>
      </c>
      <c r="J235" s="26" t="str">
        <f>IF(OR(E235="",E235="!!!",F235="NEW"),"",COUNTBLANK(OFFSET(A$1,,,SUMPRODUCT(MAX(ROW(E$2:E235)*(E235=E$2:E235)))))-COUNTBLANK(OFFSET(A$1,,,SUMPRODUCT(MAX(ROW(E$1:E234)*(E2=E$1:E234))))))</f>
        <v> </v>
      </c>
      <c r="K235" s="26" t="str">
        <f>IF(OR(E235="",E235="!!!",F235="NEW"),"",INDEX(J$1:J234,SUMPRODUCT(MAX(ROW(E$1:E234)*(E235=E$1:E234)))))</f>
        <v> </v>
      </c>
      <c r="L235" s="27"/>
    </row>
    <row r="236" spans="1:12">
      <c r="A236" s="20" t="s">
        <v>12</v>
      </c>
      <c r="E236" s="22">
        <f>IF(D236="?OLD","!!!","")</f>
        <v/>
      </c>
      <c r="F236" s="23" t="str">
        <f>IF(OR(E236="",E236="!!!"),"",IF(NOT(ISNA(VLOOKUP(E236,E$1:E235,1,FALSE()))),"OLD",IF(AND(E236&lt;&gt;"",E236&lt;&gt;"!!!"),"NEW","")))</f>
        <v> </v>
      </c>
      <c r="G236" s="24" t="str">
        <f>IF(OR(E236="",E236="!!!"),"",IF(OR(J236=0,AND(J236=1,K236=1),AND(J236=1,I236="SBJ"),AND(J236=1,I236=0)),"?IN_FOCUS",IF(J236&lt;=2,"?ACTIVATED",IF(J236&lt;&gt;"","?FAMILIAR",IF(F236="NEW",IF(ISNA(VLOOKUP(E236,#REF!,1,FALSE())),"?TYPE_IDENTIFIABLE","?REFERENTIAL"),"_")))))</f>
        <v> </v>
      </c>
      <c r="H236" s="25" t="str">
        <f>IF(J236&lt;&gt;1,"",IF(I236="SBJ","CB","?"))</f>
        <v> </v>
      </c>
      <c r="I236" s="26" t="str">
        <f>IF(OR(E236="",E236="!!!",F236="NEW"),"",INDEX(B235:B$2,-1+SUMPRODUCT(MAX(ROW(E235:E$2)*(E236=E235:E$2)))))</f>
        <v> </v>
      </c>
      <c r="J236" s="26" t="str">
        <f>IF(OR(E236="",E236="!!!",F236="NEW"),"",COUNTBLANK(OFFSET(A$1,,,SUMPRODUCT(MAX(ROW(E$2:E236)*(E236=E$2:E236)))))-COUNTBLANK(OFFSET(A$1,,,SUMPRODUCT(MAX(ROW(E$1:E235)*(E2=E$1:E235))))))</f>
        <v> </v>
      </c>
      <c r="K236" s="26" t="str">
        <f>IF(OR(E236="",E236="!!!",F236="NEW"),"",INDEX(J$1:J235,SUMPRODUCT(MAX(ROW(E$1:E235)*(E236=E$1:E235)))))</f>
        <v> </v>
      </c>
      <c r="L236" s="27"/>
    </row>
    <row r="237" spans="1:12">
      <c r="A237" s="20" t="s">
        <v>890</v>
      </c>
      <c r="E237" s="22">
        <f>IF(D237="?OLD","!!!","")</f>
        <v/>
      </c>
      <c r="F237" s="23" t="str">
        <f>IF(OR(E237="",E237="!!!"),"",IF(NOT(ISNA(VLOOKUP(E237,E$1:E236,1,FALSE()))),"OLD",IF(AND(E237&lt;&gt;"",E237&lt;&gt;"!!!"),"NEW","")))</f>
        <v> </v>
      </c>
      <c r="G237" s="24" t="str">
        <f>IF(OR(E237="",E237="!!!"),"",IF(OR(J237=0,AND(J237=1,K237=1),AND(J237=1,I237="SBJ"),AND(J237=1,I237=0)),"?IN_FOCUS",IF(J237&lt;=2,"?ACTIVATED",IF(J237&lt;&gt;"","?FAMILIAR",IF(F237="NEW",IF(ISNA(VLOOKUP(E237,#REF!,1,FALSE())),"?TYPE_IDENTIFIABLE","?REFERENTIAL"),"_")))))</f>
        <v> </v>
      </c>
      <c r="H237" s="25" t="str">
        <f>IF(J237&lt;&gt;1,"",IF(I237="SBJ","CB","?"))</f>
        <v> </v>
      </c>
      <c r="I237" s="26" t="str">
        <f>IF(OR(E237="",E237="!!!",F237="NEW"),"",INDEX(B236:B$2,-1+SUMPRODUCT(MAX(ROW(E236:E$2)*(E237=E236:E$2)))))</f>
        <v> </v>
      </c>
      <c r="J237" s="26" t="str">
        <f>IF(OR(E237="",E237="!!!",F237="NEW"),"",COUNTBLANK(OFFSET(A$1,,,SUMPRODUCT(MAX(ROW(E$2:E237)*(E237=E$2:E237)))))-COUNTBLANK(OFFSET(A$1,,,SUMPRODUCT(MAX(ROW(E$1:E236)*(E2=E$1:E236))))))</f>
        <v> </v>
      </c>
      <c r="K237" s="26" t="str">
        <f>IF(OR(E237="",E237="!!!",F237="NEW"),"",INDEX(J$1:J236,SUMPRODUCT(MAX(ROW(E$1:E236)*(E237=E$1:E236)))))</f>
        <v> </v>
      </c>
      <c r="L237" s="27"/>
    </row>
    <row r="238" spans="1:12">
      <c r="A238" s="20" t="s">
        <v>891</v>
      </c>
      <c r="E238" s="22">
        <f>IF(D238="?OLD","!!!","")</f>
        <v/>
      </c>
      <c r="F238" s="23" t="str">
        <f>IF(OR(E238="",E238="!!!"),"",IF(NOT(ISNA(VLOOKUP(E238,E$1:E237,1,FALSE()))),"OLD",IF(AND(E238&lt;&gt;"",E238&lt;&gt;"!!!"),"NEW","")))</f>
        <v> </v>
      </c>
      <c r="G238" s="24" t="str">
        <f>IF(OR(E238="",E238="!!!"),"",IF(OR(J238=0,AND(J238=1,K238=1),AND(J238=1,I238="SBJ"),AND(J238=1,I238=0)),"?IN_FOCUS",IF(J238&lt;=2,"?ACTIVATED",IF(J238&lt;&gt;"","?FAMILIAR",IF(F238="NEW",IF(ISNA(VLOOKUP(E238,#REF!,1,FALSE())),"?TYPE_IDENTIFIABLE","?REFERENTIAL"),"_")))))</f>
        <v> </v>
      </c>
      <c r="H238" s="25" t="str">
        <f>IF(J238&lt;&gt;1,"",IF(I238="SBJ","CB","?"))</f>
        <v> </v>
      </c>
      <c r="I238" s="26" t="str">
        <f>IF(OR(E238="",E238="!!!",F238="NEW"),"",INDEX(B237:B$2,-1+SUMPRODUCT(MAX(ROW(E237:E$2)*(E238=E237:E$2)))))</f>
        <v> </v>
      </c>
      <c r="J238" s="26" t="str">
        <f>IF(OR(E238="",E238="!!!",F238="NEW"),"",COUNTBLANK(OFFSET(A$1,,,SUMPRODUCT(MAX(ROW(E$2:E238)*(E238=E$2:E238)))))-COUNTBLANK(OFFSET(A$1,,,SUMPRODUCT(MAX(ROW(E$1:E237)*(E2=E$1:E237))))))</f>
        <v> </v>
      </c>
      <c r="K238" s="26" t="str">
        <f>IF(OR(E238="",E238="!!!",F238="NEW"),"",INDEX(J$1:J237,SUMPRODUCT(MAX(ROW(E$1:E237)*(E238=E$1:E237)))))</f>
        <v> </v>
      </c>
      <c r="L238" s="27"/>
    </row>
    <row r="239" spans="1:12">
      <c r="A239" s="20" t="s">
        <v>246</v>
      </c>
      <c r="E239" s="22">
        <f>IF(D239="?OLD","!!!","")</f>
        <v/>
      </c>
      <c r="F239" s="23" t="str">
        <f>IF(OR(E239="",E239="!!!"),"",IF(NOT(ISNA(VLOOKUP(E239,E$1:E238,1,FALSE()))),"OLD",IF(AND(E239&lt;&gt;"",E239&lt;&gt;"!!!"),"NEW","")))</f>
        <v> </v>
      </c>
      <c r="G239" s="24" t="str">
        <f>IF(OR(E239="",E239="!!!"),"",IF(OR(J239=0,AND(J239=1,K239=1),AND(J239=1,I239="SBJ"),AND(J239=1,I239=0)),"?IN_FOCUS",IF(J239&lt;=2,"?ACTIVATED",IF(J239&lt;&gt;"","?FAMILIAR",IF(F239="NEW",IF(ISNA(VLOOKUP(E239,#REF!,1,FALSE())),"?TYPE_IDENTIFIABLE","?REFERENTIAL"),"_")))))</f>
        <v> </v>
      </c>
      <c r="H239" s="25" t="str">
        <f>IF(J239&lt;&gt;1,"",IF(I239="SBJ","CB","?"))</f>
        <v> </v>
      </c>
      <c r="I239" s="26" t="str">
        <f>IF(OR(E239="",E239="!!!",F239="NEW"),"",INDEX(B238:B$2,-1+SUMPRODUCT(MAX(ROW(E238:E$2)*(E239=E238:E$2)))))</f>
        <v> </v>
      </c>
      <c r="J239" s="26" t="str">
        <f>IF(OR(E239="",E239="!!!",F239="NEW"),"",COUNTBLANK(OFFSET(A$1,,,SUMPRODUCT(MAX(ROW(E$2:E239)*(E239=E$2:E239)))))-COUNTBLANK(OFFSET(A$1,,,SUMPRODUCT(MAX(ROW(E$1:E238)*(E2=E$1:E238))))))</f>
        <v> </v>
      </c>
      <c r="K239" s="26" t="str">
        <f>IF(OR(E239="",E239="!!!",F239="NEW"),"",INDEX(J$1:J238,SUMPRODUCT(MAX(ROW(E$1:E238)*(E239=E$1:E238)))))</f>
        <v> </v>
      </c>
      <c r="L239" s="27"/>
    </row>
    <row r="240" spans="1:12">
      <c r="A240" s="20"/>
    </row>
    <row r="241" spans="1:12">
      <c r="A241" s="20" t="s">
        <v>892</v>
      </c>
    </row>
    <row r="242" spans="1:12">
      <c r="A242" s="20" t="s">
        <v>768</v>
      </c>
      <c r="E242" s="22">
        <f>IF(D242="?OLD","!!!","")</f>
        <v/>
      </c>
      <c r="F242" s="23" t="str">
        <f>IF(OR(E242="",E242="!!!"),"",IF(NOT(ISNA(VLOOKUP(E242,E$1:E241,1,FALSE()))),"OLD",IF(AND(E242&lt;&gt;"",E242&lt;&gt;"!!!"),"NEW","")))</f>
        <v> </v>
      </c>
      <c r="G242" s="24" t="str">
        <f>IF(OR(E242="",E242="!!!"),"",IF(OR(J242=0,AND(J242=1,K242=1),AND(J242=1,I242="SBJ"),AND(J242=1,I242=0)),"?IN_FOCUS",IF(J242&lt;=2,"?ACTIVATED",IF(J242&lt;&gt;"","?FAMILIAR",IF(F242="NEW",IF(ISNA(VLOOKUP(E242,#REF!,1,FALSE())),"?TYPE_IDENTIFIABLE","?REFERENTIAL"),"_")))))</f>
        <v> </v>
      </c>
      <c r="H242" s="25" t="str">
        <f>IF(J242&lt;&gt;1,"",IF(I242="SBJ","CB","?"))</f>
        <v> </v>
      </c>
      <c r="I242" s="26" t="str">
        <f>IF(OR(E242="",E242="!!!",F242="NEW"),"",INDEX(B241:B$2,-1+SUMPRODUCT(MAX(ROW(E241:E$2)*(E242=E241:E$2)))))</f>
        <v> </v>
      </c>
      <c r="J242" s="26" t="str">
        <f>IF(OR(E242="",E242="!!!",F242="NEW"),"",COUNTBLANK(OFFSET(A$1,,,SUMPRODUCT(MAX(ROW(E$2:E242)*(E242=E$2:E242)))))-COUNTBLANK(OFFSET(A$1,,,SUMPRODUCT(MAX(ROW(E$1:E241)*(E2=E$1:E241))))))</f>
        <v> </v>
      </c>
      <c r="K242" s="26" t="str">
        <f>IF(OR(E242="",E242="!!!",F242="NEW"),"",INDEX(J$1:J241,SUMPRODUCT(MAX(ROW(E$1:E241)*(E242=E$1:E241)))))</f>
        <v> </v>
      </c>
      <c r="L242" s="27"/>
    </row>
    <row r="243" spans="1:12">
      <c r="A243" s="20" t="s">
        <v>750</v>
      </c>
      <c r="B243" s="21" t="s">
        <v>728</v>
      </c>
      <c r="C243" s="21" t="s">
        <v>729</v>
      </c>
      <c r="D243" s="21" t="s">
        <v>730</v>
      </c>
      <c r="E243" s="22">
        <f>IF(D243="?OLD","!!!","")</f>
        <v/>
      </c>
      <c r="F243" s="23" t="str">
        <f>IF(OR(E243="",E243="!!!"),"",IF(NOT(ISNA(VLOOKUP(E243,E$1:E242,1,FALSE()))),"OLD",IF(AND(E243&lt;&gt;"",E243&lt;&gt;"!!!"),"NEW","")))</f>
        <v> </v>
      </c>
      <c r="G243" s="24" t="str">
        <f>IF(OR(E243="",E243="!!!"),"",IF(OR(J243=0,AND(J243=1,K243=1),AND(J243=1,I243="SBJ"),AND(J243=1,I243=0)),"?IN_FOCUS",IF(J243&lt;=2,"?ACTIVATED",IF(J243&lt;&gt;"","?FAMILIAR",IF(F243="NEW",IF(ISNA(VLOOKUP(E243,#REF!,1,FALSE())),"?TYPE_IDENTIFIABLE","?REFERENTIAL"),"_")))))</f>
        <v> </v>
      </c>
      <c r="H243" s="25" t="str">
        <f>IF(J243&lt;&gt;1,"",IF(I243="SBJ","CB","?"))</f>
        <v> </v>
      </c>
      <c r="I243" s="26" t="str">
        <f>IF(OR(E243="",E243="!!!",F243="NEW"),"",INDEX(B242:B$2,-1+SUMPRODUCT(MAX(ROW(E242:E$2)*(E243=E242:E$2)))))</f>
        <v> </v>
      </c>
      <c r="J243" s="26" t="str">
        <f>IF(OR(E243="",E243="!!!",F243="NEW"),"",COUNTBLANK(OFFSET(A$1,,,SUMPRODUCT(MAX(ROW(E$2:E243)*(E243=E$2:E243)))))-COUNTBLANK(OFFSET(A$1,,,SUMPRODUCT(MAX(ROW(E$1:E242)*(E2=E$1:E242))))))</f>
        <v> </v>
      </c>
      <c r="K243" s="26" t="str">
        <f>IF(OR(E243="",E243="!!!",F243="NEW"),"",INDEX(J$1:J242,SUMPRODUCT(MAX(ROW(E$1:E242)*(E243=E$1:E242)))))</f>
        <v> </v>
      </c>
      <c r="L243" s="27"/>
    </row>
    <row r="244" spans="1:12">
      <c r="A244" s="20" t="s">
        <v>811</v>
      </c>
      <c r="E244" s="22">
        <f>IF(D244="?OLD","!!!","")</f>
        <v/>
      </c>
      <c r="F244" s="23" t="str">
        <f>IF(OR(E244="",E244="!!!"),"",IF(NOT(ISNA(VLOOKUP(E244,E$1:E243,1,FALSE()))),"OLD",IF(AND(E244&lt;&gt;"",E244&lt;&gt;"!!!"),"NEW","")))</f>
        <v> </v>
      </c>
      <c r="G244" s="24" t="str">
        <f>IF(OR(E244="",E244="!!!"),"",IF(OR(J244=0,AND(J244=1,K244=1),AND(J244=1,I244="SBJ"),AND(J244=1,I244=0)),"?IN_FOCUS",IF(J244&lt;=2,"?ACTIVATED",IF(J244&lt;&gt;"","?FAMILIAR",IF(F244="NEW",IF(ISNA(VLOOKUP(E244,#REF!,1,FALSE())),"?TYPE_IDENTIFIABLE","?REFERENTIAL"),"_")))))</f>
        <v> </v>
      </c>
      <c r="H244" s="25" t="str">
        <f>IF(J244&lt;&gt;1,"",IF(I244="SBJ","CB","?"))</f>
        <v> </v>
      </c>
      <c r="I244" s="26" t="str">
        <f>IF(OR(E244="",E244="!!!",F244="NEW"),"",INDEX(B243:B$2,-1+SUMPRODUCT(MAX(ROW(E243:E$2)*(E244=E243:E$2)))))</f>
        <v> </v>
      </c>
      <c r="J244" s="26" t="str">
        <f>IF(OR(E244="",E244="!!!",F244="NEW"),"",COUNTBLANK(OFFSET(A$1,,,SUMPRODUCT(MAX(ROW(E$2:E244)*(E244=E$2:E244)))))-COUNTBLANK(OFFSET(A$1,,,SUMPRODUCT(MAX(ROW(E$1:E243)*(E2=E$1:E243))))))</f>
        <v> </v>
      </c>
      <c r="K244" s="26" t="str">
        <f>IF(OR(E244="",E244="!!!",F244="NEW"),"",INDEX(J$1:J243,SUMPRODUCT(MAX(ROW(E$1:E243)*(E244=E$1:E243)))))</f>
        <v> </v>
      </c>
      <c r="L244" s="27"/>
    </row>
    <row r="245" spans="1:12">
      <c r="A245" s="20" t="s">
        <v>893</v>
      </c>
      <c r="B245" s="21" t="s">
        <v>736</v>
      </c>
      <c r="C245" s="21" t="s">
        <v>748</v>
      </c>
      <c r="E245" s="22">
        <f>IF(D245="?OLD","!!!","")</f>
        <v/>
      </c>
      <c r="F245" s="23" t="str">
        <f>IF(OR(E245="",E245="!!!"),"",IF(NOT(ISNA(VLOOKUP(E245,E$1:E244,1,FALSE()))),"OLD",IF(AND(E245&lt;&gt;"",E245&lt;&gt;"!!!"),"NEW","")))</f>
        <v> </v>
      </c>
      <c r="G245" s="24" t="str">
        <f>IF(OR(E245="",E245="!!!"),"",IF(OR(J245=0,AND(J245=1,K245=1),AND(J245=1,I245="SBJ"),AND(J245=1,I245=0)),"?IN_FOCUS",IF(J245&lt;=2,"?ACTIVATED",IF(J245&lt;&gt;"","?FAMILIAR",IF(F245="NEW",IF(ISNA(VLOOKUP(E245,#REF!,1,FALSE())),"?TYPE_IDENTIFIABLE","?REFERENTIAL"),"_")))))</f>
        <v> </v>
      </c>
      <c r="H245" s="25" t="str">
        <f>IF(J245&lt;&gt;1,"",IF(I245="SBJ","CB","?"))</f>
        <v> </v>
      </c>
      <c r="I245" s="26" t="str">
        <f>IF(OR(E245="",E245="!!!",F245="NEW"),"",INDEX(B244:B$2,-1+SUMPRODUCT(MAX(ROW(E244:E$2)*(E245=E244:E$2)))))</f>
        <v> </v>
      </c>
      <c r="J245" s="26" t="str">
        <f>IF(OR(E245="",E245="!!!",F245="NEW"),"",COUNTBLANK(OFFSET(A$1,,,SUMPRODUCT(MAX(ROW(E$2:E245)*(E245=E$2:E245)))))-COUNTBLANK(OFFSET(A$1,,,SUMPRODUCT(MAX(ROW(E$1:E244)*(E2=E$1:E244))))))</f>
        <v> </v>
      </c>
      <c r="K245" s="26" t="str">
        <f>IF(OR(E245="",E245="!!!",F245="NEW"),"",INDEX(J$1:J244,SUMPRODUCT(MAX(ROW(E$1:E244)*(E245=E$1:E244)))))</f>
        <v> </v>
      </c>
      <c r="L245" s="27"/>
    </row>
    <row r="246" spans="1:12">
      <c r="A246" s="20" t="s">
        <v>246</v>
      </c>
      <c r="E246" s="22">
        <f>IF(D246="?OLD","!!!","")</f>
        <v/>
      </c>
      <c r="F246" s="23" t="str">
        <f>IF(OR(E246="",E246="!!!"),"",IF(NOT(ISNA(VLOOKUP(E246,E$1:E245,1,FALSE()))),"OLD",IF(AND(E246&lt;&gt;"",E246&lt;&gt;"!!!"),"NEW","")))</f>
        <v> </v>
      </c>
      <c r="G246" s="24" t="str">
        <f>IF(OR(E246="",E246="!!!"),"",IF(OR(J246=0,AND(J246=1,K246=1),AND(J246=1,I246="SBJ"),AND(J246=1,I246=0)),"?IN_FOCUS",IF(J246&lt;=2,"?ACTIVATED",IF(J246&lt;&gt;"","?FAMILIAR",IF(F246="NEW",IF(ISNA(VLOOKUP(E246,#REF!,1,FALSE())),"?TYPE_IDENTIFIABLE","?REFERENTIAL"),"_")))))</f>
        <v> </v>
      </c>
      <c r="H246" s="25" t="str">
        <f>IF(J246&lt;&gt;1,"",IF(I246="SBJ","CB","?"))</f>
        <v> </v>
      </c>
      <c r="I246" s="26" t="str">
        <f>IF(OR(E246="",E246="!!!",F246="NEW"),"",INDEX(B245:B$2,-1+SUMPRODUCT(MAX(ROW(E245:E$2)*(E246=E245:E$2)))))</f>
        <v> </v>
      </c>
      <c r="J246" s="26" t="str">
        <f>IF(OR(E246="",E246="!!!",F246="NEW"),"",COUNTBLANK(OFFSET(A$1,,,SUMPRODUCT(MAX(ROW(E$2:E246)*(E246=E$2:E246)))))-COUNTBLANK(OFFSET(A$1,,,SUMPRODUCT(MAX(ROW(E$1:E245)*(E2=E$1:E245))))))</f>
        <v> </v>
      </c>
      <c r="K246" s="26" t="str">
        <f>IF(OR(E246="",E246="!!!",F246="NEW"),"",INDEX(J$1:J245,SUMPRODUCT(MAX(ROW(E$1:E245)*(E246=E$1:E245)))))</f>
        <v> </v>
      </c>
      <c r="L246" s="27"/>
    </row>
    <row r="247" spans="1:12">
      <c r="A247" s="20"/>
    </row>
    <row r="248" spans="1:12">
      <c r="A248" s="20" t="s">
        <v>894</v>
      </c>
    </row>
    <row r="249" spans="1:12">
      <c r="A249" s="20" t="s">
        <v>727</v>
      </c>
      <c r="B249" s="21" t="s">
        <v>728</v>
      </c>
      <c r="C249" s="21" t="s">
        <v>729</v>
      </c>
      <c r="D249" s="21" t="s">
        <v>730</v>
      </c>
      <c r="E249" s="22">
        <f>IF(D249="?OLD","!!!","")</f>
        <v/>
      </c>
      <c r="F249" s="23" t="str">
        <f>IF(OR(E249="",E249="!!!"),"",IF(NOT(ISNA(VLOOKUP(E249,E$1:E248,1,FALSE()))),"OLD",IF(AND(E249&lt;&gt;"",E249&lt;&gt;"!!!"),"NEW","")))</f>
        <v> </v>
      </c>
      <c r="G249" s="24" t="str">
        <f>IF(OR(E249="",E249="!!!"),"",IF(OR(J249=0,AND(J249=1,K249=1),AND(J249=1,I249="SBJ"),AND(J249=1,I249=0)),"?IN_FOCUS",IF(J249&lt;=2,"?ACTIVATED",IF(J249&lt;&gt;"","?FAMILIAR",IF(F249="NEW",IF(ISNA(VLOOKUP(E249,#REF!,1,FALSE())),"?TYPE_IDENTIFIABLE","?REFERENTIAL"),"_")))))</f>
        <v> </v>
      </c>
      <c r="H249" s="25" t="str">
        <f>IF(J249&lt;&gt;1,"",IF(I249="SBJ","CB","?"))</f>
        <v> </v>
      </c>
      <c r="I249" s="26" t="str">
        <f>IF(OR(E249="",E249="!!!",F249="NEW"),"",INDEX(B248:B$2,-1+SUMPRODUCT(MAX(ROW(E248:E$2)*(E249=E248:E$2)))))</f>
        <v> </v>
      </c>
      <c r="J249" s="26" t="str">
        <f>IF(OR(E249="",E249="!!!",F249="NEW"),"",COUNTBLANK(OFFSET(A$1,,,SUMPRODUCT(MAX(ROW(E$2:E249)*(E249=E$2:E249)))))-COUNTBLANK(OFFSET(A$1,,,SUMPRODUCT(MAX(ROW(E$1:E248)*(E2=E$1:E248))))))</f>
        <v> </v>
      </c>
      <c r="K249" s="26" t="str">
        <f>IF(OR(E249="",E249="!!!",F249="NEW"),"",INDEX(J$1:J248,SUMPRODUCT(MAX(ROW(E$1:E248)*(E249=E$1:E248)))))</f>
        <v> </v>
      </c>
      <c r="L249" s="27"/>
    </row>
    <row r="250" spans="1:12">
      <c r="A250" s="20" t="s">
        <v>895</v>
      </c>
      <c r="E250" s="22">
        <f>IF(D250="?OLD","!!!","")</f>
        <v/>
      </c>
      <c r="F250" s="23" t="str">
        <f>IF(OR(E250="",E250="!!!"),"",IF(NOT(ISNA(VLOOKUP(E250,E$1:E249,1,FALSE()))),"OLD",IF(AND(E250&lt;&gt;"",E250&lt;&gt;"!!!"),"NEW","")))</f>
        <v> </v>
      </c>
      <c r="G250" s="24" t="str">
        <f>IF(OR(E250="",E250="!!!"),"",IF(OR(J250=0,AND(J250=1,K250=1),AND(J250=1,I250="SBJ"),AND(J250=1,I250=0)),"?IN_FOCUS",IF(J250&lt;=2,"?ACTIVATED",IF(J250&lt;&gt;"","?FAMILIAR",IF(F250="NEW",IF(ISNA(VLOOKUP(E250,#REF!,1,FALSE())),"?TYPE_IDENTIFIABLE","?REFERENTIAL"),"_")))))</f>
        <v> </v>
      </c>
      <c r="H250" s="25" t="str">
        <f>IF(J250&lt;&gt;1,"",IF(I250="SBJ","CB","?"))</f>
        <v> </v>
      </c>
      <c r="I250" s="26" t="str">
        <f>IF(OR(E250="",E250="!!!",F250="NEW"),"",INDEX(B249:B$2,-1+SUMPRODUCT(MAX(ROW(E249:E$2)*(E250=E249:E$2)))))</f>
        <v> </v>
      </c>
      <c r="J250" s="26" t="str">
        <f>IF(OR(E250="",E250="!!!",F250="NEW"),"",COUNTBLANK(OFFSET(A$1,,,SUMPRODUCT(MAX(ROW(E$2:E250)*(E250=E$2:E250)))))-COUNTBLANK(OFFSET(A$1,,,SUMPRODUCT(MAX(ROW(E$1:E249)*(E2=E$1:E249))))))</f>
        <v> </v>
      </c>
      <c r="K250" s="26" t="str">
        <f>IF(OR(E250="",E250="!!!",F250="NEW"),"",INDEX(J$1:J249,SUMPRODUCT(MAX(ROW(E$1:E249)*(E250=E$1:E249)))))</f>
        <v> </v>
      </c>
      <c r="L250" s="27"/>
    </row>
    <row r="251" spans="1:12">
      <c r="A251" s="20" t="s">
        <v>53</v>
      </c>
      <c r="E251" s="22">
        <f>IF(D251="?OLD","!!!","")</f>
        <v/>
      </c>
      <c r="F251" s="23" t="str">
        <f>IF(OR(E251="",E251="!!!"),"",IF(NOT(ISNA(VLOOKUP(E251,E$1:E250,1,FALSE()))),"OLD",IF(AND(E251&lt;&gt;"",E251&lt;&gt;"!!!"),"NEW","")))</f>
        <v> </v>
      </c>
      <c r="G251" s="24" t="str">
        <f>IF(OR(E251="",E251="!!!"),"",IF(OR(J251=0,AND(J251=1,K251=1),AND(J251=1,I251="SBJ"),AND(J251=1,I251=0)),"?IN_FOCUS",IF(J251&lt;=2,"?ACTIVATED",IF(J251&lt;&gt;"","?FAMILIAR",IF(F251="NEW",IF(ISNA(VLOOKUP(E251,#REF!,1,FALSE())),"?TYPE_IDENTIFIABLE","?REFERENTIAL"),"_")))))</f>
        <v> </v>
      </c>
      <c r="H251" s="25" t="str">
        <f>IF(J251&lt;&gt;1,"",IF(I251="SBJ","CB","?"))</f>
        <v> </v>
      </c>
      <c r="I251" s="26" t="str">
        <f>IF(OR(E251="",E251="!!!",F251="NEW"),"",INDEX(B250:B$2,-1+SUMPRODUCT(MAX(ROW(E250:E$2)*(E251=E250:E$2)))))</f>
        <v> </v>
      </c>
      <c r="J251" s="26" t="str">
        <f>IF(OR(E251="",E251="!!!",F251="NEW"),"",COUNTBLANK(OFFSET(A$1,,,SUMPRODUCT(MAX(ROW(E$2:E251)*(E251=E$2:E251)))))-COUNTBLANK(OFFSET(A$1,,,SUMPRODUCT(MAX(ROW(E$1:E250)*(E2=E$1:E250))))))</f>
        <v> </v>
      </c>
      <c r="K251" s="26" t="str">
        <f>IF(OR(E251="",E251="!!!",F251="NEW"),"",INDEX(J$1:J250,SUMPRODUCT(MAX(ROW(E$1:E250)*(E251=E$1:E250)))))</f>
        <v> </v>
      </c>
      <c r="L251" s="27"/>
    </row>
    <row r="252" spans="1:12">
      <c r="A252" s="20" t="s">
        <v>246</v>
      </c>
      <c r="E252" s="22">
        <f>IF(D252="?OLD","!!!","")</f>
        <v/>
      </c>
      <c r="F252" s="23" t="str">
        <f>IF(OR(E252="",E252="!!!"),"",IF(NOT(ISNA(VLOOKUP(E252,E$1:E251,1,FALSE()))),"OLD",IF(AND(E252&lt;&gt;"",E252&lt;&gt;"!!!"),"NEW","")))</f>
        <v> </v>
      </c>
      <c r="G252" s="24" t="str">
        <f>IF(OR(E252="",E252="!!!"),"",IF(OR(J252=0,AND(J252=1,K252=1),AND(J252=1,I252="SBJ"),AND(J252=1,I252=0)),"?IN_FOCUS",IF(J252&lt;=2,"?ACTIVATED",IF(J252&lt;&gt;"","?FAMILIAR",IF(F252="NEW",IF(ISNA(VLOOKUP(E252,#REF!,1,FALSE())),"?TYPE_IDENTIFIABLE","?REFERENTIAL"),"_")))))</f>
        <v> </v>
      </c>
      <c r="H252" s="25" t="str">
        <f>IF(J252&lt;&gt;1,"",IF(I252="SBJ","CB","?"))</f>
        <v> </v>
      </c>
      <c r="I252" s="26" t="str">
        <f>IF(OR(E252="",E252="!!!",F252="NEW"),"",INDEX(B251:B$2,-1+SUMPRODUCT(MAX(ROW(E251:E$2)*(E252=E251:E$2)))))</f>
        <v> </v>
      </c>
      <c r="J252" s="26" t="str">
        <f>IF(OR(E252="",E252="!!!",F252="NEW"),"",COUNTBLANK(OFFSET(A$1,,,SUMPRODUCT(MAX(ROW(E$2:E252)*(E252=E$2:E252)))))-COUNTBLANK(OFFSET(A$1,,,SUMPRODUCT(MAX(ROW(E$1:E251)*(E2=E$1:E251))))))</f>
        <v> </v>
      </c>
      <c r="K252" s="26" t="str">
        <f>IF(OR(E252="",E252="!!!",F252="NEW"),"",INDEX(J$1:J251,SUMPRODUCT(MAX(ROW(E$1:E251)*(E252=E$1:E251)))))</f>
        <v> </v>
      </c>
      <c r="L252" s="27"/>
    </row>
    <row r="253" spans="1:12">
      <c r="A253" s="20"/>
    </row>
    <row r="254" spans="1:12">
      <c r="A254" s="20" t="s">
        <v>896</v>
      </c>
    </row>
    <row r="255" spans="1:12">
      <c r="A255" s="20" t="s">
        <v>727</v>
      </c>
      <c r="B255" s="21" t="s">
        <v>728</v>
      </c>
      <c r="C255" s="21" t="s">
        <v>729</v>
      </c>
      <c r="D255" s="21" t="s">
        <v>730</v>
      </c>
      <c r="E255" s="22">
        <f>IF(D255="?OLD","!!!","")</f>
        <v/>
      </c>
      <c r="F255" s="23" t="str">
        <f>IF(OR(E255="",E255="!!!"),"",IF(NOT(ISNA(VLOOKUP(E255,E$1:E254,1,FALSE()))),"OLD",IF(AND(E255&lt;&gt;"",E255&lt;&gt;"!!!"),"NEW","")))</f>
        <v> </v>
      </c>
      <c r="G255" s="24" t="str">
        <f>IF(OR(E255="",E255="!!!"),"",IF(OR(J255=0,AND(J255=1,K255=1),AND(J255=1,I255="SBJ"),AND(J255=1,I255=0)),"?IN_FOCUS",IF(J255&lt;=2,"?ACTIVATED",IF(J255&lt;&gt;"","?FAMILIAR",IF(F255="NEW",IF(ISNA(VLOOKUP(E255,#REF!,1,FALSE())),"?TYPE_IDENTIFIABLE","?REFERENTIAL"),"_")))))</f>
        <v> </v>
      </c>
      <c r="H255" s="25" t="str">
        <f>IF(J255&lt;&gt;1,"",IF(I255="SBJ","CB","?"))</f>
        <v> </v>
      </c>
      <c r="I255" s="26" t="str">
        <f>IF(OR(E255="",E255="!!!",F255="NEW"),"",INDEX(B254:B$2,-1+SUMPRODUCT(MAX(ROW(E254:E$2)*(E255=E254:E$2)))))</f>
        <v> </v>
      </c>
      <c r="J255" s="26" t="str">
        <f>IF(OR(E255="",E255="!!!",F255="NEW"),"",COUNTBLANK(OFFSET(A$1,,,SUMPRODUCT(MAX(ROW(E$2:E255)*(E255=E$2:E255)))))-COUNTBLANK(OFFSET(A$1,,,SUMPRODUCT(MAX(ROW(E$1:E254)*(E2=E$1:E254))))))</f>
        <v> </v>
      </c>
      <c r="K255" s="26" t="str">
        <f>IF(OR(E255="",E255="!!!",F255="NEW"),"",INDEX(J$1:J254,SUMPRODUCT(MAX(ROW(E$1:E254)*(E255=E$1:E254)))))</f>
        <v> </v>
      </c>
      <c r="L255" s="27"/>
    </row>
    <row r="256" spans="1:12">
      <c r="A256" s="20" t="s">
        <v>895</v>
      </c>
      <c r="E256" s="22">
        <f>IF(D256="?OLD","!!!","")</f>
        <v/>
      </c>
      <c r="F256" s="23" t="str">
        <f>IF(OR(E256="",E256="!!!"),"",IF(NOT(ISNA(VLOOKUP(E256,E$1:E255,1,FALSE()))),"OLD",IF(AND(E256&lt;&gt;"",E256&lt;&gt;"!!!"),"NEW","")))</f>
        <v> </v>
      </c>
      <c r="G256" s="24" t="str">
        <f>IF(OR(E256="",E256="!!!"),"",IF(OR(J256=0,AND(J256=1,K256=1),AND(J256=1,I256="SBJ"),AND(J256=1,I256=0)),"?IN_FOCUS",IF(J256&lt;=2,"?ACTIVATED",IF(J256&lt;&gt;"","?FAMILIAR",IF(F256="NEW",IF(ISNA(VLOOKUP(E256,#REF!,1,FALSE())),"?TYPE_IDENTIFIABLE","?REFERENTIAL"),"_")))))</f>
        <v> </v>
      </c>
      <c r="H256" s="25" t="str">
        <f>IF(J256&lt;&gt;1,"",IF(I256="SBJ","CB","?"))</f>
        <v> </v>
      </c>
      <c r="I256" s="26" t="str">
        <f>IF(OR(E256="",E256="!!!",F256="NEW"),"",INDEX(B255:B$2,-1+SUMPRODUCT(MAX(ROW(E255:E$2)*(E256=E255:E$2)))))</f>
        <v> </v>
      </c>
      <c r="J256" s="26" t="str">
        <f>IF(OR(E256="",E256="!!!",F256="NEW"),"",COUNTBLANK(OFFSET(A$1,,,SUMPRODUCT(MAX(ROW(E$2:E256)*(E256=E$2:E256)))))-COUNTBLANK(OFFSET(A$1,,,SUMPRODUCT(MAX(ROW(E$1:E255)*(E2=E$1:E255))))))</f>
        <v> </v>
      </c>
      <c r="K256" s="26" t="str">
        <f>IF(OR(E256="",E256="!!!",F256="NEW"),"",INDEX(J$1:J255,SUMPRODUCT(MAX(ROW(E$1:E255)*(E256=E$1:E255)))))</f>
        <v> </v>
      </c>
      <c r="L256" s="27"/>
    </row>
    <row r="257" spans="1:12">
      <c r="A257" s="20" t="s">
        <v>57</v>
      </c>
      <c r="E257" s="22">
        <f>IF(D257="?OLD","!!!","")</f>
        <v/>
      </c>
      <c r="F257" s="23" t="str">
        <f>IF(OR(E257="",E257="!!!"),"",IF(NOT(ISNA(VLOOKUP(E257,E$1:E256,1,FALSE()))),"OLD",IF(AND(E257&lt;&gt;"",E257&lt;&gt;"!!!"),"NEW","")))</f>
        <v> </v>
      </c>
      <c r="G257" s="24" t="str">
        <f>IF(OR(E257="",E257="!!!"),"",IF(OR(J257=0,AND(J257=1,K257=1),AND(J257=1,I257="SBJ"),AND(J257=1,I257=0)),"?IN_FOCUS",IF(J257&lt;=2,"?ACTIVATED",IF(J257&lt;&gt;"","?FAMILIAR",IF(F257="NEW",IF(ISNA(VLOOKUP(E257,#REF!,1,FALSE())),"?TYPE_IDENTIFIABLE","?REFERENTIAL"),"_")))))</f>
        <v> </v>
      </c>
      <c r="H257" s="25" t="str">
        <f>IF(J257&lt;&gt;1,"",IF(I257="SBJ","CB","?"))</f>
        <v> </v>
      </c>
      <c r="I257" s="26" t="str">
        <f>IF(OR(E257="",E257="!!!",F257="NEW"),"",INDEX(B256:B$2,-1+SUMPRODUCT(MAX(ROW(E256:E$2)*(E257=E256:E$2)))))</f>
        <v> </v>
      </c>
      <c r="J257" s="26" t="str">
        <f>IF(OR(E257="",E257="!!!",F257="NEW"),"",COUNTBLANK(OFFSET(A$1,,,SUMPRODUCT(MAX(ROW(E$2:E257)*(E257=E$2:E257)))))-COUNTBLANK(OFFSET(A$1,,,SUMPRODUCT(MAX(ROW(E$1:E256)*(E2=E$1:E256))))))</f>
        <v> </v>
      </c>
      <c r="K257" s="26" t="str">
        <f>IF(OR(E257="",E257="!!!",F257="NEW"),"",INDEX(J$1:J256,SUMPRODUCT(MAX(ROW(E$1:E256)*(E257=E$1:E256)))))</f>
        <v> </v>
      </c>
      <c r="L257" s="27"/>
    </row>
    <row r="258" spans="1:12">
      <c r="A258" s="20" t="s">
        <v>246</v>
      </c>
      <c r="E258" s="22">
        <f>IF(D258="?OLD","!!!","")</f>
        <v/>
      </c>
      <c r="F258" s="23" t="str">
        <f>IF(OR(E258="",E258="!!!"),"",IF(NOT(ISNA(VLOOKUP(E258,E$1:E257,1,FALSE()))),"OLD",IF(AND(E258&lt;&gt;"",E258&lt;&gt;"!!!"),"NEW","")))</f>
        <v> </v>
      </c>
      <c r="G258" s="24" t="str">
        <f>IF(OR(E258="",E258="!!!"),"",IF(OR(J258=0,AND(J258=1,K258=1),AND(J258=1,I258="SBJ"),AND(J258=1,I258=0)),"?IN_FOCUS",IF(J258&lt;=2,"?ACTIVATED",IF(J258&lt;&gt;"","?FAMILIAR",IF(F258="NEW",IF(ISNA(VLOOKUP(E258,#REF!,1,FALSE())),"?TYPE_IDENTIFIABLE","?REFERENTIAL"),"_")))))</f>
        <v> </v>
      </c>
      <c r="H258" s="25" t="str">
        <f>IF(J258&lt;&gt;1,"",IF(I258="SBJ","CB","?"))</f>
        <v> </v>
      </c>
      <c r="I258" s="26" t="str">
        <f>IF(OR(E258="",E258="!!!",F258="NEW"),"",INDEX(B257:B$2,-1+SUMPRODUCT(MAX(ROW(E257:E$2)*(E258=E257:E$2)))))</f>
        <v> </v>
      </c>
      <c r="J258" s="26" t="str">
        <f>IF(OR(E258="",E258="!!!",F258="NEW"),"",COUNTBLANK(OFFSET(A$1,,,SUMPRODUCT(MAX(ROW(E$2:E258)*(E258=E$2:E258)))))-COUNTBLANK(OFFSET(A$1,,,SUMPRODUCT(MAX(ROW(E$1:E257)*(E2=E$1:E257))))))</f>
        <v> </v>
      </c>
      <c r="K258" s="26" t="str">
        <f>IF(OR(E258="",E258="!!!",F258="NEW"),"",INDEX(J$1:J257,SUMPRODUCT(MAX(ROW(E$1:E257)*(E258=E$1:E257)))))</f>
        <v> </v>
      </c>
      <c r="L258" s="27"/>
    </row>
    <row r="259" spans="1:12">
      <c r="A259" s="20"/>
    </row>
    <row r="260" spans="1:12">
      <c r="A260" s="20" t="s">
        <v>897</v>
      </c>
    </row>
    <row r="261" spans="1:12">
      <c r="A261" s="20" t="s">
        <v>768</v>
      </c>
      <c r="E261" s="22">
        <f>IF(D261="?OLD","!!!","")</f>
        <v/>
      </c>
      <c r="F261" s="23" t="str">
        <f>IF(OR(E261="",E261="!!!"),"",IF(NOT(ISNA(VLOOKUP(E261,E$1:E260,1,FALSE()))),"OLD",IF(AND(E261&lt;&gt;"",E261&lt;&gt;"!!!"),"NEW","")))</f>
        <v> </v>
      </c>
      <c r="G261" s="24" t="str">
        <f>IF(OR(E261="",E261="!!!"),"",IF(OR(J261=0,AND(J261=1,K261=1),AND(J261=1,I261="SBJ"),AND(J261=1,I261=0)),"?IN_FOCUS",IF(J261&lt;=2,"?ACTIVATED",IF(J261&lt;&gt;"","?FAMILIAR",IF(F261="NEW",IF(ISNA(VLOOKUP(E261,#REF!,1,FALSE())),"?TYPE_IDENTIFIABLE","?REFERENTIAL"),"_")))))</f>
        <v> </v>
      </c>
      <c r="H261" s="25" t="str">
        <f>IF(J261&lt;&gt;1,"",IF(I261="SBJ","CB","?"))</f>
        <v> </v>
      </c>
      <c r="I261" s="26" t="str">
        <f>IF(OR(E261="",E261="!!!",F261="NEW"),"",INDEX(B260:B$2,-1+SUMPRODUCT(MAX(ROW(E260:E$2)*(E261=E260:E$2)))))</f>
        <v> </v>
      </c>
      <c r="J261" s="26" t="str">
        <f>IF(OR(E261="",E261="!!!",F261="NEW"),"",COUNTBLANK(OFFSET(A$1,,,SUMPRODUCT(MAX(ROW(E$2:E261)*(E261=E$2:E261)))))-COUNTBLANK(OFFSET(A$1,,,SUMPRODUCT(MAX(ROW(E$1:E260)*(E2=E$1:E260))))))</f>
        <v> </v>
      </c>
      <c r="K261" s="26" t="str">
        <f>IF(OR(E261="",E261="!!!",F261="NEW"),"",INDEX(J$1:J260,SUMPRODUCT(MAX(ROW(E$1:E260)*(E261=E$1:E260)))))</f>
        <v> </v>
      </c>
      <c r="L261" s="27"/>
    </row>
    <row r="262" spans="1:12">
      <c r="A262" s="20" t="s">
        <v>898</v>
      </c>
      <c r="E262" s="22">
        <f>IF(D262="?OLD","!!!","")</f>
        <v/>
      </c>
      <c r="F262" s="23" t="str">
        <f>IF(OR(E262="",E262="!!!"),"",IF(NOT(ISNA(VLOOKUP(E262,E$1:E261,1,FALSE()))),"OLD",IF(AND(E262&lt;&gt;"",E262&lt;&gt;"!!!"),"NEW","")))</f>
        <v> </v>
      </c>
      <c r="G262" s="24" t="str">
        <f>IF(OR(E262="",E262="!!!"),"",IF(OR(J262=0,AND(J262=1,K262=1),AND(J262=1,I262="SBJ"),AND(J262=1,I262=0)),"?IN_FOCUS",IF(J262&lt;=2,"?ACTIVATED",IF(J262&lt;&gt;"","?FAMILIAR",IF(F262="NEW",IF(ISNA(VLOOKUP(E262,#REF!,1,FALSE())),"?TYPE_IDENTIFIABLE","?REFERENTIAL"),"_")))))</f>
        <v> </v>
      </c>
      <c r="H262" s="25" t="str">
        <f>IF(J262&lt;&gt;1,"",IF(I262="SBJ","CB","?"))</f>
        <v> </v>
      </c>
      <c r="I262" s="26" t="str">
        <f>IF(OR(E262="",E262="!!!",F262="NEW"),"",INDEX(B261:B$2,-1+SUMPRODUCT(MAX(ROW(E261:E$2)*(E262=E261:E$2)))))</f>
        <v> </v>
      </c>
      <c r="J262" s="26" t="str">
        <f>IF(OR(E262="",E262="!!!",F262="NEW"),"",COUNTBLANK(OFFSET(A$1,,,SUMPRODUCT(MAX(ROW(E$2:E262)*(E262=E$2:E262)))))-COUNTBLANK(OFFSET(A$1,,,SUMPRODUCT(MAX(ROW(E$1:E261)*(E2=E$1:E261))))))</f>
        <v> </v>
      </c>
      <c r="K262" s="26" t="str">
        <f>IF(OR(E262="",E262="!!!",F262="NEW"),"",INDEX(J$1:J261,SUMPRODUCT(MAX(ROW(E$1:E261)*(E262=E$1:E261)))))</f>
        <v> </v>
      </c>
      <c r="L262" s="27"/>
    </row>
    <row r="263" spans="1:12">
      <c r="A263" s="20" t="s">
        <v>899</v>
      </c>
      <c r="E263" s="22">
        <f>IF(D263="?OLD","!!!","")</f>
        <v/>
      </c>
      <c r="F263" s="23" t="str">
        <f>IF(OR(E263="",E263="!!!"),"",IF(NOT(ISNA(VLOOKUP(E263,E$1:E262,1,FALSE()))),"OLD",IF(AND(E263&lt;&gt;"",E263&lt;&gt;"!!!"),"NEW","")))</f>
        <v> </v>
      </c>
      <c r="G263" s="24" t="str">
        <f>IF(OR(E263="",E263="!!!"),"",IF(OR(J263=0,AND(J263=1,K263=1),AND(J263=1,I263="SBJ"),AND(J263=1,I263=0)),"?IN_FOCUS",IF(J263&lt;=2,"?ACTIVATED",IF(J263&lt;&gt;"","?FAMILIAR",IF(F263="NEW",IF(ISNA(VLOOKUP(E263,#REF!,1,FALSE())),"?TYPE_IDENTIFIABLE","?REFERENTIAL"),"_")))))</f>
        <v> </v>
      </c>
      <c r="H263" s="25" t="str">
        <f>IF(J263&lt;&gt;1,"",IF(I263="SBJ","CB","?"))</f>
        <v> </v>
      </c>
      <c r="I263" s="26" t="str">
        <f>IF(OR(E263="",E263="!!!",F263="NEW"),"",INDEX(B262:B$2,-1+SUMPRODUCT(MAX(ROW(E262:E$2)*(E263=E262:E$2)))))</f>
        <v> </v>
      </c>
      <c r="J263" s="26" t="str">
        <f>IF(OR(E263="",E263="!!!",F263="NEW"),"",COUNTBLANK(OFFSET(A$1,,,SUMPRODUCT(MAX(ROW(E$2:E263)*(E263=E$2:E263)))))-COUNTBLANK(OFFSET(A$1,,,SUMPRODUCT(MAX(ROW(E$1:E262)*(E2=E$1:E262))))))</f>
        <v> </v>
      </c>
      <c r="K263" s="26" t="str">
        <f>IF(OR(E263="",E263="!!!",F263="NEW"),"",INDEX(J$1:J262,SUMPRODUCT(MAX(ROW(E$1:E262)*(E263=E$1:E262)))))</f>
        <v> </v>
      </c>
      <c r="L263" s="27"/>
    </row>
    <row r="264" spans="1:12">
      <c r="A264" s="20" t="s">
        <v>900</v>
      </c>
      <c r="E264" s="22">
        <f>IF(D264="?OLD","!!!","")</f>
        <v/>
      </c>
      <c r="F264" s="23" t="str">
        <f>IF(OR(E264="",E264="!!!"),"",IF(NOT(ISNA(VLOOKUP(E264,E$1:E263,1,FALSE()))),"OLD",IF(AND(E264&lt;&gt;"",E264&lt;&gt;"!!!"),"NEW","")))</f>
        <v> </v>
      </c>
      <c r="G264" s="24" t="str">
        <f>IF(OR(E264="",E264="!!!"),"",IF(OR(J264=0,AND(J264=1,K264=1),AND(J264=1,I264="SBJ"),AND(J264=1,I264=0)),"?IN_FOCUS",IF(J264&lt;=2,"?ACTIVATED",IF(J264&lt;&gt;"","?FAMILIAR",IF(F264="NEW",IF(ISNA(VLOOKUP(E264,#REF!,1,FALSE())),"?TYPE_IDENTIFIABLE","?REFERENTIAL"),"_")))))</f>
        <v> </v>
      </c>
      <c r="H264" s="25" t="str">
        <f>IF(J264&lt;&gt;1,"",IF(I264="SBJ","CB","?"))</f>
        <v> </v>
      </c>
      <c r="I264" s="26" t="str">
        <f>IF(OR(E264="",E264="!!!",F264="NEW"),"",INDEX(B263:B$2,-1+SUMPRODUCT(MAX(ROW(E263:E$2)*(E264=E263:E$2)))))</f>
        <v> </v>
      </c>
      <c r="J264" s="26" t="str">
        <f>IF(OR(E264="",E264="!!!",F264="NEW"),"",COUNTBLANK(OFFSET(A$1,,,SUMPRODUCT(MAX(ROW(E$2:E264)*(E264=E$2:E264)))))-COUNTBLANK(OFFSET(A$1,,,SUMPRODUCT(MAX(ROW(E$1:E263)*(E2=E$1:E263))))))</f>
        <v> </v>
      </c>
      <c r="K264" s="26" t="str">
        <f>IF(OR(E264="",E264="!!!",F264="NEW"),"",INDEX(J$1:J263,SUMPRODUCT(MAX(ROW(E$1:E263)*(E264=E$1:E263)))))</f>
        <v> </v>
      </c>
      <c r="L264" s="27"/>
    </row>
    <row r="265" spans="1:12">
      <c r="A265" s="20" t="s">
        <v>901</v>
      </c>
      <c r="B265" s="21" t="s">
        <v>796</v>
      </c>
      <c r="C265" s="21" t="s">
        <v>748</v>
      </c>
      <c r="E265" s="22">
        <f>IF(D265="?OLD","!!!","")</f>
        <v/>
      </c>
      <c r="F265" s="23" t="str">
        <f>IF(OR(E265="",E265="!!!"),"",IF(NOT(ISNA(VLOOKUP(E265,E$1:E264,1,FALSE()))),"OLD",IF(AND(E265&lt;&gt;"",E265&lt;&gt;"!!!"),"NEW","")))</f>
        <v> </v>
      </c>
      <c r="G265" s="24" t="str">
        <f>IF(OR(E265="",E265="!!!"),"",IF(OR(J265=0,AND(J265=1,K265=1),AND(J265=1,I265="SBJ"),AND(J265=1,I265=0)),"?IN_FOCUS",IF(J265&lt;=2,"?ACTIVATED",IF(J265&lt;&gt;"","?FAMILIAR",IF(F265="NEW",IF(ISNA(VLOOKUP(E265,#REF!,1,FALSE())),"?TYPE_IDENTIFIABLE","?REFERENTIAL"),"_")))))</f>
        <v> </v>
      </c>
      <c r="H265" s="25" t="str">
        <f>IF(J265&lt;&gt;1,"",IF(I265="SBJ","CB","?"))</f>
        <v> </v>
      </c>
      <c r="I265" s="26" t="str">
        <f>IF(OR(E265="",E265="!!!",F265="NEW"),"",INDEX(B264:B$2,-1+SUMPRODUCT(MAX(ROW(E264:E$2)*(E265=E264:E$2)))))</f>
        <v> </v>
      </c>
      <c r="J265" s="26" t="str">
        <f>IF(OR(E265="",E265="!!!",F265="NEW"),"",COUNTBLANK(OFFSET(A$1,,,SUMPRODUCT(MAX(ROW(E$2:E265)*(E265=E$2:E265)))))-COUNTBLANK(OFFSET(A$1,,,SUMPRODUCT(MAX(ROW(E$1:E264)*(E2=E$1:E264))))))</f>
        <v> </v>
      </c>
      <c r="K265" s="26" t="str">
        <f>IF(OR(E265="",E265="!!!",F265="NEW"),"",INDEX(J$1:J264,SUMPRODUCT(MAX(ROW(E$1:E264)*(E265=E$1:E264)))))</f>
        <v> </v>
      </c>
      <c r="L265" s="27"/>
    </row>
    <row r="266" spans="1:12">
      <c r="A266" s="20" t="s">
        <v>902</v>
      </c>
      <c r="E266" s="22">
        <f>IF(D266="?OLD","!!!","")</f>
        <v/>
      </c>
      <c r="F266" s="23" t="str">
        <f>IF(OR(E266="",E266="!!!"),"",IF(NOT(ISNA(VLOOKUP(E266,E$1:E265,1,FALSE()))),"OLD",IF(AND(E266&lt;&gt;"",E266&lt;&gt;"!!!"),"NEW","")))</f>
        <v> </v>
      </c>
      <c r="G266" s="24" t="str">
        <f>IF(OR(E266="",E266="!!!"),"",IF(OR(J266=0,AND(J266=1,K266=1),AND(J266=1,I266="SBJ"),AND(J266=1,I266=0)),"?IN_FOCUS",IF(J266&lt;=2,"?ACTIVATED",IF(J266&lt;&gt;"","?FAMILIAR",IF(F266="NEW",IF(ISNA(VLOOKUP(E266,#REF!,1,FALSE())),"?TYPE_IDENTIFIABLE","?REFERENTIAL"),"_")))))</f>
        <v> </v>
      </c>
      <c r="H266" s="25" t="str">
        <f>IF(J266&lt;&gt;1,"",IF(I266="SBJ","CB","?"))</f>
        <v> </v>
      </c>
      <c r="I266" s="26" t="str">
        <f>IF(OR(E266="",E266="!!!",F266="NEW"),"",INDEX(B265:B$2,-1+SUMPRODUCT(MAX(ROW(E265:E$2)*(E266=E265:E$2)))))</f>
        <v> </v>
      </c>
      <c r="J266" s="26" t="str">
        <f>IF(OR(E266="",E266="!!!",F266="NEW"),"",COUNTBLANK(OFFSET(A$1,,,SUMPRODUCT(MAX(ROW(E$2:E266)*(E266=E$2:E266)))))-COUNTBLANK(OFFSET(A$1,,,SUMPRODUCT(MAX(ROW(E$1:E265)*(E2=E$1:E265))))))</f>
        <v> </v>
      </c>
      <c r="K266" s="26" t="str">
        <f>IF(OR(E266="",E266="!!!",F266="NEW"),"",INDEX(J$1:J265,SUMPRODUCT(MAX(ROW(E$1:E265)*(E266=E$1:E265)))))</f>
        <v> </v>
      </c>
      <c r="L266" s="27"/>
    </row>
    <row r="267" spans="1:12">
      <c r="A267" s="20" t="s">
        <v>903</v>
      </c>
      <c r="B267" s="21" t="s">
        <v>755</v>
      </c>
      <c r="C267" s="21" t="s">
        <v>801</v>
      </c>
      <c r="D267" s="21" t="s">
        <v>730</v>
      </c>
      <c r="E267" s="22">
        <f>IF(D267="?OLD","!!!","")</f>
        <v/>
      </c>
      <c r="F267" s="23" t="str">
        <f>IF(OR(E267="",E267="!!!"),"",IF(NOT(ISNA(VLOOKUP(E267,E$1:E266,1,FALSE()))),"OLD",IF(AND(E267&lt;&gt;"",E267&lt;&gt;"!!!"),"NEW","")))</f>
        <v> </v>
      </c>
      <c r="G267" s="24" t="str">
        <f>IF(OR(E267="",E267="!!!"),"",IF(OR(J267=0,AND(J267=1,K267=1),AND(J267=1,I267="SBJ"),AND(J267=1,I267=0)),"?IN_FOCUS",IF(J267&lt;=2,"?ACTIVATED",IF(J267&lt;&gt;"","?FAMILIAR",IF(F267="NEW",IF(ISNA(VLOOKUP(E267,#REF!,1,FALSE())),"?TYPE_IDENTIFIABLE","?REFERENTIAL"),"_")))))</f>
        <v> </v>
      </c>
      <c r="H267" s="25" t="str">
        <f>IF(J267&lt;&gt;1,"",IF(I267="SBJ","CB","?"))</f>
        <v> </v>
      </c>
      <c r="I267" s="26" t="str">
        <f>IF(OR(E267="",E267="!!!",F267="NEW"),"",INDEX(B266:B$2,-1+SUMPRODUCT(MAX(ROW(E266:E$2)*(E267=E266:E$2)))))</f>
        <v> </v>
      </c>
      <c r="J267" s="26" t="str">
        <f>IF(OR(E267="",E267="!!!",F267="NEW"),"",COUNTBLANK(OFFSET(A$1,,,SUMPRODUCT(MAX(ROW(E$2:E267)*(E267=E$2:E267)))))-COUNTBLANK(OFFSET(A$1,,,SUMPRODUCT(MAX(ROW(E$1:E266)*(E2=E$1:E266))))))</f>
        <v> </v>
      </c>
      <c r="K267" s="26" t="str">
        <f>IF(OR(E267="",E267="!!!",F267="NEW"),"",INDEX(J$1:J266,SUMPRODUCT(MAX(ROW(E$1:E266)*(E267=E$1:E266)))))</f>
        <v> </v>
      </c>
      <c r="L267" s="27"/>
    </row>
    <row r="268" spans="1:12">
      <c r="A268" s="20" t="s">
        <v>904</v>
      </c>
      <c r="B268" s="21" t="s">
        <v>791</v>
      </c>
      <c r="C268" s="21" t="s">
        <v>802</v>
      </c>
      <c r="D268" s="21" t="s">
        <v>730</v>
      </c>
      <c r="E268" s="22">
        <f>IF(D268="?OLD","!!!","")</f>
        <v/>
      </c>
      <c r="F268" s="23" t="str">
        <f>IF(OR(E268="",E268="!!!"),"",IF(NOT(ISNA(VLOOKUP(E268,E$1:E267,1,FALSE()))),"OLD",IF(AND(E268&lt;&gt;"",E268&lt;&gt;"!!!"),"NEW","")))</f>
        <v> </v>
      </c>
      <c r="G268" s="24" t="str">
        <f>IF(OR(E268="",E268="!!!"),"",IF(OR(J268=0,AND(J268=1,K268=1),AND(J268=1,I268="SBJ"),AND(J268=1,I268=0)),"?IN_FOCUS",IF(J268&lt;=2,"?ACTIVATED",IF(J268&lt;&gt;"","?FAMILIAR",IF(F268="NEW",IF(ISNA(VLOOKUP(E268,#REF!,1,FALSE())),"?TYPE_IDENTIFIABLE","?REFERENTIAL"),"_")))))</f>
        <v> </v>
      </c>
      <c r="H268" s="25" t="str">
        <f>IF(J268&lt;&gt;1,"",IF(I268="SBJ","CB","?"))</f>
        <v> </v>
      </c>
      <c r="I268" s="26" t="str">
        <f>IF(OR(E268="",E268="!!!",F268="NEW"),"",INDEX(B267:B$2,-1+SUMPRODUCT(MAX(ROW(E267:E$2)*(E268=E267:E$2)))))</f>
        <v> </v>
      </c>
      <c r="J268" s="26" t="str">
        <f>IF(OR(E268="",E268="!!!",F268="NEW"),"",COUNTBLANK(OFFSET(A$1,,,SUMPRODUCT(MAX(ROW(E$2:E268)*(E268=E$2:E268)))))-COUNTBLANK(OFFSET(A$1,,,SUMPRODUCT(MAX(ROW(E$1:E267)*(E2=E$1:E267))))))</f>
        <v> </v>
      </c>
      <c r="K268" s="26" t="str">
        <f>IF(OR(E268="",E268="!!!",F268="NEW"),"",INDEX(J$1:J267,SUMPRODUCT(MAX(ROW(E$1:E267)*(E268=E$1:E267)))))</f>
        <v> </v>
      </c>
      <c r="L268" s="27"/>
    </row>
    <row r="269" spans="1:12">
      <c r="A269" s="20" t="s">
        <v>732</v>
      </c>
      <c r="E269" s="22">
        <f>IF(D269="?OLD","!!!","")</f>
        <v/>
      </c>
      <c r="F269" s="23" t="str">
        <f>IF(OR(E269="",E269="!!!"),"",IF(NOT(ISNA(VLOOKUP(E269,E$1:E268,1,FALSE()))),"OLD",IF(AND(E269&lt;&gt;"",E269&lt;&gt;"!!!"),"NEW","")))</f>
        <v> </v>
      </c>
      <c r="G269" s="24" t="str">
        <f>IF(OR(E269="",E269="!!!"),"",IF(OR(J269=0,AND(J269=1,K269=1),AND(J269=1,I269="SBJ"),AND(J269=1,I269=0)),"?IN_FOCUS",IF(J269&lt;=2,"?ACTIVATED",IF(J269&lt;&gt;"","?FAMILIAR",IF(F269="NEW",IF(ISNA(VLOOKUP(E269,#REF!,1,FALSE())),"?TYPE_IDENTIFIABLE","?REFERENTIAL"),"_")))))</f>
        <v> </v>
      </c>
      <c r="H269" s="25" t="str">
        <f>IF(J269&lt;&gt;1,"",IF(I269="SBJ","CB","?"))</f>
        <v> </v>
      </c>
      <c r="I269" s="26" t="str">
        <f>IF(OR(E269="",E269="!!!",F269="NEW"),"",INDEX(B268:B$2,-1+SUMPRODUCT(MAX(ROW(E268:E$2)*(E269=E268:E$2)))))</f>
        <v> </v>
      </c>
      <c r="J269" s="26" t="str">
        <f>IF(OR(E269="",E269="!!!",F269="NEW"),"",COUNTBLANK(OFFSET(A$1,,,SUMPRODUCT(MAX(ROW(E$2:E269)*(E269=E$2:E269)))))-COUNTBLANK(OFFSET(A$1,,,SUMPRODUCT(MAX(ROW(E$1:E268)*(E2=E$1:E268))))))</f>
        <v> </v>
      </c>
      <c r="K269" s="26" t="str">
        <f>IF(OR(E269="",E269="!!!",F269="NEW"),"",INDEX(J$1:J268,SUMPRODUCT(MAX(ROW(E$1:E268)*(E269=E$1:E268)))))</f>
        <v> </v>
      </c>
      <c r="L269" s="27"/>
    </row>
    <row r="270" spans="1:12">
      <c r="A270" s="20" t="s">
        <v>905</v>
      </c>
      <c r="E270" s="22">
        <f>IF(D270="?OLD","!!!","")</f>
        <v/>
      </c>
      <c r="F270" s="23" t="str">
        <f>IF(OR(E270="",E270="!!!"),"",IF(NOT(ISNA(VLOOKUP(E270,E$1:E269,1,FALSE()))),"OLD",IF(AND(E270&lt;&gt;"",E270&lt;&gt;"!!!"),"NEW","")))</f>
        <v> </v>
      </c>
      <c r="G270" s="24" t="str">
        <f>IF(OR(E270="",E270="!!!"),"",IF(OR(J270=0,AND(J270=1,K270=1),AND(J270=1,I270="SBJ"),AND(J270=1,I270=0)),"?IN_FOCUS",IF(J270&lt;=2,"?ACTIVATED",IF(J270&lt;&gt;"","?FAMILIAR",IF(F270="NEW",IF(ISNA(VLOOKUP(E270,#REF!,1,FALSE())),"?TYPE_IDENTIFIABLE","?REFERENTIAL"),"_")))))</f>
        <v> </v>
      </c>
      <c r="H270" s="25" t="str">
        <f>IF(J270&lt;&gt;1,"",IF(I270="SBJ","CB","?"))</f>
        <v> </v>
      </c>
      <c r="I270" s="26" t="str">
        <f>IF(OR(E270="",E270="!!!",F270="NEW"),"",INDEX(B269:B$2,-1+SUMPRODUCT(MAX(ROW(E269:E$2)*(E270=E269:E$2)))))</f>
        <v> </v>
      </c>
      <c r="J270" s="26" t="str">
        <f>IF(OR(E270="",E270="!!!",F270="NEW"),"",COUNTBLANK(OFFSET(A$1,,,SUMPRODUCT(MAX(ROW(E$2:E270)*(E270=E$2:E270)))))-COUNTBLANK(OFFSET(A$1,,,SUMPRODUCT(MAX(ROW(E$1:E269)*(E2=E$1:E269))))))</f>
        <v> </v>
      </c>
      <c r="K270" s="26" t="str">
        <f>IF(OR(E270="",E270="!!!",F270="NEW"),"",INDEX(J$1:J269,SUMPRODUCT(MAX(ROW(E$1:E269)*(E270=E$1:E269)))))</f>
        <v> </v>
      </c>
      <c r="L270" s="27"/>
    </row>
    <row r="271" spans="1:12">
      <c r="A271" s="20" t="s">
        <v>906</v>
      </c>
      <c r="B271" s="21" t="s">
        <v>739</v>
      </c>
      <c r="C271" s="21" t="s">
        <v>748</v>
      </c>
      <c r="E271" s="22">
        <f>IF(D271="?OLD","!!!","")</f>
        <v/>
      </c>
      <c r="F271" s="23" t="str">
        <f>IF(OR(E271="",E271="!!!"),"",IF(NOT(ISNA(VLOOKUP(E271,E$1:E270,1,FALSE()))),"OLD",IF(AND(E271&lt;&gt;"",E271&lt;&gt;"!!!"),"NEW","")))</f>
        <v> </v>
      </c>
      <c r="G271" s="24" t="str">
        <f>IF(OR(E271="",E271="!!!"),"",IF(OR(J271=0,AND(J271=1,K271=1),AND(J271=1,I271="SBJ"),AND(J271=1,I271=0)),"?IN_FOCUS",IF(J271&lt;=2,"?ACTIVATED",IF(J271&lt;&gt;"","?FAMILIAR",IF(F271="NEW",IF(ISNA(VLOOKUP(E271,#REF!,1,FALSE())),"?TYPE_IDENTIFIABLE","?REFERENTIAL"),"_")))))</f>
        <v> </v>
      </c>
      <c r="H271" s="25" t="str">
        <f>IF(J271&lt;&gt;1,"",IF(I271="SBJ","CB","?"))</f>
        <v> </v>
      </c>
      <c r="I271" s="26" t="str">
        <f>IF(OR(E271="",E271="!!!",F271="NEW"),"",INDEX(B270:B$2,-1+SUMPRODUCT(MAX(ROW(E270:E$2)*(E271=E270:E$2)))))</f>
        <v> </v>
      </c>
      <c r="J271" s="26" t="str">
        <f>IF(OR(E271="",E271="!!!",F271="NEW"),"",COUNTBLANK(OFFSET(A$1,,,SUMPRODUCT(MAX(ROW(E$2:E271)*(E271=E$2:E271)))))-COUNTBLANK(OFFSET(A$1,,,SUMPRODUCT(MAX(ROW(E$1:E270)*(E2=E$1:E270))))))</f>
        <v> </v>
      </c>
      <c r="K271" s="26" t="str">
        <f>IF(OR(E271="",E271="!!!",F271="NEW"),"",INDEX(J$1:J270,SUMPRODUCT(MAX(ROW(E$1:E270)*(E271=E$1:E270)))))</f>
        <v> </v>
      </c>
      <c r="L271" s="27"/>
    </row>
    <row r="272" spans="1:12">
      <c r="A272" s="20" t="s">
        <v>902</v>
      </c>
      <c r="E272" s="22">
        <f>IF(D272="?OLD","!!!","")</f>
        <v/>
      </c>
      <c r="F272" s="23" t="str">
        <f>IF(OR(E272="",E272="!!!"),"",IF(NOT(ISNA(VLOOKUP(E272,E$1:E271,1,FALSE()))),"OLD",IF(AND(E272&lt;&gt;"",E272&lt;&gt;"!!!"),"NEW","")))</f>
        <v> </v>
      </c>
      <c r="G272" s="24" t="str">
        <f>IF(OR(E272="",E272="!!!"),"",IF(OR(J272=0,AND(J272=1,K272=1),AND(J272=1,I272="SBJ"),AND(J272=1,I272=0)),"?IN_FOCUS",IF(J272&lt;=2,"?ACTIVATED",IF(J272&lt;&gt;"","?FAMILIAR",IF(F272="NEW",IF(ISNA(VLOOKUP(E272,#REF!,1,FALSE())),"?TYPE_IDENTIFIABLE","?REFERENTIAL"),"_")))))</f>
        <v> </v>
      </c>
      <c r="H272" s="25" t="str">
        <f>IF(J272&lt;&gt;1,"",IF(I272="SBJ","CB","?"))</f>
        <v> </v>
      </c>
      <c r="I272" s="26" t="str">
        <f>IF(OR(E272="",E272="!!!",F272="NEW"),"",INDEX(B271:B$2,-1+SUMPRODUCT(MAX(ROW(E271:E$2)*(E272=E271:E$2)))))</f>
        <v> </v>
      </c>
      <c r="J272" s="26" t="str">
        <f>IF(OR(E272="",E272="!!!",F272="NEW"),"",COUNTBLANK(OFFSET(A$1,,,SUMPRODUCT(MAX(ROW(E$2:E272)*(E272=E$2:E272)))))-COUNTBLANK(OFFSET(A$1,,,SUMPRODUCT(MAX(ROW(E$1:E271)*(E2=E$1:E271))))))</f>
        <v> </v>
      </c>
      <c r="K272" s="26" t="str">
        <f>IF(OR(E272="",E272="!!!",F272="NEW"),"",INDEX(J$1:J271,SUMPRODUCT(MAX(ROW(E$1:E271)*(E272=E$1:E271)))))</f>
        <v> </v>
      </c>
      <c r="L272" s="27"/>
    </row>
    <row r="273" spans="1:12">
      <c r="A273" s="20" t="s">
        <v>813</v>
      </c>
      <c r="E273" s="22">
        <f>IF(D273="?OLD","!!!","")</f>
        <v/>
      </c>
      <c r="F273" s="23" t="str">
        <f>IF(OR(E273="",E273="!!!"),"",IF(NOT(ISNA(VLOOKUP(E273,E$1:E272,1,FALSE()))),"OLD",IF(AND(E273&lt;&gt;"",E273&lt;&gt;"!!!"),"NEW","")))</f>
        <v> </v>
      </c>
      <c r="G273" s="24" t="str">
        <f>IF(OR(E273="",E273="!!!"),"",IF(OR(J273=0,AND(J273=1,K273=1),AND(J273=1,I273="SBJ"),AND(J273=1,I273=0)),"?IN_FOCUS",IF(J273&lt;=2,"?ACTIVATED",IF(J273&lt;&gt;"","?FAMILIAR",IF(F273="NEW",IF(ISNA(VLOOKUP(E273,#REF!,1,FALSE())),"?TYPE_IDENTIFIABLE","?REFERENTIAL"),"_")))))</f>
        <v> </v>
      </c>
      <c r="H273" s="25" t="str">
        <f>IF(J273&lt;&gt;1,"",IF(I273="SBJ","CB","?"))</f>
        <v> </v>
      </c>
      <c r="I273" s="26" t="str">
        <f>IF(OR(E273="",E273="!!!",F273="NEW"),"",INDEX(B272:B$2,-1+SUMPRODUCT(MAX(ROW(E272:E$2)*(E273=E272:E$2)))))</f>
        <v> </v>
      </c>
      <c r="J273" s="26" t="str">
        <f>IF(OR(E273="",E273="!!!",F273="NEW"),"",COUNTBLANK(OFFSET(A$1,,,SUMPRODUCT(MAX(ROW(E$2:E273)*(E273=E$2:E273)))))-COUNTBLANK(OFFSET(A$1,,,SUMPRODUCT(MAX(ROW(E$1:E272)*(E2=E$1:E272))))))</f>
        <v> </v>
      </c>
      <c r="K273" s="26" t="str">
        <f>IF(OR(E273="",E273="!!!",F273="NEW"),"",INDEX(J$1:J272,SUMPRODUCT(MAX(ROW(E$1:E272)*(E273=E$1:E272)))))</f>
        <v> </v>
      </c>
      <c r="L273" s="27"/>
    </row>
    <row r="274" spans="1:12">
      <c r="A274" s="20" t="s">
        <v>907</v>
      </c>
      <c r="E274" s="22">
        <f>IF(D274="?OLD","!!!","")</f>
        <v/>
      </c>
      <c r="F274" s="23" t="str">
        <f>IF(OR(E274="",E274="!!!"),"",IF(NOT(ISNA(VLOOKUP(E274,E$1:E273,1,FALSE()))),"OLD",IF(AND(E274&lt;&gt;"",E274&lt;&gt;"!!!"),"NEW","")))</f>
        <v> </v>
      </c>
      <c r="G274" s="24" t="str">
        <f>IF(OR(E274="",E274="!!!"),"",IF(OR(J274=0,AND(J274=1,K274=1),AND(J274=1,I274="SBJ"),AND(J274=1,I274=0)),"?IN_FOCUS",IF(J274&lt;=2,"?ACTIVATED",IF(J274&lt;&gt;"","?FAMILIAR",IF(F274="NEW",IF(ISNA(VLOOKUP(E274,#REF!,1,FALSE())),"?TYPE_IDENTIFIABLE","?REFERENTIAL"),"_")))))</f>
        <v> </v>
      </c>
      <c r="H274" s="25" t="str">
        <f>IF(J274&lt;&gt;1,"",IF(I274="SBJ","CB","?"))</f>
        <v> </v>
      </c>
      <c r="I274" s="26" t="str">
        <f>IF(OR(E274="",E274="!!!",F274="NEW"),"",INDEX(B273:B$2,-1+SUMPRODUCT(MAX(ROW(E273:E$2)*(E274=E273:E$2)))))</f>
        <v> </v>
      </c>
      <c r="J274" s="26" t="str">
        <f>IF(OR(E274="",E274="!!!",F274="NEW"),"",COUNTBLANK(OFFSET(A$1,,,SUMPRODUCT(MAX(ROW(E$2:E274)*(E274=E$2:E274)))))-COUNTBLANK(OFFSET(A$1,,,SUMPRODUCT(MAX(ROW(E$1:E273)*(E2=E$1:E273))))))</f>
        <v> </v>
      </c>
      <c r="K274" s="26" t="str">
        <f>IF(OR(E274="",E274="!!!",F274="NEW"),"",INDEX(J$1:J273,SUMPRODUCT(MAX(ROW(E$1:E273)*(E274=E$1:E273)))))</f>
        <v> </v>
      </c>
      <c r="L274" s="27"/>
    </row>
    <row r="275" spans="1:12">
      <c r="A275" s="20" t="s">
        <v>908</v>
      </c>
      <c r="B275" s="21" t="s">
        <v>791</v>
      </c>
      <c r="C275" s="21" t="s">
        <v>753</v>
      </c>
      <c r="D275" s="21" t="s">
        <v>730</v>
      </c>
      <c r="E275" s="22">
        <f>IF(D275="?OLD","!!!","")</f>
        <v/>
      </c>
      <c r="F275" s="23" t="str">
        <f>IF(OR(E275="",E275="!!!"),"",IF(NOT(ISNA(VLOOKUP(E275,E$1:E274,1,FALSE()))),"OLD",IF(AND(E275&lt;&gt;"",E275&lt;&gt;"!!!"),"NEW","")))</f>
        <v> </v>
      </c>
      <c r="G275" s="24" t="str">
        <f>IF(OR(E275="",E275="!!!"),"",IF(OR(J275=0,AND(J275=1,K275=1),AND(J275=1,I275="SBJ"),AND(J275=1,I275=0)),"?IN_FOCUS",IF(J275&lt;=2,"?ACTIVATED",IF(J275&lt;&gt;"","?FAMILIAR",IF(F275="NEW",IF(ISNA(VLOOKUP(E275,#REF!,1,FALSE())),"?TYPE_IDENTIFIABLE","?REFERENTIAL"),"_")))))</f>
        <v> </v>
      </c>
      <c r="H275" s="25" t="str">
        <f>IF(J275&lt;&gt;1,"",IF(I275="SBJ","CB","?"))</f>
        <v> </v>
      </c>
      <c r="I275" s="26" t="str">
        <f>IF(OR(E275="",E275="!!!",F275="NEW"),"",INDEX(B274:B$2,-1+SUMPRODUCT(MAX(ROW(E274:E$2)*(E275=E274:E$2)))))</f>
        <v> </v>
      </c>
      <c r="J275" s="26" t="str">
        <f>IF(OR(E275="",E275="!!!",F275="NEW"),"",COUNTBLANK(OFFSET(A$1,,,SUMPRODUCT(MAX(ROW(E$2:E275)*(E275=E$2:E275)))))-COUNTBLANK(OFFSET(A$1,,,SUMPRODUCT(MAX(ROW(E$1:E274)*(E2=E$1:E274))))))</f>
        <v> </v>
      </c>
      <c r="K275" s="26" t="str">
        <f>IF(OR(E275="",E275="!!!",F275="NEW"),"",INDEX(J$1:J274,SUMPRODUCT(MAX(ROW(E$1:E274)*(E275=E$1:E274)))))</f>
        <v> </v>
      </c>
      <c r="L275" s="27"/>
    </row>
    <row r="276" spans="1:12">
      <c r="A276" s="20" t="s">
        <v>773</v>
      </c>
      <c r="E276" s="22">
        <f>IF(D276="?OLD","!!!","")</f>
        <v/>
      </c>
      <c r="F276" s="23" t="str">
        <f>IF(OR(E276="",E276="!!!"),"",IF(NOT(ISNA(VLOOKUP(E276,E$1:E275,1,FALSE()))),"OLD",IF(AND(E276&lt;&gt;"",E276&lt;&gt;"!!!"),"NEW","")))</f>
        <v> </v>
      </c>
      <c r="G276" s="24" t="str">
        <f>IF(OR(E276="",E276="!!!"),"",IF(OR(J276=0,AND(J276=1,K276=1),AND(J276=1,I276="SBJ"),AND(J276=1,I276=0)),"?IN_FOCUS",IF(J276&lt;=2,"?ACTIVATED",IF(J276&lt;&gt;"","?FAMILIAR",IF(F276="NEW",IF(ISNA(VLOOKUP(E276,#REF!,1,FALSE())),"?TYPE_IDENTIFIABLE","?REFERENTIAL"),"_")))))</f>
        <v> </v>
      </c>
      <c r="H276" s="25" t="str">
        <f>IF(J276&lt;&gt;1,"",IF(I276="SBJ","CB","?"))</f>
        <v> </v>
      </c>
      <c r="I276" s="26" t="str">
        <f>IF(OR(E276="",E276="!!!",F276="NEW"),"",INDEX(B275:B$2,-1+SUMPRODUCT(MAX(ROW(E275:E$2)*(E276=E275:E$2)))))</f>
        <v> </v>
      </c>
      <c r="J276" s="26" t="str">
        <f>IF(OR(E276="",E276="!!!",F276="NEW"),"",COUNTBLANK(OFFSET(A$1,,,SUMPRODUCT(MAX(ROW(E$2:E276)*(E276=E$2:E276)))))-COUNTBLANK(OFFSET(A$1,,,SUMPRODUCT(MAX(ROW(E$1:E275)*(E2=E$1:E275))))))</f>
        <v> </v>
      </c>
      <c r="K276" s="26" t="str">
        <f>IF(OR(E276="",E276="!!!",F276="NEW"),"",INDEX(J$1:J275,SUMPRODUCT(MAX(ROW(E$1:E275)*(E276=E$1:E275)))))</f>
        <v> </v>
      </c>
      <c r="L276" s="27"/>
    </row>
    <row r="277" spans="1:12">
      <c r="A277" s="20" t="s">
        <v>757</v>
      </c>
      <c r="E277" s="22">
        <f>IF(D277="?OLD","!!!","")</f>
        <v/>
      </c>
      <c r="F277" s="23" t="str">
        <f>IF(OR(E277="",E277="!!!"),"",IF(NOT(ISNA(VLOOKUP(E277,E$1:E276,1,FALSE()))),"OLD",IF(AND(E277&lt;&gt;"",E277&lt;&gt;"!!!"),"NEW","")))</f>
        <v> </v>
      </c>
      <c r="G277" s="24" t="str">
        <f>IF(OR(E277="",E277="!!!"),"",IF(OR(J277=0,AND(J277=1,K277=1),AND(J277=1,I277="SBJ"),AND(J277=1,I277=0)),"?IN_FOCUS",IF(J277&lt;=2,"?ACTIVATED",IF(J277&lt;&gt;"","?FAMILIAR",IF(F277="NEW",IF(ISNA(VLOOKUP(E277,#REF!,1,FALSE())),"?TYPE_IDENTIFIABLE","?REFERENTIAL"),"_")))))</f>
        <v> </v>
      </c>
      <c r="H277" s="25" t="str">
        <f>IF(J277&lt;&gt;1,"",IF(I277="SBJ","CB","?"))</f>
        <v> </v>
      </c>
      <c r="I277" s="26" t="str">
        <f>IF(OR(E277="",E277="!!!",F277="NEW"),"",INDEX(B276:B$2,-1+SUMPRODUCT(MAX(ROW(E276:E$2)*(E277=E276:E$2)))))</f>
        <v> </v>
      </c>
      <c r="J277" s="26" t="str">
        <f>IF(OR(E277="",E277="!!!",F277="NEW"),"",COUNTBLANK(OFFSET(A$1,,,SUMPRODUCT(MAX(ROW(E$2:E277)*(E277=E$2:E277)))))-COUNTBLANK(OFFSET(A$1,,,SUMPRODUCT(MAX(ROW(E$1:E276)*(E2=E$1:E276))))))</f>
        <v> </v>
      </c>
      <c r="K277" s="26" t="str">
        <f>IF(OR(E277="",E277="!!!",F277="NEW"),"",INDEX(J$1:J276,SUMPRODUCT(MAX(ROW(E$1:E276)*(E277=E$1:E276)))))</f>
        <v> </v>
      </c>
      <c r="L277" s="27"/>
    </row>
    <row r="278" spans="1:12">
      <c r="A278" s="20" t="s">
        <v>909</v>
      </c>
      <c r="B278" s="21" t="s">
        <v>739</v>
      </c>
      <c r="C278" s="21" t="s">
        <v>753</v>
      </c>
      <c r="D278" s="21" t="s">
        <v>730</v>
      </c>
      <c r="E278" s="22">
        <f>IF(D278="?OLD","!!!","")</f>
        <v/>
      </c>
      <c r="F278" s="23" t="str">
        <f>IF(OR(E278="",E278="!!!"),"",IF(NOT(ISNA(VLOOKUP(E278,E$1:E277,1,FALSE()))),"OLD",IF(AND(E278&lt;&gt;"",E278&lt;&gt;"!!!"),"NEW","")))</f>
        <v> </v>
      </c>
      <c r="G278" s="24" t="str">
        <f>IF(OR(E278="",E278="!!!"),"",IF(OR(J278=0,AND(J278=1,K278=1),AND(J278=1,I278="SBJ"),AND(J278=1,I278=0)),"?IN_FOCUS",IF(J278&lt;=2,"?ACTIVATED",IF(J278&lt;&gt;"","?FAMILIAR",IF(F278="NEW",IF(ISNA(VLOOKUP(E278,#REF!,1,FALSE())),"?TYPE_IDENTIFIABLE","?REFERENTIAL"),"_")))))</f>
        <v> </v>
      </c>
      <c r="H278" s="25" t="str">
        <f>IF(J278&lt;&gt;1,"",IF(I278="SBJ","CB","?"))</f>
        <v> </v>
      </c>
      <c r="I278" s="26" t="str">
        <f>IF(OR(E278="",E278="!!!",F278="NEW"),"",INDEX(B277:B$2,-1+SUMPRODUCT(MAX(ROW(E277:E$2)*(E278=E277:E$2)))))</f>
        <v> </v>
      </c>
      <c r="J278" s="26" t="str">
        <f>IF(OR(E278="",E278="!!!",F278="NEW"),"",COUNTBLANK(OFFSET(A$1,,,SUMPRODUCT(MAX(ROW(E$2:E278)*(E278=E$2:E278)))))-COUNTBLANK(OFFSET(A$1,,,SUMPRODUCT(MAX(ROW(E$1:E277)*(E2=E$1:E277))))))</f>
        <v> </v>
      </c>
      <c r="K278" s="26" t="str">
        <f>IF(OR(E278="",E278="!!!",F278="NEW"),"",INDEX(J$1:J277,SUMPRODUCT(MAX(ROW(E$1:E277)*(E278=E$1:E277)))))</f>
        <v> </v>
      </c>
      <c r="L278" s="27"/>
    </row>
    <row r="279" spans="1:12">
      <c r="A279" s="20" t="s">
        <v>910</v>
      </c>
      <c r="E279" s="22">
        <f>IF(D279="?OLD","!!!","")</f>
        <v/>
      </c>
      <c r="F279" s="23" t="str">
        <f>IF(OR(E279="",E279="!!!"),"",IF(NOT(ISNA(VLOOKUP(E279,E$1:E278,1,FALSE()))),"OLD",IF(AND(E279&lt;&gt;"",E279&lt;&gt;"!!!"),"NEW","")))</f>
        <v> </v>
      </c>
      <c r="G279" s="24" t="str">
        <f>IF(OR(E279="",E279="!!!"),"",IF(OR(J279=0,AND(J279=1,K279=1),AND(J279=1,I279="SBJ"),AND(J279=1,I279=0)),"?IN_FOCUS",IF(J279&lt;=2,"?ACTIVATED",IF(J279&lt;&gt;"","?FAMILIAR",IF(F279="NEW",IF(ISNA(VLOOKUP(E279,#REF!,1,FALSE())),"?TYPE_IDENTIFIABLE","?REFERENTIAL"),"_")))))</f>
        <v> </v>
      </c>
      <c r="H279" s="25" t="str">
        <f>IF(J279&lt;&gt;1,"",IF(I279="SBJ","CB","?"))</f>
        <v> </v>
      </c>
      <c r="I279" s="26" t="str">
        <f>IF(OR(E279="",E279="!!!",F279="NEW"),"",INDEX(B278:B$2,-1+SUMPRODUCT(MAX(ROW(E278:E$2)*(E279=E278:E$2)))))</f>
        <v> </v>
      </c>
      <c r="J279" s="26" t="str">
        <f>IF(OR(E279="",E279="!!!",F279="NEW"),"",COUNTBLANK(OFFSET(A$1,,,SUMPRODUCT(MAX(ROW(E$2:E279)*(E279=E$2:E279)))))-COUNTBLANK(OFFSET(A$1,,,SUMPRODUCT(MAX(ROW(E$1:E278)*(E2=E$1:E278))))))</f>
        <v> </v>
      </c>
      <c r="K279" s="26" t="str">
        <f>IF(OR(E279="",E279="!!!",F279="NEW"),"",INDEX(J$1:J278,SUMPRODUCT(MAX(ROW(E$1:E278)*(E279=E$1:E278)))))</f>
        <v> </v>
      </c>
      <c r="L279" s="27"/>
    </row>
    <row r="280" spans="1:12">
      <c r="A280" s="20" t="s">
        <v>759</v>
      </c>
      <c r="E280" s="22">
        <f>IF(D280="?OLD","!!!","")</f>
        <v/>
      </c>
      <c r="F280" s="23" t="str">
        <f>IF(OR(E280="",E280="!!!"),"",IF(NOT(ISNA(VLOOKUP(E280,E$1:E279,1,FALSE()))),"OLD",IF(AND(E280&lt;&gt;"",E280&lt;&gt;"!!!"),"NEW","")))</f>
        <v> </v>
      </c>
      <c r="G280" s="24" t="str">
        <f>IF(OR(E280="",E280="!!!"),"",IF(OR(J280=0,AND(J280=1,K280=1),AND(J280=1,I280="SBJ"),AND(J280=1,I280=0)),"?IN_FOCUS",IF(J280&lt;=2,"?ACTIVATED",IF(J280&lt;&gt;"","?FAMILIAR",IF(F280="NEW",IF(ISNA(VLOOKUP(E280,#REF!,1,FALSE())),"?TYPE_IDENTIFIABLE","?REFERENTIAL"),"_")))))</f>
        <v> </v>
      </c>
      <c r="H280" s="25" t="str">
        <f>IF(J280&lt;&gt;1,"",IF(I280="SBJ","CB","?"))</f>
        <v> </v>
      </c>
      <c r="I280" s="26" t="str">
        <f>IF(OR(E280="",E280="!!!",F280="NEW"),"",INDEX(B279:B$2,-1+SUMPRODUCT(MAX(ROW(E279:E$2)*(E280=E279:E$2)))))</f>
        <v> </v>
      </c>
      <c r="J280" s="26" t="str">
        <f>IF(OR(E280="",E280="!!!",F280="NEW"),"",COUNTBLANK(OFFSET(A$1,,,SUMPRODUCT(MAX(ROW(E$2:E280)*(E280=E$2:E280)))))-COUNTBLANK(OFFSET(A$1,,,SUMPRODUCT(MAX(ROW(E$1:E279)*(E2=E$1:E279))))))</f>
        <v> </v>
      </c>
      <c r="K280" s="26" t="str">
        <f>IF(OR(E280="",E280="!!!",F280="NEW"),"",INDEX(J$1:J279,SUMPRODUCT(MAX(ROW(E$1:E279)*(E280=E$1:E279)))))</f>
        <v> </v>
      </c>
      <c r="L280" s="27"/>
    </row>
    <row r="281" spans="1:12">
      <c r="A281" s="20" t="s">
        <v>911</v>
      </c>
      <c r="E281" s="22">
        <f>IF(D281="?OLD","!!!","")</f>
        <v/>
      </c>
      <c r="F281" s="23" t="str">
        <f>IF(OR(E281="",E281="!!!"),"",IF(NOT(ISNA(VLOOKUP(E281,E$1:E280,1,FALSE()))),"OLD",IF(AND(E281&lt;&gt;"",E281&lt;&gt;"!!!"),"NEW","")))</f>
        <v> </v>
      </c>
      <c r="G281" s="24" t="str">
        <f>IF(OR(E281="",E281="!!!"),"",IF(OR(J281=0,AND(J281=1,K281=1),AND(J281=1,I281="SBJ"),AND(J281=1,I281=0)),"?IN_FOCUS",IF(J281&lt;=2,"?ACTIVATED",IF(J281&lt;&gt;"","?FAMILIAR",IF(F281="NEW",IF(ISNA(VLOOKUP(E281,#REF!,1,FALSE())),"?TYPE_IDENTIFIABLE","?REFERENTIAL"),"_")))))</f>
        <v> </v>
      </c>
      <c r="H281" s="25" t="str">
        <f>IF(J281&lt;&gt;1,"",IF(I281="SBJ","CB","?"))</f>
        <v> </v>
      </c>
      <c r="I281" s="26" t="str">
        <f>IF(OR(E281="",E281="!!!",F281="NEW"),"",INDEX(B280:B$2,-1+SUMPRODUCT(MAX(ROW(E280:E$2)*(E281=E280:E$2)))))</f>
        <v> </v>
      </c>
      <c r="J281" s="26" t="str">
        <f>IF(OR(E281="",E281="!!!",F281="NEW"),"",COUNTBLANK(OFFSET(A$1,,,SUMPRODUCT(MAX(ROW(E$2:E281)*(E281=E$2:E281)))))-COUNTBLANK(OFFSET(A$1,,,SUMPRODUCT(MAX(ROW(E$1:E280)*(E2=E$1:E280))))))</f>
        <v> </v>
      </c>
      <c r="K281" s="26" t="str">
        <f>IF(OR(E281="",E281="!!!",F281="NEW"),"",INDEX(J$1:J280,SUMPRODUCT(MAX(ROW(E$1:E280)*(E281=E$1:E280)))))</f>
        <v> </v>
      </c>
      <c r="L281" s="27"/>
    </row>
    <row r="282" spans="1:12">
      <c r="A282" s="20" t="s">
        <v>750</v>
      </c>
      <c r="B282" s="21" t="s">
        <v>728</v>
      </c>
      <c r="C282" s="21" t="s">
        <v>729</v>
      </c>
      <c r="D282" s="21" t="s">
        <v>730</v>
      </c>
      <c r="E282" s="22">
        <f>IF(D282="?OLD","!!!","")</f>
        <v/>
      </c>
      <c r="F282" s="23" t="str">
        <f>IF(OR(E282="",E282="!!!"),"",IF(NOT(ISNA(VLOOKUP(E282,E$1:E281,1,FALSE()))),"OLD",IF(AND(E282&lt;&gt;"",E282&lt;&gt;"!!!"),"NEW","")))</f>
        <v> </v>
      </c>
      <c r="G282" s="24" t="str">
        <f>IF(OR(E282="",E282="!!!"),"",IF(OR(J282=0,AND(J282=1,K282=1),AND(J282=1,I282="SBJ"),AND(J282=1,I282=0)),"?IN_FOCUS",IF(J282&lt;=2,"?ACTIVATED",IF(J282&lt;&gt;"","?FAMILIAR",IF(F282="NEW",IF(ISNA(VLOOKUP(E282,#REF!,1,FALSE())),"?TYPE_IDENTIFIABLE","?REFERENTIAL"),"_")))))</f>
        <v> </v>
      </c>
      <c r="H282" s="25" t="str">
        <f>IF(J282&lt;&gt;1,"",IF(I282="SBJ","CB","?"))</f>
        <v> </v>
      </c>
      <c r="I282" s="26" t="str">
        <f>IF(OR(E282="",E282="!!!",F282="NEW"),"",INDEX(B281:B$2,-1+SUMPRODUCT(MAX(ROW(E281:E$2)*(E282=E281:E$2)))))</f>
        <v> </v>
      </c>
      <c r="J282" s="26" t="str">
        <f>IF(OR(E282="",E282="!!!",F282="NEW"),"",COUNTBLANK(OFFSET(A$1,,,SUMPRODUCT(MAX(ROW(E$2:E282)*(E282=E$2:E282)))))-COUNTBLANK(OFFSET(A$1,,,SUMPRODUCT(MAX(ROW(E$1:E281)*(E2=E$1:E281))))))</f>
        <v> </v>
      </c>
      <c r="K282" s="26" t="str">
        <f>IF(OR(E282="",E282="!!!",F282="NEW"),"",INDEX(J$1:J281,SUMPRODUCT(MAX(ROW(E$1:E281)*(E282=E$1:E281)))))</f>
        <v> </v>
      </c>
      <c r="L282" s="27"/>
    </row>
    <row r="283" spans="1:12">
      <c r="A283" s="20" t="s">
        <v>813</v>
      </c>
      <c r="E283" s="22">
        <f>IF(D283="?OLD","!!!","")</f>
        <v/>
      </c>
      <c r="F283" s="23" t="str">
        <f>IF(OR(E283="",E283="!!!"),"",IF(NOT(ISNA(VLOOKUP(E283,E$1:E282,1,FALSE()))),"OLD",IF(AND(E283&lt;&gt;"",E283&lt;&gt;"!!!"),"NEW","")))</f>
        <v> </v>
      </c>
      <c r="G283" s="24" t="str">
        <f>IF(OR(E283="",E283="!!!"),"",IF(OR(J283=0,AND(J283=1,K283=1),AND(J283=1,I283="SBJ"),AND(J283=1,I283=0)),"?IN_FOCUS",IF(J283&lt;=2,"?ACTIVATED",IF(J283&lt;&gt;"","?FAMILIAR",IF(F283="NEW",IF(ISNA(VLOOKUP(E283,#REF!,1,FALSE())),"?TYPE_IDENTIFIABLE","?REFERENTIAL"),"_")))))</f>
        <v> </v>
      </c>
      <c r="H283" s="25" t="str">
        <f>IF(J283&lt;&gt;1,"",IF(I283="SBJ","CB","?"))</f>
        <v> </v>
      </c>
      <c r="I283" s="26" t="str">
        <f>IF(OR(E283="",E283="!!!",F283="NEW"),"",INDEX(B282:B$2,-1+SUMPRODUCT(MAX(ROW(E282:E$2)*(E283=E282:E$2)))))</f>
        <v> </v>
      </c>
      <c r="J283" s="26" t="str">
        <f>IF(OR(E283="",E283="!!!",F283="NEW"),"",COUNTBLANK(OFFSET(A$1,,,SUMPRODUCT(MAX(ROW(E$2:E283)*(E283=E$2:E283)))))-COUNTBLANK(OFFSET(A$1,,,SUMPRODUCT(MAX(ROW(E$1:E282)*(E2=E$1:E282))))))</f>
        <v> </v>
      </c>
      <c r="K283" s="26" t="str">
        <f>IF(OR(E283="",E283="!!!",F283="NEW"),"",INDEX(J$1:J282,SUMPRODUCT(MAX(ROW(E$1:E282)*(E283=E$1:E282)))))</f>
        <v> </v>
      </c>
      <c r="L283" s="27"/>
    </row>
    <row r="284" spans="1:12">
      <c r="A284" s="20" t="s">
        <v>912</v>
      </c>
      <c r="B284" s="21" t="s">
        <v>764</v>
      </c>
      <c r="C284" s="21" t="s">
        <v>753</v>
      </c>
      <c r="D284" s="21" t="s">
        <v>730</v>
      </c>
      <c r="E284" s="22">
        <f>IF(D284="?OLD","!!!","")</f>
        <v/>
      </c>
      <c r="F284" s="23" t="str">
        <f>IF(OR(E284="",E284="!!!"),"",IF(NOT(ISNA(VLOOKUP(E284,E$1:E283,1,FALSE()))),"OLD",IF(AND(E284&lt;&gt;"",E284&lt;&gt;"!!!"),"NEW","")))</f>
        <v> </v>
      </c>
      <c r="G284" s="24" t="str">
        <f>IF(OR(E284="",E284="!!!"),"",IF(OR(J284=0,AND(J284=1,K284=1),AND(J284=1,I284="SBJ"),AND(J284=1,I284=0)),"?IN_FOCUS",IF(J284&lt;=2,"?ACTIVATED",IF(J284&lt;&gt;"","?FAMILIAR",IF(F284="NEW",IF(ISNA(VLOOKUP(E284,#REF!,1,FALSE())),"?TYPE_IDENTIFIABLE","?REFERENTIAL"),"_")))))</f>
        <v> </v>
      </c>
      <c r="H284" s="25" t="str">
        <f>IF(J284&lt;&gt;1,"",IF(I284="SBJ","CB","?"))</f>
        <v> </v>
      </c>
      <c r="I284" s="26" t="str">
        <f>IF(OR(E284="",E284="!!!",F284="NEW"),"",INDEX(B283:B$2,-1+SUMPRODUCT(MAX(ROW(E283:E$2)*(E284=E283:E$2)))))</f>
        <v> </v>
      </c>
      <c r="J284" s="26" t="str">
        <f>IF(OR(E284="",E284="!!!",F284="NEW"),"",COUNTBLANK(OFFSET(A$1,,,SUMPRODUCT(MAX(ROW(E$2:E284)*(E284=E$2:E284)))))-COUNTBLANK(OFFSET(A$1,,,SUMPRODUCT(MAX(ROW(E$1:E283)*(E2=E$1:E283))))))</f>
        <v> </v>
      </c>
      <c r="K284" s="26" t="str">
        <f>IF(OR(E284="",E284="!!!",F284="NEW"),"",INDEX(J$1:J283,SUMPRODUCT(MAX(ROW(E$1:E283)*(E284=E$1:E283)))))</f>
        <v> </v>
      </c>
      <c r="L284" s="27"/>
    </row>
    <row r="285" spans="1:12">
      <c r="A285" s="20" t="s">
        <v>773</v>
      </c>
      <c r="E285" s="22">
        <f>IF(D285="?OLD","!!!","")</f>
        <v/>
      </c>
      <c r="F285" s="23" t="str">
        <f>IF(OR(E285="",E285="!!!"),"",IF(NOT(ISNA(VLOOKUP(E285,E$1:E284,1,FALSE()))),"OLD",IF(AND(E285&lt;&gt;"",E285&lt;&gt;"!!!"),"NEW","")))</f>
        <v> </v>
      </c>
      <c r="G285" s="24" t="str">
        <f>IF(OR(E285="",E285="!!!"),"",IF(OR(J285=0,AND(J285=1,K285=1),AND(J285=1,I285="SBJ"),AND(J285=1,I285=0)),"?IN_FOCUS",IF(J285&lt;=2,"?ACTIVATED",IF(J285&lt;&gt;"","?FAMILIAR",IF(F285="NEW",IF(ISNA(VLOOKUP(E285,#REF!,1,FALSE())),"?TYPE_IDENTIFIABLE","?REFERENTIAL"),"_")))))</f>
        <v> </v>
      </c>
      <c r="H285" s="25" t="str">
        <f>IF(J285&lt;&gt;1,"",IF(I285="SBJ","CB","?"))</f>
        <v> </v>
      </c>
      <c r="I285" s="26" t="str">
        <f>IF(OR(E285="",E285="!!!",F285="NEW"),"",INDEX(B284:B$2,-1+SUMPRODUCT(MAX(ROW(E284:E$2)*(E285=E284:E$2)))))</f>
        <v> </v>
      </c>
      <c r="J285" s="26" t="str">
        <f>IF(OR(E285="",E285="!!!",F285="NEW"),"",COUNTBLANK(OFFSET(A$1,,,SUMPRODUCT(MAX(ROW(E$2:E285)*(E285=E$2:E285)))))-COUNTBLANK(OFFSET(A$1,,,SUMPRODUCT(MAX(ROW(E$1:E284)*(E2=E$1:E284))))))</f>
        <v> </v>
      </c>
      <c r="K285" s="26" t="str">
        <f>IF(OR(E285="",E285="!!!",F285="NEW"),"",INDEX(J$1:J284,SUMPRODUCT(MAX(ROW(E$1:E284)*(E285=E$1:E284)))))</f>
        <v> </v>
      </c>
      <c r="L285" s="27"/>
    </row>
    <row r="286" spans="1:12">
      <c r="A286" s="20" t="s">
        <v>913</v>
      </c>
      <c r="B286" s="21" t="s">
        <v>755</v>
      </c>
      <c r="C286" s="21" t="s">
        <v>746</v>
      </c>
      <c r="D286" s="21" t="s">
        <v>730</v>
      </c>
      <c r="E286" s="22">
        <f>IF(D286="?OLD","!!!","")</f>
        <v/>
      </c>
      <c r="F286" s="23" t="str">
        <f>IF(OR(E286="",E286="!!!"),"",IF(NOT(ISNA(VLOOKUP(E286,E$1:E285,1,FALSE()))),"OLD",IF(AND(E286&lt;&gt;"",E286&lt;&gt;"!!!"),"NEW","")))</f>
        <v> </v>
      </c>
      <c r="G286" s="24" t="str">
        <f>IF(OR(E286="",E286="!!!"),"",IF(OR(J286=0,AND(J286=1,K286=1),AND(J286=1,I286="SBJ"),AND(J286=1,I286=0)),"?IN_FOCUS",IF(J286&lt;=2,"?ACTIVATED",IF(J286&lt;&gt;"","?FAMILIAR",IF(F286="NEW",IF(ISNA(VLOOKUP(E286,#REF!,1,FALSE())),"?TYPE_IDENTIFIABLE","?REFERENTIAL"),"_")))))</f>
        <v> </v>
      </c>
      <c r="H286" s="25" t="str">
        <f>IF(J286&lt;&gt;1,"",IF(I286="SBJ","CB","?"))</f>
        <v> </v>
      </c>
      <c r="I286" s="26" t="str">
        <f>IF(OR(E286="",E286="!!!",F286="NEW"),"",INDEX(B285:B$2,-1+SUMPRODUCT(MAX(ROW(E285:E$2)*(E286=E285:E$2)))))</f>
        <v> </v>
      </c>
      <c r="J286" s="26" t="str">
        <f>IF(OR(E286="",E286="!!!",F286="NEW"),"",COUNTBLANK(OFFSET(A$1,,,SUMPRODUCT(MAX(ROW(E$2:E286)*(E286=E$2:E286)))))-COUNTBLANK(OFFSET(A$1,,,SUMPRODUCT(MAX(ROW(E$1:E285)*(E2=E$1:E285))))))</f>
        <v> </v>
      </c>
      <c r="K286" s="26" t="str">
        <f>IF(OR(E286="",E286="!!!",F286="NEW"),"",INDEX(J$1:J285,SUMPRODUCT(MAX(ROW(E$1:E285)*(E286=E$1:E285)))))</f>
        <v> </v>
      </c>
      <c r="L286" s="27"/>
    </row>
    <row r="287" spans="1:12">
      <c r="A287" s="20" t="s">
        <v>914</v>
      </c>
      <c r="B287" s="21" t="s">
        <v>739</v>
      </c>
      <c r="C287" s="21" t="s">
        <v>748</v>
      </c>
      <c r="E287" s="22">
        <f>IF(D287="?OLD","!!!","")</f>
        <v/>
      </c>
      <c r="F287" s="23" t="str">
        <f>IF(OR(E287="",E287="!!!"),"",IF(NOT(ISNA(VLOOKUP(E287,E$1:E286,1,FALSE()))),"OLD",IF(AND(E287&lt;&gt;"",E287&lt;&gt;"!!!"),"NEW","")))</f>
        <v> </v>
      </c>
      <c r="G287" s="24" t="str">
        <f>IF(OR(E287="",E287="!!!"),"",IF(OR(J287=0,AND(J287=1,K287=1),AND(J287=1,I287="SBJ"),AND(J287=1,I287=0)),"?IN_FOCUS",IF(J287&lt;=2,"?ACTIVATED",IF(J287&lt;&gt;"","?FAMILIAR",IF(F287="NEW",IF(ISNA(VLOOKUP(E287,#REF!,1,FALSE())),"?TYPE_IDENTIFIABLE","?REFERENTIAL"),"_")))))</f>
        <v> </v>
      </c>
      <c r="H287" s="25" t="str">
        <f>IF(J287&lt;&gt;1,"",IF(I287="SBJ","CB","?"))</f>
        <v> </v>
      </c>
      <c r="I287" s="26" t="str">
        <f>IF(OR(E287="",E287="!!!",F287="NEW"),"",INDEX(B286:B$2,-1+SUMPRODUCT(MAX(ROW(E286:E$2)*(E287=E286:E$2)))))</f>
        <v> </v>
      </c>
      <c r="J287" s="26" t="str">
        <f>IF(OR(E287="",E287="!!!",F287="NEW"),"",COUNTBLANK(OFFSET(A$1,,,SUMPRODUCT(MAX(ROW(E$2:E287)*(E287=E$2:E287)))))-COUNTBLANK(OFFSET(A$1,,,SUMPRODUCT(MAX(ROW(E$1:E286)*(E2=E$1:E286))))))</f>
        <v> </v>
      </c>
      <c r="K287" s="26" t="str">
        <f>IF(OR(E287="",E287="!!!",F287="NEW"),"",INDEX(J$1:J286,SUMPRODUCT(MAX(ROW(E$1:E286)*(E287=E$1:E286)))))</f>
        <v> </v>
      </c>
      <c r="L287" s="27"/>
    </row>
    <row r="288" spans="1:12">
      <c r="A288" s="20" t="s">
        <v>62</v>
      </c>
      <c r="E288" s="22">
        <f>IF(D288="?OLD","!!!","")</f>
        <v/>
      </c>
      <c r="F288" s="23" t="str">
        <f>IF(OR(E288="",E288="!!!"),"",IF(NOT(ISNA(VLOOKUP(E288,E$1:E287,1,FALSE()))),"OLD",IF(AND(E288&lt;&gt;"",E288&lt;&gt;"!!!"),"NEW","")))</f>
        <v> </v>
      </c>
      <c r="G288" s="24" t="str">
        <f>IF(OR(E288="",E288="!!!"),"",IF(OR(J288=0,AND(J288=1,K288=1),AND(J288=1,I288="SBJ"),AND(J288=1,I288=0)),"?IN_FOCUS",IF(J288&lt;=2,"?ACTIVATED",IF(J288&lt;&gt;"","?FAMILIAR",IF(F288="NEW",IF(ISNA(VLOOKUP(E288,#REF!,1,FALSE())),"?TYPE_IDENTIFIABLE","?REFERENTIAL"),"_")))))</f>
        <v> </v>
      </c>
      <c r="H288" s="25" t="str">
        <f>IF(J288&lt;&gt;1,"",IF(I288="SBJ","CB","?"))</f>
        <v> </v>
      </c>
      <c r="I288" s="26" t="str">
        <f>IF(OR(E288="",E288="!!!",F288="NEW"),"",INDEX(B287:B$2,-1+SUMPRODUCT(MAX(ROW(E287:E$2)*(E288=E287:E$2)))))</f>
        <v> </v>
      </c>
      <c r="J288" s="26" t="str">
        <f>IF(OR(E288="",E288="!!!",F288="NEW"),"",COUNTBLANK(OFFSET(A$1,,,SUMPRODUCT(MAX(ROW(E$2:E288)*(E288=E$2:E288)))))-COUNTBLANK(OFFSET(A$1,,,SUMPRODUCT(MAX(ROW(E$1:E287)*(E2=E$1:E287))))))</f>
        <v> </v>
      </c>
      <c r="K288" s="26" t="str">
        <f>IF(OR(E288="",E288="!!!",F288="NEW"),"",INDEX(J$1:J287,SUMPRODUCT(MAX(ROW(E$1:E287)*(E288=E$1:E287)))))</f>
        <v> </v>
      </c>
      <c r="L288" s="27"/>
    </row>
    <row r="289" spans="1:12">
      <c r="A289" s="20" t="s">
        <v>246</v>
      </c>
      <c r="E289" s="22">
        <f>IF(D289="?OLD","!!!","")</f>
        <v/>
      </c>
      <c r="F289" s="23" t="str">
        <f>IF(OR(E289="",E289="!!!"),"",IF(NOT(ISNA(VLOOKUP(E289,E$1:E288,1,FALSE()))),"OLD",IF(AND(E289&lt;&gt;"",E289&lt;&gt;"!!!"),"NEW","")))</f>
        <v> </v>
      </c>
      <c r="G289" s="24" t="str">
        <f>IF(OR(E289="",E289="!!!"),"",IF(OR(J289=0,AND(J289=1,K289=1),AND(J289=1,I289="SBJ"),AND(J289=1,I289=0)),"?IN_FOCUS",IF(J289&lt;=2,"?ACTIVATED",IF(J289&lt;&gt;"","?FAMILIAR",IF(F289="NEW",IF(ISNA(VLOOKUP(E289,#REF!,1,FALSE())),"?TYPE_IDENTIFIABLE","?REFERENTIAL"),"_")))))</f>
        <v> </v>
      </c>
      <c r="H289" s="25" t="str">
        <f>IF(J289&lt;&gt;1,"",IF(I289="SBJ","CB","?"))</f>
        <v> </v>
      </c>
      <c r="I289" s="26" t="str">
        <f>IF(OR(E289="",E289="!!!",F289="NEW"),"",INDEX(B288:B$2,-1+SUMPRODUCT(MAX(ROW(E288:E$2)*(E289=E288:E$2)))))</f>
        <v> </v>
      </c>
      <c r="J289" s="26" t="str">
        <f>IF(OR(E289="",E289="!!!",F289="NEW"),"",COUNTBLANK(OFFSET(A$1,,,SUMPRODUCT(MAX(ROW(E$2:E289)*(E289=E$2:E289)))))-COUNTBLANK(OFFSET(A$1,,,SUMPRODUCT(MAX(ROW(E$1:E288)*(E2=E$1:E288))))))</f>
        <v> </v>
      </c>
      <c r="K289" s="26" t="str">
        <f>IF(OR(E289="",E289="!!!",F289="NEW"),"",INDEX(J$1:J288,SUMPRODUCT(MAX(ROW(E$1:E288)*(E289=E$1:E288)))))</f>
        <v> </v>
      </c>
      <c r="L289" s="27"/>
    </row>
    <row r="290" spans="1:12">
      <c r="A290" s="20"/>
    </row>
    <row r="291" spans="1:12">
      <c r="A291" s="20" t="s">
        <v>915</v>
      </c>
    </row>
    <row r="292" spans="1:12">
      <c r="A292" s="20" t="s">
        <v>883</v>
      </c>
      <c r="B292" s="21" t="s">
        <v>728</v>
      </c>
      <c r="C292" s="21" t="s">
        <v>801</v>
      </c>
      <c r="D292" s="21" t="s">
        <v>730</v>
      </c>
      <c r="E292" s="22">
        <f>IF(D292="?OLD","!!!","")</f>
        <v/>
      </c>
      <c r="F292" s="23" t="str">
        <f>IF(OR(E292="",E292="!!!"),"",IF(NOT(ISNA(VLOOKUP(E292,E$1:E291,1,FALSE()))),"OLD",IF(AND(E292&lt;&gt;"",E292&lt;&gt;"!!!"),"NEW","")))</f>
        <v> </v>
      </c>
      <c r="G292" s="24" t="str">
        <f>IF(OR(E292="",E292="!!!"),"",IF(OR(J292=0,AND(J292=1,K292=1),AND(J292=1,I292="SBJ"),AND(J292=1,I292=0)),"?IN_FOCUS",IF(J292&lt;=2,"?ACTIVATED",IF(J292&lt;&gt;"","?FAMILIAR",IF(F292="NEW",IF(ISNA(VLOOKUP(E292,#REF!,1,FALSE())),"?TYPE_IDENTIFIABLE","?REFERENTIAL"),"_")))))</f>
        <v> </v>
      </c>
      <c r="H292" s="25" t="str">
        <f>IF(J292&lt;&gt;1,"",IF(I292="SBJ","CB","?"))</f>
        <v> </v>
      </c>
      <c r="I292" s="26" t="str">
        <f>IF(OR(E292="",E292="!!!",F292="NEW"),"",INDEX(B291:B$2,-1+SUMPRODUCT(MAX(ROW(E291:E$2)*(E292=E291:E$2)))))</f>
        <v> </v>
      </c>
      <c r="J292" s="26" t="str">
        <f>IF(OR(E292="",E292="!!!",F292="NEW"),"",COUNTBLANK(OFFSET(A$1,,,SUMPRODUCT(MAX(ROW(E$2:E292)*(E292=E$2:E292)))))-COUNTBLANK(OFFSET(A$1,,,SUMPRODUCT(MAX(ROW(E$1:E291)*(E2=E$1:E291))))))</f>
        <v> </v>
      </c>
      <c r="K292" s="26" t="str">
        <f>IF(OR(E292="",E292="!!!",F292="NEW"),"",INDEX(J$1:J291,SUMPRODUCT(MAX(ROW(E$1:E291)*(E292=E$1:E291)))))</f>
        <v> </v>
      </c>
      <c r="L292" s="27"/>
    </row>
    <row r="293" spans="1:12">
      <c r="A293" s="20" t="s">
        <v>916</v>
      </c>
      <c r="E293" s="22">
        <f>IF(D293="?OLD","!!!","")</f>
        <v/>
      </c>
      <c r="F293" s="23" t="str">
        <f>IF(OR(E293="",E293="!!!"),"",IF(NOT(ISNA(VLOOKUP(E293,E$1:E292,1,FALSE()))),"OLD",IF(AND(E293&lt;&gt;"",E293&lt;&gt;"!!!"),"NEW","")))</f>
        <v> </v>
      </c>
      <c r="G293" s="24" t="str">
        <f>IF(OR(E293="",E293="!!!"),"",IF(OR(J293=0,AND(J293=1,K293=1),AND(J293=1,I293="SBJ"),AND(J293=1,I293=0)),"?IN_FOCUS",IF(J293&lt;=2,"?ACTIVATED",IF(J293&lt;&gt;"","?FAMILIAR",IF(F293="NEW",IF(ISNA(VLOOKUP(E293,#REF!,1,FALSE())),"?TYPE_IDENTIFIABLE","?REFERENTIAL"),"_")))))</f>
        <v> </v>
      </c>
      <c r="H293" s="25" t="str">
        <f>IF(J293&lt;&gt;1,"",IF(I293="SBJ","CB","?"))</f>
        <v> </v>
      </c>
      <c r="I293" s="26" t="str">
        <f>IF(OR(E293="",E293="!!!",F293="NEW"),"",INDEX(B292:B$2,-1+SUMPRODUCT(MAX(ROW(E292:E$2)*(E293=E292:E$2)))))</f>
        <v> </v>
      </c>
      <c r="J293" s="26" t="str">
        <f>IF(OR(E293="",E293="!!!",F293="NEW"),"",COUNTBLANK(OFFSET(A$1,,,SUMPRODUCT(MAX(ROW(E$2:E293)*(E293=E$2:E293)))))-COUNTBLANK(OFFSET(A$1,,,SUMPRODUCT(MAX(ROW(E$1:E292)*(E2=E$1:E292))))))</f>
        <v> </v>
      </c>
      <c r="K293" s="26" t="str">
        <f>IF(OR(E293="",E293="!!!",F293="NEW"),"",INDEX(J$1:J292,SUMPRODUCT(MAX(ROW(E$1:E292)*(E293=E$1:E292)))))</f>
        <v> </v>
      </c>
      <c r="L293" s="27"/>
    </row>
    <row r="294" spans="1:12">
      <c r="A294" s="20" t="s">
        <v>859</v>
      </c>
      <c r="B294" s="21" t="s">
        <v>796</v>
      </c>
      <c r="C294" s="21" t="s">
        <v>789</v>
      </c>
      <c r="D294" s="21" t="s">
        <v>730</v>
      </c>
      <c r="E294" s="22">
        <f>IF(D294="?OLD","!!!","")</f>
        <v/>
      </c>
      <c r="F294" s="23" t="str">
        <f>IF(OR(E294="",E294="!!!"),"",IF(NOT(ISNA(VLOOKUP(E294,E$1:E293,1,FALSE()))),"OLD",IF(AND(E294&lt;&gt;"",E294&lt;&gt;"!!!"),"NEW","")))</f>
        <v> </v>
      </c>
      <c r="G294" s="24" t="str">
        <f>IF(OR(E294="",E294="!!!"),"",IF(OR(J294=0,AND(J294=1,K294=1),AND(J294=1,I294="SBJ"),AND(J294=1,I294=0)),"?IN_FOCUS",IF(J294&lt;=2,"?ACTIVATED",IF(J294&lt;&gt;"","?FAMILIAR",IF(F294="NEW",IF(ISNA(VLOOKUP(E294,#REF!,1,FALSE())),"?TYPE_IDENTIFIABLE","?REFERENTIAL"),"_")))))</f>
        <v> </v>
      </c>
      <c r="H294" s="25" t="str">
        <f>IF(J294&lt;&gt;1,"",IF(I294="SBJ","CB","?"))</f>
        <v> </v>
      </c>
      <c r="I294" s="26" t="str">
        <f>IF(OR(E294="",E294="!!!",F294="NEW"),"",INDEX(B293:B$2,-1+SUMPRODUCT(MAX(ROW(E293:E$2)*(E294=E293:E$2)))))</f>
        <v> </v>
      </c>
      <c r="J294" s="26" t="str">
        <f>IF(OR(E294="",E294="!!!",F294="NEW"),"",COUNTBLANK(OFFSET(A$1,,,SUMPRODUCT(MAX(ROW(E$2:E294)*(E294=E$2:E294)))))-COUNTBLANK(OFFSET(A$1,,,SUMPRODUCT(MAX(ROW(E$1:E293)*(E2=E$1:E293))))))</f>
        <v> </v>
      </c>
      <c r="K294" s="26" t="str">
        <f>IF(OR(E294="",E294="!!!",F294="NEW"),"",INDEX(J$1:J293,SUMPRODUCT(MAX(ROW(E$1:E293)*(E294=E$1:E293)))))</f>
        <v> </v>
      </c>
      <c r="L294" s="27"/>
    </row>
    <row r="295" spans="1:12">
      <c r="A295" s="20" t="s">
        <v>855</v>
      </c>
      <c r="E295" s="22">
        <f>IF(D295="?OLD","!!!","")</f>
        <v/>
      </c>
      <c r="F295" s="23" t="str">
        <f>IF(OR(E295="",E295="!!!"),"",IF(NOT(ISNA(VLOOKUP(E295,E$1:E294,1,FALSE()))),"OLD",IF(AND(E295&lt;&gt;"",E295&lt;&gt;"!!!"),"NEW","")))</f>
        <v> </v>
      </c>
      <c r="G295" s="24" t="str">
        <f>IF(OR(E295="",E295="!!!"),"",IF(OR(J295=0,AND(J295=1,K295=1),AND(J295=1,I295="SBJ"),AND(J295=1,I295=0)),"?IN_FOCUS",IF(J295&lt;=2,"?ACTIVATED",IF(J295&lt;&gt;"","?FAMILIAR",IF(F295="NEW",IF(ISNA(VLOOKUP(E295,#REF!,1,FALSE())),"?TYPE_IDENTIFIABLE","?REFERENTIAL"),"_")))))</f>
        <v> </v>
      </c>
      <c r="H295" s="25" t="str">
        <f>IF(J295&lt;&gt;1,"",IF(I295="SBJ","CB","?"))</f>
        <v> </v>
      </c>
      <c r="I295" s="26" t="str">
        <f>IF(OR(E295="",E295="!!!",F295="NEW"),"",INDEX(B294:B$2,-1+SUMPRODUCT(MAX(ROW(E294:E$2)*(E295=E294:E$2)))))</f>
        <v> </v>
      </c>
      <c r="J295" s="26" t="str">
        <f>IF(OR(E295="",E295="!!!",F295="NEW"),"",COUNTBLANK(OFFSET(A$1,,,SUMPRODUCT(MAX(ROW(E$2:E295)*(E295=E$2:E295)))))-COUNTBLANK(OFFSET(A$1,,,SUMPRODUCT(MAX(ROW(E$1:E294)*(E2=E$1:E294))))))</f>
        <v> </v>
      </c>
      <c r="K295" s="26" t="str">
        <f>IF(OR(E295="",E295="!!!",F295="NEW"),"",INDEX(J$1:J294,SUMPRODUCT(MAX(ROW(E$1:E294)*(E295=E$1:E294)))))</f>
        <v> </v>
      </c>
      <c r="L295" s="27"/>
    </row>
    <row r="296" spans="1:12">
      <c r="A296" s="20" t="s">
        <v>917</v>
      </c>
      <c r="B296" s="21" t="s">
        <v>736</v>
      </c>
      <c r="C296" s="21" t="s">
        <v>756</v>
      </c>
      <c r="E296" s="22">
        <f>IF(D296="?OLD","!!!","")</f>
        <v/>
      </c>
      <c r="F296" s="23" t="str">
        <f>IF(OR(E296="",E296="!!!"),"",IF(NOT(ISNA(VLOOKUP(E296,E$1:E295,1,FALSE()))),"OLD",IF(AND(E296&lt;&gt;"",E296&lt;&gt;"!!!"),"NEW","")))</f>
        <v> </v>
      </c>
      <c r="G296" s="24" t="str">
        <f>IF(OR(E296="",E296="!!!"),"",IF(OR(J296=0,AND(J296=1,K296=1),AND(J296=1,I296="SBJ"),AND(J296=1,I296=0)),"?IN_FOCUS",IF(J296&lt;=2,"?ACTIVATED",IF(J296&lt;&gt;"","?FAMILIAR",IF(F296="NEW",IF(ISNA(VLOOKUP(E296,#REF!,1,FALSE())),"?TYPE_IDENTIFIABLE","?REFERENTIAL"),"_")))))</f>
        <v> </v>
      </c>
      <c r="H296" s="25" t="str">
        <f>IF(J296&lt;&gt;1,"",IF(I296="SBJ","CB","?"))</f>
        <v> </v>
      </c>
      <c r="I296" s="26" t="str">
        <f>IF(OR(E296="",E296="!!!",F296="NEW"),"",INDEX(B295:B$2,-1+SUMPRODUCT(MAX(ROW(E295:E$2)*(E296=E295:E$2)))))</f>
        <v> </v>
      </c>
      <c r="J296" s="26" t="str">
        <f>IF(OR(E296="",E296="!!!",F296="NEW"),"",COUNTBLANK(OFFSET(A$1,,,SUMPRODUCT(MAX(ROW(E$2:E296)*(E296=E$2:E296)))))-COUNTBLANK(OFFSET(A$1,,,SUMPRODUCT(MAX(ROW(E$1:E295)*(E2=E$1:E295))))))</f>
        <v> </v>
      </c>
      <c r="K296" s="26" t="str">
        <f>IF(OR(E296="",E296="!!!",F296="NEW"),"",INDEX(J$1:J295,SUMPRODUCT(MAX(ROW(E$1:E295)*(E296=E$1:E295)))))</f>
        <v> </v>
      </c>
      <c r="L296" s="27"/>
    </row>
    <row r="297" spans="1:12">
      <c r="A297" s="20" t="s">
        <v>246</v>
      </c>
      <c r="E297" s="22">
        <f>IF(D297="?OLD","!!!","")</f>
        <v/>
      </c>
      <c r="F297" s="23" t="str">
        <f>IF(OR(E297="",E297="!!!"),"",IF(NOT(ISNA(VLOOKUP(E297,E$1:E296,1,FALSE()))),"OLD",IF(AND(E297&lt;&gt;"",E297&lt;&gt;"!!!"),"NEW","")))</f>
        <v> </v>
      </c>
      <c r="G297" s="24" t="str">
        <f>IF(OR(E297="",E297="!!!"),"",IF(OR(J297=0,AND(J297=1,K297=1),AND(J297=1,I297="SBJ"),AND(J297=1,I297=0)),"?IN_FOCUS",IF(J297&lt;=2,"?ACTIVATED",IF(J297&lt;&gt;"","?FAMILIAR",IF(F297="NEW",IF(ISNA(VLOOKUP(E297,#REF!,1,FALSE())),"?TYPE_IDENTIFIABLE","?REFERENTIAL"),"_")))))</f>
        <v> </v>
      </c>
      <c r="H297" s="25" t="str">
        <f>IF(J297&lt;&gt;1,"",IF(I297="SBJ","CB","?"))</f>
        <v> </v>
      </c>
      <c r="I297" s="26" t="str">
        <f>IF(OR(E297="",E297="!!!",F297="NEW"),"",INDEX(B296:B$2,-1+SUMPRODUCT(MAX(ROW(E296:E$2)*(E297=E296:E$2)))))</f>
        <v> </v>
      </c>
      <c r="J297" s="26" t="str">
        <f>IF(OR(E297="",E297="!!!",F297="NEW"),"",COUNTBLANK(OFFSET(A$1,,,SUMPRODUCT(MAX(ROW(E$2:E297)*(E297=E$2:E297)))))-COUNTBLANK(OFFSET(A$1,,,SUMPRODUCT(MAX(ROW(E$1:E296)*(E2=E$1:E296))))))</f>
        <v> </v>
      </c>
      <c r="K297" s="26" t="str">
        <f>IF(OR(E297="",E297="!!!",F297="NEW"),"",INDEX(J$1:J296,SUMPRODUCT(MAX(ROW(E$1:E296)*(E297=E$1:E296)))))</f>
        <v> </v>
      </c>
      <c r="L297" s="27"/>
    </row>
    <row r="298" spans="1:12">
      <c r="A298" s="20"/>
    </row>
    <row r="299" spans="1:12">
      <c r="A299" s="20" t="s">
        <v>918</v>
      </c>
    </row>
    <row r="300" spans="1:12">
      <c r="A300" s="20" t="s">
        <v>919</v>
      </c>
      <c r="E300" s="22">
        <f>IF(D300="?OLD","!!!","")</f>
        <v/>
      </c>
      <c r="F300" s="23" t="str">
        <f>IF(OR(E300="",E300="!!!"),"",IF(NOT(ISNA(VLOOKUP(E300,E$1:E299,1,FALSE()))),"OLD",IF(AND(E300&lt;&gt;"",E300&lt;&gt;"!!!"),"NEW","")))</f>
        <v> </v>
      </c>
      <c r="G300" s="24" t="str">
        <f>IF(OR(E300="",E300="!!!"),"",IF(OR(J300=0,AND(J300=1,K300=1),AND(J300=1,I300="SBJ"),AND(J300=1,I300=0)),"?IN_FOCUS",IF(J300&lt;=2,"?ACTIVATED",IF(J300&lt;&gt;"","?FAMILIAR",IF(F300="NEW",IF(ISNA(VLOOKUP(E300,#REF!,1,FALSE())),"?TYPE_IDENTIFIABLE","?REFERENTIAL"),"_")))))</f>
        <v> </v>
      </c>
      <c r="H300" s="25" t="str">
        <f>IF(J300&lt;&gt;1,"",IF(I300="SBJ","CB","?"))</f>
        <v> </v>
      </c>
      <c r="I300" s="26" t="str">
        <f>IF(OR(E300="",E300="!!!",F300="NEW"),"",INDEX(B299:B$2,-1+SUMPRODUCT(MAX(ROW(E299:E$2)*(E300=E299:E$2)))))</f>
        <v> </v>
      </c>
      <c r="J300" s="26" t="str">
        <f>IF(OR(E300="",E300="!!!",F300="NEW"),"",COUNTBLANK(OFFSET(A$1,,,SUMPRODUCT(MAX(ROW(E$2:E300)*(E300=E$2:E300)))))-COUNTBLANK(OFFSET(A$1,,,SUMPRODUCT(MAX(ROW(E$1:E299)*(E2=E$1:E299))))))</f>
        <v> </v>
      </c>
      <c r="K300" s="26" t="str">
        <f>IF(OR(E300="",E300="!!!",F300="NEW"),"",INDEX(J$1:J299,SUMPRODUCT(MAX(ROW(E$1:E299)*(E300=E$1:E299)))))</f>
        <v> </v>
      </c>
      <c r="L300" s="27"/>
    </row>
    <row r="301" spans="1:12">
      <c r="A301" s="20" t="s">
        <v>859</v>
      </c>
      <c r="B301" s="21" t="s">
        <v>796</v>
      </c>
      <c r="C301" s="21" t="s">
        <v>789</v>
      </c>
      <c r="D301" s="21" t="s">
        <v>730</v>
      </c>
      <c r="E301" s="22">
        <f>IF(D301="?OLD","!!!","")</f>
        <v/>
      </c>
      <c r="F301" s="23" t="str">
        <f>IF(OR(E301="",E301="!!!"),"",IF(NOT(ISNA(VLOOKUP(E301,E$1:E300,1,FALSE()))),"OLD",IF(AND(E301&lt;&gt;"",E301&lt;&gt;"!!!"),"NEW","")))</f>
        <v> </v>
      </c>
      <c r="G301" s="24" t="str">
        <f>IF(OR(E301="",E301="!!!"),"",IF(OR(J301=0,AND(J301=1,K301=1),AND(J301=1,I301="SBJ"),AND(J301=1,I301=0)),"?IN_FOCUS",IF(J301&lt;=2,"?ACTIVATED",IF(J301&lt;&gt;"","?FAMILIAR",IF(F301="NEW",IF(ISNA(VLOOKUP(E301,#REF!,1,FALSE())),"?TYPE_IDENTIFIABLE","?REFERENTIAL"),"_")))))</f>
        <v> </v>
      </c>
      <c r="H301" s="25" t="str">
        <f>IF(J301&lt;&gt;1,"",IF(I301="SBJ","CB","?"))</f>
        <v> </v>
      </c>
      <c r="I301" s="26" t="str">
        <f>IF(OR(E301="",E301="!!!",F301="NEW"),"",INDEX(B300:B$2,-1+SUMPRODUCT(MAX(ROW(E300:E$2)*(E301=E300:E$2)))))</f>
        <v> </v>
      </c>
      <c r="J301" s="26" t="str">
        <f>IF(OR(E301="",E301="!!!",F301="NEW"),"",COUNTBLANK(OFFSET(A$1,,,SUMPRODUCT(MAX(ROW(E$2:E301)*(E301=E$2:E301)))))-COUNTBLANK(OFFSET(A$1,,,SUMPRODUCT(MAX(ROW(E$1:E300)*(E2=E$1:E300))))))</f>
        <v> </v>
      </c>
      <c r="K301" s="26" t="str">
        <f>IF(OR(E301="",E301="!!!",F301="NEW"),"",INDEX(J$1:J300,SUMPRODUCT(MAX(ROW(E$1:E300)*(E301=E$1:E300)))))</f>
        <v> </v>
      </c>
      <c r="L301" s="27"/>
    </row>
    <row r="302" spans="1:12">
      <c r="A302" s="20" t="s">
        <v>920</v>
      </c>
      <c r="E302" s="22">
        <f>IF(D302="?OLD","!!!","")</f>
        <v/>
      </c>
      <c r="F302" s="23" t="str">
        <f>IF(OR(E302="",E302="!!!"),"",IF(NOT(ISNA(VLOOKUP(E302,E$1:E301,1,FALSE()))),"OLD",IF(AND(E302&lt;&gt;"",E302&lt;&gt;"!!!"),"NEW","")))</f>
        <v> </v>
      </c>
      <c r="G302" s="24" t="str">
        <f>IF(OR(E302="",E302="!!!"),"",IF(OR(J302=0,AND(J302=1,K302=1),AND(J302=1,I302="SBJ"),AND(J302=1,I302=0)),"?IN_FOCUS",IF(J302&lt;=2,"?ACTIVATED",IF(J302&lt;&gt;"","?FAMILIAR",IF(F302="NEW",IF(ISNA(VLOOKUP(E302,#REF!,1,FALSE())),"?TYPE_IDENTIFIABLE","?REFERENTIAL"),"_")))))</f>
        <v> </v>
      </c>
      <c r="H302" s="25" t="str">
        <f>IF(J302&lt;&gt;1,"",IF(I302="SBJ","CB","?"))</f>
        <v> </v>
      </c>
      <c r="I302" s="26" t="str">
        <f>IF(OR(E302="",E302="!!!",F302="NEW"),"",INDEX(B301:B$2,-1+SUMPRODUCT(MAX(ROW(E301:E$2)*(E302=E301:E$2)))))</f>
        <v> </v>
      </c>
      <c r="J302" s="26" t="str">
        <f>IF(OR(E302="",E302="!!!",F302="NEW"),"",COUNTBLANK(OFFSET(A$1,,,SUMPRODUCT(MAX(ROW(E$2:E302)*(E302=E$2:E302)))))-COUNTBLANK(OFFSET(A$1,,,SUMPRODUCT(MAX(ROW(E$1:E301)*(E2=E$1:E301))))))</f>
        <v> </v>
      </c>
      <c r="K302" s="26" t="str">
        <f>IF(OR(E302="",E302="!!!",F302="NEW"),"",INDEX(J$1:J301,SUMPRODUCT(MAX(ROW(E$1:E301)*(E302=E$1:E301)))))</f>
        <v> </v>
      </c>
      <c r="L302" s="27"/>
    </row>
    <row r="303" spans="1:12">
      <c r="A303" s="20" t="s">
        <v>921</v>
      </c>
      <c r="B303" s="21" t="s">
        <v>739</v>
      </c>
      <c r="C303" s="21" t="s">
        <v>748</v>
      </c>
      <c r="E303" s="22">
        <f>IF(D303="?OLD","!!!","")</f>
        <v/>
      </c>
      <c r="F303" s="23" t="str">
        <f>IF(OR(E303="",E303="!!!"),"",IF(NOT(ISNA(VLOOKUP(E303,E$1:E302,1,FALSE()))),"OLD",IF(AND(E303&lt;&gt;"",E303&lt;&gt;"!!!"),"NEW","")))</f>
        <v> </v>
      </c>
      <c r="G303" s="24" t="str">
        <f>IF(OR(E303="",E303="!!!"),"",IF(OR(J303=0,AND(J303=1,K303=1),AND(J303=1,I303="SBJ"),AND(J303=1,I303=0)),"?IN_FOCUS",IF(J303&lt;=2,"?ACTIVATED",IF(J303&lt;&gt;"","?FAMILIAR",IF(F303="NEW",IF(ISNA(VLOOKUP(E303,#REF!,1,FALSE())),"?TYPE_IDENTIFIABLE","?REFERENTIAL"),"_")))))</f>
        <v> </v>
      </c>
      <c r="H303" s="25" t="str">
        <f>IF(J303&lt;&gt;1,"",IF(I303="SBJ","CB","?"))</f>
        <v> </v>
      </c>
      <c r="I303" s="26" t="str">
        <f>IF(OR(E303="",E303="!!!",F303="NEW"),"",INDEX(B302:B$2,-1+SUMPRODUCT(MAX(ROW(E302:E$2)*(E303=E302:E$2)))))</f>
        <v> </v>
      </c>
      <c r="J303" s="26" t="str">
        <f>IF(OR(E303="",E303="!!!",F303="NEW"),"",COUNTBLANK(OFFSET(A$1,,,SUMPRODUCT(MAX(ROW(E$2:E303)*(E303=E$2:E303)))))-COUNTBLANK(OFFSET(A$1,,,SUMPRODUCT(MAX(ROW(E$1:E302)*(E2=E$1:E302))))))</f>
        <v> </v>
      </c>
      <c r="K303" s="26" t="str">
        <f>IF(OR(E303="",E303="!!!",F303="NEW"),"",INDEX(J$1:J302,SUMPRODUCT(MAX(ROW(E$1:E302)*(E303=E$1:E302)))))</f>
        <v> </v>
      </c>
      <c r="L303" s="27"/>
    </row>
    <row r="304" spans="1:12">
      <c r="A304" s="20" t="s">
        <v>922</v>
      </c>
      <c r="E304" s="22">
        <f>IF(D304="?OLD","!!!","")</f>
        <v/>
      </c>
      <c r="F304" s="23" t="str">
        <f>IF(OR(E304="",E304="!!!"),"",IF(NOT(ISNA(VLOOKUP(E304,E$1:E303,1,FALSE()))),"OLD",IF(AND(E304&lt;&gt;"",E304&lt;&gt;"!!!"),"NEW","")))</f>
        <v> </v>
      </c>
      <c r="G304" s="24" t="str">
        <f>IF(OR(E304="",E304="!!!"),"",IF(OR(J304=0,AND(J304=1,K304=1),AND(J304=1,I304="SBJ"),AND(J304=1,I304=0)),"?IN_FOCUS",IF(J304&lt;=2,"?ACTIVATED",IF(J304&lt;&gt;"","?FAMILIAR",IF(F304="NEW",IF(ISNA(VLOOKUP(E304,#REF!,1,FALSE())),"?TYPE_IDENTIFIABLE","?REFERENTIAL"),"_")))))</f>
        <v> </v>
      </c>
      <c r="H304" s="25" t="str">
        <f>IF(J304&lt;&gt;1,"",IF(I304="SBJ","CB","?"))</f>
        <v> </v>
      </c>
      <c r="I304" s="26" t="str">
        <f>IF(OR(E304="",E304="!!!",F304="NEW"),"",INDEX(B303:B$2,-1+SUMPRODUCT(MAX(ROW(E303:E$2)*(E304=E303:E$2)))))</f>
        <v> </v>
      </c>
      <c r="J304" s="26" t="str">
        <f>IF(OR(E304="",E304="!!!",F304="NEW"),"",COUNTBLANK(OFFSET(A$1,,,SUMPRODUCT(MAX(ROW(E$2:E304)*(E304=E$2:E304)))))-COUNTBLANK(OFFSET(A$1,,,SUMPRODUCT(MAX(ROW(E$1:E303)*(E2=E$1:E303))))))</f>
        <v> </v>
      </c>
      <c r="K304" s="26" t="str">
        <f>IF(OR(E304="",E304="!!!",F304="NEW"),"",INDEX(J$1:J303,SUMPRODUCT(MAX(ROW(E$1:E303)*(E304=E$1:E303)))))</f>
        <v> </v>
      </c>
      <c r="L304" s="27"/>
    </row>
    <row r="305" spans="1:12">
      <c r="A305" s="20" t="s">
        <v>775</v>
      </c>
      <c r="B305" s="21" t="s">
        <v>791</v>
      </c>
      <c r="C305" s="21" t="s">
        <v>737</v>
      </c>
      <c r="E305" s="22">
        <f>IF(D305="?OLD","!!!","")</f>
        <v/>
      </c>
      <c r="F305" s="23" t="str">
        <f>IF(OR(E305="",E305="!!!"),"",IF(NOT(ISNA(VLOOKUP(E305,E$1:E304,1,FALSE()))),"OLD",IF(AND(E305&lt;&gt;"",E305&lt;&gt;"!!!"),"NEW","")))</f>
        <v> </v>
      </c>
      <c r="G305" s="24" t="str">
        <f>IF(OR(E305="",E305="!!!"),"",IF(OR(J305=0,AND(J305=1,K305=1),AND(J305=1,I305="SBJ"),AND(J305=1,I305=0)),"?IN_FOCUS",IF(J305&lt;=2,"?ACTIVATED",IF(J305&lt;&gt;"","?FAMILIAR",IF(F305="NEW",IF(ISNA(VLOOKUP(E305,#REF!,1,FALSE())),"?TYPE_IDENTIFIABLE","?REFERENTIAL"),"_")))))</f>
        <v> </v>
      </c>
      <c r="H305" s="25" t="str">
        <f>IF(J305&lt;&gt;1,"",IF(I305="SBJ","CB","?"))</f>
        <v> </v>
      </c>
      <c r="I305" s="26" t="str">
        <f>IF(OR(E305="",E305="!!!",F305="NEW"),"",INDEX(B304:B$2,-1+SUMPRODUCT(MAX(ROW(E304:E$2)*(E305=E304:E$2)))))</f>
        <v> </v>
      </c>
      <c r="J305" s="26" t="str">
        <f>IF(OR(E305="",E305="!!!",F305="NEW"),"",COUNTBLANK(OFFSET(A$1,,,SUMPRODUCT(MAX(ROW(E$2:E305)*(E305=E$2:E305)))))-COUNTBLANK(OFFSET(A$1,,,SUMPRODUCT(MAX(ROW(E$1:E304)*(E2=E$1:E304))))))</f>
        <v> </v>
      </c>
      <c r="K305" s="26" t="str">
        <f>IF(OR(E305="",E305="!!!",F305="NEW"),"",INDEX(J$1:J304,SUMPRODUCT(MAX(ROW(E$1:E304)*(E305=E$1:E304)))))</f>
        <v> </v>
      </c>
      <c r="L305" s="27"/>
    </row>
    <row r="306" spans="1:12">
      <c r="A306" s="20" t="s">
        <v>923</v>
      </c>
      <c r="E306" s="22">
        <f>IF(D306="?OLD","!!!","")</f>
        <v/>
      </c>
      <c r="F306" s="23" t="str">
        <f>IF(OR(E306="",E306="!!!"),"",IF(NOT(ISNA(VLOOKUP(E306,E$1:E305,1,FALSE()))),"OLD",IF(AND(E306&lt;&gt;"",E306&lt;&gt;"!!!"),"NEW","")))</f>
        <v> </v>
      </c>
      <c r="G306" s="24" t="str">
        <f>IF(OR(E306="",E306="!!!"),"",IF(OR(J306=0,AND(J306=1,K306=1),AND(J306=1,I306="SBJ"),AND(J306=1,I306=0)),"?IN_FOCUS",IF(J306&lt;=2,"?ACTIVATED",IF(J306&lt;&gt;"","?FAMILIAR",IF(F306="NEW",IF(ISNA(VLOOKUP(E306,#REF!,1,FALSE())),"?TYPE_IDENTIFIABLE","?REFERENTIAL"),"_")))))</f>
        <v> </v>
      </c>
      <c r="H306" s="25" t="str">
        <f>IF(J306&lt;&gt;1,"",IF(I306="SBJ","CB","?"))</f>
        <v> </v>
      </c>
      <c r="I306" s="26" t="str">
        <f>IF(OR(E306="",E306="!!!",F306="NEW"),"",INDEX(B305:B$2,-1+SUMPRODUCT(MAX(ROW(E305:E$2)*(E306=E305:E$2)))))</f>
        <v> </v>
      </c>
      <c r="J306" s="26" t="str">
        <f>IF(OR(E306="",E306="!!!",F306="NEW"),"",COUNTBLANK(OFFSET(A$1,,,SUMPRODUCT(MAX(ROW(E$2:E306)*(E306=E$2:E306)))))-COUNTBLANK(OFFSET(A$1,,,SUMPRODUCT(MAX(ROW(E$1:E305)*(E2=E$1:E305))))))</f>
        <v> </v>
      </c>
      <c r="K306" s="26" t="str">
        <f>IF(OR(E306="",E306="!!!",F306="NEW"),"",INDEX(J$1:J305,SUMPRODUCT(MAX(ROW(E$1:E305)*(E306=E$1:E305)))))</f>
        <v> </v>
      </c>
      <c r="L306" s="27"/>
    </row>
    <row r="307" spans="1:12">
      <c r="A307" s="20" t="s">
        <v>759</v>
      </c>
      <c r="E307" s="22">
        <f>IF(D307="?OLD","!!!","")</f>
        <v/>
      </c>
      <c r="F307" s="23" t="str">
        <f>IF(OR(E307="",E307="!!!"),"",IF(NOT(ISNA(VLOOKUP(E307,E$1:E306,1,FALSE()))),"OLD",IF(AND(E307&lt;&gt;"",E307&lt;&gt;"!!!"),"NEW","")))</f>
        <v> </v>
      </c>
      <c r="G307" s="24" t="str">
        <f>IF(OR(E307="",E307="!!!"),"",IF(OR(J307=0,AND(J307=1,K307=1),AND(J307=1,I307="SBJ"),AND(J307=1,I307=0)),"?IN_FOCUS",IF(J307&lt;=2,"?ACTIVATED",IF(J307&lt;&gt;"","?FAMILIAR",IF(F307="NEW",IF(ISNA(VLOOKUP(E307,#REF!,1,FALSE())),"?TYPE_IDENTIFIABLE","?REFERENTIAL"),"_")))))</f>
        <v> </v>
      </c>
      <c r="H307" s="25" t="str">
        <f>IF(J307&lt;&gt;1,"",IF(I307="SBJ","CB","?"))</f>
        <v> </v>
      </c>
      <c r="I307" s="26" t="str">
        <f>IF(OR(E307="",E307="!!!",F307="NEW"),"",INDEX(B306:B$2,-1+SUMPRODUCT(MAX(ROW(E306:E$2)*(E307=E306:E$2)))))</f>
        <v> </v>
      </c>
      <c r="J307" s="26" t="str">
        <f>IF(OR(E307="",E307="!!!",F307="NEW"),"",COUNTBLANK(OFFSET(A$1,,,SUMPRODUCT(MAX(ROW(E$2:E307)*(E307=E$2:E307)))))-COUNTBLANK(OFFSET(A$1,,,SUMPRODUCT(MAX(ROW(E$1:E306)*(E2=E$1:E306))))))</f>
        <v> </v>
      </c>
      <c r="K307" s="26" t="str">
        <f>IF(OR(E307="",E307="!!!",F307="NEW"),"",INDEX(J$1:J306,SUMPRODUCT(MAX(ROW(E$1:E306)*(E307=E$1:E306)))))</f>
        <v> </v>
      </c>
      <c r="L307" s="27"/>
    </row>
    <row r="308" spans="1:12">
      <c r="A308" s="20" t="s">
        <v>924</v>
      </c>
      <c r="E308" s="22">
        <f>IF(D308="?OLD","!!!","")</f>
        <v/>
      </c>
      <c r="F308" s="23" t="str">
        <f>IF(OR(E308="",E308="!!!"),"",IF(NOT(ISNA(VLOOKUP(E308,E$1:E307,1,FALSE()))),"OLD",IF(AND(E308&lt;&gt;"",E308&lt;&gt;"!!!"),"NEW","")))</f>
        <v> </v>
      </c>
      <c r="G308" s="24" t="str">
        <f>IF(OR(E308="",E308="!!!"),"",IF(OR(J308=0,AND(J308=1,K308=1),AND(J308=1,I308="SBJ"),AND(J308=1,I308=0)),"?IN_FOCUS",IF(J308&lt;=2,"?ACTIVATED",IF(J308&lt;&gt;"","?FAMILIAR",IF(F308="NEW",IF(ISNA(VLOOKUP(E308,#REF!,1,FALSE())),"?TYPE_IDENTIFIABLE","?REFERENTIAL"),"_")))))</f>
        <v> </v>
      </c>
      <c r="H308" s="25" t="str">
        <f>IF(J308&lt;&gt;1,"",IF(I308="SBJ","CB","?"))</f>
        <v> </v>
      </c>
      <c r="I308" s="26" t="str">
        <f>IF(OR(E308="",E308="!!!",F308="NEW"),"",INDEX(B307:B$2,-1+SUMPRODUCT(MAX(ROW(E307:E$2)*(E308=E307:E$2)))))</f>
        <v> </v>
      </c>
      <c r="J308" s="26" t="str">
        <f>IF(OR(E308="",E308="!!!",F308="NEW"),"",COUNTBLANK(OFFSET(A$1,,,SUMPRODUCT(MAX(ROW(E$2:E308)*(E308=E$2:E308)))))-COUNTBLANK(OFFSET(A$1,,,SUMPRODUCT(MAX(ROW(E$1:E307)*(E2=E$1:E307))))))</f>
        <v> </v>
      </c>
      <c r="K308" s="26" t="str">
        <f>IF(OR(E308="",E308="!!!",F308="NEW"),"",INDEX(J$1:J307,SUMPRODUCT(MAX(ROW(E$1:E307)*(E308=E$1:E307)))))</f>
        <v> </v>
      </c>
      <c r="L308" s="27"/>
    </row>
    <row r="309" spans="1:12">
      <c r="A309" s="20" t="s">
        <v>859</v>
      </c>
      <c r="B309" s="21" t="s">
        <v>728</v>
      </c>
      <c r="C309" s="21" t="s">
        <v>789</v>
      </c>
      <c r="D309" s="21" t="s">
        <v>730</v>
      </c>
      <c r="E309" s="22">
        <f>IF(D309="?OLD","!!!","")</f>
        <v/>
      </c>
      <c r="F309" s="23" t="str">
        <f>IF(OR(E309="",E309="!!!"),"",IF(NOT(ISNA(VLOOKUP(E309,E$1:E308,1,FALSE()))),"OLD",IF(AND(E309&lt;&gt;"",E309&lt;&gt;"!!!"),"NEW","")))</f>
        <v> </v>
      </c>
      <c r="G309" s="24" t="str">
        <f>IF(OR(E309="",E309="!!!"),"",IF(OR(J309=0,AND(J309=1,K309=1),AND(J309=1,I309="SBJ"),AND(J309=1,I309=0)),"?IN_FOCUS",IF(J309&lt;=2,"?ACTIVATED",IF(J309&lt;&gt;"","?FAMILIAR",IF(F309="NEW",IF(ISNA(VLOOKUP(E309,#REF!,1,FALSE())),"?TYPE_IDENTIFIABLE","?REFERENTIAL"),"_")))))</f>
        <v> </v>
      </c>
      <c r="H309" s="25" t="str">
        <f>IF(J309&lt;&gt;1,"",IF(I309="SBJ","CB","?"))</f>
        <v> </v>
      </c>
      <c r="I309" s="26" t="str">
        <f>IF(OR(E309="",E309="!!!",F309="NEW"),"",INDEX(B308:B$2,-1+SUMPRODUCT(MAX(ROW(E308:E$2)*(E309=E308:E$2)))))</f>
        <v> </v>
      </c>
      <c r="J309" s="26" t="str">
        <f>IF(OR(E309="",E309="!!!",F309="NEW"),"",COUNTBLANK(OFFSET(A$1,,,SUMPRODUCT(MAX(ROW(E$2:E309)*(E309=E$2:E309)))))-COUNTBLANK(OFFSET(A$1,,,SUMPRODUCT(MAX(ROW(E$1:E308)*(E2=E$1:E308))))))</f>
        <v> </v>
      </c>
      <c r="K309" s="26" t="str">
        <f>IF(OR(E309="",E309="!!!",F309="NEW"),"",INDEX(J$1:J308,SUMPRODUCT(MAX(ROW(E$1:E308)*(E309=E$1:E308)))))</f>
        <v> </v>
      </c>
      <c r="L309" s="27"/>
    </row>
    <row r="310" spans="1:12">
      <c r="A310" s="20" t="s">
        <v>813</v>
      </c>
      <c r="E310" s="22">
        <f>IF(D310="?OLD","!!!","")</f>
        <v/>
      </c>
      <c r="F310" s="23" t="str">
        <f>IF(OR(E310="",E310="!!!"),"",IF(NOT(ISNA(VLOOKUP(E310,E$1:E309,1,FALSE()))),"OLD",IF(AND(E310&lt;&gt;"",E310&lt;&gt;"!!!"),"NEW","")))</f>
        <v> </v>
      </c>
      <c r="G310" s="24" t="str">
        <f>IF(OR(E310="",E310="!!!"),"",IF(OR(J310=0,AND(J310=1,K310=1),AND(J310=1,I310="SBJ"),AND(J310=1,I310=0)),"?IN_FOCUS",IF(J310&lt;=2,"?ACTIVATED",IF(J310&lt;&gt;"","?FAMILIAR",IF(F310="NEW",IF(ISNA(VLOOKUP(E310,#REF!,1,FALSE())),"?TYPE_IDENTIFIABLE","?REFERENTIAL"),"_")))))</f>
        <v> </v>
      </c>
      <c r="H310" s="25" t="str">
        <f>IF(J310&lt;&gt;1,"",IF(I310="SBJ","CB","?"))</f>
        <v> </v>
      </c>
      <c r="I310" s="26" t="str">
        <f>IF(OR(E310="",E310="!!!",F310="NEW"),"",INDEX(B309:B$2,-1+SUMPRODUCT(MAX(ROW(E309:E$2)*(E310=E309:E$2)))))</f>
        <v> </v>
      </c>
      <c r="J310" s="26" t="str">
        <f>IF(OR(E310="",E310="!!!",F310="NEW"),"",COUNTBLANK(OFFSET(A$1,,,SUMPRODUCT(MAX(ROW(E$2:E310)*(E310=E$2:E310)))))-COUNTBLANK(OFFSET(A$1,,,SUMPRODUCT(MAX(ROW(E$1:E309)*(E2=E$1:E309))))))</f>
        <v> </v>
      </c>
      <c r="K310" s="26" t="str">
        <f>IF(OR(E310="",E310="!!!",F310="NEW"),"",INDEX(J$1:J309,SUMPRODUCT(MAX(ROW(E$1:E309)*(E310=E$1:E309)))))</f>
        <v> </v>
      </c>
      <c r="L310" s="27"/>
    </row>
    <row r="311" spans="1:12">
      <c r="A311" s="20" t="s">
        <v>925</v>
      </c>
      <c r="B311" s="21" t="s">
        <v>764</v>
      </c>
      <c r="C311" s="21" t="s">
        <v>753</v>
      </c>
      <c r="D311" s="21" t="s">
        <v>730</v>
      </c>
      <c r="E311" s="22">
        <f>IF(D311="?OLD","!!!","")</f>
        <v/>
      </c>
      <c r="F311" s="23" t="str">
        <f>IF(OR(E311="",E311="!!!"),"",IF(NOT(ISNA(VLOOKUP(E311,E$1:E310,1,FALSE()))),"OLD",IF(AND(E311&lt;&gt;"",E311&lt;&gt;"!!!"),"NEW","")))</f>
        <v> </v>
      </c>
      <c r="G311" s="24" t="str">
        <f>IF(OR(E311="",E311="!!!"),"",IF(OR(J311=0,AND(J311=1,K311=1),AND(J311=1,I311="SBJ"),AND(J311=1,I311=0)),"?IN_FOCUS",IF(J311&lt;=2,"?ACTIVATED",IF(J311&lt;&gt;"","?FAMILIAR",IF(F311="NEW",IF(ISNA(VLOOKUP(E311,#REF!,1,FALSE())),"?TYPE_IDENTIFIABLE","?REFERENTIAL"),"_")))))</f>
        <v> </v>
      </c>
      <c r="H311" s="25" t="str">
        <f>IF(J311&lt;&gt;1,"",IF(I311="SBJ","CB","?"))</f>
        <v> </v>
      </c>
      <c r="I311" s="26" t="str">
        <f>IF(OR(E311="",E311="!!!",F311="NEW"),"",INDEX(B310:B$2,-1+SUMPRODUCT(MAX(ROW(E310:E$2)*(E311=E310:E$2)))))</f>
        <v> </v>
      </c>
      <c r="J311" s="26" t="str">
        <f>IF(OR(E311="",E311="!!!",F311="NEW"),"",COUNTBLANK(OFFSET(A$1,,,SUMPRODUCT(MAX(ROW(E$2:E311)*(E311=E$2:E311)))))-COUNTBLANK(OFFSET(A$1,,,SUMPRODUCT(MAX(ROW(E$1:E310)*(E2=E$1:E310))))))</f>
        <v> </v>
      </c>
      <c r="K311" s="26" t="str">
        <f>IF(OR(E311="",E311="!!!",F311="NEW"),"",INDEX(J$1:J310,SUMPRODUCT(MAX(ROW(E$1:E310)*(E311=E$1:E310)))))</f>
        <v> </v>
      </c>
      <c r="L311" s="27"/>
    </row>
    <row r="312" spans="1:12">
      <c r="A312" s="20" t="s">
        <v>845</v>
      </c>
      <c r="E312" s="22">
        <f>IF(D312="?OLD","!!!","")</f>
        <v/>
      </c>
      <c r="F312" s="23" t="str">
        <f>IF(OR(E312="",E312="!!!"),"",IF(NOT(ISNA(VLOOKUP(E312,E$1:E311,1,FALSE()))),"OLD",IF(AND(E312&lt;&gt;"",E312&lt;&gt;"!!!"),"NEW","")))</f>
        <v> </v>
      </c>
      <c r="G312" s="24" t="str">
        <f>IF(OR(E312="",E312="!!!"),"",IF(OR(J312=0,AND(J312=1,K312=1),AND(J312=1,I312="SBJ"),AND(J312=1,I312=0)),"?IN_FOCUS",IF(J312&lt;=2,"?ACTIVATED",IF(J312&lt;&gt;"","?FAMILIAR",IF(F312="NEW",IF(ISNA(VLOOKUP(E312,#REF!,1,FALSE())),"?TYPE_IDENTIFIABLE","?REFERENTIAL"),"_")))))</f>
        <v> </v>
      </c>
      <c r="H312" s="25" t="str">
        <f>IF(J312&lt;&gt;1,"",IF(I312="SBJ","CB","?"))</f>
        <v> </v>
      </c>
      <c r="I312" s="26" t="str">
        <f>IF(OR(E312="",E312="!!!",F312="NEW"),"",INDEX(B311:B$2,-1+SUMPRODUCT(MAX(ROW(E311:E$2)*(E312=E311:E$2)))))</f>
        <v> </v>
      </c>
      <c r="J312" s="26" t="str">
        <f>IF(OR(E312="",E312="!!!",F312="NEW"),"",COUNTBLANK(OFFSET(A$1,,,SUMPRODUCT(MAX(ROW(E$2:E312)*(E312=E$2:E312)))))-COUNTBLANK(OFFSET(A$1,,,SUMPRODUCT(MAX(ROW(E$1:E311)*(E2=E$1:E311))))))</f>
        <v> </v>
      </c>
      <c r="K312" s="26" t="str">
        <f>IF(OR(E312="",E312="!!!",F312="NEW"),"",INDEX(J$1:J311,SUMPRODUCT(MAX(ROW(E$1:E311)*(E312=E$1:E311)))))</f>
        <v> </v>
      </c>
      <c r="L312" s="27"/>
    </row>
    <row r="313" spans="1:12">
      <c r="A313" s="20" t="s">
        <v>926</v>
      </c>
      <c r="B313" s="21" t="s">
        <v>739</v>
      </c>
      <c r="C313" s="21" t="s">
        <v>753</v>
      </c>
      <c r="D313" s="21" t="s">
        <v>730</v>
      </c>
      <c r="E313" s="22">
        <f>IF(D313="?OLD","!!!","")</f>
        <v/>
      </c>
      <c r="F313" s="23" t="str">
        <f>IF(OR(E313="",E313="!!!"),"",IF(NOT(ISNA(VLOOKUP(E313,E$1:E312,1,FALSE()))),"OLD",IF(AND(E313&lt;&gt;"",E313&lt;&gt;"!!!"),"NEW","")))</f>
        <v> </v>
      </c>
      <c r="G313" s="24" t="str">
        <f>IF(OR(E313="",E313="!!!"),"",IF(OR(J313=0,AND(J313=1,K313=1),AND(J313=1,I313="SBJ"),AND(J313=1,I313=0)),"?IN_FOCUS",IF(J313&lt;=2,"?ACTIVATED",IF(J313&lt;&gt;"","?FAMILIAR",IF(F313="NEW",IF(ISNA(VLOOKUP(E313,#REF!,1,FALSE())),"?TYPE_IDENTIFIABLE","?REFERENTIAL"),"_")))))</f>
        <v> </v>
      </c>
      <c r="H313" s="25" t="str">
        <f>IF(J313&lt;&gt;1,"",IF(I313="SBJ","CB","?"))</f>
        <v> </v>
      </c>
      <c r="I313" s="26" t="str">
        <f>IF(OR(E313="",E313="!!!",F313="NEW"),"",INDEX(B312:B$2,-1+SUMPRODUCT(MAX(ROW(E312:E$2)*(E313=E312:E$2)))))</f>
        <v> </v>
      </c>
      <c r="J313" s="26" t="str">
        <f>IF(OR(E313="",E313="!!!",F313="NEW"),"",COUNTBLANK(OFFSET(A$1,,,SUMPRODUCT(MAX(ROW(E$2:E313)*(E313=E$2:E313)))))-COUNTBLANK(OFFSET(A$1,,,SUMPRODUCT(MAX(ROW(E$1:E312)*(E2=E$1:E312))))))</f>
        <v> </v>
      </c>
      <c r="K313" s="26" t="str">
        <f>IF(OR(E313="",E313="!!!",F313="NEW"),"",INDEX(J$1:J312,SUMPRODUCT(MAX(ROW(E$1:E312)*(E313=E$1:E312)))))</f>
        <v> </v>
      </c>
      <c r="L313" s="27"/>
    </row>
    <row r="314" spans="1:12">
      <c r="A314" s="20" t="s">
        <v>785</v>
      </c>
      <c r="E314" s="22">
        <f>IF(D314="?OLD","!!!","")</f>
        <v/>
      </c>
      <c r="F314" s="23" t="str">
        <f>IF(OR(E314="",E314="!!!"),"",IF(NOT(ISNA(VLOOKUP(E314,E$1:E313,1,FALSE()))),"OLD",IF(AND(E314&lt;&gt;"",E314&lt;&gt;"!!!"),"NEW","")))</f>
        <v> </v>
      </c>
      <c r="G314" s="24" t="str">
        <f>IF(OR(E314="",E314="!!!"),"",IF(OR(J314=0,AND(J314=1,K314=1),AND(J314=1,I314="SBJ"),AND(J314=1,I314=0)),"?IN_FOCUS",IF(J314&lt;=2,"?ACTIVATED",IF(J314&lt;&gt;"","?FAMILIAR",IF(F314="NEW",IF(ISNA(VLOOKUP(E314,#REF!,1,FALSE())),"?TYPE_IDENTIFIABLE","?REFERENTIAL"),"_")))))</f>
        <v> </v>
      </c>
      <c r="H314" s="25" t="str">
        <f>IF(J314&lt;&gt;1,"",IF(I314="SBJ","CB","?"))</f>
        <v> </v>
      </c>
      <c r="I314" s="26" t="str">
        <f>IF(OR(E314="",E314="!!!",F314="NEW"),"",INDEX(B313:B$2,-1+SUMPRODUCT(MAX(ROW(E313:E$2)*(E314=E313:E$2)))))</f>
        <v> </v>
      </c>
      <c r="J314" s="26" t="str">
        <f>IF(OR(E314="",E314="!!!",F314="NEW"),"",COUNTBLANK(OFFSET(A$1,,,SUMPRODUCT(MAX(ROW(E$2:E314)*(E314=E$2:E314)))))-COUNTBLANK(OFFSET(A$1,,,SUMPRODUCT(MAX(ROW(E$1:E313)*(E2=E$1:E313))))))</f>
        <v> </v>
      </c>
      <c r="K314" s="26" t="str">
        <f>IF(OR(E314="",E314="!!!",F314="NEW"),"",INDEX(J$1:J313,SUMPRODUCT(MAX(ROW(E$1:E313)*(E314=E$1:E313)))))</f>
        <v> </v>
      </c>
      <c r="L314" s="27"/>
    </row>
    <row r="315" spans="1:12">
      <c r="A315" s="20" t="s">
        <v>927</v>
      </c>
      <c r="E315" s="22">
        <f>IF(D315="?OLD","!!!","")</f>
        <v/>
      </c>
      <c r="F315" s="23" t="str">
        <f>IF(OR(E315="",E315="!!!"),"",IF(NOT(ISNA(VLOOKUP(E315,E$1:E314,1,FALSE()))),"OLD",IF(AND(E315&lt;&gt;"",E315&lt;&gt;"!!!"),"NEW","")))</f>
        <v> </v>
      </c>
      <c r="G315" s="24" t="str">
        <f>IF(OR(E315="",E315="!!!"),"",IF(OR(J315=0,AND(J315=1,K315=1),AND(J315=1,I315="SBJ"),AND(J315=1,I315=0)),"?IN_FOCUS",IF(J315&lt;=2,"?ACTIVATED",IF(J315&lt;&gt;"","?FAMILIAR",IF(F315="NEW",IF(ISNA(VLOOKUP(E315,#REF!,1,FALSE())),"?TYPE_IDENTIFIABLE","?REFERENTIAL"),"_")))))</f>
        <v> </v>
      </c>
      <c r="H315" s="25" t="str">
        <f>IF(J315&lt;&gt;1,"",IF(I315="SBJ","CB","?"))</f>
        <v> </v>
      </c>
      <c r="I315" s="26" t="str">
        <f>IF(OR(E315="",E315="!!!",F315="NEW"),"",INDEX(B314:B$2,-1+SUMPRODUCT(MAX(ROW(E314:E$2)*(E315=E314:E$2)))))</f>
        <v> </v>
      </c>
      <c r="J315" s="26" t="str">
        <f>IF(OR(E315="",E315="!!!",F315="NEW"),"",COUNTBLANK(OFFSET(A$1,,,SUMPRODUCT(MAX(ROW(E$2:E315)*(E315=E$2:E315)))))-COUNTBLANK(OFFSET(A$1,,,SUMPRODUCT(MAX(ROW(E$1:E314)*(E2=E$1:E314))))))</f>
        <v> </v>
      </c>
      <c r="K315" s="26" t="str">
        <f>IF(OR(E315="",E315="!!!",F315="NEW"),"",INDEX(J$1:J314,SUMPRODUCT(MAX(ROW(E$1:E314)*(E315=E$1:E314)))))</f>
        <v> </v>
      </c>
      <c r="L315" s="27"/>
    </row>
    <row r="316" spans="1:12">
      <c r="A316" s="20" t="s">
        <v>928</v>
      </c>
      <c r="B316" s="21" t="s">
        <v>791</v>
      </c>
      <c r="C316" s="21" t="s">
        <v>789</v>
      </c>
      <c r="D316" s="21" t="s">
        <v>730</v>
      </c>
      <c r="E316" s="22">
        <f>IF(D316="?OLD","!!!","")</f>
        <v/>
      </c>
      <c r="F316" s="23" t="str">
        <f>IF(OR(E316="",E316="!!!"),"",IF(NOT(ISNA(VLOOKUP(E316,E$1:E315,1,FALSE()))),"OLD",IF(AND(E316&lt;&gt;"",E316&lt;&gt;"!!!"),"NEW","")))</f>
        <v> </v>
      </c>
      <c r="G316" s="24" t="str">
        <f>IF(OR(E316="",E316="!!!"),"",IF(OR(J316=0,AND(J316=1,K316=1),AND(J316=1,I316="SBJ"),AND(J316=1,I316=0)),"?IN_FOCUS",IF(J316&lt;=2,"?ACTIVATED",IF(J316&lt;&gt;"","?FAMILIAR",IF(F316="NEW",IF(ISNA(VLOOKUP(E316,#REF!,1,FALSE())),"?TYPE_IDENTIFIABLE","?REFERENTIAL"),"_")))))</f>
        <v> </v>
      </c>
      <c r="H316" s="25" t="str">
        <f>IF(J316&lt;&gt;1,"",IF(I316="SBJ","CB","?"))</f>
        <v> </v>
      </c>
      <c r="I316" s="26" t="str">
        <f>IF(OR(E316="",E316="!!!",F316="NEW"),"",INDEX(B315:B$2,-1+SUMPRODUCT(MAX(ROW(E315:E$2)*(E316=E315:E$2)))))</f>
        <v> </v>
      </c>
      <c r="J316" s="26" t="str">
        <f>IF(OR(E316="",E316="!!!",F316="NEW"),"",COUNTBLANK(OFFSET(A$1,,,SUMPRODUCT(MAX(ROW(E$2:E316)*(E316=E$2:E316)))))-COUNTBLANK(OFFSET(A$1,,,SUMPRODUCT(MAX(ROW(E$1:E315)*(E2=E$1:E315))))))</f>
        <v> </v>
      </c>
      <c r="K316" s="26" t="str">
        <f>IF(OR(E316="",E316="!!!",F316="NEW"),"",INDEX(J$1:J315,SUMPRODUCT(MAX(ROW(E$1:E315)*(E316=E$1:E315)))))</f>
        <v> </v>
      </c>
      <c r="L316" s="27"/>
    </row>
    <row r="317" spans="1:12">
      <c r="A317" s="20" t="s">
        <v>742</v>
      </c>
      <c r="E317" s="22">
        <f>IF(D317="?OLD","!!!","")</f>
        <v/>
      </c>
      <c r="F317" s="23" t="str">
        <f>IF(OR(E317="",E317="!!!"),"",IF(NOT(ISNA(VLOOKUP(E317,E$1:E316,1,FALSE()))),"OLD",IF(AND(E317&lt;&gt;"",E317&lt;&gt;"!!!"),"NEW","")))</f>
        <v> </v>
      </c>
      <c r="G317" s="24" t="str">
        <f>IF(OR(E317="",E317="!!!"),"",IF(OR(J317=0,AND(J317=1,K317=1),AND(J317=1,I317="SBJ"),AND(J317=1,I317=0)),"?IN_FOCUS",IF(J317&lt;=2,"?ACTIVATED",IF(J317&lt;&gt;"","?FAMILIAR",IF(F317="NEW",IF(ISNA(VLOOKUP(E317,#REF!,1,FALSE())),"?TYPE_IDENTIFIABLE","?REFERENTIAL"),"_")))))</f>
        <v> </v>
      </c>
      <c r="H317" s="25" t="str">
        <f>IF(J317&lt;&gt;1,"",IF(I317="SBJ","CB","?"))</f>
        <v> </v>
      </c>
      <c r="I317" s="26" t="str">
        <f>IF(OR(E317="",E317="!!!",F317="NEW"),"",INDEX(B316:B$2,-1+SUMPRODUCT(MAX(ROW(E316:E$2)*(E317=E316:E$2)))))</f>
        <v> </v>
      </c>
      <c r="J317" s="26" t="str">
        <f>IF(OR(E317="",E317="!!!",F317="NEW"),"",COUNTBLANK(OFFSET(A$1,,,SUMPRODUCT(MAX(ROW(E$2:E317)*(E317=E$2:E317)))))-COUNTBLANK(OFFSET(A$1,,,SUMPRODUCT(MAX(ROW(E$1:E316)*(E2=E$1:E316))))))</f>
        <v> </v>
      </c>
      <c r="K317" s="26" t="str">
        <f>IF(OR(E317="",E317="!!!",F317="NEW"),"",INDEX(J$1:J316,SUMPRODUCT(MAX(ROW(E$1:E316)*(E317=E$1:E316)))))</f>
        <v> </v>
      </c>
      <c r="L317" s="27"/>
    </row>
    <row r="318" spans="1:12">
      <c r="A318" s="20" t="s">
        <v>813</v>
      </c>
      <c r="E318" s="22">
        <f>IF(D318="?OLD","!!!","")</f>
        <v/>
      </c>
      <c r="F318" s="23" t="str">
        <f>IF(OR(E318="",E318="!!!"),"",IF(NOT(ISNA(VLOOKUP(E318,E$1:E317,1,FALSE()))),"OLD",IF(AND(E318&lt;&gt;"",E318&lt;&gt;"!!!"),"NEW","")))</f>
        <v> </v>
      </c>
      <c r="G318" s="24" t="str">
        <f>IF(OR(E318="",E318="!!!"),"",IF(OR(J318=0,AND(J318=1,K318=1),AND(J318=1,I318="SBJ"),AND(J318=1,I318=0)),"?IN_FOCUS",IF(J318&lt;=2,"?ACTIVATED",IF(J318&lt;&gt;"","?FAMILIAR",IF(F318="NEW",IF(ISNA(VLOOKUP(E318,#REF!,1,FALSE())),"?TYPE_IDENTIFIABLE","?REFERENTIAL"),"_")))))</f>
        <v> </v>
      </c>
      <c r="H318" s="25" t="str">
        <f>IF(J318&lt;&gt;1,"",IF(I318="SBJ","CB","?"))</f>
        <v> </v>
      </c>
      <c r="I318" s="26" t="str">
        <f>IF(OR(E318="",E318="!!!",F318="NEW"),"",INDEX(B317:B$2,-1+SUMPRODUCT(MAX(ROW(E317:E$2)*(E318=E317:E$2)))))</f>
        <v> </v>
      </c>
      <c r="J318" s="26" t="str">
        <f>IF(OR(E318="",E318="!!!",F318="NEW"),"",COUNTBLANK(OFFSET(A$1,,,SUMPRODUCT(MAX(ROW(E$2:E318)*(E318=E$2:E318)))))-COUNTBLANK(OFFSET(A$1,,,SUMPRODUCT(MAX(ROW(E$1:E317)*(E2=E$1:E317))))))</f>
        <v> </v>
      </c>
      <c r="K318" s="26" t="str">
        <f>IF(OR(E318="",E318="!!!",F318="NEW"),"",INDEX(J$1:J317,SUMPRODUCT(MAX(ROW(E$1:E317)*(E318=E$1:E317)))))</f>
        <v> </v>
      </c>
      <c r="L318" s="27"/>
    </row>
    <row r="319" spans="1:12">
      <c r="A319" s="20" t="s">
        <v>929</v>
      </c>
      <c r="B319" s="21" t="s">
        <v>739</v>
      </c>
      <c r="C319" s="21" t="s">
        <v>753</v>
      </c>
      <c r="D319" s="21" t="s">
        <v>730</v>
      </c>
      <c r="E319" s="22">
        <f>IF(D319="?OLD","!!!","")</f>
        <v/>
      </c>
      <c r="F319" s="23" t="str">
        <f>IF(OR(E319="",E319="!!!"),"",IF(NOT(ISNA(VLOOKUP(E319,E$1:E318,1,FALSE()))),"OLD",IF(AND(E319&lt;&gt;"",E319&lt;&gt;"!!!"),"NEW","")))</f>
        <v> </v>
      </c>
      <c r="G319" s="24" t="str">
        <f>IF(OR(E319="",E319="!!!"),"",IF(OR(J319=0,AND(J319=1,K319=1),AND(J319=1,I319="SBJ"),AND(J319=1,I319=0)),"?IN_FOCUS",IF(J319&lt;=2,"?ACTIVATED",IF(J319&lt;&gt;"","?FAMILIAR",IF(F319="NEW",IF(ISNA(VLOOKUP(E319,#REF!,1,FALSE())),"?TYPE_IDENTIFIABLE","?REFERENTIAL"),"_")))))</f>
        <v> </v>
      </c>
      <c r="H319" s="25" t="str">
        <f>IF(J319&lt;&gt;1,"",IF(I319="SBJ","CB","?"))</f>
        <v> </v>
      </c>
      <c r="I319" s="26" t="str">
        <f>IF(OR(E319="",E319="!!!",F319="NEW"),"",INDEX(B318:B$2,-1+SUMPRODUCT(MAX(ROW(E318:E$2)*(E319=E318:E$2)))))</f>
        <v> </v>
      </c>
      <c r="J319" s="26" t="str">
        <f>IF(OR(E319="",E319="!!!",F319="NEW"),"",COUNTBLANK(OFFSET(A$1,,,SUMPRODUCT(MAX(ROW(E$2:E319)*(E319=E$2:E319)))))-COUNTBLANK(OFFSET(A$1,,,SUMPRODUCT(MAX(ROW(E$1:E318)*(E2=E$1:E318))))))</f>
        <v> </v>
      </c>
      <c r="K319" s="26" t="str">
        <f>IF(OR(E319="",E319="!!!",F319="NEW"),"",INDEX(J$1:J318,SUMPRODUCT(MAX(ROW(E$1:E318)*(E319=E$1:E318)))))</f>
        <v> </v>
      </c>
      <c r="L319" s="27"/>
    </row>
    <row r="320" spans="1:12">
      <c r="A320" s="20" t="s">
        <v>773</v>
      </c>
      <c r="E320" s="22">
        <f>IF(D320="?OLD","!!!","")</f>
        <v/>
      </c>
      <c r="F320" s="23" t="str">
        <f>IF(OR(E320="",E320="!!!"),"",IF(NOT(ISNA(VLOOKUP(E320,E$1:E319,1,FALSE()))),"OLD",IF(AND(E320&lt;&gt;"",E320&lt;&gt;"!!!"),"NEW","")))</f>
        <v> </v>
      </c>
      <c r="G320" s="24" t="str">
        <f>IF(OR(E320="",E320="!!!"),"",IF(OR(J320=0,AND(J320=1,K320=1),AND(J320=1,I320="SBJ"),AND(J320=1,I320=0)),"?IN_FOCUS",IF(J320&lt;=2,"?ACTIVATED",IF(J320&lt;&gt;"","?FAMILIAR",IF(F320="NEW",IF(ISNA(VLOOKUP(E320,#REF!,1,FALSE())),"?TYPE_IDENTIFIABLE","?REFERENTIAL"),"_")))))</f>
        <v> </v>
      </c>
      <c r="H320" s="25" t="str">
        <f>IF(J320&lt;&gt;1,"",IF(I320="SBJ","CB","?"))</f>
        <v> </v>
      </c>
      <c r="I320" s="26" t="str">
        <f>IF(OR(E320="",E320="!!!",F320="NEW"),"",INDEX(B319:B$2,-1+SUMPRODUCT(MAX(ROW(E319:E$2)*(E320=E319:E$2)))))</f>
        <v> </v>
      </c>
      <c r="J320" s="26" t="str">
        <f>IF(OR(E320="",E320="!!!",F320="NEW"),"",COUNTBLANK(OFFSET(A$1,,,SUMPRODUCT(MAX(ROW(E$2:E320)*(E320=E$2:E320)))))-COUNTBLANK(OFFSET(A$1,,,SUMPRODUCT(MAX(ROW(E$1:E319)*(E2=E$1:E319))))))</f>
        <v> </v>
      </c>
      <c r="K320" s="26" t="str">
        <f>IF(OR(E320="",E320="!!!",F320="NEW"),"",INDEX(J$1:J319,SUMPRODUCT(MAX(ROW(E$1:E319)*(E320=E$1:E319)))))</f>
        <v> </v>
      </c>
      <c r="L320" s="27"/>
    </row>
    <row r="321" spans="1:12">
      <c r="A321" s="20" t="s">
        <v>930</v>
      </c>
      <c r="B321" s="21" t="s">
        <v>783</v>
      </c>
      <c r="C321" s="21" t="s">
        <v>746</v>
      </c>
      <c r="D321" s="21" t="s">
        <v>730</v>
      </c>
      <c r="E321" s="22">
        <f>IF(D321="?OLD","!!!","")</f>
        <v/>
      </c>
      <c r="F321" s="23" t="str">
        <f>IF(OR(E321="",E321="!!!"),"",IF(NOT(ISNA(VLOOKUP(E321,E$1:E320,1,FALSE()))),"OLD",IF(AND(E321&lt;&gt;"",E321&lt;&gt;"!!!"),"NEW","")))</f>
        <v> </v>
      </c>
      <c r="G321" s="24" t="str">
        <f>IF(OR(E321="",E321="!!!"),"",IF(OR(J321=0,AND(J321=1,K321=1),AND(J321=1,I321="SBJ"),AND(J321=1,I321=0)),"?IN_FOCUS",IF(J321&lt;=2,"?ACTIVATED",IF(J321&lt;&gt;"","?FAMILIAR",IF(F321="NEW",IF(ISNA(VLOOKUP(E321,#REF!,1,FALSE())),"?TYPE_IDENTIFIABLE","?REFERENTIAL"),"_")))))</f>
        <v> </v>
      </c>
      <c r="H321" s="25" t="str">
        <f>IF(J321&lt;&gt;1,"",IF(I321="SBJ","CB","?"))</f>
        <v> </v>
      </c>
      <c r="I321" s="26" t="str">
        <f>IF(OR(E321="",E321="!!!",F321="NEW"),"",INDEX(B320:B$2,-1+SUMPRODUCT(MAX(ROW(E320:E$2)*(E321=E320:E$2)))))</f>
        <v> </v>
      </c>
      <c r="J321" s="26" t="str">
        <f>IF(OR(E321="",E321="!!!",F321="NEW"),"",COUNTBLANK(OFFSET(A$1,,,SUMPRODUCT(MAX(ROW(E$2:E321)*(E321=E$2:E321)))))-COUNTBLANK(OFFSET(A$1,,,SUMPRODUCT(MAX(ROW(E$1:E320)*(E2=E$1:E320))))))</f>
        <v> </v>
      </c>
      <c r="K321" s="26" t="str">
        <f>IF(OR(E321="",E321="!!!",F321="NEW"),"",INDEX(J$1:J320,SUMPRODUCT(MAX(ROW(E$1:E320)*(E321=E$1:E320)))))</f>
        <v> </v>
      </c>
      <c r="L321" s="27"/>
    </row>
    <row r="322" spans="1:12">
      <c r="A322" s="20" t="s">
        <v>931</v>
      </c>
      <c r="B322" s="21" t="s">
        <v>755</v>
      </c>
      <c r="C322" s="21" t="s">
        <v>748</v>
      </c>
      <c r="E322" s="22">
        <f>IF(D322="?OLD","!!!","")</f>
        <v/>
      </c>
      <c r="F322" s="23" t="str">
        <f>IF(OR(E322="",E322="!!!"),"",IF(NOT(ISNA(VLOOKUP(E322,E$1:E321,1,FALSE()))),"OLD",IF(AND(E322&lt;&gt;"",E322&lt;&gt;"!!!"),"NEW","")))</f>
        <v> </v>
      </c>
      <c r="G322" s="24" t="str">
        <f>IF(OR(E322="",E322="!!!"),"",IF(OR(J322=0,AND(J322=1,K322=1),AND(J322=1,I322="SBJ"),AND(J322=1,I322=0)),"?IN_FOCUS",IF(J322&lt;=2,"?ACTIVATED",IF(J322&lt;&gt;"","?FAMILIAR",IF(F322="NEW",IF(ISNA(VLOOKUP(E322,#REF!,1,FALSE())),"?TYPE_IDENTIFIABLE","?REFERENTIAL"),"_")))))</f>
        <v> </v>
      </c>
      <c r="H322" s="25" t="str">
        <f>IF(J322&lt;&gt;1,"",IF(I322="SBJ","CB","?"))</f>
        <v> </v>
      </c>
      <c r="I322" s="26" t="str">
        <f>IF(OR(E322="",E322="!!!",F322="NEW"),"",INDEX(B321:B$2,-1+SUMPRODUCT(MAX(ROW(E321:E$2)*(E322=E321:E$2)))))</f>
        <v> </v>
      </c>
      <c r="J322" s="26" t="str">
        <f>IF(OR(E322="",E322="!!!",F322="NEW"),"",COUNTBLANK(OFFSET(A$1,,,SUMPRODUCT(MAX(ROW(E$2:E322)*(E322=E$2:E322)))))-COUNTBLANK(OFFSET(A$1,,,SUMPRODUCT(MAX(ROW(E$1:E321)*(E2=E$1:E321))))))</f>
        <v> </v>
      </c>
      <c r="K322" s="26" t="str">
        <f>IF(OR(E322="",E322="!!!",F322="NEW"),"",INDEX(J$1:J321,SUMPRODUCT(MAX(ROW(E$1:E321)*(E322=E$1:E321)))))</f>
        <v> </v>
      </c>
      <c r="L322" s="27"/>
    </row>
    <row r="323" spans="1:12">
      <c r="A323" s="20" t="s">
        <v>246</v>
      </c>
      <c r="E323" s="22">
        <f>IF(D323="?OLD","!!!","")</f>
        <v/>
      </c>
      <c r="F323" s="23" t="str">
        <f>IF(OR(E323="",E323="!!!"),"",IF(NOT(ISNA(VLOOKUP(E323,E$1:E322,1,FALSE()))),"OLD",IF(AND(E323&lt;&gt;"",E323&lt;&gt;"!!!"),"NEW","")))</f>
        <v> </v>
      </c>
      <c r="G323" s="24" t="str">
        <f>IF(OR(E323="",E323="!!!"),"",IF(OR(J323=0,AND(J323=1,K323=1),AND(J323=1,I323="SBJ"),AND(J323=1,I323=0)),"?IN_FOCUS",IF(J323&lt;=2,"?ACTIVATED",IF(J323&lt;&gt;"","?FAMILIAR",IF(F323="NEW",IF(ISNA(VLOOKUP(E323,#REF!,1,FALSE())),"?TYPE_IDENTIFIABLE","?REFERENTIAL"),"_")))))</f>
        <v> </v>
      </c>
      <c r="H323" s="25" t="str">
        <f>IF(J323&lt;&gt;1,"",IF(I323="SBJ","CB","?"))</f>
        <v> </v>
      </c>
      <c r="I323" s="26" t="str">
        <f>IF(OR(E323="",E323="!!!",F323="NEW"),"",INDEX(B322:B$2,-1+SUMPRODUCT(MAX(ROW(E322:E$2)*(E323=E322:E$2)))))</f>
        <v> </v>
      </c>
      <c r="J323" s="26" t="str">
        <f>IF(OR(E323="",E323="!!!",F323="NEW"),"",COUNTBLANK(OFFSET(A$1,,,SUMPRODUCT(MAX(ROW(E$2:E323)*(E323=E$2:E323)))))-COUNTBLANK(OFFSET(A$1,,,SUMPRODUCT(MAX(ROW(E$1:E322)*(E2=E$1:E322))))))</f>
        <v> </v>
      </c>
      <c r="K323" s="26" t="str">
        <f>IF(OR(E323="",E323="!!!",F323="NEW"),"",INDEX(J$1:J322,SUMPRODUCT(MAX(ROW(E$1:E322)*(E323=E$1:E322)))))</f>
        <v> </v>
      </c>
      <c r="L323" s="27"/>
    </row>
    <row r="324" spans="1:12">
      <c r="A324" s="20"/>
    </row>
    <row r="325" spans="1:12">
      <c r="A325" s="20" t="s">
        <v>932</v>
      </c>
    </row>
    <row r="326" spans="1:12">
      <c r="A326" s="20" t="s">
        <v>933</v>
      </c>
      <c r="B326" s="21" t="s">
        <v>739</v>
      </c>
      <c r="C326" s="21" t="s">
        <v>746</v>
      </c>
      <c r="D326" s="21" t="s">
        <v>730</v>
      </c>
      <c r="E326" s="22">
        <f>IF(D326="?OLD","!!!","")</f>
        <v/>
      </c>
      <c r="F326" s="23" t="str">
        <f>IF(OR(E326="",E326="!!!"),"",IF(NOT(ISNA(VLOOKUP(E326,E$1:E325,1,FALSE()))),"OLD",IF(AND(E326&lt;&gt;"",E326&lt;&gt;"!!!"),"NEW","")))</f>
        <v> </v>
      </c>
      <c r="G326" s="24" t="str">
        <f>IF(OR(E326="",E326="!!!"),"",IF(OR(J326=0,AND(J326=1,K326=1),AND(J326=1,I326="SBJ"),AND(J326=1,I326=0)),"?IN_FOCUS",IF(J326&lt;=2,"?ACTIVATED",IF(J326&lt;&gt;"","?FAMILIAR",IF(F326="NEW",IF(ISNA(VLOOKUP(E326,#REF!,1,FALSE())),"?TYPE_IDENTIFIABLE","?REFERENTIAL"),"_")))))</f>
        <v> </v>
      </c>
      <c r="H326" s="25" t="str">
        <f>IF(J326&lt;&gt;1,"",IF(I326="SBJ","CB","?"))</f>
        <v> </v>
      </c>
      <c r="I326" s="26" t="str">
        <f>IF(OR(E326="",E326="!!!",F326="NEW"),"",INDEX(B325:B$2,-1+SUMPRODUCT(MAX(ROW(E325:E$2)*(E326=E325:E$2)))))</f>
        <v> </v>
      </c>
      <c r="J326" s="26" t="str">
        <f>IF(OR(E326="",E326="!!!",F326="NEW"),"",COUNTBLANK(OFFSET(A$1,,,SUMPRODUCT(MAX(ROW(E$2:E326)*(E326=E$2:E326)))))-COUNTBLANK(OFFSET(A$1,,,SUMPRODUCT(MAX(ROW(E$1:E325)*(E2=E$1:E325))))))</f>
        <v> </v>
      </c>
      <c r="K326" s="26" t="str">
        <f>IF(OR(E326="",E326="!!!",F326="NEW"),"",INDEX(J$1:J325,SUMPRODUCT(MAX(ROW(E$1:E325)*(E326=E$1:E325)))))</f>
        <v> </v>
      </c>
      <c r="L326" s="27"/>
    </row>
    <row r="327" spans="1:12">
      <c r="A327" s="20" t="s">
        <v>934</v>
      </c>
      <c r="B327" s="21" t="s">
        <v>728</v>
      </c>
      <c r="C327" s="21" t="s">
        <v>748</v>
      </c>
      <c r="E327" s="22">
        <f>IF(D327="?OLD","!!!","")</f>
        <v/>
      </c>
      <c r="F327" s="23" t="str">
        <f>IF(OR(E327="",E327="!!!"),"",IF(NOT(ISNA(VLOOKUP(E327,E$1:E326,1,FALSE()))),"OLD",IF(AND(E327&lt;&gt;"",E327&lt;&gt;"!!!"),"NEW","")))</f>
        <v> </v>
      </c>
      <c r="G327" s="24" t="str">
        <f>IF(OR(E327="",E327="!!!"),"",IF(OR(J327=0,AND(J327=1,K327=1),AND(J327=1,I327="SBJ"),AND(J327=1,I327=0)),"?IN_FOCUS",IF(J327&lt;=2,"?ACTIVATED",IF(J327&lt;&gt;"","?FAMILIAR",IF(F327="NEW",IF(ISNA(VLOOKUP(E327,#REF!,1,FALSE())),"?TYPE_IDENTIFIABLE","?REFERENTIAL"),"_")))))</f>
        <v> </v>
      </c>
      <c r="H327" s="25" t="str">
        <f>IF(J327&lt;&gt;1,"",IF(I327="SBJ","CB","?"))</f>
        <v> </v>
      </c>
      <c r="I327" s="26" t="str">
        <f>IF(OR(E327="",E327="!!!",F327="NEW"),"",INDEX(B326:B$2,-1+SUMPRODUCT(MAX(ROW(E326:E$2)*(E327=E326:E$2)))))</f>
        <v> </v>
      </c>
      <c r="J327" s="26" t="str">
        <f>IF(OR(E327="",E327="!!!",F327="NEW"),"",COUNTBLANK(OFFSET(A$1,,,SUMPRODUCT(MAX(ROW(E$2:E327)*(E327=E$2:E327)))))-COUNTBLANK(OFFSET(A$1,,,SUMPRODUCT(MAX(ROW(E$1:E326)*(E2=E$1:E326))))))</f>
        <v> </v>
      </c>
      <c r="K327" s="26" t="str">
        <f>IF(OR(E327="",E327="!!!",F327="NEW"),"",INDEX(J$1:J326,SUMPRODUCT(MAX(ROW(E$1:E326)*(E327=E$1:E326)))))</f>
        <v> </v>
      </c>
      <c r="L327" s="27"/>
    </row>
    <row r="328" spans="1:12">
      <c r="A328" s="20" t="s">
        <v>935</v>
      </c>
      <c r="E328" s="22">
        <f>IF(D328="?OLD","!!!","")</f>
        <v/>
      </c>
      <c r="F328" s="23" t="str">
        <f>IF(OR(E328="",E328="!!!"),"",IF(NOT(ISNA(VLOOKUP(E328,E$1:E327,1,FALSE()))),"OLD",IF(AND(E328&lt;&gt;"",E328&lt;&gt;"!!!"),"NEW","")))</f>
        <v> </v>
      </c>
      <c r="G328" s="24" t="str">
        <f>IF(OR(E328="",E328="!!!"),"",IF(OR(J328=0,AND(J328=1,K328=1),AND(J328=1,I328="SBJ"),AND(J328=1,I328=0)),"?IN_FOCUS",IF(J328&lt;=2,"?ACTIVATED",IF(J328&lt;&gt;"","?FAMILIAR",IF(F328="NEW",IF(ISNA(VLOOKUP(E328,#REF!,1,FALSE())),"?TYPE_IDENTIFIABLE","?REFERENTIAL"),"_")))))</f>
        <v> </v>
      </c>
      <c r="H328" s="25" t="str">
        <f>IF(J328&lt;&gt;1,"",IF(I328="SBJ","CB","?"))</f>
        <v> </v>
      </c>
      <c r="I328" s="26" t="str">
        <f>IF(OR(E328="",E328="!!!",F328="NEW"),"",INDEX(B327:B$2,-1+SUMPRODUCT(MAX(ROW(E327:E$2)*(E328=E327:E$2)))))</f>
        <v> </v>
      </c>
      <c r="J328" s="26" t="str">
        <f>IF(OR(E328="",E328="!!!",F328="NEW"),"",COUNTBLANK(OFFSET(A$1,,,SUMPRODUCT(MAX(ROW(E$2:E328)*(E328=E$2:E328)))))-COUNTBLANK(OFFSET(A$1,,,SUMPRODUCT(MAX(ROW(E$1:E327)*(E2=E$1:E327))))))</f>
        <v> </v>
      </c>
      <c r="K328" s="26" t="str">
        <f>IF(OR(E328="",E328="!!!",F328="NEW"),"",INDEX(J$1:J327,SUMPRODUCT(MAX(ROW(E$1:E327)*(E328=E$1:E327)))))</f>
        <v> </v>
      </c>
      <c r="L328" s="27"/>
    </row>
    <row r="329" spans="1:12">
      <c r="A329" s="20" t="s">
        <v>811</v>
      </c>
      <c r="E329" s="22">
        <f>IF(D329="?OLD","!!!","")</f>
        <v/>
      </c>
      <c r="F329" s="23" t="str">
        <f>IF(OR(E329="",E329="!!!"),"",IF(NOT(ISNA(VLOOKUP(E329,E$1:E328,1,FALSE()))),"OLD",IF(AND(E329&lt;&gt;"",E329&lt;&gt;"!!!"),"NEW","")))</f>
        <v> </v>
      </c>
      <c r="G329" s="24" t="str">
        <f>IF(OR(E329="",E329="!!!"),"",IF(OR(J329=0,AND(J329=1,K329=1),AND(J329=1,I329="SBJ"),AND(J329=1,I329=0)),"?IN_FOCUS",IF(J329&lt;=2,"?ACTIVATED",IF(J329&lt;&gt;"","?FAMILIAR",IF(F329="NEW",IF(ISNA(VLOOKUP(E329,#REF!,1,FALSE())),"?TYPE_IDENTIFIABLE","?REFERENTIAL"),"_")))))</f>
        <v> </v>
      </c>
      <c r="H329" s="25" t="str">
        <f>IF(J329&lt;&gt;1,"",IF(I329="SBJ","CB","?"))</f>
        <v> </v>
      </c>
      <c r="I329" s="26" t="str">
        <f>IF(OR(E329="",E329="!!!",F329="NEW"),"",INDEX(B328:B$2,-1+SUMPRODUCT(MAX(ROW(E328:E$2)*(E329=E328:E$2)))))</f>
        <v> </v>
      </c>
      <c r="J329" s="26" t="str">
        <f>IF(OR(E329="",E329="!!!",F329="NEW"),"",COUNTBLANK(OFFSET(A$1,,,SUMPRODUCT(MAX(ROW(E$2:E329)*(E329=E$2:E329)))))-COUNTBLANK(OFFSET(A$1,,,SUMPRODUCT(MAX(ROW(E$1:E328)*(E2=E$1:E328))))))</f>
        <v> </v>
      </c>
      <c r="K329" s="26" t="str">
        <f>IF(OR(E329="",E329="!!!",F329="NEW"),"",INDEX(J$1:J328,SUMPRODUCT(MAX(ROW(E$1:E328)*(E329=E$1:E328)))))</f>
        <v> </v>
      </c>
      <c r="L329" s="27"/>
    </row>
    <row r="330" spans="1:12">
      <c r="A330" s="20" t="s">
        <v>776</v>
      </c>
      <c r="E330" s="22">
        <f>IF(D330="?OLD","!!!","")</f>
        <v/>
      </c>
      <c r="F330" s="23" t="str">
        <f>IF(OR(E330="",E330="!!!"),"",IF(NOT(ISNA(VLOOKUP(E330,E$1:E329,1,FALSE()))),"OLD",IF(AND(E330&lt;&gt;"",E330&lt;&gt;"!!!"),"NEW","")))</f>
        <v> </v>
      </c>
      <c r="G330" s="24" t="str">
        <f>IF(OR(E330="",E330="!!!"),"",IF(OR(J330=0,AND(J330=1,K330=1),AND(J330=1,I330="SBJ"),AND(J330=1,I330=0)),"?IN_FOCUS",IF(J330&lt;=2,"?ACTIVATED",IF(J330&lt;&gt;"","?FAMILIAR",IF(F330="NEW",IF(ISNA(VLOOKUP(E330,#REF!,1,FALSE())),"?TYPE_IDENTIFIABLE","?REFERENTIAL"),"_")))))</f>
        <v> </v>
      </c>
      <c r="H330" s="25" t="str">
        <f>IF(J330&lt;&gt;1,"",IF(I330="SBJ","CB","?"))</f>
        <v> </v>
      </c>
      <c r="I330" s="26" t="str">
        <f>IF(OR(E330="",E330="!!!",F330="NEW"),"",INDEX(B329:B$2,-1+SUMPRODUCT(MAX(ROW(E329:E$2)*(E330=E329:E$2)))))</f>
        <v> </v>
      </c>
      <c r="J330" s="26" t="str">
        <f>IF(OR(E330="",E330="!!!",F330="NEW"),"",COUNTBLANK(OFFSET(A$1,,,SUMPRODUCT(MAX(ROW(E$2:E330)*(E330=E$2:E330)))))-COUNTBLANK(OFFSET(A$1,,,SUMPRODUCT(MAX(ROW(E$1:E329)*(E2=E$1:E329))))))</f>
        <v> </v>
      </c>
      <c r="K330" s="26" t="str">
        <f>IF(OR(E330="",E330="!!!",F330="NEW"),"",INDEX(J$1:J329,SUMPRODUCT(MAX(ROW(E$1:E329)*(E330=E$1:E329)))))</f>
        <v> </v>
      </c>
      <c r="L330" s="27"/>
    </row>
    <row r="331" spans="1:12">
      <c r="A331" s="20" t="s">
        <v>936</v>
      </c>
      <c r="B331" s="21" t="s">
        <v>736</v>
      </c>
      <c r="C331" s="21" t="s">
        <v>753</v>
      </c>
      <c r="D331" s="21" t="s">
        <v>730</v>
      </c>
      <c r="E331" s="22">
        <f>IF(D331="?OLD","!!!","")</f>
        <v/>
      </c>
      <c r="F331" s="23" t="str">
        <f>IF(OR(E331="",E331="!!!"),"",IF(NOT(ISNA(VLOOKUP(E331,E$1:E330,1,FALSE()))),"OLD",IF(AND(E331&lt;&gt;"",E331&lt;&gt;"!!!"),"NEW","")))</f>
        <v> </v>
      </c>
      <c r="G331" s="24" t="str">
        <f>IF(OR(E331="",E331="!!!"),"",IF(OR(J331=0,AND(J331=1,K331=1),AND(J331=1,I331="SBJ"),AND(J331=1,I331=0)),"?IN_FOCUS",IF(J331&lt;=2,"?ACTIVATED",IF(J331&lt;&gt;"","?FAMILIAR",IF(F331="NEW",IF(ISNA(VLOOKUP(E331,#REF!,1,FALSE())),"?TYPE_IDENTIFIABLE","?REFERENTIAL"),"_")))))</f>
        <v> </v>
      </c>
      <c r="H331" s="25" t="str">
        <f>IF(J331&lt;&gt;1,"",IF(I331="SBJ","CB","?"))</f>
        <v> </v>
      </c>
      <c r="I331" s="26" t="str">
        <f>IF(OR(E331="",E331="!!!",F331="NEW"),"",INDEX(B330:B$2,-1+SUMPRODUCT(MAX(ROW(E330:E$2)*(E331=E330:E$2)))))</f>
        <v> </v>
      </c>
      <c r="J331" s="26" t="str">
        <f>IF(OR(E331="",E331="!!!",F331="NEW"),"",COUNTBLANK(OFFSET(A$1,,,SUMPRODUCT(MAX(ROW(E$2:E331)*(E331=E$2:E331)))))-COUNTBLANK(OFFSET(A$1,,,SUMPRODUCT(MAX(ROW(E$1:E330)*(E2=E$1:E330))))))</f>
        <v> </v>
      </c>
      <c r="K331" s="26" t="str">
        <f>IF(OR(E331="",E331="!!!",F331="NEW"),"",INDEX(J$1:J330,SUMPRODUCT(MAX(ROW(E$1:E330)*(E331=E$1:E330)))))</f>
        <v> </v>
      </c>
      <c r="L331" s="27"/>
    </row>
    <row r="332" spans="1:12">
      <c r="A332" s="20" t="s">
        <v>785</v>
      </c>
      <c r="E332" s="22">
        <f>IF(D332="?OLD","!!!","")</f>
        <v/>
      </c>
      <c r="F332" s="23" t="str">
        <f>IF(OR(E332="",E332="!!!"),"",IF(NOT(ISNA(VLOOKUP(E332,E$1:E331,1,FALSE()))),"OLD",IF(AND(E332&lt;&gt;"",E332&lt;&gt;"!!!"),"NEW","")))</f>
        <v> </v>
      </c>
      <c r="G332" s="24" t="str">
        <f>IF(OR(E332="",E332="!!!"),"",IF(OR(J332=0,AND(J332=1,K332=1),AND(J332=1,I332="SBJ"),AND(J332=1,I332=0)),"?IN_FOCUS",IF(J332&lt;=2,"?ACTIVATED",IF(J332&lt;&gt;"","?FAMILIAR",IF(F332="NEW",IF(ISNA(VLOOKUP(E332,#REF!,1,FALSE())),"?TYPE_IDENTIFIABLE","?REFERENTIAL"),"_")))))</f>
        <v> </v>
      </c>
      <c r="H332" s="25" t="str">
        <f>IF(J332&lt;&gt;1,"",IF(I332="SBJ","CB","?"))</f>
        <v> </v>
      </c>
      <c r="I332" s="26" t="str">
        <f>IF(OR(E332="",E332="!!!",F332="NEW"),"",INDEX(B331:B$2,-1+SUMPRODUCT(MAX(ROW(E331:E$2)*(E332=E331:E$2)))))</f>
        <v> </v>
      </c>
      <c r="J332" s="26" t="str">
        <f>IF(OR(E332="",E332="!!!",F332="NEW"),"",COUNTBLANK(OFFSET(A$1,,,SUMPRODUCT(MAX(ROW(E$2:E332)*(E332=E$2:E332)))))-COUNTBLANK(OFFSET(A$1,,,SUMPRODUCT(MAX(ROW(E$1:E331)*(E2=E$1:E331))))))</f>
        <v> </v>
      </c>
      <c r="K332" s="26" t="str">
        <f>IF(OR(E332="",E332="!!!",F332="NEW"),"",INDEX(J$1:J331,SUMPRODUCT(MAX(ROW(E$1:E331)*(E332=E$1:E331)))))</f>
        <v> </v>
      </c>
      <c r="L332" s="27"/>
    </row>
    <row r="333" spans="1:12">
      <c r="A333" s="20" t="s">
        <v>937</v>
      </c>
      <c r="B333" s="21" t="s">
        <v>736</v>
      </c>
      <c r="C333" s="21" t="s">
        <v>748</v>
      </c>
      <c r="E333" s="22">
        <f>IF(D333="?OLD","!!!","")</f>
        <v/>
      </c>
      <c r="F333" s="23" t="str">
        <f>IF(OR(E333="",E333="!!!"),"",IF(NOT(ISNA(VLOOKUP(E333,E$1:E332,1,FALSE()))),"OLD",IF(AND(E333&lt;&gt;"",E333&lt;&gt;"!!!"),"NEW","")))</f>
        <v> </v>
      </c>
      <c r="G333" s="24" t="str">
        <f>IF(OR(E333="",E333="!!!"),"",IF(OR(J333=0,AND(J333=1,K333=1),AND(J333=1,I333="SBJ"),AND(J333=1,I333=0)),"?IN_FOCUS",IF(J333&lt;=2,"?ACTIVATED",IF(J333&lt;&gt;"","?FAMILIAR",IF(F333="NEW",IF(ISNA(VLOOKUP(E333,#REF!,1,FALSE())),"?TYPE_IDENTIFIABLE","?REFERENTIAL"),"_")))))</f>
        <v> </v>
      </c>
      <c r="H333" s="25" t="str">
        <f>IF(J333&lt;&gt;1,"",IF(I333="SBJ","CB","?"))</f>
        <v> </v>
      </c>
      <c r="I333" s="26" t="str">
        <f>IF(OR(E333="",E333="!!!",F333="NEW"),"",INDEX(B332:B$2,-1+SUMPRODUCT(MAX(ROW(E332:E$2)*(E333=E332:E$2)))))</f>
        <v> </v>
      </c>
      <c r="J333" s="26" t="str">
        <f>IF(OR(E333="",E333="!!!",F333="NEW"),"",COUNTBLANK(OFFSET(A$1,,,SUMPRODUCT(MAX(ROW(E$2:E333)*(E333=E$2:E333)))))-COUNTBLANK(OFFSET(A$1,,,SUMPRODUCT(MAX(ROW(E$1:E332)*(E2=E$1:E332))))))</f>
        <v> </v>
      </c>
      <c r="K333" s="26" t="str">
        <f>IF(OR(E333="",E333="!!!",F333="NEW"),"",INDEX(J$1:J332,SUMPRODUCT(MAX(ROW(E$1:E332)*(E333=E$1:E332)))))</f>
        <v> </v>
      </c>
      <c r="L333" s="27"/>
    </row>
    <row r="334" spans="1:12">
      <c r="A334" s="20" t="s">
        <v>938</v>
      </c>
      <c r="E334" s="22">
        <f>IF(D334="?OLD","!!!","")</f>
        <v/>
      </c>
      <c r="F334" s="23" t="str">
        <f>IF(OR(E334="",E334="!!!"),"",IF(NOT(ISNA(VLOOKUP(E334,E$1:E333,1,FALSE()))),"OLD",IF(AND(E334&lt;&gt;"",E334&lt;&gt;"!!!"),"NEW","")))</f>
        <v> </v>
      </c>
      <c r="G334" s="24" t="str">
        <f>IF(OR(E334="",E334="!!!"),"",IF(OR(J334=0,AND(J334=1,K334=1),AND(J334=1,I334="SBJ"),AND(J334=1,I334=0)),"?IN_FOCUS",IF(J334&lt;=2,"?ACTIVATED",IF(J334&lt;&gt;"","?FAMILIAR",IF(F334="NEW",IF(ISNA(VLOOKUP(E334,#REF!,1,FALSE())),"?TYPE_IDENTIFIABLE","?REFERENTIAL"),"_")))))</f>
        <v> </v>
      </c>
      <c r="H334" s="25" t="str">
        <f>IF(J334&lt;&gt;1,"",IF(I334="SBJ","CB","?"))</f>
        <v> </v>
      </c>
      <c r="I334" s="26" t="str">
        <f>IF(OR(E334="",E334="!!!",F334="NEW"),"",INDEX(B333:B$2,-1+SUMPRODUCT(MAX(ROW(E333:E$2)*(E334=E333:E$2)))))</f>
        <v> </v>
      </c>
      <c r="J334" s="26" t="str">
        <f>IF(OR(E334="",E334="!!!",F334="NEW"),"",COUNTBLANK(OFFSET(A$1,,,SUMPRODUCT(MAX(ROW(E$2:E334)*(E334=E$2:E334)))))-COUNTBLANK(OFFSET(A$1,,,SUMPRODUCT(MAX(ROW(E$1:E333)*(E2=E$1:E333))))))</f>
        <v> </v>
      </c>
      <c r="K334" s="26" t="str">
        <f>IF(OR(E334="",E334="!!!",F334="NEW"),"",INDEX(J$1:J333,SUMPRODUCT(MAX(ROW(E$1:E333)*(E334=E$1:E333)))))</f>
        <v> </v>
      </c>
      <c r="L334" s="27"/>
    </row>
    <row r="335" spans="1:12">
      <c r="A335" s="20" t="s">
        <v>939</v>
      </c>
      <c r="B335" s="21" t="s">
        <v>739</v>
      </c>
      <c r="C335" s="21" t="s">
        <v>740</v>
      </c>
      <c r="D335" s="21" t="s">
        <v>730</v>
      </c>
      <c r="E335" s="22">
        <f>IF(D335="?OLD","!!!","")</f>
        <v/>
      </c>
      <c r="F335" s="23" t="str">
        <f>IF(OR(E335="",E335="!!!"),"",IF(NOT(ISNA(VLOOKUP(E335,E$1:E334,1,FALSE()))),"OLD",IF(AND(E335&lt;&gt;"",E335&lt;&gt;"!!!"),"NEW","")))</f>
        <v> </v>
      </c>
      <c r="G335" s="24" t="str">
        <f>IF(OR(E335="",E335="!!!"),"",IF(OR(J335=0,AND(J335=1,K335=1),AND(J335=1,I335="SBJ"),AND(J335=1,I335=0)),"?IN_FOCUS",IF(J335&lt;=2,"?ACTIVATED",IF(J335&lt;&gt;"","?FAMILIAR",IF(F335="NEW",IF(ISNA(VLOOKUP(E335,#REF!,1,FALSE())),"?TYPE_IDENTIFIABLE","?REFERENTIAL"),"_")))))</f>
        <v> </v>
      </c>
      <c r="H335" s="25" t="str">
        <f>IF(J335&lt;&gt;1,"",IF(I335="SBJ","CB","?"))</f>
        <v> </v>
      </c>
      <c r="I335" s="26" t="str">
        <f>IF(OR(E335="",E335="!!!",F335="NEW"),"",INDEX(B334:B$2,-1+SUMPRODUCT(MAX(ROW(E334:E$2)*(E335=E334:E$2)))))</f>
        <v> </v>
      </c>
      <c r="J335" s="26" t="str">
        <f>IF(OR(E335="",E335="!!!",F335="NEW"),"",COUNTBLANK(OFFSET(A$1,,,SUMPRODUCT(MAX(ROW(E$2:E335)*(E335=E$2:E335)))))-COUNTBLANK(OFFSET(A$1,,,SUMPRODUCT(MAX(ROW(E$1:E334)*(E2=E$1:E334))))))</f>
        <v> </v>
      </c>
      <c r="K335" s="26" t="str">
        <f>IF(OR(E335="",E335="!!!",F335="NEW"),"",INDEX(J$1:J334,SUMPRODUCT(MAX(ROW(E$1:E334)*(E335=E$1:E334)))))</f>
        <v> </v>
      </c>
      <c r="L335" s="27"/>
    </row>
    <row r="336" spans="1:12">
      <c r="A336" s="20" t="s">
        <v>759</v>
      </c>
      <c r="E336" s="22">
        <f>IF(D336="?OLD","!!!","")</f>
        <v/>
      </c>
      <c r="F336" s="23" t="str">
        <f>IF(OR(E336="",E336="!!!"),"",IF(NOT(ISNA(VLOOKUP(E336,E$1:E335,1,FALSE()))),"OLD",IF(AND(E336&lt;&gt;"",E336&lt;&gt;"!!!"),"NEW","")))</f>
        <v> </v>
      </c>
      <c r="G336" s="24" t="str">
        <f>IF(OR(E336="",E336="!!!"),"",IF(OR(J336=0,AND(J336=1,K336=1),AND(J336=1,I336="SBJ"),AND(J336=1,I336=0)),"?IN_FOCUS",IF(J336&lt;=2,"?ACTIVATED",IF(J336&lt;&gt;"","?FAMILIAR",IF(F336="NEW",IF(ISNA(VLOOKUP(E336,#REF!,1,FALSE())),"?TYPE_IDENTIFIABLE","?REFERENTIAL"),"_")))))</f>
        <v> </v>
      </c>
      <c r="H336" s="25" t="str">
        <f>IF(J336&lt;&gt;1,"",IF(I336="SBJ","CB","?"))</f>
        <v> </v>
      </c>
      <c r="I336" s="26" t="str">
        <f>IF(OR(E336="",E336="!!!",F336="NEW"),"",INDEX(B335:B$2,-1+SUMPRODUCT(MAX(ROW(E335:E$2)*(E336=E335:E$2)))))</f>
        <v> </v>
      </c>
      <c r="J336" s="26" t="str">
        <f>IF(OR(E336="",E336="!!!",F336="NEW"),"",COUNTBLANK(OFFSET(A$1,,,SUMPRODUCT(MAX(ROW(E$2:E336)*(E336=E$2:E336)))))-COUNTBLANK(OFFSET(A$1,,,SUMPRODUCT(MAX(ROW(E$1:E335)*(E2=E$1:E335))))))</f>
        <v> </v>
      </c>
      <c r="K336" s="26" t="str">
        <f>IF(OR(E336="",E336="!!!",F336="NEW"),"",INDEX(J$1:J335,SUMPRODUCT(MAX(ROW(E$1:E335)*(E336=E$1:E335)))))</f>
        <v> </v>
      </c>
      <c r="L336" s="27"/>
    </row>
    <row r="337" spans="1:12">
      <c r="A337" s="20" t="s">
        <v>940</v>
      </c>
      <c r="E337" s="22">
        <f>IF(D337="?OLD","!!!","")</f>
        <v/>
      </c>
      <c r="F337" s="23" t="str">
        <f>IF(OR(E337="",E337="!!!"),"",IF(NOT(ISNA(VLOOKUP(E337,E$1:E336,1,FALSE()))),"OLD",IF(AND(E337&lt;&gt;"",E337&lt;&gt;"!!!"),"NEW","")))</f>
        <v> </v>
      </c>
      <c r="G337" s="24" t="str">
        <f>IF(OR(E337="",E337="!!!"),"",IF(OR(J337=0,AND(J337=1,K337=1),AND(J337=1,I337="SBJ"),AND(J337=1,I337=0)),"?IN_FOCUS",IF(J337&lt;=2,"?ACTIVATED",IF(J337&lt;&gt;"","?FAMILIAR",IF(F337="NEW",IF(ISNA(VLOOKUP(E337,#REF!,1,FALSE())),"?TYPE_IDENTIFIABLE","?REFERENTIAL"),"_")))))</f>
        <v> </v>
      </c>
      <c r="H337" s="25" t="str">
        <f>IF(J337&lt;&gt;1,"",IF(I337="SBJ","CB","?"))</f>
        <v> </v>
      </c>
      <c r="I337" s="26" t="str">
        <f>IF(OR(E337="",E337="!!!",F337="NEW"),"",INDEX(B336:B$2,-1+SUMPRODUCT(MAX(ROW(E336:E$2)*(E337=E336:E$2)))))</f>
        <v> </v>
      </c>
      <c r="J337" s="26" t="str">
        <f>IF(OR(E337="",E337="!!!",F337="NEW"),"",COUNTBLANK(OFFSET(A$1,,,SUMPRODUCT(MAX(ROW(E$2:E337)*(E337=E$2:E337)))))-COUNTBLANK(OFFSET(A$1,,,SUMPRODUCT(MAX(ROW(E$1:E336)*(E2=E$1:E336))))))</f>
        <v> </v>
      </c>
      <c r="K337" s="26" t="str">
        <f>IF(OR(E337="",E337="!!!",F337="NEW"),"",INDEX(J$1:J336,SUMPRODUCT(MAX(ROW(E$1:E336)*(E337=E$1:E336)))))</f>
        <v> </v>
      </c>
      <c r="L337" s="27"/>
    </row>
    <row r="338" spans="1:12">
      <c r="A338" s="20" t="s">
        <v>782</v>
      </c>
      <c r="B338" s="21" t="s">
        <v>791</v>
      </c>
      <c r="C338" s="21" t="s">
        <v>748</v>
      </c>
      <c r="E338" s="22">
        <f>IF(D338="?OLD","!!!","")</f>
        <v/>
      </c>
      <c r="F338" s="23" t="str">
        <f>IF(OR(E338="",E338="!!!"),"",IF(NOT(ISNA(VLOOKUP(E338,E$1:E337,1,FALSE()))),"OLD",IF(AND(E338&lt;&gt;"",E338&lt;&gt;"!!!"),"NEW","")))</f>
        <v> </v>
      </c>
      <c r="G338" s="24" t="str">
        <f>IF(OR(E338="",E338="!!!"),"",IF(OR(J338=0,AND(J338=1,K338=1),AND(J338=1,I338="SBJ"),AND(J338=1,I338=0)),"?IN_FOCUS",IF(J338&lt;=2,"?ACTIVATED",IF(J338&lt;&gt;"","?FAMILIAR",IF(F338="NEW",IF(ISNA(VLOOKUP(E338,#REF!,1,FALSE())),"?TYPE_IDENTIFIABLE","?REFERENTIAL"),"_")))))</f>
        <v> </v>
      </c>
      <c r="H338" s="25" t="str">
        <f>IF(J338&lt;&gt;1,"",IF(I338="SBJ","CB","?"))</f>
        <v> </v>
      </c>
      <c r="I338" s="26" t="str">
        <f>IF(OR(E338="",E338="!!!",F338="NEW"),"",INDEX(B337:B$2,-1+SUMPRODUCT(MAX(ROW(E337:E$2)*(E338=E337:E$2)))))</f>
        <v> </v>
      </c>
      <c r="J338" s="26" t="str">
        <f>IF(OR(E338="",E338="!!!",F338="NEW"),"",COUNTBLANK(OFFSET(A$1,,,SUMPRODUCT(MAX(ROW(E$2:E338)*(E338=E$2:E338)))))-COUNTBLANK(OFFSET(A$1,,,SUMPRODUCT(MAX(ROW(E$1:E337)*(E2=E$1:E337))))))</f>
        <v> </v>
      </c>
      <c r="K338" s="26" t="str">
        <f>IF(OR(E338="",E338="!!!",F338="NEW"),"",INDEX(J$1:J337,SUMPRODUCT(MAX(ROW(E$1:E337)*(E338=E$1:E337)))))</f>
        <v> </v>
      </c>
      <c r="L338" s="27"/>
    </row>
    <row r="339" spans="1:12">
      <c r="A339" s="20" t="s">
        <v>759</v>
      </c>
      <c r="E339" s="22">
        <f>IF(D339="?OLD","!!!","")</f>
        <v/>
      </c>
      <c r="F339" s="23" t="str">
        <f>IF(OR(E339="",E339="!!!"),"",IF(NOT(ISNA(VLOOKUP(E339,E$1:E338,1,FALSE()))),"OLD",IF(AND(E339&lt;&gt;"",E339&lt;&gt;"!!!"),"NEW","")))</f>
        <v> </v>
      </c>
      <c r="G339" s="24" t="str">
        <f>IF(OR(E339="",E339="!!!"),"",IF(OR(J339=0,AND(J339=1,K339=1),AND(J339=1,I339="SBJ"),AND(J339=1,I339=0)),"?IN_FOCUS",IF(J339&lt;=2,"?ACTIVATED",IF(J339&lt;&gt;"","?FAMILIAR",IF(F339="NEW",IF(ISNA(VLOOKUP(E339,#REF!,1,FALSE())),"?TYPE_IDENTIFIABLE","?REFERENTIAL"),"_")))))</f>
        <v> </v>
      </c>
      <c r="H339" s="25" t="str">
        <f>IF(J339&lt;&gt;1,"",IF(I339="SBJ","CB","?"))</f>
        <v> </v>
      </c>
      <c r="I339" s="26" t="str">
        <f>IF(OR(E339="",E339="!!!",F339="NEW"),"",INDEX(B338:B$2,-1+SUMPRODUCT(MAX(ROW(E338:E$2)*(E339=E338:E$2)))))</f>
        <v> </v>
      </c>
      <c r="J339" s="26" t="str">
        <f>IF(OR(E339="",E339="!!!",F339="NEW"),"",COUNTBLANK(OFFSET(A$1,,,SUMPRODUCT(MAX(ROW(E$2:E339)*(E339=E$2:E339)))))-COUNTBLANK(OFFSET(A$1,,,SUMPRODUCT(MAX(ROW(E$1:E338)*(E2=E$1:E338))))))</f>
        <v> </v>
      </c>
      <c r="K339" s="26" t="str">
        <f>IF(OR(E339="",E339="!!!",F339="NEW"),"",INDEX(J$1:J338,SUMPRODUCT(MAX(ROW(E$1:E338)*(E339=E$1:E338)))))</f>
        <v> </v>
      </c>
      <c r="L339" s="27"/>
    </row>
    <row r="340" spans="1:12">
      <c r="A340" s="20" t="s">
        <v>941</v>
      </c>
      <c r="B340" s="21" t="s">
        <v>736</v>
      </c>
      <c r="C340" s="21" t="s">
        <v>748</v>
      </c>
      <c r="E340" s="22">
        <f>IF(D340="?OLD","!!!","")</f>
        <v/>
      </c>
      <c r="F340" s="23" t="str">
        <f>IF(OR(E340="",E340="!!!"),"",IF(NOT(ISNA(VLOOKUP(E340,E$1:E339,1,FALSE()))),"OLD",IF(AND(E340&lt;&gt;"",E340&lt;&gt;"!!!"),"NEW","")))</f>
        <v> </v>
      </c>
      <c r="G340" s="24" t="str">
        <f>IF(OR(E340="",E340="!!!"),"",IF(OR(J340=0,AND(J340=1,K340=1),AND(J340=1,I340="SBJ"),AND(J340=1,I340=0)),"?IN_FOCUS",IF(J340&lt;=2,"?ACTIVATED",IF(J340&lt;&gt;"","?FAMILIAR",IF(F340="NEW",IF(ISNA(VLOOKUP(E340,#REF!,1,FALSE())),"?TYPE_IDENTIFIABLE","?REFERENTIAL"),"_")))))</f>
        <v> </v>
      </c>
      <c r="H340" s="25" t="str">
        <f>IF(J340&lt;&gt;1,"",IF(I340="SBJ","CB","?"))</f>
        <v> </v>
      </c>
      <c r="I340" s="26" t="str">
        <f>IF(OR(E340="",E340="!!!",F340="NEW"),"",INDEX(B339:B$2,-1+SUMPRODUCT(MAX(ROW(E339:E$2)*(E340=E339:E$2)))))</f>
        <v> </v>
      </c>
      <c r="J340" s="26" t="str">
        <f>IF(OR(E340="",E340="!!!",F340="NEW"),"",COUNTBLANK(OFFSET(A$1,,,SUMPRODUCT(MAX(ROW(E$2:E340)*(E340=E$2:E340)))))-COUNTBLANK(OFFSET(A$1,,,SUMPRODUCT(MAX(ROW(E$1:E339)*(E2=E$1:E339))))))</f>
        <v> </v>
      </c>
      <c r="K340" s="26" t="str">
        <f>IF(OR(E340="",E340="!!!",F340="NEW"),"",INDEX(J$1:J339,SUMPRODUCT(MAX(ROW(E$1:E339)*(E340=E$1:E339)))))</f>
        <v> </v>
      </c>
      <c r="L340" s="27"/>
    </row>
    <row r="341" spans="1:12">
      <c r="A341" s="20" t="s">
        <v>759</v>
      </c>
      <c r="E341" s="22">
        <f>IF(D341="?OLD","!!!","")</f>
        <v/>
      </c>
      <c r="F341" s="23" t="str">
        <f>IF(OR(E341="",E341="!!!"),"",IF(NOT(ISNA(VLOOKUP(E341,E$1:E340,1,FALSE()))),"OLD",IF(AND(E341&lt;&gt;"",E341&lt;&gt;"!!!"),"NEW","")))</f>
        <v> </v>
      </c>
      <c r="G341" s="24" t="str">
        <f>IF(OR(E341="",E341="!!!"),"",IF(OR(J341=0,AND(J341=1,K341=1),AND(J341=1,I341="SBJ"),AND(J341=1,I341=0)),"?IN_FOCUS",IF(J341&lt;=2,"?ACTIVATED",IF(J341&lt;&gt;"","?FAMILIAR",IF(F341="NEW",IF(ISNA(VLOOKUP(E341,#REF!,1,FALSE())),"?TYPE_IDENTIFIABLE","?REFERENTIAL"),"_")))))</f>
        <v> </v>
      </c>
      <c r="H341" s="25" t="str">
        <f>IF(J341&lt;&gt;1,"",IF(I341="SBJ","CB","?"))</f>
        <v> </v>
      </c>
      <c r="I341" s="26" t="str">
        <f>IF(OR(E341="",E341="!!!",F341="NEW"),"",INDEX(B340:B$2,-1+SUMPRODUCT(MAX(ROW(E340:E$2)*(E341=E340:E$2)))))</f>
        <v> </v>
      </c>
      <c r="J341" s="26" t="str">
        <f>IF(OR(E341="",E341="!!!",F341="NEW"),"",COUNTBLANK(OFFSET(A$1,,,SUMPRODUCT(MAX(ROW(E$2:E341)*(E341=E$2:E341)))))-COUNTBLANK(OFFSET(A$1,,,SUMPRODUCT(MAX(ROW(E$1:E340)*(E2=E$1:E340))))))</f>
        <v> </v>
      </c>
      <c r="K341" s="26" t="str">
        <f>IF(OR(E341="",E341="!!!",F341="NEW"),"",INDEX(J$1:J340,SUMPRODUCT(MAX(ROW(E$1:E340)*(E341=E$1:E340)))))</f>
        <v> </v>
      </c>
      <c r="L341" s="27"/>
    </row>
    <row r="342" spans="1:12">
      <c r="A342" s="20" t="s">
        <v>942</v>
      </c>
      <c r="B342" s="21" t="s">
        <v>736</v>
      </c>
      <c r="C342" s="21" t="s">
        <v>748</v>
      </c>
      <c r="E342" s="22">
        <f>IF(D342="?OLD","!!!","")</f>
        <v/>
      </c>
      <c r="F342" s="23" t="str">
        <f>IF(OR(E342="",E342="!!!"),"",IF(NOT(ISNA(VLOOKUP(E342,E$1:E341,1,FALSE()))),"OLD",IF(AND(E342&lt;&gt;"",E342&lt;&gt;"!!!"),"NEW","")))</f>
        <v> </v>
      </c>
      <c r="G342" s="24" t="str">
        <f>IF(OR(E342="",E342="!!!"),"",IF(OR(J342=0,AND(J342=1,K342=1),AND(J342=1,I342="SBJ"),AND(J342=1,I342=0)),"?IN_FOCUS",IF(J342&lt;=2,"?ACTIVATED",IF(J342&lt;&gt;"","?FAMILIAR",IF(F342="NEW",IF(ISNA(VLOOKUP(E342,#REF!,1,FALSE())),"?TYPE_IDENTIFIABLE","?REFERENTIAL"),"_")))))</f>
        <v> </v>
      </c>
      <c r="H342" s="25" t="str">
        <f>IF(J342&lt;&gt;1,"",IF(I342="SBJ","CB","?"))</f>
        <v> </v>
      </c>
      <c r="I342" s="26" t="str">
        <f>IF(OR(E342="",E342="!!!",F342="NEW"),"",INDEX(B341:B$2,-1+SUMPRODUCT(MAX(ROW(E341:E$2)*(E342=E341:E$2)))))</f>
        <v> </v>
      </c>
      <c r="J342" s="26" t="str">
        <f>IF(OR(E342="",E342="!!!",F342="NEW"),"",COUNTBLANK(OFFSET(A$1,,,SUMPRODUCT(MAX(ROW(E$2:E342)*(E342=E$2:E342)))))-COUNTBLANK(OFFSET(A$1,,,SUMPRODUCT(MAX(ROW(E$1:E341)*(E2=E$1:E341))))))</f>
        <v> </v>
      </c>
      <c r="K342" s="26" t="str">
        <f>IF(OR(E342="",E342="!!!",F342="NEW"),"",INDEX(J$1:J341,SUMPRODUCT(MAX(ROW(E$1:E341)*(E342=E$1:E341)))))</f>
        <v> </v>
      </c>
      <c r="L342" s="27"/>
    </row>
    <row r="343" spans="1:12">
      <c r="A343" s="20" t="s">
        <v>785</v>
      </c>
      <c r="E343" s="22">
        <f>IF(D343="?OLD","!!!","")</f>
        <v/>
      </c>
      <c r="F343" s="23" t="str">
        <f>IF(OR(E343="",E343="!!!"),"",IF(NOT(ISNA(VLOOKUP(E343,E$1:E342,1,FALSE()))),"OLD",IF(AND(E343&lt;&gt;"",E343&lt;&gt;"!!!"),"NEW","")))</f>
        <v> </v>
      </c>
      <c r="G343" s="24" t="str">
        <f>IF(OR(E343="",E343="!!!"),"",IF(OR(J343=0,AND(J343=1,K343=1),AND(J343=1,I343="SBJ"),AND(J343=1,I343=0)),"?IN_FOCUS",IF(J343&lt;=2,"?ACTIVATED",IF(J343&lt;&gt;"","?FAMILIAR",IF(F343="NEW",IF(ISNA(VLOOKUP(E343,#REF!,1,FALSE())),"?TYPE_IDENTIFIABLE","?REFERENTIAL"),"_")))))</f>
        <v> </v>
      </c>
      <c r="H343" s="25" t="str">
        <f>IF(J343&lt;&gt;1,"",IF(I343="SBJ","CB","?"))</f>
        <v> </v>
      </c>
      <c r="I343" s="26" t="str">
        <f>IF(OR(E343="",E343="!!!",F343="NEW"),"",INDEX(B342:B$2,-1+SUMPRODUCT(MAX(ROW(E342:E$2)*(E343=E342:E$2)))))</f>
        <v> </v>
      </c>
      <c r="J343" s="26" t="str">
        <f>IF(OR(E343="",E343="!!!",F343="NEW"),"",COUNTBLANK(OFFSET(A$1,,,SUMPRODUCT(MAX(ROW(E$2:E343)*(E343=E$2:E343)))))-COUNTBLANK(OFFSET(A$1,,,SUMPRODUCT(MAX(ROW(E$1:E342)*(E2=E$1:E342))))))</f>
        <v> </v>
      </c>
      <c r="K343" s="26" t="str">
        <f>IF(OR(E343="",E343="!!!",F343="NEW"),"",INDEX(J$1:J342,SUMPRODUCT(MAX(ROW(E$1:E342)*(E343=E$1:E342)))))</f>
        <v> </v>
      </c>
      <c r="L343" s="27"/>
    </row>
    <row r="344" spans="1:12">
      <c r="A344" s="20" t="s">
        <v>943</v>
      </c>
      <c r="B344" s="21" t="s">
        <v>736</v>
      </c>
      <c r="C344" s="21" t="s">
        <v>756</v>
      </c>
      <c r="E344" s="22">
        <f>IF(D344="?OLD","!!!","")</f>
        <v/>
      </c>
      <c r="F344" s="23" t="str">
        <f>IF(OR(E344="",E344="!!!"),"",IF(NOT(ISNA(VLOOKUP(E344,E$1:E343,1,FALSE()))),"OLD",IF(AND(E344&lt;&gt;"",E344&lt;&gt;"!!!"),"NEW","")))</f>
        <v> </v>
      </c>
      <c r="G344" s="24" t="str">
        <f>IF(OR(E344="",E344="!!!"),"",IF(OR(J344=0,AND(J344=1,K344=1),AND(J344=1,I344="SBJ"),AND(J344=1,I344=0)),"?IN_FOCUS",IF(J344&lt;=2,"?ACTIVATED",IF(J344&lt;&gt;"","?FAMILIAR",IF(F344="NEW",IF(ISNA(VLOOKUP(E344,#REF!,1,FALSE())),"?TYPE_IDENTIFIABLE","?REFERENTIAL"),"_")))))</f>
        <v> </v>
      </c>
      <c r="H344" s="25" t="str">
        <f>IF(J344&lt;&gt;1,"",IF(I344="SBJ","CB","?"))</f>
        <v> </v>
      </c>
      <c r="I344" s="26" t="str">
        <f>IF(OR(E344="",E344="!!!",F344="NEW"),"",INDEX(B343:B$2,-1+SUMPRODUCT(MAX(ROW(E343:E$2)*(E344=E343:E$2)))))</f>
        <v> </v>
      </c>
      <c r="J344" s="26" t="str">
        <f>IF(OR(E344="",E344="!!!",F344="NEW"),"",COUNTBLANK(OFFSET(A$1,,,SUMPRODUCT(MAX(ROW(E$2:E344)*(E344=E$2:E344)))))-COUNTBLANK(OFFSET(A$1,,,SUMPRODUCT(MAX(ROW(E$1:E343)*(E2=E$1:E343))))))</f>
        <v> </v>
      </c>
      <c r="K344" s="26" t="str">
        <f>IF(OR(E344="",E344="!!!",F344="NEW"),"",INDEX(J$1:J343,SUMPRODUCT(MAX(ROW(E$1:E343)*(E344=E$1:E343)))))</f>
        <v> </v>
      </c>
      <c r="L344" s="27"/>
    </row>
    <row r="345" spans="1:12">
      <c r="A345" s="20" t="s">
        <v>944</v>
      </c>
      <c r="E345" s="22">
        <f>IF(D345="?OLD","!!!","")</f>
        <v/>
      </c>
      <c r="F345" s="23" t="str">
        <f>IF(OR(E345="",E345="!!!"),"",IF(NOT(ISNA(VLOOKUP(E345,E$1:E344,1,FALSE()))),"OLD",IF(AND(E345&lt;&gt;"",E345&lt;&gt;"!!!"),"NEW","")))</f>
        <v> </v>
      </c>
      <c r="G345" s="24" t="str">
        <f>IF(OR(E345="",E345="!!!"),"",IF(OR(J345=0,AND(J345=1,K345=1),AND(J345=1,I345="SBJ"),AND(J345=1,I345=0)),"?IN_FOCUS",IF(J345&lt;=2,"?ACTIVATED",IF(J345&lt;&gt;"","?FAMILIAR",IF(F345="NEW",IF(ISNA(VLOOKUP(E345,#REF!,1,FALSE())),"?TYPE_IDENTIFIABLE","?REFERENTIAL"),"_")))))</f>
        <v> </v>
      </c>
      <c r="H345" s="25" t="str">
        <f>IF(J345&lt;&gt;1,"",IF(I345="SBJ","CB","?"))</f>
        <v> </v>
      </c>
      <c r="I345" s="26" t="str">
        <f>IF(OR(E345="",E345="!!!",F345="NEW"),"",INDEX(B344:B$2,-1+SUMPRODUCT(MAX(ROW(E344:E$2)*(E345=E344:E$2)))))</f>
        <v> </v>
      </c>
      <c r="J345" s="26" t="str">
        <f>IF(OR(E345="",E345="!!!",F345="NEW"),"",COUNTBLANK(OFFSET(A$1,,,SUMPRODUCT(MAX(ROW(E$2:E345)*(E345=E$2:E345)))))-COUNTBLANK(OFFSET(A$1,,,SUMPRODUCT(MAX(ROW(E$1:E344)*(E2=E$1:E344))))))</f>
        <v> </v>
      </c>
      <c r="K345" s="26" t="str">
        <f>IF(OR(E345="",E345="!!!",F345="NEW"),"",INDEX(J$1:J344,SUMPRODUCT(MAX(ROW(E$1:E344)*(E345=E$1:E344)))))</f>
        <v> </v>
      </c>
      <c r="L345" s="27"/>
    </row>
    <row r="346" spans="1:12">
      <c r="A346" s="20" t="s">
        <v>945</v>
      </c>
      <c r="B346" s="21" t="s">
        <v>791</v>
      </c>
      <c r="C346" s="21" t="s">
        <v>789</v>
      </c>
      <c r="D346" s="21" t="s">
        <v>730</v>
      </c>
      <c r="E346" s="22">
        <f>IF(D346="?OLD","!!!","")</f>
        <v/>
      </c>
      <c r="F346" s="23" t="str">
        <f>IF(OR(E346="",E346="!!!"),"",IF(NOT(ISNA(VLOOKUP(E346,E$1:E345,1,FALSE()))),"OLD",IF(AND(E346&lt;&gt;"",E346&lt;&gt;"!!!"),"NEW","")))</f>
        <v> </v>
      </c>
      <c r="G346" s="24" t="str">
        <f>IF(OR(E346="",E346="!!!"),"",IF(OR(J346=0,AND(J346=1,K346=1),AND(J346=1,I346="SBJ"),AND(J346=1,I346=0)),"?IN_FOCUS",IF(J346&lt;=2,"?ACTIVATED",IF(J346&lt;&gt;"","?FAMILIAR",IF(F346="NEW",IF(ISNA(VLOOKUP(E346,#REF!,1,FALSE())),"?TYPE_IDENTIFIABLE","?REFERENTIAL"),"_")))))</f>
        <v> </v>
      </c>
      <c r="H346" s="25" t="str">
        <f>IF(J346&lt;&gt;1,"",IF(I346="SBJ","CB","?"))</f>
        <v> </v>
      </c>
      <c r="I346" s="26" t="str">
        <f>IF(OR(E346="",E346="!!!",F346="NEW"),"",INDEX(B345:B$2,-1+SUMPRODUCT(MAX(ROW(E345:E$2)*(E346=E345:E$2)))))</f>
        <v> </v>
      </c>
      <c r="J346" s="26" t="str">
        <f>IF(OR(E346="",E346="!!!",F346="NEW"),"",COUNTBLANK(OFFSET(A$1,,,SUMPRODUCT(MAX(ROW(E$2:E346)*(E346=E$2:E346)))))-COUNTBLANK(OFFSET(A$1,,,SUMPRODUCT(MAX(ROW(E$1:E345)*(E2=E$1:E345))))))</f>
        <v> </v>
      </c>
      <c r="K346" s="26" t="str">
        <f>IF(OR(E346="",E346="!!!",F346="NEW"),"",INDEX(J$1:J345,SUMPRODUCT(MAX(ROW(E$1:E345)*(E346=E$1:E345)))))</f>
        <v> </v>
      </c>
      <c r="L346" s="27"/>
    </row>
    <row r="347" spans="1:12">
      <c r="A347" s="20" t="s">
        <v>246</v>
      </c>
      <c r="E347" s="22">
        <f>IF(D347="?OLD","!!!","")</f>
        <v/>
      </c>
      <c r="F347" s="23" t="str">
        <f>IF(OR(E347="",E347="!!!"),"",IF(NOT(ISNA(VLOOKUP(E347,E$1:E346,1,FALSE()))),"OLD",IF(AND(E347&lt;&gt;"",E347&lt;&gt;"!!!"),"NEW","")))</f>
        <v> </v>
      </c>
      <c r="G347" s="24" t="str">
        <f>IF(OR(E347="",E347="!!!"),"",IF(OR(J347=0,AND(J347=1,K347=1),AND(J347=1,I347="SBJ"),AND(J347=1,I347=0)),"?IN_FOCUS",IF(J347&lt;=2,"?ACTIVATED",IF(J347&lt;&gt;"","?FAMILIAR",IF(F347="NEW",IF(ISNA(VLOOKUP(E347,#REF!,1,FALSE())),"?TYPE_IDENTIFIABLE","?REFERENTIAL"),"_")))))</f>
        <v> </v>
      </c>
      <c r="H347" s="25" t="str">
        <f>IF(J347&lt;&gt;1,"",IF(I347="SBJ","CB","?"))</f>
        <v> </v>
      </c>
      <c r="I347" s="26" t="str">
        <f>IF(OR(E347="",E347="!!!",F347="NEW"),"",INDEX(B346:B$2,-1+SUMPRODUCT(MAX(ROW(E346:E$2)*(E347=E346:E$2)))))</f>
        <v> </v>
      </c>
      <c r="J347" s="26" t="str">
        <f>IF(OR(E347="",E347="!!!",F347="NEW"),"",COUNTBLANK(OFFSET(A$1,,,SUMPRODUCT(MAX(ROW(E$2:E347)*(E347=E$2:E347)))))-COUNTBLANK(OFFSET(A$1,,,SUMPRODUCT(MAX(ROW(E$1:E346)*(E2=E$1:E346))))))</f>
        <v> </v>
      </c>
      <c r="K347" s="26" t="str">
        <f>IF(OR(E347="",E347="!!!",F347="NEW"),"",INDEX(J$1:J346,SUMPRODUCT(MAX(ROW(E$1:E346)*(E347=E$1:E346)))))</f>
        <v> </v>
      </c>
      <c r="L347" s="27"/>
    </row>
    <row r="348" spans="1:12">
      <c r="A348" s="20"/>
    </row>
    <row r="349" spans="1:12">
      <c r="A349" s="20" t="s">
        <v>946</v>
      </c>
    </row>
    <row r="350" spans="1:12">
      <c r="A350" s="20" t="s">
        <v>744</v>
      </c>
      <c r="E350" s="22">
        <f>IF(D350="?OLD","!!!","")</f>
        <v/>
      </c>
      <c r="F350" s="23" t="str">
        <f>IF(OR(E350="",E350="!!!"),"",IF(NOT(ISNA(VLOOKUP(E350,E$1:E349,1,FALSE()))),"OLD",IF(AND(E350&lt;&gt;"",E350&lt;&gt;"!!!"),"NEW","")))</f>
        <v> </v>
      </c>
      <c r="G350" s="24" t="str">
        <f>IF(OR(E350="",E350="!!!"),"",IF(OR(J350=0,AND(J350=1,K350=1),AND(J350=1,I350="SBJ"),AND(J350=1,I350=0)),"?IN_FOCUS",IF(J350&lt;=2,"?ACTIVATED",IF(J350&lt;&gt;"","?FAMILIAR",IF(F350="NEW",IF(ISNA(VLOOKUP(E350,#REF!,1,FALSE())),"?TYPE_IDENTIFIABLE","?REFERENTIAL"),"_")))))</f>
        <v> </v>
      </c>
      <c r="H350" s="25" t="str">
        <f>IF(J350&lt;&gt;1,"",IF(I350="SBJ","CB","?"))</f>
        <v> </v>
      </c>
      <c r="I350" s="26" t="str">
        <f>IF(OR(E350="",E350="!!!",F350="NEW"),"",INDEX(B349:B$2,-1+SUMPRODUCT(MAX(ROW(E349:E$2)*(E350=E349:E$2)))))</f>
        <v> </v>
      </c>
      <c r="J350" s="26" t="str">
        <f>IF(OR(E350="",E350="!!!",F350="NEW"),"",COUNTBLANK(OFFSET(A$1,,,SUMPRODUCT(MAX(ROW(E$2:E350)*(E350=E$2:E350)))))-COUNTBLANK(OFFSET(A$1,,,SUMPRODUCT(MAX(ROW(E$1:E349)*(E2=E$1:E349))))))</f>
        <v> </v>
      </c>
      <c r="K350" s="26" t="str">
        <f>IF(OR(E350="",E350="!!!",F350="NEW"),"",INDEX(J$1:J349,SUMPRODUCT(MAX(ROW(E$1:E349)*(E350=E$1:E349)))))</f>
        <v> </v>
      </c>
      <c r="L350" s="27"/>
    </row>
    <row r="351" spans="1:12">
      <c r="A351" s="20" t="s">
        <v>751</v>
      </c>
      <c r="E351" s="22">
        <f>IF(D351="?OLD","!!!","")</f>
        <v/>
      </c>
      <c r="F351" s="23" t="str">
        <f>IF(OR(E351="",E351="!!!"),"",IF(NOT(ISNA(VLOOKUP(E351,E$1:E350,1,FALSE()))),"OLD",IF(AND(E351&lt;&gt;"",E351&lt;&gt;"!!!"),"NEW","")))</f>
        <v> </v>
      </c>
      <c r="G351" s="24" t="str">
        <f>IF(OR(E351="",E351="!!!"),"",IF(OR(J351=0,AND(J351=1,K351=1),AND(J351=1,I351="SBJ"),AND(J351=1,I351=0)),"?IN_FOCUS",IF(J351&lt;=2,"?ACTIVATED",IF(J351&lt;&gt;"","?FAMILIAR",IF(F351="NEW",IF(ISNA(VLOOKUP(E351,#REF!,1,FALSE())),"?TYPE_IDENTIFIABLE","?REFERENTIAL"),"_")))))</f>
        <v> </v>
      </c>
      <c r="H351" s="25" t="str">
        <f>IF(J351&lt;&gt;1,"",IF(I351="SBJ","CB","?"))</f>
        <v> </v>
      </c>
      <c r="I351" s="26" t="str">
        <f>IF(OR(E351="",E351="!!!",F351="NEW"),"",INDEX(B350:B$2,-1+SUMPRODUCT(MAX(ROW(E350:E$2)*(E351=E350:E$2)))))</f>
        <v> </v>
      </c>
      <c r="J351" s="26" t="str">
        <f>IF(OR(E351="",E351="!!!",F351="NEW"),"",COUNTBLANK(OFFSET(A$1,,,SUMPRODUCT(MAX(ROW(E$2:E351)*(E351=E$2:E351)))))-COUNTBLANK(OFFSET(A$1,,,SUMPRODUCT(MAX(ROW(E$1:E350)*(E2=E$1:E350))))))</f>
        <v> </v>
      </c>
      <c r="K351" s="26" t="str">
        <f>IF(OR(E351="",E351="!!!",F351="NEW"),"",INDEX(J$1:J350,SUMPRODUCT(MAX(ROW(E$1:E350)*(E351=E$1:E350)))))</f>
        <v> </v>
      </c>
      <c r="L351" s="27"/>
    </row>
    <row r="352" spans="1:12">
      <c r="A352" s="20" t="s">
        <v>947</v>
      </c>
      <c r="B352" s="21" t="s">
        <v>736</v>
      </c>
      <c r="C352" s="21" t="s">
        <v>753</v>
      </c>
      <c r="D352" s="21" t="s">
        <v>730</v>
      </c>
      <c r="E352" s="22">
        <f>IF(D352="?OLD","!!!","")</f>
        <v/>
      </c>
      <c r="F352" s="23" t="str">
        <f>IF(OR(E352="",E352="!!!"),"",IF(NOT(ISNA(VLOOKUP(E352,E$1:E351,1,FALSE()))),"OLD",IF(AND(E352&lt;&gt;"",E352&lt;&gt;"!!!"),"NEW","")))</f>
        <v> </v>
      </c>
      <c r="G352" s="24" t="str">
        <f>IF(OR(E352="",E352="!!!"),"",IF(OR(J352=0,AND(J352=1,K352=1),AND(J352=1,I352="SBJ"),AND(J352=1,I352=0)),"?IN_FOCUS",IF(J352&lt;=2,"?ACTIVATED",IF(J352&lt;&gt;"","?FAMILIAR",IF(F352="NEW",IF(ISNA(VLOOKUP(E352,#REF!,1,FALSE())),"?TYPE_IDENTIFIABLE","?REFERENTIAL"),"_")))))</f>
        <v> </v>
      </c>
      <c r="H352" s="25" t="str">
        <f>IF(J352&lt;&gt;1,"",IF(I352="SBJ","CB","?"))</f>
        <v> </v>
      </c>
      <c r="I352" s="26" t="str">
        <f>IF(OR(E352="",E352="!!!",F352="NEW"),"",INDEX(B351:B$2,-1+SUMPRODUCT(MAX(ROW(E351:E$2)*(E352=E351:E$2)))))</f>
        <v> </v>
      </c>
      <c r="J352" s="26" t="str">
        <f>IF(OR(E352="",E352="!!!",F352="NEW"),"",COUNTBLANK(OFFSET(A$1,,,SUMPRODUCT(MAX(ROW(E$2:E352)*(E352=E$2:E352)))))-COUNTBLANK(OFFSET(A$1,,,SUMPRODUCT(MAX(ROW(E$1:E351)*(E2=E$1:E351))))))</f>
        <v> </v>
      </c>
      <c r="K352" s="26" t="str">
        <f>IF(OR(E352="",E352="!!!",F352="NEW"),"",INDEX(J$1:J351,SUMPRODUCT(MAX(ROW(E$1:E351)*(E352=E$1:E351)))))</f>
        <v> </v>
      </c>
      <c r="L352" s="27"/>
    </row>
    <row r="353" spans="1:12">
      <c r="A353" s="20" t="s">
        <v>948</v>
      </c>
      <c r="E353" s="22">
        <f>IF(D353="?OLD","!!!","")</f>
        <v/>
      </c>
      <c r="F353" s="23" t="str">
        <f>IF(OR(E353="",E353="!!!"),"",IF(NOT(ISNA(VLOOKUP(E353,E$1:E352,1,FALSE()))),"OLD",IF(AND(E353&lt;&gt;"",E353&lt;&gt;"!!!"),"NEW","")))</f>
        <v> </v>
      </c>
      <c r="G353" s="24" t="str">
        <f>IF(OR(E353="",E353="!!!"),"",IF(OR(J353=0,AND(J353=1,K353=1),AND(J353=1,I353="SBJ"),AND(J353=1,I353=0)),"?IN_FOCUS",IF(J353&lt;=2,"?ACTIVATED",IF(J353&lt;&gt;"","?FAMILIAR",IF(F353="NEW",IF(ISNA(VLOOKUP(E353,#REF!,1,FALSE())),"?TYPE_IDENTIFIABLE","?REFERENTIAL"),"_")))))</f>
        <v> </v>
      </c>
      <c r="H353" s="25" t="str">
        <f>IF(J353&lt;&gt;1,"",IF(I353="SBJ","CB","?"))</f>
        <v> </v>
      </c>
      <c r="I353" s="26" t="str">
        <f>IF(OR(E353="",E353="!!!",F353="NEW"),"",INDEX(B352:B$2,-1+SUMPRODUCT(MAX(ROW(E352:E$2)*(E353=E352:E$2)))))</f>
        <v> </v>
      </c>
      <c r="J353" s="26" t="str">
        <f>IF(OR(E353="",E353="!!!",F353="NEW"),"",COUNTBLANK(OFFSET(A$1,,,SUMPRODUCT(MAX(ROW(E$2:E353)*(E353=E$2:E353)))))-COUNTBLANK(OFFSET(A$1,,,SUMPRODUCT(MAX(ROW(E$1:E352)*(E2=E$1:E352))))))</f>
        <v> </v>
      </c>
      <c r="K353" s="26" t="str">
        <f>IF(OR(E353="",E353="!!!",F353="NEW"),"",INDEX(J$1:J352,SUMPRODUCT(MAX(ROW(E$1:E352)*(E353=E$1:E352)))))</f>
        <v> </v>
      </c>
      <c r="L353" s="27"/>
    </row>
    <row r="354" spans="1:12">
      <c r="A354" s="20" t="s">
        <v>750</v>
      </c>
      <c r="B354" s="21" t="s">
        <v>728</v>
      </c>
      <c r="C354" s="21" t="s">
        <v>729</v>
      </c>
      <c r="D354" s="21" t="s">
        <v>730</v>
      </c>
      <c r="E354" s="22">
        <f>IF(D354="?OLD","!!!","")</f>
        <v/>
      </c>
      <c r="F354" s="23" t="str">
        <f>IF(OR(E354="",E354="!!!"),"",IF(NOT(ISNA(VLOOKUP(E354,E$1:E353,1,FALSE()))),"OLD",IF(AND(E354&lt;&gt;"",E354&lt;&gt;"!!!"),"NEW","")))</f>
        <v> </v>
      </c>
      <c r="G354" s="24" t="str">
        <f>IF(OR(E354="",E354="!!!"),"",IF(OR(J354=0,AND(J354=1,K354=1),AND(J354=1,I354="SBJ"),AND(J354=1,I354=0)),"?IN_FOCUS",IF(J354&lt;=2,"?ACTIVATED",IF(J354&lt;&gt;"","?FAMILIAR",IF(F354="NEW",IF(ISNA(VLOOKUP(E354,#REF!,1,FALSE())),"?TYPE_IDENTIFIABLE","?REFERENTIAL"),"_")))))</f>
        <v> </v>
      </c>
      <c r="H354" s="25" t="str">
        <f>IF(J354&lt;&gt;1,"",IF(I354="SBJ","CB","?"))</f>
        <v> </v>
      </c>
      <c r="I354" s="26" t="str">
        <f>IF(OR(E354="",E354="!!!",F354="NEW"),"",INDEX(B353:B$2,-1+SUMPRODUCT(MAX(ROW(E353:E$2)*(E354=E353:E$2)))))</f>
        <v> </v>
      </c>
      <c r="J354" s="26" t="str">
        <f>IF(OR(E354="",E354="!!!",F354="NEW"),"",COUNTBLANK(OFFSET(A$1,,,SUMPRODUCT(MAX(ROW(E$2:E354)*(E354=E$2:E354)))))-COUNTBLANK(OFFSET(A$1,,,SUMPRODUCT(MAX(ROW(E$1:E353)*(E2=E$1:E353))))))</f>
        <v> </v>
      </c>
      <c r="K354" s="26" t="str">
        <f>IF(OR(E354="",E354="!!!",F354="NEW"),"",INDEX(J$1:J353,SUMPRODUCT(MAX(ROW(E$1:E353)*(E354=E$1:E353)))))</f>
        <v> </v>
      </c>
      <c r="L354" s="27"/>
    </row>
    <row r="355" spans="1:12">
      <c r="A355" s="20" t="s">
        <v>949</v>
      </c>
      <c r="E355" s="22">
        <f>IF(D355="?OLD","!!!","")</f>
        <v/>
      </c>
      <c r="F355" s="23" t="str">
        <f>IF(OR(E355="",E355="!!!"),"",IF(NOT(ISNA(VLOOKUP(E355,E$1:E354,1,FALSE()))),"OLD",IF(AND(E355&lt;&gt;"",E355&lt;&gt;"!!!"),"NEW","")))</f>
        <v> </v>
      </c>
      <c r="G355" s="24" t="str">
        <f>IF(OR(E355="",E355="!!!"),"",IF(OR(J355=0,AND(J355=1,K355=1),AND(J355=1,I355="SBJ"),AND(J355=1,I355=0)),"?IN_FOCUS",IF(J355&lt;=2,"?ACTIVATED",IF(J355&lt;&gt;"","?FAMILIAR",IF(F355="NEW",IF(ISNA(VLOOKUP(E355,#REF!,1,FALSE())),"?TYPE_IDENTIFIABLE","?REFERENTIAL"),"_")))))</f>
        <v> </v>
      </c>
      <c r="H355" s="25" t="str">
        <f>IF(J355&lt;&gt;1,"",IF(I355="SBJ","CB","?"))</f>
        <v> </v>
      </c>
      <c r="I355" s="26" t="str">
        <f>IF(OR(E355="",E355="!!!",F355="NEW"),"",INDEX(B354:B$2,-1+SUMPRODUCT(MAX(ROW(E354:E$2)*(E355=E354:E$2)))))</f>
        <v> </v>
      </c>
      <c r="J355" s="26" t="str">
        <f>IF(OR(E355="",E355="!!!",F355="NEW"),"",COUNTBLANK(OFFSET(A$1,,,SUMPRODUCT(MAX(ROW(E$2:E355)*(E355=E$2:E355)))))-COUNTBLANK(OFFSET(A$1,,,SUMPRODUCT(MAX(ROW(E$1:E354)*(E2=E$1:E354))))))</f>
        <v> </v>
      </c>
      <c r="K355" s="26" t="str">
        <f>IF(OR(E355="",E355="!!!",F355="NEW"),"",INDEX(J$1:J354,SUMPRODUCT(MAX(ROW(E$1:E354)*(E355=E$1:E354)))))</f>
        <v> </v>
      </c>
      <c r="L355" s="27"/>
    </row>
    <row r="356" spans="1:12">
      <c r="A356" s="20" t="s">
        <v>938</v>
      </c>
      <c r="E356" s="22">
        <f>IF(D356="?OLD","!!!","")</f>
        <v/>
      </c>
      <c r="F356" s="23" t="str">
        <f>IF(OR(E356="",E356="!!!"),"",IF(NOT(ISNA(VLOOKUP(E356,E$1:E355,1,FALSE()))),"OLD",IF(AND(E356&lt;&gt;"",E356&lt;&gt;"!!!"),"NEW","")))</f>
        <v> </v>
      </c>
      <c r="G356" s="24" t="str">
        <f>IF(OR(E356="",E356="!!!"),"",IF(OR(J356=0,AND(J356=1,K356=1),AND(J356=1,I356="SBJ"),AND(J356=1,I356=0)),"?IN_FOCUS",IF(J356&lt;=2,"?ACTIVATED",IF(J356&lt;&gt;"","?FAMILIAR",IF(F356="NEW",IF(ISNA(VLOOKUP(E356,#REF!,1,FALSE())),"?TYPE_IDENTIFIABLE","?REFERENTIAL"),"_")))))</f>
        <v> </v>
      </c>
      <c r="H356" s="25" t="str">
        <f>IF(J356&lt;&gt;1,"",IF(I356="SBJ","CB","?"))</f>
        <v> </v>
      </c>
      <c r="I356" s="26" t="str">
        <f>IF(OR(E356="",E356="!!!",F356="NEW"),"",INDEX(B355:B$2,-1+SUMPRODUCT(MAX(ROW(E355:E$2)*(E356=E355:E$2)))))</f>
        <v> </v>
      </c>
      <c r="J356" s="26" t="str">
        <f>IF(OR(E356="",E356="!!!",F356="NEW"),"",COUNTBLANK(OFFSET(A$1,,,SUMPRODUCT(MAX(ROW(E$2:E356)*(E356=E$2:E356)))))-COUNTBLANK(OFFSET(A$1,,,SUMPRODUCT(MAX(ROW(E$1:E355)*(E2=E$1:E355))))))</f>
        <v> </v>
      </c>
      <c r="K356" s="26" t="str">
        <f>IF(OR(E356="",E356="!!!",F356="NEW"),"",INDEX(J$1:J355,SUMPRODUCT(MAX(ROW(E$1:E355)*(E356=E$1:E355)))))</f>
        <v> </v>
      </c>
      <c r="L356" s="27"/>
    </row>
    <row r="357" spans="1:12">
      <c r="A357" s="20" t="s">
        <v>751</v>
      </c>
      <c r="E357" s="22">
        <f>IF(D357="?OLD","!!!","")</f>
        <v/>
      </c>
      <c r="F357" s="23" t="str">
        <f>IF(OR(E357="",E357="!!!"),"",IF(NOT(ISNA(VLOOKUP(E357,E$1:E356,1,FALSE()))),"OLD",IF(AND(E357&lt;&gt;"",E357&lt;&gt;"!!!"),"NEW","")))</f>
        <v> </v>
      </c>
      <c r="G357" s="24" t="str">
        <f>IF(OR(E357="",E357="!!!"),"",IF(OR(J357=0,AND(J357=1,K357=1),AND(J357=1,I357="SBJ"),AND(J357=1,I357=0)),"?IN_FOCUS",IF(J357&lt;=2,"?ACTIVATED",IF(J357&lt;&gt;"","?FAMILIAR",IF(F357="NEW",IF(ISNA(VLOOKUP(E357,#REF!,1,FALSE())),"?TYPE_IDENTIFIABLE","?REFERENTIAL"),"_")))))</f>
        <v> </v>
      </c>
      <c r="H357" s="25" t="str">
        <f>IF(J357&lt;&gt;1,"",IF(I357="SBJ","CB","?"))</f>
        <v> </v>
      </c>
      <c r="I357" s="26" t="str">
        <f>IF(OR(E357="",E357="!!!",F357="NEW"),"",INDEX(B356:B$2,-1+SUMPRODUCT(MAX(ROW(E356:E$2)*(E357=E356:E$2)))))</f>
        <v> </v>
      </c>
      <c r="J357" s="26" t="str">
        <f>IF(OR(E357="",E357="!!!",F357="NEW"),"",COUNTBLANK(OFFSET(A$1,,,SUMPRODUCT(MAX(ROW(E$2:E357)*(E357=E$2:E357)))))-COUNTBLANK(OFFSET(A$1,,,SUMPRODUCT(MAX(ROW(E$1:E356)*(E2=E$1:E356))))))</f>
        <v> </v>
      </c>
      <c r="K357" s="26" t="str">
        <f>IF(OR(E357="",E357="!!!",F357="NEW"),"",INDEX(J$1:J356,SUMPRODUCT(MAX(ROW(E$1:E356)*(E357=E$1:E356)))))</f>
        <v> </v>
      </c>
      <c r="L357" s="27"/>
    </row>
    <row r="358" spans="1:12">
      <c r="A358" s="20" t="s">
        <v>950</v>
      </c>
      <c r="B358" s="21" t="s">
        <v>736</v>
      </c>
      <c r="C358" s="21" t="s">
        <v>753</v>
      </c>
      <c r="D358" s="21" t="s">
        <v>730</v>
      </c>
      <c r="E358" s="22">
        <f>IF(D358="?OLD","!!!","")</f>
        <v/>
      </c>
      <c r="F358" s="23" t="str">
        <f>IF(OR(E358="",E358="!!!"),"",IF(NOT(ISNA(VLOOKUP(E358,E$1:E357,1,FALSE()))),"OLD",IF(AND(E358&lt;&gt;"",E358&lt;&gt;"!!!"),"NEW","")))</f>
        <v> </v>
      </c>
      <c r="G358" s="24" t="str">
        <f>IF(OR(E358="",E358="!!!"),"",IF(OR(J358=0,AND(J358=1,K358=1),AND(J358=1,I358="SBJ"),AND(J358=1,I358=0)),"?IN_FOCUS",IF(J358&lt;=2,"?ACTIVATED",IF(J358&lt;&gt;"","?FAMILIAR",IF(F358="NEW",IF(ISNA(VLOOKUP(E358,#REF!,1,FALSE())),"?TYPE_IDENTIFIABLE","?REFERENTIAL"),"_")))))</f>
        <v> </v>
      </c>
      <c r="H358" s="25" t="str">
        <f>IF(J358&lt;&gt;1,"",IF(I358="SBJ","CB","?"))</f>
        <v> </v>
      </c>
      <c r="I358" s="26" t="str">
        <f>IF(OR(E358="",E358="!!!",F358="NEW"),"",INDEX(B357:B$2,-1+SUMPRODUCT(MAX(ROW(E357:E$2)*(E358=E357:E$2)))))</f>
        <v> </v>
      </c>
      <c r="J358" s="26" t="str">
        <f>IF(OR(E358="",E358="!!!",F358="NEW"),"",COUNTBLANK(OFFSET(A$1,,,SUMPRODUCT(MAX(ROW(E$2:E358)*(E358=E$2:E358)))))-COUNTBLANK(OFFSET(A$1,,,SUMPRODUCT(MAX(ROW(E$1:E357)*(E2=E$1:E357))))))</f>
        <v> </v>
      </c>
      <c r="K358" s="26" t="str">
        <f>IF(OR(E358="",E358="!!!",F358="NEW"),"",INDEX(J$1:J357,SUMPRODUCT(MAX(ROW(E$1:E357)*(E358=E$1:E357)))))</f>
        <v> </v>
      </c>
      <c r="L358" s="27"/>
    </row>
    <row r="359" spans="1:12">
      <c r="A359" s="20" t="s">
        <v>951</v>
      </c>
      <c r="E359" s="22">
        <f>IF(D359="?OLD","!!!","")</f>
        <v/>
      </c>
      <c r="F359" s="23" t="str">
        <f>IF(OR(E359="",E359="!!!"),"",IF(NOT(ISNA(VLOOKUP(E359,E$1:E358,1,FALSE()))),"OLD",IF(AND(E359&lt;&gt;"",E359&lt;&gt;"!!!"),"NEW","")))</f>
        <v> </v>
      </c>
      <c r="G359" s="24" t="str">
        <f>IF(OR(E359="",E359="!!!"),"",IF(OR(J359=0,AND(J359=1,K359=1),AND(J359=1,I359="SBJ"),AND(J359=1,I359=0)),"?IN_FOCUS",IF(J359&lt;=2,"?ACTIVATED",IF(J359&lt;&gt;"","?FAMILIAR",IF(F359="NEW",IF(ISNA(VLOOKUP(E359,#REF!,1,FALSE())),"?TYPE_IDENTIFIABLE","?REFERENTIAL"),"_")))))</f>
        <v> </v>
      </c>
      <c r="H359" s="25" t="str">
        <f>IF(J359&lt;&gt;1,"",IF(I359="SBJ","CB","?"))</f>
        <v> </v>
      </c>
      <c r="I359" s="26" t="str">
        <f>IF(OR(E359="",E359="!!!",F359="NEW"),"",INDEX(B358:B$2,-1+SUMPRODUCT(MAX(ROW(E358:E$2)*(E359=E358:E$2)))))</f>
        <v> </v>
      </c>
      <c r="J359" s="26" t="str">
        <f>IF(OR(E359="",E359="!!!",F359="NEW"),"",COUNTBLANK(OFFSET(A$1,,,SUMPRODUCT(MAX(ROW(E$2:E359)*(E359=E$2:E359)))))-COUNTBLANK(OFFSET(A$1,,,SUMPRODUCT(MAX(ROW(E$1:E358)*(E2=E$1:E358))))))</f>
        <v> </v>
      </c>
      <c r="K359" s="26" t="str">
        <f>IF(OR(E359="",E359="!!!",F359="NEW"),"",INDEX(J$1:J358,SUMPRODUCT(MAX(ROW(E$1:E358)*(E359=E$1:E358)))))</f>
        <v> </v>
      </c>
      <c r="L359" s="27"/>
    </row>
    <row r="360" spans="1:12">
      <c r="A360" s="20" t="s">
        <v>759</v>
      </c>
      <c r="E360" s="22">
        <f>IF(D360="?OLD","!!!","")</f>
        <v/>
      </c>
      <c r="F360" s="23" t="str">
        <f>IF(OR(E360="",E360="!!!"),"",IF(NOT(ISNA(VLOOKUP(E360,E$1:E359,1,FALSE()))),"OLD",IF(AND(E360&lt;&gt;"",E360&lt;&gt;"!!!"),"NEW","")))</f>
        <v> </v>
      </c>
      <c r="G360" s="24" t="str">
        <f>IF(OR(E360="",E360="!!!"),"",IF(OR(J360=0,AND(J360=1,K360=1),AND(J360=1,I360="SBJ"),AND(J360=1,I360=0)),"?IN_FOCUS",IF(J360&lt;=2,"?ACTIVATED",IF(J360&lt;&gt;"","?FAMILIAR",IF(F360="NEW",IF(ISNA(VLOOKUP(E360,#REF!,1,FALSE())),"?TYPE_IDENTIFIABLE","?REFERENTIAL"),"_")))))</f>
        <v> </v>
      </c>
      <c r="H360" s="25" t="str">
        <f>IF(J360&lt;&gt;1,"",IF(I360="SBJ","CB","?"))</f>
        <v> </v>
      </c>
      <c r="I360" s="26" t="str">
        <f>IF(OR(E360="",E360="!!!",F360="NEW"),"",INDEX(B359:B$2,-1+SUMPRODUCT(MAX(ROW(E359:E$2)*(E360=E359:E$2)))))</f>
        <v> </v>
      </c>
      <c r="J360" s="26" t="str">
        <f>IF(OR(E360="",E360="!!!",F360="NEW"),"",COUNTBLANK(OFFSET(A$1,,,SUMPRODUCT(MAX(ROW(E$2:E360)*(E360=E$2:E360)))))-COUNTBLANK(OFFSET(A$1,,,SUMPRODUCT(MAX(ROW(E$1:E359)*(E2=E$1:E359))))))</f>
        <v> </v>
      </c>
      <c r="K360" s="26" t="str">
        <f>IF(OR(E360="",E360="!!!",F360="NEW"),"",INDEX(J$1:J359,SUMPRODUCT(MAX(ROW(E$1:E359)*(E360=E$1:E359)))))</f>
        <v> </v>
      </c>
      <c r="L360" s="27"/>
    </row>
    <row r="361" spans="1:12">
      <c r="A361" s="20" t="s">
        <v>952</v>
      </c>
      <c r="E361" s="22">
        <f>IF(D361="?OLD","!!!","")</f>
        <v/>
      </c>
      <c r="F361" s="23" t="str">
        <f>IF(OR(E361="",E361="!!!"),"",IF(NOT(ISNA(VLOOKUP(E361,E$1:E360,1,FALSE()))),"OLD",IF(AND(E361&lt;&gt;"",E361&lt;&gt;"!!!"),"NEW","")))</f>
        <v> </v>
      </c>
      <c r="G361" s="24" t="str">
        <f>IF(OR(E361="",E361="!!!"),"",IF(OR(J361=0,AND(J361=1,K361=1),AND(J361=1,I361="SBJ"),AND(J361=1,I361=0)),"?IN_FOCUS",IF(J361&lt;=2,"?ACTIVATED",IF(J361&lt;&gt;"","?FAMILIAR",IF(F361="NEW",IF(ISNA(VLOOKUP(E361,#REF!,1,FALSE())),"?TYPE_IDENTIFIABLE","?REFERENTIAL"),"_")))))</f>
        <v> </v>
      </c>
      <c r="H361" s="25" t="str">
        <f>IF(J361&lt;&gt;1,"",IF(I361="SBJ","CB","?"))</f>
        <v> </v>
      </c>
      <c r="I361" s="26" t="str">
        <f>IF(OR(E361="",E361="!!!",F361="NEW"),"",INDEX(B360:B$2,-1+SUMPRODUCT(MAX(ROW(E360:E$2)*(E361=E360:E$2)))))</f>
        <v> </v>
      </c>
      <c r="J361" s="26" t="str">
        <f>IF(OR(E361="",E361="!!!",F361="NEW"),"",COUNTBLANK(OFFSET(A$1,,,SUMPRODUCT(MAX(ROW(E$2:E361)*(E361=E$2:E361)))))-COUNTBLANK(OFFSET(A$1,,,SUMPRODUCT(MAX(ROW(E$1:E360)*(E2=E$1:E360))))))</f>
        <v> </v>
      </c>
      <c r="K361" s="26" t="str">
        <f>IF(OR(E361="",E361="!!!",F361="NEW"),"",INDEX(J$1:J360,SUMPRODUCT(MAX(ROW(E$1:E360)*(E361=E$1:E360)))))</f>
        <v> </v>
      </c>
      <c r="L361" s="27"/>
    </row>
    <row r="362" spans="1:12">
      <c r="A362" s="20" t="s">
        <v>750</v>
      </c>
      <c r="B362" s="21" t="s">
        <v>788</v>
      </c>
      <c r="C362" s="21" t="s">
        <v>729</v>
      </c>
      <c r="D362" s="21" t="s">
        <v>730</v>
      </c>
      <c r="E362" s="22">
        <f>IF(D362="?OLD","!!!","")</f>
        <v/>
      </c>
      <c r="F362" s="23" t="str">
        <f>IF(OR(E362="",E362="!!!"),"",IF(NOT(ISNA(VLOOKUP(E362,E$1:E361,1,FALSE()))),"OLD",IF(AND(E362&lt;&gt;"",E362&lt;&gt;"!!!"),"NEW","")))</f>
        <v> </v>
      </c>
      <c r="G362" s="24" t="str">
        <f>IF(OR(E362="",E362="!!!"),"",IF(OR(J362=0,AND(J362=1,K362=1),AND(J362=1,I362="SBJ"),AND(J362=1,I362=0)),"?IN_FOCUS",IF(J362&lt;=2,"?ACTIVATED",IF(J362&lt;&gt;"","?FAMILIAR",IF(F362="NEW",IF(ISNA(VLOOKUP(E362,#REF!,1,FALSE())),"?TYPE_IDENTIFIABLE","?REFERENTIAL"),"_")))))</f>
        <v> </v>
      </c>
      <c r="H362" s="25" t="str">
        <f>IF(J362&lt;&gt;1,"",IF(I362="SBJ","CB","?"))</f>
        <v> </v>
      </c>
      <c r="I362" s="26" t="str">
        <f>IF(OR(E362="",E362="!!!",F362="NEW"),"",INDEX(B361:B$2,-1+SUMPRODUCT(MAX(ROW(E361:E$2)*(E362=E361:E$2)))))</f>
        <v> </v>
      </c>
      <c r="J362" s="26" t="str">
        <f>IF(OR(E362="",E362="!!!",F362="NEW"),"",COUNTBLANK(OFFSET(A$1,,,SUMPRODUCT(MAX(ROW(E$2:E362)*(E362=E$2:E362)))))-COUNTBLANK(OFFSET(A$1,,,SUMPRODUCT(MAX(ROW(E$1:E361)*(E2=E$1:E361))))))</f>
        <v> </v>
      </c>
      <c r="K362" s="26" t="str">
        <f>IF(OR(E362="",E362="!!!",F362="NEW"),"",INDEX(J$1:J361,SUMPRODUCT(MAX(ROW(E$1:E361)*(E362=E$1:E361)))))</f>
        <v> </v>
      </c>
      <c r="L362" s="27"/>
    </row>
    <row r="363" spans="1:12">
      <c r="A363" s="20" t="s">
        <v>759</v>
      </c>
      <c r="E363" s="22">
        <f>IF(D363="?OLD","!!!","")</f>
        <v/>
      </c>
      <c r="F363" s="23" t="str">
        <f>IF(OR(E363="",E363="!!!"),"",IF(NOT(ISNA(VLOOKUP(E363,E$1:E362,1,FALSE()))),"OLD",IF(AND(E363&lt;&gt;"",E363&lt;&gt;"!!!"),"NEW","")))</f>
        <v> </v>
      </c>
      <c r="G363" s="24" t="str">
        <f>IF(OR(E363="",E363="!!!"),"",IF(OR(J363=0,AND(J363=1,K363=1),AND(J363=1,I363="SBJ"),AND(J363=1,I363=0)),"?IN_FOCUS",IF(J363&lt;=2,"?ACTIVATED",IF(J363&lt;&gt;"","?FAMILIAR",IF(F363="NEW",IF(ISNA(VLOOKUP(E363,#REF!,1,FALSE())),"?TYPE_IDENTIFIABLE","?REFERENTIAL"),"_")))))</f>
        <v> </v>
      </c>
      <c r="H363" s="25" t="str">
        <f>IF(J363&lt;&gt;1,"",IF(I363="SBJ","CB","?"))</f>
        <v> </v>
      </c>
      <c r="I363" s="26" t="str">
        <f>IF(OR(E363="",E363="!!!",F363="NEW"),"",INDEX(B362:B$2,-1+SUMPRODUCT(MAX(ROW(E362:E$2)*(E363=E362:E$2)))))</f>
        <v> </v>
      </c>
      <c r="J363" s="26" t="str">
        <f>IF(OR(E363="",E363="!!!",F363="NEW"),"",COUNTBLANK(OFFSET(A$1,,,SUMPRODUCT(MAX(ROW(E$2:E363)*(E363=E$2:E363)))))-COUNTBLANK(OFFSET(A$1,,,SUMPRODUCT(MAX(ROW(E$1:E362)*(E2=E$1:E362))))))</f>
        <v> </v>
      </c>
      <c r="K363" s="26" t="str">
        <f>IF(OR(E363="",E363="!!!",F363="NEW"),"",INDEX(J$1:J362,SUMPRODUCT(MAX(ROW(E$1:E362)*(E363=E$1:E362)))))</f>
        <v> </v>
      </c>
      <c r="L363" s="27"/>
    </row>
    <row r="364" spans="1:12">
      <c r="A364" s="20" t="s">
        <v>953</v>
      </c>
      <c r="E364" s="22">
        <f>IF(D364="?OLD","!!!","")</f>
        <v/>
      </c>
      <c r="F364" s="23" t="str">
        <f>IF(OR(E364="",E364="!!!"),"",IF(NOT(ISNA(VLOOKUP(E364,E$1:E363,1,FALSE()))),"OLD",IF(AND(E364&lt;&gt;"",E364&lt;&gt;"!!!"),"NEW","")))</f>
        <v> </v>
      </c>
      <c r="G364" s="24" t="str">
        <f>IF(OR(E364="",E364="!!!"),"",IF(OR(J364=0,AND(J364=1,K364=1),AND(J364=1,I364="SBJ"),AND(J364=1,I364=0)),"?IN_FOCUS",IF(J364&lt;=2,"?ACTIVATED",IF(J364&lt;&gt;"","?FAMILIAR",IF(F364="NEW",IF(ISNA(VLOOKUP(E364,#REF!,1,FALSE())),"?TYPE_IDENTIFIABLE","?REFERENTIAL"),"_")))))</f>
        <v> </v>
      </c>
      <c r="H364" s="25" t="str">
        <f>IF(J364&lt;&gt;1,"",IF(I364="SBJ","CB","?"))</f>
        <v> </v>
      </c>
      <c r="I364" s="26" t="str">
        <f>IF(OR(E364="",E364="!!!",F364="NEW"),"",INDEX(B363:B$2,-1+SUMPRODUCT(MAX(ROW(E363:E$2)*(E364=E363:E$2)))))</f>
        <v> </v>
      </c>
      <c r="J364" s="26" t="str">
        <f>IF(OR(E364="",E364="!!!",F364="NEW"),"",COUNTBLANK(OFFSET(A$1,,,SUMPRODUCT(MAX(ROW(E$2:E364)*(E364=E$2:E364)))))-COUNTBLANK(OFFSET(A$1,,,SUMPRODUCT(MAX(ROW(E$1:E363)*(E2=E$1:E363))))))</f>
        <v> </v>
      </c>
      <c r="K364" s="26" t="str">
        <f>IF(OR(E364="",E364="!!!",F364="NEW"),"",INDEX(J$1:J363,SUMPRODUCT(MAX(ROW(E$1:E363)*(E364=E$1:E363)))))</f>
        <v> </v>
      </c>
      <c r="L364" s="27"/>
    </row>
    <row r="365" spans="1:12">
      <c r="A365" s="20" t="s">
        <v>954</v>
      </c>
      <c r="B365" s="21" t="s">
        <v>843</v>
      </c>
      <c r="C365" s="21" t="s">
        <v>748</v>
      </c>
      <c r="E365" s="22">
        <f>IF(D365="?OLD","!!!","")</f>
        <v/>
      </c>
      <c r="F365" s="23" t="str">
        <f>IF(OR(E365="",E365="!!!"),"",IF(NOT(ISNA(VLOOKUP(E365,E$1:E364,1,FALSE()))),"OLD",IF(AND(E365&lt;&gt;"",E365&lt;&gt;"!!!"),"NEW","")))</f>
        <v> </v>
      </c>
      <c r="G365" s="24" t="str">
        <f>IF(OR(E365="",E365="!!!"),"",IF(OR(J365=0,AND(J365=1,K365=1),AND(J365=1,I365="SBJ"),AND(J365=1,I365=0)),"?IN_FOCUS",IF(J365&lt;=2,"?ACTIVATED",IF(J365&lt;&gt;"","?FAMILIAR",IF(F365="NEW",IF(ISNA(VLOOKUP(E365,#REF!,1,FALSE())),"?TYPE_IDENTIFIABLE","?REFERENTIAL"),"_")))))</f>
        <v> </v>
      </c>
      <c r="H365" s="25" t="str">
        <f>IF(J365&lt;&gt;1,"",IF(I365="SBJ","CB","?"))</f>
        <v> </v>
      </c>
      <c r="I365" s="26" t="str">
        <f>IF(OR(E365="",E365="!!!",F365="NEW"),"",INDEX(B364:B$2,-1+SUMPRODUCT(MAX(ROW(E364:E$2)*(E365=E364:E$2)))))</f>
        <v> </v>
      </c>
      <c r="J365" s="26" t="str">
        <f>IF(OR(E365="",E365="!!!",F365="NEW"),"",COUNTBLANK(OFFSET(A$1,,,SUMPRODUCT(MAX(ROW(E$2:E365)*(E365=E$2:E365)))))-COUNTBLANK(OFFSET(A$1,,,SUMPRODUCT(MAX(ROW(E$1:E364)*(E2=E$1:E364))))))</f>
        <v> </v>
      </c>
      <c r="K365" s="26" t="str">
        <f>IF(OR(E365="",E365="!!!",F365="NEW"),"",INDEX(J$1:J364,SUMPRODUCT(MAX(ROW(E$1:E364)*(E365=E$1:E364)))))</f>
        <v> </v>
      </c>
      <c r="L365" s="27"/>
    </row>
    <row r="366" spans="1:12">
      <c r="A366" s="20" t="s">
        <v>955</v>
      </c>
      <c r="E366" s="22">
        <f>IF(D366="?OLD","!!!","")</f>
        <v/>
      </c>
      <c r="F366" s="23" t="str">
        <f>IF(OR(E366="",E366="!!!"),"",IF(NOT(ISNA(VLOOKUP(E366,E$1:E365,1,FALSE()))),"OLD",IF(AND(E366&lt;&gt;"",E366&lt;&gt;"!!!"),"NEW","")))</f>
        <v> </v>
      </c>
      <c r="G366" s="24" t="str">
        <f>IF(OR(E366="",E366="!!!"),"",IF(OR(J366=0,AND(J366=1,K366=1),AND(J366=1,I366="SBJ"),AND(J366=1,I366=0)),"?IN_FOCUS",IF(J366&lt;=2,"?ACTIVATED",IF(J366&lt;&gt;"","?FAMILIAR",IF(F366="NEW",IF(ISNA(VLOOKUP(E366,#REF!,1,FALSE())),"?TYPE_IDENTIFIABLE","?REFERENTIAL"),"_")))))</f>
        <v> </v>
      </c>
      <c r="H366" s="25" t="str">
        <f>IF(J366&lt;&gt;1,"",IF(I366="SBJ","CB","?"))</f>
        <v> </v>
      </c>
      <c r="I366" s="26" t="str">
        <f>IF(OR(E366="",E366="!!!",F366="NEW"),"",INDEX(B365:B$2,-1+SUMPRODUCT(MAX(ROW(E365:E$2)*(E366=E365:E$2)))))</f>
        <v> </v>
      </c>
      <c r="J366" s="26" t="str">
        <f>IF(OR(E366="",E366="!!!",F366="NEW"),"",COUNTBLANK(OFFSET(A$1,,,SUMPRODUCT(MAX(ROW(E$2:E366)*(E366=E$2:E366)))))-COUNTBLANK(OFFSET(A$1,,,SUMPRODUCT(MAX(ROW(E$1:E365)*(E2=E$1:E365))))))</f>
        <v> </v>
      </c>
      <c r="K366" s="26" t="str">
        <f>IF(OR(E366="",E366="!!!",F366="NEW"),"",INDEX(J$1:J365,SUMPRODUCT(MAX(ROW(E$1:E365)*(E366=E$1:E365)))))</f>
        <v> </v>
      </c>
      <c r="L366" s="27"/>
    </row>
    <row r="367" spans="1:12">
      <c r="A367" s="20" t="s">
        <v>759</v>
      </c>
      <c r="E367" s="22">
        <f>IF(D367="?OLD","!!!","")</f>
        <v/>
      </c>
      <c r="F367" s="23" t="str">
        <f>IF(OR(E367="",E367="!!!"),"",IF(NOT(ISNA(VLOOKUP(E367,E$1:E366,1,FALSE()))),"OLD",IF(AND(E367&lt;&gt;"",E367&lt;&gt;"!!!"),"NEW","")))</f>
        <v> </v>
      </c>
      <c r="G367" s="24" t="str">
        <f>IF(OR(E367="",E367="!!!"),"",IF(OR(J367=0,AND(J367=1,K367=1),AND(J367=1,I367="SBJ"),AND(J367=1,I367=0)),"?IN_FOCUS",IF(J367&lt;=2,"?ACTIVATED",IF(J367&lt;&gt;"","?FAMILIAR",IF(F367="NEW",IF(ISNA(VLOOKUP(E367,#REF!,1,FALSE())),"?TYPE_IDENTIFIABLE","?REFERENTIAL"),"_")))))</f>
        <v> </v>
      </c>
      <c r="H367" s="25" t="str">
        <f>IF(J367&lt;&gt;1,"",IF(I367="SBJ","CB","?"))</f>
        <v> </v>
      </c>
      <c r="I367" s="26" t="str">
        <f>IF(OR(E367="",E367="!!!",F367="NEW"),"",INDEX(B366:B$2,-1+SUMPRODUCT(MAX(ROW(E366:E$2)*(E367=E366:E$2)))))</f>
        <v> </v>
      </c>
      <c r="J367" s="26" t="str">
        <f>IF(OR(E367="",E367="!!!",F367="NEW"),"",COUNTBLANK(OFFSET(A$1,,,SUMPRODUCT(MAX(ROW(E$2:E367)*(E367=E$2:E367)))))-COUNTBLANK(OFFSET(A$1,,,SUMPRODUCT(MAX(ROW(E$1:E366)*(E2=E$1:E366))))))</f>
        <v> </v>
      </c>
      <c r="K367" s="26" t="str">
        <f>IF(OR(E367="",E367="!!!",F367="NEW"),"",INDEX(J$1:J366,SUMPRODUCT(MAX(ROW(E$1:E366)*(E367=E$1:E366)))))</f>
        <v> </v>
      </c>
      <c r="L367" s="27"/>
    </row>
    <row r="368" spans="1:12">
      <c r="A368" s="20" t="s">
        <v>956</v>
      </c>
      <c r="E368" s="22">
        <f>IF(D368="?OLD","!!!","")</f>
        <v/>
      </c>
      <c r="F368" s="23" t="str">
        <f>IF(OR(E368="",E368="!!!"),"",IF(NOT(ISNA(VLOOKUP(E368,E$1:E367,1,FALSE()))),"OLD",IF(AND(E368&lt;&gt;"",E368&lt;&gt;"!!!"),"NEW","")))</f>
        <v> </v>
      </c>
      <c r="G368" s="24" t="str">
        <f>IF(OR(E368="",E368="!!!"),"",IF(OR(J368=0,AND(J368=1,K368=1),AND(J368=1,I368="SBJ"),AND(J368=1,I368=0)),"?IN_FOCUS",IF(J368&lt;=2,"?ACTIVATED",IF(J368&lt;&gt;"","?FAMILIAR",IF(F368="NEW",IF(ISNA(VLOOKUP(E368,#REF!,1,FALSE())),"?TYPE_IDENTIFIABLE","?REFERENTIAL"),"_")))))</f>
        <v> </v>
      </c>
      <c r="H368" s="25" t="str">
        <f>IF(J368&lt;&gt;1,"",IF(I368="SBJ","CB","?"))</f>
        <v> </v>
      </c>
      <c r="I368" s="26" t="str">
        <f>IF(OR(E368="",E368="!!!",F368="NEW"),"",INDEX(B367:B$2,-1+SUMPRODUCT(MAX(ROW(E367:E$2)*(E368=E367:E$2)))))</f>
        <v> </v>
      </c>
      <c r="J368" s="26" t="str">
        <f>IF(OR(E368="",E368="!!!",F368="NEW"),"",COUNTBLANK(OFFSET(A$1,,,SUMPRODUCT(MAX(ROW(E$2:E368)*(E368=E$2:E368)))))-COUNTBLANK(OFFSET(A$1,,,SUMPRODUCT(MAX(ROW(E$1:E367)*(E2=E$1:E367))))))</f>
        <v> </v>
      </c>
      <c r="K368" s="26" t="str">
        <f>IF(OR(E368="",E368="!!!",F368="NEW"),"",INDEX(J$1:J367,SUMPRODUCT(MAX(ROW(E$1:E367)*(E368=E$1:E367)))))</f>
        <v> </v>
      </c>
      <c r="L368" s="27"/>
    </row>
    <row r="369" spans="1:12">
      <c r="A369" s="20" t="s">
        <v>246</v>
      </c>
      <c r="E369" s="22">
        <f>IF(D369="?OLD","!!!","")</f>
        <v/>
      </c>
      <c r="F369" s="23" t="str">
        <f>IF(OR(E369="",E369="!!!"),"",IF(NOT(ISNA(VLOOKUP(E369,E$1:E368,1,FALSE()))),"OLD",IF(AND(E369&lt;&gt;"",E369&lt;&gt;"!!!"),"NEW","")))</f>
        <v> </v>
      </c>
      <c r="G369" s="24" t="str">
        <f>IF(OR(E369="",E369="!!!"),"",IF(OR(J369=0,AND(J369=1,K369=1),AND(J369=1,I369="SBJ"),AND(J369=1,I369=0)),"?IN_FOCUS",IF(J369&lt;=2,"?ACTIVATED",IF(J369&lt;&gt;"","?FAMILIAR",IF(F369="NEW",IF(ISNA(VLOOKUP(E369,#REF!,1,FALSE())),"?TYPE_IDENTIFIABLE","?REFERENTIAL"),"_")))))</f>
        <v> </v>
      </c>
      <c r="H369" s="25" t="str">
        <f>IF(J369&lt;&gt;1,"",IF(I369="SBJ","CB","?"))</f>
        <v> </v>
      </c>
      <c r="I369" s="26" t="str">
        <f>IF(OR(E369="",E369="!!!",F369="NEW"),"",INDEX(B368:B$2,-1+SUMPRODUCT(MAX(ROW(E368:E$2)*(E369=E368:E$2)))))</f>
        <v> </v>
      </c>
      <c r="J369" s="26" t="str">
        <f>IF(OR(E369="",E369="!!!",F369="NEW"),"",COUNTBLANK(OFFSET(A$1,,,SUMPRODUCT(MAX(ROW(E$2:E369)*(E369=E$2:E369)))))-COUNTBLANK(OFFSET(A$1,,,SUMPRODUCT(MAX(ROW(E$1:E368)*(E2=E$1:E368))))))</f>
        <v> </v>
      </c>
      <c r="K369" s="26" t="str">
        <f>IF(OR(E369="",E369="!!!",F369="NEW"),"",INDEX(J$1:J368,SUMPRODUCT(MAX(ROW(E$1:E368)*(E369=E$1:E368)))))</f>
        <v> </v>
      </c>
      <c r="L369" s="27"/>
    </row>
    <row r="370" spans="1:12">
      <c r="A370" s="20"/>
    </row>
    <row r="371" spans="1:12">
      <c r="A371" s="20" t="s">
        <v>957</v>
      </c>
    </row>
    <row r="372" spans="1:12">
      <c r="A372" s="20" t="s">
        <v>958</v>
      </c>
      <c r="E372" s="22">
        <f>IF(D372="?OLD","!!!","")</f>
        <v/>
      </c>
      <c r="F372" s="23" t="str">
        <f>IF(OR(E372="",E372="!!!"),"",IF(NOT(ISNA(VLOOKUP(E372,E$1:E371,1,FALSE()))),"OLD",IF(AND(E372&lt;&gt;"",E372&lt;&gt;"!!!"),"NEW","")))</f>
        <v> </v>
      </c>
      <c r="G372" s="24" t="str">
        <f>IF(OR(E372="",E372="!!!"),"",IF(OR(J372=0,AND(J372=1,K372=1),AND(J372=1,I372="SBJ"),AND(J372=1,I372=0)),"?IN_FOCUS",IF(J372&lt;=2,"?ACTIVATED",IF(J372&lt;&gt;"","?FAMILIAR",IF(F372="NEW",IF(ISNA(VLOOKUP(E372,#REF!,1,FALSE())),"?TYPE_IDENTIFIABLE","?REFERENTIAL"),"_")))))</f>
        <v> </v>
      </c>
      <c r="H372" s="25" t="str">
        <f>IF(J372&lt;&gt;1,"",IF(I372="SBJ","CB","?"))</f>
        <v> </v>
      </c>
      <c r="I372" s="26" t="str">
        <f>IF(OR(E372="",E372="!!!",F372="NEW"),"",INDEX(B371:B$2,-1+SUMPRODUCT(MAX(ROW(E371:E$2)*(E372=E371:E$2)))))</f>
        <v> </v>
      </c>
      <c r="J372" s="26" t="str">
        <f>IF(OR(E372="",E372="!!!",F372="NEW"),"",COUNTBLANK(OFFSET(A$1,,,SUMPRODUCT(MAX(ROW(E$2:E372)*(E372=E$2:E372)))))-COUNTBLANK(OFFSET(A$1,,,SUMPRODUCT(MAX(ROW(E$1:E371)*(E2=E$1:E371))))))</f>
        <v> </v>
      </c>
      <c r="K372" s="26" t="str">
        <f>IF(OR(E372="",E372="!!!",F372="NEW"),"",INDEX(J$1:J371,SUMPRODUCT(MAX(ROW(E$1:E371)*(E372=E$1:E371)))))</f>
        <v> </v>
      </c>
      <c r="L372" s="27"/>
    </row>
    <row r="373" spans="1:12">
      <c r="A373" s="20" t="s">
        <v>959</v>
      </c>
      <c r="B373" s="21" t="s">
        <v>728</v>
      </c>
      <c r="C373" s="21" t="s">
        <v>753</v>
      </c>
      <c r="D373" s="21" t="s">
        <v>730</v>
      </c>
      <c r="E373" s="22">
        <f>IF(D373="?OLD","!!!","")</f>
        <v/>
      </c>
      <c r="F373" s="23" t="str">
        <f>IF(OR(E373="",E373="!!!"),"",IF(NOT(ISNA(VLOOKUP(E373,E$1:E372,1,FALSE()))),"OLD",IF(AND(E373&lt;&gt;"",E373&lt;&gt;"!!!"),"NEW","")))</f>
        <v> </v>
      </c>
      <c r="G373" s="24" t="str">
        <f>IF(OR(E373="",E373="!!!"),"",IF(OR(J373=0,AND(J373=1,K373=1),AND(J373=1,I373="SBJ"),AND(J373=1,I373=0)),"?IN_FOCUS",IF(J373&lt;=2,"?ACTIVATED",IF(J373&lt;&gt;"","?FAMILIAR",IF(F373="NEW",IF(ISNA(VLOOKUP(E373,#REF!,1,FALSE())),"?TYPE_IDENTIFIABLE","?REFERENTIAL"),"_")))))</f>
        <v> </v>
      </c>
      <c r="H373" s="25" t="str">
        <f>IF(J373&lt;&gt;1,"",IF(I373="SBJ","CB","?"))</f>
        <v> </v>
      </c>
      <c r="I373" s="26" t="str">
        <f>IF(OR(E373="",E373="!!!",F373="NEW"),"",INDEX(B372:B$2,-1+SUMPRODUCT(MAX(ROW(E372:E$2)*(E373=E372:E$2)))))</f>
        <v> </v>
      </c>
      <c r="J373" s="26" t="str">
        <f>IF(OR(E373="",E373="!!!",F373="NEW"),"",COUNTBLANK(OFFSET(A$1,,,SUMPRODUCT(MAX(ROW(E$2:E373)*(E373=E$2:E373)))))-COUNTBLANK(OFFSET(A$1,,,SUMPRODUCT(MAX(ROW(E$1:E372)*(E2=E$1:E372))))))</f>
        <v> </v>
      </c>
      <c r="K373" s="26" t="str">
        <f>IF(OR(E373="",E373="!!!",F373="NEW"),"",INDEX(J$1:J372,SUMPRODUCT(MAX(ROW(E$1:E372)*(E373=E$1:E372)))))</f>
        <v> </v>
      </c>
      <c r="L373" s="27"/>
    </row>
    <row r="374" spans="1:12">
      <c r="A374" s="20" t="s">
        <v>911</v>
      </c>
      <c r="E374" s="22">
        <f>IF(D374="?OLD","!!!","")</f>
        <v/>
      </c>
      <c r="F374" s="23" t="str">
        <f>IF(OR(E374="",E374="!!!"),"",IF(NOT(ISNA(VLOOKUP(E374,E$1:E373,1,FALSE()))),"OLD",IF(AND(E374&lt;&gt;"",E374&lt;&gt;"!!!"),"NEW","")))</f>
        <v> </v>
      </c>
      <c r="G374" s="24" t="str">
        <f>IF(OR(E374="",E374="!!!"),"",IF(OR(J374=0,AND(J374=1,K374=1),AND(J374=1,I374="SBJ"),AND(J374=1,I374=0)),"?IN_FOCUS",IF(J374&lt;=2,"?ACTIVATED",IF(J374&lt;&gt;"","?FAMILIAR",IF(F374="NEW",IF(ISNA(VLOOKUP(E374,#REF!,1,FALSE())),"?TYPE_IDENTIFIABLE","?REFERENTIAL"),"_")))))</f>
        <v> </v>
      </c>
      <c r="H374" s="25" t="str">
        <f>IF(J374&lt;&gt;1,"",IF(I374="SBJ","CB","?"))</f>
        <v> </v>
      </c>
      <c r="I374" s="26" t="str">
        <f>IF(OR(E374="",E374="!!!",F374="NEW"),"",INDEX(B373:B$2,-1+SUMPRODUCT(MAX(ROW(E373:E$2)*(E374=E373:E$2)))))</f>
        <v> </v>
      </c>
      <c r="J374" s="26" t="str">
        <f>IF(OR(E374="",E374="!!!",F374="NEW"),"",COUNTBLANK(OFFSET(A$1,,,SUMPRODUCT(MAX(ROW(E$2:E374)*(E374=E$2:E374)))))-COUNTBLANK(OFFSET(A$1,,,SUMPRODUCT(MAX(ROW(E$1:E373)*(E2=E$1:E373))))))</f>
        <v> </v>
      </c>
      <c r="K374" s="26" t="str">
        <f>IF(OR(E374="",E374="!!!",F374="NEW"),"",INDEX(J$1:J373,SUMPRODUCT(MAX(ROW(E$1:E373)*(E374=E$1:E373)))))</f>
        <v> </v>
      </c>
      <c r="L374" s="27"/>
    </row>
    <row r="375" spans="1:12">
      <c r="A375" s="20" t="s">
        <v>960</v>
      </c>
      <c r="E375" s="22">
        <f>IF(D375="?OLD","!!!","")</f>
        <v/>
      </c>
      <c r="F375" s="23" t="str">
        <f>IF(OR(E375="",E375="!!!"),"",IF(NOT(ISNA(VLOOKUP(E375,E$1:E374,1,FALSE()))),"OLD",IF(AND(E375&lt;&gt;"",E375&lt;&gt;"!!!"),"NEW","")))</f>
        <v> </v>
      </c>
      <c r="G375" s="24" t="str">
        <f>IF(OR(E375="",E375="!!!"),"",IF(OR(J375=0,AND(J375=1,K375=1),AND(J375=1,I375="SBJ"),AND(J375=1,I375=0)),"?IN_FOCUS",IF(J375&lt;=2,"?ACTIVATED",IF(J375&lt;&gt;"","?FAMILIAR",IF(F375="NEW",IF(ISNA(VLOOKUP(E375,#REF!,1,FALSE())),"?TYPE_IDENTIFIABLE","?REFERENTIAL"),"_")))))</f>
        <v> </v>
      </c>
      <c r="H375" s="25" t="str">
        <f>IF(J375&lt;&gt;1,"",IF(I375="SBJ","CB","?"))</f>
        <v> </v>
      </c>
      <c r="I375" s="26" t="str">
        <f>IF(OR(E375="",E375="!!!",F375="NEW"),"",INDEX(B374:B$2,-1+SUMPRODUCT(MAX(ROW(E374:E$2)*(E375=E374:E$2)))))</f>
        <v> </v>
      </c>
      <c r="J375" s="26" t="str">
        <f>IF(OR(E375="",E375="!!!",F375="NEW"),"",COUNTBLANK(OFFSET(A$1,,,SUMPRODUCT(MAX(ROW(E$2:E375)*(E375=E$2:E375)))))-COUNTBLANK(OFFSET(A$1,,,SUMPRODUCT(MAX(ROW(E$1:E374)*(E2=E$1:E374))))))</f>
        <v> </v>
      </c>
      <c r="K375" s="26" t="str">
        <f>IF(OR(E375="",E375="!!!",F375="NEW"),"",INDEX(J$1:J374,SUMPRODUCT(MAX(ROW(E$1:E374)*(E375=E$1:E374)))))</f>
        <v> </v>
      </c>
      <c r="L375" s="27"/>
    </row>
    <row r="376" spans="1:12">
      <c r="A376" s="20" t="s">
        <v>961</v>
      </c>
      <c r="E376" s="22">
        <f>IF(D376="?OLD","!!!","")</f>
        <v/>
      </c>
      <c r="F376" s="23" t="str">
        <f>IF(OR(E376="",E376="!!!"),"",IF(NOT(ISNA(VLOOKUP(E376,E$1:E375,1,FALSE()))),"OLD",IF(AND(E376&lt;&gt;"",E376&lt;&gt;"!!!"),"NEW","")))</f>
        <v> </v>
      </c>
      <c r="G376" s="24" t="str">
        <f>IF(OR(E376="",E376="!!!"),"",IF(OR(J376=0,AND(J376=1,K376=1),AND(J376=1,I376="SBJ"),AND(J376=1,I376=0)),"?IN_FOCUS",IF(J376&lt;=2,"?ACTIVATED",IF(J376&lt;&gt;"","?FAMILIAR",IF(F376="NEW",IF(ISNA(VLOOKUP(E376,#REF!,1,FALSE())),"?TYPE_IDENTIFIABLE","?REFERENTIAL"),"_")))))</f>
        <v> </v>
      </c>
      <c r="H376" s="25" t="str">
        <f>IF(J376&lt;&gt;1,"",IF(I376="SBJ","CB","?"))</f>
        <v> </v>
      </c>
      <c r="I376" s="26" t="str">
        <f>IF(OR(E376="",E376="!!!",F376="NEW"),"",INDEX(B375:B$2,-1+SUMPRODUCT(MAX(ROW(E375:E$2)*(E376=E375:E$2)))))</f>
        <v> </v>
      </c>
      <c r="J376" s="26" t="str">
        <f>IF(OR(E376="",E376="!!!",F376="NEW"),"",COUNTBLANK(OFFSET(A$1,,,SUMPRODUCT(MAX(ROW(E$2:E376)*(E376=E$2:E376)))))-COUNTBLANK(OFFSET(A$1,,,SUMPRODUCT(MAX(ROW(E$1:E375)*(E2=E$1:E375))))))</f>
        <v> </v>
      </c>
      <c r="K376" s="26" t="str">
        <f>IF(OR(E376="",E376="!!!",F376="NEW"),"",INDEX(J$1:J375,SUMPRODUCT(MAX(ROW(E$1:E375)*(E376=E$1:E375)))))</f>
        <v> </v>
      </c>
      <c r="L376" s="27"/>
    </row>
    <row r="377" spans="1:12">
      <c r="A377" s="20" t="s">
        <v>962</v>
      </c>
      <c r="E377" s="22">
        <f>IF(D377="?OLD","!!!","")</f>
        <v/>
      </c>
      <c r="F377" s="23" t="str">
        <f>IF(OR(E377="",E377="!!!"),"",IF(NOT(ISNA(VLOOKUP(E377,E$1:E376,1,FALSE()))),"OLD",IF(AND(E377&lt;&gt;"",E377&lt;&gt;"!!!"),"NEW","")))</f>
        <v> </v>
      </c>
      <c r="G377" s="24" t="str">
        <f>IF(OR(E377="",E377="!!!"),"",IF(OR(J377=0,AND(J377=1,K377=1),AND(J377=1,I377="SBJ"),AND(J377=1,I377=0)),"?IN_FOCUS",IF(J377&lt;=2,"?ACTIVATED",IF(J377&lt;&gt;"","?FAMILIAR",IF(F377="NEW",IF(ISNA(VLOOKUP(E377,#REF!,1,FALSE())),"?TYPE_IDENTIFIABLE","?REFERENTIAL"),"_")))))</f>
        <v> </v>
      </c>
      <c r="H377" s="25" t="str">
        <f>IF(J377&lt;&gt;1,"",IF(I377="SBJ","CB","?"))</f>
        <v> </v>
      </c>
      <c r="I377" s="26" t="str">
        <f>IF(OR(E377="",E377="!!!",F377="NEW"),"",INDEX(B376:B$2,-1+SUMPRODUCT(MAX(ROW(E376:E$2)*(E377=E376:E$2)))))</f>
        <v> </v>
      </c>
      <c r="J377" s="26" t="str">
        <f>IF(OR(E377="",E377="!!!",F377="NEW"),"",COUNTBLANK(OFFSET(A$1,,,SUMPRODUCT(MAX(ROW(E$2:E377)*(E377=E$2:E377)))))-COUNTBLANK(OFFSET(A$1,,,SUMPRODUCT(MAX(ROW(E$1:E376)*(E2=E$1:E376))))))</f>
        <v> </v>
      </c>
      <c r="K377" s="26" t="str">
        <f>IF(OR(E377="",E377="!!!",F377="NEW"),"",INDEX(J$1:J376,SUMPRODUCT(MAX(ROW(E$1:E376)*(E377=E$1:E376)))))</f>
        <v> </v>
      </c>
      <c r="L377" s="27"/>
    </row>
    <row r="378" spans="1:12">
      <c r="A378" s="20" t="s">
        <v>246</v>
      </c>
      <c r="E378" s="22">
        <f>IF(D378="?OLD","!!!","")</f>
        <v/>
      </c>
      <c r="F378" s="23" t="str">
        <f>IF(OR(E378="",E378="!!!"),"",IF(NOT(ISNA(VLOOKUP(E378,E$1:E377,1,FALSE()))),"OLD",IF(AND(E378&lt;&gt;"",E378&lt;&gt;"!!!"),"NEW","")))</f>
        <v> </v>
      </c>
      <c r="G378" s="24" t="str">
        <f>IF(OR(E378="",E378="!!!"),"",IF(OR(J378=0,AND(J378=1,K378=1),AND(J378=1,I378="SBJ"),AND(J378=1,I378=0)),"?IN_FOCUS",IF(J378&lt;=2,"?ACTIVATED",IF(J378&lt;&gt;"","?FAMILIAR",IF(F378="NEW",IF(ISNA(VLOOKUP(E378,#REF!,1,FALSE())),"?TYPE_IDENTIFIABLE","?REFERENTIAL"),"_")))))</f>
        <v> </v>
      </c>
      <c r="H378" s="25" t="str">
        <f>IF(J378&lt;&gt;1,"",IF(I378="SBJ","CB","?"))</f>
        <v> </v>
      </c>
      <c r="I378" s="26" t="str">
        <f>IF(OR(E378="",E378="!!!",F378="NEW"),"",INDEX(B377:B$2,-1+SUMPRODUCT(MAX(ROW(E377:E$2)*(E378=E377:E$2)))))</f>
        <v> </v>
      </c>
      <c r="J378" s="26" t="str">
        <f>IF(OR(E378="",E378="!!!",F378="NEW"),"",COUNTBLANK(OFFSET(A$1,,,SUMPRODUCT(MAX(ROW(E$2:E378)*(E378=E$2:E378)))))-COUNTBLANK(OFFSET(A$1,,,SUMPRODUCT(MAX(ROW(E$1:E377)*(E2=E$1:E377))))))</f>
        <v> </v>
      </c>
      <c r="K378" s="26" t="str">
        <f>IF(OR(E378="",E378="!!!",F378="NEW"),"",INDEX(J$1:J377,SUMPRODUCT(MAX(ROW(E$1:E377)*(E378=E$1:E377)))))</f>
        <v> </v>
      </c>
      <c r="L378" s="27"/>
    </row>
    <row r="379" spans="1:12">
      <c r="A379" s="20"/>
    </row>
    <row r="380" spans="1:12">
      <c r="A380" s="20" t="s">
        <v>963</v>
      </c>
    </row>
    <row r="381" spans="1:12">
      <c r="A381" s="20" t="s">
        <v>768</v>
      </c>
      <c r="E381" s="22">
        <f>IF(D381="?OLD","!!!","")</f>
        <v/>
      </c>
      <c r="F381" s="23" t="str">
        <f>IF(OR(E381="",E381="!!!"),"",IF(NOT(ISNA(VLOOKUP(E381,E$1:E380,1,FALSE()))),"OLD",IF(AND(E381&lt;&gt;"",E381&lt;&gt;"!!!"),"NEW","")))</f>
        <v> </v>
      </c>
      <c r="G381" s="24" t="str">
        <f>IF(OR(E381="",E381="!!!"),"",IF(OR(J381=0,AND(J381=1,K381=1),AND(J381=1,I381="SBJ"),AND(J381=1,I381=0)),"?IN_FOCUS",IF(J381&lt;=2,"?ACTIVATED",IF(J381&lt;&gt;"","?FAMILIAR",IF(F381="NEW",IF(ISNA(VLOOKUP(E381,#REF!,1,FALSE())),"?TYPE_IDENTIFIABLE","?REFERENTIAL"),"_")))))</f>
        <v> </v>
      </c>
      <c r="H381" s="25" t="str">
        <f>IF(J381&lt;&gt;1,"",IF(I381="SBJ","CB","?"))</f>
        <v> </v>
      </c>
      <c r="I381" s="26" t="str">
        <f>IF(OR(E381="",E381="!!!",F381="NEW"),"",INDEX(B380:B$2,-1+SUMPRODUCT(MAX(ROW(E380:E$2)*(E381=E380:E$2)))))</f>
        <v> </v>
      </c>
      <c r="J381" s="26" t="str">
        <f>IF(OR(E381="",E381="!!!",F381="NEW"),"",COUNTBLANK(OFFSET(A$1,,,SUMPRODUCT(MAX(ROW(E$2:E381)*(E381=E$2:E381)))))-COUNTBLANK(OFFSET(A$1,,,SUMPRODUCT(MAX(ROW(E$1:E380)*(E2=E$1:E380))))))</f>
        <v> </v>
      </c>
      <c r="K381" s="26" t="str">
        <f>IF(OR(E381="",E381="!!!",F381="NEW"),"",INDEX(J$1:J380,SUMPRODUCT(MAX(ROW(E$1:E380)*(E381=E$1:E380)))))</f>
        <v> </v>
      </c>
      <c r="L381" s="27"/>
    </row>
    <row r="382" spans="1:12">
      <c r="A382" s="20" t="s">
        <v>838</v>
      </c>
      <c r="E382" s="22">
        <f>IF(D382="?OLD","!!!","")</f>
        <v/>
      </c>
      <c r="F382" s="23" t="str">
        <f>IF(OR(E382="",E382="!!!"),"",IF(NOT(ISNA(VLOOKUP(E382,E$1:E381,1,FALSE()))),"OLD",IF(AND(E382&lt;&gt;"",E382&lt;&gt;"!!!"),"NEW","")))</f>
        <v> </v>
      </c>
      <c r="G382" s="24" t="str">
        <f>IF(OR(E382="",E382="!!!"),"",IF(OR(J382=0,AND(J382=1,K382=1),AND(J382=1,I382="SBJ"),AND(J382=1,I382=0)),"?IN_FOCUS",IF(J382&lt;=2,"?ACTIVATED",IF(J382&lt;&gt;"","?FAMILIAR",IF(F382="NEW",IF(ISNA(VLOOKUP(E382,#REF!,1,FALSE())),"?TYPE_IDENTIFIABLE","?REFERENTIAL"),"_")))))</f>
        <v> </v>
      </c>
      <c r="H382" s="25" t="str">
        <f>IF(J382&lt;&gt;1,"",IF(I382="SBJ","CB","?"))</f>
        <v> </v>
      </c>
      <c r="I382" s="26" t="str">
        <f>IF(OR(E382="",E382="!!!",F382="NEW"),"",INDEX(B381:B$2,-1+SUMPRODUCT(MAX(ROW(E381:E$2)*(E382=E381:E$2)))))</f>
        <v> </v>
      </c>
      <c r="J382" s="26" t="str">
        <f>IF(OR(E382="",E382="!!!",F382="NEW"),"",COUNTBLANK(OFFSET(A$1,,,SUMPRODUCT(MAX(ROW(E$2:E382)*(E382=E$2:E382)))))-COUNTBLANK(OFFSET(A$1,,,SUMPRODUCT(MAX(ROW(E$1:E381)*(E2=E$1:E381))))))</f>
        <v> </v>
      </c>
      <c r="K382" s="26" t="str">
        <f>IF(OR(E382="",E382="!!!",F382="NEW"),"",INDEX(J$1:J381,SUMPRODUCT(MAX(ROW(E$1:E381)*(E382=E$1:E381)))))</f>
        <v> </v>
      </c>
      <c r="L382" s="27"/>
    </row>
    <row r="383" spans="1:12">
      <c r="A383" s="20" t="s">
        <v>964</v>
      </c>
      <c r="E383" s="22">
        <f>IF(D383="?OLD","!!!","")</f>
        <v/>
      </c>
      <c r="F383" s="23" t="str">
        <f>IF(OR(E383="",E383="!!!"),"",IF(NOT(ISNA(VLOOKUP(E383,E$1:E382,1,FALSE()))),"OLD",IF(AND(E383&lt;&gt;"",E383&lt;&gt;"!!!"),"NEW","")))</f>
        <v> </v>
      </c>
      <c r="G383" s="24" t="str">
        <f>IF(OR(E383="",E383="!!!"),"",IF(OR(J383=0,AND(J383=1,K383=1),AND(J383=1,I383="SBJ"),AND(J383=1,I383=0)),"?IN_FOCUS",IF(J383&lt;=2,"?ACTIVATED",IF(J383&lt;&gt;"","?FAMILIAR",IF(F383="NEW",IF(ISNA(VLOOKUP(E383,#REF!,1,FALSE())),"?TYPE_IDENTIFIABLE","?REFERENTIAL"),"_")))))</f>
        <v> </v>
      </c>
      <c r="H383" s="25" t="str">
        <f>IF(J383&lt;&gt;1,"",IF(I383="SBJ","CB","?"))</f>
        <v> </v>
      </c>
      <c r="I383" s="26" t="str">
        <f>IF(OR(E383="",E383="!!!",F383="NEW"),"",INDEX(B382:B$2,-1+SUMPRODUCT(MAX(ROW(E382:E$2)*(E383=E382:E$2)))))</f>
        <v> </v>
      </c>
      <c r="J383" s="26" t="str">
        <f>IF(OR(E383="",E383="!!!",F383="NEW"),"",COUNTBLANK(OFFSET(A$1,,,SUMPRODUCT(MAX(ROW(E$2:E383)*(E383=E$2:E383)))))-COUNTBLANK(OFFSET(A$1,,,SUMPRODUCT(MAX(ROW(E$1:E382)*(E2=E$1:E382))))))</f>
        <v> </v>
      </c>
      <c r="K383" s="26" t="str">
        <f>IF(OR(E383="",E383="!!!",F383="NEW"),"",INDEX(J$1:J382,SUMPRODUCT(MAX(ROW(E$1:E382)*(E383=E$1:E382)))))</f>
        <v> </v>
      </c>
      <c r="L383" s="27"/>
    </row>
    <row r="384" spans="1:12">
      <c r="A384" s="20" t="s">
        <v>965</v>
      </c>
      <c r="B384" s="21" t="s">
        <v>796</v>
      </c>
      <c r="C384" s="21" t="s">
        <v>756</v>
      </c>
      <c r="E384" s="22">
        <f>IF(D384="?OLD","!!!","")</f>
        <v/>
      </c>
      <c r="F384" s="23" t="str">
        <f>IF(OR(E384="",E384="!!!"),"",IF(NOT(ISNA(VLOOKUP(E384,E$1:E383,1,FALSE()))),"OLD",IF(AND(E384&lt;&gt;"",E384&lt;&gt;"!!!"),"NEW","")))</f>
        <v> </v>
      </c>
      <c r="G384" s="24" t="str">
        <f>IF(OR(E384="",E384="!!!"),"",IF(OR(J384=0,AND(J384=1,K384=1),AND(J384=1,I384="SBJ"),AND(J384=1,I384=0)),"?IN_FOCUS",IF(J384&lt;=2,"?ACTIVATED",IF(J384&lt;&gt;"","?FAMILIAR",IF(F384="NEW",IF(ISNA(VLOOKUP(E384,#REF!,1,FALSE())),"?TYPE_IDENTIFIABLE","?REFERENTIAL"),"_")))))</f>
        <v> </v>
      </c>
      <c r="H384" s="25" t="str">
        <f>IF(J384&lt;&gt;1,"",IF(I384="SBJ","CB","?"))</f>
        <v> </v>
      </c>
      <c r="I384" s="26" t="str">
        <f>IF(OR(E384="",E384="!!!",F384="NEW"),"",INDEX(B383:B$2,-1+SUMPRODUCT(MAX(ROW(E383:E$2)*(E384=E383:E$2)))))</f>
        <v> </v>
      </c>
      <c r="J384" s="26" t="str">
        <f>IF(OR(E384="",E384="!!!",F384="NEW"),"",COUNTBLANK(OFFSET(A$1,,,SUMPRODUCT(MAX(ROW(E$2:E384)*(E384=E$2:E384)))))-COUNTBLANK(OFFSET(A$1,,,SUMPRODUCT(MAX(ROW(E$1:E383)*(E2=E$1:E383))))))</f>
        <v> </v>
      </c>
      <c r="K384" s="26" t="str">
        <f>IF(OR(E384="",E384="!!!",F384="NEW"),"",INDEX(J$1:J383,SUMPRODUCT(MAX(ROW(E$1:E383)*(E384=E$1:E383)))))</f>
        <v> </v>
      </c>
      <c r="L384" s="27"/>
    </row>
    <row r="385" spans="1:12">
      <c r="A385" s="20" t="s">
        <v>966</v>
      </c>
      <c r="B385" s="21" t="s">
        <v>764</v>
      </c>
      <c r="C385" s="21" t="s">
        <v>967</v>
      </c>
      <c r="E385" s="22">
        <f>IF(D385="?OLD","!!!","")</f>
        <v/>
      </c>
      <c r="F385" s="23" t="str">
        <f>IF(OR(E385="",E385="!!!"),"",IF(NOT(ISNA(VLOOKUP(E385,E$1:E384,1,FALSE()))),"OLD",IF(AND(E385&lt;&gt;"",E385&lt;&gt;"!!!"),"NEW","")))</f>
        <v> </v>
      </c>
      <c r="G385" s="24" t="str">
        <f>IF(OR(E385="",E385="!!!"),"",IF(OR(J385=0,AND(J385=1,K385=1),AND(J385=1,I385="SBJ"),AND(J385=1,I385=0)),"?IN_FOCUS",IF(J385&lt;=2,"?ACTIVATED",IF(J385&lt;&gt;"","?FAMILIAR",IF(F385="NEW",IF(ISNA(VLOOKUP(E385,#REF!,1,FALSE())),"?TYPE_IDENTIFIABLE","?REFERENTIAL"),"_")))))</f>
        <v> </v>
      </c>
      <c r="H385" s="25" t="str">
        <f>IF(J385&lt;&gt;1,"",IF(I385="SBJ","CB","?"))</f>
        <v> </v>
      </c>
      <c r="I385" s="26" t="str">
        <f>IF(OR(E385="",E385="!!!",F385="NEW"),"",INDEX(B384:B$2,-1+SUMPRODUCT(MAX(ROW(E384:E$2)*(E385=E384:E$2)))))</f>
        <v> </v>
      </c>
      <c r="J385" s="26" t="str">
        <f>IF(OR(E385="",E385="!!!",F385="NEW"),"",COUNTBLANK(OFFSET(A$1,,,SUMPRODUCT(MAX(ROW(E$2:E385)*(E385=E$2:E385)))))-COUNTBLANK(OFFSET(A$1,,,SUMPRODUCT(MAX(ROW(E$1:E384)*(E2=E$1:E384))))))</f>
        <v> </v>
      </c>
      <c r="K385" s="26" t="str">
        <f>IF(OR(E385="",E385="!!!",F385="NEW"),"",INDEX(J$1:J384,SUMPRODUCT(MAX(ROW(E$1:E384)*(E385=E$1:E384)))))</f>
        <v> </v>
      </c>
      <c r="L385" s="27"/>
    </row>
    <row r="386" spans="1:12">
      <c r="A386" s="20" t="s">
        <v>246</v>
      </c>
      <c r="E386" s="22">
        <f>IF(D386="?OLD","!!!","")</f>
        <v/>
      </c>
      <c r="F386" s="23" t="str">
        <f>IF(OR(E386="",E386="!!!"),"",IF(NOT(ISNA(VLOOKUP(E386,E$1:E385,1,FALSE()))),"OLD",IF(AND(E386&lt;&gt;"",E386&lt;&gt;"!!!"),"NEW","")))</f>
        <v> </v>
      </c>
      <c r="G386" s="24" t="str">
        <f>IF(OR(E386="",E386="!!!"),"",IF(OR(J386=0,AND(J386=1,K386=1),AND(J386=1,I386="SBJ"),AND(J386=1,I386=0)),"?IN_FOCUS",IF(J386&lt;=2,"?ACTIVATED",IF(J386&lt;&gt;"","?FAMILIAR",IF(F386="NEW",IF(ISNA(VLOOKUP(E386,#REF!,1,FALSE())),"?TYPE_IDENTIFIABLE","?REFERENTIAL"),"_")))))</f>
        <v> </v>
      </c>
      <c r="H386" s="25" t="str">
        <f>IF(J386&lt;&gt;1,"",IF(I386="SBJ","CB","?"))</f>
        <v> </v>
      </c>
      <c r="I386" s="26" t="str">
        <f>IF(OR(E386="",E386="!!!",F386="NEW"),"",INDEX(B385:B$2,-1+SUMPRODUCT(MAX(ROW(E385:E$2)*(E386=E385:E$2)))))</f>
        <v> </v>
      </c>
      <c r="J386" s="26" t="str">
        <f>IF(OR(E386="",E386="!!!",F386="NEW"),"",COUNTBLANK(OFFSET(A$1,,,SUMPRODUCT(MAX(ROW(E$2:E386)*(E386=E$2:E386)))))-COUNTBLANK(OFFSET(A$1,,,SUMPRODUCT(MAX(ROW(E$1:E385)*(E2=E$1:E385))))))</f>
        <v> </v>
      </c>
      <c r="K386" s="26" t="str">
        <f>IF(OR(E386="",E386="!!!",F386="NEW"),"",INDEX(J$1:J385,SUMPRODUCT(MAX(ROW(E$1:E385)*(E386=E$1:E385)))))</f>
        <v> </v>
      </c>
      <c r="L386" s="27"/>
    </row>
    <row r="387" spans="1:12">
      <c r="A387" s="20"/>
    </row>
    <row r="388" spans="1:12">
      <c r="A388" s="20" t="s">
        <v>968</v>
      </c>
    </row>
    <row r="389" spans="1:12">
      <c r="A389" s="20" t="s">
        <v>969</v>
      </c>
      <c r="B389" s="21" t="s">
        <v>788</v>
      </c>
      <c r="C389" s="21" t="s">
        <v>789</v>
      </c>
      <c r="D389" s="21" t="s">
        <v>730</v>
      </c>
      <c r="E389" s="22">
        <f>IF(D389="?OLD","!!!","")</f>
        <v/>
      </c>
      <c r="F389" s="23" t="str">
        <f>IF(OR(E389="",E389="!!!"),"",IF(NOT(ISNA(VLOOKUP(E389,E$1:E388,1,FALSE()))),"OLD",IF(AND(E389&lt;&gt;"",E389&lt;&gt;"!!!"),"NEW","")))</f>
        <v> </v>
      </c>
      <c r="G389" s="24" t="str">
        <f>IF(OR(E389="",E389="!!!"),"",IF(OR(J389=0,AND(J389=1,K389=1),AND(J389=1,I389="SBJ"),AND(J389=1,I389=0)),"?IN_FOCUS",IF(J389&lt;=2,"?ACTIVATED",IF(J389&lt;&gt;"","?FAMILIAR",IF(F389="NEW",IF(ISNA(VLOOKUP(E389,#REF!,1,FALSE())),"?TYPE_IDENTIFIABLE","?REFERENTIAL"),"_")))))</f>
        <v> </v>
      </c>
      <c r="H389" s="25" t="str">
        <f>IF(J389&lt;&gt;1,"",IF(I389="SBJ","CB","?"))</f>
        <v> </v>
      </c>
      <c r="I389" s="26" t="str">
        <f>IF(OR(E389="",E389="!!!",F389="NEW"),"",INDEX(B388:B$2,-1+SUMPRODUCT(MAX(ROW(E388:E$2)*(E389=E388:E$2)))))</f>
        <v> </v>
      </c>
      <c r="J389" s="26" t="str">
        <f>IF(OR(E389="",E389="!!!",F389="NEW"),"",COUNTBLANK(OFFSET(A$1,,,SUMPRODUCT(MAX(ROW(E$2:E389)*(E389=E$2:E389)))))-COUNTBLANK(OFFSET(A$1,,,SUMPRODUCT(MAX(ROW(E$1:E388)*(E2=E$1:E388))))))</f>
        <v> </v>
      </c>
      <c r="K389" s="26" t="str">
        <f>IF(OR(E389="",E389="!!!",F389="NEW"),"",INDEX(J$1:J388,SUMPRODUCT(MAX(ROW(E$1:E388)*(E389=E$1:E388)))))</f>
        <v> </v>
      </c>
      <c r="L389" s="27"/>
    </row>
    <row r="390" spans="1:12">
      <c r="A390" s="20" t="s">
        <v>970</v>
      </c>
      <c r="B390" s="21" t="s">
        <v>780</v>
      </c>
      <c r="C390" s="21" t="s">
        <v>729</v>
      </c>
      <c r="D390" s="21" t="s">
        <v>730</v>
      </c>
      <c r="E390" s="22">
        <f>IF(D390="?OLD","!!!","")</f>
        <v/>
      </c>
      <c r="F390" s="23" t="str">
        <f>IF(OR(E390="",E390="!!!"),"",IF(NOT(ISNA(VLOOKUP(E390,E$1:E389,1,FALSE()))),"OLD",IF(AND(E390&lt;&gt;"",E390&lt;&gt;"!!!"),"NEW","")))</f>
        <v> </v>
      </c>
      <c r="G390" s="24" t="str">
        <f>IF(OR(E390="",E390="!!!"),"",IF(OR(J390=0,AND(J390=1,K390=1),AND(J390=1,I390="SBJ"),AND(J390=1,I390=0)),"?IN_FOCUS",IF(J390&lt;=2,"?ACTIVATED",IF(J390&lt;&gt;"","?FAMILIAR",IF(F390="NEW",IF(ISNA(VLOOKUP(E390,#REF!,1,FALSE())),"?TYPE_IDENTIFIABLE","?REFERENTIAL"),"_")))))</f>
        <v> </v>
      </c>
      <c r="H390" s="25" t="str">
        <f>IF(J390&lt;&gt;1,"",IF(I390="SBJ","CB","?"))</f>
        <v> </v>
      </c>
      <c r="I390" s="26" t="str">
        <f>IF(OR(E390="",E390="!!!",F390="NEW"),"",INDEX(B389:B$2,-1+SUMPRODUCT(MAX(ROW(E389:E$2)*(E390=E389:E$2)))))</f>
        <v> </v>
      </c>
      <c r="J390" s="26" t="str">
        <f>IF(OR(E390="",E390="!!!",F390="NEW"),"",COUNTBLANK(OFFSET(A$1,,,SUMPRODUCT(MAX(ROW(E$2:E390)*(E390=E$2:E390)))))-COUNTBLANK(OFFSET(A$1,,,SUMPRODUCT(MAX(ROW(E$1:E389)*(E2=E$1:E389))))))</f>
        <v> </v>
      </c>
      <c r="K390" s="26" t="str">
        <f>IF(OR(E390="",E390="!!!",F390="NEW"),"",INDEX(J$1:J389,SUMPRODUCT(MAX(ROW(E$1:E389)*(E390=E$1:E389)))))</f>
        <v> </v>
      </c>
      <c r="L390" s="27"/>
    </row>
    <row r="391" spans="1:12">
      <c r="A391" s="20" t="s">
        <v>971</v>
      </c>
      <c r="E391" s="22">
        <f>IF(D391="?OLD","!!!","")</f>
        <v/>
      </c>
      <c r="F391" s="23" t="str">
        <f>IF(OR(E391="",E391="!!!"),"",IF(NOT(ISNA(VLOOKUP(E391,E$1:E390,1,FALSE()))),"OLD",IF(AND(E391&lt;&gt;"",E391&lt;&gt;"!!!"),"NEW","")))</f>
        <v> </v>
      </c>
      <c r="G391" s="24" t="str">
        <f>IF(OR(E391="",E391="!!!"),"",IF(OR(J391=0,AND(J391=1,K391=1),AND(J391=1,I391="SBJ"),AND(J391=1,I391=0)),"?IN_FOCUS",IF(J391&lt;=2,"?ACTIVATED",IF(J391&lt;&gt;"","?FAMILIAR",IF(F391="NEW",IF(ISNA(VLOOKUP(E391,#REF!,1,FALSE())),"?TYPE_IDENTIFIABLE","?REFERENTIAL"),"_")))))</f>
        <v> </v>
      </c>
      <c r="H391" s="25" t="str">
        <f>IF(J391&lt;&gt;1,"",IF(I391="SBJ","CB","?"))</f>
        <v> </v>
      </c>
      <c r="I391" s="26" t="str">
        <f>IF(OR(E391="",E391="!!!",F391="NEW"),"",INDEX(B390:B$2,-1+SUMPRODUCT(MAX(ROW(E390:E$2)*(E391=E390:E$2)))))</f>
        <v> </v>
      </c>
      <c r="J391" s="26" t="str">
        <f>IF(OR(E391="",E391="!!!",F391="NEW"),"",COUNTBLANK(OFFSET(A$1,,,SUMPRODUCT(MAX(ROW(E$2:E391)*(E391=E$2:E391)))))-COUNTBLANK(OFFSET(A$1,,,SUMPRODUCT(MAX(ROW(E$1:E390)*(E2=E$1:E390))))))</f>
        <v> </v>
      </c>
      <c r="K391" s="26" t="str">
        <f>IF(OR(E391="",E391="!!!",F391="NEW"),"",INDEX(J$1:J390,SUMPRODUCT(MAX(ROW(E$1:E390)*(E391=E$1:E390)))))</f>
        <v> </v>
      </c>
      <c r="L391" s="27"/>
    </row>
    <row r="392" spans="1:12">
      <c r="A392" s="20" t="s">
        <v>972</v>
      </c>
      <c r="E392" s="22">
        <f>IF(D392="?OLD","!!!","")</f>
        <v/>
      </c>
      <c r="F392" s="23" t="str">
        <f>IF(OR(E392="",E392="!!!"),"",IF(NOT(ISNA(VLOOKUP(E392,E$1:E391,1,FALSE()))),"OLD",IF(AND(E392&lt;&gt;"",E392&lt;&gt;"!!!"),"NEW","")))</f>
        <v> </v>
      </c>
      <c r="G392" s="24" t="str">
        <f>IF(OR(E392="",E392="!!!"),"",IF(OR(J392=0,AND(J392=1,K392=1),AND(J392=1,I392="SBJ"),AND(J392=1,I392=0)),"?IN_FOCUS",IF(J392&lt;=2,"?ACTIVATED",IF(J392&lt;&gt;"","?FAMILIAR",IF(F392="NEW",IF(ISNA(VLOOKUP(E392,#REF!,1,FALSE())),"?TYPE_IDENTIFIABLE","?REFERENTIAL"),"_")))))</f>
        <v> </v>
      </c>
      <c r="H392" s="25" t="str">
        <f>IF(J392&lt;&gt;1,"",IF(I392="SBJ","CB","?"))</f>
        <v> </v>
      </c>
      <c r="I392" s="26" t="str">
        <f>IF(OR(E392="",E392="!!!",F392="NEW"),"",INDEX(B391:B$2,-1+SUMPRODUCT(MAX(ROW(E391:E$2)*(E392=E391:E$2)))))</f>
        <v> </v>
      </c>
      <c r="J392" s="26" t="str">
        <f>IF(OR(E392="",E392="!!!",F392="NEW"),"",COUNTBLANK(OFFSET(A$1,,,SUMPRODUCT(MAX(ROW(E$2:E392)*(E392=E$2:E392)))))-COUNTBLANK(OFFSET(A$1,,,SUMPRODUCT(MAX(ROW(E$1:E391)*(E2=E$1:E391))))))</f>
        <v> </v>
      </c>
      <c r="K392" s="26" t="str">
        <f>IF(OR(E392="",E392="!!!",F392="NEW"),"",INDEX(J$1:J391,SUMPRODUCT(MAX(ROW(E$1:E391)*(E392=E$1:E391)))))</f>
        <v> </v>
      </c>
      <c r="L392" s="27"/>
    </row>
    <row r="393" spans="1:12">
      <c r="A393" s="20" t="s">
        <v>864</v>
      </c>
      <c r="B393" s="21" t="s">
        <v>755</v>
      </c>
      <c r="C393" s="21" t="s">
        <v>740</v>
      </c>
      <c r="D393" s="21" t="s">
        <v>730</v>
      </c>
      <c r="E393" s="22">
        <f>IF(D393="?OLD","!!!","")</f>
        <v/>
      </c>
      <c r="F393" s="23" t="str">
        <f>IF(OR(E393="",E393="!!!"),"",IF(NOT(ISNA(VLOOKUP(E393,E$1:E392,1,FALSE()))),"OLD",IF(AND(E393&lt;&gt;"",E393&lt;&gt;"!!!"),"NEW","")))</f>
        <v> </v>
      </c>
      <c r="G393" s="24" t="str">
        <f>IF(OR(E393="",E393="!!!"),"",IF(OR(J393=0,AND(J393=1,K393=1),AND(J393=1,I393="SBJ"),AND(J393=1,I393=0)),"?IN_FOCUS",IF(J393&lt;=2,"?ACTIVATED",IF(J393&lt;&gt;"","?FAMILIAR",IF(F393="NEW",IF(ISNA(VLOOKUP(E393,#REF!,1,FALSE())),"?TYPE_IDENTIFIABLE","?REFERENTIAL"),"_")))))</f>
        <v> </v>
      </c>
      <c r="H393" s="25" t="str">
        <f>IF(J393&lt;&gt;1,"",IF(I393="SBJ","CB","?"))</f>
        <v> </v>
      </c>
      <c r="I393" s="26" t="str">
        <f>IF(OR(E393="",E393="!!!",F393="NEW"),"",INDEX(B392:B$2,-1+SUMPRODUCT(MAX(ROW(E392:E$2)*(E393=E392:E$2)))))</f>
        <v> </v>
      </c>
      <c r="J393" s="26" t="str">
        <f>IF(OR(E393="",E393="!!!",F393="NEW"),"",COUNTBLANK(OFFSET(A$1,,,SUMPRODUCT(MAX(ROW(E$2:E393)*(E393=E$2:E393)))))-COUNTBLANK(OFFSET(A$1,,,SUMPRODUCT(MAX(ROW(E$1:E392)*(E2=E$1:E392))))))</f>
        <v> </v>
      </c>
      <c r="K393" s="26" t="str">
        <f>IF(OR(E393="",E393="!!!",F393="NEW"),"",INDEX(J$1:J392,SUMPRODUCT(MAX(ROW(E$1:E392)*(E393=E$1:E392)))))</f>
        <v> </v>
      </c>
      <c r="L393" s="27"/>
    </row>
    <row r="394" spans="1:12">
      <c r="A394" s="20" t="s">
        <v>973</v>
      </c>
      <c r="E394" s="22">
        <f>IF(D394="?OLD","!!!","")</f>
        <v/>
      </c>
      <c r="F394" s="23" t="str">
        <f>IF(OR(E394="",E394="!!!"),"",IF(NOT(ISNA(VLOOKUP(E394,E$1:E393,1,FALSE()))),"OLD",IF(AND(E394&lt;&gt;"",E394&lt;&gt;"!!!"),"NEW","")))</f>
        <v> </v>
      </c>
      <c r="G394" s="24" t="str">
        <f>IF(OR(E394="",E394="!!!"),"",IF(OR(J394=0,AND(J394=1,K394=1),AND(J394=1,I394="SBJ"),AND(J394=1,I394=0)),"?IN_FOCUS",IF(J394&lt;=2,"?ACTIVATED",IF(J394&lt;&gt;"","?FAMILIAR",IF(F394="NEW",IF(ISNA(VLOOKUP(E394,#REF!,1,FALSE())),"?TYPE_IDENTIFIABLE","?REFERENTIAL"),"_")))))</f>
        <v> </v>
      </c>
      <c r="H394" s="25" t="str">
        <f>IF(J394&lt;&gt;1,"",IF(I394="SBJ","CB","?"))</f>
        <v> </v>
      </c>
      <c r="I394" s="26" t="str">
        <f>IF(OR(E394="",E394="!!!",F394="NEW"),"",INDEX(B393:B$2,-1+SUMPRODUCT(MAX(ROW(E393:E$2)*(E394=E393:E$2)))))</f>
        <v> </v>
      </c>
      <c r="J394" s="26" t="str">
        <f>IF(OR(E394="",E394="!!!",F394="NEW"),"",COUNTBLANK(OFFSET(A$1,,,SUMPRODUCT(MAX(ROW(E$2:E394)*(E394=E$2:E394)))))-COUNTBLANK(OFFSET(A$1,,,SUMPRODUCT(MAX(ROW(E$1:E393)*(E2=E$1:E393))))))</f>
        <v> </v>
      </c>
      <c r="K394" s="26" t="str">
        <f>IF(OR(E394="",E394="!!!",F394="NEW"),"",INDEX(J$1:J393,SUMPRODUCT(MAX(ROW(E$1:E393)*(E394=E$1:E393)))))</f>
        <v> </v>
      </c>
      <c r="L394" s="27"/>
    </row>
    <row r="395" spans="1:12">
      <c r="A395" s="20" t="s">
        <v>871</v>
      </c>
      <c r="B395" s="21" t="s">
        <v>843</v>
      </c>
      <c r="C395" s="21" t="s">
        <v>748</v>
      </c>
      <c r="E395" s="22">
        <f>IF(D395="?OLD","!!!","")</f>
        <v/>
      </c>
      <c r="F395" s="23" t="str">
        <f>IF(OR(E395="",E395="!!!"),"",IF(NOT(ISNA(VLOOKUP(E395,E$1:E394,1,FALSE()))),"OLD",IF(AND(E395&lt;&gt;"",E395&lt;&gt;"!!!"),"NEW","")))</f>
        <v> </v>
      </c>
      <c r="G395" s="24" t="str">
        <f>IF(OR(E395="",E395="!!!"),"",IF(OR(J395=0,AND(J395=1,K395=1),AND(J395=1,I395="SBJ"),AND(J395=1,I395=0)),"?IN_FOCUS",IF(J395&lt;=2,"?ACTIVATED",IF(J395&lt;&gt;"","?FAMILIAR",IF(F395="NEW",IF(ISNA(VLOOKUP(E395,#REF!,1,FALSE())),"?TYPE_IDENTIFIABLE","?REFERENTIAL"),"_")))))</f>
        <v> </v>
      </c>
      <c r="H395" s="25" t="str">
        <f>IF(J395&lt;&gt;1,"",IF(I395="SBJ","CB","?"))</f>
        <v> </v>
      </c>
      <c r="I395" s="26" t="str">
        <f>IF(OR(E395="",E395="!!!",F395="NEW"),"",INDEX(B394:B$2,-1+SUMPRODUCT(MAX(ROW(E394:E$2)*(E395=E394:E$2)))))</f>
        <v> </v>
      </c>
      <c r="J395" s="26" t="str">
        <f>IF(OR(E395="",E395="!!!",F395="NEW"),"",COUNTBLANK(OFFSET(A$1,,,SUMPRODUCT(MAX(ROW(E$2:E395)*(E395=E$2:E395)))))-COUNTBLANK(OFFSET(A$1,,,SUMPRODUCT(MAX(ROW(E$1:E394)*(E2=E$1:E394))))))</f>
        <v> </v>
      </c>
      <c r="K395" s="26" t="str">
        <f>IF(OR(E395="",E395="!!!",F395="NEW"),"",INDEX(J$1:J394,SUMPRODUCT(MAX(ROW(E$1:E394)*(E395=E$1:E394)))))</f>
        <v> </v>
      </c>
      <c r="L395" s="27"/>
    </row>
    <row r="396" spans="1:12">
      <c r="A396" s="20" t="s">
        <v>974</v>
      </c>
      <c r="E396" s="22">
        <f>IF(D396="?OLD","!!!","")</f>
        <v/>
      </c>
      <c r="F396" s="23" t="str">
        <f>IF(OR(E396="",E396="!!!"),"",IF(NOT(ISNA(VLOOKUP(E396,E$1:E395,1,FALSE()))),"OLD",IF(AND(E396&lt;&gt;"",E396&lt;&gt;"!!!"),"NEW","")))</f>
        <v> </v>
      </c>
      <c r="G396" s="24" t="str">
        <f>IF(OR(E396="",E396="!!!"),"",IF(OR(J396=0,AND(J396=1,K396=1),AND(J396=1,I396="SBJ"),AND(J396=1,I396=0)),"?IN_FOCUS",IF(J396&lt;=2,"?ACTIVATED",IF(J396&lt;&gt;"","?FAMILIAR",IF(F396="NEW",IF(ISNA(VLOOKUP(E396,#REF!,1,FALSE())),"?TYPE_IDENTIFIABLE","?REFERENTIAL"),"_")))))</f>
        <v> </v>
      </c>
      <c r="H396" s="25" t="str">
        <f>IF(J396&lt;&gt;1,"",IF(I396="SBJ","CB","?"))</f>
        <v> </v>
      </c>
      <c r="I396" s="26" t="str">
        <f>IF(OR(E396="",E396="!!!",F396="NEW"),"",INDEX(B395:B$2,-1+SUMPRODUCT(MAX(ROW(E395:E$2)*(E396=E395:E$2)))))</f>
        <v> </v>
      </c>
      <c r="J396" s="26" t="str">
        <f>IF(OR(E396="",E396="!!!",F396="NEW"),"",COUNTBLANK(OFFSET(A$1,,,SUMPRODUCT(MAX(ROW(E$2:E396)*(E396=E$2:E396)))))-COUNTBLANK(OFFSET(A$1,,,SUMPRODUCT(MAX(ROW(E$1:E395)*(E2=E$1:E395))))))</f>
        <v> </v>
      </c>
      <c r="K396" s="26" t="str">
        <f>IF(OR(E396="",E396="!!!",F396="NEW"),"",INDEX(J$1:J395,SUMPRODUCT(MAX(ROW(E$1:E395)*(E396=E$1:E395)))))</f>
        <v> </v>
      </c>
      <c r="L396" s="27"/>
    </row>
    <row r="397" spans="1:12">
      <c r="A397" s="20" t="s">
        <v>759</v>
      </c>
      <c r="E397" s="22">
        <f>IF(D397="?OLD","!!!","")</f>
        <v/>
      </c>
      <c r="F397" s="23" t="str">
        <f>IF(OR(E397="",E397="!!!"),"",IF(NOT(ISNA(VLOOKUP(E397,E$1:E396,1,FALSE()))),"OLD",IF(AND(E397&lt;&gt;"",E397&lt;&gt;"!!!"),"NEW","")))</f>
        <v> </v>
      </c>
      <c r="G397" s="24" t="str">
        <f>IF(OR(E397="",E397="!!!"),"",IF(OR(J397=0,AND(J397=1,K397=1),AND(J397=1,I397="SBJ"),AND(J397=1,I397=0)),"?IN_FOCUS",IF(J397&lt;=2,"?ACTIVATED",IF(J397&lt;&gt;"","?FAMILIAR",IF(F397="NEW",IF(ISNA(VLOOKUP(E397,#REF!,1,FALSE())),"?TYPE_IDENTIFIABLE","?REFERENTIAL"),"_")))))</f>
        <v> </v>
      </c>
      <c r="H397" s="25" t="str">
        <f>IF(J397&lt;&gt;1,"",IF(I397="SBJ","CB","?"))</f>
        <v> </v>
      </c>
      <c r="I397" s="26" t="str">
        <f>IF(OR(E397="",E397="!!!",F397="NEW"),"",INDEX(B396:B$2,-1+SUMPRODUCT(MAX(ROW(E396:E$2)*(E397=E396:E$2)))))</f>
        <v> </v>
      </c>
      <c r="J397" s="26" t="str">
        <f>IF(OR(E397="",E397="!!!",F397="NEW"),"",COUNTBLANK(OFFSET(A$1,,,SUMPRODUCT(MAX(ROW(E$2:E397)*(E397=E$2:E397)))))-COUNTBLANK(OFFSET(A$1,,,SUMPRODUCT(MAX(ROW(E$1:E396)*(E2=E$1:E396))))))</f>
        <v> </v>
      </c>
      <c r="K397" s="26" t="str">
        <f>IF(OR(E397="",E397="!!!",F397="NEW"),"",INDEX(J$1:J396,SUMPRODUCT(MAX(ROW(E$1:E396)*(E397=E$1:E396)))))</f>
        <v> </v>
      </c>
      <c r="L397" s="27"/>
    </row>
    <row r="398" spans="1:12">
      <c r="A398" s="20" t="s">
        <v>811</v>
      </c>
      <c r="E398" s="22">
        <f>IF(D398="?OLD","!!!","")</f>
        <v/>
      </c>
      <c r="F398" s="23" t="str">
        <f>IF(OR(E398="",E398="!!!"),"",IF(NOT(ISNA(VLOOKUP(E398,E$1:E397,1,FALSE()))),"OLD",IF(AND(E398&lt;&gt;"",E398&lt;&gt;"!!!"),"NEW","")))</f>
        <v> </v>
      </c>
      <c r="G398" s="24" t="str">
        <f>IF(OR(E398="",E398="!!!"),"",IF(OR(J398=0,AND(J398=1,K398=1),AND(J398=1,I398="SBJ"),AND(J398=1,I398=0)),"?IN_FOCUS",IF(J398&lt;=2,"?ACTIVATED",IF(J398&lt;&gt;"","?FAMILIAR",IF(F398="NEW",IF(ISNA(VLOOKUP(E398,#REF!,1,FALSE())),"?TYPE_IDENTIFIABLE","?REFERENTIAL"),"_")))))</f>
        <v> </v>
      </c>
      <c r="H398" s="25" t="str">
        <f>IF(J398&lt;&gt;1,"",IF(I398="SBJ","CB","?"))</f>
        <v> </v>
      </c>
      <c r="I398" s="26" t="str">
        <f>IF(OR(E398="",E398="!!!",F398="NEW"),"",INDEX(B397:B$2,-1+SUMPRODUCT(MAX(ROW(E397:E$2)*(E398=E397:E$2)))))</f>
        <v> </v>
      </c>
      <c r="J398" s="26" t="str">
        <f>IF(OR(E398="",E398="!!!",F398="NEW"),"",COUNTBLANK(OFFSET(A$1,,,SUMPRODUCT(MAX(ROW(E$2:E398)*(E398=E$2:E398)))))-COUNTBLANK(OFFSET(A$1,,,SUMPRODUCT(MAX(ROW(E$1:E397)*(E2=E$1:E397))))))</f>
        <v> </v>
      </c>
      <c r="K398" s="26" t="str">
        <f>IF(OR(E398="",E398="!!!",F398="NEW"),"",INDEX(J$1:J397,SUMPRODUCT(MAX(ROW(E$1:E397)*(E398=E$1:E397)))))</f>
        <v> </v>
      </c>
      <c r="L398" s="27"/>
    </row>
    <row r="399" spans="1:12">
      <c r="A399" s="20" t="s">
        <v>757</v>
      </c>
      <c r="E399" s="22">
        <f>IF(D399="?OLD","!!!","")</f>
        <v/>
      </c>
      <c r="F399" s="23" t="str">
        <f>IF(OR(E399="",E399="!!!"),"",IF(NOT(ISNA(VLOOKUP(E399,E$1:E398,1,FALSE()))),"OLD",IF(AND(E399&lt;&gt;"",E399&lt;&gt;"!!!"),"NEW","")))</f>
        <v> </v>
      </c>
      <c r="G399" s="24" t="str">
        <f>IF(OR(E399="",E399="!!!"),"",IF(OR(J399=0,AND(J399=1,K399=1),AND(J399=1,I399="SBJ"),AND(J399=1,I399=0)),"?IN_FOCUS",IF(J399&lt;=2,"?ACTIVATED",IF(J399&lt;&gt;"","?FAMILIAR",IF(F399="NEW",IF(ISNA(VLOOKUP(E399,#REF!,1,FALSE())),"?TYPE_IDENTIFIABLE","?REFERENTIAL"),"_")))))</f>
        <v> </v>
      </c>
      <c r="H399" s="25" t="str">
        <f>IF(J399&lt;&gt;1,"",IF(I399="SBJ","CB","?"))</f>
        <v> </v>
      </c>
      <c r="I399" s="26" t="str">
        <f>IF(OR(E399="",E399="!!!",F399="NEW"),"",INDEX(B398:B$2,-1+SUMPRODUCT(MAX(ROW(E398:E$2)*(E399=E398:E$2)))))</f>
        <v> </v>
      </c>
      <c r="J399" s="26" t="str">
        <f>IF(OR(E399="",E399="!!!",F399="NEW"),"",COUNTBLANK(OFFSET(A$1,,,SUMPRODUCT(MAX(ROW(E$2:E399)*(E399=E$2:E399)))))-COUNTBLANK(OFFSET(A$1,,,SUMPRODUCT(MAX(ROW(E$1:E398)*(E2=E$1:E398))))))</f>
        <v> </v>
      </c>
      <c r="K399" s="26" t="str">
        <f>IF(OR(E399="",E399="!!!",F399="NEW"),"",INDEX(J$1:J398,SUMPRODUCT(MAX(ROW(E$1:E398)*(E399=E$1:E398)))))</f>
        <v> </v>
      </c>
      <c r="L399" s="27"/>
    </row>
    <row r="400" spans="1:12">
      <c r="A400" s="20" t="s">
        <v>975</v>
      </c>
      <c r="B400" s="21" t="s">
        <v>728</v>
      </c>
      <c r="C400" s="21" t="s">
        <v>753</v>
      </c>
      <c r="D400" s="21" t="s">
        <v>730</v>
      </c>
      <c r="E400" s="22">
        <f>IF(D400="?OLD","!!!","")</f>
        <v/>
      </c>
      <c r="F400" s="23" t="str">
        <f>IF(OR(E400="",E400="!!!"),"",IF(NOT(ISNA(VLOOKUP(E400,E$1:E399,1,FALSE()))),"OLD",IF(AND(E400&lt;&gt;"",E400&lt;&gt;"!!!"),"NEW","")))</f>
        <v> </v>
      </c>
      <c r="G400" s="24" t="str">
        <f>IF(OR(E400="",E400="!!!"),"",IF(OR(J400=0,AND(J400=1,K400=1),AND(J400=1,I400="SBJ"),AND(J400=1,I400=0)),"?IN_FOCUS",IF(J400&lt;=2,"?ACTIVATED",IF(J400&lt;&gt;"","?FAMILIAR",IF(F400="NEW",IF(ISNA(VLOOKUP(E400,#REF!,1,FALSE())),"?TYPE_IDENTIFIABLE","?REFERENTIAL"),"_")))))</f>
        <v> </v>
      </c>
      <c r="H400" s="25" t="str">
        <f>IF(J400&lt;&gt;1,"",IF(I400="SBJ","CB","?"))</f>
        <v> </v>
      </c>
      <c r="I400" s="26" t="str">
        <f>IF(OR(E400="",E400="!!!",F400="NEW"),"",INDEX(B399:B$2,-1+SUMPRODUCT(MAX(ROW(E399:E$2)*(E400=E399:E$2)))))</f>
        <v> </v>
      </c>
      <c r="J400" s="26" t="str">
        <f>IF(OR(E400="",E400="!!!",F400="NEW"),"",COUNTBLANK(OFFSET(A$1,,,SUMPRODUCT(MAX(ROW(E$2:E400)*(E400=E$2:E400)))))-COUNTBLANK(OFFSET(A$1,,,SUMPRODUCT(MAX(ROW(E$1:E399)*(E2=E$1:E399))))))</f>
        <v> </v>
      </c>
      <c r="K400" s="26" t="str">
        <f>IF(OR(E400="",E400="!!!",F400="NEW"),"",INDEX(J$1:J399,SUMPRODUCT(MAX(ROW(E$1:E399)*(E400=E$1:E399)))))</f>
        <v> </v>
      </c>
      <c r="L400" s="27"/>
    </row>
    <row r="401" spans="1:12">
      <c r="A401" s="20" t="s">
        <v>972</v>
      </c>
      <c r="E401" s="22">
        <f>IF(D401="?OLD","!!!","")</f>
        <v/>
      </c>
      <c r="F401" s="23" t="str">
        <f>IF(OR(E401="",E401="!!!"),"",IF(NOT(ISNA(VLOOKUP(E401,E$1:E400,1,FALSE()))),"OLD",IF(AND(E401&lt;&gt;"",E401&lt;&gt;"!!!"),"NEW","")))</f>
        <v> </v>
      </c>
      <c r="G401" s="24" t="str">
        <f>IF(OR(E401="",E401="!!!"),"",IF(OR(J401=0,AND(J401=1,K401=1),AND(J401=1,I401="SBJ"),AND(J401=1,I401=0)),"?IN_FOCUS",IF(J401&lt;=2,"?ACTIVATED",IF(J401&lt;&gt;"","?FAMILIAR",IF(F401="NEW",IF(ISNA(VLOOKUP(E401,#REF!,1,FALSE())),"?TYPE_IDENTIFIABLE","?REFERENTIAL"),"_")))))</f>
        <v> </v>
      </c>
      <c r="H401" s="25" t="str">
        <f>IF(J401&lt;&gt;1,"",IF(I401="SBJ","CB","?"))</f>
        <v> </v>
      </c>
      <c r="I401" s="26" t="str">
        <f>IF(OR(E401="",E401="!!!",F401="NEW"),"",INDEX(B400:B$2,-1+SUMPRODUCT(MAX(ROW(E400:E$2)*(E401=E400:E$2)))))</f>
        <v> </v>
      </c>
      <c r="J401" s="26" t="str">
        <f>IF(OR(E401="",E401="!!!",F401="NEW"),"",COUNTBLANK(OFFSET(A$1,,,SUMPRODUCT(MAX(ROW(E$2:E401)*(E401=E$2:E401)))))-COUNTBLANK(OFFSET(A$1,,,SUMPRODUCT(MAX(ROW(E$1:E400)*(E2=E$1:E400))))))</f>
        <v> </v>
      </c>
      <c r="K401" s="26" t="str">
        <f>IF(OR(E401="",E401="!!!",F401="NEW"),"",INDEX(J$1:J400,SUMPRODUCT(MAX(ROW(E$1:E400)*(E401=E$1:E400)))))</f>
        <v> </v>
      </c>
      <c r="L401" s="27"/>
    </row>
    <row r="402" spans="1:12">
      <c r="A402" s="20" t="s">
        <v>762</v>
      </c>
      <c r="E402" s="22">
        <f>IF(D402="?OLD","!!!","")</f>
        <v/>
      </c>
      <c r="F402" s="23" t="str">
        <f>IF(OR(E402="",E402="!!!"),"",IF(NOT(ISNA(VLOOKUP(E402,E$1:E401,1,FALSE()))),"OLD",IF(AND(E402&lt;&gt;"",E402&lt;&gt;"!!!"),"NEW","")))</f>
        <v> </v>
      </c>
      <c r="G402" s="24" t="str">
        <f>IF(OR(E402="",E402="!!!"),"",IF(OR(J402=0,AND(J402=1,K402=1),AND(J402=1,I402="SBJ"),AND(J402=1,I402=0)),"?IN_FOCUS",IF(J402&lt;=2,"?ACTIVATED",IF(J402&lt;&gt;"","?FAMILIAR",IF(F402="NEW",IF(ISNA(VLOOKUP(E402,#REF!,1,FALSE())),"?TYPE_IDENTIFIABLE","?REFERENTIAL"),"_")))))</f>
        <v> </v>
      </c>
      <c r="H402" s="25" t="str">
        <f>IF(J402&lt;&gt;1,"",IF(I402="SBJ","CB","?"))</f>
        <v> </v>
      </c>
      <c r="I402" s="26" t="str">
        <f>IF(OR(E402="",E402="!!!",F402="NEW"),"",INDEX(B401:B$2,-1+SUMPRODUCT(MAX(ROW(E401:E$2)*(E402=E401:E$2)))))</f>
        <v> </v>
      </c>
      <c r="J402" s="26" t="str">
        <f>IF(OR(E402="",E402="!!!",F402="NEW"),"",COUNTBLANK(OFFSET(A$1,,,SUMPRODUCT(MAX(ROW(E$2:E402)*(E402=E$2:E402)))))-COUNTBLANK(OFFSET(A$1,,,SUMPRODUCT(MAX(ROW(E$1:E401)*(E2=E$1:E401))))))</f>
        <v> </v>
      </c>
      <c r="K402" s="26" t="str">
        <f>IF(OR(E402="",E402="!!!",F402="NEW"),"",INDEX(J$1:J401,SUMPRODUCT(MAX(ROW(E$1:E401)*(E402=E$1:E401)))))</f>
        <v> </v>
      </c>
      <c r="L402" s="27"/>
    </row>
    <row r="403" spans="1:12">
      <c r="A403" s="20" t="s">
        <v>872</v>
      </c>
      <c r="B403" s="21" t="s">
        <v>736</v>
      </c>
      <c r="C403" s="21" t="s">
        <v>789</v>
      </c>
      <c r="D403" s="21" t="s">
        <v>730</v>
      </c>
      <c r="E403" s="22">
        <f>IF(D403="?OLD","!!!","")</f>
        <v/>
      </c>
      <c r="F403" s="23" t="str">
        <f>IF(OR(E403="",E403="!!!"),"",IF(NOT(ISNA(VLOOKUP(E403,E$1:E402,1,FALSE()))),"OLD",IF(AND(E403&lt;&gt;"",E403&lt;&gt;"!!!"),"NEW","")))</f>
        <v> </v>
      </c>
      <c r="G403" s="24" t="str">
        <f>IF(OR(E403="",E403="!!!"),"",IF(OR(J403=0,AND(J403=1,K403=1),AND(J403=1,I403="SBJ"),AND(J403=1,I403=0)),"?IN_FOCUS",IF(J403&lt;=2,"?ACTIVATED",IF(J403&lt;&gt;"","?FAMILIAR",IF(F403="NEW",IF(ISNA(VLOOKUP(E403,#REF!,1,FALSE())),"?TYPE_IDENTIFIABLE","?REFERENTIAL"),"_")))))</f>
        <v> </v>
      </c>
      <c r="H403" s="25" t="str">
        <f>IF(J403&lt;&gt;1,"",IF(I403="SBJ","CB","?"))</f>
        <v> </v>
      </c>
      <c r="I403" s="26" t="str">
        <f>IF(OR(E403="",E403="!!!",F403="NEW"),"",INDEX(B402:B$2,-1+SUMPRODUCT(MAX(ROW(E402:E$2)*(E403=E402:E$2)))))</f>
        <v> </v>
      </c>
      <c r="J403" s="26" t="str">
        <f>IF(OR(E403="",E403="!!!",F403="NEW"),"",COUNTBLANK(OFFSET(A$1,,,SUMPRODUCT(MAX(ROW(E$2:E403)*(E403=E$2:E403)))))-COUNTBLANK(OFFSET(A$1,,,SUMPRODUCT(MAX(ROW(E$1:E402)*(E2=E$1:E402))))))</f>
        <v> </v>
      </c>
      <c r="K403" s="26" t="str">
        <f>IF(OR(E403="",E403="!!!",F403="NEW"),"",INDEX(J$1:J402,SUMPRODUCT(MAX(ROW(E$1:E402)*(E403=E$1:E402)))))</f>
        <v> </v>
      </c>
      <c r="L403" s="27"/>
    </row>
    <row r="404" spans="1:12">
      <c r="A404" s="20" t="s">
        <v>976</v>
      </c>
      <c r="E404" s="22">
        <f>IF(D404="?OLD","!!!","")</f>
        <v/>
      </c>
      <c r="F404" s="23" t="str">
        <f>IF(OR(E404="",E404="!!!"),"",IF(NOT(ISNA(VLOOKUP(E404,E$1:E403,1,FALSE()))),"OLD",IF(AND(E404&lt;&gt;"",E404&lt;&gt;"!!!"),"NEW","")))</f>
        <v> </v>
      </c>
      <c r="G404" s="24" t="str">
        <f>IF(OR(E404="",E404="!!!"),"",IF(OR(J404=0,AND(J404=1,K404=1),AND(J404=1,I404="SBJ"),AND(J404=1,I404=0)),"?IN_FOCUS",IF(J404&lt;=2,"?ACTIVATED",IF(J404&lt;&gt;"","?FAMILIAR",IF(F404="NEW",IF(ISNA(VLOOKUP(E404,#REF!,1,FALSE())),"?TYPE_IDENTIFIABLE","?REFERENTIAL"),"_")))))</f>
        <v> </v>
      </c>
      <c r="H404" s="25" t="str">
        <f>IF(J404&lt;&gt;1,"",IF(I404="SBJ","CB","?"))</f>
        <v> </v>
      </c>
      <c r="I404" s="26" t="str">
        <f>IF(OR(E404="",E404="!!!",F404="NEW"),"",INDEX(B403:B$2,-1+SUMPRODUCT(MAX(ROW(E403:E$2)*(E404=E403:E$2)))))</f>
        <v> </v>
      </c>
      <c r="J404" s="26" t="str">
        <f>IF(OR(E404="",E404="!!!",F404="NEW"),"",COUNTBLANK(OFFSET(A$1,,,SUMPRODUCT(MAX(ROW(E$2:E404)*(E404=E$2:E404)))))-COUNTBLANK(OFFSET(A$1,,,SUMPRODUCT(MAX(ROW(E$1:E403)*(E2=E$1:E403))))))</f>
        <v> </v>
      </c>
      <c r="K404" s="26" t="str">
        <f>IF(OR(E404="",E404="!!!",F404="NEW"),"",INDEX(J$1:J403,SUMPRODUCT(MAX(ROW(E$1:E403)*(E404=E$1:E403)))))</f>
        <v> </v>
      </c>
      <c r="L404" s="27"/>
    </row>
    <row r="405" spans="1:12">
      <c r="A405" s="20" t="s">
        <v>977</v>
      </c>
      <c r="B405" s="21" t="s">
        <v>736</v>
      </c>
      <c r="C405" s="21" t="s">
        <v>978</v>
      </c>
      <c r="D405" s="21" t="s">
        <v>730</v>
      </c>
      <c r="E405" s="22">
        <f>IF(D405="?OLD","!!!","")</f>
        <v/>
      </c>
      <c r="F405" s="23" t="str">
        <f>IF(OR(E405="",E405="!!!"),"",IF(NOT(ISNA(VLOOKUP(E405,E$1:E404,1,FALSE()))),"OLD",IF(AND(E405&lt;&gt;"",E405&lt;&gt;"!!!"),"NEW","")))</f>
        <v> </v>
      </c>
      <c r="G405" s="24" t="str">
        <f>IF(OR(E405="",E405="!!!"),"",IF(OR(J405=0,AND(J405=1,K405=1),AND(J405=1,I405="SBJ"),AND(J405=1,I405=0)),"?IN_FOCUS",IF(J405&lt;=2,"?ACTIVATED",IF(J405&lt;&gt;"","?FAMILIAR",IF(F405="NEW",IF(ISNA(VLOOKUP(E405,#REF!,1,FALSE())),"?TYPE_IDENTIFIABLE","?REFERENTIAL"),"_")))))</f>
        <v> </v>
      </c>
      <c r="H405" s="25" t="str">
        <f>IF(J405&lt;&gt;1,"",IF(I405="SBJ","CB","?"))</f>
        <v> </v>
      </c>
      <c r="I405" s="26" t="str">
        <f>IF(OR(E405="",E405="!!!",F405="NEW"),"",INDEX(B404:B$2,-1+SUMPRODUCT(MAX(ROW(E404:E$2)*(E405=E404:E$2)))))</f>
        <v> </v>
      </c>
      <c r="J405" s="26" t="str">
        <f>IF(OR(E405="",E405="!!!",F405="NEW"),"",COUNTBLANK(OFFSET(A$1,,,SUMPRODUCT(MAX(ROW(E$2:E405)*(E405=E$2:E405)))))-COUNTBLANK(OFFSET(A$1,,,SUMPRODUCT(MAX(ROW(E$1:E404)*(E2=E$1:E404))))))</f>
        <v> </v>
      </c>
      <c r="K405" s="26" t="str">
        <f>IF(OR(E405="",E405="!!!",F405="NEW"),"",INDEX(J$1:J404,SUMPRODUCT(MAX(ROW(E$1:E404)*(E405=E$1:E404)))))</f>
        <v> </v>
      </c>
      <c r="L405" s="27"/>
    </row>
    <row r="406" spans="1:12">
      <c r="A406" s="20" t="s">
        <v>842</v>
      </c>
      <c r="B406" s="21" t="s">
        <v>728</v>
      </c>
      <c r="C406" s="21" t="s">
        <v>748</v>
      </c>
      <c r="E406" s="22">
        <f>IF(D406="?OLD","!!!","")</f>
        <v/>
      </c>
      <c r="F406" s="23" t="str">
        <f>IF(OR(E406="",E406="!!!"),"",IF(NOT(ISNA(VLOOKUP(E406,E$1:E405,1,FALSE()))),"OLD",IF(AND(E406&lt;&gt;"",E406&lt;&gt;"!!!"),"NEW","")))</f>
        <v> </v>
      </c>
      <c r="G406" s="24" t="str">
        <f>IF(OR(E406="",E406="!!!"),"",IF(OR(J406=0,AND(J406=1,K406=1),AND(J406=1,I406="SBJ"),AND(J406=1,I406=0)),"?IN_FOCUS",IF(J406&lt;=2,"?ACTIVATED",IF(J406&lt;&gt;"","?FAMILIAR",IF(F406="NEW",IF(ISNA(VLOOKUP(E406,#REF!,1,FALSE())),"?TYPE_IDENTIFIABLE","?REFERENTIAL"),"_")))))</f>
        <v> </v>
      </c>
      <c r="H406" s="25" t="str">
        <f>IF(J406&lt;&gt;1,"",IF(I406="SBJ","CB","?"))</f>
        <v> </v>
      </c>
      <c r="I406" s="26" t="str">
        <f>IF(OR(E406="",E406="!!!",F406="NEW"),"",INDEX(B405:B$2,-1+SUMPRODUCT(MAX(ROW(E405:E$2)*(E406=E405:E$2)))))</f>
        <v> </v>
      </c>
      <c r="J406" s="26" t="str">
        <f>IF(OR(E406="",E406="!!!",F406="NEW"),"",COUNTBLANK(OFFSET(A$1,,,SUMPRODUCT(MAX(ROW(E$2:E406)*(E406=E$2:E406)))))-COUNTBLANK(OFFSET(A$1,,,SUMPRODUCT(MAX(ROW(E$1:E405)*(E2=E$1:E405))))))</f>
        <v> </v>
      </c>
      <c r="K406" s="26" t="str">
        <f>IF(OR(E406="",E406="!!!",F406="NEW"),"",INDEX(J$1:J405,SUMPRODUCT(MAX(ROW(E$1:E405)*(E406=E$1:E405)))))</f>
        <v> </v>
      </c>
      <c r="L406" s="27"/>
    </row>
    <row r="407" spans="1:12">
      <c r="A407" s="20" t="s">
        <v>979</v>
      </c>
      <c r="E407" s="22">
        <f>IF(D407="?OLD","!!!","")</f>
        <v/>
      </c>
      <c r="F407" s="23" t="str">
        <f>IF(OR(E407="",E407="!!!"),"",IF(NOT(ISNA(VLOOKUP(E407,E$1:E406,1,FALSE()))),"OLD",IF(AND(E407&lt;&gt;"",E407&lt;&gt;"!!!"),"NEW","")))</f>
        <v> </v>
      </c>
      <c r="G407" s="24" t="str">
        <f>IF(OR(E407="",E407="!!!"),"",IF(OR(J407=0,AND(J407=1,K407=1),AND(J407=1,I407="SBJ"),AND(J407=1,I407=0)),"?IN_FOCUS",IF(J407&lt;=2,"?ACTIVATED",IF(J407&lt;&gt;"","?FAMILIAR",IF(F407="NEW",IF(ISNA(VLOOKUP(E407,#REF!,1,FALSE())),"?TYPE_IDENTIFIABLE","?REFERENTIAL"),"_")))))</f>
        <v> </v>
      </c>
      <c r="H407" s="25" t="str">
        <f>IF(J407&lt;&gt;1,"",IF(I407="SBJ","CB","?"))</f>
        <v> </v>
      </c>
      <c r="I407" s="26" t="str">
        <f>IF(OR(E407="",E407="!!!",F407="NEW"),"",INDEX(B406:B$2,-1+SUMPRODUCT(MAX(ROW(E406:E$2)*(E407=E406:E$2)))))</f>
        <v> </v>
      </c>
      <c r="J407" s="26" t="str">
        <f>IF(OR(E407="",E407="!!!",F407="NEW"),"",COUNTBLANK(OFFSET(A$1,,,SUMPRODUCT(MAX(ROW(E$2:E407)*(E407=E$2:E407)))))-COUNTBLANK(OFFSET(A$1,,,SUMPRODUCT(MAX(ROW(E$1:E406)*(E2=E$1:E406))))))</f>
        <v> </v>
      </c>
      <c r="K407" s="26" t="str">
        <f>IF(OR(E407="",E407="!!!",F407="NEW"),"",INDEX(J$1:J406,SUMPRODUCT(MAX(ROW(E$1:E406)*(E407=E$1:E406)))))</f>
        <v> </v>
      </c>
      <c r="L407" s="27"/>
    </row>
    <row r="408" spans="1:12">
      <c r="A408" s="20" t="s">
        <v>742</v>
      </c>
      <c r="E408" s="22">
        <f>IF(D408="?OLD","!!!","")</f>
        <v/>
      </c>
      <c r="F408" s="23" t="str">
        <f>IF(OR(E408="",E408="!!!"),"",IF(NOT(ISNA(VLOOKUP(E408,E$1:E407,1,FALSE()))),"OLD",IF(AND(E408&lt;&gt;"",E408&lt;&gt;"!!!"),"NEW","")))</f>
        <v> </v>
      </c>
      <c r="G408" s="24" t="str">
        <f>IF(OR(E408="",E408="!!!"),"",IF(OR(J408=0,AND(J408=1,K408=1),AND(J408=1,I408="SBJ"),AND(J408=1,I408=0)),"?IN_FOCUS",IF(J408&lt;=2,"?ACTIVATED",IF(J408&lt;&gt;"","?FAMILIAR",IF(F408="NEW",IF(ISNA(VLOOKUP(E408,#REF!,1,FALSE())),"?TYPE_IDENTIFIABLE","?REFERENTIAL"),"_")))))</f>
        <v> </v>
      </c>
      <c r="H408" s="25" t="str">
        <f>IF(J408&lt;&gt;1,"",IF(I408="SBJ","CB","?"))</f>
        <v> </v>
      </c>
      <c r="I408" s="26" t="str">
        <f>IF(OR(E408="",E408="!!!",F408="NEW"),"",INDEX(B407:B$2,-1+SUMPRODUCT(MAX(ROW(E407:E$2)*(E408=E407:E$2)))))</f>
        <v> </v>
      </c>
      <c r="J408" s="26" t="str">
        <f>IF(OR(E408="",E408="!!!",F408="NEW"),"",COUNTBLANK(OFFSET(A$1,,,SUMPRODUCT(MAX(ROW(E$2:E408)*(E408=E$2:E408)))))-COUNTBLANK(OFFSET(A$1,,,SUMPRODUCT(MAX(ROW(E$1:E407)*(E2=E$1:E407))))))</f>
        <v> </v>
      </c>
      <c r="K408" s="26" t="str">
        <f>IF(OR(E408="",E408="!!!",F408="NEW"),"",INDEX(J$1:J407,SUMPRODUCT(MAX(ROW(E$1:E407)*(E408=E$1:E407)))))</f>
        <v> </v>
      </c>
      <c r="L408" s="27"/>
    </row>
    <row r="409" spans="1:12">
      <c r="A409" s="20" t="s">
        <v>980</v>
      </c>
      <c r="B409" s="21" t="s">
        <v>755</v>
      </c>
      <c r="C409" s="21" t="s">
        <v>746</v>
      </c>
      <c r="D409" s="21" t="s">
        <v>730</v>
      </c>
      <c r="E409" s="22">
        <f>IF(D409="?OLD","!!!","")</f>
        <v/>
      </c>
      <c r="F409" s="23" t="str">
        <f>IF(OR(E409="",E409="!!!"),"",IF(NOT(ISNA(VLOOKUP(E409,E$1:E408,1,FALSE()))),"OLD",IF(AND(E409&lt;&gt;"",E409&lt;&gt;"!!!"),"NEW","")))</f>
        <v> </v>
      </c>
      <c r="G409" s="24" t="str">
        <f>IF(OR(E409="",E409="!!!"),"",IF(OR(J409=0,AND(J409=1,K409=1),AND(J409=1,I409="SBJ"),AND(J409=1,I409=0)),"?IN_FOCUS",IF(J409&lt;=2,"?ACTIVATED",IF(J409&lt;&gt;"","?FAMILIAR",IF(F409="NEW",IF(ISNA(VLOOKUP(E409,#REF!,1,FALSE())),"?TYPE_IDENTIFIABLE","?REFERENTIAL"),"_")))))</f>
        <v> </v>
      </c>
      <c r="H409" s="25" t="str">
        <f>IF(J409&lt;&gt;1,"",IF(I409="SBJ","CB","?"))</f>
        <v> </v>
      </c>
      <c r="I409" s="26" t="str">
        <f>IF(OR(E409="",E409="!!!",F409="NEW"),"",INDEX(B408:B$2,-1+SUMPRODUCT(MAX(ROW(E408:E$2)*(E409=E408:E$2)))))</f>
        <v> </v>
      </c>
      <c r="J409" s="26" t="str">
        <f>IF(OR(E409="",E409="!!!",F409="NEW"),"",COUNTBLANK(OFFSET(A$1,,,SUMPRODUCT(MAX(ROW(E$2:E409)*(E409=E$2:E409)))))-COUNTBLANK(OFFSET(A$1,,,SUMPRODUCT(MAX(ROW(E$1:E408)*(E2=E$1:E408))))))</f>
        <v> </v>
      </c>
      <c r="K409" s="26" t="str">
        <f>IF(OR(E409="",E409="!!!",F409="NEW"),"",INDEX(J$1:J408,SUMPRODUCT(MAX(ROW(E$1:E408)*(E409=E$1:E408)))))</f>
        <v> </v>
      </c>
      <c r="L409" s="27"/>
    </row>
    <row r="410" spans="1:12">
      <c r="A410" s="20" t="s">
        <v>981</v>
      </c>
      <c r="B410" s="21" t="s">
        <v>739</v>
      </c>
      <c r="C410" s="21" t="s">
        <v>748</v>
      </c>
      <c r="E410" s="22">
        <f>IF(D410="?OLD","!!!","")</f>
        <v/>
      </c>
      <c r="F410" s="23" t="str">
        <f>IF(OR(E410="",E410="!!!"),"",IF(NOT(ISNA(VLOOKUP(E410,E$1:E409,1,FALSE()))),"OLD",IF(AND(E410&lt;&gt;"",E410&lt;&gt;"!!!"),"NEW","")))</f>
        <v> </v>
      </c>
      <c r="G410" s="24" t="str">
        <f>IF(OR(E410="",E410="!!!"),"",IF(OR(J410=0,AND(J410=1,K410=1),AND(J410=1,I410="SBJ"),AND(J410=1,I410=0)),"?IN_FOCUS",IF(J410&lt;=2,"?ACTIVATED",IF(J410&lt;&gt;"","?FAMILIAR",IF(F410="NEW",IF(ISNA(VLOOKUP(E410,#REF!,1,FALSE())),"?TYPE_IDENTIFIABLE","?REFERENTIAL"),"_")))))</f>
        <v> </v>
      </c>
      <c r="H410" s="25" t="str">
        <f>IF(J410&lt;&gt;1,"",IF(I410="SBJ","CB","?"))</f>
        <v> </v>
      </c>
      <c r="I410" s="26" t="str">
        <f>IF(OR(E410="",E410="!!!",F410="NEW"),"",INDEX(B409:B$2,-1+SUMPRODUCT(MAX(ROW(E409:E$2)*(E410=E409:E$2)))))</f>
        <v> </v>
      </c>
      <c r="J410" s="26" t="str">
        <f>IF(OR(E410="",E410="!!!",F410="NEW"),"",COUNTBLANK(OFFSET(A$1,,,SUMPRODUCT(MAX(ROW(E$2:E410)*(E410=E$2:E410)))))-COUNTBLANK(OFFSET(A$1,,,SUMPRODUCT(MAX(ROW(E$1:E409)*(E2=E$1:E409))))))</f>
        <v> </v>
      </c>
      <c r="K410" s="26" t="str">
        <f>IF(OR(E410="",E410="!!!",F410="NEW"),"",INDEX(J$1:J409,SUMPRODUCT(MAX(ROW(E$1:E409)*(E410=E$1:E409)))))</f>
        <v> </v>
      </c>
      <c r="L410" s="27"/>
    </row>
    <row r="411" spans="1:12">
      <c r="A411" s="20" t="s">
        <v>982</v>
      </c>
      <c r="E411" s="22">
        <f>IF(D411="?OLD","!!!","")</f>
        <v/>
      </c>
      <c r="F411" s="23" t="str">
        <f>IF(OR(E411="",E411="!!!"),"",IF(NOT(ISNA(VLOOKUP(E411,E$1:E410,1,FALSE()))),"OLD",IF(AND(E411&lt;&gt;"",E411&lt;&gt;"!!!"),"NEW","")))</f>
        <v> </v>
      </c>
      <c r="G411" s="24" t="str">
        <f>IF(OR(E411="",E411="!!!"),"",IF(OR(J411=0,AND(J411=1,K411=1),AND(J411=1,I411="SBJ"),AND(J411=1,I411=0)),"?IN_FOCUS",IF(J411&lt;=2,"?ACTIVATED",IF(J411&lt;&gt;"","?FAMILIAR",IF(F411="NEW",IF(ISNA(VLOOKUP(E411,#REF!,1,FALSE())),"?TYPE_IDENTIFIABLE","?REFERENTIAL"),"_")))))</f>
        <v> </v>
      </c>
      <c r="H411" s="25" t="str">
        <f>IF(J411&lt;&gt;1,"",IF(I411="SBJ","CB","?"))</f>
        <v> </v>
      </c>
      <c r="I411" s="26" t="str">
        <f>IF(OR(E411="",E411="!!!",F411="NEW"),"",INDEX(B410:B$2,-1+SUMPRODUCT(MAX(ROW(E410:E$2)*(E411=E410:E$2)))))</f>
        <v> </v>
      </c>
      <c r="J411" s="26" t="str">
        <f>IF(OR(E411="",E411="!!!",F411="NEW"),"",COUNTBLANK(OFFSET(A$1,,,SUMPRODUCT(MAX(ROW(E$2:E411)*(E411=E$2:E411)))))-COUNTBLANK(OFFSET(A$1,,,SUMPRODUCT(MAX(ROW(E$1:E410)*(E2=E$1:E410))))))</f>
        <v> </v>
      </c>
      <c r="K411" s="26" t="str">
        <f>IF(OR(E411="",E411="!!!",F411="NEW"),"",INDEX(J$1:J410,SUMPRODUCT(MAX(ROW(E$1:E410)*(E411=E$1:E410)))))</f>
        <v> </v>
      </c>
      <c r="L411" s="27"/>
    </row>
    <row r="412" spans="1:12">
      <c r="A412" s="20" t="s">
        <v>246</v>
      </c>
      <c r="E412" s="22">
        <f>IF(D412="?OLD","!!!","")</f>
        <v/>
      </c>
      <c r="F412" s="23" t="str">
        <f>IF(OR(E412="",E412="!!!"),"",IF(NOT(ISNA(VLOOKUP(E412,E$1:E411,1,FALSE()))),"OLD",IF(AND(E412&lt;&gt;"",E412&lt;&gt;"!!!"),"NEW","")))</f>
        <v> </v>
      </c>
      <c r="G412" s="24" t="str">
        <f>IF(OR(E412="",E412="!!!"),"",IF(OR(J412=0,AND(J412=1,K412=1),AND(J412=1,I412="SBJ"),AND(J412=1,I412=0)),"?IN_FOCUS",IF(J412&lt;=2,"?ACTIVATED",IF(J412&lt;&gt;"","?FAMILIAR",IF(F412="NEW",IF(ISNA(VLOOKUP(E412,#REF!,1,FALSE())),"?TYPE_IDENTIFIABLE","?REFERENTIAL"),"_")))))</f>
        <v> </v>
      </c>
      <c r="H412" s="25" t="str">
        <f>IF(J412&lt;&gt;1,"",IF(I412="SBJ","CB","?"))</f>
        <v> </v>
      </c>
      <c r="I412" s="26" t="str">
        <f>IF(OR(E412="",E412="!!!",F412="NEW"),"",INDEX(B411:B$2,-1+SUMPRODUCT(MAX(ROW(E411:E$2)*(E412=E411:E$2)))))</f>
        <v> </v>
      </c>
      <c r="J412" s="26" t="str">
        <f>IF(OR(E412="",E412="!!!",F412="NEW"),"",COUNTBLANK(OFFSET(A$1,,,SUMPRODUCT(MAX(ROW(E$2:E412)*(E412=E$2:E412)))))-COUNTBLANK(OFFSET(A$1,,,SUMPRODUCT(MAX(ROW(E$1:E411)*(E2=E$1:E411))))))</f>
        <v> </v>
      </c>
      <c r="K412" s="26" t="str">
        <f>IF(OR(E412="",E412="!!!",F412="NEW"),"",INDEX(J$1:J411,SUMPRODUCT(MAX(ROW(E$1:E411)*(E412=E$1:E411)))))</f>
        <v> </v>
      </c>
      <c r="L412" s="27"/>
    </row>
    <row r="413" spans="1:12">
      <c r="A413" s="20"/>
    </row>
    <row r="414" spans="1:12">
      <c r="A414" s="20" t="s">
        <v>983</v>
      </c>
    </row>
    <row r="415" spans="1:12">
      <c r="A415" s="20" t="s">
        <v>984</v>
      </c>
      <c r="E415" s="22">
        <f>IF(D415="?OLD","!!!","")</f>
        <v/>
      </c>
      <c r="F415" s="23" t="str">
        <f>IF(OR(E415="",E415="!!!"),"",IF(NOT(ISNA(VLOOKUP(E415,E$1:E414,1,FALSE()))),"OLD",IF(AND(E415&lt;&gt;"",E415&lt;&gt;"!!!"),"NEW","")))</f>
        <v> </v>
      </c>
      <c r="G415" s="24" t="str">
        <f>IF(OR(E415="",E415="!!!"),"",IF(OR(J415=0,AND(J415=1,K415=1),AND(J415=1,I415="SBJ"),AND(J415=1,I415=0)),"?IN_FOCUS",IF(J415&lt;=2,"?ACTIVATED",IF(J415&lt;&gt;"","?FAMILIAR",IF(F415="NEW",IF(ISNA(VLOOKUP(E415,#REF!,1,FALSE())),"?TYPE_IDENTIFIABLE","?REFERENTIAL"),"_")))))</f>
        <v> </v>
      </c>
      <c r="H415" s="25" t="str">
        <f>IF(J415&lt;&gt;1,"",IF(I415="SBJ","CB","?"))</f>
        <v> </v>
      </c>
      <c r="I415" s="26" t="str">
        <f>IF(OR(E415="",E415="!!!",F415="NEW"),"",INDEX(B414:B$2,-1+SUMPRODUCT(MAX(ROW(E414:E$2)*(E415=E414:E$2)))))</f>
        <v> </v>
      </c>
      <c r="J415" s="26" t="str">
        <f>IF(OR(E415="",E415="!!!",F415="NEW"),"",COUNTBLANK(OFFSET(A$1,,,SUMPRODUCT(MAX(ROW(E$2:E415)*(E415=E$2:E415)))))-COUNTBLANK(OFFSET(A$1,,,SUMPRODUCT(MAX(ROW(E$1:E414)*(E2=E$1:E414))))))</f>
        <v> </v>
      </c>
      <c r="K415" s="26" t="str">
        <f>IF(OR(E415="",E415="!!!",F415="NEW"),"",INDEX(J$1:J414,SUMPRODUCT(MAX(ROW(E$1:E414)*(E415=E$1:E414)))))</f>
        <v> </v>
      </c>
      <c r="L415" s="27"/>
    </row>
    <row r="416" spans="1:12">
      <c r="A416" s="20" t="s">
        <v>985</v>
      </c>
      <c r="E416" s="22">
        <f>IF(D416="?OLD","!!!","")</f>
        <v/>
      </c>
      <c r="F416" s="23" t="str">
        <f>IF(OR(E416="",E416="!!!"),"",IF(NOT(ISNA(VLOOKUP(E416,E$1:E415,1,FALSE()))),"OLD",IF(AND(E416&lt;&gt;"",E416&lt;&gt;"!!!"),"NEW","")))</f>
        <v> </v>
      </c>
      <c r="G416" s="24" t="str">
        <f>IF(OR(E416="",E416="!!!"),"",IF(OR(J416=0,AND(J416=1,K416=1),AND(J416=1,I416="SBJ"),AND(J416=1,I416=0)),"?IN_FOCUS",IF(J416&lt;=2,"?ACTIVATED",IF(J416&lt;&gt;"","?FAMILIAR",IF(F416="NEW",IF(ISNA(VLOOKUP(E416,#REF!,1,FALSE())),"?TYPE_IDENTIFIABLE","?REFERENTIAL"),"_")))))</f>
        <v> </v>
      </c>
      <c r="H416" s="25" t="str">
        <f>IF(J416&lt;&gt;1,"",IF(I416="SBJ","CB","?"))</f>
        <v> </v>
      </c>
      <c r="I416" s="26" t="str">
        <f>IF(OR(E416="",E416="!!!",F416="NEW"),"",INDEX(B415:B$2,-1+SUMPRODUCT(MAX(ROW(E415:E$2)*(E416=E415:E$2)))))</f>
        <v> </v>
      </c>
      <c r="J416" s="26" t="str">
        <f>IF(OR(E416="",E416="!!!",F416="NEW"),"",COUNTBLANK(OFFSET(A$1,,,SUMPRODUCT(MAX(ROW(E$2:E416)*(E416=E$2:E416)))))-COUNTBLANK(OFFSET(A$1,,,SUMPRODUCT(MAX(ROW(E$1:E415)*(E2=E$1:E415))))))</f>
        <v> </v>
      </c>
      <c r="K416" s="26" t="str">
        <f>IF(OR(E416="",E416="!!!",F416="NEW"),"",INDEX(J$1:J415,SUMPRODUCT(MAX(ROW(E$1:E415)*(E416=E$1:E415)))))</f>
        <v> </v>
      </c>
      <c r="L416" s="27"/>
    </row>
    <row r="417" spans="1:12">
      <c r="A417" s="20" t="s">
        <v>750</v>
      </c>
      <c r="B417" s="21" t="s">
        <v>728</v>
      </c>
      <c r="C417" s="21" t="s">
        <v>729</v>
      </c>
      <c r="D417" s="21" t="s">
        <v>730</v>
      </c>
      <c r="E417" s="22">
        <f>IF(D417="?OLD","!!!","")</f>
        <v/>
      </c>
      <c r="F417" s="23" t="str">
        <f>IF(OR(E417="",E417="!!!"),"",IF(NOT(ISNA(VLOOKUP(E417,E$1:E416,1,FALSE()))),"OLD",IF(AND(E417&lt;&gt;"",E417&lt;&gt;"!!!"),"NEW","")))</f>
        <v> </v>
      </c>
      <c r="G417" s="24" t="str">
        <f>IF(OR(E417="",E417="!!!"),"",IF(OR(J417=0,AND(J417=1,K417=1),AND(J417=1,I417="SBJ"),AND(J417=1,I417=0)),"?IN_FOCUS",IF(J417&lt;=2,"?ACTIVATED",IF(J417&lt;&gt;"","?FAMILIAR",IF(F417="NEW",IF(ISNA(VLOOKUP(E417,#REF!,1,FALSE())),"?TYPE_IDENTIFIABLE","?REFERENTIAL"),"_")))))</f>
        <v> </v>
      </c>
      <c r="H417" s="25" t="str">
        <f>IF(J417&lt;&gt;1,"",IF(I417="SBJ","CB","?"))</f>
        <v> </v>
      </c>
      <c r="I417" s="26" t="str">
        <f>IF(OR(E417="",E417="!!!",F417="NEW"),"",INDEX(B416:B$2,-1+SUMPRODUCT(MAX(ROW(E416:E$2)*(E417=E416:E$2)))))</f>
        <v> </v>
      </c>
      <c r="J417" s="26" t="str">
        <f>IF(OR(E417="",E417="!!!",F417="NEW"),"",COUNTBLANK(OFFSET(A$1,,,SUMPRODUCT(MAX(ROW(E$2:E417)*(E417=E$2:E417)))))-COUNTBLANK(OFFSET(A$1,,,SUMPRODUCT(MAX(ROW(E$1:E416)*(E2=E$1:E416))))))</f>
        <v> </v>
      </c>
      <c r="K417" s="26" t="str">
        <f>IF(OR(E417="",E417="!!!",F417="NEW"),"",INDEX(J$1:J416,SUMPRODUCT(MAX(ROW(E$1:E416)*(E417=E$1:E416)))))</f>
        <v> </v>
      </c>
      <c r="L417" s="27"/>
    </row>
    <row r="418" spans="1:12">
      <c r="A418" s="20" t="s">
        <v>986</v>
      </c>
      <c r="E418" s="22">
        <f>IF(D418="?OLD","!!!","")</f>
        <v/>
      </c>
      <c r="F418" s="23" t="str">
        <f>IF(OR(E418="",E418="!!!"),"",IF(NOT(ISNA(VLOOKUP(E418,E$1:E417,1,FALSE()))),"OLD",IF(AND(E418&lt;&gt;"",E418&lt;&gt;"!!!"),"NEW","")))</f>
        <v> </v>
      </c>
      <c r="G418" s="24" t="str">
        <f>IF(OR(E418="",E418="!!!"),"",IF(OR(J418=0,AND(J418=1,K418=1),AND(J418=1,I418="SBJ"),AND(J418=1,I418=0)),"?IN_FOCUS",IF(J418&lt;=2,"?ACTIVATED",IF(J418&lt;&gt;"","?FAMILIAR",IF(F418="NEW",IF(ISNA(VLOOKUP(E418,#REF!,1,FALSE())),"?TYPE_IDENTIFIABLE","?REFERENTIAL"),"_")))))</f>
        <v> </v>
      </c>
      <c r="H418" s="25" t="str">
        <f>IF(J418&lt;&gt;1,"",IF(I418="SBJ","CB","?"))</f>
        <v> </v>
      </c>
      <c r="I418" s="26" t="str">
        <f>IF(OR(E418="",E418="!!!",F418="NEW"),"",INDEX(B417:B$2,-1+SUMPRODUCT(MAX(ROW(E417:E$2)*(E418=E417:E$2)))))</f>
        <v> </v>
      </c>
      <c r="J418" s="26" t="str">
        <f>IF(OR(E418="",E418="!!!",F418="NEW"),"",COUNTBLANK(OFFSET(A$1,,,SUMPRODUCT(MAX(ROW(E$2:E418)*(E418=E$2:E418)))))-COUNTBLANK(OFFSET(A$1,,,SUMPRODUCT(MAX(ROW(E$1:E417)*(E2=E$1:E417))))))</f>
        <v> </v>
      </c>
      <c r="K418" s="26" t="str">
        <f>IF(OR(E418="",E418="!!!",F418="NEW"),"",INDEX(J$1:J417,SUMPRODUCT(MAX(ROW(E$1:E417)*(E418=E$1:E417)))))</f>
        <v> </v>
      </c>
      <c r="L418" s="27"/>
    </row>
    <row r="419" spans="1:12">
      <c r="A419" s="20" t="s">
        <v>987</v>
      </c>
      <c r="E419" s="22">
        <f>IF(D419="?OLD","!!!","")</f>
        <v/>
      </c>
      <c r="F419" s="23" t="str">
        <f>IF(OR(E419="",E419="!!!"),"",IF(NOT(ISNA(VLOOKUP(E419,E$1:E418,1,FALSE()))),"OLD",IF(AND(E419&lt;&gt;"",E419&lt;&gt;"!!!"),"NEW","")))</f>
        <v> </v>
      </c>
      <c r="G419" s="24" t="str">
        <f>IF(OR(E419="",E419="!!!"),"",IF(OR(J419=0,AND(J419=1,K419=1),AND(J419=1,I419="SBJ"),AND(J419=1,I419=0)),"?IN_FOCUS",IF(J419&lt;=2,"?ACTIVATED",IF(J419&lt;&gt;"","?FAMILIAR",IF(F419="NEW",IF(ISNA(VLOOKUP(E419,#REF!,1,FALSE())),"?TYPE_IDENTIFIABLE","?REFERENTIAL"),"_")))))</f>
        <v> </v>
      </c>
      <c r="H419" s="25" t="str">
        <f>IF(J419&lt;&gt;1,"",IF(I419="SBJ","CB","?"))</f>
        <v> </v>
      </c>
      <c r="I419" s="26" t="str">
        <f>IF(OR(E419="",E419="!!!",F419="NEW"),"",INDEX(B418:B$2,-1+SUMPRODUCT(MAX(ROW(E418:E$2)*(E419=E418:E$2)))))</f>
        <v> </v>
      </c>
      <c r="J419" s="26" t="str">
        <f>IF(OR(E419="",E419="!!!",F419="NEW"),"",COUNTBLANK(OFFSET(A$1,,,SUMPRODUCT(MAX(ROW(E$2:E419)*(E419=E$2:E419)))))-COUNTBLANK(OFFSET(A$1,,,SUMPRODUCT(MAX(ROW(E$1:E418)*(E2=E$1:E418))))))</f>
        <v> </v>
      </c>
      <c r="K419" s="26" t="str">
        <f>IF(OR(E419="",E419="!!!",F419="NEW"),"",INDEX(J$1:J418,SUMPRODUCT(MAX(ROW(E$1:E418)*(E419=E$1:E418)))))</f>
        <v> </v>
      </c>
      <c r="L419" s="27"/>
    </row>
    <row r="420" spans="1:12">
      <c r="A420" s="20" t="s">
        <v>762</v>
      </c>
      <c r="E420" s="22">
        <f>IF(D420="?OLD","!!!","")</f>
        <v/>
      </c>
      <c r="F420" s="23" t="str">
        <f>IF(OR(E420="",E420="!!!"),"",IF(NOT(ISNA(VLOOKUP(E420,E$1:E419,1,FALSE()))),"OLD",IF(AND(E420&lt;&gt;"",E420&lt;&gt;"!!!"),"NEW","")))</f>
        <v> </v>
      </c>
      <c r="G420" s="24" t="str">
        <f>IF(OR(E420="",E420="!!!"),"",IF(OR(J420=0,AND(J420=1,K420=1),AND(J420=1,I420="SBJ"),AND(J420=1,I420=0)),"?IN_FOCUS",IF(J420&lt;=2,"?ACTIVATED",IF(J420&lt;&gt;"","?FAMILIAR",IF(F420="NEW",IF(ISNA(VLOOKUP(E420,#REF!,1,FALSE())),"?TYPE_IDENTIFIABLE","?REFERENTIAL"),"_")))))</f>
        <v> </v>
      </c>
      <c r="H420" s="25" t="str">
        <f>IF(J420&lt;&gt;1,"",IF(I420="SBJ","CB","?"))</f>
        <v> </v>
      </c>
      <c r="I420" s="26" t="str">
        <f>IF(OR(E420="",E420="!!!",F420="NEW"),"",INDEX(B419:B$2,-1+SUMPRODUCT(MAX(ROW(E419:E$2)*(E420=E419:E$2)))))</f>
        <v> </v>
      </c>
      <c r="J420" s="26" t="str">
        <f>IF(OR(E420="",E420="!!!",F420="NEW"),"",COUNTBLANK(OFFSET(A$1,,,SUMPRODUCT(MAX(ROW(E$2:E420)*(E420=E$2:E420)))))-COUNTBLANK(OFFSET(A$1,,,SUMPRODUCT(MAX(ROW(E$1:E419)*(E2=E$1:E419))))))</f>
        <v> </v>
      </c>
      <c r="K420" s="26" t="str">
        <f>IF(OR(E420="",E420="!!!",F420="NEW"),"",INDEX(J$1:J419,SUMPRODUCT(MAX(ROW(E$1:E419)*(E420=E$1:E419)))))</f>
        <v> </v>
      </c>
      <c r="L420" s="27"/>
    </row>
    <row r="421" spans="1:12">
      <c r="A421" s="20" t="s">
        <v>988</v>
      </c>
      <c r="E421" s="22">
        <f>IF(D421="?OLD","!!!","")</f>
        <v/>
      </c>
      <c r="F421" s="23" t="str">
        <f>IF(OR(E421="",E421="!!!"),"",IF(NOT(ISNA(VLOOKUP(E421,E$1:E420,1,FALSE()))),"OLD",IF(AND(E421&lt;&gt;"",E421&lt;&gt;"!!!"),"NEW","")))</f>
        <v> </v>
      </c>
      <c r="G421" s="24" t="str">
        <f>IF(OR(E421="",E421="!!!"),"",IF(OR(J421=0,AND(J421=1,K421=1),AND(J421=1,I421="SBJ"),AND(J421=1,I421=0)),"?IN_FOCUS",IF(J421&lt;=2,"?ACTIVATED",IF(J421&lt;&gt;"","?FAMILIAR",IF(F421="NEW",IF(ISNA(VLOOKUP(E421,#REF!,1,FALSE())),"?TYPE_IDENTIFIABLE","?REFERENTIAL"),"_")))))</f>
        <v> </v>
      </c>
      <c r="H421" s="25" t="str">
        <f>IF(J421&lt;&gt;1,"",IF(I421="SBJ","CB","?"))</f>
        <v> </v>
      </c>
      <c r="I421" s="26" t="str">
        <f>IF(OR(E421="",E421="!!!",F421="NEW"),"",INDEX(B420:B$2,-1+SUMPRODUCT(MAX(ROW(E420:E$2)*(E421=E420:E$2)))))</f>
        <v> </v>
      </c>
      <c r="J421" s="26" t="str">
        <f>IF(OR(E421="",E421="!!!",F421="NEW"),"",COUNTBLANK(OFFSET(A$1,,,SUMPRODUCT(MAX(ROW(E$2:E421)*(E421=E$2:E421)))))-COUNTBLANK(OFFSET(A$1,,,SUMPRODUCT(MAX(ROW(E$1:E420)*(E2=E$1:E420))))))</f>
        <v> </v>
      </c>
      <c r="K421" s="26" t="str">
        <f>IF(OR(E421="",E421="!!!",F421="NEW"),"",INDEX(J$1:J420,SUMPRODUCT(MAX(ROW(E$1:E420)*(E421=E$1:E420)))))</f>
        <v> </v>
      </c>
      <c r="L421" s="27"/>
    </row>
    <row r="422" spans="1:12">
      <c r="A422" s="20" t="s">
        <v>842</v>
      </c>
      <c r="B422" s="21" t="s">
        <v>764</v>
      </c>
      <c r="C422" s="21" t="s">
        <v>737</v>
      </c>
      <c r="E422" s="22">
        <f>IF(D422="?OLD","!!!","")</f>
        <v/>
      </c>
      <c r="F422" s="23" t="str">
        <f>IF(OR(E422="",E422="!!!"),"",IF(NOT(ISNA(VLOOKUP(E422,E$1:E421,1,FALSE()))),"OLD",IF(AND(E422&lt;&gt;"",E422&lt;&gt;"!!!"),"NEW","")))</f>
        <v> </v>
      </c>
      <c r="G422" s="24" t="str">
        <f>IF(OR(E422="",E422="!!!"),"",IF(OR(J422=0,AND(J422=1,K422=1),AND(J422=1,I422="SBJ"),AND(J422=1,I422=0)),"?IN_FOCUS",IF(J422&lt;=2,"?ACTIVATED",IF(J422&lt;&gt;"","?FAMILIAR",IF(F422="NEW",IF(ISNA(VLOOKUP(E422,#REF!,1,FALSE())),"?TYPE_IDENTIFIABLE","?REFERENTIAL"),"_")))))</f>
        <v> </v>
      </c>
      <c r="H422" s="25" t="str">
        <f>IF(J422&lt;&gt;1,"",IF(I422="SBJ","CB","?"))</f>
        <v> </v>
      </c>
      <c r="I422" s="26" t="str">
        <f>IF(OR(E422="",E422="!!!",F422="NEW"),"",INDEX(B421:B$2,-1+SUMPRODUCT(MAX(ROW(E421:E$2)*(E422=E421:E$2)))))</f>
        <v> </v>
      </c>
      <c r="J422" s="26" t="str">
        <f>IF(OR(E422="",E422="!!!",F422="NEW"),"",COUNTBLANK(OFFSET(A$1,,,SUMPRODUCT(MAX(ROW(E$2:E422)*(E422=E$2:E422)))))-COUNTBLANK(OFFSET(A$1,,,SUMPRODUCT(MAX(ROW(E$1:E421)*(E2=E$1:E421))))))</f>
        <v> </v>
      </c>
      <c r="K422" s="26" t="str">
        <f>IF(OR(E422="",E422="!!!",F422="NEW"),"",INDEX(J$1:J421,SUMPRODUCT(MAX(ROW(E$1:E421)*(E422=E$1:E421)))))</f>
        <v> </v>
      </c>
      <c r="L422" s="27"/>
    </row>
    <row r="423" spans="1:12">
      <c r="A423" s="20" t="s">
        <v>732</v>
      </c>
      <c r="E423" s="22">
        <f>IF(D423="?OLD","!!!","")</f>
        <v/>
      </c>
      <c r="F423" s="23" t="str">
        <f>IF(OR(E423="",E423="!!!"),"",IF(NOT(ISNA(VLOOKUP(E423,E$1:E422,1,FALSE()))),"OLD",IF(AND(E423&lt;&gt;"",E423&lt;&gt;"!!!"),"NEW","")))</f>
        <v> </v>
      </c>
      <c r="G423" s="24" t="str">
        <f>IF(OR(E423="",E423="!!!"),"",IF(OR(J423=0,AND(J423=1,K423=1),AND(J423=1,I423="SBJ"),AND(J423=1,I423=0)),"?IN_FOCUS",IF(J423&lt;=2,"?ACTIVATED",IF(J423&lt;&gt;"","?FAMILIAR",IF(F423="NEW",IF(ISNA(VLOOKUP(E423,#REF!,1,FALSE())),"?TYPE_IDENTIFIABLE","?REFERENTIAL"),"_")))))</f>
        <v> </v>
      </c>
      <c r="H423" s="25" t="str">
        <f>IF(J423&lt;&gt;1,"",IF(I423="SBJ","CB","?"))</f>
        <v> </v>
      </c>
      <c r="I423" s="26" t="str">
        <f>IF(OR(E423="",E423="!!!",F423="NEW"),"",INDEX(B422:B$2,-1+SUMPRODUCT(MAX(ROW(E422:E$2)*(E423=E422:E$2)))))</f>
        <v> </v>
      </c>
      <c r="J423" s="26" t="str">
        <f>IF(OR(E423="",E423="!!!",F423="NEW"),"",COUNTBLANK(OFFSET(A$1,,,SUMPRODUCT(MAX(ROW(E$2:E423)*(E423=E$2:E423)))))-COUNTBLANK(OFFSET(A$1,,,SUMPRODUCT(MAX(ROW(E$1:E422)*(E2=E$1:E422))))))</f>
        <v> </v>
      </c>
      <c r="K423" s="26" t="str">
        <f>IF(OR(E423="",E423="!!!",F423="NEW"),"",INDEX(J$1:J422,SUMPRODUCT(MAX(ROW(E$1:E422)*(E423=E$1:E422)))))</f>
        <v> </v>
      </c>
      <c r="L423" s="27"/>
    </row>
    <row r="424" spans="1:12">
      <c r="A424" s="20" t="s">
        <v>774</v>
      </c>
      <c r="E424" s="22">
        <f>IF(D424="?OLD","!!!","")</f>
        <v/>
      </c>
      <c r="F424" s="23" t="str">
        <f>IF(OR(E424="",E424="!!!"),"",IF(NOT(ISNA(VLOOKUP(E424,E$1:E423,1,FALSE()))),"OLD",IF(AND(E424&lt;&gt;"",E424&lt;&gt;"!!!"),"NEW","")))</f>
        <v> </v>
      </c>
      <c r="G424" s="24" t="str">
        <f>IF(OR(E424="",E424="!!!"),"",IF(OR(J424=0,AND(J424=1,K424=1),AND(J424=1,I424="SBJ"),AND(J424=1,I424=0)),"?IN_FOCUS",IF(J424&lt;=2,"?ACTIVATED",IF(J424&lt;&gt;"","?FAMILIAR",IF(F424="NEW",IF(ISNA(VLOOKUP(E424,#REF!,1,FALSE())),"?TYPE_IDENTIFIABLE","?REFERENTIAL"),"_")))))</f>
        <v> </v>
      </c>
      <c r="H424" s="25" t="str">
        <f>IF(J424&lt;&gt;1,"",IF(I424="SBJ","CB","?"))</f>
        <v> </v>
      </c>
      <c r="I424" s="26" t="str">
        <f>IF(OR(E424="",E424="!!!",F424="NEW"),"",INDEX(B423:B$2,-1+SUMPRODUCT(MAX(ROW(E423:E$2)*(E424=E423:E$2)))))</f>
        <v> </v>
      </c>
      <c r="J424" s="26" t="str">
        <f>IF(OR(E424="",E424="!!!",F424="NEW"),"",COUNTBLANK(OFFSET(A$1,,,SUMPRODUCT(MAX(ROW(E$2:E424)*(E424=E$2:E424)))))-COUNTBLANK(OFFSET(A$1,,,SUMPRODUCT(MAX(ROW(E$1:E423)*(E2=E$1:E423))))))</f>
        <v> </v>
      </c>
      <c r="K424" s="26" t="str">
        <f>IF(OR(E424="",E424="!!!",F424="NEW"),"",INDEX(J$1:J423,SUMPRODUCT(MAX(ROW(E$1:E423)*(E424=E$1:E423)))))</f>
        <v> </v>
      </c>
      <c r="L424" s="27"/>
    </row>
    <row r="425" spans="1:12">
      <c r="A425" s="20" t="s">
        <v>989</v>
      </c>
      <c r="B425" s="21" t="s">
        <v>736</v>
      </c>
      <c r="C425" s="21" t="s">
        <v>737</v>
      </c>
      <c r="E425" s="22">
        <f>IF(D425="?OLD","!!!","")</f>
        <v/>
      </c>
      <c r="F425" s="23" t="str">
        <f>IF(OR(E425="",E425="!!!"),"",IF(NOT(ISNA(VLOOKUP(E425,E$1:E424,1,FALSE()))),"OLD",IF(AND(E425&lt;&gt;"",E425&lt;&gt;"!!!"),"NEW","")))</f>
        <v> </v>
      </c>
      <c r="G425" s="24" t="str">
        <f>IF(OR(E425="",E425="!!!"),"",IF(OR(J425=0,AND(J425=1,K425=1),AND(J425=1,I425="SBJ"),AND(J425=1,I425=0)),"?IN_FOCUS",IF(J425&lt;=2,"?ACTIVATED",IF(J425&lt;&gt;"","?FAMILIAR",IF(F425="NEW",IF(ISNA(VLOOKUP(E425,#REF!,1,FALSE())),"?TYPE_IDENTIFIABLE","?REFERENTIAL"),"_")))))</f>
        <v> </v>
      </c>
      <c r="H425" s="25" t="str">
        <f>IF(J425&lt;&gt;1,"",IF(I425="SBJ","CB","?"))</f>
        <v> </v>
      </c>
      <c r="I425" s="26" t="str">
        <f>IF(OR(E425="",E425="!!!",F425="NEW"),"",INDEX(B424:B$2,-1+SUMPRODUCT(MAX(ROW(E424:E$2)*(E425=E424:E$2)))))</f>
        <v> </v>
      </c>
      <c r="J425" s="26" t="str">
        <f>IF(OR(E425="",E425="!!!",F425="NEW"),"",COUNTBLANK(OFFSET(A$1,,,SUMPRODUCT(MAX(ROW(E$2:E425)*(E425=E$2:E425)))))-COUNTBLANK(OFFSET(A$1,,,SUMPRODUCT(MAX(ROW(E$1:E424)*(E2=E$1:E424))))))</f>
        <v> </v>
      </c>
      <c r="K425" s="26" t="str">
        <f>IF(OR(E425="",E425="!!!",F425="NEW"),"",INDEX(J$1:J424,SUMPRODUCT(MAX(ROW(E$1:E424)*(E425=E$1:E424)))))</f>
        <v> </v>
      </c>
      <c r="L425" s="27"/>
    </row>
    <row r="426" spans="1:12">
      <c r="A426" s="20" t="s">
        <v>91</v>
      </c>
      <c r="E426" s="22">
        <f>IF(D426="?OLD","!!!","")</f>
        <v/>
      </c>
      <c r="F426" s="23" t="str">
        <f>IF(OR(E426="",E426="!!!"),"",IF(NOT(ISNA(VLOOKUP(E426,E$1:E425,1,FALSE()))),"OLD",IF(AND(E426&lt;&gt;"",E426&lt;&gt;"!!!"),"NEW","")))</f>
        <v> </v>
      </c>
      <c r="G426" s="24" t="str">
        <f>IF(OR(E426="",E426="!!!"),"",IF(OR(J426=0,AND(J426=1,K426=1),AND(J426=1,I426="SBJ"),AND(J426=1,I426=0)),"?IN_FOCUS",IF(J426&lt;=2,"?ACTIVATED",IF(J426&lt;&gt;"","?FAMILIAR",IF(F426="NEW",IF(ISNA(VLOOKUP(E426,#REF!,1,FALSE())),"?TYPE_IDENTIFIABLE","?REFERENTIAL"),"_")))))</f>
        <v> </v>
      </c>
      <c r="H426" s="25" t="str">
        <f>IF(J426&lt;&gt;1,"",IF(I426="SBJ","CB","?"))</f>
        <v> </v>
      </c>
      <c r="I426" s="26" t="str">
        <f>IF(OR(E426="",E426="!!!",F426="NEW"),"",INDEX(B425:B$2,-1+SUMPRODUCT(MAX(ROW(E425:E$2)*(E426=E425:E$2)))))</f>
        <v> </v>
      </c>
      <c r="J426" s="26" t="str">
        <f>IF(OR(E426="",E426="!!!",F426="NEW"),"",COUNTBLANK(OFFSET(A$1,,,SUMPRODUCT(MAX(ROW(E$2:E426)*(E426=E$2:E426)))))-COUNTBLANK(OFFSET(A$1,,,SUMPRODUCT(MAX(ROW(E$1:E425)*(E2=E$1:E425))))))</f>
        <v> </v>
      </c>
      <c r="K426" s="26" t="str">
        <f>IF(OR(E426="",E426="!!!",F426="NEW"),"",INDEX(J$1:J425,SUMPRODUCT(MAX(ROW(E$1:E425)*(E426=E$1:E425)))))</f>
        <v> </v>
      </c>
      <c r="L426" s="27"/>
    </row>
    <row r="427" spans="1:12">
      <c r="A427" s="20" t="s">
        <v>246</v>
      </c>
      <c r="E427" s="22">
        <f>IF(D427="?OLD","!!!","")</f>
        <v/>
      </c>
      <c r="F427" s="23" t="str">
        <f>IF(OR(E427="",E427="!!!"),"",IF(NOT(ISNA(VLOOKUP(E427,E$1:E426,1,FALSE()))),"OLD",IF(AND(E427&lt;&gt;"",E427&lt;&gt;"!!!"),"NEW","")))</f>
        <v> </v>
      </c>
      <c r="G427" s="24" t="str">
        <f>IF(OR(E427="",E427="!!!"),"",IF(OR(J427=0,AND(J427=1,K427=1),AND(J427=1,I427="SBJ"),AND(J427=1,I427=0)),"?IN_FOCUS",IF(J427&lt;=2,"?ACTIVATED",IF(J427&lt;&gt;"","?FAMILIAR",IF(F427="NEW",IF(ISNA(VLOOKUP(E427,#REF!,1,FALSE())),"?TYPE_IDENTIFIABLE","?REFERENTIAL"),"_")))))</f>
        <v> </v>
      </c>
      <c r="H427" s="25" t="str">
        <f>IF(J427&lt;&gt;1,"",IF(I427="SBJ","CB","?"))</f>
        <v> </v>
      </c>
      <c r="I427" s="26" t="str">
        <f>IF(OR(E427="",E427="!!!",F427="NEW"),"",INDEX(B426:B$2,-1+SUMPRODUCT(MAX(ROW(E426:E$2)*(E427=E426:E$2)))))</f>
        <v> </v>
      </c>
      <c r="J427" s="26" t="str">
        <f>IF(OR(E427="",E427="!!!",F427="NEW"),"",COUNTBLANK(OFFSET(A$1,,,SUMPRODUCT(MAX(ROW(E$2:E427)*(E427=E$2:E427)))))-COUNTBLANK(OFFSET(A$1,,,SUMPRODUCT(MAX(ROW(E$1:E426)*(E2=E$1:E426))))))</f>
        <v> </v>
      </c>
      <c r="K427" s="26" t="str">
        <f>IF(OR(E427="",E427="!!!",F427="NEW"),"",INDEX(J$1:J426,SUMPRODUCT(MAX(ROW(E$1:E426)*(E427=E$1:E426)))))</f>
        <v> </v>
      </c>
      <c r="L427" s="27"/>
    </row>
    <row r="428" spans="1:12">
      <c r="A428" s="20"/>
    </row>
    <row r="429" spans="1:12">
      <c r="A429" s="20" t="s">
        <v>990</v>
      </c>
    </row>
    <row r="430" spans="1:12">
      <c r="A430" s="20" t="s">
        <v>883</v>
      </c>
      <c r="B430" s="21" t="s">
        <v>728</v>
      </c>
      <c r="C430" s="21" t="s">
        <v>801</v>
      </c>
      <c r="D430" s="21" t="s">
        <v>730</v>
      </c>
      <c r="E430" s="22">
        <f>IF(D430="?OLD","!!!","")</f>
        <v/>
      </c>
      <c r="F430" s="23" t="str">
        <f>IF(OR(E430="",E430="!!!"),"",IF(NOT(ISNA(VLOOKUP(E430,E$1:E429,1,FALSE()))),"OLD",IF(AND(E430&lt;&gt;"",E430&lt;&gt;"!!!"),"NEW","")))</f>
        <v> </v>
      </c>
      <c r="G430" s="24" t="str">
        <f>IF(OR(E430="",E430="!!!"),"",IF(OR(J430=0,AND(J430=1,K430=1),AND(J430=1,I430="SBJ"),AND(J430=1,I430=0)),"?IN_FOCUS",IF(J430&lt;=2,"?ACTIVATED",IF(J430&lt;&gt;"","?FAMILIAR",IF(F430="NEW",IF(ISNA(VLOOKUP(E430,#REF!,1,FALSE())),"?TYPE_IDENTIFIABLE","?REFERENTIAL"),"_")))))</f>
        <v> </v>
      </c>
      <c r="H430" s="25" t="str">
        <f>IF(J430&lt;&gt;1,"",IF(I430="SBJ","CB","?"))</f>
        <v> </v>
      </c>
      <c r="I430" s="26" t="str">
        <f>IF(OR(E430="",E430="!!!",F430="NEW"),"",INDEX(B429:B$2,-1+SUMPRODUCT(MAX(ROW(E429:E$2)*(E430=E429:E$2)))))</f>
        <v> </v>
      </c>
      <c r="J430" s="26" t="str">
        <f>IF(OR(E430="",E430="!!!",F430="NEW"),"",COUNTBLANK(OFFSET(A$1,,,SUMPRODUCT(MAX(ROW(E$2:E430)*(E430=E$2:E430)))))-COUNTBLANK(OFFSET(A$1,,,SUMPRODUCT(MAX(ROW(E$1:E429)*(E2=E$1:E429))))))</f>
        <v> </v>
      </c>
      <c r="K430" s="26" t="str">
        <f>IF(OR(E430="",E430="!!!",F430="NEW"),"",INDEX(J$1:J429,SUMPRODUCT(MAX(ROW(E$1:E429)*(E430=E$1:E429)))))</f>
        <v> </v>
      </c>
      <c r="L430" s="27"/>
    </row>
    <row r="431" spans="1:12">
      <c r="A431" s="20" t="s">
        <v>850</v>
      </c>
      <c r="E431" s="22">
        <f>IF(D431="?OLD","!!!","")</f>
        <v/>
      </c>
      <c r="F431" s="23" t="str">
        <f>IF(OR(E431="",E431="!!!"),"",IF(NOT(ISNA(VLOOKUP(E431,E$1:E430,1,FALSE()))),"OLD",IF(AND(E431&lt;&gt;"",E431&lt;&gt;"!!!"),"NEW","")))</f>
        <v> </v>
      </c>
      <c r="G431" s="24" t="str">
        <f>IF(OR(E431="",E431="!!!"),"",IF(OR(J431=0,AND(J431=1,K431=1),AND(J431=1,I431="SBJ"),AND(J431=1,I431=0)),"?IN_FOCUS",IF(J431&lt;=2,"?ACTIVATED",IF(J431&lt;&gt;"","?FAMILIAR",IF(F431="NEW",IF(ISNA(VLOOKUP(E431,#REF!,1,FALSE())),"?TYPE_IDENTIFIABLE","?REFERENTIAL"),"_")))))</f>
        <v> </v>
      </c>
      <c r="H431" s="25" t="str">
        <f>IF(J431&lt;&gt;1,"",IF(I431="SBJ","CB","?"))</f>
        <v> </v>
      </c>
      <c r="I431" s="26" t="str">
        <f>IF(OR(E431="",E431="!!!",F431="NEW"),"",INDEX(B430:B$2,-1+SUMPRODUCT(MAX(ROW(E430:E$2)*(E431=E430:E$2)))))</f>
        <v> </v>
      </c>
      <c r="J431" s="26" t="str">
        <f>IF(OR(E431="",E431="!!!",F431="NEW"),"",COUNTBLANK(OFFSET(A$1,,,SUMPRODUCT(MAX(ROW(E$2:E431)*(E431=E$2:E431)))))-COUNTBLANK(OFFSET(A$1,,,SUMPRODUCT(MAX(ROW(E$1:E430)*(E2=E$1:E430))))))</f>
        <v> </v>
      </c>
      <c r="K431" s="26" t="str">
        <f>IF(OR(E431="",E431="!!!",F431="NEW"),"",INDEX(J$1:J430,SUMPRODUCT(MAX(ROW(E$1:E430)*(E431=E$1:E430)))))</f>
        <v> </v>
      </c>
      <c r="L431" s="27"/>
    </row>
    <row r="432" spans="1:12">
      <c r="A432" s="20" t="s">
        <v>792</v>
      </c>
      <c r="B432" s="21" t="s">
        <v>764</v>
      </c>
      <c r="C432" s="21" t="s">
        <v>729</v>
      </c>
      <c r="D432" s="21" t="s">
        <v>730</v>
      </c>
      <c r="E432" s="22">
        <f>IF(D432="?OLD","!!!","")</f>
        <v/>
      </c>
      <c r="F432" s="23" t="str">
        <f>IF(OR(E432="",E432="!!!"),"",IF(NOT(ISNA(VLOOKUP(E432,E$1:E431,1,FALSE()))),"OLD",IF(AND(E432&lt;&gt;"",E432&lt;&gt;"!!!"),"NEW","")))</f>
        <v> </v>
      </c>
      <c r="G432" s="24" t="str">
        <f>IF(OR(E432="",E432="!!!"),"",IF(OR(J432=0,AND(J432=1,K432=1),AND(J432=1,I432="SBJ"),AND(J432=1,I432=0)),"?IN_FOCUS",IF(J432&lt;=2,"?ACTIVATED",IF(J432&lt;&gt;"","?FAMILIAR",IF(F432="NEW",IF(ISNA(VLOOKUP(E432,#REF!,1,FALSE())),"?TYPE_IDENTIFIABLE","?REFERENTIAL"),"_")))))</f>
        <v> </v>
      </c>
      <c r="H432" s="25" t="str">
        <f>IF(J432&lt;&gt;1,"",IF(I432="SBJ","CB","?"))</f>
        <v> </v>
      </c>
      <c r="I432" s="26" t="str">
        <f>IF(OR(E432="",E432="!!!",F432="NEW"),"",INDEX(B431:B$2,-1+SUMPRODUCT(MAX(ROW(E431:E$2)*(E432=E431:E$2)))))</f>
        <v> </v>
      </c>
      <c r="J432" s="26" t="str">
        <f>IF(OR(E432="",E432="!!!",F432="NEW"),"",COUNTBLANK(OFFSET(A$1,,,SUMPRODUCT(MAX(ROW(E$2:E432)*(E432=E$2:E432)))))-COUNTBLANK(OFFSET(A$1,,,SUMPRODUCT(MAX(ROW(E$1:E431)*(E2=E$1:E431))))))</f>
        <v> </v>
      </c>
      <c r="K432" s="26" t="str">
        <f>IF(OR(E432="",E432="!!!",F432="NEW"),"",INDEX(J$1:J431,SUMPRODUCT(MAX(ROW(E$1:E431)*(E432=E$1:E431)))))</f>
        <v> </v>
      </c>
      <c r="L432" s="27"/>
    </row>
    <row r="433" spans="1:12">
      <c r="A433" s="20" t="s">
        <v>991</v>
      </c>
      <c r="E433" s="22">
        <f>IF(D433="?OLD","!!!","")</f>
        <v/>
      </c>
      <c r="F433" s="23" t="str">
        <f>IF(OR(E433="",E433="!!!"),"",IF(NOT(ISNA(VLOOKUP(E433,E$1:E432,1,FALSE()))),"OLD",IF(AND(E433&lt;&gt;"",E433&lt;&gt;"!!!"),"NEW","")))</f>
        <v> </v>
      </c>
      <c r="G433" s="24" t="str">
        <f>IF(OR(E433="",E433="!!!"),"",IF(OR(J433=0,AND(J433=1,K433=1),AND(J433=1,I433="SBJ"),AND(J433=1,I433=0)),"?IN_FOCUS",IF(J433&lt;=2,"?ACTIVATED",IF(J433&lt;&gt;"","?FAMILIAR",IF(F433="NEW",IF(ISNA(VLOOKUP(E433,#REF!,1,FALSE())),"?TYPE_IDENTIFIABLE","?REFERENTIAL"),"_")))))</f>
        <v> </v>
      </c>
      <c r="H433" s="25" t="str">
        <f>IF(J433&lt;&gt;1,"",IF(I433="SBJ","CB","?"))</f>
        <v> </v>
      </c>
      <c r="I433" s="26" t="str">
        <f>IF(OR(E433="",E433="!!!",F433="NEW"),"",INDEX(B432:B$2,-1+SUMPRODUCT(MAX(ROW(E432:E$2)*(E433=E432:E$2)))))</f>
        <v> </v>
      </c>
      <c r="J433" s="26" t="str">
        <f>IF(OR(E433="",E433="!!!",F433="NEW"),"",COUNTBLANK(OFFSET(A$1,,,SUMPRODUCT(MAX(ROW(E$2:E433)*(E433=E$2:E433)))))-COUNTBLANK(OFFSET(A$1,,,SUMPRODUCT(MAX(ROW(E$1:E432)*(E2=E$1:E432))))))</f>
        <v> </v>
      </c>
      <c r="K433" s="26" t="str">
        <f>IF(OR(E433="",E433="!!!",F433="NEW"),"",INDEX(J$1:J432,SUMPRODUCT(MAX(ROW(E$1:E432)*(E433=E$1:E432)))))</f>
        <v> </v>
      </c>
      <c r="L433" s="27"/>
    </row>
    <row r="434" spans="1:12">
      <c r="A434" s="20" t="s">
        <v>992</v>
      </c>
      <c r="E434" s="22">
        <f>IF(D434="?OLD","!!!","")</f>
        <v/>
      </c>
      <c r="F434" s="23" t="str">
        <f>IF(OR(E434="",E434="!!!"),"",IF(NOT(ISNA(VLOOKUP(E434,E$1:E433,1,FALSE()))),"OLD",IF(AND(E434&lt;&gt;"",E434&lt;&gt;"!!!"),"NEW","")))</f>
        <v> </v>
      </c>
      <c r="G434" s="24" t="str">
        <f>IF(OR(E434="",E434="!!!"),"",IF(OR(J434=0,AND(J434=1,K434=1),AND(J434=1,I434="SBJ"),AND(J434=1,I434=0)),"?IN_FOCUS",IF(J434&lt;=2,"?ACTIVATED",IF(J434&lt;&gt;"","?FAMILIAR",IF(F434="NEW",IF(ISNA(VLOOKUP(E434,#REF!,1,FALSE())),"?TYPE_IDENTIFIABLE","?REFERENTIAL"),"_")))))</f>
        <v> </v>
      </c>
      <c r="H434" s="25" t="str">
        <f>IF(J434&lt;&gt;1,"",IF(I434="SBJ","CB","?"))</f>
        <v> </v>
      </c>
      <c r="I434" s="26" t="str">
        <f>IF(OR(E434="",E434="!!!",F434="NEW"),"",INDEX(B433:B$2,-1+SUMPRODUCT(MAX(ROW(E433:E$2)*(E434=E433:E$2)))))</f>
        <v> </v>
      </c>
      <c r="J434" s="26" t="str">
        <f>IF(OR(E434="",E434="!!!",F434="NEW"),"",COUNTBLANK(OFFSET(A$1,,,SUMPRODUCT(MAX(ROW(E$2:E434)*(E434=E$2:E434)))))-COUNTBLANK(OFFSET(A$1,,,SUMPRODUCT(MAX(ROW(E$1:E433)*(E2=E$1:E433))))))</f>
        <v> </v>
      </c>
      <c r="K434" s="26" t="str">
        <f>IF(OR(E434="",E434="!!!",F434="NEW"),"",INDEX(J$1:J433,SUMPRODUCT(MAX(ROW(E$1:E433)*(E434=E$1:E433)))))</f>
        <v> </v>
      </c>
      <c r="L434" s="27"/>
    </row>
    <row r="435" spans="1:12">
      <c r="A435" s="20" t="s">
        <v>246</v>
      </c>
      <c r="E435" s="22">
        <f>IF(D435="?OLD","!!!","")</f>
        <v/>
      </c>
      <c r="F435" s="23" t="str">
        <f>IF(OR(E435="",E435="!!!"),"",IF(NOT(ISNA(VLOOKUP(E435,E$1:E434,1,FALSE()))),"OLD",IF(AND(E435&lt;&gt;"",E435&lt;&gt;"!!!"),"NEW","")))</f>
        <v> </v>
      </c>
      <c r="G435" s="24" t="str">
        <f>IF(OR(E435="",E435="!!!"),"",IF(OR(J435=0,AND(J435=1,K435=1),AND(J435=1,I435="SBJ"),AND(J435=1,I435=0)),"?IN_FOCUS",IF(J435&lt;=2,"?ACTIVATED",IF(J435&lt;&gt;"","?FAMILIAR",IF(F435="NEW",IF(ISNA(VLOOKUP(E435,#REF!,1,FALSE())),"?TYPE_IDENTIFIABLE","?REFERENTIAL"),"_")))))</f>
        <v> </v>
      </c>
      <c r="H435" s="25" t="str">
        <f>IF(J435&lt;&gt;1,"",IF(I435="SBJ","CB","?"))</f>
        <v> </v>
      </c>
      <c r="I435" s="26" t="str">
        <f>IF(OR(E435="",E435="!!!",F435="NEW"),"",INDEX(B434:B$2,-1+SUMPRODUCT(MAX(ROW(E434:E$2)*(E435=E434:E$2)))))</f>
        <v> </v>
      </c>
      <c r="J435" s="26" t="str">
        <f>IF(OR(E435="",E435="!!!",F435="NEW"),"",COUNTBLANK(OFFSET(A$1,,,SUMPRODUCT(MAX(ROW(E$2:E435)*(E435=E$2:E435)))))-COUNTBLANK(OFFSET(A$1,,,SUMPRODUCT(MAX(ROW(E$1:E434)*(E2=E$1:E434))))))</f>
        <v> </v>
      </c>
      <c r="K435" s="26" t="str">
        <f>IF(OR(E435="",E435="!!!",F435="NEW"),"",INDEX(J$1:J434,SUMPRODUCT(MAX(ROW(E$1:E434)*(E435=E$1:E434)))))</f>
        <v> </v>
      </c>
      <c r="L435" s="27"/>
    </row>
    <row r="436" spans="1:12">
      <c r="A436" s="20"/>
    </row>
    <row r="437" spans="1:12">
      <c r="A437" s="20" t="s">
        <v>993</v>
      </c>
    </row>
    <row r="438" spans="1:12">
      <c r="A438" s="20" t="s">
        <v>994</v>
      </c>
      <c r="E438" s="22">
        <f>IF(D438="?OLD","!!!","")</f>
        <v/>
      </c>
      <c r="F438" s="23" t="str">
        <f>IF(OR(E438="",E438="!!!"),"",IF(NOT(ISNA(VLOOKUP(E438,E$1:E437,1,FALSE()))),"OLD",IF(AND(E438&lt;&gt;"",E438&lt;&gt;"!!!"),"NEW","")))</f>
        <v> </v>
      </c>
      <c r="G438" s="24" t="str">
        <f>IF(OR(E438="",E438="!!!"),"",IF(OR(J438=0,AND(J438=1,K438=1),AND(J438=1,I438="SBJ"),AND(J438=1,I438=0)),"?IN_FOCUS",IF(J438&lt;=2,"?ACTIVATED",IF(J438&lt;&gt;"","?FAMILIAR",IF(F438="NEW",IF(ISNA(VLOOKUP(E438,#REF!,1,FALSE())),"?TYPE_IDENTIFIABLE","?REFERENTIAL"),"_")))))</f>
        <v> </v>
      </c>
      <c r="H438" s="25" t="str">
        <f>IF(J438&lt;&gt;1,"",IF(I438="SBJ","CB","?"))</f>
        <v> </v>
      </c>
      <c r="I438" s="26" t="str">
        <f>IF(OR(E438="",E438="!!!",F438="NEW"),"",INDEX(B437:B$2,-1+SUMPRODUCT(MAX(ROW(E437:E$2)*(E438=E437:E$2)))))</f>
        <v> </v>
      </c>
      <c r="J438" s="26" t="str">
        <f>IF(OR(E438="",E438="!!!",F438="NEW"),"",COUNTBLANK(OFFSET(A$1,,,SUMPRODUCT(MAX(ROW(E$2:E438)*(E438=E$2:E438)))))-COUNTBLANK(OFFSET(A$1,,,SUMPRODUCT(MAX(ROW(E$1:E437)*(E2=E$1:E437))))))</f>
        <v> </v>
      </c>
      <c r="K438" s="26" t="str">
        <f>IF(OR(E438="",E438="!!!",F438="NEW"),"",INDEX(J$1:J437,SUMPRODUCT(MAX(ROW(E$1:E437)*(E438=E$1:E437)))))</f>
        <v> </v>
      </c>
      <c r="L438" s="27"/>
    </row>
    <row r="439" spans="1:12">
      <c r="A439" s="20" t="s">
        <v>979</v>
      </c>
      <c r="E439" s="22">
        <f>IF(D439="?OLD","!!!","")</f>
        <v/>
      </c>
      <c r="F439" s="23" t="str">
        <f>IF(OR(E439="",E439="!!!"),"",IF(NOT(ISNA(VLOOKUP(E439,E$1:E438,1,FALSE()))),"OLD",IF(AND(E439&lt;&gt;"",E439&lt;&gt;"!!!"),"NEW","")))</f>
        <v> </v>
      </c>
      <c r="G439" s="24" t="str">
        <f>IF(OR(E439="",E439="!!!"),"",IF(OR(J439=0,AND(J439=1,K439=1),AND(J439=1,I439="SBJ"),AND(J439=1,I439=0)),"?IN_FOCUS",IF(J439&lt;=2,"?ACTIVATED",IF(J439&lt;&gt;"","?FAMILIAR",IF(F439="NEW",IF(ISNA(VLOOKUP(E439,#REF!,1,FALSE())),"?TYPE_IDENTIFIABLE","?REFERENTIAL"),"_")))))</f>
        <v> </v>
      </c>
      <c r="H439" s="25" t="str">
        <f>IF(J439&lt;&gt;1,"",IF(I439="SBJ","CB","?"))</f>
        <v> </v>
      </c>
      <c r="I439" s="26" t="str">
        <f>IF(OR(E439="",E439="!!!",F439="NEW"),"",INDEX(B438:B$2,-1+SUMPRODUCT(MAX(ROW(E438:E$2)*(E439=E438:E$2)))))</f>
        <v> </v>
      </c>
      <c r="J439" s="26" t="str">
        <f>IF(OR(E439="",E439="!!!",F439="NEW"),"",COUNTBLANK(OFFSET(A$1,,,SUMPRODUCT(MAX(ROW(E$2:E439)*(E439=E$2:E439)))))-COUNTBLANK(OFFSET(A$1,,,SUMPRODUCT(MAX(ROW(E$1:E438)*(E2=E$1:E438))))))</f>
        <v> </v>
      </c>
      <c r="K439" s="26" t="str">
        <f>IF(OR(E439="",E439="!!!",F439="NEW"),"",INDEX(J$1:J438,SUMPRODUCT(MAX(ROW(E$1:E438)*(E439=E$1:E438)))))</f>
        <v> </v>
      </c>
      <c r="L439" s="27"/>
    </row>
    <row r="440" spans="1:12">
      <c r="A440" s="20" t="s">
        <v>811</v>
      </c>
      <c r="E440" s="22">
        <f>IF(D440="?OLD","!!!","")</f>
        <v/>
      </c>
      <c r="F440" s="23" t="str">
        <f>IF(OR(E440="",E440="!!!"),"",IF(NOT(ISNA(VLOOKUP(E440,E$1:E439,1,FALSE()))),"OLD",IF(AND(E440&lt;&gt;"",E440&lt;&gt;"!!!"),"NEW","")))</f>
        <v> </v>
      </c>
      <c r="G440" s="24" t="str">
        <f>IF(OR(E440="",E440="!!!"),"",IF(OR(J440=0,AND(J440=1,K440=1),AND(J440=1,I440="SBJ"),AND(J440=1,I440=0)),"?IN_FOCUS",IF(J440&lt;=2,"?ACTIVATED",IF(J440&lt;&gt;"","?FAMILIAR",IF(F440="NEW",IF(ISNA(VLOOKUP(E440,#REF!,1,FALSE())),"?TYPE_IDENTIFIABLE","?REFERENTIAL"),"_")))))</f>
        <v> </v>
      </c>
      <c r="H440" s="25" t="str">
        <f>IF(J440&lt;&gt;1,"",IF(I440="SBJ","CB","?"))</f>
        <v> </v>
      </c>
      <c r="I440" s="26" t="str">
        <f>IF(OR(E440="",E440="!!!",F440="NEW"),"",INDEX(B439:B$2,-1+SUMPRODUCT(MAX(ROW(E439:E$2)*(E440=E439:E$2)))))</f>
        <v> </v>
      </c>
      <c r="J440" s="26" t="str">
        <f>IF(OR(E440="",E440="!!!",F440="NEW"),"",COUNTBLANK(OFFSET(A$1,,,SUMPRODUCT(MAX(ROW(E$2:E440)*(E440=E$2:E440)))))-COUNTBLANK(OFFSET(A$1,,,SUMPRODUCT(MAX(ROW(E$1:E439)*(E2=E$1:E439))))))</f>
        <v> </v>
      </c>
      <c r="K440" s="26" t="str">
        <f>IF(OR(E440="",E440="!!!",F440="NEW"),"",INDEX(J$1:J439,SUMPRODUCT(MAX(ROW(E$1:E439)*(E440=E$1:E439)))))</f>
        <v> </v>
      </c>
      <c r="L440" s="27"/>
    </row>
    <row r="441" spans="1:12">
      <c r="A441" s="20" t="s">
        <v>762</v>
      </c>
      <c r="E441" s="22">
        <f>IF(D441="?OLD","!!!","")</f>
        <v/>
      </c>
      <c r="F441" s="23" t="str">
        <f>IF(OR(E441="",E441="!!!"),"",IF(NOT(ISNA(VLOOKUP(E441,E$1:E440,1,FALSE()))),"OLD",IF(AND(E441&lt;&gt;"",E441&lt;&gt;"!!!"),"NEW","")))</f>
        <v> </v>
      </c>
      <c r="G441" s="24" t="str">
        <f>IF(OR(E441="",E441="!!!"),"",IF(OR(J441=0,AND(J441=1,K441=1),AND(J441=1,I441="SBJ"),AND(J441=1,I441=0)),"?IN_FOCUS",IF(J441&lt;=2,"?ACTIVATED",IF(J441&lt;&gt;"","?FAMILIAR",IF(F441="NEW",IF(ISNA(VLOOKUP(E441,#REF!,1,FALSE())),"?TYPE_IDENTIFIABLE","?REFERENTIAL"),"_")))))</f>
        <v> </v>
      </c>
      <c r="H441" s="25" t="str">
        <f>IF(J441&lt;&gt;1,"",IF(I441="SBJ","CB","?"))</f>
        <v> </v>
      </c>
      <c r="I441" s="26" t="str">
        <f>IF(OR(E441="",E441="!!!",F441="NEW"),"",INDEX(B440:B$2,-1+SUMPRODUCT(MAX(ROW(E440:E$2)*(E441=E440:E$2)))))</f>
        <v> </v>
      </c>
      <c r="J441" s="26" t="str">
        <f>IF(OR(E441="",E441="!!!",F441="NEW"),"",COUNTBLANK(OFFSET(A$1,,,SUMPRODUCT(MAX(ROW(E$2:E441)*(E441=E$2:E441)))))-COUNTBLANK(OFFSET(A$1,,,SUMPRODUCT(MAX(ROW(E$1:E440)*(E2=E$1:E440))))))</f>
        <v> </v>
      </c>
      <c r="K441" s="26" t="str">
        <f>IF(OR(E441="",E441="!!!",F441="NEW"),"",INDEX(J$1:J440,SUMPRODUCT(MAX(ROW(E$1:E440)*(E441=E$1:E440)))))</f>
        <v> </v>
      </c>
      <c r="L441" s="27"/>
    </row>
    <row r="442" spans="1:12">
      <c r="A442" s="20" t="s">
        <v>842</v>
      </c>
      <c r="B442" s="21" t="s">
        <v>736</v>
      </c>
      <c r="C442" s="21" t="s">
        <v>737</v>
      </c>
      <c r="E442" s="22">
        <f>IF(D442="?OLD","!!!","")</f>
        <v/>
      </c>
      <c r="F442" s="23" t="str">
        <f>IF(OR(E442="",E442="!!!"),"",IF(NOT(ISNA(VLOOKUP(E442,E$1:E441,1,FALSE()))),"OLD",IF(AND(E442&lt;&gt;"",E442&lt;&gt;"!!!"),"NEW","")))</f>
        <v> </v>
      </c>
      <c r="G442" s="24" t="str">
        <f>IF(OR(E442="",E442="!!!"),"",IF(OR(J442=0,AND(J442=1,K442=1),AND(J442=1,I442="SBJ"),AND(J442=1,I442=0)),"?IN_FOCUS",IF(J442&lt;=2,"?ACTIVATED",IF(J442&lt;&gt;"","?FAMILIAR",IF(F442="NEW",IF(ISNA(VLOOKUP(E442,#REF!,1,FALSE())),"?TYPE_IDENTIFIABLE","?REFERENTIAL"),"_")))))</f>
        <v> </v>
      </c>
      <c r="H442" s="25" t="str">
        <f>IF(J442&lt;&gt;1,"",IF(I442="SBJ","CB","?"))</f>
        <v> </v>
      </c>
      <c r="I442" s="26" t="str">
        <f>IF(OR(E442="",E442="!!!",F442="NEW"),"",INDEX(B441:B$2,-1+SUMPRODUCT(MAX(ROW(E441:E$2)*(E442=E441:E$2)))))</f>
        <v> </v>
      </c>
      <c r="J442" s="26" t="str">
        <f>IF(OR(E442="",E442="!!!",F442="NEW"),"",COUNTBLANK(OFFSET(A$1,,,SUMPRODUCT(MAX(ROW(E$2:E442)*(E442=E$2:E442)))))-COUNTBLANK(OFFSET(A$1,,,SUMPRODUCT(MAX(ROW(E$1:E441)*(E2=E$1:E441))))))</f>
        <v> </v>
      </c>
      <c r="K442" s="26" t="str">
        <f>IF(OR(E442="",E442="!!!",F442="NEW"),"",INDEX(J$1:J441,SUMPRODUCT(MAX(ROW(E$1:E441)*(E442=E$1:E441)))))</f>
        <v> </v>
      </c>
      <c r="L442" s="27"/>
    </row>
    <row r="443" spans="1:12">
      <c r="A443" s="20" t="s">
        <v>759</v>
      </c>
      <c r="E443" s="22">
        <f>IF(D443="?OLD","!!!","")</f>
        <v/>
      </c>
      <c r="F443" s="23" t="str">
        <f>IF(OR(E443="",E443="!!!"),"",IF(NOT(ISNA(VLOOKUP(E443,E$1:E442,1,FALSE()))),"OLD",IF(AND(E443&lt;&gt;"",E443&lt;&gt;"!!!"),"NEW","")))</f>
        <v> </v>
      </c>
      <c r="G443" s="24" t="str">
        <f>IF(OR(E443="",E443="!!!"),"",IF(OR(J443=0,AND(J443=1,K443=1),AND(J443=1,I443="SBJ"),AND(J443=1,I443=0)),"?IN_FOCUS",IF(J443&lt;=2,"?ACTIVATED",IF(J443&lt;&gt;"","?FAMILIAR",IF(F443="NEW",IF(ISNA(VLOOKUP(E443,#REF!,1,FALSE())),"?TYPE_IDENTIFIABLE","?REFERENTIAL"),"_")))))</f>
        <v> </v>
      </c>
      <c r="H443" s="25" t="str">
        <f>IF(J443&lt;&gt;1,"",IF(I443="SBJ","CB","?"))</f>
        <v> </v>
      </c>
      <c r="I443" s="26" t="str">
        <f>IF(OR(E443="",E443="!!!",F443="NEW"),"",INDEX(B442:B$2,-1+SUMPRODUCT(MAX(ROW(E442:E$2)*(E443=E442:E$2)))))</f>
        <v> </v>
      </c>
      <c r="J443" s="26" t="str">
        <f>IF(OR(E443="",E443="!!!",F443="NEW"),"",COUNTBLANK(OFFSET(A$1,,,SUMPRODUCT(MAX(ROW(E$2:E443)*(E443=E$2:E443)))))-COUNTBLANK(OFFSET(A$1,,,SUMPRODUCT(MAX(ROW(E$1:E442)*(E2=E$1:E442))))))</f>
        <v> </v>
      </c>
      <c r="K443" s="26" t="str">
        <f>IF(OR(E443="",E443="!!!",F443="NEW"),"",INDEX(J$1:J442,SUMPRODUCT(MAX(ROW(E$1:E442)*(E443=E$1:E442)))))</f>
        <v> </v>
      </c>
      <c r="L443" s="27"/>
    </row>
    <row r="444" spans="1:12">
      <c r="A444" s="20" t="s">
        <v>813</v>
      </c>
      <c r="B444" s="21" t="s">
        <v>791</v>
      </c>
      <c r="E444" s="22">
        <f>IF(D444="?OLD","!!!","")</f>
        <v/>
      </c>
      <c r="F444" s="23" t="str">
        <f>IF(OR(E444="",E444="!!!"),"",IF(NOT(ISNA(VLOOKUP(E444,E$1:E443,1,FALSE()))),"OLD",IF(AND(E444&lt;&gt;"",E444&lt;&gt;"!!!"),"NEW","")))</f>
        <v> </v>
      </c>
      <c r="G444" s="24" t="str">
        <f>IF(OR(E444="",E444="!!!"),"",IF(OR(J444=0,AND(J444=1,K444=1),AND(J444=1,I444="SBJ"),AND(J444=1,I444=0)),"?IN_FOCUS",IF(J444&lt;=2,"?ACTIVATED",IF(J444&lt;&gt;"","?FAMILIAR",IF(F444="NEW",IF(ISNA(VLOOKUP(E444,#REF!,1,FALSE())),"?TYPE_IDENTIFIABLE","?REFERENTIAL"),"_")))))</f>
        <v> </v>
      </c>
      <c r="H444" s="25" t="str">
        <f>IF(J444&lt;&gt;1,"",IF(I444="SBJ","CB","?"))</f>
        <v> </v>
      </c>
      <c r="I444" s="26" t="str">
        <f>IF(OR(E444="",E444="!!!",F444="NEW"),"",INDEX(B443:B$2,-1+SUMPRODUCT(MAX(ROW(E443:E$2)*(E444=E443:E$2)))))</f>
        <v> </v>
      </c>
      <c r="J444" s="26" t="str">
        <f>IF(OR(E444="",E444="!!!",F444="NEW"),"",COUNTBLANK(OFFSET(A$1,,,SUMPRODUCT(MAX(ROW(E$2:E444)*(E444=E$2:E444)))))-COUNTBLANK(OFFSET(A$1,,,SUMPRODUCT(MAX(ROW(E$1:E443)*(E2=E$1:E443))))))</f>
        <v> </v>
      </c>
      <c r="K444" s="26" t="str">
        <f>IF(OR(E444="",E444="!!!",F444="NEW"),"",INDEX(J$1:J443,SUMPRODUCT(MAX(ROW(E$1:E443)*(E444=E$1:E443)))))</f>
        <v> </v>
      </c>
      <c r="L444" s="27"/>
    </row>
    <row r="445" spans="1:12">
      <c r="A445" s="20" t="s">
        <v>750</v>
      </c>
      <c r="B445" s="21" t="s">
        <v>796</v>
      </c>
      <c r="C445" s="21" t="s">
        <v>729</v>
      </c>
      <c r="D445" s="21" t="s">
        <v>730</v>
      </c>
      <c r="E445" s="22">
        <f>IF(D445="?OLD","!!!","")</f>
        <v/>
      </c>
      <c r="F445" s="23" t="str">
        <f>IF(OR(E445="",E445="!!!"),"",IF(NOT(ISNA(VLOOKUP(E445,E$1:E444,1,FALSE()))),"OLD",IF(AND(E445&lt;&gt;"",E445&lt;&gt;"!!!"),"NEW","")))</f>
        <v> </v>
      </c>
      <c r="G445" s="24" t="str">
        <f>IF(OR(E445="",E445="!!!"),"",IF(OR(J445=0,AND(J445=1,K445=1),AND(J445=1,I445="SBJ"),AND(J445=1,I445=0)),"?IN_FOCUS",IF(J445&lt;=2,"?ACTIVATED",IF(J445&lt;&gt;"","?FAMILIAR",IF(F445="NEW",IF(ISNA(VLOOKUP(E445,#REF!,1,FALSE())),"?TYPE_IDENTIFIABLE","?REFERENTIAL"),"_")))))</f>
        <v> </v>
      </c>
      <c r="H445" s="25" t="str">
        <f>IF(J445&lt;&gt;1,"",IF(I445="SBJ","CB","?"))</f>
        <v> </v>
      </c>
      <c r="I445" s="26" t="str">
        <f>IF(OR(E445="",E445="!!!",F445="NEW"),"",INDEX(B444:B$2,-1+SUMPRODUCT(MAX(ROW(E444:E$2)*(E445=E444:E$2)))))</f>
        <v> </v>
      </c>
      <c r="J445" s="26" t="str">
        <f>IF(OR(E445="",E445="!!!",F445="NEW"),"",COUNTBLANK(OFFSET(A$1,,,SUMPRODUCT(MAX(ROW(E$2:E445)*(E445=E$2:E445)))))-COUNTBLANK(OFFSET(A$1,,,SUMPRODUCT(MAX(ROW(E$1:E444)*(E2=E$1:E444))))))</f>
        <v> </v>
      </c>
      <c r="K445" s="26" t="str">
        <f>IF(OR(E445="",E445="!!!",F445="NEW"),"",INDEX(J$1:J444,SUMPRODUCT(MAX(ROW(E$1:E444)*(E445=E$1:E444)))))</f>
        <v> </v>
      </c>
      <c r="L445" s="27"/>
    </row>
    <row r="446" spans="1:12">
      <c r="A446" s="20" t="s">
        <v>995</v>
      </c>
      <c r="E446" s="22">
        <f>IF(D446="?OLD","!!!","")</f>
        <v/>
      </c>
      <c r="F446" s="23" t="str">
        <f>IF(OR(E446="",E446="!!!"),"",IF(NOT(ISNA(VLOOKUP(E446,E$1:E445,1,FALSE()))),"OLD",IF(AND(E446&lt;&gt;"",E446&lt;&gt;"!!!"),"NEW","")))</f>
        <v> </v>
      </c>
      <c r="G446" s="24" t="str">
        <f>IF(OR(E446="",E446="!!!"),"",IF(OR(J446=0,AND(J446=1,K446=1),AND(J446=1,I446="SBJ"),AND(J446=1,I446=0)),"?IN_FOCUS",IF(J446&lt;=2,"?ACTIVATED",IF(J446&lt;&gt;"","?FAMILIAR",IF(F446="NEW",IF(ISNA(VLOOKUP(E446,#REF!,1,FALSE())),"?TYPE_IDENTIFIABLE","?REFERENTIAL"),"_")))))</f>
        <v> </v>
      </c>
      <c r="H446" s="25" t="str">
        <f>IF(J446&lt;&gt;1,"",IF(I446="SBJ","CB","?"))</f>
        <v> </v>
      </c>
      <c r="I446" s="26" t="str">
        <f>IF(OR(E446="",E446="!!!",F446="NEW"),"",INDEX(B445:B$2,-1+SUMPRODUCT(MAX(ROW(E445:E$2)*(E446=E445:E$2)))))</f>
        <v> </v>
      </c>
      <c r="J446" s="26" t="str">
        <f>IF(OR(E446="",E446="!!!",F446="NEW"),"",COUNTBLANK(OFFSET(A$1,,,SUMPRODUCT(MAX(ROW(E$2:E446)*(E446=E$2:E446)))))-COUNTBLANK(OFFSET(A$1,,,SUMPRODUCT(MAX(ROW(E$1:E445)*(E2=E$1:E445))))))</f>
        <v> </v>
      </c>
      <c r="K446" s="26" t="str">
        <f>IF(OR(E446="",E446="!!!",F446="NEW"),"",INDEX(J$1:J445,SUMPRODUCT(MAX(ROW(E$1:E445)*(E446=E$1:E445)))))</f>
        <v> </v>
      </c>
      <c r="L446" s="27"/>
    </row>
    <row r="447" spans="1:12">
      <c r="A447" s="20" t="s">
        <v>996</v>
      </c>
      <c r="E447" s="22">
        <f>IF(D447="?OLD","!!!","")</f>
        <v/>
      </c>
      <c r="F447" s="23" t="str">
        <f>IF(OR(E447="",E447="!!!"),"",IF(NOT(ISNA(VLOOKUP(E447,E$1:E446,1,FALSE()))),"OLD",IF(AND(E447&lt;&gt;"",E447&lt;&gt;"!!!"),"NEW","")))</f>
        <v> </v>
      </c>
      <c r="G447" s="24" t="str">
        <f>IF(OR(E447="",E447="!!!"),"",IF(OR(J447=0,AND(J447=1,K447=1),AND(J447=1,I447="SBJ"),AND(J447=1,I447=0)),"?IN_FOCUS",IF(J447&lt;=2,"?ACTIVATED",IF(J447&lt;&gt;"","?FAMILIAR",IF(F447="NEW",IF(ISNA(VLOOKUP(E447,#REF!,1,FALSE())),"?TYPE_IDENTIFIABLE","?REFERENTIAL"),"_")))))</f>
        <v> </v>
      </c>
      <c r="H447" s="25" t="str">
        <f>IF(J447&lt;&gt;1,"",IF(I447="SBJ","CB","?"))</f>
        <v> </v>
      </c>
      <c r="I447" s="26" t="str">
        <f>IF(OR(E447="",E447="!!!",F447="NEW"),"",INDEX(B446:B$2,-1+SUMPRODUCT(MAX(ROW(E446:E$2)*(E447=E446:E$2)))))</f>
        <v> </v>
      </c>
      <c r="J447" s="26" t="str">
        <f>IF(OR(E447="",E447="!!!",F447="NEW"),"",COUNTBLANK(OFFSET(A$1,,,SUMPRODUCT(MAX(ROW(E$2:E447)*(E447=E$2:E447)))))-COUNTBLANK(OFFSET(A$1,,,SUMPRODUCT(MAX(ROW(E$1:E446)*(E2=E$1:E446))))))</f>
        <v> </v>
      </c>
      <c r="K447" s="26" t="str">
        <f>IF(OR(E447="",E447="!!!",F447="NEW"),"",INDEX(J$1:J446,SUMPRODUCT(MAX(ROW(E$1:E446)*(E447=E$1:E446)))))</f>
        <v> </v>
      </c>
      <c r="L447" s="27"/>
    </row>
    <row r="448" spans="1:12">
      <c r="A448" s="20" t="s">
        <v>895</v>
      </c>
      <c r="E448" s="22">
        <f>IF(D448="?OLD","!!!","")</f>
        <v/>
      </c>
      <c r="F448" s="23" t="str">
        <f>IF(OR(E448="",E448="!!!"),"",IF(NOT(ISNA(VLOOKUP(E448,E$1:E447,1,FALSE()))),"OLD",IF(AND(E448&lt;&gt;"",E448&lt;&gt;"!!!"),"NEW","")))</f>
        <v> </v>
      </c>
      <c r="G448" s="24" t="str">
        <f>IF(OR(E448="",E448="!!!"),"",IF(OR(J448=0,AND(J448=1,K448=1),AND(J448=1,I448="SBJ"),AND(J448=1,I448=0)),"?IN_FOCUS",IF(J448&lt;=2,"?ACTIVATED",IF(J448&lt;&gt;"","?FAMILIAR",IF(F448="NEW",IF(ISNA(VLOOKUP(E448,#REF!,1,FALSE())),"?TYPE_IDENTIFIABLE","?REFERENTIAL"),"_")))))</f>
        <v> </v>
      </c>
      <c r="H448" s="25" t="str">
        <f>IF(J448&lt;&gt;1,"",IF(I448="SBJ","CB","?"))</f>
        <v> </v>
      </c>
      <c r="I448" s="26" t="str">
        <f>IF(OR(E448="",E448="!!!",F448="NEW"),"",INDEX(B447:B$2,-1+SUMPRODUCT(MAX(ROW(E447:E$2)*(E448=E447:E$2)))))</f>
        <v> </v>
      </c>
      <c r="J448" s="26" t="str">
        <f>IF(OR(E448="",E448="!!!",F448="NEW"),"",COUNTBLANK(OFFSET(A$1,,,SUMPRODUCT(MAX(ROW(E$2:E448)*(E448=E$2:E448)))))-COUNTBLANK(OFFSET(A$1,,,SUMPRODUCT(MAX(ROW(E$1:E447)*(E2=E$1:E447))))))</f>
        <v> </v>
      </c>
      <c r="K448" s="26" t="str">
        <f>IF(OR(E448="",E448="!!!",F448="NEW"),"",INDEX(J$1:J447,SUMPRODUCT(MAX(ROW(E$1:E447)*(E448=E$1:E447)))))</f>
        <v> </v>
      </c>
      <c r="L448" s="27"/>
    </row>
    <row r="449" spans="1:12">
      <c r="A449" s="20" t="s">
        <v>759</v>
      </c>
      <c r="E449" s="22">
        <f>IF(D449="?OLD","!!!","")</f>
        <v/>
      </c>
      <c r="F449" s="23" t="str">
        <f>IF(OR(E449="",E449="!!!"),"",IF(NOT(ISNA(VLOOKUP(E449,E$1:E448,1,FALSE()))),"OLD",IF(AND(E449&lt;&gt;"",E449&lt;&gt;"!!!"),"NEW","")))</f>
        <v> </v>
      </c>
      <c r="G449" s="24" t="str">
        <f>IF(OR(E449="",E449="!!!"),"",IF(OR(J449=0,AND(J449=1,K449=1),AND(J449=1,I449="SBJ"),AND(J449=1,I449=0)),"?IN_FOCUS",IF(J449&lt;=2,"?ACTIVATED",IF(J449&lt;&gt;"","?FAMILIAR",IF(F449="NEW",IF(ISNA(VLOOKUP(E449,#REF!,1,FALSE())),"?TYPE_IDENTIFIABLE","?REFERENTIAL"),"_")))))</f>
        <v> </v>
      </c>
      <c r="H449" s="25" t="str">
        <f>IF(J449&lt;&gt;1,"",IF(I449="SBJ","CB","?"))</f>
        <v> </v>
      </c>
      <c r="I449" s="26" t="str">
        <f>IF(OR(E449="",E449="!!!",F449="NEW"),"",INDEX(B448:B$2,-1+SUMPRODUCT(MAX(ROW(E448:E$2)*(E449=E448:E$2)))))</f>
        <v> </v>
      </c>
      <c r="J449" s="26" t="str">
        <f>IF(OR(E449="",E449="!!!",F449="NEW"),"",COUNTBLANK(OFFSET(A$1,,,SUMPRODUCT(MAX(ROW(E$2:E449)*(E449=E$2:E449)))))-COUNTBLANK(OFFSET(A$1,,,SUMPRODUCT(MAX(ROW(E$1:E448)*(E2=E$1:E448))))))</f>
        <v> </v>
      </c>
      <c r="K449" s="26" t="str">
        <f>IF(OR(E449="",E449="!!!",F449="NEW"),"",INDEX(J$1:J448,SUMPRODUCT(MAX(ROW(E$1:E448)*(E449=E$1:E448)))))</f>
        <v> </v>
      </c>
      <c r="L449" s="27"/>
    </row>
    <row r="450" spans="1:12">
      <c r="A450" s="20" t="s">
        <v>979</v>
      </c>
      <c r="E450" s="22">
        <f>IF(D450="?OLD","!!!","")</f>
        <v/>
      </c>
      <c r="F450" s="23" t="str">
        <f>IF(OR(E450="",E450="!!!"),"",IF(NOT(ISNA(VLOOKUP(E450,E$1:E449,1,FALSE()))),"OLD",IF(AND(E450&lt;&gt;"",E450&lt;&gt;"!!!"),"NEW","")))</f>
        <v> </v>
      </c>
      <c r="G450" s="24" t="str">
        <f>IF(OR(E450="",E450="!!!"),"",IF(OR(J450=0,AND(J450=1,K450=1),AND(J450=1,I450="SBJ"),AND(J450=1,I450=0)),"?IN_FOCUS",IF(J450&lt;=2,"?ACTIVATED",IF(J450&lt;&gt;"","?FAMILIAR",IF(F450="NEW",IF(ISNA(VLOOKUP(E450,#REF!,1,FALSE())),"?TYPE_IDENTIFIABLE","?REFERENTIAL"),"_")))))</f>
        <v> </v>
      </c>
      <c r="H450" s="25" t="str">
        <f>IF(J450&lt;&gt;1,"",IF(I450="SBJ","CB","?"))</f>
        <v> </v>
      </c>
      <c r="I450" s="26" t="str">
        <f>IF(OR(E450="",E450="!!!",F450="NEW"),"",INDEX(B449:B$2,-1+SUMPRODUCT(MAX(ROW(E449:E$2)*(E450=E449:E$2)))))</f>
        <v> </v>
      </c>
      <c r="J450" s="26" t="str">
        <f>IF(OR(E450="",E450="!!!",F450="NEW"),"",COUNTBLANK(OFFSET(A$1,,,SUMPRODUCT(MAX(ROW(E$2:E450)*(E450=E$2:E450)))))-COUNTBLANK(OFFSET(A$1,,,SUMPRODUCT(MAX(ROW(E$1:E449)*(E2=E$1:E449))))))</f>
        <v> </v>
      </c>
      <c r="K450" s="26" t="str">
        <f>IF(OR(E450="",E450="!!!",F450="NEW"),"",INDEX(J$1:J449,SUMPRODUCT(MAX(ROW(E$1:E449)*(E450=E$1:E449)))))</f>
        <v> </v>
      </c>
      <c r="L450" s="27"/>
    </row>
    <row r="451" spans="1:12">
      <c r="A451" s="20" t="s">
        <v>742</v>
      </c>
      <c r="E451" s="22">
        <f>IF(D451="?OLD","!!!","")</f>
        <v/>
      </c>
      <c r="F451" s="23" t="str">
        <f>IF(OR(E451="",E451="!!!"),"",IF(NOT(ISNA(VLOOKUP(E451,E$1:E450,1,FALSE()))),"OLD",IF(AND(E451&lt;&gt;"",E451&lt;&gt;"!!!"),"NEW","")))</f>
        <v> </v>
      </c>
      <c r="G451" s="24" t="str">
        <f>IF(OR(E451="",E451="!!!"),"",IF(OR(J451=0,AND(J451=1,K451=1),AND(J451=1,I451="SBJ"),AND(J451=1,I451=0)),"?IN_FOCUS",IF(J451&lt;=2,"?ACTIVATED",IF(J451&lt;&gt;"","?FAMILIAR",IF(F451="NEW",IF(ISNA(VLOOKUP(E451,#REF!,1,FALSE())),"?TYPE_IDENTIFIABLE","?REFERENTIAL"),"_")))))</f>
        <v> </v>
      </c>
      <c r="H451" s="25" t="str">
        <f>IF(J451&lt;&gt;1,"",IF(I451="SBJ","CB","?"))</f>
        <v> </v>
      </c>
      <c r="I451" s="26" t="str">
        <f>IF(OR(E451="",E451="!!!",F451="NEW"),"",INDEX(B450:B$2,-1+SUMPRODUCT(MAX(ROW(E450:E$2)*(E451=E450:E$2)))))</f>
        <v> </v>
      </c>
      <c r="J451" s="26" t="str">
        <f>IF(OR(E451="",E451="!!!",F451="NEW"),"",COUNTBLANK(OFFSET(A$1,,,SUMPRODUCT(MAX(ROW(E$2:E451)*(E451=E$2:E451)))))-COUNTBLANK(OFFSET(A$1,,,SUMPRODUCT(MAX(ROW(E$1:E450)*(E2=E$1:E450))))))</f>
        <v> </v>
      </c>
      <c r="K451" s="26" t="str">
        <f>IF(OR(E451="",E451="!!!",F451="NEW"),"",INDEX(J$1:J450,SUMPRODUCT(MAX(ROW(E$1:E450)*(E451=E$1:E450)))))</f>
        <v> </v>
      </c>
      <c r="L451" s="27"/>
    </row>
    <row r="452" spans="1:12">
      <c r="A452" s="20" t="s">
        <v>757</v>
      </c>
      <c r="E452" s="22">
        <f>IF(D452="?OLD","!!!","")</f>
        <v/>
      </c>
      <c r="F452" s="23" t="str">
        <f>IF(OR(E452="",E452="!!!"),"",IF(NOT(ISNA(VLOOKUP(E452,E$1:E451,1,FALSE()))),"OLD",IF(AND(E452&lt;&gt;"",E452&lt;&gt;"!!!"),"NEW","")))</f>
        <v> </v>
      </c>
      <c r="G452" s="24" t="str">
        <f>IF(OR(E452="",E452="!!!"),"",IF(OR(J452=0,AND(J452=1,K452=1),AND(J452=1,I452="SBJ"),AND(J452=1,I452=0)),"?IN_FOCUS",IF(J452&lt;=2,"?ACTIVATED",IF(J452&lt;&gt;"","?FAMILIAR",IF(F452="NEW",IF(ISNA(VLOOKUP(E452,#REF!,1,FALSE())),"?TYPE_IDENTIFIABLE","?REFERENTIAL"),"_")))))</f>
        <v> </v>
      </c>
      <c r="H452" s="25" t="str">
        <f>IF(J452&lt;&gt;1,"",IF(I452="SBJ","CB","?"))</f>
        <v> </v>
      </c>
      <c r="I452" s="26" t="str">
        <f>IF(OR(E452="",E452="!!!",F452="NEW"),"",INDEX(B451:B$2,-1+SUMPRODUCT(MAX(ROW(E451:E$2)*(E452=E451:E$2)))))</f>
        <v> </v>
      </c>
      <c r="J452" s="26" t="str">
        <f>IF(OR(E452="",E452="!!!",F452="NEW"),"",COUNTBLANK(OFFSET(A$1,,,SUMPRODUCT(MAX(ROW(E$2:E452)*(E452=E$2:E452)))))-COUNTBLANK(OFFSET(A$1,,,SUMPRODUCT(MAX(ROW(E$1:E451)*(E2=E$1:E451))))))</f>
        <v> </v>
      </c>
      <c r="K452" s="26" t="str">
        <f>IF(OR(E452="",E452="!!!",F452="NEW"),"",INDEX(J$1:J451,SUMPRODUCT(MAX(ROW(E$1:E451)*(E452=E$1:E451)))))</f>
        <v> </v>
      </c>
      <c r="L452" s="27"/>
    </row>
    <row r="453" spans="1:12">
      <c r="A453" s="20" t="s">
        <v>981</v>
      </c>
      <c r="B453" s="21" t="s">
        <v>764</v>
      </c>
      <c r="C453" s="21" t="s">
        <v>753</v>
      </c>
      <c r="D453" s="21" t="s">
        <v>730</v>
      </c>
      <c r="E453" s="22">
        <f>IF(D453="?OLD","!!!","")</f>
        <v/>
      </c>
      <c r="F453" s="23" t="str">
        <f>IF(OR(E453="",E453="!!!"),"",IF(NOT(ISNA(VLOOKUP(E453,E$1:E452,1,FALSE()))),"OLD",IF(AND(E453&lt;&gt;"",E453&lt;&gt;"!!!"),"NEW","")))</f>
        <v> </v>
      </c>
      <c r="G453" s="24" t="str">
        <f>IF(OR(E453="",E453="!!!"),"",IF(OR(J453=0,AND(J453=1,K453=1),AND(J453=1,I453="SBJ"),AND(J453=1,I453=0)),"?IN_FOCUS",IF(J453&lt;=2,"?ACTIVATED",IF(J453&lt;&gt;"","?FAMILIAR",IF(F453="NEW",IF(ISNA(VLOOKUP(E453,#REF!,1,FALSE())),"?TYPE_IDENTIFIABLE","?REFERENTIAL"),"_")))))</f>
        <v> </v>
      </c>
      <c r="H453" s="25" t="str">
        <f>IF(J453&lt;&gt;1,"",IF(I453="SBJ","CB","?"))</f>
        <v> </v>
      </c>
      <c r="I453" s="26" t="str">
        <f>IF(OR(E453="",E453="!!!",F453="NEW"),"",INDEX(B452:B$2,-1+SUMPRODUCT(MAX(ROW(E452:E$2)*(E453=E452:E$2)))))</f>
        <v> </v>
      </c>
      <c r="J453" s="26" t="str">
        <f>IF(OR(E453="",E453="!!!",F453="NEW"),"",COUNTBLANK(OFFSET(A$1,,,SUMPRODUCT(MAX(ROW(E$2:E453)*(E453=E$2:E453)))))-COUNTBLANK(OFFSET(A$1,,,SUMPRODUCT(MAX(ROW(E$1:E452)*(E2=E$1:E452))))))</f>
        <v> </v>
      </c>
      <c r="K453" s="26" t="str">
        <f>IF(OR(E453="",E453="!!!",F453="NEW"),"",INDEX(J$1:J452,SUMPRODUCT(MAX(ROW(E$1:E452)*(E453=E$1:E452)))))</f>
        <v> </v>
      </c>
      <c r="L453" s="27"/>
    </row>
    <row r="454" spans="1:12">
      <c r="A454" s="20" t="s">
        <v>759</v>
      </c>
      <c r="E454" s="22">
        <f>IF(D454="?OLD","!!!","")</f>
        <v/>
      </c>
      <c r="F454" s="23" t="str">
        <f>IF(OR(E454="",E454="!!!"),"",IF(NOT(ISNA(VLOOKUP(E454,E$1:E453,1,FALSE()))),"OLD",IF(AND(E454&lt;&gt;"",E454&lt;&gt;"!!!"),"NEW","")))</f>
        <v> </v>
      </c>
      <c r="G454" s="24" t="str">
        <f>IF(OR(E454="",E454="!!!"),"",IF(OR(J454=0,AND(J454=1,K454=1),AND(J454=1,I454="SBJ"),AND(J454=1,I454=0)),"?IN_FOCUS",IF(J454&lt;=2,"?ACTIVATED",IF(J454&lt;&gt;"","?FAMILIAR",IF(F454="NEW",IF(ISNA(VLOOKUP(E454,#REF!,1,FALSE())),"?TYPE_IDENTIFIABLE","?REFERENTIAL"),"_")))))</f>
        <v> </v>
      </c>
      <c r="H454" s="25" t="str">
        <f>IF(J454&lt;&gt;1,"",IF(I454="SBJ","CB","?"))</f>
        <v> </v>
      </c>
      <c r="I454" s="26" t="str">
        <f>IF(OR(E454="",E454="!!!",F454="NEW"),"",INDEX(B453:B$2,-1+SUMPRODUCT(MAX(ROW(E453:E$2)*(E454=E453:E$2)))))</f>
        <v> </v>
      </c>
      <c r="J454" s="26" t="str">
        <f>IF(OR(E454="",E454="!!!",F454="NEW"),"",COUNTBLANK(OFFSET(A$1,,,SUMPRODUCT(MAX(ROW(E$2:E454)*(E454=E$2:E454)))))-COUNTBLANK(OFFSET(A$1,,,SUMPRODUCT(MAX(ROW(E$1:E453)*(E2=E$1:E453))))))</f>
        <v> </v>
      </c>
      <c r="K454" s="26" t="str">
        <f>IF(OR(E454="",E454="!!!",F454="NEW"),"",INDEX(J$1:J453,SUMPRODUCT(MAX(ROW(E$1:E453)*(E454=E$1:E453)))))</f>
        <v> </v>
      </c>
      <c r="L454" s="27"/>
    </row>
    <row r="455" spans="1:12">
      <c r="A455" s="20" t="s">
        <v>785</v>
      </c>
      <c r="E455" s="22">
        <f>IF(D455="?OLD","!!!","")</f>
        <v/>
      </c>
      <c r="F455" s="23" t="str">
        <f>IF(OR(E455="",E455="!!!"),"",IF(NOT(ISNA(VLOOKUP(E455,E$1:E454,1,FALSE()))),"OLD",IF(AND(E455&lt;&gt;"",E455&lt;&gt;"!!!"),"NEW","")))</f>
        <v> </v>
      </c>
      <c r="G455" s="24" t="str">
        <f>IF(OR(E455="",E455="!!!"),"",IF(OR(J455=0,AND(J455=1,K455=1),AND(J455=1,I455="SBJ"),AND(J455=1,I455=0)),"?IN_FOCUS",IF(J455&lt;=2,"?ACTIVATED",IF(J455&lt;&gt;"","?FAMILIAR",IF(F455="NEW",IF(ISNA(VLOOKUP(E455,#REF!,1,FALSE())),"?TYPE_IDENTIFIABLE","?REFERENTIAL"),"_")))))</f>
        <v> </v>
      </c>
      <c r="H455" s="25" t="str">
        <f>IF(J455&lt;&gt;1,"",IF(I455="SBJ","CB","?"))</f>
        <v> </v>
      </c>
      <c r="I455" s="26" t="str">
        <f>IF(OR(E455="",E455="!!!",F455="NEW"),"",INDEX(B454:B$2,-1+SUMPRODUCT(MAX(ROW(E454:E$2)*(E455=E454:E$2)))))</f>
        <v> </v>
      </c>
      <c r="J455" s="26" t="str">
        <f>IF(OR(E455="",E455="!!!",F455="NEW"),"",COUNTBLANK(OFFSET(A$1,,,SUMPRODUCT(MAX(ROW(E$2:E455)*(E455=E$2:E455)))))-COUNTBLANK(OFFSET(A$1,,,SUMPRODUCT(MAX(ROW(E$1:E454)*(E2=E$1:E454))))))</f>
        <v> </v>
      </c>
      <c r="K455" s="26" t="str">
        <f>IF(OR(E455="",E455="!!!",F455="NEW"),"",INDEX(J$1:J454,SUMPRODUCT(MAX(ROW(E$1:E454)*(E455=E$1:E454)))))</f>
        <v> </v>
      </c>
      <c r="L455" s="27"/>
    </row>
    <row r="456" spans="1:12">
      <c r="A456" s="20" t="s">
        <v>928</v>
      </c>
      <c r="B456" s="21" t="s">
        <v>788</v>
      </c>
      <c r="C456" s="21" t="s">
        <v>789</v>
      </c>
      <c r="D456" s="21" t="s">
        <v>730</v>
      </c>
      <c r="E456" s="22">
        <f>IF(D456="?OLD","!!!","")</f>
        <v/>
      </c>
      <c r="F456" s="23" t="str">
        <f>IF(OR(E456="",E456="!!!"),"",IF(NOT(ISNA(VLOOKUP(E456,E$1:E455,1,FALSE()))),"OLD",IF(AND(E456&lt;&gt;"",E456&lt;&gt;"!!!"),"NEW","")))</f>
        <v> </v>
      </c>
      <c r="G456" s="24" t="str">
        <f>IF(OR(E456="",E456="!!!"),"",IF(OR(J456=0,AND(J456=1,K456=1),AND(J456=1,I456="SBJ"),AND(J456=1,I456=0)),"?IN_FOCUS",IF(J456&lt;=2,"?ACTIVATED",IF(J456&lt;&gt;"","?FAMILIAR",IF(F456="NEW",IF(ISNA(VLOOKUP(E456,#REF!,1,FALSE())),"?TYPE_IDENTIFIABLE","?REFERENTIAL"),"_")))))</f>
        <v> </v>
      </c>
      <c r="H456" s="25" t="str">
        <f>IF(J456&lt;&gt;1,"",IF(I456="SBJ","CB","?"))</f>
        <v> </v>
      </c>
      <c r="I456" s="26" t="str">
        <f>IF(OR(E456="",E456="!!!",F456="NEW"),"",INDEX(B455:B$2,-1+SUMPRODUCT(MAX(ROW(E455:E$2)*(E456=E455:E$2)))))</f>
        <v> </v>
      </c>
      <c r="J456" s="26" t="str">
        <f>IF(OR(E456="",E456="!!!",F456="NEW"),"",COUNTBLANK(OFFSET(A$1,,,SUMPRODUCT(MAX(ROW(E$2:E456)*(E456=E$2:E456)))))-COUNTBLANK(OFFSET(A$1,,,SUMPRODUCT(MAX(ROW(E$1:E455)*(E2=E$1:E455))))))</f>
        <v> </v>
      </c>
      <c r="K456" s="26" t="str">
        <f>IF(OR(E456="",E456="!!!",F456="NEW"),"",INDEX(J$1:J455,SUMPRODUCT(MAX(ROW(E$1:E455)*(E456=E$1:E455)))))</f>
        <v> </v>
      </c>
      <c r="L456" s="27"/>
    </row>
    <row r="457" spans="1:12">
      <c r="A457" s="20" t="s">
        <v>811</v>
      </c>
      <c r="E457" s="22">
        <f>IF(D457="?OLD","!!!","")</f>
        <v/>
      </c>
      <c r="F457" s="23" t="str">
        <f>IF(OR(E457="",E457="!!!"),"",IF(NOT(ISNA(VLOOKUP(E457,E$1:E456,1,FALSE()))),"OLD",IF(AND(E457&lt;&gt;"",E457&lt;&gt;"!!!"),"NEW","")))</f>
        <v> </v>
      </c>
      <c r="G457" s="24" t="str">
        <f>IF(OR(E457="",E457="!!!"),"",IF(OR(J457=0,AND(J457=1,K457=1),AND(J457=1,I457="SBJ"),AND(J457=1,I457=0)),"?IN_FOCUS",IF(J457&lt;=2,"?ACTIVATED",IF(J457&lt;&gt;"","?FAMILIAR",IF(F457="NEW",IF(ISNA(VLOOKUP(E457,#REF!,1,FALSE())),"?TYPE_IDENTIFIABLE","?REFERENTIAL"),"_")))))</f>
        <v> </v>
      </c>
      <c r="H457" s="25" t="str">
        <f>IF(J457&lt;&gt;1,"",IF(I457="SBJ","CB","?"))</f>
        <v> </v>
      </c>
      <c r="I457" s="26" t="str">
        <f>IF(OR(E457="",E457="!!!",F457="NEW"),"",INDEX(B456:B$2,-1+SUMPRODUCT(MAX(ROW(E456:E$2)*(E457=E456:E$2)))))</f>
        <v> </v>
      </c>
      <c r="J457" s="26" t="str">
        <f>IF(OR(E457="",E457="!!!",F457="NEW"),"",COUNTBLANK(OFFSET(A$1,,,SUMPRODUCT(MAX(ROW(E$2:E457)*(E457=E$2:E457)))))-COUNTBLANK(OFFSET(A$1,,,SUMPRODUCT(MAX(ROW(E$1:E456)*(E2=E$1:E456))))))</f>
        <v> </v>
      </c>
      <c r="K457" s="26" t="str">
        <f>IF(OR(E457="",E457="!!!",F457="NEW"),"",INDEX(J$1:J456,SUMPRODUCT(MAX(ROW(E$1:E456)*(E457=E$1:E456)))))</f>
        <v> </v>
      </c>
      <c r="L457" s="27"/>
    </row>
    <row r="458" spans="1:12">
      <c r="A458" s="20" t="s">
        <v>997</v>
      </c>
      <c r="E458" s="22">
        <f>IF(D458="?OLD","!!!","")</f>
        <v/>
      </c>
      <c r="F458" s="23" t="str">
        <f>IF(OR(E458="",E458="!!!"),"",IF(NOT(ISNA(VLOOKUP(E458,E$1:E457,1,FALSE()))),"OLD",IF(AND(E458&lt;&gt;"",E458&lt;&gt;"!!!"),"NEW","")))</f>
        <v> </v>
      </c>
      <c r="G458" s="24" t="str">
        <f>IF(OR(E458="",E458="!!!"),"",IF(OR(J458=0,AND(J458=1,K458=1),AND(J458=1,I458="SBJ"),AND(J458=1,I458=0)),"?IN_FOCUS",IF(J458&lt;=2,"?ACTIVATED",IF(J458&lt;&gt;"","?FAMILIAR",IF(F458="NEW",IF(ISNA(VLOOKUP(E458,#REF!,1,FALSE())),"?TYPE_IDENTIFIABLE","?REFERENTIAL"),"_")))))</f>
        <v> </v>
      </c>
      <c r="H458" s="25" t="str">
        <f>IF(J458&lt;&gt;1,"",IF(I458="SBJ","CB","?"))</f>
        <v> </v>
      </c>
      <c r="I458" s="26" t="str">
        <f>IF(OR(E458="",E458="!!!",F458="NEW"),"",INDEX(B457:B$2,-1+SUMPRODUCT(MAX(ROW(E457:E$2)*(E458=E457:E$2)))))</f>
        <v> </v>
      </c>
      <c r="J458" s="26" t="str">
        <f>IF(OR(E458="",E458="!!!",F458="NEW"),"",COUNTBLANK(OFFSET(A$1,,,SUMPRODUCT(MAX(ROW(E$2:E458)*(E458=E$2:E458)))))-COUNTBLANK(OFFSET(A$1,,,SUMPRODUCT(MAX(ROW(E$1:E457)*(E2=E$1:E457))))))</f>
        <v> </v>
      </c>
      <c r="K458" s="26" t="str">
        <f>IF(OR(E458="",E458="!!!",F458="NEW"),"",INDEX(J$1:J457,SUMPRODUCT(MAX(ROW(E$1:E457)*(E458=E$1:E457)))))</f>
        <v> </v>
      </c>
      <c r="L458" s="27"/>
    </row>
    <row r="459" spans="1:12">
      <c r="A459" s="20" t="s">
        <v>998</v>
      </c>
      <c r="E459" s="22">
        <f>IF(D459="?OLD","!!!","")</f>
        <v/>
      </c>
      <c r="F459" s="23" t="str">
        <f>IF(OR(E459="",E459="!!!"),"",IF(NOT(ISNA(VLOOKUP(E459,E$1:E458,1,FALSE()))),"OLD",IF(AND(E459&lt;&gt;"",E459&lt;&gt;"!!!"),"NEW","")))</f>
        <v> </v>
      </c>
      <c r="G459" s="24" t="str">
        <f>IF(OR(E459="",E459="!!!"),"",IF(OR(J459=0,AND(J459=1,K459=1),AND(J459=1,I459="SBJ"),AND(J459=1,I459=0)),"?IN_FOCUS",IF(J459&lt;=2,"?ACTIVATED",IF(J459&lt;&gt;"","?FAMILIAR",IF(F459="NEW",IF(ISNA(VLOOKUP(E459,#REF!,1,FALSE())),"?TYPE_IDENTIFIABLE","?REFERENTIAL"),"_")))))</f>
        <v> </v>
      </c>
      <c r="H459" s="25" t="str">
        <f>IF(J459&lt;&gt;1,"",IF(I459="SBJ","CB","?"))</f>
        <v> </v>
      </c>
      <c r="I459" s="26" t="str">
        <f>IF(OR(E459="",E459="!!!",F459="NEW"),"",INDEX(B458:B$2,-1+SUMPRODUCT(MAX(ROW(E458:E$2)*(E459=E458:E$2)))))</f>
        <v> </v>
      </c>
      <c r="J459" s="26" t="str">
        <f>IF(OR(E459="",E459="!!!",F459="NEW"),"",COUNTBLANK(OFFSET(A$1,,,SUMPRODUCT(MAX(ROW(E$2:E459)*(E459=E$2:E459)))))-COUNTBLANK(OFFSET(A$1,,,SUMPRODUCT(MAX(ROW(E$1:E458)*(E2=E$1:E458))))))</f>
        <v> </v>
      </c>
      <c r="K459" s="26" t="str">
        <f>IF(OR(E459="",E459="!!!",F459="NEW"),"",INDEX(J$1:J458,SUMPRODUCT(MAX(ROW(E$1:E458)*(E459=E$1:E458)))))</f>
        <v> </v>
      </c>
      <c r="L459" s="27"/>
    </row>
    <row r="460" spans="1:12">
      <c r="A460" s="20" t="s">
        <v>785</v>
      </c>
      <c r="E460" s="22">
        <f>IF(D460="?OLD","!!!","")</f>
        <v/>
      </c>
      <c r="F460" s="23" t="str">
        <f>IF(OR(E460="",E460="!!!"),"",IF(NOT(ISNA(VLOOKUP(E460,E$1:E459,1,FALSE()))),"OLD",IF(AND(E460&lt;&gt;"",E460&lt;&gt;"!!!"),"NEW","")))</f>
        <v> </v>
      </c>
      <c r="G460" s="24" t="str">
        <f>IF(OR(E460="",E460="!!!"),"",IF(OR(J460=0,AND(J460=1,K460=1),AND(J460=1,I460="SBJ"),AND(J460=1,I460=0)),"?IN_FOCUS",IF(J460&lt;=2,"?ACTIVATED",IF(J460&lt;&gt;"","?FAMILIAR",IF(F460="NEW",IF(ISNA(VLOOKUP(E460,#REF!,1,FALSE())),"?TYPE_IDENTIFIABLE","?REFERENTIAL"),"_")))))</f>
        <v> </v>
      </c>
      <c r="H460" s="25" t="str">
        <f>IF(J460&lt;&gt;1,"",IF(I460="SBJ","CB","?"))</f>
        <v> </v>
      </c>
      <c r="I460" s="26" t="str">
        <f>IF(OR(E460="",E460="!!!",F460="NEW"),"",INDEX(B459:B$2,-1+SUMPRODUCT(MAX(ROW(E459:E$2)*(E460=E459:E$2)))))</f>
        <v> </v>
      </c>
      <c r="J460" s="26" t="str">
        <f>IF(OR(E460="",E460="!!!",F460="NEW"),"",COUNTBLANK(OFFSET(A$1,,,SUMPRODUCT(MAX(ROW(E$2:E460)*(E460=E$2:E460)))))-COUNTBLANK(OFFSET(A$1,,,SUMPRODUCT(MAX(ROW(E$1:E459)*(E2=E$1:E459))))))</f>
        <v> </v>
      </c>
      <c r="K460" s="26" t="str">
        <f>IF(OR(E460="",E460="!!!",F460="NEW"),"",INDEX(J$1:J459,SUMPRODUCT(MAX(ROW(E$1:E459)*(E460=E$1:E459)))))</f>
        <v> </v>
      </c>
      <c r="L460" s="27"/>
    </row>
    <row r="461" spans="1:12">
      <c r="A461" s="20" t="s">
        <v>999</v>
      </c>
      <c r="E461" s="22">
        <f>IF(D461="?OLD","!!!","")</f>
        <v/>
      </c>
      <c r="F461" s="23" t="str">
        <f>IF(OR(E461="",E461="!!!"),"",IF(NOT(ISNA(VLOOKUP(E461,E$1:E460,1,FALSE()))),"OLD",IF(AND(E461&lt;&gt;"",E461&lt;&gt;"!!!"),"NEW","")))</f>
        <v> </v>
      </c>
      <c r="G461" s="24" t="str">
        <f>IF(OR(E461="",E461="!!!"),"",IF(OR(J461=0,AND(J461=1,K461=1),AND(J461=1,I461="SBJ"),AND(J461=1,I461=0)),"?IN_FOCUS",IF(J461&lt;=2,"?ACTIVATED",IF(J461&lt;&gt;"","?FAMILIAR",IF(F461="NEW",IF(ISNA(VLOOKUP(E461,#REF!,1,FALSE())),"?TYPE_IDENTIFIABLE","?REFERENTIAL"),"_")))))</f>
        <v> </v>
      </c>
      <c r="H461" s="25" t="str">
        <f>IF(J461&lt;&gt;1,"",IF(I461="SBJ","CB","?"))</f>
        <v> </v>
      </c>
      <c r="I461" s="26" t="str">
        <f>IF(OR(E461="",E461="!!!",F461="NEW"),"",INDEX(B460:B$2,-1+SUMPRODUCT(MAX(ROW(E460:E$2)*(E461=E460:E$2)))))</f>
        <v> </v>
      </c>
      <c r="J461" s="26" t="str">
        <f>IF(OR(E461="",E461="!!!",F461="NEW"),"",COUNTBLANK(OFFSET(A$1,,,SUMPRODUCT(MAX(ROW(E$2:E461)*(E461=E$2:E461)))))-COUNTBLANK(OFFSET(A$1,,,SUMPRODUCT(MAX(ROW(E$1:E460)*(E2=E$1:E460))))))</f>
        <v> </v>
      </c>
      <c r="K461" s="26" t="str">
        <f>IF(OR(E461="",E461="!!!",F461="NEW"),"",INDEX(J$1:J460,SUMPRODUCT(MAX(ROW(E$1:E460)*(E461=E$1:E460)))))</f>
        <v> </v>
      </c>
      <c r="L461" s="27"/>
    </row>
    <row r="462" spans="1:12">
      <c r="A462" s="20" t="s">
        <v>952</v>
      </c>
      <c r="E462" s="22">
        <f>IF(D462="?OLD","!!!","")</f>
        <v/>
      </c>
      <c r="F462" s="23" t="str">
        <f>IF(OR(E462="",E462="!!!"),"",IF(NOT(ISNA(VLOOKUP(E462,E$1:E461,1,FALSE()))),"OLD",IF(AND(E462&lt;&gt;"",E462&lt;&gt;"!!!"),"NEW","")))</f>
        <v> </v>
      </c>
      <c r="G462" s="24" t="str">
        <f>IF(OR(E462="",E462="!!!"),"",IF(OR(J462=0,AND(J462=1,K462=1),AND(J462=1,I462="SBJ"),AND(J462=1,I462=0)),"?IN_FOCUS",IF(J462&lt;=2,"?ACTIVATED",IF(J462&lt;&gt;"","?FAMILIAR",IF(F462="NEW",IF(ISNA(VLOOKUP(E462,#REF!,1,FALSE())),"?TYPE_IDENTIFIABLE","?REFERENTIAL"),"_")))))</f>
        <v> </v>
      </c>
      <c r="H462" s="25" t="str">
        <f>IF(J462&lt;&gt;1,"",IF(I462="SBJ","CB","?"))</f>
        <v> </v>
      </c>
      <c r="I462" s="26" t="str">
        <f>IF(OR(E462="",E462="!!!",F462="NEW"),"",INDEX(B461:B$2,-1+SUMPRODUCT(MAX(ROW(E461:E$2)*(E462=E461:E$2)))))</f>
        <v> </v>
      </c>
      <c r="J462" s="26" t="str">
        <f>IF(OR(E462="",E462="!!!",F462="NEW"),"",COUNTBLANK(OFFSET(A$1,,,SUMPRODUCT(MAX(ROW(E$2:E462)*(E462=E$2:E462)))))-COUNTBLANK(OFFSET(A$1,,,SUMPRODUCT(MAX(ROW(E$1:E461)*(E2=E$1:E461))))))</f>
        <v> </v>
      </c>
      <c r="K462" s="26" t="str">
        <f>IF(OR(E462="",E462="!!!",F462="NEW"),"",INDEX(J$1:J461,SUMPRODUCT(MAX(ROW(E$1:E461)*(E462=E$1:E461)))))</f>
        <v> </v>
      </c>
      <c r="L462" s="27"/>
    </row>
    <row r="463" spans="1:12">
      <c r="A463" s="20" t="s">
        <v>943</v>
      </c>
      <c r="B463" s="21" t="s">
        <v>755</v>
      </c>
      <c r="C463" s="21" t="s">
        <v>756</v>
      </c>
      <c r="E463" s="22">
        <f>IF(D463="?OLD","!!!","")</f>
        <v/>
      </c>
      <c r="F463" s="23" t="str">
        <f>IF(OR(E463="",E463="!!!"),"",IF(NOT(ISNA(VLOOKUP(E463,E$1:E462,1,FALSE()))),"OLD",IF(AND(E463&lt;&gt;"",E463&lt;&gt;"!!!"),"NEW","")))</f>
        <v> </v>
      </c>
      <c r="G463" s="24" t="str">
        <f>IF(OR(E463="",E463="!!!"),"",IF(OR(J463=0,AND(J463=1,K463=1),AND(J463=1,I463="SBJ"),AND(J463=1,I463=0)),"?IN_FOCUS",IF(J463&lt;=2,"?ACTIVATED",IF(J463&lt;&gt;"","?FAMILIAR",IF(F463="NEW",IF(ISNA(VLOOKUP(E463,#REF!,1,FALSE())),"?TYPE_IDENTIFIABLE","?REFERENTIAL"),"_")))))</f>
        <v> </v>
      </c>
      <c r="H463" s="25" t="str">
        <f>IF(J463&lt;&gt;1,"",IF(I463="SBJ","CB","?"))</f>
        <v> </v>
      </c>
      <c r="I463" s="26" t="str">
        <f>IF(OR(E463="",E463="!!!",F463="NEW"),"",INDEX(B462:B$2,-1+SUMPRODUCT(MAX(ROW(E462:E$2)*(E463=E462:E$2)))))</f>
        <v> </v>
      </c>
      <c r="J463" s="26" t="str">
        <f>IF(OR(E463="",E463="!!!",F463="NEW"),"",COUNTBLANK(OFFSET(A$1,,,SUMPRODUCT(MAX(ROW(E$2:E463)*(E463=E$2:E463)))))-COUNTBLANK(OFFSET(A$1,,,SUMPRODUCT(MAX(ROW(E$1:E462)*(E2=E$1:E462))))))</f>
        <v> </v>
      </c>
      <c r="K463" s="26" t="str">
        <f>IF(OR(E463="",E463="!!!",F463="NEW"),"",INDEX(J$1:J462,SUMPRODUCT(MAX(ROW(E$1:E462)*(E463=E$1:E462)))))</f>
        <v> </v>
      </c>
      <c r="L463" s="27"/>
    </row>
    <row r="464" spans="1:12">
      <c r="A464" s="20" t="s">
        <v>776</v>
      </c>
      <c r="B464" s="21" t="s">
        <v>739</v>
      </c>
      <c r="C464" s="21" t="s">
        <v>789</v>
      </c>
      <c r="D464" s="21" t="s">
        <v>730</v>
      </c>
      <c r="E464" s="22">
        <f>IF(D464="?OLD","!!!","")</f>
        <v/>
      </c>
      <c r="F464" s="23" t="str">
        <f>IF(OR(E464="",E464="!!!"),"",IF(NOT(ISNA(VLOOKUP(E464,E$1:E463,1,FALSE()))),"OLD",IF(AND(E464&lt;&gt;"",E464&lt;&gt;"!!!"),"NEW","")))</f>
        <v> </v>
      </c>
      <c r="G464" s="24" t="str">
        <f>IF(OR(E464="",E464="!!!"),"",IF(OR(J464=0,AND(J464=1,K464=1),AND(J464=1,I464="SBJ"),AND(J464=1,I464=0)),"?IN_FOCUS",IF(J464&lt;=2,"?ACTIVATED",IF(J464&lt;&gt;"","?FAMILIAR",IF(F464="NEW",IF(ISNA(VLOOKUP(E464,#REF!,1,FALSE())),"?TYPE_IDENTIFIABLE","?REFERENTIAL"),"_")))))</f>
        <v> </v>
      </c>
      <c r="H464" s="25" t="str">
        <f>IF(J464&lt;&gt;1,"",IF(I464="SBJ","CB","?"))</f>
        <v> </v>
      </c>
      <c r="I464" s="26" t="str">
        <f>IF(OR(E464="",E464="!!!",F464="NEW"),"",INDEX(B463:B$2,-1+SUMPRODUCT(MAX(ROW(E463:E$2)*(E464=E463:E$2)))))</f>
        <v> </v>
      </c>
      <c r="J464" s="26" t="str">
        <f>IF(OR(E464="",E464="!!!",F464="NEW"),"",COUNTBLANK(OFFSET(A$1,,,SUMPRODUCT(MAX(ROW(E$2:E464)*(E464=E$2:E464)))))-COUNTBLANK(OFFSET(A$1,,,SUMPRODUCT(MAX(ROW(E$1:E463)*(E2=E$1:E463))))))</f>
        <v> </v>
      </c>
      <c r="K464" s="26" t="str">
        <f>IF(OR(E464="",E464="!!!",F464="NEW"),"",INDEX(J$1:J463,SUMPRODUCT(MAX(ROW(E$1:E463)*(E464=E$1:E463)))))</f>
        <v> </v>
      </c>
      <c r="L464" s="27"/>
    </row>
    <row r="465" spans="1:12">
      <c r="A465" s="20" t="s">
        <v>759</v>
      </c>
      <c r="E465" s="22">
        <f>IF(D465="?OLD","!!!","")</f>
        <v/>
      </c>
      <c r="F465" s="23" t="str">
        <f>IF(OR(E465="",E465="!!!"),"",IF(NOT(ISNA(VLOOKUP(E465,E$1:E464,1,FALSE()))),"OLD",IF(AND(E465&lt;&gt;"",E465&lt;&gt;"!!!"),"NEW","")))</f>
        <v> </v>
      </c>
      <c r="G465" s="24" t="str">
        <f>IF(OR(E465="",E465="!!!"),"",IF(OR(J465=0,AND(J465=1,K465=1),AND(J465=1,I465="SBJ"),AND(J465=1,I465=0)),"?IN_FOCUS",IF(J465&lt;=2,"?ACTIVATED",IF(J465&lt;&gt;"","?FAMILIAR",IF(F465="NEW",IF(ISNA(VLOOKUP(E465,#REF!,1,FALSE())),"?TYPE_IDENTIFIABLE","?REFERENTIAL"),"_")))))</f>
        <v> </v>
      </c>
      <c r="H465" s="25" t="str">
        <f>IF(J465&lt;&gt;1,"",IF(I465="SBJ","CB","?"))</f>
        <v> </v>
      </c>
      <c r="I465" s="26" t="str">
        <f>IF(OR(E465="",E465="!!!",F465="NEW"),"",INDEX(B464:B$2,-1+SUMPRODUCT(MAX(ROW(E464:E$2)*(E465=E464:E$2)))))</f>
        <v> </v>
      </c>
      <c r="J465" s="26" t="str">
        <f>IF(OR(E465="",E465="!!!",F465="NEW"),"",COUNTBLANK(OFFSET(A$1,,,SUMPRODUCT(MAX(ROW(E$2:E465)*(E465=E$2:E465)))))-COUNTBLANK(OFFSET(A$1,,,SUMPRODUCT(MAX(ROW(E$1:E464)*(E2=E$1:E464))))))</f>
        <v> </v>
      </c>
      <c r="K465" s="26" t="str">
        <f>IF(OR(E465="",E465="!!!",F465="NEW"),"",INDEX(J$1:J464,SUMPRODUCT(MAX(ROW(E$1:E464)*(E465=E$1:E464)))))</f>
        <v> </v>
      </c>
      <c r="L465" s="27"/>
    </row>
    <row r="466" spans="1:12">
      <c r="A466" s="20" t="s">
        <v>945</v>
      </c>
      <c r="B466" s="21" t="s">
        <v>843</v>
      </c>
      <c r="C466" s="21" t="s">
        <v>789</v>
      </c>
      <c r="D466" s="21" t="s">
        <v>730</v>
      </c>
      <c r="E466" s="22">
        <f>IF(D466="?OLD","!!!","")</f>
        <v/>
      </c>
      <c r="F466" s="23" t="str">
        <f>IF(OR(E466="",E466="!!!"),"",IF(NOT(ISNA(VLOOKUP(E466,E$1:E465,1,FALSE()))),"OLD",IF(AND(E466&lt;&gt;"",E466&lt;&gt;"!!!"),"NEW","")))</f>
        <v> </v>
      </c>
      <c r="G466" s="24" t="str">
        <f>IF(OR(E466="",E466="!!!"),"",IF(OR(J466=0,AND(J466=1,K466=1),AND(J466=1,I466="SBJ"),AND(J466=1,I466=0)),"?IN_FOCUS",IF(J466&lt;=2,"?ACTIVATED",IF(J466&lt;&gt;"","?FAMILIAR",IF(F466="NEW",IF(ISNA(VLOOKUP(E466,#REF!,1,FALSE())),"?TYPE_IDENTIFIABLE","?REFERENTIAL"),"_")))))</f>
        <v> </v>
      </c>
      <c r="H466" s="25" t="str">
        <f>IF(J466&lt;&gt;1,"",IF(I466="SBJ","CB","?"))</f>
        <v> </v>
      </c>
      <c r="I466" s="26" t="str">
        <f>IF(OR(E466="",E466="!!!",F466="NEW"),"",INDEX(B465:B$2,-1+SUMPRODUCT(MAX(ROW(E465:E$2)*(E466=E465:E$2)))))</f>
        <v> </v>
      </c>
      <c r="J466" s="26" t="str">
        <f>IF(OR(E466="",E466="!!!",F466="NEW"),"",COUNTBLANK(OFFSET(A$1,,,SUMPRODUCT(MAX(ROW(E$2:E466)*(E466=E$2:E466)))))-COUNTBLANK(OFFSET(A$1,,,SUMPRODUCT(MAX(ROW(E$1:E465)*(E2=E$1:E465))))))</f>
        <v> </v>
      </c>
      <c r="K466" s="26" t="str">
        <f>IF(OR(E466="",E466="!!!",F466="NEW"),"",INDEX(J$1:J465,SUMPRODUCT(MAX(ROW(E$1:E465)*(E466=E$1:E465)))))</f>
        <v> </v>
      </c>
      <c r="L466" s="27"/>
    </row>
    <row r="467" spans="1:12">
      <c r="A467" s="20" t="s">
        <v>750</v>
      </c>
      <c r="B467" s="21" t="s">
        <v>788</v>
      </c>
      <c r="C467" s="21" t="s">
        <v>729</v>
      </c>
      <c r="D467" s="21" t="s">
        <v>730</v>
      </c>
      <c r="E467" s="22">
        <f>IF(D467="?OLD","!!!","")</f>
        <v/>
      </c>
      <c r="F467" s="23" t="str">
        <f>IF(OR(E467="",E467="!!!"),"",IF(NOT(ISNA(VLOOKUP(E467,E$1:E466,1,FALSE()))),"OLD",IF(AND(E467&lt;&gt;"",E467&lt;&gt;"!!!"),"NEW","")))</f>
        <v> </v>
      </c>
      <c r="G467" s="24" t="str">
        <f>IF(OR(E467="",E467="!!!"),"",IF(OR(J467=0,AND(J467=1,K467=1),AND(J467=1,I467="SBJ"),AND(J467=1,I467=0)),"?IN_FOCUS",IF(J467&lt;=2,"?ACTIVATED",IF(J467&lt;&gt;"","?FAMILIAR",IF(F467="NEW",IF(ISNA(VLOOKUP(E467,#REF!,1,FALSE())),"?TYPE_IDENTIFIABLE","?REFERENTIAL"),"_")))))</f>
        <v> </v>
      </c>
      <c r="H467" s="25" t="str">
        <f>IF(J467&lt;&gt;1,"",IF(I467="SBJ","CB","?"))</f>
        <v> </v>
      </c>
      <c r="I467" s="26" t="str">
        <f>IF(OR(E467="",E467="!!!",F467="NEW"),"",INDEX(B466:B$2,-1+SUMPRODUCT(MAX(ROW(E466:E$2)*(E467=E466:E$2)))))</f>
        <v> </v>
      </c>
      <c r="J467" s="26" t="str">
        <f>IF(OR(E467="",E467="!!!",F467="NEW"),"",COUNTBLANK(OFFSET(A$1,,,SUMPRODUCT(MAX(ROW(E$2:E467)*(E467=E$2:E467)))))-COUNTBLANK(OFFSET(A$1,,,SUMPRODUCT(MAX(ROW(E$1:E466)*(E2=E$1:E466))))))</f>
        <v> </v>
      </c>
      <c r="K467" s="26" t="str">
        <f>IF(OR(E467="",E467="!!!",F467="NEW"),"",INDEX(J$1:J466,SUMPRODUCT(MAX(ROW(E$1:E466)*(E467=E$1:E466)))))</f>
        <v> </v>
      </c>
      <c r="L467" s="27"/>
    </row>
    <row r="468" spans="1:12">
      <c r="A468" s="20" t="s">
        <v>792</v>
      </c>
      <c r="B468" s="21" t="s">
        <v>843</v>
      </c>
      <c r="E468" s="22">
        <f>IF(D468="?OLD","!!!","")</f>
        <v/>
      </c>
      <c r="F468" s="23" t="str">
        <f>IF(OR(E468="",E468="!!!"),"",IF(NOT(ISNA(VLOOKUP(E468,E$1:E467,1,FALSE()))),"OLD",IF(AND(E468&lt;&gt;"",E468&lt;&gt;"!!!"),"NEW","")))</f>
        <v> </v>
      </c>
      <c r="G468" s="24" t="str">
        <f>IF(OR(E468="",E468="!!!"),"",IF(OR(J468=0,AND(J468=1,K468=1),AND(J468=1,I468="SBJ"),AND(J468=1,I468=0)),"?IN_FOCUS",IF(J468&lt;=2,"?ACTIVATED",IF(J468&lt;&gt;"","?FAMILIAR",IF(F468="NEW",IF(ISNA(VLOOKUP(E468,#REF!,1,FALSE())),"?TYPE_IDENTIFIABLE","?REFERENTIAL"),"_")))))</f>
        <v> </v>
      </c>
      <c r="H468" s="25" t="str">
        <f>IF(J468&lt;&gt;1,"",IF(I468="SBJ","CB","?"))</f>
        <v> </v>
      </c>
      <c r="I468" s="26" t="str">
        <f>IF(OR(E468="",E468="!!!",F468="NEW"),"",INDEX(B467:B$2,-1+SUMPRODUCT(MAX(ROW(E467:E$2)*(E468=E467:E$2)))))</f>
        <v> </v>
      </c>
      <c r="J468" s="26" t="str">
        <f>IF(OR(E468="",E468="!!!",F468="NEW"),"",COUNTBLANK(OFFSET(A$1,,,SUMPRODUCT(MAX(ROW(E$2:E468)*(E468=E$2:E468)))))-COUNTBLANK(OFFSET(A$1,,,SUMPRODUCT(MAX(ROW(E$1:E467)*(E2=E$1:E467))))))</f>
        <v> </v>
      </c>
      <c r="K468" s="26" t="str">
        <f>IF(OR(E468="",E468="!!!",F468="NEW"),"",INDEX(J$1:J467,SUMPRODUCT(MAX(ROW(E$1:E467)*(E468=E$1:E467)))))</f>
        <v> </v>
      </c>
      <c r="L468" s="27"/>
    </row>
    <row r="469" spans="1:12">
      <c r="A469" s="20" t="s">
        <v>772</v>
      </c>
      <c r="E469" s="22">
        <f>IF(D469="?OLD","!!!","")</f>
        <v/>
      </c>
      <c r="F469" s="23" t="str">
        <f>IF(OR(E469="",E469="!!!"),"",IF(NOT(ISNA(VLOOKUP(E469,E$1:E468,1,FALSE()))),"OLD",IF(AND(E469&lt;&gt;"",E469&lt;&gt;"!!!"),"NEW","")))</f>
        <v> </v>
      </c>
      <c r="G469" s="24" t="str">
        <f>IF(OR(E469="",E469="!!!"),"",IF(OR(J469=0,AND(J469=1,K469=1),AND(J469=1,I469="SBJ"),AND(J469=1,I469=0)),"?IN_FOCUS",IF(J469&lt;=2,"?ACTIVATED",IF(J469&lt;&gt;"","?FAMILIAR",IF(F469="NEW",IF(ISNA(VLOOKUP(E469,#REF!,1,FALSE())),"?TYPE_IDENTIFIABLE","?REFERENTIAL"),"_")))))</f>
        <v> </v>
      </c>
      <c r="H469" s="25" t="str">
        <f>IF(J469&lt;&gt;1,"",IF(I469="SBJ","CB","?"))</f>
        <v> </v>
      </c>
      <c r="I469" s="26" t="str">
        <f>IF(OR(E469="",E469="!!!",F469="NEW"),"",INDEX(B468:B$2,-1+SUMPRODUCT(MAX(ROW(E468:E$2)*(E469=E468:E$2)))))</f>
        <v> </v>
      </c>
      <c r="J469" s="26" t="str">
        <f>IF(OR(E469="",E469="!!!",F469="NEW"),"",COUNTBLANK(OFFSET(A$1,,,SUMPRODUCT(MAX(ROW(E$2:E469)*(E469=E$2:E469)))))-COUNTBLANK(OFFSET(A$1,,,SUMPRODUCT(MAX(ROW(E$1:E468)*(E2=E$1:E468))))))</f>
        <v> </v>
      </c>
      <c r="K469" s="26" t="str">
        <f>IF(OR(E469="",E469="!!!",F469="NEW"),"",INDEX(J$1:J468,SUMPRODUCT(MAX(ROW(E$1:E468)*(E469=E$1:E468)))))</f>
        <v> </v>
      </c>
      <c r="L469" s="27"/>
    </row>
    <row r="470" spans="1:12">
      <c r="A470" s="20" t="s">
        <v>1000</v>
      </c>
      <c r="E470" s="22">
        <f>IF(D470="?OLD","!!!","")</f>
        <v/>
      </c>
      <c r="F470" s="23" t="str">
        <f>IF(OR(E470="",E470="!!!"),"",IF(NOT(ISNA(VLOOKUP(E470,E$1:E469,1,FALSE()))),"OLD",IF(AND(E470&lt;&gt;"",E470&lt;&gt;"!!!"),"NEW","")))</f>
        <v> </v>
      </c>
      <c r="G470" s="24" t="str">
        <f>IF(OR(E470="",E470="!!!"),"",IF(OR(J470=0,AND(J470=1,K470=1),AND(J470=1,I470="SBJ"),AND(J470=1,I470=0)),"?IN_FOCUS",IF(J470&lt;=2,"?ACTIVATED",IF(J470&lt;&gt;"","?FAMILIAR",IF(F470="NEW",IF(ISNA(VLOOKUP(E470,#REF!,1,FALSE())),"?TYPE_IDENTIFIABLE","?REFERENTIAL"),"_")))))</f>
        <v> </v>
      </c>
      <c r="H470" s="25" t="str">
        <f>IF(J470&lt;&gt;1,"",IF(I470="SBJ","CB","?"))</f>
        <v> </v>
      </c>
      <c r="I470" s="26" t="str">
        <f>IF(OR(E470="",E470="!!!",F470="NEW"),"",INDEX(B469:B$2,-1+SUMPRODUCT(MAX(ROW(E469:E$2)*(E470=E469:E$2)))))</f>
        <v> </v>
      </c>
      <c r="J470" s="26" t="str">
        <f>IF(OR(E470="",E470="!!!",F470="NEW"),"",COUNTBLANK(OFFSET(A$1,,,SUMPRODUCT(MAX(ROW(E$2:E470)*(E470=E$2:E470)))))-COUNTBLANK(OFFSET(A$1,,,SUMPRODUCT(MAX(ROW(E$1:E469)*(E2=E$1:E469))))))</f>
        <v> </v>
      </c>
      <c r="K470" s="26" t="str">
        <f>IF(OR(E470="",E470="!!!",F470="NEW"),"",INDEX(J$1:J469,SUMPRODUCT(MAX(ROW(E$1:E469)*(E470=E$1:E469)))))</f>
        <v> </v>
      </c>
      <c r="L470" s="27"/>
    </row>
    <row r="471" spans="1:12">
      <c r="A471" s="20" t="s">
        <v>1001</v>
      </c>
      <c r="E471" s="22">
        <f>IF(D471="?OLD","!!!","")</f>
        <v/>
      </c>
      <c r="F471" s="23" t="str">
        <f>IF(OR(E471="",E471="!!!"),"",IF(NOT(ISNA(VLOOKUP(E471,E$1:E470,1,FALSE()))),"OLD",IF(AND(E471&lt;&gt;"",E471&lt;&gt;"!!!"),"NEW","")))</f>
        <v> </v>
      </c>
      <c r="G471" s="24" t="str">
        <f>IF(OR(E471="",E471="!!!"),"",IF(OR(J471=0,AND(J471=1,K471=1),AND(J471=1,I471="SBJ"),AND(J471=1,I471=0)),"?IN_FOCUS",IF(J471&lt;=2,"?ACTIVATED",IF(J471&lt;&gt;"","?FAMILIAR",IF(F471="NEW",IF(ISNA(VLOOKUP(E471,#REF!,1,FALSE())),"?TYPE_IDENTIFIABLE","?REFERENTIAL"),"_")))))</f>
        <v> </v>
      </c>
      <c r="H471" s="25" t="str">
        <f>IF(J471&lt;&gt;1,"",IF(I471="SBJ","CB","?"))</f>
        <v> </v>
      </c>
      <c r="I471" s="26" t="str">
        <f>IF(OR(E471="",E471="!!!",F471="NEW"),"",INDEX(B470:B$2,-1+SUMPRODUCT(MAX(ROW(E470:E$2)*(E471=E470:E$2)))))</f>
        <v> </v>
      </c>
      <c r="J471" s="26" t="str">
        <f>IF(OR(E471="",E471="!!!",F471="NEW"),"",COUNTBLANK(OFFSET(A$1,,,SUMPRODUCT(MAX(ROW(E$2:E471)*(E471=E$2:E471)))))-COUNTBLANK(OFFSET(A$1,,,SUMPRODUCT(MAX(ROW(E$1:E470)*(E2=E$1:E470))))))</f>
        <v> </v>
      </c>
      <c r="K471" s="26" t="str">
        <f>IF(OR(E471="",E471="!!!",F471="NEW"),"",INDEX(J$1:J470,SUMPRODUCT(MAX(ROW(E$1:E470)*(E471=E$1:E470)))))</f>
        <v> </v>
      </c>
      <c r="L471" s="27"/>
    </row>
    <row r="472" spans="1:12">
      <c r="A472" s="20" t="s">
        <v>759</v>
      </c>
      <c r="E472" s="22">
        <f>IF(D472="?OLD","!!!","")</f>
        <v/>
      </c>
      <c r="F472" s="23" t="str">
        <f>IF(OR(E472="",E472="!!!"),"",IF(NOT(ISNA(VLOOKUP(E472,E$1:E471,1,FALSE()))),"OLD",IF(AND(E472&lt;&gt;"",E472&lt;&gt;"!!!"),"NEW","")))</f>
        <v> </v>
      </c>
      <c r="G472" s="24" t="str">
        <f>IF(OR(E472="",E472="!!!"),"",IF(OR(J472=0,AND(J472=1,K472=1),AND(J472=1,I472="SBJ"),AND(J472=1,I472=0)),"?IN_FOCUS",IF(J472&lt;=2,"?ACTIVATED",IF(J472&lt;&gt;"","?FAMILIAR",IF(F472="NEW",IF(ISNA(VLOOKUP(E472,#REF!,1,FALSE())),"?TYPE_IDENTIFIABLE","?REFERENTIAL"),"_")))))</f>
        <v> </v>
      </c>
      <c r="H472" s="25" t="str">
        <f>IF(J472&lt;&gt;1,"",IF(I472="SBJ","CB","?"))</f>
        <v> </v>
      </c>
      <c r="I472" s="26" t="str">
        <f>IF(OR(E472="",E472="!!!",F472="NEW"),"",INDEX(B471:B$2,-1+SUMPRODUCT(MAX(ROW(E471:E$2)*(E472=E471:E$2)))))</f>
        <v> </v>
      </c>
      <c r="J472" s="26" t="str">
        <f>IF(OR(E472="",E472="!!!",F472="NEW"),"",COUNTBLANK(OFFSET(A$1,,,SUMPRODUCT(MAX(ROW(E$2:E472)*(E472=E$2:E472)))))-COUNTBLANK(OFFSET(A$1,,,SUMPRODUCT(MAX(ROW(E$1:E471)*(E2=E$1:E471))))))</f>
        <v> </v>
      </c>
      <c r="K472" s="26" t="str">
        <f>IF(OR(E472="",E472="!!!",F472="NEW"),"",INDEX(J$1:J471,SUMPRODUCT(MAX(ROW(E$1:E471)*(E472=E$1:E471)))))</f>
        <v> </v>
      </c>
      <c r="L472" s="27"/>
    </row>
    <row r="473" spans="1:12">
      <c r="A473" s="20" t="s">
        <v>920</v>
      </c>
      <c r="E473" s="22">
        <f>IF(D473="?OLD","!!!","")</f>
        <v/>
      </c>
      <c r="F473" s="23" t="str">
        <f>IF(OR(E473="",E473="!!!"),"",IF(NOT(ISNA(VLOOKUP(E473,E$1:E472,1,FALSE()))),"OLD",IF(AND(E473&lt;&gt;"",E473&lt;&gt;"!!!"),"NEW","")))</f>
        <v> </v>
      </c>
      <c r="G473" s="24" t="str">
        <f>IF(OR(E473="",E473="!!!"),"",IF(OR(J473=0,AND(J473=1,K473=1),AND(J473=1,I473="SBJ"),AND(J473=1,I473=0)),"?IN_FOCUS",IF(J473&lt;=2,"?ACTIVATED",IF(J473&lt;&gt;"","?FAMILIAR",IF(F473="NEW",IF(ISNA(VLOOKUP(E473,#REF!,1,FALSE())),"?TYPE_IDENTIFIABLE","?REFERENTIAL"),"_")))))</f>
        <v> </v>
      </c>
      <c r="H473" s="25" t="str">
        <f>IF(J473&lt;&gt;1,"",IF(I473="SBJ","CB","?"))</f>
        <v> </v>
      </c>
      <c r="I473" s="26" t="str">
        <f>IF(OR(E473="",E473="!!!",F473="NEW"),"",INDEX(B472:B$2,-1+SUMPRODUCT(MAX(ROW(E472:E$2)*(E473=E472:E$2)))))</f>
        <v> </v>
      </c>
      <c r="J473" s="26" t="str">
        <f>IF(OR(E473="",E473="!!!",F473="NEW"),"",COUNTBLANK(OFFSET(A$1,,,SUMPRODUCT(MAX(ROW(E$2:E473)*(E473=E$2:E473)))))-COUNTBLANK(OFFSET(A$1,,,SUMPRODUCT(MAX(ROW(E$1:E472)*(E2=E$1:E472))))))</f>
        <v> </v>
      </c>
      <c r="K473" s="26" t="str">
        <f>IF(OR(E473="",E473="!!!",F473="NEW"),"",INDEX(J$1:J472,SUMPRODUCT(MAX(ROW(E$1:E472)*(E473=E$1:E472)))))</f>
        <v> </v>
      </c>
      <c r="L473" s="27"/>
    </row>
    <row r="474" spans="1:12">
      <c r="A474" s="20" t="s">
        <v>750</v>
      </c>
      <c r="B474" s="21" t="s">
        <v>796</v>
      </c>
      <c r="C474" s="21" t="s">
        <v>729</v>
      </c>
      <c r="D474" s="21" t="s">
        <v>730</v>
      </c>
      <c r="E474" s="22">
        <f>IF(D474="?OLD","!!!","")</f>
        <v/>
      </c>
      <c r="F474" s="23" t="str">
        <f>IF(OR(E474="",E474="!!!"),"",IF(NOT(ISNA(VLOOKUP(E474,E$1:E473,1,FALSE()))),"OLD",IF(AND(E474&lt;&gt;"",E474&lt;&gt;"!!!"),"NEW","")))</f>
        <v> </v>
      </c>
      <c r="G474" s="24" t="str">
        <f>IF(OR(E474="",E474="!!!"),"",IF(OR(J474=0,AND(J474=1,K474=1),AND(J474=1,I474="SBJ"),AND(J474=1,I474=0)),"?IN_FOCUS",IF(J474&lt;=2,"?ACTIVATED",IF(J474&lt;&gt;"","?FAMILIAR",IF(F474="NEW",IF(ISNA(VLOOKUP(E474,#REF!,1,FALSE())),"?TYPE_IDENTIFIABLE","?REFERENTIAL"),"_")))))</f>
        <v> </v>
      </c>
      <c r="H474" s="25" t="str">
        <f>IF(J474&lt;&gt;1,"",IF(I474="SBJ","CB","?"))</f>
        <v> </v>
      </c>
      <c r="I474" s="26" t="str">
        <f>IF(OR(E474="",E474="!!!",F474="NEW"),"",INDEX(B473:B$2,-1+SUMPRODUCT(MAX(ROW(E473:E$2)*(E474=E473:E$2)))))</f>
        <v> </v>
      </c>
      <c r="J474" s="26" t="str">
        <f>IF(OR(E474="",E474="!!!",F474="NEW"),"",COUNTBLANK(OFFSET(A$1,,,SUMPRODUCT(MAX(ROW(E$2:E474)*(E474=E$2:E474)))))-COUNTBLANK(OFFSET(A$1,,,SUMPRODUCT(MAX(ROW(E$1:E473)*(E2=E$1:E473))))))</f>
        <v> </v>
      </c>
      <c r="K474" s="26" t="str">
        <f>IF(OR(E474="",E474="!!!",F474="NEW"),"",INDEX(J$1:J473,SUMPRODUCT(MAX(ROW(E$1:E473)*(E474=E$1:E473)))))</f>
        <v> </v>
      </c>
      <c r="L474" s="27"/>
    </row>
    <row r="475" spans="1:12">
      <c r="A475" s="20" t="s">
        <v>903</v>
      </c>
      <c r="B475" s="21" t="s">
        <v>755</v>
      </c>
      <c r="C475" s="21" t="s">
        <v>801</v>
      </c>
      <c r="D475" s="21" t="s">
        <v>730</v>
      </c>
      <c r="E475" s="22">
        <f>IF(D475="?OLD","!!!","")</f>
        <v/>
      </c>
      <c r="F475" s="23" t="str">
        <f>IF(OR(E475="",E475="!!!"),"",IF(NOT(ISNA(VLOOKUP(E475,E$1:E474,1,FALSE()))),"OLD",IF(AND(E475&lt;&gt;"",E475&lt;&gt;"!!!"),"NEW","")))</f>
        <v> </v>
      </c>
      <c r="G475" s="24" t="str">
        <f>IF(OR(E475="",E475="!!!"),"",IF(OR(J475=0,AND(J475=1,K475=1),AND(J475=1,I475="SBJ"),AND(J475=1,I475=0)),"?IN_FOCUS",IF(J475&lt;=2,"?ACTIVATED",IF(J475&lt;&gt;"","?FAMILIAR",IF(F475="NEW",IF(ISNA(VLOOKUP(E475,#REF!,1,FALSE())),"?TYPE_IDENTIFIABLE","?REFERENTIAL"),"_")))))</f>
        <v> </v>
      </c>
      <c r="H475" s="25" t="str">
        <f>IF(J475&lt;&gt;1,"",IF(I475="SBJ","CB","?"))</f>
        <v> </v>
      </c>
      <c r="I475" s="26" t="str">
        <f>IF(OR(E475="",E475="!!!",F475="NEW"),"",INDEX(B474:B$2,-1+SUMPRODUCT(MAX(ROW(E474:E$2)*(E475=E474:E$2)))))</f>
        <v> </v>
      </c>
      <c r="J475" s="26" t="str">
        <f>IF(OR(E475="",E475="!!!",F475="NEW"),"",COUNTBLANK(OFFSET(A$1,,,SUMPRODUCT(MAX(ROW(E$2:E475)*(E475=E$2:E475)))))-COUNTBLANK(OFFSET(A$1,,,SUMPRODUCT(MAX(ROW(E$1:E474)*(E2=E$1:E474))))))</f>
        <v> </v>
      </c>
      <c r="K475" s="26" t="str">
        <f>IF(OR(E475="",E475="!!!",F475="NEW"),"",INDEX(J$1:J474,SUMPRODUCT(MAX(ROW(E$1:E474)*(E475=E$1:E474)))))</f>
        <v> </v>
      </c>
      <c r="L475" s="27"/>
    </row>
    <row r="476" spans="1:12">
      <c r="A476" s="20" t="s">
        <v>1002</v>
      </c>
      <c r="B476" s="21" t="s">
        <v>791</v>
      </c>
      <c r="C476" s="21" t="s">
        <v>802</v>
      </c>
      <c r="D476" s="21" t="s">
        <v>730</v>
      </c>
      <c r="E476" s="22">
        <f>IF(D476="?OLD","!!!","")</f>
        <v/>
      </c>
      <c r="F476" s="23" t="str">
        <f>IF(OR(E476="",E476="!!!"),"",IF(NOT(ISNA(VLOOKUP(E476,E$1:E475,1,FALSE()))),"OLD",IF(AND(E476&lt;&gt;"",E476&lt;&gt;"!!!"),"NEW","")))</f>
        <v> </v>
      </c>
      <c r="G476" s="24" t="str">
        <f>IF(OR(E476="",E476="!!!"),"",IF(OR(J476=0,AND(J476=1,K476=1),AND(J476=1,I476="SBJ"),AND(J476=1,I476=0)),"?IN_FOCUS",IF(J476&lt;=2,"?ACTIVATED",IF(J476&lt;&gt;"","?FAMILIAR",IF(F476="NEW",IF(ISNA(VLOOKUP(E476,#REF!,1,FALSE())),"?TYPE_IDENTIFIABLE","?REFERENTIAL"),"_")))))</f>
        <v> </v>
      </c>
      <c r="H476" s="25" t="str">
        <f>IF(J476&lt;&gt;1,"",IF(I476="SBJ","CB","?"))</f>
        <v> </v>
      </c>
      <c r="I476" s="26" t="str">
        <f>IF(OR(E476="",E476="!!!",F476="NEW"),"",INDEX(B475:B$2,-1+SUMPRODUCT(MAX(ROW(E475:E$2)*(E476=E475:E$2)))))</f>
        <v> </v>
      </c>
      <c r="J476" s="26" t="str">
        <f>IF(OR(E476="",E476="!!!",F476="NEW"),"",COUNTBLANK(OFFSET(A$1,,,SUMPRODUCT(MAX(ROW(E$2:E476)*(E476=E$2:E476)))))-COUNTBLANK(OFFSET(A$1,,,SUMPRODUCT(MAX(ROW(E$1:E475)*(E2=E$1:E475))))))</f>
        <v> </v>
      </c>
      <c r="K476" s="26" t="str">
        <f>IF(OR(E476="",E476="!!!",F476="NEW"),"",INDEX(J$1:J475,SUMPRODUCT(MAX(ROW(E$1:E475)*(E476=E$1:E475)))))</f>
        <v> </v>
      </c>
      <c r="L476" s="27"/>
    </row>
    <row r="477" spans="1:12">
      <c r="A477" s="20" t="s">
        <v>1003</v>
      </c>
      <c r="E477" s="22">
        <f>IF(D477="?OLD","!!!","")</f>
        <v/>
      </c>
      <c r="F477" s="23" t="str">
        <f>IF(OR(E477="",E477="!!!"),"",IF(NOT(ISNA(VLOOKUP(E477,E$1:E476,1,FALSE()))),"OLD",IF(AND(E477&lt;&gt;"",E477&lt;&gt;"!!!"),"NEW","")))</f>
        <v> </v>
      </c>
      <c r="G477" s="24" t="str">
        <f>IF(OR(E477="",E477="!!!"),"",IF(OR(J477=0,AND(J477=1,K477=1),AND(J477=1,I477="SBJ"),AND(J477=1,I477=0)),"?IN_FOCUS",IF(J477&lt;=2,"?ACTIVATED",IF(J477&lt;&gt;"","?FAMILIAR",IF(F477="NEW",IF(ISNA(VLOOKUP(E477,#REF!,1,FALSE())),"?TYPE_IDENTIFIABLE","?REFERENTIAL"),"_")))))</f>
        <v> </v>
      </c>
      <c r="H477" s="25" t="str">
        <f>IF(J477&lt;&gt;1,"",IF(I477="SBJ","CB","?"))</f>
        <v> </v>
      </c>
      <c r="I477" s="26" t="str">
        <f>IF(OR(E477="",E477="!!!",F477="NEW"),"",INDEX(B476:B$2,-1+SUMPRODUCT(MAX(ROW(E476:E$2)*(E477=E476:E$2)))))</f>
        <v> </v>
      </c>
      <c r="J477" s="26" t="str">
        <f>IF(OR(E477="",E477="!!!",F477="NEW"),"",COUNTBLANK(OFFSET(A$1,,,SUMPRODUCT(MAX(ROW(E$2:E477)*(E477=E$2:E477)))))-COUNTBLANK(OFFSET(A$1,,,SUMPRODUCT(MAX(ROW(E$1:E476)*(E2=E$1:E476))))))</f>
        <v> </v>
      </c>
      <c r="K477" s="26" t="str">
        <f>IF(OR(E477="",E477="!!!",F477="NEW"),"",INDEX(J$1:J476,SUMPRODUCT(MAX(ROW(E$1:E476)*(E477=E$1:E476)))))</f>
        <v> </v>
      </c>
      <c r="L477" s="27"/>
    </row>
    <row r="478" spans="1:12">
      <c r="A478" s="20" t="s">
        <v>1001</v>
      </c>
      <c r="E478" s="22">
        <f>IF(D478="?OLD","!!!","")</f>
        <v/>
      </c>
      <c r="F478" s="23" t="str">
        <f>IF(OR(E478="",E478="!!!"),"",IF(NOT(ISNA(VLOOKUP(E478,E$1:E477,1,FALSE()))),"OLD",IF(AND(E478&lt;&gt;"",E478&lt;&gt;"!!!"),"NEW","")))</f>
        <v> </v>
      </c>
      <c r="G478" s="24" t="str">
        <f>IF(OR(E478="",E478="!!!"),"",IF(OR(J478=0,AND(J478=1,K478=1),AND(J478=1,I478="SBJ"),AND(J478=1,I478=0)),"?IN_FOCUS",IF(J478&lt;=2,"?ACTIVATED",IF(J478&lt;&gt;"","?FAMILIAR",IF(F478="NEW",IF(ISNA(VLOOKUP(E478,#REF!,1,FALSE())),"?TYPE_IDENTIFIABLE","?REFERENTIAL"),"_")))))</f>
        <v> </v>
      </c>
      <c r="H478" s="25" t="str">
        <f>IF(J478&lt;&gt;1,"",IF(I478="SBJ","CB","?"))</f>
        <v> </v>
      </c>
      <c r="I478" s="26" t="str">
        <f>IF(OR(E478="",E478="!!!",F478="NEW"),"",INDEX(B477:B$2,-1+SUMPRODUCT(MAX(ROW(E477:E$2)*(E478=E477:E$2)))))</f>
        <v> </v>
      </c>
      <c r="J478" s="26" t="str">
        <f>IF(OR(E478="",E478="!!!",F478="NEW"),"",COUNTBLANK(OFFSET(A$1,,,SUMPRODUCT(MAX(ROW(E$2:E478)*(E478=E$2:E478)))))-COUNTBLANK(OFFSET(A$1,,,SUMPRODUCT(MAX(ROW(E$1:E477)*(E2=E$1:E477))))))</f>
        <v> </v>
      </c>
      <c r="K478" s="26" t="str">
        <f>IF(OR(E478="",E478="!!!",F478="NEW"),"",INDEX(J$1:J477,SUMPRODUCT(MAX(ROW(E$1:E477)*(E478=E$1:E477)))))</f>
        <v> </v>
      </c>
      <c r="L478" s="27"/>
    </row>
    <row r="479" spans="1:12">
      <c r="A479" s="20" t="s">
        <v>246</v>
      </c>
      <c r="E479" s="22">
        <f>IF(D479="?OLD","!!!","")</f>
        <v/>
      </c>
      <c r="F479" s="23" t="str">
        <f>IF(OR(E479="",E479="!!!"),"",IF(NOT(ISNA(VLOOKUP(E479,E$1:E478,1,FALSE()))),"OLD",IF(AND(E479&lt;&gt;"",E479&lt;&gt;"!!!"),"NEW","")))</f>
        <v> </v>
      </c>
      <c r="G479" s="24" t="str">
        <f>IF(OR(E479="",E479="!!!"),"",IF(OR(J479=0,AND(J479=1,K479=1),AND(J479=1,I479="SBJ"),AND(J479=1,I479=0)),"?IN_FOCUS",IF(J479&lt;=2,"?ACTIVATED",IF(J479&lt;&gt;"","?FAMILIAR",IF(F479="NEW",IF(ISNA(VLOOKUP(E479,#REF!,1,FALSE())),"?TYPE_IDENTIFIABLE","?REFERENTIAL"),"_")))))</f>
        <v> </v>
      </c>
      <c r="H479" s="25" t="str">
        <f>IF(J479&lt;&gt;1,"",IF(I479="SBJ","CB","?"))</f>
        <v> </v>
      </c>
      <c r="I479" s="26" t="str">
        <f>IF(OR(E479="",E479="!!!",F479="NEW"),"",INDEX(B478:B$2,-1+SUMPRODUCT(MAX(ROW(E478:E$2)*(E479=E478:E$2)))))</f>
        <v> </v>
      </c>
      <c r="J479" s="26" t="str">
        <f>IF(OR(E479="",E479="!!!",F479="NEW"),"",COUNTBLANK(OFFSET(A$1,,,SUMPRODUCT(MAX(ROW(E$2:E479)*(E479=E$2:E479)))))-COUNTBLANK(OFFSET(A$1,,,SUMPRODUCT(MAX(ROW(E$1:E478)*(E2=E$1:E478))))))</f>
        <v> </v>
      </c>
      <c r="K479" s="26" t="str">
        <f>IF(OR(E479="",E479="!!!",F479="NEW"),"",INDEX(J$1:J478,SUMPRODUCT(MAX(ROW(E$1:E478)*(E479=E$1:E478)))))</f>
        <v> </v>
      </c>
      <c r="L479" s="27"/>
    </row>
    <row r="480" spans="1:12">
      <c r="A480" s="20"/>
    </row>
    <row r="481" spans="1:12">
      <c r="A481" s="20" t="s">
        <v>1004</v>
      </c>
    </row>
    <row r="482" spans="1:12">
      <c r="A482" s="20" t="s">
        <v>1005</v>
      </c>
      <c r="E482" s="22">
        <f>IF(D482="?OLD","!!!","")</f>
        <v/>
      </c>
      <c r="F482" s="23" t="str">
        <f>IF(OR(E482="",E482="!!!"),"",IF(NOT(ISNA(VLOOKUP(E482,E$1:E481,1,FALSE()))),"OLD",IF(AND(E482&lt;&gt;"",E482&lt;&gt;"!!!"),"NEW","")))</f>
        <v> </v>
      </c>
      <c r="G482" s="24" t="str">
        <f>IF(OR(E482="",E482="!!!"),"",IF(OR(J482=0,AND(J482=1,K482=1),AND(J482=1,I482="SBJ"),AND(J482=1,I482=0)),"?IN_FOCUS",IF(J482&lt;=2,"?ACTIVATED",IF(J482&lt;&gt;"","?FAMILIAR",IF(F482="NEW",IF(ISNA(VLOOKUP(E482,#REF!,1,FALSE())),"?TYPE_IDENTIFIABLE","?REFERENTIAL"),"_")))))</f>
        <v> </v>
      </c>
      <c r="H482" s="25" t="str">
        <f>IF(J482&lt;&gt;1,"",IF(I482="SBJ","CB","?"))</f>
        <v> </v>
      </c>
      <c r="I482" s="26" t="str">
        <f>IF(OR(E482="",E482="!!!",F482="NEW"),"",INDEX(B481:B$2,-1+SUMPRODUCT(MAX(ROW(E481:E$2)*(E482=E481:E$2)))))</f>
        <v> </v>
      </c>
      <c r="J482" s="26" t="str">
        <f>IF(OR(E482="",E482="!!!",F482="NEW"),"",COUNTBLANK(OFFSET(A$1,,,SUMPRODUCT(MAX(ROW(E$2:E482)*(E482=E$2:E482)))))-COUNTBLANK(OFFSET(A$1,,,SUMPRODUCT(MAX(ROW(E$1:E481)*(E2=E$1:E481))))))</f>
        <v> </v>
      </c>
      <c r="K482" s="26" t="str">
        <f>IF(OR(E482="",E482="!!!",F482="NEW"),"",INDEX(J$1:J481,SUMPRODUCT(MAX(ROW(E$1:E481)*(E482=E$1:E481)))))</f>
        <v> </v>
      </c>
      <c r="L482" s="27"/>
    </row>
    <row r="483" spans="1:12">
      <c r="A483" s="20" t="s">
        <v>1006</v>
      </c>
      <c r="E483" s="22">
        <f>IF(D483="?OLD","!!!","")</f>
        <v/>
      </c>
      <c r="F483" s="23" t="str">
        <f>IF(OR(E483="",E483="!!!"),"",IF(NOT(ISNA(VLOOKUP(E483,E$1:E482,1,FALSE()))),"OLD",IF(AND(E483&lt;&gt;"",E483&lt;&gt;"!!!"),"NEW","")))</f>
        <v> </v>
      </c>
      <c r="G483" s="24" t="str">
        <f>IF(OR(E483="",E483="!!!"),"",IF(OR(J483=0,AND(J483=1,K483=1),AND(J483=1,I483="SBJ"),AND(J483=1,I483=0)),"?IN_FOCUS",IF(J483&lt;=2,"?ACTIVATED",IF(J483&lt;&gt;"","?FAMILIAR",IF(F483="NEW",IF(ISNA(VLOOKUP(E483,#REF!,1,FALSE())),"?TYPE_IDENTIFIABLE","?REFERENTIAL"),"_")))))</f>
        <v> </v>
      </c>
      <c r="H483" s="25" t="str">
        <f>IF(J483&lt;&gt;1,"",IF(I483="SBJ","CB","?"))</f>
        <v> </v>
      </c>
      <c r="I483" s="26" t="str">
        <f>IF(OR(E483="",E483="!!!",F483="NEW"),"",INDEX(B482:B$2,-1+SUMPRODUCT(MAX(ROW(E482:E$2)*(E483=E482:E$2)))))</f>
        <v> </v>
      </c>
      <c r="J483" s="26" t="str">
        <f>IF(OR(E483="",E483="!!!",F483="NEW"),"",COUNTBLANK(OFFSET(A$1,,,SUMPRODUCT(MAX(ROW(E$2:E483)*(E483=E$2:E483)))))-COUNTBLANK(OFFSET(A$1,,,SUMPRODUCT(MAX(ROW(E$1:E482)*(E2=E$1:E482))))))</f>
        <v> </v>
      </c>
      <c r="K483" s="26" t="str">
        <f>IF(OR(E483="",E483="!!!",F483="NEW"),"",INDEX(J$1:J482,SUMPRODUCT(MAX(ROW(E$1:E482)*(E483=E$1:E482)))))</f>
        <v> </v>
      </c>
      <c r="L483" s="27"/>
    </row>
    <row r="484" spans="1:12">
      <c r="A484" s="20" t="s">
        <v>750</v>
      </c>
      <c r="B484" s="21" t="s">
        <v>728</v>
      </c>
      <c r="C484" s="21" t="s">
        <v>729</v>
      </c>
      <c r="D484" s="21" t="s">
        <v>730</v>
      </c>
      <c r="E484" s="22">
        <f>IF(D484="?OLD","!!!","")</f>
        <v/>
      </c>
      <c r="F484" s="23" t="str">
        <f>IF(OR(E484="",E484="!!!"),"",IF(NOT(ISNA(VLOOKUP(E484,E$1:E483,1,FALSE()))),"OLD",IF(AND(E484&lt;&gt;"",E484&lt;&gt;"!!!"),"NEW","")))</f>
        <v> </v>
      </c>
      <c r="G484" s="24" t="str">
        <f>IF(OR(E484="",E484="!!!"),"",IF(OR(J484=0,AND(J484=1,K484=1),AND(J484=1,I484="SBJ"),AND(J484=1,I484=0)),"?IN_FOCUS",IF(J484&lt;=2,"?ACTIVATED",IF(J484&lt;&gt;"","?FAMILIAR",IF(F484="NEW",IF(ISNA(VLOOKUP(E484,#REF!,1,FALSE())),"?TYPE_IDENTIFIABLE","?REFERENTIAL"),"_")))))</f>
        <v> </v>
      </c>
      <c r="H484" s="25" t="str">
        <f>IF(J484&lt;&gt;1,"",IF(I484="SBJ","CB","?"))</f>
        <v> </v>
      </c>
      <c r="I484" s="26" t="str">
        <f>IF(OR(E484="",E484="!!!",F484="NEW"),"",INDEX(B483:B$2,-1+SUMPRODUCT(MAX(ROW(E483:E$2)*(E484=E483:E$2)))))</f>
        <v> </v>
      </c>
      <c r="J484" s="26" t="str">
        <f>IF(OR(E484="",E484="!!!",F484="NEW"),"",COUNTBLANK(OFFSET(A$1,,,SUMPRODUCT(MAX(ROW(E$2:E484)*(E484=E$2:E484)))))-COUNTBLANK(OFFSET(A$1,,,SUMPRODUCT(MAX(ROW(E$1:E483)*(E2=E$1:E483))))))</f>
        <v> </v>
      </c>
      <c r="K484" s="26" t="str">
        <f>IF(OR(E484="",E484="!!!",F484="NEW"),"",INDEX(J$1:J483,SUMPRODUCT(MAX(ROW(E$1:E483)*(E484=E$1:E483)))))</f>
        <v> </v>
      </c>
      <c r="L484" s="27"/>
    </row>
    <row r="485" spans="1:12">
      <c r="A485" s="20" t="s">
        <v>759</v>
      </c>
      <c r="E485" s="22">
        <f>IF(D485="?OLD","!!!","")</f>
        <v/>
      </c>
      <c r="F485" s="23" t="str">
        <f>IF(OR(E485="",E485="!!!"),"",IF(NOT(ISNA(VLOOKUP(E485,E$1:E484,1,FALSE()))),"OLD",IF(AND(E485&lt;&gt;"",E485&lt;&gt;"!!!"),"NEW","")))</f>
        <v> </v>
      </c>
      <c r="G485" s="24" t="str">
        <f>IF(OR(E485="",E485="!!!"),"",IF(OR(J485=0,AND(J485=1,K485=1),AND(J485=1,I485="SBJ"),AND(J485=1,I485=0)),"?IN_FOCUS",IF(J485&lt;=2,"?ACTIVATED",IF(J485&lt;&gt;"","?FAMILIAR",IF(F485="NEW",IF(ISNA(VLOOKUP(E485,#REF!,1,FALSE())),"?TYPE_IDENTIFIABLE","?REFERENTIAL"),"_")))))</f>
        <v> </v>
      </c>
      <c r="H485" s="25" t="str">
        <f>IF(J485&lt;&gt;1,"",IF(I485="SBJ","CB","?"))</f>
        <v> </v>
      </c>
      <c r="I485" s="26" t="str">
        <f>IF(OR(E485="",E485="!!!",F485="NEW"),"",INDEX(B484:B$2,-1+SUMPRODUCT(MAX(ROW(E484:E$2)*(E485=E484:E$2)))))</f>
        <v> </v>
      </c>
      <c r="J485" s="26" t="str">
        <f>IF(OR(E485="",E485="!!!",F485="NEW"),"",COUNTBLANK(OFFSET(A$1,,,SUMPRODUCT(MAX(ROW(E$2:E485)*(E485=E$2:E485)))))-COUNTBLANK(OFFSET(A$1,,,SUMPRODUCT(MAX(ROW(E$1:E484)*(E2=E$1:E484))))))</f>
        <v> </v>
      </c>
      <c r="K485" s="26" t="str">
        <f>IF(OR(E485="",E485="!!!",F485="NEW"),"",INDEX(J$1:J484,SUMPRODUCT(MAX(ROW(E$1:E484)*(E485=E$1:E484)))))</f>
        <v> </v>
      </c>
      <c r="L485" s="27"/>
    </row>
    <row r="486" spans="1:12">
      <c r="A486" s="20" t="s">
        <v>920</v>
      </c>
      <c r="E486" s="22">
        <f>IF(D486="?OLD","!!!","")</f>
        <v/>
      </c>
      <c r="F486" s="23" t="str">
        <f>IF(OR(E486="",E486="!!!"),"",IF(NOT(ISNA(VLOOKUP(E486,E$1:E485,1,FALSE()))),"OLD",IF(AND(E486&lt;&gt;"",E486&lt;&gt;"!!!"),"NEW","")))</f>
        <v> </v>
      </c>
      <c r="G486" s="24" t="str">
        <f>IF(OR(E486="",E486="!!!"),"",IF(OR(J486=0,AND(J486=1,K486=1),AND(J486=1,I486="SBJ"),AND(J486=1,I486=0)),"?IN_FOCUS",IF(J486&lt;=2,"?ACTIVATED",IF(J486&lt;&gt;"","?FAMILIAR",IF(F486="NEW",IF(ISNA(VLOOKUP(E486,#REF!,1,FALSE())),"?TYPE_IDENTIFIABLE","?REFERENTIAL"),"_")))))</f>
        <v> </v>
      </c>
      <c r="H486" s="25" t="str">
        <f>IF(J486&lt;&gt;1,"",IF(I486="SBJ","CB","?"))</f>
        <v> </v>
      </c>
      <c r="I486" s="26" t="str">
        <f>IF(OR(E486="",E486="!!!",F486="NEW"),"",INDEX(B485:B$2,-1+SUMPRODUCT(MAX(ROW(E485:E$2)*(E486=E485:E$2)))))</f>
        <v> </v>
      </c>
      <c r="J486" s="26" t="str">
        <f>IF(OR(E486="",E486="!!!",F486="NEW"),"",COUNTBLANK(OFFSET(A$1,,,SUMPRODUCT(MAX(ROW(E$2:E486)*(E486=E$2:E486)))))-COUNTBLANK(OFFSET(A$1,,,SUMPRODUCT(MAX(ROW(E$1:E485)*(E2=E$1:E485))))))</f>
        <v> </v>
      </c>
      <c r="K486" s="26" t="str">
        <f>IF(OR(E486="",E486="!!!",F486="NEW"),"",INDEX(J$1:J485,SUMPRODUCT(MAX(ROW(E$1:E485)*(E486=E$1:E485)))))</f>
        <v> </v>
      </c>
      <c r="L486" s="27"/>
    </row>
    <row r="487" spans="1:12">
      <c r="A487" s="20" t="s">
        <v>750</v>
      </c>
      <c r="B487" s="21" t="s">
        <v>796</v>
      </c>
      <c r="C487" s="21" t="s">
        <v>729</v>
      </c>
      <c r="D487" s="21" t="s">
        <v>730</v>
      </c>
      <c r="E487" s="22">
        <f>IF(D487="?OLD","!!!","")</f>
        <v/>
      </c>
      <c r="F487" s="23" t="str">
        <f>IF(OR(E487="",E487="!!!"),"",IF(NOT(ISNA(VLOOKUP(E487,E$1:E486,1,FALSE()))),"OLD",IF(AND(E487&lt;&gt;"",E487&lt;&gt;"!!!"),"NEW","")))</f>
        <v> </v>
      </c>
      <c r="G487" s="24" t="str">
        <f>IF(OR(E487="",E487="!!!"),"",IF(OR(J487=0,AND(J487=1,K487=1),AND(J487=1,I487="SBJ"),AND(J487=1,I487=0)),"?IN_FOCUS",IF(J487&lt;=2,"?ACTIVATED",IF(J487&lt;&gt;"","?FAMILIAR",IF(F487="NEW",IF(ISNA(VLOOKUP(E487,#REF!,1,FALSE())),"?TYPE_IDENTIFIABLE","?REFERENTIAL"),"_")))))</f>
        <v> </v>
      </c>
      <c r="H487" s="25" t="str">
        <f>IF(J487&lt;&gt;1,"",IF(I487="SBJ","CB","?"))</f>
        <v> </v>
      </c>
      <c r="I487" s="26" t="str">
        <f>IF(OR(E487="",E487="!!!",F487="NEW"),"",INDEX(B486:B$2,-1+SUMPRODUCT(MAX(ROW(E486:E$2)*(E487=E486:E$2)))))</f>
        <v> </v>
      </c>
      <c r="J487" s="26" t="str">
        <f>IF(OR(E487="",E487="!!!",F487="NEW"),"",COUNTBLANK(OFFSET(A$1,,,SUMPRODUCT(MAX(ROW(E$2:E487)*(E487=E$2:E487)))))-COUNTBLANK(OFFSET(A$1,,,SUMPRODUCT(MAX(ROW(E$1:E486)*(E2=E$1:E486))))))</f>
        <v> </v>
      </c>
      <c r="K487" s="26" t="str">
        <f>IF(OR(E487="",E487="!!!",F487="NEW"),"",INDEX(J$1:J486,SUMPRODUCT(MAX(ROW(E$1:E486)*(E487=E$1:E486)))))</f>
        <v> </v>
      </c>
      <c r="L487" s="27"/>
    </row>
    <row r="488" spans="1:12">
      <c r="A488" s="20" t="s">
        <v>68</v>
      </c>
      <c r="E488" s="22">
        <f>IF(D488="?OLD","!!!","")</f>
        <v/>
      </c>
      <c r="F488" s="23" t="str">
        <f>IF(OR(E488="",E488="!!!"),"",IF(NOT(ISNA(VLOOKUP(E488,E$1:E487,1,FALSE()))),"OLD",IF(AND(E488&lt;&gt;"",E488&lt;&gt;"!!!"),"NEW","")))</f>
        <v> </v>
      </c>
      <c r="G488" s="24" t="str">
        <f>IF(OR(E488="",E488="!!!"),"",IF(OR(J488=0,AND(J488=1,K488=1),AND(J488=1,I488="SBJ"),AND(J488=1,I488=0)),"?IN_FOCUS",IF(J488&lt;=2,"?ACTIVATED",IF(J488&lt;&gt;"","?FAMILIAR",IF(F488="NEW",IF(ISNA(VLOOKUP(E488,#REF!,1,FALSE())),"?TYPE_IDENTIFIABLE","?REFERENTIAL"),"_")))))</f>
        <v> </v>
      </c>
      <c r="H488" s="25" t="str">
        <f>IF(J488&lt;&gt;1,"",IF(I488="SBJ","CB","?"))</f>
        <v> </v>
      </c>
      <c r="I488" s="26" t="str">
        <f>IF(OR(E488="",E488="!!!",F488="NEW"),"",INDEX(B487:B$2,-1+SUMPRODUCT(MAX(ROW(E487:E$2)*(E488=E487:E$2)))))</f>
        <v> </v>
      </c>
      <c r="J488" s="26" t="str">
        <f>IF(OR(E488="",E488="!!!",F488="NEW"),"",COUNTBLANK(OFFSET(A$1,,,SUMPRODUCT(MAX(ROW(E$2:E488)*(E488=E$2:E488)))))-COUNTBLANK(OFFSET(A$1,,,SUMPRODUCT(MAX(ROW(E$1:E487)*(E2=E$1:E487))))))</f>
        <v> </v>
      </c>
      <c r="K488" s="26" t="str">
        <f>IF(OR(E488="",E488="!!!",F488="NEW"),"",INDEX(J$1:J487,SUMPRODUCT(MAX(ROW(E$1:E487)*(E488=E$1:E487)))))</f>
        <v> </v>
      </c>
      <c r="L488" s="27"/>
    </row>
    <row r="489" spans="1:12">
      <c r="A489" s="20" t="s">
        <v>811</v>
      </c>
      <c r="E489" s="22">
        <f>IF(D489="?OLD","!!!","")</f>
        <v/>
      </c>
      <c r="F489" s="23" t="str">
        <f>IF(OR(E489="",E489="!!!"),"",IF(NOT(ISNA(VLOOKUP(E489,E$1:E488,1,FALSE()))),"OLD",IF(AND(E489&lt;&gt;"",E489&lt;&gt;"!!!"),"NEW","")))</f>
        <v> </v>
      </c>
      <c r="G489" s="24" t="str">
        <f>IF(OR(E489="",E489="!!!"),"",IF(OR(J489=0,AND(J489=1,K489=1),AND(J489=1,I489="SBJ"),AND(J489=1,I489=0)),"?IN_FOCUS",IF(J489&lt;=2,"?ACTIVATED",IF(J489&lt;&gt;"","?FAMILIAR",IF(F489="NEW",IF(ISNA(VLOOKUP(E489,#REF!,1,FALSE())),"?TYPE_IDENTIFIABLE","?REFERENTIAL"),"_")))))</f>
        <v> </v>
      </c>
      <c r="H489" s="25" t="str">
        <f>IF(J489&lt;&gt;1,"",IF(I489="SBJ","CB","?"))</f>
        <v> </v>
      </c>
      <c r="I489" s="26" t="str">
        <f>IF(OR(E489="",E489="!!!",F489="NEW"),"",INDEX(B488:B$2,-1+SUMPRODUCT(MAX(ROW(E488:E$2)*(E489=E488:E$2)))))</f>
        <v> </v>
      </c>
      <c r="J489" s="26" t="str">
        <f>IF(OR(E489="",E489="!!!",F489="NEW"),"",COUNTBLANK(OFFSET(A$1,,,SUMPRODUCT(MAX(ROW(E$2:E489)*(E489=E$2:E489)))))-COUNTBLANK(OFFSET(A$1,,,SUMPRODUCT(MAX(ROW(E$1:E488)*(E2=E$1:E488))))))</f>
        <v> </v>
      </c>
      <c r="K489" s="26" t="str">
        <f>IF(OR(E489="",E489="!!!",F489="NEW"),"",INDEX(J$1:J488,SUMPRODUCT(MAX(ROW(E$1:E488)*(E489=E$1:E488)))))</f>
        <v> </v>
      </c>
      <c r="L489" s="27"/>
    </row>
    <row r="490" spans="1:12">
      <c r="A490" s="20" t="s">
        <v>759</v>
      </c>
      <c r="E490" s="22">
        <f>IF(D490="?OLD","!!!","")</f>
        <v/>
      </c>
      <c r="F490" s="23" t="str">
        <f>IF(OR(E490="",E490="!!!"),"",IF(NOT(ISNA(VLOOKUP(E490,E$1:E489,1,FALSE()))),"OLD",IF(AND(E490&lt;&gt;"",E490&lt;&gt;"!!!"),"NEW","")))</f>
        <v> </v>
      </c>
      <c r="G490" s="24" t="str">
        <f>IF(OR(E490="",E490="!!!"),"",IF(OR(J490=0,AND(J490=1,K490=1),AND(J490=1,I490="SBJ"),AND(J490=1,I490=0)),"?IN_FOCUS",IF(J490&lt;=2,"?ACTIVATED",IF(J490&lt;&gt;"","?FAMILIAR",IF(F490="NEW",IF(ISNA(VLOOKUP(E490,#REF!,1,FALSE())),"?TYPE_IDENTIFIABLE","?REFERENTIAL"),"_")))))</f>
        <v> </v>
      </c>
      <c r="H490" s="25" t="str">
        <f>IF(J490&lt;&gt;1,"",IF(I490="SBJ","CB","?"))</f>
        <v> </v>
      </c>
      <c r="I490" s="26" t="str">
        <f>IF(OR(E490="",E490="!!!",F490="NEW"),"",INDEX(B489:B$2,-1+SUMPRODUCT(MAX(ROW(E489:E$2)*(E490=E489:E$2)))))</f>
        <v> </v>
      </c>
      <c r="J490" s="26" t="str">
        <f>IF(OR(E490="",E490="!!!",F490="NEW"),"",COUNTBLANK(OFFSET(A$1,,,SUMPRODUCT(MAX(ROW(E$2:E490)*(E490=E$2:E490)))))-COUNTBLANK(OFFSET(A$1,,,SUMPRODUCT(MAX(ROW(E$1:E489)*(E2=E$1:E489))))))</f>
        <v> </v>
      </c>
      <c r="K490" s="26" t="str">
        <f>IF(OR(E490="",E490="!!!",F490="NEW"),"",INDEX(J$1:J489,SUMPRODUCT(MAX(ROW(E$1:E489)*(E490=E$1:E489)))))</f>
        <v> </v>
      </c>
      <c r="L490" s="27"/>
    </row>
    <row r="491" spans="1:12">
      <c r="A491" s="20" t="s">
        <v>1007</v>
      </c>
      <c r="B491" s="21" t="s">
        <v>755</v>
      </c>
      <c r="C491" s="21" t="s">
        <v>748</v>
      </c>
      <c r="E491" s="22">
        <f>IF(D491="?OLD","!!!","")</f>
        <v/>
      </c>
      <c r="F491" s="23" t="str">
        <f>IF(OR(E491="",E491="!!!"),"",IF(NOT(ISNA(VLOOKUP(E491,E$1:E490,1,FALSE()))),"OLD",IF(AND(E491&lt;&gt;"",E491&lt;&gt;"!!!"),"NEW","")))</f>
        <v> </v>
      </c>
      <c r="G491" s="24" t="str">
        <f>IF(OR(E491="",E491="!!!"),"",IF(OR(J491=0,AND(J491=1,K491=1),AND(J491=1,I491="SBJ"),AND(J491=1,I491=0)),"?IN_FOCUS",IF(J491&lt;=2,"?ACTIVATED",IF(J491&lt;&gt;"","?FAMILIAR",IF(F491="NEW",IF(ISNA(VLOOKUP(E491,#REF!,1,FALSE())),"?TYPE_IDENTIFIABLE","?REFERENTIAL"),"_")))))</f>
        <v> </v>
      </c>
      <c r="H491" s="25" t="str">
        <f>IF(J491&lt;&gt;1,"",IF(I491="SBJ","CB","?"))</f>
        <v> </v>
      </c>
      <c r="I491" s="26" t="str">
        <f>IF(OR(E491="",E491="!!!",F491="NEW"),"",INDEX(B490:B$2,-1+SUMPRODUCT(MAX(ROW(E490:E$2)*(E491=E490:E$2)))))</f>
        <v> </v>
      </c>
      <c r="J491" s="26" t="str">
        <f>IF(OR(E491="",E491="!!!",F491="NEW"),"",COUNTBLANK(OFFSET(A$1,,,SUMPRODUCT(MAX(ROW(E$2:E491)*(E491=E$2:E491)))))-COUNTBLANK(OFFSET(A$1,,,SUMPRODUCT(MAX(ROW(E$1:E490)*(E2=E$1:E490))))))</f>
        <v> </v>
      </c>
      <c r="K491" s="26" t="str">
        <f>IF(OR(E491="",E491="!!!",F491="NEW"),"",INDEX(J$1:J490,SUMPRODUCT(MAX(ROW(E$1:E490)*(E491=E$1:E490)))))</f>
        <v> </v>
      </c>
      <c r="L491" s="27"/>
    </row>
    <row r="492" spans="1:12">
      <c r="A492" s="20" t="s">
        <v>754</v>
      </c>
      <c r="E492" s="22">
        <f>IF(D492="?OLD","!!!","")</f>
        <v/>
      </c>
      <c r="F492" s="23" t="str">
        <f>IF(OR(E492="",E492="!!!"),"",IF(NOT(ISNA(VLOOKUP(E492,E$1:E491,1,FALSE()))),"OLD",IF(AND(E492&lt;&gt;"",E492&lt;&gt;"!!!"),"NEW","")))</f>
        <v> </v>
      </c>
      <c r="G492" s="24" t="str">
        <f>IF(OR(E492="",E492="!!!"),"",IF(OR(J492=0,AND(J492=1,K492=1),AND(J492=1,I492="SBJ"),AND(J492=1,I492=0)),"?IN_FOCUS",IF(J492&lt;=2,"?ACTIVATED",IF(J492&lt;&gt;"","?FAMILIAR",IF(F492="NEW",IF(ISNA(VLOOKUP(E492,#REF!,1,FALSE())),"?TYPE_IDENTIFIABLE","?REFERENTIAL"),"_")))))</f>
        <v> </v>
      </c>
      <c r="H492" s="25" t="str">
        <f>IF(J492&lt;&gt;1,"",IF(I492="SBJ","CB","?"))</f>
        <v> </v>
      </c>
      <c r="I492" s="26" t="str">
        <f>IF(OR(E492="",E492="!!!",F492="NEW"),"",INDEX(B491:B$2,-1+SUMPRODUCT(MAX(ROW(E491:E$2)*(E492=E491:E$2)))))</f>
        <v> </v>
      </c>
      <c r="J492" s="26" t="str">
        <f>IF(OR(E492="",E492="!!!",F492="NEW"),"",COUNTBLANK(OFFSET(A$1,,,SUMPRODUCT(MAX(ROW(E$2:E492)*(E492=E$2:E492)))))-COUNTBLANK(OFFSET(A$1,,,SUMPRODUCT(MAX(ROW(E$1:E491)*(E2=E$1:E491))))))</f>
        <v> </v>
      </c>
      <c r="K492" s="26" t="str">
        <f>IF(OR(E492="",E492="!!!",F492="NEW"),"",INDEX(J$1:J491,SUMPRODUCT(MAX(ROW(E$1:E491)*(E492=E$1:E491)))))</f>
        <v> </v>
      </c>
      <c r="L492" s="27"/>
    </row>
    <row r="493" spans="1:12">
      <c r="A493" s="20" t="s">
        <v>285</v>
      </c>
      <c r="E493" s="22">
        <f>IF(D493="?OLD","!!!","")</f>
        <v/>
      </c>
      <c r="F493" s="23" t="str">
        <f>IF(OR(E493="",E493="!!!"),"",IF(NOT(ISNA(VLOOKUP(E493,E$1:E492,1,FALSE()))),"OLD",IF(AND(E493&lt;&gt;"",E493&lt;&gt;"!!!"),"NEW","")))</f>
        <v> </v>
      </c>
      <c r="G493" s="24" t="str">
        <f>IF(OR(E493="",E493="!!!"),"",IF(OR(J493=0,AND(J493=1,K493=1),AND(J493=1,I493="SBJ"),AND(J493=1,I493=0)),"?IN_FOCUS",IF(J493&lt;=2,"?ACTIVATED",IF(J493&lt;&gt;"","?FAMILIAR",IF(F493="NEW",IF(ISNA(VLOOKUP(E493,#REF!,1,FALSE())),"?TYPE_IDENTIFIABLE","?REFERENTIAL"),"_")))))</f>
        <v> </v>
      </c>
      <c r="H493" s="25" t="str">
        <f>IF(J493&lt;&gt;1,"",IF(I493="SBJ","CB","?"))</f>
        <v> </v>
      </c>
      <c r="I493" s="26" t="str">
        <f>IF(OR(E493="",E493="!!!",F493="NEW"),"",INDEX(B492:B$2,-1+SUMPRODUCT(MAX(ROW(E492:E$2)*(E493=E492:E$2)))))</f>
        <v> </v>
      </c>
      <c r="J493" s="26" t="str">
        <f>IF(OR(E493="",E493="!!!",F493="NEW"),"",COUNTBLANK(OFFSET(A$1,,,SUMPRODUCT(MAX(ROW(E$2:E493)*(E493=E$2:E493)))))-COUNTBLANK(OFFSET(A$1,,,SUMPRODUCT(MAX(ROW(E$1:E492)*(E2=E$1:E492))))))</f>
        <v> </v>
      </c>
      <c r="K493" s="26" t="str">
        <f>IF(OR(E493="",E493="!!!",F493="NEW"),"",INDEX(J$1:J492,SUMPRODUCT(MAX(ROW(E$1:E492)*(E493=E$1:E492)))))</f>
        <v> </v>
      </c>
      <c r="L493" s="27"/>
    </row>
    <row r="494" spans="1:12">
      <c r="A494" s="20" t="s">
        <v>246</v>
      </c>
      <c r="E494" s="22">
        <f>IF(D494="?OLD","!!!","")</f>
        <v/>
      </c>
      <c r="F494" s="23" t="str">
        <f>IF(OR(E494="",E494="!!!"),"",IF(NOT(ISNA(VLOOKUP(E494,E$1:E493,1,FALSE()))),"OLD",IF(AND(E494&lt;&gt;"",E494&lt;&gt;"!!!"),"NEW","")))</f>
        <v> </v>
      </c>
      <c r="G494" s="24" t="str">
        <f>IF(OR(E494="",E494="!!!"),"",IF(OR(J494=0,AND(J494=1,K494=1),AND(J494=1,I494="SBJ"),AND(J494=1,I494=0)),"?IN_FOCUS",IF(J494&lt;=2,"?ACTIVATED",IF(J494&lt;&gt;"","?FAMILIAR",IF(F494="NEW",IF(ISNA(VLOOKUP(E494,#REF!,1,FALSE())),"?TYPE_IDENTIFIABLE","?REFERENTIAL"),"_")))))</f>
        <v> </v>
      </c>
      <c r="H494" s="25" t="str">
        <f>IF(J494&lt;&gt;1,"",IF(I494="SBJ","CB","?"))</f>
        <v> </v>
      </c>
      <c r="I494" s="26" t="str">
        <f>IF(OR(E494="",E494="!!!",F494="NEW"),"",INDEX(B493:B$2,-1+SUMPRODUCT(MAX(ROW(E493:E$2)*(E494=E493:E$2)))))</f>
        <v> </v>
      </c>
      <c r="J494" s="26" t="str">
        <f>IF(OR(E494="",E494="!!!",F494="NEW"),"",COUNTBLANK(OFFSET(A$1,,,SUMPRODUCT(MAX(ROW(E$2:E494)*(E494=E$2:E494)))))-COUNTBLANK(OFFSET(A$1,,,SUMPRODUCT(MAX(ROW(E$1:E493)*(E2=E$1:E493))))))</f>
        <v> </v>
      </c>
      <c r="K494" s="26" t="str">
        <f>IF(OR(E494="",E494="!!!",F494="NEW"),"",INDEX(J$1:J493,SUMPRODUCT(MAX(ROW(E$1:E493)*(E494=E$1:E493)))))</f>
        <v> </v>
      </c>
      <c r="L494" s="27"/>
    </row>
    <row r="495" spans="1:12">
      <c r="A495" s="20"/>
    </row>
    <row r="496" spans="1:12">
      <c r="A496" s="20" t="s">
        <v>1008</v>
      </c>
    </row>
    <row r="497" spans="1:12">
      <c r="A497" s="20" t="s">
        <v>883</v>
      </c>
      <c r="E497" s="22">
        <f>IF(D497="?OLD","!!!","")</f>
        <v/>
      </c>
      <c r="F497" s="23" t="str">
        <f>IF(OR(E497="",E497="!!!"),"",IF(NOT(ISNA(VLOOKUP(E497,E$1:E496,1,FALSE()))),"OLD",IF(AND(E497&lt;&gt;"",E497&lt;&gt;"!!!"),"NEW","")))</f>
        <v> </v>
      </c>
      <c r="G497" s="24" t="str">
        <f>IF(OR(E497="",E497="!!!"),"",IF(OR(J497=0,AND(J497=1,K497=1),AND(J497=1,I497="SBJ"),AND(J497=1,I497=0)),"?IN_FOCUS",IF(J497&lt;=2,"?ACTIVATED",IF(J497&lt;&gt;"","?FAMILIAR",IF(F497="NEW",IF(ISNA(VLOOKUP(E497,#REF!,1,FALSE())),"?TYPE_IDENTIFIABLE","?REFERENTIAL"),"_")))))</f>
        <v> </v>
      </c>
      <c r="H497" s="25" t="str">
        <f>IF(J497&lt;&gt;1,"",IF(I497="SBJ","CB","?"))</f>
        <v> </v>
      </c>
      <c r="I497" s="26" t="str">
        <f>IF(OR(E497="",E497="!!!",F497="NEW"),"",INDEX(B496:B$2,-1+SUMPRODUCT(MAX(ROW(E496:E$2)*(E497=E496:E$2)))))</f>
        <v> </v>
      </c>
      <c r="J497" s="26" t="str">
        <f>IF(OR(E497="",E497="!!!",F497="NEW"),"",COUNTBLANK(OFFSET(A$1,,,SUMPRODUCT(MAX(ROW(E$2:E497)*(E497=E$2:E497)))))-COUNTBLANK(OFFSET(A$1,,,SUMPRODUCT(MAX(ROW(E$1:E496)*(E2=E$1:E496))))))</f>
        <v> </v>
      </c>
      <c r="K497" s="26" t="str">
        <f>IF(OR(E497="",E497="!!!",F497="NEW"),"",INDEX(J$1:J496,SUMPRODUCT(MAX(ROW(E$1:E496)*(E497=E$1:E496)))))</f>
        <v> </v>
      </c>
      <c r="L497" s="27"/>
    </row>
    <row r="498" spans="1:12">
      <c r="A498" s="20" t="s">
        <v>1009</v>
      </c>
      <c r="E498" s="22">
        <f>IF(D498="?OLD","!!!","")</f>
        <v/>
      </c>
      <c r="F498" s="23" t="str">
        <f>IF(OR(E498="",E498="!!!"),"",IF(NOT(ISNA(VLOOKUP(E498,E$1:E497,1,FALSE()))),"OLD",IF(AND(E498&lt;&gt;"",E498&lt;&gt;"!!!"),"NEW","")))</f>
        <v> </v>
      </c>
      <c r="G498" s="24" t="str">
        <f>IF(OR(E498="",E498="!!!"),"",IF(OR(J498=0,AND(J498=1,K498=1),AND(J498=1,I498="SBJ"),AND(J498=1,I498=0)),"?IN_FOCUS",IF(J498&lt;=2,"?ACTIVATED",IF(J498&lt;&gt;"","?FAMILIAR",IF(F498="NEW",IF(ISNA(VLOOKUP(E498,#REF!,1,FALSE())),"?TYPE_IDENTIFIABLE","?REFERENTIAL"),"_")))))</f>
        <v> </v>
      </c>
      <c r="H498" s="25" t="str">
        <f>IF(J498&lt;&gt;1,"",IF(I498="SBJ","CB","?"))</f>
        <v> </v>
      </c>
      <c r="I498" s="26" t="str">
        <f>IF(OR(E498="",E498="!!!",F498="NEW"),"",INDEX(B497:B$2,-1+SUMPRODUCT(MAX(ROW(E497:E$2)*(E498=E497:E$2)))))</f>
        <v> </v>
      </c>
      <c r="J498" s="26" t="str">
        <f>IF(OR(E498="",E498="!!!",F498="NEW"),"",COUNTBLANK(OFFSET(A$1,,,SUMPRODUCT(MAX(ROW(E$2:E498)*(E498=E$2:E498)))))-COUNTBLANK(OFFSET(A$1,,,SUMPRODUCT(MAX(ROW(E$1:E497)*(E2=E$1:E497))))))</f>
        <v> </v>
      </c>
      <c r="K498" s="26" t="str">
        <f>IF(OR(E498="",E498="!!!",F498="NEW"),"",INDEX(J$1:J497,SUMPRODUCT(MAX(ROW(E$1:E497)*(E498=E$1:E497)))))</f>
        <v> </v>
      </c>
      <c r="L498" s="27"/>
    </row>
    <row r="499" spans="1:12">
      <c r="A499" s="20" t="s">
        <v>1010</v>
      </c>
      <c r="B499" s="21" t="s">
        <v>728</v>
      </c>
      <c r="C499" s="21" t="s">
        <v>753</v>
      </c>
      <c r="D499" s="21" t="s">
        <v>730</v>
      </c>
      <c r="E499" s="22">
        <f>IF(D499="?OLD","!!!","")</f>
        <v/>
      </c>
      <c r="F499" s="23" t="str">
        <f>IF(OR(E499="",E499="!!!"),"",IF(NOT(ISNA(VLOOKUP(E499,E$1:E498,1,FALSE()))),"OLD",IF(AND(E499&lt;&gt;"",E499&lt;&gt;"!!!"),"NEW","")))</f>
        <v> </v>
      </c>
      <c r="G499" s="24" t="str">
        <f>IF(OR(E499="",E499="!!!"),"",IF(OR(J499=0,AND(J499=1,K499=1),AND(J499=1,I499="SBJ"),AND(J499=1,I499=0)),"?IN_FOCUS",IF(J499&lt;=2,"?ACTIVATED",IF(J499&lt;&gt;"","?FAMILIAR",IF(F499="NEW",IF(ISNA(VLOOKUP(E499,#REF!,1,FALSE())),"?TYPE_IDENTIFIABLE","?REFERENTIAL"),"_")))))</f>
        <v> </v>
      </c>
      <c r="H499" s="25" t="str">
        <f>IF(J499&lt;&gt;1,"",IF(I499="SBJ","CB","?"))</f>
        <v> </v>
      </c>
      <c r="I499" s="26" t="str">
        <f>IF(OR(E499="",E499="!!!",F499="NEW"),"",INDEX(B498:B$2,-1+SUMPRODUCT(MAX(ROW(E498:E$2)*(E499=E498:E$2)))))</f>
        <v> </v>
      </c>
      <c r="J499" s="26" t="str">
        <f>IF(OR(E499="",E499="!!!",F499="NEW"),"",COUNTBLANK(OFFSET(A$1,,,SUMPRODUCT(MAX(ROW(E$2:E499)*(E499=E$2:E499)))))-COUNTBLANK(OFFSET(A$1,,,SUMPRODUCT(MAX(ROW(E$1:E498)*(E2=E$1:E498))))))</f>
        <v> </v>
      </c>
      <c r="K499" s="26" t="str">
        <f>IF(OR(E499="",E499="!!!",F499="NEW"),"",INDEX(J$1:J498,SUMPRODUCT(MAX(ROW(E$1:E498)*(E499=E$1:E498)))))</f>
        <v> </v>
      </c>
      <c r="L499" s="27"/>
    </row>
    <row r="500" spans="1:12">
      <c r="A500" s="20" t="s">
        <v>838</v>
      </c>
      <c r="E500" s="22">
        <f>IF(D500="?OLD","!!!","")</f>
        <v/>
      </c>
      <c r="F500" s="23" t="str">
        <f>IF(OR(E500="",E500="!!!"),"",IF(NOT(ISNA(VLOOKUP(E500,E$1:E499,1,FALSE()))),"OLD",IF(AND(E500&lt;&gt;"",E500&lt;&gt;"!!!"),"NEW","")))</f>
        <v> </v>
      </c>
      <c r="G500" s="24" t="str">
        <f>IF(OR(E500="",E500="!!!"),"",IF(OR(J500=0,AND(J500=1,K500=1),AND(J500=1,I500="SBJ"),AND(J500=1,I500=0)),"?IN_FOCUS",IF(J500&lt;=2,"?ACTIVATED",IF(J500&lt;&gt;"","?FAMILIAR",IF(F500="NEW",IF(ISNA(VLOOKUP(E500,#REF!,1,FALSE())),"?TYPE_IDENTIFIABLE","?REFERENTIAL"),"_")))))</f>
        <v> </v>
      </c>
      <c r="H500" s="25" t="str">
        <f>IF(J500&lt;&gt;1,"",IF(I500="SBJ","CB","?"))</f>
        <v> </v>
      </c>
      <c r="I500" s="26" t="str">
        <f>IF(OR(E500="",E500="!!!",F500="NEW"),"",INDEX(B499:B$2,-1+SUMPRODUCT(MAX(ROW(E499:E$2)*(E500=E499:E$2)))))</f>
        <v> </v>
      </c>
      <c r="J500" s="26" t="str">
        <f>IF(OR(E500="",E500="!!!",F500="NEW"),"",COUNTBLANK(OFFSET(A$1,,,SUMPRODUCT(MAX(ROW(E$2:E500)*(E500=E$2:E500)))))-COUNTBLANK(OFFSET(A$1,,,SUMPRODUCT(MAX(ROW(E$1:E499)*(E2=E$1:E499))))))</f>
        <v> </v>
      </c>
      <c r="K500" s="26" t="str">
        <f>IF(OR(E500="",E500="!!!",F500="NEW"),"",INDEX(J$1:J499,SUMPRODUCT(MAX(ROW(E$1:E499)*(E500=E$1:E499)))))</f>
        <v> </v>
      </c>
      <c r="L500" s="27"/>
    </row>
    <row r="501" spans="1:12">
      <c r="A501" s="20" t="s">
        <v>811</v>
      </c>
      <c r="E501" s="22">
        <f>IF(D501="?OLD","!!!","")</f>
        <v/>
      </c>
      <c r="F501" s="23" t="str">
        <f>IF(OR(E501="",E501="!!!"),"",IF(NOT(ISNA(VLOOKUP(E501,E$1:E500,1,FALSE()))),"OLD",IF(AND(E501&lt;&gt;"",E501&lt;&gt;"!!!"),"NEW","")))</f>
        <v> </v>
      </c>
      <c r="G501" s="24" t="str">
        <f>IF(OR(E501="",E501="!!!"),"",IF(OR(J501=0,AND(J501=1,K501=1),AND(J501=1,I501="SBJ"),AND(J501=1,I501=0)),"?IN_FOCUS",IF(J501&lt;=2,"?ACTIVATED",IF(J501&lt;&gt;"","?FAMILIAR",IF(F501="NEW",IF(ISNA(VLOOKUP(E501,#REF!,1,FALSE())),"?TYPE_IDENTIFIABLE","?REFERENTIAL"),"_")))))</f>
        <v> </v>
      </c>
      <c r="H501" s="25" t="str">
        <f>IF(J501&lt;&gt;1,"",IF(I501="SBJ","CB","?"))</f>
        <v> </v>
      </c>
      <c r="I501" s="26" t="str">
        <f>IF(OR(E501="",E501="!!!",F501="NEW"),"",INDEX(B500:B$2,-1+SUMPRODUCT(MAX(ROW(E500:E$2)*(E501=E500:E$2)))))</f>
        <v> </v>
      </c>
      <c r="J501" s="26" t="str">
        <f>IF(OR(E501="",E501="!!!",F501="NEW"),"",COUNTBLANK(OFFSET(A$1,,,SUMPRODUCT(MAX(ROW(E$2:E501)*(E501=E$2:E501)))))-COUNTBLANK(OFFSET(A$1,,,SUMPRODUCT(MAX(ROW(E$1:E500)*(E2=E$1:E500))))))</f>
        <v> </v>
      </c>
      <c r="K501" s="26" t="str">
        <f>IF(OR(E501="",E501="!!!",F501="NEW"),"",INDEX(J$1:J500,SUMPRODUCT(MAX(ROW(E$1:E500)*(E501=E$1:E500)))))</f>
        <v> </v>
      </c>
      <c r="L501" s="27"/>
    </row>
    <row r="502" spans="1:12">
      <c r="A502" s="20" t="s">
        <v>759</v>
      </c>
      <c r="E502" s="22">
        <f>IF(D502="?OLD","!!!","")</f>
        <v/>
      </c>
      <c r="F502" s="23" t="str">
        <f>IF(OR(E502="",E502="!!!"),"",IF(NOT(ISNA(VLOOKUP(E502,E$1:E501,1,FALSE()))),"OLD",IF(AND(E502&lt;&gt;"",E502&lt;&gt;"!!!"),"NEW","")))</f>
        <v> </v>
      </c>
      <c r="G502" s="24" t="str">
        <f>IF(OR(E502="",E502="!!!"),"",IF(OR(J502=0,AND(J502=1,K502=1),AND(J502=1,I502="SBJ"),AND(J502=1,I502=0)),"?IN_FOCUS",IF(J502&lt;=2,"?ACTIVATED",IF(J502&lt;&gt;"","?FAMILIAR",IF(F502="NEW",IF(ISNA(VLOOKUP(E502,#REF!,1,FALSE())),"?TYPE_IDENTIFIABLE","?REFERENTIAL"),"_")))))</f>
        <v> </v>
      </c>
      <c r="H502" s="25" t="str">
        <f>IF(J502&lt;&gt;1,"",IF(I502="SBJ","CB","?"))</f>
        <v> </v>
      </c>
      <c r="I502" s="26" t="str">
        <f>IF(OR(E502="",E502="!!!",F502="NEW"),"",INDEX(B501:B$2,-1+SUMPRODUCT(MAX(ROW(E501:E$2)*(E502=E501:E$2)))))</f>
        <v> </v>
      </c>
      <c r="J502" s="26" t="str">
        <f>IF(OR(E502="",E502="!!!",F502="NEW"),"",COUNTBLANK(OFFSET(A$1,,,SUMPRODUCT(MAX(ROW(E$2:E502)*(E502=E$2:E502)))))-COUNTBLANK(OFFSET(A$1,,,SUMPRODUCT(MAX(ROW(E$1:E501)*(E2=E$1:E501))))))</f>
        <v> </v>
      </c>
      <c r="K502" s="26" t="str">
        <f>IF(OR(E502="",E502="!!!",F502="NEW"),"",INDEX(J$1:J501,SUMPRODUCT(MAX(ROW(E$1:E501)*(E502=E$1:E501)))))</f>
        <v> </v>
      </c>
      <c r="L502" s="27"/>
    </row>
    <row r="503" spans="1:12">
      <c r="A503" s="20" t="s">
        <v>808</v>
      </c>
      <c r="E503" s="22">
        <f>IF(D503="?OLD","!!!","")</f>
        <v/>
      </c>
      <c r="F503" s="23" t="str">
        <f>IF(OR(E503="",E503="!!!"),"",IF(NOT(ISNA(VLOOKUP(E503,E$1:E502,1,FALSE()))),"OLD",IF(AND(E503&lt;&gt;"",E503&lt;&gt;"!!!"),"NEW","")))</f>
        <v> </v>
      </c>
      <c r="G503" s="24" t="str">
        <f>IF(OR(E503="",E503="!!!"),"",IF(OR(J503=0,AND(J503=1,K503=1),AND(J503=1,I503="SBJ"),AND(J503=1,I503=0)),"?IN_FOCUS",IF(J503&lt;=2,"?ACTIVATED",IF(J503&lt;&gt;"","?FAMILIAR",IF(F503="NEW",IF(ISNA(VLOOKUP(E503,#REF!,1,FALSE())),"?TYPE_IDENTIFIABLE","?REFERENTIAL"),"_")))))</f>
        <v> </v>
      </c>
      <c r="H503" s="25" t="str">
        <f>IF(J503&lt;&gt;1,"",IF(I503="SBJ","CB","?"))</f>
        <v> </v>
      </c>
      <c r="I503" s="26" t="str">
        <f>IF(OR(E503="",E503="!!!",F503="NEW"),"",INDEX(B502:B$2,-1+SUMPRODUCT(MAX(ROW(E502:E$2)*(E503=E502:E$2)))))</f>
        <v> </v>
      </c>
      <c r="J503" s="26" t="str">
        <f>IF(OR(E503="",E503="!!!",F503="NEW"),"",COUNTBLANK(OFFSET(A$1,,,SUMPRODUCT(MAX(ROW(E$2:E503)*(E503=E$2:E503)))))-COUNTBLANK(OFFSET(A$1,,,SUMPRODUCT(MAX(ROW(E$1:E502)*(E2=E$1:E502))))))</f>
        <v> </v>
      </c>
      <c r="K503" s="26" t="str">
        <f>IF(OR(E503="",E503="!!!",F503="NEW"),"",INDEX(J$1:J502,SUMPRODUCT(MAX(ROW(E$1:E502)*(E503=E$1:E502)))))</f>
        <v> </v>
      </c>
      <c r="L503" s="27"/>
    </row>
    <row r="504" spans="1:12">
      <c r="A504" s="20" t="s">
        <v>750</v>
      </c>
      <c r="B504" s="21" t="s">
        <v>796</v>
      </c>
      <c r="C504" s="21" t="s">
        <v>729</v>
      </c>
      <c r="D504" s="21" t="s">
        <v>730</v>
      </c>
      <c r="E504" s="22">
        <f>IF(D504="?OLD","!!!","")</f>
        <v/>
      </c>
      <c r="F504" s="23" t="str">
        <f>IF(OR(E504="",E504="!!!"),"",IF(NOT(ISNA(VLOOKUP(E504,E$1:E503,1,FALSE()))),"OLD",IF(AND(E504&lt;&gt;"",E504&lt;&gt;"!!!"),"NEW","")))</f>
        <v> </v>
      </c>
      <c r="G504" s="24" t="str">
        <f>IF(OR(E504="",E504="!!!"),"",IF(OR(J504=0,AND(J504=1,K504=1),AND(J504=1,I504="SBJ"),AND(J504=1,I504=0)),"?IN_FOCUS",IF(J504&lt;=2,"?ACTIVATED",IF(J504&lt;&gt;"","?FAMILIAR",IF(F504="NEW",IF(ISNA(VLOOKUP(E504,#REF!,1,FALSE())),"?TYPE_IDENTIFIABLE","?REFERENTIAL"),"_")))))</f>
        <v> </v>
      </c>
      <c r="H504" s="25" t="str">
        <f>IF(J504&lt;&gt;1,"",IF(I504="SBJ","CB","?"))</f>
        <v> </v>
      </c>
      <c r="I504" s="26" t="str">
        <f>IF(OR(E504="",E504="!!!",F504="NEW"),"",INDEX(B503:B$2,-1+SUMPRODUCT(MAX(ROW(E503:E$2)*(E504=E503:E$2)))))</f>
        <v> </v>
      </c>
      <c r="J504" s="26" t="str">
        <f>IF(OR(E504="",E504="!!!",F504="NEW"),"",COUNTBLANK(OFFSET(A$1,,,SUMPRODUCT(MAX(ROW(E$2:E504)*(E504=E$2:E504)))))-COUNTBLANK(OFFSET(A$1,,,SUMPRODUCT(MAX(ROW(E$1:E503)*(E2=E$1:E503))))))</f>
        <v> </v>
      </c>
      <c r="K504" s="26" t="str">
        <f>IF(OR(E504="",E504="!!!",F504="NEW"),"",INDEX(J$1:J503,SUMPRODUCT(MAX(ROW(E$1:E503)*(E504=E$1:E503)))))</f>
        <v> </v>
      </c>
      <c r="L504" s="27"/>
    </row>
    <row r="505" spans="1:12">
      <c r="A505" s="20" t="s">
        <v>773</v>
      </c>
      <c r="E505" s="22">
        <f>IF(D505="?OLD","!!!","")</f>
        <v/>
      </c>
      <c r="F505" s="23" t="str">
        <f>IF(OR(E505="",E505="!!!"),"",IF(NOT(ISNA(VLOOKUP(E505,E$1:E504,1,FALSE()))),"OLD",IF(AND(E505&lt;&gt;"",E505&lt;&gt;"!!!"),"NEW","")))</f>
        <v> </v>
      </c>
      <c r="G505" s="24" t="str">
        <f>IF(OR(E505="",E505="!!!"),"",IF(OR(J505=0,AND(J505=1,K505=1),AND(J505=1,I505="SBJ"),AND(J505=1,I505=0)),"?IN_FOCUS",IF(J505&lt;=2,"?ACTIVATED",IF(J505&lt;&gt;"","?FAMILIAR",IF(F505="NEW",IF(ISNA(VLOOKUP(E505,#REF!,1,FALSE())),"?TYPE_IDENTIFIABLE","?REFERENTIAL"),"_")))))</f>
        <v> </v>
      </c>
      <c r="H505" s="25" t="str">
        <f>IF(J505&lt;&gt;1,"",IF(I505="SBJ","CB","?"))</f>
        <v> </v>
      </c>
      <c r="I505" s="26" t="str">
        <f>IF(OR(E505="",E505="!!!",F505="NEW"),"",INDEX(B504:B$2,-1+SUMPRODUCT(MAX(ROW(E504:E$2)*(E505=E504:E$2)))))</f>
        <v> </v>
      </c>
      <c r="J505" s="26" t="str">
        <f>IF(OR(E505="",E505="!!!",F505="NEW"),"",COUNTBLANK(OFFSET(A$1,,,SUMPRODUCT(MAX(ROW(E$2:E505)*(E505=E$2:E505)))))-COUNTBLANK(OFFSET(A$1,,,SUMPRODUCT(MAX(ROW(E$1:E504)*(E2=E$1:E504))))))</f>
        <v> </v>
      </c>
      <c r="K505" s="26" t="str">
        <f>IF(OR(E505="",E505="!!!",F505="NEW"),"",INDEX(J$1:J504,SUMPRODUCT(MAX(ROW(E$1:E504)*(E505=E$1:E504)))))</f>
        <v> </v>
      </c>
      <c r="L505" s="27"/>
    </row>
    <row r="506" spans="1:12">
      <c r="A506" s="20" t="s">
        <v>774</v>
      </c>
      <c r="E506" s="22">
        <f>IF(D506="?OLD","!!!","")</f>
        <v/>
      </c>
      <c r="F506" s="23" t="str">
        <f>IF(OR(E506="",E506="!!!"),"",IF(NOT(ISNA(VLOOKUP(E506,E$1:E505,1,FALSE()))),"OLD",IF(AND(E506&lt;&gt;"",E506&lt;&gt;"!!!"),"NEW","")))</f>
        <v> </v>
      </c>
      <c r="G506" s="24" t="str">
        <f>IF(OR(E506="",E506="!!!"),"",IF(OR(J506=0,AND(J506=1,K506=1),AND(J506=1,I506="SBJ"),AND(J506=1,I506=0)),"?IN_FOCUS",IF(J506&lt;=2,"?ACTIVATED",IF(J506&lt;&gt;"","?FAMILIAR",IF(F506="NEW",IF(ISNA(VLOOKUP(E506,#REF!,1,FALSE())),"?TYPE_IDENTIFIABLE","?REFERENTIAL"),"_")))))</f>
        <v> </v>
      </c>
      <c r="H506" s="25" t="str">
        <f>IF(J506&lt;&gt;1,"",IF(I506="SBJ","CB","?"))</f>
        <v> </v>
      </c>
      <c r="I506" s="26" t="str">
        <f>IF(OR(E506="",E506="!!!",F506="NEW"),"",INDEX(B505:B$2,-1+SUMPRODUCT(MAX(ROW(E505:E$2)*(E506=E505:E$2)))))</f>
        <v> </v>
      </c>
      <c r="J506" s="26" t="str">
        <f>IF(OR(E506="",E506="!!!",F506="NEW"),"",COUNTBLANK(OFFSET(A$1,,,SUMPRODUCT(MAX(ROW(E$2:E506)*(E506=E$2:E506)))))-COUNTBLANK(OFFSET(A$1,,,SUMPRODUCT(MAX(ROW(E$1:E505)*(E2=E$1:E505))))))</f>
        <v> </v>
      </c>
      <c r="K506" s="26" t="str">
        <f>IF(OR(E506="",E506="!!!",F506="NEW"),"",INDEX(J$1:J505,SUMPRODUCT(MAX(ROW(E$1:E505)*(E506=E$1:E505)))))</f>
        <v> </v>
      </c>
      <c r="L506" s="27"/>
    </row>
    <row r="507" spans="1:12">
      <c r="A507" s="20" t="s">
        <v>1011</v>
      </c>
      <c r="E507" s="22">
        <f>IF(D507="?OLD","!!!","")</f>
        <v/>
      </c>
      <c r="F507" s="23" t="str">
        <f>IF(OR(E507="",E507="!!!"),"",IF(NOT(ISNA(VLOOKUP(E507,E$1:E506,1,FALSE()))),"OLD",IF(AND(E507&lt;&gt;"",E507&lt;&gt;"!!!"),"NEW","")))</f>
        <v> </v>
      </c>
      <c r="G507" s="24" t="str">
        <f>IF(OR(E507="",E507="!!!"),"",IF(OR(J507=0,AND(J507=1,K507=1),AND(J507=1,I507="SBJ"),AND(J507=1,I507=0)),"?IN_FOCUS",IF(J507&lt;=2,"?ACTIVATED",IF(J507&lt;&gt;"","?FAMILIAR",IF(F507="NEW",IF(ISNA(VLOOKUP(E507,#REF!,1,FALSE())),"?TYPE_IDENTIFIABLE","?REFERENTIAL"),"_")))))</f>
        <v> </v>
      </c>
      <c r="H507" s="25" t="str">
        <f>IF(J507&lt;&gt;1,"",IF(I507="SBJ","CB","?"))</f>
        <v> </v>
      </c>
      <c r="I507" s="26" t="str">
        <f>IF(OR(E507="",E507="!!!",F507="NEW"),"",INDEX(B506:B$2,-1+SUMPRODUCT(MAX(ROW(E506:E$2)*(E507=E506:E$2)))))</f>
        <v> </v>
      </c>
      <c r="J507" s="26" t="str">
        <f>IF(OR(E507="",E507="!!!",F507="NEW"),"",COUNTBLANK(OFFSET(A$1,,,SUMPRODUCT(MAX(ROW(E$2:E507)*(E507=E$2:E507)))))-COUNTBLANK(OFFSET(A$1,,,SUMPRODUCT(MAX(ROW(E$1:E506)*(E2=E$1:E506))))))</f>
        <v> </v>
      </c>
      <c r="K507" s="26" t="str">
        <f>IF(OR(E507="",E507="!!!",F507="NEW"),"",INDEX(J$1:J506,SUMPRODUCT(MAX(ROW(E$1:E506)*(E507=E$1:E506)))))</f>
        <v> </v>
      </c>
      <c r="L507" s="27"/>
    </row>
    <row r="508" spans="1:12">
      <c r="A508" s="20" t="s">
        <v>1012</v>
      </c>
      <c r="B508" s="21" t="s">
        <v>739</v>
      </c>
      <c r="C508" s="21" t="s">
        <v>737</v>
      </c>
      <c r="E508" s="22">
        <f>IF(D508="?OLD","!!!","")</f>
        <v/>
      </c>
      <c r="F508" s="23" t="str">
        <f>IF(OR(E508="",E508="!!!"),"",IF(NOT(ISNA(VLOOKUP(E508,E$1:E507,1,FALSE()))),"OLD",IF(AND(E508&lt;&gt;"",E508&lt;&gt;"!!!"),"NEW","")))</f>
        <v> </v>
      </c>
      <c r="G508" s="24" t="str">
        <f>IF(OR(E508="",E508="!!!"),"",IF(OR(J508=0,AND(J508=1,K508=1),AND(J508=1,I508="SBJ"),AND(J508=1,I508=0)),"?IN_FOCUS",IF(J508&lt;=2,"?ACTIVATED",IF(J508&lt;&gt;"","?FAMILIAR",IF(F508="NEW",IF(ISNA(VLOOKUP(E508,#REF!,1,FALSE())),"?TYPE_IDENTIFIABLE","?REFERENTIAL"),"_")))))</f>
        <v> </v>
      </c>
      <c r="H508" s="25" t="str">
        <f>IF(J508&lt;&gt;1,"",IF(I508="SBJ","CB","?"))</f>
        <v> </v>
      </c>
      <c r="I508" s="26" t="str">
        <f>IF(OR(E508="",E508="!!!",F508="NEW"),"",INDEX(B507:B$2,-1+SUMPRODUCT(MAX(ROW(E507:E$2)*(E508=E507:E$2)))))</f>
        <v> </v>
      </c>
      <c r="J508" s="26" t="str">
        <f>IF(OR(E508="",E508="!!!",F508="NEW"),"",COUNTBLANK(OFFSET(A$1,,,SUMPRODUCT(MAX(ROW(E$2:E508)*(E508=E$2:E508)))))-COUNTBLANK(OFFSET(A$1,,,SUMPRODUCT(MAX(ROW(E$1:E507)*(E2=E$1:E507))))))</f>
        <v> </v>
      </c>
      <c r="K508" s="26" t="str">
        <f>IF(OR(E508="",E508="!!!",F508="NEW"),"",INDEX(J$1:J507,SUMPRODUCT(MAX(ROW(E$1:E507)*(E508=E$1:E507)))))</f>
        <v> </v>
      </c>
      <c r="L508" s="27"/>
    </row>
    <row r="509" spans="1:12">
      <c r="A509" s="20" t="s">
        <v>773</v>
      </c>
      <c r="E509" s="22">
        <f>IF(D509="?OLD","!!!","")</f>
        <v/>
      </c>
      <c r="F509" s="23" t="str">
        <f>IF(OR(E509="",E509="!!!"),"",IF(NOT(ISNA(VLOOKUP(E509,E$1:E508,1,FALSE()))),"OLD",IF(AND(E509&lt;&gt;"",E509&lt;&gt;"!!!"),"NEW","")))</f>
        <v> </v>
      </c>
      <c r="G509" s="24" t="str">
        <f>IF(OR(E509="",E509="!!!"),"",IF(OR(J509=0,AND(J509=1,K509=1),AND(J509=1,I509="SBJ"),AND(J509=1,I509=0)),"?IN_FOCUS",IF(J509&lt;=2,"?ACTIVATED",IF(J509&lt;&gt;"","?FAMILIAR",IF(F509="NEW",IF(ISNA(VLOOKUP(E509,#REF!,1,FALSE())),"?TYPE_IDENTIFIABLE","?REFERENTIAL"),"_")))))</f>
        <v> </v>
      </c>
      <c r="H509" s="25" t="str">
        <f>IF(J509&lt;&gt;1,"",IF(I509="SBJ","CB","?"))</f>
        <v> </v>
      </c>
      <c r="I509" s="26" t="str">
        <f>IF(OR(E509="",E509="!!!",F509="NEW"),"",INDEX(B508:B$2,-1+SUMPRODUCT(MAX(ROW(E508:E$2)*(E509=E508:E$2)))))</f>
        <v> </v>
      </c>
      <c r="J509" s="26" t="str">
        <f>IF(OR(E509="",E509="!!!",F509="NEW"),"",COUNTBLANK(OFFSET(A$1,,,SUMPRODUCT(MAX(ROW(E$2:E509)*(E509=E$2:E509)))))-COUNTBLANK(OFFSET(A$1,,,SUMPRODUCT(MAX(ROW(E$1:E508)*(E2=E$1:E508))))))</f>
        <v> </v>
      </c>
      <c r="K509" s="26" t="str">
        <f>IF(OR(E509="",E509="!!!",F509="NEW"),"",INDEX(J$1:J508,SUMPRODUCT(MAX(ROW(E$1:E508)*(E509=E$1:E508)))))</f>
        <v> </v>
      </c>
      <c r="L509" s="27"/>
    </row>
    <row r="510" spans="1:12">
      <c r="A510" s="20" t="s">
        <v>1013</v>
      </c>
      <c r="B510" s="21" t="s">
        <v>755</v>
      </c>
      <c r="C510" s="21" t="s">
        <v>740</v>
      </c>
      <c r="D510" s="21" t="s">
        <v>730</v>
      </c>
      <c r="E510" s="22">
        <f>IF(D510="?OLD","!!!","")</f>
        <v/>
      </c>
      <c r="F510" s="23" t="str">
        <f>IF(OR(E510="",E510="!!!"),"",IF(NOT(ISNA(VLOOKUP(E510,E$1:E509,1,FALSE()))),"OLD",IF(AND(E510&lt;&gt;"",E510&lt;&gt;"!!!"),"NEW","")))</f>
        <v> </v>
      </c>
      <c r="G510" s="24" t="str">
        <f>IF(OR(E510="",E510="!!!"),"",IF(OR(J510=0,AND(J510=1,K510=1),AND(J510=1,I510="SBJ"),AND(J510=1,I510=0)),"?IN_FOCUS",IF(J510&lt;=2,"?ACTIVATED",IF(J510&lt;&gt;"","?FAMILIAR",IF(F510="NEW",IF(ISNA(VLOOKUP(E510,#REF!,1,FALSE())),"?TYPE_IDENTIFIABLE","?REFERENTIAL"),"_")))))</f>
        <v> </v>
      </c>
      <c r="H510" s="25" t="str">
        <f>IF(J510&lt;&gt;1,"",IF(I510="SBJ","CB","?"))</f>
        <v> </v>
      </c>
      <c r="I510" s="26" t="str">
        <f>IF(OR(E510="",E510="!!!",F510="NEW"),"",INDEX(B509:B$2,-1+SUMPRODUCT(MAX(ROW(E509:E$2)*(E510=E509:E$2)))))</f>
        <v> </v>
      </c>
      <c r="J510" s="26" t="str">
        <f>IF(OR(E510="",E510="!!!",F510="NEW"),"",COUNTBLANK(OFFSET(A$1,,,SUMPRODUCT(MAX(ROW(E$2:E510)*(E510=E$2:E510)))))-COUNTBLANK(OFFSET(A$1,,,SUMPRODUCT(MAX(ROW(E$1:E509)*(E2=E$1:E509))))))</f>
        <v> </v>
      </c>
      <c r="K510" s="26" t="str">
        <f>IF(OR(E510="",E510="!!!",F510="NEW"),"",INDEX(J$1:J509,SUMPRODUCT(MAX(ROW(E$1:E509)*(E510=E$1:E509)))))</f>
        <v> </v>
      </c>
      <c r="L510" s="27"/>
    </row>
    <row r="511" spans="1:12">
      <c r="A511" s="20" t="s">
        <v>1014</v>
      </c>
      <c r="E511" s="22">
        <f>IF(D511="?OLD","!!!","")</f>
        <v/>
      </c>
      <c r="F511" s="23" t="str">
        <f>IF(OR(E511="",E511="!!!"),"",IF(NOT(ISNA(VLOOKUP(E511,E$1:E510,1,FALSE()))),"OLD",IF(AND(E511&lt;&gt;"",E511&lt;&gt;"!!!"),"NEW","")))</f>
        <v> </v>
      </c>
      <c r="G511" s="24" t="str">
        <f>IF(OR(E511="",E511="!!!"),"",IF(OR(J511=0,AND(J511=1,K511=1),AND(J511=1,I511="SBJ"),AND(J511=1,I511=0)),"?IN_FOCUS",IF(J511&lt;=2,"?ACTIVATED",IF(J511&lt;&gt;"","?FAMILIAR",IF(F511="NEW",IF(ISNA(VLOOKUP(E511,#REF!,1,FALSE())),"?TYPE_IDENTIFIABLE","?REFERENTIAL"),"_")))))</f>
        <v> </v>
      </c>
      <c r="H511" s="25" t="str">
        <f>IF(J511&lt;&gt;1,"",IF(I511="SBJ","CB","?"))</f>
        <v> </v>
      </c>
      <c r="I511" s="26" t="str">
        <f>IF(OR(E511="",E511="!!!",F511="NEW"),"",INDEX(B510:B$2,-1+SUMPRODUCT(MAX(ROW(E510:E$2)*(E511=E510:E$2)))))</f>
        <v> </v>
      </c>
      <c r="J511" s="26" t="str">
        <f>IF(OR(E511="",E511="!!!",F511="NEW"),"",COUNTBLANK(OFFSET(A$1,,,SUMPRODUCT(MAX(ROW(E$2:E511)*(E511=E$2:E511)))))-COUNTBLANK(OFFSET(A$1,,,SUMPRODUCT(MAX(ROW(E$1:E510)*(E2=E$1:E510))))))</f>
        <v> </v>
      </c>
      <c r="K511" s="26" t="str">
        <f>IF(OR(E511="",E511="!!!",F511="NEW"),"",INDEX(J$1:J510,SUMPRODUCT(MAX(ROW(E$1:E510)*(E511=E$1:E510)))))</f>
        <v> </v>
      </c>
      <c r="L511" s="27"/>
    </row>
    <row r="512" spans="1:12">
      <c r="A512" s="20" t="s">
        <v>759</v>
      </c>
      <c r="E512" s="22">
        <f>IF(D512="?OLD","!!!","")</f>
        <v/>
      </c>
      <c r="F512" s="23" t="str">
        <f>IF(OR(E512="",E512="!!!"),"",IF(NOT(ISNA(VLOOKUP(E512,E$1:E511,1,FALSE()))),"OLD",IF(AND(E512&lt;&gt;"",E512&lt;&gt;"!!!"),"NEW","")))</f>
        <v> </v>
      </c>
      <c r="G512" s="24" t="str">
        <f>IF(OR(E512="",E512="!!!"),"",IF(OR(J512=0,AND(J512=1,K512=1),AND(J512=1,I512="SBJ"),AND(J512=1,I512=0)),"?IN_FOCUS",IF(J512&lt;=2,"?ACTIVATED",IF(J512&lt;&gt;"","?FAMILIAR",IF(F512="NEW",IF(ISNA(VLOOKUP(E512,#REF!,1,FALSE())),"?TYPE_IDENTIFIABLE","?REFERENTIAL"),"_")))))</f>
        <v> </v>
      </c>
      <c r="H512" s="25" t="str">
        <f>IF(J512&lt;&gt;1,"",IF(I512="SBJ","CB","?"))</f>
        <v> </v>
      </c>
      <c r="I512" s="26" t="str">
        <f>IF(OR(E512="",E512="!!!",F512="NEW"),"",INDEX(B511:B$2,-1+SUMPRODUCT(MAX(ROW(E511:E$2)*(E512=E511:E$2)))))</f>
        <v> </v>
      </c>
      <c r="J512" s="26" t="str">
        <f>IF(OR(E512="",E512="!!!",F512="NEW"),"",COUNTBLANK(OFFSET(A$1,,,SUMPRODUCT(MAX(ROW(E$2:E512)*(E512=E$2:E512)))))-COUNTBLANK(OFFSET(A$1,,,SUMPRODUCT(MAX(ROW(E$1:E511)*(E2=E$1:E511))))))</f>
        <v> </v>
      </c>
      <c r="K512" s="26" t="str">
        <f>IF(OR(E512="",E512="!!!",F512="NEW"),"",INDEX(J$1:J511,SUMPRODUCT(MAX(ROW(E$1:E511)*(E512=E$1:E511)))))</f>
        <v> </v>
      </c>
      <c r="L512" s="27"/>
    </row>
    <row r="513" spans="1:12">
      <c r="A513" s="20" t="s">
        <v>10</v>
      </c>
      <c r="E513" s="22">
        <f>IF(D513="?OLD","!!!","")</f>
        <v/>
      </c>
      <c r="F513" s="23" t="str">
        <f>IF(OR(E513="",E513="!!!"),"",IF(NOT(ISNA(VLOOKUP(E513,E$1:E512,1,FALSE()))),"OLD",IF(AND(E513&lt;&gt;"",E513&lt;&gt;"!!!"),"NEW","")))</f>
        <v> </v>
      </c>
      <c r="G513" s="24" t="str">
        <f>IF(OR(E513="",E513="!!!"),"",IF(OR(J513=0,AND(J513=1,K513=1),AND(J513=1,I513="SBJ"),AND(J513=1,I513=0)),"?IN_FOCUS",IF(J513&lt;=2,"?ACTIVATED",IF(J513&lt;&gt;"","?FAMILIAR",IF(F513="NEW",IF(ISNA(VLOOKUP(E513,#REF!,1,FALSE())),"?TYPE_IDENTIFIABLE","?REFERENTIAL"),"_")))))</f>
        <v> </v>
      </c>
      <c r="H513" s="25" t="str">
        <f>IF(J513&lt;&gt;1,"",IF(I513="SBJ","CB","?"))</f>
        <v> </v>
      </c>
      <c r="I513" s="26" t="str">
        <f>IF(OR(E513="",E513="!!!",F513="NEW"),"",INDEX(B512:B$2,-1+SUMPRODUCT(MAX(ROW(E512:E$2)*(E513=E512:E$2)))))</f>
        <v> </v>
      </c>
      <c r="J513" s="26" t="str">
        <f>IF(OR(E513="",E513="!!!",F513="NEW"),"",COUNTBLANK(OFFSET(A$1,,,SUMPRODUCT(MAX(ROW(E$2:E513)*(E513=E$2:E513)))))-COUNTBLANK(OFFSET(A$1,,,SUMPRODUCT(MAX(ROW(E$1:E512)*(E2=E$1:E512))))))</f>
        <v> </v>
      </c>
      <c r="K513" s="26" t="str">
        <f>IF(OR(E513="",E513="!!!",F513="NEW"),"",INDEX(J$1:J512,SUMPRODUCT(MAX(ROW(E$1:E512)*(E513=E$1:E512)))))</f>
        <v> </v>
      </c>
      <c r="L513" s="27"/>
    </row>
    <row r="514" spans="1:12">
      <c r="A514" s="20" t="s">
        <v>1015</v>
      </c>
      <c r="E514" s="22">
        <f>IF(D514="?OLD","!!!","")</f>
        <v/>
      </c>
      <c r="F514" s="23" t="str">
        <f>IF(OR(E514="",E514="!!!"),"",IF(NOT(ISNA(VLOOKUP(E514,E$1:E513,1,FALSE()))),"OLD",IF(AND(E514&lt;&gt;"",E514&lt;&gt;"!!!"),"NEW","")))</f>
        <v> </v>
      </c>
      <c r="G514" s="24" t="str">
        <f>IF(OR(E514="",E514="!!!"),"",IF(OR(J514=0,AND(J514=1,K514=1),AND(J514=1,I514="SBJ"),AND(J514=1,I514=0)),"?IN_FOCUS",IF(J514&lt;=2,"?ACTIVATED",IF(J514&lt;&gt;"","?FAMILIAR",IF(F514="NEW",IF(ISNA(VLOOKUP(E514,#REF!,1,FALSE())),"?TYPE_IDENTIFIABLE","?REFERENTIAL"),"_")))))</f>
        <v> </v>
      </c>
      <c r="H514" s="25" t="str">
        <f>IF(J514&lt;&gt;1,"",IF(I514="SBJ","CB","?"))</f>
        <v> </v>
      </c>
      <c r="I514" s="26" t="str">
        <f>IF(OR(E514="",E514="!!!",F514="NEW"),"",INDEX(B513:B$2,-1+SUMPRODUCT(MAX(ROW(E513:E$2)*(E514=E513:E$2)))))</f>
        <v> </v>
      </c>
      <c r="J514" s="26" t="str">
        <f>IF(OR(E514="",E514="!!!",F514="NEW"),"",COUNTBLANK(OFFSET(A$1,,,SUMPRODUCT(MAX(ROW(E$2:E514)*(E514=E$2:E514)))))-COUNTBLANK(OFFSET(A$1,,,SUMPRODUCT(MAX(ROW(E$1:E513)*(E2=E$1:E513))))))</f>
        <v> </v>
      </c>
      <c r="K514" s="26" t="str">
        <f>IF(OR(E514="",E514="!!!",F514="NEW"),"",INDEX(J$1:J513,SUMPRODUCT(MAX(ROW(E$1:E513)*(E514=E$1:E513)))))</f>
        <v> </v>
      </c>
      <c r="L514" s="27"/>
    </row>
    <row r="515" spans="1:12">
      <c r="A515" s="20" t="s">
        <v>1016</v>
      </c>
      <c r="B515" s="21" t="s">
        <v>755</v>
      </c>
      <c r="C515" s="21" t="s">
        <v>967</v>
      </c>
      <c r="E515" s="22">
        <f>IF(D515="?OLD","!!!","")</f>
        <v/>
      </c>
      <c r="F515" s="23" t="str">
        <f>IF(OR(E515="",E515="!!!"),"",IF(NOT(ISNA(VLOOKUP(E515,E$1:E514,1,FALSE()))),"OLD",IF(AND(E515&lt;&gt;"",E515&lt;&gt;"!!!"),"NEW","")))</f>
        <v> </v>
      </c>
      <c r="G515" s="24" t="str">
        <f>IF(OR(E515="",E515="!!!"),"",IF(OR(J515=0,AND(J515=1,K515=1),AND(J515=1,I515="SBJ"),AND(J515=1,I515=0)),"?IN_FOCUS",IF(J515&lt;=2,"?ACTIVATED",IF(J515&lt;&gt;"","?FAMILIAR",IF(F515="NEW",IF(ISNA(VLOOKUP(E515,#REF!,1,FALSE())),"?TYPE_IDENTIFIABLE","?REFERENTIAL"),"_")))))</f>
        <v> </v>
      </c>
      <c r="H515" s="25" t="str">
        <f>IF(J515&lt;&gt;1,"",IF(I515="SBJ","CB","?"))</f>
        <v> </v>
      </c>
      <c r="I515" s="26" t="str">
        <f>IF(OR(E515="",E515="!!!",F515="NEW"),"",INDEX(B514:B$2,-1+SUMPRODUCT(MAX(ROW(E514:E$2)*(E515=E514:E$2)))))</f>
        <v> </v>
      </c>
      <c r="J515" s="26" t="str">
        <f>IF(OR(E515="",E515="!!!",F515="NEW"),"",COUNTBLANK(OFFSET(A$1,,,SUMPRODUCT(MAX(ROW(E$2:E515)*(E515=E$2:E515)))))-COUNTBLANK(OFFSET(A$1,,,SUMPRODUCT(MAX(ROW(E$1:E514)*(E2=E$1:E514))))))</f>
        <v> </v>
      </c>
      <c r="K515" s="26" t="str">
        <f>IF(OR(E515="",E515="!!!",F515="NEW"),"",INDEX(J$1:J514,SUMPRODUCT(MAX(ROW(E$1:E514)*(E515=E$1:E514)))))</f>
        <v> </v>
      </c>
      <c r="L515" s="27"/>
    </row>
    <row r="516" spans="1:12">
      <c r="A516" s="20" t="s">
        <v>938</v>
      </c>
      <c r="E516" s="22">
        <f>IF(D516="?OLD","!!!","")</f>
        <v/>
      </c>
      <c r="F516" s="23" t="str">
        <f>IF(OR(E516="",E516="!!!"),"",IF(NOT(ISNA(VLOOKUP(E516,E$1:E515,1,FALSE()))),"OLD",IF(AND(E516&lt;&gt;"",E516&lt;&gt;"!!!"),"NEW","")))</f>
        <v> </v>
      </c>
      <c r="G516" s="24" t="str">
        <f>IF(OR(E516="",E516="!!!"),"",IF(OR(J516=0,AND(J516=1,K516=1),AND(J516=1,I516="SBJ"),AND(J516=1,I516=0)),"?IN_FOCUS",IF(J516&lt;=2,"?ACTIVATED",IF(J516&lt;&gt;"","?FAMILIAR",IF(F516="NEW",IF(ISNA(VLOOKUP(E516,#REF!,1,FALSE())),"?TYPE_IDENTIFIABLE","?REFERENTIAL"),"_")))))</f>
        <v> </v>
      </c>
      <c r="H516" s="25" t="str">
        <f>IF(J516&lt;&gt;1,"",IF(I516="SBJ","CB","?"))</f>
        <v> </v>
      </c>
      <c r="I516" s="26" t="str">
        <f>IF(OR(E516="",E516="!!!",F516="NEW"),"",INDEX(B515:B$2,-1+SUMPRODUCT(MAX(ROW(E515:E$2)*(E516=E515:E$2)))))</f>
        <v> </v>
      </c>
      <c r="J516" s="26" t="str">
        <f>IF(OR(E516="",E516="!!!",F516="NEW"),"",COUNTBLANK(OFFSET(A$1,,,SUMPRODUCT(MAX(ROW(E$2:E516)*(E516=E$2:E516)))))-COUNTBLANK(OFFSET(A$1,,,SUMPRODUCT(MAX(ROW(E$1:E515)*(E2=E$1:E515))))))</f>
        <v> </v>
      </c>
      <c r="K516" s="26" t="str">
        <f>IF(OR(E516="",E516="!!!",F516="NEW"),"",INDEX(J$1:J515,SUMPRODUCT(MAX(ROW(E$1:E515)*(E516=E$1:E515)))))</f>
        <v> </v>
      </c>
      <c r="L516" s="27"/>
    </row>
    <row r="517" spans="1:12">
      <c r="A517" s="20" t="s">
        <v>751</v>
      </c>
      <c r="E517" s="22">
        <f>IF(D517="?OLD","!!!","")</f>
        <v/>
      </c>
      <c r="F517" s="23" t="str">
        <f>IF(OR(E517="",E517="!!!"),"",IF(NOT(ISNA(VLOOKUP(E517,E$1:E516,1,FALSE()))),"OLD",IF(AND(E517&lt;&gt;"",E517&lt;&gt;"!!!"),"NEW","")))</f>
        <v> </v>
      </c>
      <c r="G517" s="24" t="str">
        <f>IF(OR(E517="",E517="!!!"),"",IF(OR(J517=0,AND(J517=1,K517=1),AND(J517=1,I517="SBJ"),AND(J517=1,I517=0)),"?IN_FOCUS",IF(J517&lt;=2,"?ACTIVATED",IF(J517&lt;&gt;"","?FAMILIAR",IF(F517="NEW",IF(ISNA(VLOOKUP(E517,#REF!,1,FALSE())),"?TYPE_IDENTIFIABLE","?REFERENTIAL"),"_")))))</f>
        <v> </v>
      </c>
      <c r="H517" s="25" t="str">
        <f>IF(J517&lt;&gt;1,"",IF(I517="SBJ","CB","?"))</f>
        <v> </v>
      </c>
      <c r="I517" s="26" t="str">
        <f>IF(OR(E517="",E517="!!!",F517="NEW"),"",INDEX(B516:B$2,-1+SUMPRODUCT(MAX(ROW(E516:E$2)*(E517=E516:E$2)))))</f>
        <v> </v>
      </c>
      <c r="J517" s="26" t="str">
        <f>IF(OR(E517="",E517="!!!",F517="NEW"),"",COUNTBLANK(OFFSET(A$1,,,SUMPRODUCT(MAX(ROW(E$2:E517)*(E517=E$2:E517)))))-COUNTBLANK(OFFSET(A$1,,,SUMPRODUCT(MAX(ROW(E$1:E516)*(E2=E$1:E516))))))</f>
        <v> </v>
      </c>
      <c r="K517" s="26" t="str">
        <f>IF(OR(E517="",E517="!!!",F517="NEW"),"",INDEX(J$1:J516,SUMPRODUCT(MAX(ROW(E$1:E516)*(E517=E$1:E516)))))</f>
        <v> </v>
      </c>
      <c r="L517" s="27"/>
    </row>
    <row r="518" spans="1:12">
      <c r="A518" s="20" t="s">
        <v>1017</v>
      </c>
      <c r="E518" s="22">
        <f>IF(D518="?OLD","!!!","")</f>
        <v/>
      </c>
      <c r="F518" s="23" t="str">
        <f>IF(OR(E518="",E518="!!!"),"",IF(NOT(ISNA(VLOOKUP(E518,E$1:E517,1,FALSE()))),"OLD",IF(AND(E518&lt;&gt;"",E518&lt;&gt;"!!!"),"NEW","")))</f>
        <v> </v>
      </c>
      <c r="G518" s="24" t="str">
        <f>IF(OR(E518="",E518="!!!"),"",IF(OR(J518=0,AND(J518=1,K518=1),AND(J518=1,I518="SBJ"),AND(J518=1,I518=0)),"?IN_FOCUS",IF(J518&lt;=2,"?ACTIVATED",IF(J518&lt;&gt;"","?FAMILIAR",IF(F518="NEW",IF(ISNA(VLOOKUP(E518,#REF!,1,FALSE())),"?TYPE_IDENTIFIABLE","?REFERENTIAL"),"_")))))</f>
        <v> </v>
      </c>
      <c r="H518" s="25" t="str">
        <f>IF(J518&lt;&gt;1,"",IF(I518="SBJ","CB","?"))</f>
        <v> </v>
      </c>
      <c r="I518" s="26" t="str">
        <f>IF(OR(E518="",E518="!!!",F518="NEW"),"",INDEX(B517:B$2,-1+SUMPRODUCT(MAX(ROW(E517:E$2)*(E518=E517:E$2)))))</f>
        <v> </v>
      </c>
      <c r="J518" s="26" t="str">
        <f>IF(OR(E518="",E518="!!!",F518="NEW"),"",COUNTBLANK(OFFSET(A$1,,,SUMPRODUCT(MAX(ROW(E$2:E518)*(E518=E$2:E518)))))-COUNTBLANK(OFFSET(A$1,,,SUMPRODUCT(MAX(ROW(E$1:E517)*(E2=E$1:E517))))))</f>
        <v> </v>
      </c>
      <c r="K518" s="26" t="str">
        <f>IF(OR(E518="",E518="!!!",F518="NEW"),"",INDEX(J$1:J517,SUMPRODUCT(MAX(ROW(E$1:E517)*(E518=E$1:E517)))))</f>
        <v> </v>
      </c>
      <c r="L518" s="27"/>
    </row>
    <row r="519" spans="1:12">
      <c r="A519" s="20" t="s">
        <v>1018</v>
      </c>
      <c r="B519" s="21" t="s">
        <v>755</v>
      </c>
      <c r="C519" s="21" t="s">
        <v>753</v>
      </c>
      <c r="D519" s="21" t="s">
        <v>730</v>
      </c>
      <c r="E519" s="22">
        <f>IF(D519="?OLD","!!!","")</f>
        <v/>
      </c>
      <c r="F519" s="23" t="str">
        <f>IF(OR(E519="",E519="!!!"),"",IF(NOT(ISNA(VLOOKUP(E519,E$1:E518,1,FALSE()))),"OLD",IF(AND(E519&lt;&gt;"",E519&lt;&gt;"!!!"),"NEW","")))</f>
        <v> </v>
      </c>
      <c r="G519" s="24" t="str">
        <f>IF(OR(E519="",E519="!!!"),"",IF(OR(J519=0,AND(J519=1,K519=1),AND(J519=1,I519="SBJ"),AND(J519=1,I519=0)),"?IN_FOCUS",IF(J519&lt;=2,"?ACTIVATED",IF(J519&lt;&gt;"","?FAMILIAR",IF(F519="NEW",IF(ISNA(VLOOKUP(E519,#REF!,1,FALSE())),"?TYPE_IDENTIFIABLE","?REFERENTIAL"),"_")))))</f>
        <v> </v>
      </c>
      <c r="H519" s="25" t="str">
        <f>IF(J519&lt;&gt;1,"",IF(I519="SBJ","CB","?"))</f>
        <v> </v>
      </c>
      <c r="I519" s="26" t="str">
        <f>IF(OR(E519="",E519="!!!",F519="NEW"),"",INDEX(B518:B$2,-1+SUMPRODUCT(MAX(ROW(E518:E$2)*(E519=E518:E$2)))))</f>
        <v> </v>
      </c>
      <c r="J519" s="26" t="str">
        <f>IF(OR(E519="",E519="!!!",F519="NEW"),"",COUNTBLANK(OFFSET(A$1,,,SUMPRODUCT(MAX(ROW(E$2:E519)*(E519=E$2:E519)))))-COUNTBLANK(OFFSET(A$1,,,SUMPRODUCT(MAX(ROW(E$1:E518)*(E2=E$1:E518))))))</f>
        <v> </v>
      </c>
      <c r="K519" s="26" t="str">
        <f>IF(OR(E519="",E519="!!!",F519="NEW"),"",INDEX(J$1:J518,SUMPRODUCT(MAX(ROW(E$1:E518)*(E519=E$1:E518)))))</f>
        <v> </v>
      </c>
      <c r="L519" s="27"/>
    </row>
    <row r="520" spans="1:12">
      <c r="A520" s="20" t="s">
        <v>1019</v>
      </c>
      <c r="E520" s="22">
        <f>IF(D520="?OLD","!!!","")</f>
        <v/>
      </c>
      <c r="F520" s="23" t="str">
        <f>IF(OR(E520="",E520="!!!"),"",IF(NOT(ISNA(VLOOKUP(E520,E$1:E519,1,FALSE()))),"OLD",IF(AND(E520&lt;&gt;"",E520&lt;&gt;"!!!"),"NEW","")))</f>
        <v> </v>
      </c>
      <c r="G520" s="24" t="str">
        <f>IF(OR(E520="",E520="!!!"),"",IF(OR(J520=0,AND(J520=1,K520=1),AND(J520=1,I520="SBJ"),AND(J520=1,I520=0)),"?IN_FOCUS",IF(J520&lt;=2,"?ACTIVATED",IF(J520&lt;&gt;"","?FAMILIAR",IF(F520="NEW",IF(ISNA(VLOOKUP(E520,#REF!,1,FALSE())),"?TYPE_IDENTIFIABLE","?REFERENTIAL"),"_")))))</f>
        <v> </v>
      </c>
      <c r="H520" s="25" t="str">
        <f>IF(J520&lt;&gt;1,"",IF(I520="SBJ","CB","?"))</f>
        <v> </v>
      </c>
      <c r="I520" s="26" t="str">
        <f>IF(OR(E520="",E520="!!!",F520="NEW"),"",INDEX(B519:B$2,-1+SUMPRODUCT(MAX(ROW(E519:E$2)*(E520=E519:E$2)))))</f>
        <v> </v>
      </c>
      <c r="J520" s="26" t="str">
        <f>IF(OR(E520="",E520="!!!",F520="NEW"),"",COUNTBLANK(OFFSET(A$1,,,SUMPRODUCT(MAX(ROW(E$2:E520)*(E520=E$2:E520)))))-COUNTBLANK(OFFSET(A$1,,,SUMPRODUCT(MAX(ROW(E$1:E519)*(E2=E$1:E519))))))</f>
        <v> </v>
      </c>
      <c r="K520" s="26" t="str">
        <f>IF(OR(E520="",E520="!!!",F520="NEW"),"",INDEX(J$1:J519,SUMPRODUCT(MAX(ROW(E$1:E519)*(E520=E$1:E519)))))</f>
        <v> </v>
      </c>
      <c r="L520" s="27"/>
    </row>
    <row r="521" spans="1:12">
      <c r="A521" s="20" t="s">
        <v>246</v>
      </c>
      <c r="E521" s="22">
        <f>IF(D521="?OLD","!!!","")</f>
        <v/>
      </c>
      <c r="F521" s="23" t="str">
        <f>IF(OR(E521="",E521="!!!"),"",IF(NOT(ISNA(VLOOKUP(E521,E$1:E520,1,FALSE()))),"OLD",IF(AND(E521&lt;&gt;"",E521&lt;&gt;"!!!"),"NEW","")))</f>
        <v> </v>
      </c>
      <c r="G521" s="24" t="str">
        <f>IF(OR(E521="",E521="!!!"),"",IF(OR(J521=0,AND(J521=1,K521=1),AND(J521=1,I521="SBJ"),AND(J521=1,I521=0)),"?IN_FOCUS",IF(J521&lt;=2,"?ACTIVATED",IF(J521&lt;&gt;"","?FAMILIAR",IF(F521="NEW",IF(ISNA(VLOOKUP(E521,#REF!,1,FALSE())),"?TYPE_IDENTIFIABLE","?REFERENTIAL"),"_")))))</f>
        <v> </v>
      </c>
      <c r="H521" s="25" t="str">
        <f>IF(J521&lt;&gt;1,"",IF(I521="SBJ","CB","?"))</f>
        <v> </v>
      </c>
      <c r="I521" s="26" t="str">
        <f>IF(OR(E521="",E521="!!!",F521="NEW"),"",INDEX(B520:B$2,-1+SUMPRODUCT(MAX(ROW(E520:E$2)*(E521=E520:E$2)))))</f>
        <v> </v>
      </c>
      <c r="J521" s="26" t="str">
        <f>IF(OR(E521="",E521="!!!",F521="NEW"),"",COUNTBLANK(OFFSET(A$1,,,SUMPRODUCT(MAX(ROW(E$2:E521)*(E521=E$2:E521)))))-COUNTBLANK(OFFSET(A$1,,,SUMPRODUCT(MAX(ROW(E$1:E520)*(E2=E$1:E520))))))</f>
        <v> </v>
      </c>
      <c r="K521" s="26" t="str">
        <f>IF(OR(E521="",E521="!!!",F521="NEW"),"",INDEX(J$1:J520,SUMPRODUCT(MAX(ROW(E$1:E520)*(E521=E$1:E520)))))</f>
        <v> </v>
      </c>
      <c r="L521" s="27"/>
    </row>
    <row r="522" spans="1:12">
      <c r="A522" s="20"/>
    </row>
    <row r="523" spans="1:12">
      <c r="A523" s="20" t="s">
        <v>1020</v>
      </c>
    </row>
    <row r="524" spans="1:12">
      <c r="A524" s="20" t="s">
        <v>1021</v>
      </c>
      <c r="E524" s="22">
        <f>IF(D524="?OLD","!!!","")</f>
        <v/>
      </c>
      <c r="F524" s="23" t="str">
        <f>IF(OR(E524="",E524="!!!"),"",IF(NOT(ISNA(VLOOKUP(E524,E$1:E523,1,FALSE()))),"OLD",IF(AND(E524&lt;&gt;"",E524&lt;&gt;"!!!"),"NEW","")))</f>
        <v> </v>
      </c>
      <c r="G524" s="24" t="str">
        <f>IF(OR(E524="",E524="!!!"),"",IF(OR(J524=0,AND(J524=1,K524=1),AND(J524=1,I524="SBJ"),AND(J524=1,I524=0)),"?IN_FOCUS",IF(J524&lt;=2,"?ACTIVATED",IF(J524&lt;&gt;"","?FAMILIAR",IF(F524="NEW",IF(ISNA(VLOOKUP(E524,#REF!,1,FALSE())),"?TYPE_IDENTIFIABLE","?REFERENTIAL"),"_")))))</f>
        <v> </v>
      </c>
      <c r="H524" s="25" t="str">
        <f>IF(J524&lt;&gt;1,"",IF(I524="SBJ","CB","?"))</f>
        <v> </v>
      </c>
      <c r="I524" s="26" t="str">
        <f>IF(OR(E524="",E524="!!!",F524="NEW"),"",INDEX(B523:B$2,-1+SUMPRODUCT(MAX(ROW(E523:E$2)*(E524=E523:E$2)))))</f>
        <v> </v>
      </c>
      <c r="J524" s="26" t="str">
        <f>IF(OR(E524="",E524="!!!",F524="NEW"),"",COUNTBLANK(OFFSET(A$1,,,SUMPRODUCT(MAX(ROW(E$2:E524)*(E524=E$2:E524)))))-COUNTBLANK(OFFSET(A$1,,,SUMPRODUCT(MAX(ROW(E$1:E523)*(E2=E$1:E523))))))</f>
        <v> </v>
      </c>
      <c r="K524" s="26" t="str">
        <f>IF(OR(E524="",E524="!!!",F524="NEW"),"",INDEX(J$1:J523,SUMPRODUCT(MAX(ROW(E$1:E523)*(E524=E$1:E523)))))</f>
        <v> </v>
      </c>
      <c r="L524" s="27"/>
    </row>
    <row r="525" spans="1:12">
      <c r="A525" s="20" t="s">
        <v>1022</v>
      </c>
      <c r="E525" s="22">
        <f>IF(D525="?OLD","!!!","")</f>
        <v/>
      </c>
      <c r="F525" s="23" t="str">
        <f>IF(OR(E525="",E525="!!!"),"",IF(NOT(ISNA(VLOOKUP(E525,E$1:E524,1,FALSE()))),"OLD",IF(AND(E525&lt;&gt;"",E525&lt;&gt;"!!!"),"NEW","")))</f>
        <v> </v>
      </c>
      <c r="G525" s="24" t="str">
        <f>IF(OR(E525="",E525="!!!"),"",IF(OR(J525=0,AND(J525=1,K525=1),AND(J525=1,I525="SBJ"),AND(J525=1,I525=0)),"?IN_FOCUS",IF(J525&lt;=2,"?ACTIVATED",IF(J525&lt;&gt;"","?FAMILIAR",IF(F525="NEW",IF(ISNA(VLOOKUP(E525,#REF!,1,FALSE())),"?TYPE_IDENTIFIABLE","?REFERENTIAL"),"_")))))</f>
        <v> </v>
      </c>
      <c r="H525" s="25" t="str">
        <f>IF(J525&lt;&gt;1,"",IF(I525="SBJ","CB","?"))</f>
        <v> </v>
      </c>
      <c r="I525" s="26" t="str">
        <f>IF(OR(E525="",E525="!!!",F525="NEW"),"",INDEX(B524:B$2,-1+SUMPRODUCT(MAX(ROW(E524:E$2)*(E525=E524:E$2)))))</f>
        <v> </v>
      </c>
      <c r="J525" s="26" t="str">
        <f>IF(OR(E525="",E525="!!!",F525="NEW"),"",COUNTBLANK(OFFSET(A$1,,,SUMPRODUCT(MAX(ROW(E$2:E525)*(E525=E$2:E525)))))-COUNTBLANK(OFFSET(A$1,,,SUMPRODUCT(MAX(ROW(E$1:E524)*(E2=E$1:E524))))))</f>
        <v> </v>
      </c>
      <c r="K525" s="26" t="str">
        <f>IF(OR(E525="",E525="!!!",F525="NEW"),"",INDEX(J$1:J524,SUMPRODUCT(MAX(ROW(E$1:E524)*(E525=E$1:E524)))))</f>
        <v> </v>
      </c>
      <c r="L525" s="27"/>
    </row>
    <row r="526" spans="1:12">
      <c r="A526" s="20" t="s">
        <v>750</v>
      </c>
      <c r="B526" s="21" t="s">
        <v>728</v>
      </c>
      <c r="C526" s="21" t="s">
        <v>729</v>
      </c>
      <c r="D526" s="21" t="s">
        <v>730</v>
      </c>
      <c r="E526" s="22">
        <f>IF(D526="?OLD","!!!","")</f>
        <v/>
      </c>
      <c r="F526" s="23" t="str">
        <f>IF(OR(E526="",E526="!!!"),"",IF(NOT(ISNA(VLOOKUP(E526,E$1:E525,1,FALSE()))),"OLD",IF(AND(E526&lt;&gt;"",E526&lt;&gt;"!!!"),"NEW","")))</f>
        <v> </v>
      </c>
      <c r="G526" s="24" t="str">
        <f>IF(OR(E526="",E526="!!!"),"",IF(OR(J526=0,AND(J526=1,K526=1),AND(J526=1,I526="SBJ"),AND(J526=1,I526=0)),"?IN_FOCUS",IF(J526&lt;=2,"?ACTIVATED",IF(J526&lt;&gt;"","?FAMILIAR",IF(F526="NEW",IF(ISNA(VLOOKUP(E526,#REF!,1,FALSE())),"?TYPE_IDENTIFIABLE","?REFERENTIAL"),"_")))))</f>
        <v> </v>
      </c>
      <c r="H526" s="25" t="str">
        <f>IF(J526&lt;&gt;1,"",IF(I526="SBJ","CB","?"))</f>
        <v> </v>
      </c>
      <c r="I526" s="26" t="str">
        <f>IF(OR(E526="",E526="!!!",F526="NEW"),"",INDEX(B525:B$2,-1+SUMPRODUCT(MAX(ROW(E525:E$2)*(E526=E525:E$2)))))</f>
        <v> </v>
      </c>
      <c r="J526" s="26" t="str">
        <f>IF(OR(E526="",E526="!!!",F526="NEW"),"",COUNTBLANK(OFFSET(A$1,,,SUMPRODUCT(MAX(ROW(E$2:E526)*(E526=E$2:E526)))))-COUNTBLANK(OFFSET(A$1,,,SUMPRODUCT(MAX(ROW(E$1:E525)*(E2=E$1:E525))))))</f>
        <v> </v>
      </c>
      <c r="K526" s="26" t="str">
        <f>IF(OR(E526="",E526="!!!",F526="NEW"),"",INDEX(J$1:J525,SUMPRODUCT(MAX(ROW(E$1:E525)*(E526=E$1:E525)))))</f>
        <v> </v>
      </c>
      <c r="L526" s="27"/>
    </row>
    <row r="527" spans="1:12">
      <c r="A527" s="20" t="s">
        <v>970</v>
      </c>
      <c r="B527" s="21" t="s">
        <v>764</v>
      </c>
      <c r="E527" s="22">
        <f>IF(D527="?OLD","!!!","")</f>
        <v/>
      </c>
      <c r="F527" s="23" t="str">
        <f>IF(OR(E527="",E527="!!!"),"",IF(NOT(ISNA(VLOOKUP(E527,E$1:E526,1,FALSE()))),"OLD",IF(AND(E527&lt;&gt;"",E527&lt;&gt;"!!!"),"NEW","")))</f>
        <v> </v>
      </c>
      <c r="G527" s="24" t="str">
        <f>IF(OR(E527="",E527="!!!"),"",IF(OR(J527=0,AND(J527=1,K527=1),AND(J527=1,I527="SBJ"),AND(J527=1,I527=0)),"?IN_FOCUS",IF(J527&lt;=2,"?ACTIVATED",IF(J527&lt;&gt;"","?FAMILIAR",IF(F527="NEW",IF(ISNA(VLOOKUP(E527,#REF!,1,FALSE())),"?TYPE_IDENTIFIABLE","?REFERENTIAL"),"_")))))</f>
        <v> </v>
      </c>
      <c r="H527" s="25" t="str">
        <f>IF(J527&lt;&gt;1,"",IF(I527="SBJ","CB","?"))</f>
        <v> </v>
      </c>
      <c r="I527" s="26" t="str">
        <f>IF(OR(E527="",E527="!!!",F527="NEW"),"",INDEX(B526:B$2,-1+SUMPRODUCT(MAX(ROW(E526:E$2)*(E527=E526:E$2)))))</f>
        <v> </v>
      </c>
      <c r="J527" s="26" t="str">
        <f>IF(OR(E527="",E527="!!!",F527="NEW"),"",COUNTBLANK(OFFSET(A$1,,,SUMPRODUCT(MAX(ROW(E$2:E527)*(E527=E$2:E527)))))-COUNTBLANK(OFFSET(A$1,,,SUMPRODUCT(MAX(ROW(E$1:E526)*(E2=E$1:E526))))))</f>
        <v> </v>
      </c>
      <c r="K527" s="26" t="str">
        <f>IF(OR(E527="",E527="!!!",F527="NEW"),"",INDEX(J$1:J526,SUMPRODUCT(MAX(ROW(E$1:E526)*(E527=E$1:E526)))))</f>
        <v> </v>
      </c>
      <c r="L527" s="27"/>
    </row>
    <row r="528" spans="1:12">
      <c r="A528" s="20" t="s">
        <v>1023</v>
      </c>
      <c r="E528" s="22">
        <f>IF(D528="?OLD","!!!","")</f>
        <v/>
      </c>
      <c r="F528" s="23" t="str">
        <f>IF(OR(E528="",E528="!!!"),"",IF(NOT(ISNA(VLOOKUP(E528,E$1:E527,1,FALSE()))),"OLD",IF(AND(E528&lt;&gt;"",E528&lt;&gt;"!!!"),"NEW","")))</f>
        <v> </v>
      </c>
      <c r="G528" s="24" t="str">
        <f>IF(OR(E528="",E528="!!!"),"",IF(OR(J528=0,AND(J528=1,K528=1),AND(J528=1,I528="SBJ"),AND(J528=1,I528=0)),"?IN_FOCUS",IF(J528&lt;=2,"?ACTIVATED",IF(J528&lt;&gt;"","?FAMILIAR",IF(F528="NEW",IF(ISNA(VLOOKUP(E528,#REF!,1,FALSE())),"?TYPE_IDENTIFIABLE","?REFERENTIAL"),"_")))))</f>
        <v> </v>
      </c>
      <c r="H528" s="25" t="str">
        <f>IF(J528&lt;&gt;1,"",IF(I528="SBJ","CB","?"))</f>
        <v> </v>
      </c>
      <c r="I528" s="26" t="str">
        <f>IF(OR(E528="",E528="!!!",F528="NEW"),"",INDEX(B527:B$2,-1+SUMPRODUCT(MAX(ROW(E527:E$2)*(E528=E527:E$2)))))</f>
        <v> </v>
      </c>
      <c r="J528" s="26" t="str">
        <f>IF(OR(E528="",E528="!!!",F528="NEW"),"",COUNTBLANK(OFFSET(A$1,,,SUMPRODUCT(MAX(ROW(E$2:E528)*(E528=E$2:E528)))))-COUNTBLANK(OFFSET(A$1,,,SUMPRODUCT(MAX(ROW(E$1:E527)*(E2=E$1:E527))))))</f>
        <v> </v>
      </c>
      <c r="K528" s="26" t="str">
        <f>IF(OR(E528="",E528="!!!",F528="NEW"),"",INDEX(J$1:J527,SUMPRODUCT(MAX(ROW(E$1:E527)*(E528=E$1:E527)))))</f>
        <v> </v>
      </c>
      <c r="L528" s="27"/>
    </row>
    <row r="529" spans="1:12">
      <c r="A529" s="20" t="s">
        <v>810</v>
      </c>
      <c r="E529" s="22">
        <f>IF(D529="?OLD","!!!","")</f>
        <v/>
      </c>
      <c r="F529" s="23" t="str">
        <f>IF(OR(E529="",E529="!!!"),"",IF(NOT(ISNA(VLOOKUP(E529,E$1:E528,1,FALSE()))),"OLD",IF(AND(E529&lt;&gt;"",E529&lt;&gt;"!!!"),"NEW","")))</f>
        <v> </v>
      </c>
      <c r="G529" s="24" t="str">
        <f>IF(OR(E529="",E529="!!!"),"",IF(OR(J529=0,AND(J529=1,K529=1),AND(J529=1,I529="SBJ"),AND(J529=1,I529=0)),"?IN_FOCUS",IF(J529&lt;=2,"?ACTIVATED",IF(J529&lt;&gt;"","?FAMILIAR",IF(F529="NEW",IF(ISNA(VLOOKUP(E529,#REF!,1,FALSE())),"?TYPE_IDENTIFIABLE","?REFERENTIAL"),"_")))))</f>
        <v> </v>
      </c>
      <c r="H529" s="25" t="str">
        <f>IF(J529&lt;&gt;1,"",IF(I529="SBJ","CB","?"))</f>
        <v> </v>
      </c>
      <c r="I529" s="26" t="str">
        <f>IF(OR(E529="",E529="!!!",F529="NEW"),"",INDEX(B528:B$2,-1+SUMPRODUCT(MAX(ROW(E528:E$2)*(E529=E528:E$2)))))</f>
        <v> </v>
      </c>
      <c r="J529" s="26" t="str">
        <f>IF(OR(E529="",E529="!!!",F529="NEW"),"",COUNTBLANK(OFFSET(A$1,,,SUMPRODUCT(MAX(ROW(E$2:E529)*(E529=E$2:E529)))))-COUNTBLANK(OFFSET(A$1,,,SUMPRODUCT(MAX(ROW(E$1:E528)*(E2=E$1:E528))))))</f>
        <v> </v>
      </c>
      <c r="K529" s="26" t="str">
        <f>IF(OR(E529="",E529="!!!",F529="NEW"),"",INDEX(J$1:J528,SUMPRODUCT(MAX(ROW(E$1:E528)*(E529=E$1:E528)))))</f>
        <v> </v>
      </c>
      <c r="L529" s="27"/>
    </row>
    <row r="530" spans="1:12">
      <c r="A530" s="20" t="s">
        <v>1024</v>
      </c>
      <c r="E530" s="22">
        <f>IF(D530="?OLD","!!!","")</f>
        <v/>
      </c>
      <c r="F530" s="23" t="str">
        <f>IF(OR(E530="",E530="!!!"),"",IF(NOT(ISNA(VLOOKUP(E530,E$1:E529,1,FALSE()))),"OLD",IF(AND(E530&lt;&gt;"",E530&lt;&gt;"!!!"),"NEW","")))</f>
        <v> </v>
      </c>
      <c r="G530" s="24" t="str">
        <f>IF(OR(E530="",E530="!!!"),"",IF(OR(J530=0,AND(J530=1,K530=1),AND(J530=1,I530="SBJ"),AND(J530=1,I530=0)),"?IN_FOCUS",IF(J530&lt;=2,"?ACTIVATED",IF(J530&lt;&gt;"","?FAMILIAR",IF(F530="NEW",IF(ISNA(VLOOKUP(E530,#REF!,1,FALSE())),"?TYPE_IDENTIFIABLE","?REFERENTIAL"),"_")))))</f>
        <v> </v>
      </c>
      <c r="H530" s="25" t="str">
        <f>IF(J530&lt;&gt;1,"",IF(I530="SBJ","CB","?"))</f>
        <v> </v>
      </c>
      <c r="I530" s="26" t="str">
        <f>IF(OR(E530="",E530="!!!",F530="NEW"),"",INDEX(B529:B$2,-1+SUMPRODUCT(MAX(ROW(E529:E$2)*(E530=E529:E$2)))))</f>
        <v> </v>
      </c>
      <c r="J530" s="26" t="str">
        <f>IF(OR(E530="",E530="!!!",F530="NEW"),"",COUNTBLANK(OFFSET(A$1,,,SUMPRODUCT(MAX(ROW(E$2:E530)*(E530=E$2:E530)))))-COUNTBLANK(OFFSET(A$1,,,SUMPRODUCT(MAX(ROW(E$1:E529)*(E2=E$1:E529))))))</f>
        <v> </v>
      </c>
      <c r="K530" s="26" t="str">
        <f>IF(OR(E530="",E530="!!!",F530="NEW"),"",INDEX(J$1:J529,SUMPRODUCT(MAX(ROW(E$1:E529)*(E530=E$1:E529)))))</f>
        <v> </v>
      </c>
      <c r="L530" s="27"/>
    </row>
    <row r="531" spans="1:12">
      <c r="A531" s="20" t="s">
        <v>246</v>
      </c>
      <c r="E531" s="22">
        <f>IF(D531="?OLD","!!!","")</f>
        <v/>
      </c>
      <c r="F531" s="23" t="str">
        <f>IF(OR(E531="",E531="!!!"),"",IF(NOT(ISNA(VLOOKUP(E531,E$1:E530,1,FALSE()))),"OLD",IF(AND(E531&lt;&gt;"",E531&lt;&gt;"!!!"),"NEW","")))</f>
        <v> </v>
      </c>
      <c r="G531" s="24" t="str">
        <f>IF(OR(E531="",E531="!!!"),"",IF(OR(J531=0,AND(J531=1,K531=1),AND(J531=1,I531="SBJ"),AND(J531=1,I531=0)),"?IN_FOCUS",IF(J531&lt;=2,"?ACTIVATED",IF(J531&lt;&gt;"","?FAMILIAR",IF(F531="NEW",IF(ISNA(VLOOKUP(E531,#REF!,1,FALSE())),"?TYPE_IDENTIFIABLE","?REFERENTIAL"),"_")))))</f>
        <v> </v>
      </c>
      <c r="H531" s="25" t="str">
        <f>IF(J531&lt;&gt;1,"",IF(I531="SBJ","CB","?"))</f>
        <v> </v>
      </c>
      <c r="I531" s="26" t="str">
        <f>IF(OR(E531="",E531="!!!",F531="NEW"),"",INDEX(B530:B$2,-1+SUMPRODUCT(MAX(ROW(E530:E$2)*(E531=E530:E$2)))))</f>
        <v> </v>
      </c>
      <c r="J531" s="26" t="str">
        <f>IF(OR(E531="",E531="!!!",F531="NEW"),"",COUNTBLANK(OFFSET(A$1,,,SUMPRODUCT(MAX(ROW(E$2:E531)*(E531=E$2:E531)))))-COUNTBLANK(OFFSET(A$1,,,SUMPRODUCT(MAX(ROW(E$1:E530)*(E2=E$1:E530))))))</f>
        <v> </v>
      </c>
      <c r="K531" s="26" t="str">
        <f>IF(OR(E531="",E531="!!!",F531="NEW"),"",INDEX(J$1:J530,SUMPRODUCT(MAX(ROW(E$1:E530)*(E531=E$1:E530)))))</f>
        <v> </v>
      </c>
      <c r="L531" s="27"/>
    </row>
    <row r="532" spans="1:12">
      <c r="A532" s="20"/>
    </row>
    <row r="533" spans="1:12">
      <c r="A533" s="20" t="s">
        <v>1025</v>
      </c>
    </row>
    <row r="534" spans="1:12">
      <c r="A534" s="20" t="s">
        <v>727</v>
      </c>
      <c r="B534" s="21" t="s">
        <v>728</v>
      </c>
      <c r="C534" s="21" t="s">
        <v>729</v>
      </c>
      <c r="D534" s="21" t="s">
        <v>730</v>
      </c>
      <c r="E534" s="22">
        <f>IF(D534="?OLD","!!!","")</f>
        <v/>
      </c>
      <c r="F534" s="23" t="str">
        <f>IF(OR(E534="",E534="!!!"),"",IF(NOT(ISNA(VLOOKUP(E534,E$1:E533,1,FALSE()))),"OLD",IF(AND(E534&lt;&gt;"",E534&lt;&gt;"!!!"),"NEW","")))</f>
        <v> </v>
      </c>
      <c r="G534" s="24" t="str">
        <f>IF(OR(E534="",E534="!!!"),"",IF(OR(J534=0,AND(J534=1,K534=1),AND(J534=1,I534="SBJ"),AND(J534=1,I534=0)),"?IN_FOCUS",IF(J534&lt;=2,"?ACTIVATED",IF(J534&lt;&gt;"","?FAMILIAR",IF(F534="NEW",IF(ISNA(VLOOKUP(E534,#REF!,1,FALSE())),"?TYPE_IDENTIFIABLE","?REFERENTIAL"),"_")))))</f>
        <v> </v>
      </c>
      <c r="H534" s="25" t="str">
        <f>IF(J534&lt;&gt;1,"",IF(I534="SBJ","CB","?"))</f>
        <v> </v>
      </c>
      <c r="I534" s="26" t="str">
        <f>IF(OR(E534="",E534="!!!",F534="NEW"),"",INDEX(B533:B$2,-1+SUMPRODUCT(MAX(ROW(E533:E$2)*(E534=E533:E$2)))))</f>
        <v> </v>
      </c>
      <c r="J534" s="26" t="str">
        <f>IF(OR(E534="",E534="!!!",F534="NEW"),"",COUNTBLANK(OFFSET(A$1,,,SUMPRODUCT(MAX(ROW(E$2:E534)*(E534=E$2:E534)))))-COUNTBLANK(OFFSET(A$1,,,SUMPRODUCT(MAX(ROW(E$1:E533)*(E2=E$1:E533))))))</f>
        <v> </v>
      </c>
      <c r="K534" s="26" t="str">
        <f>IF(OR(E534="",E534="!!!",F534="NEW"),"",INDEX(J$1:J533,SUMPRODUCT(MAX(ROW(E$1:E533)*(E534=E$1:E533)))))</f>
        <v> </v>
      </c>
      <c r="L534" s="27"/>
    </row>
    <row r="535" spans="1:12">
      <c r="A535" s="20" t="s">
        <v>1026</v>
      </c>
      <c r="E535" s="22">
        <f>IF(D535="?OLD","!!!","")</f>
        <v/>
      </c>
      <c r="F535" s="23" t="str">
        <f>IF(OR(E535="",E535="!!!"),"",IF(NOT(ISNA(VLOOKUP(E535,E$1:E534,1,FALSE()))),"OLD",IF(AND(E535&lt;&gt;"",E535&lt;&gt;"!!!"),"NEW","")))</f>
        <v> </v>
      </c>
      <c r="G535" s="24" t="str">
        <f>IF(OR(E535="",E535="!!!"),"",IF(OR(J535=0,AND(J535=1,K535=1),AND(J535=1,I535="SBJ"),AND(J535=1,I535=0)),"?IN_FOCUS",IF(J535&lt;=2,"?ACTIVATED",IF(J535&lt;&gt;"","?FAMILIAR",IF(F535="NEW",IF(ISNA(VLOOKUP(E535,#REF!,1,FALSE())),"?TYPE_IDENTIFIABLE","?REFERENTIAL"),"_")))))</f>
        <v> </v>
      </c>
      <c r="H535" s="25" t="str">
        <f>IF(J535&lt;&gt;1,"",IF(I535="SBJ","CB","?"))</f>
        <v> </v>
      </c>
      <c r="I535" s="26" t="str">
        <f>IF(OR(E535="",E535="!!!",F535="NEW"),"",INDEX(B534:B$2,-1+SUMPRODUCT(MAX(ROW(E534:E$2)*(E535=E534:E$2)))))</f>
        <v> </v>
      </c>
      <c r="J535" s="26" t="str">
        <f>IF(OR(E535="",E535="!!!",F535="NEW"),"",COUNTBLANK(OFFSET(A$1,,,SUMPRODUCT(MAX(ROW(E$2:E535)*(E535=E$2:E535)))))-COUNTBLANK(OFFSET(A$1,,,SUMPRODUCT(MAX(ROW(E$1:E534)*(E2=E$1:E534))))))</f>
        <v> </v>
      </c>
      <c r="K535" s="26" t="str">
        <f>IF(OR(E535="",E535="!!!",F535="NEW"),"",INDEX(J$1:J534,SUMPRODUCT(MAX(ROW(E$1:E534)*(E535=E$1:E534)))))</f>
        <v> </v>
      </c>
      <c r="L535" s="27"/>
    </row>
    <row r="536" spans="1:12">
      <c r="A536" s="20" t="s">
        <v>1027</v>
      </c>
      <c r="B536" s="21" t="s">
        <v>739</v>
      </c>
      <c r="C536" s="21" t="s">
        <v>746</v>
      </c>
      <c r="D536" s="21" t="s">
        <v>730</v>
      </c>
      <c r="E536" s="22">
        <f>IF(D536="?OLD","!!!","")</f>
        <v/>
      </c>
      <c r="F536" s="23" t="str">
        <f>IF(OR(E536="",E536="!!!"),"",IF(NOT(ISNA(VLOOKUP(E536,E$1:E535,1,FALSE()))),"OLD",IF(AND(E536&lt;&gt;"",E536&lt;&gt;"!!!"),"NEW","")))</f>
        <v> </v>
      </c>
      <c r="G536" s="24" t="str">
        <f>IF(OR(E536="",E536="!!!"),"",IF(OR(J536=0,AND(J536=1,K536=1),AND(J536=1,I536="SBJ"),AND(J536=1,I536=0)),"?IN_FOCUS",IF(J536&lt;=2,"?ACTIVATED",IF(J536&lt;&gt;"","?FAMILIAR",IF(F536="NEW",IF(ISNA(VLOOKUP(E536,#REF!,1,FALSE())),"?TYPE_IDENTIFIABLE","?REFERENTIAL"),"_")))))</f>
        <v> </v>
      </c>
      <c r="H536" s="25" t="str">
        <f>IF(J536&lt;&gt;1,"",IF(I536="SBJ","CB","?"))</f>
        <v> </v>
      </c>
      <c r="I536" s="26" t="str">
        <f>IF(OR(E536="",E536="!!!",F536="NEW"),"",INDEX(B535:B$2,-1+SUMPRODUCT(MAX(ROW(E535:E$2)*(E536=E535:E$2)))))</f>
        <v> </v>
      </c>
      <c r="J536" s="26" t="str">
        <f>IF(OR(E536="",E536="!!!",F536="NEW"),"",COUNTBLANK(OFFSET(A$1,,,SUMPRODUCT(MAX(ROW(E$2:E536)*(E536=E$2:E536)))))-COUNTBLANK(OFFSET(A$1,,,SUMPRODUCT(MAX(ROW(E$1:E535)*(E2=E$1:E535))))))</f>
        <v> </v>
      </c>
      <c r="K536" s="26" t="str">
        <f>IF(OR(E536="",E536="!!!",F536="NEW"),"",INDEX(J$1:J535,SUMPRODUCT(MAX(ROW(E$1:E535)*(E536=E$1:E535)))))</f>
        <v> </v>
      </c>
      <c r="L536" s="27"/>
    </row>
    <row r="537" spans="1:12">
      <c r="A537" s="20" t="s">
        <v>1028</v>
      </c>
      <c r="B537" s="21" t="s">
        <v>764</v>
      </c>
      <c r="C537" s="21" t="s">
        <v>748</v>
      </c>
      <c r="E537" s="22">
        <f>IF(D537="?OLD","!!!","")</f>
        <v/>
      </c>
      <c r="F537" s="23" t="str">
        <f>IF(OR(E537="",E537="!!!"),"",IF(NOT(ISNA(VLOOKUP(E537,E$1:E536,1,FALSE()))),"OLD",IF(AND(E537&lt;&gt;"",E537&lt;&gt;"!!!"),"NEW","")))</f>
        <v> </v>
      </c>
      <c r="G537" s="24" t="str">
        <f>IF(OR(E537="",E537="!!!"),"",IF(OR(J537=0,AND(J537=1,K537=1),AND(J537=1,I537="SBJ"),AND(J537=1,I537=0)),"?IN_FOCUS",IF(J537&lt;=2,"?ACTIVATED",IF(J537&lt;&gt;"","?FAMILIAR",IF(F537="NEW",IF(ISNA(VLOOKUP(E537,#REF!,1,FALSE())),"?TYPE_IDENTIFIABLE","?REFERENTIAL"),"_")))))</f>
        <v> </v>
      </c>
      <c r="H537" s="25" t="str">
        <f>IF(J537&lt;&gt;1,"",IF(I537="SBJ","CB","?"))</f>
        <v> </v>
      </c>
      <c r="I537" s="26" t="str">
        <f>IF(OR(E537="",E537="!!!",F537="NEW"),"",INDEX(B536:B$2,-1+SUMPRODUCT(MAX(ROW(E536:E$2)*(E537=E536:E$2)))))</f>
        <v> </v>
      </c>
      <c r="J537" s="26" t="str">
        <f>IF(OR(E537="",E537="!!!",F537="NEW"),"",COUNTBLANK(OFFSET(A$1,,,SUMPRODUCT(MAX(ROW(E$2:E537)*(E537=E$2:E537)))))-COUNTBLANK(OFFSET(A$1,,,SUMPRODUCT(MAX(ROW(E$1:E536)*(E2=E$1:E536))))))</f>
        <v> </v>
      </c>
      <c r="K537" s="26" t="str">
        <f>IF(OR(E537="",E537="!!!",F537="NEW"),"",INDEX(J$1:J536,SUMPRODUCT(MAX(ROW(E$1:E536)*(E537=E$1:E536)))))</f>
        <v> </v>
      </c>
      <c r="L537" s="27"/>
    </row>
    <row r="538" spans="1:12">
      <c r="A538" s="20" t="s">
        <v>759</v>
      </c>
      <c r="E538" s="22">
        <f>IF(D538="?OLD","!!!","")</f>
        <v/>
      </c>
      <c r="F538" s="23" t="str">
        <f>IF(OR(E538="",E538="!!!"),"",IF(NOT(ISNA(VLOOKUP(E538,E$1:E537,1,FALSE()))),"OLD",IF(AND(E538&lt;&gt;"",E538&lt;&gt;"!!!"),"NEW","")))</f>
        <v> </v>
      </c>
      <c r="G538" s="24" t="str">
        <f>IF(OR(E538="",E538="!!!"),"",IF(OR(J538=0,AND(J538=1,K538=1),AND(J538=1,I538="SBJ"),AND(J538=1,I538=0)),"?IN_FOCUS",IF(J538&lt;=2,"?ACTIVATED",IF(J538&lt;&gt;"","?FAMILIAR",IF(F538="NEW",IF(ISNA(VLOOKUP(E538,#REF!,1,FALSE())),"?TYPE_IDENTIFIABLE","?REFERENTIAL"),"_")))))</f>
        <v> </v>
      </c>
      <c r="H538" s="25" t="str">
        <f>IF(J538&lt;&gt;1,"",IF(I538="SBJ","CB","?"))</f>
        <v> </v>
      </c>
      <c r="I538" s="26" t="str">
        <f>IF(OR(E538="",E538="!!!",F538="NEW"),"",INDEX(B537:B$2,-1+SUMPRODUCT(MAX(ROW(E537:E$2)*(E538=E537:E$2)))))</f>
        <v> </v>
      </c>
      <c r="J538" s="26" t="str">
        <f>IF(OR(E538="",E538="!!!",F538="NEW"),"",COUNTBLANK(OFFSET(A$1,,,SUMPRODUCT(MAX(ROW(E$2:E538)*(E538=E$2:E538)))))-COUNTBLANK(OFFSET(A$1,,,SUMPRODUCT(MAX(ROW(E$1:E537)*(E2=E$1:E537))))))</f>
        <v> </v>
      </c>
      <c r="K538" s="26" t="str">
        <f>IF(OR(E538="",E538="!!!",F538="NEW"),"",INDEX(J$1:J537,SUMPRODUCT(MAX(ROW(E$1:E537)*(E538=E$1:E537)))))</f>
        <v> </v>
      </c>
      <c r="L538" s="27"/>
    </row>
    <row r="539" spans="1:12">
      <c r="A539" s="20" t="s">
        <v>1029</v>
      </c>
      <c r="E539" s="22">
        <f>IF(D539="?OLD","!!!","")</f>
        <v/>
      </c>
      <c r="F539" s="23" t="str">
        <f>IF(OR(E539="",E539="!!!"),"",IF(NOT(ISNA(VLOOKUP(E539,E$1:E538,1,FALSE()))),"OLD",IF(AND(E539&lt;&gt;"",E539&lt;&gt;"!!!"),"NEW","")))</f>
        <v> </v>
      </c>
      <c r="G539" s="24" t="str">
        <f>IF(OR(E539="",E539="!!!"),"",IF(OR(J539=0,AND(J539=1,K539=1),AND(J539=1,I539="SBJ"),AND(J539=1,I539=0)),"?IN_FOCUS",IF(J539&lt;=2,"?ACTIVATED",IF(J539&lt;&gt;"","?FAMILIAR",IF(F539="NEW",IF(ISNA(VLOOKUP(E539,#REF!,1,FALSE())),"?TYPE_IDENTIFIABLE","?REFERENTIAL"),"_")))))</f>
        <v> </v>
      </c>
      <c r="H539" s="25" t="str">
        <f>IF(J539&lt;&gt;1,"",IF(I539="SBJ","CB","?"))</f>
        <v> </v>
      </c>
      <c r="I539" s="26" t="str">
        <f>IF(OR(E539="",E539="!!!",F539="NEW"),"",INDEX(B538:B$2,-1+SUMPRODUCT(MAX(ROW(E538:E$2)*(E539=E538:E$2)))))</f>
        <v> </v>
      </c>
      <c r="J539" s="26" t="str">
        <f>IF(OR(E539="",E539="!!!",F539="NEW"),"",COUNTBLANK(OFFSET(A$1,,,SUMPRODUCT(MAX(ROW(E$2:E539)*(E539=E$2:E539)))))-COUNTBLANK(OFFSET(A$1,,,SUMPRODUCT(MAX(ROW(E$1:E538)*(E2=E$1:E538))))))</f>
        <v> </v>
      </c>
      <c r="K539" s="26" t="str">
        <f>IF(OR(E539="",E539="!!!",F539="NEW"),"",INDEX(J$1:J538,SUMPRODUCT(MAX(ROW(E$1:E538)*(E539=E$1:E538)))))</f>
        <v> </v>
      </c>
      <c r="L539" s="27"/>
    </row>
    <row r="540" spans="1:12">
      <c r="A540" s="20" t="s">
        <v>1030</v>
      </c>
      <c r="B540" s="21" t="s">
        <v>796</v>
      </c>
      <c r="C540" s="21" t="s">
        <v>729</v>
      </c>
      <c r="D540" s="21" t="s">
        <v>730</v>
      </c>
      <c r="E540" s="22">
        <f>IF(D540="?OLD","!!!","")</f>
        <v/>
      </c>
      <c r="F540" s="23" t="str">
        <f>IF(OR(E540="",E540="!!!"),"",IF(NOT(ISNA(VLOOKUP(E540,E$1:E539,1,FALSE()))),"OLD",IF(AND(E540&lt;&gt;"",E540&lt;&gt;"!!!"),"NEW","")))</f>
        <v> </v>
      </c>
      <c r="G540" s="24" t="str">
        <f>IF(OR(E540="",E540="!!!"),"",IF(OR(J540=0,AND(J540=1,K540=1),AND(J540=1,I540="SBJ"),AND(J540=1,I540=0)),"?IN_FOCUS",IF(J540&lt;=2,"?ACTIVATED",IF(J540&lt;&gt;"","?FAMILIAR",IF(F540="NEW",IF(ISNA(VLOOKUP(E540,#REF!,1,FALSE())),"?TYPE_IDENTIFIABLE","?REFERENTIAL"),"_")))))</f>
        <v> </v>
      </c>
      <c r="H540" s="25" t="str">
        <f>IF(J540&lt;&gt;1,"",IF(I540="SBJ","CB","?"))</f>
        <v> </v>
      </c>
      <c r="I540" s="26" t="str">
        <f>IF(OR(E540="",E540="!!!",F540="NEW"),"",INDEX(B539:B$2,-1+SUMPRODUCT(MAX(ROW(E539:E$2)*(E540=E539:E$2)))))</f>
        <v> </v>
      </c>
      <c r="J540" s="26" t="str">
        <f>IF(OR(E540="",E540="!!!",F540="NEW"),"",COUNTBLANK(OFFSET(A$1,,,SUMPRODUCT(MAX(ROW(E$2:E540)*(E540=E$2:E540)))))-COUNTBLANK(OFFSET(A$1,,,SUMPRODUCT(MAX(ROW(E$1:E539)*(E2=E$1:E539))))))</f>
        <v> </v>
      </c>
      <c r="K540" s="26" t="str">
        <f>IF(OR(E540="",E540="!!!",F540="NEW"),"",INDEX(J$1:J539,SUMPRODUCT(MAX(ROW(E$1:E539)*(E540=E$1:E539)))))</f>
        <v> </v>
      </c>
      <c r="L540" s="27"/>
    </row>
    <row r="541" spans="1:12">
      <c r="A541" s="20" t="s">
        <v>1031</v>
      </c>
      <c r="E541" s="22">
        <f>IF(D541="?OLD","!!!","")</f>
        <v/>
      </c>
      <c r="F541" s="23" t="str">
        <f>IF(OR(E541="",E541="!!!"),"",IF(NOT(ISNA(VLOOKUP(E541,E$1:E540,1,FALSE()))),"OLD",IF(AND(E541&lt;&gt;"",E541&lt;&gt;"!!!"),"NEW","")))</f>
        <v> </v>
      </c>
      <c r="G541" s="24" t="str">
        <f>IF(OR(E541="",E541="!!!"),"",IF(OR(J541=0,AND(J541=1,K541=1),AND(J541=1,I541="SBJ"),AND(J541=1,I541=0)),"?IN_FOCUS",IF(J541&lt;=2,"?ACTIVATED",IF(J541&lt;&gt;"","?FAMILIAR",IF(F541="NEW",IF(ISNA(VLOOKUP(E541,#REF!,1,FALSE())),"?TYPE_IDENTIFIABLE","?REFERENTIAL"),"_")))))</f>
        <v> </v>
      </c>
      <c r="H541" s="25" t="str">
        <f>IF(J541&lt;&gt;1,"",IF(I541="SBJ","CB","?"))</f>
        <v> </v>
      </c>
      <c r="I541" s="26" t="str">
        <f>IF(OR(E541="",E541="!!!",F541="NEW"),"",INDEX(B540:B$2,-1+SUMPRODUCT(MAX(ROW(E540:E$2)*(E541=E540:E$2)))))</f>
        <v> </v>
      </c>
      <c r="J541" s="26" t="str">
        <f>IF(OR(E541="",E541="!!!",F541="NEW"),"",COUNTBLANK(OFFSET(A$1,,,SUMPRODUCT(MAX(ROW(E$2:E541)*(E541=E$2:E541)))))-COUNTBLANK(OFFSET(A$1,,,SUMPRODUCT(MAX(ROW(E$1:E540)*(E2=E$1:E540))))))</f>
        <v> </v>
      </c>
      <c r="K541" s="26" t="str">
        <f>IF(OR(E541="",E541="!!!",F541="NEW"),"",INDEX(J$1:J540,SUMPRODUCT(MAX(ROW(E$1:E540)*(E541=E$1:E540)))))</f>
        <v> </v>
      </c>
      <c r="L541" s="27"/>
    </row>
    <row r="542" spans="1:12">
      <c r="A542" s="20" t="s">
        <v>762</v>
      </c>
      <c r="E542" s="22">
        <f>IF(D542="?OLD","!!!","")</f>
        <v/>
      </c>
      <c r="F542" s="23" t="str">
        <f>IF(OR(E542="",E542="!!!"),"",IF(NOT(ISNA(VLOOKUP(E542,E$1:E541,1,FALSE()))),"OLD",IF(AND(E542&lt;&gt;"",E542&lt;&gt;"!!!"),"NEW","")))</f>
        <v> </v>
      </c>
      <c r="G542" s="24" t="str">
        <f>IF(OR(E542="",E542="!!!"),"",IF(OR(J542=0,AND(J542=1,K542=1),AND(J542=1,I542="SBJ"),AND(J542=1,I542=0)),"?IN_FOCUS",IF(J542&lt;=2,"?ACTIVATED",IF(J542&lt;&gt;"","?FAMILIAR",IF(F542="NEW",IF(ISNA(VLOOKUP(E542,#REF!,1,FALSE())),"?TYPE_IDENTIFIABLE","?REFERENTIAL"),"_")))))</f>
        <v> </v>
      </c>
      <c r="H542" s="25" t="str">
        <f>IF(J542&lt;&gt;1,"",IF(I542="SBJ","CB","?"))</f>
        <v> </v>
      </c>
      <c r="I542" s="26" t="str">
        <f>IF(OR(E542="",E542="!!!",F542="NEW"),"",INDEX(B541:B$2,-1+SUMPRODUCT(MAX(ROW(E541:E$2)*(E542=E541:E$2)))))</f>
        <v> </v>
      </c>
      <c r="J542" s="26" t="str">
        <f>IF(OR(E542="",E542="!!!",F542="NEW"),"",COUNTBLANK(OFFSET(A$1,,,SUMPRODUCT(MAX(ROW(E$2:E542)*(E542=E$2:E542)))))-COUNTBLANK(OFFSET(A$1,,,SUMPRODUCT(MAX(ROW(E$1:E541)*(E2=E$1:E541))))))</f>
        <v> </v>
      </c>
      <c r="K542" s="26" t="str">
        <f>IF(OR(E542="",E542="!!!",F542="NEW"),"",INDEX(J$1:J541,SUMPRODUCT(MAX(ROW(E$1:E541)*(E542=E$1:E541)))))</f>
        <v> </v>
      </c>
      <c r="L542" s="27"/>
    </row>
    <row r="543" spans="1:12">
      <c r="A543" s="20" t="s">
        <v>1032</v>
      </c>
      <c r="B543" s="21" t="s">
        <v>791</v>
      </c>
      <c r="C543" s="21" t="s">
        <v>737</v>
      </c>
      <c r="E543" s="22">
        <f>IF(D543="?OLD","!!!","")</f>
        <v/>
      </c>
      <c r="F543" s="23" t="str">
        <f>IF(OR(E543="",E543="!!!"),"",IF(NOT(ISNA(VLOOKUP(E543,E$1:E542,1,FALSE()))),"OLD",IF(AND(E543&lt;&gt;"",E543&lt;&gt;"!!!"),"NEW","")))</f>
        <v> </v>
      </c>
      <c r="G543" s="24" t="str">
        <f>IF(OR(E543="",E543="!!!"),"",IF(OR(J543=0,AND(J543=1,K543=1),AND(J543=1,I543="SBJ"),AND(J543=1,I543=0)),"?IN_FOCUS",IF(J543&lt;=2,"?ACTIVATED",IF(J543&lt;&gt;"","?FAMILIAR",IF(F543="NEW",IF(ISNA(VLOOKUP(E543,#REF!,1,FALSE())),"?TYPE_IDENTIFIABLE","?REFERENTIAL"),"_")))))</f>
        <v> </v>
      </c>
      <c r="H543" s="25" t="str">
        <f>IF(J543&lt;&gt;1,"",IF(I543="SBJ","CB","?"))</f>
        <v> </v>
      </c>
      <c r="I543" s="26" t="str">
        <f>IF(OR(E543="",E543="!!!",F543="NEW"),"",INDEX(B542:B$2,-1+SUMPRODUCT(MAX(ROW(E542:E$2)*(E543=E542:E$2)))))</f>
        <v> </v>
      </c>
      <c r="J543" s="26" t="str">
        <f>IF(OR(E543="",E543="!!!",F543="NEW"),"",COUNTBLANK(OFFSET(A$1,,,SUMPRODUCT(MAX(ROW(E$2:E543)*(E543=E$2:E543)))))-COUNTBLANK(OFFSET(A$1,,,SUMPRODUCT(MAX(ROW(E$1:E542)*(E2=E$1:E542))))))</f>
        <v> </v>
      </c>
      <c r="K543" s="26" t="str">
        <f>IF(OR(E543="",E543="!!!",F543="NEW"),"",INDEX(J$1:J542,SUMPRODUCT(MAX(ROW(E$1:E542)*(E543=E$1:E542)))))</f>
        <v> </v>
      </c>
      <c r="L543" s="27"/>
    </row>
    <row r="544" spans="1:12">
      <c r="A544" s="20" t="s">
        <v>773</v>
      </c>
      <c r="E544" s="22">
        <f>IF(D544="?OLD","!!!","")</f>
        <v/>
      </c>
      <c r="F544" s="23" t="str">
        <f>IF(OR(E544="",E544="!!!"),"",IF(NOT(ISNA(VLOOKUP(E544,E$1:E543,1,FALSE()))),"OLD",IF(AND(E544&lt;&gt;"",E544&lt;&gt;"!!!"),"NEW","")))</f>
        <v> </v>
      </c>
      <c r="G544" s="24" t="str">
        <f>IF(OR(E544="",E544="!!!"),"",IF(OR(J544=0,AND(J544=1,K544=1),AND(J544=1,I544="SBJ"),AND(J544=1,I544=0)),"?IN_FOCUS",IF(J544&lt;=2,"?ACTIVATED",IF(J544&lt;&gt;"","?FAMILIAR",IF(F544="NEW",IF(ISNA(VLOOKUP(E544,#REF!,1,FALSE())),"?TYPE_IDENTIFIABLE","?REFERENTIAL"),"_")))))</f>
        <v> </v>
      </c>
      <c r="H544" s="25" t="str">
        <f>IF(J544&lt;&gt;1,"",IF(I544="SBJ","CB","?"))</f>
        <v> </v>
      </c>
      <c r="I544" s="26" t="str">
        <f>IF(OR(E544="",E544="!!!",F544="NEW"),"",INDEX(B543:B$2,-1+SUMPRODUCT(MAX(ROW(E543:E$2)*(E544=E543:E$2)))))</f>
        <v> </v>
      </c>
      <c r="J544" s="26" t="str">
        <f>IF(OR(E544="",E544="!!!",F544="NEW"),"",COUNTBLANK(OFFSET(A$1,,,SUMPRODUCT(MAX(ROW(E$2:E544)*(E544=E$2:E544)))))-COUNTBLANK(OFFSET(A$1,,,SUMPRODUCT(MAX(ROW(E$1:E543)*(E2=E$1:E543))))))</f>
        <v> </v>
      </c>
      <c r="K544" s="26" t="str">
        <f>IF(OR(E544="",E544="!!!",F544="NEW"),"",INDEX(J$1:J543,SUMPRODUCT(MAX(ROW(E$1:E543)*(E544=E$1:E543)))))</f>
        <v> </v>
      </c>
      <c r="L544" s="27"/>
    </row>
    <row r="545" spans="1:12">
      <c r="A545" s="20" t="s">
        <v>1033</v>
      </c>
      <c r="B545" s="21" t="s">
        <v>755</v>
      </c>
      <c r="C545" s="21" t="s">
        <v>740</v>
      </c>
      <c r="D545" s="21" t="s">
        <v>730</v>
      </c>
      <c r="E545" s="22">
        <f>IF(D545="?OLD","!!!","")</f>
        <v/>
      </c>
      <c r="F545" s="23" t="str">
        <f>IF(OR(E545="",E545="!!!"),"",IF(NOT(ISNA(VLOOKUP(E545,E$1:E544,1,FALSE()))),"OLD",IF(AND(E545&lt;&gt;"",E545&lt;&gt;"!!!"),"NEW","")))</f>
        <v> </v>
      </c>
      <c r="G545" s="24" t="str">
        <f>IF(OR(E545="",E545="!!!"),"",IF(OR(J545=0,AND(J545=1,K545=1),AND(J545=1,I545="SBJ"),AND(J545=1,I545=0)),"?IN_FOCUS",IF(J545&lt;=2,"?ACTIVATED",IF(J545&lt;&gt;"","?FAMILIAR",IF(F545="NEW",IF(ISNA(VLOOKUP(E545,#REF!,1,FALSE())),"?TYPE_IDENTIFIABLE","?REFERENTIAL"),"_")))))</f>
        <v> </v>
      </c>
      <c r="H545" s="25" t="str">
        <f>IF(J545&lt;&gt;1,"",IF(I545="SBJ","CB","?"))</f>
        <v> </v>
      </c>
      <c r="I545" s="26" t="str">
        <f>IF(OR(E545="",E545="!!!",F545="NEW"),"",INDEX(B544:B$2,-1+SUMPRODUCT(MAX(ROW(E544:E$2)*(E545=E544:E$2)))))</f>
        <v> </v>
      </c>
      <c r="J545" s="26" t="str">
        <f>IF(OR(E545="",E545="!!!",F545="NEW"),"",COUNTBLANK(OFFSET(A$1,,,SUMPRODUCT(MAX(ROW(E$2:E545)*(E545=E$2:E545)))))-COUNTBLANK(OFFSET(A$1,,,SUMPRODUCT(MAX(ROW(E$1:E544)*(E2=E$1:E544))))))</f>
        <v> </v>
      </c>
      <c r="K545" s="26" t="str">
        <f>IF(OR(E545="",E545="!!!",F545="NEW"),"",INDEX(J$1:J544,SUMPRODUCT(MAX(ROW(E$1:E544)*(E545=E$1:E544)))))</f>
        <v> </v>
      </c>
      <c r="L545" s="27"/>
    </row>
    <row r="546" spans="1:12">
      <c r="A546" s="20" t="s">
        <v>759</v>
      </c>
      <c r="E546" s="22">
        <f>IF(D546="?OLD","!!!","")</f>
        <v/>
      </c>
      <c r="F546" s="23" t="str">
        <f>IF(OR(E546="",E546="!!!"),"",IF(NOT(ISNA(VLOOKUP(E546,E$1:E545,1,FALSE()))),"OLD",IF(AND(E546&lt;&gt;"",E546&lt;&gt;"!!!"),"NEW","")))</f>
        <v> </v>
      </c>
      <c r="G546" s="24" t="str">
        <f>IF(OR(E546="",E546="!!!"),"",IF(OR(J546=0,AND(J546=1,K546=1),AND(J546=1,I546="SBJ"),AND(J546=1,I546=0)),"?IN_FOCUS",IF(J546&lt;=2,"?ACTIVATED",IF(J546&lt;&gt;"","?FAMILIAR",IF(F546="NEW",IF(ISNA(VLOOKUP(E546,#REF!,1,FALSE())),"?TYPE_IDENTIFIABLE","?REFERENTIAL"),"_")))))</f>
        <v> </v>
      </c>
      <c r="H546" s="25" t="str">
        <f>IF(J546&lt;&gt;1,"",IF(I546="SBJ","CB","?"))</f>
        <v> </v>
      </c>
      <c r="I546" s="26" t="str">
        <f>IF(OR(E546="",E546="!!!",F546="NEW"),"",INDEX(B545:B$2,-1+SUMPRODUCT(MAX(ROW(E545:E$2)*(E546=E545:E$2)))))</f>
        <v> </v>
      </c>
      <c r="J546" s="26" t="str">
        <f>IF(OR(E546="",E546="!!!",F546="NEW"),"",COUNTBLANK(OFFSET(A$1,,,SUMPRODUCT(MAX(ROW(E$2:E546)*(E546=E$2:E546)))))-COUNTBLANK(OFFSET(A$1,,,SUMPRODUCT(MAX(ROW(E$1:E545)*(E2=E$1:E545))))))</f>
        <v> </v>
      </c>
      <c r="K546" s="26" t="str">
        <f>IF(OR(E546="",E546="!!!",F546="NEW"),"",INDEX(J$1:J545,SUMPRODUCT(MAX(ROW(E$1:E545)*(E546=E$1:E545)))))</f>
        <v> </v>
      </c>
      <c r="L546" s="27"/>
    </row>
    <row r="547" spans="1:12">
      <c r="A547" s="20" t="s">
        <v>1034</v>
      </c>
      <c r="B547" s="21" t="s">
        <v>783</v>
      </c>
      <c r="C547" s="21" t="s">
        <v>740</v>
      </c>
      <c r="D547" s="21" t="s">
        <v>730</v>
      </c>
      <c r="E547" s="22">
        <f>IF(D547="?OLD","!!!","")</f>
        <v/>
      </c>
      <c r="F547" s="23" t="str">
        <f>IF(OR(E547="",E547="!!!"),"",IF(NOT(ISNA(VLOOKUP(E547,E$1:E546,1,FALSE()))),"OLD",IF(AND(E547&lt;&gt;"",E547&lt;&gt;"!!!"),"NEW","")))</f>
        <v> </v>
      </c>
      <c r="G547" s="24" t="str">
        <f>IF(OR(E547="",E547="!!!"),"",IF(OR(J547=0,AND(J547=1,K547=1),AND(J547=1,I547="SBJ"),AND(J547=1,I547=0)),"?IN_FOCUS",IF(J547&lt;=2,"?ACTIVATED",IF(J547&lt;&gt;"","?FAMILIAR",IF(F547="NEW",IF(ISNA(VLOOKUP(E547,#REF!,1,FALSE())),"?TYPE_IDENTIFIABLE","?REFERENTIAL"),"_")))))</f>
        <v> </v>
      </c>
      <c r="H547" s="25" t="str">
        <f>IF(J547&lt;&gt;1,"",IF(I547="SBJ","CB","?"))</f>
        <v> </v>
      </c>
      <c r="I547" s="26" t="str">
        <f>IF(OR(E547="",E547="!!!",F547="NEW"),"",INDEX(B546:B$2,-1+SUMPRODUCT(MAX(ROW(E546:E$2)*(E547=E546:E$2)))))</f>
        <v> </v>
      </c>
      <c r="J547" s="26" t="str">
        <f>IF(OR(E547="",E547="!!!",F547="NEW"),"",COUNTBLANK(OFFSET(A$1,,,SUMPRODUCT(MAX(ROW(E$2:E547)*(E547=E$2:E547)))))-COUNTBLANK(OFFSET(A$1,,,SUMPRODUCT(MAX(ROW(E$1:E546)*(E2=E$1:E546))))))</f>
        <v> </v>
      </c>
      <c r="K547" s="26" t="str">
        <f>IF(OR(E547="",E547="!!!",F547="NEW"),"",INDEX(J$1:J546,SUMPRODUCT(MAX(ROW(E$1:E546)*(E547=E$1:E546)))))</f>
        <v> </v>
      </c>
      <c r="L547" s="27"/>
    </row>
    <row r="548" spans="1:12">
      <c r="A548" s="20" t="s">
        <v>1035</v>
      </c>
      <c r="E548" s="22">
        <f>IF(D548="?OLD","!!!","")</f>
        <v/>
      </c>
      <c r="F548" s="23" t="str">
        <f>IF(OR(E548="",E548="!!!"),"",IF(NOT(ISNA(VLOOKUP(E548,E$1:E547,1,FALSE()))),"OLD",IF(AND(E548&lt;&gt;"",E548&lt;&gt;"!!!"),"NEW","")))</f>
        <v> </v>
      </c>
      <c r="G548" s="24" t="str">
        <f>IF(OR(E548="",E548="!!!"),"",IF(OR(J548=0,AND(J548=1,K548=1),AND(J548=1,I548="SBJ"),AND(J548=1,I548=0)),"?IN_FOCUS",IF(J548&lt;=2,"?ACTIVATED",IF(J548&lt;&gt;"","?FAMILIAR",IF(F548="NEW",IF(ISNA(VLOOKUP(E548,#REF!,1,FALSE())),"?TYPE_IDENTIFIABLE","?REFERENTIAL"),"_")))))</f>
        <v> </v>
      </c>
      <c r="H548" s="25" t="str">
        <f>IF(J548&lt;&gt;1,"",IF(I548="SBJ","CB","?"))</f>
        <v> </v>
      </c>
      <c r="I548" s="26" t="str">
        <f>IF(OR(E548="",E548="!!!",F548="NEW"),"",INDEX(B547:B$2,-1+SUMPRODUCT(MAX(ROW(E547:E$2)*(E548=E547:E$2)))))</f>
        <v> </v>
      </c>
      <c r="J548" s="26" t="str">
        <f>IF(OR(E548="",E548="!!!",F548="NEW"),"",COUNTBLANK(OFFSET(A$1,,,SUMPRODUCT(MAX(ROW(E$2:E548)*(E548=E$2:E548)))))-COUNTBLANK(OFFSET(A$1,,,SUMPRODUCT(MAX(ROW(E$1:E547)*(E2=E$1:E547))))))</f>
        <v> </v>
      </c>
      <c r="K548" s="26" t="str">
        <f>IF(OR(E548="",E548="!!!",F548="NEW"),"",INDEX(J$1:J547,SUMPRODUCT(MAX(ROW(E$1:E547)*(E548=E$1:E547)))))</f>
        <v> </v>
      </c>
      <c r="L548" s="27"/>
    </row>
    <row r="549" spans="1:12">
      <c r="A549" s="20" t="s">
        <v>759</v>
      </c>
      <c r="E549" s="22">
        <f>IF(D549="?OLD","!!!","")</f>
        <v/>
      </c>
      <c r="F549" s="23" t="str">
        <f>IF(OR(E549="",E549="!!!"),"",IF(NOT(ISNA(VLOOKUP(E549,E$1:E548,1,FALSE()))),"OLD",IF(AND(E549&lt;&gt;"",E549&lt;&gt;"!!!"),"NEW","")))</f>
        <v> </v>
      </c>
      <c r="G549" s="24" t="str">
        <f>IF(OR(E549="",E549="!!!"),"",IF(OR(J549=0,AND(J549=1,K549=1),AND(J549=1,I549="SBJ"),AND(J549=1,I549=0)),"?IN_FOCUS",IF(J549&lt;=2,"?ACTIVATED",IF(J549&lt;&gt;"","?FAMILIAR",IF(F549="NEW",IF(ISNA(VLOOKUP(E549,#REF!,1,FALSE())),"?TYPE_IDENTIFIABLE","?REFERENTIAL"),"_")))))</f>
        <v> </v>
      </c>
      <c r="H549" s="25" t="str">
        <f>IF(J549&lt;&gt;1,"",IF(I549="SBJ","CB","?"))</f>
        <v> </v>
      </c>
      <c r="I549" s="26" t="str">
        <f>IF(OR(E549="",E549="!!!",F549="NEW"),"",INDEX(B548:B$2,-1+SUMPRODUCT(MAX(ROW(E548:E$2)*(E549=E548:E$2)))))</f>
        <v> </v>
      </c>
      <c r="J549" s="26" t="str">
        <f>IF(OR(E549="",E549="!!!",F549="NEW"),"",COUNTBLANK(OFFSET(A$1,,,SUMPRODUCT(MAX(ROW(E$2:E549)*(E549=E$2:E549)))))-COUNTBLANK(OFFSET(A$1,,,SUMPRODUCT(MAX(ROW(E$1:E548)*(E2=E$1:E548))))))</f>
        <v> </v>
      </c>
      <c r="K549" s="26" t="str">
        <f>IF(OR(E549="",E549="!!!",F549="NEW"),"",INDEX(J$1:J548,SUMPRODUCT(MAX(ROW(E$1:E548)*(E549=E$1:E548)))))</f>
        <v> </v>
      </c>
      <c r="L549" s="27"/>
    </row>
    <row r="550" spans="1:12">
      <c r="A550" s="20" t="s">
        <v>1036</v>
      </c>
      <c r="E550" s="22">
        <f>IF(D550="?OLD","!!!","")</f>
        <v/>
      </c>
      <c r="F550" s="23" t="str">
        <f>IF(OR(E550="",E550="!!!"),"",IF(NOT(ISNA(VLOOKUP(E550,E$1:E549,1,FALSE()))),"OLD",IF(AND(E550&lt;&gt;"",E550&lt;&gt;"!!!"),"NEW","")))</f>
        <v> </v>
      </c>
      <c r="G550" s="24" t="str">
        <f>IF(OR(E550="",E550="!!!"),"",IF(OR(J550=0,AND(J550=1,K550=1),AND(J550=1,I550="SBJ"),AND(J550=1,I550=0)),"?IN_FOCUS",IF(J550&lt;=2,"?ACTIVATED",IF(J550&lt;&gt;"","?FAMILIAR",IF(F550="NEW",IF(ISNA(VLOOKUP(E550,#REF!,1,FALSE())),"?TYPE_IDENTIFIABLE","?REFERENTIAL"),"_")))))</f>
        <v> </v>
      </c>
      <c r="H550" s="25" t="str">
        <f>IF(J550&lt;&gt;1,"",IF(I550="SBJ","CB","?"))</f>
        <v> </v>
      </c>
      <c r="I550" s="26" t="str">
        <f>IF(OR(E550="",E550="!!!",F550="NEW"),"",INDEX(B549:B$2,-1+SUMPRODUCT(MAX(ROW(E549:E$2)*(E550=E549:E$2)))))</f>
        <v> </v>
      </c>
      <c r="J550" s="26" t="str">
        <f>IF(OR(E550="",E550="!!!",F550="NEW"),"",COUNTBLANK(OFFSET(A$1,,,SUMPRODUCT(MAX(ROW(E$2:E550)*(E550=E$2:E550)))))-COUNTBLANK(OFFSET(A$1,,,SUMPRODUCT(MAX(ROW(E$1:E549)*(E2=E$1:E549))))))</f>
        <v> </v>
      </c>
      <c r="K550" s="26" t="str">
        <f>IF(OR(E550="",E550="!!!",F550="NEW"),"",INDEX(J$1:J549,SUMPRODUCT(MAX(ROW(E$1:E549)*(E550=E$1:E549)))))</f>
        <v> </v>
      </c>
      <c r="L550" s="27"/>
    </row>
    <row r="551" spans="1:12">
      <c r="A551" s="20" t="s">
        <v>1037</v>
      </c>
      <c r="E551" s="22">
        <f>IF(D551="?OLD","!!!","")</f>
        <v/>
      </c>
      <c r="F551" s="23" t="str">
        <f>IF(OR(E551="",E551="!!!"),"",IF(NOT(ISNA(VLOOKUP(E551,E$1:E550,1,FALSE()))),"OLD",IF(AND(E551&lt;&gt;"",E551&lt;&gt;"!!!"),"NEW","")))</f>
        <v> </v>
      </c>
      <c r="G551" s="24" t="str">
        <f>IF(OR(E551="",E551="!!!"),"",IF(OR(J551=0,AND(J551=1,K551=1),AND(J551=1,I551="SBJ"),AND(J551=1,I551=0)),"?IN_FOCUS",IF(J551&lt;=2,"?ACTIVATED",IF(J551&lt;&gt;"","?FAMILIAR",IF(F551="NEW",IF(ISNA(VLOOKUP(E551,#REF!,1,FALSE())),"?TYPE_IDENTIFIABLE","?REFERENTIAL"),"_")))))</f>
        <v> </v>
      </c>
      <c r="H551" s="25" t="str">
        <f>IF(J551&lt;&gt;1,"",IF(I551="SBJ","CB","?"))</f>
        <v> </v>
      </c>
      <c r="I551" s="26" t="str">
        <f>IF(OR(E551="",E551="!!!",F551="NEW"),"",INDEX(B550:B$2,-1+SUMPRODUCT(MAX(ROW(E550:E$2)*(E551=E550:E$2)))))</f>
        <v> </v>
      </c>
      <c r="J551" s="26" t="str">
        <f>IF(OR(E551="",E551="!!!",F551="NEW"),"",COUNTBLANK(OFFSET(A$1,,,SUMPRODUCT(MAX(ROW(E$2:E551)*(E551=E$2:E551)))))-COUNTBLANK(OFFSET(A$1,,,SUMPRODUCT(MAX(ROW(E$1:E550)*(E2=E$1:E550))))))</f>
        <v> </v>
      </c>
      <c r="K551" s="26" t="str">
        <f>IF(OR(E551="",E551="!!!",F551="NEW"),"",INDEX(J$1:J550,SUMPRODUCT(MAX(ROW(E$1:E550)*(E551=E$1:E550)))))</f>
        <v> </v>
      </c>
      <c r="L551" s="27"/>
    </row>
    <row r="552" spans="1:12">
      <c r="A552" s="20" t="s">
        <v>1001</v>
      </c>
      <c r="E552" s="22">
        <f>IF(D552="?OLD","!!!","")</f>
        <v/>
      </c>
      <c r="F552" s="23" t="str">
        <f>IF(OR(E552="",E552="!!!"),"",IF(NOT(ISNA(VLOOKUP(E552,E$1:E551,1,FALSE()))),"OLD",IF(AND(E552&lt;&gt;"",E552&lt;&gt;"!!!"),"NEW","")))</f>
        <v> </v>
      </c>
      <c r="G552" s="24" t="str">
        <f>IF(OR(E552="",E552="!!!"),"",IF(OR(J552=0,AND(J552=1,K552=1),AND(J552=1,I552="SBJ"),AND(J552=1,I552=0)),"?IN_FOCUS",IF(J552&lt;=2,"?ACTIVATED",IF(J552&lt;&gt;"","?FAMILIAR",IF(F552="NEW",IF(ISNA(VLOOKUP(E552,#REF!,1,FALSE())),"?TYPE_IDENTIFIABLE","?REFERENTIAL"),"_")))))</f>
        <v> </v>
      </c>
      <c r="H552" s="25" t="str">
        <f>IF(J552&lt;&gt;1,"",IF(I552="SBJ","CB","?"))</f>
        <v> </v>
      </c>
      <c r="I552" s="26" t="str">
        <f>IF(OR(E552="",E552="!!!",F552="NEW"),"",INDEX(B551:B$2,-1+SUMPRODUCT(MAX(ROW(E551:E$2)*(E552=E551:E$2)))))</f>
        <v> </v>
      </c>
      <c r="J552" s="26" t="str">
        <f>IF(OR(E552="",E552="!!!",F552="NEW"),"",COUNTBLANK(OFFSET(A$1,,,SUMPRODUCT(MAX(ROW(E$2:E552)*(E552=E$2:E552)))))-COUNTBLANK(OFFSET(A$1,,,SUMPRODUCT(MAX(ROW(E$1:E551)*(E2=E$1:E551))))))</f>
        <v> </v>
      </c>
      <c r="K552" s="26" t="str">
        <f>IF(OR(E552="",E552="!!!",F552="NEW"),"",INDEX(J$1:J551,SUMPRODUCT(MAX(ROW(E$1:E551)*(E552=E$1:E551)))))</f>
        <v> </v>
      </c>
      <c r="L552" s="27"/>
    </row>
    <row r="553" spans="1:12">
      <c r="A553" s="20" t="s">
        <v>759</v>
      </c>
      <c r="E553" s="22">
        <f>IF(D553="?OLD","!!!","")</f>
        <v/>
      </c>
      <c r="F553" s="23" t="str">
        <f>IF(OR(E553="",E553="!!!"),"",IF(NOT(ISNA(VLOOKUP(E553,E$1:E552,1,FALSE()))),"OLD",IF(AND(E553&lt;&gt;"",E553&lt;&gt;"!!!"),"NEW","")))</f>
        <v> </v>
      </c>
      <c r="G553" s="24" t="str">
        <f>IF(OR(E553="",E553="!!!"),"",IF(OR(J553=0,AND(J553=1,K553=1),AND(J553=1,I553="SBJ"),AND(J553=1,I553=0)),"?IN_FOCUS",IF(J553&lt;=2,"?ACTIVATED",IF(J553&lt;&gt;"","?FAMILIAR",IF(F553="NEW",IF(ISNA(VLOOKUP(E553,#REF!,1,FALSE())),"?TYPE_IDENTIFIABLE","?REFERENTIAL"),"_")))))</f>
        <v> </v>
      </c>
      <c r="H553" s="25" t="str">
        <f>IF(J553&lt;&gt;1,"",IF(I553="SBJ","CB","?"))</f>
        <v> </v>
      </c>
      <c r="I553" s="26" t="str">
        <f>IF(OR(E553="",E553="!!!",F553="NEW"),"",INDEX(B552:B$2,-1+SUMPRODUCT(MAX(ROW(E552:E$2)*(E553=E552:E$2)))))</f>
        <v> </v>
      </c>
      <c r="J553" s="26" t="str">
        <f>IF(OR(E553="",E553="!!!",F553="NEW"),"",COUNTBLANK(OFFSET(A$1,,,SUMPRODUCT(MAX(ROW(E$2:E553)*(E553=E$2:E553)))))-COUNTBLANK(OFFSET(A$1,,,SUMPRODUCT(MAX(ROW(E$1:E552)*(E2=E$1:E552))))))</f>
        <v> </v>
      </c>
      <c r="K553" s="26" t="str">
        <f>IF(OR(E553="",E553="!!!",F553="NEW"),"",INDEX(J$1:J552,SUMPRODUCT(MAX(ROW(E$1:E552)*(E553=E$1:E552)))))</f>
        <v> </v>
      </c>
      <c r="L553" s="27"/>
    </row>
    <row r="554" spans="1:12">
      <c r="A554" s="20" t="s">
        <v>1038</v>
      </c>
      <c r="E554" s="22">
        <f>IF(D554="?OLD","!!!","")</f>
        <v/>
      </c>
      <c r="F554" s="23" t="str">
        <f>IF(OR(E554="",E554="!!!"),"",IF(NOT(ISNA(VLOOKUP(E554,E$1:E553,1,FALSE()))),"OLD",IF(AND(E554&lt;&gt;"",E554&lt;&gt;"!!!"),"NEW","")))</f>
        <v> </v>
      </c>
      <c r="G554" s="24" t="str">
        <f>IF(OR(E554="",E554="!!!"),"",IF(OR(J554=0,AND(J554=1,K554=1),AND(J554=1,I554="SBJ"),AND(J554=1,I554=0)),"?IN_FOCUS",IF(J554&lt;=2,"?ACTIVATED",IF(J554&lt;&gt;"","?FAMILIAR",IF(F554="NEW",IF(ISNA(VLOOKUP(E554,#REF!,1,FALSE())),"?TYPE_IDENTIFIABLE","?REFERENTIAL"),"_")))))</f>
        <v> </v>
      </c>
      <c r="H554" s="25" t="str">
        <f>IF(J554&lt;&gt;1,"",IF(I554="SBJ","CB","?"))</f>
        <v> </v>
      </c>
      <c r="I554" s="26" t="str">
        <f>IF(OR(E554="",E554="!!!",F554="NEW"),"",INDEX(B553:B$2,-1+SUMPRODUCT(MAX(ROW(E553:E$2)*(E554=E553:E$2)))))</f>
        <v> </v>
      </c>
      <c r="J554" s="26" t="str">
        <f>IF(OR(E554="",E554="!!!",F554="NEW"),"",COUNTBLANK(OFFSET(A$1,,,SUMPRODUCT(MAX(ROW(E$2:E554)*(E554=E$2:E554)))))-COUNTBLANK(OFFSET(A$1,,,SUMPRODUCT(MAX(ROW(E$1:E553)*(E2=E$1:E553))))))</f>
        <v> </v>
      </c>
      <c r="K554" s="26" t="str">
        <f>IF(OR(E554="",E554="!!!",F554="NEW"),"",INDEX(J$1:J553,SUMPRODUCT(MAX(ROW(E$1:E553)*(E554=E$1:E553)))))</f>
        <v> </v>
      </c>
      <c r="L554" s="27"/>
    </row>
    <row r="555" spans="1:12">
      <c r="A555" s="20" t="s">
        <v>742</v>
      </c>
      <c r="E555" s="22">
        <f>IF(D555="?OLD","!!!","")</f>
        <v/>
      </c>
      <c r="F555" s="23" t="str">
        <f>IF(OR(E555="",E555="!!!"),"",IF(NOT(ISNA(VLOOKUP(E555,E$1:E554,1,FALSE()))),"OLD",IF(AND(E555&lt;&gt;"",E555&lt;&gt;"!!!"),"NEW","")))</f>
        <v> </v>
      </c>
      <c r="G555" s="24" t="str">
        <f>IF(OR(E555="",E555="!!!"),"",IF(OR(J555=0,AND(J555=1,K555=1),AND(J555=1,I555="SBJ"),AND(J555=1,I555=0)),"?IN_FOCUS",IF(J555&lt;=2,"?ACTIVATED",IF(J555&lt;&gt;"","?FAMILIAR",IF(F555="NEW",IF(ISNA(VLOOKUP(E555,#REF!,1,FALSE())),"?TYPE_IDENTIFIABLE","?REFERENTIAL"),"_")))))</f>
        <v> </v>
      </c>
      <c r="H555" s="25" t="str">
        <f>IF(J555&lt;&gt;1,"",IF(I555="SBJ","CB","?"))</f>
        <v> </v>
      </c>
      <c r="I555" s="26" t="str">
        <f>IF(OR(E555="",E555="!!!",F555="NEW"),"",INDEX(B554:B$2,-1+SUMPRODUCT(MAX(ROW(E554:E$2)*(E555=E554:E$2)))))</f>
        <v> </v>
      </c>
      <c r="J555" s="26" t="str">
        <f>IF(OR(E555="",E555="!!!",F555="NEW"),"",COUNTBLANK(OFFSET(A$1,,,SUMPRODUCT(MAX(ROW(E$2:E555)*(E555=E$2:E555)))))-COUNTBLANK(OFFSET(A$1,,,SUMPRODUCT(MAX(ROW(E$1:E554)*(E2=E$1:E554))))))</f>
        <v> </v>
      </c>
      <c r="K555" s="26" t="str">
        <f>IF(OR(E555="",E555="!!!",F555="NEW"),"",INDEX(J$1:J554,SUMPRODUCT(MAX(ROW(E$1:E554)*(E555=E$1:E554)))))</f>
        <v> </v>
      </c>
      <c r="L555" s="27"/>
    </row>
    <row r="556" spans="1:12">
      <c r="A556" s="20" t="s">
        <v>757</v>
      </c>
      <c r="E556" s="22">
        <f>IF(D556="?OLD","!!!","")</f>
        <v/>
      </c>
      <c r="F556" s="23" t="str">
        <f>IF(OR(E556="",E556="!!!"),"",IF(NOT(ISNA(VLOOKUP(E556,E$1:E555,1,FALSE()))),"OLD",IF(AND(E556&lt;&gt;"",E556&lt;&gt;"!!!"),"NEW","")))</f>
        <v> </v>
      </c>
      <c r="G556" s="24" t="str">
        <f>IF(OR(E556="",E556="!!!"),"",IF(OR(J556=0,AND(J556=1,K556=1),AND(J556=1,I556="SBJ"),AND(J556=1,I556=0)),"?IN_FOCUS",IF(J556&lt;=2,"?ACTIVATED",IF(J556&lt;&gt;"","?FAMILIAR",IF(F556="NEW",IF(ISNA(VLOOKUP(E556,#REF!,1,FALSE())),"?TYPE_IDENTIFIABLE","?REFERENTIAL"),"_")))))</f>
        <v> </v>
      </c>
      <c r="H556" s="25" t="str">
        <f>IF(J556&lt;&gt;1,"",IF(I556="SBJ","CB","?"))</f>
        <v> </v>
      </c>
      <c r="I556" s="26" t="str">
        <f>IF(OR(E556="",E556="!!!",F556="NEW"),"",INDEX(B555:B$2,-1+SUMPRODUCT(MAX(ROW(E555:E$2)*(E556=E555:E$2)))))</f>
        <v> </v>
      </c>
      <c r="J556" s="26" t="str">
        <f>IF(OR(E556="",E556="!!!",F556="NEW"),"",COUNTBLANK(OFFSET(A$1,,,SUMPRODUCT(MAX(ROW(E$2:E556)*(E556=E$2:E556)))))-COUNTBLANK(OFFSET(A$1,,,SUMPRODUCT(MAX(ROW(E$1:E555)*(E2=E$1:E555))))))</f>
        <v> </v>
      </c>
      <c r="K556" s="26" t="str">
        <f>IF(OR(E556="",E556="!!!",F556="NEW"),"",INDEX(J$1:J555,SUMPRODUCT(MAX(ROW(E$1:E555)*(E556=E$1:E555)))))</f>
        <v> </v>
      </c>
      <c r="L556" s="27"/>
    </row>
    <row r="557" spans="1:12">
      <c r="A557" s="20" t="s">
        <v>1039</v>
      </c>
      <c r="E557" s="22">
        <f>IF(D557="?OLD","!!!","")</f>
        <v/>
      </c>
      <c r="F557" s="23" t="str">
        <f>IF(OR(E557="",E557="!!!"),"",IF(NOT(ISNA(VLOOKUP(E557,E$1:E556,1,FALSE()))),"OLD",IF(AND(E557&lt;&gt;"",E557&lt;&gt;"!!!"),"NEW","")))</f>
        <v> </v>
      </c>
      <c r="G557" s="24" t="str">
        <f>IF(OR(E557="",E557="!!!"),"",IF(OR(J557=0,AND(J557=1,K557=1),AND(J557=1,I557="SBJ"),AND(J557=1,I557=0)),"?IN_FOCUS",IF(J557&lt;=2,"?ACTIVATED",IF(J557&lt;&gt;"","?FAMILIAR",IF(F557="NEW",IF(ISNA(VLOOKUP(E557,#REF!,1,FALSE())),"?TYPE_IDENTIFIABLE","?REFERENTIAL"),"_")))))</f>
        <v> </v>
      </c>
      <c r="H557" s="25" t="str">
        <f>IF(J557&lt;&gt;1,"",IF(I557="SBJ","CB","?"))</f>
        <v> </v>
      </c>
      <c r="I557" s="26" t="str">
        <f>IF(OR(E557="",E557="!!!",F557="NEW"),"",INDEX(B556:B$2,-1+SUMPRODUCT(MAX(ROW(E556:E$2)*(E557=E556:E$2)))))</f>
        <v> </v>
      </c>
      <c r="J557" s="26" t="str">
        <f>IF(OR(E557="",E557="!!!",F557="NEW"),"",COUNTBLANK(OFFSET(A$1,,,SUMPRODUCT(MAX(ROW(E$2:E557)*(E557=E$2:E557)))))-COUNTBLANK(OFFSET(A$1,,,SUMPRODUCT(MAX(ROW(E$1:E556)*(E2=E$1:E556))))))</f>
        <v> </v>
      </c>
      <c r="K557" s="26" t="str">
        <f>IF(OR(E557="",E557="!!!",F557="NEW"),"",INDEX(J$1:J556,SUMPRODUCT(MAX(ROW(E$1:E556)*(E557=E$1:E556)))))</f>
        <v> </v>
      </c>
      <c r="L557" s="27"/>
    </row>
    <row r="558" spans="1:12">
      <c r="A558" s="20" t="s">
        <v>1040</v>
      </c>
      <c r="B558" s="21" t="s">
        <v>736</v>
      </c>
      <c r="C558" s="21" t="s">
        <v>1041</v>
      </c>
      <c r="D558" s="21" t="s">
        <v>730</v>
      </c>
      <c r="E558" s="22">
        <f>IF(D558="?OLD","!!!","")</f>
        <v/>
      </c>
      <c r="F558" s="23" t="str">
        <f>IF(OR(E558="",E558="!!!"),"",IF(NOT(ISNA(VLOOKUP(E558,E$1:E557,1,FALSE()))),"OLD",IF(AND(E558&lt;&gt;"",E558&lt;&gt;"!!!"),"NEW","")))</f>
        <v> </v>
      </c>
      <c r="G558" s="24" t="str">
        <f>IF(OR(E558="",E558="!!!"),"",IF(OR(J558=0,AND(J558=1,K558=1),AND(J558=1,I558="SBJ"),AND(J558=1,I558=0)),"?IN_FOCUS",IF(J558&lt;=2,"?ACTIVATED",IF(J558&lt;&gt;"","?FAMILIAR",IF(F558="NEW",IF(ISNA(VLOOKUP(E558,#REF!,1,FALSE())),"?TYPE_IDENTIFIABLE","?REFERENTIAL"),"_")))))</f>
        <v> </v>
      </c>
      <c r="H558" s="25" t="str">
        <f>IF(J558&lt;&gt;1,"",IF(I558="SBJ","CB","?"))</f>
        <v> </v>
      </c>
      <c r="I558" s="26" t="str">
        <f>IF(OR(E558="",E558="!!!",F558="NEW"),"",INDEX(B557:B$2,-1+SUMPRODUCT(MAX(ROW(E557:E$2)*(E558=E557:E$2)))))</f>
        <v> </v>
      </c>
      <c r="J558" s="26" t="str">
        <f>IF(OR(E558="",E558="!!!",F558="NEW"),"",COUNTBLANK(OFFSET(A$1,,,SUMPRODUCT(MAX(ROW(E$2:E558)*(E558=E$2:E558)))))-COUNTBLANK(OFFSET(A$1,,,SUMPRODUCT(MAX(ROW(E$1:E557)*(E2=E$1:E557))))))</f>
        <v> </v>
      </c>
      <c r="K558" s="26" t="str">
        <f>IF(OR(E558="",E558="!!!",F558="NEW"),"",INDEX(J$1:J557,SUMPRODUCT(MAX(ROW(E$1:E557)*(E558=E$1:E557)))))</f>
        <v> </v>
      </c>
      <c r="L558" s="27"/>
    </row>
    <row r="559" spans="1:12">
      <c r="A559" s="20" t="s">
        <v>757</v>
      </c>
      <c r="E559" s="22">
        <f>IF(D559="?OLD","!!!","")</f>
        <v/>
      </c>
      <c r="F559" s="23" t="str">
        <f>IF(OR(E559="",E559="!!!"),"",IF(NOT(ISNA(VLOOKUP(E559,E$1:E558,1,FALSE()))),"OLD",IF(AND(E559&lt;&gt;"",E559&lt;&gt;"!!!"),"NEW","")))</f>
        <v> </v>
      </c>
      <c r="G559" s="24" t="str">
        <f>IF(OR(E559="",E559="!!!"),"",IF(OR(J559=0,AND(J559=1,K559=1),AND(J559=1,I559="SBJ"),AND(J559=1,I559=0)),"?IN_FOCUS",IF(J559&lt;=2,"?ACTIVATED",IF(J559&lt;&gt;"","?FAMILIAR",IF(F559="NEW",IF(ISNA(VLOOKUP(E559,#REF!,1,FALSE())),"?TYPE_IDENTIFIABLE","?REFERENTIAL"),"_")))))</f>
        <v> </v>
      </c>
      <c r="H559" s="25" t="str">
        <f>IF(J559&lt;&gt;1,"",IF(I559="SBJ","CB","?"))</f>
        <v> </v>
      </c>
      <c r="I559" s="26" t="str">
        <f>IF(OR(E559="",E559="!!!",F559="NEW"),"",INDEX(B558:B$2,-1+SUMPRODUCT(MAX(ROW(E558:E$2)*(E559=E558:E$2)))))</f>
        <v> </v>
      </c>
      <c r="J559" s="26" t="str">
        <f>IF(OR(E559="",E559="!!!",F559="NEW"),"",COUNTBLANK(OFFSET(A$1,,,SUMPRODUCT(MAX(ROW(E$2:E559)*(E559=E$2:E559)))))-COUNTBLANK(OFFSET(A$1,,,SUMPRODUCT(MAX(ROW(E$1:E558)*(E2=E$1:E558))))))</f>
        <v> </v>
      </c>
      <c r="K559" s="26" t="str">
        <f>IF(OR(E559="",E559="!!!",F559="NEW"),"",INDEX(J$1:J558,SUMPRODUCT(MAX(ROW(E$1:E558)*(E559=E$1:E558)))))</f>
        <v> </v>
      </c>
      <c r="L559" s="27"/>
    </row>
    <row r="560" spans="1:12">
      <c r="A560" s="20" t="s">
        <v>1042</v>
      </c>
      <c r="B560" s="21" t="s">
        <v>739</v>
      </c>
      <c r="C560" s="21" t="s">
        <v>753</v>
      </c>
      <c r="D560" s="21" t="s">
        <v>730</v>
      </c>
      <c r="E560" s="22">
        <f>IF(D560="?OLD","!!!","")</f>
        <v/>
      </c>
      <c r="F560" s="23" t="str">
        <f>IF(OR(E560="",E560="!!!"),"",IF(NOT(ISNA(VLOOKUP(E560,E$1:E559,1,FALSE()))),"OLD",IF(AND(E560&lt;&gt;"",E560&lt;&gt;"!!!"),"NEW","")))</f>
        <v> </v>
      </c>
      <c r="G560" s="24" t="str">
        <f>IF(OR(E560="",E560="!!!"),"",IF(OR(J560=0,AND(J560=1,K560=1),AND(J560=1,I560="SBJ"),AND(J560=1,I560=0)),"?IN_FOCUS",IF(J560&lt;=2,"?ACTIVATED",IF(J560&lt;&gt;"","?FAMILIAR",IF(F560="NEW",IF(ISNA(VLOOKUP(E560,#REF!,1,FALSE())),"?TYPE_IDENTIFIABLE","?REFERENTIAL"),"_")))))</f>
        <v> </v>
      </c>
      <c r="H560" s="25" t="str">
        <f>IF(J560&lt;&gt;1,"",IF(I560="SBJ","CB","?"))</f>
        <v> </v>
      </c>
      <c r="I560" s="26" t="str">
        <f>IF(OR(E560="",E560="!!!",F560="NEW"),"",INDEX(B559:B$2,-1+SUMPRODUCT(MAX(ROW(E559:E$2)*(E560=E559:E$2)))))</f>
        <v> </v>
      </c>
      <c r="J560" s="26" t="str">
        <f>IF(OR(E560="",E560="!!!",F560="NEW"),"",COUNTBLANK(OFFSET(A$1,,,SUMPRODUCT(MAX(ROW(E$2:E560)*(E560=E$2:E560)))))-COUNTBLANK(OFFSET(A$1,,,SUMPRODUCT(MAX(ROW(E$1:E559)*(E2=E$1:E559))))))</f>
        <v> </v>
      </c>
      <c r="K560" s="26" t="str">
        <f>IF(OR(E560="",E560="!!!",F560="NEW"),"",INDEX(J$1:J559,SUMPRODUCT(MAX(ROW(E$1:E559)*(E560=E$1:E559)))))</f>
        <v> </v>
      </c>
      <c r="L560" s="27"/>
    </row>
    <row r="561" spans="1:12">
      <c r="A561" s="20" t="s">
        <v>759</v>
      </c>
      <c r="E561" s="22">
        <f>IF(D561="?OLD","!!!","")</f>
        <v/>
      </c>
      <c r="F561" s="23" t="str">
        <f>IF(OR(E561="",E561="!!!"),"",IF(NOT(ISNA(VLOOKUP(E561,E$1:E560,1,FALSE()))),"OLD",IF(AND(E561&lt;&gt;"",E561&lt;&gt;"!!!"),"NEW","")))</f>
        <v> </v>
      </c>
      <c r="G561" s="24" t="str">
        <f>IF(OR(E561="",E561="!!!"),"",IF(OR(J561=0,AND(J561=1,K561=1),AND(J561=1,I561="SBJ"),AND(J561=1,I561=0)),"?IN_FOCUS",IF(J561&lt;=2,"?ACTIVATED",IF(J561&lt;&gt;"","?FAMILIAR",IF(F561="NEW",IF(ISNA(VLOOKUP(E561,#REF!,1,FALSE())),"?TYPE_IDENTIFIABLE","?REFERENTIAL"),"_")))))</f>
        <v> </v>
      </c>
      <c r="H561" s="25" t="str">
        <f>IF(J561&lt;&gt;1,"",IF(I561="SBJ","CB","?"))</f>
        <v> </v>
      </c>
      <c r="I561" s="26" t="str">
        <f>IF(OR(E561="",E561="!!!",F561="NEW"),"",INDEX(B560:B$2,-1+SUMPRODUCT(MAX(ROW(E560:E$2)*(E561=E560:E$2)))))</f>
        <v> </v>
      </c>
      <c r="J561" s="26" t="str">
        <f>IF(OR(E561="",E561="!!!",F561="NEW"),"",COUNTBLANK(OFFSET(A$1,,,SUMPRODUCT(MAX(ROW(E$2:E561)*(E561=E$2:E561)))))-COUNTBLANK(OFFSET(A$1,,,SUMPRODUCT(MAX(ROW(E$1:E560)*(E2=E$1:E560))))))</f>
        <v> </v>
      </c>
      <c r="K561" s="26" t="str">
        <f>IF(OR(E561="",E561="!!!",F561="NEW"),"",INDEX(J$1:J560,SUMPRODUCT(MAX(ROW(E$1:E560)*(E561=E$1:E560)))))</f>
        <v> </v>
      </c>
      <c r="L561" s="27"/>
    </row>
    <row r="562" spans="1:12">
      <c r="A562" s="20" t="s">
        <v>1043</v>
      </c>
      <c r="E562" s="22">
        <f>IF(D562="?OLD","!!!","")</f>
        <v/>
      </c>
      <c r="F562" s="23" t="str">
        <f>IF(OR(E562="",E562="!!!"),"",IF(NOT(ISNA(VLOOKUP(E562,E$1:E561,1,FALSE()))),"OLD",IF(AND(E562&lt;&gt;"",E562&lt;&gt;"!!!"),"NEW","")))</f>
        <v> </v>
      </c>
      <c r="G562" s="24" t="str">
        <f>IF(OR(E562="",E562="!!!"),"",IF(OR(J562=0,AND(J562=1,K562=1),AND(J562=1,I562="SBJ"),AND(J562=1,I562=0)),"?IN_FOCUS",IF(J562&lt;=2,"?ACTIVATED",IF(J562&lt;&gt;"","?FAMILIAR",IF(F562="NEW",IF(ISNA(VLOOKUP(E562,#REF!,1,FALSE())),"?TYPE_IDENTIFIABLE","?REFERENTIAL"),"_")))))</f>
        <v> </v>
      </c>
      <c r="H562" s="25" t="str">
        <f>IF(J562&lt;&gt;1,"",IF(I562="SBJ","CB","?"))</f>
        <v> </v>
      </c>
      <c r="I562" s="26" t="str">
        <f>IF(OR(E562="",E562="!!!",F562="NEW"),"",INDEX(B561:B$2,-1+SUMPRODUCT(MAX(ROW(E561:E$2)*(E562=E561:E$2)))))</f>
        <v> </v>
      </c>
      <c r="J562" s="26" t="str">
        <f>IF(OR(E562="",E562="!!!",F562="NEW"),"",COUNTBLANK(OFFSET(A$1,,,SUMPRODUCT(MAX(ROW(E$2:E562)*(E562=E$2:E562)))))-COUNTBLANK(OFFSET(A$1,,,SUMPRODUCT(MAX(ROW(E$1:E561)*(E2=E$1:E561))))))</f>
        <v> </v>
      </c>
      <c r="K562" s="26" t="str">
        <f>IF(OR(E562="",E562="!!!",F562="NEW"),"",INDEX(J$1:J561,SUMPRODUCT(MAX(ROW(E$1:E561)*(E562=E$1:E561)))))</f>
        <v> </v>
      </c>
      <c r="L562" s="27"/>
    </row>
    <row r="563" spans="1:12">
      <c r="A563" s="20" t="s">
        <v>859</v>
      </c>
      <c r="B563" s="21" t="s">
        <v>777</v>
      </c>
      <c r="C563" s="21" t="s">
        <v>789</v>
      </c>
      <c r="D563" s="21" t="s">
        <v>730</v>
      </c>
      <c r="E563" s="22">
        <f>IF(D563="?OLD","!!!","")</f>
        <v/>
      </c>
      <c r="F563" s="23" t="str">
        <f>IF(OR(E563="",E563="!!!"),"",IF(NOT(ISNA(VLOOKUP(E563,E$1:E562,1,FALSE()))),"OLD",IF(AND(E563&lt;&gt;"",E563&lt;&gt;"!!!"),"NEW","")))</f>
        <v> </v>
      </c>
      <c r="G563" s="24" t="str">
        <f>IF(OR(E563="",E563="!!!"),"",IF(OR(J563=0,AND(J563=1,K563=1),AND(J563=1,I563="SBJ"),AND(J563=1,I563=0)),"?IN_FOCUS",IF(J563&lt;=2,"?ACTIVATED",IF(J563&lt;&gt;"","?FAMILIAR",IF(F563="NEW",IF(ISNA(VLOOKUP(E563,#REF!,1,FALSE())),"?TYPE_IDENTIFIABLE","?REFERENTIAL"),"_")))))</f>
        <v> </v>
      </c>
      <c r="H563" s="25" t="str">
        <f>IF(J563&lt;&gt;1,"",IF(I563="SBJ","CB","?"))</f>
        <v> </v>
      </c>
      <c r="I563" s="26" t="str">
        <f>IF(OR(E563="",E563="!!!",F563="NEW"),"",INDEX(B562:B$2,-1+SUMPRODUCT(MAX(ROW(E562:E$2)*(E563=E562:E$2)))))</f>
        <v> </v>
      </c>
      <c r="J563" s="26" t="str">
        <f>IF(OR(E563="",E563="!!!",F563="NEW"),"",COUNTBLANK(OFFSET(A$1,,,SUMPRODUCT(MAX(ROW(E$2:E563)*(E563=E$2:E563)))))-COUNTBLANK(OFFSET(A$1,,,SUMPRODUCT(MAX(ROW(E$1:E562)*(E2=E$1:E562))))))</f>
        <v> </v>
      </c>
      <c r="K563" s="26" t="str">
        <f>IF(OR(E563="",E563="!!!",F563="NEW"),"",INDEX(J$1:J562,SUMPRODUCT(MAX(ROW(E$1:E562)*(E563=E$1:E562)))))</f>
        <v> </v>
      </c>
      <c r="L563" s="27"/>
    </row>
    <row r="564" spans="1:12">
      <c r="A564" s="20" t="s">
        <v>1044</v>
      </c>
      <c r="E564" s="22">
        <f>IF(D564="?OLD","!!!","")</f>
        <v/>
      </c>
      <c r="F564" s="23" t="str">
        <f>IF(OR(E564="",E564="!!!"),"",IF(NOT(ISNA(VLOOKUP(E564,E$1:E563,1,FALSE()))),"OLD",IF(AND(E564&lt;&gt;"",E564&lt;&gt;"!!!"),"NEW","")))</f>
        <v> </v>
      </c>
      <c r="G564" s="24" t="str">
        <f>IF(OR(E564="",E564="!!!"),"",IF(OR(J564=0,AND(J564=1,K564=1),AND(J564=1,I564="SBJ"),AND(J564=1,I564=0)),"?IN_FOCUS",IF(J564&lt;=2,"?ACTIVATED",IF(J564&lt;&gt;"","?FAMILIAR",IF(F564="NEW",IF(ISNA(VLOOKUP(E564,#REF!,1,FALSE())),"?TYPE_IDENTIFIABLE","?REFERENTIAL"),"_")))))</f>
        <v> </v>
      </c>
      <c r="H564" s="25" t="str">
        <f>IF(J564&lt;&gt;1,"",IF(I564="SBJ","CB","?"))</f>
        <v> </v>
      </c>
      <c r="I564" s="26" t="str">
        <f>IF(OR(E564="",E564="!!!",F564="NEW"),"",INDEX(B563:B$2,-1+SUMPRODUCT(MAX(ROW(E563:E$2)*(E564=E563:E$2)))))</f>
        <v> </v>
      </c>
      <c r="J564" s="26" t="str">
        <f>IF(OR(E564="",E564="!!!",F564="NEW"),"",COUNTBLANK(OFFSET(A$1,,,SUMPRODUCT(MAX(ROW(E$2:E564)*(E564=E$2:E564)))))-COUNTBLANK(OFFSET(A$1,,,SUMPRODUCT(MAX(ROW(E$1:E563)*(E2=E$1:E563))))))</f>
        <v> </v>
      </c>
      <c r="K564" s="26" t="str">
        <f>IF(OR(E564="",E564="!!!",F564="NEW"),"",INDEX(J$1:J563,SUMPRODUCT(MAX(ROW(E$1:E563)*(E564=E$1:E563)))))</f>
        <v> </v>
      </c>
      <c r="L564" s="27"/>
    </row>
    <row r="565" spans="1:12">
      <c r="A565" s="20" t="s">
        <v>246</v>
      </c>
      <c r="E565" s="22">
        <f>IF(D565="?OLD","!!!","")</f>
        <v/>
      </c>
      <c r="F565" s="23" t="str">
        <f>IF(OR(E565="",E565="!!!"),"",IF(NOT(ISNA(VLOOKUP(E565,E$1:E564,1,FALSE()))),"OLD",IF(AND(E565&lt;&gt;"",E565&lt;&gt;"!!!"),"NEW","")))</f>
        <v> </v>
      </c>
      <c r="G565" s="24" t="str">
        <f>IF(OR(E565="",E565="!!!"),"",IF(OR(J565=0,AND(J565=1,K565=1),AND(J565=1,I565="SBJ"),AND(J565=1,I565=0)),"?IN_FOCUS",IF(J565&lt;=2,"?ACTIVATED",IF(J565&lt;&gt;"","?FAMILIAR",IF(F565="NEW",IF(ISNA(VLOOKUP(E565,#REF!,1,FALSE())),"?TYPE_IDENTIFIABLE","?REFERENTIAL"),"_")))))</f>
        <v> </v>
      </c>
      <c r="H565" s="25" t="str">
        <f>IF(J565&lt;&gt;1,"",IF(I565="SBJ","CB","?"))</f>
        <v> </v>
      </c>
      <c r="I565" s="26" t="str">
        <f>IF(OR(E565="",E565="!!!",F565="NEW"),"",INDEX(B564:B$2,-1+SUMPRODUCT(MAX(ROW(E564:E$2)*(E565=E564:E$2)))))</f>
        <v> </v>
      </c>
      <c r="J565" s="26" t="str">
        <f>IF(OR(E565="",E565="!!!",F565="NEW"),"",COUNTBLANK(OFFSET(A$1,,,SUMPRODUCT(MAX(ROW(E$2:E565)*(E565=E$2:E565)))))-COUNTBLANK(OFFSET(A$1,,,SUMPRODUCT(MAX(ROW(E$1:E564)*(E2=E$1:E564))))))</f>
        <v> </v>
      </c>
      <c r="K565" s="26" t="str">
        <f>IF(OR(E565="",E565="!!!",F565="NEW"),"",INDEX(J$1:J564,SUMPRODUCT(MAX(ROW(E$1:E564)*(E565=E$1:E564)))))</f>
        <v> </v>
      </c>
      <c r="L565" s="27"/>
    </row>
    <row r="566" spans="1:12">
      <c r="A566" s="20"/>
    </row>
    <row r="567" spans="1:12">
      <c r="A567" s="20" t="s">
        <v>1045</v>
      </c>
    </row>
    <row r="568" spans="1:12">
      <c r="A568" s="20" t="s">
        <v>727</v>
      </c>
      <c r="B568" s="21" t="s">
        <v>728</v>
      </c>
      <c r="C568" s="21" t="s">
        <v>729</v>
      </c>
      <c r="D568" s="21" t="s">
        <v>730</v>
      </c>
      <c r="E568" s="22">
        <f>IF(D568="?OLD","!!!","")</f>
        <v/>
      </c>
      <c r="F568" s="23" t="str">
        <f>IF(OR(E568="",E568="!!!"),"",IF(NOT(ISNA(VLOOKUP(E568,E$1:E567,1,FALSE()))),"OLD",IF(AND(E568&lt;&gt;"",E568&lt;&gt;"!!!"),"NEW","")))</f>
        <v> </v>
      </c>
      <c r="G568" s="24" t="str">
        <f>IF(OR(E568="",E568="!!!"),"",IF(OR(J568=0,AND(J568=1,K568=1),AND(J568=1,I568="SBJ"),AND(J568=1,I568=0)),"?IN_FOCUS",IF(J568&lt;=2,"?ACTIVATED",IF(J568&lt;&gt;"","?FAMILIAR",IF(F568="NEW",IF(ISNA(VLOOKUP(E568,#REF!,1,FALSE())),"?TYPE_IDENTIFIABLE","?REFERENTIAL"),"_")))))</f>
        <v> </v>
      </c>
      <c r="H568" s="25" t="str">
        <f>IF(J568&lt;&gt;1,"",IF(I568="SBJ","CB","?"))</f>
        <v> </v>
      </c>
      <c r="I568" s="26" t="str">
        <f>IF(OR(E568="",E568="!!!",F568="NEW"),"",INDEX(B567:B$2,-1+SUMPRODUCT(MAX(ROW(E567:E$2)*(E568=E567:E$2)))))</f>
        <v> </v>
      </c>
      <c r="J568" s="26" t="str">
        <f>IF(OR(E568="",E568="!!!",F568="NEW"),"",COUNTBLANK(OFFSET(A$1,,,SUMPRODUCT(MAX(ROW(E$2:E568)*(E568=E$2:E568)))))-COUNTBLANK(OFFSET(A$1,,,SUMPRODUCT(MAX(ROW(E$1:E567)*(E2=E$1:E567))))))</f>
        <v> </v>
      </c>
      <c r="K568" s="26" t="str">
        <f>IF(OR(E568="",E568="!!!",F568="NEW"),"",INDEX(J$1:J567,SUMPRODUCT(MAX(ROW(E$1:E567)*(E568=E$1:E567)))))</f>
        <v> </v>
      </c>
      <c r="L568" s="27"/>
    </row>
    <row r="569" spans="1:12">
      <c r="A569" s="20" t="s">
        <v>1046</v>
      </c>
      <c r="E569" s="22">
        <f>IF(D569="?OLD","!!!","")</f>
        <v/>
      </c>
      <c r="F569" s="23" t="str">
        <f>IF(OR(E569="",E569="!!!"),"",IF(NOT(ISNA(VLOOKUP(E569,E$1:E568,1,FALSE()))),"OLD",IF(AND(E569&lt;&gt;"",E569&lt;&gt;"!!!"),"NEW","")))</f>
        <v> </v>
      </c>
      <c r="G569" s="24" t="str">
        <f>IF(OR(E569="",E569="!!!"),"",IF(OR(J569=0,AND(J569=1,K569=1),AND(J569=1,I569="SBJ"),AND(J569=1,I569=0)),"?IN_FOCUS",IF(J569&lt;=2,"?ACTIVATED",IF(J569&lt;&gt;"","?FAMILIAR",IF(F569="NEW",IF(ISNA(VLOOKUP(E569,#REF!,1,FALSE())),"?TYPE_IDENTIFIABLE","?REFERENTIAL"),"_")))))</f>
        <v> </v>
      </c>
      <c r="H569" s="25" t="str">
        <f>IF(J569&lt;&gt;1,"",IF(I569="SBJ","CB","?"))</f>
        <v> </v>
      </c>
      <c r="I569" s="26" t="str">
        <f>IF(OR(E569="",E569="!!!",F569="NEW"),"",INDEX(B568:B$2,-1+SUMPRODUCT(MAX(ROW(E568:E$2)*(E569=E568:E$2)))))</f>
        <v> </v>
      </c>
      <c r="J569" s="26" t="str">
        <f>IF(OR(E569="",E569="!!!",F569="NEW"),"",COUNTBLANK(OFFSET(A$1,,,SUMPRODUCT(MAX(ROW(E$2:E569)*(E569=E$2:E569)))))-COUNTBLANK(OFFSET(A$1,,,SUMPRODUCT(MAX(ROW(E$1:E568)*(E2=E$1:E568))))))</f>
        <v> </v>
      </c>
      <c r="K569" s="26" t="str">
        <f>IF(OR(E569="",E569="!!!",F569="NEW"),"",INDEX(J$1:J568,SUMPRODUCT(MAX(ROW(E$1:E568)*(E569=E$1:E568)))))</f>
        <v> </v>
      </c>
      <c r="L569" s="27"/>
    </row>
    <row r="570" spans="1:12">
      <c r="A570" s="20" t="s">
        <v>1027</v>
      </c>
      <c r="B570" s="21" t="s">
        <v>739</v>
      </c>
      <c r="C570" s="21" t="s">
        <v>746</v>
      </c>
      <c r="D570" s="21" t="s">
        <v>730</v>
      </c>
      <c r="E570" s="22">
        <f>IF(D570="?OLD","!!!","")</f>
        <v/>
      </c>
      <c r="F570" s="23" t="str">
        <f>IF(OR(E570="",E570="!!!"),"",IF(NOT(ISNA(VLOOKUP(E570,E$1:E569,1,FALSE()))),"OLD",IF(AND(E570&lt;&gt;"",E570&lt;&gt;"!!!"),"NEW","")))</f>
        <v> </v>
      </c>
      <c r="G570" s="24" t="str">
        <f>IF(OR(E570="",E570="!!!"),"",IF(OR(J570=0,AND(J570=1,K570=1),AND(J570=1,I570="SBJ"),AND(J570=1,I570=0)),"?IN_FOCUS",IF(J570&lt;=2,"?ACTIVATED",IF(J570&lt;&gt;"","?FAMILIAR",IF(F570="NEW",IF(ISNA(VLOOKUP(E570,#REF!,1,FALSE())),"?TYPE_IDENTIFIABLE","?REFERENTIAL"),"_")))))</f>
        <v> </v>
      </c>
      <c r="H570" s="25" t="str">
        <f>IF(J570&lt;&gt;1,"",IF(I570="SBJ","CB","?"))</f>
        <v> </v>
      </c>
      <c r="I570" s="26" t="str">
        <f>IF(OR(E570="",E570="!!!",F570="NEW"),"",INDEX(B569:B$2,-1+SUMPRODUCT(MAX(ROW(E569:E$2)*(E570=E569:E$2)))))</f>
        <v> </v>
      </c>
      <c r="J570" s="26" t="str">
        <f>IF(OR(E570="",E570="!!!",F570="NEW"),"",COUNTBLANK(OFFSET(A$1,,,SUMPRODUCT(MAX(ROW(E$2:E570)*(E570=E$2:E570)))))-COUNTBLANK(OFFSET(A$1,,,SUMPRODUCT(MAX(ROW(E$1:E569)*(E2=E$1:E569))))))</f>
        <v> </v>
      </c>
      <c r="K570" s="26" t="str">
        <f>IF(OR(E570="",E570="!!!",F570="NEW"),"",INDEX(J$1:J569,SUMPRODUCT(MAX(ROW(E$1:E569)*(E570=E$1:E569)))))</f>
        <v> </v>
      </c>
      <c r="L570" s="27"/>
    </row>
    <row r="571" spans="1:12">
      <c r="A571" s="20" t="s">
        <v>1047</v>
      </c>
      <c r="B571" s="21" t="s">
        <v>764</v>
      </c>
      <c r="C571" s="21" t="s">
        <v>748</v>
      </c>
      <c r="E571" s="22">
        <f>IF(D571="?OLD","!!!","")</f>
        <v/>
      </c>
      <c r="F571" s="23" t="str">
        <f>IF(OR(E571="",E571="!!!"),"",IF(NOT(ISNA(VLOOKUP(E571,E$1:E570,1,FALSE()))),"OLD",IF(AND(E571&lt;&gt;"",E571&lt;&gt;"!!!"),"NEW","")))</f>
        <v> </v>
      </c>
      <c r="G571" s="24" t="str">
        <f>IF(OR(E571="",E571="!!!"),"",IF(OR(J571=0,AND(J571=1,K571=1),AND(J571=1,I571="SBJ"),AND(J571=1,I571=0)),"?IN_FOCUS",IF(J571&lt;=2,"?ACTIVATED",IF(J571&lt;&gt;"","?FAMILIAR",IF(F571="NEW",IF(ISNA(VLOOKUP(E571,#REF!,1,FALSE())),"?TYPE_IDENTIFIABLE","?REFERENTIAL"),"_")))))</f>
        <v> </v>
      </c>
      <c r="H571" s="25" t="str">
        <f>IF(J571&lt;&gt;1,"",IF(I571="SBJ","CB","?"))</f>
        <v> </v>
      </c>
      <c r="I571" s="26" t="str">
        <f>IF(OR(E571="",E571="!!!",F571="NEW"),"",INDEX(B570:B$2,-1+SUMPRODUCT(MAX(ROW(E570:E$2)*(E571=E570:E$2)))))</f>
        <v> </v>
      </c>
      <c r="J571" s="26" t="str">
        <f>IF(OR(E571="",E571="!!!",F571="NEW"),"",COUNTBLANK(OFFSET(A$1,,,SUMPRODUCT(MAX(ROW(E$2:E571)*(E571=E$2:E571)))))-COUNTBLANK(OFFSET(A$1,,,SUMPRODUCT(MAX(ROW(E$1:E570)*(E2=E$1:E570))))))</f>
        <v> </v>
      </c>
      <c r="K571" s="26" t="str">
        <f>IF(OR(E571="",E571="!!!",F571="NEW"),"",INDEX(J$1:J570,SUMPRODUCT(MAX(ROW(E$1:E570)*(E571=E$1:E570)))))</f>
        <v> </v>
      </c>
      <c r="L571" s="27"/>
    </row>
    <row r="572" spans="1:12">
      <c r="A572" s="20" t="s">
        <v>773</v>
      </c>
      <c r="E572" s="22">
        <f>IF(D572="?OLD","!!!","")</f>
        <v/>
      </c>
      <c r="F572" s="23" t="str">
        <f>IF(OR(E572="",E572="!!!"),"",IF(NOT(ISNA(VLOOKUP(E572,E$1:E571,1,FALSE()))),"OLD",IF(AND(E572&lt;&gt;"",E572&lt;&gt;"!!!"),"NEW","")))</f>
        <v> </v>
      </c>
      <c r="G572" s="24" t="str">
        <f>IF(OR(E572="",E572="!!!"),"",IF(OR(J572=0,AND(J572=1,K572=1),AND(J572=1,I572="SBJ"),AND(J572=1,I572=0)),"?IN_FOCUS",IF(J572&lt;=2,"?ACTIVATED",IF(J572&lt;&gt;"","?FAMILIAR",IF(F572="NEW",IF(ISNA(VLOOKUP(E572,#REF!,1,FALSE())),"?TYPE_IDENTIFIABLE","?REFERENTIAL"),"_")))))</f>
        <v> </v>
      </c>
      <c r="H572" s="25" t="str">
        <f>IF(J572&lt;&gt;1,"",IF(I572="SBJ","CB","?"))</f>
        <v> </v>
      </c>
      <c r="I572" s="26" t="str">
        <f>IF(OR(E572="",E572="!!!",F572="NEW"),"",INDEX(B571:B$2,-1+SUMPRODUCT(MAX(ROW(E571:E$2)*(E572=E571:E$2)))))</f>
        <v> </v>
      </c>
      <c r="J572" s="26" t="str">
        <f>IF(OR(E572="",E572="!!!",F572="NEW"),"",COUNTBLANK(OFFSET(A$1,,,SUMPRODUCT(MAX(ROW(E$2:E572)*(E572=E$2:E572)))))-COUNTBLANK(OFFSET(A$1,,,SUMPRODUCT(MAX(ROW(E$1:E571)*(E2=E$1:E571))))))</f>
        <v> </v>
      </c>
      <c r="K572" s="26" t="str">
        <f>IF(OR(E572="",E572="!!!",F572="NEW"),"",INDEX(J$1:J571,SUMPRODUCT(MAX(ROW(E$1:E571)*(E572=E$1:E571)))))</f>
        <v> </v>
      </c>
      <c r="L572" s="27"/>
    </row>
    <row r="573" spans="1:12">
      <c r="A573" s="20" t="s">
        <v>774</v>
      </c>
      <c r="E573" s="22">
        <f>IF(D573="?OLD","!!!","")</f>
        <v/>
      </c>
      <c r="F573" s="23" t="str">
        <f>IF(OR(E573="",E573="!!!"),"",IF(NOT(ISNA(VLOOKUP(E573,E$1:E572,1,FALSE()))),"OLD",IF(AND(E573&lt;&gt;"",E573&lt;&gt;"!!!"),"NEW","")))</f>
        <v> </v>
      </c>
      <c r="G573" s="24" t="str">
        <f>IF(OR(E573="",E573="!!!"),"",IF(OR(J573=0,AND(J573=1,K573=1),AND(J573=1,I573="SBJ"),AND(J573=1,I573=0)),"?IN_FOCUS",IF(J573&lt;=2,"?ACTIVATED",IF(J573&lt;&gt;"","?FAMILIAR",IF(F573="NEW",IF(ISNA(VLOOKUP(E573,#REF!,1,FALSE())),"?TYPE_IDENTIFIABLE","?REFERENTIAL"),"_")))))</f>
        <v> </v>
      </c>
      <c r="H573" s="25" t="str">
        <f>IF(J573&lt;&gt;1,"",IF(I573="SBJ","CB","?"))</f>
        <v> </v>
      </c>
      <c r="I573" s="26" t="str">
        <f>IF(OR(E573="",E573="!!!",F573="NEW"),"",INDEX(B572:B$2,-1+SUMPRODUCT(MAX(ROW(E572:E$2)*(E573=E572:E$2)))))</f>
        <v> </v>
      </c>
      <c r="J573" s="26" t="str">
        <f>IF(OR(E573="",E573="!!!",F573="NEW"),"",COUNTBLANK(OFFSET(A$1,,,SUMPRODUCT(MAX(ROW(E$2:E573)*(E573=E$2:E573)))))-COUNTBLANK(OFFSET(A$1,,,SUMPRODUCT(MAX(ROW(E$1:E572)*(E2=E$1:E572))))))</f>
        <v> </v>
      </c>
      <c r="K573" s="26" t="str">
        <f>IF(OR(E573="",E573="!!!",F573="NEW"),"",INDEX(J$1:J572,SUMPRODUCT(MAX(ROW(E$1:E572)*(E573=E$1:E572)))))</f>
        <v> </v>
      </c>
      <c r="L573" s="27"/>
    </row>
    <row r="574" spans="1:12">
      <c r="A574" s="20" t="s">
        <v>1048</v>
      </c>
      <c r="B574" s="21" t="s">
        <v>736</v>
      </c>
      <c r="C574" s="21" t="s">
        <v>978</v>
      </c>
      <c r="D574" s="21" t="s">
        <v>730</v>
      </c>
      <c r="E574" s="22">
        <f>IF(D574="?OLD","!!!","")</f>
        <v/>
      </c>
      <c r="F574" s="23" t="str">
        <f>IF(OR(E574="",E574="!!!"),"",IF(NOT(ISNA(VLOOKUP(E574,E$1:E573,1,FALSE()))),"OLD",IF(AND(E574&lt;&gt;"",E574&lt;&gt;"!!!"),"NEW","")))</f>
        <v> </v>
      </c>
      <c r="G574" s="24" t="str">
        <f>IF(OR(E574="",E574="!!!"),"",IF(OR(J574=0,AND(J574=1,K574=1),AND(J574=1,I574="SBJ"),AND(J574=1,I574=0)),"?IN_FOCUS",IF(J574&lt;=2,"?ACTIVATED",IF(J574&lt;&gt;"","?FAMILIAR",IF(F574="NEW",IF(ISNA(VLOOKUP(E574,#REF!,1,FALSE())),"?TYPE_IDENTIFIABLE","?REFERENTIAL"),"_")))))</f>
        <v> </v>
      </c>
      <c r="H574" s="25" t="str">
        <f>IF(J574&lt;&gt;1,"",IF(I574="SBJ","CB","?"))</f>
        <v> </v>
      </c>
      <c r="I574" s="26" t="str">
        <f>IF(OR(E574="",E574="!!!",F574="NEW"),"",INDEX(B573:B$2,-1+SUMPRODUCT(MAX(ROW(E573:E$2)*(E574=E573:E$2)))))</f>
        <v> </v>
      </c>
      <c r="J574" s="26" t="str">
        <f>IF(OR(E574="",E574="!!!",F574="NEW"),"",COUNTBLANK(OFFSET(A$1,,,SUMPRODUCT(MAX(ROW(E$2:E574)*(E574=E$2:E574)))))-COUNTBLANK(OFFSET(A$1,,,SUMPRODUCT(MAX(ROW(E$1:E573)*(E2=E$1:E573))))))</f>
        <v> </v>
      </c>
      <c r="K574" s="26" t="str">
        <f>IF(OR(E574="",E574="!!!",F574="NEW"),"",INDEX(J$1:J573,SUMPRODUCT(MAX(ROW(E$1:E573)*(E574=E$1:E573)))))</f>
        <v> </v>
      </c>
      <c r="L574" s="27"/>
    </row>
    <row r="575" spans="1:12">
      <c r="A575" s="20" t="s">
        <v>757</v>
      </c>
      <c r="E575" s="22">
        <f>IF(D575="?OLD","!!!","")</f>
        <v/>
      </c>
      <c r="F575" s="23" t="str">
        <f>IF(OR(E575="",E575="!!!"),"",IF(NOT(ISNA(VLOOKUP(E575,E$1:E574,1,FALSE()))),"OLD",IF(AND(E575&lt;&gt;"",E575&lt;&gt;"!!!"),"NEW","")))</f>
        <v> </v>
      </c>
      <c r="G575" s="24" t="str">
        <f>IF(OR(E575="",E575="!!!"),"",IF(OR(J575=0,AND(J575=1,K575=1),AND(J575=1,I575="SBJ"),AND(J575=1,I575=0)),"?IN_FOCUS",IF(J575&lt;=2,"?ACTIVATED",IF(J575&lt;&gt;"","?FAMILIAR",IF(F575="NEW",IF(ISNA(VLOOKUP(E575,#REF!,1,FALSE())),"?TYPE_IDENTIFIABLE","?REFERENTIAL"),"_")))))</f>
        <v> </v>
      </c>
      <c r="H575" s="25" t="str">
        <f>IF(J575&lt;&gt;1,"",IF(I575="SBJ","CB","?"))</f>
        <v> </v>
      </c>
      <c r="I575" s="26" t="str">
        <f>IF(OR(E575="",E575="!!!",F575="NEW"),"",INDEX(B574:B$2,-1+SUMPRODUCT(MAX(ROW(E574:E$2)*(E575=E574:E$2)))))</f>
        <v> </v>
      </c>
      <c r="J575" s="26" t="str">
        <f>IF(OR(E575="",E575="!!!",F575="NEW"),"",COUNTBLANK(OFFSET(A$1,,,SUMPRODUCT(MAX(ROW(E$2:E575)*(E575=E$2:E575)))))-COUNTBLANK(OFFSET(A$1,,,SUMPRODUCT(MAX(ROW(E$1:E574)*(E2=E$1:E574))))))</f>
        <v> </v>
      </c>
      <c r="K575" s="26" t="str">
        <f>IF(OR(E575="",E575="!!!",F575="NEW"),"",INDEX(J$1:J574,SUMPRODUCT(MAX(ROW(E$1:E574)*(E575=E$1:E574)))))</f>
        <v> </v>
      </c>
      <c r="L575" s="27"/>
    </row>
    <row r="576" spans="1:12">
      <c r="A576" s="20" t="s">
        <v>1049</v>
      </c>
      <c r="B576" s="21" t="s">
        <v>739</v>
      </c>
      <c r="C576" s="21" t="s">
        <v>740</v>
      </c>
      <c r="D576" s="21" t="s">
        <v>730</v>
      </c>
      <c r="E576" s="22">
        <f>IF(D576="?OLD","!!!","")</f>
        <v/>
      </c>
      <c r="F576" s="23" t="str">
        <f>IF(OR(E576="",E576="!!!"),"",IF(NOT(ISNA(VLOOKUP(E576,E$1:E575,1,FALSE()))),"OLD",IF(AND(E576&lt;&gt;"",E576&lt;&gt;"!!!"),"NEW","")))</f>
        <v> </v>
      </c>
      <c r="G576" s="24" t="str">
        <f>IF(OR(E576="",E576="!!!"),"",IF(OR(J576=0,AND(J576=1,K576=1),AND(J576=1,I576="SBJ"),AND(J576=1,I576=0)),"?IN_FOCUS",IF(J576&lt;=2,"?ACTIVATED",IF(J576&lt;&gt;"","?FAMILIAR",IF(F576="NEW",IF(ISNA(VLOOKUP(E576,#REF!,1,FALSE())),"?TYPE_IDENTIFIABLE","?REFERENTIAL"),"_")))))</f>
        <v> </v>
      </c>
      <c r="H576" s="25" t="str">
        <f>IF(J576&lt;&gt;1,"",IF(I576="SBJ","CB","?"))</f>
        <v> </v>
      </c>
      <c r="I576" s="26" t="str">
        <f>IF(OR(E576="",E576="!!!",F576="NEW"),"",INDEX(B575:B$2,-1+SUMPRODUCT(MAX(ROW(E575:E$2)*(E576=E575:E$2)))))</f>
        <v> </v>
      </c>
      <c r="J576" s="26" t="str">
        <f>IF(OR(E576="",E576="!!!",F576="NEW"),"",COUNTBLANK(OFFSET(A$1,,,SUMPRODUCT(MAX(ROW(E$2:E576)*(E576=E$2:E576)))))-COUNTBLANK(OFFSET(A$1,,,SUMPRODUCT(MAX(ROW(E$1:E575)*(E2=E$1:E575))))))</f>
        <v> </v>
      </c>
      <c r="K576" s="26" t="str">
        <f>IF(OR(E576="",E576="!!!",F576="NEW"),"",INDEX(J$1:J575,SUMPRODUCT(MAX(ROW(E$1:E575)*(E576=E$1:E575)))))</f>
        <v> </v>
      </c>
      <c r="L576" s="27"/>
    </row>
    <row r="577" spans="1:12">
      <c r="A577" s="20" t="s">
        <v>1050</v>
      </c>
      <c r="E577" s="22">
        <f>IF(D577="?OLD","!!!","")</f>
        <v/>
      </c>
      <c r="F577" s="23" t="str">
        <f>IF(OR(E577="",E577="!!!"),"",IF(NOT(ISNA(VLOOKUP(E577,E$1:E576,1,FALSE()))),"OLD",IF(AND(E577&lt;&gt;"",E577&lt;&gt;"!!!"),"NEW","")))</f>
        <v> </v>
      </c>
      <c r="G577" s="24" t="str">
        <f>IF(OR(E577="",E577="!!!"),"",IF(OR(J577=0,AND(J577=1,K577=1),AND(J577=1,I577="SBJ"),AND(J577=1,I577=0)),"?IN_FOCUS",IF(J577&lt;=2,"?ACTIVATED",IF(J577&lt;&gt;"","?FAMILIAR",IF(F577="NEW",IF(ISNA(VLOOKUP(E577,#REF!,1,FALSE())),"?TYPE_IDENTIFIABLE","?REFERENTIAL"),"_")))))</f>
        <v> </v>
      </c>
      <c r="H577" s="25" t="str">
        <f>IF(J577&lt;&gt;1,"",IF(I577="SBJ","CB","?"))</f>
        <v> </v>
      </c>
      <c r="I577" s="26" t="str">
        <f>IF(OR(E577="",E577="!!!",F577="NEW"),"",INDEX(B576:B$2,-1+SUMPRODUCT(MAX(ROW(E576:E$2)*(E577=E576:E$2)))))</f>
        <v> </v>
      </c>
      <c r="J577" s="26" t="str">
        <f>IF(OR(E577="",E577="!!!",F577="NEW"),"",COUNTBLANK(OFFSET(A$1,,,SUMPRODUCT(MAX(ROW(E$2:E577)*(E577=E$2:E577)))))-COUNTBLANK(OFFSET(A$1,,,SUMPRODUCT(MAX(ROW(E$1:E576)*(E2=E$1:E576))))))</f>
        <v> </v>
      </c>
      <c r="K577" s="26" t="str">
        <f>IF(OR(E577="",E577="!!!",F577="NEW"),"",INDEX(J$1:J576,SUMPRODUCT(MAX(ROW(E$1:E576)*(E577=E$1:E576)))))</f>
        <v> </v>
      </c>
      <c r="L577" s="27"/>
    </row>
    <row r="578" spans="1:12">
      <c r="A578" s="20" t="s">
        <v>773</v>
      </c>
      <c r="E578" s="22">
        <f>IF(D578="?OLD","!!!","")</f>
        <v/>
      </c>
      <c r="F578" s="23" t="str">
        <f>IF(OR(E578="",E578="!!!"),"",IF(NOT(ISNA(VLOOKUP(E578,E$1:E577,1,FALSE()))),"OLD",IF(AND(E578&lt;&gt;"",E578&lt;&gt;"!!!"),"NEW","")))</f>
        <v> </v>
      </c>
      <c r="G578" s="24" t="str">
        <f>IF(OR(E578="",E578="!!!"),"",IF(OR(J578=0,AND(J578=1,K578=1),AND(J578=1,I578="SBJ"),AND(J578=1,I578=0)),"?IN_FOCUS",IF(J578&lt;=2,"?ACTIVATED",IF(J578&lt;&gt;"","?FAMILIAR",IF(F578="NEW",IF(ISNA(VLOOKUP(E578,#REF!,1,FALSE())),"?TYPE_IDENTIFIABLE","?REFERENTIAL"),"_")))))</f>
        <v> </v>
      </c>
      <c r="H578" s="25" t="str">
        <f>IF(J578&lt;&gt;1,"",IF(I578="SBJ","CB","?"))</f>
        <v> </v>
      </c>
      <c r="I578" s="26" t="str">
        <f>IF(OR(E578="",E578="!!!",F578="NEW"),"",INDEX(B577:B$2,-1+SUMPRODUCT(MAX(ROW(E577:E$2)*(E578=E577:E$2)))))</f>
        <v> </v>
      </c>
      <c r="J578" s="26" t="str">
        <f>IF(OR(E578="",E578="!!!",F578="NEW"),"",COUNTBLANK(OFFSET(A$1,,,SUMPRODUCT(MAX(ROW(E$2:E578)*(E578=E$2:E578)))))-COUNTBLANK(OFFSET(A$1,,,SUMPRODUCT(MAX(ROW(E$1:E577)*(E2=E$1:E577))))))</f>
        <v> </v>
      </c>
      <c r="K578" s="26" t="str">
        <f>IF(OR(E578="",E578="!!!",F578="NEW"),"",INDEX(J$1:J577,SUMPRODUCT(MAX(ROW(E$1:E577)*(E578=E$1:E577)))))</f>
        <v> </v>
      </c>
      <c r="L578" s="27"/>
    </row>
    <row r="579" spans="1:12">
      <c r="A579" s="20" t="s">
        <v>751</v>
      </c>
      <c r="E579" s="22">
        <f>IF(D579="?OLD","!!!","")</f>
        <v/>
      </c>
      <c r="F579" s="23" t="str">
        <f>IF(OR(E579="",E579="!!!"),"",IF(NOT(ISNA(VLOOKUP(E579,E$1:E578,1,FALSE()))),"OLD",IF(AND(E579&lt;&gt;"",E579&lt;&gt;"!!!"),"NEW","")))</f>
        <v> </v>
      </c>
      <c r="G579" s="24" t="str">
        <f>IF(OR(E579="",E579="!!!"),"",IF(OR(J579=0,AND(J579=1,K579=1),AND(J579=1,I579="SBJ"),AND(J579=1,I579=0)),"?IN_FOCUS",IF(J579&lt;=2,"?ACTIVATED",IF(J579&lt;&gt;"","?FAMILIAR",IF(F579="NEW",IF(ISNA(VLOOKUP(E579,#REF!,1,FALSE())),"?TYPE_IDENTIFIABLE","?REFERENTIAL"),"_")))))</f>
        <v> </v>
      </c>
      <c r="H579" s="25" t="str">
        <f>IF(J579&lt;&gt;1,"",IF(I579="SBJ","CB","?"))</f>
        <v> </v>
      </c>
      <c r="I579" s="26" t="str">
        <f>IF(OR(E579="",E579="!!!",F579="NEW"),"",INDEX(B578:B$2,-1+SUMPRODUCT(MAX(ROW(E578:E$2)*(E579=E578:E$2)))))</f>
        <v> </v>
      </c>
      <c r="J579" s="26" t="str">
        <f>IF(OR(E579="",E579="!!!",F579="NEW"),"",COUNTBLANK(OFFSET(A$1,,,SUMPRODUCT(MAX(ROW(E$2:E579)*(E579=E$2:E579)))))-COUNTBLANK(OFFSET(A$1,,,SUMPRODUCT(MAX(ROW(E$1:E578)*(E2=E$1:E578))))))</f>
        <v> </v>
      </c>
      <c r="K579" s="26" t="str">
        <f>IF(OR(E579="",E579="!!!",F579="NEW"),"",INDEX(J$1:J578,SUMPRODUCT(MAX(ROW(E$1:E578)*(E579=E$1:E578)))))</f>
        <v> </v>
      </c>
      <c r="L579" s="27"/>
    </row>
    <row r="580" spans="1:12">
      <c r="A580" s="20" t="s">
        <v>1051</v>
      </c>
      <c r="B580" s="21" t="s">
        <v>736</v>
      </c>
      <c r="C580" s="21" t="s">
        <v>753</v>
      </c>
      <c r="D580" s="21" t="s">
        <v>730</v>
      </c>
      <c r="E580" s="22">
        <f>IF(D580="?OLD","!!!","")</f>
        <v/>
      </c>
      <c r="F580" s="23" t="str">
        <f>IF(OR(E580="",E580="!!!"),"",IF(NOT(ISNA(VLOOKUP(E580,E$1:E579,1,FALSE()))),"OLD",IF(AND(E580&lt;&gt;"",E580&lt;&gt;"!!!"),"NEW","")))</f>
        <v> </v>
      </c>
      <c r="G580" s="24" t="str">
        <f>IF(OR(E580="",E580="!!!"),"",IF(OR(J580=0,AND(J580=1,K580=1),AND(J580=1,I580="SBJ"),AND(J580=1,I580=0)),"?IN_FOCUS",IF(J580&lt;=2,"?ACTIVATED",IF(J580&lt;&gt;"","?FAMILIAR",IF(F580="NEW",IF(ISNA(VLOOKUP(E580,#REF!,1,FALSE())),"?TYPE_IDENTIFIABLE","?REFERENTIAL"),"_")))))</f>
        <v> </v>
      </c>
      <c r="H580" s="25" t="str">
        <f>IF(J580&lt;&gt;1,"",IF(I580="SBJ","CB","?"))</f>
        <v> </v>
      </c>
      <c r="I580" s="26" t="str">
        <f>IF(OR(E580="",E580="!!!",F580="NEW"),"",INDEX(B579:B$2,-1+SUMPRODUCT(MAX(ROW(E579:E$2)*(E580=E579:E$2)))))</f>
        <v> </v>
      </c>
      <c r="J580" s="26" t="str">
        <f>IF(OR(E580="",E580="!!!",F580="NEW"),"",COUNTBLANK(OFFSET(A$1,,,SUMPRODUCT(MAX(ROW(E$2:E580)*(E580=E$2:E580)))))-COUNTBLANK(OFFSET(A$1,,,SUMPRODUCT(MAX(ROW(E$1:E579)*(E2=E$1:E579))))))</f>
        <v> </v>
      </c>
      <c r="K580" s="26" t="str">
        <f>IF(OR(E580="",E580="!!!",F580="NEW"),"",INDEX(J$1:J579,SUMPRODUCT(MAX(ROW(E$1:E579)*(E580=E$1:E579)))))</f>
        <v> </v>
      </c>
      <c r="L580" s="27"/>
    </row>
    <row r="581" spans="1:12">
      <c r="A581" s="20" t="s">
        <v>773</v>
      </c>
      <c r="E581" s="22">
        <f>IF(D581="?OLD","!!!","")</f>
        <v/>
      </c>
      <c r="F581" s="23" t="str">
        <f>IF(OR(E581="",E581="!!!"),"",IF(NOT(ISNA(VLOOKUP(E581,E$1:E580,1,FALSE()))),"OLD",IF(AND(E581&lt;&gt;"",E581&lt;&gt;"!!!"),"NEW","")))</f>
        <v> </v>
      </c>
      <c r="G581" s="24" t="str">
        <f>IF(OR(E581="",E581="!!!"),"",IF(OR(J581=0,AND(J581=1,K581=1),AND(J581=1,I581="SBJ"),AND(J581=1,I581=0)),"?IN_FOCUS",IF(J581&lt;=2,"?ACTIVATED",IF(J581&lt;&gt;"","?FAMILIAR",IF(F581="NEW",IF(ISNA(VLOOKUP(E581,#REF!,1,FALSE())),"?TYPE_IDENTIFIABLE","?REFERENTIAL"),"_")))))</f>
        <v> </v>
      </c>
      <c r="H581" s="25" t="str">
        <f>IF(J581&lt;&gt;1,"",IF(I581="SBJ","CB","?"))</f>
        <v> </v>
      </c>
      <c r="I581" s="26" t="str">
        <f>IF(OR(E581="",E581="!!!",F581="NEW"),"",INDEX(B580:B$2,-1+SUMPRODUCT(MAX(ROW(E580:E$2)*(E581=E580:E$2)))))</f>
        <v> </v>
      </c>
      <c r="J581" s="26" t="str">
        <f>IF(OR(E581="",E581="!!!",F581="NEW"),"",COUNTBLANK(OFFSET(A$1,,,SUMPRODUCT(MAX(ROW(E$2:E581)*(E581=E$2:E581)))))-COUNTBLANK(OFFSET(A$1,,,SUMPRODUCT(MAX(ROW(E$1:E580)*(E2=E$1:E580))))))</f>
        <v> </v>
      </c>
      <c r="K581" s="26" t="str">
        <f>IF(OR(E581="",E581="!!!",F581="NEW"),"",INDEX(J$1:J580,SUMPRODUCT(MAX(ROW(E$1:E580)*(E581=E$1:E580)))))</f>
        <v> </v>
      </c>
      <c r="L581" s="27"/>
    </row>
    <row r="582" spans="1:12">
      <c r="A582" s="20" t="s">
        <v>1033</v>
      </c>
      <c r="B582" s="21" t="s">
        <v>736</v>
      </c>
      <c r="C582" s="21" t="s">
        <v>740</v>
      </c>
      <c r="D582" s="21" t="s">
        <v>730</v>
      </c>
      <c r="E582" s="22">
        <f>IF(D582="?OLD","!!!","")</f>
        <v/>
      </c>
      <c r="F582" s="23" t="str">
        <f>IF(OR(E582="",E582="!!!"),"",IF(NOT(ISNA(VLOOKUP(E582,E$1:E581,1,FALSE()))),"OLD",IF(AND(E582&lt;&gt;"",E582&lt;&gt;"!!!"),"NEW","")))</f>
        <v> </v>
      </c>
      <c r="G582" s="24" t="str">
        <f>IF(OR(E582="",E582="!!!"),"",IF(OR(J582=0,AND(J582=1,K582=1),AND(J582=1,I582="SBJ"),AND(J582=1,I582=0)),"?IN_FOCUS",IF(J582&lt;=2,"?ACTIVATED",IF(J582&lt;&gt;"","?FAMILIAR",IF(F582="NEW",IF(ISNA(VLOOKUP(E582,#REF!,1,FALSE())),"?TYPE_IDENTIFIABLE","?REFERENTIAL"),"_")))))</f>
        <v> </v>
      </c>
      <c r="H582" s="25" t="str">
        <f>IF(J582&lt;&gt;1,"",IF(I582="SBJ","CB","?"))</f>
        <v> </v>
      </c>
      <c r="I582" s="26" t="str">
        <f>IF(OR(E582="",E582="!!!",F582="NEW"),"",INDEX(B581:B$2,-1+SUMPRODUCT(MAX(ROW(E581:E$2)*(E582=E581:E$2)))))</f>
        <v> </v>
      </c>
      <c r="J582" s="26" t="str">
        <f>IF(OR(E582="",E582="!!!",F582="NEW"),"",COUNTBLANK(OFFSET(A$1,,,SUMPRODUCT(MAX(ROW(E$2:E582)*(E582=E$2:E582)))))-COUNTBLANK(OFFSET(A$1,,,SUMPRODUCT(MAX(ROW(E$1:E581)*(E2=E$1:E581))))))</f>
        <v> </v>
      </c>
      <c r="K582" s="26" t="str">
        <f>IF(OR(E582="",E582="!!!",F582="NEW"),"",INDEX(J$1:J581,SUMPRODUCT(MAX(ROW(E$1:E581)*(E582=E$1:E581)))))</f>
        <v> </v>
      </c>
      <c r="L582" s="27"/>
    </row>
    <row r="583" spans="1:12">
      <c r="A583" s="20" t="s">
        <v>759</v>
      </c>
      <c r="E583" s="22">
        <f>IF(D583="?OLD","!!!","")</f>
        <v/>
      </c>
      <c r="F583" s="23" t="str">
        <f>IF(OR(E583="",E583="!!!"),"",IF(NOT(ISNA(VLOOKUP(E583,E$1:E582,1,FALSE()))),"OLD",IF(AND(E583&lt;&gt;"",E583&lt;&gt;"!!!"),"NEW","")))</f>
        <v> </v>
      </c>
      <c r="G583" s="24" t="str">
        <f>IF(OR(E583="",E583="!!!"),"",IF(OR(J583=0,AND(J583=1,K583=1),AND(J583=1,I583="SBJ"),AND(J583=1,I583=0)),"?IN_FOCUS",IF(J583&lt;=2,"?ACTIVATED",IF(J583&lt;&gt;"","?FAMILIAR",IF(F583="NEW",IF(ISNA(VLOOKUP(E583,#REF!,1,FALSE())),"?TYPE_IDENTIFIABLE","?REFERENTIAL"),"_")))))</f>
        <v> </v>
      </c>
      <c r="H583" s="25" t="str">
        <f>IF(J583&lt;&gt;1,"",IF(I583="SBJ","CB","?"))</f>
        <v> </v>
      </c>
      <c r="I583" s="26" t="str">
        <f>IF(OR(E583="",E583="!!!",F583="NEW"),"",INDEX(B582:B$2,-1+SUMPRODUCT(MAX(ROW(E582:E$2)*(E583=E582:E$2)))))</f>
        <v> </v>
      </c>
      <c r="J583" s="26" t="str">
        <f>IF(OR(E583="",E583="!!!",F583="NEW"),"",COUNTBLANK(OFFSET(A$1,,,SUMPRODUCT(MAX(ROW(E$2:E583)*(E583=E$2:E583)))))-COUNTBLANK(OFFSET(A$1,,,SUMPRODUCT(MAX(ROW(E$1:E582)*(E2=E$1:E582))))))</f>
        <v> </v>
      </c>
      <c r="K583" s="26" t="str">
        <f>IF(OR(E583="",E583="!!!",F583="NEW"),"",INDEX(J$1:J582,SUMPRODUCT(MAX(ROW(E$1:E582)*(E583=E$1:E582)))))</f>
        <v> </v>
      </c>
      <c r="L583" s="27"/>
    </row>
    <row r="584" spans="1:12">
      <c r="A584" s="20" t="s">
        <v>1034</v>
      </c>
      <c r="B584" s="21" t="s">
        <v>739</v>
      </c>
      <c r="C584" s="21" t="s">
        <v>740</v>
      </c>
      <c r="D584" s="21" t="s">
        <v>730</v>
      </c>
      <c r="E584" s="22">
        <f>IF(D584="?OLD","!!!","")</f>
        <v/>
      </c>
      <c r="F584" s="23" t="str">
        <f>IF(OR(E584="",E584="!!!"),"",IF(NOT(ISNA(VLOOKUP(E584,E$1:E583,1,FALSE()))),"OLD",IF(AND(E584&lt;&gt;"",E584&lt;&gt;"!!!"),"NEW","")))</f>
        <v> </v>
      </c>
      <c r="G584" s="24" t="str">
        <f>IF(OR(E584="",E584="!!!"),"",IF(OR(J584=0,AND(J584=1,K584=1),AND(J584=1,I584="SBJ"),AND(J584=1,I584=0)),"?IN_FOCUS",IF(J584&lt;=2,"?ACTIVATED",IF(J584&lt;&gt;"","?FAMILIAR",IF(F584="NEW",IF(ISNA(VLOOKUP(E584,#REF!,1,FALSE())),"?TYPE_IDENTIFIABLE","?REFERENTIAL"),"_")))))</f>
        <v> </v>
      </c>
      <c r="H584" s="25" t="str">
        <f>IF(J584&lt;&gt;1,"",IF(I584="SBJ","CB","?"))</f>
        <v> </v>
      </c>
      <c r="I584" s="26" t="str">
        <f>IF(OR(E584="",E584="!!!",F584="NEW"),"",INDEX(B583:B$2,-1+SUMPRODUCT(MAX(ROW(E583:E$2)*(E584=E583:E$2)))))</f>
        <v> </v>
      </c>
      <c r="J584" s="26" t="str">
        <f>IF(OR(E584="",E584="!!!",F584="NEW"),"",COUNTBLANK(OFFSET(A$1,,,SUMPRODUCT(MAX(ROW(E$2:E584)*(E584=E$2:E584)))))-COUNTBLANK(OFFSET(A$1,,,SUMPRODUCT(MAX(ROW(E$1:E583)*(E2=E$1:E583))))))</f>
        <v> </v>
      </c>
      <c r="K584" s="26" t="str">
        <f>IF(OR(E584="",E584="!!!",F584="NEW"),"",INDEX(J$1:J583,SUMPRODUCT(MAX(ROW(E$1:E583)*(E584=E$1:E583)))))</f>
        <v> </v>
      </c>
      <c r="L584" s="27"/>
    </row>
    <row r="585" spans="1:12">
      <c r="A585" s="20" t="s">
        <v>1035</v>
      </c>
      <c r="E585" s="22">
        <f>IF(D585="?OLD","!!!","")</f>
        <v/>
      </c>
      <c r="F585" s="23" t="str">
        <f>IF(OR(E585="",E585="!!!"),"",IF(NOT(ISNA(VLOOKUP(E585,E$1:E584,1,FALSE()))),"OLD",IF(AND(E585&lt;&gt;"",E585&lt;&gt;"!!!"),"NEW","")))</f>
        <v> </v>
      </c>
      <c r="G585" s="24" t="str">
        <f>IF(OR(E585="",E585="!!!"),"",IF(OR(J585=0,AND(J585=1,K585=1),AND(J585=1,I585="SBJ"),AND(J585=1,I585=0)),"?IN_FOCUS",IF(J585&lt;=2,"?ACTIVATED",IF(J585&lt;&gt;"","?FAMILIAR",IF(F585="NEW",IF(ISNA(VLOOKUP(E585,#REF!,1,FALSE())),"?TYPE_IDENTIFIABLE","?REFERENTIAL"),"_")))))</f>
        <v> </v>
      </c>
      <c r="H585" s="25" t="str">
        <f>IF(J585&lt;&gt;1,"",IF(I585="SBJ","CB","?"))</f>
        <v> </v>
      </c>
      <c r="I585" s="26" t="str">
        <f>IF(OR(E585="",E585="!!!",F585="NEW"),"",INDEX(B584:B$2,-1+SUMPRODUCT(MAX(ROW(E584:E$2)*(E585=E584:E$2)))))</f>
        <v> </v>
      </c>
      <c r="J585" s="26" t="str">
        <f>IF(OR(E585="",E585="!!!",F585="NEW"),"",COUNTBLANK(OFFSET(A$1,,,SUMPRODUCT(MAX(ROW(E$2:E585)*(E585=E$2:E585)))))-COUNTBLANK(OFFSET(A$1,,,SUMPRODUCT(MAX(ROW(E$1:E584)*(E2=E$1:E584))))))</f>
        <v> </v>
      </c>
      <c r="K585" s="26" t="str">
        <f>IF(OR(E585="",E585="!!!",F585="NEW"),"",INDEX(J$1:J584,SUMPRODUCT(MAX(ROW(E$1:E584)*(E585=E$1:E584)))))</f>
        <v> </v>
      </c>
      <c r="L585" s="27"/>
    </row>
    <row r="586" spans="1:12">
      <c r="A586" s="20" t="s">
        <v>246</v>
      </c>
      <c r="E586" s="22">
        <f>IF(D586="?OLD","!!!","")</f>
        <v/>
      </c>
      <c r="F586" s="23" t="str">
        <f>IF(OR(E586="",E586="!!!"),"",IF(NOT(ISNA(VLOOKUP(E586,E$1:E585,1,FALSE()))),"OLD",IF(AND(E586&lt;&gt;"",E586&lt;&gt;"!!!"),"NEW","")))</f>
        <v> </v>
      </c>
      <c r="G586" s="24" t="str">
        <f>IF(OR(E586="",E586="!!!"),"",IF(OR(J586=0,AND(J586=1,K586=1),AND(J586=1,I586="SBJ"),AND(J586=1,I586=0)),"?IN_FOCUS",IF(J586&lt;=2,"?ACTIVATED",IF(J586&lt;&gt;"","?FAMILIAR",IF(F586="NEW",IF(ISNA(VLOOKUP(E586,#REF!,1,FALSE())),"?TYPE_IDENTIFIABLE","?REFERENTIAL"),"_")))))</f>
        <v> </v>
      </c>
      <c r="H586" s="25" t="str">
        <f>IF(J586&lt;&gt;1,"",IF(I586="SBJ","CB","?"))</f>
        <v> </v>
      </c>
      <c r="I586" s="26" t="str">
        <f>IF(OR(E586="",E586="!!!",F586="NEW"),"",INDEX(B585:B$2,-1+SUMPRODUCT(MAX(ROW(E585:E$2)*(E586=E585:E$2)))))</f>
        <v> </v>
      </c>
      <c r="J586" s="26" t="str">
        <f>IF(OR(E586="",E586="!!!",F586="NEW"),"",COUNTBLANK(OFFSET(A$1,,,SUMPRODUCT(MAX(ROW(E$2:E586)*(E586=E$2:E586)))))-COUNTBLANK(OFFSET(A$1,,,SUMPRODUCT(MAX(ROW(E$1:E585)*(E2=E$1:E585))))))</f>
        <v> </v>
      </c>
      <c r="K586" s="26" t="str">
        <f>IF(OR(E586="",E586="!!!",F586="NEW"),"",INDEX(J$1:J585,SUMPRODUCT(MAX(ROW(E$1:E585)*(E586=E$1:E585)))))</f>
        <v> </v>
      </c>
      <c r="L586" s="27"/>
    </row>
    <row r="587" spans="1:12">
      <c r="A587" s="20"/>
    </row>
    <row r="588" spans="1:12">
      <c r="A588" s="20" t="s">
        <v>1052</v>
      </c>
    </row>
    <row r="589" spans="1:12">
      <c r="A589" s="20" t="s">
        <v>1053</v>
      </c>
      <c r="E589" s="22">
        <f>IF(D589="?OLD","!!!","")</f>
        <v/>
      </c>
      <c r="F589" s="23" t="str">
        <f>IF(OR(E589="",E589="!!!"),"",IF(NOT(ISNA(VLOOKUP(E589,E$1:E588,1,FALSE()))),"OLD",IF(AND(E589&lt;&gt;"",E589&lt;&gt;"!!!"),"NEW","")))</f>
        <v> </v>
      </c>
      <c r="G589" s="24" t="str">
        <f>IF(OR(E589="",E589="!!!"),"",IF(OR(J589=0,AND(J589=1,K589=1),AND(J589=1,I589="SBJ"),AND(J589=1,I589=0)),"?IN_FOCUS",IF(J589&lt;=2,"?ACTIVATED",IF(J589&lt;&gt;"","?FAMILIAR",IF(F589="NEW",IF(ISNA(VLOOKUP(E589,#REF!,1,FALSE())),"?TYPE_IDENTIFIABLE","?REFERENTIAL"),"_")))))</f>
        <v> </v>
      </c>
      <c r="H589" s="25" t="str">
        <f>IF(J589&lt;&gt;1,"",IF(I589="SBJ","CB","?"))</f>
        <v> </v>
      </c>
      <c r="I589" s="26" t="str">
        <f>IF(OR(E589="",E589="!!!",F589="NEW"),"",INDEX(B588:B$2,-1+SUMPRODUCT(MAX(ROW(E588:E$2)*(E589=E588:E$2)))))</f>
        <v> </v>
      </c>
      <c r="J589" s="26" t="str">
        <f>IF(OR(E589="",E589="!!!",F589="NEW"),"",COUNTBLANK(OFFSET(A$1,,,SUMPRODUCT(MAX(ROW(E$2:E589)*(E589=E$2:E589)))))-COUNTBLANK(OFFSET(A$1,,,SUMPRODUCT(MAX(ROW(E$1:E588)*(E2=E$1:E588))))))</f>
        <v> </v>
      </c>
      <c r="K589" s="26" t="str">
        <f>IF(OR(E589="",E589="!!!",F589="NEW"),"",INDEX(J$1:J588,SUMPRODUCT(MAX(ROW(E$1:E588)*(E589=E$1:E588)))))</f>
        <v> </v>
      </c>
      <c r="L589" s="27"/>
    </row>
    <row r="590" spans="1:12">
      <c r="A590" s="20" t="s">
        <v>1018</v>
      </c>
      <c r="B590" s="21" t="s">
        <v>764</v>
      </c>
      <c r="C590" s="21" t="s">
        <v>753</v>
      </c>
      <c r="D590" s="21" t="s">
        <v>730</v>
      </c>
      <c r="E590" s="22">
        <f>IF(D590="?OLD","!!!","")</f>
        <v/>
      </c>
      <c r="F590" s="23" t="str">
        <f>IF(OR(E590="",E590="!!!"),"",IF(NOT(ISNA(VLOOKUP(E590,E$1:E589,1,FALSE()))),"OLD",IF(AND(E590&lt;&gt;"",E590&lt;&gt;"!!!"),"NEW","")))</f>
        <v> </v>
      </c>
      <c r="G590" s="24" t="str">
        <f>IF(OR(E590="",E590="!!!"),"",IF(OR(J590=0,AND(J590=1,K590=1),AND(J590=1,I590="SBJ"),AND(J590=1,I590=0)),"?IN_FOCUS",IF(J590&lt;=2,"?ACTIVATED",IF(J590&lt;&gt;"","?FAMILIAR",IF(F590="NEW",IF(ISNA(VLOOKUP(E590,#REF!,1,FALSE())),"?TYPE_IDENTIFIABLE","?REFERENTIAL"),"_")))))</f>
        <v> </v>
      </c>
      <c r="H590" s="25" t="str">
        <f>IF(J590&lt;&gt;1,"",IF(I590="SBJ","CB","?"))</f>
        <v> </v>
      </c>
      <c r="I590" s="26" t="str">
        <f>IF(OR(E590="",E590="!!!",F590="NEW"),"",INDEX(B589:B$2,-1+SUMPRODUCT(MAX(ROW(E589:E$2)*(E590=E589:E$2)))))</f>
        <v> </v>
      </c>
      <c r="J590" s="26" t="str">
        <f>IF(OR(E590="",E590="!!!",F590="NEW"),"",COUNTBLANK(OFFSET(A$1,,,SUMPRODUCT(MAX(ROW(E$2:E590)*(E590=E$2:E590)))))-COUNTBLANK(OFFSET(A$1,,,SUMPRODUCT(MAX(ROW(E$1:E589)*(E2=E$1:E589))))))</f>
        <v> </v>
      </c>
      <c r="K590" s="26" t="str">
        <f>IF(OR(E590="",E590="!!!",F590="NEW"),"",INDEX(J$1:J589,SUMPRODUCT(MAX(ROW(E$1:E589)*(E590=E$1:E589)))))</f>
        <v> </v>
      </c>
      <c r="L590" s="27"/>
    </row>
    <row r="591" spans="1:12">
      <c r="A591" s="20" t="s">
        <v>1023</v>
      </c>
      <c r="E591" s="22">
        <f>IF(D591="?OLD","!!!","")</f>
        <v/>
      </c>
      <c r="F591" s="23" t="str">
        <f>IF(OR(E591="",E591="!!!"),"",IF(NOT(ISNA(VLOOKUP(E591,E$1:E590,1,FALSE()))),"OLD",IF(AND(E591&lt;&gt;"",E591&lt;&gt;"!!!"),"NEW","")))</f>
        <v> </v>
      </c>
      <c r="G591" s="24" t="str">
        <f>IF(OR(E591="",E591="!!!"),"",IF(OR(J591=0,AND(J591=1,K591=1),AND(J591=1,I591="SBJ"),AND(J591=1,I591=0)),"?IN_FOCUS",IF(J591&lt;=2,"?ACTIVATED",IF(J591&lt;&gt;"","?FAMILIAR",IF(F591="NEW",IF(ISNA(VLOOKUP(E591,#REF!,1,FALSE())),"?TYPE_IDENTIFIABLE","?REFERENTIAL"),"_")))))</f>
        <v> </v>
      </c>
      <c r="H591" s="25" t="str">
        <f>IF(J591&lt;&gt;1,"",IF(I591="SBJ","CB","?"))</f>
        <v> </v>
      </c>
      <c r="I591" s="26" t="str">
        <f>IF(OR(E591="",E591="!!!",F591="NEW"),"",INDEX(B590:B$2,-1+SUMPRODUCT(MAX(ROW(E590:E$2)*(E591=E590:E$2)))))</f>
        <v> </v>
      </c>
      <c r="J591" s="26" t="str">
        <f>IF(OR(E591="",E591="!!!",F591="NEW"),"",COUNTBLANK(OFFSET(A$1,,,SUMPRODUCT(MAX(ROW(E$2:E591)*(E591=E$2:E591)))))-COUNTBLANK(OFFSET(A$1,,,SUMPRODUCT(MAX(ROW(E$1:E590)*(E2=E$1:E590))))))</f>
        <v> </v>
      </c>
      <c r="K591" s="26" t="str">
        <f>IF(OR(E591="",E591="!!!",F591="NEW"),"",INDEX(J$1:J590,SUMPRODUCT(MAX(ROW(E$1:E590)*(E591=E$1:E590)))))</f>
        <v> </v>
      </c>
      <c r="L591" s="27"/>
    </row>
    <row r="592" spans="1:12">
      <c r="A592" s="20" t="s">
        <v>759</v>
      </c>
      <c r="E592" s="22">
        <f>IF(D592="?OLD","!!!","")</f>
        <v/>
      </c>
      <c r="F592" s="23" t="str">
        <f>IF(OR(E592="",E592="!!!"),"",IF(NOT(ISNA(VLOOKUP(E592,E$1:E591,1,FALSE()))),"OLD",IF(AND(E592&lt;&gt;"",E592&lt;&gt;"!!!"),"NEW","")))</f>
        <v> </v>
      </c>
      <c r="G592" s="24" t="str">
        <f>IF(OR(E592="",E592="!!!"),"",IF(OR(J592=0,AND(J592=1,K592=1),AND(J592=1,I592="SBJ"),AND(J592=1,I592=0)),"?IN_FOCUS",IF(J592&lt;=2,"?ACTIVATED",IF(J592&lt;&gt;"","?FAMILIAR",IF(F592="NEW",IF(ISNA(VLOOKUP(E592,#REF!,1,FALSE())),"?TYPE_IDENTIFIABLE","?REFERENTIAL"),"_")))))</f>
        <v> </v>
      </c>
      <c r="H592" s="25" t="str">
        <f>IF(J592&lt;&gt;1,"",IF(I592="SBJ","CB","?"))</f>
        <v> </v>
      </c>
      <c r="I592" s="26" t="str">
        <f>IF(OR(E592="",E592="!!!",F592="NEW"),"",INDEX(B591:B$2,-1+SUMPRODUCT(MAX(ROW(E591:E$2)*(E592=E591:E$2)))))</f>
        <v> </v>
      </c>
      <c r="J592" s="26" t="str">
        <f>IF(OR(E592="",E592="!!!",F592="NEW"),"",COUNTBLANK(OFFSET(A$1,,,SUMPRODUCT(MAX(ROW(E$2:E592)*(E592=E$2:E592)))))-COUNTBLANK(OFFSET(A$1,,,SUMPRODUCT(MAX(ROW(E$1:E591)*(E2=E$1:E591))))))</f>
        <v> </v>
      </c>
      <c r="K592" s="26" t="str">
        <f>IF(OR(E592="",E592="!!!",F592="NEW"),"",INDEX(J$1:J591,SUMPRODUCT(MAX(ROW(E$1:E591)*(E592=E$1:E591)))))</f>
        <v> </v>
      </c>
      <c r="L592" s="27"/>
    </row>
    <row r="593" spans="1:12">
      <c r="A593" s="20" t="s">
        <v>1054</v>
      </c>
      <c r="E593" s="22">
        <f>IF(D593="?OLD","!!!","")</f>
        <v/>
      </c>
      <c r="F593" s="23" t="str">
        <f>IF(OR(E593="",E593="!!!"),"",IF(NOT(ISNA(VLOOKUP(E593,E$1:E592,1,FALSE()))),"OLD",IF(AND(E593&lt;&gt;"",E593&lt;&gt;"!!!"),"NEW","")))</f>
        <v> </v>
      </c>
      <c r="G593" s="24" t="str">
        <f>IF(OR(E593="",E593="!!!"),"",IF(OR(J593=0,AND(J593=1,K593=1),AND(J593=1,I593="SBJ"),AND(J593=1,I593=0)),"?IN_FOCUS",IF(J593&lt;=2,"?ACTIVATED",IF(J593&lt;&gt;"","?FAMILIAR",IF(F593="NEW",IF(ISNA(VLOOKUP(E593,#REF!,1,FALSE())),"?TYPE_IDENTIFIABLE","?REFERENTIAL"),"_")))))</f>
        <v> </v>
      </c>
      <c r="H593" s="25" t="str">
        <f>IF(J593&lt;&gt;1,"",IF(I593="SBJ","CB","?"))</f>
        <v> </v>
      </c>
      <c r="I593" s="26" t="str">
        <f>IF(OR(E593="",E593="!!!",F593="NEW"),"",INDEX(B592:B$2,-1+SUMPRODUCT(MAX(ROW(E592:E$2)*(E593=E592:E$2)))))</f>
        <v> </v>
      </c>
      <c r="J593" s="26" t="str">
        <f>IF(OR(E593="",E593="!!!",F593="NEW"),"",COUNTBLANK(OFFSET(A$1,,,SUMPRODUCT(MAX(ROW(E$2:E593)*(E593=E$2:E593)))))-COUNTBLANK(OFFSET(A$1,,,SUMPRODUCT(MAX(ROW(E$1:E592)*(E2=E$1:E592))))))</f>
        <v> </v>
      </c>
      <c r="K593" s="26" t="str">
        <f>IF(OR(E593="",E593="!!!",F593="NEW"),"",INDEX(J$1:J592,SUMPRODUCT(MAX(ROW(E$1:E592)*(E593=E$1:E592)))))</f>
        <v> </v>
      </c>
      <c r="L593" s="27"/>
    </row>
    <row r="594" spans="1:12">
      <c r="A594" s="20" t="s">
        <v>1055</v>
      </c>
      <c r="E594" s="22">
        <f>IF(D594="?OLD","!!!","")</f>
        <v/>
      </c>
      <c r="F594" s="23" t="str">
        <f>IF(OR(E594="",E594="!!!"),"",IF(NOT(ISNA(VLOOKUP(E594,E$1:E593,1,FALSE()))),"OLD",IF(AND(E594&lt;&gt;"",E594&lt;&gt;"!!!"),"NEW","")))</f>
        <v> </v>
      </c>
      <c r="G594" s="24" t="str">
        <f>IF(OR(E594="",E594="!!!"),"",IF(OR(J594=0,AND(J594=1,K594=1),AND(J594=1,I594="SBJ"),AND(J594=1,I594=0)),"?IN_FOCUS",IF(J594&lt;=2,"?ACTIVATED",IF(J594&lt;&gt;"","?FAMILIAR",IF(F594="NEW",IF(ISNA(VLOOKUP(E594,#REF!,1,FALSE())),"?TYPE_IDENTIFIABLE","?REFERENTIAL"),"_")))))</f>
        <v> </v>
      </c>
      <c r="H594" s="25" t="str">
        <f>IF(J594&lt;&gt;1,"",IF(I594="SBJ","CB","?"))</f>
        <v> </v>
      </c>
      <c r="I594" s="26" t="str">
        <f>IF(OR(E594="",E594="!!!",F594="NEW"),"",INDEX(B593:B$2,-1+SUMPRODUCT(MAX(ROW(E593:E$2)*(E594=E593:E$2)))))</f>
        <v> </v>
      </c>
      <c r="J594" s="26" t="str">
        <f>IF(OR(E594="",E594="!!!",F594="NEW"),"",COUNTBLANK(OFFSET(A$1,,,SUMPRODUCT(MAX(ROW(E$2:E594)*(E594=E$2:E594)))))-COUNTBLANK(OFFSET(A$1,,,SUMPRODUCT(MAX(ROW(E$1:E593)*(E2=E$1:E593))))))</f>
        <v> </v>
      </c>
      <c r="K594" s="26" t="str">
        <f>IF(OR(E594="",E594="!!!",F594="NEW"),"",INDEX(J$1:J593,SUMPRODUCT(MAX(ROW(E$1:E593)*(E594=E$1:E593)))))</f>
        <v> </v>
      </c>
      <c r="L594" s="27"/>
    </row>
    <row r="595" spans="1:12">
      <c r="A595" s="20" t="s">
        <v>1018</v>
      </c>
      <c r="B595" s="21" t="s">
        <v>739</v>
      </c>
      <c r="C595" s="21" t="s">
        <v>737</v>
      </c>
      <c r="E595" s="22">
        <f>IF(D595="?OLD","!!!","")</f>
        <v/>
      </c>
      <c r="F595" s="23" t="str">
        <f>IF(OR(E595="",E595="!!!"),"",IF(NOT(ISNA(VLOOKUP(E595,E$1:E594,1,FALSE()))),"OLD",IF(AND(E595&lt;&gt;"",E595&lt;&gt;"!!!"),"NEW","")))</f>
        <v> </v>
      </c>
      <c r="G595" s="24" t="str">
        <f>IF(OR(E595="",E595="!!!"),"",IF(OR(J595=0,AND(J595=1,K595=1),AND(J595=1,I595="SBJ"),AND(J595=1,I595=0)),"?IN_FOCUS",IF(J595&lt;=2,"?ACTIVATED",IF(J595&lt;&gt;"","?FAMILIAR",IF(F595="NEW",IF(ISNA(VLOOKUP(E595,#REF!,1,FALSE())),"?TYPE_IDENTIFIABLE","?REFERENTIAL"),"_")))))</f>
        <v> </v>
      </c>
      <c r="H595" s="25" t="str">
        <f>IF(J595&lt;&gt;1,"",IF(I595="SBJ","CB","?"))</f>
        <v> </v>
      </c>
      <c r="I595" s="26" t="str">
        <f>IF(OR(E595="",E595="!!!",F595="NEW"),"",INDEX(B594:B$2,-1+SUMPRODUCT(MAX(ROW(E594:E$2)*(E595=E594:E$2)))))</f>
        <v> </v>
      </c>
      <c r="J595" s="26" t="str">
        <f>IF(OR(E595="",E595="!!!",F595="NEW"),"",COUNTBLANK(OFFSET(A$1,,,SUMPRODUCT(MAX(ROW(E$2:E595)*(E595=E$2:E595)))))-COUNTBLANK(OFFSET(A$1,,,SUMPRODUCT(MAX(ROW(E$1:E594)*(E2=E$1:E594))))))</f>
        <v> </v>
      </c>
      <c r="K595" s="26" t="str">
        <f>IF(OR(E595="",E595="!!!",F595="NEW"),"",INDEX(J$1:J594,SUMPRODUCT(MAX(ROW(E$1:E594)*(E595=E$1:E594)))))</f>
        <v> </v>
      </c>
      <c r="L595" s="27"/>
    </row>
    <row r="596" spans="1:12">
      <c r="A596" s="20" t="s">
        <v>759</v>
      </c>
      <c r="E596" s="22">
        <f>IF(D596="?OLD","!!!","")</f>
        <v/>
      </c>
      <c r="F596" s="23" t="str">
        <f>IF(OR(E596="",E596="!!!"),"",IF(NOT(ISNA(VLOOKUP(E596,E$1:E595,1,FALSE()))),"OLD",IF(AND(E596&lt;&gt;"",E596&lt;&gt;"!!!"),"NEW","")))</f>
        <v> </v>
      </c>
      <c r="G596" s="24" t="str">
        <f>IF(OR(E596="",E596="!!!"),"",IF(OR(J596=0,AND(J596=1,K596=1),AND(J596=1,I596="SBJ"),AND(J596=1,I596=0)),"?IN_FOCUS",IF(J596&lt;=2,"?ACTIVATED",IF(J596&lt;&gt;"","?FAMILIAR",IF(F596="NEW",IF(ISNA(VLOOKUP(E596,#REF!,1,FALSE())),"?TYPE_IDENTIFIABLE","?REFERENTIAL"),"_")))))</f>
        <v> </v>
      </c>
      <c r="H596" s="25" t="str">
        <f>IF(J596&lt;&gt;1,"",IF(I596="SBJ","CB","?"))</f>
        <v> </v>
      </c>
      <c r="I596" s="26" t="str">
        <f>IF(OR(E596="",E596="!!!",F596="NEW"),"",INDEX(B595:B$2,-1+SUMPRODUCT(MAX(ROW(E595:E$2)*(E596=E595:E$2)))))</f>
        <v> </v>
      </c>
      <c r="J596" s="26" t="str">
        <f>IF(OR(E596="",E596="!!!",F596="NEW"),"",COUNTBLANK(OFFSET(A$1,,,SUMPRODUCT(MAX(ROW(E$2:E596)*(E596=E$2:E596)))))-COUNTBLANK(OFFSET(A$1,,,SUMPRODUCT(MAX(ROW(E$1:E595)*(E2=E$1:E595))))))</f>
        <v> </v>
      </c>
      <c r="K596" s="26" t="str">
        <f>IF(OR(E596="",E596="!!!",F596="NEW"),"",INDEX(J$1:J595,SUMPRODUCT(MAX(ROW(E$1:E595)*(E596=E$1:E595)))))</f>
        <v> </v>
      </c>
      <c r="L596" s="27"/>
    </row>
    <row r="597" spans="1:12">
      <c r="A597" s="20" t="s">
        <v>1056</v>
      </c>
      <c r="E597" s="22">
        <f>IF(D597="?OLD","!!!","")</f>
        <v/>
      </c>
      <c r="F597" s="23" t="str">
        <f>IF(OR(E597="",E597="!!!"),"",IF(NOT(ISNA(VLOOKUP(E597,E$1:E596,1,FALSE()))),"OLD",IF(AND(E597&lt;&gt;"",E597&lt;&gt;"!!!"),"NEW","")))</f>
        <v> </v>
      </c>
      <c r="G597" s="24" t="str">
        <f>IF(OR(E597="",E597="!!!"),"",IF(OR(J597=0,AND(J597=1,K597=1),AND(J597=1,I597="SBJ"),AND(J597=1,I597=0)),"?IN_FOCUS",IF(J597&lt;=2,"?ACTIVATED",IF(J597&lt;&gt;"","?FAMILIAR",IF(F597="NEW",IF(ISNA(VLOOKUP(E597,#REF!,1,FALSE())),"?TYPE_IDENTIFIABLE","?REFERENTIAL"),"_")))))</f>
        <v> </v>
      </c>
      <c r="H597" s="25" t="str">
        <f>IF(J597&lt;&gt;1,"",IF(I597="SBJ","CB","?"))</f>
        <v> </v>
      </c>
      <c r="I597" s="26" t="str">
        <f>IF(OR(E597="",E597="!!!",F597="NEW"),"",INDEX(B596:B$2,-1+SUMPRODUCT(MAX(ROW(E596:E$2)*(E597=E596:E$2)))))</f>
        <v> </v>
      </c>
      <c r="J597" s="26" t="str">
        <f>IF(OR(E597="",E597="!!!",F597="NEW"),"",COUNTBLANK(OFFSET(A$1,,,SUMPRODUCT(MAX(ROW(E$2:E597)*(E597=E$2:E597)))))-COUNTBLANK(OFFSET(A$1,,,SUMPRODUCT(MAX(ROW(E$1:E596)*(E2=E$1:E596))))))</f>
        <v> </v>
      </c>
      <c r="K597" s="26" t="str">
        <f>IF(OR(E597="",E597="!!!",F597="NEW"),"",INDEX(J$1:J596,SUMPRODUCT(MAX(ROW(E$1:E596)*(E597=E$1:E596)))))</f>
        <v> </v>
      </c>
      <c r="L597" s="27"/>
    </row>
    <row r="598" spans="1:12">
      <c r="A598" s="20" t="s">
        <v>750</v>
      </c>
      <c r="B598" s="21" t="s">
        <v>728</v>
      </c>
      <c r="C598" s="21" t="s">
        <v>729</v>
      </c>
      <c r="D598" s="21" t="s">
        <v>730</v>
      </c>
      <c r="E598" s="22">
        <f>IF(D598="?OLD","!!!","")</f>
        <v/>
      </c>
      <c r="F598" s="23" t="str">
        <f>IF(OR(E598="",E598="!!!"),"",IF(NOT(ISNA(VLOOKUP(E598,E$1:E597,1,FALSE()))),"OLD",IF(AND(E598&lt;&gt;"",E598&lt;&gt;"!!!"),"NEW","")))</f>
        <v> </v>
      </c>
      <c r="G598" s="24" t="str">
        <f>IF(OR(E598="",E598="!!!"),"",IF(OR(J598=0,AND(J598=1,K598=1),AND(J598=1,I598="SBJ"),AND(J598=1,I598=0)),"?IN_FOCUS",IF(J598&lt;=2,"?ACTIVATED",IF(J598&lt;&gt;"","?FAMILIAR",IF(F598="NEW",IF(ISNA(VLOOKUP(E598,#REF!,1,FALSE())),"?TYPE_IDENTIFIABLE","?REFERENTIAL"),"_")))))</f>
        <v> </v>
      </c>
      <c r="H598" s="25" t="str">
        <f>IF(J598&lt;&gt;1,"",IF(I598="SBJ","CB","?"))</f>
        <v> </v>
      </c>
      <c r="I598" s="26" t="str">
        <f>IF(OR(E598="",E598="!!!",F598="NEW"),"",INDEX(B597:B$2,-1+SUMPRODUCT(MAX(ROW(E597:E$2)*(E598=E597:E$2)))))</f>
        <v> </v>
      </c>
      <c r="J598" s="26" t="str">
        <f>IF(OR(E598="",E598="!!!",F598="NEW"),"",COUNTBLANK(OFFSET(A$1,,,SUMPRODUCT(MAX(ROW(E$2:E598)*(E598=E$2:E598)))))-COUNTBLANK(OFFSET(A$1,,,SUMPRODUCT(MAX(ROW(E$1:E597)*(E2=E$1:E597))))))</f>
        <v> </v>
      </c>
      <c r="K598" s="26" t="str">
        <f>IF(OR(E598="",E598="!!!",F598="NEW"),"",INDEX(J$1:J597,SUMPRODUCT(MAX(ROW(E$1:E597)*(E598=E$1:E597)))))</f>
        <v> </v>
      </c>
      <c r="L598" s="27"/>
    </row>
    <row r="599" spans="1:12">
      <c r="A599" s="20" t="s">
        <v>1057</v>
      </c>
      <c r="E599" s="22">
        <f>IF(D599="?OLD","!!!","")</f>
        <v/>
      </c>
      <c r="F599" s="23" t="str">
        <f>IF(OR(E599="",E599="!!!"),"",IF(NOT(ISNA(VLOOKUP(E599,E$1:E598,1,FALSE()))),"OLD",IF(AND(E599&lt;&gt;"",E599&lt;&gt;"!!!"),"NEW","")))</f>
        <v> </v>
      </c>
      <c r="G599" s="24" t="str">
        <f>IF(OR(E599="",E599="!!!"),"",IF(OR(J599=0,AND(J599=1,K599=1),AND(J599=1,I599="SBJ"),AND(J599=1,I599=0)),"?IN_FOCUS",IF(J599&lt;=2,"?ACTIVATED",IF(J599&lt;&gt;"","?FAMILIAR",IF(F599="NEW",IF(ISNA(VLOOKUP(E599,#REF!,1,FALSE())),"?TYPE_IDENTIFIABLE","?REFERENTIAL"),"_")))))</f>
        <v> </v>
      </c>
      <c r="H599" s="25" t="str">
        <f>IF(J599&lt;&gt;1,"",IF(I599="SBJ","CB","?"))</f>
        <v> </v>
      </c>
      <c r="I599" s="26" t="str">
        <f>IF(OR(E599="",E599="!!!",F599="NEW"),"",INDEX(B598:B$2,-1+SUMPRODUCT(MAX(ROW(E598:E$2)*(E599=E598:E$2)))))</f>
        <v> </v>
      </c>
      <c r="J599" s="26" t="str">
        <f>IF(OR(E599="",E599="!!!",F599="NEW"),"",COUNTBLANK(OFFSET(A$1,,,SUMPRODUCT(MAX(ROW(E$2:E599)*(E599=E$2:E599)))))-COUNTBLANK(OFFSET(A$1,,,SUMPRODUCT(MAX(ROW(E$1:E598)*(E2=E$1:E598))))))</f>
        <v> </v>
      </c>
      <c r="K599" s="26" t="str">
        <f>IF(OR(E599="",E599="!!!",F599="NEW"),"",INDEX(J$1:J598,SUMPRODUCT(MAX(ROW(E$1:E598)*(E599=E$1:E598)))))</f>
        <v> </v>
      </c>
      <c r="L599" s="27"/>
    </row>
    <row r="600" spans="1:12">
      <c r="A600" s="20" t="s">
        <v>1058</v>
      </c>
      <c r="E600" s="22">
        <f>IF(D600="?OLD","!!!","")</f>
        <v/>
      </c>
      <c r="F600" s="23" t="str">
        <f>IF(OR(E600="",E600="!!!"),"",IF(NOT(ISNA(VLOOKUP(E600,E$1:E599,1,FALSE()))),"OLD",IF(AND(E600&lt;&gt;"",E600&lt;&gt;"!!!"),"NEW","")))</f>
        <v> </v>
      </c>
      <c r="G600" s="24" t="str">
        <f>IF(OR(E600="",E600="!!!"),"",IF(OR(J600=0,AND(J600=1,K600=1),AND(J600=1,I600="SBJ"),AND(J600=1,I600=0)),"?IN_FOCUS",IF(J600&lt;=2,"?ACTIVATED",IF(J600&lt;&gt;"","?FAMILIAR",IF(F600="NEW",IF(ISNA(VLOOKUP(E600,#REF!,1,FALSE())),"?TYPE_IDENTIFIABLE","?REFERENTIAL"),"_")))))</f>
        <v> </v>
      </c>
      <c r="H600" s="25" t="str">
        <f>IF(J600&lt;&gt;1,"",IF(I600="SBJ","CB","?"))</f>
        <v> </v>
      </c>
      <c r="I600" s="26" t="str">
        <f>IF(OR(E600="",E600="!!!",F600="NEW"),"",INDEX(B599:B$2,-1+SUMPRODUCT(MAX(ROW(E599:E$2)*(E600=E599:E$2)))))</f>
        <v> </v>
      </c>
      <c r="J600" s="26" t="str">
        <f>IF(OR(E600="",E600="!!!",F600="NEW"),"",COUNTBLANK(OFFSET(A$1,,,SUMPRODUCT(MAX(ROW(E$2:E600)*(E600=E$2:E600)))))-COUNTBLANK(OFFSET(A$1,,,SUMPRODUCT(MAX(ROW(E$1:E599)*(E2=E$1:E599))))))</f>
        <v> </v>
      </c>
      <c r="K600" s="26" t="str">
        <f>IF(OR(E600="",E600="!!!",F600="NEW"),"",INDEX(J$1:J599,SUMPRODUCT(MAX(ROW(E$1:E599)*(E600=E$1:E599)))))</f>
        <v> </v>
      </c>
      <c r="L600" s="27"/>
    </row>
    <row r="601" spans="1:12">
      <c r="A601" s="20" t="s">
        <v>1059</v>
      </c>
      <c r="B601" s="21" t="s">
        <v>739</v>
      </c>
      <c r="C601" s="21" t="s">
        <v>967</v>
      </c>
      <c r="E601" s="22">
        <f>IF(D601="?OLD","!!!","")</f>
        <v/>
      </c>
      <c r="F601" s="23" t="str">
        <f>IF(OR(E601="",E601="!!!"),"",IF(NOT(ISNA(VLOOKUP(E601,E$1:E600,1,FALSE()))),"OLD",IF(AND(E601&lt;&gt;"",E601&lt;&gt;"!!!"),"NEW","")))</f>
        <v> </v>
      </c>
      <c r="G601" s="24" t="str">
        <f>IF(OR(E601="",E601="!!!"),"",IF(OR(J601=0,AND(J601=1,K601=1),AND(J601=1,I601="SBJ"),AND(J601=1,I601=0)),"?IN_FOCUS",IF(J601&lt;=2,"?ACTIVATED",IF(J601&lt;&gt;"","?FAMILIAR",IF(F601="NEW",IF(ISNA(VLOOKUP(E601,#REF!,1,FALSE())),"?TYPE_IDENTIFIABLE","?REFERENTIAL"),"_")))))</f>
        <v> </v>
      </c>
      <c r="H601" s="25" t="str">
        <f>IF(J601&lt;&gt;1,"",IF(I601="SBJ","CB","?"))</f>
        <v> </v>
      </c>
      <c r="I601" s="26" t="str">
        <f>IF(OR(E601="",E601="!!!",F601="NEW"),"",INDEX(B600:B$2,-1+SUMPRODUCT(MAX(ROW(E600:E$2)*(E601=E600:E$2)))))</f>
        <v> </v>
      </c>
      <c r="J601" s="26" t="str">
        <f>IF(OR(E601="",E601="!!!",F601="NEW"),"",COUNTBLANK(OFFSET(A$1,,,SUMPRODUCT(MAX(ROW(E$2:E601)*(E601=E$2:E601)))))-COUNTBLANK(OFFSET(A$1,,,SUMPRODUCT(MAX(ROW(E$1:E600)*(E2=E$1:E600))))))</f>
        <v> </v>
      </c>
      <c r="K601" s="26" t="str">
        <f>IF(OR(E601="",E601="!!!",F601="NEW"),"",INDEX(J$1:J600,SUMPRODUCT(MAX(ROW(E$1:E600)*(E601=E$1:E600)))))</f>
        <v> </v>
      </c>
      <c r="L601" s="27"/>
    </row>
    <row r="602" spans="1:12">
      <c r="A602" s="20" t="s">
        <v>1060</v>
      </c>
      <c r="E602" s="22">
        <f>IF(D602="?OLD","!!!","")</f>
        <v/>
      </c>
      <c r="F602" s="23" t="str">
        <f>IF(OR(E602="",E602="!!!"),"",IF(NOT(ISNA(VLOOKUP(E602,E$1:E601,1,FALSE()))),"OLD",IF(AND(E602&lt;&gt;"",E602&lt;&gt;"!!!"),"NEW","")))</f>
        <v> </v>
      </c>
      <c r="G602" s="24" t="str">
        <f>IF(OR(E602="",E602="!!!"),"",IF(OR(J602=0,AND(J602=1,K602=1),AND(J602=1,I602="SBJ"),AND(J602=1,I602=0)),"?IN_FOCUS",IF(J602&lt;=2,"?ACTIVATED",IF(J602&lt;&gt;"","?FAMILIAR",IF(F602="NEW",IF(ISNA(VLOOKUP(E602,#REF!,1,FALSE())),"?TYPE_IDENTIFIABLE","?REFERENTIAL"),"_")))))</f>
        <v> </v>
      </c>
      <c r="H602" s="25" t="str">
        <f>IF(J602&lt;&gt;1,"",IF(I602="SBJ","CB","?"))</f>
        <v> </v>
      </c>
      <c r="I602" s="26" t="str">
        <f>IF(OR(E602="",E602="!!!",F602="NEW"),"",INDEX(B601:B$2,-1+SUMPRODUCT(MAX(ROW(E601:E$2)*(E602=E601:E$2)))))</f>
        <v> </v>
      </c>
      <c r="J602" s="26" t="str">
        <f>IF(OR(E602="",E602="!!!",F602="NEW"),"",COUNTBLANK(OFFSET(A$1,,,SUMPRODUCT(MAX(ROW(E$2:E602)*(E602=E$2:E602)))))-COUNTBLANK(OFFSET(A$1,,,SUMPRODUCT(MAX(ROW(E$1:E601)*(E2=E$1:E601))))))</f>
        <v> </v>
      </c>
      <c r="K602" s="26" t="str">
        <f>IF(OR(E602="",E602="!!!",F602="NEW"),"",INDEX(J$1:J601,SUMPRODUCT(MAX(ROW(E$1:E601)*(E602=E$1:E601)))))</f>
        <v> </v>
      </c>
      <c r="L602" s="27"/>
    </row>
    <row r="603" spans="1:12">
      <c r="A603" s="20" t="s">
        <v>754</v>
      </c>
      <c r="B603" s="21" t="s">
        <v>739</v>
      </c>
      <c r="C603" s="21" t="s">
        <v>756</v>
      </c>
      <c r="E603" s="22">
        <f>IF(D603="?OLD","!!!","")</f>
        <v/>
      </c>
      <c r="F603" s="23" t="str">
        <f>IF(OR(E603="",E603="!!!"),"",IF(NOT(ISNA(VLOOKUP(E603,E$1:E602,1,FALSE()))),"OLD",IF(AND(E603&lt;&gt;"",E603&lt;&gt;"!!!"),"NEW","")))</f>
        <v> </v>
      </c>
      <c r="G603" s="24" t="str">
        <f>IF(OR(E603="",E603="!!!"),"",IF(OR(J603=0,AND(J603=1,K603=1),AND(J603=1,I603="SBJ"),AND(J603=1,I603=0)),"?IN_FOCUS",IF(J603&lt;=2,"?ACTIVATED",IF(J603&lt;&gt;"","?FAMILIAR",IF(F603="NEW",IF(ISNA(VLOOKUP(E603,#REF!,1,FALSE())),"?TYPE_IDENTIFIABLE","?REFERENTIAL"),"_")))))</f>
        <v> </v>
      </c>
      <c r="H603" s="25" t="str">
        <f>IF(J603&lt;&gt;1,"",IF(I603="SBJ","CB","?"))</f>
        <v> </v>
      </c>
      <c r="I603" s="26" t="str">
        <f>IF(OR(E603="",E603="!!!",F603="NEW"),"",INDEX(B602:B$2,-1+SUMPRODUCT(MAX(ROW(E602:E$2)*(E603=E602:E$2)))))</f>
        <v> </v>
      </c>
      <c r="J603" s="26" t="str">
        <f>IF(OR(E603="",E603="!!!",F603="NEW"),"",COUNTBLANK(OFFSET(A$1,,,SUMPRODUCT(MAX(ROW(E$2:E603)*(E603=E$2:E603)))))-COUNTBLANK(OFFSET(A$1,,,SUMPRODUCT(MAX(ROW(E$1:E602)*(E2=E$1:E602))))))</f>
        <v> </v>
      </c>
      <c r="K603" s="26" t="str">
        <f>IF(OR(E603="",E603="!!!",F603="NEW"),"",INDEX(J$1:J602,SUMPRODUCT(MAX(ROW(E$1:E602)*(E603=E$1:E602)))))</f>
        <v> </v>
      </c>
      <c r="L603" s="27"/>
    </row>
    <row r="604" spans="1:12">
      <c r="A604" s="20" t="s">
        <v>1061</v>
      </c>
      <c r="B604" s="21" t="s">
        <v>736</v>
      </c>
      <c r="C604" s="21" t="s">
        <v>748</v>
      </c>
      <c r="E604" s="22">
        <f>IF(D604="?OLD","!!!","")</f>
        <v/>
      </c>
      <c r="F604" s="23" t="str">
        <f>IF(OR(E604="",E604="!!!"),"",IF(NOT(ISNA(VLOOKUP(E604,E$1:E603,1,FALSE()))),"OLD",IF(AND(E604&lt;&gt;"",E604&lt;&gt;"!!!"),"NEW","")))</f>
        <v> </v>
      </c>
      <c r="G604" s="24" t="str">
        <f>IF(OR(E604="",E604="!!!"),"",IF(OR(J604=0,AND(J604=1,K604=1),AND(J604=1,I604="SBJ"),AND(J604=1,I604=0)),"?IN_FOCUS",IF(J604&lt;=2,"?ACTIVATED",IF(J604&lt;&gt;"","?FAMILIAR",IF(F604="NEW",IF(ISNA(VLOOKUP(E604,#REF!,1,FALSE())),"?TYPE_IDENTIFIABLE","?REFERENTIAL"),"_")))))</f>
        <v> </v>
      </c>
      <c r="H604" s="25" t="str">
        <f>IF(J604&lt;&gt;1,"",IF(I604="SBJ","CB","?"))</f>
        <v> </v>
      </c>
      <c r="I604" s="26" t="str">
        <f>IF(OR(E604="",E604="!!!",F604="NEW"),"",INDEX(B603:B$2,-1+SUMPRODUCT(MAX(ROW(E603:E$2)*(E604=E603:E$2)))))</f>
        <v> </v>
      </c>
      <c r="J604" s="26" t="str">
        <f>IF(OR(E604="",E604="!!!",F604="NEW"),"",COUNTBLANK(OFFSET(A$1,,,SUMPRODUCT(MAX(ROW(E$2:E604)*(E604=E$2:E604)))))-COUNTBLANK(OFFSET(A$1,,,SUMPRODUCT(MAX(ROW(E$1:E603)*(E2=E$1:E603))))))</f>
        <v> </v>
      </c>
      <c r="K604" s="26" t="str">
        <f>IF(OR(E604="",E604="!!!",F604="NEW"),"",INDEX(J$1:J603,SUMPRODUCT(MAX(ROW(E$1:E603)*(E604=E$1:E603)))))</f>
        <v> </v>
      </c>
      <c r="L604" s="27"/>
    </row>
    <row r="605" spans="1:12">
      <c r="A605" s="20" t="s">
        <v>759</v>
      </c>
      <c r="E605" s="22">
        <f>IF(D605="?OLD","!!!","")</f>
        <v/>
      </c>
      <c r="F605" s="23" t="str">
        <f>IF(OR(E605="",E605="!!!"),"",IF(NOT(ISNA(VLOOKUP(E605,E$1:E604,1,FALSE()))),"OLD",IF(AND(E605&lt;&gt;"",E605&lt;&gt;"!!!"),"NEW","")))</f>
        <v> </v>
      </c>
      <c r="G605" s="24" t="str">
        <f>IF(OR(E605="",E605="!!!"),"",IF(OR(J605=0,AND(J605=1,K605=1),AND(J605=1,I605="SBJ"),AND(J605=1,I605=0)),"?IN_FOCUS",IF(J605&lt;=2,"?ACTIVATED",IF(J605&lt;&gt;"","?FAMILIAR",IF(F605="NEW",IF(ISNA(VLOOKUP(E605,#REF!,1,FALSE())),"?TYPE_IDENTIFIABLE","?REFERENTIAL"),"_")))))</f>
        <v> </v>
      </c>
      <c r="H605" s="25" t="str">
        <f>IF(J605&lt;&gt;1,"",IF(I605="SBJ","CB","?"))</f>
        <v> </v>
      </c>
      <c r="I605" s="26" t="str">
        <f>IF(OR(E605="",E605="!!!",F605="NEW"),"",INDEX(B604:B$2,-1+SUMPRODUCT(MAX(ROW(E604:E$2)*(E605=E604:E$2)))))</f>
        <v> </v>
      </c>
      <c r="J605" s="26" t="str">
        <f>IF(OR(E605="",E605="!!!",F605="NEW"),"",COUNTBLANK(OFFSET(A$1,,,SUMPRODUCT(MAX(ROW(E$2:E605)*(E605=E$2:E605)))))-COUNTBLANK(OFFSET(A$1,,,SUMPRODUCT(MAX(ROW(E$1:E604)*(E2=E$1:E604))))))</f>
        <v> </v>
      </c>
      <c r="K605" s="26" t="str">
        <f>IF(OR(E605="",E605="!!!",F605="NEW"),"",INDEX(J$1:J604,SUMPRODUCT(MAX(ROW(E$1:E604)*(E605=E$1:E604)))))</f>
        <v> </v>
      </c>
      <c r="L605" s="27"/>
    </row>
    <row r="606" spans="1:12">
      <c r="A606" s="20" t="s">
        <v>920</v>
      </c>
      <c r="E606" s="22">
        <f>IF(D606="?OLD","!!!","")</f>
        <v/>
      </c>
      <c r="F606" s="23" t="str">
        <f>IF(OR(E606="",E606="!!!"),"",IF(NOT(ISNA(VLOOKUP(E606,E$1:E605,1,FALSE()))),"OLD",IF(AND(E606&lt;&gt;"",E606&lt;&gt;"!!!"),"NEW","")))</f>
        <v> </v>
      </c>
      <c r="G606" s="24" t="str">
        <f>IF(OR(E606="",E606="!!!"),"",IF(OR(J606=0,AND(J606=1,K606=1),AND(J606=1,I606="SBJ"),AND(J606=1,I606=0)),"?IN_FOCUS",IF(J606&lt;=2,"?ACTIVATED",IF(J606&lt;&gt;"","?FAMILIAR",IF(F606="NEW",IF(ISNA(VLOOKUP(E606,#REF!,1,FALSE())),"?TYPE_IDENTIFIABLE","?REFERENTIAL"),"_")))))</f>
        <v> </v>
      </c>
      <c r="H606" s="25" t="str">
        <f>IF(J606&lt;&gt;1,"",IF(I606="SBJ","CB","?"))</f>
        <v> </v>
      </c>
      <c r="I606" s="26" t="str">
        <f>IF(OR(E606="",E606="!!!",F606="NEW"),"",INDEX(B605:B$2,-1+SUMPRODUCT(MAX(ROW(E605:E$2)*(E606=E605:E$2)))))</f>
        <v> </v>
      </c>
      <c r="J606" s="26" t="str">
        <f>IF(OR(E606="",E606="!!!",F606="NEW"),"",COUNTBLANK(OFFSET(A$1,,,SUMPRODUCT(MAX(ROW(E$2:E606)*(E606=E$2:E606)))))-COUNTBLANK(OFFSET(A$1,,,SUMPRODUCT(MAX(ROW(E$1:E605)*(E2=E$1:E605))))))</f>
        <v> </v>
      </c>
      <c r="K606" s="26" t="str">
        <f>IF(OR(E606="",E606="!!!",F606="NEW"),"",INDEX(J$1:J605,SUMPRODUCT(MAX(ROW(E$1:E605)*(E606=E$1:E605)))))</f>
        <v> </v>
      </c>
      <c r="L606" s="27"/>
    </row>
    <row r="607" spans="1:12">
      <c r="A607" s="20" t="s">
        <v>859</v>
      </c>
      <c r="B607" s="21" t="s">
        <v>796</v>
      </c>
      <c r="C607" s="21" t="s">
        <v>789</v>
      </c>
      <c r="D607" s="21" t="s">
        <v>730</v>
      </c>
      <c r="E607" s="22">
        <f>IF(D607="?OLD","!!!","")</f>
        <v/>
      </c>
      <c r="F607" s="23" t="str">
        <f>IF(OR(E607="",E607="!!!"),"",IF(NOT(ISNA(VLOOKUP(E607,E$1:E606,1,FALSE()))),"OLD",IF(AND(E607&lt;&gt;"",E607&lt;&gt;"!!!"),"NEW","")))</f>
        <v> </v>
      </c>
      <c r="G607" s="24" t="str">
        <f>IF(OR(E607="",E607="!!!"),"",IF(OR(J607=0,AND(J607=1,K607=1),AND(J607=1,I607="SBJ"),AND(J607=1,I607=0)),"?IN_FOCUS",IF(J607&lt;=2,"?ACTIVATED",IF(J607&lt;&gt;"","?FAMILIAR",IF(F607="NEW",IF(ISNA(VLOOKUP(E607,#REF!,1,FALSE())),"?TYPE_IDENTIFIABLE","?REFERENTIAL"),"_")))))</f>
        <v> </v>
      </c>
      <c r="H607" s="25" t="str">
        <f>IF(J607&lt;&gt;1,"",IF(I607="SBJ","CB","?"))</f>
        <v> </v>
      </c>
      <c r="I607" s="26" t="str">
        <f>IF(OR(E607="",E607="!!!",F607="NEW"),"",INDEX(B606:B$2,-1+SUMPRODUCT(MAX(ROW(E606:E$2)*(E607=E606:E$2)))))</f>
        <v> </v>
      </c>
      <c r="J607" s="26" t="str">
        <f>IF(OR(E607="",E607="!!!",F607="NEW"),"",COUNTBLANK(OFFSET(A$1,,,SUMPRODUCT(MAX(ROW(E$2:E607)*(E607=E$2:E607)))))-COUNTBLANK(OFFSET(A$1,,,SUMPRODUCT(MAX(ROW(E$1:E606)*(E2=E$1:E606))))))</f>
        <v> </v>
      </c>
      <c r="K607" s="26" t="str">
        <f>IF(OR(E607="",E607="!!!",F607="NEW"),"",INDEX(J$1:J606,SUMPRODUCT(MAX(ROW(E$1:E606)*(E607=E$1:E606)))))</f>
        <v> </v>
      </c>
      <c r="L607" s="27"/>
    </row>
    <row r="608" spans="1:12">
      <c r="A608" s="20" t="s">
        <v>825</v>
      </c>
      <c r="E608" s="22">
        <f>IF(D608="?OLD","!!!","")</f>
        <v/>
      </c>
      <c r="F608" s="23" t="str">
        <f>IF(OR(E608="",E608="!!!"),"",IF(NOT(ISNA(VLOOKUP(E608,E$1:E607,1,FALSE()))),"OLD",IF(AND(E608&lt;&gt;"",E608&lt;&gt;"!!!"),"NEW","")))</f>
        <v> </v>
      </c>
      <c r="G608" s="24" t="str">
        <f>IF(OR(E608="",E608="!!!"),"",IF(OR(J608=0,AND(J608=1,K608=1),AND(J608=1,I608="SBJ"),AND(J608=1,I608=0)),"?IN_FOCUS",IF(J608&lt;=2,"?ACTIVATED",IF(J608&lt;&gt;"","?FAMILIAR",IF(F608="NEW",IF(ISNA(VLOOKUP(E608,#REF!,1,FALSE())),"?TYPE_IDENTIFIABLE","?REFERENTIAL"),"_")))))</f>
        <v> </v>
      </c>
      <c r="H608" s="25" t="str">
        <f>IF(J608&lt;&gt;1,"",IF(I608="SBJ","CB","?"))</f>
        <v> </v>
      </c>
      <c r="I608" s="26" t="str">
        <f>IF(OR(E608="",E608="!!!",F608="NEW"),"",INDEX(B607:B$2,-1+SUMPRODUCT(MAX(ROW(E607:E$2)*(E608=E607:E$2)))))</f>
        <v> </v>
      </c>
      <c r="J608" s="26" t="str">
        <f>IF(OR(E608="",E608="!!!",F608="NEW"),"",COUNTBLANK(OFFSET(A$1,,,SUMPRODUCT(MAX(ROW(E$2:E608)*(E608=E$2:E608)))))-COUNTBLANK(OFFSET(A$1,,,SUMPRODUCT(MAX(ROW(E$1:E607)*(E2=E$1:E607))))))</f>
        <v> </v>
      </c>
      <c r="K608" s="26" t="str">
        <f>IF(OR(E608="",E608="!!!",F608="NEW"),"",INDEX(J$1:J607,SUMPRODUCT(MAX(ROW(E$1:E607)*(E608=E$1:E607)))))</f>
        <v> </v>
      </c>
      <c r="L608" s="27"/>
    </row>
    <row r="609" spans="1:12">
      <c r="A609" s="20" t="s">
        <v>1062</v>
      </c>
      <c r="B609" s="21" t="s">
        <v>739</v>
      </c>
      <c r="C609" s="21" t="s">
        <v>740</v>
      </c>
      <c r="D609" s="21" t="s">
        <v>730</v>
      </c>
      <c r="E609" s="22">
        <f>IF(D609="?OLD","!!!","")</f>
        <v/>
      </c>
      <c r="F609" s="23" t="str">
        <f>IF(OR(E609="",E609="!!!"),"",IF(NOT(ISNA(VLOOKUP(E609,E$1:E608,1,FALSE()))),"OLD",IF(AND(E609&lt;&gt;"",E609&lt;&gt;"!!!"),"NEW","")))</f>
        <v> </v>
      </c>
      <c r="G609" s="24" t="str">
        <f>IF(OR(E609="",E609="!!!"),"",IF(OR(J609=0,AND(J609=1,K609=1),AND(J609=1,I609="SBJ"),AND(J609=1,I609=0)),"?IN_FOCUS",IF(J609&lt;=2,"?ACTIVATED",IF(J609&lt;&gt;"","?FAMILIAR",IF(F609="NEW",IF(ISNA(VLOOKUP(E609,#REF!,1,FALSE())),"?TYPE_IDENTIFIABLE","?REFERENTIAL"),"_")))))</f>
        <v> </v>
      </c>
      <c r="H609" s="25" t="str">
        <f>IF(J609&lt;&gt;1,"",IF(I609="SBJ","CB","?"))</f>
        <v> </v>
      </c>
      <c r="I609" s="26" t="str">
        <f>IF(OR(E609="",E609="!!!",F609="NEW"),"",INDEX(B608:B$2,-1+SUMPRODUCT(MAX(ROW(E608:E$2)*(E609=E608:E$2)))))</f>
        <v> </v>
      </c>
      <c r="J609" s="26" t="str">
        <f>IF(OR(E609="",E609="!!!",F609="NEW"),"",COUNTBLANK(OFFSET(A$1,,,SUMPRODUCT(MAX(ROW(E$2:E609)*(E609=E$2:E609)))))-COUNTBLANK(OFFSET(A$1,,,SUMPRODUCT(MAX(ROW(E$1:E608)*(E2=E$1:E608))))))</f>
        <v> </v>
      </c>
      <c r="K609" s="26" t="str">
        <f>IF(OR(E609="",E609="!!!",F609="NEW"),"",INDEX(J$1:J608,SUMPRODUCT(MAX(ROW(E$1:E608)*(E609=E$1:E608)))))</f>
        <v> </v>
      </c>
      <c r="L609" s="27"/>
    </row>
    <row r="610" spans="1:12">
      <c r="A610" s="20" t="s">
        <v>1063</v>
      </c>
      <c r="E610" s="22">
        <f>IF(D610="?OLD","!!!","")</f>
        <v/>
      </c>
      <c r="F610" s="23" t="str">
        <f>IF(OR(E610="",E610="!!!"),"",IF(NOT(ISNA(VLOOKUP(E610,E$1:E609,1,FALSE()))),"OLD",IF(AND(E610&lt;&gt;"",E610&lt;&gt;"!!!"),"NEW","")))</f>
        <v> </v>
      </c>
      <c r="G610" s="24" t="str">
        <f>IF(OR(E610="",E610="!!!"),"",IF(OR(J610=0,AND(J610=1,K610=1),AND(J610=1,I610="SBJ"),AND(J610=1,I610=0)),"?IN_FOCUS",IF(J610&lt;=2,"?ACTIVATED",IF(J610&lt;&gt;"","?FAMILIAR",IF(F610="NEW",IF(ISNA(VLOOKUP(E610,#REF!,1,FALSE())),"?TYPE_IDENTIFIABLE","?REFERENTIAL"),"_")))))</f>
        <v> </v>
      </c>
      <c r="H610" s="25" t="str">
        <f>IF(J610&lt;&gt;1,"",IF(I610="SBJ","CB","?"))</f>
        <v> </v>
      </c>
      <c r="I610" s="26" t="str">
        <f>IF(OR(E610="",E610="!!!",F610="NEW"),"",INDEX(B609:B$2,-1+SUMPRODUCT(MAX(ROW(E609:E$2)*(E610=E609:E$2)))))</f>
        <v> </v>
      </c>
      <c r="J610" s="26" t="str">
        <f>IF(OR(E610="",E610="!!!",F610="NEW"),"",COUNTBLANK(OFFSET(A$1,,,SUMPRODUCT(MAX(ROW(E$2:E610)*(E610=E$2:E610)))))-COUNTBLANK(OFFSET(A$1,,,SUMPRODUCT(MAX(ROW(E$1:E609)*(E2=E$1:E609))))))</f>
        <v> </v>
      </c>
      <c r="K610" s="26" t="str">
        <f>IF(OR(E610="",E610="!!!",F610="NEW"),"",INDEX(J$1:J609,SUMPRODUCT(MAX(ROW(E$1:E609)*(E610=E$1:E609)))))</f>
        <v> </v>
      </c>
      <c r="L610" s="27"/>
    </row>
    <row r="611" spans="1:12">
      <c r="A611" s="20" t="s">
        <v>246</v>
      </c>
      <c r="E611" s="22">
        <f>IF(D611="?OLD","!!!","")</f>
        <v/>
      </c>
      <c r="F611" s="23" t="str">
        <f>IF(OR(E611="",E611="!!!"),"",IF(NOT(ISNA(VLOOKUP(E611,E$1:E610,1,FALSE()))),"OLD",IF(AND(E611&lt;&gt;"",E611&lt;&gt;"!!!"),"NEW","")))</f>
        <v> </v>
      </c>
      <c r="G611" s="24" t="str">
        <f>IF(OR(E611="",E611="!!!"),"",IF(OR(J611=0,AND(J611=1,K611=1),AND(J611=1,I611="SBJ"),AND(J611=1,I611=0)),"?IN_FOCUS",IF(J611&lt;=2,"?ACTIVATED",IF(J611&lt;&gt;"","?FAMILIAR",IF(F611="NEW",IF(ISNA(VLOOKUP(E611,#REF!,1,FALSE())),"?TYPE_IDENTIFIABLE","?REFERENTIAL"),"_")))))</f>
        <v> </v>
      </c>
      <c r="H611" s="25" t="str">
        <f>IF(J611&lt;&gt;1,"",IF(I611="SBJ","CB","?"))</f>
        <v> </v>
      </c>
      <c r="I611" s="26" t="str">
        <f>IF(OR(E611="",E611="!!!",F611="NEW"),"",INDEX(B610:B$2,-1+SUMPRODUCT(MAX(ROW(E610:E$2)*(E611=E610:E$2)))))</f>
        <v> </v>
      </c>
      <c r="J611" s="26" t="str">
        <f>IF(OR(E611="",E611="!!!",F611="NEW"),"",COUNTBLANK(OFFSET(A$1,,,SUMPRODUCT(MAX(ROW(E$2:E611)*(E611=E$2:E611)))))-COUNTBLANK(OFFSET(A$1,,,SUMPRODUCT(MAX(ROW(E$1:E610)*(E2=E$1:E610))))))</f>
        <v> </v>
      </c>
      <c r="K611" s="26" t="str">
        <f>IF(OR(E611="",E611="!!!",F611="NEW"),"",INDEX(J$1:J610,SUMPRODUCT(MAX(ROW(E$1:E610)*(E611=E$1:E610)))))</f>
        <v> </v>
      </c>
      <c r="L611" s="27"/>
    </row>
    <row r="612" spans="1:12">
      <c r="A612" s="20"/>
    </row>
    <row r="613" spans="1:12">
      <c r="A613" s="20" t="s">
        <v>1064</v>
      </c>
    </row>
    <row r="614" spans="1:12">
      <c r="A614" s="20" t="s">
        <v>1065</v>
      </c>
      <c r="E614" s="22">
        <f>IF(D614="?OLD","!!!","")</f>
        <v/>
      </c>
      <c r="F614" s="23" t="str">
        <f>IF(OR(E614="",E614="!!!"),"",IF(NOT(ISNA(VLOOKUP(E614,E$1:E613,1,FALSE()))),"OLD",IF(AND(E614&lt;&gt;"",E614&lt;&gt;"!!!"),"NEW","")))</f>
        <v> </v>
      </c>
      <c r="G614" s="24" t="str">
        <f>IF(OR(E614="",E614="!!!"),"",IF(OR(J614=0,AND(J614=1,K614=1),AND(J614=1,I614="SBJ"),AND(J614=1,I614=0)),"?IN_FOCUS",IF(J614&lt;=2,"?ACTIVATED",IF(J614&lt;&gt;"","?FAMILIAR",IF(F614="NEW",IF(ISNA(VLOOKUP(E614,#REF!,1,FALSE())),"?TYPE_IDENTIFIABLE","?REFERENTIAL"),"_")))))</f>
        <v> </v>
      </c>
      <c r="H614" s="25" t="str">
        <f>IF(J614&lt;&gt;1,"",IF(I614="SBJ","CB","?"))</f>
        <v> </v>
      </c>
      <c r="I614" s="26" t="str">
        <f>IF(OR(E614="",E614="!!!",F614="NEW"),"",INDEX(B613:B$2,-1+SUMPRODUCT(MAX(ROW(E613:E$2)*(E614=E613:E$2)))))</f>
        <v> </v>
      </c>
      <c r="J614" s="26" t="str">
        <f>IF(OR(E614="",E614="!!!",F614="NEW"),"",COUNTBLANK(OFFSET(A$1,,,SUMPRODUCT(MAX(ROW(E$2:E614)*(E614=E$2:E614)))))-COUNTBLANK(OFFSET(A$1,,,SUMPRODUCT(MAX(ROW(E$1:E613)*(E2=E$1:E613))))))</f>
        <v> </v>
      </c>
      <c r="K614" s="26" t="str">
        <f>IF(OR(E614="",E614="!!!",F614="NEW"),"",INDEX(J$1:J613,SUMPRODUCT(MAX(ROW(E$1:E613)*(E614=E$1:E613)))))</f>
        <v> </v>
      </c>
      <c r="L614" s="27"/>
    </row>
    <row r="615" spans="1:12">
      <c r="A615" s="20" t="s">
        <v>759</v>
      </c>
      <c r="E615" s="22">
        <f>IF(D615="?OLD","!!!","")</f>
        <v/>
      </c>
      <c r="F615" s="23" t="str">
        <f>IF(OR(E615="",E615="!!!"),"",IF(NOT(ISNA(VLOOKUP(E615,E$1:E614,1,FALSE()))),"OLD",IF(AND(E615&lt;&gt;"",E615&lt;&gt;"!!!"),"NEW","")))</f>
        <v> </v>
      </c>
      <c r="G615" s="24" t="str">
        <f>IF(OR(E615="",E615="!!!"),"",IF(OR(J615=0,AND(J615=1,K615=1),AND(J615=1,I615="SBJ"),AND(J615=1,I615=0)),"?IN_FOCUS",IF(J615&lt;=2,"?ACTIVATED",IF(J615&lt;&gt;"","?FAMILIAR",IF(F615="NEW",IF(ISNA(VLOOKUP(E615,#REF!,1,FALSE())),"?TYPE_IDENTIFIABLE","?REFERENTIAL"),"_")))))</f>
        <v> </v>
      </c>
      <c r="H615" s="25" t="str">
        <f>IF(J615&lt;&gt;1,"",IF(I615="SBJ","CB","?"))</f>
        <v> </v>
      </c>
      <c r="I615" s="26" t="str">
        <f>IF(OR(E615="",E615="!!!",F615="NEW"),"",INDEX(B614:B$2,-1+SUMPRODUCT(MAX(ROW(E614:E$2)*(E615=E614:E$2)))))</f>
        <v> </v>
      </c>
      <c r="J615" s="26" t="str">
        <f>IF(OR(E615="",E615="!!!",F615="NEW"),"",COUNTBLANK(OFFSET(A$1,,,SUMPRODUCT(MAX(ROW(E$2:E615)*(E615=E$2:E615)))))-COUNTBLANK(OFFSET(A$1,,,SUMPRODUCT(MAX(ROW(E$1:E614)*(E2=E$1:E614))))))</f>
        <v> </v>
      </c>
      <c r="K615" s="26" t="str">
        <f>IF(OR(E615="",E615="!!!",F615="NEW"),"",INDEX(J$1:J614,SUMPRODUCT(MAX(ROW(E$1:E614)*(E615=E$1:E614)))))</f>
        <v> </v>
      </c>
      <c r="L615" s="27"/>
    </row>
    <row r="616" spans="1:12">
      <c r="A616" s="20" t="s">
        <v>773</v>
      </c>
      <c r="E616" s="22">
        <f>IF(D616="?OLD","!!!","")</f>
        <v/>
      </c>
      <c r="F616" s="23" t="str">
        <f>IF(OR(E616="",E616="!!!"),"",IF(NOT(ISNA(VLOOKUP(E616,E$1:E615,1,FALSE()))),"OLD",IF(AND(E616&lt;&gt;"",E616&lt;&gt;"!!!"),"NEW","")))</f>
        <v> </v>
      </c>
      <c r="G616" s="24" t="str">
        <f>IF(OR(E616="",E616="!!!"),"",IF(OR(J616=0,AND(J616=1,K616=1),AND(J616=1,I616="SBJ"),AND(J616=1,I616=0)),"?IN_FOCUS",IF(J616&lt;=2,"?ACTIVATED",IF(J616&lt;&gt;"","?FAMILIAR",IF(F616="NEW",IF(ISNA(VLOOKUP(E616,#REF!,1,FALSE())),"?TYPE_IDENTIFIABLE","?REFERENTIAL"),"_")))))</f>
        <v> </v>
      </c>
      <c r="H616" s="25" t="str">
        <f>IF(J616&lt;&gt;1,"",IF(I616="SBJ","CB","?"))</f>
        <v> </v>
      </c>
      <c r="I616" s="26" t="str">
        <f>IF(OR(E616="",E616="!!!",F616="NEW"),"",INDEX(B615:B$2,-1+SUMPRODUCT(MAX(ROW(E615:E$2)*(E616=E615:E$2)))))</f>
        <v> </v>
      </c>
      <c r="J616" s="26" t="str">
        <f>IF(OR(E616="",E616="!!!",F616="NEW"),"",COUNTBLANK(OFFSET(A$1,,,SUMPRODUCT(MAX(ROW(E$2:E616)*(E616=E$2:E616)))))-COUNTBLANK(OFFSET(A$1,,,SUMPRODUCT(MAX(ROW(E$1:E615)*(E2=E$1:E615))))))</f>
        <v> </v>
      </c>
      <c r="K616" s="26" t="str">
        <f>IF(OR(E616="",E616="!!!",F616="NEW"),"",INDEX(J$1:J615,SUMPRODUCT(MAX(ROW(E$1:E615)*(E616=E$1:E615)))))</f>
        <v> </v>
      </c>
      <c r="L616" s="27"/>
    </row>
    <row r="617" spans="1:12">
      <c r="A617" s="20" t="s">
        <v>840</v>
      </c>
      <c r="E617" s="22">
        <f>IF(D617="?OLD","!!!","")</f>
        <v/>
      </c>
      <c r="F617" s="23" t="str">
        <f>IF(OR(E617="",E617="!!!"),"",IF(NOT(ISNA(VLOOKUP(E617,E$1:E616,1,FALSE()))),"OLD",IF(AND(E617&lt;&gt;"",E617&lt;&gt;"!!!"),"NEW","")))</f>
        <v> </v>
      </c>
      <c r="G617" s="24" t="str">
        <f>IF(OR(E617="",E617="!!!"),"",IF(OR(J617=0,AND(J617=1,K617=1),AND(J617=1,I617="SBJ"),AND(J617=1,I617=0)),"?IN_FOCUS",IF(J617&lt;=2,"?ACTIVATED",IF(J617&lt;&gt;"","?FAMILIAR",IF(F617="NEW",IF(ISNA(VLOOKUP(E617,#REF!,1,FALSE())),"?TYPE_IDENTIFIABLE","?REFERENTIAL"),"_")))))</f>
        <v> </v>
      </c>
      <c r="H617" s="25" t="str">
        <f>IF(J617&lt;&gt;1,"",IF(I617="SBJ","CB","?"))</f>
        <v> </v>
      </c>
      <c r="I617" s="26" t="str">
        <f>IF(OR(E617="",E617="!!!",F617="NEW"),"",INDEX(B616:B$2,-1+SUMPRODUCT(MAX(ROW(E616:E$2)*(E617=E616:E$2)))))</f>
        <v> </v>
      </c>
      <c r="J617" s="26" t="str">
        <f>IF(OR(E617="",E617="!!!",F617="NEW"),"",COUNTBLANK(OFFSET(A$1,,,SUMPRODUCT(MAX(ROW(E$2:E617)*(E617=E$2:E617)))))-COUNTBLANK(OFFSET(A$1,,,SUMPRODUCT(MAX(ROW(E$1:E616)*(E2=E$1:E616))))))</f>
        <v> </v>
      </c>
      <c r="K617" s="26" t="str">
        <f>IF(OR(E617="",E617="!!!",F617="NEW"),"",INDEX(J$1:J616,SUMPRODUCT(MAX(ROW(E$1:E616)*(E617=E$1:E616)))))</f>
        <v> </v>
      </c>
      <c r="L617" s="27"/>
    </row>
    <row r="618" spans="1:12">
      <c r="A618" s="20" t="s">
        <v>162</v>
      </c>
      <c r="E618" s="22">
        <f>IF(D618="?OLD","!!!","")</f>
        <v/>
      </c>
      <c r="F618" s="23" t="str">
        <f>IF(OR(E618="",E618="!!!"),"",IF(NOT(ISNA(VLOOKUP(E618,E$1:E617,1,FALSE()))),"OLD",IF(AND(E618&lt;&gt;"",E618&lt;&gt;"!!!"),"NEW","")))</f>
        <v> </v>
      </c>
      <c r="G618" s="24" t="str">
        <f>IF(OR(E618="",E618="!!!"),"",IF(OR(J618=0,AND(J618=1,K618=1),AND(J618=1,I618="SBJ"),AND(J618=1,I618=0)),"?IN_FOCUS",IF(J618&lt;=2,"?ACTIVATED",IF(J618&lt;&gt;"","?FAMILIAR",IF(F618="NEW",IF(ISNA(VLOOKUP(E618,#REF!,1,FALSE())),"?TYPE_IDENTIFIABLE","?REFERENTIAL"),"_")))))</f>
        <v> </v>
      </c>
      <c r="H618" s="25" t="str">
        <f>IF(J618&lt;&gt;1,"",IF(I618="SBJ","CB","?"))</f>
        <v> </v>
      </c>
      <c r="I618" s="26" t="str">
        <f>IF(OR(E618="",E618="!!!",F618="NEW"),"",INDEX(B617:B$2,-1+SUMPRODUCT(MAX(ROW(E617:E$2)*(E618=E617:E$2)))))</f>
        <v> </v>
      </c>
      <c r="J618" s="26" t="str">
        <f>IF(OR(E618="",E618="!!!",F618="NEW"),"",COUNTBLANK(OFFSET(A$1,,,SUMPRODUCT(MAX(ROW(E$2:E618)*(E618=E$2:E618)))))-COUNTBLANK(OFFSET(A$1,,,SUMPRODUCT(MAX(ROW(E$1:E617)*(E2=E$1:E617))))))</f>
        <v> </v>
      </c>
      <c r="K618" s="26" t="str">
        <f>IF(OR(E618="",E618="!!!",F618="NEW"),"",INDEX(J$1:J617,SUMPRODUCT(MAX(ROW(E$1:E617)*(E618=E$1:E617)))))</f>
        <v> </v>
      </c>
      <c r="L618" s="27"/>
    </row>
    <row r="619" spans="1:12">
      <c r="A619" s="20" t="s">
        <v>1066</v>
      </c>
      <c r="B619" s="21" t="s">
        <v>736</v>
      </c>
      <c r="C619" s="21" t="s">
        <v>1067</v>
      </c>
      <c r="D619" s="21" t="s">
        <v>730</v>
      </c>
      <c r="E619" s="22">
        <f>IF(D619="?OLD","!!!","")</f>
        <v/>
      </c>
      <c r="F619" s="23" t="str">
        <f>IF(OR(E619="",E619="!!!"),"",IF(NOT(ISNA(VLOOKUP(E619,E$1:E618,1,FALSE()))),"OLD",IF(AND(E619&lt;&gt;"",E619&lt;&gt;"!!!"),"NEW","")))</f>
        <v> </v>
      </c>
      <c r="G619" s="24" t="str">
        <f>IF(OR(E619="",E619="!!!"),"",IF(OR(J619=0,AND(J619=1,K619=1),AND(J619=1,I619="SBJ"),AND(J619=1,I619=0)),"?IN_FOCUS",IF(J619&lt;=2,"?ACTIVATED",IF(J619&lt;&gt;"","?FAMILIAR",IF(F619="NEW",IF(ISNA(VLOOKUP(E619,#REF!,1,FALSE())),"?TYPE_IDENTIFIABLE","?REFERENTIAL"),"_")))))</f>
        <v> </v>
      </c>
      <c r="H619" s="25" t="str">
        <f>IF(J619&lt;&gt;1,"",IF(I619="SBJ","CB","?"))</f>
        <v> </v>
      </c>
      <c r="I619" s="26" t="str">
        <f>IF(OR(E619="",E619="!!!",F619="NEW"),"",INDEX(B618:B$2,-1+SUMPRODUCT(MAX(ROW(E618:E$2)*(E619=E618:E$2)))))</f>
        <v> </v>
      </c>
      <c r="J619" s="26" t="str">
        <f>IF(OR(E619="",E619="!!!",F619="NEW"),"",COUNTBLANK(OFFSET(A$1,,,SUMPRODUCT(MAX(ROW(E$2:E619)*(E619=E$2:E619)))))-COUNTBLANK(OFFSET(A$1,,,SUMPRODUCT(MAX(ROW(E$1:E618)*(E2=E$1:E618))))))</f>
        <v> </v>
      </c>
      <c r="K619" s="26" t="str">
        <f>IF(OR(E619="",E619="!!!",F619="NEW"),"",INDEX(J$1:J618,SUMPRODUCT(MAX(ROW(E$1:E618)*(E619=E$1:E618)))))</f>
        <v> </v>
      </c>
      <c r="L619" s="27"/>
    </row>
    <row r="620" spans="1:12">
      <c r="A620" s="20" t="s">
        <v>759</v>
      </c>
      <c r="E620" s="22">
        <f>IF(D620="?OLD","!!!","")</f>
        <v/>
      </c>
      <c r="F620" s="23" t="str">
        <f>IF(OR(E620="",E620="!!!"),"",IF(NOT(ISNA(VLOOKUP(E620,E$1:E619,1,FALSE()))),"OLD",IF(AND(E620&lt;&gt;"",E620&lt;&gt;"!!!"),"NEW","")))</f>
        <v> </v>
      </c>
      <c r="G620" s="24" t="str">
        <f>IF(OR(E620="",E620="!!!"),"",IF(OR(J620=0,AND(J620=1,K620=1),AND(J620=1,I620="SBJ"),AND(J620=1,I620=0)),"?IN_FOCUS",IF(J620&lt;=2,"?ACTIVATED",IF(J620&lt;&gt;"","?FAMILIAR",IF(F620="NEW",IF(ISNA(VLOOKUP(E620,#REF!,1,FALSE())),"?TYPE_IDENTIFIABLE","?REFERENTIAL"),"_")))))</f>
        <v> </v>
      </c>
      <c r="H620" s="25" t="str">
        <f>IF(J620&lt;&gt;1,"",IF(I620="SBJ","CB","?"))</f>
        <v> </v>
      </c>
      <c r="I620" s="26" t="str">
        <f>IF(OR(E620="",E620="!!!",F620="NEW"),"",INDEX(B619:B$2,-1+SUMPRODUCT(MAX(ROW(E619:E$2)*(E620=E619:E$2)))))</f>
        <v> </v>
      </c>
      <c r="J620" s="26" t="str">
        <f>IF(OR(E620="",E620="!!!",F620="NEW"),"",COUNTBLANK(OFFSET(A$1,,,SUMPRODUCT(MAX(ROW(E$2:E620)*(E620=E$2:E620)))))-COUNTBLANK(OFFSET(A$1,,,SUMPRODUCT(MAX(ROW(E$1:E619)*(E2=E$1:E619))))))</f>
        <v> </v>
      </c>
      <c r="K620" s="26" t="str">
        <f>IF(OR(E620="",E620="!!!",F620="NEW"),"",INDEX(J$1:J619,SUMPRODUCT(MAX(ROW(E$1:E619)*(E620=E$1:E619)))))</f>
        <v> </v>
      </c>
      <c r="L620" s="27"/>
    </row>
    <row r="621" spans="1:12">
      <c r="A621" s="20" t="s">
        <v>813</v>
      </c>
      <c r="B621" s="21" t="s">
        <v>788</v>
      </c>
      <c r="E621" s="22">
        <f>IF(D621="?OLD","!!!","")</f>
        <v/>
      </c>
      <c r="F621" s="23" t="str">
        <f>IF(OR(E621="",E621="!!!"),"",IF(NOT(ISNA(VLOOKUP(E621,E$1:E620,1,FALSE()))),"OLD",IF(AND(E621&lt;&gt;"",E621&lt;&gt;"!!!"),"NEW","")))</f>
        <v> </v>
      </c>
      <c r="G621" s="24" t="str">
        <f>IF(OR(E621="",E621="!!!"),"",IF(OR(J621=0,AND(J621=1,K621=1),AND(J621=1,I621="SBJ"),AND(J621=1,I621=0)),"?IN_FOCUS",IF(J621&lt;=2,"?ACTIVATED",IF(J621&lt;&gt;"","?FAMILIAR",IF(F621="NEW",IF(ISNA(VLOOKUP(E621,#REF!,1,FALSE())),"?TYPE_IDENTIFIABLE","?REFERENTIAL"),"_")))))</f>
        <v> </v>
      </c>
      <c r="H621" s="25" t="str">
        <f>IF(J621&lt;&gt;1,"",IF(I621="SBJ","CB","?"))</f>
        <v> </v>
      </c>
      <c r="I621" s="26" t="str">
        <f>IF(OR(E621="",E621="!!!",F621="NEW"),"",INDEX(B620:B$2,-1+SUMPRODUCT(MAX(ROW(E620:E$2)*(E621=E620:E$2)))))</f>
        <v> </v>
      </c>
      <c r="J621" s="26" t="str">
        <f>IF(OR(E621="",E621="!!!",F621="NEW"),"",COUNTBLANK(OFFSET(A$1,,,SUMPRODUCT(MAX(ROW(E$2:E621)*(E621=E$2:E621)))))-COUNTBLANK(OFFSET(A$1,,,SUMPRODUCT(MAX(ROW(E$1:E620)*(E2=E$1:E620))))))</f>
        <v> </v>
      </c>
      <c r="K621" s="26" t="str">
        <f>IF(OR(E621="",E621="!!!",F621="NEW"),"",INDEX(J$1:J620,SUMPRODUCT(MAX(ROW(E$1:E620)*(E621=E$1:E620)))))</f>
        <v> </v>
      </c>
      <c r="L621" s="27"/>
    </row>
    <row r="622" spans="1:12">
      <c r="A622" s="20" t="s">
        <v>1068</v>
      </c>
      <c r="E622" s="22">
        <f>IF(D622="?OLD","!!!","")</f>
        <v/>
      </c>
      <c r="F622" s="23" t="str">
        <f>IF(OR(E622="",E622="!!!"),"",IF(NOT(ISNA(VLOOKUP(E622,E$1:E621,1,FALSE()))),"OLD",IF(AND(E622&lt;&gt;"",E622&lt;&gt;"!!!"),"NEW","")))</f>
        <v> </v>
      </c>
      <c r="G622" s="24" t="str">
        <f>IF(OR(E622="",E622="!!!"),"",IF(OR(J622=0,AND(J622=1,K622=1),AND(J622=1,I622="SBJ"),AND(J622=1,I622=0)),"?IN_FOCUS",IF(J622&lt;=2,"?ACTIVATED",IF(J622&lt;&gt;"","?FAMILIAR",IF(F622="NEW",IF(ISNA(VLOOKUP(E622,#REF!,1,FALSE())),"?TYPE_IDENTIFIABLE","?REFERENTIAL"),"_")))))</f>
        <v> </v>
      </c>
      <c r="H622" s="25" t="str">
        <f>IF(J622&lt;&gt;1,"",IF(I622="SBJ","CB","?"))</f>
        <v> </v>
      </c>
      <c r="I622" s="26" t="str">
        <f>IF(OR(E622="",E622="!!!",F622="NEW"),"",INDEX(B621:B$2,-1+SUMPRODUCT(MAX(ROW(E621:E$2)*(E622=E621:E$2)))))</f>
        <v> </v>
      </c>
      <c r="J622" s="26" t="str">
        <f>IF(OR(E622="",E622="!!!",F622="NEW"),"",COUNTBLANK(OFFSET(A$1,,,SUMPRODUCT(MAX(ROW(E$2:E622)*(E622=E$2:E622)))))-COUNTBLANK(OFFSET(A$1,,,SUMPRODUCT(MAX(ROW(E$1:E621)*(E2=E$1:E621))))))</f>
        <v> </v>
      </c>
      <c r="K622" s="26" t="str">
        <f>IF(OR(E622="",E622="!!!",F622="NEW"),"",INDEX(J$1:J621,SUMPRODUCT(MAX(ROW(E$1:E621)*(E622=E$1:E621)))))</f>
        <v> </v>
      </c>
      <c r="L622" s="27"/>
    </row>
    <row r="623" spans="1:12">
      <c r="A623" s="20" t="s">
        <v>1069</v>
      </c>
      <c r="E623" s="22">
        <f>IF(D623="?OLD","!!!","")</f>
        <v/>
      </c>
      <c r="F623" s="23" t="str">
        <f>IF(OR(E623="",E623="!!!"),"",IF(NOT(ISNA(VLOOKUP(E623,E$1:E622,1,FALSE()))),"OLD",IF(AND(E623&lt;&gt;"",E623&lt;&gt;"!!!"),"NEW","")))</f>
        <v> </v>
      </c>
      <c r="G623" s="24" t="str">
        <f>IF(OR(E623="",E623="!!!"),"",IF(OR(J623=0,AND(J623=1,K623=1),AND(J623=1,I623="SBJ"),AND(J623=1,I623=0)),"?IN_FOCUS",IF(J623&lt;=2,"?ACTIVATED",IF(J623&lt;&gt;"","?FAMILIAR",IF(F623="NEW",IF(ISNA(VLOOKUP(E623,#REF!,1,FALSE())),"?TYPE_IDENTIFIABLE","?REFERENTIAL"),"_")))))</f>
        <v> </v>
      </c>
      <c r="H623" s="25" t="str">
        <f>IF(J623&lt;&gt;1,"",IF(I623="SBJ","CB","?"))</f>
        <v> </v>
      </c>
      <c r="I623" s="26" t="str">
        <f>IF(OR(E623="",E623="!!!",F623="NEW"),"",INDEX(B622:B$2,-1+SUMPRODUCT(MAX(ROW(E622:E$2)*(E623=E622:E$2)))))</f>
        <v> </v>
      </c>
      <c r="J623" s="26" t="str">
        <f>IF(OR(E623="",E623="!!!",F623="NEW"),"",COUNTBLANK(OFFSET(A$1,,,SUMPRODUCT(MAX(ROW(E$2:E623)*(E623=E$2:E623)))))-COUNTBLANK(OFFSET(A$1,,,SUMPRODUCT(MAX(ROW(E$1:E622)*(E2=E$1:E622))))))</f>
        <v> </v>
      </c>
      <c r="K623" s="26" t="str">
        <f>IF(OR(E623="",E623="!!!",F623="NEW"),"",INDEX(J$1:J622,SUMPRODUCT(MAX(ROW(E$1:E622)*(E623=E$1:E622)))))</f>
        <v> </v>
      </c>
      <c r="L623" s="27"/>
    </row>
    <row r="624" spans="1:12">
      <c r="A624" s="20" t="s">
        <v>1070</v>
      </c>
      <c r="E624" s="22">
        <f>IF(D624="?OLD","!!!","")</f>
        <v/>
      </c>
      <c r="F624" s="23" t="str">
        <f>IF(OR(E624="",E624="!!!"),"",IF(NOT(ISNA(VLOOKUP(E624,E$1:E623,1,FALSE()))),"OLD",IF(AND(E624&lt;&gt;"",E624&lt;&gt;"!!!"),"NEW","")))</f>
        <v> </v>
      </c>
      <c r="G624" s="24" t="str">
        <f>IF(OR(E624="",E624="!!!"),"",IF(OR(J624=0,AND(J624=1,K624=1),AND(J624=1,I624="SBJ"),AND(J624=1,I624=0)),"?IN_FOCUS",IF(J624&lt;=2,"?ACTIVATED",IF(J624&lt;&gt;"","?FAMILIAR",IF(F624="NEW",IF(ISNA(VLOOKUP(E624,#REF!,1,FALSE())),"?TYPE_IDENTIFIABLE","?REFERENTIAL"),"_")))))</f>
        <v> </v>
      </c>
      <c r="H624" s="25" t="str">
        <f>IF(J624&lt;&gt;1,"",IF(I624="SBJ","CB","?"))</f>
        <v> </v>
      </c>
      <c r="I624" s="26" t="str">
        <f>IF(OR(E624="",E624="!!!",F624="NEW"),"",INDEX(B623:B$2,-1+SUMPRODUCT(MAX(ROW(E623:E$2)*(E624=E623:E$2)))))</f>
        <v> </v>
      </c>
      <c r="J624" s="26" t="str">
        <f>IF(OR(E624="",E624="!!!",F624="NEW"),"",COUNTBLANK(OFFSET(A$1,,,SUMPRODUCT(MAX(ROW(E$2:E624)*(E624=E$2:E624)))))-COUNTBLANK(OFFSET(A$1,,,SUMPRODUCT(MAX(ROW(E$1:E623)*(E2=E$1:E623))))))</f>
        <v> </v>
      </c>
      <c r="K624" s="26" t="str">
        <f>IF(OR(E624="",E624="!!!",F624="NEW"),"",INDEX(J$1:J623,SUMPRODUCT(MAX(ROW(E$1:E623)*(E624=E$1:E623)))))</f>
        <v> </v>
      </c>
      <c r="L624" s="27"/>
    </row>
    <row r="625" spans="1:12">
      <c r="A625" s="20" t="s">
        <v>759</v>
      </c>
      <c r="E625" s="22">
        <f>IF(D625="?OLD","!!!","")</f>
        <v/>
      </c>
      <c r="F625" s="23" t="str">
        <f>IF(OR(E625="",E625="!!!"),"",IF(NOT(ISNA(VLOOKUP(E625,E$1:E624,1,FALSE()))),"OLD",IF(AND(E625&lt;&gt;"",E625&lt;&gt;"!!!"),"NEW","")))</f>
        <v> </v>
      </c>
      <c r="G625" s="24" t="str">
        <f>IF(OR(E625="",E625="!!!"),"",IF(OR(J625=0,AND(J625=1,K625=1),AND(J625=1,I625="SBJ"),AND(J625=1,I625=0)),"?IN_FOCUS",IF(J625&lt;=2,"?ACTIVATED",IF(J625&lt;&gt;"","?FAMILIAR",IF(F625="NEW",IF(ISNA(VLOOKUP(E625,#REF!,1,FALSE())),"?TYPE_IDENTIFIABLE","?REFERENTIAL"),"_")))))</f>
        <v> </v>
      </c>
      <c r="H625" s="25" t="str">
        <f>IF(J625&lt;&gt;1,"",IF(I625="SBJ","CB","?"))</f>
        <v> </v>
      </c>
      <c r="I625" s="26" t="str">
        <f>IF(OR(E625="",E625="!!!",F625="NEW"),"",INDEX(B624:B$2,-1+SUMPRODUCT(MAX(ROW(E624:E$2)*(E625=E624:E$2)))))</f>
        <v> </v>
      </c>
      <c r="J625" s="26" t="str">
        <f>IF(OR(E625="",E625="!!!",F625="NEW"),"",COUNTBLANK(OFFSET(A$1,,,SUMPRODUCT(MAX(ROW(E$2:E625)*(E625=E$2:E625)))))-COUNTBLANK(OFFSET(A$1,,,SUMPRODUCT(MAX(ROW(E$1:E624)*(E2=E$1:E624))))))</f>
        <v> </v>
      </c>
      <c r="K625" s="26" t="str">
        <f>IF(OR(E625="",E625="!!!",F625="NEW"),"",INDEX(J$1:J624,SUMPRODUCT(MAX(ROW(E$1:E624)*(E625=E$1:E624)))))</f>
        <v> </v>
      </c>
      <c r="L625" s="27"/>
    </row>
    <row r="626" spans="1:12">
      <c r="A626" s="20" t="s">
        <v>1071</v>
      </c>
      <c r="E626" s="22">
        <f>IF(D626="?OLD","!!!","")</f>
        <v/>
      </c>
      <c r="F626" s="23" t="str">
        <f>IF(OR(E626="",E626="!!!"),"",IF(NOT(ISNA(VLOOKUP(E626,E$1:E625,1,FALSE()))),"OLD",IF(AND(E626&lt;&gt;"",E626&lt;&gt;"!!!"),"NEW","")))</f>
        <v> </v>
      </c>
      <c r="G626" s="24" t="str">
        <f>IF(OR(E626="",E626="!!!"),"",IF(OR(J626=0,AND(J626=1,K626=1),AND(J626=1,I626="SBJ"),AND(J626=1,I626=0)),"?IN_FOCUS",IF(J626&lt;=2,"?ACTIVATED",IF(J626&lt;&gt;"","?FAMILIAR",IF(F626="NEW",IF(ISNA(VLOOKUP(E626,#REF!,1,FALSE())),"?TYPE_IDENTIFIABLE","?REFERENTIAL"),"_")))))</f>
        <v> </v>
      </c>
      <c r="H626" s="25" t="str">
        <f>IF(J626&lt;&gt;1,"",IF(I626="SBJ","CB","?"))</f>
        <v> </v>
      </c>
      <c r="I626" s="26" t="str">
        <f>IF(OR(E626="",E626="!!!",F626="NEW"),"",INDEX(B625:B$2,-1+SUMPRODUCT(MAX(ROW(E625:E$2)*(E626=E625:E$2)))))</f>
        <v> </v>
      </c>
      <c r="J626" s="26" t="str">
        <f>IF(OR(E626="",E626="!!!",F626="NEW"),"",COUNTBLANK(OFFSET(A$1,,,SUMPRODUCT(MAX(ROW(E$2:E626)*(E626=E$2:E626)))))-COUNTBLANK(OFFSET(A$1,,,SUMPRODUCT(MAX(ROW(E$1:E625)*(E2=E$1:E625))))))</f>
        <v> </v>
      </c>
      <c r="K626" s="26" t="str">
        <f>IF(OR(E626="",E626="!!!",F626="NEW"),"",INDEX(J$1:J625,SUMPRODUCT(MAX(ROW(E$1:E625)*(E626=E$1:E625)))))</f>
        <v> </v>
      </c>
      <c r="L626" s="27"/>
    </row>
    <row r="627" spans="1:12">
      <c r="A627" s="20" t="s">
        <v>750</v>
      </c>
      <c r="B627" s="21" t="s">
        <v>728</v>
      </c>
      <c r="C627" s="21" t="s">
        <v>729</v>
      </c>
      <c r="D627" s="21" t="s">
        <v>730</v>
      </c>
      <c r="E627" s="22">
        <f>IF(D627="?OLD","!!!","")</f>
        <v/>
      </c>
      <c r="F627" s="23" t="str">
        <f>IF(OR(E627="",E627="!!!"),"",IF(NOT(ISNA(VLOOKUP(E627,E$1:E626,1,FALSE()))),"OLD",IF(AND(E627&lt;&gt;"",E627&lt;&gt;"!!!"),"NEW","")))</f>
        <v> </v>
      </c>
      <c r="G627" s="24" t="str">
        <f>IF(OR(E627="",E627="!!!"),"",IF(OR(J627=0,AND(J627=1,K627=1),AND(J627=1,I627="SBJ"),AND(J627=1,I627=0)),"?IN_FOCUS",IF(J627&lt;=2,"?ACTIVATED",IF(J627&lt;&gt;"","?FAMILIAR",IF(F627="NEW",IF(ISNA(VLOOKUP(E627,#REF!,1,FALSE())),"?TYPE_IDENTIFIABLE","?REFERENTIAL"),"_")))))</f>
        <v> </v>
      </c>
      <c r="H627" s="25" t="str">
        <f>IF(J627&lt;&gt;1,"",IF(I627="SBJ","CB","?"))</f>
        <v> </v>
      </c>
      <c r="I627" s="26" t="str">
        <f>IF(OR(E627="",E627="!!!",F627="NEW"),"",INDEX(B626:B$2,-1+SUMPRODUCT(MAX(ROW(E626:E$2)*(E627=E626:E$2)))))</f>
        <v> </v>
      </c>
      <c r="J627" s="26" t="str">
        <f>IF(OR(E627="",E627="!!!",F627="NEW"),"",COUNTBLANK(OFFSET(A$1,,,SUMPRODUCT(MAX(ROW(E$2:E627)*(E627=E$2:E627)))))-COUNTBLANK(OFFSET(A$1,,,SUMPRODUCT(MAX(ROW(E$1:E626)*(E2=E$1:E626))))))</f>
        <v> </v>
      </c>
      <c r="K627" s="26" t="str">
        <f>IF(OR(E627="",E627="!!!",F627="NEW"),"",INDEX(J$1:J626,SUMPRODUCT(MAX(ROW(E$1:E626)*(E627=E$1:E626)))))</f>
        <v> </v>
      </c>
      <c r="L627" s="27"/>
    </row>
    <row r="628" spans="1:12">
      <c r="A628" s="20" t="s">
        <v>1072</v>
      </c>
      <c r="E628" s="22">
        <f>IF(D628="?OLD","!!!","")</f>
        <v/>
      </c>
      <c r="F628" s="23" t="str">
        <f>IF(OR(E628="",E628="!!!"),"",IF(NOT(ISNA(VLOOKUP(E628,E$1:E627,1,FALSE()))),"OLD",IF(AND(E628&lt;&gt;"",E628&lt;&gt;"!!!"),"NEW","")))</f>
        <v> </v>
      </c>
      <c r="G628" s="24" t="str">
        <f>IF(OR(E628="",E628="!!!"),"",IF(OR(J628=0,AND(J628=1,K628=1),AND(J628=1,I628="SBJ"),AND(J628=1,I628=0)),"?IN_FOCUS",IF(J628&lt;=2,"?ACTIVATED",IF(J628&lt;&gt;"","?FAMILIAR",IF(F628="NEW",IF(ISNA(VLOOKUP(E628,#REF!,1,FALSE())),"?TYPE_IDENTIFIABLE","?REFERENTIAL"),"_")))))</f>
        <v> </v>
      </c>
      <c r="H628" s="25" t="str">
        <f>IF(J628&lt;&gt;1,"",IF(I628="SBJ","CB","?"))</f>
        <v> </v>
      </c>
      <c r="I628" s="26" t="str">
        <f>IF(OR(E628="",E628="!!!",F628="NEW"),"",INDEX(B627:B$2,-1+SUMPRODUCT(MAX(ROW(E627:E$2)*(E628=E627:E$2)))))</f>
        <v> </v>
      </c>
      <c r="J628" s="26" t="str">
        <f>IF(OR(E628="",E628="!!!",F628="NEW"),"",COUNTBLANK(OFFSET(A$1,,,SUMPRODUCT(MAX(ROW(E$2:E628)*(E628=E$2:E628)))))-COUNTBLANK(OFFSET(A$1,,,SUMPRODUCT(MAX(ROW(E$1:E627)*(E2=E$1:E627))))))</f>
        <v> </v>
      </c>
      <c r="K628" s="26" t="str">
        <f>IF(OR(E628="",E628="!!!",F628="NEW"),"",INDEX(J$1:J627,SUMPRODUCT(MAX(ROW(E$1:E627)*(E628=E$1:E627)))))</f>
        <v> </v>
      </c>
      <c r="L628" s="27"/>
    </row>
    <row r="629" spans="1:12">
      <c r="A629" s="20" t="s">
        <v>20</v>
      </c>
      <c r="E629" s="22">
        <f>IF(D629="?OLD","!!!","")</f>
        <v/>
      </c>
      <c r="F629" s="23" t="str">
        <f>IF(OR(E629="",E629="!!!"),"",IF(NOT(ISNA(VLOOKUP(E629,E$1:E628,1,FALSE()))),"OLD",IF(AND(E629&lt;&gt;"",E629&lt;&gt;"!!!"),"NEW","")))</f>
        <v> </v>
      </c>
      <c r="G629" s="24" t="str">
        <f>IF(OR(E629="",E629="!!!"),"",IF(OR(J629=0,AND(J629=1,K629=1),AND(J629=1,I629="SBJ"),AND(J629=1,I629=0)),"?IN_FOCUS",IF(J629&lt;=2,"?ACTIVATED",IF(J629&lt;&gt;"","?FAMILIAR",IF(F629="NEW",IF(ISNA(VLOOKUP(E629,#REF!,1,FALSE())),"?TYPE_IDENTIFIABLE","?REFERENTIAL"),"_")))))</f>
        <v> </v>
      </c>
      <c r="H629" s="25" t="str">
        <f>IF(J629&lt;&gt;1,"",IF(I629="SBJ","CB","?"))</f>
        <v> </v>
      </c>
      <c r="I629" s="26" t="str">
        <f>IF(OR(E629="",E629="!!!",F629="NEW"),"",INDEX(B628:B$2,-1+SUMPRODUCT(MAX(ROW(E628:E$2)*(E629=E628:E$2)))))</f>
        <v> </v>
      </c>
      <c r="J629" s="26" t="str">
        <f>IF(OR(E629="",E629="!!!",F629="NEW"),"",COUNTBLANK(OFFSET(A$1,,,SUMPRODUCT(MAX(ROW(E$2:E629)*(E629=E$2:E629)))))-COUNTBLANK(OFFSET(A$1,,,SUMPRODUCT(MAX(ROW(E$1:E628)*(E2=E$1:E628))))))</f>
        <v> </v>
      </c>
      <c r="K629" s="26" t="str">
        <f>IF(OR(E629="",E629="!!!",F629="NEW"),"",INDEX(J$1:J628,SUMPRODUCT(MAX(ROW(E$1:E628)*(E629=E$1:E628)))))</f>
        <v> </v>
      </c>
      <c r="L629" s="27"/>
    </row>
    <row r="630" spans="1:12">
      <c r="A630" s="20" t="s">
        <v>1015</v>
      </c>
      <c r="E630" s="22">
        <f>IF(D630="?OLD","!!!","")</f>
        <v/>
      </c>
      <c r="F630" s="23" t="str">
        <f>IF(OR(E630="",E630="!!!"),"",IF(NOT(ISNA(VLOOKUP(E630,E$1:E629,1,FALSE()))),"OLD",IF(AND(E630&lt;&gt;"",E630&lt;&gt;"!!!"),"NEW","")))</f>
        <v> </v>
      </c>
      <c r="G630" s="24" t="str">
        <f>IF(OR(E630="",E630="!!!"),"",IF(OR(J630=0,AND(J630=1,K630=1),AND(J630=1,I630="SBJ"),AND(J630=1,I630=0)),"?IN_FOCUS",IF(J630&lt;=2,"?ACTIVATED",IF(J630&lt;&gt;"","?FAMILIAR",IF(F630="NEW",IF(ISNA(VLOOKUP(E630,#REF!,1,FALSE())),"?TYPE_IDENTIFIABLE","?REFERENTIAL"),"_")))))</f>
        <v> </v>
      </c>
      <c r="H630" s="25" t="str">
        <f>IF(J630&lt;&gt;1,"",IF(I630="SBJ","CB","?"))</f>
        <v> </v>
      </c>
      <c r="I630" s="26" t="str">
        <f>IF(OR(E630="",E630="!!!",F630="NEW"),"",INDEX(B629:B$2,-1+SUMPRODUCT(MAX(ROW(E629:E$2)*(E630=E629:E$2)))))</f>
        <v> </v>
      </c>
      <c r="J630" s="26" t="str">
        <f>IF(OR(E630="",E630="!!!",F630="NEW"),"",COUNTBLANK(OFFSET(A$1,,,SUMPRODUCT(MAX(ROW(E$2:E630)*(E630=E$2:E630)))))-COUNTBLANK(OFFSET(A$1,,,SUMPRODUCT(MAX(ROW(E$1:E629)*(E2=E$1:E629))))))</f>
        <v> </v>
      </c>
      <c r="K630" s="26" t="str">
        <f>IF(OR(E630="",E630="!!!",F630="NEW"),"",INDEX(J$1:J629,SUMPRODUCT(MAX(ROW(E$1:E629)*(E630=E$1:E629)))))</f>
        <v> </v>
      </c>
      <c r="L630" s="27"/>
    </row>
    <row r="631" spans="1:12">
      <c r="A631" s="20" t="s">
        <v>1073</v>
      </c>
      <c r="B631" s="21" t="s">
        <v>764</v>
      </c>
      <c r="C631" s="21" t="s">
        <v>967</v>
      </c>
      <c r="E631" s="22">
        <f>IF(D631="?OLD","!!!","")</f>
        <v/>
      </c>
      <c r="F631" s="23" t="str">
        <f>IF(OR(E631="",E631="!!!"),"",IF(NOT(ISNA(VLOOKUP(E631,E$1:E630,1,FALSE()))),"OLD",IF(AND(E631&lt;&gt;"",E631&lt;&gt;"!!!"),"NEW","")))</f>
        <v> </v>
      </c>
      <c r="G631" s="24" t="str">
        <f>IF(OR(E631="",E631="!!!"),"",IF(OR(J631=0,AND(J631=1,K631=1),AND(J631=1,I631="SBJ"),AND(J631=1,I631=0)),"?IN_FOCUS",IF(J631&lt;=2,"?ACTIVATED",IF(J631&lt;&gt;"","?FAMILIAR",IF(F631="NEW",IF(ISNA(VLOOKUP(E631,#REF!,1,FALSE())),"?TYPE_IDENTIFIABLE","?REFERENTIAL"),"_")))))</f>
        <v> </v>
      </c>
      <c r="H631" s="25" t="str">
        <f>IF(J631&lt;&gt;1,"",IF(I631="SBJ","CB","?"))</f>
        <v> </v>
      </c>
      <c r="I631" s="26" t="str">
        <f>IF(OR(E631="",E631="!!!",F631="NEW"),"",INDEX(B630:B$2,-1+SUMPRODUCT(MAX(ROW(E630:E$2)*(E631=E630:E$2)))))</f>
        <v> </v>
      </c>
      <c r="J631" s="26" t="str">
        <f>IF(OR(E631="",E631="!!!",F631="NEW"),"",COUNTBLANK(OFFSET(A$1,,,SUMPRODUCT(MAX(ROW(E$2:E631)*(E631=E$2:E631)))))-COUNTBLANK(OFFSET(A$1,,,SUMPRODUCT(MAX(ROW(E$1:E630)*(E2=E$1:E630))))))</f>
        <v> </v>
      </c>
      <c r="K631" s="26" t="str">
        <f>IF(OR(E631="",E631="!!!",F631="NEW"),"",INDEX(J$1:J630,SUMPRODUCT(MAX(ROW(E$1:E630)*(E631=E$1:E630)))))</f>
        <v> </v>
      </c>
      <c r="L631" s="27"/>
    </row>
    <row r="632" spans="1:12">
      <c r="A632" s="20" t="s">
        <v>828</v>
      </c>
      <c r="E632" s="22">
        <f>IF(D632="?OLD","!!!","")</f>
        <v/>
      </c>
      <c r="F632" s="23" t="str">
        <f>IF(OR(E632="",E632="!!!"),"",IF(NOT(ISNA(VLOOKUP(E632,E$1:E631,1,FALSE()))),"OLD",IF(AND(E632&lt;&gt;"",E632&lt;&gt;"!!!"),"NEW","")))</f>
        <v> </v>
      </c>
      <c r="G632" s="24" t="str">
        <f>IF(OR(E632="",E632="!!!"),"",IF(OR(J632=0,AND(J632=1,K632=1),AND(J632=1,I632="SBJ"),AND(J632=1,I632=0)),"?IN_FOCUS",IF(J632&lt;=2,"?ACTIVATED",IF(J632&lt;&gt;"","?FAMILIAR",IF(F632="NEW",IF(ISNA(VLOOKUP(E632,#REF!,1,FALSE())),"?TYPE_IDENTIFIABLE","?REFERENTIAL"),"_")))))</f>
        <v> </v>
      </c>
      <c r="H632" s="25" t="str">
        <f>IF(J632&lt;&gt;1,"",IF(I632="SBJ","CB","?"))</f>
        <v> </v>
      </c>
      <c r="I632" s="26" t="str">
        <f>IF(OR(E632="",E632="!!!",F632="NEW"),"",INDEX(B631:B$2,-1+SUMPRODUCT(MAX(ROW(E631:E$2)*(E632=E631:E$2)))))</f>
        <v> </v>
      </c>
      <c r="J632" s="26" t="str">
        <f>IF(OR(E632="",E632="!!!",F632="NEW"),"",COUNTBLANK(OFFSET(A$1,,,SUMPRODUCT(MAX(ROW(E$2:E632)*(E632=E$2:E632)))))-COUNTBLANK(OFFSET(A$1,,,SUMPRODUCT(MAX(ROW(E$1:E631)*(E2=E$1:E631))))))</f>
        <v> </v>
      </c>
      <c r="K632" s="26" t="str">
        <f>IF(OR(E632="",E632="!!!",F632="NEW"),"",INDEX(J$1:J631,SUMPRODUCT(MAX(ROW(E$1:E631)*(E632=E$1:E631)))))</f>
        <v> </v>
      </c>
      <c r="L632" s="27"/>
    </row>
    <row r="633" spans="1:12">
      <c r="A633" s="20" t="s">
        <v>1074</v>
      </c>
      <c r="B633" s="21" t="s">
        <v>736</v>
      </c>
      <c r="C633" s="21" t="s">
        <v>748</v>
      </c>
      <c r="E633" s="22">
        <f>IF(D633="?OLD","!!!","")</f>
        <v/>
      </c>
      <c r="F633" s="23" t="str">
        <f>IF(OR(E633="",E633="!!!"),"",IF(NOT(ISNA(VLOOKUP(E633,E$1:E632,1,FALSE()))),"OLD",IF(AND(E633&lt;&gt;"",E633&lt;&gt;"!!!"),"NEW","")))</f>
        <v> </v>
      </c>
      <c r="G633" s="24" t="str">
        <f>IF(OR(E633="",E633="!!!"),"",IF(OR(J633=0,AND(J633=1,K633=1),AND(J633=1,I633="SBJ"),AND(J633=1,I633=0)),"?IN_FOCUS",IF(J633&lt;=2,"?ACTIVATED",IF(J633&lt;&gt;"","?FAMILIAR",IF(F633="NEW",IF(ISNA(VLOOKUP(E633,#REF!,1,FALSE())),"?TYPE_IDENTIFIABLE","?REFERENTIAL"),"_")))))</f>
        <v> </v>
      </c>
      <c r="H633" s="25" t="str">
        <f>IF(J633&lt;&gt;1,"",IF(I633="SBJ","CB","?"))</f>
        <v> </v>
      </c>
      <c r="I633" s="26" t="str">
        <f>IF(OR(E633="",E633="!!!",F633="NEW"),"",INDEX(B632:B$2,-1+SUMPRODUCT(MAX(ROW(E632:E$2)*(E633=E632:E$2)))))</f>
        <v> </v>
      </c>
      <c r="J633" s="26" t="str">
        <f>IF(OR(E633="",E633="!!!",F633="NEW"),"",COUNTBLANK(OFFSET(A$1,,,SUMPRODUCT(MAX(ROW(E$2:E633)*(E633=E$2:E633)))))-COUNTBLANK(OFFSET(A$1,,,SUMPRODUCT(MAX(ROW(E$1:E632)*(E2=E$1:E632))))))</f>
        <v> </v>
      </c>
      <c r="K633" s="26" t="str">
        <f>IF(OR(E633="",E633="!!!",F633="NEW"),"",INDEX(J$1:J632,SUMPRODUCT(MAX(ROW(E$1:E632)*(E633=E$1:E632)))))</f>
        <v> </v>
      </c>
      <c r="L633" s="27"/>
    </row>
    <row r="634" spans="1:12">
      <c r="A634" s="20" t="s">
        <v>1075</v>
      </c>
      <c r="E634" s="22">
        <f>IF(D634="?OLD","!!!","")</f>
        <v/>
      </c>
      <c r="F634" s="23" t="str">
        <f>IF(OR(E634="",E634="!!!"),"",IF(NOT(ISNA(VLOOKUP(E634,E$1:E633,1,FALSE()))),"OLD",IF(AND(E634&lt;&gt;"",E634&lt;&gt;"!!!"),"NEW","")))</f>
        <v> </v>
      </c>
      <c r="G634" s="24" t="str">
        <f>IF(OR(E634="",E634="!!!"),"",IF(OR(J634=0,AND(J634=1,K634=1),AND(J634=1,I634="SBJ"),AND(J634=1,I634=0)),"?IN_FOCUS",IF(J634&lt;=2,"?ACTIVATED",IF(J634&lt;&gt;"","?FAMILIAR",IF(F634="NEW",IF(ISNA(VLOOKUP(E634,#REF!,1,FALSE())),"?TYPE_IDENTIFIABLE","?REFERENTIAL"),"_")))))</f>
        <v> </v>
      </c>
      <c r="H634" s="25" t="str">
        <f>IF(J634&lt;&gt;1,"",IF(I634="SBJ","CB","?"))</f>
        <v> </v>
      </c>
      <c r="I634" s="26" t="str">
        <f>IF(OR(E634="",E634="!!!",F634="NEW"),"",INDEX(B633:B$2,-1+SUMPRODUCT(MAX(ROW(E633:E$2)*(E634=E633:E$2)))))</f>
        <v> </v>
      </c>
      <c r="J634" s="26" t="str">
        <f>IF(OR(E634="",E634="!!!",F634="NEW"),"",COUNTBLANK(OFFSET(A$1,,,SUMPRODUCT(MAX(ROW(E$2:E634)*(E634=E$2:E634)))))-COUNTBLANK(OFFSET(A$1,,,SUMPRODUCT(MAX(ROW(E$1:E633)*(E2=E$1:E633))))))</f>
        <v> </v>
      </c>
      <c r="K634" s="26" t="str">
        <f>IF(OR(E634="",E634="!!!",F634="NEW"),"",INDEX(J$1:J633,SUMPRODUCT(MAX(ROW(E$1:E633)*(E634=E$1:E633)))))</f>
        <v> </v>
      </c>
      <c r="L634" s="27"/>
    </row>
    <row r="635" spans="1:12">
      <c r="A635" s="20" t="s">
        <v>246</v>
      </c>
      <c r="E635" s="22">
        <f>IF(D635="?OLD","!!!","")</f>
        <v/>
      </c>
      <c r="F635" s="23" t="str">
        <f>IF(OR(E635="",E635="!!!"),"",IF(NOT(ISNA(VLOOKUP(E635,E$1:E634,1,FALSE()))),"OLD",IF(AND(E635&lt;&gt;"",E635&lt;&gt;"!!!"),"NEW","")))</f>
        <v> </v>
      </c>
      <c r="G635" s="24" t="str">
        <f>IF(OR(E635="",E635="!!!"),"",IF(OR(J635=0,AND(J635=1,K635=1),AND(J635=1,I635="SBJ"),AND(J635=1,I635=0)),"?IN_FOCUS",IF(J635&lt;=2,"?ACTIVATED",IF(J635&lt;&gt;"","?FAMILIAR",IF(F635="NEW",IF(ISNA(VLOOKUP(E635,#REF!,1,FALSE())),"?TYPE_IDENTIFIABLE","?REFERENTIAL"),"_")))))</f>
        <v> </v>
      </c>
      <c r="H635" s="25" t="str">
        <f>IF(J635&lt;&gt;1,"",IF(I635="SBJ","CB","?"))</f>
        <v> </v>
      </c>
      <c r="I635" s="26" t="str">
        <f>IF(OR(E635="",E635="!!!",F635="NEW"),"",INDEX(B634:B$2,-1+SUMPRODUCT(MAX(ROW(E634:E$2)*(E635=E634:E$2)))))</f>
        <v> </v>
      </c>
      <c r="J635" s="26" t="str">
        <f>IF(OR(E635="",E635="!!!",F635="NEW"),"",COUNTBLANK(OFFSET(A$1,,,SUMPRODUCT(MAX(ROW(E$2:E635)*(E635=E$2:E635)))))-COUNTBLANK(OFFSET(A$1,,,SUMPRODUCT(MAX(ROW(E$1:E634)*(E2=E$1:E634))))))</f>
        <v> </v>
      </c>
      <c r="K635" s="26" t="str">
        <f>IF(OR(E635="",E635="!!!",F635="NEW"),"",INDEX(J$1:J634,SUMPRODUCT(MAX(ROW(E$1:E634)*(E635=E$1:E634)))))</f>
        <v> </v>
      </c>
      <c r="L635" s="27"/>
    </row>
    <row r="636" spans="1:12">
      <c r="A636" s="20"/>
    </row>
    <row r="637" spans="1:12">
      <c r="A637" s="20" t="s">
        <v>1076</v>
      </c>
    </row>
    <row r="638" spans="1:12">
      <c r="A638" s="20" t="s">
        <v>1077</v>
      </c>
      <c r="E638" s="22">
        <f>IF(D638="?OLD","!!!","")</f>
        <v/>
      </c>
      <c r="F638" s="23" t="str">
        <f>IF(OR(E638="",E638="!!!"),"",IF(NOT(ISNA(VLOOKUP(E638,E$1:E637,1,FALSE()))),"OLD",IF(AND(E638&lt;&gt;"",E638&lt;&gt;"!!!"),"NEW","")))</f>
        <v> </v>
      </c>
      <c r="G638" s="24" t="str">
        <f>IF(OR(E638="",E638="!!!"),"",IF(OR(J638=0,AND(J638=1,K638=1),AND(J638=1,I638="SBJ"),AND(J638=1,I638=0)),"?IN_FOCUS",IF(J638&lt;=2,"?ACTIVATED",IF(J638&lt;&gt;"","?FAMILIAR",IF(F638="NEW",IF(ISNA(VLOOKUP(E638,#REF!,1,FALSE())),"?TYPE_IDENTIFIABLE","?REFERENTIAL"),"_")))))</f>
        <v> </v>
      </c>
      <c r="H638" s="25" t="str">
        <f>IF(J638&lt;&gt;1,"",IF(I638="SBJ","CB","?"))</f>
        <v> </v>
      </c>
      <c r="I638" s="26" t="str">
        <f>IF(OR(E638="",E638="!!!",F638="NEW"),"",INDEX(B637:B$2,-1+SUMPRODUCT(MAX(ROW(E637:E$2)*(E638=E637:E$2)))))</f>
        <v> </v>
      </c>
      <c r="J638" s="26" t="str">
        <f>IF(OR(E638="",E638="!!!",F638="NEW"),"",COUNTBLANK(OFFSET(A$1,,,SUMPRODUCT(MAX(ROW(E$2:E638)*(E638=E$2:E638)))))-COUNTBLANK(OFFSET(A$1,,,SUMPRODUCT(MAX(ROW(E$1:E637)*(E2=E$1:E637))))))</f>
        <v> </v>
      </c>
      <c r="K638" s="26" t="str">
        <f>IF(OR(E638="",E638="!!!",F638="NEW"),"",INDEX(J$1:J637,SUMPRODUCT(MAX(ROW(E$1:E637)*(E638=E$1:E637)))))</f>
        <v> </v>
      </c>
      <c r="L638" s="27"/>
    </row>
    <row r="639" spans="1:12">
      <c r="A639" s="20" t="s">
        <v>1073</v>
      </c>
      <c r="B639" s="21" t="s">
        <v>736</v>
      </c>
      <c r="C639" s="21" t="s">
        <v>967</v>
      </c>
      <c r="E639" s="22">
        <f>IF(D639="?OLD","!!!","")</f>
        <v/>
      </c>
      <c r="F639" s="23" t="str">
        <f>IF(OR(E639="",E639="!!!"),"",IF(NOT(ISNA(VLOOKUP(E639,E$1:E638,1,FALSE()))),"OLD",IF(AND(E639&lt;&gt;"",E639&lt;&gt;"!!!"),"NEW","")))</f>
        <v> </v>
      </c>
      <c r="G639" s="24" t="str">
        <f>IF(OR(E639="",E639="!!!"),"",IF(OR(J639=0,AND(J639=1,K639=1),AND(J639=1,I639="SBJ"),AND(J639=1,I639=0)),"?IN_FOCUS",IF(J639&lt;=2,"?ACTIVATED",IF(J639&lt;&gt;"","?FAMILIAR",IF(F639="NEW",IF(ISNA(VLOOKUP(E639,#REF!,1,FALSE())),"?TYPE_IDENTIFIABLE","?REFERENTIAL"),"_")))))</f>
        <v> </v>
      </c>
      <c r="H639" s="25" t="str">
        <f>IF(J639&lt;&gt;1,"",IF(I639="SBJ","CB","?"))</f>
        <v> </v>
      </c>
      <c r="I639" s="26" t="str">
        <f>IF(OR(E639="",E639="!!!",F639="NEW"),"",INDEX(B638:B$2,-1+SUMPRODUCT(MAX(ROW(E638:E$2)*(E639=E638:E$2)))))</f>
        <v> </v>
      </c>
      <c r="J639" s="26" t="str">
        <f>IF(OR(E639="",E639="!!!",F639="NEW"),"",COUNTBLANK(OFFSET(A$1,,,SUMPRODUCT(MAX(ROW(E$2:E639)*(E639=E$2:E639)))))-COUNTBLANK(OFFSET(A$1,,,SUMPRODUCT(MAX(ROW(E$1:E638)*(E2=E$1:E638))))))</f>
        <v> </v>
      </c>
      <c r="K639" s="26" t="str">
        <f>IF(OR(E639="",E639="!!!",F639="NEW"),"",INDEX(J$1:J638,SUMPRODUCT(MAX(ROW(E$1:E638)*(E639=E$1:E638)))))</f>
        <v> </v>
      </c>
      <c r="L639" s="27"/>
    </row>
    <row r="640" spans="1:12">
      <c r="A640" s="20" t="s">
        <v>1078</v>
      </c>
      <c r="E640" s="22">
        <f>IF(D640="?OLD","!!!","")</f>
        <v/>
      </c>
      <c r="F640" s="23" t="str">
        <f>IF(OR(E640="",E640="!!!"),"",IF(NOT(ISNA(VLOOKUP(E640,E$1:E639,1,FALSE()))),"OLD",IF(AND(E640&lt;&gt;"",E640&lt;&gt;"!!!"),"NEW","")))</f>
        <v> </v>
      </c>
      <c r="G640" s="24" t="str">
        <f>IF(OR(E640="",E640="!!!"),"",IF(OR(J640=0,AND(J640=1,K640=1),AND(J640=1,I640="SBJ"),AND(J640=1,I640=0)),"?IN_FOCUS",IF(J640&lt;=2,"?ACTIVATED",IF(J640&lt;&gt;"","?FAMILIAR",IF(F640="NEW",IF(ISNA(VLOOKUP(E640,#REF!,1,FALSE())),"?TYPE_IDENTIFIABLE","?REFERENTIAL"),"_")))))</f>
        <v> </v>
      </c>
      <c r="H640" s="25" t="str">
        <f>IF(J640&lt;&gt;1,"",IF(I640="SBJ","CB","?"))</f>
        <v> </v>
      </c>
      <c r="I640" s="26" t="str">
        <f>IF(OR(E640="",E640="!!!",F640="NEW"),"",INDEX(B639:B$2,-1+SUMPRODUCT(MAX(ROW(E639:E$2)*(E640=E639:E$2)))))</f>
        <v> </v>
      </c>
      <c r="J640" s="26" t="str">
        <f>IF(OR(E640="",E640="!!!",F640="NEW"),"",COUNTBLANK(OFFSET(A$1,,,SUMPRODUCT(MAX(ROW(E$2:E640)*(E640=E$2:E640)))))-COUNTBLANK(OFFSET(A$1,,,SUMPRODUCT(MAX(ROW(E$1:E639)*(E2=E$1:E639))))))</f>
        <v> </v>
      </c>
      <c r="K640" s="26" t="str">
        <f>IF(OR(E640="",E640="!!!",F640="NEW"),"",INDEX(J$1:J639,SUMPRODUCT(MAX(ROW(E$1:E639)*(E640=E$1:E639)))))</f>
        <v> </v>
      </c>
      <c r="L640" s="27"/>
    </row>
    <row r="641" spans="1:12">
      <c r="A641" s="20" t="s">
        <v>773</v>
      </c>
      <c r="E641" s="22">
        <f>IF(D641="?OLD","!!!","")</f>
        <v/>
      </c>
      <c r="F641" s="23" t="str">
        <f>IF(OR(E641="",E641="!!!"),"",IF(NOT(ISNA(VLOOKUP(E641,E$1:E640,1,FALSE()))),"OLD",IF(AND(E641&lt;&gt;"",E641&lt;&gt;"!!!"),"NEW","")))</f>
        <v> </v>
      </c>
      <c r="G641" s="24" t="str">
        <f>IF(OR(E641="",E641="!!!"),"",IF(OR(J641=0,AND(J641=1,K641=1),AND(J641=1,I641="SBJ"),AND(J641=1,I641=0)),"?IN_FOCUS",IF(J641&lt;=2,"?ACTIVATED",IF(J641&lt;&gt;"","?FAMILIAR",IF(F641="NEW",IF(ISNA(VLOOKUP(E641,#REF!,1,FALSE())),"?TYPE_IDENTIFIABLE","?REFERENTIAL"),"_")))))</f>
        <v> </v>
      </c>
      <c r="H641" s="25" t="str">
        <f>IF(J641&lt;&gt;1,"",IF(I641="SBJ","CB","?"))</f>
        <v> </v>
      </c>
      <c r="I641" s="26" t="str">
        <f>IF(OR(E641="",E641="!!!",F641="NEW"),"",INDEX(B640:B$2,-1+SUMPRODUCT(MAX(ROW(E640:E$2)*(E641=E640:E$2)))))</f>
        <v> </v>
      </c>
      <c r="J641" s="26" t="str">
        <f>IF(OR(E641="",E641="!!!",F641="NEW"),"",COUNTBLANK(OFFSET(A$1,,,SUMPRODUCT(MAX(ROW(E$2:E641)*(E641=E$2:E641)))))-COUNTBLANK(OFFSET(A$1,,,SUMPRODUCT(MAX(ROW(E$1:E640)*(E2=E$1:E640))))))</f>
        <v> </v>
      </c>
      <c r="K641" s="26" t="str">
        <f>IF(OR(E641="",E641="!!!",F641="NEW"),"",INDEX(J$1:J640,SUMPRODUCT(MAX(ROW(E$1:E640)*(E641=E$1:E640)))))</f>
        <v> </v>
      </c>
      <c r="L641" s="27"/>
    </row>
    <row r="642" spans="1:12">
      <c r="A642" s="20" t="s">
        <v>1079</v>
      </c>
      <c r="B642" s="21" t="s">
        <v>736</v>
      </c>
      <c r="C642" s="21" t="s">
        <v>740</v>
      </c>
      <c r="D642" s="21" t="s">
        <v>730</v>
      </c>
      <c r="E642" s="22">
        <f>IF(D642="?OLD","!!!","")</f>
        <v/>
      </c>
      <c r="F642" s="23" t="str">
        <f>IF(OR(E642="",E642="!!!"),"",IF(NOT(ISNA(VLOOKUP(E642,E$1:E641,1,FALSE()))),"OLD",IF(AND(E642&lt;&gt;"",E642&lt;&gt;"!!!"),"NEW","")))</f>
        <v> </v>
      </c>
      <c r="G642" s="24" t="str">
        <f>IF(OR(E642="",E642="!!!"),"",IF(OR(J642=0,AND(J642=1,K642=1),AND(J642=1,I642="SBJ"),AND(J642=1,I642=0)),"?IN_FOCUS",IF(J642&lt;=2,"?ACTIVATED",IF(J642&lt;&gt;"","?FAMILIAR",IF(F642="NEW",IF(ISNA(VLOOKUP(E642,#REF!,1,FALSE())),"?TYPE_IDENTIFIABLE","?REFERENTIAL"),"_")))))</f>
        <v> </v>
      </c>
      <c r="H642" s="25" t="str">
        <f>IF(J642&lt;&gt;1,"",IF(I642="SBJ","CB","?"))</f>
        <v> </v>
      </c>
      <c r="I642" s="26" t="str">
        <f>IF(OR(E642="",E642="!!!",F642="NEW"),"",INDEX(B641:B$2,-1+SUMPRODUCT(MAX(ROW(E641:E$2)*(E642=E641:E$2)))))</f>
        <v> </v>
      </c>
      <c r="J642" s="26" t="str">
        <f>IF(OR(E642="",E642="!!!",F642="NEW"),"",COUNTBLANK(OFFSET(A$1,,,SUMPRODUCT(MAX(ROW(E$2:E642)*(E642=E$2:E642)))))-COUNTBLANK(OFFSET(A$1,,,SUMPRODUCT(MAX(ROW(E$1:E641)*(E2=E$1:E641))))))</f>
        <v> </v>
      </c>
      <c r="K642" s="26" t="str">
        <f>IF(OR(E642="",E642="!!!",F642="NEW"),"",INDEX(J$1:J641,SUMPRODUCT(MAX(ROW(E$1:E641)*(E642=E$1:E641)))))</f>
        <v> </v>
      </c>
      <c r="L642" s="27"/>
    </row>
    <row r="643" spans="1:12">
      <c r="A643" s="20" t="s">
        <v>246</v>
      </c>
      <c r="E643" s="22">
        <f>IF(D643="?OLD","!!!","")</f>
        <v/>
      </c>
      <c r="F643" s="23" t="str">
        <f>IF(OR(E643="",E643="!!!"),"",IF(NOT(ISNA(VLOOKUP(E643,E$1:E642,1,FALSE()))),"OLD",IF(AND(E643&lt;&gt;"",E643&lt;&gt;"!!!"),"NEW","")))</f>
        <v> </v>
      </c>
      <c r="G643" s="24" t="str">
        <f>IF(OR(E643="",E643="!!!"),"",IF(OR(J643=0,AND(J643=1,K643=1),AND(J643=1,I643="SBJ"),AND(J643=1,I643=0)),"?IN_FOCUS",IF(J643&lt;=2,"?ACTIVATED",IF(J643&lt;&gt;"","?FAMILIAR",IF(F643="NEW",IF(ISNA(VLOOKUP(E643,#REF!,1,FALSE())),"?TYPE_IDENTIFIABLE","?REFERENTIAL"),"_")))))</f>
        <v> </v>
      </c>
      <c r="H643" s="25" t="str">
        <f>IF(J643&lt;&gt;1,"",IF(I643="SBJ","CB","?"))</f>
        <v> </v>
      </c>
      <c r="I643" s="26" t="str">
        <f>IF(OR(E643="",E643="!!!",F643="NEW"),"",INDEX(B642:B$2,-1+SUMPRODUCT(MAX(ROW(E642:E$2)*(E643=E642:E$2)))))</f>
        <v> </v>
      </c>
      <c r="J643" s="26" t="str">
        <f>IF(OR(E643="",E643="!!!",F643="NEW"),"",COUNTBLANK(OFFSET(A$1,,,SUMPRODUCT(MAX(ROW(E$2:E643)*(E643=E$2:E643)))))-COUNTBLANK(OFFSET(A$1,,,SUMPRODUCT(MAX(ROW(E$1:E642)*(E2=E$1:E642))))))</f>
        <v> </v>
      </c>
      <c r="K643" s="26" t="str">
        <f>IF(OR(E643="",E643="!!!",F643="NEW"),"",INDEX(J$1:J642,SUMPRODUCT(MAX(ROW(E$1:E642)*(E643=E$1:E642)))))</f>
        <v> </v>
      </c>
      <c r="L643" s="27"/>
    </row>
    <row r="644" spans="1:12">
      <c r="A644" s="20"/>
    </row>
    <row r="645" spans="1:12">
      <c r="A645" s="20" t="s">
        <v>1080</v>
      </c>
    </row>
    <row r="646" spans="1:12">
      <c r="A646" s="20" t="s">
        <v>768</v>
      </c>
      <c r="E646" s="22">
        <f>IF(D646="?OLD","!!!","")</f>
        <v/>
      </c>
      <c r="F646" s="23" t="str">
        <f>IF(OR(E646="",E646="!!!"),"",IF(NOT(ISNA(VLOOKUP(E646,E$1:E645,1,FALSE()))),"OLD",IF(AND(E646&lt;&gt;"",E646&lt;&gt;"!!!"),"NEW","")))</f>
        <v> </v>
      </c>
      <c r="G646" s="24" t="str">
        <f>IF(OR(E646="",E646="!!!"),"",IF(OR(J646=0,AND(J646=1,K646=1),AND(J646=1,I646="SBJ"),AND(J646=1,I646=0)),"?IN_FOCUS",IF(J646&lt;=2,"?ACTIVATED",IF(J646&lt;&gt;"","?FAMILIAR",IF(F646="NEW",IF(ISNA(VLOOKUP(E646,#REF!,1,FALSE())),"?TYPE_IDENTIFIABLE","?REFERENTIAL"),"_")))))</f>
        <v> </v>
      </c>
      <c r="H646" s="25" t="str">
        <f>IF(J646&lt;&gt;1,"",IF(I646="SBJ","CB","?"))</f>
        <v> </v>
      </c>
      <c r="I646" s="26" t="str">
        <f>IF(OR(E646="",E646="!!!",F646="NEW"),"",INDEX(B645:B$2,-1+SUMPRODUCT(MAX(ROW(E645:E$2)*(E646=E645:E$2)))))</f>
        <v> </v>
      </c>
      <c r="J646" s="26" t="str">
        <f>IF(OR(E646="",E646="!!!",F646="NEW"),"",COUNTBLANK(OFFSET(A$1,,,SUMPRODUCT(MAX(ROW(E$2:E646)*(E646=E$2:E646)))))-COUNTBLANK(OFFSET(A$1,,,SUMPRODUCT(MAX(ROW(E$1:E645)*(E2=E$1:E645))))))</f>
        <v> </v>
      </c>
      <c r="K646" s="26" t="str">
        <f>IF(OR(E646="",E646="!!!",F646="NEW"),"",INDEX(J$1:J645,SUMPRODUCT(MAX(ROW(E$1:E645)*(E646=E$1:E645)))))</f>
        <v> </v>
      </c>
      <c r="L646" s="27"/>
    </row>
    <row r="647" spans="1:12">
      <c r="A647" s="20" t="s">
        <v>750</v>
      </c>
      <c r="B647" s="21" t="s">
        <v>728</v>
      </c>
      <c r="C647" s="21" t="s">
        <v>729</v>
      </c>
      <c r="D647" s="21" t="s">
        <v>730</v>
      </c>
      <c r="E647" s="22">
        <f>IF(D647="?OLD","!!!","")</f>
        <v/>
      </c>
      <c r="F647" s="23" t="str">
        <f>IF(OR(E647="",E647="!!!"),"",IF(NOT(ISNA(VLOOKUP(E647,E$1:E646,1,FALSE()))),"OLD",IF(AND(E647&lt;&gt;"",E647&lt;&gt;"!!!"),"NEW","")))</f>
        <v> </v>
      </c>
      <c r="G647" s="24" t="str">
        <f>IF(OR(E647="",E647="!!!"),"",IF(OR(J647=0,AND(J647=1,K647=1),AND(J647=1,I647="SBJ"),AND(J647=1,I647=0)),"?IN_FOCUS",IF(J647&lt;=2,"?ACTIVATED",IF(J647&lt;&gt;"","?FAMILIAR",IF(F647="NEW",IF(ISNA(VLOOKUP(E647,#REF!,1,FALSE())),"?TYPE_IDENTIFIABLE","?REFERENTIAL"),"_")))))</f>
        <v> </v>
      </c>
      <c r="H647" s="25" t="str">
        <f>IF(J647&lt;&gt;1,"",IF(I647="SBJ","CB","?"))</f>
        <v> </v>
      </c>
      <c r="I647" s="26" t="str">
        <f>IF(OR(E647="",E647="!!!",F647="NEW"),"",INDEX(B646:B$2,-1+SUMPRODUCT(MAX(ROW(E646:E$2)*(E647=E646:E$2)))))</f>
        <v> </v>
      </c>
      <c r="J647" s="26" t="str">
        <f>IF(OR(E647="",E647="!!!",F647="NEW"),"",COUNTBLANK(OFFSET(A$1,,,SUMPRODUCT(MAX(ROW(E$2:E647)*(E647=E$2:E647)))))-COUNTBLANK(OFFSET(A$1,,,SUMPRODUCT(MAX(ROW(E$1:E646)*(E2=E$1:E646))))))</f>
        <v> </v>
      </c>
      <c r="K647" s="26" t="str">
        <f>IF(OR(E647="",E647="!!!",F647="NEW"),"",INDEX(J$1:J646,SUMPRODUCT(MAX(ROW(E$1:E646)*(E647=E$1:E646)))))</f>
        <v> </v>
      </c>
      <c r="L647" s="27"/>
    </row>
    <row r="648" spans="1:12">
      <c r="A648" s="20" t="s">
        <v>1071</v>
      </c>
      <c r="E648" s="22">
        <f>IF(D648="?OLD","!!!","")</f>
        <v/>
      </c>
      <c r="F648" s="23" t="str">
        <f>IF(OR(E648="",E648="!!!"),"",IF(NOT(ISNA(VLOOKUP(E648,E$1:E647,1,FALSE()))),"OLD",IF(AND(E648&lt;&gt;"",E648&lt;&gt;"!!!"),"NEW","")))</f>
        <v> </v>
      </c>
      <c r="G648" s="24" t="str">
        <f>IF(OR(E648="",E648="!!!"),"",IF(OR(J648=0,AND(J648=1,K648=1),AND(J648=1,I648="SBJ"),AND(J648=1,I648=0)),"?IN_FOCUS",IF(J648&lt;=2,"?ACTIVATED",IF(J648&lt;&gt;"","?FAMILIAR",IF(F648="NEW",IF(ISNA(VLOOKUP(E648,#REF!,1,FALSE())),"?TYPE_IDENTIFIABLE","?REFERENTIAL"),"_")))))</f>
        <v> </v>
      </c>
      <c r="H648" s="25" t="str">
        <f>IF(J648&lt;&gt;1,"",IF(I648="SBJ","CB","?"))</f>
        <v> </v>
      </c>
      <c r="I648" s="26" t="str">
        <f>IF(OR(E648="",E648="!!!",F648="NEW"),"",INDEX(B647:B$2,-1+SUMPRODUCT(MAX(ROW(E647:E$2)*(E648=E647:E$2)))))</f>
        <v> </v>
      </c>
      <c r="J648" s="26" t="str">
        <f>IF(OR(E648="",E648="!!!",F648="NEW"),"",COUNTBLANK(OFFSET(A$1,,,SUMPRODUCT(MAX(ROW(E$2:E648)*(E648=E$2:E648)))))-COUNTBLANK(OFFSET(A$1,,,SUMPRODUCT(MAX(ROW(E$1:E647)*(E2=E$1:E647))))))</f>
        <v> </v>
      </c>
      <c r="K648" s="26" t="str">
        <f>IF(OR(E648="",E648="!!!",F648="NEW"),"",INDEX(J$1:J647,SUMPRODUCT(MAX(ROW(E$1:E647)*(E648=E$1:E647)))))</f>
        <v> </v>
      </c>
      <c r="L648" s="27"/>
    </row>
    <row r="649" spans="1:12">
      <c r="A649" s="20" t="s">
        <v>1081</v>
      </c>
      <c r="E649" s="22">
        <f>IF(D649="?OLD","!!!","")</f>
        <v/>
      </c>
      <c r="F649" s="23" t="str">
        <f>IF(OR(E649="",E649="!!!"),"",IF(NOT(ISNA(VLOOKUP(E649,E$1:E648,1,FALSE()))),"OLD",IF(AND(E649&lt;&gt;"",E649&lt;&gt;"!!!"),"NEW","")))</f>
        <v> </v>
      </c>
      <c r="G649" s="24" t="str">
        <f>IF(OR(E649="",E649="!!!"),"",IF(OR(J649=0,AND(J649=1,K649=1),AND(J649=1,I649="SBJ"),AND(J649=1,I649=0)),"?IN_FOCUS",IF(J649&lt;=2,"?ACTIVATED",IF(J649&lt;&gt;"","?FAMILIAR",IF(F649="NEW",IF(ISNA(VLOOKUP(E649,#REF!,1,FALSE())),"?TYPE_IDENTIFIABLE","?REFERENTIAL"),"_")))))</f>
        <v> </v>
      </c>
      <c r="H649" s="25" t="str">
        <f>IF(J649&lt;&gt;1,"",IF(I649="SBJ","CB","?"))</f>
        <v> </v>
      </c>
      <c r="I649" s="26" t="str">
        <f>IF(OR(E649="",E649="!!!",F649="NEW"),"",INDEX(B648:B$2,-1+SUMPRODUCT(MAX(ROW(E648:E$2)*(E649=E648:E$2)))))</f>
        <v> </v>
      </c>
      <c r="J649" s="26" t="str">
        <f>IF(OR(E649="",E649="!!!",F649="NEW"),"",COUNTBLANK(OFFSET(A$1,,,SUMPRODUCT(MAX(ROW(E$2:E649)*(E649=E$2:E649)))))-COUNTBLANK(OFFSET(A$1,,,SUMPRODUCT(MAX(ROW(E$1:E648)*(E2=E$1:E648))))))</f>
        <v> </v>
      </c>
      <c r="K649" s="26" t="str">
        <f>IF(OR(E649="",E649="!!!",F649="NEW"),"",INDEX(J$1:J648,SUMPRODUCT(MAX(ROW(E$1:E648)*(E649=E$1:E648)))))</f>
        <v> </v>
      </c>
      <c r="L649" s="27"/>
    </row>
    <row r="650" spans="1:12">
      <c r="A650" s="20" t="s">
        <v>759</v>
      </c>
      <c r="E650" s="22">
        <f>IF(D650="?OLD","!!!","")</f>
        <v/>
      </c>
      <c r="F650" s="23" t="str">
        <f>IF(OR(E650="",E650="!!!"),"",IF(NOT(ISNA(VLOOKUP(E650,E$1:E649,1,FALSE()))),"OLD",IF(AND(E650&lt;&gt;"",E650&lt;&gt;"!!!"),"NEW","")))</f>
        <v> </v>
      </c>
      <c r="G650" s="24" t="str">
        <f>IF(OR(E650="",E650="!!!"),"",IF(OR(J650=0,AND(J650=1,K650=1),AND(J650=1,I650="SBJ"),AND(J650=1,I650=0)),"?IN_FOCUS",IF(J650&lt;=2,"?ACTIVATED",IF(J650&lt;&gt;"","?FAMILIAR",IF(F650="NEW",IF(ISNA(VLOOKUP(E650,#REF!,1,FALSE())),"?TYPE_IDENTIFIABLE","?REFERENTIAL"),"_")))))</f>
        <v> </v>
      </c>
      <c r="H650" s="25" t="str">
        <f>IF(J650&lt;&gt;1,"",IF(I650="SBJ","CB","?"))</f>
        <v> </v>
      </c>
      <c r="I650" s="26" t="str">
        <f>IF(OR(E650="",E650="!!!",F650="NEW"),"",INDEX(B649:B$2,-1+SUMPRODUCT(MAX(ROW(E649:E$2)*(E650=E649:E$2)))))</f>
        <v> </v>
      </c>
      <c r="J650" s="26" t="str">
        <f>IF(OR(E650="",E650="!!!",F650="NEW"),"",COUNTBLANK(OFFSET(A$1,,,SUMPRODUCT(MAX(ROW(E$2:E650)*(E650=E$2:E650)))))-COUNTBLANK(OFFSET(A$1,,,SUMPRODUCT(MAX(ROW(E$1:E649)*(E2=E$1:E649))))))</f>
        <v> </v>
      </c>
      <c r="K650" s="26" t="str">
        <f>IF(OR(E650="",E650="!!!",F650="NEW"),"",INDEX(J$1:J649,SUMPRODUCT(MAX(ROW(E$1:E649)*(E650=E$1:E649)))))</f>
        <v> </v>
      </c>
      <c r="L650" s="27"/>
    </row>
    <row r="651" spans="1:12">
      <c r="A651" s="20" t="s">
        <v>808</v>
      </c>
      <c r="E651" s="22">
        <f>IF(D651="?OLD","!!!","")</f>
        <v/>
      </c>
      <c r="F651" s="23" t="str">
        <f>IF(OR(E651="",E651="!!!"),"",IF(NOT(ISNA(VLOOKUP(E651,E$1:E650,1,FALSE()))),"OLD",IF(AND(E651&lt;&gt;"",E651&lt;&gt;"!!!"),"NEW","")))</f>
        <v> </v>
      </c>
      <c r="G651" s="24" t="str">
        <f>IF(OR(E651="",E651="!!!"),"",IF(OR(J651=0,AND(J651=1,K651=1),AND(J651=1,I651="SBJ"),AND(J651=1,I651=0)),"?IN_FOCUS",IF(J651&lt;=2,"?ACTIVATED",IF(J651&lt;&gt;"","?FAMILIAR",IF(F651="NEW",IF(ISNA(VLOOKUP(E651,#REF!,1,FALSE())),"?TYPE_IDENTIFIABLE","?REFERENTIAL"),"_")))))</f>
        <v> </v>
      </c>
      <c r="H651" s="25" t="str">
        <f>IF(J651&lt;&gt;1,"",IF(I651="SBJ","CB","?"))</f>
        <v> </v>
      </c>
      <c r="I651" s="26" t="str">
        <f>IF(OR(E651="",E651="!!!",F651="NEW"),"",INDEX(B650:B$2,-1+SUMPRODUCT(MAX(ROW(E650:E$2)*(E651=E650:E$2)))))</f>
        <v> </v>
      </c>
      <c r="J651" s="26" t="str">
        <f>IF(OR(E651="",E651="!!!",F651="NEW"),"",COUNTBLANK(OFFSET(A$1,,,SUMPRODUCT(MAX(ROW(E$2:E651)*(E651=E$2:E651)))))-COUNTBLANK(OFFSET(A$1,,,SUMPRODUCT(MAX(ROW(E$1:E650)*(E2=E$1:E650))))))</f>
        <v> </v>
      </c>
      <c r="K651" s="26" t="str">
        <f>IF(OR(E651="",E651="!!!",F651="NEW"),"",INDEX(J$1:J650,SUMPRODUCT(MAX(ROW(E$1:E650)*(E651=E$1:E650)))))</f>
        <v> </v>
      </c>
      <c r="L651" s="27"/>
    </row>
    <row r="652" spans="1:12">
      <c r="A652" s="20" t="s">
        <v>813</v>
      </c>
      <c r="E652" s="22">
        <f>IF(D652="?OLD","!!!","")</f>
        <v/>
      </c>
      <c r="F652" s="23" t="str">
        <f>IF(OR(E652="",E652="!!!"),"",IF(NOT(ISNA(VLOOKUP(E652,E$1:E651,1,FALSE()))),"OLD",IF(AND(E652&lt;&gt;"",E652&lt;&gt;"!!!"),"NEW","")))</f>
        <v> </v>
      </c>
      <c r="G652" s="24" t="str">
        <f>IF(OR(E652="",E652="!!!"),"",IF(OR(J652=0,AND(J652=1,K652=1),AND(J652=1,I652="SBJ"),AND(J652=1,I652=0)),"?IN_FOCUS",IF(J652&lt;=2,"?ACTIVATED",IF(J652&lt;&gt;"","?FAMILIAR",IF(F652="NEW",IF(ISNA(VLOOKUP(E652,#REF!,1,FALSE())),"?TYPE_IDENTIFIABLE","?REFERENTIAL"),"_")))))</f>
        <v> </v>
      </c>
      <c r="H652" s="25" t="str">
        <f>IF(J652&lt;&gt;1,"",IF(I652="SBJ","CB","?"))</f>
        <v> </v>
      </c>
      <c r="I652" s="26" t="str">
        <f>IF(OR(E652="",E652="!!!",F652="NEW"),"",INDEX(B651:B$2,-1+SUMPRODUCT(MAX(ROW(E651:E$2)*(E652=E651:E$2)))))</f>
        <v> </v>
      </c>
      <c r="J652" s="26" t="str">
        <f>IF(OR(E652="",E652="!!!",F652="NEW"),"",COUNTBLANK(OFFSET(A$1,,,SUMPRODUCT(MAX(ROW(E$2:E652)*(E652=E$2:E652)))))-COUNTBLANK(OFFSET(A$1,,,SUMPRODUCT(MAX(ROW(E$1:E651)*(E2=E$1:E651))))))</f>
        <v> </v>
      </c>
      <c r="K652" s="26" t="str">
        <f>IF(OR(E652="",E652="!!!",F652="NEW"),"",INDEX(J$1:J651,SUMPRODUCT(MAX(ROW(E$1:E651)*(E652=E$1:E651)))))</f>
        <v> </v>
      </c>
      <c r="L652" s="27"/>
    </row>
    <row r="653" spans="1:12">
      <c r="A653" s="20" t="s">
        <v>842</v>
      </c>
      <c r="B653" s="21" t="s">
        <v>796</v>
      </c>
      <c r="C653" s="21" t="s">
        <v>753</v>
      </c>
      <c r="D653" s="21" t="s">
        <v>730</v>
      </c>
      <c r="E653" s="22">
        <f>IF(D653="?OLD","!!!","")</f>
        <v/>
      </c>
      <c r="F653" s="23" t="str">
        <f>IF(OR(E653="",E653="!!!"),"",IF(NOT(ISNA(VLOOKUP(E653,E$1:E652,1,FALSE()))),"OLD",IF(AND(E653&lt;&gt;"",E653&lt;&gt;"!!!"),"NEW","")))</f>
        <v> </v>
      </c>
      <c r="G653" s="24" t="str">
        <f>IF(OR(E653="",E653="!!!"),"",IF(OR(J653=0,AND(J653=1,K653=1),AND(J653=1,I653="SBJ"),AND(J653=1,I653=0)),"?IN_FOCUS",IF(J653&lt;=2,"?ACTIVATED",IF(J653&lt;&gt;"","?FAMILIAR",IF(F653="NEW",IF(ISNA(VLOOKUP(E653,#REF!,1,FALSE())),"?TYPE_IDENTIFIABLE","?REFERENTIAL"),"_")))))</f>
        <v> </v>
      </c>
      <c r="H653" s="25" t="str">
        <f>IF(J653&lt;&gt;1,"",IF(I653="SBJ","CB","?"))</f>
        <v> </v>
      </c>
      <c r="I653" s="26" t="str">
        <f>IF(OR(E653="",E653="!!!",F653="NEW"),"",INDEX(B652:B$2,-1+SUMPRODUCT(MAX(ROW(E652:E$2)*(E653=E652:E$2)))))</f>
        <v> </v>
      </c>
      <c r="J653" s="26" t="str">
        <f>IF(OR(E653="",E653="!!!",F653="NEW"),"",COUNTBLANK(OFFSET(A$1,,,SUMPRODUCT(MAX(ROW(E$2:E653)*(E653=E$2:E653)))))-COUNTBLANK(OFFSET(A$1,,,SUMPRODUCT(MAX(ROW(E$1:E652)*(E2=E$1:E652))))))</f>
        <v> </v>
      </c>
      <c r="K653" s="26" t="str">
        <f>IF(OR(E653="",E653="!!!",F653="NEW"),"",INDEX(J$1:J652,SUMPRODUCT(MAX(ROW(E$1:E652)*(E653=E$1:E652)))))</f>
        <v> </v>
      </c>
      <c r="L653" s="27"/>
    </row>
    <row r="654" spans="1:12">
      <c r="A654" s="20" t="s">
        <v>757</v>
      </c>
      <c r="E654" s="22">
        <f>IF(D654="?OLD","!!!","")</f>
        <v/>
      </c>
      <c r="F654" s="23" t="str">
        <f>IF(OR(E654="",E654="!!!"),"",IF(NOT(ISNA(VLOOKUP(E654,E$1:E653,1,FALSE()))),"OLD",IF(AND(E654&lt;&gt;"",E654&lt;&gt;"!!!"),"NEW","")))</f>
        <v> </v>
      </c>
      <c r="G654" s="24" t="str">
        <f>IF(OR(E654="",E654="!!!"),"",IF(OR(J654=0,AND(J654=1,K654=1),AND(J654=1,I654="SBJ"),AND(J654=1,I654=0)),"?IN_FOCUS",IF(J654&lt;=2,"?ACTIVATED",IF(J654&lt;&gt;"","?FAMILIAR",IF(F654="NEW",IF(ISNA(VLOOKUP(E654,#REF!,1,FALSE())),"?TYPE_IDENTIFIABLE","?REFERENTIAL"),"_")))))</f>
        <v> </v>
      </c>
      <c r="H654" s="25" t="str">
        <f>IF(J654&lt;&gt;1,"",IF(I654="SBJ","CB","?"))</f>
        <v> </v>
      </c>
      <c r="I654" s="26" t="str">
        <f>IF(OR(E654="",E654="!!!",F654="NEW"),"",INDEX(B653:B$2,-1+SUMPRODUCT(MAX(ROW(E653:E$2)*(E654=E653:E$2)))))</f>
        <v> </v>
      </c>
      <c r="J654" s="26" t="str">
        <f>IF(OR(E654="",E654="!!!",F654="NEW"),"",COUNTBLANK(OFFSET(A$1,,,SUMPRODUCT(MAX(ROW(E$2:E654)*(E654=E$2:E654)))))-COUNTBLANK(OFFSET(A$1,,,SUMPRODUCT(MAX(ROW(E$1:E653)*(E2=E$1:E653))))))</f>
        <v> </v>
      </c>
      <c r="K654" s="26" t="str">
        <f>IF(OR(E654="",E654="!!!",F654="NEW"),"",INDEX(J$1:J653,SUMPRODUCT(MAX(ROW(E$1:E653)*(E654=E$1:E653)))))</f>
        <v> </v>
      </c>
      <c r="L654" s="27"/>
    </row>
    <row r="655" spans="1:12">
      <c r="A655" s="20" t="s">
        <v>862</v>
      </c>
      <c r="B655" s="21" t="s">
        <v>755</v>
      </c>
      <c r="C655" s="21" t="s">
        <v>753</v>
      </c>
      <c r="D655" s="21" t="s">
        <v>730</v>
      </c>
      <c r="E655" s="22">
        <f>IF(D655="?OLD","!!!","")</f>
        <v/>
      </c>
      <c r="F655" s="23" t="str">
        <f>IF(OR(E655="",E655="!!!"),"",IF(NOT(ISNA(VLOOKUP(E655,E$1:E654,1,FALSE()))),"OLD",IF(AND(E655&lt;&gt;"",E655&lt;&gt;"!!!"),"NEW","")))</f>
        <v> </v>
      </c>
      <c r="G655" s="24" t="str">
        <f>IF(OR(E655="",E655="!!!"),"",IF(OR(J655=0,AND(J655=1,K655=1),AND(J655=1,I655="SBJ"),AND(J655=1,I655=0)),"?IN_FOCUS",IF(J655&lt;=2,"?ACTIVATED",IF(J655&lt;&gt;"","?FAMILIAR",IF(F655="NEW",IF(ISNA(VLOOKUP(E655,#REF!,1,FALSE())),"?TYPE_IDENTIFIABLE","?REFERENTIAL"),"_")))))</f>
        <v> </v>
      </c>
      <c r="H655" s="25" t="str">
        <f>IF(J655&lt;&gt;1,"",IF(I655="SBJ","CB","?"))</f>
        <v> </v>
      </c>
      <c r="I655" s="26" t="str">
        <f>IF(OR(E655="",E655="!!!",F655="NEW"),"",INDEX(B654:B$2,-1+SUMPRODUCT(MAX(ROW(E654:E$2)*(E655=E654:E$2)))))</f>
        <v> </v>
      </c>
      <c r="J655" s="26" t="str">
        <f>IF(OR(E655="",E655="!!!",F655="NEW"),"",COUNTBLANK(OFFSET(A$1,,,SUMPRODUCT(MAX(ROW(E$2:E655)*(E655=E$2:E655)))))-COUNTBLANK(OFFSET(A$1,,,SUMPRODUCT(MAX(ROW(E$1:E654)*(E2=E$1:E654))))))</f>
        <v> </v>
      </c>
      <c r="K655" s="26" t="str">
        <f>IF(OR(E655="",E655="!!!",F655="NEW"),"",INDEX(J$1:J654,SUMPRODUCT(MAX(ROW(E$1:E654)*(E655=E$1:E654)))))</f>
        <v> </v>
      </c>
      <c r="L655" s="27"/>
    </row>
    <row r="656" spans="1:12">
      <c r="A656" s="20" t="s">
        <v>759</v>
      </c>
      <c r="E656" s="22">
        <f>IF(D656="?OLD","!!!","")</f>
        <v/>
      </c>
      <c r="F656" s="23" t="str">
        <f>IF(OR(E656="",E656="!!!"),"",IF(NOT(ISNA(VLOOKUP(E656,E$1:E655,1,FALSE()))),"OLD",IF(AND(E656&lt;&gt;"",E656&lt;&gt;"!!!"),"NEW","")))</f>
        <v> </v>
      </c>
      <c r="G656" s="24" t="str">
        <f>IF(OR(E656="",E656="!!!"),"",IF(OR(J656=0,AND(J656=1,K656=1),AND(J656=1,I656="SBJ"),AND(J656=1,I656=0)),"?IN_FOCUS",IF(J656&lt;=2,"?ACTIVATED",IF(J656&lt;&gt;"","?FAMILIAR",IF(F656="NEW",IF(ISNA(VLOOKUP(E656,#REF!,1,FALSE())),"?TYPE_IDENTIFIABLE","?REFERENTIAL"),"_")))))</f>
        <v> </v>
      </c>
      <c r="H656" s="25" t="str">
        <f>IF(J656&lt;&gt;1,"",IF(I656="SBJ","CB","?"))</f>
        <v> </v>
      </c>
      <c r="I656" s="26" t="str">
        <f>IF(OR(E656="",E656="!!!",F656="NEW"),"",INDEX(B655:B$2,-1+SUMPRODUCT(MAX(ROW(E655:E$2)*(E656=E655:E$2)))))</f>
        <v> </v>
      </c>
      <c r="J656" s="26" t="str">
        <f>IF(OR(E656="",E656="!!!",F656="NEW"),"",COUNTBLANK(OFFSET(A$1,,,SUMPRODUCT(MAX(ROW(E$2:E656)*(E656=E$2:E656)))))-COUNTBLANK(OFFSET(A$1,,,SUMPRODUCT(MAX(ROW(E$1:E655)*(E2=E$1:E655))))))</f>
        <v> </v>
      </c>
      <c r="K656" s="26" t="str">
        <f>IF(OR(E656="",E656="!!!",F656="NEW"),"",INDEX(J$1:J655,SUMPRODUCT(MAX(ROW(E$1:E655)*(E656=E$1:E655)))))</f>
        <v> </v>
      </c>
      <c r="L656" s="27"/>
    </row>
    <row r="657" spans="1:12">
      <c r="A657" s="20" t="s">
        <v>982</v>
      </c>
      <c r="E657" s="22">
        <f>IF(D657="?OLD","!!!","")</f>
        <v/>
      </c>
      <c r="F657" s="23" t="str">
        <f>IF(OR(E657="",E657="!!!"),"",IF(NOT(ISNA(VLOOKUP(E657,E$1:E656,1,FALSE()))),"OLD",IF(AND(E657&lt;&gt;"",E657&lt;&gt;"!!!"),"NEW","")))</f>
        <v> </v>
      </c>
      <c r="G657" s="24" t="str">
        <f>IF(OR(E657="",E657="!!!"),"",IF(OR(J657=0,AND(J657=1,K657=1),AND(J657=1,I657="SBJ"),AND(J657=1,I657=0)),"?IN_FOCUS",IF(J657&lt;=2,"?ACTIVATED",IF(J657&lt;&gt;"","?FAMILIAR",IF(F657="NEW",IF(ISNA(VLOOKUP(E657,#REF!,1,FALSE())),"?TYPE_IDENTIFIABLE","?REFERENTIAL"),"_")))))</f>
        <v> </v>
      </c>
      <c r="H657" s="25" t="str">
        <f>IF(J657&lt;&gt;1,"",IF(I657="SBJ","CB","?"))</f>
        <v> </v>
      </c>
      <c r="I657" s="26" t="str">
        <f>IF(OR(E657="",E657="!!!",F657="NEW"),"",INDEX(B656:B$2,-1+SUMPRODUCT(MAX(ROW(E656:E$2)*(E657=E656:E$2)))))</f>
        <v> </v>
      </c>
      <c r="J657" s="26" t="str">
        <f>IF(OR(E657="",E657="!!!",F657="NEW"),"",COUNTBLANK(OFFSET(A$1,,,SUMPRODUCT(MAX(ROW(E$2:E657)*(E657=E$2:E657)))))-COUNTBLANK(OFFSET(A$1,,,SUMPRODUCT(MAX(ROW(E$1:E656)*(E2=E$1:E656))))))</f>
        <v> </v>
      </c>
      <c r="K657" s="26" t="str">
        <f>IF(OR(E657="",E657="!!!",F657="NEW"),"",INDEX(J$1:J656,SUMPRODUCT(MAX(ROW(E$1:E656)*(E657=E$1:E656)))))</f>
        <v> </v>
      </c>
      <c r="L657" s="27"/>
    </row>
    <row r="658" spans="1:12">
      <c r="A658" s="20" t="s">
        <v>773</v>
      </c>
      <c r="E658" s="22">
        <f>IF(D658="?OLD","!!!","")</f>
        <v/>
      </c>
      <c r="F658" s="23" t="str">
        <f>IF(OR(E658="",E658="!!!"),"",IF(NOT(ISNA(VLOOKUP(E658,E$1:E657,1,FALSE()))),"OLD",IF(AND(E658&lt;&gt;"",E658&lt;&gt;"!!!"),"NEW","")))</f>
        <v> </v>
      </c>
      <c r="G658" s="24" t="str">
        <f>IF(OR(E658="",E658="!!!"),"",IF(OR(J658=0,AND(J658=1,K658=1),AND(J658=1,I658="SBJ"),AND(J658=1,I658=0)),"?IN_FOCUS",IF(J658&lt;=2,"?ACTIVATED",IF(J658&lt;&gt;"","?FAMILIAR",IF(F658="NEW",IF(ISNA(VLOOKUP(E658,#REF!,1,FALSE())),"?TYPE_IDENTIFIABLE","?REFERENTIAL"),"_")))))</f>
        <v> </v>
      </c>
      <c r="H658" s="25" t="str">
        <f>IF(J658&lt;&gt;1,"",IF(I658="SBJ","CB","?"))</f>
        <v> </v>
      </c>
      <c r="I658" s="26" t="str">
        <f>IF(OR(E658="",E658="!!!",F658="NEW"),"",INDEX(B657:B$2,-1+SUMPRODUCT(MAX(ROW(E657:E$2)*(E658=E657:E$2)))))</f>
        <v> </v>
      </c>
      <c r="J658" s="26" t="str">
        <f>IF(OR(E658="",E658="!!!",F658="NEW"),"",COUNTBLANK(OFFSET(A$1,,,SUMPRODUCT(MAX(ROW(E$2:E658)*(E658=E$2:E658)))))-COUNTBLANK(OFFSET(A$1,,,SUMPRODUCT(MAX(ROW(E$1:E657)*(E2=E$1:E657))))))</f>
        <v> </v>
      </c>
      <c r="K658" s="26" t="str">
        <f>IF(OR(E658="",E658="!!!",F658="NEW"),"",INDEX(J$1:J657,SUMPRODUCT(MAX(ROW(E$1:E657)*(E658=E$1:E657)))))</f>
        <v> </v>
      </c>
      <c r="L658" s="27"/>
    </row>
    <row r="659" spans="1:12">
      <c r="A659" s="20" t="s">
        <v>840</v>
      </c>
      <c r="E659" s="22">
        <f>IF(D659="?OLD","!!!","")</f>
        <v/>
      </c>
      <c r="F659" s="23" t="str">
        <f>IF(OR(E659="",E659="!!!"),"",IF(NOT(ISNA(VLOOKUP(E659,E$1:E658,1,FALSE()))),"OLD",IF(AND(E659&lt;&gt;"",E659&lt;&gt;"!!!"),"NEW","")))</f>
        <v> </v>
      </c>
      <c r="G659" s="24" t="str">
        <f>IF(OR(E659="",E659="!!!"),"",IF(OR(J659=0,AND(J659=1,K659=1),AND(J659=1,I659="SBJ"),AND(J659=1,I659=0)),"?IN_FOCUS",IF(J659&lt;=2,"?ACTIVATED",IF(J659&lt;&gt;"","?FAMILIAR",IF(F659="NEW",IF(ISNA(VLOOKUP(E659,#REF!,1,FALSE())),"?TYPE_IDENTIFIABLE","?REFERENTIAL"),"_")))))</f>
        <v> </v>
      </c>
      <c r="H659" s="25" t="str">
        <f>IF(J659&lt;&gt;1,"",IF(I659="SBJ","CB","?"))</f>
        <v> </v>
      </c>
      <c r="I659" s="26" t="str">
        <f>IF(OR(E659="",E659="!!!",F659="NEW"),"",INDEX(B658:B$2,-1+SUMPRODUCT(MAX(ROW(E658:E$2)*(E659=E658:E$2)))))</f>
        <v> </v>
      </c>
      <c r="J659" s="26" t="str">
        <f>IF(OR(E659="",E659="!!!",F659="NEW"),"",COUNTBLANK(OFFSET(A$1,,,SUMPRODUCT(MAX(ROW(E$2:E659)*(E659=E$2:E659)))))-COUNTBLANK(OFFSET(A$1,,,SUMPRODUCT(MAX(ROW(E$1:E658)*(E2=E$1:E658))))))</f>
        <v> </v>
      </c>
      <c r="K659" s="26" t="str">
        <f>IF(OR(E659="",E659="!!!",F659="NEW"),"",INDEX(J$1:J658,SUMPRODUCT(MAX(ROW(E$1:E658)*(E659=E$1:E658)))))</f>
        <v> </v>
      </c>
      <c r="L659" s="27"/>
    </row>
    <row r="660" spans="1:12">
      <c r="A660" s="20" t="s">
        <v>1082</v>
      </c>
      <c r="E660" s="22">
        <f>IF(D660="?OLD","!!!","")</f>
        <v/>
      </c>
      <c r="F660" s="23" t="str">
        <f>IF(OR(E660="",E660="!!!"),"",IF(NOT(ISNA(VLOOKUP(E660,E$1:E659,1,FALSE()))),"OLD",IF(AND(E660&lt;&gt;"",E660&lt;&gt;"!!!"),"NEW","")))</f>
        <v> </v>
      </c>
      <c r="G660" s="24" t="str">
        <f>IF(OR(E660="",E660="!!!"),"",IF(OR(J660=0,AND(J660=1,K660=1),AND(J660=1,I660="SBJ"),AND(J660=1,I660=0)),"?IN_FOCUS",IF(J660&lt;=2,"?ACTIVATED",IF(J660&lt;&gt;"","?FAMILIAR",IF(F660="NEW",IF(ISNA(VLOOKUP(E660,#REF!,1,FALSE())),"?TYPE_IDENTIFIABLE","?REFERENTIAL"),"_")))))</f>
        <v> </v>
      </c>
      <c r="H660" s="25" t="str">
        <f>IF(J660&lt;&gt;1,"",IF(I660="SBJ","CB","?"))</f>
        <v> </v>
      </c>
      <c r="I660" s="26" t="str">
        <f>IF(OR(E660="",E660="!!!",F660="NEW"),"",INDEX(B659:B$2,-1+SUMPRODUCT(MAX(ROW(E659:E$2)*(E660=E659:E$2)))))</f>
        <v> </v>
      </c>
      <c r="J660" s="26" t="str">
        <f>IF(OR(E660="",E660="!!!",F660="NEW"),"",COUNTBLANK(OFFSET(A$1,,,SUMPRODUCT(MAX(ROW(E$2:E660)*(E660=E$2:E660)))))-COUNTBLANK(OFFSET(A$1,,,SUMPRODUCT(MAX(ROW(E$1:E659)*(E2=E$1:E659))))))</f>
        <v> </v>
      </c>
      <c r="K660" s="26" t="str">
        <f>IF(OR(E660="",E660="!!!",F660="NEW"),"",INDEX(J$1:J659,SUMPRODUCT(MAX(ROW(E$1:E659)*(E660=E$1:E659)))))</f>
        <v> </v>
      </c>
      <c r="L660" s="27"/>
    </row>
    <row r="661" spans="1:12">
      <c r="A661" s="20" t="s">
        <v>1083</v>
      </c>
      <c r="B661" s="21" t="s">
        <v>739</v>
      </c>
      <c r="C661" s="21" t="s">
        <v>753</v>
      </c>
      <c r="D661" s="21" t="s">
        <v>730</v>
      </c>
      <c r="E661" s="22">
        <f>IF(D661="?OLD","!!!","")</f>
        <v/>
      </c>
      <c r="F661" s="23" t="str">
        <f>IF(OR(E661="",E661="!!!"),"",IF(NOT(ISNA(VLOOKUP(E661,E$1:E660,1,FALSE()))),"OLD",IF(AND(E661&lt;&gt;"",E661&lt;&gt;"!!!"),"NEW","")))</f>
        <v> </v>
      </c>
      <c r="G661" s="24" t="str">
        <f>IF(OR(E661="",E661="!!!"),"",IF(OR(J661=0,AND(J661=1,K661=1),AND(J661=1,I661="SBJ"),AND(J661=1,I661=0)),"?IN_FOCUS",IF(J661&lt;=2,"?ACTIVATED",IF(J661&lt;&gt;"","?FAMILIAR",IF(F661="NEW",IF(ISNA(VLOOKUP(E661,#REF!,1,FALSE())),"?TYPE_IDENTIFIABLE","?REFERENTIAL"),"_")))))</f>
        <v> </v>
      </c>
      <c r="H661" s="25" t="str">
        <f>IF(J661&lt;&gt;1,"",IF(I661="SBJ","CB","?"))</f>
        <v> </v>
      </c>
      <c r="I661" s="26" t="str">
        <f>IF(OR(E661="",E661="!!!",F661="NEW"),"",INDEX(B660:B$2,-1+SUMPRODUCT(MAX(ROW(E660:E$2)*(E661=E660:E$2)))))</f>
        <v> </v>
      </c>
      <c r="J661" s="26" t="str">
        <f>IF(OR(E661="",E661="!!!",F661="NEW"),"",COUNTBLANK(OFFSET(A$1,,,SUMPRODUCT(MAX(ROW(E$2:E661)*(E661=E$2:E661)))))-COUNTBLANK(OFFSET(A$1,,,SUMPRODUCT(MAX(ROW(E$1:E660)*(E2=E$1:E660))))))</f>
        <v> </v>
      </c>
      <c r="K661" s="26" t="str">
        <f>IF(OR(E661="",E661="!!!",F661="NEW"),"",INDEX(J$1:J660,SUMPRODUCT(MAX(ROW(E$1:E660)*(E661=E$1:E660)))))</f>
        <v> </v>
      </c>
      <c r="L661" s="27"/>
    </row>
    <row r="662" spans="1:12">
      <c r="A662" s="20" t="s">
        <v>759</v>
      </c>
      <c r="E662" s="22">
        <f>IF(D662="?OLD","!!!","")</f>
        <v/>
      </c>
      <c r="F662" s="23" t="str">
        <f>IF(OR(E662="",E662="!!!"),"",IF(NOT(ISNA(VLOOKUP(E662,E$1:E661,1,FALSE()))),"OLD",IF(AND(E662&lt;&gt;"",E662&lt;&gt;"!!!"),"NEW","")))</f>
        <v> </v>
      </c>
      <c r="G662" s="24" t="str">
        <f>IF(OR(E662="",E662="!!!"),"",IF(OR(J662=0,AND(J662=1,K662=1),AND(J662=1,I662="SBJ"),AND(J662=1,I662=0)),"?IN_FOCUS",IF(J662&lt;=2,"?ACTIVATED",IF(J662&lt;&gt;"","?FAMILIAR",IF(F662="NEW",IF(ISNA(VLOOKUP(E662,#REF!,1,FALSE())),"?TYPE_IDENTIFIABLE","?REFERENTIAL"),"_")))))</f>
        <v> </v>
      </c>
      <c r="H662" s="25" t="str">
        <f>IF(J662&lt;&gt;1,"",IF(I662="SBJ","CB","?"))</f>
        <v> </v>
      </c>
      <c r="I662" s="26" t="str">
        <f>IF(OR(E662="",E662="!!!",F662="NEW"),"",INDEX(B661:B$2,-1+SUMPRODUCT(MAX(ROW(E661:E$2)*(E662=E661:E$2)))))</f>
        <v> </v>
      </c>
      <c r="J662" s="26" t="str">
        <f>IF(OR(E662="",E662="!!!",F662="NEW"),"",COUNTBLANK(OFFSET(A$1,,,SUMPRODUCT(MAX(ROW(E$2:E662)*(E662=E$2:E662)))))-COUNTBLANK(OFFSET(A$1,,,SUMPRODUCT(MAX(ROW(E$1:E661)*(E2=E$1:E661))))))</f>
        <v> </v>
      </c>
      <c r="K662" s="26" t="str">
        <f>IF(OR(E662="",E662="!!!",F662="NEW"),"",INDEX(J$1:J661,SUMPRODUCT(MAX(ROW(E$1:E661)*(E662=E$1:E661)))))</f>
        <v> </v>
      </c>
      <c r="L662" s="27"/>
    </row>
    <row r="663" spans="1:12">
      <c r="A663" s="20" t="s">
        <v>944</v>
      </c>
      <c r="E663" s="22">
        <f>IF(D663="?OLD","!!!","")</f>
        <v/>
      </c>
      <c r="F663" s="23" t="str">
        <f>IF(OR(E663="",E663="!!!"),"",IF(NOT(ISNA(VLOOKUP(E663,E$1:E662,1,FALSE()))),"OLD",IF(AND(E663&lt;&gt;"",E663&lt;&gt;"!!!"),"NEW","")))</f>
        <v> </v>
      </c>
      <c r="G663" s="24" t="str">
        <f>IF(OR(E663="",E663="!!!"),"",IF(OR(J663=0,AND(J663=1,K663=1),AND(J663=1,I663="SBJ"),AND(J663=1,I663=0)),"?IN_FOCUS",IF(J663&lt;=2,"?ACTIVATED",IF(J663&lt;&gt;"","?FAMILIAR",IF(F663="NEW",IF(ISNA(VLOOKUP(E663,#REF!,1,FALSE())),"?TYPE_IDENTIFIABLE","?REFERENTIAL"),"_")))))</f>
        <v> </v>
      </c>
      <c r="H663" s="25" t="str">
        <f>IF(J663&lt;&gt;1,"",IF(I663="SBJ","CB","?"))</f>
        <v> </v>
      </c>
      <c r="I663" s="26" t="str">
        <f>IF(OR(E663="",E663="!!!",F663="NEW"),"",INDEX(B662:B$2,-1+SUMPRODUCT(MAX(ROW(E662:E$2)*(E663=E662:E$2)))))</f>
        <v> </v>
      </c>
      <c r="J663" s="26" t="str">
        <f>IF(OR(E663="",E663="!!!",F663="NEW"),"",COUNTBLANK(OFFSET(A$1,,,SUMPRODUCT(MAX(ROW(E$2:E663)*(E663=E$2:E663)))))-COUNTBLANK(OFFSET(A$1,,,SUMPRODUCT(MAX(ROW(E$1:E662)*(E2=E$1:E662))))))</f>
        <v> </v>
      </c>
      <c r="K663" s="26" t="str">
        <f>IF(OR(E663="",E663="!!!",F663="NEW"),"",INDEX(J$1:J662,SUMPRODUCT(MAX(ROW(E$1:E662)*(E663=E$1:E662)))))</f>
        <v> </v>
      </c>
      <c r="L663" s="27"/>
    </row>
    <row r="664" spans="1:12">
      <c r="A664" s="20" t="s">
        <v>1084</v>
      </c>
      <c r="E664" s="22">
        <f>IF(D664="?OLD","!!!","")</f>
        <v/>
      </c>
      <c r="F664" s="23" t="str">
        <f>IF(OR(E664="",E664="!!!"),"",IF(NOT(ISNA(VLOOKUP(E664,E$1:E663,1,FALSE()))),"OLD",IF(AND(E664&lt;&gt;"",E664&lt;&gt;"!!!"),"NEW","")))</f>
        <v> </v>
      </c>
      <c r="G664" s="24" t="str">
        <f>IF(OR(E664="",E664="!!!"),"",IF(OR(J664=0,AND(J664=1,K664=1),AND(J664=1,I664="SBJ"),AND(J664=1,I664=0)),"?IN_FOCUS",IF(J664&lt;=2,"?ACTIVATED",IF(J664&lt;&gt;"","?FAMILIAR",IF(F664="NEW",IF(ISNA(VLOOKUP(E664,#REF!,1,FALSE())),"?TYPE_IDENTIFIABLE","?REFERENTIAL"),"_")))))</f>
        <v> </v>
      </c>
      <c r="H664" s="25" t="str">
        <f>IF(J664&lt;&gt;1,"",IF(I664="SBJ","CB","?"))</f>
        <v> </v>
      </c>
      <c r="I664" s="26" t="str">
        <f>IF(OR(E664="",E664="!!!",F664="NEW"),"",INDEX(B663:B$2,-1+SUMPRODUCT(MAX(ROW(E663:E$2)*(E664=E663:E$2)))))</f>
        <v> </v>
      </c>
      <c r="J664" s="26" t="str">
        <f>IF(OR(E664="",E664="!!!",F664="NEW"),"",COUNTBLANK(OFFSET(A$1,,,SUMPRODUCT(MAX(ROW(E$2:E664)*(E664=E$2:E664)))))-COUNTBLANK(OFFSET(A$1,,,SUMPRODUCT(MAX(ROW(E$1:E663)*(E2=E$1:E663))))))</f>
        <v> </v>
      </c>
      <c r="K664" s="26" t="str">
        <f>IF(OR(E664="",E664="!!!",F664="NEW"),"",INDEX(J$1:J663,SUMPRODUCT(MAX(ROW(E$1:E663)*(E664=E$1:E663)))))</f>
        <v> </v>
      </c>
      <c r="L664" s="27"/>
    </row>
    <row r="665" spans="1:12">
      <c r="A665" s="20" t="s">
        <v>972</v>
      </c>
      <c r="E665" s="22">
        <f>IF(D665="?OLD","!!!","")</f>
        <v/>
      </c>
      <c r="F665" s="23" t="str">
        <f>IF(OR(E665="",E665="!!!"),"",IF(NOT(ISNA(VLOOKUP(E665,E$1:E664,1,FALSE()))),"OLD",IF(AND(E665&lt;&gt;"",E665&lt;&gt;"!!!"),"NEW","")))</f>
        <v> </v>
      </c>
      <c r="G665" s="24" t="str">
        <f>IF(OR(E665="",E665="!!!"),"",IF(OR(J665=0,AND(J665=1,K665=1),AND(J665=1,I665="SBJ"),AND(J665=1,I665=0)),"?IN_FOCUS",IF(J665&lt;=2,"?ACTIVATED",IF(J665&lt;&gt;"","?FAMILIAR",IF(F665="NEW",IF(ISNA(VLOOKUP(E665,#REF!,1,FALSE())),"?TYPE_IDENTIFIABLE","?REFERENTIAL"),"_")))))</f>
        <v> </v>
      </c>
      <c r="H665" s="25" t="str">
        <f>IF(J665&lt;&gt;1,"",IF(I665="SBJ","CB","?"))</f>
        <v> </v>
      </c>
      <c r="I665" s="26" t="str">
        <f>IF(OR(E665="",E665="!!!",F665="NEW"),"",INDEX(B664:B$2,-1+SUMPRODUCT(MAX(ROW(E664:E$2)*(E665=E664:E$2)))))</f>
        <v> </v>
      </c>
      <c r="J665" s="26" t="str">
        <f>IF(OR(E665="",E665="!!!",F665="NEW"),"",COUNTBLANK(OFFSET(A$1,,,SUMPRODUCT(MAX(ROW(E$2:E665)*(E665=E$2:E665)))))-COUNTBLANK(OFFSET(A$1,,,SUMPRODUCT(MAX(ROW(E$1:E664)*(E2=E$1:E664))))))</f>
        <v> </v>
      </c>
      <c r="K665" s="26" t="str">
        <f>IF(OR(E665="",E665="!!!",F665="NEW"),"",INDEX(J$1:J664,SUMPRODUCT(MAX(ROW(E$1:E664)*(E665=E$1:E664)))))</f>
        <v> </v>
      </c>
      <c r="L665" s="27"/>
    </row>
    <row r="666" spans="1:12">
      <c r="A666" s="20" t="s">
        <v>1085</v>
      </c>
      <c r="E666" s="22">
        <f>IF(D666="?OLD","!!!","")</f>
        <v/>
      </c>
      <c r="F666" s="23" t="str">
        <f>IF(OR(E666="",E666="!!!"),"",IF(NOT(ISNA(VLOOKUP(E666,E$1:E665,1,FALSE()))),"OLD",IF(AND(E666&lt;&gt;"",E666&lt;&gt;"!!!"),"NEW","")))</f>
        <v> </v>
      </c>
      <c r="G666" s="24" t="str">
        <f>IF(OR(E666="",E666="!!!"),"",IF(OR(J666=0,AND(J666=1,K666=1),AND(J666=1,I666="SBJ"),AND(J666=1,I666=0)),"?IN_FOCUS",IF(J666&lt;=2,"?ACTIVATED",IF(J666&lt;&gt;"","?FAMILIAR",IF(F666="NEW",IF(ISNA(VLOOKUP(E666,#REF!,1,FALSE())),"?TYPE_IDENTIFIABLE","?REFERENTIAL"),"_")))))</f>
        <v> </v>
      </c>
      <c r="H666" s="25" t="str">
        <f>IF(J666&lt;&gt;1,"",IF(I666="SBJ","CB","?"))</f>
        <v> </v>
      </c>
      <c r="I666" s="26" t="str">
        <f>IF(OR(E666="",E666="!!!",F666="NEW"),"",INDEX(B665:B$2,-1+SUMPRODUCT(MAX(ROW(E665:E$2)*(E666=E665:E$2)))))</f>
        <v> </v>
      </c>
      <c r="J666" s="26" t="str">
        <f>IF(OR(E666="",E666="!!!",F666="NEW"),"",COUNTBLANK(OFFSET(A$1,,,SUMPRODUCT(MAX(ROW(E$2:E666)*(E666=E$2:E666)))))-COUNTBLANK(OFFSET(A$1,,,SUMPRODUCT(MAX(ROW(E$1:E665)*(E2=E$1:E665))))))</f>
        <v> </v>
      </c>
      <c r="K666" s="26" t="str">
        <f>IF(OR(E666="",E666="!!!",F666="NEW"),"",INDEX(J$1:J665,SUMPRODUCT(MAX(ROW(E$1:E665)*(E666=E$1:E665)))))</f>
        <v> </v>
      </c>
      <c r="L666" s="27"/>
    </row>
    <row r="667" spans="1:12">
      <c r="A667" s="20" t="s">
        <v>1086</v>
      </c>
      <c r="B667" s="21" t="s">
        <v>739</v>
      </c>
      <c r="C667" s="21" t="s">
        <v>748</v>
      </c>
      <c r="E667" s="22">
        <f>IF(D667="?OLD","!!!","")</f>
        <v/>
      </c>
      <c r="F667" s="23" t="str">
        <f>IF(OR(E667="",E667="!!!"),"",IF(NOT(ISNA(VLOOKUP(E667,E$1:E666,1,FALSE()))),"OLD",IF(AND(E667&lt;&gt;"",E667&lt;&gt;"!!!"),"NEW","")))</f>
        <v> </v>
      </c>
      <c r="G667" s="24" t="str">
        <f>IF(OR(E667="",E667="!!!"),"",IF(OR(J667=0,AND(J667=1,K667=1),AND(J667=1,I667="SBJ"),AND(J667=1,I667=0)),"?IN_FOCUS",IF(J667&lt;=2,"?ACTIVATED",IF(J667&lt;&gt;"","?FAMILIAR",IF(F667="NEW",IF(ISNA(VLOOKUP(E667,#REF!,1,FALSE())),"?TYPE_IDENTIFIABLE","?REFERENTIAL"),"_")))))</f>
        <v> </v>
      </c>
      <c r="H667" s="25" t="str">
        <f>IF(J667&lt;&gt;1,"",IF(I667="SBJ","CB","?"))</f>
        <v> </v>
      </c>
      <c r="I667" s="26" t="str">
        <f>IF(OR(E667="",E667="!!!",F667="NEW"),"",INDEX(B666:B$2,-1+SUMPRODUCT(MAX(ROW(E666:E$2)*(E667=E666:E$2)))))</f>
        <v> </v>
      </c>
      <c r="J667" s="26" t="str">
        <f>IF(OR(E667="",E667="!!!",F667="NEW"),"",COUNTBLANK(OFFSET(A$1,,,SUMPRODUCT(MAX(ROW(E$2:E667)*(E667=E$2:E667)))))-COUNTBLANK(OFFSET(A$1,,,SUMPRODUCT(MAX(ROW(E$1:E666)*(E2=E$1:E666))))))</f>
        <v> </v>
      </c>
      <c r="K667" s="26" t="str">
        <f>IF(OR(E667="",E667="!!!",F667="NEW"),"",INDEX(J$1:J666,SUMPRODUCT(MAX(ROW(E$1:E666)*(E667=E$1:E666)))))</f>
        <v> </v>
      </c>
      <c r="L667" s="27"/>
    </row>
    <row r="668" spans="1:12">
      <c r="A668" s="20" t="s">
        <v>1087</v>
      </c>
      <c r="E668" s="22">
        <f>IF(D668="?OLD","!!!","")</f>
        <v/>
      </c>
      <c r="F668" s="23" t="str">
        <f>IF(OR(E668="",E668="!!!"),"",IF(NOT(ISNA(VLOOKUP(E668,E$1:E667,1,FALSE()))),"OLD",IF(AND(E668&lt;&gt;"",E668&lt;&gt;"!!!"),"NEW","")))</f>
        <v> </v>
      </c>
      <c r="G668" s="24" t="str">
        <f>IF(OR(E668="",E668="!!!"),"",IF(OR(J668=0,AND(J668=1,K668=1),AND(J668=1,I668="SBJ"),AND(J668=1,I668=0)),"?IN_FOCUS",IF(J668&lt;=2,"?ACTIVATED",IF(J668&lt;&gt;"","?FAMILIAR",IF(F668="NEW",IF(ISNA(VLOOKUP(E668,#REF!,1,FALSE())),"?TYPE_IDENTIFIABLE","?REFERENTIAL"),"_")))))</f>
        <v> </v>
      </c>
      <c r="H668" s="25" t="str">
        <f>IF(J668&lt;&gt;1,"",IF(I668="SBJ","CB","?"))</f>
        <v> </v>
      </c>
      <c r="I668" s="26" t="str">
        <f>IF(OR(E668="",E668="!!!",F668="NEW"),"",INDEX(B667:B$2,-1+SUMPRODUCT(MAX(ROW(E667:E$2)*(E668=E667:E$2)))))</f>
        <v> </v>
      </c>
      <c r="J668" s="26" t="str">
        <f>IF(OR(E668="",E668="!!!",F668="NEW"),"",COUNTBLANK(OFFSET(A$1,,,SUMPRODUCT(MAX(ROW(E$2:E668)*(E668=E$2:E668)))))-COUNTBLANK(OFFSET(A$1,,,SUMPRODUCT(MAX(ROW(E$1:E667)*(E2=E$1:E667))))))</f>
        <v> </v>
      </c>
      <c r="K668" s="26" t="str">
        <f>IF(OR(E668="",E668="!!!",F668="NEW"),"",INDEX(J$1:J667,SUMPRODUCT(MAX(ROW(E$1:E667)*(E668=E$1:E667)))))</f>
        <v> </v>
      </c>
      <c r="L668" s="27"/>
    </row>
    <row r="669" spans="1:12">
      <c r="A669" s="20" t="s">
        <v>759</v>
      </c>
      <c r="E669" s="22">
        <f>IF(D669="?OLD","!!!","")</f>
        <v/>
      </c>
      <c r="F669" s="23" t="str">
        <f>IF(OR(E669="",E669="!!!"),"",IF(NOT(ISNA(VLOOKUP(E669,E$1:E668,1,FALSE()))),"OLD",IF(AND(E669&lt;&gt;"",E669&lt;&gt;"!!!"),"NEW","")))</f>
        <v> </v>
      </c>
      <c r="G669" s="24" t="str">
        <f>IF(OR(E669="",E669="!!!"),"",IF(OR(J669=0,AND(J669=1,K669=1),AND(J669=1,I669="SBJ"),AND(J669=1,I669=0)),"?IN_FOCUS",IF(J669&lt;=2,"?ACTIVATED",IF(J669&lt;&gt;"","?FAMILIAR",IF(F669="NEW",IF(ISNA(VLOOKUP(E669,#REF!,1,FALSE())),"?TYPE_IDENTIFIABLE","?REFERENTIAL"),"_")))))</f>
        <v> </v>
      </c>
      <c r="H669" s="25" t="str">
        <f>IF(J669&lt;&gt;1,"",IF(I669="SBJ","CB","?"))</f>
        <v> </v>
      </c>
      <c r="I669" s="26" t="str">
        <f>IF(OR(E669="",E669="!!!",F669="NEW"),"",INDEX(B668:B$2,-1+SUMPRODUCT(MAX(ROW(E668:E$2)*(E669=E668:E$2)))))</f>
        <v> </v>
      </c>
      <c r="J669" s="26" t="str">
        <f>IF(OR(E669="",E669="!!!",F669="NEW"),"",COUNTBLANK(OFFSET(A$1,,,SUMPRODUCT(MAX(ROW(E$2:E669)*(E669=E$2:E669)))))-COUNTBLANK(OFFSET(A$1,,,SUMPRODUCT(MAX(ROW(E$1:E668)*(E2=E$1:E668))))))</f>
        <v> </v>
      </c>
      <c r="K669" s="26" t="str">
        <f>IF(OR(E669="",E669="!!!",F669="NEW"),"",INDEX(J$1:J668,SUMPRODUCT(MAX(ROW(E$1:E668)*(E669=E$1:E668)))))</f>
        <v> </v>
      </c>
      <c r="L669" s="27"/>
    </row>
    <row r="670" spans="1:12">
      <c r="A670" s="20" t="s">
        <v>952</v>
      </c>
      <c r="E670" s="22">
        <f>IF(D670="?OLD","!!!","")</f>
        <v/>
      </c>
      <c r="F670" s="23" t="str">
        <f>IF(OR(E670="",E670="!!!"),"",IF(NOT(ISNA(VLOOKUP(E670,E$1:E669,1,FALSE()))),"OLD",IF(AND(E670&lt;&gt;"",E670&lt;&gt;"!!!"),"NEW","")))</f>
        <v> </v>
      </c>
      <c r="G670" s="24" t="str">
        <f>IF(OR(E670="",E670="!!!"),"",IF(OR(J670=0,AND(J670=1,K670=1),AND(J670=1,I670="SBJ"),AND(J670=1,I670=0)),"?IN_FOCUS",IF(J670&lt;=2,"?ACTIVATED",IF(J670&lt;&gt;"","?FAMILIAR",IF(F670="NEW",IF(ISNA(VLOOKUP(E670,#REF!,1,FALSE())),"?TYPE_IDENTIFIABLE","?REFERENTIAL"),"_")))))</f>
        <v> </v>
      </c>
      <c r="H670" s="25" t="str">
        <f>IF(J670&lt;&gt;1,"",IF(I670="SBJ","CB","?"))</f>
        <v> </v>
      </c>
      <c r="I670" s="26" t="str">
        <f>IF(OR(E670="",E670="!!!",F670="NEW"),"",INDEX(B669:B$2,-1+SUMPRODUCT(MAX(ROW(E669:E$2)*(E670=E669:E$2)))))</f>
        <v> </v>
      </c>
      <c r="J670" s="26" t="str">
        <f>IF(OR(E670="",E670="!!!",F670="NEW"),"",COUNTBLANK(OFFSET(A$1,,,SUMPRODUCT(MAX(ROW(E$2:E670)*(E670=E$2:E670)))))-COUNTBLANK(OFFSET(A$1,,,SUMPRODUCT(MAX(ROW(E$1:E669)*(E2=E$1:E669))))))</f>
        <v> </v>
      </c>
      <c r="K670" s="26" t="str">
        <f>IF(OR(E670="",E670="!!!",F670="NEW"),"",INDEX(J$1:J669,SUMPRODUCT(MAX(ROW(E$1:E669)*(E670=E$1:E669)))))</f>
        <v> </v>
      </c>
      <c r="L670" s="27"/>
    </row>
    <row r="671" spans="1:12">
      <c r="A671" s="20" t="s">
        <v>859</v>
      </c>
      <c r="B671" s="21" t="s">
        <v>788</v>
      </c>
      <c r="C671" s="21" t="s">
        <v>789</v>
      </c>
      <c r="D671" s="21" t="s">
        <v>730</v>
      </c>
      <c r="E671" s="22">
        <f>IF(D671="?OLD","!!!","")</f>
        <v/>
      </c>
      <c r="F671" s="23" t="str">
        <f>IF(OR(E671="",E671="!!!"),"",IF(NOT(ISNA(VLOOKUP(E671,E$1:E670,1,FALSE()))),"OLD",IF(AND(E671&lt;&gt;"",E671&lt;&gt;"!!!"),"NEW","")))</f>
        <v> </v>
      </c>
      <c r="G671" s="24" t="str">
        <f>IF(OR(E671="",E671="!!!"),"",IF(OR(J671=0,AND(J671=1,K671=1),AND(J671=1,I671="SBJ"),AND(J671=1,I671=0)),"?IN_FOCUS",IF(J671&lt;=2,"?ACTIVATED",IF(J671&lt;&gt;"","?FAMILIAR",IF(F671="NEW",IF(ISNA(VLOOKUP(E671,#REF!,1,FALSE())),"?TYPE_IDENTIFIABLE","?REFERENTIAL"),"_")))))</f>
        <v> </v>
      </c>
      <c r="H671" s="25" t="str">
        <f>IF(J671&lt;&gt;1,"",IF(I671="SBJ","CB","?"))</f>
        <v> </v>
      </c>
      <c r="I671" s="26" t="str">
        <f>IF(OR(E671="",E671="!!!",F671="NEW"),"",INDEX(B670:B$2,-1+SUMPRODUCT(MAX(ROW(E670:E$2)*(E671=E670:E$2)))))</f>
        <v> </v>
      </c>
      <c r="J671" s="26" t="str">
        <f>IF(OR(E671="",E671="!!!",F671="NEW"),"",COUNTBLANK(OFFSET(A$1,,,SUMPRODUCT(MAX(ROW(E$2:E671)*(E671=E$2:E671)))))-COUNTBLANK(OFFSET(A$1,,,SUMPRODUCT(MAX(ROW(E$1:E670)*(E2=E$1:E670))))))</f>
        <v> </v>
      </c>
      <c r="K671" s="26" t="str">
        <f>IF(OR(E671="",E671="!!!",F671="NEW"),"",INDEX(J$1:J670,SUMPRODUCT(MAX(ROW(E$1:E670)*(E671=E$1:E670)))))</f>
        <v> </v>
      </c>
      <c r="L671" s="27"/>
    </row>
    <row r="672" spans="1:12">
      <c r="A672" s="20" t="s">
        <v>899</v>
      </c>
      <c r="B672" s="21" t="s">
        <v>843</v>
      </c>
      <c r="C672" s="21" t="s">
        <v>729</v>
      </c>
      <c r="D672" s="21" t="s">
        <v>730</v>
      </c>
      <c r="E672" s="22">
        <f>IF(D672="?OLD","!!!","")</f>
        <v/>
      </c>
      <c r="F672" s="23" t="str">
        <f>IF(OR(E672="",E672="!!!"),"",IF(NOT(ISNA(VLOOKUP(E672,E$1:E671,1,FALSE()))),"OLD",IF(AND(E672&lt;&gt;"",E672&lt;&gt;"!!!"),"NEW","")))</f>
        <v> </v>
      </c>
      <c r="G672" s="24" t="str">
        <f>IF(OR(E672="",E672="!!!"),"",IF(OR(J672=0,AND(J672=1,K672=1),AND(J672=1,I672="SBJ"),AND(J672=1,I672=0)),"?IN_FOCUS",IF(J672&lt;=2,"?ACTIVATED",IF(J672&lt;&gt;"","?FAMILIAR",IF(F672="NEW",IF(ISNA(VLOOKUP(E672,#REF!,1,FALSE())),"?TYPE_IDENTIFIABLE","?REFERENTIAL"),"_")))))</f>
        <v> </v>
      </c>
      <c r="H672" s="25" t="str">
        <f>IF(J672&lt;&gt;1,"",IF(I672="SBJ","CB","?"))</f>
        <v> </v>
      </c>
      <c r="I672" s="26" t="str">
        <f>IF(OR(E672="",E672="!!!",F672="NEW"),"",INDEX(B671:B$2,-1+SUMPRODUCT(MAX(ROW(E671:E$2)*(E672=E671:E$2)))))</f>
        <v> </v>
      </c>
      <c r="J672" s="26" t="str">
        <f>IF(OR(E672="",E672="!!!",F672="NEW"),"",COUNTBLANK(OFFSET(A$1,,,SUMPRODUCT(MAX(ROW(E$2:E672)*(E672=E$2:E672)))))-COUNTBLANK(OFFSET(A$1,,,SUMPRODUCT(MAX(ROW(E$1:E671)*(E2=E$1:E671))))))</f>
        <v> </v>
      </c>
      <c r="K672" s="26" t="str">
        <f>IF(OR(E672="",E672="!!!",F672="NEW"),"",INDEX(J$1:J671,SUMPRODUCT(MAX(ROW(E$1:E671)*(E672=E$1:E671)))))</f>
        <v> </v>
      </c>
      <c r="L672" s="27"/>
    </row>
    <row r="673" spans="1:12">
      <c r="A673" s="20" t="s">
        <v>872</v>
      </c>
      <c r="B673" s="21" t="s">
        <v>843</v>
      </c>
      <c r="C673" s="21" t="s">
        <v>789</v>
      </c>
      <c r="D673" s="21" t="s">
        <v>730</v>
      </c>
      <c r="E673" s="22">
        <f>IF(D673="?OLD","!!!","")</f>
        <v/>
      </c>
      <c r="F673" s="23" t="str">
        <f>IF(OR(E673="",E673="!!!"),"",IF(NOT(ISNA(VLOOKUP(E673,E$1:E672,1,FALSE()))),"OLD",IF(AND(E673&lt;&gt;"",E673&lt;&gt;"!!!"),"NEW","")))</f>
        <v> </v>
      </c>
      <c r="G673" s="24" t="str">
        <f>IF(OR(E673="",E673="!!!"),"",IF(OR(J673=0,AND(J673=1,K673=1),AND(J673=1,I673="SBJ"),AND(J673=1,I673=0)),"?IN_FOCUS",IF(J673&lt;=2,"?ACTIVATED",IF(J673&lt;&gt;"","?FAMILIAR",IF(F673="NEW",IF(ISNA(VLOOKUP(E673,#REF!,1,FALSE())),"?TYPE_IDENTIFIABLE","?REFERENTIAL"),"_")))))</f>
        <v> </v>
      </c>
      <c r="H673" s="25" t="str">
        <f>IF(J673&lt;&gt;1,"",IF(I673="SBJ","CB","?"))</f>
        <v> </v>
      </c>
      <c r="I673" s="26" t="str">
        <f>IF(OR(E673="",E673="!!!",F673="NEW"),"",INDEX(B672:B$2,-1+SUMPRODUCT(MAX(ROW(E672:E$2)*(E673=E672:E$2)))))</f>
        <v> </v>
      </c>
      <c r="J673" s="26" t="str">
        <f>IF(OR(E673="",E673="!!!",F673="NEW"),"",COUNTBLANK(OFFSET(A$1,,,SUMPRODUCT(MAX(ROW(E$2:E673)*(E673=E$2:E673)))))-COUNTBLANK(OFFSET(A$1,,,SUMPRODUCT(MAX(ROW(E$1:E672)*(E2=E$1:E672))))))</f>
        <v> </v>
      </c>
      <c r="K673" s="26" t="str">
        <f>IF(OR(E673="",E673="!!!",F673="NEW"),"",INDEX(J$1:J672,SUMPRODUCT(MAX(ROW(E$1:E672)*(E673=E$1:E672)))))</f>
        <v> </v>
      </c>
      <c r="L673" s="27"/>
    </row>
    <row r="674" spans="1:12">
      <c r="A674" s="20" t="s">
        <v>1088</v>
      </c>
      <c r="E674" s="22">
        <f>IF(D674="?OLD","!!!","")</f>
        <v/>
      </c>
      <c r="F674" s="23" t="str">
        <f>IF(OR(E674="",E674="!!!"),"",IF(NOT(ISNA(VLOOKUP(E674,E$1:E673,1,FALSE()))),"OLD",IF(AND(E674&lt;&gt;"",E674&lt;&gt;"!!!"),"NEW","")))</f>
        <v> </v>
      </c>
      <c r="G674" s="24" t="str">
        <f>IF(OR(E674="",E674="!!!"),"",IF(OR(J674=0,AND(J674=1,K674=1),AND(J674=1,I674="SBJ"),AND(J674=1,I674=0)),"?IN_FOCUS",IF(J674&lt;=2,"?ACTIVATED",IF(J674&lt;&gt;"","?FAMILIAR",IF(F674="NEW",IF(ISNA(VLOOKUP(E674,#REF!,1,FALSE())),"?TYPE_IDENTIFIABLE","?REFERENTIAL"),"_")))))</f>
        <v> </v>
      </c>
      <c r="H674" s="25" t="str">
        <f>IF(J674&lt;&gt;1,"",IF(I674="SBJ","CB","?"))</f>
        <v> </v>
      </c>
      <c r="I674" s="26" t="str">
        <f>IF(OR(E674="",E674="!!!",F674="NEW"),"",INDEX(B673:B$2,-1+SUMPRODUCT(MAX(ROW(E673:E$2)*(E674=E673:E$2)))))</f>
        <v> </v>
      </c>
      <c r="J674" s="26" t="str">
        <f>IF(OR(E674="",E674="!!!",F674="NEW"),"",COUNTBLANK(OFFSET(A$1,,,SUMPRODUCT(MAX(ROW(E$2:E674)*(E674=E$2:E674)))))-COUNTBLANK(OFFSET(A$1,,,SUMPRODUCT(MAX(ROW(E$1:E673)*(E2=E$1:E673))))))</f>
        <v> </v>
      </c>
      <c r="K674" s="26" t="str">
        <f>IF(OR(E674="",E674="!!!",F674="NEW"),"",INDEX(J$1:J673,SUMPRODUCT(MAX(ROW(E$1:E673)*(E674=E$1:E673)))))</f>
        <v> </v>
      </c>
      <c r="L674" s="27"/>
    </row>
    <row r="675" spans="1:12">
      <c r="A675" s="20" t="s">
        <v>1089</v>
      </c>
      <c r="E675" s="22">
        <f>IF(D675="?OLD","!!!","")</f>
        <v/>
      </c>
      <c r="F675" s="23" t="str">
        <f>IF(OR(E675="",E675="!!!"),"",IF(NOT(ISNA(VLOOKUP(E675,E$1:E674,1,FALSE()))),"OLD",IF(AND(E675&lt;&gt;"",E675&lt;&gt;"!!!"),"NEW","")))</f>
        <v> </v>
      </c>
      <c r="G675" s="24" t="str">
        <f>IF(OR(E675="",E675="!!!"),"",IF(OR(J675=0,AND(J675=1,K675=1),AND(J675=1,I675="SBJ"),AND(J675=1,I675=0)),"?IN_FOCUS",IF(J675&lt;=2,"?ACTIVATED",IF(J675&lt;&gt;"","?FAMILIAR",IF(F675="NEW",IF(ISNA(VLOOKUP(E675,#REF!,1,FALSE())),"?TYPE_IDENTIFIABLE","?REFERENTIAL"),"_")))))</f>
        <v> </v>
      </c>
      <c r="H675" s="25" t="str">
        <f>IF(J675&lt;&gt;1,"",IF(I675="SBJ","CB","?"))</f>
        <v> </v>
      </c>
      <c r="I675" s="26" t="str">
        <f>IF(OR(E675="",E675="!!!",F675="NEW"),"",INDEX(B674:B$2,-1+SUMPRODUCT(MAX(ROW(E674:E$2)*(E675=E674:E$2)))))</f>
        <v> </v>
      </c>
      <c r="J675" s="26" t="str">
        <f>IF(OR(E675="",E675="!!!",F675="NEW"),"",COUNTBLANK(OFFSET(A$1,,,SUMPRODUCT(MAX(ROW(E$2:E675)*(E675=E$2:E675)))))-COUNTBLANK(OFFSET(A$1,,,SUMPRODUCT(MAX(ROW(E$1:E674)*(E2=E$1:E674))))))</f>
        <v> </v>
      </c>
      <c r="K675" s="26" t="str">
        <f>IF(OR(E675="",E675="!!!",F675="NEW"),"",INDEX(J$1:J674,SUMPRODUCT(MAX(ROW(E$1:E674)*(E675=E$1:E674)))))</f>
        <v> </v>
      </c>
      <c r="L675" s="27"/>
    </row>
    <row r="676" spans="1:12">
      <c r="A676" s="20" t="s">
        <v>504</v>
      </c>
      <c r="E676" s="22">
        <f>IF(D676="?OLD","!!!","")</f>
        <v/>
      </c>
      <c r="F676" s="23" t="str">
        <f>IF(OR(E676="",E676="!!!"),"",IF(NOT(ISNA(VLOOKUP(E676,E$1:E675,1,FALSE()))),"OLD",IF(AND(E676&lt;&gt;"",E676&lt;&gt;"!!!"),"NEW","")))</f>
        <v> </v>
      </c>
      <c r="G676" s="24" t="str">
        <f>IF(OR(E676="",E676="!!!"),"",IF(OR(J676=0,AND(J676=1,K676=1),AND(J676=1,I676="SBJ"),AND(J676=1,I676=0)),"?IN_FOCUS",IF(J676&lt;=2,"?ACTIVATED",IF(J676&lt;&gt;"","?FAMILIAR",IF(F676="NEW",IF(ISNA(VLOOKUP(E676,#REF!,1,FALSE())),"?TYPE_IDENTIFIABLE","?REFERENTIAL"),"_")))))</f>
        <v> </v>
      </c>
      <c r="H676" s="25" t="str">
        <f>IF(J676&lt;&gt;1,"",IF(I676="SBJ","CB","?"))</f>
        <v> </v>
      </c>
      <c r="I676" s="26" t="str">
        <f>IF(OR(E676="",E676="!!!",F676="NEW"),"",INDEX(B675:B$2,-1+SUMPRODUCT(MAX(ROW(E675:E$2)*(E676=E675:E$2)))))</f>
        <v> </v>
      </c>
      <c r="J676" s="26" t="str">
        <f>IF(OR(E676="",E676="!!!",F676="NEW"),"",COUNTBLANK(OFFSET(A$1,,,SUMPRODUCT(MAX(ROW(E$2:E676)*(E676=E$2:E676)))))-COUNTBLANK(OFFSET(A$1,,,SUMPRODUCT(MAX(ROW(E$1:E675)*(E2=E$1:E675))))))</f>
        <v> </v>
      </c>
      <c r="K676" s="26" t="str">
        <f>IF(OR(E676="",E676="!!!",F676="NEW"),"",INDEX(J$1:J675,SUMPRODUCT(MAX(ROW(E$1:E675)*(E676=E$1:E675)))))</f>
        <v> </v>
      </c>
      <c r="L676" s="27"/>
    </row>
    <row r="677" spans="1:12">
      <c r="A677" s="20" t="s">
        <v>881</v>
      </c>
      <c r="E677" s="22">
        <f>IF(D677="?OLD","!!!","")</f>
        <v/>
      </c>
      <c r="F677" s="23" t="str">
        <f>IF(OR(E677="",E677="!!!"),"",IF(NOT(ISNA(VLOOKUP(E677,E$1:E676,1,FALSE()))),"OLD",IF(AND(E677&lt;&gt;"",E677&lt;&gt;"!!!"),"NEW","")))</f>
        <v> </v>
      </c>
      <c r="G677" s="24" t="str">
        <f>IF(OR(E677="",E677="!!!"),"",IF(OR(J677=0,AND(J677=1,K677=1),AND(J677=1,I677="SBJ"),AND(J677=1,I677=0)),"?IN_FOCUS",IF(J677&lt;=2,"?ACTIVATED",IF(J677&lt;&gt;"","?FAMILIAR",IF(F677="NEW",IF(ISNA(VLOOKUP(E677,#REF!,1,FALSE())),"?TYPE_IDENTIFIABLE","?REFERENTIAL"),"_")))))</f>
        <v> </v>
      </c>
      <c r="H677" s="25" t="str">
        <f>IF(J677&lt;&gt;1,"",IF(I677="SBJ","CB","?"))</f>
        <v> </v>
      </c>
      <c r="I677" s="26" t="str">
        <f>IF(OR(E677="",E677="!!!",F677="NEW"),"",INDEX(B676:B$2,-1+SUMPRODUCT(MAX(ROW(E676:E$2)*(E677=E676:E$2)))))</f>
        <v> </v>
      </c>
      <c r="J677" s="26" t="str">
        <f>IF(OR(E677="",E677="!!!",F677="NEW"),"",COUNTBLANK(OFFSET(A$1,,,SUMPRODUCT(MAX(ROW(E$2:E677)*(E677=E$2:E677)))))-COUNTBLANK(OFFSET(A$1,,,SUMPRODUCT(MAX(ROW(E$1:E676)*(E2=E$1:E676))))))</f>
        <v> </v>
      </c>
      <c r="K677" s="26" t="str">
        <f>IF(OR(E677="",E677="!!!",F677="NEW"),"",INDEX(J$1:J676,SUMPRODUCT(MAX(ROW(E$1:E676)*(E677=E$1:E676)))))</f>
        <v> </v>
      </c>
      <c r="L677" s="27"/>
    </row>
    <row r="678" spans="1:12">
      <c r="A678" s="20" t="s">
        <v>246</v>
      </c>
      <c r="E678" s="22">
        <f>IF(D678="?OLD","!!!","")</f>
        <v/>
      </c>
      <c r="F678" s="23" t="str">
        <f>IF(OR(E678="",E678="!!!"),"",IF(NOT(ISNA(VLOOKUP(E678,E$1:E677,1,FALSE()))),"OLD",IF(AND(E678&lt;&gt;"",E678&lt;&gt;"!!!"),"NEW","")))</f>
        <v> </v>
      </c>
      <c r="G678" s="24" t="str">
        <f>IF(OR(E678="",E678="!!!"),"",IF(OR(J678=0,AND(J678=1,K678=1),AND(J678=1,I678="SBJ"),AND(J678=1,I678=0)),"?IN_FOCUS",IF(J678&lt;=2,"?ACTIVATED",IF(J678&lt;&gt;"","?FAMILIAR",IF(F678="NEW",IF(ISNA(VLOOKUP(E678,#REF!,1,FALSE())),"?TYPE_IDENTIFIABLE","?REFERENTIAL"),"_")))))</f>
        <v> </v>
      </c>
      <c r="H678" s="25" t="str">
        <f>IF(J678&lt;&gt;1,"",IF(I678="SBJ","CB","?"))</f>
        <v> </v>
      </c>
      <c r="I678" s="26" t="str">
        <f>IF(OR(E678="",E678="!!!",F678="NEW"),"",INDEX(B677:B$2,-1+SUMPRODUCT(MAX(ROW(E677:E$2)*(E678=E677:E$2)))))</f>
        <v> </v>
      </c>
      <c r="J678" s="26" t="str">
        <f>IF(OR(E678="",E678="!!!",F678="NEW"),"",COUNTBLANK(OFFSET(A$1,,,SUMPRODUCT(MAX(ROW(E$2:E678)*(E678=E$2:E678)))))-COUNTBLANK(OFFSET(A$1,,,SUMPRODUCT(MAX(ROW(E$1:E677)*(E2=E$1:E677))))))</f>
        <v> </v>
      </c>
      <c r="K678" s="26" t="str">
        <f>IF(OR(E678="",E678="!!!",F678="NEW"),"",INDEX(J$1:J677,SUMPRODUCT(MAX(ROW(E$1:E677)*(E678=E$1:E677)))))</f>
        <v> </v>
      </c>
      <c r="L678" s="27"/>
    </row>
    <row r="679" spans="1:12">
      <c r="A679" s="20"/>
    </row>
    <row r="680" spans="1:12">
      <c r="A680" s="20" t="s">
        <v>1090</v>
      </c>
    </row>
    <row r="681" spans="1:12">
      <c r="A681" s="20" t="s">
        <v>958</v>
      </c>
      <c r="E681" s="22">
        <f>IF(D681="?OLD","!!!","")</f>
        <v/>
      </c>
      <c r="F681" s="23" t="str">
        <f>IF(OR(E681="",E681="!!!"),"",IF(NOT(ISNA(VLOOKUP(E681,E$1:E680,1,FALSE()))),"OLD",IF(AND(E681&lt;&gt;"",E681&lt;&gt;"!!!"),"NEW","")))</f>
        <v> </v>
      </c>
      <c r="G681" s="24" t="str">
        <f>IF(OR(E681="",E681="!!!"),"",IF(OR(J681=0,AND(J681=1,K681=1),AND(J681=1,I681="SBJ"),AND(J681=1,I681=0)),"?IN_FOCUS",IF(J681&lt;=2,"?ACTIVATED",IF(J681&lt;&gt;"","?FAMILIAR",IF(F681="NEW",IF(ISNA(VLOOKUP(E681,#REF!,1,FALSE())),"?TYPE_IDENTIFIABLE","?REFERENTIAL"),"_")))))</f>
        <v> </v>
      </c>
      <c r="H681" s="25" t="str">
        <f>IF(J681&lt;&gt;1,"",IF(I681="SBJ","CB","?"))</f>
        <v> </v>
      </c>
      <c r="I681" s="26" t="str">
        <f>IF(OR(E681="",E681="!!!",F681="NEW"),"",INDEX(B680:B$2,-1+SUMPRODUCT(MAX(ROW(E680:E$2)*(E681=E680:E$2)))))</f>
        <v> </v>
      </c>
      <c r="J681" s="26" t="str">
        <f>IF(OR(E681="",E681="!!!",F681="NEW"),"",COUNTBLANK(OFFSET(A$1,,,SUMPRODUCT(MAX(ROW(E$2:E681)*(E681=E$2:E681)))))-COUNTBLANK(OFFSET(A$1,,,SUMPRODUCT(MAX(ROW(E$1:E680)*(E2=E$1:E680))))))</f>
        <v> </v>
      </c>
      <c r="K681" s="26" t="str">
        <f>IF(OR(E681="",E681="!!!",F681="NEW"),"",INDEX(J$1:J680,SUMPRODUCT(MAX(ROW(E$1:E680)*(E681=E$1:E680)))))</f>
        <v> </v>
      </c>
      <c r="L681" s="27"/>
    </row>
    <row r="682" spans="1:12">
      <c r="A682" s="20" t="s">
        <v>1091</v>
      </c>
      <c r="B682" s="21" t="s">
        <v>728</v>
      </c>
      <c r="C682" s="21" t="s">
        <v>753</v>
      </c>
      <c r="D682" s="21" t="s">
        <v>730</v>
      </c>
      <c r="E682" s="22">
        <f>IF(D682="?OLD","!!!","")</f>
        <v/>
      </c>
      <c r="F682" s="23" t="str">
        <f>IF(OR(E682="",E682="!!!"),"",IF(NOT(ISNA(VLOOKUP(E682,E$1:E681,1,FALSE()))),"OLD",IF(AND(E682&lt;&gt;"",E682&lt;&gt;"!!!"),"NEW","")))</f>
        <v> </v>
      </c>
      <c r="G682" s="24" t="str">
        <f>IF(OR(E682="",E682="!!!"),"",IF(OR(J682=0,AND(J682=1,K682=1),AND(J682=1,I682="SBJ"),AND(J682=1,I682=0)),"?IN_FOCUS",IF(J682&lt;=2,"?ACTIVATED",IF(J682&lt;&gt;"","?FAMILIAR",IF(F682="NEW",IF(ISNA(VLOOKUP(E682,#REF!,1,FALSE())),"?TYPE_IDENTIFIABLE","?REFERENTIAL"),"_")))))</f>
        <v> </v>
      </c>
      <c r="H682" s="25" t="str">
        <f>IF(J682&lt;&gt;1,"",IF(I682="SBJ","CB","?"))</f>
        <v> </v>
      </c>
      <c r="I682" s="26" t="str">
        <f>IF(OR(E682="",E682="!!!",F682="NEW"),"",INDEX(B681:B$2,-1+SUMPRODUCT(MAX(ROW(E681:E$2)*(E682=E681:E$2)))))</f>
        <v> </v>
      </c>
      <c r="J682" s="26" t="str">
        <f>IF(OR(E682="",E682="!!!",F682="NEW"),"",COUNTBLANK(OFFSET(A$1,,,SUMPRODUCT(MAX(ROW(E$2:E682)*(E682=E$2:E682)))))-COUNTBLANK(OFFSET(A$1,,,SUMPRODUCT(MAX(ROW(E$1:E681)*(E2=E$1:E681))))))</f>
        <v> </v>
      </c>
      <c r="K682" s="26" t="str">
        <f>IF(OR(E682="",E682="!!!",F682="NEW"),"",INDEX(J$1:J681,SUMPRODUCT(MAX(ROW(E$1:E681)*(E682=E$1:E681)))))</f>
        <v> </v>
      </c>
      <c r="L682" s="27"/>
    </row>
    <row r="683" spans="1:12">
      <c r="A683" s="20" t="s">
        <v>757</v>
      </c>
      <c r="E683" s="22">
        <f>IF(D683="?OLD","!!!","")</f>
        <v/>
      </c>
      <c r="F683" s="23" t="str">
        <f>IF(OR(E683="",E683="!!!"),"",IF(NOT(ISNA(VLOOKUP(E683,E$1:E682,1,FALSE()))),"OLD",IF(AND(E683&lt;&gt;"",E683&lt;&gt;"!!!"),"NEW","")))</f>
        <v> </v>
      </c>
      <c r="G683" s="24" t="str">
        <f>IF(OR(E683="",E683="!!!"),"",IF(OR(J683=0,AND(J683=1,K683=1),AND(J683=1,I683="SBJ"),AND(J683=1,I683=0)),"?IN_FOCUS",IF(J683&lt;=2,"?ACTIVATED",IF(J683&lt;&gt;"","?FAMILIAR",IF(F683="NEW",IF(ISNA(VLOOKUP(E683,#REF!,1,FALSE())),"?TYPE_IDENTIFIABLE","?REFERENTIAL"),"_")))))</f>
        <v> </v>
      </c>
      <c r="H683" s="25" t="str">
        <f>IF(J683&lt;&gt;1,"",IF(I683="SBJ","CB","?"))</f>
        <v> </v>
      </c>
      <c r="I683" s="26" t="str">
        <f>IF(OR(E683="",E683="!!!",F683="NEW"),"",INDEX(B682:B$2,-1+SUMPRODUCT(MAX(ROW(E682:E$2)*(E683=E682:E$2)))))</f>
        <v> </v>
      </c>
      <c r="J683" s="26" t="str">
        <f>IF(OR(E683="",E683="!!!",F683="NEW"),"",COUNTBLANK(OFFSET(A$1,,,SUMPRODUCT(MAX(ROW(E$2:E683)*(E683=E$2:E683)))))-COUNTBLANK(OFFSET(A$1,,,SUMPRODUCT(MAX(ROW(E$1:E682)*(E2=E$1:E682))))))</f>
        <v> </v>
      </c>
      <c r="K683" s="26" t="str">
        <f>IF(OR(E683="",E683="!!!",F683="NEW"),"",INDEX(J$1:J682,SUMPRODUCT(MAX(ROW(E$1:E682)*(E683=E$1:E682)))))</f>
        <v> </v>
      </c>
      <c r="L683" s="27"/>
    </row>
    <row r="684" spans="1:12">
      <c r="A684" s="20" t="s">
        <v>1092</v>
      </c>
      <c r="B684" s="21" t="s">
        <v>739</v>
      </c>
      <c r="C684" s="21" t="s">
        <v>753</v>
      </c>
      <c r="D684" s="21" t="s">
        <v>730</v>
      </c>
      <c r="E684" s="22">
        <f>IF(D684="?OLD","!!!","")</f>
        <v/>
      </c>
      <c r="F684" s="23" t="str">
        <f>IF(OR(E684="",E684="!!!"),"",IF(NOT(ISNA(VLOOKUP(E684,E$1:E683,1,FALSE()))),"OLD",IF(AND(E684&lt;&gt;"",E684&lt;&gt;"!!!"),"NEW","")))</f>
        <v> </v>
      </c>
      <c r="G684" s="24" t="str">
        <f>IF(OR(E684="",E684="!!!"),"",IF(OR(J684=0,AND(J684=1,K684=1),AND(J684=1,I684="SBJ"),AND(J684=1,I684=0)),"?IN_FOCUS",IF(J684&lt;=2,"?ACTIVATED",IF(J684&lt;&gt;"","?FAMILIAR",IF(F684="NEW",IF(ISNA(VLOOKUP(E684,#REF!,1,FALSE())),"?TYPE_IDENTIFIABLE","?REFERENTIAL"),"_")))))</f>
        <v> </v>
      </c>
      <c r="H684" s="25" t="str">
        <f>IF(J684&lt;&gt;1,"",IF(I684="SBJ","CB","?"))</f>
        <v> </v>
      </c>
      <c r="I684" s="26" t="str">
        <f>IF(OR(E684="",E684="!!!",F684="NEW"),"",INDEX(B683:B$2,-1+SUMPRODUCT(MAX(ROW(E683:E$2)*(E684=E683:E$2)))))</f>
        <v> </v>
      </c>
      <c r="J684" s="26" t="str">
        <f>IF(OR(E684="",E684="!!!",F684="NEW"),"",COUNTBLANK(OFFSET(A$1,,,SUMPRODUCT(MAX(ROW(E$2:E684)*(E684=E$2:E684)))))-COUNTBLANK(OFFSET(A$1,,,SUMPRODUCT(MAX(ROW(E$1:E683)*(E2=E$1:E683))))))</f>
        <v> </v>
      </c>
      <c r="K684" s="26" t="str">
        <f>IF(OR(E684="",E684="!!!",F684="NEW"),"",INDEX(J$1:J683,SUMPRODUCT(MAX(ROW(E$1:E683)*(E684=E$1:E683)))))</f>
        <v> </v>
      </c>
      <c r="L684" s="27"/>
    </row>
    <row r="685" spans="1:12">
      <c r="A685" s="20" t="s">
        <v>1093</v>
      </c>
      <c r="E685" s="22">
        <f>IF(D685="?OLD","!!!","")</f>
        <v/>
      </c>
      <c r="F685" s="23" t="str">
        <f>IF(OR(E685="",E685="!!!"),"",IF(NOT(ISNA(VLOOKUP(E685,E$1:E684,1,FALSE()))),"OLD",IF(AND(E685&lt;&gt;"",E685&lt;&gt;"!!!"),"NEW","")))</f>
        <v> </v>
      </c>
      <c r="G685" s="24" t="str">
        <f>IF(OR(E685="",E685="!!!"),"",IF(OR(J685=0,AND(J685=1,K685=1),AND(J685=1,I685="SBJ"),AND(J685=1,I685=0)),"?IN_FOCUS",IF(J685&lt;=2,"?ACTIVATED",IF(J685&lt;&gt;"","?FAMILIAR",IF(F685="NEW",IF(ISNA(VLOOKUP(E685,#REF!,1,FALSE())),"?TYPE_IDENTIFIABLE","?REFERENTIAL"),"_")))))</f>
        <v> </v>
      </c>
      <c r="H685" s="25" t="str">
        <f>IF(J685&lt;&gt;1,"",IF(I685="SBJ","CB","?"))</f>
        <v> </v>
      </c>
      <c r="I685" s="26" t="str">
        <f>IF(OR(E685="",E685="!!!",F685="NEW"),"",INDEX(B684:B$2,-1+SUMPRODUCT(MAX(ROW(E684:E$2)*(E685=E684:E$2)))))</f>
        <v> </v>
      </c>
      <c r="J685" s="26" t="str">
        <f>IF(OR(E685="",E685="!!!",F685="NEW"),"",COUNTBLANK(OFFSET(A$1,,,SUMPRODUCT(MAX(ROW(E$2:E685)*(E685=E$2:E685)))))-COUNTBLANK(OFFSET(A$1,,,SUMPRODUCT(MAX(ROW(E$1:E684)*(E2=E$1:E684))))))</f>
        <v> </v>
      </c>
      <c r="K685" s="26" t="str">
        <f>IF(OR(E685="",E685="!!!",F685="NEW"),"",INDEX(J$1:J684,SUMPRODUCT(MAX(ROW(E$1:E684)*(E685=E$1:E684)))))</f>
        <v> </v>
      </c>
      <c r="L685" s="27"/>
    </row>
    <row r="686" spans="1:12">
      <c r="A686" s="20" t="s">
        <v>1094</v>
      </c>
      <c r="B686" s="21" t="s">
        <v>739</v>
      </c>
      <c r="C686" s="21" t="s">
        <v>789</v>
      </c>
      <c r="D686" s="21" t="s">
        <v>730</v>
      </c>
      <c r="E686" s="22">
        <f>IF(D686="?OLD","!!!","")</f>
        <v/>
      </c>
      <c r="F686" s="23" t="str">
        <f>IF(OR(E686="",E686="!!!"),"",IF(NOT(ISNA(VLOOKUP(E686,E$1:E685,1,FALSE()))),"OLD",IF(AND(E686&lt;&gt;"",E686&lt;&gt;"!!!"),"NEW","")))</f>
        <v> </v>
      </c>
      <c r="G686" s="24" t="str">
        <f>IF(OR(E686="",E686="!!!"),"",IF(OR(J686=0,AND(J686=1,K686=1),AND(J686=1,I686="SBJ"),AND(J686=1,I686=0)),"?IN_FOCUS",IF(J686&lt;=2,"?ACTIVATED",IF(J686&lt;&gt;"","?FAMILIAR",IF(F686="NEW",IF(ISNA(VLOOKUP(E686,#REF!,1,FALSE())),"?TYPE_IDENTIFIABLE","?REFERENTIAL"),"_")))))</f>
        <v> </v>
      </c>
      <c r="H686" s="25" t="str">
        <f>IF(J686&lt;&gt;1,"",IF(I686="SBJ","CB","?"))</f>
        <v> </v>
      </c>
      <c r="I686" s="26" t="str">
        <f>IF(OR(E686="",E686="!!!",F686="NEW"),"",INDEX(B685:B$2,-1+SUMPRODUCT(MAX(ROW(E685:E$2)*(E686=E685:E$2)))))</f>
        <v> </v>
      </c>
      <c r="J686" s="26" t="str">
        <f>IF(OR(E686="",E686="!!!",F686="NEW"),"",COUNTBLANK(OFFSET(A$1,,,SUMPRODUCT(MAX(ROW(E$2:E686)*(E686=E$2:E686)))))-COUNTBLANK(OFFSET(A$1,,,SUMPRODUCT(MAX(ROW(E$1:E685)*(E2=E$1:E685))))))</f>
        <v> </v>
      </c>
      <c r="K686" s="26" t="str">
        <f>IF(OR(E686="",E686="!!!",F686="NEW"),"",INDEX(J$1:J685,SUMPRODUCT(MAX(ROW(E$1:E685)*(E686=E$1:E685)))))</f>
        <v> </v>
      </c>
      <c r="L686" s="27"/>
    </row>
    <row r="687" spans="1:12">
      <c r="A687" s="20" t="s">
        <v>844</v>
      </c>
      <c r="B687" s="21" t="s">
        <v>764</v>
      </c>
      <c r="C687" s="21" t="s">
        <v>967</v>
      </c>
      <c r="E687" s="22">
        <f>IF(D687="?OLD","!!!","")</f>
        <v/>
      </c>
      <c r="F687" s="23" t="str">
        <f>IF(OR(E687="",E687="!!!"),"",IF(NOT(ISNA(VLOOKUP(E687,E$1:E686,1,FALSE()))),"OLD",IF(AND(E687&lt;&gt;"",E687&lt;&gt;"!!!"),"NEW","")))</f>
        <v> </v>
      </c>
      <c r="G687" s="24" t="str">
        <f>IF(OR(E687="",E687="!!!"),"",IF(OR(J687=0,AND(J687=1,K687=1),AND(J687=1,I687="SBJ"),AND(J687=1,I687=0)),"?IN_FOCUS",IF(J687&lt;=2,"?ACTIVATED",IF(J687&lt;&gt;"","?FAMILIAR",IF(F687="NEW",IF(ISNA(VLOOKUP(E687,#REF!,1,FALSE())),"?TYPE_IDENTIFIABLE","?REFERENTIAL"),"_")))))</f>
        <v> </v>
      </c>
      <c r="H687" s="25" t="str">
        <f>IF(J687&lt;&gt;1,"",IF(I687="SBJ","CB","?"))</f>
        <v> </v>
      </c>
      <c r="I687" s="26" t="str">
        <f>IF(OR(E687="",E687="!!!",F687="NEW"),"",INDEX(B686:B$2,-1+SUMPRODUCT(MAX(ROW(E686:E$2)*(E687=E686:E$2)))))</f>
        <v> </v>
      </c>
      <c r="J687" s="26" t="str">
        <f>IF(OR(E687="",E687="!!!",F687="NEW"),"",COUNTBLANK(OFFSET(A$1,,,SUMPRODUCT(MAX(ROW(E$2:E687)*(E687=E$2:E687)))))-COUNTBLANK(OFFSET(A$1,,,SUMPRODUCT(MAX(ROW(E$1:E686)*(E2=E$1:E686))))))</f>
        <v> </v>
      </c>
      <c r="K687" s="26" t="str">
        <f>IF(OR(E687="",E687="!!!",F687="NEW"),"",INDEX(J$1:J686,SUMPRODUCT(MAX(ROW(E$1:E686)*(E687=E$1:E686)))))</f>
        <v> </v>
      </c>
      <c r="L687" s="27"/>
    </row>
    <row r="688" spans="1:12">
      <c r="A688" s="20" t="s">
        <v>759</v>
      </c>
      <c r="E688" s="22">
        <f>IF(D688="?OLD","!!!","")</f>
        <v/>
      </c>
      <c r="F688" s="23" t="str">
        <f>IF(OR(E688="",E688="!!!"),"",IF(NOT(ISNA(VLOOKUP(E688,E$1:E687,1,FALSE()))),"OLD",IF(AND(E688&lt;&gt;"",E688&lt;&gt;"!!!"),"NEW","")))</f>
        <v> </v>
      </c>
      <c r="G688" s="24" t="str">
        <f>IF(OR(E688="",E688="!!!"),"",IF(OR(J688=0,AND(J688=1,K688=1),AND(J688=1,I688="SBJ"),AND(J688=1,I688=0)),"?IN_FOCUS",IF(J688&lt;=2,"?ACTIVATED",IF(J688&lt;&gt;"","?FAMILIAR",IF(F688="NEW",IF(ISNA(VLOOKUP(E688,#REF!,1,FALSE())),"?TYPE_IDENTIFIABLE","?REFERENTIAL"),"_")))))</f>
        <v> </v>
      </c>
      <c r="H688" s="25" t="str">
        <f>IF(J688&lt;&gt;1,"",IF(I688="SBJ","CB","?"))</f>
        <v> </v>
      </c>
      <c r="I688" s="26" t="str">
        <f>IF(OR(E688="",E688="!!!",F688="NEW"),"",INDEX(B687:B$2,-1+SUMPRODUCT(MAX(ROW(E687:E$2)*(E688=E687:E$2)))))</f>
        <v> </v>
      </c>
      <c r="J688" s="26" t="str">
        <f>IF(OR(E688="",E688="!!!",F688="NEW"),"",COUNTBLANK(OFFSET(A$1,,,SUMPRODUCT(MAX(ROW(E$2:E688)*(E688=E$2:E688)))))-COUNTBLANK(OFFSET(A$1,,,SUMPRODUCT(MAX(ROW(E$1:E687)*(E2=E$1:E687))))))</f>
        <v> </v>
      </c>
      <c r="K688" s="26" t="str">
        <f>IF(OR(E688="",E688="!!!",F688="NEW"),"",INDEX(J$1:J687,SUMPRODUCT(MAX(ROW(E$1:E687)*(E688=E$1:E687)))))</f>
        <v> </v>
      </c>
      <c r="L688" s="27"/>
    </row>
    <row r="689" spans="1:12">
      <c r="A689" s="20" t="s">
        <v>887</v>
      </c>
      <c r="E689" s="22">
        <f>IF(D689="?OLD","!!!","")</f>
        <v/>
      </c>
      <c r="F689" s="23" t="str">
        <f>IF(OR(E689="",E689="!!!"),"",IF(NOT(ISNA(VLOOKUP(E689,E$1:E688,1,FALSE()))),"OLD",IF(AND(E689&lt;&gt;"",E689&lt;&gt;"!!!"),"NEW","")))</f>
        <v> </v>
      </c>
      <c r="G689" s="24" t="str">
        <f>IF(OR(E689="",E689="!!!"),"",IF(OR(J689=0,AND(J689=1,K689=1),AND(J689=1,I689="SBJ"),AND(J689=1,I689=0)),"?IN_FOCUS",IF(J689&lt;=2,"?ACTIVATED",IF(J689&lt;&gt;"","?FAMILIAR",IF(F689="NEW",IF(ISNA(VLOOKUP(E689,#REF!,1,FALSE())),"?TYPE_IDENTIFIABLE","?REFERENTIAL"),"_")))))</f>
        <v> </v>
      </c>
      <c r="H689" s="25" t="str">
        <f>IF(J689&lt;&gt;1,"",IF(I689="SBJ","CB","?"))</f>
        <v> </v>
      </c>
      <c r="I689" s="26" t="str">
        <f>IF(OR(E689="",E689="!!!",F689="NEW"),"",INDEX(B688:B$2,-1+SUMPRODUCT(MAX(ROW(E688:E$2)*(E689=E688:E$2)))))</f>
        <v> </v>
      </c>
      <c r="J689" s="26" t="str">
        <f>IF(OR(E689="",E689="!!!",F689="NEW"),"",COUNTBLANK(OFFSET(A$1,,,SUMPRODUCT(MAX(ROW(E$2:E689)*(E689=E$2:E689)))))-COUNTBLANK(OFFSET(A$1,,,SUMPRODUCT(MAX(ROW(E$1:E688)*(E2=E$1:E688))))))</f>
        <v> </v>
      </c>
      <c r="K689" s="26" t="str">
        <f>IF(OR(E689="",E689="!!!",F689="NEW"),"",INDEX(J$1:J688,SUMPRODUCT(MAX(ROW(E$1:E688)*(E689=E$1:E688)))))</f>
        <v> </v>
      </c>
      <c r="L689" s="27"/>
    </row>
    <row r="690" spans="1:12">
      <c r="A690" s="20" t="s">
        <v>773</v>
      </c>
      <c r="E690" s="22">
        <f>IF(D690="?OLD","!!!","")</f>
        <v/>
      </c>
      <c r="F690" s="23" t="str">
        <f>IF(OR(E690="",E690="!!!"),"",IF(NOT(ISNA(VLOOKUP(E690,E$1:E689,1,FALSE()))),"OLD",IF(AND(E690&lt;&gt;"",E690&lt;&gt;"!!!"),"NEW","")))</f>
        <v> </v>
      </c>
      <c r="G690" s="24" t="str">
        <f>IF(OR(E690="",E690="!!!"),"",IF(OR(J690=0,AND(J690=1,K690=1),AND(J690=1,I690="SBJ"),AND(J690=1,I690=0)),"?IN_FOCUS",IF(J690&lt;=2,"?ACTIVATED",IF(J690&lt;&gt;"","?FAMILIAR",IF(F690="NEW",IF(ISNA(VLOOKUP(E690,#REF!,1,FALSE())),"?TYPE_IDENTIFIABLE","?REFERENTIAL"),"_")))))</f>
        <v> </v>
      </c>
      <c r="H690" s="25" t="str">
        <f>IF(J690&lt;&gt;1,"",IF(I690="SBJ","CB","?"))</f>
        <v> </v>
      </c>
      <c r="I690" s="26" t="str">
        <f>IF(OR(E690="",E690="!!!",F690="NEW"),"",INDEX(B689:B$2,-1+SUMPRODUCT(MAX(ROW(E689:E$2)*(E690=E689:E$2)))))</f>
        <v> </v>
      </c>
      <c r="J690" s="26" t="str">
        <f>IF(OR(E690="",E690="!!!",F690="NEW"),"",COUNTBLANK(OFFSET(A$1,,,SUMPRODUCT(MAX(ROW(E$2:E690)*(E690=E$2:E690)))))-COUNTBLANK(OFFSET(A$1,,,SUMPRODUCT(MAX(ROW(E$1:E689)*(E2=E$1:E689))))))</f>
        <v> </v>
      </c>
      <c r="K690" s="26" t="str">
        <f>IF(OR(E690="",E690="!!!",F690="NEW"),"",INDEX(J$1:J689,SUMPRODUCT(MAX(ROW(E$1:E689)*(E690=E$1:E689)))))</f>
        <v> </v>
      </c>
      <c r="L690" s="27"/>
    </row>
    <row r="691" spans="1:12">
      <c r="A691" s="20" t="s">
        <v>751</v>
      </c>
      <c r="E691" s="22">
        <f>IF(D691="?OLD","!!!","")</f>
        <v/>
      </c>
      <c r="F691" s="23" t="str">
        <f>IF(OR(E691="",E691="!!!"),"",IF(NOT(ISNA(VLOOKUP(E691,E$1:E690,1,FALSE()))),"OLD",IF(AND(E691&lt;&gt;"",E691&lt;&gt;"!!!"),"NEW","")))</f>
        <v> </v>
      </c>
      <c r="G691" s="24" t="str">
        <f>IF(OR(E691="",E691="!!!"),"",IF(OR(J691=0,AND(J691=1,K691=1),AND(J691=1,I691="SBJ"),AND(J691=1,I691=0)),"?IN_FOCUS",IF(J691&lt;=2,"?ACTIVATED",IF(J691&lt;&gt;"","?FAMILIAR",IF(F691="NEW",IF(ISNA(VLOOKUP(E691,#REF!,1,FALSE())),"?TYPE_IDENTIFIABLE","?REFERENTIAL"),"_")))))</f>
        <v> </v>
      </c>
      <c r="H691" s="25" t="str">
        <f>IF(J691&lt;&gt;1,"",IF(I691="SBJ","CB","?"))</f>
        <v> </v>
      </c>
      <c r="I691" s="26" t="str">
        <f>IF(OR(E691="",E691="!!!",F691="NEW"),"",INDEX(B690:B$2,-1+SUMPRODUCT(MAX(ROW(E690:E$2)*(E691=E690:E$2)))))</f>
        <v> </v>
      </c>
      <c r="J691" s="26" t="str">
        <f>IF(OR(E691="",E691="!!!",F691="NEW"),"",COUNTBLANK(OFFSET(A$1,,,SUMPRODUCT(MAX(ROW(E$2:E691)*(E691=E$2:E691)))))-COUNTBLANK(OFFSET(A$1,,,SUMPRODUCT(MAX(ROW(E$1:E690)*(E2=E$1:E690))))))</f>
        <v> </v>
      </c>
      <c r="K691" s="26" t="str">
        <f>IF(OR(E691="",E691="!!!",F691="NEW"),"",INDEX(J$1:J690,SUMPRODUCT(MAX(ROW(E$1:E690)*(E691=E$1:E690)))))</f>
        <v> </v>
      </c>
      <c r="L691" s="27"/>
    </row>
    <row r="692" spans="1:12">
      <c r="A692" s="20" t="s">
        <v>1095</v>
      </c>
      <c r="B692" s="21" t="s">
        <v>739</v>
      </c>
      <c r="C692" s="21" t="s">
        <v>753</v>
      </c>
      <c r="D692" s="21" t="s">
        <v>730</v>
      </c>
      <c r="E692" s="22">
        <f>IF(D692="?OLD","!!!","")</f>
        <v/>
      </c>
      <c r="F692" s="23" t="str">
        <f>IF(OR(E692="",E692="!!!"),"",IF(NOT(ISNA(VLOOKUP(E692,E$1:E691,1,FALSE()))),"OLD",IF(AND(E692&lt;&gt;"",E692&lt;&gt;"!!!"),"NEW","")))</f>
        <v> </v>
      </c>
      <c r="G692" s="24" t="str">
        <f>IF(OR(E692="",E692="!!!"),"",IF(OR(J692=0,AND(J692=1,K692=1),AND(J692=1,I692="SBJ"),AND(J692=1,I692=0)),"?IN_FOCUS",IF(J692&lt;=2,"?ACTIVATED",IF(J692&lt;&gt;"","?FAMILIAR",IF(F692="NEW",IF(ISNA(VLOOKUP(E692,#REF!,1,FALSE())),"?TYPE_IDENTIFIABLE","?REFERENTIAL"),"_")))))</f>
        <v> </v>
      </c>
      <c r="H692" s="25" t="str">
        <f>IF(J692&lt;&gt;1,"",IF(I692="SBJ","CB","?"))</f>
        <v> </v>
      </c>
      <c r="I692" s="26" t="str">
        <f>IF(OR(E692="",E692="!!!",F692="NEW"),"",INDEX(B691:B$2,-1+SUMPRODUCT(MAX(ROW(E691:E$2)*(E692=E691:E$2)))))</f>
        <v> </v>
      </c>
      <c r="J692" s="26" t="str">
        <f>IF(OR(E692="",E692="!!!",F692="NEW"),"",COUNTBLANK(OFFSET(A$1,,,SUMPRODUCT(MAX(ROW(E$2:E692)*(E692=E$2:E692)))))-COUNTBLANK(OFFSET(A$1,,,SUMPRODUCT(MAX(ROW(E$1:E691)*(E2=E$1:E691))))))</f>
        <v> </v>
      </c>
      <c r="K692" s="26" t="str">
        <f>IF(OR(E692="",E692="!!!",F692="NEW"),"",INDEX(J$1:J691,SUMPRODUCT(MAX(ROW(E$1:E691)*(E692=E$1:E691)))))</f>
        <v> </v>
      </c>
      <c r="L692" s="27"/>
    </row>
    <row r="693" spans="1:12">
      <c r="A693" s="20" t="s">
        <v>754</v>
      </c>
      <c r="E693" s="22">
        <f>IF(D693="?OLD","!!!","")</f>
        <v/>
      </c>
      <c r="F693" s="23" t="str">
        <f>IF(OR(E693="",E693="!!!"),"",IF(NOT(ISNA(VLOOKUP(E693,E$1:E692,1,FALSE()))),"OLD",IF(AND(E693&lt;&gt;"",E693&lt;&gt;"!!!"),"NEW","")))</f>
        <v> </v>
      </c>
      <c r="G693" s="24" t="str">
        <f>IF(OR(E693="",E693="!!!"),"",IF(OR(J693=0,AND(J693=1,K693=1),AND(J693=1,I693="SBJ"),AND(J693=1,I693=0)),"?IN_FOCUS",IF(J693&lt;=2,"?ACTIVATED",IF(J693&lt;&gt;"","?FAMILIAR",IF(F693="NEW",IF(ISNA(VLOOKUP(E693,#REF!,1,FALSE())),"?TYPE_IDENTIFIABLE","?REFERENTIAL"),"_")))))</f>
        <v> </v>
      </c>
      <c r="H693" s="25" t="str">
        <f>IF(J693&lt;&gt;1,"",IF(I693="SBJ","CB","?"))</f>
        <v> </v>
      </c>
      <c r="I693" s="26" t="str">
        <f>IF(OR(E693="",E693="!!!",F693="NEW"),"",INDEX(B692:B$2,-1+SUMPRODUCT(MAX(ROW(E692:E$2)*(E693=E692:E$2)))))</f>
        <v> </v>
      </c>
      <c r="J693" s="26" t="str">
        <f>IF(OR(E693="",E693="!!!",F693="NEW"),"",COUNTBLANK(OFFSET(A$1,,,SUMPRODUCT(MAX(ROW(E$2:E693)*(E693=E$2:E693)))))-COUNTBLANK(OFFSET(A$1,,,SUMPRODUCT(MAX(ROW(E$1:E692)*(E2=E$1:E692))))))</f>
        <v> </v>
      </c>
      <c r="K693" s="26" t="str">
        <f>IF(OR(E693="",E693="!!!",F693="NEW"),"",INDEX(J$1:J692,SUMPRODUCT(MAX(ROW(E$1:E692)*(E693=E$1:E692)))))</f>
        <v> </v>
      </c>
      <c r="L693" s="27"/>
    </row>
    <row r="694" spans="1:12">
      <c r="A694" s="20" t="s">
        <v>980</v>
      </c>
      <c r="B694" s="21" t="s">
        <v>783</v>
      </c>
      <c r="C694" s="21" t="s">
        <v>746</v>
      </c>
      <c r="D694" s="21" t="s">
        <v>730</v>
      </c>
      <c r="E694" s="22">
        <f>IF(D694="?OLD","!!!","")</f>
        <v/>
      </c>
      <c r="F694" s="23" t="str">
        <f>IF(OR(E694="",E694="!!!"),"",IF(NOT(ISNA(VLOOKUP(E694,E$1:E693,1,FALSE()))),"OLD",IF(AND(E694&lt;&gt;"",E694&lt;&gt;"!!!"),"NEW","")))</f>
        <v> </v>
      </c>
      <c r="G694" s="24" t="str">
        <f>IF(OR(E694="",E694="!!!"),"",IF(OR(J694=0,AND(J694=1,K694=1),AND(J694=1,I694="SBJ"),AND(J694=1,I694=0)),"?IN_FOCUS",IF(J694&lt;=2,"?ACTIVATED",IF(J694&lt;&gt;"","?FAMILIAR",IF(F694="NEW",IF(ISNA(VLOOKUP(E694,#REF!,1,FALSE())),"?TYPE_IDENTIFIABLE","?REFERENTIAL"),"_")))))</f>
        <v> </v>
      </c>
      <c r="H694" s="25" t="str">
        <f>IF(J694&lt;&gt;1,"",IF(I694="SBJ","CB","?"))</f>
        <v> </v>
      </c>
      <c r="I694" s="26" t="str">
        <f>IF(OR(E694="",E694="!!!",F694="NEW"),"",INDEX(B693:B$2,-1+SUMPRODUCT(MAX(ROW(E693:E$2)*(E694=E693:E$2)))))</f>
        <v> </v>
      </c>
      <c r="J694" s="26" t="str">
        <f>IF(OR(E694="",E694="!!!",F694="NEW"),"",COUNTBLANK(OFFSET(A$1,,,SUMPRODUCT(MAX(ROW(E$2:E694)*(E694=E$2:E694)))))-COUNTBLANK(OFFSET(A$1,,,SUMPRODUCT(MAX(ROW(E$1:E693)*(E2=E$1:E693))))))</f>
        <v> </v>
      </c>
      <c r="K694" s="26" t="str">
        <f>IF(OR(E694="",E694="!!!",F694="NEW"),"",INDEX(J$1:J693,SUMPRODUCT(MAX(ROW(E$1:E693)*(E694=E$1:E693)))))</f>
        <v> </v>
      </c>
      <c r="L694" s="27"/>
    </row>
    <row r="695" spans="1:12">
      <c r="A695" s="20" t="s">
        <v>1096</v>
      </c>
      <c r="E695" s="22">
        <f>IF(D695="?OLD","!!!","")</f>
        <v/>
      </c>
      <c r="F695" s="23" t="str">
        <f>IF(OR(E695="",E695="!!!"),"",IF(NOT(ISNA(VLOOKUP(E695,E$1:E694,1,FALSE()))),"OLD",IF(AND(E695&lt;&gt;"",E695&lt;&gt;"!!!"),"NEW","")))</f>
        <v> </v>
      </c>
      <c r="G695" s="24" t="str">
        <f>IF(OR(E695="",E695="!!!"),"",IF(OR(J695=0,AND(J695=1,K695=1),AND(J695=1,I695="SBJ"),AND(J695=1,I695=0)),"?IN_FOCUS",IF(J695&lt;=2,"?ACTIVATED",IF(J695&lt;&gt;"","?FAMILIAR",IF(F695="NEW",IF(ISNA(VLOOKUP(E695,#REF!,1,FALSE())),"?TYPE_IDENTIFIABLE","?REFERENTIAL"),"_")))))</f>
        <v> </v>
      </c>
      <c r="H695" s="25" t="str">
        <f>IF(J695&lt;&gt;1,"",IF(I695="SBJ","CB","?"))</f>
        <v> </v>
      </c>
      <c r="I695" s="26" t="str">
        <f>IF(OR(E695="",E695="!!!",F695="NEW"),"",INDEX(B694:B$2,-1+SUMPRODUCT(MAX(ROW(E694:E$2)*(E695=E694:E$2)))))</f>
        <v> </v>
      </c>
      <c r="J695" s="26" t="str">
        <f>IF(OR(E695="",E695="!!!",F695="NEW"),"",COUNTBLANK(OFFSET(A$1,,,SUMPRODUCT(MAX(ROW(E$2:E695)*(E695=E$2:E695)))))-COUNTBLANK(OFFSET(A$1,,,SUMPRODUCT(MAX(ROW(E$1:E694)*(E2=E$1:E694))))))</f>
        <v> </v>
      </c>
      <c r="K695" s="26" t="str">
        <f>IF(OR(E695="",E695="!!!",F695="NEW"),"",INDEX(J$1:J694,SUMPRODUCT(MAX(ROW(E$1:E694)*(E695=E$1:E694)))))</f>
        <v> </v>
      </c>
      <c r="L695" s="27"/>
    </row>
    <row r="696" spans="1:12">
      <c r="A696" s="20" t="s">
        <v>759</v>
      </c>
      <c r="E696" s="22">
        <f>IF(D696="?OLD","!!!","")</f>
        <v/>
      </c>
      <c r="F696" s="23" t="str">
        <f>IF(OR(E696="",E696="!!!"),"",IF(NOT(ISNA(VLOOKUP(E696,E$1:E695,1,FALSE()))),"OLD",IF(AND(E696&lt;&gt;"",E696&lt;&gt;"!!!"),"NEW","")))</f>
        <v> </v>
      </c>
      <c r="G696" s="24" t="str">
        <f>IF(OR(E696="",E696="!!!"),"",IF(OR(J696=0,AND(J696=1,K696=1),AND(J696=1,I696="SBJ"),AND(J696=1,I696=0)),"?IN_FOCUS",IF(J696&lt;=2,"?ACTIVATED",IF(J696&lt;&gt;"","?FAMILIAR",IF(F696="NEW",IF(ISNA(VLOOKUP(E696,#REF!,1,FALSE())),"?TYPE_IDENTIFIABLE","?REFERENTIAL"),"_")))))</f>
        <v> </v>
      </c>
      <c r="H696" s="25" t="str">
        <f>IF(J696&lt;&gt;1,"",IF(I696="SBJ","CB","?"))</f>
        <v> </v>
      </c>
      <c r="I696" s="26" t="str">
        <f>IF(OR(E696="",E696="!!!",F696="NEW"),"",INDEX(B695:B$2,-1+SUMPRODUCT(MAX(ROW(E695:E$2)*(E696=E695:E$2)))))</f>
        <v> </v>
      </c>
      <c r="J696" s="26" t="str">
        <f>IF(OR(E696="",E696="!!!",F696="NEW"),"",COUNTBLANK(OFFSET(A$1,,,SUMPRODUCT(MAX(ROW(E$2:E696)*(E696=E$2:E696)))))-COUNTBLANK(OFFSET(A$1,,,SUMPRODUCT(MAX(ROW(E$1:E695)*(E2=E$1:E695))))))</f>
        <v> </v>
      </c>
      <c r="K696" s="26" t="str">
        <f>IF(OR(E696="",E696="!!!",F696="NEW"),"",INDEX(J$1:J695,SUMPRODUCT(MAX(ROW(E$1:E695)*(E696=E$1:E695)))))</f>
        <v> </v>
      </c>
      <c r="L696" s="27"/>
    </row>
    <row r="697" spans="1:12">
      <c r="A697" s="20" t="s">
        <v>1097</v>
      </c>
      <c r="E697" s="22">
        <f>IF(D697="?OLD","!!!","")</f>
        <v/>
      </c>
      <c r="F697" s="23" t="str">
        <f>IF(OR(E697="",E697="!!!"),"",IF(NOT(ISNA(VLOOKUP(E697,E$1:E696,1,FALSE()))),"OLD",IF(AND(E697&lt;&gt;"",E697&lt;&gt;"!!!"),"NEW","")))</f>
        <v> </v>
      </c>
      <c r="G697" s="24" t="str">
        <f>IF(OR(E697="",E697="!!!"),"",IF(OR(J697=0,AND(J697=1,K697=1),AND(J697=1,I697="SBJ"),AND(J697=1,I697=0)),"?IN_FOCUS",IF(J697&lt;=2,"?ACTIVATED",IF(J697&lt;&gt;"","?FAMILIAR",IF(F697="NEW",IF(ISNA(VLOOKUP(E697,#REF!,1,FALSE())),"?TYPE_IDENTIFIABLE","?REFERENTIAL"),"_")))))</f>
        <v> </v>
      </c>
      <c r="H697" s="25" t="str">
        <f>IF(J697&lt;&gt;1,"",IF(I697="SBJ","CB","?"))</f>
        <v> </v>
      </c>
      <c r="I697" s="26" t="str">
        <f>IF(OR(E697="",E697="!!!",F697="NEW"),"",INDEX(B696:B$2,-1+SUMPRODUCT(MAX(ROW(E696:E$2)*(E697=E696:E$2)))))</f>
        <v> </v>
      </c>
      <c r="J697" s="26" t="str">
        <f>IF(OR(E697="",E697="!!!",F697="NEW"),"",COUNTBLANK(OFFSET(A$1,,,SUMPRODUCT(MAX(ROW(E$2:E697)*(E697=E$2:E697)))))-COUNTBLANK(OFFSET(A$1,,,SUMPRODUCT(MAX(ROW(E$1:E696)*(E2=E$1:E696))))))</f>
        <v> </v>
      </c>
      <c r="K697" s="26" t="str">
        <f>IF(OR(E697="",E697="!!!",F697="NEW"),"",INDEX(J$1:J696,SUMPRODUCT(MAX(ROW(E$1:E696)*(E697=E$1:E696)))))</f>
        <v> </v>
      </c>
      <c r="L697" s="27"/>
    </row>
    <row r="698" spans="1:12">
      <c r="A698" s="20" t="s">
        <v>1098</v>
      </c>
      <c r="E698" s="22">
        <f>IF(D698="?OLD","!!!","")</f>
        <v/>
      </c>
      <c r="F698" s="23" t="str">
        <f>IF(OR(E698="",E698="!!!"),"",IF(NOT(ISNA(VLOOKUP(E698,E$1:E697,1,FALSE()))),"OLD",IF(AND(E698&lt;&gt;"",E698&lt;&gt;"!!!"),"NEW","")))</f>
        <v> </v>
      </c>
      <c r="G698" s="24" t="str">
        <f>IF(OR(E698="",E698="!!!"),"",IF(OR(J698=0,AND(J698=1,K698=1),AND(J698=1,I698="SBJ"),AND(J698=1,I698=0)),"?IN_FOCUS",IF(J698&lt;=2,"?ACTIVATED",IF(J698&lt;&gt;"","?FAMILIAR",IF(F698="NEW",IF(ISNA(VLOOKUP(E698,#REF!,1,FALSE())),"?TYPE_IDENTIFIABLE","?REFERENTIAL"),"_")))))</f>
        <v> </v>
      </c>
      <c r="H698" s="25" t="str">
        <f>IF(J698&lt;&gt;1,"",IF(I698="SBJ","CB","?"))</f>
        <v> </v>
      </c>
      <c r="I698" s="26" t="str">
        <f>IF(OR(E698="",E698="!!!",F698="NEW"),"",INDEX(B697:B$2,-1+SUMPRODUCT(MAX(ROW(E697:E$2)*(E698=E697:E$2)))))</f>
        <v> </v>
      </c>
      <c r="J698" s="26" t="str">
        <f>IF(OR(E698="",E698="!!!",F698="NEW"),"",COUNTBLANK(OFFSET(A$1,,,SUMPRODUCT(MAX(ROW(E$2:E698)*(E698=E$2:E698)))))-COUNTBLANK(OFFSET(A$1,,,SUMPRODUCT(MAX(ROW(E$1:E697)*(E2=E$1:E697))))))</f>
        <v> </v>
      </c>
      <c r="K698" s="26" t="str">
        <f>IF(OR(E698="",E698="!!!",F698="NEW"),"",INDEX(J$1:J697,SUMPRODUCT(MAX(ROW(E$1:E697)*(E698=E$1:E697)))))</f>
        <v> </v>
      </c>
      <c r="L698" s="27"/>
    </row>
    <row r="699" spans="1:12">
      <c r="A699" s="20" t="s">
        <v>1099</v>
      </c>
      <c r="B699" s="21" t="s">
        <v>755</v>
      </c>
      <c r="C699" s="21" t="s">
        <v>748</v>
      </c>
      <c r="E699" s="22">
        <f>IF(D699="?OLD","!!!","")</f>
        <v/>
      </c>
      <c r="F699" s="23" t="str">
        <f>IF(OR(E699="",E699="!!!"),"",IF(NOT(ISNA(VLOOKUP(E699,E$1:E698,1,FALSE()))),"OLD",IF(AND(E699&lt;&gt;"",E699&lt;&gt;"!!!"),"NEW","")))</f>
        <v> </v>
      </c>
      <c r="G699" s="24" t="str">
        <f>IF(OR(E699="",E699="!!!"),"",IF(OR(J699=0,AND(J699=1,K699=1),AND(J699=1,I699="SBJ"),AND(J699=1,I699=0)),"?IN_FOCUS",IF(J699&lt;=2,"?ACTIVATED",IF(J699&lt;&gt;"","?FAMILIAR",IF(F699="NEW",IF(ISNA(VLOOKUP(E699,#REF!,1,FALSE())),"?TYPE_IDENTIFIABLE","?REFERENTIAL"),"_")))))</f>
        <v> </v>
      </c>
      <c r="H699" s="25" t="str">
        <f>IF(J699&lt;&gt;1,"",IF(I699="SBJ","CB","?"))</f>
        <v> </v>
      </c>
      <c r="I699" s="26" t="str">
        <f>IF(OR(E699="",E699="!!!",F699="NEW"),"",INDEX(B698:B$2,-1+SUMPRODUCT(MAX(ROW(E698:E$2)*(E699=E698:E$2)))))</f>
        <v> </v>
      </c>
      <c r="J699" s="26" t="str">
        <f>IF(OR(E699="",E699="!!!",F699="NEW"),"",COUNTBLANK(OFFSET(A$1,,,SUMPRODUCT(MAX(ROW(E$2:E699)*(E699=E$2:E699)))))-COUNTBLANK(OFFSET(A$1,,,SUMPRODUCT(MAX(ROW(E$1:E698)*(E2=E$1:E698))))))</f>
        <v> </v>
      </c>
      <c r="K699" s="26" t="str">
        <f>IF(OR(E699="",E699="!!!",F699="NEW"),"",INDEX(J$1:J698,SUMPRODUCT(MAX(ROW(E$1:E698)*(E699=E$1:E698)))))</f>
        <v> </v>
      </c>
      <c r="L699" s="27"/>
    </row>
    <row r="700" spans="1:12">
      <c r="A700" s="20" t="s">
        <v>246</v>
      </c>
      <c r="E700" s="22">
        <f>IF(D700="?OLD","!!!","")</f>
        <v/>
      </c>
      <c r="F700" s="23" t="str">
        <f>IF(OR(E700="",E700="!!!"),"",IF(NOT(ISNA(VLOOKUP(E700,E$1:E699,1,FALSE()))),"OLD",IF(AND(E700&lt;&gt;"",E700&lt;&gt;"!!!"),"NEW","")))</f>
        <v> </v>
      </c>
      <c r="G700" s="24" t="str">
        <f>IF(OR(E700="",E700="!!!"),"",IF(OR(J700=0,AND(J700=1,K700=1),AND(J700=1,I700="SBJ"),AND(J700=1,I700=0)),"?IN_FOCUS",IF(J700&lt;=2,"?ACTIVATED",IF(J700&lt;&gt;"","?FAMILIAR",IF(F700="NEW",IF(ISNA(VLOOKUP(E700,#REF!,1,FALSE())),"?TYPE_IDENTIFIABLE","?REFERENTIAL"),"_")))))</f>
        <v> </v>
      </c>
      <c r="H700" s="25" t="str">
        <f>IF(J700&lt;&gt;1,"",IF(I700="SBJ","CB","?"))</f>
        <v> </v>
      </c>
      <c r="I700" s="26" t="str">
        <f>IF(OR(E700="",E700="!!!",F700="NEW"),"",INDEX(B699:B$2,-1+SUMPRODUCT(MAX(ROW(E699:E$2)*(E700=E699:E$2)))))</f>
        <v> </v>
      </c>
      <c r="J700" s="26" t="str">
        <f>IF(OR(E700="",E700="!!!",F700="NEW"),"",COUNTBLANK(OFFSET(A$1,,,SUMPRODUCT(MAX(ROW(E$2:E700)*(E700=E$2:E700)))))-COUNTBLANK(OFFSET(A$1,,,SUMPRODUCT(MAX(ROW(E$1:E699)*(E2=E$1:E699))))))</f>
        <v> </v>
      </c>
      <c r="K700" s="26" t="str">
        <f>IF(OR(E700="",E700="!!!",F700="NEW"),"",INDEX(J$1:J699,SUMPRODUCT(MAX(ROW(E$1:E699)*(E700=E$1:E699)))))</f>
        <v> </v>
      </c>
      <c r="L700" s="27"/>
    </row>
    <row r="701" spans="1:12">
      <c r="A701" s="20"/>
    </row>
    <row r="702" spans="1:12">
      <c r="A702" s="20" t="s">
        <v>1100</v>
      </c>
    </row>
    <row r="703" spans="1:12">
      <c r="A703" s="20" t="s">
        <v>1101</v>
      </c>
      <c r="E703" s="22">
        <f>IF(D703="?OLD","!!!","")</f>
        <v/>
      </c>
      <c r="F703" s="23" t="str">
        <f>IF(OR(E703="",E703="!!!"),"",IF(NOT(ISNA(VLOOKUP(E703,E$1:E702,1,FALSE()))),"OLD",IF(AND(E703&lt;&gt;"",E703&lt;&gt;"!!!"),"NEW","")))</f>
        <v> </v>
      </c>
      <c r="G703" s="24" t="str">
        <f>IF(OR(E703="",E703="!!!"),"",IF(OR(J703=0,AND(J703=1,K703=1),AND(J703=1,I703="SBJ"),AND(J703=1,I703=0)),"?IN_FOCUS",IF(J703&lt;=2,"?ACTIVATED",IF(J703&lt;&gt;"","?FAMILIAR",IF(F703="NEW",IF(ISNA(VLOOKUP(E703,#REF!,1,FALSE())),"?TYPE_IDENTIFIABLE","?REFERENTIAL"),"_")))))</f>
        <v> </v>
      </c>
      <c r="H703" s="25" t="str">
        <f>IF(J703&lt;&gt;1,"",IF(I703="SBJ","CB","?"))</f>
        <v> </v>
      </c>
      <c r="I703" s="26" t="str">
        <f>IF(OR(E703="",E703="!!!",F703="NEW"),"",INDEX(B702:B$2,-1+SUMPRODUCT(MAX(ROW(E702:E$2)*(E703=E702:E$2)))))</f>
        <v> </v>
      </c>
      <c r="J703" s="26" t="str">
        <f>IF(OR(E703="",E703="!!!",F703="NEW"),"",COUNTBLANK(OFFSET(A$1,,,SUMPRODUCT(MAX(ROW(E$2:E703)*(E703=E$2:E703)))))-COUNTBLANK(OFFSET(A$1,,,SUMPRODUCT(MAX(ROW(E$1:E702)*(E2=E$1:E702))))))</f>
        <v> </v>
      </c>
      <c r="K703" s="26" t="str">
        <f>IF(OR(E703="",E703="!!!",F703="NEW"),"",INDEX(J$1:J702,SUMPRODUCT(MAX(ROW(E$1:E702)*(E703=E$1:E702)))))</f>
        <v> </v>
      </c>
      <c r="L703" s="27"/>
    </row>
    <row r="704" spans="1:12">
      <c r="A704" s="20" t="s">
        <v>754</v>
      </c>
      <c r="E704" s="22">
        <f>IF(D704="?OLD","!!!","")</f>
        <v/>
      </c>
      <c r="F704" s="23" t="str">
        <f>IF(OR(E704="",E704="!!!"),"",IF(NOT(ISNA(VLOOKUP(E704,E$1:E703,1,FALSE()))),"OLD",IF(AND(E704&lt;&gt;"",E704&lt;&gt;"!!!"),"NEW","")))</f>
        <v> </v>
      </c>
      <c r="G704" s="24" t="str">
        <f>IF(OR(E704="",E704="!!!"),"",IF(OR(J704=0,AND(J704=1,K704=1),AND(J704=1,I704="SBJ"),AND(J704=1,I704=0)),"?IN_FOCUS",IF(J704&lt;=2,"?ACTIVATED",IF(J704&lt;&gt;"","?FAMILIAR",IF(F704="NEW",IF(ISNA(VLOOKUP(E704,#REF!,1,FALSE())),"?TYPE_IDENTIFIABLE","?REFERENTIAL"),"_")))))</f>
        <v> </v>
      </c>
      <c r="H704" s="25" t="str">
        <f>IF(J704&lt;&gt;1,"",IF(I704="SBJ","CB","?"))</f>
        <v> </v>
      </c>
      <c r="I704" s="26" t="str">
        <f>IF(OR(E704="",E704="!!!",F704="NEW"),"",INDEX(B703:B$2,-1+SUMPRODUCT(MAX(ROW(E703:E$2)*(E704=E703:E$2)))))</f>
        <v> </v>
      </c>
      <c r="J704" s="26" t="str">
        <f>IF(OR(E704="",E704="!!!",F704="NEW"),"",COUNTBLANK(OFFSET(A$1,,,SUMPRODUCT(MAX(ROW(E$2:E704)*(E704=E$2:E704)))))-COUNTBLANK(OFFSET(A$1,,,SUMPRODUCT(MAX(ROW(E$1:E703)*(E2=E$1:E703))))))</f>
        <v> </v>
      </c>
      <c r="K704" s="26" t="str">
        <f>IF(OR(E704="",E704="!!!",F704="NEW"),"",INDEX(J$1:J703,SUMPRODUCT(MAX(ROW(E$1:E703)*(E704=E$1:E703)))))</f>
        <v> </v>
      </c>
      <c r="L704" s="27"/>
    </row>
    <row r="705" spans="1:12">
      <c r="A705" s="20" t="s">
        <v>751</v>
      </c>
      <c r="E705" s="22">
        <f>IF(D705="?OLD","!!!","")</f>
        <v/>
      </c>
      <c r="F705" s="23" t="str">
        <f>IF(OR(E705="",E705="!!!"),"",IF(NOT(ISNA(VLOOKUP(E705,E$1:E704,1,FALSE()))),"OLD",IF(AND(E705&lt;&gt;"",E705&lt;&gt;"!!!"),"NEW","")))</f>
        <v> </v>
      </c>
      <c r="G705" s="24" t="str">
        <f>IF(OR(E705="",E705="!!!"),"",IF(OR(J705=0,AND(J705=1,K705=1),AND(J705=1,I705="SBJ"),AND(J705=1,I705=0)),"?IN_FOCUS",IF(J705&lt;=2,"?ACTIVATED",IF(J705&lt;&gt;"","?FAMILIAR",IF(F705="NEW",IF(ISNA(VLOOKUP(E705,#REF!,1,FALSE())),"?TYPE_IDENTIFIABLE","?REFERENTIAL"),"_")))))</f>
        <v> </v>
      </c>
      <c r="H705" s="25" t="str">
        <f>IF(J705&lt;&gt;1,"",IF(I705="SBJ","CB","?"))</f>
        <v> </v>
      </c>
      <c r="I705" s="26" t="str">
        <f>IF(OR(E705="",E705="!!!",F705="NEW"),"",INDEX(B704:B$2,-1+SUMPRODUCT(MAX(ROW(E704:E$2)*(E705=E704:E$2)))))</f>
        <v> </v>
      </c>
      <c r="J705" s="26" t="str">
        <f>IF(OR(E705="",E705="!!!",F705="NEW"),"",COUNTBLANK(OFFSET(A$1,,,SUMPRODUCT(MAX(ROW(E$2:E705)*(E705=E$2:E705)))))-COUNTBLANK(OFFSET(A$1,,,SUMPRODUCT(MAX(ROW(E$1:E704)*(E2=E$1:E704))))))</f>
        <v> </v>
      </c>
      <c r="K705" s="26" t="str">
        <f>IF(OR(E705="",E705="!!!",F705="NEW"),"",INDEX(J$1:J704,SUMPRODUCT(MAX(ROW(E$1:E704)*(E705=E$1:E704)))))</f>
        <v> </v>
      </c>
      <c r="L705" s="27"/>
    </row>
    <row r="706" spans="1:12">
      <c r="A706" s="20" t="s">
        <v>1102</v>
      </c>
      <c r="E706" s="22">
        <f>IF(D706="?OLD","!!!","")</f>
        <v/>
      </c>
      <c r="F706" s="23" t="str">
        <f>IF(OR(E706="",E706="!!!"),"",IF(NOT(ISNA(VLOOKUP(E706,E$1:E705,1,FALSE()))),"OLD",IF(AND(E706&lt;&gt;"",E706&lt;&gt;"!!!"),"NEW","")))</f>
        <v> </v>
      </c>
      <c r="G706" s="24" t="str">
        <f>IF(OR(E706="",E706="!!!"),"",IF(OR(J706=0,AND(J706=1,K706=1),AND(J706=1,I706="SBJ"),AND(J706=1,I706=0)),"?IN_FOCUS",IF(J706&lt;=2,"?ACTIVATED",IF(J706&lt;&gt;"","?FAMILIAR",IF(F706="NEW",IF(ISNA(VLOOKUP(E706,#REF!,1,FALSE())),"?TYPE_IDENTIFIABLE","?REFERENTIAL"),"_")))))</f>
        <v> </v>
      </c>
      <c r="H706" s="25" t="str">
        <f>IF(J706&lt;&gt;1,"",IF(I706="SBJ","CB","?"))</f>
        <v> </v>
      </c>
      <c r="I706" s="26" t="str">
        <f>IF(OR(E706="",E706="!!!",F706="NEW"),"",INDEX(B705:B$2,-1+SUMPRODUCT(MAX(ROW(E705:E$2)*(E706=E705:E$2)))))</f>
        <v> </v>
      </c>
      <c r="J706" s="26" t="str">
        <f>IF(OR(E706="",E706="!!!",F706="NEW"),"",COUNTBLANK(OFFSET(A$1,,,SUMPRODUCT(MAX(ROW(E$2:E706)*(E706=E$2:E706)))))-COUNTBLANK(OFFSET(A$1,,,SUMPRODUCT(MAX(ROW(E$1:E705)*(E2=E$1:E705))))))</f>
        <v> </v>
      </c>
      <c r="K706" s="26" t="str">
        <f>IF(OR(E706="",E706="!!!",F706="NEW"),"",INDEX(J$1:J705,SUMPRODUCT(MAX(ROW(E$1:E705)*(E706=E$1:E705)))))</f>
        <v> </v>
      </c>
      <c r="L706" s="27"/>
    </row>
    <row r="707" spans="1:12">
      <c r="A707" s="20" t="s">
        <v>1103</v>
      </c>
      <c r="B707" s="21" t="s">
        <v>736</v>
      </c>
      <c r="C707" s="21" t="s">
        <v>753</v>
      </c>
      <c r="D707" s="21" t="s">
        <v>730</v>
      </c>
      <c r="E707" s="22">
        <f>IF(D707="?OLD","!!!","")</f>
        <v/>
      </c>
      <c r="F707" s="23" t="str">
        <f>IF(OR(E707="",E707="!!!"),"",IF(NOT(ISNA(VLOOKUP(E707,E$1:E706,1,FALSE()))),"OLD",IF(AND(E707&lt;&gt;"",E707&lt;&gt;"!!!"),"NEW","")))</f>
        <v> </v>
      </c>
      <c r="G707" s="24" t="str">
        <f>IF(OR(E707="",E707="!!!"),"",IF(OR(J707=0,AND(J707=1,K707=1),AND(J707=1,I707="SBJ"),AND(J707=1,I707=0)),"?IN_FOCUS",IF(J707&lt;=2,"?ACTIVATED",IF(J707&lt;&gt;"","?FAMILIAR",IF(F707="NEW",IF(ISNA(VLOOKUP(E707,#REF!,1,FALSE())),"?TYPE_IDENTIFIABLE","?REFERENTIAL"),"_")))))</f>
        <v> </v>
      </c>
      <c r="H707" s="25" t="str">
        <f>IF(J707&lt;&gt;1,"",IF(I707="SBJ","CB","?"))</f>
        <v> </v>
      </c>
      <c r="I707" s="26" t="str">
        <f>IF(OR(E707="",E707="!!!",F707="NEW"),"",INDEX(B706:B$2,-1+SUMPRODUCT(MAX(ROW(E706:E$2)*(E707=E706:E$2)))))</f>
        <v> </v>
      </c>
      <c r="J707" s="26" t="str">
        <f>IF(OR(E707="",E707="!!!",F707="NEW"),"",COUNTBLANK(OFFSET(A$1,,,SUMPRODUCT(MAX(ROW(E$2:E707)*(E707=E$2:E707)))))-COUNTBLANK(OFFSET(A$1,,,SUMPRODUCT(MAX(ROW(E$1:E706)*(E2=E$1:E706))))))</f>
        <v> </v>
      </c>
      <c r="K707" s="26" t="str">
        <f>IF(OR(E707="",E707="!!!",F707="NEW"),"",INDEX(J$1:J706,SUMPRODUCT(MAX(ROW(E$1:E706)*(E707=E$1:E706)))))</f>
        <v> </v>
      </c>
      <c r="L707" s="27"/>
    </row>
    <row r="708" spans="1:12">
      <c r="A708" s="20" t="s">
        <v>1104</v>
      </c>
      <c r="E708" s="22">
        <f>IF(D708="?OLD","!!!","")</f>
        <v/>
      </c>
      <c r="F708" s="23" t="str">
        <f>IF(OR(E708="",E708="!!!"),"",IF(NOT(ISNA(VLOOKUP(E708,E$1:E707,1,FALSE()))),"OLD",IF(AND(E708&lt;&gt;"",E708&lt;&gt;"!!!"),"NEW","")))</f>
        <v> </v>
      </c>
      <c r="G708" s="24" t="str">
        <f>IF(OR(E708="",E708="!!!"),"",IF(OR(J708=0,AND(J708=1,K708=1),AND(J708=1,I708="SBJ"),AND(J708=1,I708=0)),"?IN_FOCUS",IF(J708&lt;=2,"?ACTIVATED",IF(J708&lt;&gt;"","?FAMILIAR",IF(F708="NEW",IF(ISNA(VLOOKUP(E708,#REF!,1,FALSE())),"?TYPE_IDENTIFIABLE","?REFERENTIAL"),"_")))))</f>
        <v> </v>
      </c>
      <c r="H708" s="25" t="str">
        <f>IF(J708&lt;&gt;1,"",IF(I708="SBJ","CB","?"))</f>
        <v> </v>
      </c>
      <c r="I708" s="26" t="str">
        <f>IF(OR(E708="",E708="!!!",F708="NEW"),"",INDEX(B707:B$2,-1+SUMPRODUCT(MAX(ROW(E707:E$2)*(E708=E707:E$2)))))</f>
        <v> </v>
      </c>
      <c r="J708" s="26" t="str">
        <f>IF(OR(E708="",E708="!!!",F708="NEW"),"",COUNTBLANK(OFFSET(A$1,,,SUMPRODUCT(MAX(ROW(E$2:E708)*(E708=E$2:E708)))))-COUNTBLANK(OFFSET(A$1,,,SUMPRODUCT(MAX(ROW(E$1:E707)*(E2=E$1:E707))))))</f>
        <v> </v>
      </c>
      <c r="K708" s="26" t="str">
        <f>IF(OR(E708="",E708="!!!",F708="NEW"),"",INDEX(J$1:J707,SUMPRODUCT(MAX(ROW(E$1:E707)*(E708=E$1:E707)))))</f>
        <v> </v>
      </c>
      <c r="L708" s="27"/>
    </row>
    <row r="709" spans="1:12">
      <c r="A709" s="20" t="s">
        <v>750</v>
      </c>
      <c r="B709" s="21" t="s">
        <v>728</v>
      </c>
      <c r="C709" s="21" t="s">
        <v>729</v>
      </c>
      <c r="D709" s="21" t="s">
        <v>730</v>
      </c>
      <c r="E709" s="22">
        <f>IF(D709="?OLD","!!!","")</f>
        <v/>
      </c>
      <c r="F709" s="23" t="str">
        <f>IF(OR(E709="",E709="!!!"),"",IF(NOT(ISNA(VLOOKUP(E709,E$1:E708,1,FALSE()))),"OLD",IF(AND(E709&lt;&gt;"",E709&lt;&gt;"!!!"),"NEW","")))</f>
        <v> </v>
      </c>
      <c r="G709" s="24" t="str">
        <f>IF(OR(E709="",E709="!!!"),"",IF(OR(J709=0,AND(J709=1,K709=1),AND(J709=1,I709="SBJ"),AND(J709=1,I709=0)),"?IN_FOCUS",IF(J709&lt;=2,"?ACTIVATED",IF(J709&lt;&gt;"","?FAMILIAR",IF(F709="NEW",IF(ISNA(VLOOKUP(E709,#REF!,1,FALSE())),"?TYPE_IDENTIFIABLE","?REFERENTIAL"),"_")))))</f>
        <v> </v>
      </c>
      <c r="H709" s="25" t="str">
        <f>IF(J709&lt;&gt;1,"",IF(I709="SBJ","CB","?"))</f>
        <v> </v>
      </c>
      <c r="I709" s="26" t="str">
        <f>IF(OR(E709="",E709="!!!",F709="NEW"),"",INDEX(B708:B$2,-1+SUMPRODUCT(MAX(ROW(E708:E$2)*(E709=E708:E$2)))))</f>
        <v> </v>
      </c>
      <c r="J709" s="26" t="str">
        <f>IF(OR(E709="",E709="!!!",F709="NEW"),"",COUNTBLANK(OFFSET(A$1,,,SUMPRODUCT(MAX(ROW(E$2:E709)*(E709=E$2:E709)))))-COUNTBLANK(OFFSET(A$1,,,SUMPRODUCT(MAX(ROW(E$1:E708)*(E2=E$1:E708))))))</f>
        <v> </v>
      </c>
      <c r="K709" s="26" t="str">
        <f>IF(OR(E709="",E709="!!!",F709="NEW"),"",INDEX(J$1:J708,SUMPRODUCT(MAX(ROW(E$1:E708)*(E709=E$1:E708)))))</f>
        <v> </v>
      </c>
      <c r="L709" s="27"/>
    </row>
    <row r="710" spans="1:12">
      <c r="A710" s="20" t="s">
        <v>1105</v>
      </c>
      <c r="E710" s="22">
        <f>IF(D710="?OLD","!!!","")</f>
        <v/>
      </c>
      <c r="F710" s="23" t="str">
        <f>IF(OR(E710="",E710="!!!"),"",IF(NOT(ISNA(VLOOKUP(E710,E$1:E709,1,FALSE()))),"OLD",IF(AND(E710&lt;&gt;"",E710&lt;&gt;"!!!"),"NEW","")))</f>
        <v> </v>
      </c>
      <c r="G710" s="24" t="str">
        <f>IF(OR(E710="",E710="!!!"),"",IF(OR(J710=0,AND(J710=1,K710=1),AND(J710=1,I710="SBJ"),AND(J710=1,I710=0)),"?IN_FOCUS",IF(J710&lt;=2,"?ACTIVATED",IF(J710&lt;&gt;"","?FAMILIAR",IF(F710="NEW",IF(ISNA(VLOOKUP(E710,#REF!,1,FALSE())),"?TYPE_IDENTIFIABLE","?REFERENTIAL"),"_")))))</f>
        <v> </v>
      </c>
      <c r="H710" s="25" t="str">
        <f>IF(J710&lt;&gt;1,"",IF(I710="SBJ","CB","?"))</f>
        <v> </v>
      </c>
      <c r="I710" s="26" t="str">
        <f>IF(OR(E710="",E710="!!!",F710="NEW"),"",INDEX(B709:B$2,-1+SUMPRODUCT(MAX(ROW(E709:E$2)*(E710=E709:E$2)))))</f>
        <v> </v>
      </c>
      <c r="J710" s="26" t="str">
        <f>IF(OR(E710="",E710="!!!",F710="NEW"),"",COUNTBLANK(OFFSET(A$1,,,SUMPRODUCT(MAX(ROW(E$2:E710)*(E710=E$2:E710)))))-COUNTBLANK(OFFSET(A$1,,,SUMPRODUCT(MAX(ROW(E$1:E709)*(E2=E$1:E709))))))</f>
        <v> </v>
      </c>
      <c r="K710" s="26" t="str">
        <f>IF(OR(E710="",E710="!!!",F710="NEW"),"",INDEX(J$1:J709,SUMPRODUCT(MAX(ROW(E$1:E709)*(E710=E$1:E709)))))</f>
        <v> </v>
      </c>
      <c r="L710" s="27"/>
    </row>
    <row r="711" spans="1:12">
      <c r="A711" s="20" t="s">
        <v>1106</v>
      </c>
      <c r="B711" s="21" t="s">
        <v>764</v>
      </c>
      <c r="C711" s="21" t="s">
        <v>748</v>
      </c>
      <c r="E711" s="22">
        <f>IF(D711="?OLD","!!!","")</f>
        <v/>
      </c>
      <c r="F711" s="23" t="str">
        <f>IF(OR(E711="",E711="!!!"),"",IF(NOT(ISNA(VLOOKUP(E711,E$1:E710,1,FALSE()))),"OLD",IF(AND(E711&lt;&gt;"",E711&lt;&gt;"!!!"),"NEW","")))</f>
        <v> </v>
      </c>
      <c r="G711" s="24" t="str">
        <f>IF(OR(E711="",E711="!!!"),"",IF(OR(J711=0,AND(J711=1,K711=1),AND(J711=1,I711="SBJ"),AND(J711=1,I711=0)),"?IN_FOCUS",IF(J711&lt;=2,"?ACTIVATED",IF(J711&lt;&gt;"","?FAMILIAR",IF(F711="NEW",IF(ISNA(VLOOKUP(E711,#REF!,1,FALSE())),"?TYPE_IDENTIFIABLE","?REFERENTIAL"),"_")))))</f>
        <v> </v>
      </c>
      <c r="H711" s="25" t="str">
        <f>IF(J711&lt;&gt;1,"",IF(I711="SBJ","CB","?"))</f>
        <v> </v>
      </c>
      <c r="I711" s="26" t="str">
        <f>IF(OR(E711="",E711="!!!",F711="NEW"),"",INDEX(B710:B$2,-1+SUMPRODUCT(MAX(ROW(E710:E$2)*(E711=E710:E$2)))))</f>
        <v> </v>
      </c>
      <c r="J711" s="26" t="str">
        <f>IF(OR(E711="",E711="!!!",F711="NEW"),"",COUNTBLANK(OFFSET(A$1,,,SUMPRODUCT(MAX(ROW(E$2:E711)*(E711=E$2:E711)))))-COUNTBLANK(OFFSET(A$1,,,SUMPRODUCT(MAX(ROW(E$1:E710)*(E2=E$1:E710))))))</f>
        <v> </v>
      </c>
      <c r="K711" s="26" t="str">
        <f>IF(OR(E711="",E711="!!!",F711="NEW"),"",INDEX(J$1:J710,SUMPRODUCT(MAX(ROW(E$1:E710)*(E711=E$1:E710)))))</f>
        <v> </v>
      </c>
      <c r="L711" s="27"/>
    </row>
    <row r="712" spans="1:12">
      <c r="A712" s="20" t="s">
        <v>1107</v>
      </c>
      <c r="E712" s="22">
        <f>IF(D712="?OLD","!!!","")</f>
        <v/>
      </c>
      <c r="F712" s="23" t="str">
        <f>IF(OR(E712="",E712="!!!"),"",IF(NOT(ISNA(VLOOKUP(E712,E$1:E711,1,FALSE()))),"OLD",IF(AND(E712&lt;&gt;"",E712&lt;&gt;"!!!"),"NEW","")))</f>
        <v> </v>
      </c>
      <c r="G712" s="24" t="str">
        <f>IF(OR(E712="",E712="!!!"),"",IF(OR(J712=0,AND(J712=1,K712=1),AND(J712=1,I712="SBJ"),AND(J712=1,I712=0)),"?IN_FOCUS",IF(J712&lt;=2,"?ACTIVATED",IF(J712&lt;&gt;"","?FAMILIAR",IF(F712="NEW",IF(ISNA(VLOOKUP(E712,#REF!,1,FALSE())),"?TYPE_IDENTIFIABLE","?REFERENTIAL"),"_")))))</f>
        <v> </v>
      </c>
      <c r="H712" s="25" t="str">
        <f>IF(J712&lt;&gt;1,"",IF(I712="SBJ","CB","?"))</f>
        <v> </v>
      </c>
      <c r="I712" s="26" t="str">
        <f>IF(OR(E712="",E712="!!!",F712="NEW"),"",INDEX(B711:B$2,-1+SUMPRODUCT(MAX(ROW(E711:E$2)*(E712=E711:E$2)))))</f>
        <v> </v>
      </c>
      <c r="J712" s="26" t="str">
        <f>IF(OR(E712="",E712="!!!",F712="NEW"),"",COUNTBLANK(OFFSET(A$1,,,SUMPRODUCT(MAX(ROW(E$2:E712)*(E712=E$2:E712)))))-COUNTBLANK(OFFSET(A$1,,,SUMPRODUCT(MAX(ROW(E$1:E711)*(E2=E$1:E711))))))</f>
        <v> </v>
      </c>
      <c r="K712" s="26" t="str">
        <f>IF(OR(E712="",E712="!!!",F712="NEW"),"",INDEX(J$1:J711,SUMPRODUCT(MAX(ROW(E$1:E711)*(E712=E$1:E711)))))</f>
        <v> </v>
      </c>
      <c r="L712" s="27"/>
    </row>
    <row r="713" spans="1:12">
      <c r="A713" s="20" t="s">
        <v>776</v>
      </c>
      <c r="B713" s="21" t="s">
        <v>739</v>
      </c>
      <c r="C713" s="21" t="s">
        <v>789</v>
      </c>
      <c r="D713" s="21" t="s">
        <v>730</v>
      </c>
      <c r="E713" s="22">
        <f>IF(D713="?OLD","!!!","")</f>
        <v/>
      </c>
      <c r="F713" s="23" t="str">
        <f>IF(OR(E713="",E713="!!!"),"",IF(NOT(ISNA(VLOOKUP(E713,E$1:E712,1,FALSE()))),"OLD",IF(AND(E713&lt;&gt;"",E713&lt;&gt;"!!!"),"NEW","")))</f>
        <v> </v>
      </c>
      <c r="G713" s="24" t="str">
        <f>IF(OR(E713="",E713="!!!"),"",IF(OR(J713=0,AND(J713=1,K713=1),AND(J713=1,I713="SBJ"),AND(J713=1,I713=0)),"?IN_FOCUS",IF(J713&lt;=2,"?ACTIVATED",IF(J713&lt;&gt;"","?FAMILIAR",IF(F713="NEW",IF(ISNA(VLOOKUP(E713,#REF!,1,FALSE())),"?TYPE_IDENTIFIABLE","?REFERENTIAL"),"_")))))</f>
        <v> </v>
      </c>
      <c r="H713" s="25" t="str">
        <f>IF(J713&lt;&gt;1,"",IF(I713="SBJ","CB","?"))</f>
        <v> </v>
      </c>
      <c r="I713" s="26" t="str">
        <f>IF(OR(E713="",E713="!!!",F713="NEW"),"",INDEX(B712:B$2,-1+SUMPRODUCT(MAX(ROW(E712:E$2)*(E713=E712:E$2)))))</f>
        <v> </v>
      </c>
      <c r="J713" s="26" t="str">
        <f>IF(OR(E713="",E713="!!!",F713="NEW"),"",COUNTBLANK(OFFSET(A$1,,,SUMPRODUCT(MAX(ROW(E$2:E713)*(E713=E$2:E713)))))-COUNTBLANK(OFFSET(A$1,,,SUMPRODUCT(MAX(ROW(E$1:E712)*(E2=E$1:E712))))))</f>
        <v> </v>
      </c>
      <c r="K713" s="26" t="str">
        <f>IF(OR(E713="",E713="!!!",F713="NEW"),"",INDEX(J$1:J712,SUMPRODUCT(MAX(ROW(E$1:E712)*(E713=E$1:E712)))))</f>
        <v> </v>
      </c>
      <c r="L713" s="27"/>
    </row>
    <row r="714" spans="1:12">
      <c r="A714" s="20" t="s">
        <v>759</v>
      </c>
      <c r="E714" s="22">
        <f>IF(D714="?OLD","!!!","")</f>
        <v/>
      </c>
      <c r="F714" s="23" t="str">
        <f>IF(OR(E714="",E714="!!!"),"",IF(NOT(ISNA(VLOOKUP(E714,E$1:E713,1,FALSE()))),"OLD",IF(AND(E714&lt;&gt;"",E714&lt;&gt;"!!!"),"NEW","")))</f>
        <v> </v>
      </c>
      <c r="G714" s="24" t="str">
        <f>IF(OR(E714="",E714="!!!"),"",IF(OR(J714=0,AND(J714=1,K714=1),AND(J714=1,I714="SBJ"),AND(J714=1,I714=0)),"?IN_FOCUS",IF(J714&lt;=2,"?ACTIVATED",IF(J714&lt;&gt;"","?FAMILIAR",IF(F714="NEW",IF(ISNA(VLOOKUP(E714,#REF!,1,FALSE())),"?TYPE_IDENTIFIABLE","?REFERENTIAL"),"_")))))</f>
        <v> </v>
      </c>
      <c r="H714" s="25" t="str">
        <f>IF(J714&lt;&gt;1,"",IF(I714="SBJ","CB","?"))</f>
        <v> </v>
      </c>
      <c r="I714" s="26" t="str">
        <f>IF(OR(E714="",E714="!!!",F714="NEW"),"",INDEX(B713:B$2,-1+SUMPRODUCT(MAX(ROW(E713:E$2)*(E714=E713:E$2)))))</f>
        <v> </v>
      </c>
      <c r="J714" s="26" t="str">
        <f>IF(OR(E714="",E714="!!!",F714="NEW"),"",COUNTBLANK(OFFSET(A$1,,,SUMPRODUCT(MAX(ROW(E$2:E714)*(E714=E$2:E714)))))-COUNTBLANK(OFFSET(A$1,,,SUMPRODUCT(MAX(ROW(E$1:E713)*(E2=E$1:E713))))))</f>
        <v> </v>
      </c>
      <c r="K714" s="26" t="str">
        <f>IF(OR(E714="",E714="!!!",F714="NEW"),"",INDEX(J$1:J713,SUMPRODUCT(MAX(ROW(E$1:E713)*(E714=E$1:E713)))))</f>
        <v> </v>
      </c>
      <c r="L714" s="27"/>
    </row>
    <row r="715" spans="1:12">
      <c r="A715" s="20" t="s">
        <v>945</v>
      </c>
      <c r="B715" s="21" t="s">
        <v>791</v>
      </c>
      <c r="C715" s="21" t="s">
        <v>789</v>
      </c>
      <c r="D715" s="21" t="s">
        <v>730</v>
      </c>
      <c r="E715" s="22">
        <f>IF(D715="?OLD","!!!","")</f>
        <v/>
      </c>
      <c r="F715" s="23" t="str">
        <f>IF(OR(E715="",E715="!!!"),"",IF(NOT(ISNA(VLOOKUP(E715,E$1:E714,1,FALSE()))),"OLD",IF(AND(E715&lt;&gt;"",E715&lt;&gt;"!!!"),"NEW","")))</f>
        <v> </v>
      </c>
      <c r="G715" s="24" t="str">
        <f>IF(OR(E715="",E715="!!!"),"",IF(OR(J715=0,AND(J715=1,K715=1),AND(J715=1,I715="SBJ"),AND(J715=1,I715=0)),"?IN_FOCUS",IF(J715&lt;=2,"?ACTIVATED",IF(J715&lt;&gt;"","?FAMILIAR",IF(F715="NEW",IF(ISNA(VLOOKUP(E715,#REF!,1,FALSE())),"?TYPE_IDENTIFIABLE","?REFERENTIAL"),"_")))))</f>
        <v> </v>
      </c>
      <c r="H715" s="25" t="str">
        <f>IF(J715&lt;&gt;1,"",IF(I715="SBJ","CB","?"))</f>
        <v> </v>
      </c>
      <c r="I715" s="26" t="str">
        <f>IF(OR(E715="",E715="!!!",F715="NEW"),"",INDEX(B714:B$2,-1+SUMPRODUCT(MAX(ROW(E714:E$2)*(E715=E714:E$2)))))</f>
        <v> </v>
      </c>
      <c r="J715" s="26" t="str">
        <f>IF(OR(E715="",E715="!!!",F715="NEW"),"",COUNTBLANK(OFFSET(A$1,,,SUMPRODUCT(MAX(ROW(E$2:E715)*(E715=E$2:E715)))))-COUNTBLANK(OFFSET(A$1,,,SUMPRODUCT(MAX(ROW(E$1:E714)*(E2=E$1:E714))))))</f>
        <v> </v>
      </c>
      <c r="K715" s="26" t="str">
        <f>IF(OR(E715="",E715="!!!",F715="NEW"),"",INDEX(J$1:J714,SUMPRODUCT(MAX(ROW(E$1:E714)*(E715=E$1:E714)))))</f>
        <v> </v>
      </c>
      <c r="L715" s="27"/>
    </row>
    <row r="716" spans="1:12">
      <c r="A716" s="20" t="s">
        <v>750</v>
      </c>
      <c r="B716" s="21" t="s">
        <v>796</v>
      </c>
      <c r="C716" s="21" t="s">
        <v>729</v>
      </c>
      <c r="D716" s="21" t="s">
        <v>730</v>
      </c>
      <c r="E716" s="22">
        <f>IF(D716="?OLD","!!!","")</f>
        <v/>
      </c>
      <c r="F716" s="23" t="str">
        <f>IF(OR(E716="",E716="!!!"),"",IF(NOT(ISNA(VLOOKUP(E716,E$1:E715,1,FALSE()))),"OLD",IF(AND(E716&lt;&gt;"",E716&lt;&gt;"!!!"),"NEW","")))</f>
        <v> </v>
      </c>
      <c r="G716" s="24" t="str">
        <f>IF(OR(E716="",E716="!!!"),"",IF(OR(J716=0,AND(J716=1,K716=1),AND(J716=1,I716="SBJ"),AND(J716=1,I716=0)),"?IN_FOCUS",IF(J716&lt;=2,"?ACTIVATED",IF(J716&lt;&gt;"","?FAMILIAR",IF(F716="NEW",IF(ISNA(VLOOKUP(E716,#REF!,1,FALSE())),"?TYPE_IDENTIFIABLE","?REFERENTIAL"),"_")))))</f>
        <v> </v>
      </c>
      <c r="H716" s="25" t="str">
        <f>IF(J716&lt;&gt;1,"",IF(I716="SBJ","CB","?"))</f>
        <v> </v>
      </c>
      <c r="I716" s="26" t="str">
        <f>IF(OR(E716="",E716="!!!",F716="NEW"),"",INDEX(B715:B$2,-1+SUMPRODUCT(MAX(ROW(E715:E$2)*(E716=E715:E$2)))))</f>
        <v> </v>
      </c>
      <c r="J716" s="26" t="str">
        <f>IF(OR(E716="",E716="!!!",F716="NEW"),"",COUNTBLANK(OFFSET(A$1,,,SUMPRODUCT(MAX(ROW(E$2:E716)*(E716=E$2:E716)))))-COUNTBLANK(OFFSET(A$1,,,SUMPRODUCT(MAX(ROW(E$1:E715)*(E2=E$1:E715))))))</f>
        <v> </v>
      </c>
      <c r="K716" s="26" t="str">
        <f>IF(OR(E716="",E716="!!!",F716="NEW"),"",INDEX(J$1:J715,SUMPRODUCT(MAX(ROW(E$1:E715)*(E716=E$1:E715)))))</f>
        <v> </v>
      </c>
      <c r="L716" s="27"/>
    </row>
    <row r="717" spans="1:12">
      <c r="A717" s="20" t="s">
        <v>742</v>
      </c>
      <c r="E717" s="22">
        <f>IF(D717="?OLD","!!!","")</f>
        <v/>
      </c>
      <c r="F717" s="23" t="str">
        <f>IF(OR(E717="",E717="!!!"),"",IF(NOT(ISNA(VLOOKUP(E717,E$1:E716,1,FALSE()))),"OLD",IF(AND(E717&lt;&gt;"",E717&lt;&gt;"!!!"),"NEW","")))</f>
        <v> </v>
      </c>
      <c r="G717" s="24" t="str">
        <f>IF(OR(E717="",E717="!!!"),"",IF(OR(J717=0,AND(J717=1,K717=1),AND(J717=1,I717="SBJ"),AND(J717=1,I717=0)),"?IN_FOCUS",IF(J717&lt;=2,"?ACTIVATED",IF(J717&lt;&gt;"","?FAMILIAR",IF(F717="NEW",IF(ISNA(VLOOKUP(E717,#REF!,1,FALSE())),"?TYPE_IDENTIFIABLE","?REFERENTIAL"),"_")))))</f>
        <v> </v>
      </c>
      <c r="H717" s="25" t="str">
        <f>IF(J717&lt;&gt;1,"",IF(I717="SBJ","CB","?"))</f>
        <v> </v>
      </c>
      <c r="I717" s="26" t="str">
        <f>IF(OR(E717="",E717="!!!",F717="NEW"),"",INDEX(B716:B$2,-1+SUMPRODUCT(MAX(ROW(E716:E$2)*(E717=E716:E$2)))))</f>
        <v> </v>
      </c>
      <c r="J717" s="26" t="str">
        <f>IF(OR(E717="",E717="!!!",F717="NEW"),"",COUNTBLANK(OFFSET(A$1,,,SUMPRODUCT(MAX(ROW(E$2:E717)*(E717=E$2:E717)))))-COUNTBLANK(OFFSET(A$1,,,SUMPRODUCT(MAX(ROW(E$1:E716)*(E2=E$1:E716))))))</f>
        <v> </v>
      </c>
      <c r="K717" s="26" t="str">
        <f>IF(OR(E717="",E717="!!!",F717="NEW"),"",INDEX(J$1:J716,SUMPRODUCT(MAX(ROW(E$1:E716)*(E717=E$1:E716)))))</f>
        <v> </v>
      </c>
      <c r="L717" s="27"/>
    </row>
    <row r="718" spans="1:12">
      <c r="A718" s="20" t="s">
        <v>1027</v>
      </c>
      <c r="E718" s="22">
        <f>IF(D718="?OLD","!!!","")</f>
        <v/>
      </c>
      <c r="F718" s="23" t="str">
        <f>IF(OR(E718="",E718="!!!"),"",IF(NOT(ISNA(VLOOKUP(E718,E$1:E717,1,FALSE()))),"OLD",IF(AND(E718&lt;&gt;"",E718&lt;&gt;"!!!"),"NEW","")))</f>
        <v> </v>
      </c>
      <c r="G718" s="24" t="str">
        <f>IF(OR(E718="",E718="!!!"),"",IF(OR(J718=0,AND(J718=1,K718=1),AND(J718=1,I718="SBJ"),AND(J718=1,I718=0)),"?IN_FOCUS",IF(J718&lt;=2,"?ACTIVATED",IF(J718&lt;&gt;"","?FAMILIAR",IF(F718="NEW",IF(ISNA(VLOOKUP(E718,#REF!,1,FALSE())),"?TYPE_IDENTIFIABLE","?REFERENTIAL"),"_")))))</f>
        <v> </v>
      </c>
      <c r="H718" s="25" t="str">
        <f>IF(J718&lt;&gt;1,"",IF(I718="SBJ","CB","?"))</f>
        <v> </v>
      </c>
      <c r="I718" s="26" t="str">
        <f>IF(OR(E718="",E718="!!!",F718="NEW"),"",INDEX(B717:B$2,-1+SUMPRODUCT(MAX(ROW(E717:E$2)*(E718=E717:E$2)))))</f>
        <v> </v>
      </c>
      <c r="J718" s="26" t="str">
        <f>IF(OR(E718="",E718="!!!",F718="NEW"),"",COUNTBLANK(OFFSET(A$1,,,SUMPRODUCT(MAX(ROW(E$2:E718)*(E718=E$2:E718)))))-COUNTBLANK(OFFSET(A$1,,,SUMPRODUCT(MAX(ROW(E$1:E717)*(E2=E$1:E717))))))</f>
        <v> </v>
      </c>
      <c r="K718" s="26" t="str">
        <f>IF(OR(E718="",E718="!!!",F718="NEW"),"",INDEX(J$1:J717,SUMPRODUCT(MAX(ROW(E$1:E717)*(E718=E$1:E717)))))</f>
        <v> </v>
      </c>
      <c r="L718" s="27"/>
    </row>
    <row r="719" spans="1:12">
      <c r="A719" s="20" t="s">
        <v>1108</v>
      </c>
      <c r="B719" s="21" t="s">
        <v>739</v>
      </c>
      <c r="C719" s="21" t="s">
        <v>852</v>
      </c>
      <c r="E719" s="22">
        <f>IF(D719="?OLD","!!!","")</f>
        <v/>
      </c>
      <c r="F719" s="23" t="str">
        <f>IF(OR(E719="",E719="!!!"),"",IF(NOT(ISNA(VLOOKUP(E719,E$1:E718,1,FALSE()))),"OLD",IF(AND(E719&lt;&gt;"",E719&lt;&gt;"!!!"),"NEW","")))</f>
        <v> </v>
      </c>
      <c r="G719" s="24" t="str">
        <f>IF(OR(E719="",E719="!!!"),"",IF(OR(J719=0,AND(J719=1,K719=1),AND(J719=1,I719="SBJ"),AND(J719=1,I719=0)),"?IN_FOCUS",IF(J719&lt;=2,"?ACTIVATED",IF(J719&lt;&gt;"","?FAMILIAR",IF(F719="NEW",IF(ISNA(VLOOKUP(E719,#REF!,1,FALSE())),"?TYPE_IDENTIFIABLE","?REFERENTIAL"),"_")))))</f>
        <v> </v>
      </c>
      <c r="H719" s="25" t="str">
        <f>IF(J719&lt;&gt;1,"",IF(I719="SBJ","CB","?"))</f>
        <v> </v>
      </c>
      <c r="I719" s="26" t="str">
        <f>IF(OR(E719="",E719="!!!",F719="NEW"),"",INDEX(B718:B$2,-1+SUMPRODUCT(MAX(ROW(E718:E$2)*(E719=E718:E$2)))))</f>
        <v> </v>
      </c>
      <c r="J719" s="26" t="str">
        <f>IF(OR(E719="",E719="!!!",F719="NEW"),"",COUNTBLANK(OFFSET(A$1,,,SUMPRODUCT(MAX(ROW(E$2:E719)*(E719=E$2:E719)))))-COUNTBLANK(OFFSET(A$1,,,SUMPRODUCT(MAX(ROW(E$1:E718)*(E2=E$1:E718))))))</f>
        <v> </v>
      </c>
      <c r="K719" s="26" t="str">
        <f>IF(OR(E719="",E719="!!!",F719="NEW"),"",INDEX(J$1:J718,SUMPRODUCT(MAX(ROW(E$1:E718)*(E719=E$1:E718)))))</f>
        <v> </v>
      </c>
      <c r="L719" s="27"/>
    </row>
    <row r="720" spans="1:12">
      <c r="A720" s="20" t="s">
        <v>1109</v>
      </c>
      <c r="E720" s="22">
        <f>IF(D720="?OLD","!!!","")</f>
        <v/>
      </c>
      <c r="F720" s="23" t="str">
        <f>IF(OR(E720="",E720="!!!"),"",IF(NOT(ISNA(VLOOKUP(E720,E$1:E719,1,FALSE()))),"OLD",IF(AND(E720&lt;&gt;"",E720&lt;&gt;"!!!"),"NEW","")))</f>
        <v> </v>
      </c>
      <c r="G720" s="24" t="str">
        <f>IF(OR(E720="",E720="!!!"),"",IF(OR(J720=0,AND(J720=1,K720=1),AND(J720=1,I720="SBJ"),AND(J720=1,I720=0)),"?IN_FOCUS",IF(J720&lt;=2,"?ACTIVATED",IF(J720&lt;&gt;"","?FAMILIAR",IF(F720="NEW",IF(ISNA(VLOOKUP(E720,#REF!,1,FALSE())),"?TYPE_IDENTIFIABLE","?REFERENTIAL"),"_")))))</f>
        <v> </v>
      </c>
      <c r="H720" s="25" t="str">
        <f>IF(J720&lt;&gt;1,"",IF(I720="SBJ","CB","?"))</f>
        <v> </v>
      </c>
      <c r="I720" s="26" t="str">
        <f>IF(OR(E720="",E720="!!!",F720="NEW"),"",INDEX(B719:B$2,-1+SUMPRODUCT(MAX(ROW(E719:E$2)*(E720=E719:E$2)))))</f>
        <v> </v>
      </c>
      <c r="J720" s="26" t="str">
        <f>IF(OR(E720="",E720="!!!",F720="NEW"),"",COUNTBLANK(OFFSET(A$1,,,SUMPRODUCT(MAX(ROW(E$2:E720)*(E720=E$2:E720)))))-COUNTBLANK(OFFSET(A$1,,,SUMPRODUCT(MAX(ROW(E$1:E719)*(E2=E$1:E719))))))</f>
        <v> </v>
      </c>
      <c r="K720" s="26" t="str">
        <f>IF(OR(E720="",E720="!!!",F720="NEW"),"",INDEX(J$1:J719,SUMPRODUCT(MAX(ROW(E$1:E719)*(E720=E$1:E719)))))</f>
        <v> </v>
      </c>
      <c r="L720" s="27"/>
    </row>
    <row r="721" spans="1:12">
      <c r="A721" s="20" t="s">
        <v>246</v>
      </c>
      <c r="E721" s="22">
        <f>IF(D721="?OLD","!!!","")</f>
        <v/>
      </c>
      <c r="F721" s="23" t="str">
        <f>IF(OR(E721="",E721="!!!"),"",IF(NOT(ISNA(VLOOKUP(E721,E$1:E720,1,FALSE()))),"OLD",IF(AND(E721&lt;&gt;"",E721&lt;&gt;"!!!"),"NEW","")))</f>
        <v> </v>
      </c>
      <c r="G721" s="24" t="str">
        <f>IF(OR(E721="",E721="!!!"),"",IF(OR(J721=0,AND(J721=1,K721=1),AND(J721=1,I721="SBJ"),AND(J721=1,I721=0)),"?IN_FOCUS",IF(J721&lt;=2,"?ACTIVATED",IF(J721&lt;&gt;"","?FAMILIAR",IF(F721="NEW",IF(ISNA(VLOOKUP(E721,#REF!,1,FALSE())),"?TYPE_IDENTIFIABLE","?REFERENTIAL"),"_")))))</f>
        <v> </v>
      </c>
      <c r="H721" s="25" t="str">
        <f>IF(J721&lt;&gt;1,"",IF(I721="SBJ","CB","?"))</f>
        <v> </v>
      </c>
      <c r="I721" s="26" t="str">
        <f>IF(OR(E721="",E721="!!!",F721="NEW"),"",INDEX(B720:B$2,-1+SUMPRODUCT(MAX(ROW(E720:E$2)*(E721=E720:E$2)))))</f>
        <v> </v>
      </c>
      <c r="J721" s="26" t="str">
        <f>IF(OR(E721="",E721="!!!",F721="NEW"),"",COUNTBLANK(OFFSET(A$1,,,SUMPRODUCT(MAX(ROW(E$2:E721)*(E721=E$2:E721)))))-COUNTBLANK(OFFSET(A$1,,,SUMPRODUCT(MAX(ROW(E$1:E720)*(E2=E$1:E720))))))</f>
        <v> </v>
      </c>
      <c r="K721" s="26" t="str">
        <f>IF(OR(E721="",E721="!!!",F721="NEW"),"",INDEX(J$1:J720,SUMPRODUCT(MAX(ROW(E$1:E720)*(E721=E$1:E720)))))</f>
        <v> </v>
      </c>
      <c r="L721" s="27"/>
    </row>
    <row r="722" spans="1:12">
      <c r="A722" s="20"/>
    </row>
    <row r="723" spans="1:12">
      <c r="A723" s="20" t="s">
        <v>1110</v>
      </c>
    </row>
    <row r="724" spans="1:12">
      <c r="A724" s="20" t="s">
        <v>768</v>
      </c>
      <c r="E724" s="22">
        <f>IF(D724="?OLD","!!!","")</f>
        <v/>
      </c>
      <c r="F724" s="23" t="str">
        <f>IF(OR(E724="",E724="!!!"),"",IF(NOT(ISNA(VLOOKUP(E724,E$1:E723,1,FALSE()))),"OLD",IF(AND(E724&lt;&gt;"",E724&lt;&gt;"!!!"),"NEW","")))</f>
        <v> </v>
      </c>
      <c r="G724" s="24" t="str">
        <f>IF(OR(E724="",E724="!!!"),"",IF(OR(J724=0,AND(J724=1,K724=1),AND(J724=1,I724="SBJ"),AND(J724=1,I724=0)),"?IN_FOCUS",IF(J724&lt;=2,"?ACTIVATED",IF(J724&lt;&gt;"","?FAMILIAR",IF(F724="NEW",IF(ISNA(VLOOKUP(E724,#REF!,1,FALSE())),"?TYPE_IDENTIFIABLE","?REFERENTIAL"),"_")))))</f>
        <v> </v>
      </c>
      <c r="H724" s="25" t="str">
        <f>IF(J724&lt;&gt;1,"",IF(I724="SBJ","CB","?"))</f>
        <v> </v>
      </c>
      <c r="I724" s="26" t="str">
        <f>IF(OR(E724="",E724="!!!",F724="NEW"),"",INDEX(B723:B$2,-1+SUMPRODUCT(MAX(ROW(E723:E$2)*(E724=E723:E$2)))))</f>
        <v> </v>
      </c>
      <c r="J724" s="26" t="str">
        <f>IF(OR(E724="",E724="!!!",F724="NEW"),"",COUNTBLANK(OFFSET(A$1,,,SUMPRODUCT(MAX(ROW(E$2:E724)*(E724=E$2:E724)))))-COUNTBLANK(OFFSET(A$1,,,SUMPRODUCT(MAX(ROW(E$1:E723)*(E2=E$1:E723))))))</f>
        <v> </v>
      </c>
      <c r="K724" s="26" t="str">
        <f>IF(OR(E724="",E724="!!!",F724="NEW"),"",INDEX(J$1:J723,SUMPRODUCT(MAX(ROW(E$1:E723)*(E724=E$1:E723)))))</f>
        <v> </v>
      </c>
      <c r="L724" s="27"/>
    </row>
    <row r="725" spans="1:12">
      <c r="A725" s="20" t="s">
        <v>769</v>
      </c>
      <c r="B725" s="21" t="s">
        <v>739</v>
      </c>
      <c r="C725" s="21" t="s">
        <v>746</v>
      </c>
      <c r="D725" s="21" t="s">
        <v>730</v>
      </c>
      <c r="E725" s="22">
        <f>IF(D725="?OLD","!!!","")</f>
        <v/>
      </c>
      <c r="F725" s="23" t="str">
        <f>IF(OR(E725="",E725="!!!"),"",IF(NOT(ISNA(VLOOKUP(E725,E$1:E724,1,FALSE()))),"OLD",IF(AND(E725&lt;&gt;"",E725&lt;&gt;"!!!"),"NEW","")))</f>
        <v> </v>
      </c>
      <c r="G725" s="24" t="str">
        <f>IF(OR(E725="",E725="!!!"),"",IF(OR(J725=0,AND(J725=1,K725=1),AND(J725=1,I725="SBJ"),AND(J725=1,I725=0)),"?IN_FOCUS",IF(J725&lt;=2,"?ACTIVATED",IF(J725&lt;&gt;"","?FAMILIAR",IF(F725="NEW",IF(ISNA(VLOOKUP(E725,#REF!,1,FALSE())),"?TYPE_IDENTIFIABLE","?REFERENTIAL"),"_")))))</f>
        <v> </v>
      </c>
      <c r="H725" s="25" t="str">
        <f>IF(J725&lt;&gt;1,"",IF(I725="SBJ","CB","?"))</f>
        <v> </v>
      </c>
      <c r="I725" s="26" t="str">
        <f>IF(OR(E725="",E725="!!!",F725="NEW"),"",INDEX(B724:B$2,-1+SUMPRODUCT(MAX(ROW(E724:E$2)*(E725=E724:E$2)))))</f>
        <v> </v>
      </c>
      <c r="J725" s="26" t="str">
        <f>IF(OR(E725="",E725="!!!",F725="NEW"),"",COUNTBLANK(OFFSET(A$1,,,SUMPRODUCT(MAX(ROW(E$2:E725)*(E725=E$2:E725)))))-COUNTBLANK(OFFSET(A$1,,,SUMPRODUCT(MAX(ROW(E$1:E724)*(E2=E$1:E724))))))</f>
        <v> </v>
      </c>
      <c r="K725" s="26" t="str">
        <f>IF(OR(E725="",E725="!!!",F725="NEW"),"",INDEX(J$1:J724,SUMPRODUCT(MAX(ROW(E$1:E724)*(E725=E$1:E724)))))</f>
        <v> </v>
      </c>
      <c r="L725" s="27"/>
    </row>
    <row r="726" spans="1:12">
      <c r="A726" s="20" t="s">
        <v>849</v>
      </c>
      <c r="B726" s="21" t="s">
        <v>728</v>
      </c>
      <c r="C726" s="21" t="s">
        <v>748</v>
      </c>
      <c r="E726" s="22">
        <f>IF(D726="?OLD","!!!","")</f>
        <v/>
      </c>
      <c r="F726" s="23" t="str">
        <f>IF(OR(E726="",E726="!!!"),"",IF(NOT(ISNA(VLOOKUP(E726,E$1:E725,1,FALSE()))),"OLD",IF(AND(E726&lt;&gt;"",E726&lt;&gt;"!!!"),"NEW","")))</f>
        <v> </v>
      </c>
      <c r="G726" s="24" t="str">
        <f>IF(OR(E726="",E726="!!!"),"",IF(OR(J726=0,AND(J726=1,K726=1),AND(J726=1,I726="SBJ"),AND(J726=1,I726=0)),"?IN_FOCUS",IF(J726&lt;=2,"?ACTIVATED",IF(J726&lt;&gt;"","?FAMILIAR",IF(F726="NEW",IF(ISNA(VLOOKUP(E726,#REF!,1,FALSE())),"?TYPE_IDENTIFIABLE","?REFERENTIAL"),"_")))))</f>
        <v> </v>
      </c>
      <c r="H726" s="25" t="str">
        <f>IF(J726&lt;&gt;1,"",IF(I726="SBJ","CB","?"))</f>
        <v> </v>
      </c>
      <c r="I726" s="26" t="str">
        <f>IF(OR(E726="",E726="!!!",F726="NEW"),"",INDEX(B725:B$2,-1+SUMPRODUCT(MAX(ROW(E725:E$2)*(E726=E725:E$2)))))</f>
        <v> </v>
      </c>
      <c r="J726" s="26" t="str">
        <f>IF(OR(E726="",E726="!!!",F726="NEW"),"",COUNTBLANK(OFFSET(A$1,,,SUMPRODUCT(MAX(ROW(E$2:E726)*(E726=E$2:E726)))))-COUNTBLANK(OFFSET(A$1,,,SUMPRODUCT(MAX(ROW(E$1:E725)*(E2=E$1:E725))))))</f>
        <v> </v>
      </c>
      <c r="K726" s="26" t="str">
        <f>IF(OR(E726="",E726="!!!",F726="NEW"),"",INDEX(J$1:J725,SUMPRODUCT(MAX(ROW(E$1:E725)*(E726=E$1:E725)))))</f>
        <v> </v>
      </c>
      <c r="L726" s="27"/>
    </row>
    <row r="727" spans="1:12">
      <c r="A727" s="20" t="s">
        <v>754</v>
      </c>
      <c r="B727" s="21" t="s">
        <v>755</v>
      </c>
      <c r="C727" s="21" t="s">
        <v>756</v>
      </c>
      <c r="E727" s="22">
        <f>IF(D727="?OLD","!!!","")</f>
        <v/>
      </c>
      <c r="F727" s="23" t="str">
        <f>IF(OR(E727="",E727="!!!"),"",IF(NOT(ISNA(VLOOKUP(E727,E$1:E726,1,FALSE()))),"OLD",IF(AND(E727&lt;&gt;"",E727&lt;&gt;"!!!"),"NEW","")))</f>
        <v> </v>
      </c>
      <c r="G727" s="24" t="str">
        <f>IF(OR(E727="",E727="!!!"),"",IF(OR(J727=0,AND(J727=1,K727=1),AND(J727=1,I727="SBJ"),AND(J727=1,I727=0)),"?IN_FOCUS",IF(J727&lt;=2,"?ACTIVATED",IF(J727&lt;&gt;"","?FAMILIAR",IF(F727="NEW",IF(ISNA(VLOOKUP(E727,#REF!,1,FALSE())),"?TYPE_IDENTIFIABLE","?REFERENTIAL"),"_")))))</f>
        <v> </v>
      </c>
      <c r="H727" s="25" t="str">
        <f>IF(J727&lt;&gt;1,"",IF(I727="SBJ","CB","?"))</f>
        <v> </v>
      </c>
      <c r="I727" s="26" t="str">
        <f>IF(OR(E727="",E727="!!!",F727="NEW"),"",INDEX(B726:B$2,-1+SUMPRODUCT(MAX(ROW(E726:E$2)*(E727=E726:E$2)))))</f>
        <v> </v>
      </c>
      <c r="J727" s="26" t="str">
        <f>IF(OR(E727="",E727="!!!",F727="NEW"),"",COUNTBLANK(OFFSET(A$1,,,SUMPRODUCT(MAX(ROW(E$2:E727)*(E727=E$2:E727)))))-COUNTBLANK(OFFSET(A$1,,,SUMPRODUCT(MAX(ROW(E$1:E726)*(E2=E$1:E726))))))</f>
        <v> </v>
      </c>
      <c r="K727" s="26" t="str">
        <f>IF(OR(E727="",E727="!!!",F727="NEW"),"",INDEX(J$1:J726,SUMPRODUCT(MAX(ROW(E$1:E726)*(E727=E$1:E726)))))</f>
        <v> </v>
      </c>
      <c r="L727" s="27"/>
    </row>
    <row r="728" spans="1:12">
      <c r="A728" s="20" t="s">
        <v>751</v>
      </c>
      <c r="E728" s="22">
        <f>IF(D728="?OLD","!!!","")</f>
        <v/>
      </c>
      <c r="F728" s="23" t="str">
        <f>IF(OR(E728="",E728="!!!"),"",IF(NOT(ISNA(VLOOKUP(E728,E$1:E727,1,FALSE()))),"OLD",IF(AND(E728&lt;&gt;"",E728&lt;&gt;"!!!"),"NEW","")))</f>
        <v> </v>
      </c>
      <c r="G728" s="24" t="str">
        <f>IF(OR(E728="",E728="!!!"),"",IF(OR(J728=0,AND(J728=1,K728=1),AND(J728=1,I728="SBJ"),AND(J728=1,I728=0)),"?IN_FOCUS",IF(J728&lt;=2,"?ACTIVATED",IF(J728&lt;&gt;"","?FAMILIAR",IF(F728="NEW",IF(ISNA(VLOOKUP(E728,#REF!,1,FALSE())),"?TYPE_IDENTIFIABLE","?REFERENTIAL"),"_")))))</f>
        <v> </v>
      </c>
      <c r="H728" s="25" t="str">
        <f>IF(J728&lt;&gt;1,"",IF(I728="SBJ","CB","?"))</f>
        <v> </v>
      </c>
      <c r="I728" s="26" t="str">
        <f>IF(OR(E728="",E728="!!!",F728="NEW"),"",INDEX(B727:B$2,-1+SUMPRODUCT(MAX(ROW(E727:E$2)*(E728=E727:E$2)))))</f>
        <v> </v>
      </c>
      <c r="J728" s="26" t="str">
        <f>IF(OR(E728="",E728="!!!",F728="NEW"),"",COUNTBLANK(OFFSET(A$1,,,SUMPRODUCT(MAX(ROW(E$2:E728)*(E728=E$2:E728)))))-COUNTBLANK(OFFSET(A$1,,,SUMPRODUCT(MAX(ROW(E$1:E727)*(E2=E$1:E727))))))</f>
        <v> </v>
      </c>
      <c r="K728" s="26" t="str">
        <f>IF(OR(E728="",E728="!!!",F728="NEW"),"",INDEX(J$1:J727,SUMPRODUCT(MAX(ROW(E$1:E727)*(E728=E$1:E727)))))</f>
        <v> </v>
      </c>
      <c r="L728" s="27"/>
    </row>
    <row r="729" spans="1:12">
      <c r="A729" s="20" t="s">
        <v>1018</v>
      </c>
      <c r="B729" s="21" t="s">
        <v>739</v>
      </c>
      <c r="C729" s="21" t="s">
        <v>740</v>
      </c>
      <c r="D729" s="21" t="s">
        <v>730</v>
      </c>
      <c r="E729" s="22">
        <f>IF(D729="?OLD","!!!","")</f>
        <v/>
      </c>
      <c r="F729" s="23" t="str">
        <f>IF(OR(E729="",E729="!!!"),"",IF(NOT(ISNA(VLOOKUP(E729,E$1:E728,1,FALSE()))),"OLD",IF(AND(E729&lt;&gt;"",E729&lt;&gt;"!!!"),"NEW","")))</f>
        <v> </v>
      </c>
      <c r="G729" s="24" t="str">
        <f>IF(OR(E729="",E729="!!!"),"",IF(OR(J729=0,AND(J729=1,K729=1),AND(J729=1,I729="SBJ"),AND(J729=1,I729=0)),"?IN_FOCUS",IF(J729&lt;=2,"?ACTIVATED",IF(J729&lt;&gt;"","?FAMILIAR",IF(F729="NEW",IF(ISNA(VLOOKUP(E729,#REF!,1,FALSE())),"?TYPE_IDENTIFIABLE","?REFERENTIAL"),"_")))))</f>
        <v> </v>
      </c>
      <c r="H729" s="25" t="str">
        <f>IF(J729&lt;&gt;1,"",IF(I729="SBJ","CB","?"))</f>
        <v> </v>
      </c>
      <c r="I729" s="26" t="str">
        <f>IF(OR(E729="",E729="!!!",F729="NEW"),"",INDEX(B728:B$2,-1+SUMPRODUCT(MAX(ROW(E728:E$2)*(E729=E728:E$2)))))</f>
        <v> </v>
      </c>
      <c r="J729" s="26" t="str">
        <f>IF(OR(E729="",E729="!!!",F729="NEW"),"",COUNTBLANK(OFFSET(A$1,,,SUMPRODUCT(MAX(ROW(E$2:E729)*(E729=E$2:E729)))))-COUNTBLANK(OFFSET(A$1,,,SUMPRODUCT(MAX(ROW(E$1:E728)*(E2=E$1:E728))))))</f>
        <v> </v>
      </c>
      <c r="K729" s="26" t="str">
        <f>IF(OR(E729="",E729="!!!",F729="NEW"),"",INDEX(J$1:J728,SUMPRODUCT(MAX(ROW(E$1:E728)*(E729=E$1:E728)))))</f>
        <v> </v>
      </c>
      <c r="L729" s="27"/>
    </row>
    <row r="730" spans="1:12">
      <c r="A730" s="20" t="s">
        <v>1111</v>
      </c>
      <c r="E730" s="22">
        <f>IF(D730="?OLD","!!!","")</f>
        <v/>
      </c>
      <c r="F730" s="23" t="str">
        <f>IF(OR(E730="",E730="!!!"),"",IF(NOT(ISNA(VLOOKUP(E730,E$1:E729,1,FALSE()))),"OLD",IF(AND(E730&lt;&gt;"",E730&lt;&gt;"!!!"),"NEW","")))</f>
        <v> </v>
      </c>
      <c r="G730" s="24" t="str">
        <f>IF(OR(E730="",E730="!!!"),"",IF(OR(J730=0,AND(J730=1,K730=1),AND(J730=1,I730="SBJ"),AND(J730=1,I730=0)),"?IN_FOCUS",IF(J730&lt;=2,"?ACTIVATED",IF(J730&lt;&gt;"","?FAMILIAR",IF(F730="NEW",IF(ISNA(VLOOKUP(E730,#REF!,1,FALSE())),"?TYPE_IDENTIFIABLE","?REFERENTIAL"),"_")))))</f>
        <v> </v>
      </c>
      <c r="H730" s="25" t="str">
        <f>IF(J730&lt;&gt;1,"",IF(I730="SBJ","CB","?"))</f>
        <v> </v>
      </c>
      <c r="I730" s="26" t="str">
        <f>IF(OR(E730="",E730="!!!",F730="NEW"),"",INDEX(B729:B$2,-1+SUMPRODUCT(MAX(ROW(E729:E$2)*(E730=E729:E$2)))))</f>
        <v> </v>
      </c>
      <c r="J730" s="26" t="str">
        <f>IF(OR(E730="",E730="!!!",F730="NEW"),"",COUNTBLANK(OFFSET(A$1,,,SUMPRODUCT(MAX(ROW(E$2:E730)*(E730=E$2:E730)))))-COUNTBLANK(OFFSET(A$1,,,SUMPRODUCT(MAX(ROW(E$1:E729)*(E2=E$1:E729))))))</f>
        <v> </v>
      </c>
      <c r="K730" s="26" t="str">
        <f>IF(OR(E730="",E730="!!!",F730="NEW"),"",INDEX(J$1:J729,SUMPRODUCT(MAX(ROW(E$1:E729)*(E730=E$1:E729)))))</f>
        <v> </v>
      </c>
      <c r="L730" s="27"/>
    </row>
    <row r="731" spans="1:12">
      <c r="A731" s="20" t="s">
        <v>972</v>
      </c>
      <c r="E731" s="22">
        <f>IF(D731="?OLD","!!!","")</f>
        <v/>
      </c>
      <c r="F731" s="23" t="str">
        <f>IF(OR(E731="",E731="!!!"),"",IF(NOT(ISNA(VLOOKUP(E731,E$1:E730,1,FALSE()))),"OLD",IF(AND(E731&lt;&gt;"",E731&lt;&gt;"!!!"),"NEW","")))</f>
        <v> </v>
      </c>
      <c r="G731" s="24" t="str">
        <f>IF(OR(E731="",E731="!!!"),"",IF(OR(J731=0,AND(J731=1,K731=1),AND(J731=1,I731="SBJ"),AND(J731=1,I731=0)),"?IN_FOCUS",IF(J731&lt;=2,"?ACTIVATED",IF(J731&lt;&gt;"","?FAMILIAR",IF(F731="NEW",IF(ISNA(VLOOKUP(E731,#REF!,1,FALSE())),"?TYPE_IDENTIFIABLE","?REFERENTIAL"),"_")))))</f>
        <v> </v>
      </c>
      <c r="H731" s="25" t="str">
        <f>IF(J731&lt;&gt;1,"",IF(I731="SBJ","CB","?"))</f>
        <v> </v>
      </c>
      <c r="I731" s="26" t="str">
        <f>IF(OR(E731="",E731="!!!",F731="NEW"),"",INDEX(B730:B$2,-1+SUMPRODUCT(MAX(ROW(E730:E$2)*(E731=E730:E$2)))))</f>
        <v> </v>
      </c>
      <c r="J731" s="26" t="str">
        <f>IF(OR(E731="",E731="!!!",F731="NEW"),"",COUNTBLANK(OFFSET(A$1,,,SUMPRODUCT(MAX(ROW(E$2:E731)*(E731=E$2:E731)))))-COUNTBLANK(OFFSET(A$1,,,SUMPRODUCT(MAX(ROW(E$1:E730)*(E2=E$1:E730))))))</f>
        <v> </v>
      </c>
      <c r="K731" s="26" t="str">
        <f>IF(OR(E731="",E731="!!!",F731="NEW"),"",INDEX(J$1:J730,SUMPRODUCT(MAX(ROW(E$1:E730)*(E731=E$1:E730)))))</f>
        <v> </v>
      </c>
      <c r="L731" s="27"/>
    </row>
    <row r="732" spans="1:12">
      <c r="A732" s="20" t="s">
        <v>759</v>
      </c>
      <c r="E732" s="22">
        <f>IF(D732="?OLD","!!!","")</f>
        <v/>
      </c>
      <c r="F732" s="23" t="str">
        <f>IF(OR(E732="",E732="!!!"),"",IF(NOT(ISNA(VLOOKUP(E732,E$1:E731,1,FALSE()))),"OLD",IF(AND(E732&lt;&gt;"",E732&lt;&gt;"!!!"),"NEW","")))</f>
        <v> </v>
      </c>
      <c r="G732" s="24" t="str">
        <f>IF(OR(E732="",E732="!!!"),"",IF(OR(J732=0,AND(J732=1,K732=1),AND(J732=1,I732="SBJ"),AND(J732=1,I732=0)),"?IN_FOCUS",IF(J732&lt;=2,"?ACTIVATED",IF(J732&lt;&gt;"","?FAMILIAR",IF(F732="NEW",IF(ISNA(VLOOKUP(E732,#REF!,1,FALSE())),"?TYPE_IDENTIFIABLE","?REFERENTIAL"),"_")))))</f>
        <v> </v>
      </c>
      <c r="H732" s="25" t="str">
        <f>IF(J732&lt;&gt;1,"",IF(I732="SBJ","CB","?"))</f>
        <v> </v>
      </c>
      <c r="I732" s="26" t="str">
        <f>IF(OR(E732="",E732="!!!",F732="NEW"),"",INDEX(B731:B$2,-1+SUMPRODUCT(MAX(ROW(E731:E$2)*(E732=E731:E$2)))))</f>
        <v> </v>
      </c>
      <c r="J732" s="26" t="str">
        <f>IF(OR(E732="",E732="!!!",F732="NEW"),"",COUNTBLANK(OFFSET(A$1,,,SUMPRODUCT(MAX(ROW(E$2:E732)*(E732=E$2:E732)))))-COUNTBLANK(OFFSET(A$1,,,SUMPRODUCT(MAX(ROW(E$1:E731)*(E2=E$1:E731))))))</f>
        <v> </v>
      </c>
      <c r="K732" s="26" t="str">
        <f>IF(OR(E732="",E732="!!!",F732="NEW"),"",INDEX(J$1:J731,SUMPRODUCT(MAX(ROW(E$1:E731)*(E732=E$1:E731)))))</f>
        <v> </v>
      </c>
      <c r="L732" s="27"/>
    </row>
    <row r="733" spans="1:12">
      <c r="A733" s="20" t="s">
        <v>732</v>
      </c>
      <c r="E733" s="22">
        <f>IF(D733="?OLD","!!!","")</f>
        <v/>
      </c>
      <c r="F733" s="23" t="str">
        <f>IF(OR(E733="",E733="!!!"),"",IF(NOT(ISNA(VLOOKUP(E733,E$1:E732,1,FALSE()))),"OLD",IF(AND(E733&lt;&gt;"",E733&lt;&gt;"!!!"),"NEW","")))</f>
        <v> </v>
      </c>
      <c r="G733" s="24" t="str">
        <f>IF(OR(E733="",E733="!!!"),"",IF(OR(J733=0,AND(J733=1,K733=1),AND(J733=1,I733="SBJ"),AND(J733=1,I733=0)),"?IN_FOCUS",IF(J733&lt;=2,"?ACTIVATED",IF(J733&lt;&gt;"","?FAMILIAR",IF(F733="NEW",IF(ISNA(VLOOKUP(E733,#REF!,1,FALSE())),"?TYPE_IDENTIFIABLE","?REFERENTIAL"),"_")))))</f>
        <v> </v>
      </c>
      <c r="H733" s="25" t="str">
        <f>IF(J733&lt;&gt;1,"",IF(I733="SBJ","CB","?"))</f>
        <v> </v>
      </c>
      <c r="I733" s="26" t="str">
        <f>IF(OR(E733="",E733="!!!",F733="NEW"),"",INDEX(B732:B$2,-1+SUMPRODUCT(MAX(ROW(E732:E$2)*(E733=E732:E$2)))))</f>
        <v> </v>
      </c>
      <c r="J733" s="26" t="str">
        <f>IF(OR(E733="",E733="!!!",F733="NEW"),"",COUNTBLANK(OFFSET(A$1,,,SUMPRODUCT(MAX(ROW(E$2:E733)*(E733=E$2:E733)))))-COUNTBLANK(OFFSET(A$1,,,SUMPRODUCT(MAX(ROW(E$1:E732)*(E2=E$1:E732))))))</f>
        <v> </v>
      </c>
      <c r="K733" s="26" t="str">
        <f>IF(OR(E733="",E733="!!!",F733="NEW"),"",INDEX(J$1:J732,SUMPRODUCT(MAX(ROW(E$1:E732)*(E733=E$1:E732)))))</f>
        <v> </v>
      </c>
      <c r="L733" s="27"/>
    </row>
    <row r="734" spans="1:12">
      <c r="A734" s="20" t="s">
        <v>1112</v>
      </c>
      <c r="E734" s="22">
        <f>IF(D734="?OLD","!!!","")</f>
        <v/>
      </c>
      <c r="F734" s="23" t="str">
        <f>IF(OR(E734="",E734="!!!"),"",IF(NOT(ISNA(VLOOKUP(E734,E$1:E733,1,FALSE()))),"OLD",IF(AND(E734&lt;&gt;"",E734&lt;&gt;"!!!"),"NEW","")))</f>
        <v> </v>
      </c>
      <c r="G734" s="24" t="str">
        <f>IF(OR(E734="",E734="!!!"),"",IF(OR(J734=0,AND(J734=1,K734=1),AND(J734=1,I734="SBJ"),AND(J734=1,I734=0)),"?IN_FOCUS",IF(J734&lt;=2,"?ACTIVATED",IF(J734&lt;&gt;"","?FAMILIAR",IF(F734="NEW",IF(ISNA(VLOOKUP(E734,#REF!,1,FALSE())),"?TYPE_IDENTIFIABLE","?REFERENTIAL"),"_")))))</f>
        <v> </v>
      </c>
      <c r="H734" s="25" t="str">
        <f>IF(J734&lt;&gt;1,"",IF(I734="SBJ","CB","?"))</f>
        <v> </v>
      </c>
      <c r="I734" s="26" t="str">
        <f>IF(OR(E734="",E734="!!!",F734="NEW"),"",INDEX(B733:B$2,-1+SUMPRODUCT(MAX(ROW(E733:E$2)*(E734=E733:E$2)))))</f>
        <v> </v>
      </c>
      <c r="J734" s="26" t="str">
        <f>IF(OR(E734="",E734="!!!",F734="NEW"),"",COUNTBLANK(OFFSET(A$1,,,SUMPRODUCT(MAX(ROW(E$2:E734)*(E734=E$2:E734)))))-COUNTBLANK(OFFSET(A$1,,,SUMPRODUCT(MAX(ROW(E$1:E733)*(E2=E$1:E733))))))</f>
        <v> </v>
      </c>
      <c r="K734" s="26" t="str">
        <f>IF(OR(E734="",E734="!!!",F734="NEW"),"",INDEX(J$1:J733,SUMPRODUCT(MAX(ROW(E$1:E733)*(E734=E$1:E733)))))</f>
        <v> </v>
      </c>
      <c r="L734" s="27"/>
    </row>
    <row r="735" spans="1:12">
      <c r="A735" s="20" t="s">
        <v>1113</v>
      </c>
      <c r="B735" s="21" t="s">
        <v>739</v>
      </c>
      <c r="C735" s="21" t="s">
        <v>748</v>
      </c>
      <c r="E735" s="22">
        <f>IF(D735="?OLD","!!!","")</f>
        <v/>
      </c>
      <c r="F735" s="23" t="str">
        <f>IF(OR(E735="",E735="!!!"),"",IF(NOT(ISNA(VLOOKUP(E735,E$1:E734,1,FALSE()))),"OLD",IF(AND(E735&lt;&gt;"",E735&lt;&gt;"!!!"),"NEW","")))</f>
        <v> </v>
      </c>
      <c r="G735" s="24" t="str">
        <f>IF(OR(E735="",E735="!!!"),"",IF(OR(J735=0,AND(J735=1,K735=1),AND(J735=1,I735="SBJ"),AND(J735=1,I735=0)),"?IN_FOCUS",IF(J735&lt;=2,"?ACTIVATED",IF(J735&lt;&gt;"","?FAMILIAR",IF(F735="NEW",IF(ISNA(VLOOKUP(E735,#REF!,1,FALSE())),"?TYPE_IDENTIFIABLE","?REFERENTIAL"),"_")))))</f>
        <v> </v>
      </c>
      <c r="H735" s="25" t="str">
        <f>IF(J735&lt;&gt;1,"",IF(I735="SBJ","CB","?"))</f>
        <v> </v>
      </c>
      <c r="I735" s="26" t="str">
        <f>IF(OR(E735="",E735="!!!",F735="NEW"),"",INDEX(B734:B$2,-1+SUMPRODUCT(MAX(ROW(E734:E$2)*(E735=E734:E$2)))))</f>
        <v> </v>
      </c>
      <c r="J735" s="26" t="str">
        <f>IF(OR(E735="",E735="!!!",F735="NEW"),"",COUNTBLANK(OFFSET(A$1,,,SUMPRODUCT(MAX(ROW(E$2:E735)*(E735=E$2:E735)))))-COUNTBLANK(OFFSET(A$1,,,SUMPRODUCT(MAX(ROW(E$1:E734)*(E2=E$1:E734))))))</f>
        <v> </v>
      </c>
      <c r="K735" s="26" t="str">
        <f>IF(OR(E735="",E735="!!!",F735="NEW"),"",INDEX(J$1:J734,SUMPRODUCT(MAX(ROW(E$1:E734)*(E735=E$1:E734)))))</f>
        <v> </v>
      </c>
      <c r="L735" s="27"/>
    </row>
    <row r="736" spans="1:12">
      <c r="A736" s="20" t="s">
        <v>952</v>
      </c>
      <c r="E736" s="22">
        <f>IF(D736="?OLD","!!!","")</f>
        <v/>
      </c>
      <c r="F736" s="23" t="str">
        <f>IF(OR(E736="",E736="!!!"),"",IF(NOT(ISNA(VLOOKUP(E736,E$1:E735,1,FALSE()))),"OLD",IF(AND(E736&lt;&gt;"",E736&lt;&gt;"!!!"),"NEW","")))</f>
        <v> </v>
      </c>
      <c r="G736" s="24" t="str">
        <f>IF(OR(E736="",E736="!!!"),"",IF(OR(J736=0,AND(J736=1,K736=1),AND(J736=1,I736="SBJ"),AND(J736=1,I736=0)),"?IN_FOCUS",IF(J736&lt;=2,"?ACTIVATED",IF(J736&lt;&gt;"","?FAMILIAR",IF(F736="NEW",IF(ISNA(VLOOKUP(E736,#REF!,1,FALSE())),"?TYPE_IDENTIFIABLE","?REFERENTIAL"),"_")))))</f>
        <v> </v>
      </c>
      <c r="H736" s="25" t="str">
        <f>IF(J736&lt;&gt;1,"",IF(I736="SBJ","CB","?"))</f>
        <v> </v>
      </c>
      <c r="I736" s="26" t="str">
        <f>IF(OR(E736="",E736="!!!",F736="NEW"),"",INDEX(B735:B$2,-1+SUMPRODUCT(MAX(ROW(E735:E$2)*(E736=E735:E$2)))))</f>
        <v> </v>
      </c>
      <c r="J736" s="26" t="str">
        <f>IF(OR(E736="",E736="!!!",F736="NEW"),"",COUNTBLANK(OFFSET(A$1,,,SUMPRODUCT(MAX(ROW(E$2:E736)*(E736=E$2:E736)))))-COUNTBLANK(OFFSET(A$1,,,SUMPRODUCT(MAX(ROW(E$1:E735)*(E2=E$1:E735))))))</f>
        <v> </v>
      </c>
      <c r="K736" s="26" t="str">
        <f>IF(OR(E736="",E736="!!!",F736="NEW"),"",INDEX(J$1:J735,SUMPRODUCT(MAX(ROW(E$1:E735)*(E736=E$1:E735)))))</f>
        <v> </v>
      </c>
      <c r="L736" s="27"/>
    </row>
    <row r="737" spans="1:12">
      <c r="A737" s="20" t="s">
        <v>1114</v>
      </c>
      <c r="E737" s="22">
        <f>IF(D737="?OLD","!!!","")</f>
        <v/>
      </c>
      <c r="F737" s="23" t="str">
        <f>IF(OR(E737="",E737="!!!"),"",IF(NOT(ISNA(VLOOKUP(E737,E$1:E736,1,FALSE()))),"OLD",IF(AND(E737&lt;&gt;"",E737&lt;&gt;"!!!"),"NEW","")))</f>
        <v> </v>
      </c>
      <c r="G737" s="24" t="str">
        <f>IF(OR(E737="",E737="!!!"),"",IF(OR(J737=0,AND(J737=1,K737=1),AND(J737=1,I737="SBJ"),AND(J737=1,I737=0)),"?IN_FOCUS",IF(J737&lt;=2,"?ACTIVATED",IF(J737&lt;&gt;"","?FAMILIAR",IF(F737="NEW",IF(ISNA(VLOOKUP(E737,#REF!,1,FALSE())),"?TYPE_IDENTIFIABLE","?REFERENTIAL"),"_")))))</f>
        <v> </v>
      </c>
      <c r="H737" s="25" t="str">
        <f>IF(J737&lt;&gt;1,"",IF(I737="SBJ","CB","?"))</f>
        <v> </v>
      </c>
      <c r="I737" s="26" t="str">
        <f>IF(OR(E737="",E737="!!!",F737="NEW"),"",INDEX(B736:B$2,-1+SUMPRODUCT(MAX(ROW(E736:E$2)*(E737=E736:E$2)))))</f>
        <v> </v>
      </c>
      <c r="J737" s="26" t="str">
        <f>IF(OR(E737="",E737="!!!",F737="NEW"),"",COUNTBLANK(OFFSET(A$1,,,SUMPRODUCT(MAX(ROW(E$2:E737)*(E737=E$2:E737)))))-COUNTBLANK(OFFSET(A$1,,,SUMPRODUCT(MAX(ROW(E$1:E736)*(E2=E$1:E736))))))</f>
        <v> </v>
      </c>
      <c r="K737" s="26" t="str">
        <f>IF(OR(E737="",E737="!!!",F737="NEW"),"",INDEX(J$1:J736,SUMPRODUCT(MAX(ROW(E$1:E736)*(E737=E$1:E736)))))</f>
        <v> </v>
      </c>
      <c r="L737" s="27"/>
    </row>
    <row r="738" spans="1:12">
      <c r="A738" s="20" t="s">
        <v>785</v>
      </c>
      <c r="E738" s="22">
        <f>IF(D738="?OLD","!!!","")</f>
        <v/>
      </c>
      <c r="F738" s="23" t="str">
        <f>IF(OR(E738="",E738="!!!"),"",IF(NOT(ISNA(VLOOKUP(E738,E$1:E737,1,FALSE()))),"OLD",IF(AND(E738&lt;&gt;"",E738&lt;&gt;"!!!"),"NEW","")))</f>
        <v> </v>
      </c>
      <c r="G738" s="24" t="str">
        <f>IF(OR(E738="",E738="!!!"),"",IF(OR(J738=0,AND(J738=1,K738=1),AND(J738=1,I738="SBJ"),AND(J738=1,I738=0)),"?IN_FOCUS",IF(J738&lt;=2,"?ACTIVATED",IF(J738&lt;&gt;"","?FAMILIAR",IF(F738="NEW",IF(ISNA(VLOOKUP(E738,#REF!,1,FALSE())),"?TYPE_IDENTIFIABLE","?REFERENTIAL"),"_")))))</f>
        <v> </v>
      </c>
      <c r="H738" s="25" t="str">
        <f>IF(J738&lt;&gt;1,"",IF(I738="SBJ","CB","?"))</f>
        <v> </v>
      </c>
      <c r="I738" s="26" t="str">
        <f>IF(OR(E738="",E738="!!!",F738="NEW"),"",INDEX(B737:B$2,-1+SUMPRODUCT(MAX(ROW(E737:E$2)*(E738=E737:E$2)))))</f>
        <v> </v>
      </c>
      <c r="J738" s="26" t="str">
        <f>IF(OR(E738="",E738="!!!",F738="NEW"),"",COUNTBLANK(OFFSET(A$1,,,SUMPRODUCT(MAX(ROW(E$2:E738)*(E738=E$2:E738)))))-COUNTBLANK(OFFSET(A$1,,,SUMPRODUCT(MAX(ROW(E$1:E737)*(E2=E$1:E737))))))</f>
        <v> </v>
      </c>
      <c r="K738" s="26" t="str">
        <f>IF(OR(E738="",E738="!!!",F738="NEW"),"",INDEX(J$1:J737,SUMPRODUCT(MAX(ROW(E$1:E737)*(E738=E$1:E737)))))</f>
        <v> </v>
      </c>
      <c r="L738" s="27"/>
    </row>
    <row r="739" spans="1:12">
      <c r="A739" s="20" t="s">
        <v>1115</v>
      </c>
      <c r="E739" s="22">
        <f>IF(D739="?OLD","!!!","")</f>
        <v/>
      </c>
      <c r="F739" s="23" t="str">
        <f>IF(OR(E739="",E739="!!!"),"",IF(NOT(ISNA(VLOOKUP(E739,E$1:E738,1,FALSE()))),"OLD",IF(AND(E739&lt;&gt;"",E739&lt;&gt;"!!!"),"NEW","")))</f>
        <v> </v>
      </c>
      <c r="G739" s="24" t="str">
        <f>IF(OR(E739="",E739="!!!"),"",IF(OR(J739=0,AND(J739=1,K739=1),AND(J739=1,I739="SBJ"),AND(J739=1,I739=0)),"?IN_FOCUS",IF(J739&lt;=2,"?ACTIVATED",IF(J739&lt;&gt;"","?FAMILIAR",IF(F739="NEW",IF(ISNA(VLOOKUP(E739,#REF!,1,FALSE())),"?TYPE_IDENTIFIABLE","?REFERENTIAL"),"_")))))</f>
        <v> </v>
      </c>
      <c r="H739" s="25" t="str">
        <f>IF(J739&lt;&gt;1,"",IF(I739="SBJ","CB","?"))</f>
        <v> </v>
      </c>
      <c r="I739" s="26" t="str">
        <f>IF(OR(E739="",E739="!!!",F739="NEW"),"",INDEX(B738:B$2,-1+SUMPRODUCT(MAX(ROW(E738:E$2)*(E739=E738:E$2)))))</f>
        <v> </v>
      </c>
      <c r="J739" s="26" t="str">
        <f>IF(OR(E739="",E739="!!!",F739="NEW"),"",COUNTBLANK(OFFSET(A$1,,,SUMPRODUCT(MAX(ROW(E$2:E739)*(E739=E$2:E739)))))-COUNTBLANK(OFFSET(A$1,,,SUMPRODUCT(MAX(ROW(E$1:E738)*(E2=E$1:E738))))))</f>
        <v> </v>
      </c>
      <c r="K739" s="26" t="str">
        <f>IF(OR(E739="",E739="!!!",F739="NEW"),"",INDEX(J$1:J738,SUMPRODUCT(MAX(ROW(E$1:E738)*(E739=E$1:E738)))))</f>
        <v> </v>
      </c>
      <c r="L739" s="27"/>
    </row>
    <row r="740" spans="1:12">
      <c r="A740" s="20" t="s">
        <v>246</v>
      </c>
      <c r="E740" s="22">
        <f>IF(D740="?OLD","!!!","")</f>
        <v/>
      </c>
      <c r="F740" s="23" t="str">
        <f>IF(OR(E740="",E740="!!!"),"",IF(NOT(ISNA(VLOOKUP(E740,E$1:E739,1,FALSE()))),"OLD",IF(AND(E740&lt;&gt;"",E740&lt;&gt;"!!!"),"NEW","")))</f>
        <v> </v>
      </c>
      <c r="G740" s="24" t="str">
        <f>IF(OR(E740="",E740="!!!"),"",IF(OR(J740=0,AND(J740=1,K740=1),AND(J740=1,I740="SBJ"),AND(J740=1,I740=0)),"?IN_FOCUS",IF(J740&lt;=2,"?ACTIVATED",IF(J740&lt;&gt;"","?FAMILIAR",IF(F740="NEW",IF(ISNA(VLOOKUP(E740,#REF!,1,FALSE())),"?TYPE_IDENTIFIABLE","?REFERENTIAL"),"_")))))</f>
        <v> </v>
      </c>
      <c r="H740" s="25" t="str">
        <f>IF(J740&lt;&gt;1,"",IF(I740="SBJ","CB","?"))</f>
        <v> </v>
      </c>
      <c r="I740" s="26" t="str">
        <f>IF(OR(E740="",E740="!!!",F740="NEW"),"",INDEX(B739:B$2,-1+SUMPRODUCT(MAX(ROW(E739:E$2)*(E740=E739:E$2)))))</f>
        <v> </v>
      </c>
      <c r="J740" s="26" t="str">
        <f>IF(OR(E740="",E740="!!!",F740="NEW"),"",COUNTBLANK(OFFSET(A$1,,,SUMPRODUCT(MAX(ROW(E$2:E740)*(E740=E$2:E740)))))-COUNTBLANK(OFFSET(A$1,,,SUMPRODUCT(MAX(ROW(E$1:E739)*(E2=E$1:E739))))))</f>
        <v> </v>
      </c>
      <c r="K740" s="26" t="str">
        <f>IF(OR(E740="",E740="!!!",F740="NEW"),"",INDEX(J$1:J739,SUMPRODUCT(MAX(ROW(E$1:E739)*(E740=E$1:E739)))))</f>
        <v> </v>
      </c>
      <c r="L740" s="27"/>
    </row>
    <row r="741" spans="1:12">
      <c r="A741" s="20"/>
    </row>
    <row r="742" spans="1:12">
      <c r="A742" s="20" t="s">
        <v>1116</v>
      </c>
    </row>
    <row r="743" spans="1:12">
      <c r="A743" s="20" t="s">
        <v>1117</v>
      </c>
      <c r="E743" s="22">
        <f>IF(D743="?OLD","!!!","")</f>
        <v/>
      </c>
      <c r="F743" s="23" t="str">
        <f>IF(OR(E743="",E743="!!!"),"",IF(NOT(ISNA(VLOOKUP(E743,E$1:E742,1,FALSE()))),"OLD",IF(AND(E743&lt;&gt;"",E743&lt;&gt;"!!!"),"NEW","")))</f>
        <v> </v>
      </c>
      <c r="G743" s="24" t="str">
        <f>IF(OR(E743="",E743="!!!"),"",IF(OR(J743=0,AND(J743=1,K743=1),AND(J743=1,I743="SBJ"),AND(J743=1,I743=0)),"?IN_FOCUS",IF(J743&lt;=2,"?ACTIVATED",IF(J743&lt;&gt;"","?FAMILIAR",IF(F743="NEW",IF(ISNA(VLOOKUP(E743,#REF!,1,FALSE())),"?TYPE_IDENTIFIABLE","?REFERENTIAL"),"_")))))</f>
        <v> </v>
      </c>
      <c r="H743" s="25" t="str">
        <f>IF(J743&lt;&gt;1,"",IF(I743="SBJ","CB","?"))</f>
        <v> </v>
      </c>
      <c r="I743" s="26" t="str">
        <f>IF(OR(E743="",E743="!!!",F743="NEW"),"",INDEX(B742:B$2,-1+SUMPRODUCT(MAX(ROW(E742:E$2)*(E743=E742:E$2)))))</f>
        <v> </v>
      </c>
      <c r="J743" s="26" t="str">
        <f>IF(OR(E743="",E743="!!!",F743="NEW"),"",COUNTBLANK(OFFSET(A$1,,,SUMPRODUCT(MAX(ROW(E$2:E743)*(E743=E$2:E743)))))-COUNTBLANK(OFFSET(A$1,,,SUMPRODUCT(MAX(ROW(E$1:E742)*(E2=E$1:E742))))))</f>
        <v> </v>
      </c>
      <c r="K743" s="26" t="str">
        <f>IF(OR(E743="",E743="!!!",F743="NEW"),"",INDEX(J$1:J742,SUMPRODUCT(MAX(ROW(E$1:E742)*(E743=E$1:E742)))))</f>
        <v> </v>
      </c>
      <c r="L743" s="27"/>
    </row>
    <row r="744" spans="1:12">
      <c r="A744" s="20" t="s">
        <v>750</v>
      </c>
      <c r="B744" s="21" t="s">
        <v>796</v>
      </c>
      <c r="C744" s="21" t="s">
        <v>729</v>
      </c>
      <c r="D744" s="21" t="s">
        <v>730</v>
      </c>
      <c r="E744" s="22">
        <f>IF(D744="?OLD","!!!","")</f>
        <v/>
      </c>
      <c r="F744" s="23" t="str">
        <f>IF(OR(E744="",E744="!!!"),"",IF(NOT(ISNA(VLOOKUP(E744,E$1:E743,1,FALSE()))),"OLD",IF(AND(E744&lt;&gt;"",E744&lt;&gt;"!!!"),"NEW","")))</f>
        <v> </v>
      </c>
      <c r="G744" s="24" t="str">
        <f>IF(OR(E744="",E744="!!!"),"",IF(OR(J744=0,AND(J744=1,K744=1),AND(J744=1,I744="SBJ"),AND(J744=1,I744=0)),"?IN_FOCUS",IF(J744&lt;=2,"?ACTIVATED",IF(J744&lt;&gt;"","?FAMILIAR",IF(F744="NEW",IF(ISNA(VLOOKUP(E744,#REF!,1,FALSE())),"?TYPE_IDENTIFIABLE","?REFERENTIAL"),"_")))))</f>
        <v> </v>
      </c>
      <c r="H744" s="25" t="str">
        <f>IF(J744&lt;&gt;1,"",IF(I744="SBJ","CB","?"))</f>
        <v> </v>
      </c>
      <c r="I744" s="26" t="str">
        <f>IF(OR(E744="",E744="!!!",F744="NEW"),"",INDEX(B743:B$2,-1+SUMPRODUCT(MAX(ROW(E743:E$2)*(E744=E743:E$2)))))</f>
        <v> </v>
      </c>
      <c r="J744" s="26" t="str">
        <f>IF(OR(E744="",E744="!!!",F744="NEW"),"",COUNTBLANK(OFFSET(A$1,,,SUMPRODUCT(MAX(ROW(E$2:E744)*(E744=E$2:E744)))))-COUNTBLANK(OFFSET(A$1,,,SUMPRODUCT(MAX(ROW(E$1:E743)*(E2=E$1:E743))))))</f>
        <v> </v>
      </c>
      <c r="K744" s="26" t="str">
        <f>IF(OR(E744="",E744="!!!",F744="NEW"),"",INDEX(J$1:J743,SUMPRODUCT(MAX(ROW(E$1:E743)*(E744=E$1:E743)))))</f>
        <v> </v>
      </c>
      <c r="L744" s="27"/>
    </row>
    <row r="745" spans="1:12">
      <c r="A745" s="20" t="s">
        <v>792</v>
      </c>
      <c r="B745" s="21" t="s">
        <v>791</v>
      </c>
      <c r="C745" s="21" t="s">
        <v>729</v>
      </c>
      <c r="D745" s="21" t="s">
        <v>730</v>
      </c>
      <c r="E745" s="22">
        <f>IF(D745="?OLD","!!!","")</f>
        <v/>
      </c>
      <c r="F745" s="23" t="str">
        <f>IF(OR(E745="",E745="!!!"),"",IF(NOT(ISNA(VLOOKUP(E745,E$1:E744,1,FALSE()))),"OLD",IF(AND(E745&lt;&gt;"",E745&lt;&gt;"!!!"),"NEW","")))</f>
        <v> </v>
      </c>
      <c r="G745" s="24" t="str">
        <f>IF(OR(E745="",E745="!!!"),"",IF(OR(J745=0,AND(J745=1,K745=1),AND(J745=1,I745="SBJ"),AND(J745=1,I745=0)),"?IN_FOCUS",IF(J745&lt;=2,"?ACTIVATED",IF(J745&lt;&gt;"","?FAMILIAR",IF(F745="NEW",IF(ISNA(VLOOKUP(E745,#REF!,1,FALSE())),"?TYPE_IDENTIFIABLE","?REFERENTIAL"),"_")))))</f>
        <v> </v>
      </c>
      <c r="H745" s="25" t="str">
        <f>IF(J745&lt;&gt;1,"",IF(I745="SBJ","CB","?"))</f>
        <v> </v>
      </c>
      <c r="I745" s="26" t="str">
        <f>IF(OR(E745="",E745="!!!",F745="NEW"),"",INDEX(B744:B$2,-1+SUMPRODUCT(MAX(ROW(E744:E$2)*(E745=E744:E$2)))))</f>
        <v> </v>
      </c>
      <c r="J745" s="26" t="str">
        <f>IF(OR(E745="",E745="!!!",F745="NEW"),"",COUNTBLANK(OFFSET(A$1,,,SUMPRODUCT(MAX(ROW(E$2:E745)*(E745=E$2:E745)))))-COUNTBLANK(OFFSET(A$1,,,SUMPRODUCT(MAX(ROW(E$1:E744)*(E2=E$1:E744))))))</f>
        <v> </v>
      </c>
      <c r="K745" s="26" t="str">
        <f>IF(OR(E745="",E745="!!!",F745="NEW"),"",INDEX(J$1:J744,SUMPRODUCT(MAX(ROW(E$1:E744)*(E745=E$1:E744)))))</f>
        <v> </v>
      </c>
      <c r="L745" s="27"/>
    </row>
    <row r="746" spans="1:12">
      <c r="A746" s="20" t="s">
        <v>885</v>
      </c>
      <c r="E746" s="22">
        <f>IF(D746="?OLD","!!!","")</f>
        <v/>
      </c>
      <c r="F746" s="23" t="str">
        <f>IF(OR(E746="",E746="!!!"),"",IF(NOT(ISNA(VLOOKUP(E746,E$1:E745,1,FALSE()))),"OLD",IF(AND(E746&lt;&gt;"",E746&lt;&gt;"!!!"),"NEW","")))</f>
        <v> </v>
      </c>
      <c r="G746" s="24" t="str">
        <f>IF(OR(E746="",E746="!!!"),"",IF(OR(J746=0,AND(J746=1,K746=1),AND(J746=1,I746="SBJ"),AND(J746=1,I746=0)),"?IN_FOCUS",IF(J746&lt;=2,"?ACTIVATED",IF(J746&lt;&gt;"","?FAMILIAR",IF(F746="NEW",IF(ISNA(VLOOKUP(E746,#REF!,1,FALSE())),"?TYPE_IDENTIFIABLE","?REFERENTIAL"),"_")))))</f>
        <v> </v>
      </c>
      <c r="H746" s="25" t="str">
        <f>IF(J746&lt;&gt;1,"",IF(I746="SBJ","CB","?"))</f>
        <v> </v>
      </c>
      <c r="I746" s="26" t="str">
        <f>IF(OR(E746="",E746="!!!",F746="NEW"),"",INDEX(B745:B$2,-1+SUMPRODUCT(MAX(ROW(E745:E$2)*(E746=E745:E$2)))))</f>
        <v> </v>
      </c>
      <c r="J746" s="26" t="str">
        <f>IF(OR(E746="",E746="!!!",F746="NEW"),"",COUNTBLANK(OFFSET(A$1,,,SUMPRODUCT(MAX(ROW(E$2:E746)*(E746=E$2:E746)))))-COUNTBLANK(OFFSET(A$1,,,SUMPRODUCT(MAX(ROW(E$1:E745)*(E2=E$1:E745))))))</f>
        <v> </v>
      </c>
      <c r="K746" s="26" t="str">
        <f>IF(OR(E746="",E746="!!!",F746="NEW"),"",INDEX(J$1:J745,SUMPRODUCT(MAX(ROW(E$1:E745)*(E746=E$1:E745)))))</f>
        <v> </v>
      </c>
      <c r="L746" s="27"/>
    </row>
    <row r="747" spans="1:12">
      <c r="A747" s="20" t="s">
        <v>920</v>
      </c>
      <c r="E747" s="22">
        <f>IF(D747="?OLD","!!!","")</f>
        <v/>
      </c>
      <c r="F747" s="23" t="str">
        <f>IF(OR(E747="",E747="!!!"),"",IF(NOT(ISNA(VLOOKUP(E747,E$1:E746,1,FALSE()))),"OLD",IF(AND(E747&lt;&gt;"",E747&lt;&gt;"!!!"),"NEW","")))</f>
        <v> </v>
      </c>
      <c r="G747" s="24" t="str">
        <f>IF(OR(E747="",E747="!!!"),"",IF(OR(J747=0,AND(J747=1,K747=1),AND(J747=1,I747="SBJ"),AND(J747=1,I747=0)),"?IN_FOCUS",IF(J747&lt;=2,"?ACTIVATED",IF(J747&lt;&gt;"","?FAMILIAR",IF(F747="NEW",IF(ISNA(VLOOKUP(E747,#REF!,1,FALSE())),"?TYPE_IDENTIFIABLE","?REFERENTIAL"),"_")))))</f>
        <v> </v>
      </c>
      <c r="H747" s="25" t="str">
        <f>IF(J747&lt;&gt;1,"",IF(I747="SBJ","CB","?"))</f>
        <v> </v>
      </c>
      <c r="I747" s="26" t="str">
        <f>IF(OR(E747="",E747="!!!",F747="NEW"),"",INDEX(B746:B$2,-1+SUMPRODUCT(MAX(ROW(E746:E$2)*(E747=E746:E$2)))))</f>
        <v> </v>
      </c>
      <c r="J747" s="26" t="str">
        <f>IF(OR(E747="",E747="!!!",F747="NEW"),"",COUNTBLANK(OFFSET(A$1,,,SUMPRODUCT(MAX(ROW(E$2:E747)*(E747=E$2:E747)))))-COUNTBLANK(OFFSET(A$1,,,SUMPRODUCT(MAX(ROW(E$1:E746)*(E2=E$1:E746))))))</f>
        <v> </v>
      </c>
      <c r="K747" s="26" t="str">
        <f>IF(OR(E747="",E747="!!!",F747="NEW"),"",INDEX(J$1:J746,SUMPRODUCT(MAX(ROW(E$1:E746)*(E747=E$1:E746)))))</f>
        <v> </v>
      </c>
      <c r="L747" s="27"/>
    </row>
    <row r="748" spans="1:12">
      <c r="A748" s="20" t="s">
        <v>1118</v>
      </c>
      <c r="B748" s="21" t="s">
        <v>739</v>
      </c>
      <c r="C748" s="21" t="s">
        <v>748</v>
      </c>
      <c r="E748" s="22">
        <f>IF(D748="?OLD","!!!","")</f>
        <v/>
      </c>
      <c r="F748" s="23" t="str">
        <f>IF(OR(E748="",E748="!!!"),"",IF(NOT(ISNA(VLOOKUP(E748,E$1:E747,1,FALSE()))),"OLD",IF(AND(E748&lt;&gt;"",E748&lt;&gt;"!!!"),"NEW","")))</f>
        <v> </v>
      </c>
      <c r="G748" s="24" t="str">
        <f>IF(OR(E748="",E748="!!!"),"",IF(OR(J748=0,AND(J748=1,K748=1),AND(J748=1,I748="SBJ"),AND(J748=1,I748=0)),"?IN_FOCUS",IF(J748&lt;=2,"?ACTIVATED",IF(J748&lt;&gt;"","?FAMILIAR",IF(F748="NEW",IF(ISNA(VLOOKUP(E748,#REF!,1,FALSE())),"?TYPE_IDENTIFIABLE","?REFERENTIAL"),"_")))))</f>
        <v> </v>
      </c>
      <c r="H748" s="25" t="str">
        <f>IF(J748&lt;&gt;1,"",IF(I748="SBJ","CB","?"))</f>
        <v> </v>
      </c>
      <c r="I748" s="26" t="str">
        <f>IF(OR(E748="",E748="!!!",F748="NEW"),"",INDEX(B747:B$2,-1+SUMPRODUCT(MAX(ROW(E747:E$2)*(E748=E747:E$2)))))</f>
        <v> </v>
      </c>
      <c r="J748" s="26" t="str">
        <f>IF(OR(E748="",E748="!!!",F748="NEW"),"",COUNTBLANK(OFFSET(A$1,,,SUMPRODUCT(MAX(ROW(E$2:E748)*(E748=E$2:E748)))))-COUNTBLANK(OFFSET(A$1,,,SUMPRODUCT(MAX(ROW(E$1:E747)*(E2=E$1:E747))))))</f>
        <v> </v>
      </c>
      <c r="K748" s="26" t="str">
        <f>IF(OR(E748="",E748="!!!",F748="NEW"),"",INDEX(J$1:J747,SUMPRODUCT(MAX(ROW(E$1:E747)*(E748=E$1:E747)))))</f>
        <v> </v>
      </c>
      <c r="L748" s="27"/>
    </row>
    <row r="749" spans="1:12">
      <c r="A749" s="20" t="s">
        <v>1054</v>
      </c>
      <c r="E749" s="22">
        <f>IF(D749="?OLD","!!!","")</f>
        <v/>
      </c>
      <c r="F749" s="23" t="str">
        <f>IF(OR(E749="",E749="!!!"),"",IF(NOT(ISNA(VLOOKUP(E749,E$1:E748,1,FALSE()))),"OLD",IF(AND(E749&lt;&gt;"",E749&lt;&gt;"!!!"),"NEW","")))</f>
        <v> </v>
      </c>
      <c r="G749" s="24" t="str">
        <f>IF(OR(E749="",E749="!!!"),"",IF(OR(J749=0,AND(J749=1,K749=1),AND(J749=1,I749="SBJ"),AND(J749=1,I749=0)),"?IN_FOCUS",IF(J749&lt;=2,"?ACTIVATED",IF(J749&lt;&gt;"","?FAMILIAR",IF(F749="NEW",IF(ISNA(VLOOKUP(E749,#REF!,1,FALSE())),"?TYPE_IDENTIFIABLE","?REFERENTIAL"),"_")))))</f>
        <v> </v>
      </c>
      <c r="H749" s="25" t="str">
        <f>IF(J749&lt;&gt;1,"",IF(I749="SBJ","CB","?"))</f>
        <v> </v>
      </c>
      <c r="I749" s="26" t="str">
        <f>IF(OR(E749="",E749="!!!",F749="NEW"),"",INDEX(B748:B$2,-1+SUMPRODUCT(MAX(ROW(E748:E$2)*(E749=E748:E$2)))))</f>
        <v> </v>
      </c>
      <c r="J749" s="26" t="str">
        <f>IF(OR(E749="",E749="!!!",F749="NEW"),"",COUNTBLANK(OFFSET(A$1,,,SUMPRODUCT(MAX(ROW(E$2:E749)*(E749=E$2:E749)))))-COUNTBLANK(OFFSET(A$1,,,SUMPRODUCT(MAX(ROW(E$1:E748)*(E2=E$1:E748))))))</f>
        <v> </v>
      </c>
      <c r="K749" s="26" t="str">
        <f>IF(OR(E749="",E749="!!!",F749="NEW"),"",INDEX(J$1:J748,SUMPRODUCT(MAX(ROW(E$1:E748)*(E749=E$1:E748)))))</f>
        <v> </v>
      </c>
      <c r="L749" s="27"/>
    </row>
    <row r="750" spans="1:12">
      <c r="A750" s="20" t="s">
        <v>1119</v>
      </c>
      <c r="B750" s="21" t="s">
        <v>791</v>
      </c>
      <c r="C750" s="21" t="s">
        <v>737</v>
      </c>
      <c r="E750" s="22">
        <f>IF(D750="?OLD","!!!","")</f>
        <v/>
      </c>
      <c r="F750" s="23" t="str">
        <f>IF(OR(E750="",E750="!!!"),"",IF(NOT(ISNA(VLOOKUP(E750,E$1:E749,1,FALSE()))),"OLD",IF(AND(E750&lt;&gt;"",E750&lt;&gt;"!!!"),"NEW","")))</f>
        <v> </v>
      </c>
      <c r="G750" s="24" t="str">
        <f>IF(OR(E750="",E750="!!!"),"",IF(OR(J750=0,AND(J750=1,K750=1),AND(J750=1,I750="SBJ"),AND(J750=1,I750=0)),"?IN_FOCUS",IF(J750&lt;=2,"?ACTIVATED",IF(J750&lt;&gt;"","?FAMILIAR",IF(F750="NEW",IF(ISNA(VLOOKUP(E750,#REF!,1,FALSE())),"?TYPE_IDENTIFIABLE","?REFERENTIAL"),"_")))))</f>
        <v> </v>
      </c>
      <c r="H750" s="25" t="str">
        <f>IF(J750&lt;&gt;1,"",IF(I750="SBJ","CB","?"))</f>
        <v> </v>
      </c>
      <c r="I750" s="26" t="str">
        <f>IF(OR(E750="",E750="!!!",F750="NEW"),"",INDEX(B749:B$2,-1+SUMPRODUCT(MAX(ROW(E749:E$2)*(E750=E749:E$2)))))</f>
        <v> </v>
      </c>
      <c r="J750" s="26" t="str">
        <f>IF(OR(E750="",E750="!!!",F750="NEW"),"",COUNTBLANK(OFFSET(A$1,,,SUMPRODUCT(MAX(ROW(E$2:E750)*(E750=E$2:E750)))))-COUNTBLANK(OFFSET(A$1,,,SUMPRODUCT(MAX(ROW(E$1:E749)*(E2=E$1:E749))))))</f>
        <v> </v>
      </c>
      <c r="K750" s="26" t="str">
        <f>IF(OR(E750="",E750="!!!",F750="NEW"),"",INDEX(J$1:J749,SUMPRODUCT(MAX(ROW(E$1:E749)*(E750=E$1:E749)))))</f>
        <v> </v>
      </c>
      <c r="L750" s="27"/>
    </row>
    <row r="751" spans="1:12">
      <c r="A751" s="20" t="s">
        <v>1120</v>
      </c>
      <c r="E751" s="22">
        <f>IF(D751="?OLD","!!!","")</f>
        <v/>
      </c>
      <c r="F751" s="23" t="str">
        <f>IF(OR(E751="",E751="!!!"),"",IF(NOT(ISNA(VLOOKUP(E751,E$1:E750,1,FALSE()))),"OLD",IF(AND(E751&lt;&gt;"",E751&lt;&gt;"!!!"),"NEW","")))</f>
        <v> </v>
      </c>
      <c r="G751" s="24" t="str">
        <f>IF(OR(E751="",E751="!!!"),"",IF(OR(J751=0,AND(J751=1,K751=1),AND(J751=1,I751="SBJ"),AND(J751=1,I751=0)),"?IN_FOCUS",IF(J751&lt;=2,"?ACTIVATED",IF(J751&lt;&gt;"","?FAMILIAR",IF(F751="NEW",IF(ISNA(VLOOKUP(E751,#REF!,1,FALSE())),"?TYPE_IDENTIFIABLE","?REFERENTIAL"),"_")))))</f>
        <v> </v>
      </c>
      <c r="H751" s="25" t="str">
        <f>IF(J751&lt;&gt;1,"",IF(I751="SBJ","CB","?"))</f>
        <v> </v>
      </c>
      <c r="I751" s="26" t="str">
        <f>IF(OR(E751="",E751="!!!",F751="NEW"),"",INDEX(B750:B$2,-1+SUMPRODUCT(MAX(ROW(E750:E$2)*(E751=E750:E$2)))))</f>
        <v> </v>
      </c>
      <c r="J751" s="26" t="str">
        <f>IF(OR(E751="",E751="!!!",F751="NEW"),"",COUNTBLANK(OFFSET(A$1,,,SUMPRODUCT(MAX(ROW(E$2:E751)*(E751=E$2:E751)))))-COUNTBLANK(OFFSET(A$1,,,SUMPRODUCT(MAX(ROW(E$1:E750)*(E2=E$1:E750))))))</f>
        <v> </v>
      </c>
      <c r="K751" s="26" t="str">
        <f>IF(OR(E751="",E751="!!!",F751="NEW"),"",INDEX(J$1:J750,SUMPRODUCT(MAX(ROW(E$1:E750)*(E751=E$1:E750)))))</f>
        <v> </v>
      </c>
      <c r="L751" s="27"/>
    </row>
    <row r="752" spans="1:12">
      <c r="A752" s="20" t="s">
        <v>759</v>
      </c>
      <c r="E752" s="22">
        <f>IF(D752="?OLD","!!!","")</f>
        <v/>
      </c>
      <c r="F752" s="23" t="str">
        <f>IF(OR(E752="",E752="!!!"),"",IF(NOT(ISNA(VLOOKUP(E752,E$1:E751,1,FALSE()))),"OLD",IF(AND(E752&lt;&gt;"",E752&lt;&gt;"!!!"),"NEW","")))</f>
        <v> </v>
      </c>
      <c r="G752" s="24" t="str">
        <f>IF(OR(E752="",E752="!!!"),"",IF(OR(J752=0,AND(J752=1,K752=1),AND(J752=1,I752="SBJ"),AND(J752=1,I752=0)),"?IN_FOCUS",IF(J752&lt;=2,"?ACTIVATED",IF(J752&lt;&gt;"","?FAMILIAR",IF(F752="NEW",IF(ISNA(VLOOKUP(E752,#REF!,1,FALSE())),"?TYPE_IDENTIFIABLE","?REFERENTIAL"),"_")))))</f>
        <v> </v>
      </c>
      <c r="H752" s="25" t="str">
        <f>IF(J752&lt;&gt;1,"",IF(I752="SBJ","CB","?"))</f>
        <v> </v>
      </c>
      <c r="I752" s="26" t="str">
        <f>IF(OR(E752="",E752="!!!",F752="NEW"),"",INDEX(B751:B$2,-1+SUMPRODUCT(MAX(ROW(E751:E$2)*(E752=E751:E$2)))))</f>
        <v> </v>
      </c>
      <c r="J752" s="26" t="str">
        <f>IF(OR(E752="",E752="!!!",F752="NEW"),"",COUNTBLANK(OFFSET(A$1,,,SUMPRODUCT(MAX(ROW(E$2:E752)*(E752=E$2:E752)))))-COUNTBLANK(OFFSET(A$1,,,SUMPRODUCT(MAX(ROW(E$1:E751)*(E2=E$1:E751))))))</f>
        <v> </v>
      </c>
      <c r="K752" s="26" t="str">
        <f>IF(OR(E752="",E752="!!!",F752="NEW"),"",INDEX(J$1:J751,SUMPRODUCT(MAX(ROW(E$1:E751)*(E752=E$1:E751)))))</f>
        <v> </v>
      </c>
      <c r="L752" s="27"/>
    </row>
    <row r="753" spans="1:12">
      <c r="A753" s="20" t="s">
        <v>811</v>
      </c>
      <c r="E753" s="22">
        <f>IF(D753="?OLD","!!!","")</f>
        <v/>
      </c>
      <c r="F753" s="23" t="str">
        <f>IF(OR(E753="",E753="!!!"),"",IF(NOT(ISNA(VLOOKUP(E753,E$1:E752,1,FALSE()))),"OLD",IF(AND(E753&lt;&gt;"",E753&lt;&gt;"!!!"),"NEW","")))</f>
        <v> </v>
      </c>
      <c r="G753" s="24" t="str">
        <f>IF(OR(E753="",E753="!!!"),"",IF(OR(J753=0,AND(J753=1,K753=1),AND(J753=1,I753="SBJ"),AND(J753=1,I753=0)),"?IN_FOCUS",IF(J753&lt;=2,"?ACTIVATED",IF(J753&lt;&gt;"","?FAMILIAR",IF(F753="NEW",IF(ISNA(VLOOKUP(E753,#REF!,1,FALSE())),"?TYPE_IDENTIFIABLE","?REFERENTIAL"),"_")))))</f>
        <v> </v>
      </c>
      <c r="H753" s="25" t="str">
        <f>IF(J753&lt;&gt;1,"",IF(I753="SBJ","CB","?"))</f>
        <v> </v>
      </c>
      <c r="I753" s="26" t="str">
        <f>IF(OR(E753="",E753="!!!",F753="NEW"),"",INDEX(B752:B$2,-1+SUMPRODUCT(MAX(ROW(E752:E$2)*(E753=E752:E$2)))))</f>
        <v> </v>
      </c>
      <c r="J753" s="26" t="str">
        <f>IF(OR(E753="",E753="!!!",F753="NEW"),"",COUNTBLANK(OFFSET(A$1,,,SUMPRODUCT(MAX(ROW(E$2:E753)*(E753=E$2:E753)))))-COUNTBLANK(OFFSET(A$1,,,SUMPRODUCT(MAX(ROW(E$1:E752)*(E2=E$1:E752))))))</f>
        <v> </v>
      </c>
      <c r="K753" s="26" t="str">
        <f>IF(OR(E753="",E753="!!!",F753="NEW"),"",INDEX(J$1:J752,SUMPRODUCT(MAX(ROW(E$1:E752)*(E753=E$1:E752)))))</f>
        <v> </v>
      </c>
      <c r="L753" s="27"/>
    </row>
    <row r="754" spans="1:12">
      <c r="A754" s="20" t="s">
        <v>899</v>
      </c>
      <c r="B754" s="21" t="s">
        <v>728</v>
      </c>
      <c r="C754" s="21" t="s">
        <v>729</v>
      </c>
      <c r="D754" s="21" t="s">
        <v>730</v>
      </c>
      <c r="E754" s="22">
        <f>IF(D754="?OLD","!!!","")</f>
        <v/>
      </c>
      <c r="F754" s="23" t="str">
        <f>IF(OR(E754="",E754="!!!"),"",IF(NOT(ISNA(VLOOKUP(E754,E$1:E753,1,FALSE()))),"OLD",IF(AND(E754&lt;&gt;"",E754&lt;&gt;"!!!"),"NEW","")))</f>
        <v> </v>
      </c>
      <c r="G754" s="24" t="str">
        <f>IF(OR(E754="",E754="!!!"),"",IF(OR(J754=0,AND(J754=1,K754=1),AND(J754=1,I754="SBJ"),AND(J754=1,I754=0)),"?IN_FOCUS",IF(J754&lt;=2,"?ACTIVATED",IF(J754&lt;&gt;"","?FAMILIAR",IF(F754="NEW",IF(ISNA(VLOOKUP(E754,#REF!,1,FALSE())),"?TYPE_IDENTIFIABLE","?REFERENTIAL"),"_")))))</f>
        <v> </v>
      </c>
      <c r="H754" s="25" t="str">
        <f>IF(J754&lt;&gt;1,"",IF(I754="SBJ","CB","?"))</f>
        <v> </v>
      </c>
      <c r="I754" s="26" t="str">
        <f>IF(OR(E754="",E754="!!!",F754="NEW"),"",INDEX(B753:B$2,-1+SUMPRODUCT(MAX(ROW(E753:E$2)*(E754=E753:E$2)))))</f>
        <v> </v>
      </c>
      <c r="J754" s="26" t="str">
        <f>IF(OR(E754="",E754="!!!",F754="NEW"),"",COUNTBLANK(OFFSET(A$1,,,SUMPRODUCT(MAX(ROW(E$2:E754)*(E754=E$2:E754)))))-COUNTBLANK(OFFSET(A$1,,,SUMPRODUCT(MAX(ROW(E$1:E753)*(E2=E$1:E753))))))</f>
        <v> </v>
      </c>
      <c r="K754" s="26" t="str">
        <f>IF(OR(E754="",E754="!!!",F754="NEW"),"",INDEX(J$1:J753,SUMPRODUCT(MAX(ROW(E$1:E753)*(E754=E$1:E753)))))</f>
        <v> </v>
      </c>
      <c r="L754" s="27"/>
    </row>
    <row r="755" spans="1:12">
      <c r="A755" s="20" t="s">
        <v>776</v>
      </c>
      <c r="E755" s="22">
        <f>IF(D755="?OLD","!!!","")</f>
        <v/>
      </c>
      <c r="F755" s="23" t="str">
        <f>IF(OR(E755="",E755="!!!"),"",IF(NOT(ISNA(VLOOKUP(E755,E$1:E754,1,FALSE()))),"OLD",IF(AND(E755&lt;&gt;"",E755&lt;&gt;"!!!"),"NEW","")))</f>
        <v> </v>
      </c>
      <c r="G755" s="24" t="str">
        <f>IF(OR(E755="",E755="!!!"),"",IF(OR(J755=0,AND(J755=1,K755=1),AND(J755=1,I755="SBJ"),AND(J755=1,I755=0)),"?IN_FOCUS",IF(J755&lt;=2,"?ACTIVATED",IF(J755&lt;&gt;"","?FAMILIAR",IF(F755="NEW",IF(ISNA(VLOOKUP(E755,#REF!,1,FALSE())),"?TYPE_IDENTIFIABLE","?REFERENTIAL"),"_")))))</f>
        <v> </v>
      </c>
      <c r="H755" s="25" t="str">
        <f>IF(J755&lt;&gt;1,"",IF(I755="SBJ","CB","?"))</f>
        <v> </v>
      </c>
      <c r="I755" s="26" t="str">
        <f>IF(OR(E755="",E755="!!!",F755="NEW"),"",INDEX(B754:B$2,-1+SUMPRODUCT(MAX(ROW(E754:E$2)*(E755=E754:E$2)))))</f>
        <v> </v>
      </c>
      <c r="J755" s="26" t="str">
        <f>IF(OR(E755="",E755="!!!",F755="NEW"),"",COUNTBLANK(OFFSET(A$1,,,SUMPRODUCT(MAX(ROW(E$2:E755)*(E755=E$2:E755)))))-COUNTBLANK(OFFSET(A$1,,,SUMPRODUCT(MAX(ROW(E$1:E754)*(E2=E$1:E754))))))</f>
        <v> </v>
      </c>
      <c r="K755" s="26" t="str">
        <f>IF(OR(E755="",E755="!!!",F755="NEW"),"",INDEX(J$1:J754,SUMPRODUCT(MAX(ROW(E$1:E754)*(E755=E$1:E754)))))</f>
        <v> </v>
      </c>
      <c r="L755" s="27"/>
    </row>
    <row r="756" spans="1:12">
      <c r="A756" s="20" t="s">
        <v>1121</v>
      </c>
      <c r="B756" s="21" t="s">
        <v>736</v>
      </c>
      <c r="C756" s="21" t="s">
        <v>753</v>
      </c>
      <c r="D756" s="21" t="s">
        <v>730</v>
      </c>
      <c r="E756" s="22">
        <f>IF(D756="?OLD","!!!","")</f>
        <v/>
      </c>
      <c r="F756" s="23" t="str">
        <f>IF(OR(E756="",E756="!!!"),"",IF(NOT(ISNA(VLOOKUP(E756,E$1:E755,1,FALSE()))),"OLD",IF(AND(E756&lt;&gt;"",E756&lt;&gt;"!!!"),"NEW","")))</f>
        <v> </v>
      </c>
      <c r="G756" s="24" t="str">
        <f>IF(OR(E756="",E756="!!!"),"",IF(OR(J756=0,AND(J756=1,K756=1),AND(J756=1,I756="SBJ"),AND(J756=1,I756=0)),"?IN_FOCUS",IF(J756&lt;=2,"?ACTIVATED",IF(J756&lt;&gt;"","?FAMILIAR",IF(F756="NEW",IF(ISNA(VLOOKUP(E756,#REF!,1,FALSE())),"?TYPE_IDENTIFIABLE","?REFERENTIAL"),"_")))))</f>
        <v> </v>
      </c>
      <c r="H756" s="25" t="str">
        <f>IF(J756&lt;&gt;1,"",IF(I756="SBJ","CB","?"))</f>
        <v> </v>
      </c>
      <c r="I756" s="26" t="str">
        <f>IF(OR(E756="",E756="!!!",F756="NEW"),"",INDEX(B755:B$2,-1+SUMPRODUCT(MAX(ROW(E755:E$2)*(E756=E755:E$2)))))</f>
        <v> </v>
      </c>
      <c r="J756" s="26" t="str">
        <f>IF(OR(E756="",E756="!!!",F756="NEW"),"",COUNTBLANK(OFFSET(A$1,,,SUMPRODUCT(MAX(ROW(E$2:E756)*(E756=E$2:E756)))))-COUNTBLANK(OFFSET(A$1,,,SUMPRODUCT(MAX(ROW(E$1:E755)*(E2=E$1:E755))))))</f>
        <v> </v>
      </c>
      <c r="K756" s="26" t="str">
        <f>IF(OR(E756="",E756="!!!",F756="NEW"),"",INDEX(J$1:J755,SUMPRODUCT(MAX(ROW(E$1:E755)*(E756=E$1:E755)))))</f>
        <v> </v>
      </c>
      <c r="L756" s="27"/>
    </row>
    <row r="757" spans="1:12">
      <c r="A757" s="20" t="s">
        <v>246</v>
      </c>
      <c r="E757" s="22">
        <f>IF(D757="?OLD","!!!","")</f>
        <v/>
      </c>
      <c r="F757" s="23" t="str">
        <f>IF(OR(E757="",E757="!!!"),"",IF(NOT(ISNA(VLOOKUP(E757,E$1:E756,1,FALSE()))),"OLD",IF(AND(E757&lt;&gt;"",E757&lt;&gt;"!!!"),"NEW","")))</f>
        <v> </v>
      </c>
      <c r="G757" s="24" t="str">
        <f>IF(OR(E757="",E757="!!!"),"",IF(OR(J757=0,AND(J757=1,K757=1),AND(J757=1,I757="SBJ"),AND(J757=1,I757=0)),"?IN_FOCUS",IF(J757&lt;=2,"?ACTIVATED",IF(J757&lt;&gt;"","?FAMILIAR",IF(F757="NEW",IF(ISNA(VLOOKUP(E757,#REF!,1,FALSE())),"?TYPE_IDENTIFIABLE","?REFERENTIAL"),"_")))))</f>
        <v> </v>
      </c>
      <c r="H757" s="25" t="str">
        <f>IF(J757&lt;&gt;1,"",IF(I757="SBJ","CB","?"))</f>
        <v> </v>
      </c>
      <c r="I757" s="26" t="str">
        <f>IF(OR(E757="",E757="!!!",F757="NEW"),"",INDEX(B756:B$2,-1+SUMPRODUCT(MAX(ROW(E756:E$2)*(E757=E756:E$2)))))</f>
        <v> </v>
      </c>
      <c r="J757" s="26" t="str">
        <f>IF(OR(E757="",E757="!!!",F757="NEW"),"",COUNTBLANK(OFFSET(A$1,,,SUMPRODUCT(MAX(ROW(E$2:E757)*(E757=E$2:E757)))))-COUNTBLANK(OFFSET(A$1,,,SUMPRODUCT(MAX(ROW(E$1:E756)*(E2=E$1:E756))))))</f>
        <v> </v>
      </c>
      <c r="K757" s="26" t="str">
        <f>IF(OR(E757="",E757="!!!",F757="NEW"),"",INDEX(J$1:J756,SUMPRODUCT(MAX(ROW(E$1:E756)*(E757=E$1:E756)))))</f>
        <v> </v>
      </c>
      <c r="L757" s="27"/>
    </row>
    <row r="758" spans="1:12">
      <c r="A758" s="20"/>
    </row>
    <row r="759" spans="1:12">
      <c r="A759" s="20" t="s">
        <v>1122</v>
      </c>
    </row>
    <row r="760" spans="1:12">
      <c r="A760" s="20" t="s">
        <v>883</v>
      </c>
      <c r="B760" s="21" t="s">
        <v>728</v>
      </c>
      <c r="C760" s="21" t="s">
        <v>801</v>
      </c>
      <c r="D760" s="21" t="s">
        <v>730</v>
      </c>
      <c r="E760" s="22">
        <f>IF(D760="?OLD","!!!","")</f>
        <v/>
      </c>
      <c r="F760" s="23" t="str">
        <f>IF(OR(E760="",E760="!!!"),"",IF(NOT(ISNA(VLOOKUP(E760,E$1:E759,1,FALSE()))),"OLD",IF(AND(E760&lt;&gt;"",E760&lt;&gt;"!!!"),"NEW","")))</f>
        <v> </v>
      </c>
      <c r="G760" s="24" t="str">
        <f>IF(OR(E760="",E760="!!!"),"",IF(OR(J760=0,AND(J760=1,K760=1),AND(J760=1,I760="SBJ"),AND(J760=1,I760=0)),"?IN_FOCUS",IF(J760&lt;=2,"?ACTIVATED",IF(J760&lt;&gt;"","?FAMILIAR",IF(F760="NEW",IF(ISNA(VLOOKUP(E760,#REF!,1,FALSE())),"?TYPE_IDENTIFIABLE","?REFERENTIAL"),"_")))))</f>
        <v> </v>
      </c>
      <c r="H760" s="25" t="str">
        <f>IF(J760&lt;&gt;1,"",IF(I760="SBJ","CB","?"))</f>
        <v> </v>
      </c>
      <c r="I760" s="26" t="str">
        <f>IF(OR(E760="",E760="!!!",F760="NEW"),"",INDEX(B759:B$2,-1+SUMPRODUCT(MAX(ROW(E759:E$2)*(E760=E759:E$2)))))</f>
        <v> </v>
      </c>
      <c r="J760" s="26" t="str">
        <f>IF(OR(E760="",E760="!!!",F760="NEW"),"",COUNTBLANK(OFFSET(A$1,,,SUMPRODUCT(MAX(ROW(E$2:E760)*(E760=E$2:E760)))))-COUNTBLANK(OFFSET(A$1,,,SUMPRODUCT(MAX(ROW(E$1:E759)*(E2=E$1:E759))))))</f>
        <v> </v>
      </c>
      <c r="K760" s="26" t="str">
        <f>IF(OR(E760="",E760="!!!",F760="NEW"),"",INDEX(J$1:J759,SUMPRODUCT(MAX(ROW(E$1:E759)*(E760=E$1:E759)))))</f>
        <v> </v>
      </c>
      <c r="L760" s="27"/>
    </row>
    <row r="761" spans="1:12">
      <c r="A761" s="20" t="s">
        <v>850</v>
      </c>
      <c r="E761" s="22">
        <f>IF(D761="?OLD","!!!","")</f>
        <v/>
      </c>
      <c r="F761" s="23" t="str">
        <f>IF(OR(E761="",E761="!!!"),"",IF(NOT(ISNA(VLOOKUP(E761,E$1:E760,1,FALSE()))),"OLD",IF(AND(E761&lt;&gt;"",E761&lt;&gt;"!!!"),"NEW","")))</f>
        <v> </v>
      </c>
      <c r="G761" s="24" t="str">
        <f>IF(OR(E761="",E761="!!!"),"",IF(OR(J761=0,AND(J761=1,K761=1),AND(J761=1,I761="SBJ"),AND(J761=1,I761=0)),"?IN_FOCUS",IF(J761&lt;=2,"?ACTIVATED",IF(J761&lt;&gt;"","?FAMILIAR",IF(F761="NEW",IF(ISNA(VLOOKUP(E761,#REF!,1,FALSE())),"?TYPE_IDENTIFIABLE","?REFERENTIAL"),"_")))))</f>
        <v> </v>
      </c>
      <c r="H761" s="25" t="str">
        <f>IF(J761&lt;&gt;1,"",IF(I761="SBJ","CB","?"))</f>
        <v> </v>
      </c>
      <c r="I761" s="26" t="str">
        <f>IF(OR(E761="",E761="!!!",F761="NEW"),"",INDEX(B760:B$2,-1+SUMPRODUCT(MAX(ROW(E760:E$2)*(E761=E760:E$2)))))</f>
        <v> </v>
      </c>
      <c r="J761" s="26" t="str">
        <f>IF(OR(E761="",E761="!!!",F761="NEW"),"",COUNTBLANK(OFFSET(A$1,,,SUMPRODUCT(MAX(ROW(E$2:E761)*(E761=E$2:E761)))))-COUNTBLANK(OFFSET(A$1,,,SUMPRODUCT(MAX(ROW(E$1:E760)*(E2=E$1:E760))))))</f>
        <v> </v>
      </c>
      <c r="K761" s="26" t="str">
        <f>IF(OR(E761="",E761="!!!",F761="NEW"),"",INDEX(J$1:J760,SUMPRODUCT(MAX(ROW(E$1:E760)*(E761=E$1:E760)))))</f>
        <v> </v>
      </c>
      <c r="L761" s="27"/>
    </row>
    <row r="762" spans="1:12">
      <c r="A762" s="20" t="s">
        <v>813</v>
      </c>
      <c r="E762" s="22">
        <f>IF(D762="?OLD","!!!","")</f>
        <v/>
      </c>
      <c r="F762" s="23" t="str">
        <f>IF(OR(E762="",E762="!!!"),"",IF(NOT(ISNA(VLOOKUP(E762,E$1:E761,1,FALSE()))),"OLD",IF(AND(E762&lt;&gt;"",E762&lt;&gt;"!!!"),"NEW","")))</f>
        <v> </v>
      </c>
      <c r="G762" s="24" t="str">
        <f>IF(OR(E762="",E762="!!!"),"",IF(OR(J762=0,AND(J762=1,K762=1),AND(J762=1,I762="SBJ"),AND(J762=1,I762=0)),"?IN_FOCUS",IF(J762&lt;=2,"?ACTIVATED",IF(J762&lt;&gt;"","?FAMILIAR",IF(F762="NEW",IF(ISNA(VLOOKUP(E762,#REF!,1,FALSE())),"?TYPE_IDENTIFIABLE","?REFERENTIAL"),"_")))))</f>
        <v> </v>
      </c>
      <c r="H762" s="25" t="str">
        <f>IF(J762&lt;&gt;1,"",IF(I762="SBJ","CB","?"))</f>
        <v> </v>
      </c>
      <c r="I762" s="26" t="str">
        <f>IF(OR(E762="",E762="!!!",F762="NEW"),"",INDEX(B761:B$2,-1+SUMPRODUCT(MAX(ROW(E761:E$2)*(E762=E761:E$2)))))</f>
        <v> </v>
      </c>
      <c r="J762" s="26" t="str">
        <f>IF(OR(E762="",E762="!!!",F762="NEW"),"",COUNTBLANK(OFFSET(A$1,,,SUMPRODUCT(MAX(ROW(E$2:E762)*(E762=E$2:E762)))))-COUNTBLANK(OFFSET(A$1,,,SUMPRODUCT(MAX(ROW(E$1:E761)*(E2=E$1:E761))))))</f>
        <v> </v>
      </c>
      <c r="K762" s="26" t="str">
        <f>IF(OR(E762="",E762="!!!",F762="NEW"),"",INDEX(J$1:J761,SUMPRODUCT(MAX(ROW(E$1:E761)*(E762=E$1:E761)))))</f>
        <v> </v>
      </c>
      <c r="L762" s="27"/>
    </row>
    <row r="763" spans="1:12">
      <c r="A763" s="20" t="s">
        <v>1123</v>
      </c>
      <c r="E763" s="22">
        <f>IF(D763="?OLD","!!!","")</f>
        <v/>
      </c>
      <c r="F763" s="23" t="str">
        <f>IF(OR(E763="",E763="!!!"),"",IF(NOT(ISNA(VLOOKUP(E763,E$1:E762,1,FALSE()))),"OLD",IF(AND(E763&lt;&gt;"",E763&lt;&gt;"!!!"),"NEW","")))</f>
        <v> </v>
      </c>
      <c r="G763" s="24" t="str">
        <f>IF(OR(E763="",E763="!!!"),"",IF(OR(J763=0,AND(J763=1,K763=1),AND(J763=1,I763="SBJ"),AND(J763=1,I763=0)),"?IN_FOCUS",IF(J763&lt;=2,"?ACTIVATED",IF(J763&lt;&gt;"","?FAMILIAR",IF(F763="NEW",IF(ISNA(VLOOKUP(E763,#REF!,1,FALSE())),"?TYPE_IDENTIFIABLE","?REFERENTIAL"),"_")))))</f>
        <v> </v>
      </c>
      <c r="H763" s="25" t="str">
        <f>IF(J763&lt;&gt;1,"",IF(I763="SBJ","CB","?"))</f>
        <v> </v>
      </c>
      <c r="I763" s="26" t="str">
        <f>IF(OR(E763="",E763="!!!",F763="NEW"),"",INDEX(B762:B$2,-1+SUMPRODUCT(MAX(ROW(E762:E$2)*(E763=E762:E$2)))))</f>
        <v> </v>
      </c>
      <c r="J763" s="26" t="str">
        <f>IF(OR(E763="",E763="!!!",F763="NEW"),"",COUNTBLANK(OFFSET(A$1,,,SUMPRODUCT(MAX(ROW(E$2:E763)*(E763=E$2:E763)))))-COUNTBLANK(OFFSET(A$1,,,SUMPRODUCT(MAX(ROW(E$1:E762)*(E2=E$1:E762))))))</f>
        <v> </v>
      </c>
      <c r="K763" s="26" t="str">
        <f>IF(OR(E763="",E763="!!!",F763="NEW"),"",INDEX(J$1:J762,SUMPRODUCT(MAX(ROW(E$1:E762)*(E763=E$1:E762)))))</f>
        <v> </v>
      </c>
      <c r="L763" s="27"/>
    </row>
    <row r="764" spans="1:12">
      <c r="A764" s="20" t="s">
        <v>1124</v>
      </c>
      <c r="B764" s="21" t="s">
        <v>764</v>
      </c>
      <c r="C764" s="21" t="s">
        <v>753</v>
      </c>
      <c r="D764" s="21" t="s">
        <v>730</v>
      </c>
      <c r="E764" s="22">
        <f>IF(D764="?OLD","!!!","")</f>
        <v/>
      </c>
      <c r="F764" s="23" t="str">
        <f>IF(OR(E764="",E764="!!!"),"",IF(NOT(ISNA(VLOOKUP(E764,E$1:E763,1,FALSE()))),"OLD",IF(AND(E764&lt;&gt;"",E764&lt;&gt;"!!!"),"NEW","")))</f>
        <v> </v>
      </c>
      <c r="G764" s="24" t="str">
        <f>IF(OR(E764="",E764="!!!"),"",IF(OR(J764=0,AND(J764=1,K764=1),AND(J764=1,I764="SBJ"),AND(J764=1,I764=0)),"?IN_FOCUS",IF(J764&lt;=2,"?ACTIVATED",IF(J764&lt;&gt;"","?FAMILIAR",IF(F764="NEW",IF(ISNA(VLOOKUP(E764,#REF!,1,FALSE())),"?TYPE_IDENTIFIABLE","?REFERENTIAL"),"_")))))</f>
        <v> </v>
      </c>
      <c r="H764" s="25" t="str">
        <f>IF(J764&lt;&gt;1,"",IF(I764="SBJ","CB","?"))</f>
        <v> </v>
      </c>
      <c r="I764" s="26" t="str">
        <f>IF(OR(E764="",E764="!!!",F764="NEW"),"",INDEX(B763:B$2,-1+SUMPRODUCT(MAX(ROW(E763:E$2)*(E764=E763:E$2)))))</f>
        <v> </v>
      </c>
      <c r="J764" s="26" t="str">
        <f>IF(OR(E764="",E764="!!!",F764="NEW"),"",COUNTBLANK(OFFSET(A$1,,,SUMPRODUCT(MAX(ROW(E$2:E764)*(E764=E$2:E764)))))-COUNTBLANK(OFFSET(A$1,,,SUMPRODUCT(MAX(ROW(E$1:E763)*(E2=E$1:E763))))))</f>
        <v> </v>
      </c>
      <c r="K764" s="26" t="str">
        <f>IF(OR(E764="",E764="!!!",F764="NEW"),"",INDEX(J$1:J763,SUMPRODUCT(MAX(ROW(E$1:E763)*(E764=E$1:E763)))))</f>
        <v> </v>
      </c>
      <c r="L764" s="27"/>
    </row>
    <row r="765" spans="1:12">
      <c r="A765" s="20" t="s">
        <v>759</v>
      </c>
      <c r="E765" s="22">
        <f>IF(D765="?OLD","!!!","")</f>
        <v/>
      </c>
      <c r="F765" s="23" t="str">
        <f>IF(OR(E765="",E765="!!!"),"",IF(NOT(ISNA(VLOOKUP(E765,E$1:E764,1,FALSE()))),"OLD",IF(AND(E765&lt;&gt;"",E765&lt;&gt;"!!!"),"NEW","")))</f>
        <v> </v>
      </c>
      <c r="G765" s="24" t="str">
        <f>IF(OR(E765="",E765="!!!"),"",IF(OR(J765=0,AND(J765=1,K765=1),AND(J765=1,I765="SBJ"),AND(J765=1,I765=0)),"?IN_FOCUS",IF(J765&lt;=2,"?ACTIVATED",IF(J765&lt;&gt;"","?FAMILIAR",IF(F765="NEW",IF(ISNA(VLOOKUP(E765,#REF!,1,FALSE())),"?TYPE_IDENTIFIABLE","?REFERENTIAL"),"_")))))</f>
        <v> </v>
      </c>
      <c r="H765" s="25" t="str">
        <f>IF(J765&lt;&gt;1,"",IF(I765="SBJ","CB","?"))</f>
        <v> </v>
      </c>
      <c r="I765" s="26" t="str">
        <f>IF(OR(E765="",E765="!!!",F765="NEW"),"",INDEX(B764:B$2,-1+SUMPRODUCT(MAX(ROW(E764:E$2)*(E765=E764:E$2)))))</f>
        <v> </v>
      </c>
      <c r="J765" s="26" t="str">
        <f>IF(OR(E765="",E765="!!!",F765="NEW"),"",COUNTBLANK(OFFSET(A$1,,,SUMPRODUCT(MAX(ROW(E$2:E765)*(E765=E$2:E765)))))-COUNTBLANK(OFFSET(A$1,,,SUMPRODUCT(MAX(ROW(E$1:E764)*(E2=E$1:E764))))))</f>
        <v> </v>
      </c>
      <c r="K765" s="26" t="str">
        <f>IF(OR(E765="",E765="!!!",F765="NEW"),"",INDEX(J$1:J764,SUMPRODUCT(MAX(ROW(E$1:E764)*(E765=E$1:E764)))))</f>
        <v> </v>
      </c>
      <c r="L765" s="27"/>
    </row>
    <row r="766" spans="1:12">
      <c r="A766" s="20" t="s">
        <v>1027</v>
      </c>
      <c r="B766" s="21" t="s">
        <v>783</v>
      </c>
      <c r="C766" s="21" t="s">
        <v>746</v>
      </c>
      <c r="D766" s="21" t="s">
        <v>730</v>
      </c>
      <c r="E766" s="22">
        <f>IF(D766="?OLD","!!!","")</f>
        <v/>
      </c>
      <c r="F766" s="23" t="str">
        <f>IF(OR(E766="",E766="!!!"),"",IF(NOT(ISNA(VLOOKUP(E766,E$1:E765,1,FALSE()))),"OLD",IF(AND(E766&lt;&gt;"",E766&lt;&gt;"!!!"),"NEW","")))</f>
        <v> </v>
      </c>
      <c r="G766" s="24" t="str">
        <f>IF(OR(E766="",E766="!!!"),"",IF(OR(J766=0,AND(J766=1,K766=1),AND(J766=1,I766="SBJ"),AND(J766=1,I766=0)),"?IN_FOCUS",IF(J766&lt;=2,"?ACTIVATED",IF(J766&lt;&gt;"","?FAMILIAR",IF(F766="NEW",IF(ISNA(VLOOKUP(E766,#REF!,1,FALSE())),"?TYPE_IDENTIFIABLE","?REFERENTIAL"),"_")))))</f>
        <v> </v>
      </c>
      <c r="H766" s="25" t="str">
        <f>IF(J766&lt;&gt;1,"",IF(I766="SBJ","CB","?"))</f>
        <v> </v>
      </c>
      <c r="I766" s="26" t="str">
        <f>IF(OR(E766="",E766="!!!",F766="NEW"),"",INDEX(B765:B$2,-1+SUMPRODUCT(MAX(ROW(E765:E$2)*(E766=E765:E$2)))))</f>
        <v> </v>
      </c>
      <c r="J766" s="26" t="str">
        <f>IF(OR(E766="",E766="!!!",F766="NEW"),"",COUNTBLANK(OFFSET(A$1,,,SUMPRODUCT(MAX(ROW(E$2:E766)*(E766=E$2:E766)))))-COUNTBLANK(OFFSET(A$1,,,SUMPRODUCT(MAX(ROW(E$1:E765)*(E2=E$1:E765))))))</f>
        <v> </v>
      </c>
      <c r="K766" s="26" t="str">
        <f>IF(OR(E766="",E766="!!!",F766="NEW"),"",INDEX(J$1:J765,SUMPRODUCT(MAX(ROW(E$1:E765)*(E766=E$1:E765)))))</f>
        <v> </v>
      </c>
      <c r="L766" s="27"/>
    </row>
    <row r="767" spans="1:12">
      <c r="A767" s="20" t="s">
        <v>1125</v>
      </c>
      <c r="E767" s="22">
        <f>IF(D767="?OLD","!!!","")</f>
        <v/>
      </c>
      <c r="F767" s="23" t="str">
        <f>IF(OR(E767="",E767="!!!"),"",IF(NOT(ISNA(VLOOKUP(E767,E$1:E766,1,FALSE()))),"OLD",IF(AND(E767&lt;&gt;"",E767&lt;&gt;"!!!"),"NEW","")))</f>
        <v> </v>
      </c>
      <c r="G767" s="24" t="str">
        <f>IF(OR(E767="",E767="!!!"),"",IF(OR(J767=0,AND(J767=1,K767=1),AND(J767=1,I767="SBJ"),AND(J767=1,I767=0)),"?IN_FOCUS",IF(J767&lt;=2,"?ACTIVATED",IF(J767&lt;&gt;"","?FAMILIAR",IF(F767="NEW",IF(ISNA(VLOOKUP(E767,#REF!,1,FALSE())),"?TYPE_IDENTIFIABLE","?REFERENTIAL"),"_")))))</f>
        <v> </v>
      </c>
      <c r="H767" s="25" t="str">
        <f>IF(J767&lt;&gt;1,"",IF(I767="SBJ","CB","?"))</f>
        <v> </v>
      </c>
      <c r="I767" s="26" t="str">
        <f>IF(OR(E767="",E767="!!!",F767="NEW"),"",INDEX(B766:B$2,-1+SUMPRODUCT(MAX(ROW(E766:E$2)*(E767=E766:E$2)))))</f>
        <v> </v>
      </c>
      <c r="J767" s="26" t="str">
        <f>IF(OR(E767="",E767="!!!",F767="NEW"),"",COUNTBLANK(OFFSET(A$1,,,SUMPRODUCT(MAX(ROW(E$2:E767)*(E767=E$2:E767)))))-COUNTBLANK(OFFSET(A$1,,,SUMPRODUCT(MAX(ROW(E$1:E766)*(E2=E$1:E766))))))</f>
        <v> </v>
      </c>
      <c r="K767" s="26" t="str">
        <f>IF(OR(E767="",E767="!!!",F767="NEW"),"",INDEX(J$1:J766,SUMPRODUCT(MAX(ROW(E$1:E766)*(E767=E$1:E766)))))</f>
        <v> </v>
      </c>
      <c r="L767" s="27"/>
    </row>
    <row r="768" spans="1:12">
      <c r="A768" s="20" t="s">
        <v>1126</v>
      </c>
      <c r="B768" s="21" t="s">
        <v>843</v>
      </c>
      <c r="C768" s="21" t="s">
        <v>748</v>
      </c>
      <c r="E768" s="22">
        <f>IF(D768="?OLD","!!!","")</f>
        <v/>
      </c>
      <c r="F768" s="23" t="str">
        <f>IF(OR(E768="",E768="!!!"),"",IF(NOT(ISNA(VLOOKUP(E768,E$1:E767,1,FALSE()))),"OLD",IF(AND(E768&lt;&gt;"",E768&lt;&gt;"!!!"),"NEW","")))</f>
        <v> </v>
      </c>
      <c r="G768" s="24" t="str">
        <f>IF(OR(E768="",E768="!!!"),"",IF(OR(J768=0,AND(J768=1,K768=1),AND(J768=1,I768="SBJ"),AND(J768=1,I768=0)),"?IN_FOCUS",IF(J768&lt;=2,"?ACTIVATED",IF(J768&lt;&gt;"","?FAMILIAR",IF(F768="NEW",IF(ISNA(VLOOKUP(E768,#REF!,1,FALSE())),"?TYPE_IDENTIFIABLE","?REFERENTIAL"),"_")))))</f>
        <v> </v>
      </c>
      <c r="H768" s="25" t="str">
        <f>IF(J768&lt;&gt;1,"",IF(I768="SBJ","CB","?"))</f>
        <v> </v>
      </c>
      <c r="I768" s="26" t="str">
        <f>IF(OR(E768="",E768="!!!",F768="NEW"),"",INDEX(B767:B$2,-1+SUMPRODUCT(MAX(ROW(E767:E$2)*(E768=E767:E$2)))))</f>
        <v> </v>
      </c>
      <c r="J768" s="26" t="str">
        <f>IF(OR(E768="",E768="!!!",F768="NEW"),"",COUNTBLANK(OFFSET(A$1,,,SUMPRODUCT(MAX(ROW(E$2:E768)*(E768=E$2:E768)))))-COUNTBLANK(OFFSET(A$1,,,SUMPRODUCT(MAX(ROW(E$1:E767)*(E2=E$1:E767))))))</f>
        <v> </v>
      </c>
      <c r="K768" s="26" t="str">
        <f>IF(OR(E768="",E768="!!!",F768="NEW"),"",INDEX(J$1:J767,SUMPRODUCT(MAX(ROW(E$1:E767)*(E768=E$1:E767)))))</f>
        <v> </v>
      </c>
      <c r="L768" s="27"/>
    </row>
    <row r="769" spans="1:12">
      <c r="A769" s="20" t="s">
        <v>759</v>
      </c>
      <c r="E769" s="22">
        <f>IF(D769="?OLD","!!!","")</f>
        <v/>
      </c>
      <c r="F769" s="23" t="str">
        <f>IF(OR(E769="",E769="!!!"),"",IF(NOT(ISNA(VLOOKUP(E769,E$1:E768,1,FALSE()))),"OLD",IF(AND(E769&lt;&gt;"",E769&lt;&gt;"!!!"),"NEW","")))</f>
        <v> </v>
      </c>
      <c r="G769" s="24" t="str">
        <f>IF(OR(E769="",E769="!!!"),"",IF(OR(J769=0,AND(J769=1,K769=1),AND(J769=1,I769="SBJ"),AND(J769=1,I769=0)),"?IN_FOCUS",IF(J769&lt;=2,"?ACTIVATED",IF(J769&lt;&gt;"","?FAMILIAR",IF(F769="NEW",IF(ISNA(VLOOKUP(E769,#REF!,1,FALSE())),"?TYPE_IDENTIFIABLE","?REFERENTIAL"),"_")))))</f>
        <v> </v>
      </c>
      <c r="H769" s="25" t="str">
        <f>IF(J769&lt;&gt;1,"",IF(I769="SBJ","CB","?"))</f>
        <v> </v>
      </c>
      <c r="I769" s="26" t="str">
        <f>IF(OR(E769="",E769="!!!",F769="NEW"),"",INDEX(B768:B$2,-1+SUMPRODUCT(MAX(ROW(E768:E$2)*(E769=E768:E$2)))))</f>
        <v> </v>
      </c>
      <c r="J769" s="26" t="str">
        <f>IF(OR(E769="",E769="!!!",F769="NEW"),"",COUNTBLANK(OFFSET(A$1,,,SUMPRODUCT(MAX(ROW(E$2:E769)*(E769=E$2:E769)))))-COUNTBLANK(OFFSET(A$1,,,SUMPRODUCT(MAX(ROW(E$1:E768)*(E2=E$1:E768))))))</f>
        <v> </v>
      </c>
      <c r="K769" s="26" t="str">
        <f>IF(OR(E769="",E769="!!!",F769="NEW"),"",INDEX(J$1:J768,SUMPRODUCT(MAX(ROW(E$1:E768)*(E769=E$1:E768)))))</f>
        <v> </v>
      </c>
      <c r="L769" s="27"/>
    </row>
    <row r="770" spans="1:12">
      <c r="A770" s="20" t="s">
        <v>1127</v>
      </c>
      <c r="B770" s="21" t="s">
        <v>843</v>
      </c>
      <c r="C770" s="21" t="s">
        <v>748</v>
      </c>
      <c r="E770" s="22">
        <f>IF(D770="?OLD","!!!","")</f>
        <v/>
      </c>
      <c r="F770" s="23" t="str">
        <f>IF(OR(E770="",E770="!!!"),"",IF(NOT(ISNA(VLOOKUP(E770,E$1:E769,1,FALSE()))),"OLD",IF(AND(E770&lt;&gt;"",E770&lt;&gt;"!!!"),"NEW","")))</f>
        <v> </v>
      </c>
      <c r="G770" s="24" t="str">
        <f>IF(OR(E770="",E770="!!!"),"",IF(OR(J770=0,AND(J770=1,K770=1),AND(J770=1,I770="SBJ"),AND(J770=1,I770=0)),"?IN_FOCUS",IF(J770&lt;=2,"?ACTIVATED",IF(J770&lt;&gt;"","?FAMILIAR",IF(F770="NEW",IF(ISNA(VLOOKUP(E770,#REF!,1,FALSE())),"?TYPE_IDENTIFIABLE","?REFERENTIAL"),"_")))))</f>
        <v> </v>
      </c>
      <c r="H770" s="25" t="str">
        <f>IF(J770&lt;&gt;1,"",IF(I770="SBJ","CB","?"))</f>
        <v> </v>
      </c>
      <c r="I770" s="26" t="str">
        <f>IF(OR(E770="",E770="!!!",F770="NEW"),"",INDEX(B769:B$2,-1+SUMPRODUCT(MAX(ROW(E769:E$2)*(E770=E769:E$2)))))</f>
        <v> </v>
      </c>
      <c r="J770" s="26" t="str">
        <f>IF(OR(E770="",E770="!!!",F770="NEW"),"",COUNTBLANK(OFFSET(A$1,,,SUMPRODUCT(MAX(ROW(E$2:E770)*(E770=E$2:E770)))))-COUNTBLANK(OFFSET(A$1,,,SUMPRODUCT(MAX(ROW(E$1:E769)*(E2=E$1:E769))))))</f>
        <v> </v>
      </c>
      <c r="K770" s="26" t="str">
        <f>IF(OR(E770="",E770="!!!",F770="NEW"),"",INDEX(J$1:J769,SUMPRODUCT(MAX(ROW(E$1:E769)*(E770=E$1:E769)))))</f>
        <v> </v>
      </c>
      <c r="L770" s="27"/>
    </row>
    <row r="771" spans="1:12">
      <c r="A771" s="20" t="s">
        <v>754</v>
      </c>
      <c r="E771" s="22">
        <f>IF(D771="?OLD","!!!","")</f>
        <v/>
      </c>
      <c r="F771" s="23" t="str">
        <f>IF(OR(E771="",E771="!!!"),"",IF(NOT(ISNA(VLOOKUP(E771,E$1:E770,1,FALSE()))),"OLD",IF(AND(E771&lt;&gt;"",E771&lt;&gt;"!!!"),"NEW","")))</f>
        <v> </v>
      </c>
      <c r="G771" s="24" t="str">
        <f>IF(OR(E771="",E771="!!!"),"",IF(OR(J771=0,AND(J771=1,K771=1),AND(J771=1,I771="SBJ"),AND(J771=1,I771=0)),"?IN_FOCUS",IF(J771&lt;=2,"?ACTIVATED",IF(J771&lt;&gt;"","?FAMILIAR",IF(F771="NEW",IF(ISNA(VLOOKUP(E771,#REF!,1,FALSE())),"?TYPE_IDENTIFIABLE","?REFERENTIAL"),"_")))))</f>
        <v> </v>
      </c>
      <c r="H771" s="25" t="str">
        <f>IF(J771&lt;&gt;1,"",IF(I771="SBJ","CB","?"))</f>
        <v> </v>
      </c>
      <c r="I771" s="26" t="str">
        <f>IF(OR(E771="",E771="!!!",F771="NEW"),"",INDEX(B770:B$2,-1+SUMPRODUCT(MAX(ROW(E770:E$2)*(E771=E770:E$2)))))</f>
        <v> </v>
      </c>
      <c r="J771" s="26" t="str">
        <f>IF(OR(E771="",E771="!!!",F771="NEW"),"",COUNTBLANK(OFFSET(A$1,,,SUMPRODUCT(MAX(ROW(E$2:E771)*(E771=E$2:E771)))))-COUNTBLANK(OFFSET(A$1,,,SUMPRODUCT(MAX(ROW(E$1:E770)*(E2=E$1:E770))))))</f>
        <v> </v>
      </c>
      <c r="K771" s="26" t="str">
        <f>IF(OR(E771="",E771="!!!",F771="NEW"),"",INDEX(J$1:J770,SUMPRODUCT(MAX(ROW(E$1:E770)*(E771=E$1:E770)))))</f>
        <v> </v>
      </c>
      <c r="L771" s="27"/>
    </row>
    <row r="772" spans="1:12">
      <c r="A772" s="20" t="s">
        <v>1128</v>
      </c>
      <c r="E772" s="22">
        <f>IF(D772="?OLD","!!!","")</f>
        <v/>
      </c>
      <c r="F772" s="23" t="str">
        <f>IF(OR(E772="",E772="!!!"),"",IF(NOT(ISNA(VLOOKUP(E772,E$1:E771,1,FALSE()))),"OLD",IF(AND(E772&lt;&gt;"",E772&lt;&gt;"!!!"),"NEW","")))</f>
        <v> </v>
      </c>
      <c r="G772" s="24" t="str">
        <f>IF(OR(E772="",E772="!!!"),"",IF(OR(J772=0,AND(J772=1,K772=1),AND(J772=1,I772="SBJ"),AND(J772=1,I772=0)),"?IN_FOCUS",IF(J772&lt;=2,"?ACTIVATED",IF(J772&lt;&gt;"","?FAMILIAR",IF(F772="NEW",IF(ISNA(VLOOKUP(E772,#REF!,1,FALSE())),"?TYPE_IDENTIFIABLE","?REFERENTIAL"),"_")))))</f>
        <v> </v>
      </c>
      <c r="H772" s="25" t="str">
        <f>IF(J772&lt;&gt;1,"",IF(I772="SBJ","CB","?"))</f>
        <v> </v>
      </c>
      <c r="I772" s="26" t="str">
        <f>IF(OR(E772="",E772="!!!",F772="NEW"),"",INDEX(B771:B$2,-1+SUMPRODUCT(MAX(ROW(E771:E$2)*(E772=E771:E$2)))))</f>
        <v> </v>
      </c>
      <c r="J772" s="26" t="str">
        <f>IF(OR(E772="",E772="!!!",F772="NEW"),"",COUNTBLANK(OFFSET(A$1,,,SUMPRODUCT(MAX(ROW(E$2:E772)*(E772=E$2:E772)))))-COUNTBLANK(OFFSET(A$1,,,SUMPRODUCT(MAX(ROW(E$1:E771)*(E2=E$1:E771))))))</f>
        <v> </v>
      </c>
      <c r="K772" s="26" t="str">
        <f>IF(OR(E772="",E772="!!!",F772="NEW"),"",INDEX(J$1:J771,SUMPRODUCT(MAX(ROW(E$1:E771)*(E772=E$1:E771)))))</f>
        <v> </v>
      </c>
      <c r="L772" s="27"/>
    </row>
    <row r="773" spans="1:12">
      <c r="A773" s="20" t="s">
        <v>759</v>
      </c>
      <c r="E773" s="22">
        <f>IF(D773="?OLD","!!!","")</f>
        <v/>
      </c>
      <c r="F773" s="23" t="str">
        <f>IF(OR(E773="",E773="!!!"),"",IF(NOT(ISNA(VLOOKUP(E773,E$1:E772,1,FALSE()))),"OLD",IF(AND(E773&lt;&gt;"",E773&lt;&gt;"!!!"),"NEW","")))</f>
        <v> </v>
      </c>
      <c r="G773" s="24" t="str">
        <f>IF(OR(E773="",E773="!!!"),"",IF(OR(J773=0,AND(J773=1,K773=1),AND(J773=1,I773="SBJ"),AND(J773=1,I773=0)),"?IN_FOCUS",IF(J773&lt;=2,"?ACTIVATED",IF(J773&lt;&gt;"","?FAMILIAR",IF(F773="NEW",IF(ISNA(VLOOKUP(E773,#REF!,1,FALSE())),"?TYPE_IDENTIFIABLE","?REFERENTIAL"),"_")))))</f>
        <v> </v>
      </c>
      <c r="H773" s="25" t="str">
        <f>IF(J773&lt;&gt;1,"",IF(I773="SBJ","CB","?"))</f>
        <v> </v>
      </c>
      <c r="I773" s="26" t="str">
        <f>IF(OR(E773="",E773="!!!",F773="NEW"),"",INDEX(B772:B$2,-1+SUMPRODUCT(MAX(ROW(E772:E$2)*(E773=E772:E$2)))))</f>
        <v> </v>
      </c>
      <c r="J773" s="26" t="str">
        <f>IF(OR(E773="",E773="!!!",F773="NEW"),"",COUNTBLANK(OFFSET(A$1,,,SUMPRODUCT(MAX(ROW(E$2:E773)*(E773=E$2:E773)))))-COUNTBLANK(OFFSET(A$1,,,SUMPRODUCT(MAX(ROW(E$1:E772)*(E2=E$1:E772))))))</f>
        <v> </v>
      </c>
      <c r="K773" s="26" t="str">
        <f>IF(OR(E773="",E773="!!!",F773="NEW"),"",INDEX(J$1:J772,SUMPRODUCT(MAX(ROW(E$1:E772)*(E773=E$1:E772)))))</f>
        <v> </v>
      </c>
      <c r="L773" s="27"/>
    </row>
    <row r="774" spans="1:12">
      <c r="A774" s="20" t="s">
        <v>732</v>
      </c>
      <c r="E774" s="22">
        <f>IF(D774="?OLD","!!!","")</f>
        <v/>
      </c>
      <c r="F774" s="23" t="str">
        <f>IF(OR(E774="",E774="!!!"),"",IF(NOT(ISNA(VLOOKUP(E774,E$1:E773,1,FALSE()))),"OLD",IF(AND(E774&lt;&gt;"",E774&lt;&gt;"!!!"),"NEW","")))</f>
        <v> </v>
      </c>
      <c r="G774" s="24" t="str">
        <f>IF(OR(E774="",E774="!!!"),"",IF(OR(J774=0,AND(J774=1,K774=1),AND(J774=1,I774="SBJ"),AND(J774=1,I774=0)),"?IN_FOCUS",IF(J774&lt;=2,"?ACTIVATED",IF(J774&lt;&gt;"","?FAMILIAR",IF(F774="NEW",IF(ISNA(VLOOKUP(E774,#REF!,1,FALSE())),"?TYPE_IDENTIFIABLE","?REFERENTIAL"),"_")))))</f>
        <v> </v>
      </c>
      <c r="H774" s="25" t="str">
        <f>IF(J774&lt;&gt;1,"",IF(I774="SBJ","CB","?"))</f>
        <v> </v>
      </c>
      <c r="I774" s="26" t="str">
        <f>IF(OR(E774="",E774="!!!",F774="NEW"),"",INDEX(B773:B$2,-1+SUMPRODUCT(MAX(ROW(E773:E$2)*(E774=E773:E$2)))))</f>
        <v> </v>
      </c>
      <c r="J774" s="26" t="str">
        <f>IF(OR(E774="",E774="!!!",F774="NEW"),"",COUNTBLANK(OFFSET(A$1,,,SUMPRODUCT(MAX(ROW(E$2:E774)*(E774=E$2:E774)))))-COUNTBLANK(OFFSET(A$1,,,SUMPRODUCT(MAX(ROW(E$1:E773)*(E2=E$1:E773))))))</f>
        <v> </v>
      </c>
      <c r="K774" s="26" t="str">
        <f>IF(OR(E774="",E774="!!!",F774="NEW"),"",INDEX(J$1:J773,SUMPRODUCT(MAX(ROW(E$1:E773)*(E774=E$1:E773)))))</f>
        <v> </v>
      </c>
      <c r="L774" s="27"/>
    </row>
    <row r="775" spans="1:12">
      <c r="A775" s="20" t="s">
        <v>913</v>
      </c>
      <c r="B775" s="21" t="s">
        <v>783</v>
      </c>
      <c r="C775" s="21" t="s">
        <v>746</v>
      </c>
      <c r="D775" s="21" t="s">
        <v>730</v>
      </c>
      <c r="E775" s="22">
        <f>IF(D775="?OLD","!!!","")</f>
        <v/>
      </c>
      <c r="F775" s="23" t="str">
        <f>IF(OR(E775="",E775="!!!"),"",IF(NOT(ISNA(VLOOKUP(E775,E$1:E774,1,FALSE()))),"OLD",IF(AND(E775&lt;&gt;"",E775&lt;&gt;"!!!"),"NEW","")))</f>
        <v> </v>
      </c>
      <c r="G775" s="24" t="str">
        <f>IF(OR(E775="",E775="!!!"),"",IF(OR(J775=0,AND(J775=1,K775=1),AND(J775=1,I775="SBJ"),AND(J775=1,I775=0)),"?IN_FOCUS",IF(J775&lt;=2,"?ACTIVATED",IF(J775&lt;&gt;"","?FAMILIAR",IF(F775="NEW",IF(ISNA(VLOOKUP(E775,#REF!,1,FALSE())),"?TYPE_IDENTIFIABLE","?REFERENTIAL"),"_")))))</f>
        <v> </v>
      </c>
      <c r="H775" s="25" t="str">
        <f>IF(J775&lt;&gt;1,"",IF(I775="SBJ","CB","?"))</f>
        <v> </v>
      </c>
      <c r="I775" s="26" t="str">
        <f>IF(OR(E775="",E775="!!!",F775="NEW"),"",INDEX(B774:B$2,-1+SUMPRODUCT(MAX(ROW(E774:E$2)*(E775=E774:E$2)))))</f>
        <v> </v>
      </c>
      <c r="J775" s="26" t="str">
        <f>IF(OR(E775="",E775="!!!",F775="NEW"),"",COUNTBLANK(OFFSET(A$1,,,SUMPRODUCT(MAX(ROW(E$2:E775)*(E775=E$2:E775)))))-COUNTBLANK(OFFSET(A$1,,,SUMPRODUCT(MAX(ROW(E$1:E774)*(E2=E$1:E774))))))</f>
        <v> </v>
      </c>
      <c r="K775" s="26" t="str">
        <f>IF(OR(E775="",E775="!!!",F775="NEW"),"",INDEX(J$1:J774,SUMPRODUCT(MAX(ROW(E$1:E774)*(E775=E$1:E774)))))</f>
        <v> </v>
      </c>
      <c r="L775" s="27"/>
    </row>
    <row r="776" spans="1:12">
      <c r="A776" s="20" t="s">
        <v>1129</v>
      </c>
      <c r="B776" s="21" t="s">
        <v>755</v>
      </c>
      <c r="C776" s="21" t="s">
        <v>748</v>
      </c>
      <c r="E776" s="22">
        <f>IF(D776="?OLD","!!!","")</f>
        <v/>
      </c>
      <c r="F776" s="23" t="str">
        <f>IF(OR(E776="",E776="!!!"),"",IF(NOT(ISNA(VLOOKUP(E776,E$1:E775,1,FALSE()))),"OLD",IF(AND(E776&lt;&gt;"",E776&lt;&gt;"!!!"),"NEW","")))</f>
        <v> </v>
      </c>
      <c r="G776" s="24" t="str">
        <f>IF(OR(E776="",E776="!!!"),"",IF(OR(J776=0,AND(J776=1,K776=1),AND(J776=1,I776="SBJ"),AND(J776=1,I776=0)),"?IN_FOCUS",IF(J776&lt;=2,"?ACTIVATED",IF(J776&lt;&gt;"","?FAMILIAR",IF(F776="NEW",IF(ISNA(VLOOKUP(E776,#REF!,1,FALSE())),"?TYPE_IDENTIFIABLE","?REFERENTIAL"),"_")))))</f>
        <v> </v>
      </c>
      <c r="H776" s="25" t="str">
        <f>IF(J776&lt;&gt;1,"",IF(I776="SBJ","CB","?"))</f>
        <v> </v>
      </c>
      <c r="I776" s="26" t="str">
        <f>IF(OR(E776="",E776="!!!",F776="NEW"),"",INDEX(B775:B$2,-1+SUMPRODUCT(MAX(ROW(E775:E$2)*(E776=E775:E$2)))))</f>
        <v> </v>
      </c>
      <c r="J776" s="26" t="str">
        <f>IF(OR(E776="",E776="!!!",F776="NEW"),"",COUNTBLANK(OFFSET(A$1,,,SUMPRODUCT(MAX(ROW(E$2:E776)*(E776=E$2:E776)))))-COUNTBLANK(OFFSET(A$1,,,SUMPRODUCT(MAX(ROW(E$1:E775)*(E2=E$1:E775))))))</f>
        <v> </v>
      </c>
      <c r="K776" s="26" t="str">
        <f>IF(OR(E776="",E776="!!!",F776="NEW"),"",INDEX(J$1:J775,SUMPRODUCT(MAX(ROW(E$1:E775)*(E776=E$1:E775)))))</f>
        <v> </v>
      </c>
      <c r="L776" s="27"/>
    </row>
    <row r="777" spans="1:12">
      <c r="A777" s="20" t="s">
        <v>759</v>
      </c>
      <c r="E777" s="22">
        <f>IF(D777="?OLD","!!!","")</f>
        <v/>
      </c>
      <c r="F777" s="23" t="str">
        <f>IF(OR(E777="",E777="!!!"),"",IF(NOT(ISNA(VLOOKUP(E777,E$1:E776,1,FALSE()))),"OLD",IF(AND(E777&lt;&gt;"",E777&lt;&gt;"!!!"),"NEW","")))</f>
        <v> </v>
      </c>
      <c r="G777" s="24" t="str">
        <f>IF(OR(E777="",E777="!!!"),"",IF(OR(J777=0,AND(J777=1,K777=1),AND(J777=1,I777="SBJ"),AND(J777=1,I777=0)),"?IN_FOCUS",IF(J777&lt;=2,"?ACTIVATED",IF(J777&lt;&gt;"","?FAMILIAR",IF(F777="NEW",IF(ISNA(VLOOKUP(E777,#REF!,1,FALSE())),"?TYPE_IDENTIFIABLE","?REFERENTIAL"),"_")))))</f>
        <v> </v>
      </c>
      <c r="H777" s="25" t="str">
        <f>IF(J777&lt;&gt;1,"",IF(I777="SBJ","CB","?"))</f>
        <v> </v>
      </c>
      <c r="I777" s="26" t="str">
        <f>IF(OR(E777="",E777="!!!",F777="NEW"),"",INDEX(B776:B$2,-1+SUMPRODUCT(MAX(ROW(E776:E$2)*(E777=E776:E$2)))))</f>
        <v> </v>
      </c>
      <c r="J777" s="26" t="str">
        <f>IF(OR(E777="",E777="!!!",F777="NEW"),"",COUNTBLANK(OFFSET(A$1,,,SUMPRODUCT(MAX(ROW(E$2:E777)*(E777=E$2:E777)))))-COUNTBLANK(OFFSET(A$1,,,SUMPRODUCT(MAX(ROW(E$1:E776)*(E2=E$1:E776))))))</f>
        <v> </v>
      </c>
      <c r="K777" s="26" t="str">
        <f>IF(OR(E777="",E777="!!!",F777="NEW"),"",INDEX(J$1:J776,SUMPRODUCT(MAX(ROW(E$1:E776)*(E777=E$1:E776)))))</f>
        <v> </v>
      </c>
      <c r="L777" s="27"/>
    </row>
    <row r="778" spans="1:12">
      <c r="A778" s="20" t="s">
        <v>912</v>
      </c>
      <c r="B778" s="21" t="s">
        <v>1130</v>
      </c>
      <c r="C778" s="21" t="s">
        <v>748</v>
      </c>
      <c r="E778" s="22">
        <f>IF(D778="?OLD","!!!","")</f>
        <v/>
      </c>
      <c r="F778" s="23" t="str">
        <f>IF(OR(E778="",E778="!!!"),"",IF(NOT(ISNA(VLOOKUP(E778,E$1:E777,1,FALSE()))),"OLD",IF(AND(E778&lt;&gt;"",E778&lt;&gt;"!!!"),"NEW","")))</f>
        <v> </v>
      </c>
      <c r="G778" s="24" t="str">
        <f>IF(OR(E778="",E778="!!!"),"",IF(OR(J778=0,AND(J778=1,K778=1),AND(J778=1,I778="SBJ"),AND(J778=1,I778=0)),"?IN_FOCUS",IF(J778&lt;=2,"?ACTIVATED",IF(J778&lt;&gt;"","?FAMILIAR",IF(F778="NEW",IF(ISNA(VLOOKUP(E778,#REF!,1,FALSE())),"?TYPE_IDENTIFIABLE","?REFERENTIAL"),"_")))))</f>
        <v> </v>
      </c>
      <c r="H778" s="25" t="str">
        <f>IF(J778&lt;&gt;1,"",IF(I778="SBJ","CB","?"))</f>
        <v> </v>
      </c>
      <c r="I778" s="26" t="str">
        <f>IF(OR(E778="",E778="!!!",F778="NEW"),"",INDEX(B777:B$2,-1+SUMPRODUCT(MAX(ROW(E777:E$2)*(E778=E777:E$2)))))</f>
        <v> </v>
      </c>
      <c r="J778" s="26" t="str">
        <f>IF(OR(E778="",E778="!!!",F778="NEW"),"",COUNTBLANK(OFFSET(A$1,,,SUMPRODUCT(MAX(ROW(E$2:E778)*(E778=E$2:E778)))))-COUNTBLANK(OFFSET(A$1,,,SUMPRODUCT(MAX(ROW(E$1:E777)*(E2=E$1:E777))))))</f>
        <v> </v>
      </c>
      <c r="K778" s="26" t="str">
        <f>IF(OR(E778="",E778="!!!",F778="NEW"),"",INDEX(J$1:J777,SUMPRODUCT(MAX(ROW(E$1:E777)*(E778=E$1:E777)))))</f>
        <v> </v>
      </c>
      <c r="L778" s="27"/>
    </row>
    <row r="779" spans="1:12">
      <c r="A779" s="20" t="s">
        <v>754</v>
      </c>
      <c r="E779" s="22">
        <f>IF(D779="?OLD","!!!","")</f>
        <v/>
      </c>
      <c r="F779" s="23" t="str">
        <f>IF(OR(E779="",E779="!!!"),"",IF(NOT(ISNA(VLOOKUP(E779,E$1:E778,1,FALSE()))),"OLD",IF(AND(E779&lt;&gt;"",E779&lt;&gt;"!!!"),"NEW","")))</f>
        <v> </v>
      </c>
      <c r="G779" s="24" t="str">
        <f>IF(OR(E779="",E779="!!!"),"",IF(OR(J779=0,AND(J779=1,K779=1),AND(J779=1,I779="SBJ"),AND(J779=1,I779=0)),"?IN_FOCUS",IF(J779&lt;=2,"?ACTIVATED",IF(J779&lt;&gt;"","?FAMILIAR",IF(F779="NEW",IF(ISNA(VLOOKUP(E779,#REF!,1,FALSE())),"?TYPE_IDENTIFIABLE","?REFERENTIAL"),"_")))))</f>
        <v> </v>
      </c>
      <c r="H779" s="25" t="str">
        <f>IF(J779&lt;&gt;1,"",IF(I779="SBJ","CB","?"))</f>
        <v> </v>
      </c>
      <c r="I779" s="26" t="str">
        <f>IF(OR(E779="",E779="!!!",F779="NEW"),"",INDEX(B778:B$2,-1+SUMPRODUCT(MAX(ROW(E778:E$2)*(E779=E778:E$2)))))</f>
        <v> </v>
      </c>
      <c r="J779" s="26" t="str">
        <f>IF(OR(E779="",E779="!!!",F779="NEW"),"",COUNTBLANK(OFFSET(A$1,,,SUMPRODUCT(MAX(ROW(E$2:E779)*(E779=E$2:E779)))))-COUNTBLANK(OFFSET(A$1,,,SUMPRODUCT(MAX(ROW(E$1:E778)*(E2=E$1:E778))))))</f>
        <v> </v>
      </c>
      <c r="K779" s="26" t="str">
        <f>IF(OR(E779="",E779="!!!",F779="NEW"),"",INDEX(J$1:J778,SUMPRODUCT(MAX(ROW(E$1:E778)*(E779=E$1:E778)))))</f>
        <v> </v>
      </c>
      <c r="L779" s="27"/>
    </row>
    <row r="780" spans="1:12">
      <c r="A780" s="20" t="s">
        <v>62</v>
      </c>
      <c r="E780" s="22">
        <f>IF(D780="?OLD","!!!","")</f>
        <v/>
      </c>
      <c r="F780" s="23" t="str">
        <f>IF(OR(E780="",E780="!!!"),"",IF(NOT(ISNA(VLOOKUP(E780,E$1:E779,1,FALSE()))),"OLD",IF(AND(E780&lt;&gt;"",E780&lt;&gt;"!!!"),"NEW","")))</f>
        <v> </v>
      </c>
      <c r="G780" s="24" t="str">
        <f>IF(OR(E780="",E780="!!!"),"",IF(OR(J780=0,AND(J780=1,K780=1),AND(J780=1,I780="SBJ"),AND(J780=1,I780=0)),"?IN_FOCUS",IF(J780&lt;=2,"?ACTIVATED",IF(J780&lt;&gt;"","?FAMILIAR",IF(F780="NEW",IF(ISNA(VLOOKUP(E780,#REF!,1,FALSE())),"?TYPE_IDENTIFIABLE","?REFERENTIAL"),"_")))))</f>
        <v> </v>
      </c>
      <c r="H780" s="25" t="str">
        <f>IF(J780&lt;&gt;1,"",IF(I780="SBJ","CB","?"))</f>
        <v> </v>
      </c>
      <c r="I780" s="26" t="str">
        <f>IF(OR(E780="",E780="!!!",F780="NEW"),"",INDEX(B779:B$2,-1+SUMPRODUCT(MAX(ROW(E779:E$2)*(E780=E779:E$2)))))</f>
        <v> </v>
      </c>
      <c r="J780" s="26" t="str">
        <f>IF(OR(E780="",E780="!!!",F780="NEW"),"",COUNTBLANK(OFFSET(A$1,,,SUMPRODUCT(MAX(ROW(E$2:E780)*(E780=E$2:E780)))))-COUNTBLANK(OFFSET(A$1,,,SUMPRODUCT(MAX(ROW(E$1:E779)*(E2=E$1:E779))))))</f>
        <v> </v>
      </c>
      <c r="K780" s="26" t="str">
        <f>IF(OR(E780="",E780="!!!",F780="NEW"),"",INDEX(J$1:J779,SUMPRODUCT(MAX(ROW(E$1:E779)*(E780=E$1:E779)))))</f>
        <v> </v>
      </c>
      <c r="L780" s="27"/>
    </row>
    <row r="781" spans="1:12">
      <c r="A781" s="20" t="s">
        <v>759</v>
      </c>
      <c r="E781" s="22">
        <f>IF(D781="?OLD","!!!","")</f>
        <v/>
      </c>
      <c r="F781" s="23" t="str">
        <f>IF(OR(E781="",E781="!!!"),"",IF(NOT(ISNA(VLOOKUP(E781,E$1:E780,1,FALSE()))),"OLD",IF(AND(E781&lt;&gt;"",E781&lt;&gt;"!!!"),"NEW","")))</f>
        <v> </v>
      </c>
      <c r="G781" s="24" t="str">
        <f>IF(OR(E781="",E781="!!!"),"",IF(OR(J781=0,AND(J781=1,K781=1),AND(J781=1,I781="SBJ"),AND(J781=1,I781=0)),"?IN_FOCUS",IF(J781&lt;=2,"?ACTIVATED",IF(J781&lt;&gt;"","?FAMILIAR",IF(F781="NEW",IF(ISNA(VLOOKUP(E781,#REF!,1,FALSE())),"?TYPE_IDENTIFIABLE","?REFERENTIAL"),"_")))))</f>
        <v> </v>
      </c>
      <c r="H781" s="25" t="str">
        <f>IF(J781&lt;&gt;1,"",IF(I781="SBJ","CB","?"))</f>
        <v> </v>
      </c>
      <c r="I781" s="26" t="str">
        <f>IF(OR(E781="",E781="!!!",F781="NEW"),"",INDEX(B780:B$2,-1+SUMPRODUCT(MAX(ROW(E780:E$2)*(E781=E780:E$2)))))</f>
        <v> </v>
      </c>
      <c r="J781" s="26" t="str">
        <f>IF(OR(E781="",E781="!!!",F781="NEW"),"",COUNTBLANK(OFFSET(A$1,,,SUMPRODUCT(MAX(ROW(E$2:E781)*(E781=E$2:E781)))))-COUNTBLANK(OFFSET(A$1,,,SUMPRODUCT(MAX(ROW(E$1:E780)*(E2=E$1:E780))))))</f>
        <v> </v>
      </c>
      <c r="K781" s="26" t="str">
        <f>IF(OR(E781="",E781="!!!",F781="NEW"),"",INDEX(J$1:J780,SUMPRODUCT(MAX(ROW(E$1:E780)*(E781=E$1:E780)))))</f>
        <v> </v>
      </c>
      <c r="L781" s="27"/>
    </row>
    <row r="782" spans="1:12">
      <c r="A782" s="20" t="s">
        <v>754</v>
      </c>
      <c r="E782" s="22">
        <f>IF(D782="?OLD","!!!","")</f>
        <v/>
      </c>
      <c r="F782" s="23" t="str">
        <f>IF(OR(E782="",E782="!!!"),"",IF(NOT(ISNA(VLOOKUP(E782,E$1:E781,1,FALSE()))),"OLD",IF(AND(E782&lt;&gt;"",E782&lt;&gt;"!!!"),"NEW","")))</f>
        <v> </v>
      </c>
      <c r="G782" s="24" t="str">
        <f>IF(OR(E782="",E782="!!!"),"",IF(OR(J782=0,AND(J782=1,K782=1),AND(J782=1,I782="SBJ"),AND(J782=1,I782=0)),"?IN_FOCUS",IF(J782&lt;=2,"?ACTIVATED",IF(J782&lt;&gt;"","?FAMILIAR",IF(F782="NEW",IF(ISNA(VLOOKUP(E782,#REF!,1,FALSE())),"?TYPE_IDENTIFIABLE","?REFERENTIAL"),"_")))))</f>
        <v> </v>
      </c>
      <c r="H782" s="25" t="str">
        <f>IF(J782&lt;&gt;1,"",IF(I782="SBJ","CB","?"))</f>
        <v> </v>
      </c>
      <c r="I782" s="26" t="str">
        <f>IF(OR(E782="",E782="!!!",F782="NEW"),"",INDEX(B781:B$2,-1+SUMPRODUCT(MAX(ROW(E781:E$2)*(E782=E781:E$2)))))</f>
        <v> </v>
      </c>
      <c r="J782" s="26" t="str">
        <f>IF(OR(E782="",E782="!!!",F782="NEW"),"",COUNTBLANK(OFFSET(A$1,,,SUMPRODUCT(MAX(ROW(E$2:E782)*(E782=E$2:E782)))))-COUNTBLANK(OFFSET(A$1,,,SUMPRODUCT(MAX(ROW(E$1:E781)*(E2=E$1:E781))))))</f>
        <v> </v>
      </c>
      <c r="K782" s="26" t="str">
        <f>IF(OR(E782="",E782="!!!",F782="NEW"),"",INDEX(J$1:J781,SUMPRODUCT(MAX(ROW(E$1:E781)*(E782=E$1:E781)))))</f>
        <v> </v>
      </c>
      <c r="L782" s="27"/>
    </row>
    <row r="783" spans="1:12">
      <c r="A783" s="20" t="s">
        <v>1131</v>
      </c>
      <c r="E783" s="22">
        <f>IF(D783="?OLD","!!!","")</f>
        <v/>
      </c>
      <c r="F783" s="23" t="str">
        <f>IF(OR(E783="",E783="!!!"),"",IF(NOT(ISNA(VLOOKUP(E783,E$1:E782,1,FALSE()))),"OLD",IF(AND(E783&lt;&gt;"",E783&lt;&gt;"!!!"),"NEW","")))</f>
        <v> </v>
      </c>
      <c r="G783" s="24" t="str">
        <f>IF(OR(E783="",E783="!!!"),"",IF(OR(J783=0,AND(J783=1,K783=1),AND(J783=1,I783="SBJ"),AND(J783=1,I783=0)),"?IN_FOCUS",IF(J783&lt;=2,"?ACTIVATED",IF(J783&lt;&gt;"","?FAMILIAR",IF(F783="NEW",IF(ISNA(VLOOKUP(E783,#REF!,1,FALSE())),"?TYPE_IDENTIFIABLE","?REFERENTIAL"),"_")))))</f>
        <v> </v>
      </c>
      <c r="H783" s="25" t="str">
        <f>IF(J783&lt;&gt;1,"",IF(I783="SBJ","CB","?"))</f>
        <v> </v>
      </c>
      <c r="I783" s="26" t="str">
        <f>IF(OR(E783="",E783="!!!",F783="NEW"),"",INDEX(B782:B$2,-1+SUMPRODUCT(MAX(ROW(E782:E$2)*(E783=E782:E$2)))))</f>
        <v> </v>
      </c>
      <c r="J783" s="26" t="str">
        <f>IF(OR(E783="",E783="!!!",F783="NEW"),"",COUNTBLANK(OFFSET(A$1,,,SUMPRODUCT(MAX(ROW(E$2:E783)*(E783=E$2:E783)))))-COUNTBLANK(OFFSET(A$1,,,SUMPRODUCT(MAX(ROW(E$1:E782)*(E2=E$1:E782))))))</f>
        <v> </v>
      </c>
      <c r="K783" s="26" t="str">
        <f>IF(OR(E783="",E783="!!!",F783="NEW"),"",INDEX(J$1:J782,SUMPRODUCT(MAX(ROW(E$1:E782)*(E783=E$1:E782)))))</f>
        <v> </v>
      </c>
      <c r="L783" s="27"/>
    </row>
    <row r="784" spans="1:12">
      <c r="A784" s="20" t="s">
        <v>246</v>
      </c>
      <c r="E784" s="22">
        <f>IF(D784="?OLD","!!!","")</f>
        <v/>
      </c>
      <c r="F784" s="23" t="str">
        <f>IF(OR(E784="",E784="!!!"),"",IF(NOT(ISNA(VLOOKUP(E784,E$1:E783,1,FALSE()))),"OLD",IF(AND(E784&lt;&gt;"",E784&lt;&gt;"!!!"),"NEW","")))</f>
        <v> </v>
      </c>
      <c r="G784" s="24" t="str">
        <f>IF(OR(E784="",E784="!!!"),"",IF(OR(J784=0,AND(J784=1,K784=1),AND(J784=1,I784="SBJ"),AND(J784=1,I784=0)),"?IN_FOCUS",IF(J784&lt;=2,"?ACTIVATED",IF(J784&lt;&gt;"","?FAMILIAR",IF(F784="NEW",IF(ISNA(VLOOKUP(E784,#REF!,1,FALSE())),"?TYPE_IDENTIFIABLE","?REFERENTIAL"),"_")))))</f>
        <v> </v>
      </c>
      <c r="H784" s="25" t="str">
        <f>IF(J784&lt;&gt;1,"",IF(I784="SBJ","CB","?"))</f>
        <v> </v>
      </c>
      <c r="I784" s="26" t="str">
        <f>IF(OR(E784="",E784="!!!",F784="NEW"),"",INDEX(B783:B$2,-1+SUMPRODUCT(MAX(ROW(E783:E$2)*(E784=E783:E$2)))))</f>
        <v> </v>
      </c>
      <c r="J784" s="26" t="str">
        <f>IF(OR(E784="",E784="!!!",F784="NEW"),"",COUNTBLANK(OFFSET(A$1,,,SUMPRODUCT(MAX(ROW(E$2:E784)*(E784=E$2:E784)))))-COUNTBLANK(OFFSET(A$1,,,SUMPRODUCT(MAX(ROW(E$1:E783)*(E2=E$1:E783))))))</f>
        <v> </v>
      </c>
      <c r="K784" s="26" t="str">
        <f>IF(OR(E784="",E784="!!!",F784="NEW"),"",INDEX(J$1:J783,SUMPRODUCT(MAX(ROW(E$1:E783)*(E784=E$1:E783)))))</f>
        <v> </v>
      </c>
      <c r="L784" s="27"/>
    </row>
    <row r="785" spans="1:12">
      <c r="A785" s="20"/>
    </row>
    <row r="786" spans="1:12">
      <c r="A786" s="20" t="s">
        <v>1132</v>
      </c>
    </row>
    <row r="787" spans="1:12">
      <c r="A787" s="20" t="s">
        <v>1117</v>
      </c>
      <c r="E787" s="22">
        <f>IF(D787="?OLD","!!!","")</f>
        <v/>
      </c>
      <c r="F787" s="23" t="str">
        <f>IF(OR(E787="",E787="!!!"),"",IF(NOT(ISNA(VLOOKUP(E787,E$1:E786,1,FALSE()))),"OLD",IF(AND(E787&lt;&gt;"",E787&lt;&gt;"!!!"),"NEW","")))</f>
        <v> </v>
      </c>
      <c r="G787" s="24" t="str">
        <f>IF(OR(E787="",E787="!!!"),"",IF(OR(J787=0,AND(J787=1,K787=1),AND(J787=1,I787="SBJ"),AND(J787=1,I787=0)),"?IN_FOCUS",IF(J787&lt;=2,"?ACTIVATED",IF(J787&lt;&gt;"","?FAMILIAR",IF(F787="NEW",IF(ISNA(VLOOKUP(E787,#REF!,1,FALSE())),"?TYPE_IDENTIFIABLE","?REFERENTIAL"),"_")))))</f>
        <v> </v>
      </c>
      <c r="H787" s="25" t="str">
        <f>IF(J787&lt;&gt;1,"",IF(I787="SBJ","CB","?"))</f>
        <v> </v>
      </c>
      <c r="I787" s="26" t="str">
        <f>IF(OR(E787="",E787="!!!",F787="NEW"),"",INDEX(B786:B$2,-1+SUMPRODUCT(MAX(ROW(E786:E$2)*(E787=E786:E$2)))))</f>
        <v> </v>
      </c>
      <c r="J787" s="26" t="str">
        <f>IF(OR(E787="",E787="!!!",F787="NEW"),"",COUNTBLANK(OFFSET(A$1,,,SUMPRODUCT(MAX(ROW(E$2:E787)*(E787=E$2:E787)))))-COUNTBLANK(OFFSET(A$1,,,SUMPRODUCT(MAX(ROW(E$1:E786)*(E2=E$1:E786))))))</f>
        <v> </v>
      </c>
      <c r="K787" s="26" t="str">
        <f>IF(OR(E787="",E787="!!!",F787="NEW"),"",INDEX(J$1:J786,SUMPRODUCT(MAX(ROW(E$1:E786)*(E787=E$1:E786)))))</f>
        <v> </v>
      </c>
      <c r="L787" s="27"/>
    </row>
    <row r="788" spans="1:12">
      <c r="A788" s="20" t="s">
        <v>1133</v>
      </c>
      <c r="B788" s="21" t="s">
        <v>736</v>
      </c>
      <c r="C788" s="21" t="s">
        <v>748</v>
      </c>
      <c r="E788" s="22">
        <f>IF(D788="?OLD","!!!","")</f>
        <v/>
      </c>
      <c r="F788" s="23" t="str">
        <f>IF(OR(E788="",E788="!!!"),"",IF(NOT(ISNA(VLOOKUP(E788,E$1:E787,1,FALSE()))),"OLD",IF(AND(E788&lt;&gt;"",E788&lt;&gt;"!!!"),"NEW","")))</f>
        <v> </v>
      </c>
      <c r="G788" s="24" t="str">
        <f>IF(OR(E788="",E788="!!!"),"",IF(OR(J788=0,AND(J788=1,K788=1),AND(J788=1,I788="SBJ"),AND(J788=1,I788=0)),"?IN_FOCUS",IF(J788&lt;=2,"?ACTIVATED",IF(J788&lt;&gt;"","?FAMILIAR",IF(F788="NEW",IF(ISNA(VLOOKUP(E788,#REF!,1,FALSE())),"?TYPE_IDENTIFIABLE","?REFERENTIAL"),"_")))))</f>
        <v> </v>
      </c>
      <c r="H788" s="25" t="str">
        <f>IF(J788&lt;&gt;1,"",IF(I788="SBJ","CB","?"))</f>
        <v> </v>
      </c>
      <c r="I788" s="26" t="str">
        <f>IF(OR(E788="",E788="!!!",F788="NEW"),"",INDEX(B787:B$2,-1+SUMPRODUCT(MAX(ROW(E787:E$2)*(E788=E787:E$2)))))</f>
        <v> </v>
      </c>
      <c r="J788" s="26" t="str">
        <f>IF(OR(E788="",E788="!!!",F788="NEW"),"",COUNTBLANK(OFFSET(A$1,,,SUMPRODUCT(MAX(ROW(E$2:E788)*(E788=E$2:E788)))))-COUNTBLANK(OFFSET(A$1,,,SUMPRODUCT(MAX(ROW(E$1:E787)*(E2=E$1:E787))))))</f>
        <v> </v>
      </c>
      <c r="K788" s="26" t="str">
        <f>IF(OR(E788="",E788="!!!",F788="NEW"),"",INDEX(J$1:J787,SUMPRODUCT(MAX(ROW(E$1:E787)*(E788=E$1:E787)))))</f>
        <v> </v>
      </c>
      <c r="L788" s="27"/>
    </row>
    <row r="789" spans="1:12">
      <c r="A789" s="20" t="s">
        <v>1134</v>
      </c>
      <c r="E789" s="22">
        <f>IF(D789="?OLD","!!!","")</f>
        <v/>
      </c>
      <c r="F789" s="23" t="str">
        <f>IF(OR(E789="",E789="!!!"),"",IF(NOT(ISNA(VLOOKUP(E789,E$1:E788,1,FALSE()))),"OLD",IF(AND(E789&lt;&gt;"",E789&lt;&gt;"!!!"),"NEW","")))</f>
        <v> </v>
      </c>
      <c r="G789" s="24" t="str">
        <f>IF(OR(E789="",E789="!!!"),"",IF(OR(J789=0,AND(J789=1,K789=1),AND(J789=1,I789="SBJ"),AND(J789=1,I789=0)),"?IN_FOCUS",IF(J789&lt;=2,"?ACTIVATED",IF(J789&lt;&gt;"","?FAMILIAR",IF(F789="NEW",IF(ISNA(VLOOKUP(E789,#REF!,1,FALSE())),"?TYPE_IDENTIFIABLE","?REFERENTIAL"),"_")))))</f>
        <v> </v>
      </c>
      <c r="H789" s="25" t="str">
        <f>IF(J789&lt;&gt;1,"",IF(I789="SBJ","CB","?"))</f>
        <v> </v>
      </c>
      <c r="I789" s="26" t="str">
        <f>IF(OR(E789="",E789="!!!",F789="NEW"),"",INDEX(B788:B$2,-1+SUMPRODUCT(MAX(ROW(E788:E$2)*(E789=E788:E$2)))))</f>
        <v> </v>
      </c>
      <c r="J789" s="26" t="str">
        <f>IF(OR(E789="",E789="!!!",F789="NEW"),"",COUNTBLANK(OFFSET(A$1,,,SUMPRODUCT(MAX(ROW(E$2:E789)*(E789=E$2:E789)))))-COUNTBLANK(OFFSET(A$1,,,SUMPRODUCT(MAX(ROW(E$1:E788)*(E2=E$1:E788))))))</f>
        <v> </v>
      </c>
      <c r="K789" s="26" t="str">
        <f>IF(OR(E789="",E789="!!!",F789="NEW"),"",INDEX(J$1:J788,SUMPRODUCT(MAX(ROW(E$1:E788)*(E789=E$1:E788)))))</f>
        <v> </v>
      </c>
      <c r="L789" s="27"/>
    </row>
    <row r="790" spans="1:12">
      <c r="A790" s="20" t="s">
        <v>750</v>
      </c>
      <c r="B790" s="21" t="s">
        <v>728</v>
      </c>
      <c r="C790" s="21" t="s">
        <v>729</v>
      </c>
      <c r="D790" s="21" t="s">
        <v>730</v>
      </c>
      <c r="E790" s="22">
        <f>IF(D790="?OLD","!!!","")</f>
        <v/>
      </c>
      <c r="F790" s="23" t="str">
        <f>IF(OR(E790="",E790="!!!"),"",IF(NOT(ISNA(VLOOKUP(E790,E$1:E789,1,FALSE()))),"OLD",IF(AND(E790&lt;&gt;"",E790&lt;&gt;"!!!"),"NEW","")))</f>
        <v> </v>
      </c>
      <c r="G790" s="24" t="str">
        <f>IF(OR(E790="",E790="!!!"),"",IF(OR(J790=0,AND(J790=1,K790=1),AND(J790=1,I790="SBJ"),AND(J790=1,I790=0)),"?IN_FOCUS",IF(J790&lt;=2,"?ACTIVATED",IF(J790&lt;&gt;"","?FAMILIAR",IF(F790="NEW",IF(ISNA(VLOOKUP(E790,#REF!,1,FALSE())),"?TYPE_IDENTIFIABLE","?REFERENTIAL"),"_")))))</f>
        <v> </v>
      </c>
      <c r="H790" s="25" t="str">
        <f>IF(J790&lt;&gt;1,"",IF(I790="SBJ","CB","?"))</f>
        <v> </v>
      </c>
      <c r="I790" s="26" t="str">
        <f>IF(OR(E790="",E790="!!!",F790="NEW"),"",INDEX(B789:B$2,-1+SUMPRODUCT(MAX(ROW(E789:E$2)*(E790=E789:E$2)))))</f>
        <v> </v>
      </c>
      <c r="J790" s="26" t="str">
        <f>IF(OR(E790="",E790="!!!",F790="NEW"),"",COUNTBLANK(OFFSET(A$1,,,SUMPRODUCT(MAX(ROW(E$2:E790)*(E790=E$2:E790)))))-COUNTBLANK(OFFSET(A$1,,,SUMPRODUCT(MAX(ROW(E$1:E789)*(E2=E$1:E789))))))</f>
        <v> </v>
      </c>
      <c r="K790" s="26" t="str">
        <f>IF(OR(E790="",E790="!!!",F790="NEW"),"",INDEX(J$1:J789,SUMPRODUCT(MAX(ROW(E$1:E789)*(E790=E$1:E789)))))</f>
        <v> </v>
      </c>
      <c r="L790" s="27"/>
    </row>
    <row r="791" spans="1:12">
      <c r="A791" s="20" t="s">
        <v>949</v>
      </c>
      <c r="E791" s="22">
        <f>IF(D791="?OLD","!!!","")</f>
        <v/>
      </c>
      <c r="F791" s="23" t="str">
        <f>IF(OR(E791="",E791="!!!"),"",IF(NOT(ISNA(VLOOKUP(E791,E$1:E790,1,FALSE()))),"OLD",IF(AND(E791&lt;&gt;"",E791&lt;&gt;"!!!"),"NEW","")))</f>
        <v> </v>
      </c>
      <c r="G791" s="24" t="str">
        <f>IF(OR(E791="",E791="!!!"),"",IF(OR(J791=0,AND(J791=1,K791=1),AND(J791=1,I791="SBJ"),AND(J791=1,I791=0)),"?IN_FOCUS",IF(J791&lt;=2,"?ACTIVATED",IF(J791&lt;&gt;"","?FAMILIAR",IF(F791="NEW",IF(ISNA(VLOOKUP(E791,#REF!,1,FALSE())),"?TYPE_IDENTIFIABLE","?REFERENTIAL"),"_")))))</f>
        <v> </v>
      </c>
      <c r="H791" s="25" t="str">
        <f>IF(J791&lt;&gt;1,"",IF(I791="SBJ","CB","?"))</f>
        <v> </v>
      </c>
      <c r="I791" s="26" t="str">
        <f>IF(OR(E791="",E791="!!!",F791="NEW"),"",INDEX(B790:B$2,-1+SUMPRODUCT(MAX(ROW(E790:E$2)*(E791=E790:E$2)))))</f>
        <v> </v>
      </c>
      <c r="J791" s="26" t="str">
        <f>IF(OR(E791="",E791="!!!",F791="NEW"),"",COUNTBLANK(OFFSET(A$1,,,SUMPRODUCT(MAX(ROW(E$2:E791)*(E791=E$2:E791)))))-COUNTBLANK(OFFSET(A$1,,,SUMPRODUCT(MAX(ROW(E$1:E790)*(E2=E$1:E790))))))</f>
        <v> </v>
      </c>
      <c r="K791" s="26" t="str">
        <f>IF(OR(E791="",E791="!!!",F791="NEW"),"",INDEX(J$1:J790,SUMPRODUCT(MAX(ROW(E$1:E790)*(E791=E$1:E790)))))</f>
        <v> </v>
      </c>
      <c r="L791" s="27"/>
    </row>
    <row r="792" spans="1:12">
      <c r="A792" s="20" t="s">
        <v>1135</v>
      </c>
      <c r="B792" s="21" t="s">
        <v>764</v>
      </c>
      <c r="C792" s="21" t="s">
        <v>748</v>
      </c>
      <c r="E792" s="22">
        <f>IF(D792="?OLD","!!!","")</f>
        <v/>
      </c>
      <c r="F792" s="23" t="str">
        <f>IF(OR(E792="",E792="!!!"),"",IF(NOT(ISNA(VLOOKUP(E792,E$1:E791,1,FALSE()))),"OLD",IF(AND(E792&lt;&gt;"",E792&lt;&gt;"!!!"),"NEW","")))</f>
        <v> </v>
      </c>
      <c r="G792" s="24" t="str">
        <f>IF(OR(E792="",E792="!!!"),"",IF(OR(J792=0,AND(J792=1,K792=1),AND(J792=1,I792="SBJ"),AND(J792=1,I792=0)),"?IN_FOCUS",IF(J792&lt;=2,"?ACTIVATED",IF(J792&lt;&gt;"","?FAMILIAR",IF(F792="NEW",IF(ISNA(VLOOKUP(E792,#REF!,1,FALSE())),"?TYPE_IDENTIFIABLE","?REFERENTIAL"),"_")))))</f>
        <v> </v>
      </c>
      <c r="H792" s="25" t="str">
        <f>IF(J792&lt;&gt;1,"",IF(I792="SBJ","CB","?"))</f>
        <v> </v>
      </c>
      <c r="I792" s="26" t="str">
        <f>IF(OR(E792="",E792="!!!",F792="NEW"),"",INDEX(B791:B$2,-1+SUMPRODUCT(MAX(ROW(E791:E$2)*(E792=E791:E$2)))))</f>
        <v> </v>
      </c>
      <c r="J792" s="26" t="str">
        <f>IF(OR(E792="",E792="!!!",F792="NEW"),"",COUNTBLANK(OFFSET(A$1,,,SUMPRODUCT(MAX(ROW(E$2:E792)*(E792=E$2:E792)))))-COUNTBLANK(OFFSET(A$1,,,SUMPRODUCT(MAX(ROW(E$1:E791)*(E2=E$1:E791))))))</f>
        <v> </v>
      </c>
      <c r="K792" s="26" t="str">
        <f>IF(OR(E792="",E792="!!!",F792="NEW"),"",INDEX(J$1:J791,SUMPRODUCT(MAX(ROW(E$1:E791)*(E792=E$1:E791)))))</f>
        <v> </v>
      </c>
      <c r="L792" s="27"/>
    </row>
    <row r="793" spans="1:12">
      <c r="A793" s="20" t="s">
        <v>785</v>
      </c>
      <c r="E793" s="22">
        <f>IF(D793="?OLD","!!!","")</f>
        <v/>
      </c>
      <c r="F793" s="23" t="str">
        <f>IF(OR(E793="",E793="!!!"),"",IF(NOT(ISNA(VLOOKUP(E793,E$1:E792,1,FALSE()))),"OLD",IF(AND(E793&lt;&gt;"",E793&lt;&gt;"!!!"),"NEW","")))</f>
        <v> </v>
      </c>
      <c r="G793" s="24" t="str">
        <f>IF(OR(E793="",E793="!!!"),"",IF(OR(J793=0,AND(J793=1,K793=1),AND(J793=1,I793="SBJ"),AND(J793=1,I793=0)),"?IN_FOCUS",IF(J793&lt;=2,"?ACTIVATED",IF(J793&lt;&gt;"","?FAMILIAR",IF(F793="NEW",IF(ISNA(VLOOKUP(E793,#REF!,1,FALSE())),"?TYPE_IDENTIFIABLE","?REFERENTIAL"),"_")))))</f>
        <v> </v>
      </c>
      <c r="H793" s="25" t="str">
        <f>IF(J793&lt;&gt;1,"",IF(I793="SBJ","CB","?"))</f>
        <v> </v>
      </c>
      <c r="I793" s="26" t="str">
        <f>IF(OR(E793="",E793="!!!",F793="NEW"),"",INDEX(B792:B$2,-1+SUMPRODUCT(MAX(ROW(E792:E$2)*(E793=E792:E$2)))))</f>
        <v> </v>
      </c>
      <c r="J793" s="26" t="str">
        <f>IF(OR(E793="",E793="!!!",F793="NEW"),"",COUNTBLANK(OFFSET(A$1,,,SUMPRODUCT(MAX(ROW(E$2:E793)*(E793=E$2:E793)))))-COUNTBLANK(OFFSET(A$1,,,SUMPRODUCT(MAX(ROW(E$1:E792)*(E2=E$1:E792))))))</f>
        <v> </v>
      </c>
      <c r="K793" s="26" t="str">
        <f>IF(OR(E793="",E793="!!!",F793="NEW"),"",INDEX(J$1:J792,SUMPRODUCT(MAX(ROW(E$1:E792)*(E793=E$1:E792)))))</f>
        <v> </v>
      </c>
      <c r="L793" s="27"/>
    </row>
    <row r="794" spans="1:12">
      <c r="A794" s="20" t="s">
        <v>944</v>
      </c>
      <c r="E794" s="22">
        <f>IF(D794="?OLD","!!!","")</f>
        <v/>
      </c>
      <c r="F794" s="23" t="str">
        <f>IF(OR(E794="",E794="!!!"),"",IF(NOT(ISNA(VLOOKUP(E794,E$1:E793,1,FALSE()))),"OLD",IF(AND(E794&lt;&gt;"",E794&lt;&gt;"!!!"),"NEW","")))</f>
        <v> </v>
      </c>
      <c r="G794" s="24" t="str">
        <f>IF(OR(E794="",E794="!!!"),"",IF(OR(J794=0,AND(J794=1,K794=1),AND(J794=1,I794="SBJ"),AND(J794=1,I794=0)),"?IN_FOCUS",IF(J794&lt;=2,"?ACTIVATED",IF(J794&lt;&gt;"","?FAMILIAR",IF(F794="NEW",IF(ISNA(VLOOKUP(E794,#REF!,1,FALSE())),"?TYPE_IDENTIFIABLE","?REFERENTIAL"),"_")))))</f>
        <v> </v>
      </c>
      <c r="H794" s="25" t="str">
        <f>IF(J794&lt;&gt;1,"",IF(I794="SBJ","CB","?"))</f>
        <v> </v>
      </c>
      <c r="I794" s="26" t="str">
        <f>IF(OR(E794="",E794="!!!",F794="NEW"),"",INDEX(B793:B$2,-1+SUMPRODUCT(MAX(ROW(E793:E$2)*(E794=E793:E$2)))))</f>
        <v> </v>
      </c>
      <c r="J794" s="26" t="str">
        <f>IF(OR(E794="",E794="!!!",F794="NEW"),"",COUNTBLANK(OFFSET(A$1,,,SUMPRODUCT(MAX(ROW(E$2:E794)*(E794=E$2:E794)))))-COUNTBLANK(OFFSET(A$1,,,SUMPRODUCT(MAX(ROW(E$1:E793)*(E2=E$1:E793))))))</f>
        <v> </v>
      </c>
      <c r="K794" s="26" t="str">
        <f>IF(OR(E794="",E794="!!!",F794="NEW"),"",INDEX(J$1:J793,SUMPRODUCT(MAX(ROW(E$1:E793)*(E794=E$1:E793)))))</f>
        <v> </v>
      </c>
      <c r="L794" s="27"/>
    </row>
    <row r="795" spans="1:12">
      <c r="A795" s="20" t="s">
        <v>246</v>
      </c>
      <c r="E795" s="22">
        <f>IF(D795="?OLD","!!!","")</f>
        <v/>
      </c>
      <c r="F795" s="23" t="str">
        <f>IF(OR(E795="",E795="!!!"),"",IF(NOT(ISNA(VLOOKUP(E795,E$1:E794,1,FALSE()))),"OLD",IF(AND(E795&lt;&gt;"",E795&lt;&gt;"!!!"),"NEW","")))</f>
        <v> </v>
      </c>
      <c r="G795" s="24" t="str">
        <f>IF(OR(E795="",E795="!!!"),"",IF(OR(J795=0,AND(J795=1,K795=1),AND(J795=1,I795="SBJ"),AND(J795=1,I795=0)),"?IN_FOCUS",IF(J795&lt;=2,"?ACTIVATED",IF(J795&lt;&gt;"","?FAMILIAR",IF(F795="NEW",IF(ISNA(VLOOKUP(E795,#REF!,1,FALSE())),"?TYPE_IDENTIFIABLE","?REFERENTIAL"),"_")))))</f>
        <v> </v>
      </c>
      <c r="H795" s="25" t="str">
        <f>IF(J795&lt;&gt;1,"",IF(I795="SBJ","CB","?"))</f>
        <v> </v>
      </c>
      <c r="I795" s="26" t="str">
        <f>IF(OR(E795="",E795="!!!",F795="NEW"),"",INDEX(B794:B$2,-1+SUMPRODUCT(MAX(ROW(E794:E$2)*(E795=E794:E$2)))))</f>
        <v> </v>
      </c>
      <c r="J795" s="26" t="str">
        <f>IF(OR(E795="",E795="!!!",F795="NEW"),"",COUNTBLANK(OFFSET(A$1,,,SUMPRODUCT(MAX(ROW(E$2:E795)*(E795=E$2:E795)))))-COUNTBLANK(OFFSET(A$1,,,SUMPRODUCT(MAX(ROW(E$1:E794)*(E2=E$1:E794))))))</f>
        <v> </v>
      </c>
      <c r="K795" s="26" t="str">
        <f>IF(OR(E795="",E795="!!!",F795="NEW"),"",INDEX(J$1:J794,SUMPRODUCT(MAX(ROW(E$1:E794)*(E795=E$1:E794)))))</f>
        <v> </v>
      </c>
      <c r="L795" s="27"/>
    </row>
    <row r="796" spans="1:12">
      <c r="A796" s="20"/>
    </row>
    <row r="797" spans="1:12">
      <c r="A797" s="20" t="s">
        <v>1136</v>
      </c>
    </row>
    <row r="798" spans="1:12">
      <c r="A798" s="20" t="s">
        <v>1005</v>
      </c>
      <c r="E798" s="22">
        <f>IF(D798="?OLD","!!!","")</f>
        <v/>
      </c>
      <c r="F798" s="23" t="str">
        <f>IF(OR(E798="",E798="!!!"),"",IF(NOT(ISNA(VLOOKUP(E798,E$1:E797,1,FALSE()))),"OLD",IF(AND(E798&lt;&gt;"",E798&lt;&gt;"!!!"),"NEW","")))</f>
        <v> </v>
      </c>
      <c r="G798" s="24" t="str">
        <f>IF(OR(E798="",E798="!!!"),"",IF(OR(J798=0,AND(J798=1,K798=1),AND(J798=1,I798="SBJ"),AND(J798=1,I798=0)),"?IN_FOCUS",IF(J798&lt;=2,"?ACTIVATED",IF(J798&lt;&gt;"","?FAMILIAR",IF(F798="NEW",IF(ISNA(VLOOKUP(E798,#REF!,1,FALSE())),"?TYPE_IDENTIFIABLE","?REFERENTIAL"),"_")))))</f>
        <v> </v>
      </c>
      <c r="H798" s="25" t="str">
        <f>IF(J798&lt;&gt;1,"",IF(I798="SBJ","CB","?"))</f>
        <v> </v>
      </c>
      <c r="I798" s="26" t="str">
        <f>IF(OR(E798="",E798="!!!",F798="NEW"),"",INDEX(B797:B$2,-1+SUMPRODUCT(MAX(ROW(E797:E$2)*(E798=E797:E$2)))))</f>
        <v> </v>
      </c>
      <c r="J798" s="26" t="str">
        <f>IF(OR(E798="",E798="!!!",F798="NEW"),"",COUNTBLANK(OFFSET(A$1,,,SUMPRODUCT(MAX(ROW(E$2:E798)*(E798=E$2:E798)))))-COUNTBLANK(OFFSET(A$1,,,SUMPRODUCT(MAX(ROW(E$1:E797)*(E2=E$1:E797))))))</f>
        <v> </v>
      </c>
      <c r="K798" s="26" t="str">
        <f>IF(OR(E798="",E798="!!!",F798="NEW"),"",INDEX(J$1:J797,SUMPRODUCT(MAX(ROW(E$1:E797)*(E798=E$1:E797)))))</f>
        <v> </v>
      </c>
      <c r="L798" s="27"/>
    </row>
    <row r="799" spans="1:12">
      <c r="A799" s="20" t="s">
        <v>1137</v>
      </c>
      <c r="E799" s="22">
        <f>IF(D799="?OLD","!!!","")</f>
        <v/>
      </c>
      <c r="F799" s="23" t="str">
        <f>IF(OR(E799="",E799="!!!"),"",IF(NOT(ISNA(VLOOKUP(E799,E$1:E798,1,FALSE()))),"OLD",IF(AND(E799&lt;&gt;"",E799&lt;&gt;"!!!"),"NEW","")))</f>
        <v> </v>
      </c>
      <c r="G799" s="24" t="str">
        <f>IF(OR(E799="",E799="!!!"),"",IF(OR(J799=0,AND(J799=1,K799=1),AND(J799=1,I799="SBJ"),AND(J799=1,I799=0)),"?IN_FOCUS",IF(J799&lt;=2,"?ACTIVATED",IF(J799&lt;&gt;"","?FAMILIAR",IF(F799="NEW",IF(ISNA(VLOOKUP(E799,#REF!,1,FALSE())),"?TYPE_IDENTIFIABLE","?REFERENTIAL"),"_")))))</f>
        <v> </v>
      </c>
      <c r="H799" s="25" t="str">
        <f>IF(J799&lt;&gt;1,"",IF(I799="SBJ","CB","?"))</f>
        <v> </v>
      </c>
      <c r="I799" s="26" t="str">
        <f>IF(OR(E799="",E799="!!!",F799="NEW"),"",INDEX(B798:B$2,-1+SUMPRODUCT(MAX(ROW(E798:E$2)*(E799=E798:E$2)))))</f>
        <v> </v>
      </c>
      <c r="J799" s="26" t="str">
        <f>IF(OR(E799="",E799="!!!",F799="NEW"),"",COUNTBLANK(OFFSET(A$1,,,SUMPRODUCT(MAX(ROW(E$2:E799)*(E799=E$2:E799)))))-COUNTBLANK(OFFSET(A$1,,,SUMPRODUCT(MAX(ROW(E$1:E798)*(E2=E$1:E798))))))</f>
        <v> </v>
      </c>
      <c r="K799" s="26" t="str">
        <f>IF(OR(E799="",E799="!!!",F799="NEW"),"",INDEX(J$1:J798,SUMPRODUCT(MAX(ROW(E$1:E798)*(E799=E$1:E798)))))</f>
        <v> </v>
      </c>
      <c r="L799" s="27"/>
    </row>
    <row r="800" spans="1:12">
      <c r="A800" s="20" t="s">
        <v>1138</v>
      </c>
      <c r="B800" s="21" t="s">
        <v>796</v>
      </c>
      <c r="C800" s="21" t="s">
        <v>748</v>
      </c>
      <c r="E800" s="22">
        <f>IF(D800="?OLD","!!!","")</f>
        <v/>
      </c>
      <c r="F800" s="23" t="str">
        <f>IF(OR(E800="",E800="!!!"),"",IF(NOT(ISNA(VLOOKUP(E800,E$1:E799,1,FALSE()))),"OLD",IF(AND(E800&lt;&gt;"",E800&lt;&gt;"!!!"),"NEW","")))</f>
        <v> </v>
      </c>
      <c r="G800" s="24" t="str">
        <f>IF(OR(E800="",E800="!!!"),"",IF(OR(J800=0,AND(J800=1,K800=1),AND(J800=1,I800="SBJ"),AND(J800=1,I800=0)),"?IN_FOCUS",IF(J800&lt;=2,"?ACTIVATED",IF(J800&lt;&gt;"","?FAMILIAR",IF(F800="NEW",IF(ISNA(VLOOKUP(E800,#REF!,1,FALSE())),"?TYPE_IDENTIFIABLE","?REFERENTIAL"),"_")))))</f>
        <v> </v>
      </c>
      <c r="H800" s="25" t="str">
        <f>IF(J800&lt;&gt;1,"",IF(I800="SBJ","CB","?"))</f>
        <v> </v>
      </c>
      <c r="I800" s="26" t="str">
        <f>IF(OR(E800="",E800="!!!",F800="NEW"),"",INDEX(B799:B$2,-1+SUMPRODUCT(MAX(ROW(E799:E$2)*(E800=E799:E$2)))))</f>
        <v> </v>
      </c>
      <c r="J800" s="26" t="str">
        <f>IF(OR(E800="",E800="!!!",F800="NEW"),"",COUNTBLANK(OFFSET(A$1,,,SUMPRODUCT(MAX(ROW(E$2:E800)*(E800=E$2:E800)))))-COUNTBLANK(OFFSET(A$1,,,SUMPRODUCT(MAX(ROW(E$1:E799)*(E2=E$1:E799))))))</f>
        <v> </v>
      </c>
      <c r="K800" s="26" t="str">
        <f>IF(OR(E800="",E800="!!!",F800="NEW"),"",INDEX(J$1:J799,SUMPRODUCT(MAX(ROW(E$1:E799)*(E800=E$1:E799)))))</f>
        <v> </v>
      </c>
      <c r="L800" s="27"/>
    </row>
    <row r="801" spans="1:12">
      <c r="A801" s="20" t="s">
        <v>757</v>
      </c>
      <c r="E801" s="22">
        <f>IF(D801="?OLD","!!!","")</f>
        <v/>
      </c>
      <c r="F801" s="23" t="str">
        <f>IF(OR(E801="",E801="!!!"),"",IF(NOT(ISNA(VLOOKUP(E801,E$1:E800,1,FALSE()))),"OLD",IF(AND(E801&lt;&gt;"",E801&lt;&gt;"!!!"),"NEW","")))</f>
        <v> </v>
      </c>
      <c r="G801" s="24" t="str">
        <f>IF(OR(E801="",E801="!!!"),"",IF(OR(J801=0,AND(J801=1,K801=1),AND(J801=1,I801="SBJ"),AND(J801=1,I801=0)),"?IN_FOCUS",IF(J801&lt;=2,"?ACTIVATED",IF(J801&lt;&gt;"","?FAMILIAR",IF(F801="NEW",IF(ISNA(VLOOKUP(E801,#REF!,1,FALSE())),"?TYPE_IDENTIFIABLE","?REFERENTIAL"),"_")))))</f>
        <v> </v>
      </c>
      <c r="H801" s="25" t="str">
        <f>IF(J801&lt;&gt;1,"",IF(I801="SBJ","CB","?"))</f>
        <v> </v>
      </c>
      <c r="I801" s="26" t="str">
        <f>IF(OR(E801="",E801="!!!",F801="NEW"),"",INDEX(B800:B$2,-1+SUMPRODUCT(MAX(ROW(E800:E$2)*(E801=E800:E$2)))))</f>
        <v> </v>
      </c>
      <c r="J801" s="26" t="str">
        <f>IF(OR(E801="",E801="!!!",F801="NEW"),"",COUNTBLANK(OFFSET(A$1,,,SUMPRODUCT(MAX(ROW(E$2:E801)*(E801=E$2:E801)))))-COUNTBLANK(OFFSET(A$1,,,SUMPRODUCT(MAX(ROW(E$1:E800)*(E2=E$1:E800))))))</f>
        <v> </v>
      </c>
      <c r="K801" s="26" t="str">
        <f>IF(OR(E801="",E801="!!!",F801="NEW"),"",INDEX(J$1:J800,SUMPRODUCT(MAX(ROW(E$1:E800)*(E801=E$1:E800)))))</f>
        <v> </v>
      </c>
      <c r="L801" s="27"/>
    </row>
    <row r="802" spans="1:12">
      <c r="A802" s="20" t="s">
        <v>1139</v>
      </c>
      <c r="B802" s="21" t="s">
        <v>728</v>
      </c>
      <c r="C802" s="21" t="s">
        <v>753</v>
      </c>
      <c r="D802" s="21" t="s">
        <v>730</v>
      </c>
      <c r="E802" s="22">
        <f>IF(D802="?OLD","!!!","")</f>
        <v/>
      </c>
      <c r="F802" s="23" t="str">
        <f>IF(OR(E802="",E802="!!!"),"",IF(NOT(ISNA(VLOOKUP(E802,E$1:E801,1,FALSE()))),"OLD",IF(AND(E802&lt;&gt;"",E802&lt;&gt;"!!!"),"NEW","")))</f>
        <v> </v>
      </c>
      <c r="G802" s="24" t="str">
        <f>IF(OR(E802="",E802="!!!"),"",IF(OR(J802=0,AND(J802=1,K802=1),AND(J802=1,I802="SBJ"),AND(J802=1,I802=0)),"?IN_FOCUS",IF(J802&lt;=2,"?ACTIVATED",IF(J802&lt;&gt;"","?FAMILIAR",IF(F802="NEW",IF(ISNA(VLOOKUP(E802,#REF!,1,FALSE())),"?TYPE_IDENTIFIABLE","?REFERENTIAL"),"_")))))</f>
        <v> </v>
      </c>
      <c r="H802" s="25" t="str">
        <f>IF(J802&lt;&gt;1,"",IF(I802="SBJ","CB","?"))</f>
        <v> </v>
      </c>
      <c r="I802" s="26" t="str">
        <f>IF(OR(E802="",E802="!!!",F802="NEW"),"",INDEX(B801:B$2,-1+SUMPRODUCT(MAX(ROW(E801:E$2)*(E802=E801:E$2)))))</f>
        <v> </v>
      </c>
      <c r="J802" s="26" t="str">
        <f>IF(OR(E802="",E802="!!!",F802="NEW"),"",COUNTBLANK(OFFSET(A$1,,,SUMPRODUCT(MAX(ROW(E$2:E802)*(E802=E$2:E802)))))-COUNTBLANK(OFFSET(A$1,,,SUMPRODUCT(MAX(ROW(E$1:E801)*(E2=E$1:E801))))))</f>
        <v> </v>
      </c>
      <c r="K802" s="26" t="str">
        <f>IF(OR(E802="",E802="!!!",F802="NEW"),"",INDEX(J$1:J801,SUMPRODUCT(MAX(ROW(E$1:E801)*(E802=E$1:E801)))))</f>
        <v> </v>
      </c>
      <c r="L802" s="27"/>
    </row>
    <row r="803" spans="1:12">
      <c r="A803" s="20" t="s">
        <v>759</v>
      </c>
      <c r="E803" s="22">
        <f>IF(D803="?OLD","!!!","")</f>
        <v/>
      </c>
      <c r="F803" s="23" t="str">
        <f>IF(OR(E803="",E803="!!!"),"",IF(NOT(ISNA(VLOOKUP(E803,E$1:E802,1,FALSE()))),"OLD",IF(AND(E803&lt;&gt;"",E803&lt;&gt;"!!!"),"NEW","")))</f>
        <v> </v>
      </c>
      <c r="G803" s="24" t="str">
        <f>IF(OR(E803="",E803="!!!"),"",IF(OR(J803=0,AND(J803=1,K803=1),AND(J803=1,I803="SBJ"),AND(J803=1,I803=0)),"?IN_FOCUS",IF(J803&lt;=2,"?ACTIVATED",IF(J803&lt;&gt;"","?FAMILIAR",IF(F803="NEW",IF(ISNA(VLOOKUP(E803,#REF!,1,FALSE())),"?TYPE_IDENTIFIABLE","?REFERENTIAL"),"_")))))</f>
        <v> </v>
      </c>
      <c r="H803" s="25" t="str">
        <f>IF(J803&lt;&gt;1,"",IF(I803="SBJ","CB","?"))</f>
        <v> </v>
      </c>
      <c r="I803" s="26" t="str">
        <f>IF(OR(E803="",E803="!!!",F803="NEW"),"",INDEX(B802:B$2,-1+SUMPRODUCT(MAX(ROW(E802:E$2)*(E803=E802:E$2)))))</f>
        <v> </v>
      </c>
      <c r="J803" s="26" t="str">
        <f>IF(OR(E803="",E803="!!!",F803="NEW"),"",COUNTBLANK(OFFSET(A$1,,,SUMPRODUCT(MAX(ROW(E$2:E803)*(E803=E$2:E803)))))-COUNTBLANK(OFFSET(A$1,,,SUMPRODUCT(MAX(ROW(E$1:E802)*(E2=E$1:E802))))))</f>
        <v> </v>
      </c>
      <c r="K803" s="26" t="str">
        <f>IF(OR(E803="",E803="!!!",F803="NEW"),"",INDEX(J$1:J802,SUMPRODUCT(MAX(ROW(E$1:E802)*(E803=E$1:E802)))))</f>
        <v> </v>
      </c>
      <c r="L803" s="27"/>
    </row>
    <row r="804" spans="1:12">
      <c r="A804" s="20" t="s">
        <v>912</v>
      </c>
      <c r="B804" s="21" t="s">
        <v>739</v>
      </c>
      <c r="C804" s="21" t="s">
        <v>748</v>
      </c>
      <c r="E804" s="22">
        <f>IF(D804="?OLD","!!!","")</f>
        <v/>
      </c>
      <c r="F804" s="23" t="str">
        <f>IF(OR(E804="",E804="!!!"),"",IF(NOT(ISNA(VLOOKUP(E804,E$1:E803,1,FALSE()))),"OLD",IF(AND(E804&lt;&gt;"",E804&lt;&gt;"!!!"),"NEW","")))</f>
        <v> </v>
      </c>
      <c r="G804" s="24" t="str">
        <f>IF(OR(E804="",E804="!!!"),"",IF(OR(J804=0,AND(J804=1,K804=1),AND(J804=1,I804="SBJ"),AND(J804=1,I804=0)),"?IN_FOCUS",IF(J804&lt;=2,"?ACTIVATED",IF(J804&lt;&gt;"","?FAMILIAR",IF(F804="NEW",IF(ISNA(VLOOKUP(E804,#REF!,1,FALSE())),"?TYPE_IDENTIFIABLE","?REFERENTIAL"),"_")))))</f>
        <v> </v>
      </c>
      <c r="H804" s="25" t="str">
        <f>IF(J804&lt;&gt;1,"",IF(I804="SBJ","CB","?"))</f>
        <v> </v>
      </c>
      <c r="I804" s="26" t="str">
        <f>IF(OR(E804="",E804="!!!",F804="NEW"),"",INDEX(B803:B$2,-1+SUMPRODUCT(MAX(ROW(E803:E$2)*(E804=E803:E$2)))))</f>
        <v> </v>
      </c>
      <c r="J804" s="26" t="str">
        <f>IF(OR(E804="",E804="!!!",F804="NEW"),"",COUNTBLANK(OFFSET(A$1,,,SUMPRODUCT(MAX(ROW(E$2:E804)*(E804=E$2:E804)))))-COUNTBLANK(OFFSET(A$1,,,SUMPRODUCT(MAX(ROW(E$1:E803)*(E2=E$1:E803))))))</f>
        <v> </v>
      </c>
      <c r="K804" s="26" t="str">
        <f>IF(OR(E804="",E804="!!!",F804="NEW"),"",INDEX(J$1:J803,SUMPRODUCT(MAX(ROW(E$1:E803)*(E804=E$1:E803)))))</f>
        <v> </v>
      </c>
      <c r="L804" s="27"/>
    </row>
    <row r="805" spans="1:12">
      <c r="A805" s="20" t="s">
        <v>785</v>
      </c>
      <c r="E805" s="22">
        <f>IF(D805="?OLD","!!!","")</f>
        <v/>
      </c>
      <c r="F805" s="23" t="str">
        <f>IF(OR(E805="",E805="!!!"),"",IF(NOT(ISNA(VLOOKUP(E805,E$1:E804,1,FALSE()))),"OLD",IF(AND(E805&lt;&gt;"",E805&lt;&gt;"!!!"),"NEW","")))</f>
        <v> </v>
      </c>
      <c r="G805" s="24" t="str">
        <f>IF(OR(E805="",E805="!!!"),"",IF(OR(J805=0,AND(J805=1,K805=1),AND(J805=1,I805="SBJ"),AND(J805=1,I805=0)),"?IN_FOCUS",IF(J805&lt;=2,"?ACTIVATED",IF(J805&lt;&gt;"","?FAMILIAR",IF(F805="NEW",IF(ISNA(VLOOKUP(E805,#REF!,1,FALSE())),"?TYPE_IDENTIFIABLE","?REFERENTIAL"),"_")))))</f>
        <v> </v>
      </c>
      <c r="H805" s="25" t="str">
        <f>IF(J805&lt;&gt;1,"",IF(I805="SBJ","CB","?"))</f>
        <v> </v>
      </c>
      <c r="I805" s="26" t="str">
        <f>IF(OR(E805="",E805="!!!",F805="NEW"),"",INDEX(B804:B$2,-1+SUMPRODUCT(MAX(ROW(E804:E$2)*(E805=E804:E$2)))))</f>
        <v> </v>
      </c>
      <c r="J805" s="26" t="str">
        <f>IF(OR(E805="",E805="!!!",F805="NEW"),"",COUNTBLANK(OFFSET(A$1,,,SUMPRODUCT(MAX(ROW(E$2:E805)*(E805=E$2:E805)))))-COUNTBLANK(OFFSET(A$1,,,SUMPRODUCT(MAX(ROW(E$1:E804)*(E2=E$1:E804))))))</f>
        <v> </v>
      </c>
      <c r="K805" s="26" t="str">
        <f>IF(OR(E805="",E805="!!!",F805="NEW"),"",INDEX(J$1:J804,SUMPRODUCT(MAX(ROW(E$1:E804)*(E805=E$1:E804)))))</f>
        <v> </v>
      </c>
      <c r="L805" s="27"/>
    </row>
    <row r="806" spans="1:12">
      <c r="A806" s="20" t="s">
        <v>1127</v>
      </c>
      <c r="B806" s="21" t="s">
        <v>739</v>
      </c>
      <c r="C806" s="21" t="s">
        <v>748</v>
      </c>
      <c r="E806" s="22">
        <f>IF(D806="?OLD","!!!","")</f>
        <v/>
      </c>
      <c r="F806" s="23" t="str">
        <f>IF(OR(E806="",E806="!!!"),"",IF(NOT(ISNA(VLOOKUP(E806,E$1:E805,1,FALSE()))),"OLD",IF(AND(E806&lt;&gt;"",E806&lt;&gt;"!!!"),"NEW","")))</f>
        <v> </v>
      </c>
      <c r="G806" s="24" t="str">
        <f>IF(OR(E806="",E806="!!!"),"",IF(OR(J806=0,AND(J806=1,K806=1),AND(J806=1,I806="SBJ"),AND(J806=1,I806=0)),"?IN_FOCUS",IF(J806&lt;=2,"?ACTIVATED",IF(J806&lt;&gt;"","?FAMILIAR",IF(F806="NEW",IF(ISNA(VLOOKUP(E806,#REF!,1,FALSE())),"?TYPE_IDENTIFIABLE","?REFERENTIAL"),"_")))))</f>
        <v> </v>
      </c>
      <c r="H806" s="25" t="str">
        <f>IF(J806&lt;&gt;1,"",IF(I806="SBJ","CB","?"))</f>
        <v> </v>
      </c>
      <c r="I806" s="26" t="str">
        <f>IF(OR(E806="",E806="!!!",F806="NEW"),"",INDEX(B805:B$2,-1+SUMPRODUCT(MAX(ROW(E805:E$2)*(E806=E805:E$2)))))</f>
        <v> </v>
      </c>
      <c r="J806" s="26" t="str">
        <f>IF(OR(E806="",E806="!!!",F806="NEW"),"",COUNTBLANK(OFFSET(A$1,,,SUMPRODUCT(MAX(ROW(E$2:E806)*(E806=E$2:E806)))))-COUNTBLANK(OFFSET(A$1,,,SUMPRODUCT(MAX(ROW(E$1:E805)*(E2=E$1:E805))))))</f>
        <v> </v>
      </c>
      <c r="K806" s="26" t="str">
        <f>IF(OR(E806="",E806="!!!",F806="NEW"),"",INDEX(J$1:J805,SUMPRODUCT(MAX(ROW(E$1:E805)*(E806=E$1:E805)))))</f>
        <v> </v>
      </c>
      <c r="L806" s="27"/>
    </row>
    <row r="807" spans="1:12">
      <c r="A807" s="20" t="s">
        <v>159</v>
      </c>
      <c r="E807" s="22">
        <f>IF(D807="?OLD","!!!","")</f>
        <v/>
      </c>
      <c r="F807" s="23" t="str">
        <f>IF(OR(E807="",E807="!!!"),"",IF(NOT(ISNA(VLOOKUP(E807,E$1:E806,1,FALSE()))),"OLD",IF(AND(E807&lt;&gt;"",E807&lt;&gt;"!!!"),"NEW","")))</f>
        <v> </v>
      </c>
      <c r="G807" s="24" t="str">
        <f>IF(OR(E807="",E807="!!!"),"",IF(OR(J807=0,AND(J807=1,K807=1),AND(J807=1,I807="SBJ"),AND(J807=1,I807=0)),"?IN_FOCUS",IF(J807&lt;=2,"?ACTIVATED",IF(J807&lt;&gt;"","?FAMILIAR",IF(F807="NEW",IF(ISNA(VLOOKUP(E807,#REF!,1,FALSE())),"?TYPE_IDENTIFIABLE","?REFERENTIAL"),"_")))))</f>
        <v> </v>
      </c>
      <c r="H807" s="25" t="str">
        <f>IF(J807&lt;&gt;1,"",IF(I807="SBJ","CB","?"))</f>
        <v> </v>
      </c>
      <c r="I807" s="26" t="str">
        <f>IF(OR(E807="",E807="!!!",F807="NEW"),"",INDEX(B806:B$2,-1+SUMPRODUCT(MAX(ROW(E806:E$2)*(E807=E806:E$2)))))</f>
        <v> </v>
      </c>
      <c r="J807" s="26" t="str">
        <f>IF(OR(E807="",E807="!!!",F807="NEW"),"",COUNTBLANK(OFFSET(A$1,,,SUMPRODUCT(MAX(ROW(E$2:E807)*(E807=E$2:E807)))))-COUNTBLANK(OFFSET(A$1,,,SUMPRODUCT(MAX(ROW(E$1:E806)*(E2=E$1:E806))))))</f>
        <v> </v>
      </c>
      <c r="K807" s="26" t="str">
        <f>IF(OR(E807="",E807="!!!",F807="NEW"),"",INDEX(J$1:J806,SUMPRODUCT(MAX(ROW(E$1:E806)*(E807=E$1:E806)))))</f>
        <v> </v>
      </c>
      <c r="L807" s="27"/>
    </row>
    <row r="808" spans="1:12">
      <c r="A808" s="20" t="s">
        <v>246</v>
      </c>
      <c r="E808" s="22">
        <f>IF(D808="?OLD","!!!","")</f>
        <v/>
      </c>
      <c r="F808" s="23" t="str">
        <f>IF(OR(E808="",E808="!!!"),"",IF(NOT(ISNA(VLOOKUP(E808,E$1:E807,1,FALSE()))),"OLD",IF(AND(E808&lt;&gt;"",E808&lt;&gt;"!!!"),"NEW","")))</f>
        <v> </v>
      </c>
      <c r="G808" s="24" t="str">
        <f>IF(OR(E808="",E808="!!!"),"",IF(OR(J808=0,AND(J808=1,K808=1),AND(J808=1,I808="SBJ"),AND(J808=1,I808=0)),"?IN_FOCUS",IF(J808&lt;=2,"?ACTIVATED",IF(J808&lt;&gt;"","?FAMILIAR",IF(F808="NEW",IF(ISNA(VLOOKUP(E808,#REF!,1,FALSE())),"?TYPE_IDENTIFIABLE","?REFERENTIAL"),"_")))))</f>
        <v> </v>
      </c>
      <c r="H808" s="25" t="str">
        <f>IF(J808&lt;&gt;1,"",IF(I808="SBJ","CB","?"))</f>
        <v> </v>
      </c>
      <c r="I808" s="26" t="str">
        <f>IF(OR(E808="",E808="!!!",F808="NEW"),"",INDEX(B807:B$2,-1+SUMPRODUCT(MAX(ROW(E807:E$2)*(E808=E807:E$2)))))</f>
        <v> </v>
      </c>
      <c r="J808" s="26" t="str">
        <f>IF(OR(E808="",E808="!!!",F808="NEW"),"",COUNTBLANK(OFFSET(A$1,,,SUMPRODUCT(MAX(ROW(E$2:E808)*(E808=E$2:E808)))))-COUNTBLANK(OFFSET(A$1,,,SUMPRODUCT(MAX(ROW(E$1:E807)*(E2=E$1:E807))))))</f>
        <v> </v>
      </c>
      <c r="K808" s="26" t="str">
        <f>IF(OR(E808="",E808="!!!",F808="NEW"),"",INDEX(J$1:J807,SUMPRODUCT(MAX(ROW(E$1:E807)*(E808=E$1:E807)))))</f>
        <v> </v>
      </c>
      <c r="L808" s="27"/>
    </row>
    <row r="809" spans="1:12">
      <c r="A809" s="20"/>
    </row>
    <row r="810" spans="1:12">
      <c r="A810" s="20" t="s">
        <v>1140</v>
      </c>
    </row>
    <row r="811" spans="1:12">
      <c r="A811" s="20" t="s">
        <v>883</v>
      </c>
      <c r="B811" s="21" t="s">
        <v>728</v>
      </c>
      <c r="C811" s="21" t="s">
        <v>801</v>
      </c>
      <c r="D811" s="21" t="s">
        <v>730</v>
      </c>
      <c r="E811" s="22">
        <f>IF(D811="?OLD","!!!","")</f>
        <v/>
      </c>
      <c r="F811" s="23" t="str">
        <f>IF(OR(E811="",E811="!!!"),"",IF(NOT(ISNA(VLOOKUP(E811,E$1:E810,1,FALSE()))),"OLD",IF(AND(E811&lt;&gt;"",E811&lt;&gt;"!!!"),"NEW","")))</f>
        <v> </v>
      </c>
      <c r="G811" s="24" t="str">
        <f>IF(OR(E811="",E811="!!!"),"",IF(OR(J811=0,AND(J811=1,K811=1),AND(J811=1,I811="SBJ"),AND(J811=1,I811=0)),"?IN_FOCUS",IF(J811&lt;=2,"?ACTIVATED",IF(J811&lt;&gt;"","?FAMILIAR",IF(F811="NEW",IF(ISNA(VLOOKUP(E811,#REF!,1,FALSE())),"?TYPE_IDENTIFIABLE","?REFERENTIAL"),"_")))))</f>
        <v> </v>
      </c>
      <c r="H811" s="25" t="str">
        <f>IF(J811&lt;&gt;1,"",IF(I811="SBJ","CB","?"))</f>
        <v> </v>
      </c>
      <c r="I811" s="26" t="str">
        <f>IF(OR(E811="",E811="!!!",F811="NEW"),"",INDEX(B810:B$2,-1+SUMPRODUCT(MAX(ROW(E810:E$2)*(E811=E810:E$2)))))</f>
        <v> </v>
      </c>
      <c r="J811" s="26" t="str">
        <f>IF(OR(E811="",E811="!!!",F811="NEW"),"",COUNTBLANK(OFFSET(A$1,,,SUMPRODUCT(MAX(ROW(E$2:E811)*(E811=E$2:E811)))))-COUNTBLANK(OFFSET(A$1,,,SUMPRODUCT(MAX(ROW(E$1:E810)*(E2=E$1:E810))))))</f>
        <v> </v>
      </c>
      <c r="K811" s="26" t="str">
        <f>IF(OR(E811="",E811="!!!",F811="NEW"),"",INDEX(J$1:J810,SUMPRODUCT(MAX(ROW(E$1:E810)*(E811=E$1:E810)))))</f>
        <v> </v>
      </c>
      <c r="L811" s="27"/>
    </row>
    <row r="812" spans="1:12">
      <c r="A812" s="20" t="s">
        <v>1141</v>
      </c>
      <c r="E812" s="22">
        <f>IF(D812="?OLD","!!!","")</f>
        <v/>
      </c>
      <c r="F812" s="23" t="str">
        <f>IF(OR(E812="",E812="!!!"),"",IF(NOT(ISNA(VLOOKUP(E812,E$1:E811,1,FALSE()))),"OLD",IF(AND(E812&lt;&gt;"",E812&lt;&gt;"!!!"),"NEW","")))</f>
        <v> </v>
      </c>
      <c r="G812" s="24" t="str">
        <f>IF(OR(E812="",E812="!!!"),"",IF(OR(J812=0,AND(J812=1,K812=1),AND(J812=1,I812="SBJ"),AND(J812=1,I812=0)),"?IN_FOCUS",IF(J812&lt;=2,"?ACTIVATED",IF(J812&lt;&gt;"","?FAMILIAR",IF(F812="NEW",IF(ISNA(VLOOKUP(E812,#REF!,1,FALSE())),"?TYPE_IDENTIFIABLE","?REFERENTIAL"),"_")))))</f>
        <v> </v>
      </c>
      <c r="H812" s="25" t="str">
        <f>IF(J812&lt;&gt;1,"",IF(I812="SBJ","CB","?"))</f>
        <v> </v>
      </c>
      <c r="I812" s="26" t="str">
        <f>IF(OR(E812="",E812="!!!",F812="NEW"),"",INDEX(B811:B$2,-1+SUMPRODUCT(MAX(ROW(E811:E$2)*(E812=E811:E$2)))))</f>
        <v> </v>
      </c>
      <c r="J812" s="26" t="str">
        <f>IF(OR(E812="",E812="!!!",F812="NEW"),"",COUNTBLANK(OFFSET(A$1,,,SUMPRODUCT(MAX(ROW(E$2:E812)*(E812=E$2:E812)))))-COUNTBLANK(OFFSET(A$1,,,SUMPRODUCT(MAX(ROW(E$1:E811)*(E2=E$1:E811))))))</f>
        <v> </v>
      </c>
      <c r="K812" s="26" t="str">
        <f>IF(OR(E812="",E812="!!!",F812="NEW"),"",INDEX(J$1:J811,SUMPRODUCT(MAX(ROW(E$1:E811)*(E812=E$1:E811)))))</f>
        <v> </v>
      </c>
      <c r="L812" s="27"/>
    </row>
    <row r="813" spans="1:12">
      <c r="A813" s="20" t="s">
        <v>1142</v>
      </c>
      <c r="E813" s="22">
        <f>IF(D813="?OLD","!!!","")</f>
        <v/>
      </c>
      <c r="F813" s="23" t="str">
        <f>IF(OR(E813="",E813="!!!"),"",IF(NOT(ISNA(VLOOKUP(E813,E$1:E812,1,FALSE()))),"OLD",IF(AND(E813&lt;&gt;"",E813&lt;&gt;"!!!"),"NEW","")))</f>
        <v> </v>
      </c>
      <c r="G813" s="24" t="str">
        <f>IF(OR(E813="",E813="!!!"),"",IF(OR(J813=0,AND(J813=1,K813=1),AND(J813=1,I813="SBJ"),AND(J813=1,I813=0)),"?IN_FOCUS",IF(J813&lt;=2,"?ACTIVATED",IF(J813&lt;&gt;"","?FAMILIAR",IF(F813="NEW",IF(ISNA(VLOOKUP(E813,#REF!,1,FALSE())),"?TYPE_IDENTIFIABLE","?REFERENTIAL"),"_")))))</f>
        <v> </v>
      </c>
      <c r="H813" s="25" t="str">
        <f>IF(J813&lt;&gt;1,"",IF(I813="SBJ","CB","?"))</f>
        <v> </v>
      </c>
      <c r="I813" s="26" t="str">
        <f>IF(OR(E813="",E813="!!!",F813="NEW"),"",INDEX(B812:B$2,-1+SUMPRODUCT(MAX(ROW(E812:E$2)*(E813=E812:E$2)))))</f>
        <v> </v>
      </c>
      <c r="J813" s="26" t="str">
        <f>IF(OR(E813="",E813="!!!",F813="NEW"),"",COUNTBLANK(OFFSET(A$1,,,SUMPRODUCT(MAX(ROW(E$2:E813)*(E813=E$2:E813)))))-COUNTBLANK(OFFSET(A$1,,,SUMPRODUCT(MAX(ROW(E$1:E812)*(E2=E$1:E812))))))</f>
        <v> </v>
      </c>
      <c r="K813" s="26" t="str">
        <f>IF(OR(E813="",E813="!!!",F813="NEW"),"",INDEX(J$1:J812,SUMPRODUCT(MAX(ROW(E$1:E812)*(E813=E$1:E812)))))</f>
        <v> </v>
      </c>
      <c r="L813" s="27"/>
    </row>
    <row r="814" spans="1:12">
      <c r="A814" s="20" t="s">
        <v>246</v>
      </c>
      <c r="E814" s="22">
        <f>IF(D814="?OLD","!!!","")</f>
        <v/>
      </c>
      <c r="F814" s="23" t="str">
        <f>IF(OR(E814="",E814="!!!"),"",IF(NOT(ISNA(VLOOKUP(E814,E$1:E813,1,FALSE()))),"OLD",IF(AND(E814&lt;&gt;"",E814&lt;&gt;"!!!"),"NEW","")))</f>
        <v> </v>
      </c>
      <c r="G814" s="24" t="str">
        <f>IF(OR(E814="",E814="!!!"),"",IF(OR(J814=0,AND(J814=1,K814=1),AND(J814=1,I814="SBJ"),AND(J814=1,I814=0)),"?IN_FOCUS",IF(J814&lt;=2,"?ACTIVATED",IF(J814&lt;&gt;"","?FAMILIAR",IF(F814="NEW",IF(ISNA(VLOOKUP(E814,#REF!,1,FALSE())),"?TYPE_IDENTIFIABLE","?REFERENTIAL"),"_")))))</f>
        <v> </v>
      </c>
      <c r="H814" s="25" t="str">
        <f>IF(J814&lt;&gt;1,"",IF(I814="SBJ","CB","?"))</f>
        <v> </v>
      </c>
      <c r="I814" s="26" t="str">
        <f>IF(OR(E814="",E814="!!!",F814="NEW"),"",INDEX(B813:B$2,-1+SUMPRODUCT(MAX(ROW(E813:E$2)*(E814=E813:E$2)))))</f>
        <v> </v>
      </c>
      <c r="J814" s="26" t="str">
        <f>IF(OR(E814="",E814="!!!",F814="NEW"),"",COUNTBLANK(OFFSET(A$1,,,SUMPRODUCT(MAX(ROW(E$2:E814)*(E814=E$2:E814)))))-COUNTBLANK(OFFSET(A$1,,,SUMPRODUCT(MAX(ROW(E$1:E813)*(E2=E$1:E813))))))</f>
        <v> </v>
      </c>
      <c r="K814" s="26" t="str">
        <f>IF(OR(E814="",E814="!!!",F814="NEW"),"",INDEX(J$1:J813,SUMPRODUCT(MAX(ROW(E$1:E813)*(E814=E$1:E813)))))</f>
        <v> </v>
      </c>
      <c r="L814" s="27"/>
    </row>
    <row r="815" spans="1:12">
      <c r="A815" s="20"/>
    </row>
    <row r="816" spans="1:12">
      <c r="A816" s="20" t="s">
        <v>798</v>
      </c>
      <c r="E816" s="22">
        <f>IF(D816="?OLD","!!!","")</f>
        <v/>
      </c>
      <c r="F816" s="23" t="str">
        <f>IF(OR(E816="",E816="!!!"),"",IF(NOT(ISNA(VLOOKUP(E816,E$1:E815,1,FALSE()))),"OLD",IF(AND(E816&lt;&gt;"",E816&lt;&gt;"!!!"),"NEW","")))</f>
        <v> </v>
      </c>
      <c r="G816" s="24" t="str">
        <f>IF(OR(E816="",E816="!!!"),"",IF(OR(J816=0,AND(J816=1,K816=1),AND(J816=1,I816="SBJ"),AND(J816=1,I816=0)),"?IN_FOCUS",IF(J816&lt;=2,"?ACTIVATED",IF(J816&lt;&gt;"","?FAMILIAR",IF(F816="NEW",IF(ISNA(VLOOKUP(E816,#REF!,1,FALSE())),"?TYPE_IDENTIFIABLE","?REFERENTIAL"),"_")))))</f>
        <v> </v>
      </c>
      <c r="H816" s="25" t="str">
        <f>IF(J816&lt;&gt;1,"",IF(I816="SBJ","CB","?"))</f>
        <v> </v>
      </c>
      <c r="I816" s="26" t="str">
        <f>IF(OR(E816="",E816="!!!",F816="NEW"),"",INDEX(B815:B$2,-1+SUMPRODUCT(MAX(ROW(E815:E$2)*(E816=E815:E$2)))))</f>
        <v> </v>
      </c>
      <c r="J816" s="26" t="str">
        <f>IF(OR(E816="",E816="!!!",F816="NEW"),"",COUNTBLANK(OFFSET(A$1,,,SUMPRODUCT(MAX(ROW(E$2:E816)*(E816=E$2:E816)))))-COUNTBLANK(OFFSET(A$1,,,SUMPRODUCT(MAX(ROW(E$1:E815)*(E2=E$1:E815))))))</f>
        <v> </v>
      </c>
      <c r="K816" s="26" t="str">
        <f>IF(OR(E816="",E816="!!!",F816="NEW"),"",INDEX(J$1:J815,SUMPRODUCT(MAX(ROW(E$1:E815)*(E816=E$1:E815)))))</f>
        <v> </v>
      </c>
      <c r="L816" s="27"/>
    </row>
    <row r="817" spans="1:12">
      <c r="A817" s="20" t="s">
        <v>1143</v>
      </c>
    </row>
    <row r="818" spans="1:12">
      <c r="A818" s="20" t="s">
        <v>1144</v>
      </c>
      <c r="E818" s="22">
        <f>IF(D818="?OLD","!!!","")</f>
        <v/>
      </c>
      <c r="F818" s="23" t="str">
        <f>IF(OR(E818="",E818="!!!"),"",IF(NOT(ISNA(VLOOKUP(E818,E$1:E817,1,FALSE()))),"OLD",IF(AND(E818&lt;&gt;"",E818&lt;&gt;"!!!"),"NEW","")))</f>
        <v> </v>
      </c>
      <c r="G818" s="24" t="str">
        <f>IF(OR(E818="",E818="!!!"),"",IF(OR(J818=0,AND(J818=1,K818=1),AND(J818=1,I818="SBJ"),AND(J818=1,I818=0)),"?IN_FOCUS",IF(J818&lt;=2,"?ACTIVATED",IF(J818&lt;&gt;"","?FAMILIAR",IF(F818="NEW",IF(ISNA(VLOOKUP(E818,#REF!,1,FALSE())),"?TYPE_IDENTIFIABLE","?REFERENTIAL"),"_")))))</f>
        <v> </v>
      </c>
      <c r="H818" s="25" t="str">
        <f>IF(J818&lt;&gt;1,"",IF(I818="SBJ","CB","?"))</f>
        <v> </v>
      </c>
      <c r="I818" s="26" t="str">
        <f>IF(OR(E818="",E818="!!!",F818="NEW"),"",INDEX(B817:B$2,-1+SUMPRODUCT(MAX(ROW(E817:E$2)*(E818=E817:E$2)))))</f>
        <v> </v>
      </c>
      <c r="J818" s="26" t="str">
        <f>IF(OR(E818="",E818="!!!",F818="NEW"),"",COUNTBLANK(OFFSET(A$1,,,SUMPRODUCT(MAX(ROW(E$2:E818)*(E818=E$2:E818)))))-COUNTBLANK(OFFSET(A$1,,,SUMPRODUCT(MAX(ROW(E$1:E817)*(E2=E$1:E817))))))</f>
        <v> </v>
      </c>
      <c r="K818" s="26" t="str">
        <f>IF(OR(E818="",E818="!!!",F818="NEW"),"",INDEX(J$1:J817,SUMPRODUCT(MAX(ROW(E$1:E817)*(E818=E$1:E817)))))</f>
        <v> </v>
      </c>
      <c r="L818" s="27"/>
    </row>
    <row r="819" spans="1:12">
      <c r="A819" s="20" t="s">
        <v>1137</v>
      </c>
      <c r="E819" s="22">
        <f>IF(D819="?OLD","!!!","")</f>
        <v/>
      </c>
      <c r="F819" s="23" t="str">
        <f>IF(OR(E819="",E819="!!!"),"",IF(NOT(ISNA(VLOOKUP(E819,E$1:E818,1,FALSE()))),"OLD",IF(AND(E819&lt;&gt;"",E819&lt;&gt;"!!!"),"NEW","")))</f>
        <v> </v>
      </c>
      <c r="G819" s="24" t="str">
        <f>IF(OR(E819="",E819="!!!"),"",IF(OR(J819=0,AND(J819=1,K819=1),AND(J819=1,I819="SBJ"),AND(J819=1,I819=0)),"?IN_FOCUS",IF(J819&lt;=2,"?ACTIVATED",IF(J819&lt;&gt;"","?FAMILIAR",IF(F819="NEW",IF(ISNA(VLOOKUP(E819,#REF!,1,FALSE())),"?TYPE_IDENTIFIABLE","?REFERENTIAL"),"_")))))</f>
        <v> </v>
      </c>
      <c r="H819" s="25" t="str">
        <f>IF(J819&lt;&gt;1,"",IF(I819="SBJ","CB","?"))</f>
        <v> </v>
      </c>
      <c r="I819" s="26" t="str">
        <f>IF(OR(E819="",E819="!!!",F819="NEW"),"",INDEX(B818:B$2,-1+SUMPRODUCT(MAX(ROW(E818:E$2)*(E819=E818:E$2)))))</f>
        <v> </v>
      </c>
      <c r="J819" s="26" t="str">
        <f>IF(OR(E819="",E819="!!!",F819="NEW"),"",COUNTBLANK(OFFSET(A$1,,,SUMPRODUCT(MAX(ROW(E$2:E819)*(E819=E$2:E819)))))-COUNTBLANK(OFFSET(A$1,,,SUMPRODUCT(MAX(ROW(E$1:E818)*(E2=E$1:E818))))))</f>
        <v> </v>
      </c>
      <c r="K819" s="26" t="str">
        <f>IF(OR(E819="",E819="!!!",F819="NEW"),"",INDEX(J$1:J818,SUMPRODUCT(MAX(ROW(E$1:E818)*(E819=E$1:E818)))))</f>
        <v> </v>
      </c>
      <c r="L819" s="27"/>
    </row>
    <row r="820" spans="1:12">
      <c r="A820" s="20" t="s">
        <v>813</v>
      </c>
      <c r="E820" s="22">
        <f>IF(D820="?OLD","!!!","")</f>
        <v/>
      </c>
      <c r="F820" s="23" t="str">
        <f>IF(OR(E820="",E820="!!!"),"",IF(NOT(ISNA(VLOOKUP(E820,E$1:E819,1,FALSE()))),"OLD",IF(AND(E820&lt;&gt;"",E820&lt;&gt;"!!!"),"NEW","")))</f>
        <v> </v>
      </c>
      <c r="G820" s="24" t="str">
        <f>IF(OR(E820="",E820="!!!"),"",IF(OR(J820=0,AND(J820=1,K820=1),AND(J820=1,I820="SBJ"),AND(J820=1,I820=0)),"?IN_FOCUS",IF(J820&lt;=2,"?ACTIVATED",IF(J820&lt;&gt;"","?FAMILIAR",IF(F820="NEW",IF(ISNA(VLOOKUP(E820,#REF!,1,FALSE())),"?TYPE_IDENTIFIABLE","?REFERENTIAL"),"_")))))</f>
        <v> </v>
      </c>
      <c r="H820" s="25" t="str">
        <f>IF(J820&lt;&gt;1,"",IF(I820="SBJ","CB","?"))</f>
        <v> </v>
      </c>
      <c r="I820" s="26" t="str">
        <f>IF(OR(E820="",E820="!!!",F820="NEW"),"",INDEX(B819:B$2,-1+SUMPRODUCT(MAX(ROW(E819:E$2)*(E820=E819:E$2)))))</f>
        <v> </v>
      </c>
      <c r="J820" s="26" t="str">
        <f>IF(OR(E820="",E820="!!!",F820="NEW"),"",COUNTBLANK(OFFSET(A$1,,,SUMPRODUCT(MAX(ROW(E$2:E820)*(E820=E$2:E820)))))-COUNTBLANK(OFFSET(A$1,,,SUMPRODUCT(MAX(ROW(E$1:E819)*(E2=E$1:E819))))))</f>
        <v> </v>
      </c>
      <c r="K820" s="26" t="str">
        <f>IF(OR(E820="",E820="!!!",F820="NEW"),"",INDEX(J$1:J819,SUMPRODUCT(MAX(ROW(E$1:E819)*(E820=E$1:E819)))))</f>
        <v> </v>
      </c>
      <c r="L820" s="27"/>
    </row>
    <row r="821" spans="1:12">
      <c r="A821" s="20" t="s">
        <v>1127</v>
      </c>
      <c r="B821" s="21" t="s">
        <v>728</v>
      </c>
      <c r="C821" s="21" t="s">
        <v>753</v>
      </c>
      <c r="D821" s="21" t="s">
        <v>730</v>
      </c>
      <c r="E821" s="22">
        <f>IF(D821="?OLD","!!!","")</f>
        <v/>
      </c>
      <c r="F821" s="23" t="str">
        <f>IF(OR(E821="",E821="!!!"),"",IF(NOT(ISNA(VLOOKUP(E821,E$1:E820,1,FALSE()))),"OLD",IF(AND(E821&lt;&gt;"",E821&lt;&gt;"!!!"),"NEW","")))</f>
        <v> </v>
      </c>
      <c r="G821" s="24" t="str">
        <f>IF(OR(E821="",E821="!!!"),"",IF(OR(J821=0,AND(J821=1,K821=1),AND(J821=1,I821="SBJ"),AND(J821=1,I821=0)),"?IN_FOCUS",IF(J821&lt;=2,"?ACTIVATED",IF(J821&lt;&gt;"","?FAMILIAR",IF(F821="NEW",IF(ISNA(VLOOKUP(E821,#REF!,1,FALSE())),"?TYPE_IDENTIFIABLE","?REFERENTIAL"),"_")))))</f>
        <v> </v>
      </c>
      <c r="H821" s="25" t="str">
        <f>IF(J821&lt;&gt;1,"",IF(I821="SBJ","CB","?"))</f>
        <v> </v>
      </c>
      <c r="I821" s="26" t="str">
        <f>IF(OR(E821="",E821="!!!",F821="NEW"),"",INDEX(B820:B$2,-1+SUMPRODUCT(MAX(ROW(E820:E$2)*(E821=E820:E$2)))))</f>
        <v> </v>
      </c>
      <c r="J821" s="26" t="str">
        <f>IF(OR(E821="",E821="!!!",F821="NEW"),"",COUNTBLANK(OFFSET(A$1,,,SUMPRODUCT(MAX(ROW(E$2:E821)*(E821=E$2:E821)))))-COUNTBLANK(OFFSET(A$1,,,SUMPRODUCT(MAX(ROW(E$1:E820)*(E2=E$1:E820))))))</f>
        <v> </v>
      </c>
      <c r="K821" s="26" t="str">
        <f>IF(OR(E821="",E821="!!!",F821="NEW"),"",INDEX(J$1:J820,SUMPRODUCT(MAX(ROW(E$1:E820)*(E821=E$1:E820)))))</f>
        <v> </v>
      </c>
      <c r="L821" s="27"/>
    </row>
    <row r="822" spans="1:12">
      <c r="A822" s="20" t="s">
        <v>759</v>
      </c>
      <c r="E822" s="22">
        <f>IF(D822="?OLD","!!!","")</f>
        <v/>
      </c>
      <c r="F822" s="23" t="str">
        <f>IF(OR(E822="",E822="!!!"),"",IF(NOT(ISNA(VLOOKUP(E822,E$1:E821,1,FALSE()))),"OLD",IF(AND(E822&lt;&gt;"",E822&lt;&gt;"!!!"),"NEW","")))</f>
        <v> </v>
      </c>
      <c r="G822" s="24" t="str">
        <f>IF(OR(E822="",E822="!!!"),"",IF(OR(J822=0,AND(J822=1,K822=1),AND(J822=1,I822="SBJ"),AND(J822=1,I822=0)),"?IN_FOCUS",IF(J822&lt;=2,"?ACTIVATED",IF(J822&lt;&gt;"","?FAMILIAR",IF(F822="NEW",IF(ISNA(VLOOKUP(E822,#REF!,1,FALSE())),"?TYPE_IDENTIFIABLE","?REFERENTIAL"),"_")))))</f>
        <v> </v>
      </c>
      <c r="H822" s="25" t="str">
        <f>IF(J822&lt;&gt;1,"",IF(I822="SBJ","CB","?"))</f>
        <v> </v>
      </c>
      <c r="I822" s="26" t="str">
        <f>IF(OR(E822="",E822="!!!",F822="NEW"),"",INDEX(B821:B$2,-1+SUMPRODUCT(MAX(ROW(E821:E$2)*(E822=E821:E$2)))))</f>
        <v> </v>
      </c>
      <c r="J822" s="26" t="str">
        <f>IF(OR(E822="",E822="!!!",F822="NEW"),"",COUNTBLANK(OFFSET(A$1,,,SUMPRODUCT(MAX(ROW(E$2:E822)*(E822=E$2:E822)))))-COUNTBLANK(OFFSET(A$1,,,SUMPRODUCT(MAX(ROW(E$1:E821)*(E2=E$1:E821))))))</f>
        <v> </v>
      </c>
      <c r="K822" s="26" t="str">
        <f>IF(OR(E822="",E822="!!!",F822="NEW"),"",INDEX(J$1:J821,SUMPRODUCT(MAX(ROW(E$1:E821)*(E822=E$1:E821)))))</f>
        <v> </v>
      </c>
      <c r="L822" s="27"/>
    </row>
    <row r="823" spans="1:12">
      <c r="A823" s="20" t="s">
        <v>813</v>
      </c>
      <c r="B823" s="21" t="s">
        <v>843</v>
      </c>
      <c r="E823" s="22">
        <f>IF(D823="?OLD","!!!","")</f>
        <v/>
      </c>
      <c r="F823" s="23" t="str">
        <f>IF(OR(E823="",E823="!!!"),"",IF(NOT(ISNA(VLOOKUP(E823,E$1:E822,1,FALSE()))),"OLD",IF(AND(E823&lt;&gt;"",E823&lt;&gt;"!!!"),"NEW","")))</f>
        <v> </v>
      </c>
      <c r="G823" s="24" t="str">
        <f>IF(OR(E823="",E823="!!!"),"",IF(OR(J823=0,AND(J823=1,K823=1),AND(J823=1,I823="SBJ"),AND(J823=1,I823=0)),"?IN_FOCUS",IF(J823&lt;=2,"?ACTIVATED",IF(J823&lt;&gt;"","?FAMILIAR",IF(F823="NEW",IF(ISNA(VLOOKUP(E823,#REF!,1,FALSE())),"?TYPE_IDENTIFIABLE","?REFERENTIAL"),"_")))))</f>
        <v> </v>
      </c>
      <c r="H823" s="25" t="str">
        <f>IF(J823&lt;&gt;1,"",IF(I823="SBJ","CB","?"))</f>
        <v> </v>
      </c>
      <c r="I823" s="26" t="str">
        <f>IF(OR(E823="",E823="!!!",F823="NEW"),"",INDEX(B822:B$2,-1+SUMPRODUCT(MAX(ROW(E822:E$2)*(E823=E822:E$2)))))</f>
        <v> </v>
      </c>
      <c r="J823" s="26" t="str">
        <f>IF(OR(E823="",E823="!!!",F823="NEW"),"",COUNTBLANK(OFFSET(A$1,,,SUMPRODUCT(MAX(ROW(E$2:E823)*(E823=E$2:E823)))))-COUNTBLANK(OFFSET(A$1,,,SUMPRODUCT(MAX(ROW(E$1:E822)*(E2=E$1:E822))))))</f>
        <v> </v>
      </c>
      <c r="K823" s="26" t="str">
        <f>IF(OR(E823="",E823="!!!",F823="NEW"),"",INDEX(J$1:J822,SUMPRODUCT(MAX(ROW(E$1:E822)*(E823=E$1:E822)))))</f>
        <v> </v>
      </c>
      <c r="L823" s="27"/>
    </row>
    <row r="824" spans="1:12">
      <c r="A824" s="20" t="s">
        <v>750</v>
      </c>
      <c r="B824" s="21" t="s">
        <v>788</v>
      </c>
      <c r="C824" s="21" t="s">
        <v>729</v>
      </c>
      <c r="D824" s="21" t="s">
        <v>730</v>
      </c>
      <c r="E824" s="22">
        <f>IF(D824="?OLD","!!!","")</f>
        <v/>
      </c>
      <c r="F824" s="23" t="str">
        <f>IF(OR(E824="",E824="!!!"),"",IF(NOT(ISNA(VLOOKUP(E824,E$1:E823,1,FALSE()))),"OLD",IF(AND(E824&lt;&gt;"",E824&lt;&gt;"!!!"),"NEW","")))</f>
        <v> </v>
      </c>
      <c r="G824" s="24" t="str">
        <f>IF(OR(E824="",E824="!!!"),"",IF(OR(J824=0,AND(J824=1,K824=1),AND(J824=1,I824="SBJ"),AND(J824=1,I824=0)),"?IN_FOCUS",IF(J824&lt;=2,"?ACTIVATED",IF(J824&lt;&gt;"","?FAMILIAR",IF(F824="NEW",IF(ISNA(VLOOKUP(E824,#REF!,1,FALSE())),"?TYPE_IDENTIFIABLE","?REFERENTIAL"),"_")))))</f>
        <v> </v>
      </c>
      <c r="H824" s="25" t="str">
        <f>IF(J824&lt;&gt;1,"",IF(I824="SBJ","CB","?"))</f>
        <v> </v>
      </c>
      <c r="I824" s="26" t="str">
        <f>IF(OR(E824="",E824="!!!",F824="NEW"),"",INDEX(B823:B$2,-1+SUMPRODUCT(MAX(ROW(E823:E$2)*(E824=E823:E$2)))))</f>
        <v> </v>
      </c>
      <c r="J824" s="26" t="str">
        <f>IF(OR(E824="",E824="!!!",F824="NEW"),"",COUNTBLANK(OFFSET(A$1,,,SUMPRODUCT(MAX(ROW(E$2:E824)*(E824=E$2:E824)))))-COUNTBLANK(OFFSET(A$1,,,SUMPRODUCT(MAX(ROW(E$1:E823)*(E2=E$1:E823))))))</f>
        <v> </v>
      </c>
      <c r="K824" s="26" t="str">
        <f>IF(OR(E824="",E824="!!!",F824="NEW"),"",INDEX(J$1:J823,SUMPRODUCT(MAX(ROW(E$1:E823)*(E824=E$1:E823)))))</f>
        <v> </v>
      </c>
      <c r="L824" s="27"/>
    </row>
    <row r="825" spans="1:12">
      <c r="A825" s="20" t="s">
        <v>792</v>
      </c>
      <c r="B825" s="21" t="s">
        <v>843</v>
      </c>
      <c r="E825" s="22">
        <f>IF(D825="?OLD","!!!","")</f>
        <v/>
      </c>
      <c r="F825" s="23" t="str">
        <f>IF(OR(E825="",E825="!!!"),"",IF(NOT(ISNA(VLOOKUP(E825,E$1:E824,1,FALSE()))),"OLD",IF(AND(E825&lt;&gt;"",E825&lt;&gt;"!!!"),"NEW","")))</f>
        <v> </v>
      </c>
      <c r="G825" s="24" t="str">
        <f>IF(OR(E825="",E825="!!!"),"",IF(OR(J825=0,AND(J825=1,K825=1),AND(J825=1,I825="SBJ"),AND(J825=1,I825=0)),"?IN_FOCUS",IF(J825&lt;=2,"?ACTIVATED",IF(J825&lt;&gt;"","?FAMILIAR",IF(F825="NEW",IF(ISNA(VLOOKUP(E825,#REF!,1,FALSE())),"?TYPE_IDENTIFIABLE","?REFERENTIAL"),"_")))))</f>
        <v> </v>
      </c>
      <c r="H825" s="25" t="str">
        <f>IF(J825&lt;&gt;1,"",IF(I825="SBJ","CB","?"))</f>
        <v> </v>
      </c>
      <c r="I825" s="26" t="str">
        <f>IF(OR(E825="",E825="!!!",F825="NEW"),"",INDEX(B824:B$2,-1+SUMPRODUCT(MAX(ROW(E824:E$2)*(E825=E824:E$2)))))</f>
        <v> </v>
      </c>
      <c r="J825" s="26" t="str">
        <f>IF(OR(E825="",E825="!!!",F825="NEW"),"",COUNTBLANK(OFFSET(A$1,,,SUMPRODUCT(MAX(ROW(E$2:E825)*(E825=E$2:E825)))))-COUNTBLANK(OFFSET(A$1,,,SUMPRODUCT(MAX(ROW(E$1:E824)*(E2=E$1:E824))))))</f>
        <v> </v>
      </c>
      <c r="K825" s="26" t="str">
        <f>IF(OR(E825="",E825="!!!",F825="NEW"),"",INDEX(J$1:J824,SUMPRODUCT(MAX(ROW(E$1:E824)*(E825=E$1:E824)))))</f>
        <v> </v>
      </c>
      <c r="L825" s="27"/>
    </row>
    <row r="826" spans="1:12">
      <c r="A826" s="20" t="s">
        <v>1120</v>
      </c>
      <c r="E826" s="22">
        <f>IF(D826="?OLD","!!!","")</f>
        <v/>
      </c>
      <c r="F826" s="23" t="str">
        <f>IF(OR(E826="",E826="!!!"),"",IF(NOT(ISNA(VLOOKUP(E826,E$1:E825,1,FALSE()))),"OLD",IF(AND(E826&lt;&gt;"",E826&lt;&gt;"!!!"),"NEW","")))</f>
        <v> </v>
      </c>
      <c r="G826" s="24" t="str">
        <f>IF(OR(E826="",E826="!!!"),"",IF(OR(J826=0,AND(J826=1,K826=1),AND(J826=1,I826="SBJ"),AND(J826=1,I826=0)),"?IN_FOCUS",IF(J826&lt;=2,"?ACTIVATED",IF(J826&lt;&gt;"","?FAMILIAR",IF(F826="NEW",IF(ISNA(VLOOKUP(E826,#REF!,1,FALSE())),"?TYPE_IDENTIFIABLE","?REFERENTIAL"),"_")))))</f>
        <v> </v>
      </c>
      <c r="H826" s="25" t="str">
        <f>IF(J826&lt;&gt;1,"",IF(I826="SBJ","CB","?"))</f>
        <v> </v>
      </c>
      <c r="I826" s="26" t="str">
        <f>IF(OR(E826="",E826="!!!",F826="NEW"),"",INDEX(B825:B$2,-1+SUMPRODUCT(MAX(ROW(E825:E$2)*(E826=E825:E$2)))))</f>
        <v> </v>
      </c>
      <c r="J826" s="26" t="str">
        <f>IF(OR(E826="",E826="!!!",F826="NEW"),"",COUNTBLANK(OFFSET(A$1,,,SUMPRODUCT(MAX(ROW(E$2:E826)*(E826=E$2:E826)))))-COUNTBLANK(OFFSET(A$1,,,SUMPRODUCT(MAX(ROW(E$1:E825)*(E2=E$1:E825))))))</f>
        <v> </v>
      </c>
      <c r="K826" s="26" t="str">
        <f>IF(OR(E826="",E826="!!!",F826="NEW"),"",INDEX(J$1:J825,SUMPRODUCT(MAX(ROW(E$1:E825)*(E826=E$1:E825)))))</f>
        <v> </v>
      </c>
      <c r="L826" s="27"/>
    </row>
    <row r="827" spans="1:12">
      <c r="A827" s="20" t="s">
        <v>759</v>
      </c>
      <c r="E827" s="22">
        <f>IF(D827="?OLD","!!!","")</f>
        <v/>
      </c>
      <c r="F827" s="23" t="str">
        <f>IF(OR(E827="",E827="!!!"),"",IF(NOT(ISNA(VLOOKUP(E827,E$1:E826,1,FALSE()))),"OLD",IF(AND(E827&lt;&gt;"",E827&lt;&gt;"!!!"),"NEW","")))</f>
        <v> </v>
      </c>
      <c r="G827" s="24" t="str">
        <f>IF(OR(E827="",E827="!!!"),"",IF(OR(J827=0,AND(J827=1,K827=1),AND(J827=1,I827="SBJ"),AND(J827=1,I827=0)),"?IN_FOCUS",IF(J827&lt;=2,"?ACTIVATED",IF(J827&lt;&gt;"","?FAMILIAR",IF(F827="NEW",IF(ISNA(VLOOKUP(E827,#REF!,1,FALSE())),"?TYPE_IDENTIFIABLE","?REFERENTIAL"),"_")))))</f>
        <v> </v>
      </c>
      <c r="H827" s="25" t="str">
        <f>IF(J827&lt;&gt;1,"",IF(I827="SBJ","CB","?"))</f>
        <v> </v>
      </c>
      <c r="I827" s="26" t="str">
        <f>IF(OR(E827="",E827="!!!",F827="NEW"),"",INDEX(B826:B$2,-1+SUMPRODUCT(MAX(ROW(E826:E$2)*(E827=E826:E$2)))))</f>
        <v> </v>
      </c>
      <c r="J827" s="26" t="str">
        <f>IF(OR(E827="",E827="!!!",F827="NEW"),"",COUNTBLANK(OFFSET(A$1,,,SUMPRODUCT(MAX(ROW(E$2:E827)*(E827=E$2:E827)))))-COUNTBLANK(OFFSET(A$1,,,SUMPRODUCT(MAX(ROW(E$1:E826)*(E2=E$1:E826))))))</f>
        <v> </v>
      </c>
      <c r="K827" s="26" t="str">
        <f>IF(OR(E827="",E827="!!!",F827="NEW"),"",INDEX(J$1:J826,SUMPRODUCT(MAX(ROW(E$1:E826)*(E827=E$1:E826)))))</f>
        <v> </v>
      </c>
      <c r="L827" s="27"/>
    </row>
    <row r="828" spans="1:12">
      <c r="A828" s="20" t="s">
        <v>1145</v>
      </c>
      <c r="E828" s="22">
        <f>IF(D828="?OLD","!!!","")</f>
        <v/>
      </c>
      <c r="F828" s="23" t="str">
        <f>IF(OR(E828="",E828="!!!"),"",IF(NOT(ISNA(VLOOKUP(E828,E$1:E827,1,FALSE()))),"OLD",IF(AND(E828&lt;&gt;"",E828&lt;&gt;"!!!"),"NEW","")))</f>
        <v> </v>
      </c>
      <c r="G828" s="24" t="str">
        <f>IF(OR(E828="",E828="!!!"),"",IF(OR(J828=0,AND(J828=1,K828=1),AND(J828=1,I828="SBJ"),AND(J828=1,I828=0)),"?IN_FOCUS",IF(J828&lt;=2,"?ACTIVATED",IF(J828&lt;&gt;"","?FAMILIAR",IF(F828="NEW",IF(ISNA(VLOOKUP(E828,#REF!,1,FALSE())),"?TYPE_IDENTIFIABLE","?REFERENTIAL"),"_")))))</f>
        <v> </v>
      </c>
      <c r="H828" s="25" t="str">
        <f>IF(J828&lt;&gt;1,"",IF(I828="SBJ","CB","?"))</f>
        <v> </v>
      </c>
      <c r="I828" s="26" t="str">
        <f>IF(OR(E828="",E828="!!!",F828="NEW"),"",INDEX(B827:B$2,-1+SUMPRODUCT(MAX(ROW(E827:E$2)*(E828=E827:E$2)))))</f>
        <v> </v>
      </c>
      <c r="J828" s="26" t="str">
        <f>IF(OR(E828="",E828="!!!",F828="NEW"),"",COUNTBLANK(OFFSET(A$1,,,SUMPRODUCT(MAX(ROW(E$2:E828)*(E828=E$2:E828)))))-COUNTBLANK(OFFSET(A$1,,,SUMPRODUCT(MAX(ROW(E$1:E827)*(E2=E$1:E827))))))</f>
        <v> </v>
      </c>
      <c r="K828" s="26" t="str">
        <f>IF(OR(E828="",E828="!!!",F828="NEW"),"",INDEX(J$1:J827,SUMPRODUCT(MAX(ROW(E$1:E827)*(E828=E$1:E827)))))</f>
        <v> </v>
      </c>
      <c r="L828" s="27"/>
    </row>
    <row r="829" spans="1:12">
      <c r="A829" s="20" t="s">
        <v>751</v>
      </c>
      <c r="E829" s="22">
        <f>IF(D829="?OLD","!!!","")</f>
        <v/>
      </c>
      <c r="F829" s="23" t="str">
        <f>IF(OR(E829="",E829="!!!"),"",IF(NOT(ISNA(VLOOKUP(E829,E$1:E828,1,FALSE()))),"OLD",IF(AND(E829&lt;&gt;"",E829&lt;&gt;"!!!"),"NEW","")))</f>
        <v> </v>
      </c>
      <c r="G829" s="24" t="str">
        <f>IF(OR(E829="",E829="!!!"),"",IF(OR(J829=0,AND(J829=1,K829=1),AND(J829=1,I829="SBJ"),AND(J829=1,I829=0)),"?IN_FOCUS",IF(J829&lt;=2,"?ACTIVATED",IF(J829&lt;&gt;"","?FAMILIAR",IF(F829="NEW",IF(ISNA(VLOOKUP(E829,#REF!,1,FALSE())),"?TYPE_IDENTIFIABLE","?REFERENTIAL"),"_")))))</f>
        <v> </v>
      </c>
      <c r="H829" s="25" t="str">
        <f>IF(J829&lt;&gt;1,"",IF(I829="SBJ","CB","?"))</f>
        <v> </v>
      </c>
      <c r="I829" s="26" t="str">
        <f>IF(OR(E829="",E829="!!!",F829="NEW"),"",INDEX(B828:B$2,-1+SUMPRODUCT(MAX(ROW(E828:E$2)*(E829=E828:E$2)))))</f>
        <v> </v>
      </c>
      <c r="J829" s="26" t="str">
        <f>IF(OR(E829="",E829="!!!",F829="NEW"),"",COUNTBLANK(OFFSET(A$1,,,SUMPRODUCT(MAX(ROW(E$2:E829)*(E829=E$2:E829)))))-COUNTBLANK(OFFSET(A$1,,,SUMPRODUCT(MAX(ROW(E$1:E828)*(E2=E$1:E828))))))</f>
        <v> </v>
      </c>
      <c r="K829" s="26" t="str">
        <f>IF(OR(E829="",E829="!!!",F829="NEW"),"",INDEX(J$1:J828,SUMPRODUCT(MAX(ROW(E$1:E828)*(E829=E$1:E828)))))</f>
        <v> </v>
      </c>
      <c r="L829" s="27"/>
    </row>
    <row r="830" spans="1:12">
      <c r="A830" s="20" t="s">
        <v>738</v>
      </c>
      <c r="B830" s="21" t="s">
        <v>755</v>
      </c>
      <c r="C830" s="21" t="s">
        <v>740</v>
      </c>
      <c r="D830" s="21" t="s">
        <v>730</v>
      </c>
      <c r="E830" s="22">
        <f>IF(D830="?OLD","!!!","")</f>
        <v/>
      </c>
      <c r="F830" s="23" t="str">
        <f>IF(OR(E830="",E830="!!!"),"",IF(NOT(ISNA(VLOOKUP(E830,E$1:E829,1,FALSE()))),"OLD",IF(AND(E830&lt;&gt;"",E830&lt;&gt;"!!!"),"NEW","")))</f>
        <v> </v>
      </c>
      <c r="G830" s="24" t="str">
        <f>IF(OR(E830="",E830="!!!"),"",IF(OR(J830=0,AND(J830=1,K830=1),AND(J830=1,I830="SBJ"),AND(J830=1,I830=0)),"?IN_FOCUS",IF(J830&lt;=2,"?ACTIVATED",IF(J830&lt;&gt;"","?FAMILIAR",IF(F830="NEW",IF(ISNA(VLOOKUP(E830,#REF!,1,FALSE())),"?TYPE_IDENTIFIABLE","?REFERENTIAL"),"_")))))</f>
        <v> </v>
      </c>
      <c r="H830" s="25" t="str">
        <f>IF(J830&lt;&gt;1,"",IF(I830="SBJ","CB","?"))</f>
        <v> </v>
      </c>
      <c r="I830" s="26" t="str">
        <f>IF(OR(E830="",E830="!!!",F830="NEW"),"",INDEX(B829:B$2,-1+SUMPRODUCT(MAX(ROW(E829:E$2)*(E830=E829:E$2)))))</f>
        <v> </v>
      </c>
      <c r="J830" s="26" t="str">
        <f>IF(OR(E830="",E830="!!!",F830="NEW"),"",COUNTBLANK(OFFSET(A$1,,,SUMPRODUCT(MAX(ROW(E$2:E830)*(E830=E$2:E830)))))-COUNTBLANK(OFFSET(A$1,,,SUMPRODUCT(MAX(ROW(E$1:E829)*(E2=E$1:E829))))))</f>
        <v> </v>
      </c>
      <c r="K830" s="26" t="str">
        <f>IF(OR(E830="",E830="!!!",F830="NEW"),"",INDEX(J$1:J829,SUMPRODUCT(MAX(ROW(E$1:E829)*(E830=E$1:E829)))))</f>
        <v> </v>
      </c>
      <c r="L830" s="27"/>
    </row>
    <row r="831" spans="1:12">
      <c r="A831" s="20" t="s">
        <v>12</v>
      </c>
      <c r="E831" s="22">
        <f>IF(D831="?OLD","!!!","")</f>
        <v/>
      </c>
      <c r="F831" s="23" t="str">
        <f>IF(OR(E831="",E831="!!!"),"",IF(NOT(ISNA(VLOOKUP(E831,E$1:E830,1,FALSE()))),"OLD",IF(AND(E831&lt;&gt;"",E831&lt;&gt;"!!!"),"NEW","")))</f>
        <v> </v>
      </c>
      <c r="G831" s="24" t="str">
        <f>IF(OR(E831="",E831="!!!"),"",IF(OR(J831=0,AND(J831=1,K831=1),AND(J831=1,I831="SBJ"),AND(J831=1,I831=0)),"?IN_FOCUS",IF(J831&lt;=2,"?ACTIVATED",IF(J831&lt;&gt;"","?FAMILIAR",IF(F831="NEW",IF(ISNA(VLOOKUP(E831,#REF!,1,FALSE())),"?TYPE_IDENTIFIABLE","?REFERENTIAL"),"_")))))</f>
        <v> </v>
      </c>
      <c r="H831" s="25" t="str">
        <f>IF(J831&lt;&gt;1,"",IF(I831="SBJ","CB","?"))</f>
        <v> </v>
      </c>
      <c r="I831" s="26" t="str">
        <f>IF(OR(E831="",E831="!!!",F831="NEW"),"",INDEX(B830:B$2,-1+SUMPRODUCT(MAX(ROW(E830:E$2)*(E831=E830:E$2)))))</f>
        <v> </v>
      </c>
      <c r="J831" s="26" t="str">
        <f>IF(OR(E831="",E831="!!!",F831="NEW"),"",COUNTBLANK(OFFSET(A$1,,,SUMPRODUCT(MAX(ROW(E$2:E831)*(E831=E$2:E831)))))-COUNTBLANK(OFFSET(A$1,,,SUMPRODUCT(MAX(ROW(E$1:E830)*(E2=E$1:E830))))))</f>
        <v> </v>
      </c>
      <c r="K831" s="26" t="str">
        <f>IF(OR(E831="",E831="!!!",F831="NEW"),"",INDEX(J$1:J830,SUMPRODUCT(MAX(ROW(E$1:E830)*(E831=E$1:E830)))))</f>
        <v> </v>
      </c>
      <c r="L831" s="27"/>
    </row>
    <row r="832" spans="1:12">
      <c r="A832" s="20" t="s">
        <v>741</v>
      </c>
      <c r="E832" s="22">
        <f>IF(D832="?OLD","!!!","")</f>
        <v/>
      </c>
      <c r="F832" s="23" t="str">
        <f>IF(OR(E832="",E832="!!!"),"",IF(NOT(ISNA(VLOOKUP(E832,E$1:E831,1,FALSE()))),"OLD",IF(AND(E832&lt;&gt;"",E832&lt;&gt;"!!!"),"NEW","")))</f>
        <v> </v>
      </c>
      <c r="G832" s="24" t="str">
        <f>IF(OR(E832="",E832="!!!"),"",IF(OR(J832=0,AND(J832=1,K832=1),AND(J832=1,I832="SBJ"),AND(J832=1,I832=0)),"?IN_FOCUS",IF(J832&lt;=2,"?ACTIVATED",IF(J832&lt;&gt;"","?FAMILIAR",IF(F832="NEW",IF(ISNA(VLOOKUP(E832,#REF!,1,FALSE())),"?TYPE_IDENTIFIABLE","?REFERENTIAL"),"_")))))</f>
        <v> </v>
      </c>
      <c r="H832" s="25" t="str">
        <f>IF(J832&lt;&gt;1,"",IF(I832="SBJ","CB","?"))</f>
        <v> </v>
      </c>
      <c r="I832" s="26" t="str">
        <f>IF(OR(E832="",E832="!!!",F832="NEW"),"",INDEX(B831:B$2,-1+SUMPRODUCT(MAX(ROW(E831:E$2)*(E832=E831:E$2)))))</f>
        <v> </v>
      </c>
      <c r="J832" s="26" t="str">
        <f>IF(OR(E832="",E832="!!!",F832="NEW"),"",COUNTBLANK(OFFSET(A$1,,,SUMPRODUCT(MAX(ROW(E$2:E832)*(E832=E$2:E832)))))-COUNTBLANK(OFFSET(A$1,,,SUMPRODUCT(MAX(ROW(E$1:E831)*(E2=E$1:E831))))))</f>
        <v> </v>
      </c>
      <c r="K832" s="26" t="str">
        <f>IF(OR(E832="",E832="!!!",F832="NEW"),"",INDEX(J$1:J831,SUMPRODUCT(MAX(ROW(E$1:E831)*(E832=E$1:E831)))))</f>
        <v> </v>
      </c>
      <c r="L832" s="27"/>
    </row>
    <row r="833" spans="1:12">
      <c r="A833" s="20" t="s">
        <v>12</v>
      </c>
      <c r="E833" s="22">
        <f>IF(D833="?OLD","!!!","")</f>
        <v/>
      </c>
      <c r="F833" s="23" t="str">
        <f>IF(OR(E833="",E833="!!!"),"",IF(NOT(ISNA(VLOOKUP(E833,E$1:E832,1,FALSE()))),"OLD",IF(AND(E833&lt;&gt;"",E833&lt;&gt;"!!!"),"NEW","")))</f>
        <v> </v>
      </c>
      <c r="G833" s="24" t="str">
        <f>IF(OR(E833="",E833="!!!"),"",IF(OR(J833=0,AND(J833=1,K833=1),AND(J833=1,I833="SBJ"),AND(J833=1,I833=0)),"?IN_FOCUS",IF(J833&lt;=2,"?ACTIVATED",IF(J833&lt;&gt;"","?FAMILIAR",IF(F833="NEW",IF(ISNA(VLOOKUP(E833,#REF!,1,FALSE())),"?TYPE_IDENTIFIABLE","?REFERENTIAL"),"_")))))</f>
        <v> </v>
      </c>
      <c r="H833" s="25" t="str">
        <f>IF(J833&lt;&gt;1,"",IF(I833="SBJ","CB","?"))</f>
        <v> </v>
      </c>
      <c r="I833" s="26" t="str">
        <f>IF(OR(E833="",E833="!!!",F833="NEW"),"",INDEX(B832:B$2,-1+SUMPRODUCT(MAX(ROW(E832:E$2)*(E833=E832:E$2)))))</f>
        <v> </v>
      </c>
      <c r="J833" s="26" t="str">
        <f>IF(OR(E833="",E833="!!!",F833="NEW"),"",COUNTBLANK(OFFSET(A$1,,,SUMPRODUCT(MAX(ROW(E$2:E833)*(E833=E$2:E833)))))-COUNTBLANK(OFFSET(A$1,,,SUMPRODUCT(MAX(ROW(E$1:E832)*(E2=E$1:E832))))))</f>
        <v> </v>
      </c>
      <c r="K833" s="26" t="str">
        <f>IF(OR(E833="",E833="!!!",F833="NEW"),"",INDEX(J$1:J832,SUMPRODUCT(MAX(ROW(E$1:E832)*(E833=E$1:E832)))))</f>
        <v> </v>
      </c>
      <c r="L833" s="27"/>
    </row>
    <row r="834" spans="1:12">
      <c r="A834" s="20" t="s">
        <v>1146</v>
      </c>
      <c r="E834" s="22">
        <f>IF(D834="?OLD","!!!","")</f>
        <v/>
      </c>
      <c r="F834" s="23" t="str">
        <f>IF(OR(E834="",E834="!!!"),"",IF(NOT(ISNA(VLOOKUP(E834,E$1:E833,1,FALSE()))),"OLD",IF(AND(E834&lt;&gt;"",E834&lt;&gt;"!!!"),"NEW","")))</f>
        <v> </v>
      </c>
      <c r="G834" s="24" t="str">
        <f>IF(OR(E834="",E834="!!!"),"",IF(OR(J834=0,AND(J834=1,K834=1),AND(J834=1,I834="SBJ"),AND(J834=1,I834=0)),"?IN_FOCUS",IF(J834&lt;=2,"?ACTIVATED",IF(J834&lt;&gt;"","?FAMILIAR",IF(F834="NEW",IF(ISNA(VLOOKUP(E834,#REF!,1,FALSE())),"?TYPE_IDENTIFIABLE","?REFERENTIAL"),"_")))))</f>
        <v> </v>
      </c>
      <c r="H834" s="25" t="str">
        <f>IF(J834&lt;&gt;1,"",IF(I834="SBJ","CB","?"))</f>
        <v> </v>
      </c>
      <c r="I834" s="26" t="str">
        <f>IF(OR(E834="",E834="!!!",F834="NEW"),"",INDEX(B833:B$2,-1+SUMPRODUCT(MAX(ROW(E833:E$2)*(E834=E833:E$2)))))</f>
        <v> </v>
      </c>
      <c r="J834" s="26" t="str">
        <f>IF(OR(E834="",E834="!!!",F834="NEW"),"",COUNTBLANK(OFFSET(A$1,,,SUMPRODUCT(MAX(ROW(E$2:E834)*(E834=E$2:E834)))))-COUNTBLANK(OFFSET(A$1,,,SUMPRODUCT(MAX(ROW(E$1:E833)*(E2=E$1:E833))))))</f>
        <v> </v>
      </c>
      <c r="K834" s="26" t="str">
        <f>IF(OR(E834="",E834="!!!",F834="NEW"),"",INDEX(J$1:J833,SUMPRODUCT(MAX(ROW(E$1:E833)*(E834=E$1:E833)))))</f>
        <v> </v>
      </c>
      <c r="L834" s="27"/>
    </row>
    <row r="835" spans="1:12">
      <c r="A835" s="20" t="s">
        <v>1147</v>
      </c>
      <c r="E835" s="22">
        <f>IF(D835="?OLD","!!!","")</f>
        <v/>
      </c>
      <c r="F835" s="23" t="str">
        <f>IF(OR(E835="",E835="!!!"),"",IF(NOT(ISNA(VLOOKUP(E835,E$1:E834,1,FALSE()))),"OLD",IF(AND(E835&lt;&gt;"",E835&lt;&gt;"!!!"),"NEW","")))</f>
        <v> </v>
      </c>
      <c r="G835" s="24" t="str">
        <f>IF(OR(E835="",E835="!!!"),"",IF(OR(J835=0,AND(J835=1,K835=1),AND(J835=1,I835="SBJ"),AND(J835=1,I835=0)),"?IN_FOCUS",IF(J835&lt;=2,"?ACTIVATED",IF(J835&lt;&gt;"","?FAMILIAR",IF(F835="NEW",IF(ISNA(VLOOKUP(E835,#REF!,1,FALSE())),"?TYPE_IDENTIFIABLE","?REFERENTIAL"),"_")))))</f>
        <v> </v>
      </c>
      <c r="H835" s="25" t="str">
        <f>IF(J835&lt;&gt;1,"",IF(I835="SBJ","CB","?"))</f>
        <v> </v>
      </c>
      <c r="I835" s="26" t="str">
        <f>IF(OR(E835="",E835="!!!",F835="NEW"),"",INDEX(B834:B$2,-1+SUMPRODUCT(MAX(ROW(E834:E$2)*(E835=E834:E$2)))))</f>
        <v> </v>
      </c>
      <c r="J835" s="26" t="str">
        <f>IF(OR(E835="",E835="!!!",F835="NEW"),"",COUNTBLANK(OFFSET(A$1,,,SUMPRODUCT(MAX(ROW(E$2:E835)*(E835=E$2:E835)))))-COUNTBLANK(OFFSET(A$1,,,SUMPRODUCT(MAX(ROW(E$1:E834)*(E2=E$1:E834))))))</f>
        <v> </v>
      </c>
      <c r="K835" s="26" t="str">
        <f>IF(OR(E835="",E835="!!!",F835="NEW"),"",INDEX(J$1:J834,SUMPRODUCT(MAX(ROW(E$1:E834)*(E835=E$1:E834)))))</f>
        <v> </v>
      </c>
      <c r="L835" s="27"/>
    </row>
    <row r="836" spans="1:12">
      <c r="A836" s="20" t="s">
        <v>817</v>
      </c>
      <c r="E836" s="22">
        <f>IF(D836="?OLD","!!!","")</f>
        <v/>
      </c>
      <c r="F836" s="23" t="str">
        <f>IF(OR(E836="",E836="!!!"),"",IF(NOT(ISNA(VLOOKUP(E836,E$1:E835,1,FALSE()))),"OLD",IF(AND(E836&lt;&gt;"",E836&lt;&gt;"!!!"),"NEW","")))</f>
        <v> </v>
      </c>
      <c r="G836" s="24" t="str">
        <f>IF(OR(E836="",E836="!!!"),"",IF(OR(J836=0,AND(J836=1,K836=1),AND(J836=1,I836="SBJ"),AND(J836=1,I836=0)),"?IN_FOCUS",IF(J836&lt;=2,"?ACTIVATED",IF(J836&lt;&gt;"","?FAMILIAR",IF(F836="NEW",IF(ISNA(VLOOKUP(E836,#REF!,1,FALSE())),"?TYPE_IDENTIFIABLE","?REFERENTIAL"),"_")))))</f>
        <v> </v>
      </c>
      <c r="H836" s="25" t="str">
        <f>IF(J836&lt;&gt;1,"",IF(I836="SBJ","CB","?"))</f>
        <v> </v>
      </c>
      <c r="I836" s="26" t="str">
        <f>IF(OR(E836="",E836="!!!",F836="NEW"),"",INDEX(B835:B$2,-1+SUMPRODUCT(MAX(ROW(E835:E$2)*(E836=E835:E$2)))))</f>
        <v> </v>
      </c>
      <c r="J836" s="26" t="str">
        <f>IF(OR(E836="",E836="!!!",F836="NEW"),"",COUNTBLANK(OFFSET(A$1,,,SUMPRODUCT(MAX(ROW(E$2:E836)*(E836=E$2:E836)))))-COUNTBLANK(OFFSET(A$1,,,SUMPRODUCT(MAX(ROW(E$1:E835)*(E2=E$1:E835))))))</f>
        <v> </v>
      </c>
      <c r="K836" s="26" t="str">
        <f>IF(OR(E836="",E836="!!!",F836="NEW"),"",INDEX(J$1:J835,SUMPRODUCT(MAX(ROW(E$1:E835)*(E836=E$1:E835)))))</f>
        <v> </v>
      </c>
      <c r="L836" s="27"/>
    </row>
    <row r="837" spans="1:12">
      <c r="A837" s="20" t="s">
        <v>1148</v>
      </c>
      <c r="B837" s="21" t="s">
        <v>739</v>
      </c>
      <c r="C837" s="21" t="s">
        <v>748</v>
      </c>
      <c r="E837" s="22">
        <f>IF(D837="?OLD","!!!","")</f>
        <v/>
      </c>
      <c r="F837" s="23" t="str">
        <f>IF(OR(E837="",E837="!!!"),"",IF(NOT(ISNA(VLOOKUP(E837,E$1:E836,1,FALSE()))),"OLD",IF(AND(E837&lt;&gt;"",E837&lt;&gt;"!!!"),"NEW","")))</f>
        <v> </v>
      </c>
      <c r="G837" s="24" t="str">
        <f>IF(OR(E837="",E837="!!!"),"",IF(OR(J837=0,AND(J837=1,K837=1),AND(J837=1,I837="SBJ"),AND(J837=1,I837=0)),"?IN_FOCUS",IF(J837&lt;=2,"?ACTIVATED",IF(J837&lt;&gt;"","?FAMILIAR",IF(F837="NEW",IF(ISNA(VLOOKUP(E837,#REF!,1,FALSE())),"?TYPE_IDENTIFIABLE","?REFERENTIAL"),"_")))))</f>
        <v> </v>
      </c>
      <c r="H837" s="25" t="str">
        <f>IF(J837&lt;&gt;1,"",IF(I837="SBJ","CB","?"))</f>
        <v> </v>
      </c>
      <c r="I837" s="26" t="str">
        <f>IF(OR(E837="",E837="!!!",F837="NEW"),"",INDEX(B836:B$2,-1+SUMPRODUCT(MAX(ROW(E836:E$2)*(E837=E836:E$2)))))</f>
        <v> </v>
      </c>
      <c r="J837" s="26" t="str">
        <f>IF(OR(E837="",E837="!!!",F837="NEW"),"",COUNTBLANK(OFFSET(A$1,,,SUMPRODUCT(MAX(ROW(E$2:E837)*(E837=E$2:E837)))))-COUNTBLANK(OFFSET(A$1,,,SUMPRODUCT(MAX(ROW(E$1:E836)*(E2=E$1:E836))))))</f>
        <v> </v>
      </c>
      <c r="K837" s="26" t="str">
        <f>IF(OR(E837="",E837="!!!",F837="NEW"),"",INDEX(J$1:J836,SUMPRODUCT(MAX(ROW(E$1:E836)*(E837=E$1:E836)))))</f>
        <v> </v>
      </c>
      <c r="L837" s="27"/>
    </row>
    <row r="838" spans="1:12">
      <c r="A838" s="20" t="s">
        <v>817</v>
      </c>
      <c r="E838" s="22">
        <f>IF(D838="?OLD","!!!","")</f>
        <v/>
      </c>
      <c r="F838" s="23" t="str">
        <f>IF(OR(E838="",E838="!!!"),"",IF(NOT(ISNA(VLOOKUP(E838,E$1:E837,1,FALSE()))),"OLD",IF(AND(E838&lt;&gt;"",E838&lt;&gt;"!!!"),"NEW","")))</f>
        <v> </v>
      </c>
      <c r="G838" s="24" t="str">
        <f>IF(OR(E838="",E838="!!!"),"",IF(OR(J838=0,AND(J838=1,K838=1),AND(J838=1,I838="SBJ"),AND(J838=1,I838=0)),"?IN_FOCUS",IF(J838&lt;=2,"?ACTIVATED",IF(J838&lt;&gt;"","?FAMILIAR",IF(F838="NEW",IF(ISNA(VLOOKUP(E838,#REF!,1,FALSE())),"?TYPE_IDENTIFIABLE","?REFERENTIAL"),"_")))))</f>
        <v> </v>
      </c>
      <c r="H838" s="25" t="str">
        <f>IF(J838&lt;&gt;1,"",IF(I838="SBJ","CB","?"))</f>
        <v> </v>
      </c>
      <c r="I838" s="26" t="str">
        <f>IF(OR(E838="",E838="!!!",F838="NEW"),"",INDEX(B837:B$2,-1+SUMPRODUCT(MAX(ROW(E837:E$2)*(E838=E837:E$2)))))</f>
        <v> </v>
      </c>
      <c r="J838" s="26" t="str">
        <f>IF(OR(E838="",E838="!!!",F838="NEW"),"",COUNTBLANK(OFFSET(A$1,,,SUMPRODUCT(MAX(ROW(E$2:E838)*(E838=E$2:E838)))))-COUNTBLANK(OFFSET(A$1,,,SUMPRODUCT(MAX(ROW(E$1:E837)*(E2=E$1:E837))))))</f>
        <v> </v>
      </c>
      <c r="K838" s="26" t="str">
        <f>IF(OR(E838="",E838="!!!",F838="NEW"),"",INDEX(J$1:J837,SUMPRODUCT(MAX(ROW(E$1:E837)*(E838=E$1:E837)))))</f>
        <v> </v>
      </c>
      <c r="L838" s="27"/>
    </row>
    <row r="839" spans="1:12">
      <c r="A839" s="20" t="s">
        <v>759</v>
      </c>
      <c r="E839" s="22">
        <f>IF(D839="?OLD","!!!","")</f>
        <v/>
      </c>
      <c r="F839" s="23" t="str">
        <f>IF(OR(E839="",E839="!!!"),"",IF(NOT(ISNA(VLOOKUP(E839,E$1:E838,1,FALSE()))),"OLD",IF(AND(E839&lt;&gt;"",E839&lt;&gt;"!!!"),"NEW","")))</f>
        <v> </v>
      </c>
      <c r="G839" s="24" t="str">
        <f>IF(OR(E839="",E839="!!!"),"",IF(OR(J839=0,AND(J839=1,K839=1),AND(J839=1,I839="SBJ"),AND(J839=1,I839=0)),"?IN_FOCUS",IF(J839&lt;=2,"?ACTIVATED",IF(J839&lt;&gt;"","?FAMILIAR",IF(F839="NEW",IF(ISNA(VLOOKUP(E839,#REF!,1,FALSE())),"?TYPE_IDENTIFIABLE","?REFERENTIAL"),"_")))))</f>
        <v> </v>
      </c>
      <c r="H839" s="25" t="str">
        <f>IF(J839&lt;&gt;1,"",IF(I839="SBJ","CB","?"))</f>
        <v> </v>
      </c>
      <c r="I839" s="26" t="str">
        <f>IF(OR(E839="",E839="!!!",F839="NEW"),"",INDEX(B838:B$2,-1+SUMPRODUCT(MAX(ROW(E838:E$2)*(E839=E838:E$2)))))</f>
        <v> </v>
      </c>
      <c r="J839" s="26" t="str">
        <f>IF(OR(E839="",E839="!!!",F839="NEW"),"",COUNTBLANK(OFFSET(A$1,,,SUMPRODUCT(MAX(ROW(E$2:E839)*(E839=E$2:E839)))))-COUNTBLANK(OFFSET(A$1,,,SUMPRODUCT(MAX(ROW(E$1:E838)*(E2=E$1:E838))))))</f>
        <v> </v>
      </c>
      <c r="K839" s="26" t="str">
        <f>IF(OR(E839="",E839="!!!",F839="NEW"),"",INDEX(J$1:J838,SUMPRODUCT(MAX(ROW(E$1:E838)*(E839=E$1:E838)))))</f>
        <v> </v>
      </c>
      <c r="L839" s="27"/>
    </row>
    <row r="840" spans="1:12">
      <c r="A840" s="20" t="s">
        <v>817</v>
      </c>
      <c r="E840" s="22">
        <f>IF(D840="?OLD","!!!","")</f>
        <v/>
      </c>
      <c r="F840" s="23" t="str">
        <f>IF(OR(E840="",E840="!!!"),"",IF(NOT(ISNA(VLOOKUP(E840,E$1:E839,1,FALSE()))),"OLD",IF(AND(E840&lt;&gt;"",E840&lt;&gt;"!!!"),"NEW","")))</f>
        <v> </v>
      </c>
      <c r="G840" s="24" t="str">
        <f>IF(OR(E840="",E840="!!!"),"",IF(OR(J840=0,AND(J840=1,K840=1),AND(J840=1,I840="SBJ"),AND(J840=1,I840=0)),"?IN_FOCUS",IF(J840&lt;=2,"?ACTIVATED",IF(J840&lt;&gt;"","?FAMILIAR",IF(F840="NEW",IF(ISNA(VLOOKUP(E840,#REF!,1,FALSE())),"?TYPE_IDENTIFIABLE","?REFERENTIAL"),"_")))))</f>
        <v> </v>
      </c>
      <c r="H840" s="25" t="str">
        <f>IF(J840&lt;&gt;1,"",IF(I840="SBJ","CB","?"))</f>
        <v> </v>
      </c>
      <c r="I840" s="26" t="str">
        <f>IF(OR(E840="",E840="!!!",F840="NEW"),"",INDEX(B839:B$2,-1+SUMPRODUCT(MAX(ROW(E839:E$2)*(E840=E839:E$2)))))</f>
        <v> </v>
      </c>
      <c r="J840" s="26" t="str">
        <f>IF(OR(E840="",E840="!!!",F840="NEW"),"",COUNTBLANK(OFFSET(A$1,,,SUMPRODUCT(MAX(ROW(E$2:E840)*(E840=E$2:E840)))))-COUNTBLANK(OFFSET(A$1,,,SUMPRODUCT(MAX(ROW(E$1:E839)*(E2=E$1:E839))))))</f>
        <v> </v>
      </c>
      <c r="K840" s="26" t="str">
        <f>IF(OR(E840="",E840="!!!",F840="NEW"),"",INDEX(J$1:J839,SUMPRODUCT(MAX(ROW(E$1:E839)*(E840=E$1:E839)))))</f>
        <v> </v>
      </c>
      <c r="L840" s="27"/>
    </row>
    <row r="841" spans="1:12">
      <c r="A841" s="20" t="s">
        <v>1149</v>
      </c>
      <c r="B841" s="21" t="s">
        <v>755</v>
      </c>
      <c r="C841" s="21" t="s">
        <v>740</v>
      </c>
      <c r="D841" s="21" t="s">
        <v>730</v>
      </c>
      <c r="E841" s="22">
        <f>IF(D841="?OLD","!!!","")</f>
        <v/>
      </c>
      <c r="F841" s="23" t="str">
        <f>IF(OR(E841="",E841="!!!"),"",IF(NOT(ISNA(VLOOKUP(E841,E$1:E840,1,FALSE()))),"OLD",IF(AND(E841&lt;&gt;"",E841&lt;&gt;"!!!"),"NEW","")))</f>
        <v> </v>
      </c>
      <c r="G841" s="24" t="str">
        <f>IF(OR(E841="",E841="!!!"),"",IF(OR(J841=0,AND(J841=1,K841=1),AND(J841=1,I841="SBJ"),AND(J841=1,I841=0)),"?IN_FOCUS",IF(J841&lt;=2,"?ACTIVATED",IF(J841&lt;&gt;"","?FAMILIAR",IF(F841="NEW",IF(ISNA(VLOOKUP(E841,#REF!,1,FALSE())),"?TYPE_IDENTIFIABLE","?REFERENTIAL"),"_")))))</f>
        <v> </v>
      </c>
      <c r="H841" s="25" t="str">
        <f>IF(J841&lt;&gt;1,"",IF(I841="SBJ","CB","?"))</f>
        <v> </v>
      </c>
      <c r="I841" s="26" t="str">
        <f>IF(OR(E841="",E841="!!!",F841="NEW"),"",INDEX(B840:B$2,-1+SUMPRODUCT(MAX(ROW(E840:E$2)*(E841=E840:E$2)))))</f>
        <v> </v>
      </c>
      <c r="J841" s="26" t="str">
        <f>IF(OR(E841="",E841="!!!",F841="NEW"),"",COUNTBLANK(OFFSET(A$1,,,SUMPRODUCT(MAX(ROW(E$2:E841)*(E841=E$2:E841)))))-COUNTBLANK(OFFSET(A$1,,,SUMPRODUCT(MAX(ROW(E$1:E840)*(E2=E$1:E840))))))</f>
        <v> </v>
      </c>
      <c r="K841" s="26" t="str">
        <f>IF(OR(E841="",E841="!!!",F841="NEW"),"",INDEX(J$1:J840,SUMPRODUCT(MAX(ROW(E$1:E840)*(E841=E$1:E840)))))</f>
        <v> </v>
      </c>
      <c r="L841" s="27"/>
    </row>
    <row r="842" spans="1:12">
      <c r="A842" s="20" t="s">
        <v>817</v>
      </c>
      <c r="E842" s="22">
        <f>IF(D842="?OLD","!!!","")</f>
        <v/>
      </c>
      <c r="F842" s="23" t="str">
        <f>IF(OR(E842="",E842="!!!"),"",IF(NOT(ISNA(VLOOKUP(E842,E$1:E841,1,FALSE()))),"OLD",IF(AND(E842&lt;&gt;"",E842&lt;&gt;"!!!"),"NEW","")))</f>
        <v> </v>
      </c>
      <c r="G842" s="24" t="str">
        <f>IF(OR(E842="",E842="!!!"),"",IF(OR(J842=0,AND(J842=1,K842=1),AND(J842=1,I842="SBJ"),AND(J842=1,I842=0)),"?IN_FOCUS",IF(J842&lt;=2,"?ACTIVATED",IF(J842&lt;&gt;"","?FAMILIAR",IF(F842="NEW",IF(ISNA(VLOOKUP(E842,#REF!,1,FALSE())),"?TYPE_IDENTIFIABLE","?REFERENTIAL"),"_")))))</f>
        <v> </v>
      </c>
      <c r="H842" s="25" t="str">
        <f>IF(J842&lt;&gt;1,"",IF(I842="SBJ","CB","?"))</f>
        <v> </v>
      </c>
      <c r="I842" s="26" t="str">
        <f>IF(OR(E842="",E842="!!!",F842="NEW"),"",INDEX(B841:B$2,-1+SUMPRODUCT(MAX(ROW(E841:E$2)*(E842=E841:E$2)))))</f>
        <v> </v>
      </c>
      <c r="J842" s="26" t="str">
        <f>IF(OR(E842="",E842="!!!",F842="NEW"),"",COUNTBLANK(OFFSET(A$1,,,SUMPRODUCT(MAX(ROW(E$2:E842)*(E842=E$2:E842)))))-COUNTBLANK(OFFSET(A$1,,,SUMPRODUCT(MAX(ROW(E$1:E841)*(E2=E$1:E841))))))</f>
        <v> </v>
      </c>
      <c r="K842" s="26" t="str">
        <f>IF(OR(E842="",E842="!!!",F842="NEW"),"",INDEX(J$1:J841,SUMPRODUCT(MAX(ROW(E$1:E841)*(E842=E$1:E841)))))</f>
        <v> </v>
      </c>
      <c r="L842" s="27"/>
    </row>
    <row r="843" spans="1:12">
      <c r="A843" s="20" t="s">
        <v>759</v>
      </c>
      <c r="E843" s="22">
        <f>IF(D843="?OLD","!!!","")</f>
        <v/>
      </c>
      <c r="F843" s="23" t="str">
        <f>IF(OR(E843="",E843="!!!"),"",IF(NOT(ISNA(VLOOKUP(E843,E$1:E842,1,FALSE()))),"OLD",IF(AND(E843&lt;&gt;"",E843&lt;&gt;"!!!"),"NEW","")))</f>
        <v> </v>
      </c>
      <c r="G843" s="24" t="str">
        <f>IF(OR(E843="",E843="!!!"),"",IF(OR(J843=0,AND(J843=1,K843=1),AND(J843=1,I843="SBJ"),AND(J843=1,I843=0)),"?IN_FOCUS",IF(J843&lt;=2,"?ACTIVATED",IF(J843&lt;&gt;"","?FAMILIAR",IF(F843="NEW",IF(ISNA(VLOOKUP(E843,#REF!,1,FALSE())),"?TYPE_IDENTIFIABLE","?REFERENTIAL"),"_")))))</f>
        <v> </v>
      </c>
      <c r="H843" s="25" t="str">
        <f>IF(J843&lt;&gt;1,"",IF(I843="SBJ","CB","?"))</f>
        <v> </v>
      </c>
      <c r="I843" s="26" t="str">
        <f>IF(OR(E843="",E843="!!!",F843="NEW"),"",INDEX(B842:B$2,-1+SUMPRODUCT(MAX(ROW(E842:E$2)*(E843=E842:E$2)))))</f>
        <v> </v>
      </c>
      <c r="J843" s="26" t="str">
        <f>IF(OR(E843="",E843="!!!",F843="NEW"),"",COUNTBLANK(OFFSET(A$1,,,SUMPRODUCT(MAX(ROW(E$2:E843)*(E843=E$2:E843)))))-COUNTBLANK(OFFSET(A$1,,,SUMPRODUCT(MAX(ROW(E$1:E842)*(E2=E$1:E842))))))</f>
        <v> </v>
      </c>
      <c r="K843" s="26" t="str">
        <f>IF(OR(E843="",E843="!!!",F843="NEW"),"",INDEX(J$1:J842,SUMPRODUCT(MAX(ROW(E$1:E842)*(E843=E$1:E842)))))</f>
        <v> </v>
      </c>
      <c r="L843" s="27"/>
    </row>
    <row r="844" spans="1:12">
      <c r="A844" s="20" t="s">
        <v>785</v>
      </c>
      <c r="E844" s="22">
        <f>IF(D844="?OLD","!!!","")</f>
        <v/>
      </c>
      <c r="F844" s="23" t="str">
        <f>IF(OR(E844="",E844="!!!"),"",IF(NOT(ISNA(VLOOKUP(E844,E$1:E843,1,FALSE()))),"OLD",IF(AND(E844&lt;&gt;"",E844&lt;&gt;"!!!"),"NEW","")))</f>
        <v> </v>
      </c>
      <c r="G844" s="24" t="str">
        <f>IF(OR(E844="",E844="!!!"),"",IF(OR(J844=0,AND(J844=1,K844=1),AND(J844=1,I844="SBJ"),AND(J844=1,I844=0)),"?IN_FOCUS",IF(J844&lt;=2,"?ACTIVATED",IF(J844&lt;&gt;"","?FAMILIAR",IF(F844="NEW",IF(ISNA(VLOOKUP(E844,#REF!,1,FALSE())),"?TYPE_IDENTIFIABLE","?REFERENTIAL"),"_")))))</f>
        <v> </v>
      </c>
      <c r="H844" s="25" t="str">
        <f>IF(J844&lt;&gt;1,"",IF(I844="SBJ","CB","?"))</f>
        <v> </v>
      </c>
      <c r="I844" s="26" t="str">
        <f>IF(OR(E844="",E844="!!!",F844="NEW"),"",INDEX(B843:B$2,-1+SUMPRODUCT(MAX(ROW(E843:E$2)*(E844=E843:E$2)))))</f>
        <v> </v>
      </c>
      <c r="J844" s="26" t="str">
        <f>IF(OR(E844="",E844="!!!",F844="NEW"),"",COUNTBLANK(OFFSET(A$1,,,SUMPRODUCT(MAX(ROW(E$2:E844)*(E844=E$2:E844)))))-COUNTBLANK(OFFSET(A$1,,,SUMPRODUCT(MAX(ROW(E$1:E843)*(E2=E$1:E843))))))</f>
        <v> </v>
      </c>
      <c r="K844" s="26" t="str">
        <f>IF(OR(E844="",E844="!!!",F844="NEW"),"",INDEX(J$1:J843,SUMPRODUCT(MAX(ROW(E$1:E843)*(E844=E$1:E843)))))</f>
        <v> </v>
      </c>
      <c r="L844" s="27"/>
    </row>
    <row r="845" spans="1:12">
      <c r="A845" s="20" t="s">
        <v>817</v>
      </c>
      <c r="E845" s="22">
        <f>IF(D845="?OLD","!!!","")</f>
        <v/>
      </c>
      <c r="F845" s="23" t="str">
        <f>IF(OR(E845="",E845="!!!"),"",IF(NOT(ISNA(VLOOKUP(E845,E$1:E844,1,FALSE()))),"OLD",IF(AND(E845&lt;&gt;"",E845&lt;&gt;"!!!"),"NEW","")))</f>
        <v> </v>
      </c>
      <c r="G845" s="24" t="str">
        <f>IF(OR(E845="",E845="!!!"),"",IF(OR(J845=0,AND(J845=1,K845=1),AND(J845=1,I845="SBJ"),AND(J845=1,I845=0)),"?IN_FOCUS",IF(J845&lt;=2,"?ACTIVATED",IF(J845&lt;&gt;"","?FAMILIAR",IF(F845="NEW",IF(ISNA(VLOOKUP(E845,#REF!,1,FALSE())),"?TYPE_IDENTIFIABLE","?REFERENTIAL"),"_")))))</f>
        <v> </v>
      </c>
      <c r="H845" s="25" t="str">
        <f>IF(J845&lt;&gt;1,"",IF(I845="SBJ","CB","?"))</f>
        <v> </v>
      </c>
      <c r="I845" s="26" t="str">
        <f>IF(OR(E845="",E845="!!!",F845="NEW"),"",INDEX(B844:B$2,-1+SUMPRODUCT(MAX(ROW(E844:E$2)*(E845=E844:E$2)))))</f>
        <v> </v>
      </c>
      <c r="J845" s="26" t="str">
        <f>IF(OR(E845="",E845="!!!",F845="NEW"),"",COUNTBLANK(OFFSET(A$1,,,SUMPRODUCT(MAX(ROW(E$2:E845)*(E845=E$2:E845)))))-COUNTBLANK(OFFSET(A$1,,,SUMPRODUCT(MAX(ROW(E$1:E844)*(E2=E$1:E844))))))</f>
        <v> </v>
      </c>
      <c r="K845" s="26" t="str">
        <f>IF(OR(E845="",E845="!!!",F845="NEW"),"",INDEX(J$1:J844,SUMPRODUCT(MAX(ROW(E$1:E844)*(E845=E$1:E844)))))</f>
        <v> </v>
      </c>
      <c r="L845" s="27"/>
    </row>
    <row r="846" spans="1:12">
      <c r="A846" s="20" t="s">
        <v>1150</v>
      </c>
      <c r="B846" s="21" t="s">
        <v>755</v>
      </c>
      <c r="C846" s="21" t="s">
        <v>748</v>
      </c>
      <c r="E846" s="22">
        <f>IF(D846="?OLD","!!!","")</f>
        <v/>
      </c>
      <c r="F846" s="23" t="str">
        <f>IF(OR(E846="",E846="!!!"),"",IF(NOT(ISNA(VLOOKUP(E846,E$1:E845,1,FALSE()))),"OLD",IF(AND(E846&lt;&gt;"",E846&lt;&gt;"!!!"),"NEW","")))</f>
        <v> </v>
      </c>
      <c r="G846" s="24" t="str">
        <f>IF(OR(E846="",E846="!!!"),"",IF(OR(J846=0,AND(J846=1,K846=1),AND(J846=1,I846="SBJ"),AND(J846=1,I846=0)),"?IN_FOCUS",IF(J846&lt;=2,"?ACTIVATED",IF(J846&lt;&gt;"","?FAMILIAR",IF(F846="NEW",IF(ISNA(VLOOKUP(E846,#REF!,1,FALSE())),"?TYPE_IDENTIFIABLE","?REFERENTIAL"),"_")))))</f>
        <v> </v>
      </c>
      <c r="H846" s="25" t="str">
        <f>IF(J846&lt;&gt;1,"",IF(I846="SBJ","CB","?"))</f>
        <v> </v>
      </c>
      <c r="I846" s="26" t="str">
        <f>IF(OR(E846="",E846="!!!",F846="NEW"),"",INDEX(B845:B$2,-1+SUMPRODUCT(MAX(ROW(E845:E$2)*(E846=E845:E$2)))))</f>
        <v> </v>
      </c>
      <c r="J846" s="26" t="str">
        <f>IF(OR(E846="",E846="!!!",F846="NEW"),"",COUNTBLANK(OFFSET(A$1,,,SUMPRODUCT(MAX(ROW(E$2:E846)*(E846=E$2:E846)))))-COUNTBLANK(OFFSET(A$1,,,SUMPRODUCT(MAX(ROW(E$1:E845)*(E2=E$1:E845))))))</f>
        <v> </v>
      </c>
      <c r="K846" s="26" t="str">
        <f>IF(OR(E846="",E846="!!!",F846="NEW"),"",INDEX(J$1:J845,SUMPRODUCT(MAX(ROW(E$1:E845)*(E846=E$1:E845)))))</f>
        <v> </v>
      </c>
      <c r="L846" s="27"/>
    </row>
    <row r="847" spans="1:12">
      <c r="A847" s="20" t="s">
        <v>817</v>
      </c>
      <c r="E847" s="22">
        <f>IF(D847="?OLD","!!!","")</f>
        <v/>
      </c>
      <c r="F847" s="23" t="str">
        <f>IF(OR(E847="",E847="!!!"),"",IF(NOT(ISNA(VLOOKUP(E847,E$1:E846,1,FALSE()))),"OLD",IF(AND(E847&lt;&gt;"",E847&lt;&gt;"!!!"),"NEW","")))</f>
        <v> </v>
      </c>
      <c r="G847" s="24" t="str">
        <f>IF(OR(E847="",E847="!!!"),"",IF(OR(J847=0,AND(J847=1,K847=1),AND(J847=1,I847="SBJ"),AND(J847=1,I847=0)),"?IN_FOCUS",IF(J847&lt;=2,"?ACTIVATED",IF(J847&lt;&gt;"","?FAMILIAR",IF(F847="NEW",IF(ISNA(VLOOKUP(E847,#REF!,1,FALSE())),"?TYPE_IDENTIFIABLE","?REFERENTIAL"),"_")))))</f>
        <v> </v>
      </c>
      <c r="H847" s="25" t="str">
        <f>IF(J847&lt;&gt;1,"",IF(I847="SBJ","CB","?"))</f>
        <v> </v>
      </c>
      <c r="I847" s="26" t="str">
        <f>IF(OR(E847="",E847="!!!",F847="NEW"),"",INDEX(B846:B$2,-1+SUMPRODUCT(MAX(ROW(E846:E$2)*(E847=E846:E$2)))))</f>
        <v> </v>
      </c>
      <c r="J847" s="26" t="str">
        <f>IF(OR(E847="",E847="!!!",F847="NEW"),"",COUNTBLANK(OFFSET(A$1,,,SUMPRODUCT(MAX(ROW(E$2:E847)*(E847=E$2:E847)))))-COUNTBLANK(OFFSET(A$1,,,SUMPRODUCT(MAX(ROW(E$1:E846)*(E2=E$1:E846))))))</f>
        <v> </v>
      </c>
      <c r="K847" s="26" t="str">
        <f>IF(OR(E847="",E847="!!!",F847="NEW"),"",INDEX(J$1:J846,SUMPRODUCT(MAX(ROW(E$1:E846)*(E847=E$1:E846)))))</f>
        <v> </v>
      </c>
      <c r="L847" s="27"/>
    </row>
    <row r="848" spans="1:12">
      <c r="A848" s="20" t="s">
        <v>246</v>
      </c>
      <c r="E848" s="22">
        <f>IF(D848="?OLD","!!!","")</f>
        <v/>
      </c>
      <c r="F848" s="23" t="str">
        <f>IF(OR(E848="",E848="!!!"),"",IF(NOT(ISNA(VLOOKUP(E848,E$1:E847,1,FALSE()))),"OLD",IF(AND(E848&lt;&gt;"",E848&lt;&gt;"!!!"),"NEW","")))</f>
        <v> </v>
      </c>
      <c r="G848" s="24" t="str">
        <f>IF(OR(E848="",E848="!!!"),"",IF(OR(J848=0,AND(J848=1,K848=1),AND(J848=1,I848="SBJ"),AND(J848=1,I848=0)),"?IN_FOCUS",IF(J848&lt;=2,"?ACTIVATED",IF(J848&lt;&gt;"","?FAMILIAR",IF(F848="NEW",IF(ISNA(VLOOKUP(E848,#REF!,1,FALSE())),"?TYPE_IDENTIFIABLE","?REFERENTIAL"),"_")))))</f>
        <v> </v>
      </c>
      <c r="H848" s="25" t="str">
        <f>IF(J848&lt;&gt;1,"",IF(I848="SBJ","CB","?"))</f>
        <v> </v>
      </c>
      <c r="I848" s="26" t="str">
        <f>IF(OR(E848="",E848="!!!",F848="NEW"),"",INDEX(B847:B$2,-1+SUMPRODUCT(MAX(ROW(E847:E$2)*(E848=E847:E$2)))))</f>
        <v> </v>
      </c>
      <c r="J848" s="26" t="str">
        <f>IF(OR(E848="",E848="!!!",F848="NEW"),"",COUNTBLANK(OFFSET(A$1,,,SUMPRODUCT(MAX(ROW(E$2:E848)*(E848=E$2:E848)))))-COUNTBLANK(OFFSET(A$1,,,SUMPRODUCT(MAX(ROW(E$1:E847)*(E2=E$1:E847))))))</f>
        <v> </v>
      </c>
      <c r="K848" s="26" t="str">
        <f>IF(OR(E848="",E848="!!!",F848="NEW"),"",INDEX(J$1:J847,SUMPRODUCT(MAX(ROW(E$1:E847)*(E848=E$1:E847)))))</f>
        <v> </v>
      </c>
      <c r="L848" s="27"/>
    </row>
    <row r="849" spans="1:12">
      <c r="A849" s="20"/>
    </row>
    <row r="850" spans="1:12">
      <c r="A850" s="20" t="s">
        <v>798</v>
      </c>
      <c r="E850" s="22">
        <f>IF(D850="?OLD","!!!","")</f>
        <v/>
      </c>
      <c r="F850" s="23" t="str">
        <f>IF(OR(E850="",E850="!!!"),"",IF(NOT(ISNA(VLOOKUP(E850,E$1:E849,1,FALSE()))),"OLD",IF(AND(E850&lt;&gt;"",E850&lt;&gt;"!!!"),"NEW","")))</f>
        <v> </v>
      </c>
      <c r="G850" s="24" t="str">
        <f>IF(OR(E850="",E850="!!!"),"",IF(OR(J850=0,AND(J850=1,K850=1),AND(J850=1,I850="SBJ"),AND(J850=1,I850=0)),"?IN_FOCUS",IF(J850&lt;=2,"?ACTIVATED",IF(J850&lt;&gt;"","?FAMILIAR",IF(F850="NEW",IF(ISNA(VLOOKUP(E850,#REF!,1,FALSE())),"?TYPE_IDENTIFIABLE","?REFERENTIAL"),"_")))))</f>
        <v> </v>
      </c>
      <c r="H850" s="25" t="str">
        <f>IF(J850&lt;&gt;1,"",IF(I850="SBJ","CB","?"))</f>
        <v> </v>
      </c>
      <c r="I850" s="26" t="str">
        <f>IF(OR(E850="",E850="!!!",F850="NEW"),"",INDEX(B849:B$2,-1+SUMPRODUCT(MAX(ROW(E849:E$2)*(E850=E849:E$2)))))</f>
        <v> </v>
      </c>
      <c r="J850" s="26" t="str">
        <f>IF(OR(E850="",E850="!!!",F850="NEW"),"",COUNTBLANK(OFFSET(A$1,,,SUMPRODUCT(MAX(ROW(E$2:E850)*(E850=E$2:E850)))))-COUNTBLANK(OFFSET(A$1,,,SUMPRODUCT(MAX(ROW(E$1:E849)*(E2=E$1:E849))))))</f>
        <v> </v>
      </c>
      <c r="K850" s="26" t="str">
        <f>IF(OR(E850="",E850="!!!",F850="NEW"),"",INDEX(J$1:J849,SUMPRODUCT(MAX(ROW(E$1:E849)*(E850=E$1:E849)))))</f>
        <v> </v>
      </c>
      <c r="L850" s="27"/>
    </row>
    <row r="851" spans="1:12">
      <c r="A851" s="20" t="s">
        <v>1151</v>
      </c>
    </row>
    <row r="852" spans="1:12">
      <c r="A852" s="20" t="s">
        <v>1152</v>
      </c>
      <c r="E852" s="22">
        <f>IF(D852="?OLD","!!!","")</f>
        <v/>
      </c>
      <c r="F852" s="23" t="str">
        <f>IF(OR(E852="",E852="!!!"),"",IF(NOT(ISNA(VLOOKUP(E852,E$1:E851,1,FALSE()))),"OLD",IF(AND(E852&lt;&gt;"",E852&lt;&gt;"!!!"),"NEW","")))</f>
        <v> </v>
      </c>
      <c r="G852" s="24" t="str">
        <f>IF(OR(E852="",E852="!!!"),"",IF(OR(J852=0,AND(J852=1,K852=1),AND(J852=1,I852="SBJ"),AND(J852=1,I852=0)),"?IN_FOCUS",IF(J852&lt;=2,"?ACTIVATED",IF(J852&lt;&gt;"","?FAMILIAR",IF(F852="NEW",IF(ISNA(VLOOKUP(E852,#REF!,1,FALSE())),"?TYPE_IDENTIFIABLE","?REFERENTIAL"),"_")))))</f>
        <v> </v>
      </c>
      <c r="H852" s="25" t="str">
        <f>IF(J852&lt;&gt;1,"",IF(I852="SBJ","CB","?"))</f>
        <v> </v>
      </c>
      <c r="I852" s="26" t="str">
        <f>IF(OR(E852="",E852="!!!",F852="NEW"),"",INDEX(B851:B$2,-1+SUMPRODUCT(MAX(ROW(E851:E$2)*(E852=E851:E$2)))))</f>
        <v> </v>
      </c>
      <c r="J852" s="26" t="str">
        <f>IF(OR(E852="",E852="!!!",F852="NEW"),"",COUNTBLANK(OFFSET(A$1,,,SUMPRODUCT(MAX(ROW(E$2:E852)*(E852=E$2:E852)))))-COUNTBLANK(OFFSET(A$1,,,SUMPRODUCT(MAX(ROW(E$1:E851)*(E2=E$1:E851))))))</f>
        <v> </v>
      </c>
      <c r="K852" s="26" t="str">
        <f>IF(OR(E852="",E852="!!!",F852="NEW"),"",INDEX(J$1:J851,SUMPRODUCT(MAX(ROW(E$1:E851)*(E852=E$1:E851)))))</f>
        <v> </v>
      </c>
      <c r="L852" s="27"/>
    </row>
    <row r="853" spans="1:12">
      <c r="A853" s="20" t="s">
        <v>817</v>
      </c>
      <c r="E853" s="22">
        <f>IF(D853="?OLD","!!!","")</f>
        <v/>
      </c>
      <c r="F853" s="23" t="str">
        <f>IF(OR(E853="",E853="!!!"),"",IF(NOT(ISNA(VLOOKUP(E853,E$1:E852,1,FALSE()))),"OLD",IF(AND(E853&lt;&gt;"",E853&lt;&gt;"!!!"),"NEW","")))</f>
        <v> </v>
      </c>
      <c r="G853" s="24" t="str">
        <f>IF(OR(E853="",E853="!!!"),"",IF(OR(J853=0,AND(J853=1,K853=1),AND(J853=1,I853="SBJ"),AND(J853=1,I853=0)),"?IN_FOCUS",IF(J853&lt;=2,"?ACTIVATED",IF(J853&lt;&gt;"","?FAMILIAR",IF(F853="NEW",IF(ISNA(VLOOKUP(E853,#REF!,1,FALSE())),"?TYPE_IDENTIFIABLE","?REFERENTIAL"),"_")))))</f>
        <v> </v>
      </c>
      <c r="H853" s="25" t="str">
        <f>IF(J853&lt;&gt;1,"",IF(I853="SBJ","CB","?"))</f>
        <v> </v>
      </c>
      <c r="I853" s="26" t="str">
        <f>IF(OR(E853="",E853="!!!",F853="NEW"),"",INDEX(B852:B$2,-1+SUMPRODUCT(MAX(ROW(E852:E$2)*(E853=E852:E$2)))))</f>
        <v> </v>
      </c>
      <c r="J853" s="26" t="str">
        <f>IF(OR(E853="",E853="!!!",F853="NEW"),"",COUNTBLANK(OFFSET(A$1,,,SUMPRODUCT(MAX(ROW(E$2:E853)*(E853=E$2:E853)))))-COUNTBLANK(OFFSET(A$1,,,SUMPRODUCT(MAX(ROW(E$1:E852)*(E2=E$1:E852))))))</f>
        <v> </v>
      </c>
      <c r="K853" s="26" t="str">
        <f>IF(OR(E853="",E853="!!!",F853="NEW"),"",INDEX(J$1:J852,SUMPRODUCT(MAX(ROW(E$1:E852)*(E853=E$1:E852)))))</f>
        <v> </v>
      </c>
      <c r="L853" s="27"/>
    </row>
    <row r="854" spans="1:12">
      <c r="A854" s="20" t="s">
        <v>1150</v>
      </c>
      <c r="B854" s="21" t="s">
        <v>736</v>
      </c>
      <c r="C854" s="21" t="s">
        <v>748</v>
      </c>
      <c r="E854" s="22">
        <f>IF(D854="?OLD","!!!","")</f>
        <v/>
      </c>
      <c r="F854" s="23" t="str">
        <f>IF(OR(E854="",E854="!!!"),"",IF(NOT(ISNA(VLOOKUP(E854,E$1:E853,1,FALSE()))),"OLD",IF(AND(E854&lt;&gt;"",E854&lt;&gt;"!!!"),"NEW","")))</f>
        <v> </v>
      </c>
      <c r="G854" s="24" t="str">
        <f>IF(OR(E854="",E854="!!!"),"",IF(OR(J854=0,AND(J854=1,K854=1),AND(J854=1,I854="SBJ"),AND(J854=1,I854=0)),"?IN_FOCUS",IF(J854&lt;=2,"?ACTIVATED",IF(J854&lt;&gt;"","?FAMILIAR",IF(F854="NEW",IF(ISNA(VLOOKUP(E854,#REF!,1,FALSE())),"?TYPE_IDENTIFIABLE","?REFERENTIAL"),"_")))))</f>
        <v> </v>
      </c>
      <c r="H854" s="25" t="str">
        <f>IF(J854&lt;&gt;1,"",IF(I854="SBJ","CB","?"))</f>
        <v> </v>
      </c>
      <c r="I854" s="26" t="str">
        <f>IF(OR(E854="",E854="!!!",F854="NEW"),"",INDEX(B853:B$2,-1+SUMPRODUCT(MAX(ROW(E853:E$2)*(E854=E853:E$2)))))</f>
        <v> </v>
      </c>
      <c r="J854" s="26" t="str">
        <f>IF(OR(E854="",E854="!!!",F854="NEW"),"",COUNTBLANK(OFFSET(A$1,,,SUMPRODUCT(MAX(ROW(E$2:E854)*(E854=E$2:E854)))))-COUNTBLANK(OFFSET(A$1,,,SUMPRODUCT(MAX(ROW(E$1:E853)*(E2=E$1:E853))))))</f>
        <v> </v>
      </c>
      <c r="K854" s="26" t="str">
        <f>IF(OR(E854="",E854="!!!",F854="NEW"),"",INDEX(J$1:J853,SUMPRODUCT(MAX(ROW(E$1:E853)*(E854=E$1:E853)))))</f>
        <v> </v>
      </c>
      <c r="L854" s="27"/>
    </row>
    <row r="855" spans="1:12">
      <c r="A855" s="20" t="s">
        <v>817</v>
      </c>
      <c r="E855" s="22">
        <f>IF(D855="?OLD","!!!","")</f>
        <v/>
      </c>
      <c r="F855" s="23" t="str">
        <f>IF(OR(E855="",E855="!!!"),"",IF(NOT(ISNA(VLOOKUP(E855,E$1:E854,1,FALSE()))),"OLD",IF(AND(E855&lt;&gt;"",E855&lt;&gt;"!!!"),"NEW","")))</f>
        <v> </v>
      </c>
      <c r="G855" s="24" t="str">
        <f>IF(OR(E855="",E855="!!!"),"",IF(OR(J855=0,AND(J855=1,K855=1),AND(J855=1,I855="SBJ"),AND(J855=1,I855=0)),"?IN_FOCUS",IF(J855&lt;=2,"?ACTIVATED",IF(J855&lt;&gt;"","?FAMILIAR",IF(F855="NEW",IF(ISNA(VLOOKUP(E855,#REF!,1,FALSE())),"?TYPE_IDENTIFIABLE","?REFERENTIAL"),"_")))))</f>
        <v> </v>
      </c>
      <c r="H855" s="25" t="str">
        <f>IF(J855&lt;&gt;1,"",IF(I855="SBJ","CB","?"))</f>
        <v> </v>
      </c>
      <c r="I855" s="26" t="str">
        <f>IF(OR(E855="",E855="!!!",F855="NEW"),"",INDEX(B854:B$2,-1+SUMPRODUCT(MAX(ROW(E854:E$2)*(E855=E854:E$2)))))</f>
        <v> </v>
      </c>
      <c r="J855" s="26" t="str">
        <f>IF(OR(E855="",E855="!!!",F855="NEW"),"",COUNTBLANK(OFFSET(A$1,,,SUMPRODUCT(MAX(ROW(E$2:E855)*(E855=E$2:E855)))))-COUNTBLANK(OFFSET(A$1,,,SUMPRODUCT(MAX(ROW(E$1:E854)*(E2=E$1:E854))))))</f>
        <v> </v>
      </c>
      <c r="K855" s="26" t="str">
        <f>IF(OR(E855="",E855="!!!",F855="NEW"),"",INDEX(J$1:J854,SUMPRODUCT(MAX(ROW(E$1:E854)*(E855=E$1:E854)))))</f>
        <v> </v>
      </c>
      <c r="L855" s="27"/>
    </row>
    <row r="856" spans="1:12">
      <c r="A856" s="20" t="s">
        <v>895</v>
      </c>
      <c r="E856" s="22">
        <f>IF(D856="?OLD","!!!","")</f>
        <v/>
      </c>
      <c r="F856" s="23" t="str">
        <f>IF(OR(E856="",E856="!!!"),"",IF(NOT(ISNA(VLOOKUP(E856,E$1:E855,1,FALSE()))),"OLD",IF(AND(E856&lt;&gt;"",E856&lt;&gt;"!!!"),"NEW","")))</f>
        <v> </v>
      </c>
      <c r="G856" s="24" t="str">
        <f>IF(OR(E856="",E856="!!!"),"",IF(OR(J856=0,AND(J856=1,K856=1),AND(J856=1,I856="SBJ"),AND(J856=1,I856=0)),"?IN_FOCUS",IF(J856&lt;=2,"?ACTIVATED",IF(J856&lt;&gt;"","?FAMILIAR",IF(F856="NEW",IF(ISNA(VLOOKUP(E856,#REF!,1,FALSE())),"?TYPE_IDENTIFIABLE","?REFERENTIAL"),"_")))))</f>
        <v> </v>
      </c>
      <c r="H856" s="25" t="str">
        <f>IF(J856&lt;&gt;1,"",IF(I856="SBJ","CB","?"))</f>
        <v> </v>
      </c>
      <c r="I856" s="26" t="str">
        <f>IF(OR(E856="",E856="!!!",F856="NEW"),"",INDEX(B855:B$2,-1+SUMPRODUCT(MAX(ROW(E855:E$2)*(E856=E855:E$2)))))</f>
        <v> </v>
      </c>
      <c r="J856" s="26" t="str">
        <f>IF(OR(E856="",E856="!!!",F856="NEW"),"",COUNTBLANK(OFFSET(A$1,,,SUMPRODUCT(MAX(ROW(E$2:E856)*(E856=E$2:E856)))))-COUNTBLANK(OFFSET(A$1,,,SUMPRODUCT(MAX(ROW(E$1:E855)*(E2=E$1:E855))))))</f>
        <v> </v>
      </c>
      <c r="K856" s="26" t="str">
        <f>IF(OR(E856="",E856="!!!",F856="NEW"),"",INDEX(J$1:J855,SUMPRODUCT(MAX(ROW(E$1:E855)*(E856=E$1:E855)))))</f>
        <v> </v>
      </c>
      <c r="L856" s="27"/>
    </row>
    <row r="857" spans="1:12">
      <c r="A857" s="20" t="s">
        <v>750</v>
      </c>
      <c r="B857" s="21" t="s">
        <v>728</v>
      </c>
      <c r="C857" s="21" t="s">
        <v>729</v>
      </c>
      <c r="D857" s="21" t="s">
        <v>730</v>
      </c>
      <c r="E857" s="22">
        <f>IF(D857="?OLD","!!!","")</f>
        <v/>
      </c>
      <c r="F857" s="23" t="str">
        <f>IF(OR(E857="",E857="!!!"),"",IF(NOT(ISNA(VLOOKUP(E857,E$1:E856,1,FALSE()))),"OLD",IF(AND(E857&lt;&gt;"",E857&lt;&gt;"!!!"),"NEW","")))</f>
        <v> </v>
      </c>
      <c r="G857" s="24" t="str">
        <f>IF(OR(E857="",E857="!!!"),"",IF(OR(J857=0,AND(J857=1,K857=1),AND(J857=1,I857="SBJ"),AND(J857=1,I857=0)),"?IN_FOCUS",IF(J857&lt;=2,"?ACTIVATED",IF(J857&lt;&gt;"","?FAMILIAR",IF(F857="NEW",IF(ISNA(VLOOKUP(E857,#REF!,1,FALSE())),"?TYPE_IDENTIFIABLE","?REFERENTIAL"),"_")))))</f>
        <v> </v>
      </c>
      <c r="H857" s="25" t="str">
        <f>IF(J857&lt;&gt;1,"",IF(I857="SBJ","CB","?"))</f>
        <v> </v>
      </c>
      <c r="I857" s="26" t="str">
        <f>IF(OR(E857="",E857="!!!",F857="NEW"),"",INDEX(B856:B$2,-1+SUMPRODUCT(MAX(ROW(E856:E$2)*(E857=E856:E$2)))))</f>
        <v> </v>
      </c>
      <c r="J857" s="26" t="str">
        <f>IF(OR(E857="",E857="!!!",F857="NEW"),"",COUNTBLANK(OFFSET(A$1,,,SUMPRODUCT(MAX(ROW(E$2:E857)*(E857=E$2:E857)))))-COUNTBLANK(OFFSET(A$1,,,SUMPRODUCT(MAX(ROW(E$1:E856)*(E2=E$1:E856))))))</f>
        <v> </v>
      </c>
      <c r="K857" s="26" t="str">
        <f>IF(OR(E857="",E857="!!!",F857="NEW"),"",INDEX(J$1:J856,SUMPRODUCT(MAX(ROW(E$1:E856)*(E857=E$1:E856)))))</f>
        <v> </v>
      </c>
      <c r="L857" s="27"/>
    </row>
    <row r="858" spans="1:12">
      <c r="A858" s="20" t="s">
        <v>769</v>
      </c>
      <c r="E858" s="22">
        <f>IF(D858="?OLD","!!!","")</f>
        <v/>
      </c>
      <c r="F858" s="23" t="str">
        <f>IF(OR(E858="",E858="!!!"),"",IF(NOT(ISNA(VLOOKUP(E858,E$1:E857,1,FALSE()))),"OLD",IF(AND(E858&lt;&gt;"",E858&lt;&gt;"!!!"),"NEW","")))</f>
        <v> </v>
      </c>
      <c r="G858" s="24" t="str">
        <f>IF(OR(E858="",E858="!!!"),"",IF(OR(J858=0,AND(J858=1,K858=1),AND(J858=1,I858="SBJ"),AND(J858=1,I858=0)),"?IN_FOCUS",IF(J858&lt;=2,"?ACTIVATED",IF(J858&lt;&gt;"","?FAMILIAR",IF(F858="NEW",IF(ISNA(VLOOKUP(E858,#REF!,1,FALSE())),"?TYPE_IDENTIFIABLE","?REFERENTIAL"),"_")))))</f>
        <v> </v>
      </c>
      <c r="H858" s="25" t="str">
        <f>IF(J858&lt;&gt;1,"",IF(I858="SBJ","CB","?"))</f>
        <v> </v>
      </c>
      <c r="I858" s="26" t="str">
        <f>IF(OR(E858="",E858="!!!",F858="NEW"),"",INDEX(B857:B$2,-1+SUMPRODUCT(MAX(ROW(E857:E$2)*(E858=E857:E$2)))))</f>
        <v> </v>
      </c>
      <c r="J858" s="26" t="str">
        <f>IF(OR(E858="",E858="!!!",F858="NEW"),"",COUNTBLANK(OFFSET(A$1,,,SUMPRODUCT(MAX(ROW(E$2:E858)*(E858=E$2:E858)))))-COUNTBLANK(OFFSET(A$1,,,SUMPRODUCT(MAX(ROW(E$1:E857)*(E2=E$1:E857))))))</f>
        <v> </v>
      </c>
      <c r="K858" s="26" t="str">
        <f>IF(OR(E858="",E858="!!!",F858="NEW"),"",INDEX(J$1:J857,SUMPRODUCT(MAX(ROW(E$1:E857)*(E858=E$1:E857)))))</f>
        <v> </v>
      </c>
      <c r="L858" s="27"/>
    </row>
    <row r="859" spans="1:12">
      <c r="A859" s="20" t="s">
        <v>1153</v>
      </c>
      <c r="B859" s="21" t="s">
        <v>764</v>
      </c>
      <c r="C859" s="21" t="s">
        <v>852</v>
      </c>
      <c r="E859" s="22">
        <f>IF(D859="?OLD","!!!","")</f>
        <v/>
      </c>
      <c r="F859" s="23" t="str">
        <f>IF(OR(E859="",E859="!!!"),"",IF(NOT(ISNA(VLOOKUP(E859,E$1:E858,1,FALSE()))),"OLD",IF(AND(E859&lt;&gt;"",E859&lt;&gt;"!!!"),"NEW","")))</f>
        <v> </v>
      </c>
      <c r="G859" s="24" t="str">
        <f>IF(OR(E859="",E859="!!!"),"",IF(OR(J859=0,AND(J859=1,K859=1),AND(J859=1,I859="SBJ"),AND(J859=1,I859=0)),"?IN_FOCUS",IF(J859&lt;=2,"?ACTIVATED",IF(J859&lt;&gt;"","?FAMILIAR",IF(F859="NEW",IF(ISNA(VLOOKUP(E859,#REF!,1,FALSE())),"?TYPE_IDENTIFIABLE","?REFERENTIAL"),"_")))))</f>
        <v> </v>
      </c>
      <c r="H859" s="25" t="str">
        <f>IF(J859&lt;&gt;1,"",IF(I859="SBJ","CB","?"))</f>
        <v> </v>
      </c>
      <c r="I859" s="26" t="str">
        <f>IF(OR(E859="",E859="!!!",F859="NEW"),"",INDEX(B858:B$2,-1+SUMPRODUCT(MAX(ROW(E858:E$2)*(E859=E858:E$2)))))</f>
        <v> </v>
      </c>
      <c r="J859" s="26" t="str">
        <f>IF(OR(E859="",E859="!!!",F859="NEW"),"",COUNTBLANK(OFFSET(A$1,,,SUMPRODUCT(MAX(ROW(E$2:E859)*(E859=E$2:E859)))))-COUNTBLANK(OFFSET(A$1,,,SUMPRODUCT(MAX(ROW(E$1:E858)*(E2=E$1:E858))))))</f>
        <v> </v>
      </c>
      <c r="K859" s="26" t="str">
        <f>IF(OR(E859="",E859="!!!",F859="NEW"),"",INDEX(J$1:J858,SUMPRODUCT(MAX(ROW(E$1:E858)*(E859=E$1:E858)))))</f>
        <v> </v>
      </c>
      <c r="L859" s="27"/>
    </row>
    <row r="860" spans="1:12">
      <c r="A860" s="20" t="s">
        <v>1107</v>
      </c>
      <c r="E860" s="22">
        <f>IF(D860="?OLD","!!!","")</f>
        <v/>
      </c>
      <c r="F860" s="23" t="str">
        <f>IF(OR(E860="",E860="!!!"),"",IF(NOT(ISNA(VLOOKUP(E860,E$1:E859,1,FALSE()))),"OLD",IF(AND(E860&lt;&gt;"",E860&lt;&gt;"!!!"),"NEW","")))</f>
        <v> </v>
      </c>
      <c r="G860" s="24" t="str">
        <f>IF(OR(E860="",E860="!!!"),"",IF(OR(J860=0,AND(J860=1,K860=1),AND(J860=1,I860="SBJ"),AND(J860=1,I860=0)),"?IN_FOCUS",IF(J860&lt;=2,"?ACTIVATED",IF(J860&lt;&gt;"","?FAMILIAR",IF(F860="NEW",IF(ISNA(VLOOKUP(E860,#REF!,1,FALSE())),"?TYPE_IDENTIFIABLE","?REFERENTIAL"),"_")))))</f>
        <v> </v>
      </c>
      <c r="H860" s="25" t="str">
        <f>IF(J860&lt;&gt;1,"",IF(I860="SBJ","CB","?"))</f>
        <v> </v>
      </c>
      <c r="I860" s="26" t="str">
        <f>IF(OR(E860="",E860="!!!",F860="NEW"),"",INDEX(B859:B$2,-1+SUMPRODUCT(MAX(ROW(E859:E$2)*(E860=E859:E$2)))))</f>
        <v> </v>
      </c>
      <c r="J860" s="26" t="str">
        <f>IF(OR(E860="",E860="!!!",F860="NEW"),"",COUNTBLANK(OFFSET(A$1,,,SUMPRODUCT(MAX(ROW(E$2:E860)*(E860=E$2:E860)))))-COUNTBLANK(OFFSET(A$1,,,SUMPRODUCT(MAX(ROW(E$1:E859)*(E2=E$1:E859))))))</f>
        <v> </v>
      </c>
      <c r="K860" s="26" t="str">
        <f>IF(OR(E860="",E860="!!!",F860="NEW"),"",INDEX(J$1:J859,SUMPRODUCT(MAX(ROW(E$1:E859)*(E860=E$1:E859)))))</f>
        <v> </v>
      </c>
      <c r="L860" s="27"/>
    </row>
    <row r="861" spans="1:12">
      <c r="A861" s="20" t="s">
        <v>813</v>
      </c>
      <c r="E861" s="22">
        <f>IF(D861="?OLD","!!!","")</f>
        <v/>
      </c>
      <c r="F861" s="23" t="str">
        <f>IF(OR(E861="",E861="!!!"),"",IF(NOT(ISNA(VLOOKUP(E861,E$1:E860,1,FALSE()))),"OLD",IF(AND(E861&lt;&gt;"",E861&lt;&gt;"!!!"),"NEW","")))</f>
        <v> </v>
      </c>
      <c r="G861" s="24" t="str">
        <f>IF(OR(E861="",E861="!!!"),"",IF(OR(J861=0,AND(J861=1,K861=1),AND(J861=1,I861="SBJ"),AND(J861=1,I861=0)),"?IN_FOCUS",IF(J861&lt;=2,"?ACTIVATED",IF(J861&lt;&gt;"","?FAMILIAR",IF(F861="NEW",IF(ISNA(VLOOKUP(E861,#REF!,1,FALSE())),"?TYPE_IDENTIFIABLE","?REFERENTIAL"),"_")))))</f>
        <v> </v>
      </c>
      <c r="H861" s="25" t="str">
        <f>IF(J861&lt;&gt;1,"",IF(I861="SBJ","CB","?"))</f>
        <v> </v>
      </c>
      <c r="I861" s="26" t="str">
        <f>IF(OR(E861="",E861="!!!",F861="NEW"),"",INDEX(B860:B$2,-1+SUMPRODUCT(MAX(ROW(E860:E$2)*(E861=E860:E$2)))))</f>
        <v> </v>
      </c>
      <c r="J861" s="26" t="str">
        <f>IF(OR(E861="",E861="!!!",F861="NEW"),"",COUNTBLANK(OFFSET(A$1,,,SUMPRODUCT(MAX(ROW(E$2:E861)*(E861=E$2:E861)))))-COUNTBLANK(OFFSET(A$1,,,SUMPRODUCT(MAX(ROW(E$1:E860)*(E2=E$1:E860))))))</f>
        <v> </v>
      </c>
      <c r="K861" s="26" t="str">
        <f>IF(OR(E861="",E861="!!!",F861="NEW"),"",INDEX(J$1:J860,SUMPRODUCT(MAX(ROW(E$1:E860)*(E861=E$1:E860)))))</f>
        <v> </v>
      </c>
      <c r="L861" s="27"/>
    </row>
    <row r="862" spans="1:12">
      <c r="A862" s="20" t="s">
        <v>1154</v>
      </c>
      <c r="B862" s="21" t="s">
        <v>736</v>
      </c>
      <c r="C862" s="21" t="s">
        <v>753</v>
      </c>
      <c r="D862" s="21" t="s">
        <v>730</v>
      </c>
      <c r="E862" s="22">
        <f>IF(D862="?OLD","!!!","")</f>
        <v/>
      </c>
      <c r="F862" s="23" t="str">
        <f>IF(OR(E862="",E862="!!!"),"",IF(NOT(ISNA(VLOOKUP(E862,E$1:E861,1,FALSE()))),"OLD",IF(AND(E862&lt;&gt;"",E862&lt;&gt;"!!!"),"NEW","")))</f>
        <v> </v>
      </c>
      <c r="G862" s="24" t="str">
        <f>IF(OR(E862="",E862="!!!"),"",IF(OR(J862=0,AND(J862=1,K862=1),AND(J862=1,I862="SBJ"),AND(J862=1,I862=0)),"?IN_FOCUS",IF(J862&lt;=2,"?ACTIVATED",IF(J862&lt;&gt;"","?FAMILIAR",IF(F862="NEW",IF(ISNA(VLOOKUP(E862,#REF!,1,FALSE())),"?TYPE_IDENTIFIABLE","?REFERENTIAL"),"_")))))</f>
        <v> </v>
      </c>
      <c r="H862" s="25" t="str">
        <f>IF(J862&lt;&gt;1,"",IF(I862="SBJ","CB","?"))</f>
        <v> </v>
      </c>
      <c r="I862" s="26" t="str">
        <f>IF(OR(E862="",E862="!!!",F862="NEW"),"",INDEX(B861:B$2,-1+SUMPRODUCT(MAX(ROW(E861:E$2)*(E862=E861:E$2)))))</f>
        <v> </v>
      </c>
      <c r="J862" s="26" t="str">
        <f>IF(OR(E862="",E862="!!!",F862="NEW"),"",COUNTBLANK(OFFSET(A$1,,,SUMPRODUCT(MAX(ROW(E$2:E862)*(E862=E$2:E862)))))-COUNTBLANK(OFFSET(A$1,,,SUMPRODUCT(MAX(ROW(E$1:E861)*(E2=E$1:E861))))))</f>
        <v> </v>
      </c>
      <c r="K862" s="26" t="str">
        <f>IF(OR(E862="",E862="!!!",F862="NEW"),"",INDEX(J$1:J861,SUMPRODUCT(MAX(ROW(E$1:E861)*(E862=E$1:E861)))))</f>
        <v> </v>
      </c>
      <c r="L862" s="27"/>
    </row>
    <row r="863" spans="1:12">
      <c r="A863" s="20" t="s">
        <v>785</v>
      </c>
      <c r="E863" s="22">
        <f>IF(D863="?OLD","!!!","")</f>
        <v/>
      </c>
      <c r="F863" s="23" t="str">
        <f>IF(OR(E863="",E863="!!!"),"",IF(NOT(ISNA(VLOOKUP(E863,E$1:E862,1,FALSE()))),"OLD",IF(AND(E863&lt;&gt;"",E863&lt;&gt;"!!!"),"NEW","")))</f>
        <v> </v>
      </c>
      <c r="G863" s="24" t="str">
        <f>IF(OR(E863="",E863="!!!"),"",IF(OR(J863=0,AND(J863=1,K863=1),AND(J863=1,I863="SBJ"),AND(J863=1,I863=0)),"?IN_FOCUS",IF(J863&lt;=2,"?ACTIVATED",IF(J863&lt;&gt;"","?FAMILIAR",IF(F863="NEW",IF(ISNA(VLOOKUP(E863,#REF!,1,FALSE())),"?TYPE_IDENTIFIABLE","?REFERENTIAL"),"_")))))</f>
        <v> </v>
      </c>
      <c r="H863" s="25" t="str">
        <f>IF(J863&lt;&gt;1,"",IF(I863="SBJ","CB","?"))</f>
        <v> </v>
      </c>
      <c r="I863" s="26" t="str">
        <f>IF(OR(E863="",E863="!!!",F863="NEW"),"",INDEX(B862:B$2,-1+SUMPRODUCT(MAX(ROW(E862:E$2)*(E863=E862:E$2)))))</f>
        <v> </v>
      </c>
      <c r="J863" s="26" t="str">
        <f>IF(OR(E863="",E863="!!!",F863="NEW"),"",COUNTBLANK(OFFSET(A$1,,,SUMPRODUCT(MAX(ROW(E$2:E863)*(E863=E$2:E863)))))-COUNTBLANK(OFFSET(A$1,,,SUMPRODUCT(MAX(ROW(E$1:E862)*(E2=E$1:E862))))))</f>
        <v> </v>
      </c>
      <c r="K863" s="26" t="str">
        <f>IF(OR(E863="",E863="!!!",F863="NEW"),"",INDEX(J$1:J862,SUMPRODUCT(MAX(ROW(E$1:E862)*(E863=E$1:E862)))))</f>
        <v> </v>
      </c>
      <c r="L863" s="27"/>
    </row>
    <row r="864" spans="1:12">
      <c r="A864" s="20" t="s">
        <v>776</v>
      </c>
      <c r="E864" s="22">
        <f>IF(D864="?OLD","!!!","")</f>
        <v/>
      </c>
      <c r="F864" s="23" t="str">
        <f>IF(OR(E864="",E864="!!!"),"",IF(NOT(ISNA(VLOOKUP(E864,E$1:E863,1,FALSE()))),"OLD",IF(AND(E864&lt;&gt;"",E864&lt;&gt;"!!!"),"NEW","")))</f>
        <v> </v>
      </c>
      <c r="G864" s="24" t="str">
        <f>IF(OR(E864="",E864="!!!"),"",IF(OR(J864=0,AND(J864=1,K864=1),AND(J864=1,I864="SBJ"),AND(J864=1,I864=0)),"?IN_FOCUS",IF(J864&lt;=2,"?ACTIVATED",IF(J864&lt;&gt;"","?FAMILIAR",IF(F864="NEW",IF(ISNA(VLOOKUP(E864,#REF!,1,FALSE())),"?TYPE_IDENTIFIABLE","?REFERENTIAL"),"_")))))</f>
        <v> </v>
      </c>
      <c r="H864" s="25" t="str">
        <f>IF(J864&lt;&gt;1,"",IF(I864="SBJ","CB","?"))</f>
        <v> </v>
      </c>
      <c r="I864" s="26" t="str">
        <f>IF(OR(E864="",E864="!!!",F864="NEW"),"",INDEX(B863:B$2,-1+SUMPRODUCT(MAX(ROW(E863:E$2)*(E864=E863:E$2)))))</f>
        <v> </v>
      </c>
      <c r="J864" s="26" t="str">
        <f>IF(OR(E864="",E864="!!!",F864="NEW"),"",COUNTBLANK(OFFSET(A$1,,,SUMPRODUCT(MAX(ROW(E$2:E864)*(E864=E$2:E864)))))-COUNTBLANK(OFFSET(A$1,,,SUMPRODUCT(MAX(ROW(E$1:E863)*(E2=E$1:E863))))))</f>
        <v> </v>
      </c>
      <c r="K864" s="26" t="str">
        <f>IF(OR(E864="",E864="!!!",F864="NEW"),"",INDEX(J$1:J863,SUMPRODUCT(MAX(ROW(E$1:E863)*(E864=E$1:E863)))))</f>
        <v> </v>
      </c>
      <c r="L864" s="27"/>
    </row>
    <row r="865" spans="1:12">
      <c r="A865" s="20" t="s">
        <v>1155</v>
      </c>
      <c r="B865" s="21" t="s">
        <v>764</v>
      </c>
      <c r="C865" s="21" t="s">
        <v>802</v>
      </c>
      <c r="D865" s="21" t="s">
        <v>730</v>
      </c>
      <c r="E865" s="22">
        <f>IF(D865="?OLD","!!!","")</f>
        <v/>
      </c>
      <c r="F865" s="23" t="str">
        <f>IF(OR(E865="",E865="!!!"),"",IF(NOT(ISNA(VLOOKUP(E865,E$1:E864,1,FALSE()))),"OLD",IF(AND(E865&lt;&gt;"",E865&lt;&gt;"!!!"),"NEW","")))</f>
        <v> </v>
      </c>
      <c r="G865" s="24" t="str">
        <f>IF(OR(E865="",E865="!!!"),"",IF(OR(J865=0,AND(J865=1,K865=1),AND(J865=1,I865="SBJ"),AND(J865=1,I865=0)),"?IN_FOCUS",IF(J865&lt;=2,"?ACTIVATED",IF(J865&lt;&gt;"","?FAMILIAR",IF(F865="NEW",IF(ISNA(VLOOKUP(E865,#REF!,1,FALSE())),"?TYPE_IDENTIFIABLE","?REFERENTIAL"),"_")))))</f>
        <v> </v>
      </c>
      <c r="H865" s="25" t="str">
        <f>IF(J865&lt;&gt;1,"",IF(I865="SBJ","CB","?"))</f>
        <v> </v>
      </c>
      <c r="I865" s="26" t="str">
        <f>IF(OR(E865="",E865="!!!",F865="NEW"),"",INDEX(B864:B$2,-1+SUMPRODUCT(MAX(ROW(E864:E$2)*(E865=E864:E$2)))))</f>
        <v> </v>
      </c>
      <c r="J865" s="26" t="str">
        <f>IF(OR(E865="",E865="!!!",F865="NEW"),"",COUNTBLANK(OFFSET(A$1,,,SUMPRODUCT(MAX(ROW(E$2:E865)*(E865=E$2:E865)))))-COUNTBLANK(OFFSET(A$1,,,SUMPRODUCT(MAX(ROW(E$1:E864)*(E2=E$1:E864))))))</f>
        <v> </v>
      </c>
      <c r="K865" s="26" t="str">
        <f>IF(OR(E865="",E865="!!!",F865="NEW"),"",INDEX(J$1:J864,SUMPRODUCT(MAX(ROW(E$1:E864)*(E865=E$1:E864)))))</f>
        <v> </v>
      </c>
      <c r="L865" s="27"/>
    </row>
    <row r="866" spans="1:12">
      <c r="A866" s="20" t="s">
        <v>732</v>
      </c>
      <c r="E866" s="22">
        <f>IF(D866="?OLD","!!!","")</f>
        <v/>
      </c>
      <c r="F866" s="23" t="str">
        <f>IF(OR(E866="",E866="!!!"),"",IF(NOT(ISNA(VLOOKUP(E866,E$1:E865,1,FALSE()))),"OLD",IF(AND(E866&lt;&gt;"",E866&lt;&gt;"!!!"),"NEW","")))</f>
        <v> </v>
      </c>
      <c r="G866" s="24" t="str">
        <f>IF(OR(E866="",E866="!!!"),"",IF(OR(J866=0,AND(J866=1,K866=1),AND(J866=1,I866="SBJ"),AND(J866=1,I866=0)),"?IN_FOCUS",IF(J866&lt;=2,"?ACTIVATED",IF(J866&lt;&gt;"","?FAMILIAR",IF(F866="NEW",IF(ISNA(VLOOKUP(E866,#REF!,1,FALSE())),"?TYPE_IDENTIFIABLE","?REFERENTIAL"),"_")))))</f>
        <v> </v>
      </c>
      <c r="H866" s="25" t="str">
        <f>IF(J866&lt;&gt;1,"",IF(I866="SBJ","CB","?"))</f>
        <v> </v>
      </c>
      <c r="I866" s="26" t="str">
        <f>IF(OR(E866="",E866="!!!",F866="NEW"),"",INDEX(B865:B$2,-1+SUMPRODUCT(MAX(ROW(E865:E$2)*(E866=E865:E$2)))))</f>
        <v> </v>
      </c>
      <c r="J866" s="26" t="str">
        <f>IF(OR(E866="",E866="!!!",F866="NEW"),"",COUNTBLANK(OFFSET(A$1,,,SUMPRODUCT(MAX(ROW(E$2:E866)*(E866=E$2:E866)))))-COUNTBLANK(OFFSET(A$1,,,SUMPRODUCT(MAX(ROW(E$1:E865)*(E2=E$1:E865))))))</f>
        <v> </v>
      </c>
      <c r="K866" s="26" t="str">
        <f>IF(OR(E866="",E866="!!!",F866="NEW"),"",INDEX(J$1:J865,SUMPRODUCT(MAX(ROW(E$1:E865)*(E866=E$1:E865)))))</f>
        <v> </v>
      </c>
      <c r="L866" s="27"/>
    </row>
    <row r="867" spans="1:12">
      <c r="A867" s="20" t="s">
        <v>751</v>
      </c>
      <c r="E867" s="22">
        <f>IF(D867="?OLD","!!!","")</f>
        <v/>
      </c>
      <c r="F867" s="23" t="str">
        <f>IF(OR(E867="",E867="!!!"),"",IF(NOT(ISNA(VLOOKUP(E867,E$1:E866,1,FALSE()))),"OLD",IF(AND(E867&lt;&gt;"",E867&lt;&gt;"!!!"),"NEW","")))</f>
        <v> </v>
      </c>
      <c r="G867" s="24" t="str">
        <f>IF(OR(E867="",E867="!!!"),"",IF(OR(J867=0,AND(J867=1,K867=1),AND(J867=1,I867="SBJ"),AND(J867=1,I867=0)),"?IN_FOCUS",IF(J867&lt;=2,"?ACTIVATED",IF(J867&lt;&gt;"","?FAMILIAR",IF(F867="NEW",IF(ISNA(VLOOKUP(E867,#REF!,1,FALSE())),"?TYPE_IDENTIFIABLE","?REFERENTIAL"),"_")))))</f>
        <v> </v>
      </c>
      <c r="H867" s="25" t="str">
        <f>IF(J867&lt;&gt;1,"",IF(I867="SBJ","CB","?"))</f>
        <v> </v>
      </c>
      <c r="I867" s="26" t="str">
        <f>IF(OR(E867="",E867="!!!",F867="NEW"),"",INDEX(B866:B$2,-1+SUMPRODUCT(MAX(ROW(E866:E$2)*(E867=E866:E$2)))))</f>
        <v> </v>
      </c>
      <c r="J867" s="26" t="str">
        <f>IF(OR(E867="",E867="!!!",F867="NEW"),"",COUNTBLANK(OFFSET(A$1,,,SUMPRODUCT(MAX(ROW(E$2:E867)*(E867=E$2:E867)))))-COUNTBLANK(OFFSET(A$1,,,SUMPRODUCT(MAX(ROW(E$1:E866)*(E2=E$1:E866))))))</f>
        <v> </v>
      </c>
      <c r="K867" s="26" t="str">
        <f>IF(OR(E867="",E867="!!!",F867="NEW"),"",INDEX(J$1:J866,SUMPRODUCT(MAX(ROW(E$1:E866)*(E867=E$1:E866)))))</f>
        <v> </v>
      </c>
      <c r="L867" s="27"/>
    </row>
    <row r="868" spans="1:12">
      <c r="A868" s="20" t="s">
        <v>1121</v>
      </c>
      <c r="B868" s="21" t="s">
        <v>736</v>
      </c>
      <c r="C868" s="21" t="s">
        <v>753</v>
      </c>
      <c r="D868" s="21" t="s">
        <v>730</v>
      </c>
      <c r="E868" s="22">
        <f>IF(D868="?OLD","!!!","")</f>
        <v/>
      </c>
      <c r="F868" s="23" t="str">
        <f>IF(OR(E868="",E868="!!!"),"",IF(NOT(ISNA(VLOOKUP(E868,E$1:E867,1,FALSE()))),"OLD",IF(AND(E868&lt;&gt;"",E868&lt;&gt;"!!!"),"NEW","")))</f>
        <v> </v>
      </c>
      <c r="G868" s="24" t="str">
        <f>IF(OR(E868="",E868="!!!"),"",IF(OR(J868=0,AND(J868=1,K868=1),AND(J868=1,I868="SBJ"),AND(J868=1,I868=0)),"?IN_FOCUS",IF(J868&lt;=2,"?ACTIVATED",IF(J868&lt;&gt;"","?FAMILIAR",IF(F868="NEW",IF(ISNA(VLOOKUP(E868,#REF!,1,FALSE())),"?TYPE_IDENTIFIABLE","?REFERENTIAL"),"_")))))</f>
        <v> </v>
      </c>
      <c r="H868" s="25" t="str">
        <f>IF(J868&lt;&gt;1,"",IF(I868="SBJ","CB","?"))</f>
        <v> </v>
      </c>
      <c r="I868" s="26" t="str">
        <f>IF(OR(E868="",E868="!!!",F868="NEW"),"",INDEX(B867:B$2,-1+SUMPRODUCT(MAX(ROW(E867:E$2)*(E868=E867:E$2)))))</f>
        <v> </v>
      </c>
      <c r="J868" s="26" t="str">
        <f>IF(OR(E868="",E868="!!!",F868="NEW"),"",COUNTBLANK(OFFSET(A$1,,,SUMPRODUCT(MAX(ROW(E$2:E868)*(E868=E$2:E868)))))-COUNTBLANK(OFFSET(A$1,,,SUMPRODUCT(MAX(ROW(E$1:E867)*(E2=E$1:E867))))))</f>
        <v> </v>
      </c>
      <c r="K868" s="26" t="str">
        <f>IF(OR(E868="",E868="!!!",F868="NEW"),"",INDEX(J$1:J867,SUMPRODUCT(MAX(ROW(E$1:E867)*(E868=E$1:E867)))))</f>
        <v> </v>
      </c>
      <c r="L868" s="27"/>
    </row>
    <row r="869" spans="1:12">
      <c r="A869" s="20" t="s">
        <v>171</v>
      </c>
      <c r="E869" s="22">
        <f>IF(D869="?OLD","!!!","")</f>
        <v/>
      </c>
      <c r="F869" s="23" t="str">
        <f>IF(OR(E869="",E869="!!!"),"",IF(NOT(ISNA(VLOOKUP(E869,E$1:E868,1,FALSE()))),"OLD",IF(AND(E869&lt;&gt;"",E869&lt;&gt;"!!!"),"NEW","")))</f>
        <v> </v>
      </c>
      <c r="G869" s="24" t="str">
        <f>IF(OR(E869="",E869="!!!"),"",IF(OR(J869=0,AND(J869=1,K869=1),AND(J869=1,I869="SBJ"),AND(J869=1,I869=0)),"?IN_FOCUS",IF(J869&lt;=2,"?ACTIVATED",IF(J869&lt;&gt;"","?FAMILIAR",IF(F869="NEW",IF(ISNA(VLOOKUP(E869,#REF!,1,FALSE())),"?TYPE_IDENTIFIABLE","?REFERENTIAL"),"_")))))</f>
        <v> </v>
      </c>
      <c r="H869" s="25" t="str">
        <f>IF(J869&lt;&gt;1,"",IF(I869="SBJ","CB","?"))</f>
        <v> </v>
      </c>
      <c r="I869" s="26" t="str">
        <f>IF(OR(E869="",E869="!!!",F869="NEW"),"",INDEX(B868:B$2,-1+SUMPRODUCT(MAX(ROW(E868:E$2)*(E869=E868:E$2)))))</f>
        <v> </v>
      </c>
      <c r="J869" s="26" t="str">
        <f>IF(OR(E869="",E869="!!!",F869="NEW"),"",COUNTBLANK(OFFSET(A$1,,,SUMPRODUCT(MAX(ROW(E$2:E869)*(E869=E$2:E869)))))-COUNTBLANK(OFFSET(A$1,,,SUMPRODUCT(MAX(ROW(E$1:E868)*(E2=E$1:E868))))))</f>
        <v> </v>
      </c>
      <c r="K869" s="26" t="str">
        <f>IF(OR(E869="",E869="!!!",F869="NEW"),"",INDEX(J$1:J868,SUMPRODUCT(MAX(ROW(E$1:E868)*(E869=E$1:E868)))))</f>
        <v> </v>
      </c>
      <c r="L869" s="27"/>
    </row>
    <row r="870" spans="1:12">
      <c r="A870" s="20" t="s">
        <v>246</v>
      </c>
      <c r="E870" s="22">
        <f>IF(D870="?OLD","!!!","")</f>
        <v/>
      </c>
      <c r="F870" s="23" t="str">
        <f>IF(OR(E870="",E870="!!!"),"",IF(NOT(ISNA(VLOOKUP(E870,E$1:E869,1,FALSE()))),"OLD",IF(AND(E870&lt;&gt;"",E870&lt;&gt;"!!!"),"NEW","")))</f>
        <v> </v>
      </c>
      <c r="G870" s="24" t="str">
        <f>IF(OR(E870="",E870="!!!"),"",IF(OR(J870=0,AND(J870=1,K870=1),AND(J870=1,I870="SBJ"),AND(J870=1,I870=0)),"?IN_FOCUS",IF(J870&lt;=2,"?ACTIVATED",IF(J870&lt;&gt;"","?FAMILIAR",IF(F870="NEW",IF(ISNA(VLOOKUP(E870,#REF!,1,FALSE())),"?TYPE_IDENTIFIABLE","?REFERENTIAL"),"_")))))</f>
        <v> </v>
      </c>
      <c r="H870" s="25" t="str">
        <f>IF(J870&lt;&gt;1,"",IF(I870="SBJ","CB","?"))</f>
        <v> </v>
      </c>
      <c r="I870" s="26" t="str">
        <f>IF(OR(E870="",E870="!!!",F870="NEW"),"",INDEX(B869:B$2,-1+SUMPRODUCT(MAX(ROW(E869:E$2)*(E870=E869:E$2)))))</f>
        <v> </v>
      </c>
      <c r="J870" s="26" t="str">
        <f>IF(OR(E870="",E870="!!!",F870="NEW"),"",COUNTBLANK(OFFSET(A$1,,,SUMPRODUCT(MAX(ROW(E$2:E870)*(E870=E$2:E870)))))-COUNTBLANK(OFFSET(A$1,,,SUMPRODUCT(MAX(ROW(E$1:E869)*(E2=E$1:E869))))))</f>
        <v> </v>
      </c>
      <c r="K870" s="26" t="str">
        <f>IF(OR(E870="",E870="!!!",F870="NEW"),"",INDEX(J$1:J869,SUMPRODUCT(MAX(ROW(E$1:E869)*(E870=E$1:E869)))))</f>
        <v> </v>
      </c>
      <c r="L870" s="27"/>
    </row>
    <row r="871" spans="1:12">
      <c r="A871" s="20"/>
    </row>
    <row r="872" spans="1:12">
      <c r="A872" s="20" t="s">
        <v>1156</v>
      </c>
    </row>
    <row r="873" spans="1:12">
      <c r="A873" s="20" t="s">
        <v>1005</v>
      </c>
      <c r="E873" s="22">
        <f>IF(D873="?OLD","!!!","")</f>
        <v/>
      </c>
      <c r="F873" s="23" t="str">
        <f>IF(OR(E873="",E873="!!!"),"",IF(NOT(ISNA(VLOOKUP(E873,E$1:E872,1,FALSE()))),"OLD",IF(AND(E873&lt;&gt;"",E873&lt;&gt;"!!!"),"NEW","")))</f>
        <v> </v>
      </c>
      <c r="G873" s="24" t="str">
        <f>IF(OR(E873="",E873="!!!"),"",IF(OR(J873=0,AND(J873=1,K873=1),AND(J873=1,I873="SBJ"),AND(J873=1,I873=0)),"?IN_FOCUS",IF(J873&lt;=2,"?ACTIVATED",IF(J873&lt;&gt;"","?FAMILIAR",IF(F873="NEW",IF(ISNA(VLOOKUP(E873,#REF!,1,FALSE())),"?TYPE_IDENTIFIABLE","?REFERENTIAL"),"_")))))</f>
        <v> </v>
      </c>
      <c r="H873" s="25" t="str">
        <f>IF(J873&lt;&gt;1,"",IF(I873="SBJ","CB","?"))</f>
        <v> </v>
      </c>
      <c r="I873" s="26" t="str">
        <f>IF(OR(E873="",E873="!!!",F873="NEW"),"",INDEX(B872:B$2,-1+SUMPRODUCT(MAX(ROW(E872:E$2)*(E873=E872:E$2)))))</f>
        <v> </v>
      </c>
      <c r="J873" s="26" t="str">
        <f>IF(OR(E873="",E873="!!!",F873="NEW"),"",COUNTBLANK(OFFSET(A$1,,,SUMPRODUCT(MAX(ROW(E$2:E873)*(E873=E$2:E873)))))-COUNTBLANK(OFFSET(A$1,,,SUMPRODUCT(MAX(ROW(E$1:E872)*(E2=E$1:E872))))))</f>
        <v> </v>
      </c>
      <c r="K873" s="26" t="str">
        <f>IF(OR(E873="",E873="!!!",F873="NEW"),"",INDEX(J$1:J872,SUMPRODUCT(MAX(ROW(E$1:E872)*(E873=E$1:E872)))))</f>
        <v> </v>
      </c>
      <c r="L873" s="27"/>
    </row>
    <row r="874" spans="1:12">
      <c r="A874" s="20" t="s">
        <v>1157</v>
      </c>
      <c r="E874" s="22">
        <f>IF(D874="?OLD","!!!","")</f>
        <v/>
      </c>
      <c r="F874" s="23" t="str">
        <f>IF(OR(E874="",E874="!!!"),"",IF(NOT(ISNA(VLOOKUP(E874,E$1:E873,1,FALSE()))),"OLD",IF(AND(E874&lt;&gt;"",E874&lt;&gt;"!!!"),"NEW","")))</f>
        <v> </v>
      </c>
      <c r="G874" s="24" t="str">
        <f>IF(OR(E874="",E874="!!!"),"",IF(OR(J874=0,AND(J874=1,K874=1),AND(J874=1,I874="SBJ"),AND(J874=1,I874=0)),"?IN_FOCUS",IF(J874&lt;=2,"?ACTIVATED",IF(J874&lt;&gt;"","?FAMILIAR",IF(F874="NEW",IF(ISNA(VLOOKUP(E874,#REF!,1,FALSE())),"?TYPE_IDENTIFIABLE","?REFERENTIAL"),"_")))))</f>
        <v> </v>
      </c>
      <c r="H874" s="25" t="str">
        <f>IF(J874&lt;&gt;1,"",IF(I874="SBJ","CB","?"))</f>
        <v> </v>
      </c>
      <c r="I874" s="26" t="str">
        <f>IF(OR(E874="",E874="!!!",F874="NEW"),"",INDEX(B873:B$2,-1+SUMPRODUCT(MAX(ROW(E873:E$2)*(E874=E873:E$2)))))</f>
        <v> </v>
      </c>
      <c r="J874" s="26" t="str">
        <f>IF(OR(E874="",E874="!!!",F874="NEW"),"",COUNTBLANK(OFFSET(A$1,,,SUMPRODUCT(MAX(ROW(E$2:E874)*(E874=E$2:E874)))))-COUNTBLANK(OFFSET(A$1,,,SUMPRODUCT(MAX(ROW(E$1:E873)*(E2=E$1:E873))))))</f>
        <v> </v>
      </c>
      <c r="K874" s="26" t="str">
        <f>IF(OR(E874="",E874="!!!",F874="NEW"),"",INDEX(J$1:J873,SUMPRODUCT(MAX(ROW(E$1:E873)*(E874=E$1:E873)))))</f>
        <v> </v>
      </c>
      <c r="L874" s="27"/>
    </row>
    <row r="875" spans="1:12">
      <c r="A875" s="20" t="s">
        <v>804</v>
      </c>
      <c r="B875" s="21" t="s">
        <v>764</v>
      </c>
      <c r="E875" s="22">
        <f>IF(D875="?OLD","!!!","")</f>
        <v/>
      </c>
      <c r="F875" s="23" t="str">
        <f>IF(OR(E875="",E875="!!!"),"",IF(NOT(ISNA(VLOOKUP(E875,E$1:E874,1,FALSE()))),"OLD",IF(AND(E875&lt;&gt;"",E875&lt;&gt;"!!!"),"NEW","")))</f>
        <v> </v>
      </c>
      <c r="G875" s="24" t="str">
        <f>IF(OR(E875="",E875="!!!"),"",IF(OR(J875=0,AND(J875=1,K875=1),AND(J875=1,I875="SBJ"),AND(J875=1,I875=0)),"?IN_FOCUS",IF(J875&lt;=2,"?ACTIVATED",IF(J875&lt;&gt;"","?FAMILIAR",IF(F875="NEW",IF(ISNA(VLOOKUP(E875,#REF!,1,FALSE())),"?TYPE_IDENTIFIABLE","?REFERENTIAL"),"_")))))</f>
        <v> </v>
      </c>
      <c r="H875" s="25" t="str">
        <f>IF(J875&lt;&gt;1,"",IF(I875="SBJ","CB","?"))</f>
        <v> </v>
      </c>
      <c r="I875" s="26" t="str">
        <f>IF(OR(E875="",E875="!!!",F875="NEW"),"",INDEX(B874:B$2,-1+SUMPRODUCT(MAX(ROW(E874:E$2)*(E875=E874:E$2)))))</f>
        <v> </v>
      </c>
      <c r="J875" s="26" t="str">
        <f>IF(OR(E875="",E875="!!!",F875="NEW"),"",COUNTBLANK(OFFSET(A$1,,,SUMPRODUCT(MAX(ROW(E$2:E875)*(E875=E$2:E875)))))-COUNTBLANK(OFFSET(A$1,,,SUMPRODUCT(MAX(ROW(E$1:E874)*(E2=E$1:E874))))))</f>
        <v> </v>
      </c>
      <c r="K875" s="26" t="str">
        <f>IF(OR(E875="",E875="!!!",F875="NEW"),"",INDEX(J$1:J874,SUMPRODUCT(MAX(ROW(E$1:E874)*(E875=E$1:E874)))))</f>
        <v> </v>
      </c>
      <c r="L875" s="27"/>
    </row>
    <row r="876" spans="1:12">
      <c r="A876" s="20" t="s">
        <v>1158</v>
      </c>
      <c r="E876" s="22">
        <f>IF(D876="?OLD","!!!","")</f>
        <v/>
      </c>
      <c r="F876" s="23" t="str">
        <f>IF(OR(E876="",E876="!!!"),"",IF(NOT(ISNA(VLOOKUP(E876,E$1:E875,1,FALSE()))),"OLD",IF(AND(E876&lt;&gt;"",E876&lt;&gt;"!!!"),"NEW","")))</f>
        <v> </v>
      </c>
      <c r="G876" s="24" t="str">
        <f>IF(OR(E876="",E876="!!!"),"",IF(OR(J876=0,AND(J876=1,K876=1),AND(J876=1,I876="SBJ"),AND(J876=1,I876=0)),"?IN_FOCUS",IF(J876&lt;=2,"?ACTIVATED",IF(J876&lt;&gt;"","?FAMILIAR",IF(F876="NEW",IF(ISNA(VLOOKUP(E876,#REF!,1,FALSE())),"?TYPE_IDENTIFIABLE","?REFERENTIAL"),"_")))))</f>
        <v> </v>
      </c>
      <c r="H876" s="25" t="str">
        <f>IF(J876&lt;&gt;1,"",IF(I876="SBJ","CB","?"))</f>
        <v> </v>
      </c>
      <c r="I876" s="26" t="str">
        <f>IF(OR(E876="",E876="!!!",F876="NEW"),"",INDEX(B875:B$2,-1+SUMPRODUCT(MAX(ROW(E875:E$2)*(E876=E875:E$2)))))</f>
        <v> </v>
      </c>
      <c r="J876" s="26" t="str">
        <f>IF(OR(E876="",E876="!!!",F876="NEW"),"",COUNTBLANK(OFFSET(A$1,,,SUMPRODUCT(MAX(ROW(E$2:E876)*(E876=E$2:E876)))))-COUNTBLANK(OFFSET(A$1,,,SUMPRODUCT(MAX(ROW(E$1:E875)*(E2=E$1:E875))))))</f>
        <v> </v>
      </c>
      <c r="K876" s="26" t="str">
        <f>IF(OR(E876="",E876="!!!",F876="NEW"),"",INDEX(J$1:J875,SUMPRODUCT(MAX(ROW(E$1:E875)*(E876=E$1:E875)))))</f>
        <v> </v>
      </c>
      <c r="L876" s="27"/>
    </row>
    <row r="877" spans="1:12">
      <c r="A877" s="20" t="s">
        <v>769</v>
      </c>
      <c r="B877" s="21" t="s">
        <v>739</v>
      </c>
      <c r="C877" s="21" t="s">
        <v>746</v>
      </c>
      <c r="D877" s="21" t="s">
        <v>730</v>
      </c>
      <c r="E877" s="22">
        <f>IF(D877="?OLD","!!!","")</f>
        <v/>
      </c>
      <c r="F877" s="23" t="str">
        <f>IF(OR(E877="",E877="!!!"),"",IF(NOT(ISNA(VLOOKUP(E877,E$1:E876,1,FALSE()))),"OLD",IF(AND(E877&lt;&gt;"",E877&lt;&gt;"!!!"),"NEW","")))</f>
        <v> </v>
      </c>
      <c r="G877" s="24" t="str">
        <f>IF(OR(E877="",E877="!!!"),"",IF(OR(J877=0,AND(J877=1,K877=1),AND(J877=1,I877="SBJ"),AND(J877=1,I877=0)),"?IN_FOCUS",IF(J877&lt;=2,"?ACTIVATED",IF(J877&lt;&gt;"","?FAMILIAR",IF(F877="NEW",IF(ISNA(VLOOKUP(E877,#REF!,1,FALSE())),"?TYPE_IDENTIFIABLE","?REFERENTIAL"),"_")))))</f>
        <v> </v>
      </c>
      <c r="H877" s="25" t="str">
        <f>IF(J877&lt;&gt;1,"",IF(I877="SBJ","CB","?"))</f>
        <v> </v>
      </c>
      <c r="I877" s="26" t="str">
        <f>IF(OR(E877="",E877="!!!",F877="NEW"),"",INDEX(B876:B$2,-1+SUMPRODUCT(MAX(ROW(E876:E$2)*(E877=E876:E$2)))))</f>
        <v> </v>
      </c>
      <c r="J877" s="26" t="str">
        <f>IF(OR(E877="",E877="!!!",F877="NEW"),"",COUNTBLANK(OFFSET(A$1,,,SUMPRODUCT(MAX(ROW(E$2:E877)*(E877=E$2:E877)))))-COUNTBLANK(OFFSET(A$1,,,SUMPRODUCT(MAX(ROW(E$1:E876)*(E2=E$1:E876))))))</f>
        <v> </v>
      </c>
      <c r="K877" s="26" t="str">
        <f>IF(OR(E877="",E877="!!!",F877="NEW"),"",INDEX(J$1:J876,SUMPRODUCT(MAX(ROW(E$1:E876)*(E877=E$1:E876)))))</f>
        <v> </v>
      </c>
      <c r="L877" s="27"/>
    </row>
    <row r="878" spans="1:12">
      <c r="A878" s="20" t="s">
        <v>1159</v>
      </c>
      <c r="E878" s="22">
        <f>IF(D878="?OLD","!!!","")</f>
        <v/>
      </c>
      <c r="F878" s="23" t="str">
        <f>IF(OR(E878="",E878="!!!"),"",IF(NOT(ISNA(VLOOKUP(E878,E$1:E877,1,FALSE()))),"OLD",IF(AND(E878&lt;&gt;"",E878&lt;&gt;"!!!"),"NEW","")))</f>
        <v> </v>
      </c>
      <c r="G878" s="24" t="str">
        <f>IF(OR(E878="",E878="!!!"),"",IF(OR(J878=0,AND(J878=1,K878=1),AND(J878=1,I878="SBJ"),AND(J878=1,I878=0)),"?IN_FOCUS",IF(J878&lt;=2,"?ACTIVATED",IF(J878&lt;&gt;"","?FAMILIAR",IF(F878="NEW",IF(ISNA(VLOOKUP(E878,#REF!,1,FALSE())),"?TYPE_IDENTIFIABLE","?REFERENTIAL"),"_")))))</f>
        <v> </v>
      </c>
      <c r="H878" s="25" t="str">
        <f>IF(J878&lt;&gt;1,"",IF(I878="SBJ","CB","?"))</f>
        <v> </v>
      </c>
      <c r="I878" s="26" t="str">
        <f>IF(OR(E878="",E878="!!!",F878="NEW"),"",INDEX(B877:B$2,-1+SUMPRODUCT(MAX(ROW(E877:E$2)*(E878=E877:E$2)))))</f>
        <v> </v>
      </c>
      <c r="J878" s="26" t="str">
        <f>IF(OR(E878="",E878="!!!",F878="NEW"),"",COUNTBLANK(OFFSET(A$1,,,SUMPRODUCT(MAX(ROW(E$2:E878)*(E878=E$2:E878)))))-COUNTBLANK(OFFSET(A$1,,,SUMPRODUCT(MAX(ROW(E$1:E877)*(E2=E$1:E877))))))</f>
        <v> </v>
      </c>
      <c r="K878" s="26" t="str">
        <f>IF(OR(E878="",E878="!!!",F878="NEW"),"",INDEX(J$1:J877,SUMPRODUCT(MAX(ROW(E$1:E877)*(E878=E$1:E877)))))</f>
        <v> </v>
      </c>
      <c r="L878" s="27"/>
    </row>
    <row r="879" spans="1:12">
      <c r="A879" s="20" t="s">
        <v>1160</v>
      </c>
      <c r="B879" s="21" t="s">
        <v>728</v>
      </c>
      <c r="C879" s="21" t="s">
        <v>1067</v>
      </c>
      <c r="D879" s="21" t="s">
        <v>730</v>
      </c>
      <c r="E879" s="22">
        <f>IF(D879="?OLD","!!!","")</f>
        <v/>
      </c>
      <c r="F879" s="23" t="str">
        <f>IF(OR(E879="",E879="!!!"),"",IF(NOT(ISNA(VLOOKUP(E879,E$1:E878,1,FALSE()))),"OLD",IF(AND(E879&lt;&gt;"",E879&lt;&gt;"!!!"),"NEW","")))</f>
        <v> </v>
      </c>
      <c r="G879" s="24" t="str">
        <f>IF(OR(E879="",E879="!!!"),"",IF(OR(J879=0,AND(J879=1,K879=1),AND(J879=1,I879="SBJ"),AND(J879=1,I879=0)),"?IN_FOCUS",IF(J879&lt;=2,"?ACTIVATED",IF(J879&lt;&gt;"","?FAMILIAR",IF(F879="NEW",IF(ISNA(VLOOKUP(E879,#REF!,1,FALSE())),"?TYPE_IDENTIFIABLE","?REFERENTIAL"),"_")))))</f>
        <v> </v>
      </c>
      <c r="H879" s="25" t="str">
        <f>IF(J879&lt;&gt;1,"",IF(I879="SBJ","CB","?"))</f>
        <v> </v>
      </c>
      <c r="I879" s="26" t="str">
        <f>IF(OR(E879="",E879="!!!",F879="NEW"),"",INDEX(B878:B$2,-1+SUMPRODUCT(MAX(ROW(E878:E$2)*(E879=E878:E$2)))))</f>
        <v> </v>
      </c>
      <c r="J879" s="26" t="str">
        <f>IF(OR(E879="",E879="!!!",F879="NEW"),"",COUNTBLANK(OFFSET(A$1,,,SUMPRODUCT(MAX(ROW(E$2:E879)*(E879=E$2:E879)))))-COUNTBLANK(OFFSET(A$1,,,SUMPRODUCT(MAX(ROW(E$1:E878)*(E2=E$1:E878))))))</f>
        <v> </v>
      </c>
      <c r="K879" s="26" t="str">
        <f>IF(OR(E879="",E879="!!!",F879="NEW"),"",INDEX(J$1:J878,SUMPRODUCT(MAX(ROW(E$1:E878)*(E879=E$1:E878)))))</f>
        <v> </v>
      </c>
      <c r="L879" s="27"/>
    </row>
    <row r="880" spans="1:12">
      <c r="A880" s="20" t="s">
        <v>246</v>
      </c>
      <c r="E880" s="22">
        <f>IF(D880="?OLD","!!!","")</f>
        <v/>
      </c>
      <c r="F880" s="23" t="str">
        <f>IF(OR(E880="",E880="!!!"),"",IF(NOT(ISNA(VLOOKUP(E880,E$1:E879,1,FALSE()))),"OLD",IF(AND(E880&lt;&gt;"",E880&lt;&gt;"!!!"),"NEW","")))</f>
        <v> </v>
      </c>
      <c r="G880" s="24" t="str">
        <f>IF(OR(E880="",E880="!!!"),"",IF(OR(J880=0,AND(J880=1,K880=1),AND(J880=1,I880="SBJ"),AND(J880=1,I880=0)),"?IN_FOCUS",IF(J880&lt;=2,"?ACTIVATED",IF(J880&lt;&gt;"","?FAMILIAR",IF(F880="NEW",IF(ISNA(VLOOKUP(E880,#REF!,1,FALSE())),"?TYPE_IDENTIFIABLE","?REFERENTIAL"),"_")))))</f>
        <v> </v>
      </c>
      <c r="H880" s="25" t="str">
        <f>IF(J880&lt;&gt;1,"",IF(I880="SBJ","CB","?"))</f>
        <v> </v>
      </c>
      <c r="I880" s="26" t="str">
        <f>IF(OR(E880="",E880="!!!",F880="NEW"),"",INDEX(B879:B$2,-1+SUMPRODUCT(MAX(ROW(E879:E$2)*(E880=E879:E$2)))))</f>
        <v> </v>
      </c>
      <c r="J880" s="26" t="str">
        <f>IF(OR(E880="",E880="!!!",F880="NEW"),"",COUNTBLANK(OFFSET(A$1,,,SUMPRODUCT(MAX(ROW(E$2:E880)*(E880=E$2:E880)))))-COUNTBLANK(OFFSET(A$1,,,SUMPRODUCT(MAX(ROW(E$1:E879)*(E2=E$1:E879))))))</f>
        <v> </v>
      </c>
      <c r="K880" s="26" t="str">
        <f>IF(OR(E880="",E880="!!!",F880="NEW"),"",INDEX(J$1:J879,SUMPRODUCT(MAX(ROW(E$1:E879)*(E880=E$1:E879)))))</f>
        <v> </v>
      </c>
      <c r="L880" s="27"/>
    </row>
    <row r="881" spans="1:12">
      <c r="A881" s="20"/>
    </row>
    <row r="882" spans="1:12">
      <c r="A882" s="20" t="s">
        <v>798</v>
      </c>
      <c r="E882" s="22">
        <f>IF(D882="?OLD","!!!","")</f>
        <v/>
      </c>
      <c r="F882" s="23" t="str">
        <f>IF(OR(E882="",E882="!!!"),"",IF(NOT(ISNA(VLOOKUP(E882,E$1:E881,1,FALSE()))),"OLD",IF(AND(E882&lt;&gt;"",E882&lt;&gt;"!!!"),"NEW","")))</f>
        <v> </v>
      </c>
      <c r="G882" s="24" t="str">
        <f>IF(OR(E882="",E882="!!!"),"",IF(OR(J882=0,AND(J882=1,K882=1),AND(J882=1,I882="SBJ"),AND(J882=1,I882=0)),"?IN_FOCUS",IF(J882&lt;=2,"?ACTIVATED",IF(J882&lt;&gt;"","?FAMILIAR",IF(F882="NEW",IF(ISNA(VLOOKUP(E882,#REF!,1,FALSE())),"?TYPE_IDENTIFIABLE","?REFERENTIAL"),"_")))))</f>
        <v> </v>
      </c>
      <c r="H882" s="25" t="str">
        <f>IF(J882&lt;&gt;1,"",IF(I882="SBJ","CB","?"))</f>
        <v> </v>
      </c>
      <c r="I882" s="26" t="str">
        <f>IF(OR(E882="",E882="!!!",F882="NEW"),"",INDEX(B881:B$2,-1+SUMPRODUCT(MAX(ROW(E881:E$2)*(E882=E881:E$2)))))</f>
        <v> </v>
      </c>
      <c r="J882" s="26" t="str">
        <f>IF(OR(E882="",E882="!!!",F882="NEW"),"",COUNTBLANK(OFFSET(A$1,,,SUMPRODUCT(MAX(ROW(E$2:E882)*(E882=E$2:E882)))))-COUNTBLANK(OFFSET(A$1,,,SUMPRODUCT(MAX(ROW(E$1:E881)*(E2=E$1:E881))))))</f>
        <v> </v>
      </c>
      <c r="K882" s="26" t="str">
        <f>IF(OR(E882="",E882="!!!",F882="NEW"),"",INDEX(J$1:J881,SUMPRODUCT(MAX(ROW(E$1:E881)*(E882=E$1:E881)))))</f>
        <v> </v>
      </c>
      <c r="L882" s="27"/>
    </row>
    <row r="883" spans="1:12">
      <c r="A883" s="20" t="s">
        <v>1161</v>
      </c>
    </row>
    <row r="884" spans="1:12">
      <c r="A884" s="20" t="s">
        <v>1162</v>
      </c>
      <c r="B884" s="21" t="s">
        <v>728</v>
      </c>
      <c r="C884" s="21" t="s">
        <v>740</v>
      </c>
      <c r="D884" s="21" t="s">
        <v>730</v>
      </c>
      <c r="E884" s="22">
        <f>IF(D884="?OLD","!!!","")</f>
        <v/>
      </c>
      <c r="F884" s="23" t="str">
        <f>IF(OR(E884="",E884="!!!"),"",IF(NOT(ISNA(VLOOKUP(E884,E$1:E883,1,FALSE()))),"OLD",IF(AND(E884&lt;&gt;"",E884&lt;&gt;"!!!"),"NEW","")))</f>
        <v> </v>
      </c>
      <c r="G884" s="24" t="str">
        <f>IF(OR(E884="",E884="!!!"),"",IF(OR(J884=0,AND(J884=1,K884=1),AND(J884=1,I884="SBJ"),AND(J884=1,I884=0)),"?IN_FOCUS",IF(J884&lt;=2,"?ACTIVATED",IF(J884&lt;&gt;"","?FAMILIAR",IF(F884="NEW",IF(ISNA(VLOOKUP(E884,#REF!,1,FALSE())),"?TYPE_IDENTIFIABLE","?REFERENTIAL"),"_")))))</f>
        <v> </v>
      </c>
      <c r="H884" s="25" t="str">
        <f>IF(J884&lt;&gt;1,"",IF(I884="SBJ","CB","?"))</f>
        <v> </v>
      </c>
      <c r="I884" s="26" t="str">
        <f>IF(OR(E884="",E884="!!!",F884="NEW"),"",INDEX(B883:B$2,-1+SUMPRODUCT(MAX(ROW(E883:E$2)*(E884=E883:E$2)))))</f>
        <v> </v>
      </c>
      <c r="J884" s="26" t="str">
        <f>IF(OR(E884="",E884="!!!",F884="NEW"),"",COUNTBLANK(OFFSET(A$1,,,SUMPRODUCT(MAX(ROW(E$2:E884)*(E884=E$2:E884)))))-COUNTBLANK(OFFSET(A$1,,,SUMPRODUCT(MAX(ROW(E$1:E883)*(E2=E$1:E883))))))</f>
        <v> </v>
      </c>
      <c r="K884" s="26" t="str">
        <f>IF(OR(E884="",E884="!!!",F884="NEW"),"",INDEX(J$1:J883,SUMPRODUCT(MAX(ROW(E$1:E883)*(E884=E$1:E883)))))</f>
        <v> </v>
      </c>
      <c r="L884" s="27"/>
    </row>
    <row r="885" spans="1:12">
      <c r="A885" s="20" t="s">
        <v>966</v>
      </c>
      <c r="E885" s="22">
        <f>IF(D885="?OLD","!!!","")</f>
        <v/>
      </c>
      <c r="F885" s="23" t="str">
        <f>IF(OR(E885="",E885="!!!"),"",IF(NOT(ISNA(VLOOKUP(E885,E$1:E884,1,FALSE()))),"OLD",IF(AND(E885&lt;&gt;"",E885&lt;&gt;"!!!"),"NEW","")))</f>
        <v> </v>
      </c>
      <c r="G885" s="24" t="str">
        <f>IF(OR(E885="",E885="!!!"),"",IF(OR(J885=0,AND(J885=1,K885=1),AND(J885=1,I885="SBJ"),AND(J885=1,I885=0)),"?IN_FOCUS",IF(J885&lt;=2,"?ACTIVATED",IF(J885&lt;&gt;"","?FAMILIAR",IF(F885="NEW",IF(ISNA(VLOOKUP(E885,#REF!,1,FALSE())),"?TYPE_IDENTIFIABLE","?REFERENTIAL"),"_")))))</f>
        <v> </v>
      </c>
      <c r="H885" s="25" t="str">
        <f>IF(J885&lt;&gt;1,"",IF(I885="SBJ","CB","?"))</f>
        <v> </v>
      </c>
      <c r="I885" s="26" t="str">
        <f>IF(OR(E885="",E885="!!!",F885="NEW"),"",INDEX(B884:B$2,-1+SUMPRODUCT(MAX(ROW(E884:E$2)*(E885=E884:E$2)))))</f>
        <v> </v>
      </c>
      <c r="J885" s="26" t="str">
        <f>IF(OR(E885="",E885="!!!",F885="NEW"),"",COUNTBLANK(OFFSET(A$1,,,SUMPRODUCT(MAX(ROW(E$2:E885)*(E885=E$2:E885)))))-COUNTBLANK(OFFSET(A$1,,,SUMPRODUCT(MAX(ROW(E$1:E884)*(E2=E$1:E884))))))</f>
        <v> </v>
      </c>
      <c r="K885" s="26" t="str">
        <f>IF(OR(E885="",E885="!!!",F885="NEW"),"",INDEX(J$1:J884,SUMPRODUCT(MAX(ROW(E$1:E884)*(E885=E$1:E884)))))</f>
        <v> </v>
      </c>
      <c r="L885" s="27"/>
    </row>
    <row r="886" spans="1:12">
      <c r="A886" s="20" t="s">
        <v>1163</v>
      </c>
      <c r="E886" s="22">
        <f>IF(D886="?OLD","!!!","")</f>
        <v/>
      </c>
      <c r="F886" s="23" t="str">
        <f>IF(OR(E886="",E886="!!!"),"",IF(NOT(ISNA(VLOOKUP(E886,E$1:E885,1,FALSE()))),"OLD",IF(AND(E886&lt;&gt;"",E886&lt;&gt;"!!!"),"NEW","")))</f>
        <v> </v>
      </c>
      <c r="G886" s="24" t="str">
        <f>IF(OR(E886="",E886="!!!"),"",IF(OR(J886=0,AND(J886=1,K886=1),AND(J886=1,I886="SBJ"),AND(J886=1,I886=0)),"?IN_FOCUS",IF(J886&lt;=2,"?ACTIVATED",IF(J886&lt;&gt;"","?FAMILIAR",IF(F886="NEW",IF(ISNA(VLOOKUP(E886,#REF!,1,FALSE())),"?TYPE_IDENTIFIABLE","?REFERENTIAL"),"_")))))</f>
        <v> </v>
      </c>
      <c r="H886" s="25" t="str">
        <f>IF(J886&lt;&gt;1,"",IF(I886="SBJ","CB","?"))</f>
        <v> </v>
      </c>
      <c r="I886" s="26" t="str">
        <f>IF(OR(E886="",E886="!!!",F886="NEW"),"",INDEX(B885:B$2,-1+SUMPRODUCT(MAX(ROW(E885:E$2)*(E886=E885:E$2)))))</f>
        <v> </v>
      </c>
      <c r="J886" s="26" t="str">
        <f>IF(OR(E886="",E886="!!!",F886="NEW"),"",COUNTBLANK(OFFSET(A$1,,,SUMPRODUCT(MAX(ROW(E$2:E886)*(E886=E$2:E886)))))-COUNTBLANK(OFFSET(A$1,,,SUMPRODUCT(MAX(ROW(E$1:E885)*(E2=E$1:E885))))))</f>
        <v> </v>
      </c>
      <c r="K886" s="26" t="str">
        <f>IF(OR(E886="",E886="!!!",F886="NEW"),"",INDEX(J$1:J885,SUMPRODUCT(MAX(ROW(E$1:E885)*(E886=E$1:E885)))))</f>
        <v> </v>
      </c>
      <c r="L886" s="27"/>
    </row>
    <row r="887" spans="1:12">
      <c r="A887" s="20" t="s">
        <v>1164</v>
      </c>
      <c r="E887" s="22">
        <f>IF(D887="?OLD","!!!","")</f>
        <v/>
      </c>
      <c r="F887" s="23" t="str">
        <f>IF(OR(E887="",E887="!!!"),"",IF(NOT(ISNA(VLOOKUP(E887,E$1:E886,1,FALSE()))),"OLD",IF(AND(E887&lt;&gt;"",E887&lt;&gt;"!!!"),"NEW","")))</f>
        <v> </v>
      </c>
      <c r="G887" s="24" t="str">
        <f>IF(OR(E887="",E887="!!!"),"",IF(OR(J887=0,AND(J887=1,K887=1),AND(J887=1,I887="SBJ"),AND(J887=1,I887=0)),"?IN_FOCUS",IF(J887&lt;=2,"?ACTIVATED",IF(J887&lt;&gt;"","?FAMILIAR",IF(F887="NEW",IF(ISNA(VLOOKUP(E887,#REF!,1,FALSE())),"?TYPE_IDENTIFIABLE","?REFERENTIAL"),"_")))))</f>
        <v> </v>
      </c>
      <c r="H887" s="25" t="str">
        <f>IF(J887&lt;&gt;1,"",IF(I887="SBJ","CB","?"))</f>
        <v> </v>
      </c>
      <c r="I887" s="26" t="str">
        <f>IF(OR(E887="",E887="!!!",F887="NEW"),"",INDEX(B886:B$2,-1+SUMPRODUCT(MAX(ROW(E886:E$2)*(E887=E886:E$2)))))</f>
        <v> </v>
      </c>
      <c r="J887" s="26" t="str">
        <f>IF(OR(E887="",E887="!!!",F887="NEW"),"",COUNTBLANK(OFFSET(A$1,,,SUMPRODUCT(MAX(ROW(E$2:E887)*(E887=E$2:E887)))))-COUNTBLANK(OFFSET(A$1,,,SUMPRODUCT(MAX(ROW(E$1:E886)*(E2=E$1:E886))))))</f>
        <v> </v>
      </c>
      <c r="K887" s="26" t="str">
        <f>IF(OR(E887="",E887="!!!",F887="NEW"),"",INDEX(J$1:J886,SUMPRODUCT(MAX(ROW(E$1:E886)*(E887=E$1:E886)))))</f>
        <v> </v>
      </c>
      <c r="L887" s="27"/>
    </row>
    <row r="888" spans="1:12">
      <c r="A888" s="20" t="s">
        <v>817</v>
      </c>
      <c r="E888" s="22">
        <f>IF(D888="?OLD","!!!","")</f>
        <v/>
      </c>
      <c r="F888" s="23" t="str">
        <f>IF(OR(E888="",E888="!!!"),"",IF(NOT(ISNA(VLOOKUP(E888,E$1:E887,1,FALSE()))),"OLD",IF(AND(E888&lt;&gt;"",E888&lt;&gt;"!!!"),"NEW","")))</f>
        <v> </v>
      </c>
      <c r="G888" s="24" t="str">
        <f>IF(OR(E888="",E888="!!!"),"",IF(OR(J888=0,AND(J888=1,K888=1),AND(J888=1,I888="SBJ"),AND(J888=1,I888=0)),"?IN_FOCUS",IF(J888&lt;=2,"?ACTIVATED",IF(J888&lt;&gt;"","?FAMILIAR",IF(F888="NEW",IF(ISNA(VLOOKUP(E888,#REF!,1,FALSE())),"?TYPE_IDENTIFIABLE","?REFERENTIAL"),"_")))))</f>
        <v> </v>
      </c>
      <c r="H888" s="25" t="str">
        <f>IF(J888&lt;&gt;1,"",IF(I888="SBJ","CB","?"))</f>
        <v> </v>
      </c>
      <c r="I888" s="26" t="str">
        <f>IF(OR(E888="",E888="!!!",F888="NEW"),"",INDEX(B887:B$2,-1+SUMPRODUCT(MAX(ROW(E887:E$2)*(E888=E887:E$2)))))</f>
        <v> </v>
      </c>
      <c r="J888" s="26" t="str">
        <f>IF(OR(E888="",E888="!!!",F888="NEW"),"",COUNTBLANK(OFFSET(A$1,,,SUMPRODUCT(MAX(ROW(E$2:E888)*(E888=E$2:E888)))))-COUNTBLANK(OFFSET(A$1,,,SUMPRODUCT(MAX(ROW(E$1:E887)*(E2=E$1:E887))))))</f>
        <v> </v>
      </c>
      <c r="K888" s="26" t="str">
        <f>IF(OR(E888="",E888="!!!",F888="NEW"),"",INDEX(J$1:J887,SUMPRODUCT(MAX(ROW(E$1:E887)*(E888=E$1:E887)))))</f>
        <v> </v>
      </c>
      <c r="L888" s="27"/>
    </row>
    <row r="889" spans="1:12">
      <c r="A889" s="20" t="s">
        <v>1150</v>
      </c>
      <c r="B889" s="21" t="s">
        <v>736</v>
      </c>
      <c r="C889" s="21" t="s">
        <v>740</v>
      </c>
      <c r="D889" s="21" t="s">
        <v>730</v>
      </c>
      <c r="E889" s="22">
        <f>IF(D889="?OLD","!!!","")</f>
        <v/>
      </c>
      <c r="F889" s="23" t="str">
        <f>IF(OR(E889="",E889="!!!"),"",IF(NOT(ISNA(VLOOKUP(E889,E$1:E888,1,FALSE()))),"OLD",IF(AND(E889&lt;&gt;"",E889&lt;&gt;"!!!"),"NEW","")))</f>
        <v> </v>
      </c>
      <c r="G889" s="24" t="str">
        <f>IF(OR(E889="",E889="!!!"),"",IF(OR(J889=0,AND(J889=1,K889=1),AND(J889=1,I889="SBJ"),AND(J889=1,I889=0)),"?IN_FOCUS",IF(J889&lt;=2,"?ACTIVATED",IF(J889&lt;&gt;"","?FAMILIAR",IF(F889="NEW",IF(ISNA(VLOOKUP(E889,#REF!,1,FALSE())),"?TYPE_IDENTIFIABLE","?REFERENTIAL"),"_")))))</f>
        <v> </v>
      </c>
      <c r="H889" s="25" t="str">
        <f>IF(J889&lt;&gt;1,"",IF(I889="SBJ","CB","?"))</f>
        <v> </v>
      </c>
      <c r="I889" s="26" t="str">
        <f>IF(OR(E889="",E889="!!!",F889="NEW"),"",INDEX(B888:B$2,-1+SUMPRODUCT(MAX(ROW(E888:E$2)*(E889=E888:E$2)))))</f>
        <v> </v>
      </c>
      <c r="J889" s="26" t="str">
        <f>IF(OR(E889="",E889="!!!",F889="NEW"),"",COUNTBLANK(OFFSET(A$1,,,SUMPRODUCT(MAX(ROW(E$2:E889)*(E889=E$2:E889)))))-COUNTBLANK(OFFSET(A$1,,,SUMPRODUCT(MAX(ROW(E$1:E888)*(E2=E$1:E888))))))</f>
        <v> </v>
      </c>
      <c r="K889" s="26" t="str">
        <f>IF(OR(E889="",E889="!!!",F889="NEW"),"",INDEX(J$1:J888,SUMPRODUCT(MAX(ROW(E$1:E888)*(E889=E$1:E888)))))</f>
        <v> </v>
      </c>
      <c r="L889" s="27"/>
    </row>
    <row r="890" spans="1:12">
      <c r="A890" s="20" t="s">
        <v>817</v>
      </c>
      <c r="E890" s="22">
        <f>IF(D890="?OLD","!!!","")</f>
        <v/>
      </c>
      <c r="F890" s="23" t="str">
        <f>IF(OR(E890="",E890="!!!"),"",IF(NOT(ISNA(VLOOKUP(E890,E$1:E889,1,FALSE()))),"OLD",IF(AND(E890&lt;&gt;"",E890&lt;&gt;"!!!"),"NEW","")))</f>
        <v> </v>
      </c>
      <c r="G890" s="24" t="str">
        <f>IF(OR(E890="",E890="!!!"),"",IF(OR(J890=0,AND(J890=1,K890=1),AND(J890=1,I890="SBJ"),AND(J890=1,I890=0)),"?IN_FOCUS",IF(J890&lt;=2,"?ACTIVATED",IF(J890&lt;&gt;"","?FAMILIAR",IF(F890="NEW",IF(ISNA(VLOOKUP(E890,#REF!,1,FALSE())),"?TYPE_IDENTIFIABLE","?REFERENTIAL"),"_")))))</f>
        <v> </v>
      </c>
      <c r="H890" s="25" t="str">
        <f>IF(J890&lt;&gt;1,"",IF(I890="SBJ","CB","?"))</f>
        <v> </v>
      </c>
      <c r="I890" s="26" t="str">
        <f>IF(OR(E890="",E890="!!!",F890="NEW"),"",INDEX(B889:B$2,-1+SUMPRODUCT(MAX(ROW(E889:E$2)*(E890=E889:E$2)))))</f>
        <v> </v>
      </c>
      <c r="J890" s="26" t="str">
        <f>IF(OR(E890="",E890="!!!",F890="NEW"),"",COUNTBLANK(OFFSET(A$1,,,SUMPRODUCT(MAX(ROW(E$2:E890)*(E890=E$2:E890)))))-COUNTBLANK(OFFSET(A$1,,,SUMPRODUCT(MAX(ROW(E$1:E889)*(E2=E$1:E889))))))</f>
        <v> </v>
      </c>
      <c r="K890" s="26" t="str">
        <f>IF(OR(E890="",E890="!!!",F890="NEW"),"",INDEX(J$1:J889,SUMPRODUCT(MAX(ROW(E$1:E889)*(E890=E$1:E889)))))</f>
        <v> </v>
      </c>
      <c r="L890" s="27"/>
    </row>
    <row r="891" spans="1:12">
      <c r="A891" s="20" t="s">
        <v>1147</v>
      </c>
      <c r="E891" s="22">
        <f>IF(D891="?OLD","!!!","")</f>
        <v/>
      </c>
      <c r="F891" s="23" t="str">
        <f>IF(OR(E891="",E891="!!!"),"",IF(NOT(ISNA(VLOOKUP(E891,E$1:E890,1,FALSE()))),"OLD",IF(AND(E891&lt;&gt;"",E891&lt;&gt;"!!!"),"NEW","")))</f>
        <v> </v>
      </c>
      <c r="G891" s="24" t="str">
        <f>IF(OR(E891="",E891="!!!"),"",IF(OR(J891=0,AND(J891=1,K891=1),AND(J891=1,I891="SBJ"),AND(J891=1,I891=0)),"?IN_FOCUS",IF(J891&lt;=2,"?ACTIVATED",IF(J891&lt;&gt;"","?FAMILIAR",IF(F891="NEW",IF(ISNA(VLOOKUP(E891,#REF!,1,FALSE())),"?TYPE_IDENTIFIABLE","?REFERENTIAL"),"_")))))</f>
        <v> </v>
      </c>
      <c r="H891" s="25" t="str">
        <f>IF(J891&lt;&gt;1,"",IF(I891="SBJ","CB","?"))</f>
        <v> </v>
      </c>
      <c r="I891" s="26" t="str">
        <f>IF(OR(E891="",E891="!!!",F891="NEW"),"",INDEX(B890:B$2,-1+SUMPRODUCT(MAX(ROW(E890:E$2)*(E891=E890:E$2)))))</f>
        <v> </v>
      </c>
      <c r="J891" s="26" t="str">
        <f>IF(OR(E891="",E891="!!!",F891="NEW"),"",COUNTBLANK(OFFSET(A$1,,,SUMPRODUCT(MAX(ROW(E$2:E891)*(E891=E$2:E891)))))-COUNTBLANK(OFFSET(A$1,,,SUMPRODUCT(MAX(ROW(E$1:E890)*(E2=E$1:E890))))))</f>
        <v> </v>
      </c>
      <c r="K891" s="26" t="str">
        <f>IF(OR(E891="",E891="!!!",F891="NEW"),"",INDEX(J$1:J890,SUMPRODUCT(MAX(ROW(E$1:E890)*(E891=E$1:E890)))))</f>
        <v> </v>
      </c>
      <c r="L891" s="27"/>
    </row>
    <row r="892" spans="1:12">
      <c r="A892" s="20" t="s">
        <v>1165</v>
      </c>
      <c r="E892" s="22">
        <f>IF(D892="?OLD","!!!","")</f>
        <v/>
      </c>
      <c r="F892" s="23" t="str">
        <f>IF(OR(E892="",E892="!!!"),"",IF(NOT(ISNA(VLOOKUP(E892,E$1:E891,1,FALSE()))),"OLD",IF(AND(E892&lt;&gt;"",E892&lt;&gt;"!!!"),"NEW","")))</f>
        <v> </v>
      </c>
      <c r="G892" s="24" t="str">
        <f>IF(OR(E892="",E892="!!!"),"",IF(OR(J892=0,AND(J892=1,K892=1),AND(J892=1,I892="SBJ"),AND(J892=1,I892=0)),"?IN_FOCUS",IF(J892&lt;=2,"?ACTIVATED",IF(J892&lt;&gt;"","?FAMILIAR",IF(F892="NEW",IF(ISNA(VLOOKUP(E892,#REF!,1,FALSE())),"?TYPE_IDENTIFIABLE","?REFERENTIAL"),"_")))))</f>
        <v> </v>
      </c>
      <c r="H892" s="25" t="str">
        <f>IF(J892&lt;&gt;1,"",IF(I892="SBJ","CB","?"))</f>
        <v> </v>
      </c>
      <c r="I892" s="26" t="str">
        <f>IF(OR(E892="",E892="!!!",F892="NEW"),"",INDEX(B891:B$2,-1+SUMPRODUCT(MAX(ROW(E891:E$2)*(E892=E891:E$2)))))</f>
        <v> </v>
      </c>
      <c r="J892" s="26" t="str">
        <f>IF(OR(E892="",E892="!!!",F892="NEW"),"",COUNTBLANK(OFFSET(A$1,,,SUMPRODUCT(MAX(ROW(E$2:E892)*(E892=E$2:E892)))))-COUNTBLANK(OFFSET(A$1,,,SUMPRODUCT(MAX(ROW(E$1:E891)*(E2=E$1:E891))))))</f>
        <v> </v>
      </c>
      <c r="K892" s="26" t="str">
        <f>IF(OR(E892="",E892="!!!",F892="NEW"),"",INDEX(J$1:J891,SUMPRODUCT(MAX(ROW(E$1:E891)*(E892=E$1:E891)))))</f>
        <v> </v>
      </c>
      <c r="L892" s="27"/>
    </row>
    <row r="893" spans="1:12">
      <c r="A893" s="20" t="s">
        <v>922</v>
      </c>
      <c r="E893" s="22">
        <f>IF(D893="?OLD","!!!","")</f>
        <v/>
      </c>
      <c r="F893" s="23" t="str">
        <f>IF(OR(E893="",E893="!!!"),"",IF(NOT(ISNA(VLOOKUP(E893,E$1:E892,1,FALSE()))),"OLD",IF(AND(E893&lt;&gt;"",E893&lt;&gt;"!!!"),"NEW","")))</f>
        <v> </v>
      </c>
      <c r="G893" s="24" t="str">
        <f>IF(OR(E893="",E893="!!!"),"",IF(OR(J893=0,AND(J893=1,K893=1),AND(J893=1,I893="SBJ"),AND(J893=1,I893=0)),"?IN_FOCUS",IF(J893&lt;=2,"?ACTIVATED",IF(J893&lt;&gt;"","?FAMILIAR",IF(F893="NEW",IF(ISNA(VLOOKUP(E893,#REF!,1,FALSE())),"?TYPE_IDENTIFIABLE","?REFERENTIAL"),"_")))))</f>
        <v> </v>
      </c>
      <c r="H893" s="25" t="str">
        <f>IF(J893&lt;&gt;1,"",IF(I893="SBJ","CB","?"))</f>
        <v> </v>
      </c>
      <c r="I893" s="26" t="str">
        <f>IF(OR(E893="",E893="!!!",F893="NEW"),"",INDEX(B892:B$2,-1+SUMPRODUCT(MAX(ROW(E892:E$2)*(E893=E892:E$2)))))</f>
        <v> </v>
      </c>
      <c r="J893" s="26" t="str">
        <f>IF(OR(E893="",E893="!!!",F893="NEW"),"",COUNTBLANK(OFFSET(A$1,,,SUMPRODUCT(MAX(ROW(E$2:E893)*(E893=E$2:E893)))))-COUNTBLANK(OFFSET(A$1,,,SUMPRODUCT(MAX(ROW(E$1:E892)*(E2=E$1:E892))))))</f>
        <v> </v>
      </c>
      <c r="K893" s="26" t="str">
        <f>IF(OR(E893="",E893="!!!",F893="NEW"),"",INDEX(J$1:J892,SUMPRODUCT(MAX(ROW(E$1:E892)*(E893=E$1:E892)))))</f>
        <v> </v>
      </c>
      <c r="L893" s="27"/>
    </row>
    <row r="894" spans="1:12">
      <c r="A894" s="20" t="s">
        <v>1166</v>
      </c>
      <c r="E894" s="22">
        <f>IF(D894="?OLD","!!!","")</f>
        <v/>
      </c>
      <c r="F894" s="23" t="str">
        <f>IF(OR(E894="",E894="!!!"),"",IF(NOT(ISNA(VLOOKUP(E894,E$1:E893,1,FALSE()))),"OLD",IF(AND(E894&lt;&gt;"",E894&lt;&gt;"!!!"),"NEW","")))</f>
        <v> </v>
      </c>
      <c r="G894" s="24" t="str">
        <f>IF(OR(E894="",E894="!!!"),"",IF(OR(J894=0,AND(J894=1,K894=1),AND(J894=1,I894="SBJ"),AND(J894=1,I894=0)),"?IN_FOCUS",IF(J894&lt;=2,"?ACTIVATED",IF(J894&lt;&gt;"","?FAMILIAR",IF(F894="NEW",IF(ISNA(VLOOKUP(E894,#REF!,1,FALSE())),"?TYPE_IDENTIFIABLE","?REFERENTIAL"),"_")))))</f>
        <v> </v>
      </c>
      <c r="H894" s="25" t="str">
        <f>IF(J894&lt;&gt;1,"",IF(I894="SBJ","CB","?"))</f>
        <v> </v>
      </c>
      <c r="I894" s="26" t="str">
        <f>IF(OR(E894="",E894="!!!",F894="NEW"),"",INDEX(B893:B$2,-1+SUMPRODUCT(MAX(ROW(E893:E$2)*(E894=E893:E$2)))))</f>
        <v> </v>
      </c>
      <c r="J894" s="26" t="str">
        <f>IF(OR(E894="",E894="!!!",F894="NEW"),"",COUNTBLANK(OFFSET(A$1,,,SUMPRODUCT(MAX(ROW(E$2:E894)*(E894=E$2:E894)))))-COUNTBLANK(OFFSET(A$1,,,SUMPRODUCT(MAX(ROW(E$1:E893)*(E2=E$1:E893))))))</f>
        <v> </v>
      </c>
      <c r="K894" s="26" t="str">
        <f>IF(OR(E894="",E894="!!!",F894="NEW"),"",INDEX(J$1:J893,SUMPRODUCT(MAX(ROW(E$1:E893)*(E894=E$1:E893)))))</f>
        <v> </v>
      </c>
      <c r="L894" s="27"/>
    </row>
    <row r="895" spans="1:12">
      <c r="A895" s="20" t="s">
        <v>1010</v>
      </c>
      <c r="B895" s="21" t="s">
        <v>791</v>
      </c>
      <c r="C895" s="21" t="s">
        <v>737</v>
      </c>
      <c r="E895" s="22">
        <f>IF(D895="?OLD","!!!","")</f>
        <v/>
      </c>
      <c r="F895" s="23" t="str">
        <f>IF(OR(E895="",E895="!!!"),"",IF(NOT(ISNA(VLOOKUP(E895,E$1:E894,1,FALSE()))),"OLD",IF(AND(E895&lt;&gt;"",E895&lt;&gt;"!!!"),"NEW","")))</f>
        <v> </v>
      </c>
      <c r="G895" s="24" t="str">
        <f>IF(OR(E895="",E895="!!!"),"",IF(OR(J895=0,AND(J895=1,K895=1),AND(J895=1,I895="SBJ"),AND(J895=1,I895=0)),"?IN_FOCUS",IF(J895&lt;=2,"?ACTIVATED",IF(J895&lt;&gt;"","?FAMILIAR",IF(F895="NEW",IF(ISNA(VLOOKUP(E895,#REF!,1,FALSE())),"?TYPE_IDENTIFIABLE","?REFERENTIAL"),"_")))))</f>
        <v> </v>
      </c>
      <c r="H895" s="25" t="str">
        <f>IF(J895&lt;&gt;1,"",IF(I895="SBJ","CB","?"))</f>
        <v> </v>
      </c>
      <c r="I895" s="26" t="str">
        <f>IF(OR(E895="",E895="!!!",F895="NEW"),"",INDEX(B894:B$2,-1+SUMPRODUCT(MAX(ROW(E894:E$2)*(E895=E894:E$2)))))</f>
        <v> </v>
      </c>
      <c r="J895" s="26" t="str">
        <f>IF(OR(E895="",E895="!!!",F895="NEW"),"",COUNTBLANK(OFFSET(A$1,,,SUMPRODUCT(MAX(ROW(E$2:E895)*(E895=E$2:E895)))))-COUNTBLANK(OFFSET(A$1,,,SUMPRODUCT(MAX(ROW(E$1:E894)*(E2=E$1:E894))))))</f>
        <v> </v>
      </c>
      <c r="K895" s="26" t="str">
        <f>IF(OR(E895="",E895="!!!",F895="NEW"),"",INDEX(J$1:J894,SUMPRODUCT(MAX(ROW(E$1:E894)*(E895=E$1:E894)))))</f>
        <v> </v>
      </c>
      <c r="L895" s="27"/>
    </row>
    <row r="896" spans="1:12">
      <c r="A896" s="20" t="s">
        <v>773</v>
      </c>
      <c r="E896" s="22">
        <f>IF(D896="?OLD","!!!","")</f>
        <v/>
      </c>
      <c r="F896" s="23" t="str">
        <f>IF(OR(E896="",E896="!!!"),"",IF(NOT(ISNA(VLOOKUP(E896,E$1:E895,1,FALSE()))),"OLD",IF(AND(E896&lt;&gt;"",E896&lt;&gt;"!!!"),"NEW","")))</f>
        <v> </v>
      </c>
      <c r="G896" s="24" t="str">
        <f>IF(OR(E896="",E896="!!!"),"",IF(OR(J896=0,AND(J896=1,K896=1),AND(J896=1,I896="SBJ"),AND(J896=1,I896=0)),"?IN_FOCUS",IF(J896&lt;=2,"?ACTIVATED",IF(J896&lt;&gt;"","?FAMILIAR",IF(F896="NEW",IF(ISNA(VLOOKUP(E896,#REF!,1,FALSE())),"?TYPE_IDENTIFIABLE","?REFERENTIAL"),"_")))))</f>
        <v> </v>
      </c>
      <c r="H896" s="25" t="str">
        <f>IF(J896&lt;&gt;1,"",IF(I896="SBJ","CB","?"))</f>
        <v> </v>
      </c>
      <c r="I896" s="26" t="str">
        <f>IF(OR(E896="",E896="!!!",F896="NEW"),"",INDEX(B895:B$2,-1+SUMPRODUCT(MAX(ROW(E895:E$2)*(E896=E895:E$2)))))</f>
        <v> </v>
      </c>
      <c r="J896" s="26" t="str">
        <f>IF(OR(E896="",E896="!!!",F896="NEW"),"",COUNTBLANK(OFFSET(A$1,,,SUMPRODUCT(MAX(ROW(E$2:E896)*(E896=E$2:E896)))))-COUNTBLANK(OFFSET(A$1,,,SUMPRODUCT(MAX(ROW(E$1:E895)*(E2=E$1:E895))))))</f>
        <v> </v>
      </c>
      <c r="K896" s="26" t="str">
        <f>IF(OR(E896="",E896="!!!",F896="NEW"),"",INDEX(J$1:J895,SUMPRODUCT(MAX(ROW(E$1:E895)*(E896=E$1:E895)))))</f>
        <v> </v>
      </c>
      <c r="L896" s="27"/>
    </row>
    <row r="897" spans="1:12">
      <c r="A897" s="20" t="s">
        <v>1167</v>
      </c>
      <c r="B897" s="21" t="s">
        <v>783</v>
      </c>
      <c r="C897" s="21" t="s">
        <v>801</v>
      </c>
      <c r="D897" s="21" t="s">
        <v>730</v>
      </c>
      <c r="E897" s="22">
        <f>IF(D897="?OLD","!!!","")</f>
        <v/>
      </c>
      <c r="F897" s="23" t="str">
        <f>IF(OR(E897="",E897="!!!"),"",IF(NOT(ISNA(VLOOKUP(E897,E$1:E896,1,FALSE()))),"OLD",IF(AND(E897&lt;&gt;"",E897&lt;&gt;"!!!"),"NEW","")))</f>
        <v> </v>
      </c>
      <c r="G897" s="24" t="str">
        <f>IF(OR(E897="",E897="!!!"),"",IF(OR(J897=0,AND(J897=1,K897=1),AND(J897=1,I897="SBJ"),AND(J897=1,I897=0)),"?IN_FOCUS",IF(J897&lt;=2,"?ACTIVATED",IF(J897&lt;&gt;"","?FAMILIAR",IF(F897="NEW",IF(ISNA(VLOOKUP(E897,#REF!,1,FALSE())),"?TYPE_IDENTIFIABLE","?REFERENTIAL"),"_")))))</f>
        <v> </v>
      </c>
      <c r="H897" s="25" t="str">
        <f>IF(J897&lt;&gt;1,"",IF(I897="SBJ","CB","?"))</f>
        <v> </v>
      </c>
      <c r="I897" s="26" t="str">
        <f>IF(OR(E897="",E897="!!!",F897="NEW"),"",INDEX(B896:B$2,-1+SUMPRODUCT(MAX(ROW(E896:E$2)*(E897=E896:E$2)))))</f>
        <v> </v>
      </c>
      <c r="J897" s="26" t="str">
        <f>IF(OR(E897="",E897="!!!",F897="NEW"),"",COUNTBLANK(OFFSET(A$1,,,SUMPRODUCT(MAX(ROW(E$2:E897)*(E897=E$2:E897)))))-COUNTBLANK(OFFSET(A$1,,,SUMPRODUCT(MAX(ROW(E$1:E896)*(E2=E$1:E896))))))</f>
        <v> </v>
      </c>
      <c r="K897" s="26" t="str">
        <f>IF(OR(E897="",E897="!!!",F897="NEW"),"",INDEX(J$1:J896,SUMPRODUCT(MAX(ROW(E$1:E896)*(E897=E$1:E896)))))</f>
        <v> </v>
      </c>
      <c r="L897" s="27"/>
    </row>
    <row r="898" spans="1:12">
      <c r="A898" s="20" t="s">
        <v>1168</v>
      </c>
      <c r="B898" s="21" t="s">
        <v>755</v>
      </c>
      <c r="C898" s="21" t="s">
        <v>802</v>
      </c>
      <c r="D898" s="21" t="s">
        <v>730</v>
      </c>
      <c r="E898" s="22">
        <f>IF(D898="?OLD","!!!","")</f>
        <v/>
      </c>
      <c r="F898" s="23" t="str">
        <f>IF(OR(E898="",E898="!!!"),"",IF(NOT(ISNA(VLOOKUP(E898,E$1:E897,1,FALSE()))),"OLD",IF(AND(E898&lt;&gt;"",E898&lt;&gt;"!!!"),"NEW","")))</f>
        <v> </v>
      </c>
      <c r="G898" s="24" t="str">
        <f>IF(OR(E898="",E898="!!!"),"",IF(OR(J898=0,AND(J898=1,K898=1),AND(J898=1,I898="SBJ"),AND(J898=1,I898=0)),"?IN_FOCUS",IF(J898&lt;=2,"?ACTIVATED",IF(J898&lt;&gt;"","?FAMILIAR",IF(F898="NEW",IF(ISNA(VLOOKUP(E898,#REF!,1,FALSE())),"?TYPE_IDENTIFIABLE","?REFERENTIAL"),"_")))))</f>
        <v> </v>
      </c>
      <c r="H898" s="25" t="str">
        <f>IF(J898&lt;&gt;1,"",IF(I898="SBJ","CB","?"))</f>
        <v> </v>
      </c>
      <c r="I898" s="26" t="str">
        <f>IF(OR(E898="",E898="!!!",F898="NEW"),"",INDEX(B897:B$2,-1+SUMPRODUCT(MAX(ROW(E897:E$2)*(E898=E897:E$2)))))</f>
        <v> </v>
      </c>
      <c r="J898" s="26" t="str">
        <f>IF(OR(E898="",E898="!!!",F898="NEW"),"",COUNTBLANK(OFFSET(A$1,,,SUMPRODUCT(MAX(ROW(E$2:E898)*(E898=E$2:E898)))))-COUNTBLANK(OFFSET(A$1,,,SUMPRODUCT(MAX(ROW(E$1:E897)*(E2=E$1:E897))))))</f>
        <v> </v>
      </c>
      <c r="K898" s="26" t="str">
        <f>IF(OR(E898="",E898="!!!",F898="NEW"),"",INDEX(J$1:J897,SUMPRODUCT(MAX(ROW(E$1:E897)*(E898=E$1:E897)))))</f>
        <v> </v>
      </c>
      <c r="L898" s="27"/>
    </row>
    <row r="899" spans="1:12">
      <c r="A899" s="20" t="s">
        <v>754</v>
      </c>
      <c r="E899" s="22">
        <f>IF(D899="?OLD","!!!","")</f>
        <v/>
      </c>
      <c r="F899" s="23" t="str">
        <f>IF(OR(E899="",E899="!!!"),"",IF(NOT(ISNA(VLOOKUP(E899,E$1:E898,1,FALSE()))),"OLD",IF(AND(E899&lt;&gt;"",E899&lt;&gt;"!!!"),"NEW","")))</f>
        <v> </v>
      </c>
      <c r="G899" s="24" t="str">
        <f>IF(OR(E899="",E899="!!!"),"",IF(OR(J899=0,AND(J899=1,K899=1),AND(J899=1,I899="SBJ"),AND(J899=1,I899=0)),"?IN_FOCUS",IF(J899&lt;=2,"?ACTIVATED",IF(J899&lt;&gt;"","?FAMILIAR",IF(F899="NEW",IF(ISNA(VLOOKUP(E899,#REF!,1,FALSE())),"?TYPE_IDENTIFIABLE","?REFERENTIAL"),"_")))))</f>
        <v> </v>
      </c>
      <c r="H899" s="25" t="str">
        <f>IF(J899&lt;&gt;1,"",IF(I899="SBJ","CB","?"))</f>
        <v> </v>
      </c>
      <c r="I899" s="26" t="str">
        <f>IF(OR(E899="",E899="!!!",F899="NEW"),"",INDEX(B898:B$2,-1+SUMPRODUCT(MAX(ROW(E898:E$2)*(E899=E898:E$2)))))</f>
        <v> </v>
      </c>
      <c r="J899" s="26" t="str">
        <f>IF(OR(E899="",E899="!!!",F899="NEW"),"",COUNTBLANK(OFFSET(A$1,,,SUMPRODUCT(MAX(ROW(E$2:E899)*(E899=E$2:E899)))))-COUNTBLANK(OFFSET(A$1,,,SUMPRODUCT(MAX(ROW(E$1:E898)*(E2=E$1:E898))))))</f>
        <v> </v>
      </c>
      <c r="K899" s="26" t="str">
        <f>IF(OR(E899="",E899="!!!",F899="NEW"),"",INDEX(J$1:J898,SUMPRODUCT(MAX(ROW(E$1:E898)*(E899=E$1:E898)))))</f>
        <v> </v>
      </c>
      <c r="L899" s="27"/>
    </row>
    <row r="900" spans="1:12">
      <c r="A900" s="20" t="s">
        <v>1169</v>
      </c>
      <c r="E900" s="22">
        <f>IF(D900="?OLD","!!!","")</f>
        <v/>
      </c>
      <c r="F900" s="23" t="str">
        <f>IF(OR(E900="",E900="!!!"),"",IF(NOT(ISNA(VLOOKUP(E900,E$1:E899,1,FALSE()))),"OLD",IF(AND(E900&lt;&gt;"",E900&lt;&gt;"!!!"),"NEW","")))</f>
        <v> </v>
      </c>
      <c r="G900" s="24" t="str">
        <f>IF(OR(E900="",E900="!!!"),"",IF(OR(J900=0,AND(J900=1,K900=1),AND(J900=1,I900="SBJ"),AND(J900=1,I900=0)),"?IN_FOCUS",IF(J900&lt;=2,"?ACTIVATED",IF(J900&lt;&gt;"","?FAMILIAR",IF(F900="NEW",IF(ISNA(VLOOKUP(E900,#REF!,1,FALSE())),"?TYPE_IDENTIFIABLE","?REFERENTIAL"),"_")))))</f>
        <v> </v>
      </c>
      <c r="H900" s="25" t="str">
        <f>IF(J900&lt;&gt;1,"",IF(I900="SBJ","CB","?"))</f>
        <v> </v>
      </c>
      <c r="I900" s="26" t="str">
        <f>IF(OR(E900="",E900="!!!",F900="NEW"),"",INDEX(B899:B$2,-1+SUMPRODUCT(MAX(ROW(E899:E$2)*(E900=E899:E$2)))))</f>
        <v> </v>
      </c>
      <c r="J900" s="26" t="str">
        <f>IF(OR(E900="",E900="!!!",F900="NEW"),"",COUNTBLANK(OFFSET(A$1,,,SUMPRODUCT(MAX(ROW(E$2:E900)*(E900=E$2:E900)))))-COUNTBLANK(OFFSET(A$1,,,SUMPRODUCT(MAX(ROW(E$1:E899)*(E2=E$1:E899))))))</f>
        <v> </v>
      </c>
      <c r="K900" s="26" t="str">
        <f>IF(OR(E900="",E900="!!!",F900="NEW"),"",INDEX(J$1:J899,SUMPRODUCT(MAX(ROW(E$1:E899)*(E900=E$1:E899)))))</f>
        <v> </v>
      </c>
      <c r="L900" s="27"/>
    </row>
    <row r="901" spans="1:12">
      <c r="A901" s="20" t="s">
        <v>12</v>
      </c>
      <c r="E901" s="22">
        <f>IF(D901="?OLD","!!!","")</f>
        <v/>
      </c>
      <c r="F901" s="23" t="str">
        <f>IF(OR(E901="",E901="!!!"),"",IF(NOT(ISNA(VLOOKUP(E901,E$1:E900,1,FALSE()))),"OLD",IF(AND(E901&lt;&gt;"",E901&lt;&gt;"!!!"),"NEW","")))</f>
        <v> </v>
      </c>
      <c r="G901" s="24" t="str">
        <f>IF(OR(E901="",E901="!!!"),"",IF(OR(J901=0,AND(J901=1,K901=1),AND(J901=1,I901="SBJ"),AND(J901=1,I901=0)),"?IN_FOCUS",IF(J901&lt;=2,"?ACTIVATED",IF(J901&lt;&gt;"","?FAMILIAR",IF(F901="NEW",IF(ISNA(VLOOKUP(E901,#REF!,1,FALSE())),"?TYPE_IDENTIFIABLE","?REFERENTIAL"),"_")))))</f>
        <v> </v>
      </c>
      <c r="H901" s="25" t="str">
        <f>IF(J901&lt;&gt;1,"",IF(I901="SBJ","CB","?"))</f>
        <v> </v>
      </c>
      <c r="I901" s="26" t="str">
        <f>IF(OR(E901="",E901="!!!",F901="NEW"),"",INDEX(B900:B$2,-1+SUMPRODUCT(MAX(ROW(E900:E$2)*(E901=E900:E$2)))))</f>
        <v> </v>
      </c>
      <c r="J901" s="26" t="str">
        <f>IF(OR(E901="",E901="!!!",F901="NEW"),"",COUNTBLANK(OFFSET(A$1,,,SUMPRODUCT(MAX(ROW(E$2:E901)*(E901=E$2:E901)))))-COUNTBLANK(OFFSET(A$1,,,SUMPRODUCT(MAX(ROW(E$1:E900)*(E2=E$1:E900))))))</f>
        <v> </v>
      </c>
      <c r="K901" s="26" t="str">
        <f>IF(OR(E901="",E901="!!!",F901="NEW"),"",INDEX(J$1:J900,SUMPRODUCT(MAX(ROW(E$1:E900)*(E901=E$1:E900)))))</f>
        <v> </v>
      </c>
      <c r="L901" s="27"/>
    </row>
    <row r="902" spans="1:12">
      <c r="A902" s="20" t="s">
        <v>785</v>
      </c>
      <c r="E902" s="22">
        <f>IF(D902="?OLD","!!!","")</f>
        <v/>
      </c>
      <c r="F902" s="23" t="str">
        <f>IF(OR(E902="",E902="!!!"),"",IF(NOT(ISNA(VLOOKUP(E902,E$1:E901,1,FALSE()))),"OLD",IF(AND(E902&lt;&gt;"",E902&lt;&gt;"!!!"),"NEW","")))</f>
        <v> </v>
      </c>
      <c r="G902" s="24" t="str">
        <f>IF(OR(E902="",E902="!!!"),"",IF(OR(J902=0,AND(J902=1,K902=1),AND(J902=1,I902="SBJ"),AND(J902=1,I902=0)),"?IN_FOCUS",IF(J902&lt;=2,"?ACTIVATED",IF(J902&lt;&gt;"","?FAMILIAR",IF(F902="NEW",IF(ISNA(VLOOKUP(E902,#REF!,1,FALSE())),"?TYPE_IDENTIFIABLE","?REFERENTIAL"),"_")))))</f>
        <v> </v>
      </c>
      <c r="H902" s="25" t="str">
        <f>IF(J902&lt;&gt;1,"",IF(I902="SBJ","CB","?"))</f>
        <v> </v>
      </c>
      <c r="I902" s="26" t="str">
        <f>IF(OR(E902="",E902="!!!",F902="NEW"),"",INDEX(B901:B$2,-1+SUMPRODUCT(MAX(ROW(E901:E$2)*(E902=E901:E$2)))))</f>
        <v> </v>
      </c>
      <c r="J902" s="26" t="str">
        <f>IF(OR(E902="",E902="!!!",F902="NEW"),"",COUNTBLANK(OFFSET(A$1,,,SUMPRODUCT(MAX(ROW(E$2:E902)*(E902=E$2:E902)))))-COUNTBLANK(OFFSET(A$1,,,SUMPRODUCT(MAX(ROW(E$1:E901)*(E2=E$1:E901))))))</f>
        <v> </v>
      </c>
      <c r="K902" s="26" t="str">
        <f>IF(OR(E902="",E902="!!!",F902="NEW"),"",INDEX(J$1:J901,SUMPRODUCT(MAX(ROW(E$1:E901)*(E902=E$1:E901)))))</f>
        <v> </v>
      </c>
      <c r="L902" s="27"/>
    </row>
    <row r="903" spans="1:12">
      <c r="A903" s="20" t="s">
        <v>1170</v>
      </c>
      <c r="E903" s="22">
        <f>IF(D903="?OLD","!!!","")</f>
        <v/>
      </c>
      <c r="F903" s="23" t="str">
        <f>IF(OR(E903="",E903="!!!"),"",IF(NOT(ISNA(VLOOKUP(E903,E$1:E902,1,FALSE()))),"OLD",IF(AND(E903&lt;&gt;"",E903&lt;&gt;"!!!"),"NEW","")))</f>
        <v> </v>
      </c>
      <c r="G903" s="24" t="str">
        <f>IF(OR(E903="",E903="!!!"),"",IF(OR(J903=0,AND(J903=1,K903=1),AND(J903=1,I903="SBJ"),AND(J903=1,I903=0)),"?IN_FOCUS",IF(J903&lt;=2,"?ACTIVATED",IF(J903&lt;&gt;"","?FAMILIAR",IF(F903="NEW",IF(ISNA(VLOOKUP(E903,#REF!,1,FALSE())),"?TYPE_IDENTIFIABLE","?REFERENTIAL"),"_")))))</f>
        <v> </v>
      </c>
      <c r="H903" s="25" t="str">
        <f>IF(J903&lt;&gt;1,"",IF(I903="SBJ","CB","?"))</f>
        <v> </v>
      </c>
      <c r="I903" s="26" t="str">
        <f>IF(OR(E903="",E903="!!!",F903="NEW"),"",INDEX(B902:B$2,-1+SUMPRODUCT(MAX(ROW(E902:E$2)*(E903=E902:E$2)))))</f>
        <v> </v>
      </c>
      <c r="J903" s="26" t="str">
        <f>IF(OR(E903="",E903="!!!",F903="NEW"),"",COUNTBLANK(OFFSET(A$1,,,SUMPRODUCT(MAX(ROW(E$2:E903)*(E903=E$2:E903)))))-COUNTBLANK(OFFSET(A$1,,,SUMPRODUCT(MAX(ROW(E$1:E902)*(E2=E$1:E902))))))</f>
        <v> </v>
      </c>
      <c r="K903" s="26" t="str">
        <f>IF(OR(E903="",E903="!!!",F903="NEW"),"",INDEX(J$1:J902,SUMPRODUCT(MAX(ROW(E$1:E902)*(E903=E$1:E902)))))</f>
        <v> </v>
      </c>
      <c r="L903" s="27"/>
    </row>
    <row r="904" spans="1:12">
      <c r="A904" s="20" t="s">
        <v>916</v>
      </c>
      <c r="E904" s="22">
        <f>IF(D904="?OLD","!!!","")</f>
        <v/>
      </c>
      <c r="F904" s="23" t="str">
        <f>IF(OR(E904="",E904="!!!"),"",IF(NOT(ISNA(VLOOKUP(E904,E$1:E903,1,FALSE()))),"OLD",IF(AND(E904&lt;&gt;"",E904&lt;&gt;"!!!"),"NEW","")))</f>
        <v> </v>
      </c>
      <c r="G904" s="24" t="str">
        <f>IF(OR(E904="",E904="!!!"),"",IF(OR(J904=0,AND(J904=1,K904=1),AND(J904=1,I904="SBJ"),AND(J904=1,I904=0)),"?IN_FOCUS",IF(J904&lt;=2,"?ACTIVATED",IF(J904&lt;&gt;"","?FAMILIAR",IF(F904="NEW",IF(ISNA(VLOOKUP(E904,#REF!,1,FALSE())),"?TYPE_IDENTIFIABLE","?REFERENTIAL"),"_")))))</f>
        <v> </v>
      </c>
      <c r="H904" s="25" t="str">
        <f>IF(J904&lt;&gt;1,"",IF(I904="SBJ","CB","?"))</f>
        <v> </v>
      </c>
      <c r="I904" s="26" t="str">
        <f>IF(OR(E904="",E904="!!!",F904="NEW"),"",INDEX(B903:B$2,-1+SUMPRODUCT(MAX(ROW(E903:E$2)*(E904=E903:E$2)))))</f>
        <v> </v>
      </c>
      <c r="J904" s="26" t="str">
        <f>IF(OR(E904="",E904="!!!",F904="NEW"),"",COUNTBLANK(OFFSET(A$1,,,SUMPRODUCT(MAX(ROW(E$2:E904)*(E904=E$2:E904)))))-COUNTBLANK(OFFSET(A$1,,,SUMPRODUCT(MAX(ROW(E$1:E903)*(E2=E$1:E903))))))</f>
        <v> </v>
      </c>
      <c r="K904" s="26" t="str">
        <f>IF(OR(E904="",E904="!!!",F904="NEW"),"",INDEX(J$1:J903,SUMPRODUCT(MAX(ROW(E$1:E903)*(E904=E$1:E903)))))</f>
        <v> </v>
      </c>
      <c r="L904" s="27"/>
    </row>
    <row r="905" spans="1:12">
      <c r="A905" s="20" t="s">
        <v>859</v>
      </c>
      <c r="B905" s="21" t="s">
        <v>796</v>
      </c>
      <c r="C905" s="21" t="s">
        <v>789</v>
      </c>
      <c r="D905" s="21" t="s">
        <v>730</v>
      </c>
      <c r="E905" s="22">
        <f>IF(D905="?OLD","!!!","")</f>
        <v/>
      </c>
      <c r="F905" s="23" t="str">
        <f>IF(OR(E905="",E905="!!!"),"",IF(NOT(ISNA(VLOOKUP(E905,E$1:E904,1,FALSE()))),"OLD",IF(AND(E905&lt;&gt;"",E905&lt;&gt;"!!!"),"NEW","")))</f>
        <v> </v>
      </c>
      <c r="G905" s="24" t="str">
        <f>IF(OR(E905="",E905="!!!"),"",IF(OR(J905=0,AND(J905=1,K905=1),AND(J905=1,I905="SBJ"),AND(J905=1,I905=0)),"?IN_FOCUS",IF(J905&lt;=2,"?ACTIVATED",IF(J905&lt;&gt;"","?FAMILIAR",IF(F905="NEW",IF(ISNA(VLOOKUP(E905,#REF!,1,FALSE())),"?TYPE_IDENTIFIABLE","?REFERENTIAL"),"_")))))</f>
        <v> </v>
      </c>
      <c r="H905" s="25" t="str">
        <f>IF(J905&lt;&gt;1,"",IF(I905="SBJ","CB","?"))</f>
        <v> </v>
      </c>
      <c r="I905" s="26" t="str">
        <f>IF(OR(E905="",E905="!!!",F905="NEW"),"",INDEX(B904:B$2,-1+SUMPRODUCT(MAX(ROW(E904:E$2)*(E905=E904:E$2)))))</f>
        <v> </v>
      </c>
      <c r="J905" s="26" t="str">
        <f>IF(OR(E905="",E905="!!!",F905="NEW"),"",COUNTBLANK(OFFSET(A$1,,,SUMPRODUCT(MAX(ROW(E$2:E905)*(E905=E$2:E905)))))-COUNTBLANK(OFFSET(A$1,,,SUMPRODUCT(MAX(ROW(E$1:E904)*(E2=E$1:E904))))))</f>
        <v> </v>
      </c>
      <c r="K905" s="26" t="str">
        <f>IF(OR(E905="",E905="!!!",F905="NEW"),"",INDEX(J$1:J904,SUMPRODUCT(MAX(ROW(E$1:E904)*(E905=E$1:E904)))))</f>
        <v> </v>
      </c>
      <c r="L905" s="27"/>
    </row>
    <row r="906" spans="1:12">
      <c r="A906" s="20" t="s">
        <v>944</v>
      </c>
      <c r="E906" s="22">
        <f>IF(D906="?OLD","!!!","")</f>
        <v/>
      </c>
      <c r="F906" s="23" t="str">
        <f>IF(OR(E906="",E906="!!!"),"",IF(NOT(ISNA(VLOOKUP(E906,E$1:E905,1,FALSE()))),"OLD",IF(AND(E906&lt;&gt;"",E906&lt;&gt;"!!!"),"NEW","")))</f>
        <v> </v>
      </c>
      <c r="G906" s="24" t="str">
        <f>IF(OR(E906="",E906="!!!"),"",IF(OR(J906=0,AND(J906=1,K906=1),AND(J906=1,I906="SBJ"),AND(J906=1,I906=0)),"?IN_FOCUS",IF(J906&lt;=2,"?ACTIVATED",IF(J906&lt;&gt;"","?FAMILIAR",IF(F906="NEW",IF(ISNA(VLOOKUP(E906,#REF!,1,FALSE())),"?TYPE_IDENTIFIABLE","?REFERENTIAL"),"_")))))</f>
        <v> </v>
      </c>
      <c r="H906" s="25" t="str">
        <f>IF(J906&lt;&gt;1,"",IF(I906="SBJ","CB","?"))</f>
        <v> </v>
      </c>
      <c r="I906" s="26" t="str">
        <f>IF(OR(E906="",E906="!!!",F906="NEW"),"",INDEX(B905:B$2,-1+SUMPRODUCT(MAX(ROW(E905:E$2)*(E906=E905:E$2)))))</f>
        <v> </v>
      </c>
      <c r="J906" s="26" t="str">
        <f>IF(OR(E906="",E906="!!!",F906="NEW"),"",COUNTBLANK(OFFSET(A$1,,,SUMPRODUCT(MAX(ROW(E$2:E906)*(E906=E$2:E906)))))-COUNTBLANK(OFFSET(A$1,,,SUMPRODUCT(MAX(ROW(E$1:E905)*(E2=E$1:E905))))))</f>
        <v> </v>
      </c>
      <c r="K906" s="26" t="str">
        <f>IF(OR(E906="",E906="!!!",F906="NEW"),"",INDEX(J$1:J905,SUMPRODUCT(MAX(ROW(E$1:E905)*(E906=E$1:E905)))))</f>
        <v> </v>
      </c>
      <c r="L906" s="27"/>
    </row>
    <row r="907" spans="1:12">
      <c r="A907" s="20" t="s">
        <v>762</v>
      </c>
      <c r="E907" s="22">
        <f>IF(D907="?OLD","!!!","")</f>
        <v/>
      </c>
      <c r="F907" s="23" t="str">
        <f>IF(OR(E907="",E907="!!!"),"",IF(NOT(ISNA(VLOOKUP(E907,E$1:E906,1,FALSE()))),"OLD",IF(AND(E907&lt;&gt;"",E907&lt;&gt;"!!!"),"NEW","")))</f>
        <v> </v>
      </c>
      <c r="G907" s="24" t="str">
        <f>IF(OR(E907="",E907="!!!"),"",IF(OR(J907=0,AND(J907=1,K907=1),AND(J907=1,I907="SBJ"),AND(J907=1,I907=0)),"?IN_FOCUS",IF(J907&lt;=2,"?ACTIVATED",IF(J907&lt;&gt;"","?FAMILIAR",IF(F907="NEW",IF(ISNA(VLOOKUP(E907,#REF!,1,FALSE())),"?TYPE_IDENTIFIABLE","?REFERENTIAL"),"_")))))</f>
        <v> </v>
      </c>
      <c r="H907" s="25" t="str">
        <f>IF(J907&lt;&gt;1,"",IF(I907="SBJ","CB","?"))</f>
        <v> </v>
      </c>
      <c r="I907" s="26" t="str">
        <f>IF(OR(E907="",E907="!!!",F907="NEW"),"",INDEX(B906:B$2,-1+SUMPRODUCT(MAX(ROW(E906:E$2)*(E907=E906:E$2)))))</f>
        <v> </v>
      </c>
      <c r="J907" s="26" t="str">
        <f>IF(OR(E907="",E907="!!!",F907="NEW"),"",COUNTBLANK(OFFSET(A$1,,,SUMPRODUCT(MAX(ROW(E$2:E907)*(E907=E$2:E907)))))-COUNTBLANK(OFFSET(A$1,,,SUMPRODUCT(MAX(ROW(E$1:E906)*(E2=E$1:E906))))))</f>
        <v> </v>
      </c>
      <c r="K907" s="26" t="str">
        <f>IF(OR(E907="",E907="!!!",F907="NEW"),"",INDEX(J$1:J906,SUMPRODUCT(MAX(ROW(E$1:E906)*(E907=E$1:E906)))))</f>
        <v> </v>
      </c>
      <c r="L907" s="27"/>
    </row>
    <row r="908" spans="1:12">
      <c r="A908" s="20" t="s">
        <v>1171</v>
      </c>
      <c r="B908" s="21" t="s">
        <v>791</v>
      </c>
      <c r="C908" s="21" t="s">
        <v>737</v>
      </c>
      <c r="E908" s="22">
        <f>IF(D908="?OLD","!!!","")</f>
        <v/>
      </c>
      <c r="F908" s="23" t="str">
        <f>IF(OR(E908="",E908="!!!"),"",IF(NOT(ISNA(VLOOKUP(E908,E$1:E907,1,FALSE()))),"OLD",IF(AND(E908&lt;&gt;"",E908&lt;&gt;"!!!"),"NEW","")))</f>
        <v> </v>
      </c>
      <c r="G908" s="24" t="str">
        <f>IF(OR(E908="",E908="!!!"),"",IF(OR(J908=0,AND(J908=1,K908=1),AND(J908=1,I908="SBJ"),AND(J908=1,I908=0)),"?IN_FOCUS",IF(J908&lt;=2,"?ACTIVATED",IF(J908&lt;&gt;"","?FAMILIAR",IF(F908="NEW",IF(ISNA(VLOOKUP(E908,#REF!,1,FALSE())),"?TYPE_IDENTIFIABLE","?REFERENTIAL"),"_")))))</f>
        <v> </v>
      </c>
      <c r="H908" s="25" t="str">
        <f>IF(J908&lt;&gt;1,"",IF(I908="SBJ","CB","?"))</f>
        <v> </v>
      </c>
      <c r="I908" s="26" t="str">
        <f>IF(OR(E908="",E908="!!!",F908="NEW"),"",INDEX(B907:B$2,-1+SUMPRODUCT(MAX(ROW(E907:E$2)*(E908=E907:E$2)))))</f>
        <v> </v>
      </c>
      <c r="J908" s="26" t="str">
        <f>IF(OR(E908="",E908="!!!",F908="NEW"),"",COUNTBLANK(OFFSET(A$1,,,SUMPRODUCT(MAX(ROW(E$2:E908)*(E908=E$2:E908)))))-COUNTBLANK(OFFSET(A$1,,,SUMPRODUCT(MAX(ROW(E$1:E907)*(E2=E$1:E907))))))</f>
        <v> </v>
      </c>
      <c r="K908" s="26" t="str">
        <f>IF(OR(E908="",E908="!!!",F908="NEW"),"",INDEX(J$1:J907,SUMPRODUCT(MAX(ROW(E$1:E907)*(E908=E$1:E907)))))</f>
        <v> </v>
      </c>
      <c r="L908" s="27"/>
    </row>
    <row r="909" spans="1:12">
      <c r="A909" s="20" t="s">
        <v>1172</v>
      </c>
      <c r="E909" s="22">
        <f>IF(D909="?OLD","!!!","")</f>
        <v/>
      </c>
      <c r="F909" s="23" t="str">
        <f>IF(OR(E909="",E909="!!!"),"",IF(NOT(ISNA(VLOOKUP(E909,E$1:E908,1,FALSE()))),"OLD",IF(AND(E909&lt;&gt;"",E909&lt;&gt;"!!!"),"NEW","")))</f>
        <v> </v>
      </c>
      <c r="G909" s="24" t="str">
        <f>IF(OR(E909="",E909="!!!"),"",IF(OR(J909=0,AND(J909=1,K909=1),AND(J909=1,I909="SBJ"),AND(J909=1,I909=0)),"?IN_FOCUS",IF(J909&lt;=2,"?ACTIVATED",IF(J909&lt;&gt;"","?FAMILIAR",IF(F909="NEW",IF(ISNA(VLOOKUP(E909,#REF!,1,FALSE())),"?TYPE_IDENTIFIABLE","?REFERENTIAL"),"_")))))</f>
        <v> </v>
      </c>
      <c r="H909" s="25" t="str">
        <f>IF(J909&lt;&gt;1,"",IF(I909="SBJ","CB","?"))</f>
        <v> </v>
      </c>
      <c r="I909" s="26" t="str">
        <f>IF(OR(E909="",E909="!!!",F909="NEW"),"",INDEX(B908:B$2,-1+SUMPRODUCT(MAX(ROW(E908:E$2)*(E909=E908:E$2)))))</f>
        <v> </v>
      </c>
      <c r="J909" s="26" t="str">
        <f>IF(OR(E909="",E909="!!!",F909="NEW"),"",COUNTBLANK(OFFSET(A$1,,,SUMPRODUCT(MAX(ROW(E$2:E909)*(E909=E$2:E909)))))-COUNTBLANK(OFFSET(A$1,,,SUMPRODUCT(MAX(ROW(E$1:E908)*(E2=E$1:E908))))))</f>
        <v> </v>
      </c>
      <c r="K909" s="26" t="str">
        <f>IF(OR(E909="",E909="!!!",F909="NEW"),"",INDEX(J$1:J908,SUMPRODUCT(MAX(ROW(E$1:E908)*(E909=E$1:E908)))))</f>
        <v> </v>
      </c>
      <c r="L909" s="27"/>
    </row>
    <row r="910" spans="1:12">
      <c r="A910" s="20" t="s">
        <v>1173</v>
      </c>
      <c r="B910" s="21" t="s">
        <v>796</v>
      </c>
      <c r="C910" s="21" t="s">
        <v>748</v>
      </c>
      <c r="E910" s="22">
        <f>IF(D910="?OLD","!!!","")</f>
        <v/>
      </c>
      <c r="F910" s="23" t="str">
        <f>IF(OR(E910="",E910="!!!"),"",IF(NOT(ISNA(VLOOKUP(E910,E$1:E909,1,FALSE()))),"OLD",IF(AND(E910&lt;&gt;"",E910&lt;&gt;"!!!"),"NEW","")))</f>
        <v> </v>
      </c>
      <c r="G910" s="24" t="str">
        <f>IF(OR(E910="",E910="!!!"),"",IF(OR(J910=0,AND(J910=1,K910=1),AND(J910=1,I910="SBJ"),AND(J910=1,I910=0)),"?IN_FOCUS",IF(J910&lt;=2,"?ACTIVATED",IF(J910&lt;&gt;"","?FAMILIAR",IF(F910="NEW",IF(ISNA(VLOOKUP(E910,#REF!,1,FALSE())),"?TYPE_IDENTIFIABLE","?REFERENTIAL"),"_")))))</f>
        <v> </v>
      </c>
      <c r="H910" s="25" t="str">
        <f>IF(J910&lt;&gt;1,"",IF(I910="SBJ","CB","?"))</f>
        <v> </v>
      </c>
      <c r="I910" s="26" t="str">
        <f>IF(OR(E910="",E910="!!!",F910="NEW"),"",INDEX(B909:B$2,-1+SUMPRODUCT(MAX(ROW(E909:E$2)*(E910=E909:E$2)))))</f>
        <v> </v>
      </c>
      <c r="J910" s="26" t="str">
        <f>IF(OR(E910="",E910="!!!",F910="NEW"),"",COUNTBLANK(OFFSET(A$1,,,SUMPRODUCT(MAX(ROW(E$2:E910)*(E910=E$2:E910)))))-COUNTBLANK(OFFSET(A$1,,,SUMPRODUCT(MAX(ROW(E$1:E909)*(E2=E$1:E909))))))</f>
        <v> </v>
      </c>
      <c r="K910" s="26" t="str">
        <f>IF(OR(E910="",E910="!!!",F910="NEW"),"",INDEX(J$1:J909,SUMPRODUCT(MAX(ROW(E$1:E909)*(E910=E$1:E909)))))</f>
        <v> </v>
      </c>
      <c r="L910" s="27"/>
    </row>
    <row r="911" spans="1:12">
      <c r="A911" s="20" t="s">
        <v>62</v>
      </c>
      <c r="E911" s="22">
        <f>IF(D911="?OLD","!!!","")</f>
        <v/>
      </c>
      <c r="F911" s="23" t="str">
        <f>IF(OR(E911="",E911="!!!"),"",IF(NOT(ISNA(VLOOKUP(E911,E$1:E910,1,FALSE()))),"OLD",IF(AND(E911&lt;&gt;"",E911&lt;&gt;"!!!"),"NEW","")))</f>
        <v> </v>
      </c>
      <c r="G911" s="24" t="str">
        <f>IF(OR(E911="",E911="!!!"),"",IF(OR(J911=0,AND(J911=1,K911=1),AND(J911=1,I911="SBJ"),AND(J911=1,I911=0)),"?IN_FOCUS",IF(J911&lt;=2,"?ACTIVATED",IF(J911&lt;&gt;"","?FAMILIAR",IF(F911="NEW",IF(ISNA(VLOOKUP(E911,#REF!,1,FALSE())),"?TYPE_IDENTIFIABLE","?REFERENTIAL"),"_")))))</f>
        <v> </v>
      </c>
      <c r="H911" s="25" t="str">
        <f>IF(J911&lt;&gt;1,"",IF(I911="SBJ","CB","?"))</f>
        <v> </v>
      </c>
      <c r="I911" s="26" t="str">
        <f>IF(OR(E911="",E911="!!!",F911="NEW"),"",INDEX(B910:B$2,-1+SUMPRODUCT(MAX(ROW(E910:E$2)*(E911=E910:E$2)))))</f>
        <v> </v>
      </c>
      <c r="J911" s="26" t="str">
        <f>IF(OR(E911="",E911="!!!",F911="NEW"),"",COUNTBLANK(OFFSET(A$1,,,SUMPRODUCT(MAX(ROW(E$2:E911)*(E911=E$2:E911)))))-COUNTBLANK(OFFSET(A$1,,,SUMPRODUCT(MAX(ROW(E$1:E910)*(E2=E$1:E910))))))</f>
        <v> </v>
      </c>
      <c r="K911" s="26" t="str">
        <f>IF(OR(E911="",E911="!!!",F911="NEW"),"",INDEX(J$1:J910,SUMPRODUCT(MAX(ROW(E$1:E910)*(E911=E$1:E910)))))</f>
        <v> </v>
      </c>
      <c r="L911" s="27"/>
    </row>
    <row r="912" spans="1:12">
      <c r="A912" s="20" t="s">
        <v>12</v>
      </c>
      <c r="E912" s="22">
        <f>IF(D912="?OLD","!!!","")</f>
        <v/>
      </c>
      <c r="F912" s="23" t="str">
        <f>IF(OR(E912="",E912="!!!"),"",IF(NOT(ISNA(VLOOKUP(E912,E$1:E911,1,FALSE()))),"OLD",IF(AND(E912&lt;&gt;"",E912&lt;&gt;"!!!"),"NEW","")))</f>
        <v> </v>
      </c>
      <c r="G912" s="24" t="str">
        <f>IF(OR(E912="",E912="!!!"),"",IF(OR(J912=0,AND(J912=1,K912=1),AND(J912=1,I912="SBJ"),AND(J912=1,I912=0)),"?IN_FOCUS",IF(J912&lt;=2,"?ACTIVATED",IF(J912&lt;&gt;"","?FAMILIAR",IF(F912="NEW",IF(ISNA(VLOOKUP(E912,#REF!,1,FALSE())),"?TYPE_IDENTIFIABLE","?REFERENTIAL"),"_")))))</f>
        <v> </v>
      </c>
      <c r="H912" s="25" t="str">
        <f>IF(J912&lt;&gt;1,"",IF(I912="SBJ","CB","?"))</f>
        <v> </v>
      </c>
      <c r="I912" s="26" t="str">
        <f>IF(OR(E912="",E912="!!!",F912="NEW"),"",INDEX(B911:B$2,-1+SUMPRODUCT(MAX(ROW(E911:E$2)*(E912=E911:E$2)))))</f>
        <v> </v>
      </c>
      <c r="J912" s="26" t="str">
        <f>IF(OR(E912="",E912="!!!",F912="NEW"),"",COUNTBLANK(OFFSET(A$1,,,SUMPRODUCT(MAX(ROW(E$2:E912)*(E912=E$2:E912)))))-COUNTBLANK(OFFSET(A$1,,,SUMPRODUCT(MAX(ROW(E$1:E911)*(E2=E$1:E911))))))</f>
        <v> </v>
      </c>
      <c r="K912" s="26" t="str">
        <f>IF(OR(E912="",E912="!!!",F912="NEW"),"",INDEX(J$1:J911,SUMPRODUCT(MAX(ROW(E$1:E911)*(E912=E$1:E911)))))</f>
        <v> </v>
      </c>
      <c r="L912" s="27"/>
    </row>
    <row r="913" spans="1:12">
      <c r="A913" s="20" t="s">
        <v>759</v>
      </c>
      <c r="E913" s="22">
        <f>IF(D913="?OLD","!!!","")</f>
        <v/>
      </c>
      <c r="F913" s="23" t="str">
        <f>IF(OR(E913="",E913="!!!"),"",IF(NOT(ISNA(VLOOKUP(E913,E$1:E912,1,FALSE()))),"OLD",IF(AND(E913&lt;&gt;"",E913&lt;&gt;"!!!"),"NEW","")))</f>
        <v> </v>
      </c>
      <c r="G913" s="24" t="str">
        <f>IF(OR(E913="",E913="!!!"),"",IF(OR(J913=0,AND(J913=1,K913=1),AND(J913=1,I913="SBJ"),AND(J913=1,I913=0)),"?IN_FOCUS",IF(J913&lt;=2,"?ACTIVATED",IF(J913&lt;&gt;"","?FAMILIAR",IF(F913="NEW",IF(ISNA(VLOOKUP(E913,#REF!,1,FALSE())),"?TYPE_IDENTIFIABLE","?REFERENTIAL"),"_")))))</f>
        <v> </v>
      </c>
      <c r="H913" s="25" t="str">
        <f>IF(J913&lt;&gt;1,"",IF(I913="SBJ","CB","?"))</f>
        <v> </v>
      </c>
      <c r="I913" s="26" t="str">
        <f>IF(OR(E913="",E913="!!!",F913="NEW"),"",INDEX(B912:B$2,-1+SUMPRODUCT(MAX(ROW(E912:E$2)*(E913=E912:E$2)))))</f>
        <v> </v>
      </c>
      <c r="J913" s="26" t="str">
        <f>IF(OR(E913="",E913="!!!",F913="NEW"),"",COUNTBLANK(OFFSET(A$1,,,SUMPRODUCT(MAX(ROW(E$2:E913)*(E913=E$2:E913)))))-COUNTBLANK(OFFSET(A$1,,,SUMPRODUCT(MAX(ROW(E$1:E912)*(E2=E$1:E912))))))</f>
        <v> </v>
      </c>
      <c r="K913" s="26" t="str">
        <f>IF(OR(E913="",E913="!!!",F913="NEW"),"",INDEX(J$1:J912,SUMPRODUCT(MAX(ROW(E$1:E912)*(E913=E$1:E912)))))</f>
        <v> </v>
      </c>
      <c r="L913" s="27"/>
    </row>
    <row r="914" spans="1:12">
      <c r="A914" s="20" t="s">
        <v>1174</v>
      </c>
      <c r="E914" s="22">
        <f>IF(D914="?OLD","!!!","")</f>
        <v/>
      </c>
      <c r="F914" s="23" t="str">
        <f>IF(OR(E914="",E914="!!!"),"",IF(NOT(ISNA(VLOOKUP(E914,E$1:E913,1,FALSE()))),"OLD",IF(AND(E914&lt;&gt;"",E914&lt;&gt;"!!!"),"NEW","")))</f>
        <v> </v>
      </c>
      <c r="G914" s="24" t="str">
        <f>IF(OR(E914="",E914="!!!"),"",IF(OR(J914=0,AND(J914=1,K914=1),AND(J914=1,I914="SBJ"),AND(J914=1,I914=0)),"?IN_FOCUS",IF(J914&lt;=2,"?ACTIVATED",IF(J914&lt;&gt;"","?FAMILIAR",IF(F914="NEW",IF(ISNA(VLOOKUP(E914,#REF!,1,FALSE())),"?TYPE_IDENTIFIABLE","?REFERENTIAL"),"_")))))</f>
        <v> </v>
      </c>
      <c r="H914" s="25" t="str">
        <f>IF(J914&lt;&gt;1,"",IF(I914="SBJ","CB","?"))</f>
        <v> </v>
      </c>
      <c r="I914" s="26" t="str">
        <f>IF(OR(E914="",E914="!!!",F914="NEW"),"",INDEX(B913:B$2,-1+SUMPRODUCT(MAX(ROW(E913:E$2)*(E914=E913:E$2)))))</f>
        <v> </v>
      </c>
      <c r="J914" s="26" t="str">
        <f>IF(OR(E914="",E914="!!!",F914="NEW"),"",COUNTBLANK(OFFSET(A$1,,,SUMPRODUCT(MAX(ROW(E$2:E914)*(E914=E$2:E914)))))-COUNTBLANK(OFFSET(A$1,,,SUMPRODUCT(MAX(ROW(E$1:E913)*(E2=E$1:E913))))))</f>
        <v> </v>
      </c>
      <c r="K914" s="26" t="str">
        <f>IF(OR(E914="",E914="!!!",F914="NEW"),"",INDEX(J$1:J913,SUMPRODUCT(MAX(ROW(E$1:E913)*(E914=E$1:E913)))))</f>
        <v> </v>
      </c>
      <c r="L914" s="27"/>
    </row>
    <row r="915" spans="1:12">
      <c r="A915" s="20" t="s">
        <v>859</v>
      </c>
      <c r="B915" s="21" t="s">
        <v>788</v>
      </c>
      <c r="C915" s="21" t="s">
        <v>789</v>
      </c>
      <c r="D915" s="21" t="s">
        <v>730</v>
      </c>
      <c r="E915" s="22">
        <f>IF(D915="?OLD","!!!","")</f>
        <v/>
      </c>
      <c r="F915" s="23" t="str">
        <f>IF(OR(E915="",E915="!!!"),"",IF(NOT(ISNA(VLOOKUP(E915,E$1:E914,1,FALSE()))),"OLD",IF(AND(E915&lt;&gt;"",E915&lt;&gt;"!!!"),"NEW","")))</f>
        <v> </v>
      </c>
      <c r="G915" s="24" t="str">
        <f>IF(OR(E915="",E915="!!!"),"",IF(OR(J915=0,AND(J915=1,K915=1),AND(J915=1,I915="SBJ"),AND(J915=1,I915=0)),"?IN_FOCUS",IF(J915&lt;=2,"?ACTIVATED",IF(J915&lt;&gt;"","?FAMILIAR",IF(F915="NEW",IF(ISNA(VLOOKUP(E915,#REF!,1,FALSE())),"?TYPE_IDENTIFIABLE","?REFERENTIAL"),"_")))))</f>
        <v> </v>
      </c>
      <c r="H915" s="25" t="str">
        <f>IF(J915&lt;&gt;1,"",IF(I915="SBJ","CB","?"))</f>
        <v> </v>
      </c>
      <c r="I915" s="26" t="str">
        <f>IF(OR(E915="",E915="!!!",F915="NEW"),"",INDEX(B914:B$2,-1+SUMPRODUCT(MAX(ROW(E914:E$2)*(E915=E914:E$2)))))</f>
        <v> </v>
      </c>
      <c r="J915" s="26" t="str">
        <f>IF(OR(E915="",E915="!!!",F915="NEW"),"",COUNTBLANK(OFFSET(A$1,,,SUMPRODUCT(MAX(ROW(E$2:E915)*(E915=E$2:E915)))))-COUNTBLANK(OFFSET(A$1,,,SUMPRODUCT(MAX(ROW(E$1:E914)*(E2=E$1:E914))))))</f>
        <v> </v>
      </c>
      <c r="K915" s="26" t="str">
        <f>IF(OR(E915="",E915="!!!",F915="NEW"),"",INDEX(J$1:J914,SUMPRODUCT(MAX(ROW(E$1:E914)*(E915=E$1:E914)))))</f>
        <v> </v>
      </c>
      <c r="L915" s="27"/>
    </row>
    <row r="916" spans="1:12">
      <c r="A916" s="20" t="s">
        <v>742</v>
      </c>
      <c r="E916" s="22">
        <f>IF(D916="?OLD","!!!","")</f>
        <v/>
      </c>
      <c r="F916" s="23" t="str">
        <f>IF(OR(E916="",E916="!!!"),"",IF(NOT(ISNA(VLOOKUP(E916,E$1:E915,1,FALSE()))),"OLD",IF(AND(E916&lt;&gt;"",E916&lt;&gt;"!!!"),"NEW","")))</f>
        <v> </v>
      </c>
      <c r="G916" s="24" t="str">
        <f>IF(OR(E916="",E916="!!!"),"",IF(OR(J916=0,AND(J916=1,K916=1),AND(J916=1,I916="SBJ"),AND(J916=1,I916=0)),"?IN_FOCUS",IF(J916&lt;=2,"?ACTIVATED",IF(J916&lt;&gt;"","?FAMILIAR",IF(F916="NEW",IF(ISNA(VLOOKUP(E916,#REF!,1,FALSE())),"?TYPE_IDENTIFIABLE","?REFERENTIAL"),"_")))))</f>
        <v> </v>
      </c>
      <c r="H916" s="25" t="str">
        <f>IF(J916&lt;&gt;1,"",IF(I916="SBJ","CB","?"))</f>
        <v> </v>
      </c>
      <c r="I916" s="26" t="str">
        <f>IF(OR(E916="",E916="!!!",F916="NEW"),"",INDEX(B915:B$2,-1+SUMPRODUCT(MAX(ROW(E915:E$2)*(E916=E915:E$2)))))</f>
        <v> </v>
      </c>
      <c r="J916" s="26" t="str">
        <f>IF(OR(E916="",E916="!!!",F916="NEW"),"",COUNTBLANK(OFFSET(A$1,,,SUMPRODUCT(MAX(ROW(E$2:E916)*(E916=E$2:E916)))))-COUNTBLANK(OFFSET(A$1,,,SUMPRODUCT(MAX(ROW(E$1:E915)*(E2=E$1:E915))))))</f>
        <v> </v>
      </c>
      <c r="K916" s="26" t="str">
        <f>IF(OR(E916="",E916="!!!",F916="NEW"),"",INDEX(J$1:J915,SUMPRODUCT(MAX(ROW(E$1:E915)*(E916=E$1:E915)))))</f>
        <v> </v>
      </c>
      <c r="L916" s="27"/>
    </row>
    <row r="917" spans="1:12">
      <c r="A917" s="20" t="s">
        <v>1175</v>
      </c>
      <c r="E917" s="22">
        <f>IF(D917="?OLD","!!!","")</f>
        <v/>
      </c>
      <c r="F917" s="23" t="str">
        <f>IF(OR(E917="",E917="!!!"),"",IF(NOT(ISNA(VLOOKUP(E917,E$1:E916,1,FALSE()))),"OLD",IF(AND(E917&lt;&gt;"",E917&lt;&gt;"!!!"),"NEW","")))</f>
        <v> </v>
      </c>
      <c r="G917" s="24" t="str">
        <f>IF(OR(E917="",E917="!!!"),"",IF(OR(J917=0,AND(J917=1,K917=1),AND(J917=1,I917="SBJ"),AND(J917=1,I917=0)),"?IN_FOCUS",IF(J917&lt;=2,"?ACTIVATED",IF(J917&lt;&gt;"","?FAMILIAR",IF(F917="NEW",IF(ISNA(VLOOKUP(E917,#REF!,1,FALSE())),"?TYPE_IDENTIFIABLE","?REFERENTIAL"),"_")))))</f>
        <v> </v>
      </c>
      <c r="H917" s="25" t="str">
        <f>IF(J917&lt;&gt;1,"",IF(I917="SBJ","CB","?"))</f>
        <v> </v>
      </c>
      <c r="I917" s="26" t="str">
        <f>IF(OR(E917="",E917="!!!",F917="NEW"),"",INDEX(B916:B$2,-1+SUMPRODUCT(MAX(ROW(E916:E$2)*(E917=E916:E$2)))))</f>
        <v> </v>
      </c>
      <c r="J917" s="26" t="str">
        <f>IF(OR(E917="",E917="!!!",F917="NEW"),"",COUNTBLANK(OFFSET(A$1,,,SUMPRODUCT(MAX(ROW(E$2:E917)*(E917=E$2:E917)))))-COUNTBLANK(OFFSET(A$1,,,SUMPRODUCT(MAX(ROW(E$1:E916)*(E2=E$1:E916))))))</f>
        <v> </v>
      </c>
      <c r="K917" s="26" t="str">
        <f>IF(OR(E917="",E917="!!!",F917="NEW"),"",INDEX(J$1:J916,SUMPRODUCT(MAX(ROW(E$1:E916)*(E917=E$1:E916)))))</f>
        <v> </v>
      </c>
      <c r="L917" s="27"/>
    </row>
    <row r="918" spans="1:12">
      <c r="A918" s="20" t="s">
        <v>1176</v>
      </c>
      <c r="B918" s="21" t="s">
        <v>755</v>
      </c>
      <c r="C918" s="21" t="s">
        <v>748</v>
      </c>
      <c r="E918" s="22">
        <f>IF(D918="?OLD","!!!","")</f>
        <v/>
      </c>
      <c r="F918" s="23" t="str">
        <f>IF(OR(E918="",E918="!!!"),"",IF(NOT(ISNA(VLOOKUP(E918,E$1:E917,1,FALSE()))),"OLD",IF(AND(E918&lt;&gt;"",E918&lt;&gt;"!!!"),"NEW","")))</f>
        <v> </v>
      </c>
      <c r="G918" s="24" t="str">
        <f>IF(OR(E918="",E918="!!!"),"",IF(OR(J918=0,AND(J918=1,K918=1),AND(J918=1,I918="SBJ"),AND(J918=1,I918=0)),"?IN_FOCUS",IF(J918&lt;=2,"?ACTIVATED",IF(J918&lt;&gt;"","?FAMILIAR",IF(F918="NEW",IF(ISNA(VLOOKUP(E918,#REF!,1,FALSE())),"?TYPE_IDENTIFIABLE","?REFERENTIAL"),"_")))))</f>
        <v> </v>
      </c>
      <c r="H918" s="25" t="str">
        <f>IF(J918&lt;&gt;1,"",IF(I918="SBJ","CB","?"))</f>
        <v> </v>
      </c>
      <c r="I918" s="26" t="str">
        <f>IF(OR(E918="",E918="!!!",F918="NEW"),"",INDEX(B917:B$2,-1+SUMPRODUCT(MAX(ROW(E917:E$2)*(E918=E917:E$2)))))</f>
        <v> </v>
      </c>
      <c r="J918" s="26" t="str">
        <f>IF(OR(E918="",E918="!!!",F918="NEW"),"",COUNTBLANK(OFFSET(A$1,,,SUMPRODUCT(MAX(ROW(E$2:E918)*(E918=E$2:E918)))))-COUNTBLANK(OFFSET(A$1,,,SUMPRODUCT(MAX(ROW(E$1:E917)*(E2=E$1:E917))))))</f>
        <v> </v>
      </c>
      <c r="K918" s="26" t="str">
        <f>IF(OR(E918="",E918="!!!",F918="NEW"),"",INDEX(J$1:J917,SUMPRODUCT(MAX(ROW(E$1:E917)*(E918=E$1:E917)))))</f>
        <v> </v>
      </c>
      <c r="L918" s="27"/>
    </row>
    <row r="919" spans="1:12">
      <c r="A919" s="20" t="s">
        <v>759</v>
      </c>
      <c r="E919" s="22">
        <f>IF(D919="?OLD","!!!","")</f>
        <v/>
      </c>
      <c r="F919" s="23" t="str">
        <f>IF(OR(E919="",E919="!!!"),"",IF(NOT(ISNA(VLOOKUP(E919,E$1:E918,1,FALSE()))),"OLD",IF(AND(E919&lt;&gt;"",E919&lt;&gt;"!!!"),"NEW","")))</f>
        <v> </v>
      </c>
      <c r="G919" s="24" t="str">
        <f>IF(OR(E919="",E919="!!!"),"",IF(OR(J919=0,AND(J919=1,K919=1),AND(J919=1,I919="SBJ"),AND(J919=1,I919=0)),"?IN_FOCUS",IF(J919&lt;=2,"?ACTIVATED",IF(J919&lt;&gt;"","?FAMILIAR",IF(F919="NEW",IF(ISNA(VLOOKUP(E919,#REF!,1,FALSE())),"?TYPE_IDENTIFIABLE","?REFERENTIAL"),"_")))))</f>
        <v> </v>
      </c>
      <c r="H919" s="25" t="str">
        <f>IF(J919&lt;&gt;1,"",IF(I919="SBJ","CB","?"))</f>
        <v> </v>
      </c>
      <c r="I919" s="26" t="str">
        <f>IF(OR(E919="",E919="!!!",F919="NEW"),"",INDEX(B918:B$2,-1+SUMPRODUCT(MAX(ROW(E918:E$2)*(E919=E918:E$2)))))</f>
        <v> </v>
      </c>
      <c r="J919" s="26" t="str">
        <f>IF(OR(E919="",E919="!!!",F919="NEW"),"",COUNTBLANK(OFFSET(A$1,,,SUMPRODUCT(MAX(ROW(E$2:E919)*(E919=E$2:E919)))))-COUNTBLANK(OFFSET(A$1,,,SUMPRODUCT(MAX(ROW(E$1:E918)*(E2=E$1:E918))))))</f>
        <v> </v>
      </c>
      <c r="K919" s="26" t="str">
        <f>IF(OR(E919="",E919="!!!",F919="NEW"),"",INDEX(J$1:J918,SUMPRODUCT(MAX(ROW(E$1:E918)*(E919=E$1:E918)))))</f>
        <v> </v>
      </c>
      <c r="L919" s="27"/>
    </row>
    <row r="920" spans="1:12">
      <c r="A920" s="20" t="s">
        <v>1177</v>
      </c>
      <c r="B920" s="21" t="s">
        <v>783</v>
      </c>
      <c r="C920" s="21" t="s">
        <v>740</v>
      </c>
      <c r="D920" s="21" t="s">
        <v>730</v>
      </c>
      <c r="E920" s="22">
        <f>IF(D920="?OLD","!!!","")</f>
        <v/>
      </c>
      <c r="F920" s="23" t="str">
        <f>IF(OR(E920="",E920="!!!"),"",IF(NOT(ISNA(VLOOKUP(E920,E$1:E919,1,FALSE()))),"OLD",IF(AND(E920&lt;&gt;"",E920&lt;&gt;"!!!"),"NEW","")))</f>
        <v> </v>
      </c>
      <c r="G920" s="24" t="str">
        <f>IF(OR(E920="",E920="!!!"),"",IF(OR(J920=0,AND(J920=1,K920=1),AND(J920=1,I920="SBJ"),AND(J920=1,I920=0)),"?IN_FOCUS",IF(J920&lt;=2,"?ACTIVATED",IF(J920&lt;&gt;"","?FAMILIAR",IF(F920="NEW",IF(ISNA(VLOOKUP(E920,#REF!,1,FALSE())),"?TYPE_IDENTIFIABLE","?REFERENTIAL"),"_")))))</f>
        <v> </v>
      </c>
      <c r="H920" s="25" t="str">
        <f>IF(J920&lt;&gt;1,"",IF(I920="SBJ","CB","?"))</f>
        <v> </v>
      </c>
      <c r="I920" s="26" t="str">
        <f>IF(OR(E920="",E920="!!!",F920="NEW"),"",INDEX(B919:B$2,-1+SUMPRODUCT(MAX(ROW(E919:E$2)*(E920=E919:E$2)))))</f>
        <v> </v>
      </c>
      <c r="J920" s="26" t="str">
        <f>IF(OR(E920="",E920="!!!",F920="NEW"),"",COUNTBLANK(OFFSET(A$1,,,SUMPRODUCT(MAX(ROW(E$2:E920)*(E920=E$2:E920)))))-COUNTBLANK(OFFSET(A$1,,,SUMPRODUCT(MAX(ROW(E$1:E919)*(E2=E$1:E919))))))</f>
        <v> </v>
      </c>
      <c r="K920" s="26" t="str">
        <f>IF(OR(E920="",E920="!!!",F920="NEW"),"",INDEX(J$1:J919,SUMPRODUCT(MAX(ROW(E$1:E919)*(E920=E$1:E919)))))</f>
        <v> </v>
      </c>
      <c r="L920" s="27"/>
    </row>
    <row r="921" spans="1:12">
      <c r="A921" s="20" t="s">
        <v>759</v>
      </c>
      <c r="E921" s="22">
        <f>IF(D921="?OLD","!!!","")</f>
        <v/>
      </c>
      <c r="F921" s="23" t="str">
        <f>IF(OR(E921="",E921="!!!"),"",IF(NOT(ISNA(VLOOKUP(E921,E$1:E920,1,FALSE()))),"OLD",IF(AND(E921&lt;&gt;"",E921&lt;&gt;"!!!"),"NEW","")))</f>
        <v> </v>
      </c>
      <c r="G921" s="24" t="str">
        <f>IF(OR(E921="",E921="!!!"),"",IF(OR(J921=0,AND(J921=1,K921=1),AND(J921=1,I921="SBJ"),AND(J921=1,I921=0)),"?IN_FOCUS",IF(J921&lt;=2,"?ACTIVATED",IF(J921&lt;&gt;"","?FAMILIAR",IF(F921="NEW",IF(ISNA(VLOOKUP(E921,#REF!,1,FALSE())),"?TYPE_IDENTIFIABLE","?REFERENTIAL"),"_")))))</f>
        <v> </v>
      </c>
      <c r="H921" s="25" t="str">
        <f>IF(J921&lt;&gt;1,"",IF(I921="SBJ","CB","?"))</f>
        <v> </v>
      </c>
      <c r="I921" s="26" t="str">
        <f>IF(OR(E921="",E921="!!!",F921="NEW"),"",INDEX(B920:B$2,-1+SUMPRODUCT(MAX(ROW(E920:E$2)*(E921=E920:E$2)))))</f>
        <v> </v>
      </c>
      <c r="J921" s="26" t="str">
        <f>IF(OR(E921="",E921="!!!",F921="NEW"),"",COUNTBLANK(OFFSET(A$1,,,SUMPRODUCT(MAX(ROW(E$2:E921)*(E921=E$2:E921)))))-COUNTBLANK(OFFSET(A$1,,,SUMPRODUCT(MAX(ROW(E$1:E920)*(E2=E$1:E920))))))</f>
        <v> </v>
      </c>
      <c r="K921" s="26" t="str">
        <f>IF(OR(E921="",E921="!!!",F921="NEW"),"",INDEX(J$1:J920,SUMPRODUCT(MAX(ROW(E$1:E920)*(E921=E$1:E920)))))</f>
        <v> </v>
      </c>
      <c r="L921" s="27"/>
    </row>
    <row r="922" spans="1:12">
      <c r="A922" s="20" t="s">
        <v>1178</v>
      </c>
      <c r="E922" s="22">
        <f>IF(D922="?OLD","!!!","")</f>
        <v/>
      </c>
      <c r="F922" s="23" t="str">
        <f>IF(OR(E922="",E922="!!!"),"",IF(NOT(ISNA(VLOOKUP(E922,E$1:E921,1,FALSE()))),"OLD",IF(AND(E922&lt;&gt;"",E922&lt;&gt;"!!!"),"NEW","")))</f>
        <v> </v>
      </c>
      <c r="G922" s="24" t="str">
        <f>IF(OR(E922="",E922="!!!"),"",IF(OR(J922=0,AND(J922=1,K922=1),AND(J922=1,I922="SBJ"),AND(J922=1,I922=0)),"?IN_FOCUS",IF(J922&lt;=2,"?ACTIVATED",IF(J922&lt;&gt;"","?FAMILIAR",IF(F922="NEW",IF(ISNA(VLOOKUP(E922,#REF!,1,FALSE())),"?TYPE_IDENTIFIABLE","?REFERENTIAL"),"_")))))</f>
        <v> </v>
      </c>
      <c r="H922" s="25" t="str">
        <f>IF(J922&lt;&gt;1,"",IF(I922="SBJ","CB","?"))</f>
        <v> </v>
      </c>
      <c r="I922" s="26" t="str">
        <f>IF(OR(E922="",E922="!!!",F922="NEW"),"",INDEX(B921:B$2,-1+SUMPRODUCT(MAX(ROW(E921:E$2)*(E922=E921:E$2)))))</f>
        <v> </v>
      </c>
      <c r="J922" s="26" t="str">
        <f>IF(OR(E922="",E922="!!!",F922="NEW"),"",COUNTBLANK(OFFSET(A$1,,,SUMPRODUCT(MAX(ROW(E$2:E922)*(E922=E$2:E922)))))-COUNTBLANK(OFFSET(A$1,,,SUMPRODUCT(MAX(ROW(E$1:E921)*(E2=E$1:E921))))))</f>
        <v> </v>
      </c>
      <c r="K922" s="26" t="str">
        <f>IF(OR(E922="",E922="!!!",F922="NEW"),"",INDEX(J$1:J921,SUMPRODUCT(MAX(ROW(E$1:E921)*(E922=E$1:E921)))))</f>
        <v> </v>
      </c>
      <c r="L922" s="27"/>
    </row>
    <row r="923" spans="1:12">
      <c r="A923" s="20" t="s">
        <v>246</v>
      </c>
      <c r="E923" s="22">
        <f>IF(D923="?OLD","!!!","")</f>
        <v/>
      </c>
      <c r="F923" s="23" t="str">
        <f>IF(OR(E923="",E923="!!!"),"",IF(NOT(ISNA(VLOOKUP(E923,E$1:E922,1,FALSE()))),"OLD",IF(AND(E923&lt;&gt;"",E923&lt;&gt;"!!!"),"NEW","")))</f>
        <v> </v>
      </c>
      <c r="G923" s="24" t="str">
        <f>IF(OR(E923="",E923="!!!"),"",IF(OR(J923=0,AND(J923=1,K923=1),AND(J923=1,I923="SBJ"),AND(J923=1,I923=0)),"?IN_FOCUS",IF(J923&lt;=2,"?ACTIVATED",IF(J923&lt;&gt;"","?FAMILIAR",IF(F923="NEW",IF(ISNA(VLOOKUP(E923,#REF!,1,FALSE())),"?TYPE_IDENTIFIABLE","?REFERENTIAL"),"_")))))</f>
        <v> </v>
      </c>
      <c r="H923" s="25" t="str">
        <f>IF(J923&lt;&gt;1,"",IF(I923="SBJ","CB","?"))</f>
        <v> </v>
      </c>
      <c r="I923" s="26" t="str">
        <f>IF(OR(E923="",E923="!!!",F923="NEW"),"",INDEX(B922:B$2,-1+SUMPRODUCT(MAX(ROW(E922:E$2)*(E923=E922:E$2)))))</f>
        <v> </v>
      </c>
      <c r="J923" s="26" t="str">
        <f>IF(OR(E923="",E923="!!!",F923="NEW"),"",COUNTBLANK(OFFSET(A$1,,,SUMPRODUCT(MAX(ROW(E$2:E923)*(E923=E$2:E923)))))-COUNTBLANK(OFFSET(A$1,,,SUMPRODUCT(MAX(ROW(E$1:E922)*(E2=E$1:E922))))))</f>
        <v> </v>
      </c>
      <c r="K923" s="26" t="str">
        <f>IF(OR(E923="",E923="!!!",F923="NEW"),"",INDEX(J$1:J922,SUMPRODUCT(MAX(ROW(E$1:E922)*(E923=E$1:E922)))))</f>
        <v> </v>
      </c>
      <c r="L923" s="27"/>
    </row>
    <row r="924" spans="1:12">
      <c r="A924" s="20"/>
    </row>
    <row r="925" spans="1:12">
      <c r="A925" s="20" t="s">
        <v>1179</v>
      </c>
    </row>
    <row r="926" spans="1:12">
      <c r="A926" s="20" t="s">
        <v>969</v>
      </c>
      <c r="B926" s="21" t="s">
        <v>728</v>
      </c>
      <c r="C926" s="21" t="s">
        <v>789</v>
      </c>
      <c r="D926" s="21" t="s">
        <v>730</v>
      </c>
      <c r="E926" s="22">
        <f>IF(D926="?OLD","!!!","")</f>
        <v/>
      </c>
      <c r="F926" s="23" t="str">
        <f>IF(OR(E926="",E926="!!!"),"",IF(NOT(ISNA(VLOOKUP(E926,E$1:E925,1,FALSE()))),"OLD",IF(AND(E926&lt;&gt;"",E926&lt;&gt;"!!!"),"NEW","")))</f>
        <v> </v>
      </c>
      <c r="G926" s="24" t="str">
        <f>IF(OR(E926="",E926="!!!"),"",IF(OR(J926=0,AND(J926=1,K926=1),AND(J926=1,I926="SBJ"),AND(J926=1,I926=0)),"?IN_FOCUS",IF(J926&lt;=2,"?ACTIVATED",IF(J926&lt;&gt;"","?FAMILIAR",IF(F926="NEW",IF(ISNA(VLOOKUP(E926,#REF!,1,FALSE())),"?TYPE_IDENTIFIABLE","?REFERENTIAL"),"_")))))</f>
        <v> </v>
      </c>
      <c r="H926" s="25" t="str">
        <f>IF(J926&lt;&gt;1,"",IF(I926="SBJ","CB","?"))</f>
        <v> </v>
      </c>
      <c r="I926" s="26" t="str">
        <f>IF(OR(E926="",E926="!!!",F926="NEW"),"",INDEX(B925:B$2,-1+SUMPRODUCT(MAX(ROW(E925:E$2)*(E926=E925:E$2)))))</f>
        <v> </v>
      </c>
      <c r="J926" s="26" t="str">
        <f>IF(OR(E926="",E926="!!!",F926="NEW"),"",COUNTBLANK(OFFSET(A$1,,,SUMPRODUCT(MAX(ROW(E$2:E926)*(E926=E$2:E926)))))-COUNTBLANK(OFFSET(A$1,,,SUMPRODUCT(MAX(ROW(E$1:E925)*(E2=E$1:E925))))))</f>
        <v> </v>
      </c>
      <c r="K926" s="26" t="str">
        <f>IF(OR(E926="",E926="!!!",F926="NEW"),"",INDEX(J$1:J925,SUMPRODUCT(MAX(ROW(E$1:E925)*(E926=E$1:E925)))))</f>
        <v> </v>
      </c>
      <c r="L926" s="27"/>
    </row>
    <row r="927" spans="1:12">
      <c r="A927" s="20" t="s">
        <v>838</v>
      </c>
      <c r="E927" s="22">
        <f>IF(D927="?OLD","!!!","")</f>
        <v/>
      </c>
      <c r="F927" s="23" t="str">
        <f>IF(OR(E927="",E927="!!!"),"",IF(NOT(ISNA(VLOOKUP(E927,E$1:E926,1,FALSE()))),"OLD",IF(AND(E927&lt;&gt;"",E927&lt;&gt;"!!!"),"NEW","")))</f>
        <v> </v>
      </c>
      <c r="G927" s="24" t="str">
        <f>IF(OR(E927="",E927="!!!"),"",IF(OR(J927=0,AND(J927=1,K927=1),AND(J927=1,I927="SBJ"),AND(J927=1,I927=0)),"?IN_FOCUS",IF(J927&lt;=2,"?ACTIVATED",IF(J927&lt;&gt;"","?FAMILIAR",IF(F927="NEW",IF(ISNA(VLOOKUP(E927,#REF!,1,FALSE())),"?TYPE_IDENTIFIABLE","?REFERENTIAL"),"_")))))</f>
        <v> </v>
      </c>
      <c r="H927" s="25" t="str">
        <f>IF(J927&lt;&gt;1,"",IF(I927="SBJ","CB","?"))</f>
        <v> </v>
      </c>
      <c r="I927" s="26" t="str">
        <f>IF(OR(E927="",E927="!!!",F927="NEW"),"",INDEX(B926:B$2,-1+SUMPRODUCT(MAX(ROW(E926:E$2)*(E927=E926:E$2)))))</f>
        <v> </v>
      </c>
      <c r="J927" s="26" t="str">
        <f>IF(OR(E927="",E927="!!!",F927="NEW"),"",COUNTBLANK(OFFSET(A$1,,,SUMPRODUCT(MAX(ROW(E$2:E927)*(E927=E$2:E927)))))-COUNTBLANK(OFFSET(A$1,,,SUMPRODUCT(MAX(ROW(E$1:E926)*(E2=E$1:E926))))))</f>
        <v> </v>
      </c>
      <c r="K927" s="26" t="str">
        <f>IF(OR(E927="",E927="!!!",F927="NEW"),"",INDEX(J$1:J926,SUMPRODUCT(MAX(ROW(E$1:E926)*(E927=E$1:E926)))))</f>
        <v> </v>
      </c>
      <c r="L927" s="27"/>
    </row>
    <row r="928" spans="1:12">
      <c r="A928" s="20" t="s">
        <v>1180</v>
      </c>
      <c r="E928" s="22">
        <f>IF(D928="?OLD","!!!","")</f>
        <v/>
      </c>
      <c r="F928" s="23" t="str">
        <f>IF(OR(E928="",E928="!!!"),"",IF(NOT(ISNA(VLOOKUP(E928,E$1:E927,1,FALSE()))),"OLD",IF(AND(E928&lt;&gt;"",E928&lt;&gt;"!!!"),"NEW","")))</f>
        <v> </v>
      </c>
      <c r="G928" s="24" t="str">
        <f>IF(OR(E928="",E928="!!!"),"",IF(OR(J928=0,AND(J928=1,K928=1),AND(J928=1,I928="SBJ"),AND(J928=1,I928=0)),"?IN_FOCUS",IF(J928&lt;=2,"?ACTIVATED",IF(J928&lt;&gt;"","?FAMILIAR",IF(F928="NEW",IF(ISNA(VLOOKUP(E928,#REF!,1,FALSE())),"?TYPE_IDENTIFIABLE","?REFERENTIAL"),"_")))))</f>
        <v> </v>
      </c>
      <c r="H928" s="25" t="str">
        <f>IF(J928&lt;&gt;1,"",IF(I928="SBJ","CB","?"))</f>
        <v> </v>
      </c>
      <c r="I928" s="26" t="str">
        <f>IF(OR(E928="",E928="!!!",F928="NEW"),"",INDEX(B927:B$2,-1+SUMPRODUCT(MAX(ROW(E927:E$2)*(E928=E927:E$2)))))</f>
        <v> </v>
      </c>
      <c r="J928" s="26" t="str">
        <f>IF(OR(E928="",E928="!!!",F928="NEW"),"",COUNTBLANK(OFFSET(A$1,,,SUMPRODUCT(MAX(ROW(E$2:E928)*(E928=E$2:E928)))))-COUNTBLANK(OFFSET(A$1,,,SUMPRODUCT(MAX(ROW(E$1:E927)*(E2=E$1:E927))))))</f>
        <v> </v>
      </c>
      <c r="K928" s="26" t="str">
        <f>IF(OR(E928="",E928="!!!",F928="NEW"),"",INDEX(J$1:J927,SUMPRODUCT(MAX(ROW(E$1:E927)*(E928=E$1:E927)))))</f>
        <v> </v>
      </c>
      <c r="L928" s="27"/>
    </row>
    <row r="929" spans="1:12">
      <c r="A929" s="20" t="s">
        <v>759</v>
      </c>
      <c r="E929" s="22">
        <f>IF(D929="?OLD","!!!","")</f>
        <v/>
      </c>
      <c r="F929" s="23" t="str">
        <f>IF(OR(E929="",E929="!!!"),"",IF(NOT(ISNA(VLOOKUP(E929,E$1:E928,1,FALSE()))),"OLD",IF(AND(E929&lt;&gt;"",E929&lt;&gt;"!!!"),"NEW","")))</f>
        <v> </v>
      </c>
      <c r="G929" s="24" t="str">
        <f>IF(OR(E929="",E929="!!!"),"",IF(OR(J929=0,AND(J929=1,K929=1),AND(J929=1,I929="SBJ"),AND(J929=1,I929=0)),"?IN_FOCUS",IF(J929&lt;=2,"?ACTIVATED",IF(J929&lt;&gt;"","?FAMILIAR",IF(F929="NEW",IF(ISNA(VLOOKUP(E929,#REF!,1,FALSE())),"?TYPE_IDENTIFIABLE","?REFERENTIAL"),"_")))))</f>
        <v> </v>
      </c>
      <c r="H929" s="25" t="str">
        <f>IF(J929&lt;&gt;1,"",IF(I929="SBJ","CB","?"))</f>
        <v> </v>
      </c>
      <c r="I929" s="26" t="str">
        <f>IF(OR(E929="",E929="!!!",F929="NEW"),"",INDEX(B928:B$2,-1+SUMPRODUCT(MAX(ROW(E928:E$2)*(E929=E928:E$2)))))</f>
        <v> </v>
      </c>
      <c r="J929" s="26" t="str">
        <f>IF(OR(E929="",E929="!!!",F929="NEW"),"",COUNTBLANK(OFFSET(A$1,,,SUMPRODUCT(MAX(ROW(E$2:E929)*(E929=E$2:E929)))))-COUNTBLANK(OFFSET(A$1,,,SUMPRODUCT(MAX(ROW(E$1:E928)*(E2=E$1:E928))))))</f>
        <v> </v>
      </c>
      <c r="K929" s="26" t="str">
        <f>IF(OR(E929="",E929="!!!",F929="NEW"),"",INDEX(J$1:J928,SUMPRODUCT(MAX(ROW(E$1:E928)*(E929=E$1:E928)))))</f>
        <v> </v>
      </c>
      <c r="L929" s="27"/>
    </row>
    <row r="930" spans="1:12">
      <c r="A930" s="20" t="s">
        <v>811</v>
      </c>
      <c r="E930" s="22">
        <f>IF(D930="?OLD","!!!","")</f>
        <v/>
      </c>
      <c r="F930" s="23" t="str">
        <f>IF(OR(E930="",E930="!!!"),"",IF(NOT(ISNA(VLOOKUP(E930,E$1:E929,1,FALSE()))),"OLD",IF(AND(E930&lt;&gt;"",E930&lt;&gt;"!!!"),"NEW","")))</f>
        <v> </v>
      </c>
      <c r="G930" s="24" t="str">
        <f>IF(OR(E930="",E930="!!!"),"",IF(OR(J930=0,AND(J930=1,K930=1),AND(J930=1,I930="SBJ"),AND(J930=1,I930=0)),"?IN_FOCUS",IF(J930&lt;=2,"?ACTIVATED",IF(J930&lt;&gt;"","?FAMILIAR",IF(F930="NEW",IF(ISNA(VLOOKUP(E930,#REF!,1,FALSE())),"?TYPE_IDENTIFIABLE","?REFERENTIAL"),"_")))))</f>
        <v> </v>
      </c>
      <c r="H930" s="25" t="str">
        <f>IF(J930&lt;&gt;1,"",IF(I930="SBJ","CB","?"))</f>
        <v> </v>
      </c>
      <c r="I930" s="26" t="str">
        <f>IF(OR(E930="",E930="!!!",F930="NEW"),"",INDEX(B929:B$2,-1+SUMPRODUCT(MAX(ROW(E929:E$2)*(E930=E929:E$2)))))</f>
        <v> </v>
      </c>
      <c r="J930" s="26" t="str">
        <f>IF(OR(E930="",E930="!!!",F930="NEW"),"",COUNTBLANK(OFFSET(A$1,,,SUMPRODUCT(MAX(ROW(E$2:E930)*(E930=E$2:E930)))))-COUNTBLANK(OFFSET(A$1,,,SUMPRODUCT(MAX(ROW(E$1:E929)*(E2=E$1:E929))))))</f>
        <v> </v>
      </c>
      <c r="K930" s="26" t="str">
        <f>IF(OR(E930="",E930="!!!",F930="NEW"),"",INDEX(J$1:J929,SUMPRODUCT(MAX(ROW(E$1:E929)*(E930=E$1:E929)))))</f>
        <v> </v>
      </c>
      <c r="L930" s="27"/>
    </row>
    <row r="931" spans="1:12">
      <c r="A931" s="20" t="s">
        <v>813</v>
      </c>
      <c r="E931" s="22">
        <f>IF(D931="?OLD","!!!","")</f>
        <v/>
      </c>
      <c r="F931" s="23" t="str">
        <f>IF(OR(E931="",E931="!!!"),"",IF(NOT(ISNA(VLOOKUP(E931,E$1:E930,1,FALSE()))),"OLD",IF(AND(E931&lt;&gt;"",E931&lt;&gt;"!!!"),"NEW","")))</f>
        <v> </v>
      </c>
      <c r="G931" s="24" t="str">
        <f>IF(OR(E931="",E931="!!!"),"",IF(OR(J931=0,AND(J931=1,K931=1),AND(J931=1,I931="SBJ"),AND(J931=1,I931=0)),"?IN_FOCUS",IF(J931&lt;=2,"?ACTIVATED",IF(J931&lt;&gt;"","?FAMILIAR",IF(F931="NEW",IF(ISNA(VLOOKUP(E931,#REF!,1,FALSE())),"?TYPE_IDENTIFIABLE","?REFERENTIAL"),"_")))))</f>
        <v> </v>
      </c>
      <c r="H931" s="25" t="str">
        <f>IF(J931&lt;&gt;1,"",IF(I931="SBJ","CB","?"))</f>
        <v> </v>
      </c>
      <c r="I931" s="26" t="str">
        <f>IF(OR(E931="",E931="!!!",F931="NEW"),"",INDEX(B930:B$2,-1+SUMPRODUCT(MAX(ROW(E930:E$2)*(E931=E930:E$2)))))</f>
        <v> </v>
      </c>
      <c r="J931" s="26" t="str">
        <f>IF(OR(E931="",E931="!!!",F931="NEW"),"",COUNTBLANK(OFFSET(A$1,,,SUMPRODUCT(MAX(ROW(E$2:E931)*(E931=E$2:E931)))))-COUNTBLANK(OFFSET(A$1,,,SUMPRODUCT(MAX(ROW(E$1:E930)*(E2=E$1:E930))))))</f>
        <v> </v>
      </c>
      <c r="K931" s="26" t="str">
        <f>IF(OR(E931="",E931="!!!",F931="NEW"),"",INDEX(J$1:J930,SUMPRODUCT(MAX(ROW(E$1:E930)*(E931=E$1:E930)))))</f>
        <v> </v>
      </c>
      <c r="L931" s="27"/>
    </row>
    <row r="932" spans="1:12">
      <c r="A932" s="20" t="s">
        <v>1181</v>
      </c>
      <c r="E932" s="22">
        <f>IF(D932="?OLD","!!!","")</f>
        <v/>
      </c>
      <c r="F932" s="23" t="str">
        <f>IF(OR(E932="",E932="!!!"),"",IF(NOT(ISNA(VLOOKUP(E932,E$1:E931,1,FALSE()))),"OLD",IF(AND(E932&lt;&gt;"",E932&lt;&gt;"!!!"),"NEW","")))</f>
        <v> </v>
      </c>
      <c r="G932" s="24" t="str">
        <f>IF(OR(E932="",E932="!!!"),"",IF(OR(J932=0,AND(J932=1,K932=1),AND(J932=1,I932="SBJ"),AND(J932=1,I932=0)),"?IN_FOCUS",IF(J932&lt;=2,"?ACTIVATED",IF(J932&lt;&gt;"","?FAMILIAR",IF(F932="NEW",IF(ISNA(VLOOKUP(E932,#REF!,1,FALSE())),"?TYPE_IDENTIFIABLE","?REFERENTIAL"),"_")))))</f>
        <v> </v>
      </c>
      <c r="H932" s="25" t="str">
        <f>IF(J932&lt;&gt;1,"",IF(I932="SBJ","CB","?"))</f>
        <v> </v>
      </c>
      <c r="I932" s="26" t="str">
        <f>IF(OR(E932="",E932="!!!",F932="NEW"),"",INDEX(B931:B$2,-1+SUMPRODUCT(MAX(ROW(E931:E$2)*(E932=E931:E$2)))))</f>
        <v> </v>
      </c>
      <c r="J932" s="26" t="str">
        <f>IF(OR(E932="",E932="!!!",F932="NEW"),"",COUNTBLANK(OFFSET(A$1,,,SUMPRODUCT(MAX(ROW(E$2:E932)*(E932=E$2:E932)))))-COUNTBLANK(OFFSET(A$1,,,SUMPRODUCT(MAX(ROW(E$1:E931)*(E2=E$1:E931))))))</f>
        <v> </v>
      </c>
      <c r="K932" s="26" t="str">
        <f>IF(OR(E932="",E932="!!!",F932="NEW"),"",INDEX(J$1:J931,SUMPRODUCT(MAX(ROW(E$1:E931)*(E932=E$1:E931)))))</f>
        <v> </v>
      </c>
      <c r="L932" s="27"/>
    </row>
    <row r="933" spans="1:12">
      <c r="A933" s="20" t="s">
        <v>1175</v>
      </c>
      <c r="E933" s="22">
        <f>IF(D933="?OLD","!!!","")</f>
        <v/>
      </c>
      <c r="F933" s="23" t="str">
        <f>IF(OR(E933="",E933="!!!"),"",IF(NOT(ISNA(VLOOKUP(E933,E$1:E932,1,FALSE()))),"OLD",IF(AND(E933&lt;&gt;"",E933&lt;&gt;"!!!"),"NEW","")))</f>
        <v> </v>
      </c>
      <c r="G933" s="24" t="str">
        <f>IF(OR(E933="",E933="!!!"),"",IF(OR(J933=0,AND(J933=1,K933=1),AND(J933=1,I933="SBJ"),AND(J933=1,I933=0)),"?IN_FOCUS",IF(J933&lt;=2,"?ACTIVATED",IF(J933&lt;&gt;"","?FAMILIAR",IF(F933="NEW",IF(ISNA(VLOOKUP(E933,#REF!,1,FALSE())),"?TYPE_IDENTIFIABLE","?REFERENTIAL"),"_")))))</f>
        <v> </v>
      </c>
      <c r="H933" s="25" t="str">
        <f>IF(J933&lt;&gt;1,"",IF(I933="SBJ","CB","?"))</f>
        <v> </v>
      </c>
      <c r="I933" s="26" t="str">
        <f>IF(OR(E933="",E933="!!!",F933="NEW"),"",INDEX(B932:B$2,-1+SUMPRODUCT(MAX(ROW(E932:E$2)*(E933=E932:E$2)))))</f>
        <v> </v>
      </c>
      <c r="J933" s="26" t="str">
        <f>IF(OR(E933="",E933="!!!",F933="NEW"),"",COUNTBLANK(OFFSET(A$1,,,SUMPRODUCT(MAX(ROW(E$2:E933)*(E933=E$2:E933)))))-COUNTBLANK(OFFSET(A$1,,,SUMPRODUCT(MAX(ROW(E$1:E932)*(E2=E$1:E932))))))</f>
        <v> </v>
      </c>
      <c r="K933" s="26" t="str">
        <f>IF(OR(E933="",E933="!!!",F933="NEW"),"",INDEX(J$1:J932,SUMPRODUCT(MAX(ROW(E$1:E932)*(E933=E$1:E932)))))</f>
        <v> </v>
      </c>
      <c r="L933" s="27"/>
    </row>
    <row r="934" spans="1:12">
      <c r="A934" s="20" t="s">
        <v>1182</v>
      </c>
      <c r="E934" s="22">
        <f>IF(D934="?OLD","!!!","")</f>
        <v/>
      </c>
      <c r="F934" s="23" t="str">
        <f>IF(OR(E934="",E934="!!!"),"",IF(NOT(ISNA(VLOOKUP(E934,E$1:E933,1,FALSE()))),"OLD",IF(AND(E934&lt;&gt;"",E934&lt;&gt;"!!!"),"NEW","")))</f>
        <v> </v>
      </c>
      <c r="G934" s="24" t="str">
        <f>IF(OR(E934="",E934="!!!"),"",IF(OR(J934=0,AND(J934=1,K934=1),AND(J934=1,I934="SBJ"),AND(J934=1,I934=0)),"?IN_FOCUS",IF(J934&lt;=2,"?ACTIVATED",IF(J934&lt;&gt;"","?FAMILIAR",IF(F934="NEW",IF(ISNA(VLOOKUP(E934,#REF!,1,FALSE())),"?TYPE_IDENTIFIABLE","?REFERENTIAL"),"_")))))</f>
        <v> </v>
      </c>
      <c r="H934" s="25" t="str">
        <f>IF(J934&lt;&gt;1,"",IF(I934="SBJ","CB","?"))</f>
        <v> </v>
      </c>
      <c r="I934" s="26" t="str">
        <f>IF(OR(E934="",E934="!!!",F934="NEW"),"",INDEX(B933:B$2,-1+SUMPRODUCT(MAX(ROW(E933:E$2)*(E934=E933:E$2)))))</f>
        <v> </v>
      </c>
      <c r="J934" s="26" t="str">
        <f>IF(OR(E934="",E934="!!!",F934="NEW"),"",COUNTBLANK(OFFSET(A$1,,,SUMPRODUCT(MAX(ROW(E$2:E934)*(E934=E$2:E934)))))-COUNTBLANK(OFFSET(A$1,,,SUMPRODUCT(MAX(ROW(E$1:E933)*(E2=E$1:E933))))))</f>
        <v> </v>
      </c>
      <c r="K934" s="26" t="str">
        <f>IF(OR(E934="",E934="!!!",F934="NEW"),"",INDEX(J$1:J933,SUMPRODUCT(MAX(ROW(E$1:E933)*(E934=E$1:E933)))))</f>
        <v> </v>
      </c>
      <c r="L934" s="27"/>
    </row>
    <row r="935" spans="1:12">
      <c r="A935" s="20" t="s">
        <v>12</v>
      </c>
      <c r="E935" s="22">
        <f>IF(D935="?OLD","!!!","")</f>
        <v/>
      </c>
      <c r="F935" s="23" t="str">
        <f>IF(OR(E935="",E935="!!!"),"",IF(NOT(ISNA(VLOOKUP(E935,E$1:E934,1,FALSE()))),"OLD",IF(AND(E935&lt;&gt;"",E935&lt;&gt;"!!!"),"NEW","")))</f>
        <v> </v>
      </c>
      <c r="G935" s="24" t="str">
        <f>IF(OR(E935="",E935="!!!"),"",IF(OR(J935=0,AND(J935=1,K935=1),AND(J935=1,I935="SBJ"),AND(J935=1,I935=0)),"?IN_FOCUS",IF(J935&lt;=2,"?ACTIVATED",IF(J935&lt;&gt;"","?FAMILIAR",IF(F935="NEW",IF(ISNA(VLOOKUP(E935,#REF!,1,FALSE())),"?TYPE_IDENTIFIABLE","?REFERENTIAL"),"_")))))</f>
        <v> </v>
      </c>
      <c r="H935" s="25" t="str">
        <f>IF(J935&lt;&gt;1,"",IF(I935="SBJ","CB","?"))</f>
        <v> </v>
      </c>
      <c r="I935" s="26" t="str">
        <f>IF(OR(E935="",E935="!!!",F935="NEW"),"",INDEX(B934:B$2,-1+SUMPRODUCT(MAX(ROW(E934:E$2)*(E935=E934:E$2)))))</f>
        <v> </v>
      </c>
      <c r="J935" s="26" t="str">
        <f>IF(OR(E935="",E935="!!!",F935="NEW"),"",COUNTBLANK(OFFSET(A$1,,,SUMPRODUCT(MAX(ROW(E$2:E935)*(E935=E$2:E935)))))-COUNTBLANK(OFFSET(A$1,,,SUMPRODUCT(MAX(ROW(E$1:E934)*(E2=E$1:E934))))))</f>
        <v> </v>
      </c>
      <c r="K935" s="26" t="str">
        <f>IF(OR(E935="",E935="!!!",F935="NEW"),"",INDEX(J$1:J934,SUMPRODUCT(MAX(ROW(E$1:E934)*(E935=E$1:E934)))))</f>
        <v> </v>
      </c>
      <c r="L935" s="27"/>
    </row>
    <row r="936" spans="1:12">
      <c r="A936" s="20" t="s">
        <v>1183</v>
      </c>
      <c r="E936" s="22">
        <f>IF(D936="?OLD","!!!","")</f>
        <v/>
      </c>
      <c r="F936" s="23" t="str">
        <f>IF(OR(E936="",E936="!!!"),"",IF(NOT(ISNA(VLOOKUP(E936,E$1:E935,1,FALSE()))),"OLD",IF(AND(E936&lt;&gt;"",E936&lt;&gt;"!!!"),"NEW","")))</f>
        <v> </v>
      </c>
      <c r="G936" s="24" t="str">
        <f>IF(OR(E936="",E936="!!!"),"",IF(OR(J936=0,AND(J936=1,K936=1),AND(J936=1,I936="SBJ"),AND(J936=1,I936=0)),"?IN_FOCUS",IF(J936&lt;=2,"?ACTIVATED",IF(J936&lt;&gt;"","?FAMILIAR",IF(F936="NEW",IF(ISNA(VLOOKUP(E936,#REF!,1,FALSE())),"?TYPE_IDENTIFIABLE","?REFERENTIAL"),"_")))))</f>
        <v> </v>
      </c>
      <c r="H936" s="25" t="str">
        <f>IF(J936&lt;&gt;1,"",IF(I936="SBJ","CB","?"))</f>
        <v> </v>
      </c>
      <c r="I936" s="26" t="str">
        <f>IF(OR(E936="",E936="!!!",F936="NEW"),"",INDEX(B935:B$2,-1+SUMPRODUCT(MAX(ROW(E935:E$2)*(E936=E935:E$2)))))</f>
        <v> </v>
      </c>
      <c r="J936" s="26" t="str">
        <f>IF(OR(E936="",E936="!!!",F936="NEW"),"",COUNTBLANK(OFFSET(A$1,,,SUMPRODUCT(MAX(ROW(E$2:E936)*(E936=E$2:E936)))))-COUNTBLANK(OFFSET(A$1,,,SUMPRODUCT(MAX(ROW(E$1:E935)*(E2=E$1:E935))))))</f>
        <v> </v>
      </c>
      <c r="K936" s="26" t="str">
        <f>IF(OR(E936="",E936="!!!",F936="NEW"),"",INDEX(J$1:J935,SUMPRODUCT(MAX(ROW(E$1:E935)*(E936=E$1:E935)))))</f>
        <v> </v>
      </c>
      <c r="L936" s="27"/>
    </row>
    <row r="937" spans="1:12">
      <c r="A937" s="20" t="s">
        <v>12</v>
      </c>
      <c r="E937" s="22">
        <f>IF(D937="?OLD","!!!","")</f>
        <v/>
      </c>
      <c r="F937" s="23" t="str">
        <f>IF(OR(E937="",E937="!!!"),"",IF(NOT(ISNA(VLOOKUP(E937,E$1:E936,1,FALSE()))),"OLD",IF(AND(E937&lt;&gt;"",E937&lt;&gt;"!!!"),"NEW","")))</f>
        <v> </v>
      </c>
      <c r="G937" s="24" t="str">
        <f>IF(OR(E937="",E937="!!!"),"",IF(OR(J937=0,AND(J937=1,K937=1),AND(J937=1,I937="SBJ"),AND(J937=1,I937=0)),"?IN_FOCUS",IF(J937&lt;=2,"?ACTIVATED",IF(J937&lt;&gt;"","?FAMILIAR",IF(F937="NEW",IF(ISNA(VLOOKUP(E937,#REF!,1,FALSE())),"?TYPE_IDENTIFIABLE","?REFERENTIAL"),"_")))))</f>
        <v> </v>
      </c>
      <c r="H937" s="25" t="str">
        <f>IF(J937&lt;&gt;1,"",IF(I937="SBJ","CB","?"))</f>
        <v> </v>
      </c>
      <c r="I937" s="26" t="str">
        <f>IF(OR(E937="",E937="!!!",F937="NEW"),"",INDEX(B936:B$2,-1+SUMPRODUCT(MAX(ROW(E936:E$2)*(E937=E936:E$2)))))</f>
        <v> </v>
      </c>
      <c r="J937" s="26" t="str">
        <f>IF(OR(E937="",E937="!!!",F937="NEW"),"",COUNTBLANK(OFFSET(A$1,,,SUMPRODUCT(MAX(ROW(E$2:E937)*(E937=E$2:E937)))))-COUNTBLANK(OFFSET(A$1,,,SUMPRODUCT(MAX(ROW(E$1:E936)*(E2=E$1:E936))))))</f>
        <v> </v>
      </c>
      <c r="K937" s="26" t="str">
        <f>IF(OR(E937="",E937="!!!",F937="NEW"),"",INDEX(J$1:J936,SUMPRODUCT(MAX(ROW(E$1:E936)*(E937=E$1:E936)))))</f>
        <v> </v>
      </c>
      <c r="L937" s="27"/>
    </row>
    <row r="938" spans="1:12">
      <c r="A938" s="20" t="s">
        <v>1184</v>
      </c>
      <c r="B938" s="21" t="s">
        <v>764</v>
      </c>
      <c r="C938" s="21" t="s">
        <v>753</v>
      </c>
      <c r="D938" s="21" t="s">
        <v>730</v>
      </c>
      <c r="E938" s="22">
        <f>IF(D938="?OLD","!!!","")</f>
        <v/>
      </c>
      <c r="F938" s="23" t="str">
        <f>IF(OR(E938="",E938="!!!"),"",IF(NOT(ISNA(VLOOKUP(E938,E$1:E937,1,FALSE()))),"OLD",IF(AND(E938&lt;&gt;"",E938&lt;&gt;"!!!"),"NEW","")))</f>
        <v> </v>
      </c>
      <c r="G938" s="24" t="str">
        <f>IF(OR(E938="",E938="!!!"),"",IF(OR(J938=0,AND(J938=1,K938=1),AND(J938=1,I938="SBJ"),AND(J938=1,I938=0)),"?IN_FOCUS",IF(J938&lt;=2,"?ACTIVATED",IF(J938&lt;&gt;"","?FAMILIAR",IF(F938="NEW",IF(ISNA(VLOOKUP(E938,#REF!,1,FALSE())),"?TYPE_IDENTIFIABLE","?REFERENTIAL"),"_")))))</f>
        <v> </v>
      </c>
      <c r="H938" s="25" t="str">
        <f>IF(J938&lt;&gt;1,"",IF(I938="SBJ","CB","?"))</f>
        <v> </v>
      </c>
      <c r="I938" s="26" t="str">
        <f>IF(OR(E938="",E938="!!!",F938="NEW"),"",INDEX(B937:B$2,-1+SUMPRODUCT(MAX(ROW(E937:E$2)*(E938=E937:E$2)))))</f>
        <v> </v>
      </c>
      <c r="J938" s="26" t="str">
        <f>IF(OR(E938="",E938="!!!",F938="NEW"),"",COUNTBLANK(OFFSET(A$1,,,SUMPRODUCT(MAX(ROW(E$2:E938)*(E938=E$2:E938)))))-COUNTBLANK(OFFSET(A$1,,,SUMPRODUCT(MAX(ROW(E$1:E937)*(E2=E$1:E937))))))</f>
        <v> </v>
      </c>
      <c r="K938" s="26" t="str">
        <f>IF(OR(E938="",E938="!!!",F938="NEW"),"",INDEX(J$1:J937,SUMPRODUCT(MAX(ROW(E$1:E937)*(E938=E$1:E937)))))</f>
        <v> </v>
      </c>
      <c r="L938" s="27"/>
    </row>
    <row r="939" spans="1:12">
      <c r="A939" s="20" t="s">
        <v>759</v>
      </c>
      <c r="E939" s="22">
        <f>IF(D939="?OLD","!!!","")</f>
        <v/>
      </c>
      <c r="F939" s="23" t="str">
        <f>IF(OR(E939="",E939="!!!"),"",IF(NOT(ISNA(VLOOKUP(E939,E$1:E938,1,FALSE()))),"OLD",IF(AND(E939&lt;&gt;"",E939&lt;&gt;"!!!"),"NEW","")))</f>
        <v> </v>
      </c>
      <c r="G939" s="24" t="str">
        <f>IF(OR(E939="",E939="!!!"),"",IF(OR(J939=0,AND(J939=1,K939=1),AND(J939=1,I939="SBJ"),AND(J939=1,I939=0)),"?IN_FOCUS",IF(J939&lt;=2,"?ACTIVATED",IF(J939&lt;&gt;"","?FAMILIAR",IF(F939="NEW",IF(ISNA(VLOOKUP(E939,#REF!,1,FALSE())),"?TYPE_IDENTIFIABLE","?REFERENTIAL"),"_")))))</f>
        <v> </v>
      </c>
      <c r="H939" s="25" t="str">
        <f>IF(J939&lt;&gt;1,"",IF(I939="SBJ","CB","?"))</f>
        <v> </v>
      </c>
      <c r="I939" s="26" t="str">
        <f>IF(OR(E939="",E939="!!!",F939="NEW"),"",INDEX(B938:B$2,-1+SUMPRODUCT(MAX(ROW(E938:E$2)*(E939=E938:E$2)))))</f>
        <v> </v>
      </c>
      <c r="J939" s="26" t="str">
        <f>IF(OR(E939="",E939="!!!",F939="NEW"),"",COUNTBLANK(OFFSET(A$1,,,SUMPRODUCT(MAX(ROW(E$2:E939)*(E939=E$2:E939)))))-COUNTBLANK(OFFSET(A$1,,,SUMPRODUCT(MAX(ROW(E$1:E938)*(E2=E$1:E938))))))</f>
        <v> </v>
      </c>
      <c r="K939" s="26" t="str">
        <f>IF(OR(E939="",E939="!!!",F939="NEW"),"",INDEX(J$1:J938,SUMPRODUCT(MAX(ROW(E$1:E938)*(E939=E$1:E938)))))</f>
        <v> </v>
      </c>
      <c r="L939" s="27"/>
    </row>
    <row r="940" spans="1:12">
      <c r="A940" s="20" t="s">
        <v>813</v>
      </c>
      <c r="B940" s="21" t="s">
        <v>788</v>
      </c>
      <c r="E940" s="22">
        <f>IF(D940="?OLD","!!!","")</f>
        <v/>
      </c>
      <c r="F940" s="23" t="str">
        <f>IF(OR(E940="",E940="!!!"),"",IF(NOT(ISNA(VLOOKUP(E940,E$1:E939,1,FALSE()))),"OLD",IF(AND(E940&lt;&gt;"",E940&lt;&gt;"!!!"),"NEW","")))</f>
        <v> </v>
      </c>
      <c r="G940" s="24" t="str">
        <f>IF(OR(E940="",E940="!!!"),"",IF(OR(J940=0,AND(J940=1,K940=1),AND(J940=1,I940="SBJ"),AND(J940=1,I940=0)),"?IN_FOCUS",IF(J940&lt;=2,"?ACTIVATED",IF(J940&lt;&gt;"","?FAMILIAR",IF(F940="NEW",IF(ISNA(VLOOKUP(E940,#REF!,1,FALSE())),"?TYPE_IDENTIFIABLE","?REFERENTIAL"),"_")))))</f>
        <v> </v>
      </c>
      <c r="H940" s="25" t="str">
        <f>IF(J940&lt;&gt;1,"",IF(I940="SBJ","CB","?"))</f>
        <v> </v>
      </c>
      <c r="I940" s="26" t="str">
        <f>IF(OR(E940="",E940="!!!",F940="NEW"),"",INDEX(B939:B$2,-1+SUMPRODUCT(MAX(ROW(E939:E$2)*(E940=E939:E$2)))))</f>
        <v> </v>
      </c>
      <c r="J940" s="26" t="str">
        <f>IF(OR(E940="",E940="!!!",F940="NEW"),"",COUNTBLANK(OFFSET(A$1,,,SUMPRODUCT(MAX(ROW(E$2:E940)*(E940=E$2:E940)))))-COUNTBLANK(OFFSET(A$1,,,SUMPRODUCT(MAX(ROW(E$1:E939)*(E2=E$1:E939))))))</f>
        <v> </v>
      </c>
      <c r="K940" s="26" t="str">
        <f>IF(OR(E940="",E940="!!!",F940="NEW"),"",INDEX(J$1:J939,SUMPRODUCT(MAX(ROW(E$1:E939)*(E940=E$1:E939)))))</f>
        <v> </v>
      </c>
      <c r="L940" s="27"/>
    </row>
    <row r="941" spans="1:12">
      <c r="A941" s="20" t="s">
        <v>1115</v>
      </c>
      <c r="E941" s="22">
        <f>IF(D941="?OLD","!!!","")</f>
        <v/>
      </c>
      <c r="F941" s="23" t="str">
        <f>IF(OR(E941="",E941="!!!"),"",IF(NOT(ISNA(VLOOKUP(E941,E$1:E940,1,FALSE()))),"OLD",IF(AND(E941&lt;&gt;"",E941&lt;&gt;"!!!"),"NEW","")))</f>
        <v> </v>
      </c>
      <c r="G941" s="24" t="str">
        <f>IF(OR(E941="",E941="!!!"),"",IF(OR(J941=0,AND(J941=1,K941=1),AND(J941=1,I941="SBJ"),AND(J941=1,I941=0)),"?IN_FOCUS",IF(J941&lt;=2,"?ACTIVATED",IF(J941&lt;&gt;"","?FAMILIAR",IF(F941="NEW",IF(ISNA(VLOOKUP(E941,#REF!,1,FALSE())),"?TYPE_IDENTIFIABLE","?REFERENTIAL"),"_")))))</f>
        <v> </v>
      </c>
      <c r="H941" s="25" t="str">
        <f>IF(J941&lt;&gt;1,"",IF(I941="SBJ","CB","?"))</f>
        <v> </v>
      </c>
      <c r="I941" s="26" t="str">
        <f>IF(OR(E941="",E941="!!!",F941="NEW"),"",INDEX(B940:B$2,-1+SUMPRODUCT(MAX(ROW(E940:E$2)*(E941=E940:E$2)))))</f>
        <v> </v>
      </c>
      <c r="J941" s="26" t="str">
        <f>IF(OR(E941="",E941="!!!",F941="NEW"),"",COUNTBLANK(OFFSET(A$1,,,SUMPRODUCT(MAX(ROW(E$2:E941)*(E941=E$2:E941)))))-COUNTBLANK(OFFSET(A$1,,,SUMPRODUCT(MAX(ROW(E$1:E940)*(E2=E$1:E940))))))</f>
        <v> </v>
      </c>
      <c r="K941" s="26" t="str">
        <f>IF(OR(E941="",E941="!!!",F941="NEW"),"",INDEX(J$1:J940,SUMPRODUCT(MAX(ROW(E$1:E940)*(E941=E$1:E940)))))</f>
        <v> </v>
      </c>
      <c r="L941" s="27"/>
    </row>
    <row r="942" spans="1:12">
      <c r="A942" s="20" t="s">
        <v>773</v>
      </c>
      <c r="E942" s="22">
        <f>IF(D942="?OLD","!!!","")</f>
        <v/>
      </c>
      <c r="F942" s="23" t="str">
        <f>IF(OR(E942="",E942="!!!"),"",IF(NOT(ISNA(VLOOKUP(E942,E$1:E941,1,FALSE()))),"OLD",IF(AND(E942&lt;&gt;"",E942&lt;&gt;"!!!"),"NEW","")))</f>
        <v> </v>
      </c>
      <c r="G942" s="24" t="str">
        <f>IF(OR(E942="",E942="!!!"),"",IF(OR(J942=0,AND(J942=1,K942=1),AND(J942=1,I942="SBJ"),AND(J942=1,I942=0)),"?IN_FOCUS",IF(J942&lt;=2,"?ACTIVATED",IF(J942&lt;&gt;"","?FAMILIAR",IF(F942="NEW",IF(ISNA(VLOOKUP(E942,#REF!,1,FALSE())),"?TYPE_IDENTIFIABLE","?REFERENTIAL"),"_")))))</f>
        <v> </v>
      </c>
      <c r="H942" s="25" t="str">
        <f>IF(J942&lt;&gt;1,"",IF(I942="SBJ","CB","?"))</f>
        <v> </v>
      </c>
      <c r="I942" s="26" t="str">
        <f>IF(OR(E942="",E942="!!!",F942="NEW"),"",INDEX(B941:B$2,-1+SUMPRODUCT(MAX(ROW(E941:E$2)*(E942=E941:E$2)))))</f>
        <v> </v>
      </c>
      <c r="J942" s="26" t="str">
        <f>IF(OR(E942="",E942="!!!",F942="NEW"),"",COUNTBLANK(OFFSET(A$1,,,SUMPRODUCT(MAX(ROW(E$2:E942)*(E942=E$2:E942)))))-COUNTBLANK(OFFSET(A$1,,,SUMPRODUCT(MAX(ROW(E$1:E941)*(E2=E$1:E941))))))</f>
        <v> </v>
      </c>
      <c r="K942" s="26" t="str">
        <f>IF(OR(E942="",E942="!!!",F942="NEW"),"",INDEX(J$1:J941,SUMPRODUCT(MAX(ROW(E$1:E941)*(E942=E$1:E941)))))</f>
        <v> </v>
      </c>
      <c r="L942" s="27"/>
    </row>
    <row r="943" spans="1:12">
      <c r="A943" s="20" t="s">
        <v>774</v>
      </c>
      <c r="E943" s="22">
        <f>IF(D943="?OLD","!!!","")</f>
        <v/>
      </c>
      <c r="F943" s="23" t="str">
        <f>IF(OR(E943="",E943="!!!"),"",IF(NOT(ISNA(VLOOKUP(E943,E$1:E942,1,FALSE()))),"OLD",IF(AND(E943&lt;&gt;"",E943&lt;&gt;"!!!"),"NEW","")))</f>
        <v> </v>
      </c>
      <c r="G943" s="24" t="str">
        <f>IF(OR(E943="",E943="!!!"),"",IF(OR(J943=0,AND(J943=1,K943=1),AND(J943=1,I943="SBJ"),AND(J943=1,I943=0)),"?IN_FOCUS",IF(J943&lt;=2,"?ACTIVATED",IF(J943&lt;&gt;"","?FAMILIAR",IF(F943="NEW",IF(ISNA(VLOOKUP(E943,#REF!,1,FALSE())),"?TYPE_IDENTIFIABLE","?REFERENTIAL"),"_")))))</f>
        <v> </v>
      </c>
      <c r="H943" s="25" t="str">
        <f>IF(J943&lt;&gt;1,"",IF(I943="SBJ","CB","?"))</f>
        <v> </v>
      </c>
      <c r="I943" s="26" t="str">
        <f>IF(OR(E943="",E943="!!!",F943="NEW"),"",INDEX(B942:B$2,-1+SUMPRODUCT(MAX(ROW(E942:E$2)*(E943=E942:E$2)))))</f>
        <v> </v>
      </c>
      <c r="J943" s="26" t="str">
        <f>IF(OR(E943="",E943="!!!",F943="NEW"),"",COUNTBLANK(OFFSET(A$1,,,SUMPRODUCT(MAX(ROW(E$2:E943)*(E943=E$2:E943)))))-COUNTBLANK(OFFSET(A$1,,,SUMPRODUCT(MAX(ROW(E$1:E942)*(E2=E$1:E942))))))</f>
        <v> </v>
      </c>
      <c r="K943" s="26" t="str">
        <f>IF(OR(E943="",E943="!!!",F943="NEW"),"",INDEX(J$1:J942,SUMPRODUCT(MAX(ROW(E$1:E942)*(E943=E$1:E942)))))</f>
        <v> </v>
      </c>
      <c r="L943" s="27"/>
    </row>
    <row r="944" spans="1:12">
      <c r="A944" s="20" t="s">
        <v>1168</v>
      </c>
      <c r="B944" s="21" t="s">
        <v>755</v>
      </c>
      <c r="C944" s="21" t="s">
        <v>737</v>
      </c>
      <c r="E944" s="22">
        <f>IF(D944="?OLD","!!!","")</f>
        <v/>
      </c>
      <c r="F944" s="23" t="str">
        <f>IF(OR(E944="",E944="!!!"),"",IF(NOT(ISNA(VLOOKUP(E944,E$1:E943,1,FALSE()))),"OLD",IF(AND(E944&lt;&gt;"",E944&lt;&gt;"!!!"),"NEW","")))</f>
        <v> </v>
      </c>
      <c r="G944" s="24" t="str">
        <f>IF(OR(E944="",E944="!!!"),"",IF(OR(J944=0,AND(J944=1,K944=1),AND(J944=1,I944="SBJ"),AND(J944=1,I944=0)),"?IN_FOCUS",IF(J944&lt;=2,"?ACTIVATED",IF(J944&lt;&gt;"","?FAMILIAR",IF(F944="NEW",IF(ISNA(VLOOKUP(E944,#REF!,1,FALSE())),"?TYPE_IDENTIFIABLE","?REFERENTIAL"),"_")))))</f>
        <v> </v>
      </c>
      <c r="H944" s="25" t="str">
        <f>IF(J944&lt;&gt;1,"",IF(I944="SBJ","CB","?"))</f>
        <v> </v>
      </c>
      <c r="I944" s="26" t="str">
        <f>IF(OR(E944="",E944="!!!",F944="NEW"),"",INDEX(B943:B$2,-1+SUMPRODUCT(MAX(ROW(E943:E$2)*(E944=E943:E$2)))))</f>
        <v> </v>
      </c>
      <c r="J944" s="26" t="str">
        <f>IF(OR(E944="",E944="!!!",F944="NEW"),"",COUNTBLANK(OFFSET(A$1,,,SUMPRODUCT(MAX(ROW(E$2:E944)*(E944=E$2:E944)))))-COUNTBLANK(OFFSET(A$1,,,SUMPRODUCT(MAX(ROW(E$1:E943)*(E2=E$1:E943))))))</f>
        <v> </v>
      </c>
      <c r="K944" s="26" t="str">
        <f>IF(OR(E944="",E944="!!!",F944="NEW"),"",INDEX(J$1:J943,SUMPRODUCT(MAX(ROW(E$1:E943)*(E944=E$1:E943)))))</f>
        <v> </v>
      </c>
      <c r="L944" s="27"/>
    </row>
    <row r="945" spans="1:12">
      <c r="A945" s="20" t="s">
        <v>754</v>
      </c>
      <c r="E945" s="22">
        <f>IF(D945="?OLD","!!!","")</f>
        <v/>
      </c>
      <c r="F945" s="23" t="str">
        <f>IF(OR(E945="",E945="!!!"),"",IF(NOT(ISNA(VLOOKUP(E945,E$1:E944,1,FALSE()))),"OLD",IF(AND(E945&lt;&gt;"",E945&lt;&gt;"!!!"),"NEW","")))</f>
        <v> </v>
      </c>
      <c r="G945" s="24" t="str">
        <f>IF(OR(E945="",E945="!!!"),"",IF(OR(J945=0,AND(J945=1,K945=1),AND(J945=1,I945="SBJ"),AND(J945=1,I945=0)),"?IN_FOCUS",IF(J945&lt;=2,"?ACTIVATED",IF(J945&lt;&gt;"","?FAMILIAR",IF(F945="NEW",IF(ISNA(VLOOKUP(E945,#REF!,1,FALSE())),"?TYPE_IDENTIFIABLE","?REFERENTIAL"),"_")))))</f>
        <v> </v>
      </c>
      <c r="H945" s="25" t="str">
        <f>IF(J945&lt;&gt;1,"",IF(I945="SBJ","CB","?"))</f>
        <v> </v>
      </c>
      <c r="I945" s="26" t="str">
        <f>IF(OR(E945="",E945="!!!",F945="NEW"),"",INDEX(B944:B$2,-1+SUMPRODUCT(MAX(ROW(E944:E$2)*(E945=E944:E$2)))))</f>
        <v> </v>
      </c>
      <c r="J945" s="26" t="str">
        <f>IF(OR(E945="",E945="!!!",F945="NEW"),"",COUNTBLANK(OFFSET(A$1,,,SUMPRODUCT(MAX(ROW(E$2:E945)*(E945=E$2:E945)))))-COUNTBLANK(OFFSET(A$1,,,SUMPRODUCT(MAX(ROW(E$1:E944)*(E2=E$1:E944))))))</f>
        <v> </v>
      </c>
      <c r="K945" s="26" t="str">
        <f>IF(OR(E945="",E945="!!!",F945="NEW"),"",INDEX(J$1:J944,SUMPRODUCT(MAX(ROW(E$1:E944)*(E945=E$1:E944)))))</f>
        <v> </v>
      </c>
      <c r="L945" s="27"/>
    </row>
    <row r="946" spans="1:12">
      <c r="A946" s="20" t="s">
        <v>195</v>
      </c>
      <c r="E946" s="22">
        <f>IF(D946="?OLD","!!!","")</f>
        <v/>
      </c>
      <c r="F946" s="23" t="str">
        <f>IF(OR(E946="",E946="!!!"),"",IF(NOT(ISNA(VLOOKUP(E946,E$1:E945,1,FALSE()))),"OLD",IF(AND(E946&lt;&gt;"",E946&lt;&gt;"!!!"),"NEW","")))</f>
        <v> </v>
      </c>
      <c r="G946" s="24" t="str">
        <f>IF(OR(E946="",E946="!!!"),"",IF(OR(J946=0,AND(J946=1,K946=1),AND(J946=1,I946="SBJ"),AND(J946=1,I946=0)),"?IN_FOCUS",IF(J946&lt;=2,"?ACTIVATED",IF(J946&lt;&gt;"","?FAMILIAR",IF(F946="NEW",IF(ISNA(VLOOKUP(E946,#REF!,1,FALSE())),"?TYPE_IDENTIFIABLE","?REFERENTIAL"),"_")))))</f>
        <v> </v>
      </c>
      <c r="H946" s="25" t="str">
        <f>IF(J946&lt;&gt;1,"",IF(I946="SBJ","CB","?"))</f>
        <v> </v>
      </c>
      <c r="I946" s="26" t="str">
        <f>IF(OR(E946="",E946="!!!",F946="NEW"),"",INDEX(B945:B$2,-1+SUMPRODUCT(MAX(ROW(E945:E$2)*(E946=E945:E$2)))))</f>
        <v> </v>
      </c>
      <c r="J946" s="26" t="str">
        <f>IF(OR(E946="",E946="!!!",F946="NEW"),"",COUNTBLANK(OFFSET(A$1,,,SUMPRODUCT(MAX(ROW(E$2:E946)*(E946=E$2:E946)))))-COUNTBLANK(OFFSET(A$1,,,SUMPRODUCT(MAX(ROW(E$1:E945)*(E2=E$1:E945))))))</f>
        <v> </v>
      </c>
      <c r="K946" s="26" t="str">
        <f>IF(OR(E946="",E946="!!!",F946="NEW"),"",INDEX(J$1:J945,SUMPRODUCT(MAX(ROW(E$1:E945)*(E946=E$1:E945)))))</f>
        <v> </v>
      </c>
      <c r="L946" s="27"/>
    </row>
    <row r="947" spans="1:12">
      <c r="A947" s="20" t="s">
        <v>811</v>
      </c>
      <c r="E947" s="22">
        <f>IF(D947="?OLD","!!!","")</f>
        <v/>
      </c>
      <c r="F947" s="23" t="str">
        <f>IF(OR(E947="",E947="!!!"),"",IF(NOT(ISNA(VLOOKUP(E947,E$1:E946,1,FALSE()))),"OLD",IF(AND(E947&lt;&gt;"",E947&lt;&gt;"!!!"),"NEW","")))</f>
        <v> </v>
      </c>
      <c r="G947" s="24" t="str">
        <f>IF(OR(E947="",E947="!!!"),"",IF(OR(J947=0,AND(J947=1,K947=1),AND(J947=1,I947="SBJ"),AND(J947=1,I947=0)),"?IN_FOCUS",IF(J947&lt;=2,"?ACTIVATED",IF(J947&lt;&gt;"","?FAMILIAR",IF(F947="NEW",IF(ISNA(VLOOKUP(E947,#REF!,1,FALSE())),"?TYPE_IDENTIFIABLE","?REFERENTIAL"),"_")))))</f>
        <v> </v>
      </c>
      <c r="H947" s="25" t="str">
        <f>IF(J947&lt;&gt;1,"",IF(I947="SBJ","CB","?"))</f>
        <v> </v>
      </c>
      <c r="I947" s="26" t="str">
        <f>IF(OR(E947="",E947="!!!",F947="NEW"),"",INDEX(B946:B$2,-1+SUMPRODUCT(MAX(ROW(E946:E$2)*(E947=E946:E$2)))))</f>
        <v> </v>
      </c>
      <c r="J947" s="26" t="str">
        <f>IF(OR(E947="",E947="!!!",F947="NEW"),"",COUNTBLANK(OFFSET(A$1,,,SUMPRODUCT(MAX(ROW(E$2:E947)*(E947=E$2:E947)))))-COUNTBLANK(OFFSET(A$1,,,SUMPRODUCT(MAX(ROW(E$1:E946)*(E2=E$1:E946))))))</f>
        <v> </v>
      </c>
      <c r="K947" s="26" t="str">
        <f>IF(OR(E947="",E947="!!!",F947="NEW"),"",INDEX(J$1:J946,SUMPRODUCT(MAX(ROW(E$1:E946)*(E947=E$1:E946)))))</f>
        <v> </v>
      </c>
      <c r="L947" s="27"/>
    </row>
    <row r="948" spans="1:12">
      <c r="A948" s="20" t="s">
        <v>246</v>
      </c>
      <c r="E948" s="22">
        <f>IF(D948="?OLD","!!!","")</f>
        <v/>
      </c>
      <c r="F948" s="23" t="str">
        <f>IF(OR(E948="",E948="!!!"),"",IF(NOT(ISNA(VLOOKUP(E948,E$1:E947,1,FALSE()))),"OLD",IF(AND(E948&lt;&gt;"",E948&lt;&gt;"!!!"),"NEW","")))</f>
        <v> </v>
      </c>
      <c r="G948" s="24" t="str">
        <f>IF(OR(E948="",E948="!!!"),"",IF(OR(J948=0,AND(J948=1,K948=1),AND(J948=1,I948="SBJ"),AND(J948=1,I948=0)),"?IN_FOCUS",IF(J948&lt;=2,"?ACTIVATED",IF(J948&lt;&gt;"","?FAMILIAR",IF(F948="NEW",IF(ISNA(VLOOKUP(E948,#REF!,1,FALSE())),"?TYPE_IDENTIFIABLE","?REFERENTIAL"),"_")))))</f>
        <v> </v>
      </c>
      <c r="H948" s="25" t="str">
        <f>IF(J948&lt;&gt;1,"",IF(I948="SBJ","CB","?"))</f>
        <v> </v>
      </c>
      <c r="I948" s="26" t="str">
        <f>IF(OR(E948="",E948="!!!",F948="NEW"),"",INDEX(B947:B$2,-1+SUMPRODUCT(MAX(ROW(E947:E$2)*(E948=E947:E$2)))))</f>
        <v> </v>
      </c>
      <c r="J948" s="26" t="str">
        <f>IF(OR(E948="",E948="!!!",F948="NEW"),"",COUNTBLANK(OFFSET(A$1,,,SUMPRODUCT(MAX(ROW(E$2:E948)*(E948=E$2:E948)))))-COUNTBLANK(OFFSET(A$1,,,SUMPRODUCT(MAX(ROW(E$1:E947)*(E2=E$1:E947))))))</f>
        <v> </v>
      </c>
      <c r="K948" s="26" t="str">
        <f>IF(OR(E948="",E948="!!!",F948="NEW"),"",INDEX(J$1:J947,SUMPRODUCT(MAX(ROW(E$1:E947)*(E948=E$1:E947)))))</f>
        <v> </v>
      </c>
      <c r="L948" s="27"/>
    </row>
    <row r="949" spans="1:12">
      <c r="A949" s="20"/>
    </row>
    <row r="950" spans="1:12">
      <c r="A950" s="20" t="s">
        <v>1185</v>
      </c>
    </row>
    <row r="951" spans="1:12">
      <c r="A951" s="20" t="s">
        <v>1186</v>
      </c>
      <c r="E951" s="22">
        <f>IF(D951="?OLD","!!!","")</f>
        <v/>
      </c>
      <c r="F951" s="23" t="str">
        <f>IF(OR(E951="",E951="!!!"),"",IF(NOT(ISNA(VLOOKUP(E951,E$1:E950,1,FALSE()))),"OLD",IF(AND(E951&lt;&gt;"",E951&lt;&gt;"!!!"),"NEW","")))</f>
        <v> </v>
      </c>
      <c r="G951" s="24" t="str">
        <f>IF(OR(E951="",E951="!!!"),"",IF(OR(J951=0,AND(J951=1,K951=1),AND(J951=1,I951="SBJ"),AND(J951=1,I951=0)),"?IN_FOCUS",IF(J951&lt;=2,"?ACTIVATED",IF(J951&lt;&gt;"","?FAMILIAR",IF(F951="NEW",IF(ISNA(VLOOKUP(E951,#REF!,1,FALSE())),"?TYPE_IDENTIFIABLE","?REFERENTIAL"),"_")))))</f>
        <v> </v>
      </c>
      <c r="H951" s="25" t="str">
        <f>IF(J951&lt;&gt;1,"",IF(I951="SBJ","CB","?"))</f>
        <v> </v>
      </c>
      <c r="I951" s="26" t="str">
        <f>IF(OR(E951="",E951="!!!",F951="NEW"),"",INDEX(B950:B$2,-1+SUMPRODUCT(MAX(ROW(E950:E$2)*(E951=E950:E$2)))))</f>
        <v> </v>
      </c>
      <c r="J951" s="26" t="str">
        <f>IF(OR(E951="",E951="!!!",F951="NEW"),"",COUNTBLANK(OFFSET(A$1,,,SUMPRODUCT(MAX(ROW(E$2:E951)*(E951=E$2:E951)))))-COUNTBLANK(OFFSET(A$1,,,SUMPRODUCT(MAX(ROW(E$1:E950)*(E2=E$1:E950))))))</f>
        <v> </v>
      </c>
      <c r="K951" s="26" t="str">
        <f>IF(OR(E951="",E951="!!!",F951="NEW"),"",INDEX(J$1:J950,SUMPRODUCT(MAX(ROW(E$1:E950)*(E951=E$1:E950)))))</f>
        <v> </v>
      </c>
      <c r="L951" s="27"/>
    </row>
    <row r="952" spans="1:12">
      <c r="A952" s="20" t="s">
        <v>1168</v>
      </c>
      <c r="B952" s="21" t="s">
        <v>728</v>
      </c>
      <c r="C952" s="21" t="s">
        <v>753</v>
      </c>
      <c r="D952" s="21" t="s">
        <v>730</v>
      </c>
      <c r="E952" s="22">
        <f>IF(D952="?OLD","!!!","")</f>
        <v/>
      </c>
      <c r="F952" s="23" t="str">
        <f>IF(OR(E952="",E952="!!!"),"",IF(NOT(ISNA(VLOOKUP(E952,E$1:E951,1,FALSE()))),"OLD",IF(AND(E952&lt;&gt;"",E952&lt;&gt;"!!!"),"NEW","")))</f>
        <v> </v>
      </c>
      <c r="G952" s="24" t="str">
        <f>IF(OR(E952="",E952="!!!"),"",IF(OR(J952=0,AND(J952=1,K952=1),AND(J952=1,I952="SBJ"),AND(J952=1,I952=0)),"?IN_FOCUS",IF(J952&lt;=2,"?ACTIVATED",IF(J952&lt;&gt;"","?FAMILIAR",IF(F952="NEW",IF(ISNA(VLOOKUP(E952,#REF!,1,FALSE())),"?TYPE_IDENTIFIABLE","?REFERENTIAL"),"_")))))</f>
        <v> </v>
      </c>
      <c r="H952" s="25" t="str">
        <f>IF(J952&lt;&gt;1,"",IF(I952="SBJ","CB","?"))</f>
        <v> </v>
      </c>
      <c r="I952" s="26" t="str">
        <f>IF(OR(E952="",E952="!!!",F952="NEW"),"",INDEX(B951:B$2,-1+SUMPRODUCT(MAX(ROW(E951:E$2)*(E952=E951:E$2)))))</f>
        <v> </v>
      </c>
      <c r="J952" s="26" t="str">
        <f>IF(OR(E952="",E952="!!!",F952="NEW"),"",COUNTBLANK(OFFSET(A$1,,,SUMPRODUCT(MAX(ROW(E$2:E952)*(E952=E$2:E952)))))-COUNTBLANK(OFFSET(A$1,,,SUMPRODUCT(MAX(ROW(E$1:E951)*(E2=E$1:E951))))))</f>
        <v> </v>
      </c>
      <c r="K952" s="26" t="str">
        <f>IF(OR(E952="",E952="!!!",F952="NEW"),"",INDEX(J$1:J951,SUMPRODUCT(MAX(ROW(E$1:E951)*(E952=E$1:E951)))))</f>
        <v> </v>
      </c>
      <c r="L952" s="27"/>
    </row>
    <row r="953" spans="1:12">
      <c r="A953" s="20" t="s">
        <v>827</v>
      </c>
      <c r="E953" s="22">
        <f>IF(D953="?OLD","!!!","")</f>
        <v/>
      </c>
      <c r="F953" s="23" t="str">
        <f>IF(OR(E953="",E953="!!!"),"",IF(NOT(ISNA(VLOOKUP(E953,E$1:E952,1,FALSE()))),"OLD",IF(AND(E953&lt;&gt;"",E953&lt;&gt;"!!!"),"NEW","")))</f>
        <v> </v>
      </c>
      <c r="G953" s="24" t="str">
        <f>IF(OR(E953="",E953="!!!"),"",IF(OR(J953=0,AND(J953=1,K953=1),AND(J953=1,I953="SBJ"),AND(J953=1,I953=0)),"?IN_FOCUS",IF(J953&lt;=2,"?ACTIVATED",IF(J953&lt;&gt;"","?FAMILIAR",IF(F953="NEW",IF(ISNA(VLOOKUP(E953,#REF!,1,FALSE())),"?TYPE_IDENTIFIABLE","?REFERENTIAL"),"_")))))</f>
        <v> </v>
      </c>
      <c r="H953" s="25" t="str">
        <f>IF(J953&lt;&gt;1,"",IF(I953="SBJ","CB","?"))</f>
        <v> </v>
      </c>
      <c r="I953" s="26" t="str">
        <f>IF(OR(E953="",E953="!!!",F953="NEW"),"",INDEX(B952:B$2,-1+SUMPRODUCT(MAX(ROW(E952:E$2)*(E953=E952:E$2)))))</f>
        <v> </v>
      </c>
      <c r="J953" s="26" t="str">
        <f>IF(OR(E953="",E953="!!!",F953="NEW"),"",COUNTBLANK(OFFSET(A$1,,,SUMPRODUCT(MAX(ROW(E$2:E953)*(E953=E$2:E953)))))-COUNTBLANK(OFFSET(A$1,,,SUMPRODUCT(MAX(ROW(E$1:E952)*(E2=E$1:E952))))))</f>
        <v> </v>
      </c>
      <c r="K953" s="26" t="str">
        <f>IF(OR(E953="",E953="!!!",F953="NEW"),"",INDEX(J$1:J952,SUMPRODUCT(MAX(ROW(E$1:E952)*(E953=E$1:E952)))))</f>
        <v> </v>
      </c>
      <c r="L953" s="27"/>
    </row>
    <row r="954" spans="1:12">
      <c r="A954" s="20" t="s">
        <v>1170</v>
      </c>
      <c r="E954" s="22">
        <f>IF(D954="?OLD","!!!","")</f>
        <v/>
      </c>
      <c r="F954" s="23" t="str">
        <f>IF(OR(E954="",E954="!!!"),"",IF(NOT(ISNA(VLOOKUP(E954,E$1:E953,1,FALSE()))),"OLD",IF(AND(E954&lt;&gt;"",E954&lt;&gt;"!!!"),"NEW","")))</f>
        <v> </v>
      </c>
      <c r="G954" s="24" t="str">
        <f>IF(OR(E954="",E954="!!!"),"",IF(OR(J954=0,AND(J954=1,K954=1),AND(J954=1,I954="SBJ"),AND(J954=1,I954=0)),"?IN_FOCUS",IF(J954&lt;=2,"?ACTIVATED",IF(J954&lt;&gt;"","?FAMILIAR",IF(F954="NEW",IF(ISNA(VLOOKUP(E954,#REF!,1,FALSE())),"?TYPE_IDENTIFIABLE","?REFERENTIAL"),"_")))))</f>
        <v> </v>
      </c>
      <c r="H954" s="25" t="str">
        <f>IF(J954&lt;&gt;1,"",IF(I954="SBJ","CB","?"))</f>
        <v> </v>
      </c>
      <c r="I954" s="26" t="str">
        <f>IF(OR(E954="",E954="!!!",F954="NEW"),"",INDEX(B953:B$2,-1+SUMPRODUCT(MAX(ROW(E953:E$2)*(E954=E953:E$2)))))</f>
        <v> </v>
      </c>
      <c r="J954" s="26" t="str">
        <f>IF(OR(E954="",E954="!!!",F954="NEW"),"",COUNTBLANK(OFFSET(A$1,,,SUMPRODUCT(MAX(ROW(E$2:E954)*(E954=E$2:E954)))))-COUNTBLANK(OFFSET(A$1,,,SUMPRODUCT(MAX(ROW(E$1:E953)*(E2=E$1:E953))))))</f>
        <v> </v>
      </c>
      <c r="K954" s="26" t="str">
        <f>IF(OR(E954="",E954="!!!",F954="NEW"),"",INDEX(J$1:J953,SUMPRODUCT(MAX(ROW(E$1:E953)*(E954=E$1:E953)))))</f>
        <v> </v>
      </c>
      <c r="L954" s="27"/>
    </row>
    <row r="955" spans="1:12">
      <c r="A955" s="20" t="s">
        <v>1187</v>
      </c>
      <c r="B955" s="21" t="s">
        <v>739</v>
      </c>
      <c r="C955" s="21" t="s">
        <v>789</v>
      </c>
      <c r="D955" s="21" t="s">
        <v>730</v>
      </c>
      <c r="E955" s="22">
        <f>IF(D955="?OLD","!!!","")</f>
        <v/>
      </c>
      <c r="F955" s="23" t="str">
        <f>IF(OR(E955="",E955="!!!"),"",IF(NOT(ISNA(VLOOKUP(E955,E$1:E954,1,FALSE()))),"OLD",IF(AND(E955&lt;&gt;"",E955&lt;&gt;"!!!"),"NEW","")))</f>
        <v> </v>
      </c>
      <c r="G955" s="24" t="str">
        <f>IF(OR(E955="",E955="!!!"),"",IF(OR(J955=0,AND(J955=1,K955=1),AND(J955=1,I955="SBJ"),AND(J955=1,I955=0)),"?IN_FOCUS",IF(J955&lt;=2,"?ACTIVATED",IF(J955&lt;&gt;"","?FAMILIAR",IF(F955="NEW",IF(ISNA(VLOOKUP(E955,#REF!,1,FALSE())),"?TYPE_IDENTIFIABLE","?REFERENTIAL"),"_")))))</f>
        <v> </v>
      </c>
      <c r="H955" s="25" t="str">
        <f>IF(J955&lt;&gt;1,"",IF(I955="SBJ","CB","?"))</f>
        <v> </v>
      </c>
      <c r="I955" s="26" t="str">
        <f>IF(OR(E955="",E955="!!!",F955="NEW"),"",INDEX(B954:B$2,-1+SUMPRODUCT(MAX(ROW(E954:E$2)*(E955=E954:E$2)))))</f>
        <v> </v>
      </c>
      <c r="J955" s="26" t="str">
        <f>IF(OR(E955="",E955="!!!",F955="NEW"),"",COUNTBLANK(OFFSET(A$1,,,SUMPRODUCT(MAX(ROW(E$2:E955)*(E955=E$2:E955)))))-COUNTBLANK(OFFSET(A$1,,,SUMPRODUCT(MAX(ROW(E$1:E954)*(E2=E$1:E954))))))</f>
        <v> </v>
      </c>
      <c r="K955" s="26" t="str">
        <f>IF(OR(E955="",E955="!!!",F955="NEW"),"",INDEX(J$1:J954,SUMPRODUCT(MAX(ROW(E$1:E954)*(E955=E$1:E954)))))</f>
        <v> </v>
      </c>
      <c r="L955" s="27"/>
    </row>
    <row r="956" spans="1:12">
      <c r="A956" s="20" t="s">
        <v>1188</v>
      </c>
      <c r="B956" s="21" t="s">
        <v>764</v>
      </c>
      <c r="C956" s="21" t="s">
        <v>967</v>
      </c>
      <c r="E956" s="22">
        <f>IF(D956="?OLD","!!!","")</f>
        <v/>
      </c>
      <c r="F956" s="23" t="str">
        <f>IF(OR(E956="",E956="!!!"),"",IF(NOT(ISNA(VLOOKUP(E956,E$1:E955,1,FALSE()))),"OLD",IF(AND(E956&lt;&gt;"",E956&lt;&gt;"!!!"),"NEW","")))</f>
        <v> </v>
      </c>
      <c r="G956" s="24" t="str">
        <f>IF(OR(E956="",E956="!!!"),"",IF(OR(J956=0,AND(J956=1,K956=1),AND(J956=1,I956="SBJ"),AND(J956=1,I956=0)),"?IN_FOCUS",IF(J956&lt;=2,"?ACTIVATED",IF(J956&lt;&gt;"","?FAMILIAR",IF(F956="NEW",IF(ISNA(VLOOKUP(E956,#REF!,1,FALSE())),"?TYPE_IDENTIFIABLE","?REFERENTIAL"),"_")))))</f>
        <v> </v>
      </c>
      <c r="H956" s="25" t="str">
        <f>IF(J956&lt;&gt;1,"",IF(I956="SBJ","CB","?"))</f>
        <v> </v>
      </c>
      <c r="I956" s="26" t="str">
        <f>IF(OR(E956="",E956="!!!",F956="NEW"),"",INDEX(B955:B$2,-1+SUMPRODUCT(MAX(ROW(E955:E$2)*(E956=E955:E$2)))))</f>
        <v> </v>
      </c>
      <c r="J956" s="26" t="str">
        <f>IF(OR(E956="",E956="!!!",F956="NEW"),"",COUNTBLANK(OFFSET(A$1,,,SUMPRODUCT(MAX(ROW(E$2:E956)*(E956=E$2:E956)))))-COUNTBLANK(OFFSET(A$1,,,SUMPRODUCT(MAX(ROW(E$1:E955)*(E2=E$1:E955))))))</f>
        <v> </v>
      </c>
      <c r="K956" s="26" t="str">
        <f>IF(OR(E956="",E956="!!!",F956="NEW"),"",INDEX(J$1:J955,SUMPRODUCT(MAX(ROW(E$1:E955)*(E956=E$1:E955)))))</f>
        <v> </v>
      </c>
      <c r="L956" s="27"/>
    </row>
    <row r="957" spans="1:12">
      <c r="A957" s="20" t="s">
        <v>922</v>
      </c>
      <c r="B957" s="21" t="s">
        <v>791</v>
      </c>
      <c r="E957" s="22">
        <f>IF(D957="?OLD","!!!","")</f>
        <v/>
      </c>
      <c r="F957" s="23" t="str">
        <f>IF(OR(E957="",E957="!!!"),"",IF(NOT(ISNA(VLOOKUP(E957,E$1:E956,1,FALSE()))),"OLD",IF(AND(E957&lt;&gt;"",E957&lt;&gt;"!!!"),"NEW","")))</f>
        <v> </v>
      </c>
      <c r="G957" s="24" t="str">
        <f>IF(OR(E957="",E957="!!!"),"",IF(OR(J957=0,AND(J957=1,K957=1),AND(J957=1,I957="SBJ"),AND(J957=1,I957=0)),"?IN_FOCUS",IF(J957&lt;=2,"?ACTIVATED",IF(J957&lt;&gt;"","?FAMILIAR",IF(F957="NEW",IF(ISNA(VLOOKUP(E957,#REF!,1,FALSE())),"?TYPE_IDENTIFIABLE","?REFERENTIAL"),"_")))))</f>
        <v> </v>
      </c>
      <c r="H957" s="25" t="str">
        <f>IF(J957&lt;&gt;1,"",IF(I957="SBJ","CB","?"))</f>
        <v> </v>
      </c>
      <c r="I957" s="26" t="str">
        <f>IF(OR(E957="",E957="!!!",F957="NEW"),"",INDEX(B956:B$2,-1+SUMPRODUCT(MAX(ROW(E956:E$2)*(E957=E956:E$2)))))</f>
        <v> </v>
      </c>
      <c r="J957" s="26" t="str">
        <f>IF(OR(E957="",E957="!!!",F957="NEW"),"",COUNTBLANK(OFFSET(A$1,,,SUMPRODUCT(MAX(ROW(E$2:E957)*(E957=E$2:E957)))))-COUNTBLANK(OFFSET(A$1,,,SUMPRODUCT(MAX(ROW(E$1:E956)*(E2=E$1:E956))))))</f>
        <v> </v>
      </c>
      <c r="K957" s="26" t="str">
        <f>IF(OR(E957="",E957="!!!",F957="NEW"),"",INDEX(J$1:J956,SUMPRODUCT(MAX(ROW(E$1:E956)*(E957=E$1:E956)))))</f>
        <v> </v>
      </c>
      <c r="L957" s="27"/>
    </row>
    <row r="958" spans="1:12">
      <c r="A958" s="20" t="s">
        <v>759</v>
      </c>
      <c r="E958" s="22">
        <f>IF(D958="?OLD","!!!","")</f>
        <v/>
      </c>
      <c r="F958" s="23" t="str">
        <f>IF(OR(E958="",E958="!!!"),"",IF(NOT(ISNA(VLOOKUP(E958,E$1:E957,1,FALSE()))),"OLD",IF(AND(E958&lt;&gt;"",E958&lt;&gt;"!!!"),"NEW","")))</f>
        <v> </v>
      </c>
      <c r="G958" s="24" t="str">
        <f>IF(OR(E958="",E958="!!!"),"",IF(OR(J958=0,AND(J958=1,K958=1),AND(J958=1,I958="SBJ"),AND(J958=1,I958=0)),"?IN_FOCUS",IF(J958&lt;=2,"?ACTIVATED",IF(J958&lt;&gt;"","?FAMILIAR",IF(F958="NEW",IF(ISNA(VLOOKUP(E958,#REF!,1,FALSE())),"?TYPE_IDENTIFIABLE","?REFERENTIAL"),"_")))))</f>
        <v> </v>
      </c>
      <c r="H958" s="25" t="str">
        <f>IF(J958&lt;&gt;1,"",IF(I958="SBJ","CB","?"))</f>
        <v> </v>
      </c>
      <c r="I958" s="26" t="str">
        <f>IF(OR(E958="",E958="!!!",F958="NEW"),"",INDEX(B957:B$2,-1+SUMPRODUCT(MAX(ROW(E957:E$2)*(E958=E957:E$2)))))</f>
        <v> </v>
      </c>
      <c r="J958" s="26" t="str">
        <f>IF(OR(E958="",E958="!!!",F958="NEW"),"",COUNTBLANK(OFFSET(A$1,,,SUMPRODUCT(MAX(ROW(E$2:E958)*(E958=E$2:E958)))))-COUNTBLANK(OFFSET(A$1,,,SUMPRODUCT(MAX(ROW(E$1:E957)*(E2=E$1:E957))))))</f>
        <v> </v>
      </c>
      <c r="K958" s="26" t="str">
        <f>IF(OR(E958="",E958="!!!",F958="NEW"),"",INDEX(J$1:J957,SUMPRODUCT(MAX(ROW(E$1:E957)*(E958=E$1:E957)))))</f>
        <v> </v>
      </c>
      <c r="L958" s="27"/>
    </row>
    <row r="959" spans="1:12">
      <c r="A959" s="20" t="s">
        <v>1038</v>
      </c>
      <c r="E959" s="22">
        <f>IF(D959="?OLD","!!!","")</f>
        <v/>
      </c>
      <c r="F959" s="23" t="str">
        <f>IF(OR(E959="",E959="!!!"),"",IF(NOT(ISNA(VLOOKUP(E959,E$1:E958,1,FALSE()))),"OLD",IF(AND(E959&lt;&gt;"",E959&lt;&gt;"!!!"),"NEW","")))</f>
        <v> </v>
      </c>
      <c r="G959" s="24" t="str">
        <f>IF(OR(E959="",E959="!!!"),"",IF(OR(J959=0,AND(J959=1,K959=1),AND(J959=1,I959="SBJ"),AND(J959=1,I959=0)),"?IN_FOCUS",IF(J959&lt;=2,"?ACTIVATED",IF(J959&lt;&gt;"","?FAMILIAR",IF(F959="NEW",IF(ISNA(VLOOKUP(E959,#REF!,1,FALSE())),"?TYPE_IDENTIFIABLE","?REFERENTIAL"),"_")))))</f>
        <v> </v>
      </c>
      <c r="H959" s="25" t="str">
        <f>IF(J959&lt;&gt;1,"",IF(I959="SBJ","CB","?"))</f>
        <v> </v>
      </c>
      <c r="I959" s="26" t="str">
        <f>IF(OR(E959="",E959="!!!",F959="NEW"),"",INDEX(B958:B$2,-1+SUMPRODUCT(MAX(ROW(E958:E$2)*(E959=E958:E$2)))))</f>
        <v> </v>
      </c>
      <c r="J959" s="26" t="str">
        <f>IF(OR(E959="",E959="!!!",F959="NEW"),"",COUNTBLANK(OFFSET(A$1,,,SUMPRODUCT(MAX(ROW(E$2:E959)*(E959=E$2:E959)))))-COUNTBLANK(OFFSET(A$1,,,SUMPRODUCT(MAX(ROW(E$1:E958)*(E2=E$1:E958))))))</f>
        <v> </v>
      </c>
      <c r="K959" s="26" t="str">
        <f>IF(OR(E959="",E959="!!!",F959="NEW"),"",INDEX(J$1:J958,SUMPRODUCT(MAX(ROW(E$1:E958)*(E959=E$1:E958)))))</f>
        <v> </v>
      </c>
      <c r="L959" s="27"/>
    </row>
    <row r="960" spans="1:12">
      <c r="A960" s="20" t="s">
        <v>1189</v>
      </c>
      <c r="E960" s="22">
        <f>IF(D960="?OLD","!!!","")</f>
        <v/>
      </c>
      <c r="F960" s="23" t="str">
        <f>IF(OR(E960="",E960="!!!"),"",IF(NOT(ISNA(VLOOKUP(E960,E$1:E959,1,FALSE()))),"OLD",IF(AND(E960&lt;&gt;"",E960&lt;&gt;"!!!"),"NEW","")))</f>
        <v> </v>
      </c>
      <c r="G960" s="24" t="str">
        <f>IF(OR(E960="",E960="!!!"),"",IF(OR(J960=0,AND(J960=1,K960=1),AND(J960=1,I960="SBJ"),AND(J960=1,I960=0)),"?IN_FOCUS",IF(J960&lt;=2,"?ACTIVATED",IF(J960&lt;&gt;"","?FAMILIAR",IF(F960="NEW",IF(ISNA(VLOOKUP(E960,#REF!,1,FALSE())),"?TYPE_IDENTIFIABLE","?REFERENTIAL"),"_")))))</f>
        <v> </v>
      </c>
      <c r="H960" s="25" t="str">
        <f>IF(J960&lt;&gt;1,"",IF(I960="SBJ","CB","?"))</f>
        <v> </v>
      </c>
      <c r="I960" s="26" t="str">
        <f>IF(OR(E960="",E960="!!!",F960="NEW"),"",INDEX(B959:B$2,-1+SUMPRODUCT(MAX(ROW(E959:E$2)*(E960=E959:E$2)))))</f>
        <v> </v>
      </c>
      <c r="J960" s="26" t="str">
        <f>IF(OR(E960="",E960="!!!",F960="NEW"),"",COUNTBLANK(OFFSET(A$1,,,SUMPRODUCT(MAX(ROW(E$2:E960)*(E960=E$2:E960)))))-COUNTBLANK(OFFSET(A$1,,,SUMPRODUCT(MAX(ROW(E$1:E959)*(E2=E$1:E959))))))</f>
        <v> </v>
      </c>
      <c r="K960" s="26" t="str">
        <f>IF(OR(E960="",E960="!!!",F960="NEW"),"",INDEX(J$1:J959,SUMPRODUCT(MAX(ROW(E$1:E959)*(E960=E$1:E959)))))</f>
        <v> </v>
      </c>
      <c r="L960" s="27"/>
    </row>
    <row r="961" spans="1:12">
      <c r="A961" s="20" t="s">
        <v>1190</v>
      </c>
      <c r="E961" s="22">
        <f>IF(D961="?OLD","!!!","")</f>
        <v/>
      </c>
      <c r="F961" s="23" t="str">
        <f>IF(OR(E961="",E961="!!!"),"",IF(NOT(ISNA(VLOOKUP(E961,E$1:E960,1,FALSE()))),"OLD",IF(AND(E961&lt;&gt;"",E961&lt;&gt;"!!!"),"NEW","")))</f>
        <v> </v>
      </c>
      <c r="G961" s="24" t="str">
        <f>IF(OR(E961="",E961="!!!"),"",IF(OR(J961=0,AND(J961=1,K961=1),AND(J961=1,I961="SBJ"),AND(J961=1,I961=0)),"?IN_FOCUS",IF(J961&lt;=2,"?ACTIVATED",IF(J961&lt;&gt;"","?FAMILIAR",IF(F961="NEW",IF(ISNA(VLOOKUP(E961,#REF!,1,FALSE())),"?TYPE_IDENTIFIABLE","?REFERENTIAL"),"_")))))</f>
        <v> </v>
      </c>
      <c r="H961" s="25" t="str">
        <f>IF(J961&lt;&gt;1,"",IF(I961="SBJ","CB","?"))</f>
        <v> </v>
      </c>
      <c r="I961" s="26" t="str">
        <f>IF(OR(E961="",E961="!!!",F961="NEW"),"",INDEX(B960:B$2,-1+SUMPRODUCT(MAX(ROW(E960:E$2)*(E961=E960:E$2)))))</f>
        <v> </v>
      </c>
      <c r="J961" s="26" t="str">
        <f>IF(OR(E961="",E961="!!!",F961="NEW"),"",COUNTBLANK(OFFSET(A$1,,,SUMPRODUCT(MAX(ROW(E$2:E961)*(E961=E$2:E961)))))-COUNTBLANK(OFFSET(A$1,,,SUMPRODUCT(MAX(ROW(E$1:E960)*(E2=E$1:E960))))))</f>
        <v> </v>
      </c>
      <c r="K961" s="26" t="str">
        <f>IF(OR(E961="",E961="!!!",F961="NEW"),"",INDEX(J$1:J960,SUMPRODUCT(MAX(ROW(E$1:E960)*(E961=E$1:E960)))))</f>
        <v> </v>
      </c>
      <c r="L961" s="27"/>
    </row>
    <row r="962" spans="1:12">
      <c r="A962" s="20" t="s">
        <v>1030</v>
      </c>
      <c r="B962" s="21" t="s">
        <v>796</v>
      </c>
      <c r="C962" s="21" t="s">
        <v>729</v>
      </c>
      <c r="D962" s="21" t="s">
        <v>730</v>
      </c>
      <c r="E962" s="22">
        <f>IF(D962="?OLD","!!!","")</f>
        <v/>
      </c>
      <c r="F962" s="23" t="str">
        <f>IF(OR(E962="",E962="!!!"),"",IF(NOT(ISNA(VLOOKUP(E962,E$1:E961,1,FALSE()))),"OLD",IF(AND(E962&lt;&gt;"",E962&lt;&gt;"!!!"),"NEW","")))</f>
        <v> </v>
      </c>
      <c r="G962" s="24" t="str">
        <f>IF(OR(E962="",E962="!!!"),"",IF(OR(J962=0,AND(J962=1,K962=1),AND(J962=1,I962="SBJ"),AND(J962=1,I962=0)),"?IN_FOCUS",IF(J962&lt;=2,"?ACTIVATED",IF(J962&lt;&gt;"","?FAMILIAR",IF(F962="NEW",IF(ISNA(VLOOKUP(E962,#REF!,1,FALSE())),"?TYPE_IDENTIFIABLE","?REFERENTIAL"),"_")))))</f>
        <v> </v>
      </c>
      <c r="H962" s="25" t="str">
        <f>IF(J962&lt;&gt;1,"",IF(I962="SBJ","CB","?"))</f>
        <v> </v>
      </c>
      <c r="I962" s="26" t="str">
        <f>IF(OR(E962="",E962="!!!",F962="NEW"),"",INDEX(B961:B$2,-1+SUMPRODUCT(MAX(ROW(E961:E$2)*(E962=E961:E$2)))))</f>
        <v> </v>
      </c>
      <c r="J962" s="26" t="str">
        <f>IF(OR(E962="",E962="!!!",F962="NEW"),"",COUNTBLANK(OFFSET(A$1,,,SUMPRODUCT(MAX(ROW(E$2:E962)*(E962=E$2:E962)))))-COUNTBLANK(OFFSET(A$1,,,SUMPRODUCT(MAX(ROW(E$1:E961)*(E2=E$1:E961))))))</f>
        <v> </v>
      </c>
      <c r="K962" s="26" t="str">
        <f>IF(OR(E962="",E962="!!!",F962="NEW"),"",INDEX(J$1:J961,SUMPRODUCT(MAX(ROW(E$1:E961)*(E962=E$1:E961)))))</f>
        <v> </v>
      </c>
      <c r="L962" s="27"/>
    </row>
    <row r="963" spans="1:12">
      <c r="A963" s="20" t="s">
        <v>1191</v>
      </c>
      <c r="E963" s="22">
        <f>IF(D963="?OLD","!!!","")</f>
        <v/>
      </c>
      <c r="F963" s="23" t="str">
        <f>IF(OR(E963="",E963="!!!"),"",IF(NOT(ISNA(VLOOKUP(E963,E$1:E962,1,FALSE()))),"OLD",IF(AND(E963&lt;&gt;"",E963&lt;&gt;"!!!"),"NEW","")))</f>
        <v> </v>
      </c>
      <c r="G963" s="24" t="str">
        <f>IF(OR(E963="",E963="!!!"),"",IF(OR(J963=0,AND(J963=1,K963=1),AND(J963=1,I963="SBJ"),AND(J963=1,I963=0)),"?IN_FOCUS",IF(J963&lt;=2,"?ACTIVATED",IF(J963&lt;&gt;"","?FAMILIAR",IF(F963="NEW",IF(ISNA(VLOOKUP(E963,#REF!,1,FALSE())),"?TYPE_IDENTIFIABLE","?REFERENTIAL"),"_")))))</f>
        <v> </v>
      </c>
      <c r="H963" s="25" t="str">
        <f>IF(J963&lt;&gt;1,"",IF(I963="SBJ","CB","?"))</f>
        <v> </v>
      </c>
      <c r="I963" s="26" t="str">
        <f>IF(OR(E963="",E963="!!!",F963="NEW"),"",INDEX(B962:B$2,-1+SUMPRODUCT(MAX(ROW(E962:E$2)*(E963=E962:E$2)))))</f>
        <v> </v>
      </c>
      <c r="J963" s="26" t="str">
        <f>IF(OR(E963="",E963="!!!",F963="NEW"),"",COUNTBLANK(OFFSET(A$1,,,SUMPRODUCT(MAX(ROW(E$2:E963)*(E963=E$2:E963)))))-COUNTBLANK(OFFSET(A$1,,,SUMPRODUCT(MAX(ROW(E$1:E962)*(E2=E$1:E962))))))</f>
        <v> </v>
      </c>
      <c r="K963" s="26" t="str">
        <f>IF(OR(E963="",E963="!!!",F963="NEW"),"",INDEX(J$1:J962,SUMPRODUCT(MAX(ROW(E$1:E962)*(E963=E$1:E962)))))</f>
        <v> </v>
      </c>
      <c r="L963" s="27"/>
    </row>
    <row r="964" spans="1:12">
      <c r="A964" s="20" t="s">
        <v>1192</v>
      </c>
      <c r="E964" s="22">
        <f>IF(D964="?OLD","!!!","")</f>
        <v/>
      </c>
      <c r="F964" s="23" t="str">
        <f>IF(OR(E964="",E964="!!!"),"",IF(NOT(ISNA(VLOOKUP(E964,E$1:E963,1,FALSE()))),"OLD",IF(AND(E964&lt;&gt;"",E964&lt;&gt;"!!!"),"NEW","")))</f>
        <v> </v>
      </c>
      <c r="G964" s="24" t="str">
        <f>IF(OR(E964="",E964="!!!"),"",IF(OR(J964=0,AND(J964=1,K964=1),AND(J964=1,I964="SBJ"),AND(J964=1,I964=0)),"?IN_FOCUS",IF(J964&lt;=2,"?ACTIVATED",IF(J964&lt;&gt;"","?FAMILIAR",IF(F964="NEW",IF(ISNA(VLOOKUP(E964,#REF!,1,FALSE())),"?TYPE_IDENTIFIABLE","?REFERENTIAL"),"_")))))</f>
        <v> </v>
      </c>
      <c r="H964" s="25" t="str">
        <f>IF(J964&lt;&gt;1,"",IF(I964="SBJ","CB","?"))</f>
        <v> </v>
      </c>
      <c r="I964" s="26" t="str">
        <f>IF(OR(E964="",E964="!!!",F964="NEW"),"",INDEX(B963:B$2,-1+SUMPRODUCT(MAX(ROW(E963:E$2)*(E964=E963:E$2)))))</f>
        <v> </v>
      </c>
      <c r="J964" s="26" t="str">
        <f>IF(OR(E964="",E964="!!!",F964="NEW"),"",COUNTBLANK(OFFSET(A$1,,,SUMPRODUCT(MAX(ROW(E$2:E964)*(E964=E$2:E964)))))-COUNTBLANK(OFFSET(A$1,,,SUMPRODUCT(MAX(ROW(E$1:E963)*(E2=E$1:E963))))))</f>
        <v> </v>
      </c>
      <c r="K964" s="26" t="str">
        <f>IF(OR(E964="",E964="!!!",F964="NEW"),"",INDEX(J$1:J963,SUMPRODUCT(MAX(ROW(E$1:E963)*(E964=E$1:E963)))))</f>
        <v> </v>
      </c>
      <c r="L964" s="27"/>
    </row>
    <row r="965" spans="1:12">
      <c r="A965" s="20" t="s">
        <v>1193</v>
      </c>
      <c r="E965" s="22">
        <f>IF(D965="?OLD","!!!","")</f>
        <v/>
      </c>
      <c r="F965" s="23" t="str">
        <f>IF(OR(E965="",E965="!!!"),"",IF(NOT(ISNA(VLOOKUP(E965,E$1:E964,1,FALSE()))),"OLD",IF(AND(E965&lt;&gt;"",E965&lt;&gt;"!!!"),"NEW","")))</f>
        <v> </v>
      </c>
      <c r="G965" s="24" t="str">
        <f>IF(OR(E965="",E965="!!!"),"",IF(OR(J965=0,AND(J965=1,K965=1),AND(J965=1,I965="SBJ"),AND(J965=1,I965=0)),"?IN_FOCUS",IF(J965&lt;=2,"?ACTIVATED",IF(J965&lt;&gt;"","?FAMILIAR",IF(F965="NEW",IF(ISNA(VLOOKUP(E965,#REF!,1,FALSE())),"?TYPE_IDENTIFIABLE","?REFERENTIAL"),"_")))))</f>
        <v> </v>
      </c>
      <c r="H965" s="25" t="str">
        <f>IF(J965&lt;&gt;1,"",IF(I965="SBJ","CB","?"))</f>
        <v> </v>
      </c>
      <c r="I965" s="26" t="str">
        <f>IF(OR(E965="",E965="!!!",F965="NEW"),"",INDEX(B964:B$2,-1+SUMPRODUCT(MAX(ROW(E964:E$2)*(E965=E964:E$2)))))</f>
        <v> </v>
      </c>
      <c r="J965" s="26" t="str">
        <f>IF(OR(E965="",E965="!!!",F965="NEW"),"",COUNTBLANK(OFFSET(A$1,,,SUMPRODUCT(MAX(ROW(E$2:E965)*(E965=E$2:E965)))))-COUNTBLANK(OFFSET(A$1,,,SUMPRODUCT(MAX(ROW(E$1:E964)*(E2=E$1:E964))))))</f>
        <v> </v>
      </c>
      <c r="K965" s="26" t="str">
        <f>IF(OR(E965="",E965="!!!",F965="NEW"),"",INDEX(J$1:J964,SUMPRODUCT(MAX(ROW(E$1:E964)*(E965=E$1:E964)))))</f>
        <v> </v>
      </c>
      <c r="L965" s="27"/>
    </row>
    <row r="966" spans="1:12">
      <c r="A966" s="20" t="s">
        <v>1194</v>
      </c>
      <c r="B966" s="21" t="s">
        <v>791</v>
      </c>
      <c r="C966" s="21" t="s">
        <v>852</v>
      </c>
      <c r="E966" s="22">
        <f>IF(D966="?OLD","!!!","")</f>
        <v/>
      </c>
      <c r="F966" s="23" t="str">
        <f>IF(OR(E966="",E966="!!!"),"",IF(NOT(ISNA(VLOOKUP(E966,E$1:E965,1,FALSE()))),"OLD",IF(AND(E966&lt;&gt;"",E966&lt;&gt;"!!!"),"NEW","")))</f>
        <v> </v>
      </c>
      <c r="G966" s="24" t="str">
        <f>IF(OR(E966="",E966="!!!"),"",IF(OR(J966=0,AND(J966=1,K966=1),AND(J966=1,I966="SBJ"),AND(J966=1,I966=0)),"?IN_FOCUS",IF(J966&lt;=2,"?ACTIVATED",IF(J966&lt;&gt;"","?FAMILIAR",IF(F966="NEW",IF(ISNA(VLOOKUP(E966,#REF!,1,FALSE())),"?TYPE_IDENTIFIABLE","?REFERENTIAL"),"_")))))</f>
        <v> </v>
      </c>
      <c r="H966" s="25" t="str">
        <f>IF(J966&lt;&gt;1,"",IF(I966="SBJ","CB","?"))</f>
        <v> </v>
      </c>
      <c r="I966" s="26" t="str">
        <f>IF(OR(E966="",E966="!!!",F966="NEW"),"",INDEX(B965:B$2,-1+SUMPRODUCT(MAX(ROW(E965:E$2)*(E966=E965:E$2)))))</f>
        <v> </v>
      </c>
      <c r="J966" s="26" t="str">
        <f>IF(OR(E966="",E966="!!!",F966="NEW"),"",COUNTBLANK(OFFSET(A$1,,,SUMPRODUCT(MAX(ROW(E$2:E966)*(E966=E$2:E966)))))-COUNTBLANK(OFFSET(A$1,,,SUMPRODUCT(MAX(ROW(E$1:E965)*(E2=E$1:E965))))))</f>
        <v> </v>
      </c>
      <c r="K966" s="26" t="str">
        <f>IF(OR(E966="",E966="!!!",F966="NEW"),"",INDEX(J$1:J965,SUMPRODUCT(MAX(ROW(E$1:E965)*(E966=E$1:E965)))))</f>
        <v> </v>
      </c>
      <c r="L966" s="27"/>
    </row>
    <row r="967" spans="1:12">
      <c r="A967" s="20" t="s">
        <v>922</v>
      </c>
      <c r="E967" s="22">
        <f>IF(D967="?OLD","!!!","")</f>
        <v/>
      </c>
      <c r="F967" s="23" t="str">
        <f>IF(OR(E967="",E967="!!!"),"",IF(NOT(ISNA(VLOOKUP(E967,E$1:E966,1,FALSE()))),"OLD",IF(AND(E967&lt;&gt;"",E967&lt;&gt;"!!!"),"NEW","")))</f>
        <v> </v>
      </c>
      <c r="G967" s="24" t="str">
        <f>IF(OR(E967="",E967="!!!"),"",IF(OR(J967=0,AND(J967=1,K967=1),AND(J967=1,I967="SBJ"),AND(J967=1,I967=0)),"?IN_FOCUS",IF(J967&lt;=2,"?ACTIVATED",IF(J967&lt;&gt;"","?FAMILIAR",IF(F967="NEW",IF(ISNA(VLOOKUP(E967,#REF!,1,FALSE())),"?TYPE_IDENTIFIABLE","?REFERENTIAL"),"_")))))</f>
        <v> </v>
      </c>
      <c r="H967" s="25" t="str">
        <f>IF(J967&lt;&gt;1,"",IF(I967="SBJ","CB","?"))</f>
        <v> </v>
      </c>
      <c r="I967" s="26" t="str">
        <f>IF(OR(E967="",E967="!!!",F967="NEW"),"",INDEX(B966:B$2,-1+SUMPRODUCT(MAX(ROW(E966:E$2)*(E967=E966:E$2)))))</f>
        <v> </v>
      </c>
      <c r="J967" s="26" t="str">
        <f>IF(OR(E967="",E967="!!!",F967="NEW"),"",COUNTBLANK(OFFSET(A$1,,,SUMPRODUCT(MAX(ROW(E$2:E967)*(E967=E$2:E967)))))-COUNTBLANK(OFFSET(A$1,,,SUMPRODUCT(MAX(ROW(E$1:E966)*(E2=E$1:E966))))))</f>
        <v> </v>
      </c>
      <c r="K967" s="26" t="str">
        <f>IF(OR(E967="",E967="!!!",F967="NEW"),"",INDEX(J$1:J966,SUMPRODUCT(MAX(ROW(E$1:E966)*(E967=E$1:E966)))))</f>
        <v> </v>
      </c>
      <c r="L967" s="27"/>
    </row>
    <row r="968" spans="1:12">
      <c r="A968" s="20" t="s">
        <v>759</v>
      </c>
      <c r="E968" s="22">
        <f>IF(D968="?OLD","!!!","")</f>
        <v/>
      </c>
      <c r="F968" s="23" t="str">
        <f>IF(OR(E968="",E968="!!!"),"",IF(NOT(ISNA(VLOOKUP(E968,E$1:E967,1,FALSE()))),"OLD",IF(AND(E968&lt;&gt;"",E968&lt;&gt;"!!!"),"NEW","")))</f>
        <v> </v>
      </c>
      <c r="G968" s="24" t="str">
        <f>IF(OR(E968="",E968="!!!"),"",IF(OR(J968=0,AND(J968=1,K968=1),AND(J968=1,I968="SBJ"),AND(J968=1,I968=0)),"?IN_FOCUS",IF(J968&lt;=2,"?ACTIVATED",IF(J968&lt;&gt;"","?FAMILIAR",IF(F968="NEW",IF(ISNA(VLOOKUP(E968,#REF!,1,FALSE())),"?TYPE_IDENTIFIABLE","?REFERENTIAL"),"_")))))</f>
        <v> </v>
      </c>
      <c r="H968" s="25" t="str">
        <f>IF(J968&lt;&gt;1,"",IF(I968="SBJ","CB","?"))</f>
        <v> </v>
      </c>
      <c r="I968" s="26" t="str">
        <f>IF(OR(E968="",E968="!!!",F968="NEW"),"",INDEX(B967:B$2,-1+SUMPRODUCT(MAX(ROW(E967:E$2)*(E968=E967:E$2)))))</f>
        <v> </v>
      </c>
      <c r="J968" s="26" t="str">
        <f>IF(OR(E968="",E968="!!!",F968="NEW"),"",COUNTBLANK(OFFSET(A$1,,,SUMPRODUCT(MAX(ROW(E$2:E968)*(E968=E$2:E968)))))-COUNTBLANK(OFFSET(A$1,,,SUMPRODUCT(MAX(ROW(E$1:E967)*(E2=E$1:E967))))))</f>
        <v> </v>
      </c>
      <c r="K968" s="26" t="str">
        <f>IF(OR(E968="",E968="!!!",F968="NEW"),"",INDEX(J$1:J967,SUMPRODUCT(MAX(ROW(E$1:E967)*(E968=E$1:E967)))))</f>
        <v> </v>
      </c>
      <c r="L968" s="27"/>
    </row>
    <row r="969" spans="1:12">
      <c r="A969" s="20" t="s">
        <v>1195</v>
      </c>
      <c r="E969" s="22">
        <f>IF(D969="?OLD","!!!","")</f>
        <v/>
      </c>
      <c r="F969" s="23" t="str">
        <f>IF(OR(E969="",E969="!!!"),"",IF(NOT(ISNA(VLOOKUP(E969,E$1:E968,1,FALSE()))),"OLD",IF(AND(E969&lt;&gt;"",E969&lt;&gt;"!!!"),"NEW","")))</f>
        <v> </v>
      </c>
      <c r="G969" s="24" t="str">
        <f>IF(OR(E969="",E969="!!!"),"",IF(OR(J969=0,AND(J969=1,K969=1),AND(J969=1,I969="SBJ"),AND(J969=1,I969=0)),"?IN_FOCUS",IF(J969&lt;=2,"?ACTIVATED",IF(J969&lt;&gt;"","?FAMILIAR",IF(F969="NEW",IF(ISNA(VLOOKUP(E969,#REF!,1,FALSE())),"?TYPE_IDENTIFIABLE","?REFERENTIAL"),"_")))))</f>
        <v> </v>
      </c>
      <c r="H969" s="25" t="str">
        <f>IF(J969&lt;&gt;1,"",IF(I969="SBJ","CB","?"))</f>
        <v> </v>
      </c>
      <c r="I969" s="26" t="str">
        <f>IF(OR(E969="",E969="!!!",F969="NEW"),"",INDEX(B968:B$2,-1+SUMPRODUCT(MAX(ROW(E968:E$2)*(E969=E968:E$2)))))</f>
        <v> </v>
      </c>
      <c r="J969" s="26" t="str">
        <f>IF(OR(E969="",E969="!!!",F969="NEW"),"",COUNTBLANK(OFFSET(A$1,,,SUMPRODUCT(MAX(ROW(E$2:E969)*(E969=E$2:E969)))))-COUNTBLANK(OFFSET(A$1,,,SUMPRODUCT(MAX(ROW(E$1:E968)*(E2=E$1:E968))))))</f>
        <v> </v>
      </c>
      <c r="K969" s="26" t="str">
        <f>IF(OR(E969="",E969="!!!",F969="NEW"),"",INDEX(J$1:J968,SUMPRODUCT(MAX(ROW(E$1:E968)*(E969=E$1:E968)))))</f>
        <v> </v>
      </c>
      <c r="L969" s="27"/>
    </row>
    <row r="970" spans="1:12">
      <c r="A970" s="20" t="s">
        <v>1196</v>
      </c>
      <c r="E970" s="22">
        <f>IF(D970="?OLD","!!!","")</f>
        <v/>
      </c>
      <c r="F970" s="23" t="str">
        <f>IF(OR(E970="",E970="!!!"),"",IF(NOT(ISNA(VLOOKUP(E970,E$1:E969,1,FALSE()))),"OLD",IF(AND(E970&lt;&gt;"",E970&lt;&gt;"!!!"),"NEW","")))</f>
        <v> </v>
      </c>
      <c r="G970" s="24" t="str">
        <f>IF(OR(E970="",E970="!!!"),"",IF(OR(J970=0,AND(J970=1,K970=1),AND(J970=1,I970="SBJ"),AND(J970=1,I970=0)),"?IN_FOCUS",IF(J970&lt;=2,"?ACTIVATED",IF(J970&lt;&gt;"","?FAMILIAR",IF(F970="NEW",IF(ISNA(VLOOKUP(E970,#REF!,1,FALSE())),"?TYPE_IDENTIFIABLE","?REFERENTIAL"),"_")))))</f>
        <v> </v>
      </c>
      <c r="H970" s="25" t="str">
        <f>IF(J970&lt;&gt;1,"",IF(I970="SBJ","CB","?"))</f>
        <v> </v>
      </c>
      <c r="I970" s="26" t="str">
        <f>IF(OR(E970="",E970="!!!",F970="NEW"),"",INDEX(B969:B$2,-1+SUMPRODUCT(MAX(ROW(E969:E$2)*(E970=E969:E$2)))))</f>
        <v> </v>
      </c>
      <c r="J970" s="26" t="str">
        <f>IF(OR(E970="",E970="!!!",F970="NEW"),"",COUNTBLANK(OFFSET(A$1,,,SUMPRODUCT(MAX(ROW(E$2:E970)*(E970=E$2:E970)))))-COUNTBLANK(OFFSET(A$1,,,SUMPRODUCT(MAX(ROW(E$1:E969)*(E2=E$1:E969))))))</f>
        <v> </v>
      </c>
      <c r="K970" s="26" t="str">
        <f>IF(OR(E970="",E970="!!!",F970="NEW"),"",INDEX(J$1:J969,SUMPRODUCT(MAX(ROW(E$1:E969)*(E970=E$1:E969)))))</f>
        <v> </v>
      </c>
      <c r="L970" s="27"/>
    </row>
    <row r="971" spans="1:12">
      <c r="A971" s="20" t="s">
        <v>750</v>
      </c>
      <c r="B971" s="21" t="s">
        <v>788</v>
      </c>
      <c r="C971" s="21" t="s">
        <v>729</v>
      </c>
      <c r="D971" s="21" t="s">
        <v>730</v>
      </c>
      <c r="E971" s="22">
        <f>IF(D971="?OLD","!!!","")</f>
        <v/>
      </c>
      <c r="F971" s="23" t="str">
        <f>IF(OR(E971="",E971="!!!"),"",IF(NOT(ISNA(VLOOKUP(E971,E$1:E970,1,FALSE()))),"OLD",IF(AND(E971&lt;&gt;"",E971&lt;&gt;"!!!"),"NEW","")))</f>
        <v> </v>
      </c>
      <c r="G971" s="24" t="str">
        <f>IF(OR(E971="",E971="!!!"),"",IF(OR(J971=0,AND(J971=1,K971=1),AND(J971=1,I971="SBJ"),AND(J971=1,I971=0)),"?IN_FOCUS",IF(J971&lt;=2,"?ACTIVATED",IF(J971&lt;&gt;"","?FAMILIAR",IF(F971="NEW",IF(ISNA(VLOOKUP(E971,#REF!,1,FALSE())),"?TYPE_IDENTIFIABLE","?REFERENTIAL"),"_")))))</f>
        <v> </v>
      </c>
      <c r="H971" s="25" t="str">
        <f>IF(J971&lt;&gt;1,"",IF(I971="SBJ","CB","?"))</f>
        <v> </v>
      </c>
      <c r="I971" s="26" t="str">
        <f>IF(OR(E971="",E971="!!!",F971="NEW"),"",INDEX(B970:B$2,-1+SUMPRODUCT(MAX(ROW(E970:E$2)*(E971=E970:E$2)))))</f>
        <v> </v>
      </c>
      <c r="J971" s="26" t="str">
        <f>IF(OR(E971="",E971="!!!",F971="NEW"),"",COUNTBLANK(OFFSET(A$1,,,SUMPRODUCT(MAX(ROW(E$2:E971)*(E971=E$2:E971)))))-COUNTBLANK(OFFSET(A$1,,,SUMPRODUCT(MAX(ROW(E$1:E970)*(E2=E$1:E970))))))</f>
        <v> </v>
      </c>
      <c r="K971" s="26" t="str">
        <f>IF(OR(E971="",E971="!!!",F971="NEW"),"",INDEX(J$1:J970,SUMPRODUCT(MAX(ROW(E$1:E970)*(E971=E$1:E970)))))</f>
        <v> </v>
      </c>
      <c r="L971" s="27"/>
    </row>
    <row r="972" spans="1:12">
      <c r="A972" s="20" t="s">
        <v>965</v>
      </c>
      <c r="E972" s="22">
        <f>IF(D972="?OLD","!!!","")</f>
        <v/>
      </c>
      <c r="F972" s="23" t="str">
        <f>IF(OR(E972="",E972="!!!"),"",IF(NOT(ISNA(VLOOKUP(E972,E$1:E971,1,FALSE()))),"OLD",IF(AND(E972&lt;&gt;"",E972&lt;&gt;"!!!"),"NEW","")))</f>
        <v> </v>
      </c>
      <c r="G972" s="24" t="str">
        <f>IF(OR(E972="",E972="!!!"),"",IF(OR(J972=0,AND(J972=1,K972=1),AND(J972=1,I972="SBJ"),AND(J972=1,I972=0)),"?IN_FOCUS",IF(J972&lt;=2,"?ACTIVATED",IF(J972&lt;&gt;"","?FAMILIAR",IF(F972="NEW",IF(ISNA(VLOOKUP(E972,#REF!,1,FALSE())),"?TYPE_IDENTIFIABLE","?REFERENTIAL"),"_")))))</f>
        <v> </v>
      </c>
      <c r="H972" s="25" t="str">
        <f>IF(J972&lt;&gt;1,"",IF(I972="SBJ","CB","?"))</f>
        <v> </v>
      </c>
      <c r="I972" s="26" t="str">
        <f>IF(OR(E972="",E972="!!!",F972="NEW"),"",INDEX(B971:B$2,-1+SUMPRODUCT(MAX(ROW(E971:E$2)*(E972=E971:E$2)))))</f>
        <v> </v>
      </c>
      <c r="J972" s="26" t="str">
        <f>IF(OR(E972="",E972="!!!",F972="NEW"),"",COUNTBLANK(OFFSET(A$1,,,SUMPRODUCT(MAX(ROW(E$2:E972)*(E972=E$2:E972)))))-COUNTBLANK(OFFSET(A$1,,,SUMPRODUCT(MAX(ROW(E$1:E971)*(E2=E$1:E971))))))</f>
        <v> </v>
      </c>
      <c r="K972" s="26" t="str">
        <f>IF(OR(E972="",E972="!!!",F972="NEW"),"",INDEX(J$1:J971,SUMPRODUCT(MAX(ROW(E$1:E971)*(E972=E$1:E971)))))</f>
        <v> </v>
      </c>
      <c r="L972" s="27"/>
    </row>
    <row r="973" spans="1:12">
      <c r="A973" s="20" t="s">
        <v>1197</v>
      </c>
      <c r="B973" s="21" t="s">
        <v>843</v>
      </c>
      <c r="C973" s="21" t="s">
        <v>748</v>
      </c>
      <c r="E973" s="22">
        <f>IF(D973="?OLD","!!!","")</f>
        <v/>
      </c>
      <c r="F973" s="23" t="str">
        <f>IF(OR(E973="",E973="!!!"),"",IF(NOT(ISNA(VLOOKUP(E973,E$1:E972,1,FALSE()))),"OLD",IF(AND(E973&lt;&gt;"",E973&lt;&gt;"!!!"),"NEW","")))</f>
        <v> </v>
      </c>
      <c r="G973" s="24" t="str">
        <f>IF(OR(E973="",E973="!!!"),"",IF(OR(J973=0,AND(J973=1,K973=1),AND(J973=1,I973="SBJ"),AND(J973=1,I973=0)),"?IN_FOCUS",IF(J973&lt;=2,"?ACTIVATED",IF(J973&lt;&gt;"","?FAMILIAR",IF(F973="NEW",IF(ISNA(VLOOKUP(E973,#REF!,1,FALSE())),"?TYPE_IDENTIFIABLE","?REFERENTIAL"),"_")))))</f>
        <v> </v>
      </c>
      <c r="H973" s="25" t="str">
        <f>IF(J973&lt;&gt;1,"",IF(I973="SBJ","CB","?"))</f>
        <v> </v>
      </c>
      <c r="I973" s="26" t="str">
        <f>IF(OR(E973="",E973="!!!",F973="NEW"),"",INDEX(B972:B$2,-1+SUMPRODUCT(MAX(ROW(E972:E$2)*(E973=E972:E$2)))))</f>
        <v> </v>
      </c>
      <c r="J973" s="26" t="str">
        <f>IF(OR(E973="",E973="!!!",F973="NEW"),"",COUNTBLANK(OFFSET(A$1,,,SUMPRODUCT(MAX(ROW(E$2:E973)*(E973=E$2:E973)))))-COUNTBLANK(OFFSET(A$1,,,SUMPRODUCT(MAX(ROW(E$1:E972)*(E2=E$1:E972))))))</f>
        <v> </v>
      </c>
      <c r="K973" s="26" t="str">
        <f>IF(OR(E973="",E973="!!!",F973="NEW"),"",INDEX(J$1:J972,SUMPRODUCT(MAX(ROW(E$1:E972)*(E973=E$1:E972)))))</f>
        <v> </v>
      </c>
      <c r="L973" s="27"/>
    </row>
    <row r="974" spans="1:12">
      <c r="A974" s="20" t="s">
        <v>1147</v>
      </c>
      <c r="E974" s="22">
        <f>IF(D974="?OLD","!!!","")</f>
        <v/>
      </c>
      <c r="F974" s="23" t="str">
        <f>IF(OR(E974="",E974="!!!"),"",IF(NOT(ISNA(VLOOKUP(E974,E$1:E973,1,FALSE()))),"OLD",IF(AND(E974&lt;&gt;"",E974&lt;&gt;"!!!"),"NEW","")))</f>
        <v> </v>
      </c>
      <c r="G974" s="24" t="str">
        <f>IF(OR(E974="",E974="!!!"),"",IF(OR(J974=0,AND(J974=1,K974=1),AND(J974=1,I974="SBJ"),AND(J974=1,I974=0)),"?IN_FOCUS",IF(J974&lt;=2,"?ACTIVATED",IF(J974&lt;&gt;"","?FAMILIAR",IF(F974="NEW",IF(ISNA(VLOOKUP(E974,#REF!,1,FALSE())),"?TYPE_IDENTIFIABLE","?REFERENTIAL"),"_")))))</f>
        <v> </v>
      </c>
      <c r="H974" s="25" t="str">
        <f>IF(J974&lt;&gt;1,"",IF(I974="SBJ","CB","?"))</f>
        <v> </v>
      </c>
      <c r="I974" s="26" t="str">
        <f>IF(OR(E974="",E974="!!!",F974="NEW"),"",INDEX(B973:B$2,-1+SUMPRODUCT(MAX(ROW(E973:E$2)*(E974=E973:E$2)))))</f>
        <v> </v>
      </c>
      <c r="J974" s="26" t="str">
        <f>IF(OR(E974="",E974="!!!",F974="NEW"),"",COUNTBLANK(OFFSET(A$1,,,SUMPRODUCT(MAX(ROW(E$2:E974)*(E974=E$2:E974)))))-COUNTBLANK(OFFSET(A$1,,,SUMPRODUCT(MAX(ROW(E$1:E973)*(E2=E$1:E973))))))</f>
        <v> </v>
      </c>
      <c r="K974" s="26" t="str">
        <f>IF(OR(E974="",E974="!!!",F974="NEW"),"",INDEX(J$1:J973,SUMPRODUCT(MAX(ROW(E$1:E973)*(E974=E$1:E973)))))</f>
        <v> </v>
      </c>
      <c r="L974" s="27"/>
    </row>
    <row r="975" spans="1:12">
      <c r="A975" s="20" t="s">
        <v>883</v>
      </c>
      <c r="E975" s="22">
        <f>IF(D975="?OLD","!!!","")</f>
        <v/>
      </c>
      <c r="F975" s="23" t="str">
        <f>IF(OR(E975="",E975="!!!"),"",IF(NOT(ISNA(VLOOKUP(E975,E$1:E974,1,FALSE()))),"OLD",IF(AND(E975&lt;&gt;"",E975&lt;&gt;"!!!"),"NEW","")))</f>
        <v> </v>
      </c>
      <c r="G975" s="24" t="str">
        <f>IF(OR(E975="",E975="!!!"),"",IF(OR(J975=0,AND(J975=1,K975=1),AND(J975=1,I975="SBJ"),AND(J975=1,I975=0)),"?IN_FOCUS",IF(J975&lt;=2,"?ACTIVATED",IF(J975&lt;&gt;"","?FAMILIAR",IF(F975="NEW",IF(ISNA(VLOOKUP(E975,#REF!,1,FALSE())),"?TYPE_IDENTIFIABLE","?REFERENTIAL"),"_")))))</f>
        <v> </v>
      </c>
      <c r="H975" s="25" t="str">
        <f>IF(J975&lt;&gt;1,"",IF(I975="SBJ","CB","?"))</f>
        <v> </v>
      </c>
      <c r="I975" s="26" t="str">
        <f>IF(OR(E975="",E975="!!!",F975="NEW"),"",INDEX(B974:B$2,-1+SUMPRODUCT(MAX(ROW(E974:E$2)*(E975=E974:E$2)))))</f>
        <v> </v>
      </c>
      <c r="J975" s="26" t="str">
        <f>IF(OR(E975="",E975="!!!",F975="NEW"),"",COUNTBLANK(OFFSET(A$1,,,SUMPRODUCT(MAX(ROW(E$2:E975)*(E975=E$2:E975)))))-COUNTBLANK(OFFSET(A$1,,,SUMPRODUCT(MAX(ROW(E$1:E974)*(E2=E$1:E974))))))</f>
        <v> </v>
      </c>
      <c r="K975" s="26" t="str">
        <f>IF(OR(E975="",E975="!!!",F975="NEW"),"",INDEX(J$1:J974,SUMPRODUCT(MAX(ROW(E$1:E974)*(E975=E$1:E974)))))</f>
        <v> </v>
      </c>
      <c r="L975" s="27"/>
    </row>
    <row r="976" spans="1:12">
      <c r="A976" s="20" t="s">
        <v>1198</v>
      </c>
      <c r="B976" s="21" t="s">
        <v>788</v>
      </c>
      <c r="C976" s="21" t="s">
        <v>753</v>
      </c>
      <c r="D976" s="21" t="s">
        <v>730</v>
      </c>
      <c r="E976" s="22">
        <f>IF(D976="?OLD","!!!","")</f>
        <v/>
      </c>
      <c r="F976" s="23" t="str">
        <f>IF(OR(E976="",E976="!!!"),"",IF(NOT(ISNA(VLOOKUP(E976,E$1:E975,1,FALSE()))),"OLD",IF(AND(E976&lt;&gt;"",E976&lt;&gt;"!!!"),"NEW","")))</f>
        <v> </v>
      </c>
      <c r="G976" s="24" t="str">
        <f>IF(OR(E976="",E976="!!!"),"",IF(OR(J976=0,AND(J976=1,K976=1),AND(J976=1,I976="SBJ"),AND(J976=1,I976=0)),"?IN_FOCUS",IF(J976&lt;=2,"?ACTIVATED",IF(J976&lt;&gt;"","?FAMILIAR",IF(F976="NEW",IF(ISNA(VLOOKUP(E976,#REF!,1,FALSE())),"?TYPE_IDENTIFIABLE","?REFERENTIAL"),"_")))))</f>
        <v> </v>
      </c>
      <c r="H976" s="25" t="str">
        <f>IF(J976&lt;&gt;1,"",IF(I976="SBJ","CB","?"))</f>
        <v> </v>
      </c>
      <c r="I976" s="26" t="str">
        <f>IF(OR(E976="",E976="!!!",F976="NEW"),"",INDEX(B975:B$2,-1+SUMPRODUCT(MAX(ROW(E975:E$2)*(E976=E975:E$2)))))</f>
        <v> </v>
      </c>
      <c r="J976" s="26" t="str">
        <f>IF(OR(E976="",E976="!!!",F976="NEW"),"",COUNTBLANK(OFFSET(A$1,,,SUMPRODUCT(MAX(ROW(E$2:E976)*(E976=E$2:E976)))))-COUNTBLANK(OFFSET(A$1,,,SUMPRODUCT(MAX(ROW(E$1:E975)*(E2=E$1:E975))))))</f>
        <v> </v>
      </c>
      <c r="K976" s="26" t="str">
        <f>IF(OR(E976="",E976="!!!",F976="NEW"),"",INDEX(J$1:J975,SUMPRODUCT(MAX(ROW(E$1:E975)*(E976=E$1:E975)))))</f>
        <v> </v>
      </c>
      <c r="L976" s="27"/>
    </row>
    <row r="977" spans="1:12">
      <c r="A977" s="20" t="s">
        <v>742</v>
      </c>
      <c r="E977" s="22">
        <f>IF(D977="?OLD","!!!","")</f>
        <v/>
      </c>
      <c r="F977" s="23" t="str">
        <f>IF(OR(E977="",E977="!!!"),"",IF(NOT(ISNA(VLOOKUP(E977,E$1:E976,1,FALSE()))),"OLD",IF(AND(E977&lt;&gt;"",E977&lt;&gt;"!!!"),"NEW","")))</f>
        <v> </v>
      </c>
      <c r="G977" s="24" t="str">
        <f>IF(OR(E977="",E977="!!!"),"",IF(OR(J977=0,AND(J977=1,K977=1),AND(J977=1,I977="SBJ"),AND(J977=1,I977=0)),"?IN_FOCUS",IF(J977&lt;=2,"?ACTIVATED",IF(J977&lt;&gt;"","?FAMILIAR",IF(F977="NEW",IF(ISNA(VLOOKUP(E977,#REF!,1,FALSE())),"?TYPE_IDENTIFIABLE","?REFERENTIAL"),"_")))))</f>
        <v> </v>
      </c>
      <c r="H977" s="25" t="str">
        <f>IF(J977&lt;&gt;1,"",IF(I977="SBJ","CB","?"))</f>
        <v> </v>
      </c>
      <c r="I977" s="26" t="str">
        <f>IF(OR(E977="",E977="!!!",F977="NEW"),"",INDEX(B976:B$2,-1+SUMPRODUCT(MAX(ROW(E976:E$2)*(E977=E976:E$2)))))</f>
        <v> </v>
      </c>
      <c r="J977" s="26" t="str">
        <f>IF(OR(E977="",E977="!!!",F977="NEW"),"",COUNTBLANK(OFFSET(A$1,,,SUMPRODUCT(MAX(ROW(E$2:E977)*(E977=E$2:E977)))))-COUNTBLANK(OFFSET(A$1,,,SUMPRODUCT(MAX(ROW(E$1:E976)*(E2=E$1:E976))))))</f>
        <v> </v>
      </c>
      <c r="K977" s="26" t="str">
        <f>IF(OR(E977="",E977="!!!",F977="NEW"),"",INDEX(J$1:J976,SUMPRODUCT(MAX(ROW(E$1:E976)*(E977=E$1:E976)))))</f>
        <v> </v>
      </c>
      <c r="L977" s="27"/>
    </row>
    <row r="978" spans="1:12">
      <c r="A978" s="20" t="s">
        <v>757</v>
      </c>
      <c r="E978" s="22">
        <f>IF(D978="?OLD","!!!","")</f>
        <v/>
      </c>
      <c r="F978" s="23" t="str">
        <f>IF(OR(E978="",E978="!!!"),"",IF(NOT(ISNA(VLOOKUP(E978,E$1:E977,1,FALSE()))),"OLD",IF(AND(E978&lt;&gt;"",E978&lt;&gt;"!!!"),"NEW","")))</f>
        <v> </v>
      </c>
      <c r="G978" s="24" t="str">
        <f>IF(OR(E978="",E978="!!!"),"",IF(OR(J978=0,AND(J978=1,K978=1),AND(J978=1,I978="SBJ"),AND(J978=1,I978=0)),"?IN_FOCUS",IF(J978&lt;=2,"?ACTIVATED",IF(J978&lt;&gt;"","?FAMILIAR",IF(F978="NEW",IF(ISNA(VLOOKUP(E978,#REF!,1,FALSE())),"?TYPE_IDENTIFIABLE","?REFERENTIAL"),"_")))))</f>
        <v> </v>
      </c>
      <c r="H978" s="25" t="str">
        <f>IF(J978&lt;&gt;1,"",IF(I978="SBJ","CB","?"))</f>
        <v> </v>
      </c>
      <c r="I978" s="26" t="str">
        <f>IF(OR(E978="",E978="!!!",F978="NEW"),"",INDEX(B977:B$2,-1+SUMPRODUCT(MAX(ROW(E977:E$2)*(E978=E977:E$2)))))</f>
        <v> </v>
      </c>
      <c r="J978" s="26" t="str">
        <f>IF(OR(E978="",E978="!!!",F978="NEW"),"",COUNTBLANK(OFFSET(A$1,,,SUMPRODUCT(MAX(ROW(E$2:E978)*(E978=E$2:E978)))))-COUNTBLANK(OFFSET(A$1,,,SUMPRODUCT(MAX(ROW(E$1:E977)*(E2=E$1:E977))))))</f>
        <v> </v>
      </c>
      <c r="K978" s="26" t="str">
        <f>IF(OR(E978="",E978="!!!",F978="NEW"),"",INDEX(J$1:J977,SUMPRODUCT(MAX(ROW(E$1:E977)*(E978=E$1:E977)))))</f>
        <v> </v>
      </c>
      <c r="L978" s="27"/>
    </row>
    <row r="979" spans="1:12">
      <c r="A979" s="20" t="s">
        <v>1199</v>
      </c>
      <c r="E979" s="22">
        <f>IF(D979="?OLD","!!!","")</f>
        <v/>
      </c>
      <c r="F979" s="23" t="str">
        <f>IF(OR(E979="",E979="!!!"),"",IF(NOT(ISNA(VLOOKUP(E979,E$1:E978,1,FALSE()))),"OLD",IF(AND(E979&lt;&gt;"",E979&lt;&gt;"!!!"),"NEW","")))</f>
        <v> </v>
      </c>
      <c r="G979" s="24" t="str">
        <f>IF(OR(E979="",E979="!!!"),"",IF(OR(J979=0,AND(J979=1,K979=1),AND(J979=1,I979="SBJ"),AND(J979=1,I979=0)),"?IN_FOCUS",IF(J979&lt;=2,"?ACTIVATED",IF(J979&lt;&gt;"","?FAMILIAR",IF(F979="NEW",IF(ISNA(VLOOKUP(E979,#REF!,1,FALSE())),"?TYPE_IDENTIFIABLE","?REFERENTIAL"),"_")))))</f>
        <v> </v>
      </c>
      <c r="H979" s="25" t="str">
        <f>IF(J979&lt;&gt;1,"",IF(I979="SBJ","CB","?"))</f>
        <v> </v>
      </c>
      <c r="I979" s="26" t="str">
        <f>IF(OR(E979="",E979="!!!",F979="NEW"),"",INDEX(B978:B$2,-1+SUMPRODUCT(MAX(ROW(E978:E$2)*(E979=E978:E$2)))))</f>
        <v> </v>
      </c>
      <c r="J979" s="26" t="str">
        <f>IF(OR(E979="",E979="!!!",F979="NEW"),"",COUNTBLANK(OFFSET(A$1,,,SUMPRODUCT(MAX(ROW(E$2:E979)*(E979=E$2:E979)))))-COUNTBLANK(OFFSET(A$1,,,SUMPRODUCT(MAX(ROW(E$1:E978)*(E2=E$1:E978))))))</f>
        <v> </v>
      </c>
      <c r="K979" s="26" t="str">
        <f>IF(OR(E979="",E979="!!!",F979="NEW"),"",INDEX(J$1:J978,SUMPRODUCT(MAX(ROW(E$1:E978)*(E979=E$1:E978)))))</f>
        <v> </v>
      </c>
      <c r="L979" s="27"/>
    </row>
    <row r="980" spans="1:12">
      <c r="A980" s="20" t="s">
        <v>842</v>
      </c>
      <c r="B980" s="21" t="s">
        <v>783</v>
      </c>
      <c r="C980" s="21" t="s">
        <v>753</v>
      </c>
      <c r="D980" s="21" t="s">
        <v>730</v>
      </c>
      <c r="E980" s="22">
        <f>IF(D980="?OLD","!!!","")</f>
        <v/>
      </c>
      <c r="F980" s="23" t="str">
        <f>IF(OR(E980="",E980="!!!"),"",IF(NOT(ISNA(VLOOKUP(E980,E$1:E979,1,FALSE()))),"OLD",IF(AND(E980&lt;&gt;"",E980&lt;&gt;"!!!"),"NEW","")))</f>
        <v> </v>
      </c>
      <c r="G980" s="24" t="str">
        <f>IF(OR(E980="",E980="!!!"),"",IF(OR(J980=0,AND(J980=1,K980=1),AND(J980=1,I980="SBJ"),AND(J980=1,I980=0)),"?IN_FOCUS",IF(J980&lt;=2,"?ACTIVATED",IF(J980&lt;&gt;"","?FAMILIAR",IF(F980="NEW",IF(ISNA(VLOOKUP(E980,#REF!,1,FALSE())),"?TYPE_IDENTIFIABLE","?REFERENTIAL"),"_")))))</f>
        <v> </v>
      </c>
      <c r="H980" s="25" t="str">
        <f>IF(J980&lt;&gt;1,"",IF(I980="SBJ","CB","?"))</f>
        <v> </v>
      </c>
      <c r="I980" s="26" t="str">
        <f>IF(OR(E980="",E980="!!!",F980="NEW"),"",INDEX(B979:B$2,-1+SUMPRODUCT(MAX(ROW(E979:E$2)*(E980=E979:E$2)))))</f>
        <v> </v>
      </c>
      <c r="J980" s="26" t="str">
        <f>IF(OR(E980="",E980="!!!",F980="NEW"),"",COUNTBLANK(OFFSET(A$1,,,SUMPRODUCT(MAX(ROW(E$2:E980)*(E980=E$2:E980)))))-COUNTBLANK(OFFSET(A$1,,,SUMPRODUCT(MAX(ROW(E$1:E979)*(E2=E$1:E979))))))</f>
        <v> </v>
      </c>
      <c r="K980" s="26" t="str">
        <f>IF(OR(E980="",E980="!!!",F980="NEW"),"",INDEX(J$1:J979,SUMPRODUCT(MAX(ROW(E$1:E979)*(E980=E$1:E979)))))</f>
        <v> </v>
      </c>
      <c r="L980" s="27"/>
    </row>
    <row r="981" spans="1:12">
      <c r="A981" s="20" t="s">
        <v>811</v>
      </c>
      <c r="E981" s="22">
        <f>IF(D981="?OLD","!!!","")</f>
        <v/>
      </c>
      <c r="F981" s="23" t="str">
        <f>IF(OR(E981="",E981="!!!"),"",IF(NOT(ISNA(VLOOKUP(E981,E$1:E980,1,FALSE()))),"OLD",IF(AND(E981&lt;&gt;"",E981&lt;&gt;"!!!"),"NEW","")))</f>
        <v> </v>
      </c>
      <c r="G981" s="24" t="str">
        <f>IF(OR(E981="",E981="!!!"),"",IF(OR(J981=0,AND(J981=1,K981=1),AND(J981=1,I981="SBJ"),AND(J981=1,I981=0)),"?IN_FOCUS",IF(J981&lt;=2,"?ACTIVATED",IF(J981&lt;&gt;"","?FAMILIAR",IF(F981="NEW",IF(ISNA(VLOOKUP(E981,#REF!,1,FALSE())),"?TYPE_IDENTIFIABLE","?REFERENTIAL"),"_")))))</f>
        <v> </v>
      </c>
      <c r="H981" s="25" t="str">
        <f>IF(J981&lt;&gt;1,"",IF(I981="SBJ","CB","?"))</f>
        <v> </v>
      </c>
      <c r="I981" s="26" t="str">
        <f>IF(OR(E981="",E981="!!!",F981="NEW"),"",INDEX(B980:B$2,-1+SUMPRODUCT(MAX(ROW(E980:E$2)*(E981=E980:E$2)))))</f>
        <v> </v>
      </c>
      <c r="J981" s="26" t="str">
        <f>IF(OR(E981="",E981="!!!",F981="NEW"),"",COUNTBLANK(OFFSET(A$1,,,SUMPRODUCT(MAX(ROW(E$2:E981)*(E981=E$2:E981)))))-COUNTBLANK(OFFSET(A$1,,,SUMPRODUCT(MAX(ROW(E$1:E980)*(E2=E$1:E980))))))</f>
        <v> </v>
      </c>
      <c r="K981" s="26" t="str">
        <f>IF(OR(E981="",E981="!!!",F981="NEW"),"",INDEX(J$1:J980,SUMPRODUCT(MAX(ROW(E$1:E980)*(E981=E$1:E980)))))</f>
        <v> </v>
      </c>
      <c r="L981" s="27"/>
    </row>
    <row r="982" spans="1:12">
      <c r="A982" s="20" t="s">
        <v>952</v>
      </c>
      <c r="E982" s="22">
        <f>IF(D982="?OLD","!!!","")</f>
        <v/>
      </c>
      <c r="F982" s="23" t="str">
        <f>IF(OR(E982="",E982="!!!"),"",IF(NOT(ISNA(VLOOKUP(E982,E$1:E981,1,FALSE()))),"OLD",IF(AND(E982&lt;&gt;"",E982&lt;&gt;"!!!"),"NEW","")))</f>
        <v> </v>
      </c>
      <c r="G982" s="24" t="str">
        <f>IF(OR(E982="",E982="!!!"),"",IF(OR(J982=0,AND(J982=1,K982=1),AND(J982=1,I982="SBJ"),AND(J982=1,I982=0)),"?IN_FOCUS",IF(J982&lt;=2,"?ACTIVATED",IF(J982&lt;&gt;"","?FAMILIAR",IF(F982="NEW",IF(ISNA(VLOOKUP(E982,#REF!,1,FALSE())),"?TYPE_IDENTIFIABLE","?REFERENTIAL"),"_")))))</f>
        <v> </v>
      </c>
      <c r="H982" s="25" t="str">
        <f>IF(J982&lt;&gt;1,"",IF(I982="SBJ","CB","?"))</f>
        <v> </v>
      </c>
      <c r="I982" s="26" t="str">
        <f>IF(OR(E982="",E982="!!!",F982="NEW"),"",INDEX(B981:B$2,-1+SUMPRODUCT(MAX(ROW(E981:E$2)*(E982=E981:E$2)))))</f>
        <v> </v>
      </c>
      <c r="J982" s="26" t="str">
        <f>IF(OR(E982="",E982="!!!",F982="NEW"),"",COUNTBLANK(OFFSET(A$1,,,SUMPRODUCT(MAX(ROW(E$2:E982)*(E982=E$2:E982)))))-COUNTBLANK(OFFSET(A$1,,,SUMPRODUCT(MAX(ROW(E$1:E981)*(E2=E$1:E981))))))</f>
        <v> </v>
      </c>
      <c r="K982" s="26" t="str">
        <f>IF(OR(E982="",E982="!!!",F982="NEW"),"",INDEX(J$1:J981,SUMPRODUCT(MAX(ROW(E$1:E981)*(E982=E$1:E981)))))</f>
        <v> </v>
      </c>
      <c r="L982" s="27"/>
    </row>
    <row r="983" spans="1:12">
      <c r="A983" s="20" t="s">
        <v>1200</v>
      </c>
      <c r="E983" s="22">
        <f>IF(D983="?OLD","!!!","")</f>
        <v/>
      </c>
      <c r="F983" s="23" t="str">
        <f>IF(OR(E983="",E983="!!!"),"",IF(NOT(ISNA(VLOOKUP(E983,E$1:E982,1,FALSE()))),"OLD",IF(AND(E983&lt;&gt;"",E983&lt;&gt;"!!!"),"NEW","")))</f>
        <v> </v>
      </c>
      <c r="G983" s="24" t="str">
        <f>IF(OR(E983="",E983="!!!"),"",IF(OR(J983=0,AND(J983=1,K983=1),AND(J983=1,I983="SBJ"),AND(J983=1,I983=0)),"?IN_FOCUS",IF(J983&lt;=2,"?ACTIVATED",IF(J983&lt;&gt;"","?FAMILIAR",IF(F983="NEW",IF(ISNA(VLOOKUP(E983,#REF!,1,FALSE())),"?TYPE_IDENTIFIABLE","?REFERENTIAL"),"_")))))</f>
        <v> </v>
      </c>
      <c r="H983" s="25" t="str">
        <f>IF(J983&lt;&gt;1,"",IF(I983="SBJ","CB","?"))</f>
        <v> </v>
      </c>
      <c r="I983" s="26" t="str">
        <f>IF(OR(E983="",E983="!!!",F983="NEW"),"",INDEX(B982:B$2,-1+SUMPRODUCT(MAX(ROW(E982:E$2)*(E983=E982:E$2)))))</f>
        <v> </v>
      </c>
      <c r="J983" s="26" t="str">
        <f>IF(OR(E983="",E983="!!!",F983="NEW"),"",COUNTBLANK(OFFSET(A$1,,,SUMPRODUCT(MAX(ROW(E$2:E983)*(E983=E$2:E983)))))-COUNTBLANK(OFFSET(A$1,,,SUMPRODUCT(MAX(ROW(E$1:E982)*(E2=E$1:E982))))))</f>
        <v> </v>
      </c>
      <c r="K983" s="26" t="str">
        <f>IF(OR(E983="",E983="!!!",F983="NEW"),"",INDEX(J$1:J982,SUMPRODUCT(MAX(ROW(E$1:E982)*(E983=E$1:E982)))))</f>
        <v> </v>
      </c>
      <c r="L983" s="27"/>
    </row>
    <row r="984" spans="1:12">
      <c r="A984" s="20" t="s">
        <v>938</v>
      </c>
      <c r="E984" s="22">
        <f>IF(D984="?OLD","!!!","")</f>
        <v/>
      </c>
      <c r="F984" s="23" t="str">
        <f>IF(OR(E984="",E984="!!!"),"",IF(NOT(ISNA(VLOOKUP(E984,E$1:E983,1,FALSE()))),"OLD",IF(AND(E984&lt;&gt;"",E984&lt;&gt;"!!!"),"NEW","")))</f>
        <v> </v>
      </c>
      <c r="G984" s="24" t="str">
        <f>IF(OR(E984="",E984="!!!"),"",IF(OR(J984=0,AND(J984=1,K984=1),AND(J984=1,I984="SBJ"),AND(J984=1,I984=0)),"?IN_FOCUS",IF(J984&lt;=2,"?ACTIVATED",IF(J984&lt;&gt;"","?FAMILIAR",IF(F984="NEW",IF(ISNA(VLOOKUP(E984,#REF!,1,FALSE())),"?TYPE_IDENTIFIABLE","?REFERENTIAL"),"_")))))</f>
        <v> </v>
      </c>
      <c r="H984" s="25" t="str">
        <f>IF(J984&lt;&gt;1,"",IF(I984="SBJ","CB","?"))</f>
        <v> </v>
      </c>
      <c r="I984" s="26" t="str">
        <f>IF(OR(E984="",E984="!!!",F984="NEW"),"",INDEX(B983:B$2,-1+SUMPRODUCT(MAX(ROW(E983:E$2)*(E984=E983:E$2)))))</f>
        <v> </v>
      </c>
      <c r="J984" s="26" t="str">
        <f>IF(OR(E984="",E984="!!!",F984="NEW"),"",COUNTBLANK(OFFSET(A$1,,,SUMPRODUCT(MAX(ROW(E$2:E984)*(E984=E$2:E984)))))-COUNTBLANK(OFFSET(A$1,,,SUMPRODUCT(MAX(ROW(E$1:E983)*(E2=E$1:E983))))))</f>
        <v> </v>
      </c>
      <c r="K984" s="26" t="str">
        <f>IF(OR(E984="",E984="!!!",F984="NEW"),"",INDEX(J$1:J983,SUMPRODUCT(MAX(ROW(E$1:E983)*(E984=E$1:E983)))))</f>
        <v> </v>
      </c>
      <c r="L984" s="27"/>
    </row>
    <row r="985" spans="1:12">
      <c r="A985" s="20" t="s">
        <v>751</v>
      </c>
      <c r="E985" s="22">
        <f>IF(D985="?OLD","!!!","")</f>
        <v/>
      </c>
      <c r="F985" s="23" t="str">
        <f>IF(OR(E985="",E985="!!!"),"",IF(NOT(ISNA(VLOOKUP(E985,E$1:E984,1,FALSE()))),"OLD",IF(AND(E985&lt;&gt;"",E985&lt;&gt;"!!!"),"NEW","")))</f>
        <v> </v>
      </c>
      <c r="G985" s="24" t="str">
        <f>IF(OR(E985="",E985="!!!"),"",IF(OR(J985=0,AND(J985=1,K985=1),AND(J985=1,I985="SBJ"),AND(J985=1,I985=0)),"?IN_FOCUS",IF(J985&lt;=2,"?ACTIVATED",IF(J985&lt;&gt;"","?FAMILIAR",IF(F985="NEW",IF(ISNA(VLOOKUP(E985,#REF!,1,FALSE())),"?TYPE_IDENTIFIABLE","?REFERENTIAL"),"_")))))</f>
        <v> </v>
      </c>
      <c r="H985" s="25" t="str">
        <f>IF(J985&lt;&gt;1,"",IF(I985="SBJ","CB","?"))</f>
        <v> </v>
      </c>
      <c r="I985" s="26" t="str">
        <f>IF(OR(E985="",E985="!!!",F985="NEW"),"",INDEX(B984:B$2,-1+SUMPRODUCT(MAX(ROW(E984:E$2)*(E985=E984:E$2)))))</f>
        <v> </v>
      </c>
      <c r="J985" s="26" t="str">
        <f>IF(OR(E985="",E985="!!!",F985="NEW"),"",COUNTBLANK(OFFSET(A$1,,,SUMPRODUCT(MAX(ROW(E$2:E985)*(E985=E$2:E985)))))-COUNTBLANK(OFFSET(A$1,,,SUMPRODUCT(MAX(ROW(E$1:E984)*(E2=E$1:E984))))))</f>
        <v> </v>
      </c>
      <c r="K985" s="26" t="str">
        <f>IF(OR(E985="",E985="!!!",F985="NEW"),"",INDEX(J$1:J984,SUMPRODUCT(MAX(ROW(E$1:E984)*(E985=E$1:E984)))))</f>
        <v> </v>
      </c>
      <c r="L985" s="27"/>
    </row>
    <row r="986" spans="1:12">
      <c r="A986" s="20" t="s">
        <v>1201</v>
      </c>
      <c r="B986" s="21" t="s">
        <v>755</v>
      </c>
      <c r="C986" s="21" t="s">
        <v>753</v>
      </c>
      <c r="D986" s="21" t="s">
        <v>730</v>
      </c>
      <c r="E986" s="22">
        <f>IF(D986="?OLD","!!!","")</f>
        <v/>
      </c>
      <c r="F986" s="23" t="str">
        <f>IF(OR(E986="",E986="!!!"),"",IF(NOT(ISNA(VLOOKUP(E986,E$1:E985,1,FALSE()))),"OLD",IF(AND(E986&lt;&gt;"",E986&lt;&gt;"!!!"),"NEW","")))</f>
        <v> </v>
      </c>
      <c r="G986" s="24" t="str">
        <f>IF(OR(E986="",E986="!!!"),"",IF(OR(J986=0,AND(J986=1,K986=1),AND(J986=1,I986="SBJ"),AND(J986=1,I986=0)),"?IN_FOCUS",IF(J986&lt;=2,"?ACTIVATED",IF(J986&lt;&gt;"","?FAMILIAR",IF(F986="NEW",IF(ISNA(VLOOKUP(E986,#REF!,1,FALSE())),"?TYPE_IDENTIFIABLE","?REFERENTIAL"),"_")))))</f>
        <v> </v>
      </c>
      <c r="H986" s="25" t="str">
        <f>IF(J986&lt;&gt;1,"",IF(I986="SBJ","CB","?"))</f>
        <v> </v>
      </c>
      <c r="I986" s="26" t="str">
        <f>IF(OR(E986="",E986="!!!",F986="NEW"),"",INDEX(B985:B$2,-1+SUMPRODUCT(MAX(ROW(E985:E$2)*(E986=E985:E$2)))))</f>
        <v> </v>
      </c>
      <c r="J986" s="26" t="str">
        <f>IF(OR(E986="",E986="!!!",F986="NEW"),"",COUNTBLANK(OFFSET(A$1,,,SUMPRODUCT(MAX(ROW(E$2:E986)*(E986=E$2:E986)))))-COUNTBLANK(OFFSET(A$1,,,SUMPRODUCT(MAX(ROW(E$1:E985)*(E2=E$1:E985))))))</f>
        <v> </v>
      </c>
      <c r="K986" s="26" t="str">
        <f>IF(OR(E986="",E986="!!!",F986="NEW"),"",INDEX(J$1:J985,SUMPRODUCT(MAX(ROW(E$1:E985)*(E986=E$1:E985)))))</f>
        <v> </v>
      </c>
      <c r="L986" s="27"/>
    </row>
    <row r="987" spans="1:12">
      <c r="A987" s="20" t="s">
        <v>759</v>
      </c>
      <c r="E987" s="22">
        <f>IF(D987="?OLD","!!!","")</f>
        <v/>
      </c>
      <c r="F987" s="23" t="str">
        <f>IF(OR(E987="",E987="!!!"),"",IF(NOT(ISNA(VLOOKUP(E987,E$1:E986,1,FALSE()))),"OLD",IF(AND(E987&lt;&gt;"",E987&lt;&gt;"!!!"),"NEW","")))</f>
        <v> </v>
      </c>
      <c r="G987" s="24" t="str">
        <f>IF(OR(E987="",E987="!!!"),"",IF(OR(J987=0,AND(J987=1,K987=1),AND(J987=1,I987="SBJ"),AND(J987=1,I987=0)),"?IN_FOCUS",IF(J987&lt;=2,"?ACTIVATED",IF(J987&lt;&gt;"","?FAMILIAR",IF(F987="NEW",IF(ISNA(VLOOKUP(E987,#REF!,1,FALSE())),"?TYPE_IDENTIFIABLE","?REFERENTIAL"),"_")))))</f>
        <v> </v>
      </c>
      <c r="H987" s="25" t="str">
        <f>IF(J987&lt;&gt;1,"",IF(I987="SBJ","CB","?"))</f>
        <v> </v>
      </c>
      <c r="I987" s="26" t="str">
        <f>IF(OR(E987="",E987="!!!",F987="NEW"),"",INDEX(B986:B$2,-1+SUMPRODUCT(MAX(ROW(E986:E$2)*(E987=E986:E$2)))))</f>
        <v> </v>
      </c>
      <c r="J987" s="26" t="str">
        <f>IF(OR(E987="",E987="!!!",F987="NEW"),"",COUNTBLANK(OFFSET(A$1,,,SUMPRODUCT(MAX(ROW(E$2:E987)*(E987=E$2:E987)))))-COUNTBLANK(OFFSET(A$1,,,SUMPRODUCT(MAX(ROW(E$1:E986)*(E2=E$1:E986))))))</f>
        <v> </v>
      </c>
      <c r="K987" s="26" t="str">
        <f>IF(OR(E987="",E987="!!!",F987="NEW"),"",INDEX(J$1:J986,SUMPRODUCT(MAX(ROW(E$1:E986)*(E987=E$1:E986)))))</f>
        <v> </v>
      </c>
      <c r="L987" s="27"/>
    </row>
    <row r="988" spans="1:12">
      <c r="A988" s="20" t="s">
        <v>757</v>
      </c>
      <c r="B988" s="21" t="s">
        <v>1202</v>
      </c>
      <c r="E988" s="22">
        <f>IF(D988="?OLD","!!!","")</f>
        <v/>
      </c>
      <c r="F988" s="23" t="str">
        <f>IF(OR(E988="",E988="!!!"),"",IF(NOT(ISNA(VLOOKUP(E988,E$1:E987,1,FALSE()))),"OLD",IF(AND(E988&lt;&gt;"",E988&lt;&gt;"!!!"),"NEW","")))</f>
        <v> </v>
      </c>
      <c r="G988" s="24" t="str">
        <f>IF(OR(E988="",E988="!!!"),"",IF(OR(J988=0,AND(J988=1,K988=1),AND(J988=1,I988="SBJ"),AND(J988=1,I988=0)),"?IN_FOCUS",IF(J988&lt;=2,"?ACTIVATED",IF(J988&lt;&gt;"","?FAMILIAR",IF(F988="NEW",IF(ISNA(VLOOKUP(E988,#REF!,1,FALSE())),"?TYPE_IDENTIFIABLE","?REFERENTIAL"),"_")))))</f>
        <v> </v>
      </c>
      <c r="H988" s="25" t="str">
        <f>IF(J988&lt;&gt;1,"",IF(I988="SBJ","CB","?"))</f>
        <v> </v>
      </c>
      <c r="I988" s="26" t="str">
        <f>IF(OR(E988="",E988="!!!",F988="NEW"),"",INDEX(B987:B$2,-1+SUMPRODUCT(MAX(ROW(E987:E$2)*(E988=E987:E$2)))))</f>
        <v> </v>
      </c>
      <c r="J988" s="26" t="str">
        <f>IF(OR(E988="",E988="!!!",F988="NEW"),"",COUNTBLANK(OFFSET(A$1,,,SUMPRODUCT(MAX(ROW(E$2:E988)*(E988=E$2:E988)))))-COUNTBLANK(OFFSET(A$1,,,SUMPRODUCT(MAX(ROW(E$1:E987)*(E2=E$1:E987))))))</f>
        <v> </v>
      </c>
      <c r="K988" s="26" t="str">
        <f>IF(OR(E988="",E988="!!!",F988="NEW"),"",INDEX(J$1:J987,SUMPRODUCT(MAX(ROW(E$1:E987)*(E988=E$1:E987)))))</f>
        <v> </v>
      </c>
      <c r="L988" s="27"/>
    </row>
    <row r="989" spans="1:12">
      <c r="A989" s="20" t="s">
        <v>1078</v>
      </c>
      <c r="E989" s="22">
        <f>IF(D989="?OLD","!!!","")</f>
        <v/>
      </c>
      <c r="F989" s="23" t="str">
        <f>IF(OR(E989="",E989="!!!"),"",IF(NOT(ISNA(VLOOKUP(E989,E$1:E988,1,FALSE()))),"OLD",IF(AND(E989&lt;&gt;"",E989&lt;&gt;"!!!"),"NEW","")))</f>
        <v> </v>
      </c>
      <c r="G989" s="24" t="str">
        <f>IF(OR(E989="",E989="!!!"),"",IF(OR(J989=0,AND(J989=1,K989=1),AND(J989=1,I989="SBJ"),AND(J989=1,I989=0)),"?IN_FOCUS",IF(J989&lt;=2,"?ACTIVATED",IF(J989&lt;&gt;"","?FAMILIAR",IF(F989="NEW",IF(ISNA(VLOOKUP(E989,#REF!,1,FALSE())),"?TYPE_IDENTIFIABLE","?REFERENTIAL"),"_")))))</f>
        <v> </v>
      </c>
      <c r="H989" s="25" t="str">
        <f>IF(J989&lt;&gt;1,"",IF(I989="SBJ","CB","?"))</f>
        <v> </v>
      </c>
      <c r="I989" s="26" t="str">
        <f>IF(OR(E989="",E989="!!!",F989="NEW"),"",INDEX(B988:B$2,-1+SUMPRODUCT(MAX(ROW(E988:E$2)*(E989=E988:E$2)))))</f>
        <v> </v>
      </c>
      <c r="J989" s="26" t="str">
        <f>IF(OR(E989="",E989="!!!",F989="NEW"),"",COUNTBLANK(OFFSET(A$1,,,SUMPRODUCT(MAX(ROW(E$2:E989)*(E989=E$2:E989)))))-COUNTBLANK(OFFSET(A$1,,,SUMPRODUCT(MAX(ROW(E$1:E988)*(E2=E$1:E988))))))</f>
        <v> </v>
      </c>
      <c r="K989" s="26" t="str">
        <f>IF(OR(E989="",E989="!!!",F989="NEW"),"",INDEX(J$1:J988,SUMPRODUCT(MAX(ROW(E$1:E988)*(E989=E$1:E988)))))</f>
        <v> </v>
      </c>
      <c r="L989" s="27"/>
    </row>
    <row r="990" spans="1:12">
      <c r="A990" s="20" t="s">
        <v>1203</v>
      </c>
      <c r="E990" s="22">
        <f>IF(D990="?OLD","!!!","")</f>
        <v/>
      </c>
      <c r="F990" s="23" t="str">
        <f>IF(OR(E990="",E990="!!!"),"",IF(NOT(ISNA(VLOOKUP(E990,E$1:E989,1,FALSE()))),"OLD",IF(AND(E990&lt;&gt;"",E990&lt;&gt;"!!!"),"NEW","")))</f>
        <v> </v>
      </c>
      <c r="G990" s="24" t="str">
        <f>IF(OR(E990="",E990="!!!"),"",IF(OR(J990=0,AND(J990=1,K990=1),AND(J990=1,I990="SBJ"),AND(J990=1,I990=0)),"?IN_FOCUS",IF(J990&lt;=2,"?ACTIVATED",IF(J990&lt;&gt;"","?FAMILIAR",IF(F990="NEW",IF(ISNA(VLOOKUP(E990,#REF!,1,FALSE())),"?TYPE_IDENTIFIABLE","?REFERENTIAL"),"_")))))</f>
        <v> </v>
      </c>
      <c r="H990" s="25" t="str">
        <f>IF(J990&lt;&gt;1,"",IF(I990="SBJ","CB","?"))</f>
        <v> </v>
      </c>
      <c r="I990" s="26" t="str">
        <f>IF(OR(E990="",E990="!!!",F990="NEW"),"",INDEX(B989:B$2,-1+SUMPRODUCT(MAX(ROW(E989:E$2)*(E990=E989:E$2)))))</f>
        <v> </v>
      </c>
      <c r="J990" s="26" t="str">
        <f>IF(OR(E990="",E990="!!!",F990="NEW"),"",COUNTBLANK(OFFSET(A$1,,,SUMPRODUCT(MAX(ROW(E$2:E990)*(E990=E$2:E990)))))-COUNTBLANK(OFFSET(A$1,,,SUMPRODUCT(MAX(ROW(E$1:E989)*(E2=E$1:E989))))))</f>
        <v> </v>
      </c>
      <c r="K990" s="26" t="str">
        <f>IF(OR(E990="",E990="!!!",F990="NEW"),"",INDEX(J$1:J989,SUMPRODUCT(MAX(ROW(E$1:E989)*(E990=E$1:E989)))))</f>
        <v> </v>
      </c>
      <c r="L990" s="27"/>
    </row>
    <row r="991" spans="1:12">
      <c r="A991" s="20" t="s">
        <v>246</v>
      </c>
      <c r="E991" s="22">
        <f>IF(D991="?OLD","!!!","")</f>
        <v/>
      </c>
      <c r="F991" s="23" t="str">
        <f>IF(OR(E991="",E991="!!!"),"",IF(NOT(ISNA(VLOOKUP(E991,E$1:E990,1,FALSE()))),"OLD",IF(AND(E991&lt;&gt;"",E991&lt;&gt;"!!!"),"NEW","")))</f>
        <v> </v>
      </c>
      <c r="G991" s="24" t="str">
        <f>IF(OR(E991="",E991="!!!"),"",IF(OR(J991=0,AND(J991=1,K991=1),AND(J991=1,I991="SBJ"),AND(J991=1,I991=0)),"?IN_FOCUS",IF(J991&lt;=2,"?ACTIVATED",IF(J991&lt;&gt;"","?FAMILIAR",IF(F991="NEW",IF(ISNA(VLOOKUP(E991,#REF!,1,FALSE())),"?TYPE_IDENTIFIABLE","?REFERENTIAL"),"_")))))</f>
        <v> </v>
      </c>
      <c r="H991" s="25" t="str">
        <f>IF(J991&lt;&gt;1,"",IF(I991="SBJ","CB","?"))</f>
        <v> </v>
      </c>
      <c r="I991" s="26" t="str">
        <f>IF(OR(E991="",E991="!!!",F991="NEW"),"",INDEX(B990:B$2,-1+SUMPRODUCT(MAX(ROW(E990:E$2)*(E991=E990:E$2)))))</f>
        <v> </v>
      </c>
      <c r="J991" s="26" t="str">
        <f>IF(OR(E991="",E991="!!!",F991="NEW"),"",COUNTBLANK(OFFSET(A$1,,,SUMPRODUCT(MAX(ROW(E$2:E991)*(E991=E$2:E991)))))-COUNTBLANK(OFFSET(A$1,,,SUMPRODUCT(MAX(ROW(E$1:E990)*(E2=E$1:E990))))))</f>
        <v> </v>
      </c>
      <c r="K991" s="26" t="str">
        <f>IF(OR(E991="",E991="!!!",F991="NEW"),"",INDEX(J$1:J990,SUMPRODUCT(MAX(ROW(E$1:E990)*(E991=E$1:E990)))))</f>
        <v> </v>
      </c>
      <c r="L991" s="27"/>
    </row>
    <row r="992" spans="1:12">
      <c r="A992" s="20"/>
    </row>
    <row r="993" spans="1:12">
      <c r="A993" s="20" t="s">
        <v>1204</v>
      </c>
    </row>
    <row r="994" spans="1:12">
      <c r="A994" s="20" t="s">
        <v>1205</v>
      </c>
      <c r="E994" s="22">
        <f>IF(D994="?OLD","!!!","")</f>
        <v/>
      </c>
      <c r="F994" s="23" t="str">
        <f>IF(OR(E994="",E994="!!!"),"",IF(NOT(ISNA(VLOOKUP(E994,E$1:E993,1,FALSE()))),"OLD",IF(AND(E994&lt;&gt;"",E994&lt;&gt;"!!!"),"NEW","")))</f>
        <v> </v>
      </c>
      <c r="G994" s="24" t="str">
        <f>IF(OR(E994="",E994="!!!"),"",IF(OR(J994=0,AND(J994=1,K994=1),AND(J994=1,I994="SBJ"),AND(J994=1,I994=0)),"?IN_FOCUS",IF(J994&lt;=2,"?ACTIVATED",IF(J994&lt;&gt;"","?FAMILIAR",IF(F994="NEW",IF(ISNA(VLOOKUP(E994,#REF!,1,FALSE())),"?TYPE_IDENTIFIABLE","?REFERENTIAL"),"_")))))</f>
        <v> </v>
      </c>
      <c r="H994" s="25" t="str">
        <f>IF(J994&lt;&gt;1,"",IF(I994="SBJ","CB","?"))</f>
        <v> </v>
      </c>
      <c r="I994" s="26" t="str">
        <f>IF(OR(E994="",E994="!!!",F994="NEW"),"",INDEX(B993:B$2,-1+SUMPRODUCT(MAX(ROW(E993:E$2)*(E994=E993:E$2)))))</f>
        <v> </v>
      </c>
      <c r="J994" s="26" t="str">
        <f>IF(OR(E994="",E994="!!!",F994="NEW"),"",COUNTBLANK(OFFSET(A$1,,,SUMPRODUCT(MAX(ROW(E$2:E994)*(E994=E$2:E994)))))-COUNTBLANK(OFFSET(A$1,,,SUMPRODUCT(MAX(ROW(E$1:E993)*(E2=E$1:E993))))))</f>
        <v> </v>
      </c>
      <c r="K994" s="26" t="str">
        <f>IF(OR(E994="",E994="!!!",F994="NEW"),"",INDEX(J$1:J993,SUMPRODUCT(MAX(ROW(E$1:E993)*(E994=E$1:E993)))))</f>
        <v> </v>
      </c>
      <c r="L994" s="27"/>
    </row>
    <row r="995" spans="1:12">
      <c r="A995" s="20" t="s">
        <v>1206</v>
      </c>
      <c r="B995" s="21" t="s">
        <v>736</v>
      </c>
      <c r="C995" s="21" t="s">
        <v>740</v>
      </c>
      <c r="D995" s="21" t="s">
        <v>730</v>
      </c>
      <c r="E995" s="22">
        <f>IF(D995="?OLD","!!!","")</f>
        <v/>
      </c>
      <c r="F995" s="23" t="str">
        <f>IF(OR(E995="",E995="!!!"),"",IF(NOT(ISNA(VLOOKUP(E995,E$1:E994,1,FALSE()))),"OLD",IF(AND(E995&lt;&gt;"",E995&lt;&gt;"!!!"),"NEW","")))</f>
        <v> </v>
      </c>
      <c r="G995" s="24" t="str">
        <f>IF(OR(E995="",E995="!!!"),"",IF(OR(J995=0,AND(J995=1,K995=1),AND(J995=1,I995="SBJ"),AND(J995=1,I995=0)),"?IN_FOCUS",IF(J995&lt;=2,"?ACTIVATED",IF(J995&lt;&gt;"","?FAMILIAR",IF(F995="NEW",IF(ISNA(VLOOKUP(E995,#REF!,1,FALSE())),"?TYPE_IDENTIFIABLE","?REFERENTIAL"),"_")))))</f>
        <v> </v>
      </c>
      <c r="H995" s="25" t="str">
        <f>IF(J995&lt;&gt;1,"",IF(I995="SBJ","CB","?"))</f>
        <v> </v>
      </c>
      <c r="I995" s="26" t="str">
        <f>IF(OR(E995="",E995="!!!",F995="NEW"),"",INDEX(B994:B$2,-1+SUMPRODUCT(MAX(ROW(E994:E$2)*(E995=E994:E$2)))))</f>
        <v> </v>
      </c>
      <c r="J995" s="26" t="str">
        <f>IF(OR(E995="",E995="!!!",F995="NEW"),"",COUNTBLANK(OFFSET(A$1,,,SUMPRODUCT(MAX(ROW(E$2:E995)*(E995=E$2:E995)))))-COUNTBLANK(OFFSET(A$1,,,SUMPRODUCT(MAX(ROW(E$1:E994)*(E2=E$1:E994))))))</f>
        <v> </v>
      </c>
      <c r="K995" s="26" t="str">
        <f>IF(OR(E995="",E995="!!!",F995="NEW"),"",INDEX(J$1:J994,SUMPRODUCT(MAX(ROW(E$1:E994)*(E995=E$1:E994)))))</f>
        <v> </v>
      </c>
      <c r="L995" s="27"/>
    </row>
    <row r="996" spans="1:12">
      <c r="A996" s="20" t="s">
        <v>1207</v>
      </c>
      <c r="E996" s="22">
        <f>IF(D996="?OLD","!!!","")</f>
        <v/>
      </c>
      <c r="F996" s="23" t="str">
        <f>IF(OR(E996="",E996="!!!"),"",IF(NOT(ISNA(VLOOKUP(E996,E$1:E995,1,FALSE()))),"OLD",IF(AND(E996&lt;&gt;"",E996&lt;&gt;"!!!"),"NEW","")))</f>
        <v> </v>
      </c>
      <c r="G996" s="24" t="str">
        <f>IF(OR(E996="",E996="!!!"),"",IF(OR(J996=0,AND(J996=1,K996=1),AND(J996=1,I996="SBJ"),AND(J996=1,I996=0)),"?IN_FOCUS",IF(J996&lt;=2,"?ACTIVATED",IF(J996&lt;&gt;"","?FAMILIAR",IF(F996="NEW",IF(ISNA(VLOOKUP(E996,#REF!,1,FALSE())),"?TYPE_IDENTIFIABLE","?REFERENTIAL"),"_")))))</f>
        <v> </v>
      </c>
      <c r="H996" s="25" t="str">
        <f>IF(J996&lt;&gt;1,"",IF(I996="SBJ","CB","?"))</f>
        <v> </v>
      </c>
      <c r="I996" s="26" t="str">
        <f>IF(OR(E996="",E996="!!!",F996="NEW"),"",INDEX(B995:B$2,-1+SUMPRODUCT(MAX(ROW(E995:E$2)*(E996=E995:E$2)))))</f>
        <v> </v>
      </c>
      <c r="J996" s="26" t="str">
        <f>IF(OR(E996="",E996="!!!",F996="NEW"),"",COUNTBLANK(OFFSET(A$1,,,SUMPRODUCT(MAX(ROW(E$2:E996)*(E996=E$2:E996)))))-COUNTBLANK(OFFSET(A$1,,,SUMPRODUCT(MAX(ROW(E$1:E995)*(E2=E$1:E995))))))</f>
        <v> </v>
      </c>
      <c r="K996" s="26" t="str">
        <f>IF(OR(E996="",E996="!!!",F996="NEW"),"",INDEX(J$1:J995,SUMPRODUCT(MAX(ROW(E$1:E995)*(E996=E$1:E995)))))</f>
        <v> </v>
      </c>
      <c r="L996" s="27"/>
    </row>
    <row r="997" spans="1:12">
      <c r="A997" s="20" t="s">
        <v>1208</v>
      </c>
      <c r="E997" s="22">
        <f>IF(D997="?OLD","!!!","")</f>
        <v/>
      </c>
      <c r="F997" s="23" t="str">
        <f>IF(OR(E997="",E997="!!!"),"",IF(NOT(ISNA(VLOOKUP(E997,E$1:E996,1,FALSE()))),"OLD",IF(AND(E997&lt;&gt;"",E997&lt;&gt;"!!!"),"NEW","")))</f>
        <v> </v>
      </c>
      <c r="G997" s="24" t="str">
        <f>IF(OR(E997="",E997="!!!"),"",IF(OR(J997=0,AND(J997=1,K997=1),AND(J997=1,I997="SBJ"),AND(J997=1,I997=0)),"?IN_FOCUS",IF(J997&lt;=2,"?ACTIVATED",IF(J997&lt;&gt;"","?FAMILIAR",IF(F997="NEW",IF(ISNA(VLOOKUP(E997,#REF!,1,FALSE())),"?TYPE_IDENTIFIABLE","?REFERENTIAL"),"_")))))</f>
        <v> </v>
      </c>
      <c r="H997" s="25" t="str">
        <f>IF(J997&lt;&gt;1,"",IF(I997="SBJ","CB","?"))</f>
        <v> </v>
      </c>
      <c r="I997" s="26" t="str">
        <f>IF(OR(E997="",E997="!!!",F997="NEW"),"",INDEX(B996:B$2,-1+SUMPRODUCT(MAX(ROW(E996:E$2)*(E997=E996:E$2)))))</f>
        <v> </v>
      </c>
      <c r="J997" s="26" t="str">
        <f>IF(OR(E997="",E997="!!!",F997="NEW"),"",COUNTBLANK(OFFSET(A$1,,,SUMPRODUCT(MAX(ROW(E$2:E997)*(E997=E$2:E997)))))-COUNTBLANK(OFFSET(A$1,,,SUMPRODUCT(MAX(ROW(E$1:E996)*(E2=E$1:E996))))))</f>
        <v> </v>
      </c>
      <c r="K997" s="26" t="str">
        <f>IF(OR(E997="",E997="!!!",F997="NEW"),"",INDEX(J$1:J996,SUMPRODUCT(MAX(ROW(E$1:E996)*(E997=E$1:E996)))))</f>
        <v> </v>
      </c>
      <c r="L997" s="27"/>
    </row>
    <row r="998" spans="1:12">
      <c r="A998" s="20" t="s">
        <v>1070</v>
      </c>
      <c r="E998" s="22">
        <f>IF(D998="?OLD","!!!","")</f>
        <v/>
      </c>
      <c r="F998" s="23" t="str">
        <f>IF(OR(E998="",E998="!!!"),"",IF(NOT(ISNA(VLOOKUP(E998,E$1:E997,1,FALSE()))),"OLD",IF(AND(E998&lt;&gt;"",E998&lt;&gt;"!!!"),"NEW","")))</f>
        <v> </v>
      </c>
      <c r="G998" s="24" t="str">
        <f>IF(OR(E998="",E998="!!!"),"",IF(OR(J998=0,AND(J998=1,K998=1),AND(J998=1,I998="SBJ"),AND(J998=1,I998=0)),"?IN_FOCUS",IF(J998&lt;=2,"?ACTIVATED",IF(J998&lt;&gt;"","?FAMILIAR",IF(F998="NEW",IF(ISNA(VLOOKUP(E998,#REF!,1,FALSE())),"?TYPE_IDENTIFIABLE","?REFERENTIAL"),"_")))))</f>
        <v> </v>
      </c>
      <c r="H998" s="25" t="str">
        <f>IF(J998&lt;&gt;1,"",IF(I998="SBJ","CB","?"))</f>
        <v> </v>
      </c>
      <c r="I998" s="26" t="str">
        <f>IF(OR(E998="",E998="!!!",F998="NEW"),"",INDEX(B997:B$2,-1+SUMPRODUCT(MAX(ROW(E997:E$2)*(E998=E997:E$2)))))</f>
        <v> </v>
      </c>
      <c r="J998" s="26" t="str">
        <f>IF(OR(E998="",E998="!!!",F998="NEW"),"",COUNTBLANK(OFFSET(A$1,,,SUMPRODUCT(MAX(ROW(E$2:E998)*(E998=E$2:E998)))))-COUNTBLANK(OFFSET(A$1,,,SUMPRODUCT(MAX(ROW(E$1:E997)*(E2=E$1:E997))))))</f>
        <v> </v>
      </c>
      <c r="K998" s="26" t="str">
        <f>IF(OR(E998="",E998="!!!",F998="NEW"),"",INDEX(J$1:J997,SUMPRODUCT(MAX(ROW(E$1:E997)*(E998=E$1:E997)))))</f>
        <v> </v>
      </c>
      <c r="L998" s="27"/>
    </row>
    <row r="999" spans="1:12">
      <c r="A999" s="20" t="s">
        <v>1209</v>
      </c>
      <c r="E999" s="22">
        <f>IF(D999="?OLD","!!!","")</f>
        <v/>
      </c>
      <c r="F999" s="23" t="str">
        <f>IF(OR(E999="",E999="!!!"),"",IF(NOT(ISNA(VLOOKUP(E999,E$1:E998,1,FALSE()))),"OLD",IF(AND(E999&lt;&gt;"",E999&lt;&gt;"!!!"),"NEW","")))</f>
        <v> </v>
      </c>
      <c r="G999" s="24" t="str">
        <f>IF(OR(E999="",E999="!!!"),"",IF(OR(J999=0,AND(J999=1,K999=1),AND(J999=1,I999="SBJ"),AND(J999=1,I999=0)),"?IN_FOCUS",IF(J999&lt;=2,"?ACTIVATED",IF(J999&lt;&gt;"","?FAMILIAR",IF(F999="NEW",IF(ISNA(VLOOKUP(E999,#REF!,1,FALSE())),"?TYPE_IDENTIFIABLE","?REFERENTIAL"),"_")))))</f>
        <v> </v>
      </c>
      <c r="H999" s="25" t="str">
        <f>IF(J999&lt;&gt;1,"",IF(I999="SBJ","CB","?"))</f>
        <v> </v>
      </c>
      <c r="I999" s="26" t="str">
        <f>IF(OR(E999="",E999="!!!",F999="NEW"),"",INDEX(B998:B$2,-1+SUMPRODUCT(MAX(ROW(E998:E$2)*(E999=E998:E$2)))))</f>
        <v> </v>
      </c>
      <c r="J999" s="26" t="str">
        <f>IF(OR(E999="",E999="!!!",F999="NEW"),"",COUNTBLANK(OFFSET(A$1,,,SUMPRODUCT(MAX(ROW(E$2:E999)*(E999=E$2:E999)))))-COUNTBLANK(OFFSET(A$1,,,SUMPRODUCT(MAX(ROW(E$1:E998)*(E2=E$1:E998))))))</f>
        <v> </v>
      </c>
      <c r="K999" s="26" t="str">
        <f>IF(OR(E999="",E999="!!!",F999="NEW"),"",INDEX(J$1:J998,SUMPRODUCT(MAX(ROW(E$1:E998)*(E999=E$1:E998)))))</f>
        <v> </v>
      </c>
      <c r="L999" s="27"/>
    </row>
    <row r="1000" spans="1:12">
      <c r="A1000" s="20" t="s">
        <v>1210</v>
      </c>
      <c r="E1000" s="22">
        <f>IF(D1000="?OLD","!!!","")</f>
        <v/>
      </c>
      <c r="F1000" s="23" t="str">
        <f>IF(OR(E1000="",E1000="!!!"),"",IF(NOT(ISNA(VLOOKUP(E1000,E$1:E999,1,FALSE()))),"OLD",IF(AND(E1000&lt;&gt;"",E1000&lt;&gt;"!!!"),"NEW","")))</f>
        <v> </v>
      </c>
      <c r="G1000" s="24" t="str">
        <f>IF(OR(E1000="",E1000="!!!"),"",IF(OR(J1000=0,AND(J1000=1,K1000=1),AND(J1000=1,I1000="SBJ"),AND(J1000=1,I1000=0)),"?IN_FOCUS",IF(J1000&lt;=2,"?ACTIVATED",IF(J1000&lt;&gt;"","?FAMILIAR",IF(F1000="NEW",IF(ISNA(VLOOKUP(E1000,#REF!,1,FALSE())),"?TYPE_IDENTIFIABLE","?REFERENTIAL"),"_")))))</f>
        <v> </v>
      </c>
      <c r="H1000" s="25" t="str">
        <f>IF(J1000&lt;&gt;1,"",IF(I1000="SBJ","CB","?"))</f>
        <v> </v>
      </c>
      <c r="I1000" s="26" t="str">
        <f>IF(OR(E1000="",E1000="!!!",F1000="NEW"),"",INDEX(B999:B$2,-1+SUMPRODUCT(MAX(ROW(E999:E$2)*(E1000=E999:E$2)))))</f>
        <v> </v>
      </c>
      <c r="J1000" s="26" t="str">
        <f>IF(OR(E1000="",E1000="!!!",F1000="NEW"),"",COUNTBLANK(OFFSET(A$1,,,SUMPRODUCT(MAX(ROW(E$2:E1000)*(E1000=E$2:E1000)))))-COUNTBLANK(OFFSET(A$1,,,SUMPRODUCT(MAX(ROW(E$1:E999)*(E2=E$1:E999))))))</f>
        <v> </v>
      </c>
      <c r="K1000" s="26" t="str">
        <f>IF(OR(E1000="",E1000="!!!",F1000="NEW"),"",INDEX(J$1:J999,SUMPRODUCT(MAX(ROW(E$1:E999)*(E1000=E$1:E999)))))</f>
        <v> </v>
      </c>
      <c r="L1000" s="27"/>
    </row>
    <row r="1001" spans="1:12">
      <c r="A1001" s="20" t="s">
        <v>1211</v>
      </c>
      <c r="B1001" s="21" t="s">
        <v>764</v>
      </c>
      <c r="C1001" s="21" t="s">
        <v>748</v>
      </c>
      <c r="E1001" s="22">
        <f>IF(D1001="?OLD","!!!","")</f>
        <v/>
      </c>
      <c r="F1001" s="23" t="str">
        <f>IF(OR(E1001="",E1001="!!!"),"",IF(NOT(ISNA(VLOOKUP(E1001,E$1:E1000,1,FALSE()))),"OLD",IF(AND(E1001&lt;&gt;"",E1001&lt;&gt;"!!!"),"NEW","")))</f>
        <v> </v>
      </c>
      <c r="G1001" s="24" t="str">
        <f>IF(OR(E1001="",E1001="!!!"),"",IF(OR(J1001=0,AND(J1001=1,K1001=1),AND(J1001=1,I1001="SBJ"),AND(J1001=1,I1001=0)),"?IN_FOCUS",IF(J1001&lt;=2,"?ACTIVATED",IF(J1001&lt;&gt;"","?FAMILIAR",IF(F1001="NEW",IF(ISNA(VLOOKUP(E1001,#REF!,1,FALSE())),"?TYPE_IDENTIFIABLE","?REFERENTIAL"),"_")))))</f>
        <v> </v>
      </c>
      <c r="H1001" s="25" t="str">
        <f>IF(J1001&lt;&gt;1,"",IF(I1001="SBJ","CB","?"))</f>
        <v> </v>
      </c>
      <c r="I1001" s="26" t="str">
        <f>IF(OR(E1001="",E1001="!!!",F1001="NEW"),"",INDEX(B1000:B$2,-1+SUMPRODUCT(MAX(ROW(E1000:E$2)*(E1001=E1000:E$2)))))</f>
        <v> </v>
      </c>
      <c r="J1001" s="26" t="str">
        <f>IF(OR(E1001="",E1001="!!!",F1001="NEW"),"",COUNTBLANK(OFFSET(A$1,,,SUMPRODUCT(MAX(ROW(E$2:E1001)*(E1001=E$2:E1001)))))-COUNTBLANK(OFFSET(A$1,,,SUMPRODUCT(MAX(ROW(E$1:E1000)*(E2=E$1:E1000))))))</f>
        <v> </v>
      </c>
      <c r="K1001" s="26" t="str">
        <f>IF(OR(E1001="",E1001="!!!",F1001="NEW"),"",INDEX(J$1:J1000,SUMPRODUCT(MAX(ROW(E$1:E1000)*(E1001=E$1:E1000)))))</f>
        <v> </v>
      </c>
      <c r="L1001" s="27"/>
    </row>
    <row r="1002" spans="1:12">
      <c r="A1002" s="20" t="s">
        <v>785</v>
      </c>
      <c r="E1002" s="22">
        <f>IF(D1002="?OLD","!!!","")</f>
        <v/>
      </c>
      <c r="F1002" s="23" t="str">
        <f>IF(OR(E1002="",E1002="!!!"),"",IF(NOT(ISNA(VLOOKUP(E1002,E$1:E1001,1,FALSE()))),"OLD",IF(AND(E1002&lt;&gt;"",E1002&lt;&gt;"!!!"),"NEW","")))</f>
        <v> </v>
      </c>
      <c r="G1002" s="24" t="str">
        <f>IF(OR(E1002="",E1002="!!!"),"",IF(OR(J1002=0,AND(J1002=1,K1002=1),AND(J1002=1,I1002="SBJ"),AND(J1002=1,I1002=0)),"?IN_FOCUS",IF(J1002&lt;=2,"?ACTIVATED",IF(J1002&lt;&gt;"","?FAMILIAR",IF(F1002="NEW",IF(ISNA(VLOOKUP(E1002,#REF!,1,FALSE())),"?TYPE_IDENTIFIABLE","?REFERENTIAL"),"_")))))</f>
        <v> </v>
      </c>
      <c r="H1002" s="25" t="str">
        <f>IF(J1002&lt;&gt;1,"",IF(I1002="SBJ","CB","?"))</f>
        <v> </v>
      </c>
      <c r="I1002" s="26" t="str">
        <f>IF(OR(E1002="",E1002="!!!",F1002="NEW"),"",INDEX(B1001:B$2,-1+SUMPRODUCT(MAX(ROW(E1001:E$2)*(E1002=E1001:E$2)))))</f>
        <v> </v>
      </c>
      <c r="J1002" s="26" t="str">
        <f>IF(OR(E1002="",E1002="!!!",F1002="NEW"),"",COUNTBLANK(OFFSET(A$1,,,SUMPRODUCT(MAX(ROW(E$2:E1002)*(E1002=E$2:E1002)))))-COUNTBLANK(OFFSET(A$1,,,SUMPRODUCT(MAX(ROW(E$1:E1001)*(E2=E$1:E1001))))))</f>
        <v> </v>
      </c>
      <c r="K1002" s="26" t="str">
        <f>IF(OR(E1002="",E1002="!!!",F1002="NEW"),"",INDEX(J$1:J1001,SUMPRODUCT(MAX(ROW(E$1:E1001)*(E1002=E$1:E1001)))))</f>
        <v> </v>
      </c>
      <c r="L1002" s="27"/>
    </row>
    <row r="1003" spans="1:12">
      <c r="A1003" s="20" t="s">
        <v>1212</v>
      </c>
      <c r="B1003" s="21" t="s">
        <v>739</v>
      </c>
      <c r="C1003" s="21" t="s">
        <v>748</v>
      </c>
      <c r="E1003" s="22">
        <f>IF(D1003="?OLD","!!!","")</f>
        <v/>
      </c>
      <c r="F1003" s="23" t="str">
        <f>IF(OR(E1003="",E1003="!!!"),"",IF(NOT(ISNA(VLOOKUP(E1003,E$1:E1002,1,FALSE()))),"OLD",IF(AND(E1003&lt;&gt;"",E1003&lt;&gt;"!!!"),"NEW","")))</f>
        <v> </v>
      </c>
      <c r="G1003" s="24" t="str">
        <f>IF(OR(E1003="",E1003="!!!"),"",IF(OR(J1003=0,AND(J1003=1,K1003=1),AND(J1003=1,I1003="SBJ"),AND(J1003=1,I1003=0)),"?IN_FOCUS",IF(J1003&lt;=2,"?ACTIVATED",IF(J1003&lt;&gt;"","?FAMILIAR",IF(F1003="NEW",IF(ISNA(VLOOKUP(E1003,#REF!,1,FALSE())),"?TYPE_IDENTIFIABLE","?REFERENTIAL"),"_")))))</f>
        <v> </v>
      </c>
      <c r="H1003" s="25" t="str">
        <f>IF(J1003&lt;&gt;1,"",IF(I1003="SBJ","CB","?"))</f>
        <v> </v>
      </c>
      <c r="I1003" s="26" t="str">
        <f>IF(OR(E1003="",E1003="!!!",F1003="NEW"),"",INDEX(B1002:B$2,-1+SUMPRODUCT(MAX(ROW(E1002:E$2)*(E1003=E1002:E$2)))))</f>
        <v> </v>
      </c>
      <c r="J1003" s="26" t="str">
        <f>IF(OR(E1003="",E1003="!!!",F1003="NEW"),"",COUNTBLANK(OFFSET(A$1,,,SUMPRODUCT(MAX(ROW(E$2:E1003)*(E1003=E$2:E1003)))))-COUNTBLANK(OFFSET(A$1,,,SUMPRODUCT(MAX(ROW(E$1:E1002)*(E2=E$1:E1002))))))</f>
        <v> </v>
      </c>
      <c r="K1003" s="26" t="str">
        <f>IF(OR(E1003="",E1003="!!!",F1003="NEW"),"",INDEX(J$1:J1002,SUMPRODUCT(MAX(ROW(E$1:E1002)*(E1003=E$1:E1002)))))</f>
        <v> </v>
      </c>
      <c r="L1003" s="27"/>
    </row>
    <row r="1004" spans="1:12">
      <c r="A1004" s="20" t="s">
        <v>810</v>
      </c>
      <c r="E1004" s="22">
        <f>IF(D1004="?OLD","!!!","")</f>
        <v/>
      </c>
      <c r="F1004" s="23" t="str">
        <f>IF(OR(E1004="",E1004="!!!"),"",IF(NOT(ISNA(VLOOKUP(E1004,E$1:E1003,1,FALSE()))),"OLD",IF(AND(E1004&lt;&gt;"",E1004&lt;&gt;"!!!"),"NEW","")))</f>
        <v> </v>
      </c>
      <c r="G1004" s="24" t="str">
        <f>IF(OR(E1004="",E1004="!!!"),"",IF(OR(J1004=0,AND(J1004=1,K1004=1),AND(J1004=1,I1004="SBJ"),AND(J1004=1,I1004=0)),"?IN_FOCUS",IF(J1004&lt;=2,"?ACTIVATED",IF(J1004&lt;&gt;"","?FAMILIAR",IF(F1004="NEW",IF(ISNA(VLOOKUP(E1004,#REF!,1,FALSE())),"?TYPE_IDENTIFIABLE","?REFERENTIAL"),"_")))))</f>
        <v> </v>
      </c>
      <c r="H1004" s="25" t="str">
        <f>IF(J1004&lt;&gt;1,"",IF(I1004="SBJ","CB","?"))</f>
        <v> </v>
      </c>
      <c r="I1004" s="26" t="str">
        <f>IF(OR(E1004="",E1004="!!!",F1004="NEW"),"",INDEX(B1003:B$2,-1+SUMPRODUCT(MAX(ROW(E1003:E$2)*(E1004=E1003:E$2)))))</f>
        <v> </v>
      </c>
      <c r="J1004" s="26" t="str">
        <f>IF(OR(E1004="",E1004="!!!",F1004="NEW"),"",COUNTBLANK(OFFSET(A$1,,,SUMPRODUCT(MAX(ROW(E$2:E1004)*(E1004=E$2:E1004)))))-COUNTBLANK(OFFSET(A$1,,,SUMPRODUCT(MAX(ROW(E$1:E1003)*(E2=E$1:E1003))))))</f>
        <v> </v>
      </c>
      <c r="K1004" s="26" t="str">
        <f>IF(OR(E1004="",E1004="!!!",F1004="NEW"),"",INDEX(J$1:J1003,SUMPRODUCT(MAX(ROW(E$1:E1003)*(E1004=E$1:E1003)))))</f>
        <v> </v>
      </c>
      <c r="L1004" s="27"/>
    </row>
    <row r="1005" spans="1:12">
      <c r="A1005" s="20" t="s">
        <v>1213</v>
      </c>
      <c r="E1005" s="22">
        <f>IF(D1005="?OLD","!!!","")</f>
        <v/>
      </c>
      <c r="F1005" s="23" t="str">
        <f>IF(OR(E1005="",E1005="!!!"),"",IF(NOT(ISNA(VLOOKUP(E1005,E$1:E1004,1,FALSE()))),"OLD",IF(AND(E1005&lt;&gt;"",E1005&lt;&gt;"!!!"),"NEW","")))</f>
        <v> </v>
      </c>
      <c r="G1005" s="24" t="str">
        <f>IF(OR(E1005="",E1005="!!!"),"",IF(OR(J1005=0,AND(J1005=1,K1005=1),AND(J1005=1,I1005="SBJ"),AND(J1005=1,I1005=0)),"?IN_FOCUS",IF(J1005&lt;=2,"?ACTIVATED",IF(J1005&lt;&gt;"","?FAMILIAR",IF(F1005="NEW",IF(ISNA(VLOOKUP(E1005,#REF!,1,FALSE())),"?TYPE_IDENTIFIABLE","?REFERENTIAL"),"_")))))</f>
        <v> </v>
      </c>
      <c r="H1005" s="25" t="str">
        <f>IF(J1005&lt;&gt;1,"",IF(I1005="SBJ","CB","?"))</f>
        <v> </v>
      </c>
      <c r="I1005" s="26" t="str">
        <f>IF(OR(E1005="",E1005="!!!",F1005="NEW"),"",INDEX(B1004:B$2,-1+SUMPRODUCT(MAX(ROW(E1004:E$2)*(E1005=E1004:E$2)))))</f>
        <v> </v>
      </c>
      <c r="J1005" s="26" t="str">
        <f>IF(OR(E1005="",E1005="!!!",F1005="NEW"),"",COUNTBLANK(OFFSET(A$1,,,SUMPRODUCT(MAX(ROW(E$2:E1005)*(E1005=E$2:E1005)))))-COUNTBLANK(OFFSET(A$1,,,SUMPRODUCT(MAX(ROW(E$1:E1004)*(E2=E$1:E1004))))))</f>
        <v> </v>
      </c>
      <c r="K1005" s="26" t="str">
        <f>IF(OR(E1005="",E1005="!!!",F1005="NEW"),"",INDEX(J$1:J1004,SUMPRODUCT(MAX(ROW(E$1:E1004)*(E1005=E$1:E1004)))))</f>
        <v> </v>
      </c>
      <c r="L1005" s="27"/>
    </row>
    <row r="1006" spans="1:12">
      <c r="A1006" s="20" t="s">
        <v>1214</v>
      </c>
      <c r="E1006" s="22">
        <f>IF(D1006="?OLD","!!!","")</f>
        <v/>
      </c>
      <c r="F1006" s="23" t="str">
        <f>IF(OR(E1006="",E1006="!!!"),"",IF(NOT(ISNA(VLOOKUP(E1006,E$1:E1005,1,FALSE()))),"OLD",IF(AND(E1006&lt;&gt;"",E1006&lt;&gt;"!!!"),"NEW","")))</f>
        <v> </v>
      </c>
      <c r="G1006" s="24" t="str">
        <f>IF(OR(E1006="",E1006="!!!"),"",IF(OR(J1006=0,AND(J1006=1,K1006=1),AND(J1006=1,I1006="SBJ"),AND(J1006=1,I1006=0)),"?IN_FOCUS",IF(J1006&lt;=2,"?ACTIVATED",IF(J1006&lt;&gt;"","?FAMILIAR",IF(F1006="NEW",IF(ISNA(VLOOKUP(E1006,#REF!,1,FALSE())),"?TYPE_IDENTIFIABLE","?REFERENTIAL"),"_")))))</f>
        <v> </v>
      </c>
      <c r="H1006" s="25" t="str">
        <f>IF(J1006&lt;&gt;1,"",IF(I1006="SBJ","CB","?"))</f>
        <v> </v>
      </c>
      <c r="I1006" s="26" t="str">
        <f>IF(OR(E1006="",E1006="!!!",F1006="NEW"),"",INDEX(B1005:B$2,-1+SUMPRODUCT(MAX(ROW(E1005:E$2)*(E1006=E1005:E$2)))))</f>
        <v> </v>
      </c>
      <c r="J1006" s="26" t="str">
        <f>IF(OR(E1006="",E1006="!!!",F1006="NEW"),"",COUNTBLANK(OFFSET(A$1,,,SUMPRODUCT(MAX(ROW(E$2:E1006)*(E1006=E$2:E1006)))))-COUNTBLANK(OFFSET(A$1,,,SUMPRODUCT(MAX(ROW(E$1:E1005)*(E2=E$1:E1005))))))</f>
        <v> </v>
      </c>
      <c r="K1006" s="26" t="str">
        <f>IF(OR(E1006="",E1006="!!!",F1006="NEW"),"",INDEX(J$1:J1005,SUMPRODUCT(MAX(ROW(E$1:E1005)*(E1006=E$1:E1005)))))</f>
        <v> </v>
      </c>
      <c r="L1006" s="27"/>
    </row>
    <row r="1007" spans="1:12">
      <c r="A1007" s="20" t="s">
        <v>754</v>
      </c>
      <c r="E1007" s="22">
        <f>IF(D1007="?OLD","!!!","")</f>
        <v/>
      </c>
      <c r="F1007" s="23" t="str">
        <f>IF(OR(E1007="",E1007="!!!"),"",IF(NOT(ISNA(VLOOKUP(E1007,E$1:E1006,1,FALSE()))),"OLD",IF(AND(E1007&lt;&gt;"",E1007&lt;&gt;"!!!"),"NEW","")))</f>
        <v> </v>
      </c>
      <c r="G1007" s="24" t="str">
        <f>IF(OR(E1007="",E1007="!!!"),"",IF(OR(J1007=0,AND(J1007=1,K1007=1),AND(J1007=1,I1007="SBJ"),AND(J1007=1,I1007=0)),"?IN_FOCUS",IF(J1007&lt;=2,"?ACTIVATED",IF(J1007&lt;&gt;"","?FAMILIAR",IF(F1007="NEW",IF(ISNA(VLOOKUP(E1007,#REF!,1,FALSE())),"?TYPE_IDENTIFIABLE","?REFERENTIAL"),"_")))))</f>
        <v> </v>
      </c>
      <c r="H1007" s="25" t="str">
        <f>IF(J1007&lt;&gt;1,"",IF(I1007="SBJ","CB","?"))</f>
        <v> </v>
      </c>
      <c r="I1007" s="26" t="str">
        <f>IF(OR(E1007="",E1007="!!!",F1007="NEW"),"",INDEX(B1006:B$2,-1+SUMPRODUCT(MAX(ROW(E1006:E$2)*(E1007=E1006:E$2)))))</f>
        <v> </v>
      </c>
      <c r="J1007" s="26" t="str">
        <f>IF(OR(E1007="",E1007="!!!",F1007="NEW"),"",COUNTBLANK(OFFSET(A$1,,,SUMPRODUCT(MAX(ROW(E$2:E1007)*(E1007=E$2:E1007)))))-COUNTBLANK(OFFSET(A$1,,,SUMPRODUCT(MAX(ROW(E$1:E1006)*(E2=E$1:E1006))))))</f>
        <v> </v>
      </c>
      <c r="K1007" s="26" t="str">
        <f>IF(OR(E1007="",E1007="!!!",F1007="NEW"),"",INDEX(J$1:J1006,SUMPRODUCT(MAX(ROW(E$1:E1006)*(E1007=E$1:E1006)))))</f>
        <v> </v>
      </c>
      <c r="L1007" s="27"/>
    </row>
    <row r="1008" spans="1:12">
      <c r="A1008" s="20" t="s">
        <v>191</v>
      </c>
      <c r="E1008" s="22">
        <f>IF(D1008="?OLD","!!!","")</f>
        <v/>
      </c>
      <c r="F1008" s="23" t="str">
        <f>IF(OR(E1008="",E1008="!!!"),"",IF(NOT(ISNA(VLOOKUP(E1008,E$1:E1007,1,FALSE()))),"OLD",IF(AND(E1008&lt;&gt;"",E1008&lt;&gt;"!!!"),"NEW","")))</f>
        <v> </v>
      </c>
      <c r="G1008" s="24" t="str">
        <f>IF(OR(E1008="",E1008="!!!"),"",IF(OR(J1008=0,AND(J1008=1,K1008=1),AND(J1008=1,I1008="SBJ"),AND(J1008=1,I1008=0)),"?IN_FOCUS",IF(J1008&lt;=2,"?ACTIVATED",IF(J1008&lt;&gt;"","?FAMILIAR",IF(F1008="NEW",IF(ISNA(VLOOKUP(E1008,#REF!,1,FALSE())),"?TYPE_IDENTIFIABLE","?REFERENTIAL"),"_")))))</f>
        <v> </v>
      </c>
      <c r="H1008" s="25" t="str">
        <f>IF(J1008&lt;&gt;1,"",IF(I1008="SBJ","CB","?"))</f>
        <v> </v>
      </c>
      <c r="I1008" s="26" t="str">
        <f>IF(OR(E1008="",E1008="!!!",F1008="NEW"),"",INDEX(B1007:B$2,-1+SUMPRODUCT(MAX(ROW(E1007:E$2)*(E1008=E1007:E$2)))))</f>
        <v> </v>
      </c>
      <c r="J1008" s="26" t="str">
        <f>IF(OR(E1008="",E1008="!!!",F1008="NEW"),"",COUNTBLANK(OFFSET(A$1,,,SUMPRODUCT(MAX(ROW(E$2:E1008)*(E1008=E$2:E1008)))))-COUNTBLANK(OFFSET(A$1,,,SUMPRODUCT(MAX(ROW(E$1:E1007)*(E2=E$1:E1007))))))</f>
        <v> </v>
      </c>
      <c r="K1008" s="26" t="str">
        <f>IF(OR(E1008="",E1008="!!!",F1008="NEW"),"",INDEX(J$1:J1007,SUMPRODUCT(MAX(ROW(E$1:E1007)*(E1008=E$1:E1007)))))</f>
        <v> </v>
      </c>
      <c r="L1008" s="27"/>
    </row>
    <row r="1009" spans="1:12">
      <c r="A1009" s="20" t="s">
        <v>246</v>
      </c>
      <c r="E1009" s="22">
        <f>IF(D1009="?OLD","!!!","")</f>
        <v/>
      </c>
      <c r="F1009" s="23" t="str">
        <f>IF(OR(E1009="",E1009="!!!"),"",IF(NOT(ISNA(VLOOKUP(E1009,E$1:E1008,1,FALSE()))),"OLD",IF(AND(E1009&lt;&gt;"",E1009&lt;&gt;"!!!"),"NEW","")))</f>
        <v> </v>
      </c>
      <c r="G1009" s="24" t="str">
        <f>IF(OR(E1009="",E1009="!!!"),"",IF(OR(J1009=0,AND(J1009=1,K1009=1),AND(J1009=1,I1009="SBJ"),AND(J1009=1,I1009=0)),"?IN_FOCUS",IF(J1009&lt;=2,"?ACTIVATED",IF(J1009&lt;&gt;"","?FAMILIAR",IF(F1009="NEW",IF(ISNA(VLOOKUP(E1009,#REF!,1,FALSE())),"?TYPE_IDENTIFIABLE","?REFERENTIAL"),"_")))))</f>
        <v> </v>
      </c>
      <c r="H1009" s="25" t="str">
        <f>IF(J1009&lt;&gt;1,"",IF(I1009="SBJ","CB","?"))</f>
        <v> </v>
      </c>
      <c r="I1009" s="26" t="str">
        <f>IF(OR(E1009="",E1009="!!!",F1009="NEW"),"",INDEX(B1008:B$2,-1+SUMPRODUCT(MAX(ROW(E1008:E$2)*(E1009=E1008:E$2)))))</f>
        <v> </v>
      </c>
      <c r="J1009" s="26" t="str">
        <f>IF(OR(E1009="",E1009="!!!",F1009="NEW"),"",COUNTBLANK(OFFSET(A$1,,,SUMPRODUCT(MAX(ROW(E$2:E1009)*(E1009=E$2:E1009)))))-COUNTBLANK(OFFSET(A$1,,,SUMPRODUCT(MAX(ROW(E$1:E1008)*(E2=E$1:E1008))))))</f>
        <v> </v>
      </c>
      <c r="K1009" s="26" t="str">
        <f>IF(OR(E1009="",E1009="!!!",F1009="NEW"),"",INDEX(J$1:J1008,SUMPRODUCT(MAX(ROW(E$1:E1008)*(E1009=E$1:E1008)))))</f>
        <v> </v>
      </c>
      <c r="L1009" s="27"/>
    </row>
    <row r="1010" spans="1:12">
      <c r="A1010" s="20"/>
    </row>
    <row r="1011" spans="1:12">
      <c r="A1011" s="20" t="s">
        <v>1215</v>
      </c>
    </row>
    <row r="1012" spans="1:12">
      <c r="A1012" s="20" t="s">
        <v>834</v>
      </c>
      <c r="B1012" s="21" t="s">
        <v>728</v>
      </c>
      <c r="C1012" s="21" t="s">
        <v>729</v>
      </c>
      <c r="D1012" s="21" t="s">
        <v>730</v>
      </c>
      <c r="E1012" s="22">
        <f>IF(D1012="?OLD","!!!","")</f>
        <v/>
      </c>
      <c r="F1012" s="23" t="str">
        <f>IF(OR(E1012="",E1012="!!!"),"",IF(NOT(ISNA(VLOOKUP(E1012,E$1:E1011,1,FALSE()))),"OLD",IF(AND(E1012&lt;&gt;"",E1012&lt;&gt;"!!!"),"NEW","")))</f>
        <v> </v>
      </c>
      <c r="G1012" s="24" t="str">
        <f>IF(OR(E1012="",E1012="!!!"),"",IF(OR(J1012=0,AND(J1012=1,K1012=1),AND(J1012=1,I1012="SBJ"),AND(J1012=1,I1012=0)),"?IN_FOCUS",IF(J1012&lt;=2,"?ACTIVATED",IF(J1012&lt;&gt;"","?FAMILIAR",IF(F1012="NEW",IF(ISNA(VLOOKUP(E1012,#REF!,1,FALSE())),"?TYPE_IDENTIFIABLE","?REFERENTIAL"),"_")))))</f>
        <v> </v>
      </c>
      <c r="H1012" s="25" t="str">
        <f>IF(J1012&lt;&gt;1,"",IF(I1012="SBJ","CB","?"))</f>
        <v> </v>
      </c>
      <c r="I1012" s="26" t="str">
        <f>IF(OR(E1012="",E1012="!!!",F1012="NEW"),"",INDEX(B1011:B$2,-1+SUMPRODUCT(MAX(ROW(E1011:E$2)*(E1012=E1011:E$2)))))</f>
        <v> </v>
      </c>
      <c r="J1012" s="26" t="str">
        <f>IF(OR(E1012="",E1012="!!!",F1012="NEW"),"",COUNTBLANK(OFFSET(A$1,,,SUMPRODUCT(MAX(ROW(E$2:E1012)*(E1012=E$2:E1012)))))-COUNTBLANK(OFFSET(A$1,,,SUMPRODUCT(MAX(ROW(E$1:E1011)*(E2=E$1:E1011))))))</f>
        <v> </v>
      </c>
      <c r="K1012" s="26" t="str">
        <f>IF(OR(E1012="",E1012="!!!",F1012="NEW"),"",INDEX(J$1:J1011,SUMPRODUCT(MAX(ROW(E$1:E1011)*(E1012=E$1:E1011)))))</f>
        <v> </v>
      </c>
      <c r="L1012" s="27"/>
    </row>
    <row r="1013" spans="1:12">
      <c r="A1013" s="20" t="s">
        <v>1216</v>
      </c>
      <c r="E1013" s="22">
        <f>IF(D1013="?OLD","!!!","")</f>
        <v/>
      </c>
      <c r="F1013" s="23" t="str">
        <f>IF(OR(E1013="",E1013="!!!"),"",IF(NOT(ISNA(VLOOKUP(E1013,E$1:E1012,1,FALSE()))),"OLD",IF(AND(E1013&lt;&gt;"",E1013&lt;&gt;"!!!"),"NEW","")))</f>
        <v> </v>
      </c>
      <c r="G1013" s="24" t="str">
        <f>IF(OR(E1013="",E1013="!!!"),"",IF(OR(J1013=0,AND(J1013=1,K1013=1),AND(J1013=1,I1013="SBJ"),AND(J1013=1,I1013=0)),"?IN_FOCUS",IF(J1013&lt;=2,"?ACTIVATED",IF(J1013&lt;&gt;"","?FAMILIAR",IF(F1013="NEW",IF(ISNA(VLOOKUP(E1013,#REF!,1,FALSE())),"?TYPE_IDENTIFIABLE","?REFERENTIAL"),"_")))))</f>
        <v> </v>
      </c>
      <c r="H1013" s="25" t="str">
        <f>IF(J1013&lt;&gt;1,"",IF(I1013="SBJ","CB","?"))</f>
        <v> </v>
      </c>
      <c r="I1013" s="26" t="str">
        <f>IF(OR(E1013="",E1013="!!!",F1013="NEW"),"",INDEX(B1012:B$2,-1+SUMPRODUCT(MAX(ROW(E1012:E$2)*(E1013=E1012:E$2)))))</f>
        <v> </v>
      </c>
      <c r="J1013" s="26" t="str">
        <f>IF(OR(E1013="",E1013="!!!",F1013="NEW"),"",COUNTBLANK(OFFSET(A$1,,,SUMPRODUCT(MAX(ROW(E$2:E1013)*(E1013=E$2:E1013)))))-COUNTBLANK(OFFSET(A$1,,,SUMPRODUCT(MAX(ROW(E$1:E1012)*(E2=E$1:E1012))))))</f>
        <v> </v>
      </c>
      <c r="K1013" s="26" t="str">
        <f>IF(OR(E1013="",E1013="!!!",F1013="NEW"),"",INDEX(J$1:J1012,SUMPRODUCT(MAX(ROW(E$1:E1012)*(E1013=E$1:E1012)))))</f>
        <v> </v>
      </c>
      <c r="L1013" s="27"/>
    </row>
    <row r="1014" spans="1:12">
      <c r="A1014" s="20" t="s">
        <v>1217</v>
      </c>
      <c r="E1014" s="22">
        <f>IF(D1014="?OLD","!!!","")</f>
        <v/>
      </c>
      <c r="F1014" s="23" t="str">
        <f>IF(OR(E1014="",E1014="!!!"),"",IF(NOT(ISNA(VLOOKUP(E1014,E$1:E1013,1,FALSE()))),"OLD",IF(AND(E1014&lt;&gt;"",E1014&lt;&gt;"!!!"),"NEW","")))</f>
        <v> </v>
      </c>
      <c r="G1014" s="24" t="str">
        <f>IF(OR(E1014="",E1014="!!!"),"",IF(OR(J1014=0,AND(J1014=1,K1014=1),AND(J1014=1,I1014="SBJ"),AND(J1014=1,I1014=0)),"?IN_FOCUS",IF(J1014&lt;=2,"?ACTIVATED",IF(J1014&lt;&gt;"","?FAMILIAR",IF(F1014="NEW",IF(ISNA(VLOOKUP(E1014,#REF!,1,FALSE())),"?TYPE_IDENTIFIABLE","?REFERENTIAL"),"_")))))</f>
        <v> </v>
      </c>
      <c r="H1014" s="25" t="str">
        <f>IF(J1014&lt;&gt;1,"",IF(I1014="SBJ","CB","?"))</f>
        <v> </v>
      </c>
      <c r="I1014" s="26" t="str">
        <f>IF(OR(E1014="",E1014="!!!",F1014="NEW"),"",INDEX(B1013:B$2,-1+SUMPRODUCT(MAX(ROW(E1013:E$2)*(E1014=E1013:E$2)))))</f>
        <v> </v>
      </c>
      <c r="J1014" s="26" t="str">
        <f>IF(OR(E1014="",E1014="!!!",F1014="NEW"),"",COUNTBLANK(OFFSET(A$1,,,SUMPRODUCT(MAX(ROW(E$2:E1014)*(E1014=E$2:E1014)))))-COUNTBLANK(OFFSET(A$1,,,SUMPRODUCT(MAX(ROW(E$1:E1013)*(E2=E$1:E1013))))))</f>
        <v> </v>
      </c>
      <c r="K1014" s="26" t="str">
        <f>IF(OR(E1014="",E1014="!!!",F1014="NEW"),"",INDEX(J$1:J1013,SUMPRODUCT(MAX(ROW(E$1:E1013)*(E1014=E$1:E1013)))))</f>
        <v> </v>
      </c>
      <c r="L1014" s="27"/>
    </row>
    <row r="1015" spans="1:12">
      <c r="A1015" s="20" t="s">
        <v>965</v>
      </c>
      <c r="B1015" s="21" t="s">
        <v>796</v>
      </c>
      <c r="C1015" s="21" t="s">
        <v>756</v>
      </c>
      <c r="E1015" s="22">
        <f>IF(D1015="?OLD","!!!","")</f>
        <v/>
      </c>
      <c r="F1015" s="23" t="str">
        <f>IF(OR(E1015="",E1015="!!!"),"",IF(NOT(ISNA(VLOOKUP(E1015,E$1:E1014,1,FALSE()))),"OLD",IF(AND(E1015&lt;&gt;"",E1015&lt;&gt;"!!!"),"NEW","")))</f>
        <v> </v>
      </c>
      <c r="G1015" s="24" t="str">
        <f>IF(OR(E1015="",E1015="!!!"),"",IF(OR(J1015=0,AND(J1015=1,K1015=1),AND(J1015=1,I1015="SBJ"),AND(J1015=1,I1015=0)),"?IN_FOCUS",IF(J1015&lt;=2,"?ACTIVATED",IF(J1015&lt;&gt;"","?FAMILIAR",IF(F1015="NEW",IF(ISNA(VLOOKUP(E1015,#REF!,1,FALSE())),"?TYPE_IDENTIFIABLE","?REFERENTIAL"),"_")))))</f>
        <v> </v>
      </c>
      <c r="H1015" s="25" t="str">
        <f>IF(J1015&lt;&gt;1,"",IF(I1015="SBJ","CB","?"))</f>
        <v> </v>
      </c>
      <c r="I1015" s="26" t="str">
        <f>IF(OR(E1015="",E1015="!!!",F1015="NEW"),"",INDEX(B1014:B$2,-1+SUMPRODUCT(MAX(ROW(E1014:E$2)*(E1015=E1014:E$2)))))</f>
        <v> </v>
      </c>
      <c r="J1015" s="26" t="str">
        <f>IF(OR(E1015="",E1015="!!!",F1015="NEW"),"",COUNTBLANK(OFFSET(A$1,,,SUMPRODUCT(MAX(ROW(E$2:E1015)*(E1015=E$2:E1015)))))-COUNTBLANK(OFFSET(A$1,,,SUMPRODUCT(MAX(ROW(E$1:E1014)*(E2=E$1:E1014))))))</f>
        <v> </v>
      </c>
      <c r="K1015" s="26" t="str">
        <f>IF(OR(E1015="",E1015="!!!",F1015="NEW"),"",INDEX(J$1:J1014,SUMPRODUCT(MAX(ROW(E$1:E1014)*(E1015=E$1:E1014)))))</f>
        <v> </v>
      </c>
      <c r="L1015" s="27"/>
    </row>
    <row r="1016" spans="1:12">
      <c r="A1016" s="20" t="s">
        <v>1218</v>
      </c>
      <c r="B1016" s="21" t="s">
        <v>764</v>
      </c>
      <c r="C1016" s="21" t="s">
        <v>967</v>
      </c>
      <c r="E1016" s="22">
        <f>IF(D1016="?OLD","!!!","")</f>
        <v/>
      </c>
      <c r="F1016" s="23" t="str">
        <f>IF(OR(E1016="",E1016="!!!"),"",IF(NOT(ISNA(VLOOKUP(E1016,E$1:E1015,1,FALSE()))),"OLD",IF(AND(E1016&lt;&gt;"",E1016&lt;&gt;"!!!"),"NEW","")))</f>
        <v> </v>
      </c>
      <c r="G1016" s="24" t="str">
        <f>IF(OR(E1016="",E1016="!!!"),"",IF(OR(J1016=0,AND(J1016=1,K1016=1),AND(J1016=1,I1016="SBJ"),AND(J1016=1,I1016=0)),"?IN_FOCUS",IF(J1016&lt;=2,"?ACTIVATED",IF(J1016&lt;&gt;"","?FAMILIAR",IF(F1016="NEW",IF(ISNA(VLOOKUP(E1016,#REF!,1,FALSE())),"?TYPE_IDENTIFIABLE","?REFERENTIAL"),"_")))))</f>
        <v> </v>
      </c>
      <c r="H1016" s="25" t="str">
        <f>IF(J1016&lt;&gt;1,"",IF(I1016="SBJ","CB","?"))</f>
        <v> </v>
      </c>
      <c r="I1016" s="26" t="str">
        <f>IF(OR(E1016="",E1016="!!!",F1016="NEW"),"",INDEX(B1015:B$2,-1+SUMPRODUCT(MAX(ROW(E1015:E$2)*(E1016=E1015:E$2)))))</f>
        <v> </v>
      </c>
      <c r="J1016" s="26" t="str">
        <f>IF(OR(E1016="",E1016="!!!",F1016="NEW"),"",COUNTBLANK(OFFSET(A$1,,,SUMPRODUCT(MAX(ROW(E$2:E1016)*(E1016=E$2:E1016)))))-COUNTBLANK(OFFSET(A$1,,,SUMPRODUCT(MAX(ROW(E$1:E1015)*(E2=E$1:E1015))))))</f>
        <v> </v>
      </c>
      <c r="K1016" s="26" t="str">
        <f>IF(OR(E1016="",E1016="!!!",F1016="NEW"),"",INDEX(J$1:J1015,SUMPRODUCT(MAX(ROW(E$1:E1015)*(E1016=E$1:E1015)))))</f>
        <v> </v>
      </c>
      <c r="L1016" s="27"/>
    </row>
    <row r="1017" spans="1:12">
      <c r="A1017" s="20" t="s">
        <v>246</v>
      </c>
      <c r="E1017" s="22">
        <f>IF(D1017="?OLD","!!!","")</f>
        <v/>
      </c>
      <c r="F1017" s="23" t="str">
        <f>IF(OR(E1017="",E1017="!!!"),"",IF(NOT(ISNA(VLOOKUP(E1017,E$1:E1016,1,FALSE()))),"OLD",IF(AND(E1017&lt;&gt;"",E1017&lt;&gt;"!!!"),"NEW","")))</f>
        <v> </v>
      </c>
      <c r="G1017" s="24" t="str">
        <f>IF(OR(E1017="",E1017="!!!"),"",IF(OR(J1017=0,AND(J1017=1,K1017=1),AND(J1017=1,I1017="SBJ"),AND(J1017=1,I1017=0)),"?IN_FOCUS",IF(J1017&lt;=2,"?ACTIVATED",IF(J1017&lt;&gt;"","?FAMILIAR",IF(F1017="NEW",IF(ISNA(VLOOKUP(E1017,#REF!,1,FALSE())),"?TYPE_IDENTIFIABLE","?REFERENTIAL"),"_")))))</f>
        <v> </v>
      </c>
      <c r="H1017" s="25" t="str">
        <f>IF(J1017&lt;&gt;1,"",IF(I1017="SBJ","CB","?"))</f>
        <v> </v>
      </c>
      <c r="I1017" s="26" t="str">
        <f>IF(OR(E1017="",E1017="!!!",F1017="NEW"),"",INDEX(B1016:B$2,-1+SUMPRODUCT(MAX(ROW(E1016:E$2)*(E1017=E1016:E$2)))))</f>
        <v> </v>
      </c>
      <c r="J1017" s="26" t="str">
        <f>IF(OR(E1017="",E1017="!!!",F1017="NEW"),"",COUNTBLANK(OFFSET(A$1,,,SUMPRODUCT(MAX(ROW(E$2:E1017)*(E1017=E$2:E1017)))))-COUNTBLANK(OFFSET(A$1,,,SUMPRODUCT(MAX(ROW(E$1:E1016)*(E2=E$1:E1016))))))</f>
        <v> </v>
      </c>
      <c r="K1017" s="26" t="str">
        <f>IF(OR(E1017="",E1017="!!!",F1017="NEW"),"",INDEX(J$1:J1016,SUMPRODUCT(MAX(ROW(E$1:E1016)*(E1017=E$1:E1016)))))</f>
        <v> </v>
      </c>
      <c r="L1017" s="27"/>
    </row>
    <row r="1018" spans="1:12">
      <c r="A1018" s="20"/>
    </row>
    <row r="1019" spans="1:12">
      <c r="A1019" s="20" t="s">
        <v>1219</v>
      </c>
    </row>
    <row r="1020" spans="1:12">
      <c r="A1020" s="20" t="s">
        <v>768</v>
      </c>
      <c r="E1020" s="22">
        <f>IF(D1020="?OLD","!!!","")</f>
        <v/>
      </c>
      <c r="F1020" s="23" t="str">
        <f>IF(OR(E1020="",E1020="!!!"),"",IF(NOT(ISNA(VLOOKUP(E1020,E$1:E1019,1,FALSE()))),"OLD",IF(AND(E1020&lt;&gt;"",E1020&lt;&gt;"!!!"),"NEW","")))</f>
        <v> </v>
      </c>
      <c r="G1020" s="24" t="str">
        <f>IF(OR(E1020="",E1020="!!!"),"",IF(OR(J1020=0,AND(J1020=1,K1020=1),AND(J1020=1,I1020="SBJ"),AND(J1020=1,I1020=0)),"?IN_FOCUS",IF(J1020&lt;=2,"?ACTIVATED",IF(J1020&lt;&gt;"","?FAMILIAR",IF(F1020="NEW",IF(ISNA(VLOOKUP(E1020,#REF!,1,FALSE())),"?TYPE_IDENTIFIABLE","?REFERENTIAL"),"_")))))</f>
        <v> </v>
      </c>
      <c r="H1020" s="25" t="str">
        <f>IF(J1020&lt;&gt;1,"",IF(I1020="SBJ","CB","?"))</f>
        <v> </v>
      </c>
      <c r="I1020" s="26" t="str">
        <f>IF(OR(E1020="",E1020="!!!",F1020="NEW"),"",INDEX(B1019:B$2,-1+SUMPRODUCT(MAX(ROW(E1019:E$2)*(E1020=E1019:E$2)))))</f>
        <v> </v>
      </c>
      <c r="J1020" s="26" t="str">
        <f>IF(OR(E1020="",E1020="!!!",F1020="NEW"),"",COUNTBLANK(OFFSET(A$1,,,SUMPRODUCT(MAX(ROW(E$2:E1020)*(E1020=E$2:E1020)))))-COUNTBLANK(OFFSET(A$1,,,SUMPRODUCT(MAX(ROW(E$1:E1019)*(E2=E$1:E1019))))))</f>
        <v> </v>
      </c>
      <c r="K1020" s="26" t="str">
        <f>IF(OR(E1020="",E1020="!!!",F1020="NEW"),"",INDEX(J$1:J1019,SUMPRODUCT(MAX(ROW(E$1:E1019)*(E1020=E$1:E1019)))))</f>
        <v> </v>
      </c>
      <c r="L1020" s="27"/>
    </row>
    <row r="1021" spans="1:12">
      <c r="A1021" s="20" t="s">
        <v>776</v>
      </c>
      <c r="B1021" s="21" t="s">
        <v>764</v>
      </c>
      <c r="C1021" s="21" t="s">
        <v>801</v>
      </c>
      <c r="D1021" s="21" t="s">
        <v>730</v>
      </c>
      <c r="E1021" s="22">
        <f>IF(D1021="?OLD","!!!","")</f>
        <v/>
      </c>
      <c r="F1021" s="23" t="str">
        <f>IF(OR(E1021="",E1021="!!!"),"",IF(NOT(ISNA(VLOOKUP(E1021,E$1:E1020,1,FALSE()))),"OLD",IF(AND(E1021&lt;&gt;"",E1021&lt;&gt;"!!!"),"NEW","")))</f>
        <v> </v>
      </c>
      <c r="G1021" s="24" t="str">
        <f>IF(OR(E1021="",E1021="!!!"),"",IF(OR(J1021=0,AND(J1021=1,K1021=1),AND(J1021=1,I1021="SBJ"),AND(J1021=1,I1021=0)),"?IN_FOCUS",IF(J1021&lt;=2,"?ACTIVATED",IF(J1021&lt;&gt;"","?FAMILIAR",IF(F1021="NEW",IF(ISNA(VLOOKUP(E1021,#REF!,1,FALSE())),"?TYPE_IDENTIFIABLE","?REFERENTIAL"),"_")))))</f>
        <v> </v>
      </c>
      <c r="H1021" s="25" t="str">
        <f>IF(J1021&lt;&gt;1,"",IF(I1021="SBJ","CB","?"))</f>
        <v> </v>
      </c>
      <c r="I1021" s="26" t="str">
        <f>IF(OR(E1021="",E1021="!!!",F1021="NEW"),"",INDEX(B1020:B$2,-1+SUMPRODUCT(MAX(ROW(E1020:E$2)*(E1021=E1020:E$2)))))</f>
        <v> </v>
      </c>
      <c r="J1021" s="26" t="str">
        <f>IF(OR(E1021="",E1021="!!!",F1021="NEW"),"",COUNTBLANK(OFFSET(A$1,,,SUMPRODUCT(MAX(ROW(E$2:E1021)*(E1021=E$2:E1021)))))-COUNTBLANK(OFFSET(A$1,,,SUMPRODUCT(MAX(ROW(E$1:E1020)*(E2=E$1:E1020))))))</f>
        <v> </v>
      </c>
      <c r="K1021" s="26" t="str">
        <f>IF(OR(E1021="",E1021="!!!",F1021="NEW"),"",INDEX(J$1:J1020,SUMPRODUCT(MAX(ROW(E$1:E1020)*(E1021=E$1:E1020)))))</f>
        <v> </v>
      </c>
      <c r="L1021" s="27"/>
    </row>
    <row r="1022" spans="1:12">
      <c r="A1022" s="20" t="s">
        <v>1220</v>
      </c>
      <c r="E1022" s="22">
        <f>IF(D1022="?OLD","!!!","")</f>
        <v/>
      </c>
      <c r="F1022" s="23" t="str">
        <f>IF(OR(E1022="",E1022="!!!"),"",IF(NOT(ISNA(VLOOKUP(E1022,E$1:E1021,1,FALSE()))),"OLD",IF(AND(E1022&lt;&gt;"",E1022&lt;&gt;"!!!"),"NEW","")))</f>
        <v> </v>
      </c>
      <c r="G1022" s="24" t="str">
        <f>IF(OR(E1022="",E1022="!!!"),"",IF(OR(J1022=0,AND(J1022=1,K1022=1),AND(J1022=1,I1022="SBJ"),AND(J1022=1,I1022=0)),"?IN_FOCUS",IF(J1022&lt;=2,"?ACTIVATED",IF(J1022&lt;&gt;"","?FAMILIAR",IF(F1022="NEW",IF(ISNA(VLOOKUP(E1022,#REF!,1,FALSE())),"?TYPE_IDENTIFIABLE","?REFERENTIAL"),"_")))))</f>
        <v> </v>
      </c>
      <c r="H1022" s="25" t="str">
        <f>IF(J1022&lt;&gt;1,"",IF(I1022="SBJ","CB","?"))</f>
        <v> </v>
      </c>
      <c r="I1022" s="26" t="str">
        <f>IF(OR(E1022="",E1022="!!!",F1022="NEW"),"",INDEX(B1021:B$2,-1+SUMPRODUCT(MAX(ROW(E1021:E$2)*(E1022=E1021:E$2)))))</f>
        <v> </v>
      </c>
      <c r="J1022" s="26" t="str">
        <f>IF(OR(E1022="",E1022="!!!",F1022="NEW"),"",COUNTBLANK(OFFSET(A$1,,,SUMPRODUCT(MAX(ROW(E$2:E1022)*(E1022=E$2:E1022)))))-COUNTBLANK(OFFSET(A$1,,,SUMPRODUCT(MAX(ROW(E$1:E1021)*(E2=E$1:E1021))))))</f>
        <v> </v>
      </c>
      <c r="K1022" s="26" t="str">
        <f>IF(OR(E1022="",E1022="!!!",F1022="NEW"),"",INDEX(J$1:J1021,SUMPRODUCT(MAX(ROW(E$1:E1021)*(E1022=E$1:E1021)))))</f>
        <v> </v>
      </c>
      <c r="L1022" s="27"/>
    </row>
    <row r="1023" spans="1:12">
      <c r="A1023" s="20" t="s">
        <v>750</v>
      </c>
      <c r="B1023" s="21" t="s">
        <v>728</v>
      </c>
      <c r="C1023" s="21" t="s">
        <v>729</v>
      </c>
      <c r="D1023" s="21" t="s">
        <v>730</v>
      </c>
      <c r="E1023" s="22">
        <f>IF(D1023="?OLD","!!!","")</f>
        <v/>
      </c>
      <c r="F1023" s="23" t="str">
        <f>IF(OR(E1023="",E1023="!!!"),"",IF(NOT(ISNA(VLOOKUP(E1023,E$1:E1022,1,FALSE()))),"OLD",IF(AND(E1023&lt;&gt;"",E1023&lt;&gt;"!!!"),"NEW","")))</f>
        <v> </v>
      </c>
      <c r="G1023" s="24" t="str">
        <f>IF(OR(E1023="",E1023="!!!"),"",IF(OR(J1023=0,AND(J1023=1,K1023=1),AND(J1023=1,I1023="SBJ"),AND(J1023=1,I1023=0)),"?IN_FOCUS",IF(J1023&lt;=2,"?ACTIVATED",IF(J1023&lt;&gt;"","?FAMILIAR",IF(F1023="NEW",IF(ISNA(VLOOKUP(E1023,#REF!,1,FALSE())),"?TYPE_IDENTIFIABLE","?REFERENTIAL"),"_")))))</f>
        <v> </v>
      </c>
      <c r="H1023" s="25" t="str">
        <f>IF(J1023&lt;&gt;1,"",IF(I1023="SBJ","CB","?"))</f>
        <v> </v>
      </c>
      <c r="I1023" s="26" t="str">
        <f>IF(OR(E1023="",E1023="!!!",F1023="NEW"),"",INDEX(B1022:B$2,-1+SUMPRODUCT(MAX(ROW(E1022:E$2)*(E1023=E1022:E$2)))))</f>
        <v> </v>
      </c>
      <c r="J1023" s="26" t="str">
        <f>IF(OR(E1023="",E1023="!!!",F1023="NEW"),"",COUNTBLANK(OFFSET(A$1,,,SUMPRODUCT(MAX(ROW(E$2:E1023)*(E1023=E$2:E1023)))))-COUNTBLANK(OFFSET(A$1,,,SUMPRODUCT(MAX(ROW(E$1:E1022)*(E2=E$1:E1022))))))</f>
        <v> </v>
      </c>
      <c r="K1023" s="26" t="str">
        <f>IF(OR(E1023="",E1023="!!!",F1023="NEW"),"",INDEX(J$1:J1022,SUMPRODUCT(MAX(ROW(E$1:E1022)*(E1023=E$1:E1022)))))</f>
        <v> </v>
      </c>
      <c r="L1023" s="27"/>
    </row>
    <row r="1024" spans="1:12">
      <c r="A1024" s="20" t="s">
        <v>1221</v>
      </c>
      <c r="E1024" s="22">
        <f>IF(D1024="?OLD","!!!","")</f>
        <v/>
      </c>
      <c r="F1024" s="23" t="str">
        <f>IF(OR(E1024="",E1024="!!!"),"",IF(NOT(ISNA(VLOOKUP(E1024,E$1:E1023,1,FALSE()))),"OLD",IF(AND(E1024&lt;&gt;"",E1024&lt;&gt;"!!!"),"NEW","")))</f>
        <v> </v>
      </c>
      <c r="G1024" s="24" t="str">
        <f>IF(OR(E1024="",E1024="!!!"),"",IF(OR(J1024=0,AND(J1024=1,K1024=1),AND(J1024=1,I1024="SBJ"),AND(J1024=1,I1024=0)),"?IN_FOCUS",IF(J1024&lt;=2,"?ACTIVATED",IF(J1024&lt;&gt;"","?FAMILIAR",IF(F1024="NEW",IF(ISNA(VLOOKUP(E1024,#REF!,1,FALSE())),"?TYPE_IDENTIFIABLE","?REFERENTIAL"),"_")))))</f>
        <v> </v>
      </c>
      <c r="H1024" s="25" t="str">
        <f>IF(J1024&lt;&gt;1,"",IF(I1024="SBJ","CB","?"))</f>
        <v> </v>
      </c>
      <c r="I1024" s="26" t="str">
        <f>IF(OR(E1024="",E1024="!!!",F1024="NEW"),"",INDEX(B1023:B$2,-1+SUMPRODUCT(MAX(ROW(E1023:E$2)*(E1024=E1023:E$2)))))</f>
        <v> </v>
      </c>
      <c r="J1024" s="26" t="str">
        <f>IF(OR(E1024="",E1024="!!!",F1024="NEW"),"",COUNTBLANK(OFFSET(A$1,,,SUMPRODUCT(MAX(ROW(E$2:E1024)*(E1024=E$2:E1024)))))-COUNTBLANK(OFFSET(A$1,,,SUMPRODUCT(MAX(ROW(E$1:E1023)*(E2=E$1:E1023))))))</f>
        <v> </v>
      </c>
      <c r="K1024" s="26" t="str">
        <f>IF(OR(E1024="",E1024="!!!",F1024="NEW"),"",INDEX(J$1:J1023,SUMPRODUCT(MAX(ROW(E$1:E1023)*(E1024=E$1:E1023)))))</f>
        <v> </v>
      </c>
      <c r="L1024" s="27"/>
    </row>
    <row r="1025" spans="1:12">
      <c r="A1025" s="20" t="s">
        <v>1222</v>
      </c>
      <c r="E1025" s="22">
        <f>IF(D1025="?OLD","!!!","")</f>
        <v/>
      </c>
      <c r="F1025" s="23" t="str">
        <f>IF(OR(E1025="",E1025="!!!"),"",IF(NOT(ISNA(VLOOKUP(E1025,E$1:E1024,1,FALSE()))),"OLD",IF(AND(E1025&lt;&gt;"",E1025&lt;&gt;"!!!"),"NEW","")))</f>
        <v> </v>
      </c>
      <c r="G1025" s="24" t="str">
        <f>IF(OR(E1025="",E1025="!!!"),"",IF(OR(J1025=0,AND(J1025=1,K1025=1),AND(J1025=1,I1025="SBJ"),AND(J1025=1,I1025=0)),"?IN_FOCUS",IF(J1025&lt;=2,"?ACTIVATED",IF(J1025&lt;&gt;"","?FAMILIAR",IF(F1025="NEW",IF(ISNA(VLOOKUP(E1025,#REF!,1,FALSE())),"?TYPE_IDENTIFIABLE","?REFERENTIAL"),"_")))))</f>
        <v> </v>
      </c>
      <c r="H1025" s="25" t="str">
        <f>IF(J1025&lt;&gt;1,"",IF(I1025="SBJ","CB","?"))</f>
        <v> </v>
      </c>
      <c r="I1025" s="26" t="str">
        <f>IF(OR(E1025="",E1025="!!!",F1025="NEW"),"",INDEX(B1024:B$2,-1+SUMPRODUCT(MAX(ROW(E1024:E$2)*(E1025=E1024:E$2)))))</f>
        <v> </v>
      </c>
      <c r="J1025" s="26" t="str">
        <f>IF(OR(E1025="",E1025="!!!",F1025="NEW"),"",COUNTBLANK(OFFSET(A$1,,,SUMPRODUCT(MAX(ROW(E$2:E1025)*(E1025=E$2:E1025)))))-COUNTBLANK(OFFSET(A$1,,,SUMPRODUCT(MAX(ROW(E$1:E1024)*(E2=E$1:E1024))))))</f>
        <v> </v>
      </c>
      <c r="K1025" s="26" t="str">
        <f>IF(OR(E1025="",E1025="!!!",F1025="NEW"),"",INDEX(J$1:J1024,SUMPRODUCT(MAX(ROW(E$1:E1024)*(E1025=E$1:E1024)))))</f>
        <v> </v>
      </c>
      <c r="L1025" s="27"/>
    </row>
    <row r="1026" spans="1:12">
      <c r="A1026" s="20" t="s">
        <v>246</v>
      </c>
      <c r="E1026" s="22">
        <f>IF(D1026="?OLD","!!!","")</f>
        <v/>
      </c>
      <c r="F1026" s="23" t="str">
        <f>IF(OR(E1026="",E1026="!!!"),"",IF(NOT(ISNA(VLOOKUP(E1026,E$1:E1025,1,FALSE()))),"OLD",IF(AND(E1026&lt;&gt;"",E1026&lt;&gt;"!!!"),"NEW","")))</f>
        <v> </v>
      </c>
      <c r="G1026" s="24" t="str">
        <f>IF(OR(E1026="",E1026="!!!"),"",IF(OR(J1026=0,AND(J1026=1,K1026=1),AND(J1026=1,I1026="SBJ"),AND(J1026=1,I1026=0)),"?IN_FOCUS",IF(J1026&lt;=2,"?ACTIVATED",IF(J1026&lt;&gt;"","?FAMILIAR",IF(F1026="NEW",IF(ISNA(VLOOKUP(E1026,#REF!,1,FALSE())),"?TYPE_IDENTIFIABLE","?REFERENTIAL"),"_")))))</f>
        <v> </v>
      </c>
      <c r="H1026" s="25" t="str">
        <f>IF(J1026&lt;&gt;1,"",IF(I1026="SBJ","CB","?"))</f>
        <v> </v>
      </c>
      <c r="I1026" s="26" t="str">
        <f>IF(OR(E1026="",E1026="!!!",F1026="NEW"),"",INDEX(B1025:B$2,-1+SUMPRODUCT(MAX(ROW(E1025:E$2)*(E1026=E1025:E$2)))))</f>
        <v> </v>
      </c>
      <c r="J1026" s="26" t="str">
        <f>IF(OR(E1026="",E1026="!!!",F1026="NEW"),"",COUNTBLANK(OFFSET(A$1,,,SUMPRODUCT(MAX(ROW(E$2:E1026)*(E1026=E$2:E1026)))))-COUNTBLANK(OFFSET(A$1,,,SUMPRODUCT(MAX(ROW(E$1:E1025)*(E2=E$1:E1025))))))</f>
        <v> </v>
      </c>
      <c r="K1026" s="26" t="str">
        <f>IF(OR(E1026="",E1026="!!!",F1026="NEW"),"",INDEX(J$1:J1025,SUMPRODUCT(MAX(ROW(E$1:E1025)*(E1026=E$1:E1025)))))</f>
        <v> </v>
      </c>
      <c r="L1026" s="27"/>
    </row>
    <row r="1027" spans="1:12">
      <c r="A1027" s="20"/>
    </row>
    <row r="1028" spans="1:12">
      <c r="A1028" s="20" t="s">
        <v>798</v>
      </c>
      <c r="E1028" s="22">
        <f>IF(D1028="?OLD","!!!","")</f>
        <v/>
      </c>
      <c r="F1028" s="23" t="str">
        <f>IF(OR(E1028="",E1028="!!!"),"",IF(NOT(ISNA(VLOOKUP(E1028,E$1:E1027,1,FALSE()))),"OLD",IF(AND(E1028&lt;&gt;"",E1028&lt;&gt;"!!!"),"NEW","")))</f>
        <v> </v>
      </c>
      <c r="G1028" s="24" t="str">
        <f>IF(OR(E1028="",E1028="!!!"),"",IF(OR(J1028=0,AND(J1028=1,K1028=1),AND(J1028=1,I1028="SBJ"),AND(J1028=1,I1028=0)),"?IN_FOCUS",IF(J1028&lt;=2,"?ACTIVATED",IF(J1028&lt;&gt;"","?FAMILIAR",IF(F1028="NEW",IF(ISNA(VLOOKUP(E1028,#REF!,1,FALSE())),"?TYPE_IDENTIFIABLE","?REFERENTIAL"),"_")))))</f>
        <v> </v>
      </c>
      <c r="H1028" s="25" t="str">
        <f>IF(J1028&lt;&gt;1,"",IF(I1028="SBJ","CB","?"))</f>
        <v> </v>
      </c>
      <c r="I1028" s="26" t="str">
        <f>IF(OR(E1028="",E1028="!!!",F1028="NEW"),"",INDEX(B1027:B$2,-1+SUMPRODUCT(MAX(ROW(E1027:E$2)*(E1028=E1027:E$2)))))</f>
        <v> </v>
      </c>
      <c r="J1028" s="26" t="str">
        <f>IF(OR(E1028="",E1028="!!!",F1028="NEW"),"",COUNTBLANK(OFFSET(A$1,,,SUMPRODUCT(MAX(ROW(E$2:E1028)*(E1028=E$2:E1028)))))-COUNTBLANK(OFFSET(A$1,,,SUMPRODUCT(MAX(ROW(E$1:E1027)*(E2=E$1:E1027))))))</f>
        <v> </v>
      </c>
      <c r="K1028" s="26" t="str">
        <f>IF(OR(E1028="",E1028="!!!",F1028="NEW"),"",INDEX(J$1:J1027,SUMPRODUCT(MAX(ROW(E$1:E1027)*(E1028=E$1:E1027)))))</f>
        <v> </v>
      </c>
      <c r="L1028" s="27"/>
    </row>
    <row r="1029" spans="1:12">
      <c r="A1029" s="20" t="s">
        <v>1223</v>
      </c>
    </row>
    <row r="1030" spans="1:12">
      <c r="A1030" s="20" t="s">
        <v>768</v>
      </c>
      <c r="E1030" s="22">
        <f>IF(D1030="?OLD","!!!","")</f>
        <v/>
      </c>
      <c r="F1030" s="23" t="str">
        <f>IF(OR(E1030="",E1030="!!!"),"",IF(NOT(ISNA(VLOOKUP(E1030,E$1:E1029,1,FALSE()))),"OLD",IF(AND(E1030&lt;&gt;"",E1030&lt;&gt;"!!!"),"NEW","")))</f>
        <v> </v>
      </c>
      <c r="G1030" s="24" t="str">
        <f>IF(OR(E1030="",E1030="!!!"),"",IF(OR(J1030=0,AND(J1030=1,K1030=1),AND(J1030=1,I1030="SBJ"),AND(J1030=1,I1030=0)),"?IN_FOCUS",IF(J1030&lt;=2,"?ACTIVATED",IF(J1030&lt;&gt;"","?FAMILIAR",IF(F1030="NEW",IF(ISNA(VLOOKUP(E1030,#REF!,1,FALSE())),"?TYPE_IDENTIFIABLE","?REFERENTIAL"),"_")))))</f>
        <v> </v>
      </c>
      <c r="H1030" s="25" t="str">
        <f>IF(J1030&lt;&gt;1,"",IF(I1030="SBJ","CB","?"))</f>
        <v> </v>
      </c>
      <c r="I1030" s="26" t="str">
        <f>IF(OR(E1030="",E1030="!!!",F1030="NEW"),"",INDEX(B1029:B$2,-1+SUMPRODUCT(MAX(ROW(E1029:E$2)*(E1030=E1029:E$2)))))</f>
        <v> </v>
      </c>
      <c r="J1030" s="26" t="str">
        <f>IF(OR(E1030="",E1030="!!!",F1030="NEW"),"",COUNTBLANK(OFFSET(A$1,,,SUMPRODUCT(MAX(ROW(E$2:E1030)*(E1030=E$2:E1030)))))-COUNTBLANK(OFFSET(A$1,,,SUMPRODUCT(MAX(ROW(E$1:E1029)*(E2=E$1:E1029))))))</f>
        <v> </v>
      </c>
      <c r="K1030" s="26" t="str">
        <f>IF(OR(E1030="",E1030="!!!",F1030="NEW"),"",INDEX(J$1:J1029,SUMPRODUCT(MAX(ROW(E$1:E1029)*(E1030=E$1:E1029)))))</f>
        <v> </v>
      </c>
      <c r="L1030" s="27"/>
    </row>
    <row r="1031" spans="1:12">
      <c r="A1031" s="20" t="s">
        <v>750</v>
      </c>
      <c r="B1031" s="21" t="s">
        <v>728</v>
      </c>
      <c r="C1031" s="21" t="s">
        <v>729</v>
      </c>
      <c r="D1031" s="21" t="s">
        <v>730</v>
      </c>
      <c r="E1031" s="22">
        <f>IF(D1031="?OLD","!!!","")</f>
        <v/>
      </c>
      <c r="F1031" s="23" t="str">
        <f>IF(OR(E1031="",E1031="!!!"),"",IF(NOT(ISNA(VLOOKUP(E1031,E$1:E1030,1,FALSE()))),"OLD",IF(AND(E1031&lt;&gt;"",E1031&lt;&gt;"!!!"),"NEW","")))</f>
        <v> </v>
      </c>
      <c r="G1031" s="24" t="str">
        <f>IF(OR(E1031="",E1031="!!!"),"",IF(OR(J1031=0,AND(J1031=1,K1031=1),AND(J1031=1,I1031="SBJ"),AND(J1031=1,I1031=0)),"?IN_FOCUS",IF(J1031&lt;=2,"?ACTIVATED",IF(J1031&lt;&gt;"","?FAMILIAR",IF(F1031="NEW",IF(ISNA(VLOOKUP(E1031,#REF!,1,FALSE())),"?TYPE_IDENTIFIABLE","?REFERENTIAL"),"_")))))</f>
        <v> </v>
      </c>
      <c r="H1031" s="25" t="str">
        <f>IF(J1031&lt;&gt;1,"",IF(I1031="SBJ","CB","?"))</f>
        <v> </v>
      </c>
      <c r="I1031" s="26" t="str">
        <f>IF(OR(E1031="",E1031="!!!",F1031="NEW"),"",INDEX(B1030:B$2,-1+SUMPRODUCT(MAX(ROW(E1030:E$2)*(E1031=E1030:E$2)))))</f>
        <v> </v>
      </c>
      <c r="J1031" s="26" t="str">
        <f>IF(OR(E1031="",E1031="!!!",F1031="NEW"),"",COUNTBLANK(OFFSET(A$1,,,SUMPRODUCT(MAX(ROW(E$2:E1031)*(E1031=E$2:E1031)))))-COUNTBLANK(OFFSET(A$1,,,SUMPRODUCT(MAX(ROW(E$1:E1030)*(E2=E$1:E1030))))))</f>
        <v> </v>
      </c>
      <c r="K1031" s="26" t="str">
        <f>IF(OR(E1031="",E1031="!!!",F1031="NEW"),"",INDEX(J$1:J1030,SUMPRODUCT(MAX(ROW(E$1:E1030)*(E1031=E$1:E1030)))))</f>
        <v> </v>
      </c>
      <c r="L1031" s="27"/>
    </row>
    <row r="1032" spans="1:12">
      <c r="A1032" s="20" t="s">
        <v>1224</v>
      </c>
      <c r="E1032" s="22">
        <f>IF(D1032="?OLD","!!!","")</f>
        <v/>
      </c>
      <c r="F1032" s="23" t="str">
        <f>IF(OR(E1032="",E1032="!!!"),"",IF(NOT(ISNA(VLOOKUP(E1032,E$1:E1031,1,FALSE()))),"OLD",IF(AND(E1032&lt;&gt;"",E1032&lt;&gt;"!!!"),"NEW","")))</f>
        <v> </v>
      </c>
      <c r="G1032" s="24" t="str">
        <f>IF(OR(E1032="",E1032="!!!"),"",IF(OR(J1032=0,AND(J1032=1,K1032=1),AND(J1032=1,I1032="SBJ"),AND(J1032=1,I1032=0)),"?IN_FOCUS",IF(J1032&lt;=2,"?ACTIVATED",IF(J1032&lt;&gt;"","?FAMILIAR",IF(F1032="NEW",IF(ISNA(VLOOKUP(E1032,#REF!,1,FALSE())),"?TYPE_IDENTIFIABLE","?REFERENTIAL"),"_")))))</f>
        <v> </v>
      </c>
      <c r="H1032" s="25" t="str">
        <f>IF(J1032&lt;&gt;1,"",IF(I1032="SBJ","CB","?"))</f>
        <v> </v>
      </c>
      <c r="I1032" s="26" t="str">
        <f>IF(OR(E1032="",E1032="!!!",F1032="NEW"),"",INDEX(B1031:B$2,-1+SUMPRODUCT(MAX(ROW(E1031:E$2)*(E1032=E1031:E$2)))))</f>
        <v> </v>
      </c>
      <c r="J1032" s="26" t="str">
        <f>IF(OR(E1032="",E1032="!!!",F1032="NEW"),"",COUNTBLANK(OFFSET(A$1,,,SUMPRODUCT(MAX(ROW(E$2:E1032)*(E1032=E$2:E1032)))))-COUNTBLANK(OFFSET(A$1,,,SUMPRODUCT(MAX(ROW(E$1:E1031)*(E2=E$1:E1031))))))</f>
        <v> </v>
      </c>
      <c r="K1032" s="26" t="str">
        <f>IF(OR(E1032="",E1032="!!!",F1032="NEW"),"",INDEX(J$1:J1031,SUMPRODUCT(MAX(ROW(E$1:E1031)*(E1032=E$1:E1031)))))</f>
        <v> </v>
      </c>
      <c r="L1032" s="27"/>
    </row>
    <row r="1033" spans="1:12">
      <c r="A1033" s="20" t="s">
        <v>792</v>
      </c>
      <c r="B1033" s="21" t="s">
        <v>764</v>
      </c>
      <c r="C1033" s="21" t="s">
        <v>729</v>
      </c>
      <c r="D1033" s="21" t="s">
        <v>730</v>
      </c>
      <c r="E1033" s="22">
        <f>IF(D1033="?OLD","!!!","")</f>
        <v/>
      </c>
      <c r="F1033" s="23" t="str">
        <f>IF(OR(E1033="",E1033="!!!"),"",IF(NOT(ISNA(VLOOKUP(E1033,E$1:E1032,1,FALSE()))),"OLD",IF(AND(E1033&lt;&gt;"",E1033&lt;&gt;"!!!"),"NEW","")))</f>
        <v> </v>
      </c>
      <c r="G1033" s="24" t="str">
        <f>IF(OR(E1033="",E1033="!!!"),"",IF(OR(J1033=0,AND(J1033=1,K1033=1),AND(J1033=1,I1033="SBJ"),AND(J1033=1,I1033=0)),"?IN_FOCUS",IF(J1033&lt;=2,"?ACTIVATED",IF(J1033&lt;&gt;"","?FAMILIAR",IF(F1033="NEW",IF(ISNA(VLOOKUP(E1033,#REF!,1,FALSE())),"?TYPE_IDENTIFIABLE","?REFERENTIAL"),"_")))))</f>
        <v> </v>
      </c>
      <c r="H1033" s="25" t="str">
        <f>IF(J1033&lt;&gt;1,"",IF(I1033="SBJ","CB","?"))</f>
        <v> </v>
      </c>
      <c r="I1033" s="26" t="str">
        <f>IF(OR(E1033="",E1033="!!!",F1033="NEW"),"",INDEX(B1032:B$2,-1+SUMPRODUCT(MAX(ROW(E1032:E$2)*(E1033=E1032:E$2)))))</f>
        <v> </v>
      </c>
      <c r="J1033" s="26" t="str">
        <f>IF(OR(E1033="",E1033="!!!",F1033="NEW"),"",COUNTBLANK(OFFSET(A$1,,,SUMPRODUCT(MAX(ROW(E$2:E1033)*(E1033=E$2:E1033)))))-COUNTBLANK(OFFSET(A$1,,,SUMPRODUCT(MAX(ROW(E$1:E1032)*(E2=E$1:E1032))))))</f>
        <v> </v>
      </c>
      <c r="K1033" s="26" t="str">
        <f>IF(OR(E1033="",E1033="!!!",F1033="NEW"),"",INDEX(J$1:J1032,SUMPRODUCT(MAX(ROW(E$1:E1032)*(E1033=E$1:E1032)))))</f>
        <v> </v>
      </c>
      <c r="L1033" s="27"/>
    </row>
    <row r="1034" spans="1:12">
      <c r="A1034" s="20" t="s">
        <v>1147</v>
      </c>
      <c r="E1034" s="22">
        <f>IF(D1034="?OLD","!!!","")</f>
        <v/>
      </c>
      <c r="F1034" s="23" t="str">
        <f>IF(OR(E1034="",E1034="!!!"),"",IF(NOT(ISNA(VLOOKUP(E1034,E$1:E1033,1,FALSE()))),"OLD",IF(AND(E1034&lt;&gt;"",E1034&lt;&gt;"!!!"),"NEW","")))</f>
        <v> </v>
      </c>
      <c r="G1034" s="24" t="str">
        <f>IF(OR(E1034="",E1034="!!!"),"",IF(OR(J1034=0,AND(J1034=1,K1034=1),AND(J1034=1,I1034="SBJ"),AND(J1034=1,I1034=0)),"?IN_FOCUS",IF(J1034&lt;=2,"?ACTIVATED",IF(J1034&lt;&gt;"","?FAMILIAR",IF(F1034="NEW",IF(ISNA(VLOOKUP(E1034,#REF!,1,FALSE())),"?TYPE_IDENTIFIABLE","?REFERENTIAL"),"_")))))</f>
        <v> </v>
      </c>
      <c r="H1034" s="25" t="str">
        <f>IF(J1034&lt;&gt;1,"",IF(I1034="SBJ","CB","?"))</f>
        <v> </v>
      </c>
      <c r="I1034" s="26" t="str">
        <f>IF(OR(E1034="",E1034="!!!",F1034="NEW"),"",INDEX(B1033:B$2,-1+SUMPRODUCT(MAX(ROW(E1033:E$2)*(E1034=E1033:E$2)))))</f>
        <v> </v>
      </c>
      <c r="J1034" s="26" t="str">
        <f>IF(OR(E1034="",E1034="!!!",F1034="NEW"),"",COUNTBLANK(OFFSET(A$1,,,SUMPRODUCT(MAX(ROW(E$2:E1034)*(E1034=E$2:E1034)))))-COUNTBLANK(OFFSET(A$1,,,SUMPRODUCT(MAX(ROW(E$1:E1033)*(E2=E$1:E1033))))))</f>
        <v> </v>
      </c>
      <c r="K1034" s="26" t="str">
        <f>IF(OR(E1034="",E1034="!!!",F1034="NEW"),"",INDEX(J$1:J1033,SUMPRODUCT(MAX(ROW(E$1:E1033)*(E1034=E$1:E1033)))))</f>
        <v> </v>
      </c>
      <c r="L1034" s="27"/>
    </row>
    <row r="1035" spans="1:12">
      <c r="A1035" s="20" t="s">
        <v>817</v>
      </c>
      <c r="E1035" s="22">
        <f>IF(D1035="?OLD","!!!","")</f>
        <v/>
      </c>
      <c r="F1035" s="23" t="str">
        <f>IF(OR(E1035="",E1035="!!!"),"",IF(NOT(ISNA(VLOOKUP(E1035,E$1:E1034,1,FALSE()))),"OLD",IF(AND(E1035&lt;&gt;"",E1035&lt;&gt;"!!!"),"NEW","")))</f>
        <v> </v>
      </c>
      <c r="G1035" s="24" t="str">
        <f>IF(OR(E1035="",E1035="!!!"),"",IF(OR(J1035=0,AND(J1035=1,K1035=1),AND(J1035=1,I1035="SBJ"),AND(J1035=1,I1035=0)),"?IN_FOCUS",IF(J1035&lt;=2,"?ACTIVATED",IF(J1035&lt;&gt;"","?FAMILIAR",IF(F1035="NEW",IF(ISNA(VLOOKUP(E1035,#REF!,1,FALSE())),"?TYPE_IDENTIFIABLE","?REFERENTIAL"),"_")))))</f>
        <v> </v>
      </c>
      <c r="H1035" s="25" t="str">
        <f>IF(J1035&lt;&gt;1,"",IF(I1035="SBJ","CB","?"))</f>
        <v> </v>
      </c>
      <c r="I1035" s="26" t="str">
        <f>IF(OR(E1035="",E1035="!!!",F1035="NEW"),"",INDEX(B1034:B$2,-1+SUMPRODUCT(MAX(ROW(E1034:E$2)*(E1035=E1034:E$2)))))</f>
        <v> </v>
      </c>
      <c r="J1035" s="26" t="str">
        <f>IF(OR(E1035="",E1035="!!!",F1035="NEW"),"",COUNTBLANK(OFFSET(A$1,,,SUMPRODUCT(MAX(ROW(E$2:E1035)*(E1035=E$2:E1035)))))-COUNTBLANK(OFFSET(A$1,,,SUMPRODUCT(MAX(ROW(E$1:E1034)*(E2=E$1:E1034))))))</f>
        <v> </v>
      </c>
      <c r="K1035" s="26" t="str">
        <f>IF(OR(E1035="",E1035="!!!",F1035="NEW"),"",INDEX(J$1:J1034,SUMPRODUCT(MAX(ROW(E$1:E1034)*(E1035=E$1:E1034)))))</f>
        <v> </v>
      </c>
      <c r="L1035" s="27"/>
    </row>
    <row r="1036" spans="1:12">
      <c r="A1036" s="20" t="s">
        <v>1225</v>
      </c>
      <c r="B1036" s="21" t="s">
        <v>736</v>
      </c>
      <c r="C1036" s="21" t="s">
        <v>740</v>
      </c>
      <c r="D1036" s="21" t="s">
        <v>730</v>
      </c>
      <c r="E1036" s="22">
        <f>IF(D1036="?OLD","!!!","")</f>
        <v/>
      </c>
      <c r="F1036" s="23" t="str">
        <f>IF(OR(E1036="",E1036="!!!"),"",IF(NOT(ISNA(VLOOKUP(E1036,E$1:E1035,1,FALSE()))),"OLD",IF(AND(E1036&lt;&gt;"",E1036&lt;&gt;"!!!"),"NEW","")))</f>
        <v> </v>
      </c>
      <c r="G1036" s="24" t="str">
        <f>IF(OR(E1036="",E1036="!!!"),"",IF(OR(J1036=0,AND(J1036=1,K1036=1),AND(J1036=1,I1036="SBJ"),AND(J1036=1,I1036=0)),"?IN_FOCUS",IF(J1036&lt;=2,"?ACTIVATED",IF(J1036&lt;&gt;"","?FAMILIAR",IF(F1036="NEW",IF(ISNA(VLOOKUP(E1036,#REF!,1,FALSE())),"?TYPE_IDENTIFIABLE","?REFERENTIAL"),"_")))))</f>
        <v> </v>
      </c>
      <c r="H1036" s="25" t="str">
        <f>IF(J1036&lt;&gt;1,"",IF(I1036="SBJ","CB","?"))</f>
        <v> </v>
      </c>
      <c r="I1036" s="26" t="str">
        <f>IF(OR(E1036="",E1036="!!!",F1036="NEW"),"",INDEX(B1035:B$2,-1+SUMPRODUCT(MAX(ROW(E1035:E$2)*(E1036=E1035:E$2)))))</f>
        <v> </v>
      </c>
      <c r="J1036" s="26" t="str">
        <f>IF(OR(E1036="",E1036="!!!",F1036="NEW"),"",COUNTBLANK(OFFSET(A$1,,,SUMPRODUCT(MAX(ROW(E$2:E1036)*(E1036=E$2:E1036)))))-COUNTBLANK(OFFSET(A$1,,,SUMPRODUCT(MAX(ROW(E$1:E1035)*(E2=E$1:E1035))))))</f>
        <v> </v>
      </c>
      <c r="K1036" s="26" t="str">
        <f>IF(OR(E1036="",E1036="!!!",F1036="NEW"),"",INDEX(J$1:J1035,SUMPRODUCT(MAX(ROW(E$1:E1035)*(E1036=E$1:E1035)))))</f>
        <v> </v>
      </c>
      <c r="L1036" s="27"/>
    </row>
    <row r="1037" spans="1:12">
      <c r="A1037" s="20" t="s">
        <v>759</v>
      </c>
      <c r="E1037" s="22">
        <f>IF(D1037="?OLD","!!!","")</f>
        <v/>
      </c>
      <c r="F1037" s="23" t="str">
        <f>IF(OR(E1037="",E1037="!!!"),"",IF(NOT(ISNA(VLOOKUP(E1037,E$1:E1036,1,FALSE()))),"OLD",IF(AND(E1037&lt;&gt;"",E1037&lt;&gt;"!!!"),"NEW","")))</f>
        <v> </v>
      </c>
      <c r="G1037" s="24" t="str">
        <f>IF(OR(E1037="",E1037="!!!"),"",IF(OR(J1037=0,AND(J1037=1,K1037=1),AND(J1037=1,I1037="SBJ"),AND(J1037=1,I1037=0)),"?IN_FOCUS",IF(J1037&lt;=2,"?ACTIVATED",IF(J1037&lt;&gt;"","?FAMILIAR",IF(F1037="NEW",IF(ISNA(VLOOKUP(E1037,#REF!,1,FALSE())),"?TYPE_IDENTIFIABLE","?REFERENTIAL"),"_")))))</f>
        <v> </v>
      </c>
      <c r="H1037" s="25" t="str">
        <f>IF(J1037&lt;&gt;1,"",IF(I1037="SBJ","CB","?"))</f>
        <v> </v>
      </c>
      <c r="I1037" s="26" t="str">
        <f>IF(OR(E1037="",E1037="!!!",F1037="NEW"),"",INDEX(B1036:B$2,-1+SUMPRODUCT(MAX(ROW(E1036:E$2)*(E1037=E1036:E$2)))))</f>
        <v> </v>
      </c>
      <c r="J1037" s="26" t="str">
        <f>IF(OR(E1037="",E1037="!!!",F1037="NEW"),"",COUNTBLANK(OFFSET(A$1,,,SUMPRODUCT(MAX(ROW(E$2:E1037)*(E1037=E$2:E1037)))))-COUNTBLANK(OFFSET(A$1,,,SUMPRODUCT(MAX(ROW(E$1:E1036)*(E2=E$1:E1036))))))</f>
        <v> </v>
      </c>
      <c r="K1037" s="26" t="str">
        <f>IF(OR(E1037="",E1037="!!!",F1037="NEW"),"",INDEX(J$1:J1036,SUMPRODUCT(MAX(ROW(E$1:E1036)*(E1037=E$1:E1036)))))</f>
        <v> </v>
      </c>
      <c r="L1037" s="27"/>
    </row>
    <row r="1038" spans="1:12">
      <c r="A1038" s="20" t="s">
        <v>776</v>
      </c>
      <c r="B1038" s="21" t="s">
        <v>788</v>
      </c>
      <c r="E1038" s="22">
        <f>IF(D1038="?OLD","!!!","")</f>
        <v/>
      </c>
      <c r="F1038" s="23" t="str">
        <f>IF(OR(E1038="",E1038="!!!"),"",IF(NOT(ISNA(VLOOKUP(E1038,E$1:E1037,1,FALSE()))),"OLD",IF(AND(E1038&lt;&gt;"",E1038&lt;&gt;"!!!"),"NEW","")))</f>
        <v> </v>
      </c>
      <c r="G1038" s="24" t="str">
        <f>IF(OR(E1038="",E1038="!!!"),"",IF(OR(J1038=0,AND(J1038=1,K1038=1),AND(J1038=1,I1038="SBJ"),AND(J1038=1,I1038=0)),"?IN_FOCUS",IF(J1038&lt;=2,"?ACTIVATED",IF(J1038&lt;&gt;"","?FAMILIAR",IF(F1038="NEW",IF(ISNA(VLOOKUP(E1038,#REF!,1,FALSE())),"?TYPE_IDENTIFIABLE","?REFERENTIAL"),"_")))))</f>
        <v> </v>
      </c>
      <c r="H1038" s="25" t="str">
        <f>IF(J1038&lt;&gt;1,"",IF(I1038="SBJ","CB","?"))</f>
        <v> </v>
      </c>
      <c r="I1038" s="26" t="str">
        <f>IF(OR(E1038="",E1038="!!!",F1038="NEW"),"",INDEX(B1037:B$2,-1+SUMPRODUCT(MAX(ROW(E1037:E$2)*(E1038=E1037:E$2)))))</f>
        <v> </v>
      </c>
      <c r="J1038" s="26" t="str">
        <f>IF(OR(E1038="",E1038="!!!",F1038="NEW"),"",COUNTBLANK(OFFSET(A$1,,,SUMPRODUCT(MAX(ROW(E$2:E1038)*(E1038=E$2:E1038)))))-COUNTBLANK(OFFSET(A$1,,,SUMPRODUCT(MAX(ROW(E$1:E1037)*(E2=E$1:E1037))))))</f>
        <v> </v>
      </c>
      <c r="K1038" s="26" t="str">
        <f>IF(OR(E1038="",E1038="!!!",F1038="NEW"),"",INDEX(J$1:J1037,SUMPRODUCT(MAX(ROW(E$1:E1037)*(E1038=E$1:E1037)))))</f>
        <v> </v>
      </c>
      <c r="L1038" s="27"/>
    </row>
    <row r="1039" spans="1:12">
      <c r="A1039" s="20" t="s">
        <v>1226</v>
      </c>
      <c r="E1039" s="22">
        <f>IF(D1039="?OLD","!!!","")</f>
        <v/>
      </c>
      <c r="F1039" s="23" t="str">
        <f>IF(OR(E1039="",E1039="!!!"),"",IF(NOT(ISNA(VLOOKUP(E1039,E$1:E1038,1,FALSE()))),"OLD",IF(AND(E1039&lt;&gt;"",E1039&lt;&gt;"!!!"),"NEW","")))</f>
        <v> </v>
      </c>
      <c r="G1039" s="24" t="str">
        <f>IF(OR(E1039="",E1039="!!!"),"",IF(OR(J1039=0,AND(J1039=1,K1039=1),AND(J1039=1,I1039="SBJ"),AND(J1039=1,I1039=0)),"?IN_FOCUS",IF(J1039&lt;=2,"?ACTIVATED",IF(J1039&lt;&gt;"","?FAMILIAR",IF(F1039="NEW",IF(ISNA(VLOOKUP(E1039,#REF!,1,FALSE())),"?TYPE_IDENTIFIABLE","?REFERENTIAL"),"_")))))</f>
        <v> </v>
      </c>
      <c r="H1039" s="25" t="str">
        <f>IF(J1039&lt;&gt;1,"",IF(I1039="SBJ","CB","?"))</f>
        <v> </v>
      </c>
      <c r="I1039" s="26" t="str">
        <f>IF(OR(E1039="",E1039="!!!",F1039="NEW"),"",INDEX(B1038:B$2,-1+SUMPRODUCT(MAX(ROW(E1038:E$2)*(E1039=E1038:E$2)))))</f>
        <v> </v>
      </c>
      <c r="J1039" s="26" t="str">
        <f>IF(OR(E1039="",E1039="!!!",F1039="NEW"),"",COUNTBLANK(OFFSET(A$1,,,SUMPRODUCT(MAX(ROW(E$2:E1039)*(E1039=E$2:E1039)))))-COUNTBLANK(OFFSET(A$1,,,SUMPRODUCT(MAX(ROW(E$1:E1038)*(E2=E$1:E1038))))))</f>
        <v> </v>
      </c>
      <c r="K1039" s="26" t="str">
        <f>IF(OR(E1039="",E1039="!!!",F1039="NEW"),"",INDEX(J$1:J1038,SUMPRODUCT(MAX(ROW(E$1:E1038)*(E1039=E$1:E1038)))))</f>
        <v> </v>
      </c>
      <c r="L1039" s="27"/>
    </row>
    <row r="1040" spans="1:12">
      <c r="A1040" s="20" t="s">
        <v>1227</v>
      </c>
      <c r="E1040" s="22">
        <f>IF(D1040="?OLD","!!!","")</f>
        <v/>
      </c>
      <c r="F1040" s="23" t="str">
        <f>IF(OR(E1040="",E1040="!!!"),"",IF(NOT(ISNA(VLOOKUP(E1040,E$1:E1039,1,FALSE()))),"OLD",IF(AND(E1040&lt;&gt;"",E1040&lt;&gt;"!!!"),"NEW","")))</f>
        <v> </v>
      </c>
      <c r="G1040" s="24" t="str">
        <f>IF(OR(E1040="",E1040="!!!"),"",IF(OR(J1040=0,AND(J1040=1,K1040=1),AND(J1040=1,I1040="SBJ"),AND(J1040=1,I1040=0)),"?IN_FOCUS",IF(J1040&lt;=2,"?ACTIVATED",IF(J1040&lt;&gt;"","?FAMILIAR",IF(F1040="NEW",IF(ISNA(VLOOKUP(E1040,#REF!,1,FALSE())),"?TYPE_IDENTIFIABLE","?REFERENTIAL"),"_")))))</f>
        <v> </v>
      </c>
      <c r="H1040" s="25" t="str">
        <f>IF(J1040&lt;&gt;1,"",IF(I1040="SBJ","CB","?"))</f>
        <v> </v>
      </c>
      <c r="I1040" s="26" t="str">
        <f>IF(OR(E1040="",E1040="!!!",F1040="NEW"),"",INDEX(B1039:B$2,-1+SUMPRODUCT(MAX(ROW(E1039:E$2)*(E1040=E1039:E$2)))))</f>
        <v> </v>
      </c>
      <c r="J1040" s="26" t="str">
        <f>IF(OR(E1040="",E1040="!!!",F1040="NEW"),"",COUNTBLANK(OFFSET(A$1,,,SUMPRODUCT(MAX(ROW(E$2:E1040)*(E1040=E$2:E1040)))))-COUNTBLANK(OFFSET(A$1,,,SUMPRODUCT(MAX(ROW(E$1:E1039)*(E2=E$1:E1039))))))</f>
        <v> </v>
      </c>
      <c r="K1040" s="26" t="str">
        <f>IF(OR(E1040="",E1040="!!!",F1040="NEW"),"",INDEX(J$1:J1039,SUMPRODUCT(MAX(ROW(E$1:E1039)*(E1040=E$1:E1039)))))</f>
        <v> </v>
      </c>
      <c r="L1040" s="27"/>
    </row>
    <row r="1041" spans="1:12">
      <c r="A1041" s="20" t="s">
        <v>773</v>
      </c>
      <c r="E1041" s="22">
        <f>IF(D1041="?OLD","!!!","")</f>
        <v/>
      </c>
      <c r="F1041" s="23" t="str">
        <f>IF(OR(E1041="",E1041="!!!"),"",IF(NOT(ISNA(VLOOKUP(E1041,E$1:E1040,1,FALSE()))),"OLD",IF(AND(E1041&lt;&gt;"",E1041&lt;&gt;"!!!"),"NEW","")))</f>
        <v> </v>
      </c>
      <c r="G1041" s="24" t="str">
        <f>IF(OR(E1041="",E1041="!!!"),"",IF(OR(J1041=0,AND(J1041=1,K1041=1),AND(J1041=1,I1041="SBJ"),AND(J1041=1,I1041=0)),"?IN_FOCUS",IF(J1041&lt;=2,"?ACTIVATED",IF(J1041&lt;&gt;"","?FAMILIAR",IF(F1041="NEW",IF(ISNA(VLOOKUP(E1041,#REF!,1,FALSE())),"?TYPE_IDENTIFIABLE","?REFERENTIAL"),"_")))))</f>
        <v> </v>
      </c>
      <c r="H1041" s="25" t="str">
        <f>IF(J1041&lt;&gt;1,"",IF(I1041="SBJ","CB","?"))</f>
        <v> </v>
      </c>
      <c r="I1041" s="26" t="str">
        <f>IF(OR(E1041="",E1041="!!!",F1041="NEW"),"",INDEX(B1040:B$2,-1+SUMPRODUCT(MAX(ROW(E1040:E$2)*(E1041=E1040:E$2)))))</f>
        <v> </v>
      </c>
      <c r="J1041" s="26" t="str">
        <f>IF(OR(E1041="",E1041="!!!",F1041="NEW"),"",COUNTBLANK(OFFSET(A$1,,,SUMPRODUCT(MAX(ROW(E$2:E1041)*(E1041=E$2:E1041)))))-COUNTBLANK(OFFSET(A$1,,,SUMPRODUCT(MAX(ROW(E$1:E1040)*(E2=E$1:E1040))))))</f>
        <v> </v>
      </c>
      <c r="K1041" s="26" t="str">
        <f>IF(OR(E1041="",E1041="!!!",F1041="NEW"),"",INDEX(J$1:J1040,SUMPRODUCT(MAX(ROW(E$1:E1040)*(E1041=E$1:E1040)))))</f>
        <v> </v>
      </c>
      <c r="L1041" s="27"/>
    </row>
    <row r="1042" spans="1:12">
      <c r="A1042" s="20" t="s">
        <v>813</v>
      </c>
      <c r="E1042" s="22">
        <f>IF(D1042="?OLD","!!!","")</f>
        <v/>
      </c>
      <c r="F1042" s="23" t="str">
        <f>IF(OR(E1042="",E1042="!!!"),"",IF(NOT(ISNA(VLOOKUP(E1042,E$1:E1041,1,FALSE()))),"OLD",IF(AND(E1042&lt;&gt;"",E1042&lt;&gt;"!!!"),"NEW","")))</f>
        <v> </v>
      </c>
      <c r="G1042" s="24" t="str">
        <f>IF(OR(E1042="",E1042="!!!"),"",IF(OR(J1042=0,AND(J1042=1,K1042=1),AND(J1042=1,I1042="SBJ"),AND(J1042=1,I1042=0)),"?IN_FOCUS",IF(J1042&lt;=2,"?ACTIVATED",IF(J1042&lt;&gt;"","?FAMILIAR",IF(F1042="NEW",IF(ISNA(VLOOKUP(E1042,#REF!,1,FALSE())),"?TYPE_IDENTIFIABLE","?REFERENTIAL"),"_")))))</f>
        <v> </v>
      </c>
      <c r="H1042" s="25" t="str">
        <f>IF(J1042&lt;&gt;1,"",IF(I1042="SBJ","CB","?"))</f>
        <v> </v>
      </c>
      <c r="I1042" s="26" t="str">
        <f>IF(OR(E1042="",E1042="!!!",F1042="NEW"),"",INDEX(B1041:B$2,-1+SUMPRODUCT(MAX(ROW(E1041:E$2)*(E1042=E1041:E$2)))))</f>
        <v> </v>
      </c>
      <c r="J1042" s="26" t="str">
        <f>IF(OR(E1042="",E1042="!!!",F1042="NEW"),"",COUNTBLANK(OFFSET(A$1,,,SUMPRODUCT(MAX(ROW(E$2:E1042)*(E1042=E$2:E1042)))))-COUNTBLANK(OFFSET(A$1,,,SUMPRODUCT(MAX(ROW(E$1:E1041)*(E2=E$1:E1041))))))</f>
        <v> </v>
      </c>
      <c r="K1042" s="26" t="str">
        <f>IF(OR(E1042="",E1042="!!!",F1042="NEW"),"",INDEX(J$1:J1041,SUMPRODUCT(MAX(ROW(E$1:E1041)*(E1042=E$1:E1041)))))</f>
        <v> </v>
      </c>
      <c r="L1042" s="27"/>
    </row>
    <row r="1043" spans="1:12">
      <c r="A1043" s="20" t="s">
        <v>1228</v>
      </c>
      <c r="B1043" s="21" t="s">
        <v>755</v>
      </c>
      <c r="C1043" s="21" t="s">
        <v>753</v>
      </c>
      <c r="D1043" s="21" t="s">
        <v>730</v>
      </c>
      <c r="E1043" s="22">
        <f>IF(D1043="?OLD","!!!","")</f>
        <v/>
      </c>
      <c r="F1043" s="23" t="str">
        <f>IF(OR(E1043="",E1043="!!!"),"",IF(NOT(ISNA(VLOOKUP(E1043,E$1:E1042,1,FALSE()))),"OLD",IF(AND(E1043&lt;&gt;"",E1043&lt;&gt;"!!!"),"NEW","")))</f>
        <v> </v>
      </c>
      <c r="G1043" s="24" t="str">
        <f>IF(OR(E1043="",E1043="!!!"),"",IF(OR(J1043=0,AND(J1043=1,K1043=1),AND(J1043=1,I1043="SBJ"),AND(J1043=1,I1043=0)),"?IN_FOCUS",IF(J1043&lt;=2,"?ACTIVATED",IF(J1043&lt;&gt;"","?FAMILIAR",IF(F1043="NEW",IF(ISNA(VLOOKUP(E1043,#REF!,1,FALSE())),"?TYPE_IDENTIFIABLE","?REFERENTIAL"),"_")))))</f>
        <v> </v>
      </c>
      <c r="H1043" s="25" t="str">
        <f>IF(J1043&lt;&gt;1,"",IF(I1043="SBJ","CB","?"))</f>
        <v> </v>
      </c>
      <c r="I1043" s="26" t="str">
        <f>IF(OR(E1043="",E1043="!!!",F1043="NEW"),"",INDEX(B1042:B$2,-1+SUMPRODUCT(MAX(ROW(E1042:E$2)*(E1043=E1042:E$2)))))</f>
        <v> </v>
      </c>
      <c r="J1043" s="26" t="str">
        <f>IF(OR(E1043="",E1043="!!!",F1043="NEW"),"",COUNTBLANK(OFFSET(A$1,,,SUMPRODUCT(MAX(ROW(E$2:E1043)*(E1043=E$2:E1043)))))-COUNTBLANK(OFFSET(A$1,,,SUMPRODUCT(MAX(ROW(E$1:E1042)*(E2=E$1:E1042))))))</f>
        <v> </v>
      </c>
      <c r="K1043" s="26" t="str">
        <f>IF(OR(E1043="",E1043="!!!",F1043="NEW"),"",INDEX(J$1:J1042,SUMPRODUCT(MAX(ROW(E$1:E1042)*(E1043=E$1:E1042)))))</f>
        <v> </v>
      </c>
      <c r="L1043" s="27"/>
    </row>
    <row r="1044" spans="1:12">
      <c r="A1044" s="20" t="s">
        <v>1229</v>
      </c>
      <c r="E1044" s="22">
        <f>IF(D1044="?OLD","!!!","")</f>
        <v/>
      </c>
      <c r="F1044" s="23" t="str">
        <f>IF(OR(E1044="",E1044="!!!"),"",IF(NOT(ISNA(VLOOKUP(E1044,E$1:E1043,1,FALSE()))),"OLD",IF(AND(E1044&lt;&gt;"",E1044&lt;&gt;"!!!"),"NEW","")))</f>
        <v> </v>
      </c>
      <c r="G1044" s="24" t="str">
        <f>IF(OR(E1044="",E1044="!!!"),"",IF(OR(J1044=0,AND(J1044=1,K1044=1),AND(J1044=1,I1044="SBJ"),AND(J1044=1,I1044=0)),"?IN_FOCUS",IF(J1044&lt;=2,"?ACTIVATED",IF(J1044&lt;&gt;"","?FAMILIAR",IF(F1044="NEW",IF(ISNA(VLOOKUP(E1044,#REF!,1,FALSE())),"?TYPE_IDENTIFIABLE","?REFERENTIAL"),"_")))))</f>
        <v> </v>
      </c>
      <c r="H1044" s="25" t="str">
        <f>IF(J1044&lt;&gt;1,"",IF(I1044="SBJ","CB","?"))</f>
        <v> </v>
      </c>
      <c r="I1044" s="26" t="str">
        <f>IF(OR(E1044="",E1044="!!!",F1044="NEW"),"",INDEX(B1043:B$2,-1+SUMPRODUCT(MAX(ROW(E1043:E$2)*(E1044=E1043:E$2)))))</f>
        <v> </v>
      </c>
      <c r="J1044" s="26" t="str">
        <f>IF(OR(E1044="",E1044="!!!",F1044="NEW"),"",COUNTBLANK(OFFSET(A$1,,,SUMPRODUCT(MAX(ROW(E$2:E1044)*(E1044=E$2:E1044)))))-COUNTBLANK(OFFSET(A$1,,,SUMPRODUCT(MAX(ROW(E$1:E1043)*(E2=E$1:E1043))))))</f>
        <v> </v>
      </c>
      <c r="K1044" s="26" t="str">
        <f>IF(OR(E1044="",E1044="!!!",F1044="NEW"),"",INDEX(J$1:J1043,SUMPRODUCT(MAX(ROW(E$1:E1043)*(E1044=E$1:E1043)))))</f>
        <v> </v>
      </c>
      <c r="L1044" s="27"/>
    </row>
    <row r="1045" spans="1:12">
      <c r="A1045" s="20" t="s">
        <v>285</v>
      </c>
      <c r="E1045" s="22">
        <f>IF(D1045="?OLD","!!!","")</f>
        <v/>
      </c>
      <c r="F1045" s="23" t="str">
        <f>IF(OR(E1045="",E1045="!!!"),"",IF(NOT(ISNA(VLOOKUP(E1045,E$1:E1044,1,FALSE()))),"OLD",IF(AND(E1045&lt;&gt;"",E1045&lt;&gt;"!!!"),"NEW","")))</f>
        <v> </v>
      </c>
      <c r="G1045" s="24" t="str">
        <f>IF(OR(E1045="",E1045="!!!"),"",IF(OR(J1045=0,AND(J1045=1,K1045=1),AND(J1045=1,I1045="SBJ"),AND(J1045=1,I1045=0)),"?IN_FOCUS",IF(J1045&lt;=2,"?ACTIVATED",IF(J1045&lt;&gt;"","?FAMILIAR",IF(F1045="NEW",IF(ISNA(VLOOKUP(E1045,#REF!,1,FALSE())),"?TYPE_IDENTIFIABLE","?REFERENTIAL"),"_")))))</f>
        <v> </v>
      </c>
      <c r="H1045" s="25" t="str">
        <f>IF(J1045&lt;&gt;1,"",IF(I1045="SBJ","CB","?"))</f>
        <v> </v>
      </c>
      <c r="I1045" s="26" t="str">
        <f>IF(OR(E1045="",E1045="!!!",F1045="NEW"),"",INDEX(B1044:B$2,-1+SUMPRODUCT(MAX(ROW(E1044:E$2)*(E1045=E1044:E$2)))))</f>
        <v> </v>
      </c>
      <c r="J1045" s="26" t="str">
        <f>IF(OR(E1045="",E1045="!!!",F1045="NEW"),"",COUNTBLANK(OFFSET(A$1,,,SUMPRODUCT(MAX(ROW(E$2:E1045)*(E1045=E$2:E1045)))))-COUNTBLANK(OFFSET(A$1,,,SUMPRODUCT(MAX(ROW(E$1:E1044)*(E2=E$1:E1044))))))</f>
        <v> </v>
      </c>
      <c r="K1045" s="26" t="str">
        <f>IF(OR(E1045="",E1045="!!!",F1045="NEW"),"",INDEX(J$1:J1044,SUMPRODUCT(MAX(ROW(E$1:E1044)*(E1045=E$1:E1044)))))</f>
        <v> </v>
      </c>
      <c r="L1045" s="27"/>
    </row>
    <row r="1046" spans="1:12">
      <c r="A1046" s="20" t="s">
        <v>246</v>
      </c>
      <c r="E1046" s="22">
        <f>IF(D1046="?OLD","!!!","")</f>
        <v/>
      </c>
      <c r="F1046" s="23" t="str">
        <f>IF(OR(E1046="",E1046="!!!"),"",IF(NOT(ISNA(VLOOKUP(E1046,E$1:E1045,1,FALSE()))),"OLD",IF(AND(E1046&lt;&gt;"",E1046&lt;&gt;"!!!"),"NEW","")))</f>
        <v> </v>
      </c>
      <c r="G1046" s="24" t="str">
        <f>IF(OR(E1046="",E1046="!!!"),"",IF(OR(J1046=0,AND(J1046=1,K1046=1),AND(J1046=1,I1046="SBJ"),AND(J1046=1,I1046=0)),"?IN_FOCUS",IF(J1046&lt;=2,"?ACTIVATED",IF(J1046&lt;&gt;"","?FAMILIAR",IF(F1046="NEW",IF(ISNA(VLOOKUP(E1046,#REF!,1,FALSE())),"?TYPE_IDENTIFIABLE","?REFERENTIAL"),"_")))))</f>
        <v> </v>
      </c>
      <c r="H1046" s="25" t="str">
        <f>IF(J1046&lt;&gt;1,"",IF(I1046="SBJ","CB","?"))</f>
        <v> </v>
      </c>
      <c r="I1046" s="26" t="str">
        <f>IF(OR(E1046="",E1046="!!!",F1046="NEW"),"",INDEX(B1045:B$2,-1+SUMPRODUCT(MAX(ROW(E1045:E$2)*(E1046=E1045:E$2)))))</f>
        <v> </v>
      </c>
      <c r="J1046" s="26" t="str">
        <f>IF(OR(E1046="",E1046="!!!",F1046="NEW"),"",COUNTBLANK(OFFSET(A$1,,,SUMPRODUCT(MAX(ROW(E$2:E1046)*(E1046=E$2:E1046)))))-COUNTBLANK(OFFSET(A$1,,,SUMPRODUCT(MAX(ROW(E$1:E1045)*(E2=E$1:E1045))))))</f>
        <v> </v>
      </c>
      <c r="K1046" s="26" t="str">
        <f>IF(OR(E1046="",E1046="!!!",F1046="NEW"),"",INDEX(J$1:J1045,SUMPRODUCT(MAX(ROW(E$1:E1045)*(E1046=E$1:E1045)))))</f>
        <v> </v>
      </c>
      <c r="L1046" s="27"/>
    </row>
    <row r="1047" spans="1:12">
      <c r="A1047" s="20" t="s">
        <v>817</v>
      </c>
      <c r="E1047" s="22">
        <f>IF(D1047="?OLD","!!!","")</f>
        <v/>
      </c>
      <c r="F1047" s="23" t="str">
        <f>IF(OR(E1047="",E1047="!!!"),"",IF(NOT(ISNA(VLOOKUP(E1047,E$1:E1046,1,FALSE()))),"OLD",IF(AND(E1047&lt;&gt;"",E1047&lt;&gt;"!!!"),"NEW","")))</f>
        <v> </v>
      </c>
      <c r="G1047" s="24" t="str">
        <f>IF(OR(E1047="",E1047="!!!"),"",IF(OR(J1047=0,AND(J1047=1,K1047=1),AND(J1047=1,I1047="SBJ"),AND(J1047=1,I1047=0)),"?IN_FOCUS",IF(J1047&lt;=2,"?ACTIVATED",IF(J1047&lt;&gt;"","?FAMILIAR",IF(F1047="NEW",IF(ISNA(VLOOKUP(E1047,#REF!,1,FALSE())),"?TYPE_IDENTIFIABLE","?REFERENTIAL"),"_")))))</f>
        <v> </v>
      </c>
      <c r="H1047" s="25" t="str">
        <f>IF(J1047&lt;&gt;1,"",IF(I1047="SBJ","CB","?"))</f>
        <v> </v>
      </c>
      <c r="I1047" s="26" t="str">
        <f>IF(OR(E1047="",E1047="!!!",F1047="NEW"),"",INDEX(B1046:B$2,-1+SUMPRODUCT(MAX(ROW(E1046:E$2)*(E1047=E1046:E$2)))))</f>
        <v> </v>
      </c>
      <c r="J1047" s="26" t="str">
        <f>IF(OR(E1047="",E1047="!!!",F1047="NEW"),"",COUNTBLANK(OFFSET(A$1,,,SUMPRODUCT(MAX(ROW(E$2:E1047)*(E1047=E$2:E1047)))))-COUNTBLANK(OFFSET(A$1,,,SUMPRODUCT(MAX(ROW(E$1:E1046)*(E2=E$1:E1046))))))</f>
        <v> </v>
      </c>
      <c r="K1047" s="26" t="str">
        <f>IF(OR(E1047="",E1047="!!!",F1047="NEW"),"",INDEX(J$1:J1046,SUMPRODUCT(MAX(ROW(E$1:E1046)*(E1047=E$1:E1046)))))</f>
        <v> </v>
      </c>
      <c r="L1047" s="27"/>
    </row>
    <row r="1048" spans="1:12">
      <c r="A1048" s="20"/>
    </row>
    <row r="1049" spans="1:12">
      <c r="A1049" s="20" t="s">
        <v>798</v>
      </c>
      <c r="E1049" s="22">
        <f>IF(D1049="?OLD","!!!","")</f>
        <v/>
      </c>
      <c r="F1049" s="23" t="str">
        <f>IF(OR(E1049="",E1049="!!!"),"",IF(NOT(ISNA(VLOOKUP(E1049,E$1:E1048,1,FALSE()))),"OLD",IF(AND(E1049&lt;&gt;"",E1049&lt;&gt;"!!!"),"NEW","")))</f>
        <v> </v>
      </c>
      <c r="G1049" s="24" t="str">
        <f>IF(OR(E1049="",E1049="!!!"),"",IF(OR(J1049=0,AND(J1049=1,K1049=1),AND(J1049=1,I1049="SBJ"),AND(J1049=1,I1049=0)),"?IN_FOCUS",IF(J1049&lt;=2,"?ACTIVATED",IF(J1049&lt;&gt;"","?FAMILIAR",IF(F1049="NEW",IF(ISNA(VLOOKUP(E1049,#REF!,1,FALSE())),"?TYPE_IDENTIFIABLE","?REFERENTIAL"),"_")))))</f>
        <v> </v>
      </c>
      <c r="H1049" s="25" t="str">
        <f>IF(J1049&lt;&gt;1,"",IF(I1049="SBJ","CB","?"))</f>
        <v> </v>
      </c>
      <c r="I1049" s="26" t="str">
        <f>IF(OR(E1049="",E1049="!!!",F1049="NEW"),"",INDEX(B1048:B$2,-1+SUMPRODUCT(MAX(ROW(E1048:E$2)*(E1049=E1048:E$2)))))</f>
        <v> </v>
      </c>
      <c r="J1049" s="26" t="str">
        <f>IF(OR(E1049="",E1049="!!!",F1049="NEW"),"",COUNTBLANK(OFFSET(A$1,,,SUMPRODUCT(MAX(ROW(E$2:E1049)*(E1049=E$2:E1049)))))-COUNTBLANK(OFFSET(A$1,,,SUMPRODUCT(MAX(ROW(E$1:E1048)*(E2=E$1:E1048))))))</f>
        <v> </v>
      </c>
      <c r="K1049" s="26" t="str">
        <f>IF(OR(E1049="",E1049="!!!",F1049="NEW"),"",INDEX(J$1:J1048,SUMPRODUCT(MAX(ROW(E$1:E1048)*(E1049=E$1:E1048)))))</f>
        <v> </v>
      </c>
      <c r="L1049" s="27"/>
    </row>
    <row r="1050" spans="1:12">
      <c r="A1050" s="20" t="s">
        <v>1230</v>
      </c>
    </row>
    <row r="1051" spans="1:12">
      <c r="A1051" s="20" t="s">
        <v>1005</v>
      </c>
      <c r="E1051" s="22">
        <f>IF(D1051="?OLD","!!!","")</f>
        <v/>
      </c>
      <c r="F1051" s="23" t="str">
        <f>IF(OR(E1051="",E1051="!!!"),"",IF(NOT(ISNA(VLOOKUP(E1051,E$1:E1050,1,FALSE()))),"OLD",IF(AND(E1051&lt;&gt;"",E1051&lt;&gt;"!!!"),"NEW","")))</f>
        <v> </v>
      </c>
      <c r="G1051" s="24" t="str">
        <f>IF(OR(E1051="",E1051="!!!"),"",IF(OR(J1051=0,AND(J1051=1,K1051=1),AND(J1051=1,I1051="SBJ"),AND(J1051=1,I1051=0)),"?IN_FOCUS",IF(J1051&lt;=2,"?ACTIVATED",IF(J1051&lt;&gt;"","?FAMILIAR",IF(F1051="NEW",IF(ISNA(VLOOKUP(E1051,#REF!,1,FALSE())),"?TYPE_IDENTIFIABLE","?REFERENTIAL"),"_")))))</f>
        <v> </v>
      </c>
      <c r="H1051" s="25" t="str">
        <f>IF(J1051&lt;&gt;1,"",IF(I1051="SBJ","CB","?"))</f>
        <v> </v>
      </c>
      <c r="I1051" s="26" t="str">
        <f>IF(OR(E1051="",E1051="!!!",F1051="NEW"),"",INDEX(B1050:B$2,-1+SUMPRODUCT(MAX(ROW(E1050:E$2)*(E1051=E1050:E$2)))))</f>
        <v> </v>
      </c>
      <c r="J1051" s="26" t="str">
        <f>IF(OR(E1051="",E1051="!!!",F1051="NEW"),"",COUNTBLANK(OFFSET(A$1,,,SUMPRODUCT(MAX(ROW(E$2:E1051)*(E1051=E$2:E1051)))))-COUNTBLANK(OFFSET(A$1,,,SUMPRODUCT(MAX(ROW(E$1:E1050)*(E2=E$1:E1050))))))</f>
        <v> </v>
      </c>
      <c r="K1051" s="26" t="str">
        <f>IF(OR(E1051="",E1051="!!!",F1051="NEW"),"",INDEX(J$1:J1050,SUMPRODUCT(MAX(ROW(E$1:E1050)*(E1051=E$1:E1050)))))</f>
        <v> </v>
      </c>
      <c r="L1051" s="27"/>
    </row>
    <row r="1052" spans="1:12">
      <c r="A1052" s="20" t="s">
        <v>1231</v>
      </c>
      <c r="E1052" s="22">
        <f>IF(D1052="?OLD","!!!","")</f>
        <v/>
      </c>
      <c r="F1052" s="23" t="str">
        <f>IF(OR(E1052="",E1052="!!!"),"",IF(NOT(ISNA(VLOOKUP(E1052,E$1:E1051,1,FALSE()))),"OLD",IF(AND(E1052&lt;&gt;"",E1052&lt;&gt;"!!!"),"NEW","")))</f>
        <v> </v>
      </c>
      <c r="G1052" s="24" t="str">
        <f>IF(OR(E1052="",E1052="!!!"),"",IF(OR(J1052=0,AND(J1052=1,K1052=1),AND(J1052=1,I1052="SBJ"),AND(J1052=1,I1052=0)),"?IN_FOCUS",IF(J1052&lt;=2,"?ACTIVATED",IF(J1052&lt;&gt;"","?FAMILIAR",IF(F1052="NEW",IF(ISNA(VLOOKUP(E1052,#REF!,1,FALSE())),"?TYPE_IDENTIFIABLE","?REFERENTIAL"),"_")))))</f>
        <v> </v>
      </c>
      <c r="H1052" s="25" t="str">
        <f>IF(J1052&lt;&gt;1,"",IF(I1052="SBJ","CB","?"))</f>
        <v> </v>
      </c>
      <c r="I1052" s="26" t="str">
        <f>IF(OR(E1052="",E1052="!!!",F1052="NEW"),"",INDEX(B1051:B$2,-1+SUMPRODUCT(MAX(ROW(E1051:E$2)*(E1052=E1051:E$2)))))</f>
        <v> </v>
      </c>
      <c r="J1052" s="26" t="str">
        <f>IF(OR(E1052="",E1052="!!!",F1052="NEW"),"",COUNTBLANK(OFFSET(A$1,,,SUMPRODUCT(MAX(ROW(E$2:E1052)*(E1052=E$2:E1052)))))-COUNTBLANK(OFFSET(A$1,,,SUMPRODUCT(MAX(ROW(E$1:E1051)*(E2=E$1:E1051))))))</f>
        <v> </v>
      </c>
      <c r="K1052" s="26" t="str">
        <f>IF(OR(E1052="",E1052="!!!",F1052="NEW"),"",INDEX(J$1:J1051,SUMPRODUCT(MAX(ROW(E$1:E1051)*(E1052=E$1:E1051)))))</f>
        <v> </v>
      </c>
      <c r="L1052" s="27"/>
    </row>
    <row r="1053" spans="1:12">
      <c r="A1053" s="20" t="s">
        <v>859</v>
      </c>
      <c r="B1053" s="21" t="s">
        <v>728</v>
      </c>
      <c r="C1053" s="21" t="s">
        <v>789</v>
      </c>
      <c r="D1053" s="21" t="s">
        <v>730</v>
      </c>
      <c r="E1053" s="22">
        <f>IF(D1053="?OLD","!!!","")</f>
        <v/>
      </c>
      <c r="F1053" s="23" t="str">
        <f>IF(OR(E1053="",E1053="!!!"),"",IF(NOT(ISNA(VLOOKUP(E1053,E$1:E1052,1,FALSE()))),"OLD",IF(AND(E1053&lt;&gt;"",E1053&lt;&gt;"!!!"),"NEW","")))</f>
        <v> </v>
      </c>
      <c r="G1053" s="24" t="str">
        <f>IF(OR(E1053="",E1053="!!!"),"",IF(OR(J1053=0,AND(J1053=1,K1053=1),AND(J1053=1,I1053="SBJ"),AND(J1053=1,I1053=0)),"?IN_FOCUS",IF(J1053&lt;=2,"?ACTIVATED",IF(J1053&lt;&gt;"","?FAMILIAR",IF(F1053="NEW",IF(ISNA(VLOOKUP(E1053,#REF!,1,FALSE())),"?TYPE_IDENTIFIABLE","?REFERENTIAL"),"_")))))</f>
        <v> </v>
      </c>
      <c r="H1053" s="25" t="str">
        <f>IF(J1053&lt;&gt;1,"",IF(I1053="SBJ","CB","?"))</f>
        <v> </v>
      </c>
      <c r="I1053" s="26" t="str">
        <f>IF(OR(E1053="",E1053="!!!",F1053="NEW"),"",INDEX(B1052:B$2,-1+SUMPRODUCT(MAX(ROW(E1052:E$2)*(E1053=E1052:E$2)))))</f>
        <v> </v>
      </c>
      <c r="J1053" s="26" t="str">
        <f>IF(OR(E1053="",E1053="!!!",F1053="NEW"),"",COUNTBLANK(OFFSET(A$1,,,SUMPRODUCT(MAX(ROW(E$2:E1053)*(E1053=E$2:E1053)))))-COUNTBLANK(OFFSET(A$1,,,SUMPRODUCT(MAX(ROW(E$1:E1052)*(E2=E$1:E1052))))))</f>
        <v> </v>
      </c>
      <c r="K1053" s="26" t="str">
        <f>IF(OR(E1053="",E1053="!!!",F1053="NEW"),"",INDEX(J$1:J1052,SUMPRODUCT(MAX(ROW(E$1:E1052)*(E1053=E$1:E1052)))))</f>
        <v> </v>
      </c>
      <c r="L1053" s="27"/>
    </row>
    <row r="1054" spans="1:12">
      <c r="A1054" s="20" t="s">
        <v>773</v>
      </c>
      <c r="E1054" s="22">
        <f>IF(D1054="?OLD","!!!","")</f>
        <v/>
      </c>
      <c r="F1054" s="23" t="str">
        <f>IF(OR(E1054="",E1054="!!!"),"",IF(NOT(ISNA(VLOOKUP(E1054,E$1:E1053,1,FALSE()))),"OLD",IF(AND(E1054&lt;&gt;"",E1054&lt;&gt;"!!!"),"NEW","")))</f>
        <v> </v>
      </c>
      <c r="G1054" s="24" t="str">
        <f>IF(OR(E1054="",E1054="!!!"),"",IF(OR(J1054=0,AND(J1054=1,K1054=1),AND(J1054=1,I1054="SBJ"),AND(J1054=1,I1054=0)),"?IN_FOCUS",IF(J1054&lt;=2,"?ACTIVATED",IF(J1054&lt;&gt;"","?FAMILIAR",IF(F1054="NEW",IF(ISNA(VLOOKUP(E1054,#REF!,1,FALSE())),"?TYPE_IDENTIFIABLE","?REFERENTIAL"),"_")))))</f>
        <v> </v>
      </c>
      <c r="H1054" s="25" t="str">
        <f>IF(J1054&lt;&gt;1,"",IF(I1054="SBJ","CB","?"))</f>
        <v> </v>
      </c>
      <c r="I1054" s="26" t="str">
        <f>IF(OR(E1054="",E1054="!!!",F1054="NEW"),"",INDEX(B1053:B$2,-1+SUMPRODUCT(MAX(ROW(E1053:E$2)*(E1054=E1053:E$2)))))</f>
        <v> </v>
      </c>
      <c r="J1054" s="26" t="str">
        <f>IF(OR(E1054="",E1054="!!!",F1054="NEW"),"",COUNTBLANK(OFFSET(A$1,,,SUMPRODUCT(MAX(ROW(E$2:E1054)*(E1054=E$2:E1054)))))-COUNTBLANK(OFFSET(A$1,,,SUMPRODUCT(MAX(ROW(E$1:E1053)*(E2=E$1:E1053))))))</f>
        <v> </v>
      </c>
      <c r="K1054" s="26" t="str">
        <f>IF(OR(E1054="",E1054="!!!",F1054="NEW"),"",INDEX(J$1:J1053,SUMPRODUCT(MAX(ROW(E$1:E1053)*(E1054=E$1:E1053)))))</f>
        <v> </v>
      </c>
      <c r="L1054" s="27"/>
    </row>
    <row r="1055" spans="1:12">
      <c r="A1055" s="20" t="s">
        <v>817</v>
      </c>
      <c r="E1055" s="22">
        <f>IF(D1055="?OLD","!!!","")</f>
        <v/>
      </c>
      <c r="F1055" s="23" t="str">
        <f>IF(OR(E1055="",E1055="!!!"),"",IF(NOT(ISNA(VLOOKUP(E1055,E$1:E1054,1,FALSE()))),"OLD",IF(AND(E1055&lt;&gt;"",E1055&lt;&gt;"!!!"),"NEW","")))</f>
        <v> </v>
      </c>
      <c r="G1055" s="24" t="str">
        <f>IF(OR(E1055="",E1055="!!!"),"",IF(OR(J1055=0,AND(J1055=1,K1055=1),AND(J1055=1,I1055="SBJ"),AND(J1055=1,I1055=0)),"?IN_FOCUS",IF(J1055&lt;=2,"?ACTIVATED",IF(J1055&lt;&gt;"","?FAMILIAR",IF(F1055="NEW",IF(ISNA(VLOOKUP(E1055,#REF!,1,FALSE())),"?TYPE_IDENTIFIABLE","?REFERENTIAL"),"_")))))</f>
        <v> </v>
      </c>
      <c r="H1055" s="25" t="str">
        <f>IF(J1055&lt;&gt;1,"",IF(I1055="SBJ","CB","?"))</f>
        <v> </v>
      </c>
      <c r="I1055" s="26" t="str">
        <f>IF(OR(E1055="",E1055="!!!",F1055="NEW"),"",INDEX(B1054:B$2,-1+SUMPRODUCT(MAX(ROW(E1054:E$2)*(E1055=E1054:E$2)))))</f>
        <v> </v>
      </c>
      <c r="J1055" s="26" t="str">
        <f>IF(OR(E1055="",E1055="!!!",F1055="NEW"),"",COUNTBLANK(OFFSET(A$1,,,SUMPRODUCT(MAX(ROW(E$2:E1055)*(E1055=E$2:E1055)))))-COUNTBLANK(OFFSET(A$1,,,SUMPRODUCT(MAX(ROW(E$1:E1054)*(E2=E$1:E1054))))))</f>
        <v> </v>
      </c>
      <c r="K1055" s="26" t="str">
        <f>IF(OR(E1055="",E1055="!!!",F1055="NEW"),"",INDEX(J$1:J1054,SUMPRODUCT(MAX(ROW(E$1:E1054)*(E1055=E$1:E1054)))))</f>
        <v> </v>
      </c>
      <c r="L1055" s="27"/>
    </row>
    <row r="1056" spans="1:12">
      <c r="A1056" s="20" t="s">
        <v>1148</v>
      </c>
      <c r="B1056" s="21" t="s">
        <v>736</v>
      </c>
      <c r="C1056" s="21" t="s">
        <v>740</v>
      </c>
      <c r="D1056" s="21" t="s">
        <v>730</v>
      </c>
      <c r="E1056" s="22">
        <f>IF(D1056="?OLD","!!!","")</f>
        <v/>
      </c>
      <c r="F1056" s="23" t="str">
        <f>IF(OR(E1056="",E1056="!!!"),"",IF(NOT(ISNA(VLOOKUP(E1056,E$1:E1055,1,FALSE()))),"OLD",IF(AND(E1056&lt;&gt;"",E1056&lt;&gt;"!!!"),"NEW","")))</f>
        <v> </v>
      </c>
      <c r="G1056" s="24" t="str">
        <f>IF(OR(E1056="",E1056="!!!"),"",IF(OR(J1056=0,AND(J1056=1,K1056=1),AND(J1056=1,I1056="SBJ"),AND(J1056=1,I1056=0)),"?IN_FOCUS",IF(J1056&lt;=2,"?ACTIVATED",IF(J1056&lt;&gt;"","?FAMILIAR",IF(F1056="NEW",IF(ISNA(VLOOKUP(E1056,#REF!,1,FALSE())),"?TYPE_IDENTIFIABLE","?REFERENTIAL"),"_")))))</f>
        <v> </v>
      </c>
      <c r="H1056" s="25" t="str">
        <f>IF(J1056&lt;&gt;1,"",IF(I1056="SBJ","CB","?"))</f>
        <v> </v>
      </c>
      <c r="I1056" s="26" t="str">
        <f>IF(OR(E1056="",E1056="!!!",F1056="NEW"),"",INDEX(B1055:B$2,-1+SUMPRODUCT(MAX(ROW(E1055:E$2)*(E1056=E1055:E$2)))))</f>
        <v> </v>
      </c>
      <c r="J1056" s="26" t="str">
        <f>IF(OR(E1056="",E1056="!!!",F1056="NEW"),"",COUNTBLANK(OFFSET(A$1,,,SUMPRODUCT(MAX(ROW(E$2:E1056)*(E1056=E$2:E1056)))))-COUNTBLANK(OFFSET(A$1,,,SUMPRODUCT(MAX(ROW(E$1:E1055)*(E2=E$1:E1055))))))</f>
        <v> </v>
      </c>
      <c r="K1056" s="26" t="str">
        <f>IF(OR(E1056="",E1056="!!!",F1056="NEW"),"",INDEX(J$1:J1055,SUMPRODUCT(MAX(ROW(E$1:E1055)*(E1056=E$1:E1055)))))</f>
        <v> </v>
      </c>
      <c r="L1056" s="27"/>
    </row>
    <row r="1057" spans="1:12">
      <c r="A1057" s="20" t="s">
        <v>11</v>
      </c>
      <c r="E1057" s="22">
        <f>IF(D1057="?OLD","!!!","")</f>
        <v/>
      </c>
      <c r="F1057" s="23" t="str">
        <f>IF(OR(E1057="",E1057="!!!"),"",IF(NOT(ISNA(VLOOKUP(E1057,E$1:E1056,1,FALSE()))),"OLD",IF(AND(E1057&lt;&gt;"",E1057&lt;&gt;"!!!"),"NEW","")))</f>
        <v> </v>
      </c>
      <c r="G1057" s="24" t="str">
        <f>IF(OR(E1057="",E1057="!!!"),"",IF(OR(J1057=0,AND(J1057=1,K1057=1),AND(J1057=1,I1057="SBJ"),AND(J1057=1,I1057=0)),"?IN_FOCUS",IF(J1057&lt;=2,"?ACTIVATED",IF(J1057&lt;&gt;"","?FAMILIAR",IF(F1057="NEW",IF(ISNA(VLOOKUP(E1057,#REF!,1,FALSE())),"?TYPE_IDENTIFIABLE","?REFERENTIAL"),"_")))))</f>
        <v> </v>
      </c>
      <c r="H1057" s="25" t="str">
        <f>IF(J1057&lt;&gt;1,"",IF(I1057="SBJ","CB","?"))</f>
        <v> </v>
      </c>
      <c r="I1057" s="26" t="str">
        <f>IF(OR(E1057="",E1057="!!!",F1057="NEW"),"",INDEX(B1056:B$2,-1+SUMPRODUCT(MAX(ROW(E1056:E$2)*(E1057=E1056:E$2)))))</f>
        <v> </v>
      </c>
      <c r="J1057" s="26" t="str">
        <f>IF(OR(E1057="",E1057="!!!",F1057="NEW"),"",COUNTBLANK(OFFSET(A$1,,,SUMPRODUCT(MAX(ROW(E$2:E1057)*(E1057=E$2:E1057)))))-COUNTBLANK(OFFSET(A$1,,,SUMPRODUCT(MAX(ROW(E$1:E1056)*(E2=E$1:E1056))))))</f>
        <v> </v>
      </c>
      <c r="K1057" s="26" t="str">
        <f>IF(OR(E1057="",E1057="!!!",F1057="NEW"),"",INDEX(J$1:J1056,SUMPRODUCT(MAX(ROW(E$1:E1056)*(E1057=E$1:E1056)))))</f>
        <v> </v>
      </c>
      <c r="L1057" s="27"/>
    </row>
    <row r="1058" spans="1:12">
      <c r="A1058" s="20" t="s">
        <v>817</v>
      </c>
      <c r="E1058" s="22">
        <f>IF(D1058="?OLD","!!!","")</f>
        <v/>
      </c>
      <c r="F1058" s="23" t="str">
        <f>IF(OR(E1058="",E1058="!!!"),"",IF(NOT(ISNA(VLOOKUP(E1058,E$1:E1057,1,FALSE()))),"OLD",IF(AND(E1058&lt;&gt;"",E1058&lt;&gt;"!!!"),"NEW","")))</f>
        <v> </v>
      </c>
      <c r="G1058" s="24" t="str">
        <f>IF(OR(E1058="",E1058="!!!"),"",IF(OR(J1058=0,AND(J1058=1,K1058=1),AND(J1058=1,I1058="SBJ"),AND(J1058=1,I1058=0)),"?IN_FOCUS",IF(J1058&lt;=2,"?ACTIVATED",IF(J1058&lt;&gt;"","?FAMILIAR",IF(F1058="NEW",IF(ISNA(VLOOKUP(E1058,#REF!,1,FALSE())),"?TYPE_IDENTIFIABLE","?REFERENTIAL"),"_")))))</f>
        <v> </v>
      </c>
      <c r="H1058" s="25" t="str">
        <f>IF(J1058&lt;&gt;1,"",IF(I1058="SBJ","CB","?"))</f>
        <v> </v>
      </c>
      <c r="I1058" s="26" t="str">
        <f>IF(OR(E1058="",E1058="!!!",F1058="NEW"),"",INDEX(B1057:B$2,-1+SUMPRODUCT(MAX(ROW(E1057:E$2)*(E1058=E1057:E$2)))))</f>
        <v> </v>
      </c>
      <c r="J1058" s="26" t="str">
        <f>IF(OR(E1058="",E1058="!!!",F1058="NEW"),"",COUNTBLANK(OFFSET(A$1,,,SUMPRODUCT(MAX(ROW(E$2:E1058)*(E1058=E$2:E1058)))))-COUNTBLANK(OFFSET(A$1,,,SUMPRODUCT(MAX(ROW(E$1:E1057)*(E2=E$1:E1057))))))</f>
        <v> </v>
      </c>
      <c r="K1058" s="26" t="str">
        <f>IF(OR(E1058="",E1058="!!!",F1058="NEW"),"",INDEX(J$1:J1057,SUMPRODUCT(MAX(ROW(E$1:E1057)*(E1058=E$1:E1057)))))</f>
        <v> </v>
      </c>
      <c r="L1058" s="27"/>
    </row>
    <row r="1059" spans="1:12">
      <c r="A1059" s="20" t="s">
        <v>759</v>
      </c>
      <c r="E1059" s="22">
        <f>IF(D1059="?OLD","!!!","")</f>
        <v/>
      </c>
      <c r="F1059" s="23" t="str">
        <f>IF(OR(E1059="",E1059="!!!"),"",IF(NOT(ISNA(VLOOKUP(E1059,E$1:E1058,1,FALSE()))),"OLD",IF(AND(E1059&lt;&gt;"",E1059&lt;&gt;"!!!"),"NEW","")))</f>
        <v> </v>
      </c>
      <c r="G1059" s="24" t="str">
        <f>IF(OR(E1059="",E1059="!!!"),"",IF(OR(J1059=0,AND(J1059=1,K1059=1),AND(J1059=1,I1059="SBJ"),AND(J1059=1,I1059=0)),"?IN_FOCUS",IF(J1059&lt;=2,"?ACTIVATED",IF(J1059&lt;&gt;"","?FAMILIAR",IF(F1059="NEW",IF(ISNA(VLOOKUP(E1059,#REF!,1,FALSE())),"?TYPE_IDENTIFIABLE","?REFERENTIAL"),"_")))))</f>
        <v> </v>
      </c>
      <c r="H1059" s="25" t="str">
        <f>IF(J1059&lt;&gt;1,"",IF(I1059="SBJ","CB","?"))</f>
        <v> </v>
      </c>
      <c r="I1059" s="26" t="str">
        <f>IF(OR(E1059="",E1059="!!!",F1059="NEW"),"",INDEX(B1058:B$2,-1+SUMPRODUCT(MAX(ROW(E1058:E$2)*(E1059=E1058:E$2)))))</f>
        <v> </v>
      </c>
      <c r="J1059" s="26" t="str">
        <f>IF(OR(E1059="",E1059="!!!",F1059="NEW"),"",COUNTBLANK(OFFSET(A$1,,,SUMPRODUCT(MAX(ROW(E$2:E1059)*(E1059=E$2:E1059)))))-COUNTBLANK(OFFSET(A$1,,,SUMPRODUCT(MAX(ROW(E$1:E1058)*(E2=E$1:E1058))))))</f>
        <v> </v>
      </c>
      <c r="K1059" s="26" t="str">
        <f>IF(OR(E1059="",E1059="!!!",F1059="NEW"),"",INDEX(J$1:J1058,SUMPRODUCT(MAX(ROW(E$1:E1058)*(E1059=E$1:E1058)))))</f>
        <v> </v>
      </c>
      <c r="L1059" s="27"/>
    </row>
    <row r="1060" spans="1:12">
      <c r="A1060" s="20" t="s">
        <v>913</v>
      </c>
      <c r="B1060" s="21" t="s">
        <v>739</v>
      </c>
      <c r="C1060" s="21" t="s">
        <v>746</v>
      </c>
      <c r="D1060" s="21" t="s">
        <v>730</v>
      </c>
      <c r="E1060" s="22">
        <f>IF(D1060="?OLD","!!!","")</f>
        <v/>
      </c>
      <c r="F1060" s="23" t="str">
        <f>IF(OR(E1060="",E1060="!!!"),"",IF(NOT(ISNA(VLOOKUP(E1060,E$1:E1059,1,FALSE()))),"OLD",IF(AND(E1060&lt;&gt;"",E1060&lt;&gt;"!!!"),"NEW","")))</f>
        <v> </v>
      </c>
      <c r="G1060" s="24" t="str">
        <f>IF(OR(E1060="",E1060="!!!"),"",IF(OR(J1060=0,AND(J1060=1,K1060=1),AND(J1060=1,I1060="SBJ"),AND(J1060=1,I1060=0)),"?IN_FOCUS",IF(J1060&lt;=2,"?ACTIVATED",IF(J1060&lt;&gt;"","?FAMILIAR",IF(F1060="NEW",IF(ISNA(VLOOKUP(E1060,#REF!,1,FALSE())),"?TYPE_IDENTIFIABLE","?REFERENTIAL"),"_")))))</f>
        <v> </v>
      </c>
      <c r="H1060" s="25" t="str">
        <f>IF(J1060&lt;&gt;1,"",IF(I1060="SBJ","CB","?"))</f>
        <v> </v>
      </c>
      <c r="I1060" s="26" t="str">
        <f>IF(OR(E1060="",E1060="!!!",F1060="NEW"),"",INDEX(B1059:B$2,-1+SUMPRODUCT(MAX(ROW(E1059:E$2)*(E1060=E1059:E$2)))))</f>
        <v> </v>
      </c>
      <c r="J1060" s="26" t="str">
        <f>IF(OR(E1060="",E1060="!!!",F1060="NEW"),"",COUNTBLANK(OFFSET(A$1,,,SUMPRODUCT(MAX(ROW(E$2:E1060)*(E1060=E$2:E1060)))))-COUNTBLANK(OFFSET(A$1,,,SUMPRODUCT(MAX(ROW(E$1:E1059)*(E2=E$1:E1059))))))</f>
        <v> </v>
      </c>
      <c r="K1060" s="26" t="str">
        <f>IF(OR(E1060="",E1060="!!!",F1060="NEW"),"",INDEX(J$1:J1059,SUMPRODUCT(MAX(ROW(E$1:E1059)*(E1060=E$1:E1059)))))</f>
        <v> </v>
      </c>
      <c r="L1060" s="27"/>
    </row>
    <row r="1061" spans="1:12">
      <c r="A1061" s="20" t="s">
        <v>1017</v>
      </c>
      <c r="E1061" s="22">
        <f>IF(D1061="?OLD","!!!","")</f>
        <v/>
      </c>
      <c r="F1061" s="23" t="str">
        <f>IF(OR(E1061="",E1061="!!!"),"",IF(NOT(ISNA(VLOOKUP(E1061,E$1:E1060,1,FALSE()))),"OLD",IF(AND(E1061&lt;&gt;"",E1061&lt;&gt;"!!!"),"NEW","")))</f>
        <v> </v>
      </c>
      <c r="G1061" s="24" t="str">
        <f>IF(OR(E1061="",E1061="!!!"),"",IF(OR(J1061=0,AND(J1061=1,K1061=1),AND(J1061=1,I1061="SBJ"),AND(J1061=1,I1061=0)),"?IN_FOCUS",IF(J1061&lt;=2,"?ACTIVATED",IF(J1061&lt;&gt;"","?FAMILIAR",IF(F1061="NEW",IF(ISNA(VLOOKUP(E1061,#REF!,1,FALSE())),"?TYPE_IDENTIFIABLE","?REFERENTIAL"),"_")))))</f>
        <v> </v>
      </c>
      <c r="H1061" s="25" t="str">
        <f>IF(J1061&lt;&gt;1,"",IF(I1061="SBJ","CB","?"))</f>
        <v> </v>
      </c>
      <c r="I1061" s="26" t="str">
        <f>IF(OR(E1061="",E1061="!!!",F1061="NEW"),"",INDEX(B1060:B$2,-1+SUMPRODUCT(MAX(ROW(E1060:E$2)*(E1061=E1060:E$2)))))</f>
        <v> </v>
      </c>
      <c r="J1061" s="26" t="str">
        <f>IF(OR(E1061="",E1061="!!!",F1061="NEW"),"",COUNTBLANK(OFFSET(A$1,,,SUMPRODUCT(MAX(ROW(E$2:E1061)*(E1061=E$2:E1061)))))-COUNTBLANK(OFFSET(A$1,,,SUMPRODUCT(MAX(ROW(E$1:E1060)*(E2=E$1:E1060))))))</f>
        <v> </v>
      </c>
      <c r="K1061" s="26" t="str">
        <f>IF(OR(E1061="",E1061="!!!",F1061="NEW"),"",INDEX(J$1:J1060,SUMPRODUCT(MAX(ROW(E$1:E1060)*(E1061=E$1:E1060)))))</f>
        <v> </v>
      </c>
      <c r="L1061" s="27"/>
    </row>
    <row r="1062" spans="1:12">
      <c r="A1062" s="20" t="s">
        <v>1168</v>
      </c>
      <c r="B1062" s="21" t="s">
        <v>736</v>
      </c>
      <c r="C1062" s="21" t="s">
        <v>967</v>
      </c>
      <c r="E1062" s="22">
        <f>IF(D1062="?OLD","!!!","")</f>
        <v/>
      </c>
      <c r="F1062" s="23" t="str">
        <f>IF(OR(E1062="",E1062="!!!"),"",IF(NOT(ISNA(VLOOKUP(E1062,E$1:E1061,1,FALSE()))),"OLD",IF(AND(E1062&lt;&gt;"",E1062&lt;&gt;"!!!"),"NEW","")))</f>
        <v> </v>
      </c>
      <c r="G1062" s="24" t="str">
        <f>IF(OR(E1062="",E1062="!!!"),"",IF(OR(J1062=0,AND(J1062=1,K1062=1),AND(J1062=1,I1062="SBJ"),AND(J1062=1,I1062=0)),"?IN_FOCUS",IF(J1062&lt;=2,"?ACTIVATED",IF(J1062&lt;&gt;"","?FAMILIAR",IF(F1062="NEW",IF(ISNA(VLOOKUP(E1062,#REF!,1,FALSE())),"?TYPE_IDENTIFIABLE","?REFERENTIAL"),"_")))))</f>
        <v> </v>
      </c>
      <c r="H1062" s="25" t="str">
        <f>IF(J1062&lt;&gt;1,"",IF(I1062="SBJ","CB","?"))</f>
        <v> </v>
      </c>
      <c r="I1062" s="26" t="str">
        <f>IF(OR(E1062="",E1062="!!!",F1062="NEW"),"",INDEX(B1061:B$2,-1+SUMPRODUCT(MAX(ROW(E1061:E$2)*(E1062=E1061:E$2)))))</f>
        <v> </v>
      </c>
      <c r="J1062" s="26" t="str">
        <f>IF(OR(E1062="",E1062="!!!",F1062="NEW"),"",COUNTBLANK(OFFSET(A$1,,,SUMPRODUCT(MAX(ROW(E$2:E1062)*(E1062=E$2:E1062)))))-COUNTBLANK(OFFSET(A$1,,,SUMPRODUCT(MAX(ROW(E$1:E1061)*(E2=E$1:E1061))))))</f>
        <v> </v>
      </c>
      <c r="K1062" s="26" t="str">
        <f>IF(OR(E1062="",E1062="!!!",F1062="NEW"),"",INDEX(J$1:J1061,SUMPRODUCT(MAX(ROW(E$1:E1061)*(E1062=E$1:E1061)))))</f>
        <v> </v>
      </c>
      <c r="L1062" s="27"/>
    </row>
    <row r="1063" spans="1:12">
      <c r="A1063" s="20" t="s">
        <v>759</v>
      </c>
      <c r="E1063" s="22">
        <f>IF(D1063="?OLD","!!!","")</f>
        <v/>
      </c>
      <c r="F1063" s="23" t="str">
        <f>IF(OR(E1063="",E1063="!!!"),"",IF(NOT(ISNA(VLOOKUP(E1063,E$1:E1062,1,FALSE()))),"OLD",IF(AND(E1063&lt;&gt;"",E1063&lt;&gt;"!!!"),"NEW","")))</f>
        <v> </v>
      </c>
      <c r="G1063" s="24" t="str">
        <f>IF(OR(E1063="",E1063="!!!"),"",IF(OR(J1063=0,AND(J1063=1,K1063=1),AND(J1063=1,I1063="SBJ"),AND(J1063=1,I1063=0)),"?IN_FOCUS",IF(J1063&lt;=2,"?ACTIVATED",IF(J1063&lt;&gt;"","?FAMILIAR",IF(F1063="NEW",IF(ISNA(VLOOKUP(E1063,#REF!,1,FALSE())),"?TYPE_IDENTIFIABLE","?REFERENTIAL"),"_")))))</f>
        <v> </v>
      </c>
      <c r="H1063" s="25" t="str">
        <f>IF(J1063&lt;&gt;1,"",IF(I1063="SBJ","CB","?"))</f>
        <v> </v>
      </c>
      <c r="I1063" s="26" t="str">
        <f>IF(OR(E1063="",E1063="!!!",F1063="NEW"),"",INDEX(B1062:B$2,-1+SUMPRODUCT(MAX(ROW(E1062:E$2)*(E1063=E1062:E$2)))))</f>
        <v> </v>
      </c>
      <c r="J1063" s="26" t="str">
        <f>IF(OR(E1063="",E1063="!!!",F1063="NEW"),"",COUNTBLANK(OFFSET(A$1,,,SUMPRODUCT(MAX(ROW(E$2:E1063)*(E1063=E$2:E1063)))))-COUNTBLANK(OFFSET(A$1,,,SUMPRODUCT(MAX(ROW(E$1:E1062)*(E2=E$1:E1062))))))</f>
        <v> </v>
      </c>
      <c r="K1063" s="26" t="str">
        <f>IF(OR(E1063="",E1063="!!!",F1063="NEW"),"",INDEX(J$1:J1062,SUMPRODUCT(MAX(ROW(E$1:E1062)*(E1063=E$1:E1062)))))</f>
        <v> </v>
      </c>
      <c r="L1063" s="27"/>
    </row>
    <row r="1064" spans="1:12">
      <c r="A1064" s="20" t="s">
        <v>902</v>
      </c>
      <c r="E1064" s="22">
        <f>IF(D1064="?OLD","!!!","")</f>
        <v/>
      </c>
      <c r="F1064" s="23" t="str">
        <f>IF(OR(E1064="",E1064="!!!"),"",IF(NOT(ISNA(VLOOKUP(E1064,E$1:E1063,1,FALSE()))),"OLD",IF(AND(E1064&lt;&gt;"",E1064&lt;&gt;"!!!"),"NEW","")))</f>
        <v> </v>
      </c>
      <c r="G1064" s="24" t="str">
        <f>IF(OR(E1064="",E1064="!!!"),"",IF(OR(J1064=0,AND(J1064=1,K1064=1),AND(J1064=1,I1064="SBJ"),AND(J1064=1,I1064=0)),"?IN_FOCUS",IF(J1064&lt;=2,"?ACTIVATED",IF(J1064&lt;&gt;"","?FAMILIAR",IF(F1064="NEW",IF(ISNA(VLOOKUP(E1064,#REF!,1,FALSE())),"?TYPE_IDENTIFIABLE","?REFERENTIAL"),"_")))))</f>
        <v> </v>
      </c>
      <c r="H1064" s="25" t="str">
        <f>IF(J1064&lt;&gt;1,"",IF(I1064="SBJ","CB","?"))</f>
        <v> </v>
      </c>
      <c r="I1064" s="26" t="str">
        <f>IF(OR(E1064="",E1064="!!!",F1064="NEW"),"",INDEX(B1063:B$2,-1+SUMPRODUCT(MAX(ROW(E1063:E$2)*(E1064=E1063:E$2)))))</f>
        <v> </v>
      </c>
      <c r="J1064" s="26" t="str">
        <f>IF(OR(E1064="",E1064="!!!",F1064="NEW"),"",COUNTBLANK(OFFSET(A$1,,,SUMPRODUCT(MAX(ROW(E$2:E1064)*(E1064=E$2:E1064)))))-COUNTBLANK(OFFSET(A$1,,,SUMPRODUCT(MAX(ROW(E$1:E1063)*(E2=E$1:E1063))))))</f>
        <v> </v>
      </c>
      <c r="K1064" s="26" t="str">
        <f>IF(OR(E1064="",E1064="!!!",F1064="NEW"),"",INDEX(J$1:J1063,SUMPRODUCT(MAX(ROW(E$1:E1063)*(E1064=E$1:E1063)))))</f>
        <v> </v>
      </c>
      <c r="L1064" s="27"/>
    </row>
    <row r="1065" spans="1:12">
      <c r="A1065" s="20" t="s">
        <v>1232</v>
      </c>
      <c r="B1065" s="21" t="s">
        <v>739</v>
      </c>
      <c r="C1065" s="21" t="s">
        <v>789</v>
      </c>
      <c r="D1065" s="21" t="s">
        <v>730</v>
      </c>
      <c r="E1065" s="22">
        <f>IF(D1065="?OLD","!!!","")</f>
        <v/>
      </c>
      <c r="F1065" s="23" t="str">
        <f>IF(OR(E1065="",E1065="!!!"),"",IF(NOT(ISNA(VLOOKUP(E1065,E$1:E1064,1,FALSE()))),"OLD",IF(AND(E1065&lt;&gt;"",E1065&lt;&gt;"!!!"),"NEW","")))</f>
        <v> </v>
      </c>
      <c r="G1065" s="24" t="str">
        <f>IF(OR(E1065="",E1065="!!!"),"",IF(OR(J1065=0,AND(J1065=1,K1065=1),AND(J1065=1,I1065="SBJ"),AND(J1065=1,I1065=0)),"?IN_FOCUS",IF(J1065&lt;=2,"?ACTIVATED",IF(J1065&lt;&gt;"","?FAMILIAR",IF(F1065="NEW",IF(ISNA(VLOOKUP(E1065,#REF!,1,FALSE())),"?TYPE_IDENTIFIABLE","?REFERENTIAL"),"_")))))</f>
        <v> </v>
      </c>
      <c r="H1065" s="25" t="str">
        <f>IF(J1065&lt;&gt;1,"",IF(I1065="SBJ","CB","?"))</f>
        <v> </v>
      </c>
      <c r="I1065" s="26" t="str">
        <f>IF(OR(E1065="",E1065="!!!",F1065="NEW"),"",INDEX(B1064:B$2,-1+SUMPRODUCT(MAX(ROW(E1064:E$2)*(E1065=E1064:E$2)))))</f>
        <v> </v>
      </c>
      <c r="J1065" s="26" t="str">
        <f>IF(OR(E1065="",E1065="!!!",F1065="NEW"),"",COUNTBLANK(OFFSET(A$1,,,SUMPRODUCT(MAX(ROW(E$2:E1065)*(E1065=E$2:E1065)))))-COUNTBLANK(OFFSET(A$1,,,SUMPRODUCT(MAX(ROW(E$1:E1064)*(E2=E$1:E1064))))))</f>
        <v> </v>
      </c>
      <c r="K1065" s="26" t="str">
        <f>IF(OR(E1065="",E1065="!!!",F1065="NEW"),"",INDEX(J$1:J1064,SUMPRODUCT(MAX(ROW(E$1:E1064)*(E1065=E$1:E1064)))))</f>
        <v> </v>
      </c>
      <c r="L1065" s="27"/>
    </row>
    <row r="1066" spans="1:12">
      <c r="A1066" s="20" t="s">
        <v>1233</v>
      </c>
      <c r="E1066" s="22">
        <f>IF(D1066="?OLD","!!!","")</f>
        <v/>
      </c>
      <c r="F1066" s="23" t="str">
        <f>IF(OR(E1066="",E1066="!!!"),"",IF(NOT(ISNA(VLOOKUP(E1066,E$1:E1065,1,FALSE()))),"OLD",IF(AND(E1066&lt;&gt;"",E1066&lt;&gt;"!!!"),"NEW","")))</f>
        <v> </v>
      </c>
      <c r="G1066" s="24" t="str">
        <f>IF(OR(E1066="",E1066="!!!"),"",IF(OR(J1066=0,AND(J1066=1,K1066=1),AND(J1066=1,I1066="SBJ"),AND(J1066=1,I1066=0)),"?IN_FOCUS",IF(J1066&lt;=2,"?ACTIVATED",IF(J1066&lt;&gt;"","?FAMILIAR",IF(F1066="NEW",IF(ISNA(VLOOKUP(E1066,#REF!,1,FALSE())),"?TYPE_IDENTIFIABLE","?REFERENTIAL"),"_")))))</f>
        <v> </v>
      </c>
      <c r="H1066" s="25" t="str">
        <f>IF(J1066&lt;&gt;1,"",IF(I1066="SBJ","CB","?"))</f>
        <v> </v>
      </c>
      <c r="I1066" s="26" t="str">
        <f>IF(OR(E1066="",E1066="!!!",F1066="NEW"),"",INDEX(B1065:B$2,-1+SUMPRODUCT(MAX(ROW(E1065:E$2)*(E1066=E1065:E$2)))))</f>
        <v> </v>
      </c>
      <c r="J1066" s="26" t="str">
        <f>IF(OR(E1066="",E1066="!!!",F1066="NEW"),"",COUNTBLANK(OFFSET(A$1,,,SUMPRODUCT(MAX(ROW(E$2:E1066)*(E1066=E$2:E1066)))))-COUNTBLANK(OFFSET(A$1,,,SUMPRODUCT(MAX(ROW(E$1:E1065)*(E2=E$1:E1065))))))</f>
        <v> </v>
      </c>
      <c r="K1066" s="26" t="str">
        <f>IF(OR(E1066="",E1066="!!!",F1066="NEW"),"",INDEX(J$1:J1065,SUMPRODUCT(MAX(ROW(E$1:E1065)*(E1066=E$1:E1065)))))</f>
        <v> </v>
      </c>
      <c r="L1066" s="27"/>
    </row>
    <row r="1067" spans="1:12">
      <c r="A1067" s="20" t="s">
        <v>246</v>
      </c>
      <c r="E1067" s="22">
        <f>IF(D1067="?OLD","!!!","")</f>
        <v/>
      </c>
      <c r="F1067" s="23" t="str">
        <f>IF(OR(E1067="",E1067="!!!"),"",IF(NOT(ISNA(VLOOKUP(E1067,E$1:E1066,1,FALSE()))),"OLD",IF(AND(E1067&lt;&gt;"",E1067&lt;&gt;"!!!"),"NEW","")))</f>
        <v> </v>
      </c>
      <c r="G1067" s="24" t="str">
        <f>IF(OR(E1067="",E1067="!!!"),"",IF(OR(J1067=0,AND(J1067=1,K1067=1),AND(J1067=1,I1067="SBJ"),AND(J1067=1,I1067=0)),"?IN_FOCUS",IF(J1067&lt;=2,"?ACTIVATED",IF(J1067&lt;&gt;"","?FAMILIAR",IF(F1067="NEW",IF(ISNA(VLOOKUP(E1067,#REF!,1,FALSE())),"?TYPE_IDENTIFIABLE","?REFERENTIAL"),"_")))))</f>
        <v> </v>
      </c>
      <c r="H1067" s="25" t="str">
        <f>IF(J1067&lt;&gt;1,"",IF(I1067="SBJ","CB","?"))</f>
        <v> </v>
      </c>
      <c r="I1067" s="26" t="str">
        <f>IF(OR(E1067="",E1067="!!!",F1067="NEW"),"",INDEX(B1066:B$2,-1+SUMPRODUCT(MAX(ROW(E1066:E$2)*(E1067=E1066:E$2)))))</f>
        <v> </v>
      </c>
      <c r="J1067" s="26" t="str">
        <f>IF(OR(E1067="",E1067="!!!",F1067="NEW"),"",COUNTBLANK(OFFSET(A$1,,,SUMPRODUCT(MAX(ROW(E$2:E1067)*(E1067=E$2:E1067)))))-COUNTBLANK(OFFSET(A$1,,,SUMPRODUCT(MAX(ROW(E$1:E1066)*(E2=E$1:E1066))))))</f>
        <v> </v>
      </c>
      <c r="K1067" s="26" t="str">
        <f>IF(OR(E1067="",E1067="!!!",F1067="NEW"),"",INDEX(J$1:J1066,SUMPRODUCT(MAX(ROW(E$1:E1066)*(E1067=E$1:E1066)))))</f>
        <v> </v>
      </c>
      <c r="L1067" s="27"/>
    </row>
    <row r="1068" spans="1:12">
      <c r="A1068" s="20"/>
    </row>
    <row r="1069" spans="1:12">
      <c r="A1069" s="20" t="s">
        <v>1234</v>
      </c>
    </row>
    <row r="1070" spans="1:12">
      <c r="A1070" s="20" t="s">
        <v>1235</v>
      </c>
      <c r="E1070" s="22">
        <f>IF(D1070="?OLD","!!!","")</f>
        <v/>
      </c>
      <c r="F1070" s="23" t="str">
        <f>IF(OR(E1070="",E1070="!!!"),"",IF(NOT(ISNA(VLOOKUP(E1070,E$1:E1069,1,FALSE()))),"OLD",IF(AND(E1070&lt;&gt;"",E1070&lt;&gt;"!!!"),"NEW","")))</f>
        <v> </v>
      </c>
      <c r="G1070" s="24" t="str">
        <f>IF(OR(E1070="",E1070="!!!"),"",IF(OR(J1070=0,AND(J1070=1,K1070=1),AND(J1070=1,I1070="SBJ"),AND(J1070=1,I1070=0)),"?IN_FOCUS",IF(J1070&lt;=2,"?ACTIVATED",IF(J1070&lt;&gt;"","?FAMILIAR",IF(F1070="NEW",IF(ISNA(VLOOKUP(E1070,#REF!,1,FALSE())),"?TYPE_IDENTIFIABLE","?REFERENTIAL"),"_")))))</f>
        <v> </v>
      </c>
      <c r="H1070" s="25" t="str">
        <f>IF(J1070&lt;&gt;1,"",IF(I1070="SBJ","CB","?"))</f>
        <v> </v>
      </c>
      <c r="I1070" s="26" t="str">
        <f>IF(OR(E1070="",E1070="!!!",F1070="NEW"),"",INDEX(B1069:B$2,-1+SUMPRODUCT(MAX(ROW(E1069:E$2)*(E1070=E1069:E$2)))))</f>
        <v> </v>
      </c>
      <c r="J1070" s="26" t="str">
        <f>IF(OR(E1070="",E1070="!!!",F1070="NEW"),"",COUNTBLANK(OFFSET(A$1,,,SUMPRODUCT(MAX(ROW(E$2:E1070)*(E1070=E$2:E1070)))))-COUNTBLANK(OFFSET(A$1,,,SUMPRODUCT(MAX(ROW(E$1:E1069)*(E2=E$1:E1069))))))</f>
        <v> </v>
      </c>
      <c r="K1070" s="26" t="str">
        <f>IF(OR(E1070="",E1070="!!!",F1070="NEW"),"",INDEX(J$1:J1069,SUMPRODUCT(MAX(ROW(E$1:E1069)*(E1070=E$1:E1069)))))</f>
        <v> </v>
      </c>
      <c r="L1070" s="27"/>
    </row>
    <row r="1071" spans="1:12">
      <c r="A1071" s="20" t="s">
        <v>732</v>
      </c>
      <c r="E1071" s="22">
        <f>IF(D1071="?OLD","!!!","")</f>
        <v/>
      </c>
      <c r="F1071" s="23" t="str">
        <f>IF(OR(E1071="",E1071="!!!"),"",IF(NOT(ISNA(VLOOKUP(E1071,E$1:E1070,1,FALSE()))),"OLD",IF(AND(E1071&lt;&gt;"",E1071&lt;&gt;"!!!"),"NEW","")))</f>
        <v> </v>
      </c>
      <c r="G1071" s="24" t="str">
        <f>IF(OR(E1071="",E1071="!!!"),"",IF(OR(J1071=0,AND(J1071=1,K1071=1),AND(J1071=1,I1071="SBJ"),AND(J1071=1,I1071=0)),"?IN_FOCUS",IF(J1071&lt;=2,"?ACTIVATED",IF(J1071&lt;&gt;"","?FAMILIAR",IF(F1071="NEW",IF(ISNA(VLOOKUP(E1071,#REF!,1,FALSE())),"?TYPE_IDENTIFIABLE","?REFERENTIAL"),"_")))))</f>
        <v> </v>
      </c>
      <c r="H1071" s="25" t="str">
        <f>IF(J1071&lt;&gt;1,"",IF(I1071="SBJ","CB","?"))</f>
        <v> </v>
      </c>
      <c r="I1071" s="26" t="str">
        <f>IF(OR(E1071="",E1071="!!!",F1071="NEW"),"",INDEX(B1070:B$2,-1+SUMPRODUCT(MAX(ROW(E1070:E$2)*(E1071=E1070:E$2)))))</f>
        <v> </v>
      </c>
      <c r="J1071" s="26" t="str">
        <f>IF(OR(E1071="",E1071="!!!",F1071="NEW"),"",COUNTBLANK(OFFSET(A$1,,,SUMPRODUCT(MAX(ROW(E$2:E1071)*(E1071=E$2:E1071)))))-COUNTBLANK(OFFSET(A$1,,,SUMPRODUCT(MAX(ROW(E$1:E1070)*(E2=E$1:E1070))))))</f>
        <v> </v>
      </c>
      <c r="K1071" s="26" t="str">
        <f>IF(OR(E1071="",E1071="!!!",F1071="NEW"),"",INDEX(J$1:J1070,SUMPRODUCT(MAX(ROW(E$1:E1070)*(E1071=E$1:E1070)))))</f>
        <v> </v>
      </c>
      <c r="L1071" s="27"/>
    </row>
    <row r="1072" spans="1:12">
      <c r="A1072" s="20" t="s">
        <v>1236</v>
      </c>
      <c r="B1072" s="21" t="s">
        <v>736</v>
      </c>
      <c r="C1072" s="21" t="s">
        <v>740</v>
      </c>
      <c r="D1072" s="21" t="s">
        <v>730</v>
      </c>
      <c r="E1072" s="22">
        <f>IF(D1072="?OLD","!!!","")</f>
        <v/>
      </c>
      <c r="F1072" s="23" t="str">
        <f>IF(OR(E1072="",E1072="!!!"),"",IF(NOT(ISNA(VLOOKUP(E1072,E$1:E1071,1,FALSE()))),"OLD",IF(AND(E1072&lt;&gt;"",E1072&lt;&gt;"!!!"),"NEW","")))</f>
        <v> </v>
      </c>
      <c r="G1072" s="24" t="str">
        <f>IF(OR(E1072="",E1072="!!!"),"",IF(OR(J1072=0,AND(J1072=1,K1072=1),AND(J1072=1,I1072="SBJ"),AND(J1072=1,I1072=0)),"?IN_FOCUS",IF(J1072&lt;=2,"?ACTIVATED",IF(J1072&lt;&gt;"","?FAMILIAR",IF(F1072="NEW",IF(ISNA(VLOOKUP(E1072,#REF!,1,FALSE())),"?TYPE_IDENTIFIABLE","?REFERENTIAL"),"_")))))</f>
        <v> </v>
      </c>
      <c r="H1072" s="25" t="str">
        <f>IF(J1072&lt;&gt;1,"",IF(I1072="SBJ","CB","?"))</f>
        <v> </v>
      </c>
      <c r="I1072" s="26" t="str">
        <f>IF(OR(E1072="",E1072="!!!",F1072="NEW"),"",INDEX(B1071:B$2,-1+SUMPRODUCT(MAX(ROW(E1071:E$2)*(E1072=E1071:E$2)))))</f>
        <v> </v>
      </c>
      <c r="J1072" s="26" t="str">
        <f>IF(OR(E1072="",E1072="!!!",F1072="NEW"),"",COUNTBLANK(OFFSET(A$1,,,SUMPRODUCT(MAX(ROW(E$2:E1072)*(E1072=E$2:E1072)))))-COUNTBLANK(OFFSET(A$1,,,SUMPRODUCT(MAX(ROW(E$1:E1071)*(E2=E$1:E1071))))))</f>
        <v> </v>
      </c>
      <c r="K1072" s="26" t="str">
        <f>IF(OR(E1072="",E1072="!!!",F1072="NEW"),"",INDEX(J$1:J1071,SUMPRODUCT(MAX(ROW(E$1:E1071)*(E1072=E$1:E1071)))))</f>
        <v> </v>
      </c>
      <c r="L1072" s="27"/>
    </row>
    <row r="1073" spans="1:12">
      <c r="A1073" s="20" t="s">
        <v>210</v>
      </c>
      <c r="E1073" s="22">
        <f>IF(D1073="?OLD","!!!","")</f>
        <v/>
      </c>
      <c r="F1073" s="23" t="str">
        <f>IF(OR(E1073="",E1073="!!!"),"",IF(NOT(ISNA(VLOOKUP(E1073,E$1:E1072,1,FALSE()))),"OLD",IF(AND(E1073&lt;&gt;"",E1073&lt;&gt;"!!!"),"NEW","")))</f>
        <v> </v>
      </c>
      <c r="G1073" s="24" t="str">
        <f>IF(OR(E1073="",E1073="!!!"),"",IF(OR(J1073=0,AND(J1073=1,K1073=1),AND(J1073=1,I1073="SBJ"),AND(J1073=1,I1073=0)),"?IN_FOCUS",IF(J1073&lt;=2,"?ACTIVATED",IF(J1073&lt;&gt;"","?FAMILIAR",IF(F1073="NEW",IF(ISNA(VLOOKUP(E1073,#REF!,1,FALSE())),"?TYPE_IDENTIFIABLE","?REFERENTIAL"),"_")))))</f>
        <v> </v>
      </c>
      <c r="H1073" s="25" t="str">
        <f>IF(J1073&lt;&gt;1,"",IF(I1073="SBJ","CB","?"))</f>
        <v> </v>
      </c>
      <c r="I1073" s="26" t="str">
        <f>IF(OR(E1073="",E1073="!!!",F1073="NEW"),"",INDEX(B1072:B$2,-1+SUMPRODUCT(MAX(ROW(E1072:E$2)*(E1073=E1072:E$2)))))</f>
        <v> </v>
      </c>
      <c r="J1073" s="26" t="str">
        <f>IF(OR(E1073="",E1073="!!!",F1073="NEW"),"",COUNTBLANK(OFFSET(A$1,,,SUMPRODUCT(MAX(ROW(E$2:E1073)*(E1073=E$2:E1073)))))-COUNTBLANK(OFFSET(A$1,,,SUMPRODUCT(MAX(ROW(E$1:E1072)*(E2=E$1:E1072))))))</f>
        <v> </v>
      </c>
      <c r="K1073" s="26" t="str">
        <f>IF(OR(E1073="",E1073="!!!",F1073="NEW"),"",INDEX(J$1:J1072,SUMPRODUCT(MAX(ROW(E$1:E1072)*(E1073=E$1:E1072)))))</f>
        <v> </v>
      </c>
      <c r="L1073" s="27"/>
    </row>
    <row r="1074" spans="1:12">
      <c r="A1074" s="20" t="s">
        <v>859</v>
      </c>
      <c r="B1074" s="21" t="s">
        <v>728</v>
      </c>
      <c r="C1074" s="21" t="s">
        <v>789</v>
      </c>
      <c r="D1074" s="21" t="s">
        <v>730</v>
      </c>
      <c r="E1074" s="22">
        <f>IF(D1074="?OLD","!!!","")</f>
        <v/>
      </c>
      <c r="F1074" s="23" t="str">
        <f>IF(OR(E1074="",E1074="!!!"),"",IF(NOT(ISNA(VLOOKUP(E1074,E$1:E1073,1,FALSE()))),"OLD",IF(AND(E1074&lt;&gt;"",E1074&lt;&gt;"!!!"),"NEW","")))</f>
        <v> </v>
      </c>
      <c r="G1074" s="24" t="str">
        <f>IF(OR(E1074="",E1074="!!!"),"",IF(OR(J1074=0,AND(J1074=1,K1074=1),AND(J1074=1,I1074="SBJ"),AND(J1074=1,I1074=0)),"?IN_FOCUS",IF(J1074&lt;=2,"?ACTIVATED",IF(J1074&lt;&gt;"","?FAMILIAR",IF(F1074="NEW",IF(ISNA(VLOOKUP(E1074,#REF!,1,FALSE())),"?TYPE_IDENTIFIABLE","?REFERENTIAL"),"_")))))</f>
        <v> </v>
      </c>
      <c r="H1074" s="25" t="str">
        <f>IF(J1074&lt;&gt;1,"",IF(I1074="SBJ","CB","?"))</f>
        <v> </v>
      </c>
      <c r="I1074" s="26" t="str">
        <f>IF(OR(E1074="",E1074="!!!",F1074="NEW"),"",INDEX(B1073:B$2,-1+SUMPRODUCT(MAX(ROW(E1073:E$2)*(E1074=E1073:E$2)))))</f>
        <v> </v>
      </c>
      <c r="J1074" s="26" t="str">
        <f>IF(OR(E1074="",E1074="!!!",F1074="NEW"),"",COUNTBLANK(OFFSET(A$1,,,SUMPRODUCT(MAX(ROW(E$2:E1074)*(E1074=E$2:E1074)))))-COUNTBLANK(OFFSET(A$1,,,SUMPRODUCT(MAX(ROW(E$1:E1073)*(E2=E$1:E1073))))))</f>
        <v> </v>
      </c>
      <c r="K1074" s="26" t="str">
        <f>IF(OR(E1074="",E1074="!!!",F1074="NEW"),"",INDEX(J$1:J1073,SUMPRODUCT(MAX(ROW(E$1:E1073)*(E1074=E$1:E1073)))))</f>
        <v> </v>
      </c>
      <c r="L1074" s="27"/>
    </row>
    <row r="1075" spans="1:12">
      <c r="A1075" s="20" t="s">
        <v>1237</v>
      </c>
      <c r="E1075" s="22">
        <f>IF(D1075="?OLD","!!!","")</f>
        <v/>
      </c>
      <c r="F1075" s="23" t="str">
        <f>IF(OR(E1075="",E1075="!!!"),"",IF(NOT(ISNA(VLOOKUP(E1075,E$1:E1074,1,FALSE()))),"OLD",IF(AND(E1075&lt;&gt;"",E1075&lt;&gt;"!!!"),"NEW","")))</f>
        <v> </v>
      </c>
      <c r="G1075" s="24" t="str">
        <f>IF(OR(E1075="",E1075="!!!"),"",IF(OR(J1075=0,AND(J1075=1,K1075=1),AND(J1075=1,I1075="SBJ"),AND(J1075=1,I1075=0)),"?IN_FOCUS",IF(J1075&lt;=2,"?ACTIVATED",IF(J1075&lt;&gt;"","?FAMILIAR",IF(F1075="NEW",IF(ISNA(VLOOKUP(E1075,#REF!,1,FALSE())),"?TYPE_IDENTIFIABLE","?REFERENTIAL"),"_")))))</f>
        <v> </v>
      </c>
      <c r="H1075" s="25" t="str">
        <f>IF(J1075&lt;&gt;1,"",IF(I1075="SBJ","CB","?"))</f>
        <v> </v>
      </c>
      <c r="I1075" s="26" t="str">
        <f>IF(OR(E1075="",E1075="!!!",F1075="NEW"),"",INDEX(B1074:B$2,-1+SUMPRODUCT(MAX(ROW(E1074:E$2)*(E1075=E1074:E$2)))))</f>
        <v> </v>
      </c>
      <c r="J1075" s="26" t="str">
        <f>IF(OR(E1075="",E1075="!!!",F1075="NEW"),"",COUNTBLANK(OFFSET(A$1,,,SUMPRODUCT(MAX(ROW(E$2:E1075)*(E1075=E$2:E1075)))))-COUNTBLANK(OFFSET(A$1,,,SUMPRODUCT(MAX(ROW(E$1:E1074)*(E2=E$1:E1074))))))</f>
        <v> </v>
      </c>
      <c r="K1075" s="26" t="str">
        <f>IF(OR(E1075="",E1075="!!!",F1075="NEW"),"",INDEX(J$1:J1074,SUMPRODUCT(MAX(ROW(E$1:E1074)*(E1075=E$1:E1074)))))</f>
        <v> </v>
      </c>
      <c r="L1075" s="27"/>
    </row>
    <row r="1076" spans="1:12">
      <c r="A1076" s="20" t="s">
        <v>840</v>
      </c>
      <c r="E1076" s="22">
        <f>IF(D1076="?OLD","!!!","")</f>
        <v/>
      </c>
      <c r="F1076" s="23" t="str">
        <f>IF(OR(E1076="",E1076="!!!"),"",IF(NOT(ISNA(VLOOKUP(E1076,E$1:E1075,1,FALSE()))),"OLD",IF(AND(E1076&lt;&gt;"",E1076&lt;&gt;"!!!"),"NEW","")))</f>
        <v> </v>
      </c>
      <c r="G1076" s="24" t="str">
        <f>IF(OR(E1076="",E1076="!!!"),"",IF(OR(J1076=0,AND(J1076=1,K1076=1),AND(J1076=1,I1076="SBJ"),AND(J1076=1,I1076=0)),"?IN_FOCUS",IF(J1076&lt;=2,"?ACTIVATED",IF(J1076&lt;&gt;"","?FAMILIAR",IF(F1076="NEW",IF(ISNA(VLOOKUP(E1076,#REF!,1,FALSE())),"?TYPE_IDENTIFIABLE","?REFERENTIAL"),"_")))))</f>
        <v> </v>
      </c>
      <c r="H1076" s="25" t="str">
        <f>IF(J1076&lt;&gt;1,"",IF(I1076="SBJ","CB","?"))</f>
        <v> </v>
      </c>
      <c r="I1076" s="26" t="str">
        <f>IF(OR(E1076="",E1076="!!!",F1076="NEW"),"",INDEX(B1075:B$2,-1+SUMPRODUCT(MAX(ROW(E1075:E$2)*(E1076=E1075:E$2)))))</f>
        <v> </v>
      </c>
      <c r="J1076" s="26" t="str">
        <f>IF(OR(E1076="",E1076="!!!",F1076="NEW"),"",COUNTBLANK(OFFSET(A$1,,,SUMPRODUCT(MAX(ROW(E$2:E1076)*(E1076=E$2:E1076)))))-COUNTBLANK(OFFSET(A$1,,,SUMPRODUCT(MAX(ROW(E$1:E1075)*(E2=E$1:E1075))))))</f>
        <v> </v>
      </c>
      <c r="K1076" s="26" t="str">
        <f>IF(OR(E1076="",E1076="!!!",F1076="NEW"),"",INDEX(J$1:J1075,SUMPRODUCT(MAX(ROW(E$1:E1075)*(E1076=E$1:E1075)))))</f>
        <v> </v>
      </c>
      <c r="L1076" s="27"/>
    </row>
    <row r="1077" spans="1:12">
      <c r="A1077" s="20" t="s">
        <v>1238</v>
      </c>
      <c r="B1077" s="21" t="s">
        <v>764</v>
      </c>
      <c r="C1077" s="21" t="s">
        <v>753</v>
      </c>
      <c r="D1077" s="21" t="s">
        <v>730</v>
      </c>
      <c r="E1077" s="22">
        <f>IF(D1077="?OLD","!!!","")</f>
        <v/>
      </c>
      <c r="F1077" s="23" t="str">
        <f>IF(OR(E1077="",E1077="!!!"),"",IF(NOT(ISNA(VLOOKUP(E1077,E$1:E1076,1,FALSE()))),"OLD",IF(AND(E1077&lt;&gt;"",E1077&lt;&gt;"!!!"),"NEW","")))</f>
        <v> </v>
      </c>
      <c r="G1077" s="24" t="str">
        <f>IF(OR(E1077="",E1077="!!!"),"",IF(OR(J1077=0,AND(J1077=1,K1077=1),AND(J1077=1,I1077="SBJ"),AND(J1077=1,I1077=0)),"?IN_FOCUS",IF(J1077&lt;=2,"?ACTIVATED",IF(J1077&lt;&gt;"","?FAMILIAR",IF(F1077="NEW",IF(ISNA(VLOOKUP(E1077,#REF!,1,FALSE())),"?TYPE_IDENTIFIABLE","?REFERENTIAL"),"_")))))</f>
        <v> </v>
      </c>
      <c r="H1077" s="25" t="str">
        <f>IF(J1077&lt;&gt;1,"",IF(I1077="SBJ","CB","?"))</f>
        <v> </v>
      </c>
      <c r="I1077" s="26" t="str">
        <f>IF(OR(E1077="",E1077="!!!",F1077="NEW"),"",INDEX(B1076:B$2,-1+SUMPRODUCT(MAX(ROW(E1076:E$2)*(E1077=E1076:E$2)))))</f>
        <v> </v>
      </c>
      <c r="J1077" s="26" t="str">
        <f>IF(OR(E1077="",E1077="!!!",F1077="NEW"),"",COUNTBLANK(OFFSET(A$1,,,SUMPRODUCT(MAX(ROW(E$2:E1077)*(E1077=E$2:E1077)))))-COUNTBLANK(OFFSET(A$1,,,SUMPRODUCT(MAX(ROW(E$1:E1076)*(E2=E$1:E1076))))))</f>
        <v> </v>
      </c>
      <c r="K1077" s="26" t="str">
        <f>IF(OR(E1077="",E1077="!!!",F1077="NEW"),"",INDEX(J$1:J1076,SUMPRODUCT(MAX(ROW(E$1:E1076)*(E1077=E$1:E1076)))))</f>
        <v> </v>
      </c>
      <c r="L1077" s="27"/>
    </row>
    <row r="1078" spans="1:12">
      <c r="A1078" s="20" t="s">
        <v>1145</v>
      </c>
      <c r="E1078" s="22">
        <f>IF(D1078="?OLD","!!!","")</f>
        <v/>
      </c>
      <c r="F1078" s="23" t="str">
        <f>IF(OR(E1078="",E1078="!!!"),"",IF(NOT(ISNA(VLOOKUP(E1078,E$1:E1077,1,FALSE()))),"OLD",IF(AND(E1078&lt;&gt;"",E1078&lt;&gt;"!!!"),"NEW","")))</f>
        <v> </v>
      </c>
      <c r="G1078" s="24" t="str">
        <f>IF(OR(E1078="",E1078="!!!"),"",IF(OR(J1078=0,AND(J1078=1,K1078=1),AND(J1078=1,I1078="SBJ"),AND(J1078=1,I1078=0)),"?IN_FOCUS",IF(J1078&lt;=2,"?ACTIVATED",IF(J1078&lt;&gt;"","?FAMILIAR",IF(F1078="NEW",IF(ISNA(VLOOKUP(E1078,#REF!,1,FALSE())),"?TYPE_IDENTIFIABLE","?REFERENTIAL"),"_")))))</f>
        <v> </v>
      </c>
      <c r="H1078" s="25" t="str">
        <f>IF(J1078&lt;&gt;1,"",IF(I1078="SBJ","CB","?"))</f>
        <v> </v>
      </c>
      <c r="I1078" s="26" t="str">
        <f>IF(OR(E1078="",E1078="!!!",F1078="NEW"),"",INDEX(B1077:B$2,-1+SUMPRODUCT(MAX(ROW(E1077:E$2)*(E1078=E1077:E$2)))))</f>
        <v> </v>
      </c>
      <c r="J1078" s="26" t="str">
        <f>IF(OR(E1078="",E1078="!!!",F1078="NEW"),"",COUNTBLANK(OFFSET(A$1,,,SUMPRODUCT(MAX(ROW(E$2:E1078)*(E1078=E$2:E1078)))))-COUNTBLANK(OFFSET(A$1,,,SUMPRODUCT(MAX(ROW(E$1:E1077)*(E2=E$1:E1077))))))</f>
        <v> </v>
      </c>
      <c r="K1078" s="26" t="str">
        <f>IF(OR(E1078="",E1078="!!!",F1078="NEW"),"",INDEX(J$1:J1077,SUMPRODUCT(MAX(ROW(E$1:E1077)*(E1078=E$1:E1077)))))</f>
        <v> </v>
      </c>
      <c r="L1078" s="27"/>
    </row>
    <row r="1079" spans="1:12">
      <c r="A1079" s="20" t="s">
        <v>1239</v>
      </c>
      <c r="E1079" s="22">
        <f>IF(D1079="?OLD","!!!","")</f>
        <v/>
      </c>
      <c r="F1079" s="23" t="str">
        <f>IF(OR(E1079="",E1079="!!!"),"",IF(NOT(ISNA(VLOOKUP(E1079,E$1:E1078,1,FALSE()))),"OLD",IF(AND(E1079&lt;&gt;"",E1079&lt;&gt;"!!!"),"NEW","")))</f>
        <v> </v>
      </c>
      <c r="G1079" s="24" t="str">
        <f>IF(OR(E1079="",E1079="!!!"),"",IF(OR(J1079=0,AND(J1079=1,K1079=1),AND(J1079=1,I1079="SBJ"),AND(J1079=1,I1079=0)),"?IN_FOCUS",IF(J1079&lt;=2,"?ACTIVATED",IF(J1079&lt;&gt;"","?FAMILIAR",IF(F1079="NEW",IF(ISNA(VLOOKUP(E1079,#REF!,1,FALSE())),"?TYPE_IDENTIFIABLE","?REFERENTIAL"),"_")))))</f>
        <v> </v>
      </c>
      <c r="H1079" s="25" t="str">
        <f>IF(J1079&lt;&gt;1,"",IF(I1079="SBJ","CB","?"))</f>
        <v> </v>
      </c>
      <c r="I1079" s="26" t="str">
        <f>IF(OR(E1079="",E1079="!!!",F1079="NEW"),"",INDEX(B1078:B$2,-1+SUMPRODUCT(MAX(ROW(E1078:E$2)*(E1079=E1078:E$2)))))</f>
        <v> </v>
      </c>
      <c r="J1079" s="26" t="str">
        <f>IF(OR(E1079="",E1079="!!!",F1079="NEW"),"",COUNTBLANK(OFFSET(A$1,,,SUMPRODUCT(MAX(ROW(E$2:E1079)*(E1079=E$2:E1079)))))-COUNTBLANK(OFFSET(A$1,,,SUMPRODUCT(MAX(ROW(E$1:E1078)*(E2=E$1:E1078))))))</f>
        <v> </v>
      </c>
      <c r="K1079" s="26" t="str">
        <f>IF(OR(E1079="",E1079="!!!",F1079="NEW"),"",INDEX(J$1:J1078,SUMPRODUCT(MAX(ROW(E$1:E1078)*(E1079=E$1:E1078)))))</f>
        <v> </v>
      </c>
      <c r="L1079" s="27"/>
    </row>
    <row r="1080" spans="1:12">
      <c r="A1080" s="20" t="s">
        <v>1240</v>
      </c>
      <c r="B1080" s="21" t="s">
        <v>739</v>
      </c>
      <c r="C1080" s="21" t="s">
        <v>748</v>
      </c>
      <c r="E1080" s="22">
        <f>IF(D1080="?OLD","!!!","")</f>
        <v/>
      </c>
      <c r="F1080" s="23" t="str">
        <f>IF(OR(E1080="",E1080="!!!"),"",IF(NOT(ISNA(VLOOKUP(E1080,E$1:E1079,1,FALSE()))),"OLD",IF(AND(E1080&lt;&gt;"",E1080&lt;&gt;"!!!"),"NEW","")))</f>
        <v> </v>
      </c>
      <c r="G1080" s="24" t="str">
        <f>IF(OR(E1080="",E1080="!!!"),"",IF(OR(J1080=0,AND(J1080=1,K1080=1),AND(J1080=1,I1080="SBJ"),AND(J1080=1,I1080=0)),"?IN_FOCUS",IF(J1080&lt;=2,"?ACTIVATED",IF(J1080&lt;&gt;"","?FAMILIAR",IF(F1080="NEW",IF(ISNA(VLOOKUP(E1080,#REF!,1,FALSE())),"?TYPE_IDENTIFIABLE","?REFERENTIAL"),"_")))))</f>
        <v> </v>
      </c>
      <c r="H1080" s="25" t="str">
        <f>IF(J1080&lt;&gt;1,"",IF(I1080="SBJ","CB","?"))</f>
        <v> </v>
      </c>
      <c r="I1080" s="26" t="str">
        <f>IF(OR(E1080="",E1080="!!!",F1080="NEW"),"",INDEX(B1079:B$2,-1+SUMPRODUCT(MAX(ROW(E1079:E$2)*(E1080=E1079:E$2)))))</f>
        <v> </v>
      </c>
      <c r="J1080" s="26" t="str">
        <f>IF(OR(E1080="",E1080="!!!",F1080="NEW"),"",COUNTBLANK(OFFSET(A$1,,,SUMPRODUCT(MAX(ROW(E$2:E1080)*(E1080=E$2:E1080)))))-COUNTBLANK(OFFSET(A$1,,,SUMPRODUCT(MAX(ROW(E$1:E1079)*(E2=E$1:E1079))))))</f>
        <v> </v>
      </c>
      <c r="K1080" s="26" t="str">
        <f>IF(OR(E1080="",E1080="!!!",F1080="NEW"),"",INDEX(J$1:J1079,SUMPRODUCT(MAX(ROW(E$1:E1079)*(E1080=E$1:E1079)))))</f>
        <v> </v>
      </c>
      <c r="L1080" s="27"/>
    </row>
    <row r="1081" spans="1:12">
      <c r="A1081" s="20" t="s">
        <v>246</v>
      </c>
      <c r="E1081" s="22">
        <f>IF(D1081="?OLD","!!!","")</f>
        <v/>
      </c>
      <c r="F1081" s="23" t="str">
        <f>IF(OR(E1081="",E1081="!!!"),"",IF(NOT(ISNA(VLOOKUP(E1081,E$1:E1080,1,FALSE()))),"OLD",IF(AND(E1081&lt;&gt;"",E1081&lt;&gt;"!!!"),"NEW","")))</f>
        <v> </v>
      </c>
      <c r="G1081" s="24" t="str">
        <f>IF(OR(E1081="",E1081="!!!"),"",IF(OR(J1081=0,AND(J1081=1,K1081=1),AND(J1081=1,I1081="SBJ"),AND(J1081=1,I1081=0)),"?IN_FOCUS",IF(J1081&lt;=2,"?ACTIVATED",IF(J1081&lt;&gt;"","?FAMILIAR",IF(F1081="NEW",IF(ISNA(VLOOKUP(E1081,#REF!,1,FALSE())),"?TYPE_IDENTIFIABLE","?REFERENTIAL"),"_")))))</f>
        <v> </v>
      </c>
      <c r="H1081" s="25" t="str">
        <f>IF(J1081&lt;&gt;1,"",IF(I1081="SBJ","CB","?"))</f>
        <v> </v>
      </c>
      <c r="I1081" s="26" t="str">
        <f>IF(OR(E1081="",E1081="!!!",F1081="NEW"),"",INDEX(B1080:B$2,-1+SUMPRODUCT(MAX(ROW(E1080:E$2)*(E1081=E1080:E$2)))))</f>
        <v> </v>
      </c>
      <c r="J1081" s="26" t="str">
        <f>IF(OR(E1081="",E1081="!!!",F1081="NEW"),"",COUNTBLANK(OFFSET(A$1,,,SUMPRODUCT(MAX(ROW(E$2:E1081)*(E1081=E$2:E1081)))))-COUNTBLANK(OFFSET(A$1,,,SUMPRODUCT(MAX(ROW(E$1:E1080)*(E2=E$1:E1080))))))</f>
        <v> </v>
      </c>
      <c r="K1081" s="26" t="str">
        <f>IF(OR(E1081="",E1081="!!!",F1081="NEW"),"",INDEX(J$1:J1080,SUMPRODUCT(MAX(ROW(E$1:E1080)*(E1081=E$1:E1080)))))</f>
        <v> </v>
      </c>
      <c r="L1081" s="27"/>
    </row>
    <row r="1082" spans="1:12">
      <c r="A1082" s="20"/>
    </row>
    <row r="1083" spans="1:12">
      <c r="A1083" s="20" t="s">
        <v>1241</v>
      </c>
    </row>
    <row r="1084" spans="1:12">
      <c r="A1084" s="20" t="s">
        <v>1186</v>
      </c>
      <c r="E1084" s="22">
        <f>IF(D1084="?OLD","!!!","")</f>
        <v/>
      </c>
      <c r="F1084" s="23" t="str">
        <f>IF(OR(E1084="",E1084="!!!"),"",IF(NOT(ISNA(VLOOKUP(E1084,E$1:E1083,1,FALSE()))),"OLD",IF(AND(E1084&lt;&gt;"",E1084&lt;&gt;"!!!"),"NEW","")))</f>
        <v> </v>
      </c>
      <c r="G1084" s="24" t="str">
        <f>IF(OR(E1084="",E1084="!!!"),"",IF(OR(J1084=0,AND(J1084=1,K1084=1),AND(J1084=1,I1084="SBJ"),AND(J1084=1,I1084=0)),"?IN_FOCUS",IF(J1084&lt;=2,"?ACTIVATED",IF(J1084&lt;&gt;"","?FAMILIAR",IF(F1084="NEW",IF(ISNA(VLOOKUP(E1084,#REF!,1,FALSE())),"?TYPE_IDENTIFIABLE","?REFERENTIAL"),"_")))))</f>
        <v> </v>
      </c>
      <c r="H1084" s="25" t="str">
        <f>IF(J1084&lt;&gt;1,"",IF(I1084="SBJ","CB","?"))</f>
        <v> </v>
      </c>
      <c r="I1084" s="26" t="str">
        <f>IF(OR(E1084="",E1084="!!!",F1084="NEW"),"",INDEX(B1083:B$2,-1+SUMPRODUCT(MAX(ROW(E1083:E$2)*(E1084=E1083:E$2)))))</f>
        <v> </v>
      </c>
      <c r="J1084" s="26" t="str">
        <f>IF(OR(E1084="",E1084="!!!",F1084="NEW"),"",COUNTBLANK(OFFSET(A$1,,,SUMPRODUCT(MAX(ROW(E$2:E1084)*(E1084=E$2:E1084)))))-COUNTBLANK(OFFSET(A$1,,,SUMPRODUCT(MAX(ROW(E$1:E1083)*(E2=E$1:E1083))))))</f>
        <v> </v>
      </c>
      <c r="K1084" s="26" t="str">
        <f>IF(OR(E1084="",E1084="!!!",F1084="NEW"),"",INDEX(J$1:J1083,SUMPRODUCT(MAX(ROW(E$1:E1083)*(E1084=E$1:E1083)))))</f>
        <v> </v>
      </c>
      <c r="L1084" s="27"/>
    </row>
    <row r="1085" spans="1:12">
      <c r="A1085" s="20" t="s">
        <v>1242</v>
      </c>
      <c r="B1085" s="21" t="s">
        <v>728</v>
      </c>
      <c r="C1085" s="21" t="s">
        <v>753</v>
      </c>
      <c r="D1085" s="21" t="s">
        <v>730</v>
      </c>
      <c r="E1085" s="22">
        <f>IF(D1085="?OLD","!!!","")</f>
        <v/>
      </c>
      <c r="F1085" s="23" t="str">
        <f>IF(OR(E1085="",E1085="!!!"),"",IF(NOT(ISNA(VLOOKUP(E1085,E$1:E1084,1,FALSE()))),"OLD",IF(AND(E1085&lt;&gt;"",E1085&lt;&gt;"!!!"),"NEW","")))</f>
        <v> </v>
      </c>
      <c r="G1085" s="24" t="str">
        <f>IF(OR(E1085="",E1085="!!!"),"",IF(OR(J1085=0,AND(J1085=1,K1085=1),AND(J1085=1,I1085="SBJ"),AND(J1085=1,I1085=0)),"?IN_FOCUS",IF(J1085&lt;=2,"?ACTIVATED",IF(J1085&lt;&gt;"","?FAMILIAR",IF(F1085="NEW",IF(ISNA(VLOOKUP(E1085,#REF!,1,FALSE())),"?TYPE_IDENTIFIABLE","?REFERENTIAL"),"_")))))</f>
        <v> </v>
      </c>
      <c r="H1085" s="25" t="str">
        <f>IF(J1085&lt;&gt;1,"",IF(I1085="SBJ","CB","?"))</f>
        <v> </v>
      </c>
      <c r="I1085" s="26" t="str">
        <f>IF(OR(E1085="",E1085="!!!",F1085="NEW"),"",INDEX(B1084:B$2,-1+SUMPRODUCT(MAX(ROW(E1084:E$2)*(E1085=E1084:E$2)))))</f>
        <v> </v>
      </c>
      <c r="J1085" s="26" t="str">
        <f>IF(OR(E1085="",E1085="!!!",F1085="NEW"),"",COUNTBLANK(OFFSET(A$1,,,SUMPRODUCT(MAX(ROW(E$2:E1085)*(E1085=E$2:E1085)))))-COUNTBLANK(OFFSET(A$1,,,SUMPRODUCT(MAX(ROW(E$1:E1084)*(E2=E$1:E1084))))))</f>
        <v> </v>
      </c>
      <c r="K1085" s="26" t="str">
        <f>IF(OR(E1085="",E1085="!!!",F1085="NEW"),"",INDEX(J$1:J1084,SUMPRODUCT(MAX(ROW(E$1:E1084)*(E1085=E$1:E1084)))))</f>
        <v> </v>
      </c>
      <c r="L1085" s="27"/>
    </row>
    <row r="1086" spans="1:12">
      <c r="A1086" s="20" t="s">
        <v>1243</v>
      </c>
      <c r="E1086" s="22">
        <f>IF(D1086="?OLD","!!!","")</f>
        <v/>
      </c>
      <c r="F1086" s="23" t="str">
        <f>IF(OR(E1086="",E1086="!!!"),"",IF(NOT(ISNA(VLOOKUP(E1086,E$1:E1085,1,FALSE()))),"OLD",IF(AND(E1086&lt;&gt;"",E1086&lt;&gt;"!!!"),"NEW","")))</f>
        <v> </v>
      </c>
      <c r="G1086" s="24" t="str">
        <f>IF(OR(E1086="",E1086="!!!"),"",IF(OR(J1086=0,AND(J1086=1,K1086=1),AND(J1086=1,I1086="SBJ"),AND(J1086=1,I1086=0)),"?IN_FOCUS",IF(J1086&lt;=2,"?ACTIVATED",IF(J1086&lt;&gt;"","?FAMILIAR",IF(F1086="NEW",IF(ISNA(VLOOKUP(E1086,#REF!,1,FALSE())),"?TYPE_IDENTIFIABLE","?REFERENTIAL"),"_")))))</f>
        <v> </v>
      </c>
      <c r="H1086" s="25" t="str">
        <f>IF(J1086&lt;&gt;1,"",IF(I1086="SBJ","CB","?"))</f>
        <v> </v>
      </c>
      <c r="I1086" s="26" t="str">
        <f>IF(OR(E1086="",E1086="!!!",F1086="NEW"),"",INDEX(B1085:B$2,-1+SUMPRODUCT(MAX(ROW(E1085:E$2)*(E1086=E1085:E$2)))))</f>
        <v> </v>
      </c>
      <c r="J1086" s="26" t="str">
        <f>IF(OR(E1086="",E1086="!!!",F1086="NEW"),"",COUNTBLANK(OFFSET(A$1,,,SUMPRODUCT(MAX(ROW(E$2:E1086)*(E1086=E$2:E1086)))))-COUNTBLANK(OFFSET(A$1,,,SUMPRODUCT(MAX(ROW(E$1:E1085)*(E2=E$1:E1085))))))</f>
        <v> </v>
      </c>
      <c r="K1086" s="26" t="str">
        <f>IF(OR(E1086="",E1086="!!!",F1086="NEW"),"",INDEX(J$1:J1085,SUMPRODUCT(MAX(ROW(E$1:E1085)*(E1086=E$1:E1085)))))</f>
        <v> </v>
      </c>
      <c r="L1086" s="27"/>
    </row>
    <row r="1087" spans="1:12">
      <c r="A1087" s="20" t="s">
        <v>887</v>
      </c>
      <c r="E1087" s="22">
        <f>IF(D1087="?OLD","!!!","")</f>
        <v/>
      </c>
      <c r="F1087" s="23" t="str">
        <f>IF(OR(E1087="",E1087="!!!"),"",IF(NOT(ISNA(VLOOKUP(E1087,E$1:E1086,1,FALSE()))),"OLD",IF(AND(E1087&lt;&gt;"",E1087&lt;&gt;"!!!"),"NEW","")))</f>
        <v> </v>
      </c>
      <c r="G1087" s="24" t="str">
        <f>IF(OR(E1087="",E1087="!!!"),"",IF(OR(J1087=0,AND(J1087=1,K1087=1),AND(J1087=1,I1087="SBJ"),AND(J1087=1,I1087=0)),"?IN_FOCUS",IF(J1087&lt;=2,"?ACTIVATED",IF(J1087&lt;&gt;"","?FAMILIAR",IF(F1087="NEW",IF(ISNA(VLOOKUP(E1087,#REF!,1,FALSE())),"?TYPE_IDENTIFIABLE","?REFERENTIAL"),"_")))))</f>
        <v> </v>
      </c>
      <c r="H1087" s="25" t="str">
        <f>IF(J1087&lt;&gt;1,"",IF(I1087="SBJ","CB","?"))</f>
        <v> </v>
      </c>
      <c r="I1087" s="26" t="str">
        <f>IF(OR(E1087="",E1087="!!!",F1087="NEW"),"",INDEX(B1086:B$2,-1+SUMPRODUCT(MAX(ROW(E1086:E$2)*(E1087=E1086:E$2)))))</f>
        <v> </v>
      </c>
      <c r="J1087" s="26" t="str">
        <f>IF(OR(E1087="",E1087="!!!",F1087="NEW"),"",COUNTBLANK(OFFSET(A$1,,,SUMPRODUCT(MAX(ROW(E$2:E1087)*(E1087=E$2:E1087)))))-COUNTBLANK(OFFSET(A$1,,,SUMPRODUCT(MAX(ROW(E$1:E1086)*(E2=E$1:E1086))))))</f>
        <v> </v>
      </c>
      <c r="K1087" s="26" t="str">
        <f>IF(OR(E1087="",E1087="!!!",F1087="NEW"),"",INDEX(J$1:J1086,SUMPRODUCT(MAX(ROW(E$1:E1086)*(E1087=E$1:E1086)))))</f>
        <v> </v>
      </c>
      <c r="L1087" s="27"/>
    </row>
    <row r="1088" spans="1:12">
      <c r="A1088" s="20" t="s">
        <v>1078</v>
      </c>
      <c r="E1088" s="22">
        <f>IF(D1088="?OLD","!!!","")</f>
        <v/>
      </c>
      <c r="F1088" s="23" t="str">
        <f>IF(OR(E1088="",E1088="!!!"),"",IF(NOT(ISNA(VLOOKUP(E1088,E$1:E1087,1,FALSE()))),"OLD",IF(AND(E1088&lt;&gt;"",E1088&lt;&gt;"!!!"),"NEW","")))</f>
        <v> </v>
      </c>
      <c r="G1088" s="24" t="str">
        <f>IF(OR(E1088="",E1088="!!!"),"",IF(OR(J1088=0,AND(J1088=1,K1088=1),AND(J1088=1,I1088="SBJ"),AND(J1088=1,I1088=0)),"?IN_FOCUS",IF(J1088&lt;=2,"?ACTIVATED",IF(J1088&lt;&gt;"","?FAMILIAR",IF(F1088="NEW",IF(ISNA(VLOOKUP(E1088,#REF!,1,FALSE())),"?TYPE_IDENTIFIABLE","?REFERENTIAL"),"_")))))</f>
        <v> </v>
      </c>
      <c r="H1088" s="25" t="str">
        <f>IF(J1088&lt;&gt;1,"",IF(I1088="SBJ","CB","?"))</f>
        <v> </v>
      </c>
      <c r="I1088" s="26" t="str">
        <f>IF(OR(E1088="",E1088="!!!",F1088="NEW"),"",INDEX(B1087:B$2,-1+SUMPRODUCT(MAX(ROW(E1087:E$2)*(E1088=E1087:E$2)))))</f>
        <v> </v>
      </c>
      <c r="J1088" s="26" t="str">
        <f>IF(OR(E1088="",E1088="!!!",F1088="NEW"),"",COUNTBLANK(OFFSET(A$1,,,SUMPRODUCT(MAX(ROW(E$2:E1088)*(E1088=E$2:E1088)))))-COUNTBLANK(OFFSET(A$1,,,SUMPRODUCT(MAX(ROW(E$1:E1087)*(E2=E$1:E1087))))))</f>
        <v> </v>
      </c>
      <c r="K1088" s="26" t="str">
        <f>IF(OR(E1088="",E1088="!!!",F1088="NEW"),"",INDEX(J$1:J1087,SUMPRODUCT(MAX(ROW(E$1:E1087)*(E1088=E$1:E1087)))))</f>
        <v> </v>
      </c>
      <c r="L1088" s="27"/>
    </row>
    <row r="1089" spans="1:12">
      <c r="A1089" s="20" t="s">
        <v>1244</v>
      </c>
      <c r="E1089" s="22">
        <f>IF(D1089="?OLD","!!!","")</f>
        <v/>
      </c>
      <c r="F1089" s="23" t="str">
        <f>IF(OR(E1089="",E1089="!!!"),"",IF(NOT(ISNA(VLOOKUP(E1089,E$1:E1088,1,FALSE()))),"OLD",IF(AND(E1089&lt;&gt;"",E1089&lt;&gt;"!!!"),"NEW","")))</f>
        <v> </v>
      </c>
      <c r="G1089" s="24" t="str">
        <f>IF(OR(E1089="",E1089="!!!"),"",IF(OR(J1089=0,AND(J1089=1,K1089=1),AND(J1089=1,I1089="SBJ"),AND(J1089=1,I1089=0)),"?IN_FOCUS",IF(J1089&lt;=2,"?ACTIVATED",IF(J1089&lt;&gt;"","?FAMILIAR",IF(F1089="NEW",IF(ISNA(VLOOKUP(E1089,#REF!,1,FALSE())),"?TYPE_IDENTIFIABLE","?REFERENTIAL"),"_")))))</f>
        <v> </v>
      </c>
      <c r="H1089" s="25" t="str">
        <f>IF(J1089&lt;&gt;1,"",IF(I1089="SBJ","CB","?"))</f>
        <v> </v>
      </c>
      <c r="I1089" s="26" t="str">
        <f>IF(OR(E1089="",E1089="!!!",F1089="NEW"),"",INDEX(B1088:B$2,-1+SUMPRODUCT(MAX(ROW(E1088:E$2)*(E1089=E1088:E$2)))))</f>
        <v> </v>
      </c>
      <c r="J1089" s="26" t="str">
        <f>IF(OR(E1089="",E1089="!!!",F1089="NEW"),"",COUNTBLANK(OFFSET(A$1,,,SUMPRODUCT(MAX(ROW(E$2:E1089)*(E1089=E$2:E1089)))))-COUNTBLANK(OFFSET(A$1,,,SUMPRODUCT(MAX(ROW(E$1:E1088)*(E2=E$1:E1088))))))</f>
        <v> </v>
      </c>
      <c r="K1089" s="26" t="str">
        <f>IF(OR(E1089="",E1089="!!!",F1089="NEW"),"",INDEX(J$1:J1088,SUMPRODUCT(MAX(ROW(E$1:E1088)*(E1089=E$1:E1088)))))</f>
        <v> </v>
      </c>
      <c r="L1089" s="27"/>
    </row>
    <row r="1090" spans="1:12">
      <c r="A1090" s="20" t="s">
        <v>759</v>
      </c>
      <c r="E1090" s="22">
        <f>IF(D1090="?OLD","!!!","")</f>
        <v/>
      </c>
      <c r="F1090" s="23" t="str">
        <f>IF(OR(E1090="",E1090="!!!"),"",IF(NOT(ISNA(VLOOKUP(E1090,E$1:E1089,1,FALSE()))),"OLD",IF(AND(E1090&lt;&gt;"",E1090&lt;&gt;"!!!"),"NEW","")))</f>
        <v> </v>
      </c>
      <c r="G1090" s="24" t="str">
        <f>IF(OR(E1090="",E1090="!!!"),"",IF(OR(J1090=0,AND(J1090=1,K1090=1),AND(J1090=1,I1090="SBJ"),AND(J1090=1,I1090=0)),"?IN_FOCUS",IF(J1090&lt;=2,"?ACTIVATED",IF(J1090&lt;&gt;"","?FAMILIAR",IF(F1090="NEW",IF(ISNA(VLOOKUP(E1090,#REF!,1,FALSE())),"?TYPE_IDENTIFIABLE","?REFERENTIAL"),"_")))))</f>
        <v> </v>
      </c>
      <c r="H1090" s="25" t="str">
        <f>IF(J1090&lt;&gt;1,"",IF(I1090="SBJ","CB","?"))</f>
        <v> </v>
      </c>
      <c r="I1090" s="26" t="str">
        <f>IF(OR(E1090="",E1090="!!!",F1090="NEW"),"",INDEX(B1089:B$2,-1+SUMPRODUCT(MAX(ROW(E1089:E$2)*(E1090=E1089:E$2)))))</f>
        <v> </v>
      </c>
      <c r="J1090" s="26" t="str">
        <f>IF(OR(E1090="",E1090="!!!",F1090="NEW"),"",COUNTBLANK(OFFSET(A$1,,,SUMPRODUCT(MAX(ROW(E$2:E1090)*(E1090=E$2:E1090)))))-COUNTBLANK(OFFSET(A$1,,,SUMPRODUCT(MAX(ROW(E$1:E1089)*(E2=E$1:E1089))))))</f>
        <v> </v>
      </c>
      <c r="K1090" s="26" t="str">
        <f>IF(OR(E1090="",E1090="!!!",F1090="NEW"),"",INDEX(J$1:J1089,SUMPRODUCT(MAX(ROW(E$1:E1089)*(E1090=E$1:E1089)))))</f>
        <v> </v>
      </c>
      <c r="L1090" s="27"/>
    </row>
    <row r="1091" spans="1:12">
      <c r="A1091" s="20" t="s">
        <v>952</v>
      </c>
      <c r="E1091" s="22">
        <f>IF(D1091="?OLD","!!!","")</f>
        <v/>
      </c>
      <c r="F1091" s="23" t="str">
        <f>IF(OR(E1091="",E1091="!!!"),"",IF(NOT(ISNA(VLOOKUP(E1091,E$1:E1090,1,FALSE()))),"OLD",IF(AND(E1091&lt;&gt;"",E1091&lt;&gt;"!!!"),"NEW","")))</f>
        <v> </v>
      </c>
      <c r="G1091" s="24" t="str">
        <f>IF(OR(E1091="",E1091="!!!"),"",IF(OR(J1091=0,AND(J1091=1,K1091=1),AND(J1091=1,I1091="SBJ"),AND(J1091=1,I1091=0)),"?IN_FOCUS",IF(J1091&lt;=2,"?ACTIVATED",IF(J1091&lt;&gt;"","?FAMILIAR",IF(F1091="NEW",IF(ISNA(VLOOKUP(E1091,#REF!,1,FALSE())),"?TYPE_IDENTIFIABLE","?REFERENTIAL"),"_")))))</f>
        <v> </v>
      </c>
      <c r="H1091" s="25" t="str">
        <f>IF(J1091&lt;&gt;1,"",IF(I1091="SBJ","CB","?"))</f>
        <v> </v>
      </c>
      <c r="I1091" s="26" t="str">
        <f>IF(OR(E1091="",E1091="!!!",F1091="NEW"),"",INDEX(B1090:B$2,-1+SUMPRODUCT(MAX(ROW(E1090:E$2)*(E1091=E1090:E$2)))))</f>
        <v> </v>
      </c>
      <c r="J1091" s="26" t="str">
        <f>IF(OR(E1091="",E1091="!!!",F1091="NEW"),"",COUNTBLANK(OFFSET(A$1,,,SUMPRODUCT(MAX(ROW(E$2:E1091)*(E1091=E$2:E1091)))))-COUNTBLANK(OFFSET(A$1,,,SUMPRODUCT(MAX(ROW(E$1:E1090)*(E2=E$1:E1090))))))</f>
        <v> </v>
      </c>
      <c r="K1091" s="26" t="str">
        <f>IF(OR(E1091="",E1091="!!!",F1091="NEW"),"",INDEX(J$1:J1090,SUMPRODUCT(MAX(ROW(E$1:E1090)*(E1091=E$1:E1090)))))</f>
        <v> </v>
      </c>
      <c r="L1091" s="27"/>
    </row>
    <row r="1092" spans="1:12">
      <c r="A1092" s="20" t="s">
        <v>1245</v>
      </c>
      <c r="B1092" s="21" t="s">
        <v>755</v>
      </c>
      <c r="C1092" s="21" t="s">
        <v>801</v>
      </c>
      <c r="D1092" s="21" t="s">
        <v>730</v>
      </c>
      <c r="E1092" s="22">
        <f>IF(D1092="?OLD","!!!","")</f>
        <v/>
      </c>
      <c r="F1092" s="23" t="str">
        <f>IF(OR(E1092="",E1092="!!!"),"",IF(NOT(ISNA(VLOOKUP(E1092,E$1:E1091,1,FALSE()))),"OLD",IF(AND(E1092&lt;&gt;"",E1092&lt;&gt;"!!!"),"NEW","")))</f>
        <v> </v>
      </c>
      <c r="G1092" s="24" t="str">
        <f>IF(OR(E1092="",E1092="!!!"),"",IF(OR(J1092=0,AND(J1092=1,K1092=1),AND(J1092=1,I1092="SBJ"),AND(J1092=1,I1092=0)),"?IN_FOCUS",IF(J1092&lt;=2,"?ACTIVATED",IF(J1092&lt;&gt;"","?FAMILIAR",IF(F1092="NEW",IF(ISNA(VLOOKUP(E1092,#REF!,1,FALSE())),"?TYPE_IDENTIFIABLE","?REFERENTIAL"),"_")))))</f>
        <v> </v>
      </c>
      <c r="H1092" s="25" t="str">
        <f>IF(J1092&lt;&gt;1,"",IF(I1092="SBJ","CB","?"))</f>
        <v> </v>
      </c>
      <c r="I1092" s="26" t="str">
        <f>IF(OR(E1092="",E1092="!!!",F1092="NEW"),"",INDEX(B1091:B$2,-1+SUMPRODUCT(MAX(ROW(E1091:E$2)*(E1092=E1091:E$2)))))</f>
        <v> </v>
      </c>
      <c r="J1092" s="26" t="str">
        <f>IF(OR(E1092="",E1092="!!!",F1092="NEW"),"",COUNTBLANK(OFFSET(A$1,,,SUMPRODUCT(MAX(ROW(E$2:E1092)*(E1092=E$2:E1092)))))-COUNTBLANK(OFFSET(A$1,,,SUMPRODUCT(MAX(ROW(E$1:E1091)*(E2=E$1:E1091))))))</f>
        <v> </v>
      </c>
      <c r="K1092" s="26" t="str">
        <f>IF(OR(E1092="",E1092="!!!",F1092="NEW"),"",INDEX(J$1:J1091,SUMPRODUCT(MAX(ROW(E$1:E1091)*(E1092=E$1:E1091)))))</f>
        <v> </v>
      </c>
      <c r="L1092" s="27"/>
    </row>
    <row r="1093" spans="1:12">
      <c r="A1093" s="20" t="s">
        <v>1246</v>
      </c>
      <c r="B1093" s="21" t="s">
        <v>796</v>
      </c>
      <c r="C1093" s="21" t="s">
        <v>802</v>
      </c>
      <c r="D1093" s="21" t="s">
        <v>730</v>
      </c>
      <c r="E1093" s="22">
        <f>IF(D1093="?OLD","!!!","")</f>
        <v/>
      </c>
      <c r="F1093" s="23" t="str">
        <f>IF(OR(E1093="",E1093="!!!"),"",IF(NOT(ISNA(VLOOKUP(E1093,E$1:E1092,1,FALSE()))),"OLD",IF(AND(E1093&lt;&gt;"",E1093&lt;&gt;"!!!"),"NEW","")))</f>
        <v> </v>
      </c>
      <c r="G1093" s="24" t="str">
        <f>IF(OR(E1093="",E1093="!!!"),"",IF(OR(J1093=0,AND(J1093=1,K1093=1),AND(J1093=1,I1093="SBJ"),AND(J1093=1,I1093=0)),"?IN_FOCUS",IF(J1093&lt;=2,"?ACTIVATED",IF(J1093&lt;&gt;"","?FAMILIAR",IF(F1093="NEW",IF(ISNA(VLOOKUP(E1093,#REF!,1,FALSE())),"?TYPE_IDENTIFIABLE","?REFERENTIAL"),"_")))))</f>
        <v> </v>
      </c>
      <c r="H1093" s="25" t="str">
        <f>IF(J1093&lt;&gt;1,"",IF(I1093="SBJ","CB","?"))</f>
        <v> </v>
      </c>
      <c r="I1093" s="26" t="str">
        <f>IF(OR(E1093="",E1093="!!!",F1093="NEW"),"",INDEX(B1092:B$2,-1+SUMPRODUCT(MAX(ROW(E1092:E$2)*(E1093=E1092:E$2)))))</f>
        <v> </v>
      </c>
      <c r="J1093" s="26" t="str">
        <f>IF(OR(E1093="",E1093="!!!",F1093="NEW"),"",COUNTBLANK(OFFSET(A$1,,,SUMPRODUCT(MAX(ROW(E$2:E1093)*(E1093=E$2:E1093)))))-COUNTBLANK(OFFSET(A$1,,,SUMPRODUCT(MAX(ROW(E$1:E1092)*(E2=E$1:E1092))))))</f>
        <v> </v>
      </c>
      <c r="K1093" s="26" t="str">
        <f>IF(OR(E1093="",E1093="!!!",F1093="NEW"),"",INDEX(J$1:J1092,SUMPRODUCT(MAX(ROW(E$1:E1092)*(E1093=E$1:E1092)))))</f>
        <v> </v>
      </c>
      <c r="L1093" s="27"/>
    </row>
    <row r="1094" spans="1:12">
      <c r="A1094" s="20" t="s">
        <v>1247</v>
      </c>
      <c r="E1094" s="22">
        <f>IF(D1094="?OLD","!!!","")</f>
        <v/>
      </c>
      <c r="F1094" s="23" t="str">
        <f>IF(OR(E1094="",E1094="!!!"),"",IF(NOT(ISNA(VLOOKUP(E1094,E$1:E1093,1,FALSE()))),"OLD",IF(AND(E1094&lt;&gt;"",E1094&lt;&gt;"!!!"),"NEW","")))</f>
        <v> </v>
      </c>
      <c r="G1094" s="24" t="str">
        <f>IF(OR(E1094="",E1094="!!!"),"",IF(OR(J1094=0,AND(J1094=1,K1094=1),AND(J1094=1,I1094="SBJ"),AND(J1094=1,I1094=0)),"?IN_FOCUS",IF(J1094&lt;=2,"?ACTIVATED",IF(J1094&lt;&gt;"","?FAMILIAR",IF(F1094="NEW",IF(ISNA(VLOOKUP(E1094,#REF!,1,FALSE())),"?TYPE_IDENTIFIABLE","?REFERENTIAL"),"_")))))</f>
        <v> </v>
      </c>
      <c r="H1094" s="25" t="str">
        <f>IF(J1094&lt;&gt;1,"",IF(I1094="SBJ","CB","?"))</f>
        <v> </v>
      </c>
      <c r="I1094" s="26" t="str">
        <f>IF(OR(E1094="",E1094="!!!",F1094="NEW"),"",INDEX(B1093:B$2,-1+SUMPRODUCT(MAX(ROW(E1093:E$2)*(E1094=E1093:E$2)))))</f>
        <v> </v>
      </c>
      <c r="J1094" s="26" t="str">
        <f>IF(OR(E1094="",E1094="!!!",F1094="NEW"),"",COUNTBLANK(OFFSET(A$1,,,SUMPRODUCT(MAX(ROW(E$2:E1094)*(E1094=E$2:E1094)))))-COUNTBLANK(OFFSET(A$1,,,SUMPRODUCT(MAX(ROW(E$1:E1093)*(E2=E$1:E1093))))))</f>
        <v> </v>
      </c>
      <c r="K1094" s="26" t="str">
        <f>IF(OR(E1094="",E1094="!!!",F1094="NEW"),"",INDEX(J$1:J1093,SUMPRODUCT(MAX(ROW(E$1:E1093)*(E1094=E$1:E1093)))))</f>
        <v> </v>
      </c>
      <c r="L1094" s="27"/>
    </row>
    <row r="1095" spans="1:12">
      <c r="A1095" s="20" t="s">
        <v>985</v>
      </c>
      <c r="E1095" s="22">
        <f>IF(D1095="?OLD","!!!","")</f>
        <v/>
      </c>
      <c r="F1095" s="23" t="str">
        <f>IF(OR(E1095="",E1095="!!!"),"",IF(NOT(ISNA(VLOOKUP(E1095,E$1:E1094,1,FALSE()))),"OLD",IF(AND(E1095&lt;&gt;"",E1095&lt;&gt;"!!!"),"NEW","")))</f>
        <v> </v>
      </c>
      <c r="G1095" s="24" t="str">
        <f>IF(OR(E1095="",E1095="!!!"),"",IF(OR(J1095=0,AND(J1095=1,K1095=1),AND(J1095=1,I1095="SBJ"),AND(J1095=1,I1095=0)),"?IN_FOCUS",IF(J1095&lt;=2,"?ACTIVATED",IF(J1095&lt;&gt;"","?FAMILIAR",IF(F1095="NEW",IF(ISNA(VLOOKUP(E1095,#REF!,1,FALSE())),"?TYPE_IDENTIFIABLE","?REFERENTIAL"),"_")))))</f>
        <v> </v>
      </c>
      <c r="H1095" s="25" t="str">
        <f>IF(J1095&lt;&gt;1,"",IF(I1095="SBJ","CB","?"))</f>
        <v> </v>
      </c>
      <c r="I1095" s="26" t="str">
        <f>IF(OR(E1095="",E1095="!!!",F1095="NEW"),"",INDEX(B1094:B$2,-1+SUMPRODUCT(MAX(ROW(E1094:E$2)*(E1095=E1094:E$2)))))</f>
        <v> </v>
      </c>
      <c r="J1095" s="26" t="str">
        <f>IF(OR(E1095="",E1095="!!!",F1095="NEW"),"",COUNTBLANK(OFFSET(A$1,,,SUMPRODUCT(MAX(ROW(E$2:E1095)*(E1095=E$2:E1095)))))-COUNTBLANK(OFFSET(A$1,,,SUMPRODUCT(MAX(ROW(E$1:E1094)*(E2=E$1:E1094))))))</f>
        <v> </v>
      </c>
      <c r="K1095" s="26" t="str">
        <f>IF(OR(E1095="",E1095="!!!",F1095="NEW"),"",INDEX(J$1:J1094,SUMPRODUCT(MAX(ROW(E$1:E1094)*(E1095=E$1:E1094)))))</f>
        <v> </v>
      </c>
      <c r="L1095" s="27"/>
    </row>
    <row r="1096" spans="1:12">
      <c r="A1096" s="20" t="s">
        <v>246</v>
      </c>
      <c r="E1096" s="22">
        <f>IF(D1096="?OLD","!!!","")</f>
        <v/>
      </c>
      <c r="F1096" s="23" t="str">
        <f>IF(OR(E1096="",E1096="!!!"),"",IF(NOT(ISNA(VLOOKUP(E1096,E$1:E1095,1,FALSE()))),"OLD",IF(AND(E1096&lt;&gt;"",E1096&lt;&gt;"!!!"),"NEW","")))</f>
        <v> </v>
      </c>
      <c r="G1096" s="24" t="str">
        <f>IF(OR(E1096="",E1096="!!!"),"",IF(OR(J1096=0,AND(J1096=1,K1096=1),AND(J1096=1,I1096="SBJ"),AND(J1096=1,I1096=0)),"?IN_FOCUS",IF(J1096&lt;=2,"?ACTIVATED",IF(J1096&lt;&gt;"","?FAMILIAR",IF(F1096="NEW",IF(ISNA(VLOOKUP(E1096,#REF!,1,FALSE())),"?TYPE_IDENTIFIABLE","?REFERENTIAL"),"_")))))</f>
        <v> </v>
      </c>
      <c r="H1096" s="25" t="str">
        <f>IF(J1096&lt;&gt;1,"",IF(I1096="SBJ","CB","?"))</f>
        <v> </v>
      </c>
      <c r="I1096" s="26" t="str">
        <f>IF(OR(E1096="",E1096="!!!",F1096="NEW"),"",INDEX(B1095:B$2,-1+SUMPRODUCT(MAX(ROW(E1095:E$2)*(E1096=E1095:E$2)))))</f>
        <v> </v>
      </c>
      <c r="J1096" s="26" t="str">
        <f>IF(OR(E1096="",E1096="!!!",F1096="NEW"),"",COUNTBLANK(OFFSET(A$1,,,SUMPRODUCT(MAX(ROW(E$2:E1096)*(E1096=E$2:E1096)))))-COUNTBLANK(OFFSET(A$1,,,SUMPRODUCT(MAX(ROW(E$1:E1095)*(E2=E$1:E1095))))))</f>
        <v> </v>
      </c>
      <c r="K1096" s="26" t="str">
        <f>IF(OR(E1096="",E1096="!!!",F1096="NEW"),"",INDEX(J$1:J1095,SUMPRODUCT(MAX(ROW(E$1:E1095)*(E1096=E$1:E1095)))))</f>
        <v> </v>
      </c>
      <c r="L1096" s="27"/>
    </row>
    <row r="1097" spans="1:12">
      <c r="A1097" s="20"/>
    </row>
    <row r="1098" spans="1:12">
      <c r="A1098" s="20" t="s">
        <v>1248</v>
      </c>
    </row>
    <row r="1099" spans="1:12">
      <c r="A1099" s="20" t="s">
        <v>768</v>
      </c>
      <c r="E1099" s="22">
        <f>IF(D1099="?OLD","!!!","")</f>
        <v/>
      </c>
      <c r="F1099" s="23" t="str">
        <f>IF(OR(E1099="",E1099="!!!"),"",IF(NOT(ISNA(VLOOKUP(E1099,E$1:E1098,1,FALSE()))),"OLD",IF(AND(E1099&lt;&gt;"",E1099&lt;&gt;"!!!"),"NEW","")))</f>
        <v> </v>
      </c>
      <c r="G1099" s="24" t="str">
        <f>IF(OR(E1099="",E1099="!!!"),"",IF(OR(J1099=0,AND(J1099=1,K1099=1),AND(J1099=1,I1099="SBJ"),AND(J1099=1,I1099=0)),"?IN_FOCUS",IF(J1099&lt;=2,"?ACTIVATED",IF(J1099&lt;&gt;"","?FAMILIAR",IF(F1099="NEW",IF(ISNA(VLOOKUP(E1099,#REF!,1,FALSE())),"?TYPE_IDENTIFIABLE","?REFERENTIAL"),"_")))))</f>
        <v> </v>
      </c>
      <c r="H1099" s="25" t="str">
        <f>IF(J1099&lt;&gt;1,"",IF(I1099="SBJ","CB","?"))</f>
        <v> </v>
      </c>
      <c r="I1099" s="26" t="str">
        <f>IF(OR(E1099="",E1099="!!!",F1099="NEW"),"",INDEX(B1098:B$2,-1+SUMPRODUCT(MAX(ROW(E1098:E$2)*(E1099=E1098:E$2)))))</f>
        <v> </v>
      </c>
      <c r="J1099" s="26" t="str">
        <f>IF(OR(E1099="",E1099="!!!",F1099="NEW"),"",COUNTBLANK(OFFSET(A$1,,,SUMPRODUCT(MAX(ROW(E$2:E1099)*(E1099=E$2:E1099)))))-COUNTBLANK(OFFSET(A$1,,,SUMPRODUCT(MAX(ROW(E$1:E1098)*(E2=E$1:E1098))))))</f>
        <v> </v>
      </c>
      <c r="K1099" s="26" t="str">
        <f>IF(OR(E1099="",E1099="!!!",F1099="NEW"),"",INDEX(J$1:J1098,SUMPRODUCT(MAX(ROW(E$1:E1098)*(E1099=E$1:E1098)))))</f>
        <v> </v>
      </c>
      <c r="L1099" s="27"/>
    </row>
    <row r="1100" spans="1:12">
      <c r="A1100" s="20" t="s">
        <v>899</v>
      </c>
      <c r="B1100" s="21" t="s">
        <v>728</v>
      </c>
      <c r="C1100" s="21" t="s">
        <v>729</v>
      </c>
      <c r="D1100" s="21" t="s">
        <v>730</v>
      </c>
      <c r="E1100" s="22">
        <f>IF(D1100="?OLD","!!!","")</f>
        <v/>
      </c>
      <c r="F1100" s="23" t="str">
        <f>IF(OR(E1100="",E1100="!!!"),"",IF(NOT(ISNA(VLOOKUP(E1100,E$1:E1099,1,FALSE()))),"OLD",IF(AND(E1100&lt;&gt;"",E1100&lt;&gt;"!!!"),"NEW","")))</f>
        <v> </v>
      </c>
      <c r="G1100" s="24" t="str">
        <f>IF(OR(E1100="",E1100="!!!"),"",IF(OR(J1100=0,AND(J1100=1,K1100=1),AND(J1100=1,I1100="SBJ"),AND(J1100=1,I1100=0)),"?IN_FOCUS",IF(J1100&lt;=2,"?ACTIVATED",IF(J1100&lt;&gt;"","?FAMILIAR",IF(F1100="NEW",IF(ISNA(VLOOKUP(E1100,#REF!,1,FALSE())),"?TYPE_IDENTIFIABLE","?REFERENTIAL"),"_")))))</f>
        <v> </v>
      </c>
      <c r="H1100" s="25" t="str">
        <f>IF(J1100&lt;&gt;1,"",IF(I1100="SBJ","CB","?"))</f>
        <v> </v>
      </c>
      <c r="I1100" s="26" t="str">
        <f>IF(OR(E1100="",E1100="!!!",F1100="NEW"),"",INDEX(B1099:B$2,-1+SUMPRODUCT(MAX(ROW(E1099:E$2)*(E1100=E1099:E$2)))))</f>
        <v> </v>
      </c>
      <c r="J1100" s="26" t="str">
        <f>IF(OR(E1100="",E1100="!!!",F1100="NEW"),"",COUNTBLANK(OFFSET(A$1,,,SUMPRODUCT(MAX(ROW(E$2:E1100)*(E1100=E$2:E1100)))))-COUNTBLANK(OFFSET(A$1,,,SUMPRODUCT(MAX(ROW(E$1:E1099)*(E2=E$1:E1099))))))</f>
        <v> </v>
      </c>
      <c r="K1100" s="26" t="str">
        <f>IF(OR(E1100="",E1100="!!!",F1100="NEW"),"",INDEX(J$1:J1099,SUMPRODUCT(MAX(ROW(E$1:E1099)*(E1100=E$1:E1099)))))</f>
        <v> </v>
      </c>
      <c r="L1100" s="27"/>
    </row>
    <row r="1101" spans="1:12">
      <c r="A1101" s="20" t="s">
        <v>1249</v>
      </c>
      <c r="E1101" s="22">
        <f>IF(D1101="?OLD","!!!","")</f>
        <v/>
      </c>
      <c r="F1101" s="23" t="str">
        <f>IF(OR(E1101="",E1101="!!!"),"",IF(NOT(ISNA(VLOOKUP(E1101,E$1:E1100,1,FALSE()))),"OLD",IF(AND(E1101&lt;&gt;"",E1101&lt;&gt;"!!!"),"NEW","")))</f>
        <v> </v>
      </c>
      <c r="G1101" s="24" t="str">
        <f>IF(OR(E1101="",E1101="!!!"),"",IF(OR(J1101=0,AND(J1101=1,K1101=1),AND(J1101=1,I1101="SBJ"),AND(J1101=1,I1101=0)),"?IN_FOCUS",IF(J1101&lt;=2,"?ACTIVATED",IF(J1101&lt;&gt;"","?FAMILIAR",IF(F1101="NEW",IF(ISNA(VLOOKUP(E1101,#REF!,1,FALSE())),"?TYPE_IDENTIFIABLE","?REFERENTIAL"),"_")))))</f>
        <v> </v>
      </c>
      <c r="H1101" s="25" t="str">
        <f>IF(J1101&lt;&gt;1,"",IF(I1101="SBJ","CB","?"))</f>
        <v> </v>
      </c>
      <c r="I1101" s="26" t="str">
        <f>IF(OR(E1101="",E1101="!!!",F1101="NEW"),"",INDEX(B1100:B$2,-1+SUMPRODUCT(MAX(ROW(E1100:E$2)*(E1101=E1100:E$2)))))</f>
        <v> </v>
      </c>
      <c r="J1101" s="26" t="str">
        <f>IF(OR(E1101="",E1101="!!!",F1101="NEW"),"",COUNTBLANK(OFFSET(A$1,,,SUMPRODUCT(MAX(ROW(E$2:E1101)*(E1101=E$2:E1101)))))-COUNTBLANK(OFFSET(A$1,,,SUMPRODUCT(MAX(ROW(E$1:E1100)*(E2=E$1:E1100))))))</f>
        <v> </v>
      </c>
      <c r="K1101" s="26" t="str">
        <f>IF(OR(E1101="",E1101="!!!",F1101="NEW"),"",INDEX(J$1:J1100,SUMPRODUCT(MAX(ROW(E$1:E1100)*(E1101=E$1:E1100)))))</f>
        <v> </v>
      </c>
      <c r="L1101" s="27"/>
    </row>
    <row r="1102" spans="1:12">
      <c r="A1102" s="20" t="s">
        <v>246</v>
      </c>
      <c r="E1102" s="22">
        <f>IF(D1102="?OLD","!!!","")</f>
        <v/>
      </c>
      <c r="F1102" s="23" t="str">
        <f>IF(OR(E1102="",E1102="!!!"),"",IF(NOT(ISNA(VLOOKUP(E1102,E$1:E1101,1,FALSE()))),"OLD",IF(AND(E1102&lt;&gt;"",E1102&lt;&gt;"!!!"),"NEW","")))</f>
        <v> </v>
      </c>
      <c r="G1102" s="24" t="str">
        <f>IF(OR(E1102="",E1102="!!!"),"",IF(OR(J1102=0,AND(J1102=1,K1102=1),AND(J1102=1,I1102="SBJ"),AND(J1102=1,I1102=0)),"?IN_FOCUS",IF(J1102&lt;=2,"?ACTIVATED",IF(J1102&lt;&gt;"","?FAMILIAR",IF(F1102="NEW",IF(ISNA(VLOOKUP(E1102,#REF!,1,FALSE())),"?TYPE_IDENTIFIABLE","?REFERENTIAL"),"_")))))</f>
        <v> </v>
      </c>
      <c r="H1102" s="25" t="str">
        <f>IF(J1102&lt;&gt;1,"",IF(I1102="SBJ","CB","?"))</f>
        <v> </v>
      </c>
      <c r="I1102" s="26" t="str">
        <f>IF(OR(E1102="",E1102="!!!",F1102="NEW"),"",INDEX(B1101:B$2,-1+SUMPRODUCT(MAX(ROW(E1101:E$2)*(E1102=E1101:E$2)))))</f>
        <v> </v>
      </c>
      <c r="J1102" s="26" t="str">
        <f>IF(OR(E1102="",E1102="!!!",F1102="NEW"),"",COUNTBLANK(OFFSET(A$1,,,SUMPRODUCT(MAX(ROW(E$2:E1102)*(E1102=E$2:E1102)))))-COUNTBLANK(OFFSET(A$1,,,SUMPRODUCT(MAX(ROW(E$1:E1101)*(E2=E$1:E1101))))))</f>
        <v> </v>
      </c>
      <c r="K1102" s="26" t="str">
        <f>IF(OR(E1102="",E1102="!!!",F1102="NEW"),"",INDEX(J$1:J1101,SUMPRODUCT(MAX(ROW(E$1:E1101)*(E1102=E$1:E1101)))))</f>
        <v> </v>
      </c>
      <c r="L1102" s="27"/>
    </row>
    <row r="1103" spans="1:12">
      <c r="A1103" s="20"/>
    </row>
    <row r="1104" spans="1:12">
      <c r="A1104" s="20" t="s">
        <v>1250</v>
      </c>
    </row>
    <row r="1105" spans="1:12">
      <c r="A1105" s="20" t="s">
        <v>1251</v>
      </c>
      <c r="E1105" s="22">
        <f>IF(D1105="?OLD","!!!","")</f>
        <v/>
      </c>
      <c r="F1105" s="23" t="str">
        <f>IF(OR(E1105="",E1105="!!!"),"",IF(NOT(ISNA(VLOOKUP(E1105,E$1:E1104,1,FALSE()))),"OLD",IF(AND(E1105&lt;&gt;"",E1105&lt;&gt;"!!!"),"NEW","")))</f>
        <v> </v>
      </c>
      <c r="G1105" s="24" t="str">
        <f>IF(OR(E1105="",E1105="!!!"),"",IF(OR(J1105=0,AND(J1105=1,K1105=1),AND(J1105=1,I1105="SBJ"),AND(J1105=1,I1105=0)),"?IN_FOCUS",IF(J1105&lt;=2,"?ACTIVATED",IF(J1105&lt;&gt;"","?FAMILIAR",IF(F1105="NEW",IF(ISNA(VLOOKUP(E1105,#REF!,1,FALSE())),"?TYPE_IDENTIFIABLE","?REFERENTIAL"),"_")))))</f>
        <v> </v>
      </c>
      <c r="H1105" s="25" t="str">
        <f>IF(J1105&lt;&gt;1,"",IF(I1105="SBJ","CB","?"))</f>
        <v> </v>
      </c>
      <c r="I1105" s="26" t="str">
        <f>IF(OR(E1105="",E1105="!!!",F1105="NEW"),"",INDEX(B1104:B$2,-1+SUMPRODUCT(MAX(ROW(E1104:E$2)*(E1105=E1104:E$2)))))</f>
        <v> </v>
      </c>
      <c r="J1105" s="26" t="str">
        <f>IF(OR(E1105="",E1105="!!!",F1105="NEW"),"",COUNTBLANK(OFFSET(A$1,,,SUMPRODUCT(MAX(ROW(E$2:E1105)*(E1105=E$2:E1105)))))-COUNTBLANK(OFFSET(A$1,,,SUMPRODUCT(MAX(ROW(E$1:E1104)*(E2=E$1:E1104))))))</f>
        <v> </v>
      </c>
      <c r="K1105" s="26" t="str">
        <f>IF(OR(E1105="",E1105="!!!",F1105="NEW"),"",INDEX(J$1:J1104,SUMPRODUCT(MAX(ROW(E$1:E1104)*(E1105=E$1:E1104)))))</f>
        <v> </v>
      </c>
      <c r="L1105" s="27"/>
    </row>
    <row r="1106" spans="1:12">
      <c r="A1106" s="20" t="s">
        <v>1252</v>
      </c>
      <c r="E1106" s="22">
        <f>IF(D1106="?OLD","!!!","")</f>
        <v/>
      </c>
      <c r="F1106" s="23" t="str">
        <f>IF(OR(E1106="",E1106="!!!"),"",IF(NOT(ISNA(VLOOKUP(E1106,E$1:E1105,1,FALSE()))),"OLD",IF(AND(E1106&lt;&gt;"",E1106&lt;&gt;"!!!"),"NEW","")))</f>
        <v> </v>
      </c>
      <c r="G1106" s="24" t="str">
        <f>IF(OR(E1106="",E1106="!!!"),"",IF(OR(J1106=0,AND(J1106=1,K1106=1),AND(J1106=1,I1106="SBJ"),AND(J1106=1,I1106=0)),"?IN_FOCUS",IF(J1106&lt;=2,"?ACTIVATED",IF(J1106&lt;&gt;"","?FAMILIAR",IF(F1106="NEW",IF(ISNA(VLOOKUP(E1106,#REF!,1,FALSE())),"?TYPE_IDENTIFIABLE","?REFERENTIAL"),"_")))))</f>
        <v> </v>
      </c>
      <c r="H1106" s="25" t="str">
        <f>IF(J1106&lt;&gt;1,"",IF(I1106="SBJ","CB","?"))</f>
        <v> </v>
      </c>
      <c r="I1106" s="26" t="str">
        <f>IF(OR(E1106="",E1106="!!!",F1106="NEW"),"",INDEX(B1105:B$2,-1+SUMPRODUCT(MAX(ROW(E1105:E$2)*(E1106=E1105:E$2)))))</f>
        <v> </v>
      </c>
      <c r="J1106" s="26" t="str">
        <f>IF(OR(E1106="",E1106="!!!",F1106="NEW"),"",COUNTBLANK(OFFSET(A$1,,,SUMPRODUCT(MAX(ROW(E$2:E1106)*(E1106=E$2:E1106)))))-COUNTBLANK(OFFSET(A$1,,,SUMPRODUCT(MAX(ROW(E$1:E1105)*(E2=E$1:E1105))))))</f>
        <v> </v>
      </c>
      <c r="K1106" s="26" t="str">
        <f>IF(OR(E1106="",E1106="!!!",F1106="NEW"),"",INDEX(J$1:J1105,SUMPRODUCT(MAX(ROW(E$1:E1105)*(E1106=E$1:E1105)))))</f>
        <v> </v>
      </c>
      <c r="L1106" s="27"/>
    </row>
    <row r="1107" spans="1:12">
      <c r="A1107" s="20" t="s">
        <v>859</v>
      </c>
      <c r="B1107" s="21" t="s">
        <v>728</v>
      </c>
      <c r="C1107" s="21" t="s">
        <v>789</v>
      </c>
      <c r="D1107" s="21" t="s">
        <v>730</v>
      </c>
      <c r="E1107" s="22">
        <f>IF(D1107="?OLD","!!!","")</f>
        <v/>
      </c>
      <c r="F1107" s="23" t="str">
        <f>IF(OR(E1107="",E1107="!!!"),"",IF(NOT(ISNA(VLOOKUP(E1107,E$1:E1106,1,FALSE()))),"OLD",IF(AND(E1107&lt;&gt;"",E1107&lt;&gt;"!!!"),"NEW","")))</f>
        <v> </v>
      </c>
      <c r="G1107" s="24" t="str">
        <f>IF(OR(E1107="",E1107="!!!"),"",IF(OR(J1107=0,AND(J1107=1,K1107=1),AND(J1107=1,I1107="SBJ"),AND(J1107=1,I1107=0)),"?IN_FOCUS",IF(J1107&lt;=2,"?ACTIVATED",IF(J1107&lt;&gt;"","?FAMILIAR",IF(F1107="NEW",IF(ISNA(VLOOKUP(E1107,#REF!,1,FALSE())),"?TYPE_IDENTIFIABLE","?REFERENTIAL"),"_")))))</f>
        <v> </v>
      </c>
      <c r="H1107" s="25" t="str">
        <f>IF(J1107&lt;&gt;1,"",IF(I1107="SBJ","CB","?"))</f>
        <v> </v>
      </c>
      <c r="I1107" s="26" t="str">
        <f>IF(OR(E1107="",E1107="!!!",F1107="NEW"),"",INDEX(B1106:B$2,-1+SUMPRODUCT(MAX(ROW(E1106:E$2)*(E1107=E1106:E$2)))))</f>
        <v> </v>
      </c>
      <c r="J1107" s="26" t="str">
        <f>IF(OR(E1107="",E1107="!!!",F1107="NEW"),"",COUNTBLANK(OFFSET(A$1,,,SUMPRODUCT(MAX(ROW(E$2:E1107)*(E1107=E$2:E1107)))))-COUNTBLANK(OFFSET(A$1,,,SUMPRODUCT(MAX(ROW(E$1:E1106)*(E2=E$1:E1106))))))</f>
        <v> </v>
      </c>
      <c r="K1107" s="26" t="str">
        <f>IF(OR(E1107="",E1107="!!!",F1107="NEW"),"",INDEX(J$1:J1106,SUMPRODUCT(MAX(ROW(E$1:E1106)*(E1107=E$1:E1106)))))</f>
        <v> </v>
      </c>
      <c r="L1107" s="27"/>
    </row>
    <row r="1108" spans="1:12">
      <c r="A1108" s="20" t="s">
        <v>965</v>
      </c>
      <c r="B1108" s="21" t="s">
        <v>764</v>
      </c>
      <c r="C1108" s="21" t="s">
        <v>756</v>
      </c>
      <c r="E1108" s="22">
        <f>IF(D1108="?OLD","!!!","")</f>
        <v/>
      </c>
      <c r="F1108" s="23" t="str">
        <f>IF(OR(E1108="",E1108="!!!"),"",IF(NOT(ISNA(VLOOKUP(E1108,E$1:E1107,1,FALSE()))),"OLD",IF(AND(E1108&lt;&gt;"",E1108&lt;&gt;"!!!"),"NEW","")))</f>
        <v> </v>
      </c>
      <c r="G1108" s="24" t="str">
        <f>IF(OR(E1108="",E1108="!!!"),"",IF(OR(J1108=0,AND(J1108=1,K1108=1),AND(J1108=1,I1108="SBJ"),AND(J1108=1,I1108=0)),"?IN_FOCUS",IF(J1108&lt;=2,"?ACTIVATED",IF(J1108&lt;&gt;"","?FAMILIAR",IF(F1108="NEW",IF(ISNA(VLOOKUP(E1108,#REF!,1,FALSE())),"?TYPE_IDENTIFIABLE","?REFERENTIAL"),"_")))))</f>
        <v> </v>
      </c>
      <c r="H1108" s="25" t="str">
        <f>IF(J1108&lt;&gt;1,"",IF(I1108="SBJ","CB","?"))</f>
        <v> </v>
      </c>
      <c r="I1108" s="26" t="str">
        <f>IF(OR(E1108="",E1108="!!!",F1108="NEW"),"",INDEX(B1107:B$2,-1+SUMPRODUCT(MAX(ROW(E1107:E$2)*(E1108=E1107:E$2)))))</f>
        <v> </v>
      </c>
      <c r="J1108" s="26" t="str">
        <f>IF(OR(E1108="",E1108="!!!",F1108="NEW"),"",COUNTBLANK(OFFSET(A$1,,,SUMPRODUCT(MAX(ROW(E$2:E1108)*(E1108=E$2:E1108)))))-COUNTBLANK(OFFSET(A$1,,,SUMPRODUCT(MAX(ROW(E$1:E1107)*(E2=E$1:E1107))))))</f>
        <v> </v>
      </c>
      <c r="K1108" s="26" t="str">
        <f>IF(OR(E1108="",E1108="!!!",F1108="NEW"),"",INDEX(J$1:J1107,SUMPRODUCT(MAX(ROW(E$1:E1107)*(E1108=E$1:E1107)))))</f>
        <v> </v>
      </c>
      <c r="L1108" s="27"/>
    </row>
    <row r="1109" spans="1:12">
      <c r="A1109" s="20" t="s">
        <v>1218</v>
      </c>
      <c r="B1109" s="21" t="s">
        <v>728</v>
      </c>
      <c r="C1109" s="21" t="s">
        <v>748</v>
      </c>
      <c r="E1109" s="22">
        <f>IF(D1109="?OLD","!!!","")</f>
        <v/>
      </c>
      <c r="F1109" s="23" t="str">
        <f>IF(OR(E1109="",E1109="!!!"),"",IF(NOT(ISNA(VLOOKUP(E1109,E$1:E1108,1,FALSE()))),"OLD",IF(AND(E1109&lt;&gt;"",E1109&lt;&gt;"!!!"),"NEW","")))</f>
        <v> </v>
      </c>
      <c r="G1109" s="24" t="str">
        <f>IF(OR(E1109="",E1109="!!!"),"",IF(OR(J1109=0,AND(J1109=1,K1109=1),AND(J1109=1,I1109="SBJ"),AND(J1109=1,I1109=0)),"?IN_FOCUS",IF(J1109&lt;=2,"?ACTIVATED",IF(J1109&lt;&gt;"","?FAMILIAR",IF(F1109="NEW",IF(ISNA(VLOOKUP(E1109,#REF!,1,FALSE())),"?TYPE_IDENTIFIABLE","?REFERENTIAL"),"_")))))</f>
        <v> </v>
      </c>
      <c r="H1109" s="25" t="str">
        <f>IF(J1109&lt;&gt;1,"",IF(I1109="SBJ","CB","?"))</f>
        <v> </v>
      </c>
      <c r="I1109" s="26" t="str">
        <f>IF(OR(E1109="",E1109="!!!",F1109="NEW"),"",INDEX(B1108:B$2,-1+SUMPRODUCT(MAX(ROW(E1108:E$2)*(E1109=E1108:E$2)))))</f>
        <v> </v>
      </c>
      <c r="J1109" s="26" t="str">
        <f>IF(OR(E1109="",E1109="!!!",F1109="NEW"),"",COUNTBLANK(OFFSET(A$1,,,SUMPRODUCT(MAX(ROW(E$2:E1109)*(E1109=E$2:E1109)))))-COUNTBLANK(OFFSET(A$1,,,SUMPRODUCT(MAX(ROW(E$1:E1108)*(E2=E$1:E1108))))))</f>
        <v> </v>
      </c>
      <c r="K1109" s="26" t="str">
        <f>IF(OR(E1109="",E1109="!!!",F1109="NEW"),"",INDEX(J$1:J1108,SUMPRODUCT(MAX(ROW(E$1:E1108)*(E1109=E$1:E1108)))))</f>
        <v> </v>
      </c>
      <c r="L1109" s="27"/>
    </row>
    <row r="1110" spans="1:12">
      <c r="A1110" s="20" t="s">
        <v>1253</v>
      </c>
      <c r="E1110" s="22">
        <f>IF(D1110="?OLD","!!!","")</f>
        <v/>
      </c>
      <c r="F1110" s="23" t="str">
        <f>IF(OR(E1110="",E1110="!!!"),"",IF(NOT(ISNA(VLOOKUP(E1110,E$1:E1109,1,FALSE()))),"OLD",IF(AND(E1110&lt;&gt;"",E1110&lt;&gt;"!!!"),"NEW","")))</f>
        <v> </v>
      </c>
      <c r="G1110" s="24" t="str">
        <f>IF(OR(E1110="",E1110="!!!"),"",IF(OR(J1110=0,AND(J1110=1,K1110=1),AND(J1110=1,I1110="SBJ"),AND(J1110=1,I1110=0)),"?IN_FOCUS",IF(J1110&lt;=2,"?ACTIVATED",IF(J1110&lt;&gt;"","?FAMILIAR",IF(F1110="NEW",IF(ISNA(VLOOKUP(E1110,#REF!,1,FALSE())),"?TYPE_IDENTIFIABLE","?REFERENTIAL"),"_")))))</f>
        <v> </v>
      </c>
      <c r="H1110" s="25" t="str">
        <f>IF(J1110&lt;&gt;1,"",IF(I1110="SBJ","CB","?"))</f>
        <v> </v>
      </c>
      <c r="I1110" s="26" t="str">
        <f>IF(OR(E1110="",E1110="!!!",F1110="NEW"),"",INDEX(B1109:B$2,-1+SUMPRODUCT(MAX(ROW(E1109:E$2)*(E1110=E1109:E$2)))))</f>
        <v> </v>
      </c>
      <c r="J1110" s="26" t="str">
        <f>IF(OR(E1110="",E1110="!!!",F1110="NEW"),"",COUNTBLANK(OFFSET(A$1,,,SUMPRODUCT(MAX(ROW(E$2:E1110)*(E1110=E$2:E1110)))))-COUNTBLANK(OFFSET(A$1,,,SUMPRODUCT(MAX(ROW(E$1:E1109)*(E2=E$1:E1109))))))</f>
        <v> </v>
      </c>
      <c r="K1110" s="26" t="str">
        <f>IF(OR(E1110="",E1110="!!!",F1110="NEW"),"",INDEX(J$1:J1109,SUMPRODUCT(MAX(ROW(E$1:E1109)*(E1110=E$1:E1109)))))</f>
        <v> </v>
      </c>
      <c r="L1110" s="27"/>
    </row>
    <row r="1111" spans="1:12">
      <c r="A1111" s="20" t="s">
        <v>246</v>
      </c>
      <c r="E1111" s="22">
        <f>IF(D1111="?OLD","!!!","")</f>
        <v/>
      </c>
      <c r="F1111" s="23" t="str">
        <f>IF(OR(E1111="",E1111="!!!"),"",IF(NOT(ISNA(VLOOKUP(E1111,E$1:E1110,1,FALSE()))),"OLD",IF(AND(E1111&lt;&gt;"",E1111&lt;&gt;"!!!"),"NEW","")))</f>
        <v> </v>
      </c>
      <c r="G1111" s="24" t="str">
        <f>IF(OR(E1111="",E1111="!!!"),"",IF(OR(J1111=0,AND(J1111=1,K1111=1),AND(J1111=1,I1111="SBJ"),AND(J1111=1,I1111=0)),"?IN_FOCUS",IF(J1111&lt;=2,"?ACTIVATED",IF(J1111&lt;&gt;"","?FAMILIAR",IF(F1111="NEW",IF(ISNA(VLOOKUP(E1111,#REF!,1,FALSE())),"?TYPE_IDENTIFIABLE","?REFERENTIAL"),"_")))))</f>
        <v> </v>
      </c>
      <c r="H1111" s="25" t="str">
        <f>IF(J1111&lt;&gt;1,"",IF(I1111="SBJ","CB","?"))</f>
        <v> </v>
      </c>
      <c r="I1111" s="26" t="str">
        <f>IF(OR(E1111="",E1111="!!!",F1111="NEW"),"",INDEX(B1110:B$2,-1+SUMPRODUCT(MAX(ROW(E1110:E$2)*(E1111=E1110:E$2)))))</f>
        <v> </v>
      </c>
      <c r="J1111" s="26" t="str">
        <f>IF(OR(E1111="",E1111="!!!",F1111="NEW"),"",COUNTBLANK(OFFSET(A$1,,,SUMPRODUCT(MAX(ROW(E$2:E1111)*(E1111=E$2:E1111)))))-COUNTBLANK(OFFSET(A$1,,,SUMPRODUCT(MAX(ROW(E$1:E1110)*(E2=E$1:E1110))))))</f>
        <v> </v>
      </c>
      <c r="K1111" s="26" t="str">
        <f>IF(OR(E1111="",E1111="!!!",F1111="NEW"),"",INDEX(J$1:J1110,SUMPRODUCT(MAX(ROW(E$1:E1110)*(E1111=E$1:E1110)))))</f>
        <v> </v>
      </c>
      <c r="L1111" s="27"/>
    </row>
    <row r="1112" spans="1:12">
      <c r="A1112" s="20"/>
    </row>
    <row r="1113" spans="1:12">
      <c r="A1113" s="20" t="s">
        <v>1254</v>
      </c>
    </row>
    <row r="1114" spans="1:12">
      <c r="A1114" s="20" t="s">
        <v>768</v>
      </c>
      <c r="E1114" s="22">
        <f>IF(D1114="?OLD","!!!","")</f>
        <v/>
      </c>
      <c r="F1114" s="23" t="str">
        <f>IF(OR(E1114="",E1114="!!!"),"",IF(NOT(ISNA(VLOOKUP(E1114,E$1:E1113,1,FALSE()))),"OLD",IF(AND(E1114&lt;&gt;"",E1114&lt;&gt;"!!!"),"NEW","")))</f>
        <v> </v>
      </c>
      <c r="G1114" s="24" t="str">
        <f>IF(OR(E1114="",E1114="!!!"),"",IF(OR(J1114=0,AND(J1114=1,K1114=1),AND(J1114=1,I1114="SBJ"),AND(J1114=1,I1114=0)),"?IN_FOCUS",IF(J1114&lt;=2,"?ACTIVATED",IF(J1114&lt;&gt;"","?FAMILIAR",IF(F1114="NEW",IF(ISNA(VLOOKUP(E1114,#REF!,1,FALSE())),"?TYPE_IDENTIFIABLE","?REFERENTIAL"),"_")))))</f>
        <v> </v>
      </c>
      <c r="H1114" s="25" t="str">
        <f>IF(J1114&lt;&gt;1,"",IF(I1114="SBJ","CB","?"))</f>
        <v> </v>
      </c>
      <c r="I1114" s="26" t="str">
        <f>IF(OR(E1114="",E1114="!!!",F1114="NEW"),"",INDEX(B1113:B$2,-1+SUMPRODUCT(MAX(ROW(E1113:E$2)*(E1114=E1113:E$2)))))</f>
        <v> </v>
      </c>
      <c r="J1114" s="26" t="str">
        <f>IF(OR(E1114="",E1114="!!!",F1114="NEW"),"",COUNTBLANK(OFFSET(A$1,,,SUMPRODUCT(MAX(ROW(E$2:E1114)*(E1114=E$2:E1114)))))-COUNTBLANK(OFFSET(A$1,,,SUMPRODUCT(MAX(ROW(E$1:E1113)*(E2=E$1:E1113))))))</f>
        <v> </v>
      </c>
      <c r="K1114" s="26" t="str">
        <f>IF(OR(E1114="",E1114="!!!",F1114="NEW"),"",INDEX(J$1:J1113,SUMPRODUCT(MAX(ROW(E$1:E1113)*(E1114=E$1:E1113)))))</f>
        <v> </v>
      </c>
      <c r="L1114" s="27"/>
    </row>
    <row r="1115" spans="1:12">
      <c r="A1115" s="20" t="s">
        <v>813</v>
      </c>
      <c r="E1115" s="22">
        <f>IF(D1115="?OLD","!!!","")</f>
        <v/>
      </c>
      <c r="F1115" s="23" t="str">
        <f>IF(OR(E1115="",E1115="!!!"),"",IF(NOT(ISNA(VLOOKUP(E1115,E$1:E1114,1,FALSE()))),"OLD",IF(AND(E1115&lt;&gt;"",E1115&lt;&gt;"!!!"),"NEW","")))</f>
        <v> </v>
      </c>
      <c r="G1115" s="24" t="str">
        <f>IF(OR(E1115="",E1115="!!!"),"",IF(OR(J1115=0,AND(J1115=1,K1115=1),AND(J1115=1,I1115="SBJ"),AND(J1115=1,I1115=0)),"?IN_FOCUS",IF(J1115&lt;=2,"?ACTIVATED",IF(J1115&lt;&gt;"","?FAMILIAR",IF(F1115="NEW",IF(ISNA(VLOOKUP(E1115,#REF!,1,FALSE())),"?TYPE_IDENTIFIABLE","?REFERENTIAL"),"_")))))</f>
        <v> </v>
      </c>
      <c r="H1115" s="25" t="str">
        <f>IF(J1115&lt;&gt;1,"",IF(I1115="SBJ","CB","?"))</f>
        <v> </v>
      </c>
      <c r="I1115" s="26" t="str">
        <f>IF(OR(E1115="",E1115="!!!",F1115="NEW"),"",INDEX(B1114:B$2,-1+SUMPRODUCT(MAX(ROW(E1114:E$2)*(E1115=E1114:E$2)))))</f>
        <v> </v>
      </c>
      <c r="J1115" s="26" t="str">
        <f>IF(OR(E1115="",E1115="!!!",F1115="NEW"),"",COUNTBLANK(OFFSET(A$1,,,SUMPRODUCT(MAX(ROW(E$2:E1115)*(E1115=E$2:E1115)))))-COUNTBLANK(OFFSET(A$1,,,SUMPRODUCT(MAX(ROW(E$1:E1114)*(E2=E$1:E1114))))))</f>
        <v> </v>
      </c>
      <c r="K1115" s="26" t="str">
        <f>IF(OR(E1115="",E1115="!!!",F1115="NEW"),"",INDEX(J$1:J1114,SUMPRODUCT(MAX(ROW(E$1:E1114)*(E1115=E$1:E1114)))))</f>
        <v> </v>
      </c>
      <c r="L1115" s="27"/>
    </row>
    <row r="1116" spans="1:12">
      <c r="A1116" s="20" t="s">
        <v>1255</v>
      </c>
      <c r="B1116" s="21" t="s">
        <v>728</v>
      </c>
      <c r="C1116" s="21" t="s">
        <v>753</v>
      </c>
      <c r="D1116" s="21" t="s">
        <v>730</v>
      </c>
      <c r="E1116" s="22">
        <f>IF(D1116="?OLD","!!!","")</f>
        <v/>
      </c>
      <c r="F1116" s="23" t="str">
        <f>IF(OR(E1116="",E1116="!!!"),"",IF(NOT(ISNA(VLOOKUP(E1116,E$1:E1115,1,FALSE()))),"OLD",IF(AND(E1116&lt;&gt;"",E1116&lt;&gt;"!!!"),"NEW","")))</f>
        <v> </v>
      </c>
      <c r="G1116" s="24" t="str">
        <f>IF(OR(E1116="",E1116="!!!"),"",IF(OR(J1116=0,AND(J1116=1,K1116=1),AND(J1116=1,I1116="SBJ"),AND(J1116=1,I1116=0)),"?IN_FOCUS",IF(J1116&lt;=2,"?ACTIVATED",IF(J1116&lt;&gt;"","?FAMILIAR",IF(F1116="NEW",IF(ISNA(VLOOKUP(E1116,#REF!,1,FALSE())),"?TYPE_IDENTIFIABLE","?REFERENTIAL"),"_")))))</f>
        <v> </v>
      </c>
      <c r="H1116" s="25" t="str">
        <f>IF(J1116&lt;&gt;1,"",IF(I1116="SBJ","CB","?"))</f>
        <v> </v>
      </c>
      <c r="I1116" s="26" t="str">
        <f>IF(OR(E1116="",E1116="!!!",F1116="NEW"),"",INDEX(B1115:B$2,-1+SUMPRODUCT(MAX(ROW(E1115:E$2)*(E1116=E1115:E$2)))))</f>
        <v> </v>
      </c>
      <c r="J1116" s="26" t="str">
        <f>IF(OR(E1116="",E1116="!!!",F1116="NEW"),"",COUNTBLANK(OFFSET(A$1,,,SUMPRODUCT(MAX(ROW(E$2:E1116)*(E1116=E$2:E1116)))))-COUNTBLANK(OFFSET(A$1,,,SUMPRODUCT(MAX(ROW(E$1:E1115)*(E2=E$1:E1115))))))</f>
        <v> </v>
      </c>
      <c r="K1116" s="26" t="str">
        <f>IF(OR(E1116="",E1116="!!!",F1116="NEW"),"",INDEX(J$1:J1115,SUMPRODUCT(MAX(ROW(E$1:E1115)*(E1116=E$1:E1115)))))</f>
        <v> </v>
      </c>
      <c r="L1116" s="27"/>
    </row>
    <row r="1117" spans="1:12">
      <c r="A1117" s="20" t="s">
        <v>773</v>
      </c>
      <c r="E1117" s="22">
        <f>IF(D1117="?OLD","!!!","")</f>
        <v/>
      </c>
      <c r="F1117" s="23" t="str">
        <f>IF(OR(E1117="",E1117="!!!"),"",IF(NOT(ISNA(VLOOKUP(E1117,E$1:E1116,1,FALSE()))),"OLD",IF(AND(E1117&lt;&gt;"",E1117&lt;&gt;"!!!"),"NEW","")))</f>
        <v> </v>
      </c>
      <c r="G1117" s="24" t="str">
        <f>IF(OR(E1117="",E1117="!!!"),"",IF(OR(J1117=0,AND(J1117=1,K1117=1),AND(J1117=1,I1117="SBJ"),AND(J1117=1,I1117=0)),"?IN_FOCUS",IF(J1117&lt;=2,"?ACTIVATED",IF(J1117&lt;&gt;"","?FAMILIAR",IF(F1117="NEW",IF(ISNA(VLOOKUP(E1117,#REF!,1,FALSE())),"?TYPE_IDENTIFIABLE","?REFERENTIAL"),"_")))))</f>
        <v> </v>
      </c>
      <c r="H1117" s="25" t="str">
        <f>IF(J1117&lt;&gt;1,"",IF(I1117="SBJ","CB","?"))</f>
        <v> </v>
      </c>
      <c r="I1117" s="26" t="str">
        <f>IF(OR(E1117="",E1117="!!!",F1117="NEW"),"",INDEX(B1116:B$2,-1+SUMPRODUCT(MAX(ROW(E1116:E$2)*(E1117=E1116:E$2)))))</f>
        <v> </v>
      </c>
      <c r="J1117" s="26" t="str">
        <f>IF(OR(E1117="",E1117="!!!",F1117="NEW"),"",COUNTBLANK(OFFSET(A$1,,,SUMPRODUCT(MAX(ROW(E$2:E1117)*(E1117=E$2:E1117)))))-COUNTBLANK(OFFSET(A$1,,,SUMPRODUCT(MAX(ROW(E$1:E1116)*(E2=E$1:E1116))))))</f>
        <v> </v>
      </c>
      <c r="K1117" s="26" t="str">
        <f>IF(OR(E1117="",E1117="!!!",F1117="NEW"),"",INDEX(J$1:J1116,SUMPRODUCT(MAX(ROW(E$1:E1116)*(E1117=E$1:E1116)))))</f>
        <v> </v>
      </c>
      <c r="L1117" s="27"/>
    </row>
    <row r="1118" spans="1:12">
      <c r="A1118" s="20" t="s">
        <v>751</v>
      </c>
      <c r="E1118" s="22">
        <f>IF(D1118="?OLD","!!!","")</f>
        <v/>
      </c>
      <c r="F1118" s="23" t="str">
        <f>IF(OR(E1118="",E1118="!!!"),"",IF(NOT(ISNA(VLOOKUP(E1118,E$1:E1117,1,FALSE()))),"OLD",IF(AND(E1118&lt;&gt;"",E1118&lt;&gt;"!!!"),"NEW","")))</f>
        <v> </v>
      </c>
      <c r="G1118" s="24" t="str">
        <f>IF(OR(E1118="",E1118="!!!"),"",IF(OR(J1118=0,AND(J1118=1,K1118=1),AND(J1118=1,I1118="SBJ"),AND(J1118=1,I1118=0)),"?IN_FOCUS",IF(J1118&lt;=2,"?ACTIVATED",IF(J1118&lt;&gt;"","?FAMILIAR",IF(F1118="NEW",IF(ISNA(VLOOKUP(E1118,#REF!,1,FALSE())),"?TYPE_IDENTIFIABLE","?REFERENTIAL"),"_")))))</f>
        <v> </v>
      </c>
      <c r="H1118" s="25" t="str">
        <f>IF(J1118&lt;&gt;1,"",IF(I1118="SBJ","CB","?"))</f>
        <v> </v>
      </c>
      <c r="I1118" s="26" t="str">
        <f>IF(OR(E1118="",E1118="!!!",F1118="NEW"),"",INDEX(B1117:B$2,-1+SUMPRODUCT(MAX(ROW(E1117:E$2)*(E1118=E1117:E$2)))))</f>
        <v> </v>
      </c>
      <c r="J1118" s="26" t="str">
        <f>IF(OR(E1118="",E1118="!!!",F1118="NEW"),"",COUNTBLANK(OFFSET(A$1,,,SUMPRODUCT(MAX(ROW(E$2:E1118)*(E1118=E$2:E1118)))))-COUNTBLANK(OFFSET(A$1,,,SUMPRODUCT(MAX(ROW(E$1:E1117)*(E2=E$1:E1117))))))</f>
        <v> </v>
      </c>
      <c r="K1118" s="26" t="str">
        <f>IF(OR(E1118="",E1118="!!!",F1118="NEW"),"",INDEX(J$1:J1117,SUMPRODUCT(MAX(ROW(E$1:E1117)*(E1118=E$1:E1117)))))</f>
        <v> </v>
      </c>
      <c r="L1118" s="27"/>
    </row>
    <row r="1119" spans="1:12">
      <c r="A1119" s="20" t="s">
        <v>1198</v>
      </c>
      <c r="B1119" s="21" t="s">
        <v>739</v>
      </c>
      <c r="C1119" s="21" t="s">
        <v>753</v>
      </c>
      <c r="D1119" s="21" t="s">
        <v>730</v>
      </c>
      <c r="E1119" s="22">
        <f>IF(D1119="?OLD","!!!","")</f>
        <v/>
      </c>
      <c r="F1119" s="23" t="str">
        <f>IF(OR(E1119="",E1119="!!!"),"",IF(NOT(ISNA(VLOOKUP(E1119,E$1:E1118,1,FALSE()))),"OLD",IF(AND(E1119&lt;&gt;"",E1119&lt;&gt;"!!!"),"NEW","")))</f>
        <v> </v>
      </c>
      <c r="G1119" s="24" t="str">
        <f>IF(OR(E1119="",E1119="!!!"),"",IF(OR(J1119=0,AND(J1119=1,K1119=1),AND(J1119=1,I1119="SBJ"),AND(J1119=1,I1119=0)),"?IN_FOCUS",IF(J1119&lt;=2,"?ACTIVATED",IF(J1119&lt;&gt;"","?FAMILIAR",IF(F1119="NEW",IF(ISNA(VLOOKUP(E1119,#REF!,1,FALSE())),"?TYPE_IDENTIFIABLE","?REFERENTIAL"),"_")))))</f>
        <v> </v>
      </c>
      <c r="H1119" s="25" t="str">
        <f>IF(J1119&lt;&gt;1,"",IF(I1119="SBJ","CB","?"))</f>
        <v> </v>
      </c>
      <c r="I1119" s="26" t="str">
        <f>IF(OR(E1119="",E1119="!!!",F1119="NEW"),"",INDEX(B1118:B$2,-1+SUMPRODUCT(MAX(ROW(E1118:E$2)*(E1119=E1118:E$2)))))</f>
        <v> </v>
      </c>
      <c r="J1119" s="26" t="str">
        <f>IF(OR(E1119="",E1119="!!!",F1119="NEW"),"",COUNTBLANK(OFFSET(A$1,,,SUMPRODUCT(MAX(ROW(E$2:E1119)*(E1119=E$2:E1119)))))-COUNTBLANK(OFFSET(A$1,,,SUMPRODUCT(MAX(ROW(E$1:E1118)*(E2=E$1:E1118))))))</f>
        <v> </v>
      </c>
      <c r="K1119" s="26" t="str">
        <f>IF(OR(E1119="",E1119="!!!",F1119="NEW"),"",INDEX(J$1:J1118,SUMPRODUCT(MAX(ROW(E$1:E1118)*(E1119=E$1:E1118)))))</f>
        <v> </v>
      </c>
      <c r="L1119" s="27"/>
    </row>
    <row r="1120" spans="1:12">
      <c r="A1120" s="20" t="s">
        <v>811</v>
      </c>
      <c r="E1120" s="22">
        <f>IF(D1120="?OLD","!!!","")</f>
        <v/>
      </c>
      <c r="F1120" s="23" t="str">
        <f>IF(OR(E1120="",E1120="!!!"),"",IF(NOT(ISNA(VLOOKUP(E1120,E$1:E1119,1,FALSE()))),"OLD",IF(AND(E1120&lt;&gt;"",E1120&lt;&gt;"!!!"),"NEW","")))</f>
        <v> </v>
      </c>
      <c r="G1120" s="24" t="str">
        <f>IF(OR(E1120="",E1120="!!!"),"",IF(OR(J1120=0,AND(J1120=1,K1120=1),AND(J1120=1,I1120="SBJ"),AND(J1120=1,I1120=0)),"?IN_FOCUS",IF(J1120&lt;=2,"?ACTIVATED",IF(J1120&lt;&gt;"","?FAMILIAR",IF(F1120="NEW",IF(ISNA(VLOOKUP(E1120,#REF!,1,FALSE())),"?TYPE_IDENTIFIABLE","?REFERENTIAL"),"_")))))</f>
        <v> </v>
      </c>
      <c r="H1120" s="25" t="str">
        <f>IF(J1120&lt;&gt;1,"",IF(I1120="SBJ","CB","?"))</f>
        <v> </v>
      </c>
      <c r="I1120" s="26" t="str">
        <f>IF(OR(E1120="",E1120="!!!",F1120="NEW"),"",INDEX(B1119:B$2,-1+SUMPRODUCT(MAX(ROW(E1119:E$2)*(E1120=E1119:E$2)))))</f>
        <v> </v>
      </c>
      <c r="J1120" s="26" t="str">
        <f>IF(OR(E1120="",E1120="!!!",F1120="NEW"),"",COUNTBLANK(OFFSET(A$1,,,SUMPRODUCT(MAX(ROW(E$2:E1120)*(E1120=E$2:E1120)))))-COUNTBLANK(OFFSET(A$1,,,SUMPRODUCT(MAX(ROW(E$1:E1119)*(E2=E$1:E1119))))))</f>
        <v> </v>
      </c>
      <c r="K1120" s="26" t="str">
        <f>IF(OR(E1120="",E1120="!!!",F1120="NEW"),"",INDEX(J$1:J1119,SUMPRODUCT(MAX(ROW(E$1:E1119)*(E1120=E$1:E1119)))))</f>
        <v> </v>
      </c>
      <c r="L1120" s="27"/>
    </row>
    <row r="1121" spans="1:12">
      <c r="A1121" s="20" t="s">
        <v>1256</v>
      </c>
      <c r="E1121" s="22">
        <f>IF(D1121="?OLD","!!!","")</f>
        <v/>
      </c>
      <c r="F1121" s="23" t="str">
        <f>IF(OR(E1121="",E1121="!!!"),"",IF(NOT(ISNA(VLOOKUP(E1121,E$1:E1120,1,FALSE()))),"OLD",IF(AND(E1121&lt;&gt;"",E1121&lt;&gt;"!!!"),"NEW","")))</f>
        <v> </v>
      </c>
      <c r="G1121" s="24" t="str">
        <f>IF(OR(E1121="",E1121="!!!"),"",IF(OR(J1121=0,AND(J1121=1,K1121=1),AND(J1121=1,I1121="SBJ"),AND(J1121=1,I1121=0)),"?IN_FOCUS",IF(J1121&lt;=2,"?ACTIVATED",IF(J1121&lt;&gt;"","?FAMILIAR",IF(F1121="NEW",IF(ISNA(VLOOKUP(E1121,#REF!,1,FALSE())),"?TYPE_IDENTIFIABLE","?REFERENTIAL"),"_")))))</f>
        <v> </v>
      </c>
      <c r="H1121" s="25" t="str">
        <f>IF(J1121&lt;&gt;1,"",IF(I1121="SBJ","CB","?"))</f>
        <v> </v>
      </c>
      <c r="I1121" s="26" t="str">
        <f>IF(OR(E1121="",E1121="!!!",F1121="NEW"),"",INDEX(B1120:B$2,-1+SUMPRODUCT(MAX(ROW(E1120:E$2)*(E1121=E1120:E$2)))))</f>
        <v> </v>
      </c>
      <c r="J1121" s="26" t="str">
        <f>IF(OR(E1121="",E1121="!!!",F1121="NEW"),"",COUNTBLANK(OFFSET(A$1,,,SUMPRODUCT(MAX(ROW(E$2:E1121)*(E1121=E$2:E1121)))))-COUNTBLANK(OFFSET(A$1,,,SUMPRODUCT(MAX(ROW(E$1:E1120)*(E2=E$1:E1120))))))</f>
        <v> </v>
      </c>
      <c r="K1121" s="26" t="str">
        <f>IF(OR(E1121="",E1121="!!!",F1121="NEW"),"",INDEX(J$1:J1120,SUMPRODUCT(MAX(ROW(E$1:E1120)*(E1121=E$1:E1120)))))</f>
        <v> </v>
      </c>
      <c r="L1121" s="27"/>
    </row>
    <row r="1122" spans="1:12">
      <c r="A1122" s="20" t="s">
        <v>246</v>
      </c>
      <c r="E1122" s="22">
        <f>IF(D1122="?OLD","!!!","")</f>
        <v/>
      </c>
      <c r="F1122" s="23" t="str">
        <f>IF(OR(E1122="",E1122="!!!"),"",IF(NOT(ISNA(VLOOKUP(E1122,E$1:E1121,1,FALSE()))),"OLD",IF(AND(E1122&lt;&gt;"",E1122&lt;&gt;"!!!"),"NEW","")))</f>
        <v> </v>
      </c>
      <c r="G1122" s="24" t="str">
        <f>IF(OR(E1122="",E1122="!!!"),"",IF(OR(J1122=0,AND(J1122=1,K1122=1),AND(J1122=1,I1122="SBJ"),AND(J1122=1,I1122=0)),"?IN_FOCUS",IF(J1122&lt;=2,"?ACTIVATED",IF(J1122&lt;&gt;"","?FAMILIAR",IF(F1122="NEW",IF(ISNA(VLOOKUP(E1122,#REF!,1,FALSE())),"?TYPE_IDENTIFIABLE","?REFERENTIAL"),"_")))))</f>
        <v> </v>
      </c>
      <c r="H1122" s="25" t="str">
        <f>IF(J1122&lt;&gt;1,"",IF(I1122="SBJ","CB","?"))</f>
        <v> </v>
      </c>
      <c r="I1122" s="26" t="str">
        <f>IF(OR(E1122="",E1122="!!!",F1122="NEW"),"",INDEX(B1121:B$2,-1+SUMPRODUCT(MAX(ROW(E1121:E$2)*(E1122=E1121:E$2)))))</f>
        <v> </v>
      </c>
      <c r="J1122" s="26" t="str">
        <f>IF(OR(E1122="",E1122="!!!",F1122="NEW"),"",COUNTBLANK(OFFSET(A$1,,,SUMPRODUCT(MAX(ROW(E$2:E1122)*(E1122=E$2:E1122)))))-COUNTBLANK(OFFSET(A$1,,,SUMPRODUCT(MAX(ROW(E$1:E1121)*(E2=E$1:E1121))))))</f>
        <v> </v>
      </c>
      <c r="K1122" s="26" t="str">
        <f>IF(OR(E1122="",E1122="!!!",F1122="NEW"),"",INDEX(J$1:J1121,SUMPRODUCT(MAX(ROW(E$1:E1121)*(E1122=E$1:E1121)))))</f>
        <v> </v>
      </c>
      <c r="L1122" s="27"/>
    </row>
    <row r="1123" spans="1:12">
      <c r="A1123" s="20"/>
    </row>
    <row r="1124" spans="1:12">
      <c r="A1124" s="20" t="s">
        <v>1257</v>
      </c>
    </row>
    <row r="1125" spans="1:12">
      <c r="A1125" s="20" t="s">
        <v>1258</v>
      </c>
      <c r="E1125" s="22">
        <f>IF(D1125="?OLD","!!!","")</f>
        <v/>
      </c>
      <c r="F1125" s="23" t="str">
        <f>IF(OR(E1125="",E1125="!!!"),"",IF(NOT(ISNA(VLOOKUP(E1125,E$1:E1124,1,FALSE()))),"OLD",IF(AND(E1125&lt;&gt;"",E1125&lt;&gt;"!!!"),"NEW","")))</f>
        <v> </v>
      </c>
      <c r="G1125" s="24" t="str">
        <f>IF(OR(E1125="",E1125="!!!"),"",IF(OR(J1125=0,AND(J1125=1,K1125=1),AND(J1125=1,I1125="SBJ"),AND(J1125=1,I1125=0)),"?IN_FOCUS",IF(J1125&lt;=2,"?ACTIVATED",IF(J1125&lt;&gt;"","?FAMILIAR",IF(F1125="NEW",IF(ISNA(VLOOKUP(E1125,#REF!,1,FALSE())),"?TYPE_IDENTIFIABLE","?REFERENTIAL"),"_")))))</f>
        <v> </v>
      </c>
      <c r="H1125" s="25" t="str">
        <f>IF(J1125&lt;&gt;1,"",IF(I1125="SBJ","CB","?"))</f>
        <v> </v>
      </c>
      <c r="I1125" s="26" t="str">
        <f>IF(OR(E1125="",E1125="!!!",F1125="NEW"),"",INDEX(B1124:B$2,-1+SUMPRODUCT(MAX(ROW(E1124:E$2)*(E1125=E1124:E$2)))))</f>
        <v> </v>
      </c>
      <c r="J1125" s="26" t="str">
        <f>IF(OR(E1125="",E1125="!!!",F1125="NEW"),"",COUNTBLANK(OFFSET(A$1,,,SUMPRODUCT(MAX(ROW(E$2:E1125)*(E1125=E$2:E1125)))))-COUNTBLANK(OFFSET(A$1,,,SUMPRODUCT(MAX(ROW(E$1:E1124)*(E2=E$1:E1124))))))</f>
        <v> </v>
      </c>
      <c r="K1125" s="26" t="str">
        <f>IF(OR(E1125="",E1125="!!!",F1125="NEW"),"",INDEX(J$1:J1124,SUMPRODUCT(MAX(ROW(E$1:E1124)*(E1125=E$1:E1124)))))</f>
        <v> </v>
      </c>
      <c r="L1125" s="27"/>
    </row>
    <row r="1126" spans="1:12">
      <c r="A1126" s="20" t="s">
        <v>440</v>
      </c>
      <c r="E1126" s="22">
        <f>IF(D1126="?OLD","!!!","")</f>
        <v/>
      </c>
      <c r="F1126" s="23" t="str">
        <f>IF(OR(E1126="",E1126="!!!"),"",IF(NOT(ISNA(VLOOKUP(E1126,E$1:E1125,1,FALSE()))),"OLD",IF(AND(E1126&lt;&gt;"",E1126&lt;&gt;"!!!"),"NEW","")))</f>
        <v> </v>
      </c>
      <c r="G1126" s="24" t="str">
        <f>IF(OR(E1126="",E1126="!!!"),"",IF(OR(J1126=0,AND(J1126=1,K1126=1),AND(J1126=1,I1126="SBJ"),AND(J1126=1,I1126=0)),"?IN_FOCUS",IF(J1126&lt;=2,"?ACTIVATED",IF(J1126&lt;&gt;"","?FAMILIAR",IF(F1126="NEW",IF(ISNA(VLOOKUP(E1126,#REF!,1,FALSE())),"?TYPE_IDENTIFIABLE","?REFERENTIAL"),"_")))))</f>
        <v> </v>
      </c>
      <c r="H1126" s="25" t="str">
        <f>IF(J1126&lt;&gt;1,"",IF(I1126="SBJ","CB","?"))</f>
        <v> </v>
      </c>
      <c r="I1126" s="26" t="str">
        <f>IF(OR(E1126="",E1126="!!!",F1126="NEW"),"",INDEX(B1125:B$2,-1+SUMPRODUCT(MAX(ROW(E1125:E$2)*(E1126=E1125:E$2)))))</f>
        <v> </v>
      </c>
      <c r="J1126" s="26" t="str">
        <f>IF(OR(E1126="",E1126="!!!",F1126="NEW"),"",COUNTBLANK(OFFSET(A$1,,,SUMPRODUCT(MAX(ROW(E$2:E1126)*(E1126=E$2:E1126)))))-COUNTBLANK(OFFSET(A$1,,,SUMPRODUCT(MAX(ROW(E$1:E1125)*(E2=E$1:E1125))))))</f>
        <v> </v>
      </c>
      <c r="K1126" s="26" t="str">
        <f>IF(OR(E1126="",E1126="!!!",F1126="NEW"),"",INDEX(J$1:J1125,SUMPRODUCT(MAX(ROW(E$1:E1125)*(E1126=E$1:E1125)))))</f>
        <v> </v>
      </c>
      <c r="L1126" s="27"/>
    </row>
    <row r="1127" spans="1:12">
      <c r="A1127" s="20" t="s">
        <v>859</v>
      </c>
      <c r="B1127" s="21" t="s">
        <v>728</v>
      </c>
      <c r="C1127" s="21" t="s">
        <v>789</v>
      </c>
      <c r="D1127" s="21" t="s">
        <v>730</v>
      </c>
      <c r="E1127" s="22">
        <f>IF(D1127="?OLD","!!!","")</f>
        <v/>
      </c>
      <c r="F1127" s="23" t="str">
        <f>IF(OR(E1127="",E1127="!!!"),"",IF(NOT(ISNA(VLOOKUP(E1127,E$1:E1126,1,FALSE()))),"OLD",IF(AND(E1127&lt;&gt;"",E1127&lt;&gt;"!!!"),"NEW","")))</f>
        <v> </v>
      </c>
      <c r="G1127" s="24" t="str">
        <f>IF(OR(E1127="",E1127="!!!"),"",IF(OR(J1127=0,AND(J1127=1,K1127=1),AND(J1127=1,I1127="SBJ"),AND(J1127=1,I1127=0)),"?IN_FOCUS",IF(J1127&lt;=2,"?ACTIVATED",IF(J1127&lt;&gt;"","?FAMILIAR",IF(F1127="NEW",IF(ISNA(VLOOKUP(E1127,#REF!,1,FALSE())),"?TYPE_IDENTIFIABLE","?REFERENTIAL"),"_")))))</f>
        <v> </v>
      </c>
      <c r="H1127" s="25" t="str">
        <f>IF(J1127&lt;&gt;1,"",IF(I1127="SBJ","CB","?"))</f>
        <v> </v>
      </c>
      <c r="I1127" s="26" t="str">
        <f>IF(OR(E1127="",E1127="!!!",F1127="NEW"),"",INDEX(B1126:B$2,-1+SUMPRODUCT(MAX(ROW(E1126:E$2)*(E1127=E1126:E$2)))))</f>
        <v> </v>
      </c>
      <c r="J1127" s="26" t="str">
        <f>IF(OR(E1127="",E1127="!!!",F1127="NEW"),"",COUNTBLANK(OFFSET(A$1,,,SUMPRODUCT(MAX(ROW(E$2:E1127)*(E1127=E$2:E1127)))))-COUNTBLANK(OFFSET(A$1,,,SUMPRODUCT(MAX(ROW(E$1:E1126)*(E2=E$1:E1126))))))</f>
        <v> </v>
      </c>
      <c r="K1127" s="26" t="str">
        <f>IF(OR(E1127="",E1127="!!!",F1127="NEW"),"",INDEX(J$1:J1126,SUMPRODUCT(MAX(ROW(E$1:E1126)*(E1127=E$1:E1126)))))</f>
        <v> </v>
      </c>
      <c r="L1127" s="27"/>
    </row>
    <row r="1128" spans="1:12">
      <c r="A1128" s="20" t="s">
        <v>732</v>
      </c>
      <c r="E1128" s="22">
        <f>IF(D1128="?OLD","!!!","")</f>
        <v/>
      </c>
      <c r="F1128" s="23" t="str">
        <f>IF(OR(E1128="",E1128="!!!"),"",IF(NOT(ISNA(VLOOKUP(E1128,E$1:E1127,1,FALSE()))),"OLD",IF(AND(E1128&lt;&gt;"",E1128&lt;&gt;"!!!"),"NEW","")))</f>
        <v> </v>
      </c>
      <c r="G1128" s="24" t="str">
        <f>IF(OR(E1128="",E1128="!!!"),"",IF(OR(J1128=0,AND(J1128=1,K1128=1),AND(J1128=1,I1128="SBJ"),AND(J1128=1,I1128=0)),"?IN_FOCUS",IF(J1128&lt;=2,"?ACTIVATED",IF(J1128&lt;&gt;"","?FAMILIAR",IF(F1128="NEW",IF(ISNA(VLOOKUP(E1128,#REF!,1,FALSE())),"?TYPE_IDENTIFIABLE","?REFERENTIAL"),"_")))))</f>
        <v> </v>
      </c>
      <c r="H1128" s="25" t="str">
        <f>IF(J1128&lt;&gt;1,"",IF(I1128="SBJ","CB","?"))</f>
        <v> </v>
      </c>
      <c r="I1128" s="26" t="str">
        <f>IF(OR(E1128="",E1128="!!!",F1128="NEW"),"",INDEX(B1127:B$2,-1+SUMPRODUCT(MAX(ROW(E1127:E$2)*(E1128=E1127:E$2)))))</f>
        <v> </v>
      </c>
      <c r="J1128" s="26" t="str">
        <f>IF(OR(E1128="",E1128="!!!",F1128="NEW"),"",COUNTBLANK(OFFSET(A$1,,,SUMPRODUCT(MAX(ROW(E$2:E1128)*(E1128=E$2:E1128)))))-COUNTBLANK(OFFSET(A$1,,,SUMPRODUCT(MAX(ROW(E$1:E1127)*(E2=E$1:E1127))))))</f>
        <v> </v>
      </c>
      <c r="K1128" s="26" t="str">
        <f>IF(OR(E1128="",E1128="!!!",F1128="NEW"),"",INDEX(J$1:J1127,SUMPRODUCT(MAX(ROW(E$1:E1127)*(E1128=E$1:E1127)))))</f>
        <v> </v>
      </c>
      <c r="L1128" s="27"/>
    </row>
    <row r="1129" spans="1:12">
      <c r="A1129" s="20" t="s">
        <v>751</v>
      </c>
      <c r="E1129" s="22">
        <f>IF(D1129="?OLD","!!!","")</f>
        <v/>
      </c>
      <c r="F1129" s="23" t="str">
        <f>IF(OR(E1129="",E1129="!!!"),"",IF(NOT(ISNA(VLOOKUP(E1129,E$1:E1128,1,FALSE()))),"OLD",IF(AND(E1129&lt;&gt;"",E1129&lt;&gt;"!!!"),"NEW","")))</f>
        <v> </v>
      </c>
      <c r="G1129" s="24" t="str">
        <f>IF(OR(E1129="",E1129="!!!"),"",IF(OR(J1129=0,AND(J1129=1,K1129=1),AND(J1129=1,I1129="SBJ"),AND(J1129=1,I1129=0)),"?IN_FOCUS",IF(J1129&lt;=2,"?ACTIVATED",IF(J1129&lt;&gt;"","?FAMILIAR",IF(F1129="NEW",IF(ISNA(VLOOKUP(E1129,#REF!,1,FALSE())),"?TYPE_IDENTIFIABLE","?REFERENTIAL"),"_")))))</f>
        <v> </v>
      </c>
      <c r="H1129" s="25" t="str">
        <f>IF(J1129&lt;&gt;1,"",IF(I1129="SBJ","CB","?"))</f>
        <v> </v>
      </c>
      <c r="I1129" s="26" t="str">
        <f>IF(OR(E1129="",E1129="!!!",F1129="NEW"),"",INDEX(B1128:B$2,-1+SUMPRODUCT(MAX(ROW(E1128:E$2)*(E1129=E1128:E$2)))))</f>
        <v> </v>
      </c>
      <c r="J1129" s="26" t="str">
        <f>IF(OR(E1129="",E1129="!!!",F1129="NEW"),"",COUNTBLANK(OFFSET(A$1,,,SUMPRODUCT(MAX(ROW(E$2:E1129)*(E1129=E$2:E1129)))))-COUNTBLANK(OFFSET(A$1,,,SUMPRODUCT(MAX(ROW(E$1:E1128)*(E2=E$1:E1128))))))</f>
        <v> </v>
      </c>
      <c r="K1129" s="26" t="str">
        <f>IF(OR(E1129="",E1129="!!!",F1129="NEW"),"",INDEX(J$1:J1128,SUMPRODUCT(MAX(ROW(E$1:E1128)*(E1129=E$1:E1128)))))</f>
        <v> </v>
      </c>
      <c r="L1129" s="27"/>
    </row>
    <row r="1130" spans="1:12">
      <c r="A1130" s="20" t="s">
        <v>1168</v>
      </c>
      <c r="B1130" s="21" t="s">
        <v>736</v>
      </c>
      <c r="C1130" s="21" t="s">
        <v>753</v>
      </c>
      <c r="D1130" s="21" t="s">
        <v>730</v>
      </c>
      <c r="E1130" s="22">
        <f>IF(D1130="?OLD","!!!","")</f>
        <v/>
      </c>
      <c r="F1130" s="23" t="str">
        <f>IF(OR(E1130="",E1130="!!!"),"",IF(NOT(ISNA(VLOOKUP(E1130,E$1:E1129,1,FALSE()))),"OLD",IF(AND(E1130&lt;&gt;"",E1130&lt;&gt;"!!!"),"NEW","")))</f>
        <v> </v>
      </c>
      <c r="G1130" s="24" t="str">
        <f>IF(OR(E1130="",E1130="!!!"),"",IF(OR(J1130=0,AND(J1130=1,K1130=1),AND(J1130=1,I1130="SBJ"),AND(J1130=1,I1130=0)),"?IN_FOCUS",IF(J1130&lt;=2,"?ACTIVATED",IF(J1130&lt;&gt;"","?FAMILIAR",IF(F1130="NEW",IF(ISNA(VLOOKUP(E1130,#REF!,1,FALSE())),"?TYPE_IDENTIFIABLE","?REFERENTIAL"),"_")))))</f>
        <v> </v>
      </c>
      <c r="H1130" s="25" t="str">
        <f>IF(J1130&lt;&gt;1,"",IF(I1130="SBJ","CB","?"))</f>
        <v> </v>
      </c>
      <c r="I1130" s="26" t="str">
        <f>IF(OR(E1130="",E1130="!!!",F1130="NEW"),"",INDEX(B1129:B$2,-1+SUMPRODUCT(MAX(ROW(E1129:E$2)*(E1130=E1129:E$2)))))</f>
        <v> </v>
      </c>
      <c r="J1130" s="26" t="str">
        <f>IF(OR(E1130="",E1130="!!!",F1130="NEW"),"",COUNTBLANK(OFFSET(A$1,,,SUMPRODUCT(MAX(ROW(E$2:E1130)*(E1130=E$2:E1130)))))-COUNTBLANK(OFFSET(A$1,,,SUMPRODUCT(MAX(ROW(E$1:E1129)*(E2=E$1:E1129))))))</f>
        <v> </v>
      </c>
      <c r="K1130" s="26" t="str">
        <f>IF(OR(E1130="",E1130="!!!",F1130="NEW"),"",INDEX(J$1:J1129,SUMPRODUCT(MAX(ROW(E$1:E1129)*(E1130=E$1:E1129)))))</f>
        <v> </v>
      </c>
      <c r="L1130" s="27"/>
    </row>
    <row r="1131" spans="1:12">
      <c r="A1131" s="20" t="s">
        <v>1259</v>
      </c>
      <c r="E1131" s="22">
        <f>IF(D1131="?OLD","!!!","")</f>
        <v/>
      </c>
      <c r="F1131" s="23" t="str">
        <f>IF(OR(E1131="",E1131="!!!"),"",IF(NOT(ISNA(VLOOKUP(E1131,E$1:E1130,1,FALSE()))),"OLD",IF(AND(E1131&lt;&gt;"",E1131&lt;&gt;"!!!"),"NEW","")))</f>
        <v> </v>
      </c>
      <c r="G1131" s="24" t="str">
        <f>IF(OR(E1131="",E1131="!!!"),"",IF(OR(J1131=0,AND(J1131=1,K1131=1),AND(J1131=1,I1131="SBJ"),AND(J1131=1,I1131=0)),"?IN_FOCUS",IF(J1131&lt;=2,"?ACTIVATED",IF(J1131&lt;&gt;"","?FAMILIAR",IF(F1131="NEW",IF(ISNA(VLOOKUP(E1131,#REF!,1,FALSE())),"?TYPE_IDENTIFIABLE","?REFERENTIAL"),"_")))))</f>
        <v> </v>
      </c>
      <c r="H1131" s="25" t="str">
        <f>IF(J1131&lt;&gt;1,"",IF(I1131="SBJ","CB","?"))</f>
        <v> </v>
      </c>
      <c r="I1131" s="26" t="str">
        <f>IF(OR(E1131="",E1131="!!!",F1131="NEW"),"",INDEX(B1130:B$2,-1+SUMPRODUCT(MAX(ROW(E1130:E$2)*(E1131=E1130:E$2)))))</f>
        <v> </v>
      </c>
      <c r="J1131" s="26" t="str">
        <f>IF(OR(E1131="",E1131="!!!",F1131="NEW"),"",COUNTBLANK(OFFSET(A$1,,,SUMPRODUCT(MAX(ROW(E$2:E1131)*(E1131=E$2:E1131)))))-COUNTBLANK(OFFSET(A$1,,,SUMPRODUCT(MAX(ROW(E$1:E1130)*(E2=E$1:E1130))))))</f>
        <v> </v>
      </c>
      <c r="K1131" s="26" t="str">
        <f>IF(OR(E1131="",E1131="!!!",F1131="NEW"),"",INDEX(J$1:J1130,SUMPRODUCT(MAX(ROW(E$1:E1130)*(E1131=E$1:E1130)))))</f>
        <v> </v>
      </c>
      <c r="L1131" s="27"/>
    </row>
    <row r="1132" spans="1:12">
      <c r="A1132" s="20" t="s">
        <v>922</v>
      </c>
      <c r="E1132" s="22">
        <f>IF(D1132="?OLD","!!!","")</f>
        <v/>
      </c>
      <c r="F1132" s="23" t="str">
        <f>IF(OR(E1132="",E1132="!!!"),"",IF(NOT(ISNA(VLOOKUP(E1132,E$1:E1131,1,FALSE()))),"OLD",IF(AND(E1132&lt;&gt;"",E1132&lt;&gt;"!!!"),"NEW","")))</f>
        <v> </v>
      </c>
      <c r="G1132" s="24" t="str">
        <f>IF(OR(E1132="",E1132="!!!"),"",IF(OR(J1132=0,AND(J1132=1,K1132=1),AND(J1132=1,I1132="SBJ"),AND(J1132=1,I1132=0)),"?IN_FOCUS",IF(J1132&lt;=2,"?ACTIVATED",IF(J1132&lt;&gt;"","?FAMILIAR",IF(F1132="NEW",IF(ISNA(VLOOKUP(E1132,#REF!,1,FALSE())),"?TYPE_IDENTIFIABLE","?REFERENTIAL"),"_")))))</f>
        <v> </v>
      </c>
      <c r="H1132" s="25" t="str">
        <f>IF(J1132&lt;&gt;1,"",IF(I1132="SBJ","CB","?"))</f>
        <v> </v>
      </c>
      <c r="I1132" s="26" t="str">
        <f>IF(OR(E1132="",E1132="!!!",F1132="NEW"),"",INDEX(B1131:B$2,-1+SUMPRODUCT(MAX(ROW(E1131:E$2)*(E1132=E1131:E$2)))))</f>
        <v> </v>
      </c>
      <c r="J1132" s="26" t="str">
        <f>IF(OR(E1132="",E1132="!!!",F1132="NEW"),"",COUNTBLANK(OFFSET(A$1,,,SUMPRODUCT(MAX(ROW(E$2:E1132)*(E1132=E$2:E1132)))))-COUNTBLANK(OFFSET(A$1,,,SUMPRODUCT(MAX(ROW(E$1:E1131)*(E2=E$1:E1131))))))</f>
        <v> </v>
      </c>
      <c r="K1132" s="26" t="str">
        <f>IF(OR(E1132="",E1132="!!!",F1132="NEW"),"",INDEX(J$1:J1131,SUMPRODUCT(MAX(ROW(E$1:E1131)*(E1132=E$1:E1131)))))</f>
        <v> </v>
      </c>
      <c r="L1132" s="27"/>
    </row>
    <row r="1133" spans="1:12">
      <c r="A1133" s="20" t="s">
        <v>1260</v>
      </c>
      <c r="B1133" s="21" t="s">
        <v>739</v>
      </c>
      <c r="C1133" s="21" t="s">
        <v>756</v>
      </c>
      <c r="E1133" s="22">
        <f>IF(D1133="?OLD","!!!","")</f>
        <v/>
      </c>
      <c r="F1133" s="23" t="str">
        <f>IF(OR(E1133="",E1133="!!!"),"",IF(NOT(ISNA(VLOOKUP(E1133,E$1:E1132,1,FALSE()))),"OLD",IF(AND(E1133&lt;&gt;"",E1133&lt;&gt;"!!!"),"NEW","")))</f>
        <v> </v>
      </c>
      <c r="G1133" s="24" t="str">
        <f>IF(OR(E1133="",E1133="!!!"),"",IF(OR(J1133=0,AND(J1133=1,K1133=1),AND(J1133=1,I1133="SBJ"),AND(J1133=1,I1133=0)),"?IN_FOCUS",IF(J1133&lt;=2,"?ACTIVATED",IF(J1133&lt;&gt;"","?FAMILIAR",IF(F1133="NEW",IF(ISNA(VLOOKUP(E1133,#REF!,1,FALSE())),"?TYPE_IDENTIFIABLE","?REFERENTIAL"),"_")))))</f>
        <v> </v>
      </c>
      <c r="H1133" s="25" t="str">
        <f>IF(J1133&lt;&gt;1,"",IF(I1133="SBJ","CB","?"))</f>
        <v> </v>
      </c>
      <c r="I1133" s="26" t="str">
        <f>IF(OR(E1133="",E1133="!!!",F1133="NEW"),"",INDEX(B1132:B$2,-1+SUMPRODUCT(MAX(ROW(E1132:E$2)*(E1133=E1132:E$2)))))</f>
        <v> </v>
      </c>
      <c r="J1133" s="26" t="str">
        <f>IF(OR(E1133="",E1133="!!!",F1133="NEW"),"",COUNTBLANK(OFFSET(A$1,,,SUMPRODUCT(MAX(ROW(E$2:E1133)*(E1133=E$2:E1133)))))-COUNTBLANK(OFFSET(A$1,,,SUMPRODUCT(MAX(ROW(E$1:E1132)*(E2=E$1:E1132))))))</f>
        <v> </v>
      </c>
      <c r="K1133" s="26" t="str">
        <f>IF(OR(E1133="",E1133="!!!",F1133="NEW"),"",INDEX(J$1:J1132,SUMPRODUCT(MAX(ROW(E$1:E1132)*(E1133=E$1:E1132)))))</f>
        <v> </v>
      </c>
      <c r="L1133" s="27"/>
    </row>
    <row r="1134" spans="1:12">
      <c r="A1134" s="20" t="s">
        <v>1213</v>
      </c>
      <c r="E1134" s="22">
        <f>IF(D1134="?OLD","!!!","")</f>
        <v/>
      </c>
      <c r="F1134" s="23" t="str">
        <f>IF(OR(E1134="",E1134="!!!"),"",IF(NOT(ISNA(VLOOKUP(E1134,E$1:E1133,1,FALSE()))),"OLD",IF(AND(E1134&lt;&gt;"",E1134&lt;&gt;"!!!"),"NEW","")))</f>
        <v> </v>
      </c>
      <c r="G1134" s="24" t="str">
        <f>IF(OR(E1134="",E1134="!!!"),"",IF(OR(J1134=0,AND(J1134=1,K1134=1),AND(J1134=1,I1134="SBJ"),AND(J1134=1,I1134=0)),"?IN_FOCUS",IF(J1134&lt;=2,"?ACTIVATED",IF(J1134&lt;&gt;"","?FAMILIAR",IF(F1134="NEW",IF(ISNA(VLOOKUP(E1134,#REF!,1,FALSE())),"?TYPE_IDENTIFIABLE","?REFERENTIAL"),"_")))))</f>
        <v> </v>
      </c>
      <c r="H1134" s="25" t="str">
        <f>IF(J1134&lt;&gt;1,"",IF(I1134="SBJ","CB","?"))</f>
        <v> </v>
      </c>
      <c r="I1134" s="26" t="str">
        <f>IF(OR(E1134="",E1134="!!!",F1134="NEW"),"",INDEX(B1133:B$2,-1+SUMPRODUCT(MAX(ROW(E1133:E$2)*(E1134=E1133:E$2)))))</f>
        <v> </v>
      </c>
      <c r="J1134" s="26" t="str">
        <f>IF(OR(E1134="",E1134="!!!",F1134="NEW"),"",COUNTBLANK(OFFSET(A$1,,,SUMPRODUCT(MAX(ROW(E$2:E1134)*(E1134=E$2:E1134)))))-COUNTBLANK(OFFSET(A$1,,,SUMPRODUCT(MAX(ROW(E$1:E1133)*(E2=E$1:E1133))))))</f>
        <v> </v>
      </c>
      <c r="K1134" s="26" t="str">
        <f>IF(OR(E1134="",E1134="!!!",F1134="NEW"),"",INDEX(J$1:J1133,SUMPRODUCT(MAX(ROW(E$1:E1133)*(E1134=E$1:E1133)))))</f>
        <v> </v>
      </c>
      <c r="L1134" s="27"/>
    </row>
    <row r="1135" spans="1:12">
      <c r="A1135" s="20" t="s">
        <v>1188</v>
      </c>
      <c r="B1135" s="21" t="s">
        <v>764</v>
      </c>
      <c r="C1135" s="21" t="s">
        <v>737</v>
      </c>
      <c r="E1135" s="22">
        <f>IF(D1135="?OLD","!!!","")</f>
        <v/>
      </c>
      <c r="F1135" s="23" t="str">
        <f>IF(OR(E1135="",E1135="!!!"),"",IF(NOT(ISNA(VLOOKUP(E1135,E$1:E1134,1,FALSE()))),"OLD",IF(AND(E1135&lt;&gt;"",E1135&lt;&gt;"!!!"),"NEW","")))</f>
        <v> </v>
      </c>
      <c r="G1135" s="24" t="str">
        <f>IF(OR(E1135="",E1135="!!!"),"",IF(OR(J1135=0,AND(J1135=1,K1135=1),AND(J1135=1,I1135="SBJ"),AND(J1135=1,I1135=0)),"?IN_FOCUS",IF(J1135&lt;=2,"?ACTIVATED",IF(J1135&lt;&gt;"","?FAMILIAR",IF(F1135="NEW",IF(ISNA(VLOOKUP(E1135,#REF!,1,FALSE())),"?TYPE_IDENTIFIABLE","?REFERENTIAL"),"_")))))</f>
        <v> </v>
      </c>
      <c r="H1135" s="25" t="str">
        <f>IF(J1135&lt;&gt;1,"",IF(I1135="SBJ","CB","?"))</f>
        <v> </v>
      </c>
      <c r="I1135" s="26" t="str">
        <f>IF(OR(E1135="",E1135="!!!",F1135="NEW"),"",INDEX(B1134:B$2,-1+SUMPRODUCT(MAX(ROW(E1134:E$2)*(E1135=E1134:E$2)))))</f>
        <v> </v>
      </c>
      <c r="J1135" s="26" t="str">
        <f>IF(OR(E1135="",E1135="!!!",F1135="NEW"),"",COUNTBLANK(OFFSET(A$1,,,SUMPRODUCT(MAX(ROW(E$2:E1135)*(E1135=E$2:E1135)))))-COUNTBLANK(OFFSET(A$1,,,SUMPRODUCT(MAX(ROW(E$1:E1134)*(E2=E$1:E1134))))))</f>
        <v> </v>
      </c>
      <c r="K1135" s="26" t="str">
        <f>IF(OR(E1135="",E1135="!!!",F1135="NEW"),"",INDEX(J$1:J1134,SUMPRODUCT(MAX(ROW(E$1:E1134)*(E1135=E$1:E1134)))))</f>
        <v> </v>
      </c>
      <c r="L1135" s="27"/>
    </row>
    <row r="1136" spans="1:12">
      <c r="A1136" s="20" t="s">
        <v>1261</v>
      </c>
      <c r="E1136" s="22">
        <f>IF(D1136="?OLD","!!!","")</f>
        <v/>
      </c>
      <c r="F1136" s="23" t="str">
        <f>IF(OR(E1136="",E1136="!!!"),"",IF(NOT(ISNA(VLOOKUP(E1136,E$1:E1135,1,FALSE()))),"OLD",IF(AND(E1136&lt;&gt;"",E1136&lt;&gt;"!!!"),"NEW","")))</f>
        <v> </v>
      </c>
      <c r="G1136" s="24" t="str">
        <f>IF(OR(E1136="",E1136="!!!"),"",IF(OR(J1136=0,AND(J1136=1,K1136=1),AND(J1136=1,I1136="SBJ"),AND(J1136=1,I1136=0)),"?IN_FOCUS",IF(J1136&lt;=2,"?ACTIVATED",IF(J1136&lt;&gt;"","?FAMILIAR",IF(F1136="NEW",IF(ISNA(VLOOKUP(E1136,#REF!,1,FALSE())),"?TYPE_IDENTIFIABLE","?REFERENTIAL"),"_")))))</f>
        <v> </v>
      </c>
      <c r="H1136" s="25" t="str">
        <f>IF(J1136&lt;&gt;1,"",IF(I1136="SBJ","CB","?"))</f>
        <v> </v>
      </c>
      <c r="I1136" s="26" t="str">
        <f>IF(OR(E1136="",E1136="!!!",F1136="NEW"),"",INDEX(B1135:B$2,-1+SUMPRODUCT(MAX(ROW(E1135:E$2)*(E1136=E1135:E$2)))))</f>
        <v> </v>
      </c>
      <c r="J1136" s="26" t="str">
        <f>IF(OR(E1136="",E1136="!!!",F1136="NEW"),"",COUNTBLANK(OFFSET(A$1,,,SUMPRODUCT(MAX(ROW(E$2:E1136)*(E1136=E$2:E1136)))))-COUNTBLANK(OFFSET(A$1,,,SUMPRODUCT(MAX(ROW(E$1:E1135)*(E2=E$1:E1135))))))</f>
        <v> </v>
      </c>
      <c r="K1136" s="26" t="str">
        <f>IF(OR(E1136="",E1136="!!!",F1136="NEW"),"",INDEX(J$1:J1135,SUMPRODUCT(MAX(ROW(E$1:E1135)*(E1136=E$1:E1135)))))</f>
        <v> </v>
      </c>
      <c r="L1136" s="27"/>
    </row>
    <row r="1137" spans="1:12">
      <c r="A1137" s="20" t="s">
        <v>246</v>
      </c>
      <c r="E1137" s="22">
        <f>IF(D1137="?OLD","!!!","")</f>
        <v/>
      </c>
      <c r="F1137" s="23" t="str">
        <f>IF(OR(E1137="",E1137="!!!"),"",IF(NOT(ISNA(VLOOKUP(E1137,E$1:E1136,1,FALSE()))),"OLD",IF(AND(E1137&lt;&gt;"",E1137&lt;&gt;"!!!"),"NEW","")))</f>
        <v> </v>
      </c>
      <c r="G1137" s="24" t="str">
        <f>IF(OR(E1137="",E1137="!!!"),"",IF(OR(J1137=0,AND(J1137=1,K1137=1),AND(J1137=1,I1137="SBJ"),AND(J1137=1,I1137=0)),"?IN_FOCUS",IF(J1137&lt;=2,"?ACTIVATED",IF(J1137&lt;&gt;"","?FAMILIAR",IF(F1137="NEW",IF(ISNA(VLOOKUP(E1137,#REF!,1,FALSE())),"?TYPE_IDENTIFIABLE","?REFERENTIAL"),"_")))))</f>
        <v> </v>
      </c>
      <c r="H1137" s="25" t="str">
        <f>IF(J1137&lt;&gt;1,"",IF(I1137="SBJ","CB","?"))</f>
        <v> </v>
      </c>
      <c r="I1137" s="26" t="str">
        <f>IF(OR(E1137="",E1137="!!!",F1137="NEW"),"",INDEX(B1136:B$2,-1+SUMPRODUCT(MAX(ROW(E1136:E$2)*(E1137=E1136:E$2)))))</f>
        <v> </v>
      </c>
      <c r="J1137" s="26" t="str">
        <f>IF(OR(E1137="",E1137="!!!",F1137="NEW"),"",COUNTBLANK(OFFSET(A$1,,,SUMPRODUCT(MAX(ROW(E$2:E1137)*(E1137=E$2:E1137)))))-COUNTBLANK(OFFSET(A$1,,,SUMPRODUCT(MAX(ROW(E$1:E1136)*(E2=E$1:E1136))))))</f>
        <v> </v>
      </c>
      <c r="K1137" s="26" t="str">
        <f>IF(OR(E1137="",E1137="!!!",F1137="NEW"),"",INDEX(J$1:J1136,SUMPRODUCT(MAX(ROW(E$1:E1136)*(E1137=E$1:E1136)))))</f>
        <v> </v>
      </c>
      <c r="L1137" s="27"/>
    </row>
    <row r="1138" spans="1:12">
      <c r="A1138" s="20"/>
    </row>
    <row r="1139" spans="1:12">
      <c r="A1139" s="20" t="s">
        <v>1262</v>
      </c>
    </row>
    <row r="1140" spans="1:12">
      <c r="A1140" s="20" t="s">
        <v>1263</v>
      </c>
      <c r="E1140" s="22">
        <f>IF(D1140="?OLD","!!!","")</f>
        <v/>
      </c>
      <c r="F1140" s="23" t="str">
        <f>IF(OR(E1140="",E1140="!!!"),"",IF(NOT(ISNA(VLOOKUP(E1140,E$1:E1139,1,FALSE()))),"OLD",IF(AND(E1140&lt;&gt;"",E1140&lt;&gt;"!!!"),"NEW","")))</f>
        <v> </v>
      </c>
      <c r="G1140" s="24" t="str">
        <f>IF(OR(E1140="",E1140="!!!"),"",IF(OR(J1140=0,AND(J1140=1,K1140=1),AND(J1140=1,I1140="SBJ"),AND(J1140=1,I1140=0)),"?IN_FOCUS",IF(J1140&lt;=2,"?ACTIVATED",IF(J1140&lt;&gt;"","?FAMILIAR",IF(F1140="NEW",IF(ISNA(VLOOKUP(E1140,#REF!,1,FALSE())),"?TYPE_IDENTIFIABLE","?REFERENTIAL"),"_")))))</f>
        <v> </v>
      </c>
      <c r="H1140" s="25" t="str">
        <f>IF(J1140&lt;&gt;1,"",IF(I1140="SBJ","CB","?"))</f>
        <v> </v>
      </c>
      <c r="I1140" s="26" t="str">
        <f>IF(OR(E1140="",E1140="!!!",F1140="NEW"),"",INDEX(B1139:B$2,-1+SUMPRODUCT(MAX(ROW(E1139:E$2)*(E1140=E1139:E$2)))))</f>
        <v> </v>
      </c>
      <c r="J1140" s="26" t="str">
        <f>IF(OR(E1140="",E1140="!!!",F1140="NEW"),"",COUNTBLANK(OFFSET(A$1,,,SUMPRODUCT(MAX(ROW(E$2:E1140)*(E1140=E$2:E1140)))))-COUNTBLANK(OFFSET(A$1,,,SUMPRODUCT(MAX(ROW(E$1:E1139)*(E2=E$1:E1139))))))</f>
        <v> </v>
      </c>
      <c r="K1140" s="26" t="str">
        <f>IF(OR(E1140="",E1140="!!!",F1140="NEW"),"",INDEX(J$1:J1139,SUMPRODUCT(MAX(ROW(E$1:E1139)*(E1140=E$1:E1139)))))</f>
        <v> </v>
      </c>
      <c r="L1140" s="27"/>
    </row>
    <row r="1141" spans="1:12">
      <c r="A1141" s="20" t="s">
        <v>1264</v>
      </c>
      <c r="B1141" s="21" t="s">
        <v>755</v>
      </c>
      <c r="C1141" s="21" t="s">
        <v>801</v>
      </c>
      <c r="D1141" s="21" t="s">
        <v>730</v>
      </c>
      <c r="E1141" s="22">
        <f>IF(D1141="?OLD","!!!","")</f>
        <v/>
      </c>
      <c r="F1141" s="23" t="str">
        <f>IF(OR(E1141="",E1141="!!!"),"",IF(NOT(ISNA(VLOOKUP(E1141,E$1:E1140,1,FALSE()))),"OLD",IF(AND(E1141&lt;&gt;"",E1141&lt;&gt;"!!!"),"NEW","")))</f>
        <v> </v>
      </c>
      <c r="G1141" s="24" t="str">
        <f>IF(OR(E1141="",E1141="!!!"),"",IF(OR(J1141=0,AND(J1141=1,K1141=1),AND(J1141=1,I1141="SBJ"),AND(J1141=1,I1141=0)),"?IN_FOCUS",IF(J1141&lt;=2,"?ACTIVATED",IF(J1141&lt;&gt;"","?FAMILIAR",IF(F1141="NEW",IF(ISNA(VLOOKUP(E1141,#REF!,1,FALSE())),"?TYPE_IDENTIFIABLE","?REFERENTIAL"),"_")))))</f>
        <v> </v>
      </c>
      <c r="H1141" s="25" t="str">
        <f>IF(J1141&lt;&gt;1,"",IF(I1141="SBJ","CB","?"))</f>
        <v> </v>
      </c>
      <c r="I1141" s="26" t="str">
        <f>IF(OR(E1141="",E1141="!!!",F1141="NEW"),"",INDEX(B1140:B$2,-1+SUMPRODUCT(MAX(ROW(E1140:E$2)*(E1141=E1140:E$2)))))</f>
        <v> </v>
      </c>
      <c r="J1141" s="26" t="str">
        <f>IF(OR(E1141="",E1141="!!!",F1141="NEW"),"",COUNTBLANK(OFFSET(A$1,,,SUMPRODUCT(MAX(ROW(E$2:E1141)*(E1141=E$2:E1141)))))-COUNTBLANK(OFFSET(A$1,,,SUMPRODUCT(MAX(ROW(E$1:E1140)*(E2=E$1:E1140))))))</f>
        <v> </v>
      </c>
      <c r="K1141" s="26" t="str">
        <f>IF(OR(E1141="",E1141="!!!",F1141="NEW"),"",INDEX(J$1:J1140,SUMPRODUCT(MAX(ROW(E$1:E1140)*(E1141=E$1:E1140)))))</f>
        <v> </v>
      </c>
      <c r="L1141" s="27"/>
    </row>
    <row r="1142" spans="1:12">
      <c r="A1142" s="20" t="s">
        <v>1159</v>
      </c>
      <c r="B1142" s="21" t="s">
        <v>755</v>
      </c>
      <c r="C1142" s="21" t="s">
        <v>756</v>
      </c>
      <c r="E1142" s="22">
        <f>IF(D1142="?OLD","!!!","")</f>
        <v/>
      </c>
      <c r="F1142" s="23" t="str">
        <f>IF(OR(E1142="",E1142="!!!"),"",IF(NOT(ISNA(VLOOKUP(E1142,E$1:E1141,1,FALSE()))),"OLD",IF(AND(E1142&lt;&gt;"",E1142&lt;&gt;"!!!"),"NEW","")))</f>
        <v> </v>
      </c>
      <c r="G1142" s="24" t="str">
        <f>IF(OR(E1142="",E1142="!!!"),"",IF(OR(J1142=0,AND(J1142=1,K1142=1),AND(J1142=1,I1142="SBJ"),AND(J1142=1,I1142=0)),"?IN_FOCUS",IF(J1142&lt;=2,"?ACTIVATED",IF(J1142&lt;&gt;"","?FAMILIAR",IF(F1142="NEW",IF(ISNA(VLOOKUP(E1142,#REF!,1,FALSE())),"?TYPE_IDENTIFIABLE","?REFERENTIAL"),"_")))))</f>
        <v> </v>
      </c>
      <c r="H1142" s="25" t="str">
        <f>IF(J1142&lt;&gt;1,"",IF(I1142="SBJ","CB","?"))</f>
        <v> </v>
      </c>
      <c r="I1142" s="26" t="str">
        <f>IF(OR(E1142="",E1142="!!!",F1142="NEW"),"",INDEX(B1141:B$2,-1+SUMPRODUCT(MAX(ROW(E1141:E$2)*(E1142=E1141:E$2)))))</f>
        <v> </v>
      </c>
      <c r="J1142" s="26" t="str">
        <f>IF(OR(E1142="",E1142="!!!",F1142="NEW"),"",COUNTBLANK(OFFSET(A$1,,,SUMPRODUCT(MAX(ROW(E$2:E1142)*(E1142=E$2:E1142)))))-COUNTBLANK(OFFSET(A$1,,,SUMPRODUCT(MAX(ROW(E$1:E1141)*(E2=E$1:E1141))))))</f>
        <v> </v>
      </c>
      <c r="K1142" s="26" t="str">
        <f>IF(OR(E1142="",E1142="!!!",F1142="NEW"),"",INDEX(J$1:J1141,SUMPRODUCT(MAX(ROW(E$1:E1141)*(E1142=E$1:E1141)))))</f>
        <v> </v>
      </c>
      <c r="L1142" s="27"/>
    </row>
    <row r="1143" spans="1:12">
      <c r="A1143" s="20" t="s">
        <v>1265</v>
      </c>
      <c r="B1143" s="21" t="s">
        <v>739</v>
      </c>
      <c r="C1143" s="21" t="s">
        <v>802</v>
      </c>
      <c r="D1143" s="21" t="s">
        <v>730</v>
      </c>
      <c r="E1143" s="22">
        <f>IF(D1143="?OLD","!!!","")</f>
        <v/>
      </c>
      <c r="F1143" s="23" t="str">
        <f>IF(OR(E1143="",E1143="!!!"),"",IF(NOT(ISNA(VLOOKUP(E1143,E$1:E1142,1,FALSE()))),"OLD",IF(AND(E1143&lt;&gt;"",E1143&lt;&gt;"!!!"),"NEW","")))</f>
        <v> </v>
      </c>
      <c r="G1143" s="24" t="str">
        <f>IF(OR(E1143="",E1143="!!!"),"",IF(OR(J1143=0,AND(J1143=1,K1143=1),AND(J1143=1,I1143="SBJ"),AND(J1143=1,I1143=0)),"?IN_FOCUS",IF(J1143&lt;=2,"?ACTIVATED",IF(J1143&lt;&gt;"","?FAMILIAR",IF(F1143="NEW",IF(ISNA(VLOOKUP(E1143,#REF!,1,FALSE())),"?TYPE_IDENTIFIABLE","?REFERENTIAL"),"_")))))</f>
        <v> </v>
      </c>
      <c r="H1143" s="25" t="str">
        <f>IF(J1143&lt;&gt;1,"",IF(I1143="SBJ","CB","?"))</f>
        <v> </v>
      </c>
      <c r="I1143" s="26" t="str">
        <f>IF(OR(E1143="",E1143="!!!",F1143="NEW"),"",INDEX(B1142:B$2,-1+SUMPRODUCT(MAX(ROW(E1142:E$2)*(E1143=E1142:E$2)))))</f>
        <v> </v>
      </c>
      <c r="J1143" s="26" t="str">
        <f>IF(OR(E1143="",E1143="!!!",F1143="NEW"),"",COUNTBLANK(OFFSET(A$1,,,SUMPRODUCT(MAX(ROW(E$2:E1143)*(E1143=E$2:E1143)))))-COUNTBLANK(OFFSET(A$1,,,SUMPRODUCT(MAX(ROW(E$1:E1142)*(E2=E$1:E1142))))))</f>
        <v> </v>
      </c>
      <c r="K1143" s="26" t="str">
        <f>IF(OR(E1143="",E1143="!!!",F1143="NEW"),"",INDEX(J$1:J1142,SUMPRODUCT(MAX(ROW(E$1:E1142)*(E1143=E$1:E1142)))))</f>
        <v> </v>
      </c>
      <c r="L1143" s="27"/>
    </row>
    <row r="1144" spans="1:12">
      <c r="A1144" s="20" t="s">
        <v>1266</v>
      </c>
      <c r="E1144" s="22">
        <f>IF(D1144="?OLD","!!!","")</f>
        <v/>
      </c>
      <c r="F1144" s="23" t="str">
        <f>IF(OR(E1144="",E1144="!!!"),"",IF(NOT(ISNA(VLOOKUP(E1144,E$1:E1143,1,FALSE()))),"OLD",IF(AND(E1144&lt;&gt;"",E1144&lt;&gt;"!!!"),"NEW","")))</f>
        <v> </v>
      </c>
      <c r="G1144" s="24" t="str">
        <f>IF(OR(E1144="",E1144="!!!"),"",IF(OR(J1144=0,AND(J1144=1,K1144=1),AND(J1144=1,I1144="SBJ"),AND(J1144=1,I1144=0)),"?IN_FOCUS",IF(J1144&lt;=2,"?ACTIVATED",IF(J1144&lt;&gt;"","?FAMILIAR",IF(F1144="NEW",IF(ISNA(VLOOKUP(E1144,#REF!,1,FALSE())),"?TYPE_IDENTIFIABLE","?REFERENTIAL"),"_")))))</f>
        <v> </v>
      </c>
      <c r="H1144" s="25" t="str">
        <f>IF(J1144&lt;&gt;1,"",IF(I1144="SBJ","CB","?"))</f>
        <v> </v>
      </c>
      <c r="I1144" s="26" t="str">
        <f>IF(OR(E1144="",E1144="!!!",F1144="NEW"),"",INDEX(B1143:B$2,-1+SUMPRODUCT(MAX(ROW(E1143:E$2)*(E1144=E1143:E$2)))))</f>
        <v> </v>
      </c>
      <c r="J1144" s="26" t="str">
        <f>IF(OR(E1144="",E1144="!!!",F1144="NEW"),"",COUNTBLANK(OFFSET(A$1,,,SUMPRODUCT(MAX(ROW(E$2:E1144)*(E1144=E$2:E1144)))))-COUNTBLANK(OFFSET(A$1,,,SUMPRODUCT(MAX(ROW(E$1:E1143)*(E2=E$1:E1143))))))</f>
        <v> </v>
      </c>
      <c r="K1144" s="26" t="str">
        <f>IF(OR(E1144="",E1144="!!!",F1144="NEW"),"",INDEX(J$1:J1143,SUMPRODUCT(MAX(ROW(E$1:E1143)*(E1144=E$1:E1143)))))</f>
        <v> </v>
      </c>
      <c r="L1144" s="27"/>
    </row>
    <row r="1145" spans="1:12">
      <c r="A1145" s="20" t="s">
        <v>759</v>
      </c>
      <c r="E1145" s="22">
        <f>IF(D1145="?OLD","!!!","")</f>
        <v/>
      </c>
      <c r="F1145" s="23" t="str">
        <f>IF(OR(E1145="",E1145="!!!"),"",IF(NOT(ISNA(VLOOKUP(E1145,E$1:E1144,1,FALSE()))),"OLD",IF(AND(E1145&lt;&gt;"",E1145&lt;&gt;"!!!"),"NEW","")))</f>
        <v> </v>
      </c>
      <c r="G1145" s="24" t="str">
        <f>IF(OR(E1145="",E1145="!!!"),"",IF(OR(J1145=0,AND(J1145=1,K1145=1),AND(J1145=1,I1145="SBJ"),AND(J1145=1,I1145=0)),"?IN_FOCUS",IF(J1145&lt;=2,"?ACTIVATED",IF(J1145&lt;&gt;"","?FAMILIAR",IF(F1145="NEW",IF(ISNA(VLOOKUP(E1145,#REF!,1,FALSE())),"?TYPE_IDENTIFIABLE","?REFERENTIAL"),"_")))))</f>
        <v> </v>
      </c>
      <c r="H1145" s="25" t="str">
        <f>IF(J1145&lt;&gt;1,"",IF(I1145="SBJ","CB","?"))</f>
        <v> </v>
      </c>
      <c r="I1145" s="26" t="str">
        <f>IF(OR(E1145="",E1145="!!!",F1145="NEW"),"",INDEX(B1144:B$2,-1+SUMPRODUCT(MAX(ROW(E1144:E$2)*(E1145=E1144:E$2)))))</f>
        <v> </v>
      </c>
      <c r="J1145" s="26" t="str">
        <f>IF(OR(E1145="",E1145="!!!",F1145="NEW"),"",COUNTBLANK(OFFSET(A$1,,,SUMPRODUCT(MAX(ROW(E$2:E1145)*(E1145=E$2:E1145)))))-COUNTBLANK(OFFSET(A$1,,,SUMPRODUCT(MAX(ROW(E$1:E1144)*(E2=E$1:E1144))))))</f>
        <v> </v>
      </c>
      <c r="K1145" s="26" t="str">
        <f>IF(OR(E1145="",E1145="!!!",F1145="NEW"),"",INDEX(J$1:J1144,SUMPRODUCT(MAX(ROW(E$1:E1144)*(E1145=E$1:E1144)))))</f>
        <v> </v>
      </c>
      <c r="L1145" s="27"/>
    </row>
    <row r="1146" spans="1:12">
      <c r="A1146" s="20" t="s">
        <v>811</v>
      </c>
      <c r="E1146" s="22">
        <f>IF(D1146="?OLD","!!!","")</f>
        <v/>
      </c>
      <c r="F1146" s="23" t="str">
        <f>IF(OR(E1146="",E1146="!!!"),"",IF(NOT(ISNA(VLOOKUP(E1146,E$1:E1145,1,FALSE()))),"OLD",IF(AND(E1146&lt;&gt;"",E1146&lt;&gt;"!!!"),"NEW","")))</f>
        <v> </v>
      </c>
      <c r="G1146" s="24" t="str">
        <f>IF(OR(E1146="",E1146="!!!"),"",IF(OR(J1146=0,AND(J1146=1,K1146=1),AND(J1146=1,I1146="SBJ"),AND(J1146=1,I1146=0)),"?IN_FOCUS",IF(J1146&lt;=2,"?ACTIVATED",IF(J1146&lt;&gt;"","?FAMILIAR",IF(F1146="NEW",IF(ISNA(VLOOKUP(E1146,#REF!,1,FALSE())),"?TYPE_IDENTIFIABLE","?REFERENTIAL"),"_")))))</f>
        <v> </v>
      </c>
      <c r="H1146" s="25" t="str">
        <f>IF(J1146&lt;&gt;1,"",IF(I1146="SBJ","CB","?"))</f>
        <v> </v>
      </c>
      <c r="I1146" s="26" t="str">
        <f>IF(OR(E1146="",E1146="!!!",F1146="NEW"),"",INDEX(B1145:B$2,-1+SUMPRODUCT(MAX(ROW(E1145:E$2)*(E1146=E1145:E$2)))))</f>
        <v> </v>
      </c>
      <c r="J1146" s="26" t="str">
        <f>IF(OR(E1146="",E1146="!!!",F1146="NEW"),"",COUNTBLANK(OFFSET(A$1,,,SUMPRODUCT(MAX(ROW(E$2:E1146)*(E1146=E$2:E1146)))))-COUNTBLANK(OFFSET(A$1,,,SUMPRODUCT(MAX(ROW(E$1:E1145)*(E2=E$1:E1145))))))</f>
        <v> </v>
      </c>
      <c r="K1146" s="26" t="str">
        <f>IF(OR(E1146="",E1146="!!!",F1146="NEW"),"",INDEX(J$1:J1145,SUMPRODUCT(MAX(ROW(E$1:E1145)*(E1146=E$1:E1145)))))</f>
        <v> </v>
      </c>
      <c r="L1146" s="27"/>
    </row>
    <row r="1147" spans="1:12">
      <c r="A1147" s="20" t="s">
        <v>762</v>
      </c>
      <c r="E1147" s="22">
        <f>IF(D1147="?OLD","!!!","")</f>
        <v/>
      </c>
      <c r="F1147" s="23" t="str">
        <f>IF(OR(E1147="",E1147="!!!"),"",IF(NOT(ISNA(VLOOKUP(E1147,E$1:E1146,1,FALSE()))),"OLD",IF(AND(E1147&lt;&gt;"",E1147&lt;&gt;"!!!"),"NEW","")))</f>
        <v> </v>
      </c>
      <c r="G1147" s="24" t="str">
        <f>IF(OR(E1147="",E1147="!!!"),"",IF(OR(J1147=0,AND(J1147=1,K1147=1),AND(J1147=1,I1147="SBJ"),AND(J1147=1,I1147=0)),"?IN_FOCUS",IF(J1147&lt;=2,"?ACTIVATED",IF(J1147&lt;&gt;"","?FAMILIAR",IF(F1147="NEW",IF(ISNA(VLOOKUP(E1147,#REF!,1,FALSE())),"?TYPE_IDENTIFIABLE","?REFERENTIAL"),"_")))))</f>
        <v> </v>
      </c>
      <c r="H1147" s="25" t="str">
        <f>IF(J1147&lt;&gt;1,"",IF(I1147="SBJ","CB","?"))</f>
        <v> </v>
      </c>
      <c r="I1147" s="26" t="str">
        <f>IF(OR(E1147="",E1147="!!!",F1147="NEW"),"",INDEX(B1146:B$2,-1+SUMPRODUCT(MAX(ROW(E1146:E$2)*(E1147=E1146:E$2)))))</f>
        <v> </v>
      </c>
      <c r="J1147" s="26" t="str">
        <f>IF(OR(E1147="",E1147="!!!",F1147="NEW"),"",COUNTBLANK(OFFSET(A$1,,,SUMPRODUCT(MAX(ROW(E$2:E1147)*(E1147=E$2:E1147)))))-COUNTBLANK(OFFSET(A$1,,,SUMPRODUCT(MAX(ROW(E$1:E1146)*(E2=E$1:E1146))))))</f>
        <v> </v>
      </c>
      <c r="K1147" s="26" t="str">
        <f>IF(OR(E1147="",E1147="!!!",F1147="NEW"),"",INDEX(J$1:J1146,SUMPRODUCT(MAX(ROW(E$1:E1146)*(E1147=E$1:E1146)))))</f>
        <v> </v>
      </c>
      <c r="L1147" s="27"/>
    </row>
    <row r="1148" spans="1:12">
      <c r="A1148" s="20" t="s">
        <v>887</v>
      </c>
      <c r="E1148" s="22">
        <f>IF(D1148="?OLD","!!!","")</f>
        <v/>
      </c>
      <c r="F1148" s="23" t="str">
        <f>IF(OR(E1148="",E1148="!!!"),"",IF(NOT(ISNA(VLOOKUP(E1148,E$1:E1147,1,FALSE()))),"OLD",IF(AND(E1148&lt;&gt;"",E1148&lt;&gt;"!!!"),"NEW","")))</f>
        <v> </v>
      </c>
      <c r="G1148" s="24" t="str">
        <f>IF(OR(E1148="",E1148="!!!"),"",IF(OR(J1148=0,AND(J1148=1,K1148=1),AND(J1148=1,I1148="SBJ"),AND(J1148=1,I1148=0)),"?IN_FOCUS",IF(J1148&lt;=2,"?ACTIVATED",IF(J1148&lt;&gt;"","?FAMILIAR",IF(F1148="NEW",IF(ISNA(VLOOKUP(E1148,#REF!,1,FALSE())),"?TYPE_IDENTIFIABLE","?REFERENTIAL"),"_")))))</f>
        <v> </v>
      </c>
      <c r="H1148" s="25" t="str">
        <f>IF(J1148&lt;&gt;1,"",IF(I1148="SBJ","CB","?"))</f>
        <v> </v>
      </c>
      <c r="I1148" s="26" t="str">
        <f>IF(OR(E1148="",E1148="!!!",F1148="NEW"),"",INDEX(B1147:B$2,-1+SUMPRODUCT(MAX(ROW(E1147:E$2)*(E1148=E1147:E$2)))))</f>
        <v> </v>
      </c>
      <c r="J1148" s="26" t="str">
        <f>IF(OR(E1148="",E1148="!!!",F1148="NEW"),"",COUNTBLANK(OFFSET(A$1,,,SUMPRODUCT(MAX(ROW(E$2:E1148)*(E1148=E$2:E1148)))))-COUNTBLANK(OFFSET(A$1,,,SUMPRODUCT(MAX(ROW(E$1:E1147)*(E2=E$1:E1147))))))</f>
        <v> </v>
      </c>
      <c r="K1148" s="26" t="str">
        <f>IF(OR(E1148="",E1148="!!!",F1148="NEW"),"",INDEX(J$1:J1147,SUMPRODUCT(MAX(ROW(E$1:E1147)*(E1148=E$1:E1147)))))</f>
        <v> </v>
      </c>
      <c r="L1148" s="27"/>
    </row>
    <row r="1149" spans="1:12">
      <c r="A1149" s="20" t="s">
        <v>1267</v>
      </c>
      <c r="E1149" s="22">
        <f>IF(D1149="?OLD","!!!","")</f>
        <v/>
      </c>
      <c r="F1149" s="23" t="str">
        <f>IF(OR(E1149="",E1149="!!!"),"",IF(NOT(ISNA(VLOOKUP(E1149,E$1:E1148,1,FALSE()))),"OLD",IF(AND(E1149&lt;&gt;"",E1149&lt;&gt;"!!!"),"NEW","")))</f>
        <v> </v>
      </c>
      <c r="G1149" s="24" t="str">
        <f>IF(OR(E1149="",E1149="!!!"),"",IF(OR(J1149=0,AND(J1149=1,K1149=1),AND(J1149=1,I1149="SBJ"),AND(J1149=1,I1149=0)),"?IN_FOCUS",IF(J1149&lt;=2,"?ACTIVATED",IF(J1149&lt;&gt;"","?FAMILIAR",IF(F1149="NEW",IF(ISNA(VLOOKUP(E1149,#REF!,1,FALSE())),"?TYPE_IDENTIFIABLE","?REFERENTIAL"),"_")))))</f>
        <v> </v>
      </c>
      <c r="H1149" s="25" t="str">
        <f>IF(J1149&lt;&gt;1,"",IF(I1149="SBJ","CB","?"))</f>
        <v> </v>
      </c>
      <c r="I1149" s="26" t="str">
        <f>IF(OR(E1149="",E1149="!!!",F1149="NEW"),"",INDEX(B1148:B$2,-1+SUMPRODUCT(MAX(ROW(E1148:E$2)*(E1149=E1148:E$2)))))</f>
        <v> </v>
      </c>
      <c r="J1149" s="26" t="str">
        <f>IF(OR(E1149="",E1149="!!!",F1149="NEW"),"",COUNTBLANK(OFFSET(A$1,,,SUMPRODUCT(MAX(ROW(E$2:E1149)*(E1149=E$2:E1149)))))-COUNTBLANK(OFFSET(A$1,,,SUMPRODUCT(MAX(ROW(E$1:E1148)*(E2=E$1:E1148))))))</f>
        <v> </v>
      </c>
      <c r="K1149" s="26" t="str">
        <f>IF(OR(E1149="",E1149="!!!",F1149="NEW"),"",INDEX(J$1:J1148,SUMPRODUCT(MAX(ROW(E$1:E1148)*(E1149=E$1:E1148)))))</f>
        <v> </v>
      </c>
      <c r="L1149" s="27"/>
    </row>
    <row r="1150" spans="1:12">
      <c r="A1150" s="20" t="s">
        <v>842</v>
      </c>
      <c r="B1150" s="21" t="s">
        <v>728</v>
      </c>
      <c r="C1150" s="21" t="s">
        <v>737</v>
      </c>
      <c r="E1150" s="22">
        <f>IF(D1150="?OLD","!!!","")</f>
        <v/>
      </c>
      <c r="F1150" s="23" t="str">
        <f>IF(OR(E1150="",E1150="!!!"),"",IF(NOT(ISNA(VLOOKUP(E1150,E$1:E1149,1,FALSE()))),"OLD",IF(AND(E1150&lt;&gt;"",E1150&lt;&gt;"!!!"),"NEW","")))</f>
        <v> </v>
      </c>
      <c r="G1150" s="24" t="str">
        <f>IF(OR(E1150="",E1150="!!!"),"",IF(OR(J1150=0,AND(J1150=1,K1150=1),AND(J1150=1,I1150="SBJ"),AND(J1150=1,I1150=0)),"?IN_FOCUS",IF(J1150&lt;=2,"?ACTIVATED",IF(J1150&lt;&gt;"","?FAMILIAR",IF(F1150="NEW",IF(ISNA(VLOOKUP(E1150,#REF!,1,FALSE())),"?TYPE_IDENTIFIABLE","?REFERENTIAL"),"_")))))</f>
        <v> </v>
      </c>
      <c r="H1150" s="25" t="str">
        <f>IF(J1150&lt;&gt;1,"",IF(I1150="SBJ","CB","?"))</f>
        <v> </v>
      </c>
      <c r="I1150" s="26" t="str">
        <f>IF(OR(E1150="",E1150="!!!",F1150="NEW"),"",INDEX(B1149:B$2,-1+SUMPRODUCT(MAX(ROW(E1149:E$2)*(E1150=E1149:E$2)))))</f>
        <v> </v>
      </c>
      <c r="J1150" s="26" t="str">
        <f>IF(OR(E1150="",E1150="!!!",F1150="NEW"),"",COUNTBLANK(OFFSET(A$1,,,SUMPRODUCT(MAX(ROW(E$2:E1150)*(E1150=E$2:E1150)))))-COUNTBLANK(OFFSET(A$1,,,SUMPRODUCT(MAX(ROW(E$1:E1149)*(E2=E$1:E1149))))))</f>
        <v> </v>
      </c>
      <c r="K1150" s="26" t="str">
        <f>IF(OR(E1150="",E1150="!!!",F1150="NEW"),"",INDEX(J$1:J1149,SUMPRODUCT(MAX(ROW(E$1:E1149)*(E1150=E$1:E1149)))))</f>
        <v> </v>
      </c>
      <c r="L1150" s="27"/>
    </row>
    <row r="1151" spans="1:12">
      <c r="A1151" s="20" t="s">
        <v>1268</v>
      </c>
      <c r="E1151" s="22">
        <f>IF(D1151="?OLD","!!!","")</f>
        <v/>
      </c>
      <c r="F1151" s="23" t="str">
        <f>IF(OR(E1151="",E1151="!!!"),"",IF(NOT(ISNA(VLOOKUP(E1151,E$1:E1150,1,FALSE()))),"OLD",IF(AND(E1151&lt;&gt;"",E1151&lt;&gt;"!!!"),"NEW","")))</f>
        <v> </v>
      </c>
      <c r="G1151" s="24" t="str">
        <f>IF(OR(E1151="",E1151="!!!"),"",IF(OR(J1151=0,AND(J1151=1,K1151=1),AND(J1151=1,I1151="SBJ"),AND(J1151=1,I1151=0)),"?IN_FOCUS",IF(J1151&lt;=2,"?ACTIVATED",IF(J1151&lt;&gt;"","?FAMILIAR",IF(F1151="NEW",IF(ISNA(VLOOKUP(E1151,#REF!,1,FALSE())),"?TYPE_IDENTIFIABLE","?REFERENTIAL"),"_")))))</f>
        <v> </v>
      </c>
      <c r="H1151" s="25" t="str">
        <f>IF(J1151&lt;&gt;1,"",IF(I1151="SBJ","CB","?"))</f>
        <v> </v>
      </c>
      <c r="I1151" s="26" t="str">
        <f>IF(OR(E1151="",E1151="!!!",F1151="NEW"),"",INDEX(B1150:B$2,-1+SUMPRODUCT(MAX(ROW(E1150:E$2)*(E1151=E1150:E$2)))))</f>
        <v> </v>
      </c>
      <c r="J1151" s="26" t="str">
        <f>IF(OR(E1151="",E1151="!!!",F1151="NEW"),"",COUNTBLANK(OFFSET(A$1,,,SUMPRODUCT(MAX(ROW(E$2:E1151)*(E1151=E$2:E1151)))))-COUNTBLANK(OFFSET(A$1,,,SUMPRODUCT(MAX(ROW(E$1:E1150)*(E2=E$1:E1150))))))</f>
        <v> </v>
      </c>
      <c r="K1151" s="26" t="str">
        <f>IF(OR(E1151="",E1151="!!!",F1151="NEW"),"",INDEX(J$1:J1150,SUMPRODUCT(MAX(ROW(E$1:E1150)*(E1151=E$1:E1150)))))</f>
        <v> </v>
      </c>
      <c r="L1151" s="27"/>
    </row>
    <row r="1152" spans="1:12">
      <c r="A1152" s="20" t="s">
        <v>759</v>
      </c>
      <c r="E1152" s="22">
        <f>IF(D1152="?OLD","!!!","")</f>
        <v/>
      </c>
      <c r="F1152" s="23" t="str">
        <f>IF(OR(E1152="",E1152="!!!"),"",IF(NOT(ISNA(VLOOKUP(E1152,E$1:E1151,1,FALSE()))),"OLD",IF(AND(E1152&lt;&gt;"",E1152&lt;&gt;"!!!"),"NEW","")))</f>
        <v> </v>
      </c>
      <c r="G1152" s="24" t="str">
        <f>IF(OR(E1152="",E1152="!!!"),"",IF(OR(J1152=0,AND(J1152=1,K1152=1),AND(J1152=1,I1152="SBJ"),AND(J1152=1,I1152=0)),"?IN_FOCUS",IF(J1152&lt;=2,"?ACTIVATED",IF(J1152&lt;&gt;"","?FAMILIAR",IF(F1152="NEW",IF(ISNA(VLOOKUP(E1152,#REF!,1,FALSE())),"?TYPE_IDENTIFIABLE","?REFERENTIAL"),"_")))))</f>
        <v> </v>
      </c>
      <c r="H1152" s="25" t="str">
        <f>IF(J1152&lt;&gt;1,"",IF(I1152="SBJ","CB","?"))</f>
        <v> </v>
      </c>
      <c r="I1152" s="26" t="str">
        <f>IF(OR(E1152="",E1152="!!!",F1152="NEW"),"",INDEX(B1151:B$2,-1+SUMPRODUCT(MAX(ROW(E1151:E$2)*(E1152=E1151:E$2)))))</f>
        <v> </v>
      </c>
      <c r="J1152" s="26" t="str">
        <f>IF(OR(E1152="",E1152="!!!",F1152="NEW"),"",COUNTBLANK(OFFSET(A$1,,,SUMPRODUCT(MAX(ROW(E$2:E1152)*(E1152=E$2:E1152)))))-COUNTBLANK(OFFSET(A$1,,,SUMPRODUCT(MAX(ROW(E$1:E1151)*(E2=E$1:E1151))))))</f>
        <v> </v>
      </c>
      <c r="K1152" s="26" t="str">
        <f>IF(OR(E1152="",E1152="!!!",F1152="NEW"),"",INDEX(J$1:J1151,SUMPRODUCT(MAX(ROW(E$1:E1151)*(E1152=E$1:E1151)))))</f>
        <v> </v>
      </c>
      <c r="L1152" s="27"/>
    </row>
    <row r="1153" spans="1:12">
      <c r="A1153" s="20" t="s">
        <v>762</v>
      </c>
      <c r="E1153" s="22">
        <f>IF(D1153="?OLD","!!!","")</f>
        <v/>
      </c>
      <c r="F1153" s="23" t="str">
        <f>IF(OR(E1153="",E1153="!!!"),"",IF(NOT(ISNA(VLOOKUP(E1153,E$1:E1152,1,FALSE()))),"OLD",IF(AND(E1153&lt;&gt;"",E1153&lt;&gt;"!!!"),"NEW","")))</f>
        <v> </v>
      </c>
      <c r="G1153" s="24" t="str">
        <f>IF(OR(E1153="",E1153="!!!"),"",IF(OR(J1153=0,AND(J1153=1,K1153=1),AND(J1153=1,I1153="SBJ"),AND(J1153=1,I1153=0)),"?IN_FOCUS",IF(J1153&lt;=2,"?ACTIVATED",IF(J1153&lt;&gt;"","?FAMILIAR",IF(F1153="NEW",IF(ISNA(VLOOKUP(E1153,#REF!,1,FALSE())),"?TYPE_IDENTIFIABLE","?REFERENTIAL"),"_")))))</f>
        <v> </v>
      </c>
      <c r="H1153" s="25" t="str">
        <f>IF(J1153&lt;&gt;1,"",IF(I1153="SBJ","CB","?"))</f>
        <v> </v>
      </c>
      <c r="I1153" s="26" t="str">
        <f>IF(OR(E1153="",E1153="!!!",F1153="NEW"),"",INDEX(B1152:B$2,-1+SUMPRODUCT(MAX(ROW(E1152:E$2)*(E1153=E1152:E$2)))))</f>
        <v> </v>
      </c>
      <c r="J1153" s="26" t="str">
        <f>IF(OR(E1153="",E1153="!!!",F1153="NEW"),"",COUNTBLANK(OFFSET(A$1,,,SUMPRODUCT(MAX(ROW(E$2:E1153)*(E1153=E$2:E1153)))))-COUNTBLANK(OFFSET(A$1,,,SUMPRODUCT(MAX(ROW(E$1:E1152)*(E2=E$1:E1152))))))</f>
        <v> </v>
      </c>
      <c r="K1153" s="26" t="str">
        <f>IF(OR(E1153="",E1153="!!!",F1153="NEW"),"",INDEX(J$1:J1152,SUMPRODUCT(MAX(ROW(E$1:E1152)*(E1153=E$1:E1152)))))</f>
        <v> </v>
      </c>
      <c r="L1153" s="27"/>
    </row>
    <row r="1154" spans="1:12">
      <c r="A1154" s="20" t="s">
        <v>887</v>
      </c>
      <c r="E1154" s="22">
        <f>IF(D1154="?OLD","!!!","")</f>
        <v/>
      </c>
      <c r="F1154" s="23" t="str">
        <f>IF(OR(E1154="",E1154="!!!"),"",IF(NOT(ISNA(VLOOKUP(E1154,E$1:E1153,1,FALSE()))),"OLD",IF(AND(E1154&lt;&gt;"",E1154&lt;&gt;"!!!"),"NEW","")))</f>
        <v> </v>
      </c>
      <c r="G1154" s="24" t="str">
        <f>IF(OR(E1154="",E1154="!!!"),"",IF(OR(J1154=0,AND(J1154=1,K1154=1),AND(J1154=1,I1154="SBJ"),AND(J1154=1,I1154=0)),"?IN_FOCUS",IF(J1154&lt;=2,"?ACTIVATED",IF(J1154&lt;&gt;"","?FAMILIAR",IF(F1154="NEW",IF(ISNA(VLOOKUP(E1154,#REF!,1,FALSE())),"?TYPE_IDENTIFIABLE","?REFERENTIAL"),"_")))))</f>
        <v> </v>
      </c>
      <c r="H1154" s="25" t="str">
        <f>IF(J1154&lt;&gt;1,"",IF(I1154="SBJ","CB","?"))</f>
        <v> </v>
      </c>
      <c r="I1154" s="26" t="str">
        <f>IF(OR(E1154="",E1154="!!!",F1154="NEW"),"",INDEX(B1153:B$2,-1+SUMPRODUCT(MAX(ROW(E1153:E$2)*(E1154=E1153:E$2)))))</f>
        <v> </v>
      </c>
      <c r="J1154" s="26" t="str">
        <f>IF(OR(E1154="",E1154="!!!",F1154="NEW"),"",COUNTBLANK(OFFSET(A$1,,,SUMPRODUCT(MAX(ROW(E$2:E1154)*(E1154=E$2:E1154)))))-COUNTBLANK(OFFSET(A$1,,,SUMPRODUCT(MAX(ROW(E$1:E1153)*(E2=E$1:E1153))))))</f>
        <v> </v>
      </c>
      <c r="K1154" s="26" t="str">
        <f>IF(OR(E1154="",E1154="!!!",F1154="NEW"),"",INDEX(J$1:J1153,SUMPRODUCT(MAX(ROW(E$1:E1153)*(E1154=E$1:E1153)))))</f>
        <v> </v>
      </c>
      <c r="L1154" s="27"/>
    </row>
    <row r="1155" spans="1:12">
      <c r="A1155" s="20" t="s">
        <v>1267</v>
      </c>
      <c r="E1155" s="22">
        <f>IF(D1155="?OLD","!!!","")</f>
        <v/>
      </c>
      <c r="F1155" s="23" t="str">
        <f>IF(OR(E1155="",E1155="!!!"),"",IF(NOT(ISNA(VLOOKUP(E1155,E$1:E1154,1,FALSE()))),"OLD",IF(AND(E1155&lt;&gt;"",E1155&lt;&gt;"!!!"),"NEW","")))</f>
        <v> </v>
      </c>
      <c r="G1155" s="24" t="str">
        <f>IF(OR(E1155="",E1155="!!!"),"",IF(OR(J1155=0,AND(J1155=1,K1155=1),AND(J1155=1,I1155="SBJ"),AND(J1155=1,I1155=0)),"?IN_FOCUS",IF(J1155&lt;=2,"?ACTIVATED",IF(J1155&lt;&gt;"","?FAMILIAR",IF(F1155="NEW",IF(ISNA(VLOOKUP(E1155,#REF!,1,FALSE())),"?TYPE_IDENTIFIABLE","?REFERENTIAL"),"_")))))</f>
        <v> </v>
      </c>
      <c r="H1155" s="25" t="str">
        <f>IF(J1155&lt;&gt;1,"",IF(I1155="SBJ","CB","?"))</f>
        <v> </v>
      </c>
      <c r="I1155" s="26" t="str">
        <f>IF(OR(E1155="",E1155="!!!",F1155="NEW"),"",INDEX(B1154:B$2,-1+SUMPRODUCT(MAX(ROW(E1154:E$2)*(E1155=E1154:E$2)))))</f>
        <v> </v>
      </c>
      <c r="J1155" s="26" t="str">
        <f>IF(OR(E1155="",E1155="!!!",F1155="NEW"),"",COUNTBLANK(OFFSET(A$1,,,SUMPRODUCT(MAX(ROW(E$2:E1155)*(E1155=E$2:E1155)))))-COUNTBLANK(OFFSET(A$1,,,SUMPRODUCT(MAX(ROW(E$1:E1154)*(E2=E$1:E1154))))))</f>
        <v> </v>
      </c>
      <c r="K1155" s="26" t="str">
        <f>IF(OR(E1155="",E1155="!!!",F1155="NEW"),"",INDEX(J$1:J1154,SUMPRODUCT(MAX(ROW(E$1:E1154)*(E1155=E$1:E1154)))))</f>
        <v> </v>
      </c>
      <c r="L1155" s="27"/>
    </row>
    <row r="1156" spans="1:12">
      <c r="A1156" s="20" t="s">
        <v>842</v>
      </c>
      <c r="B1156" s="21" t="s">
        <v>736</v>
      </c>
      <c r="C1156" s="21" t="s">
        <v>737</v>
      </c>
      <c r="E1156" s="22">
        <f>IF(D1156="?OLD","!!!","")</f>
        <v/>
      </c>
      <c r="F1156" s="23" t="str">
        <f>IF(OR(E1156="",E1156="!!!"),"",IF(NOT(ISNA(VLOOKUP(E1156,E$1:E1155,1,FALSE()))),"OLD",IF(AND(E1156&lt;&gt;"",E1156&lt;&gt;"!!!"),"NEW","")))</f>
        <v> </v>
      </c>
      <c r="G1156" s="24" t="str">
        <f>IF(OR(E1156="",E1156="!!!"),"",IF(OR(J1156=0,AND(J1156=1,K1156=1),AND(J1156=1,I1156="SBJ"),AND(J1156=1,I1156=0)),"?IN_FOCUS",IF(J1156&lt;=2,"?ACTIVATED",IF(J1156&lt;&gt;"","?FAMILIAR",IF(F1156="NEW",IF(ISNA(VLOOKUP(E1156,#REF!,1,FALSE())),"?TYPE_IDENTIFIABLE","?REFERENTIAL"),"_")))))</f>
        <v> </v>
      </c>
      <c r="H1156" s="25" t="str">
        <f>IF(J1156&lt;&gt;1,"",IF(I1156="SBJ","CB","?"))</f>
        <v> </v>
      </c>
      <c r="I1156" s="26" t="str">
        <f>IF(OR(E1156="",E1156="!!!",F1156="NEW"),"",INDEX(B1155:B$2,-1+SUMPRODUCT(MAX(ROW(E1155:E$2)*(E1156=E1155:E$2)))))</f>
        <v> </v>
      </c>
      <c r="J1156" s="26" t="str">
        <f>IF(OR(E1156="",E1156="!!!",F1156="NEW"),"",COUNTBLANK(OFFSET(A$1,,,SUMPRODUCT(MAX(ROW(E$2:E1156)*(E1156=E$2:E1156)))))-COUNTBLANK(OFFSET(A$1,,,SUMPRODUCT(MAX(ROW(E$1:E1155)*(E2=E$1:E1155))))))</f>
        <v> </v>
      </c>
      <c r="K1156" s="26" t="str">
        <f>IF(OR(E1156="",E1156="!!!",F1156="NEW"),"",INDEX(J$1:J1155,SUMPRODUCT(MAX(ROW(E$1:E1155)*(E1156=E$1:E1155)))))</f>
        <v> </v>
      </c>
      <c r="L1156" s="27"/>
    </row>
    <row r="1157" spans="1:12">
      <c r="A1157" s="20" t="s">
        <v>757</v>
      </c>
      <c r="E1157" s="22">
        <f>IF(D1157="?OLD","!!!","")</f>
        <v/>
      </c>
      <c r="F1157" s="23" t="str">
        <f>IF(OR(E1157="",E1157="!!!"),"",IF(NOT(ISNA(VLOOKUP(E1157,E$1:E1156,1,FALSE()))),"OLD",IF(AND(E1157&lt;&gt;"",E1157&lt;&gt;"!!!"),"NEW","")))</f>
        <v> </v>
      </c>
      <c r="G1157" s="24" t="str">
        <f>IF(OR(E1157="",E1157="!!!"),"",IF(OR(J1157=0,AND(J1157=1,K1157=1),AND(J1157=1,I1157="SBJ"),AND(J1157=1,I1157=0)),"?IN_FOCUS",IF(J1157&lt;=2,"?ACTIVATED",IF(J1157&lt;&gt;"","?FAMILIAR",IF(F1157="NEW",IF(ISNA(VLOOKUP(E1157,#REF!,1,FALSE())),"?TYPE_IDENTIFIABLE","?REFERENTIAL"),"_")))))</f>
        <v> </v>
      </c>
      <c r="H1157" s="25" t="str">
        <f>IF(J1157&lt;&gt;1,"",IF(I1157="SBJ","CB","?"))</f>
        <v> </v>
      </c>
      <c r="I1157" s="26" t="str">
        <f>IF(OR(E1157="",E1157="!!!",F1157="NEW"),"",INDEX(B1156:B$2,-1+SUMPRODUCT(MAX(ROW(E1156:E$2)*(E1157=E1156:E$2)))))</f>
        <v> </v>
      </c>
      <c r="J1157" s="26" t="str">
        <f>IF(OR(E1157="",E1157="!!!",F1157="NEW"),"",COUNTBLANK(OFFSET(A$1,,,SUMPRODUCT(MAX(ROW(E$2:E1157)*(E1157=E$2:E1157)))))-COUNTBLANK(OFFSET(A$1,,,SUMPRODUCT(MAX(ROW(E$1:E1156)*(E2=E$1:E1156))))))</f>
        <v> </v>
      </c>
      <c r="K1157" s="26" t="str">
        <f>IF(OR(E1157="",E1157="!!!",F1157="NEW"),"",INDEX(J$1:J1156,SUMPRODUCT(MAX(ROW(E$1:E1156)*(E1157=E$1:E1156)))))</f>
        <v> </v>
      </c>
      <c r="L1157" s="27"/>
    </row>
    <row r="1158" spans="1:12">
      <c r="A1158" s="20" t="s">
        <v>959</v>
      </c>
      <c r="B1158" s="21" t="s">
        <v>739</v>
      </c>
      <c r="C1158" s="21" t="s">
        <v>753</v>
      </c>
      <c r="D1158" s="21" t="s">
        <v>730</v>
      </c>
      <c r="E1158" s="22">
        <f>IF(D1158="?OLD","!!!","")</f>
        <v/>
      </c>
      <c r="F1158" s="23" t="str">
        <f>IF(OR(E1158="",E1158="!!!"),"",IF(NOT(ISNA(VLOOKUP(E1158,E$1:E1157,1,FALSE()))),"OLD",IF(AND(E1158&lt;&gt;"",E1158&lt;&gt;"!!!"),"NEW","")))</f>
        <v> </v>
      </c>
      <c r="G1158" s="24" t="str">
        <f>IF(OR(E1158="",E1158="!!!"),"",IF(OR(J1158=0,AND(J1158=1,K1158=1),AND(J1158=1,I1158="SBJ"),AND(J1158=1,I1158=0)),"?IN_FOCUS",IF(J1158&lt;=2,"?ACTIVATED",IF(J1158&lt;&gt;"","?FAMILIAR",IF(F1158="NEW",IF(ISNA(VLOOKUP(E1158,#REF!,1,FALSE())),"?TYPE_IDENTIFIABLE","?REFERENTIAL"),"_")))))</f>
        <v> </v>
      </c>
      <c r="H1158" s="25" t="str">
        <f>IF(J1158&lt;&gt;1,"",IF(I1158="SBJ","CB","?"))</f>
        <v> </v>
      </c>
      <c r="I1158" s="26" t="str">
        <f>IF(OR(E1158="",E1158="!!!",F1158="NEW"),"",INDEX(B1157:B$2,-1+SUMPRODUCT(MAX(ROW(E1157:E$2)*(E1158=E1157:E$2)))))</f>
        <v> </v>
      </c>
      <c r="J1158" s="26" t="str">
        <f>IF(OR(E1158="",E1158="!!!",F1158="NEW"),"",COUNTBLANK(OFFSET(A$1,,,SUMPRODUCT(MAX(ROW(E$2:E1158)*(E1158=E$2:E1158)))))-COUNTBLANK(OFFSET(A$1,,,SUMPRODUCT(MAX(ROW(E$1:E1157)*(E2=E$1:E1157))))))</f>
        <v> </v>
      </c>
      <c r="K1158" s="26" t="str">
        <f>IF(OR(E1158="",E1158="!!!",F1158="NEW"),"",INDEX(J$1:J1157,SUMPRODUCT(MAX(ROW(E$1:E1157)*(E1158=E$1:E1157)))))</f>
        <v> </v>
      </c>
      <c r="L1158" s="27"/>
    </row>
    <row r="1159" spans="1:12">
      <c r="A1159" s="20" t="s">
        <v>1107</v>
      </c>
      <c r="E1159" s="22">
        <f>IF(D1159="?OLD","!!!","")</f>
        <v/>
      </c>
      <c r="F1159" s="23" t="str">
        <f>IF(OR(E1159="",E1159="!!!"),"",IF(NOT(ISNA(VLOOKUP(E1159,E$1:E1158,1,FALSE()))),"OLD",IF(AND(E1159&lt;&gt;"",E1159&lt;&gt;"!!!"),"NEW","")))</f>
        <v> </v>
      </c>
      <c r="G1159" s="24" t="str">
        <f>IF(OR(E1159="",E1159="!!!"),"",IF(OR(J1159=0,AND(J1159=1,K1159=1),AND(J1159=1,I1159="SBJ"),AND(J1159=1,I1159=0)),"?IN_FOCUS",IF(J1159&lt;=2,"?ACTIVATED",IF(J1159&lt;&gt;"","?FAMILIAR",IF(F1159="NEW",IF(ISNA(VLOOKUP(E1159,#REF!,1,FALSE())),"?TYPE_IDENTIFIABLE","?REFERENTIAL"),"_")))))</f>
        <v> </v>
      </c>
      <c r="H1159" s="25" t="str">
        <f>IF(J1159&lt;&gt;1,"",IF(I1159="SBJ","CB","?"))</f>
        <v> </v>
      </c>
      <c r="I1159" s="26" t="str">
        <f>IF(OR(E1159="",E1159="!!!",F1159="NEW"),"",INDEX(B1158:B$2,-1+SUMPRODUCT(MAX(ROW(E1158:E$2)*(E1159=E1158:E$2)))))</f>
        <v> </v>
      </c>
      <c r="J1159" s="26" t="str">
        <f>IF(OR(E1159="",E1159="!!!",F1159="NEW"),"",COUNTBLANK(OFFSET(A$1,,,SUMPRODUCT(MAX(ROW(E$2:E1159)*(E1159=E$2:E1159)))))-COUNTBLANK(OFFSET(A$1,,,SUMPRODUCT(MAX(ROW(E$1:E1158)*(E2=E$1:E1158))))))</f>
        <v> </v>
      </c>
      <c r="K1159" s="26" t="str">
        <f>IF(OR(E1159="",E1159="!!!",F1159="NEW"),"",INDEX(J$1:J1158,SUMPRODUCT(MAX(ROW(E$1:E1158)*(E1159=E$1:E1158)))))</f>
        <v> </v>
      </c>
      <c r="L1159" s="27"/>
    </row>
    <row r="1160" spans="1:12">
      <c r="A1160" s="20" t="s">
        <v>1269</v>
      </c>
      <c r="B1160" s="21" t="s">
        <v>755</v>
      </c>
      <c r="C1160" s="21" t="s">
        <v>748</v>
      </c>
      <c r="E1160" s="22">
        <f>IF(D1160="?OLD","!!!","")</f>
        <v/>
      </c>
      <c r="F1160" s="23" t="str">
        <f>IF(OR(E1160="",E1160="!!!"),"",IF(NOT(ISNA(VLOOKUP(E1160,E$1:E1159,1,FALSE()))),"OLD",IF(AND(E1160&lt;&gt;"",E1160&lt;&gt;"!!!"),"NEW","")))</f>
        <v> </v>
      </c>
      <c r="G1160" s="24" t="str">
        <f>IF(OR(E1160="",E1160="!!!"),"",IF(OR(J1160=0,AND(J1160=1,K1160=1),AND(J1160=1,I1160="SBJ"),AND(J1160=1,I1160=0)),"?IN_FOCUS",IF(J1160&lt;=2,"?ACTIVATED",IF(J1160&lt;&gt;"","?FAMILIAR",IF(F1160="NEW",IF(ISNA(VLOOKUP(E1160,#REF!,1,FALSE())),"?TYPE_IDENTIFIABLE","?REFERENTIAL"),"_")))))</f>
        <v> </v>
      </c>
      <c r="H1160" s="25" t="str">
        <f>IF(J1160&lt;&gt;1,"",IF(I1160="SBJ","CB","?"))</f>
        <v> </v>
      </c>
      <c r="I1160" s="26" t="str">
        <f>IF(OR(E1160="",E1160="!!!",F1160="NEW"),"",INDEX(B1159:B$2,-1+SUMPRODUCT(MAX(ROW(E1159:E$2)*(E1160=E1159:E$2)))))</f>
        <v> </v>
      </c>
      <c r="J1160" s="26" t="str">
        <f>IF(OR(E1160="",E1160="!!!",F1160="NEW"),"",COUNTBLANK(OFFSET(A$1,,,SUMPRODUCT(MAX(ROW(E$2:E1160)*(E1160=E$2:E1160)))))-COUNTBLANK(OFFSET(A$1,,,SUMPRODUCT(MAX(ROW(E$1:E1159)*(E2=E$1:E1159))))))</f>
        <v> </v>
      </c>
      <c r="K1160" s="26" t="str">
        <f>IF(OR(E1160="",E1160="!!!",F1160="NEW"),"",INDEX(J$1:J1159,SUMPRODUCT(MAX(ROW(E$1:E1159)*(E1160=E$1:E1159)))))</f>
        <v> </v>
      </c>
      <c r="L1160" s="27"/>
    </row>
    <row r="1161" spans="1:12">
      <c r="A1161" s="20" t="s">
        <v>246</v>
      </c>
      <c r="E1161" s="22">
        <f>IF(D1161="?OLD","!!!","")</f>
        <v/>
      </c>
      <c r="F1161" s="23" t="str">
        <f>IF(OR(E1161="",E1161="!!!"),"",IF(NOT(ISNA(VLOOKUP(E1161,E$1:E1160,1,FALSE()))),"OLD",IF(AND(E1161&lt;&gt;"",E1161&lt;&gt;"!!!"),"NEW","")))</f>
        <v> </v>
      </c>
      <c r="G1161" s="24" t="str">
        <f>IF(OR(E1161="",E1161="!!!"),"",IF(OR(J1161=0,AND(J1161=1,K1161=1),AND(J1161=1,I1161="SBJ"),AND(J1161=1,I1161=0)),"?IN_FOCUS",IF(J1161&lt;=2,"?ACTIVATED",IF(J1161&lt;&gt;"","?FAMILIAR",IF(F1161="NEW",IF(ISNA(VLOOKUP(E1161,#REF!,1,FALSE())),"?TYPE_IDENTIFIABLE","?REFERENTIAL"),"_")))))</f>
        <v> </v>
      </c>
      <c r="H1161" s="25" t="str">
        <f>IF(J1161&lt;&gt;1,"",IF(I1161="SBJ","CB","?"))</f>
        <v> </v>
      </c>
      <c r="I1161" s="26" t="str">
        <f>IF(OR(E1161="",E1161="!!!",F1161="NEW"),"",INDEX(B1160:B$2,-1+SUMPRODUCT(MAX(ROW(E1160:E$2)*(E1161=E1160:E$2)))))</f>
        <v> </v>
      </c>
      <c r="J1161" s="26" t="str">
        <f>IF(OR(E1161="",E1161="!!!",F1161="NEW"),"",COUNTBLANK(OFFSET(A$1,,,SUMPRODUCT(MAX(ROW(E$2:E1161)*(E1161=E$2:E1161)))))-COUNTBLANK(OFFSET(A$1,,,SUMPRODUCT(MAX(ROW(E$1:E1160)*(E2=E$1:E1160))))))</f>
        <v> </v>
      </c>
      <c r="K1161" s="26" t="str">
        <f>IF(OR(E1161="",E1161="!!!",F1161="NEW"),"",INDEX(J$1:J1160,SUMPRODUCT(MAX(ROW(E$1:E1160)*(E1161=E$1:E1160)))))</f>
        <v> </v>
      </c>
      <c r="L1161" s="27"/>
    </row>
    <row r="1162" spans="1:12">
      <c r="A1162" s="20"/>
    </row>
    <row r="1163" spans="1:12">
      <c r="A1163" s="20" t="s">
        <v>1270</v>
      </c>
    </row>
    <row r="1164" spans="1:12">
      <c r="A1164" s="20" t="s">
        <v>1005</v>
      </c>
      <c r="E1164" s="22">
        <f>IF(D1164="?OLD","!!!","")</f>
        <v/>
      </c>
      <c r="F1164" s="23" t="str">
        <f>IF(OR(E1164="",E1164="!!!"),"",IF(NOT(ISNA(VLOOKUP(E1164,E$1:E1163,1,FALSE()))),"OLD",IF(AND(E1164&lt;&gt;"",E1164&lt;&gt;"!!!"),"NEW","")))</f>
        <v> </v>
      </c>
      <c r="G1164" s="24" t="str">
        <f>IF(OR(E1164="",E1164="!!!"),"",IF(OR(J1164=0,AND(J1164=1,K1164=1),AND(J1164=1,I1164="SBJ"),AND(J1164=1,I1164=0)),"?IN_FOCUS",IF(J1164&lt;=2,"?ACTIVATED",IF(J1164&lt;&gt;"","?FAMILIAR",IF(F1164="NEW",IF(ISNA(VLOOKUP(E1164,#REF!,1,FALSE())),"?TYPE_IDENTIFIABLE","?REFERENTIAL"),"_")))))</f>
        <v> </v>
      </c>
      <c r="H1164" s="25" t="str">
        <f>IF(J1164&lt;&gt;1,"",IF(I1164="SBJ","CB","?"))</f>
        <v> </v>
      </c>
      <c r="I1164" s="26" t="str">
        <f>IF(OR(E1164="",E1164="!!!",F1164="NEW"),"",INDEX(B1163:B$2,-1+SUMPRODUCT(MAX(ROW(E1163:E$2)*(E1164=E1163:E$2)))))</f>
        <v> </v>
      </c>
      <c r="J1164" s="26" t="str">
        <f>IF(OR(E1164="",E1164="!!!",F1164="NEW"),"",COUNTBLANK(OFFSET(A$1,,,SUMPRODUCT(MAX(ROW(E$2:E1164)*(E1164=E$2:E1164)))))-COUNTBLANK(OFFSET(A$1,,,SUMPRODUCT(MAX(ROW(E$1:E1163)*(E2=E$1:E1163))))))</f>
        <v> </v>
      </c>
      <c r="K1164" s="26" t="str">
        <f>IF(OR(E1164="",E1164="!!!",F1164="NEW"),"",INDEX(J$1:J1163,SUMPRODUCT(MAX(ROW(E$1:E1163)*(E1164=E$1:E1163)))))</f>
        <v> </v>
      </c>
      <c r="L1164" s="27"/>
    </row>
    <row r="1165" spans="1:12">
      <c r="A1165" s="20" t="s">
        <v>1271</v>
      </c>
      <c r="E1165" s="22">
        <f>IF(D1165="?OLD","!!!","")</f>
        <v/>
      </c>
      <c r="F1165" s="23" t="str">
        <f>IF(OR(E1165="",E1165="!!!"),"",IF(NOT(ISNA(VLOOKUP(E1165,E$1:E1164,1,FALSE()))),"OLD",IF(AND(E1165&lt;&gt;"",E1165&lt;&gt;"!!!"),"NEW","")))</f>
        <v> </v>
      </c>
      <c r="G1165" s="24" t="str">
        <f>IF(OR(E1165="",E1165="!!!"),"",IF(OR(J1165=0,AND(J1165=1,K1165=1),AND(J1165=1,I1165="SBJ"),AND(J1165=1,I1165=0)),"?IN_FOCUS",IF(J1165&lt;=2,"?ACTIVATED",IF(J1165&lt;&gt;"","?FAMILIAR",IF(F1165="NEW",IF(ISNA(VLOOKUP(E1165,#REF!,1,FALSE())),"?TYPE_IDENTIFIABLE","?REFERENTIAL"),"_")))))</f>
        <v> </v>
      </c>
      <c r="H1165" s="25" t="str">
        <f>IF(J1165&lt;&gt;1,"",IF(I1165="SBJ","CB","?"))</f>
        <v> </v>
      </c>
      <c r="I1165" s="26" t="str">
        <f>IF(OR(E1165="",E1165="!!!",F1165="NEW"),"",INDEX(B1164:B$2,-1+SUMPRODUCT(MAX(ROW(E1164:E$2)*(E1165=E1164:E$2)))))</f>
        <v> </v>
      </c>
      <c r="J1165" s="26" t="str">
        <f>IF(OR(E1165="",E1165="!!!",F1165="NEW"),"",COUNTBLANK(OFFSET(A$1,,,SUMPRODUCT(MAX(ROW(E$2:E1165)*(E1165=E$2:E1165)))))-COUNTBLANK(OFFSET(A$1,,,SUMPRODUCT(MAX(ROW(E$1:E1164)*(E2=E$1:E1164))))))</f>
        <v> </v>
      </c>
      <c r="K1165" s="26" t="str">
        <f>IF(OR(E1165="",E1165="!!!",F1165="NEW"),"",INDEX(J$1:J1164,SUMPRODUCT(MAX(ROW(E$1:E1164)*(E1165=E$1:E1164)))))</f>
        <v> </v>
      </c>
      <c r="L1165" s="27"/>
    </row>
    <row r="1166" spans="1:12">
      <c r="A1166" s="20" t="s">
        <v>750</v>
      </c>
      <c r="B1166" s="21" t="s">
        <v>728</v>
      </c>
      <c r="C1166" s="21" t="s">
        <v>729</v>
      </c>
      <c r="D1166" s="21" t="s">
        <v>730</v>
      </c>
      <c r="E1166" s="22">
        <f>IF(D1166="?OLD","!!!","")</f>
        <v/>
      </c>
      <c r="F1166" s="23" t="str">
        <f>IF(OR(E1166="",E1166="!!!"),"",IF(NOT(ISNA(VLOOKUP(E1166,E$1:E1165,1,FALSE()))),"OLD",IF(AND(E1166&lt;&gt;"",E1166&lt;&gt;"!!!"),"NEW","")))</f>
        <v> </v>
      </c>
      <c r="G1166" s="24" t="str">
        <f>IF(OR(E1166="",E1166="!!!"),"",IF(OR(J1166=0,AND(J1166=1,K1166=1),AND(J1166=1,I1166="SBJ"),AND(J1166=1,I1166=0)),"?IN_FOCUS",IF(J1166&lt;=2,"?ACTIVATED",IF(J1166&lt;&gt;"","?FAMILIAR",IF(F1166="NEW",IF(ISNA(VLOOKUP(E1166,#REF!,1,FALSE())),"?TYPE_IDENTIFIABLE","?REFERENTIAL"),"_")))))</f>
        <v> </v>
      </c>
      <c r="H1166" s="25" t="str">
        <f>IF(J1166&lt;&gt;1,"",IF(I1166="SBJ","CB","?"))</f>
        <v> </v>
      </c>
      <c r="I1166" s="26" t="str">
        <f>IF(OR(E1166="",E1166="!!!",F1166="NEW"),"",INDEX(B1165:B$2,-1+SUMPRODUCT(MAX(ROW(E1165:E$2)*(E1166=E1165:E$2)))))</f>
        <v> </v>
      </c>
      <c r="J1166" s="26" t="str">
        <f>IF(OR(E1166="",E1166="!!!",F1166="NEW"),"",COUNTBLANK(OFFSET(A$1,,,SUMPRODUCT(MAX(ROW(E$2:E1166)*(E1166=E$2:E1166)))))-COUNTBLANK(OFFSET(A$1,,,SUMPRODUCT(MAX(ROW(E$1:E1165)*(E2=E$1:E1165))))))</f>
        <v> </v>
      </c>
      <c r="K1166" s="26" t="str">
        <f>IF(OR(E1166="",E1166="!!!",F1166="NEW"),"",INDEX(J$1:J1165,SUMPRODUCT(MAX(ROW(E$1:E1165)*(E1166=E$1:E1165)))))</f>
        <v> </v>
      </c>
      <c r="L1166" s="27"/>
    </row>
    <row r="1167" spans="1:12">
      <c r="A1167" s="20" t="s">
        <v>762</v>
      </c>
      <c r="E1167" s="22">
        <f>IF(D1167="?OLD","!!!","")</f>
        <v/>
      </c>
      <c r="F1167" s="23" t="str">
        <f>IF(OR(E1167="",E1167="!!!"),"",IF(NOT(ISNA(VLOOKUP(E1167,E$1:E1166,1,FALSE()))),"OLD",IF(AND(E1167&lt;&gt;"",E1167&lt;&gt;"!!!"),"NEW","")))</f>
        <v> </v>
      </c>
      <c r="G1167" s="24" t="str">
        <f>IF(OR(E1167="",E1167="!!!"),"",IF(OR(J1167=0,AND(J1167=1,K1167=1),AND(J1167=1,I1167="SBJ"),AND(J1167=1,I1167=0)),"?IN_FOCUS",IF(J1167&lt;=2,"?ACTIVATED",IF(J1167&lt;&gt;"","?FAMILIAR",IF(F1167="NEW",IF(ISNA(VLOOKUP(E1167,#REF!,1,FALSE())),"?TYPE_IDENTIFIABLE","?REFERENTIAL"),"_")))))</f>
        <v> </v>
      </c>
      <c r="H1167" s="25" t="str">
        <f>IF(J1167&lt;&gt;1,"",IF(I1167="SBJ","CB","?"))</f>
        <v> </v>
      </c>
      <c r="I1167" s="26" t="str">
        <f>IF(OR(E1167="",E1167="!!!",F1167="NEW"),"",INDEX(B1166:B$2,-1+SUMPRODUCT(MAX(ROW(E1166:E$2)*(E1167=E1166:E$2)))))</f>
        <v> </v>
      </c>
      <c r="J1167" s="26" t="str">
        <f>IF(OR(E1167="",E1167="!!!",F1167="NEW"),"",COUNTBLANK(OFFSET(A$1,,,SUMPRODUCT(MAX(ROW(E$2:E1167)*(E1167=E$2:E1167)))))-COUNTBLANK(OFFSET(A$1,,,SUMPRODUCT(MAX(ROW(E$1:E1166)*(E2=E$1:E1166))))))</f>
        <v> </v>
      </c>
      <c r="K1167" s="26" t="str">
        <f>IF(OR(E1167="",E1167="!!!",F1167="NEW"),"",INDEX(J$1:J1166,SUMPRODUCT(MAX(ROW(E$1:E1166)*(E1167=E$1:E1166)))))</f>
        <v> </v>
      </c>
      <c r="L1167" s="27"/>
    </row>
    <row r="1168" spans="1:12">
      <c r="A1168" s="20" t="s">
        <v>1272</v>
      </c>
      <c r="B1168" s="21" t="s">
        <v>764</v>
      </c>
      <c r="C1168" s="21" t="s">
        <v>737</v>
      </c>
      <c r="E1168" s="22">
        <f>IF(D1168="?OLD","!!!","")</f>
        <v/>
      </c>
      <c r="F1168" s="23" t="str">
        <f>IF(OR(E1168="",E1168="!!!"),"",IF(NOT(ISNA(VLOOKUP(E1168,E$1:E1167,1,FALSE()))),"OLD",IF(AND(E1168&lt;&gt;"",E1168&lt;&gt;"!!!"),"NEW","")))</f>
        <v> </v>
      </c>
      <c r="G1168" s="24" t="str">
        <f>IF(OR(E1168="",E1168="!!!"),"",IF(OR(J1168=0,AND(J1168=1,K1168=1),AND(J1168=1,I1168="SBJ"),AND(J1168=1,I1168=0)),"?IN_FOCUS",IF(J1168&lt;=2,"?ACTIVATED",IF(J1168&lt;&gt;"","?FAMILIAR",IF(F1168="NEW",IF(ISNA(VLOOKUP(E1168,#REF!,1,FALSE())),"?TYPE_IDENTIFIABLE","?REFERENTIAL"),"_")))))</f>
        <v> </v>
      </c>
      <c r="H1168" s="25" t="str">
        <f>IF(J1168&lt;&gt;1,"",IF(I1168="SBJ","CB","?"))</f>
        <v> </v>
      </c>
      <c r="I1168" s="26" t="str">
        <f>IF(OR(E1168="",E1168="!!!",F1168="NEW"),"",INDEX(B1167:B$2,-1+SUMPRODUCT(MAX(ROW(E1167:E$2)*(E1168=E1167:E$2)))))</f>
        <v> </v>
      </c>
      <c r="J1168" s="26" t="str">
        <f>IF(OR(E1168="",E1168="!!!",F1168="NEW"),"",COUNTBLANK(OFFSET(A$1,,,SUMPRODUCT(MAX(ROW(E$2:E1168)*(E1168=E$2:E1168)))))-COUNTBLANK(OFFSET(A$1,,,SUMPRODUCT(MAX(ROW(E$1:E1167)*(E2=E$1:E1167))))))</f>
        <v> </v>
      </c>
      <c r="K1168" s="26" t="str">
        <f>IF(OR(E1168="",E1168="!!!",F1168="NEW"),"",INDEX(J$1:J1167,SUMPRODUCT(MAX(ROW(E$1:E1167)*(E1168=E$1:E1167)))))</f>
        <v> </v>
      </c>
      <c r="L1168" s="27"/>
    </row>
    <row r="1169" spans="1:12">
      <c r="A1169" s="20" t="s">
        <v>759</v>
      </c>
      <c r="E1169" s="22">
        <f>IF(D1169="?OLD","!!!","")</f>
        <v/>
      </c>
      <c r="F1169" s="23" t="str">
        <f>IF(OR(E1169="",E1169="!!!"),"",IF(NOT(ISNA(VLOOKUP(E1169,E$1:E1168,1,FALSE()))),"OLD",IF(AND(E1169&lt;&gt;"",E1169&lt;&gt;"!!!"),"NEW","")))</f>
        <v> </v>
      </c>
      <c r="G1169" s="24" t="str">
        <f>IF(OR(E1169="",E1169="!!!"),"",IF(OR(J1169=0,AND(J1169=1,K1169=1),AND(J1169=1,I1169="SBJ"),AND(J1169=1,I1169=0)),"?IN_FOCUS",IF(J1169&lt;=2,"?ACTIVATED",IF(J1169&lt;&gt;"","?FAMILIAR",IF(F1169="NEW",IF(ISNA(VLOOKUP(E1169,#REF!,1,FALSE())),"?TYPE_IDENTIFIABLE","?REFERENTIAL"),"_")))))</f>
        <v> </v>
      </c>
      <c r="H1169" s="25" t="str">
        <f>IF(J1169&lt;&gt;1,"",IF(I1169="SBJ","CB","?"))</f>
        <v> </v>
      </c>
      <c r="I1169" s="26" t="str">
        <f>IF(OR(E1169="",E1169="!!!",F1169="NEW"),"",INDEX(B1168:B$2,-1+SUMPRODUCT(MAX(ROW(E1168:E$2)*(E1169=E1168:E$2)))))</f>
        <v> </v>
      </c>
      <c r="J1169" s="26" t="str">
        <f>IF(OR(E1169="",E1169="!!!",F1169="NEW"),"",COUNTBLANK(OFFSET(A$1,,,SUMPRODUCT(MAX(ROW(E$2:E1169)*(E1169=E$2:E1169)))))-COUNTBLANK(OFFSET(A$1,,,SUMPRODUCT(MAX(ROW(E$1:E1168)*(E2=E$1:E1168))))))</f>
        <v> </v>
      </c>
      <c r="K1169" s="26" t="str">
        <f>IF(OR(E1169="",E1169="!!!",F1169="NEW"),"",INDEX(J$1:J1168,SUMPRODUCT(MAX(ROW(E$1:E1168)*(E1169=E$1:E1168)))))</f>
        <v> </v>
      </c>
      <c r="L1169" s="27"/>
    </row>
    <row r="1170" spans="1:12">
      <c r="A1170" s="20" t="s">
        <v>1142</v>
      </c>
      <c r="E1170" s="22">
        <f>IF(D1170="?OLD","!!!","")</f>
        <v/>
      </c>
      <c r="F1170" s="23" t="str">
        <f>IF(OR(E1170="",E1170="!!!"),"",IF(NOT(ISNA(VLOOKUP(E1170,E$1:E1169,1,FALSE()))),"OLD",IF(AND(E1170&lt;&gt;"",E1170&lt;&gt;"!!!"),"NEW","")))</f>
        <v> </v>
      </c>
      <c r="G1170" s="24" t="str">
        <f>IF(OR(E1170="",E1170="!!!"),"",IF(OR(J1170=0,AND(J1170=1,K1170=1),AND(J1170=1,I1170="SBJ"),AND(J1170=1,I1170=0)),"?IN_FOCUS",IF(J1170&lt;=2,"?ACTIVATED",IF(J1170&lt;&gt;"","?FAMILIAR",IF(F1170="NEW",IF(ISNA(VLOOKUP(E1170,#REF!,1,FALSE())),"?TYPE_IDENTIFIABLE","?REFERENTIAL"),"_")))))</f>
        <v> </v>
      </c>
      <c r="H1170" s="25" t="str">
        <f>IF(J1170&lt;&gt;1,"",IF(I1170="SBJ","CB","?"))</f>
        <v> </v>
      </c>
      <c r="I1170" s="26" t="str">
        <f>IF(OR(E1170="",E1170="!!!",F1170="NEW"),"",INDEX(B1169:B$2,-1+SUMPRODUCT(MAX(ROW(E1169:E$2)*(E1170=E1169:E$2)))))</f>
        <v> </v>
      </c>
      <c r="J1170" s="26" t="str">
        <f>IF(OR(E1170="",E1170="!!!",F1170="NEW"),"",COUNTBLANK(OFFSET(A$1,,,SUMPRODUCT(MAX(ROW(E$2:E1170)*(E1170=E$2:E1170)))))-COUNTBLANK(OFFSET(A$1,,,SUMPRODUCT(MAX(ROW(E$1:E1169)*(E2=E$1:E1169))))))</f>
        <v> </v>
      </c>
      <c r="K1170" s="26" t="str">
        <f>IF(OR(E1170="",E1170="!!!",F1170="NEW"),"",INDEX(J$1:J1169,SUMPRODUCT(MAX(ROW(E$1:E1169)*(E1170=E$1:E1169)))))</f>
        <v> </v>
      </c>
      <c r="L1170" s="27"/>
    </row>
    <row r="1171" spans="1:12">
      <c r="A1171" s="20" t="s">
        <v>732</v>
      </c>
      <c r="E1171" s="22">
        <f>IF(D1171="?OLD","!!!","")</f>
        <v/>
      </c>
      <c r="F1171" s="23" t="str">
        <f>IF(OR(E1171="",E1171="!!!"),"",IF(NOT(ISNA(VLOOKUP(E1171,E$1:E1170,1,FALSE()))),"OLD",IF(AND(E1171&lt;&gt;"",E1171&lt;&gt;"!!!"),"NEW","")))</f>
        <v> </v>
      </c>
      <c r="G1171" s="24" t="str">
        <f>IF(OR(E1171="",E1171="!!!"),"",IF(OR(J1171=0,AND(J1171=1,K1171=1),AND(J1171=1,I1171="SBJ"),AND(J1171=1,I1171=0)),"?IN_FOCUS",IF(J1171&lt;=2,"?ACTIVATED",IF(J1171&lt;&gt;"","?FAMILIAR",IF(F1171="NEW",IF(ISNA(VLOOKUP(E1171,#REF!,1,FALSE())),"?TYPE_IDENTIFIABLE","?REFERENTIAL"),"_")))))</f>
        <v> </v>
      </c>
      <c r="H1171" s="25" t="str">
        <f>IF(J1171&lt;&gt;1,"",IF(I1171="SBJ","CB","?"))</f>
        <v> </v>
      </c>
      <c r="I1171" s="26" t="str">
        <f>IF(OR(E1171="",E1171="!!!",F1171="NEW"),"",INDEX(B1170:B$2,-1+SUMPRODUCT(MAX(ROW(E1170:E$2)*(E1171=E1170:E$2)))))</f>
        <v> </v>
      </c>
      <c r="J1171" s="26" t="str">
        <f>IF(OR(E1171="",E1171="!!!",F1171="NEW"),"",COUNTBLANK(OFFSET(A$1,,,SUMPRODUCT(MAX(ROW(E$2:E1171)*(E1171=E$2:E1171)))))-COUNTBLANK(OFFSET(A$1,,,SUMPRODUCT(MAX(ROW(E$1:E1170)*(E2=E$1:E1170))))))</f>
        <v> </v>
      </c>
      <c r="K1171" s="26" t="str">
        <f>IF(OR(E1171="",E1171="!!!",F1171="NEW"),"",INDEX(J$1:J1170,SUMPRODUCT(MAX(ROW(E$1:E1170)*(E1171=E$1:E1170)))))</f>
        <v> </v>
      </c>
      <c r="L1171" s="27"/>
    </row>
    <row r="1172" spans="1:12">
      <c r="A1172" s="20" t="s">
        <v>913</v>
      </c>
      <c r="B1172" s="21" t="s">
        <v>739</v>
      </c>
      <c r="C1172" s="21" t="s">
        <v>746</v>
      </c>
      <c r="D1172" s="21" t="s">
        <v>730</v>
      </c>
      <c r="E1172" s="22">
        <f>IF(D1172="?OLD","!!!","")</f>
        <v/>
      </c>
      <c r="F1172" s="23" t="str">
        <f>IF(OR(E1172="",E1172="!!!"),"",IF(NOT(ISNA(VLOOKUP(E1172,E$1:E1171,1,FALSE()))),"OLD",IF(AND(E1172&lt;&gt;"",E1172&lt;&gt;"!!!"),"NEW","")))</f>
        <v> </v>
      </c>
      <c r="G1172" s="24" t="str">
        <f>IF(OR(E1172="",E1172="!!!"),"",IF(OR(J1172=0,AND(J1172=1,K1172=1),AND(J1172=1,I1172="SBJ"),AND(J1172=1,I1172=0)),"?IN_FOCUS",IF(J1172&lt;=2,"?ACTIVATED",IF(J1172&lt;&gt;"","?FAMILIAR",IF(F1172="NEW",IF(ISNA(VLOOKUP(E1172,#REF!,1,FALSE())),"?TYPE_IDENTIFIABLE","?REFERENTIAL"),"_")))))</f>
        <v> </v>
      </c>
      <c r="H1172" s="25" t="str">
        <f>IF(J1172&lt;&gt;1,"",IF(I1172="SBJ","CB","?"))</f>
        <v> </v>
      </c>
      <c r="I1172" s="26" t="str">
        <f>IF(OR(E1172="",E1172="!!!",F1172="NEW"),"",INDEX(B1171:B$2,-1+SUMPRODUCT(MAX(ROW(E1171:E$2)*(E1172=E1171:E$2)))))</f>
        <v> </v>
      </c>
      <c r="J1172" s="26" t="str">
        <f>IF(OR(E1172="",E1172="!!!",F1172="NEW"),"",COUNTBLANK(OFFSET(A$1,,,SUMPRODUCT(MAX(ROW(E$2:E1172)*(E1172=E$2:E1172)))))-COUNTBLANK(OFFSET(A$1,,,SUMPRODUCT(MAX(ROW(E$1:E1171)*(E2=E$1:E1171))))))</f>
        <v> </v>
      </c>
      <c r="K1172" s="26" t="str">
        <f>IF(OR(E1172="",E1172="!!!",F1172="NEW"),"",INDEX(J$1:J1171,SUMPRODUCT(MAX(ROW(E$1:E1171)*(E1172=E$1:E1171)))))</f>
        <v> </v>
      </c>
      <c r="L1172" s="27"/>
    </row>
    <row r="1173" spans="1:12">
      <c r="A1173" s="20" t="s">
        <v>1273</v>
      </c>
      <c r="E1173" s="22">
        <f>IF(D1173="?OLD","!!!","")</f>
        <v/>
      </c>
      <c r="F1173" s="23" t="str">
        <f>IF(OR(E1173="",E1173="!!!"),"",IF(NOT(ISNA(VLOOKUP(E1173,E$1:E1172,1,FALSE()))),"OLD",IF(AND(E1173&lt;&gt;"",E1173&lt;&gt;"!!!"),"NEW","")))</f>
        <v> </v>
      </c>
      <c r="G1173" s="24" t="str">
        <f>IF(OR(E1173="",E1173="!!!"),"",IF(OR(J1173=0,AND(J1173=1,K1173=1),AND(J1173=1,I1173="SBJ"),AND(J1173=1,I1173=0)),"?IN_FOCUS",IF(J1173&lt;=2,"?ACTIVATED",IF(J1173&lt;&gt;"","?FAMILIAR",IF(F1173="NEW",IF(ISNA(VLOOKUP(E1173,#REF!,1,FALSE())),"?TYPE_IDENTIFIABLE","?REFERENTIAL"),"_")))))</f>
        <v> </v>
      </c>
      <c r="H1173" s="25" t="str">
        <f>IF(J1173&lt;&gt;1,"",IF(I1173="SBJ","CB","?"))</f>
        <v> </v>
      </c>
      <c r="I1173" s="26" t="str">
        <f>IF(OR(E1173="",E1173="!!!",F1173="NEW"),"",INDEX(B1172:B$2,-1+SUMPRODUCT(MAX(ROW(E1172:E$2)*(E1173=E1172:E$2)))))</f>
        <v> </v>
      </c>
      <c r="J1173" s="26" t="str">
        <f>IF(OR(E1173="",E1173="!!!",F1173="NEW"),"",COUNTBLANK(OFFSET(A$1,,,SUMPRODUCT(MAX(ROW(E$2:E1173)*(E1173=E$2:E1173)))))-COUNTBLANK(OFFSET(A$1,,,SUMPRODUCT(MAX(ROW(E$1:E1172)*(E2=E$1:E1172))))))</f>
        <v> </v>
      </c>
      <c r="K1173" s="26" t="str">
        <f>IF(OR(E1173="",E1173="!!!",F1173="NEW"),"",INDEX(J$1:J1172,SUMPRODUCT(MAX(ROW(E$1:E1172)*(E1173=E$1:E1172)))))</f>
        <v> </v>
      </c>
      <c r="L1173" s="27"/>
    </row>
    <row r="1174" spans="1:12">
      <c r="A1174" s="20" t="s">
        <v>1274</v>
      </c>
      <c r="B1174" s="21" t="s">
        <v>764</v>
      </c>
      <c r="C1174" s="21" t="s">
        <v>748</v>
      </c>
      <c r="E1174" s="22">
        <f>IF(D1174="?OLD","!!!","")</f>
        <v/>
      </c>
      <c r="F1174" s="23" t="str">
        <f>IF(OR(E1174="",E1174="!!!"),"",IF(NOT(ISNA(VLOOKUP(E1174,E$1:E1173,1,FALSE()))),"OLD",IF(AND(E1174&lt;&gt;"",E1174&lt;&gt;"!!!"),"NEW","")))</f>
        <v> </v>
      </c>
      <c r="G1174" s="24" t="str">
        <f>IF(OR(E1174="",E1174="!!!"),"",IF(OR(J1174=0,AND(J1174=1,K1174=1),AND(J1174=1,I1174="SBJ"),AND(J1174=1,I1174=0)),"?IN_FOCUS",IF(J1174&lt;=2,"?ACTIVATED",IF(J1174&lt;&gt;"","?FAMILIAR",IF(F1174="NEW",IF(ISNA(VLOOKUP(E1174,#REF!,1,FALSE())),"?TYPE_IDENTIFIABLE","?REFERENTIAL"),"_")))))</f>
        <v> </v>
      </c>
      <c r="H1174" s="25" t="str">
        <f>IF(J1174&lt;&gt;1,"",IF(I1174="SBJ","CB","?"))</f>
        <v> </v>
      </c>
      <c r="I1174" s="26" t="str">
        <f>IF(OR(E1174="",E1174="!!!",F1174="NEW"),"",INDEX(B1173:B$2,-1+SUMPRODUCT(MAX(ROW(E1173:E$2)*(E1174=E1173:E$2)))))</f>
        <v> </v>
      </c>
      <c r="J1174" s="26" t="str">
        <f>IF(OR(E1174="",E1174="!!!",F1174="NEW"),"",COUNTBLANK(OFFSET(A$1,,,SUMPRODUCT(MAX(ROW(E$2:E1174)*(E1174=E$2:E1174)))))-COUNTBLANK(OFFSET(A$1,,,SUMPRODUCT(MAX(ROW(E$1:E1173)*(E2=E$1:E1173))))))</f>
        <v> </v>
      </c>
      <c r="K1174" s="26" t="str">
        <f>IF(OR(E1174="",E1174="!!!",F1174="NEW"),"",INDEX(J$1:J1173,SUMPRODUCT(MAX(ROW(E$1:E1173)*(E1174=E$1:E1173)))))</f>
        <v> </v>
      </c>
      <c r="L1174" s="27"/>
    </row>
    <row r="1175" spans="1:12">
      <c r="A1175" s="20" t="s">
        <v>1275</v>
      </c>
      <c r="B1175" s="21" t="s">
        <v>739</v>
      </c>
      <c r="C1175" s="21" t="s">
        <v>740</v>
      </c>
      <c r="D1175" s="21" t="s">
        <v>730</v>
      </c>
      <c r="E1175" s="22">
        <f>IF(D1175="?OLD","!!!","")</f>
        <v/>
      </c>
      <c r="F1175" s="23" t="str">
        <f>IF(OR(E1175="",E1175="!!!"),"",IF(NOT(ISNA(VLOOKUP(E1175,E$1:E1174,1,FALSE()))),"OLD",IF(AND(E1175&lt;&gt;"",E1175&lt;&gt;"!!!"),"NEW","")))</f>
        <v> </v>
      </c>
      <c r="G1175" s="24" t="str">
        <f>IF(OR(E1175="",E1175="!!!"),"",IF(OR(J1175=0,AND(J1175=1,K1175=1),AND(J1175=1,I1175="SBJ"),AND(J1175=1,I1175=0)),"?IN_FOCUS",IF(J1175&lt;=2,"?ACTIVATED",IF(J1175&lt;&gt;"","?FAMILIAR",IF(F1175="NEW",IF(ISNA(VLOOKUP(E1175,#REF!,1,FALSE())),"?TYPE_IDENTIFIABLE","?REFERENTIAL"),"_")))))</f>
        <v> </v>
      </c>
      <c r="H1175" s="25" t="str">
        <f>IF(J1175&lt;&gt;1,"",IF(I1175="SBJ","CB","?"))</f>
        <v> </v>
      </c>
      <c r="I1175" s="26" t="str">
        <f>IF(OR(E1175="",E1175="!!!",F1175="NEW"),"",INDEX(B1174:B$2,-1+SUMPRODUCT(MAX(ROW(E1174:E$2)*(E1175=E1174:E$2)))))</f>
        <v> </v>
      </c>
      <c r="J1175" s="26" t="str">
        <f>IF(OR(E1175="",E1175="!!!",F1175="NEW"),"",COUNTBLANK(OFFSET(A$1,,,SUMPRODUCT(MAX(ROW(E$2:E1175)*(E1175=E$2:E1175)))))-COUNTBLANK(OFFSET(A$1,,,SUMPRODUCT(MAX(ROW(E$1:E1174)*(E2=E$1:E1174))))))</f>
        <v> </v>
      </c>
      <c r="K1175" s="26" t="str">
        <f>IF(OR(E1175="",E1175="!!!",F1175="NEW"),"",INDEX(J$1:J1174,SUMPRODUCT(MAX(ROW(E$1:E1174)*(E1175=E$1:E1174)))))</f>
        <v> </v>
      </c>
      <c r="L1175" s="27"/>
    </row>
    <row r="1176" spans="1:12">
      <c r="A1176" s="20" t="s">
        <v>1276</v>
      </c>
      <c r="E1176" s="22">
        <f>IF(D1176="?OLD","!!!","")</f>
        <v/>
      </c>
      <c r="F1176" s="23" t="str">
        <f>IF(OR(E1176="",E1176="!!!"),"",IF(NOT(ISNA(VLOOKUP(E1176,E$1:E1175,1,FALSE()))),"OLD",IF(AND(E1176&lt;&gt;"",E1176&lt;&gt;"!!!"),"NEW","")))</f>
        <v> </v>
      </c>
      <c r="G1176" s="24" t="str">
        <f>IF(OR(E1176="",E1176="!!!"),"",IF(OR(J1176=0,AND(J1176=1,K1176=1),AND(J1176=1,I1176="SBJ"),AND(J1176=1,I1176=0)),"?IN_FOCUS",IF(J1176&lt;=2,"?ACTIVATED",IF(J1176&lt;&gt;"","?FAMILIAR",IF(F1176="NEW",IF(ISNA(VLOOKUP(E1176,#REF!,1,FALSE())),"?TYPE_IDENTIFIABLE","?REFERENTIAL"),"_")))))</f>
        <v> </v>
      </c>
      <c r="H1176" s="25" t="str">
        <f>IF(J1176&lt;&gt;1,"",IF(I1176="SBJ","CB","?"))</f>
        <v> </v>
      </c>
      <c r="I1176" s="26" t="str">
        <f>IF(OR(E1176="",E1176="!!!",F1176="NEW"),"",INDEX(B1175:B$2,-1+SUMPRODUCT(MAX(ROW(E1175:E$2)*(E1176=E1175:E$2)))))</f>
        <v> </v>
      </c>
      <c r="J1176" s="26" t="str">
        <f>IF(OR(E1176="",E1176="!!!",F1176="NEW"),"",COUNTBLANK(OFFSET(A$1,,,SUMPRODUCT(MAX(ROW(E$2:E1176)*(E1176=E$2:E1176)))))-COUNTBLANK(OFFSET(A$1,,,SUMPRODUCT(MAX(ROW(E$1:E1175)*(E2=E$1:E1175))))))</f>
        <v> </v>
      </c>
      <c r="K1176" s="26" t="str">
        <f>IF(OR(E1176="",E1176="!!!",F1176="NEW"),"",INDEX(J$1:J1175,SUMPRODUCT(MAX(ROW(E$1:E1175)*(E1176=E$1:E1175)))))</f>
        <v> </v>
      </c>
      <c r="L1176" s="27"/>
    </row>
    <row r="1177" spans="1:12">
      <c r="A1177" s="20" t="s">
        <v>759</v>
      </c>
      <c r="E1177" s="22">
        <f>IF(D1177="?OLD","!!!","")</f>
        <v/>
      </c>
      <c r="F1177" s="23" t="str">
        <f>IF(OR(E1177="",E1177="!!!"),"",IF(NOT(ISNA(VLOOKUP(E1177,E$1:E1176,1,FALSE()))),"OLD",IF(AND(E1177&lt;&gt;"",E1177&lt;&gt;"!!!"),"NEW","")))</f>
        <v> </v>
      </c>
      <c r="G1177" s="24" t="str">
        <f>IF(OR(E1177="",E1177="!!!"),"",IF(OR(J1177=0,AND(J1177=1,K1177=1),AND(J1177=1,I1177="SBJ"),AND(J1177=1,I1177=0)),"?IN_FOCUS",IF(J1177&lt;=2,"?ACTIVATED",IF(J1177&lt;&gt;"","?FAMILIAR",IF(F1177="NEW",IF(ISNA(VLOOKUP(E1177,#REF!,1,FALSE())),"?TYPE_IDENTIFIABLE","?REFERENTIAL"),"_")))))</f>
        <v> </v>
      </c>
      <c r="H1177" s="25" t="str">
        <f>IF(J1177&lt;&gt;1,"",IF(I1177="SBJ","CB","?"))</f>
        <v> </v>
      </c>
      <c r="I1177" s="26" t="str">
        <f>IF(OR(E1177="",E1177="!!!",F1177="NEW"),"",INDEX(B1176:B$2,-1+SUMPRODUCT(MAX(ROW(E1176:E$2)*(E1177=E1176:E$2)))))</f>
        <v> </v>
      </c>
      <c r="J1177" s="26" t="str">
        <f>IF(OR(E1177="",E1177="!!!",F1177="NEW"),"",COUNTBLANK(OFFSET(A$1,,,SUMPRODUCT(MAX(ROW(E$2:E1177)*(E1177=E$2:E1177)))))-COUNTBLANK(OFFSET(A$1,,,SUMPRODUCT(MAX(ROW(E$1:E1176)*(E2=E$1:E1176))))))</f>
        <v> </v>
      </c>
      <c r="K1177" s="26" t="str">
        <f>IF(OR(E1177="",E1177="!!!",F1177="NEW"),"",INDEX(J$1:J1176,SUMPRODUCT(MAX(ROW(E$1:E1176)*(E1177=E$1:E1176)))))</f>
        <v> </v>
      </c>
      <c r="L1177" s="27"/>
    </row>
    <row r="1178" spans="1:12">
      <c r="A1178" s="20" t="s">
        <v>757</v>
      </c>
      <c r="B1178" s="21" t="s">
        <v>788</v>
      </c>
      <c r="E1178" s="22">
        <f>IF(D1178="?OLD","!!!","")</f>
        <v/>
      </c>
      <c r="F1178" s="23" t="str">
        <f>IF(OR(E1178="",E1178="!!!"),"",IF(NOT(ISNA(VLOOKUP(E1178,E$1:E1177,1,FALSE()))),"OLD",IF(AND(E1178&lt;&gt;"",E1178&lt;&gt;"!!!"),"NEW","")))</f>
        <v> </v>
      </c>
      <c r="G1178" s="24" t="str">
        <f>IF(OR(E1178="",E1178="!!!"),"",IF(OR(J1178=0,AND(J1178=1,K1178=1),AND(J1178=1,I1178="SBJ"),AND(J1178=1,I1178=0)),"?IN_FOCUS",IF(J1178&lt;=2,"?ACTIVATED",IF(J1178&lt;&gt;"","?FAMILIAR",IF(F1178="NEW",IF(ISNA(VLOOKUP(E1178,#REF!,1,FALSE())),"?TYPE_IDENTIFIABLE","?REFERENTIAL"),"_")))))</f>
        <v> </v>
      </c>
      <c r="H1178" s="25" t="str">
        <f>IF(J1178&lt;&gt;1,"",IF(I1178="SBJ","CB","?"))</f>
        <v> </v>
      </c>
      <c r="I1178" s="26" t="str">
        <f>IF(OR(E1178="",E1178="!!!",F1178="NEW"),"",INDEX(B1177:B$2,-1+SUMPRODUCT(MAX(ROW(E1177:E$2)*(E1178=E1177:E$2)))))</f>
        <v> </v>
      </c>
      <c r="J1178" s="26" t="str">
        <f>IF(OR(E1178="",E1178="!!!",F1178="NEW"),"",COUNTBLANK(OFFSET(A$1,,,SUMPRODUCT(MAX(ROW(E$2:E1178)*(E1178=E$2:E1178)))))-COUNTBLANK(OFFSET(A$1,,,SUMPRODUCT(MAX(ROW(E$1:E1177)*(E2=E$1:E1177))))))</f>
        <v> </v>
      </c>
      <c r="K1178" s="26" t="str">
        <f>IF(OR(E1178="",E1178="!!!",F1178="NEW"),"",INDEX(J$1:J1177,SUMPRODUCT(MAX(ROW(E$1:E1177)*(E1178=E$1:E1177)))))</f>
        <v> </v>
      </c>
      <c r="L1178" s="27"/>
    </row>
    <row r="1179" spans="1:12">
      <c r="A1179" s="20" t="s">
        <v>754</v>
      </c>
      <c r="E1179" s="22">
        <f>IF(D1179="?OLD","!!!","")</f>
        <v/>
      </c>
      <c r="F1179" s="23" t="str">
        <f>IF(OR(E1179="",E1179="!!!"),"",IF(NOT(ISNA(VLOOKUP(E1179,E$1:E1178,1,FALSE()))),"OLD",IF(AND(E1179&lt;&gt;"",E1179&lt;&gt;"!!!"),"NEW","")))</f>
        <v> </v>
      </c>
      <c r="G1179" s="24" t="str">
        <f>IF(OR(E1179="",E1179="!!!"),"",IF(OR(J1179=0,AND(J1179=1,K1179=1),AND(J1179=1,I1179="SBJ"),AND(J1179=1,I1179=0)),"?IN_FOCUS",IF(J1179&lt;=2,"?ACTIVATED",IF(J1179&lt;&gt;"","?FAMILIAR",IF(F1179="NEW",IF(ISNA(VLOOKUP(E1179,#REF!,1,FALSE())),"?TYPE_IDENTIFIABLE","?REFERENTIAL"),"_")))))</f>
        <v> </v>
      </c>
      <c r="H1179" s="25" t="str">
        <f>IF(J1179&lt;&gt;1,"",IF(I1179="SBJ","CB","?"))</f>
        <v> </v>
      </c>
      <c r="I1179" s="26" t="str">
        <f>IF(OR(E1179="",E1179="!!!",F1179="NEW"),"",INDEX(B1178:B$2,-1+SUMPRODUCT(MAX(ROW(E1178:E$2)*(E1179=E1178:E$2)))))</f>
        <v> </v>
      </c>
      <c r="J1179" s="26" t="str">
        <f>IF(OR(E1179="",E1179="!!!",F1179="NEW"),"",COUNTBLANK(OFFSET(A$1,,,SUMPRODUCT(MAX(ROW(E$2:E1179)*(E1179=E$2:E1179)))))-COUNTBLANK(OFFSET(A$1,,,SUMPRODUCT(MAX(ROW(E$1:E1178)*(E2=E$1:E1178))))))</f>
        <v> </v>
      </c>
      <c r="K1179" s="26" t="str">
        <f>IF(OR(E1179="",E1179="!!!",F1179="NEW"),"",INDEX(J$1:J1178,SUMPRODUCT(MAX(ROW(E$1:E1178)*(E1179=E$1:E1178)))))</f>
        <v> </v>
      </c>
      <c r="L1179" s="27"/>
    </row>
    <row r="1180" spans="1:12">
      <c r="A1180" s="20" t="s">
        <v>889</v>
      </c>
      <c r="E1180" s="22">
        <f>IF(D1180="?OLD","!!!","")</f>
        <v/>
      </c>
      <c r="F1180" s="23" t="str">
        <f>IF(OR(E1180="",E1180="!!!"),"",IF(NOT(ISNA(VLOOKUP(E1180,E$1:E1179,1,FALSE()))),"OLD",IF(AND(E1180&lt;&gt;"",E1180&lt;&gt;"!!!"),"NEW","")))</f>
        <v> </v>
      </c>
      <c r="G1180" s="24" t="str">
        <f>IF(OR(E1180="",E1180="!!!"),"",IF(OR(J1180=0,AND(J1180=1,K1180=1),AND(J1180=1,I1180="SBJ"),AND(J1180=1,I1180=0)),"?IN_FOCUS",IF(J1180&lt;=2,"?ACTIVATED",IF(J1180&lt;&gt;"","?FAMILIAR",IF(F1180="NEW",IF(ISNA(VLOOKUP(E1180,#REF!,1,FALSE())),"?TYPE_IDENTIFIABLE","?REFERENTIAL"),"_")))))</f>
        <v> </v>
      </c>
      <c r="H1180" s="25" t="str">
        <f>IF(J1180&lt;&gt;1,"",IF(I1180="SBJ","CB","?"))</f>
        <v> </v>
      </c>
      <c r="I1180" s="26" t="str">
        <f>IF(OR(E1180="",E1180="!!!",F1180="NEW"),"",INDEX(B1179:B$2,-1+SUMPRODUCT(MAX(ROW(E1179:E$2)*(E1180=E1179:E$2)))))</f>
        <v> </v>
      </c>
      <c r="J1180" s="26" t="str">
        <f>IF(OR(E1180="",E1180="!!!",F1180="NEW"),"",COUNTBLANK(OFFSET(A$1,,,SUMPRODUCT(MAX(ROW(E$2:E1180)*(E1180=E$2:E1180)))))-COUNTBLANK(OFFSET(A$1,,,SUMPRODUCT(MAX(ROW(E$1:E1179)*(E2=E$1:E1179))))))</f>
        <v> </v>
      </c>
      <c r="K1180" s="26" t="str">
        <f>IF(OR(E1180="",E1180="!!!",F1180="NEW"),"",INDEX(J$1:J1179,SUMPRODUCT(MAX(ROW(E$1:E1179)*(E1180=E$1:E1179)))))</f>
        <v> </v>
      </c>
      <c r="L1180" s="27"/>
    </row>
    <row r="1181" spans="1:12">
      <c r="A1181" s="20" t="s">
        <v>1277</v>
      </c>
      <c r="B1181" s="21" t="s">
        <v>755</v>
      </c>
      <c r="C1181" s="21" t="s">
        <v>802</v>
      </c>
      <c r="D1181" s="21" t="s">
        <v>730</v>
      </c>
      <c r="E1181" s="22">
        <f>IF(D1181="?OLD","!!!","")</f>
        <v/>
      </c>
      <c r="F1181" s="23" t="str">
        <f>IF(OR(E1181="",E1181="!!!"),"",IF(NOT(ISNA(VLOOKUP(E1181,E$1:E1180,1,FALSE()))),"OLD",IF(AND(E1181&lt;&gt;"",E1181&lt;&gt;"!!!"),"NEW","")))</f>
        <v> </v>
      </c>
      <c r="G1181" s="24" t="str">
        <f>IF(OR(E1181="",E1181="!!!"),"",IF(OR(J1181=0,AND(J1181=1,K1181=1),AND(J1181=1,I1181="SBJ"),AND(J1181=1,I1181=0)),"?IN_FOCUS",IF(J1181&lt;=2,"?ACTIVATED",IF(J1181&lt;&gt;"","?FAMILIAR",IF(F1181="NEW",IF(ISNA(VLOOKUP(E1181,#REF!,1,FALSE())),"?TYPE_IDENTIFIABLE","?REFERENTIAL"),"_")))))</f>
        <v> </v>
      </c>
      <c r="H1181" s="25" t="str">
        <f>IF(J1181&lt;&gt;1,"",IF(I1181="SBJ","CB","?"))</f>
        <v> </v>
      </c>
      <c r="I1181" s="26" t="str">
        <f>IF(OR(E1181="",E1181="!!!",F1181="NEW"),"",INDEX(B1180:B$2,-1+SUMPRODUCT(MAX(ROW(E1180:E$2)*(E1181=E1180:E$2)))))</f>
        <v> </v>
      </c>
      <c r="J1181" s="26" t="str">
        <f>IF(OR(E1181="",E1181="!!!",F1181="NEW"),"",COUNTBLANK(OFFSET(A$1,,,SUMPRODUCT(MAX(ROW(E$2:E1181)*(E1181=E$2:E1181)))))-COUNTBLANK(OFFSET(A$1,,,SUMPRODUCT(MAX(ROW(E$1:E1180)*(E2=E$1:E1180))))))</f>
        <v> </v>
      </c>
      <c r="K1181" s="26" t="str">
        <f>IF(OR(E1181="",E1181="!!!",F1181="NEW"),"",INDEX(J$1:J1180,SUMPRODUCT(MAX(ROW(E$1:E1180)*(E1181=E$1:E1180)))))</f>
        <v> </v>
      </c>
      <c r="L1181" s="27"/>
    </row>
    <row r="1182" spans="1:12">
      <c r="A1182" s="20" t="s">
        <v>757</v>
      </c>
      <c r="E1182" s="22">
        <f>IF(D1182="?OLD","!!!","")</f>
        <v/>
      </c>
      <c r="F1182" s="23" t="str">
        <f>IF(OR(E1182="",E1182="!!!"),"",IF(NOT(ISNA(VLOOKUP(E1182,E$1:E1181,1,FALSE()))),"OLD",IF(AND(E1182&lt;&gt;"",E1182&lt;&gt;"!!!"),"NEW","")))</f>
        <v> </v>
      </c>
      <c r="G1182" s="24" t="str">
        <f>IF(OR(E1182="",E1182="!!!"),"",IF(OR(J1182=0,AND(J1182=1,K1182=1),AND(J1182=1,I1182="SBJ"),AND(J1182=1,I1182=0)),"?IN_FOCUS",IF(J1182&lt;=2,"?ACTIVATED",IF(J1182&lt;&gt;"","?FAMILIAR",IF(F1182="NEW",IF(ISNA(VLOOKUP(E1182,#REF!,1,FALSE())),"?TYPE_IDENTIFIABLE","?REFERENTIAL"),"_")))))</f>
        <v> </v>
      </c>
      <c r="H1182" s="25" t="str">
        <f>IF(J1182&lt;&gt;1,"",IF(I1182="SBJ","CB","?"))</f>
        <v> </v>
      </c>
      <c r="I1182" s="26" t="str">
        <f>IF(OR(E1182="",E1182="!!!",F1182="NEW"),"",INDEX(B1181:B$2,-1+SUMPRODUCT(MAX(ROW(E1181:E$2)*(E1182=E1181:E$2)))))</f>
        <v> </v>
      </c>
      <c r="J1182" s="26" t="str">
        <f>IF(OR(E1182="",E1182="!!!",F1182="NEW"),"",COUNTBLANK(OFFSET(A$1,,,SUMPRODUCT(MAX(ROW(E$2:E1182)*(E1182=E$2:E1182)))))-COUNTBLANK(OFFSET(A$1,,,SUMPRODUCT(MAX(ROW(E$1:E1181)*(E2=E$1:E1181))))))</f>
        <v> </v>
      </c>
      <c r="K1182" s="26" t="str">
        <f>IF(OR(E1182="",E1182="!!!",F1182="NEW"),"",INDEX(J$1:J1181,SUMPRODUCT(MAX(ROW(E$1:E1181)*(E1182=E$1:E1181)))))</f>
        <v> </v>
      </c>
      <c r="L1182" s="27"/>
    </row>
    <row r="1183" spans="1:12">
      <c r="A1183" s="20" t="s">
        <v>1123</v>
      </c>
      <c r="E1183" s="22">
        <f>IF(D1183="?OLD","!!!","")</f>
        <v/>
      </c>
      <c r="F1183" s="23" t="str">
        <f>IF(OR(E1183="",E1183="!!!"),"",IF(NOT(ISNA(VLOOKUP(E1183,E$1:E1182,1,FALSE()))),"OLD",IF(AND(E1183&lt;&gt;"",E1183&lt;&gt;"!!!"),"NEW","")))</f>
        <v> </v>
      </c>
      <c r="G1183" s="24" t="str">
        <f>IF(OR(E1183="",E1183="!!!"),"",IF(OR(J1183=0,AND(J1183=1,K1183=1),AND(J1183=1,I1183="SBJ"),AND(J1183=1,I1183=0)),"?IN_FOCUS",IF(J1183&lt;=2,"?ACTIVATED",IF(J1183&lt;&gt;"","?FAMILIAR",IF(F1183="NEW",IF(ISNA(VLOOKUP(E1183,#REF!,1,FALSE())),"?TYPE_IDENTIFIABLE","?REFERENTIAL"),"_")))))</f>
        <v> </v>
      </c>
      <c r="H1183" s="25" t="str">
        <f>IF(J1183&lt;&gt;1,"",IF(I1183="SBJ","CB","?"))</f>
        <v> </v>
      </c>
      <c r="I1183" s="26" t="str">
        <f>IF(OR(E1183="",E1183="!!!",F1183="NEW"),"",INDEX(B1182:B$2,-1+SUMPRODUCT(MAX(ROW(E1182:E$2)*(E1183=E1182:E$2)))))</f>
        <v> </v>
      </c>
      <c r="J1183" s="26" t="str">
        <f>IF(OR(E1183="",E1183="!!!",F1183="NEW"),"",COUNTBLANK(OFFSET(A$1,,,SUMPRODUCT(MAX(ROW(E$2:E1183)*(E1183=E$2:E1183)))))-COUNTBLANK(OFFSET(A$1,,,SUMPRODUCT(MAX(ROW(E$1:E1182)*(E2=E$1:E1182))))))</f>
        <v> </v>
      </c>
      <c r="K1183" s="26" t="str">
        <f>IF(OR(E1183="",E1183="!!!",F1183="NEW"),"",INDEX(J$1:J1182,SUMPRODUCT(MAX(ROW(E$1:E1182)*(E1183=E$1:E1182)))))</f>
        <v> </v>
      </c>
      <c r="L1183" s="27"/>
    </row>
    <row r="1184" spans="1:12">
      <c r="A1184" s="20" t="s">
        <v>1278</v>
      </c>
      <c r="B1184" s="21" t="s">
        <v>739</v>
      </c>
      <c r="C1184" s="21" t="s">
        <v>978</v>
      </c>
      <c r="D1184" s="21" t="s">
        <v>730</v>
      </c>
      <c r="E1184" s="22">
        <f>IF(D1184="?OLD","!!!","")</f>
        <v/>
      </c>
      <c r="F1184" s="23" t="str">
        <f>IF(OR(E1184="",E1184="!!!"),"",IF(NOT(ISNA(VLOOKUP(E1184,E$1:E1183,1,FALSE()))),"OLD",IF(AND(E1184&lt;&gt;"",E1184&lt;&gt;"!!!"),"NEW","")))</f>
        <v> </v>
      </c>
      <c r="G1184" s="24" t="str">
        <f>IF(OR(E1184="",E1184="!!!"),"",IF(OR(J1184=0,AND(J1184=1,K1184=1),AND(J1184=1,I1184="SBJ"),AND(J1184=1,I1184=0)),"?IN_FOCUS",IF(J1184&lt;=2,"?ACTIVATED",IF(J1184&lt;&gt;"","?FAMILIAR",IF(F1184="NEW",IF(ISNA(VLOOKUP(E1184,#REF!,1,FALSE())),"?TYPE_IDENTIFIABLE","?REFERENTIAL"),"_")))))</f>
        <v> </v>
      </c>
      <c r="H1184" s="25" t="str">
        <f>IF(J1184&lt;&gt;1,"",IF(I1184="SBJ","CB","?"))</f>
        <v> </v>
      </c>
      <c r="I1184" s="26" t="str">
        <f>IF(OR(E1184="",E1184="!!!",F1184="NEW"),"",INDEX(B1183:B$2,-1+SUMPRODUCT(MAX(ROW(E1183:E$2)*(E1184=E1183:E$2)))))</f>
        <v> </v>
      </c>
      <c r="J1184" s="26" t="str">
        <f>IF(OR(E1184="",E1184="!!!",F1184="NEW"),"",COUNTBLANK(OFFSET(A$1,,,SUMPRODUCT(MAX(ROW(E$2:E1184)*(E1184=E$2:E1184)))))-COUNTBLANK(OFFSET(A$1,,,SUMPRODUCT(MAX(ROW(E$1:E1183)*(E2=E$1:E1183))))))</f>
        <v> </v>
      </c>
      <c r="K1184" s="26" t="str">
        <f>IF(OR(E1184="",E1184="!!!",F1184="NEW"),"",INDEX(J$1:J1183,SUMPRODUCT(MAX(ROW(E$1:E1183)*(E1184=E$1:E1183)))))</f>
        <v> </v>
      </c>
      <c r="L1184" s="27"/>
    </row>
    <row r="1185" spans="1:12">
      <c r="A1185" s="20" t="s">
        <v>1279</v>
      </c>
      <c r="B1185" s="21" t="s">
        <v>755</v>
      </c>
      <c r="C1185" s="21" t="s">
        <v>740</v>
      </c>
      <c r="D1185" s="21" t="s">
        <v>730</v>
      </c>
      <c r="E1185" s="22">
        <f>IF(D1185="?OLD","!!!","")</f>
        <v/>
      </c>
      <c r="F1185" s="23" t="str">
        <f>IF(OR(E1185="",E1185="!!!"),"",IF(NOT(ISNA(VLOOKUP(E1185,E$1:E1184,1,FALSE()))),"OLD",IF(AND(E1185&lt;&gt;"",E1185&lt;&gt;"!!!"),"NEW","")))</f>
        <v> </v>
      </c>
      <c r="G1185" s="24" t="str">
        <f>IF(OR(E1185="",E1185="!!!"),"",IF(OR(J1185=0,AND(J1185=1,K1185=1),AND(J1185=1,I1185="SBJ"),AND(J1185=1,I1185=0)),"?IN_FOCUS",IF(J1185&lt;=2,"?ACTIVATED",IF(J1185&lt;&gt;"","?FAMILIAR",IF(F1185="NEW",IF(ISNA(VLOOKUP(E1185,#REF!,1,FALSE())),"?TYPE_IDENTIFIABLE","?REFERENTIAL"),"_")))))</f>
        <v> </v>
      </c>
      <c r="H1185" s="25" t="str">
        <f>IF(J1185&lt;&gt;1,"",IF(I1185="SBJ","CB","?"))</f>
        <v> </v>
      </c>
      <c r="I1185" s="26" t="str">
        <f>IF(OR(E1185="",E1185="!!!",F1185="NEW"),"",INDEX(B1184:B$2,-1+SUMPRODUCT(MAX(ROW(E1184:E$2)*(E1185=E1184:E$2)))))</f>
        <v> </v>
      </c>
      <c r="J1185" s="26" t="str">
        <f>IF(OR(E1185="",E1185="!!!",F1185="NEW"),"",COUNTBLANK(OFFSET(A$1,,,SUMPRODUCT(MAX(ROW(E$2:E1185)*(E1185=E$2:E1185)))))-COUNTBLANK(OFFSET(A$1,,,SUMPRODUCT(MAX(ROW(E$1:E1184)*(E2=E$1:E1184))))))</f>
        <v> </v>
      </c>
      <c r="K1185" s="26" t="str">
        <f>IF(OR(E1185="",E1185="!!!",F1185="NEW"),"",INDEX(J$1:J1184,SUMPRODUCT(MAX(ROW(E$1:E1184)*(E1185=E$1:E1184)))))</f>
        <v> </v>
      </c>
      <c r="L1185" s="27"/>
    </row>
    <row r="1186" spans="1:12">
      <c r="A1186" s="20" t="s">
        <v>12</v>
      </c>
      <c r="E1186" s="22">
        <f>IF(D1186="?OLD","!!!","")</f>
        <v/>
      </c>
      <c r="F1186" s="23" t="str">
        <f>IF(OR(E1186="",E1186="!!!"),"",IF(NOT(ISNA(VLOOKUP(E1186,E$1:E1185,1,FALSE()))),"OLD",IF(AND(E1186&lt;&gt;"",E1186&lt;&gt;"!!!"),"NEW","")))</f>
        <v> </v>
      </c>
      <c r="G1186" s="24" t="str">
        <f>IF(OR(E1186="",E1186="!!!"),"",IF(OR(J1186=0,AND(J1186=1,K1186=1),AND(J1186=1,I1186="SBJ"),AND(J1186=1,I1186=0)),"?IN_FOCUS",IF(J1186&lt;=2,"?ACTIVATED",IF(J1186&lt;&gt;"","?FAMILIAR",IF(F1186="NEW",IF(ISNA(VLOOKUP(E1186,#REF!,1,FALSE())),"?TYPE_IDENTIFIABLE","?REFERENTIAL"),"_")))))</f>
        <v> </v>
      </c>
      <c r="H1186" s="25" t="str">
        <f>IF(J1186&lt;&gt;1,"",IF(I1186="SBJ","CB","?"))</f>
        <v> </v>
      </c>
      <c r="I1186" s="26" t="str">
        <f>IF(OR(E1186="",E1186="!!!",F1186="NEW"),"",INDEX(B1185:B$2,-1+SUMPRODUCT(MAX(ROW(E1185:E$2)*(E1186=E1185:E$2)))))</f>
        <v> </v>
      </c>
      <c r="J1186" s="26" t="str">
        <f>IF(OR(E1186="",E1186="!!!",F1186="NEW"),"",COUNTBLANK(OFFSET(A$1,,,SUMPRODUCT(MAX(ROW(E$2:E1186)*(E1186=E$2:E1186)))))-COUNTBLANK(OFFSET(A$1,,,SUMPRODUCT(MAX(ROW(E$1:E1185)*(E2=E$1:E1185))))))</f>
        <v> </v>
      </c>
      <c r="K1186" s="26" t="str">
        <f>IF(OR(E1186="",E1186="!!!",F1186="NEW"),"",INDEX(J$1:J1185,SUMPRODUCT(MAX(ROW(E$1:E1185)*(E1186=E$1:E1185)))))</f>
        <v> </v>
      </c>
      <c r="L1186" s="27"/>
    </row>
    <row r="1187" spans="1:12">
      <c r="A1187" s="20" t="s">
        <v>785</v>
      </c>
      <c r="E1187" s="22">
        <f>IF(D1187="?OLD","!!!","")</f>
        <v/>
      </c>
      <c r="F1187" s="23" t="str">
        <f>IF(OR(E1187="",E1187="!!!"),"",IF(NOT(ISNA(VLOOKUP(E1187,E$1:E1186,1,FALSE()))),"OLD",IF(AND(E1187&lt;&gt;"",E1187&lt;&gt;"!!!"),"NEW","")))</f>
        <v> </v>
      </c>
      <c r="G1187" s="24" t="str">
        <f>IF(OR(E1187="",E1187="!!!"),"",IF(OR(J1187=0,AND(J1187=1,K1187=1),AND(J1187=1,I1187="SBJ"),AND(J1187=1,I1187=0)),"?IN_FOCUS",IF(J1187&lt;=2,"?ACTIVATED",IF(J1187&lt;&gt;"","?FAMILIAR",IF(F1187="NEW",IF(ISNA(VLOOKUP(E1187,#REF!,1,FALSE())),"?TYPE_IDENTIFIABLE","?REFERENTIAL"),"_")))))</f>
        <v> </v>
      </c>
      <c r="H1187" s="25" t="str">
        <f>IF(J1187&lt;&gt;1,"",IF(I1187="SBJ","CB","?"))</f>
        <v> </v>
      </c>
      <c r="I1187" s="26" t="str">
        <f>IF(OR(E1187="",E1187="!!!",F1187="NEW"),"",INDEX(B1186:B$2,-1+SUMPRODUCT(MAX(ROW(E1186:E$2)*(E1187=E1186:E$2)))))</f>
        <v> </v>
      </c>
      <c r="J1187" s="26" t="str">
        <f>IF(OR(E1187="",E1187="!!!",F1187="NEW"),"",COUNTBLANK(OFFSET(A$1,,,SUMPRODUCT(MAX(ROW(E$2:E1187)*(E1187=E$2:E1187)))))-COUNTBLANK(OFFSET(A$1,,,SUMPRODUCT(MAX(ROW(E$1:E1186)*(E2=E$1:E1186))))))</f>
        <v> </v>
      </c>
      <c r="K1187" s="26" t="str">
        <f>IF(OR(E1187="",E1187="!!!",F1187="NEW"),"",INDEX(J$1:J1186,SUMPRODUCT(MAX(ROW(E$1:E1186)*(E1187=E$1:E1186)))))</f>
        <v> </v>
      </c>
      <c r="L1187" s="27"/>
    </row>
    <row r="1188" spans="1:12">
      <c r="A1188" s="20" t="s">
        <v>1280</v>
      </c>
      <c r="B1188" s="21" t="s">
        <v>783</v>
      </c>
      <c r="C1188" s="21" t="s">
        <v>748</v>
      </c>
      <c r="E1188" s="22">
        <f>IF(D1188="?OLD","!!!","")</f>
        <v/>
      </c>
      <c r="F1188" s="23" t="str">
        <f>IF(OR(E1188="",E1188="!!!"),"",IF(NOT(ISNA(VLOOKUP(E1188,E$1:E1187,1,FALSE()))),"OLD",IF(AND(E1188&lt;&gt;"",E1188&lt;&gt;"!!!"),"NEW","")))</f>
        <v> </v>
      </c>
      <c r="G1188" s="24" t="str">
        <f>IF(OR(E1188="",E1188="!!!"),"",IF(OR(J1188=0,AND(J1188=1,K1188=1),AND(J1188=1,I1188="SBJ"),AND(J1188=1,I1188=0)),"?IN_FOCUS",IF(J1188&lt;=2,"?ACTIVATED",IF(J1188&lt;&gt;"","?FAMILIAR",IF(F1188="NEW",IF(ISNA(VLOOKUP(E1188,#REF!,1,FALSE())),"?TYPE_IDENTIFIABLE","?REFERENTIAL"),"_")))))</f>
        <v> </v>
      </c>
      <c r="H1188" s="25" t="str">
        <f>IF(J1188&lt;&gt;1,"",IF(I1188="SBJ","CB","?"))</f>
        <v> </v>
      </c>
      <c r="I1188" s="26" t="str">
        <f>IF(OR(E1188="",E1188="!!!",F1188="NEW"),"",INDEX(B1187:B$2,-1+SUMPRODUCT(MAX(ROW(E1187:E$2)*(E1188=E1187:E$2)))))</f>
        <v> </v>
      </c>
      <c r="J1188" s="26" t="str">
        <f>IF(OR(E1188="",E1188="!!!",F1188="NEW"),"",COUNTBLANK(OFFSET(A$1,,,SUMPRODUCT(MAX(ROW(E$2:E1188)*(E1188=E$2:E1188)))))-COUNTBLANK(OFFSET(A$1,,,SUMPRODUCT(MAX(ROW(E$1:E1187)*(E2=E$1:E1187))))))</f>
        <v> </v>
      </c>
      <c r="K1188" s="26" t="str">
        <f>IF(OR(E1188="",E1188="!!!",F1188="NEW"),"",INDEX(J$1:J1187,SUMPRODUCT(MAX(ROW(E$1:E1187)*(E1188=E$1:E1187)))))</f>
        <v> </v>
      </c>
      <c r="L1188" s="27"/>
    </row>
    <row r="1189" spans="1:12">
      <c r="A1189" s="20" t="s">
        <v>12</v>
      </c>
      <c r="E1189" s="22">
        <f>IF(D1189="?OLD","!!!","")</f>
        <v/>
      </c>
      <c r="F1189" s="23" t="str">
        <f>IF(OR(E1189="",E1189="!!!"),"",IF(NOT(ISNA(VLOOKUP(E1189,E$1:E1188,1,FALSE()))),"OLD",IF(AND(E1189&lt;&gt;"",E1189&lt;&gt;"!!!"),"NEW","")))</f>
        <v> </v>
      </c>
      <c r="G1189" s="24" t="str">
        <f>IF(OR(E1189="",E1189="!!!"),"",IF(OR(J1189=0,AND(J1189=1,K1189=1),AND(J1189=1,I1189="SBJ"),AND(J1189=1,I1189=0)),"?IN_FOCUS",IF(J1189&lt;=2,"?ACTIVATED",IF(J1189&lt;&gt;"","?FAMILIAR",IF(F1189="NEW",IF(ISNA(VLOOKUP(E1189,#REF!,1,FALSE())),"?TYPE_IDENTIFIABLE","?REFERENTIAL"),"_")))))</f>
        <v> </v>
      </c>
      <c r="H1189" s="25" t="str">
        <f>IF(J1189&lt;&gt;1,"",IF(I1189="SBJ","CB","?"))</f>
        <v> </v>
      </c>
      <c r="I1189" s="26" t="str">
        <f>IF(OR(E1189="",E1189="!!!",F1189="NEW"),"",INDEX(B1188:B$2,-1+SUMPRODUCT(MAX(ROW(E1188:E$2)*(E1189=E1188:E$2)))))</f>
        <v> </v>
      </c>
      <c r="J1189" s="26" t="str">
        <f>IF(OR(E1189="",E1189="!!!",F1189="NEW"),"",COUNTBLANK(OFFSET(A$1,,,SUMPRODUCT(MAX(ROW(E$2:E1189)*(E1189=E$2:E1189)))))-COUNTBLANK(OFFSET(A$1,,,SUMPRODUCT(MAX(ROW(E$1:E1188)*(E2=E$1:E1188))))))</f>
        <v> </v>
      </c>
      <c r="K1189" s="26" t="str">
        <f>IF(OR(E1189="",E1189="!!!",F1189="NEW"),"",INDEX(J$1:J1188,SUMPRODUCT(MAX(ROW(E$1:E1188)*(E1189=E$1:E1188)))))</f>
        <v> </v>
      </c>
      <c r="L1189" s="27"/>
    </row>
    <row r="1190" spans="1:12">
      <c r="A1190" s="20" t="s">
        <v>1281</v>
      </c>
      <c r="E1190" s="22">
        <f>IF(D1190="?OLD","!!!","")</f>
        <v/>
      </c>
      <c r="F1190" s="23" t="str">
        <f>IF(OR(E1190="",E1190="!!!"),"",IF(NOT(ISNA(VLOOKUP(E1190,E$1:E1189,1,FALSE()))),"OLD",IF(AND(E1190&lt;&gt;"",E1190&lt;&gt;"!!!"),"NEW","")))</f>
        <v> </v>
      </c>
      <c r="G1190" s="24" t="str">
        <f>IF(OR(E1190="",E1190="!!!"),"",IF(OR(J1190=0,AND(J1190=1,K1190=1),AND(J1190=1,I1190="SBJ"),AND(J1190=1,I1190=0)),"?IN_FOCUS",IF(J1190&lt;=2,"?ACTIVATED",IF(J1190&lt;&gt;"","?FAMILIAR",IF(F1190="NEW",IF(ISNA(VLOOKUP(E1190,#REF!,1,FALSE())),"?TYPE_IDENTIFIABLE","?REFERENTIAL"),"_")))))</f>
        <v> </v>
      </c>
      <c r="H1190" s="25" t="str">
        <f>IF(J1190&lt;&gt;1,"",IF(I1190="SBJ","CB","?"))</f>
        <v> </v>
      </c>
      <c r="I1190" s="26" t="str">
        <f>IF(OR(E1190="",E1190="!!!",F1190="NEW"),"",INDEX(B1189:B$2,-1+SUMPRODUCT(MAX(ROW(E1189:E$2)*(E1190=E1189:E$2)))))</f>
        <v> </v>
      </c>
      <c r="J1190" s="26" t="str">
        <f>IF(OR(E1190="",E1190="!!!",F1190="NEW"),"",COUNTBLANK(OFFSET(A$1,,,SUMPRODUCT(MAX(ROW(E$2:E1190)*(E1190=E$2:E1190)))))-COUNTBLANK(OFFSET(A$1,,,SUMPRODUCT(MAX(ROW(E$1:E1189)*(E2=E$1:E1189))))))</f>
        <v> </v>
      </c>
      <c r="K1190" s="26" t="str">
        <f>IF(OR(E1190="",E1190="!!!",F1190="NEW"),"",INDEX(J$1:J1189,SUMPRODUCT(MAX(ROW(E$1:E1189)*(E1190=E$1:E1189)))))</f>
        <v> </v>
      </c>
      <c r="L1190" s="27"/>
    </row>
    <row r="1191" spans="1:12">
      <c r="A1191" s="20" t="s">
        <v>811</v>
      </c>
      <c r="E1191" s="22">
        <f>IF(D1191="?OLD","!!!","")</f>
        <v/>
      </c>
      <c r="F1191" s="23" t="str">
        <f>IF(OR(E1191="",E1191="!!!"),"",IF(NOT(ISNA(VLOOKUP(E1191,E$1:E1190,1,FALSE()))),"OLD",IF(AND(E1191&lt;&gt;"",E1191&lt;&gt;"!!!"),"NEW","")))</f>
        <v> </v>
      </c>
      <c r="G1191" s="24" t="str">
        <f>IF(OR(E1191="",E1191="!!!"),"",IF(OR(J1191=0,AND(J1191=1,K1191=1),AND(J1191=1,I1191="SBJ"),AND(J1191=1,I1191=0)),"?IN_FOCUS",IF(J1191&lt;=2,"?ACTIVATED",IF(J1191&lt;&gt;"","?FAMILIAR",IF(F1191="NEW",IF(ISNA(VLOOKUP(E1191,#REF!,1,FALSE())),"?TYPE_IDENTIFIABLE","?REFERENTIAL"),"_")))))</f>
        <v> </v>
      </c>
      <c r="H1191" s="25" t="str">
        <f>IF(J1191&lt;&gt;1,"",IF(I1191="SBJ","CB","?"))</f>
        <v> </v>
      </c>
      <c r="I1191" s="26" t="str">
        <f>IF(OR(E1191="",E1191="!!!",F1191="NEW"),"",INDEX(B1190:B$2,-1+SUMPRODUCT(MAX(ROW(E1190:E$2)*(E1191=E1190:E$2)))))</f>
        <v> </v>
      </c>
      <c r="J1191" s="26" t="str">
        <f>IF(OR(E1191="",E1191="!!!",F1191="NEW"),"",COUNTBLANK(OFFSET(A$1,,,SUMPRODUCT(MAX(ROW(E$2:E1191)*(E1191=E$2:E1191)))))-COUNTBLANK(OFFSET(A$1,,,SUMPRODUCT(MAX(ROW(E$1:E1190)*(E2=E$1:E1190))))))</f>
        <v> </v>
      </c>
      <c r="K1191" s="26" t="str">
        <f>IF(OR(E1191="",E1191="!!!",F1191="NEW"),"",INDEX(J$1:J1190,SUMPRODUCT(MAX(ROW(E$1:E1190)*(E1191=E$1:E1190)))))</f>
        <v> </v>
      </c>
      <c r="L1191" s="27"/>
    </row>
    <row r="1192" spans="1:12">
      <c r="A1192" s="20" t="s">
        <v>246</v>
      </c>
      <c r="E1192" s="22">
        <f>IF(D1192="?OLD","!!!","")</f>
        <v/>
      </c>
      <c r="F1192" s="23" t="str">
        <f>IF(OR(E1192="",E1192="!!!"),"",IF(NOT(ISNA(VLOOKUP(E1192,E$1:E1191,1,FALSE()))),"OLD",IF(AND(E1192&lt;&gt;"",E1192&lt;&gt;"!!!"),"NEW","")))</f>
        <v> </v>
      </c>
      <c r="G1192" s="24" t="str">
        <f>IF(OR(E1192="",E1192="!!!"),"",IF(OR(J1192=0,AND(J1192=1,K1192=1),AND(J1192=1,I1192="SBJ"),AND(J1192=1,I1192=0)),"?IN_FOCUS",IF(J1192&lt;=2,"?ACTIVATED",IF(J1192&lt;&gt;"","?FAMILIAR",IF(F1192="NEW",IF(ISNA(VLOOKUP(E1192,#REF!,1,FALSE())),"?TYPE_IDENTIFIABLE","?REFERENTIAL"),"_")))))</f>
        <v> </v>
      </c>
      <c r="H1192" s="25" t="str">
        <f>IF(J1192&lt;&gt;1,"",IF(I1192="SBJ","CB","?"))</f>
        <v> </v>
      </c>
      <c r="I1192" s="26" t="str">
        <f>IF(OR(E1192="",E1192="!!!",F1192="NEW"),"",INDEX(B1191:B$2,-1+SUMPRODUCT(MAX(ROW(E1191:E$2)*(E1192=E1191:E$2)))))</f>
        <v> </v>
      </c>
      <c r="J1192" s="26" t="str">
        <f>IF(OR(E1192="",E1192="!!!",F1192="NEW"),"",COUNTBLANK(OFFSET(A$1,,,SUMPRODUCT(MAX(ROW(E$2:E1192)*(E1192=E$2:E1192)))))-COUNTBLANK(OFFSET(A$1,,,SUMPRODUCT(MAX(ROW(E$1:E1191)*(E2=E$1:E1191))))))</f>
        <v> </v>
      </c>
      <c r="K1192" s="26" t="str">
        <f>IF(OR(E1192="",E1192="!!!",F1192="NEW"),"",INDEX(J$1:J1191,SUMPRODUCT(MAX(ROW(E$1:E1191)*(E1192=E$1:E1191)))))</f>
        <v> </v>
      </c>
      <c r="L1192" s="27"/>
    </row>
    <row r="1193" spans="1:12">
      <c r="A1193" s="20"/>
    </row>
    <row r="1194" spans="1:12">
      <c r="A1194" s="20" t="s">
        <v>798</v>
      </c>
      <c r="E1194" s="22">
        <f>IF(D1194="?OLD","!!!","")</f>
        <v/>
      </c>
      <c r="F1194" s="23" t="str">
        <f>IF(OR(E1194="",E1194="!!!"),"",IF(NOT(ISNA(VLOOKUP(E1194,E$1:E1193,1,FALSE()))),"OLD",IF(AND(E1194&lt;&gt;"",E1194&lt;&gt;"!!!"),"NEW","")))</f>
        <v> </v>
      </c>
      <c r="G1194" s="24" t="str">
        <f>IF(OR(E1194="",E1194="!!!"),"",IF(OR(J1194=0,AND(J1194=1,K1194=1),AND(J1194=1,I1194="SBJ"),AND(J1194=1,I1194=0)),"?IN_FOCUS",IF(J1194&lt;=2,"?ACTIVATED",IF(J1194&lt;&gt;"","?FAMILIAR",IF(F1194="NEW",IF(ISNA(VLOOKUP(E1194,#REF!,1,FALSE())),"?TYPE_IDENTIFIABLE","?REFERENTIAL"),"_")))))</f>
        <v> </v>
      </c>
      <c r="H1194" s="25" t="str">
        <f>IF(J1194&lt;&gt;1,"",IF(I1194="SBJ","CB","?"))</f>
        <v> </v>
      </c>
      <c r="I1194" s="26" t="str">
        <f>IF(OR(E1194="",E1194="!!!",F1194="NEW"),"",INDEX(B1193:B$2,-1+SUMPRODUCT(MAX(ROW(E1193:E$2)*(E1194=E1193:E$2)))))</f>
        <v> </v>
      </c>
      <c r="J1194" s="26" t="str">
        <f>IF(OR(E1194="",E1194="!!!",F1194="NEW"),"",COUNTBLANK(OFFSET(A$1,,,SUMPRODUCT(MAX(ROW(E$2:E1194)*(E1194=E$2:E1194)))))-COUNTBLANK(OFFSET(A$1,,,SUMPRODUCT(MAX(ROW(E$1:E1193)*(E2=E$1:E1193))))))</f>
        <v> </v>
      </c>
      <c r="K1194" s="26" t="str">
        <f>IF(OR(E1194="",E1194="!!!",F1194="NEW"),"",INDEX(J$1:J1193,SUMPRODUCT(MAX(ROW(E$1:E1193)*(E1194=E$1:E1193)))))</f>
        <v> </v>
      </c>
      <c r="L1194" s="27"/>
    </row>
    <row r="1195" spans="1:12">
      <c r="A1195" s="20" t="s">
        <v>1282</v>
      </c>
    </row>
    <row r="1196" spans="1:12">
      <c r="A1196" s="20" t="s">
        <v>834</v>
      </c>
      <c r="B1196" s="21" t="s">
        <v>728</v>
      </c>
      <c r="C1196" s="21" t="s">
        <v>729</v>
      </c>
      <c r="D1196" s="21" t="s">
        <v>730</v>
      </c>
      <c r="E1196" s="22">
        <f>IF(D1196="?OLD","!!!","")</f>
        <v/>
      </c>
      <c r="F1196" s="23" t="str">
        <f>IF(OR(E1196="",E1196="!!!"),"",IF(NOT(ISNA(VLOOKUP(E1196,E$1:E1195,1,FALSE()))),"OLD",IF(AND(E1196&lt;&gt;"",E1196&lt;&gt;"!!!"),"NEW","")))</f>
        <v> </v>
      </c>
      <c r="G1196" s="24" t="str">
        <f>IF(OR(E1196="",E1196="!!!"),"",IF(OR(J1196=0,AND(J1196=1,K1196=1),AND(J1196=1,I1196="SBJ"),AND(J1196=1,I1196=0)),"?IN_FOCUS",IF(J1196&lt;=2,"?ACTIVATED",IF(J1196&lt;&gt;"","?FAMILIAR",IF(F1196="NEW",IF(ISNA(VLOOKUP(E1196,#REF!,1,FALSE())),"?TYPE_IDENTIFIABLE","?REFERENTIAL"),"_")))))</f>
        <v> </v>
      </c>
      <c r="H1196" s="25" t="str">
        <f>IF(J1196&lt;&gt;1,"",IF(I1196="SBJ","CB","?"))</f>
        <v> </v>
      </c>
      <c r="I1196" s="26" t="str">
        <f>IF(OR(E1196="",E1196="!!!",F1196="NEW"),"",INDEX(B1195:B$2,-1+SUMPRODUCT(MAX(ROW(E1195:E$2)*(E1196=E1195:E$2)))))</f>
        <v> </v>
      </c>
      <c r="J1196" s="26" t="str">
        <f>IF(OR(E1196="",E1196="!!!",F1196="NEW"),"",COUNTBLANK(OFFSET(A$1,,,SUMPRODUCT(MAX(ROW(E$2:E1196)*(E1196=E$2:E1196)))))-COUNTBLANK(OFFSET(A$1,,,SUMPRODUCT(MAX(ROW(E$1:E1195)*(E2=E$1:E1195))))))</f>
        <v> </v>
      </c>
      <c r="K1196" s="26" t="str">
        <f>IF(OR(E1196="",E1196="!!!",F1196="NEW"),"",INDEX(J$1:J1195,SUMPRODUCT(MAX(ROW(E$1:E1195)*(E1196=E$1:E1195)))))</f>
        <v> </v>
      </c>
      <c r="L1196" s="27"/>
    </row>
    <row r="1197" spans="1:12">
      <c r="A1197" s="20" t="s">
        <v>1283</v>
      </c>
      <c r="E1197" s="22">
        <f>IF(D1197="?OLD","!!!","")</f>
        <v/>
      </c>
      <c r="F1197" s="23" t="str">
        <f>IF(OR(E1197="",E1197="!!!"),"",IF(NOT(ISNA(VLOOKUP(E1197,E$1:E1196,1,FALSE()))),"OLD",IF(AND(E1197&lt;&gt;"",E1197&lt;&gt;"!!!"),"NEW","")))</f>
        <v> </v>
      </c>
      <c r="G1197" s="24" t="str">
        <f>IF(OR(E1197="",E1197="!!!"),"",IF(OR(J1197=0,AND(J1197=1,K1197=1),AND(J1197=1,I1197="SBJ"),AND(J1197=1,I1197=0)),"?IN_FOCUS",IF(J1197&lt;=2,"?ACTIVATED",IF(J1197&lt;&gt;"","?FAMILIAR",IF(F1197="NEW",IF(ISNA(VLOOKUP(E1197,#REF!,1,FALSE())),"?TYPE_IDENTIFIABLE","?REFERENTIAL"),"_")))))</f>
        <v> </v>
      </c>
      <c r="H1197" s="25" t="str">
        <f>IF(J1197&lt;&gt;1,"",IF(I1197="SBJ","CB","?"))</f>
        <v> </v>
      </c>
      <c r="I1197" s="26" t="str">
        <f>IF(OR(E1197="",E1197="!!!",F1197="NEW"),"",INDEX(B1196:B$2,-1+SUMPRODUCT(MAX(ROW(E1196:E$2)*(E1197=E1196:E$2)))))</f>
        <v> </v>
      </c>
      <c r="J1197" s="26" t="str">
        <f>IF(OR(E1197="",E1197="!!!",F1197="NEW"),"",COUNTBLANK(OFFSET(A$1,,,SUMPRODUCT(MAX(ROW(E$2:E1197)*(E1197=E$2:E1197)))))-COUNTBLANK(OFFSET(A$1,,,SUMPRODUCT(MAX(ROW(E$1:E1196)*(E2=E$1:E1196))))))</f>
        <v> </v>
      </c>
      <c r="K1197" s="26" t="str">
        <f>IF(OR(E1197="",E1197="!!!",F1197="NEW"),"",INDEX(J$1:J1196,SUMPRODUCT(MAX(ROW(E$1:E1196)*(E1197=E$1:E1196)))))</f>
        <v> </v>
      </c>
      <c r="L1197" s="27"/>
    </row>
    <row r="1198" spans="1:12">
      <c r="A1198" s="20" t="s">
        <v>817</v>
      </c>
      <c r="E1198" s="22">
        <f>IF(D1198="?OLD","!!!","")</f>
        <v/>
      </c>
      <c r="F1198" s="23" t="str">
        <f>IF(OR(E1198="",E1198="!!!"),"",IF(NOT(ISNA(VLOOKUP(E1198,E$1:E1197,1,FALSE()))),"OLD",IF(AND(E1198&lt;&gt;"",E1198&lt;&gt;"!!!"),"NEW","")))</f>
        <v> </v>
      </c>
      <c r="G1198" s="24" t="str">
        <f>IF(OR(E1198="",E1198="!!!"),"",IF(OR(J1198=0,AND(J1198=1,K1198=1),AND(J1198=1,I1198="SBJ"),AND(J1198=1,I1198=0)),"?IN_FOCUS",IF(J1198&lt;=2,"?ACTIVATED",IF(J1198&lt;&gt;"","?FAMILIAR",IF(F1198="NEW",IF(ISNA(VLOOKUP(E1198,#REF!,1,FALSE())),"?TYPE_IDENTIFIABLE","?REFERENTIAL"),"_")))))</f>
        <v> </v>
      </c>
      <c r="H1198" s="25" t="str">
        <f>IF(J1198&lt;&gt;1,"",IF(I1198="SBJ","CB","?"))</f>
        <v> </v>
      </c>
      <c r="I1198" s="26" t="str">
        <f>IF(OR(E1198="",E1198="!!!",F1198="NEW"),"",INDEX(B1197:B$2,-1+SUMPRODUCT(MAX(ROW(E1197:E$2)*(E1198=E1197:E$2)))))</f>
        <v> </v>
      </c>
      <c r="J1198" s="26" t="str">
        <f>IF(OR(E1198="",E1198="!!!",F1198="NEW"),"",COUNTBLANK(OFFSET(A$1,,,SUMPRODUCT(MAX(ROW(E$2:E1198)*(E1198=E$2:E1198)))))-COUNTBLANK(OFFSET(A$1,,,SUMPRODUCT(MAX(ROW(E$1:E1197)*(E2=E$1:E1197))))))</f>
        <v> </v>
      </c>
      <c r="K1198" s="26" t="str">
        <f>IF(OR(E1198="",E1198="!!!",F1198="NEW"),"",INDEX(J$1:J1197,SUMPRODUCT(MAX(ROW(E$1:E1197)*(E1198=E$1:E1197)))))</f>
        <v> </v>
      </c>
      <c r="L1198" s="27"/>
    </row>
    <row r="1199" spans="1:12">
      <c r="A1199" s="20" t="s">
        <v>1284</v>
      </c>
      <c r="E1199" s="22">
        <f>IF(D1199="?OLD","!!!","")</f>
        <v/>
      </c>
      <c r="F1199" s="23" t="str">
        <f>IF(OR(E1199="",E1199="!!!"),"",IF(NOT(ISNA(VLOOKUP(E1199,E$1:E1198,1,FALSE()))),"OLD",IF(AND(E1199&lt;&gt;"",E1199&lt;&gt;"!!!"),"NEW","")))</f>
        <v> </v>
      </c>
      <c r="G1199" s="24" t="str">
        <f>IF(OR(E1199="",E1199="!!!"),"",IF(OR(J1199=0,AND(J1199=1,K1199=1),AND(J1199=1,I1199="SBJ"),AND(J1199=1,I1199=0)),"?IN_FOCUS",IF(J1199&lt;=2,"?ACTIVATED",IF(J1199&lt;&gt;"","?FAMILIAR",IF(F1199="NEW",IF(ISNA(VLOOKUP(E1199,#REF!,1,FALSE())),"?TYPE_IDENTIFIABLE","?REFERENTIAL"),"_")))))</f>
        <v> </v>
      </c>
      <c r="H1199" s="25" t="str">
        <f>IF(J1199&lt;&gt;1,"",IF(I1199="SBJ","CB","?"))</f>
        <v> </v>
      </c>
      <c r="I1199" s="26" t="str">
        <f>IF(OR(E1199="",E1199="!!!",F1199="NEW"),"",INDEX(B1198:B$2,-1+SUMPRODUCT(MAX(ROW(E1198:E$2)*(E1199=E1198:E$2)))))</f>
        <v> </v>
      </c>
      <c r="J1199" s="26" t="str">
        <f>IF(OR(E1199="",E1199="!!!",F1199="NEW"),"",COUNTBLANK(OFFSET(A$1,,,SUMPRODUCT(MAX(ROW(E$2:E1199)*(E1199=E$2:E1199)))))-COUNTBLANK(OFFSET(A$1,,,SUMPRODUCT(MAX(ROW(E$1:E1198)*(E2=E$1:E1198))))))</f>
        <v> </v>
      </c>
      <c r="K1199" s="26" t="str">
        <f>IF(OR(E1199="",E1199="!!!",F1199="NEW"),"",INDEX(J$1:J1198,SUMPRODUCT(MAX(ROW(E$1:E1198)*(E1199=E$1:E1198)))))</f>
        <v> </v>
      </c>
      <c r="L1199" s="27"/>
    </row>
    <row r="1200" spans="1:12">
      <c r="A1200" s="20" t="s">
        <v>1285</v>
      </c>
      <c r="B1200" s="21" t="s">
        <v>736</v>
      </c>
      <c r="C1200" s="21" t="s">
        <v>740</v>
      </c>
      <c r="D1200" s="21" t="s">
        <v>730</v>
      </c>
      <c r="E1200" s="22">
        <f>IF(D1200="?OLD","!!!","")</f>
        <v/>
      </c>
      <c r="F1200" s="23" t="str">
        <f>IF(OR(E1200="",E1200="!!!"),"",IF(NOT(ISNA(VLOOKUP(E1200,E$1:E1199,1,FALSE()))),"OLD",IF(AND(E1200&lt;&gt;"",E1200&lt;&gt;"!!!"),"NEW","")))</f>
        <v> </v>
      </c>
      <c r="G1200" s="24" t="str">
        <f>IF(OR(E1200="",E1200="!!!"),"",IF(OR(J1200=0,AND(J1200=1,K1200=1),AND(J1200=1,I1200="SBJ"),AND(J1200=1,I1200=0)),"?IN_FOCUS",IF(J1200&lt;=2,"?ACTIVATED",IF(J1200&lt;&gt;"","?FAMILIAR",IF(F1200="NEW",IF(ISNA(VLOOKUP(E1200,#REF!,1,FALSE())),"?TYPE_IDENTIFIABLE","?REFERENTIAL"),"_")))))</f>
        <v> </v>
      </c>
      <c r="H1200" s="25" t="str">
        <f>IF(J1200&lt;&gt;1,"",IF(I1200="SBJ","CB","?"))</f>
        <v> </v>
      </c>
      <c r="I1200" s="26" t="str">
        <f>IF(OR(E1200="",E1200="!!!",F1200="NEW"),"",INDEX(B1199:B$2,-1+SUMPRODUCT(MAX(ROW(E1199:E$2)*(E1200=E1199:E$2)))))</f>
        <v> </v>
      </c>
      <c r="J1200" s="26" t="str">
        <f>IF(OR(E1200="",E1200="!!!",F1200="NEW"),"",COUNTBLANK(OFFSET(A$1,,,SUMPRODUCT(MAX(ROW(E$2:E1200)*(E1200=E$2:E1200)))))-COUNTBLANK(OFFSET(A$1,,,SUMPRODUCT(MAX(ROW(E$1:E1199)*(E2=E$1:E1199))))))</f>
        <v> </v>
      </c>
      <c r="K1200" s="26" t="str">
        <f>IF(OR(E1200="",E1200="!!!",F1200="NEW"),"",INDEX(J$1:J1199,SUMPRODUCT(MAX(ROW(E$1:E1199)*(E1200=E$1:E1199)))))</f>
        <v> </v>
      </c>
      <c r="L1200" s="27"/>
    </row>
    <row r="1201" spans="1:12">
      <c r="A1201" s="20" t="s">
        <v>817</v>
      </c>
      <c r="E1201" s="22">
        <f>IF(D1201="?OLD","!!!","")</f>
        <v/>
      </c>
      <c r="F1201" s="23" t="str">
        <f>IF(OR(E1201="",E1201="!!!"),"",IF(NOT(ISNA(VLOOKUP(E1201,E$1:E1200,1,FALSE()))),"OLD",IF(AND(E1201&lt;&gt;"",E1201&lt;&gt;"!!!"),"NEW","")))</f>
        <v> </v>
      </c>
      <c r="G1201" s="24" t="str">
        <f>IF(OR(E1201="",E1201="!!!"),"",IF(OR(J1201=0,AND(J1201=1,K1201=1),AND(J1201=1,I1201="SBJ"),AND(J1201=1,I1201=0)),"?IN_FOCUS",IF(J1201&lt;=2,"?ACTIVATED",IF(J1201&lt;&gt;"","?FAMILIAR",IF(F1201="NEW",IF(ISNA(VLOOKUP(E1201,#REF!,1,FALSE())),"?TYPE_IDENTIFIABLE","?REFERENTIAL"),"_")))))</f>
        <v> </v>
      </c>
      <c r="H1201" s="25" t="str">
        <f>IF(J1201&lt;&gt;1,"",IF(I1201="SBJ","CB","?"))</f>
        <v> </v>
      </c>
      <c r="I1201" s="26" t="str">
        <f>IF(OR(E1201="",E1201="!!!",F1201="NEW"),"",INDEX(B1200:B$2,-1+SUMPRODUCT(MAX(ROW(E1200:E$2)*(E1201=E1200:E$2)))))</f>
        <v> </v>
      </c>
      <c r="J1201" s="26" t="str">
        <f>IF(OR(E1201="",E1201="!!!",F1201="NEW"),"",COUNTBLANK(OFFSET(A$1,,,SUMPRODUCT(MAX(ROW(E$2:E1201)*(E1201=E$2:E1201)))))-COUNTBLANK(OFFSET(A$1,,,SUMPRODUCT(MAX(ROW(E$1:E1200)*(E2=E$1:E1200))))))</f>
        <v> </v>
      </c>
      <c r="K1201" s="26" t="str">
        <f>IF(OR(E1201="",E1201="!!!",F1201="NEW"),"",INDEX(J$1:J1200,SUMPRODUCT(MAX(ROW(E$1:E1200)*(E1201=E$1:E1200)))))</f>
        <v> </v>
      </c>
      <c r="L1201" s="27"/>
    </row>
    <row r="1202" spans="1:12">
      <c r="A1202" s="20" t="s">
        <v>246</v>
      </c>
      <c r="E1202" s="22">
        <f>IF(D1202="?OLD","!!!","")</f>
        <v/>
      </c>
      <c r="F1202" s="23" t="str">
        <f>IF(OR(E1202="",E1202="!!!"),"",IF(NOT(ISNA(VLOOKUP(E1202,E$1:E1201,1,FALSE()))),"OLD",IF(AND(E1202&lt;&gt;"",E1202&lt;&gt;"!!!"),"NEW","")))</f>
        <v> </v>
      </c>
      <c r="G1202" s="24" t="str">
        <f>IF(OR(E1202="",E1202="!!!"),"",IF(OR(J1202=0,AND(J1202=1,K1202=1),AND(J1202=1,I1202="SBJ"),AND(J1202=1,I1202=0)),"?IN_FOCUS",IF(J1202&lt;=2,"?ACTIVATED",IF(J1202&lt;&gt;"","?FAMILIAR",IF(F1202="NEW",IF(ISNA(VLOOKUP(E1202,#REF!,1,FALSE())),"?TYPE_IDENTIFIABLE","?REFERENTIAL"),"_")))))</f>
        <v> </v>
      </c>
      <c r="H1202" s="25" t="str">
        <f>IF(J1202&lt;&gt;1,"",IF(I1202="SBJ","CB","?"))</f>
        <v> </v>
      </c>
      <c r="I1202" s="26" t="str">
        <f>IF(OR(E1202="",E1202="!!!",F1202="NEW"),"",INDEX(B1201:B$2,-1+SUMPRODUCT(MAX(ROW(E1201:E$2)*(E1202=E1201:E$2)))))</f>
        <v> </v>
      </c>
      <c r="J1202" s="26" t="str">
        <f>IF(OR(E1202="",E1202="!!!",F1202="NEW"),"",COUNTBLANK(OFFSET(A$1,,,SUMPRODUCT(MAX(ROW(E$2:E1202)*(E1202=E$2:E1202)))))-COUNTBLANK(OFFSET(A$1,,,SUMPRODUCT(MAX(ROW(E$1:E1201)*(E2=E$1:E1201))))))</f>
        <v> </v>
      </c>
      <c r="K1202" s="26" t="str">
        <f>IF(OR(E1202="",E1202="!!!",F1202="NEW"),"",INDEX(J$1:J1201,SUMPRODUCT(MAX(ROW(E$1:E1201)*(E1202=E$1:E1201)))))</f>
        <v> </v>
      </c>
      <c r="L1202" s="27"/>
    </row>
    <row r="1203" spans="1:12">
      <c r="A1203" s="20"/>
    </row>
    <row r="1204" spans="1:12">
      <c r="A1204" s="20" t="s">
        <v>1286</v>
      </c>
    </row>
    <row r="1205" spans="1:12">
      <c r="A1205" s="20" t="s">
        <v>958</v>
      </c>
      <c r="E1205" s="22">
        <f>IF(D1205="?OLD","!!!","")</f>
        <v/>
      </c>
      <c r="F1205" s="23" t="str">
        <f>IF(OR(E1205="",E1205="!!!"),"",IF(NOT(ISNA(VLOOKUP(E1205,E$1:E1204,1,FALSE()))),"OLD",IF(AND(E1205&lt;&gt;"",E1205&lt;&gt;"!!!"),"NEW","")))</f>
        <v> </v>
      </c>
      <c r="G1205" s="24" t="str">
        <f>IF(OR(E1205="",E1205="!!!"),"",IF(OR(J1205=0,AND(J1205=1,K1205=1),AND(J1205=1,I1205="SBJ"),AND(J1205=1,I1205=0)),"?IN_FOCUS",IF(J1205&lt;=2,"?ACTIVATED",IF(J1205&lt;&gt;"","?FAMILIAR",IF(F1205="NEW",IF(ISNA(VLOOKUP(E1205,#REF!,1,FALSE())),"?TYPE_IDENTIFIABLE","?REFERENTIAL"),"_")))))</f>
        <v> </v>
      </c>
      <c r="H1205" s="25" t="str">
        <f>IF(J1205&lt;&gt;1,"",IF(I1205="SBJ","CB","?"))</f>
        <v> </v>
      </c>
      <c r="I1205" s="26" t="str">
        <f>IF(OR(E1205="",E1205="!!!",F1205="NEW"),"",INDEX(B1204:B$2,-1+SUMPRODUCT(MAX(ROW(E1204:E$2)*(E1205=E1204:E$2)))))</f>
        <v> </v>
      </c>
      <c r="J1205" s="26" t="str">
        <f>IF(OR(E1205="",E1205="!!!",F1205="NEW"),"",COUNTBLANK(OFFSET(A$1,,,SUMPRODUCT(MAX(ROW(E$2:E1205)*(E1205=E$2:E1205)))))-COUNTBLANK(OFFSET(A$1,,,SUMPRODUCT(MAX(ROW(E$1:E1204)*(E2=E$1:E1204))))))</f>
        <v> </v>
      </c>
      <c r="K1205" s="26" t="str">
        <f>IF(OR(E1205="",E1205="!!!",F1205="NEW"),"",INDEX(J$1:J1204,SUMPRODUCT(MAX(ROW(E$1:E1204)*(E1205=E$1:E1204)))))</f>
        <v> </v>
      </c>
      <c r="L1205" s="27"/>
    </row>
    <row r="1206" spans="1:12">
      <c r="A1206" s="20" t="s">
        <v>1287</v>
      </c>
      <c r="B1206" s="21" t="s">
        <v>796</v>
      </c>
      <c r="C1206" s="21" t="s">
        <v>978</v>
      </c>
      <c r="D1206" s="21" t="s">
        <v>730</v>
      </c>
      <c r="E1206" s="22">
        <f>IF(D1206="?OLD","!!!","")</f>
        <v/>
      </c>
      <c r="F1206" s="23" t="str">
        <f>IF(OR(E1206="",E1206="!!!"),"",IF(NOT(ISNA(VLOOKUP(E1206,E$1:E1205,1,FALSE()))),"OLD",IF(AND(E1206&lt;&gt;"",E1206&lt;&gt;"!!!"),"NEW","")))</f>
        <v> </v>
      </c>
      <c r="G1206" s="24" t="str">
        <f>IF(OR(E1206="",E1206="!!!"),"",IF(OR(J1206=0,AND(J1206=1,K1206=1),AND(J1206=1,I1206="SBJ"),AND(J1206=1,I1206=0)),"?IN_FOCUS",IF(J1206&lt;=2,"?ACTIVATED",IF(J1206&lt;&gt;"","?FAMILIAR",IF(F1206="NEW",IF(ISNA(VLOOKUP(E1206,#REF!,1,FALSE())),"?TYPE_IDENTIFIABLE","?REFERENTIAL"),"_")))))</f>
        <v> </v>
      </c>
      <c r="H1206" s="25" t="str">
        <f>IF(J1206&lt;&gt;1,"",IF(I1206="SBJ","CB","?"))</f>
        <v> </v>
      </c>
      <c r="I1206" s="26" t="str">
        <f>IF(OR(E1206="",E1206="!!!",F1206="NEW"),"",INDEX(B1205:B$2,-1+SUMPRODUCT(MAX(ROW(E1205:E$2)*(E1206=E1205:E$2)))))</f>
        <v> </v>
      </c>
      <c r="J1206" s="26" t="str">
        <f>IF(OR(E1206="",E1206="!!!",F1206="NEW"),"",COUNTBLANK(OFFSET(A$1,,,SUMPRODUCT(MAX(ROW(E$2:E1206)*(E1206=E$2:E1206)))))-COUNTBLANK(OFFSET(A$1,,,SUMPRODUCT(MAX(ROW(E$1:E1205)*(E2=E$1:E1205))))))</f>
        <v> </v>
      </c>
      <c r="K1206" s="26" t="str">
        <f>IF(OR(E1206="",E1206="!!!",F1206="NEW"),"",INDEX(J$1:J1205,SUMPRODUCT(MAX(ROW(E$1:E1205)*(E1206=E$1:E1205)))))</f>
        <v> </v>
      </c>
      <c r="L1206" s="27"/>
    </row>
    <row r="1207" spans="1:12">
      <c r="A1207" s="20" t="s">
        <v>1245</v>
      </c>
      <c r="B1207" s="21" t="s">
        <v>783</v>
      </c>
      <c r="C1207" s="21" t="s">
        <v>801</v>
      </c>
      <c r="D1207" s="21" t="s">
        <v>730</v>
      </c>
      <c r="E1207" s="22">
        <f>IF(D1207="?OLD","!!!","")</f>
        <v/>
      </c>
      <c r="F1207" s="23" t="str">
        <f>IF(OR(E1207="",E1207="!!!"),"",IF(NOT(ISNA(VLOOKUP(E1207,E$1:E1206,1,FALSE()))),"OLD",IF(AND(E1207&lt;&gt;"",E1207&lt;&gt;"!!!"),"NEW","")))</f>
        <v> </v>
      </c>
      <c r="G1207" s="24" t="str">
        <f>IF(OR(E1207="",E1207="!!!"),"",IF(OR(J1207=0,AND(J1207=1,K1207=1),AND(J1207=1,I1207="SBJ"),AND(J1207=1,I1207=0)),"?IN_FOCUS",IF(J1207&lt;=2,"?ACTIVATED",IF(J1207&lt;&gt;"","?FAMILIAR",IF(F1207="NEW",IF(ISNA(VLOOKUP(E1207,#REF!,1,FALSE())),"?TYPE_IDENTIFIABLE","?REFERENTIAL"),"_")))))</f>
        <v> </v>
      </c>
      <c r="H1207" s="25" t="str">
        <f>IF(J1207&lt;&gt;1,"",IF(I1207="SBJ","CB","?"))</f>
        <v> </v>
      </c>
      <c r="I1207" s="26" t="str">
        <f>IF(OR(E1207="",E1207="!!!",F1207="NEW"),"",INDEX(B1206:B$2,-1+SUMPRODUCT(MAX(ROW(E1206:E$2)*(E1207=E1206:E$2)))))</f>
        <v> </v>
      </c>
      <c r="J1207" s="26" t="str">
        <f>IF(OR(E1207="",E1207="!!!",F1207="NEW"),"",COUNTBLANK(OFFSET(A$1,,,SUMPRODUCT(MAX(ROW(E$2:E1207)*(E1207=E$2:E1207)))))-COUNTBLANK(OFFSET(A$1,,,SUMPRODUCT(MAX(ROW(E$1:E1206)*(E2=E$1:E1206))))))</f>
        <v> </v>
      </c>
      <c r="K1207" s="26" t="str">
        <f>IF(OR(E1207="",E1207="!!!",F1207="NEW"),"",INDEX(J$1:J1206,SUMPRODUCT(MAX(ROW(E$1:E1206)*(E1207=E$1:E1206)))))</f>
        <v> </v>
      </c>
      <c r="L1207" s="27"/>
    </row>
    <row r="1208" spans="1:12">
      <c r="A1208" s="20" t="s">
        <v>1272</v>
      </c>
      <c r="B1208" s="21" t="s">
        <v>755</v>
      </c>
      <c r="C1208" s="21" t="s">
        <v>802</v>
      </c>
      <c r="D1208" s="21" t="s">
        <v>730</v>
      </c>
      <c r="E1208" s="22">
        <f>IF(D1208="?OLD","!!!","")</f>
        <v/>
      </c>
      <c r="F1208" s="23" t="str">
        <f>IF(OR(E1208="",E1208="!!!"),"",IF(NOT(ISNA(VLOOKUP(E1208,E$1:E1207,1,FALSE()))),"OLD",IF(AND(E1208&lt;&gt;"",E1208&lt;&gt;"!!!"),"NEW","")))</f>
        <v> </v>
      </c>
      <c r="G1208" s="24" t="str">
        <f>IF(OR(E1208="",E1208="!!!"),"",IF(OR(J1208=0,AND(J1208=1,K1208=1),AND(J1208=1,I1208="SBJ"),AND(J1208=1,I1208=0)),"?IN_FOCUS",IF(J1208&lt;=2,"?ACTIVATED",IF(J1208&lt;&gt;"","?FAMILIAR",IF(F1208="NEW",IF(ISNA(VLOOKUP(E1208,#REF!,1,FALSE())),"?TYPE_IDENTIFIABLE","?REFERENTIAL"),"_")))))</f>
        <v> </v>
      </c>
      <c r="H1208" s="25" t="str">
        <f>IF(J1208&lt;&gt;1,"",IF(I1208="SBJ","CB","?"))</f>
        <v> </v>
      </c>
      <c r="I1208" s="26" t="str">
        <f>IF(OR(E1208="",E1208="!!!",F1208="NEW"),"",INDEX(B1207:B$2,-1+SUMPRODUCT(MAX(ROW(E1207:E$2)*(E1208=E1207:E$2)))))</f>
        <v> </v>
      </c>
      <c r="J1208" s="26" t="str">
        <f>IF(OR(E1208="",E1208="!!!",F1208="NEW"),"",COUNTBLANK(OFFSET(A$1,,,SUMPRODUCT(MAX(ROW(E$2:E1208)*(E1208=E$2:E1208)))))-COUNTBLANK(OFFSET(A$1,,,SUMPRODUCT(MAX(ROW(E$1:E1207)*(E2=E$1:E1207))))))</f>
        <v> </v>
      </c>
      <c r="K1208" s="26" t="str">
        <f>IF(OR(E1208="",E1208="!!!",F1208="NEW"),"",INDEX(J$1:J1207,SUMPRODUCT(MAX(ROW(E$1:E1207)*(E1208=E$1:E1207)))))</f>
        <v> </v>
      </c>
      <c r="L1208" s="27"/>
    </row>
    <row r="1209" spans="1:12">
      <c r="A1209" s="20" t="s">
        <v>811</v>
      </c>
      <c r="E1209" s="22">
        <f>IF(D1209="?OLD","!!!","")</f>
        <v/>
      </c>
      <c r="F1209" s="23" t="str">
        <f>IF(OR(E1209="",E1209="!!!"),"",IF(NOT(ISNA(VLOOKUP(E1209,E$1:E1208,1,FALSE()))),"OLD",IF(AND(E1209&lt;&gt;"",E1209&lt;&gt;"!!!"),"NEW","")))</f>
        <v> </v>
      </c>
      <c r="G1209" s="24" t="str">
        <f>IF(OR(E1209="",E1209="!!!"),"",IF(OR(J1209=0,AND(J1209=1,K1209=1),AND(J1209=1,I1209="SBJ"),AND(J1209=1,I1209=0)),"?IN_FOCUS",IF(J1209&lt;=2,"?ACTIVATED",IF(J1209&lt;&gt;"","?FAMILIAR",IF(F1209="NEW",IF(ISNA(VLOOKUP(E1209,#REF!,1,FALSE())),"?TYPE_IDENTIFIABLE","?REFERENTIAL"),"_")))))</f>
        <v> </v>
      </c>
      <c r="H1209" s="25" t="str">
        <f>IF(J1209&lt;&gt;1,"",IF(I1209="SBJ","CB","?"))</f>
        <v> </v>
      </c>
      <c r="I1209" s="26" t="str">
        <f>IF(OR(E1209="",E1209="!!!",F1209="NEW"),"",INDEX(B1208:B$2,-1+SUMPRODUCT(MAX(ROW(E1208:E$2)*(E1209=E1208:E$2)))))</f>
        <v> </v>
      </c>
      <c r="J1209" s="26" t="str">
        <f>IF(OR(E1209="",E1209="!!!",F1209="NEW"),"",COUNTBLANK(OFFSET(A$1,,,SUMPRODUCT(MAX(ROW(E$2:E1209)*(E1209=E$2:E1209)))))-COUNTBLANK(OFFSET(A$1,,,SUMPRODUCT(MAX(ROW(E$1:E1208)*(E2=E$1:E1208))))))</f>
        <v> </v>
      </c>
      <c r="K1209" s="26" t="str">
        <f>IF(OR(E1209="",E1209="!!!",F1209="NEW"),"",INDEX(J$1:J1208,SUMPRODUCT(MAX(ROW(E$1:E1208)*(E1209=E$1:E1208)))))</f>
        <v> </v>
      </c>
      <c r="L1209" s="27"/>
    </row>
    <row r="1210" spans="1:12">
      <c r="A1210" s="20" t="s">
        <v>899</v>
      </c>
      <c r="B1210" s="21" t="s">
        <v>728</v>
      </c>
      <c r="C1210" s="21" t="s">
        <v>729</v>
      </c>
      <c r="D1210" s="21" t="s">
        <v>730</v>
      </c>
      <c r="E1210" s="22">
        <f>IF(D1210="?OLD","!!!","")</f>
        <v/>
      </c>
      <c r="F1210" s="23" t="str">
        <f>IF(OR(E1210="",E1210="!!!"),"",IF(NOT(ISNA(VLOOKUP(E1210,E$1:E1209,1,FALSE()))),"OLD",IF(AND(E1210&lt;&gt;"",E1210&lt;&gt;"!!!"),"NEW","")))</f>
        <v> </v>
      </c>
      <c r="G1210" s="24" t="str">
        <f>IF(OR(E1210="",E1210="!!!"),"",IF(OR(J1210=0,AND(J1210=1,K1210=1),AND(J1210=1,I1210="SBJ"),AND(J1210=1,I1210=0)),"?IN_FOCUS",IF(J1210&lt;=2,"?ACTIVATED",IF(J1210&lt;&gt;"","?FAMILIAR",IF(F1210="NEW",IF(ISNA(VLOOKUP(E1210,#REF!,1,FALSE())),"?TYPE_IDENTIFIABLE","?REFERENTIAL"),"_")))))</f>
        <v> </v>
      </c>
      <c r="H1210" s="25" t="str">
        <f>IF(J1210&lt;&gt;1,"",IF(I1210="SBJ","CB","?"))</f>
        <v> </v>
      </c>
      <c r="I1210" s="26" t="str">
        <f>IF(OR(E1210="",E1210="!!!",F1210="NEW"),"",INDEX(B1209:B$2,-1+SUMPRODUCT(MAX(ROW(E1209:E$2)*(E1210=E1209:E$2)))))</f>
        <v> </v>
      </c>
      <c r="J1210" s="26" t="str">
        <f>IF(OR(E1210="",E1210="!!!",F1210="NEW"),"",COUNTBLANK(OFFSET(A$1,,,SUMPRODUCT(MAX(ROW(E$2:E1210)*(E1210=E$2:E1210)))))-COUNTBLANK(OFFSET(A$1,,,SUMPRODUCT(MAX(ROW(E$1:E1209)*(E2=E$1:E1209))))))</f>
        <v> </v>
      </c>
      <c r="K1210" s="26" t="str">
        <f>IF(OR(E1210="",E1210="!!!",F1210="NEW"),"",INDEX(J$1:J1209,SUMPRODUCT(MAX(ROW(E$1:E1209)*(E1210=E$1:E1209)))))</f>
        <v> </v>
      </c>
      <c r="L1210" s="27"/>
    </row>
    <row r="1211" spans="1:12">
      <c r="A1211" s="20" t="s">
        <v>759</v>
      </c>
      <c r="E1211" s="22">
        <f>IF(D1211="?OLD","!!!","")</f>
        <v/>
      </c>
      <c r="F1211" s="23" t="str">
        <f>IF(OR(E1211="",E1211="!!!"),"",IF(NOT(ISNA(VLOOKUP(E1211,E$1:E1210,1,FALSE()))),"OLD",IF(AND(E1211&lt;&gt;"",E1211&lt;&gt;"!!!"),"NEW","")))</f>
        <v> </v>
      </c>
      <c r="G1211" s="24" t="str">
        <f>IF(OR(E1211="",E1211="!!!"),"",IF(OR(J1211=0,AND(J1211=1,K1211=1),AND(J1211=1,I1211="SBJ"),AND(J1211=1,I1211=0)),"?IN_FOCUS",IF(J1211&lt;=2,"?ACTIVATED",IF(J1211&lt;&gt;"","?FAMILIAR",IF(F1211="NEW",IF(ISNA(VLOOKUP(E1211,#REF!,1,FALSE())),"?TYPE_IDENTIFIABLE","?REFERENTIAL"),"_")))))</f>
        <v> </v>
      </c>
      <c r="H1211" s="25" t="str">
        <f>IF(J1211&lt;&gt;1,"",IF(I1211="SBJ","CB","?"))</f>
        <v> </v>
      </c>
      <c r="I1211" s="26" t="str">
        <f>IF(OR(E1211="",E1211="!!!",F1211="NEW"),"",INDEX(B1210:B$2,-1+SUMPRODUCT(MAX(ROW(E1210:E$2)*(E1211=E1210:E$2)))))</f>
        <v> </v>
      </c>
      <c r="J1211" s="26" t="str">
        <f>IF(OR(E1211="",E1211="!!!",F1211="NEW"),"",COUNTBLANK(OFFSET(A$1,,,SUMPRODUCT(MAX(ROW(E$2:E1211)*(E1211=E$2:E1211)))))-COUNTBLANK(OFFSET(A$1,,,SUMPRODUCT(MAX(ROW(E$1:E1210)*(E2=E$1:E1210))))))</f>
        <v> </v>
      </c>
      <c r="K1211" s="26" t="str">
        <f>IF(OR(E1211="",E1211="!!!",F1211="NEW"),"",INDEX(J$1:J1210,SUMPRODUCT(MAX(ROW(E$1:E1210)*(E1211=E$1:E1210)))))</f>
        <v> </v>
      </c>
      <c r="L1211" s="27"/>
    </row>
    <row r="1212" spans="1:12">
      <c r="A1212" s="20" t="s">
        <v>813</v>
      </c>
      <c r="E1212" s="22">
        <f>IF(D1212="?OLD","!!!","")</f>
        <v/>
      </c>
      <c r="F1212" s="23" t="str">
        <f>IF(OR(E1212="",E1212="!!!"),"",IF(NOT(ISNA(VLOOKUP(E1212,E$1:E1211,1,FALSE()))),"OLD",IF(AND(E1212&lt;&gt;"",E1212&lt;&gt;"!!!"),"NEW","")))</f>
        <v> </v>
      </c>
      <c r="G1212" s="24" t="str">
        <f>IF(OR(E1212="",E1212="!!!"),"",IF(OR(J1212=0,AND(J1212=1,K1212=1),AND(J1212=1,I1212="SBJ"),AND(J1212=1,I1212=0)),"?IN_FOCUS",IF(J1212&lt;=2,"?ACTIVATED",IF(J1212&lt;&gt;"","?FAMILIAR",IF(F1212="NEW",IF(ISNA(VLOOKUP(E1212,#REF!,1,FALSE())),"?TYPE_IDENTIFIABLE","?REFERENTIAL"),"_")))))</f>
        <v> </v>
      </c>
      <c r="H1212" s="25" t="str">
        <f>IF(J1212&lt;&gt;1,"",IF(I1212="SBJ","CB","?"))</f>
        <v> </v>
      </c>
      <c r="I1212" s="26" t="str">
        <f>IF(OR(E1212="",E1212="!!!",F1212="NEW"),"",INDEX(B1211:B$2,-1+SUMPRODUCT(MAX(ROW(E1211:E$2)*(E1212=E1211:E$2)))))</f>
        <v> </v>
      </c>
      <c r="J1212" s="26" t="str">
        <f>IF(OR(E1212="",E1212="!!!",F1212="NEW"),"",COUNTBLANK(OFFSET(A$1,,,SUMPRODUCT(MAX(ROW(E$2:E1212)*(E1212=E$2:E1212)))))-COUNTBLANK(OFFSET(A$1,,,SUMPRODUCT(MAX(ROW(E$1:E1211)*(E2=E$1:E1211))))))</f>
        <v> </v>
      </c>
      <c r="K1212" s="26" t="str">
        <f>IF(OR(E1212="",E1212="!!!",F1212="NEW"),"",INDEX(J$1:J1211,SUMPRODUCT(MAX(ROW(E$1:E1211)*(E1212=E$1:E1211)))))</f>
        <v> </v>
      </c>
      <c r="L1212" s="27"/>
    </row>
    <row r="1213" spans="1:12">
      <c r="A1213" s="20" t="s">
        <v>1288</v>
      </c>
      <c r="B1213" s="21" t="s">
        <v>788</v>
      </c>
      <c r="C1213" s="21" t="s">
        <v>753</v>
      </c>
      <c r="D1213" s="21" t="s">
        <v>730</v>
      </c>
      <c r="E1213" s="22">
        <f>IF(D1213="?OLD","!!!","")</f>
        <v/>
      </c>
      <c r="F1213" s="23" t="str">
        <f>IF(OR(E1213="",E1213="!!!"),"",IF(NOT(ISNA(VLOOKUP(E1213,E$1:E1212,1,FALSE()))),"OLD",IF(AND(E1213&lt;&gt;"",E1213&lt;&gt;"!!!"),"NEW","")))</f>
        <v> </v>
      </c>
      <c r="G1213" s="24" t="str">
        <f>IF(OR(E1213="",E1213="!!!"),"",IF(OR(J1213=0,AND(J1213=1,K1213=1),AND(J1213=1,I1213="SBJ"),AND(J1213=1,I1213=0)),"?IN_FOCUS",IF(J1213&lt;=2,"?ACTIVATED",IF(J1213&lt;&gt;"","?FAMILIAR",IF(F1213="NEW",IF(ISNA(VLOOKUP(E1213,#REF!,1,FALSE())),"?TYPE_IDENTIFIABLE","?REFERENTIAL"),"_")))))</f>
        <v> </v>
      </c>
      <c r="H1213" s="25" t="str">
        <f>IF(J1213&lt;&gt;1,"",IF(I1213="SBJ","CB","?"))</f>
        <v> </v>
      </c>
      <c r="I1213" s="26" t="str">
        <f>IF(OR(E1213="",E1213="!!!",F1213="NEW"),"",INDEX(B1212:B$2,-1+SUMPRODUCT(MAX(ROW(E1212:E$2)*(E1213=E1212:E$2)))))</f>
        <v> </v>
      </c>
      <c r="J1213" s="26" t="str">
        <f>IF(OR(E1213="",E1213="!!!",F1213="NEW"),"",COUNTBLANK(OFFSET(A$1,,,SUMPRODUCT(MAX(ROW(E$2:E1213)*(E1213=E$2:E1213)))))-COUNTBLANK(OFFSET(A$1,,,SUMPRODUCT(MAX(ROW(E$1:E1212)*(E2=E$1:E1212))))))</f>
        <v> </v>
      </c>
      <c r="K1213" s="26" t="str">
        <f>IF(OR(E1213="",E1213="!!!",F1213="NEW"),"",INDEX(J$1:J1212,SUMPRODUCT(MAX(ROW(E$1:E1212)*(E1213=E$1:E1212)))))</f>
        <v> </v>
      </c>
      <c r="L1213" s="27"/>
    </row>
    <row r="1214" spans="1:12">
      <c r="A1214" s="20" t="s">
        <v>1289</v>
      </c>
      <c r="E1214" s="22">
        <f>IF(D1214="?OLD","!!!","")</f>
        <v/>
      </c>
      <c r="F1214" s="23" t="str">
        <f>IF(OR(E1214="",E1214="!!!"),"",IF(NOT(ISNA(VLOOKUP(E1214,E$1:E1213,1,FALSE()))),"OLD",IF(AND(E1214&lt;&gt;"",E1214&lt;&gt;"!!!"),"NEW","")))</f>
        <v> </v>
      </c>
      <c r="G1214" s="24" t="str">
        <f>IF(OR(E1214="",E1214="!!!"),"",IF(OR(J1214=0,AND(J1214=1,K1214=1),AND(J1214=1,I1214="SBJ"),AND(J1214=1,I1214=0)),"?IN_FOCUS",IF(J1214&lt;=2,"?ACTIVATED",IF(J1214&lt;&gt;"","?FAMILIAR",IF(F1214="NEW",IF(ISNA(VLOOKUP(E1214,#REF!,1,FALSE())),"?TYPE_IDENTIFIABLE","?REFERENTIAL"),"_")))))</f>
        <v> </v>
      </c>
      <c r="H1214" s="25" t="str">
        <f>IF(J1214&lt;&gt;1,"",IF(I1214="SBJ","CB","?"))</f>
        <v> </v>
      </c>
      <c r="I1214" s="26" t="str">
        <f>IF(OR(E1214="",E1214="!!!",F1214="NEW"),"",INDEX(B1213:B$2,-1+SUMPRODUCT(MAX(ROW(E1213:E$2)*(E1214=E1213:E$2)))))</f>
        <v> </v>
      </c>
      <c r="J1214" s="26" t="str">
        <f>IF(OR(E1214="",E1214="!!!",F1214="NEW"),"",COUNTBLANK(OFFSET(A$1,,,SUMPRODUCT(MAX(ROW(E$2:E1214)*(E1214=E$2:E1214)))))-COUNTBLANK(OFFSET(A$1,,,SUMPRODUCT(MAX(ROW(E$1:E1213)*(E2=E$1:E1213))))))</f>
        <v> </v>
      </c>
      <c r="K1214" s="26" t="str">
        <f>IF(OR(E1214="",E1214="!!!",F1214="NEW"),"",INDEX(J$1:J1213,SUMPRODUCT(MAX(ROW(E$1:E1213)*(E1214=E$1:E1213)))))</f>
        <v> </v>
      </c>
      <c r="L1214" s="27"/>
    </row>
    <row r="1215" spans="1:12">
      <c r="A1215" s="20" t="s">
        <v>1290</v>
      </c>
      <c r="B1215" s="21" t="s">
        <v>843</v>
      </c>
      <c r="C1215" s="21" t="s">
        <v>748</v>
      </c>
      <c r="E1215" s="22">
        <f>IF(D1215="?OLD","!!!","")</f>
        <v/>
      </c>
      <c r="F1215" s="23" t="str">
        <f>IF(OR(E1215="",E1215="!!!"),"",IF(NOT(ISNA(VLOOKUP(E1215,E$1:E1214,1,FALSE()))),"OLD",IF(AND(E1215&lt;&gt;"",E1215&lt;&gt;"!!!"),"NEW","")))</f>
        <v> </v>
      </c>
      <c r="G1215" s="24" t="str">
        <f>IF(OR(E1215="",E1215="!!!"),"",IF(OR(J1215=0,AND(J1215=1,K1215=1),AND(J1215=1,I1215="SBJ"),AND(J1215=1,I1215=0)),"?IN_FOCUS",IF(J1215&lt;=2,"?ACTIVATED",IF(J1215&lt;&gt;"","?FAMILIAR",IF(F1215="NEW",IF(ISNA(VLOOKUP(E1215,#REF!,1,FALSE())),"?TYPE_IDENTIFIABLE","?REFERENTIAL"),"_")))))</f>
        <v> </v>
      </c>
      <c r="H1215" s="25" t="str">
        <f>IF(J1215&lt;&gt;1,"",IF(I1215="SBJ","CB","?"))</f>
        <v> </v>
      </c>
      <c r="I1215" s="26" t="str">
        <f>IF(OR(E1215="",E1215="!!!",F1215="NEW"),"",INDEX(B1214:B$2,-1+SUMPRODUCT(MAX(ROW(E1214:E$2)*(E1215=E1214:E$2)))))</f>
        <v> </v>
      </c>
      <c r="J1215" s="26" t="str">
        <f>IF(OR(E1215="",E1215="!!!",F1215="NEW"),"",COUNTBLANK(OFFSET(A$1,,,SUMPRODUCT(MAX(ROW(E$2:E1215)*(E1215=E$2:E1215)))))-COUNTBLANK(OFFSET(A$1,,,SUMPRODUCT(MAX(ROW(E$1:E1214)*(E2=E$1:E1214))))))</f>
        <v> </v>
      </c>
      <c r="K1215" s="26" t="str">
        <f>IF(OR(E1215="",E1215="!!!",F1215="NEW"),"",INDEX(J$1:J1214,SUMPRODUCT(MAX(ROW(E$1:E1214)*(E1215=E$1:E1214)))))</f>
        <v> </v>
      </c>
      <c r="L1215" s="27"/>
    </row>
    <row r="1216" spans="1:12">
      <c r="A1216" s="20" t="s">
        <v>732</v>
      </c>
      <c r="E1216" s="22">
        <f>IF(D1216="?OLD","!!!","")</f>
        <v/>
      </c>
      <c r="F1216" s="23" t="str">
        <f>IF(OR(E1216="",E1216="!!!"),"",IF(NOT(ISNA(VLOOKUP(E1216,E$1:E1215,1,FALSE()))),"OLD",IF(AND(E1216&lt;&gt;"",E1216&lt;&gt;"!!!"),"NEW","")))</f>
        <v> </v>
      </c>
      <c r="G1216" s="24" t="str">
        <f>IF(OR(E1216="",E1216="!!!"),"",IF(OR(J1216=0,AND(J1216=1,K1216=1),AND(J1216=1,I1216="SBJ"),AND(J1216=1,I1216=0)),"?IN_FOCUS",IF(J1216&lt;=2,"?ACTIVATED",IF(J1216&lt;&gt;"","?FAMILIAR",IF(F1216="NEW",IF(ISNA(VLOOKUP(E1216,#REF!,1,FALSE())),"?TYPE_IDENTIFIABLE","?REFERENTIAL"),"_")))))</f>
        <v> </v>
      </c>
      <c r="H1216" s="25" t="str">
        <f>IF(J1216&lt;&gt;1,"",IF(I1216="SBJ","CB","?"))</f>
        <v> </v>
      </c>
      <c r="I1216" s="26" t="str">
        <f>IF(OR(E1216="",E1216="!!!",F1216="NEW"),"",INDEX(B1215:B$2,-1+SUMPRODUCT(MAX(ROW(E1215:E$2)*(E1216=E1215:E$2)))))</f>
        <v> </v>
      </c>
      <c r="J1216" s="26" t="str">
        <f>IF(OR(E1216="",E1216="!!!",F1216="NEW"),"",COUNTBLANK(OFFSET(A$1,,,SUMPRODUCT(MAX(ROW(E$2:E1216)*(E1216=E$2:E1216)))))-COUNTBLANK(OFFSET(A$1,,,SUMPRODUCT(MAX(ROW(E$1:E1215)*(E2=E$1:E1215))))))</f>
        <v> </v>
      </c>
      <c r="K1216" s="26" t="str">
        <f>IF(OR(E1216="",E1216="!!!",F1216="NEW"),"",INDEX(J$1:J1215,SUMPRODUCT(MAX(ROW(E$1:E1215)*(E1216=E$1:E1215)))))</f>
        <v> </v>
      </c>
      <c r="L1216" s="27"/>
    </row>
    <row r="1217" spans="1:12">
      <c r="A1217" s="20" t="s">
        <v>1291</v>
      </c>
      <c r="E1217" s="22">
        <f>IF(D1217="?OLD","!!!","")</f>
        <v/>
      </c>
      <c r="F1217" s="23" t="str">
        <f>IF(OR(E1217="",E1217="!!!"),"",IF(NOT(ISNA(VLOOKUP(E1217,E$1:E1216,1,FALSE()))),"OLD",IF(AND(E1217&lt;&gt;"",E1217&lt;&gt;"!!!"),"NEW","")))</f>
        <v> </v>
      </c>
      <c r="G1217" s="24" t="str">
        <f>IF(OR(E1217="",E1217="!!!"),"",IF(OR(J1217=0,AND(J1217=1,K1217=1),AND(J1217=1,I1217="SBJ"),AND(J1217=1,I1217=0)),"?IN_FOCUS",IF(J1217&lt;=2,"?ACTIVATED",IF(J1217&lt;&gt;"","?FAMILIAR",IF(F1217="NEW",IF(ISNA(VLOOKUP(E1217,#REF!,1,FALSE())),"?TYPE_IDENTIFIABLE","?REFERENTIAL"),"_")))))</f>
        <v> </v>
      </c>
      <c r="H1217" s="25" t="str">
        <f>IF(J1217&lt;&gt;1,"",IF(I1217="SBJ","CB","?"))</f>
        <v> </v>
      </c>
      <c r="I1217" s="26" t="str">
        <f>IF(OR(E1217="",E1217="!!!",F1217="NEW"),"",INDEX(B1216:B$2,-1+SUMPRODUCT(MAX(ROW(E1216:E$2)*(E1217=E1216:E$2)))))</f>
        <v> </v>
      </c>
      <c r="J1217" s="26" t="str">
        <f>IF(OR(E1217="",E1217="!!!",F1217="NEW"),"",COUNTBLANK(OFFSET(A$1,,,SUMPRODUCT(MAX(ROW(E$2:E1217)*(E1217=E$2:E1217)))))-COUNTBLANK(OFFSET(A$1,,,SUMPRODUCT(MAX(ROW(E$1:E1216)*(E2=E$1:E1216))))))</f>
        <v> </v>
      </c>
      <c r="K1217" s="26" t="str">
        <f>IF(OR(E1217="",E1217="!!!",F1217="NEW"),"",INDEX(J$1:J1216,SUMPRODUCT(MAX(ROW(E$1:E1216)*(E1217=E$1:E1216)))))</f>
        <v> </v>
      </c>
      <c r="L1217" s="27"/>
    </row>
    <row r="1218" spans="1:12">
      <c r="A1218" s="20" t="s">
        <v>1292</v>
      </c>
      <c r="B1218" s="21" t="s">
        <v>755</v>
      </c>
      <c r="C1218" s="21" t="s">
        <v>748</v>
      </c>
      <c r="E1218" s="22">
        <f>IF(D1218="?OLD","!!!","")</f>
        <v/>
      </c>
      <c r="F1218" s="23" t="str">
        <f>IF(OR(E1218="",E1218="!!!"),"",IF(NOT(ISNA(VLOOKUP(E1218,E$1:E1217,1,FALSE()))),"OLD",IF(AND(E1218&lt;&gt;"",E1218&lt;&gt;"!!!"),"NEW","")))</f>
        <v> </v>
      </c>
      <c r="G1218" s="24" t="str">
        <f>IF(OR(E1218="",E1218="!!!"),"",IF(OR(J1218=0,AND(J1218=1,K1218=1),AND(J1218=1,I1218="SBJ"),AND(J1218=1,I1218=0)),"?IN_FOCUS",IF(J1218&lt;=2,"?ACTIVATED",IF(J1218&lt;&gt;"","?FAMILIAR",IF(F1218="NEW",IF(ISNA(VLOOKUP(E1218,#REF!,1,FALSE())),"?TYPE_IDENTIFIABLE","?REFERENTIAL"),"_")))))</f>
        <v> </v>
      </c>
      <c r="H1218" s="25" t="str">
        <f>IF(J1218&lt;&gt;1,"",IF(I1218="SBJ","CB","?"))</f>
        <v> </v>
      </c>
      <c r="I1218" s="26" t="str">
        <f>IF(OR(E1218="",E1218="!!!",F1218="NEW"),"",INDEX(B1217:B$2,-1+SUMPRODUCT(MAX(ROW(E1217:E$2)*(E1218=E1217:E$2)))))</f>
        <v> </v>
      </c>
      <c r="J1218" s="26" t="str">
        <f>IF(OR(E1218="",E1218="!!!",F1218="NEW"),"",COUNTBLANK(OFFSET(A$1,,,SUMPRODUCT(MAX(ROW(E$2:E1218)*(E1218=E$2:E1218)))))-COUNTBLANK(OFFSET(A$1,,,SUMPRODUCT(MAX(ROW(E$1:E1217)*(E2=E$1:E1217))))))</f>
        <v> </v>
      </c>
      <c r="K1218" s="26" t="str">
        <f>IF(OR(E1218="",E1218="!!!",F1218="NEW"),"",INDEX(J$1:J1217,SUMPRODUCT(MAX(ROW(E$1:E1217)*(E1218=E$1:E1217)))))</f>
        <v> </v>
      </c>
      <c r="L1218" s="27"/>
    </row>
    <row r="1219" spans="1:12">
      <c r="A1219" s="20" t="s">
        <v>1293</v>
      </c>
      <c r="E1219" s="22">
        <f>IF(D1219="?OLD","!!!","")</f>
        <v/>
      </c>
      <c r="F1219" s="23" t="str">
        <f>IF(OR(E1219="",E1219="!!!"),"",IF(NOT(ISNA(VLOOKUP(E1219,E$1:E1218,1,FALSE()))),"OLD",IF(AND(E1219&lt;&gt;"",E1219&lt;&gt;"!!!"),"NEW","")))</f>
        <v> </v>
      </c>
      <c r="G1219" s="24" t="str">
        <f>IF(OR(E1219="",E1219="!!!"),"",IF(OR(J1219=0,AND(J1219=1,K1219=1),AND(J1219=1,I1219="SBJ"),AND(J1219=1,I1219=0)),"?IN_FOCUS",IF(J1219&lt;=2,"?ACTIVATED",IF(J1219&lt;&gt;"","?FAMILIAR",IF(F1219="NEW",IF(ISNA(VLOOKUP(E1219,#REF!,1,FALSE())),"?TYPE_IDENTIFIABLE","?REFERENTIAL"),"_")))))</f>
        <v> </v>
      </c>
      <c r="H1219" s="25" t="str">
        <f>IF(J1219&lt;&gt;1,"",IF(I1219="SBJ","CB","?"))</f>
        <v> </v>
      </c>
      <c r="I1219" s="26" t="str">
        <f>IF(OR(E1219="",E1219="!!!",F1219="NEW"),"",INDEX(B1218:B$2,-1+SUMPRODUCT(MAX(ROW(E1218:E$2)*(E1219=E1218:E$2)))))</f>
        <v> </v>
      </c>
      <c r="J1219" s="26" t="str">
        <f>IF(OR(E1219="",E1219="!!!",F1219="NEW"),"",COUNTBLANK(OFFSET(A$1,,,SUMPRODUCT(MAX(ROW(E$2:E1219)*(E1219=E$2:E1219)))))-COUNTBLANK(OFFSET(A$1,,,SUMPRODUCT(MAX(ROW(E$1:E1218)*(E2=E$1:E1218))))))</f>
        <v> </v>
      </c>
      <c r="K1219" s="26" t="str">
        <f>IF(OR(E1219="",E1219="!!!",F1219="NEW"),"",INDEX(J$1:J1218,SUMPRODUCT(MAX(ROW(E$1:E1218)*(E1219=E$1:E1218)))))</f>
        <v> </v>
      </c>
      <c r="L1219" s="27"/>
    </row>
    <row r="1220" spans="1:12">
      <c r="A1220" s="20" t="s">
        <v>754</v>
      </c>
      <c r="E1220" s="22">
        <f>IF(D1220="?OLD","!!!","")</f>
        <v/>
      </c>
      <c r="F1220" s="23" t="str">
        <f>IF(OR(E1220="",E1220="!!!"),"",IF(NOT(ISNA(VLOOKUP(E1220,E$1:E1219,1,FALSE()))),"OLD",IF(AND(E1220&lt;&gt;"",E1220&lt;&gt;"!!!"),"NEW","")))</f>
        <v> </v>
      </c>
      <c r="G1220" s="24" t="str">
        <f>IF(OR(E1220="",E1220="!!!"),"",IF(OR(J1220=0,AND(J1220=1,K1220=1),AND(J1220=1,I1220="SBJ"),AND(J1220=1,I1220=0)),"?IN_FOCUS",IF(J1220&lt;=2,"?ACTIVATED",IF(J1220&lt;&gt;"","?FAMILIAR",IF(F1220="NEW",IF(ISNA(VLOOKUP(E1220,#REF!,1,FALSE())),"?TYPE_IDENTIFIABLE","?REFERENTIAL"),"_")))))</f>
        <v> </v>
      </c>
      <c r="H1220" s="25" t="str">
        <f>IF(J1220&lt;&gt;1,"",IF(I1220="SBJ","CB","?"))</f>
        <v> </v>
      </c>
      <c r="I1220" s="26" t="str">
        <f>IF(OR(E1220="",E1220="!!!",F1220="NEW"),"",INDEX(B1219:B$2,-1+SUMPRODUCT(MAX(ROW(E1219:E$2)*(E1220=E1219:E$2)))))</f>
        <v> </v>
      </c>
      <c r="J1220" s="26" t="str">
        <f>IF(OR(E1220="",E1220="!!!",F1220="NEW"),"",COUNTBLANK(OFFSET(A$1,,,SUMPRODUCT(MAX(ROW(E$2:E1220)*(E1220=E$2:E1220)))))-COUNTBLANK(OFFSET(A$1,,,SUMPRODUCT(MAX(ROW(E$1:E1219)*(E2=E$1:E1219))))))</f>
        <v> </v>
      </c>
      <c r="K1220" s="26" t="str">
        <f>IF(OR(E1220="",E1220="!!!",F1220="NEW"),"",INDEX(J$1:J1219,SUMPRODUCT(MAX(ROW(E$1:E1219)*(E1220=E$1:E1219)))))</f>
        <v> </v>
      </c>
      <c r="L1220" s="27"/>
    </row>
    <row r="1221" spans="1:12">
      <c r="A1221" s="20" t="s">
        <v>1294</v>
      </c>
      <c r="E1221" s="22">
        <f>IF(D1221="?OLD","!!!","")</f>
        <v/>
      </c>
      <c r="F1221" s="23" t="str">
        <f>IF(OR(E1221="",E1221="!!!"),"",IF(NOT(ISNA(VLOOKUP(E1221,E$1:E1220,1,FALSE()))),"OLD",IF(AND(E1221&lt;&gt;"",E1221&lt;&gt;"!!!"),"NEW","")))</f>
        <v> </v>
      </c>
      <c r="G1221" s="24" t="str">
        <f>IF(OR(E1221="",E1221="!!!"),"",IF(OR(J1221=0,AND(J1221=1,K1221=1),AND(J1221=1,I1221="SBJ"),AND(J1221=1,I1221=0)),"?IN_FOCUS",IF(J1221&lt;=2,"?ACTIVATED",IF(J1221&lt;&gt;"","?FAMILIAR",IF(F1221="NEW",IF(ISNA(VLOOKUP(E1221,#REF!,1,FALSE())),"?TYPE_IDENTIFIABLE","?REFERENTIAL"),"_")))))</f>
        <v> </v>
      </c>
      <c r="H1221" s="25" t="str">
        <f>IF(J1221&lt;&gt;1,"",IF(I1221="SBJ","CB","?"))</f>
        <v> </v>
      </c>
      <c r="I1221" s="26" t="str">
        <f>IF(OR(E1221="",E1221="!!!",F1221="NEW"),"",INDEX(B1220:B$2,-1+SUMPRODUCT(MAX(ROW(E1220:E$2)*(E1221=E1220:E$2)))))</f>
        <v> </v>
      </c>
      <c r="J1221" s="26" t="str">
        <f>IF(OR(E1221="",E1221="!!!",F1221="NEW"),"",COUNTBLANK(OFFSET(A$1,,,SUMPRODUCT(MAX(ROW(E$2:E1221)*(E1221=E$2:E1221)))))-COUNTBLANK(OFFSET(A$1,,,SUMPRODUCT(MAX(ROW(E$1:E1220)*(E2=E$1:E1220))))))</f>
        <v> </v>
      </c>
      <c r="K1221" s="26" t="str">
        <f>IF(OR(E1221="",E1221="!!!",F1221="NEW"),"",INDEX(J$1:J1220,SUMPRODUCT(MAX(ROW(E$1:E1220)*(E1221=E$1:E1220)))))</f>
        <v> </v>
      </c>
      <c r="L1221" s="27"/>
    </row>
    <row r="1222" spans="1:12">
      <c r="A1222" s="20" t="s">
        <v>785</v>
      </c>
      <c r="E1222" s="22">
        <f>IF(D1222="?OLD","!!!","")</f>
        <v/>
      </c>
      <c r="F1222" s="23" t="str">
        <f>IF(OR(E1222="",E1222="!!!"),"",IF(NOT(ISNA(VLOOKUP(E1222,E$1:E1221,1,FALSE()))),"OLD",IF(AND(E1222&lt;&gt;"",E1222&lt;&gt;"!!!"),"NEW","")))</f>
        <v> </v>
      </c>
      <c r="G1222" s="24" t="str">
        <f>IF(OR(E1222="",E1222="!!!"),"",IF(OR(J1222=0,AND(J1222=1,K1222=1),AND(J1222=1,I1222="SBJ"),AND(J1222=1,I1222=0)),"?IN_FOCUS",IF(J1222&lt;=2,"?ACTIVATED",IF(J1222&lt;&gt;"","?FAMILIAR",IF(F1222="NEW",IF(ISNA(VLOOKUP(E1222,#REF!,1,FALSE())),"?TYPE_IDENTIFIABLE","?REFERENTIAL"),"_")))))</f>
        <v> </v>
      </c>
      <c r="H1222" s="25" t="str">
        <f>IF(J1222&lt;&gt;1,"",IF(I1222="SBJ","CB","?"))</f>
        <v> </v>
      </c>
      <c r="I1222" s="26" t="str">
        <f>IF(OR(E1222="",E1222="!!!",F1222="NEW"),"",INDEX(B1221:B$2,-1+SUMPRODUCT(MAX(ROW(E1221:E$2)*(E1222=E1221:E$2)))))</f>
        <v> </v>
      </c>
      <c r="J1222" s="26" t="str">
        <f>IF(OR(E1222="",E1222="!!!",F1222="NEW"),"",COUNTBLANK(OFFSET(A$1,,,SUMPRODUCT(MAX(ROW(E$2:E1222)*(E1222=E$2:E1222)))))-COUNTBLANK(OFFSET(A$1,,,SUMPRODUCT(MAX(ROW(E$1:E1221)*(E2=E$1:E1221))))))</f>
        <v> </v>
      </c>
      <c r="K1222" s="26" t="str">
        <f>IF(OR(E1222="",E1222="!!!",F1222="NEW"),"",INDEX(J$1:J1221,SUMPRODUCT(MAX(ROW(E$1:E1221)*(E1222=E$1:E1221)))))</f>
        <v> </v>
      </c>
      <c r="L1222" s="27"/>
    </row>
    <row r="1223" spans="1:12">
      <c r="A1223" s="20" t="s">
        <v>1295</v>
      </c>
      <c r="E1223" s="22">
        <f>IF(D1223="?OLD","!!!","")</f>
        <v/>
      </c>
      <c r="F1223" s="23" t="str">
        <f>IF(OR(E1223="",E1223="!!!"),"",IF(NOT(ISNA(VLOOKUP(E1223,E$1:E1222,1,FALSE()))),"OLD",IF(AND(E1223&lt;&gt;"",E1223&lt;&gt;"!!!"),"NEW","")))</f>
        <v> </v>
      </c>
      <c r="G1223" s="24" t="str">
        <f>IF(OR(E1223="",E1223="!!!"),"",IF(OR(J1223=0,AND(J1223=1,K1223=1),AND(J1223=1,I1223="SBJ"),AND(J1223=1,I1223=0)),"?IN_FOCUS",IF(J1223&lt;=2,"?ACTIVATED",IF(J1223&lt;&gt;"","?FAMILIAR",IF(F1223="NEW",IF(ISNA(VLOOKUP(E1223,#REF!,1,FALSE())),"?TYPE_IDENTIFIABLE","?REFERENTIAL"),"_")))))</f>
        <v> </v>
      </c>
      <c r="H1223" s="25" t="str">
        <f>IF(J1223&lt;&gt;1,"",IF(I1223="SBJ","CB","?"))</f>
        <v> </v>
      </c>
      <c r="I1223" s="26" t="str">
        <f>IF(OR(E1223="",E1223="!!!",F1223="NEW"),"",INDEX(B1222:B$2,-1+SUMPRODUCT(MAX(ROW(E1222:E$2)*(E1223=E1222:E$2)))))</f>
        <v> </v>
      </c>
      <c r="J1223" s="26" t="str">
        <f>IF(OR(E1223="",E1223="!!!",F1223="NEW"),"",COUNTBLANK(OFFSET(A$1,,,SUMPRODUCT(MAX(ROW(E$2:E1223)*(E1223=E$2:E1223)))))-COUNTBLANK(OFFSET(A$1,,,SUMPRODUCT(MAX(ROW(E$1:E1222)*(E2=E$1:E1222))))))</f>
        <v> </v>
      </c>
      <c r="K1223" s="26" t="str">
        <f>IF(OR(E1223="",E1223="!!!",F1223="NEW"),"",INDEX(J$1:J1222,SUMPRODUCT(MAX(ROW(E$1:E1222)*(E1223=E$1:E1222)))))</f>
        <v> </v>
      </c>
      <c r="L1223" s="27"/>
    </row>
    <row r="1224" spans="1:12">
      <c r="A1224" s="20" t="s">
        <v>732</v>
      </c>
      <c r="E1224" s="22">
        <f>IF(D1224="?OLD","!!!","")</f>
        <v/>
      </c>
      <c r="F1224" s="23" t="str">
        <f>IF(OR(E1224="",E1224="!!!"),"",IF(NOT(ISNA(VLOOKUP(E1224,E$1:E1223,1,FALSE()))),"OLD",IF(AND(E1224&lt;&gt;"",E1224&lt;&gt;"!!!"),"NEW","")))</f>
        <v> </v>
      </c>
      <c r="G1224" s="24" t="str">
        <f>IF(OR(E1224="",E1224="!!!"),"",IF(OR(J1224=0,AND(J1224=1,K1224=1),AND(J1224=1,I1224="SBJ"),AND(J1224=1,I1224=0)),"?IN_FOCUS",IF(J1224&lt;=2,"?ACTIVATED",IF(J1224&lt;&gt;"","?FAMILIAR",IF(F1224="NEW",IF(ISNA(VLOOKUP(E1224,#REF!,1,FALSE())),"?TYPE_IDENTIFIABLE","?REFERENTIAL"),"_")))))</f>
        <v> </v>
      </c>
      <c r="H1224" s="25" t="str">
        <f>IF(J1224&lt;&gt;1,"",IF(I1224="SBJ","CB","?"))</f>
        <v> </v>
      </c>
      <c r="I1224" s="26" t="str">
        <f>IF(OR(E1224="",E1224="!!!",F1224="NEW"),"",INDEX(B1223:B$2,-1+SUMPRODUCT(MAX(ROW(E1223:E$2)*(E1224=E1223:E$2)))))</f>
        <v> </v>
      </c>
      <c r="J1224" s="26" t="str">
        <f>IF(OR(E1224="",E1224="!!!",F1224="NEW"),"",COUNTBLANK(OFFSET(A$1,,,SUMPRODUCT(MAX(ROW(E$2:E1224)*(E1224=E$2:E1224)))))-COUNTBLANK(OFFSET(A$1,,,SUMPRODUCT(MAX(ROW(E$1:E1223)*(E2=E$1:E1223))))))</f>
        <v> </v>
      </c>
      <c r="K1224" s="26" t="str">
        <f>IF(OR(E1224="",E1224="!!!",F1224="NEW"),"",INDEX(J$1:J1223,SUMPRODUCT(MAX(ROW(E$1:E1223)*(E1224=E$1:E1223)))))</f>
        <v> </v>
      </c>
      <c r="L1224" s="27"/>
    </row>
    <row r="1225" spans="1:12">
      <c r="A1225" s="20" t="s">
        <v>1296</v>
      </c>
      <c r="E1225" s="22">
        <f>IF(D1225="?OLD","!!!","")</f>
        <v/>
      </c>
      <c r="F1225" s="23" t="str">
        <f>IF(OR(E1225="",E1225="!!!"),"",IF(NOT(ISNA(VLOOKUP(E1225,E$1:E1224,1,FALSE()))),"OLD",IF(AND(E1225&lt;&gt;"",E1225&lt;&gt;"!!!"),"NEW","")))</f>
        <v> </v>
      </c>
      <c r="G1225" s="24" t="str">
        <f>IF(OR(E1225="",E1225="!!!"),"",IF(OR(J1225=0,AND(J1225=1,K1225=1),AND(J1225=1,I1225="SBJ"),AND(J1225=1,I1225=0)),"?IN_FOCUS",IF(J1225&lt;=2,"?ACTIVATED",IF(J1225&lt;&gt;"","?FAMILIAR",IF(F1225="NEW",IF(ISNA(VLOOKUP(E1225,#REF!,1,FALSE())),"?TYPE_IDENTIFIABLE","?REFERENTIAL"),"_")))))</f>
        <v> </v>
      </c>
      <c r="H1225" s="25" t="str">
        <f>IF(J1225&lt;&gt;1,"",IF(I1225="SBJ","CB","?"))</f>
        <v> </v>
      </c>
      <c r="I1225" s="26" t="str">
        <f>IF(OR(E1225="",E1225="!!!",F1225="NEW"),"",INDEX(B1224:B$2,-1+SUMPRODUCT(MAX(ROW(E1224:E$2)*(E1225=E1224:E$2)))))</f>
        <v> </v>
      </c>
      <c r="J1225" s="26" t="str">
        <f>IF(OR(E1225="",E1225="!!!",F1225="NEW"),"",COUNTBLANK(OFFSET(A$1,,,SUMPRODUCT(MAX(ROW(E$2:E1225)*(E1225=E$2:E1225)))))-COUNTBLANK(OFFSET(A$1,,,SUMPRODUCT(MAX(ROW(E$1:E1224)*(E2=E$1:E1224))))))</f>
        <v> </v>
      </c>
      <c r="K1225" s="26" t="str">
        <f>IF(OR(E1225="",E1225="!!!",F1225="NEW"),"",INDEX(J$1:J1224,SUMPRODUCT(MAX(ROW(E$1:E1224)*(E1225=E$1:E1224)))))</f>
        <v> </v>
      </c>
      <c r="L1225" s="27"/>
    </row>
    <row r="1226" spans="1:12">
      <c r="A1226" s="20" t="s">
        <v>1297</v>
      </c>
      <c r="B1226" s="21" t="s">
        <v>783</v>
      </c>
      <c r="C1226" s="21" t="s">
        <v>748</v>
      </c>
      <c r="E1226" s="22">
        <f>IF(D1226="?OLD","!!!","")</f>
        <v/>
      </c>
      <c r="F1226" s="23" t="str">
        <f>IF(OR(E1226="",E1226="!!!"),"",IF(NOT(ISNA(VLOOKUP(E1226,E$1:E1225,1,FALSE()))),"OLD",IF(AND(E1226&lt;&gt;"",E1226&lt;&gt;"!!!"),"NEW","")))</f>
        <v> </v>
      </c>
      <c r="G1226" s="24" t="str">
        <f>IF(OR(E1226="",E1226="!!!"),"",IF(OR(J1226=0,AND(J1226=1,K1226=1),AND(J1226=1,I1226="SBJ"),AND(J1226=1,I1226=0)),"?IN_FOCUS",IF(J1226&lt;=2,"?ACTIVATED",IF(J1226&lt;&gt;"","?FAMILIAR",IF(F1226="NEW",IF(ISNA(VLOOKUP(E1226,#REF!,1,FALSE())),"?TYPE_IDENTIFIABLE","?REFERENTIAL"),"_")))))</f>
        <v> </v>
      </c>
      <c r="H1226" s="25" t="str">
        <f>IF(J1226&lt;&gt;1,"",IF(I1226="SBJ","CB","?"))</f>
        <v> </v>
      </c>
      <c r="I1226" s="26" t="str">
        <f>IF(OR(E1226="",E1226="!!!",F1226="NEW"),"",INDEX(B1225:B$2,-1+SUMPRODUCT(MAX(ROW(E1225:E$2)*(E1226=E1225:E$2)))))</f>
        <v> </v>
      </c>
      <c r="J1226" s="26" t="str">
        <f>IF(OR(E1226="",E1226="!!!",F1226="NEW"),"",COUNTBLANK(OFFSET(A$1,,,SUMPRODUCT(MAX(ROW(E$2:E1226)*(E1226=E$2:E1226)))))-COUNTBLANK(OFFSET(A$1,,,SUMPRODUCT(MAX(ROW(E$1:E1225)*(E2=E$1:E1225))))))</f>
        <v> </v>
      </c>
      <c r="K1226" s="26" t="str">
        <f>IF(OR(E1226="",E1226="!!!",F1226="NEW"),"",INDEX(J$1:J1225,SUMPRODUCT(MAX(ROW(E$1:E1225)*(E1226=E$1:E1225)))))</f>
        <v> </v>
      </c>
      <c r="L1226" s="27"/>
    </row>
    <row r="1227" spans="1:12">
      <c r="A1227" s="20" t="s">
        <v>754</v>
      </c>
      <c r="E1227" s="22">
        <f>IF(D1227="?OLD","!!!","")</f>
        <v/>
      </c>
      <c r="F1227" s="23" t="str">
        <f>IF(OR(E1227="",E1227="!!!"),"",IF(NOT(ISNA(VLOOKUP(E1227,E$1:E1226,1,FALSE()))),"OLD",IF(AND(E1227&lt;&gt;"",E1227&lt;&gt;"!!!"),"NEW","")))</f>
        <v> </v>
      </c>
      <c r="G1227" s="24" t="str">
        <f>IF(OR(E1227="",E1227="!!!"),"",IF(OR(J1227=0,AND(J1227=1,K1227=1),AND(J1227=1,I1227="SBJ"),AND(J1227=1,I1227=0)),"?IN_FOCUS",IF(J1227&lt;=2,"?ACTIVATED",IF(J1227&lt;&gt;"","?FAMILIAR",IF(F1227="NEW",IF(ISNA(VLOOKUP(E1227,#REF!,1,FALSE())),"?TYPE_IDENTIFIABLE","?REFERENTIAL"),"_")))))</f>
        <v> </v>
      </c>
      <c r="H1227" s="25" t="str">
        <f>IF(J1227&lt;&gt;1,"",IF(I1227="SBJ","CB","?"))</f>
        <v> </v>
      </c>
      <c r="I1227" s="26" t="str">
        <f>IF(OR(E1227="",E1227="!!!",F1227="NEW"),"",INDEX(B1226:B$2,-1+SUMPRODUCT(MAX(ROW(E1226:E$2)*(E1227=E1226:E$2)))))</f>
        <v> </v>
      </c>
      <c r="J1227" s="26" t="str">
        <f>IF(OR(E1227="",E1227="!!!",F1227="NEW"),"",COUNTBLANK(OFFSET(A$1,,,SUMPRODUCT(MAX(ROW(E$2:E1227)*(E1227=E$2:E1227)))))-COUNTBLANK(OFFSET(A$1,,,SUMPRODUCT(MAX(ROW(E$1:E1226)*(E2=E$1:E1226))))))</f>
        <v> </v>
      </c>
      <c r="K1227" s="26" t="str">
        <f>IF(OR(E1227="",E1227="!!!",F1227="NEW"),"",INDEX(J$1:J1226,SUMPRODUCT(MAX(ROW(E$1:E1226)*(E1227=E$1:E1226)))))</f>
        <v> </v>
      </c>
      <c r="L1227" s="27"/>
    </row>
    <row r="1228" spans="1:12">
      <c r="A1228" s="20" t="s">
        <v>417</v>
      </c>
      <c r="E1228" s="22">
        <f>IF(D1228="?OLD","!!!","")</f>
        <v/>
      </c>
      <c r="F1228" s="23" t="str">
        <f>IF(OR(E1228="",E1228="!!!"),"",IF(NOT(ISNA(VLOOKUP(E1228,E$1:E1227,1,FALSE()))),"OLD",IF(AND(E1228&lt;&gt;"",E1228&lt;&gt;"!!!"),"NEW","")))</f>
        <v> </v>
      </c>
      <c r="G1228" s="24" t="str">
        <f>IF(OR(E1228="",E1228="!!!"),"",IF(OR(J1228=0,AND(J1228=1,K1228=1),AND(J1228=1,I1228="SBJ"),AND(J1228=1,I1228=0)),"?IN_FOCUS",IF(J1228&lt;=2,"?ACTIVATED",IF(J1228&lt;&gt;"","?FAMILIAR",IF(F1228="NEW",IF(ISNA(VLOOKUP(E1228,#REF!,1,FALSE())),"?TYPE_IDENTIFIABLE","?REFERENTIAL"),"_")))))</f>
        <v> </v>
      </c>
      <c r="H1228" s="25" t="str">
        <f>IF(J1228&lt;&gt;1,"",IF(I1228="SBJ","CB","?"))</f>
        <v> </v>
      </c>
      <c r="I1228" s="26" t="str">
        <f>IF(OR(E1228="",E1228="!!!",F1228="NEW"),"",INDEX(B1227:B$2,-1+SUMPRODUCT(MAX(ROW(E1227:E$2)*(E1228=E1227:E$2)))))</f>
        <v> </v>
      </c>
      <c r="J1228" s="26" t="str">
        <f>IF(OR(E1228="",E1228="!!!",F1228="NEW"),"",COUNTBLANK(OFFSET(A$1,,,SUMPRODUCT(MAX(ROW(E$2:E1228)*(E1228=E$2:E1228)))))-COUNTBLANK(OFFSET(A$1,,,SUMPRODUCT(MAX(ROW(E$1:E1227)*(E2=E$1:E1227))))))</f>
        <v> </v>
      </c>
      <c r="K1228" s="26" t="str">
        <f>IF(OR(E1228="",E1228="!!!",F1228="NEW"),"",INDEX(J$1:J1227,SUMPRODUCT(MAX(ROW(E$1:E1227)*(E1228=E$1:E1227)))))</f>
        <v> </v>
      </c>
      <c r="L1228" s="27"/>
    </row>
    <row r="1229" spans="1:12">
      <c r="A1229" s="20" t="s">
        <v>246</v>
      </c>
      <c r="E1229" s="22">
        <f>IF(D1229="?OLD","!!!","")</f>
        <v/>
      </c>
      <c r="F1229" s="23" t="str">
        <f>IF(OR(E1229="",E1229="!!!"),"",IF(NOT(ISNA(VLOOKUP(E1229,E$1:E1228,1,FALSE()))),"OLD",IF(AND(E1229&lt;&gt;"",E1229&lt;&gt;"!!!"),"NEW","")))</f>
        <v> </v>
      </c>
      <c r="G1229" s="24" t="str">
        <f>IF(OR(E1229="",E1229="!!!"),"",IF(OR(J1229=0,AND(J1229=1,K1229=1),AND(J1229=1,I1229="SBJ"),AND(J1229=1,I1229=0)),"?IN_FOCUS",IF(J1229&lt;=2,"?ACTIVATED",IF(J1229&lt;&gt;"","?FAMILIAR",IF(F1229="NEW",IF(ISNA(VLOOKUP(E1229,#REF!,1,FALSE())),"?TYPE_IDENTIFIABLE","?REFERENTIAL"),"_")))))</f>
        <v> </v>
      </c>
      <c r="H1229" s="25" t="str">
        <f>IF(J1229&lt;&gt;1,"",IF(I1229="SBJ","CB","?"))</f>
        <v> </v>
      </c>
      <c r="I1229" s="26" t="str">
        <f>IF(OR(E1229="",E1229="!!!",F1229="NEW"),"",INDEX(B1228:B$2,-1+SUMPRODUCT(MAX(ROW(E1228:E$2)*(E1229=E1228:E$2)))))</f>
        <v> </v>
      </c>
      <c r="J1229" s="26" t="str">
        <f>IF(OR(E1229="",E1229="!!!",F1229="NEW"),"",COUNTBLANK(OFFSET(A$1,,,SUMPRODUCT(MAX(ROW(E$2:E1229)*(E1229=E$2:E1229)))))-COUNTBLANK(OFFSET(A$1,,,SUMPRODUCT(MAX(ROW(E$1:E1228)*(E2=E$1:E1228))))))</f>
        <v> </v>
      </c>
      <c r="K1229" s="26" t="str">
        <f>IF(OR(E1229="",E1229="!!!",F1229="NEW"),"",INDEX(J$1:J1228,SUMPRODUCT(MAX(ROW(E$1:E1228)*(E1229=E$1:E1228)))))</f>
        <v> </v>
      </c>
      <c r="L1229" s="27"/>
    </row>
    <row r="1230" spans="1:12">
      <c r="A1230" s="20"/>
    </row>
    <row r="1231" spans="1:12">
      <c r="A1231" s="20" t="s">
        <v>1298</v>
      </c>
    </row>
    <row r="1232" spans="1:12">
      <c r="A1232" s="20" t="s">
        <v>883</v>
      </c>
      <c r="B1232" s="21" t="s">
        <v>728</v>
      </c>
      <c r="C1232" s="21" t="s">
        <v>789</v>
      </c>
      <c r="D1232" s="21" t="s">
        <v>730</v>
      </c>
      <c r="E1232" s="22">
        <f>IF(D1232="?OLD","!!!","")</f>
        <v/>
      </c>
      <c r="F1232" s="23" t="str">
        <f>IF(OR(E1232="",E1232="!!!"),"",IF(NOT(ISNA(VLOOKUP(E1232,E$1:E1231,1,FALSE()))),"OLD",IF(AND(E1232&lt;&gt;"",E1232&lt;&gt;"!!!"),"NEW","")))</f>
        <v> </v>
      </c>
      <c r="G1232" s="24" t="str">
        <f>IF(OR(E1232="",E1232="!!!"),"",IF(OR(J1232=0,AND(J1232=1,K1232=1),AND(J1232=1,I1232="SBJ"),AND(J1232=1,I1232=0)),"?IN_FOCUS",IF(J1232&lt;=2,"?ACTIVATED",IF(J1232&lt;&gt;"","?FAMILIAR",IF(F1232="NEW",IF(ISNA(VLOOKUP(E1232,#REF!,1,FALSE())),"?TYPE_IDENTIFIABLE","?REFERENTIAL"),"_")))))</f>
        <v> </v>
      </c>
      <c r="H1232" s="25" t="str">
        <f>IF(J1232&lt;&gt;1,"",IF(I1232="SBJ","CB","?"))</f>
        <v> </v>
      </c>
      <c r="I1232" s="26" t="str">
        <f>IF(OR(E1232="",E1232="!!!",F1232="NEW"),"",INDEX(B1231:B$2,-1+SUMPRODUCT(MAX(ROW(E1231:E$2)*(E1232=E1231:E$2)))))</f>
        <v> </v>
      </c>
      <c r="J1232" s="26" t="str">
        <f>IF(OR(E1232="",E1232="!!!",F1232="NEW"),"",COUNTBLANK(OFFSET(A$1,,,SUMPRODUCT(MAX(ROW(E$2:E1232)*(E1232=E$2:E1232)))))-COUNTBLANK(OFFSET(A$1,,,SUMPRODUCT(MAX(ROW(E$1:E1231)*(E2=E$1:E1231))))))</f>
        <v> </v>
      </c>
      <c r="K1232" s="26" t="str">
        <f>IF(OR(E1232="",E1232="!!!",F1232="NEW"),"",INDEX(J$1:J1231,SUMPRODUCT(MAX(ROW(E$1:E1231)*(E1232=E$1:E1231)))))</f>
        <v> </v>
      </c>
      <c r="L1232" s="27"/>
    </row>
    <row r="1233" spans="1:12">
      <c r="A1233" s="20" t="s">
        <v>250</v>
      </c>
      <c r="E1233" s="22">
        <f>IF(D1233="?OLD","!!!","")</f>
        <v/>
      </c>
      <c r="F1233" s="23" t="str">
        <f>IF(OR(E1233="",E1233="!!!"),"",IF(NOT(ISNA(VLOOKUP(E1233,E$1:E1232,1,FALSE()))),"OLD",IF(AND(E1233&lt;&gt;"",E1233&lt;&gt;"!!!"),"NEW","")))</f>
        <v> </v>
      </c>
      <c r="G1233" s="24" t="str">
        <f>IF(OR(E1233="",E1233="!!!"),"",IF(OR(J1233=0,AND(J1233=1,K1233=1),AND(J1233=1,I1233="SBJ"),AND(J1233=1,I1233=0)),"?IN_FOCUS",IF(J1233&lt;=2,"?ACTIVATED",IF(J1233&lt;&gt;"","?FAMILIAR",IF(F1233="NEW",IF(ISNA(VLOOKUP(E1233,#REF!,1,FALSE())),"?TYPE_IDENTIFIABLE","?REFERENTIAL"),"_")))))</f>
        <v> </v>
      </c>
      <c r="H1233" s="25" t="str">
        <f>IF(J1233&lt;&gt;1,"",IF(I1233="SBJ","CB","?"))</f>
        <v> </v>
      </c>
      <c r="I1233" s="26" t="str">
        <f>IF(OR(E1233="",E1233="!!!",F1233="NEW"),"",INDEX(B1232:B$2,-1+SUMPRODUCT(MAX(ROW(E1232:E$2)*(E1233=E1232:E$2)))))</f>
        <v> </v>
      </c>
      <c r="J1233" s="26" t="str">
        <f>IF(OR(E1233="",E1233="!!!",F1233="NEW"),"",COUNTBLANK(OFFSET(A$1,,,SUMPRODUCT(MAX(ROW(E$2:E1233)*(E1233=E$2:E1233)))))-COUNTBLANK(OFFSET(A$1,,,SUMPRODUCT(MAX(ROW(E$1:E1232)*(E2=E$1:E1232))))))</f>
        <v> </v>
      </c>
      <c r="K1233" s="26" t="str">
        <f>IF(OR(E1233="",E1233="!!!",F1233="NEW"),"",INDEX(J$1:J1232,SUMPRODUCT(MAX(ROW(E$1:E1232)*(E1233=E$1:E1232)))))</f>
        <v> </v>
      </c>
      <c r="L1233" s="27"/>
    </row>
    <row r="1234" spans="1:12">
      <c r="A1234" s="20" t="s">
        <v>859</v>
      </c>
      <c r="B1234" s="21" t="s">
        <v>728</v>
      </c>
      <c r="C1234" s="21" t="s">
        <v>789</v>
      </c>
      <c r="D1234" s="21" t="s">
        <v>730</v>
      </c>
      <c r="E1234" s="22">
        <f>IF(D1234="?OLD","!!!","")</f>
        <v/>
      </c>
      <c r="F1234" s="23" t="str">
        <f>IF(OR(E1234="",E1234="!!!"),"",IF(NOT(ISNA(VLOOKUP(E1234,E$1:E1233,1,FALSE()))),"OLD",IF(AND(E1234&lt;&gt;"",E1234&lt;&gt;"!!!"),"NEW","")))</f>
        <v> </v>
      </c>
      <c r="G1234" s="24" t="str">
        <f>IF(OR(E1234="",E1234="!!!"),"",IF(OR(J1234=0,AND(J1234=1,K1234=1),AND(J1234=1,I1234="SBJ"),AND(J1234=1,I1234=0)),"?IN_FOCUS",IF(J1234&lt;=2,"?ACTIVATED",IF(J1234&lt;&gt;"","?FAMILIAR",IF(F1234="NEW",IF(ISNA(VLOOKUP(E1234,#REF!,1,FALSE())),"?TYPE_IDENTIFIABLE","?REFERENTIAL"),"_")))))</f>
        <v> </v>
      </c>
      <c r="H1234" s="25" t="str">
        <f>IF(J1234&lt;&gt;1,"",IF(I1234="SBJ","CB","?"))</f>
        <v> </v>
      </c>
      <c r="I1234" s="26" t="str">
        <f>IF(OR(E1234="",E1234="!!!",F1234="NEW"),"",INDEX(B1233:B$2,-1+SUMPRODUCT(MAX(ROW(E1233:E$2)*(E1234=E1233:E$2)))))</f>
        <v> </v>
      </c>
      <c r="J1234" s="26" t="str">
        <f>IF(OR(E1234="",E1234="!!!",F1234="NEW"),"",COUNTBLANK(OFFSET(A$1,,,SUMPRODUCT(MAX(ROW(E$2:E1234)*(E1234=E$2:E1234)))))-COUNTBLANK(OFFSET(A$1,,,SUMPRODUCT(MAX(ROW(E$1:E1233)*(E2=E$1:E1233))))))</f>
        <v> </v>
      </c>
      <c r="K1234" s="26" t="str">
        <f>IF(OR(E1234="",E1234="!!!",F1234="NEW"),"",INDEX(J$1:J1233,SUMPRODUCT(MAX(ROW(E$1:E1233)*(E1234=E$1:E1233)))))</f>
        <v> </v>
      </c>
      <c r="L1234" s="27"/>
    </row>
    <row r="1235" spans="1:12">
      <c r="A1235" s="20" t="s">
        <v>885</v>
      </c>
      <c r="E1235" s="22">
        <f>IF(D1235="?OLD","!!!","")</f>
        <v/>
      </c>
      <c r="F1235" s="23" t="str">
        <f>IF(OR(E1235="",E1235="!!!"),"",IF(NOT(ISNA(VLOOKUP(E1235,E$1:E1234,1,FALSE()))),"OLD",IF(AND(E1235&lt;&gt;"",E1235&lt;&gt;"!!!"),"NEW","")))</f>
        <v> </v>
      </c>
      <c r="G1235" s="24" t="str">
        <f>IF(OR(E1235="",E1235="!!!"),"",IF(OR(J1235=0,AND(J1235=1,K1235=1),AND(J1235=1,I1235="SBJ"),AND(J1235=1,I1235=0)),"?IN_FOCUS",IF(J1235&lt;=2,"?ACTIVATED",IF(J1235&lt;&gt;"","?FAMILIAR",IF(F1235="NEW",IF(ISNA(VLOOKUP(E1235,#REF!,1,FALSE())),"?TYPE_IDENTIFIABLE","?REFERENTIAL"),"_")))))</f>
        <v> </v>
      </c>
      <c r="H1235" s="25" t="str">
        <f>IF(J1235&lt;&gt;1,"",IF(I1235="SBJ","CB","?"))</f>
        <v> </v>
      </c>
      <c r="I1235" s="26" t="str">
        <f>IF(OR(E1235="",E1235="!!!",F1235="NEW"),"",INDEX(B1234:B$2,-1+SUMPRODUCT(MAX(ROW(E1234:E$2)*(E1235=E1234:E$2)))))</f>
        <v> </v>
      </c>
      <c r="J1235" s="26" t="str">
        <f>IF(OR(E1235="",E1235="!!!",F1235="NEW"),"",COUNTBLANK(OFFSET(A$1,,,SUMPRODUCT(MAX(ROW(E$2:E1235)*(E1235=E$2:E1235)))))-COUNTBLANK(OFFSET(A$1,,,SUMPRODUCT(MAX(ROW(E$1:E1234)*(E2=E$1:E1234))))))</f>
        <v> </v>
      </c>
      <c r="K1235" s="26" t="str">
        <f>IF(OR(E1235="",E1235="!!!",F1235="NEW"),"",INDEX(J$1:J1234,SUMPRODUCT(MAX(ROW(E$1:E1234)*(E1235=E$1:E1234)))))</f>
        <v> </v>
      </c>
      <c r="L1235" s="27"/>
    </row>
    <row r="1236" spans="1:12">
      <c r="A1236" s="20" t="s">
        <v>805</v>
      </c>
      <c r="E1236" s="22">
        <f>IF(D1236="?OLD","!!!","")</f>
        <v/>
      </c>
      <c r="F1236" s="23" t="str">
        <f>IF(OR(E1236="",E1236="!!!"),"",IF(NOT(ISNA(VLOOKUP(E1236,E$1:E1235,1,FALSE()))),"OLD",IF(AND(E1236&lt;&gt;"",E1236&lt;&gt;"!!!"),"NEW","")))</f>
        <v> </v>
      </c>
      <c r="G1236" s="24" t="str">
        <f>IF(OR(E1236="",E1236="!!!"),"",IF(OR(J1236=0,AND(J1236=1,K1236=1),AND(J1236=1,I1236="SBJ"),AND(J1236=1,I1236=0)),"?IN_FOCUS",IF(J1236&lt;=2,"?ACTIVATED",IF(J1236&lt;&gt;"","?FAMILIAR",IF(F1236="NEW",IF(ISNA(VLOOKUP(E1236,#REF!,1,FALSE())),"?TYPE_IDENTIFIABLE","?REFERENTIAL"),"_")))))</f>
        <v> </v>
      </c>
      <c r="H1236" s="25" t="str">
        <f>IF(J1236&lt;&gt;1,"",IF(I1236="SBJ","CB","?"))</f>
        <v> </v>
      </c>
      <c r="I1236" s="26" t="str">
        <f>IF(OR(E1236="",E1236="!!!",F1236="NEW"),"",INDEX(B1235:B$2,-1+SUMPRODUCT(MAX(ROW(E1235:E$2)*(E1236=E1235:E$2)))))</f>
        <v> </v>
      </c>
      <c r="J1236" s="26" t="str">
        <f>IF(OR(E1236="",E1236="!!!",F1236="NEW"),"",COUNTBLANK(OFFSET(A$1,,,SUMPRODUCT(MAX(ROW(E$2:E1236)*(E1236=E$2:E1236)))))-COUNTBLANK(OFFSET(A$1,,,SUMPRODUCT(MAX(ROW(E$1:E1235)*(E2=E$1:E1235))))))</f>
        <v> </v>
      </c>
      <c r="K1236" s="26" t="str">
        <f>IF(OR(E1236="",E1236="!!!",F1236="NEW"),"",INDEX(J$1:J1235,SUMPRODUCT(MAX(ROW(E$1:E1235)*(E1236=E$1:E1235)))))</f>
        <v> </v>
      </c>
      <c r="L1236" s="27"/>
    </row>
    <row r="1237" spans="1:12">
      <c r="A1237" s="20" t="s">
        <v>785</v>
      </c>
      <c r="E1237" s="22">
        <f>IF(D1237="?OLD","!!!","")</f>
        <v/>
      </c>
      <c r="F1237" s="23" t="str">
        <f>IF(OR(E1237="",E1237="!!!"),"",IF(NOT(ISNA(VLOOKUP(E1237,E$1:E1236,1,FALSE()))),"OLD",IF(AND(E1237&lt;&gt;"",E1237&lt;&gt;"!!!"),"NEW","")))</f>
        <v> </v>
      </c>
      <c r="G1237" s="24" t="str">
        <f>IF(OR(E1237="",E1237="!!!"),"",IF(OR(J1237=0,AND(J1237=1,K1237=1),AND(J1237=1,I1237="SBJ"),AND(J1237=1,I1237=0)),"?IN_FOCUS",IF(J1237&lt;=2,"?ACTIVATED",IF(J1237&lt;&gt;"","?FAMILIAR",IF(F1237="NEW",IF(ISNA(VLOOKUP(E1237,#REF!,1,FALSE())),"?TYPE_IDENTIFIABLE","?REFERENTIAL"),"_")))))</f>
        <v> </v>
      </c>
      <c r="H1237" s="25" t="str">
        <f>IF(J1237&lt;&gt;1,"",IF(I1237="SBJ","CB","?"))</f>
        <v> </v>
      </c>
      <c r="I1237" s="26" t="str">
        <f>IF(OR(E1237="",E1237="!!!",F1237="NEW"),"",INDEX(B1236:B$2,-1+SUMPRODUCT(MAX(ROW(E1236:E$2)*(E1237=E1236:E$2)))))</f>
        <v> </v>
      </c>
      <c r="J1237" s="26" t="str">
        <f>IF(OR(E1237="",E1237="!!!",F1237="NEW"),"",COUNTBLANK(OFFSET(A$1,,,SUMPRODUCT(MAX(ROW(E$2:E1237)*(E1237=E$2:E1237)))))-COUNTBLANK(OFFSET(A$1,,,SUMPRODUCT(MAX(ROW(E$1:E1236)*(E2=E$1:E1236))))))</f>
        <v> </v>
      </c>
      <c r="K1237" s="26" t="str">
        <f>IF(OR(E1237="",E1237="!!!",F1237="NEW"),"",INDEX(J$1:J1236,SUMPRODUCT(MAX(ROW(E$1:E1236)*(E1237=E$1:E1236)))))</f>
        <v> </v>
      </c>
      <c r="L1237" s="27"/>
    </row>
    <row r="1238" spans="1:12">
      <c r="A1238" s="20" t="s">
        <v>1299</v>
      </c>
      <c r="E1238" s="22">
        <f>IF(D1238="?OLD","!!!","")</f>
        <v/>
      </c>
      <c r="F1238" s="23" t="str">
        <f>IF(OR(E1238="",E1238="!!!"),"",IF(NOT(ISNA(VLOOKUP(E1238,E$1:E1237,1,FALSE()))),"OLD",IF(AND(E1238&lt;&gt;"",E1238&lt;&gt;"!!!"),"NEW","")))</f>
        <v> </v>
      </c>
      <c r="G1238" s="24" t="str">
        <f>IF(OR(E1238="",E1238="!!!"),"",IF(OR(J1238=0,AND(J1238=1,K1238=1),AND(J1238=1,I1238="SBJ"),AND(J1238=1,I1238=0)),"?IN_FOCUS",IF(J1238&lt;=2,"?ACTIVATED",IF(J1238&lt;&gt;"","?FAMILIAR",IF(F1238="NEW",IF(ISNA(VLOOKUP(E1238,#REF!,1,FALSE())),"?TYPE_IDENTIFIABLE","?REFERENTIAL"),"_")))))</f>
        <v> </v>
      </c>
      <c r="H1238" s="25" t="str">
        <f>IF(J1238&lt;&gt;1,"",IF(I1238="SBJ","CB","?"))</f>
        <v> </v>
      </c>
      <c r="I1238" s="26" t="str">
        <f>IF(OR(E1238="",E1238="!!!",F1238="NEW"),"",INDEX(B1237:B$2,-1+SUMPRODUCT(MAX(ROW(E1237:E$2)*(E1238=E1237:E$2)))))</f>
        <v> </v>
      </c>
      <c r="J1238" s="26" t="str">
        <f>IF(OR(E1238="",E1238="!!!",F1238="NEW"),"",COUNTBLANK(OFFSET(A$1,,,SUMPRODUCT(MAX(ROW(E$2:E1238)*(E1238=E$2:E1238)))))-COUNTBLANK(OFFSET(A$1,,,SUMPRODUCT(MAX(ROW(E$1:E1237)*(E2=E$1:E1237))))))</f>
        <v> </v>
      </c>
      <c r="K1238" s="26" t="str">
        <f>IF(OR(E1238="",E1238="!!!",F1238="NEW"),"",INDEX(J$1:J1237,SUMPRODUCT(MAX(ROW(E$1:E1237)*(E1238=E$1:E1237)))))</f>
        <v> </v>
      </c>
      <c r="L1238" s="27"/>
    </row>
    <row r="1239" spans="1:12">
      <c r="A1239" s="20" t="s">
        <v>872</v>
      </c>
      <c r="B1239" s="21" t="s">
        <v>791</v>
      </c>
      <c r="C1239" s="21" t="s">
        <v>789</v>
      </c>
      <c r="D1239" s="21" t="s">
        <v>730</v>
      </c>
      <c r="E1239" s="22">
        <f>IF(D1239="?OLD","!!!","")</f>
        <v/>
      </c>
      <c r="F1239" s="23" t="str">
        <f>IF(OR(E1239="",E1239="!!!"),"",IF(NOT(ISNA(VLOOKUP(E1239,E$1:E1238,1,FALSE()))),"OLD",IF(AND(E1239&lt;&gt;"",E1239&lt;&gt;"!!!"),"NEW","")))</f>
        <v> </v>
      </c>
      <c r="G1239" s="24" t="str">
        <f>IF(OR(E1239="",E1239="!!!"),"",IF(OR(J1239=0,AND(J1239=1,K1239=1),AND(J1239=1,I1239="SBJ"),AND(J1239=1,I1239=0)),"?IN_FOCUS",IF(J1239&lt;=2,"?ACTIVATED",IF(J1239&lt;&gt;"","?FAMILIAR",IF(F1239="NEW",IF(ISNA(VLOOKUP(E1239,#REF!,1,FALSE())),"?TYPE_IDENTIFIABLE","?REFERENTIAL"),"_")))))</f>
        <v> </v>
      </c>
      <c r="H1239" s="25" t="str">
        <f>IF(J1239&lt;&gt;1,"",IF(I1239="SBJ","CB","?"))</f>
        <v> </v>
      </c>
      <c r="I1239" s="26" t="str">
        <f>IF(OR(E1239="",E1239="!!!",F1239="NEW"),"",INDEX(B1238:B$2,-1+SUMPRODUCT(MAX(ROW(E1238:E$2)*(E1239=E1238:E$2)))))</f>
        <v> </v>
      </c>
      <c r="J1239" s="26" t="str">
        <f>IF(OR(E1239="",E1239="!!!",F1239="NEW"),"",COUNTBLANK(OFFSET(A$1,,,SUMPRODUCT(MAX(ROW(E$2:E1239)*(E1239=E$2:E1239)))))-COUNTBLANK(OFFSET(A$1,,,SUMPRODUCT(MAX(ROW(E$1:E1238)*(E2=E$1:E1238))))))</f>
        <v> </v>
      </c>
      <c r="K1239" s="26" t="str">
        <f>IF(OR(E1239="",E1239="!!!",F1239="NEW"),"",INDEX(J$1:J1238,SUMPRODUCT(MAX(ROW(E$1:E1238)*(E1239=E$1:E1238)))))</f>
        <v> </v>
      </c>
      <c r="L1239" s="27"/>
    </row>
    <row r="1240" spans="1:12">
      <c r="A1240" s="20" t="s">
        <v>944</v>
      </c>
      <c r="E1240" s="22">
        <f>IF(D1240="?OLD","!!!","")</f>
        <v/>
      </c>
      <c r="F1240" s="23" t="str">
        <f>IF(OR(E1240="",E1240="!!!"),"",IF(NOT(ISNA(VLOOKUP(E1240,E$1:E1239,1,FALSE()))),"OLD",IF(AND(E1240&lt;&gt;"",E1240&lt;&gt;"!!!"),"NEW","")))</f>
        <v> </v>
      </c>
      <c r="G1240" s="24" t="str">
        <f>IF(OR(E1240="",E1240="!!!"),"",IF(OR(J1240=0,AND(J1240=1,K1240=1),AND(J1240=1,I1240="SBJ"),AND(J1240=1,I1240=0)),"?IN_FOCUS",IF(J1240&lt;=2,"?ACTIVATED",IF(J1240&lt;&gt;"","?FAMILIAR",IF(F1240="NEW",IF(ISNA(VLOOKUP(E1240,#REF!,1,FALSE())),"?TYPE_IDENTIFIABLE","?REFERENTIAL"),"_")))))</f>
        <v> </v>
      </c>
      <c r="H1240" s="25" t="str">
        <f>IF(J1240&lt;&gt;1,"",IF(I1240="SBJ","CB","?"))</f>
        <v> </v>
      </c>
      <c r="I1240" s="26" t="str">
        <f>IF(OR(E1240="",E1240="!!!",F1240="NEW"),"",INDEX(B1239:B$2,-1+SUMPRODUCT(MAX(ROW(E1239:E$2)*(E1240=E1239:E$2)))))</f>
        <v> </v>
      </c>
      <c r="J1240" s="26" t="str">
        <f>IF(OR(E1240="",E1240="!!!",F1240="NEW"),"",COUNTBLANK(OFFSET(A$1,,,SUMPRODUCT(MAX(ROW(E$2:E1240)*(E1240=E$2:E1240)))))-COUNTBLANK(OFFSET(A$1,,,SUMPRODUCT(MAX(ROW(E$1:E1239)*(E2=E$1:E1239))))))</f>
        <v> </v>
      </c>
      <c r="K1240" s="26" t="str">
        <f>IF(OR(E1240="",E1240="!!!",F1240="NEW"),"",INDEX(J$1:J1239,SUMPRODUCT(MAX(ROW(E$1:E1239)*(E1240=E$1:E1239)))))</f>
        <v> </v>
      </c>
      <c r="L1240" s="27"/>
    </row>
    <row r="1241" spans="1:12">
      <c r="A1241" s="20" t="s">
        <v>762</v>
      </c>
      <c r="E1241" s="22">
        <f>IF(D1241="?OLD","!!!","")</f>
        <v/>
      </c>
      <c r="F1241" s="23" t="str">
        <f>IF(OR(E1241="",E1241="!!!"),"",IF(NOT(ISNA(VLOOKUP(E1241,E$1:E1240,1,FALSE()))),"OLD",IF(AND(E1241&lt;&gt;"",E1241&lt;&gt;"!!!"),"NEW","")))</f>
        <v> </v>
      </c>
      <c r="G1241" s="24" t="str">
        <f>IF(OR(E1241="",E1241="!!!"),"",IF(OR(J1241=0,AND(J1241=1,K1241=1),AND(J1241=1,I1241="SBJ"),AND(J1241=1,I1241=0)),"?IN_FOCUS",IF(J1241&lt;=2,"?ACTIVATED",IF(J1241&lt;&gt;"","?FAMILIAR",IF(F1241="NEW",IF(ISNA(VLOOKUP(E1241,#REF!,1,FALSE())),"?TYPE_IDENTIFIABLE","?REFERENTIAL"),"_")))))</f>
        <v> </v>
      </c>
      <c r="H1241" s="25" t="str">
        <f>IF(J1241&lt;&gt;1,"",IF(I1241="SBJ","CB","?"))</f>
        <v> </v>
      </c>
      <c r="I1241" s="26" t="str">
        <f>IF(OR(E1241="",E1241="!!!",F1241="NEW"),"",INDEX(B1240:B$2,-1+SUMPRODUCT(MAX(ROW(E1240:E$2)*(E1241=E1240:E$2)))))</f>
        <v> </v>
      </c>
      <c r="J1241" s="26" t="str">
        <f>IF(OR(E1241="",E1241="!!!",F1241="NEW"),"",COUNTBLANK(OFFSET(A$1,,,SUMPRODUCT(MAX(ROW(E$2:E1241)*(E1241=E$2:E1241)))))-COUNTBLANK(OFFSET(A$1,,,SUMPRODUCT(MAX(ROW(E$1:E1240)*(E2=E$1:E1240))))))</f>
        <v> </v>
      </c>
      <c r="K1241" s="26" t="str">
        <f>IF(OR(E1241="",E1241="!!!",F1241="NEW"),"",INDEX(J$1:J1240,SUMPRODUCT(MAX(ROW(E$1:E1240)*(E1241=E$1:E1240)))))</f>
        <v> </v>
      </c>
      <c r="L1241" s="27"/>
    </row>
    <row r="1242" spans="1:12">
      <c r="A1242" s="20" t="s">
        <v>1300</v>
      </c>
      <c r="B1242" s="21" t="s">
        <v>796</v>
      </c>
      <c r="C1242" s="21" t="s">
        <v>737</v>
      </c>
      <c r="E1242" s="22">
        <f>IF(D1242="?OLD","!!!","")</f>
        <v/>
      </c>
      <c r="F1242" s="23" t="str">
        <f>IF(OR(E1242="",E1242="!!!"),"",IF(NOT(ISNA(VLOOKUP(E1242,E$1:E1241,1,FALSE()))),"OLD",IF(AND(E1242&lt;&gt;"",E1242&lt;&gt;"!!!"),"NEW","")))</f>
        <v> </v>
      </c>
      <c r="G1242" s="24" t="str">
        <f>IF(OR(E1242="",E1242="!!!"),"",IF(OR(J1242=0,AND(J1242=1,K1242=1),AND(J1242=1,I1242="SBJ"),AND(J1242=1,I1242=0)),"?IN_FOCUS",IF(J1242&lt;=2,"?ACTIVATED",IF(J1242&lt;&gt;"","?FAMILIAR",IF(F1242="NEW",IF(ISNA(VLOOKUP(E1242,#REF!,1,FALSE())),"?TYPE_IDENTIFIABLE","?REFERENTIAL"),"_")))))</f>
        <v> </v>
      </c>
      <c r="H1242" s="25" t="str">
        <f>IF(J1242&lt;&gt;1,"",IF(I1242="SBJ","CB","?"))</f>
        <v> </v>
      </c>
      <c r="I1242" s="26" t="str">
        <f>IF(OR(E1242="",E1242="!!!",F1242="NEW"),"",INDEX(B1241:B$2,-1+SUMPRODUCT(MAX(ROW(E1241:E$2)*(E1242=E1241:E$2)))))</f>
        <v> </v>
      </c>
      <c r="J1242" s="26" t="str">
        <f>IF(OR(E1242="",E1242="!!!",F1242="NEW"),"",COUNTBLANK(OFFSET(A$1,,,SUMPRODUCT(MAX(ROW(E$2:E1242)*(E1242=E$2:E1242)))))-COUNTBLANK(OFFSET(A$1,,,SUMPRODUCT(MAX(ROW(E$1:E1241)*(E2=E$1:E1241))))))</f>
        <v> </v>
      </c>
      <c r="K1242" s="26" t="str">
        <f>IF(OR(E1242="",E1242="!!!",F1242="NEW"),"",INDEX(J$1:J1241,SUMPRODUCT(MAX(ROW(E$1:E1241)*(E1242=E$1:E1241)))))</f>
        <v> </v>
      </c>
      <c r="L1242" s="27"/>
    </row>
    <row r="1243" spans="1:12">
      <c r="A1243" s="20" t="s">
        <v>1054</v>
      </c>
      <c r="E1243" s="22">
        <f>IF(D1243="?OLD","!!!","")</f>
        <v/>
      </c>
      <c r="F1243" s="23" t="str">
        <f>IF(OR(E1243="",E1243="!!!"),"",IF(NOT(ISNA(VLOOKUP(E1243,E$1:E1242,1,FALSE()))),"OLD",IF(AND(E1243&lt;&gt;"",E1243&lt;&gt;"!!!"),"NEW","")))</f>
        <v> </v>
      </c>
      <c r="G1243" s="24" t="str">
        <f>IF(OR(E1243="",E1243="!!!"),"",IF(OR(J1243=0,AND(J1243=1,K1243=1),AND(J1243=1,I1243="SBJ"),AND(J1243=1,I1243=0)),"?IN_FOCUS",IF(J1243&lt;=2,"?ACTIVATED",IF(J1243&lt;&gt;"","?FAMILIAR",IF(F1243="NEW",IF(ISNA(VLOOKUP(E1243,#REF!,1,FALSE())),"?TYPE_IDENTIFIABLE","?REFERENTIAL"),"_")))))</f>
        <v> </v>
      </c>
      <c r="H1243" s="25" t="str">
        <f>IF(J1243&lt;&gt;1,"",IF(I1243="SBJ","CB","?"))</f>
        <v> </v>
      </c>
      <c r="I1243" s="26" t="str">
        <f>IF(OR(E1243="",E1243="!!!",F1243="NEW"),"",INDEX(B1242:B$2,-1+SUMPRODUCT(MAX(ROW(E1242:E$2)*(E1243=E1242:E$2)))))</f>
        <v> </v>
      </c>
      <c r="J1243" s="26" t="str">
        <f>IF(OR(E1243="",E1243="!!!",F1243="NEW"),"",COUNTBLANK(OFFSET(A$1,,,SUMPRODUCT(MAX(ROW(E$2:E1243)*(E1243=E$2:E1243)))))-COUNTBLANK(OFFSET(A$1,,,SUMPRODUCT(MAX(ROW(E$1:E1242)*(E2=E$1:E1242))))))</f>
        <v> </v>
      </c>
      <c r="K1243" s="26" t="str">
        <f>IF(OR(E1243="",E1243="!!!",F1243="NEW"),"",INDEX(J$1:J1242,SUMPRODUCT(MAX(ROW(E$1:E1242)*(E1243=E$1:E1242)))))</f>
        <v> </v>
      </c>
      <c r="L1243" s="27"/>
    </row>
    <row r="1244" spans="1:12">
      <c r="A1244" s="20" t="s">
        <v>1301</v>
      </c>
      <c r="B1244" s="21" t="s">
        <v>791</v>
      </c>
      <c r="C1244" s="21" t="s">
        <v>737</v>
      </c>
      <c r="E1244" s="22">
        <f>IF(D1244="?OLD","!!!","")</f>
        <v/>
      </c>
      <c r="F1244" s="23" t="str">
        <f>IF(OR(E1244="",E1244="!!!"),"",IF(NOT(ISNA(VLOOKUP(E1244,E$1:E1243,1,FALSE()))),"OLD",IF(AND(E1244&lt;&gt;"",E1244&lt;&gt;"!!!"),"NEW","")))</f>
        <v> </v>
      </c>
      <c r="G1244" s="24" t="str">
        <f>IF(OR(E1244="",E1244="!!!"),"",IF(OR(J1244=0,AND(J1244=1,K1244=1),AND(J1244=1,I1244="SBJ"),AND(J1244=1,I1244=0)),"?IN_FOCUS",IF(J1244&lt;=2,"?ACTIVATED",IF(J1244&lt;&gt;"","?FAMILIAR",IF(F1244="NEW",IF(ISNA(VLOOKUP(E1244,#REF!,1,FALSE())),"?TYPE_IDENTIFIABLE","?REFERENTIAL"),"_")))))</f>
        <v> </v>
      </c>
      <c r="H1244" s="25" t="str">
        <f>IF(J1244&lt;&gt;1,"",IF(I1244="SBJ","CB","?"))</f>
        <v> </v>
      </c>
      <c r="I1244" s="26" t="str">
        <f>IF(OR(E1244="",E1244="!!!",F1244="NEW"),"",INDEX(B1243:B$2,-1+SUMPRODUCT(MAX(ROW(E1243:E$2)*(E1244=E1243:E$2)))))</f>
        <v> </v>
      </c>
      <c r="J1244" s="26" t="str">
        <f>IF(OR(E1244="",E1244="!!!",F1244="NEW"),"",COUNTBLANK(OFFSET(A$1,,,SUMPRODUCT(MAX(ROW(E$2:E1244)*(E1244=E$2:E1244)))))-COUNTBLANK(OFFSET(A$1,,,SUMPRODUCT(MAX(ROW(E$1:E1243)*(E2=E$1:E1243))))))</f>
        <v> </v>
      </c>
      <c r="K1244" s="26" t="str">
        <f>IF(OR(E1244="",E1244="!!!",F1244="NEW"),"",INDEX(J$1:J1243,SUMPRODUCT(MAX(ROW(E$1:E1243)*(E1244=E$1:E1243)))))</f>
        <v> </v>
      </c>
      <c r="L1244" s="27"/>
    </row>
    <row r="1245" spans="1:12">
      <c r="A1245" s="20" t="s">
        <v>246</v>
      </c>
      <c r="E1245" s="22">
        <f>IF(D1245="?OLD","!!!","")</f>
        <v/>
      </c>
      <c r="F1245" s="23" t="str">
        <f>IF(OR(E1245="",E1245="!!!"),"",IF(NOT(ISNA(VLOOKUP(E1245,E$1:E1244,1,FALSE()))),"OLD",IF(AND(E1245&lt;&gt;"",E1245&lt;&gt;"!!!"),"NEW","")))</f>
        <v> </v>
      </c>
      <c r="G1245" s="24" t="str">
        <f>IF(OR(E1245="",E1245="!!!"),"",IF(OR(J1245=0,AND(J1245=1,K1245=1),AND(J1245=1,I1245="SBJ"),AND(J1245=1,I1245=0)),"?IN_FOCUS",IF(J1245&lt;=2,"?ACTIVATED",IF(J1245&lt;&gt;"","?FAMILIAR",IF(F1245="NEW",IF(ISNA(VLOOKUP(E1245,#REF!,1,FALSE())),"?TYPE_IDENTIFIABLE","?REFERENTIAL"),"_")))))</f>
        <v> </v>
      </c>
      <c r="H1245" s="25" t="str">
        <f>IF(J1245&lt;&gt;1,"",IF(I1245="SBJ","CB","?"))</f>
        <v> </v>
      </c>
      <c r="I1245" s="26" t="str">
        <f>IF(OR(E1245="",E1245="!!!",F1245="NEW"),"",INDEX(B1244:B$2,-1+SUMPRODUCT(MAX(ROW(E1244:E$2)*(E1245=E1244:E$2)))))</f>
        <v> </v>
      </c>
      <c r="J1245" s="26" t="str">
        <f>IF(OR(E1245="",E1245="!!!",F1245="NEW"),"",COUNTBLANK(OFFSET(A$1,,,SUMPRODUCT(MAX(ROW(E$2:E1245)*(E1245=E$2:E1245)))))-COUNTBLANK(OFFSET(A$1,,,SUMPRODUCT(MAX(ROW(E$1:E1244)*(E2=E$1:E1244))))))</f>
        <v> </v>
      </c>
      <c r="K1245" s="26" t="str">
        <f>IF(OR(E1245="",E1245="!!!",F1245="NEW"),"",INDEX(J$1:J1244,SUMPRODUCT(MAX(ROW(E$1:E1244)*(E1245=E$1:E1244)))))</f>
        <v> </v>
      </c>
      <c r="L1245" s="27"/>
    </row>
    <row r="1246" spans="1:12">
      <c r="A1246" s="20"/>
    </row>
    <row r="1247" spans="1:12">
      <c r="A1247" s="20" t="s">
        <v>1302</v>
      </c>
    </row>
    <row r="1248" spans="1:12">
      <c r="A1248" s="20" t="s">
        <v>994</v>
      </c>
      <c r="E1248" s="22">
        <f>IF(D1248="?OLD","!!!","")</f>
        <v/>
      </c>
      <c r="F1248" s="23" t="str">
        <f>IF(OR(E1248="",E1248="!!!"),"",IF(NOT(ISNA(VLOOKUP(E1248,E$1:E1247,1,FALSE()))),"OLD",IF(AND(E1248&lt;&gt;"",E1248&lt;&gt;"!!!"),"NEW","")))</f>
        <v> </v>
      </c>
      <c r="G1248" s="24" t="str">
        <f>IF(OR(E1248="",E1248="!!!"),"",IF(OR(J1248=0,AND(J1248=1,K1248=1),AND(J1248=1,I1248="SBJ"),AND(J1248=1,I1248=0)),"?IN_FOCUS",IF(J1248&lt;=2,"?ACTIVATED",IF(J1248&lt;&gt;"","?FAMILIAR",IF(F1248="NEW",IF(ISNA(VLOOKUP(E1248,#REF!,1,FALSE())),"?TYPE_IDENTIFIABLE","?REFERENTIAL"),"_")))))</f>
        <v> </v>
      </c>
      <c r="H1248" s="25" t="str">
        <f>IF(J1248&lt;&gt;1,"",IF(I1248="SBJ","CB","?"))</f>
        <v> </v>
      </c>
      <c r="I1248" s="26" t="str">
        <f>IF(OR(E1248="",E1248="!!!",F1248="NEW"),"",INDEX(B1247:B$2,-1+SUMPRODUCT(MAX(ROW(E1247:E$2)*(E1248=E1247:E$2)))))</f>
        <v> </v>
      </c>
      <c r="J1248" s="26" t="str">
        <f>IF(OR(E1248="",E1248="!!!",F1248="NEW"),"",COUNTBLANK(OFFSET(A$1,,,SUMPRODUCT(MAX(ROW(E$2:E1248)*(E1248=E$2:E1248)))))-COUNTBLANK(OFFSET(A$1,,,SUMPRODUCT(MAX(ROW(E$1:E1247)*(E2=E$1:E1247))))))</f>
        <v> </v>
      </c>
      <c r="K1248" s="26" t="str">
        <f>IF(OR(E1248="",E1248="!!!",F1248="NEW"),"",INDEX(J$1:J1247,SUMPRODUCT(MAX(ROW(E$1:E1247)*(E1248=E$1:E1247)))))</f>
        <v> </v>
      </c>
      <c r="L1248" s="27"/>
    </row>
    <row r="1249" spans="1:12">
      <c r="A1249" s="20" t="s">
        <v>1303</v>
      </c>
      <c r="B1249" s="21" t="s">
        <v>736</v>
      </c>
      <c r="C1249" s="21" t="s">
        <v>748</v>
      </c>
      <c r="E1249" s="22">
        <f>IF(D1249="?OLD","!!!","")</f>
        <v/>
      </c>
      <c r="F1249" s="23" t="str">
        <f>IF(OR(E1249="",E1249="!!!"),"",IF(NOT(ISNA(VLOOKUP(E1249,E$1:E1248,1,FALSE()))),"OLD",IF(AND(E1249&lt;&gt;"",E1249&lt;&gt;"!!!"),"NEW","")))</f>
        <v> </v>
      </c>
      <c r="G1249" s="24" t="str">
        <f>IF(OR(E1249="",E1249="!!!"),"",IF(OR(J1249=0,AND(J1249=1,K1249=1),AND(J1249=1,I1249="SBJ"),AND(J1249=1,I1249=0)),"?IN_FOCUS",IF(J1249&lt;=2,"?ACTIVATED",IF(J1249&lt;&gt;"","?FAMILIAR",IF(F1249="NEW",IF(ISNA(VLOOKUP(E1249,#REF!,1,FALSE())),"?TYPE_IDENTIFIABLE","?REFERENTIAL"),"_")))))</f>
        <v> </v>
      </c>
      <c r="H1249" s="25" t="str">
        <f>IF(J1249&lt;&gt;1,"",IF(I1249="SBJ","CB","?"))</f>
        <v> </v>
      </c>
      <c r="I1249" s="26" t="str">
        <f>IF(OR(E1249="",E1249="!!!",F1249="NEW"),"",INDEX(B1248:B$2,-1+SUMPRODUCT(MAX(ROW(E1248:E$2)*(E1249=E1248:E$2)))))</f>
        <v> </v>
      </c>
      <c r="J1249" s="26" t="str">
        <f>IF(OR(E1249="",E1249="!!!",F1249="NEW"),"",COUNTBLANK(OFFSET(A$1,,,SUMPRODUCT(MAX(ROW(E$2:E1249)*(E1249=E$2:E1249)))))-COUNTBLANK(OFFSET(A$1,,,SUMPRODUCT(MAX(ROW(E$1:E1248)*(E2=E$1:E1248))))))</f>
        <v> </v>
      </c>
      <c r="K1249" s="26" t="str">
        <f>IF(OR(E1249="",E1249="!!!",F1249="NEW"),"",INDEX(J$1:J1248,SUMPRODUCT(MAX(ROW(E$1:E1248)*(E1249=E$1:E1248)))))</f>
        <v> </v>
      </c>
      <c r="L1249" s="27"/>
    </row>
    <row r="1250" spans="1:12">
      <c r="A1250" s="20" t="s">
        <v>757</v>
      </c>
      <c r="E1250" s="22">
        <f>IF(D1250="?OLD","!!!","")</f>
        <v/>
      </c>
      <c r="F1250" s="23" t="str">
        <f>IF(OR(E1250="",E1250="!!!"),"",IF(NOT(ISNA(VLOOKUP(E1250,E$1:E1249,1,FALSE()))),"OLD",IF(AND(E1250&lt;&gt;"",E1250&lt;&gt;"!!!"),"NEW","")))</f>
        <v> </v>
      </c>
      <c r="G1250" s="24" t="str">
        <f>IF(OR(E1250="",E1250="!!!"),"",IF(OR(J1250=0,AND(J1250=1,K1250=1),AND(J1250=1,I1250="SBJ"),AND(J1250=1,I1250=0)),"?IN_FOCUS",IF(J1250&lt;=2,"?ACTIVATED",IF(J1250&lt;&gt;"","?FAMILIAR",IF(F1250="NEW",IF(ISNA(VLOOKUP(E1250,#REF!,1,FALSE())),"?TYPE_IDENTIFIABLE","?REFERENTIAL"),"_")))))</f>
        <v> </v>
      </c>
      <c r="H1250" s="25" t="str">
        <f>IF(J1250&lt;&gt;1,"",IF(I1250="SBJ","CB","?"))</f>
        <v> </v>
      </c>
      <c r="I1250" s="26" t="str">
        <f>IF(OR(E1250="",E1250="!!!",F1250="NEW"),"",INDEX(B1249:B$2,-1+SUMPRODUCT(MAX(ROW(E1249:E$2)*(E1250=E1249:E$2)))))</f>
        <v> </v>
      </c>
      <c r="J1250" s="26" t="str">
        <f>IF(OR(E1250="",E1250="!!!",F1250="NEW"),"",COUNTBLANK(OFFSET(A$1,,,SUMPRODUCT(MAX(ROW(E$2:E1250)*(E1250=E$2:E1250)))))-COUNTBLANK(OFFSET(A$1,,,SUMPRODUCT(MAX(ROW(E$1:E1249)*(E2=E$1:E1249))))))</f>
        <v> </v>
      </c>
      <c r="K1250" s="26" t="str">
        <f>IF(OR(E1250="",E1250="!!!",F1250="NEW"),"",INDEX(J$1:J1249,SUMPRODUCT(MAX(ROW(E$1:E1249)*(E1250=E$1:E1249)))))</f>
        <v> </v>
      </c>
      <c r="L1250" s="27"/>
    </row>
    <row r="1251" spans="1:12">
      <c r="A1251" s="20" t="s">
        <v>1304</v>
      </c>
      <c r="E1251" s="22">
        <f>IF(D1251="?OLD","!!!","")</f>
        <v/>
      </c>
      <c r="F1251" s="23" t="str">
        <f>IF(OR(E1251="",E1251="!!!"),"",IF(NOT(ISNA(VLOOKUP(E1251,E$1:E1250,1,FALSE()))),"OLD",IF(AND(E1251&lt;&gt;"",E1251&lt;&gt;"!!!"),"NEW","")))</f>
        <v> </v>
      </c>
      <c r="G1251" s="24" t="str">
        <f>IF(OR(E1251="",E1251="!!!"),"",IF(OR(J1251=0,AND(J1251=1,K1251=1),AND(J1251=1,I1251="SBJ"),AND(J1251=1,I1251=0)),"?IN_FOCUS",IF(J1251&lt;=2,"?ACTIVATED",IF(J1251&lt;&gt;"","?FAMILIAR",IF(F1251="NEW",IF(ISNA(VLOOKUP(E1251,#REF!,1,FALSE())),"?TYPE_IDENTIFIABLE","?REFERENTIAL"),"_")))))</f>
        <v> </v>
      </c>
      <c r="H1251" s="25" t="str">
        <f>IF(J1251&lt;&gt;1,"",IF(I1251="SBJ","CB","?"))</f>
        <v> </v>
      </c>
      <c r="I1251" s="26" t="str">
        <f>IF(OR(E1251="",E1251="!!!",F1251="NEW"),"",INDEX(B1250:B$2,-1+SUMPRODUCT(MAX(ROW(E1250:E$2)*(E1251=E1250:E$2)))))</f>
        <v> </v>
      </c>
      <c r="J1251" s="26" t="str">
        <f>IF(OR(E1251="",E1251="!!!",F1251="NEW"),"",COUNTBLANK(OFFSET(A$1,,,SUMPRODUCT(MAX(ROW(E$2:E1251)*(E1251=E$2:E1251)))))-COUNTBLANK(OFFSET(A$1,,,SUMPRODUCT(MAX(ROW(E$1:E1250)*(E2=E$1:E1250))))))</f>
        <v> </v>
      </c>
      <c r="K1251" s="26" t="str">
        <f>IF(OR(E1251="",E1251="!!!",F1251="NEW"),"",INDEX(J$1:J1250,SUMPRODUCT(MAX(ROW(E$1:E1250)*(E1251=E$1:E1250)))))</f>
        <v> </v>
      </c>
      <c r="L1251" s="27"/>
    </row>
    <row r="1252" spans="1:12">
      <c r="A1252" s="20" t="s">
        <v>1059</v>
      </c>
      <c r="B1252" s="21" t="s">
        <v>739</v>
      </c>
      <c r="C1252" s="21" t="s">
        <v>753</v>
      </c>
      <c r="D1252" s="21" t="s">
        <v>730</v>
      </c>
      <c r="E1252" s="22">
        <f>IF(D1252="?OLD","!!!","")</f>
        <v/>
      </c>
      <c r="F1252" s="23" t="str">
        <f>IF(OR(E1252="",E1252="!!!"),"",IF(NOT(ISNA(VLOOKUP(E1252,E$1:E1251,1,FALSE()))),"OLD",IF(AND(E1252&lt;&gt;"",E1252&lt;&gt;"!!!"),"NEW","")))</f>
        <v> </v>
      </c>
      <c r="G1252" s="24" t="str">
        <f>IF(OR(E1252="",E1252="!!!"),"",IF(OR(J1252=0,AND(J1252=1,K1252=1),AND(J1252=1,I1252="SBJ"),AND(J1252=1,I1252=0)),"?IN_FOCUS",IF(J1252&lt;=2,"?ACTIVATED",IF(J1252&lt;&gt;"","?FAMILIAR",IF(F1252="NEW",IF(ISNA(VLOOKUP(E1252,#REF!,1,FALSE())),"?TYPE_IDENTIFIABLE","?REFERENTIAL"),"_")))))</f>
        <v> </v>
      </c>
      <c r="H1252" s="25" t="str">
        <f>IF(J1252&lt;&gt;1,"",IF(I1252="SBJ","CB","?"))</f>
        <v> </v>
      </c>
      <c r="I1252" s="26" t="str">
        <f>IF(OR(E1252="",E1252="!!!",F1252="NEW"),"",INDEX(B1251:B$2,-1+SUMPRODUCT(MAX(ROW(E1251:E$2)*(E1252=E1251:E$2)))))</f>
        <v> </v>
      </c>
      <c r="J1252" s="26" t="str">
        <f>IF(OR(E1252="",E1252="!!!",F1252="NEW"),"",COUNTBLANK(OFFSET(A$1,,,SUMPRODUCT(MAX(ROW(E$2:E1252)*(E1252=E$2:E1252)))))-COUNTBLANK(OFFSET(A$1,,,SUMPRODUCT(MAX(ROW(E$1:E1251)*(E2=E$1:E1251))))))</f>
        <v> </v>
      </c>
      <c r="K1252" s="26" t="str">
        <f>IF(OR(E1252="",E1252="!!!",F1252="NEW"),"",INDEX(J$1:J1251,SUMPRODUCT(MAX(ROW(E$1:E1251)*(E1252=E$1:E1251)))))</f>
        <v> </v>
      </c>
      <c r="L1252" s="27"/>
    </row>
    <row r="1253" spans="1:12">
      <c r="A1253" s="20" t="s">
        <v>1305</v>
      </c>
      <c r="E1253" s="22">
        <f>IF(D1253="?OLD","!!!","")</f>
        <v/>
      </c>
      <c r="F1253" s="23" t="str">
        <f>IF(OR(E1253="",E1253="!!!"),"",IF(NOT(ISNA(VLOOKUP(E1253,E$1:E1252,1,FALSE()))),"OLD",IF(AND(E1253&lt;&gt;"",E1253&lt;&gt;"!!!"),"NEW","")))</f>
        <v> </v>
      </c>
      <c r="G1253" s="24" t="str">
        <f>IF(OR(E1253="",E1253="!!!"),"",IF(OR(J1253=0,AND(J1253=1,K1253=1),AND(J1253=1,I1253="SBJ"),AND(J1253=1,I1253=0)),"?IN_FOCUS",IF(J1253&lt;=2,"?ACTIVATED",IF(J1253&lt;&gt;"","?FAMILIAR",IF(F1253="NEW",IF(ISNA(VLOOKUP(E1253,#REF!,1,FALSE())),"?TYPE_IDENTIFIABLE","?REFERENTIAL"),"_")))))</f>
        <v> </v>
      </c>
      <c r="H1253" s="25" t="str">
        <f>IF(J1253&lt;&gt;1,"",IF(I1253="SBJ","CB","?"))</f>
        <v> </v>
      </c>
      <c r="I1253" s="26" t="str">
        <f>IF(OR(E1253="",E1253="!!!",F1253="NEW"),"",INDEX(B1252:B$2,-1+SUMPRODUCT(MAX(ROW(E1252:E$2)*(E1253=E1252:E$2)))))</f>
        <v> </v>
      </c>
      <c r="J1253" s="26" t="str">
        <f>IF(OR(E1253="",E1253="!!!",F1253="NEW"),"",COUNTBLANK(OFFSET(A$1,,,SUMPRODUCT(MAX(ROW(E$2:E1253)*(E1253=E$2:E1253)))))-COUNTBLANK(OFFSET(A$1,,,SUMPRODUCT(MAX(ROW(E$1:E1252)*(E2=E$1:E1252))))))</f>
        <v> </v>
      </c>
      <c r="K1253" s="26" t="str">
        <f>IF(OR(E1253="",E1253="!!!",F1253="NEW"),"",INDEX(J$1:J1252,SUMPRODUCT(MAX(ROW(E$1:E1252)*(E1253=E$1:E1252)))))</f>
        <v> </v>
      </c>
      <c r="L1253" s="27"/>
    </row>
    <row r="1254" spans="1:12">
      <c r="A1254" s="20" t="s">
        <v>859</v>
      </c>
      <c r="B1254" s="21" t="s">
        <v>728</v>
      </c>
      <c r="C1254" s="21" t="s">
        <v>789</v>
      </c>
      <c r="D1254" s="21" t="s">
        <v>730</v>
      </c>
      <c r="E1254" s="22">
        <f>IF(D1254="?OLD","!!!","")</f>
        <v/>
      </c>
      <c r="F1254" s="23" t="str">
        <f>IF(OR(E1254="",E1254="!!!"),"",IF(NOT(ISNA(VLOOKUP(E1254,E$1:E1253,1,FALSE()))),"OLD",IF(AND(E1254&lt;&gt;"",E1254&lt;&gt;"!!!"),"NEW","")))</f>
        <v> </v>
      </c>
      <c r="G1254" s="24" t="str">
        <f>IF(OR(E1254="",E1254="!!!"),"",IF(OR(J1254=0,AND(J1254=1,K1254=1),AND(J1254=1,I1254="SBJ"),AND(J1254=1,I1254=0)),"?IN_FOCUS",IF(J1254&lt;=2,"?ACTIVATED",IF(J1254&lt;&gt;"","?FAMILIAR",IF(F1254="NEW",IF(ISNA(VLOOKUP(E1254,#REF!,1,FALSE())),"?TYPE_IDENTIFIABLE","?REFERENTIAL"),"_")))))</f>
        <v> </v>
      </c>
      <c r="H1254" s="25" t="str">
        <f>IF(J1254&lt;&gt;1,"",IF(I1254="SBJ","CB","?"))</f>
        <v> </v>
      </c>
      <c r="I1254" s="26" t="str">
        <f>IF(OR(E1254="",E1254="!!!",F1254="NEW"),"",INDEX(B1253:B$2,-1+SUMPRODUCT(MAX(ROW(E1253:E$2)*(E1254=E1253:E$2)))))</f>
        <v> </v>
      </c>
      <c r="J1254" s="26" t="str">
        <f>IF(OR(E1254="",E1254="!!!",F1254="NEW"),"",COUNTBLANK(OFFSET(A$1,,,SUMPRODUCT(MAX(ROW(E$2:E1254)*(E1254=E$2:E1254)))))-COUNTBLANK(OFFSET(A$1,,,SUMPRODUCT(MAX(ROW(E$1:E1253)*(E2=E$1:E1253))))))</f>
        <v> </v>
      </c>
      <c r="K1254" s="26" t="str">
        <f>IF(OR(E1254="",E1254="!!!",F1254="NEW"),"",INDEX(J$1:J1253,SUMPRODUCT(MAX(ROW(E$1:E1253)*(E1254=E$1:E1253)))))</f>
        <v> </v>
      </c>
      <c r="L1254" s="27"/>
    </row>
    <row r="1255" spans="1:12">
      <c r="A1255" s="20" t="s">
        <v>1195</v>
      </c>
      <c r="E1255" s="22">
        <f>IF(D1255="?OLD","!!!","")</f>
        <v/>
      </c>
      <c r="F1255" s="23" t="str">
        <f>IF(OR(E1255="",E1255="!!!"),"",IF(NOT(ISNA(VLOOKUP(E1255,E$1:E1254,1,FALSE()))),"OLD",IF(AND(E1255&lt;&gt;"",E1255&lt;&gt;"!!!"),"NEW","")))</f>
        <v> </v>
      </c>
      <c r="G1255" s="24" t="str">
        <f>IF(OR(E1255="",E1255="!!!"),"",IF(OR(J1255=0,AND(J1255=1,K1255=1),AND(J1255=1,I1255="SBJ"),AND(J1255=1,I1255=0)),"?IN_FOCUS",IF(J1255&lt;=2,"?ACTIVATED",IF(J1255&lt;&gt;"","?FAMILIAR",IF(F1255="NEW",IF(ISNA(VLOOKUP(E1255,#REF!,1,FALSE())),"?TYPE_IDENTIFIABLE","?REFERENTIAL"),"_")))))</f>
        <v> </v>
      </c>
      <c r="H1255" s="25" t="str">
        <f>IF(J1255&lt;&gt;1,"",IF(I1255="SBJ","CB","?"))</f>
        <v> </v>
      </c>
      <c r="I1255" s="26" t="str">
        <f>IF(OR(E1255="",E1255="!!!",F1255="NEW"),"",INDEX(B1254:B$2,-1+SUMPRODUCT(MAX(ROW(E1254:E$2)*(E1255=E1254:E$2)))))</f>
        <v> </v>
      </c>
      <c r="J1255" s="26" t="str">
        <f>IF(OR(E1255="",E1255="!!!",F1255="NEW"),"",COUNTBLANK(OFFSET(A$1,,,SUMPRODUCT(MAX(ROW(E$2:E1255)*(E1255=E$2:E1255)))))-COUNTBLANK(OFFSET(A$1,,,SUMPRODUCT(MAX(ROW(E$1:E1254)*(E2=E$1:E1254))))))</f>
        <v> </v>
      </c>
      <c r="K1255" s="26" t="str">
        <f>IF(OR(E1255="",E1255="!!!",F1255="NEW"),"",INDEX(J$1:J1254,SUMPRODUCT(MAX(ROW(E$1:E1254)*(E1255=E$1:E1254)))))</f>
        <v> </v>
      </c>
      <c r="L1255" s="27"/>
    </row>
    <row r="1256" spans="1:12">
      <c r="A1256" s="20" t="s">
        <v>759</v>
      </c>
      <c r="E1256" s="22">
        <f>IF(D1256="?OLD","!!!","")</f>
        <v/>
      </c>
      <c r="F1256" s="23" t="str">
        <f>IF(OR(E1256="",E1256="!!!"),"",IF(NOT(ISNA(VLOOKUP(E1256,E$1:E1255,1,FALSE()))),"OLD",IF(AND(E1256&lt;&gt;"",E1256&lt;&gt;"!!!"),"NEW","")))</f>
        <v> </v>
      </c>
      <c r="G1256" s="24" t="str">
        <f>IF(OR(E1256="",E1256="!!!"),"",IF(OR(J1256=0,AND(J1256=1,K1256=1),AND(J1256=1,I1256="SBJ"),AND(J1256=1,I1256=0)),"?IN_FOCUS",IF(J1256&lt;=2,"?ACTIVATED",IF(J1256&lt;&gt;"","?FAMILIAR",IF(F1256="NEW",IF(ISNA(VLOOKUP(E1256,#REF!,1,FALSE())),"?TYPE_IDENTIFIABLE","?REFERENTIAL"),"_")))))</f>
        <v> </v>
      </c>
      <c r="H1256" s="25" t="str">
        <f>IF(J1256&lt;&gt;1,"",IF(I1256="SBJ","CB","?"))</f>
        <v> </v>
      </c>
      <c r="I1256" s="26" t="str">
        <f>IF(OR(E1256="",E1256="!!!",F1256="NEW"),"",INDEX(B1255:B$2,-1+SUMPRODUCT(MAX(ROW(E1255:E$2)*(E1256=E1255:E$2)))))</f>
        <v> </v>
      </c>
      <c r="J1256" s="26" t="str">
        <f>IF(OR(E1256="",E1256="!!!",F1256="NEW"),"",COUNTBLANK(OFFSET(A$1,,,SUMPRODUCT(MAX(ROW(E$2:E1256)*(E1256=E$2:E1256)))))-COUNTBLANK(OFFSET(A$1,,,SUMPRODUCT(MAX(ROW(E$1:E1255)*(E2=E$1:E1255))))))</f>
        <v> </v>
      </c>
      <c r="K1256" s="26" t="str">
        <f>IF(OR(E1256="",E1256="!!!",F1256="NEW"),"",INDEX(J$1:J1255,SUMPRODUCT(MAX(ROW(E$1:E1255)*(E1256=E$1:E1255)))))</f>
        <v> </v>
      </c>
      <c r="L1256" s="27"/>
    </row>
    <row r="1257" spans="1:12">
      <c r="A1257" s="20" t="s">
        <v>808</v>
      </c>
      <c r="E1257" s="22">
        <f>IF(D1257="?OLD","!!!","")</f>
        <v/>
      </c>
      <c r="F1257" s="23" t="str">
        <f>IF(OR(E1257="",E1257="!!!"),"",IF(NOT(ISNA(VLOOKUP(E1257,E$1:E1256,1,FALSE()))),"OLD",IF(AND(E1257&lt;&gt;"",E1257&lt;&gt;"!!!"),"NEW","")))</f>
        <v> </v>
      </c>
      <c r="G1257" s="24" t="str">
        <f>IF(OR(E1257="",E1257="!!!"),"",IF(OR(J1257=0,AND(J1257=1,K1257=1),AND(J1257=1,I1257="SBJ"),AND(J1257=1,I1257=0)),"?IN_FOCUS",IF(J1257&lt;=2,"?ACTIVATED",IF(J1257&lt;&gt;"","?FAMILIAR",IF(F1257="NEW",IF(ISNA(VLOOKUP(E1257,#REF!,1,FALSE())),"?TYPE_IDENTIFIABLE","?REFERENTIAL"),"_")))))</f>
        <v> </v>
      </c>
      <c r="H1257" s="25" t="str">
        <f>IF(J1257&lt;&gt;1,"",IF(I1257="SBJ","CB","?"))</f>
        <v> </v>
      </c>
      <c r="I1257" s="26" t="str">
        <f>IF(OR(E1257="",E1257="!!!",F1257="NEW"),"",INDEX(B1256:B$2,-1+SUMPRODUCT(MAX(ROW(E1256:E$2)*(E1257=E1256:E$2)))))</f>
        <v> </v>
      </c>
      <c r="J1257" s="26" t="str">
        <f>IF(OR(E1257="",E1257="!!!",F1257="NEW"),"",COUNTBLANK(OFFSET(A$1,,,SUMPRODUCT(MAX(ROW(E$2:E1257)*(E1257=E$2:E1257)))))-COUNTBLANK(OFFSET(A$1,,,SUMPRODUCT(MAX(ROW(E$1:E1256)*(E2=E$1:E1256))))))</f>
        <v> </v>
      </c>
      <c r="K1257" s="26" t="str">
        <f>IF(OR(E1257="",E1257="!!!",F1257="NEW"),"",INDEX(J$1:J1256,SUMPRODUCT(MAX(ROW(E$1:E1256)*(E1257=E$1:E1256)))))</f>
        <v> </v>
      </c>
      <c r="L1257" s="27"/>
    </row>
    <row r="1258" spans="1:12">
      <c r="A1258" s="20" t="s">
        <v>859</v>
      </c>
      <c r="B1258" s="21" t="s">
        <v>796</v>
      </c>
      <c r="C1258" s="21" t="s">
        <v>789</v>
      </c>
      <c r="D1258" s="21" t="s">
        <v>730</v>
      </c>
      <c r="E1258" s="22">
        <f>IF(D1258="?OLD","!!!","")</f>
        <v/>
      </c>
      <c r="F1258" s="23" t="str">
        <f>IF(OR(E1258="",E1258="!!!"),"",IF(NOT(ISNA(VLOOKUP(E1258,E$1:E1257,1,FALSE()))),"OLD",IF(AND(E1258&lt;&gt;"",E1258&lt;&gt;"!!!"),"NEW","")))</f>
        <v> </v>
      </c>
      <c r="G1258" s="24" t="str">
        <f>IF(OR(E1258="",E1258="!!!"),"",IF(OR(J1258=0,AND(J1258=1,K1258=1),AND(J1258=1,I1258="SBJ"),AND(J1258=1,I1258=0)),"?IN_FOCUS",IF(J1258&lt;=2,"?ACTIVATED",IF(J1258&lt;&gt;"","?FAMILIAR",IF(F1258="NEW",IF(ISNA(VLOOKUP(E1258,#REF!,1,FALSE())),"?TYPE_IDENTIFIABLE","?REFERENTIAL"),"_")))))</f>
        <v> </v>
      </c>
      <c r="H1258" s="25" t="str">
        <f>IF(J1258&lt;&gt;1,"",IF(I1258="SBJ","CB","?"))</f>
        <v> </v>
      </c>
      <c r="I1258" s="26" t="str">
        <f>IF(OR(E1258="",E1258="!!!",F1258="NEW"),"",INDEX(B1257:B$2,-1+SUMPRODUCT(MAX(ROW(E1257:E$2)*(E1258=E1257:E$2)))))</f>
        <v> </v>
      </c>
      <c r="J1258" s="26" t="str">
        <f>IF(OR(E1258="",E1258="!!!",F1258="NEW"),"",COUNTBLANK(OFFSET(A$1,,,SUMPRODUCT(MAX(ROW(E$2:E1258)*(E1258=E$2:E1258)))))-COUNTBLANK(OFFSET(A$1,,,SUMPRODUCT(MAX(ROW(E$1:E1257)*(E2=E$1:E1257))))))</f>
        <v> </v>
      </c>
      <c r="K1258" s="26" t="str">
        <f>IF(OR(E1258="",E1258="!!!",F1258="NEW"),"",INDEX(J$1:J1257,SUMPRODUCT(MAX(ROW(E$1:E1257)*(E1258=E$1:E1257)))))</f>
        <v> </v>
      </c>
      <c r="L1258" s="27"/>
    </row>
    <row r="1259" spans="1:12">
      <c r="A1259" s="20" t="s">
        <v>773</v>
      </c>
      <c r="E1259" s="22">
        <f>IF(D1259="?OLD","!!!","")</f>
        <v/>
      </c>
      <c r="F1259" s="23" t="str">
        <f>IF(OR(E1259="",E1259="!!!"),"",IF(NOT(ISNA(VLOOKUP(E1259,E$1:E1258,1,FALSE()))),"OLD",IF(AND(E1259&lt;&gt;"",E1259&lt;&gt;"!!!"),"NEW","")))</f>
        <v> </v>
      </c>
      <c r="G1259" s="24" t="str">
        <f>IF(OR(E1259="",E1259="!!!"),"",IF(OR(J1259=0,AND(J1259=1,K1259=1),AND(J1259=1,I1259="SBJ"),AND(J1259=1,I1259=0)),"?IN_FOCUS",IF(J1259&lt;=2,"?ACTIVATED",IF(J1259&lt;&gt;"","?FAMILIAR",IF(F1259="NEW",IF(ISNA(VLOOKUP(E1259,#REF!,1,FALSE())),"?TYPE_IDENTIFIABLE","?REFERENTIAL"),"_")))))</f>
        <v> </v>
      </c>
      <c r="H1259" s="25" t="str">
        <f>IF(J1259&lt;&gt;1,"",IF(I1259="SBJ","CB","?"))</f>
        <v> </v>
      </c>
      <c r="I1259" s="26" t="str">
        <f>IF(OR(E1259="",E1259="!!!",F1259="NEW"),"",INDEX(B1258:B$2,-1+SUMPRODUCT(MAX(ROW(E1258:E$2)*(E1259=E1258:E$2)))))</f>
        <v> </v>
      </c>
      <c r="J1259" s="26" t="str">
        <f>IF(OR(E1259="",E1259="!!!",F1259="NEW"),"",COUNTBLANK(OFFSET(A$1,,,SUMPRODUCT(MAX(ROW(E$2:E1259)*(E1259=E$2:E1259)))))-COUNTBLANK(OFFSET(A$1,,,SUMPRODUCT(MAX(ROW(E$1:E1258)*(E2=E$1:E1258))))))</f>
        <v> </v>
      </c>
      <c r="K1259" s="26" t="str">
        <f>IF(OR(E1259="",E1259="!!!",F1259="NEW"),"",INDEX(J$1:J1258,SUMPRODUCT(MAX(ROW(E$1:E1258)*(E1259=E$1:E1258)))))</f>
        <v> </v>
      </c>
      <c r="L1259" s="27"/>
    </row>
    <row r="1260" spans="1:12">
      <c r="A1260" s="20" t="s">
        <v>751</v>
      </c>
      <c r="E1260" s="22">
        <f>IF(D1260="?OLD","!!!","")</f>
        <v/>
      </c>
      <c r="F1260" s="23" t="str">
        <f>IF(OR(E1260="",E1260="!!!"),"",IF(NOT(ISNA(VLOOKUP(E1260,E$1:E1259,1,FALSE()))),"OLD",IF(AND(E1260&lt;&gt;"",E1260&lt;&gt;"!!!"),"NEW","")))</f>
        <v> </v>
      </c>
      <c r="G1260" s="24" t="str">
        <f>IF(OR(E1260="",E1260="!!!"),"",IF(OR(J1260=0,AND(J1260=1,K1260=1),AND(J1260=1,I1260="SBJ"),AND(J1260=1,I1260=0)),"?IN_FOCUS",IF(J1260&lt;=2,"?ACTIVATED",IF(J1260&lt;&gt;"","?FAMILIAR",IF(F1260="NEW",IF(ISNA(VLOOKUP(E1260,#REF!,1,FALSE())),"?TYPE_IDENTIFIABLE","?REFERENTIAL"),"_")))))</f>
        <v> </v>
      </c>
      <c r="H1260" s="25" t="str">
        <f>IF(J1260&lt;&gt;1,"",IF(I1260="SBJ","CB","?"))</f>
        <v> </v>
      </c>
      <c r="I1260" s="26" t="str">
        <f>IF(OR(E1260="",E1260="!!!",F1260="NEW"),"",INDEX(B1259:B$2,-1+SUMPRODUCT(MAX(ROW(E1259:E$2)*(E1260=E1259:E$2)))))</f>
        <v> </v>
      </c>
      <c r="J1260" s="26" t="str">
        <f>IF(OR(E1260="",E1260="!!!",F1260="NEW"),"",COUNTBLANK(OFFSET(A$1,,,SUMPRODUCT(MAX(ROW(E$2:E1260)*(E1260=E$2:E1260)))))-COUNTBLANK(OFFSET(A$1,,,SUMPRODUCT(MAX(ROW(E$1:E1259)*(E2=E$1:E1259))))))</f>
        <v> </v>
      </c>
      <c r="K1260" s="26" t="str">
        <f>IF(OR(E1260="",E1260="!!!",F1260="NEW"),"",INDEX(J$1:J1259,SUMPRODUCT(MAX(ROW(E$1:E1259)*(E1260=E$1:E1259)))))</f>
        <v> </v>
      </c>
      <c r="L1260" s="27"/>
    </row>
    <row r="1261" spans="1:12">
      <c r="A1261" s="20" t="s">
        <v>1280</v>
      </c>
      <c r="B1261" s="21" t="s">
        <v>739</v>
      </c>
      <c r="C1261" s="21" t="s">
        <v>753</v>
      </c>
      <c r="D1261" s="21" t="s">
        <v>730</v>
      </c>
      <c r="E1261" s="22">
        <f>IF(D1261="?OLD","!!!","")</f>
        <v/>
      </c>
      <c r="F1261" s="23" t="str">
        <f>IF(OR(E1261="",E1261="!!!"),"",IF(NOT(ISNA(VLOOKUP(E1261,E$1:E1260,1,FALSE()))),"OLD",IF(AND(E1261&lt;&gt;"",E1261&lt;&gt;"!!!"),"NEW","")))</f>
        <v> </v>
      </c>
      <c r="G1261" s="24" t="str">
        <f>IF(OR(E1261="",E1261="!!!"),"",IF(OR(J1261=0,AND(J1261=1,K1261=1),AND(J1261=1,I1261="SBJ"),AND(J1261=1,I1261=0)),"?IN_FOCUS",IF(J1261&lt;=2,"?ACTIVATED",IF(J1261&lt;&gt;"","?FAMILIAR",IF(F1261="NEW",IF(ISNA(VLOOKUP(E1261,#REF!,1,FALSE())),"?TYPE_IDENTIFIABLE","?REFERENTIAL"),"_")))))</f>
        <v> </v>
      </c>
      <c r="H1261" s="25" t="str">
        <f>IF(J1261&lt;&gt;1,"",IF(I1261="SBJ","CB","?"))</f>
        <v> </v>
      </c>
      <c r="I1261" s="26" t="str">
        <f>IF(OR(E1261="",E1261="!!!",F1261="NEW"),"",INDEX(B1260:B$2,-1+SUMPRODUCT(MAX(ROW(E1260:E$2)*(E1261=E1260:E$2)))))</f>
        <v> </v>
      </c>
      <c r="J1261" s="26" t="str">
        <f>IF(OR(E1261="",E1261="!!!",F1261="NEW"),"",COUNTBLANK(OFFSET(A$1,,,SUMPRODUCT(MAX(ROW(E$2:E1261)*(E1261=E$2:E1261)))))-COUNTBLANK(OFFSET(A$1,,,SUMPRODUCT(MAX(ROW(E$1:E1260)*(E2=E$1:E1260))))))</f>
        <v> </v>
      </c>
      <c r="K1261" s="26" t="str">
        <f>IF(OR(E1261="",E1261="!!!",F1261="NEW"),"",INDEX(J$1:J1260,SUMPRODUCT(MAX(ROW(E$1:E1260)*(E1261=E$1:E1260)))))</f>
        <v> </v>
      </c>
      <c r="L1261" s="27"/>
    </row>
    <row r="1262" spans="1:12">
      <c r="A1262" s="20" t="s">
        <v>12</v>
      </c>
      <c r="E1262" s="22">
        <f>IF(D1262="?OLD","!!!","")</f>
        <v/>
      </c>
      <c r="F1262" s="23" t="str">
        <f>IF(OR(E1262="",E1262="!!!"),"",IF(NOT(ISNA(VLOOKUP(E1262,E$1:E1261,1,FALSE()))),"OLD",IF(AND(E1262&lt;&gt;"",E1262&lt;&gt;"!!!"),"NEW","")))</f>
        <v> </v>
      </c>
      <c r="G1262" s="24" t="str">
        <f>IF(OR(E1262="",E1262="!!!"),"",IF(OR(J1262=0,AND(J1262=1,K1262=1),AND(J1262=1,I1262="SBJ"),AND(J1262=1,I1262=0)),"?IN_FOCUS",IF(J1262&lt;=2,"?ACTIVATED",IF(J1262&lt;&gt;"","?FAMILIAR",IF(F1262="NEW",IF(ISNA(VLOOKUP(E1262,#REF!,1,FALSE())),"?TYPE_IDENTIFIABLE","?REFERENTIAL"),"_")))))</f>
        <v> </v>
      </c>
      <c r="H1262" s="25" t="str">
        <f>IF(J1262&lt;&gt;1,"",IF(I1262="SBJ","CB","?"))</f>
        <v> </v>
      </c>
      <c r="I1262" s="26" t="str">
        <f>IF(OR(E1262="",E1262="!!!",F1262="NEW"),"",INDEX(B1261:B$2,-1+SUMPRODUCT(MAX(ROW(E1261:E$2)*(E1262=E1261:E$2)))))</f>
        <v> </v>
      </c>
      <c r="J1262" s="26" t="str">
        <f>IF(OR(E1262="",E1262="!!!",F1262="NEW"),"",COUNTBLANK(OFFSET(A$1,,,SUMPRODUCT(MAX(ROW(E$2:E1262)*(E1262=E$2:E1262)))))-COUNTBLANK(OFFSET(A$1,,,SUMPRODUCT(MAX(ROW(E$1:E1261)*(E2=E$1:E1261))))))</f>
        <v> </v>
      </c>
      <c r="K1262" s="26" t="str">
        <f>IF(OR(E1262="",E1262="!!!",F1262="NEW"),"",INDEX(J$1:J1261,SUMPRODUCT(MAX(ROW(E$1:E1261)*(E1262=E$1:E1261)))))</f>
        <v> </v>
      </c>
      <c r="L1262" s="27"/>
    </row>
    <row r="1263" spans="1:12">
      <c r="A1263" s="20" t="s">
        <v>785</v>
      </c>
      <c r="E1263" s="22">
        <f>IF(D1263="?OLD","!!!","")</f>
        <v/>
      </c>
      <c r="F1263" s="23" t="str">
        <f>IF(OR(E1263="",E1263="!!!"),"",IF(NOT(ISNA(VLOOKUP(E1263,E$1:E1262,1,FALSE()))),"OLD",IF(AND(E1263&lt;&gt;"",E1263&lt;&gt;"!!!"),"NEW","")))</f>
        <v> </v>
      </c>
      <c r="G1263" s="24" t="str">
        <f>IF(OR(E1263="",E1263="!!!"),"",IF(OR(J1263=0,AND(J1263=1,K1263=1),AND(J1263=1,I1263="SBJ"),AND(J1263=1,I1263=0)),"?IN_FOCUS",IF(J1263&lt;=2,"?ACTIVATED",IF(J1263&lt;&gt;"","?FAMILIAR",IF(F1263="NEW",IF(ISNA(VLOOKUP(E1263,#REF!,1,FALSE())),"?TYPE_IDENTIFIABLE","?REFERENTIAL"),"_")))))</f>
        <v> </v>
      </c>
      <c r="H1263" s="25" t="str">
        <f>IF(J1263&lt;&gt;1,"",IF(I1263="SBJ","CB","?"))</f>
        <v> </v>
      </c>
      <c r="I1263" s="26" t="str">
        <f>IF(OR(E1263="",E1263="!!!",F1263="NEW"),"",INDEX(B1262:B$2,-1+SUMPRODUCT(MAX(ROW(E1262:E$2)*(E1263=E1262:E$2)))))</f>
        <v> </v>
      </c>
      <c r="J1263" s="26" t="str">
        <f>IF(OR(E1263="",E1263="!!!",F1263="NEW"),"",COUNTBLANK(OFFSET(A$1,,,SUMPRODUCT(MAX(ROW(E$2:E1263)*(E1263=E$2:E1263)))))-COUNTBLANK(OFFSET(A$1,,,SUMPRODUCT(MAX(ROW(E$1:E1262)*(E2=E$1:E1262))))))</f>
        <v> </v>
      </c>
      <c r="K1263" s="26" t="str">
        <f>IF(OR(E1263="",E1263="!!!",F1263="NEW"),"",INDEX(J$1:J1262,SUMPRODUCT(MAX(ROW(E$1:E1262)*(E1263=E$1:E1262)))))</f>
        <v> </v>
      </c>
      <c r="L1263" s="27"/>
    </row>
    <row r="1264" spans="1:12">
      <c r="A1264" s="20" t="s">
        <v>1306</v>
      </c>
      <c r="E1264" s="22">
        <f>IF(D1264="?OLD","!!!","")</f>
        <v/>
      </c>
      <c r="F1264" s="23" t="str">
        <f>IF(OR(E1264="",E1264="!!!"),"",IF(NOT(ISNA(VLOOKUP(E1264,E$1:E1263,1,FALSE()))),"OLD",IF(AND(E1264&lt;&gt;"",E1264&lt;&gt;"!!!"),"NEW","")))</f>
        <v> </v>
      </c>
      <c r="G1264" s="24" t="str">
        <f>IF(OR(E1264="",E1264="!!!"),"",IF(OR(J1264=0,AND(J1264=1,K1264=1),AND(J1264=1,I1264="SBJ"),AND(J1264=1,I1264=0)),"?IN_FOCUS",IF(J1264&lt;=2,"?ACTIVATED",IF(J1264&lt;&gt;"","?FAMILIAR",IF(F1264="NEW",IF(ISNA(VLOOKUP(E1264,#REF!,1,FALSE())),"?TYPE_IDENTIFIABLE","?REFERENTIAL"),"_")))))</f>
        <v> </v>
      </c>
      <c r="H1264" s="25" t="str">
        <f>IF(J1264&lt;&gt;1,"",IF(I1264="SBJ","CB","?"))</f>
        <v> </v>
      </c>
      <c r="I1264" s="26" t="str">
        <f>IF(OR(E1264="",E1264="!!!",F1264="NEW"),"",INDEX(B1263:B$2,-1+SUMPRODUCT(MAX(ROW(E1263:E$2)*(E1264=E1263:E$2)))))</f>
        <v> </v>
      </c>
      <c r="J1264" s="26" t="str">
        <f>IF(OR(E1264="",E1264="!!!",F1264="NEW"),"",COUNTBLANK(OFFSET(A$1,,,SUMPRODUCT(MAX(ROW(E$2:E1264)*(E1264=E$2:E1264)))))-COUNTBLANK(OFFSET(A$1,,,SUMPRODUCT(MAX(ROW(E$1:E1263)*(E2=E$1:E1263))))))</f>
        <v> </v>
      </c>
      <c r="K1264" s="26" t="str">
        <f>IF(OR(E1264="",E1264="!!!",F1264="NEW"),"",INDEX(J$1:J1263,SUMPRODUCT(MAX(ROW(E$1:E1263)*(E1264=E$1:E1263)))))</f>
        <v> </v>
      </c>
      <c r="L1264" s="27"/>
    </row>
    <row r="1265" spans="1:12">
      <c r="A1265" s="20" t="s">
        <v>12</v>
      </c>
      <c r="E1265" s="22">
        <f>IF(D1265="?OLD","!!!","")</f>
        <v/>
      </c>
      <c r="F1265" s="23" t="str">
        <f>IF(OR(E1265="",E1265="!!!"),"",IF(NOT(ISNA(VLOOKUP(E1265,E$1:E1264,1,FALSE()))),"OLD",IF(AND(E1265&lt;&gt;"",E1265&lt;&gt;"!!!"),"NEW","")))</f>
        <v> </v>
      </c>
      <c r="G1265" s="24" t="str">
        <f>IF(OR(E1265="",E1265="!!!"),"",IF(OR(J1265=0,AND(J1265=1,K1265=1),AND(J1265=1,I1265="SBJ"),AND(J1265=1,I1265=0)),"?IN_FOCUS",IF(J1265&lt;=2,"?ACTIVATED",IF(J1265&lt;&gt;"","?FAMILIAR",IF(F1265="NEW",IF(ISNA(VLOOKUP(E1265,#REF!,1,FALSE())),"?TYPE_IDENTIFIABLE","?REFERENTIAL"),"_")))))</f>
        <v> </v>
      </c>
      <c r="H1265" s="25" t="str">
        <f>IF(J1265&lt;&gt;1,"",IF(I1265="SBJ","CB","?"))</f>
        <v> </v>
      </c>
      <c r="I1265" s="26" t="str">
        <f>IF(OR(E1265="",E1265="!!!",F1265="NEW"),"",INDEX(B1264:B$2,-1+SUMPRODUCT(MAX(ROW(E1264:E$2)*(E1265=E1264:E$2)))))</f>
        <v> </v>
      </c>
      <c r="J1265" s="26" t="str">
        <f>IF(OR(E1265="",E1265="!!!",F1265="NEW"),"",COUNTBLANK(OFFSET(A$1,,,SUMPRODUCT(MAX(ROW(E$2:E1265)*(E1265=E$2:E1265)))))-COUNTBLANK(OFFSET(A$1,,,SUMPRODUCT(MAX(ROW(E$1:E1264)*(E2=E$1:E1264))))))</f>
        <v> </v>
      </c>
      <c r="K1265" s="26" t="str">
        <f>IF(OR(E1265="",E1265="!!!",F1265="NEW"),"",INDEX(J$1:J1264,SUMPRODUCT(MAX(ROW(E$1:E1264)*(E1265=E$1:E1264)))))</f>
        <v> </v>
      </c>
      <c r="L1265" s="27"/>
    </row>
    <row r="1266" spans="1:12">
      <c r="A1266" s="20" t="s">
        <v>1307</v>
      </c>
      <c r="B1266" s="21" t="s">
        <v>755</v>
      </c>
      <c r="C1266" s="21" t="s">
        <v>748</v>
      </c>
      <c r="E1266" s="22">
        <f>IF(D1266="?OLD","!!!","")</f>
        <v/>
      </c>
      <c r="F1266" s="23" t="str">
        <f>IF(OR(E1266="",E1266="!!!"),"",IF(NOT(ISNA(VLOOKUP(E1266,E$1:E1265,1,FALSE()))),"OLD",IF(AND(E1266&lt;&gt;"",E1266&lt;&gt;"!!!"),"NEW","")))</f>
        <v> </v>
      </c>
      <c r="G1266" s="24" t="str">
        <f>IF(OR(E1266="",E1266="!!!"),"",IF(OR(J1266=0,AND(J1266=1,K1266=1),AND(J1266=1,I1266="SBJ"),AND(J1266=1,I1266=0)),"?IN_FOCUS",IF(J1266&lt;=2,"?ACTIVATED",IF(J1266&lt;&gt;"","?FAMILIAR",IF(F1266="NEW",IF(ISNA(VLOOKUP(E1266,#REF!,1,FALSE())),"?TYPE_IDENTIFIABLE","?REFERENTIAL"),"_")))))</f>
        <v> </v>
      </c>
      <c r="H1266" s="25" t="str">
        <f>IF(J1266&lt;&gt;1,"",IF(I1266="SBJ","CB","?"))</f>
        <v> </v>
      </c>
      <c r="I1266" s="26" t="str">
        <f>IF(OR(E1266="",E1266="!!!",F1266="NEW"),"",INDEX(B1265:B$2,-1+SUMPRODUCT(MAX(ROW(E1265:E$2)*(E1266=E1265:E$2)))))</f>
        <v> </v>
      </c>
      <c r="J1266" s="26" t="str">
        <f>IF(OR(E1266="",E1266="!!!",F1266="NEW"),"",COUNTBLANK(OFFSET(A$1,,,SUMPRODUCT(MAX(ROW(E$2:E1266)*(E1266=E$2:E1266)))))-COUNTBLANK(OFFSET(A$1,,,SUMPRODUCT(MAX(ROW(E$1:E1265)*(E2=E$1:E1265))))))</f>
        <v> </v>
      </c>
      <c r="K1266" s="26" t="str">
        <f>IF(OR(E1266="",E1266="!!!",F1266="NEW"),"",INDEX(J$1:J1265,SUMPRODUCT(MAX(ROW(E$1:E1265)*(E1266=E$1:E1265)))))</f>
        <v> </v>
      </c>
      <c r="L1266" s="27"/>
    </row>
    <row r="1267" spans="1:12">
      <c r="A1267" s="20" t="s">
        <v>12</v>
      </c>
      <c r="E1267" s="22">
        <f>IF(D1267="?OLD","!!!","")</f>
        <v/>
      </c>
      <c r="F1267" s="23" t="str">
        <f>IF(OR(E1267="",E1267="!!!"),"",IF(NOT(ISNA(VLOOKUP(E1267,E$1:E1266,1,FALSE()))),"OLD",IF(AND(E1267&lt;&gt;"",E1267&lt;&gt;"!!!"),"NEW","")))</f>
        <v> </v>
      </c>
      <c r="G1267" s="24" t="str">
        <f>IF(OR(E1267="",E1267="!!!"),"",IF(OR(J1267=0,AND(J1267=1,K1267=1),AND(J1267=1,I1267="SBJ"),AND(J1267=1,I1267=0)),"?IN_FOCUS",IF(J1267&lt;=2,"?ACTIVATED",IF(J1267&lt;&gt;"","?FAMILIAR",IF(F1267="NEW",IF(ISNA(VLOOKUP(E1267,#REF!,1,FALSE())),"?TYPE_IDENTIFIABLE","?REFERENTIAL"),"_")))))</f>
        <v> </v>
      </c>
      <c r="H1267" s="25" t="str">
        <f>IF(J1267&lt;&gt;1,"",IF(I1267="SBJ","CB","?"))</f>
        <v> </v>
      </c>
      <c r="I1267" s="26" t="str">
        <f>IF(OR(E1267="",E1267="!!!",F1267="NEW"),"",INDEX(B1266:B$2,-1+SUMPRODUCT(MAX(ROW(E1266:E$2)*(E1267=E1266:E$2)))))</f>
        <v> </v>
      </c>
      <c r="J1267" s="26" t="str">
        <f>IF(OR(E1267="",E1267="!!!",F1267="NEW"),"",COUNTBLANK(OFFSET(A$1,,,SUMPRODUCT(MAX(ROW(E$2:E1267)*(E1267=E$2:E1267)))))-COUNTBLANK(OFFSET(A$1,,,SUMPRODUCT(MAX(ROW(E$1:E1266)*(E2=E$1:E1266))))))</f>
        <v> </v>
      </c>
      <c r="K1267" s="26" t="str">
        <f>IF(OR(E1267="",E1267="!!!",F1267="NEW"),"",INDEX(J$1:J1266,SUMPRODUCT(MAX(ROW(E$1:E1266)*(E1267=E$1:E1266)))))</f>
        <v> </v>
      </c>
      <c r="L1267" s="27"/>
    </row>
    <row r="1268" spans="1:12">
      <c r="A1268" s="20" t="s">
        <v>1308</v>
      </c>
      <c r="E1268" s="22">
        <f>IF(D1268="?OLD","!!!","")</f>
        <v/>
      </c>
      <c r="F1268" s="23" t="str">
        <f>IF(OR(E1268="",E1268="!!!"),"",IF(NOT(ISNA(VLOOKUP(E1268,E$1:E1267,1,FALSE()))),"OLD",IF(AND(E1268&lt;&gt;"",E1268&lt;&gt;"!!!"),"NEW","")))</f>
        <v> </v>
      </c>
      <c r="G1268" s="24" t="str">
        <f>IF(OR(E1268="",E1268="!!!"),"",IF(OR(J1268=0,AND(J1268=1,K1268=1),AND(J1268=1,I1268="SBJ"),AND(J1268=1,I1268=0)),"?IN_FOCUS",IF(J1268&lt;=2,"?ACTIVATED",IF(J1268&lt;&gt;"","?FAMILIAR",IF(F1268="NEW",IF(ISNA(VLOOKUP(E1268,#REF!,1,FALSE())),"?TYPE_IDENTIFIABLE","?REFERENTIAL"),"_")))))</f>
        <v> </v>
      </c>
      <c r="H1268" s="25" t="str">
        <f>IF(J1268&lt;&gt;1,"",IF(I1268="SBJ","CB","?"))</f>
        <v> </v>
      </c>
      <c r="I1268" s="26" t="str">
        <f>IF(OR(E1268="",E1268="!!!",F1268="NEW"),"",INDEX(B1267:B$2,-1+SUMPRODUCT(MAX(ROW(E1267:E$2)*(E1268=E1267:E$2)))))</f>
        <v> </v>
      </c>
      <c r="J1268" s="26" t="str">
        <f>IF(OR(E1268="",E1268="!!!",F1268="NEW"),"",COUNTBLANK(OFFSET(A$1,,,SUMPRODUCT(MAX(ROW(E$2:E1268)*(E1268=E$2:E1268)))))-COUNTBLANK(OFFSET(A$1,,,SUMPRODUCT(MAX(ROW(E$1:E1267)*(E2=E$1:E1267))))))</f>
        <v> </v>
      </c>
      <c r="K1268" s="26" t="str">
        <f>IF(OR(E1268="",E1268="!!!",F1268="NEW"),"",INDEX(J$1:J1267,SUMPRODUCT(MAX(ROW(E$1:E1267)*(E1268=E$1:E1267)))))</f>
        <v> </v>
      </c>
      <c r="L1268" s="27"/>
    </row>
    <row r="1269" spans="1:12">
      <c r="A1269" s="20" t="s">
        <v>859</v>
      </c>
      <c r="B1269" s="21" t="s">
        <v>796</v>
      </c>
      <c r="C1269" s="21" t="s">
        <v>789</v>
      </c>
      <c r="D1269" s="21" t="s">
        <v>730</v>
      </c>
      <c r="E1269" s="22">
        <f>IF(D1269="?OLD","!!!","")</f>
        <v/>
      </c>
      <c r="F1269" s="23" t="str">
        <f>IF(OR(E1269="",E1269="!!!"),"",IF(NOT(ISNA(VLOOKUP(E1269,E$1:E1268,1,FALSE()))),"OLD",IF(AND(E1269&lt;&gt;"",E1269&lt;&gt;"!!!"),"NEW","")))</f>
        <v> </v>
      </c>
      <c r="G1269" s="24" t="str">
        <f>IF(OR(E1269="",E1269="!!!"),"",IF(OR(J1269=0,AND(J1269=1,K1269=1),AND(J1269=1,I1269="SBJ"),AND(J1269=1,I1269=0)),"?IN_FOCUS",IF(J1269&lt;=2,"?ACTIVATED",IF(J1269&lt;&gt;"","?FAMILIAR",IF(F1269="NEW",IF(ISNA(VLOOKUP(E1269,#REF!,1,FALSE())),"?TYPE_IDENTIFIABLE","?REFERENTIAL"),"_")))))</f>
        <v> </v>
      </c>
      <c r="H1269" s="25" t="str">
        <f>IF(J1269&lt;&gt;1,"",IF(I1269="SBJ","CB","?"))</f>
        <v> </v>
      </c>
      <c r="I1269" s="26" t="str">
        <f>IF(OR(E1269="",E1269="!!!",F1269="NEW"),"",INDEX(B1268:B$2,-1+SUMPRODUCT(MAX(ROW(E1268:E$2)*(E1269=E1268:E$2)))))</f>
        <v> </v>
      </c>
      <c r="J1269" s="26" t="str">
        <f>IF(OR(E1269="",E1269="!!!",F1269="NEW"),"",COUNTBLANK(OFFSET(A$1,,,SUMPRODUCT(MAX(ROW(E$2:E1269)*(E1269=E$2:E1269)))))-COUNTBLANK(OFFSET(A$1,,,SUMPRODUCT(MAX(ROW(E$1:E1268)*(E2=E$1:E1268))))))</f>
        <v> </v>
      </c>
      <c r="K1269" s="26" t="str">
        <f>IF(OR(E1269="",E1269="!!!",F1269="NEW"),"",INDEX(J$1:J1268,SUMPRODUCT(MAX(ROW(E$1:E1268)*(E1269=E$1:E1268)))))</f>
        <v> </v>
      </c>
      <c r="L1269" s="27"/>
    </row>
    <row r="1270" spans="1:12">
      <c r="A1270" s="20" t="s">
        <v>813</v>
      </c>
      <c r="E1270" s="22">
        <f>IF(D1270="?OLD","!!!","")</f>
        <v/>
      </c>
      <c r="F1270" s="23" t="str">
        <f>IF(OR(E1270="",E1270="!!!"),"",IF(NOT(ISNA(VLOOKUP(E1270,E$1:E1269,1,FALSE()))),"OLD",IF(AND(E1270&lt;&gt;"",E1270&lt;&gt;"!!!"),"NEW","")))</f>
        <v> </v>
      </c>
      <c r="G1270" s="24" t="str">
        <f>IF(OR(E1270="",E1270="!!!"),"",IF(OR(J1270=0,AND(J1270=1,K1270=1),AND(J1270=1,I1270="SBJ"),AND(J1270=1,I1270=0)),"?IN_FOCUS",IF(J1270&lt;=2,"?ACTIVATED",IF(J1270&lt;&gt;"","?FAMILIAR",IF(F1270="NEW",IF(ISNA(VLOOKUP(E1270,#REF!,1,FALSE())),"?TYPE_IDENTIFIABLE","?REFERENTIAL"),"_")))))</f>
        <v> </v>
      </c>
      <c r="H1270" s="25" t="str">
        <f>IF(J1270&lt;&gt;1,"",IF(I1270="SBJ","CB","?"))</f>
        <v> </v>
      </c>
      <c r="I1270" s="26" t="str">
        <f>IF(OR(E1270="",E1270="!!!",F1270="NEW"),"",INDEX(B1269:B$2,-1+SUMPRODUCT(MAX(ROW(E1269:E$2)*(E1270=E1269:E$2)))))</f>
        <v> </v>
      </c>
      <c r="J1270" s="26" t="str">
        <f>IF(OR(E1270="",E1270="!!!",F1270="NEW"),"",COUNTBLANK(OFFSET(A$1,,,SUMPRODUCT(MAX(ROW(E$2:E1270)*(E1270=E$2:E1270)))))-COUNTBLANK(OFFSET(A$1,,,SUMPRODUCT(MAX(ROW(E$1:E1269)*(E2=E$1:E1269))))))</f>
        <v> </v>
      </c>
      <c r="K1270" s="26" t="str">
        <f>IF(OR(E1270="",E1270="!!!",F1270="NEW"),"",INDEX(J$1:J1269,SUMPRODUCT(MAX(ROW(E$1:E1269)*(E1270=E$1:E1269)))))</f>
        <v> </v>
      </c>
      <c r="L1270" s="27"/>
    </row>
    <row r="1271" spans="1:12">
      <c r="A1271" s="20" t="s">
        <v>1272</v>
      </c>
      <c r="B1271" s="21" t="s">
        <v>791</v>
      </c>
      <c r="C1271" s="21" t="s">
        <v>753</v>
      </c>
      <c r="D1271" s="21" t="s">
        <v>730</v>
      </c>
      <c r="E1271" s="22">
        <f>IF(D1271="?OLD","!!!","")</f>
        <v/>
      </c>
      <c r="F1271" s="23" t="str">
        <f>IF(OR(E1271="",E1271="!!!"),"",IF(NOT(ISNA(VLOOKUP(E1271,E$1:E1270,1,FALSE()))),"OLD",IF(AND(E1271&lt;&gt;"",E1271&lt;&gt;"!!!"),"NEW","")))</f>
        <v> </v>
      </c>
      <c r="G1271" s="24" t="str">
        <f>IF(OR(E1271="",E1271="!!!"),"",IF(OR(J1271=0,AND(J1271=1,K1271=1),AND(J1271=1,I1271="SBJ"),AND(J1271=1,I1271=0)),"?IN_FOCUS",IF(J1271&lt;=2,"?ACTIVATED",IF(J1271&lt;&gt;"","?FAMILIAR",IF(F1271="NEW",IF(ISNA(VLOOKUP(E1271,#REF!,1,FALSE())),"?TYPE_IDENTIFIABLE","?REFERENTIAL"),"_")))))</f>
        <v> </v>
      </c>
      <c r="H1271" s="25" t="str">
        <f>IF(J1271&lt;&gt;1,"",IF(I1271="SBJ","CB","?"))</f>
        <v> </v>
      </c>
      <c r="I1271" s="26" t="str">
        <f>IF(OR(E1271="",E1271="!!!",F1271="NEW"),"",INDEX(B1270:B$2,-1+SUMPRODUCT(MAX(ROW(E1270:E$2)*(E1271=E1270:E$2)))))</f>
        <v> </v>
      </c>
      <c r="J1271" s="26" t="str">
        <f>IF(OR(E1271="",E1271="!!!",F1271="NEW"),"",COUNTBLANK(OFFSET(A$1,,,SUMPRODUCT(MAX(ROW(E$2:E1271)*(E1271=E$2:E1271)))))-COUNTBLANK(OFFSET(A$1,,,SUMPRODUCT(MAX(ROW(E$1:E1270)*(E2=E$1:E1270))))))</f>
        <v> </v>
      </c>
      <c r="K1271" s="26" t="str">
        <f>IF(OR(E1271="",E1271="!!!",F1271="NEW"),"",INDEX(J$1:J1270,SUMPRODUCT(MAX(ROW(E$1:E1270)*(E1271=E$1:E1270)))))</f>
        <v> </v>
      </c>
      <c r="L1271" s="27"/>
    </row>
    <row r="1272" spans="1:12">
      <c r="A1272" s="20" t="s">
        <v>986</v>
      </c>
      <c r="E1272" s="22">
        <f>IF(D1272="?OLD","!!!","")</f>
        <v/>
      </c>
      <c r="F1272" s="23" t="str">
        <f>IF(OR(E1272="",E1272="!!!"),"",IF(NOT(ISNA(VLOOKUP(E1272,E$1:E1271,1,FALSE()))),"OLD",IF(AND(E1272&lt;&gt;"",E1272&lt;&gt;"!!!"),"NEW","")))</f>
        <v> </v>
      </c>
      <c r="G1272" s="24" t="str">
        <f>IF(OR(E1272="",E1272="!!!"),"",IF(OR(J1272=0,AND(J1272=1,K1272=1),AND(J1272=1,I1272="SBJ"),AND(J1272=1,I1272=0)),"?IN_FOCUS",IF(J1272&lt;=2,"?ACTIVATED",IF(J1272&lt;&gt;"","?FAMILIAR",IF(F1272="NEW",IF(ISNA(VLOOKUP(E1272,#REF!,1,FALSE())),"?TYPE_IDENTIFIABLE","?REFERENTIAL"),"_")))))</f>
        <v> </v>
      </c>
      <c r="H1272" s="25" t="str">
        <f>IF(J1272&lt;&gt;1,"",IF(I1272="SBJ","CB","?"))</f>
        <v> </v>
      </c>
      <c r="I1272" s="26" t="str">
        <f>IF(OR(E1272="",E1272="!!!",F1272="NEW"),"",INDEX(B1271:B$2,-1+SUMPRODUCT(MAX(ROW(E1271:E$2)*(E1272=E1271:E$2)))))</f>
        <v> </v>
      </c>
      <c r="J1272" s="26" t="str">
        <f>IF(OR(E1272="",E1272="!!!",F1272="NEW"),"",COUNTBLANK(OFFSET(A$1,,,SUMPRODUCT(MAX(ROW(E$2:E1272)*(E1272=E$2:E1272)))))-COUNTBLANK(OFFSET(A$1,,,SUMPRODUCT(MAX(ROW(E$1:E1271)*(E2=E$1:E1271))))))</f>
        <v> </v>
      </c>
      <c r="K1272" s="26" t="str">
        <f>IF(OR(E1272="",E1272="!!!",F1272="NEW"),"",INDEX(J$1:J1271,SUMPRODUCT(MAX(ROW(E$1:E1271)*(E1272=E$1:E1271)))))</f>
        <v> </v>
      </c>
      <c r="L1272" s="27"/>
    </row>
    <row r="1273" spans="1:12">
      <c r="A1273" s="20" t="s">
        <v>1309</v>
      </c>
      <c r="E1273" s="22">
        <f>IF(D1273="?OLD","!!!","")</f>
        <v/>
      </c>
      <c r="F1273" s="23" t="str">
        <f>IF(OR(E1273="",E1273="!!!"),"",IF(NOT(ISNA(VLOOKUP(E1273,E$1:E1272,1,FALSE()))),"OLD",IF(AND(E1273&lt;&gt;"",E1273&lt;&gt;"!!!"),"NEW","")))</f>
        <v> </v>
      </c>
      <c r="G1273" s="24" t="str">
        <f>IF(OR(E1273="",E1273="!!!"),"",IF(OR(J1273=0,AND(J1273=1,K1273=1),AND(J1273=1,I1273="SBJ"),AND(J1273=1,I1273=0)),"?IN_FOCUS",IF(J1273&lt;=2,"?ACTIVATED",IF(J1273&lt;&gt;"","?FAMILIAR",IF(F1273="NEW",IF(ISNA(VLOOKUP(E1273,#REF!,1,FALSE())),"?TYPE_IDENTIFIABLE","?REFERENTIAL"),"_")))))</f>
        <v> </v>
      </c>
      <c r="H1273" s="25" t="str">
        <f>IF(J1273&lt;&gt;1,"",IF(I1273="SBJ","CB","?"))</f>
        <v> </v>
      </c>
      <c r="I1273" s="26" t="str">
        <f>IF(OR(E1273="",E1273="!!!",F1273="NEW"),"",INDEX(B1272:B$2,-1+SUMPRODUCT(MAX(ROW(E1272:E$2)*(E1273=E1272:E$2)))))</f>
        <v> </v>
      </c>
      <c r="J1273" s="26" t="str">
        <f>IF(OR(E1273="",E1273="!!!",F1273="NEW"),"",COUNTBLANK(OFFSET(A$1,,,SUMPRODUCT(MAX(ROW(E$2:E1273)*(E1273=E$2:E1273)))))-COUNTBLANK(OFFSET(A$1,,,SUMPRODUCT(MAX(ROW(E$1:E1272)*(E2=E$1:E1272))))))</f>
        <v> </v>
      </c>
      <c r="K1273" s="26" t="str">
        <f>IF(OR(E1273="",E1273="!!!",F1273="NEW"),"",INDEX(J$1:J1272,SUMPRODUCT(MAX(ROW(E$1:E1272)*(E1273=E$1:E1272)))))</f>
        <v> </v>
      </c>
      <c r="L1273" s="27"/>
    </row>
    <row r="1274" spans="1:12">
      <c r="A1274" s="20" t="s">
        <v>1310</v>
      </c>
      <c r="E1274" s="22">
        <f>IF(D1274="?OLD","!!!","")</f>
        <v/>
      </c>
      <c r="F1274" s="23" t="str">
        <f>IF(OR(E1274="",E1274="!!!"),"",IF(NOT(ISNA(VLOOKUP(E1274,E$1:E1273,1,FALSE()))),"OLD",IF(AND(E1274&lt;&gt;"",E1274&lt;&gt;"!!!"),"NEW","")))</f>
        <v> </v>
      </c>
      <c r="G1274" s="24" t="str">
        <f>IF(OR(E1274="",E1274="!!!"),"",IF(OR(J1274=0,AND(J1274=1,K1274=1),AND(J1274=1,I1274="SBJ"),AND(J1274=1,I1274=0)),"?IN_FOCUS",IF(J1274&lt;=2,"?ACTIVATED",IF(J1274&lt;&gt;"","?FAMILIAR",IF(F1274="NEW",IF(ISNA(VLOOKUP(E1274,#REF!,1,FALSE())),"?TYPE_IDENTIFIABLE","?REFERENTIAL"),"_")))))</f>
        <v> </v>
      </c>
      <c r="H1274" s="25" t="str">
        <f>IF(J1274&lt;&gt;1,"",IF(I1274="SBJ","CB","?"))</f>
        <v> </v>
      </c>
      <c r="I1274" s="26" t="str">
        <f>IF(OR(E1274="",E1274="!!!",F1274="NEW"),"",INDEX(B1273:B$2,-1+SUMPRODUCT(MAX(ROW(E1273:E$2)*(E1274=E1273:E$2)))))</f>
        <v> </v>
      </c>
      <c r="J1274" s="26" t="str">
        <f>IF(OR(E1274="",E1274="!!!",F1274="NEW"),"",COUNTBLANK(OFFSET(A$1,,,SUMPRODUCT(MAX(ROW(E$2:E1274)*(E1274=E$2:E1274)))))-COUNTBLANK(OFFSET(A$1,,,SUMPRODUCT(MAX(ROW(E$1:E1273)*(E2=E$1:E1273))))))</f>
        <v> </v>
      </c>
      <c r="K1274" s="26" t="str">
        <f>IF(OR(E1274="",E1274="!!!",F1274="NEW"),"",INDEX(J$1:J1273,SUMPRODUCT(MAX(ROW(E$1:E1273)*(E1274=E$1:E1273)))))</f>
        <v> </v>
      </c>
      <c r="L1274" s="27"/>
    </row>
    <row r="1275" spans="1:12">
      <c r="A1275" s="20" t="s">
        <v>1252</v>
      </c>
      <c r="E1275" s="22">
        <f>IF(D1275="?OLD","!!!","")</f>
        <v/>
      </c>
      <c r="F1275" s="23" t="str">
        <f>IF(OR(E1275="",E1275="!!!"),"",IF(NOT(ISNA(VLOOKUP(E1275,E$1:E1274,1,FALSE()))),"OLD",IF(AND(E1275&lt;&gt;"",E1275&lt;&gt;"!!!"),"NEW","")))</f>
        <v> </v>
      </c>
      <c r="G1275" s="24" t="str">
        <f>IF(OR(E1275="",E1275="!!!"),"",IF(OR(J1275=0,AND(J1275=1,K1275=1),AND(J1275=1,I1275="SBJ"),AND(J1275=1,I1275=0)),"?IN_FOCUS",IF(J1275&lt;=2,"?ACTIVATED",IF(J1275&lt;&gt;"","?FAMILIAR",IF(F1275="NEW",IF(ISNA(VLOOKUP(E1275,#REF!,1,FALSE())),"?TYPE_IDENTIFIABLE","?REFERENTIAL"),"_")))))</f>
        <v> </v>
      </c>
      <c r="H1275" s="25" t="str">
        <f>IF(J1275&lt;&gt;1,"",IF(I1275="SBJ","CB","?"))</f>
        <v> </v>
      </c>
      <c r="I1275" s="26" t="str">
        <f>IF(OR(E1275="",E1275="!!!",F1275="NEW"),"",INDEX(B1274:B$2,-1+SUMPRODUCT(MAX(ROW(E1274:E$2)*(E1275=E1274:E$2)))))</f>
        <v> </v>
      </c>
      <c r="J1275" s="26" t="str">
        <f>IF(OR(E1275="",E1275="!!!",F1275="NEW"),"",COUNTBLANK(OFFSET(A$1,,,SUMPRODUCT(MAX(ROW(E$2:E1275)*(E1275=E$2:E1275)))))-COUNTBLANK(OFFSET(A$1,,,SUMPRODUCT(MAX(ROW(E$1:E1274)*(E2=E$1:E1274))))))</f>
        <v> </v>
      </c>
      <c r="K1275" s="26" t="str">
        <f>IF(OR(E1275="",E1275="!!!",F1275="NEW"),"",INDEX(J$1:J1274,SUMPRODUCT(MAX(ROW(E$1:E1274)*(E1275=E$1:E1274)))))</f>
        <v> </v>
      </c>
      <c r="L1275" s="27"/>
    </row>
    <row r="1276" spans="1:12">
      <c r="A1276" s="20" t="s">
        <v>12</v>
      </c>
      <c r="E1276" s="22">
        <f>IF(D1276="?OLD","!!!","")</f>
        <v/>
      </c>
      <c r="F1276" s="23" t="str">
        <f>IF(OR(E1276="",E1276="!!!"),"",IF(NOT(ISNA(VLOOKUP(E1276,E$1:E1275,1,FALSE()))),"OLD",IF(AND(E1276&lt;&gt;"",E1276&lt;&gt;"!!!"),"NEW","")))</f>
        <v> </v>
      </c>
      <c r="G1276" s="24" t="str">
        <f>IF(OR(E1276="",E1276="!!!"),"",IF(OR(J1276=0,AND(J1276=1,K1276=1),AND(J1276=1,I1276="SBJ"),AND(J1276=1,I1276=0)),"?IN_FOCUS",IF(J1276&lt;=2,"?ACTIVATED",IF(J1276&lt;&gt;"","?FAMILIAR",IF(F1276="NEW",IF(ISNA(VLOOKUP(E1276,#REF!,1,FALSE())),"?TYPE_IDENTIFIABLE","?REFERENTIAL"),"_")))))</f>
        <v> </v>
      </c>
      <c r="H1276" s="25" t="str">
        <f>IF(J1276&lt;&gt;1,"",IF(I1276="SBJ","CB","?"))</f>
        <v> </v>
      </c>
      <c r="I1276" s="26" t="str">
        <f>IF(OR(E1276="",E1276="!!!",F1276="NEW"),"",INDEX(B1275:B$2,-1+SUMPRODUCT(MAX(ROW(E1275:E$2)*(E1276=E1275:E$2)))))</f>
        <v> </v>
      </c>
      <c r="J1276" s="26" t="str">
        <f>IF(OR(E1276="",E1276="!!!",F1276="NEW"),"",COUNTBLANK(OFFSET(A$1,,,SUMPRODUCT(MAX(ROW(E$2:E1276)*(E1276=E$2:E1276)))))-COUNTBLANK(OFFSET(A$1,,,SUMPRODUCT(MAX(ROW(E$1:E1275)*(E2=E$1:E1275))))))</f>
        <v> </v>
      </c>
      <c r="K1276" s="26" t="str">
        <f>IF(OR(E1276="",E1276="!!!",F1276="NEW"),"",INDEX(J$1:J1275,SUMPRODUCT(MAX(ROW(E$1:E1275)*(E1276=E$1:E1275)))))</f>
        <v> </v>
      </c>
      <c r="L1276" s="27"/>
    </row>
    <row r="1277" spans="1:12">
      <c r="A1277" s="20" t="s">
        <v>754</v>
      </c>
      <c r="E1277" s="22">
        <f>IF(D1277="?OLD","!!!","")</f>
        <v/>
      </c>
      <c r="F1277" s="23" t="str">
        <f>IF(OR(E1277="",E1277="!!!"),"",IF(NOT(ISNA(VLOOKUP(E1277,E$1:E1276,1,FALSE()))),"OLD",IF(AND(E1277&lt;&gt;"",E1277&lt;&gt;"!!!"),"NEW","")))</f>
        <v> </v>
      </c>
      <c r="G1277" s="24" t="str">
        <f>IF(OR(E1277="",E1277="!!!"),"",IF(OR(J1277=0,AND(J1277=1,K1277=1),AND(J1277=1,I1277="SBJ"),AND(J1277=1,I1277=0)),"?IN_FOCUS",IF(J1277&lt;=2,"?ACTIVATED",IF(J1277&lt;&gt;"","?FAMILIAR",IF(F1277="NEW",IF(ISNA(VLOOKUP(E1277,#REF!,1,FALSE())),"?TYPE_IDENTIFIABLE","?REFERENTIAL"),"_")))))</f>
        <v> </v>
      </c>
      <c r="H1277" s="25" t="str">
        <f>IF(J1277&lt;&gt;1,"",IF(I1277="SBJ","CB","?"))</f>
        <v> </v>
      </c>
      <c r="I1277" s="26" t="str">
        <f>IF(OR(E1277="",E1277="!!!",F1277="NEW"),"",INDEX(B1276:B$2,-1+SUMPRODUCT(MAX(ROW(E1276:E$2)*(E1277=E1276:E$2)))))</f>
        <v> </v>
      </c>
      <c r="J1277" s="26" t="str">
        <f>IF(OR(E1277="",E1277="!!!",F1277="NEW"),"",COUNTBLANK(OFFSET(A$1,,,SUMPRODUCT(MAX(ROW(E$2:E1277)*(E1277=E$2:E1277)))))-COUNTBLANK(OFFSET(A$1,,,SUMPRODUCT(MAX(ROW(E$1:E1276)*(E2=E$1:E1276))))))</f>
        <v> </v>
      </c>
      <c r="K1277" s="26" t="str">
        <f>IF(OR(E1277="",E1277="!!!",F1277="NEW"),"",INDEX(J$1:J1276,SUMPRODUCT(MAX(ROW(E$1:E1276)*(E1277=E$1:E1276)))))</f>
        <v> </v>
      </c>
      <c r="L1277" s="27"/>
    </row>
    <row r="1278" spans="1:12">
      <c r="A1278" s="20" t="s">
        <v>1311</v>
      </c>
      <c r="E1278" s="22">
        <f>IF(D1278="?OLD","!!!","")</f>
        <v/>
      </c>
      <c r="F1278" s="23" t="str">
        <f>IF(OR(E1278="",E1278="!!!"),"",IF(NOT(ISNA(VLOOKUP(E1278,E$1:E1277,1,FALSE()))),"OLD",IF(AND(E1278&lt;&gt;"",E1278&lt;&gt;"!!!"),"NEW","")))</f>
        <v> </v>
      </c>
      <c r="G1278" s="24" t="str">
        <f>IF(OR(E1278="",E1278="!!!"),"",IF(OR(J1278=0,AND(J1278=1,K1278=1),AND(J1278=1,I1278="SBJ"),AND(J1278=1,I1278=0)),"?IN_FOCUS",IF(J1278&lt;=2,"?ACTIVATED",IF(J1278&lt;&gt;"","?FAMILIAR",IF(F1278="NEW",IF(ISNA(VLOOKUP(E1278,#REF!,1,FALSE())),"?TYPE_IDENTIFIABLE","?REFERENTIAL"),"_")))))</f>
        <v> </v>
      </c>
      <c r="H1278" s="25" t="str">
        <f>IF(J1278&lt;&gt;1,"",IF(I1278="SBJ","CB","?"))</f>
        <v> </v>
      </c>
      <c r="I1278" s="26" t="str">
        <f>IF(OR(E1278="",E1278="!!!",F1278="NEW"),"",INDEX(B1277:B$2,-1+SUMPRODUCT(MAX(ROW(E1277:E$2)*(E1278=E1277:E$2)))))</f>
        <v> </v>
      </c>
      <c r="J1278" s="26" t="str">
        <f>IF(OR(E1278="",E1278="!!!",F1278="NEW"),"",COUNTBLANK(OFFSET(A$1,,,SUMPRODUCT(MAX(ROW(E$2:E1278)*(E1278=E$2:E1278)))))-COUNTBLANK(OFFSET(A$1,,,SUMPRODUCT(MAX(ROW(E$1:E1277)*(E2=E$1:E1277))))))</f>
        <v> </v>
      </c>
      <c r="K1278" s="26" t="str">
        <f>IF(OR(E1278="",E1278="!!!",F1278="NEW"),"",INDEX(J$1:J1277,SUMPRODUCT(MAX(ROW(E$1:E1277)*(E1278=E$1:E1277)))))</f>
        <v> </v>
      </c>
      <c r="L1278" s="27"/>
    </row>
    <row r="1279" spans="1:12">
      <c r="A1279" s="20" t="s">
        <v>1312</v>
      </c>
      <c r="E1279" s="22">
        <f>IF(D1279="?OLD","!!!","")</f>
        <v/>
      </c>
      <c r="F1279" s="23" t="str">
        <f>IF(OR(E1279="",E1279="!!!"),"",IF(NOT(ISNA(VLOOKUP(E1279,E$1:E1278,1,FALSE()))),"OLD",IF(AND(E1279&lt;&gt;"",E1279&lt;&gt;"!!!"),"NEW","")))</f>
        <v> </v>
      </c>
      <c r="G1279" s="24" t="str">
        <f>IF(OR(E1279="",E1279="!!!"),"",IF(OR(J1279=0,AND(J1279=1,K1279=1),AND(J1279=1,I1279="SBJ"),AND(J1279=1,I1279=0)),"?IN_FOCUS",IF(J1279&lt;=2,"?ACTIVATED",IF(J1279&lt;&gt;"","?FAMILIAR",IF(F1279="NEW",IF(ISNA(VLOOKUP(E1279,#REF!,1,FALSE())),"?TYPE_IDENTIFIABLE","?REFERENTIAL"),"_")))))</f>
        <v> </v>
      </c>
      <c r="H1279" s="25" t="str">
        <f>IF(J1279&lt;&gt;1,"",IF(I1279="SBJ","CB","?"))</f>
        <v> </v>
      </c>
      <c r="I1279" s="26" t="str">
        <f>IF(OR(E1279="",E1279="!!!",F1279="NEW"),"",INDEX(B1278:B$2,-1+SUMPRODUCT(MAX(ROW(E1278:E$2)*(E1279=E1278:E$2)))))</f>
        <v> </v>
      </c>
      <c r="J1279" s="26" t="str">
        <f>IF(OR(E1279="",E1279="!!!",F1279="NEW"),"",COUNTBLANK(OFFSET(A$1,,,SUMPRODUCT(MAX(ROW(E$2:E1279)*(E1279=E$2:E1279)))))-COUNTBLANK(OFFSET(A$1,,,SUMPRODUCT(MAX(ROW(E$1:E1278)*(E2=E$1:E1278))))))</f>
        <v> </v>
      </c>
      <c r="K1279" s="26" t="str">
        <f>IF(OR(E1279="",E1279="!!!",F1279="NEW"),"",INDEX(J$1:J1278,SUMPRODUCT(MAX(ROW(E$1:E1278)*(E1279=E$1:E1278)))))</f>
        <v> </v>
      </c>
      <c r="L1279" s="27"/>
    </row>
    <row r="1280" spans="1:12">
      <c r="A1280" s="20" t="s">
        <v>246</v>
      </c>
      <c r="E1280" s="22">
        <f>IF(D1280="?OLD","!!!","")</f>
        <v/>
      </c>
      <c r="F1280" s="23" t="str">
        <f>IF(OR(E1280="",E1280="!!!"),"",IF(NOT(ISNA(VLOOKUP(E1280,E$1:E1279,1,FALSE()))),"OLD",IF(AND(E1280&lt;&gt;"",E1280&lt;&gt;"!!!"),"NEW","")))</f>
        <v> </v>
      </c>
      <c r="G1280" s="24" t="str">
        <f>IF(OR(E1280="",E1280="!!!"),"",IF(OR(J1280=0,AND(J1280=1,K1280=1),AND(J1280=1,I1280="SBJ"),AND(J1280=1,I1280=0)),"?IN_FOCUS",IF(J1280&lt;=2,"?ACTIVATED",IF(J1280&lt;&gt;"","?FAMILIAR",IF(F1280="NEW",IF(ISNA(VLOOKUP(E1280,#REF!,1,FALSE())),"?TYPE_IDENTIFIABLE","?REFERENTIAL"),"_")))))</f>
        <v> </v>
      </c>
      <c r="H1280" s="25" t="str">
        <f>IF(J1280&lt;&gt;1,"",IF(I1280="SBJ","CB","?"))</f>
        <v> </v>
      </c>
      <c r="I1280" s="26" t="str">
        <f>IF(OR(E1280="",E1280="!!!",F1280="NEW"),"",INDEX(B1279:B$2,-1+SUMPRODUCT(MAX(ROW(E1279:E$2)*(E1280=E1279:E$2)))))</f>
        <v> </v>
      </c>
      <c r="J1280" s="26" t="str">
        <f>IF(OR(E1280="",E1280="!!!",F1280="NEW"),"",COUNTBLANK(OFFSET(A$1,,,SUMPRODUCT(MAX(ROW(E$2:E1280)*(E1280=E$2:E1280)))))-COUNTBLANK(OFFSET(A$1,,,SUMPRODUCT(MAX(ROW(E$1:E1279)*(E2=E$1:E1279))))))</f>
        <v> </v>
      </c>
      <c r="K1280" s="26" t="str">
        <f>IF(OR(E1280="",E1280="!!!",F1280="NEW"),"",INDEX(J$1:J1279,SUMPRODUCT(MAX(ROW(E$1:E1279)*(E1280=E$1:E1279)))))</f>
        <v> </v>
      </c>
      <c r="L1280" s="27"/>
    </row>
    <row r="1281" spans="1:12">
      <c r="A1281" s="20"/>
    </row>
    <row r="1282" spans="1:12">
      <c r="A1282" s="20" t="s">
        <v>798</v>
      </c>
      <c r="E1282" s="22">
        <f>IF(D1282="?OLD","!!!","")</f>
        <v/>
      </c>
      <c r="F1282" s="23" t="str">
        <f>IF(OR(E1282="",E1282="!!!"),"",IF(NOT(ISNA(VLOOKUP(E1282,E$1:E1281,1,FALSE()))),"OLD",IF(AND(E1282&lt;&gt;"",E1282&lt;&gt;"!!!"),"NEW","")))</f>
        <v> </v>
      </c>
      <c r="G1282" s="24" t="str">
        <f>IF(OR(E1282="",E1282="!!!"),"",IF(OR(J1282=0,AND(J1282=1,K1282=1),AND(J1282=1,I1282="SBJ"),AND(J1282=1,I1282=0)),"?IN_FOCUS",IF(J1282&lt;=2,"?ACTIVATED",IF(J1282&lt;&gt;"","?FAMILIAR",IF(F1282="NEW",IF(ISNA(VLOOKUP(E1282,#REF!,1,FALSE())),"?TYPE_IDENTIFIABLE","?REFERENTIAL"),"_")))))</f>
        <v> </v>
      </c>
      <c r="H1282" s="25" t="str">
        <f>IF(J1282&lt;&gt;1,"",IF(I1282="SBJ","CB","?"))</f>
        <v> </v>
      </c>
      <c r="I1282" s="26" t="str">
        <f>IF(OR(E1282="",E1282="!!!",F1282="NEW"),"",INDEX(B1281:B$2,-1+SUMPRODUCT(MAX(ROW(E1281:E$2)*(E1282=E1281:E$2)))))</f>
        <v> </v>
      </c>
      <c r="J1282" s="26" t="str">
        <f>IF(OR(E1282="",E1282="!!!",F1282="NEW"),"",COUNTBLANK(OFFSET(A$1,,,SUMPRODUCT(MAX(ROW(E$2:E1282)*(E1282=E$2:E1282)))))-COUNTBLANK(OFFSET(A$1,,,SUMPRODUCT(MAX(ROW(E$1:E1281)*(E2=E$1:E1281))))))</f>
        <v> </v>
      </c>
      <c r="K1282" s="26" t="str">
        <f>IF(OR(E1282="",E1282="!!!",F1282="NEW"),"",INDEX(J$1:J1281,SUMPRODUCT(MAX(ROW(E$1:E1281)*(E1282=E$1:E1281)))))</f>
        <v> </v>
      </c>
      <c r="L1282" s="27"/>
    </row>
    <row r="1283" spans="1:12">
      <c r="A1283" s="20" t="s">
        <v>1313</v>
      </c>
    </row>
    <row r="1284" spans="1:12">
      <c r="A1284" s="20" t="s">
        <v>727</v>
      </c>
      <c r="B1284" s="21" t="s">
        <v>728</v>
      </c>
      <c r="C1284" s="21" t="s">
        <v>729</v>
      </c>
      <c r="D1284" s="21" t="s">
        <v>730</v>
      </c>
      <c r="E1284" s="22">
        <f>IF(D1284="?OLD","!!!","")</f>
        <v/>
      </c>
      <c r="F1284" s="23" t="str">
        <f>IF(OR(E1284="",E1284="!!!"),"",IF(NOT(ISNA(VLOOKUP(E1284,E$1:E1283,1,FALSE()))),"OLD",IF(AND(E1284&lt;&gt;"",E1284&lt;&gt;"!!!"),"NEW","")))</f>
        <v> </v>
      </c>
      <c r="G1284" s="24" t="str">
        <f>IF(OR(E1284="",E1284="!!!"),"",IF(OR(J1284=0,AND(J1284=1,K1284=1),AND(J1284=1,I1284="SBJ"),AND(J1284=1,I1284=0)),"?IN_FOCUS",IF(J1284&lt;=2,"?ACTIVATED",IF(J1284&lt;&gt;"","?FAMILIAR",IF(F1284="NEW",IF(ISNA(VLOOKUP(E1284,#REF!,1,FALSE())),"?TYPE_IDENTIFIABLE","?REFERENTIAL"),"_")))))</f>
        <v> </v>
      </c>
      <c r="H1284" s="25" t="str">
        <f>IF(J1284&lt;&gt;1,"",IF(I1284="SBJ","CB","?"))</f>
        <v> </v>
      </c>
      <c r="I1284" s="26" t="str">
        <f>IF(OR(E1284="",E1284="!!!",F1284="NEW"),"",INDEX(B1283:B$2,-1+SUMPRODUCT(MAX(ROW(E1283:E$2)*(E1284=E1283:E$2)))))</f>
        <v> </v>
      </c>
      <c r="J1284" s="26" t="str">
        <f>IF(OR(E1284="",E1284="!!!",F1284="NEW"),"",COUNTBLANK(OFFSET(A$1,,,SUMPRODUCT(MAX(ROW(E$2:E1284)*(E1284=E$2:E1284)))))-COUNTBLANK(OFFSET(A$1,,,SUMPRODUCT(MAX(ROW(E$1:E1283)*(E2=E$1:E1283))))))</f>
        <v> </v>
      </c>
      <c r="K1284" s="26" t="str">
        <f>IF(OR(E1284="",E1284="!!!",F1284="NEW"),"",INDEX(J$1:J1283,SUMPRODUCT(MAX(ROW(E$1:E1283)*(E1284=E$1:E1283)))))</f>
        <v> </v>
      </c>
      <c r="L1284" s="27"/>
    </row>
    <row r="1285" spans="1:12">
      <c r="A1285" s="20" t="s">
        <v>1001</v>
      </c>
      <c r="E1285" s="22">
        <f>IF(D1285="?OLD","!!!","")</f>
        <v/>
      </c>
      <c r="F1285" s="23" t="str">
        <f>IF(OR(E1285="",E1285="!!!"),"",IF(NOT(ISNA(VLOOKUP(E1285,E$1:E1284,1,FALSE()))),"OLD",IF(AND(E1285&lt;&gt;"",E1285&lt;&gt;"!!!"),"NEW","")))</f>
        <v> </v>
      </c>
      <c r="G1285" s="24" t="str">
        <f>IF(OR(E1285="",E1285="!!!"),"",IF(OR(J1285=0,AND(J1285=1,K1285=1),AND(J1285=1,I1285="SBJ"),AND(J1285=1,I1285=0)),"?IN_FOCUS",IF(J1285&lt;=2,"?ACTIVATED",IF(J1285&lt;&gt;"","?FAMILIAR",IF(F1285="NEW",IF(ISNA(VLOOKUP(E1285,#REF!,1,FALSE())),"?TYPE_IDENTIFIABLE","?REFERENTIAL"),"_")))))</f>
        <v> </v>
      </c>
      <c r="H1285" s="25" t="str">
        <f>IF(J1285&lt;&gt;1,"",IF(I1285="SBJ","CB","?"))</f>
        <v> </v>
      </c>
      <c r="I1285" s="26" t="str">
        <f>IF(OR(E1285="",E1285="!!!",F1285="NEW"),"",INDEX(B1284:B$2,-1+SUMPRODUCT(MAX(ROW(E1284:E$2)*(E1285=E1284:E$2)))))</f>
        <v> </v>
      </c>
      <c r="J1285" s="26" t="str">
        <f>IF(OR(E1285="",E1285="!!!",F1285="NEW"),"",COUNTBLANK(OFFSET(A$1,,,SUMPRODUCT(MAX(ROW(E$2:E1285)*(E1285=E$2:E1285)))))-COUNTBLANK(OFFSET(A$1,,,SUMPRODUCT(MAX(ROW(E$1:E1284)*(E2=E$1:E1284))))))</f>
        <v> </v>
      </c>
      <c r="K1285" s="26" t="str">
        <f>IF(OR(E1285="",E1285="!!!",F1285="NEW"),"",INDEX(J$1:J1284,SUMPRODUCT(MAX(ROW(E$1:E1284)*(E1285=E$1:E1284)))))</f>
        <v> </v>
      </c>
      <c r="L1285" s="27"/>
    </row>
    <row r="1286" spans="1:12">
      <c r="A1286" s="20" t="s">
        <v>1314</v>
      </c>
      <c r="B1286" s="21" t="s">
        <v>739</v>
      </c>
      <c r="C1286" s="21" t="s">
        <v>801</v>
      </c>
      <c r="D1286" s="21" t="s">
        <v>730</v>
      </c>
      <c r="E1286" s="22">
        <f>IF(D1286="?OLD","!!!","")</f>
        <v/>
      </c>
      <c r="F1286" s="23" t="str">
        <f>IF(OR(E1286="",E1286="!!!"),"",IF(NOT(ISNA(VLOOKUP(E1286,E$1:E1285,1,FALSE()))),"OLD",IF(AND(E1286&lt;&gt;"",E1286&lt;&gt;"!!!"),"NEW","")))</f>
        <v> </v>
      </c>
      <c r="G1286" s="24" t="str">
        <f>IF(OR(E1286="",E1286="!!!"),"",IF(OR(J1286=0,AND(J1286=1,K1286=1),AND(J1286=1,I1286="SBJ"),AND(J1286=1,I1286=0)),"?IN_FOCUS",IF(J1286&lt;=2,"?ACTIVATED",IF(J1286&lt;&gt;"","?FAMILIAR",IF(F1286="NEW",IF(ISNA(VLOOKUP(E1286,#REF!,1,FALSE())),"?TYPE_IDENTIFIABLE","?REFERENTIAL"),"_")))))</f>
        <v> </v>
      </c>
      <c r="H1286" s="25" t="str">
        <f>IF(J1286&lt;&gt;1,"",IF(I1286="SBJ","CB","?"))</f>
        <v> </v>
      </c>
      <c r="I1286" s="26" t="str">
        <f>IF(OR(E1286="",E1286="!!!",F1286="NEW"),"",INDEX(B1285:B$2,-1+SUMPRODUCT(MAX(ROW(E1285:E$2)*(E1286=E1285:E$2)))))</f>
        <v> </v>
      </c>
      <c r="J1286" s="26" t="str">
        <f>IF(OR(E1286="",E1286="!!!",F1286="NEW"),"",COUNTBLANK(OFFSET(A$1,,,SUMPRODUCT(MAX(ROW(E$2:E1286)*(E1286=E$2:E1286)))))-COUNTBLANK(OFFSET(A$1,,,SUMPRODUCT(MAX(ROW(E$1:E1285)*(E2=E$1:E1285))))))</f>
        <v> </v>
      </c>
      <c r="K1286" s="26" t="str">
        <f>IF(OR(E1286="",E1286="!!!",F1286="NEW"),"",INDEX(J$1:J1285,SUMPRODUCT(MAX(ROW(E$1:E1285)*(E1286=E$1:E1285)))))</f>
        <v> </v>
      </c>
      <c r="L1286" s="27"/>
    </row>
    <row r="1287" spans="1:12">
      <c r="A1287" s="20" t="s">
        <v>1315</v>
      </c>
      <c r="B1287" s="21" t="s">
        <v>764</v>
      </c>
      <c r="C1287" s="21" t="s">
        <v>802</v>
      </c>
      <c r="D1287" s="21" t="s">
        <v>730</v>
      </c>
      <c r="E1287" s="22">
        <f>IF(D1287="?OLD","!!!","")</f>
        <v/>
      </c>
      <c r="F1287" s="23" t="str">
        <f>IF(OR(E1287="",E1287="!!!"),"",IF(NOT(ISNA(VLOOKUP(E1287,E$1:E1286,1,FALSE()))),"OLD",IF(AND(E1287&lt;&gt;"",E1287&lt;&gt;"!!!"),"NEW","")))</f>
        <v> </v>
      </c>
      <c r="G1287" s="24" t="str">
        <f>IF(OR(E1287="",E1287="!!!"),"",IF(OR(J1287=0,AND(J1287=1,K1287=1),AND(J1287=1,I1287="SBJ"),AND(J1287=1,I1287=0)),"?IN_FOCUS",IF(J1287&lt;=2,"?ACTIVATED",IF(J1287&lt;&gt;"","?FAMILIAR",IF(F1287="NEW",IF(ISNA(VLOOKUP(E1287,#REF!,1,FALSE())),"?TYPE_IDENTIFIABLE","?REFERENTIAL"),"_")))))</f>
        <v> </v>
      </c>
      <c r="H1287" s="25" t="str">
        <f>IF(J1287&lt;&gt;1,"",IF(I1287="SBJ","CB","?"))</f>
        <v> </v>
      </c>
      <c r="I1287" s="26" t="str">
        <f>IF(OR(E1287="",E1287="!!!",F1287="NEW"),"",INDEX(B1286:B$2,-1+SUMPRODUCT(MAX(ROW(E1286:E$2)*(E1287=E1286:E$2)))))</f>
        <v> </v>
      </c>
      <c r="J1287" s="26" t="str">
        <f>IF(OR(E1287="",E1287="!!!",F1287="NEW"),"",COUNTBLANK(OFFSET(A$1,,,SUMPRODUCT(MAX(ROW(E$2:E1287)*(E1287=E$2:E1287)))))-COUNTBLANK(OFFSET(A$1,,,SUMPRODUCT(MAX(ROW(E$1:E1286)*(E2=E$1:E1286))))))</f>
        <v> </v>
      </c>
      <c r="K1287" s="26" t="str">
        <f>IF(OR(E1287="",E1287="!!!",F1287="NEW"),"",INDEX(J$1:J1286,SUMPRODUCT(MAX(ROW(E$1:E1286)*(E1287=E$1:E1286)))))</f>
        <v> </v>
      </c>
      <c r="L1287" s="27"/>
    </row>
    <row r="1288" spans="1:12">
      <c r="A1288" s="20" t="s">
        <v>817</v>
      </c>
      <c r="E1288" s="22">
        <f>IF(D1288="?OLD","!!!","")</f>
        <v/>
      </c>
      <c r="F1288" s="23" t="str">
        <f>IF(OR(E1288="",E1288="!!!"),"",IF(NOT(ISNA(VLOOKUP(E1288,E$1:E1287,1,FALSE()))),"OLD",IF(AND(E1288&lt;&gt;"",E1288&lt;&gt;"!!!"),"NEW","")))</f>
        <v> </v>
      </c>
      <c r="G1288" s="24" t="str">
        <f>IF(OR(E1288="",E1288="!!!"),"",IF(OR(J1288=0,AND(J1288=1,K1288=1),AND(J1288=1,I1288="SBJ"),AND(J1288=1,I1288=0)),"?IN_FOCUS",IF(J1288&lt;=2,"?ACTIVATED",IF(J1288&lt;&gt;"","?FAMILIAR",IF(F1288="NEW",IF(ISNA(VLOOKUP(E1288,#REF!,1,FALSE())),"?TYPE_IDENTIFIABLE","?REFERENTIAL"),"_")))))</f>
        <v> </v>
      </c>
      <c r="H1288" s="25" t="str">
        <f>IF(J1288&lt;&gt;1,"",IF(I1288="SBJ","CB","?"))</f>
        <v> </v>
      </c>
      <c r="I1288" s="26" t="str">
        <f>IF(OR(E1288="",E1288="!!!",F1288="NEW"),"",INDEX(B1287:B$2,-1+SUMPRODUCT(MAX(ROW(E1287:E$2)*(E1288=E1287:E$2)))))</f>
        <v> </v>
      </c>
      <c r="J1288" s="26" t="str">
        <f>IF(OR(E1288="",E1288="!!!",F1288="NEW"),"",COUNTBLANK(OFFSET(A$1,,,SUMPRODUCT(MAX(ROW(E$2:E1288)*(E1288=E$2:E1288)))))-COUNTBLANK(OFFSET(A$1,,,SUMPRODUCT(MAX(ROW(E$1:E1287)*(E2=E$1:E1287))))))</f>
        <v> </v>
      </c>
      <c r="K1288" s="26" t="str">
        <f>IF(OR(E1288="",E1288="!!!",F1288="NEW"),"",INDEX(J$1:J1287,SUMPRODUCT(MAX(ROW(E$1:E1287)*(E1288=E$1:E1287)))))</f>
        <v> </v>
      </c>
      <c r="L1288" s="27"/>
    </row>
    <row r="1289" spans="1:12">
      <c r="A1289" s="20" t="s">
        <v>1316</v>
      </c>
      <c r="B1289" s="21" t="s">
        <v>739</v>
      </c>
      <c r="C1289" s="21" t="s">
        <v>740</v>
      </c>
      <c r="D1289" s="21" t="s">
        <v>730</v>
      </c>
      <c r="E1289" s="22">
        <f>IF(D1289="?OLD","!!!","")</f>
        <v/>
      </c>
      <c r="F1289" s="23" t="str">
        <f>IF(OR(E1289="",E1289="!!!"),"",IF(NOT(ISNA(VLOOKUP(E1289,E$1:E1288,1,FALSE()))),"OLD",IF(AND(E1289&lt;&gt;"",E1289&lt;&gt;"!!!"),"NEW","")))</f>
        <v> </v>
      </c>
      <c r="G1289" s="24" t="str">
        <f>IF(OR(E1289="",E1289="!!!"),"",IF(OR(J1289=0,AND(J1289=1,K1289=1),AND(J1289=1,I1289="SBJ"),AND(J1289=1,I1289=0)),"?IN_FOCUS",IF(J1289&lt;=2,"?ACTIVATED",IF(J1289&lt;&gt;"","?FAMILIAR",IF(F1289="NEW",IF(ISNA(VLOOKUP(E1289,#REF!,1,FALSE())),"?TYPE_IDENTIFIABLE","?REFERENTIAL"),"_")))))</f>
        <v> </v>
      </c>
      <c r="H1289" s="25" t="str">
        <f>IF(J1289&lt;&gt;1,"",IF(I1289="SBJ","CB","?"))</f>
        <v> </v>
      </c>
      <c r="I1289" s="26" t="str">
        <f>IF(OR(E1289="",E1289="!!!",F1289="NEW"),"",INDEX(B1288:B$2,-1+SUMPRODUCT(MAX(ROW(E1288:E$2)*(E1289=E1288:E$2)))))</f>
        <v> </v>
      </c>
      <c r="J1289" s="26" t="str">
        <f>IF(OR(E1289="",E1289="!!!",F1289="NEW"),"",COUNTBLANK(OFFSET(A$1,,,SUMPRODUCT(MAX(ROW(E$2:E1289)*(E1289=E$2:E1289)))))-COUNTBLANK(OFFSET(A$1,,,SUMPRODUCT(MAX(ROW(E$1:E1288)*(E2=E$1:E1288))))))</f>
        <v> </v>
      </c>
      <c r="K1289" s="26" t="str">
        <f>IF(OR(E1289="",E1289="!!!",F1289="NEW"),"",INDEX(J$1:J1288,SUMPRODUCT(MAX(ROW(E$1:E1288)*(E1289=E$1:E1288)))))</f>
        <v> </v>
      </c>
      <c r="L1289" s="27"/>
    </row>
    <row r="1290" spans="1:12">
      <c r="A1290" s="20" t="s">
        <v>817</v>
      </c>
      <c r="E1290" s="22">
        <f>IF(D1290="?OLD","!!!","")</f>
        <v/>
      </c>
      <c r="F1290" s="23" t="str">
        <f>IF(OR(E1290="",E1290="!!!"),"",IF(NOT(ISNA(VLOOKUP(E1290,E$1:E1289,1,FALSE()))),"OLD",IF(AND(E1290&lt;&gt;"",E1290&lt;&gt;"!!!"),"NEW","")))</f>
        <v> </v>
      </c>
      <c r="G1290" s="24" t="str">
        <f>IF(OR(E1290="",E1290="!!!"),"",IF(OR(J1290=0,AND(J1290=1,K1290=1),AND(J1290=1,I1290="SBJ"),AND(J1290=1,I1290=0)),"?IN_FOCUS",IF(J1290&lt;=2,"?ACTIVATED",IF(J1290&lt;&gt;"","?FAMILIAR",IF(F1290="NEW",IF(ISNA(VLOOKUP(E1290,#REF!,1,FALSE())),"?TYPE_IDENTIFIABLE","?REFERENTIAL"),"_")))))</f>
        <v> </v>
      </c>
      <c r="H1290" s="25" t="str">
        <f>IF(J1290&lt;&gt;1,"",IF(I1290="SBJ","CB","?"))</f>
        <v> </v>
      </c>
      <c r="I1290" s="26" t="str">
        <f>IF(OR(E1290="",E1290="!!!",F1290="NEW"),"",INDEX(B1289:B$2,-1+SUMPRODUCT(MAX(ROW(E1289:E$2)*(E1290=E1289:E$2)))))</f>
        <v> </v>
      </c>
      <c r="J1290" s="26" t="str">
        <f>IF(OR(E1290="",E1290="!!!",F1290="NEW"),"",COUNTBLANK(OFFSET(A$1,,,SUMPRODUCT(MAX(ROW(E$2:E1290)*(E1290=E$2:E1290)))))-COUNTBLANK(OFFSET(A$1,,,SUMPRODUCT(MAX(ROW(E$1:E1289)*(E2=E$1:E1289))))))</f>
        <v> </v>
      </c>
      <c r="K1290" s="26" t="str">
        <f>IF(OR(E1290="",E1290="!!!",F1290="NEW"),"",INDEX(J$1:J1289,SUMPRODUCT(MAX(ROW(E$1:E1289)*(E1290=E$1:E1289)))))</f>
        <v> </v>
      </c>
      <c r="L1290" s="27"/>
    </row>
    <row r="1291" spans="1:12">
      <c r="A1291" s="20" t="s">
        <v>1317</v>
      </c>
      <c r="E1291" s="22">
        <f>IF(D1291="?OLD","!!!","")</f>
        <v/>
      </c>
      <c r="F1291" s="23" t="str">
        <f>IF(OR(E1291="",E1291="!!!"),"",IF(NOT(ISNA(VLOOKUP(E1291,E$1:E1290,1,FALSE()))),"OLD",IF(AND(E1291&lt;&gt;"",E1291&lt;&gt;"!!!"),"NEW","")))</f>
        <v> </v>
      </c>
      <c r="G1291" s="24" t="str">
        <f>IF(OR(E1291="",E1291="!!!"),"",IF(OR(J1291=0,AND(J1291=1,K1291=1),AND(J1291=1,I1291="SBJ"),AND(J1291=1,I1291=0)),"?IN_FOCUS",IF(J1291&lt;=2,"?ACTIVATED",IF(J1291&lt;&gt;"","?FAMILIAR",IF(F1291="NEW",IF(ISNA(VLOOKUP(E1291,#REF!,1,FALSE())),"?TYPE_IDENTIFIABLE","?REFERENTIAL"),"_")))))</f>
        <v> </v>
      </c>
      <c r="H1291" s="25" t="str">
        <f>IF(J1291&lt;&gt;1,"",IF(I1291="SBJ","CB","?"))</f>
        <v> </v>
      </c>
      <c r="I1291" s="26" t="str">
        <f>IF(OR(E1291="",E1291="!!!",F1291="NEW"),"",INDEX(B1290:B$2,-1+SUMPRODUCT(MAX(ROW(E1290:E$2)*(E1291=E1290:E$2)))))</f>
        <v> </v>
      </c>
      <c r="J1291" s="26" t="str">
        <f>IF(OR(E1291="",E1291="!!!",F1291="NEW"),"",COUNTBLANK(OFFSET(A$1,,,SUMPRODUCT(MAX(ROW(E$2:E1291)*(E1291=E$2:E1291)))))-COUNTBLANK(OFFSET(A$1,,,SUMPRODUCT(MAX(ROW(E$1:E1290)*(E2=E$1:E1290))))))</f>
        <v> </v>
      </c>
      <c r="K1291" s="26" t="str">
        <f>IF(OR(E1291="",E1291="!!!",F1291="NEW"),"",INDEX(J$1:J1290,SUMPRODUCT(MAX(ROW(E$1:E1290)*(E1291=E$1:E1290)))))</f>
        <v> </v>
      </c>
      <c r="L1291" s="27"/>
    </row>
    <row r="1292" spans="1:12">
      <c r="A1292" s="20" t="s">
        <v>759</v>
      </c>
      <c r="E1292" s="22">
        <f>IF(D1292="?OLD","!!!","")</f>
        <v/>
      </c>
      <c r="F1292" s="23" t="str">
        <f>IF(OR(E1292="",E1292="!!!"),"",IF(NOT(ISNA(VLOOKUP(E1292,E$1:E1291,1,FALSE()))),"OLD",IF(AND(E1292&lt;&gt;"",E1292&lt;&gt;"!!!"),"NEW","")))</f>
        <v> </v>
      </c>
      <c r="G1292" s="24" t="str">
        <f>IF(OR(E1292="",E1292="!!!"),"",IF(OR(J1292=0,AND(J1292=1,K1292=1),AND(J1292=1,I1292="SBJ"),AND(J1292=1,I1292=0)),"?IN_FOCUS",IF(J1292&lt;=2,"?ACTIVATED",IF(J1292&lt;&gt;"","?FAMILIAR",IF(F1292="NEW",IF(ISNA(VLOOKUP(E1292,#REF!,1,FALSE())),"?TYPE_IDENTIFIABLE","?REFERENTIAL"),"_")))))</f>
        <v> </v>
      </c>
      <c r="H1292" s="25" t="str">
        <f>IF(J1292&lt;&gt;1,"",IF(I1292="SBJ","CB","?"))</f>
        <v> </v>
      </c>
      <c r="I1292" s="26" t="str">
        <f>IF(OR(E1292="",E1292="!!!",F1292="NEW"),"",INDEX(B1291:B$2,-1+SUMPRODUCT(MAX(ROW(E1291:E$2)*(E1292=E1291:E$2)))))</f>
        <v> </v>
      </c>
      <c r="J1292" s="26" t="str">
        <f>IF(OR(E1292="",E1292="!!!",F1292="NEW"),"",COUNTBLANK(OFFSET(A$1,,,SUMPRODUCT(MAX(ROW(E$2:E1292)*(E1292=E$2:E1292)))))-COUNTBLANK(OFFSET(A$1,,,SUMPRODUCT(MAX(ROW(E$1:E1291)*(E2=E$1:E1291))))))</f>
        <v> </v>
      </c>
      <c r="K1292" s="26" t="str">
        <f>IF(OR(E1292="",E1292="!!!",F1292="NEW"),"",INDEX(J$1:J1291,SUMPRODUCT(MAX(ROW(E$1:E1291)*(E1292=E$1:E1291)))))</f>
        <v> </v>
      </c>
      <c r="L1292" s="27"/>
    </row>
    <row r="1293" spans="1:12">
      <c r="A1293" s="20" t="s">
        <v>776</v>
      </c>
      <c r="B1293" s="21" t="s">
        <v>788</v>
      </c>
      <c r="E1293" s="22">
        <f>IF(D1293="?OLD","!!!","")</f>
        <v/>
      </c>
      <c r="F1293" s="23" t="str">
        <f>IF(OR(E1293="",E1293="!!!"),"",IF(NOT(ISNA(VLOOKUP(E1293,E$1:E1292,1,FALSE()))),"OLD",IF(AND(E1293&lt;&gt;"",E1293&lt;&gt;"!!!"),"NEW","")))</f>
        <v> </v>
      </c>
      <c r="G1293" s="24" t="str">
        <f>IF(OR(E1293="",E1293="!!!"),"",IF(OR(J1293=0,AND(J1293=1,K1293=1),AND(J1293=1,I1293="SBJ"),AND(J1293=1,I1293=0)),"?IN_FOCUS",IF(J1293&lt;=2,"?ACTIVATED",IF(J1293&lt;&gt;"","?FAMILIAR",IF(F1293="NEW",IF(ISNA(VLOOKUP(E1293,#REF!,1,FALSE())),"?TYPE_IDENTIFIABLE","?REFERENTIAL"),"_")))))</f>
        <v> </v>
      </c>
      <c r="H1293" s="25" t="str">
        <f>IF(J1293&lt;&gt;1,"",IF(I1293="SBJ","CB","?"))</f>
        <v> </v>
      </c>
      <c r="I1293" s="26" t="str">
        <f>IF(OR(E1293="",E1293="!!!",F1293="NEW"),"",INDEX(B1292:B$2,-1+SUMPRODUCT(MAX(ROW(E1292:E$2)*(E1293=E1292:E$2)))))</f>
        <v> </v>
      </c>
      <c r="J1293" s="26" t="str">
        <f>IF(OR(E1293="",E1293="!!!",F1293="NEW"),"",COUNTBLANK(OFFSET(A$1,,,SUMPRODUCT(MAX(ROW(E$2:E1293)*(E1293=E$2:E1293)))))-COUNTBLANK(OFFSET(A$1,,,SUMPRODUCT(MAX(ROW(E$1:E1292)*(E2=E$1:E1292))))))</f>
        <v> </v>
      </c>
      <c r="K1293" s="26" t="str">
        <f>IF(OR(E1293="",E1293="!!!",F1293="NEW"),"",INDEX(J$1:J1292,SUMPRODUCT(MAX(ROW(E$1:E1292)*(E1293=E$1:E1292)))))</f>
        <v> </v>
      </c>
      <c r="L1293" s="27"/>
    </row>
    <row r="1294" spans="1:12">
      <c r="A1294" s="20" t="s">
        <v>813</v>
      </c>
      <c r="E1294" s="22">
        <f>IF(D1294="?OLD","!!!","")</f>
        <v/>
      </c>
      <c r="F1294" s="23" t="str">
        <f>IF(OR(E1294="",E1294="!!!"),"",IF(NOT(ISNA(VLOOKUP(E1294,E$1:E1293,1,FALSE()))),"OLD",IF(AND(E1294&lt;&gt;"",E1294&lt;&gt;"!!!"),"NEW","")))</f>
        <v> </v>
      </c>
      <c r="G1294" s="24" t="str">
        <f>IF(OR(E1294="",E1294="!!!"),"",IF(OR(J1294=0,AND(J1294=1,K1294=1),AND(J1294=1,I1294="SBJ"),AND(J1294=1,I1294=0)),"?IN_FOCUS",IF(J1294&lt;=2,"?ACTIVATED",IF(J1294&lt;&gt;"","?FAMILIAR",IF(F1294="NEW",IF(ISNA(VLOOKUP(E1294,#REF!,1,FALSE())),"?TYPE_IDENTIFIABLE","?REFERENTIAL"),"_")))))</f>
        <v> </v>
      </c>
      <c r="H1294" s="25" t="str">
        <f>IF(J1294&lt;&gt;1,"",IF(I1294="SBJ","CB","?"))</f>
        <v> </v>
      </c>
      <c r="I1294" s="26" t="str">
        <f>IF(OR(E1294="",E1294="!!!",F1294="NEW"),"",INDEX(B1293:B$2,-1+SUMPRODUCT(MAX(ROW(E1293:E$2)*(E1294=E1293:E$2)))))</f>
        <v> </v>
      </c>
      <c r="J1294" s="26" t="str">
        <f>IF(OR(E1294="",E1294="!!!",F1294="NEW"),"",COUNTBLANK(OFFSET(A$1,,,SUMPRODUCT(MAX(ROW(E$2:E1294)*(E1294=E$2:E1294)))))-COUNTBLANK(OFFSET(A$1,,,SUMPRODUCT(MAX(ROW(E$1:E1293)*(E2=E$1:E1293))))))</f>
        <v> </v>
      </c>
      <c r="K1294" s="26" t="str">
        <f>IF(OR(E1294="",E1294="!!!",F1294="NEW"),"",INDEX(J$1:J1293,SUMPRODUCT(MAX(ROW(E$1:E1293)*(E1294=E$1:E1293)))))</f>
        <v> </v>
      </c>
      <c r="L1294" s="27"/>
    </row>
    <row r="1295" spans="1:12">
      <c r="A1295" s="20" t="s">
        <v>1318</v>
      </c>
      <c r="B1295" s="21" t="s">
        <v>843</v>
      </c>
      <c r="C1295" s="21" t="s">
        <v>753</v>
      </c>
      <c r="D1295" s="21" t="s">
        <v>730</v>
      </c>
      <c r="E1295" s="22">
        <f>IF(D1295="?OLD","!!!","")</f>
        <v/>
      </c>
      <c r="F1295" s="23" t="str">
        <f>IF(OR(E1295="",E1295="!!!"),"",IF(NOT(ISNA(VLOOKUP(E1295,E$1:E1294,1,FALSE()))),"OLD",IF(AND(E1295&lt;&gt;"",E1295&lt;&gt;"!!!"),"NEW","")))</f>
        <v> </v>
      </c>
      <c r="G1295" s="24" t="str">
        <f>IF(OR(E1295="",E1295="!!!"),"",IF(OR(J1295=0,AND(J1295=1,K1295=1),AND(J1295=1,I1295="SBJ"),AND(J1295=1,I1295=0)),"?IN_FOCUS",IF(J1295&lt;=2,"?ACTIVATED",IF(J1295&lt;&gt;"","?FAMILIAR",IF(F1295="NEW",IF(ISNA(VLOOKUP(E1295,#REF!,1,FALSE())),"?TYPE_IDENTIFIABLE","?REFERENTIAL"),"_")))))</f>
        <v> </v>
      </c>
      <c r="H1295" s="25" t="str">
        <f>IF(J1295&lt;&gt;1,"",IF(I1295="SBJ","CB","?"))</f>
        <v> </v>
      </c>
      <c r="I1295" s="26" t="str">
        <f>IF(OR(E1295="",E1295="!!!",F1295="NEW"),"",INDEX(B1294:B$2,-1+SUMPRODUCT(MAX(ROW(E1294:E$2)*(E1295=E1294:E$2)))))</f>
        <v> </v>
      </c>
      <c r="J1295" s="26" t="str">
        <f>IF(OR(E1295="",E1295="!!!",F1295="NEW"),"",COUNTBLANK(OFFSET(A$1,,,SUMPRODUCT(MAX(ROW(E$2:E1295)*(E1295=E$2:E1295)))))-COUNTBLANK(OFFSET(A$1,,,SUMPRODUCT(MAX(ROW(E$1:E1294)*(E2=E$1:E1294))))))</f>
        <v> </v>
      </c>
      <c r="K1295" s="26" t="str">
        <f>IF(OR(E1295="",E1295="!!!",F1295="NEW"),"",INDEX(J$1:J1294,SUMPRODUCT(MAX(ROW(E$1:E1294)*(E1295=E$1:E1294)))))</f>
        <v> </v>
      </c>
      <c r="L1295" s="27"/>
    </row>
    <row r="1296" spans="1:12">
      <c r="A1296" s="20" t="s">
        <v>773</v>
      </c>
      <c r="E1296" s="22">
        <f>IF(D1296="?OLD","!!!","")</f>
        <v/>
      </c>
      <c r="F1296" s="23" t="str">
        <f>IF(OR(E1296="",E1296="!!!"),"",IF(NOT(ISNA(VLOOKUP(E1296,E$1:E1295,1,FALSE()))),"OLD",IF(AND(E1296&lt;&gt;"",E1296&lt;&gt;"!!!"),"NEW","")))</f>
        <v> </v>
      </c>
      <c r="G1296" s="24" t="str">
        <f>IF(OR(E1296="",E1296="!!!"),"",IF(OR(J1296=0,AND(J1296=1,K1296=1),AND(J1296=1,I1296="SBJ"),AND(J1296=1,I1296=0)),"?IN_FOCUS",IF(J1296&lt;=2,"?ACTIVATED",IF(J1296&lt;&gt;"","?FAMILIAR",IF(F1296="NEW",IF(ISNA(VLOOKUP(E1296,#REF!,1,FALSE())),"?TYPE_IDENTIFIABLE","?REFERENTIAL"),"_")))))</f>
        <v> </v>
      </c>
      <c r="H1296" s="25" t="str">
        <f>IF(J1296&lt;&gt;1,"",IF(I1296="SBJ","CB","?"))</f>
        <v> </v>
      </c>
      <c r="I1296" s="26" t="str">
        <f>IF(OR(E1296="",E1296="!!!",F1296="NEW"),"",INDEX(B1295:B$2,-1+SUMPRODUCT(MAX(ROW(E1295:E$2)*(E1296=E1295:E$2)))))</f>
        <v> </v>
      </c>
      <c r="J1296" s="26" t="str">
        <f>IF(OR(E1296="",E1296="!!!",F1296="NEW"),"",COUNTBLANK(OFFSET(A$1,,,SUMPRODUCT(MAX(ROW(E$2:E1296)*(E1296=E$2:E1296)))))-COUNTBLANK(OFFSET(A$1,,,SUMPRODUCT(MAX(ROW(E$1:E1295)*(E2=E$1:E1295))))))</f>
        <v> </v>
      </c>
      <c r="K1296" s="26" t="str">
        <f>IF(OR(E1296="",E1296="!!!",F1296="NEW"),"",INDEX(J$1:J1295,SUMPRODUCT(MAX(ROW(E$1:E1295)*(E1296=E$1:E1295)))))</f>
        <v> </v>
      </c>
      <c r="L1296" s="27"/>
    </row>
    <row r="1297" spans="1:12">
      <c r="A1297" s="20" t="s">
        <v>1319</v>
      </c>
      <c r="B1297" s="21" t="s">
        <v>778</v>
      </c>
      <c r="C1297" s="21" t="s">
        <v>748</v>
      </c>
      <c r="E1297" s="22">
        <f>IF(D1297="?OLD","!!!","")</f>
        <v/>
      </c>
      <c r="F1297" s="23" t="str">
        <f>IF(OR(E1297="",E1297="!!!"),"",IF(NOT(ISNA(VLOOKUP(E1297,E$1:E1296,1,FALSE()))),"OLD",IF(AND(E1297&lt;&gt;"",E1297&lt;&gt;"!!!"),"NEW","")))</f>
        <v> </v>
      </c>
      <c r="G1297" s="24" t="str">
        <f>IF(OR(E1297="",E1297="!!!"),"",IF(OR(J1297=0,AND(J1297=1,K1297=1),AND(J1297=1,I1297="SBJ"),AND(J1297=1,I1297=0)),"?IN_FOCUS",IF(J1297&lt;=2,"?ACTIVATED",IF(J1297&lt;&gt;"","?FAMILIAR",IF(F1297="NEW",IF(ISNA(VLOOKUP(E1297,#REF!,1,FALSE())),"?TYPE_IDENTIFIABLE","?REFERENTIAL"),"_")))))</f>
        <v> </v>
      </c>
      <c r="H1297" s="25" t="str">
        <f>IF(J1297&lt;&gt;1,"",IF(I1297="SBJ","CB","?"))</f>
        <v> </v>
      </c>
      <c r="I1297" s="26" t="str">
        <f>IF(OR(E1297="",E1297="!!!",F1297="NEW"),"",INDEX(B1296:B$2,-1+SUMPRODUCT(MAX(ROW(E1296:E$2)*(E1297=E1296:E$2)))))</f>
        <v> </v>
      </c>
      <c r="J1297" s="26" t="str">
        <f>IF(OR(E1297="",E1297="!!!",F1297="NEW"),"",COUNTBLANK(OFFSET(A$1,,,SUMPRODUCT(MAX(ROW(E$2:E1297)*(E1297=E$2:E1297)))))-COUNTBLANK(OFFSET(A$1,,,SUMPRODUCT(MAX(ROW(E$1:E1296)*(E2=E$1:E1296))))))</f>
        <v> </v>
      </c>
      <c r="K1297" s="26" t="str">
        <f>IF(OR(E1297="",E1297="!!!",F1297="NEW"),"",INDEX(J$1:J1296,SUMPRODUCT(MAX(ROW(E$1:E1296)*(E1297=E$1:E1296)))))</f>
        <v> </v>
      </c>
      <c r="L1297" s="27"/>
    </row>
    <row r="1298" spans="1:12">
      <c r="A1298" s="20" t="s">
        <v>1320</v>
      </c>
      <c r="E1298" s="22">
        <f>IF(D1298="?OLD","!!!","")</f>
        <v/>
      </c>
      <c r="F1298" s="23" t="str">
        <f>IF(OR(E1298="",E1298="!!!"),"",IF(NOT(ISNA(VLOOKUP(E1298,E$1:E1297,1,FALSE()))),"OLD",IF(AND(E1298&lt;&gt;"",E1298&lt;&gt;"!!!"),"NEW","")))</f>
        <v> </v>
      </c>
      <c r="G1298" s="24" t="str">
        <f>IF(OR(E1298="",E1298="!!!"),"",IF(OR(J1298=0,AND(J1298=1,K1298=1),AND(J1298=1,I1298="SBJ"),AND(J1298=1,I1298=0)),"?IN_FOCUS",IF(J1298&lt;=2,"?ACTIVATED",IF(J1298&lt;&gt;"","?FAMILIAR",IF(F1298="NEW",IF(ISNA(VLOOKUP(E1298,#REF!,1,FALSE())),"?TYPE_IDENTIFIABLE","?REFERENTIAL"),"_")))))</f>
        <v> </v>
      </c>
      <c r="H1298" s="25" t="str">
        <f>IF(J1298&lt;&gt;1,"",IF(I1298="SBJ","CB","?"))</f>
        <v> </v>
      </c>
      <c r="I1298" s="26" t="str">
        <f>IF(OR(E1298="",E1298="!!!",F1298="NEW"),"",INDEX(B1297:B$2,-1+SUMPRODUCT(MAX(ROW(E1297:E$2)*(E1298=E1297:E$2)))))</f>
        <v> </v>
      </c>
      <c r="J1298" s="26" t="str">
        <f>IF(OR(E1298="",E1298="!!!",F1298="NEW"),"",COUNTBLANK(OFFSET(A$1,,,SUMPRODUCT(MAX(ROW(E$2:E1298)*(E1298=E$2:E1298)))))-COUNTBLANK(OFFSET(A$1,,,SUMPRODUCT(MAX(ROW(E$1:E1297)*(E2=E$1:E1297))))))</f>
        <v> </v>
      </c>
      <c r="K1298" s="26" t="str">
        <f>IF(OR(E1298="",E1298="!!!",F1298="NEW"),"",INDEX(J$1:J1297,SUMPRODUCT(MAX(ROW(E$1:E1297)*(E1298=E$1:E1297)))))</f>
        <v> </v>
      </c>
      <c r="L1298" s="27"/>
    </row>
    <row r="1299" spans="1:12">
      <c r="A1299" s="20" t="s">
        <v>1321</v>
      </c>
      <c r="B1299" s="21" t="s">
        <v>843</v>
      </c>
      <c r="C1299" s="21" t="s">
        <v>748</v>
      </c>
      <c r="E1299" s="22">
        <f>IF(D1299="?OLD","!!!","")</f>
        <v/>
      </c>
      <c r="F1299" s="23" t="str">
        <f>IF(OR(E1299="",E1299="!!!"),"",IF(NOT(ISNA(VLOOKUP(E1299,E$1:E1298,1,FALSE()))),"OLD",IF(AND(E1299&lt;&gt;"",E1299&lt;&gt;"!!!"),"NEW","")))</f>
        <v> </v>
      </c>
      <c r="G1299" s="24" t="str">
        <f>IF(OR(E1299="",E1299="!!!"),"",IF(OR(J1299=0,AND(J1299=1,K1299=1),AND(J1299=1,I1299="SBJ"),AND(J1299=1,I1299=0)),"?IN_FOCUS",IF(J1299&lt;=2,"?ACTIVATED",IF(J1299&lt;&gt;"","?FAMILIAR",IF(F1299="NEW",IF(ISNA(VLOOKUP(E1299,#REF!,1,FALSE())),"?TYPE_IDENTIFIABLE","?REFERENTIAL"),"_")))))</f>
        <v> </v>
      </c>
      <c r="H1299" s="25" t="str">
        <f>IF(J1299&lt;&gt;1,"",IF(I1299="SBJ","CB","?"))</f>
        <v> </v>
      </c>
      <c r="I1299" s="26" t="str">
        <f>IF(OR(E1299="",E1299="!!!",F1299="NEW"),"",INDEX(B1298:B$2,-1+SUMPRODUCT(MAX(ROW(E1298:E$2)*(E1299=E1298:E$2)))))</f>
        <v> </v>
      </c>
      <c r="J1299" s="26" t="str">
        <f>IF(OR(E1299="",E1299="!!!",F1299="NEW"),"",COUNTBLANK(OFFSET(A$1,,,SUMPRODUCT(MAX(ROW(E$2:E1299)*(E1299=E$2:E1299)))))-COUNTBLANK(OFFSET(A$1,,,SUMPRODUCT(MAX(ROW(E$1:E1298)*(E2=E$1:E1298))))))</f>
        <v> </v>
      </c>
      <c r="K1299" s="26" t="str">
        <f>IF(OR(E1299="",E1299="!!!",F1299="NEW"),"",INDEX(J$1:J1298,SUMPRODUCT(MAX(ROW(E$1:E1298)*(E1299=E$1:E1298)))))</f>
        <v> </v>
      </c>
      <c r="L1299" s="27"/>
    </row>
    <row r="1300" spans="1:12">
      <c r="A1300" s="20" t="s">
        <v>785</v>
      </c>
      <c r="E1300" s="22">
        <f>IF(D1300="?OLD","!!!","")</f>
        <v/>
      </c>
      <c r="F1300" s="23" t="str">
        <f>IF(OR(E1300="",E1300="!!!"),"",IF(NOT(ISNA(VLOOKUP(E1300,E$1:E1299,1,FALSE()))),"OLD",IF(AND(E1300&lt;&gt;"",E1300&lt;&gt;"!!!"),"NEW","")))</f>
        <v> </v>
      </c>
      <c r="G1300" s="24" t="str">
        <f>IF(OR(E1300="",E1300="!!!"),"",IF(OR(J1300=0,AND(J1300=1,K1300=1),AND(J1300=1,I1300="SBJ"),AND(J1300=1,I1300=0)),"?IN_FOCUS",IF(J1300&lt;=2,"?ACTIVATED",IF(J1300&lt;&gt;"","?FAMILIAR",IF(F1300="NEW",IF(ISNA(VLOOKUP(E1300,#REF!,1,FALSE())),"?TYPE_IDENTIFIABLE","?REFERENTIAL"),"_")))))</f>
        <v> </v>
      </c>
      <c r="H1300" s="25" t="str">
        <f>IF(J1300&lt;&gt;1,"",IF(I1300="SBJ","CB","?"))</f>
        <v> </v>
      </c>
      <c r="I1300" s="26" t="str">
        <f>IF(OR(E1300="",E1300="!!!",F1300="NEW"),"",INDEX(B1299:B$2,-1+SUMPRODUCT(MAX(ROW(E1299:E$2)*(E1300=E1299:E$2)))))</f>
        <v> </v>
      </c>
      <c r="J1300" s="26" t="str">
        <f>IF(OR(E1300="",E1300="!!!",F1300="NEW"),"",COUNTBLANK(OFFSET(A$1,,,SUMPRODUCT(MAX(ROW(E$2:E1300)*(E1300=E$2:E1300)))))-COUNTBLANK(OFFSET(A$1,,,SUMPRODUCT(MAX(ROW(E$1:E1299)*(E2=E$1:E1299))))))</f>
        <v> </v>
      </c>
      <c r="K1300" s="26" t="str">
        <f>IF(OR(E1300="",E1300="!!!",F1300="NEW"),"",INDEX(J$1:J1299,SUMPRODUCT(MAX(ROW(E$1:E1299)*(E1300=E$1:E1299)))))</f>
        <v> </v>
      </c>
      <c r="L1300" s="27"/>
    </row>
    <row r="1301" spans="1:12">
      <c r="A1301" s="20" t="s">
        <v>1322</v>
      </c>
      <c r="E1301" s="22">
        <f>IF(D1301="?OLD","!!!","")</f>
        <v/>
      </c>
      <c r="F1301" s="23" t="str">
        <f>IF(OR(E1301="",E1301="!!!"),"",IF(NOT(ISNA(VLOOKUP(E1301,E$1:E1300,1,FALSE()))),"OLD",IF(AND(E1301&lt;&gt;"",E1301&lt;&gt;"!!!"),"NEW","")))</f>
        <v> </v>
      </c>
      <c r="G1301" s="24" t="str">
        <f>IF(OR(E1301="",E1301="!!!"),"",IF(OR(J1301=0,AND(J1301=1,K1301=1),AND(J1301=1,I1301="SBJ"),AND(J1301=1,I1301=0)),"?IN_FOCUS",IF(J1301&lt;=2,"?ACTIVATED",IF(J1301&lt;&gt;"","?FAMILIAR",IF(F1301="NEW",IF(ISNA(VLOOKUP(E1301,#REF!,1,FALSE())),"?TYPE_IDENTIFIABLE","?REFERENTIAL"),"_")))))</f>
        <v> </v>
      </c>
      <c r="H1301" s="25" t="str">
        <f>IF(J1301&lt;&gt;1,"",IF(I1301="SBJ","CB","?"))</f>
        <v> </v>
      </c>
      <c r="I1301" s="26" t="str">
        <f>IF(OR(E1301="",E1301="!!!",F1301="NEW"),"",INDEX(B1300:B$2,-1+SUMPRODUCT(MAX(ROW(E1300:E$2)*(E1301=E1300:E$2)))))</f>
        <v> </v>
      </c>
      <c r="J1301" s="26" t="str">
        <f>IF(OR(E1301="",E1301="!!!",F1301="NEW"),"",COUNTBLANK(OFFSET(A$1,,,SUMPRODUCT(MAX(ROW(E$2:E1301)*(E1301=E$2:E1301)))))-COUNTBLANK(OFFSET(A$1,,,SUMPRODUCT(MAX(ROW(E$1:E1300)*(E2=E$1:E1300))))))</f>
        <v> </v>
      </c>
      <c r="K1301" s="26" t="str">
        <f>IF(OR(E1301="",E1301="!!!",F1301="NEW"),"",INDEX(J$1:J1300,SUMPRODUCT(MAX(ROW(E$1:E1300)*(E1301=E$1:E1300)))))</f>
        <v> </v>
      </c>
      <c r="L1301" s="27"/>
    </row>
    <row r="1302" spans="1:12">
      <c r="A1302" s="20" t="s">
        <v>1321</v>
      </c>
      <c r="B1302" s="21" t="s">
        <v>788</v>
      </c>
      <c r="C1302" s="21" t="s">
        <v>748</v>
      </c>
      <c r="E1302" s="22">
        <f>IF(D1302="?OLD","!!!","")</f>
        <v/>
      </c>
      <c r="F1302" s="23" t="str">
        <f>IF(OR(E1302="",E1302="!!!"),"",IF(NOT(ISNA(VLOOKUP(E1302,E$1:E1301,1,FALSE()))),"OLD",IF(AND(E1302&lt;&gt;"",E1302&lt;&gt;"!!!"),"NEW","")))</f>
        <v> </v>
      </c>
      <c r="G1302" s="24" t="str">
        <f>IF(OR(E1302="",E1302="!!!"),"",IF(OR(J1302=0,AND(J1302=1,K1302=1),AND(J1302=1,I1302="SBJ"),AND(J1302=1,I1302=0)),"?IN_FOCUS",IF(J1302&lt;=2,"?ACTIVATED",IF(J1302&lt;&gt;"","?FAMILIAR",IF(F1302="NEW",IF(ISNA(VLOOKUP(E1302,#REF!,1,FALSE())),"?TYPE_IDENTIFIABLE","?REFERENTIAL"),"_")))))</f>
        <v> </v>
      </c>
      <c r="H1302" s="25" t="str">
        <f>IF(J1302&lt;&gt;1,"",IF(I1302="SBJ","CB","?"))</f>
        <v> </v>
      </c>
      <c r="I1302" s="26" t="str">
        <f>IF(OR(E1302="",E1302="!!!",F1302="NEW"),"",INDEX(B1301:B$2,-1+SUMPRODUCT(MAX(ROW(E1301:E$2)*(E1302=E1301:E$2)))))</f>
        <v> </v>
      </c>
      <c r="J1302" s="26" t="str">
        <f>IF(OR(E1302="",E1302="!!!",F1302="NEW"),"",COUNTBLANK(OFFSET(A$1,,,SUMPRODUCT(MAX(ROW(E$2:E1302)*(E1302=E$2:E1302)))))-COUNTBLANK(OFFSET(A$1,,,SUMPRODUCT(MAX(ROW(E$1:E1301)*(E2=E$1:E1301))))))</f>
        <v> </v>
      </c>
      <c r="K1302" s="26" t="str">
        <f>IF(OR(E1302="",E1302="!!!",F1302="NEW"),"",INDEX(J$1:J1301,SUMPRODUCT(MAX(ROW(E$1:E1301)*(E1302=E$1:E1301)))))</f>
        <v> </v>
      </c>
      <c r="L1302" s="27"/>
    </row>
    <row r="1303" spans="1:12">
      <c r="A1303" s="20" t="s">
        <v>773</v>
      </c>
      <c r="E1303" s="22">
        <f>IF(D1303="?OLD","!!!","")</f>
        <v/>
      </c>
      <c r="F1303" s="23" t="str">
        <f>IF(OR(E1303="",E1303="!!!"),"",IF(NOT(ISNA(VLOOKUP(E1303,E$1:E1302,1,FALSE()))),"OLD",IF(AND(E1303&lt;&gt;"",E1303&lt;&gt;"!!!"),"NEW","")))</f>
        <v> </v>
      </c>
      <c r="G1303" s="24" t="str">
        <f>IF(OR(E1303="",E1303="!!!"),"",IF(OR(J1303=0,AND(J1303=1,K1303=1),AND(J1303=1,I1303="SBJ"),AND(J1303=1,I1303=0)),"?IN_FOCUS",IF(J1303&lt;=2,"?ACTIVATED",IF(J1303&lt;&gt;"","?FAMILIAR",IF(F1303="NEW",IF(ISNA(VLOOKUP(E1303,#REF!,1,FALSE())),"?TYPE_IDENTIFIABLE","?REFERENTIAL"),"_")))))</f>
        <v> </v>
      </c>
      <c r="H1303" s="25" t="str">
        <f>IF(J1303&lt;&gt;1,"",IF(I1303="SBJ","CB","?"))</f>
        <v> </v>
      </c>
      <c r="I1303" s="26" t="str">
        <f>IF(OR(E1303="",E1303="!!!",F1303="NEW"),"",INDEX(B1302:B$2,-1+SUMPRODUCT(MAX(ROW(E1302:E$2)*(E1303=E1302:E$2)))))</f>
        <v> </v>
      </c>
      <c r="J1303" s="26" t="str">
        <f>IF(OR(E1303="",E1303="!!!",F1303="NEW"),"",COUNTBLANK(OFFSET(A$1,,,SUMPRODUCT(MAX(ROW(E$2:E1303)*(E1303=E$2:E1303)))))-COUNTBLANK(OFFSET(A$1,,,SUMPRODUCT(MAX(ROW(E$1:E1302)*(E2=E$1:E1302))))))</f>
        <v> </v>
      </c>
      <c r="K1303" s="26" t="str">
        <f>IF(OR(E1303="",E1303="!!!",F1303="NEW"),"",INDEX(J$1:J1302,SUMPRODUCT(MAX(ROW(E$1:E1302)*(E1303=E$1:E1302)))))</f>
        <v> </v>
      </c>
      <c r="L1303" s="27"/>
    </row>
    <row r="1304" spans="1:12">
      <c r="A1304" s="20" t="s">
        <v>887</v>
      </c>
      <c r="E1304" s="22">
        <f>IF(D1304="?OLD","!!!","")</f>
        <v/>
      </c>
      <c r="F1304" s="23" t="str">
        <f>IF(OR(E1304="",E1304="!!!"),"",IF(NOT(ISNA(VLOOKUP(E1304,E$1:E1303,1,FALSE()))),"OLD",IF(AND(E1304&lt;&gt;"",E1304&lt;&gt;"!!!"),"NEW","")))</f>
        <v> </v>
      </c>
      <c r="G1304" s="24" t="str">
        <f>IF(OR(E1304="",E1304="!!!"),"",IF(OR(J1304=0,AND(J1304=1,K1304=1),AND(J1304=1,I1304="SBJ"),AND(J1304=1,I1304=0)),"?IN_FOCUS",IF(J1304&lt;=2,"?ACTIVATED",IF(J1304&lt;&gt;"","?FAMILIAR",IF(F1304="NEW",IF(ISNA(VLOOKUP(E1304,#REF!,1,FALSE())),"?TYPE_IDENTIFIABLE","?REFERENTIAL"),"_")))))</f>
        <v> </v>
      </c>
      <c r="H1304" s="25" t="str">
        <f>IF(J1304&lt;&gt;1,"",IF(I1304="SBJ","CB","?"))</f>
        <v> </v>
      </c>
      <c r="I1304" s="26" t="str">
        <f>IF(OR(E1304="",E1304="!!!",F1304="NEW"),"",INDEX(B1303:B$2,-1+SUMPRODUCT(MAX(ROW(E1303:E$2)*(E1304=E1303:E$2)))))</f>
        <v> </v>
      </c>
      <c r="J1304" s="26" t="str">
        <f>IF(OR(E1304="",E1304="!!!",F1304="NEW"),"",COUNTBLANK(OFFSET(A$1,,,SUMPRODUCT(MAX(ROW(E$2:E1304)*(E1304=E$2:E1304)))))-COUNTBLANK(OFFSET(A$1,,,SUMPRODUCT(MAX(ROW(E$1:E1303)*(E2=E$1:E1303))))))</f>
        <v> </v>
      </c>
      <c r="K1304" s="26" t="str">
        <f>IF(OR(E1304="",E1304="!!!",F1304="NEW"),"",INDEX(J$1:J1303,SUMPRODUCT(MAX(ROW(E$1:E1303)*(E1304=E$1:E1303)))))</f>
        <v> </v>
      </c>
      <c r="L1304" s="27"/>
    </row>
    <row r="1305" spans="1:12">
      <c r="A1305" s="20" t="s">
        <v>1267</v>
      </c>
      <c r="E1305" s="22">
        <f>IF(D1305="?OLD","!!!","")</f>
        <v/>
      </c>
      <c r="F1305" s="23" t="str">
        <f>IF(OR(E1305="",E1305="!!!"),"",IF(NOT(ISNA(VLOOKUP(E1305,E$1:E1304,1,FALSE()))),"OLD",IF(AND(E1305&lt;&gt;"",E1305&lt;&gt;"!!!"),"NEW","")))</f>
        <v> </v>
      </c>
      <c r="G1305" s="24" t="str">
        <f>IF(OR(E1305="",E1305="!!!"),"",IF(OR(J1305=0,AND(J1305=1,K1305=1),AND(J1305=1,I1305="SBJ"),AND(J1305=1,I1305=0)),"?IN_FOCUS",IF(J1305&lt;=2,"?ACTIVATED",IF(J1305&lt;&gt;"","?FAMILIAR",IF(F1305="NEW",IF(ISNA(VLOOKUP(E1305,#REF!,1,FALSE())),"?TYPE_IDENTIFIABLE","?REFERENTIAL"),"_")))))</f>
        <v> </v>
      </c>
      <c r="H1305" s="25" t="str">
        <f>IF(J1305&lt;&gt;1,"",IF(I1305="SBJ","CB","?"))</f>
        <v> </v>
      </c>
      <c r="I1305" s="26" t="str">
        <f>IF(OR(E1305="",E1305="!!!",F1305="NEW"),"",INDEX(B1304:B$2,-1+SUMPRODUCT(MAX(ROW(E1304:E$2)*(E1305=E1304:E$2)))))</f>
        <v> </v>
      </c>
      <c r="J1305" s="26" t="str">
        <f>IF(OR(E1305="",E1305="!!!",F1305="NEW"),"",COUNTBLANK(OFFSET(A$1,,,SUMPRODUCT(MAX(ROW(E$2:E1305)*(E1305=E$2:E1305)))))-COUNTBLANK(OFFSET(A$1,,,SUMPRODUCT(MAX(ROW(E$1:E1304)*(E2=E$1:E1304))))))</f>
        <v> </v>
      </c>
      <c r="K1305" s="26" t="str">
        <f>IF(OR(E1305="",E1305="!!!",F1305="NEW"),"",INDEX(J$1:J1304,SUMPRODUCT(MAX(ROW(E$1:E1304)*(E1305=E$1:E1304)))))</f>
        <v> </v>
      </c>
      <c r="L1305" s="27"/>
    </row>
    <row r="1306" spans="1:12">
      <c r="A1306" s="20" t="s">
        <v>1323</v>
      </c>
      <c r="B1306" s="21" t="s">
        <v>755</v>
      </c>
      <c r="C1306" s="21" t="s">
        <v>748</v>
      </c>
      <c r="E1306" s="22">
        <f>IF(D1306="?OLD","!!!","")</f>
        <v/>
      </c>
      <c r="F1306" s="23" t="str">
        <f>IF(OR(E1306="",E1306="!!!"),"",IF(NOT(ISNA(VLOOKUP(E1306,E$1:E1305,1,FALSE()))),"OLD",IF(AND(E1306&lt;&gt;"",E1306&lt;&gt;"!!!"),"NEW","")))</f>
        <v> </v>
      </c>
      <c r="G1306" s="24" t="str">
        <f>IF(OR(E1306="",E1306="!!!"),"",IF(OR(J1306=0,AND(J1306=1,K1306=1),AND(J1306=1,I1306="SBJ"),AND(J1306=1,I1306=0)),"?IN_FOCUS",IF(J1306&lt;=2,"?ACTIVATED",IF(J1306&lt;&gt;"","?FAMILIAR",IF(F1306="NEW",IF(ISNA(VLOOKUP(E1306,#REF!,1,FALSE())),"?TYPE_IDENTIFIABLE","?REFERENTIAL"),"_")))))</f>
        <v> </v>
      </c>
      <c r="H1306" s="25" t="str">
        <f>IF(J1306&lt;&gt;1,"",IF(I1306="SBJ","CB","?"))</f>
        <v> </v>
      </c>
      <c r="I1306" s="26" t="str">
        <f>IF(OR(E1306="",E1306="!!!",F1306="NEW"),"",INDEX(B1305:B$2,-1+SUMPRODUCT(MAX(ROW(E1305:E$2)*(E1306=E1305:E$2)))))</f>
        <v> </v>
      </c>
      <c r="J1306" s="26" t="str">
        <f>IF(OR(E1306="",E1306="!!!",F1306="NEW"),"",COUNTBLANK(OFFSET(A$1,,,SUMPRODUCT(MAX(ROW(E$2:E1306)*(E1306=E$2:E1306)))))-COUNTBLANK(OFFSET(A$1,,,SUMPRODUCT(MAX(ROW(E$1:E1305)*(E2=E$1:E1305))))))</f>
        <v> </v>
      </c>
      <c r="K1306" s="26" t="str">
        <f>IF(OR(E1306="",E1306="!!!",F1306="NEW"),"",INDEX(J$1:J1305,SUMPRODUCT(MAX(ROW(E$1:E1305)*(E1306=E$1:E1305)))))</f>
        <v> </v>
      </c>
      <c r="L1306" s="27"/>
    </row>
    <row r="1307" spans="1:12">
      <c r="A1307" s="20" t="s">
        <v>1324</v>
      </c>
      <c r="E1307" s="22">
        <f>IF(D1307="?OLD","!!!","")</f>
        <v/>
      </c>
      <c r="F1307" s="23" t="str">
        <f>IF(OR(E1307="",E1307="!!!"),"",IF(NOT(ISNA(VLOOKUP(E1307,E$1:E1306,1,FALSE()))),"OLD",IF(AND(E1307&lt;&gt;"",E1307&lt;&gt;"!!!"),"NEW","")))</f>
        <v> </v>
      </c>
      <c r="G1307" s="24" t="str">
        <f>IF(OR(E1307="",E1307="!!!"),"",IF(OR(J1307=0,AND(J1307=1,K1307=1),AND(J1307=1,I1307="SBJ"),AND(J1307=1,I1307=0)),"?IN_FOCUS",IF(J1307&lt;=2,"?ACTIVATED",IF(J1307&lt;&gt;"","?FAMILIAR",IF(F1307="NEW",IF(ISNA(VLOOKUP(E1307,#REF!,1,FALSE())),"?TYPE_IDENTIFIABLE","?REFERENTIAL"),"_")))))</f>
        <v> </v>
      </c>
      <c r="H1307" s="25" t="str">
        <f>IF(J1307&lt;&gt;1,"",IF(I1307="SBJ","CB","?"))</f>
        <v> </v>
      </c>
      <c r="I1307" s="26" t="str">
        <f>IF(OR(E1307="",E1307="!!!",F1307="NEW"),"",INDEX(B1306:B$2,-1+SUMPRODUCT(MAX(ROW(E1306:E$2)*(E1307=E1306:E$2)))))</f>
        <v> </v>
      </c>
      <c r="J1307" s="26" t="str">
        <f>IF(OR(E1307="",E1307="!!!",F1307="NEW"),"",COUNTBLANK(OFFSET(A$1,,,SUMPRODUCT(MAX(ROW(E$2:E1307)*(E1307=E$2:E1307)))))-COUNTBLANK(OFFSET(A$1,,,SUMPRODUCT(MAX(ROW(E$1:E1306)*(E2=E$1:E1306))))))</f>
        <v> </v>
      </c>
      <c r="K1307" s="26" t="str">
        <f>IF(OR(E1307="",E1307="!!!",F1307="NEW"),"",INDEX(J$1:J1306,SUMPRODUCT(MAX(ROW(E$1:E1306)*(E1307=E$1:E1306)))))</f>
        <v> </v>
      </c>
      <c r="L1307" s="27"/>
    </row>
    <row r="1308" spans="1:12">
      <c r="A1308" s="20" t="s">
        <v>1325</v>
      </c>
      <c r="E1308" s="22">
        <f>IF(D1308="?OLD","!!!","")</f>
        <v/>
      </c>
      <c r="F1308" s="23" t="str">
        <f>IF(OR(E1308="",E1308="!!!"),"",IF(NOT(ISNA(VLOOKUP(E1308,E$1:E1307,1,FALSE()))),"OLD",IF(AND(E1308&lt;&gt;"",E1308&lt;&gt;"!!!"),"NEW","")))</f>
        <v> </v>
      </c>
      <c r="G1308" s="24" t="str">
        <f>IF(OR(E1308="",E1308="!!!"),"",IF(OR(J1308=0,AND(J1308=1,K1308=1),AND(J1308=1,I1308="SBJ"),AND(J1308=1,I1308=0)),"?IN_FOCUS",IF(J1308&lt;=2,"?ACTIVATED",IF(J1308&lt;&gt;"","?FAMILIAR",IF(F1308="NEW",IF(ISNA(VLOOKUP(E1308,#REF!,1,FALSE())),"?TYPE_IDENTIFIABLE","?REFERENTIAL"),"_")))))</f>
        <v> </v>
      </c>
      <c r="H1308" s="25" t="str">
        <f>IF(J1308&lt;&gt;1,"",IF(I1308="SBJ","CB","?"))</f>
        <v> </v>
      </c>
      <c r="I1308" s="26" t="str">
        <f>IF(OR(E1308="",E1308="!!!",F1308="NEW"),"",INDEX(B1307:B$2,-1+SUMPRODUCT(MAX(ROW(E1307:E$2)*(E1308=E1307:E$2)))))</f>
        <v> </v>
      </c>
      <c r="J1308" s="26" t="str">
        <f>IF(OR(E1308="",E1308="!!!",F1308="NEW"),"",COUNTBLANK(OFFSET(A$1,,,SUMPRODUCT(MAX(ROW(E$2:E1308)*(E1308=E$2:E1308)))))-COUNTBLANK(OFFSET(A$1,,,SUMPRODUCT(MAX(ROW(E$1:E1307)*(E2=E$1:E1307))))))</f>
        <v> </v>
      </c>
      <c r="K1308" s="26" t="str">
        <f>IF(OR(E1308="",E1308="!!!",F1308="NEW"),"",INDEX(J$1:J1307,SUMPRODUCT(MAX(ROW(E$1:E1307)*(E1308=E$1:E1307)))))</f>
        <v> </v>
      </c>
      <c r="L1308" s="27"/>
    </row>
    <row r="1309" spans="1:12">
      <c r="A1309" s="20" t="s">
        <v>759</v>
      </c>
      <c r="E1309" s="22">
        <f>IF(D1309="?OLD","!!!","")</f>
        <v/>
      </c>
      <c r="F1309" s="23" t="str">
        <f>IF(OR(E1309="",E1309="!!!"),"",IF(NOT(ISNA(VLOOKUP(E1309,E$1:E1308,1,FALSE()))),"OLD",IF(AND(E1309&lt;&gt;"",E1309&lt;&gt;"!!!"),"NEW","")))</f>
        <v> </v>
      </c>
      <c r="G1309" s="24" t="str">
        <f>IF(OR(E1309="",E1309="!!!"),"",IF(OR(J1309=0,AND(J1309=1,K1309=1),AND(J1309=1,I1309="SBJ"),AND(J1309=1,I1309=0)),"?IN_FOCUS",IF(J1309&lt;=2,"?ACTIVATED",IF(J1309&lt;&gt;"","?FAMILIAR",IF(F1309="NEW",IF(ISNA(VLOOKUP(E1309,#REF!,1,FALSE())),"?TYPE_IDENTIFIABLE","?REFERENTIAL"),"_")))))</f>
        <v> </v>
      </c>
      <c r="H1309" s="25" t="str">
        <f>IF(J1309&lt;&gt;1,"",IF(I1309="SBJ","CB","?"))</f>
        <v> </v>
      </c>
      <c r="I1309" s="26" t="str">
        <f>IF(OR(E1309="",E1309="!!!",F1309="NEW"),"",INDEX(B1308:B$2,-1+SUMPRODUCT(MAX(ROW(E1308:E$2)*(E1309=E1308:E$2)))))</f>
        <v> </v>
      </c>
      <c r="J1309" s="26" t="str">
        <f>IF(OR(E1309="",E1309="!!!",F1309="NEW"),"",COUNTBLANK(OFFSET(A$1,,,SUMPRODUCT(MAX(ROW(E$2:E1309)*(E1309=E$2:E1309)))))-COUNTBLANK(OFFSET(A$1,,,SUMPRODUCT(MAX(ROW(E$1:E1308)*(E2=E$1:E1308))))))</f>
        <v> </v>
      </c>
      <c r="K1309" s="26" t="str">
        <f>IF(OR(E1309="",E1309="!!!",F1309="NEW"),"",INDEX(J$1:J1308,SUMPRODUCT(MAX(ROW(E$1:E1308)*(E1309=E$1:E1308)))))</f>
        <v> </v>
      </c>
      <c r="L1309" s="27"/>
    </row>
    <row r="1310" spans="1:12">
      <c r="A1310" s="20" t="s">
        <v>732</v>
      </c>
      <c r="E1310" s="22">
        <f>IF(D1310="?OLD","!!!","")</f>
        <v/>
      </c>
      <c r="F1310" s="23" t="str">
        <f>IF(OR(E1310="",E1310="!!!"),"",IF(NOT(ISNA(VLOOKUP(E1310,E$1:E1309,1,FALSE()))),"OLD",IF(AND(E1310&lt;&gt;"",E1310&lt;&gt;"!!!"),"NEW","")))</f>
        <v> </v>
      </c>
      <c r="G1310" s="24" t="str">
        <f>IF(OR(E1310="",E1310="!!!"),"",IF(OR(J1310=0,AND(J1310=1,K1310=1),AND(J1310=1,I1310="SBJ"),AND(J1310=1,I1310=0)),"?IN_FOCUS",IF(J1310&lt;=2,"?ACTIVATED",IF(J1310&lt;&gt;"","?FAMILIAR",IF(F1310="NEW",IF(ISNA(VLOOKUP(E1310,#REF!,1,FALSE())),"?TYPE_IDENTIFIABLE","?REFERENTIAL"),"_")))))</f>
        <v> </v>
      </c>
      <c r="H1310" s="25" t="str">
        <f>IF(J1310&lt;&gt;1,"",IF(I1310="SBJ","CB","?"))</f>
        <v> </v>
      </c>
      <c r="I1310" s="26" t="str">
        <f>IF(OR(E1310="",E1310="!!!",F1310="NEW"),"",INDEX(B1309:B$2,-1+SUMPRODUCT(MAX(ROW(E1309:E$2)*(E1310=E1309:E$2)))))</f>
        <v> </v>
      </c>
      <c r="J1310" s="26" t="str">
        <f>IF(OR(E1310="",E1310="!!!",F1310="NEW"),"",COUNTBLANK(OFFSET(A$1,,,SUMPRODUCT(MAX(ROW(E$2:E1310)*(E1310=E$2:E1310)))))-COUNTBLANK(OFFSET(A$1,,,SUMPRODUCT(MAX(ROW(E$1:E1309)*(E2=E$1:E1309))))))</f>
        <v> </v>
      </c>
      <c r="K1310" s="26" t="str">
        <f>IF(OR(E1310="",E1310="!!!",F1310="NEW"),"",INDEX(J$1:J1309,SUMPRODUCT(MAX(ROW(E$1:E1309)*(E1310=E$1:E1309)))))</f>
        <v> </v>
      </c>
      <c r="L1310" s="27"/>
    </row>
    <row r="1311" spans="1:12">
      <c r="A1311" s="20" t="s">
        <v>1326</v>
      </c>
      <c r="E1311" s="22">
        <f>IF(D1311="?OLD","!!!","")</f>
        <v/>
      </c>
      <c r="F1311" s="23" t="str">
        <f>IF(OR(E1311="",E1311="!!!"),"",IF(NOT(ISNA(VLOOKUP(E1311,E$1:E1310,1,FALSE()))),"OLD",IF(AND(E1311&lt;&gt;"",E1311&lt;&gt;"!!!"),"NEW","")))</f>
        <v> </v>
      </c>
      <c r="G1311" s="24" t="str">
        <f>IF(OR(E1311="",E1311="!!!"),"",IF(OR(J1311=0,AND(J1311=1,K1311=1),AND(J1311=1,I1311="SBJ"),AND(J1311=1,I1311=0)),"?IN_FOCUS",IF(J1311&lt;=2,"?ACTIVATED",IF(J1311&lt;&gt;"","?FAMILIAR",IF(F1311="NEW",IF(ISNA(VLOOKUP(E1311,#REF!,1,FALSE())),"?TYPE_IDENTIFIABLE","?REFERENTIAL"),"_")))))</f>
        <v> </v>
      </c>
      <c r="H1311" s="25" t="str">
        <f>IF(J1311&lt;&gt;1,"",IF(I1311="SBJ","CB","?"))</f>
        <v> </v>
      </c>
      <c r="I1311" s="26" t="str">
        <f>IF(OR(E1311="",E1311="!!!",F1311="NEW"),"",INDEX(B1310:B$2,-1+SUMPRODUCT(MAX(ROW(E1310:E$2)*(E1311=E1310:E$2)))))</f>
        <v> </v>
      </c>
      <c r="J1311" s="26" t="str">
        <f>IF(OR(E1311="",E1311="!!!",F1311="NEW"),"",COUNTBLANK(OFFSET(A$1,,,SUMPRODUCT(MAX(ROW(E$2:E1311)*(E1311=E$2:E1311)))))-COUNTBLANK(OFFSET(A$1,,,SUMPRODUCT(MAX(ROW(E$1:E1310)*(E2=E$1:E1310))))))</f>
        <v> </v>
      </c>
      <c r="K1311" s="26" t="str">
        <f>IF(OR(E1311="",E1311="!!!",F1311="NEW"),"",INDEX(J$1:J1310,SUMPRODUCT(MAX(ROW(E$1:E1310)*(E1311=E$1:E1310)))))</f>
        <v> </v>
      </c>
      <c r="L1311" s="27"/>
    </row>
    <row r="1312" spans="1:12">
      <c r="A1312" s="20" t="s">
        <v>1098</v>
      </c>
      <c r="E1312" s="22">
        <f>IF(D1312="?OLD","!!!","")</f>
        <v/>
      </c>
      <c r="F1312" s="23" t="str">
        <f>IF(OR(E1312="",E1312="!!!"),"",IF(NOT(ISNA(VLOOKUP(E1312,E$1:E1311,1,FALSE()))),"OLD",IF(AND(E1312&lt;&gt;"",E1312&lt;&gt;"!!!"),"NEW","")))</f>
        <v> </v>
      </c>
      <c r="G1312" s="24" t="str">
        <f>IF(OR(E1312="",E1312="!!!"),"",IF(OR(J1312=0,AND(J1312=1,K1312=1),AND(J1312=1,I1312="SBJ"),AND(J1312=1,I1312=0)),"?IN_FOCUS",IF(J1312&lt;=2,"?ACTIVATED",IF(J1312&lt;&gt;"","?FAMILIAR",IF(F1312="NEW",IF(ISNA(VLOOKUP(E1312,#REF!,1,FALSE())),"?TYPE_IDENTIFIABLE","?REFERENTIAL"),"_")))))</f>
        <v> </v>
      </c>
      <c r="H1312" s="25" t="str">
        <f>IF(J1312&lt;&gt;1,"",IF(I1312="SBJ","CB","?"))</f>
        <v> </v>
      </c>
      <c r="I1312" s="26" t="str">
        <f>IF(OR(E1312="",E1312="!!!",F1312="NEW"),"",INDEX(B1311:B$2,-1+SUMPRODUCT(MAX(ROW(E1311:E$2)*(E1312=E1311:E$2)))))</f>
        <v> </v>
      </c>
      <c r="J1312" s="26" t="str">
        <f>IF(OR(E1312="",E1312="!!!",F1312="NEW"),"",COUNTBLANK(OFFSET(A$1,,,SUMPRODUCT(MAX(ROW(E$2:E1312)*(E1312=E$2:E1312)))))-COUNTBLANK(OFFSET(A$1,,,SUMPRODUCT(MAX(ROW(E$1:E1311)*(E2=E$1:E1311))))))</f>
        <v> </v>
      </c>
      <c r="K1312" s="26" t="str">
        <f>IF(OR(E1312="",E1312="!!!",F1312="NEW"),"",INDEX(J$1:J1311,SUMPRODUCT(MAX(ROW(E$1:E1311)*(E1312=E$1:E1311)))))</f>
        <v> </v>
      </c>
      <c r="L1312" s="27"/>
    </row>
    <row r="1313" spans="1:12">
      <c r="A1313" s="20" t="s">
        <v>759</v>
      </c>
      <c r="E1313" s="22">
        <f>IF(D1313="?OLD","!!!","")</f>
        <v/>
      </c>
      <c r="F1313" s="23" t="str">
        <f>IF(OR(E1313="",E1313="!!!"),"",IF(NOT(ISNA(VLOOKUP(E1313,E$1:E1312,1,FALSE()))),"OLD",IF(AND(E1313&lt;&gt;"",E1313&lt;&gt;"!!!"),"NEW","")))</f>
        <v> </v>
      </c>
      <c r="G1313" s="24" t="str">
        <f>IF(OR(E1313="",E1313="!!!"),"",IF(OR(J1313=0,AND(J1313=1,K1313=1),AND(J1313=1,I1313="SBJ"),AND(J1313=1,I1313=0)),"?IN_FOCUS",IF(J1313&lt;=2,"?ACTIVATED",IF(J1313&lt;&gt;"","?FAMILIAR",IF(F1313="NEW",IF(ISNA(VLOOKUP(E1313,#REF!,1,FALSE())),"?TYPE_IDENTIFIABLE","?REFERENTIAL"),"_")))))</f>
        <v> </v>
      </c>
      <c r="H1313" s="25" t="str">
        <f>IF(J1313&lt;&gt;1,"",IF(I1313="SBJ","CB","?"))</f>
        <v> </v>
      </c>
      <c r="I1313" s="26" t="str">
        <f>IF(OR(E1313="",E1313="!!!",F1313="NEW"),"",INDEX(B1312:B$2,-1+SUMPRODUCT(MAX(ROW(E1312:E$2)*(E1313=E1312:E$2)))))</f>
        <v> </v>
      </c>
      <c r="J1313" s="26" t="str">
        <f>IF(OR(E1313="",E1313="!!!",F1313="NEW"),"",COUNTBLANK(OFFSET(A$1,,,SUMPRODUCT(MAX(ROW(E$2:E1313)*(E1313=E$2:E1313)))))-COUNTBLANK(OFFSET(A$1,,,SUMPRODUCT(MAX(ROW(E$1:E1312)*(E2=E$1:E1312))))))</f>
        <v> </v>
      </c>
      <c r="K1313" s="26" t="str">
        <f>IF(OR(E1313="",E1313="!!!",F1313="NEW"),"",INDEX(J$1:J1312,SUMPRODUCT(MAX(ROW(E$1:E1312)*(E1313=E$1:E1312)))))</f>
        <v> </v>
      </c>
      <c r="L1313" s="27"/>
    </row>
    <row r="1314" spans="1:12">
      <c r="A1314" s="20" t="s">
        <v>1327</v>
      </c>
      <c r="E1314" s="22">
        <f>IF(D1314="?OLD","!!!","")</f>
        <v/>
      </c>
      <c r="F1314" s="23" t="str">
        <f>IF(OR(E1314="",E1314="!!!"),"",IF(NOT(ISNA(VLOOKUP(E1314,E$1:E1313,1,FALSE()))),"OLD",IF(AND(E1314&lt;&gt;"",E1314&lt;&gt;"!!!"),"NEW","")))</f>
        <v> </v>
      </c>
      <c r="G1314" s="24" t="str">
        <f>IF(OR(E1314="",E1314="!!!"),"",IF(OR(J1314=0,AND(J1314=1,K1314=1),AND(J1314=1,I1314="SBJ"),AND(J1314=1,I1314=0)),"?IN_FOCUS",IF(J1314&lt;=2,"?ACTIVATED",IF(J1314&lt;&gt;"","?FAMILIAR",IF(F1314="NEW",IF(ISNA(VLOOKUP(E1314,#REF!,1,FALSE())),"?TYPE_IDENTIFIABLE","?REFERENTIAL"),"_")))))</f>
        <v> </v>
      </c>
      <c r="H1314" s="25" t="str">
        <f>IF(J1314&lt;&gt;1,"",IF(I1314="SBJ","CB","?"))</f>
        <v> </v>
      </c>
      <c r="I1314" s="26" t="str">
        <f>IF(OR(E1314="",E1314="!!!",F1314="NEW"),"",INDEX(B1313:B$2,-1+SUMPRODUCT(MAX(ROW(E1313:E$2)*(E1314=E1313:E$2)))))</f>
        <v> </v>
      </c>
      <c r="J1314" s="26" t="str">
        <f>IF(OR(E1314="",E1314="!!!",F1314="NEW"),"",COUNTBLANK(OFFSET(A$1,,,SUMPRODUCT(MAX(ROW(E$2:E1314)*(E1314=E$2:E1314)))))-COUNTBLANK(OFFSET(A$1,,,SUMPRODUCT(MAX(ROW(E$1:E1313)*(E2=E$1:E1313))))))</f>
        <v> </v>
      </c>
      <c r="K1314" s="26" t="str">
        <f>IF(OR(E1314="",E1314="!!!",F1314="NEW"),"",INDEX(J$1:J1313,SUMPRODUCT(MAX(ROW(E$1:E1313)*(E1314=E$1:E1313)))))</f>
        <v> </v>
      </c>
      <c r="L1314" s="27"/>
    </row>
    <row r="1315" spans="1:12">
      <c r="A1315" s="20" t="s">
        <v>1328</v>
      </c>
      <c r="B1315" s="21" t="s">
        <v>796</v>
      </c>
      <c r="C1315" s="21" t="s">
        <v>748</v>
      </c>
      <c r="E1315" s="22">
        <f>IF(D1315="?OLD","!!!","")</f>
        <v/>
      </c>
      <c r="F1315" s="23" t="str">
        <f>IF(OR(E1315="",E1315="!!!"),"",IF(NOT(ISNA(VLOOKUP(E1315,E$1:E1314,1,FALSE()))),"OLD",IF(AND(E1315&lt;&gt;"",E1315&lt;&gt;"!!!"),"NEW","")))</f>
        <v> </v>
      </c>
      <c r="G1315" s="24" t="str">
        <f>IF(OR(E1315="",E1315="!!!"),"",IF(OR(J1315=0,AND(J1315=1,K1315=1),AND(J1315=1,I1315="SBJ"),AND(J1315=1,I1315=0)),"?IN_FOCUS",IF(J1315&lt;=2,"?ACTIVATED",IF(J1315&lt;&gt;"","?FAMILIAR",IF(F1315="NEW",IF(ISNA(VLOOKUP(E1315,#REF!,1,FALSE())),"?TYPE_IDENTIFIABLE","?REFERENTIAL"),"_")))))</f>
        <v> </v>
      </c>
      <c r="H1315" s="25" t="str">
        <f>IF(J1315&lt;&gt;1,"",IF(I1315="SBJ","CB","?"))</f>
        <v> </v>
      </c>
      <c r="I1315" s="26" t="str">
        <f>IF(OR(E1315="",E1315="!!!",F1315="NEW"),"",INDEX(B1314:B$2,-1+SUMPRODUCT(MAX(ROW(E1314:E$2)*(E1315=E1314:E$2)))))</f>
        <v> </v>
      </c>
      <c r="J1315" s="26" t="str">
        <f>IF(OR(E1315="",E1315="!!!",F1315="NEW"),"",COUNTBLANK(OFFSET(A$1,,,SUMPRODUCT(MAX(ROW(E$2:E1315)*(E1315=E$2:E1315)))))-COUNTBLANK(OFFSET(A$1,,,SUMPRODUCT(MAX(ROW(E$1:E1314)*(E2=E$1:E1314))))))</f>
        <v> </v>
      </c>
      <c r="K1315" s="26" t="str">
        <f>IF(OR(E1315="",E1315="!!!",F1315="NEW"),"",INDEX(J$1:J1314,SUMPRODUCT(MAX(ROW(E$1:E1314)*(E1315=E$1:E1314)))))</f>
        <v> </v>
      </c>
      <c r="L1315" s="27"/>
    </row>
    <row r="1316" spans="1:12">
      <c r="A1316" s="20" t="s">
        <v>759</v>
      </c>
      <c r="E1316" s="22">
        <f>IF(D1316="?OLD","!!!","")</f>
        <v/>
      </c>
      <c r="F1316" s="23" t="str">
        <f>IF(OR(E1316="",E1316="!!!"),"",IF(NOT(ISNA(VLOOKUP(E1316,E$1:E1315,1,FALSE()))),"OLD",IF(AND(E1316&lt;&gt;"",E1316&lt;&gt;"!!!"),"NEW","")))</f>
        <v> </v>
      </c>
      <c r="G1316" s="24" t="str">
        <f>IF(OR(E1316="",E1316="!!!"),"",IF(OR(J1316=0,AND(J1316=1,K1316=1),AND(J1316=1,I1316="SBJ"),AND(J1316=1,I1316=0)),"?IN_FOCUS",IF(J1316&lt;=2,"?ACTIVATED",IF(J1316&lt;&gt;"","?FAMILIAR",IF(F1316="NEW",IF(ISNA(VLOOKUP(E1316,#REF!,1,FALSE())),"?TYPE_IDENTIFIABLE","?REFERENTIAL"),"_")))))</f>
        <v> </v>
      </c>
      <c r="H1316" s="25" t="str">
        <f>IF(J1316&lt;&gt;1,"",IF(I1316="SBJ","CB","?"))</f>
        <v> </v>
      </c>
      <c r="I1316" s="26" t="str">
        <f>IF(OR(E1316="",E1316="!!!",F1316="NEW"),"",INDEX(B1315:B$2,-1+SUMPRODUCT(MAX(ROW(E1315:E$2)*(E1316=E1315:E$2)))))</f>
        <v> </v>
      </c>
      <c r="J1316" s="26" t="str">
        <f>IF(OR(E1316="",E1316="!!!",F1316="NEW"),"",COUNTBLANK(OFFSET(A$1,,,SUMPRODUCT(MAX(ROW(E$2:E1316)*(E1316=E$2:E1316)))))-COUNTBLANK(OFFSET(A$1,,,SUMPRODUCT(MAX(ROW(E$1:E1315)*(E2=E$1:E1315))))))</f>
        <v> </v>
      </c>
      <c r="K1316" s="26" t="str">
        <f>IF(OR(E1316="",E1316="!!!",F1316="NEW"),"",INDEX(J$1:J1315,SUMPRODUCT(MAX(ROW(E$1:E1315)*(E1316=E$1:E1315)))))</f>
        <v> </v>
      </c>
      <c r="L1316" s="27"/>
    </row>
    <row r="1317" spans="1:12">
      <c r="A1317" s="20" t="s">
        <v>813</v>
      </c>
      <c r="B1317" s="21" t="s">
        <v>777</v>
      </c>
      <c r="E1317" s="22">
        <f>IF(D1317="?OLD","!!!","")</f>
        <v/>
      </c>
      <c r="F1317" s="23" t="str">
        <f>IF(OR(E1317="",E1317="!!!"),"",IF(NOT(ISNA(VLOOKUP(E1317,E$1:E1316,1,FALSE()))),"OLD",IF(AND(E1317&lt;&gt;"",E1317&lt;&gt;"!!!"),"NEW","")))</f>
        <v> </v>
      </c>
      <c r="G1317" s="24" t="str">
        <f>IF(OR(E1317="",E1317="!!!"),"",IF(OR(J1317=0,AND(J1317=1,K1317=1),AND(J1317=1,I1317="SBJ"),AND(J1317=1,I1317=0)),"?IN_FOCUS",IF(J1317&lt;=2,"?ACTIVATED",IF(J1317&lt;&gt;"","?FAMILIAR",IF(F1317="NEW",IF(ISNA(VLOOKUP(E1317,#REF!,1,FALSE())),"?TYPE_IDENTIFIABLE","?REFERENTIAL"),"_")))))</f>
        <v> </v>
      </c>
      <c r="H1317" s="25" t="str">
        <f>IF(J1317&lt;&gt;1,"",IF(I1317="SBJ","CB","?"))</f>
        <v> </v>
      </c>
      <c r="I1317" s="26" t="str">
        <f>IF(OR(E1317="",E1317="!!!",F1317="NEW"),"",INDEX(B1316:B$2,-1+SUMPRODUCT(MAX(ROW(E1316:E$2)*(E1317=E1316:E$2)))))</f>
        <v> </v>
      </c>
      <c r="J1317" s="26" t="str">
        <f>IF(OR(E1317="",E1317="!!!",F1317="NEW"),"",COUNTBLANK(OFFSET(A$1,,,SUMPRODUCT(MAX(ROW(E$2:E1317)*(E1317=E$2:E1317)))))-COUNTBLANK(OFFSET(A$1,,,SUMPRODUCT(MAX(ROW(E$1:E1316)*(E2=E$1:E1316))))))</f>
        <v> </v>
      </c>
      <c r="K1317" s="26" t="str">
        <f>IF(OR(E1317="",E1317="!!!",F1317="NEW"),"",INDEX(J$1:J1316,SUMPRODUCT(MAX(ROW(E$1:E1316)*(E1317=E$1:E1316)))))</f>
        <v> </v>
      </c>
      <c r="L1317" s="27"/>
    </row>
    <row r="1318" spans="1:12">
      <c r="A1318" s="20" t="s">
        <v>1329</v>
      </c>
      <c r="E1318" s="22">
        <f>IF(D1318="?OLD","!!!","")</f>
        <v/>
      </c>
      <c r="F1318" s="23" t="str">
        <f>IF(OR(E1318="",E1318="!!!"),"",IF(NOT(ISNA(VLOOKUP(E1318,E$1:E1317,1,FALSE()))),"OLD",IF(AND(E1318&lt;&gt;"",E1318&lt;&gt;"!!!"),"NEW","")))</f>
        <v> </v>
      </c>
      <c r="G1318" s="24" t="str">
        <f>IF(OR(E1318="",E1318="!!!"),"",IF(OR(J1318=0,AND(J1318=1,K1318=1),AND(J1318=1,I1318="SBJ"),AND(J1318=1,I1318=0)),"?IN_FOCUS",IF(J1318&lt;=2,"?ACTIVATED",IF(J1318&lt;&gt;"","?FAMILIAR",IF(F1318="NEW",IF(ISNA(VLOOKUP(E1318,#REF!,1,FALSE())),"?TYPE_IDENTIFIABLE","?REFERENTIAL"),"_")))))</f>
        <v> </v>
      </c>
      <c r="H1318" s="25" t="str">
        <f>IF(J1318&lt;&gt;1,"",IF(I1318="SBJ","CB","?"))</f>
        <v> </v>
      </c>
      <c r="I1318" s="26" t="str">
        <f>IF(OR(E1318="",E1318="!!!",F1318="NEW"),"",INDEX(B1317:B$2,-1+SUMPRODUCT(MAX(ROW(E1317:E$2)*(E1318=E1317:E$2)))))</f>
        <v> </v>
      </c>
      <c r="J1318" s="26" t="str">
        <f>IF(OR(E1318="",E1318="!!!",F1318="NEW"),"",COUNTBLANK(OFFSET(A$1,,,SUMPRODUCT(MAX(ROW(E$2:E1318)*(E1318=E$2:E1318)))))-COUNTBLANK(OFFSET(A$1,,,SUMPRODUCT(MAX(ROW(E$1:E1317)*(E2=E$1:E1317))))))</f>
        <v> </v>
      </c>
      <c r="K1318" s="26" t="str">
        <f>IF(OR(E1318="",E1318="!!!",F1318="NEW"),"",INDEX(J$1:J1317,SUMPRODUCT(MAX(ROW(E$1:E1317)*(E1318=E$1:E1317)))))</f>
        <v> </v>
      </c>
      <c r="L1318" s="27"/>
    </row>
    <row r="1319" spans="1:12">
      <c r="A1319" s="20" t="s">
        <v>1177</v>
      </c>
      <c r="B1319" s="21" t="s">
        <v>783</v>
      </c>
      <c r="C1319" s="21" t="s">
        <v>740</v>
      </c>
      <c r="D1319" s="21" t="s">
        <v>730</v>
      </c>
      <c r="E1319" s="22">
        <f>IF(D1319="?OLD","!!!","")</f>
        <v/>
      </c>
      <c r="F1319" s="23" t="str">
        <f>IF(OR(E1319="",E1319="!!!"),"",IF(NOT(ISNA(VLOOKUP(E1319,E$1:E1318,1,FALSE()))),"OLD",IF(AND(E1319&lt;&gt;"",E1319&lt;&gt;"!!!"),"NEW","")))</f>
        <v> </v>
      </c>
      <c r="G1319" s="24" t="str">
        <f>IF(OR(E1319="",E1319="!!!"),"",IF(OR(J1319=0,AND(J1319=1,K1319=1),AND(J1319=1,I1319="SBJ"),AND(J1319=1,I1319=0)),"?IN_FOCUS",IF(J1319&lt;=2,"?ACTIVATED",IF(J1319&lt;&gt;"","?FAMILIAR",IF(F1319="NEW",IF(ISNA(VLOOKUP(E1319,#REF!,1,FALSE())),"?TYPE_IDENTIFIABLE","?REFERENTIAL"),"_")))))</f>
        <v> </v>
      </c>
      <c r="H1319" s="25" t="str">
        <f>IF(J1319&lt;&gt;1,"",IF(I1319="SBJ","CB","?"))</f>
        <v> </v>
      </c>
      <c r="I1319" s="26" t="str">
        <f>IF(OR(E1319="",E1319="!!!",F1319="NEW"),"",INDEX(B1318:B$2,-1+SUMPRODUCT(MAX(ROW(E1318:E$2)*(E1319=E1318:E$2)))))</f>
        <v> </v>
      </c>
      <c r="J1319" s="26" t="str">
        <f>IF(OR(E1319="",E1319="!!!",F1319="NEW"),"",COUNTBLANK(OFFSET(A$1,,,SUMPRODUCT(MAX(ROW(E$2:E1319)*(E1319=E$2:E1319)))))-COUNTBLANK(OFFSET(A$1,,,SUMPRODUCT(MAX(ROW(E$1:E1318)*(E2=E$1:E1318))))))</f>
        <v> </v>
      </c>
      <c r="K1319" s="26" t="str">
        <f>IF(OR(E1319="",E1319="!!!",F1319="NEW"),"",INDEX(J$1:J1318,SUMPRODUCT(MAX(ROW(E$1:E1318)*(E1319=E$1:E1318)))))</f>
        <v> </v>
      </c>
      <c r="L1319" s="27"/>
    </row>
    <row r="1320" spans="1:12">
      <c r="A1320" s="20" t="s">
        <v>1330</v>
      </c>
      <c r="E1320" s="22">
        <f>IF(D1320="?OLD","!!!","")</f>
        <v/>
      </c>
      <c r="F1320" s="23" t="str">
        <f>IF(OR(E1320="",E1320="!!!"),"",IF(NOT(ISNA(VLOOKUP(E1320,E$1:E1319,1,FALSE()))),"OLD",IF(AND(E1320&lt;&gt;"",E1320&lt;&gt;"!!!"),"NEW","")))</f>
        <v> </v>
      </c>
      <c r="G1320" s="24" t="str">
        <f>IF(OR(E1320="",E1320="!!!"),"",IF(OR(J1320=0,AND(J1320=1,K1320=1),AND(J1320=1,I1320="SBJ"),AND(J1320=1,I1320=0)),"?IN_FOCUS",IF(J1320&lt;=2,"?ACTIVATED",IF(J1320&lt;&gt;"","?FAMILIAR",IF(F1320="NEW",IF(ISNA(VLOOKUP(E1320,#REF!,1,FALSE())),"?TYPE_IDENTIFIABLE","?REFERENTIAL"),"_")))))</f>
        <v> </v>
      </c>
      <c r="H1320" s="25" t="str">
        <f>IF(J1320&lt;&gt;1,"",IF(I1320="SBJ","CB","?"))</f>
        <v> </v>
      </c>
      <c r="I1320" s="26" t="str">
        <f>IF(OR(E1320="",E1320="!!!",F1320="NEW"),"",INDEX(B1319:B$2,-1+SUMPRODUCT(MAX(ROW(E1319:E$2)*(E1320=E1319:E$2)))))</f>
        <v> </v>
      </c>
      <c r="J1320" s="26" t="str">
        <f>IF(OR(E1320="",E1320="!!!",F1320="NEW"),"",COUNTBLANK(OFFSET(A$1,,,SUMPRODUCT(MAX(ROW(E$2:E1320)*(E1320=E$2:E1320)))))-COUNTBLANK(OFFSET(A$1,,,SUMPRODUCT(MAX(ROW(E$1:E1319)*(E2=E$1:E1319))))))</f>
        <v> </v>
      </c>
      <c r="K1320" s="26" t="str">
        <f>IF(OR(E1320="",E1320="!!!",F1320="NEW"),"",INDEX(J$1:J1319,SUMPRODUCT(MAX(ROW(E$1:E1319)*(E1320=E$1:E1319)))))</f>
        <v> </v>
      </c>
      <c r="L1320" s="27"/>
    </row>
    <row r="1321" spans="1:12">
      <c r="A1321" s="20" t="s">
        <v>1331</v>
      </c>
      <c r="E1321" s="22">
        <f>IF(D1321="?OLD","!!!","")</f>
        <v/>
      </c>
      <c r="F1321" s="23" t="str">
        <f>IF(OR(E1321="",E1321="!!!"),"",IF(NOT(ISNA(VLOOKUP(E1321,E$1:E1320,1,FALSE()))),"OLD",IF(AND(E1321&lt;&gt;"",E1321&lt;&gt;"!!!"),"NEW","")))</f>
        <v> </v>
      </c>
      <c r="G1321" s="24" t="str">
        <f>IF(OR(E1321="",E1321="!!!"),"",IF(OR(J1321=0,AND(J1321=1,K1321=1),AND(J1321=1,I1321="SBJ"),AND(J1321=1,I1321=0)),"?IN_FOCUS",IF(J1321&lt;=2,"?ACTIVATED",IF(J1321&lt;&gt;"","?FAMILIAR",IF(F1321="NEW",IF(ISNA(VLOOKUP(E1321,#REF!,1,FALSE())),"?TYPE_IDENTIFIABLE","?REFERENTIAL"),"_")))))</f>
        <v> </v>
      </c>
      <c r="H1321" s="25" t="str">
        <f>IF(J1321&lt;&gt;1,"",IF(I1321="SBJ","CB","?"))</f>
        <v> </v>
      </c>
      <c r="I1321" s="26" t="str">
        <f>IF(OR(E1321="",E1321="!!!",F1321="NEW"),"",INDEX(B1320:B$2,-1+SUMPRODUCT(MAX(ROW(E1320:E$2)*(E1321=E1320:E$2)))))</f>
        <v> </v>
      </c>
      <c r="J1321" s="26" t="str">
        <f>IF(OR(E1321="",E1321="!!!",F1321="NEW"),"",COUNTBLANK(OFFSET(A$1,,,SUMPRODUCT(MAX(ROW(E$2:E1321)*(E1321=E$2:E1321)))))-COUNTBLANK(OFFSET(A$1,,,SUMPRODUCT(MAX(ROW(E$1:E1320)*(E2=E$1:E1320))))))</f>
        <v> </v>
      </c>
      <c r="K1321" s="26" t="str">
        <f>IF(OR(E1321="",E1321="!!!",F1321="NEW"),"",INDEX(J$1:J1320,SUMPRODUCT(MAX(ROW(E$1:E1320)*(E1321=E$1:E1320)))))</f>
        <v> </v>
      </c>
      <c r="L1321" s="27"/>
    </row>
    <row r="1322" spans="1:12">
      <c r="A1322" s="20" t="s">
        <v>1137</v>
      </c>
      <c r="E1322" s="22">
        <f>IF(D1322="?OLD","!!!","")</f>
        <v/>
      </c>
      <c r="F1322" s="23" t="str">
        <f>IF(OR(E1322="",E1322="!!!"),"",IF(NOT(ISNA(VLOOKUP(E1322,E$1:E1321,1,FALSE()))),"OLD",IF(AND(E1322&lt;&gt;"",E1322&lt;&gt;"!!!"),"NEW","")))</f>
        <v> </v>
      </c>
      <c r="G1322" s="24" t="str">
        <f>IF(OR(E1322="",E1322="!!!"),"",IF(OR(J1322=0,AND(J1322=1,K1322=1),AND(J1322=1,I1322="SBJ"),AND(J1322=1,I1322=0)),"?IN_FOCUS",IF(J1322&lt;=2,"?ACTIVATED",IF(J1322&lt;&gt;"","?FAMILIAR",IF(F1322="NEW",IF(ISNA(VLOOKUP(E1322,#REF!,1,FALSE())),"?TYPE_IDENTIFIABLE","?REFERENTIAL"),"_")))))</f>
        <v> </v>
      </c>
      <c r="H1322" s="25" t="str">
        <f>IF(J1322&lt;&gt;1,"",IF(I1322="SBJ","CB","?"))</f>
        <v> </v>
      </c>
      <c r="I1322" s="26" t="str">
        <f>IF(OR(E1322="",E1322="!!!",F1322="NEW"),"",INDEX(B1321:B$2,-1+SUMPRODUCT(MAX(ROW(E1321:E$2)*(E1322=E1321:E$2)))))</f>
        <v> </v>
      </c>
      <c r="J1322" s="26" t="str">
        <f>IF(OR(E1322="",E1322="!!!",F1322="NEW"),"",COUNTBLANK(OFFSET(A$1,,,SUMPRODUCT(MAX(ROW(E$2:E1322)*(E1322=E$2:E1322)))))-COUNTBLANK(OFFSET(A$1,,,SUMPRODUCT(MAX(ROW(E$1:E1321)*(E2=E$1:E1321))))))</f>
        <v> </v>
      </c>
      <c r="K1322" s="26" t="str">
        <f>IF(OR(E1322="",E1322="!!!",F1322="NEW"),"",INDEX(J$1:J1321,SUMPRODUCT(MAX(ROW(E$1:E1321)*(E1322=E$1:E1321)))))</f>
        <v> </v>
      </c>
      <c r="L1322" s="27"/>
    </row>
    <row r="1323" spans="1:12">
      <c r="A1323" s="20" t="s">
        <v>246</v>
      </c>
      <c r="E1323" s="22">
        <f>IF(D1323="?OLD","!!!","")</f>
        <v/>
      </c>
      <c r="F1323" s="23" t="str">
        <f>IF(OR(E1323="",E1323="!!!"),"",IF(NOT(ISNA(VLOOKUP(E1323,E$1:E1322,1,FALSE()))),"OLD",IF(AND(E1323&lt;&gt;"",E1323&lt;&gt;"!!!"),"NEW","")))</f>
        <v> </v>
      </c>
      <c r="G1323" s="24" t="str">
        <f>IF(OR(E1323="",E1323="!!!"),"",IF(OR(J1323=0,AND(J1323=1,K1323=1),AND(J1323=1,I1323="SBJ"),AND(J1323=1,I1323=0)),"?IN_FOCUS",IF(J1323&lt;=2,"?ACTIVATED",IF(J1323&lt;&gt;"","?FAMILIAR",IF(F1323="NEW",IF(ISNA(VLOOKUP(E1323,#REF!,1,FALSE())),"?TYPE_IDENTIFIABLE","?REFERENTIAL"),"_")))))</f>
        <v> </v>
      </c>
      <c r="H1323" s="25" t="str">
        <f>IF(J1323&lt;&gt;1,"",IF(I1323="SBJ","CB","?"))</f>
        <v> </v>
      </c>
      <c r="I1323" s="26" t="str">
        <f>IF(OR(E1323="",E1323="!!!",F1323="NEW"),"",INDEX(B1322:B$2,-1+SUMPRODUCT(MAX(ROW(E1322:E$2)*(E1323=E1322:E$2)))))</f>
        <v> </v>
      </c>
      <c r="J1323" s="26" t="str">
        <f>IF(OR(E1323="",E1323="!!!",F1323="NEW"),"",COUNTBLANK(OFFSET(A$1,,,SUMPRODUCT(MAX(ROW(E$2:E1323)*(E1323=E$2:E1323)))))-COUNTBLANK(OFFSET(A$1,,,SUMPRODUCT(MAX(ROW(E$1:E1322)*(E2=E$1:E1322))))))</f>
        <v> </v>
      </c>
      <c r="K1323" s="26" t="str">
        <f>IF(OR(E1323="",E1323="!!!",F1323="NEW"),"",INDEX(J$1:J1322,SUMPRODUCT(MAX(ROW(E$1:E1322)*(E1323=E$1:E1322)))))</f>
        <v> </v>
      </c>
      <c r="L1323" s="27"/>
    </row>
    <row r="1324" spans="1:12">
      <c r="A1324" s="20"/>
    </row>
    <row r="1325" spans="1:12">
      <c r="A1325" s="20" t="s">
        <v>1332</v>
      </c>
    </row>
    <row r="1326" spans="1:12">
      <c r="A1326" s="20" t="s">
        <v>768</v>
      </c>
      <c r="E1326" s="22">
        <f>IF(D1326="?OLD","!!!","")</f>
        <v/>
      </c>
      <c r="F1326" s="23" t="str">
        <f>IF(OR(E1326="",E1326="!!!"),"",IF(NOT(ISNA(VLOOKUP(E1326,E$1:E1325,1,FALSE()))),"OLD",IF(AND(E1326&lt;&gt;"",E1326&lt;&gt;"!!!"),"NEW","")))</f>
        <v> </v>
      </c>
      <c r="G1326" s="24" t="str">
        <f>IF(OR(E1326="",E1326="!!!"),"",IF(OR(J1326=0,AND(J1326=1,K1326=1),AND(J1326=1,I1326="SBJ"),AND(J1326=1,I1326=0)),"?IN_FOCUS",IF(J1326&lt;=2,"?ACTIVATED",IF(J1326&lt;&gt;"","?FAMILIAR",IF(F1326="NEW",IF(ISNA(VLOOKUP(E1326,#REF!,1,FALSE())),"?TYPE_IDENTIFIABLE","?REFERENTIAL"),"_")))))</f>
        <v> </v>
      </c>
      <c r="H1326" s="25" t="str">
        <f>IF(J1326&lt;&gt;1,"",IF(I1326="SBJ","CB","?"))</f>
        <v> </v>
      </c>
      <c r="I1326" s="26" t="str">
        <f>IF(OR(E1326="",E1326="!!!",F1326="NEW"),"",INDEX(B1325:B$2,-1+SUMPRODUCT(MAX(ROW(E1325:E$2)*(E1326=E1325:E$2)))))</f>
        <v> </v>
      </c>
      <c r="J1326" s="26" t="str">
        <f>IF(OR(E1326="",E1326="!!!",F1326="NEW"),"",COUNTBLANK(OFFSET(A$1,,,SUMPRODUCT(MAX(ROW(E$2:E1326)*(E1326=E$2:E1326)))))-COUNTBLANK(OFFSET(A$1,,,SUMPRODUCT(MAX(ROW(E$1:E1325)*(E2=E$1:E1325))))))</f>
        <v> </v>
      </c>
      <c r="K1326" s="26" t="str">
        <f>IF(OR(E1326="",E1326="!!!",F1326="NEW"),"",INDEX(J$1:J1325,SUMPRODUCT(MAX(ROW(E$1:E1325)*(E1326=E$1:E1325)))))</f>
        <v> </v>
      </c>
      <c r="L1326" s="27"/>
    </row>
    <row r="1327" spans="1:12">
      <c r="A1327" s="20" t="s">
        <v>813</v>
      </c>
      <c r="E1327" s="22">
        <f>IF(D1327="?OLD","!!!","")</f>
        <v/>
      </c>
      <c r="F1327" s="23" t="str">
        <f>IF(OR(E1327="",E1327="!!!"),"",IF(NOT(ISNA(VLOOKUP(E1327,E$1:E1326,1,FALSE()))),"OLD",IF(AND(E1327&lt;&gt;"",E1327&lt;&gt;"!!!"),"NEW","")))</f>
        <v> </v>
      </c>
      <c r="G1327" s="24" t="str">
        <f>IF(OR(E1327="",E1327="!!!"),"",IF(OR(J1327=0,AND(J1327=1,K1327=1),AND(J1327=1,I1327="SBJ"),AND(J1327=1,I1327=0)),"?IN_FOCUS",IF(J1327&lt;=2,"?ACTIVATED",IF(J1327&lt;&gt;"","?FAMILIAR",IF(F1327="NEW",IF(ISNA(VLOOKUP(E1327,#REF!,1,FALSE())),"?TYPE_IDENTIFIABLE","?REFERENTIAL"),"_")))))</f>
        <v> </v>
      </c>
      <c r="H1327" s="25" t="str">
        <f>IF(J1327&lt;&gt;1,"",IF(I1327="SBJ","CB","?"))</f>
        <v> </v>
      </c>
      <c r="I1327" s="26" t="str">
        <f>IF(OR(E1327="",E1327="!!!",F1327="NEW"),"",INDEX(B1326:B$2,-1+SUMPRODUCT(MAX(ROW(E1326:E$2)*(E1327=E1326:E$2)))))</f>
        <v> </v>
      </c>
      <c r="J1327" s="26" t="str">
        <f>IF(OR(E1327="",E1327="!!!",F1327="NEW"),"",COUNTBLANK(OFFSET(A$1,,,SUMPRODUCT(MAX(ROW(E$2:E1327)*(E1327=E$2:E1327)))))-COUNTBLANK(OFFSET(A$1,,,SUMPRODUCT(MAX(ROW(E$1:E1326)*(E2=E$1:E1326))))))</f>
        <v> </v>
      </c>
      <c r="K1327" s="26" t="str">
        <f>IF(OR(E1327="",E1327="!!!",F1327="NEW"),"",INDEX(J$1:J1326,SUMPRODUCT(MAX(ROW(E$1:E1326)*(E1327=E$1:E1326)))))</f>
        <v> </v>
      </c>
      <c r="L1327" s="27"/>
    </row>
    <row r="1328" spans="1:12">
      <c r="A1328" s="20" t="s">
        <v>1333</v>
      </c>
      <c r="B1328" s="21" t="s">
        <v>728</v>
      </c>
      <c r="C1328" s="21" t="s">
        <v>753</v>
      </c>
      <c r="D1328" s="21" t="s">
        <v>730</v>
      </c>
      <c r="E1328" s="22">
        <f>IF(D1328="?OLD","!!!","")</f>
        <v/>
      </c>
      <c r="F1328" s="23" t="str">
        <f>IF(OR(E1328="",E1328="!!!"),"",IF(NOT(ISNA(VLOOKUP(E1328,E$1:E1327,1,FALSE()))),"OLD",IF(AND(E1328&lt;&gt;"",E1328&lt;&gt;"!!!"),"NEW","")))</f>
        <v> </v>
      </c>
      <c r="G1328" s="24" t="str">
        <f>IF(OR(E1328="",E1328="!!!"),"",IF(OR(J1328=0,AND(J1328=1,K1328=1),AND(J1328=1,I1328="SBJ"),AND(J1328=1,I1328=0)),"?IN_FOCUS",IF(J1328&lt;=2,"?ACTIVATED",IF(J1328&lt;&gt;"","?FAMILIAR",IF(F1328="NEW",IF(ISNA(VLOOKUP(E1328,#REF!,1,FALSE())),"?TYPE_IDENTIFIABLE","?REFERENTIAL"),"_")))))</f>
        <v> </v>
      </c>
      <c r="H1328" s="25" t="str">
        <f>IF(J1328&lt;&gt;1,"",IF(I1328="SBJ","CB","?"))</f>
        <v> </v>
      </c>
      <c r="I1328" s="26" t="str">
        <f>IF(OR(E1328="",E1328="!!!",F1328="NEW"),"",INDEX(B1327:B$2,-1+SUMPRODUCT(MAX(ROW(E1327:E$2)*(E1328=E1327:E$2)))))</f>
        <v> </v>
      </c>
      <c r="J1328" s="26" t="str">
        <f>IF(OR(E1328="",E1328="!!!",F1328="NEW"),"",COUNTBLANK(OFFSET(A$1,,,SUMPRODUCT(MAX(ROW(E$2:E1328)*(E1328=E$2:E1328)))))-COUNTBLANK(OFFSET(A$1,,,SUMPRODUCT(MAX(ROW(E$1:E1327)*(E2=E$1:E1327))))))</f>
        <v> </v>
      </c>
      <c r="K1328" s="26" t="str">
        <f>IF(OR(E1328="",E1328="!!!",F1328="NEW"),"",INDEX(J$1:J1327,SUMPRODUCT(MAX(ROW(E$1:E1327)*(E1328=E$1:E1327)))))</f>
        <v> </v>
      </c>
      <c r="L1328" s="27"/>
    </row>
    <row r="1329" spans="1:12">
      <c r="A1329" s="20" t="s">
        <v>1334</v>
      </c>
      <c r="E1329" s="22">
        <f>IF(D1329="?OLD","!!!","")</f>
        <v/>
      </c>
      <c r="F1329" s="23" t="str">
        <f>IF(OR(E1329="",E1329="!!!"),"",IF(NOT(ISNA(VLOOKUP(E1329,E$1:E1328,1,FALSE()))),"OLD",IF(AND(E1329&lt;&gt;"",E1329&lt;&gt;"!!!"),"NEW","")))</f>
        <v> </v>
      </c>
      <c r="G1329" s="24" t="str">
        <f>IF(OR(E1329="",E1329="!!!"),"",IF(OR(J1329=0,AND(J1329=1,K1329=1),AND(J1329=1,I1329="SBJ"),AND(J1329=1,I1329=0)),"?IN_FOCUS",IF(J1329&lt;=2,"?ACTIVATED",IF(J1329&lt;&gt;"","?FAMILIAR",IF(F1329="NEW",IF(ISNA(VLOOKUP(E1329,#REF!,1,FALSE())),"?TYPE_IDENTIFIABLE","?REFERENTIAL"),"_")))))</f>
        <v> </v>
      </c>
      <c r="H1329" s="25" t="str">
        <f>IF(J1329&lt;&gt;1,"",IF(I1329="SBJ","CB","?"))</f>
        <v> </v>
      </c>
      <c r="I1329" s="26" t="str">
        <f>IF(OR(E1329="",E1329="!!!",F1329="NEW"),"",INDEX(B1328:B$2,-1+SUMPRODUCT(MAX(ROW(E1328:E$2)*(E1329=E1328:E$2)))))</f>
        <v> </v>
      </c>
      <c r="J1329" s="26" t="str">
        <f>IF(OR(E1329="",E1329="!!!",F1329="NEW"),"",COUNTBLANK(OFFSET(A$1,,,SUMPRODUCT(MAX(ROW(E$2:E1329)*(E1329=E$2:E1329)))))-COUNTBLANK(OFFSET(A$1,,,SUMPRODUCT(MAX(ROW(E$1:E1328)*(E2=E$1:E1328))))))</f>
        <v> </v>
      </c>
      <c r="K1329" s="26" t="str">
        <f>IF(OR(E1329="",E1329="!!!",F1329="NEW"),"",INDEX(J$1:J1328,SUMPRODUCT(MAX(ROW(E$1:E1328)*(E1329=E$1:E1328)))))</f>
        <v> </v>
      </c>
      <c r="L1329" s="27"/>
    </row>
    <row r="1330" spans="1:12">
      <c r="A1330" s="20" t="s">
        <v>917</v>
      </c>
      <c r="B1330" s="21" t="s">
        <v>736</v>
      </c>
      <c r="C1330" s="21" t="s">
        <v>756</v>
      </c>
      <c r="E1330" s="22">
        <f>IF(D1330="?OLD","!!!","")</f>
        <v/>
      </c>
      <c r="F1330" s="23" t="str">
        <f>IF(OR(E1330="",E1330="!!!"),"",IF(NOT(ISNA(VLOOKUP(E1330,E$1:E1329,1,FALSE()))),"OLD",IF(AND(E1330&lt;&gt;"",E1330&lt;&gt;"!!!"),"NEW","")))</f>
        <v> </v>
      </c>
      <c r="G1330" s="24" t="str">
        <f>IF(OR(E1330="",E1330="!!!"),"",IF(OR(J1330=0,AND(J1330=1,K1330=1),AND(J1330=1,I1330="SBJ"),AND(J1330=1,I1330=0)),"?IN_FOCUS",IF(J1330&lt;=2,"?ACTIVATED",IF(J1330&lt;&gt;"","?FAMILIAR",IF(F1330="NEW",IF(ISNA(VLOOKUP(E1330,#REF!,1,FALSE())),"?TYPE_IDENTIFIABLE","?REFERENTIAL"),"_")))))</f>
        <v> </v>
      </c>
      <c r="H1330" s="25" t="str">
        <f>IF(J1330&lt;&gt;1,"",IF(I1330="SBJ","CB","?"))</f>
        <v> </v>
      </c>
      <c r="I1330" s="26" t="str">
        <f>IF(OR(E1330="",E1330="!!!",F1330="NEW"),"",INDEX(B1329:B$2,-1+SUMPRODUCT(MAX(ROW(E1329:E$2)*(E1330=E1329:E$2)))))</f>
        <v> </v>
      </c>
      <c r="J1330" s="26" t="str">
        <f>IF(OR(E1330="",E1330="!!!",F1330="NEW"),"",COUNTBLANK(OFFSET(A$1,,,SUMPRODUCT(MAX(ROW(E$2:E1330)*(E1330=E$2:E1330)))))-COUNTBLANK(OFFSET(A$1,,,SUMPRODUCT(MAX(ROW(E$1:E1329)*(E2=E$1:E1329))))))</f>
        <v> </v>
      </c>
      <c r="K1330" s="26" t="str">
        <f>IF(OR(E1330="",E1330="!!!",F1330="NEW"),"",INDEX(J$1:J1329,SUMPRODUCT(MAX(ROW(E$1:E1329)*(E1330=E$1:E1329)))))</f>
        <v> </v>
      </c>
      <c r="L1330" s="27"/>
    </row>
    <row r="1331" spans="1:12">
      <c r="A1331" s="20" t="s">
        <v>1177</v>
      </c>
      <c r="B1331" s="21" t="s">
        <v>736</v>
      </c>
      <c r="C1331" s="21" t="s">
        <v>740</v>
      </c>
      <c r="D1331" s="21" t="s">
        <v>730</v>
      </c>
      <c r="E1331" s="22">
        <f>IF(D1331="?OLD","!!!","")</f>
        <v/>
      </c>
      <c r="F1331" s="23" t="str">
        <f>IF(OR(E1331="",E1331="!!!"),"",IF(NOT(ISNA(VLOOKUP(E1331,E$1:E1330,1,FALSE()))),"OLD",IF(AND(E1331&lt;&gt;"",E1331&lt;&gt;"!!!"),"NEW","")))</f>
        <v> </v>
      </c>
      <c r="G1331" s="24" t="str">
        <f>IF(OR(E1331="",E1331="!!!"),"",IF(OR(J1331=0,AND(J1331=1,K1331=1),AND(J1331=1,I1331="SBJ"),AND(J1331=1,I1331=0)),"?IN_FOCUS",IF(J1331&lt;=2,"?ACTIVATED",IF(J1331&lt;&gt;"","?FAMILIAR",IF(F1331="NEW",IF(ISNA(VLOOKUP(E1331,#REF!,1,FALSE())),"?TYPE_IDENTIFIABLE","?REFERENTIAL"),"_")))))</f>
        <v> </v>
      </c>
      <c r="H1331" s="25" t="str">
        <f>IF(J1331&lt;&gt;1,"",IF(I1331="SBJ","CB","?"))</f>
        <v> </v>
      </c>
      <c r="I1331" s="26" t="str">
        <f>IF(OR(E1331="",E1331="!!!",F1331="NEW"),"",INDEX(B1330:B$2,-1+SUMPRODUCT(MAX(ROW(E1330:E$2)*(E1331=E1330:E$2)))))</f>
        <v> </v>
      </c>
      <c r="J1331" s="26" t="str">
        <f>IF(OR(E1331="",E1331="!!!",F1331="NEW"),"",COUNTBLANK(OFFSET(A$1,,,SUMPRODUCT(MAX(ROW(E$2:E1331)*(E1331=E$2:E1331)))))-COUNTBLANK(OFFSET(A$1,,,SUMPRODUCT(MAX(ROW(E$1:E1330)*(E2=E$1:E1330))))))</f>
        <v> </v>
      </c>
      <c r="K1331" s="26" t="str">
        <f>IF(OR(E1331="",E1331="!!!",F1331="NEW"),"",INDEX(J$1:J1330,SUMPRODUCT(MAX(ROW(E$1:E1330)*(E1331=E$1:E1330)))))</f>
        <v> </v>
      </c>
      <c r="L1331" s="27"/>
    </row>
    <row r="1332" spans="1:12">
      <c r="A1332" s="20" t="s">
        <v>106</v>
      </c>
      <c r="E1332" s="22">
        <f>IF(D1332="?OLD","!!!","")</f>
        <v/>
      </c>
      <c r="F1332" s="23" t="str">
        <f>IF(OR(E1332="",E1332="!!!"),"",IF(NOT(ISNA(VLOOKUP(E1332,E$1:E1331,1,FALSE()))),"OLD",IF(AND(E1332&lt;&gt;"",E1332&lt;&gt;"!!!"),"NEW","")))</f>
        <v> </v>
      </c>
      <c r="G1332" s="24" t="str">
        <f>IF(OR(E1332="",E1332="!!!"),"",IF(OR(J1332=0,AND(J1332=1,K1332=1),AND(J1332=1,I1332="SBJ"),AND(J1332=1,I1332=0)),"?IN_FOCUS",IF(J1332&lt;=2,"?ACTIVATED",IF(J1332&lt;&gt;"","?FAMILIAR",IF(F1332="NEW",IF(ISNA(VLOOKUP(E1332,#REF!,1,FALSE())),"?TYPE_IDENTIFIABLE","?REFERENTIAL"),"_")))))</f>
        <v> </v>
      </c>
      <c r="H1332" s="25" t="str">
        <f>IF(J1332&lt;&gt;1,"",IF(I1332="SBJ","CB","?"))</f>
        <v> </v>
      </c>
      <c r="I1332" s="26" t="str">
        <f>IF(OR(E1332="",E1332="!!!",F1332="NEW"),"",INDEX(B1331:B$2,-1+SUMPRODUCT(MAX(ROW(E1331:E$2)*(E1332=E1331:E$2)))))</f>
        <v> </v>
      </c>
      <c r="J1332" s="26" t="str">
        <f>IF(OR(E1332="",E1332="!!!",F1332="NEW"),"",COUNTBLANK(OFFSET(A$1,,,SUMPRODUCT(MAX(ROW(E$2:E1332)*(E1332=E$2:E1332)))))-COUNTBLANK(OFFSET(A$1,,,SUMPRODUCT(MAX(ROW(E$1:E1331)*(E2=E$1:E1331))))))</f>
        <v> </v>
      </c>
      <c r="K1332" s="26" t="str">
        <f>IF(OR(E1332="",E1332="!!!",F1332="NEW"),"",INDEX(J$1:J1331,SUMPRODUCT(MAX(ROW(E$1:E1331)*(E1332=E$1:E1331)))))</f>
        <v> </v>
      </c>
      <c r="L1332" s="27"/>
    </row>
    <row r="1333" spans="1:12">
      <c r="A1333" s="20" t="s">
        <v>246</v>
      </c>
      <c r="E1333" s="22">
        <f>IF(D1333="?OLD","!!!","")</f>
        <v/>
      </c>
      <c r="F1333" s="23" t="str">
        <f>IF(OR(E1333="",E1333="!!!"),"",IF(NOT(ISNA(VLOOKUP(E1333,E$1:E1332,1,FALSE()))),"OLD",IF(AND(E1333&lt;&gt;"",E1333&lt;&gt;"!!!"),"NEW","")))</f>
        <v> </v>
      </c>
      <c r="G1333" s="24" t="str">
        <f>IF(OR(E1333="",E1333="!!!"),"",IF(OR(J1333=0,AND(J1333=1,K1333=1),AND(J1333=1,I1333="SBJ"),AND(J1333=1,I1333=0)),"?IN_FOCUS",IF(J1333&lt;=2,"?ACTIVATED",IF(J1333&lt;&gt;"","?FAMILIAR",IF(F1333="NEW",IF(ISNA(VLOOKUP(E1333,#REF!,1,FALSE())),"?TYPE_IDENTIFIABLE","?REFERENTIAL"),"_")))))</f>
        <v> </v>
      </c>
      <c r="H1333" s="25" t="str">
        <f>IF(J1333&lt;&gt;1,"",IF(I1333="SBJ","CB","?"))</f>
        <v> </v>
      </c>
      <c r="I1333" s="26" t="str">
        <f>IF(OR(E1333="",E1333="!!!",F1333="NEW"),"",INDEX(B1332:B$2,-1+SUMPRODUCT(MAX(ROW(E1332:E$2)*(E1333=E1332:E$2)))))</f>
        <v> </v>
      </c>
      <c r="J1333" s="26" t="str">
        <f>IF(OR(E1333="",E1333="!!!",F1333="NEW"),"",COUNTBLANK(OFFSET(A$1,,,SUMPRODUCT(MAX(ROW(E$2:E1333)*(E1333=E$2:E1333)))))-COUNTBLANK(OFFSET(A$1,,,SUMPRODUCT(MAX(ROW(E$1:E1332)*(E2=E$1:E1332))))))</f>
        <v> </v>
      </c>
      <c r="K1333" s="26" t="str">
        <f>IF(OR(E1333="",E1333="!!!",F1333="NEW"),"",INDEX(J$1:J1332,SUMPRODUCT(MAX(ROW(E$1:E1332)*(E1333=E$1:E1332)))))</f>
        <v> </v>
      </c>
      <c r="L1333" s="27"/>
    </row>
    <row r="1334" spans="1:12">
      <c r="A1334" s="20"/>
    </row>
    <row r="1335" spans="1:12">
      <c r="A1335" s="20" t="s">
        <v>1335</v>
      </c>
    </row>
    <row r="1336" spans="1:12">
      <c r="A1336" s="20" t="s">
        <v>768</v>
      </c>
      <c r="E1336" s="22">
        <f>IF(D1336="?OLD","!!!","")</f>
        <v/>
      </c>
      <c r="F1336" s="23" t="str">
        <f>IF(OR(E1336="",E1336="!!!"),"",IF(NOT(ISNA(VLOOKUP(E1336,E$1:E1335,1,FALSE()))),"OLD",IF(AND(E1336&lt;&gt;"",E1336&lt;&gt;"!!!"),"NEW","")))</f>
        <v> </v>
      </c>
      <c r="G1336" s="24" t="str">
        <f>IF(OR(E1336="",E1336="!!!"),"",IF(OR(J1336=0,AND(J1336=1,K1336=1),AND(J1336=1,I1336="SBJ"),AND(J1336=1,I1336=0)),"?IN_FOCUS",IF(J1336&lt;=2,"?ACTIVATED",IF(J1336&lt;&gt;"","?FAMILIAR",IF(F1336="NEW",IF(ISNA(VLOOKUP(E1336,#REF!,1,FALSE())),"?TYPE_IDENTIFIABLE","?REFERENTIAL"),"_")))))</f>
        <v> </v>
      </c>
      <c r="H1336" s="25" t="str">
        <f>IF(J1336&lt;&gt;1,"",IF(I1336="SBJ","CB","?"))</f>
        <v> </v>
      </c>
      <c r="I1336" s="26" t="str">
        <f>IF(OR(E1336="",E1336="!!!",F1336="NEW"),"",INDEX(B1335:B$2,-1+SUMPRODUCT(MAX(ROW(E1335:E$2)*(E1336=E1335:E$2)))))</f>
        <v> </v>
      </c>
      <c r="J1336" s="26" t="str">
        <f>IF(OR(E1336="",E1336="!!!",F1336="NEW"),"",COUNTBLANK(OFFSET(A$1,,,SUMPRODUCT(MAX(ROW(E$2:E1336)*(E1336=E$2:E1336)))))-COUNTBLANK(OFFSET(A$1,,,SUMPRODUCT(MAX(ROW(E$1:E1335)*(E2=E$1:E1335))))))</f>
        <v> </v>
      </c>
      <c r="K1336" s="26" t="str">
        <f>IF(OR(E1336="",E1336="!!!",F1336="NEW"),"",INDEX(J$1:J1335,SUMPRODUCT(MAX(ROW(E$1:E1335)*(E1336=E$1:E1335)))))</f>
        <v> </v>
      </c>
      <c r="L1336" s="27"/>
    </row>
    <row r="1337" spans="1:12">
      <c r="A1337" s="20" t="s">
        <v>813</v>
      </c>
      <c r="E1337" s="22">
        <f>IF(D1337="?OLD","!!!","")</f>
        <v/>
      </c>
      <c r="F1337" s="23" t="str">
        <f>IF(OR(E1337="",E1337="!!!"),"",IF(NOT(ISNA(VLOOKUP(E1337,E$1:E1336,1,FALSE()))),"OLD",IF(AND(E1337&lt;&gt;"",E1337&lt;&gt;"!!!"),"NEW","")))</f>
        <v> </v>
      </c>
      <c r="G1337" s="24" t="str">
        <f>IF(OR(E1337="",E1337="!!!"),"",IF(OR(J1337=0,AND(J1337=1,K1337=1),AND(J1337=1,I1337="SBJ"),AND(J1337=1,I1337=0)),"?IN_FOCUS",IF(J1337&lt;=2,"?ACTIVATED",IF(J1337&lt;&gt;"","?FAMILIAR",IF(F1337="NEW",IF(ISNA(VLOOKUP(E1337,#REF!,1,FALSE())),"?TYPE_IDENTIFIABLE","?REFERENTIAL"),"_")))))</f>
        <v> </v>
      </c>
      <c r="H1337" s="25" t="str">
        <f>IF(J1337&lt;&gt;1,"",IF(I1337="SBJ","CB","?"))</f>
        <v> </v>
      </c>
      <c r="I1337" s="26" t="str">
        <f>IF(OR(E1337="",E1337="!!!",F1337="NEW"),"",INDEX(B1336:B$2,-1+SUMPRODUCT(MAX(ROW(E1336:E$2)*(E1337=E1336:E$2)))))</f>
        <v> </v>
      </c>
      <c r="J1337" s="26" t="str">
        <f>IF(OR(E1337="",E1337="!!!",F1337="NEW"),"",COUNTBLANK(OFFSET(A$1,,,SUMPRODUCT(MAX(ROW(E$2:E1337)*(E1337=E$2:E1337)))))-COUNTBLANK(OFFSET(A$1,,,SUMPRODUCT(MAX(ROW(E$1:E1336)*(E2=E$1:E1336))))))</f>
        <v> </v>
      </c>
      <c r="K1337" s="26" t="str">
        <f>IF(OR(E1337="",E1337="!!!",F1337="NEW"),"",INDEX(J$1:J1336,SUMPRODUCT(MAX(ROW(E$1:E1336)*(E1337=E$1:E1336)))))</f>
        <v> </v>
      </c>
      <c r="L1337" s="27"/>
    </row>
    <row r="1338" spans="1:12">
      <c r="A1338" s="20" t="s">
        <v>842</v>
      </c>
      <c r="B1338" s="21" t="s">
        <v>728</v>
      </c>
      <c r="C1338" s="21" t="s">
        <v>753</v>
      </c>
      <c r="D1338" s="21" t="s">
        <v>730</v>
      </c>
      <c r="E1338" s="22">
        <f>IF(D1338="?OLD","!!!","")</f>
        <v/>
      </c>
      <c r="F1338" s="23" t="str">
        <f>IF(OR(E1338="",E1338="!!!"),"",IF(NOT(ISNA(VLOOKUP(E1338,E$1:E1337,1,FALSE()))),"OLD",IF(AND(E1338&lt;&gt;"",E1338&lt;&gt;"!!!"),"NEW","")))</f>
        <v> </v>
      </c>
      <c r="G1338" s="24" t="str">
        <f>IF(OR(E1338="",E1338="!!!"),"",IF(OR(J1338=0,AND(J1338=1,K1338=1),AND(J1338=1,I1338="SBJ"),AND(J1338=1,I1338=0)),"?IN_FOCUS",IF(J1338&lt;=2,"?ACTIVATED",IF(J1338&lt;&gt;"","?FAMILIAR",IF(F1338="NEW",IF(ISNA(VLOOKUP(E1338,#REF!,1,FALSE())),"?TYPE_IDENTIFIABLE","?REFERENTIAL"),"_")))))</f>
        <v> </v>
      </c>
      <c r="H1338" s="25" t="str">
        <f>IF(J1338&lt;&gt;1,"",IF(I1338="SBJ","CB","?"))</f>
        <v> </v>
      </c>
      <c r="I1338" s="26" t="str">
        <f>IF(OR(E1338="",E1338="!!!",F1338="NEW"),"",INDEX(B1337:B$2,-1+SUMPRODUCT(MAX(ROW(E1337:E$2)*(E1338=E1337:E$2)))))</f>
        <v> </v>
      </c>
      <c r="J1338" s="26" t="str">
        <f>IF(OR(E1338="",E1338="!!!",F1338="NEW"),"",COUNTBLANK(OFFSET(A$1,,,SUMPRODUCT(MAX(ROW(E$2:E1338)*(E1338=E$2:E1338)))))-COUNTBLANK(OFFSET(A$1,,,SUMPRODUCT(MAX(ROW(E$1:E1337)*(E2=E$1:E1337))))))</f>
        <v> </v>
      </c>
      <c r="K1338" s="26" t="str">
        <f>IF(OR(E1338="",E1338="!!!",F1338="NEW"),"",INDEX(J$1:J1337,SUMPRODUCT(MAX(ROW(E$1:E1337)*(E1338=E$1:E1337)))))</f>
        <v> </v>
      </c>
      <c r="L1338" s="27"/>
    </row>
    <row r="1339" spans="1:12">
      <c r="A1339" s="20" t="s">
        <v>1325</v>
      </c>
      <c r="E1339" s="22">
        <f>IF(D1339="?OLD","!!!","")</f>
        <v/>
      </c>
      <c r="F1339" s="23" t="str">
        <f>IF(OR(E1339="",E1339="!!!"),"",IF(NOT(ISNA(VLOOKUP(E1339,E$1:E1338,1,FALSE()))),"OLD",IF(AND(E1339&lt;&gt;"",E1339&lt;&gt;"!!!"),"NEW","")))</f>
        <v> </v>
      </c>
      <c r="G1339" s="24" t="str">
        <f>IF(OR(E1339="",E1339="!!!"),"",IF(OR(J1339=0,AND(J1339=1,K1339=1),AND(J1339=1,I1339="SBJ"),AND(J1339=1,I1339=0)),"?IN_FOCUS",IF(J1339&lt;=2,"?ACTIVATED",IF(J1339&lt;&gt;"","?FAMILIAR",IF(F1339="NEW",IF(ISNA(VLOOKUP(E1339,#REF!,1,FALSE())),"?TYPE_IDENTIFIABLE","?REFERENTIAL"),"_")))))</f>
        <v> </v>
      </c>
      <c r="H1339" s="25" t="str">
        <f>IF(J1339&lt;&gt;1,"",IF(I1339="SBJ","CB","?"))</f>
        <v> </v>
      </c>
      <c r="I1339" s="26" t="str">
        <f>IF(OR(E1339="",E1339="!!!",F1339="NEW"),"",INDEX(B1338:B$2,-1+SUMPRODUCT(MAX(ROW(E1338:E$2)*(E1339=E1338:E$2)))))</f>
        <v> </v>
      </c>
      <c r="J1339" s="26" t="str">
        <f>IF(OR(E1339="",E1339="!!!",F1339="NEW"),"",COUNTBLANK(OFFSET(A$1,,,SUMPRODUCT(MAX(ROW(E$2:E1339)*(E1339=E$2:E1339)))))-COUNTBLANK(OFFSET(A$1,,,SUMPRODUCT(MAX(ROW(E$1:E1338)*(E2=E$1:E1338))))))</f>
        <v> </v>
      </c>
      <c r="K1339" s="26" t="str">
        <f>IF(OR(E1339="",E1339="!!!",F1339="NEW"),"",INDEX(J$1:J1338,SUMPRODUCT(MAX(ROW(E$1:E1338)*(E1339=E$1:E1338)))))</f>
        <v> </v>
      </c>
      <c r="L1339" s="27"/>
    </row>
    <row r="1340" spans="1:12">
      <c r="A1340" s="20" t="s">
        <v>1177</v>
      </c>
      <c r="B1340" s="21" t="s">
        <v>736</v>
      </c>
      <c r="C1340" s="21" t="s">
        <v>740</v>
      </c>
      <c r="D1340" s="21" t="s">
        <v>730</v>
      </c>
      <c r="E1340" s="22">
        <f>IF(D1340="?OLD","!!!","")</f>
        <v/>
      </c>
      <c r="F1340" s="23" t="str">
        <f>IF(OR(E1340="",E1340="!!!"),"",IF(NOT(ISNA(VLOOKUP(E1340,E$1:E1339,1,FALSE()))),"OLD",IF(AND(E1340&lt;&gt;"",E1340&lt;&gt;"!!!"),"NEW","")))</f>
        <v> </v>
      </c>
      <c r="G1340" s="24" t="str">
        <f>IF(OR(E1340="",E1340="!!!"),"",IF(OR(J1340=0,AND(J1340=1,K1340=1),AND(J1340=1,I1340="SBJ"),AND(J1340=1,I1340=0)),"?IN_FOCUS",IF(J1340&lt;=2,"?ACTIVATED",IF(J1340&lt;&gt;"","?FAMILIAR",IF(F1340="NEW",IF(ISNA(VLOOKUP(E1340,#REF!,1,FALSE())),"?TYPE_IDENTIFIABLE","?REFERENTIAL"),"_")))))</f>
        <v> </v>
      </c>
      <c r="H1340" s="25" t="str">
        <f>IF(J1340&lt;&gt;1,"",IF(I1340="SBJ","CB","?"))</f>
        <v> </v>
      </c>
      <c r="I1340" s="26" t="str">
        <f>IF(OR(E1340="",E1340="!!!",F1340="NEW"),"",INDEX(B1339:B$2,-1+SUMPRODUCT(MAX(ROW(E1339:E$2)*(E1340=E1339:E$2)))))</f>
        <v> </v>
      </c>
      <c r="J1340" s="26" t="str">
        <f>IF(OR(E1340="",E1340="!!!",F1340="NEW"),"",COUNTBLANK(OFFSET(A$1,,,SUMPRODUCT(MAX(ROW(E$2:E1340)*(E1340=E$2:E1340)))))-COUNTBLANK(OFFSET(A$1,,,SUMPRODUCT(MAX(ROW(E$1:E1339)*(E2=E$1:E1339))))))</f>
        <v> </v>
      </c>
      <c r="K1340" s="26" t="str">
        <f>IF(OR(E1340="",E1340="!!!",F1340="NEW"),"",INDEX(J$1:J1339,SUMPRODUCT(MAX(ROW(E$1:E1339)*(E1340=E$1:E1339)))))</f>
        <v> </v>
      </c>
      <c r="L1340" s="27"/>
    </row>
    <row r="1341" spans="1:12">
      <c r="A1341" s="20" t="s">
        <v>106</v>
      </c>
      <c r="E1341" s="22">
        <f>IF(D1341="?OLD","!!!","")</f>
        <v/>
      </c>
      <c r="F1341" s="23" t="str">
        <f>IF(OR(E1341="",E1341="!!!"),"",IF(NOT(ISNA(VLOOKUP(E1341,E$1:E1340,1,FALSE()))),"OLD",IF(AND(E1341&lt;&gt;"",E1341&lt;&gt;"!!!"),"NEW","")))</f>
        <v> </v>
      </c>
      <c r="G1341" s="24" t="str">
        <f>IF(OR(E1341="",E1341="!!!"),"",IF(OR(J1341=0,AND(J1341=1,K1341=1),AND(J1341=1,I1341="SBJ"),AND(J1341=1,I1341=0)),"?IN_FOCUS",IF(J1341&lt;=2,"?ACTIVATED",IF(J1341&lt;&gt;"","?FAMILIAR",IF(F1341="NEW",IF(ISNA(VLOOKUP(E1341,#REF!,1,FALSE())),"?TYPE_IDENTIFIABLE","?REFERENTIAL"),"_")))))</f>
        <v> </v>
      </c>
      <c r="H1341" s="25" t="str">
        <f>IF(J1341&lt;&gt;1,"",IF(I1341="SBJ","CB","?"))</f>
        <v> </v>
      </c>
      <c r="I1341" s="26" t="str">
        <f>IF(OR(E1341="",E1341="!!!",F1341="NEW"),"",INDEX(B1340:B$2,-1+SUMPRODUCT(MAX(ROW(E1340:E$2)*(E1341=E1340:E$2)))))</f>
        <v> </v>
      </c>
      <c r="J1341" s="26" t="str">
        <f>IF(OR(E1341="",E1341="!!!",F1341="NEW"),"",COUNTBLANK(OFFSET(A$1,,,SUMPRODUCT(MAX(ROW(E$2:E1341)*(E1341=E$2:E1341)))))-COUNTBLANK(OFFSET(A$1,,,SUMPRODUCT(MAX(ROW(E$1:E1340)*(E2=E$1:E1340))))))</f>
        <v> </v>
      </c>
      <c r="K1341" s="26" t="str">
        <f>IF(OR(E1341="",E1341="!!!",F1341="NEW"),"",INDEX(J$1:J1340,SUMPRODUCT(MAX(ROW(E$1:E1340)*(E1341=E$1:E1340)))))</f>
        <v> </v>
      </c>
      <c r="L1341" s="27"/>
    </row>
    <row r="1342" spans="1:12">
      <c r="A1342" s="20" t="s">
        <v>246</v>
      </c>
      <c r="E1342" s="22">
        <f>IF(D1342="?OLD","!!!","")</f>
        <v/>
      </c>
      <c r="F1342" s="23" t="str">
        <f>IF(OR(E1342="",E1342="!!!"),"",IF(NOT(ISNA(VLOOKUP(E1342,E$1:E1341,1,FALSE()))),"OLD",IF(AND(E1342&lt;&gt;"",E1342&lt;&gt;"!!!"),"NEW","")))</f>
        <v> </v>
      </c>
      <c r="G1342" s="24" t="str">
        <f>IF(OR(E1342="",E1342="!!!"),"",IF(OR(J1342=0,AND(J1342=1,K1342=1),AND(J1342=1,I1342="SBJ"),AND(J1342=1,I1342=0)),"?IN_FOCUS",IF(J1342&lt;=2,"?ACTIVATED",IF(J1342&lt;&gt;"","?FAMILIAR",IF(F1342="NEW",IF(ISNA(VLOOKUP(E1342,#REF!,1,FALSE())),"?TYPE_IDENTIFIABLE","?REFERENTIAL"),"_")))))</f>
        <v> </v>
      </c>
      <c r="H1342" s="25" t="str">
        <f>IF(J1342&lt;&gt;1,"",IF(I1342="SBJ","CB","?"))</f>
        <v> </v>
      </c>
      <c r="I1342" s="26" t="str">
        <f>IF(OR(E1342="",E1342="!!!",F1342="NEW"),"",INDEX(B1341:B$2,-1+SUMPRODUCT(MAX(ROW(E1341:E$2)*(E1342=E1341:E$2)))))</f>
        <v> </v>
      </c>
      <c r="J1342" s="26" t="str">
        <f>IF(OR(E1342="",E1342="!!!",F1342="NEW"),"",COUNTBLANK(OFFSET(A$1,,,SUMPRODUCT(MAX(ROW(E$2:E1342)*(E1342=E$2:E1342)))))-COUNTBLANK(OFFSET(A$1,,,SUMPRODUCT(MAX(ROW(E$1:E1341)*(E2=E$1:E1341))))))</f>
        <v> </v>
      </c>
      <c r="K1342" s="26" t="str">
        <f>IF(OR(E1342="",E1342="!!!",F1342="NEW"),"",INDEX(J$1:J1341,SUMPRODUCT(MAX(ROW(E$1:E1341)*(E1342=E$1:E1341)))))</f>
        <v> </v>
      </c>
      <c r="L1342" s="27"/>
    </row>
    <row r="1343" spans="1:12">
      <c r="A1343" s="20"/>
    </row>
    <row r="1344" spans="1:12">
      <c r="A1344" s="20" t="s">
        <v>1336</v>
      </c>
    </row>
    <row r="1345" spans="1:12">
      <c r="A1345" s="20" t="s">
        <v>994</v>
      </c>
      <c r="E1345" s="22">
        <f>IF(D1345="?OLD","!!!","")</f>
        <v/>
      </c>
      <c r="F1345" s="23" t="str">
        <f>IF(OR(E1345="",E1345="!!!"),"",IF(NOT(ISNA(VLOOKUP(E1345,E$1:E1344,1,FALSE()))),"OLD",IF(AND(E1345&lt;&gt;"",E1345&lt;&gt;"!!!"),"NEW","")))</f>
        <v> </v>
      </c>
      <c r="G1345" s="24" t="str">
        <f>IF(OR(E1345="",E1345="!!!"),"",IF(OR(J1345=0,AND(J1345=1,K1345=1),AND(J1345=1,I1345="SBJ"),AND(J1345=1,I1345=0)),"?IN_FOCUS",IF(J1345&lt;=2,"?ACTIVATED",IF(J1345&lt;&gt;"","?FAMILIAR",IF(F1345="NEW",IF(ISNA(VLOOKUP(E1345,#REF!,1,FALSE())),"?TYPE_IDENTIFIABLE","?REFERENTIAL"),"_")))))</f>
        <v> </v>
      </c>
      <c r="H1345" s="25" t="str">
        <f>IF(J1345&lt;&gt;1,"",IF(I1345="SBJ","CB","?"))</f>
        <v> </v>
      </c>
      <c r="I1345" s="26" t="str">
        <f>IF(OR(E1345="",E1345="!!!",F1345="NEW"),"",INDEX(B1344:B$2,-1+SUMPRODUCT(MAX(ROW(E1344:E$2)*(E1345=E1344:E$2)))))</f>
        <v> </v>
      </c>
      <c r="J1345" s="26" t="str">
        <f>IF(OR(E1345="",E1345="!!!",F1345="NEW"),"",COUNTBLANK(OFFSET(A$1,,,SUMPRODUCT(MAX(ROW(E$2:E1345)*(E1345=E$2:E1345)))))-COUNTBLANK(OFFSET(A$1,,,SUMPRODUCT(MAX(ROW(E$1:E1344)*(E2=E$1:E1344))))))</f>
        <v> </v>
      </c>
      <c r="K1345" s="26" t="str">
        <f>IF(OR(E1345="",E1345="!!!",F1345="NEW"),"",INDEX(J$1:J1344,SUMPRODUCT(MAX(ROW(E$1:E1344)*(E1345=E$1:E1344)))))</f>
        <v> </v>
      </c>
      <c r="L1345" s="27"/>
    </row>
    <row r="1346" spans="1:12">
      <c r="A1346" s="20" t="s">
        <v>813</v>
      </c>
      <c r="E1346" s="22">
        <f>IF(D1346="?OLD","!!!","")</f>
        <v/>
      </c>
      <c r="F1346" s="23" t="str">
        <f>IF(OR(E1346="",E1346="!!!"),"",IF(NOT(ISNA(VLOOKUP(E1346,E$1:E1345,1,FALSE()))),"OLD",IF(AND(E1346&lt;&gt;"",E1346&lt;&gt;"!!!"),"NEW","")))</f>
        <v> </v>
      </c>
      <c r="G1346" s="24" t="str">
        <f>IF(OR(E1346="",E1346="!!!"),"",IF(OR(J1346=0,AND(J1346=1,K1346=1),AND(J1346=1,I1346="SBJ"),AND(J1346=1,I1346=0)),"?IN_FOCUS",IF(J1346&lt;=2,"?ACTIVATED",IF(J1346&lt;&gt;"","?FAMILIAR",IF(F1346="NEW",IF(ISNA(VLOOKUP(E1346,#REF!,1,FALSE())),"?TYPE_IDENTIFIABLE","?REFERENTIAL"),"_")))))</f>
        <v> </v>
      </c>
      <c r="H1346" s="25" t="str">
        <f>IF(J1346&lt;&gt;1,"",IF(I1346="SBJ","CB","?"))</f>
        <v> </v>
      </c>
      <c r="I1346" s="26" t="str">
        <f>IF(OR(E1346="",E1346="!!!",F1346="NEW"),"",INDEX(B1345:B$2,-1+SUMPRODUCT(MAX(ROW(E1345:E$2)*(E1346=E1345:E$2)))))</f>
        <v> </v>
      </c>
      <c r="J1346" s="26" t="str">
        <f>IF(OR(E1346="",E1346="!!!",F1346="NEW"),"",COUNTBLANK(OFFSET(A$1,,,SUMPRODUCT(MAX(ROW(E$2:E1346)*(E1346=E$2:E1346)))))-COUNTBLANK(OFFSET(A$1,,,SUMPRODUCT(MAX(ROW(E$1:E1345)*(E2=E$1:E1345))))))</f>
        <v> </v>
      </c>
      <c r="K1346" s="26" t="str">
        <f>IF(OR(E1346="",E1346="!!!",F1346="NEW"),"",INDEX(J$1:J1345,SUMPRODUCT(MAX(ROW(E$1:E1345)*(E1346=E$1:E1345)))))</f>
        <v> </v>
      </c>
      <c r="L1346" s="27"/>
    </row>
    <row r="1347" spans="1:12">
      <c r="A1347" s="20" t="s">
        <v>1318</v>
      </c>
      <c r="B1347" s="21" t="s">
        <v>728</v>
      </c>
      <c r="C1347" s="21" t="s">
        <v>753</v>
      </c>
      <c r="D1347" s="21" t="s">
        <v>730</v>
      </c>
      <c r="E1347" s="22">
        <f>IF(D1347="?OLD","!!!","")</f>
        <v/>
      </c>
      <c r="F1347" s="23" t="str">
        <f>IF(OR(E1347="",E1347="!!!"),"",IF(NOT(ISNA(VLOOKUP(E1347,E$1:E1346,1,FALSE()))),"OLD",IF(AND(E1347&lt;&gt;"",E1347&lt;&gt;"!!!"),"NEW","")))</f>
        <v> </v>
      </c>
      <c r="G1347" s="24" t="str">
        <f>IF(OR(E1347="",E1347="!!!"),"",IF(OR(J1347=0,AND(J1347=1,K1347=1),AND(J1347=1,I1347="SBJ"),AND(J1347=1,I1347=0)),"?IN_FOCUS",IF(J1347&lt;=2,"?ACTIVATED",IF(J1347&lt;&gt;"","?FAMILIAR",IF(F1347="NEW",IF(ISNA(VLOOKUP(E1347,#REF!,1,FALSE())),"?TYPE_IDENTIFIABLE","?REFERENTIAL"),"_")))))</f>
        <v> </v>
      </c>
      <c r="H1347" s="25" t="str">
        <f>IF(J1347&lt;&gt;1,"",IF(I1347="SBJ","CB","?"))</f>
        <v> </v>
      </c>
      <c r="I1347" s="26" t="str">
        <f>IF(OR(E1347="",E1347="!!!",F1347="NEW"),"",INDEX(B1346:B$2,-1+SUMPRODUCT(MAX(ROW(E1346:E$2)*(E1347=E1346:E$2)))))</f>
        <v> </v>
      </c>
      <c r="J1347" s="26" t="str">
        <f>IF(OR(E1347="",E1347="!!!",F1347="NEW"),"",COUNTBLANK(OFFSET(A$1,,,SUMPRODUCT(MAX(ROW(E$2:E1347)*(E1347=E$2:E1347)))))-COUNTBLANK(OFFSET(A$1,,,SUMPRODUCT(MAX(ROW(E$1:E1346)*(E2=E$1:E1346))))))</f>
        <v> </v>
      </c>
      <c r="K1347" s="26" t="str">
        <f>IF(OR(E1347="",E1347="!!!",F1347="NEW"),"",INDEX(J$1:J1346,SUMPRODUCT(MAX(ROW(E$1:E1346)*(E1347=E$1:E1346)))))</f>
        <v> </v>
      </c>
      <c r="L1347" s="27"/>
    </row>
    <row r="1348" spans="1:12">
      <c r="A1348" s="20" t="s">
        <v>1337</v>
      </c>
      <c r="E1348" s="22">
        <f>IF(D1348="?OLD","!!!","")</f>
        <v/>
      </c>
      <c r="F1348" s="23" t="str">
        <f>IF(OR(E1348="",E1348="!!!"),"",IF(NOT(ISNA(VLOOKUP(E1348,E$1:E1347,1,FALSE()))),"OLD",IF(AND(E1348&lt;&gt;"",E1348&lt;&gt;"!!!"),"NEW","")))</f>
        <v> </v>
      </c>
      <c r="G1348" s="24" t="str">
        <f>IF(OR(E1348="",E1348="!!!"),"",IF(OR(J1348=0,AND(J1348=1,K1348=1),AND(J1348=1,I1348="SBJ"),AND(J1348=1,I1348=0)),"?IN_FOCUS",IF(J1348&lt;=2,"?ACTIVATED",IF(J1348&lt;&gt;"","?FAMILIAR",IF(F1348="NEW",IF(ISNA(VLOOKUP(E1348,#REF!,1,FALSE())),"?TYPE_IDENTIFIABLE","?REFERENTIAL"),"_")))))</f>
        <v> </v>
      </c>
      <c r="H1348" s="25" t="str">
        <f>IF(J1348&lt;&gt;1,"",IF(I1348="SBJ","CB","?"))</f>
        <v> </v>
      </c>
      <c r="I1348" s="26" t="str">
        <f>IF(OR(E1348="",E1348="!!!",F1348="NEW"),"",INDEX(B1347:B$2,-1+SUMPRODUCT(MAX(ROW(E1347:E$2)*(E1348=E1347:E$2)))))</f>
        <v> </v>
      </c>
      <c r="J1348" s="26" t="str">
        <f>IF(OR(E1348="",E1348="!!!",F1348="NEW"),"",COUNTBLANK(OFFSET(A$1,,,SUMPRODUCT(MAX(ROW(E$2:E1348)*(E1348=E$2:E1348)))))-COUNTBLANK(OFFSET(A$1,,,SUMPRODUCT(MAX(ROW(E$1:E1347)*(E2=E$1:E1347))))))</f>
        <v> </v>
      </c>
      <c r="K1348" s="26" t="str">
        <f>IF(OR(E1348="",E1348="!!!",F1348="NEW"),"",INDEX(J$1:J1347,SUMPRODUCT(MAX(ROW(E$1:E1347)*(E1348=E$1:E1347)))))</f>
        <v> </v>
      </c>
      <c r="L1348" s="27"/>
    </row>
    <row r="1349" spans="1:12">
      <c r="A1349" s="20" t="s">
        <v>887</v>
      </c>
      <c r="E1349" s="22">
        <f>IF(D1349="?OLD","!!!","")</f>
        <v/>
      </c>
      <c r="F1349" s="23" t="str">
        <f>IF(OR(E1349="",E1349="!!!"),"",IF(NOT(ISNA(VLOOKUP(E1349,E$1:E1348,1,FALSE()))),"OLD",IF(AND(E1349&lt;&gt;"",E1349&lt;&gt;"!!!"),"NEW","")))</f>
        <v> </v>
      </c>
      <c r="G1349" s="24" t="str">
        <f>IF(OR(E1349="",E1349="!!!"),"",IF(OR(J1349=0,AND(J1349=1,K1349=1),AND(J1349=1,I1349="SBJ"),AND(J1349=1,I1349=0)),"?IN_FOCUS",IF(J1349&lt;=2,"?ACTIVATED",IF(J1349&lt;&gt;"","?FAMILIAR",IF(F1349="NEW",IF(ISNA(VLOOKUP(E1349,#REF!,1,FALSE())),"?TYPE_IDENTIFIABLE","?REFERENTIAL"),"_")))))</f>
        <v> </v>
      </c>
      <c r="H1349" s="25" t="str">
        <f>IF(J1349&lt;&gt;1,"",IF(I1349="SBJ","CB","?"))</f>
        <v> </v>
      </c>
      <c r="I1349" s="26" t="str">
        <f>IF(OR(E1349="",E1349="!!!",F1349="NEW"),"",INDEX(B1348:B$2,-1+SUMPRODUCT(MAX(ROW(E1348:E$2)*(E1349=E1348:E$2)))))</f>
        <v> </v>
      </c>
      <c r="J1349" s="26" t="str">
        <f>IF(OR(E1349="",E1349="!!!",F1349="NEW"),"",COUNTBLANK(OFFSET(A$1,,,SUMPRODUCT(MAX(ROW(E$2:E1349)*(E1349=E$2:E1349)))))-COUNTBLANK(OFFSET(A$1,,,SUMPRODUCT(MAX(ROW(E$1:E1348)*(E2=E$1:E1348))))))</f>
        <v> </v>
      </c>
      <c r="K1349" s="26" t="str">
        <f>IF(OR(E1349="",E1349="!!!",F1349="NEW"),"",INDEX(J$1:J1348,SUMPRODUCT(MAX(ROW(E$1:E1348)*(E1349=E$1:E1348)))))</f>
        <v> </v>
      </c>
      <c r="L1349" s="27"/>
    </row>
    <row r="1350" spans="1:12">
      <c r="A1350" s="20" t="s">
        <v>1338</v>
      </c>
      <c r="E1350" s="22">
        <f>IF(D1350="?OLD","!!!","")</f>
        <v/>
      </c>
      <c r="F1350" s="23" t="str">
        <f>IF(OR(E1350="",E1350="!!!"),"",IF(NOT(ISNA(VLOOKUP(E1350,E$1:E1349,1,FALSE()))),"OLD",IF(AND(E1350&lt;&gt;"",E1350&lt;&gt;"!!!"),"NEW","")))</f>
        <v> </v>
      </c>
      <c r="G1350" s="24" t="str">
        <f>IF(OR(E1350="",E1350="!!!"),"",IF(OR(J1350=0,AND(J1350=1,K1350=1),AND(J1350=1,I1350="SBJ"),AND(J1350=1,I1350=0)),"?IN_FOCUS",IF(J1350&lt;=2,"?ACTIVATED",IF(J1350&lt;&gt;"","?FAMILIAR",IF(F1350="NEW",IF(ISNA(VLOOKUP(E1350,#REF!,1,FALSE())),"?TYPE_IDENTIFIABLE","?REFERENTIAL"),"_")))))</f>
        <v> </v>
      </c>
      <c r="H1350" s="25" t="str">
        <f>IF(J1350&lt;&gt;1,"",IF(I1350="SBJ","CB","?"))</f>
        <v> </v>
      </c>
      <c r="I1350" s="26" t="str">
        <f>IF(OR(E1350="",E1350="!!!",F1350="NEW"),"",INDEX(B1349:B$2,-1+SUMPRODUCT(MAX(ROW(E1349:E$2)*(E1350=E1349:E$2)))))</f>
        <v> </v>
      </c>
      <c r="J1350" s="26" t="str">
        <f>IF(OR(E1350="",E1350="!!!",F1350="NEW"),"",COUNTBLANK(OFFSET(A$1,,,SUMPRODUCT(MAX(ROW(E$2:E1350)*(E1350=E$2:E1350)))))-COUNTBLANK(OFFSET(A$1,,,SUMPRODUCT(MAX(ROW(E$1:E1349)*(E2=E$1:E1349))))))</f>
        <v> </v>
      </c>
      <c r="K1350" s="26" t="str">
        <f>IF(OR(E1350="",E1350="!!!",F1350="NEW"),"",INDEX(J$1:J1349,SUMPRODUCT(MAX(ROW(E$1:E1349)*(E1350=E$1:E1349)))))</f>
        <v> </v>
      </c>
      <c r="L1350" s="27"/>
    </row>
    <row r="1351" spans="1:12">
      <c r="A1351" s="20" t="s">
        <v>1178</v>
      </c>
      <c r="E1351" s="22">
        <f>IF(D1351="?OLD","!!!","")</f>
        <v/>
      </c>
      <c r="F1351" s="23" t="str">
        <f>IF(OR(E1351="",E1351="!!!"),"",IF(NOT(ISNA(VLOOKUP(E1351,E$1:E1350,1,FALSE()))),"OLD",IF(AND(E1351&lt;&gt;"",E1351&lt;&gt;"!!!"),"NEW","")))</f>
        <v> </v>
      </c>
      <c r="G1351" s="24" t="str">
        <f>IF(OR(E1351="",E1351="!!!"),"",IF(OR(J1351=0,AND(J1351=1,K1351=1),AND(J1351=1,I1351="SBJ"),AND(J1351=1,I1351=0)),"?IN_FOCUS",IF(J1351&lt;=2,"?ACTIVATED",IF(J1351&lt;&gt;"","?FAMILIAR",IF(F1351="NEW",IF(ISNA(VLOOKUP(E1351,#REF!,1,FALSE())),"?TYPE_IDENTIFIABLE","?REFERENTIAL"),"_")))))</f>
        <v> </v>
      </c>
      <c r="H1351" s="25" t="str">
        <f>IF(J1351&lt;&gt;1,"",IF(I1351="SBJ","CB","?"))</f>
        <v> </v>
      </c>
      <c r="I1351" s="26" t="str">
        <f>IF(OR(E1351="",E1351="!!!",F1351="NEW"),"",INDEX(B1350:B$2,-1+SUMPRODUCT(MAX(ROW(E1350:E$2)*(E1351=E1350:E$2)))))</f>
        <v> </v>
      </c>
      <c r="J1351" s="26" t="str">
        <f>IF(OR(E1351="",E1351="!!!",F1351="NEW"),"",COUNTBLANK(OFFSET(A$1,,,SUMPRODUCT(MAX(ROW(E$2:E1351)*(E1351=E$2:E1351)))))-COUNTBLANK(OFFSET(A$1,,,SUMPRODUCT(MAX(ROW(E$1:E1350)*(E2=E$1:E1350))))))</f>
        <v> </v>
      </c>
      <c r="K1351" s="26" t="str">
        <f>IF(OR(E1351="",E1351="!!!",F1351="NEW"),"",INDEX(J$1:J1350,SUMPRODUCT(MAX(ROW(E$1:E1350)*(E1351=E$1:E1350)))))</f>
        <v> </v>
      </c>
      <c r="L1351" s="27"/>
    </row>
    <row r="1352" spans="1:12">
      <c r="A1352" s="20" t="s">
        <v>246</v>
      </c>
      <c r="E1352" s="22">
        <f>IF(D1352="?OLD","!!!","")</f>
        <v/>
      </c>
      <c r="F1352" s="23" t="str">
        <f>IF(OR(E1352="",E1352="!!!"),"",IF(NOT(ISNA(VLOOKUP(E1352,E$1:E1351,1,FALSE()))),"OLD",IF(AND(E1352&lt;&gt;"",E1352&lt;&gt;"!!!"),"NEW","")))</f>
        <v> </v>
      </c>
      <c r="G1352" s="24" t="str">
        <f>IF(OR(E1352="",E1352="!!!"),"",IF(OR(J1352=0,AND(J1352=1,K1352=1),AND(J1352=1,I1352="SBJ"),AND(J1352=1,I1352=0)),"?IN_FOCUS",IF(J1352&lt;=2,"?ACTIVATED",IF(J1352&lt;&gt;"","?FAMILIAR",IF(F1352="NEW",IF(ISNA(VLOOKUP(E1352,#REF!,1,FALSE())),"?TYPE_IDENTIFIABLE","?REFERENTIAL"),"_")))))</f>
        <v> </v>
      </c>
      <c r="H1352" s="25" t="str">
        <f>IF(J1352&lt;&gt;1,"",IF(I1352="SBJ","CB","?"))</f>
        <v> </v>
      </c>
      <c r="I1352" s="26" t="str">
        <f>IF(OR(E1352="",E1352="!!!",F1352="NEW"),"",INDEX(B1351:B$2,-1+SUMPRODUCT(MAX(ROW(E1351:E$2)*(E1352=E1351:E$2)))))</f>
        <v> </v>
      </c>
      <c r="J1352" s="26" t="str">
        <f>IF(OR(E1352="",E1352="!!!",F1352="NEW"),"",COUNTBLANK(OFFSET(A$1,,,SUMPRODUCT(MAX(ROW(E$2:E1352)*(E1352=E$2:E1352)))))-COUNTBLANK(OFFSET(A$1,,,SUMPRODUCT(MAX(ROW(E$1:E1351)*(E2=E$1:E1351))))))</f>
        <v> </v>
      </c>
      <c r="K1352" s="26" t="str">
        <f>IF(OR(E1352="",E1352="!!!",F1352="NEW"),"",INDEX(J$1:J1351,SUMPRODUCT(MAX(ROW(E$1:E1351)*(E1352=E$1:E1351)))))</f>
        <v> </v>
      </c>
      <c r="L1352" s="27"/>
    </row>
    <row r="1353" spans="1:12">
      <c r="A1353" s="20"/>
    </row>
    <row r="1354" spans="1:12">
      <c r="A1354" s="20" t="s">
        <v>1339</v>
      </c>
    </row>
    <row r="1355" spans="1:12">
      <c r="A1355" s="20" t="s">
        <v>768</v>
      </c>
      <c r="E1355" s="22">
        <f>IF(D1355="?OLD","!!!","")</f>
        <v/>
      </c>
      <c r="F1355" s="23" t="str">
        <f>IF(OR(E1355="",E1355="!!!"),"",IF(NOT(ISNA(VLOOKUP(E1355,E$1:E1354,1,FALSE()))),"OLD",IF(AND(E1355&lt;&gt;"",E1355&lt;&gt;"!!!"),"NEW","")))</f>
        <v> </v>
      </c>
      <c r="G1355" s="24" t="str">
        <f>IF(OR(E1355="",E1355="!!!"),"",IF(OR(J1355=0,AND(J1355=1,K1355=1),AND(J1355=1,I1355="SBJ"),AND(J1355=1,I1355=0)),"?IN_FOCUS",IF(J1355&lt;=2,"?ACTIVATED",IF(J1355&lt;&gt;"","?FAMILIAR",IF(F1355="NEW",IF(ISNA(VLOOKUP(E1355,#REF!,1,FALSE())),"?TYPE_IDENTIFIABLE","?REFERENTIAL"),"_")))))</f>
        <v> </v>
      </c>
      <c r="H1355" s="25" t="str">
        <f>IF(J1355&lt;&gt;1,"",IF(I1355="SBJ","CB","?"))</f>
        <v> </v>
      </c>
      <c r="I1355" s="26" t="str">
        <f>IF(OR(E1355="",E1355="!!!",F1355="NEW"),"",INDEX(B1354:B$2,-1+SUMPRODUCT(MAX(ROW(E1354:E$2)*(E1355=E1354:E$2)))))</f>
        <v> </v>
      </c>
      <c r="J1355" s="26" t="str">
        <f>IF(OR(E1355="",E1355="!!!",F1355="NEW"),"",COUNTBLANK(OFFSET(A$1,,,SUMPRODUCT(MAX(ROW(E$2:E1355)*(E1355=E$2:E1355)))))-COUNTBLANK(OFFSET(A$1,,,SUMPRODUCT(MAX(ROW(E$1:E1354)*(E2=E$1:E1354))))))</f>
        <v> </v>
      </c>
      <c r="K1355" s="26" t="str">
        <f>IF(OR(E1355="",E1355="!!!",F1355="NEW"),"",INDEX(J$1:J1354,SUMPRODUCT(MAX(ROW(E$1:E1354)*(E1355=E$1:E1354)))))</f>
        <v> </v>
      </c>
      <c r="L1355" s="27"/>
    </row>
    <row r="1356" spans="1:12">
      <c r="A1356" s="20" t="s">
        <v>813</v>
      </c>
      <c r="E1356" s="22">
        <f>IF(D1356="?OLD","!!!","")</f>
        <v/>
      </c>
      <c r="F1356" s="23" t="str">
        <f>IF(OR(E1356="",E1356="!!!"),"",IF(NOT(ISNA(VLOOKUP(E1356,E$1:E1355,1,FALSE()))),"OLD",IF(AND(E1356&lt;&gt;"",E1356&lt;&gt;"!!!"),"NEW","")))</f>
        <v> </v>
      </c>
      <c r="G1356" s="24" t="str">
        <f>IF(OR(E1356="",E1356="!!!"),"",IF(OR(J1356=0,AND(J1356=1,K1356=1),AND(J1356=1,I1356="SBJ"),AND(J1356=1,I1356=0)),"?IN_FOCUS",IF(J1356&lt;=2,"?ACTIVATED",IF(J1356&lt;&gt;"","?FAMILIAR",IF(F1356="NEW",IF(ISNA(VLOOKUP(E1356,#REF!,1,FALSE())),"?TYPE_IDENTIFIABLE","?REFERENTIAL"),"_")))))</f>
        <v> </v>
      </c>
      <c r="H1356" s="25" t="str">
        <f>IF(J1356&lt;&gt;1,"",IF(I1356="SBJ","CB","?"))</f>
        <v> </v>
      </c>
      <c r="I1356" s="26" t="str">
        <f>IF(OR(E1356="",E1356="!!!",F1356="NEW"),"",INDEX(B1355:B$2,-1+SUMPRODUCT(MAX(ROW(E1355:E$2)*(E1356=E1355:E$2)))))</f>
        <v> </v>
      </c>
      <c r="J1356" s="26" t="str">
        <f>IF(OR(E1356="",E1356="!!!",F1356="NEW"),"",COUNTBLANK(OFFSET(A$1,,,SUMPRODUCT(MAX(ROW(E$2:E1356)*(E1356=E$2:E1356)))))-COUNTBLANK(OFFSET(A$1,,,SUMPRODUCT(MAX(ROW(E$1:E1355)*(E2=E$1:E1355))))))</f>
        <v> </v>
      </c>
      <c r="K1356" s="26" t="str">
        <f>IF(OR(E1356="",E1356="!!!",F1356="NEW"),"",INDEX(J$1:J1355,SUMPRODUCT(MAX(ROW(E$1:E1355)*(E1356=E$1:E1355)))))</f>
        <v> </v>
      </c>
      <c r="L1356" s="27"/>
    </row>
    <row r="1357" spans="1:12">
      <c r="A1357" s="20" t="s">
        <v>1340</v>
      </c>
      <c r="B1357" s="21" t="s">
        <v>728</v>
      </c>
      <c r="C1357" s="21" t="s">
        <v>753</v>
      </c>
      <c r="D1357" s="21" t="s">
        <v>730</v>
      </c>
      <c r="E1357" s="22">
        <f>IF(D1357="?OLD","!!!","")</f>
        <v/>
      </c>
      <c r="F1357" s="23" t="str">
        <f>IF(OR(E1357="",E1357="!!!"),"",IF(NOT(ISNA(VLOOKUP(E1357,E$1:E1356,1,FALSE()))),"OLD",IF(AND(E1357&lt;&gt;"",E1357&lt;&gt;"!!!"),"NEW","")))</f>
        <v> </v>
      </c>
      <c r="G1357" s="24" t="str">
        <f>IF(OR(E1357="",E1357="!!!"),"",IF(OR(J1357=0,AND(J1357=1,K1357=1),AND(J1357=1,I1357="SBJ"),AND(J1357=1,I1357=0)),"?IN_FOCUS",IF(J1357&lt;=2,"?ACTIVATED",IF(J1357&lt;&gt;"","?FAMILIAR",IF(F1357="NEW",IF(ISNA(VLOOKUP(E1357,#REF!,1,FALSE())),"?TYPE_IDENTIFIABLE","?REFERENTIAL"),"_")))))</f>
        <v> </v>
      </c>
      <c r="H1357" s="25" t="str">
        <f>IF(J1357&lt;&gt;1,"",IF(I1357="SBJ","CB","?"))</f>
        <v> </v>
      </c>
      <c r="I1357" s="26" t="str">
        <f>IF(OR(E1357="",E1357="!!!",F1357="NEW"),"",INDEX(B1356:B$2,-1+SUMPRODUCT(MAX(ROW(E1356:E$2)*(E1357=E1356:E$2)))))</f>
        <v> </v>
      </c>
      <c r="J1357" s="26" t="str">
        <f>IF(OR(E1357="",E1357="!!!",F1357="NEW"),"",COUNTBLANK(OFFSET(A$1,,,SUMPRODUCT(MAX(ROW(E$2:E1357)*(E1357=E$2:E1357)))))-COUNTBLANK(OFFSET(A$1,,,SUMPRODUCT(MAX(ROW(E$1:E1356)*(E2=E$1:E1356))))))</f>
        <v> </v>
      </c>
      <c r="K1357" s="26" t="str">
        <f>IF(OR(E1357="",E1357="!!!",F1357="NEW"),"",INDEX(J$1:J1356,SUMPRODUCT(MAX(ROW(E$1:E1356)*(E1357=E$1:E1356)))))</f>
        <v> </v>
      </c>
      <c r="L1357" s="27"/>
    </row>
    <row r="1358" spans="1:12">
      <c r="A1358" s="20" t="s">
        <v>773</v>
      </c>
      <c r="E1358" s="22">
        <f>IF(D1358="?OLD","!!!","")</f>
        <v/>
      </c>
      <c r="F1358" s="23" t="str">
        <f>IF(OR(E1358="",E1358="!!!"),"",IF(NOT(ISNA(VLOOKUP(E1358,E$1:E1357,1,FALSE()))),"OLD",IF(AND(E1358&lt;&gt;"",E1358&lt;&gt;"!!!"),"NEW","")))</f>
        <v> </v>
      </c>
      <c r="G1358" s="24" t="str">
        <f>IF(OR(E1358="",E1358="!!!"),"",IF(OR(J1358=0,AND(J1358=1,K1358=1),AND(J1358=1,I1358="SBJ"),AND(J1358=1,I1358=0)),"?IN_FOCUS",IF(J1358&lt;=2,"?ACTIVATED",IF(J1358&lt;&gt;"","?FAMILIAR",IF(F1358="NEW",IF(ISNA(VLOOKUP(E1358,#REF!,1,FALSE())),"?TYPE_IDENTIFIABLE","?REFERENTIAL"),"_")))))</f>
        <v> </v>
      </c>
      <c r="H1358" s="25" t="str">
        <f>IF(J1358&lt;&gt;1,"",IF(I1358="SBJ","CB","?"))</f>
        <v> </v>
      </c>
      <c r="I1358" s="26" t="str">
        <f>IF(OR(E1358="",E1358="!!!",F1358="NEW"),"",INDEX(B1357:B$2,-1+SUMPRODUCT(MAX(ROW(E1357:E$2)*(E1358=E1357:E$2)))))</f>
        <v> </v>
      </c>
      <c r="J1358" s="26" t="str">
        <f>IF(OR(E1358="",E1358="!!!",F1358="NEW"),"",COUNTBLANK(OFFSET(A$1,,,SUMPRODUCT(MAX(ROW(E$2:E1358)*(E1358=E$2:E1358)))))-COUNTBLANK(OFFSET(A$1,,,SUMPRODUCT(MAX(ROW(E$1:E1357)*(E2=E$1:E1357))))))</f>
        <v> </v>
      </c>
      <c r="K1358" s="26" t="str">
        <f>IF(OR(E1358="",E1358="!!!",F1358="NEW"),"",INDEX(J$1:J1357,SUMPRODUCT(MAX(ROW(E$1:E1357)*(E1358=E$1:E1357)))))</f>
        <v> </v>
      </c>
      <c r="L1358" s="27"/>
    </row>
    <row r="1359" spans="1:12">
      <c r="A1359" s="20" t="s">
        <v>745</v>
      </c>
      <c r="E1359" s="22">
        <f>IF(D1359="?OLD","!!!","")</f>
        <v/>
      </c>
      <c r="F1359" s="23" t="str">
        <f>IF(OR(E1359="",E1359="!!!"),"",IF(NOT(ISNA(VLOOKUP(E1359,E$1:E1358,1,FALSE()))),"OLD",IF(AND(E1359&lt;&gt;"",E1359&lt;&gt;"!!!"),"NEW","")))</f>
        <v> </v>
      </c>
      <c r="G1359" s="24" t="str">
        <f>IF(OR(E1359="",E1359="!!!"),"",IF(OR(J1359=0,AND(J1359=1,K1359=1),AND(J1359=1,I1359="SBJ"),AND(J1359=1,I1359=0)),"?IN_FOCUS",IF(J1359&lt;=2,"?ACTIVATED",IF(J1359&lt;&gt;"","?FAMILIAR",IF(F1359="NEW",IF(ISNA(VLOOKUP(E1359,#REF!,1,FALSE())),"?TYPE_IDENTIFIABLE","?REFERENTIAL"),"_")))))</f>
        <v> </v>
      </c>
      <c r="H1359" s="25" t="str">
        <f>IF(J1359&lt;&gt;1,"",IF(I1359="SBJ","CB","?"))</f>
        <v> </v>
      </c>
      <c r="I1359" s="26" t="str">
        <f>IF(OR(E1359="",E1359="!!!",F1359="NEW"),"",INDEX(B1358:B$2,-1+SUMPRODUCT(MAX(ROW(E1358:E$2)*(E1359=E1358:E$2)))))</f>
        <v> </v>
      </c>
      <c r="J1359" s="26" t="str">
        <f>IF(OR(E1359="",E1359="!!!",F1359="NEW"),"",COUNTBLANK(OFFSET(A$1,,,SUMPRODUCT(MAX(ROW(E$2:E1359)*(E1359=E$2:E1359)))))-COUNTBLANK(OFFSET(A$1,,,SUMPRODUCT(MAX(ROW(E$1:E1358)*(E2=E$1:E1358))))))</f>
        <v> </v>
      </c>
      <c r="K1359" s="26" t="str">
        <f>IF(OR(E1359="",E1359="!!!",F1359="NEW"),"",INDEX(J$1:J1358,SUMPRODUCT(MAX(ROW(E$1:E1358)*(E1359=E$1:E1358)))))</f>
        <v> </v>
      </c>
      <c r="L1359" s="27"/>
    </row>
    <row r="1360" spans="1:12">
      <c r="A1360" s="20" t="s">
        <v>1272</v>
      </c>
      <c r="B1360" s="21" t="s">
        <v>739</v>
      </c>
      <c r="C1360" s="21" t="s">
        <v>852</v>
      </c>
      <c r="E1360" s="22">
        <f>IF(D1360="?OLD","!!!","")</f>
        <v/>
      </c>
      <c r="F1360" s="23" t="str">
        <f>IF(OR(E1360="",E1360="!!!"),"",IF(NOT(ISNA(VLOOKUP(E1360,E$1:E1359,1,FALSE()))),"OLD",IF(AND(E1360&lt;&gt;"",E1360&lt;&gt;"!!!"),"NEW","")))</f>
        <v> </v>
      </c>
      <c r="G1360" s="24" t="str">
        <f>IF(OR(E1360="",E1360="!!!"),"",IF(OR(J1360=0,AND(J1360=1,K1360=1),AND(J1360=1,I1360="SBJ"),AND(J1360=1,I1360=0)),"?IN_FOCUS",IF(J1360&lt;=2,"?ACTIVATED",IF(J1360&lt;&gt;"","?FAMILIAR",IF(F1360="NEW",IF(ISNA(VLOOKUP(E1360,#REF!,1,FALSE())),"?TYPE_IDENTIFIABLE","?REFERENTIAL"),"_")))))</f>
        <v> </v>
      </c>
      <c r="H1360" s="25" t="str">
        <f>IF(J1360&lt;&gt;1,"",IF(I1360="SBJ","CB","?"))</f>
        <v> </v>
      </c>
      <c r="I1360" s="26" t="str">
        <f>IF(OR(E1360="",E1360="!!!",F1360="NEW"),"",INDEX(B1359:B$2,-1+SUMPRODUCT(MAX(ROW(E1359:E$2)*(E1360=E1359:E$2)))))</f>
        <v> </v>
      </c>
      <c r="J1360" s="26" t="str">
        <f>IF(OR(E1360="",E1360="!!!",F1360="NEW"),"",COUNTBLANK(OFFSET(A$1,,,SUMPRODUCT(MAX(ROW(E$2:E1360)*(E1360=E$2:E1360)))))-COUNTBLANK(OFFSET(A$1,,,SUMPRODUCT(MAX(ROW(E$1:E1359)*(E2=E$1:E1359))))))</f>
        <v> </v>
      </c>
      <c r="K1360" s="26" t="str">
        <f>IF(OR(E1360="",E1360="!!!",F1360="NEW"),"",INDEX(J$1:J1359,SUMPRODUCT(MAX(ROW(E$1:E1359)*(E1360=E$1:E1359)))))</f>
        <v> </v>
      </c>
      <c r="L1360" s="27"/>
    </row>
    <row r="1361" spans="1:12">
      <c r="A1361" s="20" t="s">
        <v>1341</v>
      </c>
      <c r="E1361" s="22">
        <f>IF(D1361="?OLD","!!!","")</f>
        <v/>
      </c>
      <c r="F1361" s="23" t="str">
        <f>IF(OR(E1361="",E1361="!!!"),"",IF(NOT(ISNA(VLOOKUP(E1361,E$1:E1360,1,FALSE()))),"OLD",IF(AND(E1361&lt;&gt;"",E1361&lt;&gt;"!!!"),"NEW","")))</f>
        <v> </v>
      </c>
      <c r="G1361" s="24" t="str">
        <f>IF(OR(E1361="",E1361="!!!"),"",IF(OR(J1361=0,AND(J1361=1,K1361=1),AND(J1361=1,I1361="SBJ"),AND(J1361=1,I1361=0)),"?IN_FOCUS",IF(J1361&lt;=2,"?ACTIVATED",IF(J1361&lt;&gt;"","?FAMILIAR",IF(F1361="NEW",IF(ISNA(VLOOKUP(E1361,#REF!,1,FALSE())),"?TYPE_IDENTIFIABLE","?REFERENTIAL"),"_")))))</f>
        <v> </v>
      </c>
      <c r="H1361" s="25" t="str">
        <f>IF(J1361&lt;&gt;1,"",IF(I1361="SBJ","CB","?"))</f>
        <v> </v>
      </c>
      <c r="I1361" s="26" t="str">
        <f>IF(OR(E1361="",E1361="!!!",F1361="NEW"),"",INDEX(B1360:B$2,-1+SUMPRODUCT(MAX(ROW(E1360:E$2)*(E1361=E1360:E$2)))))</f>
        <v> </v>
      </c>
      <c r="J1361" s="26" t="str">
        <f>IF(OR(E1361="",E1361="!!!",F1361="NEW"),"",COUNTBLANK(OFFSET(A$1,,,SUMPRODUCT(MAX(ROW(E$2:E1361)*(E1361=E$2:E1361)))))-COUNTBLANK(OFFSET(A$1,,,SUMPRODUCT(MAX(ROW(E$1:E1360)*(E2=E$1:E1360))))))</f>
        <v> </v>
      </c>
      <c r="K1361" s="26" t="str">
        <f>IF(OR(E1361="",E1361="!!!",F1361="NEW"),"",INDEX(J$1:J1360,SUMPRODUCT(MAX(ROW(E$1:E1360)*(E1361=E$1:E1360)))))</f>
        <v> </v>
      </c>
      <c r="L1361" s="27"/>
    </row>
    <row r="1362" spans="1:12">
      <c r="A1362" s="20" t="s">
        <v>792</v>
      </c>
      <c r="B1362" s="21" t="s">
        <v>764</v>
      </c>
      <c r="C1362" s="21" t="s">
        <v>729</v>
      </c>
      <c r="D1362" s="21" t="s">
        <v>730</v>
      </c>
      <c r="E1362" s="22">
        <f>IF(D1362="?OLD","!!!","")</f>
        <v/>
      </c>
      <c r="F1362" s="23" t="str">
        <f>IF(OR(E1362="",E1362="!!!"),"",IF(NOT(ISNA(VLOOKUP(E1362,E$1:E1361,1,FALSE()))),"OLD",IF(AND(E1362&lt;&gt;"",E1362&lt;&gt;"!!!"),"NEW","")))</f>
        <v> </v>
      </c>
      <c r="G1362" s="24" t="str">
        <f>IF(OR(E1362="",E1362="!!!"),"",IF(OR(J1362=0,AND(J1362=1,K1362=1),AND(J1362=1,I1362="SBJ"),AND(J1362=1,I1362=0)),"?IN_FOCUS",IF(J1362&lt;=2,"?ACTIVATED",IF(J1362&lt;&gt;"","?FAMILIAR",IF(F1362="NEW",IF(ISNA(VLOOKUP(E1362,#REF!,1,FALSE())),"?TYPE_IDENTIFIABLE","?REFERENTIAL"),"_")))))</f>
        <v> </v>
      </c>
      <c r="H1362" s="25" t="str">
        <f>IF(J1362&lt;&gt;1,"",IF(I1362="SBJ","CB","?"))</f>
        <v> </v>
      </c>
      <c r="I1362" s="26" t="str">
        <f>IF(OR(E1362="",E1362="!!!",F1362="NEW"),"",INDEX(B1361:B$2,-1+SUMPRODUCT(MAX(ROW(E1361:E$2)*(E1362=E1361:E$2)))))</f>
        <v> </v>
      </c>
      <c r="J1362" s="26" t="str">
        <f>IF(OR(E1362="",E1362="!!!",F1362="NEW"),"",COUNTBLANK(OFFSET(A$1,,,SUMPRODUCT(MAX(ROW(E$2:E1362)*(E1362=E$2:E1362)))))-COUNTBLANK(OFFSET(A$1,,,SUMPRODUCT(MAX(ROW(E$1:E1361)*(E2=E$1:E1361))))))</f>
        <v> </v>
      </c>
      <c r="K1362" s="26" t="str">
        <f>IF(OR(E1362="",E1362="!!!",F1362="NEW"),"",INDEX(J$1:J1361,SUMPRODUCT(MAX(ROW(E$1:E1361)*(E1362=E$1:E1361)))))</f>
        <v> </v>
      </c>
      <c r="L1362" s="27"/>
    </row>
    <row r="1363" spans="1:12">
      <c r="A1363" s="20" t="s">
        <v>759</v>
      </c>
      <c r="E1363" s="22">
        <f>IF(D1363="?OLD","!!!","")</f>
        <v/>
      </c>
      <c r="F1363" s="23" t="str">
        <f>IF(OR(E1363="",E1363="!!!"),"",IF(NOT(ISNA(VLOOKUP(E1363,E$1:E1362,1,FALSE()))),"OLD",IF(AND(E1363&lt;&gt;"",E1363&lt;&gt;"!!!"),"NEW","")))</f>
        <v> </v>
      </c>
      <c r="G1363" s="24" t="str">
        <f>IF(OR(E1363="",E1363="!!!"),"",IF(OR(J1363=0,AND(J1363=1,K1363=1),AND(J1363=1,I1363="SBJ"),AND(J1363=1,I1363=0)),"?IN_FOCUS",IF(J1363&lt;=2,"?ACTIVATED",IF(J1363&lt;&gt;"","?FAMILIAR",IF(F1363="NEW",IF(ISNA(VLOOKUP(E1363,#REF!,1,FALSE())),"?TYPE_IDENTIFIABLE","?REFERENTIAL"),"_")))))</f>
        <v> </v>
      </c>
      <c r="H1363" s="25" t="str">
        <f>IF(J1363&lt;&gt;1,"",IF(I1363="SBJ","CB","?"))</f>
        <v> </v>
      </c>
      <c r="I1363" s="26" t="str">
        <f>IF(OR(E1363="",E1363="!!!",F1363="NEW"),"",INDEX(B1362:B$2,-1+SUMPRODUCT(MAX(ROW(E1362:E$2)*(E1363=E1362:E$2)))))</f>
        <v> </v>
      </c>
      <c r="J1363" s="26" t="str">
        <f>IF(OR(E1363="",E1363="!!!",F1363="NEW"),"",COUNTBLANK(OFFSET(A$1,,,SUMPRODUCT(MAX(ROW(E$2:E1363)*(E1363=E$2:E1363)))))-COUNTBLANK(OFFSET(A$1,,,SUMPRODUCT(MAX(ROW(E$1:E1362)*(E2=E$1:E1362))))))</f>
        <v> </v>
      </c>
      <c r="K1363" s="26" t="str">
        <f>IF(OR(E1363="",E1363="!!!",F1363="NEW"),"",INDEX(J$1:J1362,SUMPRODUCT(MAX(ROW(E$1:E1362)*(E1363=E$1:E1362)))))</f>
        <v> </v>
      </c>
      <c r="L1363" s="27"/>
    </row>
    <row r="1364" spans="1:12">
      <c r="A1364" s="20" t="s">
        <v>808</v>
      </c>
      <c r="E1364" s="22">
        <f>IF(D1364="?OLD","!!!","")</f>
        <v/>
      </c>
      <c r="F1364" s="23" t="str">
        <f>IF(OR(E1364="",E1364="!!!"),"",IF(NOT(ISNA(VLOOKUP(E1364,E$1:E1363,1,FALSE()))),"OLD",IF(AND(E1364&lt;&gt;"",E1364&lt;&gt;"!!!"),"NEW","")))</f>
        <v> </v>
      </c>
      <c r="G1364" s="24" t="str">
        <f>IF(OR(E1364="",E1364="!!!"),"",IF(OR(J1364=0,AND(J1364=1,K1364=1),AND(J1364=1,I1364="SBJ"),AND(J1364=1,I1364=0)),"?IN_FOCUS",IF(J1364&lt;=2,"?ACTIVATED",IF(J1364&lt;&gt;"","?FAMILIAR",IF(F1364="NEW",IF(ISNA(VLOOKUP(E1364,#REF!,1,FALSE())),"?TYPE_IDENTIFIABLE","?REFERENTIAL"),"_")))))</f>
        <v> </v>
      </c>
      <c r="H1364" s="25" t="str">
        <f>IF(J1364&lt;&gt;1,"",IF(I1364="SBJ","CB","?"))</f>
        <v> </v>
      </c>
      <c r="I1364" s="26" t="str">
        <f>IF(OR(E1364="",E1364="!!!",F1364="NEW"),"",INDEX(B1363:B$2,-1+SUMPRODUCT(MAX(ROW(E1363:E$2)*(E1364=E1363:E$2)))))</f>
        <v> </v>
      </c>
      <c r="J1364" s="26" t="str">
        <f>IF(OR(E1364="",E1364="!!!",F1364="NEW"),"",COUNTBLANK(OFFSET(A$1,,,SUMPRODUCT(MAX(ROW(E$2:E1364)*(E1364=E$2:E1364)))))-COUNTBLANK(OFFSET(A$1,,,SUMPRODUCT(MAX(ROW(E$1:E1363)*(E2=E$1:E1363))))))</f>
        <v> </v>
      </c>
      <c r="K1364" s="26" t="str">
        <f>IF(OR(E1364="",E1364="!!!",F1364="NEW"),"",INDEX(J$1:J1363,SUMPRODUCT(MAX(ROW(E$1:E1363)*(E1364=E$1:E1363)))))</f>
        <v> </v>
      </c>
      <c r="L1364" s="27"/>
    </row>
    <row r="1365" spans="1:12">
      <c r="A1365" s="20" t="s">
        <v>859</v>
      </c>
      <c r="B1365" s="21" t="s">
        <v>796</v>
      </c>
      <c r="C1365" s="21" t="s">
        <v>789</v>
      </c>
      <c r="D1365" s="21" t="s">
        <v>730</v>
      </c>
      <c r="E1365" s="22">
        <f>IF(D1365="?OLD","!!!","")</f>
        <v/>
      </c>
      <c r="F1365" s="23" t="str">
        <f>IF(OR(E1365="",E1365="!!!"),"",IF(NOT(ISNA(VLOOKUP(E1365,E$1:E1364,1,FALSE()))),"OLD",IF(AND(E1365&lt;&gt;"",E1365&lt;&gt;"!!!"),"NEW","")))</f>
        <v> </v>
      </c>
      <c r="G1365" s="24" t="str">
        <f>IF(OR(E1365="",E1365="!!!"),"",IF(OR(J1365=0,AND(J1365=1,K1365=1),AND(J1365=1,I1365="SBJ"),AND(J1365=1,I1365=0)),"?IN_FOCUS",IF(J1365&lt;=2,"?ACTIVATED",IF(J1365&lt;&gt;"","?FAMILIAR",IF(F1365="NEW",IF(ISNA(VLOOKUP(E1365,#REF!,1,FALSE())),"?TYPE_IDENTIFIABLE","?REFERENTIAL"),"_")))))</f>
        <v> </v>
      </c>
      <c r="H1365" s="25" t="str">
        <f>IF(J1365&lt;&gt;1,"",IF(I1365="SBJ","CB","?"))</f>
        <v> </v>
      </c>
      <c r="I1365" s="26" t="str">
        <f>IF(OR(E1365="",E1365="!!!",F1365="NEW"),"",INDEX(B1364:B$2,-1+SUMPRODUCT(MAX(ROW(E1364:E$2)*(E1365=E1364:E$2)))))</f>
        <v> </v>
      </c>
      <c r="J1365" s="26" t="str">
        <f>IF(OR(E1365="",E1365="!!!",F1365="NEW"),"",COUNTBLANK(OFFSET(A$1,,,SUMPRODUCT(MAX(ROW(E$2:E1365)*(E1365=E$2:E1365)))))-COUNTBLANK(OFFSET(A$1,,,SUMPRODUCT(MAX(ROW(E$1:E1364)*(E2=E$1:E1364))))))</f>
        <v> </v>
      </c>
      <c r="K1365" s="26" t="str">
        <f>IF(OR(E1365="",E1365="!!!",F1365="NEW"),"",INDEX(J$1:J1364,SUMPRODUCT(MAX(ROW(E$1:E1364)*(E1365=E$1:E1364)))))</f>
        <v> </v>
      </c>
      <c r="L1365" s="27"/>
    </row>
    <row r="1366" spans="1:12">
      <c r="A1366" s="20" t="s">
        <v>1342</v>
      </c>
      <c r="E1366" s="22">
        <f>IF(D1366="?OLD","!!!","")</f>
        <v/>
      </c>
      <c r="F1366" s="23" t="str">
        <f>IF(OR(E1366="",E1366="!!!"),"",IF(NOT(ISNA(VLOOKUP(E1366,E$1:E1365,1,FALSE()))),"OLD",IF(AND(E1366&lt;&gt;"",E1366&lt;&gt;"!!!"),"NEW","")))</f>
        <v> </v>
      </c>
      <c r="G1366" s="24" t="str">
        <f>IF(OR(E1366="",E1366="!!!"),"",IF(OR(J1366=0,AND(J1366=1,K1366=1),AND(J1366=1,I1366="SBJ"),AND(J1366=1,I1366=0)),"?IN_FOCUS",IF(J1366&lt;=2,"?ACTIVATED",IF(J1366&lt;&gt;"","?FAMILIAR",IF(F1366="NEW",IF(ISNA(VLOOKUP(E1366,#REF!,1,FALSE())),"?TYPE_IDENTIFIABLE","?REFERENTIAL"),"_")))))</f>
        <v> </v>
      </c>
      <c r="H1366" s="25" t="str">
        <f>IF(J1366&lt;&gt;1,"",IF(I1366="SBJ","CB","?"))</f>
        <v> </v>
      </c>
      <c r="I1366" s="26" t="str">
        <f>IF(OR(E1366="",E1366="!!!",F1366="NEW"),"",INDEX(B1365:B$2,-1+SUMPRODUCT(MAX(ROW(E1365:E$2)*(E1366=E1365:E$2)))))</f>
        <v> </v>
      </c>
      <c r="J1366" s="26" t="str">
        <f>IF(OR(E1366="",E1366="!!!",F1366="NEW"),"",COUNTBLANK(OFFSET(A$1,,,SUMPRODUCT(MAX(ROW(E$2:E1366)*(E1366=E$2:E1366)))))-COUNTBLANK(OFFSET(A$1,,,SUMPRODUCT(MAX(ROW(E$1:E1365)*(E2=E$1:E1365))))))</f>
        <v> </v>
      </c>
      <c r="K1366" s="26" t="str">
        <f>IF(OR(E1366="",E1366="!!!",F1366="NEW"),"",INDEX(J$1:J1365,SUMPRODUCT(MAX(ROW(E$1:E1365)*(E1366=E$1:E1365)))))</f>
        <v> </v>
      </c>
      <c r="L1366" s="27"/>
    </row>
    <row r="1367" spans="1:12">
      <c r="A1367" s="20" t="s">
        <v>902</v>
      </c>
      <c r="E1367" s="22">
        <f>IF(D1367="?OLD","!!!","")</f>
        <v/>
      </c>
      <c r="F1367" s="23" t="str">
        <f>IF(OR(E1367="",E1367="!!!"),"",IF(NOT(ISNA(VLOOKUP(E1367,E$1:E1366,1,FALSE()))),"OLD",IF(AND(E1367&lt;&gt;"",E1367&lt;&gt;"!!!"),"NEW","")))</f>
        <v> </v>
      </c>
      <c r="G1367" s="24" t="str">
        <f>IF(OR(E1367="",E1367="!!!"),"",IF(OR(J1367=0,AND(J1367=1,K1367=1),AND(J1367=1,I1367="SBJ"),AND(J1367=1,I1367=0)),"?IN_FOCUS",IF(J1367&lt;=2,"?ACTIVATED",IF(J1367&lt;&gt;"","?FAMILIAR",IF(F1367="NEW",IF(ISNA(VLOOKUP(E1367,#REF!,1,FALSE())),"?TYPE_IDENTIFIABLE","?REFERENTIAL"),"_")))))</f>
        <v> </v>
      </c>
      <c r="H1367" s="25" t="str">
        <f>IF(J1367&lt;&gt;1,"",IF(I1367="SBJ","CB","?"))</f>
        <v> </v>
      </c>
      <c r="I1367" s="26" t="str">
        <f>IF(OR(E1367="",E1367="!!!",F1367="NEW"),"",INDEX(B1366:B$2,-1+SUMPRODUCT(MAX(ROW(E1366:E$2)*(E1367=E1366:E$2)))))</f>
        <v> </v>
      </c>
      <c r="J1367" s="26" t="str">
        <f>IF(OR(E1367="",E1367="!!!",F1367="NEW"),"",COUNTBLANK(OFFSET(A$1,,,SUMPRODUCT(MAX(ROW(E$2:E1367)*(E1367=E$2:E1367)))))-COUNTBLANK(OFFSET(A$1,,,SUMPRODUCT(MAX(ROW(E$1:E1366)*(E2=E$1:E1366))))))</f>
        <v> </v>
      </c>
      <c r="K1367" s="26" t="str">
        <f>IF(OR(E1367="",E1367="!!!",F1367="NEW"),"",INDEX(J$1:J1366,SUMPRODUCT(MAX(ROW(E$1:E1366)*(E1367=E$1:E1366)))))</f>
        <v> </v>
      </c>
      <c r="L1367" s="27"/>
    </row>
    <row r="1368" spans="1:12">
      <c r="A1368" s="20" t="s">
        <v>810</v>
      </c>
      <c r="E1368" s="22">
        <f>IF(D1368="?OLD","!!!","")</f>
        <v/>
      </c>
      <c r="F1368" s="23" t="str">
        <f>IF(OR(E1368="",E1368="!!!"),"",IF(NOT(ISNA(VLOOKUP(E1368,E$1:E1367,1,FALSE()))),"OLD",IF(AND(E1368&lt;&gt;"",E1368&lt;&gt;"!!!"),"NEW","")))</f>
        <v> </v>
      </c>
      <c r="G1368" s="24" t="str">
        <f>IF(OR(E1368="",E1368="!!!"),"",IF(OR(J1368=0,AND(J1368=1,K1368=1),AND(J1368=1,I1368="SBJ"),AND(J1368=1,I1368=0)),"?IN_FOCUS",IF(J1368&lt;=2,"?ACTIVATED",IF(J1368&lt;&gt;"","?FAMILIAR",IF(F1368="NEW",IF(ISNA(VLOOKUP(E1368,#REF!,1,FALSE())),"?TYPE_IDENTIFIABLE","?REFERENTIAL"),"_")))))</f>
        <v> </v>
      </c>
      <c r="H1368" s="25" t="str">
        <f>IF(J1368&lt;&gt;1,"",IF(I1368="SBJ","CB","?"))</f>
        <v> </v>
      </c>
      <c r="I1368" s="26" t="str">
        <f>IF(OR(E1368="",E1368="!!!",F1368="NEW"),"",INDEX(B1367:B$2,-1+SUMPRODUCT(MAX(ROW(E1367:E$2)*(E1368=E1367:E$2)))))</f>
        <v> </v>
      </c>
      <c r="J1368" s="26" t="str">
        <f>IF(OR(E1368="",E1368="!!!",F1368="NEW"),"",COUNTBLANK(OFFSET(A$1,,,SUMPRODUCT(MAX(ROW(E$2:E1368)*(E1368=E$2:E1368)))))-COUNTBLANK(OFFSET(A$1,,,SUMPRODUCT(MAX(ROW(E$1:E1367)*(E2=E$1:E1367))))))</f>
        <v> </v>
      </c>
      <c r="K1368" s="26" t="str">
        <f>IF(OR(E1368="",E1368="!!!",F1368="NEW"),"",INDEX(J$1:J1367,SUMPRODUCT(MAX(ROW(E$1:E1367)*(E1368=E$1:E1367)))))</f>
        <v> </v>
      </c>
      <c r="L1368" s="27"/>
    </row>
    <row r="1369" spans="1:12">
      <c r="A1369" s="20" t="s">
        <v>773</v>
      </c>
      <c r="E1369" s="22">
        <f>IF(D1369="?OLD","!!!","")</f>
        <v/>
      </c>
      <c r="F1369" s="23" t="str">
        <f>IF(OR(E1369="",E1369="!!!"),"",IF(NOT(ISNA(VLOOKUP(E1369,E$1:E1368,1,FALSE()))),"OLD",IF(AND(E1369&lt;&gt;"",E1369&lt;&gt;"!!!"),"NEW","")))</f>
        <v> </v>
      </c>
      <c r="G1369" s="24" t="str">
        <f>IF(OR(E1369="",E1369="!!!"),"",IF(OR(J1369=0,AND(J1369=1,K1369=1),AND(J1369=1,I1369="SBJ"),AND(J1369=1,I1369=0)),"?IN_FOCUS",IF(J1369&lt;=2,"?ACTIVATED",IF(J1369&lt;&gt;"","?FAMILIAR",IF(F1369="NEW",IF(ISNA(VLOOKUP(E1369,#REF!,1,FALSE())),"?TYPE_IDENTIFIABLE","?REFERENTIAL"),"_")))))</f>
        <v> </v>
      </c>
      <c r="H1369" s="25" t="str">
        <f>IF(J1369&lt;&gt;1,"",IF(I1369="SBJ","CB","?"))</f>
        <v> </v>
      </c>
      <c r="I1369" s="26" t="str">
        <f>IF(OR(E1369="",E1369="!!!",F1369="NEW"),"",INDEX(B1368:B$2,-1+SUMPRODUCT(MAX(ROW(E1368:E$2)*(E1369=E1368:E$2)))))</f>
        <v> </v>
      </c>
      <c r="J1369" s="26" t="str">
        <f>IF(OR(E1369="",E1369="!!!",F1369="NEW"),"",COUNTBLANK(OFFSET(A$1,,,SUMPRODUCT(MAX(ROW(E$2:E1369)*(E1369=E$2:E1369)))))-COUNTBLANK(OFFSET(A$1,,,SUMPRODUCT(MAX(ROW(E$1:E1368)*(E2=E$1:E1368))))))</f>
        <v> </v>
      </c>
      <c r="K1369" s="26" t="str">
        <f>IF(OR(E1369="",E1369="!!!",F1369="NEW"),"",INDEX(J$1:J1368,SUMPRODUCT(MAX(ROW(E$1:E1368)*(E1369=E$1:E1368)))))</f>
        <v> </v>
      </c>
      <c r="L1369" s="27"/>
    </row>
    <row r="1370" spans="1:12">
      <c r="A1370" s="20" t="s">
        <v>757</v>
      </c>
      <c r="E1370" s="22">
        <f>IF(D1370="?OLD","!!!","")</f>
        <v/>
      </c>
      <c r="F1370" s="23" t="str">
        <f>IF(OR(E1370="",E1370="!!!"),"",IF(NOT(ISNA(VLOOKUP(E1370,E$1:E1369,1,FALSE()))),"OLD",IF(AND(E1370&lt;&gt;"",E1370&lt;&gt;"!!!"),"NEW","")))</f>
        <v> </v>
      </c>
      <c r="G1370" s="24" t="str">
        <f>IF(OR(E1370="",E1370="!!!"),"",IF(OR(J1370=0,AND(J1370=1,K1370=1),AND(J1370=1,I1370="SBJ"),AND(J1370=1,I1370=0)),"?IN_FOCUS",IF(J1370&lt;=2,"?ACTIVATED",IF(J1370&lt;&gt;"","?FAMILIAR",IF(F1370="NEW",IF(ISNA(VLOOKUP(E1370,#REF!,1,FALSE())),"?TYPE_IDENTIFIABLE","?REFERENTIAL"),"_")))))</f>
        <v> </v>
      </c>
      <c r="H1370" s="25" t="str">
        <f>IF(J1370&lt;&gt;1,"",IF(I1370="SBJ","CB","?"))</f>
        <v> </v>
      </c>
      <c r="I1370" s="26" t="str">
        <f>IF(OR(E1370="",E1370="!!!",F1370="NEW"),"",INDEX(B1369:B$2,-1+SUMPRODUCT(MAX(ROW(E1369:E$2)*(E1370=E1369:E$2)))))</f>
        <v> </v>
      </c>
      <c r="J1370" s="26" t="str">
        <f>IF(OR(E1370="",E1370="!!!",F1370="NEW"),"",COUNTBLANK(OFFSET(A$1,,,SUMPRODUCT(MAX(ROW(E$2:E1370)*(E1370=E$2:E1370)))))-COUNTBLANK(OFFSET(A$1,,,SUMPRODUCT(MAX(ROW(E$1:E1369)*(E2=E$1:E1369))))))</f>
        <v> </v>
      </c>
      <c r="K1370" s="26" t="str">
        <f>IF(OR(E1370="",E1370="!!!",F1370="NEW"),"",INDEX(J$1:J1369,SUMPRODUCT(MAX(ROW(E$1:E1369)*(E1370=E$1:E1369)))))</f>
        <v> </v>
      </c>
      <c r="L1370" s="27"/>
    </row>
    <row r="1371" spans="1:12">
      <c r="A1371" s="20" t="s">
        <v>1343</v>
      </c>
      <c r="B1371" s="21" t="s">
        <v>736</v>
      </c>
      <c r="C1371" s="21" t="s">
        <v>753</v>
      </c>
      <c r="D1371" s="21" t="s">
        <v>730</v>
      </c>
      <c r="E1371" s="22">
        <f>IF(D1371="?OLD","!!!","")</f>
        <v/>
      </c>
      <c r="F1371" s="23" t="str">
        <f>IF(OR(E1371="",E1371="!!!"),"",IF(NOT(ISNA(VLOOKUP(E1371,E$1:E1370,1,FALSE()))),"OLD",IF(AND(E1371&lt;&gt;"",E1371&lt;&gt;"!!!"),"NEW","")))</f>
        <v> </v>
      </c>
      <c r="G1371" s="24" t="str">
        <f>IF(OR(E1371="",E1371="!!!"),"",IF(OR(J1371=0,AND(J1371=1,K1371=1),AND(J1371=1,I1371="SBJ"),AND(J1371=1,I1371=0)),"?IN_FOCUS",IF(J1371&lt;=2,"?ACTIVATED",IF(J1371&lt;&gt;"","?FAMILIAR",IF(F1371="NEW",IF(ISNA(VLOOKUP(E1371,#REF!,1,FALSE())),"?TYPE_IDENTIFIABLE","?REFERENTIAL"),"_")))))</f>
        <v> </v>
      </c>
      <c r="H1371" s="25" t="str">
        <f>IF(J1371&lt;&gt;1,"",IF(I1371="SBJ","CB","?"))</f>
        <v> </v>
      </c>
      <c r="I1371" s="26" t="str">
        <f>IF(OR(E1371="",E1371="!!!",F1371="NEW"),"",INDEX(B1370:B$2,-1+SUMPRODUCT(MAX(ROW(E1370:E$2)*(E1371=E1370:E$2)))))</f>
        <v> </v>
      </c>
      <c r="J1371" s="26" t="str">
        <f>IF(OR(E1371="",E1371="!!!",F1371="NEW"),"",COUNTBLANK(OFFSET(A$1,,,SUMPRODUCT(MAX(ROW(E$2:E1371)*(E1371=E$2:E1371)))))-COUNTBLANK(OFFSET(A$1,,,SUMPRODUCT(MAX(ROW(E$1:E1370)*(E2=E$1:E1370))))))</f>
        <v> </v>
      </c>
      <c r="K1371" s="26" t="str">
        <f>IF(OR(E1371="",E1371="!!!",F1371="NEW"),"",INDEX(J$1:J1370,SUMPRODUCT(MAX(ROW(E$1:E1370)*(E1371=E$1:E1370)))))</f>
        <v> </v>
      </c>
      <c r="L1371" s="27"/>
    </row>
    <row r="1372" spans="1:12">
      <c r="A1372" s="20" t="s">
        <v>1344</v>
      </c>
      <c r="E1372" s="22">
        <f>IF(D1372="?OLD","!!!","")</f>
        <v/>
      </c>
      <c r="F1372" s="23" t="str">
        <f>IF(OR(E1372="",E1372="!!!"),"",IF(NOT(ISNA(VLOOKUP(E1372,E$1:E1371,1,FALSE()))),"OLD",IF(AND(E1372&lt;&gt;"",E1372&lt;&gt;"!!!"),"NEW","")))</f>
        <v> </v>
      </c>
      <c r="G1372" s="24" t="str">
        <f>IF(OR(E1372="",E1372="!!!"),"",IF(OR(J1372=0,AND(J1372=1,K1372=1),AND(J1372=1,I1372="SBJ"),AND(J1372=1,I1372=0)),"?IN_FOCUS",IF(J1372&lt;=2,"?ACTIVATED",IF(J1372&lt;&gt;"","?FAMILIAR",IF(F1372="NEW",IF(ISNA(VLOOKUP(E1372,#REF!,1,FALSE())),"?TYPE_IDENTIFIABLE","?REFERENTIAL"),"_")))))</f>
        <v> </v>
      </c>
      <c r="H1372" s="25" t="str">
        <f>IF(J1372&lt;&gt;1,"",IF(I1372="SBJ","CB","?"))</f>
        <v> </v>
      </c>
      <c r="I1372" s="26" t="str">
        <f>IF(OR(E1372="",E1372="!!!",F1372="NEW"),"",INDEX(B1371:B$2,-1+SUMPRODUCT(MAX(ROW(E1371:E$2)*(E1372=E1371:E$2)))))</f>
        <v> </v>
      </c>
      <c r="J1372" s="26" t="str">
        <f>IF(OR(E1372="",E1372="!!!",F1372="NEW"),"",COUNTBLANK(OFFSET(A$1,,,SUMPRODUCT(MAX(ROW(E$2:E1372)*(E1372=E$2:E1372)))))-COUNTBLANK(OFFSET(A$1,,,SUMPRODUCT(MAX(ROW(E$1:E1371)*(E2=E$1:E1371))))))</f>
        <v> </v>
      </c>
      <c r="K1372" s="26" t="str">
        <f>IF(OR(E1372="",E1372="!!!",F1372="NEW"),"",INDEX(J$1:J1371,SUMPRODUCT(MAX(ROW(E$1:E1371)*(E1372=E$1:E1371)))))</f>
        <v> </v>
      </c>
      <c r="L1372" s="27"/>
    </row>
    <row r="1373" spans="1:12">
      <c r="A1373" s="20" t="s">
        <v>759</v>
      </c>
      <c r="E1373" s="22">
        <f>IF(D1373="?OLD","!!!","")</f>
        <v/>
      </c>
      <c r="F1373" s="23" t="str">
        <f>IF(OR(E1373="",E1373="!!!"),"",IF(NOT(ISNA(VLOOKUP(E1373,E$1:E1372,1,FALSE()))),"OLD",IF(AND(E1373&lt;&gt;"",E1373&lt;&gt;"!!!"),"NEW","")))</f>
        <v> </v>
      </c>
      <c r="G1373" s="24" t="str">
        <f>IF(OR(E1373="",E1373="!!!"),"",IF(OR(J1373=0,AND(J1373=1,K1373=1),AND(J1373=1,I1373="SBJ"),AND(J1373=1,I1373=0)),"?IN_FOCUS",IF(J1373&lt;=2,"?ACTIVATED",IF(J1373&lt;&gt;"","?FAMILIAR",IF(F1373="NEW",IF(ISNA(VLOOKUP(E1373,#REF!,1,FALSE())),"?TYPE_IDENTIFIABLE","?REFERENTIAL"),"_")))))</f>
        <v> </v>
      </c>
      <c r="H1373" s="25" t="str">
        <f>IF(J1373&lt;&gt;1,"",IF(I1373="SBJ","CB","?"))</f>
        <v> </v>
      </c>
      <c r="I1373" s="26" t="str">
        <f>IF(OR(E1373="",E1373="!!!",F1373="NEW"),"",INDEX(B1372:B$2,-1+SUMPRODUCT(MAX(ROW(E1372:E$2)*(E1373=E1372:E$2)))))</f>
        <v> </v>
      </c>
      <c r="J1373" s="26" t="str">
        <f>IF(OR(E1373="",E1373="!!!",F1373="NEW"),"",COUNTBLANK(OFFSET(A$1,,,SUMPRODUCT(MAX(ROW(E$2:E1373)*(E1373=E$2:E1373)))))-COUNTBLANK(OFFSET(A$1,,,SUMPRODUCT(MAX(ROW(E$1:E1372)*(E2=E$1:E1372))))))</f>
        <v> </v>
      </c>
      <c r="K1373" s="26" t="str">
        <f>IF(OR(E1373="",E1373="!!!",F1373="NEW"),"",INDEX(J$1:J1372,SUMPRODUCT(MAX(ROW(E$1:E1372)*(E1373=E$1:E1372)))))</f>
        <v> </v>
      </c>
      <c r="L1373" s="27"/>
    </row>
    <row r="1374" spans="1:12">
      <c r="A1374" s="20" t="s">
        <v>776</v>
      </c>
      <c r="B1374" s="21" t="s">
        <v>843</v>
      </c>
      <c r="C1374" s="21" t="s">
        <v>801</v>
      </c>
      <c r="D1374" s="21" t="s">
        <v>730</v>
      </c>
      <c r="E1374" s="22">
        <f>IF(D1374="?OLD","!!!","")</f>
        <v/>
      </c>
      <c r="F1374" s="23" t="str">
        <f>IF(OR(E1374="",E1374="!!!"),"",IF(NOT(ISNA(VLOOKUP(E1374,E$1:E1373,1,FALSE()))),"OLD",IF(AND(E1374&lt;&gt;"",E1374&lt;&gt;"!!!"),"NEW","")))</f>
        <v> </v>
      </c>
      <c r="G1374" s="24" t="str">
        <f>IF(OR(E1374="",E1374="!!!"),"",IF(OR(J1374=0,AND(J1374=1,K1374=1),AND(J1374=1,I1374="SBJ"),AND(J1374=1,I1374=0)),"?IN_FOCUS",IF(J1374&lt;=2,"?ACTIVATED",IF(J1374&lt;&gt;"","?FAMILIAR",IF(F1374="NEW",IF(ISNA(VLOOKUP(E1374,#REF!,1,FALSE())),"?TYPE_IDENTIFIABLE","?REFERENTIAL"),"_")))))</f>
        <v> </v>
      </c>
      <c r="H1374" s="25" t="str">
        <f>IF(J1374&lt;&gt;1,"",IF(I1374="SBJ","CB","?"))</f>
        <v> </v>
      </c>
      <c r="I1374" s="26" t="str">
        <f>IF(OR(E1374="",E1374="!!!",F1374="NEW"),"",INDEX(B1373:B$2,-1+SUMPRODUCT(MAX(ROW(E1373:E$2)*(E1374=E1373:E$2)))))</f>
        <v> </v>
      </c>
      <c r="J1374" s="26" t="str">
        <f>IF(OR(E1374="",E1374="!!!",F1374="NEW"),"",COUNTBLANK(OFFSET(A$1,,,SUMPRODUCT(MAX(ROW(E$2:E1374)*(E1374=E$2:E1374)))))-COUNTBLANK(OFFSET(A$1,,,SUMPRODUCT(MAX(ROW(E$1:E1373)*(E2=E$1:E1373))))))</f>
        <v> </v>
      </c>
      <c r="K1374" s="26" t="str">
        <f>IF(OR(E1374="",E1374="!!!",F1374="NEW"),"",INDEX(J$1:J1373,SUMPRODUCT(MAX(ROW(E$1:E1373)*(E1374=E$1:E1373)))))</f>
        <v> </v>
      </c>
      <c r="L1374" s="27"/>
    </row>
    <row r="1375" spans="1:12">
      <c r="A1375" s="20" t="s">
        <v>754</v>
      </c>
      <c r="E1375" s="22">
        <f>IF(D1375="?OLD","!!!","")</f>
        <v/>
      </c>
      <c r="F1375" s="23" t="str">
        <f>IF(OR(E1375="",E1375="!!!"),"",IF(NOT(ISNA(VLOOKUP(E1375,E$1:E1374,1,FALSE()))),"OLD",IF(AND(E1375&lt;&gt;"",E1375&lt;&gt;"!!!"),"NEW","")))</f>
        <v> </v>
      </c>
      <c r="G1375" s="24" t="str">
        <f>IF(OR(E1375="",E1375="!!!"),"",IF(OR(J1375=0,AND(J1375=1,K1375=1),AND(J1375=1,I1375="SBJ"),AND(J1375=1,I1375=0)),"?IN_FOCUS",IF(J1375&lt;=2,"?ACTIVATED",IF(J1375&lt;&gt;"","?FAMILIAR",IF(F1375="NEW",IF(ISNA(VLOOKUP(E1375,#REF!,1,FALSE())),"?TYPE_IDENTIFIABLE","?REFERENTIAL"),"_")))))</f>
        <v> </v>
      </c>
      <c r="H1375" s="25" t="str">
        <f>IF(J1375&lt;&gt;1,"",IF(I1375="SBJ","CB","?"))</f>
        <v> </v>
      </c>
      <c r="I1375" s="26" t="str">
        <f>IF(OR(E1375="",E1375="!!!",F1375="NEW"),"",INDEX(B1374:B$2,-1+SUMPRODUCT(MAX(ROW(E1374:E$2)*(E1375=E1374:E$2)))))</f>
        <v> </v>
      </c>
      <c r="J1375" s="26" t="str">
        <f>IF(OR(E1375="",E1375="!!!",F1375="NEW"),"",COUNTBLANK(OFFSET(A$1,,,SUMPRODUCT(MAX(ROW(E$2:E1375)*(E1375=E$2:E1375)))))-COUNTBLANK(OFFSET(A$1,,,SUMPRODUCT(MAX(ROW(E$1:E1374)*(E2=E$1:E1374))))))</f>
        <v> </v>
      </c>
      <c r="K1375" s="26" t="str">
        <f>IF(OR(E1375="",E1375="!!!",F1375="NEW"),"",INDEX(J$1:J1374,SUMPRODUCT(MAX(ROW(E$1:E1374)*(E1375=E$1:E1374)))))</f>
        <v> </v>
      </c>
      <c r="L1375" s="27"/>
    </row>
    <row r="1376" spans="1:12">
      <c r="A1376" s="20" t="s">
        <v>222</v>
      </c>
      <c r="E1376" s="22">
        <f>IF(D1376="?OLD","!!!","")</f>
        <v/>
      </c>
      <c r="F1376" s="23" t="str">
        <f>IF(OR(E1376="",E1376="!!!"),"",IF(NOT(ISNA(VLOOKUP(E1376,E$1:E1375,1,FALSE()))),"OLD",IF(AND(E1376&lt;&gt;"",E1376&lt;&gt;"!!!"),"NEW","")))</f>
        <v> </v>
      </c>
      <c r="G1376" s="24" t="str">
        <f>IF(OR(E1376="",E1376="!!!"),"",IF(OR(J1376=0,AND(J1376=1,K1376=1),AND(J1376=1,I1376="SBJ"),AND(J1376=1,I1376=0)),"?IN_FOCUS",IF(J1376&lt;=2,"?ACTIVATED",IF(J1376&lt;&gt;"","?FAMILIAR",IF(F1376="NEW",IF(ISNA(VLOOKUP(E1376,#REF!,1,FALSE())),"?TYPE_IDENTIFIABLE","?REFERENTIAL"),"_")))))</f>
        <v> </v>
      </c>
      <c r="H1376" s="25" t="str">
        <f>IF(J1376&lt;&gt;1,"",IF(I1376="SBJ","CB","?"))</f>
        <v> </v>
      </c>
      <c r="I1376" s="26" t="str">
        <f>IF(OR(E1376="",E1376="!!!",F1376="NEW"),"",INDEX(B1375:B$2,-1+SUMPRODUCT(MAX(ROW(E1375:E$2)*(E1376=E1375:E$2)))))</f>
        <v> </v>
      </c>
      <c r="J1376" s="26" t="str">
        <f>IF(OR(E1376="",E1376="!!!",F1376="NEW"),"",COUNTBLANK(OFFSET(A$1,,,SUMPRODUCT(MAX(ROW(E$2:E1376)*(E1376=E$2:E1376)))))-COUNTBLANK(OFFSET(A$1,,,SUMPRODUCT(MAX(ROW(E$1:E1375)*(E2=E$1:E1375))))))</f>
        <v> </v>
      </c>
      <c r="K1376" s="26" t="str">
        <f>IF(OR(E1376="",E1376="!!!",F1376="NEW"),"",INDEX(J$1:J1375,SUMPRODUCT(MAX(ROW(E$1:E1375)*(E1376=E$1:E1375)))))</f>
        <v> </v>
      </c>
      <c r="L1376" s="27"/>
    </row>
    <row r="1377" spans="1:12">
      <c r="A1377" s="20" t="s">
        <v>246</v>
      </c>
      <c r="E1377" s="22">
        <f>IF(D1377="?OLD","!!!","")</f>
        <v/>
      </c>
      <c r="F1377" s="23" t="str">
        <f>IF(OR(E1377="",E1377="!!!"),"",IF(NOT(ISNA(VLOOKUP(E1377,E$1:E1376,1,FALSE()))),"OLD",IF(AND(E1377&lt;&gt;"",E1377&lt;&gt;"!!!"),"NEW","")))</f>
        <v> </v>
      </c>
      <c r="G1377" s="24" t="str">
        <f>IF(OR(E1377="",E1377="!!!"),"",IF(OR(J1377=0,AND(J1377=1,K1377=1),AND(J1377=1,I1377="SBJ"),AND(J1377=1,I1377=0)),"?IN_FOCUS",IF(J1377&lt;=2,"?ACTIVATED",IF(J1377&lt;&gt;"","?FAMILIAR",IF(F1377="NEW",IF(ISNA(VLOOKUP(E1377,#REF!,1,FALSE())),"?TYPE_IDENTIFIABLE","?REFERENTIAL"),"_")))))</f>
        <v> </v>
      </c>
      <c r="H1377" s="25" t="str">
        <f>IF(J1377&lt;&gt;1,"",IF(I1377="SBJ","CB","?"))</f>
        <v> </v>
      </c>
      <c r="I1377" s="26" t="str">
        <f>IF(OR(E1377="",E1377="!!!",F1377="NEW"),"",INDEX(B1376:B$2,-1+SUMPRODUCT(MAX(ROW(E1376:E$2)*(E1377=E1376:E$2)))))</f>
        <v> </v>
      </c>
      <c r="J1377" s="26" t="str">
        <f>IF(OR(E1377="",E1377="!!!",F1377="NEW"),"",COUNTBLANK(OFFSET(A$1,,,SUMPRODUCT(MAX(ROW(E$2:E1377)*(E1377=E$2:E1377)))))-COUNTBLANK(OFFSET(A$1,,,SUMPRODUCT(MAX(ROW(E$1:E1376)*(E2=E$1:E1376))))))</f>
        <v> </v>
      </c>
      <c r="K1377" s="26" t="str">
        <f>IF(OR(E1377="",E1377="!!!",F1377="NEW"),"",INDEX(J$1:J1376,SUMPRODUCT(MAX(ROW(E$1:E1376)*(E1377=E$1:E1376)))))</f>
        <v> </v>
      </c>
      <c r="L1377" s="27"/>
    </row>
    <row r="1378" spans="1:12">
      <c r="A1378" s="20"/>
    </row>
    <row r="1379" spans="1:12">
      <c r="A1379" s="20" t="s">
        <v>1345</v>
      </c>
    </row>
    <row r="1380" spans="1:12">
      <c r="A1380" s="20" t="s">
        <v>1005</v>
      </c>
      <c r="E1380" s="22">
        <f>IF(D1380="?OLD","!!!","")</f>
        <v/>
      </c>
      <c r="F1380" s="23" t="str">
        <f>IF(OR(E1380="",E1380="!!!"),"",IF(NOT(ISNA(VLOOKUP(E1380,E$1:E1379,1,FALSE()))),"OLD",IF(AND(E1380&lt;&gt;"",E1380&lt;&gt;"!!!"),"NEW","")))</f>
        <v> </v>
      </c>
      <c r="G1380" s="24" t="str">
        <f>IF(OR(E1380="",E1380="!!!"),"",IF(OR(J1380=0,AND(J1380=1,K1380=1),AND(J1380=1,I1380="SBJ"),AND(J1380=1,I1380=0)),"?IN_FOCUS",IF(J1380&lt;=2,"?ACTIVATED",IF(J1380&lt;&gt;"","?FAMILIAR",IF(F1380="NEW",IF(ISNA(VLOOKUP(E1380,#REF!,1,FALSE())),"?TYPE_IDENTIFIABLE","?REFERENTIAL"),"_")))))</f>
        <v> </v>
      </c>
      <c r="H1380" s="25" t="str">
        <f>IF(J1380&lt;&gt;1,"",IF(I1380="SBJ","CB","?"))</f>
        <v> </v>
      </c>
      <c r="I1380" s="26" t="str">
        <f>IF(OR(E1380="",E1380="!!!",F1380="NEW"),"",INDEX(B1379:B$2,-1+SUMPRODUCT(MAX(ROW(E1379:E$2)*(E1380=E1379:E$2)))))</f>
        <v> </v>
      </c>
      <c r="J1380" s="26" t="str">
        <f>IF(OR(E1380="",E1380="!!!",F1380="NEW"),"",COUNTBLANK(OFFSET(A$1,,,SUMPRODUCT(MAX(ROW(E$2:E1380)*(E1380=E$2:E1380)))))-COUNTBLANK(OFFSET(A$1,,,SUMPRODUCT(MAX(ROW(E$1:E1379)*(E2=E$1:E1379))))))</f>
        <v> </v>
      </c>
      <c r="K1380" s="26" t="str">
        <f>IF(OR(E1380="",E1380="!!!",F1380="NEW"),"",INDEX(J$1:J1379,SUMPRODUCT(MAX(ROW(E$1:E1379)*(E1380=E$1:E1379)))))</f>
        <v> </v>
      </c>
      <c r="L1380" s="27"/>
    </row>
    <row r="1381" spans="1:12">
      <c r="A1381" s="20" t="s">
        <v>1346</v>
      </c>
      <c r="E1381" s="22">
        <f>IF(D1381="?OLD","!!!","")</f>
        <v/>
      </c>
      <c r="F1381" s="23" t="str">
        <f>IF(OR(E1381="",E1381="!!!"),"",IF(NOT(ISNA(VLOOKUP(E1381,E$1:E1380,1,FALSE()))),"OLD",IF(AND(E1381&lt;&gt;"",E1381&lt;&gt;"!!!"),"NEW","")))</f>
        <v> </v>
      </c>
      <c r="G1381" s="24" t="str">
        <f>IF(OR(E1381="",E1381="!!!"),"",IF(OR(J1381=0,AND(J1381=1,K1381=1),AND(J1381=1,I1381="SBJ"),AND(J1381=1,I1381=0)),"?IN_FOCUS",IF(J1381&lt;=2,"?ACTIVATED",IF(J1381&lt;&gt;"","?FAMILIAR",IF(F1381="NEW",IF(ISNA(VLOOKUP(E1381,#REF!,1,FALSE())),"?TYPE_IDENTIFIABLE","?REFERENTIAL"),"_")))))</f>
        <v> </v>
      </c>
      <c r="H1381" s="25" t="str">
        <f>IF(J1381&lt;&gt;1,"",IF(I1381="SBJ","CB","?"))</f>
        <v> </v>
      </c>
      <c r="I1381" s="26" t="str">
        <f>IF(OR(E1381="",E1381="!!!",F1381="NEW"),"",INDEX(B1380:B$2,-1+SUMPRODUCT(MAX(ROW(E1380:E$2)*(E1381=E1380:E$2)))))</f>
        <v> </v>
      </c>
      <c r="J1381" s="26" t="str">
        <f>IF(OR(E1381="",E1381="!!!",F1381="NEW"),"",COUNTBLANK(OFFSET(A$1,,,SUMPRODUCT(MAX(ROW(E$2:E1381)*(E1381=E$2:E1381)))))-COUNTBLANK(OFFSET(A$1,,,SUMPRODUCT(MAX(ROW(E$1:E1380)*(E2=E$1:E1380))))))</f>
        <v> </v>
      </c>
      <c r="K1381" s="26" t="str">
        <f>IF(OR(E1381="",E1381="!!!",F1381="NEW"),"",INDEX(J$1:J1380,SUMPRODUCT(MAX(ROW(E$1:E1380)*(E1381=E$1:E1380)))))</f>
        <v> </v>
      </c>
      <c r="L1381" s="27"/>
    </row>
    <row r="1382" spans="1:12">
      <c r="A1382" s="20" t="s">
        <v>750</v>
      </c>
      <c r="B1382" s="21" t="s">
        <v>728</v>
      </c>
      <c r="C1382" s="21" t="s">
        <v>729</v>
      </c>
      <c r="D1382" s="21" t="s">
        <v>730</v>
      </c>
      <c r="E1382" s="22">
        <f>IF(D1382="?OLD","!!!","")</f>
        <v/>
      </c>
      <c r="F1382" s="23" t="str">
        <f>IF(OR(E1382="",E1382="!!!"),"",IF(NOT(ISNA(VLOOKUP(E1382,E$1:E1381,1,FALSE()))),"OLD",IF(AND(E1382&lt;&gt;"",E1382&lt;&gt;"!!!"),"NEW","")))</f>
        <v> </v>
      </c>
      <c r="G1382" s="24" t="str">
        <f>IF(OR(E1382="",E1382="!!!"),"",IF(OR(J1382=0,AND(J1382=1,K1382=1),AND(J1382=1,I1382="SBJ"),AND(J1382=1,I1382=0)),"?IN_FOCUS",IF(J1382&lt;=2,"?ACTIVATED",IF(J1382&lt;&gt;"","?FAMILIAR",IF(F1382="NEW",IF(ISNA(VLOOKUP(E1382,#REF!,1,FALSE())),"?TYPE_IDENTIFIABLE","?REFERENTIAL"),"_")))))</f>
        <v> </v>
      </c>
      <c r="H1382" s="25" t="str">
        <f>IF(J1382&lt;&gt;1,"",IF(I1382="SBJ","CB","?"))</f>
        <v> </v>
      </c>
      <c r="I1382" s="26" t="str">
        <f>IF(OR(E1382="",E1382="!!!",F1382="NEW"),"",INDEX(B1381:B$2,-1+SUMPRODUCT(MAX(ROW(E1381:E$2)*(E1382=E1381:E$2)))))</f>
        <v> </v>
      </c>
      <c r="J1382" s="26" t="str">
        <f>IF(OR(E1382="",E1382="!!!",F1382="NEW"),"",COUNTBLANK(OFFSET(A$1,,,SUMPRODUCT(MAX(ROW(E$2:E1382)*(E1382=E$2:E1382)))))-COUNTBLANK(OFFSET(A$1,,,SUMPRODUCT(MAX(ROW(E$1:E1381)*(E2=E$1:E1381))))))</f>
        <v> </v>
      </c>
      <c r="K1382" s="26" t="str">
        <f>IF(OR(E1382="",E1382="!!!",F1382="NEW"),"",INDEX(J$1:J1381,SUMPRODUCT(MAX(ROW(E$1:E1381)*(E1382=E$1:E1381)))))</f>
        <v> </v>
      </c>
      <c r="L1382" s="27"/>
    </row>
    <row r="1383" spans="1:12">
      <c r="A1383" s="20" t="s">
        <v>776</v>
      </c>
      <c r="B1383" s="21" t="s">
        <v>764</v>
      </c>
      <c r="E1383" s="22">
        <f>IF(D1383="?OLD","!!!","")</f>
        <v/>
      </c>
      <c r="F1383" s="23" t="str">
        <f>IF(OR(E1383="",E1383="!!!"),"",IF(NOT(ISNA(VLOOKUP(E1383,E$1:E1382,1,FALSE()))),"OLD",IF(AND(E1383&lt;&gt;"",E1383&lt;&gt;"!!!"),"NEW","")))</f>
        <v> </v>
      </c>
      <c r="G1383" s="24" t="str">
        <f>IF(OR(E1383="",E1383="!!!"),"",IF(OR(J1383=0,AND(J1383=1,K1383=1),AND(J1383=1,I1383="SBJ"),AND(J1383=1,I1383=0)),"?IN_FOCUS",IF(J1383&lt;=2,"?ACTIVATED",IF(J1383&lt;&gt;"","?FAMILIAR",IF(F1383="NEW",IF(ISNA(VLOOKUP(E1383,#REF!,1,FALSE())),"?TYPE_IDENTIFIABLE","?REFERENTIAL"),"_")))))</f>
        <v> </v>
      </c>
      <c r="H1383" s="25" t="str">
        <f>IF(J1383&lt;&gt;1,"",IF(I1383="SBJ","CB","?"))</f>
        <v> </v>
      </c>
      <c r="I1383" s="26" t="str">
        <f>IF(OR(E1383="",E1383="!!!",F1383="NEW"),"",INDEX(B1382:B$2,-1+SUMPRODUCT(MAX(ROW(E1382:E$2)*(E1383=E1382:E$2)))))</f>
        <v> </v>
      </c>
      <c r="J1383" s="26" t="str">
        <f>IF(OR(E1383="",E1383="!!!",F1383="NEW"),"",COUNTBLANK(OFFSET(A$1,,,SUMPRODUCT(MAX(ROW(E$2:E1383)*(E1383=E$2:E1383)))))-COUNTBLANK(OFFSET(A$1,,,SUMPRODUCT(MAX(ROW(E$1:E1382)*(E2=E$1:E1382))))))</f>
        <v> </v>
      </c>
      <c r="K1383" s="26" t="str">
        <f>IF(OR(E1383="",E1383="!!!",F1383="NEW"),"",INDEX(J$1:J1382,SUMPRODUCT(MAX(ROW(E$1:E1382)*(E1383=E$1:E1382)))))</f>
        <v> </v>
      </c>
      <c r="L1383" s="27"/>
    </row>
    <row r="1384" spans="1:12">
      <c r="A1384" s="20" t="s">
        <v>785</v>
      </c>
      <c r="E1384" s="22">
        <f>IF(D1384="?OLD","!!!","")</f>
        <v/>
      </c>
      <c r="F1384" s="23" t="str">
        <f>IF(OR(E1384="",E1384="!!!"),"",IF(NOT(ISNA(VLOOKUP(E1384,E$1:E1383,1,FALSE()))),"OLD",IF(AND(E1384&lt;&gt;"",E1384&lt;&gt;"!!!"),"NEW","")))</f>
        <v> </v>
      </c>
      <c r="G1384" s="24" t="str">
        <f>IF(OR(E1384="",E1384="!!!"),"",IF(OR(J1384=0,AND(J1384=1,K1384=1),AND(J1384=1,I1384="SBJ"),AND(J1384=1,I1384=0)),"?IN_FOCUS",IF(J1384&lt;=2,"?ACTIVATED",IF(J1384&lt;&gt;"","?FAMILIAR",IF(F1384="NEW",IF(ISNA(VLOOKUP(E1384,#REF!,1,FALSE())),"?TYPE_IDENTIFIABLE","?REFERENTIAL"),"_")))))</f>
        <v> </v>
      </c>
      <c r="H1384" s="25" t="str">
        <f>IF(J1384&lt;&gt;1,"",IF(I1384="SBJ","CB","?"))</f>
        <v> </v>
      </c>
      <c r="I1384" s="26" t="str">
        <f>IF(OR(E1384="",E1384="!!!",F1384="NEW"),"",INDEX(B1383:B$2,-1+SUMPRODUCT(MAX(ROW(E1383:E$2)*(E1384=E1383:E$2)))))</f>
        <v> </v>
      </c>
      <c r="J1384" s="26" t="str">
        <f>IF(OR(E1384="",E1384="!!!",F1384="NEW"),"",COUNTBLANK(OFFSET(A$1,,,SUMPRODUCT(MAX(ROW(E$2:E1384)*(E1384=E$2:E1384)))))-COUNTBLANK(OFFSET(A$1,,,SUMPRODUCT(MAX(ROW(E$1:E1383)*(E2=E$1:E1383))))))</f>
        <v> </v>
      </c>
      <c r="K1384" s="26" t="str">
        <f>IF(OR(E1384="",E1384="!!!",F1384="NEW"),"",INDEX(J$1:J1383,SUMPRODUCT(MAX(ROW(E$1:E1383)*(E1384=E$1:E1383)))))</f>
        <v> </v>
      </c>
      <c r="L1384" s="27"/>
    </row>
    <row r="1385" spans="1:12">
      <c r="A1385" s="20" t="s">
        <v>1046</v>
      </c>
      <c r="E1385" s="22">
        <f>IF(D1385="?OLD","!!!","")</f>
        <v/>
      </c>
      <c r="F1385" s="23" t="str">
        <f>IF(OR(E1385="",E1385="!!!"),"",IF(NOT(ISNA(VLOOKUP(E1385,E$1:E1384,1,FALSE()))),"OLD",IF(AND(E1385&lt;&gt;"",E1385&lt;&gt;"!!!"),"NEW","")))</f>
        <v> </v>
      </c>
      <c r="G1385" s="24" t="str">
        <f>IF(OR(E1385="",E1385="!!!"),"",IF(OR(J1385=0,AND(J1385=1,K1385=1),AND(J1385=1,I1385="SBJ"),AND(J1385=1,I1385=0)),"?IN_FOCUS",IF(J1385&lt;=2,"?ACTIVATED",IF(J1385&lt;&gt;"","?FAMILIAR",IF(F1385="NEW",IF(ISNA(VLOOKUP(E1385,#REF!,1,FALSE())),"?TYPE_IDENTIFIABLE","?REFERENTIAL"),"_")))))</f>
        <v> </v>
      </c>
      <c r="H1385" s="25" t="str">
        <f>IF(J1385&lt;&gt;1,"",IF(I1385="SBJ","CB","?"))</f>
        <v> </v>
      </c>
      <c r="I1385" s="26" t="str">
        <f>IF(OR(E1385="",E1385="!!!",F1385="NEW"),"",INDEX(B1384:B$2,-1+SUMPRODUCT(MAX(ROW(E1384:E$2)*(E1385=E1384:E$2)))))</f>
        <v> </v>
      </c>
      <c r="J1385" s="26" t="str">
        <f>IF(OR(E1385="",E1385="!!!",F1385="NEW"),"",COUNTBLANK(OFFSET(A$1,,,SUMPRODUCT(MAX(ROW(E$2:E1385)*(E1385=E$2:E1385)))))-COUNTBLANK(OFFSET(A$1,,,SUMPRODUCT(MAX(ROW(E$1:E1384)*(E2=E$1:E1384))))))</f>
        <v> </v>
      </c>
      <c r="K1385" s="26" t="str">
        <f>IF(OR(E1385="",E1385="!!!",F1385="NEW"),"",INDEX(J$1:J1384,SUMPRODUCT(MAX(ROW(E$1:E1384)*(E1385=E$1:E1384)))))</f>
        <v> </v>
      </c>
      <c r="L1385" s="27"/>
    </row>
    <row r="1386" spans="1:12">
      <c r="A1386" s="20" t="s">
        <v>1264</v>
      </c>
      <c r="B1386" s="21" t="s">
        <v>755</v>
      </c>
      <c r="C1386" s="21" t="s">
        <v>801</v>
      </c>
      <c r="D1386" s="21" t="s">
        <v>730</v>
      </c>
      <c r="E1386" s="22">
        <f>IF(D1386="?OLD","!!!","")</f>
        <v/>
      </c>
      <c r="F1386" s="23" t="str">
        <f>IF(OR(E1386="",E1386="!!!"),"",IF(NOT(ISNA(VLOOKUP(E1386,E$1:E1385,1,FALSE()))),"OLD",IF(AND(E1386&lt;&gt;"",E1386&lt;&gt;"!!!"),"NEW","")))</f>
        <v> </v>
      </c>
      <c r="G1386" s="24" t="str">
        <f>IF(OR(E1386="",E1386="!!!"),"",IF(OR(J1386=0,AND(J1386=1,K1386=1),AND(J1386=1,I1386="SBJ"),AND(J1386=1,I1386=0)),"?IN_FOCUS",IF(J1386&lt;=2,"?ACTIVATED",IF(J1386&lt;&gt;"","?FAMILIAR",IF(F1386="NEW",IF(ISNA(VLOOKUP(E1386,#REF!,1,FALSE())),"?TYPE_IDENTIFIABLE","?REFERENTIAL"),"_")))))</f>
        <v> </v>
      </c>
      <c r="H1386" s="25" t="str">
        <f>IF(J1386&lt;&gt;1,"",IF(I1386="SBJ","CB","?"))</f>
        <v> </v>
      </c>
      <c r="I1386" s="26" t="str">
        <f>IF(OR(E1386="",E1386="!!!",F1386="NEW"),"",INDEX(B1385:B$2,-1+SUMPRODUCT(MAX(ROW(E1385:E$2)*(E1386=E1385:E$2)))))</f>
        <v> </v>
      </c>
      <c r="J1386" s="26" t="str">
        <f>IF(OR(E1386="",E1386="!!!",F1386="NEW"),"",COUNTBLANK(OFFSET(A$1,,,SUMPRODUCT(MAX(ROW(E$2:E1386)*(E1386=E$2:E1386)))))-COUNTBLANK(OFFSET(A$1,,,SUMPRODUCT(MAX(ROW(E$1:E1385)*(E2=E$1:E1385))))))</f>
        <v> </v>
      </c>
      <c r="K1386" s="26" t="str">
        <f>IF(OR(E1386="",E1386="!!!",F1386="NEW"),"",INDEX(J$1:J1385,SUMPRODUCT(MAX(ROW(E$1:E1385)*(E1386=E$1:E1385)))))</f>
        <v> </v>
      </c>
      <c r="L1386" s="27"/>
    </row>
    <row r="1387" spans="1:12">
      <c r="A1387" s="20" t="s">
        <v>1039</v>
      </c>
      <c r="E1387" s="22">
        <f>IF(D1387="?OLD","!!!","")</f>
        <v/>
      </c>
      <c r="F1387" s="23" t="str">
        <f>IF(OR(E1387="",E1387="!!!"),"",IF(NOT(ISNA(VLOOKUP(E1387,E$1:E1386,1,FALSE()))),"OLD",IF(AND(E1387&lt;&gt;"",E1387&lt;&gt;"!!!"),"NEW","")))</f>
        <v> </v>
      </c>
      <c r="G1387" s="24" t="str">
        <f>IF(OR(E1387="",E1387="!!!"),"",IF(OR(J1387=0,AND(J1387=1,K1387=1),AND(J1387=1,I1387="SBJ"),AND(J1387=1,I1387=0)),"?IN_FOCUS",IF(J1387&lt;=2,"?ACTIVATED",IF(J1387&lt;&gt;"","?FAMILIAR",IF(F1387="NEW",IF(ISNA(VLOOKUP(E1387,#REF!,1,FALSE())),"?TYPE_IDENTIFIABLE","?REFERENTIAL"),"_")))))</f>
        <v> </v>
      </c>
      <c r="H1387" s="25" t="str">
        <f>IF(J1387&lt;&gt;1,"",IF(I1387="SBJ","CB","?"))</f>
        <v> </v>
      </c>
      <c r="I1387" s="26" t="str">
        <f>IF(OR(E1387="",E1387="!!!",F1387="NEW"),"",INDEX(B1386:B$2,-1+SUMPRODUCT(MAX(ROW(E1386:E$2)*(E1387=E1386:E$2)))))</f>
        <v> </v>
      </c>
      <c r="J1387" s="26" t="str">
        <f>IF(OR(E1387="",E1387="!!!",F1387="NEW"),"",COUNTBLANK(OFFSET(A$1,,,SUMPRODUCT(MAX(ROW(E$2:E1387)*(E1387=E$2:E1387)))))-COUNTBLANK(OFFSET(A$1,,,SUMPRODUCT(MAX(ROW(E$1:E1386)*(E2=E$1:E1386))))))</f>
        <v> </v>
      </c>
      <c r="K1387" s="26" t="str">
        <f>IF(OR(E1387="",E1387="!!!",F1387="NEW"),"",INDEX(J$1:J1386,SUMPRODUCT(MAX(ROW(E$1:E1386)*(E1387=E$1:E1386)))))</f>
        <v> </v>
      </c>
      <c r="L1387" s="27"/>
    </row>
    <row r="1388" spans="1:12">
      <c r="A1388" s="20" t="s">
        <v>1168</v>
      </c>
      <c r="B1388" s="21" t="s">
        <v>791</v>
      </c>
      <c r="C1388" s="21" t="s">
        <v>1347</v>
      </c>
      <c r="D1388" s="21" t="s">
        <v>730</v>
      </c>
      <c r="E1388" s="22">
        <f>IF(D1388="?OLD","!!!","")</f>
        <v/>
      </c>
      <c r="F1388" s="23" t="str">
        <f>IF(OR(E1388="",E1388="!!!"),"",IF(NOT(ISNA(VLOOKUP(E1388,E$1:E1387,1,FALSE()))),"OLD",IF(AND(E1388&lt;&gt;"",E1388&lt;&gt;"!!!"),"NEW","")))</f>
        <v> </v>
      </c>
      <c r="G1388" s="24" t="str">
        <f>IF(OR(E1388="",E1388="!!!"),"",IF(OR(J1388=0,AND(J1388=1,K1388=1),AND(J1388=1,I1388="SBJ"),AND(J1388=1,I1388=0)),"?IN_FOCUS",IF(J1388&lt;=2,"?ACTIVATED",IF(J1388&lt;&gt;"","?FAMILIAR",IF(F1388="NEW",IF(ISNA(VLOOKUP(E1388,#REF!,1,FALSE())),"?TYPE_IDENTIFIABLE","?REFERENTIAL"),"_")))))</f>
        <v> </v>
      </c>
      <c r="H1388" s="25" t="str">
        <f>IF(J1388&lt;&gt;1,"",IF(I1388="SBJ","CB","?"))</f>
        <v> </v>
      </c>
      <c r="I1388" s="26" t="str">
        <f>IF(OR(E1388="",E1388="!!!",F1388="NEW"),"",INDEX(B1387:B$2,-1+SUMPRODUCT(MAX(ROW(E1387:E$2)*(E1388=E1387:E$2)))))</f>
        <v> </v>
      </c>
      <c r="J1388" s="26" t="str">
        <f>IF(OR(E1388="",E1388="!!!",F1388="NEW"),"",COUNTBLANK(OFFSET(A$1,,,SUMPRODUCT(MAX(ROW(E$2:E1388)*(E1388=E$2:E1388)))))-COUNTBLANK(OFFSET(A$1,,,SUMPRODUCT(MAX(ROW(E$1:E1387)*(E2=E$1:E1387))))))</f>
        <v> </v>
      </c>
      <c r="K1388" s="26" t="str">
        <f>IF(OR(E1388="",E1388="!!!",F1388="NEW"),"",INDEX(J$1:J1387,SUMPRODUCT(MAX(ROW(E$1:E1387)*(E1388=E$1:E1387)))))</f>
        <v> </v>
      </c>
      <c r="L1388" s="27"/>
    </row>
    <row r="1389" spans="1:12">
      <c r="A1389" s="20" t="s">
        <v>1348</v>
      </c>
      <c r="E1389" s="22">
        <f>IF(D1389="?OLD","!!!","")</f>
        <v/>
      </c>
      <c r="F1389" s="23" t="str">
        <f>IF(OR(E1389="",E1389="!!!"),"",IF(NOT(ISNA(VLOOKUP(E1389,E$1:E1388,1,FALSE()))),"OLD",IF(AND(E1389&lt;&gt;"",E1389&lt;&gt;"!!!"),"NEW","")))</f>
        <v> </v>
      </c>
      <c r="G1389" s="24" t="str">
        <f>IF(OR(E1389="",E1389="!!!"),"",IF(OR(J1389=0,AND(J1389=1,K1389=1),AND(J1389=1,I1389="SBJ"),AND(J1389=1,I1389=0)),"?IN_FOCUS",IF(J1389&lt;=2,"?ACTIVATED",IF(J1389&lt;&gt;"","?FAMILIAR",IF(F1389="NEW",IF(ISNA(VLOOKUP(E1389,#REF!,1,FALSE())),"?TYPE_IDENTIFIABLE","?REFERENTIAL"),"_")))))</f>
        <v> </v>
      </c>
      <c r="H1389" s="25" t="str">
        <f>IF(J1389&lt;&gt;1,"",IF(I1389="SBJ","CB","?"))</f>
        <v> </v>
      </c>
      <c r="I1389" s="26" t="str">
        <f>IF(OR(E1389="",E1389="!!!",F1389="NEW"),"",INDEX(B1388:B$2,-1+SUMPRODUCT(MAX(ROW(E1388:E$2)*(E1389=E1388:E$2)))))</f>
        <v> </v>
      </c>
      <c r="J1389" s="26" t="str">
        <f>IF(OR(E1389="",E1389="!!!",F1389="NEW"),"",COUNTBLANK(OFFSET(A$1,,,SUMPRODUCT(MAX(ROW(E$2:E1389)*(E1389=E$2:E1389)))))-COUNTBLANK(OFFSET(A$1,,,SUMPRODUCT(MAX(ROW(E$1:E1388)*(E2=E$1:E1388))))))</f>
        <v> </v>
      </c>
      <c r="K1389" s="26" t="str">
        <f>IF(OR(E1389="",E1389="!!!",F1389="NEW"),"",INDEX(J$1:J1388,SUMPRODUCT(MAX(ROW(E$1:E1388)*(E1389=E$1:E1388)))))</f>
        <v> </v>
      </c>
      <c r="L1389" s="27"/>
    </row>
    <row r="1390" spans="1:12">
      <c r="A1390" s="20" t="s">
        <v>776</v>
      </c>
      <c r="E1390" s="22">
        <f>IF(D1390="?OLD","!!!","")</f>
        <v/>
      </c>
      <c r="F1390" s="23" t="str">
        <f>IF(OR(E1390="",E1390="!!!"),"",IF(NOT(ISNA(VLOOKUP(E1390,E$1:E1389,1,FALSE()))),"OLD",IF(AND(E1390&lt;&gt;"",E1390&lt;&gt;"!!!"),"NEW","")))</f>
        <v> </v>
      </c>
      <c r="G1390" s="24" t="str">
        <f>IF(OR(E1390="",E1390="!!!"),"",IF(OR(J1390=0,AND(J1390=1,K1390=1),AND(J1390=1,I1390="SBJ"),AND(J1390=1,I1390=0)),"?IN_FOCUS",IF(J1390&lt;=2,"?ACTIVATED",IF(J1390&lt;&gt;"","?FAMILIAR",IF(F1390="NEW",IF(ISNA(VLOOKUP(E1390,#REF!,1,FALSE())),"?TYPE_IDENTIFIABLE","?REFERENTIAL"),"_")))))</f>
        <v> </v>
      </c>
      <c r="H1390" s="25" t="str">
        <f>IF(J1390&lt;&gt;1,"",IF(I1390="SBJ","CB","?"))</f>
        <v> </v>
      </c>
      <c r="I1390" s="26" t="str">
        <f>IF(OR(E1390="",E1390="!!!",F1390="NEW"),"",INDEX(B1389:B$2,-1+SUMPRODUCT(MAX(ROW(E1389:E$2)*(E1390=E1389:E$2)))))</f>
        <v> </v>
      </c>
      <c r="J1390" s="26" t="str">
        <f>IF(OR(E1390="",E1390="!!!",F1390="NEW"),"",COUNTBLANK(OFFSET(A$1,,,SUMPRODUCT(MAX(ROW(E$2:E1390)*(E1390=E$2:E1390)))))-COUNTBLANK(OFFSET(A$1,,,SUMPRODUCT(MAX(ROW(E$1:E1389)*(E2=E$1:E1389))))))</f>
        <v> </v>
      </c>
      <c r="K1390" s="26" t="str">
        <f>IF(OR(E1390="",E1390="!!!",F1390="NEW"),"",INDEX(J$1:J1389,SUMPRODUCT(MAX(ROW(E$1:E1389)*(E1390=E$1:E1389)))))</f>
        <v> </v>
      </c>
      <c r="L1390" s="27"/>
    </row>
    <row r="1391" spans="1:12">
      <c r="A1391" s="20" t="s">
        <v>1349</v>
      </c>
      <c r="E1391" s="22">
        <f>IF(D1391="?OLD","!!!","")</f>
        <v/>
      </c>
      <c r="F1391" s="23" t="str">
        <f>IF(OR(E1391="",E1391="!!!"),"",IF(NOT(ISNA(VLOOKUP(E1391,E$1:E1390,1,FALSE()))),"OLD",IF(AND(E1391&lt;&gt;"",E1391&lt;&gt;"!!!"),"NEW","")))</f>
        <v> </v>
      </c>
      <c r="G1391" s="24" t="str">
        <f>IF(OR(E1391="",E1391="!!!"),"",IF(OR(J1391=0,AND(J1391=1,K1391=1),AND(J1391=1,I1391="SBJ"),AND(J1391=1,I1391=0)),"?IN_FOCUS",IF(J1391&lt;=2,"?ACTIVATED",IF(J1391&lt;&gt;"","?FAMILIAR",IF(F1391="NEW",IF(ISNA(VLOOKUP(E1391,#REF!,1,FALSE())),"?TYPE_IDENTIFIABLE","?REFERENTIAL"),"_")))))</f>
        <v> </v>
      </c>
      <c r="H1391" s="25" t="str">
        <f>IF(J1391&lt;&gt;1,"",IF(I1391="SBJ","CB","?"))</f>
        <v> </v>
      </c>
      <c r="I1391" s="26" t="str">
        <f>IF(OR(E1391="",E1391="!!!",F1391="NEW"),"",INDEX(B1390:B$2,-1+SUMPRODUCT(MAX(ROW(E1390:E$2)*(E1391=E1390:E$2)))))</f>
        <v> </v>
      </c>
      <c r="J1391" s="26" t="str">
        <f>IF(OR(E1391="",E1391="!!!",F1391="NEW"),"",COUNTBLANK(OFFSET(A$1,,,SUMPRODUCT(MAX(ROW(E$2:E1391)*(E1391=E$2:E1391)))))-COUNTBLANK(OFFSET(A$1,,,SUMPRODUCT(MAX(ROW(E$1:E1390)*(E2=E$1:E1390))))))</f>
        <v> </v>
      </c>
      <c r="K1391" s="26" t="str">
        <f>IF(OR(E1391="",E1391="!!!",F1391="NEW"),"",INDEX(J$1:J1390,SUMPRODUCT(MAX(ROW(E$1:E1390)*(E1391=E$1:E1390)))))</f>
        <v> </v>
      </c>
      <c r="L1391" s="27"/>
    </row>
    <row r="1392" spans="1:12">
      <c r="A1392" s="20" t="s">
        <v>1350</v>
      </c>
      <c r="B1392" s="21" t="s">
        <v>739</v>
      </c>
      <c r="C1392" s="21" t="s">
        <v>753</v>
      </c>
      <c r="D1392" s="21" t="s">
        <v>730</v>
      </c>
      <c r="E1392" s="22">
        <f>IF(D1392="?OLD","!!!","")</f>
        <v/>
      </c>
      <c r="F1392" s="23" t="str">
        <f>IF(OR(E1392="",E1392="!!!"),"",IF(NOT(ISNA(VLOOKUP(E1392,E$1:E1391,1,FALSE()))),"OLD",IF(AND(E1392&lt;&gt;"",E1392&lt;&gt;"!!!"),"NEW","")))</f>
        <v> </v>
      </c>
      <c r="G1392" s="24" t="str">
        <f>IF(OR(E1392="",E1392="!!!"),"",IF(OR(J1392=0,AND(J1392=1,K1392=1),AND(J1392=1,I1392="SBJ"),AND(J1392=1,I1392=0)),"?IN_FOCUS",IF(J1392&lt;=2,"?ACTIVATED",IF(J1392&lt;&gt;"","?FAMILIAR",IF(F1392="NEW",IF(ISNA(VLOOKUP(E1392,#REF!,1,FALSE())),"?TYPE_IDENTIFIABLE","?REFERENTIAL"),"_")))))</f>
        <v> </v>
      </c>
      <c r="H1392" s="25" t="str">
        <f>IF(J1392&lt;&gt;1,"",IF(I1392="SBJ","CB","?"))</f>
        <v> </v>
      </c>
      <c r="I1392" s="26" t="str">
        <f>IF(OR(E1392="",E1392="!!!",F1392="NEW"),"",INDEX(B1391:B$2,-1+SUMPRODUCT(MAX(ROW(E1391:E$2)*(E1392=E1391:E$2)))))</f>
        <v> </v>
      </c>
      <c r="J1392" s="26" t="str">
        <f>IF(OR(E1392="",E1392="!!!",F1392="NEW"),"",COUNTBLANK(OFFSET(A$1,,,SUMPRODUCT(MAX(ROW(E$2:E1392)*(E1392=E$2:E1392)))))-COUNTBLANK(OFFSET(A$1,,,SUMPRODUCT(MAX(ROW(E$1:E1391)*(E2=E$1:E1391))))))</f>
        <v> </v>
      </c>
      <c r="K1392" s="26" t="str">
        <f>IF(OR(E1392="",E1392="!!!",F1392="NEW"),"",INDEX(J$1:J1391,SUMPRODUCT(MAX(ROW(E$1:E1391)*(E1392=E$1:E1391)))))</f>
        <v> </v>
      </c>
      <c r="L1392" s="27"/>
    </row>
    <row r="1393" spans="1:12">
      <c r="A1393" s="20" t="s">
        <v>759</v>
      </c>
      <c r="E1393" s="22">
        <f>IF(D1393="?OLD","!!!","")</f>
        <v/>
      </c>
      <c r="F1393" s="23" t="str">
        <f>IF(OR(E1393="",E1393="!!!"),"",IF(NOT(ISNA(VLOOKUP(E1393,E$1:E1392,1,FALSE()))),"OLD",IF(AND(E1393&lt;&gt;"",E1393&lt;&gt;"!!!"),"NEW","")))</f>
        <v> </v>
      </c>
      <c r="G1393" s="24" t="str">
        <f>IF(OR(E1393="",E1393="!!!"),"",IF(OR(J1393=0,AND(J1393=1,K1393=1),AND(J1393=1,I1393="SBJ"),AND(J1393=1,I1393=0)),"?IN_FOCUS",IF(J1393&lt;=2,"?ACTIVATED",IF(J1393&lt;&gt;"","?FAMILIAR",IF(F1393="NEW",IF(ISNA(VLOOKUP(E1393,#REF!,1,FALSE())),"?TYPE_IDENTIFIABLE","?REFERENTIAL"),"_")))))</f>
        <v> </v>
      </c>
      <c r="H1393" s="25" t="str">
        <f>IF(J1393&lt;&gt;1,"",IF(I1393="SBJ","CB","?"))</f>
        <v> </v>
      </c>
      <c r="I1393" s="26" t="str">
        <f>IF(OR(E1393="",E1393="!!!",F1393="NEW"),"",INDEX(B1392:B$2,-1+SUMPRODUCT(MAX(ROW(E1392:E$2)*(E1393=E1392:E$2)))))</f>
        <v> </v>
      </c>
      <c r="J1393" s="26" t="str">
        <f>IF(OR(E1393="",E1393="!!!",F1393="NEW"),"",COUNTBLANK(OFFSET(A$1,,,SUMPRODUCT(MAX(ROW(E$2:E1393)*(E1393=E$2:E1393)))))-COUNTBLANK(OFFSET(A$1,,,SUMPRODUCT(MAX(ROW(E$1:E1392)*(E2=E$1:E1392))))))</f>
        <v> </v>
      </c>
      <c r="K1393" s="26" t="str">
        <f>IF(OR(E1393="",E1393="!!!",F1393="NEW"),"",INDEX(J$1:J1392,SUMPRODUCT(MAX(ROW(E$1:E1392)*(E1393=E$1:E1392)))))</f>
        <v> </v>
      </c>
      <c r="L1393" s="27"/>
    </row>
    <row r="1394" spans="1:12">
      <c r="A1394" s="20" t="s">
        <v>776</v>
      </c>
      <c r="B1394" s="21" t="s">
        <v>777</v>
      </c>
      <c r="E1394" s="22">
        <f>IF(D1394="?OLD","!!!","")</f>
        <v/>
      </c>
      <c r="F1394" s="23" t="str">
        <f>IF(OR(E1394="",E1394="!!!"),"",IF(NOT(ISNA(VLOOKUP(E1394,E$1:E1393,1,FALSE()))),"OLD",IF(AND(E1394&lt;&gt;"",E1394&lt;&gt;"!!!"),"NEW","")))</f>
        <v> </v>
      </c>
      <c r="G1394" s="24" t="str">
        <f>IF(OR(E1394="",E1394="!!!"),"",IF(OR(J1394=0,AND(J1394=1,K1394=1),AND(J1394=1,I1394="SBJ"),AND(J1394=1,I1394=0)),"?IN_FOCUS",IF(J1394&lt;=2,"?ACTIVATED",IF(J1394&lt;&gt;"","?FAMILIAR",IF(F1394="NEW",IF(ISNA(VLOOKUP(E1394,#REF!,1,FALSE())),"?TYPE_IDENTIFIABLE","?REFERENTIAL"),"_")))))</f>
        <v> </v>
      </c>
      <c r="H1394" s="25" t="str">
        <f>IF(J1394&lt;&gt;1,"",IF(I1394="SBJ","CB","?"))</f>
        <v> </v>
      </c>
      <c r="I1394" s="26" t="str">
        <f>IF(OR(E1394="",E1394="!!!",F1394="NEW"),"",INDEX(B1393:B$2,-1+SUMPRODUCT(MAX(ROW(E1393:E$2)*(E1394=E1393:E$2)))))</f>
        <v> </v>
      </c>
      <c r="J1394" s="26" t="str">
        <f>IF(OR(E1394="",E1394="!!!",F1394="NEW"),"",COUNTBLANK(OFFSET(A$1,,,SUMPRODUCT(MAX(ROW(E$2:E1394)*(E1394=E$2:E1394)))))-COUNTBLANK(OFFSET(A$1,,,SUMPRODUCT(MAX(ROW(E$1:E1393)*(E2=E$1:E1393))))))</f>
        <v> </v>
      </c>
      <c r="K1394" s="26" t="str">
        <f>IF(OR(E1394="",E1394="!!!",F1394="NEW"),"",INDEX(J$1:J1393,SUMPRODUCT(MAX(ROW(E$1:E1393)*(E1394=E$1:E1393)))))</f>
        <v> </v>
      </c>
      <c r="L1394" s="27"/>
    </row>
    <row r="1395" spans="1:12">
      <c r="A1395" s="20" t="s">
        <v>1351</v>
      </c>
      <c r="E1395" s="22">
        <f>IF(D1395="?OLD","!!!","")</f>
        <v/>
      </c>
      <c r="F1395" s="23" t="str">
        <f>IF(OR(E1395="",E1395="!!!"),"",IF(NOT(ISNA(VLOOKUP(E1395,E$1:E1394,1,FALSE()))),"OLD",IF(AND(E1395&lt;&gt;"",E1395&lt;&gt;"!!!"),"NEW","")))</f>
        <v> </v>
      </c>
      <c r="G1395" s="24" t="str">
        <f>IF(OR(E1395="",E1395="!!!"),"",IF(OR(J1395=0,AND(J1395=1,K1395=1),AND(J1395=1,I1395="SBJ"),AND(J1395=1,I1395=0)),"?IN_FOCUS",IF(J1395&lt;=2,"?ACTIVATED",IF(J1395&lt;&gt;"","?FAMILIAR",IF(F1395="NEW",IF(ISNA(VLOOKUP(E1395,#REF!,1,FALSE())),"?TYPE_IDENTIFIABLE","?REFERENTIAL"),"_")))))</f>
        <v> </v>
      </c>
      <c r="H1395" s="25" t="str">
        <f>IF(J1395&lt;&gt;1,"",IF(I1395="SBJ","CB","?"))</f>
        <v> </v>
      </c>
      <c r="I1395" s="26" t="str">
        <f>IF(OR(E1395="",E1395="!!!",F1395="NEW"),"",INDEX(B1394:B$2,-1+SUMPRODUCT(MAX(ROW(E1394:E$2)*(E1395=E1394:E$2)))))</f>
        <v> </v>
      </c>
      <c r="J1395" s="26" t="str">
        <f>IF(OR(E1395="",E1395="!!!",F1395="NEW"),"",COUNTBLANK(OFFSET(A$1,,,SUMPRODUCT(MAX(ROW(E$2:E1395)*(E1395=E$2:E1395)))))-COUNTBLANK(OFFSET(A$1,,,SUMPRODUCT(MAX(ROW(E$1:E1394)*(E2=E$1:E1394))))))</f>
        <v> </v>
      </c>
      <c r="K1395" s="26" t="str">
        <f>IF(OR(E1395="",E1395="!!!",F1395="NEW"),"",INDEX(J$1:J1394,SUMPRODUCT(MAX(ROW(E$1:E1394)*(E1395=E$1:E1394)))))</f>
        <v> </v>
      </c>
      <c r="L1395" s="27"/>
    </row>
    <row r="1396" spans="1:12">
      <c r="A1396" s="20" t="s">
        <v>246</v>
      </c>
      <c r="E1396" s="22">
        <f>IF(D1396="?OLD","!!!","")</f>
        <v/>
      </c>
      <c r="F1396" s="23" t="str">
        <f>IF(OR(E1396="",E1396="!!!"),"",IF(NOT(ISNA(VLOOKUP(E1396,E$1:E1395,1,FALSE()))),"OLD",IF(AND(E1396&lt;&gt;"",E1396&lt;&gt;"!!!"),"NEW","")))</f>
        <v> </v>
      </c>
      <c r="G1396" s="24" t="str">
        <f>IF(OR(E1396="",E1396="!!!"),"",IF(OR(J1396=0,AND(J1396=1,K1396=1),AND(J1396=1,I1396="SBJ"),AND(J1396=1,I1396=0)),"?IN_FOCUS",IF(J1396&lt;=2,"?ACTIVATED",IF(J1396&lt;&gt;"","?FAMILIAR",IF(F1396="NEW",IF(ISNA(VLOOKUP(E1396,#REF!,1,FALSE())),"?TYPE_IDENTIFIABLE","?REFERENTIAL"),"_")))))</f>
        <v> </v>
      </c>
      <c r="H1396" s="25" t="str">
        <f>IF(J1396&lt;&gt;1,"",IF(I1396="SBJ","CB","?"))</f>
        <v> </v>
      </c>
      <c r="I1396" s="26" t="str">
        <f>IF(OR(E1396="",E1396="!!!",F1396="NEW"),"",INDEX(B1395:B$2,-1+SUMPRODUCT(MAX(ROW(E1395:E$2)*(E1396=E1395:E$2)))))</f>
        <v> </v>
      </c>
      <c r="J1396" s="26" t="str">
        <f>IF(OR(E1396="",E1396="!!!",F1396="NEW"),"",COUNTBLANK(OFFSET(A$1,,,SUMPRODUCT(MAX(ROW(E$2:E1396)*(E1396=E$2:E1396)))))-COUNTBLANK(OFFSET(A$1,,,SUMPRODUCT(MAX(ROW(E$1:E1395)*(E2=E$1:E1395))))))</f>
        <v> </v>
      </c>
      <c r="K1396" s="26" t="str">
        <f>IF(OR(E1396="",E1396="!!!",F1396="NEW"),"",INDEX(J$1:J1395,SUMPRODUCT(MAX(ROW(E$1:E1395)*(E1396=E$1:E1395)))))</f>
        <v> </v>
      </c>
      <c r="L1396" s="27"/>
    </row>
    <row r="1397" spans="1:12">
      <c r="A1397" s="20"/>
    </row>
    <row r="1398" spans="1:12">
      <c r="A1398" s="20" t="s">
        <v>798</v>
      </c>
      <c r="E1398" s="22">
        <f>IF(D1398="?OLD","!!!","")</f>
        <v/>
      </c>
      <c r="F1398" s="23" t="str">
        <f>IF(OR(E1398="",E1398="!!!"),"",IF(NOT(ISNA(VLOOKUP(E1398,E$1:E1397,1,FALSE()))),"OLD",IF(AND(E1398&lt;&gt;"",E1398&lt;&gt;"!!!"),"NEW","")))</f>
        <v> </v>
      </c>
      <c r="G1398" s="24" t="str">
        <f>IF(OR(E1398="",E1398="!!!"),"",IF(OR(J1398=0,AND(J1398=1,K1398=1),AND(J1398=1,I1398="SBJ"),AND(J1398=1,I1398=0)),"?IN_FOCUS",IF(J1398&lt;=2,"?ACTIVATED",IF(J1398&lt;&gt;"","?FAMILIAR",IF(F1398="NEW",IF(ISNA(VLOOKUP(E1398,#REF!,1,FALSE())),"?TYPE_IDENTIFIABLE","?REFERENTIAL"),"_")))))</f>
        <v> </v>
      </c>
      <c r="H1398" s="25" t="str">
        <f>IF(J1398&lt;&gt;1,"",IF(I1398="SBJ","CB","?"))</f>
        <v> </v>
      </c>
      <c r="I1398" s="26" t="str">
        <f>IF(OR(E1398="",E1398="!!!",F1398="NEW"),"",INDEX(B1397:B$2,-1+SUMPRODUCT(MAX(ROW(E1397:E$2)*(E1398=E1397:E$2)))))</f>
        <v> </v>
      </c>
      <c r="J1398" s="26" t="str">
        <f>IF(OR(E1398="",E1398="!!!",F1398="NEW"),"",COUNTBLANK(OFFSET(A$1,,,SUMPRODUCT(MAX(ROW(E$2:E1398)*(E1398=E$2:E1398)))))-COUNTBLANK(OFFSET(A$1,,,SUMPRODUCT(MAX(ROW(E$1:E1397)*(E2=E$1:E1397))))))</f>
        <v> </v>
      </c>
      <c r="K1398" s="26" t="str">
        <f>IF(OR(E1398="",E1398="!!!",F1398="NEW"),"",INDEX(J$1:J1397,SUMPRODUCT(MAX(ROW(E$1:E1397)*(E1398=E$1:E1397)))))</f>
        <v> </v>
      </c>
      <c r="L1398" s="27"/>
    </row>
    <row r="1399" spans="1:12">
      <c r="A1399" s="20" t="s">
        <v>1352</v>
      </c>
    </row>
    <row r="1400" spans="1:12">
      <c r="A1400" s="20" t="s">
        <v>1353</v>
      </c>
      <c r="E1400" s="22">
        <f>IF(D1400="?OLD","!!!","")</f>
        <v/>
      </c>
      <c r="F1400" s="23" t="str">
        <f>IF(OR(E1400="",E1400="!!!"),"",IF(NOT(ISNA(VLOOKUP(E1400,E$1:E1399,1,FALSE()))),"OLD",IF(AND(E1400&lt;&gt;"",E1400&lt;&gt;"!!!"),"NEW","")))</f>
        <v> </v>
      </c>
      <c r="G1400" s="24" t="str">
        <f>IF(OR(E1400="",E1400="!!!"),"",IF(OR(J1400=0,AND(J1400=1,K1400=1),AND(J1400=1,I1400="SBJ"),AND(J1400=1,I1400=0)),"?IN_FOCUS",IF(J1400&lt;=2,"?ACTIVATED",IF(J1400&lt;&gt;"","?FAMILIAR",IF(F1400="NEW",IF(ISNA(VLOOKUP(E1400,#REF!,1,FALSE())),"?TYPE_IDENTIFIABLE","?REFERENTIAL"),"_")))))</f>
        <v> </v>
      </c>
      <c r="H1400" s="25" t="str">
        <f>IF(J1400&lt;&gt;1,"",IF(I1400="SBJ","CB","?"))</f>
        <v> </v>
      </c>
      <c r="I1400" s="26" t="str">
        <f>IF(OR(E1400="",E1400="!!!",F1400="NEW"),"",INDEX(B1399:B$2,-1+SUMPRODUCT(MAX(ROW(E1399:E$2)*(E1400=E1399:E$2)))))</f>
        <v> </v>
      </c>
      <c r="J1400" s="26" t="str">
        <f>IF(OR(E1400="",E1400="!!!",F1400="NEW"),"",COUNTBLANK(OFFSET(A$1,,,SUMPRODUCT(MAX(ROW(E$2:E1400)*(E1400=E$2:E1400)))))-COUNTBLANK(OFFSET(A$1,,,SUMPRODUCT(MAX(ROW(E$1:E1399)*(E2=E$1:E1399))))))</f>
        <v> </v>
      </c>
      <c r="K1400" s="26" t="str">
        <f>IF(OR(E1400="",E1400="!!!",F1400="NEW"),"",INDEX(J$1:J1399,SUMPRODUCT(MAX(ROW(E$1:E1399)*(E1400=E$1:E1399)))))</f>
        <v> </v>
      </c>
      <c r="L1400" s="27"/>
    </row>
    <row r="1401" spans="1:12">
      <c r="A1401" s="20" t="s">
        <v>1354</v>
      </c>
      <c r="B1401" s="21" t="s">
        <v>755</v>
      </c>
      <c r="C1401" s="21" t="s">
        <v>748</v>
      </c>
      <c r="E1401" s="22">
        <f>IF(D1401="?OLD","!!!","")</f>
        <v/>
      </c>
      <c r="F1401" s="23" t="str">
        <f>IF(OR(E1401="",E1401="!!!"),"",IF(NOT(ISNA(VLOOKUP(E1401,E$1:E1400,1,FALSE()))),"OLD",IF(AND(E1401&lt;&gt;"",E1401&lt;&gt;"!!!"),"NEW","")))</f>
        <v> </v>
      </c>
      <c r="G1401" s="24" t="str">
        <f>IF(OR(E1401="",E1401="!!!"),"",IF(OR(J1401=0,AND(J1401=1,K1401=1),AND(J1401=1,I1401="SBJ"),AND(J1401=1,I1401=0)),"?IN_FOCUS",IF(J1401&lt;=2,"?ACTIVATED",IF(J1401&lt;&gt;"","?FAMILIAR",IF(F1401="NEW",IF(ISNA(VLOOKUP(E1401,#REF!,1,FALSE())),"?TYPE_IDENTIFIABLE","?REFERENTIAL"),"_")))))</f>
        <v> </v>
      </c>
      <c r="H1401" s="25" t="str">
        <f>IF(J1401&lt;&gt;1,"",IF(I1401="SBJ","CB","?"))</f>
        <v> </v>
      </c>
      <c r="I1401" s="26" t="str">
        <f>IF(OR(E1401="",E1401="!!!",F1401="NEW"),"",INDEX(B1400:B$2,-1+SUMPRODUCT(MAX(ROW(E1400:E$2)*(E1401=E1400:E$2)))))</f>
        <v> </v>
      </c>
      <c r="J1401" s="26" t="str">
        <f>IF(OR(E1401="",E1401="!!!",F1401="NEW"),"",COUNTBLANK(OFFSET(A$1,,,SUMPRODUCT(MAX(ROW(E$2:E1401)*(E1401=E$2:E1401)))))-COUNTBLANK(OFFSET(A$1,,,SUMPRODUCT(MAX(ROW(E$1:E1400)*(E2=E$1:E1400))))))</f>
        <v> </v>
      </c>
      <c r="K1401" s="26" t="str">
        <f>IF(OR(E1401="",E1401="!!!",F1401="NEW"),"",INDEX(J$1:J1400,SUMPRODUCT(MAX(ROW(E$1:E1400)*(E1401=E$1:E1400)))))</f>
        <v> </v>
      </c>
      <c r="L1401" s="27"/>
    </row>
    <row r="1402" spans="1:12">
      <c r="A1402" s="20" t="s">
        <v>1355</v>
      </c>
      <c r="E1402" s="22">
        <f>IF(D1402="?OLD","!!!","")</f>
        <v/>
      </c>
      <c r="F1402" s="23" t="str">
        <f>IF(OR(E1402="",E1402="!!!"),"",IF(NOT(ISNA(VLOOKUP(E1402,E$1:E1401,1,FALSE()))),"OLD",IF(AND(E1402&lt;&gt;"",E1402&lt;&gt;"!!!"),"NEW","")))</f>
        <v> </v>
      </c>
      <c r="G1402" s="24" t="str">
        <f>IF(OR(E1402="",E1402="!!!"),"",IF(OR(J1402=0,AND(J1402=1,K1402=1),AND(J1402=1,I1402="SBJ"),AND(J1402=1,I1402=0)),"?IN_FOCUS",IF(J1402&lt;=2,"?ACTIVATED",IF(J1402&lt;&gt;"","?FAMILIAR",IF(F1402="NEW",IF(ISNA(VLOOKUP(E1402,#REF!,1,FALSE())),"?TYPE_IDENTIFIABLE","?REFERENTIAL"),"_")))))</f>
        <v> </v>
      </c>
      <c r="H1402" s="25" t="str">
        <f>IF(J1402&lt;&gt;1,"",IF(I1402="SBJ","CB","?"))</f>
        <v> </v>
      </c>
      <c r="I1402" s="26" t="str">
        <f>IF(OR(E1402="",E1402="!!!",F1402="NEW"),"",INDEX(B1401:B$2,-1+SUMPRODUCT(MAX(ROW(E1401:E$2)*(E1402=E1401:E$2)))))</f>
        <v> </v>
      </c>
      <c r="J1402" s="26" t="str">
        <f>IF(OR(E1402="",E1402="!!!",F1402="NEW"),"",COUNTBLANK(OFFSET(A$1,,,SUMPRODUCT(MAX(ROW(E$2:E1402)*(E1402=E$2:E1402)))))-COUNTBLANK(OFFSET(A$1,,,SUMPRODUCT(MAX(ROW(E$1:E1401)*(E2=E$1:E1401))))))</f>
        <v> </v>
      </c>
      <c r="K1402" s="26" t="str">
        <f>IF(OR(E1402="",E1402="!!!",F1402="NEW"),"",INDEX(J$1:J1401,SUMPRODUCT(MAX(ROW(E$1:E1401)*(E1402=E$1:E1401)))))</f>
        <v> </v>
      </c>
      <c r="L1402" s="27"/>
    </row>
    <row r="1403" spans="1:12">
      <c r="A1403" s="20" t="s">
        <v>1356</v>
      </c>
      <c r="B1403" s="21" t="s">
        <v>739</v>
      </c>
      <c r="C1403" s="21" t="s">
        <v>801</v>
      </c>
      <c r="D1403" s="21" t="s">
        <v>730</v>
      </c>
      <c r="E1403" s="22">
        <f>IF(D1403="?OLD","!!!","")</f>
        <v/>
      </c>
      <c r="F1403" s="23" t="str">
        <f>IF(OR(E1403="",E1403="!!!"),"",IF(NOT(ISNA(VLOOKUP(E1403,E$1:E1402,1,FALSE()))),"OLD",IF(AND(E1403&lt;&gt;"",E1403&lt;&gt;"!!!"),"NEW","")))</f>
        <v> </v>
      </c>
      <c r="G1403" s="24" t="str">
        <f>IF(OR(E1403="",E1403="!!!"),"",IF(OR(J1403=0,AND(J1403=1,K1403=1),AND(J1403=1,I1403="SBJ"),AND(J1403=1,I1403=0)),"?IN_FOCUS",IF(J1403&lt;=2,"?ACTIVATED",IF(J1403&lt;&gt;"","?FAMILIAR",IF(F1403="NEW",IF(ISNA(VLOOKUP(E1403,#REF!,1,FALSE())),"?TYPE_IDENTIFIABLE","?REFERENTIAL"),"_")))))</f>
        <v> </v>
      </c>
      <c r="H1403" s="25" t="str">
        <f>IF(J1403&lt;&gt;1,"",IF(I1403="SBJ","CB","?"))</f>
        <v> </v>
      </c>
      <c r="I1403" s="26" t="str">
        <f>IF(OR(E1403="",E1403="!!!",F1403="NEW"),"",INDEX(B1402:B$2,-1+SUMPRODUCT(MAX(ROW(E1402:E$2)*(E1403=E1402:E$2)))))</f>
        <v> </v>
      </c>
      <c r="J1403" s="26" t="str">
        <f>IF(OR(E1403="",E1403="!!!",F1403="NEW"),"",COUNTBLANK(OFFSET(A$1,,,SUMPRODUCT(MAX(ROW(E$2:E1403)*(E1403=E$2:E1403)))))-COUNTBLANK(OFFSET(A$1,,,SUMPRODUCT(MAX(ROW(E$1:E1402)*(E2=E$1:E1402))))))</f>
        <v> </v>
      </c>
      <c r="K1403" s="26" t="str">
        <f>IF(OR(E1403="",E1403="!!!",F1403="NEW"),"",INDEX(J$1:J1402,SUMPRODUCT(MAX(ROW(E$1:E1402)*(E1403=E$1:E1402)))))</f>
        <v> </v>
      </c>
      <c r="L1403" s="27"/>
    </row>
    <row r="1404" spans="1:12">
      <c r="A1404" s="20" t="s">
        <v>1357</v>
      </c>
      <c r="B1404" s="21" t="s">
        <v>764</v>
      </c>
      <c r="C1404" s="21" t="s">
        <v>802</v>
      </c>
      <c r="D1404" s="21" t="s">
        <v>730</v>
      </c>
      <c r="E1404" s="22">
        <f>IF(D1404="?OLD","!!!","")</f>
        <v/>
      </c>
      <c r="F1404" s="23" t="str">
        <f>IF(OR(E1404="",E1404="!!!"),"",IF(NOT(ISNA(VLOOKUP(E1404,E$1:E1403,1,FALSE()))),"OLD",IF(AND(E1404&lt;&gt;"",E1404&lt;&gt;"!!!"),"NEW","")))</f>
        <v> </v>
      </c>
      <c r="G1404" s="24" t="str">
        <f>IF(OR(E1404="",E1404="!!!"),"",IF(OR(J1404=0,AND(J1404=1,K1404=1),AND(J1404=1,I1404="SBJ"),AND(J1404=1,I1404=0)),"?IN_FOCUS",IF(J1404&lt;=2,"?ACTIVATED",IF(J1404&lt;&gt;"","?FAMILIAR",IF(F1404="NEW",IF(ISNA(VLOOKUP(E1404,#REF!,1,FALSE())),"?TYPE_IDENTIFIABLE","?REFERENTIAL"),"_")))))</f>
        <v> </v>
      </c>
      <c r="H1404" s="25" t="str">
        <f>IF(J1404&lt;&gt;1,"",IF(I1404="SBJ","CB","?"))</f>
        <v> </v>
      </c>
      <c r="I1404" s="26" t="str">
        <f>IF(OR(E1404="",E1404="!!!",F1404="NEW"),"",INDEX(B1403:B$2,-1+SUMPRODUCT(MAX(ROW(E1403:E$2)*(E1404=E1403:E$2)))))</f>
        <v> </v>
      </c>
      <c r="J1404" s="26" t="str">
        <f>IF(OR(E1404="",E1404="!!!",F1404="NEW"),"",COUNTBLANK(OFFSET(A$1,,,SUMPRODUCT(MAX(ROW(E$2:E1404)*(E1404=E$2:E1404)))))-COUNTBLANK(OFFSET(A$1,,,SUMPRODUCT(MAX(ROW(E$1:E1403)*(E2=E$1:E1403))))))</f>
        <v> </v>
      </c>
      <c r="K1404" s="26" t="str">
        <f>IF(OR(E1404="",E1404="!!!",F1404="NEW"),"",INDEX(J$1:J1403,SUMPRODUCT(MAX(ROW(E$1:E1403)*(E1404=E$1:E1403)))))</f>
        <v> </v>
      </c>
      <c r="L1404" s="27"/>
    </row>
    <row r="1405" spans="1:12">
      <c r="A1405" s="20" t="s">
        <v>1071</v>
      </c>
      <c r="E1405" s="22">
        <f>IF(D1405="?OLD","!!!","")</f>
        <v/>
      </c>
      <c r="F1405" s="23" t="str">
        <f>IF(OR(E1405="",E1405="!!!"),"",IF(NOT(ISNA(VLOOKUP(E1405,E$1:E1404,1,FALSE()))),"OLD",IF(AND(E1405&lt;&gt;"",E1405&lt;&gt;"!!!"),"NEW","")))</f>
        <v> </v>
      </c>
      <c r="G1405" s="24" t="str">
        <f>IF(OR(E1405="",E1405="!!!"),"",IF(OR(J1405=0,AND(J1405=1,K1405=1),AND(J1405=1,I1405="SBJ"),AND(J1405=1,I1405=0)),"?IN_FOCUS",IF(J1405&lt;=2,"?ACTIVATED",IF(J1405&lt;&gt;"","?FAMILIAR",IF(F1405="NEW",IF(ISNA(VLOOKUP(E1405,#REF!,1,FALSE())),"?TYPE_IDENTIFIABLE","?REFERENTIAL"),"_")))))</f>
        <v> </v>
      </c>
      <c r="H1405" s="25" t="str">
        <f>IF(J1405&lt;&gt;1,"",IF(I1405="SBJ","CB","?"))</f>
        <v> </v>
      </c>
      <c r="I1405" s="26" t="str">
        <f>IF(OR(E1405="",E1405="!!!",F1405="NEW"),"",INDEX(B1404:B$2,-1+SUMPRODUCT(MAX(ROW(E1404:E$2)*(E1405=E1404:E$2)))))</f>
        <v> </v>
      </c>
      <c r="J1405" s="26" t="str">
        <f>IF(OR(E1405="",E1405="!!!",F1405="NEW"),"",COUNTBLANK(OFFSET(A$1,,,SUMPRODUCT(MAX(ROW(E$2:E1405)*(E1405=E$2:E1405)))))-COUNTBLANK(OFFSET(A$1,,,SUMPRODUCT(MAX(ROW(E$1:E1404)*(E2=E$1:E1404))))))</f>
        <v> </v>
      </c>
      <c r="K1405" s="26" t="str">
        <f>IF(OR(E1405="",E1405="!!!",F1405="NEW"),"",INDEX(J$1:J1404,SUMPRODUCT(MAX(ROW(E$1:E1404)*(E1405=E$1:E1404)))))</f>
        <v> </v>
      </c>
      <c r="L1405" s="27"/>
    </row>
    <row r="1406" spans="1:12">
      <c r="A1406" s="20" t="s">
        <v>750</v>
      </c>
      <c r="B1406" s="21" t="s">
        <v>728</v>
      </c>
      <c r="C1406" s="21" t="s">
        <v>729</v>
      </c>
      <c r="D1406" s="21" t="s">
        <v>730</v>
      </c>
      <c r="E1406" s="22">
        <f>IF(D1406="?OLD","!!!","")</f>
        <v/>
      </c>
      <c r="F1406" s="23" t="str">
        <f>IF(OR(E1406="",E1406="!!!"),"",IF(NOT(ISNA(VLOOKUP(E1406,E$1:E1405,1,FALSE()))),"OLD",IF(AND(E1406&lt;&gt;"",E1406&lt;&gt;"!!!"),"NEW","")))</f>
        <v> </v>
      </c>
      <c r="G1406" s="24" t="str">
        <f>IF(OR(E1406="",E1406="!!!"),"",IF(OR(J1406=0,AND(J1406=1,K1406=1),AND(J1406=1,I1406="SBJ"),AND(J1406=1,I1406=0)),"?IN_FOCUS",IF(J1406&lt;=2,"?ACTIVATED",IF(J1406&lt;&gt;"","?FAMILIAR",IF(F1406="NEW",IF(ISNA(VLOOKUP(E1406,#REF!,1,FALSE())),"?TYPE_IDENTIFIABLE","?REFERENTIAL"),"_")))))</f>
        <v> </v>
      </c>
      <c r="H1406" s="25" t="str">
        <f>IF(J1406&lt;&gt;1,"",IF(I1406="SBJ","CB","?"))</f>
        <v> </v>
      </c>
      <c r="I1406" s="26" t="str">
        <f>IF(OR(E1406="",E1406="!!!",F1406="NEW"),"",INDEX(B1405:B$2,-1+SUMPRODUCT(MAX(ROW(E1405:E$2)*(E1406=E1405:E$2)))))</f>
        <v> </v>
      </c>
      <c r="J1406" s="26" t="str">
        <f>IF(OR(E1406="",E1406="!!!",F1406="NEW"),"",COUNTBLANK(OFFSET(A$1,,,SUMPRODUCT(MAX(ROW(E$2:E1406)*(E1406=E$2:E1406)))))-COUNTBLANK(OFFSET(A$1,,,SUMPRODUCT(MAX(ROW(E$1:E1405)*(E2=E$1:E1405))))))</f>
        <v> </v>
      </c>
      <c r="K1406" s="26" t="str">
        <f>IF(OR(E1406="",E1406="!!!",F1406="NEW"),"",INDEX(J$1:J1405,SUMPRODUCT(MAX(ROW(E$1:E1405)*(E1406=E$1:E1405)))))</f>
        <v> </v>
      </c>
      <c r="L1406" s="27"/>
    </row>
    <row r="1407" spans="1:12">
      <c r="A1407" s="20" t="s">
        <v>776</v>
      </c>
      <c r="B1407" s="21" t="s">
        <v>764</v>
      </c>
      <c r="E1407" s="22">
        <f>IF(D1407="?OLD","!!!","")</f>
        <v/>
      </c>
      <c r="F1407" s="23" t="str">
        <f>IF(OR(E1407="",E1407="!!!"),"",IF(NOT(ISNA(VLOOKUP(E1407,E$1:E1406,1,FALSE()))),"OLD",IF(AND(E1407&lt;&gt;"",E1407&lt;&gt;"!!!"),"NEW","")))</f>
        <v> </v>
      </c>
      <c r="G1407" s="24" t="str">
        <f>IF(OR(E1407="",E1407="!!!"),"",IF(OR(J1407=0,AND(J1407=1,K1407=1),AND(J1407=1,I1407="SBJ"),AND(J1407=1,I1407=0)),"?IN_FOCUS",IF(J1407&lt;=2,"?ACTIVATED",IF(J1407&lt;&gt;"","?FAMILIAR",IF(F1407="NEW",IF(ISNA(VLOOKUP(E1407,#REF!,1,FALSE())),"?TYPE_IDENTIFIABLE","?REFERENTIAL"),"_")))))</f>
        <v> </v>
      </c>
      <c r="H1407" s="25" t="str">
        <f>IF(J1407&lt;&gt;1,"",IF(I1407="SBJ","CB","?"))</f>
        <v> </v>
      </c>
      <c r="I1407" s="26" t="str">
        <f>IF(OR(E1407="",E1407="!!!",F1407="NEW"),"",INDEX(B1406:B$2,-1+SUMPRODUCT(MAX(ROW(E1406:E$2)*(E1407=E1406:E$2)))))</f>
        <v> </v>
      </c>
      <c r="J1407" s="26" t="str">
        <f>IF(OR(E1407="",E1407="!!!",F1407="NEW"),"",COUNTBLANK(OFFSET(A$1,,,SUMPRODUCT(MAX(ROW(E$2:E1407)*(E1407=E$2:E1407)))))-COUNTBLANK(OFFSET(A$1,,,SUMPRODUCT(MAX(ROW(E$1:E1406)*(E2=E$1:E1406))))))</f>
        <v> </v>
      </c>
      <c r="K1407" s="26" t="str">
        <f>IF(OR(E1407="",E1407="!!!",F1407="NEW"),"",INDEX(J$1:J1406,SUMPRODUCT(MAX(ROW(E$1:E1406)*(E1407=E$1:E1406)))))</f>
        <v> </v>
      </c>
      <c r="L1407" s="27"/>
    </row>
    <row r="1408" spans="1:12">
      <c r="A1408" s="20" t="s">
        <v>920</v>
      </c>
      <c r="E1408" s="22">
        <f>IF(D1408="?OLD","!!!","")</f>
        <v/>
      </c>
      <c r="F1408" s="23" t="str">
        <f>IF(OR(E1408="",E1408="!!!"),"",IF(NOT(ISNA(VLOOKUP(E1408,E$1:E1407,1,FALSE()))),"OLD",IF(AND(E1408&lt;&gt;"",E1408&lt;&gt;"!!!"),"NEW","")))</f>
        <v> </v>
      </c>
      <c r="G1408" s="24" t="str">
        <f>IF(OR(E1408="",E1408="!!!"),"",IF(OR(J1408=0,AND(J1408=1,K1408=1),AND(J1408=1,I1408="SBJ"),AND(J1408=1,I1408=0)),"?IN_FOCUS",IF(J1408&lt;=2,"?ACTIVATED",IF(J1408&lt;&gt;"","?FAMILIAR",IF(F1408="NEW",IF(ISNA(VLOOKUP(E1408,#REF!,1,FALSE())),"?TYPE_IDENTIFIABLE","?REFERENTIAL"),"_")))))</f>
        <v> </v>
      </c>
      <c r="H1408" s="25" t="str">
        <f>IF(J1408&lt;&gt;1,"",IF(I1408="SBJ","CB","?"))</f>
        <v> </v>
      </c>
      <c r="I1408" s="26" t="str">
        <f>IF(OR(E1408="",E1408="!!!",F1408="NEW"),"",INDEX(B1407:B$2,-1+SUMPRODUCT(MAX(ROW(E1407:E$2)*(E1408=E1407:E$2)))))</f>
        <v> </v>
      </c>
      <c r="J1408" s="26" t="str">
        <f>IF(OR(E1408="",E1408="!!!",F1408="NEW"),"",COUNTBLANK(OFFSET(A$1,,,SUMPRODUCT(MAX(ROW(E$2:E1408)*(E1408=E$2:E1408)))))-COUNTBLANK(OFFSET(A$1,,,SUMPRODUCT(MAX(ROW(E$1:E1407)*(E2=E$1:E1407))))))</f>
        <v> </v>
      </c>
      <c r="K1408" s="26" t="str">
        <f>IF(OR(E1408="",E1408="!!!",F1408="NEW"),"",INDEX(J$1:J1407,SUMPRODUCT(MAX(ROW(E$1:E1407)*(E1408=E$1:E1407)))))</f>
        <v> </v>
      </c>
      <c r="L1408" s="27"/>
    </row>
    <row r="1409" spans="1:12">
      <c r="A1409" s="20" t="s">
        <v>817</v>
      </c>
      <c r="E1409" s="22">
        <f>IF(D1409="?OLD","!!!","")</f>
        <v/>
      </c>
      <c r="F1409" s="23" t="str">
        <f>IF(OR(E1409="",E1409="!!!"),"",IF(NOT(ISNA(VLOOKUP(E1409,E$1:E1408,1,FALSE()))),"OLD",IF(AND(E1409&lt;&gt;"",E1409&lt;&gt;"!!!"),"NEW","")))</f>
        <v> </v>
      </c>
      <c r="G1409" s="24" t="str">
        <f>IF(OR(E1409="",E1409="!!!"),"",IF(OR(J1409=0,AND(J1409=1,K1409=1),AND(J1409=1,I1409="SBJ"),AND(J1409=1,I1409=0)),"?IN_FOCUS",IF(J1409&lt;=2,"?ACTIVATED",IF(J1409&lt;&gt;"","?FAMILIAR",IF(F1409="NEW",IF(ISNA(VLOOKUP(E1409,#REF!,1,FALSE())),"?TYPE_IDENTIFIABLE","?REFERENTIAL"),"_")))))</f>
        <v> </v>
      </c>
      <c r="H1409" s="25" t="str">
        <f>IF(J1409&lt;&gt;1,"",IF(I1409="SBJ","CB","?"))</f>
        <v> </v>
      </c>
      <c r="I1409" s="26" t="str">
        <f>IF(OR(E1409="",E1409="!!!",F1409="NEW"),"",INDEX(B1408:B$2,-1+SUMPRODUCT(MAX(ROW(E1408:E$2)*(E1409=E1408:E$2)))))</f>
        <v> </v>
      </c>
      <c r="J1409" s="26" t="str">
        <f>IF(OR(E1409="",E1409="!!!",F1409="NEW"),"",COUNTBLANK(OFFSET(A$1,,,SUMPRODUCT(MAX(ROW(E$2:E1409)*(E1409=E$2:E1409)))))-COUNTBLANK(OFFSET(A$1,,,SUMPRODUCT(MAX(ROW(E$1:E1408)*(E2=E$1:E1408))))))</f>
        <v> </v>
      </c>
      <c r="K1409" s="26" t="str">
        <f>IF(OR(E1409="",E1409="!!!",F1409="NEW"),"",INDEX(J$1:J1408,SUMPRODUCT(MAX(ROW(E$1:E1408)*(E1409=E$1:E1408)))))</f>
        <v> </v>
      </c>
      <c r="L1409" s="27"/>
    </row>
    <row r="1410" spans="1:12">
      <c r="A1410" s="20" t="s">
        <v>1358</v>
      </c>
      <c r="B1410" s="21" t="s">
        <v>736</v>
      </c>
      <c r="C1410" s="21" t="s">
        <v>740</v>
      </c>
      <c r="D1410" s="21" t="s">
        <v>730</v>
      </c>
      <c r="E1410" s="22">
        <f>IF(D1410="?OLD","!!!","")</f>
        <v/>
      </c>
      <c r="F1410" s="23" t="str">
        <f>IF(OR(E1410="",E1410="!!!"),"",IF(NOT(ISNA(VLOOKUP(E1410,E$1:E1409,1,FALSE()))),"OLD",IF(AND(E1410&lt;&gt;"",E1410&lt;&gt;"!!!"),"NEW","")))</f>
        <v> </v>
      </c>
      <c r="G1410" s="24" t="str">
        <f>IF(OR(E1410="",E1410="!!!"),"",IF(OR(J1410=0,AND(J1410=1,K1410=1),AND(J1410=1,I1410="SBJ"),AND(J1410=1,I1410=0)),"?IN_FOCUS",IF(J1410&lt;=2,"?ACTIVATED",IF(J1410&lt;&gt;"","?FAMILIAR",IF(F1410="NEW",IF(ISNA(VLOOKUP(E1410,#REF!,1,FALSE())),"?TYPE_IDENTIFIABLE","?REFERENTIAL"),"_")))))</f>
        <v> </v>
      </c>
      <c r="H1410" s="25" t="str">
        <f>IF(J1410&lt;&gt;1,"",IF(I1410="SBJ","CB","?"))</f>
        <v> </v>
      </c>
      <c r="I1410" s="26" t="str">
        <f>IF(OR(E1410="",E1410="!!!",F1410="NEW"),"",INDEX(B1409:B$2,-1+SUMPRODUCT(MAX(ROW(E1409:E$2)*(E1410=E1409:E$2)))))</f>
        <v> </v>
      </c>
      <c r="J1410" s="26" t="str">
        <f>IF(OR(E1410="",E1410="!!!",F1410="NEW"),"",COUNTBLANK(OFFSET(A$1,,,SUMPRODUCT(MAX(ROW(E$2:E1410)*(E1410=E$2:E1410)))))-COUNTBLANK(OFFSET(A$1,,,SUMPRODUCT(MAX(ROW(E$1:E1409)*(E2=E$1:E1409))))))</f>
        <v> </v>
      </c>
      <c r="K1410" s="26" t="str">
        <f>IF(OR(E1410="",E1410="!!!",F1410="NEW"),"",INDEX(J$1:J1409,SUMPRODUCT(MAX(ROW(E$1:E1409)*(E1410=E$1:E1409)))))</f>
        <v> </v>
      </c>
      <c r="L1410" s="27"/>
    </row>
    <row r="1411" spans="1:12">
      <c r="A1411" s="20" t="s">
        <v>785</v>
      </c>
      <c r="E1411" s="22">
        <f>IF(D1411="?OLD","!!!","")</f>
        <v/>
      </c>
      <c r="F1411" s="23" t="str">
        <f>IF(OR(E1411="",E1411="!!!"),"",IF(NOT(ISNA(VLOOKUP(E1411,E$1:E1410,1,FALSE()))),"OLD",IF(AND(E1411&lt;&gt;"",E1411&lt;&gt;"!!!"),"NEW","")))</f>
        <v> </v>
      </c>
      <c r="G1411" s="24" t="str">
        <f>IF(OR(E1411="",E1411="!!!"),"",IF(OR(J1411=0,AND(J1411=1,K1411=1),AND(J1411=1,I1411="SBJ"),AND(J1411=1,I1411=0)),"?IN_FOCUS",IF(J1411&lt;=2,"?ACTIVATED",IF(J1411&lt;&gt;"","?FAMILIAR",IF(F1411="NEW",IF(ISNA(VLOOKUP(E1411,#REF!,1,FALSE())),"?TYPE_IDENTIFIABLE","?REFERENTIAL"),"_")))))</f>
        <v> </v>
      </c>
      <c r="H1411" s="25" t="str">
        <f>IF(J1411&lt;&gt;1,"",IF(I1411="SBJ","CB","?"))</f>
        <v> </v>
      </c>
      <c r="I1411" s="26" t="str">
        <f>IF(OR(E1411="",E1411="!!!",F1411="NEW"),"",INDEX(B1410:B$2,-1+SUMPRODUCT(MAX(ROW(E1410:E$2)*(E1411=E1410:E$2)))))</f>
        <v> </v>
      </c>
      <c r="J1411" s="26" t="str">
        <f>IF(OR(E1411="",E1411="!!!",F1411="NEW"),"",COUNTBLANK(OFFSET(A$1,,,SUMPRODUCT(MAX(ROW(E$2:E1411)*(E1411=E$2:E1411)))))-COUNTBLANK(OFFSET(A$1,,,SUMPRODUCT(MAX(ROW(E$1:E1410)*(E2=E$1:E1410))))))</f>
        <v> </v>
      </c>
      <c r="K1411" s="26" t="str">
        <f>IF(OR(E1411="",E1411="!!!",F1411="NEW"),"",INDEX(J$1:J1410,SUMPRODUCT(MAX(ROW(E$1:E1410)*(E1411=E$1:E1410)))))</f>
        <v> </v>
      </c>
      <c r="L1411" s="27"/>
    </row>
    <row r="1412" spans="1:12">
      <c r="A1412" s="20" t="s">
        <v>1359</v>
      </c>
      <c r="B1412" s="21" t="s">
        <v>739</v>
      </c>
      <c r="C1412" s="21" t="s">
        <v>740</v>
      </c>
      <c r="D1412" s="21" t="s">
        <v>730</v>
      </c>
      <c r="E1412" s="22">
        <f>IF(D1412="?OLD","!!!","")</f>
        <v/>
      </c>
      <c r="F1412" s="23" t="str">
        <f>IF(OR(E1412="",E1412="!!!"),"",IF(NOT(ISNA(VLOOKUP(E1412,E$1:E1411,1,FALSE()))),"OLD",IF(AND(E1412&lt;&gt;"",E1412&lt;&gt;"!!!"),"NEW","")))</f>
        <v> </v>
      </c>
      <c r="G1412" s="24" t="str">
        <f>IF(OR(E1412="",E1412="!!!"),"",IF(OR(J1412=0,AND(J1412=1,K1412=1),AND(J1412=1,I1412="SBJ"),AND(J1412=1,I1412=0)),"?IN_FOCUS",IF(J1412&lt;=2,"?ACTIVATED",IF(J1412&lt;&gt;"","?FAMILIAR",IF(F1412="NEW",IF(ISNA(VLOOKUP(E1412,#REF!,1,FALSE())),"?TYPE_IDENTIFIABLE","?REFERENTIAL"),"_")))))</f>
        <v> </v>
      </c>
      <c r="H1412" s="25" t="str">
        <f>IF(J1412&lt;&gt;1,"",IF(I1412="SBJ","CB","?"))</f>
        <v> </v>
      </c>
      <c r="I1412" s="26" t="str">
        <f>IF(OR(E1412="",E1412="!!!",F1412="NEW"),"",INDEX(B1411:B$2,-1+SUMPRODUCT(MAX(ROW(E1411:E$2)*(E1412=E1411:E$2)))))</f>
        <v> </v>
      </c>
      <c r="J1412" s="26" t="str">
        <f>IF(OR(E1412="",E1412="!!!",F1412="NEW"),"",COUNTBLANK(OFFSET(A$1,,,SUMPRODUCT(MAX(ROW(E$2:E1412)*(E1412=E$2:E1412)))))-COUNTBLANK(OFFSET(A$1,,,SUMPRODUCT(MAX(ROW(E$1:E1411)*(E2=E$1:E1411))))))</f>
        <v> </v>
      </c>
      <c r="K1412" s="26" t="str">
        <f>IF(OR(E1412="",E1412="!!!",F1412="NEW"),"",INDEX(J$1:J1411,SUMPRODUCT(MAX(ROW(E$1:E1411)*(E1412=E$1:E1411)))))</f>
        <v> </v>
      </c>
      <c r="L1412" s="27"/>
    </row>
    <row r="1413" spans="1:12">
      <c r="A1413" s="20" t="s">
        <v>742</v>
      </c>
      <c r="E1413" s="22">
        <f>IF(D1413="?OLD","!!!","")</f>
        <v/>
      </c>
      <c r="F1413" s="23" t="str">
        <f>IF(OR(E1413="",E1413="!!!"),"",IF(NOT(ISNA(VLOOKUP(E1413,E$1:E1412,1,FALSE()))),"OLD",IF(AND(E1413&lt;&gt;"",E1413&lt;&gt;"!!!"),"NEW","")))</f>
        <v> </v>
      </c>
      <c r="G1413" s="24" t="str">
        <f>IF(OR(E1413="",E1413="!!!"),"",IF(OR(J1413=0,AND(J1413=1,K1413=1),AND(J1413=1,I1413="SBJ"),AND(J1413=1,I1413=0)),"?IN_FOCUS",IF(J1413&lt;=2,"?ACTIVATED",IF(J1413&lt;&gt;"","?FAMILIAR",IF(F1413="NEW",IF(ISNA(VLOOKUP(E1413,#REF!,1,FALSE())),"?TYPE_IDENTIFIABLE","?REFERENTIAL"),"_")))))</f>
        <v> </v>
      </c>
      <c r="H1413" s="25" t="str">
        <f>IF(J1413&lt;&gt;1,"",IF(I1413="SBJ","CB","?"))</f>
        <v> </v>
      </c>
      <c r="I1413" s="26" t="str">
        <f>IF(OR(E1413="",E1413="!!!",F1413="NEW"),"",INDEX(B1412:B$2,-1+SUMPRODUCT(MAX(ROW(E1412:E$2)*(E1413=E1412:E$2)))))</f>
        <v> </v>
      </c>
      <c r="J1413" s="26" t="str">
        <f>IF(OR(E1413="",E1413="!!!",F1413="NEW"),"",COUNTBLANK(OFFSET(A$1,,,SUMPRODUCT(MAX(ROW(E$2:E1413)*(E1413=E$2:E1413)))))-COUNTBLANK(OFFSET(A$1,,,SUMPRODUCT(MAX(ROW(E$1:E1412)*(E2=E$1:E1412))))))</f>
        <v> </v>
      </c>
      <c r="K1413" s="26" t="str">
        <f>IF(OR(E1413="",E1413="!!!",F1413="NEW"),"",INDEX(J$1:J1412,SUMPRODUCT(MAX(ROW(E$1:E1412)*(E1413=E$1:E1412)))))</f>
        <v> </v>
      </c>
      <c r="L1413" s="27"/>
    </row>
    <row r="1414" spans="1:12">
      <c r="A1414" s="20" t="s">
        <v>774</v>
      </c>
      <c r="E1414" s="22">
        <f>IF(D1414="?OLD","!!!","")</f>
        <v/>
      </c>
      <c r="F1414" s="23" t="str">
        <f>IF(OR(E1414="",E1414="!!!"),"",IF(NOT(ISNA(VLOOKUP(E1414,E$1:E1413,1,FALSE()))),"OLD",IF(AND(E1414&lt;&gt;"",E1414&lt;&gt;"!!!"),"NEW","")))</f>
        <v> </v>
      </c>
      <c r="G1414" s="24" t="str">
        <f>IF(OR(E1414="",E1414="!!!"),"",IF(OR(J1414=0,AND(J1414=1,K1414=1),AND(J1414=1,I1414="SBJ"),AND(J1414=1,I1414=0)),"?IN_FOCUS",IF(J1414&lt;=2,"?ACTIVATED",IF(J1414&lt;&gt;"","?FAMILIAR",IF(F1414="NEW",IF(ISNA(VLOOKUP(E1414,#REF!,1,FALSE())),"?TYPE_IDENTIFIABLE","?REFERENTIAL"),"_")))))</f>
        <v> </v>
      </c>
      <c r="H1414" s="25" t="str">
        <f>IF(J1414&lt;&gt;1,"",IF(I1414="SBJ","CB","?"))</f>
        <v> </v>
      </c>
      <c r="I1414" s="26" t="str">
        <f>IF(OR(E1414="",E1414="!!!",F1414="NEW"),"",INDEX(B1413:B$2,-1+SUMPRODUCT(MAX(ROW(E1413:E$2)*(E1414=E1413:E$2)))))</f>
        <v> </v>
      </c>
      <c r="J1414" s="26" t="str">
        <f>IF(OR(E1414="",E1414="!!!",F1414="NEW"),"",COUNTBLANK(OFFSET(A$1,,,SUMPRODUCT(MAX(ROW(E$2:E1414)*(E1414=E$2:E1414)))))-COUNTBLANK(OFFSET(A$1,,,SUMPRODUCT(MAX(ROW(E$1:E1413)*(E2=E$1:E1413))))))</f>
        <v> </v>
      </c>
      <c r="K1414" s="26" t="str">
        <f>IF(OR(E1414="",E1414="!!!",F1414="NEW"),"",INDEX(J$1:J1413,SUMPRODUCT(MAX(ROW(E$1:E1413)*(E1414=E$1:E1413)))))</f>
        <v> </v>
      </c>
      <c r="L1414" s="27"/>
    </row>
    <row r="1415" spans="1:12">
      <c r="A1415" s="20" t="s">
        <v>1350</v>
      </c>
      <c r="B1415" s="21" t="s">
        <v>736</v>
      </c>
      <c r="C1415" s="21" t="s">
        <v>737</v>
      </c>
      <c r="E1415" s="22">
        <f>IF(D1415="?OLD","!!!","")</f>
        <v/>
      </c>
      <c r="F1415" s="23" t="str">
        <f>IF(OR(E1415="",E1415="!!!"),"",IF(NOT(ISNA(VLOOKUP(E1415,E$1:E1414,1,FALSE()))),"OLD",IF(AND(E1415&lt;&gt;"",E1415&lt;&gt;"!!!"),"NEW","")))</f>
        <v> </v>
      </c>
      <c r="G1415" s="24" t="str">
        <f>IF(OR(E1415="",E1415="!!!"),"",IF(OR(J1415=0,AND(J1415=1,K1415=1),AND(J1415=1,I1415="SBJ"),AND(J1415=1,I1415=0)),"?IN_FOCUS",IF(J1415&lt;=2,"?ACTIVATED",IF(J1415&lt;&gt;"","?FAMILIAR",IF(F1415="NEW",IF(ISNA(VLOOKUP(E1415,#REF!,1,FALSE())),"?TYPE_IDENTIFIABLE","?REFERENTIAL"),"_")))))</f>
        <v> </v>
      </c>
      <c r="H1415" s="25" t="str">
        <f>IF(J1415&lt;&gt;1,"",IF(I1415="SBJ","CB","?"))</f>
        <v> </v>
      </c>
      <c r="I1415" s="26" t="str">
        <f>IF(OR(E1415="",E1415="!!!",F1415="NEW"),"",INDEX(B1414:B$2,-1+SUMPRODUCT(MAX(ROW(E1414:E$2)*(E1415=E1414:E$2)))))</f>
        <v> </v>
      </c>
      <c r="J1415" s="26" t="str">
        <f>IF(OR(E1415="",E1415="!!!",F1415="NEW"),"",COUNTBLANK(OFFSET(A$1,,,SUMPRODUCT(MAX(ROW(E$2:E1415)*(E1415=E$2:E1415)))))-COUNTBLANK(OFFSET(A$1,,,SUMPRODUCT(MAX(ROW(E$1:E1414)*(E2=E$1:E1414))))))</f>
        <v> </v>
      </c>
      <c r="K1415" s="26" t="str">
        <f>IF(OR(E1415="",E1415="!!!",F1415="NEW"),"",INDEX(J$1:J1414,SUMPRODUCT(MAX(ROW(E$1:E1414)*(E1415=E$1:E1414)))))</f>
        <v> </v>
      </c>
      <c r="L1415" s="27"/>
    </row>
    <row r="1416" spans="1:12">
      <c r="A1416" s="20" t="s">
        <v>817</v>
      </c>
      <c r="E1416" s="22">
        <f>IF(D1416="?OLD","!!!","")</f>
        <v/>
      </c>
      <c r="F1416" s="23" t="str">
        <f>IF(OR(E1416="",E1416="!!!"),"",IF(NOT(ISNA(VLOOKUP(E1416,E$1:E1415,1,FALSE()))),"OLD",IF(AND(E1416&lt;&gt;"",E1416&lt;&gt;"!!!"),"NEW","")))</f>
        <v> </v>
      </c>
      <c r="G1416" s="24" t="str">
        <f>IF(OR(E1416="",E1416="!!!"),"",IF(OR(J1416=0,AND(J1416=1,K1416=1),AND(J1416=1,I1416="SBJ"),AND(J1416=1,I1416=0)),"?IN_FOCUS",IF(J1416&lt;=2,"?ACTIVATED",IF(J1416&lt;&gt;"","?FAMILIAR",IF(F1416="NEW",IF(ISNA(VLOOKUP(E1416,#REF!,1,FALSE())),"?TYPE_IDENTIFIABLE","?REFERENTIAL"),"_")))))</f>
        <v> </v>
      </c>
      <c r="H1416" s="25" t="str">
        <f>IF(J1416&lt;&gt;1,"",IF(I1416="SBJ","CB","?"))</f>
        <v> </v>
      </c>
      <c r="I1416" s="26" t="str">
        <f>IF(OR(E1416="",E1416="!!!",F1416="NEW"),"",INDEX(B1415:B$2,-1+SUMPRODUCT(MAX(ROW(E1415:E$2)*(E1416=E1415:E$2)))))</f>
        <v> </v>
      </c>
      <c r="J1416" s="26" t="str">
        <f>IF(OR(E1416="",E1416="!!!",F1416="NEW"),"",COUNTBLANK(OFFSET(A$1,,,SUMPRODUCT(MAX(ROW(E$2:E1416)*(E1416=E$2:E1416)))))-COUNTBLANK(OFFSET(A$1,,,SUMPRODUCT(MAX(ROW(E$1:E1415)*(E2=E$1:E1415))))))</f>
        <v> </v>
      </c>
      <c r="K1416" s="26" t="str">
        <f>IF(OR(E1416="",E1416="!!!",F1416="NEW"),"",INDEX(J$1:J1415,SUMPRODUCT(MAX(ROW(E$1:E1415)*(E1416=E$1:E1415)))))</f>
        <v> </v>
      </c>
      <c r="L1416" s="27"/>
    </row>
    <row r="1417" spans="1:12">
      <c r="A1417" s="20" t="s">
        <v>1360</v>
      </c>
      <c r="E1417" s="22">
        <f>IF(D1417="?OLD","!!!","")</f>
        <v/>
      </c>
      <c r="F1417" s="23" t="str">
        <f>IF(OR(E1417="",E1417="!!!"),"",IF(NOT(ISNA(VLOOKUP(E1417,E$1:E1416,1,FALSE()))),"OLD",IF(AND(E1417&lt;&gt;"",E1417&lt;&gt;"!!!"),"NEW","")))</f>
        <v> </v>
      </c>
      <c r="G1417" s="24" t="str">
        <f>IF(OR(E1417="",E1417="!!!"),"",IF(OR(J1417=0,AND(J1417=1,K1417=1),AND(J1417=1,I1417="SBJ"),AND(J1417=1,I1417=0)),"?IN_FOCUS",IF(J1417&lt;=2,"?ACTIVATED",IF(J1417&lt;&gt;"","?FAMILIAR",IF(F1417="NEW",IF(ISNA(VLOOKUP(E1417,#REF!,1,FALSE())),"?TYPE_IDENTIFIABLE","?REFERENTIAL"),"_")))))</f>
        <v> </v>
      </c>
      <c r="H1417" s="25" t="str">
        <f>IF(J1417&lt;&gt;1,"",IF(I1417="SBJ","CB","?"))</f>
        <v> </v>
      </c>
      <c r="I1417" s="26" t="str">
        <f>IF(OR(E1417="",E1417="!!!",F1417="NEW"),"",INDEX(B1416:B$2,-1+SUMPRODUCT(MAX(ROW(E1416:E$2)*(E1417=E1416:E$2)))))</f>
        <v> </v>
      </c>
      <c r="J1417" s="26" t="str">
        <f>IF(OR(E1417="",E1417="!!!",F1417="NEW"),"",COUNTBLANK(OFFSET(A$1,,,SUMPRODUCT(MAX(ROW(E$2:E1417)*(E1417=E$2:E1417)))))-COUNTBLANK(OFFSET(A$1,,,SUMPRODUCT(MAX(ROW(E$1:E1416)*(E2=E$1:E1416))))))</f>
        <v> </v>
      </c>
      <c r="K1417" s="26" t="str">
        <f>IF(OR(E1417="",E1417="!!!",F1417="NEW"),"",INDEX(J$1:J1416,SUMPRODUCT(MAX(ROW(E$1:E1416)*(E1417=E$1:E1416)))))</f>
        <v> </v>
      </c>
      <c r="L1417" s="27"/>
    </row>
    <row r="1418" spans="1:12">
      <c r="A1418" s="20" t="s">
        <v>246</v>
      </c>
      <c r="E1418" s="22">
        <f>IF(D1418="?OLD","!!!","")</f>
        <v/>
      </c>
      <c r="F1418" s="23" t="str">
        <f>IF(OR(E1418="",E1418="!!!"),"",IF(NOT(ISNA(VLOOKUP(E1418,E$1:E1417,1,FALSE()))),"OLD",IF(AND(E1418&lt;&gt;"",E1418&lt;&gt;"!!!"),"NEW","")))</f>
        <v> </v>
      </c>
      <c r="G1418" s="24" t="str">
        <f>IF(OR(E1418="",E1418="!!!"),"",IF(OR(J1418=0,AND(J1418=1,K1418=1),AND(J1418=1,I1418="SBJ"),AND(J1418=1,I1418=0)),"?IN_FOCUS",IF(J1418&lt;=2,"?ACTIVATED",IF(J1418&lt;&gt;"","?FAMILIAR",IF(F1418="NEW",IF(ISNA(VLOOKUP(E1418,#REF!,1,FALSE())),"?TYPE_IDENTIFIABLE","?REFERENTIAL"),"_")))))</f>
        <v> </v>
      </c>
      <c r="H1418" s="25" t="str">
        <f>IF(J1418&lt;&gt;1,"",IF(I1418="SBJ","CB","?"))</f>
        <v> </v>
      </c>
      <c r="I1418" s="26" t="str">
        <f>IF(OR(E1418="",E1418="!!!",F1418="NEW"),"",INDEX(B1417:B$2,-1+SUMPRODUCT(MAX(ROW(E1417:E$2)*(E1418=E1417:E$2)))))</f>
        <v> </v>
      </c>
      <c r="J1418" s="26" t="str">
        <f>IF(OR(E1418="",E1418="!!!",F1418="NEW"),"",COUNTBLANK(OFFSET(A$1,,,SUMPRODUCT(MAX(ROW(E$2:E1418)*(E1418=E$2:E1418)))))-COUNTBLANK(OFFSET(A$1,,,SUMPRODUCT(MAX(ROW(E$1:E1417)*(E2=E$1:E1417))))))</f>
        <v> </v>
      </c>
      <c r="K1418" s="26" t="str">
        <f>IF(OR(E1418="",E1418="!!!",F1418="NEW"),"",INDEX(J$1:J1417,SUMPRODUCT(MAX(ROW(E$1:E1417)*(E1418=E$1:E1417)))))</f>
        <v> </v>
      </c>
      <c r="L1418" s="27"/>
    </row>
    <row r="1419" spans="1:12">
      <c r="A1419" s="20"/>
    </row>
    <row r="1420" spans="1:12">
      <c r="A1420" s="20" t="s">
        <v>1361</v>
      </c>
    </row>
    <row r="1421" spans="1:12">
      <c r="A1421" s="20" t="s">
        <v>836</v>
      </c>
      <c r="E1421" s="22">
        <f>IF(D1421="?OLD","!!!","")</f>
        <v/>
      </c>
      <c r="F1421" s="23" t="str">
        <f>IF(OR(E1421="",E1421="!!!"),"",IF(NOT(ISNA(VLOOKUP(E1421,E$1:E1420,1,FALSE()))),"OLD",IF(AND(E1421&lt;&gt;"",E1421&lt;&gt;"!!!"),"NEW","")))</f>
        <v> </v>
      </c>
      <c r="G1421" s="24" t="str">
        <f>IF(OR(E1421="",E1421="!!!"),"",IF(OR(J1421=0,AND(J1421=1,K1421=1),AND(J1421=1,I1421="SBJ"),AND(J1421=1,I1421=0)),"?IN_FOCUS",IF(J1421&lt;=2,"?ACTIVATED",IF(J1421&lt;&gt;"","?FAMILIAR",IF(F1421="NEW",IF(ISNA(VLOOKUP(E1421,#REF!,1,FALSE())),"?TYPE_IDENTIFIABLE","?REFERENTIAL"),"_")))))</f>
        <v> </v>
      </c>
      <c r="H1421" s="25" t="str">
        <f>IF(J1421&lt;&gt;1,"",IF(I1421="SBJ","CB","?"))</f>
        <v> </v>
      </c>
      <c r="I1421" s="26" t="str">
        <f>IF(OR(E1421="",E1421="!!!",F1421="NEW"),"",INDEX(B1420:B$2,-1+SUMPRODUCT(MAX(ROW(E1420:E$2)*(E1421=E1420:E$2)))))</f>
        <v> </v>
      </c>
      <c r="J1421" s="26" t="str">
        <f>IF(OR(E1421="",E1421="!!!",F1421="NEW"),"",COUNTBLANK(OFFSET(A$1,,,SUMPRODUCT(MAX(ROW(E$2:E1421)*(E1421=E$2:E1421)))))-COUNTBLANK(OFFSET(A$1,,,SUMPRODUCT(MAX(ROW(E$1:E1420)*(E2=E$1:E1420))))))</f>
        <v> </v>
      </c>
      <c r="K1421" s="26" t="str">
        <f>IF(OR(E1421="",E1421="!!!",F1421="NEW"),"",INDEX(J$1:J1420,SUMPRODUCT(MAX(ROW(E$1:E1420)*(E1421=E$1:E1420)))))</f>
        <v> </v>
      </c>
      <c r="L1421" s="27"/>
    </row>
    <row r="1422" spans="1:12">
      <c r="A1422" s="20" t="s">
        <v>948</v>
      </c>
      <c r="E1422" s="22">
        <f>IF(D1422="?OLD","!!!","")</f>
        <v/>
      </c>
      <c r="F1422" s="23" t="str">
        <f>IF(OR(E1422="",E1422="!!!"),"",IF(NOT(ISNA(VLOOKUP(E1422,E$1:E1421,1,FALSE()))),"OLD",IF(AND(E1422&lt;&gt;"",E1422&lt;&gt;"!!!"),"NEW","")))</f>
        <v> </v>
      </c>
      <c r="G1422" s="24" t="str">
        <f>IF(OR(E1422="",E1422="!!!"),"",IF(OR(J1422=0,AND(J1422=1,K1422=1),AND(J1422=1,I1422="SBJ"),AND(J1422=1,I1422=0)),"?IN_FOCUS",IF(J1422&lt;=2,"?ACTIVATED",IF(J1422&lt;&gt;"","?FAMILIAR",IF(F1422="NEW",IF(ISNA(VLOOKUP(E1422,#REF!,1,FALSE())),"?TYPE_IDENTIFIABLE","?REFERENTIAL"),"_")))))</f>
        <v> </v>
      </c>
      <c r="H1422" s="25" t="str">
        <f>IF(J1422&lt;&gt;1,"",IF(I1422="SBJ","CB","?"))</f>
        <v> </v>
      </c>
      <c r="I1422" s="26" t="str">
        <f>IF(OR(E1422="",E1422="!!!",F1422="NEW"),"",INDEX(B1421:B$2,-1+SUMPRODUCT(MAX(ROW(E1421:E$2)*(E1422=E1421:E$2)))))</f>
        <v> </v>
      </c>
      <c r="J1422" s="26" t="str">
        <f>IF(OR(E1422="",E1422="!!!",F1422="NEW"),"",COUNTBLANK(OFFSET(A$1,,,SUMPRODUCT(MAX(ROW(E$2:E1422)*(E1422=E$2:E1422)))))-COUNTBLANK(OFFSET(A$1,,,SUMPRODUCT(MAX(ROW(E$1:E1421)*(E2=E$1:E1421))))))</f>
        <v> </v>
      </c>
      <c r="K1422" s="26" t="str">
        <f>IF(OR(E1422="",E1422="!!!",F1422="NEW"),"",INDEX(J$1:J1421,SUMPRODUCT(MAX(ROW(E$1:E1421)*(E1422=E$1:E1421)))))</f>
        <v> </v>
      </c>
      <c r="L1422" s="27"/>
    </row>
    <row r="1423" spans="1:12">
      <c r="A1423" s="20" t="s">
        <v>922</v>
      </c>
      <c r="E1423" s="22">
        <f>IF(D1423="?OLD","!!!","")</f>
        <v/>
      </c>
      <c r="F1423" s="23" t="str">
        <f>IF(OR(E1423="",E1423="!!!"),"",IF(NOT(ISNA(VLOOKUP(E1423,E$1:E1422,1,FALSE()))),"OLD",IF(AND(E1423&lt;&gt;"",E1423&lt;&gt;"!!!"),"NEW","")))</f>
        <v> </v>
      </c>
      <c r="G1423" s="24" t="str">
        <f>IF(OR(E1423="",E1423="!!!"),"",IF(OR(J1423=0,AND(J1423=1,K1423=1),AND(J1423=1,I1423="SBJ"),AND(J1423=1,I1423=0)),"?IN_FOCUS",IF(J1423&lt;=2,"?ACTIVATED",IF(J1423&lt;&gt;"","?FAMILIAR",IF(F1423="NEW",IF(ISNA(VLOOKUP(E1423,#REF!,1,FALSE())),"?TYPE_IDENTIFIABLE","?REFERENTIAL"),"_")))))</f>
        <v> </v>
      </c>
      <c r="H1423" s="25" t="str">
        <f>IF(J1423&lt;&gt;1,"",IF(I1423="SBJ","CB","?"))</f>
        <v> </v>
      </c>
      <c r="I1423" s="26" t="str">
        <f>IF(OR(E1423="",E1423="!!!",F1423="NEW"),"",INDEX(B1422:B$2,-1+SUMPRODUCT(MAX(ROW(E1422:E$2)*(E1423=E1422:E$2)))))</f>
        <v> </v>
      </c>
      <c r="J1423" s="26" t="str">
        <f>IF(OR(E1423="",E1423="!!!",F1423="NEW"),"",COUNTBLANK(OFFSET(A$1,,,SUMPRODUCT(MAX(ROW(E$2:E1423)*(E1423=E$2:E1423)))))-COUNTBLANK(OFFSET(A$1,,,SUMPRODUCT(MAX(ROW(E$1:E1422)*(E2=E$1:E1422))))))</f>
        <v> </v>
      </c>
      <c r="K1423" s="26" t="str">
        <f>IF(OR(E1423="",E1423="!!!",F1423="NEW"),"",INDEX(J$1:J1422,SUMPRODUCT(MAX(ROW(E$1:E1422)*(E1423=E$1:E1422)))))</f>
        <v> </v>
      </c>
      <c r="L1423" s="27"/>
    </row>
    <row r="1424" spans="1:12">
      <c r="A1424" s="20" t="s">
        <v>1362</v>
      </c>
      <c r="B1424" s="21" t="s">
        <v>736</v>
      </c>
      <c r="C1424" s="21" t="s">
        <v>737</v>
      </c>
      <c r="E1424" s="22">
        <f>IF(D1424="?OLD","!!!","")</f>
        <v/>
      </c>
      <c r="F1424" s="23" t="str">
        <f>IF(OR(E1424="",E1424="!!!"),"",IF(NOT(ISNA(VLOOKUP(E1424,E$1:E1423,1,FALSE()))),"OLD",IF(AND(E1424&lt;&gt;"",E1424&lt;&gt;"!!!"),"NEW","")))</f>
        <v> </v>
      </c>
      <c r="G1424" s="24" t="str">
        <f>IF(OR(E1424="",E1424="!!!"),"",IF(OR(J1424=0,AND(J1424=1,K1424=1),AND(J1424=1,I1424="SBJ"),AND(J1424=1,I1424=0)),"?IN_FOCUS",IF(J1424&lt;=2,"?ACTIVATED",IF(J1424&lt;&gt;"","?FAMILIAR",IF(F1424="NEW",IF(ISNA(VLOOKUP(E1424,#REF!,1,FALSE())),"?TYPE_IDENTIFIABLE","?REFERENTIAL"),"_")))))</f>
        <v> </v>
      </c>
      <c r="H1424" s="25" t="str">
        <f>IF(J1424&lt;&gt;1,"",IF(I1424="SBJ","CB","?"))</f>
        <v> </v>
      </c>
      <c r="I1424" s="26" t="str">
        <f>IF(OR(E1424="",E1424="!!!",F1424="NEW"),"",INDEX(B1423:B$2,-1+SUMPRODUCT(MAX(ROW(E1423:E$2)*(E1424=E1423:E$2)))))</f>
        <v> </v>
      </c>
      <c r="J1424" s="26" t="str">
        <f>IF(OR(E1424="",E1424="!!!",F1424="NEW"),"",COUNTBLANK(OFFSET(A$1,,,SUMPRODUCT(MAX(ROW(E$2:E1424)*(E1424=E$2:E1424)))))-COUNTBLANK(OFFSET(A$1,,,SUMPRODUCT(MAX(ROW(E$1:E1423)*(E2=E$1:E1423))))))</f>
        <v> </v>
      </c>
      <c r="K1424" s="26" t="str">
        <f>IF(OR(E1424="",E1424="!!!",F1424="NEW"),"",INDEX(J$1:J1423,SUMPRODUCT(MAX(ROW(E$1:E1423)*(E1424=E$1:E1423)))))</f>
        <v> </v>
      </c>
      <c r="L1424" s="27"/>
    </row>
    <row r="1425" spans="1:12">
      <c r="A1425" s="20" t="s">
        <v>1363</v>
      </c>
      <c r="E1425" s="22">
        <f>IF(D1425="?OLD","!!!","")</f>
        <v/>
      </c>
      <c r="F1425" s="23" t="str">
        <f>IF(OR(E1425="",E1425="!!!"),"",IF(NOT(ISNA(VLOOKUP(E1425,E$1:E1424,1,FALSE()))),"OLD",IF(AND(E1425&lt;&gt;"",E1425&lt;&gt;"!!!"),"NEW","")))</f>
        <v> </v>
      </c>
      <c r="G1425" s="24" t="str">
        <f>IF(OR(E1425="",E1425="!!!"),"",IF(OR(J1425=0,AND(J1425=1,K1425=1),AND(J1425=1,I1425="SBJ"),AND(J1425=1,I1425=0)),"?IN_FOCUS",IF(J1425&lt;=2,"?ACTIVATED",IF(J1425&lt;&gt;"","?FAMILIAR",IF(F1425="NEW",IF(ISNA(VLOOKUP(E1425,#REF!,1,FALSE())),"?TYPE_IDENTIFIABLE","?REFERENTIAL"),"_")))))</f>
        <v> </v>
      </c>
      <c r="H1425" s="25" t="str">
        <f>IF(J1425&lt;&gt;1,"",IF(I1425="SBJ","CB","?"))</f>
        <v> </v>
      </c>
      <c r="I1425" s="26" t="str">
        <f>IF(OR(E1425="",E1425="!!!",F1425="NEW"),"",INDEX(B1424:B$2,-1+SUMPRODUCT(MAX(ROW(E1424:E$2)*(E1425=E1424:E$2)))))</f>
        <v> </v>
      </c>
      <c r="J1425" s="26" t="str">
        <f>IF(OR(E1425="",E1425="!!!",F1425="NEW"),"",COUNTBLANK(OFFSET(A$1,,,SUMPRODUCT(MAX(ROW(E$2:E1425)*(E1425=E$2:E1425)))))-COUNTBLANK(OFFSET(A$1,,,SUMPRODUCT(MAX(ROW(E$1:E1424)*(E2=E$1:E1424))))))</f>
        <v> </v>
      </c>
      <c r="K1425" s="26" t="str">
        <f>IF(OR(E1425="",E1425="!!!",F1425="NEW"),"",INDEX(J$1:J1424,SUMPRODUCT(MAX(ROW(E$1:E1424)*(E1425=E$1:E1424)))))</f>
        <v> </v>
      </c>
      <c r="L1425" s="27"/>
    </row>
    <row r="1426" spans="1:12">
      <c r="A1426" s="20" t="s">
        <v>1364</v>
      </c>
      <c r="B1426" s="21" t="s">
        <v>739</v>
      </c>
      <c r="C1426" s="21" t="s">
        <v>748</v>
      </c>
      <c r="E1426" s="22">
        <f>IF(D1426="?OLD","!!!","")</f>
        <v/>
      </c>
      <c r="F1426" s="23" t="str">
        <f>IF(OR(E1426="",E1426="!!!"),"",IF(NOT(ISNA(VLOOKUP(E1426,E$1:E1425,1,FALSE()))),"OLD",IF(AND(E1426&lt;&gt;"",E1426&lt;&gt;"!!!"),"NEW","")))</f>
        <v> </v>
      </c>
      <c r="G1426" s="24" t="str">
        <f>IF(OR(E1426="",E1426="!!!"),"",IF(OR(J1426=0,AND(J1426=1,K1426=1),AND(J1426=1,I1426="SBJ"),AND(J1426=1,I1426=0)),"?IN_FOCUS",IF(J1426&lt;=2,"?ACTIVATED",IF(J1426&lt;&gt;"","?FAMILIAR",IF(F1426="NEW",IF(ISNA(VLOOKUP(E1426,#REF!,1,FALSE())),"?TYPE_IDENTIFIABLE","?REFERENTIAL"),"_")))))</f>
        <v> </v>
      </c>
      <c r="H1426" s="25" t="str">
        <f>IF(J1426&lt;&gt;1,"",IF(I1426="SBJ","CB","?"))</f>
        <v> </v>
      </c>
      <c r="I1426" s="26" t="str">
        <f>IF(OR(E1426="",E1426="!!!",F1426="NEW"),"",INDEX(B1425:B$2,-1+SUMPRODUCT(MAX(ROW(E1425:E$2)*(E1426=E1425:E$2)))))</f>
        <v> </v>
      </c>
      <c r="J1426" s="26" t="str">
        <f>IF(OR(E1426="",E1426="!!!",F1426="NEW"),"",COUNTBLANK(OFFSET(A$1,,,SUMPRODUCT(MAX(ROW(E$2:E1426)*(E1426=E$2:E1426)))))-COUNTBLANK(OFFSET(A$1,,,SUMPRODUCT(MAX(ROW(E$1:E1425)*(E2=E$1:E1425))))))</f>
        <v> </v>
      </c>
      <c r="K1426" s="26" t="str">
        <f>IF(OR(E1426="",E1426="!!!",F1426="NEW"),"",INDEX(J$1:J1425,SUMPRODUCT(MAX(ROW(E$1:E1425)*(E1426=E$1:E1425)))))</f>
        <v> </v>
      </c>
      <c r="L1426" s="27"/>
    </row>
    <row r="1427" spans="1:12">
      <c r="A1427" s="20" t="s">
        <v>759</v>
      </c>
      <c r="E1427" s="22">
        <f>IF(D1427="?OLD","!!!","")</f>
        <v/>
      </c>
      <c r="F1427" s="23" t="str">
        <f>IF(OR(E1427="",E1427="!!!"),"",IF(NOT(ISNA(VLOOKUP(E1427,E$1:E1426,1,FALSE()))),"OLD",IF(AND(E1427&lt;&gt;"",E1427&lt;&gt;"!!!"),"NEW","")))</f>
        <v> </v>
      </c>
      <c r="G1427" s="24" t="str">
        <f>IF(OR(E1427="",E1427="!!!"),"",IF(OR(J1427=0,AND(J1427=1,K1427=1),AND(J1427=1,I1427="SBJ"),AND(J1427=1,I1427=0)),"?IN_FOCUS",IF(J1427&lt;=2,"?ACTIVATED",IF(J1427&lt;&gt;"","?FAMILIAR",IF(F1427="NEW",IF(ISNA(VLOOKUP(E1427,#REF!,1,FALSE())),"?TYPE_IDENTIFIABLE","?REFERENTIAL"),"_")))))</f>
        <v> </v>
      </c>
      <c r="H1427" s="25" t="str">
        <f>IF(J1427&lt;&gt;1,"",IF(I1427="SBJ","CB","?"))</f>
        <v> </v>
      </c>
      <c r="I1427" s="26" t="str">
        <f>IF(OR(E1427="",E1427="!!!",F1427="NEW"),"",INDEX(B1426:B$2,-1+SUMPRODUCT(MAX(ROW(E1426:E$2)*(E1427=E1426:E$2)))))</f>
        <v> </v>
      </c>
      <c r="J1427" s="26" t="str">
        <f>IF(OR(E1427="",E1427="!!!",F1427="NEW"),"",COUNTBLANK(OFFSET(A$1,,,SUMPRODUCT(MAX(ROW(E$2:E1427)*(E1427=E$2:E1427)))))-COUNTBLANK(OFFSET(A$1,,,SUMPRODUCT(MAX(ROW(E$1:E1426)*(E2=E$1:E1426))))))</f>
        <v> </v>
      </c>
      <c r="K1427" s="26" t="str">
        <f>IF(OR(E1427="",E1427="!!!",F1427="NEW"),"",INDEX(J$1:J1426,SUMPRODUCT(MAX(ROW(E$1:E1426)*(E1427=E$1:E1426)))))</f>
        <v> </v>
      </c>
      <c r="L1427" s="27"/>
    </row>
    <row r="1428" spans="1:12">
      <c r="A1428" s="20" t="s">
        <v>922</v>
      </c>
      <c r="E1428" s="22">
        <f>IF(D1428="?OLD","!!!","")</f>
        <v/>
      </c>
      <c r="F1428" s="23" t="str">
        <f>IF(OR(E1428="",E1428="!!!"),"",IF(NOT(ISNA(VLOOKUP(E1428,E$1:E1427,1,FALSE()))),"OLD",IF(AND(E1428&lt;&gt;"",E1428&lt;&gt;"!!!"),"NEW","")))</f>
        <v> </v>
      </c>
      <c r="G1428" s="24" t="str">
        <f>IF(OR(E1428="",E1428="!!!"),"",IF(OR(J1428=0,AND(J1428=1,K1428=1),AND(J1428=1,I1428="SBJ"),AND(J1428=1,I1428=0)),"?IN_FOCUS",IF(J1428&lt;=2,"?ACTIVATED",IF(J1428&lt;&gt;"","?FAMILIAR",IF(F1428="NEW",IF(ISNA(VLOOKUP(E1428,#REF!,1,FALSE())),"?TYPE_IDENTIFIABLE","?REFERENTIAL"),"_")))))</f>
        <v> </v>
      </c>
      <c r="H1428" s="25" t="str">
        <f>IF(J1428&lt;&gt;1,"",IF(I1428="SBJ","CB","?"))</f>
        <v> </v>
      </c>
      <c r="I1428" s="26" t="str">
        <f>IF(OR(E1428="",E1428="!!!",F1428="NEW"),"",INDEX(B1427:B$2,-1+SUMPRODUCT(MAX(ROW(E1427:E$2)*(E1428=E1427:E$2)))))</f>
        <v> </v>
      </c>
      <c r="J1428" s="26" t="str">
        <f>IF(OR(E1428="",E1428="!!!",F1428="NEW"),"",COUNTBLANK(OFFSET(A$1,,,SUMPRODUCT(MAX(ROW(E$2:E1428)*(E1428=E$2:E1428)))))-COUNTBLANK(OFFSET(A$1,,,SUMPRODUCT(MAX(ROW(E$1:E1427)*(E2=E$1:E1427))))))</f>
        <v> </v>
      </c>
      <c r="K1428" s="26" t="str">
        <f>IF(OR(E1428="",E1428="!!!",F1428="NEW"),"",INDEX(J$1:J1427,SUMPRODUCT(MAX(ROW(E$1:E1427)*(E1428=E$1:E1427)))))</f>
        <v> </v>
      </c>
      <c r="L1428" s="27"/>
    </row>
    <row r="1429" spans="1:12">
      <c r="A1429" s="20" t="s">
        <v>1365</v>
      </c>
      <c r="E1429" s="22">
        <f>IF(D1429="?OLD","!!!","")</f>
        <v/>
      </c>
      <c r="F1429" s="23" t="str">
        <f>IF(OR(E1429="",E1429="!!!"),"",IF(NOT(ISNA(VLOOKUP(E1429,E$1:E1428,1,FALSE()))),"OLD",IF(AND(E1429&lt;&gt;"",E1429&lt;&gt;"!!!"),"NEW","")))</f>
        <v> </v>
      </c>
      <c r="G1429" s="24" t="str">
        <f>IF(OR(E1429="",E1429="!!!"),"",IF(OR(J1429=0,AND(J1429=1,K1429=1),AND(J1429=1,I1429="SBJ"),AND(J1429=1,I1429=0)),"?IN_FOCUS",IF(J1429&lt;=2,"?ACTIVATED",IF(J1429&lt;&gt;"","?FAMILIAR",IF(F1429="NEW",IF(ISNA(VLOOKUP(E1429,#REF!,1,FALSE())),"?TYPE_IDENTIFIABLE","?REFERENTIAL"),"_")))))</f>
        <v> </v>
      </c>
      <c r="H1429" s="25" t="str">
        <f>IF(J1429&lt;&gt;1,"",IF(I1429="SBJ","CB","?"))</f>
        <v> </v>
      </c>
      <c r="I1429" s="26" t="str">
        <f>IF(OR(E1429="",E1429="!!!",F1429="NEW"),"",INDEX(B1428:B$2,-1+SUMPRODUCT(MAX(ROW(E1428:E$2)*(E1429=E1428:E$2)))))</f>
        <v> </v>
      </c>
      <c r="J1429" s="26" t="str">
        <f>IF(OR(E1429="",E1429="!!!",F1429="NEW"),"",COUNTBLANK(OFFSET(A$1,,,SUMPRODUCT(MAX(ROW(E$2:E1429)*(E1429=E$2:E1429)))))-COUNTBLANK(OFFSET(A$1,,,SUMPRODUCT(MAX(ROW(E$1:E1428)*(E2=E$1:E1428))))))</f>
        <v> </v>
      </c>
      <c r="K1429" s="26" t="str">
        <f>IF(OR(E1429="",E1429="!!!",F1429="NEW"),"",INDEX(J$1:J1428,SUMPRODUCT(MAX(ROW(E$1:E1428)*(E1429=E$1:E1428)))))</f>
        <v> </v>
      </c>
      <c r="L1429" s="27"/>
    </row>
    <row r="1430" spans="1:12">
      <c r="A1430" s="20" t="s">
        <v>1168</v>
      </c>
      <c r="B1430" s="21" t="s">
        <v>739</v>
      </c>
      <c r="C1430" s="21" t="s">
        <v>737</v>
      </c>
      <c r="E1430" s="22">
        <f>IF(D1430="?OLD","!!!","")</f>
        <v/>
      </c>
      <c r="F1430" s="23" t="str">
        <f>IF(OR(E1430="",E1430="!!!"),"",IF(NOT(ISNA(VLOOKUP(E1430,E$1:E1429,1,FALSE()))),"OLD",IF(AND(E1430&lt;&gt;"",E1430&lt;&gt;"!!!"),"NEW","")))</f>
        <v> </v>
      </c>
      <c r="G1430" s="24" t="str">
        <f>IF(OR(E1430="",E1430="!!!"),"",IF(OR(J1430=0,AND(J1430=1,K1430=1),AND(J1430=1,I1430="SBJ"),AND(J1430=1,I1430=0)),"?IN_FOCUS",IF(J1430&lt;=2,"?ACTIVATED",IF(J1430&lt;&gt;"","?FAMILIAR",IF(F1430="NEW",IF(ISNA(VLOOKUP(E1430,#REF!,1,FALSE())),"?TYPE_IDENTIFIABLE","?REFERENTIAL"),"_")))))</f>
        <v> </v>
      </c>
      <c r="H1430" s="25" t="str">
        <f>IF(J1430&lt;&gt;1,"",IF(I1430="SBJ","CB","?"))</f>
        <v> </v>
      </c>
      <c r="I1430" s="26" t="str">
        <f>IF(OR(E1430="",E1430="!!!",F1430="NEW"),"",INDEX(B1429:B$2,-1+SUMPRODUCT(MAX(ROW(E1429:E$2)*(E1430=E1429:E$2)))))</f>
        <v> </v>
      </c>
      <c r="J1430" s="26" t="str">
        <f>IF(OR(E1430="",E1430="!!!",F1430="NEW"),"",COUNTBLANK(OFFSET(A$1,,,SUMPRODUCT(MAX(ROW(E$2:E1430)*(E1430=E$2:E1430)))))-COUNTBLANK(OFFSET(A$1,,,SUMPRODUCT(MAX(ROW(E$1:E1429)*(E2=E$1:E1429))))))</f>
        <v> </v>
      </c>
      <c r="K1430" s="26" t="str">
        <f>IF(OR(E1430="",E1430="!!!",F1430="NEW"),"",INDEX(J$1:J1429,SUMPRODUCT(MAX(ROW(E$1:E1429)*(E1430=E$1:E1429)))))</f>
        <v> </v>
      </c>
      <c r="L1430" s="27"/>
    </row>
    <row r="1431" spans="1:12">
      <c r="A1431" s="20" t="s">
        <v>246</v>
      </c>
      <c r="E1431" s="22">
        <f>IF(D1431="?OLD","!!!","")</f>
        <v/>
      </c>
      <c r="F1431" s="23" t="str">
        <f>IF(OR(E1431="",E1431="!!!"),"",IF(NOT(ISNA(VLOOKUP(E1431,E$1:E1430,1,FALSE()))),"OLD",IF(AND(E1431&lt;&gt;"",E1431&lt;&gt;"!!!"),"NEW","")))</f>
        <v> </v>
      </c>
      <c r="G1431" s="24" t="str">
        <f>IF(OR(E1431="",E1431="!!!"),"",IF(OR(J1431=0,AND(J1431=1,K1431=1),AND(J1431=1,I1431="SBJ"),AND(J1431=1,I1431=0)),"?IN_FOCUS",IF(J1431&lt;=2,"?ACTIVATED",IF(J1431&lt;&gt;"","?FAMILIAR",IF(F1431="NEW",IF(ISNA(VLOOKUP(E1431,#REF!,1,FALSE())),"?TYPE_IDENTIFIABLE","?REFERENTIAL"),"_")))))</f>
        <v> </v>
      </c>
      <c r="H1431" s="25" t="str">
        <f>IF(J1431&lt;&gt;1,"",IF(I1431="SBJ","CB","?"))</f>
        <v> </v>
      </c>
      <c r="I1431" s="26" t="str">
        <f>IF(OR(E1431="",E1431="!!!",F1431="NEW"),"",INDEX(B1430:B$2,-1+SUMPRODUCT(MAX(ROW(E1430:E$2)*(E1431=E1430:E$2)))))</f>
        <v> </v>
      </c>
      <c r="J1431" s="26" t="str">
        <f>IF(OR(E1431="",E1431="!!!",F1431="NEW"),"",COUNTBLANK(OFFSET(A$1,,,SUMPRODUCT(MAX(ROW(E$2:E1431)*(E1431=E$2:E1431)))))-COUNTBLANK(OFFSET(A$1,,,SUMPRODUCT(MAX(ROW(E$1:E1430)*(E2=E$1:E1430))))))</f>
        <v> </v>
      </c>
      <c r="K1431" s="26" t="str">
        <f>IF(OR(E1431="",E1431="!!!",F1431="NEW"),"",INDEX(J$1:J1430,SUMPRODUCT(MAX(ROW(E$1:E1430)*(E1431=E$1:E1430)))))</f>
        <v> </v>
      </c>
      <c r="L1431" s="27"/>
    </row>
    <row r="1432" spans="1:12">
      <c r="A1432" s="20"/>
    </row>
    <row r="1433" spans="1:12">
      <c r="A1433" s="20" t="s">
        <v>1366</v>
      </c>
    </row>
    <row r="1434" spans="1:12">
      <c r="A1434" s="20" t="s">
        <v>1367</v>
      </c>
      <c r="E1434" s="22">
        <f>IF(D1434="?OLD","!!!","")</f>
        <v/>
      </c>
      <c r="F1434" s="23" t="str">
        <f>IF(OR(E1434="",E1434="!!!"),"",IF(NOT(ISNA(VLOOKUP(E1434,E$1:E1433,1,FALSE()))),"OLD",IF(AND(E1434&lt;&gt;"",E1434&lt;&gt;"!!!"),"NEW","")))</f>
        <v> </v>
      </c>
      <c r="G1434" s="24" t="str">
        <f>IF(OR(E1434="",E1434="!!!"),"",IF(OR(J1434=0,AND(J1434=1,K1434=1),AND(J1434=1,I1434="SBJ"),AND(J1434=1,I1434=0)),"?IN_FOCUS",IF(J1434&lt;=2,"?ACTIVATED",IF(J1434&lt;&gt;"","?FAMILIAR",IF(F1434="NEW",IF(ISNA(VLOOKUP(E1434,#REF!,1,FALSE())),"?TYPE_IDENTIFIABLE","?REFERENTIAL"),"_")))))</f>
        <v> </v>
      </c>
      <c r="H1434" s="25" t="str">
        <f>IF(J1434&lt;&gt;1,"",IF(I1434="SBJ","CB","?"))</f>
        <v> </v>
      </c>
      <c r="I1434" s="26" t="str">
        <f>IF(OR(E1434="",E1434="!!!",F1434="NEW"),"",INDEX(B1433:B$2,-1+SUMPRODUCT(MAX(ROW(E1433:E$2)*(E1434=E1433:E$2)))))</f>
        <v> </v>
      </c>
      <c r="J1434" s="26" t="str">
        <f>IF(OR(E1434="",E1434="!!!",F1434="NEW"),"",COUNTBLANK(OFFSET(A$1,,,SUMPRODUCT(MAX(ROW(E$2:E1434)*(E1434=E$2:E1434)))))-COUNTBLANK(OFFSET(A$1,,,SUMPRODUCT(MAX(ROW(E$1:E1433)*(E2=E$1:E1433))))))</f>
        <v> </v>
      </c>
      <c r="K1434" s="26" t="str">
        <f>IF(OR(E1434="",E1434="!!!",F1434="NEW"),"",INDEX(J$1:J1433,SUMPRODUCT(MAX(ROW(E$1:E1433)*(E1434=E$1:E1433)))))</f>
        <v> </v>
      </c>
      <c r="L1434" s="27"/>
    </row>
    <row r="1435" spans="1:12">
      <c r="A1435" s="20" t="s">
        <v>1023</v>
      </c>
      <c r="E1435" s="22">
        <f>IF(D1435="?OLD","!!!","")</f>
        <v/>
      </c>
      <c r="F1435" s="23" t="str">
        <f>IF(OR(E1435="",E1435="!!!"),"",IF(NOT(ISNA(VLOOKUP(E1435,E$1:E1434,1,FALSE()))),"OLD",IF(AND(E1435&lt;&gt;"",E1435&lt;&gt;"!!!"),"NEW","")))</f>
        <v> </v>
      </c>
      <c r="G1435" s="24" t="str">
        <f>IF(OR(E1435="",E1435="!!!"),"",IF(OR(J1435=0,AND(J1435=1,K1435=1),AND(J1435=1,I1435="SBJ"),AND(J1435=1,I1435=0)),"?IN_FOCUS",IF(J1435&lt;=2,"?ACTIVATED",IF(J1435&lt;&gt;"","?FAMILIAR",IF(F1435="NEW",IF(ISNA(VLOOKUP(E1435,#REF!,1,FALSE())),"?TYPE_IDENTIFIABLE","?REFERENTIAL"),"_")))))</f>
        <v> </v>
      </c>
      <c r="H1435" s="25" t="str">
        <f>IF(J1435&lt;&gt;1,"",IF(I1435="SBJ","CB","?"))</f>
        <v> </v>
      </c>
      <c r="I1435" s="26" t="str">
        <f>IF(OR(E1435="",E1435="!!!",F1435="NEW"),"",INDEX(B1434:B$2,-1+SUMPRODUCT(MAX(ROW(E1434:E$2)*(E1435=E1434:E$2)))))</f>
        <v> </v>
      </c>
      <c r="J1435" s="26" t="str">
        <f>IF(OR(E1435="",E1435="!!!",F1435="NEW"),"",COUNTBLANK(OFFSET(A$1,,,SUMPRODUCT(MAX(ROW(E$2:E1435)*(E1435=E$2:E1435)))))-COUNTBLANK(OFFSET(A$1,,,SUMPRODUCT(MAX(ROW(E$1:E1434)*(E2=E$1:E1434))))))</f>
        <v> </v>
      </c>
      <c r="K1435" s="26" t="str">
        <f>IF(OR(E1435="",E1435="!!!",F1435="NEW"),"",INDEX(J$1:J1434,SUMPRODUCT(MAX(ROW(E$1:E1434)*(E1435=E$1:E1434)))))</f>
        <v> </v>
      </c>
      <c r="L1435" s="27"/>
    </row>
    <row r="1436" spans="1:12">
      <c r="A1436" s="20" t="s">
        <v>1368</v>
      </c>
      <c r="E1436" s="22">
        <f>IF(D1436="?OLD","!!!","")</f>
        <v/>
      </c>
      <c r="F1436" s="23" t="str">
        <f>IF(OR(E1436="",E1436="!!!"),"",IF(NOT(ISNA(VLOOKUP(E1436,E$1:E1435,1,FALSE()))),"OLD",IF(AND(E1436&lt;&gt;"",E1436&lt;&gt;"!!!"),"NEW","")))</f>
        <v> </v>
      </c>
      <c r="G1436" s="24" t="str">
        <f>IF(OR(E1436="",E1436="!!!"),"",IF(OR(J1436=0,AND(J1436=1,K1436=1),AND(J1436=1,I1436="SBJ"),AND(J1436=1,I1436=0)),"?IN_FOCUS",IF(J1436&lt;=2,"?ACTIVATED",IF(J1436&lt;&gt;"","?FAMILIAR",IF(F1436="NEW",IF(ISNA(VLOOKUP(E1436,#REF!,1,FALSE())),"?TYPE_IDENTIFIABLE","?REFERENTIAL"),"_")))))</f>
        <v> </v>
      </c>
      <c r="H1436" s="25" t="str">
        <f>IF(J1436&lt;&gt;1,"",IF(I1436="SBJ","CB","?"))</f>
        <v> </v>
      </c>
      <c r="I1436" s="26" t="str">
        <f>IF(OR(E1436="",E1436="!!!",F1436="NEW"),"",INDEX(B1435:B$2,-1+SUMPRODUCT(MAX(ROW(E1435:E$2)*(E1436=E1435:E$2)))))</f>
        <v> </v>
      </c>
      <c r="J1436" s="26" t="str">
        <f>IF(OR(E1436="",E1436="!!!",F1436="NEW"),"",COUNTBLANK(OFFSET(A$1,,,SUMPRODUCT(MAX(ROW(E$2:E1436)*(E1436=E$2:E1436)))))-COUNTBLANK(OFFSET(A$1,,,SUMPRODUCT(MAX(ROW(E$1:E1435)*(E2=E$1:E1435))))))</f>
        <v> </v>
      </c>
      <c r="K1436" s="26" t="str">
        <f>IF(OR(E1436="",E1436="!!!",F1436="NEW"),"",INDEX(J$1:J1435,SUMPRODUCT(MAX(ROW(E$1:E1435)*(E1436=E$1:E1435)))))</f>
        <v> </v>
      </c>
      <c r="L1436" s="27"/>
    </row>
    <row r="1437" spans="1:12">
      <c r="A1437" s="20" t="s">
        <v>750</v>
      </c>
      <c r="B1437" s="21" t="s">
        <v>728</v>
      </c>
      <c r="C1437" s="21" t="s">
        <v>729</v>
      </c>
      <c r="D1437" s="21" t="s">
        <v>730</v>
      </c>
      <c r="E1437" s="22">
        <f>IF(D1437="?OLD","!!!","")</f>
        <v/>
      </c>
      <c r="F1437" s="23" t="str">
        <f>IF(OR(E1437="",E1437="!!!"),"",IF(NOT(ISNA(VLOOKUP(E1437,E$1:E1436,1,FALSE()))),"OLD",IF(AND(E1437&lt;&gt;"",E1437&lt;&gt;"!!!"),"NEW","")))</f>
        <v> </v>
      </c>
      <c r="G1437" s="24" t="str">
        <f>IF(OR(E1437="",E1437="!!!"),"",IF(OR(J1437=0,AND(J1437=1,K1437=1),AND(J1437=1,I1437="SBJ"),AND(J1437=1,I1437=0)),"?IN_FOCUS",IF(J1437&lt;=2,"?ACTIVATED",IF(J1437&lt;&gt;"","?FAMILIAR",IF(F1437="NEW",IF(ISNA(VLOOKUP(E1437,#REF!,1,FALSE())),"?TYPE_IDENTIFIABLE","?REFERENTIAL"),"_")))))</f>
        <v> </v>
      </c>
      <c r="H1437" s="25" t="str">
        <f>IF(J1437&lt;&gt;1,"",IF(I1437="SBJ","CB","?"))</f>
        <v> </v>
      </c>
      <c r="I1437" s="26" t="str">
        <f>IF(OR(E1437="",E1437="!!!",F1437="NEW"),"",INDEX(B1436:B$2,-1+SUMPRODUCT(MAX(ROW(E1436:E$2)*(E1437=E1436:E$2)))))</f>
        <v> </v>
      </c>
      <c r="J1437" s="26" t="str">
        <f>IF(OR(E1437="",E1437="!!!",F1437="NEW"),"",COUNTBLANK(OFFSET(A$1,,,SUMPRODUCT(MAX(ROW(E$2:E1437)*(E1437=E$2:E1437)))))-COUNTBLANK(OFFSET(A$1,,,SUMPRODUCT(MAX(ROW(E$1:E1436)*(E2=E$1:E1436))))))</f>
        <v> </v>
      </c>
      <c r="K1437" s="26" t="str">
        <f>IF(OR(E1437="",E1437="!!!",F1437="NEW"),"",INDEX(J$1:J1436,SUMPRODUCT(MAX(ROW(E$1:E1436)*(E1437=E$1:E1436)))))</f>
        <v> </v>
      </c>
      <c r="L1437" s="27"/>
    </row>
    <row r="1438" spans="1:12">
      <c r="A1438" s="20" t="s">
        <v>1309</v>
      </c>
      <c r="E1438" s="22">
        <f>IF(D1438="?OLD","!!!","")</f>
        <v/>
      </c>
      <c r="F1438" s="23" t="str">
        <f>IF(OR(E1438="",E1438="!!!"),"",IF(NOT(ISNA(VLOOKUP(E1438,E$1:E1437,1,FALSE()))),"OLD",IF(AND(E1438&lt;&gt;"",E1438&lt;&gt;"!!!"),"NEW","")))</f>
        <v> </v>
      </c>
      <c r="G1438" s="24" t="str">
        <f>IF(OR(E1438="",E1438="!!!"),"",IF(OR(J1438=0,AND(J1438=1,K1438=1),AND(J1438=1,I1438="SBJ"),AND(J1438=1,I1438=0)),"?IN_FOCUS",IF(J1438&lt;=2,"?ACTIVATED",IF(J1438&lt;&gt;"","?FAMILIAR",IF(F1438="NEW",IF(ISNA(VLOOKUP(E1438,#REF!,1,FALSE())),"?TYPE_IDENTIFIABLE","?REFERENTIAL"),"_")))))</f>
        <v> </v>
      </c>
      <c r="H1438" s="25" t="str">
        <f>IF(J1438&lt;&gt;1,"",IF(I1438="SBJ","CB","?"))</f>
        <v> </v>
      </c>
      <c r="I1438" s="26" t="str">
        <f>IF(OR(E1438="",E1438="!!!",F1438="NEW"),"",INDEX(B1437:B$2,-1+SUMPRODUCT(MAX(ROW(E1437:E$2)*(E1438=E1437:E$2)))))</f>
        <v> </v>
      </c>
      <c r="J1438" s="26" t="str">
        <f>IF(OR(E1438="",E1438="!!!",F1438="NEW"),"",COUNTBLANK(OFFSET(A$1,,,SUMPRODUCT(MAX(ROW(E$2:E1438)*(E1438=E$2:E1438)))))-COUNTBLANK(OFFSET(A$1,,,SUMPRODUCT(MAX(ROW(E$1:E1437)*(E2=E$1:E1437))))))</f>
        <v> </v>
      </c>
      <c r="K1438" s="26" t="str">
        <f>IF(OR(E1438="",E1438="!!!",F1438="NEW"),"",INDEX(J$1:J1437,SUMPRODUCT(MAX(ROW(E$1:E1437)*(E1438=E$1:E1437)))))</f>
        <v> </v>
      </c>
      <c r="L1438" s="27"/>
    </row>
    <row r="1439" spans="1:12">
      <c r="A1439" s="20" t="s">
        <v>754</v>
      </c>
      <c r="B1439" s="21" t="s">
        <v>739</v>
      </c>
      <c r="C1439" s="21" t="s">
        <v>756</v>
      </c>
      <c r="E1439" s="22">
        <f>IF(D1439="?OLD","!!!","")</f>
        <v/>
      </c>
      <c r="F1439" s="23" t="str">
        <f>IF(OR(E1439="",E1439="!!!"),"",IF(NOT(ISNA(VLOOKUP(E1439,E$1:E1438,1,FALSE()))),"OLD",IF(AND(E1439&lt;&gt;"",E1439&lt;&gt;"!!!"),"NEW","")))</f>
        <v> </v>
      </c>
      <c r="G1439" s="24" t="str">
        <f>IF(OR(E1439="",E1439="!!!"),"",IF(OR(J1439=0,AND(J1439=1,K1439=1),AND(J1439=1,I1439="SBJ"),AND(J1439=1,I1439=0)),"?IN_FOCUS",IF(J1439&lt;=2,"?ACTIVATED",IF(J1439&lt;&gt;"","?FAMILIAR",IF(F1439="NEW",IF(ISNA(VLOOKUP(E1439,#REF!,1,FALSE())),"?TYPE_IDENTIFIABLE","?REFERENTIAL"),"_")))))</f>
        <v> </v>
      </c>
      <c r="H1439" s="25" t="str">
        <f>IF(J1439&lt;&gt;1,"",IF(I1439="SBJ","CB","?"))</f>
        <v> </v>
      </c>
      <c r="I1439" s="26" t="str">
        <f>IF(OR(E1439="",E1439="!!!",F1439="NEW"),"",INDEX(B1438:B$2,-1+SUMPRODUCT(MAX(ROW(E1438:E$2)*(E1439=E1438:E$2)))))</f>
        <v> </v>
      </c>
      <c r="J1439" s="26" t="str">
        <f>IF(OR(E1439="",E1439="!!!",F1439="NEW"),"",COUNTBLANK(OFFSET(A$1,,,SUMPRODUCT(MAX(ROW(E$2:E1439)*(E1439=E$2:E1439)))))-COUNTBLANK(OFFSET(A$1,,,SUMPRODUCT(MAX(ROW(E$1:E1438)*(E2=E$1:E1438))))))</f>
        <v> </v>
      </c>
      <c r="K1439" s="26" t="str">
        <f>IF(OR(E1439="",E1439="!!!",F1439="NEW"),"",INDEX(J$1:J1438,SUMPRODUCT(MAX(ROW(E$1:E1438)*(E1439=E$1:E1438)))))</f>
        <v> </v>
      </c>
      <c r="L1439" s="27"/>
    </row>
    <row r="1440" spans="1:12">
      <c r="A1440" s="20" t="s">
        <v>751</v>
      </c>
      <c r="E1440" s="22">
        <f>IF(D1440="?OLD","!!!","")</f>
        <v/>
      </c>
      <c r="F1440" s="23" t="str">
        <f>IF(OR(E1440="",E1440="!!!"),"",IF(NOT(ISNA(VLOOKUP(E1440,E$1:E1439,1,FALSE()))),"OLD",IF(AND(E1440&lt;&gt;"",E1440&lt;&gt;"!!!"),"NEW","")))</f>
        <v> </v>
      </c>
      <c r="G1440" s="24" t="str">
        <f>IF(OR(E1440="",E1440="!!!"),"",IF(OR(J1440=0,AND(J1440=1,K1440=1),AND(J1440=1,I1440="SBJ"),AND(J1440=1,I1440=0)),"?IN_FOCUS",IF(J1440&lt;=2,"?ACTIVATED",IF(J1440&lt;&gt;"","?FAMILIAR",IF(F1440="NEW",IF(ISNA(VLOOKUP(E1440,#REF!,1,FALSE())),"?TYPE_IDENTIFIABLE","?REFERENTIAL"),"_")))))</f>
        <v> </v>
      </c>
      <c r="H1440" s="25" t="str">
        <f>IF(J1440&lt;&gt;1,"",IF(I1440="SBJ","CB","?"))</f>
        <v> </v>
      </c>
      <c r="I1440" s="26" t="str">
        <f>IF(OR(E1440="",E1440="!!!",F1440="NEW"),"",INDEX(B1439:B$2,-1+SUMPRODUCT(MAX(ROW(E1439:E$2)*(E1440=E1439:E$2)))))</f>
        <v> </v>
      </c>
      <c r="J1440" s="26" t="str">
        <f>IF(OR(E1440="",E1440="!!!",F1440="NEW"),"",COUNTBLANK(OFFSET(A$1,,,SUMPRODUCT(MAX(ROW(E$2:E1440)*(E1440=E$2:E1440)))))-COUNTBLANK(OFFSET(A$1,,,SUMPRODUCT(MAX(ROW(E$1:E1439)*(E2=E$1:E1439))))))</f>
        <v> </v>
      </c>
      <c r="K1440" s="26" t="str">
        <f>IF(OR(E1440="",E1440="!!!",F1440="NEW"),"",INDEX(J$1:J1439,SUMPRODUCT(MAX(ROW(E$1:E1439)*(E1440=E$1:E1439)))))</f>
        <v> </v>
      </c>
      <c r="L1440" s="27"/>
    </row>
    <row r="1441" spans="1:12">
      <c r="A1441" s="20" t="s">
        <v>1055</v>
      </c>
      <c r="E1441" s="22">
        <f>IF(D1441="?OLD","!!!","")</f>
        <v/>
      </c>
      <c r="F1441" s="23" t="str">
        <f>IF(OR(E1441="",E1441="!!!"),"",IF(NOT(ISNA(VLOOKUP(E1441,E$1:E1440,1,FALSE()))),"OLD",IF(AND(E1441&lt;&gt;"",E1441&lt;&gt;"!!!"),"NEW","")))</f>
        <v> </v>
      </c>
      <c r="G1441" s="24" t="str">
        <f>IF(OR(E1441="",E1441="!!!"),"",IF(OR(J1441=0,AND(J1441=1,K1441=1),AND(J1441=1,I1441="SBJ"),AND(J1441=1,I1441=0)),"?IN_FOCUS",IF(J1441&lt;=2,"?ACTIVATED",IF(J1441&lt;&gt;"","?FAMILIAR",IF(F1441="NEW",IF(ISNA(VLOOKUP(E1441,#REF!,1,FALSE())),"?TYPE_IDENTIFIABLE","?REFERENTIAL"),"_")))))</f>
        <v> </v>
      </c>
      <c r="H1441" s="25" t="str">
        <f>IF(J1441&lt;&gt;1,"",IF(I1441="SBJ","CB","?"))</f>
        <v> </v>
      </c>
      <c r="I1441" s="26" t="str">
        <f>IF(OR(E1441="",E1441="!!!",F1441="NEW"),"",INDEX(B1440:B$2,-1+SUMPRODUCT(MAX(ROW(E1440:E$2)*(E1441=E1440:E$2)))))</f>
        <v> </v>
      </c>
      <c r="J1441" s="26" t="str">
        <f>IF(OR(E1441="",E1441="!!!",F1441="NEW"),"",COUNTBLANK(OFFSET(A$1,,,SUMPRODUCT(MAX(ROW(E$2:E1441)*(E1441=E$2:E1441)))))-COUNTBLANK(OFFSET(A$1,,,SUMPRODUCT(MAX(ROW(E$1:E1440)*(E2=E$1:E1440))))))</f>
        <v> </v>
      </c>
      <c r="K1441" s="26" t="str">
        <f>IF(OR(E1441="",E1441="!!!",F1441="NEW"),"",INDEX(J$1:J1440,SUMPRODUCT(MAX(ROW(E$1:E1440)*(E1441=E$1:E1440)))))</f>
        <v> </v>
      </c>
      <c r="L1441" s="27"/>
    </row>
    <row r="1442" spans="1:12">
      <c r="A1442" s="20" t="s">
        <v>1369</v>
      </c>
      <c r="B1442" s="21" t="s">
        <v>736</v>
      </c>
      <c r="C1442" s="21" t="s">
        <v>753</v>
      </c>
      <c r="D1442" s="21" t="s">
        <v>730</v>
      </c>
      <c r="E1442" s="22">
        <f>IF(D1442="?OLD","!!!","")</f>
        <v/>
      </c>
      <c r="F1442" s="23" t="str">
        <f>IF(OR(E1442="",E1442="!!!"),"",IF(NOT(ISNA(VLOOKUP(E1442,E$1:E1441,1,FALSE()))),"OLD",IF(AND(E1442&lt;&gt;"",E1442&lt;&gt;"!!!"),"NEW","")))</f>
        <v> </v>
      </c>
      <c r="G1442" s="24" t="str">
        <f>IF(OR(E1442="",E1442="!!!"),"",IF(OR(J1442=0,AND(J1442=1,K1442=1),AND(J1442=1,I1442="SBJ"),AND(J1442=1,I1442=0)),"?IN_FOCUS",IF(J1442&lt;=2,"?ACTIVATED",IF(J1442&lt;&gt;"","?FAMILIAR",IF(F1442="NEW",IF(ISNA(VLOOKUP(E1442,#REF!,1,FALSE())),"?TYPE_IDENTIFIABLE","?REFERENTIAL"),"_")))))</f>
        <v> </v>
      </c>
      <c r="H1442" s="25" t="str">
        <f>IF(J1442&lt;&gt;1,"",IF(I1442="SBJ","CB","?"))</f>
        <v> </v>
      </c>
      <c r="I1442" s="26" t="str">
        <f>IF(OR(E1442="",E1442="!!!",F1442="NEW"),"",INDEX(B1441:B$2,-1+SUMPRODUCT(MAX(ROW(E1441:E$2)*(E1442=E1441:E$2)))))</f>
        <v> </v>
      </c>
      <c r="J1442" s="26" t="str">
        <f>IF(OR(E1442="",E1442="!!!",F1442="NEW"),"",COUNTBLANK(OFFSET(A$1,,,SUMPRODUCT(MAX(ROW(E$2:E1442)*(E1442=E$2:E1442)))))-COUNTBLANK(OFFSET(A$1,,,SUMPRODUCT(MAX(ROW(E$1:E1441)*(E2=E$1:E1441))))))</f>
        <v> </v>
      </c>
      <c r="K1442" s="26" t="str">
        <f>IF(OR(E1442="",E1442="!!!",F1442="NEW"),"",INDEX(J$1:J1441,SUMPRODUCT(MAX(ROW(E$1:E1441)*(E1442=E$1:E1441)))))</f>
        <v> </v>
      </c>
      <c r="L1442" s="27"/>
    </row>
    <row r="1443" spans="1:12">
      <c r="A1443" s="20" t="s">
        <v>757</v>
      </c>
      <c r="E1443" s="22">
        <f>IF(D1443="?OLD","!!!","")</f>
        <v/>
      </c>
      <c r="F1443" s="23" t="str">
        <f>IF(OR(E1443="",E1443="!!!"),"",IF(NOT(ISNA(VLOOKUP(E1443,E$1:E1442,1,FALSE()))),"OLD",IF(AND(E1443&lt;&gt;"",E1443&lt;&gt;"!!!"),"NEW","")))</f>
        <v> </v>
      </c>
      <c r="G1443" s="24" t="str">
        <f>IF(OR(E1443="",E1443="!!!"),"",IF(OR(J1443=0,AND(J1443=1,K1443=1),AND(J1443=1,I1443="SBJ"),AND(J1443=1,I1443=0)),"?IN_FOCUS",IF(J1443&lt;=2,"?ACTIVATED",IF(J1443&lt;&gt;"","?FAMILIAR",IF(F1443="NEW",IF(ISNA(VLOOKUP(E1443,#REF!,1,FALSE())),"?TYPE_IDENTIFIABLE","?REFERENTIAL"),"_")))))</f>
        <v> </v>
      </c>
      <c r="H1443" s="25" t="str">
        <f>IF(J1443&lt;&gt;1,"",IF(I1443="SBJ","CB","?"))</f>
        <v> </v>
      </c>
      <c r="I1443" s="26" t="str">
        <f>IF(OR(E1443="",E1443="!!!",F1443="NEW"),"",INDEX(B1442:B$2,-1+SUMPRODUCT(MAX(ROW(E1442:E$2)*(E1443=E1442:E$2)))))</f>
        <v> </v>
      </c>
      <c r="J1443" s="26" t="str">
        <f>IF(OR(E1443="",E1443="!!!",F1443="NEW"),"",COUNTBLANK(OFFSET(A$1,,,SUMPRODUCT(MAX(ROW(E$2:E1443)*(E1443=E$2:E1443)))))-COUNTBLANK(OFFSET(A$1,,,SUMPRODUCT(MAX(ROW(E$1:E1442)*(E2=E$1:E1442))))))</f>
        <v> </v>
      </c>
      <c r="K1443" s="26" t="str">
        <f>IF(OR(E1443="",E1443="!!!",F1443="NEW"),"",INDEX(J$1:J1442,SUMPRODUCT(MAX(ROW(E$1:E1442)*(E1443=E$1:E1442)))))</f>
        <v> </v>
      </c>
      <c r="L1443" s="27"/>
    </row>
    <row r="1444" spans="1:12">
      <c r="A1444" s="20" t="s">
        <v>1370</v>
      </c>
      <c r="B1444" s="21" t="s">
        <v>739</v>
      </c>
      <c r="C1444" s="21" t="s">
        <v>740</v>
      </c>
      <c r="D1444" s="21" t="s">
        <v>730</v>
      </c>
      <c r="E1444" s="22">
        <f>IF(D1444="?OLD","!!!","")</f>
        <v/>
      </c>
      <c r="F1444" s="23" t="str">
        <f>IF(OR(E1444="",E1444="!!!"),"",IF(NOT(ISNA(VLOOKUP(E1444,E$1:E1443,1,FALSE()))),"OLD",IF(AND(E1444&lt;&gt;"",E1444&lt;&gt;"!!!"),"NEW","")))</f>
        <v> </v>
      </c>
      <c r="G1444" s="24" t="str">
        <f>IF(OR(E1444="",E1444="!!!"),"",IF(OR(J1444=0,AND(J1444=1,K1444=1),AND(J1444=1,I1444="SBJ"),AND(J1444=1,I1444=0)),"?IN_FOCUS",IF(J1444&lt;=2,"?ACTIVATED",IF(J1444&lt;&gt;"","?FAMILIAR",IF(F1444="NEW",IF(ISNA(VLOOKUP(E1444,#REF!,1,FALSE())),"?TYPE_IDENTIFIABLE","?REFERENTIAL"),"_")))))</f>
        <v> </v>
      </c>
      <c r="H1444" s="25" t="str">
        <f>IF(J1444&lt;&gt;1,"",IF(I1444="SBJ","CB","?"))</f>
        <v> </v>
      </c>
      <c r="I1444" s="26" t="str">
        <f>IF(OR(E1444="",E1444="!!!",F1444="NEW"),"",INDEX(B1443:B$2,-1+SUMPRODUCT(MAX(ROW(E1443:E$2)*(E1444=E1443:E$2)))))</f>
        <v> </v>
      </c>
      <c r="J1444" s="26" t="str">
        <f>IF(OR(E1444="",E1444="!!!",F1444="NEW"),"",COUNTBLANK(OFFSET(A$1,,,SUMPRODUCT(MAX(ROW(E$2:E1444)*(E1444=E$2:E1444)))))-COUNTBLANK(OFFSET(A$1,,,SUMPRODUCT(MAX(ROW(E$1:E1443)*(E2=E$1:E1443))))))</f>
        <v> </v>
      </c>
      <c r="K1444" s="26" t="str">
        <f>IF(OR(E1444="",E1444="!!!",F1444="NEW"),"",INDEX(J$1:J1443,SUMPRODUCT(MAX(ROW(E$1:E1443)*(E1444=E$1:E1443)))))</f>
        <v> </v>
      </c>
      <c r="L1444" s="27"/>
    </row>
    <row r="1445" spans="1:12">
      <c r="A1445" s="20" t="s">
        <v>289</v>
      </c>
      <c r="E1445" s="22">
        <f>IF(D1445="?OLD","!!!","")</f>
        <v/>
      </c>
      <c r="F1445" s="23" t="str">
        <f>IF(OR(E1445="",E1445="!!!"),"",IF(NOT(ISNA(VLOOKUP(E1445,E$1:E1444,1,FALSE()))),"OLD",IF(AND(E1445&lt;&gt;"",E1445&lt;&gt;"!!!"),"NEW","")))</f>
        <v> </v>
      </c>
      <c r="G1445" s="24" t="str">
        <f>IF(OR(E1445="",E1445="!!!"),"",IF(OR(J1445=0,AND(J1445=1,K1445=1),AND(J1445=1,I1445="SBJ"),AND(J1445=1,I1445=0)),"?IN_FOCUS",IF(J1445&lt;=2,"?ACTIVATED",IF(J1445&lt;&gt;"","?FAMILIAR",IF(F1445="NEW",IF(ISNA(VLOOKUP(E1445,#REF!,1,FALSE())),"?TYPE_IDENTIFIABLE","?REFERENTIAL"),"_")))))</f>
        <v> </v>
      </c>
      <c r="H1445" s="25" t="str">
        <f>IF(J1445&lt;&gt;1,"",IF(I1445="SBJ","CB","?"))</f>
        <v> </v>
      </c>
      <c r="I1445" s="26" t="str">
        <f>IF(OR(E1445="",E1445="!!!",F1445="NEW"),"",INDEX(B1444:B$2,-1+SUMPRODUCT(MAX(ROW(E1444:E$2)*(E1445=E1444:E$2)))))</f>
        <v> </v>
      </c>
      <c r="J1445" s="26" t="str">
        <f>IF(OR(E1445="",E1445="!!!",F1445="NEW"),"",COUNTBLANK(OFFSET(A$1,,,SUMPRODUCT(MAX(ROW(E$2:E1445)*(E1445=E$2:E1445)))))-COUNTBLANK(OFFSET(A$1,,,SUMPRODUCT(MAX(ROW(E$1:E1444)*(E2=E$1:E1444))))))</f>
        <v> </v>
      </c>
      <c r="K1445" s="26" t="str">
        <f>IF(OR(E1445="",E1445="!!!",F1445="NEW"),"",INDEX(J$1:J1444,SUMPRODUCT(MAX(ROW(E$1:E1444)*(E1445=E$1:E1444)))))</f>
        <v> </v>
      </c>
      <c r="L1445" s="27"/>
    </row>
    <row r="1446" spans="1:12">
      <c r="A1446" s="20" t="s">
        <v>246</v>
      </c>
      <c r="E1446" s="22">
        <f>IF(D1446="?OLD","!!!","")</f>
        <v/>
      </c>
      <c r="F1446" s="23" t="str">
        <f>IF(OR(E1446="",E1446="!!!"),"",IF(NOT(ISNA(VLOOKUP(E1446,E$1:E1445,1,FALSE()))),"OLD",IF(AND(E1446&lt;&gt;"",E1446&lt;&gt;"!!!"),"NEW","")))</f>
        <v> </v>
      </c>
      <c r="G1446" s="24" t="str">
        <f>IF(OR(E1446="",E1446="!!!"),"",IF(OR(J1446=0,AND(J1446=1,K1446=1),AND(J1446=1,I1446="SBJ"),AND(J1446=1,I1446=0)),"?IN_FOCUS",IF(J1446&lt;=2,"?ACTIVATED",IF(J1446&lt;&gt;"","?FAMILIAR",IF(F1446="NEW",IF(ISNA(VLOOKUP(E1446,#REF!,1,FALSE())),"?TYPE_IDENTIFIABLE","?REFERENTIAL"),"_")))))</f>
        <v> </v>
      </c>
      <c r="H1446" s="25" t="str">
        <f>IF(J1446&lt;&gt;1,"",IF(I1446="SBJ","CB","?"))</f>
        <v> </v>
      </c>
      <c r="I1446" s="26" t="str">
        <f>IF(OR(E1446="",E1446="!!!",F1446="NEW"),"",INDEX(B1445:B$2,-1+SUMPRODUCT(MAX(ROW(E1445:E$2)*(E1446=E1445:E$2)))))</f>
        <v> </v>
      </c>
      <c r="J1446" s="26" t="str">
        <f>IF(OR(E1446="",E1446="!!!",F1446="NEW"),"",COUNTBLANK(OFFSET(A$1,,,SUMPRODUCT(MAX(ROW(E$2:E1446)*(E1446=E$2:E1446)))))-COUNTBLANK(OFFSET(A$1,,,SUMPRODUCT(MAX(ROW(E$1:E1445)*(E2=E$1:E1445))))))</f>
        <v> </v>
      </c>
      <c r="K1446" s="26" t="str">
        <f>IF(OR(E1446="",E1446="!!!",F1446="NEW"),"",INDEX(J$1:J1445,SUMPRODUCT(MAX(ROW(E$1:E1445)*(E1446=E$1:E1445)))))</f>
        <v> </v>
      </c>
      <c r="L1446" s="27"/>
    </row>
    <row r="1447" spans="1:12">
      <c r="A1447" s="20"/>
    </row>
    <row r="1448" spans="1:12">
      <c r="A1448" s="20" t="s">
        <v>1371</v>
      </c>
    </row>
    <row r="1449" spans="1:12">
      <c r="A1449" s="20" t="s">
        <v>1372</v>
      </c>
      <c r="E1449" s="22">
        <f>IF(D1449="?OLD","!!!","")</f>
        <v/>
      </c>
      <c r="F1449" s="23" t="str">
        <f>IF(OR(E1449="",E1449="!!!"),"",IF(NOT(ISNA(VLOOKUP(E1449,E$1:E1448,1,FALSE()))),"OLD",IF(AND(E1449&lt;&gt;"",E1449&lt;&gt;"!!!"),"NEW","")))</f>
        <v> </v>
      </c>
      <c r="G1449" s="24" t="str">
        <f>IF(OR(E1449="",E1449="!!!"),"",IF(OR(J1449=0,AND(J1449=1,K1449=1),AND(J1449=1,I1449="SBJ"),AND(J1449=1,I1449=0)),"?IN_FOCUS",IF(J1449&lt;=2,"?ACTIVATED",IF(J1449&lt;&gt;"","?FAMILIAR",IF(F1449="NEW",IF(ISNA(VLOOKUP(E1449,#REF!,1,FALSE())),"?TYPE_IDENTIFIABLE","?REFERENTIAL"),"_")))))</f>
        <v> </v>
      </c>
      <c r="H1449" s="25" t="str">
        <f>IF(J1449&lt;&gt;1,"",IF(I1449="SBJ","CB","?"))</f>
        <v> </v>
      </c>
      <c r="I1449" s="26" t="str">
        <f>IF(OR(E1449="",E1449="!!!",F1449="NEW"),"",INDEX(B1448:B$2,-1+SUMPRODUCT(MAX(ROW(E1448:E$2)*(E1449=E1448:E$2)))))</f>
        <v> </v>
      </c>
      <c r="J1449" s="26" t="str">
        <f>IF(OR(E1449="",E1449="!!!",F1449="NEW"),"",COUNTBLANK(OFFSET(A$1,,,SUMPRODUCT(MAX(ROW(E$2:E1449)*(E1449=E$2:E1449)))))-COUNTBLANK(OFFSET(A$1,,,SUMPRODUCT(MAX(ROW(E$1:E1448)*(E2=E$1:E1448))))))</f>
        <v> </v>
      </c>
      <c r="K1449" s="26" t="str">
        <f>IF(OR(E1449="",E1449="!!!",F1449="NEW"),"",INDEX(J$1:J1448,SUMPRODUCT(MAX(ROW(E$1:E1448)*(E1449=E$1:E1448)))))</f>
        <v> </v>
      </c>
      <c r="L1449" s="27"/>
    </row>
    <row r="1450" spans="1:12">
      <c r="A1450" s="20" t="s">
        <v>1071</v>
      </c>
      <c r="E1450" s="22">
        <f>IF(D1450="?OLD","!!!","")</f>
        <v/>
      </c>
      <c r="F1450" s="23" t="str">
        <f>IF(OR(E1450="",E1450="!!!"),"",IF(NOT(ISNA(VLOOKUP(E1450,E$1:E1449,1,FALSE()))),"OLD",IF(AND(E1450&lt;&gt;"",E1450&lt;&gt;"!!!"),"NEW","")))</f>
        <v> </v>
      </c>
      <c r="G1450" s="24" t="str">
        <f>IF(OR(E1450="",E1450="!!!"),"",IF(OR(J1450=0,AND(J1450=1,K1450=1),AND(J1450=1,I1450="SBJ"),AND(J1450=1,I1450=0)),"?IN_FOCUS",IF(J1450&lt;=2,"?ACTIVATED",IF(J1450&lt;&gt;"","?FAMILIAR",IF(F1450="NEW",IF(ISNA(VLOOKUP(E1450,#REF!,1,FALSE())),"?TYPE_IDENTIFIABLE","?REFERENTIAL"),"_")))))</f>
        <v> </v>
      </c>
      <c r="H1450" s="25" t="str">
        <f>IF(J1450&lt;&gt;1,"",IF(I1450="SBJ","CB","?"))</f>
        <v> </v>
      </c>
      <c r="I1450" s="26" t="str">
        <f>IF(OR(E1450="",E1450="!!!",F1450="NEW"),"",INDEX(B1449:B$2,-1+SUMPRODUCT(MAX(ROW(E1449:E$2)*(E1450=E1449:E$2)))))</f>
        <v> </v>
      </c>
      <c r="J1450" s="26" t="str">
        <f>IF(OR(E1450="",E1450="!!!",F1450="NEW"),"",COUNTBLANK(OFFSET(A$1,,,SUMPRODUCT(MAX(ROW(E$2:E1450)*(E1450=E$2:E1450)))))-COUNTBLANK(OFFSET(A$1,,,SUMPRODUCT(MAX(ROW(E$1:E1449)*(E2=E$1:E1449))))))</f>
        <v> </v>
      </c>
      <c r="K1450" s="26" t="str">
        <f>IF(OR(E1450="",E1450="!!!",F1450="NEW"),"",INDEX(J$1:J1449,SUMPRODUCT(MAX(ROW(E$1:E1449)*(E1450=E$1:E1449)))))</f>
        <v> </v>
      </c>
      <c r="L1450" s="27"/>
    </row>
    <row r="1451" spans="1:12">
      <c r="A1451" s="20" t="s">
        <v>750</v>
      </c>
      <c r="B1451" s="21" t="s">
        <v>728</v>
      </c>
      <c r="C1451" s="21" t="s">
        <v>729</v>
      </c>
      <c r="D1451" s="21" t="s">
        <v>730</v>
      </c>
      <c r="E1451" s="22">
        <f>IF(D1451="?OLD","!!!","")</f>
        <v/>
      </c>
      <c r="F1451" s="23" t="str">
        <f>IF(OR(E1451="",E1451="!!!"),"",IF(NOT(ISNA(VLOOKUP(E1451,E$1:E1450,1,FALSE()))),"OLD",IF(AND(E1451&lt;&gt;"",E1451&lt;&gt;"!!!"),"NEW","")))</f>
        <v> </v>
      </c>
      <c r="G1451" s="24" t="str">
        <f>IF(OR(E1451="",E1451="!!!"),"",IF(OR(J1451=0,AND(J1451=1,K1451=1),AND(J1451=1,I1451="SBJ"),AND(J1451=1,I1451=0)),"?IN_FOCUS",IF(J1451&lt;=2,"?ACTIVATED",IF(J1451&lt;&gt;"","?FAMILIAR",IF(F1451="NEW",IF(ISNA(VLOOKUP(E1451,#REF!,1,FALSE())),"?TYPE_IDENTIFIABLE","?REFERENTIAL"),"_")))))</f>
        <v> </v>
      </c>
      <c r="H1451" s="25" t="str">
        <f>IF(J1451&lt;&gt;1,"",IF(I1451="SBJ","CB","?"))</f>
        <v> </v>
      </c>
      <c r="I1451" s="26" t="str">
        <f>IF(OR(E1451="",E1451="!!!",F1451="NEW"),"",INDEX(B1450:B$2,-1+SUMPRODUCT(MAX(ROW(E1450:E$2)*(E1451=E1450:E$2)))))</f>
        <v> </v>
      </c>
      <c r="J1451" s="26" t="str">
        <f>IF(OR(E1451="",E1451="!!!",F1451="NEW"),"",COUNTBLANK(OFFSET(A$1,,,SUMPRODUCT(MAX(ROW(E$2:E1451)*(E1451=E$2:E1451)))))-COUNTBLANK(OFFSET(A$1,,,SUMPRODUCT(MAX(ROW(E$1:E1450)*(E2=E$1:E1450))))))</f>
        <v> </v>
      </c>
      <c r="K1451" s="26" t="str">
        <f>IF(OR(E1451="",E1451="!!!",F1451="NEW"),"",INDEX(J$1:J1450,SUMPRODUCT(MAX(ROW(E$1:E1450)*(E1451=E$1:E1450)))))</f>
        <v> </v>
      </c>
      <c r="L1451" s="27"/>
    </row>
    <row r="1452" spans="1:12">
      <c r="A1452" s="20" t="s">
        <v>840</v>
      </c>
      <c r="E1452" s="22">
        <f>IF(D1452="?OLD","!!!","")</f>
        <v/>
      </c>
      <c r="F1452" s="23" t="str">
        <f>IF(OR(E1452="",E1452="!!!"),"",IF(NOT(ISNA(VLOOKUP(E1452,E$1:E1451,1,FALSE()))),"OLD",IF(AND(E1452&lt;&gt;"",E1452&lt;&gt;"!!!"),"NEW","")))</f>
        <v> </v>
      </c>
      <c r="G1452" s="24" t="str">
        <f>IF(OR(E1452="",E1452="!!!"),"",IF(OR(J1452=0,AND(J1452=1,K1452=1),AND(J1452=1,I1452="SBJ"),AND(J1452=1,I1452=0)),"?IN_FOCUS",IF(J1452&lt;=2,"?ACTIVATED",IF(J1452&lt;&gt;"","?FAMILIAR",IF(F1452="NEW",IF(ISNA(VLOOKUP(E1452,#REF!,1,FALSE())),"?TYPE_IDENTIFIABLE","?REFERENTIAL"),"_")))))</f>
        <v> </v>
      </c>
      <c r="H1452" s="25" t="str">
        <f>IF(J1452&lt;&gt;1,"",IF(I1452="SBJ","CB","?"))</f>
        <v> </v>
      </c>
      <c r="I1452" s="26" t="str">
        <f>IF(OR(E1452="",E1452="!!!",F1452="NEW"),"",INDEX(B1451:B$2,-1+SUMPRODUCT(MAX(ROW(E1451:E$2)*(E1452=E1451:E$2)))))</f>
        <v> </v>
      </c>
      <c r="J1452" s="26" t="str">
        <f>IF(OR(E1452="",E1452="!!!",F1452="NEW"),"",COUNTBLANK(OFFSET(A$1,,,SUMPRODUCT(MAX(ROW(E$2:E1452)*(E1452=E$2:E1452)))))-COUNTBLANK(OFFSET(A$1,,,SUMPRODUCT(MAX(ROW(E$1:E1451)*(E2=E$1:E1451))))))</f>
        <v> </v>
      </c>
      <c r="K1452" s="26" t="str">
        <f>IF(OR(E1452="",E1452="!!!",F1452="NEW"),"",INDEX(J$1:J1451,SUMPRODUCT(MAX(ROW(E$1:E1451)*(E1452=E$1:E1451)))))</f>
        <v> </v>
      </c>
      <c r="L1452" s="27"/>
    </row>
    <row r="1453" spans="1:12">
      <c r="A1453" s="20" t="s">
        <v>1168</v>
      </c>
      <c r="B1453" s="21" t="s">
        <v>764</v>
      </c>
      <c r="C1453" s="21" t="s">
        <v>753</v>
      </c>
      <c r="D1453" s="21" t="s">
        <v>730</v>
      </c>
      <c r="E1453" s="22">
        <f>IF(D1453="?OLD","!!!","")</f>
        <v/>
      </c>
      <c r="F1453" s="23" t="str">
        <f>IF(OR(E1453="",E1453="!!!"),"",IF(NOT(ISNA(VLOOKUP(E1453,E$1:E1452,1,FALSE()))),"OLD",IF(AND(E1453&lt;&gt;"",E1453&lt;&gt;"!!!"),"NEW","")))</f>
        <v> </v>
      </c>
      <c r="G1453" s="24" t="str">
        <f>IF(OR(E1453="",E1453="!!!"),"",IF(OR(J1453=0,AND(J1453=1,K1453=1),AND(J1453=1,I1453="SBJ"),AND(J1453=1,I1453=0)),"?IN_FOCUS",IF(J1453&lt;=2,"?ACTIVATED",IF(J1453&lt;&gt;"","?FAMILIAR",IF(F1453="NEW",IF(ISNA(VLOOKUP(E1453,#REF!,1,FALSE())),"?TYPE_IDENTIFIABLE","?REFERENTIAL"),"_")))))</f>
        <v> </v>
      </c>
      <c r="H1453" s="25" t="str">
        <f>IF(J1453&lt;&gt;1,"",IF(I1453="SBJ","CB","?"))</f>
        <v> </v>
      </c>
      <c r="I1453" s="26" t="str">
        <f>IF(OR(E1453="",E1453="!!!",F1453="NEW"),"",INDEX(B1452:B$2,-1+SUMPRODUCT(MAX(ROW(E1452:E$2)*(E1453=E1452:E$2)))))</f>
        <v> </v>
      </c>
      <c r="J1453" s="26" t="str">
        <f>IF(OR(E1453="",E1453="!!!",F1453="NEW"),"",COUNTBLANK(OFFSET(A$1,,,SUMPRODUCT(MAX(ROW(E$2:E1453)*(E1453=E$2:E1453)))))-COUNTBLANK(OFFSET(A$1,,,SUMPRODUCT(MAX(ROW(E$1:E1452)*(E2=E$1:E1452))))))</f>
        <v> </v>
      </c>
      <c r="K1453" s="26" t="str">
        <f>IF(OR(E1453="",E1453="!!!",F1453="NEW"),"",INDEX(J$1:J1452,SUMPRODUCT(MAX(ROW(E$1:E1452)*(E1453=E$1:E1452)))))</f>
        <v> </v>
      </c>
      <c r="L1453" s="27"/>
    </row>
    <row r="1454" spans="1:12">
      <c r="A1454" s="20" t="s">
        <v>1037</v>
      </c>
      <c r="E1454" s="22">
        <f>IF(D1454="?OLD","!!!","")</f>
        <v/>
      </c>
      <c r="F1454" s="23" t="str">
        <f>IF(OR(E1454="",E1454="!!!"),"",IF(NOT(ISNA(VLOOKUP(E1454,E$1:E1453,1,FALSE()))),"OLD",IF(AND(E1454&lt;&gt;"",E1454&lt;&gt;"!!!"),"NEW","")))</f>
        <v> </v>
      </c>
      <c r="G1454" s="24" t="str">
        <f>IF(OR(E1454="",E1454="!!!"),"",IF(OR(J1454=0,AND(J1454=1,K1454=1),AND(J1454=1,I1454="SBJ"),AND(J1454=1,I1454=0)),"?IN_FOCUS",IF(J1454&lt;=2,"?ACTIVATED",IF(J1454&lt;&gt;"","?FAMILIAR",IF(F1454="NEW",IF(ISNA(VLOOKUP(E1454,#REF!,1,FALSE())),"?TYPE_IDENTIFIABLE","?REFERENTIAL"),"_")))))</f>
        <v> </v>
      </c>
      <c r="H1454" s="25" t="str">
        <f>IF(J1454&lt;&gt;1,"",IF(I1454="SBJ","CB","?"))</f>
        <v> </v>
      </c>
      <c r="I1454" s="26" t="str">
        <f>IF(OR(E1454="",E1454="!!!",F1454="NEW"),"",INDEX(B1453:B$2,-1+SUMPRODUCT(MAX(ROW(E1453:E$2)*(E1454=E1453:E$2)))))</f>
        <v> </v>
      </c>
      <c r="J1454" s="26" t="str">
        <f>IF(OR(E1454="",E1454="!!!",F1454="NEW"),"",COUNTBLANK(OFFSET(A$1,,,SUMPRODUCT(MAX(ROW(E$2:E1454)*(E1454=E$2:E1454)))))-COUNTBLANK(OFFSET(A$1,,,SUMPRODUCT(MAX(ROW(E$1:E1453)*(E2=E$1:E1453))))))</f>
        <v> </v>
      </c>
      <c r="K1454" s="26" t="str">
        <f>IF(OR(E1454="",E1454="!!!",F1454="NEW"),"",INDEX(J$1:J1453,SUMPRODUCT(MAX(ROW(E$1:E1453)*(E1454=E$1:E1453)))))</f>
        <v> </v>
      </c>
      <c r="L1454" s="27"/>
    </row>
    <row r="1455" spans="1:12">
      <c r="A1455" s="20" t="s">
        <v>246</v>
      </c>
      <c r="E1455" s="22">
        <f>IF(D1455="?OLD","!!!","")</f>
        <v/>
      </c>
      <c r="F1455" s="23" t="str">
        <f>IF(OR(E1455="",E1455="!!!"),"",IF(NOT(ISNA(VLOOKUP(E1455,E$1:E1454,1,FALSE()))),"OLD",IF(AND(E1455&lt;&gt;"",E1455&lt;&gt;"!!!"),"NEW","")))</f>
        <v> </v>
      </c>
      <c r="G1455" s="24" t="str">
        <f>IF(OR(E1455="",E1455="!!!"),"",IF(OR(J1455=0,AND(J1455=1,K1455=1),AND(J1455=1,I1455="SBJ"),AND(J1455=1,I1455=0)),"?IN_FOCUS",IF(J1455&lt;=2,"?ACTIVATED",IF(J1455&lt;&gt;"","?FAMILIAR",IF(F1455="NEW",IF(ISNA(VLOOKUP(E1455,#REF!,1,FALSE())),"?TYPE_IDENTIFIABLE","?REFERENTIAL"),"_")))))</f>
        <v> </v>
      </c>
      <c r="H1455" s="25" t="str">
        <f>IF(J1455&lt;&gt;1,"",IF(I1455="SBJ","CB","?"))</f>
        <v> </v>
      </c>
      <c r="I1455" s="26" t="str">
        <f>IF(OR(E1455="",E1455="!!!",F1455="NEW"),"",INDEX(B1454:B$2,-1+SUMPRODUCT(MAX(ROW(E1454:E$2)*(E1455=E1454:E$2)))))</f>
        <v> </v>
      </c>
      <c r="J1455" s="26" t="str">
        <f>IF(OR(E1455="",E1455="!!!",F1455="NEW"),"",COUNTBLANK(OFFSET(A$1,,,SUMPRODUCT(MAX(ROW(E$2:E1455)*(E1455=E$2:E1455)))))-COUNTBLANK(OFFSET(A$1,,,SUMPRODUCT(MAX(ROW(E$1:E1454)*(E2=E$1:E1454))))))</f>
        <v> </v>
      </c>
      <c r="K1455" s="26" t="str">
        <f>IF(OR(E1455="",E1455="!!!",F1455="NEW"),"",INDEX(J$1:J1454,SUMPRODUCT(MAX(ROW(E$1:E1454)*(E1455=E$1:E1454)))))</f>
        <v> </v>
      </c>
      <c r="L1455" s="27"/>
    </row>
    <row r="1456" spans="1:12">
      <c r="A1456" s="20"/>
    </row>
    <row r="1457" spans="1:12">
      <c r="A1457" s="20" t="s">
        <v>1373</v>
      </c>
    </row>
    <row r="1458" spans="1:12">
      <c r="A1458" s="20" t="s">
        <v>1353</v>
      </c>
      <c r="E1458" s="22">
        <f>IF(D1458="?OLD","!!!","")</f>
        <v/>
      </c>
      <c r="F1458" s="23" t="str">
        <f>IF(OR(E1458="",E1458="!!!"),"",IF(NOT(ISNA(VLOOKUP(E1458,E$1:E1457,1,FALSE()))),"OLD",IF(AND(E1458&lt;&gt;"",E1458&lt;&gt;"!!!"),"NEW","")))</f>
        <v> </v>
      </c>
      <c r="G1458" s="24" t="str">
        <f>IF(OR(E1458="",E1458="!!!"),"",IF(OR(J1458=0,AND(J1458=1,K1458=1),AND(J1458=1,I1458="SBJ"),AND(J1458=1,I1458=0)),"?IN_FOCUS",IF(J1458&lt;=2,"?ACTIVATED",IF(J1458&lt;&gt;"","?FAMILIAR",IF(F1458="NEW",IF(ISNA(VLOOKUP(E1458,#REF!,1,FALSE())),"?TYPE_IDENTIFIABLE","?REFERENTIAL"),"_")))))</f>
        <v> </v>
      </c>
      <c r="H1458" s="25" t="str">
        <f>IF(J1458&lt;&gt;1,"",IF(I1458="SBJ","CB","?"))</f>
        <v> </v>
      </c>
      <c r="I1458" s="26" t="str">
        <f>IF(OR(E1458="",E1458="!!!",F1458="NEW"),"",INDEX(B1457:B$2,-1+SUMPRODUCT(MAX(ROW(E1457:E$2)*(E1458=E1457:E$2)))))</f>
        <v> </v>
      </c>
      <c r="J1458" s="26" t="str">
        <f>IF(OR(E1458="",E1458="!!!",F1458="NEW"),"",COUNTBLANK(OFFSET(A$1,,,SUMPRODUCT(MAX(ROW(E$2:E1458)*(E1458=E$2:E1458)))))-COUNTBLANK(OFFSET(A$1,,,SUMPRODUCT(MAX(ROW(E$1:E1457)*(E2=E$1:E1457))))))</f>
        <v> </v>
      </c>
      <c r="K1458" s="26" t="str">
        <f>IF(OR(E1458="",E1458="!!!",F1458="NEW"),"",INDEX(J$1:J1457,SUMPRODUCT(MAX(ROW(E$1:E1457)*(E1458=E$1:E1457)))))</f>
        <v> </v>
      </c>
      <c r="L1458" s="27"/>
    </row>
    <row r="1459" spans="1:12">
      <c r="A1459" s="20" t="s">
        <v>1374</v>
      </c>
      <c r="B1459" s="21" t="s">
        <v>739</v>
      </c>
      <c r="C1459" s="21" t="s">
        <v>748</v>
      </c>
      <c r="E1459" s="22">
        <f>IF(D1459="?OLD","!!!","")</f>
        <v/>
      </c>
      <c r="F1459" s="23" t="str">
        <f>IF(OR(E1459="",E1459="!!!"),"",IF(NOT(ISNA(VLOOKUP(E1459,E$1:E1458,1,FALSE()))),"OLD",IF(AND(E1459&lt;&gt;"",E1459&lt;&gt;"!!!"),"NEW","")))</f>
        <v> </v>
      </c>
      <c r="G1459" s="24" t="str">
        <f>IF(OR(E1459="",E1459="!!!"),"",IF(OR(J1459=0,AND(J1459=1,K1459=1),AND(J1459=1,I1459="SBJ"),AND(J1459=1,I1459=0)),"?IN_FOCUS",IF(J1459&lt;=2,"?ACTIVATED",IF(J1459&lt;&gt;"","?FAMILIAR",IF(F1459="NEW",IF(ISNA(VLOOKUP(E1459,#REF!,1,FALSE())),"?TYPE_IDENTIFIABLE","?REFERENTIAL"),"_")))))</f>
        <v> </v>
      </c>
      <c r="H1459" s="25" t="str">
        <f>IF(J1459&lt;&gt;1,"",IF(I1459="SBJ","CB","?"))</f>
        <v> </v>
      </c>
      <c r="I1459" s="26" t="str">
        <f>IF(OR(E1459="",E1459="!!!",F1459="NEW"),"",INDEX(B1458:B$2,-1+SUMPRODUCT(MAX(ROW(E1458:E$2)*(E1459=E1458:E$2)))))</f>
        <v> </v>
      </c>
      <c r="J1459" s="26" t="str">
        <f>IF(OR(E1459="",E1459="!!!",F1459="NEW"),"",COUNTBLANK(OFFSET(A$1,,,SUMPRODUCT(MAX(ROW(E$2:E1459)*(E1459=E$2:E1459)))))-COUNTBLANK(OFFSET(A$1,,,SUMPRODUCT(MAX(ROW(E$1:E1458)*(E2=E$1:E1458))))))</f>
        <v> </v>
      </c>
      <c r="K1459" s="26" t="str">
        <f>IF(OR(E1459="",E1459="!!!",F1459="NEW"),"",INDEX(J$1:J1458,SUMPRODUCT(MAX(ROW(E$1:E1458)*(E1459=E$1:E1458)))))</f>
        <v> </v>
      </c>
      <c r="L1459" s="27"/>
    </row>
    <row r="1460" spans="1:12">
      <c r="A1460" s="20" t="s">
        <v>1355</v>
      </c>
      <c r="E1460" s="22">
        <f>IF(D1460="?OLD","!!!","")</f>
        <v/>
      </c>
      <c r="F1460" s="23" t="str">
        <f>IF(OR(E1460="",E1460="!!!"),"",IF(NOT(ISNA(VLOOKUP(E1460,E$1:E1459,1,FALSE()))),"OLD",IF(AND(E1460&lt;&gt;"",E1460&lt;&gt;"!!!"),"NEW","")))</f>
        <v> </v>
      </c>
      <c r="G1460" s="24" t="str">
        <f>IF(OR(E1460="",E1460="!!!"),"",IF(OR(J1460=0,AND(J1460=1,K1460=1),AND(J1460=1,I1460="SBJ"),AND(J1460=1,I1460=0)),"?IN_FOCUS",IF(J1460&lt;=2,"?ACTIVATED",IF(J1460&lt;&gt;"","?FAMILIAR",IF(F1460="NEW",IF(ISNA(VLOOKUP(E1460,#REF!,1,FALSE())),"?TYPE_IDENTIFIABLE","?REFERENTIAL"),"_")))))</f>
        <v> </v>
      </c>
      <c r="H1460" s="25" t="str">
        <f>IF(J1460&lt;&gt;1,"",IF(I1460="SBJ","CB","?"))</f>
        <v> </v>
      </c>
      <c r="I1460" s="26" t="str">
        <f>IF(OR(E1460="",E1460="!!!",F1460="NEW"),"",INDEX(B1459:B$2,-1+SUMPRODUCT(MAX(ROW(E1459:E$2)*(E1460=E1459:E$2)))))</f>
        <v> </v>
      </c>
      <c r="J1460" s="26" t="str">
        <f>IF(OR(E1460="",E1460="!!!",F1460="NEW"),"",COUNTBLANK(OFFSET(A$1,,,SUMPRODUCT(MAX(ROW(E$2:E1460)*(E1460=E$2:E1460)))))-COUNTBLANK(OFFSET(A$1,,,SUMPRODUCT(MAX(ROW(E$1:E1459)*(E2=E$1:E1459))))))</f>
        <v> </v>
      </c>
      <c r="K1460" s="26" t="str">
        <f>IF(OR(E1460="",E1460="!!!",F1460="NEW"),"",INDEX(J$1:J1459,SUMPRODUCT(MAX(ROW(E$1:E1459)*(E1460=E$1:E1459)))))</f>
        <v> </v>
      </c>
      <c r="L1460" s="27"/>
    </row>
    <row r="1461" spans="1:12">
      <c r="A1461" s="20" t="s">
        <v>883</v>
      </c>
      <c r="B1461" s="21" t="s">
        <v>728</v>
      </c>
      <c r="C1461" s="21" t="s">
        <v>801</v>
      </c>
      <c r="D1461" s="21" t="s">
        <v>730</v>
      </c>
      <c r="E1461" s="22">
        <f>IF(D1461="?OLD","!!!","")</f>
        <v/>
      </c>
      <c r="F1461" s="23" t="str">
        <f>IF(OR(E1461="",E1461="!!!"),"",IF(NOT(ISNA(VLOOKUP(E1461,E$1:E1460,1,FALSE()))),"OLD",IF(AND(E1461&lt;&gt;"",E1461&lt;&gt;"!!!"),"NEW","")))</f>
        <v> </v>
      </c>
      <c r="G1461" s="24" t="str">
        <f>IF(OR(E1461="",E1461="!!!"),"",IF(OR(J1461=0,AND(J1461=1,K1461=1),AND(J1461=1,I1461="SBJ"),AND(J1461=1,I1461=0)),"?IN_FOCUS",IF(J1461&lt;=2,"?ACTIVATED",IF(J1461&lt;&gt;"","?FAMILIAR",IF(F1461="NEW",IF(ISNA(VLOOKUP(E1461,#REF!,1,FALSE())),"?TYPE_IDENTIFIABLE","?REFERENTIAL"),"_")))))</f>
        <v> </v>
      </c>
      <c r="H1461" s="25" t="str">
        <f>IF(J1461&lt;&gt;1,"",IF(I1461="SBJ","CB","?"))</f>
        <v> </v>
      </c>
      <c r="I1461" s="26" t="str">
        <f>IF(OR(E1461="",E1461="!!!",F1461="NEW"),"",INDEX(B1460:B$2,-1+SUMPRODUCT(MAX(ROW(E1460:E$2)*(E1461=E1460:E$2)))))</f>
        <v> </v>
      </c>
      <c r="J1461" s="26" t="str">
        <f>IF(OR(E1461="",E1461="!!!",F1461="NEW"),"",COUNTBLANK(OFFSET(A$1,,,SUMPRODUCT(MAX(ROW(E$2:E1461)*(E1461=E$2:E1461)))))-COUNTBLANK(OFFSET(A$1,,,SUMPRODUCT(MAX(ROW(E$1:E1460)*(E2=E$1:E1460))))))</f>
        <v> </v>
      </c>
      <c r="K1461" s="26" t="str">
        <f>IF(OR(E1461="",E1461="!!!",F1461="NEW"),"",INDEX(J$1:J1460,SUMPRODUCT(MAX(ROW(E$1:E1460)*(E1461=E$1:E1460)))))</f>
        <v> </v>
      </c>
      <c r="L1461" s="27"/>
    </row>
    <row r="1462" spans="1:12">
      <c r="A1462" s="20" t="s">
        <v>1087</v>
      </c>
      <c r="E1462" s="22">
        <f>IF(D1462="?OLD","!!!","")</f>
        <v/>
      </c>
      <c r="F1462" s="23" t="str">
        <f>IF(OR(E1462="",E1462="!!!"),"",IF(NOT(ISNA(VLOOKUP(E1462,E$1:E1461,1,FALSE()))),"OLD",IF(AND(E1462&lt;&gt;"",E1462&lt;&gt;"!!!"),"NEW","")))</f>
        <v> </v>
      </c>
      <c r="G1462" s="24" t="str">
        <f>IF(OR(E1462="",E1462="!!!"),"",IF(OR(J1462=0,AND(J1462=1,K1462=1),AND(J1462=1,I1462="SBJ"),AND(J1462=1,I1462=0)),"?IN_FOCUS",IF(J1462&lt;=2,"?ACTIVATED",IF(J1462&lt;&gt;"","?FAMILIAR",IF(F1462="NEW",IF(ISNA(VLOOKUP(E1462,#REF!,1,FALSE())),"?TYPE_IDENTIFIABLE","?REFERENTIAL"),"_")))))</f>
        <v> </v>
      </c>
      <c r="H1462" s="25" t="str">
        <f>IF(J1462&lt;&gt;1,"",IF(I1462="SBJ","CB","?"))</f>
        <v> </v>
      </c>
      <c r="I1462" s="26" t="str">
        <f>IF(OR(E1462="",E1462="!!!",F1462="NEW"),"",INDEX(B1461:B$2,-1+SUMPRODUCT(MAX(ROW(E1461:E$2)*(E1462=E1461:E$2)))))</f>
        <v> </v>
      </c>
      <c r="J1462" s="26" t="str">
        <f>IF(OR(E1462="",E1462="!!!",F1462="NEW"),"",COUNTBLANK(OFFSET(A$1,,,SUMPRODUCT(MAX(ROW(E$2:E1462)*(E1462=E$2:E1462)))))-COUNTBLANK(OFFSET(A$1,,,SUMPRODUCT(MAX(ROW(E$1:E1461)*(E2=E$1:E1461))))))</f>
        <v> </v>
      </c>
      <c r="K1462" s="26" t="str">
        <f>IF(OR(E1462="",E1462="!!!",F1462="NEW"),"",INDEX(J$1:J1461,SUMPRODUCT(MAX(ROW(E$1:E1461)*(E1462=E$1:E1461)))))</f>
        <v> </v>
      </c>
      <c r="L1462" s="27"/>
    </row>
    <row r="1463" spans="1:12">
      <c r="A1463" s="20" t="s">
        <v>813</v>
      </c>
      <c r="E1463" s="22">
        <f>IF(D1463="?OLD","!!!","")</f>
        <v/>
      </c>
      <c r="F1463" s="23" t="str">
        <f>IF(OR(E1463="",E1463="!!!"),"",IF(NOT(ISNA(VLOOKUP(E1463,E$1:E1462,1,FALSE()))),"OLD",IF(AND(E1463&lt;&gt;"",E1463&lt;&gt;"!!!"),"NEW","")))</f>
        <v> </v>
      </c>
      <c r="G1463" s="24" t="str">
        <f>IF(OR(E1463="",E1463="!!!"),"",IF(OR(J1463=0,AND(J1463=1,K1463=1),AND(J1463=1,I1463="SBJ"),AND(J1463=1,I1463=0)),"?IN_FOCUS",IF(J1463&lt;=2,"?ACTIVATED",IF(J1463&lt;&gt;"","?FAMILIAR",IF(F1463="NEW",IF(ISNA(VLOOKUP(E1463,#REF!,1,FALSE())),"?TYPE_IDENTIFIABLE","?REFERENTIAL"),"_")))))</f>
        <v> </v>
      </c>
      <c r="H1463" s="25" t="str">
        <f>IF(J1463&lt;&gt;1,"",IF(I1463="SBJ","CB","?"))</f>
        <v> </v>
      </c>
      <c r="I1463" s="26" t="str">
        <f>IF(OR(E1463="",E1463="!!!",F1463="NEW"),"",INDEX(B1462:B$2,-1+SUMPRODUCT(MAX(ROW(E1462:E$2)*(E1463=E1462:E$2)))))</f>
        <v> </v>
      </c>
      <c r="J1463" s="26" t="str">
        <f>IF(OR(E1463="",E1463="!!!",F1463="NEW"),"",COUNTBLANK(OFFSET(A$1,,,SUMPRODUCT(MAX(ROW(E$2:E1463)*(E1463=E$2:E1463)))))-COUNTBLANK(OFFSET(A$1,,,SUMPRODUCT(MAX(ROW(E$1:E1462)*(E2=E$1:E1462))))))</f>
        <v> </v>
      </c>
      <c r="K1463" s="26" t="str">
        <f>IF(OR(E1463="",E1463="!!!",F1463="NEW"),"",INDEX(J$1:J1462,SUMPRODUCT(MAX(ROW(E$1:E1462)*(E1463=E$1:E1462)))))</f>
        <v> </v>
      </c>
      <c r="L1463" s="27"/>
    </row>
    <row r="1464" spans="1:12">
      <c r="A1464" s="20" t="s">
        <v>1375</v>
      </c>
      <c r="B1464" s="21" t="s">
        <v>736</v>
      </c>
      <c r="C1464" s="21" t="s">
        <v>753</v>
      </c>
      <c r="D1464" s="21" t="s">
        <v>730</v>
      </c>
      <c r="E1464" s="22">
        <f>IF(D1464="?OLD","!!!","")</f>
        <v/>
      </c>
      <c r="F1464" s="23" t="str">
        <f>IF(OR(E1464="",E1464="!!!"),"",IF(NOT(ISNA(VLOOKUP(E1464,E$1:E1463,1,FALSE()))),"OLD",IF(AND(E1464&lt;&gt;"",E1464&lt;&gt;"!!!"),"NEW","")))</f>
        <v> </v>
      </c>
      <c r="G1464" s="24" t="str">
        <f>IF(OR(E1464="",E1464="!!!"),"",IF(OR(J1464=0,AND(J1464=1,K1464=1),AND(J1464=1,I1464="SBJ"),AND(J1464=1,I1464=0)),"?IN_FOCUS",IF(J1464&lt;=2,"?ACTIVATED",IF(J1464&lt;&gt;"","?FAMILIAR",IF(F1464="NEW",IF(ISNA(VLOOKUP(E1464,#REF!,1,FALSE())),"?TYPE_IDENTIFIABLE","?REFERENTIAL"),"_")))))</f>
        <v> </v>
      </c>
      <c r="H1464" s="25" t="str">
        <f>IF(J1464&lt;&gt;1,"",IF(I1464="SBJ","CB","?"))</f>
        <v> </v>
      </c>
      <c r="I1464" s="26" t="str">
        <f>IF(OR(E1464="",E1464="!!!",F1464="NEW"),"",INDEX(B1463:B$2,-1+SUMPRODUCT(MAX(ROW(E1463:E$2)*(E1464=E1463:E$2)))))</f>
        <v> </v>
      </c>
      <c r="J1464" s="26" t="str">
        <f>IF(OR(E1464="",E1464="!!!",F1464="NEW"),"",COUNTBLANK(OFFSET(A$1,,,SUMPRODUCT(MAX(ROW(E$2:E1464)*(E1464=E$2:E1464)))))-COUNTBLANK(OFFSET(A$1,,,SUMPRODUCT(MAX(ROW(E$1:E1463)*(E2=E$1:E1463))))))</f>
        <v> </v>
      </c>
      <c r="K1464" s="26" t="str">
        <f>IF(OR(E1464="",E1464="!!!",F1464="NEW"),"",INDEX(J$1:J1463,SUMPRODUCT(MAX(ROW(E$1:E1463)*(E1464=E$1:E1463)))))</f>
        <v> </v>
      </c>
      <c r="L1464" s="27"/>
    </row>
    <row r="1465" spans="1:12">
      <c r="A1465" s="20" t="s">
        <v>246</v>
      </c>
      <c r="E1465" s="22">
        <f>IF(D1465="?OLD","!!!","")</f>
        <v/>
      </c>
      <c r="F1465" s="23" t="str">
        <f>IF(OR(E1465="",E1465="!!!"),"",IF(NOT(ISNA(VLOOKUP(E1465,E$1:E1464,1,FALSE()))),"OLD",IF(AND(E1465&lt;&gt;"",E1465&lt;&gt;"!!!"),"NEW","")))</f>
        <v> </v>
      </c>
      <c r="G1465" s="24" t="str">
        <f>IF(OR(E1465="",E1465="!!!"),"",IF(OR(J1465=0,AND(J1465=1,K1465=1),AND(J1465=1,I1465="SBJ"),AND(J1465=1,I1465=0)),"?IN_FOCUS",IF(J1465&lt;=2,"?ACTIVATED",IF(J1465&lt;&gt;"","?FAMILIAR",IF(F1465="NEW",IF(ISNA(VLOOKUP(E1465,#REF!,1,FALSE())),"?TYPE_IDENTIFIABLE","?REFERENTIAL"),"_")))))</f>
        <v> </v>
      </c>
      <c r="H1465" s="25" t="str">
        <f>IF(J1465&lt;&gt;1,"",IF(I1465="SBJ","CB","?"))</f>
        <v> </v>
      </c>
      <c r="I1465" s="26" t="str">
        <f>IF(OR(E1465="",E1465="!!!",F1465="NEW"),"",INDEX(B1464:B$2,-1+SUMPRODUCT(MAX(ROW(E1464:E$2)*(E1465=E1464:E$2)))))</f>
        <v> </v>
      </c>
      <c r="J1465" s="26" t="str">
        <f>IF(OR(E1465="",E1465="!!!",F1465="NEW"),"",COUNTBLANK(OFFSET(A$1,,,SUMPRODUCT(MAX(ROW(E$2:E1465)*(E1465=E$2:E1465)))))-COUNTBLANK(OFFSET(A$1,,,SUMPRODUCT(MAX(ROW(E$1:E1464)*(E2=E$1:E1464))))))</f>
        <v> </v>
      </c>
      <c r="K1465" s="26" t="str">
        <f>IF(OR(E1465="",E1465="!!!",F1465="NEW"),"",INDEX(J$1:J1464,SUMPRODUCT(MAX(ROW(E$1:E1464)*(E1465=E$1:E1464)))))</f>
        <v> </v>
      </c>
      <c r="L1465" s="27"/>
    </row>
    <row r="1466" spans="1:12">
      <c r="A1466" s="20"/>
    </row>
    <row r="1467" spans="1:12">
      <c r="A1467" s="20" t="s">
        <v>1376</v>
      </c>
    </row>
    <row r="1468" spans="1:12">
      <c r="A1468" s="20" t="s">
        <v>883</v>
      </c>
      <c r="E1468" s="22">
        <f>IF(D1468="?OLD","!!!","")</f>
        <v/>
      </c>
      <c r="F1468" s="23" t="str">
        <f>IF(OR(E1468="",E1468="!!!"),"",IF(NOT(ISNA(VLOOKUP(E1468,E$1:E1467,1,FALSE()))),"OLD",IF(AND(E1468&lt;&gt;"",E1468&lt;&gt;"!!!"),"NEW","")))</f>
        <v> </v>
      </c>
      <c r="G1468" s="24" t="str">
        <f>IF(OR(E1468="",E1468="!!!"),"",IF(OR(J1468=0,AND(J1468=1,K1468=1),AND(J1468=1,I1468="SBJ"),AND(J1468=1,I1468=0)),"?IN_FOCUS",IF(J1468&lt;=2,"?ACTIVATED",IF(J1468&lt;&gt;"","?FAMILIAR",IF(F1468="NEW",IF(ISNA(VLOOKUP(E1468,#REF!,1,FALSE())),"?TYPE_IDENTIFIABLE","?REFERENTIAL"),"_")))))</f>
        <v> </v>
      </c>
      <c r="H1468" s="25" t="str">
        <f>IF(J1468&lt;&gt;1,"",IF(I1468="SBJ","CB","?"))</f>
        <v> </v>
      </c>
      <c r="I1468" s="26" t="str">
        <f>IF(OR(E1468="",E1468="!!!",F1468="NEW"),"",INDEX(B1467:B$2,-1+SUMPRODUCT(MAX(ROW(E1467:E$2)*(E1468=E1467:E$2)))))</f>
        <v> </v>
      </c>
      <c r="J1468" s="26" t="str">
        <f>IF(OR(E1468="",E1468="!!!",F1468="NEW"),"",COUNTBLANK(OFFSET(A$1,,,SUMPRODUCT(MAX(ROW(E$2:E1468)*(E1468=E$2:E1468)))))-COUNTBLANK(OFFSET(A$1,,,SUMPRODUCT(MAX(ROW(E$1:E1467)*(E2=E$1:E1467))))))</f>
        <v> </v>
      </c>
      <c r="K1468" s="26" t="str">
        <f>IF(OR(E1468="",E1468="!!!",F1468="NEW"),"",INDEX(J$1:J1467,SUMPRODUCT(MAX(ROW(E$1:E1467)*(E1468=E$1:E1467)))))</f>
        <v> </v>
      </c>
      <c r="L1468" s="27"/>
    </row>
    <row r="1469" spans="1:12">
      <c r="A1469" s="20" t="s">
        <v>1377</v>
      </c>
      <c r="B1469" s="21" t="s">
        <v>728</v>
      </c>
      <c r="C1469" s="21" t="s">
        <v>753</v>
      </c>
      <c r="D1469" s="21" t="s">
        <v>730</v>
      </c>
      <c r="E1469" s="22">
        <f>IF(D1469="?OLD","!!!","")</f>
        <v/>
      </c>
      <c r="F1469" s="23" t="str">
        <f>IF(OR(E1469="",E1469="!!!"),"",IF(NOT(ISNA(VLOOKUP(E1469,E$1:E1468,1,FALSE()))),"OLD",IF(AND(E1469&lt;&gt;"",E1469&lt;&gt;"!!!"),"NEW","")))</f>
        <v> </v>
      </c>
      <c r="G1469" s="24" t="str">
        <f>IF(OR(E1469="",E1469="!!!"),"",IF(OR(J1469=0,AND(J1469=1,K1469=1),AND(J1469=1,I1469="SBJ"),AND(J1469=1,I1469=0)),"?IN_FOCUS",IF(J1469&lt;=2,"?ACTIVATED",IF(J1469&lt;&gt;"","?FAMILIAR",IF(F1469="NEW",IF(ISNA(VLOOKUP(E1469,#REF!,1,FALSE())),"?TYPE_IDENTIFIABLE","?REFERENTIAL"),"_")))))</f>
        <v> </v>
      </c>
      <c r="H1469" s="25" t="str">
        <f>IF(J1469&lt;&gt;1,"",IF(I1469="SBJ","CB","?"))</f>
        <v> </v>
      </c>
      <c r="I1469" s="26" t="str">
        <f>IF(OR(E1469="",E1469="!!!",F1469="NEW"),"",INDEX(B1468:B$2,-1+SUMPRODUCT(MAX(ROW(E1468:E$2)*(E1469=E1468:E$2)))))</f>
        <v> </v>
      </c>
      <c r="J1469" s="26" t="str">
        <f>IF(OR(E1469="",E1469="!!!",F1469="NEW"),"",COUNTBLANK(OFFSET(A$1,,,SUMPRODUCT(MAX(ROW(E$2:E1469)*(E1469=E$2:E1469)))))-COUNTBLANK(OFFSET(A$1,,,SUMPRODUCT(MAX(ROW(E$1:E1468)*(E2=E$1:E1468))))))</f>
        <v> </v>
      </c>
      <c r="K1469" s="26" t="str">
        <f>IF(OR(E1469="",E1469="!!!",F1469="NEW"),"",INDEX(J$1:J1468,SUMPRODUCT(MAX(ROW(E$1:E1468)*(E1469=E$1:E1468)))))</f>
        <v> </v>
      </c>
      <c r="L1469" s="27"/>
    </row>
    <row r="1470" spans="1:12">
      <c r="A1470" s="20" t="s">
        <v>1378</v>
      </c>
      <c r="E1470" s="22">
        <f>IF(D1470="?OLD","!!!","")</f>
        <v/>
      </c>
      <c r="F1470" s="23" t="str">
        <f>IF(OR(E1470="",E1470="!!!"),"",IF(NOT(ISNA(VLOOKUP(E1470,E$1:E1469,1,FALSE()))),"OLD",IF(AND(E1470&lt;&gt;"",E1470&lt;&gt;"!!!"),"NEW","")))</f>
        <v> </v>
      </c>
      <c r="G1470" s="24" t="str">
        <f>IF(OR(E1470="",E1470="!!!"),"",IF(OR(J1470=0,AND(J1470=1,K1470=1),AND(J1470=1,I1470="SBJ"),AND(J1470=1,I1470=0)),"?IN_FOCUS",IF(J1470&lt;=2,"?ACTIVATED",IF(J1470&lt;&gt;"","?FAMILIAR",IF(F1470="NEW",IF(ISNA(VLOOKUP(E1470,#REF!,1,FALSE())),"?TYPE_IDENTIFIABLE","?REFERENTIAL"),"_")))))</f>
        <v> </v>
      </c>
      <c r="H1470" s="25" t="str">
        <f>IF(J1470&lt;&gt;1,"",IF(I1470="SBJ","CB","?"))</f>
        <v> </v>
      </c>
      <c r="I1470" s="26" t="str">
        <f>IF(OR(E1470="",E1470="!!!",F1470="NEW"),"",INDEX(B1469:B$2,-1+SUMPRODUCT(MAX(ROW(E1469:E$2)*(E1470=E1469:E$2)))))</f>
        <v> </v>
      </c>
      <c r="J1470" s="26" t="str">
        <f>IF(OR(E1470="",E1470="!!!",F1470="NEW"),"",COUNTBLANK(OFFSET(A$1,,,SUMPRODUCT(MAX(ROW(E$2:E1470)*(E1470=E$2:E1470)))))-COUNTBLANK(OFFSET(A$1,,,SUMPRODUCT(MAX(ROW(E$1:E1469)*(E2=E$1:E1469))))))</f>
        <v> </v>
      </c>
      <c r="K1470" s="26" t="str">
        <f>IF(OR(E1470="",E1470="!!!",F1470="NEW"),"",INDEX(J$1:J1469,SUMPRODUCT(MAX(ROW(E$1:E1469)*(E1470=E$1:E1469)))))</f>
        <v> </v>
      </c>
      <c r="L1470" s="27"/>
    </row>
    <row r="1471" spans="1:12">
      <c r="A1471" s="20" t="s">
        <v>776</v>
      </c>
      <c r="B1471" s="21" t="s">
        <v>764</v>
      </c>
      <c r="C1471" s="21" t="s">
        <v>801</v>
      </c>
      <c r="D1471" s="21" t="s">
        <v>730</v>
      </c>
      <c r="E1471" s="22">
        <f>IF(D1471="?OLD","!!!","")</f>
        <v/>
      </c>
      <c r="F1471" s="23" t="str">
        <f>IF(OR(E1471="",E1471="!!!"),"",IF(NOT(ISNA(VLOOKUP(E1471,E$1:E1470,1,FALSE()))),"OLD",IF(AND(E1471&lt;&gt;"",E1471&lt;&gt;"!!!"),"NEW","")))</f>
        <v> </v>
      </c>
      <c r="G1471" s="24" t="str">
        <f>IF(OR(E1471="",E1471="!!!"),"",IF(OR(J1471=0,AND(J1471=1,K1471=1),AND(J1471=1,I1471="SBJ"),AND(J1471=1,I1471=0)),"?IN_FOCUS",IF(J1471&lt;=2,"?ACTIVATED",IF(J1471&lt;&gt;"","?FAMILIAR",IF(F1471="NEW",IF(ISNA(VLOOKUP(E1471,#REF!,1,FALSE())),"?TYPE_IDENTIFIABLE","?REFERENTIAL"),"_")))))</f>
        <v> </v>
      </c>
      <c r="H1471" s="25" t="str">
        <f>IF(J1471&lt;&gt;1,"",IF(I1471="SBJ","CB","?"))</f>
        <v> </v>
      </c>
      <c r="I1471" s="26" t="str">
        <f>IF(OR(E1471="",E1471="!!!",F1471="NEW"),"",INDEX(B1470:B$2,-1+SUMPRODUCT(MAX(ROW(E1470:E$2)*(E1471=E1470:E$2)))))</f>
        <v> </v>
      </c>
      <c r="J1471" s="26" t="str">
        <f>IF(OR(E1471="",E1471="!!!",F1471="NEW"),"",COUNTBLANK(OFFSET(A$1,,,SUMPRODUCT(MAX(ROW(E$2:E1471)*(E1471=E$2:E1471)))))-COUNTBLANK(OFFSET(A$1,,,SUMPRODUCT(MAX(ROW(E$1:E1470)*(E2=E$1:E1470))))))</f>
        <v> </v>
      </c>
      <c r="K1471" s="26" t="str">
        <f>IF(OR(E1471="",E1471="!!!",F1471="NEW"),"",INDEX(J$1:J1470,SUMPRODUCT(MAX(ROW(E$1:E1470)*(E1471=E$1:E1470)))))</f>
        <v> </v>
      </c>
      <c r="L1471" s="27"/>
    </row>
    <row r="1472" spans="1:12">
      <c r="A1472" s="20" t="s">
        <v>1023</v>
      </c>
      <c r="E1472" s="22">
        <f>IF(D1472="?OLD","!!!","")</f>
        <v/>
      </c>
      <c r="F1472" s="23" t="str">
        <f>IF(OR(E1472="",E1472="!!!"),"",IF(NOT(ISNA(VLOOKUP(E1472,E$1:E1471,1,FALSE()))),"OLD",IF(AND(E1472&lt;&gt;"",E1472&lt;&gt;"!!!"),"NEW","")))</f>
        <v> </v>
      </c>
      <c r="G1472" s="24" t="str">
        <f>IF(OR(E1472="",E1472="!!!"),"",IF(OR(J1472=0,AND(J1472=1,K1472=1),AND(J1472=1,I1472="SBJ"),AND(J1472=1,I1472=0)),"?IN_FOCUS",IF(J1472&lt;=2,"?ACTIVATED",IF(J1472&lt;&gt;"","?FAMILIAR",IF(F1472="NEW",IF(ISNA(VLOOKUP(E1472,#REF!,1,FALSE())),"?TYPE_IDENTIFIABLE","?REFERENTIAL"),"_")))))</f>
        <v> </v>
      </c>
      <c r="H1472" s="25" t="str">
        <f>IF(J1472&lt;&gt;1,"",IF(I1472="SBJ","CB","?"))</f>
        <v> </v>
      </c>
      <c r="I1472" s="26" t="str">
        <f>IF(OR(E1472="",E1472="!!!",F1472="NEW"),"",INDEX(B1471:B$2,-1+SUMPRODUCT(MAX(ROW(E1471:E$2)*(E1472=E1471:E$2)))))</f>
        <v> </v>
      </c>
      <c r="J1472" s="26" t="str">
        <f>IF(OR(E1472="",E1472="!!!",F1472="NEW"),"",COUNTBLANK(OFFSET(A$1,,,SUMPRODUCT(MAX(ROW(E$2:E1472)*(E1472=E$2:E1472)))))-COUNTBLANK(OFFSET(A$1,,,SUMPRODUCT(MAX(ROW(E$1:E1471)*(E2=E$1:E1471))))))</f>
        <v> </v>
      </c>
      <c r="K1472" s="26" t="str">
        <f>IF(OR(E1472="",E1472="!!!",F1472="NEW"),"",INDEX(J$1:J1471,SUMPRODUCT(MAX(ROW(E$1:E1471)*(E1472=E$1:E1471)))))</f>
        <v> </v>
      </c>
      <c r="L1472" s="27"/>
    </row>
    <row r="1473" spans="1:12">
      <c r="A1473" s="20" t="s">
        <v>810</v>
      </c>
      <c r="E1473" s="22">
        <f>IF(D1473="?OLD","!!!","")</f>
        <v/>
      </c>
      <c r="F1473" s="23" t="str">
        <f>IF(OR(E1473="",E1473="!!!"),"",IF(NOT(ISNA(VLOOKUP(E1473,E$1:E1472,1,FALSE()))),"OLD",IF(AND(E1473&lt;&gt;"",E1473&lt;&gt;"!!!"),"NEW","")))</f>
        <v> </v>
      </c>
      <c r="G1473" s="24" t="str">
        <f>IF(OR(E1473="",E1473="!!!"),"",IF(OR(J1473=0,AND(J1473=1,K1473=1),AND(J1473=1,I1473="SBJ"),AND(J1473=1,I1473=0)),"?IN_FOCUS",IF(J1473&lt;=2,"?ACTIVATED",IF(J1473&lt;&gt;"","?FAMILIAR",IF(F1473="NEW",IF(ISNA(VLOOKUP(E1473,#REF!,1,FALSE())),"?TYPE_IDENTIFIABLE","?REFERENTIAL"),"_")))))</f>
        <v> </v>
      </c>
      <c r="H1473" s="25" t="str">
        <f>IF(J1473&lt;&gt;1,"",IF(I1473="SBJ","CB","?"))</f>
        <v> </v>
      </c>
      <c r="I1473" s="26" t="str">
        <f>IF(OR(E1473="",E1473="!!!",F1473="NEW"),"",INDEX(B1472:B$2,-1+SUMPRODUCT(MAX(ROW(E1472:E$2)*(E1473=E1472:E$2)))))</f>
        <v> </v>
      </c>
      <c r="J1473" s="26" t="str">
        <f>IF(OR(E1473="",E1473="!!!",F1473="NEW"),"",COUNTBLANK(OFFSET(A$1,,,SUMPRODUCT(MAX(ROW(E$2:E1473)*(E1473=E$2:E1473)))))-COUNTBLANK(OFFSET(A$1,,,SUMPRODUCT(MAX(ROW(E$1:E1472)*(E2=E$1:E1472))))))</f>
        <v> </v>
      </c>
      <c r="K1473" s="26" t="str">
        <f>IF(OR(E1473="",E1473="!!!",F1473="NEW"),"",INDEX(J$1:J1472,SUMPRODUCT(MAX(ROW(E$1:E1472)*(E1473=E$1:E1472)))))</f>
        <v> </v>
      </c>
      <c r="L1473" s="27"/>
    </row>
    <row r="1474" spans="1:12">
      <c r="A1474" s="20" t="s">
        <v>246</v>
      </c>
      <c r="E1474" s="22">
        <f>IF(D1474="?OLD","!!!","")</f>
        <v/>
      </c>
      <c r="F1474" s="23" t="str">
        <f>IF(OR(E1474="",E1474="!!!"),"",IF(NOT(ISNA(VLOOKUP(E1474,E$1:E1473,1,FALSE()))),"OLD",IF(AND(E1474&lt;&gt;"",E1474&lt;&gt;"!!!"),"NEW","")))</f>
        <v> </v>
      </c>
      <c r="G1474" s="24" t="str">
        <f>IF(OR(E1474="",E1474="!!!"),"",IF(OR(J1474=0,AND(J1474=1,K1474=1),AND(J1474=1,I1474="SBJ"),AND(J1474=1,I1474=0)),"?IN_FOCUS",IF(J1474&lt;=2,"?ACTIVATED",IF(J1474&lt;&gt;"","?FAMILIAR",IF(F1474="NEW",IF(ISNA(VLOOKUP(E1474,#REF!,1,FALSE())),"?TYPE_IDENTIFIABLE","?REFERENTIAL"),"_")))))</f>
        <v> </v>
      </c>
      <c r="H1474" s="25" t="str">
        <f>IF(J1474&lt;&gt;1,"",IF(I1474="SBJ","CB","?"))</f>
        <v> </v>
      </c>
      <c r="I1474" s="26" t="str">
        <f>IF(OR(E1474="",E1474="!!!",F1474="NEW"),"",INDEX(B1473:B$2,-1+SUMPRODUCT(MAX(ROW(E1473:E$2)*(E1474=E1473:E$2)))))</f>
        <v> </v>
      </c>
      <c r="J1474" s="26" t="str">
        <f>IF(OR(E1474="",E1474="!!!",F1474="NEW"),"",COUNTBLANK(OFFSET(A$1,,,SUMPRODUCT(MAX(ROW(E$2:E1474)*(E1474=E$2:E1474)))))-COUNTBLANK(OFFSET(A$1,,,SUMPRODUCT(MAX(ROW(E$1:E1473)*(E2=E$1:E1473))))))</f>
        <v> </v>
      </c>
      <c r="K1474" s="26" t="str">
        <f>IF(OR(E1474="",E1474="!!!",F1474="NEW"),"",INDEX(J$1:J1473,SUMPRODUCT(MAX(ROW(E$1:E1473)*(E1474=E$1:E1473)))))</f>
        <v> </v>
      </c>
      <c r="L1474" s="27"/>
    </row>
    <row r="1475" spans="1:12">
      <c r="A1475" s="20"/>
    </row>
    <row r="1476" spans="1:12">
      <c r="A1476" s="20" t="s">
        <v>798</v>
      </c>
      <c r="E1476" s="22">
        <f>IF(D1476="?OLD","!!!","")</f>
        <v/>
      </c>
      <c r="F1476" s="23" t="str">
        <f>IF(OR(E1476="",E1476="!!!"),"",IF(NOT(ISNA(VLOOKUP(E1476,E$1:E1475,1,FALSE()))),"OLD",IF(AND(E1476&lt;&gt;"",E1476&lt;&gt;"!!!"),"NEW","")))</f>
        <v> </v>
      </c>
      <c r="G1476" s="24" t="str">
        <f>IF(OR(E1476="",E1476="!!!"),"",IF(OR(J1476=0,AND(J1476=1,K1476=1),AND(J1476=1,I1476="SBJ"),AND(J1476=1,I1476=0)),"?IN_FOCUS",IF(J1476&lt;=2,"?ACTIVATED",IF(J1476&lt;&gt;"","?FAMILIAR",IF(F1476="NEW",IF(ISNA(VLOOKUP(E1476,#REF!,1,FALSE())),"?TYPE_IDENTIFIABLE","?REFERENTIAL"),"_")))))</f>
        <v> </v>
      </c>
      <c r="H1476" s="25" t="str">
        <f>IF(J1476&lt;&gt;1,"",IF(I1476="SBJ","CB","?"))</f>
        <v> </v>
      </c>
      <c r="I1476" s="26" t="str">
        <f>IF(OR(E1476="",E1476="!!!",F1476="NEW"),"",INDEX(B1475:B$2,-1+SUMPRODUCT(MAX(ROW(E1475:E$2)*(E1476=E1475:E$2)))))</f>
        <v> </v>
      </c>
      <c r="J1476" s="26" t="str">
        <f>IF(OR(E1476="",E1476="!!!",F1476="NEW"),"",COUNTBLANK(OFFSET(A$1,,,SUMPRODUCT(MAX(ROW(E$2:E1476)*(E1476=E$2:E1476)))))-COUNTBLANK(OFFSET(A$1,,,SUMPRODUCT(MAX(ROW(E$1:E1475)*(E2=E$1:E1475))))))</f>
        <v> </v>
      </c>
      <c r="K1476" s="26" t="str">
        <f>IF(OR(E1476="",E1476="!!!",F1476="NEW"),"",INDEX(J$1:J1475,SUMPRODUCT(MAX(ROW(E$1:E1475)*(E1476=E$1:E1475)))))</f>
        <v> </v>
      </c>
      <c r="L1476" s="27"/>
    </row>
    <row r="1477" spans="1:12">
      <c r="A1477" s="20" t="s">
        <v>1379</v>
      </c>
    </row>
    <row r="1478" spans="1:12">
      <c r="A1478" s="20" t="s">
        <v>727</v>
      </c>
      <c r="B1478" s="21" t="s">
        <v>728</v>
      </c>
      <c r="C1478" s="21" t="s">
        <v>729</v>
      </c>
      <c r="D1478" s="21" t="s">
        <v>730</v>
      </c>
      <c r="E1478" s="22">
        <f>IF(D1478="?OLD","!!!","")</f>
        <v/>
      </c>
      <c r="F1478" s="23" t="str">
        <f>IF(OR(E1478="",E1478="!!!"),"",IF(NOT(ISNA(VLOOKUP(E1478,E$1:E1477,1,FALSE()))),"OLD",IF(AND(E1478&lt;&gt;"",E1478&lt;&gt;"!!!"),"NEW","")))</f>
        <v> </v>
      </c>
      <c r="G1478" s="24" t="str">
        <f>IF(OR(E1478="",E1478="!!!"),"",IF(OR(J1478=0,AND(J1478=1,K1478=1),AND(J1478=1,I1478="SBJ"),AND(J1478=1,I1478=0)),"?IN_FOCUS",IF(J1478&lt;=2,"?ACTIVATED",IF(J1478&lt;&gt;"","?FAMILIAR",IF(F1478="NEW",IF(ISNA(VLOOKUP(E1478,#REF!,1,FALSE())),"?TYPE_IDENTIFIABLE","?REFERENTIAL"),"_")))))</f>
        <v> </v>
      </c>
      <c r="H1478" s="25" t="str">
        <f>IF(J1478&lt;&gt;1,"",IF(I1478="SBJ","CB","?"))</f>
        <v> </v>
      </c>
      <c r="I1478" s="26" t="str">
        <f>IF(OR(E1478="",E1478="!!!",F1478="NEW"),"",INDEX(B1477:B$2,-1+SUMPRODUCT(MAX(ROW(E1477:E$2)*(E1478=E1477:E$2)))))</f>
        <v> </v>
      </c>
      <c r="J1478" s="26" t="str">
        <f>IF(OR(E1478="",E1478="!!!",F1478="NEW"),"",COUNTBLANK(OFFSET(A$1,,,SUMPRODUCT(MAX(ROW(E$2:E1478)*(E1478=E$2:E1478)))))-COUNTBLANK(OFFSET(A$1,,,SUMPRODUCT(MAX(ROW(E$1:E1477)*(E2=E$1:E1477))))))</f>
        <v> </v>
      </c>
      <c r="K1478" s="26" t="str">
        <f>IF(OR(E1478="",E1478="!!!",F1478="NEW"),"",INDEX(J$1:J1477,SUMPRODUCT(MAX(ROW(E$1:E1477)*(E1478=E$1:E1477)))))</f>
        <v> </v>
      </c>
      <c r="L1478" s="27"/>
    </row>
    <row r="1479" spans="1:12">
      <c r="A1479" s="20" t="s">
        <v>1071</v>
      </c>
      <c r="E1479" s="22">
        <f>IF(D1479="?OLD","!!!","")</f>
        <v/>
      </c>
      <c r="F1479" s="23" t="str">
        <f>IF(OR(E1479="",E1479="!!!"),"",IF(NOT(ISNA(VLOOKUP(E1479,E$1:E1478,1,FALSE()))),"OLD",IF(AND(E1479&lt;&gt;"",E1479&lt;&gt;"!!!"),"NEW","")))</f>
        <v> </v>
      </c>
      <c r="G1479" s="24" t="str">
        <f>IF(OR(E1479="",E1479="!!!"),"",IF(OR(J1479=0,AND(J1479=1,K1479=1),AND(J1479=1,I1479="SBJ"),AND(J1479=1,I1479=0)),"?IN_FOCUS",IF(J1479&lt;=2,"?ACTIVATED",IF(J1479&lt;&gt;"","?FAMILIAR",IF(F1479="NEW",IF(ISNA(VLOOKUP(E1479,#REF!,1,FALSE())),"?TYPE_IDENTIFIABLE","?REFERENTIAL"),"_")))))</f>
        <v> </v>
      </c>
      <c r="H1479" s="25" t="str">
        <f>IF(J1479&lt;&gt;1,"",IF(I1479="SBJ","CB","?"))</f>
        <v> </v>
      </c>
      <c r="I1479" s="26" t="str">
        <f>IF(OR(E1479="",E1479="!!!",F1479="NEW"),"",INDEX(B1478:B$2,-1+SUMPRODUCT(MAX(ROW(E1478:E$2)*(E1479=E1478:E$2)))))</f>
        <v> </v>
      </c>
      <c r="J1479" s="26" t="str">
        <f>IF(OR(E1479="",E1479="!!!",F1479="NEW"),"",COUNTBLANK(OFFSET(A$1,,,SUMPRODUCT(MAX(ROW(E$2:E1479)*(E1479=E$2:E1479)))))-COUNTBLANK(OFFSET(A$1,,,SUMPRODUCT(MAX(ROW(E$1:E1478)*(E2=E$1:E1478))))))</f>
        <v> </v>
      </c>
      <c r="K1479" s="26" t="str">
        <f>IF(OR(E1479="",E1479="!!!",F1479="NEW"),"",INDEX(J$1:J1478,SUMPRODUCT(MAX(ROW(E$1:E1478)*(E1479=E$1:E1478)))))</f>
        <v> </v>
      </c>
      <c r="L1479" s="27"/>
    </row>
    <row r="1480" spans="1:12">
      <c r="A1480" s="20" t="s">
        <v>928</v>
      </c>
      <c r="B1480" s="21" t="s">
        <v>764</v>
      </c>
      <c r="C1480" s="21" t="s">
        <v>789</v>
      </c>
      <c r="D1480" s="21" t="s">
        <v>730</v>
      </c>
      <c r="E1480" s="22">
        <f>IF(D1480="?OLD","!!!","")</f>
        <v/>
      </c>
      <c r="F1480" s="23" t="str">
        <f>IF(OR(E1480="",E1480="!!!"),"",IF(NOT(ISNA(VLOOKUP(E1480,E$1:E1479,1,FALSE()))),"OLD",IF(AND(E1480&lt;&gt;"",E1480&lt;&gt;"!!!"),"NEW","")))</f>
        <v> </v>
      </c>
      <c r="G1480" s="24" t="str">
        <f>IF(OR(E1480="",E1480="!!!"),"",IF(OR(J1480=0,AND(J1480=1,K1480=1),AND(J1480=1,I1480="SBJ"),AND(J1480=1,I1480=0)),"?IN_FOCUS",IF(J1480&lt;=2,"?ACTIVATED",IF(J1480&lt;&gt;"","?FAMILIAR",IF(F1480="NEW",IF(ISNA(VLOOKUP(E1480,#REF!,1,FALSE())),"?TYPE_IDENTIFIABLE","?REFERENTIAL"),"_")))))</f>
        <v> </v>
      </c>
      <c r="H1480" s="25" t="str">
        <f>IF(J1480&lt;&gt;1,"",IF(I1480="SBJ","CB","?"))</f>
        <v> </v>
      </c>
      <c r="I1480" s="26" t="str">
        <f>IF(OR(E1480="",E1480="!!!",F1480="NEW"),"",INDEX(B1479:B$2,-1+SUMPRODUCT(MAX(ROW(E1479:E$2)*(E1480=E1479:E$2)))))</f>
        <v> </v>
      </c>
      <c r="J1480" s="26" t="str">
        <f>IF(OR(E1480="",E1480="!!!",F1480="NEW"),"",COUNTBLANK(OFFSET(A$1,,,SUMPRODUCT(MAX(ROW(E$2:E1480)*(E1480=E$2:E1480)))))-COUNTBLANK(OFFSET(A$1,,,SUMPRODUCT(MAX(ROW(E$1:E1479)*(E2=E$1:E1479))))))</f>
        <v> </v>
      </c>
      <c r="K1480" s="26" t="str">
        <f>IF(OR(E1480="",E1480="!!!",F1480="NEW"),"",INDEX(J$1:J1479,SUMPRODUCT(MAX(ROW(E$1:E1479)*(E1480=E$1:E1479)))))</f>
        <v> </v>
      </c>
      <c r="L1480" s="27"/>
    </row>
    <row r="1481" spans="1:12">
      <c r="A1481" s="20" t="s">
        <v>1023</v>
      </c>
      <c r="E1481" s="22">
        <f>IF(D1481="?OLD","!!!","")</f>
        <v/>
      </c>
      <c r="F1481" s="23" t="str">
        <f>IF(OR(E1481="",E1481="!!!"),"",IF(NOT(ISNA(VLOOKUP(E1481,E$1:E1480,1,FALSE()))),"OLD",IF(AND(E1481&lt;&gt;"",E1481&lt;&gt;"!!!"),"NEW","")))</f>
        <v> </v>
      </c>
      <c r="G1481" s="24" t="str">
        <f>IF(OR(E1481="",E1481="!!!"),"",IF(OR(J1481=0,AND(J1481=1,K1481=1),AND(J1481=1,I1481="SBJ"),AND(J1481=1,I1481=0)),"?IN_FOCUS",IF(J1481&lt;=2,"?ACTIVATED",IF(J1481&lt;&gt;"","?FAMILIAR",IF(F1481="NEW",IF(ISNA(VLOOKUP(E1481,#REF!,1,FALSE())),"?TYPE_IDENTIFIABLE","?REFERENTIAL"),"_")))))</f>
        <v> </v>
      </c>
      <c r="H1481" s="25" t="str">
        <f>IF(J1481&lt;&gt;1,"",IF(I1481="SBJ","CB","?"))</f>
        <v> </v>
      </c>
      <c r="I1481" s="26" t="str">
        <f>IF(OR(E1481="",E1481="!!!",F1481="NEW"),"",INDEX(B1480:B$2,-1+SUMPRODUCT(MAX(ROW(E1480:E$2)*(E1481=E1480:E$2)))))</f>
        <v> </v>
      </c>
      <c r="J1481" s="26" t="str">
        <f>IF(OR(E1481="",E1481="!!!",F1481="NEW"),"",COUNTBLANK(OFFSET(A$1,,,SUMPRODUCT(MAX(ROW(E$2:E1481)*(E1481=E$2:E1481)))))-COUNTBLANK(OFFSET(A$1,,,SUMPRODUCT(MAX(ROW(E$1:E1480)*(E2=E$1:E1480))))))</f>
        <v> </v>
      </c>
      <c r="K1481" s="26" t="str">
        <f>IF(OR(E1481="",E1481="!!!",F1481="NEW"),"",INDEX(J$1:J1480,SUMPRODUCT(MAX(ROW(E$1:E1480)*(E1481=E$1:E1480)))))</f>
        <v> </v>
      </c>
      <c r="L1481" s="27"/>
    </row>
    <row r="1482" spans="1:12">
      <c r="A1482" s="20" t="s">
        <v>304</v>
      </c>
      <c r="E1482" s="22">
        <f>IF(D1482="?OLD","!!!","")</f>
        <v/>
      </c>
      <c r="F1482" s="23" t="str">
        <f>IF(OR(E1482="",E1482="!!!"),"",IF(NOT(ISNA(VLOOKUP(E1482,E$1:E1481,1,FALSE()))),"OLD",IF(AND(E1482&lt;&gt;"",E1482&lt;&gt;"!!!"),"NEW","")))</f>
        <v> </v>
      </c>
      <c r="G1482" s="24" t="str">
        <f>IF(OR(E1482="",E1482="!!!"),"",IF(OR(J1482=0,AND(J1482=1,K1482=1),AND(J1482=1,I1482="SBJ"),AND(J1482=1,I1482=0)),"?IN_FOCUS",IF(J1482&lt;=2,"?ACTIVATED",IF(J1482&lt;&gt;"","?FAMILIAR",IF(F1482="NEW",IF(ISNA(VLOOKUP(E1482,#REF!,1,FALSE())),"?TYPE_IDENTIFIABLE","?REFERENTIAL"),"_")))))</f>
        <v> </v>
      </c>
      <c r="H1482" s="25" t="str">
        <f>IF(J1482&lt;&gt;1,"",IF(I1482="SBJ","CB","?"))</f>
        <v> </v>
      </c>
      <c r="I1482" s="26" t="str">
        <f>IF(OR(E1482="",E1482="!!!",F1482="NEW"),"",INDEX(B1481:B$2,-1+SUMPRODUCT(MAX(ROW(E1481:E$2)*(E1482=E1481:E$2)))))</f>
        <v> </v>
      </c>
      <c r="J1482" s="26" t="str">
        <f>IF(OR(E1482="",E1482="!!!",F1482="NEW"),"",COUNTBLANK(OFFSET(A$1,,,SUMPRODUCT(MAX(ROW(E$2:E1482)*(E1482=E$2:E1482)))))-COUNTBLANK(OFFSET(A$1,,,SUMPRODUCT(MAX(ROW(E$1:E1481)*(E2=E$1:E1481))))))</f>
        <v> </v>
      </c>
      <c r="K1482" s="26" t="str">
        <f>IF(OR(E1482="",E1482="!!!",F1482="NEW"),"",INDEX(J$1:J1481,SUMPRODUCT(MAX(ROW(E$1:E1481)*(E1482=E$1:E1481)))))</f>
        <v> </v>
      </c>
      <c r="L1482" s="27"/>
    </row>
    <row r="1483" spans="1:12">
      <c r="A1483" s="20" t="s">
        <v>759</v>
      </c>
      <c r="E1483" s="22">
        <f>IF(D1483="?OLD","!!!","")</f>
        <v/>
      </c>
      <c r="F1483" s="23" t="str">
        <f>IF(OR(E1483="",E1483="!!!"),"",IF(NOT(ISNA(VLOOKUP(E1483,E$1:E1482,1,FALSE()))),"OLD",IF(AND(E1483&lt;&gt;"",E1483&lt;&gt;"!!!"),"NEW","")))</f>
        <v> </v>
      </c>
      <c r="G1483" s="24" t="str">
        <f>IF(OR(E1483="",E1483="!!!"),"",IF(OR(J1483=0,AND(J1483=1,K1483=1),AND(J1483=1,I1483="SBJ"),AND(J1483=1,I1483=0)),"?IN_FOCUS",IF(J1483&lt;=2,"?ACTIVATED",IF(J1483&lt;&gt;"","?FAMILIAR",IF(F1483="NEW",IF(ISNA(VLOOKUP(E1483,#REF!,1,FALSE())),"?TYPE_IDENTIFIABLE","?REFERENTIAL"),"_")))))</f>
        <v> </v>
      </c>
      <c r="H1483" s="25" t="str">
        <f>IF(J1483&lt;&gt;1,"",IF(I1483="SBJ","CB","?"))</f>
        <v> </v>
      </c>
      <c r="I1483" s="26" t="str">
        <f>IF(OR(E1483="",E1483="!!!",F1483="NEW"),"",INDEX(B1482:B$2,-1+SUMPRODUCT(MAX(ROW(E1482:E$2)*(E1483=E1482:E$2)))))</f>
        <v> </v>
      </c>
      <c r="J1483" s="26" t="str">
        <f>IF(OR(E1483="",E1483="!!!",F1483="NEW"),"",COUNTBLANK(OFFSET(A$1,,,SUMPRODUCT(MAX(ROW(E$2:E1483)*(E1483=E$2:E1483)))))-COUNTBLANK(OFFSET(A$1,,,SUMPRODUCT(MAX(ROW(E$1:E1482)*(E2=E$1:E1482))))))</f>
        <v> </v>
      </c>
      <c r="K1483" s="26" t="str">
        <f>IF(OR(E1483="",E1483="!!!",F1483="NEW"),"",INDEX(J$1:J1482,SUMPRODUCT(MAX(ROW(E$1:E1482)*(E1483=E$1:E1482)))))</f>
        <v> </v>
      </c>
      <c r="L1483" s="27"/>
    </row>
    <row r="1484" spans="1:12">
      <c r="A1484" s="20" t="s">
        <v>1380</v>
      </c>
      <c r="E1484" s="22">
        <f>IF(D1484="?OLD","!!!","")</f>
        <v/>
      </c>
      <c r="F1484" s="23" t="str">
        <f>IF(OR(E1484="",E1484="!!!"),"",IF(NOT(ISNA(VLOOKUP(E1484,E$1:E1483,1,FALSE()))),"OLD",IF(AND(E1484&lt;&gt;"",E1484&lt;&gt;"!!!"),"NEW","")))</f>
        <v> </v>
      </c>
      <c r="G1484" s="24" t="str">
        <f>IF(OR(E1484="",E1484="!!!"),"",IF(OR(J1484=0,AND(J1484=1,K1484=1),AND(J1484=1,I1484="SBJ"),AND(J1484=1,I1484=0)),"?IN_FOCUS",IF(J1484&lt;=2,"?ACTIVATED",IF(J1484&lt;&gt;"","?FAMILIAR",IF(F1484="NEW",IF(ISNA(VLOOKUP(E1484,#REF!,1,FALSE())),"?TYPE_IDENTIFIABLE","?REFERENTIAL"),"_")))))</f>
        <v> </v>
      </c>
      <c r="H1484" s="25" t="str">
        <f>IF(J1484&lt;&gt;1,"",IF(I1484="SBJ","CB","?"))</f>
        <v> </v>
      </c>
      <c r="I1484" s="26" t="str">
        <f>IF(OR(E1484="",E1484="!!!",F1484="NEW"),"",INDEX(B1483:B$2,-1+SUMPRODUCT(MAX(ROW(E1483:E$2)*(E1484=E1483:E$2)))))</f>
        <v> </v>
      </c>
      <c r="J1484" s="26" t="str">
        <f>IF(OR(E1484="",E1484="!!!",F1484="NEW"),"",COUNTBLANK(OFFSET(A$1,,,SUMPRODUCT(MAX(ROW(E$2:E1484)*(E1484=E$2:E1484)))))-COUNTBLANK(OFFSET(A$1,,,SUMPRODUCT(MAX(ROW(E$1:E1483)*(E2=E$1:E1483))))))</f>
        <v> </v>
      </c>
      <c r="K1484" s="26" t="str">
        <f>IF(OR(E1484="",E1484="!!!",F1484="NEW"),"",INDEX(J$1:J1483,SUMPRODUCT(MAX(ROW(E$1:E1483)*(E1484=E$1:E1483)))))</f>
        <v> </v>
      </c>
      <c r="L1484" s="27"/>
    </row>
    <row r="1485" spans="1:12">
      <c r="A1485" s="20" t="s">
        <v>750</v>
      </c>
      <c r="B1485" s="21" t="s">
        <v>796</v>
      </c>
      <c r="C1485" s="21" t="s">
        <v>729</v>
      </c>
      <c r="D1485" s="21" t="s">
        <v>730</v>
      </c>
      <c r="E1485" s="22">
        <f>IF(D1485="?OLD","!!!","")</f>
        <v/>
      </c>
      <c r="F1485" s="23" t="str">
        <f>IF(OR(E1485="",E1485="!!!"),"",IF(NOT(ISNA(VLOOKUP(E1485,E$1:E1484,1,FALSE()))),"OLD",IF(AND(E1485&lt;&gt;"",E1485&lt;&gt;"!!!"),"NEW","")))</f>
        <v> </v>
      </c>
      <c r="G1485" s="24" t="str">
        <f>IF(OR(E1485="",E1485="!!!"),"",IF(OR(J1485=0,AND(J1485=1,K1485=1),AND(J1485=1,I1485="SBJ"),AND(J1485=1,I1485=0)),"?IN_FOCUS",IF(J1485&lt;=2,"?ACTIVATED",IF(J1485&lt;&gt;"","?FAMILIAR",IF(F1485="NEW",IF(ISNA(VLOOKUP(E1485,#REF!,1,FALSE())),"?TYPE_IDENTIFIABLE","?REFERENTIAL"),"_")))))</f>
        <v> </v>
      </c>
      <c r="H1485" s="25" t="str">
        <f>IF(J1485&lt;&gt;1,"",IF(I1485="SBJ","CB","?"))</f>
        <v> </v>
      </c>
      <c r="I1485" s="26" t="str">
        <f>IF(OR(E1485="",E1485="!!!",F1485="NEW"),"",INDEX(B1484:B$2,-1+SUMPRODUCT(MAX(ROW(E1484:E$2)*(E1485=E1484:E$2)))))</f>
        <v> </v>
      </c>
      <c r="J1485" s="26" t="str">
        <f>IF(OR(E1485="",E1485="!!!",F1485="NEW"),"",COUNTBLANK(OFFSET(A$1,,,SUMPRODUCT(MAX(ROW(E$2:E1485)*(E1485=E$2:E1485)))))-COUNTBLANK(OFFSET(A$1,,,SUMPRODUCT(MAX(ROW(E$1:E1484)*(E2=E$1:E1484))))))</f>
        <v> </v>
      </c>
      <c r="K1485" s="26" t="str">
        <f>IF(OR(E1485="",E1485="!!!",F1485="NEW"),"",INDEX(J$1:J1484,SUMPRODUCT(MAX(ROW(E$1:E1484)*(E1485=E$1:E1484)))))</f>
        <v> </v>
      </c>
      <c r="L1485" s="27"/>
    </row>
    <row r="1486" spans="1:12">
      <c r="A1486" s="20" t="s">
        <v>1381</v>
      </c>
      <c r="E1486" s="22">
        <f>IF(D1486="?OLD","!!!","")</f>
        <v/>
      </c>
      <c r="F1486" s="23" t="str">
        <f>IF(OR(E1486="",E1486="!!!"),"",IF(NOT(ISNA(VLOOKUP(E1486,E$1:E1485,1,FALSE()))),"OLD",IF(AND(E1486&lt;&gt;"",E1486&lt;&gt;"!!!"),"NEW","")))</f>
        <v> </v>
      </c>
      <c r="G1486" s="24" t="str">
        <f>IF(OR(E1486="",E1486="!!!"),"",IF(OR(J1486=0,AND(J1486=1,K1486=1),AND(J1486=1,I1486="SBJ"),AND(J1486=1,I1486=0)),"?IN_FOCUS",IF(J1486&lt;=2,"?ACTIVATED",IF(J1486&lt;&gt;"","?FAMILIAR",IF(F1486="NEW",IF(ISNA(VLOOKUP(E1486,#REF!,1,FALSE())),"?TYPE_IDENTIFIABLE","?REFERENTIAL"),"_")))))</f>
        <v> </v>
      </c>
      <c r="H1486" s="25" t="str">
        <f>IF(J1486&lt;&gt;1,"",IF(I1486="SBJ","CB","?"))</f>
        <v> </v>
      </c>
      <c r="I1486" s="26" t="str">
        <f>IF(OR(E1486="",E1486="!!!",F1486="NEW"),"",INDEX(B1485:B$2,-1+SUMPRODUCT(MAX(ROW(E1485:E$2)*(E1486=E1485:E$2)))))</f>
        <v> </v>
      </c>
      <c r="J1486" s="26" t="str">
        <f>IF(OR(E1486="",E1486="!!!",F1486="NEW"),"",COUNTBLANK(OFFSET(A$1,,,SUMPRODUCT(MAX(ROW(E$2:E1486)*(E1486=E$2:E1486)))))-COUNTBLANK(OFFSET(A$1,,,SUMPRODUCT(MAX(ROW(E$1:E1485)*(E2=E$1:E1485))))))</f>
        <v> </v>
      </c>
      <c r="K1486" s="26" t="str">
        <f>IF(OR(E1486="",E1486="!!!",F1486="NEW"),"",INDEX(J$1:J1485,SUMPRODUCT(MAX(ROW(E$1:E1485)*(E1486=E$1:E1485)))))</f>
        <v> </v>
      </c>
      <c r="L1486" s="27"/>
    </row>
    <row r="1487" spans="1:12">
      <c r="A1487" s="20" t="s">
        <v>1147</v>
      </c>
      <c r="E1487" s="22">
        <f>IF(D1487="?OLD","!!!","")</f>
        <v/>
      </c>
      <c r="F1487" s="23" t="str">
        <f>IF(OR(E1487="",E1487="!!!"),"",IF(NOT(ISNA(VLOOKUP(E1487,E$1:E1486,1,FALSE()))),"OLD",IF(AND(E1487&lt;&gt;"",E1487&lt;&gt;"!!!"),"NEW","")))</f>
        <v> </v>
      </c>
      <c r="G1487" s="24" t="str">
        <f>IF(OR(E1487="",E1487="!!!"),"",IF(OR(J1487=0,AND(J1487=1,K1487=1),AND(J1487=1,I1487="SBJ"),AND(J1487=1,I1487=0)),"?IN_FOCUS",IF(J1487&lt;=2,"?ACTIVATED",IF(J1487&lt;&gt;"","?FAMILIAR",IF(F1487="NEW",IF(ISNA(VLOOKUP(E1487,#REF!,1,FALSE())),"?TYPE_IDENTIFIABLE","?REFERENTIAL"),"_")))))</f>
        <v> </v>
      </c>
      <c r="H1487" s="25" t="str">
        <f>IF(J1487&lt;&gt;1,"",IF(I1487="SBJ","CB","?"))</f>
        <v> </v>
      </c>
      <c r="I1487" s="26" t="str">
        <f>IF(OR(E1487="",E1487="!!!",F1487="NEW"),"",INDEX(B1486:B$2,-1+SUMPRODUCT(MAX(ROW(E1486:E$2)*(E1487=E1486:E$2)))))</f>
        <v> </v>
      </c>
      <c r="J1487" s="26" t="str">
        <f>IF(OR(E1487="",E1487="!!!",F1487="NEW"),"",COUNTBLANK(OFFSET(A$1,,,SUMPRODUCT(MAX(ROW(E$2:E1487)*(E1487=E$2:E1487)))))-COUNTBLANK(OFFSET(A$1,,,SUMPRODUCT(MAX(ROW(E$1:E1486)*(E2=E$1:E1486))))))</f>
        <v> </v>
      </c>
      <c r="K1487" s="26" t="str">
        <f>IF(OR(E1487="",E1487="!!!",F1487="NEW"),"",INDEX(J$1:J1486,SUMPRODUCT(MAX(ROW(E$1:E1486)*(E1487=E$1:E1486)))))</f>
        <v> </v>
      </c>
      <c r="L1487" s="27"/>
    </row>
    <row r="1488" spans="1:12">
      <c r="A1488" s="20" t="s">
        <v>817</v>
      </c>
      <c r="E1488" s="22">
        <f>IF(D1488="?OLD","!!!","")</f>
        <v/>
      </c>
      <c r="F1488" s="23" t="str">
        <f>IF(OR(E1488="",E1488="!!!"),"",IF(NOT(ISNA(VLOOKUP(E1488,E$1:E1487,1,FALSE()))),"OLD",IF(AND(E1488&lt;&gt;"",E1488&lt;&gt;"!!!"),"NEW","")))</f>
        <v> </v>
      </c>
      <c r="G1488" s="24" t="str">
        <f>IF(OR(E1488="",E1488="!!!"),"",IF(OR(J1488=0,AND(J1488=1,K1488=1),AND(J1488=1,I1488="SBJ"),AND(J1488=1,I1488=0)),"?IN_FOCUS",IF(J1488&lt;=2,"?ACTIVATED",IF(J1488&lt;&gt;"","?FAMILIAR",IF(F1488="NEW",IF(ISNA(VLOOKUP(E1488,#REF!,1,FALSE())),"?TYPE_IDENTIFIABLE","?REFERENTIAL"),"_")))))</f>
        <v> </v>
      </c>
      <c r="H1488" s="25" t="str">
        <f>IF(J1488&lt;&gt;1,"",IF(I1488="SBJ","CB","?"))</f>
        <v> </v>
      </c>
      <c r="I1488" s="26" t="str">
        <f>IF(OR(E1488="",E1488="!!!",F1488="NEW"),"",INDEX(B1487:B$2,-1+SUMPRODUCT(MAX(ROW(E1487:E$2)*(E1488=E1487:E$2)))))</f>
        <v> </v>
      </c>
      <c r="J1488" s="26" t="str">
        <f>IF(OR(E1488="",E1488="!!!",F1488="NEW"),"",COUNTBLANK(OFFSET(A$1,,,SUMPRODUCT(MAX(ROW(E$2:E1488)*(E1488=E$2:E1488)))))-COUNTBLANK(OFFSET(A$1,,,SUMPRODUCT(MAX(ROW(E$1:E1487)*(E2=E$1:E1487))))))</f>
        <v> </v>
      </c>
      <c r="K1488" s="26" t="str">
        <f>IF(OR(E1488="",E1488="!!!",F1488="NEW"),"",INDEX(J$1:J1487,SUMPRODUCT(MAX(ROW(E$1:E1487)*(E1488=E$1:E1487)))))</f>
        <v> </v>
      </c>
      <c r="L1488" s="27"/>
    </row>
    <row r="1489" spans="1:12">
      <c r="A1489" s="20" t="s">
        <v>1382</v>
      </c>
      <c r="B1489" s="21" t="s">
        <v>788</v>
      </c>
      <c r="C1489" s="21" t="s">
        <v>789</v>
      </c>
      <c r="D1489" s="21" t="s">
        <v>730</v>
      </c>
      <c r="E1489" s="22">
        <f>IF(D1489="?OLD","!!!","")</f>
        <v/>
      </c>
      <c r="F1489" s="23" t="str">
        <f>IF(OR(E1489="",E1489="!!!"),"",IF(NOT(ISNA(VLOOKUP(E1489,E$1:E1488,1,FALSE()))),"OLD",IF(AND(E1489&lt;&gt;"",E1489&lt;&gt;"!!!"),"NEW","")))</f>
        <v> </v>
      </c>
      <c r="G1489" s="24" t="str">
        <f>IF(OR(E1489="",E1489="!!!"),"",IF(OR(J1489=0,AND(J1489=1,K1489=1),AND(J1489=1,I1489="SBJ"),AND(J1489=1,I1489=0)),"?IN_FOCUS",IF(J1489&lt;=2,"?ACTIVATED",IF(J1489&lt;&gt;"","?FAMILIAR",IF(F1489="NEW",IF(ISNA(VLOOKUP(E1489,#REF!,1,FALSE())),"?TYPE_IDENTIFIABLE","?REFERENTIAL"),"_")))))</f>
        <v> </v>
      </c>
      <c r="H1489" s="25" t="str">
        <f>IF(J1489&lt;&gt;1,"",IF(I1489="SBJ","CB","?"))</f>
        <v> </v>
      </c>
      <c r="I1489" s="26" t="str">
        <f>IF(OR(E1489="",E1489="!!!",F1489="NEW"),"",INDEX(B1488:B$2,-1+SUMPRODUCT(MAX(ROW(E1488:E$2)*(E1489=E1488:E$2)))))</f>
        <v> </v>
      </c>
      <c r="J1489" s="26" t="str">
        <f>IF(OR(E1489="",E1489="!!!",F1489="NEW"),"",COUNTBLANK(OFFSET(A$1,,,SUMPRODUCT(MAX(ROW(E$2:E1489)*(E1489=E$2:E1489)))))-COUNTBLANK(OFFSET(A$1,,,SUMPRODUCT(MAX(ROW(E$1:E1488)*(E2=E$1:E1488))))))</f>
        <v> </v>
      </c>
      <c r="K1489" s="26" t="str">
        <f>IF(OR(E1489="",E1489="!!!",F1489="NEW"),"",INDEX(J$1:J1488,SUMPRODUCT(MAX(ROW(E$1:E1488)*(E1489=E$1:E1488)))))</f>
        <v> </v>
      </c>
      <c r="L1489" s="27"/>
    </row>
    <row r="1490" spans="1:12">
      <c r="A1490" s="20" t="s">
        <v>421</v>
      </c>
      <c r="E1490" s="22">
        <f>IF(D1490="?OLD","!!!","")</f>
        <v/>
      </c>
      <c r="F1490" s="23" t="str">
        <f>IF(OR(E1490="",E1490="!!!"),"",IF(NOT(ISNA(VLOOKUP(E1490,E$1:E1489,1,FALSE()))),"OLD",IF(AND(E1490&lt;&gt;"",E1490&lt;&gt;"!!!"),"NEW","")))</f>
        <v> </v>
      </c>
      <c r="G1490" s="24" t="str">
        <f>IF(OR(E1490="",E1490="!!!"),"",IF(OR(J1490=0,AND(J1490=1,K1490=1),AND(J1490=1,I1490="SBJ"),AND(J1490=1,I1490=0)),"?IN_FOCUS",IF(J1490&lt;=2,"?ACTIVATED",IF(J1490&lt;&gt;"","?FAMILIAR",IF(F1490="NEW",IF(ISNA(VLOOKUP(E1490,#REF!,1,FALSE())),"?TYPE_IDENTIFIABLE","?REFERENTIAL"),"_")))))</f>
        <v> </v>
      </c>
      <c r="H1490" s="25" t="str">
        <f>IF(J1490&lt;&gt;1,"",IF(I1490="SBJ","CB","?"))</f>
        <v> </v>
      </c>
      <c r="I1490" s="26" t="str">
        <f>IF(OR(E1490="",E1490="!!!",F1490="NEW"),"",INDEX(B1489:B$2,-1+SUMPRODUCT(MAX(ROW(E1489:E$2)*(E1490=E1489:E$2)))))</f>
        <v> </v>
      </c>
      <c r="J1490" s="26" t="str">
        <f>IF(OR(E1490="",E1490="!!!",F1490="NEW"),"",COUNTBLANK(OFFSET(A$1,,,SUMPRODUCT(MAX(ROW(E$2:E1490)*(E1490=E$2:E1490)))))-COUNTBLANK(OFFSET(A$1,,,SUMPRODUCT(MAX(ROW(E$1:E1489)*(E2=E$1:E1489))))))</f>
        <v> </v>
      </c>
      <c r="K1490" s="26" t="str">
        <f>IF(OR(E1490="",E1490="!!!",F1490="NEW"),"",INDEX(J$1:J1489,SUMPRODUCT(MAX(ROW(E$1:E1489)*(E1490=E$1:E1489)))))</f>
        <v> </v>
      </c>
      <c r="L1490" s="27"/>
    </row>
    <row r="1491" spans="1:12">
      <c r="A1491" s="20" t="s">
        <v>754</v>
      </c>
      <c r="B1491" s="21" t="s">
        <v>783</v>
      </c>
      <c r="C1491" s="21" t="s">
        <v>756</v>
      </c>
      <c r="E1491" s="22">
        <f>IF(D1491="?OLD","!!!","")</f>
        <v/>
      </c>
      <c r="F1491" s="23" t="str">
        <f>IF(OR(E1491="",E1491="!!!"),"",IF(NOT(ISNA(VLOOKUP(E1491,E$1:E1490,1,FALSE()))),"OLD",IF(AND(E1491&lt;&gt;"",E1491&lt;&gt;"!!!"),"NEW","")))</f>
        <v> </v>
      </c>
      <c r="G1491" s="24" t="str">
        <f>IF(OR(E1491="",E1491="!!!"),"",IF(OR(J1491=0,AND(J1491=1,K1491=1),AND(J1491=1,I1491="SBJ"),AND(J1491=1,I1491=0)),"?IN_FOCUS",IF(J1491&lt;=2,"?ACTIVATED",IF(J1491&lt;&gt;"","?FAMILIAR",IF(F1491="NEW",IF(ISNA(VLOOKUP(E1491,#REF!,1,FALSE())),"?TYPE_IDENTIFIABLE","?REFERENTIAL"),"_")))))</f>
        <v> </v>
      </c>
      <c r="H1491" s="25" t="str">
        <f>IF(J1491&lt;&gt;1,"",IF(I1491="SBJ","CB","?"))</f>
        <v> </v>
      </c>
      <c r="I1491" s="26" t="str">
        <f>IF(OR(E1491="",E1491="!!!",F1491="NEW"),"",INDEX(B1490:B$2,-1+SUMPRODUCT(MAX(ROW(E1490:E$2)*(E1491=E1490:E$2)))))</f>
        <v> </v>
      </c>
      <c r="J1491" s="26" t="str">
        <f>IF(OR(E1491="",E1491="!!!",F1491="NEW"),"",COUNTBLANK(OFFSET(A$1,,,SUMPRODUCT(MAX(ROW(E$2:E1491)*(E1491=E$2:E1491)))))-COUNTBLANK(OFFSET(A$1,,,SUMPRODUCT(MAX(ROW(E$1:E1490)*(E2=E$1:E1490))))))</f>
        <v> </v>
      </c>
      <c r="K1491" s="26" t="str">
        <f>IF(OR(E1491="",E1491="!!!",F1491="NEW"),"",INDEX(J$1:J1490,SUMPRODUCT(MAX(ROW(E$1:E1490)*(E1491=E$1:E1490)))))</f>
        <v> </v>
      </c>
      <c r="L1491" s="27"/>
    </row>
    <row r="1492" spans="1:12">
      <c r="A1492" s="20" t="s">
        <v>751</v>
      </c>
      <c r="E1492" s="22">
        <f>IF(D1492="?OLD","!!!","")</f>
        <v/>
      </c>
      <c r="F1492" s="23" t="str">
        <f>IF(OR(E1492="",E1492="!!!"),"",IF(NOT(ISNA(VLOOKUP(E1492,E$1:E1491,1,FALSE()))),"OLD",IF(AND(E1492&lt;&gt;"",E1492&lt;&gt;"!!!"),"NEW","")))</f>
        <v> </v>
      </c>
      <c r="G1492" s="24" t="str">
        <f>IF(OR(E1492="",E1492="!!!"),"",IF(OR(J1492=0,AND(J1492=1,K1492=1),AND(J1492=1,I1492="SBJ"),AND(J1492=1,I1492=0)),"?IN_FOCUS",IF(J1492&lt;=2,"?ACTIVATED",IF(J1492&lt;&gt;"","?FAMILIAR",IF(F1492="NEW",IF(ISNA(VLOOKUP(E1492,#REF!,1,FALSE())),"?TYPE_IDENTIFIABLE","?REFERENTIAL"),"_")))))</f>
        <v> </v>
      </c>
      <c r="H1492" s="25" t="str">
        <f>IF(J1492&lt;&gt;1,"",IF(I1492="SBJ","CB","?"))</f>
        <v> </v>
      </c>
      <c r="I1492" s="26" t="str">
        <f>IF(OR(E1492="",E1492="!!!",F1492="NEW"),"",INDEX(B1491:B$2,-1+SUMPRODUCT(MAX(ROW(E1491:E$2)*(E1492=E1491:E$2)))))</f>
        <v> </v>
      </c>
      <c r="J1492" s="26" t="str">
        <f>IF(OR(E1492="",E1492="!!!",F1492="NEW"),"",COUNTBLANK(OFFSET(A$1,,,SUMPRODUCT(MAX(ROW(E$2:E1492)*(E1492=E$2:E1492)))))-COUNTBLANK(OFFSET(A$1,,,SUMPRODUCT(MAX(ROW(E$1:E1491)*(E2=E$1:E1491))))))</f>
        <v> </v>
      </c>
      <c r="K1492" s="26" t="str">
        <f>IF(OR(E1492="",E1492="!!!",F1492="NEW"),"",INDEX(J$1:J1491,SUMPRODUCT(MAX(ROW(E$1:E1491)*(E1492=E$1:E1491)))))</f>
        <v> </v>
      </c>
      <c r="L1492" s="27"/>
    </row>
    <row r="1493" spans="1:12">
      <c r="A1493" s="20" t="s">
        <v>1369</v>
      </c>
      <c r="B1493" s="21" t="s">
        <v>755</v>
      </c>
      <c r="C1493" s="21" t="s">
        <v>753</v>
      </c>
      <c r="D1493" s="21" t="s">
        <v>730</v>
      </c>
      <c r="E1493" s="22">
        <f>IF(D1493="?OLD","!!!","")</f>
        <v/>
      </c>
      <c r="F1493" s="23" t="str">
        <f>IF(OR(E1493="",E1493="!!!"),"",IF(NOT(ISNA(VLOOKUP(E1493,E$1:E1492,1,FALSE()))),"OLD",IF(AND(E1493&lt;&gt;"",E1493&lt;&gt;"!!!"),"NEW","")))</f>
        <v> </v>
      </c>
      <c r="G1493" s="24" t="str">
        <f>IF(OR(E1493="",E1493="!!!"),"",IF(OR(J1493=0,AND(J1493=1,K1493=1),AND(J1493=1,I1493="SBJ"),AND(J1493=1,I1493=0)),"?IN_FOCUS",IF(J1493&lt;=2,"?ACTIVATED",IF(J1493&lt;&gt;"","?FAMILIAR",IF(F1493="NEW",IF(ISNA(VLOOKUP(E1493,#REF!,1,FALSE())),"?TYPE_IDENTIFIABLE","?REFERENTIAL"),"_")))))</f>
        <v> </v>
      </c>
      <c r="H1493" s="25" t="str">
        <f>IF(J1493&lt;&gt;1,"",IF(I1493="SBJ","CB","?"))</f>
        <v> </v>
      </c>
      <c r="I1493" s="26" t="str">
        <f>IF(OR(E1493="",E1493="!!!",F1493="NEW"),"",INDEX(B1492:B$2,-1+SUMPRODUCT(MAX(ROW(E1492:E$2)*(E1493=E1492:E$2)))))</f>
        <v> </v>
      </c>
      <c r="J1493" s="26" t="str">
        <f>IF(OR(E1493="",E1493="!!!",F1493="NEW"),"",COUNTBLANK(OFFSET(A$1,,,SUMPRODUCT(MAX(ROW(E$2:E1493)*(E1493=E$2:E1493)))))-COUNTBLANK(OFFSET(A$1,,,SUMPRODUCT(MAX(ROW(E$1:E1492)*(E2=E$1:E1492))))))</f>
        <v> </v>
      </c>
      <c r="K1493" s="26" t="str">
        <f>IF(OR(E1493="",E1493="!!!",F1493="NEW"),"",INDEX(J$1:J1492,SUMPRODUCT(MAX(ROW(E$1:E1492)*(E1493=E$1:E1492)))))</f>
        <v> </v>
      </c>
      <c r="L1493" s="27"/>
    </row>
    <row r="1494" spans="1:12">
      <c r="A1494" s="20" t="s">
        <v>246</v>
      </c>
      <c r="E1494" s="22">
        <f>IF(D1494="?OLD","!!!","")</f>
        <v/>
      </c>
      <c r="F1494" s="23" t="str">
        <f>IF(OR(E1494="",E1494="!!!"),"",IF(NOT(ISNA(VLOOKUP(E1494,E$1:E1493,1,FALSE()))),"OLD",IF(AND(E1494&lt;&gt;"",E1494&lt;&gt;"!!!"),"NEW","")))</f>
        <v> </v>
      </c>
      <c r="G1494" s="24" t="str">
        <f>IF(OR(E1494="",E1494="!!!"),"",IF(OR(J1494=0,AND(J1494=1,K1494=1),AND(J1494=1,I1494="SBJ"),AND(J1494=1,I1494=0)),"?IN_FOCUS",IF(J1494&lt;=2,"?ACTIVATED",IF(J1494&lt;&gt;"","?FAMILIAR",IF(F1494="NEW",IF(ISNA(VLOOKUP(E1494,#REF!,1,FALSE())),"?TYPE_IDENTIFIABLE","?REFERENTIAL"),"_")))))</f>
        <v> </v>
      </c>
      <c r="H1494" s="25" t="str">
        <f>IF(J1494&lt;&gt;1,"",IF(I1494="SBJ","CB","?"))</f>
        <v> </v>
      </c>
      <c r="I1494" s="26" t="str">
        <f>IF(OR(E1494="",E1494="!!!",F1494="NEW"),"",INDEX(B1493:B$2,-1+SUMPRODUCT(MAX(ROW(E1493:E$2)*(E1494=E1493:E$2)))))</f>
        <v> </v>
      </c>
      <c r="J1494" s="26" t="str">
        <f>IF(OR(E1494="",E1494="!!!",F1494="NEW"),"",COUNTBLANK(OFFSET(A$1,,,SUMPRODUCT(MAX(ROW(E$2:E1494)*(E1494=E$2:E1494)))))-COUNTBLANK(OFFSET(A$1,,,SUMPRODUCT(MAX(ROW(E$1:E1493)*(E2=E$1:E1493))))))</f>
        <v> </v>
      </c>
      <c r="K1494" s="26" t="str">
        <f>IF(OR(E1494="",E1494="!!!",F1494="NEW"),"",INDEX(J$1:J1493,SUMPRODUCT(MAX(ROW(E$1:E1493)*(E1494=E$1:E1493)))))</f>
        <v> </v>
      </c>
      <c r="L1494" s="27"/>
    </row>
    <row r="1495" spans="1:12">
      <c r="A1495" s="20"/>
    </row>
    <row r="1496" spans="1:12">
      <c r="A1496" s="20" t="s">
        <v>1383</v>
      </c>
    </row>
    <row r="1497" spans="1:12">
      <c r="A1497" s="20" t="s">
        <v>1382</v>
      </c>
      <c r="B1497" s="21" t="s">
        <v>728</v>
      </c>
      <c r="C1497" s="21" t="s">
        <v>789</v>
      </c>
      <c r="D1497" s="21" t="s">
        <v>730</v>
      </c>
      <c r="E1497" s="22">
        <f>IF(D1497="?OLD","!!!","")</f>
        <v/>
      </c>
      <c r="F1497" s="23" t="str">
        <f>IF(OR(E1497="",E1497="!!!"),"",IF(NOT(ISNA(VLOOKUP(E1497,E$1:E1496,1,FALSE()))),"OLD",IF(AND(E1497&lt;&gt;"",E1497&lt;&gt;"!!!"),"NEW","")))</f>
        <v> </v>
      </c>
      <c r="G1497" s="24" t="str">
        <f>IF(OR(E1497="",E1497="!!!"),"",IF(OR(J1497=0,AND(J1497=1,K1497=1),AND(J1497=1,I1497="SBJ"),AND(J1497=1,I1497=0)),"?IN_FOCUS",IF(J1497&lt;=2,"?ACTIVATED",IF(J1497&lt;&gt;"","?FAMILIAR",IF(F1497="NEW",IF(ISNA(VLOOKUP(E1497,#REF!,1,FALSE())),"?TYPE_IDENTIFIABLE","?REFERENTIAL"),"_")))))</f>
        <v> </v>
      </c>
      <c r="H1497" s="25" t="str">
        <f>IF(J1497&lt;&gt;1,"",IF(I1497="SBJ","CB","?"))</f>
        <v> </v>
      </c>
      <c r="I1497" s="26" t="str">
        <f>IF(OR(E1497="",E1497="!!!",F1497="NEW"),"",INDEX(B1496:B$2,-1+SUMPRODUCT(MAX(ROW(E1496:E$2)*(E1497=E1496:E$2)))))</f>
        <v> </v>
      </c>
      <c r="J1497" s="26" t="str">
        <f>IF(OR(E1497="",E1497="!!!",F1497="NEW"),"",COUNTBLANK(OFFSET(A$1,,,SUMPRODUCT(MAX(ROW(E$2:E1497)*(E1497=E$2:E1497)))))-COUNTBLANK(OFFSET(A$1,,,SUMPRODUCT(MAX(ROW(E$1:E1496)*(E2=E$1:E1496))))))</f>
        <v> </v>
      </c>
      <c r="K1497" s="26" t="str">
        <f>IF(OR(E1497="",E1497="!!!",F1497="NEW"),"",INDEX(J$1:J1496,SUMPRODUCT(MAX(ROW(E$1:E1496)*(E1497=E$1:E1496)))))</f>
        <v> </v>
      </c>
      <c r="L1497" s="27"/>
    </row>
    <row r="1498" spans="1:12">
      <c r="A1498" s="20" t="s">
        <v>308</v>
      </c>
      <c r="E1498" s="22">
        <f>IF(D1498="?OLD","!!!","")</f>
        <v/>
      </c>
      <c r="F1498" s="23" t="str">
        <f>IF(OR(E1498="",E1498="!!!"),"",IF(NOT(ISNA(VLOOKUP(E1498,E$1:E1497,1,FALSE()))),"OLD",IF(AND(E1498&lt;&gt;"",E1498&lt;&gt;"!!!"),"NEW","")))</f>
        <v> </v>
      </c>
      <c r="G1498" s="24" t="str">
        <f>IF(OR(E1498="",E1498="!!!"),"",IF(OR(J1498=0,AND(J1498=1,K1498=1),AND(J1498=1,I1498="SBJ"),AND(J1498=1,I1498=0)),"?IN_FOCUS",IF(J1498&lt;=2,"?ACTIVATED",IF(J1498&lt;&gt;"","?FAMILIAR",IF(F1498="NEW",IF(ISNA(VLOOKUP(E1498,#REF!,1,FALSE())),"?TYPE_IDENTIFIABLE","?REFERENTIAL"),"_")))))</f>
        <v> </v>
      </c>
      <c r="H1498" s="25" t="str">
        <f>IF(J1498&lt;&gt;1,"",IF(I1498="SBJ","CB","?"))</f>
        <v> </v>
      </c>
      <c r="I1498" s="26" t="str">
        <f>IF(OR(E1498="",E1498="!!!",F1498="NEW"),"",INDEX(B1497:B$2,-1+SUMPRODUCT(MAX(ROW(E1497:E$2)*(E1498=E1497:E$2)))))</f>
        <v> </v>
      </c>
      <c r="J1498" s="26" t="str">
        <f>IF(OR(E1498="",E1498="!!!",F1498="NEW"),"",COUNTBLANK(OFFSET(A$1,,,SUMPRODUCT(MAX(ROW(E$2:E1498)*(E1498=E$2:E1498)))))-COUNTBLANK(OFFSET(A$1,,,SUMPRODUCT(MAX(ROW(E$1:E1497)*(E2=E$1:E1497))))))</f>
        <v> </v>
      </c>
      <c r="K1498" s="26" t="str">
        <f>IF(OR(E1498="",E1498="!!!",F1498="NEW"),"",INDEX(J$1:J1497,SUMPRODUCT(MAX(ROW(E$1:E1497)*(E1498=E$1:E1497)))))</f>
        <v> </v>
      </c>
      <c r="L1498" s="27"/>
    </row>
    <row r="1499" spans="1:12">
      <c r="A1499" s="20" t="s">
        <v>776</v>
      </c>
      <c r="E1499" s="22">
        <f>IF(D1499="?OLD","!!!","")</f>
        <v/>
      </c>
      <c r="F1499" s="23" t="str">
        <f>IF(OR(E1499="",E1499="!!!"),"",IF(NOT(ISNA(VLOOKUP(E1499,E$1:E1498,1,FALSE()))),"OLD",IF(AND(E1499&lt;&gt;"",E1499&lt;&gt;"!!!"),"NEW","")))</f>
        <v> </v>
      </c>
      <c r="G1499" s="24" t="str">
        <f>IF(OR(E1499="",E1499="!!!"),"",IF(OR(J1499=0,AND(J1499=1,K1499=1),AND(J1499=1,I1499="SBJ"),AND(J1499=1,I1499=0)),"?IN_FOCUS",IF(J1499&lt;=2,"?ACTIVATED",IF(J1499&lt;&gt;"","?FAMILIAR",IF(F1499="NEW",IF(ISNA(VLOOKUP(E1499,#REF!,1,FALSE())),"?TYPE_IDENTIFIABLE","?REFERENTIAL"),"_")))))</f>
        <v> </v>
      </c>
      <c r="H1499" s="25" t="str">
        <f>IF(J1499&lt;&gt;1,"",IF(I1499="SBJ","CB","?"))</f>
        <v> </v>
      </c>
      <c r="I1499" s="26" t="str">
        <f>IF(OR(E1499="",E1499="!!!",F1499="NEW"),"",INDEX(B1498:B$2,-1+SUMPRODUCT(MAX(ROW(E1498:E$2)*(E1499=E1498:E$2)))))</f>
        <v> </v>
      </c>
      <c r="J1499" s="26" t="str">
        <f>IF(OR(E1499="",E1499="!!!",F1499="NEW"),"",COUNTBLANK(OFFSET(A$1,,,SUMPRODUCT(MAX(ROW(E$2:E1499)*(E1499=E$2:E1499)))))-COUNTBLANK(OFFSET(A$1,,,SUMPRODUCT(MAX(ROW(E$1:E1498)*(E2=E$1:E1498))))))</f>
        <v> </v>
      </c>
      <c r="K1499" s="26" t="str">
        <f>IF(OR(E1499="",E1499="!!!",F1499="NEW"),"",INDEX(J$1:J1498,SUMPRODUCT(MAX(ROW(E$1:E1498)*(E1499=E$1:E1498)))))</f>
        <v> </v>
      </c>
      <c r="L1499" s="27"/>
    </row>
    <row r="1500" spans="1:12">
      <c r="A1500" s="20" t="s">
        <v>1384</v>
      </c>
      <c r="E1500" s="22">
        <f>IF(D1500="?OLD","!!!","")</f>
        <v/>
      </c>
      <c r="F1500" s="23" t="str">
        <f>IF(OR(E1500="",E1500="!!!"),"",IF(NOT(ISNA(VLOOKUP(E1500,E$1:E1499,1,FALSE()))),"OLD",IF(AND(E1500&lt;&gt;"",E1500&lt;&gt;"!!!"),"NEW","")))</f>
        <v> </v>
      </c>
      <c r="G1500" s="24" t="str">
        <f>IF(OR(E1500="",E1500="!!!"),"",IF(OR(J1500=0,AND(J1500=1,K1500=1),AND(J1500=1,I1500="SBJ"),AND(J1500=1,I1500=0)),"?IN_FOCUS",IF(J1500&lt;=2,"?ACTIVATED",IF(J1500&lt;&gt;"","?FAMILIAR",IF(F1500="NEW",IF(ISNA(VLOOKUP(E1500,#REF!,1,FALSE())),"?TYPE_IDENTIFIABLE","?REFERENTIAL"),"_")))))</f>
        <v> </v>
      </c>
      <c r="H1500" s="25" t="str">
        <f>IF(J1500&lt;&gt;1,"",IF(I1500="SBJ","CB","?"))</f>
        <v> </v>
      </c>
      <c r="I1500" s="26" t="str">
        <f>IF(OR(E1500="",E1500="!!!",F1500="NEW"),"",INDEX(B1499:B$2,-1+SUMPRODUCT(MAX(ROW(E1499:E$2)*(E1500=E1499:E$2)))))</f>
        <v> </v>
      </c>
      <c r="J1500" s="26" t="str">
        <f>IF(OR(E1500="",E1500="!!!",F1500="NEW"),"",COUNTBLANK(OFFSET(A$1,,,SUMPRODUCT(MAX(ROW(E$2:E1500)*(E1500=E$2:E1500)))))-COUNTBLANK(OFFSET(A$1,,,SUMPRODUCT(MAX(ROW(E$1:E1499)*(E2=E$1:E1499))))))</f>
        <v> </v>
      </c>
      <c r="K1500" s="26" t="str">
        <f>IF(OR(E1500="",E1500="!!!",F1500="NEW"),"",INDEX(J$1:J1499,SUMPRODUCT(MAX(ROW(E$1:E1499)*(E1500=E$1:E1499)))))</f>
        <v> </v>
      </c>
      <c r="L1500" s="27"/>
    </row>
    <row r="1501" spans="1:12">
      <c r="A1501" s="20" t="s">
        <v>1369</v>
      </c>
      <c r="B1501" s="21" t="s">
        <v>764</v>
      </c>
      <c r="C1501" s="21" t="s">
        <v>753</v>
      </c>
      <c r="D1501" s="21" t="s">
        <v>730</v>
      </c>
      <c r="E1501" s="22">
        <f>IF(D1501="?OLD","!!!","")</f>
        <v/>
      </c>
      <c r="F1501" s="23" t="str">
        <f>IF(OR(E1501="",E1501="!!!"),"",IF(NOT(ISNA(VLOOKUP(E1501,E$1:E1500,1,FALSE()))),"OLD",IF(AND(E1501&lt;&gt;"",E1501&lt;&gt;"!!!"),"NEW","")))</f>
        <v> </v>
      </c>
      <c r="G1501" s="24" t="str">
        <f>IF(OR(E1501="",E1501="!!!"),"",IF(OR(J1501=0,AND(J1501=1,K1501=1),AND(J1501=1,I1501="SBJ"),AND(J1501=1,I1501=0)),"?IN_FOCUS",IF(J1501&lt;=2,"?ACTIVATED",IF(J1501&lt;&gt;"","?FAMILIAR",IF(F1501="NEW",IF(ISNA(VLOOKUP(E1501,#REF!,1,FALSE())),"?TYPE_IDENTIFIABLE","?REFERENTIAL"),"_")))))</f>
        <v> </v>
      </c>
      <c r="H1501" s="25" t="str">
        <f>IF(J1501&lt;&gt;1,"",IF(I1501="SBJ","CB","?"))</f>
        <v> </v>
      </c>
      <c r="I1501" s="26" t="str">
        <f>IF(OR(E1501="",E1501="!!!",F1501="NEW"),"",INDEX(B1500:B$2,-1+SUMPRODUCT(MAX(ROW(E1500:E$2)*(E1501=E1500:E$2)))))</f>
        <v> </v>
      </c>
      <c r="J1501" s="26" t="str">
        <f>IF(OR(E1501="",E1501="!!!",F1501="NEW"),"",COUNTBLANK(OFFSET(A$1,,,SUMPRODUCT(MAX(ROW(E$2:E1501)*(E1501=E$2:E1501)))))-COUNTBLANK(OFFSET(A$1,,,SUMPRODUCT(MAX(ROW(E$1:E1500)*(E2=E$1:E1500))))))</f>
        <v> </v>
      </c>
      <c r="K1501" s="26" t="str">
        <f>IF(OR(E1501="",E1501="!!!",F1501="NEW"),"",INDEX(J$1:J1500,SUMPRODUCT(MAX(ROW(E$1:E1500)*(E1501=E$1:E1500)))))</f>
        <v> </v>
      </c>
      <c r="L1501" s="27"/>
    </row>
    <row r="1502" spans="1:12">
      <c r="A1502" s="20" t="s">
        <v>246</v>
      </c>
      <c r="E1502" s="22">
        <f>IF(D1502="?OLD","!!!","")</f>
        <v/>
      </c>
      <c r="F1502" s="23" t="str">
        <f>IF(OR(E1502="",E1502="!!!"),"",IF(NOT(ISNA(VLOOKUP(E1502,E$1:E1501,1,FALSE()))),"OLD",IF(AND(E1502&lt;&gt;"",E1502&lt;&gt;"!!!"),"NEW","")))</f>
        <v> </v>
      </c>
      <c r="G1502" s="24" t="str">
        <f>IF(OR(E1502="",E1502="!!!"),"",IF(OR(J1502=0,AND(J1502=1,K1502=1),AND(J1502=1,I1502="SBJ"),AND(J1502=1,I1502=0)),"?IN_FOCUS",IF(J1502&lt;=2,"?ACTIVATED",IF(J1502&lt;&gt;"","?FAMILIAR",IF(F1502="NEW",IF(ISNA(VLOOKUP(E1502,#REF!,1,FALSE())),"?TYPE_IDENTIFIABLE","?REFERENTIAL"),"_")))))</f>
        <v> </v>
      </c>
      <c r="H1502" s="25" t="str">
        <f>IF(J1502&lt;&gt;1,"",IF(I1502="SBJ","CB","?"))</f>
        <v> </v>
      </c>
      <c r="I1502" s="26" t="str">
        <f>IF(OR(E1502="",E1502="!!!",F1502="NEW"),"",INDEX(B1501:B$2,-1+SUMPRODUCT(MAX(ROW(E1501:E$2)*(E1502=E1501:E$2)))))</f>
        <v> </v>
      </c>
      <c r="J1502" s="26" t="str">
        <f>IF(OR(E1502="",E1502="!!!",F1502="NEW"),"",COUNTBLANK(OFFSET(A$1,,,SUMPRODUCT(MAX(ROW(E$2:E1502)*(E1502=E$2:E1502)))))-COUNTBLANK(OFFSET(A$1,,,SUMPRODUCT(MAX(ROW(E$1:E1501)*(E2=E$1:E1501))))))</f>
        <v> </v>
      </c>
      <c r="K1502" s="26" t="str">
        <f>IF(OR(E1502="",E1502="!!!",F1502="NEW"),"",INDEX(J$1:J1501,SUMPRODUCT(MAX(ROW(E$1:E1501)*(E1502=E$1:E1501)))))</f>
        <v> </v>
      </c>
      <c r="L1502" s="27"/>
    </row>
    <row r="1503" spans="1:12">
      <c r="A1503" s="20"/>
    </row>
    <row r="1504" spans="1:12">
      <c r="A1504" s="20" t="s">
        <v>1385</v>
      </c>
    </row>
    <row r="1505" spans="1:12">
      <c r="A1505" s="20" t="s">
        <v>1382</v>
      </c>
      <c r="B1505" s="21" t="s">
        <v>728</v>
      </c>
      <c r="C1505" s="21" t="s">
        <v>789</v>
      </c>
      <c r="D1505" s="21" t="s">
        <v>730</v>
      </c>
      <c r="E1505" s="22">
        <f>IF(D1505="?OLD","!!!","")</f>
        <v/>
      </c>
      <c r="F1505" s="23" t="str">
        <f>IF(OR(E1505="",E1505="!!!"),"",IF(NOT(ISNA(VLOOKUP(E1505,E$1:E1504,1,FALSE()))),"OLD",IF(AND(E1505&lt;&gt;"",E1505&lt;&gt;"!!!"),"NEW","")))</f>
        <v> </v>
      </c>
      <c r="G1505" s="24" t="str">
        <f>IF(OR(E1505="",E1505="!!!"),"",IF(OR(J1505=0,AND(J1505=1,K1505=1),AND(J1505=1,I1505="SBJ"),AND(J1505=1,I1505=0)),"?IN_FOCUS",IF(J1505&lt;=2,"?ACTIVATED",IF(J1505&lt;&gt;"","?FAMILIAR",IF(F1505="NEW",IF(ISNA(VLOOKUP(E1505,#REF!,1,FALSE())),"?TYPE_IDENTIFIABLE","?REFERENTIAL"),"_")))))</f>
        <v> </v>
      </c>
      <c r="H1505" s="25" t="str">
        <f>IF(J1505&lt;&gt;1,"",IF(I1505="SBJ","CB","?"))</f>
        <v> </v>
      </c>
      <c r="I1505" s="26" t="str">
        <f>IF(OR(E1505="",E1505="!!!",F1505="NEW"),"",INDEX(B1504:B$2,-1+SUMPRODUCT(MAX(ROW(E1504:E$2)*(E1505=E1504:E$2)))))</f>
        <v> </v>
      </c>
      <c r="J1505" s="26" t="str">
        <f>IF(OR(E1505="",E1505="!!!",F1505="NEW"),"",COUNTBLANK(OFFSET(A$1,,,SUMPRODUCT(MAX(ROW(E$2:E1505)*(E1505=E$2:E1505)))))-COUNTBLANK(OFFSET(A$1,,,SUMPRODUCT(MAX(ROW(E$1:E1504)*(E2=E$1:E1504))))))</f>
        <v> </v>
      </c>
      <c r="K1505" s="26" t="str">
        <f>IF(OR(E1505="",E1505="!!!",F1505="NEW"),"",INDEX(J$1:J1504,SUMPRODUCT(MAX(ROW(E$1:E1504)*(E1505=E$1:E1504)))))</f>
        <v> </v>
      </c>
      <c r="L1505" s="27"/>
    </row>
    <row r="1506" spans="1:12">
      <c r="A1506" s="20" t="s">
        <v>285</v>
      </c>
      <c r="E1506" s="22">
        <f>IF(D1506="?OLD","!!!","")</f>
        <v/>
      </c>
      <c r="F1506" s="23" t="str">
        <f>IF(OR(E1506="",E1506="!!!"),"",IF(NOT(ISNA(VLOOKUP(E1506,E$1:E1505,1,FALSE()))),"OLD",IF(AND(E1506&lt;&gt;"",E1506&lt;&gt;"!!!"),"NEW","")))</f>
        <v> </v>
      </c>
      <c r="G1506" s="24" t="str">
        <f>IF(OR(E1506="",E1506="!!!"),"",IF(OR(J1506=0,AND(J1506=1,K1506=1),AND(J1506=1,I1506="SBJ"),AND(J1506=1,I1506=0)),"?IN_FOCUS",IF(J1506&lt;=2,"?ACTIVATED",IF(J1506&lt;&gt;"","?FAMILIAR",IF(F1506="NEW",IF(ISNA(VLOOKUP(E1506,#REF!,1,FALSE())),"?TYPE_IDENTIFIABLE","?REFERENTIAL"),"_")))))</f>
        <v> </v>
      </c>
      <c r="H1506" s="25" t="str">
        <f>IF(J1506&lt;&gt;1,"",IF(I1506="SBJ","CB","?"))</f>
        <v> </v>
      </c>
      <c r="I1506" s="26" t="str">
        <f>IF(OR(E1506="",E1506="!!!",F1506="NEW"),"",INDEX(B1505:B$2,-1+SUMPRODUCT(MAX(ROW(E1505:E$2)*(E1506=E1505:E$2)))))</f>
        <v> </v>
      </c>
      <c r="J1506" s="26" t="str">
        <f>IF(OR(E1506="",E1506="!!!",F1506="NEW"),"",COUNTBLANK(OFFSET(A$1,,,SUMPRODUCT(MAX(ROW(E$2:E1506)*(E1506=E$2:E1506)))))-COUNTBLANK(OFFSET(A$1,,,SUMPRODUCT(MAX(ROW(E$1:E1505)*(E2=E$1:E1505))))))</f>
        <v> </v>
      </c>
      <c r="K1506" s="26" t="str">
        <f>IF(OR(E1506="",E1506="!!!",F1506="NEW"),"",INDEX(J$1:J1505,SUMPRODUCT(MAX(ROW(E$1:E1505)*(E1506=E$1:E1505)))))</f>
        <v> </v>
      </c>
      <c r="L1506" s="27"/>
    </row>
    <row r="1507" spans="1:12">
      <c r="A1507" s="20" t="s">
        <v>899</v>
      </c>
      <c r="B1507" s="21" t="s">
        <v>764</v>
      </c>
      <c r="C1507" s="21" t="s">
        <v>729</v>
      </c>
      <c r="D1507" s="21" t="s">
        <v>730</v>
      </c>
      <c r="E1507" s="22">
        <f>IF(D1507="?OLD","!!!","")</f>
        <v/>
      </c>
      <c r="F1507" s="23" t="str">
        <f>IF(OR(E1507="",E1507="!!!"),"",IF(NOT(ISNA(VLOOKUP(E1507,E$1:E1506,1,FALSE()))),"OLD",IF(AND(E1507&lt;&gt;"",E1507&lt;&gt;"!!!"),"NEW","")))</f>
        <v> </v>
      </c>
      <c r="G1507" s="24" t="str">
        <f>IF(OR(E1507="",E1507="!!!"),"",IF(OR(J1507=0,AND(J1507=1,K1507=1),AND(J1507=1,I1507="SBJ"),AND(J1507=1,I1507=0)),"?IN_FOCUS",IF(J1507&lt;=2,"?ACTIVATED",IF(J1507&lt;&gt;"","?FAMILIAR",IF(F1507="NEW",IF(ISNA(VLOOKUP(E1507,#REF!,1,FALSE())),"?TYPE_IDENTIFIABLE","?REFERENTIAL"),"_")))))</f>
        <v> </v>
      </c>
      <c r="H1507" s="25" t="str">
        <f>IF(J1507&lt;&gt;1,"",IF(I1507="SBJ","CB","?"))</f>
        <v> </v>
      </c>
      <c r="I1507" s="26" t="str">
        <f>IF(OR(E1507="",E1507="!!!",F1507="NEW"),"",INDEX(B1506:B$2,-1+SUMPRODUCT(MAX(ROW(E1506:E$2)*(E1507=E1506:E$2)))))</f>
        <v> </v>
      </c>
      <c r="J1507" s="26" t="str">
        <f>IF(OR(E1507="",E1507="!!!",F1507="NEW"),"",COUNTBLANK(OFFSET(A$1,,,SUMPRODUCT(MAX(ROW(E$2:E1507)*(E1507=E$2:E1507)))))-COUNTBLANK(OFFSET(A$1,,,SUMPRODUCT(MAX(ROW(E$1:E1506)*(E2=E$1:E1506))))))</f>
        <v> </v>
      </c>
      <c r="K1507" s="26" t="str">
        <f>IF(OR(E1507="",E1507="!!!",F1507="NEW"),"",INDEX(J$1:J1506,SUMPRODUCT(MAX(ROW(E$1:E1506)*(E1507=E$1:E1506)))))</f>
        <v> </v>
      </c>
      <c r="L1507" s="27"/>
    </row>
    <row r="1508" spans="1:12">
      <c r="A1508" s="20" t="s">
        <v>773</v>
      </c>
      <c r="E1508" s="22">
        <f>IF(D1508="?OLD","!!!","")</f>
        <v/>
      </c>
      <c r="F1508" s="23" t="str">
        <f>IF(OR(E1508="",E1508="!!!"),"",IF(NOT(ISNA(VLOOKUP(E1508,E$1:E1507,1,FALSE()))),"OLD",IF(AND(E1508&lt;&gt;"",E1508&lt;&gt;"!!!"),"NEW","")))</f>
        <v> </v>
      </c>
      <c r="G1508" s="24" t="str">
        <f>IF(OR(E1508="",E1508="!!!"),"",IF(OR(J1508=0,AND(J1508=1,K1508=1),AND(J1508=1,I1508="SBJ"),AND(J1508=1,I1508=0)),"?IN_FOCUS",IF(J1508&lt;=2,"?ACTIVATED",IF(J1508&lt;&gt;"","?FAMILIAR",IF(F1508="NEW",IF(ISNA(VLOOKUP(E1508,#REF!,1,FALSE())),"?TYPE_IDENTIFIABLE","?REFERENTIAL"),"_")))))</f>
        <v> </v>
      </c>
      <c r="H1508" s="25" t="str">
        <f>IF(J1508&lt;&gt;1,"",IF(I1508="SBJ","CB","?"))</f>
        <v> </v>
      </c>
      <c r="I1508" s="26" t="str">
        <f>IF(OR(E1508="",E1508="!!!",F1508="NEW"),"",INDEX(B1507:B$2,-1+SUMPRODUCT(MAX(ROW(E1507:E$2)*(E1508=E1507:E$2)))))</f>
        <v> </v>
      </c>
      <c r="J1508" s="26" t="str">
        <f>IF(OR(E1508="",E1508="!!!",F1508="NEW"),"",COUNTBLANK(OFFSET(A$1,,,SUMPRODUCT(MAX(ROW(E$2:E1508)*(E1508=E$2:E1508)))))-COUNTBLANK(OFFSET(A$1,,,SUMPRODUCT(MAX(ROW(E$1:E1507)*(E2=E$1:E1507))))))</f>
        <v> </v>
      </c>
      <c r="K1508" s="26" t="str">
        <f>IF(OR(E1508="",E1508="!!!",F1508="NEW"),"",INDEX(J$1:J1507,SUMPRODUCT(MAX(ROW(E$1:E1507)*(E1508=E$1:E1507)))))</f>
        <v> </v>
      </c>
      <c r="L1508" s="27"/>
    </row>
    <row r="1509" spans="1:12">
      <c r="A1509" s="20" t="s">
        <v>757</v>
      </c>
      <c r="E1509" s="22">
        <f>IF(D1509="?OLD","!!!","")</f>
        <v/>
      </c>
      <c r="F1509" s="23" t="str">
        <f>IF(OR(E1509="",E1509="!!!"),"",IF(NOT(ISNA(VLOOKUP(E1509,E$1:E1508,1,FALSE()))),"OLD",IF(AND(E1509&lt;&gt;"",E1509&lt;&gt;"!!!"),"NEW","")))</f>
        <v> </v>
      </c>
      <c r="G1509" s="24" t="str">
        <f>IF(OR(E1509="",E1509="!!!"),"",IF(OR(J1509=0,AND(J1509=1,K1509=1),AND(J1509=1,I1509="SBJ"),AND(J1509=1,I1509=0)),"?IN_FOCUS",IF(J1509&lt;=2,"?ACTIVATED",IF(J1509&lt;&gt;"","?FAMILIAR",IF(F1509="NEW",IF(ISNA(VLOOKUP(E1509,#REF!,1,FALSE())),"?TYPE_IDENTIFIABLE","?REFERENTIAL"),"_")))))</f>
        <v> </v>
      </c>
      <c r="H1509" s="25" t="str">
        <f>IF(J1509&lt;&gt;1,"",IF(I1509="SBJ","CB","?"))</f>
        <v> </v>
      </c>
      <c r="I1509" s="26" t="str">
        <f>IF(OR(E1509="",E1509="!!!",F1509="NEW"),"",INDEX(B1508:B$2,-1+SUMPRODUCT(MAX(ROW(E1508:E$2)*(E1509=E1508:E$2)))))</f>
        <v> </v>
      </c>
      <c r="J1509" s="26" t="str">
        <f>IF(OR(E1509="",E1509="!!!",F1509="NEW"),"",COUNTBLANK(OFFSET(A$1,,,SUMPRODUCT(MAX(ROW(E$2:E1509)*(E1509=E$2:E1509)))))-COUNTBLANK(OFFSET(A$1,,,SUMPRODUCT(MAX(ROW(E$1:E1508)*(E2=E$1:E1508))))))</f>
        <v> </v>
      </c>
      <c r="K1509" s="26" t="str">
        <f>IF(OR(E1509="",E1509="!!!",F1509="NEW"),"",INDEX(J$1:J1508,SUMPRODUCT(MAX(ROW(E$1:E1508)*(E1509=E$1:E1508)))))</f>
        <v> </v>
      </c>
      <c r="L1509" s="27"/>
    </row>
    <row r="1510" spans="1:12">
      <c r="A1510" s="20" t="s">
        <v>1386</v>
      </c>
      <c r="B1510" s="21" t="s">
        <v>736</v>
      </c>
      <c r="C1510" s="21" t="s">
        <v>753</v>
      </c>
      <c r="D1510" s="21" t="s">
        <v>730</v>
      </c>
      <c r="E1510" s="22">
        <f>IF(D1510="?OLD","!!!","")</f>
        <v/>
      </c>
      <c r="F1510" s="23" t="str">
        <f>IF(OR(E1510="",E1510="!!!"),"",IF(NOT(ISNA(VLOOKUP(E1510,E$1:E1509,1,FALSE()))),"OLD",IF(AND(E1510&lt;&gt;"",E1510&lt;&gt;"!!!"),"NEW","")))</f>
        <v> </v>
      </c>
      <c r="G1510" s="24" t="str">
        <f>IF(OR(E1510="",E1510="!!!"),"",IF(OR(J1510=0,AND(J1510=1,K1510=1),AND(J1510=1,I1510="SBJ"),AND(J1510=1,I1510=0)),"?IN_FOCUS",IF(J1510&lt;=2,"?ACTIVATED",IF(J1510&lt;&gt;"","?FAMILIAR",IF(F1510="NEW",IF(ISNA(VLOOKUP(E1510,#REF!,1,FALSE())),"?TYPE_IDENTIFIABLE","?REFERENTIAL"),"_")))))</f>
        <v> </v>
      </c>
      <c r="H1510" s="25" t="str">
        <f>IF(J1510&lt;&gt;1,"",IF(I1510="SBJ","CB","?"))</f>
        <v> </v>
      </c>
      <c r="I1510" s="26" t="str">
        <f>IF(OR(E1510="",E1510="!!!",F1510="NEW"),"",INDEX(B1509:B$2,-1+SUMPRODUCT(MAX(ROW(E1509:E$2)*(E1510=E1509:E$2)))))</f>
        <v> </v>
      </c>
      <c r="J1510" s="26" t="str">
        <f>IF(OR(E1510="",E1510="!!!",F1510="NEW"),"",COUNTBLANK(OFFSET(A$1,,,SUMPRODUCT(MAX(ROW(E$2:E1510)*(E1510=E$2:E1510)))))-COUNTBLANK(OFFSET(A$1,,,SUMPRODUCT(MAX(ROW(E$1:E1509)*(E2=E$1:E1509))))))</f>
        <v> </v>
      </c>
      <c r="K1510" s="26" t="str">
        <f>IF(OR(E1510="",E1510="!!!",F1510="NEW"),"",INDEX(J$1:J1509,SUMPRODUCT(MAX(ROW(E$1:E1509)*(E1510=E$1:E1509)))))</f>
        <v> </v>
      </c>
      <c r="L1510" s="27"/>
    </row>
    <row r="1511" spans="1:12">
      <c r="A1511" s="20" t="s">
        <v>845</v>
      </c>
      <c r="E1511" s="22">
        <f>IF(D1511="?OLD","!!!","")</f>
        <v/>
      </c>
      <c r="F1511" s="23" t="str">
        <f>IF(OR(E1511="",E1511="!!!"),"",IF(NOT(ISNA(VLOOKUP(E1511,E$1:E1510,1,FALSE()))),"OLD",IF(AND(E1511&lt;&gt;"",E1511&lt;&gt;"!!!"),"NEW","")))</f>
        <v> </v>
      </c>
      <c r="G1511" s="24" t="str">
        <f>IF(OR(E1511="",E1511="!!!"),"",IF(OR(J1511=0,AND(J1511=1,K1511=1),AND(J1511=1,I1511="SBJ"),AND(J1511=1,I1511=0)),"?IN_FOCUS",IF(J1511&lt;=2,"?ACTIVATED",IF(J1511&lt;&gt;"","?FAMILIAR",IF(F1511="NEW",IF(ISNA(VLOOKUP(E1511,#REF!,1,FALSE())),"?TYPE_IDENTIFIABLE","?REFERENTIAL"),"_")))))</f>
        <v> </v>
      </c>
      <c r="H1511" s="25" t="str">
        <f>IF(J1511&lt;&gt;1,"",IF(I1511="SBJ","CB","?"))</f>
        <v> </v>
      </c>
      <c r="I1511" s="26" t="str">
        <f>IF(OR(E1511="",E1511="!!!",F1511="NEW"),"",INDEX(B1510:B$2,-1+SUMPRODUCT(MAX(ROW(E1510:E$2)*(E1511=E1510:E$2)))))</f>
        <v> </v>
      </c>
      <c r="J1511" s="26" t="str">
        <f>IF(OR(E1511="",E1511="!!!",F1511="NEW"),"",COUNTBLANK(OFFSET(A$1,,,SUMPRODUCT(MAX(ROW(E$2:E1511)*(E1511=E$2:E1511)))))-COUNTBLANK(OFFSET(A$1,,,SUMPRODUCT(MAX(ROW(E$1:E1510)*(E2=E$1:E1510))))))</f>
        <v> </v>
      </c>
      <c r="K1511" s="26" t="str">
        <f>IF(OR(E1511="",E1511="!!!",F1511="NEW"),"",INDEX(J$1:J1510,SUMPRODUCT(MAX(ROW(E$1:E1510)*(E1511=E$1:E1510)))))</f>
        <v> </v>
      </c>
      <c r="L1511" s="27"/>
    </row>
    <row r="1512" spans="1:12">
      <c r="A1512" s="20" t="s">
        <v>1387</v>
      </c>
      <c r="B1512" s="21" t="s">
        <v>739</v>
      </c>
      <c r="C1512" s="21" t="s">
        <v>753</v>
      </c>
      <c r="D1512" s="21" t="s">
        <v>730</v>
      </c>
      <c r="E1512" s="22">
        <f>IF(D1512="?OLD","!!!","")</f>
        <v/>
      </c>
      <c r="F1512" s="23" t="str">
        <f>IF(OR(E1512="",E1512="!!!"),"",IF(NOT(ISNA(VLOOKUP(E1512,E$1:E1511,1,FALSE()))),"OLD",IF(AND(E1512&lt;&gt;"",E1512&lt;&gt;"!!!"),"NEW","")))</f>
        <v> </v>
      </c>
      <c r="G1512" s="24" t="str">
        <f>IF(OR(E1512="",E1512="!!!"),"",IF(OR(J1512=0,AND(J1512=1,K1512=1),AND(J1512=1,I1512="SBJ"),AND(J1512=1,I1512=0)),"?IN_FOCUS",IF(J1512&lt;=2,"?ACTIVATED",IF(J1512&lt;&gt;"","?FAMILIAR",IF(F1512="NEW",IF(ISNA(VLOOKUP(E1512,#REF!,1,FALSE())),"?TYPE_IDENTIFIABLE","?REFERENTIAL"),"_")))))</f>
        <v> </v>
      </c>
      <c r="H1512" s="25" t="str">
        <f>IF(J1512&lt;&gt;1,"",IF(I1512="SBJ","CB","?"))</f>
        <v> </v>
      </c>
      <c r="I1512" s="26" t="str">
        <f>IF(OR(E1512="",E1512="!!!",F1512="NEW"),"",INDEX(B1511:B$2,-1+SUMPRODUCT(MAX(ROW(E1511:E$2)*(E1512=E1511:E$2)))))</f>
        <v> </v>
      </c>
      <c r="J1512" s="26" t="str">
        <f>IF(OR(E1512="",E1512="!!!",F1512="NEW"),"",COUNTBLANK(OFFSET(A$1,,,SUMPRODUCT(MAX(ROW(E$2:E1512)*(E1512=E$2:E1512)))))-COUNTBLANK(OFFSET(A$1,,,SUMPRODUCT(MAX(ROW(E$1:E1511)*(E2=E$1:E1511))))))</f>
        <v> </v>
      </c>
      <c r="K1512" s="26" t="str">
        <f>IF(OR(E1512="",E1512="!!!",F1512="NEW"),"",INDEX(J$1:J1511,SUMPRODUCT(MAX(ROW(E$1:E1511)*(E1512=E$1:E1511)))))</f>
        <v> </v>
      </c>
      <c r="L1512" s="27"/>
    </row>
    <row r="1513" spans="1:12">
      <c r="A1513" s="20" t="s">
        <v>24</v>
      </c>
      <c r="E1513" s="22">
        <f>IF(D1513="?OLD","!!!","")</f>
        <v/>
      </c>
      <c r="F1513" s="23" t="str">
        <f>IF(OR(E1513="",E1513="!!!"),"",IF(NOT(ISNA(VLOOKUP(E1513,E$1:E1512,1,FALSE()))),"OLD",IF(AND(E1513&lt;&gt;"",E1513&lt;&gt;"!!!"),"NEW","")))</f>
        <v> </v>
      </c>
      <c r="G1513" s="24" t="str">
        <f>IF(OR(E1513="",E1513="!!!"),"",IF(OR(J1513=0,AND(J1513=1,K1513=1),AND(J1513=1,I1513="SBJ"),AND(J1513=1,I1513=0)),"?IN_FOCUS",IF(J1513&lt;=2,"?ACTIVATED",IF(J1513&lt;&gt;"","?FAMILIAR",IF(F1513="NEW",IF(ISNA(VLOOKUP(E1513,#REF!,1,FALSE())),"?TYPE_IDENTIFIABLE","?REFERENTIAL"),"_")))))</f>
        <v> </v>
      </c>
      <c r="H1513" s="25" t="str">
        <f>IF(J1513&lt;&gt;1,"",IF(I1513="SBJ","CB","?"))</f>
        <v> </v>
      </c>
      <c r="I1513" s="26" t="str">
        <f>IF(OR(E1513="",E1513="!!!",F1513="NEW"),"",INDEX(B1512:B$2,-1+SUMPRODUCT(MAX(ROW(E1512:E$2)*(E1513=E1512:E$2)))))</f>
        <v> </v>
      </c>
      <c r="J1513" s="26" t="str">
        <f>IF(OR(E1513="",E1513="!!!",F1513="NEW"),"",COUNTBLANK(OFFSET(A$1,,,SUMPRODUCT(MAX(ROW(E$2:E1513)*(E1513=E$2:E1513)))))-COUNTBLANK(OFFSET(A$1,,,SUMPRODUCT(MAX(ROW(E$1:E1512)*(E2=E$1:E1512))))))</f>
        <v> </v>
      </c>
      <c r="K1513" s="26" t="str">
        <f>IF(OR(E1513="",E1513="!!!",F1513="NEW"),"",INDEX(J$1:J1512,SUMPRODUCT(MAX(ROW(E$1:E1512)*(E1513=E$1:E1512)))))</f>
        <v> </v>
      </c>
      <c r="L1513" s="27"/>
    </row>
    <row r="1514" spans="1:12">
      <c r="A1514" s="20" t="s">
        <v>246</v>
      </c>
      <c r="E1514" s="22">
        <f>IF(D1514="?OLD","!!!","")</f>
        <v/>
      </c>
      <c r="F1514" s="23" t="str">
        <f>IF(OR(E1514="",E1514="!!!"),"",IF(NOT(ISNA(VLOOKUP(E1514,E$1:E1513,1,FALSE()))),"OLD",IF(AND(E1514&lt;&gt;"",E1514&lt;&gt;"!!!"),"NEW","")))</f>
        <v> </v>
      </c>
      <c r="G1514" s="24" t="str">
        <f>IF(OR(E1514="",E1514="!!!"),"",IF(OR(J1514=0,AND(J1514=1,K1514=1),AND(J1514=1,I1514="SBJ"),AND(J1514=1,I1514=0)),"?IN_FOCUS",IF(J1514&lt;=2,"?ACTIVATED",IF(J1514&lt;&gt;"","?FAMILIAR",IF(F1514="NEW",IF(ISNA(VLOOKUP(E1514,#REF!,1,FALSE())),"?TYPE_IDENTIFIABLE","?REFERENTIAL"),"_")))))</f>
        <v> </v>
      </c>
      <c r="H1514" s="25" t="str">
        <f>IF(J1514&lt;&gt;1,"",IF(I1514="SBJ","CB","?"))</f>
        <v> </v>
      </c>
      <c r="I1514" s="26" t="str">
        <f>IF(OR(E1514="",E1514="!!!",F1514="NEW"),"",INDEX(B1513:B$2,-1+SUMPRODUCT(MAX(ROW(E1513:E$2)*(E1514=E1513:E$2)))))</f>
        <v> </v>
      </c>
      <c r="J1514" s="26" t="str">
        <f>IF(OR(E1514="",E1514="!!!",F1514="NEW"),"",COUNTBLANK(OFFSET(A$1,,,SUMPRODUCT(MAX(ROW(E$2:E1514)*(E1514=E$2:E1514)))))-COUNTBLANK(OFFSET(A$1,,,SUMPRODUCT(MAX(ROW(E$1:E1513)*(E2=E$1:E1513))))))</f>
        <v> </v>
      </c>
      <c r="K1514" s="26" t="str">
        <f>IF(OR(E1514="",E1514="!!!",F1514="NEW"),"",INDEX(J$1:J1513,SUMPRODUCT(MAX(ROW(E$1:E1513)*(E1514=E$1:E1513)))))</f>
        <v> </v>
      </c>
      <c r="L1514" s="27"/>
    </row>
    <row r="1515" spans="1:12">
      <c r="A1515" s="20"/>
    </row>
    <row r="1516" spans="1:12">
      <c r="A1516" s="20" t="s">
        <v>1388</v>
      </c>
    </row>
    <row r="1517" spans="1:12">
      <c r="A1517" s="20" t="s">
        <v>883</v>
      </c>
      <c r="B1517" s="21" t="s">
        <v>728</v>
      </c>
      <c r="C1517" s="21" t="s">
        <v>801</v>
      </c>
      <c r="D1517" s="21" t="s">
        <v>730</v>
      </c>
      <c r="E1517" s="22">
        <f>IF(D1517="?OLD","!!!","")</f>
        <v/>
      </c>
      <c r="F1517" s="23" t="str">
        <f>IF(OR(E1517="",E1517="!!!"),"",IF(NOT(ISNA(VLOOKUP(E1517,E$1:E1516,1,FALSE()))),"OLD",IF(AND(E1517&lt;&gt;"",E1517&lt;&gt;"!!!"),"NEW","")))</f>
        <v> </v>
      </c>
      <c r="G1517" s="24" t="str">
        <f>IF(OR(E1517="",E1517="!!!"),"",IF(OR(J1517=0,AND(J1517=1,K1517=1),AND(J1517=1,I1517="SBJ"),AND(J1517=1,I1517=0)),"?IN_FOCUS",IF(J1517&lt;=2,"?ACTIVATED",IF(J1517&lt;&gt;"","?FAMILIAR",IF(F1517="NEW",IF(ISNA(VLOOKUP(E1517,#REF!,1,FALSE())),"?TYPE_IDENTIFIABLE","?REFERENTIAL"),"_")))))</f>
        <v> </v>
      </c>
      <c r="H1517" s="25" t="str">
        <f>IF(J1517&lt;&gt;1,"",IF(I1517="SBJ","CB","?"))</f>
        <v> </v>
      </c>
      <c r="I1517" s="26" t="str">
        <f>IF(OR(E1517="",E1517="!!!",F1517="NEW"),"",INDEX(B1516:B$2,-1+SUMPRODUCT(MAX(ROW(E1516:E$2)*(E1517=E1516:E$2)))))</f>
        <v> </v>
      </c>
      <c r="J1517" s="26" t="str">
        <f>IF(OR(E1517="",E1517="!!!",F1517="NEW"),"",COUNTBLANK(OFFSET(A$1,,,SUMPRODUCT(MAX(ROW(E$2:E1517)*(E1517=E$2:E1517)))))-COUNTBLANK(OFFSET(A$1,,,SUMPRODUCT(MAX(ROW(E$1:E1516)*(E2=E$1:E1516))))))</f>
        <v> </v>
      </c>
      <c r="K1517" s="26" t="str">
        <f>IF(OR(E1517="",E1517="!!!",F1517="NEW"),"",INDEX(J$1:J1516,SUMPRODUCT(MAX(ROW(E$1:E1516)*(E1517=E$1:E1516)))))</f>
        <v> </v>
      </c>
      <c r="L1517" s="27"/>
    </row>
    <row r="1518" spans="1:12">
      <c r="A1518" s="20" t="s">
        <v>1087</v>
      </c>
      <c r="E1518" s="22">
        <f>IF(D1518="?OLD","!!!","")</f>
        <v/>
      </c>
      <c r="F1518" s="23" t="str">
        <f>IF(OR(E1518="",E1518="!!!"),"",IF(NOT(ISNA(VLOOKUP(E1518,E$1:E1517,1,FALSE()))),"OLD",IF(AND(E1518&lt;&gt;"",E1518&lt;&gt;"!!!"),"NEW","")))</f>
        <v> </v>
      </c>
      <c r="G1518" s="24" t="str">
        <f>IF(OR(E1518="",E1518="!!!"),"",IF(OR(J1518=0,AND(J1518=1,K1518=1),AND(J1518=1,I1518="SBJ"),AND(J1518=1,I1518=0)),"?IN_FOCUS",IF(J1518&lt;=2,"?ACTIVATED",IF(J1518&lt;&gt;"","?FAMILIAR",IF(F1518="NEW",IF(ISNA(VLOOKUP(E1518,#REF!,1,FALSE())),"?TYPE_IDENTIFIABLE","?REFERENTIAL"),"_")))))</f>
        <v> </v>
      </c>
      <c r="H1518" s="25" t="str">
        <f>IF(J1518&lt;&gt;1,"",IF(I1518="SBJ","CB","?"))</f>
        <v> </v>
      </c>
      <c r="I1518" s="26" t="str">
        <f>IF(OR(E1518="",E1518="!!!",F1518="NEW"),"",INDEX(B1517:B$2,-1+SUMPRODUCT(MAX(ROW(E1517:E$2)*(E1518=E1517:E$2)))))</f>
        <v> </v>
      </c>
      <c r="J1518" s="26" t="str">
        <f>IF(OR(E1518="",E1518="!!!",F1518="NEW"),"",COUNTBLANK(OFFSET(A$1,,,SUMPRODUCT(MAX(ROW(E$2:E1518)*(E1518=E$2:E1518)))))-COUNTBLANK(OFFSET(A$1,,,SUMPRODUCT(MAX(ROW(E$1:E1517)*(E2=E$1:E1517))))))</f>
        <v> </v>
      </c>
      <c r="K1518" s="26" t="str">
        <f>IF(OR(E1518="",E1518="!!!",F1518="NEW"),"",INDEX(J$1:J1517,SUMPRODUCT(MAX(ROW(E$1:E1517)*(E1518=E$1:E1517)))))</f>
        <v> </v>
      </c>
      <c r="L1518" s="27"/>
    </row>
    <row r="1519" spans="1:12">
      <c r="A1519" s="20" t="s">
        <v>1221</v>
      </c>
      <c r="E1519" s="22">
        <f>IF(D1519="?OLD","!!!","")</f>
        <v/>
      </c>
      <c r="F1519" s="23" t="str">
        <f>IF(OR(E1519="",E1519="!!!"),"",IF(NOT(ISNA(VLOOKUP(E1519,E$1:E1518,1,FALSE()))),"OLD",IF(AND(E1519&lt;&gt;"",E1519&lt;&gt;"!!!"),"NEW","")))</f>
        <v> </v>
      </c>
      <c r="G1519" s="24" t="str">
        <f>IF(OR(E1519="",E1519="!!!"),"",IF(OR(J1519=0,AND(J1519=1,K1519=1),AND(J1519=1,I1519="SBJ"),AND(J1519=1,I1519=0)),"?IN_FOCUS",IF(J1519&lt;=2,"?ACTIVATED",IF(J1519&lt;&gt;"","?FAMILIAR",IF(F1519="NEW",IF(ISNA(VLOOKUP(E1519,#REF!,1,FALSE())),"?TYPE_IDENTIFIABLE","?REFERENTIAL"),"_")))))</f>
        <v> </v>
      </c>
      <c r="H1519" s="25" t="str">
        <f>IF(J1519&lt;&gt;1,"",IF(I1519="SBJ","CB","?"))</f>
        <v> </v>
      </c>
      <c r="I1519" s="26" t="str">
        <f>IF(OR(E1519="",E1519="!!!",F1519="NEW"),"",INDEX(B1518:B$2,-1+SUMPRODUCT(MAX(ROW(E1518:E$2)*(E1519=E1518:E$2)))))</f>
        <v> </v>
      </c>
      <c r="J1519" s="26" t="str">
        <f>IF(OR(E1519="",E1519="!!!",F1519="NEW"),"",COUNTBLANK(OFFSET(A$1,,,SUMPRODUCT(MAX(ROW(E$2:E1519)*(E1519=E$2:E1519)))))-COUNTBLANK(OFFSET(A$1,,,SUMPRODUCT(MAX(ROW(E$1:E1518)*(E2=E$1:E1518))))))</f>
        <v> </v>
      </c>
      <c r="K1519" s="26" t="str">
        <f>IF(OR(E1519="",E1519="!!!",F1519="NEW"),"",INDEX(J$1:J1518,SUMPRODUCT(MAX(ROW(E$1:E1518)*(E1519=E$1:E1518)))))</f>
        <v> </v>
      </c>
      <c r="L1519" s="27"/>
    </row>
    <row r="1520" spans="1:12">
      <c r="A1520" s="20" t="s">
        <v>1389</v>
      </c>
      <c r="E1520" s="22">
        <f>IF(D1520="?OLD","!!!","")</f>
        <v/>
      </c>
      <c r="F1520" s="23" t="str">
        <f>IF(OR(E1520="",E1520="!!!"),"",IF(NOT(ISNA(VLOOKUP(E1520,E$1:E1519,1,FALSE()))),"OLD",IF(AND(E1520&lt;&gt;"",E1520&lt;&gt;"!!!"),"NEW","")))</f>
        <v> </v>
      </c>
      <c r="G1520" s="24" t="str">
        <f>IF(OR(E1520="",E1520="!!!"),"",IF(OR(J1520=0,AND(J1520=1,K1520=1),AND(J1520=1,I1520="SBJ"),AND(J1520=1,I1520=0)),"?IN_FOCUS",IF(J1520&lt;=2,"?ACTIVATED",IF(J1520&lt;&gt;"","?FAMILIAR",IF(F1520="NEW",IF(ISNA(VLOOKUP(E1520,#REF!,1,FALSE())),"?TYPE_IDENTIFIABLE","?REFERENTIAL"),"_")))))</f>
        <v> </v>
      </c>
      <c r="H1520" s="25" t="str">
        <f>IF(J1520&lt;&gt;1,"",IF(I1520="SBJ","CB","?"))</f>
        <v> </v>
      </c>
      <c r="I1520" s="26" t="str">
        <f>IF(OR(E1520="",E1520="!!!",F1520="NEW"),"",INDEX(B1519:B$2,-1+SUMPRODUCT(MAX(ROW(E1519:E$2)*(E1520=E1519:E$2)))))</f>
        <v> </v>
      </c>
      <c r="J1520" s="26" t="str">
        <f>IF(OR(E1520="",E1520="!!!",F1520="NEW"),"",COUNTBLANK(OFFSET(A$1,,,SUMPRODUCT(MAX(ROW(E$2:E1520)*(E1520=E$2:E1520)))))-COUNTBLANK(OFFSET(A$1,,,SUMPRODUCT(MAX(ROW(E$1:E1519)*(E2=E$1:E1519))))))</f>
        <v> </v>
      </c>
      <c r="K1520" s="26" t="str">
        <f>IF(OR(E1520="",E1520="!!!",F1520="NEW"),"",INDEX(J$1:J1519,SUMPRODUCT(MAX(ROW(E$1:E1519)*(E1520=E$1:E1519)))))</f>
        <v> </v>
      </c>
      <c r="L1520" s="27"/>
    </row>
    <row r="1521" spans="1:12">
      <c r="A1521" s="20" t="s">
        <v>246</v>
      </c>
      <c r="E1521" s="22">
        <f>IF(D1521="?OLD","!!!","")</f>
        <v/>
      </c>
      <c r="F1521" s="23" t="str">
        <f>IF(OR(E1521="",E1521="!!!"),"",IF(NOT(ISNA(VLOOKUP(E1521,E$1:E1520,1,FALSE()))),"OLD",IF(AND(E1521&lt;&gt;"",E1521&lt;&gt;"!!!"),"NEW","")))</f>
        <v> </v>
      </c>
      <c r="G1521" s="24" t="str">
        <f>IF(OR(E1521="",E1521="!!!"),"",IF(OR(J1521=0,AND(J1521=1,K1521=1),AND(J1521=1,I1521="SBJ"),AND(J1521=1,I1521=0)),"?IN_FOCUS",IF(J1521&lt;=2,"?ACTIVATED",IF(J1521&lt;&gt;"","?FAMILIAR",IF(F1521="NEW",IF(ISNA(VLOOKUP(E1521,#REF!,1,FALSE())),"?TYPE_IDENTIFIABLE","?REFERENTIAL"),"_")))))</f>
        <v> </v>
      </c>
      <c r="H1521" s="25" t="str">
        <f>IF(J1521&lt;&gt;1,"",IF(I1521="SBJ","CB","?"))</f>
        <v> </v>
      </c>
      <c r="I1521" s="26" t="str">
        <f>IF(OR(E1521="",E1521="!!!",F1521="NEW"),"",INDEX(B1520:B$2,-1+SUMPRODUCT(MAX(ROW(E1520:E$2)*(E1521=E1520:E$2)))))</f>
        <v> </v>
      </c>
      <c r="J1521" s="26" t="str">
        <f>IF(OR(E1521="",E1521="!!!",F1521="NEW"),"",COUNTBLANK(OFFSET(A$1,,,SUMPRODUCT(MAX(ROW(E$2:E1521)*(E1521=E$2:E1521)))))-COUNTBLANK(OFFSET(A$1,,,SUMPRODUCT(MAX(ROW(E$1:E1520)*(E2=E$1:E1520))))))</f>
        <v> </v>
      </c>
      <c r="K1521" s="26" t="str">
        <f>IF(OR(E1521="",E1521="!!!",F1521="NEW"),"",INDEX(J$1:J1520,SUMPRODUCT(MAX(ROW(E$1:E1520)*(E1521=E$1:E1520)))))</f>
        <v> </v>
      </c>
      <c r="L1521" s="27"/>
    </row>
    <row r="1522" spans="1:12">
      <c r="A1522" s="20"/>
    </row>
    <row r="1523" spans="1:12">
      <c r="A1523" s="20" t="s">
        <v>798</v>
      </c>
      <c r="E1523" s="22">
        <f>IF(D1523="?OLD","!!!","")</f>
        <v/>
      </c>
      <c r="F1523" s="23" t="str">
        <f>IF(OR(E1523="",E1523="!!!"),"",IF(NOT(ISNA(VLOOKUP(E1523,E$1:E1522,1,FALSE()))),"OLD",IF(AND(E1523&lt;&gt;"",E1523&lt;&gt;"!!!"),"NEW","")))</f>
        <v> </v>
      </c>
      <c r="G1523" s="24" t="str">
        <f>IF(OR(E1523="",E1523="!!!"),"",IF(OR(J1523=0,AND(J1523=1,K1523=1),AND(J1523=1,I1523="SBJ"),AND(J1523=1,I1523=0)),"?IN_FOCUS",IF(J1523&lt;=2,"?ACTIVATED",IF(J1523&lt;&gt;"","?FAMILIAR",IF(F1523="NEW",IF(ISNA(VLOOKUP(E1523,#REF!,1,FALSE())),"?TYPE_IDENTIFIABLE","?REFERENTIAL"),"_")))))</f>
        <v> </v>
      </c>
      <c r="H1523" s="25" t="str">
        <f>IF(J1523&lt;&gt;1,"",IF(I1523="SBJ","CB","?"))</f>
        <v> </v>
      </c>
      <c r="I1523" s="26" t="str">
        <f>IF(OR(E1523="",E1523="!!!",F1523="NEW"),"",INDEX(B1522:B$2,-1+SUMPRODUCT(MAX(ROW(E1522:E$2)*(E1523=E1522:E$2)))))</f>
        <v> </v>
      </c>
      <c r="J1523" s="26" t="str">
        <f>IF(OR(E1523="",E1523="!!!",F1523="NEW"),"",COUNTBLANK(OFFSET(A$1,,,SUMPRODUCT(MAX(ROW(E$2:E1523)*(E1523=E$2:E1523)))))-COUNTBLANK(OFFSET(A$1,,,SUMPRODUCT(MAX(ROW(E$1:E1522)*(E2=E$1:E1522))))))</f>
        <v> </v>
      </c>
      <c r="K1523" s="26" t="str">
        <f>IF(OR(E1523="",E1523="!!!",F1523="NEW"),"",INDEX(J$1:J1522,SUMPRODUCT(MAX(ROW(E$1:E1522)*(E1523=E$1:E1522)))))</f>
        <v> </v>
      </c>
      <c r="L1523" s="27"/>
    </row>
    <row r="1524" spans="1:12">
      <c r="A1524" s="20" t="s">
        <v>1390</v>
      </c>
    </row>
    <row r="1525" spans="1:12">
      <c r="A1525" s="20" t="s">
        <v>836</v>
      </c>
      <c r="B1525" s="21" t="s">
        <v>728</v>
      </c>
      <c r="C1525" s="21" t="s">
        <v>729</v>
      </c>
      <c r="D1525" s="21" t="s">
        <v>730</v>
      </c>
      <c r="E1525" s="22">
        <f>IF(D1525="?OLD","!!!","")</f>
        <v/>
      </c>
      <c r="F1525" s="23" t="str">
        <f>IF(OR(E1525="",E1525="!!!"),"",IF(NOT(ISNA(VLOOKUP(E1525,E$1:E1524,1,FALSE()))),"OLD",IF(AND(E1525&lt;&gt;"",E1525&lt;&gt;"!!!"),"NEW","")))</f>
        <v> </v>
      </c>
      <c r="G1525" s="24" t="str">
        <f>IF(OR(E1525="",E1525="!!!"),"",IF(OR(J1525=0,AND(J1525=1,K1525=1),AND(J1525=1,I1525="SBJ"),AND(J1525=1,I1525=0)),"?IN_FOCUS",IF(J1525&lt;=2,"?ACTIVATED",IF(J1525&lt;&gt;"","?FAMILIAR",IF(F1525="NEW",IF(ISNA(VLOOKUP(E1525,#REF!,1,FALSE())),"?TYPE_IDENTIFIABLE","?REFERENTIAL"),"_")))))</f>
        <v> </v>
      </c>
      <c r="H1525" s="25" t="str">
        <f>IF(J1525&lt;&gt;1,"",IF(I1525="SBJ","CB","?"))</f>
        <v> </v>
      </c>
      <c r="I1525" s="26" t="str">
        <f>IF(OR(E1525="",E1525="!!!",F1525="NEW"),"",INDEX(B1524:B$2,-1+SUMPRODUCT(MAX(ROW(E1524:E$2)*(E1525=E1524:E$2)))))</f>
        <v> </v>
      </c>
      <c r="J1525" s="26" t="str">
        <f>IF(OR(E1525="",E1525="!!!",F1525="NEW"),"",COUNTBLANK(OFFSET(A$1,,,SUMPRODUCT(MAX(ROW(E$2:E1525)*(E1525=E$2:E1525)))))-COUNTBLANK(OFFSET(A$1,,,SUMPRODUCT(MAX(ROW(E$1:E1524)*(E2=E$1:E1524))))))</f>
        <v> </v>
      </c>
      <c r="K1525" s="26" t="str">
        <f>IF(OR(E1525="",E1525="!!!",F1525="NEW"),"",INDEX(J$1:J1524,SUMPRODUCT(MAX(ROW(E$1:E1524)*(E1525=E$1:E1524)))))</f>
        <v> </v>
      </c>
      <c r="L1525" s="27"/>
    </row>
    <row r="1526" spans="1:12">
      <c r="A1526" s="20" t="s">
        <v>1087</v>
      </c>
      <c r="E1526" s="22">
        <f>IF(D1526="?OLD","!!!","")</f>
        <v/>
      </c>
      <c r="F1526" s="23" t="str">
        <f>IF(OR(E1526="",E1526="!!!"),"",IF(NOT(ISNA(VLOOKUP(E1526,E$1:E1525,1,FALSE()))),"OLD",IF(AND(E1526&lt;&gt;"",E1526&lt;&gt;"!!!"),"NEW","")))</f>
        <v> </v>
      </c>
      <c r="G1526" s="24" t="str">
        <f>IF(OR(E1526="",E1526="!!!"),"",IF(OR(J1526=0,AND(J1526=1,K1526=1),AND(J1526=1,I1526="SBJ"),AND(J1526=1,I1526=0)),"?IN_FOCUS",IF(J1526&lt;=2,"?ACTIVATED",IF(J1526&lt;&gt;"","?FAMILIAR",IF(F1526="NEW",IF(ISNA(VLOOKUP(E1526,#REF!,1,FALSE())),"?TYPE_IDENTIFIABLE","?REFERENTIAL"),"_")))))</f>
        <v> </v>
      </c>
      <c r="H1526" s="25" t="str">
        <f>IF(J1526&lt;&gt;1,"",IF(I1526="SBJ","CB","?"))</f>
        <v> </v>
      </c>
      <c r="I1526" s="26" t="str">
        <f>IF(OR(E1526="",E1526="!!!",F1526="NEW"),"",INDEX(B1525:B$2,-1+SUMPRODUCT(MAX(ROW(E1525:E$2)*(E1526=E1525:E$2)))))</f>
        <v> </v>
      </c>
      <c r="J1526" s="26" t="str">
        <f>IF(OR(E1526="",E1526="!!!",F1526="NEW"),"",COUNTBLANK(OFFSET(A$1,,,SUMPRODUCT(MAX(ROW(E$2:E1526)*(E1526=E$2:E1526)))))-COUNTBLANK(OFFSET(A$1,,,SUMPRODUCT(MAX(ROW(E$1:E1525)*(E2=E$1:E1525))))))</f>
        <v> </v>
      </c>
      <c r="K1526" s="26" t="str">
        <f>IF(OR(E1526="",E1526="!!!",F1526="NEW"),"",INDEX(J$1:J1525,SUMPRODUCT(MAX(ROW(E$1:E1525)*(E1526=E$1:E1525)))))</f>
        <v> </v>
      </c>
      <c r="L1526" s="27"/>
    </row>
    <row r="1527" spans="1:12">
      <c r="A1527" s="20" t="s">
        <v>922</v>
      </c>
      <c r="E1527" s="22">
        <f>IF(D1527="?OLD","!!!","")</f>
        <v/>
      </c>
      <c r="F1527" s="23" t="str">
        <f>IF(OR(E1527="",E1527="!!!"),"",IF(NOT(ISNA(VLOOKUP(E1527,E$1:E1526,1,FALSE()))),"OLD",IF(AND(E1527&lt;&gt;"",E1527&lt;&gt;"!!!"),"NEW","")))</f>
        <v> </v>
      </c>
      <c r="G1527" s="24" t="str">
        <f>IF(OR(E1527="",E1527="!!!"),"",IF(OR(J1527=0,AND(J1527=1,K1527=1),AND(J1527=1,I1527="SBJ"),AND(J1527=1,I1527=0)),"?IN_FOCUS",IF(J1527&lt;=2,"?ACTIVATED",IF(J1527&lt;&gt;"","?FAMILIAR",IF(F1527="NEW",IF(ISNA(VLOOKUP(E1527,#REF!,1,FALSE())),"?TYPE_IDENTIFIABLE","?REFERENTIAL"),"_")))))</f>
        <v> </v>
      </c>
      <c r="H1527" s="25" t="str">
        <f>IF(J1527&lt;&gt;1,"",IF(I1527="SBJ","CB","?"))</f>
        <v> </v>
      </c>
      <c r="I1527" s="26" t="str">
        <f>IF(OR(E1527="",E1527="!!!",F1527="NEW"),"",INDEX(B1526:B$2,-1+SUMPRODUCT(MAX(ROW(E1526:E$2)*(E1527=E1526:E$2)))))</f>
        <v> </v>
      </c>
      <c r="J1527" s="26" t="str">
        <f>IF(OR(E1527="",E1527="!!!",F1527="NEW"),"",COUNTBLANK(OFFSET(A$1,,,SUMPRODUCT(MAX(ROW(E$2:E1527)*(E1527=E$2:E1527)))))-COUNTBLANK(OFFSET(A$1,,,SUMPRODUCT(MAX(ROW(E$1:E1526)*(E2=E$1:E1526))))))</f>
        <v> </v>
      </c>
      <c r="K1527" s="26" t="str">
        <f>IF(OR(E1527="",E1527="!!!",F1527="NEW"),"",INDEX(J$1:J1526,SUMPRODUCT(MAX(ROW(E$1:E1526)*(E1527=E$1:E1526)))))</f>
        <v> </v>
      </c>
      <c r="L1527" s="27"/>
    </row>
    <row r="1528" spans="1:12">
      <c r="A1528" s="20" t="s">
        <v>1391</v>
      </c>
      <c r="E1528" s="22">
        <f>IF(D1528="?OLD","!!!","")</f>
        <v/>
      </c>
      <c r="F1528" s="23" t="str">
        <f>IF(OR(E1528="",E1528="!!!"),"",IF(NOT(ISNA(VLOOKUP(E1528,E$1:E1527,1,FALSE()))),"OLD",IF(AND(E1528&lt;&gt;"",E1528&lt;&gt;"!!!"),"NEW","")))</f>
        <v> </v>
      </c>
      <c r="G1528" s="24" t="str">
        <f>IF(OR(E1528="",E1528="!!!"),"",IF(OR(J1528=0,AND(J1528=1,K1528=1),AND(J1528=1,I1528="SBJ"),AND(J1528=1,I1528=0)),"?IN_FOCUS",IF(J1528&lt;=2,"?ACTIVATED",IF(J1528&lt;&gt;"","?FAMILIAR",IF(F1528="NEW",IF(ISNA(VLOOKUP(E1528,#REF!,1,FALSE())),"?TYPE_IDENTIFIABLE","?REFERENTIAL"),"_")))))</f>
        <v> </v>
      </c>
      <c r="H1528" s="25" t="str">
        <f>IF(J1528&lt;&gt;1,"",IF(I1528="SBJ","CB","?"))</f>
        <v> </v>
      </c>
      <c r="I1528" s="26" t="str">
        <f>IF(OR(E1528="",E1528="!!!",F1528="NEW"),"",INDEX(B1527:B$2,-1+SUMPRODUCT(MAX(ROW(E1527:E$2)*(E1528=E1527:E$2)))))</f>
        <v> </v>
      </c>
      <c r="J1528" s="26" t="str">
        <f>IF(OR(E1528="",E1528="!!!",F1528="NEW"),"",COUNTBLANK(OFFSET(A$1,,,SUMPRODUCT(MAX(ROW(E$2:E1528)*(E1528=E$2:E1528)))))-COUNTBLANK(OFFSET(A$1,,,SUMPRODUCT(MAX(ROW(E$1:E1527)*(E2=E$1:E1527))))))</f>
        <v> </v>
      </c>
      <c r="K1528" s="26" t="str">
        <f>IF(OR(E1528="",E1528="!!!",F1528="NEW"),"",INDEX(J$1:J1527,SUMPRODUCT(MAX(ROW(E$1:E1527)*(E1528=E$1:E1527)))))</f>
        <v> </v>
      </c>
      <c r="L1528" s="27"/>
    </row>
    <row r="1529" spans="1:12">
      <c r="A1529" s="20" t="s">
        <v>1392</v>
      </c>
      <c r="B1529" s="21" t="s">
        <v>736</v>
      </c>
      <c r="C1529" s="21" t="s">
        <v>737</v>
      </c>
      <c r="E1529" s="22">
        <f>IF(D1529="?OLD","!!!","")</f>
        <v/>
      </c>
      <c r="F1529" s="23" t="str">
        <f>IF(OR(E1529="",E1529="!!!"),"",IF(NOT(ISNA(VLOOKUP(E1529,E$1:E1528,1,FALSE()))),"OLD",IF(AND(E1529&lt;&gt;"",E1529&lt;&gt;"!!!"),"NEW","")))</f>
        <v> </v>
      </c>
      <c r="G1529" s="24" t="str">
        <f>IF(OR(E1529="",E1529="!!!"),"",IF(OR(J1529=0,AND(J1529=1,K1529=1),AND(J1529=1,I1529="SBJ"),AND(J1529=1,I1529=0)),"?IN_FOCUS",IF(J1529&lt;=2,"?ACTIVATED",IF(J1529&lt;&gt;"","?FAMILIAR",IF(F1529="NEW",IF(ISNA(VLOOKUP(E1529,#REF!,1,FALSE())),"?TYPE_IDENTIFIABLE","?REFERENTIAL"),"_")))))</f>
        <v> </v>
      </c>
      <c r="H1529" s="25" t="str">
        <f>IF(J1529&lt;&gt;1,"",IF(I1529="SBJ","CB","?"))</f>
        <v> </v>
      </c>
      <c r="I1529" s="26" t="str">
        <f>IF(OR(E1529="",E1529="!!!",F1529="NEW"),"",INDEX(B1528:B$2,-1+SUMPRODUCT(MAX(ROW(E1528:E$2)*(E1529=E1528:E$2)))))</f>
        <v> </v>
      </c>
      <c r="J1529" s="26" t="str">
        <f>IF(OR(E1529="",E1529="!!!",F1529="NEW"),"",COUNTBLANK(OFFSET(A$1,,,SUMPRODUCT(MAX(ROW(E$2:E1529)*(E1529=E$2:E1529)))))-COUNTBLANK(OFFSET(A$1,,,SUMPRODUCT(MAX(ROW(E$1:E1528)*(E2=E$1:E1528))))))</f>
        <v> </v>
      </c>
      <c r="K1529" s="26" t="str">
        <f>IF(OR(E1529="",E1529="!!!",F1529="NEW"),"",INDEX(J$1:J1528,SUMPRODUCT(MAX(ROW(E$1:E1528)*(E1529=E$1:E1528)))))</f>
        <v> </v>
      </c>
      <c r="L1529" s="27"/>
    </row>
    <row r="1530" spans="1:12">
      <c r="A1530" s="20" t="s">
        <v>1393</v>
      </c>
      <c r="E1530" s="22">
        <f>IF(D1530="?OLD","!!!","")</f>
        <v/>
      </c>
      <c r="F1530" s="23" t="str">
        <f>IF(OR(E1530="",E1530="!!!"),"",IF(NOT(ISNA(VLOOKUP(E1530,E$1:E1529,1,FALSE()))),"OLD",IF(AND(E1530&lt;&gt;"",E1530&lt;&gt;"!!!"),"NEW","")))</f>
        <v> </v>
      </c>
      <c r="G1530" s="24" t="str">
        <f>IF(OR(E1530="",E1530="!!!"),"",IF(OR(J1530=0,AND(J1530=1,K1530=1),AND(J1530=1,I1530="SBJ"),AND(J1530=1,I1530=0)),"?IN_FOCUS",IF(J1530&lt;=2,"?ACTIVATED",IF(J1530&lt;&gt;"","?FAMILIAR",IF(F1530="NEW",IF(ISNA(VLOOKUP(E1530,#REF!,1,FALSE())),"?TYPE_IDENTIFIABLE","?REFERENTIAL"),"_")))))</f>
        <v> </v>
      </c>
      <c r="H1530" s="25" t="str">
        <f>IF(J1530&lt;&gt;1,"",IF(I1530="SBJ","CB","?"))</f>
        <v> </v>
      </c>
      <c r="I1530" s="26" t="str">
        <f>IF(OR(E1530="",E1530="!!!",F1530="NEW"),"",INDEX(B1529:B$2,-1+SUMPRODUCT(MAX(ROW(E1529:E$2)*(E1530=E1529:E$2)))))</f>
        <v> </v>
      </c>
      <c r="J1530" s="26" t="str">
        <f>IF(OR(E1530="",E1530="!!!",F1530="NEW"),"",COUNTBLANK(OFFSET(A$1,,,SUMPRODUCT(MAX(ROW(E$2:E1530)*(E1530=E$2:E1530)))))-COUNTBLANK(OFFSET(A$1,,,SUMPRODUCT(MAX(ROW(E$1:E1529)*(E2=E$1:E1529))))))</f>
        <v> </v>
      </c>
      <c r="K1530" s="26" t="str">
        <f>IF(OR(E1530="",E1530="!!!",F1530="NEW"),"",INDEX(J$1:J1529,SUMPRODUCT(MAX(ROW(E$1:E1529)*(E1530=E$1:E1529)))))</f>
        <v> </v>
      </c>
      <c r="L1530" s="27"/>
    </row>
    <row r="1531" spans="1:12">
      <c r="A1531" s="20" t="s">
        <v>1394</v>
      </c>
      <c r="E1531" s="22">
        <f>IF(D1531="?OLD","!!!","")</f>
        <v/>
      </c>
      <c r="F1531" s="23" t="str">
        <f>IF(OR(E1531="",E1531="!!!"),"",IF(NOT(ISNA(VLOOKUP(E1531,E$1:E1530,1,FALSE()))),"OLD",IF(AND(E1531&lt;&gt;"",E1531&lt;&gt;"!!!"),"NEW","")))</f>
        <v> </v>
      </c>
      <c r="G1531" s="24" t="str">
        <f>IF(OR(E1531="",E1531="!!!"),"",IF(OR(J1531=0,AND(J1531=1,K1531=1),AND(J1531=1,I1531="SBJ"),AND(J1531=1,I1531=0)),"?IN_FOCUS",IF(J1531&lt;=2,"?ACTIVATED",IF(J1531&lt;&gt;"","?FAMILIAR",IF(F1531="NEW",IF(ISNA(VLOOKUP(E1531,#REF!,1,FALSE())),"?TYPE_IDENTIFIABLE","?REFERENTIAL"),"_")))))</f>
        <v> </v>
      </c>
      <c r="H1531" s="25" t="str">
        <f>IF(J1531&lt;&gt;1,"",IF(I1531="SBJ","CB","?"))</f>
        <v> </v>
      </c>
      <c r="I1531" s="26" t="str">
        <f>IF(OR(E1531="",E1531="!!!",F1531="NEW"),"",INDEX(B1530:B$2,-1+SUMPRODUCT(MAX(ROW(E1530:E$2)*(E1531=E1530:E$2)))))</f>
        <v> </v>
      </c>
      <c r="J1531" s="26" t="str">
        <f>IF(OR(E1531="",E1531="!!!",F1531="NEW"),"",COUNTBLANK(OFFSET(A$1,,,SUMPRODUCT(MAX(ROW(E$2:E1531)*(E1531=E$2:E1531)))))-COUNTBLANK(OFFSET(A$1,,,SUMPRODUCT(MAX(ROW(E$1:E1530)*(E2=E$1:E1530))))))</f>
        <v> </v>
      </c>
      <c r="K1531" s="26" t="str">
        <f>IF(OR(E1531="",E1531="!!!",F1531="NEW"),"",INDEX(J$1:J1530,SUMPRODUCT(MAX(ROW(E$1:E1530)*(E1531=E$1:E1530)))))</f>
        <v> </v>
      </c>
      <c r="L1531" s="27"/>
    </row>
    <row r="1532" spans="1:12">
      <c r="A1532" s="20" t="s">
        <v>246</v>
      </c>
      <c r="E1532" s="22">
        <f>IF(D1532="?OLD","!!!","")</f>
        <v/>
      </c>
      <c r="F1532" s="23" t="str">
        <f>IF(OR(E1532="",E1532="!!!"),"",IF(NOT(ISNA(VLOOKUP(E1532,E$1:E1531,1,FALSE()))),"OLD",IF(AND(E1532&lt;&gt;"",E1532&lt;&gt;"!!!"),"NEW","")))</f>
        <v> </v>
      </c>
      <c r="G1532" s="24" t="str">
        <f>IF(OR(E1532="",E1532="!!!"),"",IF(OR(J1532=0,AND(J1532=1,K1532=1),AND(J1532=1,I1532="SBJ"),AND(J1532=1,I1532=0)),"?IN_FOCUS",IF(J1532&lt;=2,"?ACTIVATED",IF(J1532&lt;&gt;"","?FAMILIAR",IF(F1532="NEW",IF(ISNA(VLOOKUP(E1532,#REF!,1,FALSE())),"?TYPE_IDENTIFIABLE","?REFERENTIAL"),"_")))))</f>
        <v> </v>
      </c>
      <c r="H1532" s="25" t="str">
        <f>IF(J1532&lt;&gt;1,"",IF(I1532="SBJ","CB","?"))</f>
        <v> </v>
      </c>
      <c r="I1532" s="26" t="str">
        <f>IF(OR(E1532="",E1532="!!!",F1532="NEW"),"",INDEX(B1531:B$2,-1+SUMPRODUCT(MAX(ROW(E1531:E$2)*(E1532=E1531:E$2)))))</f>
        <v> </v>
      </c>
      <c r="J1532" s="26" t="str">
        <f>IF(OR(E1532="",E1532="!!!",F1532="NEW"),"",COUNTBLANK(OFFSET(A$1,,,SUMPRODUCT(MAX(ROW(E$2:E1532)*(E1532=E$2:E1532)))))-COUNTBLANK(OFFSET(A$1,,,SUMPRODUCT(MAX(ROW(E$1:E1531)*(E2=E$1:E1531))))))</f>
        <v> </v>
      </c>
      <c r="K1532" s="26" t="str">
        <f>IF(OR(E1532="",E1532="!!!",F1532="NEW"),"",INDEX(J$1:J1531,SUMPRODUCT(MAX(ROW(E$1:E1531)*(E1532=E$1:E1531)))))</f>
        <v> </v>
      </c>
      <c r="L1532" s="27"/>
    </row>
    <row r="1533" spans="1:12">
      <c r="A1533" s="20" t="s">
        <v>817</v>
      </c>
      <c r="E1533" s="22">
        <f>IF(D1533="?OLD","!!!","")</f>
        <v/>
      </c>
      <c r="F1533" s="23" t="str">
        <f>IF(OR(E1533="",E1533="!!!"),"",IF(NOT(ISNA(VLOOKUP(E1533,E$1:E1532,1,FALSE()))),"OLD",IF(AND(E1533&lt;&gt;"",E1533&lt;&gt;"!!!"),"NEW","")))</f>
        <v> </v>
      </c>
      <c r="G1533" s="24" t="str">
        <f>IF(OR(E1533="",E1533="!!!"),"",IF(OR(J1533=0,AND(J1533=1,K1533=1),AND(J1533=1,I1533="SBJ"),AND(J1533=1,I1533=0)),"?IN_FOCUS",IF(J1533&lt;=2,"?ACTIVATED",IF(J1533&lt;&gt;"","?FAMILIAR",IF(F1533="NEW",IF(ISNA(VLOOKUP(E1533,#REF!,1,FALSE())),"?TYPE_IDENTIFIABLE","?REFERENTIAL"),"_")))))</f>
        <v> </v>
      </c>
      <c r="H1533" s="25" t="str">
        <f>IF(J1533&lt;&gt;1,"",IF(I1533="SBJ","CB","?"))</f>
        <v> </v>
      </c>
      <c r="I1533" s="26" t="str">
        <f>IF(OR(E1533="",E1533="!!!",F1533="NEW"),"",INDEX(B1532:B$2,-1+SUMPRODUCT(MAX(ROW(E1532:E$2)*(E1533=E1532:E$2)))))</f>
        <v> </v>
      </c>
      <c r="J1533" s="26" t="str">
        <f>IF(OR(E1533="",E1533="!!!",F1533="NEW"),"",COUNTBLANK(OFFSET(A$1,,,SUMPRODUCT(MAX(ROW(E$2:E1533)*(E1533=E$2:E1533)))))-COUNTBLANK(OFFSET(A$1,,,SUMPRODUCT(MAX(ROW(E$1:E1532)*(E2=E$1:E1532))))))</f>
        <v> </v>
      </c>
      <c r="K1533" s="26" t="str">
        <f>IF(OR(E1533="",E1533="!!!",F1533="NEW"),"",INDEX(J$1:J1532,SUMPRODUCT(MAX(ROW(E$1:E1532)*(E1533=E$1:E1532)))))</f>
        <v> </v>
      </c>
      <c r="L1533" s="27"/>
    </row>
    <row r="1534" spans="1:12">
      <c r="A1534" s="20"/>
    </row>
    <row r="1535" spans="1:12">
      <c r="A1535" s="20" t="s">
        <v>1395</v>
      </c>
    </row>
    <row r="1536" spans="1:12">
      <c r="A1536" s="20" t="s">
        <v>768</v>
      </c>
      <c r="E1536" s="22">
        <f>IF(D1536="?OLD","!!!","")</f>
        <v/>
      </c>
      <c r="F1536" s="23" t="str">
        <f>IF(OR(E1536="",E1536="!!!"),"",IF(NOT(ISNA(VLOOKUP(E1536,E$1:E1535,1,FALSE()))),"OLD",IF(AND(E1536&lt;&gt;"",E1536&lt;&gt;"!!!"),"NEW","")))</f>
        <v> </v>
      </c>
      <c r="G1536" s="24" t="str">
        <f>IF(OR(E1536="",E1536="!!!"),"",IF(OR(J1536=0,AND(J1536=1,K1536=1),AND(J1536=1,I1536="SBJ"),AND(J1536=1,I1536=0)),"?IN_FOCUS",IF(J1536&lt;=2,"?ACTIVATED",IF(J1536&lt;&gt;"","?FAMILIAR",IF(F1536="NEW",IF(ISNA(VLOOKUP(E1536,#REF!,1,FALSE())),"?TYPE_IDENTIFIABLE","?REFERENTIAL"),"_")))))</f>
        <v> </v>
      </c>
      <c r="H1536" s="25" t="str">
        <f>IF(J1536&lt;&gt;1,"",IF(I1536="SBJ","CB","?"))</f>
        <v> </v>
      </c>
      <c r="I1536" s="26" t="str">
        <f>IF(OR(E1536="",E1536="!!!",F1536="NEW"),"",INDEX(B1535:B$2,-1+SUMPRODUCT(MAX(ROW(E1535:E$2)*(E1536=E1535:E$2)))))</f>
        <v> </v>
      </c>
      <c r="J1536" s="26" t="str">
        <f>IF(OR(E1536="",E1536="!!!",F1536="NEW"),"",COUNTBLANK(OFFSET(A$1,,,SUMPRODUCT(MAX(ROW(E$2:E1536)*(E1536=E$2:E1536)))))-COUNTBLANK(OFFSET(A$1,,,SUMPRODUCT(MAX(ROW(E$1:E1535)*(E2=E$1:E1535))))))</f>
        <v> </v>
      </c>
      <c r="K1536" s="26" t="str">
        <f>IF(OR(E1536="",E1536="!!!",F1536="NEW"),"",INDEX(J$1:J1535,SUMPRODUCT(MAX(ROW(E$1:E1535)*(E1536=E$1:E1535)))))</f>
        <v> </v>
      </c>
      <c r="L1536" s="27"/>
    </row>
    <row r="1537" spans="1:12">
      <c r="A1537" s="20" t="s">
        <v>750</v>
      </c>
      <c r="B1537" s="21" t="s">
        <v>728</v>
      </c>
      <c r="C1537" s="21" t="s">
        <v>729</v>
      </c>
      <c r="D1537" s="21" t="s">
        <v>730</v>
      </c>
      <c r="E1537" s="22">
        <f>IF(D1537="?OLD","!!!","")</f>
        <v/>
      </c>
      <c r="F1537" s="23" t="str">
        <f>IF(OR(E1537="",E1537="!!!"),"",IF(NOT(ISNA(VLOOKUP(E1537,E$1:E1536,1,FALSE()))),"OLD",IF(AND(E1537&lt;&gt;"",E1537&lt;&gt;"!!!"),"NEW","")))</f>
        <v> </v>
      </c>
      <c r="G1537" s="24" t="str">
        <f>IF(OR(E1537="",E1537="!!!"),"",IF(OR(J1537=0,AND(J1537=1,K1537=1),AND(J1537=1,I1537="SBJ"),AND(J1537=1,I1537=0)),"?IN_FOCUS",IF(J1537&lt;=2,"?ACTIVATED",IF(J1537&lt;&gt;"","?FAMILIAR",IF(F1537="NEW",IF(ISNA(VLOOKUP(E1537,#REF!,1,FALSE())),"?TYPE_IDENTIFIABLE","?REFERENTIAL"),"_")))))</f>
        <v> </v>
      </c>
      <c r="H1537" s="25" t="str">
        <f>IF(J1537&lt;&gt;1,"",IF(I1537="SBJ","CB","?"))</f>
        <v> </v>
      </c>
      <c r="I1537" s="26" t="str">
        <f>IF(OR(E1537="",E1537="!!!",F1537="NEW"),"",INDEX(B1536:B$2,-1+SUMPRODUCT(MAX(ROW(E1536:E$2)*(E1537=E1536:E$2)))))</f>
        <v> </v>
      </c>
      <c r="J1537" s="26" t="str">
        <f>IF(OR(E1537="",E1537="!!!",F1537="NEW"),"",COUNTBLANK(OFFSET(A$1,,,SUMPRODUCT(MAX(ROW(E$2:E1537)*(E1537=E$2:E1537)))))-COUNTBLANK(OFFSET(A$1,,,SUMPRODUCT(MAX(ROW(E$1:E1536)*(E2=E$1:E1536))))))</f>
        <v> </v>
      </c>
      <c r="K1537" s="26" t="str">
        <f>IF(OR(E1537="",E1537="!!!",F1537="NEW"),"",INDEX(J$1:J1536,SUMPRODUCT(MAX(ROW(E$1:E1536)*(E1537=E$1:E1536)))))</f>
        <v> </v>
      </c>
      <c r="L1537" s="27"/>
    </row>
    <row r="1538" spans="1:12">
      <c r="A1538" s="20" t="s">
        <v>1396</v>
      </c>
      <c r="E1538" s="22">
        <f>IF(D1538="?OLD","!!!","")</f>
        <v/>
      </c>
      <c r="F1538" s="23" t="str">
        <f>IF(OR(E1538="",E1538="!!!"),"",IF(NOT(ISNA(VLOOKUP(E1538,E$1:E1537,1,FALSE()))),"OLD",IF(AND(E1538&lt;&gt;"",E1538&lt;&gt;"!!!"),"NEW","")))</f>
        <v> </v>
      </c>
      <c r="G1538" s="24" t="str">
        <f>IF(OR(E1538="",E1538="!!!"),"",IF(OR(J1538=0,AND(J1538=1,K1538=1),AND(J1538=1,I1538="SBJ"),AND(J1538=1,I1538=0)),"?IN_FOCUS",IF(J1538&lt;=2,"?ACTIVATED",IF(J1538&lt;&gt;"","?FAMILIAR",IF(F1538="NEW",IF(ISNA(VLOOKUP(E1538,#REF!,1,FALSE())),"?TYPE_IDENTIFIABLE","?REFERENTIAL"),"_")))))</f>
        <v> </v>
      </c>
      <c r="H1538" s="25" t="str">
        <f>IF(J1538&lt;&gt;1,"",IF(I1538="SBJ","CB","?"))</f>
        <v> </v>
      </c>
      <c r="I1538" s="26" t="str">
        <f>IF(OR(E1538="",E1538="!!!",F1538="NEW"),"",INDEX(B1537:B$2,-1+SUMPRODUCT(MAX(ROW(E1537:E$2)*(E1538=E1537:E$2)))))</f>
        <v> </v>
      </c>
      <c r="J1538" s="26" t="str">
        <f>IF(OR(E1538="",E1538="!!!",F1538="NEW"),"",COUNTBLANK(OFFSET(A$1,,,SUMPRODUCT(MAX(ROW(E$2:E1538)*(E1538=E$2:E1538)))))-COUNTBLANK(OFFSET(A$1,,,SUMPRODUCT(MAX(ROW(E$1:E1537)*(E2=E$1:E1537))))))</f>
        <v> </v>
      </c>
      <c r="K1538" s="26" t="str">
        <f>IF(OR(E1538="",E1538="!!!",F1538="NEW"),"",INDEX(J$1:J1537,SUMPRODUCT(MAX(ROW(E$1:E1537)*(E1538=E$1:E1537)))))</f>
        <v> </v>
      </c>
      <c r="L1538" s="27"/>
    </row>
    <row r="1539" spans="1:12">
      <c r="A1539" s="20" t="s">
        <v>928</v>
      </c>
      <c r="B1539" s="21" t="s">
        <v>764</v>
      </c>
      <c r="C1539" s="21" t="s">
        <v>789</v>
      </c>
      <c r="D1539" s="21" t="s">
        <v>730</v>
      </c>
      <c r="E1539" s="22">
        <f>IF(D1539="?OLD","!!!","")</f>
        <v/>
      </c>
      <c r="F1539" s="23" t="str">
        <f>IF(OR(E1539="",E1539="!!!"),"",IF(NOT(ISNA(VLOOKUP(E1539,E$1:E1538,1,FALSE()))),"OLD",IF(AND(E1539&lt;&gt;"",E1539&lt;&gt;"!!!"),"NEW","")))</f>
        <v> </v>
      </c>
      <c r="G1539" s="24" t="str">
        <f>IF(OR(E1539="",E1539="!!!"),"",IF(OR(J1539=0,AND(J1539=1,K1539=1),AND(J1539=1,I1539="SBJ"),AND(J1539=1,I1539=0)),"?IN_FOCUS",IF(J1539&lt;=2,"?ACTIVATED",IF(J1539&lt;&gt;"","?FAMILIAR",IF(F1539="NEW",IF(ISNA(VLOOKUP(E1539,#REF!,1,FALSE())),"?TYPE_IDENTIFIABLE","?REFERENTIAL"),"_")))))</f>
        <v> </v>
      </c>
      <c r="H1539" s="25" t="str">
        <f>IF(J1539&lt;&gt;1,"",IF(I1539="SBJ","CB","?"))</f>
        <v> </v>
      </c>
      <c r="I1539" s="26" t="str">
        <f>IF(OR(E1539="",E1539="!!!",F1539="NEW"),"",INDEX(B1538:B$2,-1+SUMPRODUCT(MAX(ROW(E1538:E$2)*(E1539=E1538:E$2)))))</f>
        <v> </v>
      </c>
      <c r="J1539" s="26" t="str">
        <f>IF(OR(E1539="",E1539="!!!",F1539="NEW"),"",COUNTBLANK(OFFSET(A$1,,,SUMPRODUCT(MAX(ROW(E$2:E1539)*(E1539=E$2:E1539)))))-COUNTBLANK(OFFSET(A$1,,,SUMPRODUCT(MAX(ROW(E$1:E1538)*(E2=E$1:E1538))))))</f>
        <v> </v>
      </c>
      <c r="K1539" s="26" t="str">
        <f>IF(OR(E1539="",E1539="!!!",F1539="NEW"),"",INDEX(J$1:J1538,SUMPRODUCT(MAX(ROW(E$1:E1538)*(E1539=E$1:E1538)))))</f>
        <v> </v>
      </c>
      <c r="L1539" s="27"/>
    </row>
    <row r="1540" spans="1:12">
      <c r="A1540" s="20" t="s">
        <v>759</v>
      </c>
      <c r="E1540" s="22">
        <f>IF(D1540="?OLD","!!!","")</f>
        <v/>
      </c>
      <c r="F1540" s="23" t="str">
        <f>IF(OR(E1540="",E1540="!!!"),"",IF(NOT(ISNA(VLOOKUP(E1540,E$1:E1539,1,FALSE()))),"OLD",IF(AND(E1540&lt;&gt;"",E1540&lt;&gt;"!!!"),"NEW","")))</f>
        <v> </v>
      </c>
      <c r="G1540" s="24" t="str">
        <f>IF(OR(E1540="",E1540="!!!"),"",IF(OR(J1540=0,AND(J1540=1,K1540=1),AND(J1540=1,I1540="SBJ"),AND(J1540=1,I1540=0)),"?IN_FOCUS",IF(J1540&lt;=2,"?ACTIVATED",IF(J1540&lt;&gt;"","?FAMILIAR",IF(F1540="NEW",IF(ISNA(VLOOKUP(E1540,#REF!,1,FALSE())),"?TYPE_IDENTIFIABLE","?REFERENTIAL"),"_")))))</f>
        <v> </v>
      </c>
      <c r="H1540" s="25" t="str">
        <f>IF(J1540&lt;&gt;1,"",IF(I1540="SBJ","CB","?"))</f>
        <v> </v>
      </c>
      <c r="I1540" s="26" t="str">
        <f>IF(OR(E1540="",E1540="!!!",F1540="NEW"),"",INDEX(B1539:B$2,-1+SUMPRODUCT(MAX(ROW(E1539:E$2)*(E1540=E1539:E$2)))))</f>
        <v> </v>
      </c>
      <c r="J1540" s="26" t="str">
        <f>IF(OR(E1540="",E1540="!!!",F1540="NEW"),"",COUNTBLANK(OFFSET(A$1,,,SUMPRODUCT(MAX(ROW(E$2:E1540)*(E1540=E$2:E1540)))))-COUNTBLANK(OFFSET(A$1,,,SUMPRODUCT(MAX(ROW(E$1:E1539)*(E2=E$1:E1539))))))</f>
        <v> </v>
      </c>
      <c r="K1540" s="26" t="str">
        <f>IF(OR(E1540="",E1540="!!!",F1540="NEW"),"",INDEX(J$1:J1539,SUMPRODUCT(MAX(ROW(E$1:E1539)*(E1540=E$1:E1539)))))</f>
        <v> </v>
      </c>
      <c r="L1540" s="27"/>
    </row>
    <row r="1541" spans="1:12">
      <c r="A1541" s="20" t="s">
        <v>762</v>
      </c>
      <c r="E1541" s="22">
        <f>IF(D1541="?OLD","!!!","")</f>
        <v/>
      </c>
      <c r="F1541" s="23" t="str">
        <f>IF(OR(E1541="",E1541="!!!"),"",IF(NOT(ISNA(VLOOKUP(E1541,E$1:E1540,1,FALSE()))),"OLD",IF(AND(E1541&lt;&gt;"",E1541&lt;&gt;"!!!"),"NEW","")))</f>
        <v> </v>
      </c>
      <c r="G1541" s="24" t="str">
        <f>IF(OR(E1541="",E1541="!!!"),"",IF(OR(J1541=0,AND(J1541=1,K1541=1),AND(J1541=1,I1541="SBJ"),AND(J1541=1,I1541=0)),"?IN_FOCUS",IF(J1541&lt;=2,"?ACTIVATED",IF(J1541&lt;&gt;"","?FAMILIAR",IF(F1541="NEW",IF(ISNA(VLOOKUP(E1541,#REF!,1,FALSE())),"?TYPE_IDENTIFIABLE","?REFERENTIAL"),"_")))))</f>
        <v> </v>
      </c>
      <c r="H1541" s="25" t="str">
        <f>IF(J1541&lt;&gt;1,"",IF(I1541="SBJ","CB","?"))</f>
        <v> </v>
      </c>
      <c r="I1541" s="26" t="str">
        <f>IF(OR(E1541="",E1541="!!!",F1541="NEW"),"",INDEX(B1540:B$2,-1+SUMPRODUCT(MAX(ROW(E1540:E$2)*(E1541=E1540:E$2)))))</f>
        <v> </v>
      </c>
      <c r="J1541" s="26" t="str">
        <f>IF(OR(E1541="",E1541="!!!",F1541="NEW"),"",COUNTBLANK(OFFSET(A$1,,,SUMPRODUCT(MAX(ROW(E$2:E1541)*(E1541=E$2:E1541)))))-COUNTBLANK(OFFSET(A$1,,,SUMPRODUCT(MAX(ROW(E$1:E1540)*(E2=E$1:E1540))))))</f>
        <v> </v>
      </c>
      <c r="K1541" s="26" t="str">
        <f>IF(OR(E1541="",E1541="!!!",F1541="NEW"),"",INDEX(J$1:J1540,SUMPRODUCT(MAX(ROW(E$1:E1540)*(E1541=E$1:E1540)))))</f>
        <v> </v>
      </c>
      <c r="L1541" s="27"/>
    </row>
    <row r="1542" spans="1:12">
      <c r="A1542" s="20" t="s">
        <v>1397</v>
      </c>
      <c r="B1542" s="21" t="s">
        <v>791</v>
      </c>
      <c r="C1542" s="21" t="s">
        <v>737</v>
      </c>
      <c r="E1542" s="22">
        <f>IF(D1542="?OLD","!!!","")</f>
        <v/>
      </c>
      <c r="F1542" s="23" t="str">
        <f>IF(OR(E1542="",E1542="!!!"),"",IF(NOT(ISNA(VLOOKUP(E1542,E$1:E1541,1,FALSE()))),"OLD",IF(AND(E1542&lt;&gt;"",E1542&lt;&gt;"!!!"),"NEW","")))</f>
        <v> </v>
      </c>
      <c r="G1542" s="24" t="str">
        <f>IF(OR(E1542="",E1542="!!!"),"",IF(OR(J1542=0,AND(J1542=1,K1542=1),AND(J1542=1,I1542="SBJ"),AND(J1542=1,I1542=0)),"?IN_FOCUS",IF(J1542&lt;=2,"?ACTIVATED",IF(J1542&lt;&gt;"","?FAMILIAR",IF(F1542="NEW",IF(ISNA(VLOOKUP(E1542,#REF!,1,FALSE())),"?TYPE_IDENTIFIABLE","?REFERENTIAL"),"_")))))</f>
        <v> </v>
      </c>
      <c r="H1542" s="25" t="str">
        <f>IF(J1542&lt;&gt;1,"",IF(I1542="SBJ","CB","?"))</f>
        <v> </v>
      </c>
      <c r="I1542" s="26" t="str">
        <f>IF(OR(E1542="",E1542="!!!",F1542="NEW"),"",INDEX(B1541:B$2,-1+SUMPRODUCT(MAX(ROW(E1541:E$2)*(E1542=E1541:E$2)))))</f>
        <v> </v>
      </c>
      <c r="J1542" s="26" t="str">
        <f>IF(OR(E1542="",E1542="!!!",F1542="NEW"),"",COUNTBLANK(OFFSET(A$1,,,SUMPRODUCT(MAX(ROW(E$2:E1542)*(E1542=E$2:E1542)))))-COUNTBLANK(OFFSET(A$1,,,SUMPRODUCT(MAX(ROW(E$1:E1541)*(E2=E$1:E1541))))))</f>
        <v> </v>
      </c>
      <c r="K1542" s="26" t="str">
        <f>IF(OR(E1542="",E1542="!!!",F1542="NEW"),"",INDEX(J$1:J1541,SUMPRODUCT(MAX(ROW(E$1:E1541)*(E1542=E$1:E1541)))))</f>
        <v> </v>
      </c>
      <c r="L1542" s="27"/>
    </row>
    <row r="1543" spans="1:12">
      <c r="A1543" s="20" t="s">
        <v>754</v>
      </c>
      <c r="E1543" s="22">
        <f>IF(D1543="?OLD","!!!","")</f>
        <v/>
      </c>
      <c r="F1543" s="23" t="str">
        <f>IF(OR(E1543="",E1543="!!!"),"",IF(NOT(ISNA(VLOOKUP(E1543,E$1:E1542,1,FALSE()))),"OLD",IF(AND(E1543&lt;&gt;"",E1543&lt;&gt;"!!!"),"NEW","")))</f>
        <v> </v>
      </c>
      <c r="G1543" s="24" t="str">
        <f>IF(OR(E1543="",E1543="!!!"),"",IF(OR(J1543=0,AND(J1543=1,K1543=1),AND(J1543=1,I1543="SBJ"),AND(J1543=1,I1543=0)),"?IN_FOCUS",IF(J1543&lt;=2,"?ACTIVATED",IF(J1543&lt;&gt;"","?FAMILIAR",IF(F1543="NEW",IF(ISNA(VLOOKUP(E1543,#REF!,1,FALSE())),"?TYPE_IDENTIFIABLE","?REFERENTIAL"),"_")))))</f>
        <v> </v>
      </c>
      <c r="H1543" s="25" t="str">
        <f>IF(J1543&lt;&gt;1,"",IF(I1543="SBJ","CB","?"))</f>
        <v> </v>
      </c>
      <c r="I1543" s="26" t="str">
        <f>IF(OR(E1543="",E1543="!!!",F1543="NEW"),"",INDEX(B1542:B$2,-1+SUMPRODUCT(MAX(ROW(E1542:E$2)*(E1543=E1542:E$2)))))</f>
        <v> </v>
      </c>
      <c r="J1543" s="26" t="str">
        <f>IF(OR(E1543="",E1543="!!!",F1543="NEW"),"",COUNTBLANK(OFFSET(A$1,,,SUMPRODUCT(MAX(ROW(E$2:E1543)*(E1543=E$2:E1543)))))-COUNTBLANK(OFFSET(A$1,,,SUMPRODUCT(MAX(ROW(E$1:E1542)*(E2=E$1:E1542))))))</f>
        <v> </v>
      </c>
      <c r="K1543" s="26" t="str">
        <f>IF(OR(E1543="",E1543="!!!",F1543="NEW"),"",INDEX(J$1:J1542,SUMPRODUCT(MAX(ROW(E$1:E1542)*(E1543=E$1:E1542)))))</f>
        <v> </v>
      </c>
      <c r="L1543" s="27"/>
    </row>
    <row r="1544" spans="1:12">
      <c r="A1544" s="20" t="s">
        <v>1398</v>
      </c>
      <c r="E1544" s="22">
        <f>IF(D1544="?OLD","!!!","")</f>
        <v/>
      </c>
      <c r="F1544" s="23" t="str">
        <f>IF(OR(E1544="",E1544="!!!"),"",IF(NOT(ISNA(VLOOKUP(E1544,E$1:E1543,1,FALSE()))),"OLD",IF(AND(E1544&lt;&gt;"",E1544&lt;&gt;"!!!"),"NEW","")))</f>
        <v> </v>
      </c>
      <c r="G1544" s="24" t="str">
        <f>IF(OR(E1544="",E1544="!!!"),"",IF(OR(J1544=0,AND(J1544=1,K1544=1),AND(J1544=1,I1544="SBJ"),AND(J1544=1,I1544=0)),"?IN_FOCUS",IF(J1544&lt;=2,"?ACTIVATED",IF(J1544&lt;&gt;"","?FAMILIAR",IF(F1544="NEW",IF(ISNA(VLOOKUP(E1544,#REF!,1,FALSE())),"?TYPE_IDENTIFIABLE","?REFERENTIAL"),"_")))))</f>
        <v> </v>
      </c>
      <c r="H1544" s="25" t="str">
        <f>IF(J1544&lt;&gt;1,"",IF(I1544="SBJ","CB","?"))</f>
        <v> </v>
      </c>
      <c r="I1544" s="26" t="str">
        <f>IF(OR(E1544="",E1544="!!!",F1544="NEW"),"",INDEX(B1543:B$2,-1+SUMPRODUCT(MAX(ROW(E1543:E$2)*(E1544=E1543:E$2)))))</f>
        <v> </v>
      </c>
      <c r="J1544" s="26" t="str">
        <f>IF(OR(E1544="",E1544="!!!",F1544="NEW"),"",COUNTBLANK(OFFSET(A$1,,,SUMPRODUCT(MAX(ROW(E$2:E1544)*(E1544=E$2:E1544)))))-COUNTBLANK(OFFSET(A$1,,,SUMPRODUCT(MAX(ROW(E$1:E1543)*(E2=E$1:E1543))))))</f>
        <v> </v>
      </c>
      <c r="K1544" s="26" t="str">
        <f>IF(OR(E1544="",E1544="!!!",F1544="NEW"),"",INDEX(J$1:J1543,SUMPRODUCT(MAX(ROW(E$1:E1543)*(E1544=E$1:E1543)))))</f>
        <v> </v>
      </c>
      <c r="L1544" s="27"/>
    </row>
    <row r="1545" spans="1:12">
      <c r="A1545" s="20" t="s">
        <v>246</v>
      </c>
      <c r="E1545" s="22">
        <f>IF(D1545="?OLD","!!!","")</f>
        <v/>
      </c>
      <c r="F1545" s="23" t="str">
        <f>IF(OR(E1545="",E1545="!!!"),"",IF(NOT(ISNA(VLOOKUP(E1545,E$1:E1544,1,FALSE()))),"OLD",IF(AND(E1545&lt;&gt;"",E1545&lt;&gt;"!!!"),"NEW","")))</f>
        <v> </v>
      </c>
      <c r="G1545" s="24" t="str">
        <f>IF(OR(E1545="",E1545="!!!"),"",IF(OR(J1545=0,AND(J1545=1,K1545=1),AND(J1545=1,I1545="SBJ"),AND(J1545=1,I1545=0)),"?IN_FOCUS",IF(J1545&lt;=2,"?ACTIVATED",IF(J1545&lt;&gt;"","?FAMILIAR",IF(F1545="NEW",IF(ISNA(VLOOKUP(E1545,#REF!,1,FALSE())),"?TYPE_IDENTIFIABLE","?REFERENTIAL"),"_")))))</f>
        <v> </v>
      </c>
      <c r="H1545" s="25" t="str">
        <f>IF(J1545&lt;&gt;1,"",IF(I1545="SBJ","CB","?"))</f>
        <v> </v>
      </c>
      <c r="I1545" s="26" t="str">
        <f>IF(OR(E1545="",E1545="!!!",F1545="NEW"),"",INDEX(B1544:B$2,-1+SUMPRODUCT(MAX(ROW(E1544:E$2)*(E1545=E1544:E$2)))))</f>
        <v> </v>
      </c>
      <c r="J1545" s="26" t="str">
        <f>IF(OR(E1545="",E1545="!!!",F1545="NEW"),"",COUNTBLANK(OFFSET(A$1,,,SUMPRODUCT(MAX(ROW(E$2:E1545)*(E1545=E$2:E1545)))))-COUNTBLANK(OFFSET(A$1,,,SUMPRODUCT(MAX(ROW(E$1:E1544)*(E2=E$1:E1544))))))</f>
        <v> </v>
      </c>
      <c r="K1545" s="26" t="str">
        <f>IF(OR(E1545="",E1545="!!!",F1545="NEW"),"",INDEX(J$1:J1544,SUMPRODUCT(MAX(ROW(E$1:E1544)*(E1545=E$1:E1544)))))</f>
        <v> </v>
      </c>
      <c r="L1545" s="27"/>
    </row>
    <row r="1546" spans="1:12">
      <c r="A1546" s="20"/>
    </row>
    <row r="1547" spans="1:12">
      <c r="A1547" s="20" t="s">
        <v>1399</v>
      </c>
    </row>
    <row r="1548" spans="1:12">
      <c r="A1548" s="20" t="s">
        <v>1400</v>
      </c>
      <c r="B1548" s="21" t="s">
        <v>736</v>
      </c>
      <c r="C1548" s="21" t="s">
        <v>748</v>
      </c>
      <c r="E1548" s="22">
        <f>IF(D1548="?OLD","!!!","")</f>
        <v/>
      </c>
      <c r="F1548" s="23" t="str">
        <f>IF(OR(E1548="",E1548="!!!"),"",IF(NOT(ISNA(VLOOKUP(E1548,E$1:E1547,1,FALSE()))),"OLD",IF(AND(E1548&lt;&gt;"",E1548&lt;&gt;"!!!"),"NEW","")))</f>
        <v> </v>
      </c>
      <c r="G1548" s="24" t="str">
        <f>IF(OR(E1548="",E1548="!!!"),"",IF(OR(J1548=0,AND(J1548=1,K1548=1),AND(J1548=1,I1548="SBJ"),AND(J1548=1,I1548=0)),"?IN_FOCUS",IF(J1548&lt;=2,"?ACTIVATED",IF(J1548&lt;&gt;"","?FAMILIAR",IF(F1548="NEW",IF(ISNA(VLOOKUP(E1548,#REF!,1,FALSE())),"?TYPE_IDENTIFIABLE","?REFERENTIAL"),"_")))))</f>
        <v> </v>
      </c>
      <c r="H1548" s="25" t="str">
        <f>IF(J1548&lt;&gt;1,"",IF(I1548="SBJ","CB","?"))</f>
        <v> </v>
      </c>
      <c r="I1548" s="26" t="str">
        <f>IF(OR(E1548="",E1548="!!!",F1548="NEW"),"",INDEX(B1547:B$2,-1+SUMPRODUCT(MAX(ROW(E1547:E$2)*(E1548=E1547:E$2)))))</f>
        <v> </v>
      </c>
      <c r="J1548" s="26" t="str">
        <f>IF(OR(E1548="",E1548="!!!",F1548="NEW"),"",COUNTBLANK(OFFSET(A$1,,,SUMPRODUCT(MAX(ROW(E$2:E1548)*(E1548=E$2:E1548)))))-COUNTBLANK(OFFSET(A$1,,,SUMPRODUCT(MAX(ROW(E$1:E1547)*(E2=E$1:E1547))))))</f>
        <v> </v>
      </c>
      <c r="K1548" s="26" t="str">
        <f>IF(OR(E1548="",E1548="!!!",F1548="NEW"),"",INDEX(J$1:J1547,SUMPRODUCT(MAX(ROW(E$1:E1547)*(E1548=E$1:E1547)))))</f>
        <v> </v>
      </c>
      <c r="L1548" s="27"/>
    </row>
    <row r="1549" spans="1:12">
      <c r="A1549" s="20" t="s">
        <v>327</v>
      </c>
      <c r="E1549" s="22">
        <f>IF(D1549="?OLD","!!!","")</f>
        <v/>
      </c>
      <c r="F1549" s="23" t="str">
        <f>IF(OR(E1549="",E1549="!!!"),"",IF(NOT(ISNA(VLOOKUP(E1549,E$1:E1548,1,FALSE()))),"OLD",IF(AND(E1549&lt;&gt;"",E1549&lt;&gt;"!!!"),"NEW","")))</f>
        <v> </v>
      </c>
      <c r="G1549" s="24" t="str">
        <f>IF(OR(E1549="",E1549="!!!"),"",IF(OR(J1549=0,AND(J1549=1,K1549=1),AND(J1549=1,I1549="SBJ"),AND(J1549=1,I1549=0)),"?IN_FOCUS",IF(J1549&lt;=2,"?ACTIVATED",IF(J1549&lt;&gt;"","?FAMILIAR",IF(F1549="NEW",IF(ISNA(VLOOKUP(E1549,#REF!,1,FALSE())),"?TYPE_IDENTIFIABLE","?REFERENTIAL"),"_")))))</f>
        <v> </v>
      </c>
      <c r="H1549" s="25" t="str">
        <f>IF(J1549&lt;&gt;1,"",IF(I1549="SBJ","CB","?"))</f>
        <v> </v>
      </c>
      <c r="I1549" s="26" t="str">
        <f>IF(OR(E1549="",E1549="!!!",F1549="NEW"),"",INDEX(B1548:B$2,-1+SUMPRODUCT(MAX(ROW(E1548:E$2)*(E1549=E1548:E$2)))))</f>
        <v> </v>
      </c>
      <c r="J1549" s="26" t="str">
        <f>IF(OR(E1549="",E1549="!!!",F1549="NEW"),"",COUNTBLANK(OFFSET(A$1,,,SUMPRODUCT(MAX(ROW(E$2:E1549)*(E1549=E$2:E1549)))))-COUNTBLANK(OFFSET(A$1,,,SUMPRODUCT(MAX(ROW(E$1:E1548)*(E2=E$1:E1548))))))</f>
        <v> </v>
      </c>
      <c r="K1549" s="26" t="str">
        <f>IF(OR(E1549="",E1549="!!!",F1549="NEW"),"",INDEX(J$1:J1548,SUMPRODUCT(MAX(ROW(E$1:E1548)*(E1549=E$1:E1548)))))</f>
        <v> </v>
      </c>
      <c r="L1549" s="27"/>
    </row>
    <row r="1550" spans="1:12">
      <c r="A1550" s="20" t="s">
        <v>246</v>
      </c>
      <c r="E1550" s="22">
        <f>IF(D1550="?OLD","!!!","")</f>
        <v/>
      </c>
      <c r="F1550" s="23" t="str">
        <f>IF(OR(E1550="",E1550="!!!"),"",IF(NOT(ISNA(VLOOKUP(E1550,E$1:E1549,1,FALSE()))),"OLD",IF(AND(E1550&lt;&gt;"",E1550&lt;&gt;"!!!"),"NEW","")))</f>
        <v> </v>
      </c>
      <c r="G1550" s="24" t="str">
        <f>IF(OR(E1550="",E1550="!!!"),"",IF(OR(J1550=0,AND(J1550=1,K1550=1),AND(J1550=1,I1550="SBJ"),AND(J1550=1,I1550=0)),"?IN_FOCUS",IF(J1550&lt;=2,"?ACTIVATED",IF(J1550&lt;&gt;"","?FAMILIAR",IF(F1550="NEW",IF(ISNA(VLOOKUP(E1550,#REF!,1,FALSE())),"?TYPE_IDENTIFIABLE","?REFERENTIAL"),"_")))))</f>
        <v> </v>
      </c>
      <c r="H1550" s="25" t="str">
        <f>IF(J1550&lt;&gt;1,"",IF(I1550="SBJ","CB","?"))</f>
        <v> </v>
      </c>
      <c r="I1550" s="26" t="str">
        <f>IF(OR(E1550="",E1550="!!!",F1550="NEW"),"",INDEX(B1549:B$2,-1+SUMPRODUCT(MAX(ROW(E1549:E$2)*(E1550=E1549:E$2)))))</f>
        <v> </v>
      </c>
      <c r="J1550" s="26" t="str">
        <f>IF(OR(E1550="",E1550="!!!",F1550="NEW"),"",COUNTBLANK(OFFSET(A$1,,,SUMPRODUCT(MAX(ROW(E$2:E1550)*(E1550=E$2:E1550)))))-COUNTBLANK(OFFSET(A$1,,,SUMPRODUCT(MAX(ROW(E$1:E1549)*(E2=E$1:E1549))))))</f>
        <v> </v>
      </c>
      <c r="K1550" s="26" t="str">
        <f>IF(OR(E1550="",E1550="!!!",F1550="NEW"),"",INDEX(J$1:J1549,SUMPRODUCT(MAX(ROW(E$1:E1549)*(E1550=E$1:E1549)))))</f>
        <v> </v>
      </c>
      <c r="L1550" s="27"/>
    </row>
    <row r="1551" spans="1:12">
      <c r="A1551" s="20"/>
    </row>
    <row r="1552" spans="1:12">
      <c r="A1552" s="20" t="s">
        <v>1401</v>
      </c>
    </row>
    <row r="1553" spans="1:12">
      <c r="A1553" s="20" t="s">
        <v>994</v>
      </c>
      <c r="E1553" s="22">
        <f>IF(D1553="?OLD","!!!","")</f>
        <v/>
      </c>
      <c r="F1553" s="23" t="str">
        <f>IF(OR(E1553="",E1553="!!!"),"",IF(NOT(ISNA(VLOOKUP(E1553,E$1:E1552,1,FALSE()))),"OLD",IF(AND(E1553&lt;&gt;"",E1553&lt;&gt;"!!!"),"NEW","")))</f>
        <v> </v>
      </c>
      <c r="G1553" s="24" t="str">
        <f>IF(OR(E1553="",E1553="!!!"),"",IF(OR(J1553=0,AND(J1553=1,K1553=1),AND(J1553=1,I1553="SBJ"),AND(J1553=1,I1553=0)),"?IN_FOCUS",IF(J1553&lt;=2,"?ACTIVATED",IF(J1553&lt;&gt;"","?FAMILIAR",IF(F1553="NEW",IF(ISNA(VLOOKUP(E1553,#REF!,1,FALSE())),"?TYPE_IDENTIFIABLE","?REFERENTIAL"),"_")))))</f>
        <v> </v>
      </c>
      <c r="H1553" s="25" t="str">
        <f>IF(J1553&lt;&gt;1,"",IF(I1553="SBJ","CB","?"))</f>
        <v> </v>
      </c>
      <c r="I1553" s="26" t="str">
        <f>IF(OR(E1553="",E1553="!!!",F1553="NEW"),"",INDEX(B1552:B$2,-1+SUMPRODUCT(MAX(ROW(E1552:E$2)*(E1553=E1552:E$2)))))</f>
        <v> </v>
      </c>
      <c r="J1553" s="26" t="str">
        <f>IF(OR(E1553="",E1553="!!!",F1553="NEW"),"",COUNTBLANK(OFFSET(A$1,,,SUMPRODUCT(MAX(ROW(E$2:E1553)*(E1553=E$2:E1553)))))-COUNTBLANK(OFFSET(A$1,,,SUMPRODUCT(MAX(ROW(E$1:E1552)*(E2=E$1:E1552))))))</f>
        <v> </v>
      </c>
      <c r="K1553" s="26" t="str">
        <f>IF(OR(E1553="",E1553="!!!",F1553="NEW"),"",INDEX(J$1:J1552,SUMPRODUCT(MAX(ROW(E$1:E1552)*(E1553=E$1:E1552)))))</f>
        <v> </v>
      </c>
      <c r="L1553" s="27"/>
    </row>
    <row r="1554" spans="1:12">
      <c r="A1554" s="20" t="s">
        <v>776</v>
      </c>
      <c r="B1554" s="21" t="s">
        <v>728</v>
      </c>
      <c r="C1554" s="21" t="s">
        <v>801</v>
      </c>
      <c r="D1554" s="21" t="s">
        <v>730</v>
      </c>
      <c r="E1554" s="22">
        <f>IF(D1554="?OLD","!!!","")</f>
        <v/>
      </c>
      <c r="F1554" s="23" t="str">
        <f>IF(OR(E1554="",E1554="!!!"),"",IF(NOT(ISNA(VLOOKUP(E1554,E$1:E1553,1,FALSE()))),"OLD",IF(AND(E1554&lt;&gt;"",E1554&lt;&gt;"!!!"),"NEW","")))</f>
        <v> </v>
      </c>
      <c r="G1554" s="24" t="str">
        <f>IF(OR(E1554="",E1554="!!!"),"",IF(OR(J1554=0,AND(J1554=1,K1554=1),AND(J1554=1,I1554="SBJ"),AND(J1554=1,I1554=0)),"?IN_FOCUS",IF(J1554&lt;=2,"?ACTIVATED",IF(J1554&lt;&gt;"","?FAMILIAR",IF(F1554="NEW",IF(ISNA(VLOOKUP(E1554,#REF!,1,FALSE())),"?TYPE_IDENTIFIABLE","?REFERENTIAL"),"_")))))</f>
        <v> </v>
      </c>
      <c r="H1554" s="25" t="str">
        <f>IF(J1554&lt;&gt;1,"",IF(I1554="SBJ","CB","?"))</f>
        <v> </v>
      </c>
      <c r="I1554" s="26" t="str">
        <f>IF(OR(E1554="",E1554="!!!",F1554="NEW"),"",INDEX(B1553:B$2,-1+SUMPRODUCT(MAX(ROW(E1553:E$2)*(E1554=E1553:E$2)))))</f>
        <v> </v>
      </c>
      <c r="J1554" s="26" t="str">
        <f>IF(OR(E1554="",E1554="!!!",F1554="NEW"),"",COUNTBLANK(OFFSET(A$1,,,SUMPRODUCT(MAX(ROW(E$2:E1554)*(E1554=E$2:E1554)))))-COUNTBLANK(OFFSET(A$1,,,SUMPRODUCT(MAX(ROW(E$1:E1553)*(E2=E$1:E1553))))))</f>
        <v> </v>
      </c>
      <c r="K1554" s="26" t="str">
        <f>IF(OR(E1554="",E1554="!!!",F1554="NEW"),"",INDEX(J$1:J1553,SUMPRODUCT(MAX(ROW(E$1:E1553)*(E1554=E$1:E1553)))))</f>
        <v> </v>
      </c>
      <c r="L1554" s="27"/>
    </row>
    <row r="1555" spans="1:12">
      <c r="A1555" s="20" t="s">
        <v>1402</v>
      </c>
      <c r="E1555" s="22">
        <f>IF(D1555="?OLD","!!!","")</f>
        <v/>
      </c>
      <c r="F1555" s="23" t="str">
        <f>IF(OR(E1555="",E1555="!!!"),"",IF(NOT(ISNA(VLOOKUP(E1555,E$1:E1554,1,FALSE()))),"OLD",IF(AND(E1555&lt;&gt;"",E1555&lt;&gt;"!!!"),"NEW","")))</f>
        <v> </v>
      </c>
      <c r="G1555" s="24" t="str">
        <f>IF(OR(E1555="",E1555="!!!"),"",IF(OR(J1555=0,AND(J1555=1,K1555=1),AND(J1555=1,I1555="SBJ"),AND(J1555=1,I1555=0)),"?IN_FOCUS",IF(J1555&lt;=2,"?ACTIVATED",IF(J1555&lt;&gt;"","?FAMILIAR",IF(F1555="NEW",IF(ISNA(VLOOKUP(E1555,#REF!,1,FALSE())),"?TYPE_IDENTIFIABLE","?REFERENTIAL"),"_")))))</f>
        <v> </v>
      </c>
      <c r="H1555" s="25" t="str">
        <f>IF(J1555&lt;&gt;1,"",IF(I1555="SBJ","CB","?"))</f>
        <v> </v>
      </c>
      <c r="I1555" s="26" t="str">
        <f>IF(OR(E1555="",E1555="!!!",F1555="NEW"),"",INDEX(B1554:B$2,-1+SUMPRODUCT(MAX(ROW(E1554:E$2)*(E1555=E1554:E$2)))))</f>
        <v> </v>
      </c>
      <c r="J1555" s="26" t="str">
        <f>IF(OR(E1555="",E1555="!!!",F1555="NEW"),"",COUNTBLANK(OFFSET(A$1,,,SUMPRODUCT(MAX(ROW(E$2:E1555)*(E1555=E$2:E1555)))))-COUNTBLANK(OFFSET(A$1,,,SUMPRODUCT(MAX(ROW(E$1:E1554)*(E2=E$1:E1554))))))</f>
        <v> </v>
      </c>
      <c r="K1555" s="26" t="str">
        <f>IF(OR(E1555="",E1555="!!!",F1555="NEW"),"",INDEX(J$1:J1554,SUMPRODUCT(MAX(ROW(E$1:E1554)*(E1555=E$1:E1554)))))</f>
        <v> </v>
      </c>
      <c r="L1555" s="27"/>
    </row>
    <row r="1556" spans="1:12">
      <c r="A1556" s="20" t="s">
        <v>1403</v>
      </c>
      <c r="E1556" s="22">
        <f>IF(D1556="?OLD","!!!","")</f>
        <v/>
      </c>
      <c r="F1556" s="23" t="str">
        <f>IF(OR(E1556="",E1556="!!!"),"",IF(NOT(ISNA(VLOOKUP(E1556,E$1:E1555,1,FALSE()))),"OLD",IF(AND(E1556&lt;&gt;"",E1556&lt;&gt;"!!!"),"NEW","")))</f>
        <v> </v>
      </c>
      <c r="G1556" s="24" t="str">
        <f>IF(OR(E1556="",E1556="!!!"),"",IF(OR(J1556=0,AND(J1556=1,K1556=1),AND(J1556=1,I1556="SBJ"),AND(J1556=1,I1556=0)),"?IN_FOCUS",IF(J1556&lt;=2,"?ACTIVATED",IF(J1556&lt;&gt;"","?FAMILIAR",IF(F1556="NEW",IF(ISNA(VLOOKUP(E1556,#REF!,1,FALSE())),"?TYPE_IDENTIFIABLE","?REFERENTIAL"),"_")))))</f>
        <v> </v>
      </c>
      <c r="H1556" s="25" t="str">
        <f>IF(J1556&lt;&gt;1,"",IF(I1556="SBJ","CB","?"))</f>
        <v> </v>
      </c>
      <c r="I1556" s="26" t="str">
        <f>IF(OR(E1556="",E1556="!!!",F1556="NEW"),"",INDEX(B1555:B$2,-1+SUMPRODUCT(MAX(ROW(E1555:E$2)*(E1556=E1555:E$2)))))</f>
        <v> </v>
      </c>
      <c r="J1556" s="26" t="str">
        <f>IF(OR(E1556="",E1556="!!!",F1556="NEW"),"",COUNTBLANK(OFFSET(A$1,,,SUMPRODUCT(MAX(ROW(E$2:E1556)*(E1556=E$2:E1556)))))-COUNTBLANK(OFFSET(A$1,,,SUMPRODUCT(MAX(ROW(E$1:E1555)*(E2=E$1:E1555))))))</f>
        <v> </v>
      </c>
      <c r="K1556" s="26" t="str">
        <f>IF(OR(E1556="",E1556="!!!",F1556="NEW"),"",INDEX(J$1:J1555,SUMPRODUCT(MAX(ROW(E$1:E1555)*(E1556=E$1:E1555)))))</f>
        <v> </v>
      </c>
      <c r="L1556" s="27"/>
    </row>
    <row r="1557" spans="1:12">
      <c r="A1557" s="20" t="s">
        <v>935</v>
      </c>
      <c r="E1557" s="22">
        <f>IF(D1557="?OLD","!!!","")</f>
        <v/>
      </c>
      <c r="F1557" s="23" t="str">
        <f>IF(OR(E1557="",E1557="!!!"),"",IF(NOT(ISNA(VLOOKUP(E1557,E$1:E1556,1,FALSE()))),"OLD",IF(AND(E1557&lt;&gt;"",E1557&lt;&gt;"!!!"),"NEW","")))</f>
        <v> </v>
      </c>
      <c r="G1557" s="24" t="str">
        <f>IF(OR(E1557="",E1557="!!!"),"",IF(OR(J1557=0,AND(J1557=1,K1557=1),AND(J1557=1,I1557="SBJ"),AND(J1557=1,I1557=0)),"?IN_FOCUS",IF(J1557&lt;=2,"?ACTIVATED",IF(J1557&lt;&gt;"","?FAMILIAR",IF(F1557="NEW",IF(ISNA(VLOOKUP(E1557,#REF!,1,FALSE())),"?TYPE_IDENTIFIABLE","?REFERENTIAL"),"_")))))</f>
        <v> </v>
      </c>
      <c r="H1557" s="25" t="str">
        <f>IF(J1557&lt;&gt;1,"",IF(I1557="SBJ","CB","?"))</f>
        <v> </v>
      </c>
      <c r="I1557" s="26" t="str">
        <f>IF(OR(E1557="",E1557="!!!",F1557="NEW"),"",INDEX(B1556:B$2,-1+SUMPRODUCT(MAX(ROW(E1556:E$2)*(E1557=E1556:E$2)))))</f>
        <v> </v>
      </c>
      <c r="J1557" s="26" t="str">
        <f>IF(OR(E1557="",E1557="!!!",F1557="NEW"),"",COUNTBLANK(OFFSET(A$1,,,SUMPRODUCT(MAX(ROW(E$2:E1557)*(E1557=E$2:E1557)))))-COUNTBLANK(OFFSET(A$1,,,SUMPRODUCT(MAX(ROW(E$1:E1556)*(E2=E$1:E1556))))))</f>
        <v> </v>
      </c>
      <c r="K1557" s="26" t="str">
        <f>IF(OR(E1557="",E1557="!!!",F1557="NEW"),"",INDEX(J$1:J1556,SUMPRODUCT(MAX(ROW(E$1:E1556)*(E1557=E$1:E1556)))))</f>
        <v> </v>
      </c>
      <c r="L1557" s="27"/>
    </row>
    <row r="1558" spans="1:12">
      <c r="A1558" s="20" t="s">
        <v>1178</v>
      </c>
      <c r="E1558" s="22">
        <f>IF(D1558="?OLD","!!!","")</f>
        <v/>
      </c>
      <c r="F1558" s="23" t="str">
        <f>IF(OR(E1558="",E1558="!!!"),"",IF(NOT(ISNA(VLOOKUP(E1558,E$1:E1557,1,FALSE()))),"OLD",IF(AND(E1558&lt;&gt;"",E1558&lt;&gt;"!!!"),"NEW","")))</f>
        <v> </v>
      </c>
      <c r="G1558" s="24" t="str">
        <f>IF(OR(E1558="",E1558="!!!"),"",IF(OR(J1558=0,AND(J1558=1,K1558=1),AND(J1558=1,I1558="SBJ"),AND(J1558=1,I1558=0)),"?IN_FOCUS",IF(J1558&lt;=2,"?ACTIVATED",IF(J1558&lt;&gt;"","?FAMILIAR",IF(F1558="NEW",IF(ISNA(VLOOKUP(E1558,#REF!,1,FALSE())),"?TYPE_IDENTIFIABLE","?REFERENTIAL"),"_")))))</f>
        <v> </v>
      </c>
      <c r="H1558" s="25" t="str">
        <f>IF(J1558&lt;&gt;1,"",IF(I1558="SBJ","CB","?"))</f>
        <v> </v>
      </c>
      <c r="I1558" s="26" t="str">
        <f>IF(OR(E1558="",E1558="!!!",F1558="NEW"),"",INDEX(B1557:B$2,-1+SUMPRODUCT(MAX(ROW(E1557:E$2)*(E1558=E1557:E$2)))))</f>
        <v> </v>
      </c>
      <c r="J1558" s="26" t="str">
        <f>IF(OR(E1558="",E1558="!!!",F1558="NEW"),"",COUNTBLANK(OFFSET(A$1,,,SUMPRODUCT(MAX(ROW(E$2:E1558)*(E1558=E$2:E1558)))))-COUNTBLANK(OFFSET(A$1,,,SUMPRODUCT(MAX(ROW(E$1:E1557)*(E2=E$1:E1557))))))</f>
        <v> </v>
      </c>
      <c r="K1558" s="26" t="str">
        <f>IF(OR(E1558="",E1558="!!!",F1558="NEW"),"",INDEX(J$1:J1557,SUMPRODUCT(MAX(ROW(E$1:E1557)*(E1558=E$1:E1557)))))</f>
        <v> </v>
      </c>
      <c r="L1558" s="27"/>
    </row>
    <row r="1559" spans="1:12">
      <c r="A1559" s="20" t="s">
        <v>759</v>
      </c>
      <c r="E1559" s="22">
        <f>IF(D1559="?OLD","!!!","")</f>
        <v/>
      </c>
      <c r="F1559" s="23" t="str">
        <f>IF(OR(E1559="",E1559="!!!"),"",IF(NOT(ISNA(VLOOKUP(E1559,E$1:E1558,1,FALSE()))),"OLD",IF(AND(E1559&lt;&gt;"",E1559&lt;&gt;"!!!"),"NEW","")))</f>
        <v> </v>
      </c>
      <c r="G1559" s="24" t="str">
        <f>IF(OR(E1559="",E1559="!!!"),"",IF(OR(J1559=0,AND(J1559=1,K1559=1),AND(J1559=1,I1559="SBJ"),AND(J1559=1,I1559=0)),"?IN_FOCUS",IF(J1559&lt;=2,"?ACTIVATED",IF(J1559&lt;&gt;"","?FAMILIAR",IF(F1559="NEW",IF(ISNA(VLOOKUP(E1559,#REF!,1,FALSE())),"?TYPE_IDENTIFIABLE","?REFERENTIAL"),"_")))))</f>
        <v> </v>
      </c>
      <c r="H1559" s="25" t="str">
        <f>IF(J1559&lt;&gt;1,"",IF(I1559="SBJ","CB","?"))</f>
        <v> </v>
      </c>
      <c r="I1559" s="26" t="str">
        <f>IF(OR(E1559="",E1559="!!!",F1559="NEW"),"",INDEX(B1558:B$2,-1+SUMPRODUCT(MAX(ROW(E1558:E$2)*(E1559=E1558:E$2)))))</f>
        <v> </v>
      </c>
      <c r="J1559" s="26" t="str">
        <f>IF(OR(E1559="",E1559="!!!",F1559="NEW"),"",COUNTBLANK(OFFSET(A$1,,,SUMPRODUCT(MAX(ROW(E$2:E1559)*(E1559=E$2:E1559)))))-COUNTBLANK(OFFSET(A$1,,,SUMPRODUCT(MAX(ROW(E$1:E1558)*(E2=E$1:E1558))))))</f>
        <v> </v>
      </c>
      <c r="K1559" s="26" t="str">
        <f>IF(OR(E1559="",E1559="!!!",F1559="NEW"),"",INDEX(J$1:J1558,SUMPRODUCT(MAX(ROW(E$1:E1558)*(E1559=E$1:E1558)))))</f>
        <v> </v>
      </c>
      <c r="L1559" s="27"/>
    </row>
    <row r="1560" spans="1:12">
      <c r="A1560" s="20" t="s">
        <v>808</v>
      </c>
      <c r="E1560" s="22">
        <f>IF(D1560="?OLD","!!!","")</f>
        <v/>
      </c>
      <c r="F1560" s="23" t="str">
        <f>IF(OR(E1560="",E1560="!!!"),"",IF(NOT(ISNA(VLOOKUP(E1560,E$1:E1559,1,FALSE()))),"OLD",IF(AND(E1560&lt;&gt;"",E1560&lt;&gt;"!!!"),"NEW","")))</f>
        <v> </v>
      </c>
      <c r="G1560" s="24" t="str">
        <f>IF(OR(E1560="",E1560="!!!"),"",IF(OR(J1560=0,AND(J1560=1,K1560=1),AND(J1560=1,I1560="SBJ"),AND(J1560=1,I1560=0)),"?IN_FOCUS",IF(J1560&lt;=2,"?ACTIVATED",IF(J1560&lt;&gt;"","?FAMILIAR",IF(F1560="NEW",IF(ISNA(VLOOKUP(E1560,#REF!,1,FALSE())),"?TYPE_IDENTIFIABLE","?REFERENTIAL"),"_")))))</f>
        <v> </v>
      </c>
      <c r="H1560" s="25" t="str">
        <f>IF(J1560&lt;&gt;1,"",IF(I1560="SBJ","CB","?"))</f>
        <v> </v>
      </c>
      <c r="I1560" s="26" t="str">
        <f>IF(OR(E1560="",E1560="!!!",F1560="NEW"),"",INDEX(B1559:B$2,-1+SUMPRODUCT(MAX(ROW(E1559:E$2)*(E1560=E1559:E$2)))))</f>
        <v> </v>
      </c>
      <c r="J1560" s="26" t="str">
        <f>IF(OR(E1560="",E1560="!!!",F1560="NEW"),"",COUNTBLANK(OFFSET(A$1,,,SUMPRODUCT(MAX(ROW(E$2:E1560)*(E1560=E$2:E1560)))))-COUNTBLANK(OFFSET(A$1,,,SUMPRODUCT(MAX(ROW(E$1:E1559)*(E2=E$1:E1559))))))</f>
        <v> </v>
      </c>
      <c r="K1560" s="26" t="str">
        <f>IF(OR(E1560="",E1560="!!!",F1560="NEW"),"",INDEX(J$1:J1559,SUMPRODUCT(MAX(ROW(E$1:E1559)*(E1560=E$1:E1559)))))</f>
        <v> </v>
      </c>
      <c r="L1560" s="27"/>
    </row>
    <row r="1561" spans="1:12">
      <c r="A1561" s="20" t="s">
        <v>813</v>
      </c>
      <c r="E1561" s="22">
        <f>IF(D1561="?OLD","!!!","")</f>
        <v/>
      </c>
      <c r="F1561" s="23" t="str">
        <f>IF(OR(E1561="",E1561="!!!"),"",IF(NOT(ISNA(VLOOKUP(E1561,E$1:E1560,1,FALSE()))),"OLD",IF(AND(E1561&lt;&gt;"",E1561&lt;&gt;"!!!"),"NEW","")))</f>
        <v> </v>
      </c>
      <c r="G1561" s="24" t="str">
        <f>IF(OR(E1561="",E1561="!!!"),"",IF(OR(J1561=0,AND(J1561=1,K1561=1),AND(J1561=1,I1561="SBJ"),AND(J1561=1,I1561=0)),"?IN_FOCUS",IF(J1561&lt;=2,"?ACTIVATED",IF(J1561&lt;&gt;"","?FAMILIAR",IF(F1561="NEW",IF(ISNA(VLOOKUP(E1561,#REF!,1,FALSE())),"?TYPE_IDENTIFIABLE","?REFERENTIAL"),"_")))))</f>
        <v> </v>
      </c>
      <c r="H1561" s="25" t="str">
        <f>IF(J1561&lt;&gt;1,"",IF(I1561="SBJ","CB","?"))</f>
        <v> </v>
      </c>
      <c r="I1561" s="26" t="str">
        <f>IF(OR(E1561="",E1561="!!!",F1561="NEW"),"",INDEX(B1560:B$2,-1+SUMPRODUCT(MAX(ROW(E1560:E$2)*(E1561=E1560:E$2)))))</f>
        <v> </v>
      </c>
      <c r="J1561" s="26" t="str">
        <f>IF(OR(E1561="",E1561="!!!",F1561="NEW"),"",COUNTBLANK(OFFSET(A$1,,,SUMPRODUCT(MAX(ROW(E$2:E1561)*(E1561=E$2:E1561)))))-COUNTBLANK(OFFSET(A$1,,,SUMPRODUCT(MAX(ROW(E$1:E1560)*(E2=E$1:E1560))))))</f>
        <v> </v>
      </c>
      <c r="K1561" s="26" t="str">
        <f>IF(OR(E1561="",E1561="!!!",F1561="NEW"),"",INDEX(J$1:J1560,SUMPRODUCT(MAX(ROW(E$1:E1560)*(E1561=E$1:E1560)))))</f>
        <v> </v>
      </c>
      <c r="L1561" s="27"/>
    </row>
    <row r="1562" spans="1:12">
      <c r="A1562" s="20" t="s">
        <v>1404</v>
      </c>
      <c r="E1562" s="22">
        <f>IF(D1562="?OLD","!!!","")</f>
        <v/>
      </c>
      <c r="F1562" s="23" t="str">
        <f>IF(OR(E1562="",E1562="!!!"),"",IF(NOT(ISNA(VLOOKUP(E1562,E$1:E1561,1,FALSE()))),"OLD",IF(AND(E1562&lt;&gt;"",E1562&lt;&gt;"!!!"),"NEW","")))</f>
        <v> </v>
      </c>
      <c r="G1562" s="24" t="str">
        <f>IF(OR(E1562="",E1562="!!!"),"",IF(OR(J1562=0,AND(J1562=1,K1562=1),AND(J1562=1,I1562="SBJ"),AND(J1562=1,I1562=0)),"?IN_FOCUS",IF(J1562&lt;=2,"?ACTIVATED",IF(J1562&lt;&gt;"","?FAMILIAR",IF(F1562="NEW",IF(ISNA(VLOOKUP(E1562,#REF!,1,FALSE())),"?TYPE_IDENTIFIABLE","?REFERENTIAL"),"_")))))</f>
        <v> </v>
      </c>
      <c r="H1562" s="25" t="str">
        <f>IF(J1562&lt;&gt;1,"",IF(I1562="SBJ","CB","?"))</f>
        <v> </v>
      </c>
      <c r="I1562" s="26" t="str">
        <f>IF(OR(E1562="",E1562="!!!",F1562="NEW"),"",INDEX(B1561:B$2,-1+SUMPRODUCT(MAX(ROW(E1561:E$2)*(E1562=E1561:E$2)))))</f>
        <v> </v>
      </c>
      <c r="J1562" s="26" t="str">
        <f>IF(OR(E1562="",E1562="!!!",F1562="NEW"),"",COUNTBLANK(OFFSET(A$1,,,SUMPRODUCT(MAX(ROW(E$2:E1562)*(E1562=E$2:E1562)))))-COUNTBLANK(OFFSET(A$1,,,SUMPRODUCT(MAX(ROW(E$1:E1561)*(E2=E$1:E1561))))))</f>
        <v> </v>
      </c>
      <c r="K1562" s="26" t="str">
        <f>IF(OR(E1562="",E1562="!!!",F1562="NEW"),"",INDEX(J$1:J1561,SUMPRODUCT(MAX(ROW(E$1:E1561)*(E1562=E$1:E1561)))))</f>
        <v> </v>
      </c>
      <c r="L1562" s="27"/>
    </row>
    <row r="1563" spans="1:12">
      <c r="A1563" s="20" t="s">
        <v>1099</v>
      </c>
      <c r="B1563" s="21" t="s">
        <v>796</v>
      </c>
      <c r="C1563" s="21" t="s">
        <v>753</v>
      </c>
      <c r="D1563" s="21" t="s">
        <v>730</v>
      </c>
      <c r="E1563" s="22">
        <f>IF(D1563="?OLD","!!!","")</f>
        <v/>
      </c>
      <c r="F1563" s="23" t="str">
        <f>IF(OR(E1563="",E1563="!!!"),"",IF(NOT(ISNA(VLOOKUP(E1563,E$1:E1562,1,FALSE()))),"OLD",IF(AND(E1563&lt;&gt;"",E1563&lt;&gt;"!!!"),"NEW","")))</f>
        <v> </v>
      </c>
      <c r="G1563" s="24" t="str">
        <f>IF(OR(E1563="",E1563="!!!"),"",IF(OR(J1563=0,AND(J1563=1,K1563=1),AND(J1563=1,I1563="SBJ"),AND(J1563=1,I1563=0)),"?IN_FOCUS",IF(J1563&lt;=2,"?ACTIVATED",IF(J1563&lt;&gt;"","?FAMILIAR",IF(F1563="NEW",IF(ISNA(VLOOKUP(E1563,#REF!,1,FALSE())),"?TYPE_IDENTIFIABLE","?REFERENTIAL"),"_")))))</f>
        <v> </v>
      </c>
      <c r="H1563" s="25" t="str">
        <f>IF(J1563&lt;&gt;1,"",IF(I1563="SBJ","CB","?"))</f>
        <v> </v>
      </c>
      <c r="I1563" s="26" t="str">
        <f>IF(OR(E1563="",E1563="!!!",F1563="NEW"),"",INDEX(B1562:B$2,-1+SUMPRODUCT(MAX(ROW(E1562:E$2)*(E1563=E1562:E$2)))))</f>
        <v> </v>
      </c>
      <c r="J1563" s="26" t="str">
        <f>IF(OR(E1563="",E1563="!!!",F1563="NEW"),"",COUNTBLANK(OFFSET(A$1,,,SUMPRODUCT(MAX(ROW(E$2:E1563)*(E1563=E$2:E1563)))))-COUNTBLANK(OFFSET(A$1,,,SUMPRODUCT(MAX(ROW(E$1:E1562)*(E2=E$1:E1562))))))</f>
        <v> </v>
      </c>
      <c r="K1563" s="26" t="str">
        <f>IF(OR(E1563="",E1563="!!!",F1563="NEW"),"",INDEX(J$1:J1562,SUMPRODUCT(MAX(ROW(E$1:E1562)*(E1563=E$1:E1562)))))</f>
        <v> </v>
      </c>
      <c r="L1563" s="27"/>
    </row>
    <row r="1564" spans="1:12">
      <c r="A1564" s="20" t="s">
        <v>762</v>
      </c>
      <c r="E1564" s="22">
        <f>IF(D1564="?OLD","!!!","")</f>
        <v/>
      </c>
      <c r="F1564" s="23" t="str">
        <f>IF(OR(E1564="",E1564="!!!"),"",IF(NOT(ISNA(VLOOKUP(E1564,E$1:E1563,1,FALSE()))),"OLD",IF(AND(E1564&lt;&gt;"",E1564&lt;&gt;"!!!"),"NEW","")))</f>
        <v> </v>
      </c>
      <c r="G1564" s="24" t="str">
        <f>IF(OR(E1564="",E1564="!!!"),"",IF(OR(J1564=0,AND(J1564=1,K1564=1),AND(J1564=1,I1564="SBJ"),AND(J1564=1,I1564=0)),"?IN_FOCUS",IF(J1564&lt;=2,"?ACTIVATED",IF(J1564&lt;&gt;"","?FAMILIAR",IF(F1564="NEW",IF(ISNA(VLOOKUP(E1564,#REF!,1,FALSE())),"?TYPE_IDENTIFIABLE","?REFERENTIAL"),"_")))))</f>
        <v> </v>
      </c>
      <c r="H1564" s="25" t="str">
        <f>IF(J1564&lt;&gt;1,"",IF(I1564="SBJ","CB","?"))</f>
        <v> </v>
      </c>
      <c r="I1564" s="26" t="str">
        <f>IF(OR(E1564="",E1564="!!!",F1564="NEW"),"",INDEX(B1563:B$2,-1+SUMPRODUCT(MAX(ROW(E1563:E$2)*(E1564=E1563:E$2)))))</f>
        <v> </v>
      </c>
      <c r="J1564" s="26" t="str">
        <f>IF(OR(E1564="",E1564="!!!",F1564="NEW"),"",COUNTBLANK(OFFSET(A$1,,,SUMPRODUCT(MAX(ROW(E$2:E1564)*(E1564=E$2:E1564)))))-COUNTBLANK(OFFSET(A$1,,,SUMPRODUCT(MAX(ROW(E$1:E1563)*(E2=E$1:E1563))))))</f>
        <v> </v>
      </c>
      <c r="K1564" s="26" t="str">
        <f>IF(OR(E1564="",E1564="!!!",F1564="NEW"),"",INDEX(J$1:J1563,SUMPRODUCT(MAX(ROW(E$1:E1563)*(E1564=E$1:E1563)))))</f>
        <v> </v>
      </c>
      <c r="L1564" s="27"/>
    </row>
    <row r="1565" spans="1:12">
      <c r="A1565" s="20" t="s">
        <v>1405</v>
      </c>
      <c r="B1565" s="21" t="s">
        <v>791</v>
      </c>
      <c r="C1565" s="21" t="s">
        <v>737</v>
      </c>
      <c r="E1565" s="22">
        <f>IF(D1565="?OLD","!!!","")</f>
        <v/>
      </c>
      <c r="F1565" s="23" t="str">
        <f>IF(OR(E1565="",E1565="!!!"),"",IF(NOT(ISNA(VLOOKUP(E1565,E$1:E1564,1,FALSE()))),"OLD",IF(AND(E1565&lt;&gt;"",E1565&lt;&gt;"!!!"),"NEW","")))</f>
        <v> </v>
      </c>
      <c r="G1565" s="24" t="str">
        <f>IF(OR(E1565="",E1565="!!!"),"",IF(OR(J1565=0,AND(J1565=1,K1565=1),AND(J1565=1,I1565="SBJ"),AND(J1565=1,I1565=0)),"?IN_FOCUS",IF(J1565&lt;=2,"?ACTIVATED",IF(J1565&lt;&gt;"","?FAMILIAR",IF(F1565="NEW",IF(ISNA(VLOOKUP(E1565,#REF!,1,FALSE())),"?TYPE_IDENTIFIABLE","?REFERENTIAL"),"_")))))</f>
        <v> </v>
      </c>
      <c r="H1565" s="25" t="str">
        <f>IF(J1565&lt;&gt;1,"",IF(I1565="SBJ","CB","?"))</f>
        <v> </v>
      </c>
      <c r="I1565" s="26" t="str">
        <f>IF(OR(E1565="",E1565="!!!",F1565="NEW"),"",INDEX(B1564:B$2,-1+SUMPRODUCT(MAX(ROW(E1564:E$2)*(E1565=E1564:E$2)))))</f>
        <v> </v>
      </c>
      <c r="J1565" s="26" t="str">
        <f>IF(OR(E1565="",E1565="!!!",F1565="NEW"),"",COUNTBLANK(OFFSET(A$1,,,SUMPRODUCT(MAX(ROW(E$2:E1565)*(E1565=E$2:E1565)))))-COUNTBLANK(OFFSET(A$1,,,SUMPRODUCT(MAX(ROW(E$1:E1564)*(E2=E$1:E1564))))))</f>
        <v> </v>
      </c>
      <c r="K1565" s="26" t="str">
        <f>IF(OR(E1565="",E1565="!!!",F1565="NEW"),"",INDEX(J$1:J1564,SUMPRODUCT(MAX(ROW(E$1:E1564)*(E1565=E$1:E1564)))))</f>
        <v> </v>
      </c>
      <c r="L1565" s="27"/>
    </row>
    <row r="1566" spans="1:12">
      <c r="A1566" s="20" t="s">
        <v>222</v>
      </c>
      <c r="E1566" s="22">
        <f>IF(D1566="?OLD","!!!","")</f>
        <v/>
      </c>
      <c r="F1566" s="23" t="str">
        <f>IF(OR(E1566="",E1566="!!!"),"",IF(NOT(ISNA(VLOOKUP(E1566,E$1:E1565,1,FALSE()))),"OLD",IF(AND(E1566&lt;&gt;"",E1566&lt;&gt;"!!!"),"NEW","")))</f>
        <v> </v>
      </c>
      <c r="G1566" s="24" t="str">
        <f>IF(OR(E1566="",E1566="!!!"),"",IF(OR(J1566=0,AND(J1566=1,K1566=1),AND(J1566=1,I1566="SBJ"),AND(J1566=1,I1566=0)),"?IN_FOCUS",IF(J1566&lt;=2,"?ACTIVATED",IF(J1566&lt;&gt;"","?FAMILIAR",IF(F1566="NEW",IF(ISNA(VLOOKUP(E1566,#REF!,1,FALSE())),"?TYPE_IDENTIFIABLE","?REFERENTIAL"),"_")))))</f>
        <v> </v>
      </c>
      <c r="H1566" s="25" t="str">
        <f>IF(J1566&lt;&gt;1,"",IF(I1566="SBJ","CB","?"))</f>
        <v> </v>
      </c>
      <c r="I1566" s="26" t="str">
        <f>IF(OR(E1566="",E1566="!!!",F1566="NEW"),"",INDEX(B1565:B$2,-1+SUMPRODUCT(MAX(ROW(E1565:E$2)*(E1566=E1565:E$2)))))</f>
        <v> </v>
      </c>
      <c r="J1566" s="26" t="str">
        <f>IF(OR(E1566="",E1566="!!!",F1566="NEW"),"",COUNTBLANK(OFFSET(A$1,,,SUMPRODUCT(MAX(ROW(E$2:E1566)*(E1566=E$2:E1566)))))-COUNTBLANK(OFFSET(A$1,,,SUMPRODUCT(MAX(ROW(E$1:E1565)*(E2=E$1:E1565))))))</f>
        <v> </v>
      </c>
      <c r="K1566" s="26" t="str">
        <f>IF(OR(E1566="",E1566="!!!",F1566="NEW"),"",INDEX(J$1:J1565,SUMPRODUCT(MAX(ROW(E$1:E1565)*(E1566=E$1:E1565)))))</f>
        <v> </v>
      </c>
      <c r="L1566" s="27"/>
    </row>
    <row r="1567" spans="1:12">
      <c r="A1567" s="20" t="s">
        <v>1406</v>
      </c>
      <c r="E1567" s="22">
        <f>IF(D1567="?OLD","!!!","")</f>
        <v/>
      </c>
      <c r="F1567" s="23" t="str">
        <f>IF(OR(E1567="",E1567="!!!"),"",IF(NOT(ISNA(VLOOKUP(E1567,E$1:E1566,1,FALSE()))),"OLD",IF(AND(E1567&lt;&gt;"",E1567&lt;&gt;"!!!"),"NEW","")))</f>
        <v> </v>
      </c>
      <c r="G1567" s="24" t="str">
        <f>IF(OR(E1567="",E1567="!!!"),"",IF(OR(J1567=0,AND(J1567=1,K1567=1),AND(J1567=1,I1567="SBJ"),AND(J1567=1,I1567=0)),"?IN_FOCUS",IF(J1567&lt;=2,"?ACTIVATED",IF(J1567&lt;&gt;"","?FAMILIAR",IF(F1567="NEW",IF(ISNA(VLOOKUP(E1567,#REF!,1,FALSE())),"?TYPE_IDENTIFIABLE","?REFERENTIAL"),"_")))))</f>
        <v> </v>
      </c>
      <c r="H1567" s="25" t="str">
        <f>IF(J1567&lt;&gt;1,"",IF(I1567="SBJ","CB","?"))</f>
        <v> </v>
      </c>
      <c r="I1567" s="26" t="str">
        <f>IF(OR(E1567="",E1567="!!!",F1567="NEW"),"",INDEX(B1566:B$2,-1+SUMPRODUCT(MAX(ROW(E1566:E$2)*(E1567=E1566:E$2)))))</f>
        <v> </v>
      </c>
      <c r="J1567" s="26" t="str">
        <f>IF(OR(E1567="",E1567="!!!",F1567="NEW"),"",COUNTBLANK(OFFSET(A$1,,,SUMPRODUCT(MAX(ROW(E$2:E1567)*(E1567=E$2:E1567)))))-COUNTBLANK(OFFSET(A$1,,,SUMPRODUCT(MAX(ROW(E$1:E1566)*(E2=E$1:E1566))))))</f>
        <v> </v>
      </c>
      <c r="K1567" s="26" t="str">
        <f>IF(OR(E1567="",E1567="!!!",F1567="NEW"),"",INDEX(J$1:J1566,SUMPRODUCT(MAX(ROW(E$1:E1566)*(E1567=E$1:E1566)))))</f>
        <v> </v>
      </c>
      <c r="L1567" s="27"/>
    </row>
    <row r="1568" spans="1:12">
      <c r="A1568" s="20" t="s">
        <v>246</v>
      </c>
      <c r="E1568" s="22">
        <f>IF(D1568="?OLD","!!!","")</f>
        <v/>
      </c>
      <c r="F1568" s="23" t="str">
        <f>IF(OR(E1568="",E1568="!!!"),"",IF(NOT(ISNA(VLOOKUP(E1568,E$1:E1567,1,FALSE()))),"OLD",IF(AND(E1568&lt;&gt;"",E1568&lt;&gt;"!!!"),"NEW","")))</f>
        <v> </v>
      </c>
      <c r="G1568" s="24" t="str">
        <f>IF(OR(E1568="",E1568="!!!"),"",IF(OR(J1568=0,AND(J1568=1,K1568=1),AND(J1568=1,I1568="SBJ"),AND(J1568=1,I1568=0)),"?IN_FOCUS",IF(J1568&lt;=2,"?ACTIVATED",IF(J1568&lt;&gt;"","?FAMILIAR",IF(F1568="NEW",IF(ISNA(VLOOKUP(E1568,#REF!,1,FALSE())),"?TYPE_IDENTIFIABLE","?REFERENTIAL"),"_")))))</f>
        <v> </v>
      </c>
      <c r="H1568" s="25" t="str">
        <f>IF(J1568&lt;&gt;1,"",IF(I1568="SBJ","CB","?"))</f>
        <v> </v>
      </c>
      <c r="I1568" s="26" t="str">
        <f>IF(OR(E1568="",E1568="!!!",F1568="NEW"),"",INDEX(B1567:B$2,-1+SUMPRODUCT(MAX(ROW(E1567:E$2)*(E1568=E1567:E$2)))))</f>
        <v> </v>
      </c>
      <c r="J1568" s="26" t="str">
        <f>IF(OR(E1568="",E1568="!!!",F1568="NEW"),"",COUNTBLANK(OFFSET(A$1,,,SUMPRODUCT(MAX(ROW(E$2:E1568)*(E1568=E$2:E1568)))))-COUNTBLANK(OFFSET(A$1,,,SUMPRODUCT(MAX(ROW(E$1:E1567)*(E2=E$1:E1567))))))</f>
        <v> </v>
      </c>
      <c r="K1568" s="26" t="str">
        <f>IF(OR(E1568="",E1568="!!!",F1568="NEW"),"",INDEX(J$1:J1567,SUMPRODUCT(MAX(ROW(E$1:E1567)*(E1568=E$1:E1567)))))</f>
        <v> </v>
      </c>
      <c r="L1568" s="27"/>
    </row>
    <row r="1569" spans="1:12">
      <c r="A1569" s="20"/>
    </row>
    <row r="1570" spans="1:12">
      <c r="A1570" s="20" t="s">
        <v>1407</v>
      </c>
    </row>
    <row r="1571" spans="1:12">
      <c r="A1571" s="20" t="s">
        <v>1382</v>
      </c>
      <c r="B1571" s="21" t="s">
        <v>728</v>
      </c>
      <c r="C1571" s="21" t="s">
        <v>789</v>
      </c>
      <c r="D1571" s="21" t="s">
        <v>730</v>
      </c>
      <c r="E1571" s="22">
        <f>IF(D1571="?OLD","!!!","")</f>
        <v/>
      </c>
      <c r="F1571" s="23" t="str">
        <f>IF(OR(E1571="",E1571="!!!"),"",IF(NOT(ISNA(VLOOKUP(E1571,E$1:E1570,1,FALSE()))),"OLD",IF(AND(E1571&lt;&gt;"",E1571&lt;&gt;"!!!"),"NEW","")))</f>
        <v> </v>
      </c>
      <c r="G1571" s="24" t="str">
        <f>IF(OR(E1571="",E1571="!!!"),"",IF(OR(J1571=0,AND(J1571=1,K1571=1),AND(J1571=1,I1571="SBJ"),AND(J1571=1,I1571=0)),"?IN_FOCUS",IF(J1571&lt;=2,"?ACTIVATED",IF(J1571&lt;&gt;"","?FAMILIAR",IF(F1571="NEW",IF(ISNA(VLOOKUP(E1571,#REF!,1,FALSE())),"?TYPE_IDENTIFIABLE","?REFERENTIAL"),"_")))))</f>
        <v> </v>
      </c>
      <c r="H1571" s="25" t="str">
        <f>IF(J1571&lt;&gt;1,"",IF(I1571="SBJ","CB","?"))</f>
        <v> </v>
      </c>
      <c r="I1571" s="26" t="str">
        <f>IF(OR(E1571="",E1571="!!!",F1571="NEW"),"",INDEX(B1570:B$2,-1+SUMPRODUCT(MAX(ROW(E1570:E$2)*(E1571=E1570:E$2)))))</f>
        <v> </v>
      </c>
      <c r="J1571" s="26" t="str">
        <f>IF(OR(E1571="",E1571="!!!",F1571="NEW"),"",COUNTBLANK(OFFSET(A$1,,,SUMPRODUCT(MAX(ROW(E$2:E1571)*(E1571=E$2:E1571)))))-COUNTBLANK(OFFSET(A$1,,,SUMPRODUCT(MAX(ROW(E$1:E1570)*(E2=E$1:E1570))))))</f>
        <v> </v>
      </c>
      <c r="K1571" s="26" t="str">
        <f>IF(OR(E1571="",E1571="!!!",F1571="NEW"),"",INDEX(J$1:J1570,SUMPRODUCT(MAX(ROW(E$1:E1570)*(E1571=E$1:E1570)))))</f>
        <v> </v>
      </c>
      <c r="L1571" s="27"/>
    </row>
    <row r="1572" spans="1:12">
      <c r="A1572" s="20" t="s">
        <v>1408</v>
      </c>
      <c r="E1572" s="22">
        <f>IF(D1572="?OLD","!!!","")</f>
        <v/>
      </c>
      <c r="F1572" s="23" t="str">
        <f>IF(OR(E1572="",E1572="!!!"),"",IF(NOT(ISNA(VLOOKUP(E1572,E$1:E1571,1,FALSE()))),"OLD",IF(AND(E1572&lt;&gt;"",E1572&lt;&gt;"!!!"),"NEW","")))</f>
        <v> </v>
      </c>
      <c r="G1572" s="24" t="str">
        <f>IF(OR(E1572="",E1572="!!!"),"",IF(OR(J1572=0,AND(J1572=1,K1572=1),AND(J1572=1,I1572="SBJ"),AND(J1572=1,I1572=0)),"?IN_FOCUS",IF(J1572&lt;=2,"?ACTIVATED",IF(J1572&lt;&gt;"","?FAMILIAR",IF(F1572="NEW",IF(ISNA(VLOOKUP(E1572,#REF!,1,FALSE())),"?TYPE_IDENTIFIABLE","?REFERENTIAL"),"_")))))</f>
        <v> </v>
      </c>
      <c r="H1572" s="25" t="str">
        <f>IF(J1572&lt;&gt;1,"",IF(I1572="SBJ","CB","?"))</f>
        <v> </v>
      </c>
      <c r="I1572" s="26" t="str">
        <f>IF(OR(E1572="",E1572="!!!",F1572="NEW"),"",INDEX(B1571:B$2,-1+SUMPRODUCT(MAX(ROW(E1571:E$2)*(E1572=E1571:E$2)))))</f>
        <v> </v>
      </c>
      <c r="J1572" s="26" t="str">
        <f>IF(OR(E1572="",E1572="!!!",F1572="NEW"),"",COUNTBLANK(OFFSET(A$1,,,SUMPRODUCT(MAX(ROW(E$2:E1572)*(E1572=E$2:E1572)))))-COUNTBLANK(OFFSET(A$1,,,SUMPRODUCT(MAX(ROW(E$1:E1571)*(E2=E$1:E1571))))))</f>
        <v> </v>
      </c>
      <c r="K1572" s="26" t="str">
        <f>IF(OR(E1572="",E1572="!!!",F1572="NEW"),"",INDEX(J$1:J1571,SUMPRODUCT(MAX(ROW(E$1:E1571)*(E1572=E$1:E1571)))))</f>
        <v> </v>
      </c>
      <c r="L1572" s="27"/>
    </row>
    <row r="1573" spans="1:12">
      <c r="A1573" s="20" t="s">
        <v>885</v>
      </c>
      <c r="E1573" s="22">
        <f>IF(D1573="?OLD","!!!","")</f>
        <v/>
      </c>
      <c r="F1573" s="23" t="str">
        <f>IF(OR(E1573="",E1573="!!!"),"",IF(NOT(ISNA(VLOOKUP(E1573,E$1:E1572,1,FALSE()))),"OLD",IF(AND(E1573&lt;&gt;"",E1573&lt;&gt;"!!!"),"NEW","")))</f>
        <v> </v>
      </c>
      <c r="G1573" s="24" t="str">
        <f>IF(OR(E1573="",E1573="!!!"),"",IF(OR(J1573=0,AND(J1573=1,K1573=1),AND(J1573=1,I1573="SBJ"),AND(J1573=1,I1573=0)),"?IN_FOCUS",IF(J1573&lt;=2,"?ACTIVATED",IF(J1573&lt;&gt;"","?FAMILIAR",IF(F1573="NEW",IF(ISNA(VLOOKUP(E1573,#REF!,1,FALSE())),"?TYPE_IDENTIFIABLE","?REFERENTIAL"),"_")))))</f>
        <v> </v>
      </c>
      <c r="H1573" s="25" t="str">
        <f>IF(J1573&lt;&gt;1,"",IF(I1573="SBJ","CB","?"))</f>
        <v> </v>
      </c>
      <c r="I1573" s="26" t="str">
        <f>IF(OR(E1573="",E1573="!!!",F1573="NEW"),"",INDEX(B1572:B$2,-1+SUMPRODUCT(MAX(ROW(E1572:E$2)*(E1573=E1572:E$2)))))</f>
        <v> </v>
      </c>
      <c r="J1573" s="26" t="str">
        <f>IF(OR(E1573="",E1573="!!!",F1573="NEW"),"",COUNTBLANK(OFFSET(A$1,,,SUMPRODUCT(MAX(ROW(E$2:E1573)*(E1573=E$2:E1573)))))-COUNTBLANK(OFFSET(A$1,,,SUMPRODUCT(MAX(ROW(E$1:E1572)*(E2=E$1:E1572))))))</f>
        <v> </v>
      </c>
      <c r="K1573" s="26" t="str">
        <f>IF(OR(E1573="",E1573="!!!",F1573="NEW"),"",INDEX(J$1:J1572,SUMPRODUCT(MAX(ROW(E$1:E1572)*(E1573=E$1:E1572)))))</f>
        <v> </v>
      </c>
      <c r="L1573" s="27"/>
    </row>
    <row r="1574" spans="1:12">
      <c r="A1574" s="20" t="s">
        <v>995</v>
      </c>
      <c r="E1574" s="22">
        <f>IF(D1574="?OLD","!!!","")</f>
        <v/>
      </c>
      <c r="F1574" s="23" t="str">
        <f>IF(OR(E1574="",E1574="!!!"),"",IF(NOT(ISNA(VLOOKUP(E1574,E$1:E1573,1,FALSE()))),"OLD",IF(AND(E1574&lt;&gt;"",E1574&lt;&gt;"!!!"),"NEW","")))</f>
        <v> </v>
      </c>
      <c r="G1574" s="24" t="str">
        <f>IF(OR(E1574="",E1574="!!!"),"",IF(OR(J1574=0,AND(J1574=1,K1574=1),AND(J1574=1,I1574="SBJ"),AND(J1574=1,I1574=0)),"?IN_FOCUS",IF(J1574&lt;=2,"?ACTIVATED",IF(J1574&lt;&gt;"","?FAMILIAR",IF(F1574="NEW",IF(ISNA(VLOOKUP(E1574,#REF!,1,FALSE())),"?TYPE_IDENTIFIABLE","?REFERENTIAL"),"_")))))</f>
        <v> </v>
      </c>
      <c r="H1574" s="25" t="str">
        <f>IF(J1574&lt;&gt;1,"",IF(I1574="SBJ","CB","?"))</f>
        <v> </v>
      </c>
      <c r="I1574" s="26" t="str">
        <f>IF(OR(E1574="",E1574="!!!",F1574="NEW"),"",INDEX(B1573:B$2,-1+SUMPRODUCT(MAX(ROW(E1573:E$2)*(E1574=E1573:E$2)))))</f>
        <v> </v>
      </c>
      <c r="J1574" s="26" t="str">
        <f>IF(OR(E1574="",E1574="!!!",F1574="NEW"),"",COUNTBLANK(OFFSET(A$1,,,SUMPRODUCT(MAX(ROW(E$2:E1574)*(E1574=E$2:E1574)))))-COUNTBLANK(OFFSET(A$1,,,SUMPRODUCT(MAX(ROW(E$1:E1573)*(E2=E$1:E1573))))))</f>
        <v> </v>
      </c>
      <c r="K1574" s="26" t="str">
        <f>IF(OR(E1574="",E1574="!!!",F1574="NEW"),"",INDEX(J$1:J1573,SUMPRODUCT(MAX(ROW(E$1:E1573)*(E1574=E$1:E1573)))))</f>
        <v> </v>
      </c>
      <c r="L1574" s="27"/>
    </row>
    <row r="1575" spans="1:12">
      <c r="A1575" s="20" t="s">
        <v>1409</v>
      </c>
      <c r="E1575" s="22">
        <f>IF(D1575="?OLD","!!!","")</f>
        <v/>
      </c>
      <c r="F1575" s="23" t="str">
        <f>IF(OR(E1575="",E1575="!!!"),"",IF(NOT(ISNA(VLOOKUP(E1575,E$1:E1574,1,FALSE()))),"OLD",IF(AND(E1575&lt;&gt;"",E1575&lt;&gt;"!!!"),"NEW","")))</f>
        <v> </v>
      </c>
      <c r="G1575" s="24" t="str">
        <f>IF(OR(E1575="",E1575="!!!"),"",IF(OR(J1575=0,AND(J1575=1,K1575=1),AND(J1575=1,I1575="SBJ"),AND(J1575=1,I1575=0)),"?IN_FOCUS",IF(J1575&lt;=2,"?ACTIVATED",IF(J1575&lt;&gt;"","?FAMILIAR",IF(F1575="NEW",IF(ISNA(VLOOKUP(E1575,#REF!,1,FALSE())),"?TYPE_IDENTIFIABLE","?REFERENTIAL"),"_")))))</f>
        <v> </v>
      </c>
      <c r="H1575" s="25" t="str">
        <f>IF(J1575&lt;&gt;1,"",IF(I1575="SBJ","CB","?"))</f>
        <v> </v>
      </c>
      <c r="I1575" s="26" t="str">
        <f>IF(OR(E1575="",E1575="!!!",F1575="NEW"),"",INDEX(B1574:B$2,-1+SUMPRODUCT(MAX(ROW(E1574:E$2)*(E1575=E1574:E$2)))))</f>
        <v> </v>
      </c>
      <c r="J1575" s="26" t="str">
        <f>IF(OR(E1575="",E1575="!!!",F1575="NEW"),"",COUNTBLANK(OFFSET(A$1,,,SUMPRODUCT(MAX(ROW(E$2:E1575)*(E1575=E$2:E1575)))))-COUNTBLANK(OFFSET(A$1,,,SUMPRODUCT(MAX(ROW(E$1:E1574)*(E2=E$1:E1574))))))</f>
        <v> </v>
      </c>
      <c r="K1575" s="26" t="str">
        <f>IF(OR(E1575="",E1575="!!!",F1575="NEW"),"",INDEX(J$1:J1574,SUMPRODUCT(MAX(ROW(E$1:E1574)*(E1575=E$1:E1574)))))</f>
        <v> </v>
      </c>
      <c r="L1575" s="27"/>
    </row>
    <row r="1576" spans="1:12">
      <c r="A1576" s="20" t="s">
        <v>1410</v>
      </c>
      <c r="B1576" s="21" t="s">
        <v>739</v>
      </c>
      <c r="C1576" s="21" t="s">
        <v>967</v>
      </c>
      <c r="E1576" s="22">
        <f>IF(D1576="?OLD","!!!","")</f>
        <v/>
      </c>
      <c r="F1576" s="23" t="str">
        <f>IF(OR(E1576="",E1576="!!!"),"",IF(NOT(ISNA(VLOOKUP(E1576,E$1:E1575,1,FALSE()))),"OLD",IF(AND(E1576&lt;&gt;"",E1576&lt;&gt;"!!!"),"NEW","")))</f>
        <v> </v>
      </c>
      <c r="G1576" s="24" t="str">
        <f>IF(OR(E1576="",E1576="!!!"),"",IF(OR(J1576=0,AND(J1576=1,K1576=1),AND(J1576=1,I1576="SBJ"),AND(J1576=1,I1576=0)),"?IN_FOCUS",IF(J1576&lt;=2,"?ACTIVATED",IF(J1576&lt;&gt;"","?FAMILIAR",IF(F1576="NEW",IF(ISNA(VLOOKUP(E1576,#REF!,1,FALSE())),"?TYPE_IDENTIFIABLE","?REFERENTIAL"),"_")))))</f>
        <v> </v>
      </c>
      <c r="H1576" s="25" t="str">
        <f>IF(J1576&lt;&gt;1,"",IF(I1576="SBJ","CB","?"))</f>
        <v> </v>
      </c>
      <c r="I1576" s="26" t="str">
        <f>IF(OR(E1576="",E1576="!!!",F1576="NEW"),"",INDEX(B1575:B$2,-1+SUMPRODUCT(MAX(ROW(E1575:E$2)*(E1576=E1575:E$2)))))</f>
        <v> </v>
      </c>
      <c r="J1576" s="26" t="str">
        <f>IF(OR(E1576="",E1576="!!!",F1576="NEW"),"",COUNTBLANK(OFFSET(A$1,,,SUMPRODUCT(MAX(ROW(E$2:E1576)*(E1576=E$2:E1576)))))-COUNTBLANK(OFFSET(A$1,,,SUMPRODUCT(MAX(ROW(E$1:E1575)*(E2=E$1:E1575))))))</f>
        <v> </v>
      </c>
      <c r="K1576" s="26" t="str">
        <f>IF(OR(E1576="",E1576="!!!",F1576="NEW"),"",INDEX(J$1:J1575,SUMPRODUCT(MAX(ROW(E$1:E1575)*(E1576=E$1:E1575)))))</f>
        <v> </v>
      </c>
      <c r="L1576" s="27"/>
    </row>
    <row r="1577" spans="1:12">
      <c r="A1577" s="20" t="s">
        <v>1060</v>
      </c>
      <c r="E1577" s="22">
        <f>IF(D1577="?OLD","!!!","")</f>
        <v/>
      </c>
      <c r="F1577" s="23" t="str">
        <f>IF(OR(E1577="",E1577="!!!"),"",IF(NOT(ISNA(VLOOKUP(E1577,E$1:E1576,1,FALSE()))),"OLD",IF(AND(E1577&lt;&gt;"",E1577&lt;&gt;"!!!"),"NEW","")))</f>
        <v> </v>
      </c>
      <c r="G1577" s="24" t="str">
        <f>IF(OR(E1577="",E1577="!!!"),"",IF(OR(J1577=0,AND(J1577=1,K1577=1),AND(J1577=1,I1577="SBJ"),AND(J1577=1,I1577=0)),"?IN_FOCUS",IF(J1577&lt;=2,"?ACTIVATED",IF(J1577&lt;&gt;"","?FAMILIAR",IF(F1577="NEW",IF(ISNA(VLOOKUP(E1577,#REF!,1,FALSE())),"?TYPE_IDENTIFIABLE","?REFERENTIAL"),"_")))))</f>
        <v> </v>
      </c>
      <c r="H1577" s="25" t="str">
        <f>IF(J1577&lt;&gt;1,"",IF(I1577="SBJ","CB","?"))</f>
        <v> </v>
      </c>
      <c r="I1577" s="26" t="str">
        <f>IF(OR(E1577="",E1577="!!!",F1577="NEW"),"",INDEX(B1576:B$2,-1+SUMPRODUCT(MAX(ROW(E1576:E$2)*(E1577=E1576:E$2)))))</f>
        <v> </v>
      </c>
      <c r="J1577" s="26" t="str">
        <f>IF(OR(E1577="",E1577="!!!",F1577="NEW"),"",COUNTBLANK(OFFSET(A$1,,,SUMPRODUCT(MAX(ROW(E$2:E1577)*(E1577=E$2:E1577)))))-COUNTBLANK(OFFSET(A$1,,,SUMPRODUCT(MAX(ROW(E$1:E1576)*(E2=E$1:E1576))))))</f>
        <v> </v>
      </c>
      <c r="K1577" s="26" t="str">
        <f>IF(OR(E1577="",E1577="!!!",F1577="NEW"),"",INDEX(J$1:J1576,SUMPRODUCT(MAX(ROW(E$1:E1576)*(E1577=E$1:E1576)))))</f>
        <v> </v>
      </c>
      <c r="L1577" s="27"/>
    </row>
    <row r="1578" spans="1:12">
      <c r="A1578" s="20" t="s">
        <v>762</v>
      </c>
      <c r="E1578" s="22">
        <f>IF(D1578="?OLD","!!!","")</f>
        <v/>
      </c>
      <c r="F1578" s="23" t="str">
        <f>IF(OR(E1578="",E1578="!!!"),"",IF(NOT(ISNA(VLOOKUP(E1578,E$1:E1577,1,FALSE()))),"OLD",IF(AND(E1578&lt;&gt;"",E1578&lt;&gt;"!!!"),"NEW","")))</f>
        <v> </v>
      </c>
      <c r="G1578" s="24" t="str">
        <f>IF(OR(E1578="",E1578="!!!"),"",IF(OR(J1578=0,AND(J1578=1,K1578=1),AND(J1578=1,I1578="SBJ"),AND(J1578=1,I1578=0)),"?IN_FOCUS",IF(J1578&lt;=2,"?ACTIVATED",IF(J1578&lt;&gt;"","?FAMILIAR",IF(F1578="NEW",IF(ISNA(VLOOKUP(E1578,#REF!,1,FALSE())),"?TYPE_IDENTIFIABLE","?REFERENTIAL"),"_")))))</f>
        <v> </v>
      </c>
      <c r="H1578" s="25" t="str">
        <f>IF(J1578&lt;&gt;1,"",IF(I1578="SBJ","CB","?"))</f>
        <v> </v>
      </c>
      <c r="I1578" s="26" t="str">
        <f>IF(OR(E1578="",E1578="!!!",F1578="NEW"),"",INDEX(B1577:B$2,-1+SUMPRODUCT(MAX(ROW(E1577:E$2)*(E1578=E1577:E$2)))))</f>
        <v> </v>
      </c>
      <c r="J1578" s="26" t="str">
        <f>IF(OR(E1578="",E1578="!!!",F1578="NEW"),"",COUNTBLANK(OFFSET(A$1,,,SUMPRODUCT(MAX(ROW(E$2:E1578)*(E1578=E$2:E1578)))))-COUNTBLANK(OFFSET(A$1,,,SUMPRODUCT(MAX(ROW(E$1:E1577)*(E2=E$1:E1577))))))</f>
        <v> </v>
      </c>
      <c r="K1578" s="26" t="str">
        <f>IF(OR(E1578="",E1578="!!!",F1578="NEW"),"",INDEX(J$1:J1577,SUMPRODUCT(MAX(ROW(E$1:E1577)*(E1578=E$1:E1577)))))</f>
        <v> </v>
      </c>
      <c r="L1578" s="27"/>
    </row>
    <row r="1579" spans="1:12">
      <c r="A1579" s="20" t="s">
        <v>1405</v>
      </c>
      <c r="B1579" s="21" t="s">
        <v>764</v>
      </c>
      <c r="C1579" s="21" t="s">
        <v>737</v>
      </c>
      <c r="E1579" s="22">
        <f>IF(D1579="?OLD","!!!","")</f>
        <v/>
      </c>
      <c r="F1579" s="23" t="str">
        <f>IF(OR(E1579="",E1579="!!!"),"",IF(NOT(ISNA(VLOOKUP(E1579,E$1:E1578,1,FALSE()))),"OLD",IF(AND(E1579&lt;&gt;"",E1579&lt;&gt;"!!!"),"NEW","")))</f>
        <v> </v>
      </c>
      <c r="G1579" s="24" t="str">
        <f>IF(OR(E1579="",E1579="!!!"),"",IF(OR(J1579=0,AND(J1579=1,K1579=1),AND(J1579=1,I1579="SBJ"),AND(J1579=1,I1579=0)),"?IN_FOCUS",IF(J1579&lt;=2,"?ACTIVATED",IF(J1579&lt;&gt;"","?FAMILIAR",IF(F1579="NEW",IF(ISNA(VLOOKUP(E1579,#REF!,1,FALSE())),"?TYPE_IDENTIFIABLE","?REFERENTIAL"),"_")))))</f>
        <v> </v>
      </c>
      <c r="H1579" s="25" t="str">
        <f>IF(J1579&lt;&gt;1,"",IF(I1579="SBJ","CB","?"))</f>
        <v> </v>
      </c>
      <c r="I1579" s="26" t="str">
        <f>IF(OR(E1579="",E1579="!!!",F1579="NEW"),"",INDEX(B1578:B$2,-1+SUMPRODUCT(MAX(ROW(E1578:E$2)*(E1579=E1578:E$2)))))</f>
        <v> </v>
      </c>
      <c r="J1579" s="26" t="str">
        <f>IF(OR(E1579="",E1579="!!!",F1579="NEW"),"",COUNTBLANK(OFFSET(A$1,,,SUMPRODUCT(MAX(ROW(E$2:E1579)*(E1579=E$2:E1579)))))-COUNTBLANK(OFFSET(A$1,,,SUMPRODUCT(MAX(ROW(E$1:E1578)*(E2=E$1:E1578))))))</f>
        <v> </v>
      </c>
      <c r="K1579" s="26" t="str">
        <f>IF(OR(E1579="",E1579="!!!",F1579="NEW"),"",INDEX(J$1:J1578,SUMPRODUCT(MAX(ROW(E$1:E1578)*(E1579=E$1:E1578)))))</f>
        <v> </v>
      </c>
      <c r="L1579" s="27"/>
    </row>
    <row r="1580" spans="1:12">
      <c r="A1580" s="20" t="s">
        <v>759</v>
      </c>
      <c r="E1580" s="22">
        <f>IF(D1580="?OLD","!!!","")</f>
        <v/>
      </c>
      <c r="F1580" s="23" t="str">
        <f>IF(OR(E1580="",E1580="!!!"),"",IF(NOT(ISNA(VLOOKUP(E1580,E$1:E1579,1,FALSE()))),"OLD",IF(AND(E1580&lt;&gt;"",E1580&lt;&gt;"!!!"),"NEW","")))</f>
        <v> </v>
      </c>
      <c r="G1580" s="24" t="str">
        <f>IF(OR(E1580="",E1580="!!!"),"",IF(OR(J1580=0,AND(J1580=1,K1580=1),AND(J1580=1,I1580="SBJ"),AND(J1580=1,I1580=0)),"?IN_FOCUS",IF(J1580&lt;=2,"?ACTIVATED",IF(J1580&lt;&gt;"","?FAMILIAR",IF(F1580="NEW",IF(ISNA(VLOOKUP(E1580,#REF!,1,FALSE())),"?TYPE_IDENTIFIABLE","?REFERENTIAL"),"_")))))</f>
        <v> </v>
      </c>
      <c r="H1580" s="25" t="str">
        <f>IF(J1580&lt;&gt;1,"",IF(I1580="SBJ","CB","?"))</f>
        <v> </v>
      </c>
      <c r="I1580" s="26" t="str">
        <f>IF(OR(E1580="",E1580="!!!",F1580="NEW"),"",INDEX(B1579:B$2,-1+SUMPRODUCT(MAX(ROW(E1579:E$2)*(E1580=E1579:E$2)))))</f>
        <v> </v>
      </c>
      <c r="J1580" s="26" t="str">
        <f>IF(OR(E1580="",E1580="!!!",F1580="NEW"),"",COUNTBLANK(OFFSET(A$1,,,SUMPRODUCT(MAX(ROW(E$2:E1580)*(E1580=E$2:E1580)))))-COUNTBLANK(OFFSET(A$1,,,SUMPRODUCT(MAX(ROW(E$1:E1579)*(E2=E$1:E1579))))))</f>
        <v> </v>
      </c>
      <c r="K1580" s="26" t="str">
        <f>IF(OR(E1580="",E1580="!!!",F1580="NEW"),"",INDEX(J$1:J1579,SUMPRODUCT(MAX(ROW(E$1:E1579)*(E1580=E$1:E1579)))))</f>
        <v> </v>
      </c>
      <c r="L1580" s="27"/>
    </row>
    <row r="1581" spans="1:12">
      <c r="A1581" s="20" t="s">
        <v>773</v>
      </c>
      <c r="E1581" s="22">
        <f>IF(D1581="?OLD","!!!","")</f>
        <v/>
      </c>
      <c r="F1581" s="23" t="str">
        <f>IF(OR(E1581="",E1581="!!!"),"",IF(NOT(ISNA(VLOOKUP(E1581,E$1:E1580,1,FALSE()))),"OLD",IF(AND(E1581&lt;&gt;"",E1581&lt;&gt;"!!!"),"NEW","")))</f>
        <v> </v>
      </c>
      <c r="G1581" s="24" t="str">
        <f>IF(OR(E1581="",E1581="!!!"),"",IF(OR(J1581=0,AND(J1581=1,K1581=1),AND(J1581=1,I1581="SBJ"),AND(J1581=1,I1581=0)),"?IN_FOCUS",IF(J1581&lt;=2,"?ACTIVATED",IF(J1581&lt;&gt;"","?FAMILIAR",IF(F1581="NEW",IF(ISNA(VLOOKUP(E1581,#REF!,1,FALSE())),"?TYPE_IDENTIFIABLE","?REFERENTIAL"),"_")))))</f>
        <v> </v>
      </c>
      <c r="H1581" s="25" t="str">
        <f>IF(J1581&lt;&gt;1,"",IF(I1581="SBJ","CB","?"))</f>
        <v> </v>
      </c>
      <c r="I1581" s="26" t="str">
        <f>IF(OR(E1581="",E1581="!!!",F1581="NEW"),"",INDEX(B1580:B$2,-1+SUMPRODUCT(MAX(ROW(E1580:E$2)*(E1581=E1580:E$2)))))</f>
        <v> </v>
      </c>
      <c r="J1581" s="26" t="str">
        <f>IF(OR(E1581="",E1581="!!!",F1581="NEW"),"",COUNTBLANK(OFFSET(A$1,,,SUMPRODUCT(MAX(ROW(E$2:E1581)*(E1581=E$2:E1581)))))-COUNTBLANK(OFFSET(A$1,,,SUMPRODUCT(MAX(ROW(E$1:E1580)*(E2=E$1:E1580))))))</f>
        <v> </v>
      </c>
      <c r="K1581" s="26" t="str">
        <f>IF(OR(E1581="",E1581="!!!",F1581="NEW"),"",INDEX(J$1:J1580,SUMPRODUCT(MAX(ROW(E$1:E1580)*(E1581=E$1:E1580)))))</f>
        <v> </v>
      </c>
      <c r="L1581" s="27"/>
    </row>
    <row r="1582" spans="1:12">
      <c r="A1582" s="20" t="s">
        <v>757</v>
      </c>
      <c r="E1582" s="22">
        <f>IF(D1582="?OLD","!!!","")</f>
        <v/>
      </c>
      <c r="F1582" s="23" t="str">
        <f>IF(OR(E1582="",E1582="!!!"),"",IF(NOT(ISNA(VLOOKUP(E1582,E$1:E1581,1,FALSE()))),"OLD",IF(AND(E1582&lt;&gt;"",E1582&lt;&gt;"!!!"),"NEW","")))</f>
        <v> </v>
      </c>
      <c r="G1582" s="24" t="str">
        <f>IF(OR(E1582="",E1582="!!!"),"",IF(OR(J1582=0,AND(J1582=1,K1582=1),AND(J1582=1,I1582="SBJ"),AND(J1582=1,I1582=0)),"?IN_FOCUS",IF(J1582&lt;=2,"?ACTIVATED",IF(J1582&lt;&gt;"","?FAMILIAR",IF(F1582="NEW",IF(ISNA(VLOOKUP(E1582,#REF!,1,FALSE())),"?TYPE_IDENTIFIABLE","?REFERENTIAL"),"_")))))</f>
        <v> </v>
      </c>
      <c r="H1582" s="25" t="str">
        <f>IF(J1582&lt;&gt;1,"",IF(I1582="SBJ","CB","?"))</f>
        <v> </v>
      </c>
      <c r="I1582" s="26" t="str">
        <f>IF(OR(E1582="",E1582="!!!",F1582="NEW"),"",INDEX(B1581:B$2,-1+SUMPRODUCT(MAX(ROW(E1581:E$2)*(E1582=E1581:E$2)))))</f>
        <v> </v>
      </c>
      <c r="J1582" s="26" t="str">
        <f>IF(OR(E1582="",E1582="!!!",F1582="NEW"),"",COUNTBLANK(OFFSET(A$1,,,SUMPRODUCT(MAX(ROW(E$2:E1582)*(E1582=E$2:E1582)))))-COUNTBLANK(OFFSET(A$1,,,SUMPRODUCT(MAX(ROW(E$1:E1581)*(E2=E$1:E1581))))))</f>
        <v> </v>
      </c>
      <c r="K1582" s="26" t="str">
        <f>IF(OR(E1582="",E1582="!!!",F1582="NEW"),"",INDEX(J$1:J1581,SUMPRODUCT(MAX(ROW(E$1:E1581)*(E1582=E$1:E1581)))))</f>
        <v> </v>
      </c>
      <c r="L1582" s="27"/>
    </row>
    <row r="1583" spans="1:12">
      <c r="A1583" s="20" t="s">
        <v>750</v>
      </c>
      <c r="B1583" s="21" t="s">
        <v>788</v>
      </c>
      <c r="C1583" s="21" t="s">
        <v>729</v>
      </c>
      <c r="D1583" s="21" t="s">
        <v>730</v>
      </c>
      <c r="E1583" s="22">
        <f>IF(D1583="?OLD","!!!","")</f>
        <v/>
      </c>
      <c r="F1583" s="23" t="str">
        <f>IF(OR(E1583="",E1583="!!!"),"",IF(NOT(ISNA(VLOOKUP(E1583,E$1:E1582,1,FALSE()))),"OLD",IF(AND(E1583&lt;&gt;"",E1583&lt;&gt;"!!!"),"NEW","")))</f>
        <v> </v>
      </c>
      <c r="G1583" s="24" t="str">
        <f>IF(OR(E1583="",E1583="!!!"),"",IF(OR(J1583=0,AND(J1583=1,K1583=1),AND(J1583=1,I1583="SBJ"),AND(J1583=1,I1583=0)),"?IN_FOCUS",IF(J1583&lt;=2,"?ACTIVATED",IF(J1583&lt;&gt;"","?FAMILIAR",IF(F1583="NEW",IF(ISNA(VLOOKUP(E1583,#REF!,1,FALSE())),"?TYPE_IDENTIFIABLE","?REFERENTIAL"),"_")))))</f>
        <v> </v>
      </c>
      <c r="H1583" s="25" t="str">
        <f>IF(J1583&lt;&gt;1,"",IF(I1583="SBJ","CB","?"))</f>
        <v> </v>
      </c>
      <c r="I1583" s="26" t="str">
        <f>IF(OR(E1583="",E1583="!!!",F1583="NEW"),"",INDEX(B1582:B$2,-1+SUMPRODUCT(MAX(ROW(E1582:E$2)*(E1583=E1582:E$2)))))</f>
        <v> </v>
      </c>
      <c r="J1583" s="26" t="str">
        <f>IF(OR(E1583="",E1583="!!!",F1583="NEW"),"",COUNTBLANK(OFFSET(A$1,,,SUMPRODUCT(MAX(ROW(E$2:E1583)*(E1583=E$2:E1583)))))-COUNTBLANK(OFFSET(A$1,,,SUMPRODUCT(MAX(ROW(E$1:E1582)*(E2=E$1:E1582))))))</f>
        <v> </v>
      </c>
      <c r="K1583" s="26" t="str">
        <f>IF(OR(E1583="",E1583="!!!",F1583="NEW"),"",INDEX(J$1:J1582,SUMPRODUCT(MAX(ROW(E$1:E1582)*(E1583=E$1:E1582)))))</f>
        <v> </v>
      </c>
      <c r="L1583" s="27"/>
    </row>
    <row r="1584" spans="1:12">
      <c r="A1584" s="20" t="s">
        <v>970</v>
      </c>
      <c r="B1584" s="21" t="s">
        <v>843</v>
      </c>
      <c r="E1584" s="22">
        <f>IF(D1584="?OLD","!!!","")</f>
        <v/>
      </c>
      <c r="F1584" s="23" t="str">
        <f>IF(OR(E1584="",E1584="!!!"),"",IF(NOT(ISNA(VLOOKUP(E1584,E$1:E1583,1,FALSE()))),"OLD",IF(AND(E1584&lt;&gt;"",E1584&lt;&gt;"!!!"),"NEW","")))</f>
        <v> </v>
      </c>
      <c r="G1584" s="24" t="str">
        <f>IF(OR(E1584="",E1584="!!!"),"",IF(OR(J1584=0,AND(J1584=1,K1584=1),AND(J1584=1,I1584="SBJ"),AND(J1584=1,I1584=0)),"?IN_FOCUS",IF(J1584&lt;=2,"?ACTIVATED",IF(J1584&lt;&gt;"","?FAMILIAR",IF(F1584="NEW",IF(ISNA(VLOOKUP(E1584,#REF!,1,FALSE())),"?TYPE_IDENTIFIABLE","?REFERENTIAL"),"_")))))</f>
        <v> </v>
      </c>
      <c r="H1584" s="25" t="str">
        <f>IF(J1584&lt;&gt;1,"",IF(I1584="SBJ","CB","?"))</f>
        <v> </v>
      </c>
      <c r="I1584" s="26" t="str">
        <f>IF(OR(E1584="",E1584="!!!",F1584="NEW"),"",INDEX(B1583:B$2,-1+SUMPRODUCT(MAX(ROW(E1583:E$2)*(E1584=E1583:E$2)))))</f>
        <v> </v>
      </c>
      <c r="J1584" s="26" t="str">
        <f>IF(OR(E1584="",E1584="!!!",F1584="NEW"),"",COUNTBLANK(OFFSET(A$1,,,SUMPRODUCT(MAX(ROW(E$2:E1584)*(E1584=E$2:E1584)))))-COUNTBLANK(OFFSET(A$1,,,SUMPRODUCT(MAX(ROW(E$1:E1583)*(E2=E$1:E1583))))))</f>
        <v> </v>
      </c>
      <c r="K1584" s="26" t="str">
        <f>IF(OR(E1584="",E1584="!!!",F1584="NEW"),"",INDEX(J$1:J1583,SUMPRODUCT(MAX(ROW(E$1:E1583)*(E1584=E$1:E1583)))))</f>
        <v> </v>
      </c>
      <c r="L1584" s="27"/>
    </row>
    <row r="1585" spans="1:12">
      <c r="A1585" s="20" t="s">
        <v>773</v>
      </c>
      <c r="E1585" s="22">
        <f>IF(D1585="?OLD","!!!","")</f>
        <v/>
      </c>
      <c r="F1585" s="23" t="str">
        <f>IF(OR(E1585="",E1585="!!!"),"",IF(NOT(ISNA(VLOOKUP(E1585,E$1:E1584,1,FALSE()))),"OLD",IF(AND(E1585&lt;&gt;"",E1585&lt;&gt;"!!!"),"NEW","")))</f>
        <v> </v>
      </c>
      <c r="G1585" s="24" t="str">
        <f>IF(OR(E1585="",E1585="!!!"),"",IF(OR(J1585=0,AND(J1585=1,K1585=1),AND(J1585=1,I1585="SBJ"),AND(J1585=1,I1585=0)),"?IN_FOCUS",IF(J1585&lt;=2,"?ACTIVATED",IF(J1585&lt;&gt;"","?FAMILIAR",IF(F1585="NEW",IF(ISNA(VLOOKUP(E1585,#REF!,1,FALSE())),"?TYPE_IDENTIFIABLE","?REFERENTIAL"),"_")))))</f>
        <v> </v>
      </c>
      <c r="H1585" s="25" t="str">
        <f>IF(J1585&lt;&gt;1,"",IF(I1585="SBJ","CB","?"))</f>
        <v> </v>
      </c>
      <c r="I1585" s="26" t="str">
        <f>IF(OR(E1585="",E1585="!!!",F1585="NEW"),"",INDEX(B1584:B$2,-1+SUMPRODUCT(MAX(ROW(E1584:E$2)*(E1585=E1584:E$2)))))</f>
        <v> </v>
      </c>
      <c r="J1585" s="26" t="str">
        <f>IF(OR(E1585="",E1585="!!!",F1585="NEW"),"",COUNTBLANK(OFFSET(A$1,,,SUMPRODUCT(MAX(ROW(E$2:E1585)*(E1585=E$2:E1585)))))-COUNTBLANK(OFFSET(A$1,,,SUMPRODUCT(MAX(ROW(E$1:E1584)*(E2=E$1:E1584))))))</f>
        <v> </v>
      </c>
      <c r="K1585" s="26" t="str">
        <f>IF(OR(E1585="",E1585="!!!",F1585="NEW"),"",INDEX(J$1:J1584,SUMPRODUCT(MAX(ROW(E$1:E1584)*(E1585=E$1:E1584)))))</f>
        <v> </v>
      </c>
      <c r="L1585" s="27"/>
    </row>
    <row r="1586" spans="1:12">
      <c r="A1586" s="20" t="s">
        <v>774</v>
      </c>
      <c r="E1586" s="22">
        <f>IF(D1586="?OLD","!!!","")</f>
        <v/>
      </c>
      <c r="F1586" s="23" t="str">
        <f>IF(OR(E1586="",E1586="!!!"),"",IF(NOT(ISNA(VLOOKUP(E1586,E$1:E1585,1,FALSE()))),"OLD",IF(AND(E1586&lt;&gt;"",E1586&lt;&gt;"!!!"),"NEW","")))</f>
        <v> </v>
      </c>
      <c r="G1586" s="24" t="str">
        <f>IF(OR(E1586="",E1586="!!!"),"",IF(OR(J1586=0,AND(J1586=1,K1586=1),AND(J1586=1,I1586="SBJ"),AND(J1586=1,I1586=0)),"?IN_FOCUS",IF(J1586&lt;=2,"?ACTIVATED",IF(J1586&lt;&gt;"","?FAMILIAR",IF(F1586="NEW",IF(ISNA(VLOOKUP(E1586,#REF!,1,FALSE())),"?TYPE_IDENTIFIABLE","?REFERENTIAL"),"_")))))</f>
        <v> </v>
      </c>
      <c r="H1586" s="25" t="str">
        <f>IF(J1586&lt;&gt;1,"",IF(I1586="SBJ","CB","?"))</f>
        <v> </v>
      </c>
      <c r="I1586" s="26" t="str">
        <f>IF(OR(E1586="",E1586="!!!",F1586="NEW"),"",INDEX(B1585:B$2,-1+SUMPRODUCT(MAX(ROW(E1585:E$2)*(E1586=E1585:E$2)))))</f>
        <v> </v>
      </c>
      <c r="J1586" s="26" t="str">
        <f>IF(OR(E1586="",E1586="!!!",F1586="NEW"),"",COUNTBLANK(OFFSET(A$1,,,SUMPRODUCT(MAX(ROW(E$2:E1586)*(E1586=E$2:E1586)))))-COUNTBLANK(OFFSET(A$1,,,SUMPRODUCT(MAX(ROW(E$1:E1585)*(E2=E$1:E1585))))))</f>
        <v> </v>
      </c>
      <c r="K1586" s="26" t="str">
        <f>IF(OR(E1586="",E1586="!!!",F1586="NEW"),"",INDEX(J$1:J1585,SUMPRODUCT(MAX(ROW(E$1:E1585)*(E1586=E$1:E1585)))))</f>
        <v> </v>
      </c>
      <c r="L1586" s="27"/>
    </row>
    <row r="1587" spans="1:12">
      <c r="A1587" s="20" t="s">
        <v>1411</v>
      </c>
      <c r="E1587" s="22">
        <f>IF(D1587="?OLD","!!!","")</f>
        <v/>
      </c>
      <c r="F1587" s="23" t="str">
        <f>IF(OR(E1587="",E1587="!!!"),"",IF(NOT(ISNA(VLOOKUP(E1587,E$1:E1586,1,FALSE()))),"OLD",IF(AND(E1587&lt;&gt;"",E1587&lt;&gt;"!!!"),"NEW","")))</f>
        <v> </v>
      </c>
      <c r="G1587" s="24" t="str">
        <f>IF(OR(E1587="",E1587="!!!"),"",IF(OR(J1587=0,AND(J1587=1,K1587=1),AND(J1587=1,I1587="SBJ"),AND(J1587=1,I1587=0)),"?IN_FOCUS",IF(J1587&lt;=2,"?ACTIVATED",IF(J1587&lt;&gt;"","?FAMILIAR",IF(F1587="NEW",IF(ISNA(VLOOKUP(E1587,#REF!,1,FALSE())),"?TYPE_IDENTIFIABLE","?REFERENTIAL"),"_")))))</f>
        <v> </v>
      </c>
      <c r="H1587" s="25" t="str">
        <f>IF(J1587&lt;&gt;1,"",IF(I1587="SBJ","CB","?"))</f>
        <v> </v>
      </c>
      <c r="I1587" s="26" t="str">
        <f>IF(OR(E1587="",E1587="!!!",F1587="NEW"),"",INDEX(B1586:B$2,-1+SUMPRODUCT(MAX(ROW(E1586:E$2)*(E1587=E1586:E$2)))))</f>
        <v> </v>
      </c>
      <c r="J1587" s="26" t="str">
        <f>IF(OR(E1587="",E1587="!!!",F1587="NEW"),"",COUNTBLANK(OFFSET(A$1,,,SUMPRODUCT(MAX(ROW(E$2:E1587)*(E1587=E$2:E1587)))))-COUNTBLANK(OFFSET(A$1,,,SUMPRODUCT(MAX(ROW(E$1:E1586)*(E2=E$1:E1586))))))</f>
        <v> </v>
      </c>
      <c r="K1587" s="26" t="str">
        <f>IF(OR(E1587="",E1587="!!!",F1587="NEW"),"",INDEX(J$1:J1586,SUMPRODUCT(MAX(ROW(E$1:E1586)*(E1587=E$1:E1586)))))</f>
        <v> </v>
      </c>
      <c r="L1587" s="27"/>
    </row>
    <row r="1588" spans="1:12">
      <c r="A1588" s="20" t="s">
        <v>1412</v>
      </c>
      <c r="B1588" s="21" t="s">
        <v>755</v>
      </c>
      <c r="C1588" s="21" t="s">
        <v>737</v>
      </c>
      <c r="E1588" s="22">
        <f>IF(D1588="?OLD","!!!","")</f>
        <v/>
      </c>
      <c r="F1588" s="23" t="str">
        <f>IF(OR(E1588="",E1588="!!!"),"",IF(NOT(ISNA(VLOOKUP(E1588,E$1:E1587,1,FALSE()))),"OLD",IF(AND(E1588&lt;&gt;"",E1588&lt;&gt;"!!!"),"NEW","")))</f>
        <v> </v>
      </c>
      <c r="G1588" s="24" t="str">
        <f>IF(OR(E1588="",E1588="!!!"),"",IF(OR(J1588=0,AND(J1588=1,K1588=1),AND(J1588=1,I1588="SBJ"),AND(J1588=1,I1588=0)),"?IN_FOCUS",IF(J1588&lt;=2,"?ACTIVATED",IF(J1588&lt;&gt;"","?FAMILIAR",IF(F1588="NEW",IF(ISNA(VLOOKUP(E1588,#REF!,1,FALSE())),"?TYPE_IDENTIFIABLE","?REFERENTIAL"),"_")))))</f>
        <v> </v>
      </c>
      <c r="H1588" s="25" t="str">
        <f>IF(J1588&lt;&gt;1,"",IF(I1588="SBJ","CB","?"))</f>
        <v> </v>
      </c>
      <c r="I1588" s="26" t="str">
        <f>IF(OR(E1588="",E1588="!!!",F1588="NEW"),"",INDEX(B1587:B$2,-1+SUMPRODUCT(MAX(ROW(E1587:E$2)*(E1588=E1587:E$2)))))</f>
        <v> </v>
      </c>
      <c r="J1588" s="26" t="str">
        <f>IF(OR(E1588="",E1588="!!!",F1588="NEW"),"",COUNTBLANK(OFFSET(A$1,,,SUMPRODUCT(MAX(ROW(E$2:E1588)*(E1588=E$2:E1588)))))-COUNTBLANK(OFFSET(A$1,,,SUMPRODUCT(MAX(ROW(E$1:E1587)*(E2=E$1:E1587))))))</f>
        <v> </v>
      </c>
      <c r="K1588" s="26" t="str">
        <f>IF(OR(E1588="",E1588="!!!",F1588="NEW"),"",INDEX(J$1:J1587,SUMPRODUCT(MAX(ROW(E$1:E1587)*(E1588=E$1:E1587)))))</f>
        <v> </v>
      </c>
      <c r="L1588" s="27"/>
    </row>
    <row r="1589" spans="1:12">
      <c r="A1589" s="20" t="s">
        <v>1413</v>
      </c>
      <c r="E1589" s="22">
        <f>IF(D1589="?OLD","!!!","")</f>
        <v/>
      </c>
      <c r="F1589" s="23" t="str">
        <f>IF(OR(E1589="",E1589="!!!"),"",IF(NOT(ISNA(VLOOKUP(E1589,E$1:E1588,1,FALSE()))),"OLD",IF(AND(E1589&lt;&gt;"",E1589&lt;&gt;"!!!"),"NEW","")))</f>
        <v> </v>
      </c>
      <c r="G1589" s="24" t="str">
        <f>IF(OR(E1589="",E1589="!!!"),"",IF(OR(J1589=0,AND(J1589=1,K1589=1),AND(J1589=1,I1589="SBJ"),AND(J1589=1,I1589=0)),"?IN_FOCUS",IF(J1589&lt;=2,"?ACTIVATED",IF(J1589&lt;&gt;"","?FAMILIAR",IF(F1589="NEW",IF(ISNA(VLOOKUP(E1589,#REF!,1,FALSE())),"?TYPE_IDENTIFIABLE","?REFERENTIAL"),"_")))))</f>
        <v> </v>
      </c>
      <c r="H1589" s="25" t="str">
        <f>IF(J1589&lt;&gt;1,"",IF(I1589="SBJ","CB","?"))</f>
        <v> </v>
      </c>
      <c r="I1589" s="26" t="str">
        <f>IF(OR(E1589="",E1589="!!!",F1589="NEW"),"",INDEX(B1588:B$2,-1+SUMPRODUCT(MAX(ROW(E1588:E$2)*(E1589=E1588:E$2)))))</f>
        <v> </v>
      </c>
      <c r="J1589" s="26" t="str">
        <f>IF(OR(E1589="",E1589="!!!",F1589="NEW"),"",COUNTBLANK(OFFSET(A$1,,,SUMPRODUCT(MAX(ROW(E$2:E1589)*(E1589=E$2:E1589)))))-COUNTBLANK(OFFSET(A$1,,,SUMPRODUCT(MAX(ROW(E$1:E1588)*(E2=E$1:E1588))))))</f>
        <v> </v>
      </c>
      <c r="K1589" s="26" t="str">
        <f>IF(OR(E1589="",E1589="!!!",F1589="NEW"),"",INDEX(J$1:J1588,SUMPRODUCT(MAX(ROW(E$1:E1588)*(E1589=E$1:E1588)))))</f>
        <v> </v>
      </c>
      <c r="L1589" s="27"/>
    </row>
    <row r="1590" spans="1:12">
      <c r="A1590" s="20" t="s">
        <v>759</v>
      </c>
      <c r="E1590" s="22">
        <f>IF(D1590="?OLD","!!!","")</f>
        <v/>
      </c>
      <c r="F1590" s="23" t="str">
        <f>IF(OR(E1590="",E1590="!!!"),"",IF(NOT(ISNA(VLOOKUP(E1590,E$1:E1589,1,FALSE()))),"OLD",IF(AND(E1590&lt;&gt;"",E1590&lt;&gt;"!!!"),"NEW","")))</f>
        <v> </v>
      </c>
      <c r="G1590" s="24" t="str">
        <f>IF(OR(E1590="",E1590="!!!"),"",IF(OR(J1590=0,AND(J1590=1,K1590=1),AND(J1590=1,I1590="SBJ"),AND(J1590=1,I1590=0)),"?IN_FOCUS",IF(J1590&lt;=2,"?ACTIVATED",IF(J1590&lt;&gt;"","?FAMILIAR",IF(F1590="NEW",IF(ISNA(VLOOKUP(E1590,#REF!,1,FALSE())),"?TYPE_IDENTIFIABLE","?REFERENTIAL"),"_")))))</f>
        <v> </v>
      </c>
      <c r="H1590" s="25" t="str">
        <f>IF(J1590&lt;&gt;1,"",IF(I1590="SBJ","CB","?"))</f>
        <v> </v>
      </c>
      <c r="I1590" s="26" t="str">
        <f>IF(OR(E1590="",E1590="!!!",F1590="NEW"),"",INDEX(B1589:B$2,-1+SUMPRODUCT(MAX(ROW(E1589:E$2)*(E1590=E1589:E$2)))))</f>
        <v> </v>
      </c>
      <c r="J1590" s="26" t="str">
        <f>IF(OR(E1590="",E1590="!!!",F1590="NEW"),"",COUNTBLANK(OFFSET(A$1,,,SUMPRODUCT(MAX(ROW(E$2:E1590)*(E1590=E$2:E1590)))))-COUNTBLANK(OFFSET(A$1,,,SUMPRODUCT(MAX(ROW(E$1:E1589)*(E2=E$1:E1589))))))</f>
        <v> </v>
      </c>
      <c r="K1590" s="26" t="str">
        <f>IF(OR(E1590="",E1590="!!!",F1590="NEW"),"",INDEX(J$1:J1589,SUMPRODUCT(MAX(ROW(E$1:E1589)*(E1590=E$1:E1589)))))</f>
        <v> </v>
      </c>
      <c r="L1590" s="27"/>
    </row>
    <row r="1591" spans="1:12">
      <c r="A1591" s="20" t="s">
        <v>1414</v>
      </c>
      <c r="E1591" s="22">
        <f>IF(D1591="?OLD","!!!","")</f>
        <v/>
      </c>
      <c r="F1591" s="23" t="str">
        <f>IF(OR(E1591="",E1591="!!!"),"",IF(NOT(ISNA(VLOOKUP(E1591,E$1:E1590,1,FALSE()))),"OLD",IF(AND(E1591&lt;&gt;"",E1591&lt;&gt;"!!!"),"NEW","")))</f>
        <v> </v>
      </c>
      <c r="G1591" s="24" t="str">
        <f>IF(OR(E1591="",E1591="!!!"),"",IF(OR(J1591=0,AND(J1591=1,K1591=1),AND(J1591=1,I1591="SBJ"),AND(J1591=1,I1591=0)),"?IN_FOCUS",IF(J1591&lt;=2,"?ACTIVATED",IF(J1591&lt;&gt;"","?FAMILIAR",IF(F1591="NEW",IF(ISNA(VLOOKUP(E1591,#REF!,1,FALSE())),"?TYPE_IDENTIFIABLE","?REFERENTIAL"),"_")))))</f>
        <v> </v>
      </c>
      <c r="H1591" s="25" t="str">
        <f>IF(J1591&lt;&gt;1,"",IF(I1591="SBJ","CB","?"))</f>
        <v> </v>
      </c>
      <c r="I1591" s="26" t="str">
        <f>IF(OR(E1591="",E1591="!!!",F1591="NEW"),"",INDEX(B1590:B$2,-1+SUMPRODUCT(MAX(ROW(E1590:E$2)*(E1591=E1590:E$2)))))</f>
        <v> </v>
      </c>
      <c r="J1591" s="26" t="str">
        <f>IF(OR(E1591="",E1591="!!!",F1591="NEW"),"",COUNTBLANK(OFFSET(A$1,,,SUMPRODUCT(MAX(ROW(E$2:E1591)*(E1591=E$2:E1591)))))-COUNTBLANK(OFFSET(A$1,,,SUMPRODUCT(MAX(ROW(E$1:E1590)*(E2=E$1:E1590))))))</f>
        <v> </v>
      </c>
      <c r="K1591" s="26" t="str">
        <f>IF(OR(E1591="",E1591="!!!",F1591="NEW"),"",INDEX(J$1:J1590,SUMPRODUCT(MAX(ROW(E$1:E1590)*(E1591=E$1:E1590)))))</f>
        <v> </v>
      </c>
      <c r="L1591" s="27"/>
    </row>
    <row r="1592" spans="1:12">
      <c r="A1592" s="20" t="s">
        <v>1415</v>
      </c>
      <c r="B1592" s="21" t="s">
        <v>736</v>
      </c>
      <c r="C1592" s="21" t="s">
        <v>967</v>
      </c>
      <c r="E1592" s="22">
        <f>IF(D1592="?OLD","!!!","")</f>
        <v/>
      </c>
      <c r="F1592" s="23" t="str">
        <f>IF(OR(E1592="",E1592="!!!"),"",IF(NOT(ISNA(VLOOKUP(E1592,E$1:E1591,1,FALSE()))),"OLD",IF(AND(E1592&lt;&gt;"",E1592&lt;&gt;"!!!"),"NEW","")))</f>
        <v> </v>
      </c>
      <c r="G1592" s="24" t="str">
        <f>IF(OR(E1592="",E1592="!!!"),"",IF(OR(J1592=0,AND(J1592=1,K1592=1),AND(J1592=1,I1592="SBJ"),AND(J1592=1,I1592=0)),"?IN_FOCUS",IF(J1592&lt;=2,"?ACTIVATED",IF(J1592&lt;&gt;"","?FAMILIAR",IF(F1592="NEW",IF(ISNA(VLOOKUP(E1592,#REF!,1,FALSE())),"?TYPE_IDENTIFIABLE","?REFERENTIAL"),"_")))))</f>
        <v> </v>
      </c>
      <c r="H1592" s="25" t="str">
        <f>IF(J1592&lt;&gt;1,"",IF(I1592="SBJ","CB","?"))</f>
        <v> </v>
      </c>
      <c r="I1592" s="26" t="str">
        <f>IF(OR(E1592="",E1592="!!!",F1592="NEW"),"",INDEX(B1591:B$2,-1+SUMPRODUCT(MAX(ROW(E1591:E$2)*(E1592=E1591:E$2)))))</f>
        <v> </v>
      </c>
      <c r="J1592" s="26" t="str">
        <f>IF(OR(E1592="",E1592="!!!",F1592="NEW"),"",COUNTBLANK(OFFSET(A$1,,,SUMPRODUCT(MAX(ROW(E$2:E1592)*(E1592=E$2:E1592)))))-COUNTBLANK(OFFSET(A$1,,,SUMPRODUCT(MAX(ROW(E$1:E1591)*(E2=E$1:E1591))))))</f>
        <v> </v>
      </c>
      <c r="K1592" s="26" t="str">
        <f>IF(OR(E1592="",E1592="!!!",F1592="NEW"),"",INDEX(J$1:J1591,SUMPRODUCT(MAX(ROW(E$1:E1591)*(E1592=E$1:E1591)))))</f>
        <v> </v>
      </c>
      <c r="L1592" s="27"/>
    </row>
    <row r="1593" spans="1:12">
      <c r="A1593" s="20" t="s">
        <v>828</v>
      </c>
      <c r="E1593" s="22">
        <f>IF(D1593="?OLD","!!!","")</f>
        <v/>
      </c>
      <c r="F1593" s="23" t="str">
        <f>IF(OR(E1593="",E1593="!!!"),"",IF(NOT(ISNA(VLOOKUP(E1593,E$1:E1592,1,FALSE()))),"OLD",IF(AND(E1593&lt;&gt;"",E1593&lt;&gt;"!!!"),"NEW","")))</f>
        <v> </v>
      </c>
      <c r="G1593" s="24" t="str">
        <f>IF(OR(E1593="",E1593="!!!"),"",IF(OR(J1593=0,AND(J1593=1,K1593=1),AND(J1593=1,I1593="SBJ"),AND(J1593=1,I1593=0)),"?IN_FOCUS",IF(J1593&lt;=2,"?ACTIVATED",IF(J1593&lt;&gt;"","?FAMILIAR",IF(F1593="NEW",IF(ISNA(VLOOKUP(E1593,#REF!,1,FALSE())),"?TYPE_IDENTIFIABLE","?REFERENTIAL"),"_")))))</f>
        <v> </v>
      </c>
      <c r="H1593" s="25" t="str">
        <f>IF(J1593&lt;&gt;1,"",IF(I1593="SBJ","CB","?"))</f>
        <v> </v>
      </c>
      <c r="I1593" s="26" t="str">
        <f>IF(OR(E1593="",E1593="!!!",F1593="NEW"),"",INDEX(B1592:B$2,-1+SUMPRODUCT(MAX(ROW(E1592:E$2)*(E1593=E1592:E$2)))))</f>
        <v> </v>
      </c>
      <c r="J1593" s="26" t="str">
        <f>IF(OR(E1593="",E1593="!!!",F1593="NEW"),"",COUNTBLANK(OFFSET(A$1,,,SUMPRODUCT(MAX(ROW(E$2:E1593)*(E1593=E$2:E1593)))))-COUNTBLANK(OFFSET(A$1,,,SUMPRODUCT(MAX(ROW(E$1:E1592)*(E2=E$1:E1592))))))</f>
        <v> </v>
      </c>
      <c r="K1593" s="26" t="str">
        <f>IF(OR(E1593="",E1593="!!!",F1593="NEW"),"",INDEX(J$1:J1592,SUMPRODUCT(MAX(ROW(E$1:E1592)*(E1593=E$1:E1592)))))</f>
        <v> </v>
      </c>
      <c r="L1593" s="27"/>
    </row>
    <row r="1594" spans="1:12">
      <c r="A1594" s="20" t="s">
        <v>757</v>
      </c>
      <c r="E1594" s="22">
        <f>IF(D1594="?OLD","!!!","")</f>
        <v/>
      </c>
      <c r="F1594" s="23" t="str">
        <f>IF(OR(E1594="",E1594="!!!"),"",IF(NOT(ISNA(VLOOKUP(E1594,E$1:E1593,1,FALSE()))),"OLD",IF(AND(E1594&lt;&gt;"",E1594&lt;&gt;"!!!"),"NEW","")))</f>
        <v> </v>
      </c>
      <c r="G1594" s="24" t="str">
        <f>IF(OR(E1594="",E1594="!!!"),"",IF(OR(J1594=0,AND(J1594=1,K1594=1),AND(J1594=1,I1594="SBJ"),AND(J1594=1,I1594=0)),"?IN_FOCUS",IF(J1594&lt;=2,"?ACTIVATED",IF(J1594&lt;&gt;"","?FAMILIAR",IF(F1594="NEW",IF(ISNA(VLOOKUP(E1594,#REF!,1,FALSE())),"?TYPE_IDENTIFIABLE","?REFERENTIAL"),"_")))))</f>
        <v> </v>
      </c>
      <c r="H1594" s="25" t="str">
        <f>IF(J1594&lt;&gt;1,"",IF(I1594="SBJ","CB","?"))</f>
        <v> </v>
      </c>
      <c r="I1594" s="26" t="str">
        <f>IF(OR(E1594="",E1594="!!!",F1594="NEW"),"",INDEX(B1593:B$2,-1+SUMPRODUCT(MAX(ROW(E1593:E$2)*(E1594=E1593:E$2)))))</f>
        <v> </v>
      </c>
      <c r="J1594" s="26" t="str">
        <f>IF(OR(E1594="",E1594="!!!",F1594="NEW"),"",COUNTBLANK(OFFSET(A$1,,,SUMPRODUCT(MAX(ROW(E$2:E1594)*(E1594=E$2:E1594)))))-COUNTBLANK(OFFSET(A$1,,,SUMPRODUCT(MAX(ROW(E$1:E1593)*(E2=E$1:E1593))))))</f>
        <v> </v>
      </c>
      <c r="K1594" s="26" t="str">
        <f>IF(OR(E1594="",E1594="!!!",F1594="NEW"),"",INDEX(J$1:J1593,SUMPRODUCT(MAX(ROW(E$1:E1593)*(E1594=E$1:E1593)))))</f>
        <v> </v>
      </c>
      <c r="L1594" s="27"/>
    </row>
    <row r="1595" spans="1:12">
      <c r="A1595" s="20" t="s">
        <v>1416</v>
      </c>
      <c r="B1595" s="21" t="s">
        <v>739</v>
      </c>
      <c r="C1595" s="21" t="s">
        <v>753</v>
      </c>
      <c r="D1595" s="21" t="s">
        <v>730</v>
      </c>
      <c r="E1595" s="22">
        <f>IF(D1595="?OLD","!!!","")</f>
        <v/>
      </c>
      <c r="F1595" s="23" t="str">
        <f>IF(OR(E1595="",E1595="!!!"),"",IF(NOT(ISNA(VLOOKUP(E1595,E$1:E1594,1,FALSE()))),"OLD",IF(AND(E1595&lt;&gt;"",E1595&lt;&gt;"!!!"),"NEW","")))</f>
        <v> </v>
      </c>
      <c r="G1595" s="24" t="str">
        <f>IF(OR(E1595="",E1595="!!!"),"",IF(OR(J1595=0,AND(J1595=1,K1595=1),AND(J1595=1,I1595="SBJ"),AND(J1595=1,I1595=0)),"?IN_FOCUS",IF(J1595&lt;=2,"?ACTIVATED",IF(J1595&lt;&gt;"","?FAMILIAR",IF(F1595="NEW",IF(ISNA(VLOOKUP(E1595,#REF!,1,FALSE())),"?TYPE_IDENTIFIABLE","?REFERENTIAL"),"_")))))</f>
        <v> </v>
      </c>
      <c r="H1595" s="25" t="str">
        <f>IF(J1595&lt;&gt;1,"",IF(I1595="SBJ","CB","?"))</f>
        <v> </v>
      </c>
      <c r="I1595" s="26" t="str">
        <f>IF(OR(E1595="",E1595="!!!",F1595="NEW"),"",INDEX(B1594:B$2,-1+SUMPRODUCT(MAX(ROW(E1594:E$2)*(E1595=E1594:E$2)))))</f>
        <v> </v>
      </c>
      <c r="J1595" s="26" t="str">
        <f>IF(OR(E1595="",E1595="!!!",F1595="NEW"),"",COUNTBLANK(OFFSET(A$1,,,SUMPRODUCT(MAX(ROW(E$2:E1595)*(E1595=E$2:E1595)))))-COUNTBLANK(OFFSET(A$1,,,SUMPRODUCT(MAX(ROW(E$1:E1594)*(E2=E$1:E1594))))))</f>
        <v> </v>
      </c>
      <c r="K1595" s="26" t="str">
        <f>IF(OR(E1595="",E1595="!!!",F1595="NEW"),"",INDEX(J$1:J1594,SUMPRODUCT(MAX(ROW(E$1:E1594)*(E1595=E$1:E1594)))))</f>
        <v> </v>
      </c>
      <c r="L1595" s="27"/>
    </row>
    <row r="1596" spans="1:12">
      <c r="A1596" s="20" t="s">
        <v>845</v>
      </c>
      <c r="E1596" s="22">
        <f>IF(D1596="?OLD","!!!","")</f>
        <v/>
      </c>
      <c r="F1596" s="23" t="str">
        <f>IF(OR(E1596="",E1596="!!!"),"",IF(NOT(ISNA(VLOOKUP(E1596,E$1:E1595,1,FALSE()))),"OLD",IF(AND(E1596&lt;&gt;"",E1596&lt;&gt;"!!!"),"NEW","")))</f>
        <v> </v>
      </c>
      <c r="G1596" s="24" t="str">
        <f>IF(OR(E1596="",E1596="!!!"),"",IF(OR(J1596=0,AND(J1596=1,K1596=1),AND(J1596=1,I1596="SBJ"),AND(J1596=1,I1596=0)),"?IN_FOCUS",IF(J1596&lt;=2,"?ACTIVATED",IF(J1596&lt;&gt;"","?FAMILIAR",IF(F1596="NEW",IF(ISNA(VLOOKUP(E1596,#REF!,1,FALSE())),"?TYPE_IDENTIFIABLE","?REFERENTIAL"),"_")))))</f>
        <v> </v>
      </c>
      <c r="H1596" s="25" t="str">
        <f>IF(J1596&lt;&gt;1,"",IF(I1596="SBJ","CB","?"))</f>
        <v> </v>
      </c>
      <c r="I1596" s="26" t="str">
        <f>IF(OR(E1596="",E1596="!!!",F1596="NEW"),"",INDEX(B1595:B$2,-1+SUMPRODUCT(MAX(ROW(E1595:E$2)*(E1596=E1595:E$2)))))</f>
        <v> </v>
      </c>
      <c r="J1596" s="26" t="str">
        <f>IF(OR(E1596="",E1596="!!!",F1596="NEW"),"",COUNTBLANK(OFFSET(A$1,,,SUMPRODUCT(MAX(ROW(E$2:E1596)*(E1596=E$2:E1596)))))-COUNTBLANK(OFFSET(A$1,,,SUMPRODUCT(MAX(ROW(E$1:E1595)*(E2=E$1:E1595))))))</f>
        <v> </v>
      </c>
      <c r="K1596" s="26" t="str">
        <f>IF(OR(E1596="",E1596="!!!",F1596="NEW"),"",INDEX(J$1:J1595,SUMPRODUCT(MAX(ROW(E$1:E1595)*(E1596=E$1:E1595)))))</f>
        <v> </v>
      </c>
      <c r="L1596" s="27"/>
    </row>
    <row r="1597" spans="1:12">
      <c r="A1597" s="20" t="s">
        <v>1417</v>
      </c>
      <c r="B1597" s="21" t="s">
        <v>755</v>
      </c>
      <c r="C1597" s="21" t="s">
        <v>753</v>
      </c>
      <c r="D1597" s="21" t="s">
        <v>730</v>
      </c>
      <c r="E1597" s="22">
        <f>IF(D1597="?OLD","!!!","")</f>
        <v/>
      </c>
      <c r="F1597" s="23" t="str">
        <f>IF(OR(E1597="",E1597="!!!"),"",IF(NOT(ISNA(VLOOKUP(E1597,E$1:E1596,1,FALSE()))),"OLD",IF(AND(E1597&lt;&gt;"",E1597&lt;&gt;"!!!"),"NEW","")))</f>
        <v> </v>
      </c>
      <c r="G1597" s="24" t="str">
        <f>IF(OR(E1597="",E1597="!!!"),"",IF(OR(J1597=0,AND(J1597=1,K1597=1),AND(J1597=1,I1597="SBJ"),AND(J1597=1,I1597=0)),"?IN_FOCUS",IF(J1597&lt;=2,"?ACTIVATED",IF(J1597&lt;&gt;"","?FAMILIAR",IF(F1597="NEW",IF(ISNA(VLOOKUP(E1597,#REF!,1,FALSE())),"?TYPE_IDENTIFIABLE","?REFERENTIAL"),"_")))))</f>
        <v> </v>
      </c>
      <c r="H1597" s="25" t="str">
        <f>IF(J1597&lt;&gt;1,"",IF(I1597="SBJ","CB","?"))</f>
        <v> </v>
      </c>
      <c r="I1597" s="26" t="str">
        <f>IF(OR(E1597="",E1597="!!!",F1597="NEW"),"",INDEX(B1596:B$2,-1+SUMPRODUCT(MAX(ROW(E1596:E$2)*(E1597=E1596:E$2)))))</f>
        <v> </v>
      </c>
      <c r="J1597" s="26" t="str">
        <f>IF(OR(E1597="",E1597="!!!",F1597="NEW"),"",COUNTBLANK(OFFSET(A$1,,,SUMPRODUCT(MAX(ROW(E$2:E1597)*(E1597=E$2:E1597)))))-COUNTBLANK(OFFSET(A$1,,,SUMPRODUCT(MAX(ROW(E$1:E1596)*(E2=E$1:E1596))))))</f>
        <v> </v>
      </c>
      <c r="K1597" s="26" t="str">
        <f>IF(OR(E1597="",E1597="!!!",F1597="NEW"),"",INDEX(J$1:J1596,SUMPRODUCT(MAX(ROW(E$1:E1596)*(E1597=E$1:E1596)))))</f>
        <v> </v>
      </c>
      <c r="L1597" s="27"/>
    </row>
    <row r="1598" spans="1:12">
      <c r="A1598" s="20" t="s">
        <v>759</v>
      </c>
      <c r="E1598" s="22">
        <f>IF(D1598="?OLD","!!!","")</f>
        <v/>
      </c>
      <c r="F1598" s="23" t="str">
        <f>IF(OR(E1598="",E1598="!!!"),"",IF(NOT(ISNA(VLOOKUP(E1598,E$1:E1597,1,FALSE()))),"OLD",IF(AND(E1598&lt;&gt;"",E1598&lt;&gt;"!!!"),"NEW","")))</f>
        <v> </v>
      </c>
      <c r="G1598" s="24" t="str">
        <f>IF(OR(E1598="",E1598="!!!"),"",IF(OR(J1598=0,AND(J1598=1,K1598=1),AND(J1598=1,I1598="SBJ"),AND(J1598=1,I1598=0)),"?IN_FOCUS",IF(J1598&lt;=2,"?ACTIVATED",IF(J1598&lt;&gt;"","?FAMILIAR",IF(F1598="NEW",IF(ISNA(VLOOKUP(E1598,#REF!,1,FALSE())),"?TYPE_IDENTIFIABLE","?REFERENTIAL"),"_")))))</f>
        <v> </v>
      </c>
      <c r="H1598" s="25" t="str">
        <f>IF(J1598&lt;&gt;1,"",IF(I1598="SBJ","CB","?"))</f>
        <v> </v>
      </c>
      <c r="I1598" s="26" t="str">
        <f>IF(OR(E1598="",E1598="!!!",F1598="NEW"),"",INDEX(B1597:B$2,-1+SUMPRODUCT(MAX(ROW(E1597:E$2)*(E1598=E1597:E$2)))))</f>
        <v> </v>
      </c>
      <c r="J1598" s="26" t="str">
        <f>IF(OR(E1598="",E1598="!!!",F1598="NEW"),"",COUNTBLANK(OFFSET(A$1,,,SUMPRODUCT(MAX(ROW(E$2:E1598)*(E1598=E$2:E1598)))))-COUNTBLANK(OFFSET(A$1,,,SUMPRODUCT(MAX(ROW(E$1:E1597)*(E2=E$1:E1597))))))</f>
        <v> </v>
      </c>
      <c r="K1598" s="26" t="str">
        <f>IF(OR(E1598="",E1598="!!!",F1598="NEW"),"",INDEX(J$1:J1597,SUMPRODUCT(MAX(ROW(E$1:E1597)*(E1598=E$1:E1597)))))</f>
        <v> </v>
      </c>
      <c r="L1598" s="27"/>
    </row>
    <row r="1599" spans="1:12">
      <c r="A1599" s="20" t="s">
        <v>785</v>
      </c>
      <c r="E1599" s="22">
        <f>IF(D1599="?OLD","!!!","")</f>
        <v/>
      </c>
      <c r="F1599" s="23" t="str">
        <f>IF(OR(E1599="",E1599="!!!"),"",IF(NOT(ISNA(VLOOKUP(E1599,E$1:E1598,1,FALSE()))),"OLD",IF(AND(E1599&lt;&gt;"",E1599&lt;&gt;"!!!"),"NEW","")))</f>
        <v> </v>
      </c>
      <c r="G1599" s="24" t="str">
        <f>IF(OR(E1599="",E1599="!!!"),"",IF(OR(J1599=0,AND(J1599=1,K1599=1),AND(J1599=1,I1599="SBJ"),AND(J1599=1,I1599=0)),"?IN_FOCUS",IF(J1599&lt;=2,"?ACTIVATED",IF(J1599&lt;&gt;"","?FAMILIAR",IF(F1599="NEW",IF(ISNA(VLOOKUP(E1599,#REF!,1,FALSE())),"?TYPE_IDENTIFIABLE","?REFERENTIAL"),"_")))))</f>
        <v> </v>
      </c>
      <c r="H1599" s="25" t="str">
        <f>IF(J1599&lt;&gt;1,"",IF(I1599="SBJ","CB","?"))</f>
        <v> </v>
      </c>
      <c r="I1599" s="26" t="str">
        <f>IF(OR(E1599="",E1599="!!!",F1599="NEW"),"",INDEX(B1598:B$2,-1+SUMPRODUCT(MAX(ROW(E1598:E$2)*(E1599=E1598:E$2)))))</f>
        <v> </v>
      </c>
      <c r="J1599" s="26" t="str">
        <f>IF(OR(E1599="",E1599="!!!",F1599="NEW"),"",COUNTBLANK(OFFSET(A$1,,,SUMPRODUCT(MAX(ROW(E$2:E1599)*(E1599=E$2:E1599)))))-COUNTBLANK(OFFSET(A$1,,,SUMPRODUCT(MAX(ROW(E$1:E1598)*(E2=E$1:E1598))))))</f>
        <v> </v>
      </c>
      <c r="K1599" s="26" t="str">
        <f>IF(OR(E1599="",E1599="!!!",F1599="NEW"),"",INDEX(J$1:J1598,SUMPRODUCT(MAX(ROW(E$1:E1598)*(E1599=E$1:E1598)))))</f>
        <v> </v>
      </c>
      <c r="L1599" s="27"/>
    </row>
    <row r="1600" spans="1:12">
      <c r="A1600" s="20" t="s">
        <v>792</v>
      </c>
      <c r="B1600" s="21" t="s">
        <v>791</v>
      </c>
      <c r="C1600" s="21" t="s">
        <v>729</v>
      </c>
      <c r="D1600" s="21" t="s">
        <v>730</v>
      </c>
      <c r="E1600" s="22">
        <f>IF(D1600="?OLD","!!!","")</f>
        <v/>
      </c>
      <c r="F1600" s="23" t="str">
        <f>IF(OR(E1600="",E1600="!!!"),"",IF(NOT(ISNA(VLOOKUP(E1600,E$1:E1599,1,FALSE()))),"OLD",IF(AND(E1600&lt;&gt;"",E1600&lt;&gt;"!!!"),"NEW","")))</f>
        <v> </v>
      </c>
      <c r="G1600" s="24" t="str">
        <f>IF(OR(E1600="",E1600="!!!"),"",IF(OR(J1600=0,AND(J1600=1,K1600=1),AND(J1600=1,I1600="SBJ"),AND(J1600=1,I1600=0)),"?IN_FOCUS",IF(J1600&lt;=2,"?ACTIVATED",IF(J1600&lt;&gt;"","?FAMILIAR",IF(F1600="NEW",IF(ISNA(VLOOKUP(E1600,#REF!,1,FALSE())),"?TYPE_IDENTIFIABLE","?REFERENTIAL"),"_")))))</f>
        <v> </v>
      </c>
      <c r="H1600" s="25" t="str">
        <f>IF(J1600&lt;&gt;1,"",IF(I1600="SBJ","CB","?"))</f>
        <v> </v>
      </c>
      <c r="I1600" s="26" t="str">
        <f>IF(OR(E1600="",E1600="!!!",F1600="NEW"),"",INDEX(B1599:B$2,-1+SUMPRODUCT(MAX(ROW(E1599:E$2)*(E1600=E1599:E$2)))))</f>
        <v> </v>
      </c>
      <c r="J1600" s="26" t="str">
        <f>IF(OR(E1600="",E1600="!!!",F1600="NEW"),"",COUNTBLANK(OFFSET(A$1,,,SUMPRODUCT(MAX(ROW(E$2:E1600)*(E1600=E$2:E1600)))))-COUNTBLANK(OFFSET(A$1,,,SUMPRODUCT(MAX(ROW(E$1:E1599)*(E2=E$1:E1599))))))</f>
        <v> </v>
      </c>
      <c r="K1600" s="26" t="str">
        <f>IF(OR(E1600="",E1600="!!!",F1600="NEW"),"",INDEX(J$1:J1599,SUMPRODUCT(MAX(ROW(E$1:E1599)*(E1600=E$1:E1599)))))</f>
        <v> </v>
      </c>
      <c r="L1600" s="27"/>
    </row>
    <row r="1601" spans="1:12">
      <c r="A1601" s="20" t="s">
        <v>813</v>
      </c>
      <c r="E1601" s="22">
        <f>IF(D1601="?OLD","!!!","")</f>
        <v/>
      </c>
      <c r="F1601" s="23" t="str">
        <f>IF(OR(E1601="",E1601="!!!"),"",IF(NOT(ISNA(VLOOKUP(E1601,E$1:E1600,1,FALSE()))),"OLD",IF(AND(E1601&lt;&gt;"",E1601&lt;&gt;"!!!"),"NEW","")))</f>
        <v> </v>
      </c>
      <c r="G1601" s="24" t="str">
        <f>IF(OR(E1601="",E1601="!!!"),"",IF(OR(J1601=0,AND(J1601=1,K1601=1),AND(J1601=1,I1601="SBJ"),AND(J1601=1,I1601=0)),"?IN_FOCUS",IF(J1601&lt;=2,"?ACTIVATED",IF(J1601&lt;&gt;"","?FAMILIAR",IF(F1601="NEW",IF(ISNA(VLOOKUP(E1601,#REF!,1,FALSE())),"?TYPE_IDENTIFIABLE","?REFERENTIAL"),"_")))))</f>
        <v> </v>
      </c>
      <c r="H1601" s="25" t="str">
        <f>IF(J1601&lt;&gt;1,"",IF(I1601="SBJ","CB","?"))</f>
        <v> </v>
      </c>
      <c r="I1601" s="26" t="str">
        <f>IF(OR(E1601="",E1601="!!!",F1601="NEW"),"",INDEX(B1600:B$2,-1+SUMPRODUCT(MAX(ROW(E1600:E$2)*(E1601=E1600:E$2)))))</f>
        <v> </v>
      </c>
      <c r="J1601" s="26" t="str">
        <f>IF(OR(E1601="",E1601="!!!",F1601="NEW"),"",COUNTBLANK(OFFSET(A$1,,,SUMPRODUCT(MAX(ROW(E$2:E1601)*(E1601=E$2:E1601)))))-COUNTBLANK(OFFSET(A$1,,,SUMPRODUCT(MAX(ROW(E$1:E1600)*(E2=E$1:E1600))))))</f>
        <v> </v>
      </c>
      <c r="K1601" s="26" t="str">
        <f>IF(OR(E1601="",E1601="!!!",F1601="NEW"),"",INDEX(J$1:J1600,SUMPRODUCT(MAX(ROW(E$1:E1600)*(E1601=E$1:E1600)))))</f>
        <v> </v>
      </c>
      <c r="L1601" s="27"/>
    </row>
    <row r="1602" spans="1:12">
      <c r="A1602" s="20" t="s">
        <v>1384</v>
      </c>
      <c r="E1602" s="22">
        <f>IF(D1602="?OLD","!!!","")</f>
        <v/>
      </c>
      <c r="F1602" s="23" t="str">
        <f>IF(OR(E1602="",E1602="!!!"),"",IF(NOT(ISNA(VLOOKUP(E1602,E$1:E1601,1,FALSE()))),"OLD",IF(AND(E1602&lt;&gt;"",E1602&lt;&gt;"!!!"),"NEW","")))</f>
        <v> </v>
      </c>
      <c r="G1602" s="24" t="str">
        <f>IF(OR(E1602="",E1602="!!!"),"",IF(OR(J1602=0,AND(J1602=1,K1602=1),AND(J1602=1,I1602="SBJ"),AND(J1602=1,I1602=0)),"?IN_FOCUS",IF(J1602&lt;=2,"?ACTIVATED",IF(J1602&lt;&gt;"","?FAMILIAR",IF(F1602="NEW",IF(ISNA(VLOOKUP(E1602,#REF!,1,FALSE())),"?TYPE_IDENTIFIABLE","?REFERENTIAL"),"_")))))</f>
        <v> </v>
      </c>
      <c r="H1602" s="25" t="str">
        <f>IF(J1602&lt;&gt;1,"",IF(I1602="SBJ","CB","?"))</f>
        <v> </v>
      </c>
      <c r="I1602" s="26" t="str">
        <f>IF(OR(E1602="",E1602="!!!",F1602="NEW"),"",INDEX(B1601:B$2,-1+SUMPRODUCT(MAX(ROW(E1601:E$2)*(E1602=E1601:E$2)))))</f>
        <v> </v>
      </c>
      <c r="J1602" s="26" t="str">
        <f>IF(OR(E1602="",E1602="!!!",F1602="NEW"),"",COUNTBLANK(OFFSET(A$1,,,SUMPRODUCT(MAX(ROW(E$2:E1602)*(E1602=E$2:E1602)))))-COUNTBLANK(OFFSET(A$1,,,SUMPRODUCT(MAX(ROW(E$1:E1601)*(E2=E$1:E1601))))))</f>
        <v> </v>
      </c>
      <c r="K1602" s="26" t="str">
        <f>IF(OR(E1602="",E1602="!!!",F1602="NEW"),"",INDEX(J$1:J1601,SUMPRODUCT(MAX(ROW(E$1:E1601)*(E1602=E$1:E1601)))))</f>
        <v> </v>
      </c>
      <c r="L1602" s="27"/>
    </row>
    <row r="1603" spans="1:12">
      <c r="A1603" s="20" t="s">
        <v>1370</v>
      </c>
      <c r="B1603" s="21" t="s">
        <v>796</v>
      </c>
      <c r="C1603" s="21" t="s">
        <v>740</v>
      </c>
      <c r="D1603" s="21" t="s">
        <v>730</v>
      </c>
      <c r="E1603" s="22">
        <f>IF(D1603="?OLD","!!!","")</f>
        <v/>
      </c>
      <c r="F1603" s="23" t="str">
        <f>IF(OR(E1603="",E1603="!!!"),"",IF(NOT(ISNA(VLOOKUP(E1603,E$1:E1602,1,FALSE()))),"OLD",IF(AND(E1603&lt;&gt;"",E1603&lt;&gt;"!!!"),"NEW","")))</f>
        <v> </v>
      </c>
      <c r="G1603" s="24" t="str">
        <f>IF(OR(E1603="",E1603="!!!"),"",IF(OR(J1603=0,AND(J1603=1,K1603=1),AND(J1603=1,I1603="SBJ"),AND(J1603=1,I1603=0)),"?IN_FOCUS",IF(J1603&lt;=2,"?ACTIVATED",IF(J1603&lt;&gt;"","?FAMILIAR",IF(F1603="NEW",IF(ISNA(VLOOKUP(E1603,#REF!,1,FALSE())),"?TYPE_IDENTIFIABLE","?REFERENTIAL"),"_")))))</f>
        <v> </v>
      </c>
      <c r="H1603" s="25" t="str">
        <f>IF(J1603&lt;&gt;1,"",IF(I1603="SBJ","CB","?"))</f>
        <v> </v>
      </c>
      <c r="I1603" s="26" t="str">
        <f>IF(OR(E1603="",E1603="!!!",F1603="NEW"),"",INDEX(B1602:B$2,-1+SUMPRODUCT(MAX(ROW(E1602:E$2)*(E1603=E1602:E$2)))))</f>
        <v> </v>
      </c>
      <c r="J1603" s="26" t="str">
        <f>IF(OR(E1603="",E1603="!!!",F1603="NEW"),"",COUNTBLANK(OFFSET(A$1,,,SUMPRODUCT(MAX(ROW(E$2:E1603)*(E1603=E$2:E1603)))))-COUNTBLANK(OFFSET(A$1,,,SUMPRODUCT(MAX(ROW(E$1:E1602)*(E2=E$1:E1602))))))</f>
        <v> </v>
      </c>
      <c r="K1603" s="26" t="str">
        <f>IF(OR(E1603="",E1603="!!!",F1603="NEW"),"",INDEX(J$1:J1602,SUMPRODUCT(MAX(ROW(E$1:E1602)*(E1603=E$1:E1602)))))</f>
        <v> </v>
      </c>
      <c r="L1603" s="27"/>
    </row>
    <row r="1604" spans="1:12">
      <c r="A1604" s="20" t="s">
        <v>812</v>
      </c>
      <c r="E1604" s="22">
        <f>IF(D1604="?OLD","!!!","")</f>
        <v/>
      </c>
      <c r="F1604" s="23" t="str">
        <f>IF(OR(E1604="",E1604="!!!"),"",IF(NOT(ISNA(VLOOKUP(E1604,E$1:E1603,1,FALSE()))),"OLD",IF(AND(E1604&lt;&gt;"",E1604&lt;&gt;"!!!"),"NEW","")))</f>
        <v> </v>
      </c>
      <c r="G1604" s="24" t="str">
        <f>IF(OR(E1604="",E1604="!!!"),"",IF(OR(J1604=0,AND(J1604=1,K1604=1),AND(J1604=1,I1604="SBJ"),AND(J1604=1,I1604=0)),"?IN_FOCUS",IF(J1604&lt;=2,"?ACTIVATED",IF(J1604&lt;&gt;"","?FAMILIAR",IF(F1604="NEW",IF(ISNA(VLOOKUP(E1604,#REF!,1,FALSE())),"?TYPE_IDENTIFIABLE","?REFERENTIAL"),"_")))))</f>
        <v> </v>
      </c>
      <c r="H1604" s="25" t="str">
        <f>IF(J1604&lt;&gt;1,"",IF(I1604="SBJ","CB","?"))</f>
        <v> </v>
      </c>
      <c r="I1604" s="26" t="str">
        <f>IF(OR(E1604="",E1604="!!!",F1604="NEW"),"",INDEX(B1603:B$2,-1+SUMPRODUCT(MAX(ROW(E1603:E$2)*(E1604=E1603:E$2)))))</f>
        <v> </v>
      </c>
      <c r="J1604" s="26" t="str">
        <f>IF(OR(E1604="",E1604="!!!",F1604="NEW"),"",COUNTBLANK(OFFSET(A$1,,,SUMPRODUCT(MAX(ROW(E$2:E1604)*(E1604=E$2:E1604)))))-COUNTBLANK(OFFSET(A$1,,,SUMPRODUCT(MAX(ROW(E$1:E1603)*(E2=E$1:E1603))))))</f>
        <v> </v>
      </c>
      <c r="K1604" s="26" t="str">
        <f>IF(OR(E1604="",E1604="!!!",F1604="NEW"),"",INDEX(J$1:J1603,SUMPRODUCT(MAX(ROW(E$1:E1603)*(E1604=E$1:E1603)))))</f>
        <v> </v>
      </c>
      <c r="L1604" s="27"/>
    </row>
    <row r="1605" spans="1:12">
      <c r="A1605" s="20" t="s">
        <v>922</v>
      </c>
      <c r="E1605" s="22">
        <f>IF(D1605="?OLD","!!!","")</f>
        <v/>
      </c>
      <c r="F1605" s="23" t="str">
        <f>IF(OR(E1605="",E1605="!!!"),"",IF(NOT(ISNA(VLOOKUP(E1605,E$1:E1604,1,FALSE()))),"OLD",IF(AND(E1605&lt;&gt;"",E1605&lt;&gt;"!!!"),"NEW","")))</f>
        <v> </v>
      </c>
      <c r="G1605" s="24" t="str">
        <f>IF(OR(E1605="",E1605="!!!"),"",IF(OR(J1605=0,AND(J1605=1,K1605=1),AND(J1605=1,I1605="SBJ"),AND(J1605=1,I1605=0)),"?IN_FOCUS",IF(J1605&lt;=2,"?ACTIVATED",IF(J1605&lt;&gt;"","?FAMILIAR",IF(F1605="NEW",IF(ISNA(VLOOKUP(E1605,#REF!,1,FALSE())),"?TYPE_IDENTIFIABLE","?REFERENTIAL"),"_")))))</f>
        <v> </v>
      </c>
      <c r="H1605" s="25" t="str">
        <f>IF(J1605&lt;&gt;1,"",IF(I1605="SBJ","CB","?"))</f>
        <v> </v>
      </c>
      <c r="I1605" s="26" t="str">
        <f>IF(OR(E1605="",E1605="!!!",F1605="NEW"),"",INDEX(B1604:B$2,-1+SUMPRODUCT(MAX(ROW(E1604:E$2)*(E1605=E1604:E$2)))))</f>
        <v> </v>
      </c>
      <c r="J1605" s="26" t="str">
        <f>IF(OR(E1605="",E1605="!!!",F1605="NEW"),"",COUNTBLANK(OFFSET(A$1,,,SUMPRODUCT(MAX(ROW(E$2:E1605)*(E1605=E$2:E1605)))))-COUNTBLANK(OFFSET(A$1,,,SUMPRODUCT(MAX(ROW(E$1:E1604)*(E2=E$1:E1604))))))</f>
        <v> </v>
      </c>
      <c r="K1605" s="26" t="str">
        <f>IF(OR(E1605="",E1605="!!!",F1605="NEW"),"",INDEX(J$1:J1604,SUMPRODUCT(MAX(ROW(E$1:E1604)*(E1605=E$1:E1604)))))</f>
        <v> </v>
      </c>
      <c r="L1605" s="27"/>
    </row>
    <row r="1606" spans="1:12">
      <c r="A1606" s="20" t="s">
        <v>1418</v>
      </c>
      <c r="B1606" s="21" t="s">
        <v>739</v>
      </c>
      <c r="C1606" s="21" t="s">
        <v>737</v>
      </c>
      <c r="E1606" s="22">
        <f>IF(D1606="?OLD","!!!","")</f>
        <v/>
      </c>
      <c r="F1606" s="23" t="str">
        <f>IF(OR(E1606="",E1606="!!!"),"",IF(NOT(ISNA(VLOOKUP(E1606,E$1:E1605,1,FALSE()))),"OLD",IF(AND(E1606&lt;&gt;"",E1606&lt;&gt;"!!!"),"NEW","")))</f>
        <v> </v>
      </c>
      <c r="G1606" s="24" t="str">
        <f>IF(OR(E1606="",E1606="!!!"),"",IF(OR(J1606=0,AND(J1606=1,K1606=1),AND(J1606=1,I1606="SBJ"),AND(J1606=1,I1606=0)),"?IN_FOCUS",IF(J1606&lt;=2,"?ACTIVATED",IF(J1606&lt;&gt;"","?FAMILIAR",IF(F1606="NEW",IF(ISNA(VLOOKUP(E1606,#REF!,1,FALSE())),"?TYPE_IDENTIFIABLE","?REFERENTIAL"),"_")))))</f>
        <v> </v>
      </c>
      <c r="H1606" s="25" t="str">
        <f>IF(J1606&lt;&gt;1,"",IF(I1606="SBJ","CB","?"))</f>
        <v> </v>
      </c>
      <c r="I1606" s="26" t="str">
        <f>IF(OR(E1606="",E1606="!!!",F1606="NEW"),"",INDEX(B1605:B$2,-1+SUMPRODUCT(MAX(ROW(E1605:E$2)*(E1606=E1605:E$2)))))</f>
        <v> </v>
      </c>
      <c r="J1606" s="26" t="str">
        <f>IF(OR(E1606="",E1606="!!!",F1606="NEW"),"",COUNTBLANK(OFFSET(A$1,,,SUMPRODUCT(MAX(ROW(E$2:E1606)*(E1606=E$2:E1606)))))-COUNTBLANK(OFFSET(A$1,,,SUMPRODUCT(MAX(ROW(E$1:E1605)*(E2=E$1:E1605))))))</f>
        <v> </v>
      </c>
      <c r="K1606" s="26" t="str">
        <f>IF(OR(E1606="",E1606="!!!",F1606="NEW"),"",INDEX(J$1:J1605,SUMPRODUCT(MAX(ROW(E$1:E1605)*(E1606=E$1:E1605)))))</f>
        <v> </v>
      </c>
      <c r="L1606" s="27"/>
    </row>
    <row r="1607" spans="1:12">
      <c r="A1607" s="20" t="s">
        <v>1419</v>
      </c>
      <c r="E1607" s="22">
        <f>IF(D1607="?OLD","!!!","")</f>
        <v/>
      </c>
      <c r="F1607" s="23" t="str">
        <f>IF(OR(E1607="",E1607="!!!"),"",IF(NOT(ISNA(VLOOKUP(E1607,E$1:E1606,1,FALSE()))),"OLD",IF(AND(E1607&lt;&gt;"",E1607&lt;&gt;"!!!"),"NEW","")))</f>
        <v> </v>
      </c>
      <c r="G1607" s="24" t="str">
        <f>IF(OR(E1607="",E1607="!!!"),"",IF(OR(J1607=0,AND(J1607=1,K1607=1),AND(J1607=1,I1607="SBJ"),AND(J1607=1,I1607=0)),"?IN_FOCUS",IF(J1607&lt;=2,"?ACTIVATED",IF(J1607&lt;&gt;"","?FAMILIAR",IF(F1607="NEW",IF(ISNA(VLOOKUP(E1607,#REF!,1,FALSE())),"?TYPE_IDENTIFIABLE","?REFERENTIAL"),"_")))))</f>
        <v> </v>
      </c>
      <c r="H1607" s="25" t="str">
        <f>IF(J1607&lt;&gt;1,"",IF(I1607="SBJ","CB","?"))</f>
        <v> </v>
      </c>
      <c r="I1607" s="26" t="str">
        <f>IF(OR(E1607="",E1607="!!!",F1607="NEW"),"",INDEX(B1606:B$2,-1+SUMPRODUCT(MAX(ROW(E1606:E$2)*(E1607=E1606:E$2)))))</f>
        <v> </v>
      </c>
      <c r="J1607" s="26" t="str">
        <f>IF(OR(E1607="",E1607="!!!",F1607="NEW"),"",COUNTBLANK(OFFSET(A$1,,,SUMPRODUCT(MAX(ROW(E$2:E1607)*(E1607=E$2:E1607)))))-COUNTBLANK(OFFSET(A$1,,,SUMPRODUCT(MAX(ROW(E$1:E1606)*(E2=E$1:E1606))))))</f>
        <v> </v>
      </c>
      <c r="K1607" s="26" t="str">
        <f>IF(OR(E1607="",E1607="!!!",F1607="NEW"),"",INDEX(J$1:J1606,SUMPRODUCT(MAX(ROW(E$1:E1606)*(E1607=E$1:E1606)))))</f>
        <v> </v>
      </c>
      <c r="L1607" s="27"/>
    </row>
    <row r="1608" spans="1:12">
      <c r="A1608" s="20" t="s">
        <v>246</v>
      </c>
      <c r="E1608" s="22">
        <f>IF(D1608="?OLD","!!!","")</f>
        <v/>
      </c>
      <c r="F1608" s="23" t="str">
        <f>IF(OR(E1608="",E1608="!!!"),"",IF(NOT(ISNA(VLOOKUP(E1608,E$1:E1607,1,FALSE()))),"OLD",IF(AND(E1608&lt;&gt;"",E1608&lt;&gt;"!!!"),"NEW","")))</f>
        <v> </v>
      </c>
      <c r="G1608" s="24" t="str">
        <f>IF(OR(E1608="",E1608="!!!"),"",IF(OR(J1608=0,AND(J1608=1,K1608=1),AND(J1608=1,I1608="SBJ"),AND(J1608=1,I1608=0)),"?IN_FOCUS",IF(J1608&lt;=2,"?ACTIVATED",IF(J1608&lt;&gt;"","?FAMILIAR",IF(F1608="NEW",IF(ISNA(VLOOKUP(E1608,#REF!,1,FALSE())),"?TYPE_IDENTIFIABLE","?REFERENTIAL"),"_")))))</f>
        <v> </v>
      </c>
      <c r="H1608" s="25" t="str">
        <f>IF(J1608&lt;&gt;1,"",IF(I1608="SBJ","CB","?"))</f>
        <v> </v>
      </c>
      <c r="I1608" s="26" t="str">
        <f>IF(OR(E1608="",E1608="!!!",F1608="NEW"),"",INDEX(B1607:B$2,-1+SUMPRODUCT(MAX(ROW(E1607:E$2)*(E1608=E1607:E$2)))))</f>
        <v> </v>
      </c>
      <c r="J1608" s="26" t="str">
        <f>IF(OR(E1608="",E1608="!!!",F1608="NEW"),"",COUNTBLANK(OFFSET(A$1,,,SUMPRODUCT(MAX(ROW(E$2:E1608)*(E1608=E$2:E1608)))))-COUNTBLANK(OFFSET(A$1,,,SUMPRODUCT(MAX(ROW(E$1:E1607)*(E2=E$1:E1607))))))</f>
        <v> </v>
      </c>
      <c r="K1608" s="26" t="str">
        <f>IF(OR(E1608="",E1608="!!!",F1608="NEW"),"",INDEX(J$1:J1607,SUMPRODUCT(MAX(ROW(E$1:E1607)*(E1608=E$1:E1607)))))</f>
        <v> </v>
      </c>
      <c r="L1608" s="27"/>
    </row>
    <row r="1609" spans="1:12">
      <c r="A1609" s="20"/>
    </row>
    <row r="1610" spans="1:12">
      <c r="A1610" s="20" t="s">
        <v>1420</v>
      </c>
    </row>
    <row r="1611" spans="1:12">
      <c r="A1611" s="20" t="s">
        <v>883</v>
      </c>
      <c r="B1611" s="21" t="s">
        <v>728</v>
      </c>
      <c r="C1611" s="21" t="s">
        <v>789</v>
      </c>
      <c r="D1611" s="21" t="s">
        <v>730</v>
      </c>
      <c r="E1611" s="22">
        <f>IF(D1611="?OLD","!!!","")</f>
        <v/>
      </c>
      <c r="F1611" s="23" t="str">
        <f>IF(OR(E1611="",E1611="!!!"),"",IF(NOT(ISNA(VLOOKUP(E1611,E$1:E1610,1,FALSE()))),"OLD",IF(AND(E1611&lt;&gt;"",E1611&lt;&gt;"!!!"),"NEW","")))</f>
        <v> </v>
      </c>
      <c r="G1611" s="24" t="str">
        <f>IF(OR(E1611="",E1611="!!!"),"",IF(OR(J1611=0,AND(J1611=1,K1611=1),AND(J1611=1,I1611="SBJ"),AND(J1611=1,I1611=0)),"?IN_FOCUS",IF(J1611&lt;=2,"?ACTIVATED",IF(J1611&lt;&gt;"","?FAMILIAR",IF(F1611="NEW",IF(ISNA(VLOOKUP(E1611,#REF!,1,FALSE())),"?TYPE_IDENTIFIABLE","?REFERENTIAL"),"_")))))</f>
        <v> </v>
      </c>
      <c r="H1611" s="25" t="str">
        <f>IF(J1611&lt;&gt;1,"",IF(I1611="SBJ","CB","?"))</f>
        <v> </v>
      </c>
      <c r="I1611" s="26" t="str">
        <f>IF(OR(E1611="",E1611="!!!",F1611="NEW"),"",INDEX(B1610:B$2,-1+SUMPRODUCT(MAX(ROW(E1610:E$2)*(E1611=E1610:E$2)))))</f>
        <v> </v>
      </c>
      <c r="J1611" s="26" t="str">
        <f>IF(OR(E1611="",E1611="!!!",F1611="NEW"),"",COUNTBLANK(OFFSET(A$1,,,SUMPRODUCT(MAX(ROW(E$2:E1611)*(E1611=E$2:E1611)))))-COUNTBLANK(OFFSET(A$1,,,SUMPRODUCT(MAX(ROW(E$1:E1610)*(E2=E$1:E1610))))))</f>
        <v> </v>
      </c>
      <c r="K1611" s="26" t="str">
        <f>IF(OR(E1611="",E1611="!!!",F1611="NEW"),"",INDEX(J$1:J1610,SUMPRODUCT(MAX(ROW(E$1:E1610)*(E1611=E$1:E1610)))))</f>
        <v> </v>
      </c>
      <c r="L1611" s="27"/>
    </row>
    <row r="1612" spans="1:12">
      <c r="A1612" s="20" t="s">
        <v>811</v>
      </c>
      <c r="E1612" s="22">
        <f>IF(D1612="?OLD","!!!","")</f>
        <v/>
      </c>
      <c r="F1612" s="23" t="str">
        <f>IF(OR(E1612="",E1612="!!!"),"",IF(NOT(ISNA(VLOOKUP(E1612,E$1:E1611,1,FALSE()))),"OLD",IF(AND(E1612&lt;&gt;"",E1612&lt;&gt;"!!!"),"NEW","")))</f>
        <v> </v>
      </c>
      <c r="G1612" s="24" t="str">
        <f>IF(OR(E1612="",E1612="!!!"),"",IF(OR(J1612=0,AND(J1612=1,K1612=1),AND(J1612=1,I1612="SBJ"),AND(J1612=1,I1612=0)),"?IN_FOCUS",IF(J1612&lt;=2,"?ACTIVATED",IF(J1612&lt;&gt;"","?FAMILIAR",IF(F1612="NEW",IF(ISNA(VLOOKUP(E1612,#REF!,1,FALSE())),"?TYPE_IDENTIFIABLE","?REFERENTIAL"),"_")))))</f>
        <v> </v>
      </c>
      <c r="H1612" s="25" t="str">
        <f>IF(J1612&lt;&gt;1,"",IF(I1612="SBJ","CB","?"))</f>
        <v> </v>
      </c>
      <c r="I1612" s="26" t="str">
        <f>IF(OR(E1612="",E1612="!!!",F1612="NEW"),"",INDEX(B1611:B$2,-1+SUMPRODUCT(MAX(ROW(E1611:E$2)*(E1612=E1611:E$2)))))</f>
        <v> </v>
      </c>
      <c r="J1612" s="26" t="str">
        <f>IF(OR(E1612="",E1612="!!!",F1612="NEW"),"",COUNTBLANK(OFFSET(A$1,,,SUMPRODUCT(MAX(ROW(E$2:E1612)*(E1612=E$2:E1612)))))-COUNTBLANK(OFFSET(A$1,,,SUMPRODUCT(MAX(ROW(E$1:E1611)*(E2=E$1:E1611))))))</f>
        <v> </v>
      </c>
      <c r="K1612" s="26" t="str">
        <f>IF(OR(E1612="",E1612="!!!",F1612="NEW"),"",INDEX(J$1:J1611,SUMPRODUCT(MAX(ROW(E$1:E1611)*(E1612=E$1:E1611)))))</f>
        <v> </v>
      </c>
      <c r="L1612" s="27"/>
    </row>
    <row r="1613" spans="1:12">
      <c r="A1613" s="20" t="s">
        <v>1187</v>
      </c>
      <c r="B1613" s="21" t="s">
        <v>736</v>
      </c>
      <c r="C1613" s="21" t="s">
        <v>789</v>
      </c>
      <c r="D1613" s="21" t="s">
        <v>730</v>
      </c>
      <c r="E1613" s="22">
        <f>IF(D1613="?OLD","!!!","")</f>
        <v/>
      </c>
      <c r="F1613" s="23" t="str">
        <f>IF(OR(E1613="",E1613="!!!"),"",IF(NOT(ISNA(VLOOKUP(E1613,E$1:E1612,1,FALSE()))),"OLD",IF(AND(E1613&lt;&gt;"",E1613&lt;&gt;"!!!"),"NEW","")))</f>
        <v> </v>
      </c>
      <c r="G1613" s="24" t="str">
        <f>IF(OR(E1613="",E1613="!!!"),"",IF(OR(J1613=0,AND(J1613=1,K1613=1),AND(J1613=1,I1613="SBJ"),AND(J1613=1,I1613=0)),"?IN_FOCUS",IF(J1613&lt;=2,"?ACTIVATED",IF(J1613&lt;&gt;"","?FAMILIAR",IF(F1613="NEW",IF(ISNA(VLOOKUP(E1613,#REF!,1,FALSE())),"?TYPE_IDENTIFIABLE","?REFERENTIAL"),"_")))))</f>
        <v> </v>
      </c>
      <c r="H1613" s="25" t="str">
        <f>IF(J1613&lt;&gt;1,"",IF(I1613="SBJ","CB","?"))</f>
        <v> </v>
      </c>
      <c r="I1613" s="26" t="str">
        <f>IF(OR(E1613="",E1613="!!!",F1613="NEW"),"",INDEX(B1612:B$2,-1+SUMPRODUCT(MAX(ROW(E1612:E$2)*(E1613=E1612:E$2)))))</f>
        <v> </v>
      </c>
      <c r="J1613" s="26" t="str">
        <f>IF(OR(E1613="",E1613="!!!",F1613="NEW"),"",COUNTBLANK(OFFSET(A$1,,,SUMPRODUCT(MAX(ROW(E$2:E1613)*(E1613=E$2:E1613)))))-COUNTBLANK(OFFSET(A$1,,,SUMPRODUCT(MAX(ROW(E$1:E1612)*(E2=E$1:E1612))))))</f>
        <v> </v>
      </c>
      <c r="K1613" s="26" t="str">
        <f>IF(OR(E1613="",E1613="!!!",F1613="NEW"),"",INDEX(J$1:J1612,SUMPRODUCT(MAX(ROW(E$1:E1612)*(E1613=E$1:E1612)))))</f>
        <v> </v>
      </c>
      <c r="L1613" s="27"/>
    </row>
    <row r="1614" spans="1:12">
      <c r="A1614" s="20" t="s">
        <v>1168</v>
      </c>
      <c r="B1614" s="21" t="s">
        <v>736</v>
      </c>
      <c r="C1614" s="21" t="s">
        <v>967</v>
      </c>
      <c r="E1614" s="22">
        <f>IF(D1614="?OLD","!!!","")</f>
        <v/>
      </c>
      <c r="F1614" s="23" t="str">
        <f>IF(OR(E1614="",E1614="!!!"),"",IF(NOT(ISNA(VLOOKUP(E1614,E$1:E1613,1,FALSE()))),"OLD",IF(AND(E1614&lt;&gt;"",E1614&lt;&gt;"!!!"),"NEW","")))</f>
        <v> </v>
      </c>
      <c r="G1614" s="24" t="str">
        <f>IF(OR(E1614="",E1614="!!!"),"",IF(OR(J1614=0,AND(J1614=1,K1614=1),AND(J1614=1,I1614="SBJ"),AND(J1614=1,I1614=0)),"?IN_FOCUS",IF(J1614&lt;=2,"?ACTIVATED",IF(J1614&lt;&gt;"","?FAMILIAR",IF(F1614="NEW",IF(ISNA(VLOOKUP(E1614,#REF!,1,FALSE())),"?TYPE_IDENTIFIABLE","?REFERENTIAL"),"_")))))</f>
        <v> </v>
      </c>
      <c r="H1614" s="25" t="str">
        <f>IF(J1614&lt;&gt;1,"",IF(I1614="SBJ","CB","?"))</f>
        <v> </v>
      </c>
      <c r="I1614" s="26" t="str">
        <f>IF(OR(E1614="",E1614="!!!",F1614="NEW"),"",INDEX(B1613:B$2,-1+SUMPRODUCT(MAX(ROW(E1613:E$2)*(E1614=E1613:E$2)))))</f>
        <v> </v>
      </c>
      <c r="J1614" s="26" t="str">
        <f>IF(OR(E1614="",E1614="!!!",F1614="NEW"),"",COUNTBLANK(OFFSET(A$1,,,SUMPRODUCT(MAX(ROW(E$2:E1614)*(E1614=E$2:E1614)))))-COUNTBLANK(OFFSET(A$1,,,SUMPRODUCT(MAX(ROW(E$1:E1613)*(E2=E$1:E1613))))))</f>
        <v> </v>
      </c>
      <c r="K1614" s="26" t="str">
        <f>IF(OR(E1614="",E1614="!!!",F1614="NEW"),"",INDEX(J$1:J1613,SUMPRODUCT(MAX(ROW(E$1:E1613)*(E1614=E$1:E1613)))))</f>
        <v> </v>
      </c>
      <c r="L1614" s="27"/>
    </row>
    <row r="1615" spans="1:12">
      <c r="A1615" s="20" t="s">
        <v>759</v>
      </c>
      <c r="E1615" s="22">
        <f>IF(D1615="?OLD","!!!","")</f>
        <v/>
      </c>
      <c r="F1615" s="23" t="str">
        <f>IF(OR(E1615="",E1615="!!!"),"",IF(NOT(ISNA(VLOOKUP(E1615,E$1:E1614,1,FALSE()))),"OLD",IF(AND(E1615&lt;&gt;"",E1615&lt;&gt;"!!!"),"NEW","")))</f>
        <v> </v>
      </c>
      <c r="G1615" s="24" t="str">
        <f>IF(OR(E1615="",E1615="!!!"),"",IF(OR(J1615=0,AND(J1615=1,K1615=1),AND(J1615=1,I1615="SBJ"),AND(J1615=1,I1615=0)),"?IN_FOCUS",IF(J1615&lt;=2,"?ACTIVATED",IF(J1615&lt;&gt;"","?FAMILIAR",IF(F1615="NEW",IF(ISNA(VLOOKUP(E1615,#REF!,1,FALSE())),"?TYPE_IDENTIFIABLE","?REFERENTIAL"),"_")))))</f>
        <v> </v>
      </c>
      <c r="H1615" s="25" t="str">
        <f>IF(J1615&lt;&gt;1,"",IF(I1615="SBJ","CB","?"))</f>
        <v> </v>
      </c>
      <c r="I1615" s="26" t="str">
        <f>IF(OR(E1615="",E1615="!!!",F1615="NEW"),"",INDEX(B1614:B$2,-1+SUMPRODUCT(MAX(ROW(E1614:E$2)*(E1615=E1614:E$2)))))</f>
        <v> </v>
      </c>
      <c r="J1615" s="26" t="str">
        <f>IF(OR(E1615="",E1615="!!!",F1615="NEW"),"",COUNTBLANK(OFFSET(A$1,,,SUMPRODUCT(MAX(ROW(E$2:E1615)*(E1615=E$2:E1615)))))-COUNTBLANK(OFFSET(A$1,,,SUMPRODUCT(MAX(ROW(E$1:E1614)*(E2=E$1:E1614))))))</f>
        <v> </v>
      </c>
      <c r="K1615" s="26" t="str">
        <f>IF(OR(E1615="",E1615="!!!",F1615="NEW"),"",INDEX(J$1:J1614,SUMPRODUCT(MAX(ROW(E$1:E1614)*(E1615=E$1:E1614)))))</f>
        <v> </v>
      </c>
      <c r="L1615" s="27"/>
    </row>
    <row r="1616" spans="1:12">
      <c r="A1616" s="20" t="s">
        <v>1187</v>
      </c>
      <c r="B1616" s="21" t="s">
        <v>739</v>
      </c>
      <c r="C1616" s="21" t="s">
        <v>789</v>
      </c>
      <c r="D1616" s="21" t="s">
        <v>730</v>
      </c>
      <c r="E1616" s="22">
        <f>IF(D1616="?OLD","!!!","")</f>
        <v/>
      </c>
      <c r="F1616" s="23" t="str">
        <f>IF(OR(E1616="",E1616="!!!"),"",IF(NOT(ISNA(VLOOKUP(E1616,E$1:E1615,1,FALSE()))),"OLD",IF(AND(E1616&lt;&gt;"",E1616&lt;&gt;"!!!"),"NEW","")))</f>
        <v> </v>
      </c>
      <c r="G1616" s="24" t="str">
        <f>IF(OR(E1616="",E1616="!!!"),"",IF(OR(J1616=0,AND(J1616=1,K1616=1),AND(J1616=1,I1616="SBJ"),AND(J1616=1,I1616=0)),"?IN_FOCUS",IF(J1616&lt;=2,"?ACTIVATED",IF(J1616&lt;&gt;"","?FAMILIAR",IF(F1616="NEW",IF(ISNA(VLOOKUP(E1616,#REF!,1,FALSE())),"?TYPE_IDENTIFIABLE","?REFERENTIAL"),"_")))))</f>
        <v> </v>
      </c>
      <c r="H1616" s="25" t="str">
        <f>IF(J1616&lt;&gt;1,"",IF(I1616="SBJ","CB","?"))</f>
        <v> </v>
      </c>
      <c r="I1616" s="26" t="str">
        <f>IF(OR(E1616="",E1616="!!!",F1616="NEW"),"",INDEX(B1615:B$2,-1+SUMPRODUCT(MAX(ROW(E1615:E$2)*(E1616=E1615:E$2)))))</f>
        <v> </v>
      </c>
      <c r="J1616" s="26" t="str">
        <f>IF(OR(E1616="",E1616="!!!",F1616="NEW"),"",COUNTBLANK(OFFSET(A$1,,,SUMPRODUCT(MAX(ROW(E$2:E1616)*(E1616=E$2:E1616)))))-COUNTBLANK(OFFSET(A$1,,,SUMPRODUCT(MAX(ROW(E$1:E1615)*(E2=E$1:E1615))))))</f>
        <v> </v>
      </c>
      <c r="K1616" s="26" t="str">
        <f>IF(OR(E1616="",E1616="!!!",F1616="NEW"),"",INDEX(J$1:J1615,SUMPRODUCT(MAX(ROW(E$1:E1615)*(E1616=E$1:E1615)))))</f>
        <v> </v>
      </c>
      <c r="L1616" s="27"/>
    </row>
    <row r="1617" spans="1:12">
      <c r="A1617" s="20" t="s">
        <v>1421</v>
      </c>
      <c r="B1617" s="21" t="s">
        <v>736</v>
      </c>
      <c r="C1617" s="21" t="s">
        <v>740</v>
      </c>
      <c r="D1617" s="21" t="s">
        <v>730</v>
      </c>
      <c r="E1617" s="22">
        <f>IF(D1617="?OLD","!!!","")</f>
        <v/>
      </c>
      <c r="F1617" s="23" t="str">
        <f>IF(OR(E1617="",E1617="!!!"),"",IF(NOT(ISNA(VLOOKUP(E1617,E$1:E1616,1,FALSE()))),"OLD",IF(AND(E1617&lt;&gt;"",E1617&lt;&gt;"!!!"),"NEW","")))</f>
        <v> </v>
      </c>
      <c r="G1617" s="24" t="str">
        <f>IF(OR(E1617="",E1617="!!!"),"",IF(OR(J1617=0,AND(J1617=1,K1617=1),AND(J1617=1,I1617="SBJ"),AND(J1617=1,I1617=0)),"?IN_FOCUS",IF(J1617&lt;=2,"?ACTIVATED",IF(J1617&lt;&gt;"","?FAMILIAR",IF(F1617="NEW",IF(ISNA(VLOOKUP(E1617,#REF!,1,FALSE())),"?TYPE_IDENTIFIABLE","?REFERENTIAL"),"_")))))</f>
        <v> </v>
      </c>
      <c r="H1617" s="25" t="str">
        <f>IF(J1617&lt;&gt;1,"",IF(I1617="SBJ","CB","?"))</f>
        <v> </v>
      </c>
      <c r="I1617" s="26" t="str">
        <f>IF(OR(E1617="",E1617="!!!",F1617="NEW"),"",INDEX(B1616:B$2,-1+SUMPRODUCT(MAX(ROW(E1616:E$2)*(E1617=E1616:E$2)))))</f>
        <v> </v>
      </c>
      <c r="J1617" s="26" t="str">
        <f>IF(OR(E1617="",E1617="!!!",F1617="NEW"),"",COUNTBLANK(OFFSET(A$1,,,SUMPRODUCT(MAX(ROW(E$2:E1617)*(E1617=E$2:E1617)))))-COUNTBLANK(OFFSET(A$1,,,SUMPRODUCT(MAX(ROW(E$1:E1616)*(E2=E$1:E1616))))))</f>
        <v> </v>
      </c>
      <c r="K1617" s="26" t="str">
        <f>IF(OR(E1617="",E1617="!!!",F1617="NEW"),"",INDEX(J$1:J1616,SUMPRODUCT(MAX(ROW(E$1:E1616)*(E1617=E$1:E1616)))))</f>
        <v> </v>
      </c>
      <c r="L1617" s="27"/>
    </row>
    <row r="1618" spans="1:12">
      <c r="A1618" s="20" t="s">
        <v>759</v>
      </c>
      <c r="E1618" s="22">
        <f>IF(D1618="?OLD","!!!","")</f>
        <v/>
      </c>
      <c r="F1618" s="23" t="str">
        <f>IF(OR(E1618="",E1618="!!!"),"",IF(NOT(ISNA(VLOOKUP(E1618,E$1:E1617,1,FALSE()))),"OLD",IF(AND(E1618&lt;&gt;"",E1618&lt;&gt;"!!!"),"NEW","")))</f>
        <v> </v>
      </c>
      <c r="G1618" s="24" t="str">
        <f>IF(OR(E1618="",E1618="!!!"),"",IF(OR(J1618=0,AND(J1618=1,K1618=1),AND(J1618=1,I1618="SBJ"),AND(J1618=1,I1618=0)),"?IN_FOCUS",IF(J1618&lt;=2,"?ACTIVATED",IF(J1618&lt;&gt;"","?FAMILIAR",IF(F1618="NEW",IF(ISNA(VLOOKUP(E1618,#REF!,1,FALSE())),"?TYPE_IDENTIFIABLE","?REFERENTIAL"),"_")))))</f>
        <v> </v>
      </c>
      <c r="H1618" s="25" t="str">
        <f>IF(J1618&lt;&gt;1,"",IF(I1618="SBJ","CB","?"))</f>
        <v> </v>
      </c>
      <c r="I1618" s="26" t="str">
        <f>IF(OR(E1618="",E1618="!!!",F1618="NEW"),"",INDEX(B1617:B$2,-1+SUMPRODUCT(MAX(ROW(E1617:E$2)*(E1618=E1617:E$2)))))</f>
        <v> </v>
      </c>
      <c r="J1618" s="26" t="str">
        <f>IF(OR(E1618="",E1618="!!!",F1618="NEW"),"",COUNTBLANK(OFFSET(A$1,,,SUMPRODUCT(MAX(ROW(E$2:E1618)*(E1618=E$2:E1618)))))-COUNTBLANK(OFFSET(A$1,,,SUMPRODUCT(MAX(ROW(E$1:E1617)*(E2=E$1:E1617))))))</f>
        <v> </v>
      </c>
      <c r="K1618" s="26" t="str">
        <f>IF(OR(E1618="",E1618="!!!",F1618="NEW"),"",INDEX(J$1:J1617,SUMPRODUCT(MAX(ROW(E$1:E1617)*(E1618=E$1:E1617)))))</f>
        <v> </v>
      </c>
      <c r="L1618" s="27"/>
    </row>
    <row r="1619" spans="1:12">
      <c r="A1619" s="20" t="s">
        <v>776</v>
      </c>
      <c r="B1619" s="21" t="s">
        <v>796</v>
      </c>
      <c r="E1619" s="22">
        <f>IF(D1619="?OLD","!!!","")</f>
        <v/>
      </c>
      <c r="F1619" s="23" t="str">
        <f>IF(OR(E1619="",E1619="!!!"),"",IF(NOT(ISNA(VLOOKUP(E1619,E$1:E1618,1,FALSE()))),"OLD",IF(AND(E1619&lt;&gt;"",E1619&lt;&gt;"!!!"),"NEW","")))</f>
        <v> </v>
      </c>
      <c r="G1619" s="24" t="str">
        <f>IF(OR(E1619="",E1619="!!!"),"",IF(OR(J1619=0,AND(J1619=1,K1619=1),AND(J1619=1,I1619="SBJ"),AND(J1619=1,I1619=0)),"?IN_FOCUS",IF(J1619&lt;=2,"?ACTIVATED",IF(J1619&lt;&gt;"","?FAMILIAR",IF(F1619="NEW",IF(ISNA(VLOOKUP(E1619,#REF!,1,FALSE())),"?TYPE_IDENTIFIABLE","?REFERENTIAL"),"_")))))</f>
        <v> </v>
      </c>
      <c r="H1619" s="25" t="str">
        <f>IF(J1619&lt;&gt;1,"",IF(I1619="SBJ","CB","?"))</f>
        <v> </v>
      </c>
      <c r="I1619" s="26" t="str">
        <f>IF(OR(E1619="",E1619="!!!",F1619="NEW"),"",INDEX(B1618:B$2,-1+SUMPRODUCT(MAX(ROW(E1618:E$2)*(E1619=E1618:E$2)))))</f>
        <v> </v>
      </c>
      <c r="J1619" s="26" t="str">
        <f>IF(OR(E1619="",E1619="!!!",F1619="NEW"),"",COUNTBLANK(OFFSET(A$1,,,SUMPRODUCT(MAX(ROW(E$2:E1619)*(E1619=E$2:E1619)))))-COUNTBLANK(OFFSET(A$1,,,SUMPRODUCT(MAX(ROW(E$1:E1618)*(E2=E$1:E1618))))))</f>
        <v> </v>
      </c>
      <c r="K1619" s="26" t="str">
        <f>IF(OR(E1619="",E1619="!!!",F1619="NEW"),"",INDEX(J$1:J1618,SUMPRODUCT(MAX(ROW(E$1:E1618)*(E1619=E$1:E1618)))))</f>
        <v> </v>
      </c>
      <c r="L1619" s="27"/>
    </row>
    <row r="1620" spans="1:12">
      <c r="A1620" s="20" t="s">
        <v>811</v>
      </c>
      <c r="E1620" s="22">
        <f>IF(D1620="?OLD","!!!","")</f>
        <v/>
      </c>
      <c r="F1620" s="23" t="str">
        <f>IF(OR(E1620="",E1620="!!!"),"",IF(NOT(ISNA(VLOOKUP(E1620,E$1:E1619,1,FALSE()))),"OLD",IF(AND(E1620&lt;&gt;"",E1620&lt;&gt;"!!!"),"NEW","")))</f>
        <v> </v>
      </c>
      <c r="G1620" s="24" t="str">
        <f>IF(OR(E1620="",E1620="!!!"),"",IF(OR(J1620=0,AND(J1620=1,K1620=1),AND(J1620=1,I1620="SBJ"),AND(J1620=1,I1620=0)),"?IN_FOCUS",IF(J1620&lt;=2,"?ACTIVATED",IF(J1620&lt;&gt;"","?FAMILIAR",IF(F1620="NEW",IF(ISNA(VLOOKUP(E1620,#REF!,1,FALSE())),"?TYPE_IDENTIFIABLE","?REFERENTIAL"),"_")))))</f>
        <v> </v>
      </c>
      <c r="H1620" s="25" t="str">
        <f>IF(J1620&lt;&gt;1,"",IF(I1620="SBJ","CB","?"))</f>
        <v> </v>
      </c>
      <c r="I1620" s="26" t="str">
        <f>IF(OR(E1620="",E1620="!!!",F1620="NEW"),"",INDEX(B1619:B$2,-1+SUMPRODUCT(MAX(ROW(E1619:E$2)*(E1620=E1619:E$2)))))</f>
        <v> </v>
      </c>
      <c r="J1620" s="26" t="str">
        <f>IF(OR(E1620="",E1620="!!!",F1620="NEW"),"",COUNTBLANK(OFFSET(A$1,,,SUMPRODUCT(MAX(ROW(E$2:E1620)*(E1620=E$2:E1620)))))-COUNTBLANK(OFFSET(A$1,,,SUMPRODUCT(MAX(ROW(E$1:E1619)*(E2=E$1:E1619))))))</f>
        <v> </v>
      </c>
      <c r="K1620" s="26" t="str">
        <f>IF(OR(E1620="",E1620="!!!",F1620="NEW"),"",INDEX(J$1:J1619,SUMPRODUCT(MAX(ROW(E$1:E1619)*(E1620=E$1:E1619)))))</f>
        <v> </v>
      </c>
      <c r="L1620" s="27"/>
    </row>
    <row r="1621" spans="1:12">
      <c r="A1621" s="20" t="s">
        <v>1422</v>
      </c>
      <c r="E1621" s="22">
        <f>IF(D1621="?OLD","!!!","")</f>
        <v/>
      </c>
      <c r="F1621" s="23" t="str">
        <f>IF(OR(E1621="",E1621="!!!"),"",IF(NOT(ISNA(VLOOKUP(E1621,E$1:E1620,1,FALSE()))),"OLD",IF(AND(E1621&lt;&gt;"",E1621&lt;&gt;"!!!"),"NEW","")))</f>
        <v> </v>
      </c>
      <c r="G1621" s="24" t="str">
        <f>IF(OR(E1621="",E1621="!!!"),"",IF(OR(J1621=0,AND(J1621=1,K1621=1),AND(J1621=1,I1621="SBJ"),AND(J1621=1,I1621=0)),"?IN_FOCUS",IF(J1621&lt;=2,"?ACTIVATED",IF(J1621&lt;&gt;"","?FAMILIAR",IF(F1621="NEW",IF(ISNA(VLOOKUP(E1621,#REF!,1,FALSE())),"?TYPE_IDENTIFIABLE","?REFERENTIAL"),"_")))))</f>
        <v> </v>
      </c>
      <c r="H1621" s="25" t="str">
        <f>IF(J1621&lt;&gt;1,"",IF(I1621="SBJ","CB","?"))</f>
        <v> </v>
      </c>
      <c r="I1621" s="26" t="str">
        <f>IF(OR(E1621="",E1621="!!!",F1621="NEW"),"",INDEX(B1620:B$2,-1+SUMPRODUCT(MAX(ROW(E1620:E$2)*(E1621=E1620:E$2)))))</f>
        <v> </v>
      </c>
      <c r="J1621" s="26" t="str">
        <f>IF(OR(E1621="",E1621="!!!",F1621="NEW"),"",COUNTBLANK(OFFSET(A$1,,,SUMPRODUCT(MAX(ROW(E$2:E1621)*(E1621=E$2:E1621)))))-COUNTBLANK(OFFSET(A$1,,,SUMPRODUCT(MAX(ROW(E$1:E1620)*(E2=E$1:E1620))))))</f>
        <v> </v>
      </c>
      <c r="K1621" s="26" t="str">
        <f>IF(OR(E1621="",E1621="!!!",F1621="NEW"),"",INDEX(J$1:J1620,SUMPRODUCT(MAX(ROW(E$1:E1620)*(E1621=E$1:E1620)))))</f>
        <v> </v>
      </c>
      <c r="L1621" s="27"/>
    </row>
    <row r="1622" spans="1:12">
      <c r="A1622" s="20" t="s">
        <v>246</v>
      </c>
      <c r="E1622" s="22">
        <f>IF(D1622="?OLD","!!!","")</f>
        <v/>
      </c>
      <c r="F1622" s="23" t="str">
        <f>IF(OR(E1622="",E1622="!!!"),"",IF(NOT(ISNA(VLOOKUP(E1622,E$1:E1621,1,FALSE()))),"OLD",IF(AND(E1622&lt;&gt;"",E1622&lt;&gt;"!!!"),"NEW","")))</f>
        <v> </v>
      </c>
      <c r="G1622" s="24" t="str">
        <f>IF(OR(E1622="",E1622="!!!"),"",IF(OR(J1622=0,AND(J1622=1,K1622=1),AND(J1622=1,I1622="SBJ"),AND(J1622=1,I1622=0)),"?IN_FOCUS",IF(J1622&lt;=2,"?ACTIVATED",IF(J1622&lt;&gt;"","?FAMILIAR",IF(F1622="NEW",IF(ISNA(VLOOKUP(E1622,#REF!,1,FALSE())),"?TYPE_IDENTIFIABLE","?REFERENTIAL"),"_")))))</f>
        <v> </v>
      </c>
      <c r="H1622" s="25" t="str">
        <f>IF(J1622&lt;&gt;1,"",IF(I1622="SBJ","CB","?"))</f>
        <v> </v>
      </c>
      <c r="I1622" s="26" t="str">
        <f>IF(OR(E1622="",E1622="!!!",F1622="NEW"),"",INDEX(B1621:B$2,-1+SUMPRODUCT(MAX(ROW(E1621:E$2)*(E1622=E1621:E$2)))))</f>
        <v> </v>
      </c>
      <c r="J1622" s="26" t="str">
        <f>IF(OR(E1622="",E1622="!!!",F1622="NEW"),"",COUNTBLANK(OFFSET(A$1,,,SUMPRODUCT(MAX(ROW(E$2:E1622)*(E1622=E$2:E1622)))))-COUNTBLANK(OFFSET(A$1,,,SUMPRODUCT(MAX(ROW(E$1:E1621)*(E2=E$1:E1621))))))</f>
        <v> </v>
      </c>
      <c r="K1622" s="26" t="str">
        <f>IF(OR(E1622="",E1622="!!!",F1622="NEW"),"",INDEX(J$1:J1621,SUMPRODUCT(MAX(ROW(E$1:E1621)*(E1622=E$1:E1621)))))</f>
        <v> </v>
      </c>
      <c r="L1622" s="27"/>
    </row>
    <row r="1623" spans="1:12">
      <c r="A1623" s="20"/>
    </row>
    <row r="1624" spans="1:12">
      <c r="A1624" s="20" t="s">
        <v>1423</v>
      </c>
    </row>
    <row r="1625" spans="1:12">
      <c r="A1625" s="20" t="s">
        <v>1005</v>
      </c>
      <c r="E1625" s="22">
        <f>IF(D1625="?OLD","!!!","")</f>
        <v/>
      </c>
      <c r="F1625" s="23" t="str">
        <f>IF(OR(E1625="",E1625="!!!"),"",IF(NOT(ISNA(VLOOKUP(E1625,E$1:E1624,1,FALSE()))),"OLD",IF(AND(E1625&lt;&gt;"",E1625&lt;&gt;"!!!"),"NEW","")))</f>
        <v> </v>
      </c>
      <c r="G1625" s="24" t="str">
        <f>IF(OR(E1625="",E1625="!!!"),"",IF(OR(J1625=0,AND(J1625=1,K1625=1),AND(J1625=1,I1625="SBJ"),AND(J1625=1,I1625=0)),"?IN_FOCUS",IF(J1625&lt;=2,"?ACTIVATED",IF(J1625&lt;&gt;"","?FAMILIAR",IF(F1625="NEW",IF(ISNA(VLOOKUP(E1625,#REF!,1,FALSE())),"?TYPE_IDENTIFIABLE","?REFERENTIAL"),"_")))))</f>
        <v> </v>
      </c>
      <c r="H1625" s="25" t="str">
        <f>IF(J1625&lt;&gt;1,"",IF(I1625="SBJ","CB","?"))</f>
        <v> </v>
      </c>
      <c r="I1625" s="26" t="str">
        <f>IF(OR(E1625="",E1625="!!!",F1625="NEW"),"",INDEX(B1624:B$2,-1+SUMPRODUCT(MAX(ROW(E1624:E$2)*(E1625=E1624:E$2)))))</f>
        <v> </v>
      </c>
      <c r="J1625" s="26" t="str">
        <f>IF(OR(E1625="",E1625="!!!",F1625="NEW"),"",COUNTBLANK(OFFSET(A$1,,,SUMPRODUCT(MAX(ROW(E$2:E1625)*(E1625=E$2:E1625)))))-COUNTBLANK(OFFSET(A$1,,,SUMPRODUCT(MAX(ROW(E$1:E1624)*(E2=E$1:E1624))))))</f>
        <v> </v>
      </c>
      <c r="K1625" s="26" t="str">
        <f>IF(OR(E1625="",E1625="!!!",F1625="NEW"),"",INDEX(J$1:J1624,SUMPRODUCT(MAX(ROW(E$1:E1624)*(E1625=E$1:E1624)))))</f>
        <v> </v>
      </c>
      <c r="L1625" s="27"/>
    </row>
    <row r="1626" spans="1:12">
      <c r="A1626" s="20" t="s">
        <v>759</v>
      </c>
      <c r="E1626" s="22">
        <f>IF(D1626="?OLD","!!!","")</f>
        <v/>
      </c>
      <c r="F1626" s="23" t="str">
        <f>IF(OR(E1626="",E1626="!!!"),"",IF(NOT(ISNA(VLOOKUP(E1626,E$1:E1625,1,FALSE()))),"OLD",IF(AND(E1626&lt;&gt;"",E1626&lt;&gt;"!!!"),"NEW","")))</f>
        <v> </v>
      </c>
      <c r="G1626" s="24" t="str">
        <f>IF(OR(E1626="",E1626="!!!"),"",IF(OR(J1626=0,AND(J1626=1,K1626=1),AND(J1626=1,I1626="SBJ"),AND(J1626=1,I1626=0)),"?IN_FOCUS",IF(J1626&lt;=2,"?ACTIVATED",IF(J1626&lt;&gt;"","?FAMILIAR",IF(F1626="NEW",IF(ISNA(VLOOKUP(E1626,#REF!,1,FALSE())),"?TYPE_IDENTIFIABLE","?REFERENTIAL"),"_")))))</f>
        <v> </v>
      </c>
      <c r="H1626" s="25" t="str">
        <f>IF(J1626&lt;&gt;1,"",IF(I1626="SBJ","CB","?"))</f>
        <v> </v>
      </c>
      <c r="I1626" s="26" t="str">
        <f>IF(OR(E1626="",E1626="!!!",F1626="NEW"),"",INDEX(B1625:B$2,-1+SUMPRODUCT(MAX(ROW(E1625:E$2)*(E1626=E1625:E$2)))))</f>
        <v> </v>
      </c>
      <c r="J1626" s="26" t="str">
        <f>IF(OR(E1626="",E1626="!!!",F1626="NEW"),"",COUNTBLANK(OFFSET(A$1,,,SUMPRODUCT(MAX(ROW(E$2:E1626)*(E1626=E$2:E1626)))))-COUNTBLANK(OFFSET(A$1,,,SUMPRODUCT(MAX(ROW(E$1:E1625)*(E2=E$1:E1625))))))</f>
        <v> </v>
      </c>
      <c r="K1626" s="26" t="str">
        <f>IF(OR(E1626="",E1626="!!!",F1626="NEW"),"",INDEX(J$1:J1625,SUMPRODUCT(MAX(ROW(E$1:E1625)*(E1626=E$1:E1625)))))</f>
        <v> </v>
      </c>
      <c r="L1626" s="27"/>
    </row>
    <row r="1627" spans="1:12">
      <c r="A1627" s="20" t="s">
        <v>776</v>
      </c>
      <c r="B1627" s="21" t="s">
        <v>728</v>
      </c>
      <c r="C1627" s="21" t="s">
        <v>801</v>
      </c>
      <c r="D1627" s="21" t="s">
        <v>730</v>
      </c>
      <c r="E1627" s="22">
        <f>IF(D1627="?OLD","!!!","")</f>
        <v/>
      </c>
      <c r="F1627" s="23" t="str">
        <f>IF(OR(E1627="",E1627="!!!"),"",IF(NOT(ISNA(VLOOKUP(E1627,E$1:E1626,1,FALSE()))),"OLD",IF(AND(E1627&lt;&gt;"",E1627&lt;&gt;"!!!"),"NEW","")))</f>
        <v> </v>
      </c>
      <c r="G1627" s="24" t="str">
        <f>IF(OR(E1627="",E1627="!!!"),"",IF(OR(J1627=0,AND(J1627=1,K1627=1),AND(J1627=1,I1627="SBJ"),AND(J1627=1,I1627=0)),"?IN_FOCUS",IF(J1627&lt;=2,"?ACTIVATED",IF(J1627&lt;&gt;"","?FAMILIAR",IF(F1627="NEW",IF(ISNA(VLOOKUP(E1627,#REF!,1,FALSE())),"?TYPE_IDENTIFIABLE","?REFERENTIAL"),"_")))))</f>
        <v> </v>
      </c>
      <c r="H1627" s="25" t="str">
        <f>IF(J1627&lt;&gt;1,"",IF(I1627="SBJ","CB","?"))</f>
        <v> </v>
      </c>
      <c r="I1627" s="26" t="str">
        <f>IF(OR(E1627="",E1627="!!!",F1627="NEW"),"",INDEX(B1626:B$2,-1+SUMPRODUCT(MAX(ROW(E1626:E$2)*(E1627=E1626:E$2)))))</f>
        <v> </v>
      </c>
      <c r="J1627" s="26" t="str">
        <f>IF(OR(E1627="",E1627="!!!",F1627="NEW"),"",COUNTBLANK(OFFSET(A$1,,,SUMPRODUCT(MAX(ROW(E$2:E1627)*(E1627=E$2:E1627)))))-COUNTBLANK(OFFSET(A$1,,,SUMPRODUCT(MAX(ROW(E$1:E1626)*(E2=E$1:E1626))))))</f>
        <v> </v>
      </c>
      <c r="K1627" s="26" t="str">
        <f>IF(OR(E1627="",E1627="!!!",F1627="NEW"),"",INDEX(J$1:J1626,SUMPRODUCT(MAX(ROW(E$1:E1626)*(E1627=E$1:E1626)))))</f>
        <v> </v>
      </c>
      <c r="L1627" s="27"/>
    </row>
    <row r="1628" spans="1:12">
      <c r="A1628" s="20" t="s">
        <v>884</v>
      </c>
      <c r="E1628" s="22">
        <f>IF(D1628="?OLD","!!!","")</f>
        <v/>
      </c>
      <c r="F1628" s="23" t="str">
        <f>IF(OR(E1628="",E1628="!!!"),"",IF(NOT(ISNA(VLOOKUP(E1628,E$1:E1627,1,FALSE()))),"OLD",IF(AND(E1628&lt;&gt;"",E1628&lt;&gt;"!!!"),"NEW","")))</f>
        <v> </v>
      </c>
      <c r="G1628" s="24" t="str">
        <f>IF(OR(E1628="",E1628="!!!"),"",IF(OR(J1628=0,AND(J1628=1,K1628=1),AND(J1628=1,I1628="SBJ"),AND(J1628=1,I1628=0)),"?IN_FOCUS",IF(J1628&lt;=2,"?ACTIVATED",IF(J1628&lt;&gt;"","?FAMILIAR",IF(F1628="NEW",IF(ISNA(VLOOKUP(E1628,#REF!,1,FALSE())),"?TYPE_IDENTIFIABLE","?REFERENTIAL"),"_")))))</f>
        <v> </v>
      </c>
      <c r="H1628" s="25" t="str">
        <f>IF(J1628&lt;&gt;1,"",IF(I1628="SBJ","CB","?"))</f>
        <v> </v>
      </c>
      <c r="I1628" s="26" t="str">
        <f>IF(OR(E1628="",E1628="!!!",F1628="NEW"),"",INDEX(B1627:B$2,-1+SUMPRODUCT(MAX(ROW(E1627:E$2)*(E1628=E1627:E$2)))))</f>
        <v> </v>
      </c>
      <c r="J1628" s="26" t="str">
        <f>IF(OR(E1628="",E1628="!!!",F1628="NEW"),"",COUNTBLANK(OFFSET(A$1,,,SUMPRODUCT(MAX(ROW(E$2:E1628)*(E1628=E$2:E1628)))))-COUNTBLANK(OFFSET(A$1,,,SUMPRODUCT(MAX(ROW(E$1:E1627)*(E2=E$1:E1627))))))</f>
        <v> </v>
      </c>
      <c r="K1628" s="26" t="str">
        <f>IF(OR(E1628="",E1628="!!!",F1628="NEW"),"",INDEX(J$1:J1627,SUMPRODUCT(MAX(ROW(E$1:E1627)*(E1628=E$1:E1627)))))</f>
        <v> </v>
      </c>
      <c r="L1628" s="27"/>
    </row>
    <row r="1629" spans="1:12">
      <c r="A1629" s="20" t="s">
        <v>970</v>
      </c>
      <c r="B1629" s="21" t="s">
        <v>764</v>
      </c>
      <c r="C1629" s="21" t="s">
        <v>729</v>
      </c>
      <c r="D1629" s="21" t="s">
        <v>730</v>
      </c>
      <c r="E1629" s="22">
        <f>IF(D1629="?OLD","!!!","")</f>
        <v/>
      </c>
      <c r="F1629" s="23" t="str">
        <f>IF(OR(E1629="",E1629="!!!"),"",IF(NOT(ISNA(VLOOKUP(E1629,E$1:E1628,1,FALSE()))),"OLD",IF(AND(E1629&lt;&gt;"",E1629&lt;&gt;"!!!"),"NEW","")))</f>
        <v> </v>
      </c>
      <c r="G1629" s="24" t="str">
        <f>IF(OR(E1629="",E1629="!!!"),"",IF(OR(J1629=0,AND(J1629=1,K1629=1),AND(J1629=1,I1629="SBJ"),AND(J1629=1,I1629=0)),"?IN_FOCUS",IF(J1629&lt;=2,"?ACTIVATED",IF(J1629&lt;&gt;"","?FAMILIAR",IF(F1629="NEW",IF(ISNA(VLOOKUP(E1629,#REF!,1,FALSE())),"?TYPE_IDENTIFIABLE","?REFERENTIAL"),"_")))))</f>
        <v> </v>
      </c>
      <c r="H1629" s="25" t="str">
        <f>IF(J1629&lt;&gt;1,"",IF(I1629="SBJ","CB","?"))</f>
        <v> </v>
      </c>
      <c r="I1629" s="26" t="str">
        <f>IF(OR(E1629="",E1629="!!!",F1629="NEW"),"",INDEX(B1628:B$2,-1+SUMPRODUCT(MAX(ROW(E1628:E$2)*(E1629=E1628:E$2)))))</f>
        <v> </v>
      </c>
      <c r="J1629" s="26" t="str">
        <f>IF(OR(E1629="",E1629="!!!",F1629="NEW"),"",COUNTBLANK(OFFSET(A$1,,,SUMPRODUCT(MAX(ROW(E$2:E1629)*(E1629=E$2:E1629)))))-COUNTBLANK(OFFSET(A$1,,,SUMPRODUCT(MAX(ROW(E$1:E1628)*(E2=E$1:E1628))))))</f>
        <v> </v>
      </c>
      <c r="K1629" s="26" t="str">
        <f>IF(OR(E1629="",E1629="!!!",F1629="NEW"),"",INDEX(J$1:J1628,SUMPRODUCT(MAX(ROW(E$1:E1628)*(E1629=E$1:E1628)))))</f>
        <v> </v>
      </c>
      <c r="L1629" s="27"/>
    </row>
    <row r="1630" spans="1:12">
      <c r="A1630" s="20" t="s">
        <v>1088</v>
      </c>
      <c r="E1630" s="22">
        <f>IF(D1630="?OLD","!!!","")</f>
        <v/>
      </c>
      <c r="F1630" s="23" t="str">
        <f>IF(OR(E1630="",E1630="!!!"),"",IF(NOT(ISNA(VLOOKUP(E1630,E$1:E1629,1,FALSE()))),"OLD",IF(AND(E1630&lt;&gt;"",E1630&lt;&gt;"!!!"),"NEW","")))</f>
        <v> </v>
      </c>
      <c r="G1630" s="24" t="str">
        <f>IF(OR(E1630="",E1630="!!!"),"",IF(OR(J1630=0,AND(J1630=1,K1630=1),AND(J1630=1,I1630="SBJ"),AND(J1630=1,I1630=0)),"?IN_FOCUS",IF(J1630&lt;=2,"?ACTIVATED",IF(J1630&lt;&gt;"","?FAMILIAR",IF(F1630="NEW",IF(ISNA(VLOOKUP(E1630,#REF!,1,FALSE())),"?TYPE_IDENTIFIABLE","?REFERENTIAL"),"_")))))</f>
        <v> </v>
      </c>
      <c r="H1630" s="25" t="str">
        <f>IF(J1630&lt;&gt;1,"",IF(I1630="SBJ","CB","?"))</f>
        <v> </v>
      </c>
      <c r="I1630" s="26" t="str">
        <f>IF(OR(E1630="",E1630="!!!",F1630="NEW"),"",INDEX(B1629:B$2,-1+SUMPRODUCT(MAX(ROW(E1629:E$2)*(E1630=E1629:E$2)))))</f>
        <v> </v>
      </c>
      <c r="J1630" s="26" t="str">
        <f>IF(OR(E1630="",E1630="!!!",F1630="NEW"),"",COUNTBLANK(OFFSET(A$1,,,SUMPRODUCT(MAX(ROW(E$2:E1630)*(E1630=E$2:E1630)))))-COUNTBLANK(OFFSET(A$1,,,SUMPRODUCT(MAX(ROW(E$1:E1629)*(E2=E$1:E1629))))))</f>
        <v> </v>
      </c>
      <c r="K1630" s="26" t="str">
        <f>IF(OR(E1630="",E1630="!!!",F1630="NEW"),"",INDEX(J$1:J1629,SUMPRODUCT(MAX(ROW(E$1:E1629)*(E1630=E$1:E1629)))))</f>
        <v> </v>
      </c>
      <c r="L1630" s="27"/>
    </row>
    <row r="1631" spans="1:12">
      <c r="A1631" s="20" t="s">
        <v>1424</v>
      </c>
      <c r="E1631" s="22">
        <f>IF(D1631="?OLD","!!!","")</f>
        <v/>
      </c>
      <c r="F1631" s="23" t="str">
        <f>IF(OR(E1631="",E1631="!!!"),"",IF(NOT(ISNA(VLOOKUP(E1631,E$1:E1630,1,FALSE()))),"OLD",IF(AND(E1631&lt;&gt;"",E1631&lt;&gt;"!!!"),"NEW","")))</f>
        <v> </v>
      </c>
      <c r="G1631" s="24" t="str">
        <f>IF(OR(E1631="",E1631="!!!"),"",IF(OR(J1631=0,AND(J1631=1,K1631=1),AND(J1631=1,I1631="SBJ"),AND(J1631=1,I1631=0)),"?IN_FOCUS",IF(J1631&lt;=2,"?ACTIVATED",IF(J1631&lt;&gt;"","?FAMILIAR",IF(F1631="NEW",IF(ISNA(VLOOKUP(E1631,#REF!,1,FALSE())),"?TYPE_IDENTIFIABLE","?REFERENTIAL"),"_")))))</f>
        <v> </v>
      </c>
      <c r="H1631" s="25" t="str">
        <f>IF(J1631&lt;&gt;1,"",IF(I1631="SBJ","CB","?"))</f>
        <v> </v>
      </c>
      <c r="I1631" s="26" t="str">
        <f>IF(OR(E1631="",E1631="!!!",F1631="NEW"),"",INDEX(B1630:B$2,-1+SUMPRODUCT(MAX(ROW(E1630:E$2)*(E1631=E1630:E$2)))))</f>
        <v> </v>
      </c>
      <c r="J1631" s="26" t="str">
        <f>IF(OR(E1631="",E1631="!!!",F1631="NEW"),"",COUNTBLANK(OFFSET(A$1,,,SUMPRODUCT(MAX(ROW(E$2:E1631)*(E1631=E$2:E1631)))))-COUNTBLANK(OFFSET(A$1,,,SUMPRODUCT(MAX(ROW(E$1:E1630)*(E2=E$1:E1630))))))</f>
        <v> </v>
      </c>
      <c r="K1631" s="26" t="str">
        <f>IF(OR(E1631="",E1631="!!!",F1631="NEW"),"",INDEX(J$1:J1630,SUMPRODUCT(MAX(ROW(E$1:E1630)*(E1631=E$1:E1630)))))</f>
        <v> </v>
      </c>
      <c r="L1631" s="27"/>
    </row>
    <row r="1632" spans="1:12">
      <c r="A1632" s="20" t="s">
        <v>246</v>
      </c>
      <c r="E1632" s="22">
        <f>IF(D1632="?OLD","!!!","")</f>
        <v/>
      </c>
      <c r="F1632" s="23" t="str">
        <f>IF(OR(E1632="",E1632="!!!"),"",IF(NOT(ISNA(VLOOKUP(E1632,E$1:E1631,1,FALSE()))),"OLD",IF(AND(E1632&lt;&gt;"",E1632&lt;&gt;"!!!"),"NEW","")))</f>
        <v> </v>
      </c>
      <c r="G1632" s="24" t="str">
        <f>IF(OR(E1632="",E1632="!!!"),"",IF(OR(J1632=0,AND(J1632=1,K1632=1),AND(J1632=1,I1632="SBJ"),AND(J1632=1,I1632=0)),"?IN_FOCUS",IF(J1632&lt;=2,"?ACTIVATED",IF(J1632&lt;&gt;"","?FAMILIAR",IF(F1632="NEW",IF(ISNA(VLOOKUP(E1632,#REF!,1,FALSE())),"?TYPE_IDENTIFIABLE","?REFERENTIAL"),"_")))))</f>
        <v> </v>
      </c>
      <c r="H1632" s="25" t="str">
        <f>IF(J1632&lt;&gt;1,"",IF(I1632="SBJ","CB","?"))</f>
        <v> </v>
      </c>
      <c r="I1632" s="26" t="str">
        <f>IF(OR(E1632="",E1632="!!!",F1632="NEW"),"",INDEX(B1631:B$2,-1+SUMPRODUCT(MAX(ROW(E1631:E$2)*(E1632=E1631:E$2)))))</f>
        <v> </v>
      </c>
      <c r="J1632" s="26" t="str">
        <f>IF(OR(E1632="",E1632="!!!",F1632="NEW"),"",COUNTBLANK(OFFSET(A$1,,,SUMPRODUCT(MAX(ROW(E$2:E1632)*(E1632=E$2:E1632)))))-COUNTBLANK(OFFSET(A$1,,,SUMPRODUCT(MAX(ROW(E$1:E1631)*(E2=E$1:E1631))))))</f>
        <v> </v>
      </c>
      <c r="K1632" s="26" t="str">
        <f>IF(OR(E1632="",E1632="!!!",F1632="NEW"),"",INDEX(J$1:J1631,SUMPRODUCT(MAX(ROW(E$1:E1631)*(E1632=E$1:E1631)))))</f>
        <v> </v>
      </c>
      <c r="L1632" s="27"/>
    </row>
    <row r="1633" spans="1:12">
      <c r="A1633" s="20"/>
    </row>
    <row r="1634" spans="1:12">
      <c r="A1634" s="20" t="s">
        <v>1425</v>
      </c>
    </row>
    <row r="1635" spans="1:12">
      <c r="A1635" s="20" t="s">
        <v>768</v>
      </c>
      <c r="E1635" s="22">
        <f>IF(D1635="?OLD","!!!","")</f>
        <v/>
      </c>
      <c r="F1635" s="23" t="str">
        <f>IF(OR(E1635="",E1635="!!!"),"",IF(NOT(ISNA(VLOOKUP(E1635,E$1:E1634,1,FALSE()))),"OLD",IF(AND(E1635&lt;&gt;"",E1635&lt;&gt;"!!!"),"NEW","")))</f>
        <v> </v>
      </c>
      <c r="G1635" s="24" t="str">
        <f>IF(OR(E1635="",E1635="!!!"),"",IF(OR(J1635=0,AND(J1635=1,K1635=1),AND(J1635=1,I1635="SBJ"),AND(J1635=1,I1635=0)),"?IN_FOCUS",IF(J1635&lt;=2,"?ACTIVATED",IF(J1635&lt;&gt;"","?FAMILIAR",IF(F1635="NEW",IF(ISNA(VLOOKUP(E1635,#REF!,1,FALSE())),"?TYPE_IDENTIFIABLE","?REFERENTIAL"),"_")))))</f>
        <v> </v>
      </c>
      <c r="H1635" s="25" t="str">
        <f>IF(J1635&lt;&gt;1,"",IF(I1635="SBJ","CB","?"))</f>
        <v> </v>
      </c>
      <c r="I1635" s="26" t="str">
        <f>IF(OR(E1635="",E1635="!!!",F1635="NEW"),"",INDEX(B1634:B$2,-1+SUMPRODUCT(MAX(ROW(E1634:E$2)*(E1635=E1634:E$2)))))</f>
        <v> </v>
      </c>
      <c r="J1635" s="26" t="str">
        <f>IF(OR(E1635="",E1635="!!!",F1635="NEW"),"",COUNTBLANK(OFFSET(A$1,,,SUMPRODUCT(MAX(ROW(E$2:E1635)*(E1635=E$2:E1635)))))-COUNTBLANK(OFFSET(A$1,,,SUMPRODUCT(MAX(ROW(E$1:E1634)*(E2=E$1:E1634))))))</f>
        <v> </v>
      </c>
      <c r="K1635" s="26" t="str">
        <f>IF(OR(E1635="",E1635="!!!",F1635="NEW"),"",INDEX(J$1:J1634,SUMPRODUCT(MAX(ROW(E$1:E1634)*(E1635=E$1:E1634)))))</f>
        <v> </v>
      </c>
      <c r="L1635" s="27"/>
    </row>
    <row r="1636" spans="1:12">
      <c r="A1636" s="20" t="s">
        <v>813</v>
      </c>
      <c r="E1636" s="22">
        <f>IF(D1636="?OLD","!!!","")</f>
        <v/>
      </c>
      <c r="F1636" s="23" t="str">
        <f>IF(OR(E1636="",E1636="!!!"),"",IF(NOT(ISNA(VLOOKUP(E1636,E$1:E1635,1,FALSE()))),"OLD",IF(AND(E1636&lt;&gt;"",E1636&lt;&gt;"!!!"),"NEW","")))</f>
        <v> </v>
      </c>
      <c r="G1636" s="24" t="str">
        <f>IF(OR(E1636="",E1636="!!!"),"",IF(OR(J1636=0,AND(J1636=1,K1636=1),AND(J1636=1,I1636="SBJ"),AND(J1636=1,I1636=0)),"?IN_FOCUS",IF(J1636&lt;=2,"?ACTIVATED",IF(J1636&lt;&gt;"","?FAMILIAR",IF(F1636="NEW",IF(ISNA(VLOOKUP(E1636,#REF!,1,FALSE())),"?TYPE_IDENTIFIABLE","?REFERENTIAL"),"_")))))</f>
        <v> </v>
      </c>
      <c r="H1636" s="25" t="str">
        <f>IF(J1636&lt;&gt;1,"",IF(I1636="SBJ","CB","?"))</f>
        <v> </v>
      </c>
      <c r="I1636" s="26" t="str">
        <f>IF(OR(E1636="",E1636="!!!",F1636="NEW"),"",INDEX(B1635:B$2,-1+SUMPRODUCT(MAX(ROW(E1635:E$2)*(E1636=E1635:E$2)))))</f>
        <v> </v>
      </c>
      <c r="J1636" s="26" t="str">
        <f>IF(OR(E1636="",E1636="!!!",F1636="NEW"),"",COUNTBLANK(OFFSET(A$1,,,SUMPRODUCT(MAX(ROW(E$2:E1636)*(E1636=E$2:E1636)))))-COUNTBLANK(OFFSET(A$1,,,SUMPRODUCT(MAX(ROW(E$1:E1635)*(E2=E$1:E1635))))))</f>
        <v> </v>
      </c>
      <c r="K1636" s="26" t="str">
        <f>IF(OR(E1636="",E1636="!!!",F1636="NEW"),"",INDEX(J$1:J1635,SUMPRODUCT(MAX(ROW(E$1:E1635)*(E1636=E$1:E1635)))))</f>
        <v> </v>
      </c>
      <c r="L1636" s="27"/>
    </row>
    <row r="1637" spans="1:12">
      <c r="A1637" s="20" t="s">
        <v>1426</v>
      </c>
      <c r="B1637" s="21" t="s">
        <v>796</v>
      </c>
      <c r="C1637" s="21" t="s">
        <v>753</v>
      </c>
      <c r="D1637" s="21" t="s">
        <v>730</v>
      </c>
      <c r="E1637" s="22">
        <f>IF(D1637="?OLD","!!!","")</f>
        <v/>
      </c>
      <c r="F1637" s="23" t="str">
        <f>IF(OR(E1637="",E1637="!!!"),"",IF(NOT(ISNA(VLOOKUP(E1637,E$1:E1636,1,FALSE()))),"OLD",IF(AND(E1637&lt;&gt;"",E1637&lt;&gt;"!!!"),"NEW","")))</f>
        <v> </v>
      </c>
      <c r="G1637" s="24" t="str">
        <f>IF(OR(E1637="",E1637="!!!"),"",IF(OR(J1637=0,AND(J1637=1,K1637=1),AND(J1637=1,I1637="SBJ"),AND(J1637=1,I1637=0)),"?IN_FOCUS",IF(J1637&lt;=2,"?ACTIVATED",IF(J1637&lt;&gt;"","?FAMILIAR",IF(F1637="NEW",IF(ISNA(VLOOKUP(E1637,#REF!,1,FALSE())),"?TYPE_IDENTIFIABLE","?REFERENTIAL"),"_")))))</f>
        <v> </v>
      </c>
      <c r="H1637" s="25" t="str">
        <f>IF(J1637&lt;&gt;1,"",IF(I1637="SBJ","CB","?"))</f>
        <v> </v>
      </c>
      <c r="I1637" s="26" t="str">
        <f>IF(OR(E1637="",E1637="!!!",F1637="NEW"),"",INDEX(B1636:B$2,-1+SUMPRODUCT(MAX(ROW(E1636:E$2)*(E1637=E1636:E$2)))))</f>
        <v> </v>
      </c>
      <c r="J1637" s="26" t="str">
        <f>IF(OR(E1637="",E1637="!!!",F1637="NEW"),"",COUNTBLANK(OFFSET(A$1,,,SUMPRODUCT(MAX(ROW(E$2:E1637)*(E1637=E$2:E1637)))))-COUNTBLANK(OFFSET(A$1,,,SUMPRODUCT(MAX(ROW(E$1:E1636)*(E2=E$1:E1636))))))</f>
        <v> </v>
      </c>
      <c r="K1637" s="26" t="str">
        <f>IF(OR(E1637="",E1637="!!!",F1637="NEW"),"",INDEX(J$1:J1636,SUMPRODUCT(MAX(ROW(E$1:E1636)*(E1637=E$1:E1636)))))</f>
        <v> </v>
      </c>
      <c r="L1637" s="27"/>
    </row>
    <row r="1638" spans="1:12">
      <c r="A1638" s="20" t="s">
        <v>1427</v>
      </c>
      <c r="B1638" s="21" t="s">
        <v>728</v>
      </c>
      <c r="C1638" s="21" t="s">
        <v>807</v>
      </c>
      <c r="D1638" s="21" t="s">
        <v>730</v>
      </c>
      <c r="E1638" s="22">
        <f>IF(D1638="?OLD","!!!","")</f>
        <v/>
      </c>
      <c r="F1638" s="23" t="str">
        <f>IF(OR(E1638="",E1638="!!!"),"",IF(NOT(ISNA(VLOOKUP(E1638,E$1:E1637,1,FALSE()))),"OLD",IF(AND(E1638&lt;&gt;"",E1638&lt;&gt;"!!!"),"NEW","")))</f>
        <v> </v>
      </c>
      <c r="G1638" s="24" t="str">
        <f>IF(OR(E1638="",E1638="!!!"),"",IF(OR(J1638=0,AND(J1638=1,K1638=1),AND(J1638=1,I1638="SBJ"),AND(J1638=1,I1638=0)),"?IN_FOCUS",IF(J1638&lt;=2,"?ACTIVATED",IF(J1638&lt;&gt;"","?FAMILIAR",IF(F1638="NEW",IF(ISNA(VLOOKUP(E1638,#REF!,1,FALSE())),"?TYPE_IDENTIFIABLE","?REFERENTIAL"),"_")))))</f>
        <v> </v>
      </c>
      <c r="H1638" s="25" t="str">
        <f>IF(J1638&lt;&gt;1,"",IF(I1638="SBJ","CB","?"))</f>
        <v> </v>
      </c>
      <c r="I1638" s="26" t="str">
        <f>IF(OR(E1638="",E1638="!!!",F1638="NEW"),"",INDEX(B1637:B$2,-1+SUMPRODUCT(MAX(ROW(E1637:E$2)*(E1638=E1637:E$2)))))</f>
        <v> </v>
      </c>
      <c r="J1638" s="26" t="str">
        <f>IF(OR(E1638="",E1638="!!!",F1638="NEW"),"",COUNTBLANK(OFFSET(A$1,,,SUMPRODUCT(MAX(ROW(E$2:E1638)*(E1638=E$2:E1638)))))-COUNTBLANK(OFFSET(A$1,,,SUMPRODUCT(MAX(ROW(E$1:E1637)*(E2=E$1:E1637))))))</f>
        <v> </v>
      </c>
      <c r="K1638" s="26" t="str">
        <f>IF(OR(E1638="",E1638="!!!",F1638="NEW"),"",INDEX(J$1:J1637,SUMPRODUCT(MAX(ROW(E$1:E1637)*(E1638=E$1:E1637)))))</f>
        <v> </v>
      </c>
      <c r="L1638" s="27"/>
    </row>
    <row r="1639" spans="1:12">
      <c r="A1639" s="20" t="s">
        <v>1137</v>
      </c>
      <c r="E1639" s="22">
        <f>IF(D1639="?OLD","!!!","")</f>
        <v/>
      </c>
      <c r="F1639" s="23" t="str">
        <f>IF(OR(E1639="",E1639="!!!"),"",IF(NOT(ISNA(VLOOKUP(E1639,E$1:E1638,1,FALSE()))),"OLD",IF(AND(E1639&lt;&gt;"",E1639&lt;&gt;"!!!"),"NEW","")))</f>
        <v> </v>
      </c>
      <c r="G1639" s="24" t="str">
        <f>IF(OR(E1639="",E1639="!!!"),"",IF(OR(J1639=0,AND(J1639=1,K1639=1),AND(J1639=1,I1639="SBJ"),AND(J1639=1,I1639=0)),"?IN_FOCUS",IF(J1639&lt;=2,"?ACTIVATED",IF(J1639&lt;&gt;"","?FAMILIAR",IF(F1639="NEW",IF(ISNA(VLOOKUP(E1639,#REF!,1,FALSE())),"?TYPE_IDENTIFIABLE","?REFERENTIAL"),"_")))))</f>
        <v> </v>
      </c>
      <c r="H1639" s="25" t="str">
        <f>IF(J1639&lt;&gt;1,"",IF(I1639="SBJ","CB","?"))</f>
        <v> </v>
      </c>
      <c r="I1639" s="26" t="str">
        <f>IF(OR(E1639="",E1639="!!!",F1639="NEW"),"",INDEX(B1638:B$2,-1+SUMPRODUCT(MAX(ROW(E1638:E$2)*(E1639=E1638:E$2)))))</f>
        <v> </v>
      </c>
      <c r="J1639" s="26" t="str">
        <f>IF(OR(E1639="",E1639="!!!",F1639="NEW"),"",COUNTBLANK(OFFSET(A$1,,,SUMPRODUCT(MAX(ROW(E$2:E1639)*(E1639=E$2:E1639)))))-COUNTBLANK(OFFSET(A$1,,,SUMPRODUCT(MAX(ROW(E$1:E1638)*(E2=E$1:E1638))))))</f>
        <v> </v>
      </c>
      <c r="K1639" s="26" t="str">
        <f>IF(OR(E1639="",E1639="!!!",F1639="NEW"),"",INDEX(J$1:J1638,SUMPRODUCT(MAX(ROW(E$1:E1638)*(E1639=E$1:E1638)))))</f>
        <v> </v>
      </c>
      <c r="L1639" s="27"/>
    </row>
    <row r="1640" spans="1:12">
      <c r="A1640" s="20" t="s">
        <v>1428</v>
      </c>
      <c r="E1640" s="22">
        <f>IF(D1640="?OLD","!!!","")</f>
        <v/>
      </c>
      <c r="F1640" s="23" t="str">
        <f>IF(OR(E1640="",E1640="!!!"),"",IF(NOT(ISNA(VLOOKUP(E1640,E$1:E1639,1,FALSE()))),"OLD",IF(AND(E1640&lt;&gt;"",E1640&lt;&gt;"!!!"),"NEW","")))</f>
        <v> </v>
      </c>
      <c r="G1640" s="24" t="str">
        <f>IF(OR(E1640="",E1640="!!!"),"",IF(OR(J1640=0,AND(J1640=1,K1640=1),AND(J1640=1,I1640="SBJ"),AND(J1640=1,I1640=0)),"?IN_FOCUS",IF(J1640&lt;=2,"?ACTIVATED",IF(J1640&lt;&gt;"","?FAMILIAR",IF(F1640="NEW",IF(ISNA(VLOOKUP(E1640,#REF!,1,FALSE())),"?TYPE_IDENTIFIABLE","?REFERENTIAL"),"_")))))</f>
        <v> </v>
      </c>
      <c r="H1640" s="25" t="str">
        <f>IF(J1640&lt;&gt;1,"",IF(I1640="SBJ","CB","?"))</f>
        <v> </v>
      </c>
      <c r="I1640" s="26" t="str">
        <f>IF(OR(E1640="",E1640="!!!",F1640="NEW"),"",INDEX(B1639:B$2,-1+SUMPRODUCT(MAX(ROW(E1639:E$2)*(E1640=E1639:E$2)))))</f>
        <v> </v>
      </c>
      <c r="J1640" s="26" t="str">
        <f>IF(OR(E1640="",E1640="!!!",F1640="NEW"),"",COUNTBLANK(OFFSET(A$1,,,SUMPRODUCT(MAX(ROW(E$2:E1640)*(E1640=E$2:E1640)))))-COUNTBLANK(OFFSET(A$1,,,SUMPRODUCT(MAX(ROW(E$1:E1639)*(E2=E$1:E1639))))))</f>
        <v> </v>
      </c>
      <c r="K1640" s="26" t="str">
        <f>IF(OR(E1640="",E1640="!!!",F1640="NEW"),"",INDEX(J$1:J1639,SUMPRODUCT(MAX(ROW(E$1:E1639)*(E1640=E$1:E1639)))))</f>
        <v> </v>
      </c>
      <c r="L1640" s="27"/>
    </row>
    <row r="1641" spans="1:12">
      <c r="A1641" s="20" t="s">
        <v>246</v>
      </c>
      <c r="E1641" s="22">
        <f>IF(D1641="?OLD","!!!","")</f>
        <v/>
      </c>
      <c r="F1641" s="23" t="str">
        <f>IF(OR(E1641="",E1641="!!!"),"",IF(NOT(ISNA(VLOOKUP(E1641,E$1:E1640,1,FALSE()))),"OLD",IF(AND(E1641&lt;&gt;"",E1641&lt;&gt;"!!!"),"NEW","")))</f>
        <v> </v>
      </c>
      <c r="G1641" s="24" t="str">
        <f>IF(OR(E1641="",E1641="!!!"),"",IF(OR(J1641=0,AND(J1641=1,K1641=1),AND(J1641=1,I1641="SBJ"),AND(J1641=1,I1641=0)),"?IN_FOCUS",IF(J1641&lt;=2,"?ACTIVATED",IF(J1641&lt;&gt;"","?FAMILIAR",IF(F1641="NEW",IF(ISNA(VLOOKUP(E1641,#REF!,1,FALSE())),"?TYPE_IDENTIFIABLE","?REFERENTIAL"),"_")))))</f>
        <v> </v>
      </c>
      <c r="H1641" s="25" t="str">
        <f>IF(J1641&lt;&gt;1,"",IF(I1641="SBJ","CB","?"))</f>
        <v> </v>
      </c>
      <c r="I1641" s="26" t="str">
        <f>IF(OR(E1641="",E1641="!!!",F1641="NEW"),"",INDEX(B1640:B$2,-1+SUMPRODUCT(MAX(ROW(E1640:E$2)*(E1641=E1640:E$2)))))</f>
        <v> </v>
      </c>
      <c r="J1641" s="26" t="str">
        <f>IF(OR(E1641="",E1641="!!!",F1641="NEW"),"",COUNTBLANK(OFFSET(A$1,,,SUMPRODUCT(MAX(ROW(E$2:E1641)*(E1641=E$2:E1641)))))-COUNTBLANK(OFFSET(A$1,,,SUMPRODUCT(MAX(ROW(E$1:E1640)*(E2=E$1:E1640))))))</f>
        <v> </v>
      </c>
      <c r="K1641" s="26" t="str">
        <f>IF(OR(E1641="",E1641="!!!",F1641="NEW"),"",INDEX(J$1:J1640,SUMPRODUCT(MAX(ROW(E$1:E1640)*(E1641=E$1:E1640)))))</f>
        <v> </v>
      </c>
      <c r="L1641" s="27"/>
    </row>
    <row r="1642" spans="1:12">
      <c r="A1642" s="20"/>
    </row>
    <row r="1643" spans="1:12">
      <c r="A1643" s="20" t="s">
        <v>1429</v>
      </c>
    </row>
    <row r="1644" spans="1:12">
      <c r="A1644" s="20" t="s">
        <v>1382</v>
      </c>
      <c r="B1644" s="21" t="s">
        <v>728</v>
      </c>
      <c r="C1644" s="21" t="s">
        <v>789</v>
      </c>
      <c r="D1644" s="21" t="s">
        <v>730</v>
      </c>
      <c r="E1644" s="22">
        <f>IF(D1644="?OLD","!!!","")</f>
        <v/>
      </c>
      <c r="F1644" s="23" t="str">
        <f>IF(OR(E1644="",E1644="!!!"),"",IF(NOT(ISNA(VLOOKUP(E1644,E$1:E1643,1,FALSE()))),"OLD",IF(AND(E1644&lt;&gt;"",E1644&lt;&gt;"!!!"),"NEW","")))</f>
        <v> </v>
      </c>
      <c r="G1644" s="24" t="str">
        <f>IF(OR(E1644="",E1644="!!!"),"",IF(OR(J1644=0,AND(J1644=1,K1644=1),AND(J1644=1,I1644="SBJ"),AND(J1644=1,I1644=0)),"?IN_FOCUS",IF(J1644&lt;=2,"?ACTIVATED",IF(J1644&lt;&gt;"","?FAMILIAR",IF(F1644="NEW",IF(ISNA(VLOOKUP(E1644,#REF!,1,FALSE())),"?TYPE_IDENTIFIABLE","?REFERENTIAL"),"_")))))</f>
        <v> </v>
      </c>
      <c r="H1644" s="25" t="str">
        <f>IF(J1644&lt;&gt;1,"",IF(I1644="SBJ","CB","?"))</f>
        <v> </v>
      </c>
      <c r="I1644" s="26" t="str">
        <f>IF(OR(E1644="",E1644="!!!",F1644="NEW"),"",INDEX(B1643:B$2,-1+SUMPRODUCT(MAX(ROW(E1643:E$2)*(E1644=E1643:E$2)))))</f>
        <v> </v>
      </c>
      <c r="J1644" s="26" t="str">
        <f>IF(OR(E1644="",E1644="!!!",F1644="NEW"),"",COUNTBLANK(OFFSET(A$1,,,SUMPRODUCT(MAX(ROW(E$2:E1644)*(E1644=E$2:E1644)))))-COUNTBLANK(OFFSET(A$1,,,SUMPRODUCT(MAX(ROW(E$1:E1643)*(E2=E$1:E1643))))))</f>
        <v> </v>
      </c>
      <c r="K1644" s="26" t="str">
        <f>IF(OR(E1644="",E1644="!!!",F1644="NEW"),"",INDEX(J$1:J1643,SUMPRODUCT(MAX(ROW(E$1:E1643)*(E1644=E$1:E1643)))))</f>
        <v> </v>
      </c>
      <c r="L1644" s="27"/>
    </row>
    <row r="1645" spans="1:12">
      <c r="A1645" s="20" t="s">
        <v>916</v>
      </c>
      <c r="E1645" s="22">
        <f>IF(D1645="?OLD","!!!","")</f>
        <v/>
      </c>
      <c r="F1645" s="23" t="str">
        <f>IF(OR(E1645="",E1645="!!!"),"",IF(NOT(ISNA(VLOOKUP(E1645,E$1:E1644,1,FALSE()))),"OLD",IF(AND(E1645&lt;&gt;"",E1645&lt;&gt;"!!!"),"NEW","")))</f>
        <v> </v>
      </c>
      <c r="G1645" s="24" t="str">
        <f>IF(OR(E1645="",E1645="!!!"),"",IF(OR(J1645=0,AND(J1645=1,K1645=1),AND(J1645=1,I1645="SBJ"),AND(J1645=1,I1645=0)),"?IN_FOCUS",IF(J1645&lt;=2,"?ACTIVATED",IF(J1645&lt;&gt;"","?FAMILIAR",IF(F1645="NEW",IF(ISNA(VLOOKUP(E1645,#REF!,1,FALSE())),"?TYPE_IDENTIFIABLE","?REFERENTIAL"),"_")))))</f>
        <v> </v>
      </c>
      <c r="H1645" s="25" t="str">
        <f>IF(J1645&lt;&gt;1,"",IF(I1645="SBJ","CB","?"))</f>
        <v> </v>
      </c>
      <c r="I1645" s="26" t="str">
        <f>IF(OR(E1645="",E1645="!!!",F1645="NEW"),"",INDEX(B1644:B$2,-1+SUMPRODUCT(MAX(ROW(E1644:E$2)*(E1645=E1644:E$2)))))</f>
        <v> </v>
      </c>
      <c r="J1645" s="26" t="str">
        <f>IF(OR(E1645="",E1645="!!!",F1645="NEW"),"",COUNTBLANK(OFFSET(A$1,,,SUMPRODUCT(MAX(ROW(E$2:E1645)*(E1645=E$2:E1645)))))-COUNTBLANK(OFFSET(A$1,,,SUMPRODUCT(MAX(ROW(E$1:E1644)*(E2=E$1:E1644))))))</f>
        <v> </v>
      </c>
      <c r="K1645" s="26" t="str">
        <f>IF(OR(E1645="",E1645="!!!",F1645="NEW"),"",INDEX(J$1:J1644,SUMPRODUCT(MAX(ROW(E$1:E1644)*(E1645=E$1:E1644)))))</f>
        <v> </v>
      </c>
      <c r="L1645" s="27"/>
    </row>
    <row r="1646" spans="1:12">
      <c r="A1646" s="20" t="s">
        <v>1430</v>
      </c>
      <c r="B1646" s="21" t="s">
        <v>764</v>
      </c>
      <c r="C1646" s="21" t="s">
        <v>748</v>
      </c>
      <c r="E1646" s="22">
        <f>IF(D1646="?OLD","!!!","")</f>
        <v/>
      </c>
      <c r="F1646" s="23" t="str">
        <f>IF(OR(E1646="",E1646="!!!"),"",IF(NOT(ISNA(VLOOKUP(E1646,E$1:E1645,1,FALSE()))),"OLD",IF(AND(E1646&lt;&gt;"",E1646&lt;&gt;"!!!"),"NEW","")))</f>
        <v> </v>
      </c>
      <c r="G1646" s="24" t="str">
        <f>IF(OR(E1646="",E1646="!!!"),"",IF(OR(J1646=0,AND(J1646=1,K1646=1),AND(J1646=1,I1646="SBJ"),AND(J1646=1,I1646=0)),"?IN_FOCUS",IF(J1646&lt;=2,"?ACTIVATED",IF(J1646&lt;&gt;"","?FAMILIAR",IF(F1646="NEW",IF(ISNA(VLOOKUP(E1646,#REF!,1,FALSE())),"?TYPE_IDENTIFIABLE","?REFERENTIAL"),"_")))))</f>
        <v> </v>
      </c>
      <c r="H1646" s="25" t="str">
        <f>IF(J1646&lt;&gt;1,"",IF(I1646="SBJ","CB","?"))</f>
        <v> </v>
      </c>
      <c r="I1646" s="26" t="str">
        <f>IF(OR(E1646="",E1646="!!!",F1646="NEW"),"",INDEX(B1645:B$2,-1+SUMPRODUCT(MAX(ROW(E1645:E$2)*(E1646=E1645:E$2)))))</f>
        <v> </v>
      </c>
      <c r="J1646" s="26" t="str">
        <f>IF(OR(E1646="",E1646="!!!",F1646="NEW"),"",COUNTBLANK(OFFSET(A$1,,,SUMPRODUCT(MAX(ROW(E$2:E1646)*(E1646=E$2:E1646)))))-COUNTBLANK(OFFSET(A$1,,,SUMPRODUCT(MAX(ROW(E$1:E1645)*(E2=E$1:E1645))))))</f>
        <v> </v>
      </c>
      <c r="K1646" s="26" t="str">
        <f>IF(OR(E1646="",E1646="!!!",F1646="NEW"),"",INDEX(J$1:J1645,SUMPRODUCT(MAX(ROW(E$1:E1645)*(E1646=E$1:E1645)))))</f>
        <v> </v>
      </c>
      <c r="L1646" s="27"/>
    </row>
    <row r="1647" spans="1:12">
      <c r="A1647" s="20" t="s">
        <v>785</v>
      </c>
      <c r="E1647" s="22">
        <f>IF(D1647="?OLD","!!!","")</f>
        <v/>
      </c>
      <c r="F1647" s="23" t="str">
        <f>IF(OR(E1647="",E1647="!!!"),"",IF(NOT(ISNA(VLOOKUP(E1647,E$1:E1646,1,FALSE()))),"OLD",IF(AND(E1647&lt;&gt;"",E1647&lt;&gt;"!!!"),"NEW","")))</f>
        <v> </v>
      </c>
      <c r="G1647" s="24" t="str">
        <f>IF(OR(E1647="",E1647="!!!"),"",IF(OR(J1647=0,AND(J1647=1,K1647=1),AND(J1647=1,I1647="SBJ"),AND(J1647=1,I1647=0)),"?IN_FOCUS",IF(J1647&lt;=2,"?ACTIVATED",IF(J1647&lt;&gt;"","?FAMILIAR",IF(F1647="NEW",IF(ISNA(VLOOKUP(E1647,#REF!,1,FALSE())),"?TYPE_IDENTIFIABLE","?REFERENTIAL"),"_")))))</f>
        <v> </v>
      </c>
      <c r="H1647" s="25" t="str">
        <f>IF(J1647&lt;&gt;1,"",IF(I1647="SBJ","CB","?"))</f>
        <v> </v>
      </c>
      <c r="I1647" s="26" t="str">
        <f>IF(OR(E1647="",E1647="!!!",F1647="NEW"),"",INDEX(B1646:B$2,-1+SUMPRODUCT(MAX(ROW(E1646:E$2)*(E1647=E1646:E$2)))))</f>
        <v> </v>
      </c>
      <c r="J1647" s="26" t="str">
        <f>IF(OR(E1647="",E1647="!!!",F1647="NEW"),"",COUNTBLANK(OFFSET(A$1,,,SUMPRODUCT(MAX(ROW(E$2:E1647)*(E1647=E$2:E1647)))))-COUNTBLANK(OFFSET(A$1,,,SUMPRODUCT(MAX(ROW(E$1:E1646)*(E2=E$1:E1646))))))</f>
        <v> </v>
      </c>
      <c r="K1647" s="26" t="str">
        <f>IF(OR(E1647="",E1647="!!!",F1647="NEW"),"",INDEX(J$1:J1646,SUMPRODUCT(MAX(ROW(E$1:E1646)*(E1647=E$1:E1646)))))</f>
        <v> </v>
      </c>
      <c r="L1647" s="27"/>
    </row>
    <row r="1648" spans="1:12">
      <c r="A1648" s="20" t="s">
        <v>1431</v>
      </c>
      <c r="B1648" s="21" t="s">
        <v>739</v>
      </c>
      <c r="C1648" s="21" t="s">
        <v>748</v>
      </c>
      <c r="E1648" s="22">
        <f>IF(D1648="?OLD","!!!","")</f>
        <v/>
      </c>
      <c r="F1648" s="23" t="str">
        <f>IF(OR(E1648="",E1648="!!!"),"",IF(NOT(ISNA(VLOOKUP(E1648,E$1:E1647,1,FALSE()))),"OLD",IF(AND(E1648&lt;&gt;"",E1648&lt;&gt;"!!!"),"NEW","")))</f>
        <v> </v>
      </c>
      <c r="G1648" s="24" t="str">
        <f>IF(OR(E1648="",E1648="!!!"),"",IF(OR(J1648=0,AND(J1648=1,K1648=1),AND(J1648=1,I1648="SBJ"),AND(J1648=1,I1648=0)),"?IN_FOCUS",IF(J1648&lt;=2,"?ACTIVATED",IF(J1648&lt;&gt;"","?FAMILIAR",IF(F1648="NEW",IF(ISNA(VLOOKUP(E1648,#REF!,1,FALSE())),"?TYPE_IDENTIFIABLE","?REFERENTIAL"),"_")))))</f>
        <v> </v>
      </c>
      <c r="H1648" s="25" t="str">
        <f>IF(J1648&lt;&gt;1,"",IF(I1648="SBJ","CB","?"))</f>
        <v> </v>
      </c>
      <c r="I1648" s="26" t="str">
        <f>IF(OR(E1648="",E1648="!!!",F1648="NEW"),"",INDEX(B1647:B$2,-1+SUMPRODUCT(MAX(ROW(E1647:E$2)*(E1648=E1647:E$2)))))</f>
        <v> </v>
      </c>
      <c r="J1648" s="26" t="str">
        <f>IF(OR(E1648="",E1648="!!!",F1648="NEW"),"",COUNTBLANK(OFFSET(A$1,,,SUMPRODUCT(MAX(ROW(E$2:E1648)*(E1648=E$2:E1648)))))-COUNTBLANK(OFFSET(A$1,,,SUMPRODUCT(MAX(ROW(E$1:E1647)*(E2=E$1:E1647))))))</f>
        <v> </v>
      </c>
      <c r="K1648" s="26" t="str">
        <f>IF(OR(E1648="",E1648="!!!",F1648="NEW"),"",INDEX(J$1:J1647,SUMPRODUCT(MAX(ROW(E$1:E1647)*(E1648=E$1:E1647)))))</f>
        <v> </v>
      </c>
      <c r="L1648" s="27"/>
    </row>
    <row r="1649" spans="1:12">
      <c r="A1649" s="20" t="s">
        <v>785</v>
      </c>
      <c r="E1649" s="22">
        <f>IF(D1649="?OLD","!!!","")</f>
        <v/>
      </c>
      <c r="F1649" s="23" t="str">
        <f>IF(OR(E1649="",E1649="!!!"),"",IF(NOT(ISNA(VLOOKUP(E1649,E$1:E1648,1,FALSE()))),"OLD",IF(AND(E1649&lt;&gt;"",E1649&lt;&gt;"!!!"),"NEW","")))</f>
        <v> </v>
      </c>
      <c r="G1649" s="24" t="str">
        <f>IF(OR(E1649="",E1649="!!!"),"",IF(OR(J1649=0,AND(J1649=1,K1649=1),AND(J1649=1,I1649="SBJ"),AND(J1649=1,I1649=0)),"?IN_FOCUS",IF(J1649&lt;=2,"?ACTIVATED",IF(J1649&lt;&gt;"","?FAMILIAR",IF(F1649="NEW",IF(ISNA(VLOOKUP(E1649,#REF!,1,FALSE())),"?TYPE_IDENTIFIABLE","?REFERENTIAL"),"_")))))</f>
        <v> </v>
      </c>
      <c r="H1649" s="25" t="str">
        <f>IF(J1649&lt;&gt;1,"",IF(I1649="SBJ","CB","?"))</f>
        <v> </v>
      </c>
      <c r="I1649" s="26" t="str">
        <f>IF(OR(E1649="",E1649="!!!",F1649="NEW"),"",INDEX(B1648:B$2,-1+SUMPRODUCT(MAX(ROW(E1648:E$2)*(E1649=E1648:E$2)))))</f>
        <v> </v>
      </c>
      <c r="J1649" s="26" t="str">
        <f>IF(OR(E1649="",E1649="!!!",F1649="NEW"),"",COUNTBLANK(OFFSET(A$1,,,SUMPRODUCT(MAX(ROW(E$2:E1649)*(E1649=E$2:E1649)))))-COUNTBLANK(OFFSET(A$1,,,SUMPRODUCT(MAX(ROW(E$1:E1648)*(E2=E$1:E1648))))))</f>
        <v> </v>
      </c>
      <c r="K1649" s="26" t="str">
        <f>IF(OR(E1649="",E1649="!!!",F1649="NEW"),"",INDEX(J$1:J1648,SUMPRODUCT(MAX(ROW(E$1:E1648)*(E1649=E$1:E1648)))))</f>
        <v> </v>
      </c>
      <c r="L1649" s="27"/>
    </row>
    <row r="1650" spans="1:12">
      <c r="A1650" s="20" t="s">
        <v>824</v>
      </c>
      <c r="B1650" s="21" t="s">
        <v>755</v>
      </c>
      <c r="C1650" s="21" t="s">
        <v>756</v>
      </c>
      <c r="E1650" s="22">
        <f>IF(D1650="?OLD","!!!","")</f>
        <v/>
      </c>
      <c r="F1650" s="23" t="str">
        <f>IF(OR(E1650="",E1650="!!!"),"",IF(NOT(ISNA(VLOOKUP(E1650,E$1:E1649,1,FALSE()))),"OLD",IF(AND(E1650&lt;&gt;"",E1650&lt;&gt;"!!!"),"NEW","")))</f>
        <v> </v>
      </c>
      <c r="G1650" s="24" t="str">
        <f>IF(OR(E1650="",E1650="!!!"),"",IF(OR(J1650=0,AND(J1650=1,K1650=1),AND(J1650=1,I1650="SBJ"),AND(J1650=1,I1650=0)),"?IN_FOCUS",IF(J1650&lt;=2,"?ACTIVATED",IF(J1650&lt;&gt;"","?FAMILIAR",IF(F1650="NEW",IF(ISNA(VLOOKUP(E1650,#REF!,1,FALSE())),"?TYPE_IDENTIFIABLE","?REFERENTIAL"),"_")))))</f>
        <v> </v>
      </c>
      <c r="H1650" s="25" t="str">
        <f>IF(J1650&lt;&gt;1,"",IF(I1650="SBJ","CB","?"))</f>
        <v> </v>
      </c>
      <c r="I1650" s="26" t="str">
        <f>IF(OR(E1650="",E1650="!!!",F1650="NEW"),"",INDEX(B1649:B$2,-1+SUMPRODUCT(MAX(ROW(E1649:E$2)*(E1650=E1649:E$2)))))</f>
        <v> </v>
      </c>
      <c r="J1650" s="26" t="str">
        <f>IF(OR(E1650="",E1650="!!!",F1650="NEW"),"",COUNTBLANK(OFFSET(A$1,,,SUMPRODUCT(MAX(ROW(E$2:E1650)*(E1650=E$2:E1650)))))-COUNTBLANK(OFFSET(A$1,,,SUMPRODUCT(MAX(ROW(E$1:E1649)*(E2=E$1:E1649))))))</f>
        <v> </v>
      </c>
      <c r="K1650" s="26" t="str">
        <f>IF(OR(E1650="",E1650="!!!",F1650="NEW"),"",INDEX(J$1:J1649,SUMPRODUCT(MAX(ROW(E$1:E1649)*(E1650=E$1:E1649)))))</f>
        <v> </v>
      </c>
      <c r="L1650" s="27"/>
    </row>
    <row r="1651" spans="1:12">
      <c r="A1651" s="20" t="s">
        <v>1432</v>
      </c>
      <c r="B1651" s="21" t="s">
        <v>739</v>
      </c>
      <c r="C1651" s="21" t="s">
        <v>967</v>
      </c>
      <c r="E1651" s="22">
        <f>IF(D1651="?OLD","!!!","")</f>
        <v/>
      </c>
      <c r="F1651" s="23" t="str">
        <f>IF(OR(E1651="",E1651="!!!"),"",IF(NOT(ISNA(VLOOKUP(E1651,E$1:E1650,1,FALSE()))),"OLD",IF(AND(E1651&lt;&gt;"",E1651&lt;&gt;"!!!"),"NEW","")))</f>
        <v> </v>
      </c>
      <c r="G1651" s="24" t="str">
        <f>IF(OR(E1651="",E1651="!!!"),"",IF(OR(J1651=0,AND(J1651=1,K1651=1),AND(J1651=1,I1651="SBJ"),AND(J1651=1,I1651=0)),"?IN_FOCUS",IF(J1651&lt;=2,"?ACTIVATED",IF(J1651&lt;&gt;"","?FAMILIAR",IF(F1651="NEW",IF(ISNA(VLOOKUP(E1651,#REF!,1,FALSE())),"?TYPE_IDENTIFIABLE","?REFERENTIAL"),"_")))))</f>
        <v> </v>
      </c>
      <c r="H1651" s="25" t="str">
        <f>IF(J1651&lt;&gt;1,"",IF(I1651="SBJ","CB","?"))</f>
        <v> </v>
      </c>
      <c r="I1651" s="26" t="str">
        <f>IF(OR(E1651="",E1651="!!!",F1651="NEW"),"",INDEX(B1650:B$2,-1+SUMPRODUCT(MAX(ROW(E1650:E$2)*(E1651=E1650:E$2)))))</f>
        <v> </v>
      </c>
      <c r="J1651" s="26" t="str">
        <f>IF(OR(E1651="",E1651="!!!",F1651="NEW"),"",COUNTBLANK(OFFSET(A$1,,,SUMPRODUCT(MAX(ROW(E$2:E1651)*(E1651=E$2:E1651)))))-COUNTBLANK(OFFSET(A$1,,,SUMPRODUCT(MAX(ROW(E$1:E1650)*(E2=E$1:E1650))))))</f>
        <v> </v>
      </c>
      <c r="K1651" s="26" t="str">
        <f>IF(OR(E1651="",E1651="!!!",F1651="NEW"),"",INDEX(J$1:J1650,SUMPRODUCT(MAX(ROW(E$1:E1650)*(E1651=E$1:E1650)))))</f>
        <v> </v>
      </c>
      <c r="L1651" s="27"/>
    </row>
    <row r="1652" spans="1:12">
      <c r="A1652" s="20" t="s">
        <v>349</v>
      </c>
      <c r="E1652" s="22">
        <f>IF(D1652="?OLD","!!!","")</f>
        <v/>
      </c>
      <c r="F1652" s="23" t="str">
        <f>IF(OR(E1652="",E1652="!!!"),"",IF(NOT(ISNA(VLOOKUP(E1652,E$1:E1651,1,FALSE()))),"OLD",IF(AND(E1652&lt;&gt;"",E1652&lt;&gt;"!!!"),"NEW","")))</f>
        <v> </v>
      </c>
      <c r="G1652" s="24" t="str">
        <f>IF(OR(E1652="",E1652="!!!"),"",IF(OR(J1652=0,AND(J1652=1,K1652=1),AND(J1652=1,I1652="SBJ"),AND(J1652=1,I1652=0)),"?IN_FOCUS",IF(J1652&lt;=2,"?ACTIVATED",IF(J1652&lt;&gt;"","?FAMILIAR",IF(F1652="NEW",IF(ISNA(VLOOKUP(E1652,#REF!,1,FALSE())),"?TYPE_IDENTIFIABLE","?REFERENTIAL"),"_")))))</f>
        <v> </v>
      </c>
      <c r="H1652" s="25" t="str">
        <f>IF(J1652&lt;&gt;1,"",IF(I1652="SBJ","CB","?"))</f>
        <v> </v>
      </c>
      <c r="I1652" s="26" t="str">
        <f>IF(OR(E1652="",E1652="!!!",F1652="NEW"),"",INDEX(B1651:B$2,-1+SUMPRODUCT(MAX(ROW(E1651:E$2)*(E1652=E1651:E$2)))))</f>
        <v> </v>
      </c>
      <c r="J1652" s="26" t="str">
        <f>IF(OR(E1652="",E1652="!!!",F1652="NEW"),"",COUNTBLANK(OFFSET(A$1,,,SUMPRODUCT(MAX(ROW(E$2:E1652)*(E1652=E$2:E1652)))))-COUNTBLANK(OFFSET(A$1,,,SUMPRODUCT(MAX(ROW(E$1:E1651)*(E2=E$1:E1651))))))</f>
        <v> </v>
      </c>
      <c r="K1652" s="26" t="str">
        <f>IF(OR(E1652="",E1652="!!!",F1652="NEW"),"",INDEX(J$1:J1651,SUMPRODUCT(MAX(ROW(E$1:E1651)*(E1652=E$1:E1651)))))</f>
        <v> </v>
      </c>
      <c r="L1652" s="27"/>
    </row>
    <row r="1653" spans="1:12">
      <c r="A1653" s="20" t="s">
        <v>246</v>
      </c>
      <c r="E1653" s="22">
        <f>IF(D1653="?OLD","!!!","")</f>
        <v/>
      </c>
      <c r="F1653" s="23" t="str">
        <f>IF(OR(E1653="",E1653="!!!"),"",IF(NOT(ISNA(VLOOKUP(E1653,E$1:E1652,1,FALSE()))),"OLD",IF(AND(E1653&lt;&gt;"",E1653&lt;&gt;"!!!"),"NEW","")))</f>
        <v> </v>
      </c>
      <c r="G1653" s="24" t="str">
        <f>IF(OR(E1653="",E1653="!!!"),"",IF(OR(J1653=0,AND(J1653=1,K1653=1),AND(J1653=1,I1653="SBJ"),AND(J1653=1,I1653=0)),"?IN_FOCUS",IF(J1653&lt;=2,"?ACTIVATED",IF(J1653&lt;&gt;"","?FAMILIAR",IF(F1653="NEW",IF(ISNA(VLOOKUP(E1653,#REF!,1,FALSE())),"?TYPE_IDENTIFIABLE","?REFERENTIAL"),"_")))))</f>
        <v> </v>
      </c>
      <c r="H1653" s="25" t="str">
        <f>IF(J1653&lt;&gt;1,"",IF(I1653="SBJ","CB","?"))</f>
        <v> </v>
      </c>
      <c r="I1653" s="26" t="str">
        <f>IF(OR(E1653="",E1653="!!!",F1653="NEW"),"",INDEX(B1652:B$2,-1+SUMPRODUCT(MAX(ROW(E1652:E$2)*(E1653=E1652:E$2)))))</f>
        <v> </v>
      </c>
      <c r="J1653" s="26" t="str">
        <f>IF(OR(E1653="",E1653="!!!",F1653="NEW"),"",COUNTBLANK(OFFSET(A$1,,,SUMPRODUCT(MAX(ROW(E$2:E1653)*(E1653=E$2:E1653)))))-COUNTBLANK(OFFSET(A$1,,,SUMPRODUCT(MAX(ROW(E$1:E1652)*(E2=E$1:E1652))))))</f>
        <v> </v>
      </c>
      <c r="K1653" s="26" t="str">
        <f>IF(OR(E1653="",E1653="!!!",F1653="NEW"),"",INDEX(J$1:J1652,SUMPRODUCT(MAX(ROW(E$1:E1652)*(E1653=E$1:E1652)))))</f>
        <v> </v>
      </c>
      <c r="L1653" s="27"/>
    </row>
    <row r="1654" spans="1:12">
      <c r="A1654" s="20"/>
    </row>
    <row r="1655" spans="1:12">
      <c r="A1655" s="20" t="s">
        <v>1433</v>
      </c>
    </row>
    <row r="1656" spans="1:12">
      <c r="A1656" s="20" t="s">
        <v>768</v>
      </c>
      <c r="E1656" s="22">
        <f>IF(D1656="?OLD","!!!","")</f>
        <v/>
      </c>
      <c r="F1656" s="23" t="str">
        <f>IF(OR(E1656="",E1656="!!!"),"",IF(NOT(ISNA(VLOOKUP(E1656,E$1:E1655,1,FALSE()))),"OLD",IF(AND(E1656&lt;&gt;"",E1656&lt;&gt;"!!!"),"NEW","")))</f>
        <v> </v>
      </c>
      <c r="G1656" s="24" t="str">
        <f>IF(OR(E1656="",E1656="!!!"),"",IF(OR(J1656=0,AND(J1656=1,K1656=1),AND(J1656=1,I1656="SBJ"),AND(J1656=1,I1656=0)),"?IN_FOCUS",IF(J1656&lt;=2,"?ACTIVATED",IF(J1656&lt;&gt;"","?FAMILIAR",IF(F1656="NEW",IF(ISNA(VLOOKUP(E1656,#REF!,1,FALSE())),"?TYPE_IDENTIFIABLE","?REFERENTIAL"),"_")))))</f>
        <v> </v>
      </c>
      <c r="H1656" s="25" t="str">
        <f>IF(J1656&lt;&gt;1,"",IF(I1656="SBJ","CB","?"))</f>
        <v> </v>
      </c>
      <c r="I1656" s="26" t="str">
        <f>IF(OR(E1656="",E1656="!!!",F1656="NEW"),"",INDEX(B1655:B$2,-1+SUMPRODUCT(MAX(ROW(E1655:E$2)*(E1656=E1655:E$2)))))</f>
        <v> </v>
      </c>
      <c r="J1656" s="26" t="str">
        <f>IF(OR(E1656="",E1656="!!!",F1656="NEW"),"",COUNTBLANK(OFFSET(A$1,,,SUMPRODUCT(MAX(ROW(E$2:E1656)*(E1656=E$2:E1656)))))-COUNTBLANK(OFFSET(A$1,,,SUMPRODUCT(MAX(ROW(E$1:E1655)*(E2=E$1:E1655))))))</f>
        <v> </v>
      </c>
      <c r="K1656" s="26" t="str">
        <f>IF(OR(E1656="",E1656="!!!",F1656="NEW"),"",INDEX(J$1:J1655,SUMPRODUCT(MAX(ROW(E$1:E1655)*(E1656=E$1:E1655)))))</f>
        <v> </v>
      </c>
      <c r="L1656" s="27"/>
    </row>
    <row r="1657" spans="1:12">
      <c r="A1657" s="20" t="s">
        <v>792</v>
      </c>
      <c r="B1657" s="21" t="s">
        <v>764</v>
      </c>
      <c r="C1657" s="21" t="s">
        <v>729</v>
      </c>
      <c r="D1657" s="21" t="s">
        <v>730</v>
      </c>
      <c r="E1657" s="22">
        <f>IF(D1657="?OLD","!!!","")</f>
        <v/>
      </c>
      <c r="F1657" s="23" t="str">
        <f>IF(OR(E1657="",E1657="!!!"),"",IF(NOT(ISNA(VLOOKUP(E1657,E$1:E1656,1,FALSE()))),"OLD",IF(AND(E1657&lt;&gt;"",E1657&lt;&gt;"!!!"),"NEW","")))</f>
        <v> </v>
      </c>
      <c r="G1657" s="24" t="str">
        <f>IF(OR(E1657="",E1657="!!!"),"",IF(OR(J1657=0,AND(J1657=1,K1657=1),AND(J1657=1,I1657="SBJ"),AND(J1657=1,I1657=0)),"?IN_FOCUS",IF(J1657&lt;=2,"?ACTIVATED",IF(J1657&lt;&gt;"","?FAMILIAR",IF(F1657="NEW",IF(ISNA(VLOOKUP(E1657,#REF!,1,FALSE())),"?TYPE_IDENTIFIABLE","?REFERENTIAL"),"_")))))</f>
        <v> </v>
      </c>
      <c r="H1657" s="25" t="str">
        <f>IF(J1657&lt;&gt;1,"",IF(I1657="SBJ","CB","?"))</f>
        <v> </v>
      </c>
      <c r="I1657" s="26" t="str">
        <f>IF(OR(E1657="",E1657="!!!",F1657="NEW"),"",INDEX(B1656:B$2,-1+SUMPRODUCT(MAX(ROW(E1656:E$2)*(E1657=E1656:E$2)))))</f>
        <v> </v>
      </c>
      <c r="J1657" s="26" t="str">
        <f>IF(OR(E1657="",E1657="!!!",F1657="NEW"),"",COUNTBLANK(OFFSET(A$1,,,SUMPRODUCT(MAX(ROW(E$2:E1657)*(E1657=E$2:E1657)))))-COUNTBLANK(OFFSET(A$1,,,SUMPRODUCT(MAX(ROW(E$1:E1656)*(E2=E$1:E1656))))))</f>
        <v> </v>
      </c>
      <c r="K1657" s="26" t="str">
        <f>IF(OR(E1657="",E1657="!!!",F1657="NEW"),"",INDEX(J$1:J1656,SUMPRODUCT(MAX(ROW(E$1:E1656)*(E1657=E$1:E1656)))))</f>
        <v> </v>
      </c>
      <c r="L1657" s="27"/>
    </row>
    <row r="1658" spans="1:12">
      <c r="A1658" s="20" t="s">
        <v>1434</v>
      </c>
      <c r="E1658" s="22">
        <f>IF(D1658="?OLD","!!!","")</f>
        <v/>
      </c>
      <c r="F1658" s="23" t="str">
        <f>IF(OR(E1658="",E1658="!!!"),"",IF(NOT(ISNA(VLOOKUP(E1658,E$1:E1657,1,FALSE()))),"OLD",IF(AND(E1658&lt;&gt;"",E1658&lt;&gt;"!!!"),"NEW","")))</f>
        <v> </v>
      </c>
      <c r="G1658" s="24" t="str">
        <f>IF(OR(E1658="",E1658="!!!"),"",IF(OR(J1658=0,AND(J1658=1,K1658=1),AND(J1658=1,I1658="SBJ"),AND(J1658=1,I1658=0)),"?IN_FOCUS",IF(J1658&lt;=2,"?ACTIVATED",IF(J1658&lt;&gt;"","?FAMILIAR",IF(F1658="NEW",IF(ISNA(VLOOKUP(E1658,#REF!,1,FALSE())),"?TYPE_IDENTIFIABLE","?REFERENTIAL"),"_")))))</f>
        <v> </v>
      </c>
      <c r="H1658" s="25" t="str">
        <f>IF(J1658&lt;&gt;1,"",IF(I1658="SBJ","CB","?"))</f>
        <v> </v>
      </c>
      <c r="I1658" s="26" t="str">
        <f>IF(OR(E1658="",E1658="!!!",F1658="NEW"),"",INDEX(B1657:B$2,-1+SUMPRODUCT(MAX(ROW(E1657:E$2)*(E1658=E1657:E$2)))))</f>
        <v> </v>
      </c>
      <c r="J1658" s="26" t="str">
        <f>IF(OR(E1658="",E1658="!!!",F1658="NEW"),"",COUNTBLANK(OFFSET(A$1,,,SUMPRODUCT(MAX(ROW(E$2:E1658)*(E1658=E$2:E1658)))))-COUNTBLANK(OFFSET(A$1,,,SUMPRODUCT(MAX(ROW(E$1:E1657)*(E2=E$1:E1657))))))</f>
        <v> </v>
      </c>
      <c r="K1658" s="26" t="str">
        <f>IF(OR(E1658="",E1658="!!!",F1658="NEW"),"",INDEX(J$1:J1657,SUMPRODUCT(MAX(ROW(E$1:E1657)*(E1658=E$1:E1657)))))</f>
        <v> </v>
      </c>
      <c r="L1658" s="27"/>
    </row>
    <row r="1659" spans="1:12">
      <c r="A1659" s="20" t="s">
        <v>742</v>
      </c>
      <c r="E1659" s="22">
        <f>IF(D1659="?OLD","!!!","")</f>
        <v/>
      </c>
      <c r="F1659" s="23" t="str">
        <f>IF(OR(E1659="",E1659="!!!"),"",IF(NOT(ISNA(VLOOKUP(E1659,E$1:E1658,1,FALSE()))),"OLD",IF(AND(E1659&lt;&gt;"",E1659&lt;&gt;"!!!"),"NEW","")))</f>
        <v> </v>
      </c>
      <c r="G1659" s="24" t="str">
        <f>IF(OR(E1659="",E1659="!!!"),"",IF(OR(J1659=0,AND(J1659=1,K1659=1),AND(J1659=1,I1659="SBJ"),AND(J1659=1,I1659=0)),"?IN_FOCUS",IF(J1659&lt;=2,"?ACTIVATED",IF(J1659&lt;&gt;"","?FAMILIAR",IF(F1659="NEW",IF(ISNA(VLOOKUP(E1659,#REF!,1,FALSE())),"?TYPE_IDENTIFIABLE","?REFERENTIAL"),"_")))))</f>
        <v> </v>
      </c>
      <c r="H1659" s="25" t="str">
        <f>IF(J1659&lt;&gt;1,"",IF(I1659="SBJ","CB","?"))</f>
        <v> </v>
      </c>
      <c r="I1659" s="26" t="str">
        <f>IF(OR(E1659="",E1659="!!!",F1659="NEW"),"",INDEX(B1658:B$2,-1+SUMPRODUCT(MAX(ROW(E1658:E$2)*(E1659=E1658:E$2)))))</f>
        <v> </v>
      </c>
      <c r="J1659" s="26" t="str">
        <f>IF(OR(E1659="",E1659="!!!",F1659="NEW"),"",COUNTBLANK(OFFSET(A$1,,,SUMPRODUCT(MAX(ROW(E$2:E1659)*(E1659=E$2:E1659)))))-COUNTBLANK(OFFSET(A$1,,,SUMPRODUCT(MAX(ROW(E$1:E1658)*(E2=E$1:E1658))))))</f>
        <v> </v>
      </c>
      <c r="K1659" s="26" t="str">
        <f>IF(OR(E1659="",E1659="!!!",F1659="NEW"),"",INDEX(J$1:J1658,SUMPRODUCT(MAX(ROW(E$1:E1658)*(E1659=E$1:E1658)))))</f>
        <v> </v>
      </c>
      <c r="L1659" s="27"/>
    </row>
    <row r="1660" spans="1:12">
      <c r="A1660" s="20" t="s">
        <v>759</v>
      </c>
      <c r="E1660" s="22">
        <f>IF(D1660="?OLD","!!!","")</f>
        <v/>
      </c>
      <c r="F1660" s="23" t="str">
        <f>IF(OR(E1660="",E1660="!!!"),"",IF(NOT(ISNA(VLOOKUP(E1660,E$1:E1659,1,FALSE()))),"OLD",IF(AND(E1660&lt;&gt;"",E1660&lt;&gt;"!!!"),"NEW","")))</f>
        <v> </v>
      </c>
      <c r="G1660" s="24" t="str">
        <f>IF(OR(E1660="",E1660="!!!"),"",IF(OR(J1660=0,AND(J1660=1,K1660=1),AND(J1660=1,I1660="SBJ"),AND(J1660=1,I1660=0)),"?IN_FOCUS",IF(J1660&lt;=2,"?ACTIVATED",IF(J1660&lt;&gt;"","?FAMILIAR",IF(F1660="NEW",IF(ISNA(VLOOKUP(E1660,#REF!,1,FALSE())),"?TYPE_IDENTIFIABLE","?REFERENTIAL"),"_")))))</f>
        <v> </v>
      </c>
      <c r="H1660" s="25" t="str">
        <f>IF(J1660&lt;&gt;1,"",IF(I1660="SBJ","CB","?"))</f>
        <v> </v>
      </c>
      <c r="I1660" s="26" t="str">
        <f>IF(OR(E1660="",E1660="!!!",F1660="NEW"),"",INDEX(B1659:B$2,-1+SUMPRODUCT(MAX(ROW(E1659:E$2)*(E1660=E1659:E$2)))))</f>
        <v> </v>
      </c>
      <c r="J1660" s="26" t="str">
        <f>IF(OR(E1660="",E1660="!!!",F1660="NEW"),"",COUNTBLANK(OFFSET(A$1,,,SUMPRODUCT(MAX(ROW(E$2:E1660)*(E1660=E$2:E1660)))))-COUNTBLANK(OFFSET(A$1,,,SUMPRODUCT(MAX(ROW(E$1:E1659)*(E2=E$1:E1659))))))</f>
        <v> </v>
      </c>
      <c r="K1660" s="26" t="str">
        <f>IF(OR(E1660="",E1660="!!!",F1660="NEW"),"",INDEX(J$1:J1659,SUMPRODUCT(MAX(ROW(E$1:E1659)*(E1660=E$1:E1659)))))</f>
        <v> </v>
      </c>
      <c r="L1660" s="27"/>
    </row>
    <row r="1661" spans="1:12">
      <c r="A1661" s="20" t="s">
        <v>952</v>
      </c>
      <c r="E1661" s="22">
        <f>IF(D1661="?OLD","!!!","")</f>
        <v/>
      </c>
      <c r="F1661" s="23" t="str">
        <f>IF(OR(E1661="",E1661="!!!"),"",IF(NOT(ISNA(VLOOKUP(E1661,E$1:E1660,1,FALSE()))),"OLD",IF(AND(E1661&lt;&gt;"",E1661&lt;&gt;"!!!"),"NEW","")))</f>
        <v> </v>
      </c>
      <c r="G1661" s="24" t="str">
        <f>IF(OR(E1661="",E1661="!!!"),"",IF(OR(J1661=0,AND(J1661=1,K1661=1),AND(J1661=1,I1661="SBJ"),AND(J1661=1,I1661=0)),"?IN_FOCUS",IF(J1661&lt;=2,"?ACTIVATED",IF(J1661&lt;&gt;"","?FAMILIAR",IF(F1661="NEW",IF(ISNA(VLOOKUP(E1661,#REF!,1,FALSE())),"?TYPE_IDENTIFIABLE","?REFERENTIAL"),"_")))))</f>
        <v> </v>
      </c>
      <c r="H1661" s="25" t="str">
        <f>IF(J1661&lt;&gt;1,"",IF(I1661="SBJ","CB","?"))</f>
        <v> </v>
      </c>
      <c r="I1661" s="26" t="str">
        <f>IF(OR(E1661="",E1661="!!!",F1661="NEW"),"",INDEX(B1660:B$2,-1+SUMPRODUCT(MAX(ROW(E1660:E$2)*(E1661=E1660:E$2)))))</f>
        <v> </v>
      </c>
      <c r="J1661" s="26" t="str">
        <f>IF(OR(E1661="",E1661="!!!",F1661="NEW"),"",COUNTBLANK(OFFSET(A$1,,,SUMPRODUCT(MAX(ROW(E$2:E1661)*(E1661=E$2:E1661)))))-COUNTBLANK(OFFSET(A$1,,,SUMPRODUCT(MAX(ROW(E$1:E1660)*(E2=E$1:E1660))))))</f>
        <v> </v>
      </c>
      <c r="K1661" s="26" t="str">
        <f>IF(OR(E1661="",E1661="!!!",F1661="NEW"),"",INDEX(J$1:J1660,SUMPRODUCT(MAX(ROW(E$1:E1660)*(E1661=E$1:E1660)))))</f>
        <v> </v>
      </c>
      <c r="L1661" s="27"/>
    </row>
    <row r="1662" spans="1:12">
      <c r="A1662" s="20" t="s">
        <v>1435</v>
      </c>
      <c r="E1662" s="22">
        <f>IF(D1662="?OLD","!!!","")</f>
        <v/>
      </c>
      <c r="F1662" s="23" t="str">
        <f>IF(OR(E1662="",E1662="!!!"),"",IF(NOT(ISNA(VLOOKUP(E1662,E$1:E1661,1,FALSE()))),"OLD",IF(AND(E1662&lt;&gt;"",E1662&lt;&gt;"!!!"),"NEW","")))</f>
        <v> </v>
      </c>
      <c r="G1662" s="24" t="str">
        <f>IF(OR(E1662="",E1662="!!!"),"",IF(OR(J1662=0,AND(J1662=1,K1662=1),AND(J1662=1,I1662="SBJ"),AND(J1662=1,I1662=0)),"?IN_FOCUS",IF(J1662&lt;=2,"?ACTIVATED",IF(J1662&lt;&gt;"","?FAMILIAR",IF(F1662="NEW",IF(ISNA(VLOOKUP(E1662,#REF!,1,FALSE())),"?TYPE_IDENTIFIABLE","?REFERENTIAL"),"_")))))</f>
        <v> </v>
      </c>
      <c r="H1662" s="25" t="str">
        <f>IF(J1662&lt;&gt;1,"",IF(I1662="SBJ","CB","?"))</f>
        <v> </v>
      </c>
      <c r="I1662" s="26" t="str">
        <f>IF(OR(E1662="",E1662="!!!",F1662="NEW"),"",INDEX(B1661:B$2,-1+SUMPRODUCT(MAX(ROW(E1661:E$2)*(E1662=E1661:E$2)))))</f>
        <v> </v>
      </c>
      <c r="J1662" s="26" t="str">
        <f>IF(OR(E1662="",E1662="!!!",F1662="NEW"),"",COUNTBLANK(OFFSET(A$1,,,SUMPRODUCT(MAX(ROW(E$2:E1662)*(E1662=E$2:E1662)))))-COUNTBLANK(OFFSET(A$1,,,SUMPRODUCT(MAX(ROW(E$1:E1661)*(E2=E$1:E1661))))))</f>
        <v> </v>
      </c>
      <c r="K1662" s="26" t="str">
        <f>IF(OR(E1662="",E1662="!!!",F1662="NEW"),"",INDEX(J$1:J1661,SUMPRODUCT(MAX(ROW(E$1:E1661)*(E1662=E$1:E1661)))))</f>
        <v> </v>
      </c>
      <c r="L1662" s="27"/>
    </row>
    <row r="1663" spans="1:12">
      <c r="A1663" s="20" t="s">
        <v>903</v>
      </c>
      <c r="B1663" s="21" t="s">
        <v>739</v>
      </c>
      <c r="C1663" s="21" t="s">
        <v>801</v>
      </c>
      <c r="D1663" s="21" t="s">
        <v>730</v>
      </c>
      <c r="E1663" s="22">
        <f>IF(D1663="?OLD","!!!","")</f>
        <v/>
      </c>
      <c r="F1663" s="23" t="str">
        <f>IF(OR(E1663="",E1663="!!!"),"",IF(NOT(ISNA(VLOOKUP(E1663,E$1:E1662,1,FALSE()))),"OLD",IF(AND(E1663&lt;&gt;"",E1663&lt;&gt;"!!!"),"NEW","")))</f>
        <v> </v>
      </c>
      <c r="G1663" s="24" t="str">
        <f>IF(OR(E1663="",E1663="!!!"),"",IF(OR(J1663=0,AND(J1663=1,K1663=1),AND(J1663=1,I1663="SBJ"),AND(J1663=1,I1663=0)),"?IN_FOCUS",IF(J1663&lt;=2,"?ACTIVATED",IF(J1663&lt;&gt;"","?FAMILIAR",IF(F1663="NEW",IF(ISNA(VLOOKUP(E1663,#REF!,1,FALSE())),"?TYPE_IDENTIFIABLE","?REFERENTIAL"),"_")))))</f>
        <v> </v>
      </c>
      <c r="H1663" s="25" t="str">
        <f>IF(J1663&lt;&gt;1,"",IF(I1663="SBJ","CB","?"))</f>
        <v> </v>
      </c>
      <c r="I1663" s="26" t="str">
        <f>IF(OR(E1663="",E1663="!!!",F1663="NEW"),"",INDEX(B1662:B$2,-1+SUMPRODUCT(MAX(ROW(E1662:E$2)*(E1663=E1662:E$2)))))</f>
        <v> </v>
      </c>
      <c r="J1663" s="26" t="str">
        <f>IF(OR(E1663="",E1663="!!!",F1663="NEW"),"",COUNTBLANK(OFFSET(A$1,,,SUMPRODUCT(MAX(ROW(E$2:E1663)*(E1663=E$2:E1663)))))-COUNTBLANK(OFFSET(A$1,,,SUMPRODUCT(MAX(ROW(E$1:E1662)*(E2=E$1:E1662))))))</f>
        <v> </v>
      </c>
      <c r="K1663" s="26" t="str">
        <f>IF(OR(E1663="",E1663="!!!",F1663="NEW"),"",INDEX(J$1:J1662,SUMPRODUCT(MAX(ROW(E$1:E1662)*(E1663=E$1:E1662)))))</f>
        <v> </v>
      </c>
      <c r="L1663" s="27"/>
    </row>
    <row r="1664" spans="1:12">
      <c r="A1664" s="20" t="s">
        <v>1436</v>
      </c>
      <c r="B1664" s="21" t="s">
        <v>736</v>
      </c>
      <c r="C1664" s="21" t="s">
        <v>802</v>
      </c>
      <c r="D1664" s="21" t="s">
        <v>730</v>
      </c>
      <c r="E1664" s="22">
        <f>IF(D1664="?OLD","!!!","")</f>
        <v/>
      </c>
      <c r="F1664" s="23" t="str">
        <f>IF(OR(E1664="",E1664="!!!"),"",IF(NOT(ISNA(VLOOKUP(E1664,E$1:E1663,1,FALSE()))),"OLD",IF(AND(E1664&lt;&gt;"",E1664&lt;&gt;"!!!"),"NEW","")))</f>
        <v> </v>
      </c>
      <c r="G1664" s="24" t="str">
        <f>IF(OR(E1664="",E1664="!!!"),"",IF(OR(J1664=0,AND(J1664=1,K1664=1),AND(J1664=1,I1664="SBJ"),AND(J1664=1,I1664=0)),"?IN_FOCUS",IF(J1664&lt;=2,"?ACTIVATED",IF(J1664&lt;&gt;"","?FAMILIAR",IF(F1664="NEW",IF(ISNA(VLOOKUP(E1664,#REF!,1,FALSE())),"?TYPE_IDENTIFIABLE","?REFERENTIAL"),"_")))))</f>
        <v> </v>
      </c>
      <c r="H1664" s="25" t="str">
        <f>IF(J1664&lt;&gt;1,"",IF(I1664="SBJ","CB","?"))</f>
        <v> </v>
      </c>
      <c r="I1664" s="26" t="str">
        <f>IF(OR(E1664="",E1664="!!!",F1664="NEW"),"",INDEX(B1663:B$2,-1+SUMPRODUCT(MAX(ROW(E1663:E$2)*(E1664=E1663:E$2)))))</f>
        <v> </v>
      </c>
      <c r="J1664" s="26" t="str">
        <f>IF(OR(E1664="",E1664="!!!",F1664="NEW"),"",COUNTBLANK(OFFSET(A$1,,,SUMPRODUCT(MAX(ROW(E$2:E1664)*(E1664=E$2:E1664)))))-COUNTBLANK(OFFSET(A$1,,,SUMPRODUCT(MAX(ROW(E$1:E1663)*(E2=E$1:E1663))))))</f>
        <v> </v>
      </c>
      <c r="K1664" s="26" t="str">
        <f>IF(OR(E1664="",E1664="!!!",F1664="NEW"),"",INDEX(J$1:J1663,SUMPRODUCT(MAX(ROW(E$1:E1663)*(E1664=E$1:E1663)))))</f>
        <v> </v>
      </c>
      <c r="L1664" s="27"/>
    </row>
    <row r="1665" spans="1:12">
      <c r="A1665" s="20" t="s">
        <v>759</v>
      </c>
      <c r="E1665" s="22">
        <f>IF(D1665="?OLD","!!!","")</f>
        <v/>
      </c>
      <c r="F1665" s="23" t="str">
        <f>IF(OR(E1665="",E1665="!!!"),"",IF(NOT(ISNA(VLOOKUP(E1665,E$1:E1664,1,FALSE()))),"OLD",IF(AND(E1665&lt;&gt;"",E1665&lt;&gt;"!!!"),"NEW","")))</f>
        <v> </v>
      </c>
      <c r="G1665" s="24" t="str">
        <f>IF(OR(E1665="",E1665="!!!"),"",IF(OR(J1665=0,AND(J1665=1,K1665=1),AND(J1665=1,I1665="SBJ"),AND(J1665=1,I1665=0)),"?IN_FOCUS",IF(J1665&lt;=2,"?ACTIVATED",IF(J1665&lt;&gt;"","?FAMILIAR",IF(F1665="NEW",IF(ISNA(VLOOKUP(E1665,#REF!,1,FALSE())),"?TYPE_IDENTIFIABLE","?REFERENTIAL"),"_")))))</f>
        <v> </v>
      </c>
      <c r="H1665" s="25" t="str">
        <f>IF(J1665&lt;&gt;1,"",IF(I1665="SBJ","CB","?"))</f>
        <v> </v>
      </c>
      <c r="I1665" s="26" t="str">
        <f>IF(OR(E1665="",E1665="!!!",F1665="NEW"),"",INDEX(B1664:B$2,-1+SUMPRODUCT(MAX(ROW(E1664:E$2)*(E1665=E1664:E$2)))))</f>
        <v> </v>
      </c>
      <c r="J1665" s="26" t="str">
        <f>IF(OR(E1665="",E1665="!!!",F1665="NEW"),"",COUNTBLANK(OFFSET(A$1,,,SUMPRODUCT(MAX(ROW(E$2:E1665)*(E1665=E$2:E1665)))))-COUNTBLANK(OFFSET(A$1,,,SUMPRODUCT(MAX(ROW(E$1:E1664)*(E2=E$1:E1664))))))</f>
        <v> </v>
      </c>
      <c r="K1665" s="26" t="str">
        <f>IF(OR(E1665="",E1665="!!!",F1665="NEW"),"",INDEX(J$1:J1664,SUMPRODUCT(MAX(ROW(E$1:E1664)*(E1665=E$1:E1664)))))</f>
        <v> </v>
      </c>
      <c r="L1665" s="27"/>
    </row>
    <row r="1666" spans="1:12">
      <c r="A1666" s="20" t="s">
        <v>733</v>
      </c>
      <c r="E1666" s="22">
        <f>IF(D1666="?OLD","!!!","")</f>
        <v/>
      </c>
      <c r="F1666" s="23" t="str">
        <f>IF(OR(E1666="",E1666="!!!"),"",IF(NOT(ISNA(VLOOKUP(E1666,E$1:E1665,1,FALSE()))),"OLD",IF(AND(E1666&lt;&gt;"",E1666&lt;&gt;"!!!"),"NEW","")))</f>
        <v> </v>
      </c>
      <c r="G1666" s="24" t="str">
        <f>IF(OR(E1666="",E1666="!!!"),"",IF(OR(J1666=0,AND(J1666=1,K1666=1),AND(J1666=1,I1666="SBJ"),AND(J1666=1,I1666=0)),"?IN_FOCUS",IF(J1666&lt;=2,"?ACTIVATED",IF(J1666&lt;&gt;"","?FAMILIAR",IF(F1666="NEW",IF(ISNA(VLOOKUP(E1666,#REF!,1,FALSE())),"?TYPE_IDENTIFIABLE","?REFERENTIAL"),"_")))))</f>
        <v> </v>
      </c>
      <c r="H1666" s="25" t="str">
        <f>IF(J1666&lt;&gt;1,"",IF(I1666="SBJ","CB","?"))</f>
        <v> </v>
      </c>
      <c r="I1666" s="26" t="str">
        <f>IF(OR(E1666="",E1666="!!!",F1666="NEW"),"",INDEX(B1665:B$2,-1+SUMPRODUCT(MAX(ROW(E1665:E$2)*(E1666=E1665:E$2)))))</f>
        <v> </v>
      </c>
      <c r="J1666" s="26" t="str">
        <f>IF(OR(E1666="",E1666="!!!",F1666="NEW"),"",COUNTBLANK(OFFSET(A$1,,,SUMPRODUCT(MAX(ROW(E$2:E1666)*(E1666=E$2:E1666)))))-COUNTBLANK(OFFSET(A$1,,,SUMPRODUCT(MAX(ROW(E$1:E1665)*(E2=E$1:E1665))))))</f>
        <v> </v>
      </c>
      <c r="K1666" s="26" t="str">
        <f>IF(OR(E1666="",E1666="!!!",F1666="NEW"),"",INDEX(J$1:J1665,SUMPRODUCT(MAX(ROW(E$1:E1665)*(E1666=E$1:E1665)))))</f>
        <v> </v>
      </c>
      <c r="L1666" s="27"/>
    </row>
    <row r="1667" spans="1:12">
      <c r="A1667" s="20" t="s">
        <v>1437</v>
      </c>
      <c r="B1667" s="21" t="s">
        <v>791</v>
      </c>
      <c r="C1667" s="21" t="s">
        <v>737</v>
      </c>
      <c r="E1667" s="22">
        <f>IF(D1667="?OLD","!!!","")</f>
        <v/>
      </c>
      <c r="F1667" s="23" t="str">
        <f>IF(OR(E1667="",E1667="!!!"),"",IF(NOT(ISNA(VLOOKUP(E1667,E$1:E1666,1,FALSE()))),"OLD",IF(AND(E1667&lt;&gt;"",E1667&lt;&gt;"!!!"),"NEW","")))</f>
        <v> </v>
      </c>
      <c r="G1667" s="24" t="str">
        <f>IF(OR(E1667="",E1667="!!!"),"",IF(OR(J1667=0,AND(J1667=1,K1667=1),AND(J1667=1,I1667="SBJ"),AND(J1667=1,I1667=0)),"?IN_FOCUS",IF(J1667&lt;=2,"?ACTIVATED",IF(J1667&lt;&gt;"","?FAMILIAR",IF(F1667="NEW",IF(ISNA(VLOOKUP(E1667,#REF!,1,FALSE())),"?TYPE_IDENTIFIABLE","?REFERENTIAL"),"_")))))</f>
        <v> </v>
      </c>
      <c r="H1667" s="25" t="str">
        <f>IF(J1667&lt;&gt;1,"",IF(I1667="SBJ","CB","?"))</f>
        <v> </v>
      </c>
      <c r="I1667" s="26" t="str">
        <f>IF(OR(E1667="",E1667="!!!",F1667="NEW"),"",INDEX(B1666:B$2,-1+SUMPRODUCT(MAX(ROW(E1666:E$2)*(E1667=E1666:E$2)))))</f>
        <v> </v>
      </c>
      <c r="J1667" s="26" t="str">
        <f>IF(OR(E1667="",E1667="!!!",F1667="NEW"),"",COUNTBLANK(OFFSET(A$1,,,SUMPRODUCT(MAX(ROW(E$2:E1667)*(E1667=E$2:E1667)))))-COUNTBLANK(OFFSET(A$1,,,SUMPRODUCT(MAX(ROW(E$1:E1666)*(E2=E$1:E1666))))))</f>
        <v> </v>
      </c>
      <c r="K1667" s="26" t="str">
        <f>IF(OR(E1667="",E1667="!!!",F1667="NEW"),"",INDEX(J$1:J1666,SUMPRODUCT(MAX(ROW(E$1:E1666)*(E1667=E$1:E1666)))))</f>
        <v> </v>
      </c>
      <c r="L1667" s="27"/>
    </row>
    <row r="1668" spans="1:12">
      <c r="A1668" s="20" t="s">
        <v>1438</v>
      </c>
      <c r="E1668" s="22">
        <f>IF(D1668="?OLD","!!!","")</f>
        <v/>
      </c>
      <c r="F1668" s="23" t="str">
        <f>IF(OR(E1668="",E1668="!!!"),"",IF(NOT(ISNA(VLOOKUP(E1668,E$1:E1667,1,FALSE()))),"OLD",IF(AND(E1668&lt;&gt;"",E1668&lt;&gt;"!!!"),"NEW","")))</f>
        <v> </v>
      </c>
      <c r="G1668" s="24" t="str">
        <f>IF(OR(E1668="",E1668="!!!"),"",IF(OR(J1668=0,AND(J1668=1,K1668=1),AND(J1668=1,I1668="SBJ"),AND(J1668=1,I1668=0)),"?IN_FOCUS",IF(J1668&lt;=2,"?ACTIVATED",IF(J1668&lt;&gt;"","?FAMILIAR",IF(F1668="NEW",IF(ISNA(VLOOKUP(E1668,#REF!,1,FALSE())),"?TYPE_IDENTIFIABLE","?REFERENTIAL"),"_")))))</f>
        <v> </v>
      </c>
      <c r="H1668" s="25" t="str">
        <f>IF(J1668&lt;&gt;1,"",IF(I1668="SBJ","CB","?"))</f>
        <v> </v>
      </c>
      <c r="I1668" s="26" t="str">
        <f>IF(OR(E1668="",E1668="!!!",F1668="NEW"),"",INDEX(B1667:B$2,-1+SUMPRODUCT(MAX(ROW(E1667:E$2)*(E1668=E1667:E$2)))))</f>
        <v> </v>
      </c>
      <c r="J1668" s="26" t="str">
        <f>IF(OR(E1668="",E1668="!!!",F1668="NEW"),"",COUNTBLANK(OFFSET(A$1,,,SUMPRODUCT(MAX(ROW(E$2:E1668)*(E1668=E$2:E1668)))))-COUNTBLANK(OFFSET(A$1,,,SUMPRODUCT(MAX(ROW(E$1:E1667)*(E2=E$1:E1667))))))</f>
        <v> </v>
      </c>
      <c r="K1668" s="26" t="str">
        <f>IF(OR(E1668="",E1668="!!!",F1668="NEW"),"",INDEX(J$1:J1667,SUMPRODUCT(MAX(ROW(E$1:E1667)*(E1668=E$1:E1667)))))</f>
        <v> </v>
      </c>
      <c r="L1668" s="27"/>
    </row>
    <row r="1669" spans="1:12">
      <c r="A1669" s="20" t="s">
        <v>246</v>
      </c>
      <c r="E1669" s="22">
        <f>IF(D1669="?OLD","!!!","")</f>
        <v/>
      </c>
      <c r="F1669" s="23" t="str">
        <f>IF(OR(E1669="",E1669="!!!"),"",IF(NOT(ISNA(VLOOKUP(E1669,E$1:E1668,1,FALSE()))),"OLD",IF(AND(E1669&lt;&gt;"",E1669&lt;&gt;"!!!"),"NEW","")))</f>
        <v> </v>
      </c>
      <c r="G1669" s="24" t="str">
        <f>IF(OR(E1669="",E1669="!!!"),"",IF(OR(J1669=0,AND(J1669=1,K1669=1),AND(J1669=1,I1669="SBJ"),AND(J1669=1,I1669=0)),"?IN_FOCUS",IF(J1669&lt;=2,"?ACTIVATED",IF(J1669&lt;&gt;"","?FAMILIAR",IF(F1669="NEW",IF(ISNA(VLOOKUP(E1669,#REF!,1,FALSE())),"?TYPE_IDENTIFIABLE","?REFERENTIAL"),"_")))))</f>
        <v> </v>
      </c>
      <c r="H1669" s="25" t="str">
        <f>IF(J1669&lt;&gt;1,"",IF(I1669="SBJ","CB","?"))</f>
        <v> </v>
      </c>
      <c r="I1669" s="26" t="str">
        <f>IF(OR(E1669="",E1669="!!!",F1669="NEW"),"",INDEX(B1668:B$2,-1+SUMPRODUCT(MAX(ROW(E1668:E$2)*(E1669=E1668:E$2)))))</f>
        <v> </v>
      </c>
      <c r="J1669" s="26" t="str">
        <f>IF(OR(E1669="",E1669="!!!",F1669="NEW"),"",COUNTBLANK(OFFSET(A$1,,,SUMPRODUCT(MAX(ROW(E$2:E1669)*(E1669=E$2:E1669)))))-COUNTBLANK(OFFSET(A$1,,,SUMPRODUCT(MAX(ROW(E$1:E1668)*(E2=E$1:E1668))))))</f>
        <v> </v>
      </c>
      <c r="K1669" s="26" t="str">
        <f>IF(OR(E1669="",E1669="!!!",F1669="NEW"),"",INDEX(J$1:J1668,SUMPRODUCT(MAX(ROW(E$1:E1668)*(E1669=E$1:E1668)))))</f>
        <v> </v>
      </c>
      <c r="L1669" s="27"/>
    </row>
    <row r="1670" spans="1:12">
      <c r="A1670" s="20"/>
    </row>
    <row r="1671" spans="1:12">
      <c r="A1671" s="20" t="s">
        <v>1439</v>
      </c>
    </row>
    <row r="1672" spans="1:12">
      <c r="A1672" s="20" t="s">
        <v>1440</v>
      </c>
      <c r="E1672" s="22">
        <f>IF(D1672="?OLD","!!!","")</f>
        <v/>
      </c>
      <c r="F1672" s="23" t="str">
        <f>IF(OR(E1672="",E1672="!!!"),"",IF(NOT(ISNA(VLOOKUP(E1672,E$1:E1671,1,FALSE()))),"OLD",IF(AND(E1672&lt;&gt;"",E1672&lt;&gt;"!!!"),"NEW","")))</f>
        <v> </v>
      </c>
      <c r="G1672" s="24" t="str">
        <f>IF(OR(E1672="",E1672="!!!"),"",IF(OR(J1672=0,AND(J1672=1,K1672=1),AND(J1672=1,I1672="SBJ"),AND(J1672=1,I1672=0)),"?IN_FOCUS",IF(J1672&lt;=2,"?ACTIVATED",IF(J1672&lt;&gt;"","?FAMILIAR",IF(F1672="NEW",IF(ISNA(VLOOKUP(E1672,#REF!,1,FALSE())),"?TYPE_IDENTIFIABLE","?REFERENTIAL"),"_")))))</f>
        <v> </v>
      </c>
      <c r="H1672" s="25" t="str">
        <f>IF(J1672&lt;&gt;1,"",IF(I1672="SBJ","CB","?"))</f>
        <v> </v>
      </c>
      <c r="I1672" s="26" t="str">
        <f>IF(OR(E1672="",E1672="!!!",F1672="NEW"),"",INDEX(B1671:B$2,-1+SUMPRODUCT(MAX(ROW(E1671:E$2)*(E1672=E1671:E$2)))))</f>
        <v> </v>
      </c>
      <c r="J1672" s="26" t="str">
        <f>IF(OR(E1672="",E1672="!!!",F1672="NEW"),"",COUNTBLANK(OFFSET(A$1,,,SUMPRODUCT(MAX(ROW(E$2:E1672)*(E1672=E$2:E1672)))))-COUNTBLANK(OFFSET(A$1,,,SUMPRODUCT(MAX(ROW(E$1:E1671)*(E2=E$1:E1671))))))</f>
        <v> </v>
      </c>
      <c r="K1672" s="26" t="str">
        <f>IF(OR(E1672="",E1672="!!!",F1672="NEW"),"",INDEX(J$1:J1671,SUMPRODUCT(MAX(ROW(E$1:E1671)*(E1672=E$1:E1671)))))</f>
        <v> </v>
      </c>
      <c r="L1672" s="27"/>
    </row>
    <row r="1673" spans="1:12">
      <c r="A1673" s="20" t="s">
        <v>986</v>
      </c>
      <c r="E1673" s="22">
        <f>IF(D1673="?OLD","!!!","")</f>
        <v/>
      </c>
      <c r="F1673" s="23" t="str">
        <f>IF(OR(E1673="",E1673="!!!"),"",IF(NOT(ISNA(VLOOKUP(E1673,E$1:E1672,1,FALSE()))),"OLD",IF(AND(E1673&lt;&gt;"",E1673&lt;&gt;"!!!"),"NEW","")))</f>
        <v> </v>
      </c>
      <c r="G1673" s="24" t="str">
        <f>IF(OR(E1673="",E1673="!!!"),"",IF(OR(J1673=0,AND(J1673=1,K1673=1),AND(J1673=1,I1673="SBJ"),AND(J1673=1,I1673=0)),"?IN_FOCUS",IF(J1673&lt;=2,"?ACTIVATED",IF(J1673&lt;&gt;"","?FAMILIAR",IF(F1673="NEW",IF(ISNA(VLOOKUP(E1673,#REF!,1,FALSE())),"?TYPE_IDENTIFIABLE","?REFERENTIAL"),"_")))))</f>
        <v> </v>
      </c>
      <c r="H1673" s="25" t="str">
        <f>IF(J1673&lt;&gt;1,"",IF(I1673="SBJ","CB","?"))</f>
        <v> </v>
      </c>
      <c r="I1673" s="26" t="str">
        <f>IF(OR(E1673="",E1673="!!!",F1673="NEW"),"",INDEX(B1672:B$2,-1+SUMPRODUCT(MAX(ROW(E1672:E$2)*(E1673=E1672:E$2)))))</f>
        <v> </v>
      </c>
      <c r="J1673" s="26" t="str">
        <f>IF(OR(E1673="",E1673="!!!",F1673="NEW"),"",COUNTBLANK(OFFSET(A$1,,,SUMPRODUCT(MAX(ROW(E$2:E1673)*(E1673=E$2:E1673)))))-COUNTBLANK(OFFSET(A$1,,,SUMPRODUCT(MAX(ROW(E$1:E1672)*(E2=E$1:E1672))))))</f>
        <v> </v>
      </c>
      <c r="K1673" s="26" t="str">
        <f>IF(OR(E1673="",E1673="!!!",F1673="NEW"),"",INDEX(J$1:J1672,SUMPRODUCT(MAX(ROW(E$1:E1672)*(E1673=E$1:E1672)))))</f>
        <v> </v>
      </c>
      <c r="L1673" s="27"/>
    </row>
    <row r="1674" spans="1:12">
      <c r="A1674" s="20" t="s">
        <v>759</v>
      </c>
      <c r="E1674" s="22">
        <f>IF(D1674="?OLD","!!!","")</f>
        <v/>
      </c>
      <c r="F1674" s="23" t="str">
        <f>IF(OR(E1674="",E1674="!!!"),"",IF(NOT(ISNA(VLOOKUP(E1674,E$1:E1673,1,FALSE()))),"OLD",IF(AND(E1674&lt;&gt;"",E1674&lt;&gt;"!!!"),"NEW","")))</f>
        <v> </v>
      </c>
      <c r="G1674" s="24" t="str">
        <f>IF(OR(E1674="",E1674="!!!"),"",IF(OR(J1674=0,AND(J1674=1,K1674=1),AND(J1674=1,I1674="SBJ"),AND(J1674=1,I1674=0)),"?IN_FOCUS",IF(J1674&lt;=2,"?ACTIVATED",IF(J1674&lt;&gt;"","?FAMILIAR",IF(F1674="NEW",IF(ISNA(VLOOKUP(E1674,#REF!,1,FALSE())),"?TYPE_IDENTIFIABLE","?REFERENTIAL"),"_")))))</f>
        <v> </v>
      </c>
      <c r="H1674" s="25" t="str">
        <f>IF(J1674&lt;&gt;1,"",IF(I1674="SBJ","CB","?"))</f>
        <v> </v>
      </c>
      <c r="I1674" s="26" t="str">
        <f>IF(OR(E1674="",E1674="!!!",F1674="NEW"),"",INDEX(B1673:B$2,-1+SUMPRODUCT(MAX(ROW(E1673:E$2)*(E1674=E1673:E$2)))))</f>
        <v> </v>
      </c>
      <c r="J1674" s="26" t="str">
        <f>IF(OR(E1674="",E1674="!!!",F1674="NEW"),"",COUNTBLANK(OFFSET(A$1,,,SUMPRODUCT(MAX(ROW(E$2:E1674)*(E1674=E$2:E1674)))))-COUNTBLANK(OFFSET(A$1,,,SUMPRODUCT(MAX(ROW(E$1:E1673)*(E2=E$1:E1673))))))</f>
        <v> </v>
      </c>
      <c r="K1674" s="26" t="str">
        <f>IF(OR(E1674="",E1674="!!!",F1674="NEW"),"",INDEX(J$1:J1673,SUMPRODUCT(MAX(ROW(E$1:E1673)*(E1674=E$1:E1673)))))</f>
        <v> </v>
      </c>
      <c r="L1674" s="27"/>
    </row>
    <row r="1675" spans="1:12">
      <c r="A1675" s="20" t="s">
        <v>928</v>
      </c>
      <c r="B1675" s="21" t="s">
        <v>728</v>
      </c>
      <c r="C1675" s="21" t="s">
        <v>789</v>
      </c>
      <c r="D1675" s="21" t="s">
        <v>730</v>
      </c>
      <c r="E1675" s="22">
        <f>IF(D1675="?OLD","!!!","")</f>
        <v/>
      </c>
      <c r="F1675" s="23" t="str">
        <f>IF(OR(E1675="",E1675="!!!"),"",IF(NOT(ISNA(VLOOKUP(E1675,E$1:E1674,1,FALSE()))),"OLD",IF(AND(E1675&lt;&gt;"",E1675&lt;&gt;"!!!"),"NEW","")))</f>
        <v> </v>
      </c>
      <c r="G1675" s="24" t="str">
        <f>IF(OR(E1675="",E1675="!!!"),"",IF(OR(J1675=0,AND(J1675=1,K1675=1),AND(J1675=1,I1675="SBJ"),AND(J1675=1,I1675=0)),"?IN_FOCUS",IF(J1675&lt;=2,"?ACTIVATED",IF(J1675&lt;&gt;"","?FAMILIAR",IF(F1675="NEW",IF(ISNA(VLOOKUP(E1675,#REF!,1,FALSE())),"?TYPE_IDENTIFIABLE","?REFERENTIAL"),"_")))))</f>
        <v> </v>
      </c>
      <c r="H1675" s="25" t="str">
        <f>IF(J1675&lt;&gt;1,"",IF(I1675="SBJ","CB","?"))</f>
        <v> </v>
      </c>
      <c r="I1675" s="26" t="str">
        <f>IF(OR(E1675="",E1675="!!!",F1675="NEW"),"",INDEX(B1674:B$2,-1+SUMPRODUCT(MAX(ROW(E1674:E$2)*(E1675=E1674:E$2)))))</f>
        <v> </v>
      </c>
      <c r="J1675" s="26" t="str">
        <f>IF(OR(E1675="",E1675="!!!",F1675="NEW"),"",COUNTBLANK(OFFSET(A$1,,,SUMPRODUCT(MAX(ROW(E$2:E1675)*(E1675=E$2:E1675)))))-COUNTBLANK(OFFSET(A$1,,,SUMPRODUCT(MAX(ROW(E$1:E1674)*(E2=E$1:E1674))))))</f>
        <v> </v>
      </c>
      <c r="K1675" s="26" t="str">
        <f>IF(OR(E1675="",E1675="!!!",F1675="NEW"),"",INDEX(J$1:J1674,SUMPRODUCT(MAX(ROW(E$1:E1674)*(E1675=E$1:E1674)))))</f>
        <v> </v>
      </c>
      <c r="L1675" s="27"/>
    </row>
    <row r="1676" spans="1:12">
      <c r="A1676" s="20" t="s">
        <v>1137</v>
      </c>
      <c r="E1676" s="22">
        <f>IF(D1676="?OLD","!!!","")</f>
        <v/>
      </c>
      <c r="F1676" s="23" t="str">
        <f>IF(OR(E1676="",E1676="!!!"),"",IF(NOT(ISNA(VLOOKUP(E1676,E$1:E1675,1,FALSE()))),"OLD",IF(AND(E1676&lt;&gt;"",E1676&lt;&gt;"!!!"),"NEW","")))</f>
        <v> </v>
      </c>
      <c r="G1676" s="24" t="str">
        <f>IF(OR(E1676="",E1676="!!!"),"",IF(OR(J1676=0,AND(J1676=1,K1676=1),AND(J1676=1,I1676="SBJ"),AND(J1676=1,I1676=0)),"?IN_FOCUS",IF(J1676&lt;=2,"?ACTIVATED",IF(J1676&lt;&gt;"","?FAMILIAR",IF(F1676="NEW",IF(ISNA(VLOOKUP(E1676,#REF!,1,FALSE())),"?TYPE_IDENTIFIABLE","?REFERENTIAL"),"_")))))</f>
        <v> </v>
      </c>
      <c r="H1676" s="25" t="str">
        <f>IF(J1676&lt;&gt;1,"",IF(I1676="SBJ","CB","?"))</f>
        <v> </v>
      </c>
      <c r="I1676" s="26" t="str">
        <f>IF(OR(E1676="",E1676="!!!",F1676="NEW"),"",INDEX(B1675:B$2,-1+SUMPRODUCT(MAX(ROW(E1675:E$2)*(E1676=E1675:E$2)))))</f>
        <v> </v>
      </c>
      <c r="J1676" s="26" t="str">
        <f>IF(OR(E1676="",E1676="!!!",F1676="NEW"),"",COUNTBLANK(OFFSET(A$1,,,SUMPRODUCT(MAX(ROW(E$2:E1676)*(E1676=E$2:E1676)))))-COUNTBLANK(OFFSET(A$1,,,SUMPRODUCT(MAX(ROW(E$1:E1675)*(E2=E$1:E1675))))))</f>
        <v> </v>
      </c>
      <c r="K1676" s="26" t="str">
        <f>IF(OR(E1676="",E1676="!!!",F1676="NEW"),"",INDEX(J$1:J1675,SUMPRODUCT(MAX(ROW(E$1:E1675)*(E1676=E$1:E1675)))))</f>
        <v> </v>
      </c>
      <c r="L1676" s="27"/>
    </row>
    <row r="1677" spans="1:12">
      <c r="A1677" s="20" t="s">
        <v>805</v>
      </c>
      <c r="E1677" s="22">
        <f>IF(D1677="?OLD","!!!","")</f>
        <v/>
      </c>
      <c r="F1677" s="23" t="str">
        <f>IF(OR(E1677="",E1677="!!!"),"",IF(NOT(ISNA(VLOOKUP(E1677,E$1:E1676,1,FALSE()))),"OLD",IF(AND(E1677&lt;&gt;"",E1677&lt;&gt;"!!!"),"NEW","")))</f>
        <v> </v>
      </c>
      <c r="G1677" s="24" t="str">
        <f>IF(OR(E1677="",E1677="!!!"),"",IF(OR(J1677=0,AND(J1677=1,K1677=1),AND(J1677=1,I1677="SBJ"),AND(J1677=1,I1677=0)),"?IN_FOCUS",IF(J1677&lt;=2,"?ACTIVATED",IF(J1677&lt;&gt;"","?FAMILIAR",IF(F1677="NEW",IF(ISNA(VLOOKUP(E1677,#REF!,1,FALSE())),"?TYPE_IDENTIFIABLE","?REFERENTIAL"),"_")))))</f>
        <v> </v>
      </c>
      <c r="H1677" s="25" t="str">
        <f>IF(J1677&lt;&gt;1,"",IF(I1677="SBJ","CB","?"))</f>
        <v> </v>
      </c>
      <c r="I1677" s="26" t="str">
        <f>IF(OR(E1677="",E1677="!!!",F1677="NEW"),"",INDEX(B1676:B$2,-1+SUMPRODUCT(MAX(ROW(E1676:E$2)*(E1677=E1676:E$2)))))</f>
        <v> </v>
      </c>
      <c r="J1677" s="26" t="str">
        <f>IF(OR(E1677="",E1677="!!!",F1677="NEW"),"",COUNTBLANK(OFFSET(A$1,,,SUMPRODUCT(MAX(ROW(E$2:E1677)*(E1677=E$2:E1677)))))-COUNTBLANK(OFFSET(A$1,,,SUMPRODUCT(MAX(ROW(E$1:E1676)*(E2=E$1:E1676))))))</f>
        <v> </v>
      </c>
      <c r="K1677" s="26" t="str">
        <f>IF(OR(E1677="",E1677="!!!",F1677="NEW"),"",INDEX(J$1:J1676,SUMPRODUCT(MAX(ROW(E$1:E1676)*(E1677=E$1:E1676)))))</f>
        <v> </v>
      </c>
      <c r="L1677" s="27"/>
    </row>
    <row r="1678" spans="1:12">
      <c r="A1678" s="20" t="s">
        <v>1441</v>
      </c>
      <c r="E1678" s="22">
        <f>IF(D1678="?OLD","!!!","")</f>
        <v/>
      </c>
      <c r="F1678" s="23" t="str">
        <f>IF(OR(E1678="",E1678="!!!"),"",IF(NOT(ISNA(VLOOKUP(E1678,E$1:E1677,1,FALSE()))),"OLD",IF(AND(E1678&lt;&gt;"",E1678&lt;&gt;"!!!"),"NEW","")))</f>
        <v> </v>
      </c>
      <c r="G1678" s="24" t="str">
        <f>IF(OR(E1678="",E1678="!!!"),"",IF(OR(J1678=0,AND(J1678=1,K1678=1),AND(J1678=1,I1678="SBJ"),AND(J1678=1,I1678=0)),"?IN_FOCUS",IF(J1678&lt;=2,"?ACTIVATED",IF(J1678&lt;&gt;"","?FAMILIAR",IF(F1678="NEW",IF(ISNA(VLOOKUP(E1678,#REF!,1,FALSE())),"?TYPE_IDENTIFIABLE","?REFERENTIAL"),"_")))))</f>
        <v> </v>
      </c>
      <c r="H1678" s="25" t="str">
        <f>IF(J1678&lt;&gt;1,"",IF(I1678="SBJ","CB","?"))</f>
        <v> </v>
      </c>
      <c r="I1678" s="26" t="str">
        <f>IF(OR(E1678="",E1678="!!!",F1678="NEW"),"",INDEX(B1677:B$2,-1+SUMPRODUCT(MAX(ROW(E1677:E$2)*(E1678=E1677:E$2)))))</f>
        <v> </v>
      </c>
      <c r="J1678" s="26" t="str">
        <f>IF(OR(E1678="",E1678="!!!",F1678="NEW"),"",COUNTBLANK(OFFSET(A$1,,,SUMPRODUCT(MAX(ROW(E$2:E1678)*(E1678=E$2:E1678)))))-COUNTBLANK(OFFSET(A$1,,,SUMPRODUCT(MAX(ROW(E$1:E1677)*(E2=E$1:E1677))))))</f>
        <v> </v>
      </c>
      <c r="K1678" s="26" t="str">
        <f>IF(OR(E1678="",E1678="!!!",F1678="NEW"),"",INDEX(J$1:J1677,SUMPRODUCT(MAX(ROW(E$1:E1677)*(E1678=E$1:E1677)))))</f>
        <v> </v>
      </c>
      <c r="L1678" s="27"/>
    </row>
    <row r="1679" spans="1:12">
      <c r="A1679" s="20" t="s">
        <v>785</v>
      </c>
      <c r="E1679" s="22">
        <f>IF(D1679="?OLD","!!!","")</f>
        <v/>
      </c>
      <c r="F1679" s="23" t="str">
        <f>IF(OR(E1679="",E1679="!!!"),"",IF(NOT(ISNA(VLOOKUP(E1679,E$1:E1678,1,FALSE()))),"OLD",IF(AND(E1679&lt;&gt;"",E1679&lt;&gt;"!!!"),"NEW","")))</f>
        <v> </v>
      </c>
      <c r="G1679" s="24" t="str">
        <f>IF(OR(E1679="",E1679="!!!"),"",IF(OR(J1679=0,AND(J1679=1,K1679=1),AND(J1679=1,I1679="SBJ"),AND(J1679=1,I1679=0)),"?IN_FOCUS",IF(J1679&lt;=2,"?ACTIVATED",IF(J1679&lt;&gt;"","?FAMILIAR",IF(F1679="NEW",IF(ISNA(VLOOKUP(E1679,#REF!,1,FALSE())),"?TYPE_IDENTIFIABLE","?REFERENTIAL"),"_")))))</f>
        <v> </v>
      </c>
      <c r="H1679" s="25" t="str">
        <f>IF(J1679&lt;&gt;1,"",IF(I1679="SBJ","CB","?"))</f>
        <v> </v>
      </c>
      <c r="I1679" s="26" t="str">
        <f>IF(OR(E1679="",E1679="!!!",F1679="NEW"),"",INDEX(B1678:B$2,-1+SUMPRODUCT(MAX(ROW(E1678:E$2)*(E1679=E1678:E$2)))))</f>
        <v> </v>
      </c>
      <c r="J1679" s="26" t="str">
        <f>IF(OR(E1679="",E1679="!!!",F1679="NEW"),"",COUNTBLANK(OFFSET(A$1,,,SUMPRODUCT(MAX(ROW(E$2:E1679)*(E1679=E$2:E1679)))))-COUNTBLANK(OFFSET(A$1,,,SUMPRODUCT(MAX(ROW(E$1:E1678)*(E2=E$1:E1678))))))</f>
        <v> </v>
      </c>
      <c r="K1679" s="26" t="str">
        <f>IF(OR(E1679="",E1679="!!!",F1679="NEW"),"",INDEX(J$1:J1678,SUMPRODUCT(MAX(ROW(E$1:E1678)*(E1679=E$1:E1678)))))</f>
        <v> </v>
      </c>
      <c r="L1679" s="27"/>
    </row>
    <row r="1680" spans="1:12">
      <c r="A1680" s="20" t="s">
        <v>1442</v>
      </c>
      <c r="E1680" s="22">
        <f>IF(D1680="?OLD","!!!","")</f>
        <v/>
      </c>
      <c r="F1680" s="23" t="str">
        <f>IF(OR(E1680="",E1680="!!!"),"",IF(NOT(ISNA(VLOOKUP(E1680,E$1:E1679,1,FALSE()))),"OLD",IF(AND(E1680&lt;&gt;"",E1680&lt;&gt;"!!!"),"NEW","")))</f>
        <v> </v>
      </c>
      <c r="G1680" s="24" t="str">
        <f>IF(OR(E1680="",E1680="!!!"),"",IF(OR(J1680=0,AND(J1680=1,K1680=1),AND(J1680=1,I1680="SBJ"),AND(J1680=1,I1680=0)),"?IN_FOCUS",IF(J1680&lt;=2,"?ACTIVATED",IF(J1680&lt;&gt;"","?FAMILIAR",IF(F1680="NEW",IF(ISNA(VLOOKUP(E1680,#REF!,1,FALSE())),"?TYPE_IDENTIFIABLE","?REFERENTIAL"),"_")))))</f>
        <v> </v>
      </c>
      <c r="H1680" s="25" t="str">
        <f>IF(J1680&lt;&gt;1,"",IF(I1680="SBJ","CB","?"))</f>
        <v> </v>
      </c>
      <c r="I1680" s="26" t="str">
        <f>IF(OR(E1680="",E1680="!!!",F1680="NEW"),"",INDEX(B1679:B$2,-1+SUMPRODUCT(MAX(ROW(E1679:E$2)*(E1680=E1679:E$2)))))</f>
        <v> </v>
      </c>
      <c r="J1680" s="26" t="str">
        <f>IF(OR(E1680="",E1680="!!!",F1680="NEW"),"",COUNTBLANK(OFFSET(A$1,,,SUMPRODUCT(MAX(ROW(E$2:E1680)*(E1680=E$2:E1680)))))-COUNTBLANK(OFFSET(A$1,,,SUMPRODUCT(MAX(ROW(E$1:E1679)*(E2=E$1:E1679))))))</f>
        <v> </v>
      </c>
      <c r="K1680" s="26" t="str">
        <f>IF(OR(E1680="",E1680="!!!",F1680="NEW"),"",INDEX(J$1:J1679,SUMPRODUCT(MAX(ROW(E$1:E1679)*(E1680=E$1:E1679)))))</f>
        <v> </v>
      </c>
      <c r="L1680" s="27"/>
    </row>
    <row r="1681" spans="1:12">
      <c r="A1681" s="20" t="s">
        <v>1443</v>
      </c>
      <c r="E1681" s="22">
        <f>IF(D1681="?OLD","!!!","")</f>
        <v/>
      </c>
      <c r="F1681" s="23" t="str">
        <f>IF(OR(E1681="",E1681="!!!"),"",IF(NOT(ISNA(VLOOKUP(E1681,E$1:E1680,1,FALSE()))),"OLD",IF(AND(E1681&lt;&gt;"",E1681&lt;&gt;"!!!"),"NEW","")))</f>
        <v> </v>
      </c>
      <c r="G1681" s="24" t="str">
        <f>IF(OR(E1681="",E1681="!!!"),"",IF(OR(J1681=0,AND(J1681=1,K1681=1),AND(J1681=1,I1681="SBJ"),AND(J1681=1,I1681=0)),"?IN_FOCUS",IF(J1681&lt;=2,"?ACTIVATED",IF(J1681&lt;&gt;"","?FAMILIAR",IF(F1681="NEW",IF(ISNA(VLOOKUP(E1681,#REF!,1,FALSE())),"?TYPE_IDENTIFIABLE","?REFERENTIAL"),"_")))))</f>
        <v> </v>
      </c>
      <c r="H1681" s="25" t="str">
        <f>IF(J1681&lt;&gt;1,"",IF(I1681="SBJ","CB","?"))</f>
        <v> </v>
      </c>
      <c r="I1681" s="26" t="str">
        <f>IF(OR(E1681="",E1681="!!!",F1681="NEW"),"",INDEX(B1680:B$2,-1+SUMPRODUCT(MAX(ROW(E1680:E$2)*(E1681=E1680:E$2)))))</f>
        <v> </v>
      </c>
      <c r="J1681" s="26" t="str">
        <f>IF(OR(E1681="",E1681="!!!",F1681="NEW"),"",COUNTBLANK(OFFSET(A$1,,,SUMPRODUCT(MAX(ROW(E$2:E1681)*(E1681=E$2:E1681)))))-COUNTBLANK(OFFSET(A$1,,,SUMPRODUCT(MAX(ROW(E$1:E1680)*(E2=E$1:E1680))))))</f>
        <v> </v>
      </c>
      <c r="K1681" s="26" t="str">
        <f>IF(OR(E1681="",E1681="!!!",F1681="NEW"),"",INDEX(J$1:J1680,SUMPRODUCT(MAX(ROW(E$1:E1680)*(E1681=E$1:E1680)))))</f>
        <v> </v>
      </c>
      <c r="L1681" s="27"/>
    </row>
    <row r="1682" spans="1:12">
      <c r="A1682" s="20" t="s">
        <v>1444</v>
      </c>
      <c r="B1682" s="21" t="s">
        <v>736</v>
      </c>
      <c r="C1682" s="21" t="s">
        <v>748</v>
      </c>
      <c r="E1682" s="22">
        <f>IF(D1682="?OLD","!!!","")</f>
        <v/>
      </c>
      <c r="F1682" s="23" t="str">
        <f>IF(OR(E1682="",E1682="!!!"),"",IF(NOT(ISNA(VLOOKUP(E1682,E$1:E1681,1,FALSE()))),"OLD",IF(AND(E1682&lt;&gt;"",E1682&lt;&gt;"!!!"),"NEW","")))</f>
        <v> </v>
      </c>
      <c r="G1682" s="24" t="str">
        <f>IF(OR(E1682="",E1682="!!!"),"",IF(OR(J1682=0,AND(J1682=1,K1682=1),AND(J1682=1,I1682="SBJ"),AND(J1682=1,I1682=0)),"?IN_FOCUS",IF(J1682&lt;=2,"?ACTIVATED",IF(J1682&lt;&gt;"","?FAMILIAR",IF(F1682="NEW",IF(ISNA(VLOOKUP(E1682,#REF!,1,FALSE())),"?TYPE_IDENTIFIABLE","?REFERENTIAL"),"_")))))</f>
        <v> </v>
      </c>
      <c r="H1682" s="25" t="str">
        <f>IF(J1682&lt;&gt;1,"",IF(I1682="SBJ","CB","?"))</f>
        <v> </v>
      </c>
      <c r="I1682" s="26" t="str">
        <f>IF(OR(E1682="",E1682="!!!",F1682="NEW"),"",INDEX(B1681:B$2,-1+SUMPRODUCT(MAX(ROW(E1681:E$2)*(E1682=E1681:E$2)))))</f>
        <v> </v>
      </c>
      <c r="J1682" s="26" t="str">
        <f>IF(OR(E1682="",E1682="!!!",F1682="NEW"),"",COUNTBLANK(OFFSET(A$1,,,SUMPRODUCT(MAX(ROW(E$2:E1682)*(E1682=E$2:E1682)))))-COUNTBLANK(OFFSET(A$1,,,SUMPRODUCT(MAX(ROW(E$1:E1681)*(E2=E$1:E1681))))))</f>
        <v> </v>
      </c>
      <c r="K1682" s="26" t="str">
        <f>IF(OR(E1682="",E1682="!!!",F1682="NEW"),"",INDEX(J$1:J1681,SUMPRODUCT(MAX(ROW(E$1:E1681)*(E1682=E$1:E1681)))))</f>
        <v> </v>
      </c>
      <c r="L1682" s="27"/>
    </row>
    <row r="1683" spans="1:12">
      <c r="A1683" s="20" t="s">
        <v>246</v>
      </c>
      <c r="E1683" s="22">
        <f>IF(D1683="?OLD","!!!","")</f>
        <v/>
      </c>
      <c r="F1683" s="23" t="str">
        <f>IF(OR(E1683="",E1683="!!!"),"",IF(NOT(ISNA(VLOOKUP(E1683,E$1:E1682,1,FALSE()))),"OLD",IF(AND(E1683&lt;&gt;"",E1683&lt;&gt;"!!!"),"NEW","")))</f>
        <v> </v>
      </c>
      <c r="G1683" s="24" t="str">
        <f>IF(OR(E1683="",E1683="!!!"),"",IF(OR(J1683=0,AND(J1683=1,K1683=1),AND(J1683=1,I1683="SBJ"),AND(J1683=1,I1683=0)),"?IN_FOCUS",IF(J1683&lt;=2,"?ACTIVATED",IF(J1683&lt;&gt;"","?FAMILIAR",IF(F1683="NEW",IF(ISNA(VLOOKUP(E1683,#REF!,1,FALSE())),"?TYPE_IDENTIFIABLE","?REFERENTIAL"),"_")))))</f>
        <v> </v>
      </c>
      <c r="H1683" s="25" t="str">
        <f>IF(J1683&lt;&gt;1,"",IF(I1683="SBJ","CB","?"))</f>
        <v> </v>
      </c>
      <c r="I1683" s="26" t="str">
        <f>IF(OR(E1683="",E1683="!!!",F1683="NEW"),"",INDEX(B1682:B$2,-1+SUMPRODUCT(MAX(ROW(E1682:E$2)*(E1683=E1682:E$2)))))</f>
        <v> </v>
      </c>
      <c r="J1683" s="26" t="str">
        <f>IF(OR(E1683="",E1683="!!!",F1683="NEW"),"",COUNTBLANK(OFFSET(A$1,,,SUMPRODUCT(MAX(ROW(E$2:E1683)*(E1683=E$2:E1683)))))-COUNTBLANK(OFFSET(A$1,,,SUMPRODUCT(MAX(ROW(E$1:E1682)*(E2=E$1:E1682))))))</f>
        <v> </v>
      </c>
      <c r="K1683" s="26" t="str">
        <f>IF(OR(E1683="",E1683="!!!",F1683="NEW"),"",INDEX(J$1:J1682,SUMPRODUCT(MAX(ROW(E$1:E1682)*(E1683=E$1:E1682)))))</f>
        <v> </v>
      </c>
      <c r="L1683" s="27"/>
    </row>
    <row r="1684" spans="1:12">
      <c r="A1684" s="20"/>
    </row>
    <row r="1685" spans="1:12">
      <c r="A1685" s="20" t="s">
        <v>1445</v>
      </c>
    </row>
    <row r="1686" spans="1:12">
      <c r="A1686" s="20" t="s">
        <v>1446</v>
      </c>
      <c r="B1686" s="21" t="s">
        <v>728</v>
      </c>
      <c r="C1686" s="21" t="s">
        <v>756</v>
      </c>
      <c r="E1686" s="22">
        <f>IF(D1686="?OLD","!!!","")</f>
        <v/>
      </c>
      <c r="F1686" s="23" t="str">
        <f>IF(OR(E1686="",E1686="!!!"),"",IF(NOT(ISNA(VLOOKUP(E1686,E$1:E1685,1,FALSE()))),"OLD",IF(AND(E1686&lt;&gt;"",E1686&lt;&gt;"!!!"),"NEW","")))</f>
        <v> </v>
      </c>
      <c r="G1686" s="24" t="str">
        <f>IF(OR(E1686="",E1686="!!!"),"",IF(OR(J1686=0,AND(J1686=1,K1686=1),AND(J1686=1,I1686="SBJ"),AND(J1686=1,I1686=0)),"?IN_FOCUS",IF(J1686&lt;=2,"?ACTIVATED",IF(J1686&lt;&gt;"","?FAMILIAR",IF(F1686="NEW",IF(ISNA(VLOOKUP(E1686,#REF!,1,FALSE())),"?TYPE_IDENTIFIABLE","?REFERENTIAL"),"_")))))</f>
        <v> </v>
      </c>
      <c r="H1686" s="25" t="str">
        <f>IF(J1686&lt;&gt;1,"",IF(I1686="SBJ","CB","?"))</f>
        <v> </v>
      </c>
      <c r="I1686" s="26" t="str">
        <f>IF(OR(E1686="",E1686="!!!",F1686="NEW"),"",INDEX(B1685:B$2,-1+SUMPRODUCT(MAX(ROW(E1685:E$2)*(E1686=E1685:E$2)))))</f>
        <v> </v>
      </c>
      <c r="J1686" s="26" t="str">
        <f>IF(OR(E1686="",E1686="!!!",F1686="NEW"),"",COUNTBLANK(OFFSET(A$1,,,SUMPRODUCT(MAX(ROW(E$2:E1686)*(E1686=E$2:E1686)))))-COUNTBLANK(OFFSET(A$1,,,SUMPRODUCT(MAX(ROW(E$1:E1685)*(E2=E$1:E1685))))))</f>
        <v> </v>
      </c>
      <c r="K1686" s="26" t="str">
        <f>IF(OR(E1686="",E1686="!!!",F1686="NEW"),"",INDEX(J$1:J1685,SUMPRODUCT(MAX(ROW(E$1:E1685)*(E1686=E$1:E1685)))))</f>
        <v> </v>
      </c>
      <c r="L1686" s="27"/>
    </row>
    <row r="1687" spans="1:12">
      <c r="A1687" s="20" t="s">
        <v>1447</v>
      </c>
      <c r="E1687" s="22">
        <f>IF(D1687="?OLD","!!!","")</f>
        <v/>
      </c>
      <c r="F1687" s="23" t="str">
        <f>IF(OR(E1687="",E1687="!!!"),"",IF(NOT(ISNA(VLOOKUP(E1687,E$1:E1686,1,FALSE()))),"OLD",IF(AND(E1687&lt;&gt;"",E1687&lt;&gt;"!!!"),"NEW","")))</f>
        <v> </v>
      </c>
      <c r="G1687" s="24" t="str">
        <f>IF(OR(E1687="",E1687="!!!"),"",IF(OR(J1687=0,AND(J1687=1,K1687=1),AND(J1687=1,I1687="SBJ"),AND(J1687=1,I1687=0)),"?IN_FOCUS",IF(J1687&lt;=2,"?ACTIVATED",IF(J1687&lt;&gt;"","?FAMILIAR",IF(F1687="NEW",IF(ISNA(VLOOKUP(E1687,#REF!,1,FALSE())),"?TYPE_IDENTIFIABLE","?REFERENTIAL"),"_")))))</f>
        <v> </v>
      </c>
      <c r="H1687" s="25" t="str">
        <f>IF(J1687&lt;&gt;1,"",IF(I1687="SBJ","CB","?"))</f>
        <v> </v>
      </c>
      <c r="I1687" s="26" t="str">
        <f>IF(OR(E1687="",E1687="!!!",F1687="NEW"),"",INDEX(B1686:B$2,-1+SUMPRODUCT(MAX(ROW(E1686:E$2)*(E1687=E1686:E$2)))))</f>
        <v> </v>
      </c>
      <c r="J1687" s="26" t="str">
        <f>IF(OR(E1687="",E1687="!!!",F1687="NEW"),"",COUNTBLANK(OFFSET(A$1,,,SUMPRODUCT(MAX(ROW(E$2:E1687)*(E1687=E$2:E1687)))))-COUNTBLANK(OFFSET(A$1,,,SUMPRODUCT(MAX(ROW(E$1:E1686)*(E2=E$1:E1686))))))</f>
        <v> </v>
      </c>
      <c r="K1687" s="26" t="str">
        <f>IF(OR(E1687="",E1687="!!!",F1687="NEW"),"",INDEX(J$1:J1686,SUMPRODUCT(MAX(ROW(E$1:E1686)*(E1687=E$1:E1686)))))</f>
        <v> </v>
      </c>
      <c r="L1687" s="27"/>
    </row>
    <row r="1688" spans="1:12">
      <c r="A1688" s="20" t="s">
        <v>773</v>
      </c>
      <c r="E1688" s="22">
        <f>IF(D1688="?OLD","!!!","")</f>
        <v/>
      </c>
      <c r="F1688" s="23" t="str">
        <f>IF(OR(E1688="",E1688="!!!"),"",IF(NOT(ISNA(VLOOKUP(E1688,E$1:E1687,1,FALSE()))),"OLD",IF(AND(E1688&lt;&gt;"",E1688&lt;&gt;"!!!"),"NEW","")))</f>
        <v> </v>
      </c>
      <c r="G1688" s="24" t="str">
        <f>IF(OR(E1688="",E1688="!!!"),"",IF(OR(J1688=0,AND(J1688=1,K1688=1),AND(J1688=1,I1688="SBJ"),AND(J1688=1,I1688=0)),"?IN_FOCUS",IF(J1688&lt;=2,"?ACTIVATED",IF(J1688&lt;&gt;"","?FAMILIAR",IF(F1688="NEW",IF(ISNA(VLOOKUP(E1688,#REF!,1,FALSE())),"?TYPE_IDENTIFIABLE","?REFERENTIAL"),"_")))))</f>
        <v> </v>
      </c>
      <c r="H1688" s="25" t="str">
        <f>IF(J1688&lt;&gt;1,"",IF(I1688="SBJ","CB","?"))</f>
        <v> </v>
      </c>
      <c r="I1688" s="26" t="str">
        <f>IF(OR(E1688="",E1688="!!!",F1688="NEW"),"",INDEX(B1687:B$2,-1+SUMPRODUCT(MAX(ROW(E1687:E$2)*(E1688=E1687:E$2)))))</f>
        <v> </v>
      </c>
      <c r="J1688" s="26" t="str">
        <f>IF(OR(E1688="",E1688="!!!",F1688="NEW"),"",COUNTBLANK(OFFSET(A$1,,,SUMPRODUCT(MAX(ROW(E$2:E1688)*(E1688=E$2:E1688)))))-COUNTBLANK(OFFSET(A$1,,,SUMPRODUCT(MAX(ROW(E$1:E1687)*(E2=E$1:E1687))))))</f>
        <v> </v>
      </c>
      <c r="K1688" s="26" t="str">
        <f>IF(OR(E1688="",E1688="!!!",F1688="NEW"),"",INDEX(J$1:J1687,SUMPRODUCT(MAX(ROW(E$1:E1687)*(E1688=E$1:E1687)))))</f>
        <v> </v>
      </c>
      <c r="L1688" s="27"/>
    </row>
    <row r="1689" spans="1:12">
      <c r="A1689" s="20" t="s">
        <v>903</v>
      </c>
      <c r="B1689" s="21" t="s">
        <v>739</v>
      </c>
      <c r="C1689" s="21" t="s">
        <v>801</v>
      </c>
      <c r="D1689" s="21" t="s">
        <v>730</v>
      </c>
      <c r="E1689" s="22">
        <f>IF(D1689="?OLD","!!!","")</f>
        <v/>
      </c>
      <c r="F1689" s="23" t="str">
        <f>IF(OR(E1689="",E1689="!!!"),"",IF(NOT(ISNA(VLOOKUP(E1689,E$1:E1688,1,FALSE()))),"OLD",IF(AND(E1689&lt;&gt;"",E1689&lt;&gt;"!!!"),"NEW","")))</f>
        <v> </v>
      </c>
      <c r="G1689" s="24" t="str">
        <f>IF(OR(E1689="",E1689="!!!"),"",IF(OR(J1689=0,AND(J1689=1,K1689=1),AND(J1689=1,I1689="SBJ"),AND(J1689=1,I1689=0)),"?IN_FOCUS",IF(J1689&lt;=2,"?ACTIVATED",IF(J1689&lt;&gt;"","?FAMILIAR",IF(F1689="NEW",IF(ISNA(VLOOKUP(E1689,#REF!,1,FALSE())),"?TYPE_IDENTIFIABLE","?REFERENTIAL"),"_")))))</f>
        <v> </v>
      </c>
      <c r="H1689" s="25" t="str">
        <f>IF(J1689&lt;&gt;1,"",IF(I1689="SBJ","CB","?"))</f>
        <v> </v>
      </c>
      <c r="I1689" s="26" t="str">
        <f>IF(OR(E1689="",E1689="!!!",F1689="NEW"),"",INDEX(B1688:B$2,-1+SUMPRODUCT(MAX(ROW(E1688:E$2)*(E1689=E1688:E$2)))))</f>
        <v> </v>
      </c>
      <c r="J1689" s="26" t="str">
        <f>IF(OR(E1689="",E1689="!!!",F1689="NEW"),"",COUNTBLANK(OFFSET(A$1,,,SUMPRODUCT(MAX(ROW(E$2:E1689)*(E1689=E$2:E1689)))))-COUNTBLANK(OFFSET(A$1,,,SUMPRODUCT(MAX(ROW(E$1:E1688)*(E2=E$1:E1688))))))</f>
        <v> </v>
      </c>
      <c r="K1689" s="26" t="str">
        <f>IF(OR(E1689="",E1689="!!!",F1689="NEW"),"",INDEX(J$1:J1688,SUMPRODUCT(MAX(ROW(E$1:E1688)*(E1689=E$1:E1688)))))</f>
        <v> </v>
      </c>
      <c r="L1689" s="27"/>
    </row>
    <row r="1690" spans="1:12">
      <c r="A1690" s="20" t="s">
        <v>1448</v>
      </c>
      <c r="B1690" s="21" t="s">
        <v>736</v>
      </c>
      <c r="C1690" s="21" t="s">
        <v>802</v>
      </c>
      <c r="D1690" s="21" t="s">
        <v>730</v>
      </c>
      <c r="E1690" s="22">
        <f>IF(D1690="?OLD","!!!","")</f>
        <v/>
      </c>
      <c r="F1690" s="23" t="str">
        <f>IF(OR(E1690="",E1690="!!!"),"",IF(NOT(ISNA(VLOOKUP(E1690,E$1:E1689,1,FALSE()))),"OLD",IF(AND(E1690&lt;&gt;"",E1690&lt;&gt;"!!!"),"NEW","")))</f>
        <v> </v>
      </c>
      <c r="G1690" s="24" t="str">
        <f>IF(OR(E1690="",E1690="!!!"),"",IF(OR(J1690=0,AND(J1690=1,K1690=1),AND(J1690=1,I1690="SBJ"),AND(J1690=1,I1690=0)),"?IN_FOCUS",IF(J1690&lt;=2,"?ACTIVATED",IF(J1690&lt;&gt;"","?FAMILIAR",IF(F1690="NEW",IF(ISNA(VLOOKUP(E1690,#REF!,1,FALSE())),"?TYPE_IDENTIFIABLE","?REFERENTIAL"),"_")))))</f>
        <v> </v>
      </c>
      <c r="H1690" s="25" t="str">
        <f>IF(J1690&lt;&gt;1,"",IF(I1690="SBJ","CB","?"))</f>
        <v> </v>
      </c>
      <c r="I1690" s="26" t="str">
        <f>IF(OR(E1690="",E1690="!!!",F1690="NEW"),"",INDEX(B1689:B$2,-1+SUMPRODUCT(MAX(ROW(E1689:E$2)*(E1690=E1689:E$2)))))</f>
        <v> </v>
      </c>
      <c r="J1690" s="26" t="str">
        <f>IF(OR(E1690="",E1690="!!!",F1690="NEW"),"",COUNTBLANK(OFFSET(A$1,,,SUMPRODUCT(MAX(ROW(E$2:E1690)*(E1690=E$2:E1690)))))-COUNTBLANK(OFFSET(A$1,,,SUMPRODUCT(MAX(ROW(E$1:E1689)*(E2=E$1:E1689))))))</f>
        <v> </v>
      </c>
      <c r="K1690" s="26" t="str">
        <f>IF(OR(E1690="",E1690="!!!",F1690="NEW"),"",INDEX(J$1:J1689,SUMPRODUCT(MAX(ROW(E$1:E1689)*(E1690=E$1:E1689)))))</f>
        <v> </v>
      </c>
      <c r="L1690" s="27"/>
    </row>
    <row r="1691" spans="1:12">
      <c r="A1691" s="20" t="s">
        <v>759</v>
      </c>
      <c r="E1691" s="22">
        <f>IF(D1691="?OLD","!!!","")</f>
        <v/>
      </c>
      <c r="F1691" s="23" t="str">
        <f>IF(OR(E1691="",E1691="!!!"),"",IF(NOT(ISNA(VLOOKUP(E1691,E$1:E1690,1,FALSE()))),"OLD",IF(AND(E1691&lt;&gt;"",E1691&lt;&gt;"!!!"),"NEW","")))</f>
        <v> </v>
      </c>
      <c r="G1691" s="24" t="str">
        <f>IF(OR(E1691="",E1691="!!!"),"",IF(OR(J1691=0,AND(J1691=1,K1691=1),AND(J1691=1,I1691="SBJ"),AND(J1691=1,I1691=0)),"?IN_FOCUS",IF(J1691&lt;=2,"?ACTIVATED",IF(J1691&lt;&gt;"","?FAMILIAR",IF(F1691="NEW",IF(ISNA(VLOOKUP(E1691,#REF!,1,FALSE())),"?TYPE_IDENTIFIABLE","?REFERENTIAL"),"_")))))</f>
        <v> </v>
      </c>
      <c r="H1691" s="25" t="str">
        <f>IF(J1691&lt;&gt;1,"",IF(I1691="SBJ","CB","?"))</f>
        <v> </v>
      </c>
      <c r="I1691" s="26" t="str">
        <f>IF(OR(E1691="",E1691="!!!",F1691="NEW"),"",INDEX(B1690:B$2,-1+SUMPRODUCT(MAX(ROW(E1690:E$2)*(E1691=E1690:E$2)))))</f>
        <v> </v>
      </c>
      <c r="J1691" s="26" t="str">
        <f>IF(OR(E1691="",E1691="!!!",F1691="NEW"),"",COUNTBLANK(OFFSET(A$1,,,SUMPRODUCT(MAX(ROW(E$2:E1691)*(E1691=E$2:E1691)))))-COUNTBLANK(OFFSET(A$1,,,SUMPRODUCT(MAX(ROW(E$1:E1690)*(E2=E$1:E1690))))))</f>
        <v> </v>
      </c>
      <c r="K1691" s="26" t="str">
        <f>IF(OR(E1691="",E1691="!!!",F1691="NEW"),"",INDEX(J$1:J1690,SUMPRODUCT(MAX(ROW(E$1:E1690)*(E1691=E$1:E1690)))))</f>
        <v> </v>
      </c>
      <c r="L1691" s="27"/>
    </row>
    <row r="1692" spans="1:12">
      <c r="A1692" s="20" t="s">
        <v>885</v>
      </c>
      <c r="E1692" s="22">
        <f>IF(D1692="?OLD","!!!","")</f>
        <v/>
      </c>
      <c r="F1692" s="23" t="str">
        <f>IF(OR(E1692="",E1692="!!!"),"",IF(NOT(ISNA(VLOOKUP(E1692,E$1:E1691,1,FALSE()))),"OLD",IF(AND(E1692&lt;&gt;"",E1692&lt;&gt;"!!!"),"NEW","")))</f>
        <v> </v>
      </c>
      <c r="G1692" s="24" t="str">
        <f>IF(OR(E1692="",E1692="!!!"),"",IF(OR(J1692=0,AND(J1692=1,K1692=1),AND(J1692=1,I1692="SBJ"),AND(J1692=1,I1692=0)),"?IN_FOCUS",IF(J1692&lt;=2,"?ACTIVATED",IF(J1692&lt;&gt;"","?FAMILIAR",IF(F1692="NEW",IF(ISNA(VLOOKUP(E1692,#REF!,1,FALSE())),"?TYPE_IDENTIFIABLE","?REFERENTIAL"),"_")))))</f>
        <v> </v>
      </c>
      <c r="H1692" s="25" t="str">
        <f>IF(J1692&lt;&gt;1,"",IF(I1692="SBJ","CB","?"))</f>
        <v> </v>
      </c>
      <c r="I1692" s="26" t="str">
        <f>IF(OR(E1692="",E1692="!!!",F1692="NEW"),"",INDEX(B1691:B$2,-1+SUMPRODUCT(MAX(ROW(E1691:E$2)*(E1692=E1691:E$2)))))</f>
        <v> </v>
      </c>
      <c r="J1692" s="26" t="str">
        <f>IF(OR(E1692="",E1692="!!!",F1692="NEW"),"",COUNTBLANK(OFFSET(A$1,,,SUMPRODUCT(MAX(ROW(E$2:E1692)*(E1692=E$2:E1692)))))-COUNTBLANK(OFFSET(A$1,,,SUMPRODUCT(MAX(ROW(E$1:E1691)*(E2=E$1:E1691))))))</f>
        <v> </v>
      </c>
      <c r="K1692" s="26" t="str">
        <f>IF(OR(E1692="",E1692="!!!",F1692="NEW"),"",INDEX(J$1:J1691,SUMPRODUCT(MAX(ROW(E$1:E1691)*(E1692=E$1:E1691)))))</f>
        <v> </v>
      </c>
      <c r="L1692" s="27"/>
    </row>
    <row r="1693" spans="1:12">
      <c r="A1693" s="20" t="s">
        <v>1449</v>
      </c>
      <c r="E1693" s="22">
        <f>IF(D1693="?OLD","!!!","")</f>
        <v/>
      </c>
      <c r="F1693" s="23" t="str">
        <f>IF(OR(E1693="",E1693="!!!"),"",IF(NOT(ISNA(VLOOKUP(E1693,E$1:E1692,1,FALSE()))),"OLD",IF(AND(E1693&lt;&gt;"",E1693&lt;&gt;"!!!"),"NEW","")))</f>
        <v> </v>
      </c>
      <c r="G1693" s="24" t="str">
        <f>IF(OR(E1693="",E1693="!!!"),"",IF(OR(J1693=0,AND(J1693=1,K1693=1),AND(J1693=1,I1693="SBJ"),AND(J1693=1,I1693=0)),"?IN_FOCUS",IF(J1693&lt;=2,"?ACTIVATED",IF(J1693&lt;&gt;"","?FAMILIAR",IF(F1693="NEW",IF(ISNA(VLOOKUP(E1693,#REF!,1,FALSE())),"?TYPE_IDENTIFIABLE","?REFERENTIAL"),"_")))))</f>
        <v> </v>
      </c>
      <c r="H1693" s="25" t="str">
        <f>IF(J1693&lt;&gt;1,"",IF(I1693="SBJ","CB","?"))</f>
        <v> </v>
      </c>
      <c r="I1693" s="26" t="str">
        <f>IF(OR(E1693="",E1693="!!!",F1693="NEW"),"",INDEX(B1692:B$2,-1+SUMPRODUCT(MAX(ROW(E1692:E$2)*(E1693=E1692:E$2)))))</f>
        <v> </v>
      </c>
      <c r="J1693" s="26" t="str">
        <f>IF(OR(E1693="",E1693="!!!",F1693="NEW"),"",COUNTBLANK(OFFSET(A$1,,,SUMPRODUCT(MAX(ROW(E$2:E1693)*(E1693=E$2:E1693)))))-COUNTBLANK(OFFSET(A$1,,,SUMPRODUCT(MAX(ROW(E$1:E1692)*(E2=E$1:E1692))))))</f>
        <v> </v>
      </c>
      <c r="K1693" s="26" t="str">
        <f>IF(OR(E1693="",E1693="!!!",F1693="NEW"),"",INDEX(J$1:J1692,SUMPRODUCT(MAX(ROW(E$1:E1692)*(E1693=E$1:E1692)))))</f>
        <v> </v>
      </c>
      <c r="L1693" s="27"/>
    </row>
    <row r="1694" spans="1:12">
      <c r="A1694" s="20" t="s">
        <v>1450</v>
      </c>
      <c r="B1694" s="21" t="s">
        <v>796</v>
      </c>
      <c r="C1694" s="21" t="s">
        <v>756</v>
      </c>
      <c r="E1694" s="22">
        <f>IF(D1694="?OLD","!!!","")</f>
        <v/>
      </c>
      <c r="F1694" s="23" t="str">
        <f>IF(OR(E1694="",E1694="!!!"),"",IF(NOT(ISNA(VLOOKUP(E1694,E$1:E1693,1,FALSE()))),"OLD",IF(AND(E1694&lt;&gt;"",E1694&lt;&gt;"!!!"),"NEW","")))</f>
        <v> </v>
      </c>
      <c r="G1694" s="24" t="str">
        <f>IF(OR(E1694="",E1694="!!!"),"",IF(OR(J1694=0,AND(J1694=1,K1694=1),AND(J1694=1,I1694="SBJ"),AND(J1694=1,I1694=0)),"?IN_FOCUS",IF(J1694&lt;=2,"?ACTIVATED",IF(J1694&lt;&gt;"","?FAMILIAR",IF(F1694="NEW",IF(ISNA(VLOOKUP(E1694,#REF!,1,FALSE())),"?TYPE_IDENTIFIABLE","?REFERENTIAL"),"_")))))</f>
        <v> </v>
      </c>
      <c r="H1694" s="25" t="str">
        <f>IF(J1694&lt;&gt;1,"",IF(I1694="SBJ","CB","?"))</f>
        <v> </v>
      </c>
      <c r="I1694" s="26" t="str">
        <f>IF(OR(E1694="",E1694="!!!",F1694="NEW"),"",INDEX(B1693:B$2,-1+SUMPRODUCT(MAX(ROW(E1693:E$2)*(E1694=E1693:E$2)))))</f>
        <v> </v>
      </c>
      <c r="J1694" s="26" t="str">
        <f>IF(OR(E1694="",E1694="!!!",F1694="NEW"),"",COUNTBLANK(OFFSET(A$1,,,SUMPRODUCT(MAX(ROW(E$2:E1694)*(E1694=E$2:E1694)))))-COUNTBLANK(OFFSET(A$1,,,SUMPRODUCT(MAX(ROW(E$1:E1693)*(E2=E$1:E1693))))))</f>
        <v> </v>
      </c>
      <c r="K1694" s="26" t="str">
        <f>IF(OR(E1694="",E1694="!!!",F1694="NEW"),"",INDEX(J$1:J1693,SUMPRODUCT(MAX(ROW(E$1:E1693)*(E1694=E$1:E1693)))))</f>
        <v> </v>
      </c>
      <c r="L1694" s="27"/>
    </row>
    <row r="1695" spans="1:12">
      <c r="A1695" s="20" t="s">
        <v>773</v>
      </c>
      <c r="E1695" s="22">
        <f>IF(D1695="?OLD","!!!","")</f>
        <v/>
      </c>
      <c r="F1695" s="23" t="str">
        <f>IF(OR(E1695="",E1695="!!!"),"",IF(NOT(ISNA(VLOOKUP(E1695,E$1:E1694,1,FALSE()))),"OLD",IF(AND(E1695&lt;&gt;"",E1695&lt;&gt;"!!!"),"NEW","")))</f>
        <v> </v>
      </c>
      <c r="G1695" s="24" t="str">
        <f>IF(OR(E1695="",E1695="!!!"),"",IF(OR(J1695=0,AND(J1695=1,K1695=1),AND(J1695=1,I1695="SBJ"),AND(J1695=1,I1695=0)),"?IN_FOCUS",IF(J1695&lt;=2,"?ACTIVATED",IF(J1695&lt;&gt;"","?FAMILIAR",IF(F1695="NEW",IF(ISNA(VLOOKUP(E1695,#REF!,1,FALSE())),"?TYPE_IDENTIFIABLE","?REFERENTIAL"),"_")))))</f>
        <v> </v>
      </c>
      <c r="H1695" s="25" t="str">
        <f>IF(J1695&lt;&gt;1,"",IF(I1695="SBJ","CB","?"))</f>
        <v> </v>
      </c>
      <c r="I1695" s="26" t="str">
        <f>IF(OR(E1695="",E1695="!!!",F1695="NEW"),"",INDEX(B1694:B$2,-1+SUMPRODUCT(MAX(ROW(E1694:E$2)*(E1695=E1694:E$2)))))</f>
        <v> </v>
      </c>
      <c r="J1695" s="26" t="str">
        <f>IF(OR(E1695="",E1695="!!!",F1695="NEW"),"",COUNTBLANK(OFFSET(A$1,,,SUMPRODUCT(MAX(ROW(E$2:E1695)*(E1695=E$2:E1695)))))-COUNTBLANK(OFFSET(A$1,,,SUMPRODUCT(MAX(ROW(E$1:E1694)*(E2=E$1:E1694))))))</f>
        <v> </v>
      </c>
      <c r="K1695" s="26" t="str">
        <f>IF(OR(E1695="",E1695="!!!",F1695="NEW"),"",INDEX(J$1:J1694,SUMPRODUCT(MAX(ROW(E$1:E1694)*(E1695=E$1:E1694)))))</f>
        <v> </v>
      </c>
      <c r="L1695" s="27"/>
    </row>
    <row r="1696" spans="1:12">
      <c r="A1696" s="20" t="s">
        <v>903</v>
      </c>
      <c r="B1696" s="21" t="s">
        <v>755</v>
      </c>
      <c r="C1696" s="21" t="s">
        <v>801</v>
      </c>
      <c r="D1696" s="21" t="s">
        <v>730</v>
      </c>
      <c r="E1696" s="22">
        <f>IF(D1696="?OLD","!!!","")</f>
        <v/>
      </c>
      <c r="F1696" s="23" t="str">
        <f>IF(OR(E1696="",E1696="!!!"),"",IF(NOT(ISNA(VLOOKUP(E1696,E$1:E1695,1,FALSE()))),"OLD",IF(AND(E1696&lt;&gt;"",E1696&lt;&gt;"!!!"),"NEW","")))</f>
        <v> </v>
      </c>
      <c r="G1696" s="24" t="str">
        <f>IF(OR(E1696="",E1696="!!!"),"",IF(OR(J1696=0,AND(J1696=1,K1696=1),AND(J1696=1,I1696="SBJ"),AND(J1696=1,I1696=0)),"?IN_FOCUS",IF(J1696&lt;=2,"?ACTIVATED",IF(J1696&lt;&gt;"","?FAMILIAR",IF(F1696="NEW",IF(ISNA(VLOOKUP(E1696,#REF!,1,FALSE())),"?TYPE_IDENTIFIABLE","?REFERENTIAL"),"_")))))</f>
        <v> </v>
      </c>
      <c r="H1696" s="25" t="str">
        <f>IF(J1696&lt;&gt;1,"",IF(I1696="SBJ","CB","?"))</f>
        <v> </v>
      </c>
      <c r="I1696" s="26" t="str">
        <f>IF(OR(E1696="",E1696="!!!",F1696="NEW"),"",INDEX(B1695:B$2,-1+SUMPRODUCT(MAX(ROW(E1695:E$2)*(E1696=E1695:E$2)))))</f>
        <v> </v>
      </c>
      <c r="J1696" s="26" t="str">
        <f>IF(OR(E1696="",E1696="!!!",F1696="NEW"),"",COUNTBLANK(OFFSET(A$1,,,SUMPRODUCT(MAX(ROW(E$2:E1696)*(E1696=E$2:E1696)))))-COUNTBLANK(OFFSET(A$1,,,SUMPRODUCT(MAX(ROW(E$1:E1695)*(E2=E$1:E1695))))))</f>
        <v> </v>
      </c>
      <c r="K1696" s="26" t="str">
        <f>IF(OR(E1696="",E1696="!!!",F1696="NEW"),"",INDEX(J$1:J1695,SUMPRODUCT(MAX(ROW(E$1:E1695)*(E1696=E$1:E1695)))))</f>
        <v> </v>
      </c>
      <c r="L1696" s="27"/>
    </row>
    <row r="1697" spans="1:12">
      <c r="A1697" s="20" t="s">
        <v>1451</v>
      </c>
      <c r="E1697" s="22">
        <f>IF(D1697="?OLD","!!!","")</f>
        <v/>
      </c>
      <c r="F1697" s="23" t="str">
        <f>IF(OR(E1697="",E1697="!!!"),"",IF(NOT(ISNA(VLOOKUP(E1697,E$1:E1696,1,FALSE()))),"OLD",IF(AND(E1697&lt;&gt;"",E1697&lt;&gt;"!!!"),"NEW","")))</f>
        <v> </v>
      </c>
      <c r="G1697" s="24" t="str">
        <f>IF(OR(E1697="",E1697="!!!"),"",IF(OR(J1697=0,AND(J1697=1,K1697=1),AND(J1697=1,I1697="SBJ"),AND(J1697=1,I1697=0)),"?IN_FOCUS",IF(J1697&lt;=2,"?ACTIVATED",IF(J1697&lt;&gt;"","?FAMILIAR",IF(F1697="NEW",IF(ISNA(VLOOKUP(E1697,#REF!,1,FALSE())),"?TYPE_IDENTIFIABLE","?REFERENTIAL"),"_")))))</f>
        <v> </v>
      </c>
      <c r="H1697" s="25" t="str">
        <f>IF(J1697&lt;&gt;1,"",IF(I1697="SBJ","CB","?"))</f>
        <v> </v>
      </c>
      <c r="I1697" s="26" t="str">
        <f>IF(OR(E1697="",E1697="!!!",F1697="NEW"),"",INDEX(B1696:B$2,-1+SUMPRODUCT(MAX(ROW(E1696:E$2)*(E1697=E1696:E$2)))))</f>
        <v> </v>
      </c>
      <c r="J1697" s="26" t="str">
        <f>IF(OR(E1697="",E1697="!!!",F1697="NEW"),"",COUNTBLANK(OFFSET(A$1,,,SUMPRODUCT(MAX(ROW(E$2:E1697)*(E1697=E$2:E1697)))))-COUNTBLANK(OFFSET(A$1,,,SUMPRODUCT(MAX(ROW(E$1:E1696)*(E2=E$1:E1696))))))</f>
        <v> </v>
      </c>
      <c r="K1697" s="26" t="str">
        <f>IF(OR(E1697="",E1697="!!!",F1697="NEW"),"",INDEX(J$1:J1696,SUMPRODUCT(MAX(ROW(E$1:E1696)*(E1697=E$1:E1696)))))</f>
        <v> </v>
      </c>
      <c r="L1697" s="27"/>
    </row>
    <row r="1698" spans="1:12">
      <c r="A1698" s="20" t="s">
        <v>759</v>
      </c>
      <c r="E1698" s="22">
        <f>IF(D1698="?OLD","!!!","")</f>
        <v/>
      </c>
      <c r="F1698" s="23" t="str">
        <f>IF(OR(E1698="",E1698="!!!"),"",IF(NOT(ISNA(VLOOKUP(E1698,E$1:E1697,1,FALSE()))),"OLD",IF(AND(E1698&lt;&gt;"",E1698&lt;&gt;"!!!"),"NEW","")))</f>
        <v> </v>
      </c>
      <c r="G1698" s="24" t="str">
        <f>IF(OR(E1698="",E1698="!!!"),"",IF(OR(J1698=0,AND(J1698=1,K1698=1),AND(J1698=1,I1698="SBJ"),AND(J1698=1,I1698=0)),"?IN_FOCUS",IF(J1698&lt;=2,"?ACTIVATED",IF(J1698&lt;&gt;"","?FAMILIAR",IF(F1698="NEW",IF(ISNA(VLOOKUP(E1698,#REF!,1,FALSE())),"?TYPE_IDENTIFIABLE","?REFERENTIAL"),"_")))))</f>
        <v> </v>
      </c>
      <c r="H1698" s="25" t="str">
        <f>IF(J1698&lt;&gt;1,"",IF(I1698="SBJ","CB","?"))</f>
        <v> </v>
      </c>
      <c r="I1698" s="26" t="str">
        <f>IF(OR(E1698="",E1698="!!!",F1698="NEW"),"",INDEX(B1697:B$2,-1+SUMPRODUCT(MAX(ROW(E1697:E$2)*(E1698=E1697:E$2)))))</f>
        <v> </v>
      </c>
      <c r="J1698" s="26" t="str">
        <f>IF(OR(E1698="",E1698="!!!",F1698="NEW"),"",COUNTBLANK(OFFSET(A$1,,,SUMPRODUCT(MAX(ROW(E$2:E1698)*(E1698=E$2:E1698)))))-COUNTBLANK(OFFSET(A$1,,,SUMPRODUCT(MAX(ROW(E$1:E1697)*(E2=E$1:E1697))))))</f>
        <v> </v>
      </c>
      <c r="K1698" s="26" t="str">
        <f>IF(OR(E1698="",E1698="!!!",F1698="NEW"),"",INDEX(J$1:J1697,SUMPRODUCT(MAX(ROW(E$1:E1697)*(E1698=E$1:E1697)))))</f>
        <v> </v>
      </c>
      <c r="L1698" s="27"/>
    </row>
    <row r="1699" spans="1:12">
      <c r="A1699" s="20" t="s">
        <v>1452</v>
      </c>
      <c r="E1699" s="22">
        <f>IF(D1699="?OLD","!!!","")</f>
        <v/>
      </c>
      <c r="F1699" s="23" t="str">
        <f>IF(OR(E1699="",E1699="!!!"),"",IF(NOT(ISNA(VLOOKUP(E1699,E$1:E1698,1,FALSE()))),"OLD",IF(AND(E1699&lt;&gt;"",E1699&lt;&gt;"!!!"),"NEW","")))</f>
        <v> </v>
      </c>
      <c r="G1699" s="24" t="str">
        <f>IF(OR(E1699="",E1699="!!!"),"",IF(OR(J1699=0,AND(J1699=1,K1699=1),AND(J1699=1,I1699="SBJ"),AND(J1699=1,I1699=0)),"?IN_FOCUS",IF(J1699&lt;=2,"?ACTIVATED",IF(J1699&lt;&gt;"","?FAMILIAR",IF(F1699="NEW",IF(ISNA(VLOOKUP(E1699,#REF!,1,FALSE())),"?TYPE_IDENTIFIABLE","?REFERENTIAL"),"_")))))</f>
        <v> </v>
      </c>
      <c r="H1699" s="25" t="str">
        <f>IF(J1699&lt;&gt;1,"",IF(I1699="SBJ","CB","?"))</f>
        <v> </v>
      </c>
      <c r="I1699" s="26" t="str">
        <f>IF(OR(E1699="",E1699="!!!",F1699="NEW"),"",INDEX(B1698:B$2,-1+SUMPRODUCT(MAX(ROW(E1698:E$2)*(E1699=E1698:E$2)))))</f>
        <v> </v>
      </c>
      <c r="J1699" s="26" t="str">
        <f>IF(OR(E1699="",E1699="!!!",F1699="NEW"),"",COUNTBLANK(OFFSET(A$1,,,SUMPRODUCT(MAX(ROW(E$2:E1699)*(E1699=E$2:E1699)))))-COUNTBLANK(OFFSET(A$1,,,SUMPRODUCT(MAX(ROW(E$1:E1698)*(E2=E$1:E1698))))))</f>
        <v> </v>
      </c>
      <c r="K1699" s="26" t="str">
        <f>IF(OR(E1699="",E1699="!!!",F1699="NEW"),"",INDEX(J$1:J1698,SUMPRODUCT(MAX(ROW(E$1:E1698)*(E1699=E$1:E1698)))))</f>
        <v> </v>
      </c>
      <c r="L1699" s="27"/>
    </row>
    <row r="1700" spans="1:12">
      <c r="A1700" s="20" t="s">
        <v>851</v>
      </c>
      <c r="B1700" s="21" t="s">
        <v>739</v>
      </c>
      <c r="C1700" s="21" t="s">
        <v>802</v>
      </c>
      <c r="D1700" s="21" t="s">
        <v>730</v>
      </c>
      <c r="E1700" s="22">
        <f>IF(D1700="?OLD","!!!","")</f>
        <v/>
      </c>
      <c r="F1700" s="23" t="str">
        <f>IF(OR(E1700="",E1700="!!!"),"",IF(NOT(ISNA(VLOOKUP(E1700,E$1:E1699,1,FALSE()))),"OLD",IF(AND(E1700&lt;&gt;"",E1700&lt;&gt;"!!!"),"NEW","")))</f>
        <v> </v>
      </c>
      <c r="G1700" s="24" t="str">
        <f>IF(OR(E1700="",E1700="!!!"),"",IF(OR(J1700=0,AND(J1700=1,K1700=1),AND(J1700=1,I1700="SBJ"),AND(J1700=1,I1700=0)),"?IN_FOCUS",IF(J1700&lt;=2,"?ACTIVATED",IF(J1700&lt;&gt;"","?FAMILIAR",IF(F1700="NEW",IF(ISNA(VLOOKUP(E1700,#REF!,1,FALSE())),"?TYPE_IDENTIFIABLE","?REFERENTIAL"),"_")))))</f>
        <v> </v>
      </c>
      <c r="H1700" s="25" t="str">
        <f>IF(J1700&lt;&gt;1,"",IF(I1700="SBJ","CB","?"))</f>
        <v> </v>
      </c>
      <c r="I1700" s="26" t="str">
        <f>IF(OR(E1700="",E1700="!!!",F1700="NEW"),"",INDEX(B1699:B$2,-1+SUMPRODUCT(MAX(ROW(E1699:E$2)*(E1700=E1699:E$2)))))</f>
        <v> </v>
      </c>
      <c r="J1700" s="26" t="str">
        <f>IF(OR(E1700="",E1700="!!!",F1700="NEW"),"",COUNTBLANK(OFFSET(A$1,,,SUMPRODUCT(MAX(ROW(E$2:E1700)*(E1700=E$2:E1700)))))-COUNTBLANK(OFFSET(A$1,,,SUMPRODUCT(MAX(ROW(E$1:E1699)*(E2=E$1:E1699))))))</f>
        <v> </v>
      </c>
      <c r="K1700" s="26" t="str">
        <f>IF(OR(E1700="",E1700="!!!",F1700="NEW"),"",INDEX(J$1:J1699,SUMPRODUCT(MAX(ROW(E$1:E1699)*(E1700=E$1:E1699)))))</f>
        <v> </v>
      </c>
      <c r="L1700" s="27"/>
    </row>
    <row r="1701" spans="1:12">
      <c r="A1701" s="20" t="s">
        <v>1453</v>
      </c>
      <c r="E1701" s="22">
        <f>IF(D1701="?OLD","!!!","")</f>
        <v/>
      </c>
      <c r="F1701" s="23" t="str">
        <f>IF(OR(E1701="",E1701="!!!"),"",IF(NOT(ISNA(VLOOKUP(E1701,E$1:E1700,1,FALSE()))),"OLD",IF(AND(E1701&lt;&gt;"",E1701&lt;&gt;"!!!"),"NEW","")))</f>
        <v> </v>
      </c>
      <c r="G1701" s="24" t="str">
        <f>IF(OR(E1701="",E1701="!!!"),"",IF(OR(J1701=0,AND(J1701=1,K1701=1),AND(J1701=1,I1701="SBJ"),AND(J1701=1,I1701=0)),"?IN_FOCUS",IF(J1701&lt;=2,"?ACTIVATED",IF(J1701&lt;&gt;"","?FAMILIAR",IF(F1701="NEW",IF(ISNA(VLOOKUP(E1701,#REF!,1,FALSE())),"?TYPE_IDENTIFIABLE","?REFERENTIAL"),"_")))))</f>
        <v> </v>
      </c>
      <c r="H1701" s="25" t="str">
        <f>IF(J1701&lt;&gt;1,"",IF(I1701="SBJ","CB","?"))</f>
        <v> </v>
      </c>
      <c r="I1701" s="26" t="str">
        <f>IF(OR(E1701="",E1701="!!!",F1701="NEW"),"",INDEX(B1700:B$2,-1+SUMPRODUCT(MAX(ROW(E1700:E$2)*(E1701=E1700:E$2)))))</f>
        <v> </v>
      </c>
      <c r="J1701" s="26" t="str">
        <f>IF(OR(E1701="",E1701="!!!",F1701="NEW"),"",COUNTBLANK(OFFSET(A$1,,,SUMPRODUCT(MAX(ROW(E$2:E1701)*(E1701=E$2:E1701)))))-COUNTBLANK(OFFSET(A$1,,,SUMPRODUCT(MAX(ROW(E$1:E1700)*(E2=E$1:E1700))))))</f>
        <v> </v>
      </c>
      <c r="K1701" s="26" t="str">
        <f>IF(OR(E1701="",E1701="!!!",F1701="NEW"),"",INDEX(J$1:J1700,SUMPRODUCT(MAX(ROW(E$1:E1700)*(E1701=E$1:E1700)))))</f>
        <v> </v>
      </c>
      <c r="L1701" s="27"/>
    </row>
    <row r="1702" spans="1:12">
      <c r="A1702" s="20" t="s">
        <v>759</v>
      </c>
      <c r="E1702" s="22">
        <f>IF(D1702="?OLD","!!!","")</f>
        <v/>
      </c>
      <c r="F1702" s="23" t="str">
        <f>IF(OR(E1702="",E1702="!!!"),"",IF(NOT(ISNA(VLOOKUP(E1702,E$1:E1701,1,FALSE()))),"OLD",IF(AND(E1702&lt;&gt;"",E1702&lt;&gt;"!!!"),"NEW","")))</f>
        <v> </v>
      </c>
      <c r="G1702" s="24" t="str">
        <f>IF(OR(E1702="",E1702="!!!"),"",IF(OR(J1702=0,AND(J1702=1,K1702=1),AND(J1702=1,I1702="SBJ"),AND(J1702=1,I1702=0)),"?IN_FOCUS",IF(J1702&lt;=2,"?ACTIVATED",IF(J1702&lt;&gt;"","?FAMILIAR",IF(F1702="NEW",IF(ISNA(VLOOKUP(E1702,#REF!,1,FALSE())),"?TYPE_IDENTIFIABLE","?REFERENTIAL"),"_")))))</f>
        <v> </v>
      </c>
      <c r="H1702" s="25" t="str">
        <f>IF(J1702&lt;&gt;1,"",IF(I1702="SBJ","CB","?"))</f>
        <v> </v>
      </c>
      <c r="I1702" s="26" t="str">
        <f>IF(OR(E1702="",E1702="!!!",F1702="NEW"),"",INDEX(B1701:B$2,-1+SUMPRODUCT(MAX(ROW(E1701:E$2)*(E1702=E1701:E$2)))))</f>
        <v> </v>
      </c>
      <c r="J1702" s="26" t="str">
        <f>IF(OR(E1702="",E1702="!!!",F1702="NEW"),"",COUNTBLANK(OFFSET(A$1,,,SUMPRODUCT(MAX(ROW(E$2:E1702)*(E1702=E$2:E1702)))))-COUNTBLANK(OFFSET(A$1,,,SUMPRODUCT(MAX(ROW(E$1:E1701)*(E2=E$1:E1701))))))</f>
        <v> </v>
      </c>
      <c r="K1702" s="26" t="str">
        <f>IF(OR(E1702="",E1702="!!!",F1702="NEW"),"",INDEX(J$1:J1701,SUMPRODUCT(MAX(ROW(E$1:E1701)*(E1702=E$1:E1701)))))</f>
        <v> </v>
      </c>
      <c r="L1702" s="27"/>
    </row>
    <row r="1703" spans="1:12">
      <c r="A1703" s="20" t="s">
        <v>1043</v>
      </c>
      <c r="E1703" s="22">
        <f>IF(D1703="?OLD","!!!","")</f>
        <v/>
      </c>
      <c r="F1703" s="23" t="str">
        <f>IF(OR(E1703="",E1703="!!!"),"",IF(NOT(ISNA(VLOOKUP(E1703,E$1:E1702,1,FALSE()))),"OLD",IF(AND(E1703&lt;&gt;"",E1703&lt;&gt;"!!!"),"NEW","")))</f>
        <v> </v>
      </c>
      <c r="G1703" s="24" t="str">
        <f>IF(OR(E1703="",E1703="!!!"),"",IF(OR(J1703=0,AND(J1703=1,K1703=1),AND(J1703=1,I1703="SBJ"),AND(J1703=1,I1703=0)),"?IN_FOCUS",IF(J1703&lt;=2,"?ACTIVATED",IF(J1703&lt;&gt;"","?FAMILIAR",IF(F1703="NEW",IF(ISNA(VLOOKUP(E1703,#REF!,1,FALSE())),"?TYPE_IDENTIFIABLE","?REFERENTIAL"),"_")))))</f>
        <v> </v>
      </c>
      <c r="H1703" s="25" t="str">
        <f>IF(J1703&lt;&gt;1,"",IF(I1703="SBJ","CB","?"))</f>
        <v> </v>
      </c>
      <c r="I1703" s="26" t="str">
        <f>IF(OR(E1703="",E1703="!!!",F1703="NEW"),"",INDEX(B1702:B$2,-1+SUMPRODUCT(MAX(ROW(E1702:E$2)*(E1703=E1702:E$2)))))</f>
        <v> </v>
      </c>
      <c r="J1703" s="26" t="str">
        <f>IF(OR(E1703="",E1703="!!!",F1703="NEW"),"",COUNTBLANK(OFFSET(A$1,,,SUMPRODUCT(MAX(ROW(E$2:E1703)*(E1703=E$2:E1703)))))-COUNTBLANK(OFFSET(A$1,,,SUMPRODUCT(MAX(ROW(E$1:E1702)*(E2=E$1:E1702))))))</f>
        <v> </v>
      </c>
      <c r="K1703" s="26" t="str">
        <f>IF(OR(E1703="",E1703="!!!",F1703="NEW"),"",INDEX(J$1:J1702,SUMPRODUCT(MAX(ROW(E$1:E1702)*(E1703=E$1:E1702)))))</f>
        <v> </v>
      </c>
      <c r="L1703" s="27"/>
    </row>
    <row r="1704" spans="1:12">
      <c r="A1704" s="20" t="s">
        <v>1094</v>
      </c>
      <c r="B1704" s="21" t="s">
        <v>755</v>
      </c>
      <c r="C1704" s="21" t="s">
        <v>789</v>
      </c>
      <c r="D1704" s="21" t="s">
        <v>730</v>
      </c>
      <c r="E1704" s="22">
        <f>IF(D1704="?OLD","!!!","")</f>
        <v/>
      </c>
      <c r="F1704" s="23" t="str">
        <f>IF(OR(E1704="",E1704="!!!"),"",IF(NOT(ISNA(VLOOKUP(E1704,E$1:E1703,1,FALSE()))),"OLD",IF(AND(E1704&lt;&gt;"",E1704&lt;&gt;"!!!"),"NEW","")))</f>
        <v> </v>
      </c>
      <c r="G1704" s="24" t="str">
        <f>IF(OR(E1704="",E1704="!!!"),"",IF(OR(J1704=0,AND(J1704=1,K1704=1),AND(J1704=1,I1704="SBJ"),AND(J1704=1,I1704=0)),"?IN_FOCUS",IF(J1704&lt;=2,"?ACTIVATED",IF(J1704&lt;&gt;"","?FAMILIAR",IF(F1704="NEW",IF(ISNA(VLOOKUP(E1704,#REF!,1,FALSE())),"?TYPE_IDENTIFIABLE","?REFERENTIAL"),"_")))))</f>
        <v> </v>
      </c>
      <c r="H1704" s="25" t="str">
        <f>IF(J1704&lt;&gt;1,"",IF(I1704="SBJ","CB","?"))</f>
        <v> </v>
      </c>
      <c r="I1704" s="26" t="str">
        <f>IF(OR(E1704="",E1704="!!!",F1704="NEW"),"",INDEX(B1703:B$2,-1+SUMPRODUCT(MAX(ROW(E1703:E$2)*(E1704=E1703:E$2)))))</f>
        <v> </v>
      </c>
      <c r="J1704" s="26" t="str">
        <f>IF(OR(E1704="",E1704="!!!",F1704="NEW"),"",COUNTBLANK(OFFSET(A$1,,,SUMPRODUCT(MAX(ROW(E$2:E1704)*(E1704=E$2:E1704)))))-COUNTBLANK(OFFSET(A$1,,,SUMPRODUCT(MAX(ROW(E$1:E1703)*(E2=E$1:E1703))))))</f>
        <v> </v>
      </c>
      <c r="K1704" s="26" t="str">
        <f>IF(OR(E1704="",E1704="!!!",F1704="NEW"),"",INDEX(J$1:J1703,SUMPRODUCT(MAX(ROW(E$1:E1703)*(E1704=E$1:E1703)))))</f>
        <v> </v>
      </c>
      <c r="L1704" s="27"/>
    </row>
    <row r="1705" spans="1:12">
      <c r="A1705" s="20" t="s">
        <v>1454</v>
      </c>
      <c r="B1705" s="21" t="s">
        <v>796</v>
      </c>
      <c r="C1705" s="21" t="s">
        <v>967</v>
      </c>
      <c r="E1705" s="22">
        <f>IF(D1705="?OLD","!!!","")</f>
        <v/>
      </c>
      <c r="F1705" s="23" t="str">
        <f>IF(OR(E1705="",E1705="!!!"),"",IF(NOT(ISNA(VLOOKUP(E1705,E$1:E1704,1,FALSE()))),"OLD",IF(AND(E1705&lt;&gt;"",E1705&lt;&gt;"!!!"),"NEW","")))</f>
        <v> </v>
      </c>
      <c r="G1705" s="24" t="str">
        <f>IF(OR(E1705="",E1705="!!!"),"",IF(OR(J1705=0,AND(J1705=1,K1705=1),AND(J1705=1,I1705="SBJ"),AND(J1705=1,I1705=0)),"?IN_FOCUS",IF(J1705&lt;=2,"?ACTIVATED",IF(J1705&lt;&gt;"","?FAMILIAR",IF(F1705="NEW",IF(ISNA(VLOOKUP(E1705,#REF!,1,FALSE())),"?TYPE_IDENTIFIABLE","?REFERENTIAL"),"_")))))</f>
        <v> </v>
      </c>
      <c r="H1705" s="25" t="str">
        <f>IF(J1705&lt;&gt;1,"",IF(I1705="SBJ","CB","?"))</f>
        <v> </v>
      </c>
      <c r="I1705" s="26" t="str">
        <f>IF(OR(E1705="",E1705="!!!",F1705="NEW"),"",INDEX(B1704:B$2,-1+SUMPRODUCT(MAX(ROW(E1704:E$2)*(E1705=E1704:E$2)))))</f>
        <v> </v>
      </c>
      <c r="J1705" s="26" t="str">
        <f>IF(OR(E1705="",E1705="!!!",F1705="NEW"),"",COUNTBLANK(OFFSET(A$1,,,SUMPRODUCT(MAX(ROW(E$2:E1705)*(E1705=E$2:E1705)))))-COUNTBLANK(OFFSET(A$1,,,SUMPRODUCT(MAX(ROW(E$1:E1704)*(E2=E$1:E1704))))))</f>
        <v> </v>
      </c>
      <c r="K1705" s="26" t="str">
        <f>IF(OR(E1705="",E1705="!!!",F1705="NEW"),"",INDEX(J$1:J1704,SUMPRODUCT(MAX(ROW(E$1:E1704)*(E1705=E$1:E1704)))))</f>
        <v> </v>
      </c>
      <c r="L1705" s="27"/>
    </row>
    <row r="1706" spans="1:12">
      <c r="A1706" s="20" t="s">
        <v>742</v>
      </c>
      <c r="E1706" s="22">
        <f>IF(D1706="?OLD","!!!","")</f>
        <v/>
      </c>
      <c r="F1706" s="23" t="str">
        <f>IF(OR(E1706="",E1706="!!!"),"",IF(NOT(ISNA(VLOOKUP(E1706,E$1:E1705,1,FALSE()))),"OLD",IF(AND(E1706&lt;&gt;"",E1706&lt;&gt;"!!!"),"NEW","")))</f>
        <v> </v>
      </c>
      <c r="G1706" s="24" t="str">
        <f>IF(OR(E1706="",E1706="!!!"),"",IF(OR(J1706=0,AND(J1706=1,K1706=1),AND(J1706=1,I1706="SBJ"),AND(J1706=1,I1706=0)),"?IN_FOCUS",IF(J1706&lt;=2,"?ACTIVATED",IF(J1706&lt;&gt;"","?FAMILIAR",IF(F1706="NEW",IF(ISNA(VLOOKUP(E1706,#REF!,1,FALSE())),"?TYPE_IDENTIFIABLE","?REFERENTIAL"),"_")))))</f>
        <v> </v>
      </c>
      <c r="H1706" s="25" t="str">
        <f>IF(J1706&lt;&gt;1,"",IF(I1706="SBJ","CB","?"))</f>
        <v> </v>
      </c>
      <c r="I1706" s="26" t="str">
        <f>IF(OR(E1706="",E1706="!!!",F1706="NEW"),"",INDEX(B1705:B$2,-1+SUMPRODUCT(MAX(ROW(E1705:E$2)*(E1706=E1705:E$2)))))</f>
        <v> </v>
      </c>
      <c r="J1706" s="26" t="str">
        <f>IF(OR(E1706="",E1706="!!!",F1706="NEW"),"",COUNTBLANK(OFFSET(A$1,,,SUMPRODUCT(MAX(ROW(E$2:E1706)*(E1706=E$2:E1706)))))-COUNTBLANK(OFFSET(A$1,,,SUMPRODUCT(MAX(ROW(E$1:E1705)*(E2=E$1:E1705))))))</f>
        <v> </v>
      </c>
      <c r="K1706" s="26" t="str">
        <f>IF(OR(E1706="",E1706="!!!",F1706="NEW"),"",INDEX(J$1:J1705,SUMPRODUCT(MAX(ROW(E$1:E1705)*(E1706=E$1:E1705)))))</f>
        <v> </v>
      </c>
      <c r="L1706" s="27"/>
    </row>
    <row r="1707" spans="1:12">
      <c r="A1707" s="20" t="s">
        <v>1455</v>
      </c>
      <c r="B1707" s="21" t="s">
        <v>755</v>
      </c>
      <c r="C1707" s="21" t="s">
        <v>748</v>
      </c>
      <c r="E1707" s="22">
        <f>IF(D1707="?OLD","!!!","")</f>
        <v/>
      </c>
      <c r="F1707" s="23" t="str">
        <f>IF(OR(E1707="",E1707="!!!"),"",IF(NOT(ISNA(VLOOKUP(E1707,E$1:E1706,1,FALSE()))),"OLD",IF(AND(E1707&lt;&gt;"",E1707&lt;&gt;"!!!"),"NEW","")))</f>
        <v> </v>
      </c>
      <c r="G1707" s="24" t="str">
        <f>IF(OR(E1707="",E1707="!!!"),"",IF(OR(J1707=0,AND(J1707=1,K1707=1),AND(J1707=1,I1707="SBJ"),AND(J1707=1,I1707=0)),"?IN_FOCUS",IF(J1707&lt;=2,"?ACTIVATED",IF(J1707&lt;&gt;"","?FAMILIAR",IF(F1707="NEW",IF(ISNA(VLOOKUP(E1707,#REF!,1,FALSE())),"?TYPE_IDENTIFIABLE","?REFERENTIAL"),"_")))))</f>
        <v> </v>
      </c>
      <c r="H1707" s="25" t="str">
        <f>IF(J1707&lt;&gt;1,"",IF(I1707="SBJ","CB","?"))</f>
        <v> </v>
      </c>
      <c r="I1707" s="26" t="str">
        <f>IF(OR(E1707="",E1707="!!!",F1707="NEW"),"",INDEX(B1706:B$2,-1+SUMPRODUCT(MAX(ROW(E1706:E$2)*(E1707=E1706:E$2)))))</f>
        <v> </v>
      </c>
      <c r="J1707" s="26" t="str">
        <f>IF(OR(E1707="",E1707="!!!",F1707="NEW"),"",COUNTBLANK(OFFSET(A$1,,,SUMPRODUCT(MAX(ROW(E$2:E1707)*(E1707=E$2:E1707)))))-COUNTBLANK(OFFSET(A$1,,,SUMPRODUCT(MAX(ROW(E$1:E1706)*(E2=E$1:E1706))))))</f>
        <v> </v>
      </c>
      <c r="K1707" s="26" t="str">
        <f>IF(OR(E1707="",E1707="!!!",F1707="NEW"),"",INDEX(J$1:J1706,SUMPRODUCT(MAX(ROW(E$1:E1706)*(E1707=E$1:E1706)))))</f>
        <v> </v>
      </c>
      <c r="L1707" s="27"/>
    </row>
    <row r="1708" spans="1:12">
      <c r="A1708" s="20" t="s">
        <v>1456</v>
      </c>
      <c r="E1708" s="22">
        <f>IF(D1708="?OLD","!!!","")</f>
        <v/>
      </c>
      <c r="F1708" s="23" t="str">
        <f>IF(OR(E1708="",E1708="!!!"),"",IF(NOT(ISNA(VLOOKUP(E1708,E$1:E1707,1,FALSE()))),"OLD",IF(AND(E1708&lt;&gt;"",E1708&lt;&gt;"!!!"),"NEW","")))</f>
        <v> </v>
      </c>
      <c r="G1708" s="24" t="str">
        <f>IF(OR(E1708="",E1708="!!!"),"",IF(OR(J1708=0,AND(J1708=1,K1708=1),AND(J1708=1,I1708="SBJ"),AND(J1708=1,I1708=0)),"?IN_FOCUS",IF(J1708&lt;=2,"?ACTIVATED",IF(J1708&lt;&gt;"","?FAMILIAR",IF(F1708="NEW",IF(ISNA(VLOOKUP(E1708,#REF!,1,FALSE())),"?TYPE_IDENTIFIABLE","?REFERENTIAL"),"_")))))</f>
        <v> </v>
      </c>
      <c r="H1708" s="25" t="str">
        <f>IF(J1708&lt;&gt;1,"",IF(I1708="SBJ","CB","?"))</f>
        <v> </v>
      </c>
      <c r="I1708" s="26" t="str">
        <f>IF(OR(E1708="",E1708="!!!",F1708="NEW"),"",INDEX(B1707:B$2,-1+SUMPRODUCT(MAX(ROW(E1707:E$2)*(E1708=E1707:E$2)))))</f>
        <v> </v>
      </c>
      <c r="J1708" s="26" t="str">
        <f>IF(OR(E1708="",E1708="!!!",F1708="NEW"),"",COUNTBLANK(OFFSET(A$1,,,SUMPRODUCT(MAX(ROW(E$2:E1708)*(E1708=E$2:E1708)))))-COUNTBLANK(OFFSET(A$1,,,SUMPRODUCT(MAX(ROW(E$1:E1707)*(E2=E$1:E1707))))))</f>
        <v> </v>
      </c>
      <c r="K1708" s="26" t="str">
        <f>IF(OR(E1708="",E1708="!!!",F1708="NEW"),"",INDEX(J$1:J1707,SUMPRODUCT(MAX(ROW(E$1:E1707)*(E1708=E$1:E1707)))))</f>
        <v> </v>
      </c>
      <c r="L1708" s="27"/>
    </row>
    <row r="1709" spans="1:12">
      <c r="A1709" s="20" t="s">
        <v>759</v>
      </c>
      <c r="E1709" s="22">
        <f>IF(D1709="?OLD","!!!","")</f>
        <v/>
      </c>
      <c r="F1709" s="23" t="str">
        <f>IF(OR(E1709="",E1709="!!!"),"",IF(NOT(ISNA(VLOOKUP(E1709,E$1:E1708,1,FALSE()))),"OLD",IF(AND(E1709&lt;&gt;"",E1709&lt;&gt;"!!!"),"NEW","")))</f>
        <v> </v>
      </c>
      <c r="G1709" s="24" t="str">
        <f>IF(OR(E1709="",E1709="!!!"),"",IF(OR(J1709=0,AND(J1709=1,K1709=1),AND(J1709=1,I1709="SBJ"),AND(J1709=1,I1709=0)),"?IN_FOCUS",IF(J1709&lt;=2,"?ACTIVATED",IF(J1709&lt;&gt;"","?FAMILIAR",IF(F1709="NEW",IF(ISNA(VLOOKUP(E1709,#REF!,1,FALSE())),"?TYPE_IDENTIFIABLE","?REFERENTIAL"),"_")))))</f>
        <v> </v>
      </c>
      <c r="H1709" s="25" t="str">
        <f>IF(J1709&lt;&gt;1,"",IF(I1709="SBJ","CB","?"))</f>
        <v> </v>
      </c>
      <c r="I1709" s="26" t="str">
        <f>IF(OR(E1709="",E1709="!!!",F1709="NEW"),"",INDEX(B1708:B$2,-1+SUMPRODUCT(MAX(ROW(E1708:E$2)*(E1709=E1708:E$2)))))</f>
        <v> </v>
      </c>
      <c r="J1709" s="26" t="str">
        <f>IF(OR(E1709="",E1709="!!!",F1709="NEW"),"",COUNTBLANK(OFFSET(A$1,,,SUMPRODUCT(MAX(ROW(E$2:E1709)*(E1709=E$2:E1709)))))-COUNTBLANK(OFFSET(A$1,,,SUMPRODUCT(MAX(ROW(E$1:E1708)*(E2=E$1:E1708))))))</f>
        <v> </v>
      </c>
      <c r="K1709" s="26" t="str">
        <f>IF(OR(E1709="",E1709="!!!",F1709="NEW"),"",INDEX(J$1:J1708,SUMPRODUCT(MAX(ROW(E$1:E1708)*(E1709=E$1:E1708)))))</f>
        <v> </v>
      </c>
      <c r="L1709" s="27"/>
    </row>
    <row r="1710" spans="1:12">
      <c r="A1710" s="20" t="s">
        <v>809</v>
      </c>
      <c r="E1710" s="22">
        <f>IF(D1710="?OLD","!!!","")</f>
        <v/>
      </c>
      <c r="F1710" s="23" t="str">
        <f>IF(OR(E1710="",E1710="!!!"),"",IF(NOT(ISNA(VLOOKUP(E1710,E$1:E1709,1,FALSE()))),"OLD",IF(AND(E1710&lt;&gt;"",E1710&lt;&gt;"!!!"),"NEW","")))</f>
        <v> </v>
      </c>
      <c r="G1710" s="24" t="str">
        <f>IF(OR(E1710="",E1710="!!!"),"",IF(OR(J1710=0,AND(J1710=1,K1710=1),AND(J1710=1,I1710="SBJ"),AND(J1710=1,I1710=0)),"?IN_FOCUS",IF(J1710&lt;=2,"?ACTIVATED",IF(J1710&lt;&gt;"","?FAMILIAR",IF(F1710="NEW",IF(ISNA(VLOOKUP(E1710,#REF!,1,FALSE())),"?TYPE_IDENTIFIABLE","?REFERENTIAL"),"_")))))</f>
        <v> </v>
      </c>
      <c r="H1710" s="25" t="str">
        <f>IF(J1710&lt;&gt;1,"",IF(I1710="SBJ","CB","?"))</f>
        <v> </v>
      </c>
      <c r="I1710" s="26" t="str">
        <f>IF(OR(E1710="",E1710="!!!",F1710="NEW"),"",INDEX(B1709:B$2,-1+SUMPRODUCT(MAX(ROW(E1709:E$2)*(E1710=E1709:E$2)))))</f>
        <v> </v>
      </c>
      <c r="J1710" s="26" t="str">
        <f>IF(OR(E1710="",E1710="!!!",F1710="NEW"),"",COUNTBLANK(OFFSET(A$1,,,SUMPRODUCT(MAX(ROW(E$2:E1710)*(E1710=E$2:E1710)))))-COUNTBLANK(OFFSET(A$1,,,SUMPRODUCT(MAX(ROW(E$1:E1709)*(E2=E$1:E1709))))))</f>
        <v> </v>
      </c>
      <c r="K1710" s="26" t="str">
        <f>IF(OR(E1710="",E1710="!!!",F1710="NEW"),"",INDEX(J$1:J1709,SUMPRODUCT(MAX(ROW(E$1:E1709)*(E1710=E$1:E1709)))))</f>
        <v> </v>
      </c>
      <c r="L1710" s="27"/>
    </row>
    <row r="1711" spans="1:12">
      <c r="A1711" s="20" t="s">
        <v>1450</v>
      </c>
      <c r="B1711" s="21" t="s">
        <v>796</v>
      </c>
      <c r="C1711" s="21" t="s">
        <v>756</v>
      </c>
      <c r="E1711" s="22">
        <f>IF(D1711="?OLD","!!!","")</f>
        <v/>
      </c>
      <c r="F1711" s="23" t="str">
        <f>IF(OR(E1711="",E1711="!!!"),"",IF(NOT(ISNA(VLOOKUP(E1711,E$1:E1710,1,FALSE()))),"OLD",IF(AND(E1711&lt;&gt;"",E1711&lt;&gt;"!!!"),"NEW","")))</f>
        <v> </v>
      </c>
      <c r="G1711" s="24" t="str">
        <f>IF(OR(E1711="",E1711="!!!"),"",IF(OR(J1711=0,AND(J1711=1,K1711=1),AND(J1711=1,I1711="SBJ"),AND(J1711=1,I1711=0)),"?IN_FOCUS",IF(J1711&lt;=2,"?ACTIVATED",IF(J1711&lt;&gt;"","?FAMILIAR",IF(F1711="NEW",IF(ISNA(VLOOKUP(E1711,#REF!,1,FALSE())),"?TYPE_IDENTIFIABLE","?REFERENTIAL"),"_")))))</f>
        <v> </v>
      </c>
      <c r="H1711" s="25" t="str">
        <f>IF(J1711&lt;&gt;1,"",IF(I1711="SBJ","CB","?"))</f>
        <v> </v>
      </c>
      <c r="I1711" s="26" t="str">
        <f>IF(OR(E1711="",E1711="!!!",F1711="NEW"),"",INDEX(B1710:B$2,-1+SUMPRODUCT(MAX(ROW(E1710:E$2)*(E1711=E1710:E$2)))))</f>
        <v> </v>
      </c>
      <c r="J1711" s="26" t="str">
        <f>IF(OR(E1711="",E1711="!!!",F1711="NEW"),"",COUNTBLANK(OFFSET(A$1,,,SUMPRODUCT(MAX(ROW(E$2:E1711)*(E1711=E$2:E1711)))))-COUNTBLANK(OFFSET(A$1,,,SUMPRODUCT(MAX(ROW(E$1:E1710)*(E2=E$1:E1710))))))</f>
        <v> </v>
      </c>
      <c r="K1711" s="26" t="str">
        <f>IF(OR(E1711="",E1711="!!!",F1711="NEW"),"",INDEX(J$1:J1710,SUMPRODUCT(MAX(ROW(E$1:E1710)*(E1711=E$1:E1710)))))</f>
        <v> </v>
      </c>
      <c r="L1711" s="27"/>
    </row>
    <row r="1712" spans="1:12">
      <c r="A1712" s="20" t="s">
        <v>899</v>
      </c>
      <c r="B1712" s="21" t="s">
        <v>791</v>
      </c>
      <c r="C1712" s="21" t="s">
        <v>729</v>
      </c>
      <c r="D1712" s="21" t="s">
        <v>730</v>
      </c>
      <c r="E1712" s="22">
        <f>IF(D1712="?OLD","!!!","")</f>
        <v/>
      </c>
      <c r="F1712" s="23" t="str">
        <f>IF(OR(E1712="",E1712="!!!"),"",IF(NOT(ISNA(VLOOKUP(E1712,E$1:E1711,1,FALSE()))),"OLD",IF(AND(E1712&lt;&gt;"",E1712&lt;&gt;"!!!"),"NEW","")))</f>
        <v> </v>
      </c>
      <c r="G1712" s="24" t="str">
        <f>IF(OR(E1712="",E1712="!!!"),"",IF(OR(J1712=0,AND(J1712=1,K1712=1),AND(J1712=1,I1712="SBJ"),AND(J1712=1,I1712=0)),"?IN_FOCUS",IF(J1712&lt;=2,"?ACTIVATED",IF(J1712&lt;&gt;"","?FAMILIAR",IF(F1712="NEW",IF(ISNA(VLOOKUP(E1712,#REF!,1,FALSE())),"?TYPE_IDENTIFIABLE","?REFERENTIAL"),"_")))))</f>
        <v> </v>
      </c>
      <c r="H1712" s="25" t="str">
        <f>IF(J1712&lt;&gt;1,"",IF(I1712="SBJ","CB","?"))</f>
        <v> </v>
      </c>
      <c r="I1712" s="26" t="str">
        <f>IF(OR(E1712="",E1712="!!!",F1712="NEW"),"",INDEX(B1711:B$2,-1+SUMPRODUCT(MAX(ROW(E1711:E$2)*(E1712=E1711:E$2)))))</f>
        <v> </v>
      </c>
      <c r="J1712" s="26" t="str">
        <f>IF(OR(E1712="",E1712="!!!",F1712="NEW"),"",COUNTBLANK(OFFSET(A$1,,,SUMPRODUCT(MAX(ROW(E$2:E1712)*(E1712=E$2:E1712)))))-COUNTBLANK(OFFSET(A$1,,,SUMPRODUCT(MAX(ROW(E$1:E1711)*(E2=E$1:E1711))))))</f>
        <v> </v>
      </c>
      <c r="K1712" s="26" t="str">
        <f>IF(OR(E1712="",E1712="!!!",F1712="NEW"),"",INDEX(J$1:J1711,SUMPRODUCT(MAX(ROW(E$1:E1711)*(E1712=E$1:E1711)))))</f>
        <v> </v>
      </c>
      <c r="L1712" s="27"/>
    </row>
    <row r="1713" spans="1:12">
      <c r="A1713" s="20" t="s">
        <v>810</v>
      </c>
      <c r="E1713" s="22">
        <f>IF(D1713="?OLD","!!!","")</f>
        <v/>
      </c>
      <c r="F1713" s="23" t="str">
        <f>IF(OR(E1713="",E1713="!!!"),"",IF(NOT(ISNA(VLOOKUP(E1713,E$1:E1712,1,FALSE()))),"OLD",IF(AND(E1713&lt;&gt;"",E1713&lt;&gt;"!!!"),"NEW","")))</f>
        <v> </v>
      </c>
      <c r="G1713" s="24" t="str">
        <f>IF(OR(E1713="",E1713="!!!"),"",IF(OR(J1713=0,AND(J1713=1,K1713=1),AND(J1713=1,I1713="SBJ"),AND(J1713=1,I1713=0)),"?IN_FOCUS",IF(J1713&lt;=2,"?ACTIVATED",IF(J1713&lt;&gt;"","?FAMILIAR",IF(F1713="NEW",IF(ISNA(VLOOKUP(E1713,#REF!,1,FALSE())),"?TYPE_IDENTIFIABLE","?REFERENTIAL"),"_")))))</f>
        <v> </v>
      </c>
      <c r="H1713" s="25" t="str">
        <f>IF(J1713&lt;&gt;1,"",IF(I1713="SBJ","CB","?"))</f>
        <v> </v>
      </c>
      <c r="I1713" s="26" t="str">
        <f>IF(OR(E1713="",E1713="!!!",F1713="NEW"),"",INDEX(B1712:B$2,-1+SUMPRODUCT(MAX(ROW(E1712:E$2)*(E1713=E1712:E$2)))))</f>
        <v> </v>
      </c>
      <c r="J1713" s="26" t="str">
        <f>IF(OR(E1713="",E1713="!!!",F1713="NEW"),"",COUNTBLANK(OFFSET(A$1,,,SUMPRODUCT(MAX(ROW(E$2:E1713)*(E1713=E$2:E1713)))))-COUNTBLANK(OFFSET(A$1,,,SUMPRODUCT(MAX(ROW(E$1:E1712)*(E2=E$1:E1712))))))</f>
        <v> </v>
      </c>
      <c r="K1713" s="26" t="str">
        <f>IF(OR(E1713="",E1713="!!!",F1713="NEW"),"",INDEX(J$1:J1712,SUMPRODUCT(MAX(ROW(E$1:E1712)*(E1713=E$1:E1712)))))</f>
        <v> </v>
      </c>
      <c r="L1713" s="27"/>
    </row>
    <row r="1714" spans="1:12">
      <c r="A1714" s="20" t="s">
        <v>982</v>
      </c>
      <c r="E1714" s="22">
        <f>IF(D1714="?OLD","!!!","")</f>
        <v/>
      </c>
      <c r="F1714" s="23" t="str">
        <f>IF(OR(E1714="",E1714="!!!"),"",IF(NOT(ISNA(VLOOKUP(E1714,E$1:E1713,1,FALSE()))),"OLD",IF(AND(E1714&lt;&gt;"",E1714&lt;&gt;"!!!"),"NEW","")))</f>
        <v> </v>
      </c>
      <c r="G1714" s="24" t="str">
        <f>IF(OR(E1714="",E1714="!!!"),"",IF(OR(J1714=0,AND(J1714=1,K1714=1),AND(J1714=1,I1714="SBJ"),AND(J1714=1,I1714=0)),"?IN_FOCUS",IF(J1714&lt;=2,"?ACTIVATED",IF(J1714&lt;&gt;"","?FAMILIAR",IF(F1714="NEW",IF(ISNA(VLOOKUP(E1714,#REF!,1,FALSE())),"?TYPE_IDENTIFIABLE","?REFERENTIAL"),"_")))))</f>
        <v> </v>
      </c>
      <c r="H1714" s="25" t="str">
        <f>IF(J1714&lt;&gt;1,"",IF(I1714="SBJ","CB","?"))</f>
        <v> </v>
      </c>
      <c r="I1714" s="26" t="str">
        <f>IF(OR(E1714="",E1714="!!!",F1714="NEW"),"",INDEX(B1713:B$2,-1+SUMPRODUCT(MAX(ROW(E1713:E$2)*(E1714=E1713:E$2)))))</f>
        <v> </v>
      </c>
      <c r="J1714" s="26" t="str">
        <f>IF(OR(E1714="",E1714="!!!",F1714="NEW"),"",COUNTBLANK(OFFSET(A$1,,,SUMPRODUCT(MAX(ROW(E$2:E1714)*(E1714=E$2:E1714)))))-COUNTBLANK(OFFSET(A$1,,,SUMPRODUCT(MAX(ROW(E$1:E1713)*(E2=E$1:E1713))))))</f>
        <v> </v>
      </c>
      <c r="K1714" s="26" t="str">
        <f>IF(OR(E1714="",E1714="!!!",F1714="NEW"),"",INDEX(J$1:J1713,SUMPRODUCT(MAX(ROW(E$1:E1713)*(E1714=E$1:E1713)))))</f>
        <v> </v>
      </c>
      <c r="L1714" s="27"/>
    </row>
    <row r="1715" spans="1:12">
      <c r="A1715" s="20" t="s">
        <v>1178</v>
      </c>
      <c r="E1715" s="22">
        <f>IF(D1715="?OLD","!!!","")</f>
        <v/>
      </c>
      <c r="F1715" s="23" t="str">
        <f>IF(OR(E1715="",E1715="!!!"),"",IF(NOT(ISNA(VLOOKUP(E1715,E$1:E1714,1,FALSE()))),"OLD",IF(AND(E1715&lt;&gt;"",E1715&lt;&gt;"!!!"),"NEW","")))</f>
        <v> </v>
      </c>
      <c r="G1715" s="24" t="str">
        <f>IF(OR(E1715="",E1715="!!!"),"",IF(OR(J1715=0,AND(J1715=1,K1715=1),AND(J1715=1,I1715="SBJ"),AND(J1715=1,I1715=0)),"?IN_FOCUS",IF(J1715&lt;=2,"?ACTIVATED",IF(J1715&lt;&gt;"","?FAMILIAR",IF(F1715="NEW",IF(ISNA(VLOOKUP(E1715,#REF!,1,FALSE())),"?TYPE_IDENTIFIABLE","?REFERENTIAL"),"_")))))</f>
        <v> </v>
      </c>
      <c r="H1715" s="25" t="str">
        <f>IF(J1715&lt;&gt;1,"",IF(I1715="SBJ","CB","?"))</f>
        <v> </v>
      </c>
      <c r="I1715" s="26" t="str">
        <f>IF(OR(E1715="",E1715="!!!",F1715="NEW"),"",INDEX(B1714:B$2,-1+SUMPRODUCT(MAX(ROW(E1714:E$2)*(E1715=E1714:E$2)))))</f>
        <v> </v>
      </c>
      <c r="J1715" s="26" t="str">
        <f>IF(OR(E1715="",E1715="!!!",F1715="NEW"),"",COUNTBLANK(OFFSET(A$1,,,SUMPRODUCT(MAX(ROW(E$2:E1715)*(E1715=E$2:E1715)))))-COUNTBLANK(OFFSET(A$1,,,SUMPRODUCT(MAX(ROW(E$1:E1714)*(E2=E$1:E1714))))))</f>
        <v> </v>
      </c>
      <c r="K1715" s="26" t="str">
        <f>IF(OR(E1715="",E1715="!!!",F1715="NEW"),"",INDEX(J$1:J1714,SUMPRODUCT(MAX(ROW(E$1:E1714)*(E1715=E$1:E1714)))))</f>
        <v> </v>
      </c>
      <c r="L1715" s="27"/>
    </row>
    <row r="1716" spans="1:12">
      <c r="A1716" s="20" t="s">
        <v>1457</v>
      </c>
      <c r="E1716" s="22">
        <f>IF(D1716="?OLD","!!!","")</f>
        <v/>
      </c>
      <c r="F1716" s="23" t="str">
        <f>IF(OR(E1716="",E1716="!!!"),"",IF(NOT(ISNA(VLOOKUP(E1716,E$1:E1715,1,FALSE()))),"OLD",IF(AND(E1716&lt;&gt;"",E1716&lt;&gt;"!!!"),"NEW","")))</f>
        <v> </v>
      </c>
      <c r="G1716" s="24" t="str">
        <f>IF(OR(E1716="",E1716="!!!"),"",IF(OR(J1716=0,AND(J1716=1,K1716=1),AND(J1716=1,I1716="SBJ"),AND(J1716=1,I1716=0)),"?IN_FOCUS",IF(J1716&lt;=2,"?ACTIVATED",IF(J1716&lt;&gt;"","?FAMILIAR",IF(F1716="NEW",IF(ISNA(VLOOKUP(E1716,#REF!,1,FALSE())),"?TYPE_IDENTIFIABLE","?REFERENTIAL"),"_")))))</f>
        <v> </v>
      </c>
      <c r="H1716" s="25" t="str">
        <f>IF(J1716&lt;&gt;1,"",IF(I1716="SBJ","CB","?"))</f>
        <v> </v>
      </c>
      <c r="I1716" s="26" t="str">
        <f>IF(OR(E1716="",E1716="!!!",F1716="NEW"),"",INDEX(B1715:B$2,-1+SUMPRODUCT(MAX(ROW(E1715:E$2)*(E1716=E1715:E$2)))))</f>
        <v> </v>
      </c>
      <c r="J1716" s="26" t="str">
        <f>IF(OR(E1716="",E1716="!!!",F1716="NEW"),"",COUNTBLANK(OFFSET(A$1,,,SUMPRODUCT(MAX(ROW(E$2:E1716)*(E1716=E$2:E1716)))))-COUNTBLANK(OFFSET(A$1,,,SUMPRODUCT(MAX(ROW(E$1:E1715)*(E2=E$1:E1715))))))</f>
        <v> </v>
      </c>
      <c r="K1716" s="26" t="str">
        <f>IF(OR(E1716="",E1716="!!!",F1716="NEW"),"",INDEX(J$1:J1715,SUMPRODUCT(MAX(ROW(E$1:E1715)*(E1716=E$1:E1715)))))</f>
        <v> </v>
      </c>
      <c r="L1716" s="27"/>
    </row>
    <row r="1717" spans="1:12">
      <c r="A1717" s="20" t="s">
        <v>246</v>
      </c>
      <c r="E1717" s="22">
        <f>IF(D1717="?OLD","!!!","")</f>
        <v/>
      </c>
      <c r="F1717" s="23" t="str">
        <f>IF(OR(E1717="",E1717="!!!"),"",IF(NOT(ISNA(VLOOKUP(E1717,E$1:E1716,1,FALSE()))),"OLD",IF(AND(E1717&lt;&gt;"",E1717&lt;&gt;"!!!"),"NEW","")))</f>
        <v> </v>
      </c>
      <c r="G1717" s="24" t="str">
        <f>IF(OR(E1717="",E1717="!!!"),"",IF(OR(J1717=0,AND(J1717=1,K1717=1),AND(J1717=1,I1717="SBJ"),AND(J1717=1,I1717=0)),"?IN_FOCUS",IF(J1717&lt;=2,"?ACTIVATED",IF(J1717&lt;&gt;"","?FAMILIAR",IF(F1717="NEW",IF(ISNA(VLOOKUP(E1717,#REF!,1,FALSE())),"?TYPE_IDENTIFIABLE","?REFERENTIAL"),"_")))))</f>
        <v> </v>
      </c>
      <c r="H1717" s="25" t="str">
        <f>IF(J1717&lt;&gt;1,"",IF(I1717="SBJ","CB","?"))</f>
        <v> </v>
      </c>
      <c r="I1717" s="26" t="str">
        <f>IF(OR(E1717="",E1717="!!!",F1717="NEW"),"",INDEX(B1716:B$2,-1+SUMPRODUCT(MAX(ROW(E1716:E$2)*(E1717=E1716:E$2)))))</f>
        <v> </v>
      </c>
      <c r="J1717" s="26" t="str">
        <f>IF(OR(E1717="",E1717="!!!",F1717="NEW"),"",COUNTBLANK(OFFSET(A$1,,,SUMPRODUCT(MAX(ROW(E$2:E1717)*(E1717=E$2:E1717)))))-COUNTBLANK(OFFSET(A$1,,,SUMPRODUCT(MAX(ROW(E$1:E1716)*(E2=E$1:E1716))))))</f>
        <v> </v>
      </c>
      <c r="K1717" s="26" t="str">
        <f>IF(OR(E1717="",E1717="!!!",F1717="NEW"),"",INDEX(J$1:J1716,SUMPRODUCT(MAX(ROW(E$1:E1716)*(E1717=E$1:E1716)))))</f>
        <v> </v>
      </c>
      <c r="L1717" s="27"/>
    </row>
    <row r="1718" spans="1:12">
      <c r="A1718" s="20"/>
    </row>
    <row r="1719" spans="1:12">
      <c r="A1719" s="20" t="s">
        <v>798</v>
      </c>
      <c r="E1719" s="22">
        <f>IF(D1719="?OLD","!!!","")</f>
        <v/>
      </c>
      <c r="F1719" s="23" t="str">
        <f>IF(OR(E1719="",E1719="!!!"),"",IF(NOT(ISNA(VLOOKUP(E1719,E$1:E1718,1,FALSE()))),"OLD",IF(AND(E1719&lt;&gt;"",E1719&lt;&gt;"!!!"),"NEW","")))</f>
        <v> </v>
      </c>
      <c r="G1719" s="24" t="str">
        <f>IF(OR(E1719="",E1719="!!!"),"",IF(OR(J1719=0,AND(J1719=1,K1719=1),AND(J1719=1,I1719="SBJ"),AND(J1719=1,I1719=0)),"?IN_FOCUS",IF(J1719&lt;=2,"?ACTIVATED",IF(J1719&lt;&gt;"","?FAMILIAR",IF(F1719="NEW",IF(ISNA(VLOOKUP(E1719,#REF!,1,FALSE())),"?TYPE_IDENTIFIABLE","?REFERENTIAL"),"_")))))</f>
        <v> </v>
      </c>
      <c r="H1719" s="25" t="str">
        <f>IF(J1719&lt;&gt;1,"",IF(I1719="SBJ","CB","?"))</f>
        <v> </v>
      </c>
      <c r="I1719" s="26" t="str">
        <f>IF(OR(E1719="",E1719="!!!",F1719="NEW"),"",INDEX(B1718:B$2,-1+SUMPRODUCT(MAX(ROW(E1718:E$2)*(E1719=E1718:E$2)))))</f>
        <v> </v>
      </c>
      <c r="J1719" s="26" t="str">
        <f>IF(OR(E1719="",E1719="!!!",F1719="NEW"),"",COUNTBLANK(OFFSET(A$1,,,SUMPRODUCT(MAX(ROW(E$2:E1719)*(E1719=E$2:E1719)))))-COUNTBLANK(OFFSET(A$1,,,SUMPRODUCT(MAX(ROW(E$1:E1718)*(E2=E$1:E1718))))))</f>
        <v> </v>
      </c>
      <c r="K1719" s="26" t="str">
        <f>IF(OR(E1719="",E1719="!!!",F1719="NEW"),"",INDEX(J$1:J1718,SUMPRODUCT(MAX(ROW(E$1:E1718)*(E1719=E$1:E1718)))))</f>
        <v> </v>
      </c>
      <c r="L1719" s="27"/>
    </row>
    <row r="1720" spans="1:12">
      <c r="A1720" s="20" t="s">
        <v>1458</v>
      </c>
    </row>
    <row r="1721" spans="1:12">
      <c r="A1721" s="20" t="s">
        <v>768</v>
      </c>
      <c r="E1721" s="22">
        <f>IF(D1721="?OLD","!!!","")</f>
        <v/>
      </c>
      <c r="F1721" s="23" t="str">
        <f>IF(OR(E1721="",E1721="!!!"),"",IF(NOT(ISNA(VLOOKUP(E1721,E$1:E1720,1,FALSE()))),"OLD",IF(AND(E1721&lt;&gt;"",E1721&lt;&gt;"!!!"),"NEW","")))</f>
        <v> </v>
      </c>
      <c r="G1721" s="24" t="str">
        <f>IF(OR(E1721="",E1721="!!!"),"",IF(OR(J1721=0,AND(J1721=1,K1721=1),AND(J1721=1,I1721="SBJ"),AND(J1721=1,I1721=0)),"?IN_FOCUS",IF(J1721&lt;=2,"?ACTIVATED",IF(J1721&lt;&gt;"","?FAMILIAR",IF(F1721="NEW",IF(ISNA(VLOOKUP(E1721,#REF!,1,FALSE())),"?TYPE_IDENTIFIABLE","?REFERENTIAL"),"_")))))</f>
        <v> </v>
      </c>
      <c r="H1721" s="25" t="str">
        <f>IF(J1721&lt;&gt;1,"",IF(I1721="SBJ","CB","?"))</f>
        <v> </v>
      </c>
      <c r="I1721" s="26" t="str">
        <f>IF(OR(E1721="",E1721="!!!",F1721="NEW"),"",INDEX(B1720:B$2,-1+SUMPRODUCT(MAX(ROW(E1720:E$2)*(E1721=E1720:E$2)))))</f>
        <v> </v>
      </c>
      <c r="J1721" s="26" t="str">
        <f>IF(OR(E1721="",E1721="!!!",F1721="NEW"),"",COUNTBLANK(OFFSET(A$1,,,SUMPRODUCT(MAX(ROW(E$2:E1721)*(E1721=E$2:E1721)))))-COUNTBLANK(OFFSET(A$1,,,SUMPRODUCT(MAX(ROW(E$1:E1720)*(E2=E$1:E1720))))))</f>
        <v> </v>
      </c>
      <c r="K1721" s="26" t="str">
        <f>IF(OR(E1721="",E1721="!!!",F1721="NEW"),"",INDEX(J$1:J1720,SUMPRODUCT(MAX(ROW(E$1:E1720)*(E1721=E$1:E1720)))))</f>
        <v> </v>
      </c>
      <c r="L1721" s="27"/>
    </row>
    <row r="1722" spans="1:12">
      <c r="A1722" s="20" t="s">
        <v>750</v>
      </c>
      <c r="B1722" s="21" t="s">
        <v>728</v>
      </c>
      <c r="C1722" s="21" t="s">
        <v>729</v>
      </c>
      <c r="D1722" s="21" t="s">
        <v>730</v>
      </c>
      <c r="E1722" s="22">
        <f>IF(D1722="?OLD","!!!","")</f>
        <v/>
      </c>
      <c r="F1722" s="23" t="str">
        <f>IF(OR(E1722="",E1722="!!!"),"",IF(NOT(ISNA(VLOOKUP(E1722,E$1:E1721,1,FALSE()))),"OLD",IF(AND(E1722&lt;&gt;"",E1722&lt;&gt;"!!!"),"NEW","")))</f>
        <v> </v>
      </c>
      <c r="G1722" s="24" t="str">
        <f>IF(OR(E1722="",E1722="!!!"),"",IF(OR(J1722=0,AND(J1722=1,K1722=1),AND(J1722=1,I1722="SBJ"),AND(J1722=1,I1722=0)),"?IN_FOCUS",IF(J1722&lt;=2,"?ACTIVATED",IF(J1722&lt;&gt;"","?FAMILIAR",IF(F1722="NEW",IF(ISNA(VLOOKUP(E1722,#REF!,1,FALSE())),"?TYPE_IDENTIFIABLE","?REFERENTIAL"),"_")))))</f>
        <v> </v>
      </c>
      <c r="H1722" s="25" t="str">
        <f>IF(J1722&lt;&gt;1,"",IF(I1722="SBJ","CB","?"))</f>
        <v> </v>
      </c>
      <c r="I1722" s="26" t="str">
        <f>IF(OR(E1722="",E1722="!!!",F1722="NEW"),"",INDEX(B1721:B$2,-1+SUMPRODUCT(MAX(ROW(E1721:E$2)*(E1722=E1721:E$2)))))</f>
        <v> </v>
      </c>
      <c r="J1722" s="26" t="str">
        <f>IF(OR(E1722="",E1722="!!!",F1722="NEW"),"",COUNTBLANK(OFFSET(A$1,,,SUMPRODUCT(MAX(ROW(E$2:E1722)*(E1722=E$2:E1722)))))-COUNTBLANK(OFFSET(A$1,,,SUMPRODUCT(MAX(ROW(E$1:E1721)*(E2=E$1:E1721))))))</f>
        <v> </v>
      </c>
      <c r="K1722" s="26" t="str">
        <f>IF(OR(E1722="",E1722="!!!",F1722="NEW"),"",INDEX(J$1:J1721,SUMPRODUCT(MAX(ROW(E$1:E1721)*(E1722=E$1:E1721)))))</f>
        <v> </v>
      </c>
      <c r="L1722" s="27"/>
    </row>
    <row r="1723" spans="1:12">
      <c r="A1723" s="20" t="s">
        <v>1224</v>
      </c>
      <c r="E1723" s="22">
        <f>IF(D1723="?OLD","!!!","")</f>
        <v/>
      </c>
      <c r="F1723" s="23" t="str">
        <f>IF(OR(E1723="",E1723="!!!"),"",IF(NOT(ISNA(VLOOKUP(E1723,E$1:E1722,1,FALSE()))),"OLD",IF(AND(E1723&lt;&gt;"",E1723&lt;&gt;"!!!"),"NEW","")))</f>
        <v> </v>
      </c>
      <c r="G1723" s="24" t="str">
        <f>IF(OR(E1723="",E1723="!!!"),"",IF(OR(J1723=0,AND(J1723=1,K1723=1),AND(J1723=1,I1723="SBJ"),AND(J1723=1,I1723=0)),"?IN_FOCUS",IF(J1723&lt;=2,"?ACTIVATED",IF(J1723&lt;&gt;"","?FAMILIAR",IF(F1723="NEW",IF(ISNA(VLOOKUP(E1723,#REF!,1,FALSE())),"?TYPE_IDENTIFIABLE","?REFERENTIAL"),"_")))))</f>
        <v> </v>
      </c>
      <c r="H1723" s="25" t="str">
        <f>IF(J1723&lt;&gt;1,"",IF(I1723="SBJ","CB","?"))</f>
        <v> </v>
      </c>
      <c r="I1723" s="26" t="str">
        <f>IF(OR(E1723="",E1723="!!!",F1723="NEW"),"",INDEX(B1722:B$2,-1+SUMPRODUCT(MAX(ROW(E1722:E$2)*(E1723=E1722:E$2)))))</f>
        <v> </v>
      </c>
      <c r="J1723" s="26" t="str">
        <f>IF(OR(E1723="",E1723="!!!",F1723="NEW"),"",COUNTBLANK(OFFSET(A$1,,,SUMPRODUCT(MAX(ROW(E$2:E1723)*(E1723=E$2:E1723)))))-COUNTBLANK(OFFSET(A$1,,,SUMPRODUCT(MAX(ROW(E$1:E1722)*(E2=E$1:E1722))))))</f>
        <v> </v>
      </c>
      <c r="K1723" s="26" t="str">
        <f>IF(OR(E1723="",E1723="!!!",F1723="NEW"),"",INDEX(J$1:J1722,SUMPRODUCT(MAX(ROW(E$1:E1722)*(E1723=E$1:E1722)))))</f>
        <v> </v>
      </c>
      <c r="L1723" s="27"/>
    </row>
    <row r="1724" spans="1:12">
      <c r="A1724" s="20" t="s">
        <v>792</v>
      </c>
      <c r="B1724" s="21" t="s">
        <v>764</v>
      </c>
      <c r="C1724" s="21" t="s">
        <v>729</v>
      </c>
      <c r="D1724" s="21" t="s">
        <v>730</v>
      </c>
      <c r="E1724" s="22">
        <f>IF(D1724="?OLD","!!!","")</f>
        <v/>
      </c>
      <c r="F1724" s="23" t="str">
        <f>IF(OR(E1724="",E1724="!!!"),"",IF(NOT(ISNA(VLOOKUP(E1724,E$1:E1723,1,FALSE()))),"OLD",IF(AND(E1724&lt;&gt;"",E1724&lt;&gt;"!!!"),"NEW","")))</f>
        <v> </v>
      </c>
      <c r="G1724" s="24" t="str">
        <f>IF(OR(E1724="",E1724="!!!"),"",IF(OR(J1724=0,AND(J1724=1,K1724=1),AND(J1724=1,I1724="SBJ"),AND(J1724=1,I1724=0)),"?IN_FOCUS",IF(J1724&lt;=2,"?ACTIVATED",IF(J1724&lt;&gt;"","?FAMILIAR",IF(F1724="NEW",IF(ISNA(VLOOKUP(E1724,#REF!,1,FALSE())),"?TYPE_IDENTIFIABLE","?REFERENTIAL"),"_")))))</f>
        <v> </v>
      </c>
      <c r="H1724" s="25" t="str">
        <f>IF(J1724&lt;&gt;1,"",IF(I1724="SBJ","CB","?"))</f>
        <v> </v>
      </c>
      <c r="I1724" s="26" t="str">
        <f>IF(OR(E1724="",E1724="!!!",F1724="NEW"),"",INDEX(B1723:B$2,-1+SUMPRODUCT(MAX(ROW(E1723:E$2)*(E1724=E1723:E$2)))))</f>
        <v> </v>
      </c>
      <c r="J1724" s="26" t="str">
        <f>IF(OR(E1724="",E1724="!!!",F1724="NEW"),"",COUNTBLANK(OFFSET(A$1,,,SUMPRODUCT(MAX(ROW(E$2:E1724)*(E1724=E$2:E1724)))))-COUNTBLANK(OFFSET(A$1,,,SUMPRODUCT(MAX(ROW(E$1:E1723)*(E2=E$1:E1723))))))</f>
        <v> </v>
      </c>
      <c r="K1724" s="26" t="str">
        <f>IF(OR(E1724="",E1724="!!!",F1724="NEW"),"",INDEX(J$1:J1723,SUMPRODUCT(MAX(ROW(E$1:E1723)*(E1724=E$1:E1723)))))</f>
        <v> </v>
      </c>
      <c r="L1724" s="27"/>
    </row>
    <row r="1725" spans="1:12">
      <c r="A1725" s="20" t="s">
        <v>759</v>
      </c>
      <c r="E1725" s="22">
        <f>IF(D1725="?OLD","!!!","")</f>
        <v/>
      </c>
      <c r="F1725" s="23" t="str">
        <f>IF(OR(E1725="",E1725="!!!"),"",IF(NOT(ISNA(VLOOKUP(E1725,E$1:E1724,1,FALSE()))),"OLD",IF(AND(E1725&lt;&gt;"",E1725&lt;&gt;"!!!"),"NEW","")))</f>
        <v> </v>
      </c>
      <c r="G1725" s="24" t="str">
        <f>IF(OR(E1725="",E1725="!!!"),"",IF(OR(J1725=0,AND(J1725=1,K1725=1),AND(J1725=1,I1725="SBJ"),AND(J1725=1,I1725=0)),"?IN_FOCUS",IF(J1725&lt;=2,"?ACTIVATED",IF(J1725&lt;&gt;"","?FAMILIAR",IF(F1725="NEW",IF(ISNA(VLOOKUP(E1725,#REF!,1,FALSE())),"?TYPE_IDENTIFIABLE","?REFERENTIAL"),"_")))))</f>
        <v> </v>
      </c>
      <c r="H1725" s="25" t="str">
        <f>IF(J1725&lt;&gt;1,"",IF(I1725="SBJ","CB","?"))</f>
        <v> </v>
      </c>
      <c r="I1725" s="26" t="str">
        <f>IF(OR(E1725="",E1725="!!!",F1725="NEW"),"",INDEX(B1724:B$2,-1+SUMPRODUCT(MAX(ROW(E1724:E$2)*(E1725=E1724:E$2)))))</f>
        <v> </v>
      </c>
      <c r="J1725" s="26" t="str">
        <f>IF(OR(E1725="",E1725="!!!",F1725="NEW"),"",COUNTBLANK(OFFSET(A$1,,,SUMPRODUCT(MAX(ROW(E$2:E1725)*(E1725=E$2:E1725)))))-COUNTBLANK(OFFSET(A$1,,,SUMPRODUCT(MAX(ROW(E$1:E1724)*(E2=E$1:E1724))))))</f>
        <v> </v>
      </c>
      <c r="K1725" s="26" t="str">
        <f>IF(OR(E1725="",E1725="!!!",F1725="NEW"),"",INDEX(J$1:J1724,SUMPRODUCT(MAX(ROW(E$1:E1724)*(E1725=E$1:E1724)))))</f>
        <v> </v>
      </c>
      <c r="L1725" s="27"/>
    </row>
    <row r="1726" spans="1:12">
      <c r="A1726" s="20" t="s">
        <v>817</v>
      </c>
      <c r="E1726" s="22">
        <f>IF(D1726="?OLD","!!!","")</f>
        <v/>
      </c>
      <c r="F1726" s="23" t="str">
        <f>IF(OR(E1726="",E1726="!!!"),"",IF(NOT(ISNA(VLOOKUP(E1726,E$1:E1725,1,FALSE()))),"OLD",IF(AND(E1726&lt;&gt;"",E1726&lt;&gt;"!!!"),"NEW","")))</f>
        <v> </v>
      </c>
      <c r="G1726" s="24" t="str">
        <f>IF(OR(E1726="",E1726="!!!"),"",IF(OR(J1726=0,AND(J1726=1,K1726=1),AND(J1726=1,I1726="SBJ"),AND(J1726=1,I1726=0)),"?IN_FOCUS",IF(J1726&lt;=2,"?ACTIVATED",IF(J1726&lt;&gt;"","?FAMILIAR",IF(F1726="NEW",IF(ISNA(VLOOKUP(E1726,#REF!,1,FALSE())),"?TYPE_IDENTIFIABLE","?REFERENTIAL"),"_")))))</f>
        <v> </v>
      </c>
      <c r="H1726" s="25" t="str">
        <f>IF(J1726&lt;&gt;1,"",IF(I1726="SBJ","CB","?"))</f>
        <v> </v>
      </c>
      <c r="I1726" s="26" t="str">
        <f>IF(OR(E1726="",E1726="!!!",F1726="NEW"),"",INDEX(B1725:B$2,-1+SUMPRODUCT(MAX(ROW(E1725:E$2)*(E1726=E1725:E$2)))))</f>
        <v> </v>
      </c>
      <c r="J1726" s="26" t="str">
        <f>IF(OR(E1726="",E1726="!!!",F1726="NEW"),"",COUNTBLANK(OFFSET(A$1,,,SUMPRODUCT(MAX(ROW(E$2:E1726)*(E1726=E$2:E1726)))))-COUNTBLANK(OFFSET(A$1,,,SUMPRODUCT(MAX(ROW(E$1:E1725)*(E2=E$1:E1725))))))</f>
        <v> </v>
      </c>
      <c r="K1726" s="26" t="str">
        <f>IF(OR(E1726="",E1726="!!!",F1726="NEW"),"",INDEX(J$1:J1725,SUMPRODUCT(MAX(ROW(E$1:E1725)*(E1726=E$1:E1725)))))</f>
        <v> </v>
      </c>
      <c r="L1726" s="27"/>
    </row>
    <row r="1727" spans="1:12">
      <c r="A1727" s="20" t="s">
        <v>1225</v>
      </c>
      <c r="B1727" s="21" t="s">
        <v>736</v>
      </c>
      <c r="C1727" s="21" t="s">
        <v>740</v>
      </c>
      <c r="D1727" s="21" t="s">
        <v>730</v>
      </c>
      <c r="E1727" s="22">
        <f>IF(D1727="?OLD","!!!","")</f>
        <v/>
      </c>
      <c r="F1727" s="23" t="str">
        <f>IF(OR(E1727="",E1727="!!!"),"",IF(NOT(ISNA(VLOOKUP(E1727,E$1:E1726,1,FALSE()))),"OLD",IF(AND(E1727&lt;&gt;"",E1727&lt;&gt;"!!!"),"NEW","")))</f>
        <v> </v>
      </c>
      <c r="G1727" s="24" t="str">
        <f>IF(OR(E1727="",E1727="!!!"),"",IF(OR(J1727=0,AND(J1727=1,K1727=1),AND(J1727=1,I1727="SBJ"),AND(J1727=1,I1727=0)),"?IN_FOCUS",IF(J1727&lt;=2,"?ACTIVATED",IF(J1727&lt;&gt;"","?FAMILIAR",IF(F1727="NEW",IF(ISNA(VLOOKUP(E1727,#REF!,1,FALSE())),"?TYPE_IDENTIFIABLE","?REFERENTIAL"),"_")))))</f>
        <v> </v>
      </c>
      <c r="H1727" s="25" t="str">
        <f>IF(J1727&lt;&gt;1,"",IF(I1727="SBJ","CB","?"))</f>
        <v> </v>
      </c>
      <c r="I1727" s="26" t="str">
        <f>IF(OR(E1727="",E1727="!!!",F1727="NEW"),"",INDEX(B1726:B$2,-1+SUMPRODUCT(MAX(ROW(E1726:E$2)*(E1727=E1726:E$2)))))</f>
        <v> </v>
      </c>
      <c r="J1727" s="26" t="str">
        <f>IF(OR(E1727="",E1727="!!!",F1727="NEW"),"",COUNTBLANK(OFFSET(A$1,,,SUMPRODUCT(MAX(ROW(E$2:E1727)*(E1727=E$2:E1727)))))-COUNTBLANK(OFFSET(A$1,,,SUMPRODUCT(MAX(ROW(E$1:E1726)*(E2=E$1:E1726))))))</f>
        <v> </v>
      </c>
      <c r="K1727" s="26" t="str">
        <f>IF(OR(E1727="",E1727="!!!",F1727="NEW"),"",INDEX(J$1:J1726,SUMPRODUCT(MAX(ROW(E$1:E1726)*(E1727=E$1:E1726)))))</f>
        <v> </v>
      </c>
      <c r="L1727" s="27"/>
    </row>
    <row r="1728" spans="1:12">
      <c r="A1728" s="20" t="s">
        <v>759</v>
      </c>
      <c r="E1728" s="22">
        <f>IF(D1728="?OLD","!!!","")</f>
        <v/>
      </c>
      <c r="F1728" s="23" t="str">
        <f>IF(OR(E1728="",E1728="!!!"),"",IF(NOT(ISNA(VLOOKUP(E1728,E$1:E1727,1,FALSE()))),"OLD",IF(AND(E1728&lt;&gt;"",E1728&lt;&gt;"!!!"),"NEW","")))</f>
        <v> </v>
      </c>
      <c r="G1728" s="24" t="str">
        <f>IF(OR(E1728="",E1728="!!!"),"",IF(OR(J1728=0,AND(J1728=1,K1728=1),AND(J1728=1,I1728="SBJ"),AND(J1728=1,I1728=0)),"?IN_FOCUS",IF(J1728&lt;=2,"?ACTIVATED",IF(J1728&lt;&gt;"","?FAMILIAR",IF(F1728="NEW",IF(ISNA(VLOOKUP(E1728,#REF!,1,FALSE())),"?TYPE_IDENTIFIABLE","?REFERENTIAL"),"_")))))</f>
        <v> </v>
      </c>
      <c r="H1728" s="25" t="str">
        <f>IF(J1728&lt;&gt;1,"",IF(I1728="SBJ","CB","?"))</f>
        <v> </v>
      </c>
      <c r="I1728" s="26" t="str">
        <f>IF(OR(E1728="",E1728="!!!",F1728="NEW"),"",INDEX(B1727:B$2,-1+SUMPRODUCT(MAX(ROW(E1727:E$2)*(E1728=E1727:E$2)))))</f>
        <v> </v>
      </c>
      <c r="J1728" s="26" t="str">
        <f>IF(OR(E1728="",E1728="!!!",F1728="NEW"),"",COUNTBLANK(OFFSET(A$1,,,SUMPRODUCT(MAX(ROW(E$2:E1728)*(E1728=E$2:E1728)))))-COUNTBLANK(OFFSET(A$1,,,SUMPRODUCT(MAX(ROW(E$1:E1727)*(E2=E$1:E1727))))))</f>
        <v> </v>
      </c>
      <c r="K1728" s="26" t="str">
        <f>IF(OR(E1728="",E1728="!!!",F1728="NEW"),"",INDEX(J$1:J1727,SUMPRODUCT(MAX(ROW(E$1:E1727)*(E1728=E$1:E1727)))))</f>
        <v> </v>
      </c>
      <c r="L1728" s="27"/>
    </row>
    <row r="1729" spans="1:12">
      <c r="A1729" s="20" t="s">
        <v>776</v>
      </c>
      <c r="B1729" s="21" t="s">
        <v>796</v>
      </c>
      <c r="C1729" s="21" t="s">
        <v>801</v>
      </c>
      <c r="D1729" s="21" t="s">
        <v>730</v>
      </c>
      <c r="E1729" s="22">
        <f>IF(D1729="?OLD","!!!","")</f>
        <v/>
      </c>
      <c r="F1729" s="23" t="str">
        <f>IF(OR(E1729="",E1729="!!!"),"",IF(NOT(ISNA(VLOOKUP(E1729,E$1:E1728,1,FALSE()))),"OLD",IF(AND(E1729&lt;&gt;"",E1729&lt;&gt;"!!!"),"NEW","")))</f>
        <v> </v>
      </c>
      <c r="G1729" s="24" t="str">
        <f>IF(OR(E1729="",E1729="!!!"),"",IF(OR(J1729=0,AND(J1729=1,K1729=1),AND(J1729=1,I1729="SBJ"),AND(J1729=1,I1729=0)),"?IN_FOCUS",IF(J1729&lt;=2,"?ACTIVATED",IF(J1729&lt;&gt;"","?FAMILIAR",IF(F1729="NEW",IF(ISNA(VLOOKUP(E1729,#REF!,1,FALSE())),"?TYPE_IDENTIFIABLE","?REFERENTIAL"),"_")))))</f>
        <v> </v>
      </c>
      <c r="H1729" s="25" t="str">
        <f>IF(J1729&lt;&gt;1,"",IF(I1729="SBJ","CB","?"))</f>
        <v> </v>
      </c>
      <c r="I1729" s="26" t="str">
        <f>IF(OR(E1729="",E1729="!!!",F1729="NEW"),"",INDEX(B1728:B$2,-1+SUMPRODUCT(MAX(ROW(E1728:E$2)*(E1729=E1728:E$2)))))</f>
        <v> </v>
      </c>
      <c r="J1729" s="26" t="str">
        <f>IF(OR(E1729="",E1729="!!!",F1729="NEW"),"",COUNTBLANK(OFFSET(A$1,,,SUMPRODUCT(MAX(ROW(E$2:E1729)*(E1729=E$2:E1729)))))-COUNTBLANK(OFFSET(A$1,,,SUMPRODUCT(MAX(ROW(E$1:E1728)*(E2=E$1:E1728))))))</f>
        <v> </v>
      </c>
      <c r="K1729" s="26" t="str">
        <f>IF(OR(E1729="",E1729="!!!",F1729="NEW"),"",INDEX(J$1:J1728,SUMPRODUCT(MAX(ROW(E$1:E1728)*(E1729=E$1:E1728)))))</f>
        <v> </v>
      </c>
      <c r="L1729" s="27"/>
    </row>
    <row r="1730" spans="1:12">
      <c r="A1730" s="20" t="s">
        <v>1087</v>
      </c>
      <c r="E1730" s="22">
        <f>IF(D1730="?OLD","!!!","")</f>
        <v/>
      </c>
      <c r="F1730" s="23" t="str">
        <f>IF(OR(E1730="",E1730="!!!"),"",IF(NOT(ISNA(VLOOKUP(E1730,E$1:E1729,1,FALSE()))),"OLD",IF(AND(E1730&lt;&gt;"",E1730&lt;&gt;"!!!"),"NEW","")))</f>
        <v> </v>
      </c>
      <c r="G1730" s="24" t="str">
        <f>IF(OR(E1730="",E1730="!!!"),"",IF(OR(J1730=0,AND(J1730=1,K1730=1),AND(J1730=1,I1730="SBJ"),AND(J1730=1,I1730=0)),"?IN_FOCUS",IF(J1730&lt;=2,"?ACTIVATED",IF(J1730&lt;&gt;"","?FAMILIAR",IF(F1730="NEW",IF(ISNA(VLOOKUP(E1730,#REF!,1,FALSE())),"?TYPE_IDENTIFIABLE","?REFERENTIAL"),"_")))))</f>
        <v> </v>
      </c>
      <c r="H1730" s="25" t="str">
        <f>IF(J1730&lt;&gt;1,"",IF(I1730="SBJ","CB","?"))</f>
        <v> </v>
      </c>
      <c r="I1730" s="26" t="str">
        <f>IF(OR(E1730="",E1730="!!!",F1730="NEW"),"",INDEX(B1729:B$2,-1+SUMPRODUCT(MAX(ROW(E1729:E$2)*(E1730=E1729:E$2)))))</f>
        <v> </v>
      </c>
      <c r="J1730" s="26" t="str">
        <f>IF(OR(E1730="",E1730="!!!",F1730="NEW"),"",COUNTBLANK(OFFSET(A$1,,,SUMPRODUCT(MAX(ROW(E$2:E1730)*(E1730=E$2:E1730)))))-COUNTBLANK(OFFSET(A$1,,,SUMPRODUCT(MAX(ROW(E$1:E1729)*(E2=E$1:E1729))))))</f>
        <v> </v>
      </c>
      <c r="K1730" s="26" t="str">
        <f>IF(OR(E1730="",E1730="!!!",F1730="NEW"),"",INDEX(J$1:J1729,SUMPRODUCT(MAX(ROW(E$1:E1729)*(E1730=E$1:E1729)))))</f>
        <v> </v>
      </c>
      <c r="L1730" s="27"/>
    </row>
    <row r="1731" spans="1:12">
      <c r="A1731" s="20" t="s">
        <v>997</v>
      </c>
      <c r="E1731" s="22">
        <f>IF(D1731="?OLD","!!!","")</f>
        <v/>
      </c>
      <c r="F1731" s="23" t="str">
        <f>IF(OR(E1731="",E1731="!!!"),"",IF(NOT(ISNA(VLOOKUP(E1731,E$1:E1730,1,FALSE()))),"OLD",IF(AND(E1731&lt;&gt;"",E1731&lt;&gt;"!!!"),"NEW","")))</f>
        <v> </v>
      </c>
      <c r="G1731" s="24" t="str">
        <f>IF(OR(E1731="",E1731="!!!"),"",IF(OR(J1731=0,AND(J1731=1,K1731=1),AND(J1731=1,I1731="SBJ"),AND(J1731=1,I1731=0)),"?IN_FOCUS",IF(J1731&lt;=2,"?ACTIVATED",IF(J1731&lt;&gt;"","?FAMILIAR",IF(F1731="NEW",IF(ISNA(VLOOKUP(E1731,#REF!,1,FALSE())),"?TYPE_IDENTIFIABLE","?REFERENTIAL"),"_")))))</f>
        <v> </v>
      </c>
      <c r="H1731" s="25" t="str">
        <f>IF(J1731&lt;&gt;1,"",IF(I1731="SBJ","CB","?"))</f>
        <v> </v>
      </c>
      <c r="I1731" s="26" t="str">
        <f>IF(OR(E1731="",E1731="!!!",F1731="NEW"),"",INDEX(B1730:B$2,-1+SUMPRODUCT(MAX(ROW(E1730:E$2)*(E1731=E1730:E$2)))))</f>
        <v> </v>
      </c>
      <c r="J1731" s="26" t="str">
        <f>IF(OR(E1731="",E1731="!!!",F1731="NEW"),"",COUNTBLANK(OFFSET(A$1,,,SUMPRODUCT(MAX(ROW(E$2:E1731)*(E1731=E$2:E1731)))))-COUNTBLANK(OFFSET(A$1,,,SUMPRODUCT(MAX(ROW(E$1:E1730)*(E2=E$1:E1730))))))</f>
        <v> </v>
      </c>
      <c r="K1731" s="26" t="str">
        <f>IF(OR(E1731="",E1731="!!!",F1731="NEW"),"",INDEX(J$1:J1730,SUMPRODUCT(MAX(ROW(E$1:E1730)*(E1731=E$1:E1730)))))</f>
        <v> </v>
      </c>
      <c r="L1731" s="27"/>
    </row>
    <row r="1732" spans="1:12">
      <c r="A1732" s="20" t="s">
        <v>759</v>
      </c>
      <c r="E1732" s="22">
        <f>IF(D1732="?OLD","!!!","")</f>
        <v/>
      </c>
      <c r="F1732" s="23" t="str">
        <f>IF(OR(E1732="",E1732="!!!"),"",IF(NOT(ISNA(VLOOKUP(E1732,E$1:E1731,1,FALSE()))),"OLD",IF(AND(E1732&lt;&gt;"",E1732&lt;&gt;"!!!"),"NEW","")))</f>
        <v> </v>
      </c>
      <c r="G1732" s="24" t="str">
        <f>IF(OR(E1732="",E1732="!!!"),"",IF(OR(J1732=0,AND(J1732=1,K1732=1),AND(J1732=1,I1732="SBJ"),AND(J1732=1,I1732=0)),"?IN_FOCUS",IF(J1732&lt;=2,"?ACTIVATED",IF(J1732&lt;&gt;"","?FAMILIAR",IF(F1732="NEW",IF(ISNA(VLOOKUP(E1732,#REF!,1,FALSE())),"?TYPE_IDENTIFIABLE","?REFERENTIAL"),"_")))))</f>
        <v> </v>
      </c>
      <c r="H1732" s="25" t="str">
        <f>IF(J1732&lt;&gt;1,"",IF(I1732="SBJ","CB","?"))</f>
        <v> </v>
      </c>
      <c r="I1732" s="26" t="str">
        <f>IF(OR(E1732="",E1732="!!!",F1732="NEW"),"",INDEX(B1731:B$2,-1+SUMPRODUCT(MAX(ROW(E1731:E$2)*(E1732=E1731:E$2)))))</f>
        <v> </v>
      </c>
      <c r="J1732" s="26" t="str">
        <f>IF(OR(E1732="",E1732="!!!",F1732="NEW"),"",COUNTBLANK(OFFSET(A$1,,,SUMPRODUCT(MAX(ROW(E$2:E1732)*(E1732=E$2:E1732)))))-COUNTBLANK(OFFSET(A$1,,,SUMPRODUCT(MAX(ROW(E$1:E1731)*(E2=E$1:E1731))))))</f>
        <v> </v>
      </c>
      <c r="K1732" s="26" t="str">
        <f>IF(OR(E1732="",E1732="!!!",F1732="NEW"),"",INDEX(J$1:J1731,SUMPRODUCT(MAX(ROW(E$1:E1731)*(E1732=E$1:E1731)))))</f>
        <v> </v>
      </c>
      <c r="L1732" s="27"/>
    </row>
    <row r="1733" spans="1:12">
      <c r="A1733" s="20" t="s">
        <v>920</v>
      </c>
      <c r="E1733" s="22">
        <f>IF(D1733="?OLD","!!!","")</f>
        <v/>
      </c>
      <c r="F1733" s="23" t="str">
        <f>IF(OR(E1733="",E1733="!!!"),"",IF(NOT(ISNA(VLOOKUP(E1733,E$1:E1732,1,FALSE()))),"OLD",IF(AND(E1733&lt;&gt;"",E1733&lt;&gt;"!!!"),"NEW","")))</f>
        <v> </v>
      </c>
      <c r="G1733" s="24" t="str">
        <f>IF(OR(E1733="",E1733="!!!"),"",IF(OR(J1733=0,AND(J1733=1,K1733=1),AND(J1733=1,I1733="SBJ"),AND(J1733=1,I1733=0)),"?IN_FOCUS",IF(J1733&lt;=2,"?ACTIVATED",IF(J1733&lt;&gt;"","?FAMILIAR",IF(F1733="NEW",IF(ISNA(VLOOKUP(E1733,#REF!,1,FALSE())),"?TYPE_IDENTIFIABLE","?REFERENTIAL"),"_")))))</f>
        <v> </v>
      </c>
      <c r="H1733" s="25" t="str">
        <f>IF(J1733&lt;&gt;1,"",IF(I1733="SBJ","CB","?"))</f>
        <v> </v>
      </c>
      <c r="I1733" s="26" t="str">
        <f>IF(OR(E1733="",E1733="!!!",F1733="NEW"),"",INDEX(B1732:B$2,-1+SUMPRODUCT(MAX(ROW(E1732:E$2)*(E1733=E1732:E$2)))))</f>
        <v> </v>
      </c>
      <c r="J1733" s="26" t="str">
        <f>IF(OR(E1733="",E1733="!!!",F1733="NEW"),"",COUNTBLANK(OFFSET(A$1,,,SUMPRODUCT(MAX(ROW(E$2:E1733)*(E1733=E$2:E1733)))))-COUNTBLANK(OFFSET(A$1,,,SUMPRODUCT(MAX(ROW(E$1:E1732)*(E2=E$1:E1732))))))</f>
        <v> </v>
      </c>
      <c r="K1733" s="26" t="str">
        <f>IF(OR(E1733="",E1733="!!!",F1733="NEW"),"",INDEX(J$1:J1732,SUMPRODUCT(MAX(ROW(E$1:E1732)*(E1733=E$1:E1732)))))</f>
        <v> </v>
      </c>
      <c r="L1733" s="27"/>
    </row>
    <row r="1734" spans="1:12">
      <c r="A1734" s="20" t="s">
        <v>1459</v>
      </c>
      <c r="E1734" s="22">
        <f>IF(D1734="?OLD","!!!","")</f>
        <v/>
      </c>
      <c r="F1734" s="23" t="str">
        <f>IF(OR(E1734="",E1734="!!!"),"",IF(NOT(ISNA(VLOOKUP(E1734,E$1:E1733,1,FALSE()))),"OLD",IF(AND(E1734&lt;&gt;"",E1734&lt;&gt;"!!!"),"NEW","")))</f>
        <v> </v>
      </c>
      <c r="G1734" s="24" t="str">
        <f>IF(OR(E1734="",E1734="!!!"),"",IF(OR(J1734=0,AND(J1734=1,K1734=1),AND(J1734=1,I1734="SBJ"),AND(J1734=1,I1734=0)),"?IN_FOCUS",IF(J1734&lt;=2,"?ACTIVATED",IF(J1734&lt;&gt;"","?FAMILIAR",IF(F1734="NEW",IF(ISNA(VLOOKUP(E1734,#REF!,1,FALSE())),"?TYPE_IDENTIFIABLE","?REFERENTIAL"),"_")))))</f>
        <v> </v>
      </c>
      <c r="H1734" s="25" t="str">
        <f>IF(J1734&lt;&gt;1,"",IF(I1734="SBJ","CB","?"))</f>
        <v> </v>
      </c>
      <c r="I1734" s="26" t="str">
        <f>IF(OR(E1734="",E1734="!!!",F1734="NEW"),"",INDEX(B1733:B$2,-1+SUMPRODUCT(MAX(ROW(E1733:E$2)*(E1734=E1733:E$2)))))</f>
        <v> </v>
      </c>
      <c r="J1734" s="26" t="str">
        <f>IF(OR(E1734="",E1734="!!!",F1734="NEW"),"",COUNTBLANK(OFFSET(A$1,,,SUMPRODUCT(MAX(ROW(E$2:E1734)*(E1734=E$2:E1734)))))-COUNTBLANK(OFFSET(A$1,,,SUMPRODUCT(MAX(ROW(E$1:E1733)*(E2=E$1:E1733))))))</f>
        <v> </v>
      </c>
      <c r="K1734" s="26" t="str">
        <f>IF(OR(E1734="",E1734="!!!",F1734="NEW"),"",INDEX(J$1:J1733,SUMPRODUCT(MAX(ROW(E$1:E1733)*(E1734=E$1:E1733)))))</f>
        <v> </v>
      </c>
      <c r="L1734" s="27"/>
    </row>
    <row r="1735" spans="1:12">
      <c r="A1735" s="20" t="s">
        <v>750</v>
      </c>
      <c r="B1735" s="21" t="s">
        <v>788</v>
      </c>
      <c r="C1735" s="21" t="s">
        <v>729</v>
      </c>
      <c r="D1735" s="21" t="s">
        <v>730</v>
      </c>
      <c r="E1735" s="22">
        <f>IF(D1735="?OLD","!!!","")</f>
        <v/>
      </c>
      <c r="F1735" s="23" t="str">
        <f>IF(OR(E1735="",E1735="!!!"),"",IF(NOT(ISNA(VLOOKUP(E1735,E$1:E1734,1,FALSE()))),"OLD",IF(AND(E1735&lt;&gt;"",E1735&lt;&gt;"!!!"),"NEW","")))</f>
        <v> </v>
      </c>
      <c r="G1735" s="24" t="str">
        <f>IF(OR(E1735="",E1735="!!!"),"",IF(OR(J1735=0,AND(J1735=1,K1735=1),AND(J1735=1,I1735="SBJ"),AND(J1735=1,I1735=0)),"?IN_FOCUS",IF(J1735&lt;=2,"?ACTIVATED",IF(J1735&lt;&gt;"","?FAMILIAR",IF(F1735="NEW",IF(ISNA(VLOOKUP(E1735,#REF!,1,FALSE())),"?TYPE_IDENTIFIABLE","?REFERENTIAL"),"_")))))</f>
        <v> </v>
      </c>
      <c r="H1735" s="25" t="str">
        <f>IF(J1735&lt;&gt;1,"",IF(I1735="SBJ","CB","?"))</f>
        <v> </v>
      </c>
      <c r="I1735" s="26" t="str">
        <f>IF(OR(E1735="",E1735="!!!",F1735="NEW"),"",INDEX(B1734:B$2,-1+SUMPRODUCT(MAX(ROW(E1734:E$2)*(E1735=E1734:E$2)))))</f>
        <v> </v>
      </c>
      <c r="J1735" s="26" t="str">
        <f>IF(OR(E1735="",E1735="!!!",F1735="NEW"),"",COUNTBLANK(OFFSET(A$1,,,SUMPRODUCT(MAX(ROW(E$2:E1735)*(E1735=E$2:E1735)))))-COUNTBLANK(OFFSET(A$1,,,SUMPRODUCT(MAX(ROW(E$1:E1734)*(E2=E$1:E1734))))))</f>
        <v> </v>
      </c>
      <c r="K1735" s="26" t="str">
        <f>IF(OR(E1735="",E1735="!!!",F1735="NEW"),"",INDEX(J$1:J1734,SUMPRODUCT(MAX(ROW(E$1:E1734)*(E1735=E$1:E1734)))))</f>
        <v> </v>
      </c>
      <c r="L1735" s="27"/>
    </row>
    <row r="1736" spans="1:12">
      <c r="A1736" s="20" t="s">
        <v>773</v>
      </c>
      <c r="E1736" s="22">
        <f>IF(D1736="?OLD","!!!","")</f>
        <v/>
      </c>
      <c r="F1736" s="23" t="str">
        <f>IF(OR(E1736="",E1736="!!!"),"",IF(NOT(ISNA(VLOOKUP(E1736,E$1:E1735,1,FALSE()))),"OLD",IF(AND(E1736&lt;&gt;"",E1736&lt;&gt;"!!!"),"NEW","")))</f>
        <v> </v>
      </c>
      <c r="G1736" s="24" t="str">
        <f>IF(OR(E1736="",E1736="!!!"),"",IF(OR(J1736=0,AND(J1736=1,K1736=1),AND(J1736=1,I1736="SBJ"),AND(J1736=1,I1736=0)),"?IN_FOCUS",IF(J1736&lt;=2,"?ACTIVATED",IF(J1736&lt;&gt;"","?FAMILIAR",IF(F1736="NEW",IF(ISNA(VLOOKUP(E1736,#REF!,1,FALSE())),"?TYPE_IDENTIFIABLE","?REFERENTIAL"),"_")))))</f>
        <v> </v>
      </c>
      <c r="H1736" s="25" t="str">
        <f>IF(J1736&lt;&gt;1,"",IF(I1736="SBJ","CB","?"))</f>
        <v> </v>
      </c>
      <c r="I1736" s="26" t="str">
        <f>IF(OR(E1736="",E1736="!!!",F1736="NEW"),"",INDEX(B1735:B$2,-1+SUMPRODUCT(MAX(ROW(E1735:E$2)*(E1736=E1735:E$2)))))</f>
        <v> </v>
      </c>
      <c r="J1736" s="26" t="str">
        <f>IF(OR(E1736="",E1736="!!!",F1736="NEW"),"",COUNTBLANK(OFFSET(A$1,,,SUMPRODUCT(MAX(ROW(E$2:E1736)*(E1736=E$2:E1736)))))-COUNTBLANK(OFFSET(A$1,,,SUMPRODUCT(MAX(ROW(E$1:E1735)*(E2=E$1:E1735))))))</f>
        <v> </v>
      </c>
      <c r="K1736" s="26" t="str">
        <f>IF(OR(E1736="",E1736="!!!",F1736="NEW"),"",INDEX(J$1:J1735,SUMPRODUCT(MAX(ROW(E$1:E1735)*(E1736=E$1:E1735)))))</f>
        <v> </v>
      </c>
      <c r="L1736" s="27"/>
    </row>
    <row r="1737" spans="1:12">
      <c r="A1737" s="20" t="s">
        <v>774</v>
      </c>
      <c r="E1737" s="22">
        <f>IF(D1737="?OLD","!!!","")</f>
        <v/>
      </c>
      <c r="F1737" s="23" t="str">
        <f>IF(OR(E1737="",E1737="!!!"),"",IF(NOT(ISNA(VLOOKUP(E1737,E$1:E1736,1,FALSE()))),"OLD",IF(AND(E1737&lt;&gt;"",E1737&lt;&gt;"!!!"),"NEW","")))</f>
        <v> </v>
      </c>
      <c r="G1737" s="24" t="str">
        <f>IF(OR(E1737="",E1737="!!!"),"",IF(OR(J1737=0,AND(J1737=1,K1737=1),AND(J1737=1,I1737="SBJ"),AND(J1737=1,I1737=0)),"?IN_FOCUS",IF(J1737&lt;=2,"?ACTIVATED",IF(J1737&lt;&gt;"","?FAMILIAR",IF(F1737="NEW",IF(ISNA(VLOOKUP(E1737,#REF!,1,FALSE())),"?TYPE_IDENTIFIABLE","?REFERENTIAL"),"_")))))</f>
        <v> </v>
      </c>
      <c r="H1737" s="25" t="str">
        <f>IF(J1737&lt;&gt;1,"",IF(I1737="SBJ","CB","?"))</f>
        <v> </v>
      </c>
      <c r="I1737" s="26" t="str">
        <f>IF(OR(E1737="",E1737="!!!",F1737="NEW"),"",INDEX(B1736:B$2,-1+SUMPRODUCT(MAX(ROW(E1736:E$2)*(E1737=E1736:E$2)))))</f>
        <v> </v>
      </c>
      <c r="J1737" s="26" t="str">
        <f>IF(OR(E1737="",E1737="!!!",F1737="NEW"),"",COUNTBLANK(OFFSET(A$1,,,SUMPRODUCT(MAX(ROW(E$2:E1737)*(E1737=E$2:E1737)))))-COUNTBLANK(OFFSET(A$1,,,SUMPRODUCT(MAX(ROW(E$1:E1736)*(E2=E$1:E1736))))))</f>
        <v> </v>
      </c>
      <c r="K1737" s="26" t="str">
        <f>IF(OR(E1737="",E1737="!!!",F1737="NEW"),"",INDEX(J$1:J1736,SUMPRODUCT(MAX(ROW(E$1:E1736)*(E1737=E$1:E1736)))))</f>
        <v> </v>
      </c>
      <c r="L1737" s="27"/>
    </row>
    <row r="1738" spans="1:12">
      <c r="A1738" s="20" t="s">
        <v>738</v>
      </c>
      <c r="B1738" s="21" t="s">
        <v>739</v>
      </c>
      <c r="C1738" s="21" t="s">
        <v>740</v>
      </c>
      <c r="D1738" s="21" t="s">
        <v>730</v>
      </c>
      <c r="E1738" s="22">
        <f>IF(D1738="?OLD","!!!","")</f>
        <v/>
      </c>
      <c r="F1738" s="23" t="str">
        <f>IF(OR(E1738="",E1738="!!!"),"",IF(NOT(ISNA(VLOOKUP(E1738,E$1:E1737,1,FALSE()))),"OLD",IF(AND(E1738&lt;&gt;"",E1738&lt;&gt;"!!!"),"NEW","")))</f>
        <v> </v>
      </c>
      <c r="G1738" s="24" t="str">
        <f>IF(OR(E1738="",E1738="!!!"),"",IF(OR(J1738=0,AND(J1738=1,K1738=1),AND(J1738=1,I1738="SBJ"),AND(J1738=1,I1738=0)),"?IN_FOCUS",IF(J1738&lt;=2,"?ACTIVATED",IF(J1738&lt;&gt;"","?FAMILIAR",IF(F1738="NEW",IF(ISNA(VLOOKUP(E1738,#REF!,1,FALSE())),"?TYPE_IDENTIFIABLE","?REFERENTIAL"),"_")))))</f>
        <v> </v>
      </c>
      <c r="H1738" s="25" t="str">
        <f>IF(J1738&lt;&gt;1,"",IF(I1738="SBJ","CB","?"))</f>
        <v> </v>
      </c>
      <c r="I1738" s="26" t="str">
        <f>IF(OR(E1738="",E1738="!!!",F1738="NEW"),"",INDEX(B1737:B$2,-1+SUMPRODUCT(MAX(ROW(E1737:E$2)*(E1738=E1737:E$2)))))</f>
        <v> </v>
      </c>
      <c r="J1738" s="26" t="str">
        <f>IF(OR(E1738="",E1738="!!!",F1738="NEW"),"",COUNTBLANK(OFFSET(A$1,,,SUMPRODUCT(MAX(ROW(E$2:E1738)*(E1738=E$2:E1738)))))-COUNTBLANK(OFFSET(A$1,,,SUMPRODUCT(MAX(ROW(E$1:E1737)*(E2=E$1:E1737))))))</f>
        <v> </v>
      </c>
      <c r="K1738" s="26" t="str">
        <f>IF(OR(E1738="",E1738="!!!",F1738="NEW"),"",INDEX(J$1:J1737,SUMPRODUCT(MAX(ROW(E$1:E1737)*(E1738=E$1:E1737)))))</f>
        <v> </v>
      </c>
      <c r="L1738" s="27"/>
    </row>
    <row r="1739" spans="1:12">
      <c r="A1739" s="20" t="s">
        <v>12</v>
      </c>
      <c r="E1739" s="22">
        <f>IF(D1739="?OLD","!!!","")</f>
        <v/>
      </c>
      <c r="F1739" s="23" t="str">
        <f>IF(OR(E1739="",E1739="!!!"),"",IF(NOT(ISNA(VLOOKUP(E1739,E$1:E1738,1,FALSE()))),"OLD",IF(AND(E1739&lt;&gt;"",E1739&lt;&gt;"!!!"),"NEW","")))</f>
        <v> </v>
      </c>
      <c r="G1739" s="24" t="str">
        <f>IF(OR(E1739="",E1739="!!!"),"",IF(OR(J1739=0,AND(J1739=1,K1739=1),AND(J1739=1,I1739="SBJ"),AND(J1739=1,I1739=0)),"?IN_FOCUS",IF(J1739&lt;=2,"?ACTIVATED",IF(J1739&lt;&gt;"","?FAMILIAR",IF(F1739="NEW",IF(ISNA(VLOOKUP(E1739,#REF!,1,FALSE())),"?TYPE_IDENTIFIABLE","?REFERENTIAL"),"_")))))</f>
        <v> </v>
      </c>
      <c r="H1739" s="25" t="str">
        <f>IF(J1739&lt;&gt;1,"",IF(I1739="SBJ","CB","?"))</f>
        <v> </v>
      </c>
      <c r="I1739" s="26" t="str">
        <f>IF(OR(E1739="",E1739="!!!",F1739="NEW"),"",INDEX(B1738:B$2,-1+SUMPRODUCT(MAX(ROW(E1738:E$2)*(E1739=E1738:E$2)))))</f>
        <v> </v>
      </c>
      <c r="J1739" s="26" t="str">
        <f>IF(OR(E1739="",E1739="!!!",F1739="NEW"),"",COUNTBLANK(OFFSET(A$1,,,SUMPRODUCT(MAX(ROW(E$2:E1739)*(E1739=E$2:E1739)))))-COUNTBLANK(OFFSET(A$1,,,SUMPRODUCT(MAX(ROW(E$1:E1738)*(E2=E$1:E1738))))))</f>
        <v> </v>
      </c>
      <c r="K1739" s="26" t="str">
        <f>IF(OR(E1739="",E1739="!!!",F1739="NEW"),"",INDEX(J$1:J1738,SUMPRODUCT(MAX(ROW(E$1:E1738)*(E1739=E$1:E1738)))))</f>
        <v> </v>
      </c>
      <c r="L1739" s="27"/>
    </row>
    <row r="1740" spans="1:12">
      <c r="A1740" s="20" t="s">
        <v>741</v>
      </c>
      <c r="E1740" s="22">
        <f>IF(D1740="?OLD","!!!","")</f>
        <v/>
      </c>
      <c r="F1740" s="23" t="str">
        <f>IF(OR(E1740="",E1740="!!!"),"",IF(NOT(ISNA(VLOOKUP(E1740,E$1:E1739,1,FALSE()))),"OLD",IF(AND(E1740&lt;&gt;"",E1740&lt;&gt;"!!!"),"NEW","")))</f>
        <v> </v>
      </c>
      <c r="G1740" s="24" t="str">
        <f>IF(OR(E1740="",E1740="!!!"),"",IF(OR(J1740=0,AND(J1740=1,K1740=1),AND(J1740=1,I1740="SBJ"),AND(J1740=1,I1740=0)),"?IN_FOCUS",IF(J1740&lt;=2,"?ACTIVATED",IF(J1740&lt;&gt;"","?FAMILIAR",IF(F1740="NEW",IF(ISNA(VLOOKUP(E1740,#REF!,1,FALSE())),"?TYPE_IDENTIFIABLE","?REFERENTIAL"),"_")))))</f>
        <v> </v>
      </c>
      <c r="H1740" s="25" t="str">
        <f>IF(J1740&lt;&gt;1,"",IF(I1740="SBJ","CB","?"))</f>
        <v> </v>
      </c>
      <c r="I1740" s="26" t="str">
        <f>IF(OR(E1740="",E1740="!!!",F1740="NEW"),"",INDEX(B1739:B$2,-1+SUMPRODUCT(MAX(ROW(E1739:E$2)*(E1740=E1739:E$2)))))</f>
        <v> </v>
      </c>
      <c r="J1740" s="26" t="str">
        <f>IF(OR(E1740="",E1740="!!!",F1740="NEW"),"",COUNTBLANK(OFFSET(A$1,,,SUMPRODUCT(MAX(ROW(E$2:E1740)*(E1740=E$2:E1740)))))-COUNTBLANK(OFFSET(A$1,,,SUMPRODUCT(MAX(ROW(E$1:E1739)*(E2=E$1:E1739))))))</f>
        <v> </v>
      </c>
      <c r="K1740" s="26" t="str">
        <f>IF(OR(E1740="",E1740="!!!",F1740="NEW"),"",INDEX(J$1:J1739,SUMPRODUCT(MAX(ROW(E$1:E1739)*(E1740=E$1:E1739)))))</f>
        <v> </v>
      </c>
      <c r="L1740" s="27"/>
    </row>
    <row r="1741" spans="1:12">
      <c r="A1741" s="20" t="s">
        <v>12</v>
      </c>
      <c r="E1741" s="22">
        <f>IF(D1741="?OLD","!!!","")</f>
        <v/>
      </c>
      <c r="F1741" s="23" t="str">
        <f>IF(OR(E1741="",E1741="!!!"),"",IF(NOT(ISNA(VLOOKUP(E1741,E$1:E1740,1,FALSE()))),"OLD",IF(AND(E1741&lt;&gt;"",E1741&lt;&gt;"!!!"),"NEW","")))</f>
        <v> </v>
      </c>
      <c r="G1741" s="24" t="str">
        <f>IF(OR(E1741="",E1741="!!!"),"",IF(OR(J1741=0,AND(J1741=1,K1741=1),AND(J1741=1,I1741="SBJ"),AND(J1741=1,I1741=0)),"?IN_FOCUS",IF(J1741&lt;=2,"?ACTIVATED",IF(J1741&lt;&gt;"","?FAMILIAR",IF(F1741="NEW",IF(ISNA(VLOOKUP(E1741,#REF!,1,FALSE())),"?TYPE_IDENTIFIABLE","?REFERENTIAL"),"_")))))</f>
        <v> </v>
      </c>
      <c r="H1741" s="25" t="str">
        <f>IF(J1741&lt;&gt;1,"",IF(I1741="SBJ","CB","?"))</f>
        <v> </v>
      </c>
      <c r="I1741" s="26" t="str">
        <f>IF(OR(E1741="",E1741="!!!",F1741="NEW"),"",INDEX(B1740:B$2,-1+SUMPRODUCT(MAX(ROW(E1740:E$2)*(E1741=E1740:E$2)))))</f>
        <v> </v>
      </c>
      <c r="J1741" s="26" t="str">
        <f>IF(OR(E1741="",E1741="!!!",F1741="NEW"),"",COUNTBLANK(OFFSET(A$1,,,SUMPRODUCT(MAX(ROW(E$2:E1741)*(E1741=E$2:E1741)))))-COUNTBLANK(OFFSET(A$1,,,SUMPRODUCT(MAX(ROW(E$1:E1740)*(E2=E$1:E1740))))))</f>
        <v> </v>
      </c>
      <c r="K1741" s="26" t="str">
        <f>IF(OR(E1741="",E1741="!!!",F1741="NEW"),"",INDEX(J$1:J1740,SUMPRODUCT(MAX(ROW(E$1:E1740)*(E1741=E$1:E1740)))))</f>
        <v> </v>
      </c>
      <c r="L1741" s="27"/>
    </row>
    <row r="1742" spans="1:12">
      <c r="A1742" s="20" t="s">
        <v>1168</v>
      </c>
      <c r="E1742" s="22">
        <f>IF(D1742="?OLD","!!!","")</f>
        <v/>
      </c>
      <c r="F1742" s="23" t="str">
        <f>IF(OR(E1742="",E1742="!!!"),"",IF(NOT(ISNA(VLOOKUP(E1742,E$1:E1741,1,FALSE()))),"OLD",IF(AND(E1742&lt;&gt;"",E1742&lt;&gt;"!!!"),"NEW","")))</f>
        <v> </v>
      </c>
      <c r="G1742" s="24" t="str">
        <f>IF(OR(E1742="",E1742="!!!"),"",IF(OR(J1742=0,AND(J1742=1,K1742=1),AND(J1742=1,I1742="SBJ"),AND(J1742=1,I1742=0)),"?IN_FOCUS",IF(J1742&lt;=2,"?ACTIVATED",IF(J1742&lt;&gt;"","?FAMILIAR",IF(F1742="NEW",IF(ISNA(VLOOKUP(E1742,#REF!,1,FALSE())),"?TYPE_IDENTIFIABLE","?REFERENTIAL"),"_")))))</f>
        <v> </v>
      </c>
      <c r="H1742" s="25" t="str">
        <f>IF(J1742&lt;&gt;1,"",IF(I1742="SBJ","CB","?"))</f>
        <v> </v>
      </c>
      <c r="I1742" s="26" t="str">
        <f>IF(OR(E1742="",E1742="!!!",F1742="NEW"),"",INDEX(B1741:B$2,-1+SUMPRODUCT(MAX(ROW(E1741:E$2)*(E1742=E1741:E$2)))))</f>
        <v> </v>
      </c>
      <c r="J1742" s="26" t="str">
        <f>IF(OR(E1742="",E1742="!!!",F1742="NEW"),"",COUNTBLANK(OFFSET(A$1,,,SUMPRODUCT(MAX(ROW(E$2:E1742)*(E1742=E$2:E1742)))))-COUNTBLANK(OFFSET(A$1,,,SUMPRODUCT(MAX(ROW(E$1:E1741)*(E2=E$1:E1741))))))</f>
        <v> </v>
      </c>
      <c r="K1742" s="26" t="str">
        <f>IF(OR(E1742="",E1742="!!!",F1742="NEW"),"",INDEX(J$1:J1741,SUMPRODUCT(MAX(ROW(E$1:E1741)*(E1742=E$1:E1741)))))</f>
        <v> </v>
      </c>
      <c r="L1742" s="27"/>
    </row>
    <row r="1743" spans="1:12">
      <c r="A1743" s="20" t="s">
        <v>246</v>
      </c>
      <c r="E1743" s="22">
        <f>IF(D1743="?OLD","!!!","")</f>
        <v/>
      </c>
      <c r="F1743" s="23" t="str">
        <f>IF(OR(E1743="",E1743="!!!"),"",IF(NOT(ISNA(VLOOKUP(E1743,E$1:E1742,1,FALSE()))),"OLD",IF(AND(E1743&lt;&gt;"",E1743&lt;&gt;"!!!"),"NEW","")))</f>
        <v> </v>
      </c>
      <c r="G1743" s="24" t="str">
        <f>IF(OR(E1743="",E1743="!!!"),"",IF(OR(J1743=0,AND(J1743=1,K1743=1),AND(J1743=1,I1743="SBJ"),AND(J1743=1,I1743=0)),"?IN_FOCUS",IF(J1743&lt;=2,"?ACTIVATED",IF(J1743&lt;&gt;"","?FAMILIAR",IF(F1743="NEW",IF(ISNA(VLOOKUP(E1743,#REF!,1,FALSE())),"?TYPE_IDENTIFIABLE","?REFERENTIAL"),"_")))))</f>
        <v> </v>
      </c>
      <c r="H1743" s="25" t="str">
        <f>IF(J1743&lt;&gt;1,"",IF(I1743="SBJ","CB","?"))</f>
        <v> </v>
      </c>
      <c r="I1743" s="26" t="str">
        <f>IF(OR(E1743="",E1743="!!!",F1743="NEW"),"",INDEX(B1742:B$2,-1+SUMPRODUCT(MAX(ROW(E1742:E$2)*(E1743=E1742:E$2)))))</f>
        <v> </v>
      </c>
      <c r="J1743" s="26" t="str">
        <f>IF(OR(E1743="",E1743="!!!",F1743="NEW"),"",COUNTBLANK(OFFSET(A$1,,,SUMPRODUCT(MAX(ROW(E$2:E1743)*(E1743=E$2:E1743)))))-COUNTBLANK(OFFSET(A$1,,,SUMPRODUCT(MAX(ROW(E$1:E1742)*(E2=E$1:E1742))))))</f>
        <v> </v>
      </c>
      <c r="K1743" s="26" t="str">
        <f>IF(OR(E1743="",E1743="!!!",F1743="NEW"),"",INDEX(J$1:J1742,SUMPRODUCT(MAX(ROW(E$1:E1742)*(E1743=E$1:E1742)))))</f>
        <v> </v>
      </c>
      <c r="L1743" s="27"/>
    </row>
    <row r="1744" spans="1:12">
      <c r="A1744" s="20"/>
    </row>
    <row r="1745" spans="1:12">
      <c r="A1745" s="20" t="s">
        <v>798</v>
      </c>
      <c r="E1745" s="22">
        <f>IF(D1745="?OLD","!!!","")</f>
        <v/>
      </c>
      <c r="F1745" s="23" t="str">
        <f>IF(OR(E1745="",E1745="!!!"),"",IF(NOT(ISNA(VLOOKUP(E1745,E$1:E1744,1,FALSE()))),"OLD",IF(AND(E1745&lt;&gt;"",E1745&lt;&gt;"!!!"),"NEW","")))</f>
        <v> </v>
      </c>
      <c r="G1745" s="24" t="str">
        <f>IF(OR(E1745="",E1745="!!!"),"",IF(OR(J1745=0,AND(J1745=1,K1745=1),AND(J1745=1,I1745="SBJ"),AND(J1745=1,I1745=0)),"?IN_FOCUS",IF(J1745&lt;=2,"?ACTIVATED",IF(J1745&lt;&gt;"","?FAMILIAR",IF(F1745="NEW",IF(ISNA(VLOOKUP(E1745,#REF!,1,FALSE())),"?TYPE_IDENTIFIABLE","?REFERENTIAL"),"_")))))</f>
        <v> </v>
      </c>
      <c r="H1745" s="25" t="str">
        <f>IF(J1745&lt;&gt;1,"",IF(I1745="SBJ","CB","?"))</f>
        <v> </v>
      </c>
      <c r="I1745" s="26" t="str">
        <f>IF(OR(E1745="",E1745="!!!",F1745="NEW"),"",INDEX(B1744:B$2,-1+SUMPRODUCT(MAX(ROW(E1744:E$2)*(E1745=E1744:E$2)))))</f>
        <v> </v>
      </c>
      <c r="J1745" s="26" t="str">
        <f>IF(OR(E1745="",E1745="!!!",F1745="NEW"),"",COUNTBLANK(OFFSET(A$1,,,SUMPRODUCT(MAX(ROW(E$2:E1745)*(E1745=E$2:E1745)))))-COUNTBLANK(OFFSET(A$1,,,SUMPRODUCT(MAX(ROW(E$1:E1744)*(E2=E$1:E1744))))))</f>
        <v> </v>
      </c>
      <c r="K1745" s="26" t="str">
        <f>IF(OR(E1745="",E1745="!!!",F1745="NEW"),"",INDEX(J$1:J1744,SUMPRODUCT(MAX(ROW(E$1:E1744)*(E1745=E$1:E1744)))))</f>
        <v> </v>
      </c>
      <c r="L1745" s="27"/>
    </row>
    <row r="1746" spans="1:12">
      <c r="A1746" s="20" t="s">
        <v>1460</v>
      </c>
    </row>
    <row r="1747" spans="1:12">
      <c r="A1747" s="20" t="s">
        <v>883</v>
      </c>
      <c r="B1747" s="21" t="s">
        <v>728</v>
      </c>
      <c r="C1747" s="21" t="s">
        <v>801</v>
      </c>
      <c r="D1747" s="21" t="s">
        <v>730</v>
      </c>
      <c r="E1747" s="22">
        <f>IF(D1747="?OLD","!!!","")</f>
        <v/>
      </c>
      <c r="F1747" s="23" t="str">
        <f>IF(OR(E1747="",E1747="!!!"),"",IF(NOT(ISNA(VLOOKUP(E1747,E$1:E1746,1,FALSE()))),"OLD",IF(AND(E1747&lt;&gt;"",E1747&lt;&gt;"!!!"),"NEW","")))</f>
        <v> </v>
      </c>
      <c r="G1747" s="24" t="str">
        <f>IF(OR(E1747="",E1747="!!!"),"",IF(OR(J1747=0,AND(J1747=1,K1747=1),AND(J1747=1,I1747="SBJ"),AND(J1747=1,I1747=0)),"?IN_FOCUS",IF(J1747&lt;=2,"?ACTIVATED",IF(J1747&lt;&gt;"","?FAMILIAR",IF(F1747="NEW",IF(ISNA(VLOOKUP(E1747,#REF!,1,FALSE())),"?TYPE_IDENTIFIABLE","?REFERENTIAL"),"_")))))</f>
        <v> </v>
      </c>
      <c r="H1747" s="25" t="str">
        <f>IF(J1747&lt;&gt;1,"",IF(I1747="SBJ","CB","?"))</f>
        <v> </v>
      </c>
      <c r="I1747" s="26" t="str">
        <f>IF(OR(E1747="",E1747="!!!",F1747="NEW"),"",INDEX(B1746:B$2,-1+SUMPRODUCT(MAX(ROW(E1746:E$2)*(E1747=E1746:E$2)))))</f>
        <v> </v>
      </c>
      <c r="J1747" s="26" t="str">
        <f>IF(OR(E1747="",E1747="!!!",F1747="NEW"),"",COUNTBLANK(OFFSET(A$1,,,SUMPRODUCT(MAX(ROW(E$2:E1747)*(E1747=E$2:E1747)))))-COUNTBLANK(OFFSET(A$1,,,SUMPRODUCT(MAX(ROW(E$1:E1746)*(E2=E$1:E1746))))))</f>
        <v> </v>
      </c>
      <c r="K1747" s="26" t="str">
        <f>IF(OR(E1747="",E1747="!!!",F1747="NEW"),"",INDEX(J$1:J1746,SUMPRODUCT(MAX(ROW(E$1:E1746)*(E1747=E$1:E1746)))))</f>
        <v> </v>
      </c>
      <c r="L1747" s="27"/>
    </row>
    <row r="1748" spans="1:12">
      <c r="A1748" s="20" t="s">
        <v>1087</v>
      </c>
      <c r="E1748" s="22">
        <f>IF(D1748="?OLD","!!!","")</f>
        <v/>
      </c>
      <c r="F1748" s="23" t="str">
        <f>IF(OR(E1748="",E1748="!!!"),"",IF(NOT(ISNA(VLOOKUP(E1748,E$1:E1747,1,FALSE()))),"OLD",IF(AND(E1748&lt;&gt;"",E1748&lt;&gt;"!!!"),"NEW","")))</f>
        <v> </v>
      </c>
      <c r="G1748" s="24" t="str">
        <f>IF(OR(E1748="",E1748="!!!"),"",IF(OR(J1748=0,AND(J1748=1,K1748=1),AND(J1748=1,I1748="SBJ"),AND(J1748=1,I1748=0)),"?IN_FOCUS",IF(J1748&lt;=2,"?ACTIVATED",IF(J1748&lt;&gt;"","?FAMILIAR",IF(F1748="NEW",IF(ISNA(VLOOKUP(E1748,#REF!,1,FALSE())),"?TYPE_IDENTIFIABLE","?REFERENTIAL"),"_")))))</f>
        <v> </v>
      </c>
      <c r="H1748" s="25" t="str">
        <f>IF(J1748&lt;&gt;1,"",IF(I1748="SBJ","CB","?"))</f>
        <v> </v>
      </c>
      <c r="I1748" s="26" t="str">
        <f>IF(OR(E1748="",E1748="!!!",F1748="NEW"),"",INDEX(B1747:B$2,-1+SUMPRODUCT(MAX(ROW(E1747:E$2)*(E1748=E1747:E$2)))))</f>
        <v> </v>
      </c>
      <c r="J1748" s="26" t="str">
        <f>IF(OR(E1748="",E1748="!!!",F1748="NEW"),"",COUNTBLANK(OFFSET(A$1,,,SUMPRODUCT(MAX(ROW(E$2:E1748)*(E1748=E$2:E1748)))))-COUNTBLANK(OFFSET(A$1,,,SUMPRODUCT(MAX(ROW(E$1:E1747)*(E2=E$1:E1747))))))</f>
        <v> </v>
      </c>
      <c r="K1748" s="26" t="str">
        <f>IF(OR(E1748="",E1748="!!!",F1748="NEW"),"",INDEX(J$1:J1747,SUMPRODUCT(MAX(ROW(E$1:E1747)*(E1748=E$1:E1747)))))</f>
        <v> </v>
      </c>
      <c r="L1748" s="27"/>
    </row>
    <row r="1749" spans="1:12">
      <c r="A1749" s="20" t="s">
        <v>1422</v>
      </c>
      <c r="E1749" s="22">
        <f>IF(D1749="?OLD","!!!","")</f>
        <v/>
      </c>
      <c r="F1749" s="23" t="str">
        <f>IF(OR(E1749="",E1749="!!!"),"",IF(NOT(ISNA(VLOOKUP(E1749,E$1:E1748,1,FALSE()))),"OLD",IF(AND(E1749&lt;&gt;"",E1749&lt;&gt;"!!!"),"NEW","")))</f>
        <v> </v>
      </c>
      <c r="G1749" s="24" t="str">
        <f>IF(OR(E1749="",E1749="!!!"),"",IF(OR(J1749=0,AND(J1749=1,K1749=1),AND(J1749=1,I1749="SBJ"),AND(J1749=1,I1749=0)),"?IN_FOCUS",IF(J1749&lt;=2,"?ACTIVATED",IF(J1749&lt;&gt;"","?FAMILIAR",IF(F1749="NEW",IF(ISNA(VLOOKUP(E1749,#REF!,1,FALSE())),"?TYPE_IDENTIFIABLE","?REFERENTIAL"),"_")))))</f>
        <v> </v>
      </c>
      <c r="H1749" s="25" t="str">
        <f>IF(J1749&lt;&gt;1,"",IF(I1749="SBJ","CB","?"))</f>
        <v> </v>
      </c>
      <c r="I1749" s="26" t="str">
        <f>IF(OR(E1749="",E1749="!!!",F1749="NEW"),"",INDEX(B1748:B$2,-1+SUMPRODUCT(MAX(ROW(E1748:E$2)*(E1749=E1748:E$2)))))</f>
        <v> </v>
      </c>
      <c r="J1749" s="26" t="str">
        <f>IF(OR(E1749="",E1749="!!!",F1749="NEW"),"",COUNTBLANK(OFFSET(A$1,,,SUMPRODUCT(MAX(ROW(E$2:E1749)*(E1749=E$2:E1749)))))-COUNTBLANK(OFFSET(A$1,,,SUMPRODUCT(MAX(ROW(E$1:E1748)*(E2=E$1:E1748))))))</f>
        <v> </v>
      </c>
      <c r="K1749" s="26" t="str">
        <f>IF(OR(E1749="",E1749="!!!",F1749="NEW"),"",INDEX(J$1:J1748,SUMPRODUCT(MAX(ROW(E$1:E1748)*(E1749=E$1:E1748)))))</f>
        <v> </v>
      </c>
      <c r="L1749" s="27"/>
    </row>
    <row r="1750" spans="1:12">
      <c r="A1750" s="20" t="s">
        <v>1461</v>
      </c>
      <c r="E1750" s="22">
        <f>IF(D1750="?OLD","!!!","")</f>
        <v/>
      </c>
      <c r="F1750" s="23" t="str">
        <f>IF(OR(E1750="",E1750="!!!"),"",IF(NOT(ISNA(VLOOKUP(E1750,E$1:E1749,1,FALSE()))),"OLD",IF(AND(E1750&lt;&gt;"",E1750&lt;&gt;"!!!"),"NEW","")))</f>
        <v> </v>
      </c>
      <c r="G1750" s="24" t="str">
        <f>IF(OR(E1750="",E1750="!!!"),"",IF(OR(J1750=0,AND(J1750=1,K1750=1),AND(J1750=1,I1750="SBJ"),AND(J1750=1,I1750=0)),"?IN_FOCUS",IF(J1750&lt;=2,"?ACTIVATED",IF(J1750&lt;&gt;"","?FAMILIAR",IF(F1750="NEW",IF(ISNA(VLOOKUP(E1750,#REF!,1,FALSE())),"?TYPE_IDENTIFIABLE","?REFERENTIAL"),"_")))))</f>
        <v> </v>
      </c>
      <c r="H1750" s="25" t="str">
        <f>IF(J1750&lt;&gt;1,"",IF(I1750="SBJ","CB","?"))</f>
        <v> </v>
      </c>
      <c r="I1750" s="26" t="str">
        <f>IF(OR(E1750="",E1750="!!!",F1750="NEW"),"",INDEX(B1749:B$2,-1+SUMPRODUCT(MAX(ROW(E1749:E$2)*(E1750=E1749:E$2)))))</f>
        <v> </v>
      </c>
      <c r="J1750" s="26" t="str">
        <f>IF(OR(E1750="",E1750="!!!",F1750="NEW"),"",COUNTBLANK(OFFSET(A$1,,,SUMPRODUCT(MAX(ROW(E$2:E1750)*(E1750=E$2:E1750)))))-COUNTBLANK(OFFSET(A$1,,,SUMPRODUCT(MAX(ROW(E$1:E1749)*(E2=E$1:E1749))))))</f>
        <v> </v>
      </c>
      <c r="K1750" s="26" t="str">
        <f>IF(OR(E1750="",E1750="!!!",F1750="NEW"),"",INDEX(J$1:J1749,SUMPRODUCT(MAX(ROW(E$1:E1749)*(E1750=E$1:E1749)))))</f>
        <v> </v>
      </c>
      <c r="L1750" s="27"/>
    </row>
    <row r="1751" spans="1:12">
      <c r="A1751" s="20" t="s">
        <v>246</v>
      </c>
      <c r="E1751" s="22">
        <f>IF(D1751="?OLD","!!!","")</f>
        <v/>
      </c>
      <c r="F1751" s="23" t="str">
        <f>IF(OR(E1751="",E1751="!!!"),"",IF(NOT(ISNA(VLOOKUP(E1751,E$1:E1750,1,FALSE()))),"OLD",IF(AND(E1751&lt;&gt;"",E1751&lt;&gt;"!!!"),"NEW","")))</f>
        <v> </v>
      </c>
      <c r="G1751" s="24" t="str">
        <f>IF(OR(E1751="",E1751="!!!"),"",IF(OR(J1751=0,AND(J1751=1,K1751=1),AND(J1751=1,I1751="SBJ"),AND(J1751=1,I1751=0)),"?IN_FOCUS",IF(J1751&lt;=2,"?ACTIVATED",IF(J1751&lt;&gt;"","?FAMILIAR",IF(F1751="NEW",IF(ISNA(VLOOKUP(E1751,#REF!,1,FALSE())),"?TYPE_IDENTIFIABLE","?REFERENTIAL"),"_")))))</f>
        <v> </v>
      </c>
      <c r="H1751" s="25" t="str">
        <f>IF(J1751&lt;&gt;1,"",IF(I1751="SBJ","CB","?"))</f>
        <v> </v>
      </c>
      <c r="I1751" s="26" t="str">
        <f>IF(OR(E1751="",E1751="!!!",F1751="NEW"),"",INDEX(B1750:B$2,-1+SUMPRODUCT(MAX(ROW(E1750:E$2)*(E1751=E1750:E$2)))))</f>
        <v> </v>
      </c>
      <c r="J1751" s="26" t="str">
        <f>IF(OR(E1751="",E1751="!!!",F1751="NEW"),"",COUNTBLANK(OFFSET(A$1,,,SUMPRODUCT(MAX(ROW(E$2:E1751)*(E1751=E$2:E1751)))))-COUNTBLANK(OFFSET(A$1,,,SUMPRODUCT(MAX(ROW(E$1:E1750)*(E2=E$1:E1750))))))</f>
        <v> </v>
      </c>
      <c r="K1751" s="26" t="str">
        <f>IF(OR(E1751="",E1751="!!!",F1751="NEW"),"",INDEX(J$1:J1750,SUMPRODUCT(MAX(ROW(E$1:E1750)*(E1751=E$1:E1750)))))</f>
        <v> </v>
      </c>
      <c r="L1751" s="27"/>
    </row>
    <row r="1752" spans="1:12">
      <c r="A1752" s="20" t="s">
        <v>817</v>
      </c>
      <c r="E1752" s="22">
        <f>IF(D1752="?OLD","!!!","")</f>
        <v/>
      </c>
      <c r="F1752" s="23" t="str">
        <f>IF(OR(E1752="",E1752="!!!"),"",IF(NOT(ISNA(VLOOKUP(E1752,E$1:E1751,1,FALSE()))),"OLD",IF(AND(E1752&lt;&gt;"",E1752&lt;&gt;"!!!"),"NEW","")))</f>
        <v> </v>
      </c>
      <c r="G1752" s="24" t="str">
        <f>IF(OR(E1752="",E1752="!!!"),"",IF(OR(J1752=0,AND(J1752=1,K1752=1),AND(J1752=1,I1752="SBJ"),AND(J1752=1,I1752=0)),"?IN_FOCUS",IF(J1752&lt;=2,"?ACTIVATED",IF(J1752&lt;&gt;"","?FAMILIAR",IF(F1752="NEW",IF(ISNA(VLOOKUP(E1752,#REF!,1,FALSE())),"?TYPE_IDENTIFIABLE","?REFERENTIAL"),"_")))))</f>
        <v> </v>
      </c>
      <c r="H1752" s="25" t="str">
        <f>IF(J1752&lt;&gt;1,"",IF(I1752="SBJ","CB","?"))</f>
        <v> </v>
      </c>
      <c r="I1752" s="26" t="str">
        <f>IF(OR(E1752="",E1752="!!!",F1752="NEW"),"",INDEX(B1751:B$2,-1+SUMPRODUCT(MAX(ROW(E1751:E$2)*(E1752=E1751:E$2)))))</f>
        <v> </v>
      </c>
      <c r="J1752" s="26" t="str">
        <f>IF(OR(E1752="",E1752="!!!",F1752="NEW"),"",COUNTBLANK(OFFSET(A$1,,,SUMPRODUCT(MAX(ROW(E$2:E1752)*(E1752=E$2:E1752)))))-COUNTBLANK(OFFSET(A$1,,,SUMPRODUCT(MAX(ROW(E$1:E1751)*(E2=E$1:E1751))))))</f>
        <v> </v>
      </c>
      <c r="K1752" s="26" t="str">
        <f>IF(OR(E1752="",E1752="!!!",F1752="NEW"),"",INDEX(J$1:J1751,SUMPRODUCT(MAX(ROW(E$1:E1751)*(E1752=E$1:E1751)))))</f>
        <v> </v>
      </c>
      <c r="L1752" s="27"/>
    </row>
    <row r="1753" spans="1:12">
      <c r="A1753" s="20"/>
    </row>
    <row r="1754" spans="1:12">
      <c r="A1754" s="20" t="s">
        <v>1462</v>
      </c>
    </row>
    <row r="1755" spans="1:12">
      <c r="A1755" s="20" t="s">
        <v>727</v>
      </c>
      <c r="B1755" s="21" t="s">
        <v>728</v>
      </c>
      <c r="C1755" s="21" t="s">
        <v>729</v>
      </c>
      <c r="D1755" s="21" t="s">
        <v>730</v>
      </c>
      <c r="E1755" s="22">
        <f>IF(D1755="?OLD","!!!","")</f>
        <v/>
      </c>
      <c r="F1755" s="23" t="str">
        <f>IF(OR(E1755="",E1755="!!!"),"",IF(NOT(ISNA(VLOOKUP(E1755,E$1:E1754,1,FALSE()))),"OLD",IF(AND(E1755&lt;&gt;"",E1755&lt;&gt;"!!!"),"NEW","")))</f>
        <v> </v>
      </c>
      <c r="G1755" s="24" t="str">
        <f>IF(OR(E1755="",E1755="!!!"),"",IF(OR(J1755=0,AND(J1755=1,K1755=1),AND(J1755=1,I1755="SBJ"),AND(J1755=1,I1755=0)),"?IN_FOCUS",IF(J1755&lt;=2,"?ACTIVATED",IF(J1755&lt;&gt;"","?FAMILIAR",IF(F1755="NEW",IF(ISNA(VLOOKUP(E1755,#REF!,1,FALSE())),"?TYPE_IDENTIFIABLE","?REFERENTIAL"),"_")))))</f>
        <v> </v>
      </c>
      <c r="H1755" s="25" t="str">
        <f>IF(J1755&lt;&gt;1,"",IF(I1755="SBJ","CB","?"))</f>
        <v> </v>
      </c>
      <c r="I1755" s="26" t="str">
        <f>IF(OR(E1755="",E1755="!!!",F1755="NEW"),"",INDEX(B1754:B$2,-1+SUMPRODUCT(MAX(ROW(E1754:E$2)*(E1755=E1754:E$2)))))</f>
        <v> </v>
      </c>
      <c r="J1755" s="26" t="str">
        <f>IF(OR(E1755="",E1755="!!!",F1755="NEW"),"",COUNTBLANK(OFFSET(A$1,,,SUMPRODUCT(MAX(ROW(E$2:E1755)*(E1755=E$2:E1755)))))-COUNTBLANK(OFFSET(A$1,,,SUMPRODUCT(MAX(ROW(E$1:E1754)*(E2=E$1:E1754))))))</f>
        <v> </v>
      </c>
      <c r="K1755" s="26" t="str">
        <f>IF(OR(E1755="",E1755="!!!",F1755="NEW"),"",INDEX(J$1:J1754,SUMPRODUCT(MAX(ROW(E$1:E1754)*(E1755=E$1:E1754)))))</f>
        <v> </v>
      </c>
      <c r="L1755" s="27"/>
    </row>
    <row r="1756" spans="1:12">
      <c r="A1756" s="20" t="s">
        <v>811</v>
      </c>
      <c r="E1756" s="22">
        <f>IF(D1756="?OLD","!!!","")</f>
        <v/>
      </c>
      <c r="F1756" s="23" t="str">
        <f>IF(OR(E1756="",E1756="!!!"),"",IF(NOT(ISNA(VLOOKUP(E1756,E$1:E1755,1,FALSE()))),"OLD",IF(AND(E1756&lt;&gt;"",E1756&lt;&gt;"!!!"),"NEW","")))</f>
        <v> </v>
      </c>
      <c r="G1756" s="24" t="str">
        <f>IF(OR(E1756="",E1756="!!!"),"",IF(OR(J1756=0,AND(J1756=1,K1756=1),AND(J1756=1,I1756="SBJ"),AND(J1756=1,I1756=0)),"?IN_FOCUS",IF(J1756&lt;=2,"?ACTIVATED",IF(J1756&lt;&gt;"","?FAMILIAR",IF(F1756="NEW",IF(ISNA(VLOOKUP(E1756,#REF!,1,FALSE())),"?TYPE_IDENTIFIABLE","?REFERENTIAL"),"_")))))</f>
        <v> </v>
      </c>
      <c r="H1756" s="25" t="str">
        <f>IF(J1756&lt;&gt;1,"",IF(I1756="SBJ","CB","?"))</f>
        <v> </v>
      </c>
      <c r="I1756" s="26" t="str">
        <f>IF(OR(E1756="",E1756="!!!",F1756="NEW"),"",INDEX(B1755:B$2,-1+SUMPRODUCT(MAX(ROW(E1755:E$2)*(E1756=E1755:E$2)))))</f>
        <v> </v>
      </c>
      <c r="J1756" s="26" t="str">
        <f>IF(OR(E1756="",E1756="!!!",F1756="NEW"),"",COUNTBLANK(OFFSET(A$1,,,SUMPRODUCT(MAX(ROW(E$2:E1756)*(E1756=E$2:E1756)))))-COUNTBLANK(OFFSET(A$1,,,SUMPRODUCT(MAX(ROW(E$1:E1755)*(E2=E$1:E1755))))))</f>
        <v> </v>
      </c>
      <c r="K1756" s="26" t="str">
        <f>IF(OR(E1756="",E1756="!!!",F1756="NEW"),"",INDEX(J$1:J1755,SUMPRODUCT(MAX(ROW(E$1:E1755)*(E1756=E$1:E1755)))))</f>
        <v> </v>
      </c>
      <c r="L1756" s="27"/>
    </row>
    <row r="1757" spans="1:12">
      <c r="A1757" s="20" t="s">
        <v>1463</v>
      </c>
      <c r="E1757" s="22">
        <f>IF(D1757="?OLD","!!!","")</f>
        <v/>
      </c>
      <c r="F1757" s="23" t="str">
        <f>IF(OR(E1757="",E1757="!!!"),"",IF(NOT(ISNA(VLOOKUP(E1757,E$1:E1756,1,FALSE()))),"OLD",IF(AND(E1757&lt;&gt;"",E1757&lt;&gt;"!!!"),"NEW","")))</f>
        <v> </v>
      </c>
      <c r="G1757" s="24" t="str">
        <f>IF(OR(E1757="",E1757="!!!"),"",IF(OR(J1757=0,AND(J1757=1,K1757=1),AND(J1757=1,I1757="SBJ"),AND(J1757=1,I1757=0)),"?IN_FOCUS",IF(J1757&lt;=2,"?ACTIVATED",IF(J1757&lt;&gt;"","?FAMILIAR",IF(F1757="NEW",IF(ISNA(VLOOKUP(E1757,#REF!,1,FALSE())),"?TYPE_IDENTIFIABLE","?REFERENTIAL"),"_")))))</f>
        <v> </v>
      </c>
      <c r="H1757" s="25" t="str">
        <f>IF(J1757&lt;&gt;1,"",IF(I1757="SBJ","CB","?"))</f>
        <v> </v>
      </c>
      <c r="I1757" s="26" t="str">
        <f>IF(OR(E1757="",E1757="!!!",F1757="NEW"),"",INDEX(B1756:B$2,-1+SUMPRODUCT(MAX(ROW(E1756:E$2)*(E1757=E1756:E$2)))))</f>
        <v> </v>
      </c>
      <c r="J1757" s="26" t="str">
        <f>IF(OR(E1757="",E1757="!!!",F1757="NEW"),"",COUNTBLANK(OFFSET(A$1,,,SUMPRODUCT(MAX(ROW(E$2:E1757)*(E1757=E$2:E1757)))))-COUNTBLANK(OFFSET(A$1,,,SUMPRODUCT(MAX(ROW(E$1:E1756)*(E2=E$1:E1756))))))</f>
        <v> </v>
      </c>
      <c r="K1757" s="26" t="str">
        <f>IF(OR(E1757="",E1757="!!!",F1757="NEW"),"",INDEX(J$1:J1756,SUMPRODUCT(MAX(ROW(E$1:E1756)*(E1757=E$1:E1756)))))</f>
        <v> </v>
      </c>
      <c r="L1757" s="27"/>
    </row>
    <row r="1758" spans="1:12">
      <c r="A1758" s="20" t="s">
        <v>1464</v>
      </c>
      <c r="E1758" s="22">
        <f>IF(D1758="?OLD","!!!","")</f>
        <v/>
      </c>
      <c r="F1758" s="23" t="str">
        <f>IF(OR(E1758="",E1758="!!!"),"",IF(NOT(ISNA(VLOOKUP(E1758,E$1:E1757,1,FALSE()))),"OLD",IF(AND(E1758&lt;&gt;"",E1758&lt;&gt;"!!!"),"NEW","")))</f>
        <v> </v>
      </c>
      <c r="G1758" s="24" t="str">
        <f>IF(OR(E1758="",E1758="!!!"),"",IF(OR(J1758=0,AND(J1758=1,K1758=1),AND(J1758=1,I1758="SBJ"),AND(J1758=1,I1758=0)),"?IN_FOCUS",IF(J1758&lt;=2,"?ACTIVATED",IF(J1758&lt;&gt;"","?FAMILIAR",IF(F1758="NEW",IF(ISNA(VLOOKUP(E1758,#REF!,1,FALSE())),"?TYPE_IDENTIFIABLE","?REFERENTIAL"),"_")))))</f>
        <v> </v>
      </c>
      <c r="H1758" s="25" t="str">
        <f>IF(J1758&lt;&gt;1,"",IF(I1758="SBJ","CB","?"))</f>
        <v> </v>
      </c>
      <c r="I1758" s="26" t="str">
        <f>IF(OR(E1758="",E1758="!!!",F1758="NEW"),"",INDEX(B1757:B$2,-1+SUMPRODUCT(MAX(ROW(E1757:E$2)*(E1758=E1757:E$2)))))</f>
        <v> </v>
      </c>
      <c r="J1758" s="26" t="str">
        <f>IF(OR(E1758="",E1758="!!!",F1758="NEW"),"",COUNTBLANK(OFFSET(A$1,,,SUMPRODUCT(MAX(ROW(E$2:E1758)*(E1758=E$2:E1758)))))-COUNTBLANK(OFFSET(A$1,,,SUMPRODUCT(MAX(ROW(E$1:E1757)*(E2=E$1:E1757))))))</f>
        <v> </v>
      </c>
      <c r="K1758" s="26" t="str">
        <f>IF(OR(E1758="",E1758="!!!",F1758="NEW"),"",INDEX(J$1:J1757,SUMPRODUCT(MAX(ROW(E$1:E1757)*(E1758=E$1:E1757)))))</f>
        <v> </v>
      </c>
      <c r="L1758" s="27"/>
    </row>
    <row r="1759" spans="1:12">
      <c r="A1759" s="20" t="s">
        <v>938</v>
      </c>
      <c r="E1759" s="22">
        <f>IF(D1759="?OLD","!!!","")</f>
        <v/>
      </c>
      <c r="F1759" s="23" t="str">
        <f>IF(OR(E1759="",E1759="!!!"),"",IF(NOT(ISNA(VLOOKUP(E1759,E$1:E1758,1,FALSE()))),"OLD",IF(AND(E1759&lt;&gt;"",E1759&lt;&gt;"!!!"),"NEW","")))</f>
        <v> </v>
      </c>
      <c r="G1759" s="24" t="str">
        <f>IF(OR(E1759="",E1759="!!!"),"",IF(OR(J1759=0,AND(J1759=1,K1759=1),AND(J1759=1,I1759="SBJ"),AND(J1759=1,I1759=0)),"?IN_FOCUS",IF(J1759&lt;=2,"?ACTIVATED",IF(J1759&lt;&gt;"","?FAMILIAR",IF(F1759="NEW",IF(ISNA(VLOOKUP(E1759,#REF!,1,FALSE())),"?TYPE_IDENTIFIABLE","?REFERENTIAL"),"_")))))</f>
        <v> </v>
      </c>
      <c r="H1759" s="25" t="str">
        <f>IF(J1759&lt;&gt;1,"",IF(I1759="SBJ","CB","?"))</f>
        <v> </v>
      </c>
      <c r="I1759" s="26" t="str">
        <f>IF(OR(E1759="",E1759="!!!",F1759="NEW"),"",INDEX(B1758:B$2,-1+SUMPRODUCT(MAX(ROW(E1758:E$2)*(E1759=E1758:E$2)))))</f>
        <v> </v>
      </c>
      <c r="J1759" s="26" t="str">
        <f>IF(OR(E1759="",E1759="!!!",F1759="NEW"),"",COUNTBLANK(OFFSET(A$1,,,SUMPRODUCT(MAX(ROW(E$2:E1759)*(E1759=E$2:E1759)))))-COUNTBLANK(OFFSET(A$1,,,SUMPRODUCT(MAX(ROW(E$1:E1758)*(E2=E$1:E1758))))))</f>
        <v> </v>
      </c>
      <c r="K1759" s="26" t="str">
        <f>IF(OR(E1759="",E1759="!!!",F1759="NEW"),"",INDEX(J$1:J1758,SUMPRODUCT(MAX(ROW(E$1:E1758)*(E1759=E$1:E1758)))))</f>
        <v> </v>
      </c>
      <c r="L1759" s="27"/>
    </row>
    <row r="1760" spans="1:12">
      <c r="A1760" s="20" t="s">
        <v>751</v>
      </c>
      <c r="E1760" s="22">
        <f>IF(D1760="?OLD","!!!","")</f>
        <v/>
      </c>
      <c r="F1760" s="23" t="str">
        <f>IF(OR(E1760="",E1760="!!!"),"",IF(NOT(ISNA(VLOOKUP(E1760,E$1:E1759,1,FALSE()))),"OLD",IF(AND(E1760&lt;&gt;"",E1760&lt;&gt;"!!!"),"NEW","")))</f>
        <v> </v>
      </c>
      <c r="G1760" s="24" t="str">
        <f>IF(OR(E1760="",E1760="!!!"),"",IF(OR(J1760=0,AND(J1760=1,K1760=1),AND(J1760=1,I1760="SBJ"),AND(J1760=1,I1760=0)),"?IN_FOCUS",IF(J1760&lt;=2,"?ACTIVATED",IF(J1760&lt;&gt;"","?FAMILIAR",IF(F1760="NEW",IF(ISNA(VLOOKUP(E1760,#REF!,1,FALSE())),"?TYPE_IDENTIFIABLE","?REFERENTIAL"),"_")))))</f>
        <v> </v>
      </c>
      <c r="H1760" s="25" t="str">
        <f>IF(J1760&lt;&gt;1,"",IF(I1760="SBJ","CB","?"))</f>
        <v> </v>
      </c>
      <c r="I1760" s="26" t="str">
        <f>IF(OR(E1760="",E1760="!!!",F1760="NEW"),"",INDEX(B1759:B$2,-1+SUMPRODUCT(MAX(ROW(E1759:E$2)*(E1760=E1759:E$2)))))</f>
        <v> </v>
      </c>
      <c r="J1760" s="26" t="str">
        <f>IF(OR(E1760="",E1760="!!!",F1760="NEW"),"",COUNTBLANK(OFFSET(A$1,,,SUMPRODUCT(MAX(ROW(E$2:E1760)*(E1760=E$2:E1760)))))-COUNTBLANK(OFFSET(A$1,,,SUMPRODUCT(MAX(ROW(E$1:E1759)*(E2=E$1:E1759))))))</f>
        <v> </v>
      </c>
      <c r="K1760" s="26" t="str">
        <f>IF(OR(E1760="",E1760="!!!",F1760="NEW"),"",INDEX(J$1:J1759,SUMPRODUCT(MAX(ROW(E$1:E1759)*(E1760=E$1:E1759)))))</f>
        <v> </v>
      </c>
      <c r="L1760" s="27"/>
    </row>
    <row r="1761" spans="1:12">
      <c r="A1761" s="20" t="s">
        <v>1465</v>
      </c>
      <c r="B1761" s="21" t="s">
        <v>736</v>
      </c>
      <c r="C1761" s="21" t="s">
        <v>753</v>
      </c>
      <c r="D1761" s="21" t="s">
        <v>730</v>
      </c>
      <c r="E1761" s="22">
        <f>IF(D1761="?OLD","!!!","")</f>
        <v/>
      </c>
      <c r="F1761" s="23" t="str">
        <f>IF(OR(E1761="",E1761="!!!"),"",IF(NOT(ISNA(VLOOKUP(E1761,E$1:E1760,1,FALSE()))),"OLD",IF(AND(E1761&lt;&gt;"",E1761&lt;&gt;"!!!"),"NEW","")))</f>
        <v> </v>
      </c>
      <c r="G1761" s="24" t="str">
        <f>IF(OR(E1761="",E1761="!!!"),"",IF(OR(J1761=0,AND(J1761=1,K1761=1),AND(J1761=1,I1761="SBJ"),AND(J1761=1,I1761=0)),"?IN_FOCUS",IF(J1761&lt;=2,"?ACTIVATED",IF(J1761&lt;&gt;"","?FAMILIAR",IF(F1761="NEW",IF(ISNA(VLOOKUP(E1761,#REF!,1,FALSE())),"?TYPE_IDENTIFIABLE","?REFERENTIAL"),"_")))))</f>
        <v> </v>
      </c>
      <c r="H1761" s="25" t="str">
        <f>IF(J1761&lt;&gt;1,"",IF(I1761="SBJ","CB","?"))</f>
        <v> </v>
      </c>
      <c r="I1761" s="26" t="str">
        <f>IF(OR(E1761="",E1761="!!!",F1761="NEW"),"",INDEX(B1760:B$2,-1+SUMPRODUCT(MAX(ROW(E1760:E$2)*(E1761=E1760:E$2)))))</f>
        <v> </v>
      </c>
      <c r="J1761" s="26" t="str">
        <f>IF(OR(E1761="",E1761="!!!",F1761="NEW"),"",COUNTBLANK(OFFSET(A$1,,,SUMPRODUCT(MAX(ROW(E$2:E1761)*(E1761=E$2:E1761)))))-COUNTBLANK(OFFSET(A$1,,,SUMPRODUCT(MAX(ROW(E$1:E1760)*(E2=E$1:E1760))))))</f>
        <v> </v>
      </c>
      <c r="K1761" s="26" t="str">
        <f>IF(OR(E1761="",E1761="!!!",F1761="NEW"),"",INDEX(J$1:J1760,SUMPRODUCT(MAX(ROW(E$1:E1760)*(E1761=E$1:E1760)))))</f>
        <v> </v>
      </c>
      <c r="L1761" s="27"/>
    </row>
    <row r="1762" spans="1:12">
      <c r="A1762" s="20" t="s">
        <v>757</v>
      </c>
      <c r="E1762" s="22">
        <f>IF(D1762="?OLD","!!!","")</f>
        <v/>
      </c>
      <c r="F1762" s="23" t="str">
        <f>IF(OR(E1762="",E1762="!!!"),"",IF(NOT(ISNA(VLOOKUP(E1762,E$1:E1761,1,FALSE()))),"OLD",IF(AND(E1762&lt;&gt;"",E1762&lt;&gt;"!!!"),"NEW","")))</f>
        <v> </v>
      </c>
      <c r="G1762" s="24" t="str">
        <f>IF(OR(E1762="",E1762="!!!"),"",IF(OR(J1762=0,AND(J1762=1,K1762=1),AND(J1762=1,I1762="SBJ"),AND(J1762=1,I1762=0)),"?IN_FOCUS",IF(J1762&lt;=2,"?ACTIVATED",IF(J1762&lt;&gt;"","?FAMILIAR",IF(F1762="NEW",IF(ISNA(VLOOKUP(E1762,#REF!,1,FALSE())),"?TYPE_IDENTIFIABLE","?REFERENTIAL"),"_")))))</f>
        <v> </v>
      </c>
      <c r="H1762" s="25" t="str">
        <f>IF(J1762&lt;&gt;1,"",IF(I1762="SBJ","CB","?"))</f>
        <v> </v>
      </c>
      <c r="I1762" s="26" t="str">
        <f>IF(OR(E1762="",E1762="!!!",F1762="NEW"),"",INDEX(B1761:B$2,-1+SUMPRODUCT(MAX(ROW(E1761:E$2)*(E1762=E1761:E$2)))))</f>
        <v> </v>
      </c>
      <c r="J1762" s="26" t="str">
        <f>IF(OR(E1762="",E1762="!!!",F1762="NEW"),"",COUNTBLANK(OFFSET(A$1,,,SUMPRODUCT(MAX(ROW(E$2:E1762)*(E1762=E$2:E1762)))))-COUNTBLANK(OFFSET(A$1,,,SUMPRODUCT(MAX(ROW(E$1:E1761)*(E2=E$1:E1761))))))</f>
        <v> </v>
      </c>
      <c r="K1762" s="26" t="str">
        <f>IF(OR(E1762="",E1762="!!!",F1762="NEW"),"",INDEX(J$1:J1761,SUMPRODUCT(MAX(ROW(E$1:E1761)*(E1762=E$1:E1761)))))</f>
        <v> </v>
      </c>
      <c r="L1762" s="27"/>
    </row>
    <row r="1763" spans="1:12">
      <c r="A1763" s="20" t="s">
        <v>862</v>
      </c>
      <c r="B1763" s="21" t="s">
        <v>739</v>
      </c>
      <c r="C1763" s="21" t="s">
        <v>753</v>
      </c>
      <c r="D1763" s="21" t="s">
        <v>730</v>
      </c>
      <c r="E1763" s="22">
        <f>IF(D1763="?OLD","!!!","")</f>
        <v/>
      </c>
      <c r="F1763" s="23" t="str">
        <f>IF(OR(E1763="",E1763="!!!"),"",IF(NOT(ISNA(VLOOKUP(E1763,E$1:E1762,1,FALSE()))),"OLD",IF(AND(E1763&lt;&gt;"",E1763&lt;&gt;"!!!"),"NEW","")))</f>
        <v> </v>
      </c>
      <c r="G1763" s="24" t="str">
        <f>IF(OR(E1763="",E1763="!!!"),"",IF(OR(J1763=0,AND(J1763=1,K1763=1),AND(J1763=1,I1763="SBJ"),AND(J1763=1,I1763=0)),"?IN_FOCUS",IF(J1763&lt;=2,"?ACTIVATED",IF(J1763&lt;&gt;"","?FAMILIAR",IF(F1763="NEW",IF(ISNA(VLOOKUP(E1763,#REF!,1,FALSE())),"?TYPE_IDENTIFIABLE","?REFERENTIAL"),"_")))))</f>
        <v> </v>
      </c>
      <c r="H1763" s="25" t="str">
        <f>IF(J1763&lt;&gt;1,"",IF(I1763="SBJ","CB","?"))</f>
        <v> </v>
      </c>
      <c r="I1763" s="26" t="str">
        <f>IF(OR(E1763="",E1763="!!!",F1763="NEW"),"",INDEX(B1762:B$2,-1+SUMPRODUCT(MAX(ROW(E1762:E$2)*(E1763=E1762:E$2)))))</f>
        <v> </v>
      </c>
      <c r="J1763" s="26" t="str">
        <f>IF(OR(E1763="",E1763="!!!",F1763="NEW"),"",COUNTBLANK(OFFSET(A$1,,,SUMPRODUCT(MAX(ROW(E$2:E1763)*(E1763=E$2:E1763)))))-COUNTBLANK(OFFSET(A$1,,,SUMPRODUCT(MAX(ROW(E$1:E1762)*(E2=E$1:E1762))))))</f>
        <v> </v>
      </c>
      <c r="K1763" s="26" t="str">
        <f>IF(OR(E1763="",E1763="!!!",F1763="NEW"),"",INDEX(J$1:J1762,SUMPRODUCT(MAX(ROW(E$1:E1762)*(E1763=E$1:E1762)))))</f>
        <v> </v>
      </c>
      <c r="L1763" s="27"/>
    </row>
    <row r="1764" spans="1:12">
      <c r="A1764" s="20" t="s">
        <v>246</v>
      </c>
      <c r="E1764" s="22">
        <f>IF(D1764="?OLD","!!!","")</f>
        <v/>
      </c>
      <c r="F1764" s="23" t="str">
        <f>IF(OR(E1764="",E1764="!!!"),"",IF(NOT(ISNA(VLOOKUP(E1764,E$1:E1763,1,FALSE()))),"OLD",IF(AND(E1764&lt;&gt;"",E1764&lt;&gt;"!!!"),"NEW","")))</f>
        <v> </v>
      </c>
      <c r="G1764" s="24" t="str">
        <f>IF(OR(E1764="",E1764="!!!"),"",IF(OR(J1764=0,AND(J1764=1,K1764=1),AND(J1764=1,I1764="SBJ"),AND(J1764=1,I1764=0)),"?IN_FOCUS",IF(J1764&lt;=2,"?ACTIVATED",IF(J1764&lt;&gt;"","?FAMILIAR",IF(F1764="NEW",IF(ISNA(VLOOKUP(E1764,#REF!,1,FALSE())),"?TYPE_IDENTIFIABLE","?REFERENTIAL"),"_")))))</f>
        <v> </v>
      </c>
      <c r="H1764" s="25" t="str">
        <f>IF(J1764&lt;&gt;1,"",IF(I1764="SBJ","CB","?"))</f>
        <v> </v>
      </c>
      <c r="I1764" s="26" t="str">
        <f>IF(OR(E1764="",E1764="!!!",F1764="NEW"),"",INDEX(B1763:B$2,-1+SUMPRODUCT(MAX(ROW(E1763:E$2)*(E1764=E1763:E$2)))))</f>
        <v> </v>
      </c>
      <c r="J1764" s="26" t="str">
        <f>IF(OR(E1764="",E1764="!!!",F1764="NEW"),"",COUNTBLANK(OFFSET(A$1,,,SUMPRODUCT(MAX(ROW(E$2:E1764)*(E1764=E$2:E1764)))))-COUNTBLANK(OFFSET(A$1,,,SUMPRODUCT(MAX(ROW(E$1:E1763)*(E2=E$1:E1763))))))</f>
        <v> </v>
      </c>
      <c r="K1764" s="26" t="str">
        <f>IF(OR(E1764="",E1764="!!!",F1764="NEW"),"",INDEX(J$1:J1763,SUMPRODUCT(MAX(ROW(E$1:E1763)*(E1764=E$1:E1763)))))</f>
        <v> </v>
      </c>
      <c r="L1764" s="27"/>
    </row>
    <row r="1765" spans="1:12">
      <c r="A1765" s="20"/>
    </row>
    <row r="1766" spans="1:12">
      <c r="A1766" s="20" t="s">
        <v>1466</v>
      </c>
    </row>
    <row r="1767" spans="1:12">
      <c r="A1767" s="20" t="s">
        <v>1467</v>
      </c>
      <c r="E1767" s="22">
        <f>IF(D1767="?OLD","!!!","")</f>
        <v/>
      </c>
      <c r="F1767" s="23" t="str">
        <f>IF(OR(E1767="",E1767="!!!"),"",IF(NOT(ISNA(VLOOKUP(E1767,E$1:E1766,1,FALSE()))),"OLD",IF(AND(E1767&lt;&gt;"",E1767&lt;&gt;"!!!"),"NEW","")))</f>
        <v> </v>
      </c>
      <c r="G1767" s="24" t="str">
        <f>IF(OR(E1767="",E1767="!!!"),"",IF(OR(J1767=0,AND(J1767=1,K1767=1),AND(J1767=1,I1767="SBJ"),AND(J1767=1,I1767=0)),"?IN_FOCUS",IF(J1767&lt;=2,"?ACTIVATED",IF(J1767&lt;&gt;"","?FAMILIAR",IF(F1767="NEW",IF(ISNA(VLOOKUP(E1767,#REF!,1,FALSE())),"?TYPE_IDENTIFIABLE","?REFERENTIAL"),"_")))))</f>
        <v> </v>
      </c>
      <c r="H1767" s="25" t="str">
        <f>IF(J1767&lt;&gt;1,"",IF(I1767="SBJ","CB","?"))</f>
        <v> </v>
      </c>
      <c r="I1767" s="26" t="str">
        <f>IF(OR(E1767="",E1767="!!!",F1767="NEW"),"",INDEX(B1766:B$2,-1+SUMPRODUCT(MAX(ROW(E1766:E$2)*(E1767=E1766:E$2)))))</f>
        <v> </v>
      </c>
      <c r="J1767" s="26" t="str">
        <f>IF(OR(E1767="",E1767="!!!",F1767="NEW"),"",COUNTBLANK(OFFSET(A$1,,,SUMPRODUCT(MAX(ROW(E$2:E1767)*(E1767=E$2:E1767)))))-COUNTBLANK(OFFSET(A$1,,,SUMPRODUCT(MAX(ROW(E$1:E1766)*(E2=E$1:E1766))))))</f>
        <v> </v>
      </c>
      <c r="K1767" s="26" t="str">
        <f>IF(OR(E1767="",E1767="!!!",F1767="NEW"),"",INDEX(J$1:J1766,SUMPRODUCT(MAX(ROW(E$1:E1766)*(E1767=E$1:E1766)))))</f>
        <v> </v>
      </c>
      <c r="L1767" s="27"/>
    </row>
    <row r="1768" spans="1:12">
      <c r="A1768" s="20" t="s">
        <v>938</v>
      </c>
      <c r="E1768" s="22">
        <f>IF(D1768="?OLD","!!!","")</f>
        <v/>
      </c>
      <c r="F1768" s="23" t="str">
        <f>IF(OR(E1768="",E1768="!!!"),"",IF(NOT(ISNA(VLOOKUP(E1768,E$1:E1767,1,FALSE()))),"OLD",IF(AND(E1768&lt;&gt;"",E1768&lt;&gt;"!!!"),"NEW","")))</f>
        <v> </v>
      </c>
      <c r="G1768" s="24" t="str">
        <f>IF(OR(E1768="",E1768="!!!"),"",IF(OR(J1768=0,AND(J1768=1,K1768=1),AND(J1768=1,I1768="SBJ"),AND(J1768=1,I1768=0)),"?IN_FOCUS",IF(J1768&lt;=2,"?ACTIVATED",IF(J1768&lt;&gt;"","?FAMILIAR",IF(F1768="NEW",IF(ISNA(VLOOKUP(E1768,#REF!,1,FALSE())),"?TYPE_IDENTIFIABLE","?REFERENTIAL"),"_")))))</f>
        <v> </v>
      </c>
      <c r="H1768" s="25" t="str">
        <f>IF(J1768&lt;&gt;1,"",IF(I1768="SBJ","CB","?"))</f>
        <v> </v>
      </c>
      <c r="I1768" s="26" t="str">
        <f>IF(OR(E1768="",E1768="!!!",F1768="NEW"),"",INDEX(B1767:B$2,-1+SUMPRODUCT(MAX(ROW(E1767:E$2)*(E1768=E1767:E$2)))))</f>
        <v> </v>
      </c>
      <c r="J1768" s="26" t="str">
        <f>IF(OR(E1768="",E1768="!!!",F1768="NEW"),"",COUNTBLANK(OFFSET(A$1,,,SUMPRODUCT(MAX(ROW(E$2:E1768)*(E1768=E$2:E1768)))))-COUNTBLANK(OFFSET(A$1,,,SUMPRODUCT(MAX(ROW(E$1:E1767)*(E2=E$1:E1767))))))</f>
        <v> </v>
      </c>
      <c r="K1768" s="26" t="str">
        <f>IF(OR(E1768="",E1768="!!!",F1768="NEW"),"",INDEX(J$1:J1767,SUMPRODUCT(MAX(ROW(E$1:E1767)*(E1768=E$1:E1767)))))</f>
        <v> </v>
      </c>
      <c r="L1768" s="27"/>
    </row>
    <row r="1769" spans="1:12">
      <c r="A1769" s="20" t="s">
        <v>751</v>
      </c>
      <c r="E1769" s="22">
        <f>IF(D1769="?OLD","!!!","")</f>
        <v/>
      </c>
      <c r="F1769" s="23" t="str">
        <f>IF(OR(E1769="",E1769="!!!"),"",IF(NOT(ISNA(VLOOKUP(E1769,E$1:E1768,1,FALSE()))),"OLD",IF(AND(E1769&lt;&gt;"",E1769&lt;&gt;"!!!"),"NEW","")))</f>
        <v> </v>
      </c>
      <c r="G1769" s="24" t="str">
        <f>IF(OR(E1769="",E1769="!!!"),"",IF(OR(J1769=0,AND(J1769=1,K1769=1),AND(J1769=1,I1769="SBJ"),AND(J1769=1,I1769=0)),"?IN_FOCUS",IF(J1769&lt;=2,"?ACTIVATED",IF(J1769&lt;&gt;"","?FAMILIAR",IF(F1769="NEW",IF(ISNA(VLOOKUP(E1769,#REF!,1,FALSE())),"?TYPE_IDENTIFIABLE","?REFERENTIAL"),"_")))))</f>
        <v> </v>
      </c>
      <c r="H1769" s="25" t="str">
        <f>IF(J1769&lt;&gt;1,"",IF(I1769="SBJ","CB","?"))</f>
        <v> </v>
      </c>
      <c r="I1769" s="26" t="str">
        <f>IF(OR(E1769="",E1769="!!!",F1769="NEW"),"",INDEX(B1768:B$2,-1+SUMPRODUCT(MAX(ROW(E1768:E$2)*(E1769=E1768:E$2)))))</f>
        <v> </v>
      </c>
      <c r="J1769" s="26" t="str">
        <f>IF(OR(E1769="",E1769="!!!",F1769="NEW"),"",COUNTBLANK(OFFSET(A$1,,,SUMPRODUCT(MAX(ROW(E$2:E1769)*(E1769=E$2:E1769)))))-COUNTBLANK(OFFSET(A$1,,,SUMPRODUCT(MAX(ROW(E$1:E1768)*(E2=E$1:E1768))))))</f>
        <v> </v>
      </c>
      <c r="K1769" s="26" t="str">
        <f>IF(OR(E1769="",E1769="!!!",F1769="NEW"),"",INDEX(J$1:J1768,SUMPRODUCT(MAX(ROW(E$1:E1768)*(E1769=E$1:E1768)))))</f>
        <v> </v>
      </c>
      <c r="L1769" s="27"/>
    </row>
    <row r="1770" spans="1:12">
      <c r="A1770" s="20" t="s">
        <v>377</v>
      </c>
      <c r="B1770" s="21" t="s">
        <v>736</v>
      </c>
      <c r="C1770" s="21" t="s">
        <v>753</v>
      </c>
      <c r="D1770" s="21" t="s">
        <v>730</v>
      </c>
      <c r="E1770" s="22">
        <f>IF(D1770="?OLD","!!!","")</f>
        <v/>
      </c>
      <c r="F1770" s="23" t="str">
        <f>IF(OR(E1770="",E1770="!!!"),"",IF(NOT(ISNA(VLOOKUP(E1770,E$1:E1769,1,FALSE()))),"OLD",IF(AND(E1770&lt;&gt;"",E1770&lt;&gt;"!!!"),"NEW","")))</f>
        <v> </v>
      </c>
      <c r="G1770" s="24" t="str">
        <f>IF(OR(E1770="",E1770="!!!"),"",IF(OR(J1770=0,AND(J1770=1,K1770=1),AND(J1770=1,I1770="SBJ"),AND(J1770=1,I1770=0)),"?IN_FOCUS",IF(J1770&lt;=2,"?ACTIVATED",IF(J1770&lt;&gt;"","?FAMILIAR",IF(F1770="NEW",IF(ISNA(VLOOKUP(E1770,#REF!,1,FALSE())),"?TYPE_IDENTIFIABLE","?REFERENTIAL"),"_")))))</f>
        <v> </v>
      </c>
      <c r="H1770" s="25" t="str">
        <f>IF(J1770&lt;&gt;1,"",IF(I1770="SBJ","CB","?"))</f>
        <v> </v>
      </c>
      <c r="I1770" s="26" t="str">
        <f>IF(OR(E1770="",E1770="!!!",F1770="NEW"),"",INDEX(B1769:B$2,-1+SUMPRODUCT(MAX(ROW(E1769:E$2)*(E1770=E1769:E$2)))))</f>
        <v> </v>
      </c>
      <c r="J1770" s="26" t="str">
        <f>IF(OR(E1770="",E1770="!!!",F1770="NEW"),"",COUNTBLANK(OFFSET(A$1,,,SUMPRODUCT(MAX(ROW(E$2:E1770)*(E1770=E$2:E1770)))))-COUNTBLANK(OFFSET(A$1,,,SUMPRODUCT(MAX(ROW(E$1:E1769)*(E2=E$1:E1769))))))</f>
        <v> </v>
      </c>
      <c r="K1770" s="26" t="str">
        <f>IF(OR(E1770="",E1770="!!!",F1770="NEW"),"",INDEX(J$1:J1769,SUMPRODUCT(MAX(ROW(E$1:E1769)*(E1770=E$1:E1769)))))</f>
        <v> </v>
      </c>
      <c r="L1770" s="27"/>
    </row>
    <row r="1771" spans="1:12">
      <c r="A1771" s="20" t="s">
        <v>759</v>
      </c>
      <c r="E1771" s="22">
        <f>IF(D1771="?OLD","!!!","")</f>
        <v/>
      </c>
      <c r="F1771" s="23" t="str">
        <f>IF(OR(E1771="",E1771="!!!"),"",IF(NOT(ISNA(VLOOKUP(E1771,E$1:E1770,1,FALSE()))),"OLD",IF(AND(E1771&lt;&gt;"",E1771&lt;&gt;"!!!"),"NEW","")))</f>
        <v> </v>
      </c>
      <c r="G1771" s="24" t="str">
        <f>IF(OR(E1771="",E1771="!!!"),"",IF(OR(J1771=0,AND(J1771=1,K1771=1),AND(J1771=1,I1771="SBJ"),AND(J1771=1,I1771=0)),"?IN_FOCUS",IF(J1771&lt;=2,"?ACTIVATED",IF(J1771&lt;&gt;"","?FAMILIAR",IF(F1771="NEW",IF(ISNA(VLOOKUP(E1771,#REF!,1,FALSE())),"?TYPE_IDENTIFIABLE","?REFERENTIAL"),"_")))))</f>
        <v> </v>
      </c>
      <c r="H1771" s="25" t="str">
        <f>IF(J1771&lt;&gt;1,"",IF(I1771="SBJ","CB","?"))</f>
        <v> </v>
      </c>
      <c r="I1771" s="26" t="str">
        <f>IF(OR(E1771="",E1771="!!!",F1771="NEW"),"",INDEX(B1770:B$2,-1+SUMPRODUCT(MAX(ROW(E1770:E$2)*(E1771=E1770:E$2)))))</f>
        <v> </v>
      </c>
      <c r="J1771" s="26" t="str">
        <f>IF(OR(E1771="",E1771="!!!",F1771="NEW"),"",COUNTBLANK(OFFSET(A$1,,,SUMPRODUCT(MAX(ROW(E$2:E1771)*(E1771=E$2:E1771)))))-COUNTBLANK(OFFSET(A$1,,,SUMPRODUCT(MAX(ROW(E$1:E1770)*(E2=E$1:E1770))))))</f>
        <v> </v>
      </c>
      <c r="K1771" s="26" t="str">
        <f>IF(OR(E1771="",E1771="!!!",F1771="NEW"),"",INDEX(J$1:J1770,SUMPRODUCT(MAX(ROW(E$1:E1770)*(E1771=E$1:E1770)))))</f>
        <v> </v>
      </c>
      <c r="L1771" s="27"/>
    </row>
    <row r="1772" spans="1:12">
      <c r="A1772" s="20" t="s">
        <v>757</v>
      </c>
      <c r="B1772" s="21" t="s">
        <v>796</v>
      </c>
      <c r="C1772" s="21" t="s">
        <v>789</v>
      </c>
      <c r="D1772" s="21" t="s">
        <v>730</v>
      </c>
      <c r="E1772" s="22">
        <f>IF(D1772="?OLD","!!!","")</f>
        <v/>
      </c>
      <c r="F1772" s="23" t="str">
        <f>IF(OR(E1772="",E1772="!!!"),"",IF(NOT(ISNA(VLOOKUP(E1772,E$1:E1771,1,FALSE()))),"OLD",IF(AND(E1772&lt;&gt;"",E1772&lt;&gt;"!!!"),"NEW","")))</f>
        <v> </v>
      </c>
      <c r="G1772" s="24" t="str">
        <f>IF(OR(E1772="",E1772="!!!"),"",IF(OR(J1772=0,AND(J1772=1,K1772=1),AND(J1772=1,I1772="SBJ"),AND(J1772=1,I1772=0)),"?IN_FOCUS",IF(J1772&lt;=2,"?ACTIVATED",IF(J1772&lt;&gt;"","?FAMILIAR",IF(F1772="NEW",IF(ISNA(VLOOKUP(E1772,#REF!,1,FALSE())),"?TYPE_IDENTIFIABLE","?REFERENTIAL"),"_")))))</f>
        <v> </v>
      </c>
      <c r="H1772" s="25" t="str">
        <f>IF(J1772&lt;&gt;1,"",IF(I1772="SBJ","CB","?"))</f>
        <v> </v>
      </c>
      <c r="I1772" s="26" t="str">
        <f>IF(OR(E1772="",E1772="!!!",F1772="NEW"),"",INDEX(B1771:B$2,-1+SUMPRODUCT(MAX(ROW(E1771:E$2)*(E1772=E1771:E$2)))))</f>
        <v> </v>
      </c>
      <c r="J1772" s="26" t="str">
        <f>IF(OR(E1772="",E1772="!!!",F1772="NEW"),"",COUNTBLANK(OFFSET(A$1,,,SUMPRODUCT(MAX(ROW(E$2:E1772)*(E1772=E$2:E1772)))))-COUNTBLANK(OFFSET(A$1,,,SUMPRODUCT(MAX(ROW(E$1:E1771)*(E2=E$1:E1771))))))</f>
        <v> </v>
      </c>
      <c r="K1772" s="26" t="str">
        <f>IF(OR(E1772="",E1772="!!!",F1772="NEW"),"",INDEX(J$1:J1771,SUMPRODUCT(MAX(ROW(E$1:E1771)*(E1772=E$1:E1771)))))</f>
        <v> </v>
      </c>
      <c r="L1772" s="27"/>
    </row>
    <row r="1773" spans="1:12">
      <c r="A1773" s="20" t="s">
        <v>732</v>
      </c>
      <c r="E1773" s="22">
        <f>IF(D1773="?OLD","!!!","")</f>
        <v/>
      </c>
      <c r="F1773" s="23" t="str">
        <f>IF(OR(E1773="",E1773="!!!"),"",IF(NOT(ISNA(VLOOKUP(E1773,E$1:E1772,1,FALSE()))),"OLD",IF(AND(E1773&lt;&gt;"",E1773&lt;&gt;"!!!"),"NEW","")))</f>
        <v> </v>
      </c>
      <c r="G1773" s="24" t="str">
        <f>IF(OR(E1773="",E1773="!!!"),"",IF(OR(J1773=0,AND(J1773=1,K1773=1),AND(J1773=1,I1773="SBJ"),AND(J1773=1,I1773=0)),"?IN_FOCUS",IF(J1773&lt;=2,"?ACTIVATED",IF(J1773&lt;&gt;"","?FAMILIAR",IF(F1773="NEW",IF(ISNA(VLOOKUP(E1773,#REF!,1,FALSE())),"?TYPE_IDENTIFIABLE","?REFERENTIAL"),"_")))))</f>
        <v> </v>
      </c>
      <c r="H1773" s="25" t="str">
        <f>IF(J1773&lt;&gt;1,"",IF(I1773="SBJ","CB","?"))</f>
        <v> </v>
      </c>
      <c r="I1773" s="26" t="str">
        <f>IF(OR(E1773="",E1773="!!!",F1773="NEW"),"",INDEX(B1772:B$2,-1+SUMPRODUCT(MAX(ROW(E1772:E$2)*(E1773=E1772:E$2)))))</f>
        <v> </v>
      </c>
      <c r="J1773" s="26" t="str">
        <f>IF(OR(E1773="",E1773="!!!",F1773="NEW"),"",COUNTBLANK(OFFSET(A$1,,,SUMPRODUCT(MAX(ROW(E$2:E1773)*(E1773=E$2:E1773)))))-COUNTBLANK(OFFSET(A$1,,,SUMPRODUCT(MAX(ROW(E$1:E1772)*(E2=E$1:E1772))))))</f>
        <v> </v>
      </c>
      <c r="K1773" s="26" t="str">
        <f>IF(OR(E1773="",E1773="!!!",F1773="NEW"),"",INDEX(J$1:J1772,SUMPRODUCT(MAX(ROW(E$1:E1772)*(E1773=E$1:E1772)))))</f>
        <v> </v>
      </c>
      <c r="L1773" s="27"/>
    </row>
    <row r="1774" spans="1:12">
      <c r="A1774" s="20" t="s">
        <v>795</v>
      </c>
      <c r="B1774" s="21" t="s">
        <v>755</v>
      </c>
      <c r="C1774" s="21" t="s">
        <v>748</v>
      </c>
      <c r="E1774" s="22">
        <f>IF(D1774="?OLD","!!!","")</f>
        <v/>
      </c>
      <c r="F1774" s="23" t="str">
        <f>IF(OR(E1774="",E1774="!!!"),"",IF(NOT(ISNA(VLOOKUP(E1774,E$1:E1773,1,FALSE()))),"OLD",IF(AND(E1774&lt;&gt;"",E1774&lt;&gt;"!!!"),"NEW","")))</f>
        <v> </v>
      </c>
      <c r="G1774" s="24" t="str">
        <f>IF(OR(E1774="",E1774="!!!"),"",IF(OR(J1774=0,AND(J1774=1,K1774=1),AND(J1774=1,I1774="SBJ"),AND(J1774=1,I1774=0)),"?IN_FOCUS",IF(J1774&lt;=2,"?ACTIVATED",IF(J1774&lt;&gt;"","?FAMILIAR",IF(F1774="NEW",IF(ISNA(VLOOKUP(E1774,#REF!,1,FALSE())),"?TYPE_IDENTIFIABLE","?REFERENTIAL"),"_")))))</f>
        <v> </v>
      </c>
      <c r="H1774" s="25" t="str">
        <f>IF(J1774&lt;&gt;1,"",IF(I1774="SBJ","CB","?"))</f>
        <v> </v>
      </c>
      <c r="I1774" s="26" t="str">
        <f>IF(OR(E1774="",E1774="!!!",F1774="NEW"),"",INDEX(B1773:B$2,-1+SUMPRODUCT(MAX(ROW(E1773:E$2)*(E1774=E1773:E$2)))))</f>
        <v> </v>
      </c>
      <c r="J1774" s="26" t="str">
        <f>IF(OR(E1774="",E1774="!!!",F1774="NEW"),"",COUNTBLANK(OFFSET(A$1,,,SUMPRODUCT(MAX(ROW(E$2:E1774)*(E1774=E$2:E1774)))))-COUNTBLANK(OFFSET(A$1,,,SUMPRODUCT(MAX(ROW(E$1:E1773)*(E2=E$1:E1773))))))</f>
        <v> </v>
      </c>
      <c r="K1774" s="26" t="str">
        <f>IF(OR(E1774="",E1774="!!!",F1774="NEW"),"",INDEX(J$1:J1773,SUMPRODUCT(MAX(ROW(E$1:E1773)*(E1774=E$1:E1773)))))</f>
        <v> </v>
      </c>
      <c r="L1774" s="27"/>
    </row>
    <row r="1775" spans="1:12">
      <c r="A1775" s="20" t="s">
        <v>785</v>
      </c>
      <c r="E1775" s="22">
        <f>IF(D1775="?OLD","!!!","")</f>
        <v/>
      </c>
      <c r="F1775" s="23" t="str">
        <f>IF(OR(E1775="",E1775="!!!"),"",IF(NOT(ISNA(VLOOKUP(E1775,E$1:E1774,1,FALSE()))),"OLD",IF(AND(E1775&lt;&gt;"",E1775&lt;&gt;"!!!"),"NEW","")))</f>
        <v> </v>
      </c>
      <c r="G1775" s="24" t="str">
        <f>IF(OR(E1775="",E1775="!!!"),"",IF(OR(J1775=0,AND(J1775=1,K1775=1),AND(J1775=1,I1775="SBJ"),AND(J1775=1,I1775=0)),"?IN_FOCUS",IF(J1775&lt;=2,"?ACTIVATED",IF(J1775&lt;&gt;"","?FAMILIAR",IF(F1775="NEW",IF(ISNA(VLOOKUP(E1775,#REF!,1,FALSE())),"?TYPE_IDENTIFIABLE","?REFERENTIAL"),"_")))))</f>
        <v> </v>
      </c>
      <c r="H1775" s="25" t="str">
        <f>IF(J1775&lt;&gt;1,"",IF(I1775="SBJ","CB","?"))</f>
        <v> </v>
      </c>
      <c r="I1775" s="26" t="str">
        <f>IF(OR(E1775="",E1775="!!!",F1775="NEW"),"",INDEX(B1774:B$2,-1+SUMPRODUCT(MAX(ROW(E1774:E$2)*(E1775=E1774:E$2)))))</f>
        <v> </v>
      </c>
      <c r="J1775" s="26" t="str">
        <f>IF(OR(E1775="",E1775="!!!",F1775="NEW"),"",COUNTBLANK(OFFSET(A$1,,,SUMPRODUCT(MAX(ROW(E$2:E1775)*(E1775=E$2:E1775)))))-COUNTBLANK(OFFSET(A$1,,,SUMPRODUCT(MAX(ROW(E$1:E1774)*(E2=E$1:E1774))))))</f>
        <v> </v>
      </c>
      <c r="K1775" s="26" t="str">
        <f>IF(OR(E1775="",E1775="!!!",F1775="NEW"),"",INDEX(J$1:J1774,SUMPRODUCT(MAX(ROW(E$1:E1774)*(E1775=E$1:E1774)))))</f>
        <v> </v>
      </c>
      <c r="L1775" s="27"/>
    </row>
    <row r="1776" spans="1:12">
      <c r="A1776" s="20" t="s">
        <v>1468</v>
      </c>
      <c r="B1776" s="21" t="s">
        <v>783</v>
      </c>
      <c r="C1776" s="21" t="s">
        <v>748</v>
      </c>
      <c r="E1776" s="22">
        <f>IF(D1776="?OLD","!!!","")</f>
        <v/>
      </c>
      <c r="F1776" s="23" t="str">
        <f>IF(OR(E1776="",E1776="!!!"),"",IF(NOT(ISNA(VLOOKUP(E1776,E$1:E1775,1,FALSE()))),"OLD",IF(AND(E1776&lt;&gt;"",E1776&lt;&gt;"!!!"),"NEW","")))</f>
        <v> </v>
      </c>
      <c r="G1776" s="24" t="str">
        <f>IF(OR(E1776="",E1776="!!!"),"",IF(OR(J1776=0,AND(J1776=1,K1776=1),AND(J1776=1,I1776="SBJ"),AND(J1776=1,I1776=0)),"?IN_FOCUS",IF(J1776&lt;=2,"?ACTIVATED",IF(J1776&lt;&gt;"","?FAMILIAR",IF(F1776="NEW",IF(ISNA(VLOOKUP(E1776,#REF!,1,FALSE())),"?TYPE_IDENTIFIABLE","?REFERENTIAL"),"_")))))</f>
        <v> </v>
      </c>
      <c r="H1776" s="25" t="str">
        <f>IF(J1776&lt;&gt;1,"",IF(I1776="SBJ","CB","?"))</f>
        <v> </v>
      </c>
      <c r="I1776" s="26" t="str">
        <f>IF(OR(E1776="",E1776="!!!",F1776="NEW"),"",INDEX(B1775:B$2,-1+SUMPRODUCT(MAX(ROW(E1775:E$2)*(E1776=E1775:E$2)))))</f>
        <v> </v>
      </c>
      <c r="J1776" s="26" t="str">
        <f>IF(OR(E1776="",E1776="!!!",F1776="NEW"),"",COUNTBLANK(OFFSET(A$1,,,SUMPRODUCT(MAX(ROW(E$2:E1776)*(E1776=E$2:E1776)))))-COUNTBLANK(OFFSET(A$1,,,SUMPRODUCT(MAX(ROW(E$1:E1775)*(E2=E$1:E1775))))))</f>
        <v> </v>
      </c>
      <c r="K1776" s="26" t="str">
        <f>IF(OR(E1776="",E1776="!!!",F1776="NEW"),"",INDEX(J$1:J1775,SUMPRODUCT(MAX(ROW(E$1:E1775)*(E1776=E$1:E1775)))))</f>
        <v> </v>
      </c>
      <c r="L1776" s="27"/>
    </row>
    <row r="1777" spans="1:12">
      <c r="A1777" s="20" t="s">
        <v>754</v>
      </c>
      <c r="E1777" s="22">
        <f>IF(D1777="?OLD","!!!","")</f>
        <v/>
      </c>
      <c r="F1777" s="23" t="str">
        <f>IF(OR(E1777="",E1777="!!!"),"",IF(NOT(ISNA(VLOOKUP(E1777,E$1:E1776,1,FALSE()))),"OLD",IF(AND(E1777&lt;&gt;"",E1777&lt;&gt;"!!!"),"NEW","")))</f>
        <v> </v>
      </c>
      <c r="G1777" s="24" t="str">
        <f>IF(OR(E1777="",E1777="!!!"),"",IF(OR(J1777=0,AND(J1777=1,K1777=1),AND(J1777=1,I1777="SBJ"),AND(J1777=1,I1777=0)),"?IN_FOCUS",IF(J1777&lt;=2,"?ACTIVATED",IF(J1777&lt;&gt;"","?FAMILIAR",IF(F1777="NEW",IF(ISNA(VLOOKUP(E1777,#REF!,1,FALSE())),"?TYPE_IDENTIFIABLE","?REFERENTIAL"),"_")))))</f>
        <v> </v>
      </c>
      <c r="H1777" s="25" t="str">
        <f>IF(J1777&lt;&gt;1,"",IF(I1777="SBJ","CB","?"))</f>
        <v> </v>
      </c>
      <c r="I1777" s="26" t="str">
        <f>IF(OR(E1777="",E1777="!!!",F1777="NEW"),"",INDEX(B1776:B$2,-1+SUMPRODUCT(MAX(ROW(E1776:E$2)*(E1777=E1776:E$2)))))</f>
        <v> </v>
      </c>
      <c r="J1777" s="26" t="str">
        <f>IF(OR(E1777="",E1777="!!!",F1777="NEW"),"",COUNTBLANK(OFFSET(A$1,,,SUMPRODUCT(MAX(ROW(E$2:E1777)*(E1777=E$2:E1777)))))-COUNTBLANK(OFFSET(A$1,,,SUMPRODUCT(MAX(ROW(E$1:E1776)*(E2=E$1:E1776))))))</f>
        <v> </v>
      </c>
      <c r="K1777" s="26" t="str">
        <f>IF(OR(E1777="",E1777="!!!",F1777="NEW"),"",INDEX(J$1:J1776,SUMPRODUCT(MAX(ROW(E$1:E1776)*(E1777=E$1:E1776)))))</f>
        <v> </v>
      </c>
      <c r="L1777" s="27"/>
    </row>
    <row r="1778" spans="1:12">
      <c r="A1778" s="20" t="s">
        <v>1469</v>
      </c>
      <c r="E1778" s="22">
        <f>IF(D1778="?OLD","!!!","")</f>
        <v/>
      </c>
      <c r="F1778" s="23" t="str">
        <f>IF(OR(E1778="",E1778="!!!"),"",IF(NOT(ISNA(VLOOKUP(E1778,E$1:E1777,1,FALSE()))),"OLD",IF(AND(E1778&lt;&gt;"",E1778&lt;&gt;"!!!"),"NEW","")))</f>
        <v> </v>
      </c>
      <c r="G1778" s="24" t="str">
        <f>IF(OR(E1778="",E1778="!!!"),"",IF(OR(J1778=0,AND(J1778=1,K1778=1),AND(J1778=1,I1778="SBJ"),AND(J1778=1,I1778=0)),"?IN_FOCUS",IF(J1778&lt;=2,"?ACTIVATED",IF(J1778&lt;&gt;"","?FAMILIAR",IF(F1778="NEW",IF(ISNA(VLOOKUP(E1778,#REF!,1,FALSE())),"?TYPE_IDENTIFIABLE","?REFERENTIAL"),"_")))))</f>
        <v> </v>
      </c>
      <c r="H1778" s="25" t="str">
        <f>IF(J1778&lt;&gt;1,"",IF(I1778="SBJ","CB","?"))</f>
        <v> </v>
      </c>
      <c r="I1778" s="26" t="str">
        <f>IF(OR(E1778="",E1778="!!!",F1778="NEW"),"",INDEX(B1777:B$2,-1+SUMPRODUCT(MAX(ROW(E1777:E$2)*(E1778=E1777:E$2)))))</f>
        <v> </v>
      </c>
      <c r="J1778" s="26" t="str">
        <f>IF(OR(E1778="",E1778="!!!",F1778="NEW"),"",COUNTBLANK(OFFSET(A$1,,,SUMPRODUCT(MAX(ROW(E$2:E1778)*(E1778=E$2:E1778)))))-COUNTBLANK(OFFSET(A$1,,,SUMPRODUCT(MAX(ROW(E$1:E1777)*(E2=E$1:E1777))))))</f>
        <v> </v>
      </c>
      <c r="K1778" s="26" t="str">
        <f>IF(OR(E1778="",E1778="!!!",F1778="NEW"),"",INDEX(J$1:J1777,SUMPRODUCT(MAX(ROW(E$1:E1777)*(E1778=E$1:E1777)))))</f>
        <v> </v>
      </c>
      <c r="L1778" s="27"/>
    </row>
    <row r="1779" spans="1:12">
      <c r="A1779" s="20" t="s">
        <v>884</v>
      </c>
      <c r="E1779" s="22">
        <f>IF(D1779="?OLD","!!!","")</f>
        <v/>
      </c>
      <c r="F1779" s="23" t="str">
        <f>IF(OR(E1779="",E1779="!!!"),"",IF(NOT(ISNA(VLOOKUP(E1779,E$1:E1778,1,FALSE()))),"OLD",IF(AND(E1779&lt;&gt;"",E1779&lt;&gt;"!!!"),"NEW","")))</f>
        <v> </v>
      </c>
      <c r="G1779" s="24" t="str">
        <f>IF(OR(E1779="",E1779="!!!"),"",IF(OR(J1779=0,AND(J1779=1,K1779=1),AND(J1779=1,I1779="SBJ"),AND(J1779=1,I1779=0)),"?IN_FOCUS",IF(J1779&lt;=2,"?ACTIVATED",IF(J1779&lt;&gt;"","?FAMILIAR",IF(F1779="NEW",IF(ISNA(VLOOKUP(E1779,#REF!,1,FALSE())),"?TYPE_IDENTIFIABLE","?REFERENTIAL"),"_")))))</f>
        <v> </v>
      </c>
      <c r="H1779" s="25" t="str">
        <f>IF(J1779&lt;&gt;1,"",IF(I1779="SBJ","CB","?"))</f>
        <v> </v>
      </c>
      <c r="I1779" s="26" t="str">
        <f>IF(OR(E1779="",E1779="!!!",F1779="NEW"),"",INDEX(B1778:B$2,-1+SUMPRODUCT(MAX(ROW(E1778:E$2)*(E1779=E1778:E$2)))))</f>
        <v> </v>
      </c>
      <c r="J1779" s="26" t="str">
        <f>IF(OR(E1779="",E1779="!!!",F1779="NEW"),"",COUNTBLANK(OFFSET(A$1,,,SUMPRODUCT(MAX(ROW(E$2:E1779)*(E1779=E$2:E1779)))))-COUNTBLANK(OFFSET(A$1,,,SUMPRODUCT(MAX(ROW(E$1:E1778)*(E2=E$1:E1778))))))</f>
        <v> </v>
      </c>
      <c r="K1779" s="26" t="str">
        <f>IF(OR(E1779="",E1779="!!!",F1779="NEW"),"",INDEX(J$1:J1778,SUMPRODUCT(MAX(ROW(E$1:E1778)*(E1779=E$1:E1778)))))</f>
        <v> </v>
      </c>
      <c r="L1779" s="27"/>
    </row>
    <row r="1780" spans="1:12">
      <c r="A1780" s="20" t="s">
        <v>246</v>
      </c>
      <c r="E1780" s="22">
        <f>IF(D1780="?OLD","!!!","")</f>
        <v/>
      </c>
      <c r="F1780" s="23" t="str">
        <f>IF(OR(E1780="",E1780="!!!"),"",IF(NOT(ISNA(VLOOKUP(E1780,E$1:E1779,1,FALSE()))),"OLD",IF(AND(E1780&lt;&gt;"",E1780&lt;&gt;"!!!"),"NEW","")))</f>
        <v> </v>
      </c>
      <c r="G1780" s="24" t="str">
        <f>IF(OR(E1780="",E1780="!!!"),"",IF(OR(J1780=0,AND(J1780=1,K1780=1),AND(J1780=1,I1780="SBJ"),AND(J1780=1,I1780=0)),"?IN_FOCUS",IF(J1780&lt;=2,"?ACTIVATED",IF(J1780&lt;&gt;"","?FAMILIAR",IF(F1780="NEW",IF(ISNA(VLOOKUP(E1780,#REF!,1,FALSE())),"?TYPE_IDENTIFIABLE","?REFERENTIAL"),"_")))))</f>
        <v> </v>
      </c>
      <c r="H1780" s="25" t="str">
        <f>IF(J1780&lt;&gt;1,"",IF(I1780="SBJ","CB","?"))</f>
        <v> </v>
      </c>
      <c r="I1780" s="26" t="str">
        <f>IF(OR(E1780="",E1780="!!!",F1780="NEW"),"",INDEX(B1779:B$2,-1+SUMPRODUCT(MAX(ROW(E1779:E$2)*(E1780=E1779:E$2)))))</f>
        <v> </v>
      </c>
      <c r="J1780" s="26" t="str">
        <f>IF(OR(E1780="",E1780="!!!",F1780="NEW"),"",COUNTBLANK(OFFSET(A$1,,,SUMPRODUCT(MAX(ROW(E$2:E1780)*(E1780=E$2:E1780)))))-COUNTBLANK(OFFSET(A$1,,,SUMPRODUCT(MAX(ROW(E$1:E1779)*(E2=E$1:E1779))))))</f>
        <v> </v>
      </c>
      <c r="K1780" s="26" t="str">
        <f>IF(OR(E1780="",E1780="!!!",F1780="NEW"),"",INDEX(J$1:J1779,SUMPRODUCT(MAX(ROW(E$1:E1779)*(E1780=E$1:E1779)))))</f>
        <v> </v>
      </c>
      <c r="L1780" s="27"/>
    </row>
    <row r="1781" spans="1:12">
      <c r="A1781" s="20"/>
    </row>
    <row r="1782" spans="1:12">
      <c r="A1782" s="20" t="s">
        <v>1470</v>
      </c>
    </row>
    <row r="1783" spans="1:12">
      <c r="A1783" s="20" t="s">
        <v>836</v>
      </c>
      <c r="E1783" s="22">
        <f>IF(D1783="?OLD","!!!","")</f>
        <v/>
      </c>
      <c r="F1783" s="23" t="str">
        <f>IF(OR(E1783="",E1783="!!!"),"",IF(NOT(ISNA(VLOOKUP(E1783,E$1:E1782,1,FALSE()))),"OLD",IF(AND(E1783&lt;&gt;"",E1783&lt;&gt;"!!!"),"NEW","")))</f>
        <v> </v>
      </c>
      <c r="G1783" s="24" t="str">
        <f>IF(OR(E1783="",E1783="!!!"),"",IF(OR(J1783=0,AND(J1783=1,K1783=1),AND(J1783=1,I1783="SBJ"),AND(J1783=1,I1783=0)),"?IN_FOCUS",IF(J1783&lt;=2,"?ACTIVATED",IF(J1783&lt;&gt;"","?FAMILIAR",IF(F1783="NEW",IF(ISNA(VLOOKUP(E1783,#REF!,1,FALSE())),"?TYPE_IDENTIFIABLE","?REFERENTIAL"),"_")))))</f>
        <v> </v>
      </c>
      <c r="H1783" s="25" t="str">
        <f>IF(J1783&lt;&gt;1,"",IF(I1783="SBJ","CB","?"))</f>
        <v> </v>
      </c>
      <c r="I1783" s="26" t="str">
        <f>IF(OR(E1783="",E1783="!!!",F1783="NEW"),"",INDEX(B1782:B$2,-1+SUMPRODUCT(MAX(ROW(E1782:E$2)*(E1783=E1782:E$2)))))</f>
        <v> </v>
      </c>
      <c r="J1783" s="26" t="str">
        <f>IF(OR(E1783="",E1783="!!!",F1783="NEW"),"",COUNTBLANK(OFFSET(A$1,,,SUMPRODUCT(MAX(ROW(E$2:E1783)*(E1783=E$2:E1783)))))-COUNTBLANK(OFFSET(A$1,,,SUMPRODUCT(MAX(ROW(E$1:E1782)*(E2=E$1:E1782))))))</f>
        <v> </v>
      </c>
      <c r="K1783" s="26" t="str">
        <f>IF(OR(E1783="",E1783="!!!",F1783="NEW"),"",INDEX(J$1:J1782,SUMPRODUCT(MAX(ROW(E$1:E1782)*(E1783=E$1:E1782)))))</f>
        <v> </v>
      </c>
      <c r="L1783" s="27"/>
    </row>
    <row r="1784" spans="1:12">
      <c r="A1784" s="20" t="s">
        <v>811</v>
      </c>
      <c r="E1784" s="22">
        <f>IF(D1784="?OLD","!!!","")</f>
        <v/>
      </c>
      <c r="F1784" s="23" t="str">
        <f>IF(OR(E1784="",E1784="!!!"),"",IF(NOT(ISNA(VLOOKUP(E1784,E$1:E1783,1,FALSE()))),"OLD",IF(AND(E1784&lt;&gt;"",E1784&lt;&gt;"!!!"),"NEW","")))</f>
        <v> </v>
      </c>
      <c r="G1784" s="24" t="str">
        <f>IF(OR(E1784="",E1784="!!!"),"",IF(OR(J1784=0,AND(J1784=1,K1784=1),AND(J1784=1,I1784="SBJ"),AND(J1784=1,I1784=0)),"?IN_FOCUS",IF(J1784&lt;=2,"?ACTIVATED",IF(J1784&lt;&gt;"","?FAMILIAR",IF(F1784="NEW",IF(ISNA(VLOOKUP(E1784,#REF!,1,FALSE())),"?TYPE_IDENTIFIABLE","?REFERENTIAL"),"_")))))</f>
        <v> </v>
      </c>
      <c r="H1784" s="25" t="str">
        <f>IF(J1784&lt;&gt;1,"",IF(I1784="SBJ","CB","?"))</f>
        <v> </v>
      </c>
      <c r="I1784" s="26" t="str">
        <f>IF(OR(E1784="",E1784="!!!",F1784="NEW"),"",INDEX(B1783:B$2,-1+SUMPRODUCT(MAX(ROW(E1783:E$2)*(E1784=E1783:E$2)))))</f>
        <v> </v>
      </c>
      <c r="J1784" s="26" t="str">
        <f>IF(OR(E1784="",E1784="!!!",F1784="NEW"),"",COUNTBLANK(OFFSET(A$1,,,SUMPRODUCT(MAX(ROW(E$2:E1784)*(E1784=E$2:E1784)))))-COUNTBLANK(OFFSET(A$1,,,SUMPRODUCT(MAX(ROW(E$1:E1783)*(E2=E$1:E1783))))))</f>
        <v> </v>
      </c>
      <c r="K1784" s="26" t="str">
        <f>IF(OR(E1784="",E1784="!!!",F1784="NEW"),"",INDEX(J$1:J1783,SUMPRODUCT(MAX(ROW(E$1:E1783)*(E1784=E$1:E1783)))))</f>
        <v> </v>
      </c>
      <c r="L1784" s="27"/>
    </row>
    <row r="1785" spans="1:12">
      <c r="A1785" s="20" t="s">
        <v>824</v>
      </c>
      <c r="B1785" s="21" t="s">
        <v>728</v>
      </c>
      <c r="C1785" s="21" t="s">
        <v>756</v>
      </c>
      <c r="E1785" s="22">
        <f>IF(D1785="?OLD","!!!","")</f>
        <v/>
      </c>
      <c r="F1785" s="23" t="str">
        <f>IF(OR(E1785="",E1785="!!!"),"",IF(NOT(ISNA(VLOOKUP(E1785,E$1:E1784,1,FALSE()))),"OLD",IF(AND(E1785&lt;&gt;"",E1785&lt;&gt;"!!!"),"NEW","")))</f>
        <v> </v>
      </c>
      <c r="G1785" s="24" t="str">
        <f>IF(OR(E1785="",E1785="!!!"),"",IF(OR(J1785=0,AND(J1785=1,K1785=1),AND(J1785=1,I1785="SBJ"),AND(J1785=1,I1785=0)),"?IN_FOCUS",IF(J1785&lt;=2,"?ACTIVATED",IF(J1785&lt;&gt;"","?FAMILIAR",IF(F1785="NEW",IF(ISNA(VLOOKUP(E1785,#REF!,1,FALSE())),"?TYPE_IDENTIFIABLE","?REFERENTIAL"),"_")))))</f>
        <v> </v>
      </c>
      <c r="H1785" s="25" t="str">
        <f>IF(J1785&lt;&gt;1,"",IF(I1785="SBJ","CB","?"))</f>
        <v> </v>
      </c>
      <c r="I1785" s="26" t="str">
        <f>IF(OR(E1785="",E1785="!!!",F1785="NEW"),"",INDEX(B1784:B$2,-1+SUMPRODUCT(MAX(ROW(E1784:E$2)*(E1785=E1784:E$2)))))</f>
        <v> </v>
      </c>
      <c r="J1785" s="26" t="str">
        <f>IF(OR(E1785="",E1785="!!!",F1785="NEW"),"",COUNTBLANK(OFFSET(A$1,,,SUMPRODUCT(MAX(ROW(E$2:E1785)*(E1785=E$2:E1785)))))-COUNTBLANK(OFFSET(A$1,,,SUMPRODUCT(MAX(ROW(E$1:E1784)*(E2=E$1:E1784))))))</f>
        <v> </v>
      </c>
      <c r="K1785" s="26" t="str">
        <f>IF(OR(E1785="",E1785="!!!",F1785="NEW"),"",INDEX(J$1:J1784,SUMPRODUCT(MAX(ROW(E$1:E1784)*(E1785=E$1:E1784)))))</f>
        <v> </v>
      </c>
      <c r="L1785" s="27"/>
    </row>
    <row r="1786" spans="1:12">
      <c r="A1786" s="20" t="s">
        <v>246</v>
      </c>
      <c r="E1786" s="22">
        <f>IF(D1786="?OLD","!!!","")</f>
        <v/>
      </c>
      <c r="F1786" s="23" t="str">
        <f>IF(OR(E1786="",E1786="!!!"),"",IF(NOT(ISNA(VLOOKUP(E1786,E$1:E1785,1,FALSE()))),"OLD",IF(AND(E1786&lt;&gt;"",E1786&lt;&gt;"!!!"),"NEW","")))</f>
        <v> </v>
      </c>
      <c r="G1786" s="24" t="str">
        <f>IF(OR(E1786="",E1786="!!!"),"",IF(OR(J1786=0,AND(J1786=1,K1786=1),AND(J1786=1,I1786="SBJ"),AND(J1786=1,I1786=0)),"?IN_FOCUS",IF(J1786&lt;=2,"?ACTIVATED",IF(J1786&lt;&gt;"","?FAMILIAR",IF(F1786="NEW",IF(ISNA(VLOOKUP(E1786,#REF!,1,FALSE())),"?TYPE_IDENTIFIABLE","?REFERENTIAL"),"_")))))</f>
        <v> </v>
      </c>
      <c r="H1786" s="25" t="str">
        <f>IF(J1786&lt;&gt;1,"",IF(I1786="SBJ","CB","?"))</f>
        <v> </v>
      </c>
      <c r="I1786" s="26" t="str">
        <f>IF(OR(E1786="",E1786="!!!",F1786="NEW"),"",INDEX(B1785:B$2,-1+SUMPRODUCT(MAX(ROW(E1785:E$2)*(E1786=E1785:E$2)))))</f>
        <v> </v>
      </c>
      <c r="J1786" s="26" t="str">
        <f>IF(OR(E1786="",E1786="!!!",F1786="NEW"),"",COUNTBLANK(OFFSET(A$1,,,SUMPRODUCT(MAX(ROW(E$2:E1786)*(E1786=E$2:E1786)))))-COUNTBLANK(OFFSET(A$1,,,SUMPRODUCT(MAX(ROW(E$1:E1785)*(E2=E$1:E1785))))))</f>
        <v> </v>
      </c>
      <c r="K1786" s="26" t="str">
        <f>IF(OR(E1786="",E1786="!!!",F1786="NEW"),"",INDEX(J$1:J1785,SUMPRODUCT(MAX(ROW(E$1:E1785)*(E1786=E$1:E1785)))))</f>
        <v> </v>
      </c>
      <c r="L1786" s="27"/>
    </row>
    <row r="1787" spans="1:12">
      <c r="A1787" s="20"/>
    </row>
    <row r="1788" spans="1:12">
      <c r="A1788" s="20" t="s">
        <v>1471</v>
      </c>
    </row>
    <row r="1789" spans="1:12">
      <c r="A1789" s="20" t="s">
        <v>836</v>
      </c>
      <c r="B1789" s="21" t="s">
        <v>728</v>
      </c>
      <c r="C1789" s="21" t="s">
        <v>729</v>
      </c>
      <c r="D1789" s="21" t="s">
        <v>730</v>
      </c>
      <c r="E1789" s="22">
        <f>IF(D1789="?OLD","!!!","")</f>
        <v/>
      </c>
      <c r="F1789" s="23" t="str">
        <f>IF(OR(E1789="",E1789="!!!"),"",IF(NOT(ISNA(VLOOKUP(E1789,E$1:E1788,1,FALSE()))),"OLD",IF(AND(E1789&lt;&gt;"",E1789&lt;&gt;"!!!"),"NEW","")))</f>
        <v> </v>
      </c>
      <c r="G1789" s="24" t="str">
        <f>IF(OR(E1789="",E1789="!!!"),"",IF(OR(J1789=0,AND(J1789=1,K1789=1),AND(J1789=1,I1789="SBJ"),AND(J1789=1,I1789=0)),"?IN_FOCUS",IF(J1789&lt;=2,"?ACTIVATED",IF(J1789&lt;&gt;"","?FAMILIAR",IF(F1789="NEW",IF(ISNA(VLOOKUP(E1789,#REF!,1,FALSE())),"?TYPE_IDENTIFIABLE","?REFERENTIAL"),"_")))))</f>
        <v> </v>
      </c>
      <c r="H1789" s="25" t="str">
        <f>IF(J1789&lt;&gt;1,"",IF(I1789="SBJ","CB","?"))</f>
        <v> </v>
      </c>
      <c r="I1789" s="26" t="str">
        <f>IF(OR(E1789="",E1789="!!!",F1789="NEW"),"",INDEX(B1788:B$2,-1+SUMPRODUCT(MAX(ROW(E1788:E$2)*(E1789=E1788:E$2)))))</f>
        <v> </v>
      </c>
      <c r="J1789" s="26" t="str">
        <f>IF(OR(E1789="",E1789="!!!",F1789="NEW"),"",COUNTBLANK(OFFSET(A$1,,,SUMPRODUCT(MAX(ROW(E$2:E1789)*(E1789=E$2:E1789)))))-COUNTBLANK(OFFSET(A$1,,,SUMPRODUCT(MAX(ROW(E$1:E1788)*(E2=E$1:E1788))))))</f>
        <v> </v>
      </c>
      <c r="K1789" s="26" t="str">
        <f>IF(OR(E1789="",E1789="!!!",F1789="NEW"),"",INDEX(J$1:J1788,SUMPRODUCT(MAX(ROW(E$1:E1788)*(E1789=E$1:E1788)))))</f>
        <v> </v>
      </c>
      <c r="L1789" s="27"/>
    </row>
    <row r="1790" spans="1:12">
      <c r="A1790" s="20" t="s">
        <v>811</v>
      </c>
      <c r="E1790" s="22">
        <f>IF(D1790="?OLD","!!!","")</f>
        <v/>
      </c>
      <c r="F1790" s="23" t="str">
        <f>IF(OR(E1790="",E1790="!!!"),"",IF(NOT(ISNA(VLOOKUP(E1790,E$1:E1789,1,FALSE()))),"OLD",IF(AND(E1790&lt;&gt;"",E1790&lt;&gt;"!!!"),"NEW","")))</f>
        <v> </v>
      </c>
      <c r="G1790" s="24" t="str">
        <f>IF(OR(E1790="",E1790="!!!"),"",IF(OR(J1790=0,AND(J1790=1,K1790=1),AND(J1790=1,I1790="SBJ"),AND(J1790=1,I1790=0)),"?IN_FOCUS",IF(J1790&lt;=2,"?ACTIVATED",IF(J1790&lt;&gt;"","?FAMILIAR",IF(F1790="NEW",IF(ISNA(VLOOKUP(E1790,#REF!,1,FALSE())),"?TYPE_IDENTIFIABLE","?REFERENTIAL"),"_")))))</f>
        <v> </v>
      </c>
      <c r="H1790" s="25" t="str">
        <f>IF(J1790&lt;&gt;1,"",IF(I1790="SBJ","CB","?"))</f>
        <v> </v>
      </c>
      <c r="I1790" s="26" t="str">
        <f>IF(OR(E1790="",E1790="!!!",F1790="NEW"),"",INDEX(B1789:B$2,-1+SUMPRODUCT(MAX(ROW(E1789:E$2)*(E1790=E1789:E$2)))))</f>
        <v> </v>
      </c>
      <c r="J1790" s="26" t="str">
        <f>IF(OR(E1790="",E1790="!!!",F1790="NEW"),"",COUNTBLANK(OFFSET(A$1,,,SUMPRODUCT(MAX(ROW(E$2:E1790)*(E1790=E$2:E1790)))))-COUNTBLANK(OFFSET(A$1,,,SUMPRODUCT(MAX(ROW(E$1:E1789)*(E2=E$1:E1789))))))</f>
        <v> </v>
      </c>
      <c r="K1790" s="26" t="str">
        <f>IF(OR(E1790="",E1790="!!!",F1790="NEW"),"",INDEX(J$1:J1789,SUMPRODUCT(MAX(ROW(E$1:E1789)*(E1790=E$1:E1789)))))</f>
        <v> </v>
      </c>
      <c r="L1790" s="27"/>
    </row>
    <row r="1791" spans="1:12">
      <c r="A1791" s="20" t="s">
        <v>1472</v>
      </c>
      <c r="B1791" s="21" t="s">
        <v>736</v>
      </c>
      <c r="C1791" s="21" t="s">
        <v>748</v>
      </c>
      <c r="E1791" s="22">
        <f>IF(D1791="?OLD","!!!","")</f>
        <v/>
      </c>
      <c r="F1791" s="23" t="str">
        <f>IF(OR(E1791="",E1791="!!!"),"",IF(NOT(ISNA(VLOOKUP(E1791,E$1:E1790,1,FALSE()))),"OLD",IF(AND(E1791&lt;&gt;"",E1791&lt;&gt;"!!!"),"NEW","")))</f>
        <v> </v>
      </c>
      <c r="G1791" s="24" t="str">
        <f>IF(OR(E1791="",E1791="!!!"),"",IF(OR(J1791=0,AND(J1791=1,K1791=1),AND(J1791=1,I1791="SBJ"),AND(J1791=1,I1791=0)),"?IN_FOCUS",IF(J1791&lt;=2,"?ACTIVATED",IF(J1791&lt;&gt;"","?FAMILIAR",IF(F1791="NEW",IF(ISNA(VLOOKUP(E1791,#REF!,1,FALSE())),"?TYPE_IDENTIFIABLE","?REFERENTIAL"),"_")))))</f>
        <v> </v>
      </c>
      <c r="H1791" s="25" t="str">
        <f>IF(J1791&lt;&gt;1,"",IF(I1791="SBJ","CB","?"))</f>
        <v> </v>
      </c>
      <c r="I1791" s="26" t="str">
        <f>IF(OR(E1791="",E1791="!!!",F1791="NEW"),"",INDEX(B1790:B$2,-1+SUMPRODUCT(MAX(ROW(E1790:E$2)*(E1791=E1790:E$2)))))</f>
        <v> </v>
      </c>
      <c r="J1791" s="26" t="str">
        <f>IF(OR(E1791="",E1791="!!!",F1791="NEW"),"",COUNTBLANK(OFFSET(A$1,,,SUMPRODUCT(MAX(ROW(E$2:E1791)*(E1791=E$2:E1791)))))-COUNTBLANK(OFFSET(A$1,,,SUMPRODUCT(MAX(ROW(E$1:E1790)*(E2=E$1:E1790))))))</f>
        <v> </v>
      </c>
      <c r="K1791" s="26" t="str">
        <f>IF(OR(E1791="",E1791="!!!",F1791="NEW"),"",INDEX(J$1:J1790,SUMPRODUCT(MAX(ROW(E$1:E1790)*(E1791=E$1:E1790)))))</f>
        <v> </v>
      </c>
      <c r="L1791" s="27"/>
    </row>
    <row r="1792" spans="1:12">
      <c r="A1792" s="20" t="s">
        <v>759</v>
      </c>
      <c r="E1792" s="22">
        <f>IF(D1792="?OLD","!!!","")</f>
        <v/>
      </c>
      <c r="F1792" s="23" t="str">
        <f>IF(OR(E1792="",E1792="!!!"),"",IF(NOT(ISNA(VLOOKUP(E1792,E$1:E1791,1,FALSE()))),"OLD",IF(AND(E1792&lt;&gt;"",E1792&lt;&gt;"!!!"),"NEW","")))</f>
        <v> </v>
      </c>
      <c r="G1792" s="24" t="str">
        <f>IF(OR(E1792="",E1792="!!!"),"",IF(OR(J1792=0,AND(J1792=1,K1792=1),AND(J1792=1,I1792="SBJ"),AND(J1792=1,I1792=0)),"?IN_FOCUS",IF(J1792&lt;=2,"?ACTIVATED",IF(J1792&lt;&gt;"","?FAMILIAR",IF(F1792="NEW",IF(ISNA(VLOOKUP(E1792,#REF!,1,FALSE())),"?TYPE_IDENTIFIABLE","?REFERENTIAL"),"_")))))</f>
        <v> </v>
      </c>
      <c r="H1792" s="25" t="str">
        <f>IF(J1792&lt;&gt;1,"",IF(I1792="SBJ","CB","?"))</f>
        <v> </v>
      </c>
      <c r="I1792" s="26" t="str">
        <f>IF(OR(E1792="",E1792="!!!",F1792="NEW"),"",INDEX(B1791:B$2,-1+SUMPRODUCT(MAX(ROW(E1791:E$2)*(E1792=E1791:E$2)))))</f>
        <v> </v>
      </c>
      <c r="J1792" s="26" t="str">
        <f>IF(OR(E1792="",E1792="!!!",F1792="NEW"),"",COUNTBLANK(OFFSET(A$1,,,SUMPRODUCT(MAX(ROW(E$2:E1792)*(E1792=E$2:E1792)))))-COUNTBLANK(OFFSET(A$1,,,SUMPRODUCT(MAX(ROW(E$1:E1791)*(E2=E$1:E1791))))))</f>
        <v> </v>
      </c>
      <c r="K1792" s="26" t="str">
        <f>IF(OR(E1792="",E1792="!!!",F1792="NEW"),"",INDEX(J$1:J1791,SUMPRODUCT(MAX(ROW(E$1:E1791)*(E1792=E$1:E1791)))))</f>
        <v> </v>
      </c>
      <c r="L1792" s="27"/>
    </row>
    <row r="1793" spans="1:12">
      <c r="A1793" s="20" t="s">
        <v>899</v>
      </c>
      <c r="B1793" s="21" t="s">
        <v>796</v>
      </c>
      <c r="C1793" s="21" t="s">
        <v>729</v>
      </c>
      <c r="D1793" s="21" t="s">
        <v>730</v>
      </c>
      <c r="E1793" s="22">
        <f>IF(D1793="?OLD","!!!","")</f>
        <v/>
      </c>
      <c r="F1793" s="23" t="str">
        <f>IF(OR(E1793="",E1793="!!!"),"",IF(NOT(ISNA(VLOOKUP(E1793,E$1:E1792,1,FALSE()))),"OLD",IF(AND(E1793&lt;&gt;"",E1793&lt;&gt;"!!!"),"NEW","")))</f>
        <v> </v>
      </c>
      <c r="G1793" s="24" t="str">
        <f>IF(OR(E1793="",E1793="!!!"),"",IF(OR(J1793=0,AND(J1793=1,K1793=1),AND(J1793=1,I1793="SBJ"),AND(J1793=1,I1793=0)),"?IN_FOCUS",IF(J1793&lt;=2,"?ACTIVATED",IF(J1793&lt;&gt;"","?FAMILIAR",IF(F1793="NEW",IF(ISNA(VLOOKUP(E1793,#REF!,1,FALSE())),"?TYPE_IDENTIFIABLE","?REFERENTIAL"),"_")))))</f>
        <v> </v>
      </c>
      <c r="H1793" s="25" t="str">
        <f>IF(J1793&lt;&gt;1,"",IF(I1793="SBJ","CB","?"))</f>
        <v> </v>
      </c>
      <c r="I1793" s="26" t="str">
        <f>IF(OR(E1793="",E1793="!!!",F1793="NEW"),"",INDEX(B1792:B$2,-1+SUMPRODUCT(MAX(ROW(E1792:E$2)*(E1793=E1792:E$2)))))</f>
        <v> </v>
      </c>
      <c r="J1793" s="26" t="str">
        <f>IF(OR(E1793="",E1793="!!!",F1793="NEW"),"",COUNTBLANK(OFFSET(A$1,,,SUMPRODUCT(MAX(ROW(E$2:E1793)*(E1793=E$2:E1793)))))-COUNTBLANK(OFFSET(A$1,,,SUMPRODUCT(MAX(ROW(E$1:E1792)*(E2=E$1:E1792))))))</f>
        <v> </v>
      </c>
      <c r="K1793" s="26" t="str">
        <f>IF(OR(E1793="",E1793="!!!",F1793="NEW"),"",INDEX(J$1:J1792,SUMPRODUCT(MAX(ROW(E$1:E1792)*(E1793=E$1:E1792)))))</f>
        <v> </v>
      </c>
      <c r="L1793" s="27"/>
    </row>
    <row r="1794" spans="1:12">
      <c r="A1794" s="20" t="s">
        <v>811</v>
      </c>
      <c r="E1794" s="22">
        <f>IF(D1794="?OLD","!!!","")</f>
        <v/>
      </c>
      <c r="F1794" s="23" t="str">
        <f>IF(OR(E1794="",E1794="!!!"),"",IF(NOT(ISNA(VLOOKUP(E1794,E$1:E1793,1,FALSE()))),"OLD",IF(AND(E1794&lt;&gt;"",E1794&lt;&gt;"!!!"),"NEW","")))</f>
        <v> </v>
      </c>
      <c r="G1794" s="24" t="str">
        <f>IF(OR(E1794="",E1794="!!!"),"",IF(OR(J1794=0,AND(J1794=1,K1794=1),AND(J1794=1,I1794="SBJ"),AND(J1794=1,I1794=0)),"?IN_FOCUS",IF(J1794&lt;=2,"?ACTIVATED",IF(J1794&lt;&gt;"","?FAMILIAR",IF(F1794="NEW",IF(ISNA(VLOOKUP(E1794,#REF!,1,FALSE())),"?TYPE_IDENTIFIABLE","?REFERENTIAL"),"_")))))</f>
        <v> </v>
      </c>
      <c r="H1794" s="25" t="str">
        <f>IF(J1794&lt;&gt;1,"",IF(I1794="SBJ","CB","?"))</f>
        <v> </v>
      </c>
      <c r="I1794" s="26" t="str">
        <f>IF(OR(E1794="",E1794="!!!",F1794="NEW"),"",INDEX(B1793:B$2,-1+SUMPRODUCT(MAX(ROW(E1793:E$2)*(E1794=E1793:E$2)))))</f>
        <v> </v>
      </c>
      <c r="J1794" s="26" t="str">
        <f>IF(OR(E1794="",E1794="!!!",F1794="NEW"),"",COUNTBLANK(OFFSET(A$1,,,SUMPRODUCT(MAX(ROW(E$2:E1794)*(E1794=E$2:E1794)))))-COUNTBLANK(OFFSET(A$1,,,SUMPRODUCT(MAX(ROW(E$1:E1793)*(E2=E$1:E1793))))))</f>
        <v> </v>
      </c>
      <c r="K1794" s="26" t="str">
        <f>IF(OR(E1794="",E1794="!!!",F1794="NEW"),"",INDEX(J$1:J1793,SUMPRODUCT(MAX(ROW(E$1:E1793)*(E1794=E$1:E1793)))))</f>
        <v> </v>
      </c>
      <c r="L1794" s="27"/>
    </row>
    <row r="1795" spans="1:12">
      <c r="A1795" s="20" t="s">
        <v>795</v>
      </c>
      <c r="B1795" s="21" t="s">
        <v>736</v>
      </c>
      <c r="C1795" s="21" t="s">
        <v>748</v>
      </c>
      <c r="E1795" s="22">
        <f>IF(D1795="?OLD","!!!","")</f>
        <v/>
      </c>
      <c r="F1795" s="23" t="str">
        <f>IF(OR(E1795="",E1795="!!!"),"",IF(NOT(ISNA(VLOOKUP(E1795,E$1:E1794,1,FALSE()))),"OLD",IF(AND(E1795&lt;&gt;"",E1795&lt;&gt;"!!!"),"NEW","")))</f>
        <v> </v>
      </c>
      <c r="G1795" s="24" t="str">
        <f>IF(OR(E1795="",E1795="!!!"),"",IF(OR(J1795=0,AND(J1795=1,K1795=1),AND(J1795=1,I1795="SBJ"),AND(J1795=1,I1795=0)),"?IN_FOCUS",IF(J1795&lt;=2,"?ACTIVATED",IF(J1795&lt;&gt;"","?FAMILIAR",IF(F1795="NEW",IF(ISNA(VLOOKUP(E1795,#REF!,1,FALSE())),"?TYPE_IDENTIFIABLE","?REFERENTIAL"),"_")))))</f>
        <v> </v>
      </c>
      <c r="H1795" s="25" t="str">
        <f>IF(J1795&lt;&gt;1,"",IF(I1795="SBJ","CB","?"))</f>
        <v> </v>
      </c>
      <c r="I1795" s="26" t="str">
        <f>IF(OR(E1795="",E1795="!!!",F1795="NEW"),"",INDEX(B1794:B$2,-1+SUMPRODUCT(MAX(ROW(E1794:E$2)*(E1795=E1794:E$2)))))</f>
        <v> </v>
      </c>
      <c r="J1795" s="26" t="str">
        <f>IF(OR(E1795="",E1795="!!!",F1795="NEW"),"",COUNTBLANK(OFFSET(A$1,,,SUMPRODUCT(MAX(ROW(E$2:E1795)*(E1795=E$2:E1795)))))-COUNTBLANK(OFFSET(A$1,,,SUMPRODUCT(MAX(ROW(E$1:E1794)*(E2=E$1:E1794))))))</f>
        <v> </v>
      </c>
      <c r="K1795" s="26" t="str">
        <f>IF(OR(E1795="",E1795="!!!",F1795="NEW"),"",INDEX(J$1:J1794,SUMPRODUCT(MAX(ROW(E$1:E1794)*(E1795=E$1:E1794)))))</f>
        <v> </v>
      </c>
      <c r="L1795" s="27"/>
    </row>
    <row r="1796" spans="1:12">
      <c r="A1796" s="20" t="s">
        <v>246</v>
      </c>
      <c r="E1796" s="22">
        <f>IF(D1796="?OLD","!!!","")</f>
        <v/>
      </c>
      <c r="F1796" s="23" t="str">
        <f>IF(OR(E1796="",E1796="!!!"),"",IF(NOT(ISNA(VLOOKUP(E1796,E$1:E1795,1,FALSE()))),"OLD",IF(AND(E1796&lt;&gt;"",E1796&lt;&gt;"!!!"),"NEW","")))</f>
        <v> </v>
      </c>
      <c r="G1796" s="24" t="str">
        <f>IF(OR(E1796="",E1796="!!!"),"",IF(OR(J1796=0,AND(J1796=1,K1796=1),AND(J1796=1,I1796="SBJ"),AND(J1796=1,I1796=0)),"?IN_FOCUS",IF(J1796&lt;=2,"?ACTIVATED",IF(J1796&lt;&gt;"","?FAMILIAR",IF(F1796="NEW",IF(ISNA(VLOOKUP(E1796,#REF!,1,FALSE())),"?TYPE_IDENTIFIABLE","?REFERENTIAL"),"_")))))</f>
        <v> </v>
      </c>
      <c r="H1796" s="25" t="str">
        <f>IF(J1796&lt;&gt;1,"",IF(I1796="SBJ","CB","?"))</f>
        <v> </v>
      </c>
      <c r="I1796" s="26" t="str">
        <f>IF(OR(E1796="",E1796="!!!",F1796="NEW"),"",INDEX(B1795:B$2,-1+SUMPRODUCT(MAX(ROW(E1795:E$2)*(E1796=E1795:E$2)))))</f>
        <v> </v>
      </c>
      <c r="J1796" s="26" t="str">
        <f>IF(OR(E1796="",E1796="!!!",F1796="NEW"),"",COUNTBLANK(OFFSET(A$1,,,SUMPRODUCT(MAX(ROW(E$2:E1796)*(E1796=E$2:E1796)))))-COUNTBLANK(OFFSET(A$1,,,SUMPRODUCT(MAX(ROW(E$1:E1795)*(E2=E$1:E1795))))))</f>
        <v> </v>
      </c>
      <c r="K1796" s="26" t="str">
        <f>IF(OR(E1796="",E1796="!!!",F1796="NEW"),"",INDEX(J$1:J1795,SUMPRODUCT(MAX(ROW(E$1:E1795)*(E1796=E$1:E1795)))))</f>
        <v> </v>
      </c>
      <c r="L1796" s="27"/>
    </row>
    <row r="1797" spans="1:12">
      <c r="A1797" s="20"/>
    </row>
    <row r="1798" spans="1:12">
      <c r="A1798" s="20" t="s">
        <v>1473</v>
      </c>
    </row>
    <row r="1799" spans="1:12">
      <c r="A1799" s="20" t="s">
        <v>836</v>
      </c>
      <c r="B1799" s="21" t="s">
        <v>728</v>
      </c>
      <c r="C1799" s="21" t="s">
        <v>729</v>
      </c>
      <c r="D1799" s="21" t="s">
        <v>730</v>
      </c>
      <c r="E1799" s="22">
        <f>IF(D1799="?OLD","!!!","")</f>
        <v/>
      </c>
      <c r="F1799" s="23" t="str">
        <f>IF(OR(E1799="",E1799="!!!"),"",IF(NOT(ISNA(VLOOKUP(E1799,E$1:E1798,1,FALSE()))),"OLD",IF(AND(E1799&lt;&gt;"",E1799&lt;&gt;"!!!"),"NEW","")))</f>
        <v> </v>
      </c>
      <c r="G1799" s="24" t="str">
        <f>IF(OR(E1799="",E1799="!!!"),"",IF(OR(J1799=0,AND(J1799=1,K1799=1),AND(J1799=1,I1799="SBJ"),AND(J1799=1,I1799=0)),"?IN_FOCUS",IF(J1799&lt;=2,"?ACTIVATED",IF(J1799&lt;&gt;"","?FAMILIAR",IF(F1799="NEW",IF(ISNA(VLOOKUP(E1799,#REF!,1,FALSE())),"?TYPE_IDENTIFIABLE","?REFERENTIAL"),"_")))))</f>
        <v> </v>
      </c>
      <c r="H1799" s="25" t="str">
        <f>IF(J1799&lt;&gt;1,"",IF(I1799="SBJ","CB","?"))</f>
        <v> </v>
      </c>
      <c r="I1799" s="26" t="str">
        <f>IF(OR(E1799="",E1799="!!!",F1799="NEW"),"",INDEX(B1798:B$2,-1+SUMPRODUCT(MAX(ROW(E1798:E$2)*(E1799=E1798:E$2)))))</f>
        <v> </v>
      </c>
      <c r="J1799" s="26" t="str">
        <f>IF(OR(E1799="",E1799="!!!",F1799="NEW"),"",COUNTBLANK(OFFSET(A$1,,,SUMPRODUCT(MAX(ROW(E$2:E1799)*(E1799=E$2:E1799)))))-COUNTBLANK(OFFSET(A$1,,,SUMPRODUCT(MAX(ROW(E$1:E1798)*(E2=E$1:E1798))))))</f>
        <v> </v>
      </c>
      <c r="K1799" s="26" t="str">
        <f>IF(OR(E1799="",E1799="!!!",F1799="NEW"),"",INDEX(J$1:J1798,SUMPRODUCT(MAX(ROW(E$1:E1798)*(E1799=E$1:E1798)))))</f>
        <v> </v>
      </c>
      <c r="L1799" s="27"/>
    </row>
    <row r="1800" spans="1:12">
      <c r="A1800" s="20" t="s">
        <v>811</v>
      </c>
      <c r="E1800" s="22">
        <f>IF(D1800="?OLD","!!!","")</f>
        <v/>
      </c>
      <c r="F1800" s="23" t="str">
        <f>IF(OR(E1800="",E1800="!!!"),"",IF(NOT(ISNA(VLOOKUP(E1800,E$1:E1799,1,FALSE()))),"OLD",IF(AND(E1800&lt;&gt;"",E1800&lt;&gt;"!!!"),"NEW","")))</f>
        <v> </v>
      </c>
      <c r="G1800" s="24" t="str">
        <f>IF(OR(E1800="",E1800="!!!"),"",IF(OR(J1800=0,AND(J1800=1,K1800=1),AND(J1800=1,I1800="SBJ"),AND(J1800=1,I1800=0)),"?IN_FOCUS",IF(J1800&lt;=2,"?ACTIVATED",IF(J1800&lt;&gt;"","?FAMILIAR",IF(F1800="NEW",IF(ISNA(VLOOKUP(E1800,#REF!,1,FALSE())),"?TYPE_IDENTIFIABLE","?REFERENTIAL"),"_")))))</f>
        <v> </v>
      </c>
      <c r="H1800" s="25" t="str">
        <f>IF(J1800&lt;&gt;1,"",IF(I1800="SBJ","CB","?"))</f>
        <v> </v>
      </c>
      <c r="I1800" s="26" t="str">
        <f>IF(OR(E1800="",E1800="!!!",F1800="NEW"),"",INDEX(B1799:B$2,-1+SUMPRODUCT(MAX(ROW(E1799:E$2)*(E1800=E1799:E$2)))))</f>
        <v> </v>
      </c>
      <c r="J1800" s="26" t="str">
        <f>IF(OR(E1800="",E1800="!!!",F1800="NEW"),"",COUNTBLANK(OFFSET(A$1,,,SUMPRODUCT(MAX(ROW(E$2:E1800)*(E1800=E$2:E1800)))))-COUNTBLANK(OFFSET(A$1,,,SUMPRODUCT(MAX(ROW(E$1:E1799)*(E2=E$1:E1799))))))</f>
        <v> </v>
      </c>
      <c r="K1800" s="26" t="str">
        <f>IF(OR(E1800="",E1800="!!!",F1800="NEW"),"",INDEX(J$1:J1799,SUMPRODUCT(MAX(ROW(E$1:E1799)*(E1800=E$1:E1799)))))</f>
        <v> </v>
      </c>
      <c r="L1800" s="27"/>
    </row>
    <row r="1801" spans="1:12">
      <c r="A1801" s="20" t="s">
        <v>1099</v>
      </c>
      <c r="B1801" s="21" t="s">
        <v>736</v>
      </c>
      <c r="C1801" s="21" t="s">
        <v>748</v>
      </c>
      <c r="E1801" s="22">
        <f>IF(D1801="?OLD","!!!","")</f>
        <v/>
      </c>
      <c r="F1801" s="23" t="str">
        <f>IF(OR(E1801="",E1801="!!!"),"",IF(NOT(ISNA(VLOOKUP(E1801,E$1:E1800,1,FALSE()))),"OLD",IF(AND(E1801&lt;&gt;"",E1801&lt;&gt;"!!!"),"NEW","")))</f>
        <v> </v>
      </c>
      <c r="G1801" s="24" t="str">
        <f>IF(OR(E1801="",E1801="!!!"),"",IF(OR(J1801=0,AND(J1801=1,K1801=1),AND(J1801=1,I1801="SBJ"),AND(J1801=1,I1801=0)),"?IN_FOCUS",IF(J1801&lt;=2,"?ACTIVATED",IF(J1801&lt;&gt;"","?FAMILIAR",IF(F1801="NEW",IF(ISNA(VLOOKUP(E1801,#REF!,1,FALSE())),"?TYPE_IDENTIFIABLE","?REFERENTIAL"),"_")))))</f>
        <v> </v>
      </c>
      <c r="H1801" s="25" t="str">
        <f>IF(J1801&lt;&gt;1,"",IF(I1801="SBJ","CB","?"))</f>
        <v> </v>
      </c>
      <c r="I1801" s="26" t="str">
        <f>IF(OR(E1801="",E1801="!!!",F1801="NEW"),"",INDEX(B1800:B$2,-1+SUMPRODUCT(MAX(ROW(E1800:E$2)*(E1801=E1800:E$2)))))</f>
        <v> </v>
      </c>
      <c r="J1801" s="26" t="str">
        <f>IF(OR(E1801="",E1801="!!!",F1801="NEW"),"",COUNTBLANK(OFFSET(A$1,,,SUMPRODUCT(MAX(ROW(E$2:E1801)*(E1801=E$2:E1801)))))-COUNTBLANK(OFFSET(A$1,,,SUMPRODUCT(MAX(ROW(E$1:E1800)*(E2=E$1:E1800))))))</f>
        <v> </v>
      </c>
      <c r="K1801" s="26" t="str">
        <f>IF(OR(E1801="",E1801="!!!",F1801="NEW"),"",INDEX(J$1:J1800,SUMPRODUCT(MAX(ROW(E$1:E1800)*(E1801=E$1:E1800)))))</f>
        <v> </v>
      </c>
      <c r="L1801" s="27"/>
    </row>
    <row r="1802" spans="1:12">
      <c r="A1802" s="20" t="s">
        <v>246</v>
      </c>
      <c r="E1802" s="22">
        <f>IF(D1802="?OLD","!!!","")</f>
        <v/>
      </c>
      <c r="F1802" s="23" t="str">
        <f>IF(OR(E1802="",E1802="!!!"),"",IF(NOT(ISNA(VLOOKUP(E1802,E$1:E1801,1,FALSE()))),"OLD",IF(AND(E1802&lt;&gt;"",E1802&lt;&gt;"!!!"),"NEW","")))</f>
        <v> </v>
      </c>
      <c r="G1802" s="24" t="str">
        <f>IF(OR(E1802="",E1802="!!!"),"",IF(OR(J1802=0,AND(J1802=1,K1802=1),AND(J1802=1,I1802="SBJ"),AND(J1802=1,I1802=0)),"?IN_FOCUS",IF(J1802&lt;=2,"?ACTIVATED",IF(J1802&lt;&gt;"","?FAMILIAR",IF(F1802="NEW",IF(ISNA(VLOOKUP(E1802,#REF!,1,FALSE())),"?TYPE_IDENTIFIABLE","?REFERENTIAL"),"_")))))</f>
        <v> </v>
      </c>
      <c r="H1802" s="25" t="str">
        <f>IF(J1802&lt;&gt;1,"",IF(I1802="SBJ","CB","?"))</f>
        <v> </v>
      </c>
      <c r="I1802" s="26" t="str">
        <f>IF(OR(E1802="",E1802="!!!",F1802="NEW"),"",INDEX(B1801:B$2,-1+SUMPRODUCT(MAX(ROW(E1801:E$2)*(E1802=E1801:E$2)))))</f>
        <v> </v>
      </c>
      <c r="J1802" s="26" t="str">
        <f>IF(OR(E1802="",E1802="!!!",F1802="NEW"),"",COUNTBLANK(OFFSET(A$1,,,SUMPRODUCT(MAX(ROW(E$2:E1802)*(E1802=E$2:E1802)))))-COUNTBLANK(OFFSET(A$1,,,SUMPRODUCT(MAX(ROW(E$1:E1801)*(E2=E$1:E1801))))))</f>
        <v> </v>
      </c>
      <c r="K1802" s="26" t="str">
        <f>IF(OR(E1802="",E1802="!!!",F1802="NEW"),"",INDEX(J$1:J1801,SUMPRODUCT(MAX(ROW(E$1:E1801)*(E1802=E$1:E1801)))))</f>
        <v> </v>
      </c>
      <c r="L1802" s="27"/>
    </row>
    <row r="1803" spans="1:12">
      <c r="A1803" s="20"/>
    </row>
    <row r="1804" spans="1:12">
      <c r="A1804" s="20" t="s">
        <v>1474</v>
      </c>
    </row>
    <row r="1805" spans="1:12">
      <c r="A1805" s="20" t="s">
        <v>768</v>
      </c>
      <c r="E1805" s="22">
        <f>IF(D1805="?OLD","!!!","")</f>
        <v/>
      </c>
      <c r="F1805" s="23" t="str">
        <f>IF(OR(E1805="",E1805="!!!"),"",IF(NOT(ISNA(VLOOKUP(E1805,E$1:E1804,1,FALSE()))),"OLD",IF(AND(E1805&lt;&gt;"",E1805&lt;&gt;"!!!"),"NEW","")))</f>
        <v> </v>
      </c>
      <c r="G1805" s="24" t="str">
        <f>IF(OR(E1805="",E1805="!!!"),"",IF(OR(J1805=0,AND(J1805=1,K1805=1),AND(J1805=1,I1805="SBJ"),AND(J1805=1,I1805=0)),"?IN_FOCUS",IF(J1805&lt;=2,"?ACTIVATED",IF(J1805&lt;&gt;"","?FAMILIAR",IF(F1805="NEW",IF(ISNA(VLOOKUP(E1805,#REF!,1,FALSE())),"?TYPE_IDENTIFIABLE","?REFERENTIAL"),"_")))))</f>
        <v> </v>
      </c>
      <c r="H1805" s="25" t="str">
        <f>IF(J1805&lt;&gt;1,"",IF(I1805="SBJ","CB","?"))</f>
        <v> </v>
      </c>
      <c r="I1805" s="26" t="str">
        <f>IF(OR(E1805="",E1805="!!!",F1805="NEW"),"",INDEX(B1804:B$2,-1+SUMPRODUCT(MAX(ROW(E1804:E$2)*(E1805=E1804:E$2)))))</f>
        <v> </v>
      </c>
      <c r="J1805" s="26" t="str">
        <f>IF(OR(E1805="",E1805="!!!",F1805="NEW"),"",COUNTBLANK(OFFSET(A$1,,,SUMPRODUCT(MAX(ROW(E$2:E1805)*(E1805=E$2:E1805)))))-COUNTBLANK(OFFSET(A$1,,,SUMPRODUCT(MAX(ROW(E$1:E1804)*(E2=E$1:E1804))))))</f>
        <v> </v>
      </c>
      <c r="K1805" s="26" t="str">
        <f>IF(OR(E1805="",E1805="!!!",F1805="NEW"),"",INDEX(J$1:J1804,SUMPRODUCT(MAX(ROW(E$1:E1804)*(E1805=E$1:E1804)))))</f>
        <v> </v>
      </c>
      <c r="L1805" s="27"/>
    </row>
    <row r="1806" spans="1:12">
      <c r="A1806" s="20" t="s">
        <v>899</v>
      </c>
      <c r="B1806" s="21" t="s">
        <v>728</v>
      </c>
      <c r="C1806" s="21" t="s">
        <v>729</v>
      </c>
      <c r="D1806" s="21" t="s">
        <v>730</v>
      </c>
      <c r="E1806" s="22">
        <f>IF(D1806="?OLD","!!!","")</f>
        <v/>
      </c>
      <c r="F1806" s="23" t="str">
        <f>IF(OR(E1806="",E1806="!!!"),"",IF(NOT(ISNA(VLOOKUP(E1806,E$1:E1805,1,FALSE()))),"OLD",IF(AND(E1806&lt;&gt;"",E1806&lt;&gt;"!!!"),"NEW","")))</f>
        <v> </v>
      </c>
      <c r="G1806" s="24" t="str">
        <f>IF(OR(E1806="",E1806="!!!"),"",IF(OR(J1806=0,AND(J1806=1,K1806=1),AND(J1806=1,I1806="SBJ"),AND(J1806=1,I1806=0)),"?IN_FOCUS",IF(J1806&lt;=2,"?ACTIVATED",IF(J1806&lt;&gt;"","?FAMILIAR",IF(F1806="NEW",IF(ISNA(VLOOKUP(E1806,#REF!,1,FALSE())),"?TYPE_IDENTIFIABLE","?REFERENTIAL"),"_")))))</f>
        <v> </v>
      </c>
      <c r="H1806" s="25" t="str">
        <f>IF(J1806&lt;&gt;1,"",IF(I1806="SBJ","CB","?"))</f>
        <v> </v>
      </c>
      <c r="I1806" s="26" t="str">
        <f>IF(OR(E1806="",E1806="!!!",F1806="NEW"),"",INDEX(B1805:B$2,-1+SUMPRODUCT(MAX(ROW(E1805:E$2)*(E1806=E1805:E$2)))))</f>
        <v> </v>
      </c>
      <c r="J1806" s="26" t="str">
        <f>IF(OR(E1806="",E1806="!!!",F1806="NEW"),"",COUNTBLANK(OFFSET(A$1,,,SUMPRODUCT(MAX(ROW(E$2:E1806)*(E1806=E$2:E1806)))))-COUNTBLANK(OFFSET(A$1,,,SUMPRODUCT(MAX(ROW(E$1:E1805)*(E2=E$1:E1805))))))</f>
        <v> </v>
      </c>
      <c r="K1806" s="26" t="str">
        <f>IF(OR(E1806="",E1806="!!!",F1806="NEW"),"",INDEX(J$1:J1805,SUMPRODUCT(MAX(ROW(E$1:E1805)*(E1806=E$1:E1805)))))</f>
        <v> </v>
      </c>
      <c r="L1806" s="27"/>
    </row>
    <row r="1807" spans="1:12">
      <c r="A1807" s="20" t="s">
        <v>811</v>
      </c>
      <c r="E1807" s="22">
        <f>IF(D1807="?OLD","!!!","")</f>
        <v/>
      </c>
      <c r="F1807" s="23" t="str">
        <f>IF(OR(E1807="",E1807="!!!"),"",IF(NOT(ISNA(VLOOKUP(E1807,E$1:E1806,1,FALSE()))),"OLD",IF(AND(E1807&lt;&gt;"",E1807&lt;&gt;"!!!"),"NEW","")))</f>
        <v> </v>
      </c>
      <c r="G1807" s="24" t="str">
        <f>IF(OR(E1807="",E1807="!!!"),"",IF(OR(J1807=0,AND(J1807=1,K1807=1),AND(J1807=1,I1807="SBJ"),AND(J1807=1,I1807=0)),"?IN_FOCUS",IF(J1807&lt;=2,"?ACTIVATED",IF(J1807&lt;&gt;"","?FAMILIAR",IF(F1807="NEW",IF(ISNA(VLOOKUP(E1807,#REF!,1,FALSE())),"?TYPE_IDENTIFIABLE","?REFERENTIAL"),"_")))))</f>
        <v> </v>
      </c>
      <c r="H1807" s="25" t="str">
        <f>IF(J1807&lt;&gt;1,"",IF(I1807="SBJ","CB","?"))</f>
        <v> </v>
      </c>
      <c r="I1807" s="26" t="str">
        <f>IF(OR(E1807="",E1807="!!!",F1807="NEW"),"",INDEX(B1806:B$2,-1+SUMPRODUCT(MAX(ROW(E1806:E$2)*(E1807=E1806:E$2)))))</f>
        <v> </v>
      </c>
      <c r="J1807" s="26" t="str">
        <f>IF(OR(E1807="",E1807="!!!",F1807="NEW"),"",COUNTBLANK(OFFSET(A$1,,,SUMPRODUCT(MAX(ROW(E$2:E1807)*(E1807=E$2:E1807)))))-COUNTBLANK(OFFSET(A$1,,,SUMPRODUCT(MAX(ROW(E$1:E1806)*(E2=E$1:E1806))))))</f>
        <v> </v>
      </c>
      <c r="K1807" s="26" t="str">
        <f>IF(OR(E1807="",E1807="!!!",F1807="NEW"),"",INDEX(J$1:J1806,SUMPRODUCT(MAX(ROW(E$1:E1806)*(E1807=E$1:E1806)))))</f>
        <v> </v>
      </c>
      <c r="L1807" s="27"/>
    </row>
    <row r="1808" spans="1:12">
      <c r="A1808" s="20" t="s">
        <v>762</v>
      </c>
      <c r="E1808" s="22">
        <f>IF(D1808="?OLD","!!!","")</f>
        <v/>
      </c>
      <c r="F1808" s="23" t="str">
        <f>IF(OR(E1808="",E1808="!!!"),"",IF(NOT(ISNA(VLOOKUP(E1808,E$1:E1807,1,FALSE()))),"OLD",IF(AND(E1808&lt;&gt;"",E1808&lt;&gt;"!!!"),"NEW","")))</f>
        <v> </v>
      </c>
      <c r="G1808" s="24" t="str">
        <f>IF(OR(E1808="",E1808="!!!"),"",IF(OR(J1808=0,AND(J1808=1,K1808=1),AND(J1808=1,I1808="SBJ"),AND(J1808=1,I1808=0)),"?IN_FOCUS",IF(J1808&lt;=2,"?ACTIVATED",IF(J1808&lt;&gt;"","?FAMILIAR",IF(F1808="NEW",IF(ISNA(VLOOKUP(E1808,#REF!,1,FALSE())),"?TYPE_IDENTIFIABLE","?REFERENTIAL"),"_")))))</f>
        <v> </v>
      </c>
      <c r="H1808" s="25" t="str">
        <f>IF(J1808&lt;&gt;1,"",IF(I1808="SBJ","CB","?"))</f>
        <v> </v>
      </c>
      <c r="I1808" s="26" t="str">
        <f>IF(OR(E1808="",E1808="!!!",F1808="NEW"),"",INDEX(B1807:B$2,-1+SUMPRODUCT(MAX(ROW(E1807:E$2)*(E1808=E1807:E$2)))))</f>
        <v> </v>
      </c>
      <c r="J1808" s="26" t="str">
        <f>IF(OR(E1808="",E1808="!!!",F1808="NEW"),"",COUNTBLANK(OFFSET(A$1,,,SUMPRODUCT(MAX(ROW(E$2:E1808)*(E1808=E$2:E1808)))))-COUNTBLANK(OFFSET(A$1,,,SUMPRODUCT(MAX(ROW(E$1:E1807)*(E2=E$1:E1807))))))</f>
        <v> </v>
      </c>
      <c r="K1808" s="26" t="str">
        <f>IF(OR(E1808="",E1808="!!!",F1808="NEW"),"",INDEX(J$1:J1807,SUMPRODUCT(MAX(ROW(E$1:E1807)*(E1808=E$1:E1807)))))</f>
        <v> </v>
      </c>
      <c r="L1808" s="27"/>
    </row>
    <row r="1809" spans="1:12">
      <c r="A1809" s="20" t="s">
        <v>1475</v>
      </c>
      <c r="B1809" s="21" t="s">
        <v>736</v>
      </c>
      <c r="C1809" s="21" t="s">
        <v>737</v>
      </c>
      <c r="E1809" s="22">
        <f>IF(D1809="?OLD","!!!","")</f>
        <v/>
      </c>
      <c r="F1809" s="23" t="str">
        <f>IF(OR(E1809="",E1809="!!!"),"",IF(NOT(ISNA(VLOOKUP(E1809,E$1:E1808,1,FALSE()))),"OLD",IF(AND(E1809&lt;&gt;"",E1809&lt;&gt;"!!!"),"NEW","")))</f>
        <v> </v>
      </c>
      <c r="G1809" s="24" t="str">
        <f>IF(OR(E1809="",E1809="!!!"),"",IF(OR(J1809=0,AND(J1809=1,K1809=1),AND(J1809=1,I1809="SBJ"),AND(J1809=1,I1809=0)),"?IN_FOCUS",IF(J1809&lt;=2,"?ACTIVATED",IF(J1809&lt;&gt;"","?FAMILIAR",IF(F1809="NEW",IF(ISNA(VLOOKUP(E1809,#REF!,1,FALSE())),"?TYPE_IDENTIFIABLE","?REFERENTIAL"),"_")))))</f>
        <v> </v>
      </c>
      <c r="H1809" s="25" t="str">
        <f>IF(J1809&lt;&gt;1,"",IF(I1809="SBJ","CB","?"))</f>
        <v> </v>
      </c>
      <c r="I1809" s="26" t="str">
        <f>IF(OR(E1809="",E1809="!!!",F1809="NEW"),"",INDEX(B1808:B$2,-1+SUMPRODUCT(MAX(ROW(E1808:E$2)*(E1809=E1808:E$2)))))</f>
        <v> </v>
      </c>
      <c r="J1809" s="26" t="str">
        <f>IF(OR(E1809="",E1809="!!!",F1809="NEW"),"",COUNTBLANK(OFFSET(A$1,,,SUMPRODUCT(MAX(ROW(E$2:E1809)*(E1809=E$2:E1809)))))-COUNTBLANK(OFFSET(A$1,,,SUMPRODUCT(MAX(ROW(E$1:E1808)*(E2=E$1:E1808))))))</f>
        <v> </v>
      </c>
      <c r="K1809" s="26" t="str">
        <f>IF(OR(E1809="",E1809="!!!",F1809="NEW"),"",INDEX(J$1:J1808,SUMPRODUCT(MAX(ROW(E$1:E1808)*(E1809=E$1:E1808)))))</f>
        <v> </v>
      </c>
      <c r="L1809" s="27"/>
    </row>
    <row r="1810" spans="1:12">
      <c r="A1810" s="20" t="s">
        <v>759</v>
      </c>
      <c r="E1810" s="22">
        <f>IF(D1810="?OLD","!!!","")</f>
        <v/>
      </c>
      <c r="F1810" s="23" t="str">
        <f>IF(OR(E1810="",E1810="!!!"),"",IF(NOT(ISNA(VLOOKUP(E1810,E$1:E1809,1,FALSE()))),"OLD",IF(AND(E1810&lt;&gt;"",E1810&lt;&gt;"!!!"),"NEW","")))</f>
        <v> </v>
      </c>
      <c r="G1810" s="24" t="str">
        <f>IF(OR(E1810="",E1810="!!!"),"",IF(OR(J1810=0,AND(J1810=1,K1810=1),AND(J1810=1,I1810="SBJ"),AND(J1810=1,I1810=0)),"?IN_FOCUS",IF(J1810&lt;=2,"?ACTIVATED",IF(J1810&lt;&gt;"","?FAMILIAR",IF(F1810="NEW",IF(ISNA(VLOOKUP(E1810,#REF!,1,FALSE())),"?TYPE_IDENTIFIABLE","?REFERENTIAL"),"_")))))</f>
        <v> </v>
      </c>
      <c r="H1810" s="25" t="str">
        <f>IF(J1810&lt;&gt;1,"",IF(I1810="SBJ","CB","?"))</f>
        <v> </v>
      </c>
      <c r="I1810" s="26" t="str">
        <f>IF(OR(E1810="",E1810="!!!",F1810="NEW"),"",INDEX(B1809:B$2,-1+SUMPRODUCT(MAX(ROW(E1809:E$2)*(E1810=E1809:E$2)))))</f>
        <v> </v>
      </c>
      <c r="J1810" s="26" t="str">
        <f>IF(OR(E1810="",E1810="!!!",F1810="NEW"),"",COUNTBLANK(OFFSET(A$1,,,SUMPRODUCT(MAX(ROW(E$2:E1810)*(E1810=E$2:E1810)))))-COUNTBLANK(OFFSET(A$1,,,SUMPRODUCT(MAX(ROW(E$1:E1809)*(E2=E$1:E1809))))))</f>
        <v> </v>
      </c>
      <c r="K1810" s="26" t="str">
        <f>IF(OR(E1810="",E1810="!!!",F1810="NEW"),"",INDEX(J$1:J1809,SUMPRODUCT(MAX(ROW(E$1:E1809)*(E1810=E$1:E1809)))))</f>
        <v> </v>
      </c>
      <c r="L1810" s="27"/>
    </row>
    <row r="1811" spans="1:12">
      <c r="A1811" s="20" t="s">
        <v>813</v>
      </c>
      <c r="B1811" s="21" t="s">
        <v>791</v>
      </c>
      <c r="E1811" s="22">
        <f>IF(D1811="?OLD","!!!","")</f>
        <v/>
      </c>
      <c r="F1811" s="23" t="str">
        <f>IF(OR(E1811="",E1811="!!!"),"",IF(NOT(ISNA(VLOOKUP(E1811,E$1:E1810,1,FALSE()))),"OLD",IF(AND(E1811&lt;&gt;"",E1811&lt;&gt;"!!!"),"NEW","")))</f>
        <v> </v>
      </c>
      <c r="G1811" s="24" t="str">
        <f>IF(OR(E1811="",E1811="!!!"),"",IF(OR(J1811=0,AND(J1811=1,K1811=1),AND(J1811=1,I1811="SBJ"),AND(J1811=1,I1811=0)),"?IN_FOCUS",IF(J1811&lt;=2,"?ACTIVATED",IF(J1811&lt;&gt;"","?FAMILIAR",IF(F1811="NEW",IF(ISNA(VLOOKUP(E1811,#REF!,1,FALSE())),"?TYPE_IDENTIFIABLE","?REFERENTIAL"),"_")))))</f>
        <v> </v>
      </c>
      <c r="H1811" s="25" t="str">
        <f>IF(J1811&lt;&gt;1,"",IF(I1811="SBJ","CB","?"))</f>
        <v> </v>
      </c>
      <c r="I1811" s="26" t="str">
        <f>IF(OR(E1811="",E1811="!!!",F1811="NEW"),"",INDEX(B1810:B$2,-1+SUMPRODUCT(MAX(ROW(E1810:E$2)*(E1811=E1810:E$2)))))</f>
        <v> </v>
      </c>
      <c r="J1811" s="26" t="str">
        <f>IF(OR(E1811="",E1811="!!!",F1811="NEW"),"",COUNTBLANK(OFFSET(A$1,,,SUMPRODUCT(MAX(ROW(E$2:E1811)*(E1811=E$2:E1811)))))-COUNTBLANK(OFFSET(A$1,,,SUMPRODUCT(MAX(ROW(E$1:E1810)*(E2=E$1:E1810))))))</f>
        <v> </v>
      </c>
      <c r="K1811" s="26" t="str">
        <f>IF(OR(E1811="",E1811="!!!",F1811="NEW"),"",INDEX(J$1:J1810,SUMPRODUCT(MAX(ROW(E$1:E1810)*(E1811=E$1:E1810)))))</f>
        <v> </v>
      </c>
      <c r="L1811" s="27"/>
    </row>
    <row r="1812" spans="1:12">
      <c r="A1812" s="20" t="s">
        <v>792</v>
      </c>
      <c r="B1812" s="21" t="s">
        <v>791</v>
      </c>
      <c r="C1812" s="21" t="s">
        <v>729</v>
      </c>
      <c r="D1812" s="21" t="s">
        <v>730</v>
      </c>
      <c r="E1812" s="22">
        <f>IF(D1812="?OLD","!!!","")</f>
        <v/>
      </c>
      <c r="F1812" s="23" t="str">
        <f>IF(OR(E1812="",E1812="!!!"),"",IF(NOT(ISNA(VLOOKUP(E1812,E$1:E1811,1,FALSE()))),"OLD",IF(AND(E1812&lt;&gt;"",E1812&lt;&gt;"!!!"),"NEW","")))</f>
        <v> </v>
      </c>
      <c r="G1812" s="24" t="str">
        <f>IF(OR(E1812="",E1812="!!!"),"",IF(OR(J1812=0,AND(J1812=1,K1812=1),AND(J1812=1,I1812="SBJ"),AND(J1812=1,I1812=0)),"?IN_FOCUS",IF(J1812&lt;=2,"?ACTIVATED",IF(J1812&lt;&gt;"","?FAMILIAR",IF(F1812="NEW",IF(ISNA(VLOOKUP(E1812,#REF!,1,FALSE())),"?TYPE_IDENTIFIABLE","?REFERENTIAL"),"_")))))</f>
        <v> </v>
      </c>
      <c r="H1812" s="25" t="str">
        <f>IF(J1812&lt;&gt;1,"",IF(I1812="SBJ","CB","?"))</f>
        <v> </v>
      </c>
      <c r="I1812" s="26" t="str">
        <f>IF(OR(E1812="",E1812="!!!",F1812="NEW"),"",INDEX(B1811:B$2,-1+SUMPRODUCT(MAX(ROW(E1811:E$2)*(E1812=E1811:E$2)))))</f>
        <v> </v>
      </c>
      <c r="J1812" s="26" t="str">
        <f>IF(OR(E1812="",E1812="!!!",F1812="NEW"),"",COUNTBLANK(OFFSET(A$1,,,SUMPRODUCT(MAX(ROW(E$2:E1812)*(E1812=E$2:E1812)))))-COUNTBLANK(OFFSET(A$1,,,SUMPRODUCT(MAX(ROW(E$1:E1811)*(E2=E$1:E1811))))))</f>
        <v> </v>
      </c>
      <c r="K1812" s="26" t="str">
        <f>IF(OR(E1812="",E1812="!!!",F1812="NEW"),"",INDEX(J$1:J1811,SUMPRODUCT(MAX(ROW(E$1:E1811)*(E1812=E$1:E1811)))))</f>
        <v> </v>
      </c>
      <c r="L1812" s="27"/>
    </row>
    <row r="1813" spans="1:12">
      <c r="A1813" s="20" t="s">
        <v>1476</v>
      </c>
      <c r="B1813" s="21" t="s">
        <v>796</v>
      </c>
      <c r="C1813" s="21" t="s">
        <v>740</v>
      </c>
      <c r="D1813" s="21" t="s">
        <v>730</v>
      </c>
      <c r="E1813" s="22">
        <f>IF(D1813="?OLD","!!!","")</f>
        <v/>
      </c>
      <c r="F1813" s="23" t="str">
        <f>IF(OR(E1813="",E1813="!!!"),"",IF(NOT(ISNA(VLOOKUP(E1813,E$1:E1812,1,FALSE()))),"OLD",IF(AND(E1813&lt;&gt;"",E1813&lt;&gt;"!!!"),"NEW","")))</f>
        <v> </v>
      </c>
      <c r="G1813" s="24" t="str">
        <f>IF(OR(E1813="",E1813="!!!"),"",IF(OR(J1813=0,AND(J1813=1,K1813=1),AND(J1813=1,I1813="SBJ"),AND(J1813=1,I1813=0)),"?IN_FOCUS",IF(J1813&lt;=2,"?ACTIVATED",IF(J1813&lt;&gt;"","?FAMILIAR",IF(F1813="NEW",IF(ISNA(VLOOKUP(E1813,#REF!,1,FALSE())),"?TYPE_IDENTIFIABLE","?REFERENTIAL"),"_")))))</f>
        <v> </v>
      </c>
      <c r="H1813" s="25" t="str">
        <f>IF(J1813&lt;&gt;1,"",IF(I1813="SBJ","CB","?"))</f>
        <v> </v>
      </c>
      <c r="I1813" s="26" t="str">
        <f>IF(OR(E1813="",E1813="!!!",F1813="NEW"),"",INDEX(B1812:B$2,-1+SUMPRODUCT(MAX(ROW(E1812:E$2)*(E1813=E1812:E$2)))))</f>
        <v> </v>
      </c>
      <c r="J1813" s="26" t="str">
        <f>IF(OR(E1813="",E1813="!!!",F1813="NEW"),"",COUNTBLANK(OFFSET(A$1,,,SUMPRODUCT(MAX(ROW(E$2:E1813)*(E1813=E$2:E1813)))))-COUNTBLANK(OFFSET(A$1,,,SUMPRODUCT(MAX(ROW(E$1:E1812)*(E2=E$1:E1812))))))</f>
        <v> </v>
      </c>
      <c r="K1813" s="26" t="str">
        <f>IF(OR(E1813="",E1813="!!!",F1813="NEW"),"",INDEX(J$1:J1812,SUMPRODUCT(MAX(ROW(E$1:E1812)*(E1813=E$1:E1812)))))</f>
        <v> </v>
      </c>
      <c r="L1813" s="27"/>
    </row>
    <row r="1814" spans="1:12">
      <c r="A1814" s="20" t="s">
        <v>810</v>
      </c>
      <c r="E1814" s="22">
        <f>IF(D1814="?OLD","!!!","")</f>
        <v/>
      </c>
      <c r="F1814" s="23" t="str">
        <f>IF(OR(E1814="",E1814="!!!"),"",IF(NOT(ISNA(VLOOKUP(E1814,E$1:E1813,1,FALSE()))),"OLD",IF(AND(E1814&lt;&gt;"",E1814&lt;&gt;"!!!"),"NEW","")))</f>
        <v> </v>
      </c>
      <c r="G1814" s="24" t="str">
        <f>IF(OR(E1814="",E1814="!!!"),"",IF(OR(J1814=0,AND(J1814=1,K1814=1),AND(J1814=1,I1814="SBJ"),AND(J1814=1,I1814=0)),"?IN_FOCUS",IF(J1814&lt;=2,"?ACTIVATED",IF(J1814&lt;&gt;"","?FAMILIAR",IF(F1814="NEW",IF(ISNA(VLOOKUP(E1814,#REF!,1,FALSE())),"?TYPE_IDENTIFIABLE","?REFERENTIAL"),"_")))))</f>
        <v> </v>
      </c>
      <c r="H1814" s="25" t="str">
        <f>IF(J1814&lt;&gt;1,"",IF(I1814="SBJ","CB","?"))</f>
        <v> </v>
      </c>
      <c r="I1814" s="26" t="str">
        <f>IF(OR(E1814="",E1814="!!!",F1814="NEW"),"",INDEX(B1813:B$2,-1+SUMPRODUCT(MAX(ROW(E1813:E$2)*(E1814=E1813:E$2)))))</f>
        <v> </v>
      </c>
      <c r="J1814" s="26" t="str">
        <f>IF(OR(E1814="",E1814="!!!",F1814="NEW"),"",COUNTBLANK(OFFSET(A$1,,,SUMPRODUCT(MAX(ROW(E$2:E1814)*(E1814=E$2:E1814)))))-COUNTBLANK(OFFSET(A$1,,,SUMPRODUCT(MAX(ROW(E$1:E1813)*(E2=E$1:E1813))))))</f>
        <v> </v>
      </c>
      <c r="K1814" s="26" t="str">
        <f>IF(OR(E1814="",E1814="!!!",F1814="NEW"),"",INDEX(J$1:J1813,SUMPRODUCT(MAX(ROW(E$1:E1813)*(E1814=E$1:E1813)))))</f>
        <v> </v>
      </c>
      <c r="L1814" s="27"/>
    </row>
    <row r="1815" spans="1:12">
      <c r="A1815" s="20" t="s">
        <v>643</v>
      </c>
      <c r="E1815" s="22">
        <f>IF(D1815="?OLD","!!!","")</f>
        <v/>
      </c>
      <c r="F1815" s="23" t="str">
        <f>IF(OR(E1815="",E1815="!!!"),"",IF(NOT(ISNA(VLOOKUP(E1815,E$1:E1814,1,FALSE()))),"OLD",IF(AND(E1815&lt;&gt;"",E1815&lt;&gt;"!!!"),"NEW","")))</f>
        <v> </v>
      </c>
      <c r="G1815" s="24" t="str">
        <f>IF(OR(E1815="",E1815="!!!"),"",IF(OR(J1815=0,AND(J1815=1,K1815=1),AND(J1815=1,I1815="SBJ"),AND(J1815=1,I1815=0)),"?IN_FOCUS",IF(J1815&lt;=2,"?ACTIVATED",IF(J1815&lt;&gt;"","?FAMILIAR",IF(F1815="NEW",IF(ISNA(VLOOKUP(E1815,#REF!,1,FALSE())),"?TYPE_IDENTIFIABLE","?REFERENTIAL"),"_")))))</f>
        <v> </v>
      </c>
      <c r="H1815" s="25" t="str">
        <f>IF(J1815&lt;&gt;1,"",IF(I1815="SBJ","CB","?"))</f>
        <v> </v>
      </c>
      <c r="I1815" s="26" t="str">
        <f>IF(OR(E1815="",E1815="!!!",F1815="NEW"),"",INDEX(B1814:B$2,-1+SUMPRODUCT(MAX(ROW(E1814:E$2)*(E1815=E1814:E$2)))))</f>
        <v> </v>
      </c>
      <c r="J1815" s="26" t="str">
        <f>IF(OR(E1815="",E1815="!!!",F1815="NEW"),"",COUNTBLANK(OFFSET(A$1,,,SUMPRODUCT(MAX(ROW(E$2:E1815)*(E1815=E$2:E1815)))))-COUNTBLANK(OFFSET(A$1,,,SUMPRODUCT(MAX(ROW(E$1:E1814)*(E2=E$1:E1814))))))</f>
        <v> </v>
      </c>
      <c r="K1815" s="26" t="str">
        <f>IF(OR(E1815="",E1815="!!!",F1815="NEW"),"",INDEX(J$1:J1814,SUMPRODUCT(MAX(ROW(E$1:E1814)*(E1815=E$1:E1814)))))</f>
        <v> </v>
      </c>
      <c r="L1815" s="27"/>
    </row>
    <row r="1816" spans="1:12">
      <c r="A1816" s="20" t="s">
        <v>895</v>
      </c>
      <c r="E1816" s="22">
        <f>IF(D1816="?OLD","!!!","")</f>
        <v/>
      </c>
      <c r="F1816" s="23" t="str">
        <f>IF(OR(E1816="",E1816="!!!"),"",IF(NOT(ISNA(VLOOKUP(E1816,E$1:E1815,1,FALSE()))),"OLD",IF(AND(E1816&lt;&gt;"",E1816&lt;&gt;"!!!"),"NEW","")))</f>
        <v> </v>
      </c>
      <c r="G1816" s="24" t="str">
        <f>IF(OR(E1816="",E1816="!!!"),"",IF(OR(J1816=0,AND(J1816=1,K1816=1),AND(J1816=1,I1816="SBJ"),AND(J1816=1,I1816=0)),"?IN_FOCUS",IF(J1816&lt;=2,"?ACTIVATED",IF(J1816&lt;&gt;"","?FAMILIAR",IF(F1816="NEW",IF(ISNA(VLOOKUP(E1816,#REF!,1,FALSE())),"?TYPE_IDENTIFIABLE","?REFERENTIAL"),"_")))))</f>
        <v> </v>
      </c>
      <c r="H1816" s="25" t="str">
        <f>IF(J1816&lt;&gt;1,"",IF(I1816="SBJ","CB","?"))</f>
        <v> </v>
      </c>
      <c r="I1816" s="26" t="str">
        <f>IF(OR(E1816="",E1816="!!!",F1816="NEW"),"",INDEX(B1815:B$2,-1+SUMPRODUCT(MAX(ROW(E1815:E$2)*(E1816=E1815:E$2)))))</f>
        <v> </v>
      </c>
      <c r="J1816" s="26" t="str">
        <f>IF(OR(E1816="",E1816="!!!",F1816="NEW"),"",COUNTBLANK(OFFSET(A$1,,,SUMPRODUCT(MAX(ROW(E$2:E1816)*(E1816=E$2:E1816)))))-COUNTBLANK(OFFSET(A$1,,,SUMPRODUCT(MAX(ROW(E$1:E1815)*(E2=E$1:E1815))))))</f>
        <v> </v>
      </c>
      <c r="K1816" s="26" t="str">
        <f>IF(OR(E1816="",E1816="!!!",F1816="NEW"),"",INDEX(J$1:J1815,SUMPRODUCT(MAX(ROW(E$1:E1815)*(E1816=E$1:E1815)))))</f>
        <v> </v>
      </c>
      <c r="L1816" s="27"/>
    </row>
    <row r="1817" spans="1:12">
      <c r="A1817" s="20" t="s">
        <v>246</v>
      </c>
      <c r="E1817" s="22">
        <f>IF(D1817="?OLD","!!!","")</f>
        <v/>
      </c>
      <c r="F1817" s="23" t="str">
        <f>IF(OR(E1817="",E1817="!!!"),"",IF(NOT(ISNA(VLOOKUP(E1817,E$1:E1816,1,FALSE()))),"OLD",IF(AND(E1817&lt;&gt;"",E1817&lt;&gt;"!!!"),"NEW","")))</f>
        <v> </v>
      </c>
      <c r="G1817" s="24" t="str">
        <f>IF(OR(E1817="",E1817="!!!"),"",IF(OR(J1817=0,AND(J1817=1,K1817=1),AND(J1817=1,I1817="SBJ"),AND(J1817=1,I1817=0)),"?IN_FOCUS",IF(J1817&lt;=2,"?ACTIVATED",IF(J1817&lt;&gt;"","?FAMILIAR",IF(F1817="NEW",IF(ISNA(VLOOKUP(E1817,#REF!,1,FALSE())),"?TYPE_IDENTIFIABLE","?REFERENTIAL"),"_")))))</f>
        <v> </v>
      </c>
      <c r="H1817" s="25" t="str">
        <f>IF(J1817&lt;&gt;1,"",IF(I1817="SBJ","CB","?"))</f>
        <v> </v>
      </c>
      <c r="I1817" s="26" t="str">
        <f>IF(OR(E1817="",E1817="!!!",F1817="NEW"),"",INDEX(B1816:B$2,-1+SUMPRODUCT(MAX(ROW(E1816:E$2)*(E1817=E1816:E$2)))))</f>
        <v> </v>
      </c>
      <c r="J1817" s="26" t="str">
        <f>IF(OR(E1817="",E1817="!!!",F1817="NEW"),"",COUNTBLANK(OFFSET(A$1,,,SUMPRODUCT(MAX(ROW(E$2:E1817)*(E1817=E$2:E1817)))))-COUNTBLANK(OFFSET(A$1,,,SUMPRODUCT(MAX(ROW(E$1:E1816)*(E2=E$1:E1816))))))</f>
        <v> </v>
      </c>
      <c r="K1817" s="26" t="str">
        <f>IF(OR(E1817="",E1817="!!!",F1817="NEW"),"",INDEX(J$1:J1816,SUMPRODUCT(MAX(ROW(E$1:E1816)*(E1817=E$1:E1816)))))</f>
        <v> </v>
      </c>
      <c r="L1817" s="27"/>
    </row>
    <row r="1818" spans="1:12">
      <c r="A1818" s="20"/>
    </row>
    <row r="1819" spans="1:12">
      <c r="A1819" s="20" t="s">
        <v>1477</v>
      </c>
    </row>
    <row r="1820" spans="1:12">
      <c r="A1820" s="20" t="s">
        <v>1478</v>
      </c>
      <c r="E1820" s="22">
        <f>IF(D1820="?OLD","!!!","")</f>
        <v/>
      </c>
      <c r="F1820" s="23" t="str">
        <f>IF(OR(E1820="",E1820="!!!"),"",IF(NOT(ISNA(VLOOKUP(E1820,E$1:E1819,1,FALSE()))),"OLD",IF(AND(E1820&lt;&gt;"",E1820&lt;&gt;"!!!"),"NEW","")))</f>
        <v> </v>
      </c>
      <c r="G1820" s="24" t="str">
        <f>IF(OR(E1820="",E1820="!!!"),"",IF(OR(J1820=0,AND(J1820=1,K1820=1),AND(J1820=1,I1820="SBJ"),AND(J1820=1,I1820=0)),"?IN_FOCUS",IF(J1820&lt;=2,"?ACTIVATED",IF(J1820&lt;&gt;"","?FAMILIAR",IF(F1820="NEW",IF(ISNA(VLOOKUP(E1820,#REF!,1,FALSE())),"?TYPE_IDENTIFIABLE","?REFERENTIAL"),"_")))))</f>
        <v> </v>
      </c>
      <c r="H1820" s="25" t="str">
        <f>IF(J1820&lt;&gt;1,"",IF(I1820="SBJ","CB","?"))</f>
        <v> </v>
      </c>
      <c r="I1820" s="26" t="str">
        <f>IF(OR(E1820="",E1820="!!!",F1820="NEW"),"",INDEX(B1819:B$2,-1+SUMPRODUCT(MAX(ROW(E1819:E$2)*(E1820=E1819:E$2)))))</f>
        <v> </v>
      </c>
      <c r="J1820" s="26" t="str">
        <f>IF(OR(E1820="",E1820="!!!",F1820="NEW"),"",COUNTBLANK(OFFSET(A$1,,,SUMPRODUCT(MAX(ROW(E$2:E1820)*(E1820=E$2:E1820)))))-COUNTBLANK(OFFSET(A$1,,,SUMPRODUCT(MAX(ROW(E$1:E1819)*(E2=E$1:E1819))))))</f>
        <v> </v>
      </c>
      <c r="K1820" s="26" t="str">
        <f>IF(OR(E1820="",E1820="!!!",F1820="NEW"),"",INDEX(J$1:J1819,SUMPRODUCT(MAX(ROW(E$1:E1819)*(E1820=E$1:E1819)))))</f>
        <v> </v>
      </c>
      <c r="L1820" s="27"/>
    </row>
    <row r="1821" spans="1:12">
      <c r="A1821" s="20" t="s">
        <v>759</v>
      </c>
      <c r="E1821" s="22">
        <f>IF(D1821="?OLD","!!!","")</f>
        <v/>
      </c>
      <c r="F1821" s="23" t="str">
        <f>IF(OR(E1821="",E1821="!!!"),"",IF(NOT(ISNA(VLOOKUP(E1821,E$1:E1820,1,FALSE()))),"OLD",IF(AND(E1821&lt;&gt;"",E1821&lt;&gt;"!!!"),"NEW","")))</f>
        <v> </v>
      </c>
      <c r="G1821" s="24" t="str">
        <f>IF(OR(E1821="",E1821="!!!"),"",IF(OR(J1821=0,AND(J1821=1,K1821=1),AND(J1821=1,I1821="SBJ"),AND(J1821=1,I1821=0)),"?IN_FOCUS",IF(J1821&lt;=2,"?ACTIVATED",IF(J1821&lt;&gt;"","?FAMILIAR",IF(F1821="NEW",IF(ISNA(VLOOKUP(E1821,#REF!,1,FALSE())),"?TYPE_IDENTIFIABLE","?REFERENTIAL"),"_")))))</f>
        <v> </v>
      </c>
      <c r="H1821" s="25" t="str">
        <f>IF(J1821&lt;&gt;1,"",IF(I1821="SBJ","CB","?"))</f>
        <v> </v>
      </c>
      <c r="I1821" s="26" t="str">
        <f>IF(OR(E1821="",E1821="!!!",F1821="NEW"),"",INDEX(B1820:B$2,-1+SUMPRODUCT(MAX(ROW(E1820:E$2)*(E1821=E1820:E$2)))))</f>
        <v> </v>
      </c>
      <c r="J1821" s="26" t="str">
        <f>IF(OR(E1821="",E1821="!!!",F1821="NEW"),"",COUNTBLANK(OFFSET(A$1,,,SUMPRODUCT(MAX(ROW(E$2:E1821)*(E1821=E$2:E1821)))))-COUNTBLANK(OFFSET(A$1,,,SUMPRODUCT(MAX(ROW(E$1:E1820)*(E2=E$1:E1820))))))</f>
        <v> </v>
      </c>
      <c r="K1821" s="26" t="str">
        <f>IF(OR(E1821="",E1821="!!!",F1821="NEW"),"",INDEX(J$1:J1820,SUMPRODUCT(MAX(ROW(E$1:E1820)*(E1821=E$1:E1820)))))</f>
        <v> </v>
      </c>
      <c r="L1821" s="27"/>
    </row>
    <row r="1822" spans="1:12">
      <c r="A1822" s="20" t="s">
        <v>300</v>
      </c>
      <c r="E1822" s="22">
        <f>IF(D1822="?OLD","!!!","")</f>
        <v/>
      </c>
      <c r="F1822" s="23" t="str">
        <f>IF(OR(E1822="",E1822="!!!"),"",IF(NOT(ISNA(VLOOKUP(E1822,E$1:E1821,1,FALSE()))),"OLD",IF(AND(E1822&lt;&gt;"",E1822&lt;&gt;"!!!"),"NEW","")))</f>
        <v> </v>
      </c>
      <c r="G1822" s="24" t="str">
        <f>IF(OR(E1822="",E1822="!!!"),"",IF(OR(J1822=0,AND(J1822=1,K1822=1),AND(J1822=1,I1822="SBJ"),AND(J1822=1,I1822=0)),"?IN_FOCUS",IF(J1822&lt;=2,"?ACTIVATED",IF(J1822&lt;&gt;"","?FAMILIAR",IF(F1822="NEW",IF(ISNA(VLOOKUP(E1822,#REF!,1,FALSE())),"?TYPE_IDENTIFIABLE","?REFERENTIAL"),"_")))))</f>
        <v> </v>
      </c>
      <c r="H1822" s="25" t="str">
        <f>IF(J1822&lt;&gt;1,"",IF(I1822="SBJ","CB","?"))</f>
        <v> </v>
      </c>
      <c r="I1822" s="26" t="str">
        <f>IF(OR(E1822="",E1822="!!!",F1822="NEW"),"",INDEX(B1821:B$2,-1+SUMPRODUCT(MAX(ROW(E1821:E$2)*(E1822=E1821:E$2)))))</f>
        <v> </v>
      </c>
      <c r="J1822" s="26" t="str">
        <f>IF(OR(E1822="",E1822="!!!",F1822="NEW"),"",COUNTBLANK(OFFSET(A$1,,,SUMPRODUCT(MAX(ROW(E$2:E1822)*(E1822=E$2:E1822)))))-COUNTBLANK(OFFSET(A$1,,,SUMPRODUCT(MAX(ROW(E$1:E1821)*(E2=E$1:E1821))))))</f>
        <v> </v>
      </c>
      <c r="K1822" s="26" t="str">
        <f>IF(OR(E1822="",E1822="!!!",F1822="NEW"),"",INDEX(J$1:J1821,SUMPRODUCT(MAX(ROW(E$1:E1821)*(E1822=E$1:E1821)))))</f>
        <v> </v>
      </c>
      <c r="L1822" s="27"/>
    </row>
    <row r="1823" spans="1:12">
      <c r="A1823" s="20" t="s">
        <v>834</v>
      </c>
      <c r="B1823" s="21" t="s">
        <v>728</v>
      </c>
      <c r="C1823" s="21" t="s">
        <v>729</v>
      </c>
      <c r="D1823" s="21" t="s">
        <v>730</v>
      </c>
      <c r="E1823" s="22">
        <f>IF(D1823="?OLD","!!!","")</f>
        <v/>
      </c>
      <c r="F1823" s="23" t="str">
        <f>IF(OR(E1823="",E1823="!!!"),"",IF(NOT(ISNA(VLOOKUP(E1823,E$1:E1822,1,FALSE()))),"OLD",IF(AND(E1823&lt;&gt;"",E1823&lt;&gt;"!!!"),"NEW","")))</f>
        <v> </v>
      </c>
      <c r="G1823" s="24" t="str">
        <f>IF(OR(E1823="",E1823="!!!"),"",IF(OR(J1823=0,AND(J1823=1,K1823=1),AND(J1823=1,I1823="SBJ"),AND(J1823=1,I1823=0)),"?IN_FOCUS",IF(J1823&lt;=2,"?ACTIVATED",IF(J1823&lt;&gt;"","?FAMILIAR",IF(F1823="NEW",IF(ISNA(VLOOKUP(E1823,#REF!,1,FALSE())),"?TYPE_IDENTIFIABLE","?REFERENTIAL"),"_")))))</f>
        <v> </v>
      </c>
      <c r="H1823" s="25" t="str">
        <f>IF(J1823&lt;&gt;1,"",IF(I1823="SBJ","CB","?"))</f>
        <v> </v>
      </c>
      <c r="I1823" s="26" t="str">
        <f>IF(OR(E1823="",E1823="!!!",F1823="NEW"),"",INDEX(B1822:B$2,-1+SUMPRODUCT(MAX(ROW(E1822:E$2)*(E1823=E1822:E$2)))))</f>
        <v> </v>
      </c>
      <c r="J1823" s="26" t="str">
        <f>IF(OR(E1823="",E1823="!!!",F1823="NEW"),"",COUNTBLANK(OFFSET(A$1,,,SUMPRODUCT(MAX(ROW(E$2:E1823)*(E1823=E$2:E1823)))))-COUNTBLANK(OFFSET(A$1,,,SUMPRODUCT(MAX(ROW(E$1:E1822)*(E2=E$1:E1822))))))</f>
        <v> </v>
      </c>
      <c r="K1823" s="26" t="str">
        <f>IF(OR(E1823="",E1823="!!!",F1823="NEW"),"",INDEX(J$1:J1822,SUMPRODUCT(MAX(ROW(E$1:E1822)*(E1823=E$1:E1822)))))</f>
        <v> </v>
      </c>
      <c r="L1823" s="27"/>
    </row>
    <row r="1824" spans="1:12">
      <c r="A1824" s="20" t="s">
        <v>759</v>
      </c>
      <c r="E1824" s="22">
        <f>IF(D1824="?OLD","!!!","")</f>
        <v/>
      </c>
      <c r="F1824" s="23" t="str">
        <f>IF(OR(E1824="",E1824="!!!"),"",IF(NOT(ISNA(VLOOKUP(E1824,E$1:E1823,1,FALSE()))),"OLD",IF(AND(E1824&lt;&gt;"",E1824&lt;&gt;"!!!"),"NEW","")))</f>
        <v> </v>
      </c>
      <c r="G1824" s="24" t="str">
        <f>IF(OR(E1824="",E1824="!!!"),"",IF(OR(J1824=0,AND(J1824=1,K1824=1),AND(J1824=1,I1824="SBJ"),AND(J1824=1,I1824=0)),"?IN_FOCUS",IF(J1824&lt;=2,"?ACTIVATED",IF(J1824&lt;&gt;"","?FAMILIAR",IF(F1824="NEW",IF(ISNA(VLOOKUP(E1824,#REF!,1,FALSE())),"?TYPE_IDENTIFIABLE","?REFERENTIAL"),"_")))))</f>
        <v> </v>
      </c>
      <c r="H1824" s="25" t="str">
        <f>IF(J1824&lt;&gt;1,"",IF(I1824="SBJ","CB","?"))</f>
        <v> </v>
      </c>
      <c r="I1824" s="26" t="str">
        <f>IF(OR(E1824="",E1824="!!!",F1824="NEW"),"",INDEX(B1823:B$2,-1+SUMPRODUCT(MAX(ROW(E1823:E$2)*(E1824=E1823:E$2)))))</f>
        <v> </v>
      </c>
      <c r="J1824" s="26" t="str">
        <f>IF(OR(E1824="",E1824="!!!",F1824="NEW"),"",COUNTBLANK(OFFSET(A$1,,,SUMPRODUCT(MAX(ROW(E$2:E1824)*(E1824=E$2:E1824)))))-COUNTBLANK(OFFSET(A$1,,,SUMPRODUCT(MAX(ROW(E$1:E1823)*(E2=E$1:E1823))))))</f>
        <v> </v>
      </c>
      <c r="K1824" s="26" t="str">
        <f>IF(OR(E1824="",E1824="!!!",F1824="NEW"),"",INDEX(J$1:J1823,SUMPRODUCT(MAX(ROW(E$1:E1823)*(E1824=E$1:E1823)))))</f>
        <v> </v>
      </c>
      <c r="L1824" s="27"/>
    </row>
    <row r="1825" spans="1:12">
      <c r="A1825" s="20" t="s">
        <v>750</v>
      </c>
      <c r="B1825" s="21" t="s">
        <v>796</v>
      </c>
      <c r="C1825" s="21" t="s">
        <v>729</v>
      </c>
      <c r="D1825" s="21" t="s">
        <v>730</v>
      </c>
      <c r="E1825" s="22">
        <f>IF(D1825="?OLD","!!!","")</f>
        <v/>
      </c>
      <c r="F1825" s="23" t="str">
        <f>IF(OR(E1825="",E1825="!!!"),"",IF(NOT(ISNA(VLOOKUP(E1825,E$1:E1824,1,FALSE()))),"OLD",IF(AND(E1825&lt;&gt;"",E1825&lt;&gt;"!!!"),"NEW","")))</f>
        <v> </v>
      </c>
      <c r="G1825" s="24" t="str">
        <f>IF(OR(E1825="",E1825="!!!"),"",IF(OR(J1825=0,AND(J1825=1,K1825=1),AND(J1825=1,I1825="SBJ"),AND(J1825=1,I1825=0)),"?IN_FOCUS",IF(J1825&lt;=2,"?ACTIVATED",IF(J1825&lt;&gt;"","?FAMILIAR",IF(F1825="NEW",IF(ISNA(VLOOKUP(E1825,#REF!,1,FALSE())),"?TYPE_IDENTIFIABLE","?REFERENTIAL"),"_")))))</f>
        <v> </v>
      </c>
      <c r="H1825" s="25" t="str">
        <f>IF(J1825&lt;&gt;1,"",IF(I1825="SBJ","CB","?"))</f>
        <v> </v>
      </c>
      <c r="I1825" s="26" t="str">
        <f>IF(OR(E1825="",E1825="!!!",F1825="NEW"),"",INDEX(B1824:B$2,-1+SUMPRODUCT(MAX(ROW(E1824:E$2)*(E1825=E1824:E$2)))))</f>
        <v> </v>
      </c>
      <c r="J1825" s="26" t="str">
        <f>IF(OR(E1825="",E1825="!!!",F1825="NEW"),"",COUNTBLANK(OFFSET(A$1,,,SUMPRODUCT(MAX(ROW(E$2:E1825)*(E1825=E$2:E1825)))))-COUNTBLANK(OFFSET(A$1,,,SUMPRODUCT(MAX(ROW(E$1:E1824)*(E2=E$1:E1824))))))</f>
        <v> </v>
      </c>
      <c r="K1825" s="26" t="str">
        <f>IF(OR(E1825="",E1825="!!!",F1825="NEW"),"",INDEX(J$1:J1824,SUMPRODUCT(MAX(ROW(E$1:E1824)*(E1825=E$1:E1824)))))</f>
        <v> </v>
      </c>
      <c r="L1825" s="27"/>
    </row>
    <row r="1826" spans="1:12">
      <c r="A1826" s="20" t="s">
        <v>895</v>
      </c>
      <c r="E1826" s="22">
        <f>IF(D1826="?OLD","!!!","")</f>
        <v/>
      </c>
      <c r="F1826" s="23" t="str">
        <f>IF(OR(E1826="",E1826="!!!"),"",IF(NOT(ISNA(VLOOKUP(E1826,E$1:E1825,1,FALSE()))),"OLD",IF(AND(E1826&lt;&gt;"",E1826&lt;&gt;"!!!"),"NEW","")))</f>
        <v> </v>
      </c>
      <c r="G1826" s="24" t="str">
        <f>IF(OR(E1826="",E1826="!!!"),"",IF(OR(J1826=0,AND(J1826=1,K1826=1),AND(J1826=1,I1826="SBJ"),AND(J1826=1,I1826=0)),"?IN_FOCUS",IF(J1826&lt;=2,"?ACTIVATED",IF(J1826&lt;&gt;"","?FAMILIAR",IF(F1826="NEW",IF(ISNA(VLOOKUP(E1826,#REF!,1,FALSE())),"?TYPE_IDENTIFIABLE","?REFERENTIAL"),"_")))))</f>
        <v> </v>
      </c>
      <c r="H1826" s="25" t="str">
        <f>IF(J1826&lt;&gt;1,"",IF(I1826="SBJ","CB","?"))</f>
        <v> </v>
      </c>
      <c r="I1826" s="26" t="str">
        <f>IF(OR(E1826="",E1826="!!!",F1826="NEW"),"",INDEX(B1825:B$2,-1+SUMPRODUCT(MAX(ROW(E1825:E$2)*(E1826=E1825:E$2)))))</f>
        <v> </v>
      </c>
      <c r="J1826" s="26" t="str">
        <f>IF(OR(E1826="",E1826="!!!",F1826="NEW"),"",COUNTBLANK(OFFSET(A$1,,,SUMPRODUCT(MAX(ROW(E$2:E1826)*(E1826=E$2:E1826)))))-COUNTBLANK(OFFSET(A$1,,,SUMPRODUCT(MAX(ROW(E$1:E1825)*(E2=E$1:E1825))))))</f>
        <v> </v>
      </c>
      <c r="K1826" s="26" t="str">
        <f>IF(OR(E1826="",E1826="!!!",F1826="NEW"),"",INDEX(J$1:J1825,SUMPRODUCT(MAX(ROW(E$1:E1825)*(E1826=E$1:E1825)))))</f>
        <v> </v>
      </c>
      <c r="L1826" s="27"/>
    </row>
    <row r="1827" spans="1:12">
      <c r="A1827" s="20" t="s">
        <v>792</v>
      </c>
      <c r="B1827" s="21" t="s">
        <v>791</v>
      </c>
      <c r="C1827" s="21" t="s">
        <v>729</v>
      </c>
      <c r="D1827" s="21" t="s">
        <v>730</v>
      </c>
      <c r="E1827" s="22">
        <f>IF(D1827="?OLD","!!!","")</f>
        <v/>
      </c>
      <c r="F1827" s="23" t="str">
        <f>IF(OR(E1827="",E1827="!!!"),"",IF(NOT(ISNA(VLOOKUP(E1827,E$1:E1826,1,FALSE()))),"OLD",IF(AND(E1827&lt;&gt;"",E1827&lt;&gt;"!!!"),"NEW","")))</f>
        <v> </v>
      </c>
      <c r="G1827" s="24" t="str">
        <f>IF(OR(E1827="",E1827="!!!"),"",IF(OR(J1827=0,AND(J1827=1,K1827=1),AND(J1827=1,I1827="SBJ"),AND(J1827=1,I1827=0)),"?IN_FOCUS",IF(J1827&lt;=2,"?ACTIVATED",IF(J1827&lt;&gt;"","?FAMILIAR",IF(F1827="NEW",IF(ISNA(VLOOKUP(E1827,#REF!,1,FALSE())),"?TYPE_IDENTIFIABLE","?REFERENTIAL"),"_")))))</f>
        <v> </v>
      </c>
      <c r="H1827" s="25" t="str">
        <f>IF(J1827&lt;&gt;1,"",IF(I1827="SBJ","CB","?"))</f>
        <v> </v>
      </c>
      <c r="I1827" s="26" t="str">
        <f>IF(OR(E1827="",E1827="!!!",F1827="NEW"),"",INDEX(B1826:B$2,-1+SUMPRODUCT(MAX(ROW(E1826:E$2)*(E1827=E1826:E$2)))))</f>
        <v> </v>
      </c>
      <c r="J1827" s="26" t="str">
        <f>IF(OR(E1827="",E1827="!!!",F1827="NEW"),"",COUNTBLANK(OFFSET(A$1,,,SUMPRODUCT(MAX(ROW(E$2:E1827)*(E1827=E$2:E1827)))))-COUNTBLANK(OFFSET(A$1,,,SUMPRODUCT(MAX(ROW(E$1:E1826)*(E2=E$1:E1826))))))</f>
        <v> </v>
      </c>
      <c r="K1827" s="26" t="str">
        <f>IF(OR(E1827="",E1827="!!!",F1827="NEW"),"",INDEX(J$1:J1826,SUMPRODUCT(MAX(ROW(E$1:E1826)*(E1827=E$1:E1826)))))</f>
        <v> </v>
      </c>
      <c r="L1827" s="27"/>
    </row>
    <row r="1828" spans="1:12">
      <c r="A1828" s="20" t="s">
        <v>922</v>
      </c>
      <c r="E1828" s="22">
        <f>IF(D1828="?OLD","!!!","")</f>
        <v/>
      </c>
      <c r="F1828" s="23" t="str">
        <f>IF(OR(E1828="",E1828="!!!"),"",IF(NOT(ISNA(VLOOKUP(E1828,E$1:E1827,1,FALSE()))),"OLD",IF(AND(E1828&lt;&gt;"",E1828&lt;&gt;"!!!"),"NEW","")))</f>
        <v> </v>
      </c>
      <c r="G1828" s="24" t="str">
        <f>IF(OR(E1828="",E1828="!!!"),"",IF(OR(J1828=0,AND(J1828=1,K1828=1),AND(J1828=1,I1828="SBJ"),AND(J1828=1,I1828=0)),"?IN_FOCUS",IF(J1828&lt;=2,"?ACTIVATED",IF(J1828&lt;&gt;"","?FAMILIAR",IF(F1828="NEW",IF(ISNA(VLOOKUP(E1828,#REF!,1,FALSE())),"?TYPE_IDENTIFIABLE","?REFERENTIAL"),"_")))))</f>
        <v> </v>
      </c>
      <c r="H1828" s="25" t="str">
        <f>IF(J1828&lt;&gt;1,"",IF(I1828="SBJ","CB","?"))</f>
        <v> </v>
      </c>
      <c r="I1828" s="26" t="str">
        <f>IF(OR(E1828="",E1828="!!!",F1828="NEW"),"",INDEX(B1827:B$2,-1+SUMPRODUCT(MAX(ROW(E1827:E$2)*(E1828=E1827:E$2)))))</f>
        <v> </v>
      </c>
      <c r="J1828" s="26" t="str">
        <f>IF(OR(E1828="",E1828="!!!",F1828="NEW"),"",COUNTBLANK(OFFSET(A$1,,,SUMPRODUCT(MAX(ROW(E$2:E1828)*(E1828=E$2:E1828)))))-COUNTBLANK(OFFSET(A$1,,,SUMPRODUCT(MAX(ROW(E$1:E1827)*(E2=E$1:E1827))))))</f>
        <v> </v>
      </c>
      <c r="K1828" s="26" t="str">
        <f>IF(OR(E1828="",E1828="!!!",F1828="NEW"),"",INDEX(J$1:J1827,SUMPRODUCT(MAX(ROW(E$1:E1827)*(E1828=E$1:E1827)))))</f>
        <v> </v>
      </c>
      <c r="L1828" s="27"/>
    </row>
    <row r="1829" spans="1:12">
      <c r="A1829" s="20" t="s">
        <v>1479</v>
      </c>
      <c r="B1829" s="21" t="s">
        <v>791</v>
      </c>
      <c r="C1829" s="21" t="s">
        <v>737</v>
      </c>
      <c r="E1829" s="22">
        <f>IF(D1829="?OLD","!!!","")</f>
        <v/>
      </c>
      <c r="F1829" s="23" t="str">
        <f>IF(OR(E1829="",E1829="!!!"),"",IF(NOT(ISNA(VLOOKUP(E1829,E$1:E1828,1,FALSE()))),"OLD",IF(AND(E1829&lt;&gt;"",E1829&lt;&gt;"!!!"),"NEW","")))</f>
        <v> </v>
      </c>
      <c r="G1829" s="24" t="str">
        <f>IF(OR(E1829="",E1829="!!!"),"",IF(OR(J1829=0,AND(J1829=1,K1829=1),AND(J1829=1,I1829="SBJ"),AND(J1829=1,I1829=0)),"?IN_FOCUS",IF(J1829&lt;=2,"?ACTIVATED",IF(J1829&lt;&gt;"","?FAMILIAR",IF(F1829="NEW",IF(ISNA(VLOOKUP(E1829,#REF!,1,FALSE())),"?TYPE_IDENTIFIABLE","?REFERENTIAL"),"_")))))</f>
        <v> </v>
      </c>
      <c r="H1829" s="25" t="str">
        <f>IF(J1829&lt;&gt;1,"",IF(I1829="SBJ","CB","?"))</f>
        <v> </v>
      </c>
      <c r="I1829" s="26" t="str">
        <f>IF(OR(E1829="",E1829="!!!",F1829="NEW"),"",INDEX(B1828:B$2,-1+SUMPRODUCT(MAX(ROW(E1828:E$2)*(E1829=E1828:E$2)))))</f>
        <v> </v>
      </c>
      <c r="J1829" s="26" t="str">
        <f>IF(OR(E1829="",E1829="!!!",F1829="NEW"),"",COUNTBLANK(OFFSET(A$1,,,SUMPRODUCT(MAX(ROW(E$2:E1829)*(E1829=E$2:E1829)))))-COUNTBLANK(OFFSET(A$1,,,SUMPRODUCT(MAX(ROW(E$1:E1828)*(E2=E$1:E1828))))))</f>
        <v> </v>
      </c>
      <c r="K1829" s="26" t="str">
        <f>IF(OR(E1829="",E1829="!!!",F1829="NEW"),"",INDEX(J$1:J1828,SUMPRODUCT(MAX(ROW(E$1:E1828)*(E1829=E$1:E1828)))))</f>
        <v> </v>
      </c>
      <c r="L1829" s="27"/>
    </row>
    <row r="1830" spans="1:12">
      <c r="A1830" s="20" t="s">
        <v>504</v>
      </c>
      <c r="E1830" s="22">
        <f>IF(D1830="?OLD","!!!","")</f>
        <v/>
      </c>
      <c r="F1830" s="23" t="str">
        <f>IF(OR(E1830="",E1830="!!!"),"",IF(NOT(ISNA(VLOOKUP(E1830,E$1:E1829,1,FALSE()))),"OLD",IF(AND(E1830&lt;&gt;"",E1830&lt;&gt;"!!!"),"NEW","")))</f>
        <v> </v>
      </c>
      <c r="G1830" s="24" t="str">
        <f>IF(OR(E1830="",E1830="!!!"),"",IF(OR(J1830=0,AND(J1830=1,K1830=1),AND(J1830=1,I1830="SBJ"),AND(J1830=1,I1830=0)),"?IN_FOCUS",IF(J1830&lt;=2,"?ACTIVATED",IF(J1830&lt;&gt;"","?FAMILIAR",IF(F1830="NEW",IF(ISNA(VLOOKUP(E1830,#REF!,1,FALSE())),"?TYPE_IDENTIFIABLE","?REFERENTIAL"),"_")))))</f>
        <v> </v>
      </c>
      <c r="H1830" s="25" t="str">
        <f>IF(J1830&lt;&gt;1,"",IF(I1830="SBJ","CB","?"))</f>
        <v> </v>
      </c>
      <c r="I1830" s="26" t="str">
        <f>IF(OR(E1830="",E1830="!!!",F1830="NEW"),"",INDEX(B1829:B$2,-1+SUMPRODUCT(MAX(ROW(E1829:E$2)*(E1830=E1829:E$2)))))</f>
        <v> </v>
      </c>
      <c r="J1830" s="26" t="str">
        <f>IF(OR(E1830="",E1830="!!!",F1830="NEW"),"",COUNTBLANK(OFFSET(A$1,,,SUMPRODUCT(MAX(ROW(E$2:E1830)*(E1830=E$2:E1830)))))-COUNTBLANK(OFFSET(A$1,,,SUMPRODUCT(MAX(ROW(E$1:E1829)*(E2=E$1:E1829))))))</f>
        <v> </v>
      </c>
      <c r="K1830" s="26" t="str">
        <f>IF(OR(E1830="",E1830="!!!",F1830="NEW"),"",INDEX(J$1:J1829,SUMPRODUCT(MAX(ROW(E$1:E1829)*(E1830=E$1:E1829)))))</f>
        <v> </v>
      </c>
      <c r="L1830" s="27"/>
    </row>
    <row r="1831" spans="1:12">
      <c r="A1831" s="20" t="s">
        <v>759</v>
      </c>
      <c r="E1831" s="22">
        <f>IF(D1831="?OLD","!!!","")</f>
        <v/>
      </c>
      <c r="F1831" s="23" t="str">
        <f>IF(OR(E1831="",E1831="!!!"),"",IF(NOT(ISNA(VLOOKUP(E1831,E$1:E1830,1,FALSE()))),"OLD",IF(AND(E1831&lt;&gt;"",E1831&lt;&gt;"!!!"),"NEW","")))</f>
        <v> </v>
      </c>
      <c r="G1831" s="24" t="str">
        <f>IF(OR(E1831="",E1831="!!!"),"",IF(OR(J1831=0,AND(J1831=1,K1831=1),AND(J1831=1,I1831="SBJ"),AND(J1831=1,I1831=0)),"?IN_FOCUS",IF(J1831&lt;=2,"?ACTIVATED",IF(J1831&lt;&gt;"","?FAMILIAR",IF(F1831="NEW",IF(ISNA(VLOOKUP(E1831,#REF!,1,FALSE())),"?TYPE_IDENTIFIABLE","?REFERENTIAL"),"_")))))</f>
        <v> </v>
      </c>
      <c r="H1831" s="25" t="str">
        <f>IF(J1831&lt;&gt;1,"",IF(I1831="SBJ","CB","?"))</f>
        <v> </v>
      </c>
      <c r="I1831" s="26" t="str">
        <f>IF(OR(E1831="",E1831="!!!",F1831="NEW"),"",INDEX(B1830:B$2,-1+SUMPRODUCT(MAX(ROW(E1830:E$2)*(E1831=E1830:E$2)))))</f>
        <v> </v>
      </c>
      <c r="J1831" s="26" t="str">
        <f>IF(OR(E1831="",E1831="!!!",F1831="NEW"),"",COUNTBLANK(OFFSET(A$1,,,SUMPRODUCT(MAX(ROW(E$2:E1831)*(E1831=E$2:E1831)))))-COUNTBLANK(OFFSET(A$1,,,SUMPRODUCT(MAX(ROW(E$1:E1830)*(E2=E$1:E1830))))))</f>
        <v> </v>
      </c>
      <c r="K1831" s="26" t="str">
        <f>IF(OR(E1831="",E1831="!!!",F1831="NEW"),"",INDEX(J$1:J1830,SUMPRODUCT(MAX(ROW(E$1:E1830)*(E1831=E$1:E1830)))))</f>
        <v> </v>
      </c>
      <c r="L1831" s="27"/>
    </row>
    <row r="1832" spans="1:12">
      <c r="A1832" s="20" t="s">
        <v>1107</v>
      </c>
      <c r="E1832" s="22">
        <f>IF(D1832="?OLD","!!!","")</f>
        <v/>
      </c>
      <c r="F1832" s="23" t="str">
        <f>IF(OR(E1832="",E1832="!!!"),"",IF(NOT(ISNA(VLOOKUP(E1832,E$1:E1831,1,FALSE()))),"OLD",IF(AND(E1832&lt;&gt;"",E1832&lt;&gt;"!!!"),"NEW","")))</f>
        <v> </v>
      </c>
      <c r="G1832" s="24" t="str">
        <f>IF(OR(E1832="",E1832="!!!"),"",IF(OR(J1832=0,AND(J1832=1,K1832=1),AND(J1832=1,I1832="SBJ"),AND(J1832=1,I1832=0)),"?IN_FOCUS",IF(J1832&lt;=2,"?ACTIVATED",IF(J1832&lt;&gt;"","?FAMILIAR",IF(F1832="NEW",IF(ISNA(VLOOKUP(E1832,#REF!,1,FALSE())),"?TYPE_IDENTIFIABLE","?REFERENTIAL"),"_")))))</f>
        <v> </v>
      </c>
      <c r="H1832" s="25" t="str">
        <f>IF(J1832&lt;&gt;1,"",IF(I1832="SBJ","CB","?"))</f>
        <v> </v>
      </c>
      <c r="I1832" s="26" t="str">
        <f>IF(OR(E1832="",E1832="!!!",F1832="NEW"),"",INDEX(B1831:B$2,-1+SUMPRODUCT(MAX(ROW(E1831:E$2)*(E1832=E1831:E$2)))))</f>
        <v> </v>
      </c>
      <c r="J1832" s="26" t="str">
        <f>IF(OR(E1832="",E1832="!!!",F1832="NEW"),"",COUNTBLANK(OFFSET(A$1,,,SUMPRODUCT(MAX(ROW(E$2:E1832)*(E1832=E$2:E1832)))))-COUNTBLANK(OFFSET(A$1,,,SUMPRODUCT(MAX(ROW(E$1:E1831)*(E2=E$1:E1831))))))</f>
        <v> </v>
      </c>
      <c r="K1832" s="26" t="str">
        <f>IF(OR(E1832="",E1832="!!!",F1832="NEW"),"",INDEX(J$1:J1831,SUMPRODUCT(MAX(ROW(E$1:E1831)*(E1832=E$1:E1831)))))</f>
        <v> </v>
      </c>
      <c r="L1832" s="27"/>
    </row>
    <row r="1833" spans="1:12">
      <c r="A1833" s="20" t="s">
        <v>776</v>
      </c>
      <c r="B1833" s="21" t="s">
        <v>739</v>
      </c>
      <c r="C1833" s="21" t="s">
        <v>789</v>
      </c>
      <c r="D1833" s="21" t="s">
        <v>730</v>
      </c>
      <c r="E1833" s="22">
        <f>IF(D1833="?OLD","!!!","")</f>
        <v/>
      </c>
      <c r="F1833" s="23" t="str">
        <f>IF(OR(E1833="",E1833="!!!"),"",IF(NOT(ISNA(VLOOKUP(E1833,E$1:E1832,1,FALSE()))),"OLD",IF(AND(E1833&lt;&gt;"",E1833&lt;&gt;"!!!"),"NEW","")))</f>
        <v> </v>
      </c>
      <c r="G1833" s="24" t="str">
        <f>IF(OR(E1833="",E1833="!!!"),"",IF(OR(J1833=0,AND(J1833=1,K1833=1),AND(J1833=1,I1833="SBJ"),AND(J1833=1,I1833=0)),"?IN_FOCUS",IF(J1833&lt;=2,"?ACTIVATED",IF(J1833&lt;&gt;"","?FAMILIAR",IF(F1833="NEW",IF(ISNA(VLOOKUP(E1833,#REF!,1,FALSE())),"?TYPE_IDENTIFIABLE","?REFERENTIAL"),"_")))))</f>
        <v> </v>
      </c>
      <c r="H1833" s="25" t="str">
        <f>IF(J1833&lt;&gt;1,"",IF(I1833="SBJ","CB","?"))</f>
        <v> </v>
      </c>
      <c r="I1833" s="26" t="str">
        <f>IF(OR(E1833="",E1833="!!!",F1833="NEW"),"",INDEX(B1832:B$2,-1+SUMPRODUCT(MAX(ROW(E1832:E$2)*(E1833=E1832:E$2)))))</f>
        <v> </v>
      </c>
      <c r="J1833" s="26" t="str">
        <f>IF(OR(E1833="",E1833="!!!",F1833="NEW"),"",COUNTBLANK(OFFSET(A$1,,,SUMPRODUCT(MAX(ROW(E$2:E1833)*(E1833=E$2:E1833)))))-COUNTBLANK(OFFSET(A$1,,,SUMPRODUCT(MAX(ROW(E$1:E1832)*(E2=E$1:E1832))))))</f>
        <v> </v>
      </c>
      <c r="K1833" s="26" t="str">
        <f>IF(OR(E1833="",E1833="!!!",F1833="NEW"),"",INDEX(J$1:J1832,SUMPRODUCT(MAX(ROW(E$1:E1832)*(E1833=E$1:E1832)))))</f>
        <v> </v>
      </c>
      <c r="L1833" s="27"/>
    </row>
    <row r="1834" spans="1:12">
      <c r="A1834" s="20" t="s">
        <v>859</v>
      </c>
      <c r="B1834" s="21" t="s">
        <v>796</v>
      </c>
      <c r="C1834" s="21" t="s">
        <v>789</v>
      </c>
      <c r="D1834" s="21" t="s">
        <v>730</v>
      </c>
      <c r="E1834" s="22">
        <f>IF(D1834="?OLD","!!!","")</f>
        <v/>
      </c>
      <c r="F1834" s="23" t="str">
        <f>IF(OR(E1834="",E1834="!!!"),"",IF(NOT(ISNA(VLOOKUP(E1834,E$1:E1833,1,FALSE()))),"OLD",IF(AND(E1834&lt;&gt;"",E1834&lt;&gt;"!!!"),"NEW","")))</f>
        <v> </v>
      </c>
      <c r="G1834" s="24" t="str">
        <f>IF(OR(E1834="",E1834="!!!"),"",IF(OR(J1834=0,AND(J1834=1,K1834=1),AND(J1834=1,I1834="SBJ"),AND(J1834=1,I1834=0)),"?IN_FOCUS",IF(J1834&lt;=2,"?ACTIVATED",IF(J1834&lt;&gt;"","?FAMILIAR",IF(F1834="NEW",IF(ISNA(VLOOKUP(E1834,#REF!,1,FALSE())),"?TYPE_IDENTIFIABLE","?REFERENTIAL"),"_")))))</f>
        <v> </v>
      </c>
      <c r="H1834" s="25" t="str">
        <f>IF(J1834&lt;&gt;1,"",IF(I1834="SBJ","CB","?"))</f>
        <v> </v>
      </c>
      <c r="I1834" s="26" t="str">
        <f>IF(OR(E1834="",E1834="!!!",F1834="NEW"),"",INDEX(B1833:B$2,-1+SUMPRODUCT(MAX(ROW(E1833:E$2)*(E1834=E1833:E$2)))))</f>
        <v> </v>
      </c>
      <c r="J1834" s="26" t="str">
        <f>IF(OR(E1834="",E1834="!!!",F1834="NEW"),"",COUNTBLANK(OFFSET(A$1,,,SUMPRODUCT(MAX(ROW(E$2:E1834)*(E1834=E$2:E1834)))))-COUNTBLANK(OFFSET(A$1,,,SUMPRODUCT(MAX(ROW(E$1:E1833)*(E2=E$1:E1833))))))</f>
        <v> </v>
      </c>
      <c r="K1834" s="26" t="str">
        <f>IF(OR(E1834="",E1834="!!!",F1834="NEW"),"",INDEX(J$1:J1833,SUMPRODUCT(MAX(ROW(E$1:E1833)*(E1834=E$1:E1833)))))</f>
        <v> </v>
      </c>
      <c r="L1834" s="27"/>
    </row>
    <row r="1835" spans="1:12">
      <c r="A1835" s="20" t="s">
        <v>885</v>
      </c>
      <c r="E1835" s="22">
        <f>IF(D1835="?OLD","!!!","")</f>
        <v/>
      </c>
      <c r="F1835" s="23" t="str">
        <f>IF(OR(E1835="",E1835="!!!"),"",IF(NOT(ISNA(VLOOKUP(E1835,E$1:E1834,1,FALSE()))),"OLD",IF(AND(E1835&lt;&gt;"",E1835&lt;&gt;"!!!"),"NEW","")))</f>
        <v> </v>
      </c>
      <c r="G1835" s="24" t="str">
        <f>IF(OR(E1835="",E1835="!!!"),"",IF(OR(J1835=0,AND(J1835=1,K1835=1),AND(J1835=1,I1835="SBJ"),AND(J1835=1,I1835=0)),"?IN_FOCUS",IF(J1835&lt;=2,"?ACTIVATED",IF(J1835&lt;&gt;"","?FAMILIAR",IF(F1835="NEW",IF(ISNA(VLOOKUP(E1835,#REF!,1,FALSE())),"?TYPE_IDENTIFIABLE","?REFERENTIAL"),"_")))))</f>
        <v> </v>
      </c>
      <c r="H1835" s="25" t="str">
        <f>IF(J1835&lt;&gt;1,"",IF(I1835="SBJ","CB","?"))</f>
        <v> </v>
      </c>
      <c r="I1835" s="26" t="str">
        <f>IF(OR(E1835="",E1835="!!!",F1835="NEW"),"",INDEX(B1834:B$2,-1+SUMPRODUCT(MAX(ROW(E1834:E$2)*(E1835=E1834:E$2)))))</f>
        <v> </v>
      </c>
      <c r="J1835" s="26" t="str">
        <f>IF(OR(E1835="",E1835="!!!",F1835="NEW"),"",COUNTBLANK(OFFSET(A$1,,,SUMPRODUCT(MAX(ROW(E$2:E1835)*(E1835=E$2:E1835)))))-COUNTBLANK(OFFSET(A$1,,,SUMPRODUCT(MAX(ROW(E$1:E1834)*(E2=E$1:E1834))))))</f>
        <v> </v>
      </c>
      <c r="K1835" s="26" t="str">
        <f>IF(OR(E1835="",E1835="!!!",F1835="NEW"),"",INDEX(J$1:J1834,SUMPRODUCT(MAX(ROW(E$1:E1834)*(E1835=E$1:E1834)))))</f>
        <v> </v>
      </c>
      <c r="L1835" s="27"/>
    </row>
    <row r="1836" spans="1:12">
      <c r="A1836" s="20" t="s">
        <v>1054</v>
      </c>
      <c r="E1836" s="22">
        <f>IF(D1836="?OLD","!!!","")</f>
        <v/>
      </c>
      <c r="F1836" s="23" t="str">
        <f>IF(OR(E1836="",E1836="!!!"),"",IF(NOT(ISNA(VLOOKUP(E1836,E$1:E1835,1,FALSE()))),"OLD",IF(AND(E1836&lt;&gt;"",E1836&lt;&gt;"!!!"),"NEW","")))</f>
        <v> </v>
      </c>
      <c r="G1836" s="24" t="str">
        <f>IF(OR(E1836="",E1836="!!!"),"",IF(OR(J1836=0,AND(J1836=1,K1836=1),AND(J1836=1,I1836="SBJ"),AND(J1836=1,I1836=0)),"?IN_FOCUS",IF(J1836&lt;=2,"?ACTIVATED",IF(J1836&lt;&gt;"","?FAMILIAR",IF(F1836="NEW",IF(ISNA(VLOOKUP(E1836,#REF!,1,FALSE())),"?TYPE_IDENTIFIABLE","?REFERENTIAL"),"_")))))</f>
        <v> </v>
      </c>
      <c r="H1836" s="25" t="str">
        <f>IF(J1836&lt;&gt;1,"",IF(I1836="SBJ","CB","?"))</f>
        <v> </v>
      </c>
      <c r="I1836" s="26" t="str">
        <f>IF(OR(E1836="",E1836="!!!",F1836="NEW"),"",INDEX(B1835:B$2,-1+SUMPRODUCT(MAX(ROW(E1835:E$2)*(E1836=E1835:E$2)))))</f>
        <v> </v>
      </c>
      <c r="J1836" s="26" t="str">
        <f>IF(OR(E1836="",E1836="!!!",F1836="NEW"),"",COUNTBLANK(OFFSET(A$1,,,SUMPRODUCT(MAX(ROW(E$2:E1836)*(E1836=E$2:E1836)))))-COUNTBLANK(OFFSET(A$1,,,SUMPRODUCT(MAX(ROW(E$1:E1835)*(E2=E$1:E1835))))))</f>
        <v> </v>
      </c>
      <c r="K1836" s="26" t="str">
        <f>IF(OR(E1836="",E1836="!!!",F1836="NEW"),"",INDEX(J$1:J1835,SUMPRODUCT(MAX(ROW(E$1:E1835)*(E1836=E$1:E1835)))))</f>
        <v> </v>
      </c>
      <c r="L1836" s="27"/>
    </row>
    <row r="1837" spans="1:12">
      <c r="A1837" s="20" t="s">
        <v>1480</v>
      </c>
      <c r="E1837" s="22">
        <f>IF(D1837="?OLD","!!!","")</f>
        <v/>
      </c>
      <c r="F1837" s="23" t="str">
        <f>IF(OR(E1837="",E1837="!!!"),"",IF(NOT(ISNA(VLOOKUP(E1837,E$1:E1836,1,FALSE()))),"OLD",IF(AND(E1837&lt;&gt;"",E1837&lt;&gt;"!!!"),"NEW","")))</f>
        <v> </v>
      </c>
      <c r="G1837" s="24" t="str">
        <f>IF(OR(E1837="",E1837="!!!"),"",IF(OR(J1837=0,AND(J1837=1,K1837=1),AND(J1837=1,I1837="SBJ"),AND(J1837=1,I1837=0)),"?IN_FOCUS",IF(J1837&lt;=2,"?ACTIVATED",IF(J1837&lt;&gt;"","?FAMILIAR",IF(F1837="NEW",IF(ISNA(VLOOKUP(E1837,#REF!,1,FALSE())),"?TYPE_IDENTIFIABLE","?REFERENTIAL"),"_")))))</f>
        <v> </v>
      </c>
      <c r="H1837" s="25" t="str">
        <f>IF(J1837&lt;&gt;1,"",IF(I1837="SBJ","CB","?"))</f>
        <v> </v>
      </c>
      <c r="I1837" s="26" t="str">
        <f>IF(OR(E1837="",E1837="!!!",F1837="NEW"),"",INDEX(B1836:B$2,-1+SUMPRODUCT(MAX(ROW(E1836:E$2)*(E1837=E1836:E$2)))))</f>
        <v> </v>
      </c>
      <c r="J1837" s="26" t="str">
        <f>IF(OR(E1837="",E1837="!!!",F1837="NEW"),"",COUNTBLANK(OFFSET(A$1,,,SUMPRODUCT(MAX(ROW(E$2:E1837)*(E1837=E$2:E1837)))))-COUNTBLANK(OFFSET(A$1,,,SUMPRODUCT(MAX(ROW(E$1:E1836)*(E2=E$1:E1836))))))</f>
        <v> </v>
      </c>
      <c r="K1837" s="26" t="str">
        <f>IF(OR(E1837="",E1837="!!!",F1837="NEW"),"",INDEX(J$1:J1836,SUMPRODUCT(MAX(ROW(E$1:E1836)*(E1837=E$1:E1836)))))</f>
        <v> </v>
      </c>
      <c r="L1837" s="27"/>
    </row>
    <row r="1838" spans="1:12">
      <c r="A1838" s="20" t="s">
        <v>1246</v>
      </c>
      <c r="B1838" s="21" t="s">
        <v>791</v>
      </c>
      <c r="C1838" s="21" t="s">
        <v>737</v>
      </c>
      <c r="E1838" s="22">
        <f>IF(D1838="?OLD","!!!","")</f>
        <v/>
      </c>
      <c r="F1838" s="23" t="str">
        <f>IF(OR(E1838="",E1838="!!!"),"",IF(NOT(ISNA(VLOOKUP(E1838,E$1:E1837,1,FALSE()))),"OLD",IF(AND(E1838&lt;&gt;"",E1838&lt;&gt;"!!!"),"NEW","")))</f>
        <v> </v>
      </c>
      <c r="G1838" s="24" t="str">
        <f>IF(OR(E1838="",E1838="!!!"),"",IF(OR(J1838=0,AND(J1838=1,K1838=1),AND(J1838=1,I1838="SBJ"),AND(J1838=1,I1838=0)),"?IN_FOCUS",IF(J1838&lt;=2,"?ACTIVATED",IF(J1838&lt;&gt;"","?FAMILIAR",IF(F1838="NEW",IF(ISNA(VLOOKUP(E1838,#REF!,1,FALSE())),"?TYPE_IDENTIFIABLE","?REFERENTIAL"),"_")))))</f>
        <v> </v>
      </c>
      <c r="H1838" s="25" t="str">
        <f>IF(J1838&lt;&gt;1,"",IF(I1838="SBJ","CB","?"))</f>
        <v> </v>
      </c>
      <c r="I1838" s="26" t="str">
        <f>IF(OR(E1838="",E1838="!!!",F1838="NEW"),"",INDEX(B1837:B$2,-1+SUMPRODUCT(MAX(ROW(E1837:E$2)*(E1838=E1837:E$2)))))</f>
        <v> </v>
      </c>
      <c r="J1838" s="26" t="str">
        <f>IF(OR(E1838="",E1838="!!!",F1838="NEW"),"",COUNTBLANK(OFFSET(A$1,,,SUMPRODUCT(MAX(ROW(E$2:E1838)*(E1838=E$2:E1838)))))-COUNTBLANK(OFFSET(A$1,,,SUMPRODUCT(MAX(ROW(E$1:E1837)*(E2=E$1:E1837))))))</f>
        <v> </v>
      </c>
      <c r="K1838" s="26" t="str">
        <f>IF(OR(E1838="",E1838="!!!",F1838="NEW"),"",INDEX(J$1:J1837,SUMPRODUCT(MAX(ROW(E$1:E1837)*(E1838=E$1:E1837)))))</f>
        <v> </v>
      </c>
      <c r="L1838" s="27"/>
    </row>
    <row r="1839" spans="1:12">
      <c r="A1839" s="20" t="s">
        <v>1481</v>
      </c>
      <c r="E1839" s="22">
        <f>IF(D1839="?OLD","!!!","")</f>
        <v/>
      </c>
      <c r="F1839" s="23" t="str">
        <f>IF(OR(E1839="",E1839="!!!"),"",IF(NOT(ISNA(VLOOKUP(E1839,E$1:E1838,1,FALSE()))),"OLD",IF(AND(E1839&lt;&gt;"",E1839&lt;&gt;"!!!"),"NEW","")))</f>
        <v> </v>
      </c>
      <c r="G1839" s="24" t="str">
        <f>IF(OR(E1839="",E1839="!!!"),"",IF(OR(J1839=0,AND(J1839=1,K1839=1),AND(J1839=1,I1839="SBJ"),AND(J1839=1,I1839=0)),"?IN_FOCUS",IF(J1839&lt;=2,"?ACTIVATED",IF(J1839&lt;&gt;"","?FAMILIAR",IF(F1839="NEW",IF(ISNA(VLOOKUP(E1839,#REF!,1,FALSE())),"?TYPE_IDENTIFIABLE","?REFERENTIAL"),"_")))))</f>
        <v> </v>
      </c>
      <c r="H1839" s="25" t="str">
        <f>IF(J1839&lt;&gt;1,"",IF(I1839="SBJ","CB","?"))</f>
        <v> </v>
      </c>
      <c r="I1839" s="26" t="str">
        <f>IF(OR(E1839="",E1839="!!!",F1839="NEW"),"",INDEX(B1838:B$2,-1+SUMPRODUCT(MAX(ROW(E1838:E$2)*(E1839=E1838:E$2)))))</f>
        <v> </v>
      </c>
      <c r="J1839" s="26" t="str">
        <f>IF(OR(E1839="",E1839="!!!",F1839="NEW"),"",COUNTBLANK(OFFSET(A$1,,,SUMPRODUCT(MAX(ROW(E$2:E1839)*(E1839=E$2:E1839)))))-COUNTBLANK(OFFSET(A$1,,,SUMPRODUCT(MAX(ROW(E$1:E1838)*(E2=E$1:E1838))))))</f>
        <v> </v>
      </c>
      <c r="K1839" s="26" t="str">
        <f>IF(OR(E1839="",E1839="!!!",F1839="NEW"),"",INDEX(J$1:J1838,SUMPRODUCT(MAX(ROW(E$1:E1838)*(E1839=E$1:E1838)))))</f>
        <v> </v>
      </c>
      <c r="L1839" s="27"/>
    </row>
    <row r="1840" spans="1:12">
      <c r="A1840" s="20" t="s">
        <v>1482</v>
      </c>
      <c r="E1840" s="22">
        <f>IF(D1840="?OLD","!!!","")</f>
        <v/>
      </c>
      <c r="F1840" s="23" t="str">
        <f>IF(OR(E1840="",E1840="!!!"),"",IF(NOT(ISNA(VLOOKUP(E1840,E$1:E1839,1,FALSE()))),"OLD",IF(AND(E1840&lt;&gt;"",E1840&lt;&gt;"!!!"),"NEW","")))</f>
        <v> </v>
      </c>
      <c r="G1840" s="24" t="str">
        <f>IF(OR(E1840="",E1840="!!!"),"",IF(OR(J1840=0,AND(J1840=1,K1840=1),AND(J1840=1,I1840="SBJ"),AND(J1840=1,I1840=0)),"?IN_FOCUS",IF(J1840&lt;=2,"?ACTIVATED",IF(J1840&lt;&gt;"","?FAMILIAR",IF(F1840="NEW",IF(ISNA(VLOOKUP(E1840,#REF!,1,FALSE())),"?TYPE_IDENTIFIABLE","?REFERENTIAL"),"_")))))</f>
        <v> </v>
      </c>
      <c r="H1840" s="25" t="str">
        <f>IF(J1840&lt;&gt;1,"",IF(I1840="SBJ","CB","?"))</f>
        <v> </v>
      </c>
      <c r="I1840" s="26" t="str">
        <f>IF(OR(E1840="",E1840="!!!",F1840="NEW"),"",INDEX(B1839:B$2,-1+SUMPRODUCT(MAX(ROW(E1839:E$2)*(E1840=E1839:E$2)))))</f>
        <v> </v>
      </c>
      <c r="J1840" s="26" t="str">
        <f>IF(OR(E1840="",E1840="!!!",F1840="NEW"),"",COUNTBLANK(OFFSET(A$1,,,SUMPRODUCT(MAX(ROW(E$2:E1840)*(E1840=E$2:E1840)))))-COUNTBLANK(OFFSET(A$1,,,SUMPRODUCT(MAX(ROW(E$1:E1839)*(E2=E$1:E1839))))))</f>
        <v> </v>
      </c>
      <c r="K1840" s="26" t="str">
        <f>IF(OR(E1840="",E1840="!!!",F1840="NEW"),"",INDEX(J$1:J1839,SUMPRODUCT(MAX(ROW(E$1:E1839)*(E1840=E$1:E1839)))))</f>
        <v> </v>
      </c>
      <c r="L1840" s="27"/>
    </row>
    <row r="1841" spans="1:12">
      <c r="A1841" s="20" t="s">
        <v>246</v>
      </c>
      <c r="E1841" s="22">
        <f>IF(D1841="?OLD","!!!","")</f>
        <v/>
      </c>
      <c r="F1841" s="23" t="str">
        <f>IF(OR(E1841="",E1841="!!!"),"",IF(NOT(ISNA(VLOOKUP(E1841,E$1:E1840,1,FALSE()))),"OLD",IF(AND(E1841&lt;&gt;"",E1841&lt;&gt;"!!!"),"NEW","")))</f>
        <v> </v>
      </c>
      <c r="G1841" s="24" t="str">
        <f>IF(OR(E1841="",E1841="!!!"),"",IF(OR(J1841=0,AND(J1841=1,K1841=1),AND(J1841=1,I1841="SBJ"),AND(J1841=1,I1841=0)),"?IN_FOCUS",IF(J1841&lt;=2,"?ACTIVATED",IF(J1841&lt;&gt;"","?FAMILIAR",IF(F1841="NEW",IF(ISNA(VLOOKUP(E1841,#REF!,1,FALSE())),"?TYPE_IDENTIFIABLE","?REFERENTIAL"),"_")))))</f>
        <v> </v>
      </c>
      <c r="H1841" s="25" t="str">
        <f>IF(J1841&lt;&gt;1,"",IF(I1841="SBJ","CB","?"))</f>
        <v> </v>
      </c>
      <c r="I1841" s="26" t="str">
        <f>IF(OR(E1841="",E1841="!!!",F1841="NEW"),"",INDEX(B1840:B$2,-1+SUMPRODUCT(MAX(ROW(E1840:E$2)*(E1841=E1840:E$2)))))</f>
        <v> </v>
      </c>
      <c r="J1841" s="26" t="str">
        <f>IF(OR(E1841="",E1841="!!!",F1841="NEW"),"",COUNTBLANK(OFFSET(A$1,,,SUMPRODUCT(MAX(ROW(E$2:E1841)*(E1841=E$2:E1841)))))-COUNTBLANK(OFFSET(A$1,,,SUMPRODUCT(MAX(ROW(E$1:E1840)*(E2=E$1:E1840))))))</f>
        <v> </v>
      </c>
      <c r="K1841" s="26" t="str">
        <f>IF(OR(E1841="",E1841="!!!",F1841="NEW"),"",INDEX(J$1:J1840,SUMPRODUCT(MAX(ROW(E$1:E1840)*(E1841=E$1:E1840)))))</f>
        <v> </v>
      </c>
      <c r="L1841" s="27"/>
    </row>
    <row r="1842" spans="1:12">
      <c r="A1842" s="20"/>
    </row>
    <row r="1843" spans="1:12">
      <c r="A1843" s="20" t="s">
        <v>1483</v>
      </c>
    </row>
    <row r="1844" spans="1:12">
      <c r="A1844" s="20" t="s">
        <v>994</v>
      </c>
      <c r="E1844" s="22">
        <f>IF(D1844="?OLD","!!!","")</f>
        <v/>
      </c>
      <c r="F1844" s="23" t="str">
        <f>IF(OR(E1844="",E1844="!!!"),"",IF(NOT(ISNA(VLOOKUP(E1844,E$1:E1843,1,FALSE()))),"OLD",IF(AND(E1844&lt;&gt;"",E1844&lt;&gt;"!!!"),"NEW","")))</f>
        <v> </v>
      </c>
      <c r="G1844" s="24" t="str">
        <f>IF(OR(E1844="",E1844="!!!"),"",IF(OR(J1844=0,AND(J1844=1,K1844=1),AND(J1844=1,I1844="SBJ"),AND(J1844=1,I1844=0)),"?IN_FOCUS",IF(J1844&lt;=2,"?ACTIVATED",IF(J1844&lt;&gt;"","?FAMILIAR",IF(F1844="NEW",IF(ISNA(VLOOKUP(E1844,#REF!,1,FALSE())),"?TYPE_IDENTIFIABLE","?REFERENTIAL"),"_")))))</f>
        <v> </v>
      </c>
      <c r="H1844" s="25" t="str">
        <f>IF(J1844&lt;&gt;1,"",IF(I1844="SBJ","CB","?"))</f>
        <v> </v>
      </c>
      <c r="I1844" s="26" t="str">
        <f>IF(OR(E1844="",E1844="!!!",F1844="NEW"),"",INDEX(B1843:B$2,-1+SUMPRODUCT(MAX(ROW(E1843:E$2)*(E1844=E1843:E$2)))))</f>
        <v> </v>
      </c>
      <c r="J1844" s="26" t="str">
        <f>IF(OR(E1844="",E1844="!!!",F1844="NEW"),"",COUNTBLANK(OFFSET(A$1,,,SUMPRODUCT(MAX(ROW(E$2:E1844)*(E1844=E$2:E1844)))))-COUNTBLANK(OFFSET(A$1,,,SUMPRODUCT(MAX(ROW(E$1:E1843)*(E2=E$1:E1843))))))</f>
        <v> </v>
      </c>
      <c r="K1844" s="26" t="str">
        <f>IF(OR(E1844="",E1844="!!!",F1844="NEW"),"",INDEX(J$1:J1843,SUMPRODUCT(MAX(ROW(E$1:E1843)*(E1844=E$1:E1843)))))</f>
        <v> </v>
      </c>
      <c r="L1844" s="27"/>
    </row>
    <row r="1845" spans="1:12">
      <c r="A1845" s="20" t="s">
        <v>750</v>
      </c>
      <c r="B1845" s="21" t="s">
        <v>728</v>
      </c>
      <c r="C1845" s="21" t="s">
        <v>729</v>
      </c>
      <c r="D1845" s="21" t="s">
        <v>730</v>
      </c>
      <c r="E1845" s="22">
        <f>IF(D1845="?OLD","!!!","")</f>
        <v/>
      </c>
      <c r="F1845" s="23" t="str">
        <f>IF(OR(E1845="",E1845="!!!"),"",IF(NOT(ISNA(VLOOKUP(E1845,E$1:E1844,1,FALSE()))),"OLD",IF(AND(E1845&lt;&gt;"",E1845&lt;&gt;"!!!"),"NEW","")))</f>
        <v> </v>
      </c>
      <c r="G1845" s="24" t="str">
        <f>IF(OR(E1845="",E1845="!!!"),"",IF(OR(J1845=0,AND(J1845=1,K1845=1),AND(J1845=1,I1845="SBJ"),AND(J1845=1,I1845=0)),"?IN_FOCUS",IF(J1845&lt;=2,"?ACTIVATED",IF(J1845&lt;&gt;"","?FAMILIAR",IF(F1845="NEW",IF(ISNA(VLOOKUP(E1845,#REF!,1,FALSE())),"?TYPE_IDENTIFIABLE","?REFERENTIAL"),"_")))))</f>
        <v> </v>
      </c>
      <c r="H1845" s="25" t="str">
        <f>IF(J1845&lt;&gt;1,"",IF(I1845="SBJ","CB","?"))</f>
        <v> </v>
      </c>
      <c r="I1845" s="26" t="str">
        <f>IF(OR(E1845="",E1845="!!!",F1845="NEW"),"",INDEX(B1844:B$2,-1+SUMPRODUCT(MAX(ROW(E1844:E$2)*(E1845=E1844:E$2)))))</f>
        <v> </v>
      </c>
      <c r="J1845" s="26" t="str">
        <f>IF(OR(E1845="",E1845="!!!",F1845="NEW"),"",COUNTBLANK(OFFSET(A$1,,,SUMPRODUCT(MAX(ROW(E$2:E1845)*(E1845=E$2:E1845)))))-COUNTBLANK(OFFSET(A$1,,,SUMPRODUCT(MAX(ROW(E$1:E1844)*(E2=E$1:E1844))))))</f>
        <v> </v>
      </c>
      <c r="K1845" s="26" t="str">
        <f>IF(OR(E1845="",E1845="!!!",F1845="NEW"),"",INDEX(J$1:J1844,SUMPRODUCT(MAX(ROW(E$1:E1844)*(E1845=E$1:E1844)))))</f>
        <v> </v>
      </c>
      <c r="L1845" s="27"/>
    </row>
    <row r="1846" spans="1:12">
      <c r="A1846" s="20" t="s">
        <v>895</v>
      </c>
      <c r="E1846" s="22">
        <f>IF(D1846="?OLD","!!!","")</f>
        <v/>
      </c>
      <c r="F1846" s="23" t="str">
        <f>IF(OR(E1846="",E1846="!!!"),"",IF(NOT(ISNA(VLOOKUP(E1846,E$1:E1845,1,FALSE()))),"OLD",IF(AND(E1846&lt;&gt;"",E1846&lt;&gt;"!!!"),"NEW","")))</f>
        <v> </v>
      </c>
      <c r="G1846" s="24" t="str">
        <f>IF(OR(E1846="",E1846="!!!"),"",IF(OR(J1846=0,AND(J1846=1,K1846=1),AND(J1846=1,I1846="SBJ"),AND(J1846=1,I1846=0)),"?IN_FOCUS",IF(J1846&lt;=2,"?ACTIVATED",IF(J1846&lt;&gt;"","?FAMILIAR",IF(F1846="NEW",IF(ISNA(VLOOKUP(E1846,#REF!,1,FALSE())),"?TYPE_IDENTIFIABLE","?REFERENTIAL"),"_")))))</f>
        <v> </v>
      </c>
      <c r="H1846" s="25" t="str">
        <f>IF(J1846&lt;&gt;1,"",IF(I1846="SBJ","CB","?"))</f>
        <v> </v>
      </c>
      <c r="I1846" s="26" t="str">
        <f>IF(OR(E1846="",E1846="!!!",F1846="NEW"),"",INDEX(B1845:B$2,-1+SUMPRODUCT(MAX(ROW(E1845:E$2)*(E1846=E1845:E$2)))))</f>
        <v> </v>
      </c>
      <c r="J1846" s="26" t="str">
        <f>IF(OR(E1846="",E1846="!!!",F1846="NEW"),"",COUNTBLANK(OFFSET(A$1,,,SUMPRODUCT(MAX(ROW(E$2:E1846)*(E1846=E$2:E1846)))))-COUNTBLANK(OFFSET(A$1,,,SUMPRODUCT(MAX(ROW(E$1:E1845)*(E2=E$1:E1845))))))</f>
        <v> </v>
      </c>
      <c r="K1846" s="26" t="str">
        <f>IF(OR(E1846="",E1846="!!!",F1846="NEW"),"",INDEX(J$1:J1845,SUMPRODUCT(MAX(ROW(E$1:E1845)*(E1846=E$1:E1845)))))</f>
        <v> </v>
      </c>
      <c r="L1846" s="27"/>
    </row>
    <row r="1847" spans="1:12">
      <c r="A1847" s="20" t="s">
        <v>792</v>
      </c>
      <c r="B1847" s="21" t="s">
        <v>764</v>
      </c>
      <c r="C1847" s="21" t="s">
        <v>729</v>
      </c>
      <c r="D1847" s="21" t="s">
        <v>730</v>
      </c>
      <c r="E1847" s="22">
        <f>IF(D1847="?OLD","!!!","")</f>
        <v/>
      </c>
      <c r="F1847" s="23" t="str">
        <f>IF(OR(E1847="",E1847="!!!"),"",IF(NOT(ISNA(VLOOKUP(E1847,E$1:E1846,1,FALSE()))),"OLD",IF(AND(E1847&lt;&gt;"",E1847&lt;&gt;"!!!"),"NEW","")))</f>
        <v> </v>
      </c>
      <c r="G1847" s="24" t="str">
        <f>IF(OR(E1847="",E1847="!!!"),"",IF(OR(J1847=0,AND(J1847=1,K1847=1),AND(J1847=1,I1847="SBJ"),AND(J1847=1,I1847=0)),"?IN_FOCUS",IF(J1847&lt;=2,"?ACTIVATED",IF(J1847&lt;&gt;"","?FAMILIAR",IF(F1847="NEW",IF(ISNA(VLOOKUP(E1847,#REF!,1,FALSE())),"?TYPE_IDENTIFIABLE","?REFERENTIAL"),"_")))))</f>
        <v> </v>
      </c>
      <c r="H1847" s="25" t="str">
        <f>IF(J1847&lt;&gt;1,"",IF(I1847="SBJ","CB","?"))</f>
        <v> </v>
      </c>
      <c r="I1847" s="26" t="str">
        <f>IF(OR(E1847="",E1847="!!!",F1847="NEW"),"",INDEX(B1846:B$2,-1+SUMPRODUCT(MAX(ROW(E1846:E$2)*(E1847=E1846:E$2)))))</f>
        <v> </v>
      </c>
      <c r="J1847" s="26" t="str">
        <f>IF(OR(E1847="",E1847="!!!",F1847="NEW"),"",COUNTBLANK(OFFSET(A$1,,,SUMPRODUCT(MAX(ROW(E$2:E1847)*(E1847=E$2:E1847)))))-COUNTBLANK(OFFSET(A$1,,,SUMPRODUCT(MAX(ROW(E$1:E1846)*(E2=E$1:E1846))))))</f>
        <v> </v>
      </c>
      <c r="K1847" s="26" t="str">
        <f>IF(OR(E1847="",E1847="!!!",F1847="NEW"),"",INDEX(J$1:J1846,SUMPRODUCT(MAX(ROW(E$1:E1846)*(E1847=E$1:E1846)))))</f>
        <v> </v>
      </c>
      <c r="L1847" s="27"/>
    </row>
    <row r="1848" spans="1:12">
      <c r="A1848" s="20" t="s">
        <v>810</v>
      </c>
      <c r="E1848" s="22">
        <f>IF(D1848="?OLD","!!!","")</f>
        <v/>
      </c>
      <c r="F1848" s="23" t="str">
        <f>IF(OR(E1848="",E1848="!!!"),"",IF(NOT(ISNA(VLOOKUP(E1848,E$1:E1847,1,FALSE()))),"OLD",IF(AND(E1848&lt;&gt;"",E1848&lt;&gt;"!!!"),"NEW","")))</f>
        <v> </v>
      </c>
      <c r="G1848" s="24" t="str">
        <f>IF(OR(E1848="",E1848="!!!"),"",IF(OR(J1848=0,AND(J1848=1,K1848=1),AND(J1848=1,I1848="SBJ"),AND(J1848=1,I1848=0)),"?IN_FOCUS",IF(J1848&lt;=2,"?ACTIVATED",IF(J1848&lt;&gt;"","?FAMILIAR",IF(F1848="NEW",IF(ISNA(VLOOKUP(E1848,#REF!,1,FALSE())),"?TYPE_IDENTIFIABLE","?REFERENTIAL"),"_")))))</f>
        <v> </v>
      </c>
      <c r="H1848" s="25" t="str">
        <f>IF(J1848&lt;&gt;1,"",IF(I1848="SBJ","CB","?"))</f>
        <v> </v>
      </c>
      <c r="I1848" s="26" t="str">
        <f>IF(OR(E1848="",E1848="!!!",F1848="NEW"),"",INDEX(B1847:B$2,-1+SUMPRODUCT(MAX(ROW(E1847:E$2)*(E1848=E1847:E$2)))))</f>
        <v> </v>
      </c>
      <c r="J1848" s="26" t="str">
        <f>IF(OR(E1848="",E1848="!!!",F1848="NEW"),"",COUNTBLANK(OFFSET(A$1,,,SUMPRODUCT(MAX(ROW(E$2:E1848)*(E1848=E$2:E1848)))))-COUNTBLANK(OFFSET(A$1,,,SUMPRODUCT(MAX(ROW(E$1:E1847)*(E2=E$1:E1847))))))</f>
        <v> </v>
      </c>
      <c r="K1848" s="26" t="str">
        <f>IF(OR(E1848="",E1848="!!!",F1848="NEW"),"",INDEX(J$1:J1847,SUMPRODUCT(MAX(ROW(E$1:E1847)*(E1848=E$1:E1847)))))</f>
        <v> </v>
      </c>
      <c r="L1848" s="27"/>
    </row>
    <row r="1849" spans="1:12">
      <c r="A1849" s="20" t="s">
        <v>776</v>
      </c>
      <c r="B1849" s="21" t="s">
        <v>764</v>
      </c>
      <c r="E1849" s="22">
        <f>IF(D1849="?OLD","!!!","")</f>
        <v/>
      </c>
      <c r="F1849" s="23" t="str">
        <f>IF(OR(E1849="",E1849="!!!"),"",IF(NOT(ISNA(VLOOKUP(E1849,E$1:E1848,1,FALSE()))),"OLD",IF(AND(E1849&lt;&gt;"",E1849&lt;&gt;"!!!"),"NEW","")))</f>
        <v> </v>
      </c>
      <c r="G1849" s="24" t="str">
        <f>IF(OR(E1849="",E1849="!!!"),"",IF(OR(J1849=0,AND(J1849=1,K1849=1),AND(J1849=1,I1849="SBJ"),AND(J1849=1,I1849=0)),"?IN_FOCUS",IF(J1849&lt;=2,"?ACTIVATED",IF(J1849&lt;&gt;"","?FAMILIAR",IF(F1849="NEW",IF(ISNA(VLOOKUP(E1849,#REF!,1,FALSE())),"?TYPE_IDENTIFIABLE","?REFERENTIAL"),"_")))))</f>
        <v> </v>
      </c>
      <c r="H1849" s="25" t="str">
        <f>IF(J1849&lt;&gt;1,"",IF(I1849="SBJ","CB","?"))</f>
        <v> </v>
      </c>
      <c r="I1849" s="26" t="str">
        <f>IF(OR(E1849="",E1849="!!!",F1849="NEW"),"",INDEX(B1848:B$2,-1+SUMPRODUCT(MAX(ROW(E1848:E$2)*(E1849=E1848:E$2)))))</f>
        <v> </v>
      </c>
      <c r="J1849" s="26" t="str">
        <f>IF(OR(E1849="",E1849="!!!",F1849="NEW"),"",COUNTBLANK(OFFSET(A$1,,,SUMPRODUCT(MAX(ROW(E$2:E1849)*(E1849=E$2:E1849)))))-COUNTBLANK(OFFSET(A$1,,,SUMPRODUCT(MAX(ROW(E$1:E1848)*(E2=E$1:E1848))))))</f>
        <v> </v>
      </c>
      <c r="K1849" s="26" t="str">
        <f>IF(OR(E1849="",E1849="!!!",F1849="NEW"),"",INDEX(J$1:J1848,SUMPRODUCT(MAX(ROW(E$1:E1848)*(E1849=E$1:E1848)))))</f>
        <v> </v>
      </c>
      <c r="L1849" s="27"/>
    </row>
    <row r="1850" spans="1:12">
      <c r="A1850" s="20" t="s">
        <v>504</v>
      </c>
      <c r="E1850" s="22">
        <f>IF(D1850="?OLD","!!!","")</f>
        <v/>
      </c>
      <c r="F1850" s="23" t="str">
        <f>IF(OR(E1850="",E1850="!!!"),"",IF(NOT(ISNA(VLOOKUP(E1850,E$1:E1849,1,FALSE()))),"OLD",IF(AND(E1850&lt;&gt;"",E1850&lt;&gt;"!!!"),"NEW","")))</f>
        <v> </v>
      </c>
      <c r="G1850" s="24" t="str">
        <f>IF(OR(E1850="",E1850="!!!"),"",IF(OR(J1850=0,AND(J1850=1,K1850=1),AND(J1850=1,I1850="SBJ"),AND(J1850=1,I1850=0)),"?IN_FOCUS",IF(J1850&lt;=2,"?ACTIVATED",IF(J1850&lt;&gt;"","?FAMILIAR",IF(F1850="NEW",IF(ISNA(VLOOKUP(E1850,#REF!,1,FALSE())),"?TYPE_IDENTIFIABLE","?REFERENTIAL"),"_")))))</f>
        <v> </v>
      </c>
      <c r="H1850" s="25" t="str">
        <f>IF(J1850&lt;&gt;1,"",IF(I1850="SBJ","CB","?"))</f>
        <v> </v>
      </c>
      <c r="I1850" s="26" t="str">
        <f>IF(OR(E1850="",E1850="!!!",F1850="NEW"),"",INDEX(B1849:B$2,-1+SUMPRODUCT(MAX(ROW(E1849:E$2)*(E1850=E1849:E$2)))))</f>
        <v> </v>
      </c>
      <c r="J1850" s="26" t="str">
        <f>IF(OR(E1850="",E1850="!!!",F1850="NEW"),"",COUNTBLANK(OFFSET(A$1,,,SUMPRODUCT(MAX(ROW(E$2:E1850)*(E1850=E$2:E1850)))))-COUNTBLANK(OFFSET(A$1,,,SUMPRODUCT(MAX(ROW(E$1:E1849)*(E2=E$1:E1849))))))</f>
        <v> </v>
      </c>
      <c r="K1850" s="26" t="str">
        <f>IF(OR(E1850="",E1850="!!!",F1850="NEW"),"",INDEX(J$1:J1849,SUMPRODUCT(MAX(ROW(E$1:E1849)*(E1850=E$1:E1849)))))</f>
        <v> </v>
      </c>
      <c r="L1850" s="27"/>
    </row>
    <row r="1851" spans="1:12">
      <c r="A1851" s="20" t="s">
        <v>759</v>
      </c>
      <c r="E1851" s="22">
        <f>IF(D1851="?OLD","!!!","")</f>
        <v/>
      </c>
      <c r="F1851" s="23" t="str">
        <f>IF(OR(E1851="",E1851="!!!"),"",IF(NOT(ISNA(VLOOKUP(E1851,E$1:E1850,1,FALSE()))),"OLD",IF(AND(E1851&lt;&gt;"",E1851&lt;&gt;"!!!"),"NEW","")))</f>
        <v> </v>
      </c>
      <c r="G1851" s="24" t="str">
        <f>IF(OR(E1851="",E1851="!!!"),"",IF(OR(J1851=0,AND(J1851=1,K1851=1),AND(J1851=1,I1851="SBJ"),AND(J1851=1,I1851=0)),"?IN_FOCUS",IF(J1851&lt;=2,"?ACTIVATED",IF(J1851&lt;&gt;"","?FAMILIAR",IF(F1851="NEW",IF(ISNA(VLOOKUP(E1851,#REF!,1,FALSE())),"?TYPE_IDENTIFIABLE","?REFERENTIAL"),"_")))))</f>
        <v> </v>
      </c>
      <c r="H1851" s="25" t="str">
        <f>IF(J1851&lt;&gt;1,"",IF(I1851="SBJ","CB","?"))</f>
        <v> </v>
      </c>
      <c r="I1851" s="26" t="str">
        <f>IF(OR(E1851="",E1851="!!!",F1851="NEW"),"",INDEX(B1850:B$2,-1+SUMPRODUCT(MAX(ROW(E1850:E$2)*(E1851=E1850:E$2)))))</f>
        <v> </v>
      </c>
      <c r="J1851" s="26" t="str">
        <f>IF(OR(E1851="",E1851="!!!",F1851="NEW"),"",COUNTBLANK(OFFSET(A$1,,,SUMPRODUCT(MAX(ROW(E$2:E1851)*(E1851=E$2:E1851)))))-COUNTBLANK(OFFSET(A$1,,,SUMPRODUCT(MAX(ROW(E$1:E1850)*(E2=E$1:E1850))))))</f>
        <v> </v>
      </c>
      <c r="K1851" s="26" t="str">
        <f>IF(OR(E1851="",E1851="!!!",F1851="NEW"),"",INDEX(J$1:J1850,SUMPRODUCT(MAX(ROW(E$1:E1850)*(E1851=E$1:E1850)))))</f>
        <v> </v>
      </c>
      <c r="L1851" s="27"/>
    </row>
    <row r="1852" spans="1:12">
      <c r="A1852" s="20" t="s">
        <v>945</v>
      </c>
      <c r="B1852" s="21" t="s">
        <v>791</v>
      </c>
      <c r="C1852" s="21" t="s">
        <v>789</v>
      </c>
      <c r="D1852" s="21" t="s">
        <v>730</v>
      </c>
      <c r="E1852" s="22">
        <f>IF(D1852="?OLD","!!!","")</f>
        <v/>
      </c>
      <c r="F1852" s="23" t="str">
        <f>IF(OR(E1852="",E1852="!!!"),"",IF(NOT(ISNA(VLOOKUP(E1852,E$1:E1851,1,FALSE()))),"OLD",IF(AND(E1852&lt;&gt;"",E1852&lt;&gt;"!!!"),"NEW","")))</f>
        <v> </v>
      </c>
      <c r="G1852" s="24" t="str">
        <f>IF(OR(E1852="",E1852="!!!"),"",IF(OR(J1852=0,AND(J1852=1,K1852=1),AND(J1852=1,I1852="SBJ"),AND(J1852=1,I1852=0)),"?IN_FOCUS",IF(J1852&lt;=2,"?ACTIVATED",IF(J1852&lt;&gt;"","?FAMILIAR",IF(F1852="NEW",IF(ISNA(VLOOKUP(E1852,#REF!,1,FALSE())),"?TYPE_IDENTIFIABLE","?REFERENTIAL"),"_")))))</f>
        <v> </v>
      </c>
      <c r="H1852" s="25" t="str">
        <f>IF(J1852&lt;&gt;1,"",IF(I1852="SBJ","CB","?"))</f>
        <v> </v>
      </c>
      <c r="I1852" s="26" t="str">
        <f>IF(OR(E1852="",E1852="!!!",F1852="NEW"),"",INDEX(B1851:B$2,-1+SUMPRODUCT(MAX(ROW(E1851:E$2)*(E1852=E1851:E$2)))))</f>
        <v> </v>
      </c>
      <c r="J1852" s="26" t="str">
        <f>IF(OR(E1852="",E1852="!!!",F1852="NEW"),"",COUNTBLANK(OFFSET(A$1,,,SUMPRODUCT(MAX(ROW(E$2:E1852)*(E1852=E$2:E1852)))))-COUNTBLANK(OFFSET(A$1,,,SUMPRODUCT(MAX(ROW(E$1:E1851)*(E2=E$1:E1851))))))</f>
        <v> </v>
      </c>
      <c r="K1852" s="26" t="str">
        <f>IF(OR(E1852="",E1852="!!!",F1852="NEW"),"",INDEX(J$1:J1851,SUMPRODUCT(MAX(ROW(E$1:E1851)*(E1852=E$1:E1851)))))</f>
        <v> </v>
      </c>
      <c r="L1852" s="27"/>
    </row>
    <row r="1853" spans="1:12">
      <c r="A1853" s="20" t="s">
        <v>750</v>
      </c>
      <c r="B1853" s="21" t="s">
        <v>796</v>
      </c>
      <c r="C1853" s="21" t="s">
        <v>729</v>
      </c>
      <c r="D1853" s="21" t="s">
        <v>730</v>
      </c>
      <c r="E1853" s="22">
        <f>IF(D1853="?OLD","!!!","")</f>
        <v/>
      </c>
      <c r="F1853" s="23" t="str">
        <f>IF(OR(E1853="",E1853="!!!"),"",IF(NOT(ISNA(VLOOKUP(E1853,E$1:E1852,1,FALSE()))),"OLD",IF(AND(E1853&lt;&gt;"",E1853&lt;&gt;"!!!"),"NEW","")))</f>
        <v> </v>
      </c>
      <c r="G1853" s="24" t="str">
        <f>IF(OR(E1853="",E1853="!!!"),"",IF(OR(J1853=0,AND(J1853=1,K1853=1),AND(J1853=1,I1853="SBJ"),AND(J1853=1,I1853=0)),"?IN_FOCUS",IF(J1853&lt;=2,"?ACTIVATED",IF(J1853&lt;&gt;"","?FAMILIAR",IF(F1853="NEW",IF(ISNA(VLOOKUP(E1853,#REF!,1,FALSE())),"?TYPE_IDENTIFIABLE","?REFERENTIAL"),"_")))))</f>
        <v> </v>
      </c>
      <c r="H1853" s="25" t="str">
        <f>IF(J1853&lt;&gt;1,"",IF(I1853="SBJ","CB","?"))</f>
        <v> </v>
      </c>
      <c r="I1853" s="26" t="str">
        <f>IF(OR(E1853="",E1853="!!!",F1853="NEW"),"",INDEX(B1852:B$2,-1+SUMPRODUCT(MAX(ROW(E1852:E$2)*(E1853=E1852:E$2)))))</f>
        <v> </v>
      </c>
      <c r="J1853" s="26" t="str">
        <f>IF(OR(E1853="",E1853="!!!",F1853="NEW"),"",COUNTBLANK(OFFSET(A$1,,,SUMPRODUCT(MAX(ROW(E$2:E1853)*(E1853=E$2:E1853)))))-COUNTBLANK(OFFSET(A$1,,,SUMPRODUCT(MAX(ROW(E$1:E1852)*(E2=E$1:E1852))))))</f>
        <v> </v>
      </c>
      <c r="K1853" s="26" t="str">
        <f>IF(OR(E1853="",E1853="!!!",F1853="NEW"),"",INDEX(J$1:J1852,SUMPRODUCT(MAX(ROW(E$1:E1852)*(E1853=E$1:E1852)))))</f>
        <v> </v>
      </c>
      <c r="L1853" s="27"/>
    </row>
    <row r="1854" spans="1:12">
      <c r="A1854" s="20" t="s">
        <v>1484</v>
      </c>
      <c r="E1854" s="22">
        <f>IF(D1854="?OLD","!!!","")</f>
        <v/>
      </c>
      <c r="F1854" s="23" t="str">
        <f>IF(OR(E1854="",E1854="!!!"),"",IF(NOT(ISNA(VLOOKUP(E1854,E$1:E1853,1,FALSE()))),"OLD",IF(AND(E1854&lt;&gt;"",E1854&lt;&gt;"!!!"),"NEW","")))</f>
        <v> </v>
      </c>
      <c r="G1854" s="24" t="str">
        <f>IF(OR(E1854="",E1854="!!!"),"",IF(OR(J1854=0,AND(J1854=1,K1854=1),AND(J1854=1,I1854="SBJ"),AND(J1854=1,I1854=0)),"?IN_FOCUS",IF(J1854&lt;=2,"?ACTIVATED",IF(J1854&lt;&gt;"","?FAMILIAR",IF(F1854="NEW",IF(ISNA(VLOOKUP(E1854,#REF!,1,FALSE())),"?TYPE_IDENTIFIABLE","?REFERENTIAL"),"_")))))</f>
        <v> </v>
      </c>
      <c r="H1854" s="25" t="str">
        <f>IF(J1854&lt;&gt;1,"",IF(I1854="SBJ","CB","?"))</f>
        <v> </v>
      </c>
      <c r="I1854" s="26" t="str">
        <f>IF(OR(E1854="",E1854="!!!",F1854="NEW"),"",INDEX(B1853:B$2,-1+SUMPRODUCT(MAX(ROW(E1853:E$2)*(E1854=E1853:E$2)))))</f>
        <v> </v>
      </c>
      <c r="J1854" s="26" t="str">
        <f>IF(OR(E1854="",E1854="!!!",F1854="NEW"),"",COUNTBLANK(OFFSET(A$1,,,SUMPRODUCT(MAX(ROW(E$2:E1854)*(E1854=E$2:E1854)))))-COUNTBLANK(OFFSET(A$1,,,SUMPRODUCT(MAX(ROW(E$1:E1853)*(E2=E$1:E1853))))))</f>
        <v> </v>
      </c>
      <c r="K1854" s="26" t="str">
        <f>IF(OR(E1854="",E1854="!!!",F1854="NEW"),"",INDEX(J$1:J1853,SUMPRODUCT(MAX(ROW(E$1:E1853)*(E1854=E$1:E1853)))))</f>
        <v> </v>
      </c>
      <c r="L1854" s="27"/>
    </row>
    <row r="1855" spans="1:12">
      <c r="A1855" s="20" t="s">
        <v>845</v>
      </c>
      <c r="E1855" s="22">
        <f>IF(D1855="?OLD","!!!","")</f>
        <v/>
      </c>
      <c r="F1855" s="23" t="str">
        <f>IF(OR(E1855="",E1855="!!!"),"",IF(NOT(ISNA(VLOOKUP(E1855,E$1:E1854,1,FALSE()))),"OLD",IF(AND(E1855&lt;&gt;"",E1855&lt;&gt;"!!!"),"NEW","")))</f>
        <v> </v>
      </c>
      <c r="G1855" s="24" t="str">
        <f>IF(OR(E1855="",E1855="!!!"),"",IF(OR(J1855=0,AND(J1855=1,K1855=1),AND(J1855=1,I1855="SBJ"),AND(J1855=1,I1855=0)),"?IN_FOCUS",IF(J1855&lt;=2,"?ACTIVATED",IF(J1855&lt;&gt;"","?FAMILIAR",IF(F1855="NEW",IF(ISNA(VLOOKUP(E1855,#REF!,1,FALSE())),"?TYPE_IDENTIFIABLE","?REFERENTIAL"),"_")))))</f>
        <v> </v>
      </c>
      <c r="H1855" s="25" t="str">
        <f>IF(J1855&lt;&gt;1,"",IF(I1855="SBJ","CB","?"))</f>
        <v> </v>
      </c>
      <c r="I1855" s="26" t="str">
        <f>IF(OR(E1855="",E1855="!!!",F1855="NEW"),"",INDEX(B1854:B$2,-1+SUMPRODUCT(MAX(ROW(E1854:E$2)*(E1855=E1854:E$2)))))</f>
        <v> </v>
      </c>
      <c r="J1855" s="26" t="str">
        <f>IF(OR(E1855="",E1855="!!!",F1855="NEW"),"",COUNTBLANK(OFFSET(A$1,,,SUMPRODUCT(MAX(ROW(E$2:E1855)*(E1855=E$2:E1855)))))-COUNTBLANK(OFFSET(A$1,,,SUMPRODUCT(MAX(ROW(E$1:E1854)*(E2=E$1:E1854))))))</f>
        <v> </v>
      </c>
      <c r="K1855" s="26" t="str">
        <f>IF(OR(E1855="",E1855="!!!",F1855="NEW"),"",INDEX(J$1:J1854,SUMPRODUCT(MAX(ROW(E$1:E1854)*(E1855=E$1:E1854)))))</f>
        <v> </v>
      </c>
      <c r="L1855" s="27"/>
    </row>
    <row r="1856" spans="1:12">
      <c r="A1856" s="20" t="s">
        <v>1485</v>
      </c>
      <c r="B1856" s="21" t="s">
        <v>739</v>
      </c>
      <c r="C1856" s="21" t="s">
        <v>753</v>
      </c>
      <c r="D1856" s="21" t="s">
        <v>730</v>
      </c>
      <c r="E1856" s="22">
        <f>IF(D1856="?OLD","!!!","")</f>
        <v/>
      </c>
      <c r="F1856" s="23" t="str">
        <f>IF(OR(E1856="",E1856="!!!"),"",IF(NOT(ISNA(VLOOKUP(E1856,E$1:E1855,1,FALSE()))),"OLD",IF(AND(E1856&lt;&gt;"",E1856&lt;&gt;"!!!"),"NEW","")))</f>
        <v> </v>
      </c>
      <c r="G1856" s="24" t="str">
        <f>IF(OR(E1856="",E1856="!!!"),"",IF(OR(J1856=0,AND(J1856=1,K1856=1),AND(J1856=1,I1856="SBJ"),AND(J1856=1,I1856=0)),"?IN_FOCUS",IF(J1856&lt;=2,"?ACTIVATED",IF(J1856&lt;&gt;"","?FAMILIAR",IF(F1856="NEW",IF(ISNA(VLOOKUP(E1856,#REF!,1,FALSE())),"?TYPE_IDENTIFIABLE","?REFERENTIAL"),"_")))))</f>
        <v> </v>
      </c>
      <c r="H1856" s="25" t="str">
        <f>IF(J1856&lt;&gt;1,"",IF(I1856="SBJ","CB","?"))</f>
        <v> </v>
      </c>
      <c r="I1856" s="26" t="str">
        <f>IF(OR(E1856="",E1856="!!!",F1856="NEW"),"",INDEX(B1855:B$2,-1+SUMPRODUCT(MAX(ROW(E1855:E$2)*(E1856=E1855:E$2)))))</f>
        <v> </v>
      </c>
      <c r="J1856" s="26" t="str">
        <f>IF(OR(E1856="",E1856="!!!",F1856="NEW"),"",COUNTBLANK(OFFSET(A$1,,,SUMPRODUCT(MAX(ROW(E$2:E1856)*(E1856=E$2:E1856)))))-COUNTBLANK(OFFSET(A$1,,,SUMPRODUCT(MAX(ROW(E$1:E1855)*(E2=E$1:E1855))))))</f>
        <v> </v>
      </c>
      <c r="K1856" s="26" t="str">
        <f>IF(OR(E1856="",E1856="!!!",F1856="NEW"),"",INDEX(J$1:J1855,SUMPRODUCT(MAX(ROW(E$1:E1855)*(E1856=E$1:E1855)))))</f>
        <v> </v>
      </c>
      <c r="L1856" s="27"/>
    </row>
    <row r="1857" spans="1:12">
      <c r="A1857" s="20" t="s">
        <v>195</v>
      </c>
      <c r="E1857" s="22">
        <f>IF(D1857="?OLD","!!!","")</f>
        <v/>
      </c>
      <c r="F1857" s="23" t="str">
        <f>IF(OR(E1857="",E1857="!!!"),"",IF(NOT(ISNA(VLOOKUP(E1857,E$1:E1856,1,FALSE()))),"OLD",IF(AND(E1857&lt;&gt;"",E1857&lt;&gt;"!!!"),"NEW","")))</f>
        <v> </v>
      </c>
      <c r="G1857" s="24" t="str">
        <f>IF(OR(E1857="",E1857="!!!"),"",IF(OR(J1857=0,AND(J1857=1,K1857=1),AND(J1857=1,I1857="SBJ"),AND(J1857=1,I1857=0)),"?IN_FOCUS",IF(J1857&lt;=2,"?ACTIVATED",IF(J1857&lt;&gt;"","?FAMILIAR",IF(F1857="NEW",IF(ISNA(VLOOKUP(E1857,#REF!,1,FALSE())),"?TYPE_IDENTIFIABLE","?REFERENTIAL"),"_")))))</f>
        <v> </v>
      </c>
      <c r="H1857" s="25" t="str">
        <f>IF(J1857&lt;&gt;1,"",IF(I1857="SBJ","CB","?"))</f>
        <v> </v>
      </c>
      <c r="I1857" s="26" t="str">
        <f>IF(OR(E1857="",E1857="!!!",F1857="NEW"),"",INDEX(B1856:B$2,-1+SUMPRODUCT(MAX(ROW(E1856:E$2)*(E1857=E1856:E$2)))))</f>
        <v> </v>
      </c>
      <c r="J1857" s="26" t="str">
        <f>IF(OR(E1857="",E1857="!!!",F1857="NEW"),"",COUNTBLANK(OFFSET(A$1,,,SUMPRODUCT(MAX(ROW(E$2:E1857)*(E1857=E$2:E1857)))))-COUNTBLANK(OFFSET(A$1,,,SUMPRODUCT(MAX(ROW(E$1:E1856)*(E2=E$1:E1856))))))</f>
        <v> </v>
      </c>
      <c r="K1857" s="26" t="str">
        <f>IF(OR(E1857="",E1857="!!!",F1857="NEW"),"",INDEX(J$1:J1856,SUMPRODUCT(MAX(ROW(E$1:E1856)*(E1857=E$1:E1856)))))</f>
        <v> </v>
      </c>
      <c r="L1857" s="27"/>
    </row>
    <row r="1858" spans="1:12">
      <c r="A1858" s="20" t="s">
        <v>985</v>
      </c>
      <c r="E1858" s="22">
        <f>IF(D1858="?OLD","!!!","")</f>
        <v/>
      </c>
      <c r="F1858" s="23" t="str">
        <f>IF(OR(E1858="",E1858="!!!"),"",IF(NOT(ISNA(VLOOKUP(E1858,E$1:E1857,1,FALSE()))),"OLD",IF(AND(E1858&lt;&gt;"",E1858&lt;&gt;"!!!"),"NEW","")))</f>
        <v> </v>
      </c>
      <c r="G1858" s="24" t="str">
        <f>IF(OR(E1858="",E1858="!!!"),"",IF(OR(J1858=0,AND(J1858=1,K1858=1),AND(J1858=1,I1858="SBJ"),AND(J1858=1,I1858=0)),"?IN_FOCUS",IF(J1858&lt;=2,"?ACTIVATED",IF(J1858&lt;&gt;"","?FAMILIAR",IF(F1858="NEW",IF(ISNA(VLOOKUP(E1858,#REF!,1,FALSE())),"?TYPE_IDENTIFIABLE","?REFERENTIAL"),"_")))))</f>
        <v> </v>
      </c>
      <c r="H1858" s="25" t="str">
        <f>IF(J1858&lt;&gt;1,"",IF(I1858="SBJ","CB","?"))</f>
        <v> </v>
      </c>
      <c r="I1858" s="26" t="str">
        <f>IF(OR(E1858="",E1858="!!!",F1858="NEW"),"",INDEX(B1857:B$2,-1+SUMPRODUCT(MAX(ROW(E1857:E$2)*(E1858=E1857:E$2)))))</f>
        <v> </v>
      </c>
      <c r="J1858" s="26" t="str">
        <f>IF(OR(E1858="",E1858="!!!",F1858="NEW"),"",COUNTBLANK(OFFSET(A$1,,,SUMPRODUCT(MAX(ROW(E$2:E1858)*(E1858=E$2:E1858)))))-COUNTBLANK(OFFSET(A$1,,,SUMPRODUCT(MAX(ROW(E$1:E1857)*(E2=E$1:E1857))))))</f>
        <v> </v>
      </c>
      <c r="K1858" s="26" t="str">
        <f>IF(OR(E1858="",E1858="!!!",F1858="NEW"),"",INDEX(J$1:J1857,SUMPRODUCT(MAX(ROW(E$1:E1857)*(E1858=E$1:E1857)))))</f>
        <v> </v>
      </c>
      <c r="L1858" s="27"/>
    </row>
    <row r="1859" spans="1:12">
      <c r="A1859" s="20" t="s">
        <v>246</v>
      </c>
      <c r="E1859" s="22">
        <f>IF(D1859="?OLD","!!!","")</f>
        <v/>
      </c>
      <c r="F1859" s="23" t="str">
        <f>IF(OR(E1859="",E1859="!!!"),"",IF(NOT(ISNA(VLOOKUP(E1859,E$1:E1858,1,FALSE()))),"OLD",IF(AND(E1859&lt;&gt;"",E1859&lt;&gt;"!!!"),"NEW","")))</f>
        <v> </v>
      </c>
      <c r="G1859" s="24" t="str">
        <f>IF(OR(E1859="",E1859="!!!"),"",IF(OR(J1859=0,AND(J1859=1,K1859=1),AND(J1859=1,I1859="SBJ"),AND(J1859=1,I1859=0)),"?IN_FOCUS",IF(J1859&lt;=2,"?ACTIVATED",IF(J1859&lt;&gt;"","?FAMILIAR",IF(F1859="NEW",IF(ISNA(VLOOKUP(E1859,#REF!,1,FALSE())),"?TYPE_IDENTIFIABLE","?REFERENTIAL"),"_")))))</f>
        <v> </v>
      </c>
      <c r="H1859" s="25" t="str">
        <f>IF(J1859&lt;&gt;1,"",IF(I1859="SBJ","CB","?"))</f>
        <v> </v>
      </c>
      <c r="I1859" s="26" t="str">
        <f>IF(OR(E1859="",E1859="!!!",F1859="NEW"),"",INDEX(B1858:B$2,-1+SUMPRODUCT(MAX(ROW(E1858:E$2)*(E1859=E1858:E$2)))))</f>
        <v> </v>
      </c>
      <c r="J1859" s="26" t="str">
        <f>IF(OR(E1859="",E1859="!!!",F1859="NEW"),"",COUNTBLANK(OFFSET(A$1,,,SUMPRODUCT(MAX(ROW(E$2:E1859)*(E1859=E$2:E1859)))))-COUNTBLANK(OFFSET(A$1,,,SUMPRODUCT(MAX(ROW(E$1:E1858)*(E2=E$1:E1858))))))</f>
        <v> </v>
      </c>
      <c r="K1859" s="26" t="str">
        <f>IF(OR(E1859="",E1859="!!!",F1859="NEW"),"",INDEX(J$1:J1858,SUMPRODUCT(MAX(ROW(E$1:E1858)*(E1859=E$1:E1858)))))</f>
        <v> </v>
      </c>
      <c r="L1859" s="27"/>
    </row>
    <row r="1860" spans="1:12">
      <c r="A1860" s="20"/>
    </row>
    <row r="1861" spans="1:12">
      <c r="A1861" s="20" t="s">
        <v>1486</v>
      </c>
    </row>
    <row r="1862" spans="1:12">
      <c r="A1862" s="20" t="s">
        <v>1152</v>
      </c>
      <c r="E1862" s="22">
        <f>IF(D1862="?OLD","!!!","")</f>
        <v/>
      </c>
      <c r="F1862" s="23" t="str">
        <f>IF(OR(E1862="",E1862="!!!"),"",IF(NOT(ISNA(VLOOKUP(E1862,E$1:E1861,1,FALSE()))),"OLD",IF(AND(E1862&lt;&gt;"",E1862&lt;&gt;"!!!"),"NEW","")))</f>
        <v> </v>
      </c>
      <c r="G1862" s="24" t="str">
        <f>IF(OR(E1862="",E1862="!!!"),"",IF(OR(J1862=0,AND(J1862=1,K1862=1),AND(J1862=1,I1862="SBJ"),AND(J1862=1,I1862=0)),"?IN_FOCUS",IF(J1862&lt;=2,"?ACTIVATED",IF(J1862&lt;&gt;"","?FAMILIAR",IF(F1862="NEW",IF(ISNA(VLOOKUP(E1862,#REF!,1,FALSE())),"?TYPE_IDENTIFIABLE","?REFERENTIAL"),"_")))))</f>
        <v> </v>
      </c>
      <c r="H1862" s="25" t="str">
        <f>IF(J1862&lt;&gt;1,"",IF(I1862="SBJ","CB","?"))</f>
        <v> </v>
      </c>
      <c r="I1862" s="26" t="str">
        <f>IF(OR(E1862="",E1862="!!!",F1862="NEW"),"",INDEX(B1861:B$2,-1+SUMPRODUCT(MAX(ROW(E1861:E$2)*(E1862=E1861:E$2)))))</f>
        <v> </v>
      </c>
      <c r="J1862" s="26" t="str">
        <f>IF(OR(E1862="",E1862="!!!",F1862="NEW"),"",COUNTBLANK(OFFSET(A$1,,,SUMPRODUCT(MAX(ROW(E$2:E1862)*(E1862=E$2:E1862)))))-COUNTBLANK(OFFSET(A$1,,,SUMPRODUCT(MAX(ROW(E$1:E1861)*(E2=E$1:E1861))))))</f>
        <v> </v>
      </c>
      <c r="K1862" s="26" t="str">
        <f>IF(OR(E1862="",E1862="!!!",F1862="NEW"),"",INDEX(J$1:J1861,SUMPRODUCT(MAX(ROW(E$1:E1861)*(E1862=E$1:E1861)))))</f>
        <v> </v>
      </c>
      <c r="L1862" s="27"/>
    </row>
    <row r="1863" spans="1:12">
      <c r="A1863" s="20" t="s">
        <v>1487</v>
      </c>
      <c r="B1863" s="21" t="s">
        <v>736</v>
      </c>
      <c r="C1863" s="21" t="s">
        <v>756</v>
      </c>
      <c r="E1863" s="22">
        <f>IF(D1863="?OLD","!!!","")</f>
        <v/>
      </c>
      <c r="F1863" s="23" t="str">
        <f>IF(OR(E1863="",E1863="!!!"),"",IF(NOT(ISNA(VLOOKUP(E1863,E$1:E1862,1,FALSE()))),"OLD",IF(AND(E1863&lt;&gt;"",E1863&lt;&gt;"!!!"),"NEW","")))</f>
        <v> </v>
      </c>
      <c r="G1863" s="24" t="str">
        <f>IF(OR(E1863="",E1863="!!!"),"",IF(OR(J1863=0,AND(J1863=1,K1863=1),AND(J1863=1,I1863="SBJ"),AND(J1863=1,I1863=0)),"?IN_FOCUS",IF(J1863&lt;=2,"?ACTIVATED",IF(J1863&lt;&gt;"","?FAMILIAR",IF(F1863="NEW",IF(ISNA(VLOOKUP(E1863,#REF!,1,FALSE())),"?TYPE_IDENTIFIABLE","?REFERENTIAL"),"_")))))</f>
        <v> </v>
      </c>
      <c r="H1863" s="25" t="str">
        <f>IF(J1863&lt;&gt;1,"",IF(I1863="SBJ","CB","?"))</f>
        <v> </v>
      </c>
      <c r="I1863" s="26" t="str">
        <f>IF(OR(E1863="",E1863="!!!",F1863="NEW"),"",INDEX(B1862:B$2,-1+SUMPRODUCT(MAX(ROW(E1862:E$2)*(E1863=E1862:E$2)))))</f>
        <v> </v>
      </c>
      <c r="J1863" s="26" t="str">
        <f>IF(OR(E1863="",E1863="!!!",F1863="NEW"),"",COUNTBLANK(OFFSET(A$1,,,SUMPRODUCT(MAX(ROW(E$2:E1863)*(E1863=E$2:E1863)))))-COUNTBLANK(OFFSET(A$1,,,SUMPRODUCT(MAX(ROW(E$1:E1862)*(E2=E$1:E1862))))))</f>
        <v> </v>
      </c>
      <c r="K1863" s="26" t="str">
        <f>IF(OR(E1863="",E1863="!!!",F1863="NEW"),"",INDEX(J$1:J1862,SUMPRODUCT(MAX(ROW(E$1:E1862)*(E1863=E$1:E1862)))))</f>
        <v> </v>
      </c>
      <c r="L1863" s="27"/>
    </row>
    <row r="1864" spans="1:12">
      <c r="A1864" s="20" t="s">
        <v>757</v>
      </c>
      <c r="E1864" s="22">
        <f>IF(D1864="?OLD","!!!","")</f>
        <v/>
      </c>
      <c r="F1864" s="23" t="str">
        <f>IF(OR(E1864="",E1864="!!!"),"",IF(NOT(ISNA(VLOOKUP(E1864,E$1:E1863,1,FALSE()))),"OLD",IF(AND(E1864&lt;&gt;"",E1864&lt;&gt;"!!!"),"NEW","")))</f>
        <v> </v>
      </c>
      <c r="G1864" s="24" t="str">
        <f>IF(OR(E1864="",E1864="!!!"),"",IF(OR(J1864=0,AND(J1864=1,K1864=1),AND(J1864=1,I1864="SBJ"),AND(J1864=1,I1864=0)),"?IN_FOCUS",IF(J1864&lt;=2,"?ACTIVATED",IF(J1864&lt;&gt;"","?FAMILIAR",IF(F1864="NEW",IF(ISNA(VLOOKUP(E1864,#REF!,1,FALSE())),"?TYPE_IDENTIFIABLE","?REFERENTIAL"),"_")))))</f>
        <v> </v>
      </c>
      <c r="H1864" s="25" t="str">
        <f>IF(J1864&lt;&gt;1,"",IF(I1864="SBJ","CB","?"))</f>
        <v> </v>
      </c>
      <c r="I1864" s="26" t="str">
        <f>IF(OR(E1864="",E1864="!!!",F1864="NEW"),"",INDEX(B1863:B$2,-1+SUMPRODUCT(MAX(ROW(E1863:E$2)*(E1864=E1863:E$2)))))</f>
        <v> </v>
      </c>
      <c r="J1864" s="26" t="str">
        <f>IF(OR(E1864="",E1864="!!!",F1864="NEW"),"",COUNTBLANK(OFFSET(A$1,,,SUMPRODUCT(MAX(ROW(E$2:E1864)*(E1864=E$2:E1864)))))-COUNTBLANK(OFFSET(A$1,,,SUMPRODUCT(MAX(ROW(E$1:E1863)*(E2=E$1:E1863))))))</f>
        <v> </v>
      </c>
      <c r="K1864" s="26" t="str">
        <f>IF(OR(E1864="",E1864="!!!",F1864="NEW"),"",INDEX(J$1:J1863,SUMPRODUCT(MAX(ROW(E$1:E1863)*(E1864=E$1:E1863)))))</f>
        <v> </v>
      </c>
      <c r="L1864" s="27"/>
    </row>
    <row r="1865" spans="1:12">
      <c r="A1865" s="20" t="s">
        <v>1488</v>
      </c>
      <c r="E1865" s="22">
        <f>IF(D1865="?OLD","!!!","")</f>
        <v/>
      </c>
      <c r="F1865" s="23" t="str">
        <f>IF(OR(E1865="",E1865="!!!"),"",IF(NOT(ISNA(VLOOKUP(E1865,E$1:E1864,1,FALSE()))),"OLD",IF(AND(E1865&lt;&gt;"",E1865&lt;&gt;"!!!"),"NEW","")))</f>
        <v> </v>
      </c>
      <c r="G1865" s="24" t="str">
        <f>IF(OR(E1865="",E1865="!!!"),"",IF(OR(J1865=0,AND(J1865=1,K1865=1),AND(J1865=1,I1865="SBJ"),AND(J1865=1,I1865=0)),"?IN_FOCUS",IF(J1865&lt;=2,"?ACTIVATED",IF(J1865&lt;&gt;"","?FAMILIAR",IF(F1865="NEW",IF(ISNA(VLOOKUP(E1865,#REF!,1,FALSE())),"?TYPE_IDENTIFIABLE","?REFERENTIAL"),"_")))))</f>
        <v> </v>
      </c>
      <c r="H1865" s="25" t="str">
        <f>IF(J1865&lt;&gt;1,"",IF(I1865="SBJ","CB","?"))</f>
        <v> </v>
      </c>
      <c r="I1865" s="26" t="str">
        <f>IF(OR(E1865="",E1865="!!!",F1865="NEW"),"",INDEX(B1864:B$2,-1+SUMPRODUCT(MAX(ROW(E1864:E$2)*(E1865=E1864:E$2)))))</f>
        <v> </v>
      </c>
      <c r="J1865" s="26" t="str">
        <f>IF(OR(E1865="",E1865="!!!",F1865="NEW"),"",COUNTBLANK(OFFSET(A$1,,,SUMPRODUCT(MAX(ROW(E$2:E1865)*(E1865=E$2:E1865)))))-COUNTBLANK(OFFSET(A$1,,,SUMPRODUCT(MAX(ROW(E$1:E1864)*(E2=E$1:E1864))))))</f>
        <v> </v>
      </c>
      <c r="K1865" s="26" t="str">
        <f>IF(OR(E1865="",E1865="!!!",F1865="NEW"),"",INDEX(J$1:J1864,SUMPRODUCT(MAX(ROW(E$1:E1864)*(E1865=E$1:E1864)))))</f>
        <v> </v>
      </c>
      <c r="L1865" s="27"/>
    </row>
    <row r="1866" spans="1:12">
      <c r="A1866" s="20" t="s">
        <v>1489</v>
      </c>
      <c r="B1866" s="21" t="s">
        <v>739</v>
      </c>
      <c r="C1866" s="21" t="s">
        <v>753</v>
      </c>
      <c r="D1866" s="21" t="s">
        <v>730</v>
      </c>
      <c r="E1866" s="22">
        <f>IF(D1866="?OLD","!!!","")</f>
        <v/>
      </c>
      <c r="F1866" s="23" t="str">
        <f>IF(OR(E1866="",E1866="!!!"),"",IF(NOT(ISNA(VLOOKUP(E1866,E$1:E1865,1,FALSE()))),"OLD",IF(AND(E1866&lt;&gt;"",E1866&lt;&gt;"!!!"),"NEW","")))</f>
        <v> </v>
      </c>
      <c r="G1866" s="24" t="str">
        <f>IF(OR(E1866="",E1866="!!!"),"",IF(OR(J1866=0,AND(J1866=1,K1866=1),AND(J1866=1,I1866="SBJ"),AND(J1866=1,I1866=0)),"?IN_FOCUS",IF(J1866&lt;=2,"?ACTIVATED",IF(J1866&lt;&gt;"","?FAMILIAR",IF(F1866="NEW",IF(ISNA(VLOOKUP(E1866,#REF!,1,FALSE())),"?TYPE_IDENTIFIABLE","?REFERENTIAL"),"_")))))</f>
        <v> </v>
      </c>
      <c r="H1866" s="25" t="str">
        <f>IF(J1866&lt;&gt;1,"",IF(I1866="SBJ","CB","?"))</f>
        <v> </v>
      </c>
      <c r="I1866" s="26" t="str">
        <f>IF(OR(E1866="",E1866="!!!",F1866="NEW"),"",INDEX(B1865:B$2,-1+SUMPRODUCT(MAX(ROW(E1865:E$2)*(E1866=E1865:E$2)))))</f>
        <v> </v>
      </c>
      <c r="J1866" s="26" t="str">
        <f>IF(OR(E1866="",E1866="!!!",F1866="NEW"),"",COUNTBLANK(OFFSET(A$1,,,SUMPRODUCT(MAX(ROW(E$2:E1866)*(E1866=E$2:E1866)))))-COUNTBLANK(OFFSET(A$1,,,SUMPRODUCT(MAX(ROW(E$1:E1865)*(E2=E$1:E1865))))))</f>
        <v> </v>
      </c>
      <c r="K1866" s="26" t="str">
        <f>IF(OR(E1866="",E1866="!!!",F1866="NEW"),"",INDEX(J$1:J1865,SUMPRODUCT(MAX(ROW(E$1:E1865)*(E1866=E$1:E1865)))))</f>
        <v> </v>
      </c>
      <c r="L1866" s="27"/>
    </row>
    <row r="1867" spans="1:12">
      <c r="A1867" s="20" t="s">
        <v>1071</v>
      </c>
      <c r="E1867" s="22">
        <f>IF(D1867="?OLD","!!!","")</f>
        <v/>
      </c>
      <c r="F1867" s="23" t="str">
        <f>IF(OR(E1867="",E1867="!!!"),"",IF(NOT(ISNA(VLOOKUP(E1867,E$1:E1866,1,FALSE()))),"OLD",IF(AND(E1867&lt;&gt;"",E1867&lt;&gt;"!!!"),"NEW","")))</f>
        <v> </v>
      </c>
      <c r="G1867" s="24" t="str">
        <f>IF(OR(E1867="",E1867="!!!"),"",IF(OR(J1867=0,AND(J1867=1,K1867=1),AND(J1867=1,I1867="SBJ"),AND(J1867=1,I1867=0)),"?IN_FOCUS",IF(J1867&lt;=2,"?ACTIVATED",IF(J1867&lt;&gt;"","?FAMILIAR",IF(F1867="NEW",IF(ISNA(VLOOKUP(E1867,#REF!,1,FALSE())),"?TYPE_IDENTIFIABLE","?REFERENTIAL"),"_")))))</f>
        <v> </v>
      </c>
      <c r="H1867" s="25" t="str">
        <f>IF(J1867&lt;&gt;1,"",IF(I1867="SBJ","CB","?"))</f>
        <v> </v>
      </c>
      <c r="I1867" s="26" t="str">
        <f>IF(OR(E1867="",E1867="!!!",F1867="NEW"),"",INDEX(B1866:B$2,-1+SUMPRODUCT(MAX(ROW(E1866:E$2)*(E1867=E1866:E$2)))))</f>
        <v> </v>
      </c>
      <c r="J1867" s="26" t="str">
        <f>IF(OR(E1867="",E1867="!!!",F1867="NEW"),"",COUNTBLANK(OFFSET(A$1,,,SUMPRODUCT(MAX(ROW(E$2:E1867)*(E1867=E$2:E1867)))))-COUNTBLANK(OFFSET(A$1,,,SUMPRODUCT(MAX(ROW(E$1:E1866)*(E2=E$1:E1866))))))</f>
        <v> </v>
      </c>
      <c r="K1867" s="26" t="str">
        <f>IF(OR(E1867="",E1867="!!!",F1867="NEW"),"",INDEX(J$1:J1866,SUMPRODUCT(MAX(ROW(E$1:E1866)*(E1867=E$1:E1866)))))</f>
        <v> </v>
      </c>
      <c r="L1867" s="27"/>
    </row>
    <row r="1868" spans="1:12">
      <c r="A1868" s="20" t="s">
        <v>750</v>
      </c>
      <c r="B1868" s="21" t="s">
        <v>728</v>
      </c>
      <c r="C1868" s="21" t="s">
        <v>729</v>
      </c>
      <c r="D1868" s="21" t="s">
        <v>730</v>
      </c>
      <c r="E1868" s="22">
        <f>IF(D1868="?OLD","!!!","")</f>
        <v/>
      </c>
      <c r="F1868" s="23" t="str">
        <f>IF(OR(E1868="",E1868="!!!"),"",IF(NOT(ISNA(VLOOKUP(E1868,E$1:E1867,1,FALSE()))),"OLD",IF(AND(E1868&lt;&gt;"",E1868&lt;&gt;"!!!"),"NEW","")))</f>
        <v> </v>
      </c>
      <c r="G1868" s="24" t="str">
        <f>IF(OR(E1868="",E1868="!!!"),"",IF(OR(J1868=0,AND(J1868=1,K1868=1),AND(J1868=1,I1868="SBJ"),AND(J1868=1,I1868=0)),"?IN_FOCUS",IF(J1868&lt;=2,"?ACTIVATED",IF(J1868&lt;&gt;"","?FAMILIAR",IF(F1868="NEW",IF(ISNA(VLOOKUP(E1868,#REF!,1,FALSE())),"?TYPE_IDENTIFIABLE","?REFERENTIAL"),"_")))))</f>
        <v> </v>
      </c>
      <c r="H1868" s="25" t="str">
        <f>IF(J1868&lt;&gt;1,"",IF(I1868="SBJ","CB","?"))</f>
        <v> </v>
      </c>
      <c r="I1868" s="26" t="str">
        <f>IF(OR(E1868="",E1868="!!!",F1868="NEW"),"",INDEX(B1867:B$2,-1+SUMPRODUCT(MAX(ROW(E1867:E$2)*(E1868=E1867:E$2)))))</f>
        <v> </v>
      </c>
      <c r="J1868" s="26" t="str">
        <f>IF(OR(E1868="",E1868="!!!",F1868="NEW"),"",COUNTBLANK(OFFSET(A$1,,,SUMPRODUCT(MAX(ROW(E$2:E1868)*(E1868=E$2:E1868)))))-COUNTBLANK(OFFSET(A$1,,,SUMPRODUCT(MAX(ROW(E$1:E1867)*(E2=E$1:E1867))))))</f>
        <v> </v>
      </c>
      <c r="K1868" s="26" t="str">
        <f>IF(OR(E1868="",E1868="!!!",F1868="NEW"),"",INDEX(J$1:J1867,SUMPRODUCT(MAX(ROW(E$1:E1867)*(E1868=E$1:E1867)))))</f>
        <v> </v>
      </c>
      <c r="L1868" s="27"/>
    </row>
    <row r="1869" spans="1:12">
      <c r="A1869" s="20" t="s">
        <v>1479</v>
      </c>
      <c r="B1869" s="21" t="s">
        <v>764</v>
      </c>
      <c r="C1869" s="21" t="s">
        <v>748</v>
      </c>
      <c r="E1869" s="22">
        <f>IF(D1869="?OLD","!!!","")</f>
        <v/>
      </c>
      <c r="F1869" s="23" t="str">
        <f>IF(OR(E1869="",E1869="!!!"),"",IF(NOT(ISNA(VLOOKUP(E1869,E$1:E1868,1,FALSE()))),"OLD",IF(AND(E1869&lt;&gt;"",E1869&lt;&gt;"!!!"),"NEW","")))</f>
        <v> </v>
      </c>
      <c r="G1869" s="24" t="str">
        <f>IF(OR(E1869="",E1869="!!!"),"",IF(OR(J1869=0,AND(J1869=1,K1869=1),AND(J1869=1,I1869="SBJ"),AND(J1869=1,I1869=0)),"?IN_FOCUS",IF(J1869&lt;=2,"?ACTIVATED",IF(J1869&lt;&gt;"","?FAMILIAR",IF(F1869="NEW",IF(ISNA(VLOOKUP(E1869,#REF!,1,FALSE())),"?TYPE_IDENTIFIABLE","?REFERENTIAL"),"_")))))</f>
        <v> </v>
      </c>
      <c r="H1869" s="25" t="str">
        <f>IF(J1869&lt;&gt;1,"",IF(I1869="SBJ","CB","?"))</f>
        <v> </v>
      </c>
      <c r="I1869" s="26" t="str">
        <f>IF(OR(E1869="",E1869="!!!",F1869="NEW"),"",INDEX(B1868:B$2,-1+SUMPRODUCT(MAX(ROW(E1868:E$2)*(E1869=E1868:E$2)))))</f>
        <v> </v>
      </c>
      <c r="J1869" s="26" t="str">
        <f>IF(OR(E1869="",E1869="!!!",F1869="NEW"),"",COUNTBLANK(OFFSET(A$1,,,SUMPRODUCT(MAX(ROW(E$2:E1869)*(E1869=E$2:E1869)))))-COUNTBLANK(OFFSET(A$1,,,SUMPRODUCT(MAX(ROW(E$1:E1868)*(E2=E$1:E1868))))))</f>
        <v> </v>
      </c>
      <c r="K1869" s="26" t="str">
        <f>IF(OR(E1869="",E1869="!!!",F1869="NEW"),"",INDEX(J$1:J1868,SUMPRODUCT(MAX(ROW(E$1:E1868)*(E1869=E$1:E1868)))))</f>
        <v> </v>
      </c>
      <c r="L1869" s="27"/>
    </row>
    <row r="1870" spans="1:12">
      <c r="A1870" s="20" t="s">
        <v>773</v>
      </c>
      <c r="E1870" s="22">
        <f>IF(D1870="?OLD","!!!","")</f>
        <v/>
      </c>
      <c r="F1870" s="23" t="str">
        <f>IF(OR(E1870="",E1870="!!!"),"",IF(NOT(ISNA(VLOOKUP(E1870,E$1:E1869,1,FALSE()))),"OLD",IF(AND(E1870&lt;&gt;"",E1870&lt;&gt;"!!!"),"NEW","")))</f>
        <v> </v>
      </c>
      <c r="G1870" s="24" t="str">
        <f>IF(OR(E1870="",E1870="!!!"),"",IF(OR(J1870=0,AND(J1870=1,K1870=1),AND(J1870=1,I1870="SBJ"),AND(J1870=1,I1870=0)),"?IN_FOCUS",IF(J1870&lt;=2,"?ACTIVATED",IF(J1870&lt;&gt;"","?FAMILIAR",IF(F1870="NEW",IF(ISNA(VLOOKUP(E1870,#REF!,1,FALSE())),"?TYPE_IDENTIFIABLE","?REFERENTIAL"),"_")))))</f>
        <v> </v>
      </c>
      <c r="H1870" s="25" t="str">
        <f>IF(J1870&lt;&gt;1,"",IF(I1870="SBJ","CB","?"))</f>
        <v> </v>
      </c>
      <c r="I1870" s="26" t="str">
        <f>IF(OR(E1870="",E1870="!!!",F1870="NEW"),"",INDEX(B1869:B$2,-1+SUMPRODUCT(MAX(ROW(E1869:E$2)*(E1870=E1869:E$2)))))</f>
        <v> </v>
      </c>
      <c r="J1870" s="26" t="str">
        <f>IF(OR(E1870="",E1870="!!!",F1870="NEW"),"",COUNTBLANK(OFFSET(A$1,,,SUMPRODUCT(MAX(ROW(E$2:E1870)*(E1870=E$2:E1870)))))-COUNTBLANK(OFFSET(A$1,,,SUMPRODUCT(MAX(ROW(E$1:E1869)*(E2=E$1:E1869))))))</f>
        <v> </v>
      </c>
      <c r="K1870" s="26" t="str">
        <f>IF(OR(E1870="",E1870="!!!",F1870="NEW"),"",INDEX(J$1:J1869,SUMPRODUCT(MAX(ROW(E$1:E1869)*(E1870=E$1:E1869)))))</f>
        <v> </v>
      </c>
      <c r="L1870" s="27"/>
    </row>
    <row r="1871" spans="1:12">
      <c r="A1871" s="20" t="s">
        <v>1490</v>
      </c>
      <c r="B1871" s="21" t="s">
        <v>739</v>
      </c>
      <c r="C1871" s="21" t="s">
        <v>740</v>
      </c>
      <c r="D1871" s="21" t="s">
        <v>730</v>
      </c>
      <c r="E1871" s="22">
        <f>IF(D1871="?OLD","!!!","")</f>
        <v/>
      </c>
      <c r="F1871" s="23" t="str">
        <f>IF(OR(E1871="",E1871="!!!"),"",IF(NOT(ISNA(VLOOKUP(E1871,E$1:E1870,1,FALSE()))),"OLD",IF(AND(E1871&lt;&gt;"",E1871&lt;&gt;"!!!"),"NEW","")))</f>
        <v> </v>
      </c>
      <c r="G1871" s="24" t="str">
        <f>IF(OR(E1871="",E1871="!!!"),"",IF(OR(J1871=0,AND(J1871=1,K1871=1),AND(J1871=1,I1871="SBJ"),AND(J1871=1,I1871=0)),"?IN_FOCUS",IF(J1871&lt;=2,"?ACTIVATED",IF(J1871&lt;&gt;"","?FAMILIAR",IF(F1871="NEW",IF(ISNA(VLOOKUP(E1871,#REF!,1,FALSE())),"?TYPE_IDENTIFIABLE","?REFERENTIAL"),"_")))))</f>
        <v> </v>
      </c>
      <c r="H1871" s="25" t="str">
        <f>IF(J1871&lt;&gt;1,"",IF(I1871="SBJ","CB","?"))</f>
        <v> </v>
      </c>
      <c r="I1871" s="26" t="str">
        <f>IF(OR(E1871="",E1871="!!!",F1871="NEW"),"",INDEX(B1870:B$2,-1+SUMPRODUCT(MAX(ROW(E1870:E$2)*(E1871=E1870:E$2)))))</f>
        <v> </v>
      </c>
      <c r="J1871" s="26" t="str">
        <f>IF(OR(E1871="",E1871="!!!",F1871="NEW"),"",COUNTBLANK(OFFSET(A$1,,,SUMPRODUCT(MAX(ROW(E$2:E1871)*(E1871=E$2:E1871)))))-COUNTBLANK(OFFSET(A$1,,,SUMPRODUCT(MAX(ROW(E$1:E1870)*(E2=E$1:E1870))))))</f>
        <v> </v>
      </c>
      <c r="K1871" s="26" t="str">
        <f>IF(OR(E1871="",E1871="!!!",F1871="NEW"),"",INDEX(J$1:J1870,SUMPRODUCT(MAX(ROW(E$1:E1870)*(E1871=E$1:E1870)))))</f>
        <v> </v>
      </c>
      <c r="L1871" s="27"/>
    </row>
    <row r="1872" spans="1:12">
      <c r="A1872" s="20" t="s">
        <v>1491</v>
      </c>
      <c r="E1872" s="22">
        <f>IF(D1872="?OLD","!!!","")</f>
        <v/>
      </c>
      <c r="F1872" s="23" t="str">
        <f>IF(OR(E1872="",E1872="!!!"),"",IF(NOT(ISNA(VLOOKUP(E1872,E$1:E1871,1,FALSE()))),"OLD",IF(AND(E1872&lt;&gt;"",E1872&lt;&gt;"!!!"),"NEW","")))</f>
        <v> </v>
      </c>
      <c r="G1872" s="24" t="str">
        <f>IF(OR(E1872="",E1872="!!!"),"",IF(OR(J1872=0,AND(J1872=1,K1872=1),AND(J1872=1,I1872="SBJ"),AND(J1872=1,I1872=0)),"?IN_FOCUS",IF(J1872&lt;=2,"?ACTIVATED",IF(J1872&lt;&gt;"","?FAMILIAR",IF(F1872="NEW",IF(ISNA(VLOOKUP(E1872,#REF!,1,FALSE())),"?TYPE_IDENTIFIABLE","?REFERENTIAL"),"_")))))</f>
        <v> </v>
      </c>
      <c r="H1872" s="25" t="str">
        <f>IF(J1872&lt;&gt;1,"",IF(I1872="SBJ","CB","?"))</f>
        <v> </v>
      </c>
      <c r="I1872" s="26" t="str">
        <f>IF(OR(E1872="",E1872="!!!",F1872="NEW"),"",INDEX(B1871:B$2,-1+SUMPRODUCT(MAX(ROW(E1871:E$2)*(E1872=E1871:E$2)))))</f>
        <v> </v>
      </c>
      <c r="J1872" s="26" t="str">
        <f>IF(OR(E1872="",E1872="!!!",F1872="NEW"),"",COUNTBLANK(OFFSET(A$1,,,SUMPRODUCT(MAX(ROW(E$2:E1872)*(E1872=E$2:E1872)))))-COUNTBLANK(OFFSET(A$1,,,SUMPRODUCT(MAX(ROW(E$1:E1871)*(E2=E$1:E1871))))))</f>
        <v> </v>
      </c>
      <c r="K1872" s="26" t="str">
        <f>IF(OR(E1872="",E1872="!!!",F1872="NEW"),"",INDEX(J$1:J1871,SUMPRODUCT(MAX(ROW(E$1:E1871)*(E1872=E$1:E1871)))))</f>
        <v> </v>
      </c>
      <c r="L1872" s="27"/>
    </row>
    <row r="1873" spans="1:12">
      <c r="A1873" s="20" t="s">
        <v>759</v>
      </c>
      <c r="E1873" s="22">
        <f>IF(D1873="?OLD","!!!","")</f>
        <v/>
      </c>
      <c r="F1873" s="23" t="str">
        <f>IF(OR(E1873="",E1873="!!!"),"",IF(NOT(ISNA(VLOOKUP(E1873,E$1:E1872,1,FALSE()))),"OLD",IF(AND(E1873&lt;&gt;"",E1873&lt;&gt;"!!!"),"NEW","")))</f>
        <v> </v>
      </c>
      <c r="G1873" s="24" t="str">
        <f>IF(OR(E1873="",E1873="!!!"),"",IF(OR(J1873=0,AND(J1873=1,K1873=1),AND(J1873=1,I1873="SBJ"),AND(J1873=1,I1873=0)),"?IN_FOCUS",IF(J1873&lt;=2,"?ACTIVATED",IF(J1873&lt;&gt;"","?FAMILIAR",IF(F1873="NEW",IF(ISNA(VLOOKUP(E1873,#REF!,1,FALSE())),"?TYPE_IDENTIFIABLE","?REFERENTIAL"),"_")))))</f>
        <v> </v>
      </c>
      <c r="H1873" s="25" t="str">
        <f>IF(J1873&lt;&gt;1,"",IF(I1873="SBJ","CB","?"))</f>
        <v> </v>
      </c>
      <c r="I1873" s="26" t="str">
        <f>IF(OR(E1873="",E1873="!!!",F1873="NEW"),"",INDEX(B1872:B$2,-1+SUMPRODUCT(MAX(ROW(E1872:E$2)*(E1873=E1872:E$2)))))</f>
        <v> </v>
      </c>
      <c r="J1873" s="26" t="str">
        <f>IF(OR(E1873="",E1873="!!!",F1873="NEW"),"",COUNTBLANK(OFFSET(A$1,,,SUMPRODUCT(MAX(ROW(E$2:E1873)*(E1873=E$2:E1873)))))-COUNTBLANK(OFFSET(A$1,,,SUMPRODUCT(MAX(ROW(E$1:E1872)*(E2=E$1:E1872))))))</f>
        <v> </v>
      </c>
      <c r="K1873" s="26" t="str">
        <f>IF(OR(E1873="",E1873="!!!",F1873="NEW"),"",INDEX(J$1:J1872,SUMPRODUCT(MAX(ROW(E$1:E1872)*(E1873=E$1:E1872)))))</f>
        <v> </v>
      </c>
      <c r="L1873" s="27"/>
    </row>
    <row r="1874" spans="1:12">
      <c r="A1874" s="20" t="s">
        <v>785</v>
      </c>
      <c r="E1874" s="22">
        <f>IF(D1874="?OLD","!!!","")</f>
        <v/>
      </c>
      <c r="F1874" s="23" t="str">
        <f>IF(OR(E1874="",E1874="!!!"),"",IF(NOT(ISNA(VLOOKUP(E1874,E$1:E1873,1,FALSE()))),"OLD",IF(AND(E1874&lt;&gt;"",E1874&lt;&gt;"!!!"),"NEW","")))</f>
        <v> </v>
      </c>
      <c r="G1874" s="24" t="str">
        <f>IF(OR(E1874="",E1874="!!!"),"",IF(OR(J1874=0,AND(J1874=1,K1874=1),AND(J1874=1,I1874="SBJ"),AND(J1874=1,I1874=0)),"?IN_FOCUS",IF(J1874&lt;=2,"?ACTIVATED",IF(J1874&lt;&gt;"","?FAMILIAR",IF(F1874="NEW",IF(ISNA(VLOOKUP(E1874,#REF!,1,FALSE())),"?TYPE_IDENTIFIABLE","?REFERENTIAL"),"_")))))</f>
        <v> </v>
      </c>
      <c r="H1874" s="25" t="str">
        <f>IF(J1874&lt;&gt;1,"",IF(I1874="SBJ","CB","?"))</f>
        <v> </v>
      </c>
      <c r="I1874" s="26" t="str">
        <f>IF(OR(E1874="",E1874="!!!",F1874="NEW"),"",INDEX(B1873:B$2,-1+SUMPRODUCT(MAX(ROW(E1873:E$2)*(E1874=E1873:E$2)))))</f>
        <v> </v>
      </c>
      <c r="J1874" s="26" t="str">
        <f>IF(OR(E1874="",E1874="!!!",F1874="NEW"),"",COUNTBLANK(OFFSET(A$1,,,SUMPRODUCT(MAX(ROW(E$2:E1874)*(E1874=E$2:E1874)))))-COUNTBLANK(OFFSET(A$1,,,SUMPRODUCT(MAX(ROW(E$1:E1873)*(E2=E$1:E1873))))))</f>
        <v> </v>
      </c>
      <c r="K1874" s="26" t="str">
        <f>IF(OR(E1874="",E1874="!!!",F1874="NEW"),"",INDEX(J$1:J1873,SUMPRODUCT(MAX(ROW(E$1:E1873)*(E1874=E$1:E1873)))))</f>
        <v> </v>
      </c>
      <c r="L1874" s="27"/>
    </row>
    <row r="1875" spans="1:12">
      <c r="A1875" s="20" t="s">
        <v>1492</v>
      </c>
      <c r="E1875" s="22">
        <f>IF(D1875="?OLD","!!!","")</f>
        <v/>
      </c>
      <c r="F1875" s="23" t="str">
        <f>IF(OR(E1875="",E1875="!!!"),"",IF(NOT(ISNA(VLOOKUP(E1875,E$1:E1874,1,FALSE()))),"OLD",IF(AND(E1875&lt;&gt;"",E1875&lt;&gt;"!!!"),"NEW","")))</f>
        <v> </v>
      </c>
      <c r="G1875" s="24" t="str">
        <f>IF(OR(E1875="",E1875="!!!"),"",IF(OR(J1875=0,AND(J1875=1,K1875=1),AND(J1875=1,I1875="SBJ"),AND(J1875=1,I1875=0)),"?IN_FOCUS",IF(J1875&lt;=2,"?ACTIVATED",IF(J1875&lt;&gt;"","?FAMILIAR",IF(F1875="NEW",IF(ISNA(VLOOKUP(E1875,#REF!,1,FALSE())),"?TYPE_IDENTIFIABLE","?REFERENTIAL"),"_")))))</f>
        <v> </v>
      </c>
      <c r="H1875" s="25" t="str">
        <f>IF(J1875&lt;&gt;1,"",IF(I1875="SBJ","CB","?"))</f>
        <v> </v>
      </c>
      <c r="I1875" s="26" t="str">
        <f>IF(OR(E1875="",E1875="!!!",F1875="NEW"),"",INDEX(B1874:B$2,-1+SUMPRODUCT(MAX(ROW(E1874:E$2)*(E1875=E1874:E$2)))))</f>
        <v> </v>
      </c>
      <c r="J1875" s="26" t="str">
        <f>IF(OR(E1875="",E1875="!!!",F1875="NEW"),"",COUNTBLANK(OFFSET(A$1,,,SUMPRODUCT(MAX(ROW(E$2:E1875)*(E1875=E$2:E1875)))))-COUNTBLANK(OFFSET(A$1,,,SUMPRODUCT(MAX(ROW(E$1:E1874)*(E2=E$1:E1874))))))</f>
        <v> </v>
      </c>
      <c r="K1875" s="26" t="str">
        <f>IF(OR(E1875="",E1875="!!!",F1875="NEW"),"",INDEX(J$1:J1874,SUMPRODUCT(MAX(ROW(E$1:E1874)*(E1875=E$1:E1874)))))</f>
        <v> </v>
      </c>
      <c r="L1875" s="27"/>
    </row>
    <row r="1876" spans="1:12">
      <c r="A1876" s="20" t="s">
        <v>1493</v>
      </c>
      <c r="B1876" s="21" t="s">
        <v>736</v>
      </c>
      <c r="C1876" s="21" t="s">
        <v>748</v>
      </c>
      <c r="E1876" s="22">
        <f>IF(D1876="?OLD","!!!","")</f>
        <v/>
      </c>
      <c r="F1876" s="23" t="str">
        <f>IF(OR(E1876="",E1876="!!!"),"",IF(NOT(ISNA(VLOOKUP(E1876,E$1:E1875,1,FALSE()))),"OLD",IF(AND(E1876&lt;&gt;"",E1876&lt;&gt;"!!!"),"NEW","")))</f>
        <v> </v>
      </c>
      <c r="G1876" s="24" t="str">
        <f>IF(OR(E1876="",E1876="!!!"),"",IF(OR(J1876=0,AND(J1876=1,K1876=1),AND(J1876=1,I1876="SBJ"),AND(J1876=1,I1876=0)),"?IN_FOCUS",IF(J1876&lt;=2,"?ACTIVATED",IF(J1876&lt;&gt;"","?FAMILIAR",IF(F1876="NEW",IF(ISNA(VLOOKUP(E1876,#REF!,1,FALSE())),"?TYPE_IDENTIFIABLE","?REFERENTIAL"),"_")))))</f>
        <v> </v>
      </c>
      <c r="H1876" s="25" t="str">
        <f>IF(J1876&lt;&gt;1,"",IF(I1876="SBJ","CB","?"))</f>
        <v> </v>
      </c>
      <c r="I1876" s="26" t="str">
        <f>IF(OR(E1876="",E1876="!!!",F1876="NEW"),"",INDEX(B1875:B$2,-1+SUMPRODUCT(MAX(ROW(E1875:E$2)*(E1876=E1875:E$2)))))</f>
        <v> </v>
      </c>
      <c r="J1876" s="26" t="str">
        <f>IF(OR(E1876="",E1876="!!!",F1876="NEW"),"",COUNTBLANK(OFFSET(A$1,,,SUMPRODUCT(MAX(ROW(E$2:E1876)*(E1876=E$2:E1876)))))-COUNTBLANK(OFFSET(A$1,,,SUMPRODUCT(MAX(ROW(E$1:E1875)*(E2=E$1:E1875))))))</f>
        <v> </v>
      </c>
      <c r="K1876" s="26" t="str">
        <f>IF(OR(E1876="",E1876="!!!",F1876="NEW"),"",INDEX(J$1:J1875,SUMPRODUCT(MAX(ROW(E$1:E1875)*(E1876=E$1:E1875)))))</f>
        <v> </v>
      </c>
      <c r="L1876" s="27"/>
    </row>
    <row r="1877" spans="1:12">
      <c r="A1877" s="20" t="s">
        <v>759</v>
      </c>
      <c r="E1877" s="22">
        <f>IF(D1877="?OLD","!!!","")</f>
        <v/>
      </c>
      <c r="F1877" s="23" t="str">
        <f>IF(OR(E1877="",E1877="!!!"),"",IF(NOT(ISNA(VLOOKUP(E1877,E$1:E1876,1,FALSE()))),"OLD",IF(AND(E1877&lt;&gt;"",E1877&lt;&gt;"!!!"),"NEW","")))</f>
        <v> </v>
      </c>
      <c r="G1877" s="24" t="str">
        <f>IF(OR(E1877="",E1877="!!!"),"",IF(OR(J1877=0,AND(J1877=1,K1877=1),AND(J1877=1,I1877="SBJ"),AND(J1877=1,I1877=0)),"?IN_FOCUS",IF(J1877&lt;=2,"?ACTIVATED",IF(J1877&lt;&gt;"","?FAMILIAR",IF(F1877="NEW",IF(ISNA(VLOOKUP(E1877,#REF!,1,FALSE())),"?TYPE_IDENTIFIABLE","?REFERENTIAL"),"_")))))</f>
        <v> </v>
      </c>
      <c r="H1877" s="25" t="str">
        <f>IF(J1877&lt;&gt;1,"",IF(I1877="SBJ","CB","?"))</f>
        <v> </v>
      </c>
      <c r="I1877" s="26" t="str">
        <f>IF(OR(E1877="",E1877="!!!",F1877="NEW"),"",INDEX(B1876:B$2,-1+SUMPRODUCT(MAX(ROW(E1876:E$2)*(E1877=E1876:E$2)))))</f>
        <v> </v>
      </c>
      <c r="J1877" s="26" t="str">
        <f>IF(OR(E1877="",E1877="!!!",F1877="NEW"),"",COUNTBLANK(OFFSET(A$1,,,SUMPRODUCT(MAX(ROW(E$2:E1877)*(E1877=E$2:E1877)))))-COUNTBLANK(OFFSET(A$1,,,SUMPRODUCT(MAX(ROW(E$1:E1876)*(E2=E$1:E1876))))))</f>
        <v> </v>
      </c>
      <c r="K1877" s="26" t="str">
        <f>IF(OR(E1877="",E1877="!!!",F1877="NEW"),"",INDEX(J$1:J1876,SUMPRODUCT(MAX(ROW(E$1:E1876)*(E1877=E$1:E1876)))))</f>
        <v> </v>
      </c>
      <c r="L1877" s="27"/>
    </row>
    <row r="1878" spans="1:12">
      <c r="A1878" s="20" t="s">
        <v>813</v>
      </c>
      <c r="B1878" s="21" t="s">
        <v>843</v>
      </c>
      <c r="E1878" s="22">
        <f>IF(D1878="?OLD","!!!","")</f>
        <v/>
      </c>
      <c r="F1878" s="23" t="str">
        <f>IF(OR(E1878="",E1878="!!!"),"",IF(NOT(ISNA(VLOOKUP(E1878,E$1:E1877,1,FALSE()))),"OLD",IF(AND(E1878&lt;&gt;"",E1878&lt;&gt;"!!!"),"NEW","")))</f>
        <v> </v>
      </c>
      <c r="G1878" s="24" t="str">
        <f>IF(OR(E1878="",E1878="!!!"),"",IF(OR(J1878=0,AND(J1878=1,K1878=1),AND(J1878=1,I1878="SBJ"),AND(J1878=1,I1878=0)),"?IN_FOCUS",IF(J1878&lt;=2,"?ACTIVATED",IF(J1878&lt;&gt;"","?FAMILIAR",IF(F1878="NEW",IF(ISNA(VLOOKUP(E1878,#REF!,1,FALSE())),"?TYPE_IDENTIFIABLE","?REFERENTIAL"),"_")))))</f>
        <v> </v>
      </c>
      <c r="H1878" s="25" t="str">
        <f>IF(J1878&lt;&gt;1,"",IF(I1878="SBJ","CB","?"))</f>
        <v> </v>
      </c>
      <c r="I1878" s="26" t="str">
        <f>IF(OR(E1878="",E1878="!!!",F1878="NEW"),"",INDEX(B1877:B$2,-1+SUMPRODUCT(MAX(ROW(E1877:E$2)*(E1878=E1877:E$2)))))</f>
        <v> </v>
      </c>
      <c r="J1878" s="26" t="str">
        <f>IF(OR(E1878="",E1878="!!!",F1878="NEW"),"",COUNTBLANK(OFFSET(A$1,,,SUMPRODUCT(MAX(ROW(E$2:E1878)*(E1878=E$2:E1878)))))-COUNTBLANK(OFFSET(A$1,,,SUMPRODUCT(MAX(ROW(E$1:E1877)*(E2=E$1:E1877))))))</f>
        <v> </v>
      </c>
      <c r="K1878" s="26" t="str">
        <f>IF(OR(E1878="",E1878="!!!",F1878="NEW"),"",INDEX(J$1:J1877,SUMPRODUCT(MAX(ROW(E$1:E1877)*(E1878=E$1:E1877)))))</f>
        <v> </v>
      </c>
      <c r="L1878" s="27"/>
    </row>
    <row r="1879" spans="1:12">
      <c r="A1879" s="20" t="s">
        <v>750</v>
      </c>
      <c r="B1879" s="21" t="s">
        <v>788</v>
      </c>
      <c r="C1879" s="21" t="s">
        <v>729</v>
      </c>
      <c r="D1879" s="21" t="s">
        <v>730</v>
      </c>
      <c r="E1879" s="22">
        <f>IF(D1879="?OLD","!!!","")</f>
        <v/>
      </c>
      <c r="F1879" s="23" t="str">
        <f>IF(OR(E1879="",E1879="!!!"),"",IF(NOT(ISNA(VLOOKUP(E1879,E$1:E1878,1,FALSE()))),"OLD",IF(AND(E1879&lt;&gt;"",E1879&lt;&gt;"!!!"),"NEW","")))</f>
        <v> </v>
      </c>
      <c r="G1879" s="24" t="str">
        <f>IF(OR(E1879="",E1879="!!!"),"",IF(OR(J1879=0,AND(J1879=1,K1879=1),AND(J1879=1,I1879="SBJ"),AND(J1879=1,I1879=0)),"?IN_FOCUS",IF(J1879&lt;=2,"?ACTIVATED",IF(J1879&lt;&gt;"","?FAMILIAR",IF(F1879="NEW",IF(ISNA(VLOOKUP(E1879,#REF!,1,FALSE())),"?TYPE_IDENTIFIABLE","?REFERENTIAL"),"_")))))</f>
        <v> </v>
      </c>
      <c r="H1879" s="25" t="str">
        <f>IF(J1879&lt;&gt;1,"",IF(I1879="SBJ","CB","?"))</f>
        <v> </v>
      </c>
      <c r="I1879" s="26" t="str">
        <f>IF(OR(E1879="",E1879="!!!",F1879="NEW"),"",INDEX(B1878:B$2,-1+SUMPRODUCT(MAX(ROW(E1878:E$2)*(E1879=E1878:E$2)))))</f>
        <v> </v>
      </c>
      <c r="J1879" s="26" t="str">
        <f>IF(OR(E1879="",E1879="!!!",F1879="NEW"),"",COUNTBLANK(OFFSET(A$1,,,SUMPRODUCT(MAX(ROW(E$2:E1879)*(E1879=E$2:E1879)))))-COUNTBLANK(OFFSET(A$1,,,SUMPRODUCT(MAX(ROW(E$1:E1878)*(E2=E$1:E1878))))))</f>
        <v> </v>
      </c>
      <c r="K1879" s="26" t="str">
        <f>IF(OR(E1879="",E1879="!!!",F1879="NEW"),"",INDEX(J$1:J1878,SUMPRODUCT(MAX(ROW(E$1:E1878)*(E1879=E$1:E1878)))))</f>
        <v> </v>
      </c>
      <c r="L1879" s="27"/>
    </row>
    <row r="1880" spans="1:12">
      <c r="A1880" s="20" t="s">
        <v>902</v>
      </c>
      <c r="E1880" s="22">
        <f>IF(D1880="?OLD","!!!","")</f>
        <v/>
      </c>
      <c r="F1880" s="23" t="str">
        <f>IF(OR(E1880="",E1880="!!!"),"",IF(NOT(ISNA(VLOOKUP(E1880,E$1:E1879,1,FALSE()))),"OLD",IF(AND(E1880&lt;&gt;"",E1880&lt;&gt;"!!!"),"NEW","")))</f>
        <v> </v>
      </c>
      <c r="G1880" s="24" t="str">
        <f>IF(OR(E1880="",E1880="!!!"),"",IF(OR(J1880=0,AND(J1880=1,K1880=1),AND(J1880=1,I1880="SBJ"),AND(J1880=1,I1880=0)),"?IN_FOCUS",IF(J1880&lt;=2,"?ACTIVATED",IF(J1880&lt;&gt;"","?FAMILIAR",IF(F1880="NEW",IF(ISNA(VLOOKUP(E1880,#REF!,1,FALSE())),"?TYPE_IDENTIFIABLE","?REFERENTIAL"),"_")))))</f>
        <v> </v>
      </c>
      <c r="H1880" s="25" t="str">
        <f>IF(J1880&lt;&gt;1,"",IF(I1880="SBJ","CB","?"))</f>
        <v> </v>
      </c>
      <c r="I1880" s="26" t="str">
        <f>IF(OR(E1880="",E1880="!!!",F1880="NEW"),"",INDEX(B1879:B$2,-1+SUMPRODUCT(MAX(ROW(E1879:E$2)*(E1880=E1879:E$2)))))</f>
        <v> </v>
      </c>
      <c r="J1880" s="26" t="str">
        <f>IF(OR(E1880="",E1880="!!!",F1880="NEW"),"",COUNTBLANK(OFFSET(A$1,,,SUMPRODUCT(MAX(ROW(E$2:E1880)*(E1880=E$2:E1880)))))-COUNTBLANK(OFFSET(A$1,,,SUMPRODUCT(MAX(ROW(E$1:E1879)*(E2=E$1:E1879))))))</f>
        <v> </v>
      </c>
      <c r="K1880" s="26" t="str">
        <f>IF(OR(E1880="",E1880="!!!",F1880="NEW"),"",INDEX(J$1:J1879,SUMPRODUCT(MAX(ROW(E$1:E1879)*(E1880=E$1:E1879)))))</f>
        <v> </v>
      </c>
      <c r="L1880" s="27"/>
    </row>
    <row r="1881" spans="1:12">
      <c r="A1881" s="20" t="s">
        <v>879</v>
      </c>
      <c r="E1881" s="22">
        <f>IF(D1881="?OLD","!!!","")</f>
        <v/>
      </c>
      <c r="F1881" s="23" t="str">
        <f>IF(OR(E1881="",E1881="!!!"),"",IF(NOT(ISNA(VLOOKUP(E1881,E$1:E1880,1,FALSE()))),"OLD",IF(AND(E1881&lt;&gt;"",E1881&lt;&gt;"!!!"),"NEW","")))</f>
        <v> </v>
      </c>
      <c r="G1881" s="24" t="str">
        <f>IF(OR(E1881="",E1881="!!!"),"",IF(OR(J1881=0,AND(J1881=1,K1881=1),AND(J1881=1,I1881="SBJ"),AND(J1881=1,I1881=0)),"?IN_FOCUS",IF(J1881&lt;=2,"?ACTIVATED",IF(J1881&lt;&gt;"","?FAMILIAR",IF(F1881="NEW",IF(ISNA(VLOOKUP(E1881,#REF!,1,FALSE())),"?TYPE_IDENTIFIABLE","?REFERENTIAL"),"_")))))</f>
        <v> </v>
      </c>
      <c r="H1881" s="25" t="str">
        <f>IF(J1881&lt;&gt;1,"",IF(I1881="SBJ","CB","?"))</f>
        <v> </v>
      </c>
      <c r="I1881" s="26" t="str">
        <f>IF(OR(E1881="",E1881="!!!",F1881="NEW"),"",INDEX(B1880:B$2,-1+SUMPRODUCT(MAX(ROW(E1880:E$2)*(E1881=E1880:E$2)))))</f>
        <v> </v>
      </c>
      <c r="J1881" s="26" t="str">
        <f>IF(OR(E1881="",E1881="!!!",F1881="NEW"),"",COUNTBLANK(OFFSET(A$1,,,SUMPRODUCT(MAX(ROW(E$2:E1881)*(E1881=E$2:E1881)))))-COUNTBLANK(OFFSET(A$1,,,SUMPRODUCT(MAX(ROW(E$1:E1880)*(E2=E$1:E1880))))))</f>
        <v> </v>
      </c>
      <c r="K1881" s="26" t="str">
        <f>IF(OR(E1881="",E1881="!!!",F1881="NEW"),"",INDEX(J$1:J1880,SUMPRODUCT(MAX(ROW(E$1:E1880)*(E1881=E$1:E1880)))))</f>
        <v> </v>
      </c>
      <c r="L1881" s="27"/>
    </row>
    <row r="1882" spans="1:12">
      <c r="A1882" s="20" t="s">
        <v>878</v>
      </c>
      <c r="E1882" s="22">
        <f>IF(D1882="?OLD","!!!","")</f>
        <v/>
      </c>
      <c r="F1882" s="23" t="str">
        <f>IF(OR(E1882="",E1882="!!!"),"",IF(NOT(ISNA(VLOOKUP(E1882,E$1:E1881,1,FALSE()))),"OLD",IF(AND(E1882&lt;&gt;"",E1882&lt;&gt;"!!!"),"NEW","")))</f>
        <v> </v>
      </c>
      <c r="G1882" s="24" t="str">
        <f>IF(OR(E1882="",E1882="!!!"),"",IF(OR(J1882=0,AND(J1882=1,K1882=1),AND(J1882=1,I1882="SBJ"),AND(J1882=1,I1882=0)),"?IN_FOCUS",IF(J1882&lt;=2,"?ACTIVATED",IF(J1882&lt;&gt;"","?FAMILIAR",IF(F1882="NEW",IF(ISNA(VLOOKUP(E1882,#REF!,1,FALSE())),"?TYPE_IDENTIFIABLE","?REFERENTIAL"),"_")))))</f>
        <v> </v>
      </c>
      <c r="H1882" s="25" t="str">
        <f>IF(J1882&lt;&gt;1,"",IF(I1882="SBJ","CB","?"))</f>
        <v> </v>
      </c>
      <c r="I1882" s="26" t="str">
        <f>IF(OR(E1882="",E1882="!!!",F1882="NEW"),"",INDEX(B1881:B$2,-1+SUMPRODUCT(MAX(ROW(E1881:E$2)*(E1882=E1881:E$2)))))</f>
        <v> </v>
      </c>
      <c r="J1882" s="26" t="str">
        <f>IF(OR(E1882="",E1882="!!!",F1882="NEW"),"",COUNTBLANK(OFFSET(A$1,,,SUMPRODUCT(MAX(ROW(E$2:E1882)*(E1882=E$2:E1882)))))-COUNTBLANK(OFFSET(A$1,,,SUMPRODUCT(MAX(ROW(E$1:E1881)*(E2=E$1:E1881))))))</f>
        <v> </v>
      </c>
      <c r="K1882" s="26" t="str">
        <f>IF(OR(E1882="",E1882="!!!",F1882="NEW"),"",INDEX(J$1:J1881,SUMPRODUCT(MAX(ROW(E$1:E1881)*(E1882=E$1:E1881)))))</f>
        <v> </v>
      </c>
      <c r="L1882" s="27"/>
    </row>
    <row r="1883" spans="1:12">
      <c r="A1883" s="20" t="s">
        <v>1491</v>
      </c>
      <c r="E1883" s="22">
        <f>IF(D1883="?OLD","!!!","")</f>
        <v/>
      </c>
      <c r="F1883" s="23" t="str">
        <f>IF(OR(E1883="",E1883="!!!"),"",IF(NOT(ISNA(VLOOKUP(E1883,E$1:E1882,1,FALSE()))),"OLD",IF(AND(E1883&lt;&gt;"",E1883&lt;&gt;"!!!"),"NEW","")))</f>
        <v> </v>
      </c>
      <c r="G1883" s="24" t="str">
        <f>IF(OR(E1883="",E1883="!!!"),"",IF(OR(J1883=0,AND(J1883=1,K1883=1),AND(J1883=1,I1883="SBJ"),AND(J1883=1,I1883=0)),"?IN_FOCUS",IF(J1883&lt;=2,"?ACTIVATED",IF(J1883&lt;&gt;"","?FAMILIAR",IF(F1883="NEW",IF(ISNA(VLOOKUP(E1883,#REF!,1,FALSE())),"?TYPE_IDENTIFIABLE","?REFERENTIAL"),"_")))))</f>
        <v> </v>
      </c>
      <c r="H1883" s="25" t="str">
        <f>IF(J1883&lt;&gt;1,"",IF(I1883="SBJ","CB","?"))</f>
        <v> </v>
      </c>
      <c r="I1883" s="26" t="str">
        <f>IF(OR(E1883="",E1883="!!!",F1883="NEW"),"",INDEX(B1882:B$2,-1+SUMPRODUCT(MAX(ROW(E1882:E$2)*(E1883=E1882:E$2)))))</f>
        <v> </v>
      </c>
      <c r="J1883" s="26" t="str">
        <f>IF(OR(E1883="",E1883="!!!",F1883="NEW"),"",COUNTBLANK(OFFSET(A$1,,,SUMPRODUCT(MAX(ROW(E$2:E1883)*(E1883=E$2:E1883)))))-COUNTBLANK(OFFSET(A$1,,,SUMPRODUCT(MAX(ROW(E$1:E1882)*(E2=E$1:E1882))))))</f>
        <v> </v>
      </c>
      <c r="K1883" s="26" t="str">
        <f>IF(OR(E1883="",E1883="!!!",F1883="NEW"),"",INDEX(J$1:J1882,SUMPRODUCT(MAX(ROW(E$1:E1882)*(E1883=E$1:E1882)))))</f>
        <v> </v>
      </c>
      <c r="L1883" s="27"/>
    </row>
    <row r="1884" spans="1:12">
      <c r="A1884" s="20" t="s">
        <v>1001</v>
      </c>
      <c r="E1884" s="22">
        <f>IF(D1884="?OLD","!!!","")</f>
        <v/>
      </c>
      <c r="F1884" s="23" t="str">
        <f>IF(OR(E1884="",E1884="!!!"),"",IF(NOT(ISNA(VLOOKUP(E1884,E$1:E1883,1,FALSE()))),"OLD",IF(AND(E1884&lt;&gt;"",E1884&lt;&gt;"!!!"),"NEW","")))</f>
        <v> </v>
      </c>
      <c r="G1884" s="24" t="str">
        <f>IF(OR(E1884="",E1884="!!!"),"",IF(OR(J1884=0,AND(J1884=1,K1884=1),AND(J1884=1,I1884="SBJ"),AND(J1884=1,I1884=0)),"?IN_FOCUS",IF(J1884&lt;=2,"?ACTIVATED",IF(J1884&lt;&gt;"","?FAMILIAR",IF(F1884="NEW",IF(ISNA(VLOOKUP(E1884,#REF!,1,FALSE())),"?TYPE_IDENTIFIABLE","?REFERENTIAL"),"_")))))</f>
        <v> </v>
      </c>
      <c r="H1884" s="25" t="str">
        <f>IF(J1884&lt;&gt;1,"",IF(I1884="SBJ","CB","?"))</f>
        <v> </v>
      </c>
      <c r="I1884" s="26" t="str">
        <f>IF(OR(E1884="",E1884="!!!",F1884="NEW"),"",INDEX(B1883:B$2,-1+SUMPRODUCT(MAX(ROW(E1883:E$2)*(E1884=E1883:E$2)))))</f>
        <v> </v>
      </c>
      <c r="J1884" s="26" t="str">
        <f>IF(OR(E1884="",E1884="!!!",F1884="NEW"),"",COUNTBLANK(OFFSET(A$1,,,SUMPRODUCT(MAX(ROW(E$2:E1884)*(E1884=E$2:E1884)))))-COUNTBLANK(OFFSET(A$1,,,SUMPRODUCT(MAX(ROW(E$1:E1883)*(E2=E$1:E1883))))))</f>
        <v> </v>
      </c>
      <c r="K1884" s="26" t="str">
        <f>IF(OR(E1884="",E1884="!!!",F1884="NEW"),"",INDEX(J$1:J1883,SUMPRODUCT(MAX(ROW(E$1:E1883)*(E1884=E$1:E1883)))))</f>
        <v> </v>
      </c>
      <c r="L1884" s="27"/>
    </row>
    <row r="1885" spans="1:12">
      <c r="A1885" s="20" t="s">
        <v>759</v>
      </c>
      <c r="E1885" s="22">
        <f>IF(D1885="?OLD","!!!","")</f>
        <v/>
      </c>
      <c r="F1885" s="23" t="str">
        <f>IF(OR(E1885="",E1885="!!!"),"",IF(NOT(ISNA(VLOOKUP(E1885,E$1:E1884,1,FALSE()))),"OLD",IF(AND(E1885&lt;&gt;"",E1885&lt;&gt;"!!!"),"NEW","")))</f>
        <v> </v>
      </c>
      <c r="G1885" s="24" t="str">
        <f>IF(OR(E1885="",E1885="!!!"),"",IF(OR(J1885=0,AND(J1885=1,K1885=1),AND(J1885=1,I1885="SBJ"),AND(J1885=1,I1885=0)),"?IN_FOCUS",IF(J1885&lt;=2,"?ACTIVATED",IF(J1885&lt;&gt;"","?FAMILIAR",IF(F1885="NEW",IF(ISNA(VLOOKUP(E1885,#REF!,1,FALSE())),"?TYPE_IDENTIFIABLE","?REFERENTIAL"),"_")))))</f>
        <v> </v>
      </c>
      <c r="H1885" s="25" t="str">
        <f>IF(J1885&lt;&gt;1,"",IF(I1885="SBJ","CB","?"))</f>
        <v> </v>
      </c>
      <c r="I1885" s="26" t="str">
        <f>IF(OR(E1885="",E1885="!!!",F1885="NEW"),"",INDEX(B1884:B$2,-1+SUMPRODUCT(MAX(ROW(E1884:E$2)*(E1885=E1884:E$2)))))</f>
        <v> </v>
      </c>
      <c r="J1885" s="26" t="str">
        <f>IF(OR(E1885="",E1885="!!!",F1885="NEW"),"",COUNTBLANK(OFFSET(A$1,,,SUMPRODUCT(MAX(ROW(E$2:E1885)*(E1885=E$2:E1885)))))-COUNTBLANK(OFFSET(A$1,,,SUMPRODUCT(MAX(ROW(E$1:E1884)*(E2=E$1:E1884))))))</f>
        <v> </v>
      </c>
      <c r="K1885" s="26" t="str">
        <f>IF(OR(E1885="",E1885="!!!",F1885="NEW"),"",INDEX(J$1:J1884,SUMPRODUCT(MAX(ROW(E$1:E1884)*(E1885=E$1:E1884)))))</f>
        <v> </v>
      </c>
      <c r="L1885" s="27"/>
    </row>
    <row r="1886" spans="1:12">
      <c r="A1886" s="20" t="s">
        <v>1492</v>
      </c>
      <c r="E1886" s="22">
        <f>IF(D1886="?OLD","!!!","")</f>
        <v/>
      </c>
      <c r="F1886" s="23" t="str">
        <f>IF(OR(E1886="",E1886="!!!"),"",IF(NOT(ISNA(VLOOKUP(E1886,E$1:E1885,1,FALSE()))),"OLD",IF(AND(E1886&lt;&gt;"",E1886&lt;&gt;"!!!"),"NEW","")))</f>
        <v> </v>
      </c>
      <c r="G1886" s="24" t="str">
        <f>IF(OR(E1886="",E1886="!!!"),"",IF(OR(J1886=0,AND(J1886=1,K1886=1),AND(J1886=1,I1886="SBJ"),AND(J1886=1,I1886=0)),"?IN_FOCUS",IF(J1886&lt;=2,"?ACTIVATED",IF(J1886&lt;&gt;"","?FAMILIAR",IF(F1886="NEW",IF(ISNA(VLOOKUP(E1886,#REF!,1,FALSE())),"?TYPE_IDENTIFIABLE","?REFERENTIAL"),"_")))))</f>
        <v> </v>
      </c>
      <c r="H1886" s="25" t="str">
        <f>IF(J1886&lt;&gt;1,"",IF(I1886="SBJ","CB","?"))</f>
        <v> </v>
      </c>
      <c r="I1886" s="26" t="str">
        <f>IF(OR(E1886="",E1886="!!!",F1886="NEW"),"",INDEX(B1885:B$2,-1+SUMPRODUCT(MAX(ROW(E1885:E$2)*(E1886=E1885:E$2)))))</f>
        <v> </v>
      </c>
      <c r="J1886" s="26" t="str">
        <f>IF(OR(E1886="",E1886="!!!",F1886="NEW"),"",COUNTBLANK(OFFSET(A$1,,,SUMPRODUCT(MAX(ROW(E$2:E1886)*(E1886=E$2:E1886)))))-COUNTBLANK(OFFSET(A$1,,,SUMPRODUCT(MAX(ROW(E$1:E1885)*(E2=E$1:E1885))))))</f>
        <v> </v>
      </c>
      <c r="K1886" s="26" t="str">
        <f>IF(OR(E1886="",E1886="!!!",F1886="NEW"),"",INDEX(J$1:J1885,SUMPRODUCT(MAX(ROW(E$1:E1885)*(E1886=E$1:E1885)))))</f>
        <v> </v>
      </c>
      <c r="L1886" s="27"/>
    </row>
    <row r="1887" spans="1:12">
      <c r="A1887" s="20" t="s">
        <v>805</v>
      </c>
      <c r="E1887" s="22">
        <f>IF(D1887="?OLD","!!!","")</f>
        <v/>
      </c>
      <c r="F1887" s="23" t="str">
        <f>IF(OR(E1887="",E1887="!!!"),"",IF(NOT(ISNA(VLOOKUP(E1887,E$1:E1886,1,FALSE()))),"OLD",IF(AND(E1887&lt;&gt;"",E1887&lt;&gt;"!!!"),"NEW","")))</f>
        <v> </v>
      </c>
      <c r="G1887" s="24" t="str">
        <f>IF(OR(E1887="",E1887="!!!"),"",IF(OR(J1887=0,AND(J1887=1,K1887=1),AND(J1887=1,I1887="SBJ"),AND(J1887=1,I1887=0)),"?IN_FOCUS",IF(J1887&lt;=2,"?ACTIVATED",IF(J1887&lt;&gt;"","?FAMILIAR",IF(F1887="NEW",IF(ISNA(VLOOKUP(E1887,#REF!,1,FALSE())),"?TYPE_IDENTIFIABLE","?REFERENTIAL"),"_")))))</f>
        <v> </v>
      </c>
      <c r="H1887" s="25" t="str">
        <f>IF(J1887&lt;&gt;1,"",IF(I1887="SBJ","CB","?"))</f>
        <v> </v>
      </c>
      <c r="I1887" s="26" t="str">
        <f>IF(OR(E1887="",E1887="!!!",F1887="NEW"),"",INDEX(B1886:B$2,-1+SUMPRODUCT(MAX(ROW(E1886:E$2)*(E1887=E1886:E$2)))))</f>
        <v> </v>
      </c>
      <c r="J1887" s="26" t="str">
        <f>IF(OR(E1887="",E1887="!!!",F1887="NEW"),"",COUNTBLANK(OFFSET(A$1,,,SUMPRODUCT(MAX(ROW(E$2:E1887)*(E1887=E$2:E1887)))))-COUNTBLANK(OFFSET(A$1,,,SUMPRODUCT(MAX(ROW(E$1:E1886)*(E2=E$1:E1886))))))</f>
        <v> </v>
      </c>
      <c r="K1887" s="26" t="str">
        <f>IF(OR(E1887="",E1887="!!!",F1887="NEW"),"",INDEX(J$1:J1886,SUMPRODUCT(MAX(ROW(E$1:E1886)*(E1887=E$1:E1886)))))</f>
        <v> </v>
      </c>
      <c r="L1887" s="27"/>
    </row>
    <row r="1888" spans="1:12">
      <c r="A1888" s="20" t="s">
        <v>1493</v>
      </c>
      <c r="B1888" s="21" t="s">
        <v>739</v>
      </c>
      <c r="C1888" s="21" t="s">
        <v>748</v>
      </c>
      <c r="E1888" s="22">
        <f>IF(D1888="?OLD","!!!","")</f>
        <v/>
      </c>
      <c r="F1888" s="23" t="str">
        <f>IF(OR(E1888="",E1888="!!!"),"",IF(NOT(ISNA(VLOOKUP(E1888,E$1:E1887,1,FALSE()))),"OLD",IF(AND(E1888&lt;&gt;"",E1888&lt;&gt;"!!!"),"NEW","")))</f>
        <v> </v>
      </c>
      <c r="G1888" s="24" t="str">
        <f>IF(OR(E1888="",E1888="!!!"),"",IF(OR(J1888=0,AND(J1888=1,K1888=1),AND(J1888=1,I1888="SBJ"),AND(J1888=1,I1888=0)),"?IN_FOCUS",IF(J1888&lt;=2,"?ACTIVATED",IF(J1888&lt;&gt;"","?FAMILIAR",IF(F1888="NEW",IF(ISNA(VLOOKUP(E1888,#REF!,1,FALSE())),"?TYPE_IDENTIFIABLE","?REFERENTIAL"),"_")))))</f>
        <v> </v>
      </c>
      <c r="H1888" s="25" t="str">
        <f>IF(J1888&lt;&gt;1,"",IF(I1888="SBJ","CB","?"))</f>
        <v> </v>
      </c>
      <c r="I1888" s="26" t="str">
        <f>IF(OR(E1888="",E1888="!!!",F1888="NEW"),"",INDEX(B1887:B$2,-1+SUMPRODUCT(MAX(ROW(E1887:E$2)*(E1888=E1887:E$2)))))</f>
        <v> </v>
      </c>
      <c r="J1888" s="26" t="str">
        <f>IF(OR(E1888="",E1888="!!!",F1888="NEW"),"",COUNTBLANK(OFFSET(A$1,,,SUMPRODUCT(MAX(ROW(E$2:E1888)*(E1888=E$2:E1888)))))-COUNTBLANK(OFFSET(A$1,,,SUMPRODUCT(MAX(ROW(E$1:E1887)*(E2=E$1:E1887))))))</f>
        <v> </v>
      </c>
      <c r="K1888" s="26" t="str">
        <f>IF(OR(E1888="",E1888="!!!",F1888="NEW"),"",INDEX(J$1:J1887,SUMPRODUCT(MAX(ROW(E$1:E1887)*(E1888=E$1:E1887)))))</f>
        <v> </v>
      </c>
      <c r="L1888" s="27"/>
    </row>
    <row r="1889" spans="1:12">
      <c r="A1889" s="20" t="s">
        <v>759</v>
      </c>
      <c r="E1889" s="22">
        <f>IF(D1889="?OLD","!!!","")</f>
        <v/>
      </c>
      <c r="F1889" s="23" t="str">
        <f>IF(OR(E1889="",E1889="!!!"),"",IF(NOT(ISNA(VLOOKUP(E1889,E$1:E1888,1,FALSE()))),"OLD",IF(AND(E1889&lt;&gt;"",E1889&lt;&gt;"!!!"),"NEW","")))</f>
        <v> </v>
      </c>
      <c r="G1889" s="24" t="str">
        <f>IF(OR(E1889="",E1889="!!!"),"",IF(OR(J1889=0,AND(J1889=1,K1889=1),AND(J1889=1,I1889="SBJ"),AND(J1889=1,I1889=0)),"?IN_FOCUS",IF(J1889&lt;=2,"?ACTIVATED",IF(J1889&lt;&gt;"","?FAMILIAR",IF(F1889="NEW",IF(ISNA(VLOOKUP(E1889,#REF!,1,FALSE())),"?TYPE_IDENTIFIABLE","?REFERENTIAL"),"_")))))</f>
        <v> </v>
      </c>
      <c r="H1889" s="25" t="str">
        <f>IF(J1889&lt;&gt;1,"",IF(I1889="SBJ","CB","?"))</f>
        <v> </v>
      </c>
      <c r="I1889" s="26" t="str">
        <f>IF(OR(E1889="",E1889="!!!",F1889="NEW"),"",INDEX(B1888:B$2,-1+SUMPRODUCT(MAX(ROW(E1888:E$2)*(E1889=E1888:E$2)))))</f>
        <v> </v>
      </c>
      <c r="J1889" s="26" t="str">
        <f>IF(OR(E1889="",E1889="!!!",F1889="NEW"),"",COUNTBLANK(OFFSET(A$1,,,SUMPRODUCT(MAX(ROW(E$2:E1889)*(E1889=E$2:E1889)))))-COUNTBLANK(OFFSET(A$1,,,SUMPRODUCT(MAX(ROW(E$1:E1888)*(E2=E$1:E1888))))))</f>
        <v> </v>
      </c>
      <c r="K1889" s="26" t="str">
        <f>IF(OR(E1889="",E1889="!!!",F1889="NEW"),"",INDEX(J$1:J1888,SUMPRODUCT(MAX(ROW(E$1:E1888)*(E1889=E$1:E1888)))))</f>
        <v> </v>
      </c>
      <c r="L1889" s="27"/>
    </row>
    <row r="1890" spans="1:12">
      <c r="A1890" s="20" t="s">
        <v>813</v>
      </c>
      <c r="B1890" s="21" t="s">
        <v>777</v>
      </c>
      <c r="E1890" s="22">
        <f>IF(D1890="?OLD","!!!","")</f>
        <v/>
      </c>
      <c r="F1890" s="23" t="str">
        <f>IF(OR(E1890="",E1890="!!!"),"",IF(NOT(ISNA(VLOOKUP(E1890,E$1:E1889,1,FALSE()))),"OLD",IF(AND(E1890&lt;&gt;"",E1890&lt;&gt;"!!!"),"NEW","")))</f>
        <v> </v>
      </c>
      <c r="G1890" s="24" t="str">
        <f>IF(OR(E1890="",E1890="!!!"),"",IF(OR(J1890=0,AND(J1890=1,K1890=1),AND(J1890=1,I1890="SBJ"),AND(J1890=1,I1890=0)),"?IN_FOCUS",IF(J1890&lt;=2,"?ACTIVATED",IF(J1890&lt;&gt;"","?FAMILIAR",IF(F1890="NEW",IF(ISNA(VLOOKUP(E1890,#REF!,1,FALSE())),"?TYPE_IDENTIFIABLE","?REFERENTIAL"),"_")))))</f>
        <v> </v>
      </c>
      <c r="H1890" s="25" t="str">
        <f>IF(J1890&lt;&gt;1,"",IF(I1890="SBJ","CB","?"))</f>
        <v> </v>
      </c>
      <c r="I1890" s="26" t="str">
        <f>IF(OR(E1890="",E1890="!!!",F1890="NEW"),"",INDEX(B1889:B$2,-1+SUMPRODUCT(MAX(ROW(E1889:E$2)*(E1890=E1889:E$2)))))</f>
        <v> </v>
      </c>
      <c r="J1890" s="26" t="str">
        <f>IF(OR(E1890="",E1890="!!!",F1890="NEW"),"",COUNTBLANK(OFFSET(A$1,,,SUMPRODUCT(MAX(ROW(E$2:E1890)*(E1890=E$2:E1890)))))-COUNTBLANK(OFFSET(A$1,,,SUMPRODUCT(MAX(ROW(E$1:E1889)*(E2=E$1:E1889))))))</f>
        <v> </v>
      </c>
      <c r="K1890" s="26" t="str">
        <f>IF(OR(E1890="",E1890="!!!",F1890="NEW"),"",INDEX(J$1:J1889,SUMPRODUCT(MAX(ROW(E$1:E1889)*(E1890=E$1:E1889)))))</f>
        <v> </v>
      </c>
      <c r="L1890" s="27"/>
    </row>
    <row r="1891" spans="1:12">
      <c r="A1891" s="20" t="s">
        <v>1494</v>
      </c>
      <c r="E1891" s="22">
        <f>IF(D1891="?OLD","!!!","")</f>
        <v/>
      </c>
      <c r="F1891" s="23" t="str">
        <f>IF(OR(E1891="",E1891="!!!"),"",IF(NOT(ISNA(VLOOKUP(E1891,E$1:E1890,1,FALSE()))),"OLD",IF(AND(E1891&lt;&gt;"",E1891&lt;&gt;"!!!"),"NEW","")))</f>
        <v> </v>
      </c>
      <c r="G1891" s="24" t="str">
        <f>IF(OR(E1891="",E1891="!!!"),"",IF(OR(J1891=0,AND(J1891=1,K1891=1),AND(J1891=1,I1891="SBJ"),AND(J1891=1,I1891=0)),"?IN_FOCUS",IF(J1891&lt;=2,"?ACTIVATED",IF(J1891&lt;&gt;"","?FAMILIAR",IF(F1891="NEW",IF(ISNA(VLOOKUP(E1891,#REF!,1,FALSE())),"?TYPE_IDENTIFIABLE","?REFERENTIAL"),"_")))))</f>
        <v> </v>
      </c>
      <c r="H1891" s="25" t="str">
        <f>IF(J1891&lt;&gt;1,"",IF(I1891="SBJ","CB","?"))</f>
        <v> </v>
      </c>
      <c r="I1891" s="26" t="str">
        <f>IF(OR(E1891="",E1891="!!!",F1891="NEW"),"",INDEX(B1890:B$2,-1+SUMPRODUCT(MAX(ROW(E1890:E$2)*(E1891=E1890:E$2)))))</f>
        <v> </v>
      </c>
      <c r="J1891" s="26" t="str">
        <f>IF(OR(E1891="",E1891="!!!",F1891="NEW"),"",COUNTBLANK(OFFSET(A$1,,,SUMPRODUCT(MAX(ROW(E$2:E1891)*(E1891=E$2:E1891)))))-COUNTBLANK(OFFSET(A$1,,,SUMPRODUCT(MAX(ROW(E$1:E1890)*(E2=E$1:E1890))))))</f>
        <v> </v>
      </c>
      <c r="K1891" s="26" t="str">
        <f>IF(OR(E1891="",E1891="!!!",F1891="NEW"),"",INDEX(J$1:J1890,SUMPRODUCT(MAX(ROW(E$1:E1890)*(E1891=E$1:E1890)))))</f>
        <v> </v>
      </c>
      <c r="L1891" s="27"/>
    </row>
    <row r="1892" spans="1:12">
      <c r="A1892" s="20" t="s">
        <v>902</v>
      </c>
      <c r="E1892" s="22">
        <f>IF(D1892="?OLD","!!!","")</f>
        <v/>
      </c>
      <c r="F1892" s="23" t="str">
        <f>IF(OR(E1892="",E1892="!!!"),"",IF(NOT(ISNA(VLOOKUP(E1892,E$1:E1891,1,FALSE()))),"OLD",IF(AND(E1892&lt;&gt;"",E1892&lt;&gt;"!!!"),"NEW","")))</f>
        <v> </v>
      </c>
      <c r="G1892" s="24" t="str">
        <f>IF(OR(E1892="",E1892="!!!"),"",IF(OR(J1892=0,AND(J1892=1,K1892=1),AND(J1892=1,I1892="SBJ"),AND(J1892=1,I1892=0)),"?IN_FOCUS",IF(J1892&lt;=2,"?ACTIVATED",IF(J1892&lt;&gt;"","?FAMILIAR",IF(F1892="NEW",IF(ISNA(VLOOKUP(E1892,#REF!,1,FALSE())),"?TYPE_IDENTIFIABLE","?REFERENTIAL"),"_")))))</f>
        <v> </v>
      </c>
      <c r="H1892" s="25" t="str">
        <f>IF(J1892&lt;&gt;1,"",IF(I1892="SBJ","CB","?"))</f>
        <v> </v>
      </c>
      <c r="I1892" s="26" t="str">
        <f>IF(OR(E1892="",E1892="!!!",F1892="NEW"),"",INDEX(B1891:B$2,-1+SUMPRODUCT(MAX(ROW(E1891:E$2)*(E1892=E1891:E$2)))))</f>
        <v> </v>
      </c>
      <c r="J1892" s="26" t="str">
        <f>IF(OR(E1892="",E1892="!!!",F1892="NEW"),"",COUNTBLANK(OFFSET(A$1,,,SUMPRODUCT(MAX(ROW(E$2:E1892)*(E1892=E$2:E1892)))))-COUNTBLANK(OFFSET(A$1,,,SUMPRODUCT(MAX(ROW(E$1:E1891)*(E2=E$1:E1891))))))</f>
        <v> </v>
      </c>
      <c r="K1892" s="26" t="str">
        <f>IF(OR(E1892="",E1892="!!!",F1892="NEW"),"",INDEX(J$1:J1891,SUMPRODUCT(MAX(ROW(E$1:E1891)*(E1892=E$1:E1891)))))</f>
        <v> </v>
      </c>
      <c r="L1892" s="27"/>
    </row>
    <row r="1893" spans="1:12">
      <c r="A1893" s="20" t="s">
        <v>1495</v>
      </c>
      <c r="B1893" s="21" t="s">
        <v>777</v>
      </c>
      <c r="C1893" s="21" t="s">
        <v>756</v>
      </c>
      <c r="E1893" s="22">
        <f>IF(D1893="?OLD","!!!","")</f>
        <v/>
      </c>
      <c r="F1893" s="23" t="str">
        <f>IF(OR(E1893="",E1893="!!!"),"",IF(NOT(ISNA(VLOOKUP(E1893,E$1:E1892,1,FALSE()))),"OLD",IF(AND(E1893&lt;&gt;"",E1893&lt;&gt;"!!!"),"NEW","")))</f>
        <v> </v>
      </c>
      <c r="G1893" s="24" t="str">
        <f>IF(OR(E1893="",E1893="!!!"),"",IF(OR(J1893=0,AND(J1893=1,K1893=1),AND(J1893=1,I1893="SBJ"),AND(J1893=1,I1893=0)),"?IN_FOCUS",IF(J1893&lt;=2,"?ACTIVATED",IF(J1893&lt;&gt;"","?FAMILIAR",IF(F1893="NEW",IF(ISNA(VLOOKUP(E1893,#REF!,1,FALSE())),"?TYPE_IDENTIFIABLE","?REFERENTIAL"),"_")))))</f>
        <v> </v>
      </c>
      <c r="H1893" s="25" t="str">
        <f>IF(J1893&lt;&gt;1,"",IF(I1893="SBJ","CB","?"))</f>
        <v> </v>
      </c>
      <c r="I1893" s="26" t="str">
        <f>IF(OR(E1893="",E1893="!!!",F1893="NEW"),"",INDEX(B1892:B$2,-1+SUMPRODUCT(MAX(ROW(E1892:E$2)*(E1893=E1892:E$2)))))</f>
        <v> </v>
      </c>
      <c r="J1893" s="26" t="str">
        <f>IF(OR(E1893="",E1893="!!!",F1893="NEW"),"",COUNTBLANK(OFFSET(A$1,,,SUMPRODUCT(MAX(ROW(E$2:E1893)*(E1893=E$2:E1893)))))-COUNTBLANK(OFFSET(A$1,,,SUMPRODUCT(MAX(ROW(E$1:E1892)*(E2=E$1:E1892))))))</f>
        <v> </v>
      </c>
      <c r="K1893" s="26" t="str">
        <f>IF(OR(E1893="",E1893="!!!",F1893="NEW"),"",INDEX(J$1:J1892,SUMPRODUCT(MAX(ROW(E$1:E1892)*(E1893=E$1:E1892)))))</f>
        <v> </v>
      </c>
      <c r="L1893" s="27"/>
    </row>
    <row r="1894" spans="1:12">
      <c r="A1894" s="20" t="s">
        <v>1496</v>
      </c>
      <c r="E1894" s="22">
        <f>IF(D1894="?OLD","!!!","")</f>
        <v/>
      </c>
      <c r="F1894" s="23" t="str">
        <f>IF(OR(E1894="",E1894="!!!"),"",IF(NOT(ISNA(VLOOKUP(E1894,E$1:E1893,1,FALSE()))),"OLD",IF(AND(E1894&lt;&gt;"",E1894&lt;&gt;"!!!"),"NEW","")))</f>
        <v> </v>
      </c>
      <c r="G1894" s="24" t="str">
        <f>IF(OR(E1894="",E1894="!!!"),"",IF(OR(J1894=0,AND(J1894=1,K1894=1),AND(J1894=1,I1894="SBJ"),AND(J1894=1,I1894=0)),"?IN_FOCUS",IF(J1894&lt;=2,"?ACTIVATED",IF(J1894&lt;&gt;"","?FAMILIAR",IF(F1894="NEW",IF(ISNA(VLOOKUP(E1894,#REF!,1,FALSE())),"?TYPE_IDENTIFIABLE","?REFERENTIAL"),"_")))))</f>
        <v> </v>
      </c>
      <c r="H1894" s="25" t="str">
        <f>IF(J1894&lt;&gt;1,"",IF(I1894="SBJ","CB","?"))</f>
        <v> </v>
      </c>
      <c r="I1894" s="26" t="str">
        <f>IF(OR(E1894="",E1894="!!!",F1894="NEW"),"",INDEX(B1893:B$2,-1+SUMPRODUCT(MAX(ROW(E1893:E$2)*(E1894=E1893:E$2)))))</f>
        <v> </v>
      </c>
      <c r="J1894" s="26" t="str">
        <f>IF(OR(E1894="",E1894="!!!",F1894="NEW"),"",COUNTBLANK(OFFSET(A$1,,,SUMPRODUCT(MAX(ROW(E$2:E1894)*(E1894=E$2:E1894)))))-COUNTBLANK(OFFSET(A$1,,,SUMPRODUCT(MAX(ROW(E$1:E1893)*(E2=E$1:E1893))))))</f>
        <v> </v>
      </c>
      <c r="K1894" s="26" t="str">
        <f>IF(OR(E1894="",E1894="!!!",F1894="NEW"),"",INDEX(J$1:J1893,SUMPRODUCT(MAX(ROW(E$1:E1893)*(E1894=E$1:E1893)))))</f>
        <v> </v>
      </c>
      <c r="L1894" s="27"/>
    </row>
    <row r="1895" spans="1:12">
      <c r="A1895" s="20" t="s">
        <v>1491</v>
      </c>
      <c r="E1895" s="22">
        <f>IF(D1895="?OLD","!!!","")</f>
        <v/>
      </c>
      <c r="F1895" s="23" t="str">
        <f>IF(OR(E1895="",E1895="!!!"),"",IF(NOT(ISNA(VLOOKUP(E1895,E$1:E1894,1,FALSE()))),"OLD",IF(AND(E1895&lt;&gt;"",E1895&lt;&gt;"!!!"),"NEW","")))</f>
        <v> </v>
      </c>
      <c r="G1895" s="24" t="str">
        <f>IF(OR(E1895="",E1895="!!!"),"",IF(OR(J1895=0,AND(J1895=1,K1895=1),AND(J1895=1,I1895="SBJ"),AND(J1895=1,I1895=0)),"?IN_FOCUS",IF(J1895&lt;=2,"?ACTIVATED",IF(J1895&lt;&gt;"","?FAMILIAR",IF(F1895="NEW",IF(ISNA(VLOOKUP(E1895,#REF!,1,FALSE())),"?TYPE_IDENTIFIABLE","?REFERENTIAL"),"_")))))</f>
        <v> </v>
      </c>
      <c r="H1895" s="25" t="str">
        <f>IF(J1895&lt;&gt;1,"",IF(I1895="SBJ","CB","?"))</f>
        <v> </v>
      </c>
      <c r="I1895" s="26" t="str">
        <f>IF(OR(E1895="",E1895="!!!",F1895="NEW"),"",INDEX(B1894:B$2,-1+SUMPRODUCT(MAX(ROW(E1894:E$2)*(E1895=E1894:E$2)))))</f>
        <v> </v>
      </c>
      <c r="J1895" s="26" t="str">
        <f>IF(OR(E1895="",E1895="!!!",F1895="NEW"),"",COUNTBLANK(OFFSET(A$1,,,SUMPRODUCT(MAX(ROW(E$2:E1895)*(E1895=E$2:E1895)))))-COUNTBLANK(OFFSET(A$1,,,SUMPRODUCT(MAX(ROW(E$1:E1894)*(E2=E$1:E1894))))))</f>
        <v> </v>
      </c>
      <c r="K1895" s="26" t="str">
        <f>IF(OR(E1895="",E1895="!!!",F1895="NEW"),"",INDEX(J$1:J1894,SUMPRODUCT(MAX(ROW(E$1:E1894)*(E1895=E$1:E1894)))))</f>
        <v> </v>
      </c>
      <c r="L1895" s="27"/>
    </row>
    <row r="1896" spans="1:12">
      <c r="A1896" s="20" t="s">
        <v>1001</v>
      </c>
      <c r="E1896" s="22">
        <f>IF(D1896="?OLD","!!!","")</f>
        <v/>
      </c>
      <c r="F1896" s="23" t="str">
        <f>IF(OR(E1896="",E1896="!!!"),"",IF(NOT(ISNA(VLOOKUP(E1896,E$1:E1895,1,FALSE()))),"OLD",IF(AND(E1896&lt;&gt;"",E1896&lt;&gt;"!!!"),"NEW","")))</f>
        <v> </v>
      </c>
      <c r="G1896" s="24" t="str">
        <f>IF(OR(E1896="",E1896="!!!"),"",IF(OR(J1896=0,AND(J1896=1,K1896=1),AND(J1896=1,I1896="SBJ"),AND(J1896=1,I1896=0)),"?IN_FOCUS",IF(J1896&lt;=2,"?ACTIVATED",IF(J1896&lt;&gt;"","?FAMILIAR",IF(F1896="NEW",IF(ISNA(VLOOKUP(E1896,#REF!,1,FALSE())),"?TYPE_IDENTIFIABLE","?REFERENTIAL"),"_")))))</f>
        <v> </v>
      </c>
      <c r="H1896" s="25" t="str">
        <f>IF(J1896&lt;&gt;1,"",IF(I1896="SBJ","CB","?"))</f>
        <v> </v>
      </c>
      <c r="I1896" s="26" t="str">
        <f>IF(OR(E1896="",E1896="!!!",F1896="NEW"),"",INDEX(B1895:B$2,-1+SUMPRODUCT(MAX(ROW(E1895:E$2)*(E1896=E1895:E$2)))))</f>
        <v> </v>
      </c>
      <c r="J1896" s="26" t="str">
        <f>IF(OR(E1896="",E1896="!!!",F1896="NEW"),"",COUNTBLANK(OFFSET(A$1,,,SUMPRODUCT(MAX(ROW(E$2:E1896)*(E1896=E$2:E1896)))))-COUNTBLANK(OFFSET(A$1,,,SUMPRODUCT(MAX(ROW(E$1:E1895)*(E2=E$1:E1895))))))</f>
        <v> </v>
      </c>
      <c r="K1896" s="26" t="str">
        <f>IF(OR(E1896="",E1896="!!!",F1896="NEW"),"",INDEX(J$1:J1895,SUMPRODUCT(MAX(ROW(E$1:E1895)*(E1896=E$1:E1895)))))</f>
        <v> </v>
      </c>
      <c r="L1896" s="27"/>
    </row>
    <row r="1897" spans="1:12">
      <c r="A1897" s="20" t="s">
        <v>785</v>
      </c>
      <c r="E1897" s="22">
        <f>IF(D1897="?OLD","!!!","")</f>
        <v/>
      </c>
      <c r="F1897" s="23" t="str">
        <f>IF(OR(E1897="",E1897="!!!"),"",IF(NOT(ISNA(VLOOKUP(E1897,E$1:E1896,1,FALSE()))),"OLD",IF(AND(E1897&lt;&gt;"",E1897&lt;&gt;"!!!"),"NEW","")))</f>
        <v> </v>
      </c>
      <c r="G1897" s="24" t="str">
        <f>IF(OR(E1897="",E1897="!!!"),"",IF(OR(J1897=0,AND(J1897=1,K1897=1),AND(J1897=1,I1897="SBJ"),AND(J1897=1,I1897=0)),"?IN_FOCUS",IF(J1897&lt;=2,"?ACTIVATED",IF(J1897&lt;&gt;"","?FAMILIAR",IF(F1897="NEW",IF(ISNA(VLOOKUP(E1897,#REF!,1,FALSE())),"?TYPE_IDENTIFIABLE","?REFERENTIAL"),"_")))))</f>
        <v> </v>
      </c>
      <c r="H1897" s="25" t="str">
        <f>IF(J1897&lt;&gt;1,"",IF(I1897="SBJ","CB","?"))</f>
        <v> </v>
      </c>
      <c r="I1897" s="26" t="str">
        <f>IF(OR(E1897="",E1897="!!!",F1897="NEW"),"",INDEX(B1896:B$2,-1+SUMPRODUCT(MAX(ROW(E1896:E$2)*(E1897=E1896:E$2)))))</f>
        <v> </v>
      </c>
      <c r="J1897" s="26" t="str">
        <f>IF(OR(E1897="",E1897="!!!",F1897="NEW"),"",COUNTBLANK(OFFSET(A$1,,,SUMPRODUCT(MAX(ROW(E$2:E1897)*(E1897=E$2:E1897)))))-COUNTBLANK(OFFSET(A$1,,,SUMPRODUCT(MAX(ROW(E$1:E1896)*(E2=E$1:E1896))))))</f>
        <v> </v>
      </c>
      <c r="K1897" s="26" t="str">
        <f>IF(OR(E1897="",E1897="!!!",F1897="NEW"),"",INDEX(J$1:J1896,SUMPRODUCT(MAX(ROW(E$1:E1896)*(E1897=E$1:E1896)))))</f>
        <v> </v>
      </c>
      <c r="L1897" s="27"/>
    </row>
    <row r="1898" spans="1:12">
      <c r="A1898" s="20" t="s">
        <v>1107</v>
      </c>
      <c r="E1898" s="22">
        <f>IF(D1898="?OLD","!!!","")</f>
        <v/>
      </c>
      <c r="F1898" s="23" t="str">
        <f>IF(OR(E1898="",E1898="!!!"),"",IF(NOT(ISNA(VLOOKUP(E1898,E$1:E1897,1,FALSE()))),"OLD",IF(AND(E1898&lt;&gt;"",E1898&lt;&gt;"!!!"),"NEW","")))</f>
        <v> </v>
      </c>
      <c r="G1898" s="24" t="str">
        <f>IF(OR(E1898="",E1898="!!!"),"",IF(OR(J1898=0,AND(J1898=1,K1898=1),AND(J1898=1,I1898="SBJ"),AND(J1898=1,I1898=0)),"?IN_FOCUS",IF(J1898&lt;=2,"?ACTIVATED",IF(J1898&lt;&gt;"","?FAMILIAR",IF(F1898="NEW",IF(ISNA(VLOOKUP(E1898,#REF!,1,FALSE())),"?TYPE_IDENTIFIABLE","?REFERENTIAL"),"_")))))</f>
        <v> </v>
      </c>
      <c r="H1898" s="25" t="str">
        <f>IF(J1898&lt;&gt;1,"",IF(I1898="SBJ","CB","?"))</f>
        <v> </v>
      </c>
      <c r="I1898" s="26" t="str">
        <f>IF(OR(E1898="",E1898="!!!",F1898="NEW"),"",INDEX(B1897:B$2,-1+SUMPRODUCT(MAX(ROW(E1897:E$2)*(E1898=E1897:E$2)))))</f>
        <v> </v>
      </c>
      <c r="J1898" s="26" t="str">
        <f>IF(OR(E1898="",E1898="!!!",F1898="NEW"),"",COUNTBLANK(OFFSET(A$1,,,SUMPRODUCT(MAX(ROW(E$2:E1898)*(E1898=E$2:E1898)))))-COUNTBLANK(OFFSET(A$1,,,SUMPRODUCT(MAX(ROW(E$1:E1897)*(E2=E$1:E1897))))))</f>
        <v> </v>
      </c>
      <c r="K1898" s="26" t="str">
        <f>IF(OR(E1898="",E1898="!!!",F1898="NEW"),"",INDEX(J$1:J1897,SUMPRODUCT(MAX(ROW(E$1:E1897)*(E1898=E$1:E1897)))))</f>
        <v> </v>
      </c>
      <c r="L1898" s="27"/>
    </row>
    <row r="1899" spans="1:12">
      <c r="A1899" s="20" t="s">
        <v>813</v>
      </c>
      <c r="B1899" s="21" t="s">
        <v>1497</v>
      </c>
      <c r="C1899" s="21" t="s">
        <v>789</v>
      </c>
      <c r="D1899" s="21" t="s">
        <v>730</v>
      </c>
      <c r="E1899" s="22">
        <f>IF(D1899="?OLD","!!!","")</f>
        <v/>
      </c>
      <c r="F1899" s="23" t="str">
        <f>IF(OR(E1899="",E1899="!!!"),"",IF(NOT(ISNA(VLOOKUP(E1899,E$1:E1898,1,FALSE()))),"OLD",IF(AND(E1899&lt;&gt;"",E1899&lt;&gt;"!!!"),"NEW","")))</f>
        <v> </v>
      </c>
      <c r="G1899" s="24" t="str">
        <f>IF(OR(E1899="",E1899="!!!"),"",IF(OR(J1899=0,AND(J1899=1,K1899=1),AND(J1899=1,I1899="SBJ"),AND(J1899=1,I1899=0)),"?IN_FOCUS",IF(J1899&lt;=2,"?ACTIVATED",IF(J1899&lt;&gt;"","?FAMILIAR",IF(F1899="NEW",IF(ISNA(VLOOKUP(E1899,#REF!,1,FALSE())),"?TYPE_IDENTIFIABLE","?REFERENTIAL"),"_")))))</f>
        <v> </v>
      </c>
      <c r="H1899" s="25" t="str">
        <f>IF(J1899&lt;&gt;1,"",IF(I1899="SBJ","CB","?"))</f>
        <v> </v>
      </c>
      <c r="I1899" s="26" t="str">
        <f>IF(OR(E1899="",E1899="!!!",F1899="NEW"),"",INDEX(B1898:B$2,-1+SUMPRODUCT(MAX(ROW(E1898:E$2)*(E1899=E1898:E$2)))))</f>
        <v> </v>
      </c>
      <c r="J1899" s="26" t="str">
        <f>IF(OR(E1899="",E1899="!!!",F1899="NEW"),"",COUNTBLANK(OFFSET(A$1,,,SUMPRODUCT(MAX(ROW(E$2:E1899)*(E1899=E$2:E1899)))))-COUNTBLANK(OFFSET(A$1,,,SUMPRODUCT(MAX(ROW(E$1:E1898)*(E2=E$1:E1898))))))</f>
        <v> </v>
      </c>
      <c r="K1899" s="26" t="str">
        <f>IF(OR(E1899="",E1899="!!!",F1899="NEW"),"",INDEX(J$1:J1898,SUMPRODUCT(MAX(ROW(E$1:E1898)*(E1899=E$1:E1898)))))</f>
        <v> </v>
      </c>
      <c r="L1899" s="27"/>
    </row>
    <row r="1900" spans="1:12">
      <c r="A1900" s="20" t="s">
        <v>813</v>
      </c>
      <c r="E1900" s="22">
        <f>IF(D1900="?OLD","!!!","")</f>
        <v/>
      </c>
      <c r="F1900" s="23" t="str">
        <f>IF(OR(E1900="",E1900="!!!"),"",IF(NOT(ISNA(VLOOKUP(E1900,E$1:E1899,1,FALSE()))),"OLD",IF(AND(E1900&lt;&gt;"",E1900&lt;&gt;"!!!"),"NEW","")))</f>
        <v> </v>
      </c>
      <c r="G1900" s="24" t="str">
        <f>IF(OR(E1900="",E1900="!!!"),"",IF(OR(J1900=0,AND(J1900=1,K1900=1),AND(J1900=1,I1900="SBJ"),AND(J1900=1,I1900=0)),"?IN_FOCUS",IF(J1900&lt;=2,"?ACTIVATED",IF(J1900&lt;&gt;"","?FAMILIAR",IF(F1900="NEW",IF(ISNA(VLOOKUP(E1900,#REF!,1,FALSE())),"?TYPE_IDENTIFIABLE","?REFERENTIAL"),"_")))))</f>
        <v> </v>
      </c>
      <c r="H1900" s="25" t="str">
        <f>IF(J1900&lt;&gt;1,"",IF(I1900="SBJ","CB","?"))</f>
        <v> </v>
      </c>
      <c r="I1900" s="26" t="str">
        <f>IF(OR(E1900="",E1900="!!!",F1900="NEW"),"",INDEX(B1899:B$2,-1+SUMPRODUCT(MAX(ROW(E1899:E$2)*(E1900=E1899:E$2)))))</f>
        <v> </v>
      </c>
      <c r="J1900" s="26" t="str">
        <f>IF(OR(E1900="",E1900="!!!",F1900="NEW"),"",COUNTBLANK(OFFSET(A$1,,,SUMPRODUCT(MAX(ROW(E$2:E1900)*(E1900=E$2:E1900)))))-COUNTBLANK(OFFSET(A$1,,,SUMPRODUCT(MAX(ROW(E$1:E1899)*(E2=E$1:E1899))))))</f>
        <v> </v>
      </c>
      <c r="K1900" s="26" t="str">
        <f>IF(OR(E1900="",E1900="!!!",F1900="NEW"),"",INDEX(J$1:J1899,SUMPRODUCT(MAX(ROW(E$1:E1899)*(E1900=E$1:E1899)))))</f>
        <v> </v>
      </c>
      <c r="L1900" s="27"/>
    </row>
    <row r="1901" spans="1:12">
      <c r="A1901" s="20" t="s">
        <v>1468</v>
      </c>
      <c r="B1901" s="21" t="s">
        <v>1130</v>
      </c>
      <c r="C1901" s="21" t="s">
        <v>753</v>
      </c>
      <c r="D1901" s="21" t="s">
        <v>730</v>
      </c>
      <c r="E1901" s="22">
        <f>IF(D1901="?OLD","!!!","")</f>
        <v/>
      </c>
      <c r="F1901" s="23" t="str">
        <f>IF(OR(E1901="",E1901="!!!"),"",IF(NOT(ISNA(VLOOKUP(E1901,E$1:E1900,1,FALSE()))),"OLD",IF(AND(E1901&lt;&gt;"",E1901&lt;&gt;"!!!"),"NEW","")))</f>
        <v> </v>
      </c>
      <c r="G1901" s="24" t="str">
        <f>IF(OR(E1901="",E1901="!!!"),"",IF(OR(J1901=0,AND(J1901=1,K1901=1),AND(J1901=1,I1901="SBJ"),AND(J1901=1,I1901=0)),"?IN_FOCUS",IF(J1901&lt;=2,"?ACTIVATED",IF(J1901&lt;&gt;"","?FAMILIAR",IF(F1901="NEW",IF(ISNA(VLOOKUP(E1901,#REF!,1,FALSE())),"?TYPE_IDENTIFIABLE","?REFERENTIAL"),"_")))))</f>
        <v> </v>
      </c>
      <c r="H1901" s="25" t="str">
        <f>IF(J1901&lt;&gt;1,"",IF(I1901="SBJ","CB","?"))</f>
        <v> </v>
      </c>
      <c r="I1901" s="26" t="str">
        <f>IF(OR(E1901="",E1901="!!!",F1901="NEW"),"",INDEX(B1900:B$2,-1+SUMPRODUCT(MAX(ROW(E1900:E$2)*(E1901=E1900:E$2)))))</f>
        <v> </v>
      </c>
      <c r="J1901" s="26" t="str">
        <f>IF(OR(E1901="",E1901="!!!",F1901="NEW"),"",COUNTBLANK(OFFSET(A$1,,,SUMPRODUCT(MAX(ROW(E$2:E1901)*(E1901=E$2:E1901)))))-COUNTBLANK(OFFSET(A$1,,,SUMPRODUCT(MAX(ROW(E$1:E1900)*(E2=E$1:E1900))))))</f>
        <v> </v>
      </c>
      <c r="K1901" s="26" t="str">
        <f>IF(OR(E1901="",E1901="!!!",F1901="NEW"),"",INDEX(J$1:J1900,SUMPRODUCT(MAX(ROW(E$1:E1900)*(E1901=E$1:E1900)))))</f>
        <v> </v>
      </c>
      <c r="L1901" s="27"/>
    </row>
    <row r="1902" spans="1:12">
      <c r="A1902" s="20" t="s">
        <v>754</v>
      </c>
      <c r="B1902" s="21" t="s">
        <v>1498</v>
      </c>
      <c r="C1902" s="21" t="s">
        <v>756</v>
      </c>
      <c r="E1902" s="22">
        <f>IF(D1902="?OLD","!!!","")</f>
        <v/>
      </c>
      <c r="F1902" s="23" t="str">
        <f>IF(OR(E1902="",E1902="!!!"),"",IF(NOT(ISNA(VLOOKUP(E1902,E$1:E1901,1,FALSE()))),"OLD",IF(AND(E1902&lt;&gt;"",E1902&lt;&gt;"!!!"),"NEW","")))</f>
        <v> </v>
      </c>
      <c r="G1902" s="24" t="str">
        <f>IF(OR(E1902="",E1902="!!!"),"",IF(OR(J1902=0,AND(J1902=1,K1902=1),AND(J1902=1,I1902="SBJ"),AND(J1902=1,I1902=0)),"?IN_FOCUS",IF(J1902&lt;=2,"?ACTIVATED",IF(J1902&lt;&gt;"","?FAMILIAR",IF(F1902="NEW",IF(ISNA(VLOOKUP(E1902,#REF!,1,FALSE())),"?TYPE_IDENTIFIABLE","?REFERENTIAL"),"_")))))</f>
        <v> </v>
      </c>
      <c r="H1902" s="25" t="str">
        <f>IF(J1902&lt;&gt;1,"",IF(I1902="SBJ","CB","?"))</f>
        <v> </v>
      </c>
      <c r="I1902" s="26" t="str">
        <f>IF(OR(E1902="",E1902="!!!",F1902="NEW"),"",INDEX(B1901:B$2,-1+SUMPRODUCT(MAX(ROW(E1901:E$2)*(E1902=E1901:E$2)))))</f>
        <v> </v>
      </c>
      <c r="J1902" s="26" t="str">
        <f>IF(OR(E1902="",E1902="!!!",F1902="NEW"),"",COUNTBLANK(OFFSET(A$1,,,SUMPRODUCT(MAX(ROW(E$2:E1902)*(E1902=E$2:E1902)))))-COUNTBLANK(OFFSET(A$1,,,SUMPRODUCT(MAX(ROW(E$1:E1901)*(E2=E$1:E1901))))))</f>
        <v> </v>
      </c>
      <c r="K1902" s="26" t="str">
        <f>IF(OR(E1902="",E1902="!!!",F1902="NEW"),"",INDEX(J$1:J1901,SUMPRODUCT(MAX(ROW(E$1:E1901)*(E1902=E$1:E1901)))))</f>
        <v> </v>
      </c>
      <c r="L1902" s="27"/>
    </row>
    <row r="1903" spans="1:12">
      <c r="A1903" s="20" t="s">
        <v>751</v>
      </c>
      <c r="E1903" s="22">
        <f>IF(D1903="?OLD","!!!","")</f>
        <v/>
      </c>
      <c r="F1903" s="23" t="str">
        <f>IF(OR(E1903="",E1903="!!!"),"",IF(NOT(ISNA(VLOOKUP(E1903,E$1:E1902,1,FALSE()))),"OLD",IF(AND(E1903&lt;&gt;"",E1903&lt;&gt;"!!!"),"NEW","")))</f>
        <v> </v>
      </c>
      <c r="G1903" s="24" t="str">
        <f>IF(OR(E1903="",E1903="!!!"),"",IF(OR(J1903=0,AND(J1903=1,K1903=1),AND(J1903=1,I1903="SBJ"),AND(J1903=1,I1903=0)),"?IN_FOCUS",IF(J1903&lt;=2,"?ACTIVATED",IF(J1903&lt;&gt;"","?FAMILIAR",IF(F1903="NEW",IF(ISNA(VLOOKUP(E1903,#REF!,1,FALSE())),"?TYPE_IDENTIFIABLE","?REFERENTIAL"),"_")))))</f>
        <v> </v>
      </c>
      <c r="H1903" s="25" t="str">
        <f>IF(J1903&lt;&gt;1,"",IF(I1903="SBJ","CB","?"))</f>
        <v> </v>
      </c>
      <c r="I1903" s="26" t="str">
        <f>IF(OR(E1903="",E1903="!!!",F1903="NEW"),"",INDEX(B1902:B$2,-1+SUMPRODUCT(MAX(ROW(E1902:E$2)*(E1903=E1902:E$2)))))</f>
        <v> </v>
      </c>
      <c r="J1903" s="26" t="str">
        <f>IF(OR(E1903="",E1903="!!!",F1903="NEW"),"",COUNTBLANK(OFFSET(A$1,,,SUMPRODUCT(MAX(ROW(E$2:E1903)*(E1903=E$2:E1903)))))-COUNTBLANK(OFFSET(A$1,,,SUMPRODUCT(MAX(ROW(E$1:E1902)*(E2=E$1:E1902))))))</f>
        <v> </v>
      </c>
      <c r="K1903" s="26" t="str">
        <f>IF(OR(E1903="",E1903="!!!",F1903="NEW"),"",INDEX(J$1:J1902,SUMPRODUCT(MAX(ROW(E$1:E1902)*(E1903=E$1:E1902)))))</f>
        <v> </v>
      </c>
      <c r="L1903" s="27"/>
    </row>
    <row r="1904" spans="1:12">
      <c r="A1904" s="20" t="s">
        <v>1499</v>
      </c>
      <c r="B1904" s="21" t="s">
        <v>1497</v>
      </c>
      <c r="C1904" s="21" t="s">
        <v>753</v>
      </c>
      <c r="D1904" s="21" t="s">
        <v>730</v>
      </c>
      <c r="E1904" s="22">
        <f>IF(D1904="?OLD","!!!","")</f>
        <v/>
      </c>
      <c r="F1904" s="23" t="str">
        <f>IF(OR(E1904="",E1904="!!!"),"",IF(NOT(ISNA(VLOOKUP(E1904,E$1:E1903,1,FALSE()))),"OLD",IF(AND(E1904&lt;&gt;"",E1904&lt;&gt;"!!!"),"NEW","")))</f>
        <v> </v>
      </c>
      <c r="G1904" s="24" t="str">
        <f>IF(OR(E1904="",E1904="!!!"),"",IF(OR(J1904=0,AND(J1904=1,K1904=1),AND(J1904=1,I1904="SBJ"),AND(J1904=1,I1904=0)),"?IN_FOCUS",IF(J1904&lt;=2,"?ACTIVATED",IF(J1904&lt;&gt;"","?FAMILIAR",IF(F1904="NEW",IF(ISNA(VLOOKUP(E1904,#REF!,1,FALSE())),"?TYPE_IDENTIFIABLE","?REFERENTIAL"),"_")))))</f>
        <v> </v>
      </c>
      <c r="H1904" s="25" t="str">
        <f>IF(J1904&lt;&gt;1,"",IF(I1904="SBJ","CB","?"))</f>
        <v> </v>
      </c>
      <c r="I1904" s="26" t="str">
        <f>IF(OR(E1904="",E1904="!!!",F1904="NEW"),"",INDEX(B1903:B$2,-1+SUMPRODUCT(MAX(ROW(E1903:E$2)*(E1904=E1903:E$2)))))</f>
        <v> </v>
      </c>
      <c r="J1904" s="26" t="str">
        <f>IF(OR(E1904="",E1904="!!!",F1904="NEW"),"",COUNTBLANK(OFFSET(A$1,,,SUMPRODUCT(MAX(ROW(E$2:E1904)*(E1904=E$2:E1904)))))-COUNTBLANK(OFFSET(A$1,,,SUMPRODUCT(MAX(ROW(E$1:E1903)*(E2=E$1:E1903))))))</f>
        <v> </v>
      </c>
      <c r="K1904" s="26" t="str">
        <f>IF(OR(E1904="",E1904="!!!",F1904="NEW"),"",INDEX(J$1:J1903,SUMPRODUCT(MAX(ROW(E$1:E1903)*(E1904=E$1:E1903)))))</f>
        <v> </v>
      </c>
      <c r="L1904" s="27"/>
    </row>
    <row r="1905" spans="1:12">
      <c r="A1905" s="20" t="s">
        <v>759</v>
      </c>
      <c r="E1905" s="22">
        <f>IF(D1905="?OLD","!!!","")</f>
        <v/>
      </c>
      <c r="F1905" s="23" t="str">
        <f>IF(OR(E1905="",E1905="!!!"),"",IF(NOT(ISNA(VLOOKUP(E1905,E$1:E1904,1,FALSE()))),"OLD",IF(AND(E1905&lt;&gt;"",E1905&lt;&gt;"!!!"),"NEW","")))</f>
        <v> </v>
      </c>
      <c r="G1905" s="24" t="str">
        <f>IF(OR(E1905="",E1905="!!!"),"",IF(OR(J1905=0,AND(J1905=1,K1905=1),AND(J1905=1,I1905="SBJ"),AND(J1905=1,I1905=0)),"?IN_FOCUS",IF(J1905&lt;=2,"?ACTIVATED",IF(J1905&lt;&gt;"","?FAMILIAR",IF(F1905="NEW",IF(ISNA(VLOOKUP(E1905,#REF!,1,FALSE())),"?TYPE_IDENTIFIABLE","?REFERENTIAL"),"_")))))</f>
        <v> </v>
      </c>
      <c r="H1905" s="25" t="str">
        <f>IF(J1905&lt;&gt;1,"",IF(I1905="SBJ","CB","?"))</f>
        <v> </v>
      </c>
      <c r="I1905" s="26" t="str">
        <f>IF(OR(E1905="",E1905="!!!",F1905="NEW"),"",INDEX(B1904:B$2,-1+SUMPRODUCT(MAX(ROW(E1904:E$2)*(E1905=E1904:E$2)))))</f>
        <v> </v>
      </c>
      <c r="J1905" s="26" t="str">
        <f>IF(OR(E1905="",E1905="!!!",F1905="NEW"),"",COUNTBLANK(OFFSET(A$1,,,SUMPRODUCT(MAX(ROW(E$2:E1905)*(E1905=E$2:E1905)))))-COUNTBLANK(OFFSET(A$1,,,SUMPRODUCT(MAX(ROW(E$1:E1904)*(E2=E$1:E1904))))))</f>
        <v> </v>
      </c>
      <c r="K1905" s="26" t="str">
        <f>IF(OR(E1905="",E1905="!!!",F1905="NEW"),"",INDEX(J$1:J1904,SUMPRODUCT(MAX(ROW(E$1:E1904)*(E1905=E$1:E1904)))))</f>
        <v> </v>
      </c>
      <c r="L1905" s="27"/>
    </row>
    <row r="1906" spans="1:12">
      <c r="A1906" s="20" t="s">
        <v>920</v>
      </c>
      <c r="E1906" s="22">
        <f>IF(D1906="?OLD","!!!","")</f>
        <v/>
      </c>
      <c r="F1906" s="23" t="str">
        <f>IF(OR(E1906="",E1906="!!!"),"",IF(NOT(ISNA(VLOOKUP(E1906,E$1:E1905,1,FALSE()))),"OLD",IF(AND(E1906&lt;&gt;"",E1906&lt;&gt;"!!!"),"NEW","")))</f>
        <v> </v>
      </c>
      <c r="G1906" s="24" t="str">
        <f>IF(OR(E1906="",E1906="!!!"),"",IF(OR(J1906=0,AND(J1906=1,K1906=1),AND(J1906=1,I1906="SBJ"),AND(J1906=1,I1906=0)),"?IN_FOCUS",IF(J1906&lt;=2,"?ACTIVATED",IF(J1906&lt;&gt;"","?FAMILIAR",IF(F1906="NEW",IF(ISNA(VLOOKUP(E1906,#REF!,1,FALSE())),"?TYPE_IDENTIFIABLE","?REFERENTIAL"),"_")))))</f>
        <v> </v>
      </c>
      <c r="H1906" s="25" t="str">
        <f>IF(J1906&lt;&gt;1,"",IF(I1906="SBJ","CB","?"))</f>
        <v> </v>
      </c>
      <c r="I1906" s="26" t="str">
        <f>IF(OR(E1906="",E1906="!!!",F1906="NEW"),"",INDEX(B1905:B$2,-1+SUMPRODUCT(MAX(ROW(E1905:E$2)*(E1906=E1905:E$2)))))</f>
        <v> </v>
      </c>
      <c r="J1906" s="26" t="str">
        <f>IF(OR(E1906="",E1906="!!!",F1906="NEW"),"",COUNTBLANK(OFFSET(A$1,,,SUMPRODUCT(MAX(ROW(E$2:E1906)*(E1906=E$2:E1906)))))-COUNTBLANK(OFFSET(A$1,,,SUMPRODUCT(MAX(ROW(E$1:E1905)*(E2=E$1:E1905))))))</f>
        <v> </v>
      </c>
      <c r="K1906" s="26" t="str">
        <f>IF(OR(E1906="",E1906="!!!",F1906="NEW"),"",INDEX(J$1:J1905,SUMPRODUCT(MAX(ROW(E$1:E1905)*(E1906=E$1:E1905)))))</f>
        <v> </v>
      </c>
      <c r="L1906" s="27"/>
    </row>
    <row r="1907" spans="1:12">
      <c r="A1907" s="20" t="s">
        <v>859</v>
      </c>
      <c r="B1907" s="21" t="s">
        <v>1500</v>
      </c>
      <c r="C1907" s="21" t="s">
        <v>789</v>
      </c>
      <c r="D1907" s="21" t="s">
        <v>730</v>
      </c>
      <c r="E1907" s="22">
        <f>IF(D1907="?OLD","!!!","")</f>
        <v/>
      </c>
      <c r="F1907" s="23" t="str">
        <f>IF(OR(E1907="",E1907="!!!"),"",IF(NOT(ISNA(VLOOKUP(E1907,E$1:E1906,1,FALSE()))),"OLD",IF(AND(E1907&lt;&gt;"",E1907&lt;&gt;"!!!"),"NEW","")))</f>
        <v> </v>
      </c>
      <c r="G1907" s="24" t="str">
        <f>IF(OR(E1907="",E1907="!!!"),"",IF(OR(J1907=0,AND(J1907=1,K1907=1),AND(J1907=1,I1907="SBJ"),AND(J1907=1,I1907=0)),"?IN_FOCUS",IF(J1907&lt;=2,"?ACTIVATED",IF(J1907&lt;&gt;"","?FAMILIAR",IF(F1907="NEW",IF(ISNA(VLOOKUP(E1907,#REF!,1,FALSE())),"?TYPE_IDENTIFIABLE","?REFERENTIAL"),"_")))))</f>
        <v> </v>
      </c>
      <c r="H1907" s="25" t="str">
        <f>IF(J1907&lt;&gt;1,"",IF(I1907="SBJ","CB","?"))</f>
        <v> </v>
      </c>
      <c r="I1907" s="26" t="str">
        <f>IF(OR(E1907="",E1907="!!!",F1907="NEW"),"",INDEX(B1906:B$2,-1+SUMPRODUCT(MAX(ROW(E1906:E$2)*(E1907=E1906:E$2)))))</f>
        <v> </v>
      </c>
      <c r="J1907" s="26" t="str">
        <f>IF(OR(E1907="",E1907="!!!",F1907="NEW"),"",COUNTBLANK(OFFSET(A$1,,,SUMPRODUCT(MAX(ROW(E$2:E1907)*(E1907=E$2:E1907)))))-COUNTBLANK(OFFSET(A$1,,,SUMPRODUCT(MAX(ROW(E$1:E1906)*(E2=E$1:E1906))))))</f>
        <v> </v>
      </c>
      <c r="K1907" s="26" t="str">
        <f>IF(OR(E1907="",E1907="!!!",F1907="NEW"),"",INDEX(J$1:J1906,SUMPRODUCT(MAX(ROW(E$1:E1906)*(E1907=E$1:E1906)))))</f>
        <v> </v>
      </c>
      <c r="L1907" s="27"/>
    </row>
    <row r="1908" spans="1:12">
      <c r="A1908" s="20" t="s">
        <v>928</v>
      </c>
      <c r="B1908" s="21" t="s">
        <v>1501</v>
      </c>
      <c r="C1908" s="21" t="s">
        <v>789</v>
      </c>
      <c r="D1908" s="21" t="s">
        <v>730</v>
      </c>
      <c r="E1908" s="22">
        <f>IF(D1908="?OLD","!!!","")</f>
        <v/>
      </c>
      <c r="F1908" s="23" t="str">
        <f>IF(OR(E1908="",E1908="!!!"),"",IF(NOT(ISNA(VLOOKUP(E1908,E$1:E1907,1,FALSE()))),"OLD",IF(AND(E1908&lt;&gt;"",E1908&lt;&gt;"!!!"),"NEW","")))</f>
        <v> </v>
      </c>
      <c r="G1908" s="24" t="str">
        <f>IF(OR(E1908="",E1908="!!!"),"",IF(OR(J1908=0,AND(J1908=1,K1908=1),AND(J1908=1,I1908="SBJ"),AND(J1908=1,I1908=0)),"?IN_FOCUS",IF(J1908&lt;=2,"?ACTIVATED",IF(J1908&lt;&gt;"","?FAMILIAR",IF(F1908="NEW",IF(ISNA(VLOOKUP(E1908,#REF!,1,FALSE())),"?TYPE_IDENTIFIABLE","?REFERENTIAL"),"_")))))</f>
        <v> </v>
      </c>
      <c r="H1908" s="25" t="str">
        <f>IF(J1908&lt;&gt;1,"",IF(I1908="SBJ","CB","?"))</f>
        <v> </v>
      </c>
      <c r="I1908" s="26" t="str">
        <f>IF(OR(E1908="",E1908="!!!",F1908="NEW"),"",INDEX(B1907:B$2,-1+SUMPRODUCT(MAX(ROW(E1907:E$2)*(E1908=E1907:E$2)))))</f>
        <v> </v>
      </c>
      <c r="J1908" s="26" t="str">
        <f>IF(OR(E1908="",E1908="!!!",F1908="NEW"),"",COUNTBLANK(OFFSET(A$1,,,SUMPRODUCT(MAX(ROW(E$2:E1908)*(E1908=E$2:E1908)))))-COUNTBLANK(OFFSET(A$1,,,SUMPRODUCT(MAX(ROW(E$1:E1907)*(E2=E$1:E1907))))))</f>
        <v> </v>
      </c>
      <c r="K1908" s="26" t="str">
        <f>IF(OR(E1908="",E1908="!!!",F1908="NEW"),"",INDEX(J$1:J1907,SUMPRODUCT(MAX(ROW(E$1:E1907)*(E1908=E$1:E1907)))))</f>
        <v> </v>
      </c>
      <c r="L1908" s="27"/>
    </row>
    <row r="1909" spans="1:12">
      <c r="A1909" s="20" t="s">
        <v>1216</v>
      </c>
      <c r="E1909" s="22">
        <f>IF(D1909="?OLD","!!!","")</f>
        <v/>
      </c>
      <c r="F1909" s="23" t="str">
        <f>IF(OR(E1909="",E1909="!!!"),"",IF(NOT(ISNA(VLOOKUP(E1909,E$1:E1908,1,FALSE()))),"OLD",IF(AND(E1909&lt;&gt;"",E1909&lt;&gt;"!!!"),"NEW","")))</f>
        <v> </v>
      </c>
      <c r="G1909" s="24" t="str">
        <f>IF(OR(E1909="",E1909="!!!"),"",IF(OR(J1909=0,AND(J1909=1,K1909=1),AND(J1909=1,I1909="SBJ"),AND(J1909=1,I1909=0)),"?IN_FOCUS",IF(J1909&lt;=2,"?ACTIVATED",IF(J1909&lt;&gt;"","?FAMILIAR",IF(F1909="NEW",IF(ISNA(VLOOKUP(E1909,#REF!,1,FALSE())),"?TYPE_IDENTIFIABLE","?REFERENTIAL"),"_")))))</f>
        <v> </v>
      </c>
      <c r="H1909" s="25" t="str">
        <f>IF(J1909&lt;&gt;1,"",IF(I1909="SBJ","CB","?"))</f>
        <v> </v>
      </c>
      <c r="I1909" s="26" t="str">
        <f>IF(OR(E1909="",E1909="!!!",F1909="NEW"),"",INDEX(B1908:B$2,-1+SUMPRODUCT(MAX(ROW(E1908:E$2)*(E1909=E1908:E$2)))))</f>
        <v> </v>
      </c>
      <c r="J1909" s="26" t="str">
        <f>IF(OR(E1909="",E1909="!!!",F1909="NEW"),"",COUNTBLANK(OFFSET(A$1,,,SUMPRODUCT(MAX(ROW(E$2:E1909)*(E1909=E$2:E1909)))))-COUNTBLANK(OFFSET(A$1,,,SUMPRODUCT(MAX(ROW(E$1:E1908)*(E2=E$1:E1908))))))</f>
        <v> </v>
      </c>
      <c r="K1909" s="26" t="str">
        <f>IF(OR(E1909="",E1909="!!!",F1909="NEW"),"",INDEX(J$1:J1908,SUMPRODUCT(MAX(ROW(E$1:E1908)*(E1909=E$1:E1908)))))</f>
        <v> </v>
      </c>
      <c r="L1909" s="27"/>
    </row>
    <row r="1910" spans="1:12">
      <c r="A1910" s="20" t="s">
        <v>759</v>
      </c>
      <c r="E1910" s="22">
        <f>IF(D1910="?OLD","!!!","")</f>
        <v/>
      </c>
      <c r="F1910" s="23" t="str">
        <f>IF(OR(E1910="",E1910="!!!"),"",IF(NOT(ISNA(VLOOKUP(E1910,E$1:E1909,1,FALSE()))),"OLD",IF(AND(E1910&lt;&gt;"",E1910&lt;&gt;"!!!"),"NEW","")))</f>
        <v> </v>
      </c>
      <c r="G1910" s="24" t="str">
        <f>IF(OR(E1910="",E1910="!!!"),"",IF(OR(J1910=0,AND(J1910=1,K1910=1),AND(J1910=1,I1910="SBJ"),AND(J1910=1,I1910=0)),"?IN_FOCUS",IF(J1910&lt;=2,"?ACTIVATED",IF(J1910&lt;&gt;"","?FAMILIAR",IF(F1910="NEW",IF(ISNA(VLOOKUP(E1910,#REF!,1,FALSE())),"?TYPE_IDENTIFIABLE","?REFERENTIAL"),"_")))))</f>
        <v> </v>
      </c>
      <c r="H1910" s="25" t="str">
        <f>IF(J1910&lt;&gt;1,"",IF(I1910="SBJ","CB","?"))</f>
        <v> </v>
      </c>
      <c r="I1910" s="26" t="str">
        <f>IF(OR(E1910="",E1910="!!!",F1910="NEW"),"",INDEX(B1909:B$2,-1+SUMPRODUCT(MAX(ROW(E1909:E$2)*(E1910=E1909:E$2)))))</f>
        <v> </v>
      </c>
      <c r="J1910" s="26" t="str">
        <f>IF(OR(E1910="",E1910="!!!",F1910="NEW"),"",COUNTBLANK(OFFSET(A$1,,,SUMPRODUCT(MAX(ROW(E$2:E1910)*(E1910=E$2:E1910)))))-COUNTBLANK(OFFSET(A$1,,,SUMPRODUCT(MAX(ROW(E$1:E1909)*(E2=E$1:E1909))))))</f>
        <v> </v>
      </c>
      <c r="K1910" s="26" t="str">
        <f>IF(OR(E1910="",E1910="!!!",F1910="NEW"),"",INDEX(J$1:J1909,SUMPRODUCT(MAX(ROW(E$1:E1909)*(E1910=E$1:E1909)))))</f>
        <v> </v>
      </c>
      <c r="L1910" s="27"/>
    </row>
    <row r="1911" spans="1:12">
      <c r="A1911" s="20" t="s">
        <v>902</v>
      </c>
      <c r="E1911" s="22">
        <f>IF(D1911="?OLD","!!!","")</f>
        <v/>
      </c>
      <c r="F1911" s="23" t="str">
        <f>IF(OR(E1911="",E1911="!!!"),"",IF(NOT(ISNA(VLOOKUP(E1911,E$1:E1910,1,FALSE()))),"OLD",IF(AND(E1911&lt;&gt;"",E1911&lt;&gt;"!!!"),"NEW","")))</f>
        <v> </v>
      </c>
      <c r="G1911" s="24" t="str">
        <f>IF(OR(E1911="",E1911="!!!"),"",IF(OR(J1911=0,AND(J1911=1,K1911=1),AND(J1911=1,I1911="SBJ"),AND(J1911=1,I1911=0)),"?IN_FOCUS",IF(J1911&lt;=2,"?ACTIVATED",IF(J1911&lt;&gt;"","?FAMILIAR",IF(F1911="NEW",IF(ISNA(VLOOKUP(E1911,#REF!,1,FALSE())),"?TYPE_IDENTIFIABLE","?REFERENTIAL"),"_")))))</f>
        <v> </v>
      </c>
      <c r="H1911" s="25" t="str">
        <f>IF(J1911&lt;&gt;1,"",IF(I1911="SBJ","CB","?"))</f>
        <v> </v>
      </c>
      <c r="I1911" s="26" t="str">
        <f>IF(OR(E1911="",E1911="!!!",F1911="NEW"),"",INDEX(B1910:B$2,-1+SUMPRODUCT(MAX(ROW(E1910:E$2)*(E1911=E1910:E$2)))))</f>
        <v> </v>
      </c>
      <c r="J1911" s="26" t="str">
        <f>IF(OR(E1911="",E1911="!!!",F1911="NEW"),"",COUNTBLANK(OFFSET(A$1,,,SUMPRODUCT(MAX(ROW(E$2:E1911)*(E1911=E$2:E1911)))))-COUNTBLANK(OFFSET(A$1,,,SUMPRODUCT(MAX(ROW(E$1:E1910)*(E2=E$1:E1910))))))</f>
        <v> </v>
      </c>
      <c r="K1911" s="26" t="str">
        <f>IF(OR(E1911="",E1911="!!!",F1911="NEW"),"",INDEX(J$1:J1910,SUMPRODUCT(MAX(ROW(E$1:E1910)*(E1911=E$1:E1910)))))</f>
        <v> </v>
      </c>
      <c r="L1911" s="27"/>
    </row>
    <row r="1912" spans="1:12">
      <c r="A1912" s="20" t="s">
        <v>1502</v>
      </c>
      <c r="E1912" s="22">
        <f>IF(D1912="?OLD","!!!","")</f>
        <v/>
      </c>
      <c r="F1912" s="23" t="str">
        <f>IF(OR(E1912="",E1912="!!!"),"",IF(NOT(ISNA(VLOOKUP(E1912,E$1:E1911,1,FALSE()))),"OLD",IF(AND(E1912&lt;&gt;"",E1912&lt;&gt;"!!!"),"NEW","")))</f>
        <v> </v>
      </c>
      <c r="G1912" s="24" t="str">
        <f>IF(OR(E1912="",E1912="!!!"),"",IF(OR(J1912=0,AND(J1912=1,K1912=1),AND(J1912=1,I1912="SBJ"),AND(J1912=1,I1912=0)),"?IN_FOCUS",IF(J1912&lt;=2,"?ACTIVATED",IF(J1912&lt;&gt;"","?FAMILIAR",IF(F1912="NEW",IF(ISNA(VLOOKUP(E1912,#REF!,1,FALSE())),"?TYPE_IDENTIFIABLE","?REFERENTIAL"),"_")))))</f>
        <v> </v>
      </c>
      <c r="H1912" s="25" t="str">
        <f>IF(J1912&lt;&gt;1,"",IF(I1912="SBJ","CB","?"))</f>
        <v> </v>
      </c>
      <c r="I1912" s="26" t="str">
        <f>IF(OR(E1912="",E1912="!!!",F1912="NEW"),"",INDEX(B1911:B$2,-1+SUMPRODUCT(MAX(ROW(E1911:E$2)*(E1912=E1911:E$2)))))</f>
        <v> </v>
      </c>
      <c r="J1912" s="26" t="str">
        <f>IF(OR(E1912="",E1912="!!!",F1912="NEW"),"",COUNTBLANK(OFFSET(A$1,,,SUMPRODUCT(MAX(ROW(E$2:E1912)*(E1912=E$2:E1912)))))-COUNTBLANK(OFFSET(A$1,,,SUMPRODUCT(MAX(ROW(E$1:E1911)*(E2=E$1:E1911))))))</f>
        <v> </v>
      </c>
      <c r="K1912" s="26" t="str">
        <f>IF(OR(E1912="",E1912="!!!",F1912="NEW"),"",INDEX(J$1:J1911,SUMPRODUCT(MAX(ROW(E$1:E1911)*(E1912=E$1:E1911)))))</f>
        <v> </v>
      </c>
      <c r="L1912" s="27"/>
    </row>
    <row r="1913" spans="1:12">
      <c r="A1913" s="20" t="s">
        <v>1094</v>
      </c>
      <c r="B1913" s="21" t="s">
        <v>1503</v>
      </c>
      <c r="C1913" s="21" t="s">
        <v>789</v>
      </c>
      <c r="D1913" s="21" t="s">
        <v>730</v>
      </c>
      <c r="E1913" s="22">
        <f>IF(D1913="?OLD","!!!","")</f>
        <v/>
      </c>
      <c r="F1913" s="23" t="str">
        <f>IF(OR(E1913="",E1913="!!!"),"",IF(NOT(ISNA(VLOOKUP(E1913,E$1:E1912,1,FALSE()))),"OLD",IF(AND(E1913&lt;&gt;"",E1913&lt;&gt;"!!!"),"NEW","")))</f>
        <v> </v>
      </c>
      <c r="G1913" s="24" t="str">
        <f>IF(OR(E1913="",E1913="!!!"),"",IF(OR(J1913=0,AND(J1913=1,K1913=1),AND(J1913=1,I1913="SBJ"),AND(J1913=1,I1913=0)),"?IN_FOCUS",IF(J1913&lt;=2,"?ACTIVATED",IF(J1913&lt;&gt;"","?FAMILIAR",IF(F1913="NEW",IF(ISNA(VLOOKUP(E1913,#REF!,1,FALSE())),"?TYPE_IDENTIFIABLE","?REFERENTIAL"),"_")))))</f>
        <v> </v>
      </c>
      <c r="H1913" s="25" t="str">
        <f>IF(J1913&lt;&gt;1,"",IF(I1913="SBJ","CB","?"))</f>
        <v> </v>
      </c>
      <c r="I1913" s="26" t="str">
        <f>IF(OR(E1913="",E1913="!!!",F1913="NEW"),"",INDEX(B1912:B$2,-1+SUMPRODUCT(MAX(ROW(E1912:E$2)*(E1913=E1912:E$2)))))</f>
        <v> </v>
      </c>
      <c r="J1913" s="26" t="str">
        <f>IF(OR(E1913="",E1913="!!!",F1913="NEW"),"",COUNTBLANK(OFFSET(A$1,,,SUMPRODUCT(MAX(ROW(E$2:E1913)*(E1913=E$2:E1913)))))-COUNTBLANK(OFFSET(A$1,,,SUMPRODUCT(MAX(ROW(E$1:E1912)*(E2=E$1:E1912))))))</f>
        <v> </v>
      </c>
      <c r="K1913" s="26" t="str">
        <f>IF(OR(E1913="",E1913="!!!",F1913="NEW"),"",INDEX(J$1:J1912,SUMPRODUCT(MAX(ROW(E$1:E1912)*(E1913=E$1:E1912)))))</f>
        <v> </v>
      </c>
      <c r="L1913" s="27"/>
    </row>
    <row r="1914" spans="1:12">
      <c r="A1914" s="20" t="s">
        <v>1504</v>
      </c>
      <c r="B1914" s="21" t="s">
        <v>1505</v>
      </c>
      <c r="C1914" s="21" t="s">
        <v>967</v>
      </c>
      <c r="E1914" s="22">
        <f>IF(D1914="?OLD","!!!","")</f>
        <v/>
      </c>
      <c r="F1914" s="23" t="str">
        <f>IF(OR(E1914="",E1914="!!!"),"",IF(NOT(ISNA(VLOOKUP(E1914,E$1:E1913,1,FALSE()))),"OLD",IF(AND(E1914&lt;&gt;"",E1914&lt;&gt;"!!!"),"NEW","")))</f>
        <v> </v>
      </c>
      <c r="G1914" s="24" t="str">
        <f>IF(OR(E1914="",E1914="!!!"),"",IF(OR(J1914=0,AND(J1914=1,K1914=1),AND(J1914=1,I1914="SBJ"),AND(J1914=1,I1914=0)),"?IN_FOCUS",IF(J1914&lt;=2,"?ACTIVATED",IF(J1914&lt;&gt;"","?FAMILIAR",IF(F1914="NEW",IF(ISNA(VLOOKUP(E1914,#REF!,1,FALSE())),"?TYPE_IDENTIFIABLE","?REFERENTIAL"),"_")))))</f>
        <v> </v>
      </c>
      <c r="H1914" s="25" t="str">
        <f>IF(J1914&lt;&gt;1,"",IF(I1914="SBJ","CB","?"))</f>
        <v> </v>
      </c>
      <c r="I1914" s="26" t="str">
        <f>IF(OR(E1914="",E1914="!!!",F1914="NEW"),"",INDEX(B1913:B$2,-1+SUMPRODUCT(MAX(ROW(E1913:E$2)*(E1914=E1913:E$2)))))</f>
        <v> </v>
      </c>
      <c r="J1914" s="26" t="str">
        <f>IF(OR(E1914="",E1914="!!!",F1914="NEW"),"",COUNTBLANK(OFFSET(A$1,,,SUMPRODUCT(MAX(ROW(E$2:E1914)*(E1914=E$2:E1914)))))-COUNTBLANK(OFFSET(A$1,,,SUMPRODUCT(MAX(ROW(E$1:E1913)*(E2=E$1:E1913))))))</f>
        <v> </v>
      </c>
      <c r="K1914" s="26" t="str">
        <f>IF(OR(E1914="",E1914="!!!",F1914="NEW"),"",INDEX(J$1:J1913,SUMPRODUCT(MAX(ROW(E$1:E1913)*(E1914=E$1:E1913)))))</f>
        <v> </v>
      </c>
      <c r="L1914" s="27"/>
    </row>
    <row r="1915" spans="1:12">
      <c r="A1915" s="20" t="s">
        <v>1506</v>
      </c>
      <c r="E1915" s="22">
        <f>IF(D1915="?OLD","!!!","")</f>
        <v/>
      </c>
      <c r="F1915" s="23" t="str">
        <f>IF(OR(E1915="",E1915="!!!"),"",IF(NOT(ISNA(VLOOKUP(E1915,E$1:E1914,1,FALSE()))),"OLD",IF(AND(E1915&lt;&gt;"",E1915&lt;&gt;"!!!"),"NEW","")))</f>
        <v> </v>
      </c>
      <c r="G1915" s="24" t="str">
        <f>IF(OR(E1915="",E1915="!!!"),"",IF(OR(J1915=0,AND(J1915=1,K1915=1),AND(J1915=1,I1915="SBJ"),AND(J1915=1,I1915=0)),"?IN_FOCUS",IF(J1915&lt;=2,"?ACTIVATED",IF(J1915&lt;&gt;"","?FAMILIAR",IF(F1915="NEW",IF(ISNA(VLOOKUP(E1915,#REF!,1,FALSE())),"?TYPE_IDENTIFIABLE","?REFERENTIAL"),"_")))))</f>
        <v> </v>
      </c>
      <c r="H1915" s="25" t="str">
        <f>IF(J1915&lt;&gt;1,"",IF(I1915="SBJ","CB","?"))</f>
        <v> </v>
      </c>
      <c r="I1915" s="26" t="str">
        <f>IF(OR(E1915="",E1915="!!!",F1915="NEW"),"",INDEX(B1914:B$2,-1+SUMPRODUCT(MAX(ROW(E1914:E$2)*(E1915=E1914:E$2)))))</f>
        <v> </v>
      </c>
      <c r="J1915" s="26" t="str">
        <f>IF(OR(E1915="",E1915="!!!",F1915="NEW"),"",COUNTBLANK(OFFSET(A$1,,,SUMPRODUCT(MAX(ROW(E$2:E1915)*(E1915=E$2:E1915)))))-COUNTBLANK(OFFSET(A$1,,,SUMPRODUCT(MAX(ROW(E$1:E1914)*(E2=E$1:E1914))))))</f>
        <v> </v>
      </c>
      <c r="K1915" s="26" t="str">
        <f>IF(OR(E1915="",E1915="!!!",F1915="NEW"),"",INDEX(J$1:J1914,SUMPRODUCT(MAX(ROW(E$1:E1914)*(E1915=E$1:E1914)))))</f>
        <v> </v>
      </c>
      <c r="L1915" s="27"/>
    </row>
    <row r="1916" spans="1:12">
      <c r="A1916" s="20" t="s">
        <v>1001</v>
      </c>
      <c r="E1916" s="22">
        <f>IF(D1916="?OLD","!!!","")</f>
        <v/>
      </c>
      <c r="F1916" s="23" t="str">
        <f>IF(OR(E1916="",E1916="!!!"),"",IF(NOT(ISNA(VLOOKUP(E1916,E$1:E1915,1,FALSE()))),"OLD",IF(AND(E1916&lt;&gt;"",E1916&lt;&gt;"!!!"),"NEW","")))</f>
        <v> </v>
      </c>
      <c r="G1916" s="24" t="str">
        <f>IF(OR(E1916="",E1916="!!!"),"",IF(OR(J1916=0,AND(J1916=1,K1916=1),AND(J1916=1,I1916="SBJ"),AND(J1916=1,I1916=0)),"?IN_FOCUS",IF(J1916&lt;=2,"?ACTIVATED",IF(J1916&lt;&gt;"","?FAMILIAR",IF(F1916="NEW",IF(ISNA(VLOOKUP(E1916,#REF!,1,FALSE())),"?TYPE_IDENTIFIABLE","?REFERENTIAL"),"_")))))</f>
        <v> </v>
      </c>
      <c r="H1916" s="25" t="str">
        <f>IF(J1916&lt;&gt;1,"",IF(I1916="SBJ","CB","?"))</f>
        <v> </v>
      </c>
      <c r="I1916" s="26" t="str">
        <f>IF(OR(E1916="",E1916="!!!",F1916="NEW"),"",INDEX(B1915:B$2,-1+SUMPRODUCT(MAX(ROW(E1915:E$2)*(E1916=E1915:E$2)))))</f>
        <v> </v>
      </c>
      <c r="J1916" s="26" t="str">
        <f>IF(OR(E1916="",E1916="!!!",F1916="NEW"),"",COUNTBLANK(OFFSET(A$1,,,SUMPRODUCT(MAX(ROW(E$2:E1916)*(E1916=E$2:E1916)))))-COUNTBLANK(OFFSET(A$1,,,SUMPRODUCT(MAX(ROW(E$1:E1915)*(E2=E$1:E1915))))))</f>
        <v> </v>
      </c>
      <c r="K1916" s="26" t="str">
        <f>IF(OR(E1916="",E1916="!!!",F1916="NEW"),"",INDEX(J$1:J1915,SUMPRODUCT(MAX(ROW(E$1:E1915)*(E1916=E$1:E1915)))))</f>
        <v> </v>
      </c>
      <c r="L1916" s="27"/>
    </row>
    <row r="1917" spans="1:12">
      <c r="A1917" s="20" t="s">
        <v>246</v>
      </c>
      <c r="E1917" s="22">
        <f>IF(D1917="?OLD","!!!","")</f>
        <v/>
      </c>
      <c r="F1917" s="23" t="str">
        <f>IF(OR(E1917="",E1917="!!!"),"",IF(NOT(ISNA(VLOOKUP(E1917,E$1:E1916,1,FALSE()))),"OLD",IF(AND(E1917&lt;&gt;"",E1917&lt;&gt;"!!!"),"NEW","")))</f>
        <v> </v>
      </c>
      <c r="G1917" s="24" t="str">
        <f>IF(OR(E1917="",E1917="!!!"),"",IF(OR(J1917=0,AND(J1917=1,K1917=1),AND(J1917=1,I1917="SBJ"),AND(J1917=1,I1917=0)),"?IN_FOCUS",IF(J1917&lt;=2,"?ACTIVATED",IF(J1917&lt;&gt;"","?FAMILIAR",IF(F1917="NEW",IF(ISNA(VLOOKUP(E1917,#REF!,1,FALSE())),"?TYPE_IDENTIFIABLE","?REFERENTIAL"),"_")))))</f>
        <v> </v>
      </c>
      <c r="H1917" s="25" t="str">
        <f>IF(J1917&lt;&gt;1,"",IF(I1917="SBJ","CB","?"))</f>
        <v> </v>
      </c>
      <c r="I1917" s="26" t="str">
        <f>IF(OR(E1917="",E1917="!!!",F1917="NEW"),"",INDEX(B1916:B$2,-1+SUMPRODUCT(MAX(ROW(E1916:E$2)*(E1917=E1916:E$2)))))</f>
        <v> </v>
      </c>
      <c r="J1917" s="26" t="str">
        <f>IF(OR(E1917="",E1917="!!!",F1917="NEW"),"",COUNTBLANK(OFFSET(A$1,,,SUMPRODUCT(MAX(ROW(E$2:E1917)*(E1917=E$2:E1917)))))-COUNTBLANK(OFFSET(A$1,,,SUMPRODUCT(MAX(ROW(E$1:E1916)*(E2=E$1:E1916))))))</f>
        <v> </v>
      </c>
      <c r="K1917" s="26" t="str">
        <f>IF(OR(E1917="",E1917="!!!",F1917="NEW"),"",INDEX(J$1:J1916,SUMPRODUCT(MAX(ROW(E$1:E1916)*(E1917=E$1:E1916)))))</f>
        <v> </v>
      </c>
      <c r="L1917" s="27"/>
    </row>
    <row r="1918" spans="1:12">
      <c r="A1918" s="20"/>
    </row>
    <row r="1919" spans="1:12">
      <c r="A1919" s="20" t="s">
        <v>1507</v>
      </c>
    </row>
    <row r="1920" spans="1:12">
      <c r="A1920" s="20" t="s">
        <v>883</v>
      </c>
      <c r="B1920" s="21" t="s">
        <v>728</v>
      </c>
      <c r="C1920" s="21" t="s">
        <v>801</v>
      </c>
      <c r="D1920" s="21" t="s">
        <v>730</v>
      </c>
      <c r="E1920" s="22">
        <f>IF(D1920="?OLD","!!!","")</f>
        <v/>
      </c>
      <c r="F1920" s="23" t="str">
        <f>IF(OR(E1920="",E1920="!!!"),"",IF(NOT(ISNA(VLOOKUP(E1920,E$1:E1919,1,FALSE()))),"OLD",IF(AND(E1920&lt;&gt;"",E1920&lt;&gt;"!!!"),"NEW","")))</f>
        <v> </v>
      </c>
      <c r="G1920" s="24" t="str">
        <f>IF(OR(E1920="",E1920="!!!"),"",IF(OR(J1920=0,AND(J1920=1,K1920=1),AND(J1920=1,I1920="SBJ"),AND(J1920=1,I1920=0)),"?IN_FOCUS",IF(J1920&lt;=2,"?ACTIVATED",IF(J1920&lt;&gt;"","?FAMILIAR",IF(F1920="NEW",IF(ISNA(VLOOKUP(E1920,#REF!,1,FALSE())),"?TYPE_IDENTIFIABLE","?REFERENTIAL"),"_")))))</f>
        <v> </v>
      </c>
      <c r="H1920" s="25" t="str">
        <f>IF(J1920&lt;&gt;1,"",IF(I1920="SBJ","CB","?"))</f>
        <v> </v>
      </c>
      <c r="I1920" s="26" t="str">
        <f>IF(OR(E1920="",E1920="!!!",F1920="NEW"),"",INDEX(B1919:B$2,-1+SUMPRODUCT(MAX(ROW(E1919:E$2)*(E1920=E1919:E$2)))))</f>
        <v> </v>
      </c>
      <c r="J1920" s="26" t="str">
        <f>IF(OR(E1920="",E1920="!!!",F1920="NEW"),"",COUNTBLANK(OFFSET(A$1,,,SUMPRODUCT(MAX(ROW(E$2:E1920)*(E1920=E$2:E1920)))))-COUNTBLANK(OFFSET(A$1,,,SUMPRODUCT(MAX(ROW(E$1:E1919)*(E2=E$1:E1919))))))</f>
        <v> </v>
      </c>
      <c r="K1920" s="26" t="str">
        <f>IF(OR(E1920="",E1920="!!!",F1920="NEW"),"",INDEX(J$1:J1919,SUMPRODUCT(MAX(ROW(E$1:E1919)*(E1920=E$1:E1919)))))</f>
        <v> </v>
      </c>
      <c r="L1920" s="27"/>
    </row>
    <row r="1921" spans="1:12">
      <c r="A1921" s="20" t="s">
        <v>884</v>
      </c>
      <c r="E1921" s="22">
        <f>IF(D1921="?OLD","!!!","")</f>
        <v/>
      </c>
      <c r="F1921" s="23" t="str">
        <f>IF(OR(E1921="",E1921="!!!"),"",IF(NOT(ISNA(VLOOKUP(E1921,E$1:E1920,1,FALSE()))),"OLD",IF(AND(E1921&lt;&gt;"",E1921&lt;&gt;"!!!"),"NEW","")))</f>
        <v> </v>
      </c>
      <c r="G1921" s="24" t="str">
        <f>IF(OR(E1921="",E1921="!!!"),"",IF(OR(J1921=0,AND(J1921=1,K1921=1),AND(J1921=1,I1921="SBJ"),AND(J1921=1,I1921=0)),"?IN_FOCUS",IF(J1921&lt;=2,"?ACTIVATED",IF(J1921&lt;&gt;"","?FAMILIAR",IF(F1921="NEW",IF(ISNA(VLOOKUP(E1921,#REF!,1,FALSE())),"?TYPE_IDENTIFIABLE","?REFERENTIAL"),"_")))))</f>
        <v> </v>
      </c>
      <c r="H1921" s="25" t="str">
        <f>IF(J1921&lt;&gt;1,"",IF(I1921="SBJ","CB","?"))</f>
        <v> </v>
      </c>
      <c r="I1921" s="26" t="str">
        <f>IF(OR(E1921="",E1921="!!!",F1921="NEW"),"",INDEX(B1920:B$2,-1+SUMPRODUCT(MAX(ROW(E1920:E$2)*(E1921=E1920:E$2)))))</f>
        <v> </v>
      </c>
      <c r="J1921" s="26" t="str">
        <f>IF(OR(E1921="",E1921="!!!",F1921="NEW"),"",COUNTBLANK(OFFSET(A$1,,,SUMPRODUCT(MAX(ROW(E$2:E1921)*(E1921=E$2:E1921)))))-COUNTBLANK(OFFSET(A$1,,,SUMPRODUCT(MAX(ROW(E$1:E1920)*(E2=E$1:E1920))))))</f>
        <v> </v>
      </c>
      <c r="K1921" s="26" t="str">
        <f>IF(OR(E1921="",E1921="!!!",F1921="NEW"),"",INDEX(J$1:J1920,SUMPRODUCT(MAX(ROW(E$1:E1920)*(E1921=E$1:E1920)))))</f>
        <v> </v>
      </c>
      <c r="L1921" s="27"/>
    </row>
    <row r="1922" spans="1:12">
      <c r="A1922" s="20" t="s">
        <v>970</v>
      </c>
      <c r="B1922" s="21" t="s">
        <v>764</v>
      </c>
      <c r="C1922" s="21" t="s">
        <v>729</v>
      </c>
      <c r="D1922" s="21" t="s">
        <v>730</v>
      </c>
      <c r="E1922" s="22">
        <f>IF(D1922="?OLD","!!!","")</f>
        <v/>
      </c>
      <c r="F1922" s="23" t="str">
        <f>IF(OR(E1922="",E1922="!!!"),"",IF(NOT(ISNA(VLOOKUP(E1922,E$1:E1921,1,FALSE()))),"OLD",IF(AND(E1922&lt;&gt;"",E1922&lt;&gt;"!!!"),"NEW","")))</f>
        <v> </v>
      </c>
      <c r="G1922" s="24" t="str">
        <f>IF(OR(E1922="",E1922="!!!"),"",IF(OR(J1922=0,AND(J1922=1,K1922=1),AND(J1922=1,I1922="SBJ"),AND(J1922=1,I1922=0)),"?IN_FOCUS",IF(J1922&lt;=2,"?ACTIVATED",IF(J1922&lt;&gt;"","?FAMILIAR",IF(F1922="NEW",IF(ISNA(VLOOKUP(E1922,#REF!,1,FALSE())),"?TYPE_IDENTIFIABLE","?REFERENTIAL"),"_")))))</f>
        <v> </v>
      </c>
      <c r="H1922" s="25" t="str">
        <f>IF(J1922&lt;&gt;1,"",IF(I1922="SBJ","CB","?"))</f>
        <v> </v>
      </c>
      <c r="I1922" s="26" t="str">
        <f>IF(OR(E1922="",E1922="!!!",F1922="NEW"),"",INDEX(B1921:B$2,-1+SUMPRODUCT(MAX(ROW(E1921:E$2)*(E1922=E1921:E$2)))))</f>
        <v> </v>
      </c>
      <c r="J1922" s="26" t="str">
        <f>IF(OR(E1922="",E1922="!!!",F1922="NEW"),"",COUNTBLANK(OFFSET(A$1,,,SUMPRODUCT(MAX(ROW(E$2:E1922)*(E1922=E$2:E1922)))))-COUNTBLANK(OFFSET(A$1,,,SUMPRODUCT(MAX(ROW(E$1:E1921)*(E2=E$1:E1921))))))</f>
        <v> </v>
      </c>
      <c r="K1922" s="26" t="str">
        <f>IF(OR(E1922="",E1922="!!!",F1922="NEW"),"",INDEX(J$1:J1921,SUMPRODUCT(MAX(ROW(E$1:E1921)*(E1922=E$1:E1921)))))</f>
        <v> </v>
      </c>
      <c r="L1922" s="27"/>
    </row>
    <row r="1923" spans="1:12">
      <c r="A1923" s="20" t="s">
        <v>1217</v>
      </c>
      <c r="E1923" s="22">
        <f>IF(D1923="?OLD","!!!","")</f>
        <v/>
      </c>
      <c r="F1923" s="23" t="str">
        <f>IF(OR(E1923="",E1923="!!!"),"",IF(NOT(ISNA(VLOOKUP(E1923,E$1:E1922,1,FALSE()))),"OLD",IF(AND(E1923&lt;&gt;"",E1923&lt;&gt;"!!!"),"NEW","")))</f>
        <v> </v>
      </c>
      <c r="G1923" s="24" t="str">
        <f>IF(OR(E1923="",E1923="!!!"),"",IF(OR(J1923=0,AND(J1923=1,K1923=1),AND(J1923=1,I1923="SBJ"),AND(J1923=1,I1923=0)),"?IN_FOCUS",IF(J1923&lt;=2,"?ACTIVATED",IF(J1923&lt;&gt;"","?FAMILIAR",IF(F1923="NEW",IF(ISNA(VLOOKUP(E1923,#REF!,1,FALSE())),"?TYPE_IDENTIFIABLE","?REFERENTIAL"),"_")))))</f>
        <v> </v>
      </c>
      <c r="H1923" s="25" t="str">
        <f>IF(J1923&lt;&gt;1,"",IF(I1923="SBJ","CB","?"))</f>
        <v> </v>
      </c>
      <c r="I1923" s="26" t="str">
        <f>IF(OR(E1923="",E1923="!!!",F1923="NEW"),"",INDEX(B1922:B$2,-1+SUMPRODUCT(MAX(ROW(E1922:E$2)*(E1923=E1922:E$2)))))</f>
        <v> </v>
      </c>
      <c r="J1923" s="26" t="str">
        <f>IF(OR(E1923="",E1923="!!!",F1923="NEW"),"",COUNTBLANK(OFFSET(A$1,,,SUMPRODUCT(MAX(ROW(E$2:E1923)*(E1923=E$2:E1923)))))-COUNTBLANK(OFFSET(A$1,,,SUMPRODUCT(MAX(ROW(E$1:E1922)*(E2=E$1:E1922))))))</f>
        <v> </v>
      </c>
      <c r="K1923" s="26" t="str">
        <f>IF(OR(E1923="",E1923="!!!",F1923="NEW"),"",INDEX(J$1:J1922,SUMPRODUCT(MAX(ROW(E$1:E1922)*(E1923=E$1:E1922)))))</f>
        <v> </v>
      </c>
      <c r="L1923" s="27"/>
    </row>
    <row r="1924" spans="1:12">
      <c r="A1924" s="20" t="s">
        <v>1508</v>
      </c>
      <c r="E1924" s="22">
        <f>IF(D1924="?OLD","!!!","")</f>
        <v/>
      </c>
      <c r="F1924" s="23" t="str">
        <f>IF(OR(E1924="",E1924="!!!"),"",IF(NOT(ISNA(VLOOKUP(E1924,E$1:E1923,1,FALSE()))),"OLD",IF(AND(E1924&lt;&gt;"",E1924&lt;&gt;"!!!"),"NEW","")))</f>
        <v> </v>
      </c>
      <c r="G1924" s="24" t="str">
        <f>IF(OR(E1924="",E1924="!!!"),"",IF(OR(J1924=0,AND(J1924=1,K1924=1),AND(J1924=1,I1924="SBJ"),AND(J1924=1,I1924=0)),"?IN_FOCUS",IF(J1924&lt;=2,"?ACTIVATED",IF(J1924&lt;&gt;"","?FAMILIAR",IF(F1924="NEW",IF(ISNA(VLOOKUP(E1924,#REF!,1,FALSE())),"?TYPE_IDENTIFIABLE","?REFERENTIAL"),"_")))))</f>
        <v> </v>
      </c>
      <c r="H1924" s="25" t="str">
        <f>IF(J1924&lt;&gt;1,"",IF(I1924="SBJ","CB","?"))</f>
        <v> </v>
      </c>
      <c r="I1924" s="26" t="str">
        <f>IF(OR(E1924="",E1924="!!!",F1924="NEW"),"",INDEX(B1923:B$2,-1+SUMPRODUCT(MAX(ROW(E1923:E$2)*(E1924=E1923:E$2)))))</f>
        <v> </v>
      </c>
      <c r="J1924" s="26" t="str">
        <f>IF(OR(E1924="",E1924="!!!",F1924="NEW"),"",COUNTBLANK(OFFSET(A$1,,,SUMPRODUCT(MAX(ROW(E$2:E1924)*(E1924=E$2:E1924)))))-COUNTBLANK(OFFSET(A$1,,,SUMPRODUCT(MAX(ROW(E$1:E1923)*(E2=E$1:E1923))))))</f>
        <v> </v>
      </c>
      <c r="K1924" s="26" t="str">
        <f>IF(OR(E1924="",E1924="!!!",F1924="NEW"),"",INDEX(J$1:J1923,SUMPRODUCT(MAX(ROW(E$1:E1923)*(E1924=E$1:E1923)))))</f>
        <v> </v>
      </c>
      <c r="L1924" s="27"/>
    </row>
    <row r="1925" spans="1:12">
      <c r="A1925" s="20" t="s">
        <v>406</v>
      </c>
      <c r="E1925" s="22">
        <f>IF(D1925="?OLD","!!!","")</f>
        <v/>
      </c>
      <c r="F1925" s="23" t="str">
        <f>IF(OR(E1925="",E1925="!!!"),"",IF(NOT(ISNA(VLOOKUP(E1925,E$1:E1924,1,FALSE()))),"OLD",IF(AND(E1925&lt;&gt;"",E1925&lt;&gt;"!!!"),"NEW","")))</f>
        <v> </v>
      </c>
      <c r="G1925" s="24" t="str">
        <f>IF(OR(E1925="",E1925="!!!"),"",IF(OR(J1925=0,AND(J1925=1,K1925=1),AND(J1925=1,I1925="SBJ"),AND(J1925=1,I1925=0)),"?IN_FOCUS",IF(J1925&lt;=2,"?ACTIVATED",IF(J1925&lt;&gt;"","?FAMILIAR",IF(F1925="NEW",IF(ISNA(VLOOKUP(E1925,#REF!,1,FALSE())),"?TYPE_IDENTIFIABLE","?REFERENTIAL"),"_")))))</f>
        <v> </v>
      </c>
      <c r="H1925" s="25" t="str">
        <f>IF(J1925&lt;&gt;1,"",IF(I1925="SBJ","CB","?"))</f>
        <v> </v>
      </c>
      <c r="I1925" s="26" t="str">
        <f>IF(OR(E1925="",E1925="!!!",F1925="NEW"),"",INDEX(B1924:B$2,-1+SUMPRODUCT(MAX(ROW(E1924:E$2)*(E1925=E1924:E$2)))))</f>
        <v> </v>
      </c>
      <c r="J1925" s="26" t="str">
        <f>IF(OR(E1925="",E1925="!!!",F1925="NEW"),"",COUNTBLANK(OFFSET(A$1,,,SUMPRODUCT(MAX(ROW(E$2:E1925)*(E1925=E$2:E1925)))))-COUNTBLANK(OFFSET(A$1,,,SUMPRODUCT(MAX(ROW(E$1:E1924)*(E2=E$1:E1924))))))</f>
        <v> </v>
      </c>
      <c r="K1925" s="26" t="str">
        <f>IF(OR(E1925="",E1925="!!!",F1925="NEW"),"",INDEX(J$1:J1924,SUMPRODUCT(MAX(ROW(E$1:E1924)*(E1925=E$1:E1924)))))</f>
        <v> </v>
      </c>
      <c r="L1925" s="27"/>
    </row>
    <row r="1926" spans="1:12">
      <c r="A1926" s="20" t="s">
        <v>759</v>
      </c>
      <c r="E1926" s="22">
        <f>IF(D1926="?OLD","!!!","")</f>
        <v/>
      </c>
      <c r="F1926" s="23" t="str">
        <f>IF(OR(E1926="",E1926="!!!"),"",IF(NOT(ISNA(VLOOKUP(E1926,E$1:E1925,1,FALSE()))),"OLD",IF(AND(E1926&lt;&gt;"",E1926&lt;&gt;"!!!"),"NEW","")))</f>
        <v> </v>
      </c>
      <c r="G1926" s="24" t="str">
        <f>IF(OR(E1926="",E1926="!!!"),"",IF(OR(J1926=0,AND(J1926=1,K1926=1),AND(J1926=1,I1926="SBJ"),AND(J1926=1,I1926=0)),"?IN_FOCUS",IF(J1926&lt;=2,"?ACTIVATED",IF(J1926&lt;&gt;"","?FAMILIAR",IF(F1926="NEW",IF(ISNA(VLOOKUP(E1926,#REF!,1,FALSE())),"?TYPE_IDENTIFIABLE","?REFERENTIAL"),"_")))))</f>
        <v> </v>
      </c>
      <c r="H1926" s="25" t="str">
        <f>IF(J1926&lt;&gt;1,"",IF(I1926="SBJ","CB","?"))</f>
        <v> </v>
      </c>
      <c r="I1926" s="26" t="str">
        <f>IF(OR(E1926="",E1926="!!!",F1926="NEW"),"",INDEX(B1925:B$2,-1+SUMPRODUCT(MAX(ROW(E1925:E$2)*(E1926=E1925:E$2)))))</f>
        <v> </v>
      </c>
      <c r="J1926" s="26" t="str">
        <f>IF(OR(E1926="",E1926="!!!",F1926="NEW"),"",COUNTBLANK(OFFSET(A$1,,,SUMPRODUCT(MAX(ROW(E$2:E1926)*(E1926=E$2:E1926)))))-COUNTBLANK(OFFSET(A$1,,,SUMPRODUCT(MAX(ROW(E$1:E1925)*(E2=E$1:E1925))))))</f>
        <v> </v>
      </c>
      <c r="K1926" s="26" t="str">
        <f>IF(OR(E1926="",E1926="!!!",F1926="NEW"),"",INDEX(J$1:J1925,SUMPRODUCT(MAX(ROW(E$1:E1925)*(E1926=E$1:E1925)))))</f>
        <v> </v>
      </c>
      <c r="L1926" s="27"/>
    </row>
    <row r="1927" spans="1:12">
      <c r="A1927" s="20" t="s">
        <v>785</v>
      </c>
      <c r="E1927" s="22">
        <f>IF(D1927="?OLD","!!!","")</f>
        <v/>
      </c>
      <c r="F1927" s="23" t="str">
        <f>IF(OR(E1927="",E1927="!!!"),"",IF(NOT(ISNA(VLOOKUP(E1927,E$1:E1926,1,FALSE()))),"OLD",IF(AND(E1927&lt;&gt;"",E1927&lt;&gt;"!!!"),"NEW","")))</f>
        <v> </v>
      </c>
      <c r="G1927" s="24" t="str">
        <f>IF(OR(E1927="",E1927="!!!"),"",IF(OR(J1927=0,AND(J1927=1,K1927=1),AND(J1927=1,I1927="SBJ"),AND(J1927=1,I1927=0)),"?IN_FOCUS",IF(J1927&lt;=2,"?ACTIVATED",IF(J1927&lt;&gt;"","?FAMILIAR",IF(F1927="NEW",IF(ISNA(VLOOKUP(E1927,#REF!,1,FALSE())),"?TYPE_IDENTIFIABLE","?REFERENTIAL"),"_")))))</f>
        <v> </v>
      </c>
      <c r="H1927" s="25" t="str">
        <f>IF(J1927&lt;&gt;1,"",IF(I1927="SBJ","CB","?"))</f>
        <v> </v>
      </c>
      <c r="I1927" s="26" t="str">
        <f>IF(OR(E1927="",E1927="!!!",F1927="NEW"),"",INDEX(B1926:B$2,-1+SUMPRODUCT(MAX(ROW(E1926:E$2)*(E1927=E1926:E$2)))))</f>
        <v> </v>
      </c>
      <c r="J1927" s="26" t="str">
        <f>IF(OR(E1927="",E1927="!!!",F1927="NEW"),"",COUNTBLANK(OFFSET(A$1,,,SUMPRODUCT(MAX(ROW(E$2:E1927)*(E1927=E$2:E1927)))))-COUNTBLANK(OFFSET(A$1,,,SUMPRODUCT(MAX(ROW(E$1:E1926)*(E2=E$1:E1926))))))</f>
        <v> </v>
      </c>
      <c r="K1927" s="26" t="str">
        <f>IF(OR(E1927="",E1927="!!!",F1927="NEW"),"",INDEX(J$1:J1926,SUMPRODUCT(MAX(ROW(E$1:E1926)*(E1927=E$1:E1926)))))</f>
        <v> </v>
      </c>
      <c r="L1927" s="27"/>
    </row>
    <row r="1928" spans="1:12">
      <c r="A1928" s="20" t="s">
        <v>750</v>
      </c>
      <c r="B1928" s="21" t="s">
        <v>796</v>
      </c>
      <c r="C1928" s="21" t="s">
        <v>729</v>
      </c>
      <c r="D1928" s="21" t="s">
        <v>730</v>
      </c>
      <c r="E1928" s="22">
        <f>IF(D1928="?OLD","!!!","")</f>
        <v/>
      </c>
      <c r="F1928" s="23" t="str">
        <f>IF(OR(E1928="",E1928="!!!"),"",IF(NOT(ISNA(VLOOKUP(E1928,E$1:E1927,1,FALSE()))),"OLD",IF(AND(E1928&lt;&gt;"",E1928&lt;&gt;"!!!"),"NEW","")))</f>
        <v> </v>
      </c>
      <c r="G1928" s="24" t="str">
        <f>IF(OR(E1928="",E1928="!!!"),"",IF(OR(J1928=0,AND(J1928=1,K1928=1),AND(J1928=1,I1928="SBJ"),AND(J1928=1,I1928=0)),"?IN_FOCUS",IF(J1928&lt;=2,"?ACTIVATED",IF(J1928&lt;&gt;"","?FAMILIAR",IF(F1928="NEW",IF(ISNA(VLOOKUP(E1928,#REF!,1,FALSE())),"?TYPE_IDENTIFIABLE","?REFERENTIAL"),"_")))))</f>
        <v> </v>
      </c>
      <c r="H1928" s="25" t="str">
        <f>IF(J1928&lt;&gt;1,"",IF(I1928="SBJ","CB","?"))</f>
        <v> </v>
      </c>
      <c r="I1928" s="26" t="str">
        <f>IF(OR(E1928="",E1928="!!!",F1928="NEW"),"",INDEX(B1927:B$2,-1+SUMPRODUCT(MAX(ROW(E1927:E$2)*(E1928=E1927:E$2)))))</f>
        <v> </v>
      </c>
      <c r="J1928" s="26" t="str">
        <f>IF(OR(E1928="",E1928="!!!",F1928="NEW"),"",COUNTBLANK(OFFSET(A$1,,,SUMPRODUCT(MAX(ROW(E$2:E1928)*(E1928=E$2:E1928)))))-COUNTBLANK(OFFSET(A$1,,,SUMPRODUCT(MAX(ROW(E$1:E1927)*(E2=E$1:E1927))))))</f>
        <v> </v>
      </c>
      <c r="K1928" s="26" t="str">
        <f>IF(OR(E1928="",E1928="!!!",F1928="NEW"),"",INDEX(J$1:J1927,SUMPRODUCT(MAX(ROW(E$1:E1927)*(E1928=E$1:E1927)))))</f>
        <v> </v>
      </c>
      <c r="L1928" s="27"/>
    </row>
    <row r="1929" spans="1:12">
      <c r="A1929" s="20" t="s">
        <v>1368</v>
      </c>
      <c r="E1929" s="22">
        <f>IF(D1929="?OLD","!!!","")</f>
        <v/>
      </c>
      <c r="F1929" s="23" t="str">
        <f>IF(OR(E1929="",E1929="!!!"),"",IF(NOT(ISNA(VLOOKUP(E1929,E$1:E1928,1,FALSE()))),"OLD",IF(AND(E1929&lt;&gt;"",E1929&lt;&gt;"!!!"),"NEW","")))</f>
        <v> </v>
      </c>
      <c r="G1929" s="24" t="str">
        <f>IF(OR(E1929="",E1929="!!!"),"",IF(OR(J1929=0,AND(J1929=1,K1929=1),AND(J1929=1,I1929="SBJ"),AND(J1929=1,I1929=0)),"?IN_FOCUS",IF(J1929&lt;=2,"?ACTIVATED",IF(J1929&lt;&gt;"","?FAMILIAR",IF(F1929="NEW",IF(ISNA(VLOOKUP(E1929,#REF!,1,FALSE())),"?TYPE_IDENTIFIABLE","?REFERENTIAL"),"_")))))</f>
        <v> </v>
      </c>
      <c r="H1929" s="25" t="str">
        <f>IF(J1929&lt;&gt;1,"",IF(I1929="SBJ","CB","?"))</f>
        <v> </v>
      </c>
      <c r="I1929" s="26" t="str">
        <f>IF(OR(E1929="",E1929="!!!",F1929="NEW"),"",INDEX(B1928:B$2,-1+SUMPRODUCT(MAX(ROW(E1928:E$2)*(E1929=E1928:E$2)))))</f>
        <v> </v>
      </c>
      <c r="J1929" s="26" t="str">
        <f>IF(OR(E1929="",E1929="!!!",F1929="NEW"),"",COUNTBLANK(OFFSET(A$1,,,SUMPRODUCT(MAX(ROW(E$2:E1929)*(E1929=E$2:E1929)))))-COUNTBLANK(OFFSET(A$1,,,SUMPRODUCT(MAX(ROW(E$1:E1928)*(E2=E$1:E1928))))))</f>
        <v> </v>
      </c>
      <c r="K1929" s="26" t="str">
        <f>IF(OR(E1929="",E1929="!!!",F1929="NEW"),"",INDEX(J$1:J1928,SUMPRODUCT(MAX(ROW(E$1:E1928)*(E1929=E$1:E1928)))))</f>
        <v> </v>
      </c>
      <c r="L1929" s="27"/>
    </row>
    <row r="1930" spans="1:12">
      <c r="A1930" s="20" t="s">
        <v>1213</v>
      </c>
      <c r="E1930" s="22">
        <f>IF(D1930="?OLD","!!!","")</f>
        <v/>
      </c>
      <c r="F1930" s="23" t="str">
        <f>IF(OR(E1930="",E1930="!!!"),"",IF(NOT(ISNA(VLOOKUP(E1930,E$1:E1929,1,FALSE()))),"OLD",IF(AND(E1930&lt;&gt;"",E1930&lt;&gt;"!!!"),"NEW","")))</f>
        <v> </v>
      </c>
      <c r="G1930" s="24" t="str">
        <f>IF(OR(E1930="",E1930="!!!"),"",IF(OR(J1930=0,AND(J1930=1,K1930=1),AND(J1930=1,I1930="SBJ"),AND(J1930=1,I1930=0)),"?IN_FOCUS",IF(J1930&lt;=2,"?ACTIVATED",IF(J1930&lt;&gt;"","?FAMILIAR",IF(F1930="NEW",IF(ISNA(VLOOKUP(E1930,#REF!,1,FALSE())),"?TYPE_IDENTIFIABLE","?REFERENTIAL"),"_")))))</f>
        <v> </v>
      </c>
      <c r="H1930" s="25" t="str">
        <f>IF(J1930&lt;&gt;1,"",IF(I1930="SBJ","CB","?"))</f>
        <v> </v>
      </c>
      <c r="I1930" s="26" t="str">
        <f>IF(OR(E1930="",E1930="!!!",F1930="NEW"),"",INDEX(B1929:B$2,-1+SUMPRODUCT(MAX(ROW(E1929:E$2)*(E1930=E1929:E$2)))))</f>
        <v> </v>
      </c>
      <c r="J1930" s="26" t="str">
        <f>IF(OR(E1930="",E1930="!!!",F1930="NEW"),"",COUNTBLANK(OFFSET(A$1,,,SUMPRODUCT(MAX(ROW(E$2:E1930)*(E1930=E$2:E1930)))))-COUNTBLANK(OFFSET(A$1,,,SUMPRODUCT(MAX(ROW(E$1:E1929)*(E2=E$1:E1929))))))</f>
        <v> </v>
      </c>
      <c r="K1930" s="26" t="str">
        <f>IF(OR(E1930="",E1930="!!!",F1930="NEW"),"",INDEX(J$1:J1929,SUMPRODUCT(MAX(ROW(E$1:E1929)*(E1930=E$1:E1929)))))</f>
        <v> </v>
      </c>
      <c r="L1930" s="27"/>
    </row>
    <row r="1931" spans="1:12">
      <c r="A1931" s="20" t="s">
        <v>246</v>
      </c>
      <c r="E1931" s="22">
        <f>IF(D1931="?OLD","!!!","")</f>
        <v/>
      </c>
      <c r="F1931" s="23" t="str">
        <f>IF(OR(E1931="",E1931="!!!"),"",IF(NOT(ISNA(VLOOKUP(E1931,E$1:E1930,1,FALSE()))),"OLD",IF(AND(E1931&lt;&gt;"",E1931&lt;&gt;"!!!"),"NEW","")))</f>
        <v> </v>
      </c>
      <c r="G1931" s="24" t="str">
        <f>IF(OR(E1931="",E1931="!!!"),"",IF(OR(J1931=0,AND(J1931=1,K1931=1),AND(J1931=1,I1931="SBJ"),AND(J1931=1,I1931=0)),"?IN_FOCUS",IF(J1931&lt;=2,"?ACTIVATED",IF(J1931&lt;&gt;"","?FAMILIAR",IF(F1931="NEW",IF(ISNA(VLOOKUP(E1931,#REF!,1,FALSE())),"?TYPE_IDENTIFIABLE","?REFERENTIAL"),"_")))))</f>
        <v> </v>
      </c>
      <c r="H1931" s="25" t="str">
        <f>IF(J1931&lt;&gt;1,"",IF(I1931="SBJ","CB","?"))</f>
        <v> </v>
      </c>
      <c r="I1931" s="26" t="str">
        <f>IF(OR(E1931="",E1931="!!!",F1931="NEW"),"",INDEX(B1930:B$2,-1+SUMPRODUCT(MAX(ROW(E1930:E$2)*(E1931=E1930:E$2)))))</f>
        <v> </v>
      </c>
      <c r="J1931" s="26" t="str">
        <f>IF(OR(E1931="",E1931="!!!",F1931="NEW"),"",COUNTBLANK(OFFSET(A$1,,,SUMPRODUCT(MAX(ROW(E$2:E1931)*(E1931=E$2:E1931)))))-COUNTBLANK(OFFSET(A$1,,,SUMPRODUCT(MAX(ROW(E$1:E1930)*(E2=E$1:E1930))))))</f>
        <v> </v>
      </c>
      <c r="K1931" s="26" t="str">
        <f>IF(OR(E1931="",E1931="!!!",F1931="NEW"),"",INDEX(J$1:J1930,SUMPRODUCT(MAX(ROW(E$1:E1930)*(E1931=E$1:E1930)))))</f>
        <v> </v>
      </c>
      <c r="L1931" s="27"/>
    </row>
    <row r="1932" spans="1:12">
      <c r="A1932" s="20"/>
    </row>
    <row r="1933" spans="1:12">
      <c r="A1933" s="20" t="s">
        <v>1509</v>
      </c>
    </row>
    <row r="1934" spans="1:12">
      <c r="A1934" s="20" t="s">
        <v>768</v>
      </c>
      <c r="E1934" s="22">
        <f>IF(D1934="?OLD","!!!","")</f>
        <v/>
      </c>
      <c r="F1934" s="23" t="str">
        <f>IF(OR(E1934="",E1934="!!!"),"",IF(NOT(ISNA(VLOOKUP(E1934,E$1:E1933,1,FALSE()))),"OLD",IF(AND(E1934&lt;&gt;"",E1934&lt;&gt;"!!!"),"NEW","")))</f>
        <v> </v>
      </c>
      <c r="G1934" s="24" t="str">
        <f>IF(OR(E1934="",E1934="!!!"),"",IF(OR(J1934=0,AND(J1934=1,K1934=1),AND(J1934=1,I1934="SBJ"),AND(J1934=1,I1934=0)),"?IN_FOCUS",IF(J1934&lt;=2,"?ACTIVATED",IF(J1934&lt;&gt;"","?FAMILIAR",IF(F1934="NEW",IF(ISNA(VLOOKUP(E1934,#REF!,1,FALSE())),"?TYPE_IDENTIFIABLE","?REFERENTIAL"),"_")))))</f>
        <v> </v>
      </c>
      <c r="H1934" s="25" t="str">
        <f>IF(J1934&lt;&gt;1,"",IF(I1934="SBJ","CB","?"))</f>
        <v> </v>
      </c>
      <c r="I1934" s="26" t="str">
        <f>IF(OR(E1934="",E1934="!!!",F1934="NEW"),"",INDEX(B1933:B$2,-1+SUMPRODUCT(MAX(ROW(E1933:E$2)*(E1934=E1933:E$2)))))</f>
        <v> </v>
      </c>
      <c r="J1934" s="26" t="str">
        <f>IF(OR(E1934="",E1934="!!!",F1934="NEW"),"",COUNTBLANK(OFFSET(A$1,,,SUMPRODUCT(MAX(ROW(E$2:E1934)*(E1934=E$2:E1934)))))-COUNTBLANK(OFFSET(A$1,,,SUMPRODUCT(MAX(ROW(E$1:E1933)*(E2=E$1:E1933))))))</f>
        <v> </v>
      </c>
      <c r="K1934" s="26" t="str">
        <f>IF(OR(E1934="",E1934="!!!",F1934="NEW"),"",INDEX(J$1:J1933,SUMPRODUCT(MAX(ROW(E$1:E1933)*(E1934=E$1:E1933)))))</f>
        <v> </v>
      </c>
      <c r="L1934" s="27"/>
    </row>
    <row r="1935" spans="1:12">
      <c r="A1935" s="20" t="s">
        <v>944</v>
      </c>
      <c r="E1935" s="22">
        <f>IF(D1935="?OLD","!!!","")</f>
        <v/>
      </c>
      <c r="F1935" s="23" t="str">
        <f>IF(OR(E1935="",E1935="!!!"),"",IF(NOT(ISNA(VLOOKUP(E1935,E$1:E1934,1,FALSE()))),"OLD",IF(AND(E1935&lt;&gt;"",E1935&lt;&gt;"!!!"),"NEW","")))</f>
        <v> </v>
      </c>
      <c r="G1935" s="24" t="str">
        <f>IF(OR(E1935="",E1935="!!!"),"",IF(OR(J1935=0,AND(J1935=1,K1935=1),AND(J1935=1,I1935="SBJ"),AND(J1935=1,I1935=0)),"?IN_FOCUS",IF(J1935&lt;=2,"?ACTIVATED",IF(J1935&lt;&gt;"","?FAMILIAR",IF(F1935="NEW",IF(ISNA(VLOOKUP(E1935,#REF!,1,FALSE())),"?TYPE_IDENTIFIABLE","?REFERENTIAL"),"_")))))</f>
        <v> </v>
      </c>
      <c r="H1935" s="25" t="str">
        <f>IF(J1935&lt;&gt;1,"",IF(I1935="SBJ","CB","?"))</f>
        <v> </v>
      </c>
      <c r="I1935" s="26" t="str">
        <f>IF(OR(E1935="",E1935="!!!",F1935="NEW"),"",INDEX(B1934:B$2,-1+SUMPRODUCT(MAX(ROW(E1934:E$2)*(E1935=E1934:E$2)))))</f>
        <v> </v>
      </c>
      <c r="J1935" s="26" t="str">
        <f>IF(OR(E1935="",E1935="!!!",F1935="NEW"),"",COUNTBLANK(OFFSET(A$1,,,SUMPRODUCT(MAX(ROW(E$2:E1935)*(E1935=E$2:E1935)))))-COUNTBLANK(OFFSET(A$1,,,SUMPRODUCT(MAX(ROW(E$1:E1934)*(E2=E$1:E1934))))))</f>
        <v> </v>
      </c>
      <c r="K1935" s="26" t="str">
        <f>IF(OR(E1935="",E1935="!!!",F1935="NEW"),"",INDEX(J$1:J1934,SUMPRODUCT(MAX(ROW(E$1:E1934)*(E1935=E$1:E1934)))))</f>
        <v> </v>
      </c>
      <c r="L1935" s="27"/>
    </row>
    <row r="1936" spans="1:12">
      <c r="A1936" s="20" t="s">
        <v>1510</v>
      </c>
      <c r="E1936" s="22">
        <f>IF(D1936="?OLD","!!!","")</f>
        <v/>
      </c>
      <c r="F1936" s="23" t="str">
        <f>IF(OR(E1936="",E1936="!!!"),"",IF(NOT(ISNA(VLOOKUP(E1936,E$1:E1935,1,FALSE()))),"OLD",IF(AND(E1936&lt;&gt;"",E1936&lt;&gt;"!!!"),"NEW","")))</f>
        <v> </v>
      </c>
      <c r="G1936" s="24" t="str">
        <f>IF(OR(E1936="",E1936="!!!"),"",IF(OR(J1936=0,AND(J1936=1,K1936=1),AND(J1936=1,I1936="SBJ"),AND(J1936=1,I1936=0)),"?IN_FOCUS",IF(J1936&lt;=2,"?ACTIVATED",IF(J1936&lt;&gt;"","?FAMILIAR",IF(F1936="NEW",IF(ISNA(VLOOKUP(E1936,#REF!,1,FALSE())),"?TYPE_IDENTIFIABLE","?REFERENTIAL"),"_")))))</f>
        <v> </v>
      </c>
      <c r="H1936" s="25" t="str">
        <f>IF(J1936&lt;&gt;1,"",IF(I1936="SBJ","CB","?"))</f>
        <v> </v>
      </c>
      <c r="I1936" s="26" t="str">
        <f>IF(OR(E1936="",E1936="!!!",F1936="NEW"),"",INDEX(B1935:B$2,-1+SUMPRODUCT(MAX(ROW(E1935:E$2)*(E1936=E1935:E$2)))))</f>
        <v> </v>
      </c>
      <c r="J1936" s="26" t="str">
        <f>IF(OR(E1936="",E1936="!!!",F1936="NEW"),"",COUNTBLANK(OFFSET(A$1,,,SUMPRODUCT(MAX(ROW(E$2:E1936)*(E1936=E$2:E1936)))))-COUNTBLANK(OFFSET(A$1,,,SUMPRODUCT(MAX(ROW(E$1:E1935)*(E2=E$1:E1935))))))</f>
        <v> </v>
      </c>
      <c r="K1936" s="26" t="str">
        <f>IF(OR(E1936="",E1936="!!!",F1936="NEW"),"",INDEX(J$1:J1935,SUMPRODUCT(MAX(ROW(E$1:E1935)*(E1936=E$1:E1935)))))</f>
        <v> </v>
      </c>
      <c r="L1936" s="27"/>
    </row>
    <row r="1937" spans="1:12">
      <c r="A1937" s="20" t="s">
        <v>750</v>
      </c>
      <c r="B1937" s="21" t="s">
        <v>728</v>
      </c>
      <c r="C1937" s="21" t="s">
        <v>729</v>
      </c>
      <c r="D1937" s="21" t="s">
        <v>730</v>
      </c>
      <c r="E1937" s="22">
        <f>IF(D1937="?OLD","!!!","")</f>
        <v/>
      </c>
      <c r="F1937" s="23" t="str">
        <f>IF(OR(E1937="",E1937="!!!"),"",IF(NOT(ISNA(VLOOKUP(E1937,E$1:E1936,1,FALSE()))),"OLD",IF(AND(E1937&lt;&gt;"",E1937&lt;&gt;"!!!"),"NEW","")))</f>
        <v> </v>
      </c>
      <c r="G1937" s="24" t="str">
        <f>IF(OR(E1937="",E1937="!!!"),"",IF(OR(J1937=0,AND(J1937=1,K1937=1),AND(J1937=1,I1937="SBJ"),AND(J1937=1,I1937=0)),"?IN_FOCUS",IF(J1937&lt;=2,"?ACTIVATED",IF(J1937&lt;&gt;"","?FAMILIAR",IF(F1937="NEW",IF(ISNA(VLOOKUP(E1937,#REF!,1,FALSE())),"?TYPE_IDENTIFIABLE","?REFERENTIAL"),"_")))))</f>
        <v> </v>
      </c>
      <c r="H1937" s="25" t="str">
        <f>IF(J1937&lt;&gt;1,"",IF(I1937="SBJ","CB","?"))</f>
        <v> </v>
      </c>
      <c r="I1937" s="26" t="str">
        <f>IF(OR(E1937="",E1937="!!!",F1937="NEW"),"",INDEX(B1936:B$2,-1+SUMPRODUCT(MAX(ROW(E1936:E$2)*(E1937=E1936:E$2)))))</f>
        <v> </v>
      </c>
      <c r="J1937" s="26" t="str">
        <f>IF(OR(E1937="",E1937="!!!",F1937="NEW"),"",COUNTBLANK(OFFSET(A$1,,,SUMPRODUCT(MAX(ROW(E$2:E1937)*(E1937=E$2:E1937)))))-COUNTBLANK(OFFSET(A$1,,,SUMPRODUCT(MAX(ROW(E$1:E1936)*(E2=E$1:E1936))))))</f>
        <v> </v>
      </c>
      <c r="K1937" s="26" t="str">
        <f>IF(OR(E1937="",E1937="!!!",F1937="NEW"),"",INDEX(J$1:J1936,SUMPRODUCT(MAX(ROW(E$1:E1936)*(E1937=E$1:E1936)))))</f>
        <v> </v>
      </c>
      <c r="L1937" s="27"/>
    </row>
    <row r="1938" spans="1:12">
      <c r="A1938" s="20" t="s">
        <v>885</v>
      </c>
      <c r="E1938" s="22">
        <f>IF(D1938="?OLD","!!!","")</f>
        <v/>
      </c>
      <c r="F1938" s="23" t="str">
        <f>IF(OR(E1938="",E1938="!!!"),"",IF(NOT(ISNA(VLOOKUP(E1938,E$1:E1937,1,FALSE()))),"OLD",IF(AND(E1938&lt;&gt;"",E1938&lt;&gt;"!!!"),"NEW","")))</f>
        <v> </v>
      </c>
      <c r="G1938" s="24" t="str">
        <f>IF(OR(E1938="",E1938="!!!"),"",IF(OR(J1938=0,AND(J1938=1,K1938=1),AND(J1938=1,I1938="SBJ"),AND(J1938=1,I1938=0)),"?IN_FOCUS",IF(J1938&lt;=2,"?ACTIVATED",IF(J1938&lt;&gt;"","?FAMILIAR",IF(F1938="NEW",IF(ISNA(VLOOKUP(E1938,#REF!,1,FALSE())),"?TYPE_IDENTIFIABLE","?REFERENTIAL"),"_")))))</f>
        <v> </v>
      </c>
      <c r="H1938" s="25" t="str">
        <f>IF(J1938&lt;&gt;1,"",IF(I1938="SBJ","CB","?"))</f>
        <v> </v>
      </c>
      <c r="I1938" s="26" t="str">
        <f>IF(OR(E1938="",E1938="!!!",F1938="NEW"),"",INDEX(B1937:B$2,-1+SUMPRODUCT(MAX(ROW(E1937:E$2)*(E1938=E1937:E$2)))))</f>
        <v> </v>
      </c>
      <c r="J1938" s="26" t="str">
        <f>IF(OR(E1938="",E1938="!!!",F1938="NEW"),"",COUNTBLANK(OFFSET(A$1,,,SUMPRODUCT(MAX(ROW(E$2:E1938)*(E1938=E$2:E1938)))))-COUNTBLANK(OFFSET(A$1,,,SUMPRODUCT(MAX(ROW(E$1:E1937)*(E2=E$1:E1937))))))</f>
        <v> </v>
      </c>
      <c r="K1938" s="26" t="str">
        <f>IF(OR(E1938="",E1938="!!!",F1938="NEW"),"",INDEX(J$1:J1937,SUMPRODUCT(MAX(ROW(E$1:E1937)*(E1938=E$1:E1937)))))</f>
        <v> </v>
      </c>
      <c r="L1938" s="27"/>
    </row>
    <row r="1939" spans="1:12">
      <c r="A1939" s="20" t="s">
        <v>762</v>
      </c>
      <c r="E1939" s="22">
        <f>IF(D1939="?OLD","!!!","")</f>
        <v/>
      </c>
      <c r="F1939" s="23" t="str">
        <f>IF(OR(E1939="",E1939="!!!"),"",IF(NOT(ISNA(VLOOKUP(E1939,E$1:E1938,1,FALSE()))),"OLD",IF(AND(E1939&lt;&gt;"",E1939&lt;&gt;"!!!"),"NEW","")))</f>
        <v> </v>
      </c>
      <c r="G1939" s="24" t="str">
        <f>IF(OR(E1939="",E1939="!!!"),"",IF(OR(J1939=0,AND(J1939=1,K1939=1),AND(J1939=1,I1939="SBJ"),AND(J1939=1,I1939=0)),"?IN_FOCUS",IF(J1939&lt;=2,"?ACTIVATED",IF(J1939&lt;&gt;"","?FAMILIAR",IF(F1939="NEW",IF(ISNA(VLOOKUP(E1939,#REF!,1,FALSE())),"?TYPE_IDENTIFIABLE","?REFERENTIAL"),"_")))))</f>
        <v> </v>
      </c>
      <c r="H1939" s="25" t="str">
        <f>IF(J1939&lt;&gt;1,"",IF(I1939="SBJ","CB","?"))</f>
        <v> </v>
      </c>
      <c r="I1939" s="26" t="str">
        <f>IF(OR(E1939="",E1939="!!!",F1939="NEW"),"",INDEX(B1938:B$2,-1+SUMPRODUCT(MAX(ROW(E1938:E$2)*(E1939=E1938:E$2)))))</f>
        <v> </v>
      </c>
      <c r="J1939" s="26" t="str">
        <f>IF(OR(E1939="",E1939="!!!",F1939="NEW"),"",COUNTBLANK(OFFSET(A$1,,,SUMPRODUCT(MAX(ROW(E$2:E1939)*(E1939=E$2:E1939)))))-COUNTBLANK(OFFSET(A$1,,,SUMPRODUCT(MAX(ROW(E$1:E1938)*(E2=E$1:E1938))))))</f>
        <v> </v>
      </c>
      <c r="K1939" s="26" t="str">
        <f>IF(OR(E1939="",E1939="!!!",F1939="NEW"),"",INDEX(J$1:J1938,SUMPRODUCT(MAX(ROW(E$1:E1938)*(E1939=E$1:E1938)))))</f>
        <v> </v>
      </c>
      <c r="L1939" s="27"/>
    </row>
    <row r="1940" spans="1:12">
      <c r="A1940" s="20" t="s">
        <v>965</v>
      </c>
      <c r="E1940" s="22">
        <f>IF(D1940="?OLD","!!!","")</f>
        <v/>
      </c>
      <c r="F1940" s="23" t="str">
        <f>IF(OR(E1940="",E1940="!!!"),"",IF(NOT(ISNA(VLOOKUP(E1940,E$1:E1939,1,FALSE()))),"OLD",IF(AND(E1940&lt;&gt;"",E1940&lt;&gt;"!!!"),"NEW","")))</f>
        <v> </v>
      </c>
      <c r="G1940" s="24" t="str">
        <f>IF(OR(E1940="",E1940="!!!"),"",IF(OR(J1940=0,AND(J1940=1,K1940=1),AND(J1940=1,I1940="SBJ"),AND(J1940=1,I1940=0)),"?IN_FOCUS",IF(J1940&lt;=2,"?ACTIVATED",IF(J1940&lt;&gt;"","?FAMILIAR",IF(F1940="NEW",IF(ISNA(VLOOKUP(E1940,#REF!,1,FALSE())),"?TYPE_IDENTIFIABLE","?REFERENTIAL"),"_")))))</f>
        <v> </v>
      </c>
      <c r="H1940" s="25" t="str">
        <f>IF(J1940&lt;&gt;1,"",IF(I1940="SBJ","CB","?"))</f>
        <v> </v>
      </c>
      <c r="I1940" s="26" t="str">
        <f>IF(OR(E1940="",E1940="!!!",F1940="NEW"),"",INDEX(B1939:B$2,-1+SUMPRODUCT(MAX(ROW(E1939:E$2)*(E1940=E1939:E$2)))))</f>
        <v> </v>
      </c>
      <c r="J1940" s="26" t="str">
        <f>IF(OR(E1940="",E1940="!!!",F1940="NEW"),"",COUNTBLANK(OFFSET(A$1,,,SUMPRODUCT(MAX(ROW(E$2:E1940)*(E1940=E$2:E1940)))))-COUNTBLANK(OFFSET(A$1,,,SUMPRODUCT(MAX(ROW(E$1:E1939)*(E2=E$1:E1939))))))</f>
        <v> </v>
      </c>
      <c r="K1940" s="26" t="str">
        <f>IF(OR(E1940="",E1940="!!!",F1940="NEW"),"",INDEX(J$1:J1939,SUMPRODUCT(MAX(ROW(E$1:E1939)*(E1940=E$1:E1939)))))</f>
        <v> </v>
      </c>
      <c r="L1940" s="27"/>
    </row>
    <row r="1941" spans="1:12">
      <c r="A1941" s="20" t="s">
        <v>1511</v>
      </c>
      <c r="E1941" s="22">
        <f>IF(D1941="?OLD","!!!","")</f>
        <v/>
      </c>
      <c r="F1941" s="23" t="str">
        <f>IF(OR(E1941="",E1941="!!!"),"",IF(NOT(ISNA(VLOOKUP(E1941,E$1:E1940,1,FALSE()))),"OLD",IF(AND(E1941&lt;&gt;"",E1941&lt;&gt;"!!!"),"NEW","")))</f>
        <v> </v>
      </c>
      <c r="G1941" s="24" t="str">
        <f>IF(OR(E1941="",E1941="!!!"),"",IF(OR(J1941=0,AND(J1941=1,K1941=1),AND(J1941=1,I1941="SBJ"),AND(J1941=1,I1941=0)),"?IN_FOCUS",IF(J1941&lt;=2,"?ACTIVATED",IF(J1941&lt;&gt;"","?FAMILIAR",IF(F1941="NEW",IF(ISNA(VLOOKUP(E1941,#REF!,1,FALSE())),"?TYPE_IDENTIFIABLE","?REFERENTIAL"),"_")))))</f>
        <v> </v>
      </c>
      <c r="H1941" s="25" t="str">
        <f>IF(J1941&lt;&gt;1,"",IF(I1941="SBJ","CB","?"))</f>
        <v> </v>
      </c>
      <c r="I1941" s="26" t="str">
        <f>IF(OR(E1941="",E1941="!!!",F1941="NEW"),"",INDEX(B1940:B$2,-1+SUMPRODUCT(MAX(ROW(E1940:E$2)*(E1941=E1940:E$2)))))</f>
        <v> </v>
      </c>
      <c r="J1941" s="26" t="str">
        <f>IF(OR(E1941="",E1941="!!!",F1941="NEW"),"",COUNTBLANK(OFFSET(A$1,,,SUMPRODUCT(MAX(ROW(E$2:E1941)*(E1941=E$2:E1941)))))-COUNTBLANK(OFFSET(A$1,,,SUMPRODUCT(MAX(ROW(E$1:E1940)*(E2=E$1:E1940))))))</f>
        <v> </v>
      </c>
      <c r="K1941" s="26" t="str">
        <f>IF(OR(E1941="",E1941="!!!",F1941="NEW"),"",INDEX(J$1:J1940,SUMPRODUCT(MAX(ROW(E$1:E1940)*(E1941=E$1:E1940)))))</f>
        <v> </v>
      </c>
      <c r="L1941" s="27"/>
    </row>
    <row r="1942" spans="1:12">
      <c r="A1942" s="20" t="s">
        <v>1512</v>
      </c>
      <c r="B1942" s="21" t="s">
        <v>764</v>
      </c>
      <c r="C1942" s="21" t="s">
        <v>737</v>
      </c>
      <c r="E1942" s="22">
        <f>IF(D1942="?OLD","!!!","")</f>
        <v/>
      </c>
      <c r="F1942" s="23" t="str">
        <f>IF(OR(E1942="",E1942="!!!"),"",IF(NOT(ISNA(VLOOKUP(E1942,E$1:E1941,1,FALSE()))),"OLD",IF(AND(E1942&lt;&gt;"",E1942&lt;&gt;"!!!"),"NEW","")))</f>
        <v> </v>
      </c>
      <c r="G1942" s="24" t="str">
        <f>IF(OR(E1942="",E1942="!!!"),"",IF(OR(J1942=0,AND(J1942=1,K1942=1),AND(J1942=1,I1942="SBJ"),AND(J1942=1,I1942=0)),"?IN_FOCUS",IF(J1942&lt;=2,"?ACTIVATED",IF(J1942&lt;&gt;"","?FAMILIAR",IF(F1942="NEW",IF(ISNA(VLOOKUP(E1942,#REF!,1,FALSE())),"?TYPE_IDENTIFIABLE","?REFERENTIAL"),"_")))))</f>
        <v> </v>
      </c>
      <c r="H1942" s="25" t="str">
        <f>IF(J1942&lt;&gt;1,"",IF(I1942="SBJ","CB","?"))</f>
        <v> </v>
      </c>
      <c r="I1942" s="26" t="str">
        <f>IF(OR(E1942="",E1942="!!!",F1942="NEW"),"",INDEX(B1941:B$2,-1+SUMPRODUCT(MAX(ROW(E1941:E$2)*(E1942=E1941:E$2)))))</f>
        <v> </v>
      </c>
      <c r="J1942" s="26" t="str">
        <f>IF(OR(E1942="",E1942="!!!",F1942="NEW"),"",COUNTBLANK(OFFSET(A$1,,,SUMPRODUCT(MAX(ROW(E$2:E1942)*(E1942=E$2:E1942)))))-COUNTBLANK(OFFSET(A$1,,,SUMPRODUCT(MAX(ROW(E$1:E1941)*(E2=E$1:E1941))))))</f>
        <v> </v>
      </c>
      <c r="K1942" s="26" t="str">
        <f>IF(OR(E1942="",E1942="!!!",F1942="NEW"),"",INDEX(J$1:J1941,SUMPRODUCT(MAX(ROW(E$1:E1941)*(E1942=E$1:E1941)))))</f>
        <v> </v>
      </c>
      <c r="L1942" s="27"/>
    </row>
    <row r="1943" spans="1:12">
      <c r="A1943" s="20" t="s">
        <v>246</v>
      </c>
      <c r="E1943" s="22">
        <f>IF(D1943="?OLD","!!!","")</f>
        <v/>
      </c>
      <c r="F1943" s="23" t="str">
        <f>IF(OR(E1943="",E1943="!!!"),"",IF(NOT(ISNA(VLOOKUP(E1943,E$1:E1942,1,FALSE()))),"OLD",IF(AND(E1943&lt;&gt;"",E1943&lt;&gt;"!!!"),"NEW","")))</f>
        <v> </v>
      </c>
      <c r="G1943" s="24" t="str">
        <f>IF(OR(E1943="",E1943="!!!"),"",IF(OR(J1943=0,AND(J1943=1,K1943=1),AND(J1943=1,I1943="SBJ"),AND(J1943=1,I1943=0)),"?IN_FOCUS",IF(J1943&lt;=2,"?ACTIVATED",IF(J1943&lt;&gt;"","?FAMILIAR",IF(F1943="NEW",IF(ISNA(VLOOKUP(E1943,#REF!,1,FALSE())),"?TYPE_IDENTIFIABLE","?REFERENTIAL"),"_")))))</f>
        <v> </v>
      </c>
      <c r="H1943" s="25" t="str">
        <f>IF(J1943&lt;&gt;1,"",IF(I1943="SBJ","CB","?"))</f>
        <v> </v>
      </c>
      <c r="I1943" s="26" t="str">
        <f>IF(OR(E1943="",E1943="!!!",F1943="NEW"),"",INDEX(B1942:B$2,-1+SUMPRODUCT(MAX(ROW(E1942:E$2)*(E1943=E1942:E$2)))))</f>
        <v> </v>
      </c>
      <c r="J1943" s="26" t="str">
        <f>IF(OR(E1943="",E1943="!!!",F1943="NEW"),"",COUNTBLANK(OFFSET(A$1,,,SUMPRODUCT(MAX(ROW(E$2:E1943)*(E1943=E$2:E1943)))))-COUNTBLANK(OFFSET(A$1,,,SUMPRODUCT(MAX(ROW(E$1:E1942)*(E2=E$1:E1942))))))</f>
        <v> </v>
      </c>
      <c r="K1943" s="26" t="str">
        <f>IF(OR(E1943="",E1943="!!!",F1943="NEW"),"",INDEX(J$1:J1942,SUMPRODUCT(MAX(ROW(E$1:E1942)*(E1943=E$1:E1942)))))</f>
        <v> </v>
      </c>
      <c r="L1943" s="27"/>
    </row>
    <row r="1944" spans="1:12">
      <c r="A1944" s="20"/>
    </row>
    <row r="1945" spans="1:12">
      <c r="A1945" s="20" t="s">
        <v>798</v>
      </c>
      <c r="E1945" s="22">
        <f>IF(D1945="?OLD","!!!","")</f>
        <v/>
      </c>
      <c r="F1945" s="23" t="str">
        <f>IF(OR(E1945="",E1945="!!!"),"",IF(NOT(ISNA(VLOOKUP(E1945,E$1:E1944,1,FALSE()))),"OLD",IF(AND(E1945&lt;&gt;"",E1945&lt;&gt;"!!!"),"NEW","")))</f>
        <v> </v>
      </c>
      <c r="G1945" s="24" t="str">
        <f>IF(OR(E1945="",E1945="!!!"),"",IF(OR(J1945=0,AND(J1945=1,K1945=1),AND(J1945=1,I1945="SBJ"),AND(J1945=1,I1945=0)),"?IN_FOCUS",IF(J1945&lt;=2,"?ACTIVATED",IF(J1945&lt;&gt;"","?FAMILIAR",IF(F1945="NEW",IF(ISNA(VLOOKUP(E1945,#REF!,1,FALSE())),"?TYPE_IDENTIFIABLE","?REFERENTIAL"),"_")))))</f>
        <v> </v>
      </c>
      <c r="H1945" s="25" t="str">
        <f>IF(J1945&lt;&gt;1,"",IF(I1945="SBJ","CB","?"))</f>
        <v> </v>
      </c>
      <c r="I1945" s="26" t="str">
        <f>IF(OR(E1945="",E1945="!!!",F1945="NEW"),"",INDEX(B1944:B$2,-1+SUMPRODUCT(MAX(ROW(E1944:E$2)*(E1945=E1944:E$2)))))</f>
        <v> </v>
      </c>
      <c r="J1945" s="26" t="str">
        <f>IF(OR(E1945="",E1945="!!!",F1945="NEW"),"",COUNTBLANK(OFFSET(A$1,,,SUMPRODUCT(MAX(ROW(E$2:E1945)*(E1945=E$2:E1945)))))-COUNTBLANK(OFFSET(A$1,,,SUMPRODUCT(MAX(ROW(E$1:E1944)*(E2=E$1:E1944))))))</f>
        <v> </v>
      </c>
      <c r="K1945" s="26" t="str">
        <f>IF(OR(E1945="",E1945="!!!",F1945="NEW"),"",INDEX(J$1:J1944,SUMPRODUCT(MAX(ROW(E$1:E1944)*(E1945=E$1:E1944)))))</f>
        <v> </v>
      </c>
      <c r="L1945" s="27"/>
    </row>
    <row r="1946" spans="1:12">
      <c r="A1946" s="20" t="s">
        <v>1513</v>
      </c>
    </row>
    <row r="1947" spans="1:12">
      <c r="A1947" s="20" t="s">
        <v>1514</v>
      </c>
      <c r="E1947" s="22">
        <f>IF(D1947="?OLD","!!!","")</f>
        <v/>
      </c>
      <c r="F1947" s="23" t="str">
        <f>IF(OR(E1947="",E1947="!!!"),"",IF(NOT(ISNA(VLOOKUP(E1947,E$1:E1946,1,FALSE()))),"OLD",IF(AND(E1947&lt;&gt;"",E1947&lt;&gt;"!!!"),"NEW","")))</f>
        <v> </v>
      </c>
      <c r="G1947" s="24" t="str">
        <f>IF(OR(E1947="",E1947="!!!"),"",IF(OR(J1947=0,AND(J1947=1,K1947=1),AND(J1947=1,I1947="SBJ"),AND(J1947=1,I1947=0)),"?IN_FOCUS",IF(J1947&lt;=2,"?ACTIVATED",IF(J1947&lt;&gt;"","?FAMILIAR",IF(F1947="NEW",IF(ISNA(VLOOKUP(E1947,#REF!,1,FALSE())),"?TYPE_IDENTIFIABLE","?REFERENTIAL"),"_")))))</f>
        <v> </v>
      </c>
      <c r="H1947" s="25" t="str">
        <f>IF(J1947&lt;&gt;1,"",IF(I1947="SBJ","CB","?"))</f>
        <v> </v>
      </c>
      <c r="I1947" s="26" t="str">
        <f>IF(OR(E1947="",E1947="!!!",F1947="NEW"),"",INDEX(B1946:B$2,-1+SUMPRODUCT(MAX(ROW(E1946:E$2)*(E1947=E1946:E$2)))))</f>
        <v> </v>
      </c>
      <c r="J1947" s="26" t="str">
        <f>IF(OR(E1947="",E1947="!!!",F1947="NEW"),"",COUNTBLANK(OFFSET(A$1,,,SUMPRODUCT(MAX(ROW(E$2:E1947)*(E1947=E$2:E1947)))))-COUNTBLANK(OFFSET(A$1,,,SUMPRODUCT(MAX(ROW(E$1:E1946)*(E2=E$1:E1946))))))</f>
        <v> </v>
      </c>
      <c r="K1947" s="26" t="str">
        <f>IF(OR(E1947="",E1947="!!!",F1947="NEW"),"",INDEX(J$1:J1946,SUMPRODUCT(MAX(ROW(E$1:E1946)*(E1947=E$1:E1946)))))</f>
        <v> </v>
      </c>
      <c r="L1947" s="27"/>
    </row>
    <row r="1948" spans="1:12">
      <c r="A1948" s="20" t="s">
        <v>751</v>
      </c>
      <c r="E1948" s="22">
        <f>IF(D1948="?OLD","!!!","")</f>
        <v/>
      </c>
      <c r="F1948" s="23" t="str">
        <f>IF(OR(E1948="",E1948="!!!"),"",IF(NOT(ISNA(VLOOKUP(E1948,E$1:E1947,1,FALSE()))),"OLD",IF(AND(E1948&lt;&gt;"",E1948&lt;&gt;"!!!"),"NEW","")))</f>
        <v> </v>
      </c>
      <c r="G1948" s="24" t="str">
        <f>IF(OR(E1948="",E1948="!!!"),"",IF(OR(J1948=0,AND(J1948=1,K1948=1),AND(J1948=1,I1948="SBJ"),AND(J1948=1,I1948=0)),"?IN_FOCUS",IF(J1948&lt;=2,"?ACTIVATED",IF(J1948&lt;&gt;"","?FAMILIAR",IF(F1948="NEW",IF(ISNA(VLOOKUP(E1948,#REF!,1,FALSE())),"?TYPE_IDENTIFIABLE","?REFERENTIAL"),"_")))))</f>
        <v> </v>
      </c>
      <c r="H1948" s="25" t="str">
        <f>IF(J1948&lt;&gt;1,"",IF(I1948="SBJ","CB","?"))</f>
        <v> </v>
      </c>
      <c r="I1948" s="26" t="str">
        <f>IF(OR(E1948="",E1948="!!!",F1948="NEW"),"",INDEX(B1947:B$2,-1+SUMPRODUCT(MAX(ROW(E1947:E$2)*(E1948=E1947:E$2)))))</f>
        <v> </v>
      </c>
      <c r="J1948" s="26" t="str">
        <f>IF(OR(E1948="",E1948="!!!",F1948="NEW"),"",COUNTBLANK(OFFSET(A$1,,,SUMPRODUCT(MAX(ROW(E$2:E1948)*(E1948=E$2:E1948)))))-COUNTBLANK(OFFSET(A$1,,,SUMPRODUCT(MAX(ROW(E$1:E1947)*(E2=E$1:E1947))))))</f>
        <v> </v>
      </c>
      <c r="K1948" s="26" t="str">
        <f>IF(OR(E1948="",E1948="!!!",F1948="NEW"),"",INDEX(J$1:J1947,SUMPRODUCT(MAX(ROW(E$1:E1947)*(E1948=E$1:E1947)))))</f>
        <v> </v>
      </c>
      <c r="L1948" s="27"/>
    </row>
    <row r="1949" spans="1:12">
      <c r="A1949" s="20" t="s">
        <v>1242</v>
      </c>
      <c r="B1949" s="21" t="s">
        <v>736</v>
      </c>
      <c r="C1949" s="21" t="s">
        <v>753</v>
      </c>
      <c r="D1949" s="21" t="s">
        <v>730</v>
      </c>
      <c r="E1949" s="22">
        <f>IF(D1949="?OLD","!!!","")</f>
        <v/>
      </c>
      <c r="F1949" s="23" t="str">
        <f>IF(OR(E1949="",E1949="!!!"),"",IF(NOT(ISNA(VLOOKUP(E1949,E$1:E1948,1,FALSE()))),"OLD",IF(AND(E1949&lt;&gt;"",E1949&lt;&gt;"!!!"),"NEW","")))</f>
        <v> </v>
      </c>
      <c r="G1949" s="24" t="str">
        <f>IF(OR(E1949="",E1949="!!!"),"",IF(OR(J1949=0,AND(J1949=1,K1949=1),AND(J1949=1,I1949="SBJ"),AND(J1949=1,I1949=0)),"?IN_FOCUS",IF(J1949&lt;=2,"?ACTIVATED",IF(J1949&lt;&gt;"","?FAMILIAR",IF(F1949="NEW",IF(ISNA(VLOOKUP(E1949,#REF!,1,FALSE())),"?TYPE_IDENTIFIABLE","?REFERENTIAL"),"_")))))</f>
        <v> </v>
      </c>
      <c r="H1949" s="25" t="str">
        <f>IF(J1949&lt;&gt;1,"",IF(I1949="SBJ","CB","?"))</f>
        <v> </v>
      </c>
      <c r="I1949" s="26" t="str">
        <f>IF(OR(E1949="",E1949="!!!",F1949="NEW"),"",INDEX(B1948:B$2,-1+SUMPRODUCT(MAX(ROW(E1948:E$2)*(E1949=E1948:E$2)))))</f>
        <v> </v>
      </c>
      <c r="J1949" s="26" t="str">
        <f>IF(OR(E1949="",E1949="!!!",F1949="NEW"),"",COUNTBLANK(OFFSET(A$1,,,SUMPRODUCT(MAX(ROW(E$2:E1949)*(E1949=E$2:E1949)))))-COUNTBLANK(OFFSET(A$1,,,SUMPRODUCT(MAX(ROW(E$1:E1948)*(E2=E$1:E1948))))))</f>
        <v> </v>
      </c>
      <c r="K1949" s="26" t="str">
        <f>IF(OR(E1949="",E1949="!!!",F1949="NEW"),"",INDEX(J$1:J1948,SUMPRODUCT(MAX(ROW(E$1:E1948)*(E1949=E$1:E1948)))))</f>
        <v> </v>
      </c>
      <c r="L1949" s="27"/>
    </row>
    <row r="1950" spans="1:12">
      <c r="A1950" s="20" t="s">
        <v>938</v>
      </c>
      <c r="E1950" s="22">
        <f>IF(D1950="?OLD","!!!","")</f>
        <v/>
      </c>
      <c r="F1950" s="23" t="str">
        <f>IF(OR(E1950="",E1950="!!!"),"",IF(NOT(ISNA(VLOOKUP(E1950,E$1:E1949,1,FALSE()))),"OLD",IF(AND(E1950&lt;&gt;"",E1950&lt;&gt;"!!!"),"NEW","")))</f>
        <v> </v>
      </c>
      <c r="G1950" s="24" t="str">
        <f>IF(OR(E1950="",E1950="!!!"),"",IF(OR(J1950=0,AND(J1950=1,K1950=1),AND(J1950=1,I1950="SBJ"),AND(J1950=1,I1950=0)),"?IN_FOCUS",IF(J1950&lt;=2,"?ACTIVATED",IF(J1950&lt;&gt;"","?FAMILIAR",IF(F1950="NEW",IF(ISNA(VLOOKUP(E1950,#REF!,1,FALSE())),"?TYPE_IDENTIFIABLE","?REFERENTIAL"),"_")))))</f>
        <v> </v>
      </c>
      <c r="H1950" s="25" t="str">
        <f>IF(J1950&lt;&gt;1,"",IF(I1950="SBJ","CB","?"))</f>
        <v> </v>
      </c>
      <c r="I1950" s="26" t="str">
        <f>IF(OR(E1950="",E1950="!!!",F1950="NEW"),"",INDEX(B1949:B$2,-1+SUMPRODUCT(MAX(ROW(E1949:E$2)*(E1950=E1949:E$2)))))</f>
        <v> </v>
      </c>
      <c r="J1950" s="26" t="str">
        <f>IF(OR(E1950="",E1950="!!!",F1950="NEW"),"",COUNTBLANK(OFFSET(A$1,,,SUMPRODUCT(MAX(ROW(E$2:E1950)*(E1950=E$2:E1950)))))-COUNTBLANK(OFFSET(A$1,,,SUMPRODUCT(MAX(ROW(E$1:E1949)*(E2=E$1:E1949))))))</f>
        <v> </v>
      </c>
      <c r="K1950" s="26" t="str">
        <f>IF(OR(E1950="",E1950="!!!",F1950="NEW"),"",INDEX(J$1:J1949,SUMPRODUCT(MAX(ROW(E$1:E1949)*(E1950=E$1:E1949)))))</f>
        <v> </v>
      </c>
      <c r="L1950" s="27"/>
    </row>
    <row r="1951" spans="1:12">
      <c r="A1951" s="20" t="s">
        <v>817</v>
      </c>
      <c r="E1951" s="22">
        <f>IF(D1951="?OLD","!!!","")</f>
        <v/>
      </c>
      <c r="F1951" s="23" t="str">
        <f>IF(OR(E1951="",E1951="!!!"),"",IF(NOT(ISNA(VLOOKUP(E1951,E$1:E1950,1,FALSE()))),"OLD",IF(AND(E1951&lt;&gt;"",E1951&lt;&gt;"!!!"),"NEW","")))</f>
        <v> </v>
      </c>
      <c r="G1951" s="24" t="str">
        <f>IF(OR(E1951="",E1951="!!!"),"",IF(OR(J1951=0,AND(J1951=1,K1951=1),AND(J1951=1,I1951="SBJ"),AND(J1951=1,I1951=0)),"?IN_FOCUS",IF(J1951&lt;=2,"?ACTIVATED",IF(J1951&lt;&gt;"","?FAMILIAR",IF(F1951="NEW",IF(ISNA(VLOOKUP(E1951,#REF!,1,FALSE())),"?TYPE_IDENTIFIABLE","?REFERENTIAL"),"_")))))</f>
        <v> </v>
      </c>
      <c r="H1951" s="25" t="str">
        <f>IF(J1951&lt;&gt;1,"",IF(I1951="SBJ","CB","?"))</f>
        <v> </v>
      </c>
      <c r="I1951" s="26" t="str">
        <f>IF(OR(E1951="",E1951="!!!",F1951="NEW"),"",INDEX(B1950:B$2,-1+SUMPRODUCT(MAX(ROW(E1950:E$2)*(E1951=E1950:E$2)))))</f>
        <v> </v>
      </c>
      <c r="J1951" s="26" t="str">
        <f>IF(OR(E1951="",E1951="!!!",F1951="NEW"),"",COUNTBLANK(OFFSET(A$1,,,SUMPRODUCT(MAX(ROW(E$2:E1951)*(E1951=E$2:E1951)))))-COUNTBLANK(OFFSET(A$1,,,SUMPRODUCT(MAX(ROW(E$1:E1950)*(E2=E$1:E1950))))))</f>
        <v> </v>
      </c>
      <c r="K1951" s="26" t="str">
        <f>IF(OR(E1951="",E1951="!!!",F1951="NEW"),"",INDEX(J$1:J1950,SUMPRODUCT(MAX(ROW(E$1:E1950)*(E1951=E$1:E1950)))))</f>
        <v> </v>
      </c>
      <c r="L1951" s="27"/>
    </row>
    <row r="1952" spans="1:12">
      <c r="A1952" s="20" t="s">
        <v>1370</v>
      </c>
      <c r="B1952" s="21" t="s">
        <v>739</v>
      </c>
      <c r="C1952" s="21" t="s">
        <v>740</v>
      </c>
      <c r="D1952" s="21" t="s">
        <v>730</v>
      </c>
      <c r="E1952" s="22">
        <f>IF(D1952="?OLD","!!!","")</f>
        <v/>
      </c>
      <c r="F1952" s="23" t="str">
        <f>IF(OR(E1952="",E1952="!!!"),"",IF(NOT(ISNA(VLOOKUP(E1952,E$1:E1951,1,FALSE()))),"OLD",IF(AND(E1952&lt;&gt;"",E1952&lt;&gt;"!!!"),"NEW","")))</f>
        <v> </v>
      </c>
      <c r="G1952" s="24" t="str">
        <f>IF(OR(E1952="",E1952="!!!"),"",IF(OR(J1952=0,AND(J1952=1,K1952=1),AND(J1952=1,I1952="SBJ"),AND(J1952=1,I1952=0)),"?IN_FOCUS",IF(J1952&lt;=2,"?ACTIVATED",IF(J1952&lt;&gt;"","?FAMILIAR",IF(F1952="NEW",IF(ISNA(VLOOKUP(E1952,#REF!,1,FALSE())),"?TYPE_IDENTIFIABLE","?REFERENTIAL"),"_")))))</f>
        <v> </v>
      </c>
      <c r="H1952" s="25" t="str">
        <f>IF(J1952&lt;&gt;1,"",IF(I1952="SBJ","CB","?"))</f>
        <v> </v>
      </c>
      <c r="I1952" s="26" t="str">
        <f>IF(OR(E1952="",E1952="!!!",F1952="NEW"),"",INDEX(B1951:B$2,-1+SUMPRODUCT(MAX(ROW(E1951:E$2)*(E1952=E1951:E$2)))))</f>
        <v> </v>
      </c>
      <c r="J1952" s="26" t="str">
        <f>IF(OR(E1952="",E1952="!!!",F1952="NEW"),"",COUNTBLANK(OFFSET(A$1,,,SUMPRODUCT(MAX(ROW(E$2:E1952)*(E1952=E$2:E1952)))))-COUNTBLANK(OFFSET(A$1,,,SUMPRODUCT(MAX(ROW(E$1:E1951)*(E2=E$1:E1951))))))</f>
        <v> </v>
      </c>
      <c r="K1952" s="26" t="str">
        <f>IF(OR(E1952="",E1952="!!!",F1952="NEW"),"",INDEX(J$1:J1951,SUMPRODUCT(MAX(ROW(E$1:E1951)*(E1952=E$1:E1951)))))</f>
        <v> </v>
      </c>
      <c r="L1952" s="27"/>
    </row>
    <row r="1953" spans="1:12">
      <c r="A1953" s="20" t="s">
        <v>817</v>
      </c>
      <c r="E1953" s="22">
        <f>IF(D1953="?OLD","!!!","")</f>
        <v/>
      </c>
      <c r="F1953" s="23" t="str">
        <f>IF(OR(E1953="",E1953="!!!"),"",IF(NOT(ISNA(VLOOKUP(E1953,E$1:E1952,1,FALSE()))),"OLD",IF(AND(E1953&lt;&gt;"",E1953&lt;&gt;"!!!"),"NEW","")))</f>
        <v> </v>
      </c>
      <c r="G1953" s="24" t="str">
        <f>IF(OR(E1953="",E1953="!!!"),"",IF(OR(J1953=0,AND(J1953=1,K1953=1),AND(J1953=1,I1953="SBJ"),AND(J1953=1,I1953=0)),"?IN_FOCUS",IF(J1953&lt;=2,"?ACTIVATED",IF(J1953&lt;&gt;"","?FAMILIAR",IF(F1953="NEW",IF(ISNA(VLOOKUP(E1953,#REF!,1,FALSE())),"?TYPE_IDENTIFIABLE","?REFERENTIAL"),"_")))))</f>
        <v> </v>
      </c>
      <c r="H1953" s="25" t="str">
        <f>IF(J1953&lt;&gt;1,"",IF(I1953="SBJ","CB","?"))</f>
        <v> </v>
      </c>
      <c r="I1953" s="26" t="str">
        <f>IF(OR(E1953="",E1953="!!!",F1953="NEW"),"",INDEX(B1952:B$2,-1+SUMPRODUCT(MAX(ROW(E1952:E$2)*(E1953=E1952:E$2)))))</f>
        <v> </v>
      </c>
      <c r="J1953" s="26" t="str">
        <f>IF(OR(E1953="",E1953="!!!",F1953="NEW"),"",COUNTBLANK(OFFSET(A$1,,,SUMPRODUCT(MAX(ROW(E$2:E1953)*(E1953=E$2:E1953)))))-COUNTBLANK(OFFSET(A$1,,,SUMPRODUCT(MAX(ROW(E$1:E1952)*(E2=E$1:E1952))))))</f>
        <v> </v>
      </c>
      <c r="K1953" s="26" t="str">
        <f>IF(OR(E1953="",E1953="!!!",F1953="NEW"),"",INDEX(J$1:J1952,SUMPRODUCT(MAX(ROW(E$1:E1952)*(E1953=E$1:E1952)))))</f>
        <v> </v>
      </c>
      <c r="L1953" s="27"/>
    </row>
    <row r="1954" spans="1:12">
      <c r="A1954" s="20" t="s">
        <v>1381</v>
      </c>
      <c r="E1954" s="22">
        <f>IF(D1954="?OLD","!!!","")</f>
        <v/>
      </c>
      <c r="F1954" s="23" t="str">
        <f>IF(OR(E1954="",E1954="!!!"),"",IF(NOT(ISNA(VLOOKUP(E1954,E$1:E1953,1,FALSE()))),"OLD",IF(AND(E1954&lt;&gt;"",E1954&lt;&gt;"!!!"),"NEW","")))</f>
        <v> </v>
      </c>
      <c r="G1954" s="24" t="str">
        <f>IF(OR(E1954="",E1954="!!!"),"",IF(OR(J1954=0,AND(J1954=1,K1954=1),AND(J1954=1,I1954="SBJ"),AND(J1954=1,I1954=0)),"?IN_FOCUS",IF(J1954&lt;=2,"?ACTIVATED",IF(J1954&lt;&gt;"","?FAMILIAR",IF(F1954="NEW",IF(ISNA(VLOOKUP(E1954,#REF!,1,FALSE())),"?TYPE_IDENTIFIABLE","?REFERENTIAL"),"_")))))</f>
        <v> </v>
      </c>
      <c r="H1954" s="25" t="str">
        <f>IF(J1954&lt;&gt;1,"",IF(I1954="SBJ","CB","?"))</f>
        <v> </v>
      </c>
      <c r="I1954" s="26" t="str">
        <f>IF(OR(E1954="",E1954="!!!",F1954="NEW"),"",INDEX(B1953:B$2,-1+SUMPRODUCT(MAX(ROW(E1953:E$2)*(E1954=E1953:E$2)))))</f>
        <v> </v>
      </c>
      <c r="J1954" s="26" t="str">
        <f>IF(OR(E1954="",E1954="!!!",F1954="NEW"),"",COUNTBLANK(OFFSET(A$1,,,SUMPRODUCT(MAX(ROW(E$2:E1954)*(E1954=E$2:E1954)))))-COUNTBLANK(OFFSET(A$1,,,SUMPRODUCT(MAX(ROW(E$1:E1953)*(E2=E$1:E1953))))))</f>
        <v> </v>
      </c>
      <c r="K1954" s="26" t="str">
        <f>IF(OR(E1954="",E1954="!!!",F1954="NEW"),"",INDEX(J$1:J1953,SUMPRODUCT(MAX(ROW(E$1:E1953)*(E1954=E$1:E1953)))))</f>
        <v> </v>
      </c>
      <c r="L1954" s="27"/>
    </row>
    <row r="1955" spans="1:12">
      <c r="A1955" s="20" t="s">
        <v>750</v>
      </c>
      <c r="B1955" s="21" t="s">
        <v>728</v>
      </c>
      <c r="C1955" s="21" t="s">
        <v>729</v>
      </c>
      <c r="D1955" s="21" t="s">
        <v>730</v>
      </c>
      <c r="E1955" s="22">
        <f>IF(D1955="?OLD","!!!","")</f>
        <v/>
      </c>
      <c r="F1955" s="23" t="str">
        <f>IF(OR(E1955="",E1955="!!!"),"",IF(NOT(ISNA(VLOOKUP(E1955,E$1:E1954,1,FALSE()))),"OLD",IF(AND(E1955&lt;&gt;"",E1955&lt;&gt;"!!!"),"NEW","")))</f>
        <v> </v>
      </c>
      <c r="G1955" s="24" t="str">
        <f>IF(OR(E1955="",E1955="!!!"),"",IF(OR(J1955=0,AND(J1955=1,K1955=1),AND(J1955=1,I1955="SBJ"),AND(J1955=1,I1955=0)),"?IN_FOCUS",IF(J1955&lt;=2,"?ACTIVATED",IF(J1955&lt;&gt;"","?FAMILIAR",IF(F1955="NEW",IF(ISNA(VLOOKUP(E1955,#REF!,1,FALSE())),"?TYPE_IDENTIFIABLE","?REFERENTIAL"),"_")))))</f>
        <v> </v>
      </c>
      <c r="H1955" s="25" t="str">
        <f>IF(J1955&lt;&gt;1,"",IF(I1955="SBJ","CB","?"))</f>
        <v> </v>
      </c>
      <c r="I1955" s="26" t="str">
        <f>IF(OR(E1955="",E1955="!!!",F1955="NEW"),"",INDEX(B1954:B$2,-1+SUMPRODUCT(MAX(ROW(E1954:E$2)*(E1955=E1954:E$2)))))</f>
        <v> </v>
      </c>
      <c r="J1955" s="26" t="str">
        <f>IF(OR(E1955="",E1955="!!!",F1955="NEW"),"",COUNTBLANK(OFFSET(A$1,,,SUMPRODUCT(MAX(ROW(E$2:E1955)*(E1955=E$2:E1955)))))-COUNTBLANK(OFFSET(A$1,,,SUMPRODUCT(MAX(ROW(E$1:E1954)*(E2=E$1:E1954))))))</f>
        <v> </v>
      </c>
      <c r="K1955" s="26" t="str">
        <f>IF(OR(E1955="",E1955="!!!",F1955="NEW"),"",INDEX(J$1:J1954,SUMPRODUCT(MAX(ROW(E$1:E1954)*(E1955=E$1:E1954)))))</f>
        <v> </v>
      </c>
      <c r="L1955" s="27"/>
    </row>
    <row r="1956" spans="1:12">
      <c r="A1956" s="20" t="s">
        <v>792</v>
      </c>
      <c r="B1956" s="21" t="s">
        <v>764</v>
      </c>
      <c r="E1956" s="22">
        <f>IF(D1956="?OLD","!!!","")</f>
        <v/>
      </c>
      <c r="F1956" s="23" t="str">
        <f>IF(OR(E1956="",E1956="!!!"),"",IF(NOT(ISNA(VLOOKUP(E1956,E$1:E1955,1,FALSE()))),"OLD",IF(AND(E1956&lt;&gt;"",E1956&lt;&gt;"!!!"),"NEW","")))</f>
        <v> </v>
      </c>
      <c r="G1956" s="24" t="str">
        <f>IF(OR(E1956="",E1956="!!!"),"",IF(OR(J1956=0,AND(J1956=1,K1956=1),AND(J1956=1,I1956="SBJ"),AND(J1956=1,I1956=0)),"?IN_FOCUS",IF(J1956&lt;=2,"?ACTIVATED",IF(J1956&lt;&gt;"","?FAMILIAR",IF(F1956="NEW",IF(ISNA(VLOOKUP(E1956,#REF!,1,FALSE())),"?TYPE_IDENTIFIABLE","?REFERENTIAL"),"_")))))</f>
        <v> </v>
      </c>
      <c r="H1956" s="25" t="str">
        <f>IF(J1956&lt;&gt;1,"",IF(I1956="SBJ","CB","?"))</f>
        <v> </v>
      </c>
      <c r="I1956" s="26" t="str">
        <f>IF(OR(E1956="",E1956="!!!",F1956="NEW"),"",INDEX(B1955:B$2,-1+SUMPRODUCT(MAX(ROW(E1955:E$2)*(E1956=E1955:E$2)))))</f>
        <v> </v>
      </c>
      <c r="J1956" s="26" t="str">
        <f>IF(OR(E1956="",E1956="!!!",F1956="NEW"),"",COUNTBLANK(OFFSET(A$1,,,SUMPRODUCT(MAX(ROW(E$2:E1956)*(E1956=E$2:E1956)))))-COUNTBLANK(OFFSET(A$1,,,SUMPRODUCT(MAX(ROW(E$1:E1955)*(E2=E$1:E1955))))))</f>
        <v> </v>
      </c>
      <c r="K1956" s="26" t="str">
        <f>IF(OR(E1956="",E1956="!!!",F1956="NEW"),"",INDEX(J$1:J1955,SUMPRODUCT(MAX(ROW(E$1:E1955)*(E1956=E$1:E1955)))))</f>
        <v> </v>
      </c>
      <c r="L1956" s="27"/>
    </row>
    <row r="1957" spans="1:12">
      <c r="A1957" s="20" t="s">
        <v>759</v>
      </c>
      <c r="E1957" s="22">
        <f>IF(D1957="?OLD","!!!","")</f>
        <v/>
      </c>
      <c r="F1957" s="23" t="str">
        <f>IF(OR(E1957="",E1957="!!!"),"",IF(NOT(ISNA(VLOOKUP(E1957,E$1:E1956,1,FALSE()))),"OLD",IF(AND(E1957&lt;&gt;"",E1957&lt;&gt;"!!!"),"NEW","")))</f>
        <v> </v>
      </c>
      <c r="G1957" s="24" t="str">
        <f>IF(OR(E1957="",E1957="!!!"),"",IF(OR(J1957=0,AND(J1957=1,K1957=1),AND(J1957=1,I1957="SBJ"),AND(J1957=1,I1957=0)),"?IN_FOCUS",IF(J1957&lt;=2,"?ACTIVATED",IF(J1957&lt;&gt;"","?FAMILIAR",IF(F1957="NEW",IF(ISNA(VLOOKUP(E1957,#REF!,1,FALSE())),"?TYPE_IDENTIFIABLE","?REFERENTIAL"),"_")))))</f>
        <v> </v>
      </c>
      <c r="H1957" s="25" t="str">
        <f>IF(J1957&lt;&gt;1,"",IF(I1957="SBJ","CB","?"))</f>
        <v> </v>
      </c>
      <c r="I1957" s="26" t="str">
        <f>IF(OR(E1957="",E1957="!!!",F1957="NEW"),"",INDEX(B1956:B$2,-1+SUMPRODUCT(MAX(ROW(E1956:E$2)*(E1957=E1956:E$2)))))</f>
        <v> </v>
      </c>
      <c r="J1957" s="26" t="str">
        <f>IF(OR(E1957="",E1957="!!!",F1957="NEW"),"",COUNTBLANK(OFFSET(A$1,,,SUMPRODUCT(MAX(ROW(E$2:E1957)*(E1957=E$2:E1957)))))-COUNTBLANK(OFFSET(A$1,,,SUMPRODUCT(MAX(ROW(E$1:E1956)*(E2=E$1:E1956))))))</f>
        <v> </v>
      </c>
      <c r="K1957" s="26" t="str">
        <f>IF(OR(E1957="",E1957="!!!",F1957="NEW"),"",INDEX(J$1:J1956,SUMPRODUCT(MAX(ROW(E$1:E1956)*(E1957=E$1:E1956)))))</f>
        <v> </v>
      </c>
      <c r="L1957" s="27"/>
    </row>
    <row r="1958" spans="1:12">
      <c r="A1958" s="20" t="s">
        <v>817</v>
      </c>
      <c r="E1958" s="22">
        <f>IF(D1958="?OLD","!!!","")</f>
        <v/>
      </c>
      <c r="F1958" s="23" t="str">
        <f>IF(OR(E1958="",E1958="!!!"),"",IF(NOT(ISNA(VLOOKUP(E1958,E$1:E1957,1,FALSE()))),"OLD",IF(AND(E1958&lt;&gt;"",E1958&lt;&gt;"!!!"),"NEW","")))</f>
        <v> </v>
      </c>
      <c r="G1958" s="24" t="str">
        <f>IF(OR(E1958="",E1958="!!!"),"",IF(OR(J1958=0,AND(J1958=1,K1958=1),AND(J1958=1,I1958="SBJ"),AND(J1958=1,I1958=0)),"?IN_FOCUS",IF(J1958&lt;=2,"?ACTIVATED",IF(J1958&lt;&gt;"","?FAMILIAR",IF(F1958="NEW",IF(ISNA(VLOOKUP(E1958,#REF!,1,FALSE())),"?TYPE_IDENTIFIABLE","?REFERENTIAL"),"_")))))</f>
        <v> </v>
      </c>
      <c r="H1958" s="25" t="str">
        <f>IF(J1958&lt;&gt;1,"",IF(I1958="SBJ","CB","?"))</f>
        <v> </v>
      </c>
      <c r="I1958" s="26" t="str">
        <f>IF(OR(E1958="",E1958="!!!",F1958="NEW"),"",INDEX(B1957:B$2,-1+SUMPRODUCT(MAX(ROW(E1957:E$2)*(E1958=E1957:E$2)))))</f>
        <v> </v>
      </c>
      <c r="J1958" s="26" t="str">
        <f>IF(OR(E1958="",E1958="!!!",F1958="NEW"),"",COUNTBLANK(OFFSET(A$1,,,SUMPRODUCT(MAX(ROW(E$2:E1958)*(E1958=E$2:E1958)))))-COUNTBLANK(OFFSET(A$1,,,SUMPRODUCT(MAX(ROW(E$1:E1957)*(E2=E$1:E1957))))))</f>
        <v> </v>
      </c>
      <c r="K1958" s="26" t="str">
        <f>IF(OR(E1958="",E1958="!!!",F1958="NEW"),"",INDEX(J$1:J1957,SUMPRODUCT(MAX(ROW(E$1:E1957)*(E1958=E$1:E1957)))))</f>
        <v> </v>
      </c>
      <c r="L1958" s="27"/>
    </row>
    <row r="1959" spans="1:12">
      <c r="A1959" s="20" t="s">
        <v>1515</v>
      </c>
      <c r="B1959" s="21" t="s">
        <v>791</v>
      </c>
      <c r="C1959" s="21" t="s">
        <v>740</v>
      </c>
      <c r="D1959" s="21" t="s">
        <v>730</v>
      </c>
      <c r="E1959" s="22">
        <f>IF(D1959="?OLD","!!!","")</f>
        <v/>
      </c>
      <c r="F1959" s="23" t="str">
        <f>IF(OR(E1959="",E1959="!!!"),"",IF(NOT(ISNA(VLOOKUP(E1959,E$1:E1958,1,FALSE()))),"OLD",IF(AND(E1959&lt;&gt;"",E1959&lt;&gt;"!!!"),"NEW","")))</f>
        <v> </v>
      </c>
      <c r="G1959" s="24" t="str">
        <f>IF(OR(E1959="",E1959="!!!"),"",IF(OR(J1959=0,AND(J1959=1,K1959=1),AND(J1959=1,I1959="SBJ"),AND(J1959=1,I1959=0)),"?IN_FOCUS",IF(J1959&lt;=2,"?ACTIVATED",IF(J1959&lt;&gt;"","?FAMILIAR",IF(F1959="NEW",IF(ISNA(VLOOKUP(E1959,#REF!,1,FALSE())),"?TYPE_IDENTIFIABLE","?REFERENTIAL"),"_")))))</f>
        <v> </v>
      </c>
      <c r="H1959" s="25" t="str">
        <f>IF(J1959&lt;&gt;1,"",IF(I1959="SBJ","CB","?"))</f>
        <v> </v>
      </c>
      <c r="I1959" s="26" t="str">
        <f>IF(OR(E1959="",E1959="!!!",F1959="NEW"),"",INDEX(B1958:B$2,-1+SUMPRODUCT(MAX(ROW(E1958:E$2)*(E1959=E1958:E$2)))))</f>
        <v> </v>
      </c>
      <c r="J1959" s="26" t="str">
        <f>IF(OR(E1959="",E1959="!!!",F1959="NEW"),"",COUNTBLANK(OFFSET(A$1,,,SUMPRODUCT(MAX(ROW(E$2:E1959)*(E1959=E$2:E1959)))))-COUNTBLANK(OFFSET(A$1,,,SUMPRODUCT(MAX(ROW(E$1:E1958)*(E2=E$1:E1958))))))</f>
        <v> </v>
      </c>
      <c r="K1959" s="26" t="str">
        <f>IF(OR(E1959="",E1959="!!!",F1959="NEW"),"",INDEX(J$1:J1958,SUMPRODUCT(MAX(ROW(E$1:E1958)*(E1959=E$1:E1958)))))</f>
        <v> </v>
      </c>
      <c r="L1959" s="27"/>
    </row>
    <row r="1960" spans="1:12">
      <c r="A1960" s="20" t="s">
        <v>759</v>
      </c>
      <c r="E1960" s="22">
        <f>IF(D1960="?OLD","!!!","")</f>
        <v/>
      </c>
      <c r="F1960" s="23" t="str">
        <f>IF(OR(E1960="",E1960="!!!"),"",IF(NOT(ISNA(VLOOKUP(E1960,E$1:E1959,1,FALSE()))),"OLD",IF(AND(E1960&lt;&gt;"",E1960&lt;&gt;"!!!"),"NEW","")))</f>
        <v> </v>
      </c>
      <c r="G1960" s="24" t="str">
        <f>IF(OR(E1960="",E1960="!!!"),"",IF(OR(J1960=0,AND(J1960=1,K1960=1),AND(J1960=1,I1960="SBJ"),AND(J1960=1,I1960=0)),"?IN_FOCUS",IF(J1960&lt;=2,"?ACTIVATED",IF(J1960&lt;&gt;"","?FAMILIAR",IF(F1960="NEW",IF(ISNA(VLOOKUP(E1960,#REF!,1,FALSE())),"?TYPE_IDENTIFIABLE","?REFERENTIAL"),"_")))))</f>
        <v> </v>
      </c>
      <c r="H1960" s="25" t="str">
        <f>IF(J1960&lt;&gt;1,"",IF(I1960="SBJ","CB","?"))</f>
        <v> </v>
      </c>
      <c r="I1960" s="26" t="str">
        <f>IF(OR(E1960="",E1960="!!!",F1960="NEW"),"",INDEX(B1959:B$2,-1+SUMPRODUCT(MAX(ROW(E1959:E$2)*(E1960=E1959:E$2)))))</f>
        <v> </v>
      </c>
      <c r="J1960" s="26" t="str">
        <f>IF(OR(E1960="",E1960="!!!",F1960="NEW"),"",COUNTBLANK(OFFSET(A$1,,,SUMPRODUCT(MAX(ROW(E$2:E1960)*(E1960=E$2:E1960)))))-COUNTBLANK(OFFSET(A$1,,,SUMPRODUCT(MAX(ROW(E$1:E1959)*(E2=E$1:E1959))))))</f>
        <v> </v>
      </c>
      <c r="K1960" s="26" t="str">
        <f>IF(OR(E1960="",E1960="!!!",F1960="NEW"),"",INDEX(J$1:J1959,SUMPRODUCT(MAX(ROW(E$1:E1959)*(E1960=E$1:E1959)))))</f>
        <v> </v>
      </c>
      <c r="L1960" s="27"/>
    </row>
    <row r="1961" spans="1:12">
      <c r="A1961" s="20" t="s">
        <v>750</v>
      </c>
      <c r="B1961" s="21" t="s">
        <v>796</v>
      </c>
      <c r="C1961" s="21" t="s">
        <v>729</v>
      </c>
      <c r="D1961" s="21" t="s">
        <v>730</v>
      </c>
      <c r="E1961" s="22">
        <f>IF(D1961="?OLD","!!!","")</f>
        <v/>
      </c>
      <c r="F1961" s="23" t="str">
        <f>IF(OR(E1961="",E1961="!!!"),"",IF(NOT(ISNA(VLOOKUP(E1961,E$1:E1960,1,FALSE()))),"OLD",IF(AND(E1961&lt;&gt;"",E1961&lt;&gt;"!!!"),"NEW","")))</f>
        <v> </v>
      </c>
      <c r="G1961" s="24" t="str">
        <f>IF(OR(E1961="",E1961="!!!"),"",IF(OR(J1961=0,AND(J1961=1,K1961=1),AND(J1961=1,I1961="SBJ"),AND(J1961=1,I1961=0)),"?IN_FOCUS",IF(J1961&lt;=2,"?ACTIVATED",IF(J1961&lt;&gt;"","?FAMILIAR",IF(F1961="NEW",IF(ISNA(VLOOKUP(E1961,#REF!,1,FALSE())),"?TYPE_IDENTIFIABLE","?REFERENTIAL"),"_")))))</f>
        <v> </v>
      </c>
      <c r="H1961" s="25" t="str">
        <f>IF(J1961&lt;&gt;1,"",IF(I1961="SBJ","CB","?"))</f>
        <v> </v>
      </c>
      <c r="I1961" s="26" t="str">
        <f>IF(OR(E1961="",E1961="!!!",F1961="NEW"),"",INDEX(B1960:B$2,-1+SUMPRODUCT(MAX(ROW(E1960:E$2)*(E1961=E1960:E$2)))))</f>
        <v> </v>
      </c>
      <c r="J1961" s="26" t="str">
        <f>IF(OR(E1961="",E1961="!!!",F1961="NEW"),"",COUNTBLANK(OFFSET(A$1,,,SUMPRODUCT(MAX(ROW(E$2:E1961)*(E1961=E$2:E1961)))))-COUNTBLANK(OFFSET(A$1,,,SUMPRODUCT(MAX(ROW(E$1:E1960)*(E2=E$1:E1960))))))</f>
        <v> </v>
      </c>
      <c r="K1961" s="26" t="str">
        <f>IF(OR(E1961="",E1961="!!!",F1961="NEW"),"",INDEX(J$1:J1960,SUMPRODUCT(MAX(ROW(E$1:E1960)*(E1961=E$1:E1960)))))</f>
        <v> </v>
      </c>
      <c r="L1961" s="27"/>
    </row>
    <row r="1962" spans="1:12">
      <c r="A1962" s="20" t="s">
        <v>1516</v>
      </c>
      <c r="E1962" s="22">
        <f>IF(D1962="?OLD","!!!","")</f>
        <v/>
      </c>
      <c r="F1962" s="23" t="str">
        <f>IF(OR(E1962="",E1962="!!!"),"",IF(NOT(ISNA(VLOOKUP(E1962,E$1:E1961,1,FALSE()))),"OLD",IF(AND(E1962&lt;&gt;"",E1962&lt;&gt;"!!!"),"NEW","")))</f>
        <v> </v>
      </c>
      <c r="G1962" s="24" t="str">
        <f>IF(OR(E1962="",E1962="!!!"),"",IF(OR(J1962=0,AND(J1962=1,K1962=1),AND(J1962=1,I1962="SBJ"),AND(J1962=1,I1962=0)),"?IN_FOCUS",IF(J1962&lt;=2,"?ACTIVATED",IF(J1962&lt;&gt;"","?FAMILIAR",IF(F1962="NEW",IF(ISNA(VLOOKUP(E1962,#REF!,1,FALSE())),"?TYPE_IDENTIFIABLE","?REFERENTIAL"),"_")))))</f>
        <v> </v>
      </c>
      <c r="H1962" s="25" t="str">
        <f>IF(J1962&lt;&gt;1,"",IF(I1962="SBJ","CB","?"))</f>
        <v> </v>
      </c>
      <c r="I1962" s="26" t="str">
        <f>IF(OR(E1962="",E1962="!!!",F1962="NEW"),"",INDEX(B1961:B$2,-1+SUMPRODUCT(MAX(ROW(E1961:E$2)*(E1962=E1961:E$2)))))</f>
        <v> </v>
      </c>
      <c r="J1962" s="26" t="str">
        <f>IF(OR(E1962="",E1962="!!!",F1962="NEW"),"",COUNTBLANK(OFFSET(A$1,,,SUMPRODUCT(MAX(ROW(E$2:E1962)*(E1962=E$2:E1962)))))-COUNTBLANK(OFFSET(A$1,,,SUMPRODUCT(MAX(ROW(E$1:E1961)*(E2=E$1:E1961))))))</f>
        <v> </v>
      </c>
      <c r="K1962" s="26" t="str">
        <f>IF(OR(E1962="",E1962="!!!",F1962="NEW"),"",INDEX(J$1:J1961,SUMPRODUCT(MAX(ROW(E$1:E1961)*(E1962=E$1:E1961)))))</f>
        <v> </v>
      </c>
      <c r="L1962" s="27"/>
    </row>
    <row r="1963" spans="1:12">
      <c r="A1963" s="20" t="s">
        <v>1027</v>
      </c>
      <c r="E1963" s="22">
        <f>IF(D1963="?OLD","!!!","")</f>
        <v/>
      </c>
      <c r="F1963" s="23" t="str">
        <f>IF(OR(E1963="",E1963="!!!"),"",IF(NOT(ISNA(VLOOKUP(E1963,E$1:E1962,1,FALSE()))),"OLD",IF(AND(E1963&lt;&gt;"",E1963&lt;&gt;"!!!"),"NEW","")))</f>
        <v> </v>
      </c>
      <c r="G1963" s="24" t="str">
        <f>IF(OR(E1963="",E1963="!!!"),"",IF(OR(J1963=0,AND(J1963=1,K1963=1),AND(J1963=1,I1963="SBJ"),AND(J1963=1,I1963=0)),"?IN_FOCUS",IF(J1963&lt;=2,"?ACTIVATED",IF(J1963&lt;&gt;"","?FAMILIAR",IF(F1963="NEW",IF(ISNA(VLOOKUP(E1963,#REF!,1,FALSE())),"?TYPE_IDENTIFIABLE","?REFERENTIAL"),"_")))))</f>
        <v> </v>
      </c>
      <c r="H1963" s="25" t="str">
        <f>IF(J1963&lt;&gt;1,"",IF(I1963="SBJ","CB","?"))</f>
        <v> </v>
      </c>
      <c r="I1963" s="26" t="str">
        <f>IF(OR(E1963="",E1963="!!!",F1963="NEW"),"",INDEX(B1962:B$2,-1+SUMPRODUCT(MAX(ROW(E1962:E$2)*(E1963=E1962:E$2)))))</f>
        <v> </v>
      </c>
      <c r="J1963" s="26" t="str">
        <f>IF(OR(E1963="",E1963="!!!",F1963="NEW"),"",COUNTBLANK(OFFSET(A$1,,,SUMPRODUCT(MAX(ROW(E$2:E1963)*(E1963=E$2:E1963)))))-COUNTBLANK(OFFSET(A$1,,,SUMPRODUCT(MAX(ROW(E$1:E1962)*(E2=E$1:E1962))))))</f>
        <v> </v>
      </c>
      <c r="K1963" s="26" t="str">
        <f>IF(OR(E1963="",E1963="!!!",F1963="NEW"),"",INDEX(J$1:J1962,SUMPRODUCT(MAX(ROW(E$1:E1962)*(E1963=E$1:E1962)))))</f>
        <v> </v>
      </c>
      <c r="L1963" s="27"/>
    </row>
    <row r="1964" spans="1:12">
      <c r="A1964" s="20" t="s">
        <v>1517</v>
      </c>
      <c r="B1964" s="21" t="s">
        <v>791</v>
      </c>
      <c r="C1964" s="21" t="s">
        <v>852</v>
      </c>
      <c r="E1964" s="22">
        <f>IF(D1964="?OLD","!!!","")</f>
        <v/>
      </c>
      <c r="F1964" s="23" t="str">
        <f>IF(OR(E1964="",E1964="!!!"),"",IF(NOT(ISNA(VLOOKUP(E1964,E$1:E1963,1,FALSE()))),"OLD",IF(AND(E1964&lt;&gt;"",E1964&lt;&gt;"!!!"),"NEW","")))</f>
        <v> </v>
      </c>
      <c r="G1964" s="24" t="str">
        <f>IF(OR(E1964="",E1964="!!!"),"",IF(OR(J1964=0,AND(J1964=1,K1964=1),AND(J1964=1,I1964="SBJ"),AND(J1964=1,I1964=0)),"?IN_FOCUS",IF(J1964&lt;=2,"?ACTIVATED",IF(J1964&lt;&gt;"","?FAMILIAR",IF(F1964="NEW",IF(ISNA(VLOOKUP(E1964,#REF!,1,FALSE())),"?TYPE_IDENTIFIABLE","?REFERENTIAL"),"_")))))</f>
        <v> </v>
      </c>
      <c r="H1964" s="25" t="str">
        <f>IF(J1964&lt;&gt;1,"",IF(I1964="SBJ","CB","?"))</f>
        <v> </v>
      </c>
      <c r="I1964" s="26" t="str">
        <f>IF(OR(E1964="",E1964="!!!",F1964="NEW"),"",INDEX(B1963:B$2,-1+SUMPRODUCT(MAX(ROW(E1963:E$2)*(E1964=E1963:E$2)))))</f>
        <v> </v>
      </c>
      <c r="J1964" s="26" t="str">
        <f>IF(OR(E1964="",E1964="!!!",F1964="NEW"),"",COUNTBLANK(OFFSET(A$1,,,SUMPRODUCT(MAX(ROW(E$2:E1964)*(E1964=E$2:E1964)))))-COUNTBLANK(OFFSET(A$1,,,SUMPRODUCT(MAX(ROW(E$1:E1963)*(E2=E$1:E1963))))))</f>
        <v> </v>
      </c>
      <c r="K1964" s="26" t="str">
        <f>IF(OR(E1964="",E1964="!!!",F1964="NEW"),"",INDEX(J$1:J1963,SUMPRODUCT(MAX(ROW(E$1:E1963)*(E1964=E$1:E1963)))))</f>
        <v> </v>
      </c>
      <c r="L1964" s="27"/>
    </row>
    <row r="1965" spans="1:12">
      <c r="A1965" s="20" t="s">
        <v>920</v>
      </c>
      <c r="E1965" s="22">
        <f>IF(D1965="?OLD","!!!","")</f>
        <v/>
      </c>
      <c r="F1965" s="23" t="str">
        <f>IF(OR(E1965="",E1965="!!!"),"",IF(NOT(ISNA(VLOOKUP(E1965,E$1:E1964,1,FALSE()))),"OLD",IF(AND(E1965&lt;&gt;"",E1965&lt;&gt;"!!!"),"NEW","")))</f>
        <v> </v>
      </c>
      <c r="G1965" s="24" t="str">
        <f>IF(OR(E1965="",E1965="!!!"),"",IF(OR(J1965=0,AND(J1965=1,K1965=1),AND(J1965=1,I1965="SBJ"),AND(J1965=1,I1965=0)),"?IN_FOCUS",IF(J1965&lt;=2,"?ACTIVATED",IF(J1965&lt;&gt;"","?FAMILIAR",IF(F1965="NEW",IF(ISNA(VLOOKUP(E1965,#REF!,1,FALSE())),"?TYPE_IDENTIFIABLE","?REFERENTIAL"),"_")))))</f>
        <v> </v>
      </c>
      <c r="H1965" s="25" t="str">
        <f>IF(J1965&lt;&gt;1,"",IF(I1965="SBJ","CB","?"))</f>
        <v> </v>
      </c>
      <c r="I1965" s="26" t="str">
        <f>IF(OR(E1965="",E1965="!!!",F1965="NEW"),"",INDEX(B1964:B$2,-1+SUMPRODUCT(MAX(ROW(E1964:E$2)*(E1965=E1964:E$2)))))</f>
        <v> </v>
      </c>
      <c r="J1965" s="26" t="str">
        <f>IF(OR(E1965="",E1965="!!!",F1965="NEW"),"",COUNTBLANK(OFFSET(A$1,,,SUMPRODUCT(MAX(ROW(E$2:E1965)*(E1965=E$2:E1965)))))-COUNTBLANK(OFFSET(A$1,,,SUMPRODUCT(MAX(ROW(E$1:E1964)*(E2=E$1:E1964))))))</f>
        <v> </v>
      </c>
      <c r="K1965" s="26" t="str">
        <f>IF(OR(E1965="",E1965="!!!",F1965="NEW"),"",INDEX(J$1:J1964,SUMPRODUCT(MAX(ROW(E$1:E1964)*(E1965=E$1:E1964)))))</f>
        <v> </v>
      </c>
      <c r="L1965" s="27"/>
    </row>
    <row r="1966" spans="1:12">
      <c r="A1966" s="20" t="s">
        <v>1518</v>
      </c>
      <c r="B1966" s="21" t="s">
        <v>739</v>
      </c>
      <c r="C1966" s="21" t="s">
        <v>748</v>
      </c>
      <c r="E1966" s="22">
        <f>IF(D1966="?OLD","!!!","")</f>
        <v/>
      </c>
      <c r="F1966" s="23" t="str">
        <f>IF(OR(E1966="",E1966="!!!"),"",IF(NOT(ISNA(VLOOKUP(E1966,E$1:E1965,1,FALSE()))),"OLD",IF(AND(E1966&lt;&gt;"",E1966&lt;&gt;"!!!"),"NEW","")))</f>
        <v> </v>
      </c>
      <c r="G1966" s="24" t="str">
        <f>IF(OR(E1966="",E1966="!!!"),"",IF(OR(J1966=0,AND(J1966=1,K1966=1),AND(J1966=1,I1966="SBJ"),AND(J1966=1,I1966=0)),"?IN_FOCUS",IF(J1966&lt;=2,"?ACTIVATED",IF(J1966&lt;&gt;"","?FAMILIAR",IF(F1966="NEW",IF(ISNA(VLOOKUP(E1966,#REF!,1,FALSE())),"?TYPE_IDENTIFIABLE","?REFERENTIAL"),"_")))))</f>
        <v> </v>
      </c>
      <c r="H1966" s="25" t="str">
        <f>IF(J1966&lt;&gt;1,"",IF(I1966="SBJ","CB","?"))</f>
        <v> </v>
      </c>
      <c r="I1966" s="26" t="str">
        <f>IF(OR(E1966="",E1966="!!!",F1966="NEW"),"",INDEX(B1965:B$2,-1+SUMPRODUCT(MAX(ROW(E1965:E$2)*(E1966=E1965:E$2)))))</f>
        <v> </v>
      </c>
      <c r="J1966" s="26" t="str">
        <f>IF(OR(E1966="",E1966="!!!",F1966="NEW"),"",COUNTBLANK(OFFSET(A$1,,,SUMPRODUCT(MAX(ROW(E$2:E1966)*(E1966=E$2:E1966)))))-COUNTBLANK(OFFSET(A$1,,,SUMPRODUCT(MAX(ROW(E$1:E1965)*(E2=E$1:E1965))))))</f>
        <v> </v>
      </c>
      <c r="K1966" s="26" t="str">
        <f>IF(OR(E1966="",E1966="!!!",F1966="NEW"),"",INDEX(J$1:J1965,SUMPRODUCT(MAX(ROW(E$1:E1965)*(E1966=E$1:E1965)))))</f>
        <v> </v>
      </c>
      <c r="L1966" s="27"/>
    </row>
    <row r="1967" spans="1:12">
      <c r="A1967" s="20" t="s">
        <v>773</v>
      </c>
      <c r="E1967" s="22">
        <f>IF(D1967="?OLD","!!!","")</f>
        <v/>
      </c>
      <c r="F1967" s="23" t="str">
        <f>IF(OR(E1967="",E1967="!!!"),"",IF(NOT(ISNA(VLOOKUP(E1967,E$1:E1966,1,FALSE()))),"OLD",IF(AND(E1967&lt;&gt;"",E1967&lt;&gt;"!!!"),"NEW","")))</f>
        <v> </v>
      </c>
      <c r="G1967" s="24" t="str">
        <f>IF(OR(E1967="",E1967="!!!"),"",IF(OR(J1967=0,AND(J1967=1,K1967=1),AND(J1967=1,I1967="SBJ"),AND(J1967=1,I1967=0)),"?IN_FOCUS",IF(J1967&lt;=2,"?ACTIVATED",IF(J1967&lt;&gt;"","?FAMILIAR",IF(F1967="NEW",IF(ISNA(VLOOKUP(E1967,#REF!,1,FALSE())),"?TYPE_IDENTIFIABLE","?REFERENTIAL"),"_")))))</f>
        <v> </v>
      </c>
      <c r="H1967" s="25" t="str">
        <f>IF(J1967&lt;&gt;1,"",IF(I1967="SBJ","CB","?"))</f>
        <v> </v>
      </c>
      <c r="I1967" s="26" t="str">
        <f>IF(OR(E1967="",E1967="!!!",F1967="NEW"),"",INDEX(B1966:B$2,-1+SUMPRODUCT(MAX(ROW(E1966:E$2)*(E1967=E1966:E$2)))))</f>
        <v> </v>
      </c>
      <c r="J1967" s="26" t="str">
        <f>IF(OR(E1967="",E1967="!!!",F1967="NEW"),"",COUNTBLANK(OFFSET(A$1,,,SUMPRODUCT(MAX(ROW(E$2:E1967)*(E1967=E$2:E1967)))))-COUNTBLANK(OFFSET(A$1,,,SUMPRODUCT(MAX(ROW(E$1:E1966)*(E2=E$1:E1966))))))</f>
        <v> </v>
      </c>
      <c r="K1967" s="26" t="str">
        <f>IF(OR(E1967="",E1967="!!!",F1967="NEW"),"",INDEX(J$1:J1966,SUMPRODUCT(MAX(ROW(E$1:E1966)*(E1967=E$1:E1966)))))</f>
        <v> </v>
      </c>
      <c r="L1967" s="27"/>
    </row>
    <row r="1968" spans="1:12">
      <c r="A1968" s="20" t="s">
        <v>1476</v>
      </c>
      <c r="B1968" s="21" t="s">
        <v>755</v>
      </c>
      <c r="C1968" s="21" t="s">
        <v>740</v>
      </c>
      <c r="D1968" s="21" t="s">
        <v>730</v>
      </c>
      <c r="E1968" s="22">
        <f>IF(D1968="?OLD","!!!","")</f>
        <v/>
      </c>
      <c r="F1968" s="23" t="str">
        <f>IF(OR(E1968="",E1968="!!!"),"",IF(NOT(ISNA(VLOOKUP(E1968,E$1:E1967,1,FALSE()))),"OLD",IF(AND(E1968&lt;&gt;"",E1968&lt;&gt;"!!!"),"NEW","")))</f>
        <v> </v>
      </c>
      <c r="G1968" s="24" t="str">
        <f>IF(OR(E1968="",E1968="!!!"),"",IF(OR(J1968=0,AND(J1968=1,K1968=1),AND(J1968=1,I1968="SBJ"),AND(J1968=1,I1968=0)),"?IN_FOCUS",IF(J1968&lt;=2,"?ACTIVATED",IF(J1968&lt;&gt;"","?FAMILIAR",IF(F1968="NEW",IF(ISNA(VLOOKUP(E1968,#REF!,1,FALSE())),"?TYPE_IDENTIFIABLE","?REFERENTIAL"),"_")))))</f>
        <v> </v>
      </c>
      <c r="H1968" s="25" t="str">
        <f>IF(J1968&lt;&gt;1,"",IF(I1968="SBJ","CB","?"))</f>
        <v> </v>
      </c>
      <c r="I1968" s="26" t="str">
        <f>IF(OR(E1968="",E1968="!!!",F1968="NEW"),"",INDEX(B1967:B$2,-1+SUMPRODUCT(MAX(ROW(E1967:E$2)*(E1968=E1967:E$2)))))</f>
        <v> </v>
      </c>
      <c r="J1968" s="26" t="str">
        <f>IF(OR(E1968="",E1968="!!!",F1968="NEW"),"",COUNTBLANK(OFFSET(A$1,,,SUMPRODUCT(MAX(ROW(E$2:E1968)*(E1968=E$2:E1968)))))-COUNTBLANK(OFFSET(A$1,,,SUMPRODUCT(MAX(ROW(E$1:E1967)*(E2=E$1:E1967))))))</f>
        <v> </v>
      </c>
      <c r="K1968" s="26" t="str">
        <f>IF(OR(E1968="",E1968="!!!",F1968="NEW"),"",INDEX(J$1:J1967,SUMPRODUCT(MAX(ROW(E$1:E1967)*(E1968=E$1:E1967)))))</f>
        <v> </v>
      </c>
      <c r="L1968" s="27"/>
    </row>
    <row r="1969" spans="1:12">
      <c r="A1969" s="20" t="s">
        <v>742</v>
      </c>
      <c r="E1969" s="22">
        <f>IF(D1969="?OLD","!!!","")</f>
        <v/>
      </c>
      <c r="F1969" s="23" t="str">
        <f>IF(OR(E1969="",E1969="!!!"),"",IF(NOT(ISNA(VLOOKUP(E1969,E$1:E1968,1,FALSE()))),"OLD",IF(AND(E1969&lt;&gt;"",E1969&lt;&gt;"!!!"),"NEW","")))</f>
        <v> </v>
      </c>
      <c r="G1969" s="24" t="str">
        <f>IF(OR(E1969="",E1969="!!!"),"",IF(OR(J1969=0,AND(J1969=1,K1969=1),AND(J1969=1,I1969="SBJ"),AND(J1969=1,I1969=0)),"?IN_FOCUS",IF(J1969&lt;=2,"?ACTIVATED",IF(J1969&lt;&gt;"","?FAMILIAR",IF(F1969="NEW",IF(ISNA(VLOOKUP(E1969,#REF!,1,FALSE())),"?TYPE_IDENTIFIABLE","?REFERENTIAL"),"_")))))</f>
        <v> </v>
      </c>
      <c r="H1969" s="25" t="str">
        <f>IF(J1969&lt;&gt;1,"",IF(I1969="SBJ","CB","?"))</f>
        <v> </v>
      </c>
      <c r="I1969" s="26" t="str">
        <f>IF(OR(E1969="",E1969="!!!",F1969="NEW"),"",INDEX(B1968:B$2,-1+SUMPRODUCT(MAX(ROW(E1968:E$2)*(E1969=E1968:E$2)))))</f>
        <v> </v>
      </c>
      <c r="J1969" s="26" t="str">
        <f>IF(OR(E1969="",E1969="!!!",F1969="NEW"),"",COUNTBLANK(OFFSET(A$1,,,SUMPRODUCT(MAX(ROW(E$2:E1969)*(E1969=E$2:E1969)))))-COUNTBLANK(OFFSET(A$1,,,SUMPRODUCT(MAX(ROW(E$1:E1968)*(E2=E$1:E1968))))))</f>
        <v> </v>
      </c>
      <c r="K1969" s="26" t="str">
        <f>IF(OR(E1969="",E1969="!!!",F1969="NEW"),"",INDEX(J$1:J1968,SUMPRODUCT(MAX(ROW(E$1:E1968)*(E1969=E$1:E1968)))))</f>
        <v> </v>
      </c>
      <c r="L1969" s="27"/>
    </row>
    <row r="1970" spans="1:12">
      <c r="A1970" s="20" t="s">
        <v>1519</v>
      </c>
      <c r="B1970" s="21" t="s">
        <v>755</v>
      </c>
      <c r="C1970" s="21" t="s">
        <v>748</v>
      </c>
      <c r="E1970" s="22">
        <f>IF(D1970="?OLD","!!!","")</f>
        <v/>
      </c>
      <c r="F1970" s="23" t="str">
        <f>IF(OR(E1970="",E1970="!!!"),"",IF(NOT(ISNA(VLOOKUP(E1970,E$1:E1969,1,FALSE()))),"OLD",IF(AND(E1970&lt;&gt;"",E1970&lt;&gt;"!!!"),"NEW","")))</f>
        <v> </v>
      </c>
      <c r="G1970" s="24" t="str">
        <f>IF(OR(E1970="",E1970="!!!"),"",IF(OR(J1970=0,AND(J1970=1,K1970=1),AND(J1970=1,I1970="SBJ"),AND(J1970=1,I1970=0)),"?IN_FOCUS",IF(J1970&lt;=2,"?ACTIVATED",IF(J1970&lt;&gt;"","?FAMILIAR",IF(F1970="NEW",IF(ISNA(VLOOKUP(E1970,#REF!,1,FALSE())),"?TYPE_IDENTIFIABLE","?REFERENTIAL"),"_")))))</f>
        <v> </v>
      </c>
      <c r="H1970" s="25" t="str">
        <f>IF(J1970&lt;&gt;1,"",IF(I1970="SBJ","CB","?"))</f>
        <v> </v>
      </c>
      <c r="I1970" s="26" t="str">
        <f>IF(OR(E1970="",E1970="!!!",F1970="NEW"),"",INDEX(B1969:B$2,-1+SUMPRODUCT(MAX(ROW(E1969:E$2)*(E1970=E1969:E$2)))))</f>
        <v> </v>
      </c>
      <c r="J1970" s="26" t="str">
        <f>IF(OR(E1970="",E1970="!!!",F1970="NEW"),"",COUNTBLANK(OFFSET(A$1,,,SUMPRODUCT(MAX(ROW(E$2:E1970)*(E1970=E$2:E1970)))))-COUNTBLANK(OFFSET(A$1,,,SUMPRODUCT(MAX(ROW(E$1:E1969)*(E2=E$1:E1969))))))</f>
        <v> </v>
      </c>
      <c r="K1970" s="26" t="str">
        <f>IF(OR(E1970="",E1970="!!!",F1970="NEW"),"",INDEX(J$1:J1969,SUMPRODUCT(MAX(ROW(E$1:E1969)*(E1970=E$1:E1969)))))</f>
        <v> </v>
      </c>
      <c r="L1970" s="27"/>
    </row>
    <row r="1971" spans="1:12">
      <c r="A1971" s="20" t="s">
        <v>1520</v>
      </c>
      <c r="E1971" s="22">
        <f>IF(D1971="?OLD","!!!","")</f>
        <v/>
      </c>
      <c r="F1971" s="23" t="str">
        <f>IF(OR(E1971="",E1971="!!!"),"",IF(NOT(ISNA(VLOOKUP(E1971,E$1:E1970,1,FALSE()))),"OLD",IF(AND(E1971&lt;&gt;"",E1971&lt;&gt;"!!!"),"NEW","")))</f>
        <v> </v>
      </c>
      <c r="G1971" s="24" t="str">
        <f>IF(OR(E1971="",E1971="!!!"),"",IF(OR(J1971=0,AND(J1971=1,K1971=1),AND(J1971=1,I1971="SBJ"),AND(J1971=1,I1971=0)),"?IN_FOCUS",IF(J1971&lt;=2,"?ACTIVATED",IF(J1971&lt;&gt;"","?FAMILIAR",IF(F1971="NEW",IF(ISNA(VLOOKUP(E1971,#REF!,1,FALSE())),"?TYPE_IDENTIFIABLE","?REFERENTIAL"),"_")))))</f>
        <v> </v>
      </c>
      <c r="H1971" s="25" t="str">
        <f>IF(J1971&lt;&gt;1,"",IF(I1971="SBJ","CB","?"))</f>
        <v> </v>
      </c>
      <c r="I1971" s="26" t="str">
        <f>IF(OR(E1971="",E1971="!!!",F1971="NEW"),"",INDEX(B1970:B$2,-1+SUMPRODUCT(MAX(ROW(E1970:E$2)*(E1971=E1970:E$2)))))</f>
        <v> </v>
      </c>
      <c r="J1971" s="26" t="str">
        <f>IF(OR(E1971="",E1971="!!!",F1971="NEW"),"",COUNTBLANK(OFFSET(A$1,,,SUMPRODUCT(MAX(ROW(E$2:E1971)*(E1971=E$2:E1971)))))-COUNTBLANK(OFFSET(A$1,,,SUMPRODUCT(MAX(ROW(E$1:E1970)*(E2=E$1:E1970))))))</f>
        <v> </v>
      </c>
      <c r="K1971" s="26" t="str">
        <f>IF(OR(E1971="",E1971="!!!",F1971="NEW"),"",INDEX(J$1:J1970,SUMPRODUCT(MAX(ROW(E$1:E1970)*(E1971=E$1:E1970)))))</f>
        <v> </v>
      </c>
      <c r="L1971" s="27"/>
    </row>
    <row r="1972" spans="1:12">
      <c r="A1972" s="20" t="s">
        <v>785</v>
      </c>
      <c r="E1972" s="22">
        <f>IF(D1972="?OLD","!!!","")</f>
        <v/>
      </c>
      <c r="F1972" s="23" t="str">
        <f>IF(OR(E1972="",E1972="!!!"),"",IF(NOT(ISNA(VLOOKUP(E1972,E$1:E1971,1,FALSE()))),"OLD",IF(AND(E1972&lt;&gt;"",E1972&lt;&gt;"!!!"),"NEW","")))</f>
        <v> </v>
      </c>
      <c r="G1972" s="24" t="str">
        <f>IF(OR(E1972="",E1972="!!!"),"",IF(OR(J1972=0,AND(J1972=1,K1972=1),AND(J1972=1,I1972="SBJ"),AND(J1972=1,I1972=0)),"?IN_FOCUS",IF(J1972&lt;=2,"?ACTIVATED",IF(J1972&lt;&gt;"","?FAMILIAR",IF(F1972="NEW",IF(ISNA(VLOOKUP(E1972,#REF!,1,FALSE())),"?TYPE_IDENTIFIABLE","?REFERENTIAL"),"_")))))</f>
        <v> </v>
      </c>
      <c r="H1972" s="25" t="str">
        <f>IF(J1972&lt;&gt;1,"",IF(I1972="SBJ","CB","?"))</f>
        <v> </v>
      </c>
      <c r="I1972" s="26" t="str">
        <f>IF(OR(E1972="",E1972="!!!",F1972="NEW"),"",INDEX(B1971:B$2,-1+SUMPRODUCT(MAX(ROW(E1971:E$2)*(E1972=E1971:E$2)))))</f>
        <v> </v>
      </c>
      <c r="J1972" s="26" t="str">
        <f>IF(OR(E1972="",E1972="!!!",F1972="NEW"),"",COUNTBLANK(OFFSET(A$1,,,SUMPRODUCT(MAX(ROW(E$2:E1972)*(E1972=E$2:E1972)))))-COUNTBLANK(OFFSET(A$1,,,SUMPRODUCT(MAX(ROW(E$1:E1971)*(E2=E$1:E1971))))))</f>
        <v> </v>
      </c>
      <c r="K1972" s="26" t="str">
        <f>IF(OR(E1972="",E1972="!!!",F1972="NEW"),"",INDEX(J$1:J1971,SUMPRODUCT(MAX(ROW(E$1:E1971)*(E1972=E$1:E1971)))))</f>
        <v> </v>
      </c>
      <c r="L1972" s="27"/>
    </row>
    <row r="1973" spans="1:12">
      <c r="A1973" s="20" t="s">
        <v>1521</v>
      </c>
      <c r="E1973" s="22">
        <f>IF(D1973="?OLD","!!!","")</f>
        <v/>
      </c>
      <c r="F1973" s="23" t="str">
        <f>IF(OR(E1973="",E1973="!!!"),"",IF(NOT(ISNA(VLOOKUP(E1973,E$1:E1972,1,FALSE()))),"OLD",IF(AND(E1973&lt;&gt;"",E1973&lt;&gt;"!!!"),"NEW","")))</f>
        <v> </v>
      </c>
      <c r="G1973" s="24" t="str">
        <f>IF(OR(E1973="",E1973="!!!"),"",IF(OR(J1973=0,AND(J1973=1,K1973=1),AND(J1973=1,I1973="SBJ"),AND(J1973=1,I1973=0)),"?IN_FOCUS",IF(J1973&lt;=2,"?ACTIVATED",IF(J1973&lt;&gt;"","?FAMILIAR",IF(F1973="NEW",IF(ISNA(VLOOKUP(E1973,#REF!,1,FALSE())),"?TYPE_IDENTIFIABLE","?REFERENTIAL"),"_")))))</f>
        <v> </v>
      </c>
      <c r="H1973" s="25" t="str">
        <f>IF(J1973&lt;&gt;1,"",IF(I1973="SBJ","CB","?"))</f>
        <v> </v>
      </c>
      <c r="I1973" s="26" t="str">
        <f>IF(OR(E1973="",E1973="!!!",F1973="NEW"),"",INDEX(B1972:B$2,-1+SUMPRODUCT(MAX(ROW(E1972:E$2)*(E1973=E1972:E$2)))))</f>
        <v> </v>
      </c>
      <c r="J1973" s="26" t="str">
        <f>IF(OR(E1973="",E1973="!!!",F1973="NEW"),"",COUNTBLANK(OFFSET(A$1,,,SUMPRODUCT(MAX(ROW(E$2:E1973)*(E1973=E$2:E1973)))))-COUNTBLANK(OFFSET(A$1,,,SUMPRODUCT(MAX(ROW(E$1:E1972)*(E2=E$1:E1972))))))</f>
        <v> </v>
      </c>
      <c r="K1973" s="26" t="str">
        <f>IF(OR(E1973="",E1973="!!!",F1973="NEW"),"",INDEX(J$1:J1972,SUMPRODUCT(MAX(ROW(E$1:E1972)*(E1973=E$1:E1972)))))</f>
        <v> </v>
      </c>
      <c r="L1973" s="27"/>
    </row>
    <row r="1974" spans="1:12">
      <c r="A1974" s="20" t="s">
        <v>1107</v>
      </c>
      <c r="E1974" s="22">
        <f>IF(D1974="?OLD","!!!","")</f>
        <v/>
      </c>
      <c r="F1974" s="23" t="str">
        <f>IF(OR(E1974="",E1974="!!!"),"",IF(NOT(ISNA(VLOOKUP(E1974,E$1:E1973,1,FALSE()))),"OLD",IF(AND(E1974&lt;&gt;"",E1974&lt;&gt;"!!!"),"NEW","")))</f>
        <v> </v>
      </c>
      <c r="G1974" s="24" t="str">
        <f>IF(OR(E1974="",E1974="!!!"),"",IF(OR(J1974=0,AND(J1974=1,K1974=1),AND(J1974=1,I1974="SBJ"),AND(J1974=1,I1974=0)),"?IN_FOCUS",IF(J1974&lt;=2,"?ACTIVATED",IF(J1974&lt;&gt;"","?FAMILIAR",IF(F1974="NEW",IF(ISNA(VLOOKUP(E1974,#REF!,1,FALSE())),"?TYPE_IDENTIFIABLE","?REFERENTIAL"),"_")))))</f>
        <v> </v>
      </c>
      <c r="H1974" s="25" t="str">
        <f>IF(J1974&lt;&gt;1,"",IF(I1974="SBJ","CB","?"))</f>
        <v> </v>
      </c>
      <c r="I1974" s="26" t="str">
        <f>IF(OR(E1974="",E1974="!!!",F1974="NEW"),"",INDEX(B1973:B$2,-1+SUMPRODUCT(MAX(ROW(E1973:E$2)*(E1974=E1973:E$2)))))</f>
        <v> </v>
      </c>
      <c r="J1974" s="26" t="str">
        <f>IF(OR(E1974="",E1974="!!!",F1974="NEW"),"",COUNTBLANK(OFFSET(A$1,,,SUMPRODUCT(MAX(ROW(E$2:E1974)*(E1974=E$2:E1974)))))-COUNTBLANK(OFFSET(A$1,,,SUMPRODUCT(MAX(ROW(E$1:E1973)*(E2=E$1:E1973))))))</f>
        <v> </v>
      </c>
      <c r="K1974" s="26" t="str">
        <f>IF(OR(E1974="",E1974="!!!",F1974="NEW"),"",INDEX(J$1:J1973,SUMPRODUCT(MAX(ROW(E$1:E1973)*(E1974=E$1:E1973)))))</f>
        <v> </v>
      </c>
      <c r="L1974" s="27"/>
    </row>
    <row r="1975" spans="1:12">
      <c r="A1975" s="20" t="s">
        <v>762</v>
      </c>
      <c r="E1975" s="22">
        <f>IF(D1975="?OLD","!!!","")</f>
        <v/>
      </c>
      <c r="F1975" s="23" t="str">
        <f>IF(OR(E1975="",E1975="!!!"),"",IF(NOT(ISNA(VLOOKUP(E1975,E$1:E1974,1,FALSE()))),"OLD",IF(AND(E1975&lt;&gt;"",E1975&lt;&gt;"!!!"),"NEW","")))</f>
        <v> </v>
      </c>
      <c r="G1975" s="24" t="str">
        <f>IF(OR(E1975="",E1975="!!!"),"",IF(OR(J1975=0,AND(J1975=1,K1975=1),AND(J1975=1,I1975="SBJ"),AND(J1975=1,I1975=0)),"?IN_FOCUS",IF(J1975&lt;=2,"?ACTIVATED",IF(J1975&lt;&gt;"","?FAMILIAR",IF(F1975="NEW",IF(ISNA(VLOOKUP(E1975,#REF!,1,FALSE())),"?TYPE_IDENTIFIABLE","?REFERENTIAL"),"_")))))</f>
        <v> </v>
      </c>
      <c r="H1975" s="25" t="str">
        <f>IF(J1975&lt;&gt;1,"",IF(I1975="SBJ","CB","?"))</f>
        <v> </v>
      </c>
      <c r="I1975" s="26" t="str">
        <f>IF(OR(E1975="",E1975="!!!",F1975="NEW"),"",INDEX(B1974:B$2,-1+SUMPRODUCT(MAX(ROW(E1974:E$2)*(E1975=E1974:E$2)))))</f>
        <v> </v>
      </c>
      <c r="J1975" s="26" t="str">
        <f>IF(OR(E1975="",E1975="!!!",F1975="NEW"),"",COUNTBLANK(OFFSET(A$1,,,SUMPRODUCT(MAX(ROW(E$2:E1975)*(E1975=E$2:E1975)))))-COUNTBLANK(OFFSET(A$1,,,SUMPRODUCT(MAX(ROW(E$1:E1974)*(E2=E$1:E1974))))))</f>
        <v> </v>
      </c>
      <c r="K1975" s="26" t="str">
        <f>IF(OR(E1975="",E1975="!!!",F1975="NEW"),"",INDEX(J$1:J1974,SUMPRODUCT(MAX(ROW(E$1:E1974)*(E1975=E$1:E1974)))))</f>
        <v> </v>
      </c>
      <c r="L1975" s="27"/>
    </row>
    <row r="1976" spans="1:12">
      <c r="A1976" s="20" t="s">
        <v>1522</v>
      </c>
      <c r="B1976" s="21" t="s">
        <v>739</v>
      </c>
      <c r="C1976" s="21" t="s">
        <v>737</v>
      </c>
      <c r="E1976" s="22">
        <f>IF(D1976="?OLD","!!!","")</f>
        <v/>
      </c>
      <c r="F1976" s="23" t="str">
        <f>IF(OR(E1976="",E1976="!!!"),"",IF(NOT(ISNA(VLOOKUP(E1976,E$1:E1975,1,FALSE()))),"OLD",IF(AND(E1976&lt;&gt;"",E1976&lt;&gt;"!!!"),"NEW","")))</f>
        <v> </v>
      </c>
      <c r="G1976" s="24" t="str">
        <f>IF(OR(E1976="",E1976="!!!"),"",IF(OR(J1976=0,AND(J1976=1,K1976=1),AND(J1976=1,I1976="SBJ"),AND(J1976=1,I1976=0)),"?IN_FOCUS",IF(J1976&lt;=2,"?ACTIVATED",IF(J1976&lt;&gt;"","?FAMILIAR",IF(F1976="NEW",IF(ISNA(VLOOKUP(E1976,#REF!,1,FALSE())),"?TYPE_IDENTIFIABLE","?REFERENTIAL"),"_")))))</f>
        <v> </v>
      </c>
      <c r="H1976" s="25" t="str">
        <f>IF(J1976&lt;&gt;1,"",IF(I1976="SBJ","CB","?"))</f>
        <v> </v>
      </c>
      <c r="I1976" s="26" t="str">
        <f>IF(OR(E1976="",E1976="!!!",F1976="NEW"),"",INDEX(B1975:B$2,-1+SUMPRODUCT(MAX(ROW(E1975:E$2)*(E1976=E1975:E$2)))))</f>
        <v> </v>
      </c>
      <c r="J1976" s="26" t="str">
        <f>IF(OR(E1976="",E1976="!!!",F1976="NEW"),"",COUNTBLANK(OFFSET(A$1,,,SUMPRODUCT(MAX(ROW(E$2:E1976)*(E1976=E$2:E1976)))))-COUNTBLANK(OFFSET(A$1,,,SUMPRODUCT(MAX(ROW(E$1:E1975)*(E2=E$1:E1975))))))</f>
        <v> </v>
      </c>
      <c r="K1976" s="26" t="str">
        <f>IF(OR(E1976="",E1976="!!!",F1976="NEW"),"",INDEX(J$1:J1975,SUMPRODUCT(MAX(ROW(E$1:E1975)*(E1976=E$1:E1975)))))</f>
        <v> </v>
      </c>
      <c r="L1976" s="27"/>
    </row>
    <row r="1977" spans="1:12">
      <c r="A1977" s="20" t="s">
        <v>1523</v>
      </c>
      <c r="E1977" s="22">
        <f>IF(D1977="?OLD","!!!","")</f>
        <v/>
      </c>
      <c r="F1977" s="23" t="str">
        <f>IF(OR(E1977="",E1977="!!!"),"",IF(NOT(ISNA(VLOOKUP(E1977,E$1:E1976,1,FALSE()))),"OLD",IF(AND(E1977&lt;&gt;"",E1977&lt;&gt;"!!!"),"NEW","")))</f>
        <v> </v>
      </c>
      <c r="G1977" s="24" t="str">
        <f>IF(OR(E1977="",E1977="!!!"),"",IF(OR(J1977=0,AND(J1977=1,K1977=1),AND(J1977=1,I1977="SBJ"),AND(J1977=1,I1977=0)),"?IN_FOCUS",IF(J1977&lt;=2,"?ACTIVATED",IF(J1977&lt;&gt;"","?FAMILIAR",IF(F1977="NEW",IF(ISNA(VLOOKUP(E1977,#REF!,1,FALSE())),"?TYPE_IDENTIFIABLE","?REFERENTIAL"),"_")))))</f>
        <v> </v>
      </c>
      <c r="H1977" s="25" t="str">
        <f>IF(J1977&lt;&gt;1,"",IF(I1977="SBJ","CB","?"))</f>
        <v> </v>
      </c>
      <c r="I1977" s="26" t="str">
        <f>IF(OR(E1977="",E1977="!!!",F1977="NEW"),"",INDEX(B1976:B$2,-1+SUMPRODUCT(MAX(ROW(E1976:E$2)*(E1977=E1976:E$2)))))</f>
        <v> </v>
      </c>
      <c r="J1977" s="26" t="str">
        <f>IF(OR(E1977="",E1977="!!!",F1977="NEW"),"",COUNTBLANK(OFFSET(A$1,,,SUMPRODUCT(MAX(ROW(E$2:E1977)*(E1977=E$2:E1977)))))-COUNTBLANK(OFFSET(A$1,,,SUMPRODUCT(MAX(ROW(E$1:E1976)*(E2=E$1:E1976))))))</f>
        <v> </v>
      </c>
      <c r="K1977" s="26" t="str">
        <f>IF(OR(E1977="",E1977="!!!",F1977="NEW"),"",INDEX(J$1:J1976,SUMPRODUCT(MAX(ROW(E$1:E1976)*(E1977=E$1:E1976)))))</f>
        <v> </v>
      </c>
      <c r="L1977" s="27"/>
    </row>
    <row r="1978" spans="1:12">
      <c r="A1978" s="20" t="s">
        <v>12</v>
      </c>
      <c r="E1978" s="22">
        <f>IF(D1978="?OLD","!!!","")</f>
        <v/>
      </c>
      <c r="F1978" s="23" t="str">
        <f>IF(OR(E1978="",E1978="!!!"),"",IF(NOT(ISNA(VLOOKUP(E1978,E$1:E1977,1,FALSE()))),"OLD",IF(AND(E1978&lt;&gt;"",E1978&lt;&gt;"!!!"),"NEW","")))</f>
        <v> </v>
      </c>
      <c r="G1978" s="24" t="str">
        <f>IF(OR(E1978="",E1978="!!!"),"",IF(OR(J1978=0,AND(J1978=1,K1978=1),AND(J1978=1,I1978="SBJ"),AND(J1978=1,I1978=0)),"?IN_FOCUS",IF(J1978&lt;=2,"?ACTIVATED",IF(J1978&lt;&gt;"","?FAMILIAR",IF(F1978="NEW",IF(ISNA(VLOOKUP(E1978,#REF!,1,FALSE())),"?TYPE_IDENTIFIABLE","?REFERENTIAL"),"_")))))</f>
        <v> </v>
      </c>
      <c r="H1978" s="25" t="str">
        <f>IF(J1978&lt;&gt;1,"",IF(I1978="SBJ","CB","?"))</f>
        <v> </v>
      </c>
      <c r="I1978" s="26" t="str">
        <f>IF(OR(E1978="",E1978="!!!",F1978="NEW"),"",INDEX(B1977:B$2,-1+SUMPRODUCT(MAX(ROW(E1977:E$2)*(E1978=E1977:E$2)))))</f>
        <v> </v>
      </c>
      <c r="J1978" s="26" t="str">
        <f>IF(OR(E1978="",E1978="!!!",F1978="NEW"),"",COUNTBLANK(OFFSET(A$1,,,SUMPRODUCT(MAX(ROW(E$2:E1978)*(E1978=E$2:E1978)))))-COUNTBLANK(OFFSET(A$1,,,SUMPRODUCT(MAX(ROW(E$1:E1977)*(E2=E$1:E1977))))))</f>
        <v> </v>
      </c>
      <c r="K1978" s="26" t="str">
        <f>IF(OR(E1978="",E1978="!!!",F1978="NEW"),"",INDEX(J$1:J1977,SUMPRODUCT(MAX(ROW(E$1:E1977)*(E1978=E$1:E1977)))))</f>
        <v> </v>
      </c>
      <c r="L1978" s="27"/>
    </row>
    <row r="1979" spans="1:12">
      <c r="A1979" s="20" t="s">
        <v>1524</v>
      </c>
      <c r="B1979" s="21" t="s">
        <v>755</v>
      </c>
      <c r="C1979" s="21" t="s">
        <v>748</v>
      </c>
      <c r="E1979" s="22">
        <f>IF(D1979="?OLD","!!!","")</f>
        <v/>
      </c>
      <c r="F1979" s="23" t="str">
        <f>IF(OR(E1979="",E1979="!!!"),"",IF(NOT(ISNA(VLOOKUP(E1979,E$1:E1978,1,FALSE()))),"OLD",IF(AND(E1979&lt;&gt;"",E1979&lt;&gt;"!!!"),"NEW","")))</f>
        <v> </v>
      </c>
      <c r="G1979" s="24" t="str">
        <f>IF(OR(E1979="",E1979="!!!"),"",IF(OR(J1979=0,AND(J1979=1,K1979=1),AND(J1979=1,I1979="SBJ"),AND(J1979=1,I1979=0)),"?IN_FOCUS",IF(J1979&lt;=2,"?ACTIVATED",IF(J1979&lt;&gt;"","?FAMILIAR",IF(F1979="NEW",IF(ISNA(VLOOKUP(E1979,#REF!,1,FALSE())),"?TYPE_IDENTIFIABLE","?REFERENTIAL"),"_")))))</f>
        <v> </v>
      </c>
      <c r="H1979" s="25" t="str">
        <f>IF(J1979&lt;&gt;1,"",IF(I1979="SBJ","CB","?"))</f>
        <v> </v>
      </c>
      <c r="I1979" s="26" t="str">
        <f>IF(OR(E1979="",E1979="!!!",F1979="NEW"),"",INDEX(B1978:B$2,-1+SUMPRODUCT(MAX(ROW(E1978:E$2)*(E1979=E1978:E$2)))))</f>
        <v> </v>
      </c>
      <c r="J1979" s="26" t="str">
        <f>IF(OR(E1979="",E1979="!!!",F1979="NEW"),"",COUNTBLANK(OFFSET(A$1,,,SUMPRODUCT(MAX(ROW(E$2:E1979)*(E1979=E$2:E1979)))))-COUNTBLANK(OFFSET(A$1,,,SUMPRODUCT(MAX(ROW(E$1:E1978)*(E2=E$1:E1978))))))</f>
        <v> </v>
      </c>
      <c r="K1979" s="26" t="str">
        <f>IF(OR(E1979="",E1979="!!!",F1979="NEW"),"",INDEX(J$1:J1978,SUMPRODUCT(MAX(ROW(E$1:E1978)*(E1979=E$1:E1978)))))</f>
        <v> </v>
      </c>
      <c r="L1979" s="27"/>
    </row>
    <row r="1980" spans="1:12">
      <c r="A1980" s="20" t="s">
        <v>246</v>
      </c>
      <c r="E1980" s="22">
        <f>IF(D1980="?OLD","!!!","")</f>
        <v/>
      </c>
      <c r="F1980" s="23" t="str">
        <f>IF(OR(E1980="",E1980="!!!"),"",IF(NOT(ISNA(VLOOKUP(E1980,E$1:E1979,1,FALSE()))),"OLD",IF(AND(E1980&lt;&gt;"",E1980&lt;&gt;"!!!"),"NEW","")))</f>
        <v> </v>
      </c>
      <c r="G1980" s="24" t="str">
        <f>IF(OR(E1980="",E1980="!!!"),"",IF(OR(J1980=0,AND(J1980=1,K1980=1),AND(J1980=1,I1980="SBJ"),AND(J1980=1,I1980=0)),"?IN_FOCUS",IF(J1980&lt;=2,"?ACTIVATED",IF(J1980&lt;&gt;"","?FAMILIAR",IF(F1980="NEW",IF(ISNA(VLOOKUP(E1980,#REF!,1,FALSE())),"?TYPE_IDENTIFIABLE","?REFERENTIAL"),"_")))))</f>
        <v> </v>
      </c>
      <c r="H1980" s="25" t="str">
        <f>IF(J1980&lt;&gt;1,"",IF(I1980="SBJ","CB","?"))</f>
        <v> </v>
      </c>
      <c r="I1980" s="26" t="str">
        <f>IF(OR(E1980="",E1980="!!!",F1980="NEW"),"",INDEX(B1979:B$2,-1+SUMPRODUCT(MAX(ROW(E1979:E$2)*(E1980=E1979:E$2)))))</f>
        <v> </v>
      </c>
      <c r="J1980" s="26" t="str">
        <f>IF(OR(E1980="",E1980="!!!",F1980="NEW"),"",COUNTBLANK(OFFSET(A$1,,,SUMPRODUCT(MAX(ROW(E$2:E1980)*(E1980=E$2:E1980)))))-COUNTBLANK(OFFSET(A$1,,,SUMPRODUCT(MAX(ROW(E$1:E1979)*(E2=E$1:E1979))))))</f>
        <v> </v>
      </c>
      <c r="K1980" s="26" t="str">
        <f>IF(OR(E1980="",E1980="!!!",F1980="NEW"),"",INDEX(J$1:J1979,SUMPRODUCT(MAX(ROW(E$1:E1979)*(E1980=E$1:E1979)))))</f>
        <v> </v>
      </c>
      <c r="L1980" s="27"/>
    </row>
    <row r="1981" spans="1:12">
      <c r="A1981" s="20" t="s">
        <v>817</v>
      </c>
      <c r="E1981" s="22">
        <f>IF(D1981="?OLD","!!!","")</f>
        <v/>
      </c>
      <c r="F1981" s="23" t="str">
        <f>IF(OR(E1981="",E1981="!!!"),"",IF(NOT(ISNA(VLOOKUP(E1981,E$1:E1980,1,FALSE()))),"OLD",IF(AND(E1981&lt;&gt;"",E1981&lt;&gt;"!!!"),"NEW","")))</f>
        <v> </v>
      </c>
      <c r="G1981" s="24" t="str">
        <f>IF(OR(E1981="",E1981="!!!"),"",IF(OR(J1981=0,AND(J1981=1,K1981=1),AND(J1981=1,I1981="SBJ"),AND(J1981=1,I1981=0)),"?IN_FOCUS",IF(J1981&lt;=2,"?ACTIVATED",IF(J1981&lt;&gt;"","?FAMILIAR",IF(F1981="NEW",IF(ISNA(VLOOKUP(E1981,#REF!,1,FALSE())),"?TYPE_IDENTIFIABLE","?REFERENTIAL"),"_")))))</f>
        <v> </v>
      </c>
      <c r="H1981" s="25" t="str">
        <f>IF(J1981&lt;&gt;1,"",IF(I1981="SBJ","CB","?"))</f>
        <v> </v>
      </c>
      <c r="I1981" s="26" t="str">
        <f>IF(OR(E1981="",E1981="!!!",F1981="NEW"),"",INDEX(B1980:B$2,-1+SUMPRODUCT(MAX(ROW(E1980:E$2)*(E1981=E1980:E$2)))))</f>
        <v> </v>
      </c>
      <c r="J1981" s="26" t="str">
        <f>IF(OR(E1981="",E1981="!!!",F1981="NEW"),"",COUNTBLANK(OFFSET(A$1,,,SUMPRODUCT(MAX(ROW(E$2:E1981)*(E1981=E$2:E1981)))))-COUNTBLANK(OFFSET(A$1,,,SUMPRODUCT(MAX(ROW(E$1:E1980)*(E2=E$1:E1980))))))</f>
        <v> </v>
      </c>
      <c r="K1981" s="26" t="str">
        <f>IF(OR(E1981="",E1981="!!!",F1981="NEW"),"",INDEX(J$1:J1980,SUMPRODUCT(MAX(ROW(E$1:E1980)*(E1981=E$1:E1980)))))</f>
        <v> </v>
      </c>
      <c r="L1981" s="27"/>
    </row>
    <row r="1982" spans="1:12">
      <c r="A1982" s="20"/>
    </row>
    <row r="1983" spans="1:12">
      <c r="A1983" s="20" t="s">
        <v>1525</v>
      </c>
    </row>
    <row r="1984" spans="1:12">
      <c r="A1984" s="20" t="s">
        <v>768</v>
      </c>
      <c r="E1984" s="22">
        <f>IF(D1984="?OLD","!!!","")</f>
        <v/>
      </c>
      <c r="F1984" s="23" t="str">
        <f>IF(OR(E1984="",E1984="!!!"),"",IF(NOT(ISNA(VLOOKUP(E1984,E$1:E1983,1,FALSE()))),"OLD",IF(AND(E1984&lt;&gt;"",E1984&lt;&gt;"!!!"),"NEW","")))</f>
        <v> </v>
      </c>
      <c r="G1984" s="24" t="str">
        <f>IF(OR(E1984="",E1984="!!!"),"",IF(OR(J1984=0,AND(J1984=1,K1984=1),AND(J1984=1,I1984="SBJ"),AND(J1984=1,I1984=0)),"?IN_FOCUS",IF(J1984&lt;=2,"?ACTIVATED",IF(J1984&lt;&gt;"","?FAMILIAR",IF(F1984="NEW",IF(ISNA(VLOOKUP(E1984,#REF!,1,FALSE())),"?TYPE_IDENTIFIABLE","?REFERENTIAL"),"_")))))</f>
        <v> </v>
      </c>
      <c r="H1984" s="25" t="str">
        <f>IF(J1984&lt;&gt;1,"",IF(I1984="SBJ","CB","?"))</f>
        <v> </v>
      </c>
      <c r="I1984" s="26" t="str">
        <f>IF(OR(E1984="",E1984="!!!",F1984="NEW"),"",INDEX(B1983:B$2,-1+SUMPRODUCT(MAX(ROW(E1983:E$2)*(E1984=E1983:E$2)))))</f>
        <v> </v>
      </c>
      <c r="J1984" s="26" t="str">
        <f>IF(OR(E1984="",E1984="!!!",F1984="NEW"),"",COUNTBLANK(OFFSET(A$1,,,SUMPRODUCT(MAX(ROW(E$2:E1984)*(E1984=E$2:E1984)))))-COUNTBLANK(OFFSET(A$1,,,SUMPRODUCT(MAX(ROW(E$1:E1983)*(E2=E$1:E1983))))))</f>
        <v> </v>
      </c>
      <c r="K1984" s="26" t="str">
        <f>IF(OR(E1984="",E1984="!!!",F1984="NEW"),"",INDEX(J$1:J1983,SUMPRODUCT(MAX(ROW(E$1:E1983)*(E1984=E$1:E1983)))))</f>
        <v> </v>
      </c>
      <c r="L1984" s="27"/>
    </row>
    <row r="1985" spans="1:12">
      <c r="A1985" s="20" t="s">
        <v>885</v>
      </c>
      <c r="E1985" s="22">
        <f>IF(D1985="?OLD","!!!","")</f>
        <v/>
      </c>
      <c r="F1985" s="23" t="str">
        <f>IF(OR(E1985="",E1985="!!!"),"",IF(NOT(ISNA(VLOOKUP(E1985,E$1:E1984,1,FALSE()))),"OLD",IF(AND(E1985&lt;&gt;"",E1985&lt;&gt;"!!!"),"NEW","")))</f>
        <v> </v>
      </c>
      <c r="G1985" s="24" t="str">
        <f>IF(OR(E1985="",E1985="!!!"),"",IF(OR(J1985=0,AND(J1985=1,K1985=1),AND(J1985=1,I1985="SBJ"),AND(J1985=1,I1985=0)),"?IN_FOCUS",IF(J1985&lt;=2,"?ACTIVATED",IF(J1985&lt;&gt;"","?FAMILIAR",IF(F1985="NEW",IF(ISNA(VLOOKUP(E1985,#REF!,1,FALSE())),"?TYPE_IDENTIFIABLE","?REFERENTIAL"),"_")))))</f>
        <v> </v>
      </c>
      <c r="H1985" s="25" t="str">
        <f>IF(J1985&lt;&gt;1,"",IF(I1985="SBJ","CB","?"))</f>
        <v> </v>
      </c>
      <c r="I1985" s="26" t="str">
        <f>IF(OR(E1985="",E1985="!!!",F1985="NEW"),"",INDEX(B1984:B$2,-1+SUMPRODUCT(MAX(ROW(E1984:E$2)*(E1985=E1984:E$2)))))</f>
        <v> </v>
      </c>
      <c r="J1985" s="26" t="str">
        <f>IF(OR(E1985="",E1985="!!!",F1985="NEW"),"",COUNTBLANK(OFFSET(A$1,,,SUMPRODUCT(MAX(ROW(E$2:E1985)*(E1985=E$2:E1985)))))-COUNTBLANK(OFFSET(A$1,,,SUMPRODUCT(MAX(ROW(E$1:E1984)*(E2=E$1:E1984))))))</f>
        <v> </v>
      </c>
      <c r="K1985" s="26" t="str">
        <f>IF(OR(E1985="",E1985="!!!",F1985="NEW"),"",INDEX(J$1:J1984,SUMPRODUCT(MAX(ROW(E$1:E1984)*(E1985=E$1:E1984)))))</f>
        <v> </v>
      </c>
      <c r="L1985" s="27"/>
    </row>
    <row r="1986" spans="1:12">
      <c r="A1986" s="20" t="s">
        <v>1526</v>
      </c>
      <c r="E1986" s="22">
        <f>IF(D1986="?OLD","!!!","")</f>
        <v/>
      </c>
      <c r="F1986" s="23" t="str">
        <f>IF(OR(E1986="",E1986="!!!"),"",IF(NOT(ISNA(VLOOKUP(E1986,E$1:E1985,1,FALSE()))),"OLD",IF(AND(E1986&lt;&gt;"",E1986&lt;&gt;"!!!"),"NEW","")))</f>
        <v> </v>
      </c>
      <c r="G1986" s="24" t="str">
        <f>IF(OR(E1986="",E1986="!!!"),"",IF(OR(J1986=0,AND(J1986=1,K1986=1),AND(J1986=1,I1986="SBJ"),AND(J1986=1,I1986=0)),"?IN_FOCUS",IF(J1986&lt;=2,"?ACTIVATED",IF(J1986&lt;&gt;"","?FAMILIAR",IF(F1986="NEW",IF(ISNA(VLOOKUP(E1986,#REF!,1,FALSE())),"?TYPE_IDENTIFIABLE","?REFERENTIAL"),"_")))))</f>
        <v> </v>
      </c>
      <c r="H1986" s="25" t="str">
        <f>IF(J1986&lt;&gt;1,"",IF(I1986="SBJ","CB","?"))</f>
        <v> </v>
      </c>
      <c r="I1986" s="26" t="str">
        <f>IF(OR(E1986="",E1986="!!!",F1986="NEW"),"",INDEX(B1985:B$2,-1+SUMPRODUCT(MAX(ROW(E1985:E$2)*(E1986=E1985:E$2)))))</f>
        <v> </v>
      </c>
      <c r="J1986" s="26" t="str">
        <f>IF(OR(E1986="",E1986="!!!",F1986="NEW"),"",COUNTBLANK(OFFSET(A$1,,,SUMPRODUCT(MAX(ROW(E$2:E1986)*(E1986=E$2:E1986)))))-COUNTBLANK(OFFSET(A$1,,,SUMPRODUCT(MAX(ROW(E$1:E1985)*(E2=E$1:E1985))))))</f>
        <v> </v>
      </c>
      <c r="K1986" s="26" t="str">
        <f>IF(OR(E1986="",E1986="!!!",F1986="NEW"),"",INDEX(J$1:J1985,SUMPRODUCT(MAX(ROW(E$1:E1985)*(E1986=E$1:E1985)))))</f>
        <v> </v>
      </c>
      <c r="L1986" s="27"/>
    </row>
    <row r="1987" spans="1:12">
      <c r="A1987" s="20" t="s">
        <v>859</v>
      </c>
      <c r="B1987" s="21" t="s">
        <v>728</v>
      </c>
      <c r="C1987" s="21" t="s">
        <v>789</v>
      </c>
      <c r="D1987" s="21" t="s">
        <v>730</v>
      </c>
      <c r="E1987" s="22">
        <f>IF(D1987="?OLD","!!!","")</f>
        <v/>
      </c>
      <c r="F1987" s="23" t="str">
        <f>IF(OR(E1987="",E1987="!!!"),"",IF(NOT(ISNA(VLOOKUP(E1987,E$1:E1986,1,FALSE()))),"OLD",IF(AND(E1987&lt;&gt;"",E1987&lt;&gt;"!!!"),"NEW","")))</f>
        <v> </v>
      </c>
      <c r="G1987" s="24" t="str">
        <f>IF(OR(E1987="",E1987="!!!"),"",IF(OR(J1987=0,AND(J1987=1,K1987=1),AND(J1987=1,I1987="SBJ"),AND(J1987=1,I1987=0)),"?IN_FOCUS",IF(J1987&lt;=2,"?ACTIVATED",IF(J1987&lt;&gt;"","?FAMILIAR",IF(F1987="NEW",IF(ISNA(VLOOKUP(E1987,#REF!,1,FALSE())),"?TYPE_IDENTIFIABLE","?REFERENTIAL"),"_")))))</f>
        <v> </v>
      </c>
      <c r="H1987" s="25" t="str">
        <f>IF(J1987&lt;&gt;1,"",IF(I1987="SBJ","CB","?"))</f>
        <v> </v>
      </c>
      <c r="I1987" s="26" t="str">
        <f>IF(OR(E1987="",E1987="!!!",F1987="NEW"),"",INDEX(B1986:B$2,-1+SUMPRODUCT(MAX(ROW(E1986:E$2)*(E1987=E1986:E$2)))))</f>
        <v> </v>
      </c>
      <c r="J1987" s="26" t="str">
        <f>IF(OR(E1987="",E1987="!!!",F1987="NEW"),"",COUNTBLANK(OFFSET(A$1,,,SUMPRODUCT(MAX(ROW(E$2:E1987)*(E1987=E$2:E1987)))))-COUNTBLANK(OFFSET(A$1,,,SUMPRODUCT(MAX(ROW(E$1:E1986)*(E2=E$1:E1986))))))</f>
        <v> </v>
      </c>
      <c r="K1987" s="26" t="str">
        <f>IF(OR(E1987="",E1987="!!!",F1987="NEW"),"",INDEX(J$1:J1986,SUMPRODUCT(MAX(ROW(E$1:E1986)*(E1987=E$1:E1986)))))</f>
        <v> </v>
      </c>
      <c r="L1987" s="27"/>
    </row>
    <row r="1988" spans="1:12">
      <c r="A1988" s="20" t="s">
        <v>759</v>
      </c>
      <c r="E1988" s="22">
        <f>IF(D1988="?OLD","!!!","")</f>
        <v/>
      </c>
      <c r="F1988" s="23" t="str">
        <f>IF(OR(E1988="",E1988="!!!"),"",IF(NOT(ISNA(VLOOKUP(E1988,E$1:E1987,1,FALSE()))),"OLD",IF(AND(E1988&lt;&gt;"",E1988&lt;&gt;"!!!"),"NEW","")))</f>
        <v> </v>
      </c>
      <c r="G1988" s="24" t="str">
        <f>IF(OR(E1988="",E1988="!!!"),"",IF(OR(J1988=0,AND(J1988=1,K1988=1),AND(J1988=1,I1988="SBJ"),AND(J1988=1,I1988=0)),"?IN_FOCUS",IF(J1988&lt;=2,"?ACTIVATED",IF(J1988&lt;&gt;"","?FAMILIAR",IF(F1988="NEW",IF(ISNA(VLOOKUP(E1988,#REF!,1,FALSE())),"?TYPE_IDENTIFIABLE","?REFERENTIAL"),"_")))))</f>
        <v> </v>
      </c>
      <c r="H1988" s="25" t="str">
        <f>IF(J1988&lt;&gt;1,"",IF(I1988="SBJ","CB","?"))</f>
        <v> </v>
      </c>
      <c r="I1988" s="26" t="str">
        <f>IF(OR(E1988="",E1988="!!!",F1988="NEW"),"",INDEX(B1987:B$2,-1+SUMPRODUCT(MAX(ROW(E1987:E$2)*(E1988=E1987:E$2)))))</f>
        <v> </v>
      </c>
      <c r="J1988" s="26" t="str">
        <f>IF(OR(E1988="",E1988="!!!",F1988="NEW"),"",COUNTBLANK(OFFSET(A$1,,,SUMPRODUCT(MAX(ROW(E$2:E1988)*(E1988=E$2:E1988)))))-COUNTBLANK(OFFSET(A$1,,,SUMPRODUCT(MAX(ROW(E$1:E1987)*(E2=E$1:E1987))))))</f>
        <v> </v>
      </c>
      <c r="K1988" s="26" t="str">
        <f>IF(OR(E1988="",E1988="!!!",F1988="NEW"),"",INDEX(J$1:J1987,SUMPRODUCT(MAX(ROW(E$1:E1987)*(E1988=E$1:E1987)))))</f>
        <v> </v>
      </c>
      <c r="L1988" s="27"/>
    </row>
    <row r="1989" spans="1:12">
      <c r="A1989" s="20" t="s">
        <v>903</v>
      </c>
      <c r="B1989" s="21" t="s">
        <v>755</v>
      </c>
      <c r="C1989" s="21" t="s">
        <v>801</v>
      </c>
      <c r="D1989" s="21" t="s">
        <v>730</v>
      </c>
      <c r="E1989" s="22">
        <f>IF(D1989="?OLD","!!!","")</f>
        <v/>
      </c>
      <c r="F1989" s="23" t="str">
        <f>IF(OR(E1989="",E1989="!!!"),"",IF(NOT(ISNA(VLOOKUP(E1989,E$1:E1988,1,FALSE()))),"OLD",IF(AND(E1989&lt;&gt;"",E1989&lt;&gt;"!!!"),"NEW","")))</f>
        <v> </v>
      </c>
      <c r="G1989" s="24" t="str">
        <f>IF(OR(E1989="",E1989="!!!"),"",IF(OR(J1989=0,AND(J1989=1,K1989=1),AND(J1989=1,I1989="SBJ"),AND(J1989=1,I1989=0)),"?IN_FOCUS",IF(J1989&lt;=2,"?ACTIVATED",IF(J1989&lt;&gt;"","?FAMILIAR",IF(F1989="NEW",IF(ISNA(VLOOKUP(E1989,#REF!,1,FALSE())),"?TYPE_IDENTIFIABLE","?REFERENTIAL"),"_")))))</f>
        <v> </v>
      </c>
      <c r="H1989" s="25" t="str">
        <f>IF(J1989&lt;&gt;1,"",IF(I1989="SBJ","CB","?"))</f>
        <v> </v>
      </c>
      <c r="I1989" s="26" t="str">
        <f>IF(OR(E1989="",E1989="!!!",F1989="NEW"),"",INDEX(B1988:B$2,-1+SUMPRODUCT(MAX(ROW(E1988:E$2)*(E1989=E1988:E$2)))))</f>
        <v> </v>
      </c>
      <c r="J1989" s="26" t="str">
        <f>IF(OR(E1989="",E1989="!!!",F1989="NEW"),"",COUNTBLANK(OFFSET(A$1,,,SUMPRODUCT(MAX(ROW(E$2:E1989)*(E1989=E$2:E1989)))))-COUNTBLANK(OFFSET(A$1,,,SUMPRODUCT(MAX(ROW(E$1:E1988)*(E2=E$1:E1988))))))</f>
        <v> </v>
      </c>
      <c r="K1989" s="26" t="str">
        <f>IF(OR(E1989="",E1989="!!!",F1989="NEW"),"",INDEX(J$1:J1988,SUMPRODUCT(MAX(ROW(E$1:E1988)*(E1989=E$1:E1988)))))</f>
        <v> </v>
      </c>
      <c r="L1989" s="27"/>
    </row>
    <row r="1990" spans="1:12">
      <c r="A1990" s="20" t="s">
        <v>1489</v>
      </c>
      <c r="B1990" s="21" t="s">
        <v>796</v>
      </c>
      <c r="C1990" s="21" t="s">
        <v>802</v>
      </c>
      <c r="D1990" s="21" t="s">
        <v>730</v>
      </c>
      <c r="E1990" s="22">
        <f>IF(D1990="?OLD","!!!","")</f>
        <v/>
      </c>
      <c r="F1990" s="23" t="str">
        <f>IF(OR(E1990="",E1990="!!!"),"",IF(NOT(ISNA(VLOOKUP(E1990,E$1:E1989,1,FALSE()))),"OLD",IF(AND(E1990&lt;&gt;"",E1990&lt;&gt;"!!!"),"NEW","")))</f>
        <v> </v>
      </c>
      <c r="G1990" s="24" t="str">
        <f>IF(OR(E1990="",E1990="!!!"),"",IF(OR(J1990=0,AND(J1990=1,K1990=1),AND(J1990=1,I1990="SBJ"),AND(J1990=1,I1990=0)),"?IN_FOCUS",IF(J1990&lt;=2,"?ACTIVATED",IF(J1990&lt;&gt;"","?FAMILIAR",IF(F1990="NEW",IF(ISNA(VLOOKUP(E1990,#REF!,1,FALSE())),"?TYPE_IDENTIFIABLE","?REFERENTIAL"),"_")))))</f>
        <v> </v>
      </c>
      <c r="H1990" s="25" t="str">
        <f>IF(J1990&lt;&gt;1,"",IF(I1990="SBJ","CB","?"))</f>
        <v> </v>
      </c>
      <c r="I1990" s="26" t="str">
        <f>IF(OR(E1990="",E1990="!!!",F1990="NEW"),"",INDEX(B1989:B$2,-1+SUMPRODUCT(MAX(ROW(E1989:E$2)*(E1990=E1989:E$2)))))</f>
        <v> </v>
      </c>
      <c r="J1990" s="26" t="str">
        <f>IF(OR(E1990="",E1990="!!!",F1990="NEW"),"",COUNTBLANK(OFFSET(A$1,,,SUMPRODUCT(MAX(ROW(E$2:E1990)*(E1990=E$2:E1990)))))-COUNTBLANK(OFFSET(A$1,,,SUMPRODUCT(MAX(ROW(E$1:E1989)*(E2=E$1:E1989))))))</f>
        <v> </v>
      </c>
      <c r="K1990" s="26" t="str">
        <f>IF(OR(E1990="",E1990="!!!",F1990="NEW"),"",INDEX(J$1:J1989,SUMPRODUCT(MAX(ROW(E$1:E1989)*(E1990=E$1:E1989)))))</f>
        <v> </v>
      </c>
      <c r="L1990" s="27"/>
    </row>
    <row r="1991" spans="1:12">
      <c r="A1991" s="20" t="s">
        <v>754</v>
      </c>
      <c r="B1991" s="21" t="s">
        <v>739</v>
      </c>
      <c r="C1991" s="21" t="s">
        <v>756</v>
      </c>
      <c r="E1991" s="22">
        <f>IF(D1991="?OLD","!!!","")</f>
        <v/>
      </c>
      <c r="F1991" s="23" t="str">
        <f>IF(OR(E1991="",E1991="!!!"),"",IF(NOT(ISNA(VLOOKUP(E1991,E$1:E1990,1,FALSE()))),"OLD",IF(AND(E1991&lt;&gt;"",E1991&lt;&gt;"!!!"),"NEW","")))</f>
        <v> </v>
      </c>
      <c r="G1991" s="24" t="str">
        <f>IF(OR(E1991="",E1991="!!!"),"",IF(OR(J1991=0,AND(J1991=1,K1991=1),AND(J1991=1,I1991="SBJ"),AND(J1991=1,I1991=0)),"?IN_FOCUS",IF(J1991&lt;=2,"?ACTIVATED",IF(J1991&lt;&gt;"","?FAMILIAR",IF(F1991="NEW",IF(ISNA(VLOOKUP(E1991,#REF!,1,FALSE())),"?TYPE_IDENTIFIABLE","?REFERENTIAL"),"_")))))</f>
        <v> </v>
      </c>
      <c r="H1991" s="25" t="str">
        <f>IF(J1991&lt;&gt;1,"",IF(I1991="SBJ","CB","?"))</f>
        <v> </v>
      </c>
      <c r="I1991" s="26" t="str">
        <f>IF(OR(E1991="",E1991="!!!",F1991="NEW"),"",INDEX(B1990:B$2,-1+SUMPRODUCT(MAX(ROW(E1990:E$2)*(E1991=E1990:E$2)))))</f>
        <v> </v>
      </c>
      <c r="J1991" s="26" t="str">
        <f>IF(OR(E1991="",E1991="!!!",F1991="NEW"),"",COUNTBLANK(OFFSET(A$1,,,SUMPRODUCT(MAX(ROW(E$2:E1991)*(E1991=E$2:E1991)))))-COUNTBLANK(OFFSET(A$1,,,SUMPRODUCT(MAX(ROW(E$1:E1990)*(E2=E$1:E1990))))))</f>
        <v> </v>
      </c>
      <c r="K1991" s="26" t="str">
        <f>IF(OR(E1991="",E1991="!!!",F1991="NEW"),"",INDEX(J$1:J1990,SUMPRODUCT(MAX(ROW(E$1:E1990)*(E1991=E$1:E1990)))))</f>
        <v> </v>
      </c>
      <c r="L1991" s="27"/>
    </row>
    <row r="1992" spans="1:12">
      <c r="A1992" s="20" t="s">
        <v>1527</v>
      </c>
      <c r="E1992" s="22">
        <f>IF(D1992="?OLD","!!!","")</f>
        <v/>
      </c>
      <c r="F1992" s="23" t="str">
        <f>IF(OR(E1992="",E1992="!!!"),"",IF(NOT(ISNA(VLOOKUP(E1992,E$1:E1991,1,FALSE()))),"OLD",IF(AND(E1992&lt;&gt;"",E1992&lt;&gt;"!!!"),"NEW","")))</f>
        <v> </v>
      </c>
      <c r="G1992" s="24" t="str">
        <f>IF(OR(E1992="",E1992="!!!"),"",IF(OR(J1992=0,AND(J1992=1,K1992=1),AND(J1992=1,I1992="SBJ"),AND(J1992=1,I1992=0)),"?IN_FOCUS",IF(J1992&lt;=2,"?ACTIVATED",IF(J1992&lt;&gt;"","?FAMILIAR",IF(F1992="NEW",IF(ISNA(VLOOKUP(E1992,#REF!,1,FALSE())),"?TYPE_IDENTIFIABLE","?REFERENTIAL"),"_")))))</f>
        <v> </v>
      </c>
      <c r="H1992" s="25" t="str">
        <f>IF(J1992&lt;&gt;1,"",IF(I1992="SBJ","CB","?"))</f>
        <v> </v>
      </c>
      <c r="I1992" s="26" t="str">
        <f>IF(OR(E1992="",E1992="!!!",F1992="NEW"),"",INDEX(B1991:B$2,-1+SUMPRODUCT(MAX(ROW(E1991:E$2)*(E1992=E1991:E$2)))))</f>
        <v> </v>
      </c>
      <c r="J1992" s="26" t="str">
        <f>IF(OR(E1992="",E1992="!!!",F1992="NEW"),"",COUNTBLANK(OFFSET(A$1,,,SUMPRODUCT(MAX(ROW(E$2:E1992)*(E1992=E$2:E1992)))))-COUNTBLANK(OFFSET(A$1,,,SUMPRODUCT(MAX(ROW(E$1:E1991)*(E2=E$1:E1991))))))</f>
        <v> </v>
      </c>
      <c r="K1992" s="26" t="str">
        <f>IF(OR(E1992="",E1992="!!!",F1992="NEW"),"",INDEX(J$1:J1991,SUMPRODUCT(MAX(ROW(E$1:E1991)*(E1992=E$1:E1991)))))</f>
        <v> </v>
      </c>
      <c r="L1992" s="27"/>
    </row>
    <row r="1993" spans="1:12">
      <c r="A1993" s="20" t="s">
        <v>246</v>
      </c>
      <c r="E1993" s="22">
        <f>IF(D1993="?OLD","!!!","")</f>
        <v/>
      </c>
      <c r="F1993" s="23" t="str">
        <f>IF(OR(E1993="",E1993="!!!"),"",IF(NOT(ISNA(VLOOKUP(E1993,E$1:E1992,1,FALSE()))),"OLD",IF(AND(E1993&lt;&gt;"",E1993&lt;&gt;"!!!"),"NEW","")))</f>
        <v> </v>
      </c>
      <c r="G1993" s="24" t="str">
        <f>IF(OR(E1993="",E1993="!!!"),"",IF(OR(J1993=0,AND(J1993=1,K1993=1),AND(J1993=1,I1993="SBJ"),AND(J1993=1,I1993=0)),"?IN_FOCUS",IF(J1993&lt;=2,"?ACTIVATED",IF(J1993&lt;&gt;"","?FAMILIAR",IF(F1993="NEW",IF(ISNA(VLOOKUP(E1993,#REF!,1,FALSE())),"?TYPE_IDENTIFIABLE","?REFERENTIAL"),"_")))))</f>
        <v> </v>
      </c>
      <c r="H1993" s="25" t="str">
        <f>IF(J1993&lt;&gt;1,"",IF(I1993="SBJ","CB","?"))</f>
        <v> </v>
      </c>
      <c r="I1993" s="26" t="str">
        <f>IF(OR(E1993="",E1993="!!!",F1993="NEW"),"",INDEX(B1992:B$2,-1+SUMPRODUCT(MAX(ROW(E1992:E$2)*(E1993=E1992:E$2)))))</f>
        <v> </v>
      </c>
      <c r="J1993" s="26" t="str">
        <f>IF(OR(E1993="",E1993="!!!",F1993="NEW"),"",COUNTBLANK(OFFSET(A$1,,,SUMPRODUCT(MAX(ROW(E$2:E1993)*(E1993=E$2:E1993)))))-COUNTBLANK(OFFSET(A$1,,,SUMPRODUCT(MAX(ROW(E$1:E1992)*(E2=E$1:E1992))))))</f>
        <v> </v>
      </c>
      <c r="K1993" s="26" t="str">
        <f>IF(OR(E1993="",E1993="!!!",F1993="NEW"),"",INDEX(J$1:J1992,SUMPRODUCT(MAX(ROW(E$1:E1992)*(E1993=E$1:E1992)))))</f>
        <v> </v>
      </c>
      <c r="L1993" s="27"/>
    </row>
    <row r="1994" spans="1:12">
      <c r="A1994" s="20"/>
    </row>
    <row r="1995" spans="1:12">
      <c r="A1995" s="20" t="s">
        <v>798</v>
      </c>
      <c r="E1995" s="22">
        <f>IF(D1995="?OLD","!!!","")</f>
        <v/>
      </c>
      <c r="F1995" s="23" t="str">
        <f>IF(OR(E1995="",E1995="!!!"),"",IF(NOT(ISNA(VLOOKUP(E1995,E$1:E1994,1,FALSE()))),"OLD",IF(AND(E1995&lt;&gt;"",E1995&lt;&gt;"!!!"),"NEW","")))</f>
        <v> </v>
      </c>
      <c r="G1995" s="24" t="str">
        <f>IF(OR(E1995="",E1995="!!!"),"",IF(OR(J1995=0,AND(J1995=1,K1995=1),AND(J1995=1,I1995="SBJ"),AND(J1995=1,I1995=0)),"?IN_FOCUS",IF(J1995&lt;=2,"?ACTIVATED",IF(J1995&lt;&gt;"","?FAMILIAR",IF(F1995="NEW",IF(ISNA(VLOOKUP(E1995,#REF!,1,FALSE())),"?TYPE_IDENTIFIABLE","?REFERENTIAL"),"_")))))</f>
        <v> </v>
      </c>
      <c r="H1995" s="25" t="str">
        <f>IF(J1995&lt;&gt;1,"",IF(I1995="SBJ","CB","?"))</f>
        <v> </v>
      </c>
      <c r="I1995" s="26" t="str">
        <f>IF(OR(E1995="",E1995="!!!",F1995="NEW"),"",INDEX(B1994:B$2,-1+SUMPRODUCT(MAX(ROW(E1994:E$2)*(E1995=E1994:E$2)))))</f>
        <v> </v>
      </c>
      <c r="J1995" s="26" t="str">
        <f>IF(OR(E1995="",E1995="!!!",F1995="NEW"),"",COUNTBLANK(OFFSET(A$1,,,SUMPRODUCT(MAX(ROW(E$2:E1995)*(E1995=E$2:E1995)))))-COUNTBLANK(OFFSET(A$1,,,SUMPRODUCT(MAX(ROW(E$1:E1994)*(E2=E$1:E1994))))))</f>
        <v> </v>
      </c>
      <c r="K1995" s="26" t="str">
        <f>IF(OR(E1995="",E1995="!!!",F1995="NEW"),"",INDEX(J$1:J1994,SUMPRODUCT(MAX(ROW(E$1:E1994)*(E1995=E$1:E1994)))))</f>
        <v> </v>
      </c>
      <c r="L1995" s="27"/>
    </row>
    <row r="1996" spans="1:12">
      <c r="A1996" s="20" t="s">
        <v>1528</v>
      </c>
    </row>
    <row r="1997" spans="1:12">
      <c r="A1997" s="20" t="s">
        <v>1382</v>
      </c>
      <c r="B1997" s="21" t="s">
        <v>728</v>
      </c>
      <c r="C1997" s="21" t="s">
        <v>789</v>
      </c>
      <c r="D1997" s="21" t="s">
        <v>730</v>
      </c>
      <c r="E1997" s="22">
        <f>IF(D1997="?OLD","!!!","")</f>
        <v/>
      </c>
      <c r="F1997" s="23" t="str">
        <f>IF(OR(E1997="",E1997="!!!"),"",IF(NOT(ISNA(VLOOKUP(E1997,E$1:E1996,1,FALSE()))),"OLD",IF(AND(E1997&lt;&gt;"",E1997&lt;&gt;"!!!"),"NEW","")))</f>
        <v> </v>
      </c>
      <c r="G1997" s="24" t="str">
        <f>IF(OR(E1997="",E1997="!!!"),"",IF(OR(J1997=0,AND(J1997=1,K1997=1),AND(J1997=1,I1997="SBJ"),AND(J1997=1,I1997=0)),"?IN_FOCUS",IF(J1997&lt;=2,"?ACTIVATED",IF(J1997&lt;&gt;"","?FAMILIAR",IF(F1997="NEW",IF(ISNA(VLOOKUP(E1997,#REF!,1,FALSE())),"?TYPE_IDENTIFIABLE","?REFERENTIAL"),"_")))))</f>
        <v> </v>
      </c>
      <c r="H1997" s="25" t="str">
        <f>IF(J1997&lt;&gt;1,"",IF(I1997="SBJ","CB","?"))</f>
        <v> </v>
      </c>
      <c r="I1997" s="26" t="str">
        <f>IF(OR(E1997="",E1997="!!!",F1997="NEW"),"",INDEX(B1996:B$2,-1+SUMPRODUCT(MAX(ROW(E1996:E$2)*(E1997=E1996:E$2)))))</f>
        <v> </v>
      </c>
      <c r="J1997" s="26" t="str">
        <f>IF(OR(E1997="",E1997="!!!",F1997="NEW"),"",COUNTBLANK(OFFSET(A$1,,,SUMPRODUCT(MAX(ROW(E$2:E1997)*(E1997=E$2:E1997)))))-COUNTBLANK(OFFSET(A$1,,,SUMPRODUCT(MAX(ROW(E$1:E1996)*(E2=E$1:E1996))))))</f>
        <v> </v>
      </c>
      <c r="K1997" s="26" t="str">
        <f>IF(OR(E1997="",E1997="!!!",F1997="NEW"),"",INDEX(J$1:J1996,SUMPRODUCT(MAX(ROW(E$1:E1996)*(E1997=E$1:E1996)))))</f>
        <v> </v>
      </c>
      <c r="L1997" s="27"/>
    </row>
    <row r="1998" spans="1:12">
      <c r="A1998" s="20" t="s">
        <v>1529</v>
      </c>
      <c r="E1998" s="22">
        <f>IF(D1998="?OLD","!!!","")</f>
        <v/>
      </c>
      <c r="F1998" s="23" t="str">
        <f>IF(OR(E1998="",E1998="!!!"),"",IF(NOT(ISNA(VLOOKUP(E1998,E$1:E1997,1,FALSE()))),"OLD",IF(AND(E1998&lt;&gt;"",E1998&lt;&gt;"!!!"),"NEW","")))</f>
        <v> </v>
      </c>
      <c r="G1998" s="24" t="str">
        <f>IF(OR(E1998="",E1998="!!!"),"",IF(OR(J1998=0,AND(J1998=1,K1998=1),AND(J1998=1,I1998="SBJ"),AND(J1998=1,I1998=0)),"?IN_FOCUS",IF(J1998&lt;=2,"?ACTIVATED",IF(J1998&lt;&gt;"","?FAMILIAR",IF(F1998="NEW",IF(ISNA(VLOOKUP(E1998,#REF!,1,FALSE())),"?TYPE_IDENTIFIABLE","?REFERENTIAL"),"_")))))</f>
        <v> </v>
      </c>
      <c r="H1998" s="25" t="str">
        <f>IF(J1998&lt;&gt;1,"",IF(I1998="SBJ","CB","?"))</f>
        <v> </v>
      </c>
      <c r="I1998" s="26" t="str">
        <f>IF(OR(E1998="",E1998="!!!",F1998="NEW"),"",INDEX(B1997:B$2,-1+SUMPRODUCT(MAX(ROW(E1997:E$2)*(E1998=E1997:E$2)))))</f>
        <v> </v>
      </c>
      <c r="J1998" s="26" t="str">
        <f>IF(OR(E1998="",E1998="!!!",F1998="NEW"),"",COUNTBLANK(OFFSET(A$1,,,SUMPRODUCT(MAX(ROW(E$2:E1998)*(E1998=E$2:E1998)))))-COUNTBLANK(OFFSET(A$1,,,SUMPRODUCT(MAX(ROW(E$1:E1997)*(E2=E$1:E1997))))))</f>
        <v> </v>
      </c>
      <c r="K1998" s="26" t="str">
        <f>IF(OR(E1998="",E1998="!!!",F1998="NEW"),"",INDEX(J$1:J1997,SUMPRODUCT(MAX(ROW(E$1:E1997)*(E1998=E$1:E1997)))))</f>
        <v> </v>
      </c>
      <c r="L1998" s="27"/>
    </row>
    <row r="1999" spans="1:12">
      <c r="A1999" s="20" t="s">
        <v>754</v>
      </c>
      <c r="B1999" s="21" t="s">
        <v>739</v>
      </c>
      <c r="C1999" s="21" t="s">
        <v>756</v>
      </c>
      <c r="E1999" s="22">
        <f>IF(D1999="?OLD","!!!","")</f>
        <v/>
      </c>
      <c r="F1999" s="23" t="str">
        <f>IF(OR(E1999="",E1999="!!!"),"",IF(NOT(ISNA(VLOOKUP(E1999,E$1:E1998,1,FALSE()))),"OLD",IF(AND(E1999&lt;&gt;"",E1999&lt;&gt;"!!!"),"NEW","")))</f>
        <v> </v>
      </c>
      <c r="G1999" s="24" t="str">
        <f>IF(OR(E1999="",E1999="!!!"),"",IF(OR(J1999=0,AND(J1999=1,K1999=1),AND(J1999=1,I1999="SBJ"),AND(J1999=1,I1999=0)),"?IN_FOCUS",IF(J1999&lt;=2,"?ACTIVATED",IF(J1999&lt;&gt;"","?FAMILIAR",IF(F1999="NEW",IF(ISNA(VLOOKUP(E1999,#REF!,1,FALSE())),"?TYPE_IDENTIFIABLE","?REFERENTIAL"),"_")))))</f>
        <v> </v>
      </c>
      <c r="H1999" s="25" t="str">
        <f>IF(J1999&lt;&gt;1,"",IF(I1999="SBJ","CB","?"))</f>
        <v> </v>
      </c>
      <c r="I1999" s="26" t="str">
        <f>IF(OR(E1999="",E1999="!!!",F1999="NEW"),"",INDEX(B1998:B$2,-1+SUMPRODUCT(MAX(ROW(E1998:E$2)*(E1999=E1998:E$2)))))</f>
        <v> </v>
      </c>
      <c r="J1999" s="26" t="str">
        <f>IF(OR(E1999="",E1999="!!!",F1999="NEW"),"",COUNTBLANK(OFFSET(A$1,,,SUMPRODUCT(MAX(ROW(E$2:E1999)*(E1999=E$2:E1999)))))-COUNTBLANK(OFFSET(A$1,,,SUMPRODUCT(MAX(ROW(E$1:E1998)*(E2=E$1:E1998))))))</f>
        <v> </v>
      </c>
      <c r="K1999" s="26" t="str">
        <f>IF(OR(E1999="",E1999="!!!",F1999="NEW"),"",INDEX(J$1:J1998,SUMPRODUCT(MAX(ROW(E$1:E1998)*(E1999=E$1:E1998)))))</f>
        <v> </v>
      </c>
      <c r="L1999" s="27"/>
    </row>
    <row r="2000" spans="1:12">
      <c r="A2000" s="20" t="s">
        <v>757</v>
      </c>
      <c r="E2000" s="22">
        <f>IF(D2000="?OLD","!!!","")</f>
        <v/>
      </c>
      <c r="F2000" s="23" t="str">
        <f>IF(OR(E2000="",E2000="!!!"),"",IF(NOT(ISNA(VLOOKUP(E2000,E$1:E1999,1,FALSE()))),"OLD",IF(AND(E2000&lt;&gt;"",E2000&lt;&gt;"!!!"),"NEW","")))</f>
        <v> </v>
      </c>
      <c r="G2000" s="24" t="str">
        <f>IF(OR(E2000="",E2000="!!!"),"",IF(OR(J2000=0,AND(J2000=1,K2000=1),AND(J2000=1,I2000="SBJ"),AND(J2000=1,I2000=0)),"?IN_FOCUS",IF(J2000&lt;=2,"?ACTIVATED",IF(J2000&lt;&gt;"","?FAMILIAR",IF(F2000="NEW",IF(ISNA(VLOOKUP(E2000,#REF!,1,FALSE())),"?TYPE_IDENTIFIABLE","?REFERENTIAL"),"_")))))</f>
        <v> </v>
      </c>
      <c r="H2000" s="25" t="str">
        <f>IF(J2000&lt;&gt;1,"",IF(I2000="SBJ","CB","?"))</f>
        <v> </v>
      </c>
      <c r="I2000" s="26" t="str">
        <f>IF(OR(E2000="",E2000="!!!",F2000="NEW"),"",INDEX(B1999:B$2,-1+SUMPRODUCT(MAX(ROW(E1999:E$2)*(E2000=E1999:E$2)))))</f>
        <v> </v>
      </c>
      <c r="J2000" s="26" t="str">
        <f>IF(OR(E2000="",E2000="!!!",F2000="NEW"),"",COUNTBLANK(OFFSET(A$1,,,SUMPRODUCT(MAX(ROW(E$2:E2000)*(E2000=E$2:E2000)))))-COUNTBLANK(OFFSET(A$1,,,SUMPRODUCT(MAX(ROW(E$1:E1999)*(E2=E$1:E1999))))))</f>
        <v> </v>
      </c>
      <c r="K2000" s="26" t="str">
        <f>IF(OR(E2000="",E2000="!!!",F2000="NEW"),"",INDEX(J$1:J1999,SUMPRODUCT(MAX(ROW(E$1:E1999)*(E2000=E$1:E1999)))))</f>
        <v> </v>
      </c>
      <c r="L2000" s="27"/>
    </row>
    <row r="2001" spans="1:12">
      <c r="A2001" s="20" t="s">
        <v>817</v>
      </c>
      <c r="E2001" s="22">
        <f>IF(D2001="?OLD","!!!","")</f>
        <v/>
      </c>
      <c r="F2001" s="23" t="str">
        <f>IF(OR(E2001="",E2001="!!!"),"",IF(NOT(ISNA(VLOOKUP(E2001,E$1:E2000,1,FALSE()))),"OLD",IF(AND(E2001&lt;&gt;"",E2001&lt;&gt;"!!!"),"NEW","")))</f>
        <v> </v>
      </c>
      <c r="G2001" s="24" t="str">
        <f>IF(OR(E2001="",E2001="!!!"),"",IF(OR(J2001=0,AND(J2001=1,K2001=1),AND(J2001=1,I2001="SBJ"),AND(J2001=1,I2001=0)),"?IN_FOCUS",IF(J2001&lt;=2,"?ACTIVATED",IF(J2001&lt;&gt;"","?FAMILIAR",IF(F2001="NEW",IF(ISNA(VLOOKUP(E2001,#REF!,1,FALSE())),"?TYPE_IDENTIFIABLE","?REFERENTIAL"),"_")))))</f>
        <v> </v>
      </c>
      <c r="H2001" s="25" t="str">
        <f>IF(J2001&lt;&gt;1,"",IF(I2001="SBJ","CB","?"))</f>
        <v> </v>
      </c>
      <c r="I2001" s="26" t="str">
        <f>IF(OR(E2001="",E2001="!!!",F2001="NEW"),"",INDEX(B2000:B$2,-1+SUMPRODUCT(MAX(ROW(E2000:E$2)*(E2001=E2000:E$2)))))</f>
        <v> </v>
      </c>
      <c r="J2001" s="26" t="str">
        <f>IF(OR(E2001="",E2001="!!!",F2001="NEW"),"",COUNTBLANK(OFFSET(A$1,,,SUMPRODUCT(MAX(ROW(E$2:E2001)*(E2001=E$2:E2001)))))-COUNTBLANK(OFFSET(A$1,,,SUMPRODUCT(MAX(ROW(E$1:E2000)*(E2=E$1:E2000))))))</f>
        <v> </v>
      </c>
      <c r="K2001" s="26" t="str">
        <f>IF(OR(E2001="",E2001="!!!",F2001="NEW"),"",INDEX(J$1:J2000,SUMPRODUCT(MAX(ROW(E$1:E2000)*(E2001=E$1:E2000)))))</f>
        <v> </v>
      </c>
      <c r="L2001" s="27"/>
    </row>
    <row r="2002" spans="1:12">
      <c r="A2002" s="20" t="s">
        <v>1530</v>
      </c>
      <c r="B2002" s="21" t="s">
        <v>736</v>
      </c>
      <c r="C2002" s="21" t="s">
        <v>740</v>
      </c>
      <c r="D2002" s="21" t="s">
        <v>730</v>
      </c>
      <c r="E2002" s="22">
        <f>IF(D2002="?OLD","!!!","")</f>
        <v/>
      </c>
      <c r="F2002" s="23" t="str">
        <f>IF(OR(E2002="",E2002="!!!"),"",IF(NOT(ISNA(VLOOKUP(E2002,E$1:E2001,1,FALSE()))),"OLD",IF(AND(E2002&lt;&gt;"",E2002&lt;&gt;"!!!"),"NEW","")))</f>
        <v> </v>
      </c>
      <c r="G2002" s="24" t="str">
        <f>IF(OR(E2002="",E2002="!!!"),"",IF(OR(J2002=0,AND(J2002=1,K2002=1),AND(J2002=1,I2002="SBJ"),AND(J2002=1,I2002=0)),"?IN_FOCUS",IF(J2002&lt;=2,"?ACTIVATED",IF(J2002&lt;&gt;"","?FAMILIAR",IF(F2002="NEW",IF(ISNA(VLOOKUP(E2002,#REF!,1,FALSE())),"?TYPE_IDENTIFIABLE","?REFERENTIAL"),"_")))))</f>
        <v> </v>
      </c>
      <c r="H2002" s="25" t="str">
        <f>IF(J2002&lt;&gt;1,"",IF(I2002="SBJ","CB","?"))</f>
        <v> </v>
      </c>
      <c r="I2002" s="26" t="str">
        <f>IF(OR(E2002="",E2002="!!!",F2002="NEW"),"",INDEX(B2001:B$2,-1+SUMPRODUCT(MAX(ROW(E2001:E$2)*(E2002=E2001:E$2)))))</f>
        <v> </v>
      </c>
      <c r="J2002" s="26" t="str">
        <f>IF(OR(E2002="",E2002="!!!",F2002="NEW"),"",COUNTBLANK(OFFSET(A$1,,,SUMPRODUCT(MAX(ROW(E$2:E2002)*(E2002=E$2:E2002)))))-COUNTBLANK(OFFSET(A$1,,,SUMPRODUCT(MAX(ROW(E$1:E2001)*(E2=E$1:E2001))))))</f>
        <v> </v>
      </c>
      <c r="K2002" s="26" t="str">
        <f>IF(OR(E2002="",E2002="!!!",F2002="NEW"),"",INDEX(J$1:J2001,SUMPRODUCT(MAX(ROW(E$1:E2001)*(E2002=E$1:E2001)))))</f>
        <v> </v>
      </c>
      <c r="L2002" s="27"/>
    </row>
    <row r="2003" spans="1:12">
      <c r="A2003" s="20" t="s">
        <v>817</v>
      </c>
      <c r="E2003" s="22">
        <f>IF(D2003="?OLD","!!!","")</f>
        <v/>
      </c>
      <c r="F2003" s="23" t="str">
        <f>IF(OR(E2003="",E2003="!!!"),"",IF(NOT(ISNA(VLOOKUP(E2003,E$1:E2002,1,FALSE()))),"OLD",IF(AND(E2003&lt;&gt;"",E2003&lt;&gt;"!!!"),"NEW","")))</f>
        <v> </v>
      </c>
      <c r="G2003" s="24" t="str">
        <f>IF(OR(E2003="",E2003="!!!"),"",IF(OR(J2003=0,AND(J2003=1,K2003=1),AND(J2003=1,I2003="SBJ"),AND(J2003=1,I2003=0)),"?IN_FOCUS",IF(J2003&lt;=2,"?ACTIVATED",IF(J2003&lt;&gt;"","?FAMILIAR",IF(F2003="NEW",IF(ISNA(VLOOKUP(E2003,#REF!,1,FALSE())),"?TYPE_IDENTIFIABLE","?REFERENTIAL"),"_")))))</f>
        <v> </v>
      </c>
      <c r="H2003" s="25" t="str">
        <f>IF(J2003&lt;&gt;1,"",IF(I2003="SBJ","CB","?"))</f>
        <v> </v>
      </c>
      <c r="I2003" s="26" t="str">
        <f>IF(OR(E2003="",E2003="!!!",F2003="NEW"),"",INDEX(B2002:B$2,-1+SUMPRODUCT(MAX(ROW(E2002:E$2)*(E2003=E2002:E$2)))))</f>
        <v> </v>
      </c>
      <c r="J2003" s="26" t="str">
        <f>IF(OR(E2003="",E2003="!!!",F2003="NEW"),"",COUNTBLANK(OFFSET(A$1,,,SUMPRODUCT(MAX(ROW(E$2:E2003)*(E2003=E$2:E2003)))))-COUNTBLANK(OFFSET(A$1,,,SUMPRODUCT(MAX(ROW(E$1:E2002)*(E2=E$1:E2002))))))</f>
        <v> </v>
      </c>
      <c r="K2003" s="26" t="str">
        <f>IF(OR(E2003="",E2003="!!!",F2003="NEW"),"",INDEX(J$1:J2002,SUMPRODUCT(MAX(ROW(E$1:E2002)*(E2003=E$1:E2002)))))</f>
        <v> </v>
      </c>
      <c r="L2003" s="27"/>
    </row>
    <row r="2004" spans="1:12">
      <c r="A2004" s="20" t="s">
        <v>759</v>
      </c>
      <c r="E2004" s="22">
        <f>IF(D2004="?OLD","!!!","")</f>
        <v/>
      </c>
      <c r="F2004" s="23" t="str">
        <f>IF(OR(E2004="",E2004="!!!"),"",IF(NOT(ISNA(VLOOKUP(E2004,E$1:E2003,1,FALSE()))),"OLD",IF(AND(E2004&lt;&gt;"",E2004&lt;&gt;"!!!"),"NEW","")))</f>
        <v> </v>
      </c>
      <c r="G2004" s="24" t="str">
        <f>IF(OR(E2004="",E2004="!!!"),"",IF(OR(J2004=0,AND(J2004=1,K2004=1),AND(J2004=1,I2004="SBJ"),AND(J2004=1,I2004=0)),"?IN_FOCUS",IF(J2004&lt;=2,"?ACTIVATED",IF(J2004&lt;&gt;"","?FAMILIAR",IF(F2004="NEW",IF(ISNA(VLOOKUP(E2004,#REF!,1,FALSE())),"?TYPE_IDENTIFIABLE","?REFERENTIAL"),"_")))))</f>
        <v> </v>
      </c>
      <c r="H2004" s="25" t="str">
        <f>IF(J2004&lt;&gt;1,"",IF(I2004="SBJ","CB","?"))</f>
        <v> </v>
      </c>
      <c r="I2004" s="26" t="str">
        <f>IF(OR(E2004="",E2004="!!!",F2004="NEW"),"",INDEX(B2003:B$2,-1+SUMPRODUCT(MAX(ROW(E2003:E$2)*(E2004=E2003:E$2)))))</f>
        <v> </v>
      </c>
      <c r="J2004" s="26" t="str">
        <f>IF(OR(E2004="",E2004="!!!",F2004="NEW"),"",COUNTBLANK(OFFSET(A$1,,,SUMPRODUCT(MAX(ROW(E$2:E2004)*(E2004=E$2:E2004)))))-COUNTBLANK(OFFSET(A$1,,,SUMPRODUCT(MAX(ROW(E$1:E2003)*(E2=E$1:E2003))))))</f>
        <v> </v>
      </c>
      <c r="K2004" s="26" t="str">
        <f>IF(OR(E2004="",E2004="!!!",F2004="NEW"),"",INDEX(J$1:J2003,SUMPRODUCT(MAX(ROW(E$1:E2003)*(E2004=E$1:E2003)))))</f>
        <v> </v>
      </c>
      <c r="L2004" s="27"/>
    </row>
    <row r="2005" spans="1:12">
      <c r="A2005" s="20" t="s">
        <v>785</v>
      </c>
      <c r="E2005" s="22">
        <f>IF(D2005="?OLD","!!!","")</f>
        <v/>
      </c>
      <c r="F2005" s="23" t="str">
        <f>IF(OR(E2005="",E2005="!!!"),"",IF(NOT(ISNA(VLOOKUP(E2005,E$1:E2004,1,FALSE()))),"OLD",IF(AND(E2005&lt;&gt;"",E2005&lt;&gt;"!!!"),"NEW","")))</f>
        <v> </v>
      </c>
      <c r="G2005" s="24" t="str">
        <f>IF(OR(E2005="",E2005="!!!"),"",IF(OR(J2005=0,AND(J2005=1,K2005=1),AND(J2005=1,I2005="SBJ"),AND(J2005=1,I2005=0)),"?IN_FOCUS",IF(J2005&lt;=2,"?ACTIVATED",IF(J2005&lt;&gt;"","?FAMILIAR",IF(F2005="NEW",IF(ISNA(VLOOKUP(E2005,#REF!,1,FALSE())),"?TYPE_IDENTIFIABLE","?REFERENTIAL"),"_")))))</f>
        <v> </v>
      </c>
      <c r="H2005" s="25" t="str">
        <f>IF(J2005&lt;&gt;1,"",IF(I2005="SBJ","CB","?"))</f>
        <v> </v>
      </c>
      <c r="I2005" s="26" t="str">
        <f>IF(OR(E2005="",E2005="!!!",F2005="NEW"),"",INDEX(B2004:B$2,-1+SUMPRODUCT(MAX(ROW(E2004:E$2)*(E2005=E2004:E$2)))))</f>
        <v> </v>
      </c>
      <c r="J2005" s="26" t="str">
        <f>IF(OR(E2005="",E2005="!!!",F2005="NEW"),"",COUNTBLANK(OFFSET(A$1,,,SUMPRODUCT(MAX(ROW(E$2:E2005)*(E2005=E$2:E2005)))))-COUNTBLANK(OFFSET(A$1,,,SUMPRODUCT(MAX(ROW(E$1:E2004)*(E2=E$1:E2004))))))</f>
        <v> </v>
      </c>
      <c r="K2005" s="26" t="str">
        <f>IF(OR(E2005="",E2005="!!!",F2005="NEW"),"",INDEX(J$1:J2004,SUMPRODUCT(MAX(ROW(E$1:E2004)*(E2005=E$1:E2004)))))</f>
        <v> </v>
      </c>
      <c r="L2005" s="27"/>
    </row>
    <row r="2006" spans="1:12">
      <c r="A2006" s="20" t="s">
        <v>861</v>
      </c>
      <c r="E2006" s="22">
        <f>IF(D2006="?OLD","!!!","")</f>
        <v/>
      </c>
      <c r="F2006" s="23" t="str">
        <f>IF(OR(E2006="",E2006="!!!"),"",IF(NOT(ISNA(VLOOKUP(E2006,E$1:E2005,1,FALSE()))),"OLD",IF(AND(E2006&lt;&gt;"",E2006&lt;&gt;"!!!"),"NEW","")))</f>
        <v> </v>
      </c>
      <c r="G2006" s="24" t="str">
        <f>IF(OR(E2006="",E2006="!!!"),"",IF(OR(J2006=0,AND(J2006=1,K2006=1),AND(J2006=1,I2006="SBJ"),AND(J2006=1,I2006=0)),"?IN_FOCUS",IF(J2006&lt;=2,"?ACTIVATED",IF(J2006&lt;&gt;"","?FAMILIAR",IF(F2006="NEW",IF(ISNA(VLOOKUP(E2006,#REF!,1,FALSE())),"?TYPE_IDENTIFIABLE","?REFERENTIAL"),"_")))))</f>
        <v> </v>
      </c>
      <c r="H2006" s="25" t="str">
        <f>IF(J2006&lt;&gt;1,"",IF(I2006="SBJ","CB","?"))</f>
        <v> </v>
      </c>
      <c r="I2006" s="26" t="str">
        <f>IF(OR(E2006="",E2006="!!!",F2006="NEW"),"",INDEX(B2005:B$2,-1+SUMPRODUCT(MAX(ROW(E2005:E$2)*(E2006=E2005:E$2)))))</f>
        <v> </v>
      </c>
      <c r="J2006" s="26" t="str">
        <f>IF(OR(E2006="",E2006="!!!",F2006="NEW"),"",COUNTBLANK(OFFSET(A$1,,,SUMPRODUCT(MAX(ROW(E$2:E2006)*(E2006=E$2:E2006)))))-COUNTBLANK(OFFSET(A$1,,,SUMPRODUCT(MAX(ROW(E$1:E2005)*(E2=E$1:E2005))))))</f>
        <v> </v>
      </c>
      <c r="K2006" s="26" t="str">
        <f>IF(OR(E2006="",E2006="!!!",F2006="NEW"),"",INDEX(J$1:J2005,SUMPRODUCT(MAX(ROW(E$1:E2005)*(E2006=E$1:E2005)))))</f>
        <v> </v>
      </c>
      <c r="L2006" s="27"/>
    </row>
    <row r="2007" spans="1:12">
      <c r="A2007" s="20" t="s">
        <v>928</v>
      </c>
      <c r="B2007" s="21" t="s">
        <v>796</v>
      </c>
      <c r="C2007" s="21" t="s">
        <v>789</v>
      </c>
      <c r="D2007" s="21" t="s">
        <v>730</v>
      </c>
      <c r="E2007" s="22">
        <f>IF(D2007="?OLD","!!!","")</f>
        <v/>
      </c>
      <c r="F2007" s="23" t="str">
        <f>IF(OR(E2007="",E2007="!!!"),"",IF(NOT(ISNA(VLOOKUP(E2007,E$1:E2006,1,FALSE()))),"OLD",IF(AND(E2007&lt;&gt;"",E2007&lt;&gt;"!!!"),"NEW","")))</f>
        <v> </v>
      </c>
      <c r="G2007" s="24" t="str">
        <f>IF(OR(E2007="",E2007="!!!"),"",IF(OR(J2007=0,AND(J2007=1,K2007=1),AND(J2007=1,I2007="SBJ"),AND(J2007=1,I2007=0)),"?IN_FOCUS",IF(J2007&lt;=2,"?ACTIVATED",IF(J2007&lt;&gt;"","?FAMILIAR",IF(F2007="NEW",IF(ISNA(VLOOKUP(E2007,#REF!,1,FALSE())),"?TYPE_IDENTIFIABLE","?REFERENTIAL"),"_")))))</f>
        <v> </v>
      </c>
      <c r="H2007" s="25" t="str">
        <f>IF(J2007&lt;&gt;1,"",IF(I2007="SBJ","CB","?"))</f>
        <v> </v>
      </c>
      <c r="I2007" s="26" t="str">
        <f>IF(OR(E2007="",E2007="!!!",F2007="NEW"),"",INDEX(B2006:B$2,-1+SUMPRODUCT(MAX(ROW(E2006:E$2)*(E2007=E2006:E$2)))))</f>
        <v> </v>
      </c>
      <c r="J2007" s="26" t="str">
        <f>IF(OR(E2007="",E2007="!!!",F2007="NEW"),"",COUNTBLANK(OFFSET(A$1,,,SUMPRODUCT(MAX(ROW(E$2:E2007)*(E2007=E$2:E2007)))))-COUNTBLANK(OFFSET(A$1,,,SUMPRODUCT(MAX(ROW(E$1:E2006)*(E2=E$1:E2006))))))</f>
        <v> </v>
      </c>
      <c r="K2007" s="26" t="str">
        <f>IF(OR(E2007="",E2007="!!!",F2007="NEW"),"",INDEX(J$1:J2006,SUMPRODUCT(MAX(ROW(E$1:E2006)*(E2007=E$1:E2006)))))</f>
        <v> </v>
      </c>
      <c r="L2007" s="27"/>
    </row>
    <row r="2008" spans="1:12">
      <c r="A2008" s="20" t="s">
        <v>732</v>
      </c>
      <c r="E2008" s="22">
        <f>IF(D2008="?OLD","!!!","")</f>
        <v/>
      </c>
      <c r="F2008" s="23" t="str">
        <f>IF(OR(E2008="",E2008="!!!"),"",IF(NOT(ISNA(VLOOKUP(E2008,E$1:E2007,1,FALSE()))),"OLD",IF(AND(E2008&lt;&gt;"",E2008&lt;&gt;"!!!"),"NEW","")))</f>
        <v> </v>
      </c>
      <c r="G2008" s="24" t="str">
        <f>IF(OR(E2008="",E2008="!!!"),"",IF(OR(J2008=0,AND(J2008=1,K2008=1),AND(J2008=1,I2008="SBJ"),AND(J2008=1,I2008=0)),"?IN_FOCUS",IF(J2008&lt;=2,"?ACTIVATED",IF(J2008&lt;&gt;"","?FAMILIAR",IF(F2008="NEW",IF(ISNA(VLOOKUP(E2008,#REF!,1,FALSE())),"?TYPE_IDENTIFIABLE","?REFERENTIAL"),"_")))))</f>
        <v> </v>
      </c>
      <c r="H2008" s="25" t="str">
        <f>IF(J2008&lt;&gt;1,"",IF(I2008="SBJ","CB","?"))</f>
        <v> </v>
      </c>
      <c r="I2008" s="26" t="str">
        <f>IF(OR(E2008="",E2008="!!!",F2008="NEW"),"",INDEX(B2007:B$2,-1+SUMPRODUCT(MAX(ROW(E2007:E$2)*(E2008=E2007:E$2)))))</f>
        <v> </v>
      </c>
      <c r="J2008" s="26" t="str">
        <f>IF(OR(E2008="",E2008="!!!",F2008="NEW"),"",COUNTBLANK(OFFSET(A$1,,,SUMPRODUCT(MAX(ROW(E$2:E2008)*(E2008=E$2:E2008)))))-COUNTBLANK(OFFSET(A$1,,,SUMPRODUCT(MAX(ROW(E$1:E2007)*(E2=E$1:E2007))))))</f>
        <v> </v>
      </c>
      <c r="K2008" s="26" t="str">
        <f>IF(OR(E2008="",E2008="!!!",F2008="NEW"),"",INDEX(J$1:J2007,SUMPRODUCT(MAX(ROW(E$1:E2007)*(E2008=E$1:E2007)))))</f>
        <v> </v>
      </c>
      <c r="L2008" s="27"/>
    </row>
    <row r="2009" spans="1:12">
      <c r="A2009" s="20" t="s">
        <v>1531</v>
      </c>
      <c r="B2009" s="21" t="s">
        <v>739</v>
      </c>
      <c r="C2009" s="21" t="s">
        <v>748</v>
      </c>
      <c r="E2009" s="22">
        <f>IF(D2009="?OLD","!!!","")</f>
        <v/>
      </c>
      <c r="F2009" s="23" t="str">
        <f>IF(OR(E2009="",E2009="!!!"),"",IF(NOT(ISNA(VLOOKUP(E2009,E$1:E2008,1,FALSE()))),"OLD",IF(AND(E2009&lt;&gt;"",E2009&lt;&gt;"!!!"),"NEW","")))</f>
        <v> </v>
      </c>
      <c r="G2009" s="24" t="str">
        <f>IF(OR(E2009="",E2009="!!!"),"",IF(OR(J2009=0,AND(J2009=1,K2009=1),AND(J2009=1,I2009="SBJ"),AND(J2009=1,I2009=0)),"?IN_FOCUS",IF(J2009&lt;=2,"?ACTIVATED",IF(J2009&lt;&gt;"","?FAMILIAR",IF(F2009="NEW",IF(ISNA(VLOOKUP(E2009,#REF!,1,FALSE())),"?TYPE_IDENTIFIABLE","?REFERENTIAL"),"_")))))</f>
        <v> </v>
      </c>
      <c r="H2009" s="25" t="str">
        <f>IF(J2009&lt;&gt;1,"",IF(I2009="SBJ","CB","?"))</f>
        <v> </v>
      </c>
      <c r="I2009" s="26" t="str">
        <f>IF(OR(E2009="",E2009="!!!",F2009="NEW"),"",INDEX(B2008:B$2,-1+SUMPRODUCT(MAX(ROW(E2008:E$2)*(E2009=E2008:E$2)))))</f>
        <v> </v>
      </c>
      <c r="J2009" s="26" t="str">
        <f>IF(OR(E2009="",E2009="!!!",F2009="NEW"),"",COUNTBLANK(OFFSET(A$1,,,SUMPRODUCT(MAX(ROW(E$2:E2009)*(E2009=E$2:E2009)))))-COUNTBLANK(OFFSET(A$1,,,SUMPRODUCT(MAX(ROW(E$1:E2008)*(E2=E$1:E2008))))))</f>
        <v> </v>
      </c>
      <c r="K2009" s="26" t="str">
        <f>IF(OR(E2009="",E2009="!!!",F2009="NEW"),"",INDEX(J$1:J2008,SUMPRODUCT(MAX(ROW(E$1:E2008)*(E2009=E$1:E2008)))))</f>
        <v> </v>
      </c>
      <c r="L2009" s="27"/>
    </row>
    <row r="2010" spans="1:12">
      <c r="A2010" s="20" t="s">
        <v>246</v>
      </c>
      <c r="E2010" s="22">
        <f>IF(D2010="?OLD","!!!","")</f>
        <v/>
      </c>
      <c r="F2010" s="23" t="str">
        <f>IF(OR(E2010="",E2010="!!!"),"",IF(NOT(ISNA(VLOOKUP(E2010,E$1:E2009,1,FALSE()))),"OLD",IF(AND(E2010&lt;&gt;"",E2010&lt;&gt;"!!!"),"NEW","")))</f>
        <v> </v>
      </c>
      <c r="G2010" s="24" t="str">
        <f>IF(OR(E2010="",E2010="!!!"),"",IF(OR(J2010=0,AND(J2010=1,K2010=1),AND(J2010=1,I2010="SBJ"),AND(J2010=1,I2010=0)),"?IN_FOCUS",IF(J2010&lt;=2,"?ACTIVATED",IF(J2010&lt;&gt;"","?FAMILIAR",IF(F2010="NEW",IF(ISNA(VLOOKUP(E2010,#REF!,1,FALSE())),"?TYPE_IDENTIFIABLE","?REFERENTIAL"),"_")))))</f>
        <v> </v>
      </c>
      <c r="H2010" s="25" t="str">
        <f>IF(J2010&lt;&gt;1,"",IF(I2010="SBJ","CB","?"))</f>
        <v> </v>
      </c>
      <c r="I2010" s="26" t="str">
        <f>IF(OR(E2010="",E2010="!!!",F2010="NEW"),"",INDEX(B2009:B$2,-1+SUMPRODUCT(MAX(ROW(E2009:E$2)*(E2010=E2009:E$2)))))</f>
        <v> </v>
      </c>
      <c r="J2010" s="26" t="str">
        <f>IF(OR(E2010="",E2010="!!!",F2010="NEW"),"",COUNTBLANK(OFFSET(A$1,,,SUMPRODUCT(MAX(ROW(E$2:E2010)*(E2010=E$2:E2010)))))-COUNTBLANK(OFFSET(A$1,,,SUMPRODUCT(MAX(ROW(E$1:E2009)*(E2=E$1:E2009))))))</f>
        <v> </v>
      </c>
      <c r="K2010" s="26" t="str">
        <f>IF(OR(E2010="",E2010="!!!",F2010="NEW"),"",INDEX(J$1:J2009,SUMPRODUCT(MAX(ROW(E$1:E2009)*(E2010=E$1:E2009)))))</f>
        <v> </v>
      </c>
      <c r="L2010" s="27"/>
    </row>
    <row r="2011" spans="1:12">
      <c r="A2011" s="20"/>
    </row>
    <row r="2012" spans="1:12">
      <c r="A2012" s="20" t="s">
        <v>1532</v>
      </c>
    </row>
    <row r="2013" spans="1:12">
      <c r="A2013" s="20" t="s">
        <v>1382</v>
      </c>
      <c r="B2013" s="21" t="s">
        <v>728</v>
      </c>
      <c r="C2013" s="21" t="s">
        <v>789</v>
      </c>
      <c r="D2013" s="21" t="s">
        <v>730</v>
      </c>
      <c r="E2013" s="22">
        <f>IF(D2013="?OLD","!!!","")</f>
        <v/>
      </c>
      <c r="F2013" s="23" t="str">
        <f>IF(OR(E2013="",E2013="!!!"),"",IF(NOT(ISNA(VLOOKUP(E2013,E$1:E2012,1,FALSE()))),"OLD",IF(AND(E2013&lt;&gt;"",E2013&lt;&gt;"!!!"),"NEW","")))</f>
        <v> </v>
      </c>
      <c r="G2013" s="24" t="str">
        <f>IF(OR(E2013="",E2013="!!!"),"",IF(OR(J2013=0,AND(J2013=1,K2013=1),AND(J2013=1,I2013="SBJ"),AND(J2013=1,I2013=0)),"?IN_FOCUS",IF(J2013&lt;=2,"?ACTIVATED",IF(J2013&lt;&gt;"","?FAMILIAR",IF(F2013="NEW",IF(ISNA(VLOOKUP(E2013,#REF!,1,FALSE())),"?TYPE_IDENTIFIABLE","?REFERENTIAL"),"_")))))</f>
        <v> </v>
      </c>
      <c r="H2013" s="25" t="str">
        <f>IF(J2013&lt;&gt;1,"",IF(I2013="SBJ","CB","?"))</f>
        <v> </v>
      </c>
      <c r="I2013" s="26" t="str">
        <f>IF(OR(E2013="",E2013="!!!",F2013="NEW"),"",INDEX(B2012:B$2,-1+SUMPRODUCT(MAX(ROW(E2012:E$2)*(E2013=E2012:E$2)))))</f>
        <v> </v>
      </c>
      <c r="J2013" s="26" t="str">
        <f>IF(OR(E2013="",E2013="!!!",F2013="NEW"),"",COUNTBLANK(OFFSET(A$1,,,SUMPRODUCT(MAX(ROW(E$2:E2013)*(E2013=E$2:E2013)))))-COUNTBLANK(OFFSET(A$1,,,SUMPRODUCT(MAX(ROW(E$1:E2012)*(E2=E$1:E2012))))))</f>
        <v> </v>
      </c>
      <c r="K2013" s="26" t="str">
        <f>IF(OR(E2013="",E2013="!!!",F2013="NEW"),"",INDEX(J$1:J2012,SUMPRODUCT(MAX(ROW(E$1:E2012)*(E2013=E$1:E2012)))))</f>
        <v> </v>
      </c>
      <c r="L2013" s="27"/>
    </row>
    <row r="2014" spans="1:12">
      <c r="A2014" s="20" t="s">
        <v>1533</v>
      </c>
      <c r="E2014" s="22">
        <f>IF(D2014="?OLD","!!!","")</f>
        <v/>
      </c>
      <c r="F2014" s="23" t="str">
        <f>IF(OR(E2014="",E2014="!!!"),"",IF(NOT(ISNA(VLOOKUP(E2014,E$1:E2013,1,FALSE()))),"OLD",IF(AND(E2014&lt;&gt;"",E2014&lt;&gt;"!!!"),"NEW","")))</f>
        <v> </v>
      </c>
      <c r="G2014" s="24" t="str">
        <f>IF(OR(E2014="",E2014="!!!"),"",IF(OR(J2014=0,AND(J2014=1,K2014=1),AND(J2014=1,I2014="SBJ"),AND(J2014=1,I2014=0)),"?IN_FOCUS",IF(J2014&lt;=2,"?ACTIVATED",IF(J2014&lt;&gt;"","?FAMILIAR",IF(F2014="NEW",IF(ISNA(VLOOKUP(E2014,#REF!,1,FALSE())),"?TYPE_IDENTIFIABLE","?REFERENTIAL"),"_")))))</f>
        <v> </v>
      </c>
      <c r="H2014" s="25" t="str">
        <f>IF(J2014&lt;&gt;1,"",IF(I2014="SBJ","CB","?"))</f>
        <v> </v>
      </c>
      <c r="I2014" s="26" t="str">
        <f>IF(OR(E2014="",E2014="!!!",F2014="NEW"),"",INDEX(B2013:B$2,-1+SUMPRODUCT(MAX(ROW(E2013:E$2)*(E2014=E2013:E$2)))))</f>
        <v> </v>
      </c>
      <c r="J2014" s="26" t="str">
        <f>IF(OR(E2014="",E2014="!!!",F2014="NEW"),"",COUNTBLANK(OFFSET(A$1,,,SUMPRODUCT(MAX(ROW(E$2:E2014)*(E2014=E$2:E2014)))))-COUNTBLANK(OFFSET(A$1,,,SUMPRODUCT(MAX(ROW(E$1:E2013)*(E2=E$1:E2013))))))</f>
        <v> </v>
      </c>
      <c r="K2014" s="26" t="str">
        <f>IF(OR(E2014="",E2014="!!!",F2014="NEW"),"",INDEX(J$1:J2013,SUMPRODUCT(MAX(ROW(E$1:E2013)*(E2014=E$1:E2013)))))</f>
        <v> </v>
      </c>
      <c r="L2014" s="27"/>
    </row>
    <row r="2015" spans="1:12">
      <c r="A2015" s="20" t="s">
        <v>754</v>
      </c>
      <c r="B2015" s="21" t="s">
        <v>739</v>
      </c>
      <c r="C2015" s="21" t="s">
        <v>756</v>
      </c>
      <c r="E2015" s="22">
        <f>IF(D2015="?OLD","!!!","")</f>
        <v/>
      </c>
      <c r="F2015" s="23" t="str">
        <f>IF(OR(E2015="",E2015="!!!"),"",IF(NOT(ISNA(VLOOKUP(E2015,E$1:E2014,1,FALSE()))),"OLD",IF(AND(E2015&lt;&gt;"",E2015&lt;&gt;"!!!"),"NEW","")))</f>
        <v> </v>
      </c>
      <c r="G2015" s="24" t="str">
        <f>IF(OR(E2015="",E2015="!!!"),"",IF(OR(J2015=0,AND(J2015=1,K2015=1),AND(J2015=1,I2015="SBJ"),AND(J2015=1,I2015=0)),"?IN_FOCUS",IF(J2015&lt;=2,"?ACTIVATED",IF(J2015&lt;&gt;"","?FAMILIAR",IF(F2015="NEW",IF(ISNA(VLOOKUP(E2015,#REF!,1,FALSE())),"?TYPE_IDENTIFIABLE","?REFERENTIAL"),"_")))))</f>
        <v> </v>
      </c>
      <c r="H2015" s="25" t="str">
        <f>IF(J2015&lt;&gt;1,"",IF(I2015="SBJ","CB","?"))</f>
        <v> </v>
      </c>
      <c r="I2015" s="26" t="str">
        <f>IF(OR(E2015="",E2015="!!!",F2015="NEW"),"",INDEX(B2014:B$2,-1+SUMPRODUCT(MAX(ROW(E2014:E$2)*(E2015=E2014:E$2)))))</f>
        <v> </v>
      </c>
      <c r="J2015" s="26" t="str">
        <f>IF(OR(E2015="",E2015="!!!",F2015="NEW"),"",COUNTBLANK(OFFSET(A$1,,,SUMPRODUCT(MAX(ROW(E$2:E2015)*(E2015=E$2:E2015)))))-COUNTBLANK(OFFSET(A$1,,,SUMPRODUCT(MAX(ROW(E$1:E2014)*(E2=E$1:E2014))))))</f>
        <v> </v>
      </c>
      <c r="K2015" s="26" t="str">
        <f>IF(OR(E2015="",E2015="!!!",F2015="NEW"),"",INDEX(J$1:J2014,SUMPRODUCT(MAX(ROW(E$1:E2014)*(E2015=E$1:E2014)))))</f>
        <v> </v>
      </c>
      <c r="L2015" s="27"/>
    </row>
    <row r="2016" spans="1:12">
      <c r="A2016" s="20" t="s">
        <v>751</v>
      </c>
      <c r="E2016" s="22">
        <f>IF(D2016="?OLD","!!!","")</f>
        <v/>
      </c>
      <c r="F2016" s="23" t="str">
        <f>IF(OR(E2016="",E2016="!!!"),"",IF(NOT(ISNA(VLOOKUP(E2016,E$1:E2015,1,FALSE()))),"OLD",IF(AND(E2016&lt;&gt;"",E2016&lt;&gt;"!!!"),"NEW","")))</f>
        <v> </v>
      </c>
      <c r="G2016" s="24" t="str">
        <f>IF(OR(E2016="",E2016="!!!"),"",IF(OR(J2016=0,AND(J2016=1,K2016=1),AND(J2016=1,I2016="SBJ"),AND(J2016=1,I2016=0)),"?IN_FOCUS",IF(J2016&lt;=2,"?ACTIVATED",IF(J2016&lt;&gt;"","?FAMILIAR",IF(F2016="NEW",IF(ISNA(VLOOKUP(E2016,#REF!,1,FALSE())),"?TYPE_IDENTIFIABLE","?REFERENTIAL"),"_")))))</f>
        <v> </v>
      </c>
      <c r="H2016" s="25" t="str">
        <f>IF(J2016&lt;&gt;1,"",IF(I2016="SBJ","CB","?"))</f>
        <v> </v>
      </c>
      <c r="I2016" s="26" t="str">
        <f>IF(OR(E2016="",E2016="!!!",F2016="NEW"),"",INDEX(B2015:B$2,-1+SUMPRODUCT(MAX(ROW(E2015:E$2)*(E2016=E2015:E$2)))))</f>
        <v> </v>
      </c>
      <c r="J2016" s="26" t="str">
        <f>IF(OR(E2016="",E2016="!!!",F2016="NEW"),"",COUNTBLANK(OFFSET(A$1,,,SUMPRODUCT(MAX(ROW(E$2:E2016)*(E2016=E$2:E2016)))))-COUNTBLANK(OFFSET(A$1,,,SUMPRODUCT(MAX(ROW(E$1:E2015)*(E2=E$1:E2015))))))</f>
        <v> </v>
      </c>
      <c r="K2016" s="26" t="str">
        <f>IF(OR(E2016="",E2016="!!!",F2016="NEW"),"",INDEX(J$1:J2015,SUMPRODUCT(MAX(ROW(E$1:E2015)*(E2016=E$1:E2015)))))</f>
        <v> </v>
      </c>
      <c r="L2016" s="27"/>
    </row>
    <row r="2017" spans="1:12">
      <c r="A2017" s="20" t="s">
        <v>1369</v>
      </c>
      <c r="B2017" s="21" t="s">
        <v>736</v>
      </c>
      <c r="C2017" s="21" t="s">
        <v>753</v>
      </c>
      <c r="D2017" s="21" t="s">
        <v>730</v>
      </c>
      <c r="E2017" s="22">
        <f>IF(D2017="?OLD","!!!","")</f>
        <v/>
      </c>
      <c r="F2017" s="23" t="str">
        <f>IF(OR(E2017="",E2017="!!!"),"",IF(NOT(ISNA(VLOOKUP(E2017,E$1:E2016,1,FALSE()))),"OLD",IF(AND(E2017&lt;&gt;"",E2017&lt;&gt;"!!!"),"NEW","")))</f>
        <v> </v>
      </c>
      <c r="G2017" s="24" t="str">
        <f>IF(OR(E2017="",E2017="!!!"),"",IF(OR(J2017=0,AND(J2017=1,K2017=1),AND(J2017=1,I2017="SBJ"),AND(J2017=1,I2017=0)),"?IN_FOCUS",IF(J2017&lt;=2,"?ACTIVATED",IF(J2017&lt;&gt;"","?FAMILIAR",IF(F2017="NEW",IF(ISNA(VLOOKUP(E2017,#REF!,1,FALSE())),"?TYPE_IDENTIFIABLE","?REFERENTIAL"),"_")))))</f>
        <v> </v>
      </c>
      <c r="H2017" s="25" t="str">
        <f>IF(J2017&lt;&gt;1,"",IF(I2017="SBJ","CB","?"))</f>
        <v> </v>
      </c>
      <c r="I2017" s="26" t="str">
        <f>IF(OR(E2017="",E2017="!!!",F2017="NEW"),"",INDEX(B2016:B$2,-1+SUMPRODUCT(MAX(ROW(E2016:E$2)*(E2017=E2016:E$2)))))</f>
        <v> </v>
      </c>
      <c r="J2017" s="26" t="str">
        <f>IF(OR(E2017="",E2017="!!!",F2017="NEW"),"",COUNTBLANK(OFFSET(A$1,,,SUMPRODUCT(MAX(ROW(E$2:E2017)*(E2017=E$2:E2017)))))-COUNTBLANK(OFFSET(A$1,,,SUMPRODUCT(MAX(ROW(E$1:E2016)*(E2=E$1:E2016))))))</f>
        <v> </v>
      </c>
      <c r="K2017" s="26" t="str">
        <f>IF(OR(E2017="",E2017="!!!",F2017="NEW"),"",INDEX(J$1:J2016,SUMPRODUCT(MAX(ROW(E$1:E2016)*(E2017=E$1:E2016)))))</f>
        <v> </v>
      </c>
      <c r="L2017" s="27"/>
    </row>
    <row r="2018" spans="1:12">
      <c r="A2018" s="20" t="s">
        <v>757</v>
      </c>
      <c r="E2018" s="22">
        <f>IF(D2018="?OLD","!!!","")</f>
        <v/>
      </c>
      <c r="F2018" s="23" t="str">
        <f>IF(OR(E2018="",E2018="!!!"),"",IF(NOT(ISNA(VLOOKUP(E2018,E$1:E2017,1,FALSE()))),"OLD",IF(AND(E2018&lt;&gt;"",E2018&lt;&gt;"!!!"),"NEW","")))</f>
        <v> </v>
      </c>
      <c r="G2018" s="24" t="str">
        <f>IF(OR(E2018="",E2018="!!!"),"",IF(OR(J2018=0,AND(J2018=1,K2018=1),AND(J2018=1,I2018="SBJ"),AND(J2018=1,I2018=0)),"?IN_FOCUS",IF(J2018&lt;=2,"?ACTIVATED",IF(J2018&lt;&gt;"","?FAMILIAR",IF(F2018="NEW",IF(ISNA(VLOOKUP(E2018,#REF!,1,FALSE())),"?TYPE_IDENTIFIABLE","?REFERENTIAL"),"_")))))</f>
        <v> </v>
      </c>
      <c r="H2018" s="25" t="str">
        <f>IF(J2018&lt;&gt;1,"",IF(I2018="SBJ","CB","?"))</f>
        <v> </v>
      </c>
      <c r="I2018" s="26" t="str">
        <f>IF(OR(E2018="",E2018="!!!",F2018="NEW"),"",INDEX(B2017:B$2,-1+SUMPRODUCT(MAX(ROW(E2017:E$2)*(E2018=E2017:E$2)))))</f>
        <v> </v>
      </c>
      <c r="J2018" s="26" t="str">
        <f>IF(OR(E2018="",E2018="!!!",F2018="NEW"),"",COUNTBLANK(OFFSET(A$1,,,SUMPRODUCT(MAX(ROW(E$2:E2018)*(E2018=E$2:E2018)))))-COUNTBLANK(OFFSET(A$1,,,SUMPRODUCT(MAX(ROW(E$1:E2017)*(E2=E$1:E2017))))))</f>
        <v> </v>
      </c>
      <c r="K2018" s="26" t="str">
        <f>IF(OR(E2018="",E2018="!!!",F2018="NEW"),"",INDEX(J$1:J2017,SUMPRODUCT(MAX(ROW(E$1:E2017)*(E2018=E$1:E2017)))))</f>
        <v> </v>
      </c>
      <c r="L2018" s="27"/>
    </row>
    <row r="2019" spans="1:12">
      <c r="A2019" s="20" t="s">
        <v>1370</v>
      </c>
      <c r="B2019" s="21" t="s">
        <v>739</v>
      </c>
      <c r="C2019" s="21" t="s">
        <v>740</v>
      </c>
      <c r="D2019" s="21" t="s">
        <v>730</v>
      </c>
      <c r="E2019" s="22">
        <f>IF(D2019="?OLD","!!!","")</f>
        <v/>
      </c>
      <c r="F2019" s="23" t="str">
        <f>IF(OR(E2019="",E2019="!!!"),"",IF(NOT(ISNA(VLOOKUP(E2019,E$1:E2018,1,FALSE()))),"OLD",IF(AND(E2019&lt;&gt;"",E2019&lt;&gt;"!!!"),"NEW","")))</f>
        <v> </v>
      </c>
      <c r="G2019" s="24" t="str">
        <f>IF(OR(E2019="",E2019="!!!"),"",IF(OR(J2019=0,AND(J2019=1,K2019=1),AND(J2019=1,I2019="SBJ"),AND(J2019=1,I2019=0)),"?IN_FOCUS",IF(J2019&lt;=2,"?ACTIVATED",IF(J2019&lt;&gt;"","?FAMILIAR",IF(F2019="NEW",IF(ISNA(VLOOKUP(E2019,#REF!,1,FALSE())),"?TYPE_IDENTIFIABLE","?REFERENTIAL"),"_")))))</f>
        <v> </v>
      </c>
      <c r="H2019" s="25" t="str">
        <f>IF(J2019&lt;&gt;1,"",IF(I2019="SBJ","CB","?"))</f>
        <v> </v>
      </c>
      <c r="I2019" s="26" t="str">
        <f>IF(OR(E2019="",E2019="!!!",F2019="NEW"),"",INDEX(B2018:B$2,-1+SUMPRODUCT(MAX(ROW(E2018:E$2)*(E2019=E2018:E$2)))))</f>
        <v> </v>
      </c>
      <c r="J2019" s="26" t="str">
        <f>IF(OR(E2019="",E2019="!!!",F2019="NEW"),"",COUNTBLANK(OFFSET(A$1,,,SUMPRODUCT(MAX(ROW(E$2:E2019)*(E2019=E$2:E2019)))))-COUNTBLANK(OFFSET(A$1,,,SUMPRODUCT(MAX(ROW(E$1:E2018)*(E2=E$1:E2018))))))</f>
        <v> </v>
      </c>
      <c r="K2019" s="26" t="str">
        <f>IF(OR(E2019="",E2019="!!!",F2019="NEW"),"",INDEX(J$1:J2018,SUMPRODUCT(MAX(ROW(E$1:E2018)*(E2019=E$1:E2018)))))</f>
        <v> </v>
      </c>
      <c r="L2019" s="27"/>
    </row>
    <row r="2020" spans="1:12">
      <c r="A2020" s="20" t="s">
        <v>1178</v>
      </c>
      <c r="E2020" s="22">
        <f>IF(D2020="?OLD","!!!","")</f>
        <v/>
      </c>
      <c r="F2020" s="23" t="str">
        <f>IF(OR(E2020="",E2020="!!!"),"",IF(NOT(ISNA(VLOOKUP(E2020,E$1:E2019,1,FALSE()))),"OLD",IF(AND(E2020&lt;&gt;"",E2020&lt;&gt;"!!!"),"NEW","")))</f>
        <v> </v>
      </c>
      <c r="G2020" s="24" t="str">
        <f>IF(OR(E2020="",E2020="!!!"),"",IF(OR(J2020=0,AND(J2020=1,K2020=1),AND(J2020=1,I2020="SBJ"),AND(J2020=1,I2020=0)),"?IN_FOCUS",IF(J2020&lt;=2,"?ACTIVATED",IF(J2020&lt;&gt;"","?FAMILIAR",IF(F2020="NEW",IF(ISNA(VLOOKUP(E2020,#REF!,1,FALSE())),"?TYPE_IDENTIFIABLE","?REFERENTIAL"),"_")))))</f>
        <v> </v>
      </c>
      <c r="H2020" s="25" t="str">
        <f>IF(J2020&lt;&gt;1,"",IF(I2020="SBJ","CB","?"))</f>
        <v> </v>
      </c>
      <c r="I2020" s="26" t="str">
        <f>IF(OR(E2020="",E2020="!!!",F2020="NEW"),"",INDEX(B2019:B$2,-1+SUMPRODUCT(MAX(ROW(E2019:E$2)*(E2020=E2019:E$2)))))</f>
        <v> </v>
      </c>
      <c r="J2020" s="26" t="str">
        <f>IF(OR(E2020="",E2020="!!!",F2020="NEW"),"",COUNTBLANK(OFFSET(A$1,,,SUMPRODUCT(MAX(ROW(E$2:E2020)*(E2020=E$2:E2020)))))-COUNTBLANK(OFFSET(A$1,,,SUMPRODUCT(MAX(ROW(E$1:E2019)*(E2=E$1:E2019))))))</f>
        <v> </v>
      </c>
      <c r="K2020" s="26" t="str">
        <f>IF(OR(E2020="",E2020="!!!",F2020="NEW"),"",INDEX(J$1:J2019,SUMPRODUCT(MAX(ROW(E$1:E2019)*(E2020=E$1:E2019)))))</f>
        <v> </v>
      </c>
      <c r="L2020" s="27"/>
    </row>
    <row r="2021" spans="1:12">
      <c r="A2021" s="20" t="s">
        <v>246</v>
      </c>
      <c r="E2021" s="22">
        <f>IF(D2021="?OLD","!!!","")</f>
        <v/>
      </c>
      <c r="F2021" s="23" t="str">
        <f>IF(OR(E2021="",E2021="!!!"),"",IF(NOT(ISNA(VLOOKUP(E2021,E$1:E2020,1,FALSE()))),"OLD",IF(AND(E2021&lt;&gt;"",E2021&lt;&gt;"!!!"),"NEW","")))</f>
        <v> </v>
      </c>
      <c r="G2021" s="24" t="str">
        <f>IF(OR(E2021="",E2021="!!!"),"",IF(OR(J2021=0,AND(J2021=1,K2021=1),AND(J2021=1,I2021="SBJ"),AND(J2021=1,I2021=0)),"?IN_FOCUS",IF(J2021&lt;=2,"?ACTIVATED",IF(J2021&lt;&gt;"","?FAMILIAR",IF(F2021="NEW",IF(ISNA(VLOOKUP(E2021,#REF!,1,FALSE())),"?TYPE_IDENTIFIABLE","?REFERENTIAL"),"_")))))</f>
        <v> </v>
      </c>
      <c r="H2021" s="25" t="str">
        <f>IF(J2021&lt;&gt;1,"",IF(I2021="SBJ","CB","?"))</f>
        <v> </v>
      </c>
      <c r="I2021" s="26" t="str">
        <f>IF(OR(E2021="",E2021="!!!",F2021="NEW"),"",INDEX(B2020:B$2,-1+SUMPRODUCT(MAX(ROW(E2020:E$2)*(E2021=E2020:E$2)))))</f>
        <v> </v>
      </c>
      <c r="J2021" s="26" t="str">
        <f>IF(OR(E2021="",E2021="!!!",F2021="NEW"),"",COUNTBLANK(OFFSET(A$1,,,SUMPRODUCT(MAX(ROW(E$2:E2021)*(E2021=E$2:E2021)))))-COUNTBLANK(OFFSET(A$1,,,SUMPRODUCT(MAX(ROW(E$1:E2020)*(E2=E$1:E2020))))))</f>
        <v> </v>
      </c>
      <c r="K2021" s="26" t="str">
        <f>IF(OR(E2021="",E2021="!!!",F2021="NEW"),"",INDEX(J$1:J2020,SUMPRODUCT(MAX(ROW(E$1:E2020)*(E2021=E$1:E2020)))))</f>
        <v> </v>
      </c>
      <c r="L2021" s="27"/>
    </row>
    <row r="2022" spans="1:12">
      <c r="A2022" s="20"/>
    </row>
    <row r="2023" spans="1:12">
      <c r="A2023" s="20" t="s">
        <v>1534</v>
      </c>
    </row>
    <row r="2024" spans="1:12">
      <c r="A2024" s="20" t="s">
        <v>1382</v>
      </c>
      <c r="B2024" s="21" t="s">
        <v>728</v>
      </c>
      <c r="C2024" s="21" t="s">
        <v>789</v>
      </c>
      <c r="D2024" s="21" t="s">
        <v>730</v>
      </c>
      <c r="E2024" s="22">
        <f>IF(D2024="?OLD","!!!","")</f>
        <v/>
      </c>
      <c r="F2024" s="23" t="str">
        <f>IF(OR(E2024="",E2024="!!!"),"",IF(NOT(ISNA(VLOOKUP(E2024,E$1:E2023,1,FALSE()))),"OLD",IF(AND(E2024&lt;&gt;"",E2024&lt;&gt;"!!!"),"NEW","")))</f>
        <v> </v>
      </c>
      <c r="G2024" s="24" t="str">
        <f>IF(OR(E2024="",E2024="!!!"),"",IF(OR(J2024=0,AND(J2024=1,K2024=1),AND(J2024=1,I2024="SBJ"),AND(J2024=1,I2024=0)),"?IN_FOCUS",IF(J2024&lt;=2,"?ACTIVATED",IF(J2024&lt;&gt;"","?FAMILIAR",IF(F2024="NEW",IF(ISNA(VLOOKUP(E2024,#REF!,1,FALSE())),"?TYPE_IDENTIFIABLE","?REFERENTIAL"),"_")))))</f>
        <v> </v>
      </c>
      <c r="H2024" s="25" t="str">
        <f>IF(J2024&lt;&gt;1,"",IF(I2024="SBJ","CB","?"))</f>
        <v> </v>
      </c>
      <c r="I2024" s="26" t="str">
        <f>IF(OR(E2024="",E2024="!!!",F2024="NEW"),"",INDEX(B2023:B$2,-1+SUMPRODUCT(MAX(ROW(E2023:E$2)*(E2024=E2023:E$2)))))</f>
        <v> </v>
      </c>
      <c r="J2024" s="26" t="str">
        <f>IF(OR(E2024="",E2024="!!!",F2024="NEW"),"",COUNTBLANK(OFFSET(A$1,,,SUMPRODUCT(MAX(ROW(E$2:E2024)*(E2024=E$2:E2024)))))-COUNTBLANK(OFFSET(A$1,,,SUMPRODUCT(MAX(ROW(E$1:E2023)*(E2=E$1:E2023))))))</f>
        <v> </v>
      </c>
      <c r="K2024" s="26" t="str">
        <f>IF(OR(E2024="",E2024="!!!",F2024="NEW"),"",INDEX(J$1:J2023,SUMPRODUCT(MAX(ROW(E$1:E2023)*(E2024=E$1:E2023)))))</f>
        <v> </v>
      </c>
      <c r="L2024" s="27"/>
    </row>
    <row r="2025" spans="1:12">
      <c r="A2025" s="20" t="s">
        <v>924</v>
      </c>
      <c r="E2025" s="22">
        <f>IF(D2025="?OLD","!!!","")</f>
        <v/>
      </c>
      <c r="F2025" s="23" t="str">
        <f>IF(OR(E2025="",E2025="!!!"),"",IF(NOT(ISNA(VLOOKUP(E2025,E$1:E2024,1,FALSE()))),"OLD",IF(AND(E2025&lt;&gt;"",E2025&lt;&gt;"!!!"),"NEW","")))</f>
        <v> </v>
      </c>
      <c r="G2025" s="24" t="str">
        <f>IF(OR(E2025="",E2025="!!!"),"",IF(OR(J2025=0,AND(J2025=1,K2025=1),AND(J2025=1,I2025="SBJ"),AND(J2025=1,I2025=0)),"?IN_FOCUS",IF(J2025&lt;=2,"?ACTIVATED",IF(J2025&lt;&gt;"","?FAMILIAR",IF(F2025="NEW",IF(ISNA(VLOOKUP(E2025,#REF!,1,FALSE())),"?TYPE_IDENTIFIABLE","?REFERENTIAL"),"_")))))</f>
        <v> </v>
      </c>
      <c r="H2025" s="25" t="str">
        <f>IF(J2025&lt;&gt;1,"",IF(I2025="SBJ","CB","?"))</f>
        <v> </v>
      </c>
      <c r="I2025" s="26" t="str">
        <f>IF(OR(E2025="",E2025="!!!",F2025="NEW"),"",INDEX(B2024:B$2,-1+SUMPRODUCT(MAX(ROW(E2024:E$2)*(E2025=E2024:E$2)))))</f>
        <v> </v>
      </c>
      <c r="J2025" s="26" t="str">
        <f>IF(OR(E2025="",E2025="!!!",F2025="NEW"),"",COUNTBLANK(OFFSET(A$1,,,SUMPRODUCT(MAX(ROW(E$2:E2025)*(E2025=E$2:E2025)))))-COUNTBLANK(OFFSET(A$1,,,SUMPRODUCT(MAX(ROW(E$1:E2024)*(E2=E$1:E2024))))))</f>
        <v> </v>
      </c>
      <c r="K2025" s="26" t="str">
        <f>IF(OR(E2025="",E2025="!!!",F2025="NEW"),"",INDEX(J$1:J2024,SUMPRODUCT(MAX(ROW(E$1:E2024)*(E2025=E$1:E2024)))))</f>
        <v> </v>
      </c>
      <c r="L2025" s="27"/>
    </row>
    <row r="2026" spans="1:12">
      <c r="A2026" s="20" t="s">
        <v>1535</v>
      </c>
      <c r="E2026" s="22">
        <f>IF(D2026="?OLD","!!!","")</f>
        <v/>
      </c>
      <c r="F2026" s="23" t="str">
        <f>IF(OR(E2026="",E2026="!!!"),"",IF(NOT(ISNA(VLOOKUP(E2026,E$1:E2025,1,FALSE()))),"OLD",IF(AND(E2026&lt;&gt;"",E2026&lt;&gt;"!!!"),"NEW","")))</f>
        <v> </v>
      </c>
      <c r="G2026" s="24" t="str">
        <f>IF(OR(E2026="",E2026="!!!"),"",IF(OR(J2026=0,AND(J2026=1,K2026=1),AND(J2026=1,I2026="SBJ"),AND(J2026=1,I2026=0)),"?IN_FOCUS",IF(J2026&lt;=2,"?ACTIVATED",IF(J2026&lt;&gt;"","?FAMILIAR",IF(F2026="NEW",IF(ISNA(VLOOKUP(E2026,#REF!,1,FALSE())),"?TYPE_IDENTIFIABLE","?REFERENTIAL"),"_")))))</f>
        <v> </v>
      </c>
      <c r="H2026" s="25" t="str">
        <f>IF(J2026&lt;&gt;1,"",IF(I2026="SBJ","CB","?"))</f>
        <v> </v>
      </c>
      <c r="I2026" s="26" t="str">
        <f>IF(OR(E2026="",E2026="!!!",F2026="NEW"),"",INDEX(B2025:B$2,-1+SUMPRODUCT(MAX(ROW(E2025:E$2)*(E2026=E2025:E$2)))))</f>
        <v> </v>
      </c>
      <c r="J2026" s="26" t="str">
        <f>IF(OR(E2026="",E2026="!!!",F2026="NEW"),"",COUNTBLANK(OFFSET(A$1,,,SUMPRODUCT(MAX(ROW(E$2:E2026)*(E2026=E$2:E2026)))))-COUNTBLANK(OFFSET(A$1,,,SUMPRODUCT(MAX(ROW(E$1:E2025)*(E2=E$1:E2025))))))</f>
        <v> </v>
      </c>
      <c r="K2026" s="26" t="str">
        <f>IF(OR(E2026="",E2026="!!!",F2026="NEW"),"",INDEX(J$1:J2025,SUMPRODUCT(MAX(ROW(E$1:E2025)*(E2026=E$1:E2025)))))</f>
        <v> </v>
      </c>
      <c r="L2026" s="27"/>
    </row>
    <row r="2027" spans="1:12">
      <c r="A2027" s="20" t="s">
        <v>1536</v>
      </c>
      <c r="B2027" s="21" t="s">
        <v>764</v>
      </c>
      <c r="C2027" s="21" t="s">
        <v>748</v>
      </c>
      <c r="E2027" s="22">
        <f>IF(D2027="?OLD","!!!","")</f>
        <v/>
      </c>
      <c r="F2027" s="23" t="str">
        <f>IF(OR(E2027="",E2027="!!!"),"",IF(NOT(ISNA(VLOOKUP(E2027,E$1:E2026,1,FALSE()))),"OLD",IF(AND(E2027&lt;&gt;"",E2027&lt;&gt;"!!!"),"NEW","")))</f>
        <v> </v>
      </c>
      <c r="G2027" s="24" t="str">
        <f>IF(OR(E2027="",E2027="!!!"),"",IF(OR(J2027=0,AND(J2027=1,K2027=1),AND(J2027=1,I2027="SBJ"),AND(J2027=1,I2027=0)),"?IN_FOCUS",IF(J2027&lt;=2,"?ACTIVATED",IF(J2027&lt;&gt;"","?FAMILIAR",IF(F2027="NEW",IF(ISNA(VLOOKUP(E2027,#REF!,1,FALSE())),"?TYPE_IDENTIFIABLE","?REFERENTIAL"),"_")))))</f>
        <v> </v>
      </c>
      <c r="H2027" s="25" t="str">
        <f>IF(J2027&lt;&gt;1,"",IF(I2027="SBJ","CB","?"))</f>
        <v> </v>
      </c>
      <c r="I2027" s="26" t="str">
        <f>IF(OR(E2027="",E2027="!!!",F2027="NEW"),"",INDEX(B2026:B$2,-1+SUMPRODUCT(MAX(ROW(E2026:E$2)*(E2027=E2026:E$2)))))</f>
        <v> </v>
      </c>
      <c r="J2027" s="26" t="str">
        <f>IF(OR(E2027="",E2027="!!!",F2027="NEW"),"",COUNTBLANK(OFFSET(A$1,,,SUMPRODUCT(MAX(ROW(E$2:E2027)*(E2027=E$2:E2027)))))-COUNTBLANK(OFFSET(A$1,,,SUMPRODUCT(MAX(ROW(E$1:E2026)*(E2=E$1:E2026))))))</f>
        <v> </v>
      </c>
      <c r="K2027" s="26" t="str">
        <f>IF(OR(E2027="",E2027="!!!",F2027="NEW"),"",INDEX(J$1:J2026,SUMPRODUCT(MAX(ROW(E$1:E2026)*(E2027=E$1:E2026)))))</f>
        <v> </v>
      </c>
      <c r="L2027" s="27"/>
    </row>
    <row r="2028" spans="1:12">
      <c r="A2028" s="20" t="s">
        <v>759</v>
      </c>
      <c r="E2028" s="22">
        <f>IF(D2028="?OLD","!!!","")</f>
        <v/>
      </c>
      <c r="F2028" s="23" t="str">
        <f>IF(OR(E2028="",E2028="!!!"),"",IF(NOT(ISNA(VLOOKUP(E2028,E$1:E2027,1,FALSE()))),"OLD",IF(AND(E2028&lt;&gt;"",E2028&lt;&gt;"!!!"),"NEW","")))</f>
        <v> </v>
      </c>
      <c r="G2028" s="24" t="str">
        <f>IF(OR(E2028="",E2028="!!!"),"",IF(OR(J2028=0,AND(J2028=1,K2028=1),AND(J2028=1,I2028="SBJ"),AND(J2028=1,I2028=0)),"?IN_FOCUS",IF(J2028&lt;=2,"?ACTIVATED",IF(J2028&lt;&gt;"","?FAMILIAR",IF(F2028="NEW",IF(ISNA(VLOOKUP(E2028,#REF!,1,FALSE())),"?TYPE_IDENTIFIABLE","?REFERENTIAL"),"_")))))</f>
        <v> </v>
      </c>
      <c r="H2028" s="25" t="str">
        <f>IF(J2028&lt;&gt;1,"",IF(I2028="SBJ","CB","?"))</f>
        <v> </v>
      </c>
      <c r="I2028" s="26" t="str">
        <f>IF(OR(E2028="",E2028="!!!",F2028="NEW"),"",INDEX(B2027:B$2,-1+SUMPRODUCT(MAX(ROW(E2027:E$2)*(E2028=E2027:E$2)))))</f>
        <v> </v>
      </c>
      <c r="J2028" s="26" t="str">
        <f>IF(OR(E2028="",E2028="!!!",F2028="NEW"),"",COUNTBLANK(OFFSET(A$1,,,SUMPRODUCT(MAX(ROW(E$2:E2028)*(E2028=E$2:E2028)))))-COUNTBLANK(OFFSET(A$1,,,SUMPRODUCT(MAX(ROW(E$1:E2027)*(E2=E$1:E2027))))))</f>
        <v> </v>
      </c>
      <c r="K2028" s="26" t="str">
        <f>IF(OR(E2028="",E2028="!!!",F2028="NEW"),"",INDEX(J$1:J2027,SUMPRODUCT(MAX(ROW(E$1:E2027)*(E2028=E$1:E2027)))))</f>
        <v> </v>
      </c>
      <c r="L2028" s="27"/>
    </row>
    <row r="2029" spans="1:12">
      <c r="A2029" s="20" t="s">
        <v>813</v>
      </c>
      <c r="B2029" s="21" t="s">
        <v>791</v>
      </c>
      <c r="E2029" s="22">
        <f>IF(D2029="?OLD","!!!","")</f>
        <v/>
      </c>
      <c r="F2029" s="23" t="str">
        <f>IF(OR(E2029="",E2029="!!!"),"",IF(NOT(ISNA(VLOOKUP(E2029,E$1:E2028,1,FALSE()))),"OLD",IF(AND(E2029&lt;&gt;"",E2029&lt;&gt;"!!!"),"NEW","")))</f>
        <v> </v>
      </c>
      <c r="G2029" s="24" t="str">
        <f>IF(OR(E2029="",E2029="!!!"),"",IF(OR(J2029=0,AND(J2029=1,K2029=1),AND(J2029=1,I2029="SBJ"),AND(J2029=1,I2029=0)),"?IN_FOCUS",IF(J2029&lt;=2,"?ACTIVATED",IF(J2029&lt;&gt;"","?FAMILIAR",IF(F2029="NEW",IF(ISNA(VLOOKUP(E2029,#REF!,1,FALSE())),"?TYPE_IDENTIFIABLE","?REFERENTIAL"),"_")))))</f>
        <v> </v>
      </c>
      <c r="H2029" s="25" t="str">
        <f>IF(J2029&lt;&gt;1,"",IF(I2029="SBJ","CB","?"))</f>
        <v> </v>
      </c>
      <c r="I2029" s="26" t="str">
        <f>IF(OR(E2029="",E2029="!!!",F2029="NEW"),"",INDEX(B2028:B$2,-1+SUMPRODUCT(MAX(ROW(E2028:E$2)*(E2029=E2028:E$2)))))</f>
        <v> </v>
      </c>
      <c r="J2029" s="26" t="str">
        <f>IF(OR(E2029="",E2029="!!!",F2029="NEW"),"",COUNTBLANK(OFFSET(A$1,,,SUMPRODUCT(MAX(ROW(E$2:E2029)*(E2029=E$2:E2029)))))-COUNTBLANK(OFFSET(A$1,,,SUMPRODUCT(MAX(ROW(E$1:E2028)*(E2=E$1:E2028))))))</f>
        <v> </v>
      </c>
      <c r="K2029" s="26" t="str">
        <f>IF(OR(E2029="",E2029="!!!",F2029="NEW"),"",INDEX(J$1:J2028,SUMPRODUCT(MAX(ROW(E$1:E2028)*(E2029=E$1:E2028)))))</f>
        <v> </v>
      </c>
      <c r="L2029" s="27"/>
    </row>
    <row r="2030" spans="1:12">
      <c r="A2030" s="20" t="s">
        <v>859</v>
      </c>
      <c r="B2030" s="21" t="s">
        <v>796</v>
      </c>
      <c r="C2030" s="21" t="s">
        <v>789</v>
      </c>
      <c r="D2030" s="21" t="s">
        <v>730</v>
      </c>
      <c r="E2030" s="22">
        <f>IF(D2030="?OLD","!!!","")</f>
        <v/>
      </c>
      <c r="F2030" s="23" t="str">
        <f>IF(OR(E2030="",E2030="!!!"),"",IF(NOT(ISNA(VLOOKUP(E2030,E$1:E2029,1,FALSE()))),"OLD",IF(AND(E2030&lt;&gt;"",E2030&lt;&gt;"!!!"),"NEW","")))</f>
        <v> </v>
      </c>
      <c r="G2030" s="24" t="str">
        <f>IF(OR(E2030="",E2030="!!!"),"",IF(OR(J2030=0,AND(J2030=1,K2030=1),AND(J2030=1,I2030="SBJ"),AND(J2030=1,I2030=0)),"?IN_FOCUS",IF(J2030&lt;=2,"?ACTIVATED",IF(J2030&lt;&gt;"","?FAMILIAR",IF(F2030="NEW",IF(ISNA(VLOOKUP(E2030,#REF!,1,FALSE())),"?TYPE_IDENTIFIABLE","?REFERENTIAL"),"_")))))</f>
        <v> </v>
      </c>
      <c r="H2030" s="25" t="str">
        <f>IF(J2030&lt;&gt;1,"",IF(I2030="SBJ","CB","?"))</f>
        <v> </v>
      </c>
      <c r="I2030" s="26" t="str">
        <f>IF(OR(E2030="",E2030="!!!",F2030="NEW"),"",INDEX(B2029:B$2,-1+SUMPRODUCT(MAX(ROW(E2029:E$2)*(E2030=E2029:E$2)))))</f>
        <v> </v>
      </c>
      <c r="J2030" s="26" t="str">
        <f>IF(OR(E2030="",E2030="!!!",F2030="NEW"),"",COUNTBLANK(OFFSET(A$1,,,SUMPRODUCT(MAX(ROW(E$2:E2030)*(E2030=E$2:E2030)))))-COUNTBLANK(OFFSET(A$1,,,SUMPRODUCT(MAX(ROW(E$1:E2029)*(E2=E$1:E2029))))))</f>
        <v> </v>
      </c>
      <c r="K2030" s="26" t="str">
        <f>IF(OR(E2030="",E2030="!!!",F2030="NEW"),"",INDEX(J$1:J2029,SUMPRODUCT(MAX(ROW(E$1:E2029)*(E2030=E$1:E2029)))))</f>
        <v> </v>
      </c>
      <c r="L2030" s="27"/>
    </row>
    <row r="2031" spans="1:12">
      <c r="A2031" s="20" t="s">
        <v>1537</v>
      </c>
      <c r="E2031" s="22">
        <f>IF(D2031="?OLD","!!!","")</f>
        <v/>
      </c>
      <c r="F2031" s="23" t="str">
        <f>IF(OR(E2031="",E2031="!!!"),"",IF(NOT(ISNA(VLOOKUP(E2031,E$1:E2030,1,FALSE()))),"OLD",IF(AND(E2031&lt;&gt;"",E2031&lt;&gt;"!!!"),"NEW","")))</f>
        <v> </v>
      </c>
      <c r="G2031" s="24" t="str">
        <f>IF(OR(E2031="",E2031="!!!"),"",IF(OR(J2031=0,AND(J2031=1,K2031=1),AND(J2031=1,I2031="SBJ"),AND(J2031=1,I2031=0)),"?IN_FOCUS",IF(J2031&lt;=2,"?ACTIVATED",IF(J2031&lt;&gt;"","?FAMILIAR",IF(F2031="NEW",IF(ISNA(VLOOKUP(E2031,#REF!,1,FALSE())),"?TYPE_IDENTIFIABLE","?REFERENTIAL"),"_")))))</f>
        <v> </v>
      </c>
      <c r="H2031" s="25" t="str">
        <f>IF(J2031&lt;&gt;1,"",IF(I2031="SBJ","CB","?"))</f>
        <v> </v>
      </c>
      <c r="I2031" s="26" t="str">
        <f>IF(OR(E2031="",E2031="!!!",F2031="NEW"),"",INDEX(B2030:B$2,-1+SUMPRODUCT(MAX(ROW(E2030:E$2)*(E2031=E2030:E$2)))))</f>
        <v> </v>
      </c>
      <c r="J2031" s="26" t="str">
        <f>IF(OR(E2031="",E2031="!!!",F2031="NEW"),"",COUNTBLANK(OFFSET(A$1,,,SUMPRODUCT(MAX(ROW(E$2:E2031)*(E2031=E$2:E2031)))))-COUNTBLANK(OFFSET(A$1,,,SUMPRODUCT(MAX(ROW(E$1:E2030)*(E2=E$1:E2030))))))</f>
        <v> </v>
      </c>
      <c r="K2031" s="26" t="str">
        <f>IF(OR(E2031="",E2031="!!!",F2031="NEW"),"",INDEX(J$1:J2030,SUMPRODUCT(MAX(ROW(E$1:E2030)*(E2031=E$1:E2030)))))</f>
        <v> </v>
      </c>
      <c r="L2031" s="27"/>
    </row>
    <row r="2032" spans="1:12">
      <c r="A2032" s="20" t="s">
        <v>1252</v>
      </c>
      <c r="E2032" s="22">
        <f>IF(D2032="?OLD","!!!","")</f>
        <v/>
      </c>
      <c r="F2032" s="23" t="str">
        <f>IF(OR(E2032="",E2032="!!!"),"",IF(NOT(ISNA(VLOOKUP(E2032,E$1:E2031,1,FALSE()))),"OLD",IF(AND(E2032&lt;&gt;"",E2032&lt;&gt;"!!!"),"NEW","")))</f>
        <v> </v>
      </c>
      <c r="G2032" s="24" t="str">
        <f>IF(OR(E2032="",E2032="!!!"),"",IF(OR(J2032=0,AND(J2032=1,K2032=1),AND(J2032=1,I2032="SBJ"),AND(J2032=1,I2032=0)),"?IN_FOCUS",IF(J2032&lt;=2,"?ACTIVATED",IF(J2032&lt;&gt;"","?FAMILIAR",IF(F2032="NEW",IF(ISNA(VLOOKUP(E2032,#REF!,1,FALSE())),"?TYPE_IDENTIFIABLE","?REFERENTIAL"),"_")))))</f>
        <v> </v>
      </c>
      <c r="H2032" s="25" t="str">
        <f>IF(J2032&lt;&gt;1,"",IF(I2032="SBJ","CB","?"))</f>
        <v> </v>
      </c>
      <c r="I2032" s="26" t="str">
        <f>IF(OR(E2032="",E2032="!!!",F2032="NEW"),"",INDEX(B2031:B$2,-1+SUMPRODUCT(MAX(ROW(E2031:E$2)*(E2032=E2031:E$2)))))</f>
        <v> </v>
      </c>
      <c r="J2032" s="26" t="str">
        <f>IF(OR(E2032="",E2032="!!!",F2032="NEW"),"",COUNTBLANK(OFFSET(A$1,,,SUMPRODUCT(MAX(ROW(E$2:E2032)*(E2032=E$2:E2032)))))-COUNTBLANK(OFFSET(A$1,,,SUMPRODUCT(MAX(ROW(E$1:E2031)*(E2=E$1:E2031))))))</f>
        <v> </v>
      </c>
      <c r="K2032" s="26" t="str">
        <f>IF(OR(E2032="",E2032="!!!",F2032="NEW"),"",INDEX(J$1:J2031,SUMPRODUCT(MAX(ROW(E$1:E2031)*(E2032=E$1:E2031)))))</f>
        <v> </v>
      </c>
      <c r="L2032" s="27"/>
    </row>
    <row r="2033" spans="1:12">
      <c r="A2033" s="20" t="s">
        <v>759</v>
      </c>
      <c r="E2033" s="22">
        <f>IF(D2033="?OLD","!!!","")</f>
        <v/>
      </c>
      <c r="F2033" s="23" t="str">
        <f>IF(OR(E2033="",E2033="!!!"),"",IF(NOT(ISNA(VLOOKUP(E2033,E$1:E2032,1,FALSE()))),"OLD",IF(AND(E2033&lt;&gt;"",E2033&lt;&gt;"!!!"),"NEW","")))</f>
        <v> </v>
      </c>
      <c r="G2033" s="24" t="str">
        <f>IF(OR(E2033="",E2033="!!!"),"",IF(OR(J2033=0,AND(J2033=1,K2033=1),AND(J2033=1,I2033="SBJ"),AND(J2033=1,I2033=0)),"?IN_FOCUS",IF(J2033&lt;=2,"?ACTIVATED",IF(J2033&lt;&gt;"","?FAMILIAR",IF(F2033="NEW",IF(ISNA(VLOOKUP(E2033,#REF!,1,FALSE())),"?TYPE_IDENTIFIABLE","?REFERENTIAL"),"_")))))</f>
        <v> </v>
      </c>
      <c r="H2033" s="25" t="str">
        <f>IF(J2033&lt;&gt;1,"",IF(I2033="SBJ","CB","?"))</f>
        <v> </v>
      </c>
      <c r="I2033" s="26" t="str">
        <f>IF(OR(E2033="",E2033="!!!",F2033="NEW"),"",INDEX(B2032:B$2,-1+SUMPRODUCT(MAX(ROW(E2032:E$2)*(E2033=E2032:E$2)))))</f>
        <v> </v>
      </c>
      <c r="J2033" s="26" t="str">
        <f>IF(OR(E2033="",E2033="!!!",F2033="NEW"),"",COUNTBLANK(OFFSET(A$1,,,SUMPRODUCT(MAX(ROW(E$2:E2033)*(E2033=E$2:E2033)))))-COUNTBLANK(OFFSET(A$1,,,SUMPRODUCT(MAX(ROW(E$1:E2032)*(E2=E$1:E2032))))))</f>
        <v> </v>
      </c>
      <c r="K2033" s="26" t="str">
        <f>IF(OR(E2033="",E2033="!!!",F2033="NEW"),"",INDEX(J$1:J2032,SUMPRODUCT(MAX(ROW(E$1:E2032)*(E2033=E$1:E2032)))))</f>
        <v> </v>
      </c>
      <c r="L2033" s="27"/>
    </row>
    <row r="2034" spans="1:12">
      <c r="A2034" s="20" t="s">
        <v>813</v>
      </c>
      <c r="B2034" s="21" t="s">
        <v>796</v>
      </c>
      <c r="E2034" s="22">
        <f>IF(D2034="?OLD","!!!","")</f>
        <v/>
      </c>
      <c r="F2034" s="23" t="str">
        <f>IF(OR(E2034="",E2034="!!!"),"",IF(NOT(ISNA(VLOOKUP(E2034,E$1:E2033,1,FALSE()))),"OLD",IF(AND(E2034&lt;&gt;"",E2034&lt;&gt;"!!!"),"NEW","")))</f>
        <v> </v>
      </c>
      <c r="G2034" s="24" t="str">
        <f>IF(OR(E2034="",E2034="!!!"),"",IF(OR(J2034=0,AND(J2034=1,K2034=1),AND(J2034=1,I2034="SBJ"),AND(J2034=1,I2034=0)),"?IN_FOCUS",IF(J2034&lt;=2,"?ACTIVATED",IF(J2034&lt;&gt;"","?FAMILIAR",IF(F2034="NEW",IF(ISNA(VLOOKUP(E2034,#REF!,1,FALSE())),"?TYPE_IDENTIFIABLE","?REFERENTIAL"),"_")))))</f>
        <v> </v>
      </c>
      <c r="H2034" s="25" t="str">
        <f>IF(J2034&lt;&gt;1,"",IF(I2034="SBJ","CB","?"))</f>
        <v> </v>
      </c>
      <c r="I2034" s="26" t="str">
        <f>IF(OR(E2034="",E2034="!!!",F2034="NEW"),"",INDEX(B2033:B$2,-1+SUMPRODUCT(MAX(ROW(E2033:E$2)*(E2034=E2033:E$2)))))</f>
        <v> </v>
      </c>
      <c r="J2034" s="26" t="str">
        <f>IF(OR(E2034="",E2034="!!!",F2034="NEW"),"",COUNTBLANK(OFFSET(A$1,,,SUMPRODUCT(MAX(ROW(E$2:E2034)*(E2034=E$2:E2034)))))-COUNTBLANK(OFFSET(A$1,,,SUMPRODUCT(MAX(ROW(E$1:E2033)*(E2=E$1:E2033))))))</f>
        <v> </v>
      </c>
      <c r="K2034" s="26" t="str">
        <f>IF(OR(E2034="",E2034="!!!",F2034="NEW"),"",INDEX(J$1:J2033,SUMPRODUCT(MAX(ROW(E$1:E2033)*(E2034=E$1:E2033)))))</f>
        <v> </v>
      </c>
      <c r="L2034" s="27"/>
    </row>
    <row r="2035" spans="1:12">
      <c r="A2035" s="20" t="s">
        <v>922</v>
      </c>
      <c r="E2035" s="22">
        <f>IF(D2035="?OLD","!!!","")</f>
        <v/>
      </c>
      <c r="F2035" s="23" t="str">
        <f>IF(OR(E2035="",E2035="!!!"),"",IF(NOT(ISNA(VLOOKUP(E2035,E$1:E2034,1,FALSE()))),"OLD",IF(AND(E2035&lt;&gt;"",E2035&lt;&gt;"!!!"),"NEW","")))</f>
        <v> </v>
      </c>
      <c r="G2035" s="24" t="str">
        <f>IF(OR(E2035="",E2035="!!!"),"",IF(OR(J2035=0,AND(J2035=1,K2035=1),AND(J2035=1,I2035="SBJ"),AND(J2035=1,I2035=0)),"?IN_FOCUS",IF(J2035&lt;=2,"?ACTIVATED",IF(J2035&lt;&gt;"","?FAMILIAR",IF(F2035="NEW",IF(ISNA(VLOOKUP(E2035,#REF!,1,FALSE())),"?TYPE_IDENTIFIABLE","?REFERENTIAL"),"_")))))</f>
        <v> </v>
      </c>
      <c r="H2035" s="25" t="str">
        <f>IF(J2035&lt;&gt;1,"",IF(I2035="SBJ","CB","?"))</f>
        <v> </v>
      </c>
      <c r="I2035" s="26" t="str">
        <f>IF(OR(E2035="",E2035="!!!",F2035="NEW"),"",INDEX(B2034:B$2,-1+SUMPRODUCT(MAX(ROW(E2034:E$2)*(E2035=E2034:E$2)))))</f>
        <v> </v>
      </c>
      <c r="J2035" s="26" t="str">
        <f>IF(OR(E2035="",E2035="!!!",F2035="NEW"),"",COUNTBLANK(OFFSET(A$1,,,SUMPRODUCT(MAX(ROW(E$2:E2035)*(E2035=E$2:E2035)))))-COUNTBLANK(OFFSET(A$1,,,SUMPRODUCT(MAX(ROW(E$1:E2034)*(E2=E$1:E2034))))))</f>
        <v> </v>
      </c>
      <c r="K2035" s="26" t="str">
        <f>IF(OR(E2035="",E2035="!!!",F2035="NEW"),"",INDEX(J$1:J2034,SUMPRODUCT(MAX(ROW(E$1:E2034)*(E2035=E$1:E2034)))))</f>
        <v> </v>
      </c>
      <c r="L2035" s="27"/>
    </row>
    <row r="2036" spans="1:12">
      <c r="A2036" s="20" t="s">
        <v>1538</v>
      </c>
      <c r="B2036" s="21" t="s">
        <v>791</v>
      </c>
      <c r="C2036" s="21" t="s">
        <v>737</v>
      </c>
      <c r="E2036" s="22">
        <f>IF(D2036="?OLD","!!!","")</f>
        <v/>
      </c>
      <c r="F2036" s="23" t="str">
        <f>IF(OR(E2036="",E2036="!!!"),"",IF(NOT(ISNA(VLOOKUP(E2036,E$1:E2035,1,FALSE()))),"OLD",IF(AND(E2036&lt;&gt;"",E2036&lt;&gt;"!!!"),"NEW","")))</f>
        <v> </v>
      </c>
      <c r="G2036" s="24" t="str">
        <f>IF(OR(E2036="",E2036="!!!"),"",IF(OR(J2036=0,AND(J2036=1,K2036=1),AND(J2036=1,I2036="SBJ"),AND(J2036=1,I2036=0)),"?IN_FOCUS",IF(J2036&lt;=2,"?ACTIVATED",IF(J2036&lt;&gt;"","?FAMILIAR",IF(F2036="NEW",IF(ISNA(VLOOKUP(E2036,#REF!,1,FALSE())),"?TYPE_IDENTIFIABLE","?REFERENTIAL"),"_")))))</f>
        <v> </v>
      </c>
      <c r="H2036" s="25" t="str">
        <f>IF(J2036&lt;&gt;1,"",IF(I2036="SBJ","CB","?"))</f>
        <v> </v>
      </c>
      <c r="I2036" s="26" t="str">
        <f>IF(OR(E2036="",E2036="!!!",F2036="NEW"),"",INDEX(B2035:B$2,-1+SUMPRODUCT(MAX(ROW(E2035:E$2)*(E2036=E2035:E$2)))))</f>
        <v> </v>
      </c>
      <c r="J2036" s="26" t="str">
        <f>IF(OR(E2036="",E2036="!!!",F2036="NEW"),"",COUNTBLANK(OFFSET(A$1,,,SUMPRODUCT(MAX(ROW(E$2:E2036)*(E2036=E$2:E2036)))))-COUNTBLANK(OFFSET(A$1,,,SUMPRODUCT(MAX(ROW(E$1:E2035)*(E2=E$1:E2035))))))</f>
        <v> </v>
      </c>
      <c r="K2036" s="26" t="str">
        <f>IF(OR(E2036="",E2036="!!!",F2036="NEW"),"",INDEX(J$1:J2035,SUMPRODUCT(MAX(ROW(E$1:E2035)*(E2036=E$1:E2035)))))</f>
        <v> </v>
      </c>
      <c r="L2036" s="27"/>
    </row>
    <row r="2037" spans="1:12">
      <c r="A2037" s="20" t="s">
        <v>1539</v>
      </c>
      <c r="E2037" s="22">
        <f>IF(D2037="?OLD","!!!","")</f>
        <v/>
      </c>
      <c r="F2037" s="23" t="str">
        <f>IF(OR(E2037="",E2037="!!!"),"",IF(NOT(ISNA(VLOOKUP(E2037,E$1:E2036,1,FALSE()))),"OLD",IF(AND(E2037&lt;&gt;"",E2037&lt;&gt;"!!!"),"NEW","")))</f>
        <v> </v>
      </c>
      <c r="G2037" s="24" t="str">
        <f>IF(OR(E2037="",E2037="!!!"),"",IF(OR(J2037=0,AND(J2037=1,K2037=1),AND(J2037=1,I2037="SBJ"),AND(J2037=1,I2037=0)),"?IN_FOCUS",IF(J2037&lt;=2,"?ACTIVATED",IF(J2037&lt;&gt;"","?FAMILIAR",IF(F2037="NEW",IF(ISNA(VLOOKUP(E2037,#REF!,1,FALSE())),"?TYPE_IDENTIFIABLE","?REFERENTIAL"),"_")))))</f>
        <v> </v>
      </c>
      <c r="H2037" s="25" t="str">
        <f>IF(J2037&lt;&gt;1,"",IF(I2037="SBJ","CB","?"))</f>
        <v> </v>
      </c>
      <c r="I2037" s="26" t="str">
        <f>IF(OR(E2037="",E2037="!!!",F2037="NEW"),"",INDEX(B2036:B$2,-1+SUMPRODUCT(MAX(ROW(E2036:E$2)*(E2037=E2036:E$2)))))</f>
        <v> </v>
      </c>
      <c r="J2037" s="26" t="str">
        <f>IF(OR(E2037="",E2037="!!!",F2037="NEW"),"",COUNTBLANK(OFFSET(A$1,,,SUMPRODUCT(MAX(ROW(E$2:E2037)*(E2037=E$2:E2037)))))-COUNTBLANK(OFFSET(A$1,,,SUMPRODUCT(MAX(ROW(E$1:E2036)*(E2=E$1:E2036))))))</f>
        <v> </v>
      </c>
      <c r="K2037" s="26" t="str">
        <f>IF(OR(E2037="",E2037="!!!",F2037="NEW"),"",INDEX(J$1:J2036,SUMPRODUCT(MAX(ROW(E$1:E2036)*(E2037=E$1:E2036)))))</f>
        <v> </v>
      </c>
      <c r="L2037" s="27"/>
    </row>
    <row r="2038" spans="1:12">
      <c r="A2038" s="20" t="s">
        <v>246</v>
      </c>
      <c r="E2038" s="22">
        <f>IF(D2038="?OLD","!!!","")</f>
        <v/>
      </c>
      <c r="F2038" s="23" t="str">
        <f>IF(OR(E2038="",E2038="!!!"),"",IF(NOT(ISNA(VLOOKUP(E2038,E$1:E2037,1,FALSE()))),"OLD",IF(AND(E2038&lt;&gt;"",E2038&lt;&gt;"!!!"),"NEW","")))</f>
        <v> </v>
      </c>
      <c r="G2038" s="24" t="str">
        <f>IF(OR(E2038="",E2038="!!!"),"",IF(OR(J2038=0,AND(J2038=1,K2038=1),AND(J2038=1,I2038="SBJ"),AND(J2038=1,I2038=0)),"?IN_FOCUS",IF(J2038&lt;=2,"?ACTIVATED",IF(J2038&lt;&gt;"","?FAMILIAR",IF(F2038="NEW",IF(ISNA(VLOOKUP(E2038,#REF!,1,FALSE())),"?TYPE_IDENTIFIABLE","?REFERENTIAL"),"_")))))</f>
        <v> </v>
      </c>
      <c r="H2038" s="25" t="str">
        <f>IF(J2038&lt;&gt;1,"",IF(I2038="SBJ","CB","?"))</f>
        <v> </v>
      </c>
      <c r="I2038" s="26" t="str">
        <f>IF(OR(E2038="",E2038="!!!",F2038="NEW"),"",INDEX(B2037:B$2,-1+SUMPRODUCT(MAX(ROW(E2037:E$2)*(E2038=E2037:E$2)))))</f>
        <v> </v>
      </c>
      <c r="J2038" s="26" t="str">
        <f>IF(OR(E2038="",E2038="!!!",F2038="NEW"),"",COUNTBLANK(OFFSET(A$1,,,SUMPRODUCT(MAX(ROW(E$2:E2038)*(E2038=E$2:E2038)))))-COUNTBLANK(OFFSET(A$1,,,SUMPRODUCT(MAX(ROW(E$1:E2037)*(E2=E$1:E2037))))))</f>
        <v> </v>
      </c>
      <c r="K2038" s="26" t="str">
        <f>IF(OR(E2038="",E2038="!!!",F2038="NEW"),"",INDEX(J$1:J2037,SUMPRODUCT(MAX(ROW(E$1:E2037)*(E2038=E$1:E2037)))))</f>
        <v> </v>
      </c>
      <c r="L2038" s="27"/>
    </row>
    <row r="2039" spans="1:12">
      <c r="A2039" s="20"/>
    </row>
    <row r="2040" spans="1:12">
      <c r="A2040" s="20" t="s">
        <v>1540</v>
      </c>
    </row>
    <row r="2041" spans="1:12">
      <c r="A2041" s="20" t="s">
        <v>1541</v>
      </c>
      <c r="B2041" s="21" t="s">
        <v>739</v>
      </c>
      <c r="C2041" s="21" t="s">
        <v>746</v>
      </c>
      <c r="D2041" s="21" t="s">
        <v>730</v>
      </c>
      <c r="E2041" s="22">
        <f>IF(D2041="?OLD","!!!","")</f>
        <v/>
      </c>
      <c r="F2041" s="23" t="str">
        <f>IF(OR(E2041="",E2041="!!!"),"",IF(NOT(ISNA(VLOOKUP(E2041,E$1:E2040,1,FALSE()))),"OLD",IF(AND(E2041&lt;&gt;"",E2041&lt;&gt;"!!!"),"NEW","")))</f>
        <v> </v>
      </c>
      <c r="G2041" s="24" t="str">
        <f>IF(OR(E2041="",E2041="!!!"),"",IF(OR(J2041=0,AND(J2041=1,K2041=1),AND(J2041=1,I2041="SBJ"),AND(J2041=1,I2041=0)),"?IN_FOCUS",IF(J2041&lt;=2,"?ACTIVATED",IF(J2041&lt;&gt;"","?FAMILIAR",IF(F2041="NEW",IF(ISNA(VLOOKUP(E2041,#REF!,1,FALSE())),"?TYPE_IDENTIFIABLE","?REFERENTIAL"),"_")))))</f>
        <v> </v>
      </c>
      <c r="H2041" s="25" t="str">
        <f>IF(J2041&lt;&gt;1,"",IF(I2041="SBJ","CB","?"))</f>
        <v> </v>
      </c>
      <c r="I2041" s="26" t="str">
        <f>IF(OR(E2041="",E2041="!!!",F2041="NEW"),"",INDEX(B2040:B$2,-1+SUMPRODUCT(MAX(ROW(E2040:E$2)*(E2041=E2040:E$2)))))</f>
        <v> </v>
      </c>
      <c r="J2041" s="26" t="str">
        <f>IF(OR(E2041="",E2041="!!!",F2041="NEW"),"",COUNTBLANK(OFFSET(A$1,,,SUMPRODUCT(MAX(ROW(E$2:E2041)*(E2041=E$2:E2041)))))-COUNTBLANK(OFFSET(A$1,,,SUMPRODUCT(MAX(ROW(E$1:E2040)*(E2=E$1:E2040))))))</f>
        <v> </v>
      </c>
      <c r="K2041" s="26" t="str">
        <f>IF(OR(E2041="",E2041="!!!",F2041="NEW"),"",INDEX(J$1:J2040,SUMPRODUCT(MAX(ROW(E$1:E2040)*(E2041=E$1:E2040)))))</f>
        <v> </v>
      </c>
      <c r="L2041" s="27"/>
    </row>
    <row r="2042" spans="1:12">
      <c r="A2042" s="20" t="s">
        <v>1542</v>
      </c>
      <c r="B2042" s="21" t="s">
        <v>728</v>
      </c>
      <c r="C2042" s="21" t="s">
        <v>748</v>
      </c>
      <c r="E2042" s="22">
        <f>IF(D2042="?OLD","!!!","")</f>
        <v/>
      </c>
      <c r="F2042" s="23" t="str">
        <f>IF(OR(E2042="",E2042="!!!"),"",IF(NOT(ISNA(VLOOKUP(E2042,E$1:E2041,1,FALSE()))),"OLD",IF(AND(E2042&lt;&gt;"",E2042&lt;&gt;"!!!"),"NEW","")))</f>
        <v> </v>
      </c>
      <c r="G2042" s="24" t="str">
        <f>IF(OR(E2042="",E2042="!!!"),"",IF(OR(J2042=0,AND(J2042=1,K2042=1),AND(J2042=1,I2042="SBJ"),AND(J2042=1,I2042=0)),"?IN_FOCUS",IF(J2042&lt;=2,"?ACTIVATED",IF(J2042&lt;&gt;"","?FAMILIAR",IF(F2042="NEW",IF(ISNA(VLOOKUP(E2042,#REF!,1,FALSE())),"?TYPE_IDENTIFIABLE","?REFERENTIAL"),"_")))))</f>
        <v> </v>
      </c>
      <c r="H2042" s="25" t="str">
        <f>IF(J2042&lt;&gt;1,"",IF(I2042="SBJ","CB","?"))</f>
        <v> </v>
      </c>
      <c r="I2042" s="26" t="str">
        <f>IF(OR(E2042="",E2042="!!!",F2042="NEW"),"",INDEX(B2041:B$2,-1+SUMPRODUCT(MAX(ROW(E2041:E$2)*(E2042=E2041:E$2)))))</f>
        <v> </v>
      </c>
      <c r="J2042" s="26" t="str">
        <f>IF(OR(E2042="",E2042="!!!",F2042="NEW"),"",COUNTBLANK(OFFSET(A$1,,,SUMPRODUCT(MAX(ROW(E$2:E2042)*(E2042=E$2:E2042)))))-COUNTBLANK(OFFSET(A$1,,,SUMPRODUCT(MAX(ROW(E$1:E2041)*(E2=E$1:E2041))))))</f>
        <v> </v>
      </c>
      <c r="K2042" s="26" t="str">
        <f>IF(OR(E2042="",E2042="!!!",F2042="NEW"),"",INDEX(J$1:J2041,SUMPRODUCT(MAX(ROW(E$1:E2041)*(E2042=E$1:E2041)))))</f>
        <v> </v>
      </c>
      <c r="L2042" s="27"/>
    </row>
    <row r="2043" spans="1:12">
      <c r="A2043" s="20" t="s">
        <v>811</v>
      </c>
      <c r="E2043" s="22">
        <f>IF(D2043="?OLD","!!!","")</f>
        <v/>
      </c>
      <c r="F2043" s="23" t="str">
        <f>IF(OR(E2043="",E2043="!!!"),"",IF(NOT(ISNA(VLOOKUP(E2043,E$1:E2042,1,FALSE()))),"OLD",IF(AND(E2043&lt;&gt;"",E2043&lt;&gt;"!!!"),"NEW","")))</f>
        <v> </v>
      </c>
      <c r="G2043" s="24" t="str">
        <f>IF(OR(E2043="",E2043="!!!"),"",IF(OR(J2043=0,AND(J2043=1,K2043=1),AND(J2043=1,I2043="SBJ"),AND(J2043=1,I2043=0)),"?IN_FOCUS",IF(J2043&lt;=2,"?ACTIVATED",IF(J2043&lt;&gt;"","?FAMILIAR",IF(F2043="NEW",IF(ISNA(VLOOKUP(E2043,#REF!,1,FALSE())),"?TYPE_IDENTIFIABLE","?REFERENTIAL"),"_")))))</f>
        <v> </v>
      </c>
      <c r="H2043" s="25" t="str">
        <f>IF(J2043&lt;&gt;1,"",IF(I2043="SBJ","CB","?"))</f>
        <v> </v>
      </c>
      <c r="I2043" s="26" t="str">
        <f>IF(OR(E2043="",E2043="!!!",F2043="NEW"),"",INDEX(B2042:B$2,-1+SUMPRODUCT(MAX(ROW(E2042:E$2)*(E2043=E2042:E$2)))))</f>
        <v> </v>
      </c>
      <c r="J2043" s="26" t="str">
        <f>IF(OR(E2043="",E2043="!!!",F2043="NEW"),"",COUNTBLANK(OFFSET(A$1,,,SUMPRODUCT(MAX(ROW(E$2:E2043)*(E2043=E$2:E2043)))))-COUNTBLANK(OFFSET(A$1,,,SUMPRODUCT(MAX(ROW(E$1:E2042)*(E2=E$1:E2042))))))</f>
        <v> </v>
      </c>
      <c r="K2043" s="26" t="str">
        <f>IF(OR(E2043="",E2043="!!!",F2043="NEW"),"",INDEX(J$1:J2042,SUMPRODUCT(MAX(ROW(E$1:E2042)*(E2043=E$1:E2042)))))</f>
        <v> </v>
      </c>
      <c r="L2043" s="27"/>
    </row>
    <row r="2044" spans="1:12">
      <c r="A2044" s="20" t="s">
        <v>759</v>
      </c>
      <c r="E2044" s="22">
        <f>IF(D2044="?OLD","!!!","")</f>
        <v/>
      </c>
      <c r="F2044" s="23" t="str">
        <f>IF(OR(E2044="",E2044="!!!"),"",IF(NOT(ISNA(VLOOKUP(E2044,E$1:E2043,1,FALSE()))),"OLD",IF(AND(E2044&lt;&gt;"",E2044&lt;&gt;"!!!"),"NEW","")))</f>
        <v> </v>
      </c>
      <c r="G2044" s="24" t="str">
        <f>IF(OR(E2044="",E2044="!!!"),"",IF(OR(J2044=0,AND(J2044=1,K2044=1),AND(J2044=1,I2044="SBJ"),AND(J2044=1,I2044=0)),"?IN_FOCUS",IF(J2044&lt;=2,"?ACTIVATED",IF(J2044&lt;&gt;"","?FAMILIAR",IF(F2044="NEW",IF(ISNA(VLOOKUP(E2044,#REF!,1,FALSE())),"?TYPE_IDENTIFIABLE","?REFERENTIAL"),"_")))))</f>
        <v> </v>
      </c>
      <c r="H2044" s="25" t="str">
        <f>IF(J2044&lt;&gt;1,"",IF(I2044="SBJ","CB","?"))</f>
        <v> </v>
      </c>
      <c r="I2044" s="26" t="str">
        <f>IF(OR(E2044="",E2044="!!!",F2044="NEW"),"",INDEX(B2043:B$2,-1+SUMPRODUCT(MAX(ROW(E2043:E$2)*(E2044=E2043:E$2)))))</f>
        <v> </v>
      </c>
      <c r="J2044" s="26" t="str">
        <f>IF(OR(E2044="",E2044="!!!",F2044="NEW"),"",COUNTBLANK(OFFSET(A$1,,,SUMPRODUCT(MAX(ROW(E$2:E2044)*(E2044=E$2:E2044)))))-COUNTBLANK(OFFSET(A$1,,,SUMPRODUCT(MAX(ROW(E$1:E2043)*(E2=E$1:E2043))))))</f>
        <v> </v>
      </c>
      <c r="K2044" s="26" t="str">
        <f>IF(OR(E2044="",E2044="!!!",F2044="NEW"),"",INDEX(J$1:J2043,SUMPRODUCT(MAX(ROW(E$1:E2043)*(E2044=E$1:E2043)))))</f>
        <v> </v>
      </c>
      <c r="L2044" s="27"/>
    </row>
    <row r="2045" spans="1:12">
      <c r="A2045" s="20" t="s">
        <v>1543</v>
      </c>
      <c r="E2045" s="22">
        <f>IF(D2045="?OLD","!!!","")</f>
        <v/>
      </c>
      <c r="F2045" s="23" t="str">
        <f>IF(OR(E2045="",E2045="!!!"),"",IF(NOT(ISNA(VLOOKUP(E2045,E$1:E2044,1,FALSE()))),"OLD",IF(AND(E2045&lt;&gt;"",E2045&lt;&gt;"!!!"),"NEW","")))</f>
        <v> </v>
      </c>
      <c r="G2045" s="24" t="str">
        <f>IF(OR(E2045="",E2045="!!!"),"",IF(OR(J2045=0,AND(J2045=1,K2045=1),AND(J2045=1,I2045="SBJ"),AND(J2045=1,I2045=0)),"?IN_FOCUS",IF(J2045&lt;=2,"?ACTIVATED",IF(J2045&lt;&gt;"","?FAMILIAR",IF(F2045="NEW",IF(ISNA(VLOOKUP(E2045,#REF!,1,FALSE())),"?TYPE_IDENTIFIABLE","?REFERENTIAL"),"_")))))</f>
        <v> </v>
      </c>
      <c r="H2045" s="25" t="str">
        <f>IF(J2045&lt;&gt;1,"",IF(I2045="SBJ","CB","?"))</f>
        <v> </v>
      </c>
      <c r="I2045" s="26" t="str">
        <f>IF(OR(E2045="",E2045="!!!",F2045="NEW"),"",INDEX(B2044:B$2,-1+SUMPRODUCT(MAX(ROW(E2044:E$2)*(E2045=E2044:E$2)))))</f>
        <v> </v>
      </c>
      <c r="J2045" s="26" t="str">
        <f>IF(OR(E2045="",E2045="!!!",F2045="NEW"),"",COUNTBLANK(OFFSET(A$1,,,SUMPRODUCT(MAX(ROW(E$2:E2045)*(E2045=E$2:E2045)))))-COUNTBLANK(OFFSET(A$1,,,SUMPRODUCT(MAX(ROW(E$1:E2044)*(E2=E$1:E2044))))))</f>
        <v> </v>
      </c>
      <c r="K2045" s="26" t="str">
        <f>IF(OR(E2045="",E2045="!!!",F2045="NEW"),"",INDEX(J$1:J2044,SUMPRODUCT(MAX(ROW(E$1:E2044)*(E2045=E$1:E2044)))))</f>
        <v> </v>
      </c>
      <c r="L2045" s="27"/>
    </row>
    <row r="2046" spans="1:12">
      <c r="A2046" s="20" t="s">
        <v>785</v>
      </c>
      <c r="E2046" s="22">
        <f>IF(D2046="?OLD","!!!","")</f>
        <v/>
      </c>
      <c r="F2046" s="23" t="str">
        <f>IF(OR(E2046="",E2046="!!!"),"",IF(NOT(ISNA(VLOOKUP(E2046,E$1:E2045,1,FALSE()))),"OLD",IF(AND(E2046&lt;&gt;"",E2046&lt;&gt;"!!!"),"NEW","")))</f>
        <v> </v>
      </c>
      <c r="G2046" s="24" t="str">
        <f>IF(OR(E2046="",E2046="!!!"),"",IF(OR(J2046=0,AND(J2046=1,K2046=1),AND(J2046=1,I2046="SBJ"),AND(J2046=1,I2046=0)),"?IN_FOCUS",IF(J2046&lt;=2,"?ACTIVATED",IF(J2046&lt;&gt;"","?FAMILIAR",IF(F2046="NEW",IF(ISNA(VLOOKUP(E2046,#REF!,1,FALSE())),"?TYPE_IDENTIFIABLE","?REFERENTIAL"),"_")))))</f>
        <v> </v>
      </c>
      <c r="H2046" s="25" t="str">
        <f>IF(J2046&lt;&gt;1,"",IF(I2046="SBJ","CB","?"))</f>
        <v> </v>
      </c>
      <c r="I2046" s="26" t="str">
        <f>IF(OR(E2046="",E2046="!!!",F2046="NEW"),"",INDEX(B2045:B$2,-1+SUMPRODUCT(MAX(ROW(E2045:E$2)*(E2046=E2045:E$2)))))</f>
        <v> </v>
      </c>
      <c r="J2046" s="26" t="str">
        <f>IF(OR(E2046="",E2046="!!!",F2046="NEW"),"",COUNTBLANK(OFFSET(A$1,,,SUMPRODUCT(MAX(ROW(E$2:E2046)*(E2046=E$2:E2046)))))-COUNTBLANK(OFFSET(A$1,,,SUMPRODUCT(MAX(ROW(E$1:E2045)*(E2=E$1:E2045))))))</f>
        <v> </v>
      </c>
      <c r="K2046" s="26" t="str">
        <f>IF(OR(E2046="",E2046="!!!",F2046="NEW"),"",INDEX(J$1:J2045,SUMPRODUCT(MAX(ROW(E$1:E2045)*(E2046=E$1:E2045)))))</f>
        <v> </v>
      </c>
      <c r="L2046" s="27"/>
    </row>
    <row r="2047" spans="1:12">
      <c r="A2047" s="20" t="s">
        <v>804</v>
      </c>
      <c r="B2047" s="21" t="s">
        <v>791</v>
      </c>
      <c r="E2047" s="22">
        <f>IF(D2047="?OLD","!!!","")</f>
        <v/>
      </c>
      <c r="F2047" s="23" t="str">
        <f>IF(OR(E2047="",E2047="!!!"),"",IF(NOT(ISNA(VLOOKUP(E2047,E$1:E2046,1,FALSE()))),"OLD",IF(AND(E2047&lt;&gt;"",E2047&lt;&gt;"!!!"),"NEW","")))</f>
        <v> </v>
      </c>
      <c r="G2047" s="24" t="str">
        <f>IF(OR(E2047="",E2047="!!!"),"",IF(OR(J2047=0,AND(J2047=1,K2047=1),AND(J2047=1,I2047="SBJ"),AND(J2047=1,I2047=0)),"?IN_FOCUS",IF(J2047&lt;=2,"?ACTIVATED",IF(J2047&lt;&gt;"","?FAMILIAR",IF(F2047="NEW",IF(ISNA(VLOOKUP(E2047,#REF!,1,FALSE())),"?TYPE_IDENTIFIABLE","?REFERENTIAL"),"_")))))</f>
        <v> </v>
      </c>
      <c r="H2047" s="25" t="str">
        <f>IF(J2047&lt;&gt;1,"",IF(I2047="SBJ","CB","?"))</f>
        <v> </v>
      </c>
      <c r="I2047" s="26" t="str">
        <f>IF(OR(E2047="",E2047="!!!",F2047="NEW"),"",INDEX(B2046:B$2,-1+SUMPRODUCT(MAX(ROW(E2046:E$2)*(E2047=E2046:E$2)))))</f>
        <v> </v>
      </c>
      <c r="J2047" s="26" t="str">
        <f>IF(OR(E2047="",E2047="!!!",F2047="NEW"),"",COUNTBLANK(OFFSET(A$1,,,SUMPRODUCT(MAX(ROW(E$2:E2047)*(E2047=E$2:E2047)))))-COUNTBLANK(OFFSET(A$1,,,SUMPRODUCT(MAX(ROW(E$1:E2046)*(E2=E$1:E2046))))))</f>
        <v> </v>
      </c>
      <c r="K2047" s="26" t="str">
        <f>IF(OR(E2047="",E2047="!!!",F2047="NEW"),"",INDEX(J$1:J2046,SUMPRODUCT(MAX(ROW(E$1:E2046)*(E2047=E$1:E2046)))))</f>
        <v> </v>
      </c>
      <c r="L2047" s="27"/>
    </row>
    <row r="2048" spans="1:12">
      <c r="A2048" s="20" t="s">
        <v>776</v>
      </c>
      <c r="E2048" s="22">
        <f>IF(D2048="?OLD","!!!","")</f>
        <v/>
      </c>
      <c r="F2048" s="23" t="str">
        <f>IF(OR(E2048="",E2048="!!!"),"",IF(NOT(ISNA(VLOOKUP(E2048,E$1:E2047,1,FALSE()))),"OLD",IF(AND(E2048&lt;&gt;"",E2048&lt;&gt;"!!!"),"NEW","")))</f>
        <v> </v>
      </c>
      <c r="G2048" s="24" t="str">
        <f>IF(OR(E2048="",E2048="!!!"),"",IF(OR(J2048=0,AND(J2048=1,K2048=1),AND(J2048=1,I2048="SBJ"),AND(J2048=1,I2048=0)),"?IN_FOCUS",IF(J2048&lt;=2,"?ACTIVATED",IF(J2048&lt;&gt;"","?FAMILIAR",IF(F2048="NEW",IF(ISNA(VLOOKUP(E2048,#REF!,1,FALSE())),"?TYPE_IDENTIFIABLE","?REFERENTIAL"),"_")))))</f>
        <v> </v>
      </c>
      <c r="H2048" s="25" t="str">
        <f>IF(J2048&lt;&gt;1,"",IF(I2048="SBJ","CB","?"))</f>
        <v> </v>
      </c>
      <c r="I2048" s="26" t="str">
        <f>IF(OR(E2048="",E2048="!!!",F2048="NEW"),"",INDEX(B2047:B$2,-1+SUMPRODUCT(MAX(ROW(E2047:E$2)*(E2048=E2047:E$2)))))</f>
        <v> </v>
      </c>
      <c r="J2048" s="26" t="str">
        <f>IF(OR(E2048="",E2048="!!!",F2048="NEW"),"",COUNTBLANK(OFFSET(A$1,,,SUMPRODUCT(MAX(ROW(E$2:E2048)*(E2048=E$2:E2048)))))-COUNTBLANK(OFFSET(A$1,,,SUMPRODUCT(MAX(ROW(E$1:E2047)*(E2=E$1:E2047))))))</f>
        <v> </v>
      </c>
      <c r="K2048" s="26" t="str">
        <f>IF(OR(E2048="",E2048="!!!",F2048="NEW"),"",INDEX(J$1:J2047,SUMPRODUCT(MAX(ROW(E$1:E2047)*(E2048=E$1:E2047)))))</f>
        <v> </v>
      </c>
      <c r="L2048" s="27"/>
    </row>
    <row r="2049" spans="1:12">
      <c r="A2049" s="20" t="s">
        <v>1544</v>
      </c>
      <c r="B2049" s="21" t="s">
        <v>796</v>
      </c>
      <c r="C2049" s="21" t="s">
        <v>753</v>
      </c>
      <c r="D2049" s="21" t="s">
        <v>730</v>
      </c>
      <c r="E2049" s="22">
        <f>IF(D2049="?OLD","!!!","")</f>
        <v/>
      </c>
      <c r="F2049" s="23" t="str">
        <f>IF(OR(E2049="",E2049="!!!"),"",IF(NOT(ISNA(VLOOKUP(E2049,E$1:E2048,1,FALSE()))),"OLD",IF(AND(E2049&lt;&gt;"",E2049&lt;&gt;"!!!"),"NEW","")))</f>
        <v> </v>
      </c>
      <c r="G2049" s="24" t="str">
        <f>IF(OR(E2049="",E2049="!!!"),"",IF(OR(J2049=0,AND(J2049=1,K2049=1),AND(J2049=1,I2049="SBJ"),AND(J2049=1,I2049=0)),"?IN_FOCUS",IF(J2049&lt;=2,"?ACTIVATED",IF(J2049&lt;&gt;"","?FAMILIAR",IF(F2049="NEW",IF(ISNA(VLOOKUP(E2049,#REF!,1,FALSE())),"?TYPE_IDENTIFIABLE","?REFERENTIAL"),"_")))))</f>
        <v> </v>
      </c>
      <c r="H2049" s="25" t="str">
        <f>IF(J2049&lt;&gt;1,"",IF(I2049="SBJ","CB","?"))</f>
        <v> </v>
      </c>
      <c r="I2049" s="26" t="str">
        <f>IF(OR(E2049="",E2049="!!!",F2049="NEW"),"",INDEX(B2048:B$2,-1+SUMPRODUCT(MAX(ROW(E2048:E$2)*(E2049=E2048:E$2)))))</f>
        <v> </v>
      </c>
      <c r="J2049" s="26" t="str">
        <f>IF(OR(E2049="",E2049="!!!",F2049="NEW"),"",COUNTBLANK(OFFSET(A$1,,,SUMPRODUCT(MAX(ROW(E$2:E2049)*(E2049=E$2:E2049)))))-COUNTBLANK(OFFSET(A$1,,,SUMPRODUCT(MAX(ROW(E$1:E2048)*(E2=E$1:E2048))))))</f>
        <v> </v>
      </c>
      <c r="K2049" s="26" t="str">
        <f>IF(OR(E2049="",E2049="!!!",F2049="NEW"),"",INDEX(J$1:J2048,SUMPRODUCT(MAX(ROW(E$1:E2048)*(E2049=E$1:E2048)))))</f>
        <v> </v>
      </c>
      <c r="L2049" s="27"/>
    </row>
    <row r="2050" spans="1:12">
      <c r="A2050" s="20" t="s">
        <v>845</v>
      </c>
      <c r="E2050" s="22">
        <f>IF(D2050="?OLD","!!!","")</f>
        <v/>
      </c>
      <c r="F2050" s="23" t="str">
        <f>IF(OR(E2050="",E2050="!!!"),"",IF(NOT(ISNA(VLOOKUP(E2050,E$1:E2049,1,FALSE()))),"OLD",IF(AND(E2050&lt;&gt;"",E2050&lt;&gt;"!!!"),"NEW","")))</f>
        <v> </v>
      </c>
      <c r="G2050" s="24" t="str">
        <f>IF(OR(E2050="",E2050="!!!"),"",IF(OR(J2050=0,AND(J2050=1,K2050=1),AND(J2050=1,I2050="SBJ"),AND(J2050=1,I2050=0)),"?IN_FOCUS",IF(J2050&lt;=2,"?ACTIVATED",IF(J2050&lt;&gt;"","?FAMILIAR",IF(F2050="NEW",IF(ISNA(VLOOKUP(E2050,#REF!,1,FALSE())),"?TYPE_IDENTIFIABLE","?REFERENTIAL"),"_")))))</f>
        <v> </v>
      </c>
      <c r="H2050" s="25" t="str">
        <f>IF(J2050&lt;&gt;1,"",IF(I2050="SBJ","CB","?"))</f>
        <v> </v>
      </c>
      <c r="I2050" s="26" t="str">
        <f>IF(OR(E2050="",E2050="!!!",F2050="NEW"),"",INDEX(B2049:B$2,-1+SUMPRODUCT(MAX(ROW(E2049:E$2)*(E2050=E2049:E$2)))))</f>
        <v> </v>
      </c>
      <c r="J2050" s="26" t="str">
        <f>IF(OR(E2050="",E2050="!!!",F2050="NEW"),"",COUNTBLANK(OFFSET(A$1,,,SUMPRODUCT(MAX(ROW(E$2:E2050)*(E2050=E$2:E2050)))))-COUNTBLANK(OFFSET(A$1,,,SUMPRODUCT(MAX(ROW(E$1:E2049)*(E2=E$1:E2049))))))</f>
        <v> </v>
      </c>
      <c r="K2050" s="26" t="str">
        <f>IF(OR(E2050="",E2050="!!!",F2050="NEW"),"",INDEX(J$1:J2049,SUMPRODUCT(MAX(ROW(E$1:E2049)*(E2050=E$1:E2049)))))</f>
        <v> </v>
      </c>
      <c r="L2050" s="27"/>
    </row>
    <row r="2051" spans="1:12">
      <c r="A2051" s="20" t="s">
        <v>1545</v>
      </c>
      <c r="B2051" s="21" t="s">
        <v>755</v>
      </c>
      <c r="C2051" s="21" t="s">
        <v>753</v>
      </c>
      <c r="D2051" s="21" t="s">
        <v>730</v>
      </c>
      <c r="E2051" s="22">
        <f>IF(D2051="?OLD","!!!","")</f>
        <v/>
      </c>
      <c r="F2051" s="23" t="str">
        <f>IF(OR(E2051="",E2051="!!!"),"",IF(NOT(ISNA(VLOOKUP(E2051,E$1:E2050,1,FALSE()))),"OLD",IF(AND(E2051&lt;&gt;"",E2051&lt;&gt;"!!!"),"NEW","")))</f>
        <v> </v>
      </c>
      <c r="G2051" s="24" t="str">
        <f>IF(OR(E2051="",E2051="!!!"),"",IF(OR(J2051=0,AND(J2051=1,K2051=1),AND(J2051=1,I2051="SBJ"),AND(J2051=1,I2051=0)),"?IN_FOCUS",IF(J2051&lt;=2,"?ACTIVATED",IF(J2051&lt;&gt;"","?FAMILIAR",IF(F2051="NEW",IF(ISNA(VLOOKUP(E2051,#REF!,1,FALSE())),"?TYPE_IDENTIFIABLE","?REFERENTIAL"),"_")))))</f>
        <v> </v>
      </c>
      <c r="H2051" s="25" t="str">
        <f>IF(J2051&lt;&gt;1,"",IF(I2051="SBJ","CB","?"))</f>
        <v> </v>
      </c>
      <c r="I2051" s="26" t="str">
        <f>IF(OR(E2051="",E2051="!!!",F2051="NEW"),"",INDEX(B2050:B$2,-1+SUMPRODUCT(MAX(ROW(E2050:E$2)*(E2051=E2050:E$2)))))</f>
        <v> </v>
      </c>
      <c r="J2051" s="26" t="str">
        <f>IF(OR(E2051="",E2051="!!!",F2051="NEW"),"",COUNTBLANK(OFFSET(A$1,,,SUMPRODUCT(MAX(ROW(E$2:E2051)*(E2051=E$2:E2051)))))-COUNTBLANK(OFFSET(A$1,,,SUMPRODUCT(MAX(ROW(E$1:E2050)*(E2=E$1:E2050))))))</f>
        <v> </v>
      </c>
      <c r="K2051" s="26" t="str">
        <f>IF(OR(E2051="",E2051="!!!",F2051="NEW"),"",INDEX(J$1:J2050,SUMPRODUCT(MAX(ROW(E$1:E2050)*(E2051=E$1:E2050)))))</f>
        <v> </v>
      </c>
      <c r="L2051" s="27"/>
    </row>
    <row r="2052" spans="1:12">
      <c r="A2052" s="20" t="s">
        <v>1546</v>
      </c>
      <c r="E2052" s="22">
        <f>IF(D2052="?OLD","!!!","")</f>
        <v/>
      </c>
      <c r="F2052" s="23" t="str">
        <f>IF(OR(E2052="",E2052="!!!"),"",IF(NOT(ISNA(VLOOKUP(E2052,E$1:E2051,1,FALSE()))),"OLD",IF(AND(E2052&lt;&gt;"",E2052&lt;&gt;"!!!"),"NEW","")))</f>
        <v> </v>
      </c>
      <c r="G2052" s="24" t="str">
        <f>IF(OR(E2052="",E2052="!!!"),"",IF(OR(J2052=0,AND(J2052=1,K2052=1),AND(J2052=1,I2052="SBJ"),AND(J2052=1,I2052=0)),"?IN_FOCUS",IF(J2052&lt;=2,"?ACTIVATED",IF(J2052&lt;&gt;"","?FAMILIAR",IF(F2052="NEW",IF(ISNA(VLOOKUP(E2052,#REF!,1,FALSE())),"?TYPE_IDENTIFIABLE","?REFERENTIAL"),"_")))))</f>
        <v> </v>
      </c>
      <c r="H2052" s="25" t="str">
        <f>IF(J2052&lt;&gt;1,"",IF(I2052="SBJ","CB","?"))</f>
        <v> </v>
      </c>
      <c r="I2052" s="26" t="str">
        <f>IF(OR(E2052="",E2052="!!!",F2052="NEW"),"",INDEX(B2051:B$2,-1+SUMPRODUCT(MAX(ROW(E2051:E$2)*(E2052=E2051:E$2)))))</f>
        <v> </v>
      </c>
      <c r="J2052" s="26" t="str">
        <f>IF(OR(E2052="",E2052="!!!",F2052="NEW"),"",COUNTBLANK(OFFSET(A$1,,,SUMPRODUCT(MAX(ROW(E$2:E2052)*(E2052=E$2:E2052)))))-COUNTBLANK(OFFSET(A$1,,,SUMPRODUCT(MAX(ROW(E$1:E2051)*(E2=E$1:E2051))))))</f>
        <v> </v>
      </c>
      <c r="K2052" s="26" t="str">
        <f>IF(OR(E2052="",E2052="!!!",F2052="NEW"),"",INDEX(J$1:J2051,SUMPRODUCT(MAX(ROW(E$1:E2051)*(E2052=E$1:E2051)))))</f>
        <v> </v>
      </c>
      <c r="L2052" s="27"/>
    </row>
    <row r="2053" spans="1:12">
      <c r="A2053" s="20" t="s">
        <v>759</v>
      </c>
      <c r="E2053" s="22">
        <f>IF(D2053="?OLD","!!!","")</f>
        <v/>
      </c>
      <c r="F2053" s="23" t="str">
        <f>IF(OR(E2053="",E2053="!!!"),"",IF(NOT(ISNA(VLOOKUP(E2053,E$1:E2052,1,FALSE()))),"OLD",IF(AND(E2053&lt;&gt;"",E2053&lt;&gt;"!!!"),"NEW","")))</f>
        <v> </v>
      </c>
      <c r="G2053" s="24" t="str">
        <f>IF(OR(E2053="",E2053="!!!"),"",IF(OR(J2053=0,AND(J2053=1,K2053=1),AND(J2053=1,I2053="SBJ"),AND(J2053=1,I2053=0)),"?IN_FOCUS",IF(J2053&lt;=2,"?ACTIVATED",IF(J2053&lt;&gt;"","?FAMILIAR",IF(F2053="NEW",IF(ISNA(VLOOKUP(E2053,#REF!,1,FALSE())),"?TYPE_IDENTIFIABLE","?REFERENTIAL"),"_")))))</f>
        <v> </v>
      </c>
      <c r="H2053" s="25" t="str">
        <f>IF(J2053&lt;&gt;1,"",IF(I2053="SBJ","CB","?"))</f>
        <v> </v>
      </c>
      <c r="I2053" s="26" t="str">
        <f>IF(OR(E2053="",E2053="!!!",F2053="NEW"),"",INDEX(B2052:B$2,-1+SUMPRODUCT(MAX(ROW(E2052:E$2)*(E2053=E2052:E$2)))))</f>
        <v> </v>
      </c>
      <c r="J2053" s="26" t="str">
        <f>IF(OR(E2053="",E2053="!!!",F2053="NEW"),"",COUNTBLANK(OFFSET(A$1,,,SUMPRODUCT(MAX(ROW(E$2:E2053)*(E2053=E$2:E2053)))))-COUNTBLANK(OFFSET(A$1,,,SUMPRODUCT(MAX(ROW(E$1:E2052)*(E2=E$1:E2052))))))</f>
        <v> </v>
      </c>
      <c r="K2053" s="26" t="str">
        <f>IF(OR(E2053="",E2053="!!!",F2053="NEW"),"",INDEX(J$1:J2052,SUMPRODUCT(MAX(ROW(E$1:E2052)*(E2053=E$1:E2052)))))</f>
        <v> </v>
      </c>
      <c r="L2053" s="27"/>
    </row>
    <row r="2054" spans="1:12">
      <c r="A2054" s="20" t="s">
        <v>945</v>
      </c>
      <c r="B2054" s="21" t="s">
        <v>796</v>
      </c>
      <c r="C2054" s="21" t="s">
        <v>789</v>
      </c>
      <c r="D2054" s="21" t="s">
        <v>730</v>
      </c>
      <c r="E2054" s="22">
        <f>IF(D2054="?OLD","!!!","")</f>
        <v/>
      </c>
      <c r="F2054" s="23" t="str">
        <f>IF(OR(E2054="",E2054="!!!"),"",IF(NOT(ISNA(VLOOKUP(E2054,E$1:E2053,1,FALSE()))),"OLD",IF(AND(E2054&lt;&gt;"",E2054&lt;&gt;"!!!"),"NEW","")))</f>
        <v> </v>
      </c>
      <c r="G2054" s="24" t="str">
        <f>IF(OR(E2054="",E2054="!!!"),"",IF(OR(J2054=0,AND(J2054=1,K2054=1),AND(J2054=1,I2054="SBJ"),AND(J2054=1,I2054=0)),"?IN_FOCUS",IF(J2054&lt;=2,"?ACTIVATED",IF(J2054&lt;&gt;"","?FAMILIAR",IF(F2054="NEW",IF(ISNA(VLOOKUP(E2054,#REF!,1,FALSE())),"?TYPE_IDENTIFIABLE","?REFERENTIAL"),"_")))))</f>
        <v> </v>
      </c>
      <c r="H2054" s="25" t="str">
        <f>IF(J2054&lt;&gt;1,"",IF(I2054="SBJ","CB","?"))</f>
        <v> </v>
      </c>
      <c r="I2054" s="26" t="str">
        <f>IF(OR(E2054="",E2054="!!!",F2054="NEW"),"",INDEX(B2053:B$2,-1+SUMPRODUCT(MAX(ROW(E2053:E$2)*(E2054=E2053:E$2)))))</f>
        <v> </v>
      </c>
      <c r="J2054" s="26" t="str">
        <f>IF(OR(E2054="",E2054="!!!",F2054="NEW"),"",COUNTBLANK(OFFSET(A$1,,,SUMPRODUCT(MAX(ROW(E$2:E2054)*(E2054=E$2:E2054)))))-COUNTBLANK(OFFSET(A$1,,,SUMPRODUCT(MAX(ROW(E$1:E2053)*(E2=E$1:E2053))))))</f>
        <v> </v>
      </c>
      <c r="K2054" s="26" t="str">
        <f>IF(OR(E2054="",E2054="!!!",F2054="NEW"),"",INDEX(J$1:J2053,SUMPRODUCT(MAX(ROW(E$1:E2053)*(E2054=E$1:E2053)))))</f>
        <v> </v>
      </c>
      <c r="L2054" s="27"/>
    </row>
    <row r="2055" spans="1:12">
      <c r="A2055" s="20" t="s">
        <v>879</v>
      </c>
      <c r="E2055" s="22">
        <f>IF(D2055="?OLD","!!!","")</f>
        <v/>
      </c>
      <c r="F2055" s="23" t="str">
        <f>IF(OR(E2055="",E2055="!!!"),"",IF(NOT(ISNA(VLOOKUP(E2055,E$1:E2054,1,FALSE()))),"OLD",IF(AND(E2055&lt;&gt;"",E2055&lt;&gt;"!!!"),"NEW","")))</f>
        <v> </v>
      </c>
      <c r="G2055" s="24" t="str">
        <f>IF(OR(E2055="",E2055="!!!"),"",IF(OR(J2055=0,AND(J2055=1,K2055=1),AND(J2055=1,I2055="SBJ"),AND(J2055=1,I2055=0)),"?IN_FOCUS",IF(J2055&lt;=2,"?ACTIVATED",IF(J2055&lt;&gt;"","?FAMILIAR",IF(F2055="NEW",IF(ISNA(VLOOKUP(E2055,#REF!,1,FALSE())),"?TYPE_IDENTIFIABLE","?REFERENTIAL"),"_")))))</f>
        <v> </v>
      </c>
      <c r="H2055" s="25" t="str">
        <f>IF(J2055&lt;&gt;1,"",IF(I2055="SBJ","CB","?"))</f>
        <v> </v>
      </c>
      <c r="I2055" s="26" t="str">
        <f>IF(OR(E2055="",E2055="!!!",F2055="NEW"),"",INDEX(B2054:B$2,-1+SUMPRODUCT(MAX(ROW(E2054:E$2)*(E2055=E2054:E$2)))))</f>
        <v> </v>
      </c>
      <c r="J2055" s="26" t="str">
        <f>IF(OR(E2055="",E2055="!!!",F2055="NEW"),"",COUNTBLANK(OFFSET(A$1,,,SUMPRODUCT(MAX(ROW(E$2:E2055)*(E2055=E$2:E2055)))))-COUNTBLANK(OFFSET(A$1,,,SUMPRODUCT(MAX(ROW(E$1:E2054)*(E2=E$1:E2054))))))</f>
        <v> </v>
      </c>
      <c r="K2055" s="26" t="str">
        <f>IF(OR(E2055="",E2055="!!!",F2055="NEW"),"",INDEX(J$1:J2054,SUMPRODUCT(MAX(ROW(E$1:E2054)*(E2055=E$1:E2054)))))</f>
        <v> </v>
      </c>
      <c r="L2055" s="27"/>
    </row>
    <row r="2056" spans="1:12">
      <c r="A2056" s="20" t="s">
        <v>1496</v>
      </c>
      <c r="E2056" s="22">
        <f>IF(D2056="?OLD","!!!","")</f>
        <v/>
      </c>
      <c r="F2056" s="23" t="str">
        <f>IF(OR(E2056="",E2056="!!!"),"",IF(NOT(ISNA(VLOOKUP(E2056,E$1:E2055,1,FALSE()))),"OLD",IF(AND(E2056&lt;&gt;"",E2056&lt;&gt;"!!!"),"NEW","")))</f>
        <v> </v>
      </c>
      <c r="G2056" s="24" t="str">
        <f>IF(OR(E2056="",E2056="!!!"),"",IF(OR(J2056=0,AND(J2056=1,K2056=1),AND(J2056=1,I2056="SBJ"),AND(J2056=1,I2056=0)),"?IN_FOCUS",IF(J2056&lt;=2,"?ACTIVATED",IF(J2056&lt;&gt;"","?FAMILIAR",IF(F2056="NEW",IF(ISNA(VLOOKUP(E2056,#REF!,1,FALSE())),"?TYPE_IDENTIFIABLE","?REFERENTIAL"),"_")))))</f>
        <v> </v>
      </c>
      <c r="H2056" s="25" t="str">
        <f>IF(J2056&lt;&gt;1,"",IF(I2056="SBJ","CB","?"))</f>
        <v> </v>
      </c>
      <c r="I2056" s="26" t="str">
        <f>IF(OR(E2056="",E2056="!!!",F2056="NEW"),"",INDEX(B2055:B$2,-1+SUMPRODUCT(MAX(ROW(E2055:E$2)*(E2056=E2055:E$2)))))</f>
        <v> </v>
      </c>
      <c r="J2056" s="26" t="str">
        <f>IF(OR(E2056="",E2056="!!!",F2056="NEW"),"",COUNTBLANK(OFFSET(A$1,,,SUMPRODUCT(MAX(ROW(E$2:E2056)*(E2056=E$2:E2056)))))-COUNTBLANK(OFFSET(A$1,,,SUMPRODUCT(MAX(ROW(E$1:E2055)*(E2=E$1:E2055))))))</f>
        <v> </v>
      </c>
      <c r="K2056" s="26" t="str">
        <f>IF(OR(E2056="",E2056="!!!",F2056="NEW"),"",INDEX(J$1:J2055,SUMPRODUCT(MAX(ROW(E$1:E2055)*(E2056=E$1:E2055)))))</f>
        <v> </v>
      </c>
      <c r="L2056" s="27"/>
    </row>
    <row r="2057" spans="1:12">
      <c r="A2057" s="20" t="s">
        <v>1547</v>
      </c>
      <c r="E2057" s="22">
        <f>IF(D2057="?OLD","!!!","")</f>
        <v/>
      </c>
      <c r="F2057" s="23" t="str">
        <f>IF(OR(E2057="",E2057="!!!"),"",IF(NOT(ISNA(VLOOKUP(E2057,E$1:E2056,1,FALSE()))),"OLD",IF(AND(E2057&lt;&gt;"",E2057&lt;&gt;"!!!"),"NEW","")))</f>
        <v> </v>
      </c>
      <c r="G2057" s="24" t="str">
        <f>IF(OR(E2057="",E2057="!!!"),"",IF(OR(J2057=0,AND(J2057=1,K2057=1),AND(J2057=1,I2057="SBJ"),AND(J2057=1,I2057=0)),"?IN_FOCUS",IF(J2057&lt;=2,"?ACTIVATED",IF(J2057&lt;&gt;"","?FAMILIAR",IF(F2057="NEW",IF(ISNA(VLOOKUP(E2057,#REF!,1,FALSE())),"?TYPE_IDENTIFIABLE","?REFERENTIAL"),"_")))))</f>
        <v> </v>
      </c>
      <c r="H2057" s="25" t="str">
        <f>IF(J2057&lt;&gt;1,"",IF(I2057="SBJ","CB","?"))</f>
        <v> </v>
      </c>
      <c r="I2057" s="26" t="str">
        <f>IF(OR(E2057="",E2057="!!!",F2057="NEW"),"",INDEX(B2056:B$2,-1+SUMPRODUCT(MAX(ROW(E2056:E$2)*(E2057=E2056:E$2)))))</f>
        <v> </v>
      </c>
      <c r="J2057" s="26" t="str">
        <f>IF(OR(E2057="",E2057="!!!",F2057="NEW"),"",COUNTBLANK(OFFSET(A$1,,,SUMPRODUCT(MAX(ROW(E$2:E2057)*(E2057=E$2:E2057)))))-COUNTBLANK(OFFSET(A$1,,,SUMPRODUCT(MAX(ROW(E$1:E2056)*(E2=E$1:E2056))))))</f>
        <v> </v>
      </c>
      <c r="K2057" s="26" t="str">
        <f>IF(OR(E2057="",E2057="!!!",F2057="NEW"),"",INDEX(J$1:J2056,SUMPRODUCT(MAX(ROW(E$1:E2056)*(E2057=E$1:E2056)))))</f>
        <v> </v>
      </c>
      <c r="L2057" s="27"/>
    </row>
    <row r="2058" spans="1:12">
      <c r="A2058" s="20" t="s">
        <v>1331</v>
      </c>
      <c r="E2058" s="22">
        <f>IF(D2058="?OLD","!!!","")</f>
        <v/>
      </c>
      <c r="F2058" s="23" t="str">
        <f>IF(OR(E2058="",E2058="!!!"),"",IF(NOT(ISNA(VLOOKUP(E2058,E$1:E2057,1,FALSE()))),"OLD",IF(AND(E2058&lt;&gt;"",E2058&lt;&gt;"!!!"),"NEW","")))</f>
        <v> </v>
      </c>
      <c r="G2058" s="24" t="str">
        <f>IF(OR(E2058="",E2058="!!!"),"",IF(OR(J2058=0,AND(J2058=1,K2058=1),AND(J2058=1,I2058="SBJ"),AND(J2058=1,I2058=0)),"?IN_FOCUS",IF(J2058&lt;=2,"?ACTIVATED",IF(J2058&lt;&gt;"","?FAMILIAR",IF(F2058="NEW",IF(ISNA(VLOOKUP(E2058,#REF!,1,FALSE())),"?TYPE_IDENTIFIABLE","?REFERENTIAL"),"_")))))</f>
        <v> </v>
      </c>
      <c r="H2058" s="25" t="str">
        <f>IF(J2058&lt;&gt;1,"",IF(I2058="SBJ","CB","?"))</f>
        <v> </v>
      </c>
      <c r="I2058" s="26" t="str">
        <f>IF(OR(E2058="",E2058="!!!",F2058="NEW"),"",INDEX(B2057:B$2,-1+SUMPRODUCT(MAX(ROW(E2057:E$2)*(E2058=E2057:E$2)))))</f>
        <v> </v>
      </c>
      <c r="J2058" s="26" t="str">
        <f>IF(OR(E2058="",E2058="!!!",F2058="NEW"),"",COUNTBLANK(OFFSET(A$1,,,SUMPRODUCT(MAX(ROW(E$2:E2058)*(E2058=E$2:E2058)))))-COUNTBLANK(OFFSET(A$1,,,SUMPRODUCT(MAX(ROW(E$1:E2057)*(E2=E$1:E2057))))))</f>
        <v> </v>
      </c>
      <c r="K2058" s="26" t="str">
        <f>IF(OR(E2058="",E2058="!!!",F2058="NEW"),"",INDEX(J$1:J2057,SUMPRODUCT(MAX(ROW(E$1:E2057)*(E2058=E$1:E2057)))))</f>
        <v> </v>
      </c>
      <c r="L2058" s="27"/>
    </row>
    <row r="2059" spans="1:12">
      <c r="A2059" s="20" t="s">
        <v>811</v>
      </c>
      <c r="E2059" s="22">
        <f>IF(D2059="?OLD","!!!","")</f>
        <v/>
      </c>
      <c r="F2059" s="23" t="str">
        <f>IF(OR(E2059="",E2059="!!!"),"",IF(NOT(ISNA(VLOOKUP(E2059,E$1:E2058,1,FALSE()))),"OLD",IF(AND(E2059&lt;&gt;"",E2059&lt;&gt;"!!!"),"NEW","")))</f>
        <v> </v>
      </c>
      <c r="G2059" s="24" t="str">
        <f>IF(OR(E2059="",E2059="!!!"),"",IF(OR(J2059=0,AND(J2059=1,K2059=1),AND(J2059=1,I2059="SBJ"),AND(J2059=1,I2059=0)),"?IN_FOCUS",IF(J2059&lt;=2,"?ACTIVATED",IF(J2059&lt;&gt;"","?FAMILIAR",IF(F2059="NEW",IF(ISNA(VLOOKUP(E2059,#REF!,1,FALSE())),"?TYPE_IDENTIFIABLE","?REFERENTIAL"),"_")))))</f>
        <v> </v>
      </c>
      <c r="H2059" s="25" t="str">
        <f>IF(J2059&lt;&gt;1,"",IF(I2059="SBJ","CB","?"))</f>
        <v> </v>
      </c>
      <c r="I2059" s="26" t="str">
        <f>IF(OR(E2059="",E2059="!!!",F2059="NEW"),"",INDEX(B2058:B$2,-1+SUMPRODUCT(MAX(ROW(E2058:E$2)*(E2059=E2058:E$2)))))</f>
        <v> </v>
      </c>
      <c r="J2059" s="26" t="str">
        <f>IF(OR(E2059="",E2059="!!!",F2059="NEW"),"",COUNTBLANK(OFFSET(A$1,,,SUMPRODUCT(MAX(ROW(E$2:E2059)*(E2059=E$2:E2059)))))-COUNTBLANK(OFFSET(A$1,,,SUMPRODUCT(MAX(ROW(E$1:E2058)*(E2=E$1:E2058))))))</f>
        <v> </v>
      </c>
      <c r="K2059" s="26" t="str">
        <f>IF(OR(E2059="",E2059="!!!",F2059="NEW"),"",INDEX(J$1:J2058,SUMPRODUCT(MAX(ROW(E$1:E2058)*(E2059=E$1:E2058)))))</f>
        <v> </v>
      </c>
      <c r="L2059" s="27"/>
    </row>
    <row r="2060" spans="1:12">
      <c r="A2060" s="20" t="s">
        <v>246</v>
      </c>
      <c r="E2060" s="22">
        <f>IF(D2060="?OLD","!!!","")</f>
        <v/>
      </c>
      <c r="F2060" s="23" t="str">
        <f>IF(OR(E2060="",E2060="!!!"),"",IF(NOT(ISNA(VLOOKUP(E2060,E$1:E2059,1,FALSE()))),"OLD",IF(AND(E2060&lt;&gt;"",E2060&lt;&gt;"!!!"),"NEW","")))</f>
        <v> </v>
      </c>
      <c r="G2060" s="24" t="str">
        <f>IF(OR(E2060="",E2060="!!!"),"",IF(OR(J2060=0,AND(J2060=1,K2060=1),AND(J2060=1,I2060="SBJ"),AND(J2060=1,I2060=0)),"?IN_FOCUS",IF(J2060&lt;=2,"?ACTIVATED",IF(J2060&lt;&gt;"","?FAMILIAR",IF(F2060="NEW",IF(ISNA(VLOOKUP(E2060,#REF!,1,FALSE())),"?TYPE_IDENTIFIABLE","?REFERENTIAL"),"_")))))</f>
        <v> </v>
      </c>
      <c r="H2060" s="25" t="str">
        <f>IF(J2060&lt;&gt;1,"",IF(I2060="SBJ","CB","?"))</f>
        <v> </v>
      </c>
      <c r="I2060" s="26" t="str">
        <f>IF(OR(E2060="",E2060="!!!",F2060="NEW"),"",INDEX(B2059:B$2,-1+SUMPRODUCT(MAX(ROW(E2059:E$2)*(E2060=E2059:E$2)))))</f>
        <v> </v>
      </c>
      <c r="J2060" s="26" t="str">
        <f>IF(OR(E2060="",E2060="!!!",F2060="NEW"),"",COUNTBLANK(OFFSET(A$1,,,SUMPRODUCT(MAX(ROW(E$2:E2060)*(E2060=E$2:E2060)))))-COUNTBLANK(OFFSET(A$1,,,SUMPRODUCT(MAX(ROW(E$1:E2059)*(E2=E$1:E2059))))))</f>
        <v> </v>
      </c>
      <c r="K2060" s="26" t="str">
        <f>IF(OR(E2060="",E2060="!!!",F2060="NEW"),"",INDEX(J$1:J2059,SUMPRODUCT(MAX(ROW(E$1:E2059)*(E2060=E$1:E2059)))))</f>
        <v> </v>
      </c>
      <c r="L2060" s="27"/>
    </row>
    <row r="2061" spans="1:12">
      <c r="A2061" s="20"/>
    </row>
    <row r="2062" spans="1:12">
      <c r="A2062" s="20" t="s">
        <v>1548</v>
      </c>
    </row>
    <row r="2063" spans="1:12">
      <c r="A2063" s="20" t="s">
        <v>1549</v>
      </c>
      <c r="B2063" s="21" t="s">
        <v>796</v>
      </c>
      <c r="C2063" s="21" t="s">
        <v>756</v>
      </c>
      <c r="E2063" s="22">
        <f>IF(D2063="?OLD","!!!","")</f>
        <v/>
      </c>
      <c r="F2063" s="23" t="str">
        <f>IF(OR(E2063="",E2063="!!!"),"",IF(NOT(ISNA(VLOOKUP(E2063,E$1:E2062,1,FALSE()))),"OLD",IF(AND(E2063&lt;&gt;"",E2063&lt;&gt;"!!!"),"NEW","")))</f>
        <v> </v>
      </c>
      <c r="G2063" s="24" t="str">
        <f>IF(OR(E2063="",E2063="!!!"),"",IF(OR(J2063=0,AND(J2063=1,K2063=1),AND(J2063=1,I2063="SBJ"),AND(J2063=1,I2063=0)),"?IN_FOCUS",IF(J2063&lt;=2,"?ACTIVATED",IF(J2063&lt;&gt;"","?FAMILIAR",IF(F2063="NEW",IF(ISNA(VLOOKUP(E2063,#REF!,1,FALSE())),"?TYPE_IDENTIFIABLE","?REFERENTIAL"),"_")))))</f>
        <v> </v>
      </c>
      <c r="H2063" s="25" t="str">
        <f>IF(J2063&lt;&gt;1,"",IF(I2063="SBJ","CB","?"))</f>
        <v> </v>
      </c>
      <c r="I2063" s="26" t="str">
        <f>IF(OR(E2063="",E2063="!!!",F2063="NEW"),"",INDEX(B2062:B$2,-1+SUMPRODUCT(MAX(ROW(E2062:E$2)*(E2063=E2062:E$2)))))</f>
        <v> </v>
      </c>
      <c r="J2063" s="26" t="str">
        <f>IF(OR(E2063="",E2063="!!!",F2063="NEW"),"",COUNTBLANK(OFFSET(A$1,,,SUMPRODUCT(MAX(ROW(E$2:E2063)*(E2063=E$2:E2063)))))-COUNTBLANK(OFFSET(A$1,,,SUMPRODUCT(MAX(ROW(E$1:E2062)*(E2=E$1:E2062))))))</f>
        <v> </v>
      </c>
      <c r="K2063" s="26" t="str">
        <f>IF(OR(E2063="",E2063="!!!",F2063="NEW"),"",INDEX(J$1:J2062,SUMPRODUCT(MAX(ROW(E$1:E2062)*(E2063=E$1:E2062)))))</f>
        <v> </v>
      </c>
      <c r="L2063" s="27"/>
    </row>
    <row r="2064" spans="1:12">
      <c r="A2064" s="20" t="s">
        <v>1001</v>
      </c>
      <c r="E2064" s="22">
        <f>IF(D2064="?OLD","!!!","")</f>
        <v/>
      </c>
      <c r="F2064" s="23" t="str">
        <f>IF(OR(E2064="",E2064="!!!"),"",IF(NOT(ISNA(VLOOKUP(E2064,E$1:E2063,1,FALSE()))),"OLD",IF(AND(E2064&lt;&gt;"",E2064&lt;&gt;"!!!"),"NEW","")))</f>
        <v> </v>
      </c>
      <c r="G2064" s="24" t="str">
        <f>IF(OR(E2064="",E2064="!!!"),"",IF(OR(J2064=0,AND(J2064=1,K2064=1),AND(J2064=1,I2064="SBJ"),AND(J2064=1,I2064=0)),"?IN_FOCUS",IF(J2064&lt;=2,"?ACTIVATED",IF(J2064&lt;&gt;"","?FAMILIAR",IF(F2064="NEW",IF(ISNA(VLOOKUP(E2064,#REF!,1,FALSE())),"?TYPE_IDENTIFIABLE","?REFERENTIAL"),"_")))))</f>
        <v> </v>
      </c>
      <c r="H2064" s="25" t="str">
        <f>IF(J2064&lt;&gt;1,"",IF(I2064="SBJ","CB","?"))</f>
        <v> </v>
      </c>
      <c r="I2064" s="26" t="str">
        <f>IF(OR(E2064="",E2064="!!!",F2064="NEW"),"",INDEX(B2063:B$2,-1+SUMPRODUCT(MAX(ROW(E2063:E$2)*(E2064=E2063:E$2)))))</f>
        <v> </v>
      </c>
      <c r="J2064" s="26" t="str">
        <f>IF(OR(E2064="",E2064="!!!",F2064="NEW"),"",COUNTBLANK(OFFSET(A$1,,,SUMPRODUCT(MAX(ROW(E$2:E2064)*(E2064=E$2:E2064)))))-COUNTBLANK(OFFSET(A$1,,,SUMPRODUCT(MAX(ROW(E$1:E2063)*(E2=E$1:E2063))))))</f>
        <v> </v>
      </c>
      <c r="K2064" s="26" t="str">
        <f>IF(OR(E2064="",E2064="!!!",F2064="NEW"),"",INDEX(J$1:J2063,SUMPRODUCT(MAX(ROW(E$1:E2063)*(E2064=E$1:E2063)))))</f>
        <v> </v>
      </c>
      <c r="L2064" s="27"/>
    </row>
    <row r="2065" spans="1:12">
      <c r="A2065" s="20" t="s">
        <v>1115</v>
      </c>
      <c r="E2065" s="22">
        <f>IF(D2065="?OLD","!!!","")</f>
        <v/>
      </c>
      <c r="F2065" s="23" t="str">
        <f>IF(OR(E2065="",E2065="!!!"),"",IF(NOT(ISNA(VLOOKUP(E2065,E$1:E2064,1,FALSE()))),"OLD",IF(AND(E2065&lt;&gt;"",E2065&lt;&gt;"!!!"),"NEW","")))</f>
        <v> </v>
      </c>
      <c r="G2065" s="24" t="str">
        <f>IF(OR(E2065="",E2065="!!!"),"",IF(OR(J2065=0,AND(J2065=1,K2065=1),AND(J2065=1,I2065="SBJ"),AND(J2065=1,I2065=0)),"?IN_FOCUS",IF(J2065&lt;=2,"?ACTIVATED",IF(J2065&lt;&gt;"","?FAMILIAR",IF(F2065="NEW",IF(ISNA(VLOOKUP(E2065,#REF!,1,FALSE())),"?TYPE_IDENTIFIABLE","?REFERENTIAL"),"_")))))</f>
        <v> </v>
      </c>
      <c r="H2065" s="25" t="str">
        <f>IF(J2065&lt;&gt;1,"",IF(I2065="SBJ","CB","?"))</f>
        <v> </v>
      </c>
      <c r="I2065" s="26" t="str">
        <f>IF(OR(E2065="",E2065="!!!",F2065="NEW"),"",INDEX(B2064:B$2,-1+SUMPRODUCT(MAX(ROW(E2064:E$2)*(E2065=E2064:E$2)))))</f>
        <v> </v>
      </c>
      <c r="J2065" s="26" t="str">
        <f>IF(OR(E2065="",E2065="!!!",F2065="NEW"),"",COUNTBLANK(OFFSET(A$1,,,SUMPRODUCT(MAX(ROW(E$2:E2065)*(E2065=E$2:E2065)))))-COUNTBLANK(OFFSET(A$1,,,SUMPRODUCT(MAX(ROW(E$1:E2064)*(E2=E$1:E2064))))))</f>
        <v> </v>
      </c>
      <c r="K2065" s="26" t="str">
        <f>IF(OR(E2065="",E2065="!!!",F2065="NEW"),"",INDEX(J$1:J2064,SUMPRODUCT(MAX(ROW(E$1:E2064)*(E2065=E$1:E2064)))))</f>
        <v> </v>
      </c>
      <c r="L2065" s="27"/>
    </row>
    <row r="2066" spans="1:12">
      <c r="A2066" s="20" t="s">
        <v>776</v>
      </c>
      <c r="E2066" s="22">
        <f>IF(D2066="?OLD","!!!","")</f>
        <v/>
      </c>
      <c r="F2066" s="23" t="str">
        <f>IF(OR(E2066="",E2066="!!!"),"",IF(NOT(ISNA(VLOOKUP(E2066,E$1:E2065,1,FALSE()))),"OLD",IF(AND(E2066&lt;&gt;"",E2066&lt;&gt;"!!!"),"NEW","")))</f>
        <v> </v>
      </c>
      <c r="G2066" s="24" t="str">
        <f>IF(OR(E2066="",E2066="!!!"),"",IF(OR(J2066=0,AND(J2066=1,K2066=1),AND(J2066=1,I2066="SBJ"),AND(J2066=1,I2066=0)),"?IN_FOCUS",IF(J2066&lt;=2,"?ACTIVATED",IF(J2066&lt;&gt;"","?FAMILIAR",IF(F2066="NEW",IF(ISNA(VLOOKUP(E2066,#REF!,1,FALSE())),"?TYPE_IDENTIFIABLE","?REFERENTIAL"),"_")))))</f>
        <v> </v>
      </c>
      <c r="H2066" s="25" t="str">
        <f>IF(J2066&lt;&gt;1,"",IF(I2066="SBJ","CB","?"))</f>
        <v> </v>
      </c>
      <c r="I2066" s="26" t="str">
        <f>IF(OR(E2066="",E2066="!!!",F2066="NEW"),"",INDEX(B2065:B$2,-1+SUMPRODUCT(MAX(ROW(E2065:E$2)*(E2066=E2065:E$2)))))</f>
        <v> </v>
      </c>
      <c r="J2066" s="26" t="str">
        <f>IF(OR(E2066="",E2066="!!!",F2066="NEW"),"",COUNTBLANK(OFFSET(A$1,,,SUMPRODUCT(MAX(ROW(E$2:E2066)*(E2066=E$2:E2066)))))-COUNTBLANK(OFFSET(A$1,,,SUMPRODUCT(MAX(ROW(E$1:E2065)*(E2=E$1:E2065))))))</f>
        <v> </v>
      </c>
      <c r="K2066" s="26" t="str">
        <f>IF(OR(E2066="",E2066="!!!",F2066="NEW"),"",INDEX(J$1:J2065,SUMPRODUCT(MAX(ROW(E$1:E2065)*(E2066=E$1:E2065)))))</f>
        <v> </v>
      </c>
      <c r="L2066" s="27"/>
    </row>
    <row r="2067" spans="1:12">
      <c r="A2067" s="20" t="s">
        <v>1544</v>
      </c>
      <c r="B2067" s="21" t="s">
        <v>728</v>
      </c>
      <c r="C2067" s="21" t="s">
        <v>753</v>
      </c>
      <c r="D2067" s="21" t="s">
        <v>730</v>
      </c>
      <c r="E2067" s="22">
        <f>IF(D2067="?OLD","!!!","")</f>
        <v/>
      </c>
      <c r="F2067" s="23" t="str">
        <f>IF(OR(E2067="",E2067="!!!"),"",IF(NOT(ISNA(VLOOKUP(E2067,E$1:E2066,1,FALSE()))),"OLD",IF(AND(E2067&lt;&gt;"",E2067&lt;&gt;"!!!"),"NEW","")))</f>
        <v> </v>
      </c>
      <c r="G2067" s="24" t="str">
        <f>IF(OR(E2067="",E2067="!!!"),"",IF(OR(J2067=0,AND(J2067=1,K2067=1),AND(J2067=1,I2067="SBJ"),AND(J2067=1,I2067=0)),"?IN_FOCUS",IF(J2067&lt;=2,"?ACTIVATED",IF(J2067&lt;&gt;"","?FAMILIAR",IF(F2067="NEW",IF(ISNA(VLOOKUP(E2067,#REF!,1,FALSE())),"?TYPE_IDENTIFIABLE","?REFERENTIAL"),"_")))))</f>
        <v> </v>
      </c>
      <c r="H2067" s="25" t="str">
        <f>IF(J2067&lt;&gt;1,"",IF(I2067="SBJ","CB","?"))</f>
        <v> </v>
      </c>
      <c r="I2067" s="26" t="str">
        <f>IF(OR(E2067="",E2067="!!!",F2067="NEW"),"",INDEX(B2066:B$2,-1+SUMPRODUCT(MAX(ROW(E2066:E$2)*(E2067=E2066:E$2)))))</f>
        <v> </v>
      </c>
      <c r="J2067" s="26" t="str">
        <f>IF(OR(E2067="",E2067="!!!",F2067="NEW"),"",COUNTBLANK(OFFSET(A$1,,,SUMPRODUCT(MAX(ROW(E$2:E2067)*(E2067=E$2:E2067)))))-COUNTBLANK(OFFSET(A$1,,,SUMPRODUCT(MAX(ROW(E$1:E2066)*(E2=E$1:E2066))))))</f>
        <v> </v>
      </c>
      <c r="K2067" s="26" t="str">
        <f>IF(OR(E2067="",E2067="!!!",F2067="NEW"),"",INDEX(J$1:J2066,SUMPRODUCT(MAX(ROW(E$1:E2066)*(E2067=E$1:E2066)))))</f>
        <v> </v>
      </c>
      <c r="L2067" s="27"/>
    </row>
    <row r="2068" spans="1:12">
      <c r="A2068" s="20" t="s">
        <v>845</v>
      </c>
      <c r="E2068" s="22">
        <f>IF(D2068="?OLD","!!!","")</f>
        <v/>
      </c>
      <c r="F2068" s="23" t="str">
        <f>IF(OR(E2068="",E2068="!!!"),"",IF(NOT(ISNA(VLOOKUP(E2068,E$1:E2067,1,FALSE()))),"OLD",IF(AND(E2068&lt;&gt;"",E2068&lt;&gt;"!!!"),"NEW","")))</f>
        <v> </v>
      </c>
      <c r="G2068" s="24" t="str">
        <f>IF(OR(E2068="",E2068="!!!"),"",IF(OR(J2068=0,AND(J2068=1,K2068=1),AND(J2068=1,I2068="SBJ"),AND(J2068=1,I2068=0)),"?IN_FOCUS",IF(J2068&lt;=2,"?ACTIVATED",IF(J2068&lt;&gt;"","?FAMILIAR",IF(F2068="NEW",IF(ISNA(VLOOKUP(E2068,#REF!,1,FALSE())),"?TYPE_IDENTIFIABLE","?REFERENTIAL"),"_")))))</f>
        <v> </v>
      </c>
      <c r="H2068" s="25" t="str">
        <f>IF(J2068&lt;&gt;1,"",IF(I2068="SBJ","CB","?"))</f>
        <v> </v>
      </c>
      <c r="I2068" s="26" t="str">
        <f>IF(OR(E2068="",E2068="!!!",F2068="NEW"),"",INDEX(B2067:B$2,-1+SUMPRODUCT(MAX(ROW(E2067:E$2)*(E2068=E2067:E$2)))))</f>
        <v> </v>
      </c>
      <c r="J2068" s="26" t="str">
        <f>IF(OR(E2068="",E2068="!!!",F2068="NEW"),"",COUNTBLANK(OFFSET(A$1,,,SUMPRODUCT(MAX(ROW(E$2:E2068)*(E2068=E$2:E2068)))))-COUNTBLANK(OFFSET(A$1,,,SUMPRODUCT(MAX(ROW(E$1:E2067)*(E2=E$1:E2067))))))</f>
        <v> </v>
      </c>
      <c r="K2068" s="26" t="str">
        <f>IF(OR(E2068="",E2068="!!!",F2068="NEW"),"",INDEX(J$1:J2067,SUMPRODUCT(MAX(ROW(E$1:E2067)*(E2068=E$1:E2067)))))</f>
        <v> </v>
      </c>
      <c r="L2068" s="27"/>
    </row>
    <row r="2069" spans="1:12">
      <c r="A2069" s="20" t="s">
        <v>1550</v>
      </c>
      <c r="B2069" s="21" t="s">
        <v>739</v>
      </c>
      <c r="C2069" s="21" t="s">
        <v>753</v>
      </c>
      <c r="D2069" s="21" t="s">
        <v>730</v>
      </c>
      <c r="E2069" s="22">
        <f>IF(D2069="?OLD","!!!","")</f>
        <v/>
      </c>
      <c r="F2069" s="23" t="str">
        <f>IF(OR(E2069="",E2069="!!!"),"",IF(NOT(ISNA(VLOOKUP(E2069,E$1:E2068,1,FALSE()))),"OLD",IF(AND(E2069&lt;&gt;"",E2069&lt;&gt;"!!!"),"NEW","")))</f>
        <v> </v>
      </c>
      <c r="G2069" s="24" t="str">
        <f>IF(OR(E2069="",E2069="!!!"),"",IF(OR(J2069=0,AND(J2069=1,K2069=1),AND(J2069=1,I2069="SBJ"),AND(J2069=1,I2069=0)),"?IN_FOCUS",IF(J2069&lt;=2,"?ACTIVATED",IF(J2069&lt;&gt;"","?FAMILIAR",IF(F2069="NEW",IF(ISNA(VLOOKUP(E2069,#REF!,1,FALSE())),"?TYPE_IDENTIFIABLE","?REFERENTIAL"),"_")))))</f>
        <v> </v>
      </c>
      <c r="H2069" s="25" t="str">
        <f>IF(J2069&lt;&gt;1,"",IF(I2069="SBJ","CB","?"))</f>
        <v> </v>
      </c>
      <c r="I2069" s="26" t="str">
        <f>IF(OR(E2069="",E2069="!!!",F2069="NEW"),"",INDEX(B2068:B$2,-1+SUMPRODUCT(MAX(ROW(E2068:E$2)*(E2069=E2068:E$2)))))</f>
        <v> </v>
      </c>
      <c r="J2069" s="26" t="str">
        <f>IF(OR(E2069="",E2069="!!!",F2069="NEW"),"",COUNTBLANK(OFFSET(A$1,,,SUMPRODUCT(MAX(ROW(E$2:E2069)*(E2069=E$2:E2069)))))-COUNTBLANK(OFFSET(A$1,,,SUMPRODUCT(MAX(ROW(E$1:E2068)*(E2=E$1:E2068))))))</f>
        <v> </v>
      </c>
      <c r="K2069" s="26" t="str">
        <f>IF(OR(E2069="",E2069="!!!",F2069="NEW"),"",INDEX(J$1:J2068,SUMPRODUCT(MAX(ROW(E$1:E2068)*(E2069=E$1:E2068)))))</f>
        <v> </v>
      </c>
      <c r="L2069" s="27"/>
    </row>
    <row r="2070" spans="1:12">
      <c r="A2070" s="20" t="s">
        <v>1551</v>
      </c>
      <c r="E2070" s="22">
        <f>IF(D2070="?OLD","!!!","")</f>
        <v/>
      </c>
      <c r="F2070" s="23" t="str">
        <f>IF(OR(E2070="",E2070="!!!"),"",IF(NOT(ISNA(VLOOKUP(E2070,E$1:E2069,1,FALSE()))),"OLD",IF(AND(E2070&lt;&gt;"",E2070&lt;&gt;"!!!"),"NEW","")))</f>
        <v> </v>
      </c>
      <c r="G2070" s="24" t="str">
        <f>IF(OR(E2070="",E2070="!!!"),"",IF(OR(J2070=0,AND(J2070=1,K2070=1),AND(J2070=1,I2070="SBJ"),AND(J2070=1,I2070=0)),"?IN_FOCUS",IF(J2070&lt;=2,"?ACTIVATED",IF(J2070&lt;&gt;"","?FAMILIAR",IF(F2070="NEW",IF(ISNA(VLOOKUP(E2070,#REF!,1,FALSE())),"?TYPE_IDENTIFIABLE","?REFERENTIAL"),"_")))))</f>
        <v> </v>
      </c>
      <c r="H2070" s="25" t="str">
        <f>IF(J2070&lt;&gt;1,"",IF(I2070="SBJ","CB","?"))</f>
        <v> </v>
      </c>
      <c r="I2070" s="26" t="str">
        <f>IF(OR(E2070="",E2070="!!!",F2070="NEW"),"",INDEX(B2069:B$2,-1+SUMPRODUCT(MAX(ROW(E2069:E$2)*(E2070=E2069:E$2)))))</f>
        <v> </v>
      </c>
      <c r="J2070" s="26" t="str">
        <f>IF(OR(E2070="",E2070="!!!",F2070="NEW"),"",COUNTBLANK(OFFSET(A$1,,,SUMPRODUCT(MAX(ROW(E$2:E2070)*(E2070=E$2:E2070)))))-COUNTBLANK(OFFSET(A$1,,,SUMPRODUCT(MAX(ROW(E$1:E2069)*(E2=E$1:E2069))))))</f>
        <v> </v>
      </c>
      <c r="K2070" s="26" t="str">
        <f>IF(OR(E2070="",E2070="!!!",F2070="NEW"),"",INDEX(J$1:J2069,SUMPRODUCT(MAX(ROW(E$1:E2069)*(E2070=E$1:E2069)))))</f>
        <v> </v>
      </c>
      <c r="L2070" s="27"/>
    </row>
    <row r="2071" spans="1:12">
      <c r="A2071" s="20" t="s">
        <v>246</v>
      </c>
      <c r="E2071" s="22">
        <f>IF(D2071="?OLD","!!!","")</f>
        <v/>
      </c>
      <c r="F2071" s="23" t="str">
        <f>IF(OR(E2071="",E2071="!!!"),"",IF(NOT(ISNA(VLOOKUP(E2071,E$1:E2070,1,FALSE()))),"OLD",IF(AND(E2071&lt;&gt;"",E2071&lt;&gt;"!!!"),"NEW","")))</f>
        <v> </v>
      </c>
      <c r="G2071" s="24" t="str">
        <f>IF(OR(E2071="",E2071="!!!"),"",IF(OR(J2071=0,AND(J2071=1,K2071=1),AND(J2071=1,I2071="SBJ"),AND(J2071=1,I2071=0)),"?IN_FOCUS",IF(J2071&lt;=2,"?ACTIVATED",IF(J2071&lt;&gt;"","?FAMILIAR",IF(F2071="NEW",IF(ISNA(VLOOKUP(E2071,#REF!,1,FALSE())),"?TYPE_IDENTIFIABLE","?REFERENTIAL"),"_")))))</f>
        <v> </v>
      </c>
      <c r="H2071" s="25" t="str">
        <f>IF(J2071&lt;&gt;1,"",IF(I2071="SBJ","CB","?"))</f>
        <v> </v>
      </c>
      <c r="I2071" s="26" t="str">
        <f>IF(OR(E2071="",E2071="!!!",F2071="NEW"),"",INDEX(B2070:B$2,-1+SUMPRODUCT(MAX(ROW(E2070:E$2)*(E2071=E2070:E$2)))))</f>
        <v> </v>
      </c>
      <c r="J2071" s="26" t="str">
        <f>IF(OR(E2071="",E2071="!!!",F2071="NEW"),"",COUNTBLANK(OFFSET(A$1,,,SUMPRODUCT(MAX(ROW(E$2:E2071)*(E2071=E$2:E2071)))))-COUNTBLANK(OFFSET(A$1,,,SUMPRODUCT(MAX(ROW(E$1:E2070)*(E2=E$1:E2070))))))</f>
        <v> </v>
      </c>
      <c r="K2071" s="26" t="str">
        <f>IF(OR(E2071="",E2071="!!!",F2071="NEW"),"",INDEX(J$1:J2070,SUMPRODUCT(MAX(ROW(E$1:E2070)*(E2071=E$1:E2070)))))</f>
        <v> </v>
      </c>
      <c r="L2071" s="27"/>
    </row>
    <row r="2072" spans="1:12">
      <c r="A2072" s="20"/>
    </row>
    <row r="2073" spans="1:12">
      <c r="A2073" s="20" t="s">
        <v>1552</v>
      </c>
    </row>
    <row r="2074" spans="1:12">
      <c r="A2074" s="20" t="s">
        <v>1446</v>
      </c>
      <c r="B2074" s="21" t="s">
        <v>728</v>
      </c>
      <c r="C2074" s="21" t="s">
        <v>756</v>
      </c>
      <c r="E2074" s="22">
        <f>IF(D2074="?OLD","!!!","")</f>
        <v/>
      </c>
      <c r="F2074" s="23" t="str">
        <f>IF(OR(E2074="",E2074="!!!"),"",IF(NOT(ISNA(VLOOKUP(E2074,E$1:E2073,1,FALSE()))),"OLD",IF(AND(E2074&lt;&gt;"",E2074&lt;&gt;"!!!"),"NEW","")))</f>
        <v> </v>
      </c>
      <c r="G2074" s="24" t="str">
        <f>IF(OR(E2074="",E2074="!!!"),"",IF(OR(J2074=0,AND(J2074=1,K2074=1),AND(J2074=1,I2074="SBJ"),AND(J2074=1,I2074=0)),"?IN_FOCUS",IF(J2074&lt;=2,"?ACTIVATED",IF(J2074&lt;&gt;"","?FAMILIAR",IF(F2074="NEW",IF(ISNA(VLOOKUP(E2074,#REF!,1,FALSE())),"?TYPE_IDENTIFIABLE","?REFERENTIAL"),"_")))))</f>
        <v> </v>
      </c>
      <c r="H2074" s="25" t="str">
        <f>IF(J2074&lt;&gt;1,"",IF(I2074="SBJ","CB","?"))</f>
        <v> </v>
      </c>
      <c r="I2074" s="26" t="str">
        <f>IF(OR(E2074="",E2074="!!!",F2074="NEW"),"",INDEX(B2073:B$2,-1+SUMPRODUCT(MAX(ROW(E2073:E$2)*(E2074=E2073:E$2)))))</f>
        <v> </v>
      </c>
      <c r="J2074" s="26" t="str">
        <f>IF(OR(E2074="",E2074="!!!",F2074="NEW"),"",COUNTBLANK(OFFSET(A$1,,,SUMPRODUCT(MAX(ROW(E$2:E2074)*(E2074=E$2:E2074)))))-COUNTBLANK(OFFSET(A$1,,,SUMPRODUCT(MAX(ROW(E$1:E2073)*(E2=E$1:E2073))))))</f>
        <v> </v>
      </c>
      <c r="K2074" s="26" t="str">
        <f>IF(OR(E2074="",E2074="!!!",F2074="NEW"),"",INDEX(J$1:J2073,SUMPRODUCT(MAX(ROW(E$1:E2073)*(E2074=E$1:E2073)))))</f>
        <v> </v>
      </c>
      <c r="L2074" s="27"/>
    </row>
    <row r="2075" spans="1:12">
      <c r="A2075" s="20" t="s">
        <v>1001</v>
      </c>
      <c r="E2075" s="22">
        <f>IF(D2075="?OLD","!!!","")</f>
        <v/>
      </c>
      <c r="F2075" s="23" t="str">
        <f>IF(OR(E2075="",E2075="!!!"),"",IF(NOT(ISNA(VLOOKUP(E2075,E$1:E2074,1,FALSE()))),"OLD",IF(AND(E2075&lt;&gt;"",E2075&lt;&gt;"!!!"),"NEW","")))</f>
        <v> </v>
      </c>
      <c r="G2075" s="24" t="str">
        <f>IF(OR(E2075="",E2075="!!!"),"",IF(OR(J2075=0,AND(J2075=1,K2075=1),AND(J2075=1,I2075="SBJ"),AND(J2075=1,I2075=0)),"?IN_FOCUS",IF(J2075&lt;=2,"?ACTIVATED",IF(J2075&lt;&gt;"","?FAMILIAR",IF(F2075="NEW",IF(ISNA(VLOOKUP(E2075,#REF!,1,FALSE())),"?TYPE_IDENTIFIABLE","?REFERENTIAL"),"_")))))</f>
        <v> </v>
      </c>
      <c r="H2075" s="25" t="str">
        <f>IF(J2075&lt;&gt;1,"",IF(I2075="SBJ","CB","?"))</f>
        <v> </v>
      </c>
      <c r="I2075" s="26" t="str">
        <f>IF(OR(E2075="",E2075="!!!",F2075="NEW"),"",INDEX(B2074:B$2,-1+SUMPRODUCT(MAX(ROW(E2074:E$2)*(E2075=E2074:E$2)))))</f>
        <v> </v>
      </c>
      <c r="J2075" s="26" t="str">
        <f>IF(OR(E2075="",E2075="!!!",F2075="NEW"),"",COUNTBLANK(OFFSET(A$1,,,SUMPRODUCT(MAX(ROW(E$2:E2075)*(E2075=E$2:E2075)))))-COUNTBLANK(OFFSET(A$1,,,SUMPRODUCT(MAX(ROW(E$1:E2074)*(E2=E$1:E2074))))))</f>
        <v> </v>
      </c>
      <c r="K2075" s="26" t="str">
        <f>IF(OR(E2075="",E2075="!!!",F2075="NEW"),"",INDEX(J$1:J2074,SUMPRODUCT(MAX(ROW(E$1:E2074)*(E2075=E$1:E2074)))))</f>
        <v> </v>
      </c>
      <c r="L2075" s="27"/>
    </row>
    <row r="2076" spans="1:12">
      <c r="A2076" s="20" t="s">
        <v>902</v>
      </c>
      <c r="E2076" s="22">
        <f>IF(D2076="?OLD","!!!","")</f>
        <v/>
      </c>
      <c r="F2076" s="23" t="str">
        <f>IF(OR(E2076="",E2076="!!!"),"",IF(NOT(ISNA(VLOOKUP(E2076,E$1:E2075,1,FALSE()))),"OLD",IF(AND(E2076&lt;&gt;"",E2076&lt;&gt;"!!!"),"NEW","")))</f>
        <v> </v>
      </c>
      <c r="G2076" s="24" t="str">
        <f>IF(OR(E2076="",E2076="!!!"),"",IF(OR(J2076=0,AND(J2076=1,K2076=1),AND(J2076=1,I2076="SBJ"),AND(J2076=1,I2076=0)),"?IN_FOCUS",IF(J2076&lt;=2,"?ACTIVATED",IF(J2076&lt;&gt;"","?FAMILIAR",IF(F2076="NEW",IF(ISNA(VLOOKUP(E2076,#REF!,1,FALSE())),"?TYPE_IDENTIFIABLE","?REFERENTIAL"),"_")))))</f>
        <v> </v>
      </c>
      <c r="H2076" s="25" t="str">
        <f>IF(J2076&lt;&gt;1,"",IF(I2076="SBJ","CB","?"))</f>
        <v> </v>
      </c>
      <c r="I2076" s="26" t="str">
        <f>IF(OR(E2076="",E2076="!!!",F2076="NEW"),"",INDEX(B2075:B$2,-1+SUMPRODUCT(MAX(ROW(E2075:E$2)*(E2076=E2075:E$2)))))</f>
        <v> </v>
      </c>
      <c r="J2076" s="26" t="str">
        <f>IF(OR(E2076="",E2076="!!!",F2076="NEW"),"",COUNTBLANK(OFFSET(A$1,,,SUMPRODUCT(MAX(ROW(E$2:E2076)*(E2076=E$2:E2076)))))-COUNTBLANK(OFFSET(A$1,,,SUMPRODUCT(MAX(ROW(E$1:E2075)*(E2=E$1:E2075))))))</f>
        <v> </v>
      </c>
      <c r="K2076" s="26" t="str">
        <f>IF(OR(E2076="",E2076="!!!",F2076="NEW"),"",INDEX(J$1:J2075,SUMPRODUCT(MAX(ROW(E$1:E2075)*(E2076=E$1:E2075)))))</f>
        <v> </v>
      </c>
      <c r="L2076" s="27"/>
    </row>
    <row r="2077" spans="1:12">
      <c r="A2077" s="20" t="s">
        <v>1094</v>
      </c>
      <c r="B2077" s="21" t="s">
        <v>739</v>
      </c>
      <c r="C2077" s="21" t="s">
        <v>789</v>
      </c>
      <c r="D2077" s="21" t="s">
        <v>730</v>
      </c>
      <c r="E2077" s="22">
        <f>IF(D2077="?OLD","!!!","")</f>
        <v/>
      </c>
      <c r="F2077" s="23" t="str">
        <f>IF(OR(E2077="",E2077="!!!"),"",IF(NOT(ISNA(VLOOKUP(E2077,E$1:E2076,1,FALSE()))),"OLD",IF(AND(E2077&lt;&gt;"",E2077&lt;&gt;"!!!"),"NEW","")))</f>
        <v> </v>
      </c>
      <c r="G2077" s="24" t="str">
        <f>IF(OR(E2077="",E2077="!!!"),"",IF(OR(J2077=0,AND(J2077=1,K2077=1),AND(J2077=1,I2077="SBJ"),AND(J2077=1,I2077=0)),"?IN_FOCUS",IF(J2077&lt;=2,"?ACTIVATED",IF(J2077&lt;&gt;"","?FAMILIAR",IF(F2077="NEW",IF(ISNA(VLOOKUP(E2077,#REF!,1,FALSE())),"?TYPE_IDENTIFIABLE","?REFERENTIAL"),"_")))))</f>
        <v> </v>
      </c>
      <c r="H2077" s="25" t="str">
        <f>IF(J2077&lt;&gt;1,"",IF(I2077="SBJ","CB","?"))</f>
        <v> </v>
      </c>
      <c r="I2077" s="26" t="str">
        <f>IF(OR(E2077="",E2077="!!!",F2077="NEW"),"",INDEX(B2076:B$2,-1+SUMPRODUCT(MAX(ROW(E2076:E$2)*(E2077=E2076:E$2)))))</f>
        <v> </v>
      </c>
      <c r="J2077" s="26" t="str">
        <f>IF(OR(E2077="",E2077="!!!",F2077="NEW"),"",COUNTBLANK(OFFSET(A$1,,,SUMPRODUCT(MAX(ROW(E$2:E2077)*(E2077=E$2:E2077)))))-COUNTBLANK(OFFSET(A$1,,,SUMPRODUCT(MAX(ROW(E$1:E2076)*(E2=E$1:E2076))))))</f>
        <v> </v>
      </c>
      <c r="K2077" s="26" t="str">
        <f>IF(OR(E2077="",E2077="!!!",F2077="NEW"),"",INDEX(J$1:J2076,SUMPRODUCT(MAX(ROW(E$1:E2076)*(E2077=E$1:E2076)))))</f>
        <v> </v>
      </c>
      <c r="L2077" s="27"/>
    </row>
    <row r="2078" spans="1:12">
      <c r="A2078" s="20" t="s">
        <v>1553</v>
      </c>
      <c r="B2078" s="21" t="s">
        <v>764</v>
      </c>
      <c r="C2078" s="21" t="s">
        <v>967</v>
      </c>
      <c r="E2078" s="22">
        <f>IF(D2078="?OLD","!!!","")</f>
        <v/>
      </c>
      <c r="F2078" s="23" t="str">
        <f>IF(OR(E2078="",E2078="!!!"),"",IF(NOT(ISNA(VLOOKUP(E2078,E$1:E2077,1,FALSE()))),"OLD",IF(AND(E2078&lt;&gt;"",E2078&lt;&gt;"!!!"),"NEW","")))</f>
        <v> </v>
      </c>
      <c r="G2078" s="24" t="str">
        <f>IF(OR(E2078="",E2078="!!!"),"",IF(OR(J2078=0,AND(J2078=1,K2078=1),AND(J2078=1,I2078="SBJ"),AND(J2078=1,I2078=0)),"?IN_FOCUS",IF(J2078&lt;=2,"?ACTIVATED",IF(J2078&lt;&gt;"","?FAMILIAR",IF(F2078="NEW",IF(ISNA(VLOOKUP(E2078,#REF!,1,FALSE())),"?TYPE_IDENTIFIABLE","?REFERENTIAL"),"_")))))</f>
        <v> </v>
      </c>
      <c r="H2078" s="25" t="str">
        <f>IF(J2078&lt;&gt;1,"",IF(I2078="SBJ","CB","?"))</f>
        <v> </v>
      </c>
      <c r="I2078" s="26" t="str">
        <f>IF(OR(E2078="",E2078="!!!",F2078="NEW"),"",INDEX(B2077:B$2,-1+SUMPRODUCT(MAX(ROW(E2077:E$2)*(E2078=E2077:E$2)))))</f>
        <v> </v>
      </c>
      <c r="J2078" s="26" t="str">
        <f>IF(OR(E2078="",E2078="!!!",F2078="NEW"),"",COUNTBLANK(OFFSET(A$1,,,SUMPRODUCT(MAX(ROW(E$2:E2078)*(E2078=E$2:E2078)))))-COUNTBLANK(OFFSET(A$1,,,SUMPRODUCT(MAX(ROW(E$1:E2077)*(E2=E$1:E2077))))))</f>
        <v> </v>
      </c>
      <c r="K2078" s="26" t="str">
        <f>IF(OR(E2078="",E2078="!!!",F2078="NEW"),"",INDEX(J$1:J2077,SUMPRODUCT(MAX(ROW(E$1:E2077)*(E2078=E$1:E2077)))))</f>
        <v> </v>
      </c>
      <c r="L2078" s="27"/>
    </row>
    <row r="2079" spans="1:12">
      <c r="A2079" s="20" t="s">
        <v>1554</v>
      </c>
      <c r="E2079" s="22">
        <f>IF(D2079="?OLD","!!!","")</f>
        <v/>
      </c>
      <c r="F2079" s="23" t="str">
        <f>IF(OR(E2079="",E2079="!!!"),"",IF(NOT(ISNA(VLOOKUP(E2079,E$1:E2078,1,FALSE()))),"OLD",IF(AND(E2079&lt;&gt;"",E2079&lt;&gt;"!!!"),"NEW","")))</f>
        <v> </v>
      </c>
      <c r="G2079" s="24" t="str">
        <f>IF(OR(E2079="",E2079="!!!"),"",IF(OR(J2079=0,AND(J2079=1,K2079=1),AND(J2079=1,I2079="SBJ"),AND(J2079=1,I2079=0)),"?IN_FOCUS",IF(J2079&lt;=2,"?ACTIVATED",IF(J2079&lt;&gt;"","?FAMILIAR",IF(F2079="NEW",IF(ISNA(VLOOKUP(E2079,#REF!,1,FALSE())),"?TYPE_IDENTIFIABLE","?REFERENTIAL"),"_")))))</f>
        <v> </v>
      </c>
      <c r="H2079" s="25" t="str">
        <f>IF(J2079&lt;&gt;1,"",IF(I2079="SBJ","CB","?"))</f>
        <v> </v>
      </c>
      <c r="I2079" s="26" t="str">
        <f>IF(OR(E2079="",E2079="!!!",F2079="NEW"),"",INDEX(B2078:B$2,-1+SUMPRODUCT(MAX(ROW(E2078:E$2)*(E2079=E2078:E$2)))))</f>
        <v> </v>
      </c>
      <c r="J2079" s="26" t="str">
        <f>IF(OR(E2079="",E2079="!!!",F2079="NEW"),"",COUNTBLANK(OFFSET(A$1,,,SUMPRODUCT(MAX(ROW(E$2:E2079)*(E2079=E$2:E2079)))))-COUNTBLANK(OFFSET(A$1,,,SUMPRODUCT(MAX(ROW(E$1:E2078)*(E2=E$1:E2078))))))</f>
        <v> </v>
      </c>
      <c r="K2079" s="26" t="str">
        <f>IF(OR(E2079="",E2079="!!!",F2079="NEW"),"",INDEX(J$1:J2078,SUMPRODUCT(MAX(ROW(E$1:E2078)*(E2079=E$1:E2078)))))</f>
        <v> </v>
      </c>
      <c r="L2079" s="27"/>
    </row>
    <row r="2080" spans="1:12">
      <c r="A2080" s="20" t="s">
        <v>246</v>
      </c>
      <c r="E2080" s="22">
        <f>IF(D2080="?OLD","!!!","")</f>
        <v/>
      </c>
      <c r="F2080" s="23" t="str">
        <f>IF(OR(E2080="",E2080="!!!"),"",IF(NOT(ISNA(VLOOKUP(E2080,E$1:E2079,1,FALSE()))),"OLD",IF(AND(E2080&lt;&gt;"",E2080&lt;&gt;"!!!"),"NEW","")))</f>
        <v> </v>
      </c>
      <c r="G2080" s="24" t="str">
        <f>IF(OR(E2080="",E2080="!!!"),"",IF(OR(J2080=0,AND(J2080=1,K2080=1),AND(J2080=1,I2080="SBJ"),AND(J2080=1,I2080=0)),"?IN_FOCUS",IF(J2080&lt;=2,"?ACTIVATED",IF(J2080&lt;&gt;"","?FAMILIAR",IF(F2080="NEW",IF(ISNA(VLOOKUP(E2080,#REF!,1,FALSE())),"?TYPE_IDENTIFIABLE","?REFERENTIAL"),"_")))))</f>
        <v> </v>
      </c>
      <c r="H2080" s="25" t="str">
        <f>IF(J2080&lt;&gt;1,"",IF(I2080="SBJ","CB","?"))</f>
        <v> </v>
      </c>
      <c r="I2080" s="26" t="str">
        <f>IF(OR(E2080="",E2080="!!!",F2080="NEW"),"",INDEX(B2079:B$2,-1+SUMPRODUCT(MAX(ROW(E2079:E$2)*(E2080=E2079:E$2)))))</f>
        <v> </v>
      </c>
      <c r="J2080" s="26" t="str">
        <f>IF(OR(E2080="",E2080="!!!",F2080="NEW"),"",COUNTBLANK(OFFSET(A$1,,,SUMPRODUCT(MAX(ROW(E$2:E2080)*(E2080=E$2:E2080)))))-COUNTBLANK(OFFSET(A$1,,,SUMPRODUCT(MAX(ROW(E$1:E2079)*(E2=E$1:E2079))))))</f>
        <v> </v>
      </c>
      <c r="K2080" s="26" t="str">
        <f>IF(OR(E2080="",E2080="!!!",F2080="NEW"),"",INDEX(J$1:J2079,SUMPRODUCT(MAX(ROW(E$1:E2079)*(E2080=E$1:E2079)))))</f>
        <v> </v>
      </c>
      <c r="L2080" s="27"/>
    </row>
    <row r="2081" spans="1:12">
      <c r="A2081" s="20"/>
    </row>
    <row r="2082" spans="1:12">
      <c r="A2082" s="20" t="s">
        <v>1555</v>
      </c>
    </row>
    <row r="2083" spans="1:12">
      <c r="A2083" s="20" t="s">
        <v>1005</v>
      </c>
      <c r="E2083" s="22">
        <f>IF(D2083="?OLD","!!!","")</f>
        <v/>
      </c>
      <c r="F2083" s="23" t="str">
        <f>IF(OR(E2083="",E2083="!!!"),"",IF(NOT(ISNA(VLOOKUP(E2083,E$1:E2082,1,FALSE()))),"OLD",IF(AND(E2083&lt;&gt;"",E2083&lt;&gt;"!!!"),"NEW","")))</f>
        <v> </v>
      </c>
      <c r="G2083" s="24" t="str">
        <f>IF(OR(E2083="",E2083="!!!"),"",IF(OR(J2083=0,AND(J2083=1,K2083=1),AND(J2083=1,I2083="SBJ"),AND(J2083=1,I2083=0)),"?IN_FOCUS",IF(J2083&lt;=2,"?ACTIVATED",IF(J2083&lt;&gt;"","?FAMILIAR",IF(F2083="NEW",IF(ISNA(VLOOKUP(E2083,#REF!,1,FALSE())),"?TYPE_IDENTIFIABLE","?REFERENTIAL"),"_")))))</f>
        <v> </v>
      </c>
      <c r="H2083" s="25" t="str">
        <f>IF(J2083&lt;&gt;1,"",IF(I2083="SBJ","CB","?"))</f>
        <v> </v>
      </c>
      <c r="I2083" s="26" t="str">
        <f>IF(OR(E2083="",E2083="!!!",F2083="NEW"),"",INDEX(B2082:B$2,-1+SUMPRODUCT(MAX(ROW(E2082:E$2)*(E2083=E2082:E$2)))))</f>
        <v> </v>
      </c>
      <c r="J2083" s="26" t="str">
        <f>IF(OR(E2083="",E2083="!!!",F2083="NEW"),"",COUNTBLANK(OFFSET(A$1,,,SUMPRODUCT(MAX(ROW(E$2:E2083)*(E2083=E$2:E2083)))))-COUNTBLANK(OFFSET(A$1,,,SUMPRODUCT(MAX(ROW(E$1:E2082)*(E2=E$1:E2082))))))</f>
        <v> </v>
      </c>
      <c r="K2083" s="26" t="str">
        <f>IF(OR(E2083="",E2083="!!!",F2083="NEW"),"",INDEX(J$1:J2082,SUMPRODUCT(MAX(ROW(E$1:E2082)*(E2083=E$1:E2082)))))</f>
        <v> </v>
      </c>
      <c r="L2083" s="27"/>
    </row>
    <row r="2084" spans="1:12">
      <c r="A2084" s="20" t="s">
        <v>1556</v>
      </c>
      <c r="E2084" s="22">
        <f>IF(D2084="?OLD","!!!","")</f>
        <v/>
      </c>
      <c r="F2084" s="23" t="str">
        <f>IF(OR(E2084="",E2084="!!!"),"",IF(NOT(ISNA(VLOOKUP(E2084,E$1:E2083,1,FALSE()))),"OLD",IF(AND(E2084&lt;&gt;"",E2084&lt;&gt;"!!!"),"NEW","")))</f>
        <v> </v>
      </c>
      <c r="G2084" s="24" t="str">
        <f>IF(OR(E2084="",E2084="!!!"),"",IF(OR(J2084=0,AND(J2084=1,K2084=1),AND(J2084=1,I2084="SBJ"),AND(J2084=1,I2084=0)),"?IN_FOCUS",IF(J2084&lt;=2,"?ACTIVATED",IF(J2084&lt;&gt;"","?FAMILIAR",IF(F2084="NEW",IF(ISNA(VLOOKUP(E2084,#REF!,1,FALSE())),"?TYPE_IDENTIFIABLE","?REFERENTIAL"),"_")))))</f>
        <v> </v>
      </c>
      <c r="H2084" s="25" t="str">
        <f>IF(J2084&lt;&gt;1,"",IF(I2084="SBJ","CB","?"))</f>
        <v> </v>
      </c>
      <c r="I2084" s="26" t="str">
        <f>IF(OR(E2084="",E2084="!!!",F2084="NEW"),"",INDEX(B2083:B$2,-1+SUMPRODUCT(MAX(ROW(E2083:E$2)*(E2084=E2083:E$2)))))</f>
        <v> </v>
      </c>
      <c r="J2084" s="26" t="str">
        <f>IF(OR(E2084="",E2084="!!!",F2084="NEW"),"",COUNTBLANK(OFFSET(A$1,,,SUMPRODUCT(MAX(ROW(E$2:E2084)*(E2084=E$2:E2084)))))-COUNTBLANK(OFFSET(A$1,,,SUMPRODUCT(MAX(ROW(E$1:E2083)*(E2=E$1:E2083))))))</f>
        <v> </v>
      </c>
      <c r="K2084" s="26" t="str">
        <f>IF(OR(E2084="",E2084="!!!",F2084="NEW"),"",INDEX(J$1:J2083,SUMPRODUCT(MAX(ROW(E$1:E2083)*(E2084=E$1:E2083)))))</f>
        <v> </v>
      </c>
      <c r="L2084" s="27"/>
    </row>
    <row r="2085" spans="1:12">
      <c r="A2085" s="20" t="s">
        <v>859</v>
      </c>
      <c r="B2085" s="21" t="s">
        <v>728</v>
      </c>
      <c r="C2085" s="21" t="s">
        <v>789</v>
      </c>
      <c r="D2085" s="21" t="s">
        <v>730</v>
      </c>
      <c r="E2085" s="22">
        <f>IF(D2085="?OLD","!!!","")</f>
        <v/>
      </c>
      <c r="F2085" s="23" t="str">
        <f>IF(OR(E2085="",E2085="!!!"),"",IF(NOT(ISNA(VLOOKUP(E2085,E$1:E2084,1,FALSE()))),"OLD",IF(AND(E2085&lt;&gt;"",E2085&lt;&gt;"!!!"),"NEW","")))</f>
        <v> </v>
      </c>
      <c r="G2085" s="24" t="str">
        <f>IF(OR(E2085="",E2085="!!!"),"",IF(OR(J2085=0,AND(J2085=1,K2085=1),AND(J2085=1,I2085="SBJ"),AND(J2085=1,I2085=0)),"?IN_FOCUS",IF(J2085&lt;=2,"?ACTIVATED",IF(J2085&lt;&gt;"","?FAMILIAR",IF(F2085="NEW",IF(ISNA(VLOOKUP(E2085,#REF!,1,FALSE())),"?TYPE_IDENTIFIABLE","?REFERENTIAL"),"_")))))</f>
        <v> </v>
      </c>
      <c r="H2085" s="25" t="str">
        <f>IF(J2085&lt;&gt;1,"",IF(I2085="SBJ","CB","?"))</f>
        <v> </v>
      </c>
      <c r="I2085" s="26" t="str">
        <f>IF(OR(E2085="",E2085="!!!",F2085="NEW"),"",INDEX(B2084:B$2,-1+SUMPRODUCT(MAX(ROW(E2084:E$2)*(E2085=E2084:E$2)))))</f>
        <v> </v>
      </c>
      <c r="J2085" s="26" t="str">
        <f>IF(OR(E2085="",E2085="!!!",F2085="NEW"),"",COUNTBLANK(OFFSET(A$1,,,SUMPRODUCT(MAX(ROW(E$2:E2085)*(E2085=E$2:E2085)))))-COUNTBLANK(OFFSET(A$1,,,SUMPRODUCT(MAX(ROW(E$1:E2084)*(E2=E$1:E2084))))))</f>
        <v> </v>
      </c>
      <c r="K2085" s="26" t="str">
        <f>IF(OR(E2085="",E2085="!!!",F2085="NEW"),"",INDEX(J$1:J2084,SUMPRODUCT(MAX(ROW(E$1:E2084)*(E2085=E$1:E2084)))))</f>
        <v> </v>
      </c>
      <c r="L2085" s="27"/>
    </row>
    <row r="2086" spans="1:12">
      <c r="A2086" s="20" t="s">
        <v>813</v>
      </c>
      <c r="E2086" s="22">
        <f>IF(D2086="?OLD","!!!","")</f>
        <v/>
      </c>
      <c r="F2086" s="23" t="str">
        <f>IF(OR(E2086="",E2086="!!!"),"",IF(NOT(ISNA(VLOOKUP(E2086,E$1:E2085,1,FALSE()))),"OLD",IF(AND(E2086&lt;&gt;"",E2086&lt;&gt;"!!!"),"NEW","")))</f>
        <v> </v>
      </c>
      <c r="G2086" s="24" t="str">
        <f>IF(OR(E2086="",E2086="!!!"),"",IF(OR(J2086=0,AND(J2086=1,K2086=1),AND(J2086=1,I2086="SBJ"),AND(J2086=1,I2086=0)),"?IN_FOCUS",IF(J2086&lt;=2,"?ACTIVATED",IF(J2086&lt;&gt;"","?FAMILIAR",IF(F2086="NEW",IF(ISNA(VLOOKUP(E2086,#REF!,1,FALSE())),"?TYPE_IDENTIFIABLE","?REFERENTIAL"),"_")))))</f>
        <v> </v>
      </c>
      <c r="H2086" s="25" t="str">
        <f>IF(J2086&lt;&gt;1,"",IF(I2086="SBJ","CB","?"))</f>
        <v> </v>
      </c>
      <c r="I2086" s="26" t="str">
        <f>IF(OR(E2086="",E2086="!!!",F2086="NEW"),"",INDEX(B2085:B$2,-1+SUMPRODUCT(MAX(ROW(E2085:E$2)*(E2086=E2085:E$2)))))</f>
        <v> </v>
      </c>
      <c r="J2086" s="26" t="str">
        <f>IF(OR(E2086="",E2086="!!!",F2086="NEW"),"",COUNTBLANK(OFFSET(A$1,,,SUMPRODUCT(MAX(ROW(E$2:E2086)*(E2086=E$2:E2086)))))-COUNTBLANK(OFFSET(A$1,,,SUMPRODUCT(MAX(ROW(E$1:E2085)*(E2=E$1:E2085))))))</f>
        <v> </v>
      </c>
      <c r="K2086" s="26" t="str">
        <f>IF(OR(E2086="",E2086="!!!",F2086="NEW"),"",INDEX(J$1:J2085,SUMPRODUCT(MAX(ROW(E$1:E2085)*(E2086=E$1:E2085)))))</f>
        <v> </v>
      </c>
      <c r="L2086" s="27"/>
    </row>
    <row r="2087" spans="1:12">
      <c r="A2087" s="20" t="s">
        <v>1557</v>
      </c>
      <c r="E2087" s="22">
        <f>IF(D2087="?OLD","!!!","")</f>
        <v/>
      </c>
      <c r="F2087" s="23" t="str">
        <f>IF(OR(E2087="",E2087="!!!"),"",IF(NOT(ISNA(VLOOKUP(E2087,E$1:E2086,1,FALSE()))),"OLD",IF(AND(E2087&lt;&gt;"",E2087&lt;&gt;"!!!"),"NEW","")))</f>
        <v> </v>
      </c>
      <c r="G2087" s="24" t="str">
        <f>IF(OR(E2087="",E2087="!!!"),"",IF(OR(J2087=0,AND(J2087=1,K2087=1),AND(J2087=1,I2087="SBJ"),AND(J2087=1,I2087=0)),"?IN_FOCUS",IF(J2087&lt;=2,"?ACTIVATED",IF(J2087&lt;&gt;"","?FAMILIAR",IF(F2087="NEW",IF(ISNA(VLOOKUP(E2087,#REF!,1,FALSE())),"?TYPE_IDENTIFIABLE","?REFERENTIAL"),"_")))))</f>
        <v> </v>
      </c>
      <c r="H2087" s="25" t="str">
        <f>IF(J2087&lt;&gt;1,"",IF(I2087="SBJ","CB","?"))</f>
        <v> </v>
      </c>
      <c r="I2087" s="26" t="str">
        <f>IF(OR(E2087="",E2087="!!!",F2087="NEW"),"",INDEX(B2086:B$2,-1+SUMPRODUCT(MAX(ROW(E2086:E$2)*(E2087=E2086:E$2)))))</f>
        <v> </v>
      </c>
      <c r="J2087" s="26" t="str">
        <f>IF(OR(E2087="",E2087="!!!",F2087="NEW"),"",COUNTBLANK(OFFSET(A$1,,,SUMPRODUCT(MAX(ROW(E$2:E2087)*(E2087=E$2:E2087)))))-COUNTBLANK(OFFSET(A$1,,,SUMPRODUCT(MAX(ROW(E$1:E2086)*(E2=E$1:E2086))))))</f>
        <v> </v>
      </c>
      <c r="K2087" s="26" t="str">
        <f>IF(OR(E2087="",E2087="!!!",F2087="NEW"),"",INDEX(J$1:J2086,SUMPRODUCT(MAX(ROW(E$1:E2086)*(E2087=E$1:E2086)))))</f>
        <v> </v>
      </c>
      <c r="L2087" s="27"/>
    </row>
    <row r="2088" spans="1:12">
      <c r="A2088" s="20" t="s">
        <v>1211</v>
      </c>
      <c r="B2088" s="21" t="s">
        <v>764</v>
      </c>
      <c r="C2088" s="21" t="s">
        <v>753</v>
      </c>
      <c r="D2088" s="21" t="s">
        <v>730</v>
      </c>
      <c r="E2088" s="22">
        <f>IF(D2088="?OLD","!!!","")</f>
        <v/>
      </c>
      <c r="F2088" s="23" t="str">
        <f>IF(OR(E2088="",E2088="!!!"),"",IF(NOT(ISNA(VLOOKUP(E2088,E$1:E2087,1,FALSE()))),"OLD",IF(AND(E2088&lt;&gt;"",E2088&lt;&gt;"!!!"),"NEW","")))</f>
        <v> </v>
      </c>
      <c r="G2088" s="24" t="str">
        <f>IF(OR(E2088="",E2088="!!!"),"",IF(OR(J2088=0,AND(J2088=1,K2088=1),AND(J2088=1,I2088="SBJ"),AND(J2088=1,I2088=0)),"?IN_FOCUS",IF(J2088&lt;=2,"?ACTIVATED",IF(J2088&lt;&gt;"","?FAMILIAR",IF(F2088="NEW",IF(ISNA(VLOOKUP(E2088,#REF!,1,FALSE())),"?TYPE_IDENTIFIABLE","?REFERENTIAL"),"_")))))</f>
        <v> </v>
      </c>
      <c r="H2088" s="25" t="str">
        <f>IF(J2088&lt;&gt;1,"",IF(I2088="SBJ","CB","?"))</f>
        <v> </v>
      </c>
      <c r="I2088" s="26" t="str">
        <f>IF(OR(E2088="",E2088="!!!",F2088="NEW"),"",INDEX(B2087:B$2,-1+SUMPRODUCT(MAX(ROW(E2087:E$2)*(E2088=E2087:E$2)))))</f>
        <v> </v>
      </c>
      <c r="J2088" s="26" t="str">
        <f>IF(OR(E2088="",E2088="!!!",F2088="NEW"),"",COUNTBLANK(OFFSET(A$1,,,SUMPRODUCT(MAX(ROW(E$2:E2088)*(E2088=E$2:E2088)))))-COUNTBLANK(OFFSET(A$1,,,SUMPRODUCT(MAX(ROW(E$1:E2087)*(E2=E$1:E2087))))))</f>
        <v> </v>
      </c>
      <c r="K2088" s="26" t="str">
        <f>IF(OR(E2088="",E2088="!!!",F2088="NEW"),"",INDEX(J$1:J2087,SUMPRODUCT(MAX(ROW(E$1:E2087)*(E2088=E$1:E2087)))))</f>
        <v> </v>
      </c>
      <c r="L2088" s="27"/>
    </row>
    <row r="2089" spans="1:12">
      <c r="A2089" s="20" t="s">
        <v>246</v>
      </c>
      <c r="E2089" s="22">
        <f>IF(D2089="?OLD","!!!","")</f>
        <v/>
      </c>
      <c r="F2089" s="23" t="str">
        <f>IF(OR(E2089="",E2089="!!!"),"",IF(NOT(ISNA(VLOOKUP(E2089,E$1:E2088,1,FALSE()))),"OLD",IF(AND(E2089&lt;&gt;"",E2089&lt;&gt;"!!!"),"NEW","")))</f>
        <v> </v>
      </c>
      <c r="G2089" s="24" t="str">
        <f>IF(OR(E2089="",E2089="!!!"),"",IF(OR(J2089=0,AND(J2089=1,K2089=1),AND(J2089=1,I2089="SBJ"),AND(J2089=1,I2089=0)),"?IN_FOCUS",IF(J2089&lt;=2,"?ACTIVATED",IF(J2089&lt;&gt;"","?FAMILIAR",IF(F2089="NEW",IF(ISNA(VLOOKUP(E2089,#REF!,1,FALSE())),"?TYPE_IDENTIFIABLE","?REFERENTIAL"),"_")))))</f>
        <v> </v>
      </c>
      <c r="H2089" s="25" t="str">
        <f>IF(J2089&lt;&gt;1,"",IF(I2089="SBJ","CB","?"))</f>
        <v> </v>
      </c>
      <c r="I2089" s="26" t="str">
        <f>IF(OR(E2089="",E2089="!!!",F2089="NEW"),"",INDEX(B2088:B$2,-1+SUMPRODUCT(MAX(ROW(E2088:E$2)*(E2089=E2088:E$2)))))</f>
        <v> </v>
      </c>
      <c r="J2089" s="26" t="str">
        <f>IF(OR(E2089="",E2089="!!!",F2089="NEW"),"",COUNTBLANK(OFFSET(A$1,,,SUMPRODUCT(MAX(ROW(E$2:E2089)*(E2089=E$2:E2089)))))-COUNTBLANK(OFFSET(A$1,,,SUMPRODUCT(MAX(ROW(E$1:E2088)*(E2=E$1:E2088))))))</f>
        <v> </v>
      </c>
      <c r="K2089" s="26" t="str">
        <f>IF(OR(E2089="",E2089="!!!",F2089="NEW"),"",INDEX(J$1:J2088,SUMPRODUCT(MAX(ROW(E$1:E2088)*(E2089=E$1:E2088)))))</f>
        <v> </v>
      </c>
      <c r="L2089" s="27"/>
    </row>
    <row r="2090" spans="1:12">
      <c r="A2090" s="20"/>
    </row>
    <row r="2091" spans="1:12">
      <c r="A2091" s="20" t="s">
        <v>1558</v>
      </c>
    </row>
    <row r="2092" spans="1:12">
      <c r="A2092" s="20" t="s">
        <v>1440</v>
      </c>
      <c r="B2092" s="21" t="s">
        <v>736</v>
      </c>
      <c r="C2092" s="21" t="s">
        <v>740</v>
      </c>
      <c r="D2092" s="21" t="s">
        <v>730</v>
      </c>
      <c r="E2092" s="22">
        <f>IF(D2092="?OLD","!!!","")</f>
        <v/>
      </c>
      <c r="F2092" s="23" t="str">
        <f>IF(OR(E2092="",E2092="!!!"),"",IF(NOT(ISNA(VLOOKUP(E2092,E$1:E2091,1,FALSE()))),"OLD",IF(AND(E2092&lt;&gt;"",E2092&lt;&gt;"!!!"),"NEW","")))</f>
        <v> </v>
      </c>
      <c r="G2092" s="24" t="str">
        <f>IF(OR(E2092="",E2092="!!!"),"",IF(OR(J2092=0,AND(J2092=1,K2092=1),AND(J2092=1,I2092="SBJ"),AND(J2092=1,I2092=0)),"?IN_FOCUS",IF(J2092&lt;=2,"?ACTIVATED",IF(J2092&lt;&gt;"","?FAMILIAR",IF(F2092="NEW",IF(ISNA(VLOOKUP(E2092,#REF!,1,FALSE())),"?TYPE_IDENTIFIABLE","?REFERENTIAL"),"_")))))</f>
        <v> </v>
      </c>
      <c r="H2092" s="25" t="str">
        <f>IF(J2092&lt;&gt;1,"",IF(I2092="SBJ","CB","?"))</f>
        <v> </v>
      </c>
      <c r="I2092" s="26" t="str">
        <f>IF(OR(E2092="",E2092="!!!",F2092="NEW"),"",INDEX(B2091:B$2,-1+SUMPRODUCT(MAX(ROW(E2091:E$2)*(E2092=E2091:E$2)))))</f>
        <v> </v>
      </c>
      <c r="J2092" s="26" t="str">
        <f>IF(OR(E2092="",E2092="!!!",F2092="NEW"),"",COUNTBLANK(OFFSET(A$1,,,SUMPRODUCT(MAX(ROW(E$2:E2092)*(E2092=E$2:E2092)))))-COUNTBLANK(OFFSET(A$1,,,SUMPRODUCT(MAX(ROW(E$1:E2091)*(E2=E$1:E2091))))))</f>
        <v> </v>
      </c>
      <c r="K2092" s="26" t="str">
        <f>IF(OR(E2092="",E2092="!!!",F2092="NEW"),"",INDEX(J$1:J2091,SUMPRODUCT(MAX(ROW(E$1:E2091)*(E2092=E$1:E2091)))))</f>
        <v> </v>
      </c>
      <c r="L2092" s="27"/>
    </row>
    <row r="2093" spans="1:12">
      <c r="A2093" s="20" t="s">
        <v>785</v>
      </c>
      <c r="E2093" s="22">
        <f>IF(D2093="?OLD","!!!","")</f>
        <v/>
      </c>
      <c r="F2093" s="23" t="str">
        <f>IF(OR(E2093="",E2093="!!!"),"",IF(NOT(ISNA(VLOOKUP(E2093,E$1:E2092,1,FALSE()))),"OLD",IF(AND(E2093&lt;&gt;"",E2093&lt;&gt;"!!!"),"NEW","")))</f>
        <v> </v>
      </c>
      <c r="G2093" s="24" t="str">
        <f>IF(OR(E2093="",E2093="!!!"),"",IF(OR(J2093=0,AND(J2093=1,K2093=1),AND(J2093=1,I2093="SBJ"),AND(J2093=1,I2093=0)),"?IN_FOCUS",IF(J2093&lt;=2,"?ACTIVATED",IF(J2093&lt;&gt;"","?FAMILIAR",IF(F2093="NEW",IF(ISNA(VLOOKUP(E2093,#REF!,1,FALSE())),"?TYPE_IDENTIFIABLE","?REFERENTIAL"),"_")))))</f>
        <v> </v>
      </c>
      <c r="H2093" s="25" t="str">
        <f>IF(J2093&lt;&gt;1,"",IF(I2093="SBJ","CB","?"))</f>
        <v> </v>
      </c>
      <c r="I2093" s="26" t="str">
        <f>IF(OR(E2093="",E2093="!!!",F2093="NEW"),"",INDEX(B2092:B$2,-1+SUMPRODUCT(MAX(ROW(E2092:E$2)*(E2093=E2092:E$2)))))</f>
        <v> </v>
      </c>
      <c r="J2093" s="26" t="str">
        <f>IF(OR(E2093="",E2093="!!!",F2093="NEW"),"",COUNTBLANK(OFFSET(A$1,,,SUMPRODUCT(MAX(ROW(E$2:E2093)*(E2093=E$2:E2093)))))-COUNTBLANK(OFFSET(A$1,,,SUMPRODUCT(MAX(ROW(E$1:E2092)*(E2=E$1:E2092))))))</f>
        <v> </v>
      </c>
      <c r="K2093" s="26" t="str">
        <f>IF(OR(E2093="",E2093="!!!",F2093="NEW"),"",INDEX(J$1:J2092,SUMPRODUCT(MAX(ROW(E$1:E2092)*(E2093=E$1:E2092)))))</f>
        <v> </v>
      </c>
      <c r="L2093" s="27"/>
    </row>
    <row r="2094" spans="1:12">
      <c r="A2094" s="20" t="s">
        <v>898</v>
      </c>
      <c r="E2094" s="22">
        <f>IF(D2094="?OLD","!!!","")</f>
        <v/>
      </c>
      <c r="F2094" s="23" t="str">
        <f>IF(OR(E2094="",E2094="!!!"),"",IF(NOT(ISNA(VLOOKUP(E2094,E$1:E2093,1,FALSE()))),"OLD",IF(AND(E2094&lt;&gt;"",E2094&lt;&gt;"!!!"),"NEW","")))</f>
        <v> </v>
      </c>
      <c r="G2094" s="24" t="str">
        <f>IF(OR(E2094="",E2094="!!!"),"",IF(OR(J2094=0,AND(J2094=1,K2094=1),AND(J2094=1,I2094="SBJ"),AND(J2094=1,I2094=0)),"?IN_FOCUS",IF(J2094&lt;=2,"?ACTIVATED",IF(J2094&lt;&gt;"","?FAMILIAR",IF(F2094="NEW",IF(ISNA(VLOOKUP(E2094,#REF!,1,FALSE())),"?TYPE_IDENTIFIABLE","?REFERENTIAL"),"_")))))</f>
        <v> </v>
      </c>
      <c r="H2094" s="25" t="str">
        <f>IF(J2094&lt;&gt;1,"",IF(I2094="SBJ","CB","?"))</f>
        <v> </v>
      </c>
      <c r="I2094" s="26" t="str">
        <f>IF(OR(E2094="",E2094="!!!",F2094="NEW"),"",INDEX(B2093:B$2,-1+SUMPRODUCT(MAX(ROW(E2093:E$2)*(E2094=E2093:E$2)))))</f>
        <v> </v>
      </c>
      <c r="J2094" s="26" t="str">
        <f>IF(OR(E2094="",E2094="!!!",F2094="NEW"),"",COUNTBLANK(OFFSET(A$1,,,SUMPRODUCT(MAX(ROW(E$2:E2094)*(E2094=E$2:E2094)))))-COUNTBLANK(OFFSET(A$1,,,SUMPRODUCT(MAX(ROW(E$1:E2093)*(E2=E$1:E2093))))))</f>
        <v> </v>
      </c>
      <c r="K2094" s="26" t="str">
        <f>IF(OR(E2094="",E2094="!!!",F2094="NEW"),"",INDEX(J$1:J2093,SUMPRODUCT(MAX(ROW(E$1:E2093)*(E2094=E$1:E2093)))))</f>
        <v> </v>
      </c>
      <c r="L2094" s="27"/>
    </row>
    <row r="2095" spans="1:12">
      <c r="A2095" s="20" t="s">
        <v>1559</v>
      </c>
      <c r="E2095" s="22">
        <f>IF(D2095="?OLD","!!!","")</f>
        <v/>
      </c>
      <c r="F2095" s="23" t="str">
        <f>IF(OR(E2095="",E2095="!!!"),"",IF(NOT(ISNA(VLOOKUP(E2095,E$1:E2094,1,FALSE()))),"OLD",IF(AND(E2095&lt;&gt;"",E2095&lt;&gt;"!!!"),"NEW","")))</f>
        <v> </v>
      </c>
      <c r="G2095" s="24" t="str">
        <f>IF(OR(E2095="",E2095="!!!"),"",IF(OR(J2095=0,AND(J2095=1,K2095=1),AND(J2095=1,I2095="SBJ"),AND(J2095=1,I2095=0)),"?IN_FOCUS",IF(J2095&lt;=2,"?ACTIVATED",IF(J2095&lt;&gt;"","?FAMILIAR",IF(F2095="NEW",IF(ISNA(VLOOKUP(E2095,#REF!,1,FALSE())),"?TYPE_IDENTIFIABLE","?REFERENTIAL"),"_")))))</f>
        <v> </v>
      </c>
      <c r="H2095" s="25" t="str">
        <f>IF(J2095&lt;&gt;1,"",IF(I2095="SBJ","CB","?"))</f>
        <v> </v>
      </c>
      <c r="I2095" s="26" t="str">
        <f>IF(OR(E2095="",E2095="!!!",F2095="NEW"),"",INDEX(B2094:B$2,-1+SUMPRODUCT(MAX(ROW(E2094:E$2)*(E2095=E2094:E$2)))))</f>
        <v> </v>
      </c>
      <c r="J2095" s="26" t="str">
        <f>IF(OR(E2095="",E2095="!!!",F2095="NEW"),"",COUNTBLANK(OFFSET(A$1,,,SUMPRODUCT(MAX(ROW(E$2:E2095)*(E2095=E$2:E2095)))))-COUNTBLANK(OFFSET(A$1,,,SUMPRODUCT(MAX(ROW(E$1:E2094)*(E2=E$1:E2094))))))</f>
        <v> </v>
      </c>
      <c r="K2095" s="26" t="str">
        <f>IF(OR(E2095="",E2095="!!!",F2095="NEW"),"",INDEX(J$1:J2094,SUMPRODUCT(MAX(ROW(E$1:E2094)*(E2095=E$1:E2094)))))</f>
        <v> </v>
      </c>
      <c r="L2095" s="27"/>
    </row>
    <row r="2096" spans="1:12">
      <c r="A2096" s="20" t="s">
        <v>750</v>
      </c>
      <c r="B2096" s="21" t="s">
        <v>728</v>
      </c>
      <c r="C2096" s="21" t="s">
        <v>729</v>
      </c>
      <c r="D2096" s="21" t="s">
        <v>730</v>
      </c>
      <c r="E2096" s="22">
        <f>IF(D2096="?OLD","!!!","")</f>
        <v/>
      </c>
      <c r="F2096" s="23" t="str">
        <f>IF(OR(E2096="",E2096="!!!"),"",IF(NOT(ISNA(VLOOKUP(E2096,E$1:E2095,1,FALSE()))),"OLD",IF(AND(E2096&lt;&gt;"",E2096&lt;&gt;"!!!"),"NEW","")))</f>
        <v> </v>
      </c>
      <c r="G2096" s="24" t="str">
        <f>IF(OR(E2096="",E2096="!!!"),"",IF(OR(J2096=0,AND(J2096=1,K2096=1),AND(J2096=1,I2096="SBJ"),AND(J2096=1,I2096=0)),"?IN_FOCUS",IF(J2096&lt;=2,"?ACTIVATED",IF(J2096&lt;&gt;"","?FAMILIAR",IF(F2096="NEW",IF(ISNA(VLOOKUP(E2096,#REF!,1,FALSE())),"?TYPE_IDENTIFIABLE","?REFERENTIAL"),"_")))))</f>
        <v> </v>
      </c>
      <c r="H2096" s="25" t="str">
        <f>IF(J2096&lt;&gt;1,"",IF(I2096="SBJ","CB","?"))</f>
        <v> </v>
      </c>
      <c r="I2096" s="26" t="str">
        <f>IF(OR(E2096="",E2096="!!!",F2096="NEW"),"",INDEX(B2095:B$2,-1+SUMPRODUCT(MAX(ROW(E2095:E$2)*(E2096=E2095:E$2)))))</f>
        <v> </v>
      </c>
      <c r="J2096" s="26" t="str">
        <f>IF(OR(E2096="",E2096="!!!",F2096="NEW"),"",COUNTBLANK(OFFSET(A$1,,,SUMPRODUCT(MAX(ROW(E$2:E2096)*(E2096=E$2:E2096)))))-COUNTBLANK(OFFSET(A$1,,,SUMPRODUCT(MAX(ROW(E$1:E2095)*(E2=E$1:E2095))))))</f>
        <v> </v>
      </c>
      <c r="K2096" s="26" t="str">
        <f>IF(OR(E2096="",E2096="!!!",F2096="NEW"),"",INDEX(J$1:J2095,SUMPRODUCT(MAX(ROW(E$1:E2095)*(E2096=E$1:E2095)))))</f>
        <v> </v>
      </c>
      <c r="L2096" s="27"/>
    </row>
    <row r="2097" spans="1:12">
      <c r="A2097" s="20" t="s">
        <v>1560</v>
      </c>
      <c r="E2097" s="22">
        <f>IF(D2097="?OLD","!!!","")</f>
        <v/>
      </c>
      <c r="F2097" s="23" t="str">
        <f>IF(OR(E2097="",E2097="!!!"),"",IF(NOT(ISNA(VLOOKUP(E2097,E$1:E2096,1,FALSE()))),"OLD",IF(AND(E2097&lt;&gt;"",E2097&lt;&gt;"!!!"),"NEW","")))</f>
        <v> </v>
      </c>
      <c r="G2097" s="24" t="str">
        <f>IF(OR(E2097="",E2097="!!!"),"",IF(OR(J2097=0,AND(J2097=1,K2097=1),AND(J2097=1,I2097="SBJ"),AND(J2097=1,I2097=0)),"?IN_FOCUS",IF(J2097&lt;=2,"?ACTIVATED",IF(J2097&lt;&gt;"","?FAMILIAR",IF(F2097="NEW",IF(ISNA(VLOOKUP(E2097,#REF!,1,FALSE())),"?TYPE_IDENTIFIABLE","?REFERENTIAL"),"_")))))</f>
        <v> </v>
      </c>
      <c r="H2097" s="25" t="str">
        <f>IF(J2097&lt;&gt;1,"",IF(I2097="SBJ","CB","?"))</f>
        <v> </v>
      </c>
      <c r="I2097" s="26" t="str">
        <f>IF(OR(E2097="",E2097="!!!",F2097="NEW"),"",INDEX(B2096:B$2,-1+SUMPRODUCT(MAX(ROW(E2096:E$2)*(E2097=E2096:E$2)))))</f>
        <v> </v>
      </c>
      <c r="J2097" s="26" t="str">
        <f>IF(OR(E2097="",E2097="!!!",F2097="NEW"),"",COUNTBLANK(OFFSET(A$1,,,SUMPRODUCT(MAX(ROW(E$2:E2097)*(E2097=E$2:E2097)))))-COUNTBLANK(OFFSET(A$1,,,SUMPRODUCT(MAX(ROW(E$1:E2096)*(E2=E$1:E2096))))))</f>
        <v> </v>
      </c>
      <c r="K2097" s="26" t="str">
        <f>IF(OR(E2097="",E2097="!!!",F2097="NEW"),"",INDEX(J$1:J2096,SUMPRODUCT(MAX(ROW(E$1:E2096)*(E2097=E$1:E2096)))))</f>
        <v> </v>
      </c>
      <c r="L2097" s="27"/>
    </row>
    <row r="2098" spans="1:12">
      <c r="A2098" s="20" t="s">
        <v>759</v>
      </c>
      <c r="E2098" s="22">
        <f>IF(D2098="?OLD","!!!","")</f>
        <v/>
      </c>
      <c r="F2098" s="23" t="str">
        <f>IF(OR(E2098="",E2098="!!!"),"",IF(NOT(ISNA(VLOOKUP(E2098,E$1:E2097,1,FALSE()))),"OLD",IF(AND(E2098&lt;&gt;"",E2098&lt;&gt;"!!!"),"NEW","")))</f>
        <v> </v>
      </c>
      <c r="G2098" s="24" t="str">
        <f>IF(OR(E2098="",E2098="!!!"),"",IF(OR(J2098=0,AND(J2098=1,K2098=1),AND(J2098=1,I2098="SBJ"),AND(J2098=1,I2098=0)),"?IN_FOCUS",IF(J2098&lt;=2,"?ACTIVATED",IF(J2098&lt;&gt;"","?FAMILIAR",IF(F2098="NEW",IF(ISNA(VLOOKUP(E2098,#REF!,1,FALSE())),"?TYPE_IDENTIFIABLE","?REFERENTIAL"),"_")))))</f>
        <v> </v>
      </c>
      <c r="H2098" s="25" t="str">
        <f>IF(J2098&lt;&gt;1,"",IF(I2098="SBJ","CB","?"))</f>
        <v> </v>
      </c>
      <c r="I2098" s="26" t="str">
        <f>IF(OR(E2098="",E2098="!!!",F2098="NEW"),"",INDEX(B2097:B$2,-1+SUMPRODUCT(MAX(ROW(E2097:E$2)*(E2098=E2097:E$2)))))</f>
        <v> </v>
      </c>
      <c r="J2098" s="26" t="str">
        <f>IF(OR(E2098="",E2098="!!!",F2098="NEW"),"",COUNTBLANK(OFFSET(A$1,,,SUMPRODUCT(MAX(ROW(E$2:E2098)*(E2098=E$2:E2098)))))-COUNTBLANK(OFFSET(A$1,,,SUMPRODUCT(MAX(ROW(E$1:E2097)*(E2=E$1:E2097))))))</f>
        <v> </v>
      </c>
      <c r="K2098" s="26" t="str">
        <f>IF(OR(E2098="",E2098="!!!",F2098="NEW"),"",INDEX(J$1:J2097,SUMPRODUCT(MAX(ROW(E$1:E2097)*(E2098=E$1:E2097)))))</f>
        <v> </v>
      </c>
      <c r="L2098" s="27"/>
    </row>
    <row r="2099" spans="1:12">
      <c r="A2099" s="20" t="s">
        <v>742</v>
      </c>
      <c r="E2099" s="22">
        <f>IF(D2099="?OLD","!!!","")</f>
        <v/>
      </c>
      <c r="F2099" s="23" t="str">
        <f>IF(OR(E2099="",E2099="!!!"),"",IF(NOT(ISNA(VLOOKUP(E2099,E$1:E2098,1,FALSE()))),"OLD",IF(AND(E2099&lt;&gt;"",E2099&lt;&gt;"!!!"),"NEW","")))</f>
        <v> </v>
      </c>
      <c r="G2099" s="24" t="str">
        <f>IF(OR(E2099="",E2099="!!!"),"",IF(OR(J2099=0,AND(J2099=1,K2099=1),AND(J2099=1,I2099="SBJ"),AND(J2099=1,I2099=0)),"?IN_FOCUS",IF(J2099&lt;=2,"?ACTIVATED",IF(J2099&lt;&gt;"","?FAMILIAR",IF(F2099="NEW",IF(ISNA(VLOOKUP(E2099,#REF!,1,FALSE())),"?TYPE_IDENTIFIABLE","?REFERENTIAL"),"_")))))</f>
        <v> </v>
      </c>
      <c r="H2099" s="25" t="str">
        <f>IF(J2099&lt;&gt;1,"",IF(I2099="SBJ","CB","?"))</f>
        <v> </v>
      </c>
      <c r="I2099" s="26" t="str">
        <f>IF(OR(E2099="",E2099="!!!",F2099="NEW"),"",INDEX(B2098:B$2,-1+SUMPRODUCT(MAX(ROW(E2098:E$2)*(E2099=E2098:E$2)))))</f>
        <v> </v>
      </c>
      <c r="J2099" s="26" t="str">
        <f>IF(OR(E2099="",E2099="!!!",F2099="NEW"),"",COUNTBLANK(OFFSET(A$1,,,SUMPRODUCT(MAX(ROW(E$2:E2099)*(E2099=E$2:E2099)))))-COUNTBLANK(OFFSET(A$1,,,SUMPRODUCT(MAX(ROW(E$1:E2098)*(E2=E$1:E2098))))))</f>
        <v> </v>
      </c>
      <c r="K2099" s="26" t="str">
        <f>IF(OR(E2099="",E2099="!!!",F2099="NEW"),"",INDEX(J$1:J2098,SUMPRODUCT(MAX(ROW(E$1:E2098)*(E2099=E$1:E2098)))))</f>
        <v> </v>
      </c>
      <c r="L2099" s="27"/>
    </row>
    <row r="2100" spans="1:12">
      <c r="A2100" s="20" t="s">
        <v>751</v>
      </c>
      <c r="E2100" s="22">
        <f>IF(D2100="?OLD","!!!","")</f>
        <v/>
      </c>
      <c r="F2100" s="23" t="str">
        <f>IF(OR(E2100="",E2100="!!!"),"",IF(NOT(ISNA(VLOOKUP(E2100,E$1:E2099,1,FALSE()))),"OLD",IF(AND(E2100&lt;&gt;"",E2100&lt;&gt;"!!!"),"NEW","")))</f>
        <v> </v>
      </c>
      <c r="G2100" s="24" t="str">
        <f>IF(OR(E2100="",E2100="!!!"),"",IF(OR(J2100=0,AND(J2100=1,K2100=1),AND(J2100=1,I2100="SBJ"),AND(J2100=1,I2100=0)),"?IN_FOCUS",IF(J2100&lt;=2,"?ACTIVATED",IF(J2100&lt;&gt;"","?FAMILIAR",IF(F2100="NEW",IF(ISNA(VLOOKUP(E2100,#REF!,1,FALSE())),"?TYPE_IDENTIFIABLE","?REFERENTIAL"),"_")))))</f>
        <v> </v>
      </c>
      <c r="H2100" s="25" t="str">
        <f>IF(J2100&lt;&gt;1,"",IF(I2100="SBJ","CB","?"))</f>
        <v> </v>
      </c>
      <c r="I2100" s="26" t="str">
        <f>IF(OR(E2100="",E2100="!!!",F2100="NEW"),"",INDEX(B2099:B$2,-1+SUMPRODUCT(MAX(ROW(E2099:E$2)*(E2100=E2099:E$2)))))</f>
        <v> </v>
      </c>
      <c r="J2100" s="26" t="str">
        <f>IF(OR(E2100="",E2100="!!!",F2100="NEW"),"",COUNTBLANK(OFFSET(A$1,,,SUMPRODUCT(MAX(ROW(E$2:E2100)*(E2100=E$2:E2100)))))-COUNTBLANK(OFFSET(A$1,,,SUMPRODUCT(MAX(ROW(E$1:E2099)*(E2=E$1:E2099))))))</f>
        <v> </v>
      </c>
      <c r="K2100" s="26" t="str">
        <f>IF(OR(E2100="",E2100="!!!",F2100="NEW"),"",INDEX(J$1:J2099,SUMPRODUCT(MAX(ROW(E$1:E2099)*(E2100=E$1:E2099)))))</f>
        <v> </v>
      </c>
      <c r="L2100" s="27"/>
    </row>
    <row r="2101" spans="1:12">
      <c r="A2101" s="20" t="s">
        <v>1561</v>
      </c>
      <c r="B2101" s="21" t="s">
        <v>736</v>
      </c>
      <c r="C2101" s="21" t="s">
        <v>753</v>
      </c>
      <c r="D2101" s="21" t="s">
        <v>730</v>
      </c>
      <c r="E2101" s="22">
        <f>IF(D2101="?OLD","!!!","")</f>
        <v/>
      </c>
      <c r="F2101" s="23" t="str">
        <f>IF(OR(E2101="",E2101="!!!"),"",IF(NOT(ISNA(VLOOKUP(E2101,E$1:E2100,1,FALSE()))),"OLD",IF(AND(E2101&lt;&gt;"",E2101&lt;&gt;"!!!"),"NEW","")))</f>
        <v> </v>
      </c>
      <c r="G2101" s="24" t="str">
        <f>IF(OR(E2101="",E2101="!!!"),"",IF(OR(J2101=0,AND(J2101=1,K2101=1),AND(J2101=1,I2101="SBJ"),AND(J2101=1,I2101=0)),"?IN_FOCUS",IF(J2101&lt;=2,"?ACTIVATED",IF(J2101&lt;&gt;"","?FAMILIAR",IF(F2101="NEW",IF(ISNA(VLOOKUP(E2101,#REF!,1,FALSE())),"?TYPE_IDENTIFIABLE","?REFERENTIAL"),"_")))))</f>
        <v> </v>
      </c>
      <c r="H2101" s="25" t="str">
        <f>IF(J2101&lt;&gt;1,"",IF(I2101="SBJ","CB","?"))</f>
        <v> </v>
      </c>
      <c r="I2101" s="26" t="str">
        <f>IF(OR(E2101="",E2101="!!!",F2101="NEW"),"",INDEX(B2100:B$2,-1+SUMPRODUCT(MAX(ROW(E2100:E$2)*(E2101=E2100:E$2)))))</f>
        <v> </v>
      </c>
      <c r="J2101" s="26" t="str">
        <f>IF(OR(E2101="",E2101="!!!",F2101="NEW"),"",COUNTBLANK(OFFSET(A$1,,,SUMPRODUCT(MAX(ROW(E$2:E2101)*(E2101=E$2:E2101)))))-COUNTBLANK(OFFSET(A$1,,,SUMPRODUCT(MAX(ROW(E$1:E2100)*(E2=E$1:E2100))))))</f>
        <v> </v>
      </c>
      <c r="K2101" s="26" t="str">
        <f>IF(OR(E2101="",E2101="!!!",F2101="NEW"),"",INDEX(J$1:J2100,SUMPRODUCT(MAX(ROW(E$1:E2100)*(E2101=E$1:E2100)))))</f>
        <v> </v>
      </c>
      <c r="L2101" s="27"/>
    </row>
    <row r="2102" spans="1:12">
      <c r="A2102" s="20" t="s">
        <v>757</v>
      </c>
      <c r="E2102" s="22">
        <f>IF(D2102="?OLD","!!!","")</f>
        <v/>
      </c>
      <c r="F2102" s="23" t="str">
        <f>IF(OR(E2102="",E2102="!!!"),"",IF(NOT(ISNA(VLOOKUP(E2102,E$1:E2101,1,FALSE()))),"OLD",IF(AND(E2102&lt;&gt;"",E2102&lt;&gt;"!!!"),"NEW","")))</f>
        <v> </v>
      </c>
      <c r="G2102" s="24" t="str">
        <f>IF(OR(E2102="",E2102="!!!"),"",IF(OR(J2102=0,AND(J2102=1,K2102=1),AND(J2102=1,I2102="SBJ"),AND(J2102=1,I2102=0)),"?IN_FOCUS",IF(J2102&lt;=2,"?ACTIVATED",IF(J2102&lt;&gt;"","?FAMILIAR",IF(F2102="NEW",IF(ISNA(VLOOKUP(E2102,#REF!,1,FALSE())),"?TYPE_IDENTIFIABLE","?REFERENTIAL"),"_")))))</f>
        <v> </v>
      </c>
      <c r="H2102" s="25" t="str">
        <f>IF(J2102&lt;&gt;1,"",IF(I2102="SBJ","CB","?"))</f>
        <v> </v>
      </c>
      <c r="I2102" s="26" t="str">
        <f>IF(OR(E2102="",E2102="!!!",F2102="NEW"),"",INDEX(B2101:B$2,-1+SUMPRODUCT(MAX(ROW(E2101:E$2)*(E2102=E2101:E$2)))))</f>
        <v> </v>
      </c>
      <c r="J2102" s="26" t="str">
        <f>IF(OR(E2102="",E2102="!!!",F2102="NEW"),"",COUNTBLANK(OFFSET(A$1,,,SUMPRODUCT(MAX(ROW(E$2:E2102)*(E2102=E$2:E2102)))))-COUNTBLANK(OFFSET(A$1,,,SUMPRODUCT(MAX(ROW(E$1:E2101)*(E2=E$1:E2101))))))</f>
        <v> </v>
      </c>
      <c r="K2102" s="26" t="str">
        <f>IF(OR(E2102="",E2102="!!!",F2102="NEW"),"",INDEX(J$1:J2101,SUMPRODUCT(MAX(ROW(E$1:E2101)*(E2102=E$1:E2101)))))</f>
        <v> </v>
      </c>
      <c r="L2102" s="27"/>
    </row>
    <row r="2103" spans="1:12">
      <c r="A2103" s="20" t="s">
        <v>1370</v>
      </c>
      <c r="B2103" s="21" t="s">
        <v>739</v>
      </c>
      <c r="C2103" s="21" t="s">
        <v>740</v>
      </c>
      <c r="D2103" s="21" t="s">
        <v>730</v>
      </c>
      <c r="E2103" s="22">
        <f>IF(D2103="?OLD","!!!","")</f>
        <v/>
      </c>
      <c r="F2103" s="23" t="str">
        <f>IF(OR(E2103="",E2103="!!!"),"",IF(NOT(ISNA(VLOOKUP(E2103,E$1:E2102,1,FALSE()))),"OLD",IF(AND(E2103&lt;&gt;"",E2103&lt;&gt;"!!!"),"NEW","")))</f>
        <v> </v>
      </c>
      <c r="G2103" s="24" t="str">
        <f>IF(OR(E2103="",E2103="!!!"),"",IF(OR(J2103=0,AND(J2103=1,K2103=1),AND(J2103=1,I2103="SBJ"),AND(J2103=1,I2103=0)),"?IN_FOCUS",IF(J2103&lt;=2,"?ACTIVATED",IF(J2103&lt;&gt;"","?FAMILIAR",IF(F2103="NEW",IF(ISNA(VLOOKUP(E2103,#REF!,1,FALSE())),"?TYPE_IDENTIFIABLE","?REFERENTIAL"),"_")))))</f>
        <v> </v>
      </c>
      <c r="H2103" s="25" t="str">
        <f>IF(J2103&lt;&gt;1,"",IF(I2103="SBJ","CB","?"))</f>
        <v> </v>
      </c>
      <c r="I2103" s="26" t="str">
        <f>IF(OR(E2103="",E2103="!!!",F2103="NEW"),"",INDEX(B2102:B$2,-1+SUMPRODUCT(MAX(ROW(E2102:E$2)*(E2103=E2102:E$2)))))</f>
        <v> </v>
      </c>
      <c r="J2103" s="26" t="str">
        <f>IF(OR(E2103="",E2103="!!!",F2103="NEW"),"",COUNTBLANK(OFFSET(A$1,,,SUMPRODUCT(MAX(ROW(E$2:E2103)*(E2103=E$2:E2103)))))-COUNTBLANK(OFFSET(A$1,,,SUMPRODUCT(MAX(ROW(E$1:E2102)*(E2=E$1:E2102))))))</f>
        <v> </v>
      </c>
      <c r="K2103" s="26" t="str">
        <f>IF(OR(E2103="",E2103="!!!",F2103="NEW"),"",INDEX(J$1:J2102,SUMPRODUCT(MAX(ROW(E$1:E2102)*(E2103=E$1:E2102)))))</f>
        <v> </v>
      </c>
      <c r="L2103" s="27"/>
    </row>
    <row r="2104" spans="1:12">
      <c r="A2104" s="20" t="s">
        <v>759</v>
      </c>
      <c r="E2104" s="22">
        <f>IF(D2104="?OLD","!!!","")</f>
        <v/>
      </c>
      <c r="F2104" s="23" t="str">
        <f>IF(OR(E2104="",E2104="!!!"),"",IF(NOT(ISNA(VLOOKUP(E2104,E$1:E2103,1,FALSE()))),"OLD",IF(AND(E2104&lt;&gt;"",E2104&lt;&gt;"!!!"),"NEW","")))</f>
        <v> </v>
      </c>
      <c r="G2104" s="24" t="str">
        <f>IF(OR(E2104="",E2104="!!!"),"",IF(OR(J2104=0,AND(J2104=1,K2104=1),AND(J2104=1,I2104="SBJ"),AND(J2104=1,I2104=0)),"?IN_FOCUS",IF(J2104&lt;=2,"?ACTIVATED",IF(J2104&lt;&gt;"","?FAMILIAR",IF(F2104="NEW",IF(ISNA(VLOOKUP(E2104,#REF!,1,FALSE())),"?TYPE_IDENTIFIABLE","?REFERENTIAL"),"_")))))</f>
        <v> </v>
      </c>
      <c r="H2104" s="25" t="str">
        <f>IF(J2104&lt;&gt;1,"",IF(I2104="SBJ","CB","?"))</f>
        <v> </v>
      </c>
      <c r="I2104" s="26" t="str">
        <f>IF(OR(E2104="",E2104="!!!",F2104="NEW"),"",INDEX(B2103:B$2,-1+SUMPRODUCT(MAX(ROW(E2103:E$2)*(E2104=E2103:E$2)))))</f>
        <v> </v>
      </c>
      <c r="J2104" s="26" t="str">
        <f>IF(OR(E2104="",E2104="!!!",F2104="NEW"),"",COUNTBLANK(OFFSET(A$1,,,SUMPRODUCT(MAX(ROW(E$2:E2104)*(E2104=E$2:E2104)))))-COUNTBLANK(OFFSET(A$1,,,SUMPRODUCT(MAX(ROW(E$1:E2103)*(E2=E$1:E2103))))))</f>
        <v> </v>
      </c>
      <c r="K2104" s="26" t="str">
        <f>IF(OR(E2104="",E2104="!!!",F2104="NEW"),"",INDEX(J$1:J2103,SUMPRODUCT(MAX(ROW(E$1:E2103)*(E2104=E$1:E2103)))))</f>
        <v> </v>
      </c>
      <c r="L2104" s="27"/>
    </row>
    <row r="2105" spans="1:12">
      <c r="A2105" s="20" t="s">
        <v>773</v>
      </c>
      <c r="E2105" s="22">
        <f>IF(D2105="?OLD","!!!","")</f>
        <v/>
      </c>
      <c r="F2105" s="23" t="str">
        <f>IF(OR(E2105="",E2105="!!!"),"",IF(NOT(ISNA(VLOOKUP(E2105,E$1:E2104,1,FALSE()))),"OLD",IF(AND(E2105&lt;&gt;"",E2105&lt;&gt;"!!!"),"NEW","")))</f>
        <v> </v>
      </c>
      <c r="G2105" s="24" t="str">
        <f>IF(OR(E2105="",E2105="!!!"),"",IF(OR(J2105=0,AND(J2105=1,K2105=1),AND(J2105=1,I2105="SBJ"),AND(J2105=1,I2105=0)),"?IN_FOCUS",IF(J2105&lt;=2,"?ACTIVATED",IF(J2105&lt;&gt;"","?FAMILIAR",IF(F2105="NEW",IF(ISNA(VLOOKUP(E2105,#REF!,1,FALSE())),"?TYPE_IDENTIFIABLE","?REFERENTIAL"),"_")))))</f>
        <v> </v>
      </c>
      <c r="H2105" s="25" t="str">
        <f>IF(J2105&lt;&gt;1,"",IF(I2105="SBJ","CB","?"))</f>
        <v> </v>
      </c>
      <c r="I2105" s="26" t="str">
        <f>IF(OR(E2105="",E2105="!!!",F2105="NEW"),"",INDEX(B2104:B$2,-1+SUMPRODUCT(MAX(ROW(E2104:E$2)*(E2105=E2104:E$2)))))</f>
        <v> </v>
      </c>
      <c r="J2105" s="26" t="str">
        <f>IF(OR(E2105="",E2105="!!!",F2105="NEW"),"",COUNTBLANK(OFFSET(A$1,,,SUMPRODUCT(MAX(ROW(E$2:E2105)*(E2105=E$2:E2105)))))-COUNTBLANK(OFFSET(A$1,,,SUMPRODUCT(MAX(ROW(E$1:E2104)*(E2=E$1:E2104))))))</f>
        <v> </v>
      </c>
      <c r="K2105" s="26" t="str">
        <f>IF(OR(E2105="",E2105="!!!",F2105="NEW"),"",INDEX(J$1:J2104,SUMPRODUCT(MAX(ROW(E$1:E2104)*(E2105=E$1:E2104)))))</f>
        <v> </v>
      </c>
      <c r="L2105" s="27"/>
    </row>
    <row r="2106" spans="1:12">
      <c r="A2106" s="20" t="s">
        <v>774</v>
      </c>
      <c r="E2106" s="22">
        <f>IF(D2106="?OLD","!!!","")</f>
        <v/>
      </c>
      <c r="F2106" s="23" t="str">
        <f>IF(OR(E2106="",E2106="!!!"),"",IF(NOT(ISNA(VLOOKUP(E2106,E$1:E2105,1,FALSE()))),"OLD",IF(AND(E2106&lt;&gt;"",E2106&lt;&gt;"!!!"),"NEW","")))</f>
        <v> </v>
      </c>
      <c r="G2106" s="24" t="str">
        <f>IF(OR(E2106="",E2106="!!!"),"",IF(OR(J2106=0,AND(J2106=1,K2106=1),AND(J2106=1,I2106="SBJ"),AND(J2106=1,I2106=0)),"?IN_FOCUS",IF(J2106&lt;=2,"?ACTIVATED",IF(J2106&lt;&gt;"","?FAMILIAR",IF(F2106="NEW",IF(ISNA(VLOOKUP(E2106,#REF!,1,FALSE())),"?TYPE_IDENTIFIABLE","?REFERENTIAL"),"_")))))</f>
        <v> </v>
      </c>
      <c r="H2106" s="25" t="str">
        <f>IF(J2106&lt;&gt;1,"",IF(I2106="SBJ","CB","?"))</f>
        <v> </v>
      </c>
      <c r="I2106" s="26" t="str">
        <f>IF(OR(E2106="",E2106="!!!",F2106="NEW"),"",INDEX(B2105:B$2,-1+SUMPRODUCT(MAX(ROW(E2105:E$2)*(E2106=E2105:E$2)))))</f>
        <v> </v>
      </c>
      <c r="J2106" s="26" t="str">
        <f>IF(OR(E2106="",E2106="!!!",F2106="NEW"),"",COUNTBLANK(OFFSET(A$1,,,SUMPRODUCT(MAX(ROW(E$2:E2106)*(E2106=E$2:E2106)))))-COUNTBLANK(OFFSET(A$1,,,SUMPRODUCT(MAX(ROW(E$1:E2105)*(E2=E$1:E2105))))))</f>
        <v> </v>
      </c>
      <c r="K2106" s="26" t="str">
        <f>IF(OR(E2106="",E2106="!!!",F2106="NEW"),"",INDEX(J$1:J2105,SUMPRODUCT(MAX(ROW(E$1:E2105)*(E2106=E$1:E2105)))))</f>
        <v> </v>
      </c>
      <c r="L2106" s="27"/>
    </row>
    <row r="2107" spans="1:12">
      <c r="A2107" s="20" t="s">
        <v>1412</v>
      </c>
      <c r="B2107" s="21" t="s">
        <v>736</v>
      </c>
      <c r="C2107" s="21" t="s">
        <v>737</v>
      </c>
      <c r="E2107" s="22">
        <f>IF(D2107="?OLD","!!!","")</f>
        <v/>
      </c>
      <c r="F2107" s="23" t="str">
        <f>IF(OR(E2107="",E2107="!!!"),"",IF(NOT(ISNA(VLOOKUP(E2107,E$1:E2106,1,FALSE()))),"OLD",IF(AND(E2107&lt;&gt;"",E2107&lt;&gt;"!!!"),"NEW","")))</f>
        <v> </v>
      </c>
      <c r="G2107" s="24" t="str">
        <f>IF(OR(E2107="",E2107="!!!"),"",IF(OR(J2107=0,AND(J2107=1,K2107=1),AND(J2107=1,I2107="SBJ"),AND(J2107=1,I2107=0)),"?IN_FOCUS",IF(J2107&lt;=2,"?ACTIVATED",IF(J2107&lt;&gt;"","?FAMILIAR",IF(F2107="NEW",IF(ISNA(VLOOKUP(E2107,#REF!,1,FALSE())),"?TYPE_IDENTIFIABLE","?REFERENTIAL"),"_")))))</f>
        <v> </v>
      </c>
      <c r="H2107" s="25" t="str">
        <f>IF(J2107&lt;&gt;1,"",IF(I2107="SBJ","CB","?"))</f>
        <v> </v>
      </c>
      <c r="I2107" s="26" t="str">
        <f>IF(OR(E2107="",E2107="!!!",F2107="NEW"),"",INDEX(B2106:B$2,-1+SUMPRODUCT(MAX(ROW(E2106:E$2)*(E2107=E2106:E$2)))))</f>
        <v> </v>
      </c>
      <c r="J2107" s="26" t="str">
        <f>IF(OR(E2107="",E2107="!!!",F2107="NEW"),"",COUNTBLANK(OFFSET(A$1,,,SUMPRODUCT(MAX(ROW(E$2:E2107)*(E2107=E$2:E2107)))))-COUNTBLANK(OFFSET(A$1,,,SUMPRODUCT(MAX(ROW(E$1:E2106)*(E2=E$1:E2106))))))</f>
        <v> </v>
      </c>
      <c r="K2107" s="26" t="str">
        <f>IF(OR(E2107="",E2107="!!!",F2107="NEW"),"",INDEX(J$1:J2106,SUMPRODUCT(MAX(ROW(E$1:E2106)*(E2107=E$1:E2106)))))</f>
        <v> </v>
      </c>
      <c r="L2107" s="27"/>
    </row>
    <row r="2108" spans="1:12">
      <c r="A2108" s="20" t="s">
        <v>759</v>
      </c>
      <c r="E2108" s="22">
        <f>IF(D2108="?OLD","!!!","")</f>
        <v/>
      </c>
      <c r="F2108" s="23" t="str">
        <f>IF(OR(E2108="",E2108="!!!"),"",IF(NOT(ISNA(VLOOKUP(E2108,E$1:E2107,1,FALSE()))),"OLD",IF(AND(E2108&lt;&gt;"",E2108&lt;&gt;"!!!"),"NEW","")))</f>
        <v> </v>
      </c>
      <c r="G2108" s="24" t="str">
        <f>IF(OR(E2108="",E2108="!!!"),"",IF(OR(J2108=0,AND(J2108=1,K2108=1),AND(J2108=1,I2108="SBJ"),AND(J2108=1,I2108=0)),"?IN_FOCUS",IF(J2108&lt;=2,"?ACTIVATED",IF(J2108&lt;&gt;"","?FAMILIAR",IF(F2108="NEW",IF(ISNA(VLOOKUP(E2108,#REF!,1,FALSE())),"?TYPE_IDENTIFIABLE","?REFERENTIAL"),"_")))))</f>
        <v> </v>
      </c>
      <c r="H2108" s="25" t="str">
        <f>IF(J2108&lt;&gt;1,"",IF(I2108="SBJ","CB","?"))</f>
        <v> </v>
      </c>
      <c r="I2108" s="26" t="str">
        <f>IF(OR(E2108="",E2108="!!!",F2108="NEW"),"",INDEX(B2107:B$2,-1+SUMPRODUCT(MAX(ROW(E2107:E$2)*(E2108=E2107:E$2)))))</f>
        <v> </v>
      </c>
      <c r="J2108" s="26" t="str">
        <f>IF(OR(E2108="",E2108="!!!",F2108="NEW"),"",COUNTBLANK(OFFSET(A$1,,,SUMPRODUCT(MAX(ROW(E$2:E2108)*(E2108=E$2:E2108)))))-COUNTBLANK(OFFSET(A$1,,,SUMPRODUCT(MAX(ROW(E$1:E2107)*(E2=E$1:E2107))))))</f>
        <v> </v>
      </c>
      <c r="K2108" s="26" t="str">
        <f>IF(OR(E2108="",E2108="!!!",F2108="NEW"),"",INDEX(J$1:J2107,SUMPRODUCT(MAX(ROW(E$1:E2107)*(E2108=E$1:E2107)))))</f>
        <v> </v>
      </c>
      <c r="L2108" s="27"/>
    </row>
    <row r="2109" spans="1:12">
      <c r="A2109" s="20" t="s">
        <v>785</v>
      </c>
      <c r="E2109" s="22">
        <f>IF(D2109="?OLD","!!!","")</f>
        <v/>
      </c>
      <c r="F2109" s="23" t="str">
        <f>IF(OR(E2109="",E2109="!!!"),"",IF(NOT(ISNA(VLOOKUP(E2109,E$1:E2108,1,FALSE()))),"OLD",IF(AND(E2109&lt;&gt;"",E2109&lt;&gt;"!!!"),"NEW","")))</f>
        <v> </v>
      </c>
      <c r="G2109" s="24" t="str">
        <f>IF(OR(E2109="",E2109="!!!"),"",IF(OR(J2109=0,AND(J2109=1,K2109=1),AND(J2109=1,I2109="SBJ"),AND(J2109=1,I2109=0)),"?IN_FOCUS",IF(J2109&lt;=2,"?ACTIVATED",IF(J2109&lt;&gt;"","?FAMILIAR",IF(F2109="NEW",IF(ISNA(VLOOKUP(E2109,#REF!,1,FALSE())),"?TYPE_IDENTIFIABLE","?REFERENTIAL"),"_")))))</f>
        <v> </v>
      </c>
      <c r="H2109" s="25" t="str">
        <f>IF(J2109&lt;&gt;1,"",IF(I2109="SBJ","CB","?"))</f>
        <v> </v>
      </c>
      <c r="I2109" s="26" t="str">
        <f>IF(OR(E2109="",E2109="!!!",F2109="NEW"),"",INDEX(B2108:B$2,-1+SUMPRODUCT(MAX(ROW(E2108:E$2)*(E2109=E2108:E$2)))))</f>
        <v> </v>
      </c>
      <c r="J2109" s="26" t="str">
        <f>IF(OR(E2109="",E2109="!!!",F2109="NEW"),"",COUNTBLANK(OFFSET(A$1,,,SUMPRODUCT(MAX(ROW(E$2:E2109)*(E2109=E$2:E2109)))))-COUNTBLANK(OFFSET(A$1,,,SUMPRODUCT(MAX(ROW(E$1:E2108)*(E2=E$1:E2108))))))</f>
        <v> </v>
      </c>
      <c r="K2109" s="26" t="str">
        <f>IF(OR(E2109="",E2109="!!!",F2109="NEW"),"",INDEX(J$1:J2108,SUMPRODUCT(MAX(ROW(E$1:E2108)*(E2109=E$1:E2108)))))</f>
        <v> </v>
      </c>
      <c r="L2109" s="27"/>
    </row>
    <row r="2110" spans="1:12">
      <c r="A2110" s="20" t="s">
        <v>1109</v>
      </c>
      <c r="E2110" s="22">
        <f>IF(D2110="?OLD","!!!","")</f>
        <v/>
      </c>
      <c r="F2110" s="23" t="str">
        <f>IF(OR(E2110="",E2110="!!!"),"",IF(NOT(ISNA(VLOOKUP(E2110,E$1:E2109,1,FALSE()))),"OLD",IF(AND(E2110&lt;&gt;"",E2110&lt;&gt;"!!!"),"NEW","")))</f>
        <v> </v>
      </c>
      <c r="G2110" s="24" t="str">
        <f>IF(OR(E2110="",E2110="!!!"),"",IF(OR(J2110=0,AND(J2110=1,K2110=1),AND(J2110=1,I2110="SBJ"),AND(J2110=1,I2110=0)),"?IN_FOCUS",IF(J2110&lt;=2,"?ACTIVATED",IF(J2110&lt;&gt;"","?FAMILIAR",IF(F2110="NEW",IF(ISNA(VLOOKUP(E2110,#REF!,1,FALSE())),"?TYPE_IDENTIFIABLE","?REFERENTIAL"),"_")))))</f>
        <v> </v>
      </c>
      <c r="H2110" s="25" t="str">
        <f>IF(J2110&lt;&gt;1,"",IF(I2110="SBJ","CB","?"))</f>
        <v> </v>
      </c>
      <c r="I2110" s="26" t="str">
        <f>IF(OR(E2110="",E2110="!!!",F2110="NEW"),"",INDEX(B2109:B$2,-1+SUMPRODUCT(MAX(ROW(E2109:E$2)*(E2110=E2109:E$2)))))</f>
        <v> </v>
      </c>
      <c r="J2110" s="26" t="str">
        <f>IF(OR(E2110="",E2110="!!!",F2110="NEW"),"",COUNTBLANK(OFFSET(A$1,,,SUMPRODUCT(MAX(ROW(E$2:E2110)*(E2110=E$2:E2110)))))-COUNTBLANK(OFFSET(A$1,,,SUMPRODUCT(MAX(ROW(E$1:E2109)*(E2=E$1:E2109))))))</f>
        <v> </v>
      </c>
      <c r="K2110" s="26" t="str">
        <f>IF(OR(E2110="",E2110="!!!",F2110="NEW"),"",INDEX(J$1:J2109,SUMPRODUCT(MAX(ROW(E$1:E2109)*(E2110=E$1:E2109)))))</f>
        <v> </v>
      </c>
      <c r="L2110" s="27"/>
    </row>
    <row r="2111" spans="1:12">
      <c r="A2111" s="20" t="s">
        <v>1562</v>
      </c>
      <c r="B2111" s="21" t="s">
        <v>739</v>
      </c>
      <c r="C2111" s="21" t="s">
        <v>748</v>
      </c>
      <c r="E2111" s="22">
        <f>IF(D2111="?OLD","!!!","")</f>
        <v/>
      </c>
      <c r="F2111" s="23" t="str">
        <f>IF(OR(E2111="",E2111="!!!"),"",IF(NOT(ISNA(VLOOKUP(E2111,E$1:E2110,1,FALSE()))),"OLD",IF(AND(E2111&lt;&gt;"",E2111&lt;&gt;"!!!"),"NEW","")))</f>
        <v> </v>
      </c>
      <c r="G2111" s="24" t="str">
        <f>IF(OR(E2111="",E2111="!!!"),"",IF(OR(J2111=0,AND(J2111=1,K2111=1),AND(J2111=1,I2111="SBJ"),AND(J2111=1,I2111=0)),"?IN_FOCUS",IF(J2111&lt;=2,"?ACTIVATED",IF(J2111&lt;&gt;"","?FAMILIAR",IF(F2111="NEW",IF(ISNA(VLOOKUP(E2111,#REF!,1,FALSE())),"?TYPE_IDENTIFIABLE","?REFERENTIAL"),"_")))))</f>
        <v> </v>
      </c>
      <c r="H2111" s="25" t="str">
        <f>IF(J2111&lt;&gt;1,"",IF(I2111="SBJ","CB","?"))</f>
        <v> </v>
      </c>
      <c r="I2111" s="26" t="str">
        <f>IF(OR(E2111="",E2111="!!!",F2111="NEW"),"",INDEX(B2110:B$2,-1+SUMPRODUCT(MAX(ROW(E2110:E$2)*(E2111=E2110:E$2)))))</f>
        <v> </v>
      </c>
      <c r="J2111" s="26" t="str">
        <f>IF(OR(E2111="",E2111="!!!",F2111="NEW"),"",COUNTBLANK(OFFSET(A$1,,,SUMPRODUCT(MAX(ROW(E$2:E2111)*(E2111=E$2:E2111)))))-COUNTBLANK(OFFSET(A$1,,,SUMPRODUCT(MAX(ROW(E$1:E2110)*(E2=E$1:E2110))))))</f>
        <v> </v>
      </c>
      <c r="K2111" s="26" t="str">
        <f>IF(OR(E2111="",E2111="!!!",F2111="NEW"),"",INDEX(J$1:J2110,SUMPRODUCT(MAX(ROW(E$1:E2110)*(E2111=E$1:E2110)))))</f>
        <v> </v>
      </c>
      <c r="L2111" s="27"/>
    </row>
    <row r="2112" spans="1:12">
      <c r="A2112" s="20" t="s">
        <v>759</v>
      </c>
      <c r="E2112" s="22">
        <f>IF(D2112="?OLD","!!!","")</f>
        <v/>
      </c>
      <c r="F2112" s="23" t="str">
        <f>IF(OR(E2112="",E2112="!!!"),"",IF(NOT(ISNA(VLOOKUP(E2112,E$1:E2111,1,FALSE()))),"OLD",IF(AND(E2112&lt;&gt;"",E2112&lt;&gt;"!!!"),"NEW","")))</f>
        <v> </v>
      </c>
      <c r="G2112" s="24" t="str">
        <f>IF(OR(E2112="",E2112="!!!"),"",IF(OR(J2112=0,AND(J2112=1,K2112=1),AND(J2112=1,I2112="SBJ"),AND(J2112=1,I2112=0)),"?IN_FOCUS",IF(J2112&lt;=2,"?ACTIVATED",IF(J2112&lt;&gt;"","?FAMILIAR",IF(F2112="NEW",IF(ISNA(VLOOKUP(E2112,#REF!,1,FALSE())),"?TYPE_IDENTIFIABLE","?REFERENTIAL"),"_")))))</f>
        <v> </v>
      </c>
      <c r="H2112" s="25" t="str">
        <f>IF(J2112&lt;&gt;1,"",IF(I2112="SBJ","CB","?"))</f>
        <v> </v>
      </c>
      <c r="I2112" s="26" t="str">
        <f>IF(OR(E2112="",E2112="!!!",F2112="NEW"),"",INDEX(B2111:B$2,-1+SUMPRODUCT(MAX(ROW(E2111:E$2)*(E2112=E2111:E$2)))))</f>
        <v> </v>
      </c>
      <c r="J2112" s="26" t="str">
        <f>IF(OR(E2112="",E2112="!!!",F2112="NEW"),"",COUNTBLANK(OFFSET(A$1,,,SUMPRODUCT(MAX(ROW(E$2:E2112)*(E2112=E$2:E2112)))))-COUNTBLANK(OFFSET(A$1,,,SUMPRODUCT(MAX(ROW(E$1:E2111)*(E2=E$1:E2111))))))</f>
        <v> </v>
      </c>
      <c r="K2112" s="26" t="str">
        <f>IF(OR(E2112="",E2112="!!!",F2112="NEW"),"",INDEX(J$1:J2111,SUMPRODUCT(MAX(ROW(E$1:E2111)*(E2112=E$1:E2111)))))</f>
        <v> </v>
      </c>
      <c r="L2112" s="27"/>
    </row>
    <row r="2113" spans="1:12">
      <c r="A2113" s="20" t="s">
        <v>813</v>
      </c>
      <c r="B2113" s="21" t="s">
        <v>788</v>
      </c>
      <c r="E2113" s="22">
        <f>IF(D2113="?OLD","!!!","")</f>
        <v/>
      </c>
      <c r="F2113" s="23" t="str">
        <f>IF(OR(E2113="",E2113="!!!"),"",IF(NOT(ISNA(VLOOKUP(E2113,E$1:E2112,1,FALSE()))),"OLD",IF(AND(E2113&lt;&gt;"",E2113&lt;&gt;"!!!"),"NEW","")))</f>
        <v> </v>
      </c>
      <c r="G2113" s="24" t="str">
        <f>IF(OR(E2113="",E2113="!!!"),"",IF(OR(J2113=0,AND(J2113=1,K2113=1),AND(J2113=1,I2113="SBJ"),AND(J2113=1,I2113=0)),"?IN_FOCUS",IF(J2113&lt;=2,"?ACTIVATED",IF(J2113&lt;&gt;"","?FAMILIAR",IF(F2113="NEW",IF(ISNA(VLOOKUP(E2113,#REF!,1,FALSE())),"?TYPE_IDENTIFIABLE","?REFERENTIAL"),"_")))))</f>
        <v> </v>
      </c>
      <c r="H2113" s="25" t="str">
        <f>IF(J2113&lt;&gt;1,"",IF(I2113="SBJ","CB","?"))</f>
        <v> </v>
      </c>
      <c r="I2113" s="26" t="str">
        <f>IF(OR(E2113="",E2113="!!!",F2113="NEW"),"",INDEX(B2112:B$2,-1+SUMPRODUCT(MAX(ROW(E2112:E$2)*(E2113=E2112:E$2)))))</f>
        <v> </v>
      </c>
      <c r="J2113" s="26" t="str">
        <f>IF(OR(E2113="",E2113="!!!",F2113="NEW"),"",COUNTBLANK(OFFSET(A$1,,,SUMPRODUCT(MAX(ROW(E$2:E2113)*(E2113=E$2:E2113)))))-COUNTBLANK(OFFSET(A$1,,,SUMPRODUCT(MAX(ROW(E$1:E2112)*(E2=E$1:E2112))))))</f>
        <v> </v>
      </c>
      <c r="K2113" s="26" t="str">
        <f>IF(OR(E2113="",E2113="!!!",F2113="NEW"),"",INDEX(J$1:J2112,SUMPRODUCT(MAX(ROW(E$1:E2112)*(E2113=E$1:E2112)))))</f>
        <v> </v>
      </c>
      <c r="L2113" s="27"/>
    </row>
    <row r="2114" spans="1:12">
      <c r="A2114" s="20" t="s">
        <v>1264</v>
      </c>
      <c r="B2114" s="21" t="s">
        <v>783</v>
      </c>
      <c r="C2114" s="21" t="s">
        <v>801</v>
      </c>
      <c r="D2114" s="21" t="s">
        <v>730</v>
      </c>
      <c r="E2114" s="22">
        <f>IF(D2114="?OLD","!!!","")</f>
        <v/>
      </c>
      <c r="F2114" s="23" t="str">
        <f>IF(OR(E2114="",E2114="!!!"),"",IF(NOT(ISNA(VLOOKUP(E2114,E$1:E2113,1,FALSE()))),"OLD",IF(AND(E2114&lt;&gt;"",E2114&lt;&gt;"!!!"),"NEW","")))</f>
        <v> </v>
      </c>
      <c r="G2114" s="24" t="str">
        <f>IF(OR(E2114="",E2114="!!!"),"",IF(OR(J2114=0,AND(J2114=1,K2114=1),AND(J2114=1,I2114="SBJ"),AND(J2114=1,I2114=0)),"?IN_FOCUS",IF(J2114&lt;=2,"?ACTIVATED",IF(J2114&lt;&gt;"","?FAMILIAR",IF(F2114="NEW",IF(ISNA(VLOOKUP(E2114,#REF!,1,FALSE())),"?TYPE_IDENTIFIABLE","?REFERENTIAL"),"_")))))</f>
        <v> </v>
      </c>
      <c r="H2114" s="25" t="str">
        <f>IF(J2114&lt;&gt;1,"",IF(I2114="SBJ","CB","?"))</f>
        <v> </v>
      </c>
      <c r="I2114" s="26" t="str">
        <f>IF(OR(E2114="",E2114="!!!",F2114="NEW"),"",INDEX(B2113:B$2,-1+SUMPRODUCT(MAX(ROW(E2113:E$2)*(E2114=E2113:E$2)))))</f>
        <v> </v>
      </c>
      <c r="J2114" s="26" t="str">
        <f>IF(OR(E2114="",E2114="!!!",F2114="NEW"),"",COUNTBLANK(OFFSET(A$1,,,SUMPRODUCT(MAX(ROW(E$2:E2114)*(E2114=E$2:E2114)))))-COUNTBLANK(OFFSET(A$1,,,SUMPRODUCT(MAX(ROW(E$1:E2113)*(E2=E$1:E2113))))))</f>
        <v> </v>
      </c>
      <c r="K2114" s="26" t="str">
        <f>IF(OR(E2114="",E2114="!!!",F2114="NEW"),"",INDEX(J$1:J2113,SUMPRODUCT(MAX(ROW(E$1:E2113)*(E2114=E$1:E2113)))))</f>
        <v> </v>
      </c>
      <c r="L2114" s="27"/>
    </row>
    <row r="2115" spans="1:12">
      <c r="A2115" s="20" t="s">
        <v>1563</v>
      </c>
      <c r="B2115" s="21" t="s">
        <v>843</v>
      </c>
      <c r="C2115" s="21" t="s">
        <v>802</v>
      </c>
      <c r="D2115" s="21" t="s">
        <v>730</v>
      </c>
      <c r="E2115" s="22">
        <f>IF(D2115="?OLD","!!!","")</f>
        <v/>
      </c>
      <c r="F2115" s="23" t="str">
        <f>IF(OR(E2115="",E2115="!!!"),"",IF(NOT(ISNA(VLOOKUP(E2115,E$1:E2114,1,FALSE()))),"OLD",IF(AND(E2115&lt;&gt;"",E2115&lt;&gt;"!!!"),"NEW","")))</f>
        <v> </v>
      </c>
      <c r="G2115" s="24" t="str">
        <f>IF(OR(E2115="",E2115="!!!"),"",IF(OR(J2115=0,AND(J2115=1,K2115=1),AND(J2115=1,I2115="SBJ"),AND(J2115=1,I2115=0)),"?IN_FOCUS",IF(J2115&lt;=2,"?ACTIVATED",IF(J2115&lt;&gt;"","?FAMILIAR",IF(F2115="NEW",IF(ISNA(VLOOKUP(E2115,#REF!,1,FALSE())),"?TYPE_IDENTIFIABLE","?REFERENTIAL"),"_")))))</f>
        <v> </v>
      </c>
      <c r="H2115" s="25" t="str">
        <f>IF(J2115&lt;&gt;1,"",IF(I2115="SBJ","CB","?"))</f>
        <v> </v>
      </c>
      <c r="I2115" s="26" t="str">
        <f>IF(OR(E2115="",E2115="!!!",F2115="NEW"),"",INDEX(B2114:B$2,-1+SUMPRODUCT(MAX(ROW(E2114:E$2)*(E2115=E2114:E$2)))))</f>
        <v> </v>
      </c>
      <c r="J2115" s="26" t="str">
        <f>IF(OR(E2115="",E2115="!!!",F2115="NEW"),"",COUNTBLANK(OFFSET(A$1,,,SUMPRODUCT(MAX(ROW(E$2:E2115)*(E2115=E$2:E2115)))))-COUNTBLANK(OFFSET(A$1,,,SUMPRODUCT(MAX(ROW(E$1:E2114)*(E2=E$1:E2114))))))</f>
        <v> </v>
      </c>
      <c r="K2115" s="26" t="str">
        <f>IF(OR(E2115="",E2115="!!!",F2115="NEW"),"",INDEX(J$1:J2114,SUMPRODUCT(MAX(ROW(E$1:E2114)*(E2115=E$1:E2114)))))</f>
        <v> </v>
      </c>
      <c r="L2115" s="27"/>
    </row>
    <row r="2116" spans="1:12">
      <c r="A2116" s="20" t="s">
        <v>979</v>
      </c>
      <c r="E2116" s="22">
        <f>IF(D2116="?OLD","!!!","")</f>
        <v/>
      </c>
      <c r="F2116" s="23" t="str">
        <f>IF(OR(E2116="",E2116="!!!"),"",IF(NOT(ISNA(VLOOKUP(E2116,E$1:E2115,1,FALSE()))),"OLD",IF(AND(E2116&lt;&gt;"",E2116&lt;&gt;"!!!"),"NEW","")))</f>
        <v> </v>
      </c>
      <c r="G2116" s="24" t="str">
        <f>IF(OR(E2116="",E2116="!!!"),"",IF(OR(J2116=0,AND(J2116=1,K2116=1),AND(J2116=1,I2116="SBJ"),AND(J2116=1,I2116=0)),"?IN_FOCUS",IF(J2116&lt;=2,"?ACTIVATED",IF(J2116&lt;&gt;"","?FAMILIAR",IF(F2116="NEW",IF(ISNA(VLOOKUP(E2116,#REF!,1,FALSE())),"?TYPE_IDENTIFIABLE","?REFERENTIAL"),"_")))))</f>
        <v> </v>
      </c>
      <c r="H2116" s="25" t="str">
        <f>IF(J2116&lt;&gt;1,"",IF(I2116="SBJ","CB","?"))</f>
        <v> </v>
      </c>
      <c r="I2116" s="26" t="str">
        <f>IF(OR(E2116="",E2116="!!!",F2116="NEW"),"",INDEX(B2115:B$2,-1+SUMPRODUCT(MAX(ROW(E2115:E$2)*(E2116=E2115:E$2)))))</f>
        <v> </v>
      </c>
      <c r="J2116" s="26" t="str">
        <f>IF(OR(E2116="",E2116="!!!",F2116="NEW"),"",COUNTBLANK(OFFSET(A$1,,,SUMPRODUCT(MAX(ROW(E$2:E2116)*(E2116=E$2:E2116)))))-COUNTBLANK(OFFSET(A$1,,,SUMPRODUCT(MAX(ROW(E$1:E2115)*(E2=E$1:E2115))))))</f>
        <v> </v>
      </c>
      <c r="K2116" s="26" t="str">
        <f>IF(OR(E2116="",E2116="!!!",F2116="NEW"),"",INDEX(J$1:J2115,SUMPRODUCT(MAX(ROW(E$1:E2115)*(E2116=E$1:E2115)))))</f>
        <v> </v>
      </c>
      <c r="L2116" s="27"/>
    </row>
    <row r="2117" spans="1:12">
      <c r="A2117" s="20" t="s">
        <v>991</v>
      </c>
      <c r="E2117" s="22">
        <f>IF(D2117="?OLD","!!!","")</f>
        <v/>
      </c>
      <c r="F2117" s="23" t="str">
        <f>IF(OR(E2117="",E2117="!!!"),"",IF(NOT(ISNA(VLOOKUP(E2117,E$1:E2116,1,FALSE()))),"OLD",IF(AND(E2117&lt;&gt;"",E2117&lt;&gt;"!!!"),"NEW","")))</f>
        <v> </v>
      </c>
      <c r="G2117" s="24" t="str">
        <f>IF(OR(E2117="",E2117="!!!"),"",IF(OR(J2117=0,AND(J2117=1,K2117=1),AND(J2117=1,I2117="SBJ"),AND(J2117=1,I2117=0)),"?IN_FOCUS",IF(J2117&lt;=2,"?ACTIVATED",IF(J2117&lt;&gt;"","?FAMILIAR",IF(F2117="NEW",IF(ISNA(VLOOKUP(E2117,#REF!,1,FALSE())),"?TYPE_IDENTIFIABLE","?REFERENTIAL"),"_")))))</f>
        <v> </v>
      </c>
      <c r="H2117" s="25" t="str">
        <f>IF(J2117&lt;&gt;1,"",IF(I2117="SBJ","CB","?"))</f>
        <v> </v>
      </c>
      <c r="I2117" s="26" t="str">
        <f>IF(OR(E2117="",E2117="!!!",F2117="NEW"),"",INDEX(B2116:B$2,-1+SUMPRODUCT(MAX(ROW(E2116:E$2)*(E2117=E2116:E$2)))))</f>
        <v> </v>
      </c>
      <c r="J2117" s="26" t="str">
        <f>IF(OR(E2117="",E2117="!!!",F2117="NEW"),"",COUNTBLANK(OFFSET(A$1,,,SUMPRODUCT(MAX(ROW(E$2:E2117)*(E2117=E$2:E2117)))))-COUNTBLANK(OFFSET(A$1,,,SUMPRODUCT(MAX(ROW(E$1:E2116)*(E2=E$1:E2116))))))</f>
        <v> </v>
      </c>
      <c r="K2117" s="26" t="str">
        <f>IF(OR(E2117="",E2117="!!!",F2117="NEW"),"",INDEX(J$1:J2116,SUMPRODUCT(MAX(ROW(E$1:E2116)*(E2117=E$1:E2116)))))</f>
        <v> </v>
      </c>
      <c r="L2117" s="27"/>
    </row>
    <row r="2118" spans="1:12">
      <c r="A2118" s="20" t="s">
        <v>1564</v>
      </c>
      <c r="E2118" s="22">
        <f>IF(D2118="?OLD","!!!","")</f>
        <v/>
      </c>
      <c r="F2118" s="23" t="str">
        <f>IF(OR(E2118="",E2118="!!!"),"",IF(NOT(ISNA(VLOOKUP(E2118,E$1:E2117,1,FALSE()))),"OLD",IF(AND(E2118&lt;&gt;"",E2118&lt;&gt;"!!!"),"NEW","")))</f>
        <v> </v>
      </c>
      <c r="G2118" s="24" t="str">
        <f>IF(OR(E2118="",E2118="!!!"),"",IF(OR(J2118=0,AND(J2118=1,K2118=1),AND(J2118=1,I2118="SBJ"),AND(J2118=1,I2118=0)),"?IN_FOCUS",IF(J2118&lt;=2,"?ACTIVATED",IF(J2118&lt;&gt;"","?FAMILIAR",IF(F2118="NEW",IF(ISNA(VLOOKUP(E2118,#REF!,1,FALSE())),"?TYPE_IDENTIFIABLE","?REFERENTIAL"),"_")))))</f>
        <v> </v>
      </c>
      <c r="H2118" s="25" t="str">
        <f>IF(J2118&lt;&gt;1,"",IF(I2118="SBJ","CB","?"))</f>
        <v> </v>
      </c>
      <c r="I2118" s="26" t="str">
        <f>IF(OR(E2118="",E2118="!!!",F2118="NEW"),"",INDEX(B2117:B$2,-1+SUMPRODUCT(MAX(ROW(E2117:E$2)*(E2118=E2117:E$2)))))</f>
        <v> </v>
      </c>
      <c r="J2118" s="26" t="str">
        <f>IF(OR(E2118="",E2118="!!!",F2118="NEW"),"",COUNTBLANK(OFFSET(A$1,,,SUMPRODUCT(MAX(ROW(E$2:E2118)*(E2118=E$2:E2118)))))-COUNTBLANK(OFFSET(A$1,,,SUMPRODUCT(MAX(ROW(E$1:E2117)*(E2=E$1:E2117))))))</f>
        <v> </v>
      </c>
      <c r="K2118" s="26" t="str">
        <f>IF(OR(E2118="",E2118="!!!",F2118="NEW"),"",INDEX(J$1:J2117,SUMPRODUCT(MAX(ROW(E$1:E2117)*(E2118=E$1:E2117)))))</f>
        <v> </v>
      </c>
      <c r="L2118" s="27"/>
    </row>
    <row r="2119" spans="1:12">
      <c r="A2119" s="20" t="s">
        <v>785</v>
      </c>
      <c r="E2119" s="22">
        <f>IF(D2119="?OLD","!!!","")</f>
        <v/>
      </c>
      <c r="F2119" s="23" t="str">
        <f>IF(OR(E2119="",E2119="!!!"),"",IF(NOT(ISNA(VLOOKUP(E2119,E$1:E2118,1,FALSE()))),"OLD",IF(AND(E2119&lt;&gt;"",E2119&lt;&gt;"!!!"),"NEW","")))</f>
        <v> </v>
      </c>
      <c r="G2119" s="24" t="str">
        <f>IF(OR(E2119="",E2119="!!!"),"",IF(OR(J2119=0,AND(J2119=1,K2119=1),AND(J2119=1,I2119="SBJ"),AND(J2119=1,I2119=0)),"?IN_FOCUS",IF(J2119&lt;=2,"?ACTIVATED",IF(J2119&lt;&gt;"","?FAMILIAR",IF(F2119="NEW",IF(ISNA(VLOOKUP(E2119,#REF!,1,FALSE())),"?TYPE_IDENTIFIABLE","?REFERENTIAL"),"_")))))</f>
        <v> </v>
      </c>
      <c r="H2119" s="25" t="str">
        <f>IF(J2119&lt;&gt;1,"",IF(I2119="SBJ","CB","?"))</f>
        <v> </v>
      </c>
      <c r="I2119" s="26" t="str">
        <f>IF(OR(E2119="",E2119="!!!",F2119="NEW"),"",INDEX(B2118:B$2,-1+SUMPRODUCT(MAX(ROW(E2118:E$2)*(E2119=E2118:E$2)))))</f>
        <v> </v>
      </c>
      <c r="J2119" s="26" t="str">
        <f>IF(OR(E2119="",E2119="!!!",F2119="NEW"),"",COUNTBLANK(OFFSET(A$1,,,SUMPRODUCT(MAX(ROW(E$2:E2119)*(E2119=E$2:E2119)))))-COUNTBLANK(OFFSET(A$1,,,SUMPRODUCT(MAX(ROW(E$1:E2118)*(E2=E$1:E2118))))))</f>
        <v> </v>
      </c>
      <c r="K2119" s="26" t="str">
        <f>IF(OR(E2119="",E2119="!!!",F2119="NEW"),"",INDEX(J$1:J2118,SUMPRODUCT(MAX(ROW(E$1:E2118)*(E2119=E$1:E2118)))))</f>
        <v> </v>
      </c>
      <c r="L2119" s="27"/>
    </row>
    <row r="2120" spans="1:12">
      <c r="A2120" s="20" t="s">
        <v>938</v>
      </c>
      <c r="E2120" s="22">
        <f>IF(D2120="?OLD","!!!","")</f>
        <v/>
      </c>
      <c r="F2120" s="23" t="str">
        <f>IF(OR(E2120="",E2120="!!!"),"",IF(NOT(ISNA(VLOOKUP(E2120,E$1:E2119,1,FALSE()))),"OLD",IF(AND(E2120&lt;&gt;"",E2120&lt;&gt;"!!!"),"NEW","")))</f>
        <v> </v>
      </c>
      <c r="G2120" s="24" t="str">
        <f>IF(OR(E2120="",E2120="!!!"),"",IF(OR(J2120=0,AND(J2120=1,K2120=1),AND(J2120=1,I2120="SBJ"),AND(J2120=1,I2120=0)),"?IN_FOCUS",IF(J2120&lt;=2,"?ACTIVATED",IF(J2120&lt;&gt;"","?FAMILIAR",IF(F2120="NEW",IF(ISNA(VLOOKUP(E2120,#REF!,1,FALSE())),"?TYPE_IDENTIFIABLE","?REFERENTIAL"),"_")))))</f>
        <v> </v>
      </c>
      <c r="H2120" s="25" t="str">
        <f>IF(J2120&lt;&gt;1,"",IF(I2120="SBJ","CB","?"))</f>
        <v> </v>
      </c>
      <c r="I2120" s="26" t="str">
        <f>IF(OR(E2120="",E2120="!!!",F2120="NEW"),"",INDEX(B2119:B$2,-1+SUMPRODUCT(MAX(ROW(E2119:E$2)*(E2120=E2119:E$2)))))</f>
        <v> </v>
      </c>
      <c r="J2120" s="26" t="str">
        <f>IF(OR(E2120="",E2120="!!!",F2120="NEW"),"",COUNTBLANK(OFFSET(A$1,,,SUMPRODUCT(MAX(ROW(E$2:E2120)*(E2120=E$2:E2120)))))-COUNTBLANK(OFFSET(A$1,,,SUMPRODUCT(MAX(ROW(E$1:E2119)*(E2=E$1:E2119))))))</f>
        <v> </v>
      </c>
      <c r="K2120" s="26" t="str">
        <f>IF(OR(E2120="",E2120="!!!",F2120="NEW"),"",INDEX(J$1:J2119,SUMPRODUCT(MAX(ROW(E$1:E2119)*(E2120=E$1:E2119)))))</f>
        <v> </v>
      </c>
      <c r="L2120" s="27"/>
    </row>
    <row r="2121" spans="1:12">
      <c r="A2121" s="20" t="s">
        <v>1565</v>
      </c>
      <c r="E2121" s="22">
        <f>IF(D2121="?OLD","!!!","")</f>
        <v/>
      </c>
      <c r="F2121" s="23" t="str">
        <f>IF(OR(E2121="",E2121="!!!"),"",IF(NOT(ISNA(VLOOKUP(E2121,E$1:E2120,1,FALSE()))),"OLD",IF(AND(E2121&lt;&gt;"",E2121&lt;&gt;"!!!"),"NEW","")))</f>
        <v> </v>
      </c>
      <c r="G2121" s="24" t="str">
        <f>IF(OR(E2121="",E2121="!!!"),"",IF(OR(J2121=0,AND(J2121=1,K2121=1),AND(J2121=1,I2121="SBJ"),AND(J2121=1,I2121=0)),"?IN_FOCUS",IF(J2121&lt;=2,"?ACTIVATED",IF(J2121&lt;&gt;"","?FAMILIAR",IF(F2121="NEW",IF(ISNA(VLOOKUP(E2121,#REF!,1,FALSE())),"?TYPE_IDENTIFIABLE","?REFERENTIAL"),"_")))))</f>
        <v> </v>
      </c>
      <c r="H2121" s="25" t="str">
        <f>IF(J2121&lt;&gt;1,"",IF(I2121="SBJ","CB","?"))</f>
        <v> </v>
      </c>
      <c r="I2121" s="26" t="str">
        <f>IF(OR(E2121="",E2121="!!!",F2121="NEW"),"",INDEX(B2120:B$2,-1+SUMPRODUCT(MAX(ROW(E2120:E$2)*(E2121=E2120:E$2)))))</f>
        <v> </v>
      </c>
      <c r="J2121" s="26" t="str">
        <f>IF(OR(E2121="",E2121="!!!",F2121="NEW"),"",COUNTBLANK(OFFSET(A$1,,,SUMPRODUCT(MAX(ROW(E$2:E2121)*(E2121=E$2:E2121)))))-COUNTBLANK(OFFSET(A$1,,,SUMPRODUCT(MAX(ROW(E$1:E2120)*(E2=E$1:E2120))))))</f>
        <v> </v>
      </c>
      <c r="K2121" s="26" t="str">
        <f>IF(OR(E2121="",E2121="!!!",F2121="NEW"),"",INDEX(J$1:J2120,SUMPRODUCT(MAX(ROW(E$1:E2120)*(E2121=E$1:E2120)))))</f>
        <v> </v>
      </c>
      <c r="L2121" s="27"/>
    </row>
    <row r="2122" spans="1:12">
      <c r="A2122" s="20" t="s">
        <v>750</v>
      </c>
      <c r="B2122" s="21" t="s">
        <v>777</v>
      </c>
      <c r="C2122" s="21" t="s">
        <v>729</v>
      </c>
      <c r="D2122" s="21" t="s">
        <v>730</v>
      </c>
      <c r="E2122" s="22">
        <f>IF(D2122="?OLD","!!!","")</f>
        <v/>
      </c>
      <c r="F2122" s="23" t="str">
        <f>IF(OR(E2122="",E2122="!!!"),"",IF(NOT(ISNA(VLOOKUP(E2122,E$1:E2121,1,FALSE()))),"OLD",IF(AND(E2122&lt;&gt;"",E2122&lt;&gt;"!!!"),"NEW","")))</f>
        <v> </v>
      </c>
      <c r="G2122" s="24" t="str">
        <f>IF(OR(E2122="",E2122="!!!"),"",IF(OR(J2122=0,AND(J2122=1,K2122=1),AND(J2122=1,I2122="SBJ"),AND(J2122=1,I2122=0)),"?IN_FOCUS",IF(J2122&lt;=2,"?ACTIVATED",IF(J2122&lt;&gt;"","?FAMILIAR",IF(F2122="NEW",IF(ISNA(VLOOKUP(E2122,#REF!,1,FALSE())),"?TYPE_IDENTIFIABLE","?REFERENTIAL"),"_")))))</f>
        <v> </v>
      </c>
      <c r="H2122" s="25" t="str">
        <f>IF(J2122&lt;&gt;1,"",IF(I2122="SBJ","CB","?"))</f>
        <v> </v>
      </c>
      <c r="I2122" s="26" t="str">
        <f>IF(OR(E2122="",E2122="!!!",F2122="NEW"),"",INDEX(B2121:B$2,-1+SUMPRODUCT(MAX(ROW(E2121:E$2)*(E2122=E2121:E$2)))))</f>
        <v> </v>
      </c>
      <c r="J2122" s="26" t="str">
        <f>IF(OR(E2122="",E2122="!!!",F2122="NEW"),"",COUNTBLANK(OFFSET(A$1,,,SUMPRODUCT(MAX(ROW(E$2:E2122)*(E2122=E$2:E2122)))))-COUNTBLANK(OFFSET(A$1,,,SUMPRODUCT(MAX(ROW(E$1:E2121)*(E2=E$1:E2121))))))</f>
        <v> </v>
      </c>
      <c r="K2122" s="26" t="str">
        <f>IF(OR(E2122="",E2122="!!!",F2122="NEW"),"",INDEX(J$1:J2121,SUMPRODUCT(MAX(ROW(E$1:E2121)*(E2122=E$1:E2121)))))</f>
        <v> </v>
      </c>
      <c r="L2122" s="27"/>
    </row>
    <row r="2123" spans="1:12">
      <c r="A2123" s="20" t="s">
        <v>1566</v>
      </c>
      <c r="E2123" s="22">
        <f>IF(D2123="?OLD","!!!","")</f>
        <v/>
      </c>
      <c r="F2123" s="23" t="str">
        <f>IF(OR(E2123="",E2123="!!!"),"",IF(NOT(ISNA(VLOOKUP(E2123,E$1:E2122,1,FALSE()))),"OLD",IF(AND(E2123&lt;&gt;"",E2123&lt;&gt;"!!!"),"NEW","")))</f>
        <v> </v>
      </c>
      <c r="G2123" s="24" t="str">
        <f>IF(OR(E2123="",E2123="!!!"),"",IF(OR(J2123=0,AND(J2123=1,K2123=1),AND(J2123=1,I2123="SBJ"),AND(J2123=1,I2123=0)),"?IN_FOCUS",IF(J2123&lt;=2,"?ACTIVATED",IF(J2123&lt;&gt;"","?FAMILIAR",IF(F2123="NEW",IF(ISNA(VLOOKUP(E2123,#REF!,1,FALSE())),"?TYPE_IDENTIFIABLE","?REFERENTIAL"),"_")))))</f>
        <v> </v>
      </c>
      <c r="H2123" s="25" t="str">
        <f>IF(J2123&lt;&gt;1,"",IF(I2123="SBJ","CB","?"))</f>
        <v> </v>
      </c>
      <c r="I2123" s="26" t="str">
        <f>IF(OR(E2123="",E2123="!!!",F2123="NEW"),"",INDEX(B2122:B$2,-1+SUMPRODUCT(MAX(ROW(E2122:E$2)*(E2123=E2122:E$2)))))</f>
        <v> </v>
      </c>
      <c r="J2123" s="26" t="str">
        <f>IF(OR(E2123="",E2123="!!!",F2123="NEW"),"",COUNTBLANK(OFFSET(A$1,,,SUMPRODUCT(MAX(ROW(E$2:E2123)*(E2123=E$2:E2123)))))-COUNTBLANK(OFFSET(A$1,,,SUMPRODUCT(MAX(ROW(E$1:E2122)*(E2=E$1:E2122))))))</f>
        <v> </v>
      </c>
      <c r="K2123" s="26" t="str">
        <f>IF(OR(E2123="",E2123="!!!",F2123="NEW"),"",INDEX(J$1:J2122,SUMPRODUCT(MAX(ROW(E$1:E2122)*(E2123=E$1:E2122)))))</f>
        <v> </v>
      </c>
      <c r="L2123" s="27"/>
    </row>
    <row r="2124" spans="1:12">
      <c r="A2124" s="20" t="s">
        <v>759</v>
      </c>
      <c r="E2124" s="22">
        <f>IF(D2124="?OLD","!!!","")</f>
        <v/>
      </c>
      <c r="F2124" s="23" t="str">
        <f>IF(OR(E2124="",E2124="!!!"),"",IF(NOT(ISNA(VLOOKUP(E2124,E$1:E2123,1,FALSE()))),"OLD",IF(AND(E2124&lt;&gt;"",E2124&lt;&gt;"!!!"),"NEW","")))</f>
        <v> </v>
      </c>
      <c r="G2124" s="24" t="str">
        <f>IF(OR(E2124="",E2124="!!!"),"",IF(OR(J2124=0,AND(J2124=1,K2124=1),AND(J2124=1,I2124="SBJ"),AND(J2124=1,I2124=0)),"?IN_FOCUS",IF(J2124&lt;=2,"?ACTIVATED",IF(J2124&lt;&gt;"","?FAMILIAR",IF(F2124="NEW",IF(ISNA(VLOOKUP(E2124,#REF!,1,FALSE())),"?TYPE_IDENTIFIABLE","?REFERENTIAL"),"_")))))</f>
        <v> </v>
      </c>
      <c r="H2124" s="25" t="str">
        <f>IF(J2124&lt;&gt;1,"",IF(I2124="SBJ","CB","?"))</f>
        <v> </v>
      </c>
      <c r="I2124" s="26" t="str">
        <f>IF(OR(E2124="",E2124="!!!",F2124="NEW"),"",INDEX(B2123:B$2,-1+SUMPRODUCT(MAX(ROW(E2123:E$2)*(E2124=E2123:E$2)))))</f>
        <v> </v>
      </c>
      <c r="J2124" s="26" t="str">
        <f>IF(OR(E2124="",E2124="!!!",F2124="NEW"),"",COUNTBLANK(OFFSET(A$1,,,SUMPRODUCT(MAX(ROW(E$2:E2124)*(E2124=E$2:E2124)))))-COUNTBLANK(OFFSET(A$1,,,SUMPRODUCT(MAX(ROW(E$1:E2123)*(E2=E$1:E2123))))))</f>
        <v> </v>
      </c>
      <c r="K2124" s="26" t="str">
        <f>IF(OR(E2124="",E2124="!!!",F2124="NEW"),"",INDEX(J$1:J2123,SUMPRODUCT(MAX(ROW(E$1:E2123)*(E2124=E$1:E2123)))))</f>
        <v> </v>
      </c>
      <c r="L2124" s="27"/>
    </row>
    <row r="2125" spans="1:12">
      <c r="A2125" s="20" t="s">
        <v>808</v>
      </c>
      <c r="E2125" s="22">
        <f>IF(D2125="?OLD","!!!","")</f>
        <v/>
      </c>
      <c r="F2125" s="23" t="str">
        <f>IF(OR(E2125="",E2125="!!!"),"",IF(NOT(ISNA(VLOOKUP(E2125,E$1:E2124,1,FALSE()))),"OLD",IF(AND(E2125&lt;&gt;"",E2125&lt;&gt;"!!!"),"NEW","")))</f>
        <v> </v>
      </c>
      <c r="G2125" s="24" t="str">
        <f>IF(OR(E2125="",E2125="!!!"),"",IF(OR(J2125=0,AND(J2125=1,K2125=1),AND(J2125=1,I2125="SBJ"),AND(J2125=1,I2125=0)),"?IN_FOCUS",IF(J2125&lt;=2,"?ACTIVATED",IF(J2125&lt;&gt;"","?FAMILIAR",IF(F2125="NEW",IF(ISNA(VLOOKUP(E2125,#REF!,1,FALSE())),"?TYPE_IDENTIFIABLE","?REFERENTIAL"),"_")))))</f>
        <v> </v>
      </c>
      <c r="H2125" s="25" t="str">
        <f>IF(J2125&lt;&gt;1,"",IF(I2125="SBJ","CB","?"))</f>
        <v> </v>
      </c>
      <c r="I2125" s="26" t="str">
        <f>IF(OR(E2125="",E2125="!!!",F2125="NEW"),"",INDEX(B2124:B$2,-1+SUMPRODUCT(MAX(ROW(E2124:E$2)*(E2125=E2124:E$2)))))</f>
        <v> </v>
      </c>
      <c r="J2125" s="26" t="str">
        <f>IF(OR(E2125="",E2125="!!!",F2125="NEW"),"",COUNTBLANK(OFFSET(A$1,,,SUMPRODUCT(MAX(ROW(E$2:E2125)*(E2125=E$2:E2125)))))-COUNTBLANK(OFFSET(A$1,,,SUMPRODUCT(MAX(ROW(E$1:E2124)*(E2=E$1:E2124))))))</f>
        <v> </v>
      </c>
      <c r="K2125" s="26" t="str">
        <f>IF(OR(E2125="",E2125="!!!",F2125="NEW"),"",INDEX(J$1:J2124,SUMPRODUCT(MAX(ROW(E$1:E2124)*(E2125=E$1:E2124)))))</f>
        <v> </v>
      </c>
      <c r="L2125" s="27"/>
    </row>
    <row r="2126" spans="1:12">
      <c r="A2126" s="20" t="s">
        <v>1567</v>
      </c>
      <c r="E2126" s="22">
        <f>IF(D2126="?OLD","!!!","")</f>
        <v/>
      </c>
      <c r="F2126" s="23" t="str">
        <f>IF(OR(E2126="",E2126="!!!"),"",IF(NOT(ISNA(VLOOKUP(E2126,E$1:E2125,1,FALSE()))),"OLD",IF(AND(E2126&lt;&gt;"",E2126&lt;&gt;"!!!"),"NEW","")))</f>
        <v> </v>
      </c>
      <c r="G2126" s="24" t="str">
        <f>IF(OR(E2126="",E2126="!!!"),"",IF(OR(J2126=0,AND(J2126=1,K2126=1),AND(J2126=1,I2126="SBJ"),AND(J2126=1,I2126=0)),"?IN_FOCUS",IF(J2126&lt;=2,"?ACTIVATED",IF(J2126&lt;&gt;"","?FAMILIAR",IF(F2126="NEW",IF(ISNA(VLOOKUP(E2126,#REF!,1,FALSE())),"?TYPE_IDENTIFIABLE","?REFERENTIAL"),"_")))))</f>
        <v> </v>
      </c>
      <c r="H2126" s="25" t="str">
        <f>IF(J2126&lt;&gt;1,"",IF(I2126="SBJ","CB","?"))</f>
        <v> </v>
      </c>
      <c r="I2126" s="26" t="str">
        <f>IF(OR(E2126="",E2126="!!!",F2126="NEW"),"",INDEX(B2125:B$2,-1+SUMPRODUCT(MAX(ROW(E2125:E$2)*(E2126=E2125:E$2)))))</f>
        <v> </v>
      </c>
      <c r="J2126" s="26" t="str">
        <f>IF(OR(E2126="",E2126="!!!",F2126="NEW"),"",COUNTBLANK(OFFSET(A$1,,,SUMPRODUCT(MAX(ROW(E$2:E2126)*(E2126=E$2:E2126)))))-COUNTBLANK(OFFSET(A$1,,,SUMPRODUCT(MAX(ROW(E$1:E2125)*(E2=E$1:E2125))))))</f>
        <v> </v>
      </c>
      <c r="K2126" s="26" t="str">
        <f>IF(OR(E2126="",E2126="!!!",F2126="NEW"),"",INDEX(J$1:J2125,SUMPRODUCT(MAX(ROW(E$1:E2125)*(E2126=E$1:E2125)))))</f>
        <v> </v>
      </c>
      <c r="L2126" s="27"/>
    </row>
    <row r="2127" spans="1:12">
      <c r="A2127" s="20" t="s">
        <v>813</v>
      </c>
      <c r="E2127" s="22">
        <f>IF(D2127="?OLD","!!!","")</f>
        <v/>
      </c>
      <c r="F2127" s="23" t="str">
        <f>IF(OR(E2127="",E2127="!!!"),"",IF(NOT(ISNA(VLOOKUP(E2127,E$1:E2126,1,FALSE()))),"OLD",IF(AND(E2127&lt;&gt;"",E2127&lt;&gt;"!!!"),"NEW","")))</f>
        <v> </v>
      </c>
      <c r="G2127" s="24" t="str">
        <f>IF(OR(E2127="",E2127="!!!"),"",IF(OR(J2127=0,AND(J2127=1,K2127=1),AND(J2127=1,I2127="SBJ"),AND(J2127=1,I2127=0)),"?IN_FOCUS",IF(J2127&lt;=2,"?ACTIVATED",IF(J2127&lt;&gt;"","?FAMILIAR",IF(F2127="NEW",IF(ISNA(VLOOKUP(E2127,#REF!,1,FALSE())),"?TYPE_IDENTIFIABLE","?REFERENTIAL"),"_")))))</f>
        <v> </v>
      </c>
      <c r="H2127" s="25" t="str">
        <f>IF(J2127&lt;&gt;1,"",IF(I2127="SBJ","CB","?"))</f>
        <v> </v>
      </c>
      <c r="I2127" s="26" t="str">
        <f>IF(OR(E2127="",E2127="!!!",F2127="NEW"),"",INDEX(B2126:B$2,-1+SUMPRODUCT(MAX(ROW(E2126:E$2)*(E2127=E2126:E$2)))))</f>
        <v> </v>
      </c>
      <c r="J2127" s="26" t="str">
        <f>IF(OR(E2127="",E2127="!!!",F2127="NEW"),"",COUNTBLANK(OFFSET(A$1,,,SUMPRODUCT(MAX(ROW(E$2:E2127)*(E2127=E$2:E2127)))))-COUNTBLANK(OFFSET(A$1,,,SUMPRODUCT(MAX(ROW(E$1:E2126)*(E2=E$1:E2126))))))</f>
        <v> </v>
      </c>
      <c r="K2127" s="26" t="str">
        <f>IF(OR(E2127="",E2127="!!!",F2127="NEW"),"",INDEX(J$1:J2126,SUMPRODUCT(MAX(ROW(E$1:E2126)*(E2127=E$1:E2126)))))</f>
        <v> </v>
      </c>
      <c r="L2127" s="27"/>
    </row>
    <row r="2128" spans="1:12">
      <c r="A2128" s="20" t="s">
        <v>1568</v>
      </c>
      <c r="B2128" s="21" t="s">
        <v>1130</v>
      </c>
      <c r="C2128" s="21" t="s">
        <v>753</v>
      </c>
      <c r="D2128" s="21" t="s">
        <v>730</v>
      </c>
      <c r="E2128" s="22">
        <f>IF(D2128="?OLD","!!!","")</f>
        <v/>
      </c>
      <c r="F2128" s="23" t="str">
        <f>IF(OR(E2128="",E2128="!!!"),"",IF(NOT(ISNA(VLOOKUP(E2128,E$1:E2127,1,FALSE()))),"OLD",IF(AND(E2128&lt;&gt;"",E2128&lt;&gt;"!!!"),"NEW","")))</f>
        <v> </v>
      </c>
      <c r="G2128" s="24" t="str">
        <f>IF(OR(E2128="",E2128="!!!"),"",IF(OR(J2128=0,AND(J2128=1,K2128=1),AND(J2128=1,I2128="SBJ"),AND(J2128=1,I2128=0)),"?IN_FOCUS",IF(J2128&lt;=2,"?ACTIVATED",IF(J2128&lt;&gt;"","?FAMILIAR",IF(F2128="NEW",IF(ISNA(VLOOKUP(E2128,#REF!,1,FALSE())),"?TYPE_IDENTIFIABLE","?REFERENTIAL"),"_")))))</f>
        <v> </v>
      </c>
      <c r="H2128" s="25" t="str">
        <f>IF(J2128&lt;&gt;1,"",IF(I2128="SBJ","CB","?"))</f>
        <v> </v>
      </c>
      <c r="I2128" s="26" t="str">
        <f>IF(OR(E2128="",E2128="!!!",F2128="NEW"),"",INDEX(B2127:B$2,-1+SUMPRODUCT(MAX(ROW(E2127:E$2)*(E2128=E2127:E$2)))))</f>
        <v> </v>
      </c>
      <c r="J2128" s="26" t="str">
        <f>IF(OR(E2128="",E2128="!!!",F2128="NEW"),"",COUNTBLANK(OFFSET(A$1,,,SUMPRODUCT(MAX(ROW(E$2:E2128)*(E2128=E$2:E2128)))))-COUNTBLANK(OFFSET(A$1,,,SUMPRODUCT(MAX(ROW(E$1:E2127)*(E2=E$1:E2127))))))</f>
        <v> </v>
      </c>
      <c r="K2128" s="26" t="str">
        <f>IF(OR(E2128="",E2128="!!!",F2128="NEW"),"",INDEX(J$1:J2127,SUMPRODUCT(MAX(ROW(E$1:E2127)*(E2128=E$1:E2127)))))</f>
        <v> </v>
      </c>
      <c r="L2128" s="27"/>
    </row>
    <row r="2129" spans="1:12">
      <c r="A2129" s="20" t="s">
        <v>1237</v>
      </c>
      <c r="E2129" s="22">
        <f>IF(D2129="?OLD","!!!","")</f>
        <v/>
      </c>
      <c r="F2129" s="23" t="str">
        <f>IF(OR(E2129="",E2129="!!!"),"",IF(NOT(ISNA(VLOOKUP(E2129,E$1:E2128,1,FALSE()))),"OLD",IF(AND(E2129&lt;&gt;"",E2129&lt;&gt;"!!!"),"NEW","")))</f>
        <v> </v>
      </c>
      <c r="G2129" s="24" t="str">
        <f>IF(OR(E2129="",E2129="!!!"),"",IF(OR(J2129=0,AND(J2129=1,K2129=1),AND(J2129=1,I2129="SBJ"),AND(J2129=1,I2129=0)),"?IN_FOCUS",IF(J2129&lt;=2,"?ACTIVATED",IF(J2129&lt;&gt;"","?FAMILIAR",IF(F2129="NEW",IF(ISNA(VLOOKUP(E2129,#REF!,1,FALSE())),"?TYPE_IDENTIFIABLE","?REFERENTIAL"),"_")))))</f>
        <v> </v>
      </c>
      <c r="H2129" s="25" t="str">
        <f>IF(J2129&lt;&gt;1,"",IF(I2129="SBJ","CB","?"))</f>
        <v> </v>
      </c>
      <c r="I2129" s="26" t="str">
        <f>IF(OR(E2129="",E2129="!!!",F2129="NEW"),"",INDEX(B2128:B$2,-1+SUMPRODUCT(MAX(ROW(E2128:E$2)*(E2129=E2128:E$2)))))</f>
        <v> </v>
      </c>
      <c r="J2129" s="26" t="str">
        <f>IF(OR(E2129="",E2129="!!!",F2129="NEW"),"",COUNTBLANK(OFFSET(A$1,,,SUMPRODUCT(MAX(ROW(E$2:E2129)*(E2129=E$2:E2129)))))-COUNTBLANK(OFFSET(A$1,,,SUMPRODUCT(MAX(ROW(E$1:E2128)*(E2=E$1:E2128))))))</f>
        <v> </v>
      </c>
      <c r="K2129" s="26" t="str">
        <f>IF(OR(E2129="",E2129="!!!",F2129="NEW"),"",INDEX(J$1:J2128,SUMPRODUCT(MAX(ROW(E$1:E2128)*(E2129=E$1:E2128)))))</f>
        <v> </v>
      </c>
      <c r="L2129" s="27"/>
    </row>
    <row r="2130" spans="1:12">
      <c r="A2130" s="20" t="s">
        <v>1569</v>
      </c>
      <c r="E2130" s="22">
        <f>IF(D2130="?OLD","!!!","")</f>
        <v/>
      </c>
      <c r="F2130" s="23" t="str">
        <f>IF(OR(E2130="",E2130="!!!"),"",IF(NOT(ISNA(VLOOKUP(E2130,E$1:E2129,1,FALSE()))),"OLD",IF(AND(E2130&lt;&gt;"",E2130&lt;&gt;"!!!"),"NEW","")))</f>
        <v> </v>
      </c>
      <c r="G2130" s="24" t="str">
        <f>IF(OR(E2130="",E2130="!!!"),"",IF(OR(J2130=0,AND(J2130=1,K2130=1),AND(J2130=1,I2130="SBJ"),AND(J2130=1,I2130=0)),"?IN_FOCUS",IF(J2130&lt;=2,"?ACTIVATED",IF(J2130&lt;&gt;"","?FAMILIAR",IF(F2130="NEW",IF(ISNA(VLOOKUP(E2130,#REF!,1,FALSE())),"?TYPE_IDENTIFIABLE","?REFERENTIAL"),"_")))))</f>
        <v> </v>
      </c>
      <c r="H2130" s="25" t="str">
        <f>IF(J2130&lt;&gt;1,"",IF(I2130="SBJ","CB","?"))</f>
        <v> </v>
      </c>
      <c r="I2130" s="26" t="str">
        <f>IF(OR(E2130="",E2130="!!!",F2130="NEW"),"",INDEX(B2129:B$2,-1+SUMPRODUCT(MAX(ROW(E2129:E$2)*(E2130=E2129:E$2)))))</f>
        <v> </v>
      </c>
      <c r="J2130" s="26" t="str">
        <f>IF(OR(E2130="",E2130="!!!",F2130="NEW"),"",COUNTBLANK(OFFSET(A$1,,,SUMPRODUCT(MAX(ROW(E$2:E2130)*(E2130=E$2:E2130)))))-COUNTBLANK(OFFSET(A$1,,,SUMPRODUCT(MAX(ROW(E$1:E2129)*(E2=E$1:E2129))))))</f>
        <v> </v>
      </c>
      <c r="K2130" s="26" t="str">
        <f>IF(OR(E2130="",E2130="!!!",F2130="NEW"),"",INDEX(J$1:J2129,SUMPRODUCT(MAX(ROW(E$1:E2129)*(E2130=E$1:E2129)))))</f>
        <v> </v>
      </c>
      <c r="L2130" s="27"/>
    </row>
    <row r="2131" spans="1:12">
      <c r="A2131" s="20" t="s">
        <v>884</v>
      </c>
      <c r="E2131" s="22">
        <f>IF(D2131="?OLD","!!!","")</f>
        <v/>
      </c>
      <c r="F2131" s="23" t="str">
        <f>IF(OR(E2131="",E2131="!!!"),"",IF(NOT(ISNA(VLOOKUP(E2131,E$1:E2130,1,FALSE()))),"OLD",IF(AND(E2131&lt;&gt;"",E2131&lt;&gt;"!!!"),"NEW","")))</f>
        <v> </v>
      </c>
      <c r="G2131" s="24" t="str">
        <f>IF(OR(E2131="",E2131="!!!"),"",IF(OR(J2131=0,AND(J2131=1,K2131=1),AND(J2131=1,I2131="SBJ"),AND(J2131=1,I2131=0)),"?IN_FOCUS",IF(J2131&lt;=2,"?ACTIVATED",IF(J2131&lt;&gt;"","?FAMILIAR",IF(F2131="NEW",IF(ISNA(VLOOKUP(E2131,#REF!,1,FALSE())),"?TYPE_IDENTIFIABLE","?REFERENTIAL"),"_")))))</f>
        <v> </v>
      </c>
      <c r="H2131" s="25" t="str">
        <f>IF(J2131&lt;&gt;1,"",IF(I2131="SBJ","CB","?"))</f>
        <v> </v>
      </c>
      <c r="I2131" s="26" t="str">
        <f>IF(OR(E2131="",E2131="!!!",F2131="NEW"),"",INDEX(B2130:B$2,-1+SUMPRODUCT(MAX(ROW(E2130:E$2)*(E2131=E2130:E$2)))))</f>
        <v> </v>
      </c>
      <c r="J2131" s="26" t="str">
        <f>IF(OR(E2131="",E2131="!!!",F2131="NEW"),"",COUNTBLANK(OFFSET(A$1,,,SUMPRODUCT(MAX(ROW(E$2:E2131)*(E2131=E$2:E2131)))))-COUNTBLANK(OFFSET(A$1,,,SUMPRODUCT(MAX(ROW(E$1:E2130)*(E2=E$1:E2130))))))</f>
        <v> </v>
      </c>
      <c r="K2131" s="26" t="str">
        <f>IF(OR(E2131="",E2131="!!!",F2131="NEW"),"",INDEX(J$1:J2130,SUMPRODUCT(MAX(ROW(E$1:E2130)*(E2131=E$1:E2130)))))</f>
        <v> </v>
      </c>
      <c r="L2131" s="27"/>
    </row>
    <row r="2132" spans="1:12">
      <c r="A2132" s="20" t="s">
        <v>246</v>
      </c>
      <c r="E2132" s="22">
        <f>IF(D2132="?OLD","!!!","")</f>
        <v/>
      </c>
      <c r="F2132" s="23" t="str">
        <f>IF(OR(E2132="",E2132="!!!"),"",IF(NOT(ISNA(VLOOKUP(E2132,E$1:E2131,1,FALSE()))),"OLD",IF(AND(E2132&lt;&gt;"",E2132&lt;&gt;"!!!"),"NEW","")))</f>
        <v> </v>
      </c>
      <c r="G2132" s="24" t="str">
        <f>IF(OR(E2132="",E2132="!!!"),"",IF(OR(J2132=0,AND(J2132=1,K2132=1),AND(J2132=1,I2132="SBJ"),AND(J2132=1,I2132=0)),"?IN_FOCUS",IF(J2132&lt;=2,"?ACTIVATED",IF(J2132&lt;&gt;"","?FAMILIAR",IF(F2132="NEW",IF(ISNA(VLOOKUP(E2132,#REF!,1,FALSE())),"?TYPE_IDENTIFIABLE","?REFERENTIAL"),"_")))))</f>
        <v> </v>
      </c>
      <c r="H2132" s="25" t="str">
        <f>IF(J2132&lt;&gt;1,"",IF(I2132="SBJ","CB","?"))</f>
        <v> </v>
      </c>
      <c r="I2132" s="26" t="str">
        <f>IF(OR(E2132="",E2132="!!!",F2132="NEW"),"",INDEX(B2131:B$2,-1+SUMPRODUCT(MAX(ROW(E2131:E$2)*(E2132=E2131:E$2)))))</f>
        <v> </v>
      </c>
      <c r="J2132" s="26" t="str">
        <f>IF(OR(E2132="",E2132="!!!",F2132="NEW"),"",COUNTBLANK(OFFSET(A$1,,,SUMPRODUCT(MAX(ROW(E$2:E2132)*(E2132=E$2:E2132)))))-COUNTBLANK(OFFSET(A$1,,,SUMPRODUCT(MAX(ROW(E$1:E2131)*(E2=E$1:E2131))))))</f>
        <v> </v>
      </c>
      <c r="K2132" s="26" t="str">
        <f>IF(OR(E2132="",E2132="!!!",F2132="NEW"),"",INDEX(J$1:J2131,SUMPRODUCT(MAX(ROW(E$1:E2131)*(E2132=E$1:E2131)))))</f>
        <v> </v>
      </c>
      <c r="L2132" s="27"/>
    </row>
    <row r="2133" spans="1:12">
      <c r="A2133" s="20"/>
    </row>
    <row r="2134" spans="1:12">
      <c r="A2134" s="20" t="s">
        <v>1570</v>
      </c>
    </row>
    <row r="2135" spans="1:12">
      <c r="A2135" s="20" t="s">
        <v>768</v>
      </c>
      <c r="E2135" s="22">
        <f>IF(D2135="?OLD","!!!","")</f>
        <v/>
      </c>
      <c r="F2135" s="23" t="str">
        <f>IF(OR(E2135="",E2135="!!!"),"",IF(NOT(ISNA(VLOOKUP(E2135,E$1:E2134,1,FALSE()))),"OLD",IF(AND(E2135&lt;&gt;"",E2135&lt;&gt;"!!!"),"NEW","")))</f>
        <v> </v>
      </c>
      <c r="G2135" s="24" t="str">
        <f>IF(OR(E2135="",E2135="!!!"),"",IF(OR(J2135=0,AND(J2135=1,K2135=1),AND(J2135=1,I2135="SBJ"),AND(J2135=1,I2135=0)),"?IN_FOCUS",IF(J2135&lt;=2,"?ACTIVATED",IF(J2135&lt;&gt;"","?FAMILIAR",IF(F2135="NEW",IF(ISNA(VLOOKUP(E2135,#REF!,1,FALSE())),"?TYPE_IDENTIFIABLE","?REFERENTIAL"),"_")))))</f>
        <v> </v>
      </c>
      <c r="H2135" s="25" t="str">
        <f>IF(J2135&lt;&gt;1,"",IF(I2135="SBJ","CB","?"))</f>
        <v> </v>
      </c>
      <c r="I2135" s="26" t="str">
        <f>IF(OR(E2135="",E2135="!!!",F2135="NEW"),"",INDEX(B2134:B$2,-1+SUMPRODUCT(MAX(ROW(E2134:E$2)*(E2135=E2134:E$2)))))</f>
        <v> </v>
      </c>
      <c r="J2135" s="26" t="str">
        <f>IF(OR(E2135="",E2135="!!!",F2135="NEW"),"",COUNTBLANK(OFFSET(A$1,,,SUMPRODUCT(MAX(ROW(E$2:E2135)*(E2135=E$2:E2135)))))-COUNTBLANK(OFFSET(A$1,,,SUMPRODUCT(MAX(ROW(E$1:E2134)*(E2=E$1:E2134))))))</f>
        <v> </v>
      </c>
      <c r="K2135" s="26" t="str">
        <f>IF(OR(E2135="",E2135="!!!",F2135="NEW"),"",INDEX(J$1:J2134,SUMPRODUCT(MAX(ROW(E$1:E2134)*(E2135=E$1:E2134)))))</f>
        <v> </v>
      </c>
      <c r="L2135" s="27"/>
    </row>
    <row r="2136" spans="1:12">
      <c r="A2136" s="20" t="s">
        <v>750</v>
      </c>
      <c r="B2136" s="21" t="s">
        <v>728</v>
      </c>
      <c r="C2136" s="21" t="s">
        <v>729</v>
      </c>
      <c r="D2136" s="21" t="s">
        <v>730</v>
      </c>
      <c r="E2136" s="22">
        <f>IF(D2136="?OLD","!!!","")</f>
        <v/>
      </c>
      <c r="F2136" s="23" t="str">
        <f>IF(OR(E2136="",E2136="!!!"),"",IF(NOT(ISNA(VLOOKUP(E2136,E$1:E2135,1,FALSE()))),"OLD",IF(AND(E2136&lt;&gt;"",E2136&lt;&gt;"!!!"),"NEW","")))</f>
        <v> </v>
      </c>
      <c r="G2136" s="24" t="str">
        <f>IF(OR(E2136="",E2136="!!!"),"",IF(OR(J2136=0,AND(J2136=1,K2136=1),AND(J2136=1,I2136="SBJ"),AND(J2136=1,I2136=0)),"?IN_FOCUS",IF(J2136&lt;=2,"?ACTIVATED",IF(J2136&lt;&gt;"","?FAMILIAR",IF(F2136="NEW",IF(ISNA(VLOOKUP(E2136,#REF!,1,FALSE())),"?TYPE_IDENTIFIABLE","?REFERENTIAL"),"_")))))</f>
        <v> </v>
      </c>
      <c r="H2136" s="25" t="str">
        <f>IF(J2136&lt;&gt;1,"",IF(I2136="SBJ","CB","?"))</f>
        <v> </v>
      </c>
      <c r="I2136" s="26" t="str">
        <f>IF(OR(E2136="",E2136="!!!",F2136="NEW"),"",INDEX(B2135:B$2,-1+SUMPRODUCT(MAX(ROW(E2135:E$2)*(E2136=E2135:E$2)))))</f>
        <v> </v>
      </c>
      <c r="J2136" s="26" t="str">
        <f>IF(OR(E2136="",E2136="!!!",F2136="NEW"),"",COUNTBLANK(OFFSET(A$1,,,SUMPRODUCT(MAX(ROW(E$2:E2136)*(E2136=E$2:E2136)))))-COUNTBLANK(OFFSET(A$1,,,SUMPRODUCT(MAX(ROW(E$1:E2135)*(E2=E$1:E2135))))))</f>
        <v> </v>
      </c>
      <c r="K2136" s="26" t="str">
        <f>IF(OR(E2136="",E2136="!!!",F2136="NEW"),"",INDEX(J$1:J2135,SUMPRODUCT(MAX(ROW(E$1:E2135)*(E2136=E$1:E2135)))))</f>
        <v> </v>
      </c>
      <c r="L2136" s="27"/>
    </row>
    <row r="2137" spans="1:12">
      <c r="A2137" s="20" t="s">
        <v>1571</v>
      </c>
      <c r="E2137" s="22">
        <f>IF(D2137="?OLD","!!!","")</f>
        <v/>
      </c>
      <c r="F2137" s="23" t="str">
        <f>IF(OR(E2137="",E2137="!!!"),"",IF(NOT(ISNA(VLOOKUP(E2137,E$1:E2136,1,FALSE()))),"OLD",IF(AND(E2137&lt;&gt;"",E2137&lt;&gt;"!!!"),"NEW","")))</f>
        <v> </v>
      </c>
      <c r="G2137" s="24" t="str">
        <f>IF(OR(E2137="",E2137="!!!"),"",IF(OR(J2137=0,AND(J2137=1,K2137=1),AND(J2137=1,I2137="SBJ"),AND(J2137=1,I2137=0)),"?IN_FOCUS",IF(J2137&lt;=2,"?ACTIVATED",IF(J2137&lt;&gt;"","?FAMILIAR",IF(F2137="NEW",IF(ISNA(VLOOKUP(E2137,#REF!,1,FALSE())),"?TYPE_IDENTIFIABLE","?REFERENTIAL"),"_")))))</f>
        <v> </v>
      </c>
      <c r="H2137" s="25" t="str">
        <f>IF(J2137&lt;&gt;1,"",IF(I2137="SBJ","CB","?"))</f>
        <v> </v>
      </c>
      <c r="I2137" s="26" t="str">
        <f>IF(OR(E2137="",E2137="!!!",F2137="NEW"),"",INDEX(B2136:B$2,-1+SUMPRODUCT(MAX(ROW(E2136:E$2)*(E2137=E2136:E$2)))))</f>
        <v> </v>
      </c>
      <c r="J2137" s="26" t="str">
        <f>IF(OR(E2137="",E2137="!!!",F2137="NEW"),"",COUNTBLANK(OFFSET(A$1,,,SUMPRODUCT(MAX(ROW(E$2:E2137)*(E2137=E$2:E2137)))))-COUNTBLANK(OFFSET(A$1,,,SUMPRODUCT(MAX(ROW(E$1:E2136)*(E2=E$1:E2136))))))</f>
        <v> </v>
      </c>
      <c r="K2137" s="26" t="str">
        <f>IF(OR(E2137="",E2137="!!!",F2137="NEW"),"",INDEX(J$1:J2136,SUMPRODUCT(MAX(ROW(E$1:E2136)*(E2137=E$1:E2136)))))</f>
        <v> </v>
      </c>
      <c r="L2137" s="27"/>
    </row>
    <row r="2138" spans="1:12">
      <c r="A2138" s="20" t="s">
        <v>732</v>
      </c>
      <c r="E2138" s="22">
        <f>IF(D2138="?OLD","!!!","")</f>
        <v/>
      </c>
      <c r="F2138" s="23" t="str">
        <f>IF(OR(E2138="",E2138="!!!"),"",IF(NOT(ISNA(VLOOKUP(E2138,E$1:E2137,1,FALSE()))),"OLD",IF(AND(E2138&lt;&gt;"",E2138&lt;&gt;"!!!"),"NEW","")))</f>
        <v> </v>
      </c>
      <c r="G2138" s="24" t="str">
        <f>IF(OR(E2138="",E2138="!!!"),"",IF(OR(J2138=0,AND(J2138=1,K2138=1),AND(J2138=1,I2138="SBJ"),AND(J2138=1,I2138=0)),"?IN_FOCUS",IF(J2138&lt;=2,"?ACTIVATED",IF(J2138&lt;&gt;"","?FAMILIAR",IF(F2138="NEW",IF(ISNA(VLOOKUP(E2138,#REF!,1,FALSE())),"?TYPE_IDENTIFIABLE","?REFERENTIAL"),"_")))))</f>
        <v> </v>
      </c>
      <c r="H2138" s="25" t="str">
        <f>IF(J2138&lt;&gt;1,"",IF(I2138="SBJ","CB","?"))</f>
        <v> </v>
      </c>
      <c r="I2138" s="26" t="str">
        <f>IF(OR(E2138="",E2138="!!!",F2138="NEW"),"",INDEX(B2137:B$2,-1+SUMPRODUCT(MAX(ROW(E2137:E$2)*(E2138=E2137:E$2)))))</f>
        <v> </v>
      </c>
      <c r="J2138" s="26" t="str">
        <f>IF(OR(E2138="",E2138="!!!",F2138="NEW"),"",COUNTBLANK(OFFSET(A$1,,,SUMPRODUCT(MAX(ROW(E$2:E2138)*(E2138=E$2:E2138)))))-COUNTBLANK(OFFSET(A$1,,,SUMPRODUCT(MAX(ROW(E$1:E2137)*(E2=E$1:E2137))))))</f>
        <v> </v>
      </c>
      <c r="K2138" s="26" t="str">
        <f>IF(OR(E2138="",E2138="!!!",F2138="NEW"),"",INDEX(J$1:J2137,SUMPRODUCT(MAX(ROW(E$1:E2137)*(E2138=E$1:E2137)))))</f>
        <v> </v>
      </c>
      <c r="L2138" s="27"/>
    </row>
    <row r="2139" spans="1:12">
      <c r="A2139" s="20" t="s">
        <v>774</v>
      </c>
      <c r="E2139" s="22">
        <f>IF(D2139="?OLD","!!!","")</f>
        <v/>
      </c>
      <c r="F2139" s="23" t="str">
        <f>IF(OR(E2139="",E2139="!!!"),"",IF(NOT(ISNA(VLOOKUP(E2139,E$1:E2138,1,FALSE()))),"OLD",IF(AND(E2139&lt;&gt;"",E2139&lt;&gt;"!!!"),"NEW","")))</f>
        <v> </v>
      </c>
      <c r="G2139" s="24" t="str">
        <f>IF(OR(E2139="",E2139="!!!"),"",IF(OR(J2139=0,AND(J2139=1,K2139=1),AND(J2139=1,I2139="SBJ"),AND(J2139=1,I2139=0)),"?IN_FOCUS",IF(J2139&lt;=2,"?ACTIVATED",IF(J2139&lt;&gt;"","?FAMILIAR",IF(F2139="NEW",IF(ISNA(VLOOKUP(E2139,#REF!,1,FALSE())),"?TYPE_IDENTIFIABLE","?REFERENTIAL"),"_")))))</f>
        <v> </v>
      </c>
      <c r="H2139" s="25" t="str">
        <f>IF(J2139&lt;&gt;1,"",IF(I2139="SBJ","CB","?"))</f>
        <v> </v>
      </c>
      <c r="I2139" s="26" t="str">
        <f>IF(OR(E2139="",E2139="!!!",F2139="NEW"),"",INDEX(B2138:B$2,-1+SUMPRODUCT(MAX(ROW(E2138:E$2)*(E2139=E2138:E$2)))))</f>
        <v> </v>
      </c>
      <c r="J2139" s="26" t="str">
        <f>IF(OR(E2139="",E2139="!!!",F2139="NEW"),"",COUNTBLANK(OFFSET(A$1,,,SUMPRODUCT(MAX(ROW(E$2:E2139)*(E2139=E$2:E2139)))))-COUNTBLANK(OFFSET(A$1,,,SUMPRODUCT(MAX(ROW(E$1:E2138)*(E2=E$1:E2138))))))</f>
        <v> </v>
      </c>
      <c r="K2139" s="26" t="str">
        <f>IF(OR(E2139="",E2139="!!!",F2139="NEW"),"",INDEX(J$1:J2138,SUMPRODUCT(MAX(ROW(E$1:E2138)*(E2139=E$1:E2138)))))</f>
        <v> </v>
      </c>
      <c r="L2139" s="27"/>
    </row>
    <row r="2140" spans="1:12">
      <c r="A2140" s="20" t="s">
        <v>1011</v>
      </c>
      <c r="E2140" s="22">
        <f>IF(D2140="?OLD","!!!","")</f>
        <v/>
      </c>
      <c r="F2140" s="23" t="str">
        <f>IF(OR(E2140="",E2140="!!!"),"",IF(NOT(ISNA(VLOOKUP(E2140,E$1:E2139,1,FALSE()))),"OLD",IF(AND(E2140&lt;&gt;"",E2140&lt;&gt;"!!!"),"NEW","")))</f>
        <v> </v>
      </c>
      <c r="G2140" s="24" t="str">
        <f>IF(OR(E2140="",E2140="!!!"),"",IF(OR(J2140=0,AND(J2140=1,K2140=1),AND(J2140=1,I2140="SBJ"),AND(J2140=1,I2140=0)),"?IN_FOCUS",IF(J2140&lt;=2,"?ACTIVATED",IF(J2140&lt;&gt;"","?FAMILIAR",IF(F2140="NEW",IF(ISNA(VLOOKUP(E2140,#REF!,1,FALSE())),"?TYPE_IDENTIFIABLE","?REFERENTIAL"),"_")))))</f>
        <v> </v>
      </c>
      <c r="H2140" s="25" t="str">
        <f>IF(J2140&lt;&gt;1,"",IF(I2140="SBJ","CB","?"))</f>
        <v> </v>
      </c>
      <c r="I2140" s="26" t="str">
        <f>IF(OR(E2140="",E2140="!!!",F2140="NEW"),"",INDEX(B2139:B$2,-1+SUMPRODUCT(MAX(ROW(E2139:E$2)*(E2140=E2139:E$2)))))</f>
        <v> </v>
      </c>
      <c r="J2140" s="26" t="str">
        <f>IF(OR(E2140="",E2140="!!!",F2140="NEW"),"",COUNTBLANK(OFFSET(A$1,,,SUMPRODUCT(MAX(ROW(E$2:E2140)*(E2140=E$2:E2140)))))-COUNTBLANK(OFFSET(A$1,,,SUMPRODUCT(MAX(ROW(E$1:E2139)*(E2=E$1:E2139))))))</f>
        <v> </v>
      </c>
      <c r="K2140" s="26" t="str">
        <f>IF(OR(E2140="",E2140="!!!",F2140="NEW"),"",INDEX(J$1:J2139,SUMPRODUCT(MAX(ROW(E$1:E2139)*(E2140=E$1:E2139)))))</f>
        <v> </v>
      </c>
      <c r="L2140" s="27"/>
    </row>
    <row r="2141" spans="1:12">
      <c r="A2141" s="20" t="s">
        <v>1572</v>
      </c>
      <c r="B2141" s="21" t="s">
        <v>736</v>
      </c>
      <c r="C2141" s="21" t="s">
        <v>737</v>
      </c>
      <c r="E2141" s="22">
        <f>IF(D2141="?OLD","!!!","")</f>
        <v/>
      </c>
      <c r="F2141" s="23" t="str">
        <f>IF(OR(E2141="",E2141="!!!"),"",IF(NOT(ISNA(VLOOKUP(E2141,E$1:E2140,1,FALSE()))),"OLD",IF(AND(E2141&lt;&gt;"",E2141&lt;&gt;"!!!"),"NEW","")))</f>
        <v> </v>
      </c>
      <c r="G2141" s="24" t="str">
        <f>IF(OR(E2141="",E2141="!!!"),"",IF(OR(J2141=0,AND(J2141=1,K2141=1),AND(J2141=1,I2141="SBJ"),AND(J2141=1,I2141=0)),"?IN_FOCUS",IF(J2141&lt;=2,"?ACTIVATED",IF(J2141&lt;&gt;"","?FAMILIAR",IF(F2141="NEW",IF(ISNA(VLOOKUP(E2141,#REF!,1,FALSE())),"?TYPE_IDENTIFIABLE","?REFERENTIAL"),"_")))))</f>
        <v> </v>
      </c>
      <c r="H2141" s="25" t="str">
        <f>IF(J2141&lt;&gt;1,"",IF(I2141="SBJ","CB","?"))</f>
        <v> </v>
      </c>
      <c r="I2141" s="26" t="str">
        <f>IF(OR(E2141="",E2141="!!!",F2141="NEW"),"",INDEX(B2140:B$2,-1+SUMPRODUCT(MAX(ROW(E2140:E$2)*(E2141=E2140:E$2)))))</f>
        <v> </v>
      </c>
      <c r="J2141" s="26" t="str">
        <f>IF(OR(E2141="",E2141="!!!",F2141="NEW"),"",COUNTBLANK(OFFSET(A$1,,,SUMPRODUCT(MAX(ROW(E$2:E2141)*(E2141=E$2:E2141)))))-COUNTBLANK(OFFSET(A$1,,,SUMPRODUCT(MAX(ROW(E$1:E2140)*(E2=E$1:E2140))))))</f>
        <v> </v>
      </c>
      <c r="K2141" s="26" t="str">
        <f>IF(OR(E2141="",E2141="!!!",F2141="NEW"),"",INDEX(J$1:J2140,SUMPRODUCT(MAX(ROW(E$1:E2140)*(E2141=E$1:E2140)))))</f>
        <v> </v>
      </c>
      <c r="L2141" s="27"/>
    </row>
    <row r="2142" spans="1:12">
      <c r="A2142" s="20" t="s">
        <v>812</v>
      </c>
      <c r="E2142" s="22">
        <f>IF(D2142="?OLD","!!!","")</f>
        <v/>
      </c>
      <c r="F2142" s="23" t="str">
        <f>IF(OR(E2142="",E2142="!!!"),"",IF(NOT(ISNA(VLOOKUP(E2142,E$1:E2141,1,FALSE()))),"OLD",IF(AND(E2142&lt;&gt;"",E2142&lt;&gt;"!!!"),"NEW","")))</f>
        <v> </v>
      </c>
      <c r="G2142" s="24" t="str">
        <f>IF(OR(E2142="",E2142="!!!"),"",IF(OR(J2142=0,AND(J2142=1,K2142=1),AND(J2142=1,I2142="SBJ"),AND(J2142=1,I2142=0)),"?IN_FOCUS",IF(J2142&lt;=2,"?ACTIVATED",IF(J2142&lt;&gt;"","?FAMILIAR",IF(F2142="NEW",IF(ISNA(VLOOKUP(E2142,#REF!,1,FALSE())),"?TYPE_IDENTIFIABLE","?REFERENTIAL"),"_")))))</f>
        <v> </v>
      </c>
      <c r="H2142" s="25" t="str">
        <f>IF(J2142&lt;&gt;1,"",IF(I2142="SBJ","CB","?"))</f>
        <v> </v>
      </c>
      <c r="I2142" s="26" t="str">
        <f>IF(OR(E2142="",E2142="!!!",F2142="NEW"),"",INDEX(B2141:B$2,-1+SUMPRODUCT(MAX(ROW(E2141:E$2)*(E2142=E2141:E$2)))))</f>
        <v> </v>
      </c>
      <c r="J2142" s="26" t="str">
        <f>IF(OR(E2142="",E2142="!!!",F2142="NEW"),"",COUNTBLANK(OFFSET(A$1,,,SUMPRODUCT(MAX(ROW(E$2:E2142)*(E2142=E$2:E2142)))))-COUNTBLANK(OFFSET(A$1,,,SUMPRODUCT(MAX(ROW(E$1:E2141)*(E2=E$1:E2141))))))</f>
        <v> </v>
      </c>
      <c r="K2142" s="26" t="str">
        <f>IF(OR(E2142="",E2142="!!!",F2142="NEW"),"",INDEX(J$1:J2141,SUMPRODUCT(MAX(ROW(E$1:E2141)*(E2142=E$1:E2141)))))</f>
        <v> </v>
      </c>
      <c r="L2142" s="27"/>
    </row>
    <row r="2143" spans="1:12">
      <c r="A2143" s="20" t="s">
        <v>813</v>
      </c>
      <c r="E2143" s="22">
        <f>IF(D2143="?OLD","!!!","")</f>
        <v/>
      </c>
      <c r="F2143" s="23" t="str">
        <f>IF(OR(E2143="",E2143="!!!"),"",IF(NOT(ISNA(VLOOKUP(E2143,E$1:E2142,1,FALSE()))),"OLD",IF(AND(E2143&lt;&gt;"",E2143&lt;&gt;"!!!"),"NEW","")))</f>
        <v> </v>
      </c>
      <c r="G2143" s="24" t="str">
        <f>IF(OR(E2143="",E2143="!!!"),"",IF(OR(J2143=0,AND(J2143=1,K2143=1),AND(J2143=1,I2143="SBJ"),AND(J2143=1,I2143=0)),"?IN_FOCUS",IF(J2143&lt;=2,"?ACTIVATED",IF(J2143&lt;&gt;"","?FAMILIAR",IF(F2143="NEW",IF(ISNA(VLOOKUP(E2143,#REF!,1,FALSE())),"?TYPE_IDENTIFIABLE","?REFERENTIAL"),"_")))))</f>
        <v> </v>
      </c>
      <c r="H2143" s="25" t="str">
        <f>IF(J2143&lt;&gt;1,"",IF(I2143="SBJ","CB","?"))</f>
        <v> </v>
      </c>
      <c r="I2143" s="26" t="str">
        <f>IF(OR(E2143="",E2143="!!!",F2143="NEW"),"",INDEX(B2142:B$2,-1+SUMPRODUCT(MAX(ROW(E2142:E$2)*(E2143=E2142:E$2)))))</f>
        <v> </v>
      </c>
      <c r="J2143" s="26" t="str">
        <f>IF(OR(E2143="",E2143="!!!",F2143="NEW"),"",COUNTBLANK(OFFSET(A$1,,,SUMPRODUCT(MAX(ROW(E$2:E2143)*(E2143=E$2:E2143)))))-COUNTBLANK(OFFSET(A$1,,,SUMPRODUCT(MAX(ROW(E$1:E2142)*(E2=E$1:E2142))))))</f>
        <v> </v>
      </c>
      <c r="K2143" s="26" t="str">
        <f>IF(OR(E2143="",E2143="!!!",F2143="NEW"),"",INDEX(J$1:J2142,SUMPRODUCT(MAX(ROW(E$1:E2142)*(E2143=E$1:E2142)))))</f>
        <v> </v>
      </c>
      <c r="L2143" s="27"/>
    </row>
    <row r="2144" spans="1:12">
      <c r="A2144" s="20" t="s">
        <v>1573</v>
      </c>
      <c r="B2144" s="21" t="s">
        <v>736</v>
      </c>
      <c r="C2144" s="21" t="s">
        <v>753</v>
      </c>
      <c r="D2144" s="21" t="s">
        <v>730</v>
      </c>
      <c r="E2144" s="22">
        <f>IF(D2144="?OLD","!!!","")</f>
        <v/>
      </c>
      <c r="F2144" s="23" t="str">
        <f>IF(OR(E2144="",E2144="!!!"),"",IF(NOT(ISNA(VLOOKUP(E2144,E$1:E2143,1,FALSE()))),"OLD",IF(AND(E2144&lt;&gt;"",E2144&lt;&gt;"!!!"),"NEW","")))</f>
        <v> </v>
      </c>
      <c r="G2144" s="24" t="str">
        <f>IF(OR(E2144="",E2144="!!!"),"",IF(OR(J2144=0,AND(J2144=1,K2144=1),AND(J2144=1,I2144="SBJ"),AND(J2144=1,I2144=0)),"?IN_FOCUS",IF(J2144&lt;=2,"?ACTIVATED",IF(J2144&lt;&gt;"","?FAMILIAR",IF(F2144="NEW",IF(ISNA(VLOOKUP(E2144,#REF!,1,FALSE())),"?TYPE_IDENTIFIABLE","?REFERENTIAL"),"_")))))</f>
        <v> </v>
      </c>
      <c r="H2144" s="25" t="str">
        <f>IF(J2144&lt;&gt;1,"",IF(I2144="SBJ","CB","?"))</f>
        <v> </v>
      </c>
      <c r="I2144" s="26" t="str">
        <f>IF(OR(E2144="",E2144="!!!",F2144="NEW"),"",INDEX(B2143:B$2,-1+SUMPRODUCT(MAX(ROW(E2143:E$2)*(E2144=E2143:E$2)))))</f>
        <v> </v>
      </c>
      <c r="J2144" s="26" t="str">
        <f>IF(OR(E2144="",E2144="!!!",F2144="NEW"),"",COUNTBLANK(OFFSET(A$1,,,SUMPRODUCT(MAX(ROW(E$2:E2144)*(E2144=E$2:E2144)))))-COUNTBLANK(OFFSET(A$1,,,SUMPRODUCT(MAX(ROW(E$1:E2143)*(E2=E$1:E2143))))))</f>
        <v> </v>
      </c>
      <c r="K2144" s="26" t="str">
        <f>IF(OR(E2144="",E2144="!!!",F2144="NEW"),"",INDEX(J$1:J2143,SUMPRODUCT(MAX(ROW(E$1:E2143)*(E2144=E$1:E2143)))))</f>
        <v> </v>
      </c>
      <c r="L2144" s="27"/>
    </row>
    <row r="2145" spans="1:12">
      <c r="A2145" s="20" t="s">
        <v>845</v>
      </c>
      <c r="E2145" s="22">
        <f>IF(D2145="?OLD","!!!","")</f>
        <v/>
      </c>
      <c r="F2145" s="23" t="str">
        <f>IF(OR(E2145="",E2145="!!!"),"",IF(NOT(ISNA(VLOOKUP(E2145,E$1:E2144,1,FALSE()))),"OLD",IF(AND(E2145&lt;&gt;"",E2145&lt;&gt;"!!!"),"NEW","")))</f>
        <v> </v>
      </c>
      <c r="G2145" s="24" t="str">
        <f>IF(OR(E2145="",E2145="!!!"),"",IF(OR(J2145=0,AND(J2145=1,K2145=1),AND(J2145=1,I2145="SBJ"),AND(J2145=1,I2145=0)),"?IN_FOCUS",IF(J2145&lt;=2,"?ACTIVATED",IF(J2145&lt;&gt;"","?FAMILIAR",IF(F2145="NEW",IF(ISNA(VLOOKUP(E2145,#REF!,1,FALSE())),"?TYPE_IDENTIFIABLE","?REFERENTIAL"),"_")))))</f>
        <v> </v>
      </c>
      <c r="H2145" s="25" t="str">
        <f>IF(J2145&lt;&gt;1,"",IF(I2145="SBJ","CB","?"))</f>
        <v> </v>
      </c>
      <c r="I2145" s="26" t="str">
        <f>IF(OR(E2145="",E2145="!!!",F2145="NEW"),"",INDEX(B2144:B$2,-1+SUMPRODUCT(MAX(ROW(E2144:E$2)*(E2145=E2144:E$2)))))</f>
        <v> </v>
      </c>
      <c r="J2145" s="26" t="str">
        <f>IF(OR(E2145="",E2145="!!!",F2145="NEW"),"",COUNTBLANK(OFFSET(A$1,,,SUMPRODUCT(MAX(ROW(E$2:E2145)*(E2145=E$2:E2145)))))-COUNTBLANK(OFFSET(A$1,,,SUMPRODUCT(MAX(ROW(E$1:E2144)*(E2=E$1:E2144))))))</f>
        <v> </v>
      </c>
      <c r="K2145" s="26" t="str">
        <f>IF(OR(E2145="",E2145="!!!",F2145="NEW"),"",INDEX(J$1:J2144,SUMPRODUCT(MAX(ROW(E$1:E2144)*(E2145=E$1:E2144)))))</f>
        <v> </v>
      </c>
      <c r="L2145" s="27"/>
    </row>
    <row r="2146" spans="1:12">
      <c r="A2146" s="20" t="s">
        <v>1545</v>
      </c>
      <c r="B2146" s="21" t="s">
        <v>739</v>
      </c>
      <c r="C2146" s="21" t="s">
        <v>753</v>
      </c>
      <c r="D2146" s="21" t="s">
        <v>730</v>
      </c>
      <c r="E2146" s="22">
        <f>IF(D2146="?OLD","!!!","")</f>
        <v/>
      </c>
      <c r="F2146" s="23" t="str">
        <f>IF(OR(E2146="",E2146="!!!"),"",IF(NOT(ISNA(VLOOKUP(E2146,E$1:E2145,1,FALSE()))),"OLD",IF(AND(E2146&lt;&gt;"",E2146&lt;&gt;"!!!"),"NEW","")))</f>
        <v> </v>
      </c>
      <c r="G2146" s="24" t="str">
        <f>IF(OR(E2146="",E2146="!!!"),"",IF(OR(J2146=0,AND(J2146=1,K2146=1),AND(J2146=1,I2146="SBJ"),AND(J2146=1,I2146=0)),"?IN_FOCUS",IF(J2146&lt;=2,"?ACTIVATED",IF(J2146&lt;&gt;"","?FAMILIAR",IF(F2146="NEW",IF(ISNA(VLOOKUP(E2146,#REF!,1,FALSE())),"?TYPE_IDENTIFIABLE","?REFERENTIAL"),"_")))))</f>
        <v> </v>
      </c>
      <c r="H2146" s="25" t="str">
        <f>IF(J2146&lt;&gt;1,"",IF(I2146="SBJ","CB","?"))</f>
        <v> </v>
      </c>
      <c r="I2146" s="26" t="str">
        <f>IF(OR(E2146="",E2146="!!!",F2146="NEW"),"",INDEX(B2145:B$2,-1+SUMPRODUCT(MAX(ROW(E2145:E$2)*(E2146=E2145:E$2)))))</f>
        <v> </v>
      </c>
      <c r="J2146" s="26" t="str">
        <f>IF(OR(E2146="",E2146="!!!",F2146="NEW"),"",COUNTBLANK(OFFSET(A$1,,,SUMPRODUCT(MAX(ROW(E$2:E2146)*(E2146=E$2:E2146)))))-COUNTBLANK(OFFSET(A$1,,,SUMPRODUCT(MAX(ROW(E$1:E2145)*(E2=E$1:E2145))))))</f>
        <v> </v>
      </c>
      <c r="K2146" s="26" t="str">
        <f>IF(OR(E2146="",E2146="!!!",F2146="NEW"),"",INDEX(J$1:J2145,SUMPRODUCT(MAX(ROW(E$1:E2145)*(E2146=E$1:E2145)))))</f>
        <v> </v>
      </c>
      <c r="L2146" s="27"/>
    </row>
    <row r="2147" spans="1:12">
      <c r="A2147" s="20" t="s">
        <v>246</v>
      </c>
      <c r="E2147" s="22">
        <f>IF(D2147="?OLD","!!!","")</f>
        <v/>
      </c>
      <c r="F2147" s="23" t="str">
        <f>IF(OR(E2147="",E2147="!!!"),"",IF(NOT(ISNA(VLOOKUP(E2147,E$1:E2146,1,FALSE()))),"OLD",IF(AND(E2147&lt;&gt;"",E2147&lt;&gt;"!!!"),"NEW","")))</f>
        <v> </v>
      </c>
      <c r="G2147" s="24" t="str">
        <f>IF(OR(E2147="",E2147="!!!"),"",IF(OR(J2147=0,AND(J2147=1,K2147=1),AND(J2147=1,I2147="SBJ"),AND(J2147=1,I2147=0)),"?IN_FOCUS",IF(J2147&lt;=2,"?ACTIVATED",IF(J2147&lt;&gt;"","?FAMILIAR",IF(F2147="NEW",IF(ISNA(VLOOKUP(E2147,#REF!,1,FALSE())),"?TYPE_IDENTIFIABLE","?REFERENTIAL"),"_")))))</f>
        <v> </v>
      </c>
      <c r="H2147" s="25" t="str">
        <f>IF(J2147&lt;&gt;1,"",IF(I2147="SBJ","CB","?"))</f>
        <v> </v>
      </c>
      <c r="I2147" s="26" t="str">
        <f>IF(OR(E2147="",E2147="!!!",F2147="NEW"),"",INDEX(B2146:B$2,-1+SUMPRODUCT(MAX(ROW(E2146:E$2)*(E2147=E2146:E$2)))))</f>
        <v> </v>
      </c>
      <c r="J2147" s="26" t="str">
        <f>IF(OR(E2147="",E2147="!!!",F2147="NEW"),"",COUNTBLANK(OFFSET(A$1,,,SUMPRODUCT(MAX(ROW(E$2:E2147)*(E2147=E$2:E2147)))))-COUNTBLANK(OFFSET(A$1,,,SUMPRODUCT(MAX(ROW(E$1:E2146)*(E2=E$1:E2146))))))</f>
        <v> </v>
      </c>
      <c r="K2147" s="26" t="str">
        <f>IF(OR(E2147="",E2147="!!!",F2147="NEW"),"",INDEX(J$1:J2146,SUMPRODUCT(MAX(ROW(E$1:E2146)*(E2147=E$1:E2146)))))</f>
        <v> </v>
      </c>
      <c r="L2147" s="27"/>
    </row>
    <row r="2148" spans="1:12">
      <c r="A2148" s="20"/>
    </row>
    <row r="2149" spans="1:12">
      <c r="A2149" s="20" t="s">
        <v>1574</v>
      </c>
    </row>
    <row r="2150" spans="1:12">
      <c r="A2150" s="20" t="s">
        <v>727</v>
      </c>
      <c r="B2150" s="21" t="s">
        <v>728</v>
      </c>
      <c r="C2150" s="21" t="s">
        <v>729</v>
      </c>
      <c r="D2150" s="21" t="s">
        <v>730</v>
      </c>
      <c r="E2150" s="22">
        <f>IF(D2150="?OLD","!!!","")</f>
        <v/>
      </c>
      <c r="F2150" s="23" t="str">
        <f>IF(OR(E2150="",E2150="!!!"),"",IF(NOT(ISNA(VLOOKUP(E2150,E$1:E2149,1,FALSE()))),"OLD",IF(AND(E2150&lt;&gt;"",E2150&lt;&gt;"!!!"),"NEW","")))</f>
        <v> </v>
      </c>
      <c r="G2150" s="24" t="str">
        <f>IF(OR(E2150="",E2150="!!!"),"",IF(OR(J2150=0,AND(J2150=1,K2150=1),AND(J2150=1,I2150="SBJ"),AND(J2150=1,I2150=0)),"?IN_FOCUS",IF(J2150&lt;=2,"?ACTIVATED",IF(J2150&lt;&gt;"","?FAMILIAR",IF(F2150="NEW",IF(ISNA(VLOOKUP(E2150,#REF!,1,FALSE())),"?TYPE_IDENTIFIABLE","?REFERENTIAL"),"_")))))</f>
        <v> </v>
      </c>
      <c r="H2150" s="25" t="str">
        <f>IF(J2150&lt;&gt;1,"",IF(I2150="SBJ","CB","?"))</f>
        <v> </v>
      </c>
      <c r="I2150" s="26" t="str">
        <f>IF(OR(E2150="",E2150="!!!",F2150="NEW"),"",INDEX(B2149:B$2,-1+SUMPRODUCT(MAX(ROW(E2149:E$2)*(E2150=E2149:E$2)))))</f>
        <v> </v>
      </c>
      <c r="J2150" s="26" t="str">
        <f>IF(OR(E2150="",E2150="!!!",F2150="NEW"),"",COUNTBLANK(OFFSET(A$1,,,SUMPRODUCT(MAX(ROW(E$2:E2150)*(E2150=E$2:E2150)))))-COUNTBLANK(OFFSET(A$1,,,SUMPRODUCT(MAX(ROW(E$1:E2149)*(E2=E$1:E2149))))))</f>
        <v> </v>
      </c>
      <c r="K2150" s="26" t="str">
        <f>IF(OR(E2150="",E2150="!!!",F2150="NEW"),"",INDEX(J$1:J2149,SUMPRODUCT(MAX(ROW(E$1:E2149)*(E2150=E$1:E2149)))))</f>
        <v> </v>
      </c>
      <c r="L2150" s="27"/>
    </row>
    <row r="2151" spans="1:12">
      <c r="A2151" s="20" t="s">
        <v>1575</v>
      </c>
      <c r="E2151" s="22">
        <f>IF(D2151="?OLD","!!!","")</f>
        <v/>
      </c>
      <c r="F2151" s="23" t="str">
        <f>IF(OR(E2151="",E2151="!!!"),"",IF(NOT(ISNA(VLOOKUP(E2151,E$1:E2150,1,FALSE()))),"OLD",IF(AND(E2151&lt;&gt;"",E2151&lt;&gt;"!!!"),"NEW","")))</f>
        <v> </v>
      </c>
      <c r="G2151" s="24" t="str">
        <f>IF(OR(E2151="",E2151="!!!"),"",IF(OR(J2151=0,AND(J2151=1,K2151=1),AND(J2151=1,I2151="SBJ"),AND(J2151=1,I2151=0)),"?IN_FOCUS",IF(J2151&lt;=2,"?ACTIVATED",IF(J2151&lt;&gt;"","?FAMILIAR",IF(F2151="NEW",IF(ISNA(VLOOKUP(E2151,#REF!,1,FALSE())),"?TYPE_IDENTIFIABLE","?REFERENTIAL"),"_")))))</f>
        <v> </v>
      </c>
      <c r="H2151" s="25" t="str">
        <f>IF(J2151&lt;&gt;1,"",IF(I2151="SBJ","CB","?"))</f>
        <v> </v>
      </c>
      <c r="I2151" s="26" t="str">
        <f>IF(OR(E2151="",E2151="!!!",F2151="NEW"),"",INDEX(B2150:B$2,-1+SUMPRODUCT(MAX(ROW(E2150:E$2)*(E2151=E2150:E$2)))))</f>
        <v> </v>
      </c>
      <c r="J2151" s="26" t="str">
        <f>IF(OR(E2151="",E2151="!!!",F2151="NEW"),"",COUNTBLANK(OFFSET(A$1,,,SUMPRODUCT(MAX(ROW(E$2:E2151)*(E2151=E$2:E2151)))))-COUNTBLANK(OFFSET(A$1,,,SUMPRODUCT(MAX(ROW(E$1:E2150)*(E2=E$1:E2150))))))</f>
        <v> </v>
      </c>
      <c r="K2151" s="26" t="str">
        <f>IF(OR(E2151="",E2151="!!!",F2151="NEW"),"",INDEX(J$1:J2150,SUMPRODUCT(MAX(ROW(E$1:E2150)*(E2151=E$1:E2150)))))</f>
        <v> </v>
      </c>
      <c r="L2151" s="27"/>
    </row>
    <row r="2152" spans="1:12">
      <c r="A2152" s="20" t="s">
        <v>899</v>
      </c>
      <c r="B2152" s="21" t="s">
        <v>764</v>
      </c>
      <c r="C2152" s="21" t="s">
        <v>729</v>
      </c>
      <c r="D2152" s="21" t="s">
        <v>730</v>
      </c>
      <c r="E2152" s="22">
        <f>IF(D2152="?OLD","!!!","")</f>
        <v/>
      </c>
      <c r="F2152" s="23" t="str">
        <f>IF(OR(E2152="",E2152="!!!"),"",IF(NOT(ISNA(VLOOKUP(E2152,E$1:E2151,1,FALSE()))),"OLD",IF(AND(E2152&lt;&gt;"",E2152&lt;&gt;"!!!"),"NEW","")))</f>
        <v> </v>
      </c>
      <c r="G2152" s="24" t="str">
        <f>IF(OR(E2152="",E2152="!!!"),"",IF(OR(J2152=0,AND(J2152=1,K2152=1),AND(J2152=1,I2152="SBJ"),AND(J2152=1,I2152=0)),"?IN_FOCUS",IF(J2152&lt;=2,"?ACTIVATED",IF(J2152&lt;&gt;"","?FAMILIAR",IF(F2152="NEW",IF(ISNA(VLOOKUP(E2152,#REF!,1,FALSE())),"?TYPE_IDENTIFIABLE","?REFERENTIAL"),"_")))))</f>
        <v> </v>
      </c>
      <c r="H2152" s="25" t="str">
        <f>IF(J2152&lt;&gt;1,"",IF(I2152="SBJ","CB","?"))</f>
        <v> </v>
      </c>
      <c r="I2152" s="26" t="str">
        <f>IF(OR(E2152="",E2152="!!!",F2152="NEW"),"",INDEX(B2151:B$2,-1+SUMPRODUCT(MAX(ROW(E2151:E$2)*(E2152=E2151:E$2)))))</f>
        <v> </v>
      </c>
      <c r="J2152" s="26" t="str">
        <f>IF(OR(E2152="",E2152="!!!",F2152="NEW"),"",COUNTBLANK(OFFSET(A$1,,,SUMPRODUCT(MAX(ROW(E$2:E2152)*(E2152=E$2:E2152)))))-COUNTBLANK(OFFSET(A$1,,,SUMPRODUCT(MAX(ROW(E$1:E2151)*(E2=E$1:E2151))))))</f>
        <v> </v>
      </c>
      <c r="K2152" s="26" t="str">
        <f>IF(OR(E2152="",E2152="!!!",F2152="NEW"),"",INDEX(J$1:J2151,SUMPRODUCT(MAX(ROW(E$1:E2151)*(E2152=E$1:E2151)))))</f>
        <v> </v>
      </c>
      <c r="L2152" s="27"/>
    </row>
    <row r="2153" spans="1:12">
      <c r="A2153" s="20" t="s">
        <v>1170</v>
      </c>
      <c r="E2153" s="22">
        <f>IF(D2153="?OLD","!!!","")</f>
        <v/>
      </c>
      <c r="F2153" s="23" t="str">
        <f>IF(OR(E2153="",E2153="!!!"),"",IF(NOT(ISNA(VLOOKUP(E2153,E$1:E2152,1,FALSE()))),"OLD",IF(AND(E2153&lt;&gt;"",E2153&lt;&gt;"!!!"),"NEW","")))</f>
        <v> </v>
      </c>
      <c r="G2153" s="24" t="str">
        <f>IF(OR(E2153="",E2153="!!!"),"",IF(OR(J2153=0,AND(J2153=1,K2153=1),AND(J2153=1,I2153="SBJ"),AND(J2153=1,I2153=0)),"?IN_FOCUS",IF(J2153&lt;=2,"?ACTIVATED",IF(J2153&lt;&gt;"","?FAMILIAR",IF(F2153="NEW",IF(ISNA(VLOOKUP(E2153,#REF!,1,FALSE())),"?TYPE_IDENTIFIABLE","?REFERENTIAL"),"_")))))</f>
        <v> </v>
      </c>
      <c r="H2153" s="25" t="str">
        <f>IF(J2153&lt;&gt;1,"",IF(I2153="SBJ","CB","?"))</f>
        <v> </v>
      </c>
      <c r="I2153" s="26" t="str">
        <f>IF(OR(E2153="",E2153="!!!",F2153="NEW"),"",INDEX(B2152:B$2,-1+SUMPRODUCT(MAX(ROW(E2152:E$2)*(E2153=E2152:E$2)))))</f>
        <v> </v>
      </c>
      <c r="J2153" s="26" t="str">
        <f>IF(OR(E2153="",E2153="!!!",F2153="NEW"),"",COUNTBLANK(OFFSET(A$1,,,SUMPRODUCT(MAX(ROW(E$2:E2153)*(E2153=E$2:E2153)))))-COUNTBLANK(OFFSET(A$1,,,SUMPRODUCT(MAX(ROW(E$1:E2152)*(E2=E$1:E2152))))))</f>
        <v> </v>
      </c>
      <c r="K2153" s="26" t="str">
        <f>IF(OR(E2153="",E2153="!!!",F2153="NEW"),"",INDEX(J$1:J2152,SUMPRODUCT(MAX(ROW(E$1:E2152)*(E2153=E$1:E2152)))))</f>
        <v> </v>
      </c>
      <c r="L2153" s="27"/>
    </row>
    <row r="2154" spans="1:12">
      <c r="A2154" s="20" t="s">
        <v>1309</v>
      </c>
      <c r="E2154" s="22">
        <f>IF(D2154="?OLD","!!!","")</f>
        <v/>
      </c>
      <c r="F2154" s="23" t="str">
        <f>IF(OR(E2154="",E2154="!!!"),"",IF(NOT(ISNA(VLOOKUP(E2154,E$1:E2153,1,FALSE()))),"OLD",IF(AND(E2154&lt;&gt;"",E2154&lt;&gt;"!!!"),"NEW","")))</f>
        <v> </v>
      </c>
      <c r="G2154" s="24" t="str">
        <f>IF(OR(E2154="",E2154="!!!"),"",IF(OR(J2154=0,AND(J2154=1,K2154=1),AND(J2154=1,I2154="SBJ"),AND(J2154=1,I2154=0)),"?IN_FOCUS",IF(J2154&lt;=2,"?ACTIVATED",IF(J2154&lt;&gt;"","?FAMILIAR",IF(F2154="NEW",IF(ISNA(VLOOKUP(E2154,#REF!,1,FALSE())),"?TYPE_IDENTIFIABLE","?REFERENTIAL"),"_")))))</f>
        <v> </v>
      </c>
      <c r="H2154" s="25" t="str">
        <f>IF(J2154&lt;&gt;1,"",IF(I2154="SBJ","CB","?"))</f>
        <v> </v>
      </c>
      <c r="I2154" s="26" t="str">
        <f>IF(OR(E2154="",E2154="!!!",F2154="NEW"),"",INDEX(B2153:B$2,-1+SUMPRODUCT(MAX(ROW(E2153:E$2)*(E2154=E2153:E$2)))))</f>
        <v> </v>
      </c>
      <c r="J2154" s="26" t="str">
        <f>IF(OR(E2154="",E2154="!!!",F2154="NEW"),"",COUNTBLANK(OFFSET(A$1,,,SUMPRODUCT(MAX(ROW(E$2:E2154)*(E2154=E$2:E2154)))))-COUNTBLANK(OFFSET(A$1,,,SUMPRODUCT(MAX(ROW(E$1:E2153)*(E2=E$1:E2153))))))</f>
        <v> </v>
      </c>
      <c r="K2154" s="26" t="str">
        <f>IF(OR(E2154="",E2154="!!!",F2154="NEW"),"",INDEX(J$1:J2153,SUMPRODUCT(MAX(ROW(E$1:E2153)*(E2154=E$1:E2153)))))</f>
        <v> </v>
      </c>
      <c r="L2154" s="27"/>
    </row>
    <row r="2155" spans="1:12">
      <c r="A2155" s="20" t="s">
        <v>1576</v>
      </c>
      <c r="E2155" s="22">
        <f>IF(D2155="?OLD","!!!","")</f>
        <v/>
      </c>
      <c r="F2155" s="23" t="str">
        <f>IF(OR(E2155="",E2155="!!!"),"",IF(NOT(ISNA(VLOOKUP(E2155,E$1:E2154,1,FALSE()))),"OLD",IF(AND(E2155&lt;&gt;"",E2155&lt;&gt;"!!!"),"NEW","")))</f>
        <v> </v>
      </c>
      <c r="G2155" s="24" t="str">
        <f>IF(OR(E2155="",E2155="!!!"),"",IF(OR(J2155=0,AND(J2155=1,K2155=1),AND(J2155=1,I2155="SBJ"),AND(J2155=1,I2155=0)),"?IN_FOCUS",IF(J2155&lt;=2,"?ACTIVATED",IF(J2155&lt;&gt;"","?FAMILIAR",IF(F2155="NEW",IF(ISNA(VLOOKUP(E2155,#REF!,1,FALSE())),"?TYPE_IDENTIFIABLE","?REFERENTIAL"),"_")))))</f>
        <v> </v>
      </c>
      <c r="H2155" s="25" t="str">
        <f>IF(J2155&lt;&gt;1,"",IF(I2155="SBJ","CB","?"))</f>
        <v> </v>
      </c>
      <c r="I2155" s="26" t="str">
        <f>IF(OR(E2155="",E2155="!!!",F2155="NEW"),"",INDEX(B2154:B$2,-1+SUMPRODUCT(MAX(ROW(E2154:E$2)*(E2155=E2154:E$2)))))</f>
        <v> </v>
      </c>
      <c r="J2155" s="26" t="str">
        <f>IF(OR(E2155="",E2155="!!!",F2155="NEW"),"",COUNTBLANK(OFFSET(A$1,,,SUMPRODUCT(MAX(ROW(E$2:E2155)*(E2155=E$2:E2155)))))-COUNTBLANK(OFFSET(A$1,,,SUMPRODUCT(MAX(ROW(E$1:E2154)*(E2=E$1:E2154))))))</f>
        <v> </v>
      </c>
      <c r="K2155" s="26" t="str">
        <f>IF(OR(E2155="",E2155="!!!",F2155="NEW"),"",INDEX(J$1:J2154,SUMPRODUCT(MAX(ROW(E$1:E2154)*(E2155=E$1:E2154)))))</f>
        <v> </v>
      </c>
      <c r="L2155" s="27"/>
    </row>
    <row r="2156" spans="1:12">
      <c r="A2156" s="20" t="s">
        <v>759</v>
      </c>
      <c r="E2156" s="22">
        <f>IF(D2156="?OLD","!!!","")</f>
        <v/>
      </c>
      <c r="F2156" s="23" t="str">
        <f>IF(OR(E2156="",E2156="!!!"),"",IF(NOT(ISNA(VLOOKUP(E2156,E$1:E2155,1,FALSE()))),"OLD",IF(AND(E2156&lt;&gt;"",E2156&lt;&gt;"!!!"),"NEW","")))</f>
        <v> </v>
      </c>
      <c r="G2156" s="24" t="str">
        <f>IF(OR(E2156="",E2156="!!!"),"",IF(OR(J2156=0,AND(J2156=1,K2156=1),AND(J2156=1,I2156="SBJ"),AND(J2156=1,I2156=0)),"?IN_FOCUS",IF(J2156&lt;=2,"?ACTIVATED",IF(J2156&lt;&gt;"","?FAMILIAR",IF(F2156="NEW",IF(ISNA(VLOOKUP(E2156,#REF!,1,FALSE())),"?TYPE_IDENTIFIABLE","?REFERENTIAL"),"_")))))</f>
        <v> </v>
      </c>
      <c r="H2156" s="25" t="str">
        <f>IF(J2156&lt;&gt;1,"",IF(I2156="SBJ","CB","?"))</f>
        <v> </v>
      </c>
      <c r="I2156" s="26" t="str">
        <f>IF(OR(E2156="",E2156="!!!",F2156="NEW"),"",INDEX(B2155:B$2,-1+SUMPRODUCT(MAX(ROW(E2155:E$2)*(E2156=E2155:E$2)))))</f>
        <v> </v>
      </c>
      <c r="J2156" s="26" t="str">
        <f>IF(OR(E2156="",E2156="!!!",F2156="NEW"),"",COUNTBLANK(OFFSET(A$1,,,SUMPRODUCT(MAX(ROW(E$2:E2156)*(E2156=E$2:E2156)))))-COUNTBLANK(OFFSET(A$1,,,SUMPRODUCT(MAX(ROW(E$1:E2155)*(E2=E$1:E2155))))))</f>
        <v> </v>
      </c>
      <c r="K2156" s="26" t="str">
        <f>IF(OR(E2156="",E2156="!!!",F2156="NEW"),"",INDEX(J$1:J2155,SUMPRODUCT(MAX(ROW(E$1:E2155)*(E2156=E$1:E2155)))))</f>
        <v> </v>
      </c>
      <c r="L2156" s="27"/>
    </row>
    <row r="2157" spans="1:12">
      <c r="A2157" s="20" t="s">
        <v>1023</v>
      </c>
      <c r="E2157" s="22">
        <f>IF(D2157="?OLD","!!!","")</f>
        <v/>
      </c>
      <c r="F2157" s="23" t="str">
        <f>IF(OR(E2157="",E2157="!!!"),"",IF(NOT(ISNA(VLOOKUP(E2157,E$1:E2156,1,FALSE()))),"OLD",IF(AND(E2157&lt;&gt;"",E2157&lt;&gt;"!!!"),"NEW","")))</f>
        <v> </v>
      </c>
      <c r="G2157" s="24" t="str">
        <f>IF(OR(E2157="",E2157="!!!"),"",IF(OR(J2157=0,AND(J2157=1,K2157=1),AND(J2157=1,I2157="SBJ"),AND(J2157=1,I2157=0)),"?IN_FOCUS",IF(J2157&lt;=2,"?ACTIVATED",IF(J2157&lt;&gt;"","?FAMILIAR",IF(F2157="NEW",IF(ISNA(VLOOKUP(E2157,#REF!,1,FALSE())),"?TYPE_IDENTIFIABLE","?REFERENTIAL"),"_")))))</f>
        <v> </v>
      </c>
      <c r="H2157" s="25" t="str">
        <f>IF(J2157&lt;&gt;1,"",IF(I2157="SBJ","CB","?"))</f>
        <v> </v>
      </c>
      <c r="I2157" s="26" t="str">
        <f>IF(OR(E2157="",E2157="!!!",F2157="NEW"),"",INDEX(B2156:B$2,-1+SUMPRODUCT(MAX(ROW(E2156:E$2)*(E2157=E2156:E$2)))))</f>
        <v> </v>
      </c>
      <c r="J2157" s="26" t="str">
        <f>IF(OR(E2157="",E2157="!!!",F2157="NEW"),"",COUNTBLANK(OFFSET(A$1,,,SUMPRODUCT(MAX(ROW(E$2:E2157)*(E2157=E$2:E2157)))))-COUNTBLANK(OFFSET(A$1,,,SUMPRODUCT(MAX(ROW(E$1:E2156)*(E2=E$1:E2156))))))</f>
        <v> </v>
      </c>
      <c r="K2157" s="26" t="str">
        <f>IF(OR(E2157="",E2157="!!!",F2157="NEW"),"",INDEX(J$1:J2156,SUMPRODUCT(MAX(ROW(E$1:E2156)*(E2157=E$1:E2156)))))</f>
        <v> </v>
      </c>
      <c r="L2157" s="27"/>
    </row>
    <row r="2158" spans="1:12">
      <c r="A2158" s="20" t="s">
        <v>1577</v>
      </c>
      <c r="B2158" s="21" t="s">
        <v>755</v>
      </c>
      <c r="C2158" s="21" t="s">
        <v>746</v>
      </c>
      <c r="D2158" s="21" t="s">
        <v>730</v>
      </c>
      <c r="E2158" s="22">
        <f>IF(D2158="?OLD","!!!","")</f>
        <v/>
      </c>
      <c r="F2158" s="23" t="str">
        <f>IF(OR(E2158="",E2158="!!!"),"",IF(NOT(ISNA(VLOOKUP(E2158,E$1:E2157,1,FALSE()))),"OLD",IF(AND(E2158&lt;&gt;"",E2158&lt;&gt;"!!!"),"NEW","")))</f>
        <v> </v>
      </c>
      <c r="G2158" s="24" t="str">
        <f>IF(OR(E2158="",E2158="!!!"),"",IF(OR(J2158=0,AND(J2158=1,K2158=1),AND(J2158=1,I2158="SBJ"),AND(J2158=1,I2158=0)),"?IN_FOCUS",IF(J2158&lt;=2,"?ACTIVATED",IF(J2158&lt;&gt;"","?FAMILIAR",IF(F2158="NEW",IF(ISNA(VLOOKUP(E2158,#REF!,1,FALSE())),"?TYPE_IDENTIFIABLE","?REFERENTIAL"),"_")))))</f>
        <v> </v>
      </c>
      <c r="H2158" s="25" t="str">
        <f>IF(J2158&lt;&gt;1,"",IF(I2158="SBJ","CB","?"))</f>
        <v> </v>
      </c>
      <c r="I2158" s="26" t="str">
        <f>IF(OR(E2158="",E2158="!!!",F2158="NEW"),"",INDEX(B2157:B$2,-1+SUMPRODUCT(MAX(ROW(E2157:E$2)*(E2158=E2157:E$2)))))</f>
        <v> </v>
      </c>
      <c r="J2158" s="26" t="str">
        <f>IF(OR(E2158="",E2158="!!!",F2158="NEW"),"",COUNTBLANK(OFFSET(A$1,,,SUMPRODUCT(MAX(ROW(E$2:E2158)*(E2158=E$2:E2158)))))-COUNTBLANK(OFFSET(A$1,,,SUMPRODUCT(MAX(ROW(E$1:E2157)*(E2=E$1:E2157))))))</f>
        <v> </v>
      </c>
      <c r="K2158" s="26" t="str">
        <f>IF(OR(E2158="",E2158="!!!",F2158="NEW"),"",INDEX(J$1:J2157,SUMPRODUCT(MAX(ROW(E$1:E2157)*(E2158=E$1:E2157)))))</f>
        <v> </v>
      </c>
      <c r="L2158" s="27"/>
    </row>
    <row r="2159" spans="1:12">
      <c r="A2159" s="20" t="s">
        <v>1578</v>
      </c>
      <c r="B2159" s="21" t="s">
        <v>796</v>
      </c>
      <c r="C2159" s="21" t="s">
        <v>748</v>
      </c>
      <c r="E2159" s="22">
        <f>IF(D2159="?OLD","!!!","")</f>
        <v/>
      </c>
      <c r="F2159" s="23" t="str">
        <f>IF(OR(E2159="",E2159="!!!"),"",IF(NOT(ISNA(VLOOKUP(E2159,E$1:E2158,1,FALSE()))),"OLD",IF(AND(E2159&lt;&gt;"",E2159&lt;&gt;"!!!"),"NEW","")))</f>
        <v> </v>
      </c>
      <c r="G2159" s="24" t="str">
        <f>IF(OR(E2159="",E2159="!!!"),"",IF(OR(J2159=0,AND(J2159=1,K2159=1),AND(J2159=1,I2159="SBJ"),AND(J2159=1,I2159=0)),"?IN_FOCUS",IF(J2159&lt;=2,"?ACTIVATED",IF(J2159&lt;&gt;"","?FAMILIAR",IF(F2159="NEW",IF(ISNA(VLOOKUP(E2159,#REF!,1,FALSE())),"?TYPE_IDENTIFIABLE","?REFERENTIAL"),"_")))))</f>
        <v> </v>
      </c>
      <c r="H2159" s="25" t="str">
        <f>IF(J2159&lt;&gt;1,"",IF(I2159="SBJ","CB","?"))</f>
        <v> </v>
      </c>
      <c r="I2159" s="26" t="str">
        <f>IF(OR(E2159="",E2159="!!!",F2159="NEW"),"",INDEX(B2158:B$2,-1+SUMPRODUCT(MAX(ROW(E2158:E$2)*(E2159=E2158:E$2)))))</f>
        <v> </v>
      </c>
      <c r="J2159" s="26" t="str">
        <f>IF(OR(E2159="",E2159="!!!",F2159="NEW"),"",COUNTBLANK(OFFSET(A$1,,,SUMPRODUCT(MAX(ROW(E$2:E2159)*(E2159=E$2:E2159)))))-COUNTBLANK(OFFSET(A$1,,,SUMPRODUCT(MAX(ROW(E$1:E2158)*(E2=E$1:E2158))))))</f>
        <v> </v>
      </c>
      <c r="K2159" s="26" t="str">
        <f>IF(OR(E2159="",E2159="!!!",F2159="NEW"),"",INDEX(J$1:J2158,SUMPRODUCT(MAX(ROW(E$1:E2158)*(E2159=E$1:E2158)))))</f>
        <v> </v>
      </c>
      <c r="L2159" s="27"/>
    </row>
    <row r="2160" spans="1:12">
      <c r="A2160" s="20" t="s">
        <v>1087</v>
      </c>
      <c r="E2160" s="22">
        <f>IF(D2160="?OLD","!!!","")</f>
        <v/>
      </c>
      <c r="F2160" s="23" t="str">
        <f>IF(OR(E2160="",E2160="!!!"),"",IF(NOT(ISNA(VLOOKUP(E2160,E$1:E2159,1,FALSE()))),"OLD",IF(AND(E2160&lt;&gt;"",E2160&lt;&gt;"!!!"),"NEW","")))</f>
        <v> </v>
      </c>
      <c r="G2160" s="24" t="str">
        <f>IF(OR(E2160="",E2160="!!!"),"",IF(OR(J2160=0,AND(J2160=1,K2160=1),AND(J2160=1,I2160="SBJ"),AND(J2160=1,I2160=0)),"?IN_FOCUS",IF(J2160&lt;=2,"?ACTIVATED",IF(J2160&lt;&gt;"","?FAMILIAR",IF(F2160="NEW",IF(ISNA(VLOOKUP(E2160,#REF!,1,FALSE())),"?TYPE_IDENTIFIABLE","?REFERENTIAL"),"_")))))</f>
        <v> </v>
      </c>
      <c r="H2160" s="25" t="str">
        <f>IF(J2160&lt;&gt;1,"",IF(I2160="SBJ","CB","?"))</f>
        <v> </v>
      </c>
      <c r="I2160" s="26" t="str">
        <f>IF(OR(E2160="",E2160="!!!",F2160="NEW"),"",INDEX(B2159:B$2,-1+SUMPRODUCT(MAX(ROW(E2159:E$2)*(E2160=E2159:E$2)))))</f>
        <v> </v>
      </c>
      <c r="J2160" s="26" t="str">
        <f>IF(OR(E2160="",E2160="!!!",F2160="NEW"),"",COUNTBLANK(OFFSET(A$1,,,SUMPRODUCT(MAX(ROW(E$2:E2160)*(E2160=E$2:E2160)))))-COUNTBLANK(OFFSET(A$1,,,SUMPRODUCT(MAX(ROW(E$1:E2159)*(E2=E$1:E2159))))))</f>
        <v> </v>
      </c>
      <c r="K2160" s="26" t="str">
        <f>IF(OR(E2160="",E2160="!!!",F2160="NEW"),"",INDEX(J$1:J2159,SUMPRODUCT(MAX(ROW(E$1:E2159)*(E2160=E$1:E2159)))))</f>
        <v> </v>
      </c>
      <c r="L2160" s="27"/>
    </row>
    <row r="2161" spans="1:12">
      <c r="A2161" s="20" t="s">
        <v>1579</v>
      </c>
      <c r="E2161" s="22">
        <f>IF(D2161="?OLD","!!!","")</f>
        <v/>
      </c>
      <c r="F2161" s="23" t="str">
        <f>IF(OR(E2161="",E2161="!!!"),"",IF(NOT(ISNA(VLOOKUP(E2161,E$1:E2160,1,FALSE()))),"OLD",IF(AND(E2161&lt;&gt;"",E2161&lt;&gt;"!!!"),"NEW","")))</f>
        <v> </v>
      </c>
      <c r="G2161" s="24" t="str">
        <f>IF(OR(E2161="",E2161="!!!"),"",IF(OR(J2161=0,AND(J2161=1,K2161=1),AND(J2161=1,I2161="SBJ"),AND(J2161=1,I2161=0)),"?IN_FOCUS",IF(J2161&lt;=2,"?ACTIVATED",IF(J2161&lt;&gt;"","?FAMILIAR",IF(F2161="NEW",IF(ISNA(VLOOKUP(E2161,#REF!,1,FALSE())),"?TYPE_IDENTIFIABLE","?REFERENTIAL"),"_")))))</f>
        <v> </v>
      </c>
      <c r="H2161" s="25" t="str">
        <f>IF(J2161&lt;&gt;1,"",IF(I2161="SBJ","CB","?"))</f>
        <v> </v>
      </c>
      <c r="I2161" s="26" t="str">
        <f>IF(OR(E2161="",E2161="!!!",F2161="NEW"),"",INDEX(B2160:B$2,-1+SUMPRODUCT(MAX(ROW(E2160:E$2)*(E2161=E2160:E$2)))))</f>
        <v> </v>
      </c>
      <c r="J2161" s="26" t="str">
        <f>IF(OR(E2161="",E2161="!!!",F2161="NEW"),"",COUNTBLANK(OFFSET(A$1,,,SUMPRODUCT(MAX(ROW(E$2:E2161)*(E2161=E$2:E2161)))))-COUNTBLANK(OFFSET(A$1,,,SUMPRODUCT(MAX(ROW(E$1:E2160)*(E2=E$1:E2160))))))</f>
        <v> </v>
      </c>
      <c r="K2161" s="26" t="str">
        <f>IF(OR(E2161="",E2161="!!!",F2161="NEW"),"",INDEX(J$1:J2160,SUMPRODUCT(MAX(ROW(E$1:E2160)*(E2161=E$1:E2160)))))</f>
        <v> </v>
      </c>
      <c r="L2161" s="27"/>
    </row>
    <row r="2162" spans="1:12">
      <c r="A2162" s="20" t="s">
        <v>845</v>
      </c>
      <c r="E2162" s="22">
        <f>IF(D2162="?OLD","!!!","")</f>
        <v/>
      </c>
      <c r="F2162" s="23" t="str">
        <f>IF(OR(E2162="",E2162="!!!"),"",IF(NOT(ISNA(VLOOKUP(E2162,E$1:E2161,1,FALSE()))),"OLD",IF(AND(E2162&lt;&gt;"",E2162&lt;&gt;"!!!"),"NEW","")))</f>
        <v> </v>
      </c>
      <c r="G2162" s="24" t="str">
        <f>IF(OR(E2162="",E2162="!!!"),"",IF(OR(J2162=0,AND(J2162=1,K2162=1),AND(J2162=1,I2162="SBJ"),AND(J2162=1,I2162=0)),"?IN_FOCUS",IF(J2162&lt;=2,"?ACTIVATED",IF(J2162&lt;&gt;"","?FAMILIAR",IF(F2162="NEW",IF(ISNA(VLOOKUP(E2162,#REF!,1,FALSE())),"?TYPE_IDENTIFIABLE","?REFERENTIAL"),"_")))))</f>
        <v> </v>
      </c>
      <c r="H2162" s="25" t="str">
        <f>IF(J2162&lt;&gt;1,"",IF(I2162="SBJ","CB","?"))</f>
        <v> </v>
      </c>
      <c r="I2162" s="26" t="str">
        <f>IF(OR(E2162="",E2162="!!!",F2162="NEW"),"",INDEX(B2161:B$2,-1+SUMPRODUCT(MAX(ROW(E2161:E$2)*(E2162=E2161:E$2)))))</f>
        <v> </v>
      </c>
      <c r="J2162" s="26" t="str">
        <f>IF(OR(E2162="",E2162="!!!",F2162="NEW"),"",COUNTBLANK(OFFSET(A$1,,,SUMPRODUCT(MAX(ROW(E$2:E2162)*(E2162=E$2:E2162)))))-COUNTBLANK(OFFSET(A$1,,,SUMPRODUCT(MAX(ROW(E$1:E2161)*(E2=E$1:E2161))))))</f>
        <v> </v>
      </c>
      <c r="K2162" s="26" t="str">
        <f>IF(OR(E2162="",E2162="!!!",F2162="NEW"),"",INDEX(J$1:J2161,SUMPRODUCT(MAX(ROW(E$1:E2161)*(E2162=E$1:E2161)))))</f>
        <v> </v>
      </c>
      <c r="L2162" s="27"/>
    </row>
    <row r="2163" spans="1:12">
      <c r="A2163" s="20" t="s">
        <v>1580</v>
      </c>
      <c r="B2163" s="21" t="s">
        <v>739</v>
      </c>
      <c r="C2163" s="21" t="s">
        <v>753</v>
      </c>
      <c r="D2163" s="21" t="s">
        <v>730</v>
      </c>
      <c r="E2163" s="22">
        <f>IF(D2163="?OLD","!!!","")</f>
        <v/>
      </c>
      <c r="F2163" s="23" t="str">
        <f>IF(OR(E2163="",E2163="!!!"),"",IF(NOT(ISNA(VLOOKUP(E2163,E$1:E2162,1,FALSE()))),"OLD",IF(AND(E2163&lt;&gt;"",E2163&lt;&gt;"!!!"),"NEW","")))</f>
        <v> </v>
      </c>
      <c r="G2163" s="24" t="str">
        <f>IF(OR(E2163="",E2163="!!!"),"",IF(OR(J2163=0,AND(J2163=1,K2163=1),AND(J2163=1,I2163="SBJ"),AND(J2163=1,I2163=0)),"?IN_FOCUS",IF(J2163&lt;=2,"?ACTIVATED",IF(J2163&lt;&gt;"","?FAMILIAR",IF(F2163="NEW",IF(ISNA(VLOOKUP(E2163,#REF!,1,FALSE())),"?TYPE_IDENTIFIABLE","?REFERENTIAL"),"_")))))</f>
        <v> </v>
      </c>
      <c r="H2163" s="25" t="str">
        <f>IF(J2163&lt;&gt;1,"",IF(I2163="SBJ","CB","?"))</f>
        <v> </v>
      </c>
      <c r="I2163" s="26" t="str">
        <f>IF(OR(E2163="",E2163="!!!",F2163="NEW"),"",INDEX(B2162:B$2,-1+SUMPRODUCT(MAX(ROW(E2162:E$2)*(E2163=E2162:E$2)))))</f>
        <v> </v>
      </c>
      <c r="J2163" s="26" t="str">
        <f>IF(OR(E2163="",E2163="!!!",F2163="NEW"),"",COUNTBLANK(OFFSET(A$1,,,SUMPRODUCT(MAX(ROW(E$2:E2163)*(E2163=E$2:E2163)))))-COUNTBLANK(OFFSET(A$1,,,SUMPRODUCT(MAX(ROW(E$1:E2162)*(E2=E$1:E2162))))))</f>
        <v> </v>
      </c>
      <c r="K2163" s="26" t="str">
        <f>IF(OR(E2163="",E2163="!!!",F2163="NEW"),"",INDEX(J$1:J2162,SUMPRODUCT(MAX(ROW(E$1:E2162)*(E2163=E$1:E2162)))))</f>
        <v> </v>
      </c>
      <c r="L2163" s="27"/>
    </row>
    <row r="2164" spans="1:12">
      <c r="A2164" s="20" t="s">
        <v>246</v>
      </c>
      <c r="E2164" s="22">
        <f>IF(D2164="?OLD","!!!","")</f>
        <v/>
      </c>
      <c r="F2164" s="23" t="str">
        <f>IF(OR(E2164="",E2164="!!!"),"",IF(NOT(ISNA(VLOOKUP(E2164,E$1:E2163,1,FALSE()))),"OLD",IF(AND(E2164&lt;&gt;"",E2164&lt;&gt;"!!!"),"NEW","")))</f>
        <v> </v>
      </c>
      <c r="G2164" s="24" t="str">
        <f>IF(OR(E2164="",E2164="!!!"),"",IF(OR(J2164=0,AND(J2164=1,K2164=1),AND(J2164=1,I2164="SBJ"),AND(J2164=1,I2164=0)),"?IN_FOCUS",IF(J2164&lt;=2,"?ACTIVATED",IF(J2164&lt;&gt;"","?FAMILIAR",IF(F2164="NEW",IF(ISNA(VLOOKUP(E2164,#REF!,1,FALSE())),"?TYPE_IDENTIFIABLE","?REFERENTIAL"),"_")))))</f>
        <v> </v>
      </c>
      <c r="H2164" s="25" t="str">
        <f>IF(J2164&lt;&gt;1,"",IF(I2164="SBJ","CB","?"))</f>
        <v> </v>
      </c>
      <c r="I2164" s="26" t="str">
        <f>IF(OR(E2164="",E2164="!!!",F2164="NEW"),"",INDEX(B2163:B$2,-1+SUMPRODUCT(MAX(ROW(E2163:E$2)*(E2164=E2163:E$2)))))</f>
        <v> </v>
      </c>
      <c r="J2164" s="26" t="str">
        <f>IF(OR(E2164="",E2164="!!!",F2164="NEW"),"",COUNTBLANK(OFFSET(A$1,,,SUMPRODUCT(MAX(ROW(E$2:E2164)*(E2164=E$2:E2164)))))-COUNTBLANK(OFFSET(A$1,,,SUMPRODUCT(MAX(ROW(E$1:E2163)*(E2=E$1:E2163))))))</f>
        <v> </v>
      </c>
      <c r="K2164" s="26" t="str">
        <f>IF(OR(E2164="",E2164="!!!",F2164="NEW"),"",INDEX(J$1:J2163,SUMPRODUCT(MAX(ROW(E$1:E2163)*(E2164=E$1:E2163)))))</f>
        <v> </v>
      </c>
      <c r="L2164" s="27"/>
    </row>
    <row r="2165" spans="1:12">
      <c r="A2165" s="20"/>
    </row>
    <row r="2166" spans="1:12">
      <c r="A2166" s="20" t="s">
        <v>1581</v>
      </c>
    </row>
    <row r="2167" spans="1:12">
      <c r="A2167" s="20" t="s">
        <v>836</v>
      </c>
      <c r="B2167" s="21" t="s">
        <v>728</v>
      </c>
      <c r="C2167" s="21" t="s">
        <v>729</v>
      </c>
      <c r="D2167" s="21" t="s">
        <v>730</v>
      </c>
      <c r="E2167" s="22">
        <f>IF(D2167="?OLD","!!!","")</f>
        <v/>
      </c>
      <c r="F2167" s="23" t="str">
        <f>IF(OR(E2167="",E2167="!!!"),"",IF(NOT(ISNA(VLOOKUP(E2167,E$1:E2166,1,FALSE()))),"OLD",IF(AND(E2167&lt;&gt;"",E2167&lt;&gt;"!!!"),"NEW","")))</f>
        <v> </v>
      </c>
      <c r="G2167" s="24" t="str">
        <f>IF(OR(E2167="",E2167="!!!"),"",IF(OR(J2167=0,AND(J2167=1,K2167=1),AND(J2167=1,I2167="SBJ"),AND(J2167=1,I2167=0)),"?IN_FOCUS",IF(J2167&lt;=2,"?ACTIVATED",IF(J2167&lt;&gt;"","?FAMILIAR",IF(F2167="NEW",IF(ISNA(VLOOKUP(E2167,#REF!,1,FALSE())),"?TYPE_IDENTIFIABLE","?REFERENTIAL"),"_")))))</f>
        <v> </v>
      </c>
      <c r="H2167" s="25" t="str">
        <f>IF(J2167&lt;&gt;1,"",IF(I2167="SBJ","CB","?"))</f>
        <v> </v>
      </c>
      <c r="I2167" s="26" t="str">
        <f>IF(OR(E2167="",E2167="!!!",F2167="NEW"),"",INDEX(B2166:B$2,-1+SUMPRODUCT(MAX(ROW(E2166:E$2)*(E2167=E2166:E$2)))))</f>
        <v> </v>
      </c>
      <c r="J2167" s="26" t="str">
        <f>IF(OR(E2167="",E2167="!!!",F2167="NEW"),"",COUNTBLANK(OFFSET(A$1,,,SUMPRODUCT(MAX(ROW(E$2:E2167)*(E2167=E$2:E2167)))))-COUNTBLANK(OFFSET(A$1,,,SUMPRODUCT(MAX(ROW(E$1:E2166)*(E2=E$1:E2166))))))</f>
        <v> </v>
      </c>
      <c r="K2167" s="26" t="str">
        <f>IF(OR(E2167="",E2167="!!!",F2167="NEW"),"",INDEX(J$1:J2166,SUMPRODUCT(MAX(ROW(E$1:E2166)*(E2167=E$1:E2166)))))</f>
        <v> </v>
      </c>
      <c r="L2167" s="27"/>
    </row>
    <row r="2168" spans="1:12">
      <c r="A2168" s="20" t="s">
        <v>1582</v>
      </c>
      <c r="E2168" s="22">
        <f>IF(D2168="?OLD","!!!","")</f>
        <v/>
      </c>
      <c r="F2168" s="23" t="str">
        <f>IF(OR(E2168="",E2168="!!!"),"",IF(NOT(ISNA(VLOOKUP(E2168,E$1:E2167,1,FALSE()))),"OLD",IF(AND(E2168&lt;&gt;"",E2168&lt;&gt;"!!!"),"NEW","")))</f>
        <v> </v>
      </c>
      <c r="G2168" s="24" t="str">
        <f>IF(OR(E2168="",E2168="!!!"),"",IF(OR(J2168=0,AND(J2168=1,K2168=1),AND(J2168=1,I2168="SBJ"),AND(J2168=1,I2168=0)),"?IN_FOCUS",IF(J2168&lt;=2,"?ACTIVATED",IF(J2168&lt;&gt;"","?FAMILIAR",IF(F2168="NEW",IF(ISNA(VLOOKUP(E2168,#REF!,1,FALSE())),"?TYPE_IDENTIFIABLE","?REFERENTIAL"),"_")))))</f>
        <v> </v>
      </c>
      <c r="H2168" s="25" t="str">
        <f>IF(J2168&lt;&gt;1,"",IF(I2168="SBJ","CB","?"))</f>
        <v> </v>
      </c>
      <c r="I2168" s="26" t="str">
        <f>IF(OR(E2168="",E2168="!!!",F2168="NEW"),"",INDEX(B2167:B$2,-1+SUMPRODUCT(MAX(ROW(E2167:E$2)*(E2168=E2167:E$2)))))</f>
        <v> </v>
      </c>
      <c r="J2168" s="26" t="str">
        <f>IF(OR(E2168="",E2168="!!!",F2168="NEW"),"",COUNTBLANK(OFFSET(A$1,,,SUMPRODUCT(MAX(ROW(E$2:E2168)*(E2168=E$2:E2168)))))-COUNTBLANK(OFFSET(A$1,,,SUMPRODUCT(MAX(ROW(E$1:E2167)*(E2=E$1:E2167))))))</f>
        <v> </v>
      </c>
      <c r="K2168" s="26" t="str">
        <f>IF(OR(E2168="",E2168="!!!",F2168="NEW"),"",INDEX(J$1:J2167,SUMPRODUCT(MAX(ROW(E$1:E2167)*(E2168=E$1:E2167)))))</f>
        <v> </v>
      </c>
      <c r="L2168" s="27"/>
    </row>
    <row r="2169" spans="1:12">
      <c r="A2169" s="20" t="s">
        <v>804</v>
      </c>
      <c r="B2169" s="21" t="s">
        <v>764</v>
      </c>
      <c r="E2169" s="22">
        <f>IF(D2169="?OLD","!!!","")</f>
        <v/>
      </c>
      <c r="F2169" s="23" t="str">
        <f>IF(OR(E2169="",E2169="!!!"),"",IF(NOT(ISNA(VLOOKUP(E2169,E$1:E2168,1,FALSE()))),"OLD",IF(AND(E2169&lt;&gt;"",E2169&lt;&gt;"!!!"),"NEW","")))</f>
        <v> </v>
      </c>
      <c r="G2169" s="24" t="str">
        <f>IF(OR(E2169="",E2169="!!!"),"",IF(OR(J2169=0,AND(J2169=1,K2169=1),AND(J2169=1,I2169="SBJ"),AND(J2169=1,I2169=0)),"?IN_FOCUS",IF(J2169&lt;=2,"?ACTIVATED",IF(J2169&lt;&gt;"","?FAMILIAR",IF(F2169="NEW",IF(ISNA(VLOOKUP(E2169,#REF!,1,FALSE())),"?TYPE_IDENTIFIABLE","?REFERENTIAL"),"_")))))</f>
        <v> </v>
      </c>
      <c r="H2169" s="25" t="str">
        <f>IF(J2169&lt;&gt;1,"",IF(I2169="SBJ","CB","?"))</f>
        <v> </v>
      </c>
      <c r="I2169" s="26" t="str">
        <f>IF(OR(E2169="",E2169="!!!",F2169="NEW"),"",INDEX(B2168:B$2,-1+SUMPRODUCT(MAX(ROW(E2168:E$2)*(E2169=E2168:E$2)))))</f>
        <v> </v>
      </c>
      <c r="J2169" s="26" t="str">
        <f>IF(OR(E2169="",E2169="!!!",F2169="NEW"),"",COUNTBLANK(OFFSET(A$1,,,SUMPRODUCT(MAX(ROW(E$2:E2169)*(E2169=E$2:E2169)))))-COUNTBLANK(OFFSET(A$1,,,SUMPRODUCT(MAX(ROW(E$1:E2168)*(E2=E$1:E2168))))))</f>
        <v> </v>
      </c>
      <c r="K2169" s="26" t="str">
        <f>IF(OR(E2169="",E2169="!!!",F2169="NEW"),"",INDEX(J$1:J2168,SUMPRODUCT(MAX(ROW(E$1:E2168)*(E2169=E$1:E2168)))))</f>
        <v> </v>
      </c>
      <c r="L2169" s="27"/>
    </row>
    <row r="2170" spans="1:12">
      <c r="A2170" s="20" t="s">
        <v>972</v>
      </c>
      <c r="E2170" s="22">
        <f>IF(D2170="?OLD","!!!","")</f>
        <v/>
      </c>
      <c r="F2170" s="23" t="str">
        <f>IF(OR(E2170="",E2170="!!!"),"",IF(NOT(ISNA(VLOOKUP(E2170,E$1:E2169,1,FALSE()))),"OLD",IF(AND(E2170&lt;&gt;"",E2170&lt;&gt;"!!!"),"NEW","")))</f>
        <v> </v>
      </c>
      <c r="G2170" s="24" t="str">
        <f>IF(OR(E2170="",E2170="!!!"),"",IF(OR(J2170=0,AND(J2170=1,K2170=1),AND(J2170=1,I2170="SBJ"),AND(J2170=1,I2170=0)),"?IN_FOCUS",IF(J2170&lt;=2,"?ACTIVATED",IF(J2170&lt;&gt;"","?FAMILIAR",IF(F2170="NEW",IF(ISNA(VLOOKUP(E2170,#REF!,1,FALSE())),"?TYPE_IDENTIFIABLE","?REFERENTIAL"),"_")))))</f>
        <v> </v>
      </c>
      <c r="H2170" s="25" t="str">
        <f>IF(J2170&lt;&gt;1,"",IF(I2170="SBJ","CB","?"))</f>
        <v> </v>
      </c>
      <c r="I2170" s="26" t="str">
        <f>IF(OR(E2170="",E2170="!!!",F2170="NEW"),"",INDEX(B2169:B$2,-1+SUMPRODUCT(MAX(ROW(E2169:E$2)*(E2170=E2169:E$2)))))</f>
        <v> </v>
      </c>
      <c r="J2170" s="26" t="str">
        <f>IF(OR(E2170="",E2170="!!!",F2170="NEW"),"",COUNTBLANK(OFFSET(A$1,,,SUMPRODUCT(MAX(ROW(E$2:E2170)*(E2170=E$2:E2170)))))-COUNTBLANK(OFFSET(A$1,,,SUMPRODUCT(MAX(ROW(E$1:E2169)*(E2=E$1:E2169))))))</f>
        <v> </v>
      </c>
      <c r="K2170" s="26" t="str">
        <f>IF(OR(E2170="",E2170="!!!",F2170="NEW"),"",INDEX(J$1:J2169,SUMPRODUCT(MAX(ROW(E$1:E2169)*(E2170=E$1:E2169)))))</f>
        <v> </v>
      </c>
      <c r="L2170" s="27"/>
    </row>
    <row r="2171" spans="1:12">
      <c r="A2171" s="20" t="s">
        <v>759</v>
      </c>
      <c r="E2171" s="22">
        <f>IF(D2171="?OLD","!!!","")</f>
        <v/>
      </c>
      <c r="F2171" s="23" t="str">
        <f>IF(OR(E2171="",E2171="!!!"),"",IF(NOT(ISNA(VLOOKUP(E2171,E$1:E2170,1,FALSE()))),"OLD",IF(AND(E2171&lt;&gt;"",E2171&lt;&gt;"!!!"),"NEW","")))</f>
        <v> </v>
      </c>
      <c r="G2171" s="24" t="str">
        <f>IF(OR(E2171="",E2171="!!!"),"",IF(OR(J2171=0,AND(J2171=1,K2171=1),AND(J2171=1,I2171="SBJ"),AND(J2171=1,I2171=0)),"?IN_FOCUS",IF(J2171&lt;=2,"?ACTIVATED",IF(J2171&lt;&gt;"","?FAMILIAR",IF(F2171="NEW",IF(ISNA(VLOOKUP(E2171,#REF!,1,FALSE())),"?TYPE_IDENTIFIABLE","?REFERENTIAL"),"_")))))</f>
        <v> </v>
      </c>
      <c r="H2171" s="25" t="str">
        <f>IF(J2171&lt;&gt;1,"",IF(I2171="SBJ","CB","?"))</f>
        <v> </v>
      </c>
      <c r="I2171" s="26" t="str">
        <f>IF(OR(E2171="",E2171="!!!",F2171="NEW"),"",INDEX(B2170:B$2,-1+SUMPRODUCT(MAX(ROW(E2170:E$2)*(E2171=E2170:E$2)))))</f>
        <v> </v>
      </c>
      <c r="J2171" s="26" t="str">
        <f>IF(OR(E2171="",E2171="!!!",F2171="NEW"),"",COUNTBLANK(OFFSET(A$1,,,SUMPRODUCT(MAX(ROW(E$2:E2171)*(E2171=E$2:E2171)))))-COUNTBLANK(OFFSET(A$1,,,SUMPRODUCT(MAX(ROW(E$1:E2170)*(E2=E$1:E2170))))))</f>
        <v> </v>
      </c>
      <c r="K2171" s="26" t="str">
        <f>IF(OR(E2171="",E2171="!!!",F2171="NEW"),"",INDEX(J$1:J2170,SUMPRODUCT(MAX(ROW(E$1:E2170)*(E2171=E$1:E2170)))))</f>
        <v> </v>
      </c>
      <c r="L2171" s="27"/>
    </row>
    <row r="2172" spans="1:12">
      <c r="A2172" s="20" t="s">
        <v>920</v>
      </c>
      <c r="E2172" s="22">
        <f>IF(D2172="?OLD","!!!","")</f>
        <v/>
      </c>
      <c r="F2172" s="23" t="str">
        <f>IF(OR(E2172="",E2172="!!!"),"",IF(NOT(ISNA(VLOOKUP(E2172,E$1:E2171,1,FALSE()))),"OLD",IF(AND(E2172&lt;&gt;"",E2172&lt;&gt;"!!!"),"NEW","")))</f>
        <v> </v>
      </c>
      <c r="G2172" s="24" t="str">
        <f>IF(OR(E2172="",E2172="!!!"),"",IF(OR(J2172=0,AND(J2172=1,K2172=1),AND(J2172=1,I2172="SBJ"),AND(J2172=1,I2172=0)),"?IN_FOCUS",IF(J2172&lt;=2,"?ACTIVATED",IF(J2172&lt;&gt;"","?FAMILIAR",IF(F2172="NEW",IF(ISNA(VLOOKUP(E2172,#REF!,1,FALSE())),"?TYPE_IDENTIFIABLE","?REFERENTIAL"),"_")))))</f>
        <v> </v>
      </c>
      <c r="H2172" s="25" t="str">
        <f>IF(J2172&lt;&gt;1,"",IF(I2172="SBJ","CB","?"))</f>
        <v> </v>
      </c>
      <c r="I2172" s="26" t="str">
        <f>IF(OR(E2172="",E2172="!!!",F2172="NEW"),"",INDEX(B2171:B$2,-1+SUMPRODUCT(MAX(ROW(E2171:E$2)*(E2172=E2171:E$2)))))</f>
        <v> </v>
      </c>
      <c r="J2172" s="26" t="str">
        <f>IF(OR(E2172="",E2172="!!!",F2172="NEW"),"",COUNTBLANK(OFFSET(A$1,,,SUMPRODUCT(MAX(ROW(E$2:E2172)*(E2172=E$2:E2172)))))-COUNTBLANK(OFFSET(A$1,,,SUMPRODUCT(MAX(ROW(E$1:E2171)*(E2=E$1:E2171))))))</f>
        <v> </v>
      </c>
      <c r="K2172" s="26" t="str">
        <f>IF(OR(E2172="",E2172="!!!",F2172="NEW"),"",INDEX(J$1:J2171,SUMPRODUCT(MAX(ROW(E$1:E2171)*(E2172=E$1:E2171)))))</f>
        <v> </v>
      </c>
      <c r="L2172" s="27"/>
    </row>
    <row r="2173" spans="1:12">
      <c r="A2173" s="20" t="s">
        <v>1459</v>
      </c>
      <c r="E2173" s="22">
        <f>IF(D2173="?OLD","!!!","")</f>
        <v/>
      </c>
      <c r="F2173" s="23" t="str">
        <f>IF(OR(E2173="",E2173="!!!"),"",IF(NOT(ISNA(VLOOKUP(E2173,E$1:E2172,1,FALSE()))),"OLD",IF(AND(E2173&lt;&gt;"",E2173&lt;&gt;"!!!"),"NEW","")))</f>
        <v> </v>
      </c>
      <c r="G2173" s="24" t="str">
        <f>IF(OR(E2173="",E2173="!!!"),"",IF(OR(J2173=0,AND(J2173=1,K2173=1),AND(J2173=1,I2173="SBJ"),AND(J2173=1,I2173=0)),"?IN_FOCUS",IF(J2173&lt;=2,"?ACTIVATED",IF(J2173&lt;&gt;"","?FAMILIAR",IF(F2173="NEW",IF(ISNA(VLOOKUP(E2173,#REF!,1,FALSE())),"?TYPE_IDENTIFIABLE","?REFERENTIAL"),"_")))))</f>
        <v> </v>
      </c>
      <c r="H2173" s="25" t="str">
        <f>IF(J2173&lt;&gt;1,"",IF(I2173="SBJ","CB","?"))</f>
        <v> </v>
      </c>
      <c r="I2173" s="26" t="str">
        <f>IF(OR(E2173="",E2173="!!!",F2173="NEW"),"",INDEX(B2172:B$2,-1+SUMPRODUCT(MAX(ROW(E2172:E$2)*(E2173=E2172:E$2)))))</f>
        <v> </v>
      </c>
      <c r="J2173" s="26" t="str">
        <f>IF(OR(E2173="",E2173="!!!",F2173="NEW"),"",COUNTBLANK(OFFSET(A$1,,,SUMPRODUCT(MAX(ROW(E$2:E2173)*(E2173=E$2:E2173)))))-COUNTBLANK(OFFSET(A$1,,,SUMPRODUCT(MAX(ROW(E$1:E2172)*(E2=E$1:E2172))))))</f>
        <v> </v>
      </c>
      <c r="K2173" s="26" t="str">
        <f>IF(OR(E2173="",E2173="!!!",F2173="NEW"),"",INDEX(J$1:J2172,SUMPRODUCT(MAX(ROW(E$1:E2172)*(E2173=E$1:E2172)))))</f>
        <v> </v>
      </c>
      <c r="L2173" s="27"/>
    </row>
    <row r="2174" spans="1:12">
      <c r="A2174" s="20" t="s">
        <v>750</v>
      </c>
      <c r="B2174" s="21" t="s">
        <v>788</v>
      </c>
      <c r="C2174" s="21" t="s">
        <v>729</v>
      </c>
      <c r="D2174" s="21" t="s">
        <v>730</v>
      </c>
      <c r="E2174" s="22">
        <f>IF(D2174="?OLD","!!!","")</f>
        <v/>
      </c>
      <c r="F2174" s="23" t="str">
        <f>IF(OR(E2174="",E2174="!!!"),"",IF(NOT(ISNA(VLOOKUP(E2174,E$1:E2173,1,FALSE()))),"OLD",IF(AND(E2174&lt;&gt;"",E2174&lt;&gt;"!!!"),"NEW","")))</f>
        <v> </v>
      </c>
      <c r="G2174" s="24" t="str">
        <f>IF(OR(E2174="",E2174="!!!"),"",IF(OR(J2174=0,AND(J2174=1,K2174=1),AND(J2174=1,I2174="SBJ"),AND(J2174=1,I2174=0)),"?IN_FOCUS",IF(J2174&lt;=2,"?ACTIVATED",IF(J2174&lt;&gt;"","?FAMILIAR",IF(F2174="NEW",IF(ISNA(VLOOKUP(E2174,#REF!,1,FALSE())),"?TYPE_IDENTIFIABLE","?REFERENTIAL"),"_")))))</f>
        <v> </v>
      </c>
      <c r="H2174" s="25" t="str">
        <f>IF(J2174&lt;&gt;1,"",IF(I2174="SBJ","CB","?"))</f>
        <v> </v>
      </c>
      <c r="I2174" s="26" t="str">
        <f>IF(OR(E2174="",E2174="!!!",F2174="NEW"),"",INDEX(B2173:B$2,-1+SUMPRODUCT(MAX(ROW(E2173:E$2)*(E2174=E2173:E$2)))))</f>
        <v> </v>
      </c>
      <c r="J2174" s="26" t="str">
        <f>IF(OR(E2174="",E2174="!!!",F2174="NEW"),"",COUNTBLANK(OFFSET(A$1,,,SUMPRODUCT(MAX(ROW(E$2:E2174)*(E2174=E$2:E2174)))))-COUNTBLANK(OFFSET(A$1,,,SUMPRODUCT(MAX(ROW(E$1:E2173)*(E2=E$1:E2173))))))</f>
        <v> </v>
      </c>
      <c r="K2174" s="26" t="str">
        <f>IF(OR(E2174="",E2174="!!!",F2174="NEW"),"",INDEX(J$1:J2173,SUMPRODUCT(MAX(ROW(E$1:E2173)*(E2174=E$1:E2173)))))</f>
        <v> </v>
      </c>
      <c r="L2174" s="27"/>
    </row>
    <row r="2175" spans="1:12">
      <c r="A2175" s="20" t="s">
        <v>1583</v>
      </c>
      <c r="E2175" s="22">
        <f>IF(D2175="?OLD","!!!","")</f>
        <v/>
      </c>
      <c r="F2175" s="23" t="str">
        <f>IF(OR(E2175="",E2175="!!!"),"",IF(NOT(ISNA(VLOOKUP(E2175,E$1:E2174,1,FALSE()))),"OLD",IF(AND(E2175&lt;&gt;"",E2175&lt;&gt;"!!!"),"NEW","")))</f>
        <v> </v>
      </c>
      <c r="G2175" s="24" t="str">
        <f>IF(OR(E2175="",E2175="!!!"),"",IF(OR(J2175=0,AND(J2175=1,K2175=1),AND(J2175=1,I2175="SBJ"),AND(J2175=1,I2175=0)),"?IN_FOCUS",IF(J2175&lt;=2,"?ACTIVATED",IF(J2175&lt;&gt;"","?FAMILIAR",IF(F2175="NEW",IF(ISNA(VLOOKUP(E2175,#REF!,1,FALSE())),"?TYPE_IDENTIFIABLE","?REFERENTIAL"),"_")))))</f>
        <v> </v>
      </c>
      <c r="H2175" s="25" t="str">
        <f>IF(J2175&lt;&gt;1,"",IF(I2175="SBJ","CB","?"))</f>
        <v> </v>
      </c>
      <c r="I2175" s="26" t="str">
        <f>IF(OR(E2175="",E2175="!!!",F2175="NEW"),"",INDEX(B2174:B$2,-1+SUMPRODUCT(MAX(ROW(E2174:E$2)*(E2175=E2174:E$2)))))</f>
        <v> </v>
      </c>
      <c r="J2175" s="26" t="str">
        <f>IF(OR(E2175="",E2175="!!!",F2175="NEW"),"",COUNTBLANK(OFFSET(A$1,,,SUMPRODUCT(MAX(ROW(E$2:E2175)*(E2175=E$2:E2175)))))-COUNTBLANK(OFFSET(A$1,,,SUMPRODUCT(MAX(ROW(E$1:E2174)*(E2=E$1:E2174))))))</f>
        <v> </v>
      </c>
      <c r="K2175" s="26" t="str">
        <f>IF(OR(E2175="",E2175="!!!",F2175="NEW"),"",INDEX(J$1:J2174,SUMPRODUCT(MAX(ROW(E$1:E2174)*(E2175=E$1:E2174)))))</f>
        <v> </v>
      </c>
      <c r="L2175" s="27"/>
    </row>
    <row r="2176" spans="1:12">
      <c r="A2176" s="20" t="s">
        <v>1579</v>
      </c>
      <c r="E2176" s="22">
        <f>IF(D2176="?OLD","!!!","")</f>
        <v/>
      </c>
      <c r="F2176" s="23" t="str">
        <f>IF(OR(E2176="",E2176="!!!"),"",IF(NOT(ISNA(VLOOKUP(E2176,E$1:E2175,1,FALSE()))),"OLD",IF(AND(E2176&lt;&gt;"",E2176&lt;&gt;"!!!"),"NEW","")))</f>
        <v> </v>
      </c>
      <c r="G2176" s="24" t="str">
        <f>IF(OR(E2176="",E2176="!!!"),"",IF(OR(J2176=0,AND(J2176=1,K2176=1),AND(J2176=1,I2176="SBJ"),AND(J2176=1,I2176=0)),"?IN_FOCUS",IF(J2176&lt;=2,"?ACTIVATED",IF(J2176&lt;&gt;"","?FAMILIAR",IF(F2176="NEW",IF(ISNA(VLOOKUP(E2176,#REF!,1,FALSE())),"?TYPE_IDENTIFIABLE","?REFERENTIAL"),"_")))))</f>
        <v> </v>
      </c>
      <c r="H2176" s="25" t="str">
        <f>IF(J2176&lt;&gt;1,"",IF(I2176="SBJ","CB","?"))</f>
        <v> </v>
      </c>
      <c r="I2176" s="26" t="str">
        <f>IF(OR(E2176="",E2176="!!!",F2176="NEW"),"",INDEX(B2175:B$2,-1+SUMPRODUCT(MAX(ROW(E2175:E$2)*(E2176=E2175:E$2)))))</f>
        <v> </v>
      </c>
      <c r="J2176" s="26" t="str">
        <f>IF(OR(E2176="",E2176="!!!",F2176="NEW"),"",COUNTBLANK(OFFSET(A$1,,,SUMPRODUCT(MAX(ROW(E$2:E2176)*(E2176=E$2:E2176)))))-COUNTBLANK(OFFSET(A$1,,,SUMPRODUCT(MAX(ROW(E$1:E2175)*(E2=E$1:E2175))))))</f>
        <v> </v>
      </c>
      <c r="K2176" s="26" t="str">
        <f>IF(OR(E2176="",E2176="!!!",F2176="NEW"),"",INDEX(J$1:J2175,SUMPRODUCT(MAX(ROW(E$1:E2175)*(E2176=E$1:E2175)))))</f>
        <v> </v>
      </c>
      <c r="L2176" s="27"/>
    </row>
    <row r="2177" spans="1:12">
      <c r="A2177" s="20" t="s">
        <v>845</v>
      </c>
      <c r="E2177" s="22">
        <f>IF(D2177="?OLD","!!!","")</f>
        <v/>
      </c>
      <c r="F2177" s="23" t="str">
        <f>IF(OR(E2177="",E2177="!!!"),"",IF(NOT(ISNA(VLOOKUP(E2177,E$1:E2176,1,FALSE()))),"OLD",IF(AND(E2177&lt;&gt;"",E2177&lt;&gt;"!!!"),"NEW","")))</f>
        <v> </v>
      </c>
      <c r="G2177" s="24" t="str">
        <f>IF(OR(E2177="",E2177="!!!"),"",IF(OR(J2177=0,AND(J2177=1,K2177=1),AND(J2177=1,I2177="SBJ"),AND(J2177=1,I2177=0)),"?IN_FOCUS",IF(J2177&lt;=2,"?ACTIVATED",IF(J2177&lt;&gt;"","?FAMILIAR",IF(F2177="NEW",IF(ISNA(VLOOKUP(E2177,#REF!,1,FALSE())),"?TYPE_IDENTIFIABLE","?REFERENTIAL"),"_")))))</f>
        <v> </v>
      </c>
      <c r="H2177" s="25" t="str">
        <f>IF(J2177&lt;&gt;1,"",IF(I2177="SBJ","CB","?"))</f>
        <v> </v>
      </c>
      <c r="I2177" s="26" t="str">
        <f>IF(OR(E2177="",E2177="!!!",F2177="NEW"),"",INDEX(B2176:B$2,-1+SUMPRODUCT(MAX(ROW(E2176:E$2)*(E2177=E2176:E$2)))))</f>
        <v> </v>
      </c>
      <c r="J2177" s="26" t="str">
        <f>IF(OR(E2177="",E2177="!!!",F2177="NEW"),"",COUNTBLANK(OFFSET(A$1,,,SUMPRODUCT(MAX(ROW(E$2:E2177)*(E2177=E$2:E2177)))))-COUNTBLANK(OFFSET(A$1,,,SUMPRODUCT(MAX(ROW(E$1:E2176)*(E2=E$1:E2176))))))</f>
        <v> </v>
      </c>
      <c r="K2177" s="26" t="str">
        <f>IF(OR(E2177="",E2177="!!!",F2177="NEW"),"",INDEX(J$1:J2176,SUMPRODUCT(MAX(ROW(E$1:E2176)*(E2177=E$1:E2176)))))</f>
        <v> </v>
      </c>
      <c r="L2177" s="27"/>
    </row>
    <row r="2178" spans="1:12">
      <c r="A2178" s="20" t="s">
        <v>1584</v>
      </c>
      <c r="B2178" s="21" t="s">
        <v>755</v>
      </c>
      <c r="C2178" s="21" t="s">
        <v>753</v>
      </c>
      <c r="D2178" s="21" t="s">
        <v>730</v>
      </c>
      <c r="E2178" s="22">
        <f>IF(D2178="?OLD","!!!","")</f>
        <v/>
      </c>
      <c r="F2178" s="23" t="str">
        <f>IF(OR(E2178="",E2178="!!!"),"",IF(NOT(ISNA(VLOOKUP(E2178,E$1:E2177,1,FALSE()))),"OLD",IF(AND(E2178&lt;&gt;"",E2178&lt;&gt;"!!!"),"NEW","")))</f>
        <v> </v>
      </c>
      <c r="G2178" s="24" t="str">
        <f>IF(OR(E2178="",E2178="!!!"),"",IF(OR(J2178=0,AND(J2178=1,K2178=1),AND(J2178=1,I2178="SBJ"),AND(J2178=1,I2178=0)),"?IN_FOCUS",IF(J2178&lt;=2,"?ACTIVATED",IF(J2178&lt;&gt;"","?FAMILIAR",IF(F2178="NEW",IF(ISNA(VLOOKUP(E2178,#REF!,1,FALSE())),"?TYPE_IDENTIFIABLE","?REFERENTIAL"),"_")))))</f>
        <v> </v>
      </c>
      <c r="H2178" s="25" t="str">
        <f>IF(J2178&lt;&gt;1,"",IF(I2178="SBJ","CB","?"))</f>
        <v> </v>
      </c>
      <c r="I2178" s="26" t="str">
        <f>IF(OR(E2178="",E2178="!!!",F2178="NEW"),"",INDEX(B2177:B$2,-1+SUMPRODUCT(MAX(ROW(E2177:E$2)*(E2178=E2177:E$2)))))</f>
        <v> </v>
      </c>
      <c r="J2178" s="26" t="str">
        <f>IF(OR(E2178="",E2178="!!!",F2178="NEW"),"",COUNTBLANK(OFFSET(A$1,,,SUMPRODUCT(MAX(ROW(E$2:E2178)*(E2178=E$2:E2178)))))-COUNTBLANK(OFFSET(A$1,,,SUMPRODUCT(MAX(ROW(E$1:E2177)*(E2=E$1:E2177))))))</f>
        <v> </v>
      </c>
      <c r="K2178" s="26" t="str">
        <f>IF(OR(E2178="",E2178="!!!",F2178="NEW"),"",INDEX(J$1:J2177,SUMPRODUCT(MAX(ROW(E$1:E2177)*(E2178=E$1:E2177)))))</f>
        <v> </v>
      </c>
      <c r="L2178" s="27"/>
    </row>
    <row r="2179" spans="1:12">
      <c r="A2179" s="20" t="s">
        <v>757</v>
      </c>
      <c r="E2179" s="22">
        <f>IF(D2179="?OLD","!!!","")</f>
        <v/>
      </c>
      <c r="F2179" s="23" t="str">
        <f>IF(OR(E2179="",E2179="!!!"),"",IF(NOT(ISNA(VLOOKUP(E2179,E$1:E2178,1,FALSE()))),"OLD",IF(AND(E2179&lt;&gt;"",E2179&lt;&gt;"!!!"),"NEW","")))</f>
        <v> </v>
      </c>
      <c r="G2179" s="24" t="str">
        <f>IF(OR(E2179="",E2179="!!!"),"",IF(OR(J2179=0,AND(J2179=1,K2179=1),AND(J2179=1,I2179="SBJ"),AND(J2179=1,I2179=0)),"?IN_FOCUS",IF(J2179&lt;=2,"?ACTIVATED",IF(J2179&lt;&gt;"","?FAMILIAR",IF(F2179="NEW",IF(ISNA(VLOOKUP(E2179,#REF!,1,FALSE())),"?TYPE_IDENTIFIABLE","?REFERENTIAL"),"_")))))</f>
        <v> </v>
      </c>
      <c r="H2179" s="25" t="str">
        <f>IF(J2179&lt;&gt;1,"",IF(I2179="SBJ","CB","?"))</f>
        <v> </v>
      </c>
      <c r="I2179" s="26" t="str">
        <f>IF(OR(E2179="",E2179="!!!",F2179="NEW"),"",INDEX(B2178:B$2,-1+SUMPRODUCT(MAX(ROW(E2178:E$2)*(E2179=E2178:E$2)))))</f>
        <v> </v>
      </c>
      <c r="J2179" s="26" t="str">
        <f>IF(OR(E2179="",E2179="!!!",F2179="NEW"),"",COUNTBLANK(OFFSET(A$1,,,SUMPRODUCT(MAX(ROW(E$2:E2179)*(E2179=E$2:E2179)))))-COUNTBLANK(OFFSET(A$1,,,SUMPRODUCT(MAX(ROW(E$1:E2178)*(E2=E$1:E2178))))))</f>
        <v> </v>
      </c>
      <c r="K2179" s="26" t="str">
        <f>IF(OR(E2179="",E2179="!!!",F2179="NEW"),"",INDEX(J$1:J2178,SUMPRODUCT(MAX(ROW(E$1:E2178)*(E2179=E$1:E2178)))))</f>
        <v> </v>
      </c>
      <c r="L2179" s="27"/>
    </row>
    <row r="2180" spans="1:12">
      <c r="A2180" s="20" t="s">
        <v>1370</v>
      </c>
      <c r="B2180" s="21" t="s">
        <v>783</v>
      </c>
      <c r="C2180" s="21" t="s">
        <v>740</v>
      </c>
      <c r="D2180" s="21" t="s">
        <v>730</v>
      </c>
      <c r="E2180" s="22">
        <f>IF(D2180="?OLD","!!!","")</f>
        <v/>
      </c>
      <c r="F2180" s="23" t="str">
        <f>IF(OR(E2180="",E2180="!!!"),"",IF(NOT(ISNA(VLOOKUP(E2180,E$1:E2179,1,FALSE()))),"OLD",IF(AND(E2180&lt;&gt;"",E2180&lt;&gt;"!!!"),"NEW","")))</f>
        <v> </v>
      </c>
      <c r="G2180" s="24" t="str">
        <f>IF(OR(E2180="",E2180="!!!"),"",IF(OR(J2180=0,AND(J2180=1,K2180=1),AND(J2180=1,I2180="SBJ"),AND(J2180=1,I2180=0)),"?IN_FOCUS",IF(J2180&lt;=2,"?ACTIVATED",IF(J2180&lt;&gt;"","?FAMILIAR",IF(F2180="NEW",IF(ISNA(VLOOKUP(E2180,#REF!,1,FALSE())),"?TYPE_IDENTIFIABLE","?REFERENTIAL"),"_")))))</f>
        <v> </v>
      </c>
      <c r="H2180" s="25" t="str">
        <f>IF(J2180&lt;&gt;1,"",IF(I2180="SBJ","CB","?"))</f>
        <v> </v>
      </c>
      <c r="I2180" s="26" t="str">
        <f>IF(OR(E2180="",E2180="!!!",F2180="NEW"),"",INDEX(B2179:B$2,-1+SUMPRODUCT(MAX(ROW(E2179:E$2)*(E2180=E2179:E$2)))))</f>
        <v> </v>
      </c>
      <c r="J2180" s="26" t="str">
        <f>IF(OR(E2180="",E2180="!!!",F2180="NEW"),"",COUNTBLANK(OFFSET(A$1,,,SUMPRODUCT(MAX(ROW(E$2:E2180)*(E2180=E$2:E2180)))))-COUNTBLANK(OFFSET(A$1,,,SUMPRODUCT(MAX(ROW(E$1:E2179)*(E2=E$1:E2179))))))</f>
        <v> </v>
      </c>
      <c r="K2180" s="26" t="str">
        <f>IF(OR(E2180="",E2180="!!!",F2180="NEW"),"",INDEX(J$1:J2179,SUMPRODUCT(MAX(ROW(E$1:E2179)*(E2180=E$1:E2179)))))</f>
        <v> </v>
      </c>
      <c r="L2180" s="27"/>
    </row>
    <row r="2181" spans="1:12">
      <c r="A2181" s="20" t="s">
        <v>1585</v>
      </c>
      <c r="E2181" s="22">
        <f>IF(D2181="?OLD","!!!","")</f>
        <v/>
      </c>
      <c r="F2181" s="23" t="str">
        <f>IF(OR(E2181="",E2181="!!!"),"",IF(NOT(ISNA(VLOOKUP(E2181,E$1:E2180,1,FALSE()))),"OLD",IF(AND(E2181&lt;&gt;"",E2181&lt;&gt;"!!!"),"NEW","")))</f>
        <v> </v>
      </c>
      <c r="G2181" s="24" t="str">
        <f>IF(OR(E2181="",E2181="!!!"),"",IF(OR(J2181=0,AND(J2181=1,K2181=1),AND(J2181=1,I2181="SBJ"),AND(J2181=1,I2181=0)),"?IN_FOCUS",IF(J2181&lt;=2,"?ACTIVATED",IF(J2181&lt;&gt;"","?FAMILIAR",IF(F2181="NEW",IF(ISNA(VLOOKUP(E2181,#REF!,1,FALSE())),"?TYPE_IDENTIFIABLE","?REFERENTIAL"),"_")))))</f>
        <v> </v>
      </c>
      <c r="H2181" s="25" t="str">
        <f>IF(J2181&lt;&gt;1,"",IF(I2181="SBJ","CB","?"))</f>
        <v> </v>
      </c>
      <c r="I2181" s="26" t="str">
        <f>IF(OR(E2181="",E2181="!!!",F2181="NEW"),"",INDEX(B2180:B$2,-1+SUMPRODUCT(MAX(ROW(E2180:E$2)*(E2181=E2180:E$2)))))</f>
        <v> </v>
      </c>
      <c r="J2181" s="26" t="str">
        <f>IF(OR(E2181="",E2181="!!!",F2181="NEW"),"",COUNTBLANK(OFFSET(A$1,,,SUMPRODUCT(MAX(ROW(E$2:E2181)*(E2181=E$2:E2181)))))-COUNTBLANK(OFFSET(A$1,,,SUMPRODUCT(MAX(ROW(E$1:E2180)*(E2=E$1:E2180))))))</f>
        <v> </v>
      </c>
      <c r="K2181" s="26" t="str">
        <f>IF(OR(E2181="",E2181="!!!",F2181="NEW"),"",INDEX(J$1:J2180,SUMPRODUCT(MAX(ROW(E$1:E2180)*(E2181=E$1:E2180)))))</f>
        <v> </v>
      </c>
      <c r="L2181" s="27"/>
    </row>
    <row r="2182" spans="1:12">
      <c r="A2182" s="20" t="s">
        <v>246</v>
      </c>
      <c r="E2182" s="22">
        <f>IF(D2182="?OLD","!!!","")</f>
        <v/>
      </c>
      <c r="F2182" s="23" t="str">
        <f>IF(OR(E2182="",E2182="!!!"),"",IF(NOT(ISNA(VLOOKUP(E2182,E$1:E2181,1,FALSE()))),"OLD",IF(AND(E2182&lt;&gt;"",E2182&lt;&gt;"!!!"),"NEW","")))</f>
        <v> </v>
      </c>
      <c r="G2182" s="24" t="str">
        <f>IF(OR(E2182="",E2182="!!!"),"",IF(OR(J2182=0,AND(J2182=1,K2182=1),AND(J2182=1,I2182="SBJ"),AND(J2182=1,I2182=0)),"?IN_FOCUS",IF(J2182&lt;=2,"?ACTIVATED",IF(J2182&lt;&gt;"","?FAMILIAR",IF(F2182="NEW",IF(ISNA(VLOOKUP(E2182,#REF!,1,FALSE())),"?TYPE_IDENTIFIABLE","?REFERENTIAL"),"_")))))</f>
        <v> </v>
      </c>
      <c r="H2182" s="25" t="str">
        <f>IF(J2182&lt;&gt;1,"",IF(I2182="SBJ","CB","?"))</f>
        <v> </v>
      </c>
      <c r="I2182" s="26" t="str">
        <f>IF(OR(E2182="",E2182="!!!",F2182="NEW"),"",INDEX(B2181:B$2,-1+SUMPRODUCT(MAX(ROW(E2181:E$2)*(E2182=E2181:E$2)))))</f>
        <v> </v>
      </c>
      <c r="J2182" s="26" t="str">
        <f>IF(OR(E2182="",E2182="!!!",F2182="NEW"),"",COUNTBLANK(OFFSET(A$1,,,SUMPRODUCT(MAX(ROW(E$2:E2182)*(E2182=E$2:E2182)))))-COUNTBLANK(OFFSET(A$1,,,SUMPRODUCT(MAX(ROW(E$1:E2181)*(E2=E$1:E2181))))))</f>
        <v> </v>
      </c>
      <c r="K2182" s="26" t="str">
        <f>IF(OR(E2182="",E2182="!!!",F2182="NEW"),"",INDEX(J$1:J2181,SUMPRODUCT(MAX(ROW(E$1:E2181)*(E2182=E$1:E2181)))))</f>
        <v> </v>
      </c>
      <c r="L2182" s="27"/>
    </row>
    <row r="2183" spans="1:12">
      <c r="A2183" s="20"/>
    </row>
    <row r="2184" spans="1:12">
      <c r="A2184" s="20" t="s">
        <v>1586</v>
      </c>
    </row>
    <row r="2185" spans="1:12">
      <c r="A2185" s="20" t="s">
        <v>883</v>
      </c>
      <c r="B2185" s="21" t="s">
        <v>728</v>
      </c>
      <c r="C2185" s="21" t="s">
        <v>789</v>
      </c>
      <c r="D2185" s="21" t="s">
        <v>730</v>
      </c>
      <c r="E2185" s="22">
        <f>IF(D2185="?OLD","!!!","")</f>
        <v/>
      </c>
      <c r="F2185" s="23" t="str">
        <f>IF(OR(E2185="",E2185="!!!"),"",IF(NOT(ISNA(VLOOKUP(E2185,E$1:E2184,1,FALSE()))),"OLD",IF(AND(E2185&lt;&gt;"",E2185&lt;&gt;"!!!"),"NEW","")))</f>
        <v> </v>
      </c>
      <c r="G2185" s="24" t="str">
        <f>IF(OR(E2185="",E2185="!!!"),"",IF(OR(J2185=0,AND(J2185=1,K2185=1),AND(J2185=1,I2185="SBJ"),AND(J2185=1,I2185=0)),"?IN_FOCUS",IF(J2185&lt;=2,"?ACTIVATED",IF(J2185&lt;&gt;"","?FAMILIAR",IF(F2185="NEW",IF(ISNA(VLOOKUP(E2185,#REF!,1,FALSE())),"?TYPE_IDENTIFIABLE","?REFERENTIAL"),"_")))))</f>
        <v> </v>
      </c>
      <c r="H2185" s="25" t="str">
        <f>IF(J2185&lt;&gt;1,"",IF(I2185="SBJ","CB","?"))</f>
        <v> </v>
      </c>
      <c r="I2185" s="26" t="str">
        <f>IF(OR(E2185="",E2185="!!!",F2185="NEW"),"",INDEX(B2184:B$2,-1+SUMPRODUCT(MAX(ROW(E2184:E$2)*(E2185=E2184:E$2)))))</f>
        <v> </v>
      </c>
      <c r="J2185" s="26" t="str">
        <f>IF(OR(E2185="",E2185="!!!",F2185="NEW"),"",COUNTBLANK(OFFSET(A$1,,,SUMPRODUCT(MAX(ROW(E$2:E2185)*(E2185=E$2:E2185)))))-COUNTBLANK(OFFSET(A$1,,,SUMPRODUCT(MAX(ROW(E$1:E2184)*(E2=E$1:E2184))))))</f>
        <v> </v>
      </c>
      <c r="K2185" s="26" t="str">
        <f>IF(OR(E2185="",E2185="!!!",F2185="NEW"),"",INDEX(J$1:J2184,SUMPRODUCT(MAX(ROW(E$1:E2184)*(E2185=E$1:E2184)))))</f>
        <v> </v>
      </c>
      <c r="L2185" s="27"/>
    </row>
    <row r="2186" spans="1:12">
      <c r="A2186" s="20" t="s">
        <v>811</v>
      </c>
      <c r="E2186" s="22">
        <f>IF(D2186="?OLD","!!!","")</f>
        <v/>
      </c>
      <c r="F2186" s="23" t="str">
        <f>IF(OR(E2186="",E2186="!!!"),"",IF(NOT(ISNA(VLOOKUP(E2186,E$1:E2185,1,FALSE()))),"OLD",IF(AND(E2186&lt;&gt;"",E2186&lt;&gt;"!!!"),"NEW","")))</f>
        <v> </v>
      </c>
      <c r="G2186" s="24" t="str">
        <f>IF(OR(E2186="",E2186="!!!"),"",IF(OR(J2186=0,AND(J2186=1,K2186=1),AND(J2186=1,I2186="SBJ"),AND(J2186=1,I2186=0)),"?IN_FOCUS",IF(J2186&lt;=2,"?ACTIVATED",IF(J2186&lt;&gt;"","?FAMILIAR",IF(F2186="NEW",IF(ISNA(VLOOKUP(E2186,#REF!,1,FALSE())),"?TYPE_IDENTIFIABLE","?REFERENTIAL"),"_")))))</f>
        <v> </v>
      </c>
      <c r="H2186" s="25" t="str">
        <f>IF(J2186&lt;&gt;1,"",IF(I2186="SBJ","CB","?"))</f>
        <v> </v>
      </c>
      <c r="I2186" s="26" t="str">
        <f>IF(OR(E2186="",E2186="!!!",F2186="NEW"),"",INDEX(B2185:B$2,-1+SUMPRODUCT(MAX(ROW(E2185:E$2)*(E2186=E2185:E$2)))))</f>
        <v> </v>
      </c>
      <c r="J2186" s="26" t="str">
        <f>IF(OR(E2186="",E2186="!!!",F2186="NEW"),"",COUNTBLANK(OFFSET(A$1,,,SUMPRODUCT(MAX(ROW(E$2:E2186)*(E2186=E$2:E2186)))))-COUNTBLANK(OFFSET(A$1,,,SUMPRODUCT(MAX(ROW(E$1:E2185)*(E2=E$1:E2185))))))</f>
        <v> </v>
      </c>
      <c r="K2186" s="26" t="str">
        <f>IF(OR(E2186="",E2186="!!!",F2186="NEW"),"",INDEX(J$1:J2185,SUMPRODUCT(MAX(ROW(E$1:E2185)*(E2186=E$1:E2185)))))</f>
        <v> </v>
      </c>
      <c r="L2186" s="27"/>
    </row>
    <row r="2187" spans="1:12">
      <c r="A2187" s="20" t="s">
        <v>813</v>
      </c>
      <c r="E2187" s="22">
        <f>IF(D2187="?OLD","!!!","")</f>
        <v/>
      </c>
      <c r="F2187" s="23" t="str">
        <f>IF(OR(E2187="",E2187="!!!"),"",IF(NOT(ISNA(VLOOKUP(E2187,E$1:E2186,1,FALSE()))),"OLD",IF(AND(E2187&lt;&gt;"",E2187&lt;&gt;"!!!"),"NEW","")))</f>
        <v> </v>
      </c>
      <c r="G2187" s="24" t="str">
        <f>IF(OR(E2187="",E2187="!!!"),"",IF(OR(J2187=0,AND(J2187=1,K2187=1),AND(J2187=1,I2187="SBJ"),AND(J2187=1,I2187=0)),"?IN_FOCUS",IF(J2187&lt;=2,"?ACTIVATED",IF(J2187&lt;&gt;"","?FAMILIAR",IF(F2187="NEW",IF(ISNA(VLOOKUP(E2187,#REF!,1,FALSE())),"?TYPE_IDENTIFIABLE","?REFERENTIAL"),"_")))))</f>
        <v> </v>
      </c>
      <c r="H2187" s="25" t="str">
        <f>IF(J2187&lt;&gt;1,"",IF(I2187="SBJ","CB","?"))</f>
        <v> </v>
      </c>
      <c r="I2187" s="26" t="str">
        <f>IF(OR(E2187="",E2187="!!!",F2187="NEW"),"",INDEX(B2186:B$2,-1+SUMPRODUCT(MAX(ROW(E2186:E$2)*(E2187=E2186:E$2)))))</f>
        <v> </v>
      </c>
      <c r="J2187" s="26" t="str">
        <f>IF(OR(E2187="",E2187="!!!",F2187="NEW"),"",COUNTBLANK(OFFSET(A$1,,,SUMPRODUCT(MAX(ROW(E$2:E2187)*(E2187=E$2:E2187)))))-COUNTBLANK(OFFSET(A$1,,,SUMPRODUCT(MAX(ROW(E$1:E2186)*(E2=E$1:E2186))))))</f>
        <v> </v>
      </c>
      <c r="K2187" s="26" t="str">
        <f>IF(OR(E2187="",E2187="!!!",F2187="NEW"),"",INDEX(J$1:J2186,SUMPRODUCT(MAX(ROW(E$1:E2186)*(E2187=E$1:E2186)))))</f>
        <v> </v>
      </c>
      <c r="L2187" s="27"/>
    </row>
    <row r="2188" spans="1:12">
      <c r="A2188" s="20" t="s">
        <v>1587</v>
      </c>
      <c r="E2188" s="22">
        <f>IF(D2188="?OLD","!!!","")</f>
        <v/>
      </c>
      <c r="F2188" s="23" t="str">
        <f>IF(OR(E2188="",E2188="!!!"),"",IF(NOT(ISNA(VLOOKUP(E2188,E$1:E2187,1,FALSE()))),"OLD",IF(AND(E2188&lt;&gt;"",E2188&lt;&gt;"!!!"),"NEW","")))</f>
        <v> </v>
      </c>
      <c r="G2188" s="24" t="str">
        <f>IF(OR(E2188="",E2188="!!!"),"",IF(OR(J2188=0,AND(J2188=1,K2188=1),AND(J2188=1,I2188="SBJ"),AND(J2188=1,I2188=0)),"?IN_FOCUS",IF(J2188&lt;=2,"?ACTIVATED",IF(J2188&lt;&gt;"","?FAMILIAR",IF(F2188="NEW",IF(ISNA(VLOOKUP(E2188,#REF!,1,FALSE())),"?TYPE_IDENTIFIABLE","?REFERENTIAL"),"_")))))</f>
        <v> </v>
      </c>
      <c r="H2188" s="25" t="str">
        <f>IF(J2188&lt;&gt;1,"",IF(I2188="SBJ","CB","?"))</f>
        <v> </v>
      </c>
      <c r="I2188" s="26" t="str">
        <f>IF(OR(E2188="",E2188="!!!",F2188="NEW"),"",INDEX(B2187:B$2,-1+SUMPRODUCT(MAX(ROW(E2187:E$2)*(E2188=E2187:E$2)))))</f>
        <v> </v>
      </c>
      <c r="J2188" s="26" t="str">
        <f>IF(OR(E2188="",E2188="!!!",F2188="NEW"),"",COUNTBLANK(OFFSET(A$1,,,SUMPRODUCT(MAX(ROW(E$2:E2188)*(E2188=E$2:E2188)))))-COUNTBLANK(OFFSET(A$1,,,SUMPRODUCT(MAX(ROW(E$1:E2187)*(E2=E$1:E2187))))))</f>
        <v> </v>
      </c>
      <c r="K2188" s="26" t="str">
        <f>IF(OR(E2188="",E2188="!!!",F2188="NEW"),"",INDEX(J$1:J2187,SUMPRODUCT(MAX(ROW(E$1:E2187)*(E2188=E$1:E2187)))))</f>
        <v> </v>
      </c>
      <c r="L2188" s="27"/>
    </row>
    <row r="2189" spans="1:12">
      <c r="A2189" s="20" t="s">
        <v>1588</v>
      </c>
      <c r="B2189" s="21" t="s">
        <v>736</v>
      </c>
      <c r="C2189" s="21" t="s">
        <v>753</v>
      </c>
      <c r="D2189" s="21" t="s">
        <v>730</v>
      </c>
      <c r="E2189" s="22">
        <f>IF(D2189="?OLD","!!!","")</f>
        <v/>
      </c>
      <c r="F2189" s="23" t="str">
        <f>IF(OR(E2189="",E2189="!!!"),"",IF(NOT(ISNA(VLOOKUP(E2189,E$1:E2188,1,FALSE()))),"OLD",IF(AND(E2189&lt;&gt;"",E2189&lt;&gt;"!!!"),"NEW","")))</f>
        <v> </v>
      </c>
      <c r="G2189" s="24" t="str">
        <f>IF(OR(E2189="",E2189="!!!"),"",IF(OR(J2189=0,AND(J2189=1,K2189=1),AND(J2189=1,I2189="SBJ"),AND(J2189=1,I2189=0)),"?IN_FOCUS",IF(J2189&lt;=2,"?ACTIVATED",IF(J2189&lt;&gt;"","?FAMILIAR",IF(F2189="NEW",IF(ISNA(VLOOKUP(E2189,#REF!,1,FALSE())),"?TYPE_IDENTIFIABLE","?REFERENTIAL"),"_")))))</f>
        <v> </v>
      </c>
      <c r="H2189" s="25" t="str">
        <f>IF(J2189&lt;&gt;1,"",IF(I2189="SBJ","CB","?"))</f>
        <v> </v>
      </c>
      <c r="I2189" s="26" t="str">
        <f>IF(OR(E2189="",E2189="!!!",F2189="NEW"),"",INDEX(B2188:B$2,-1+SUMPRODUCT(MAX(ROW(E2188:E$2)*(E2189=E2188:E$2)))))</f>
        <v> </v>
      </c>
      <c r="J2189" s="26" t="str">
        <f>IF(OR(E2189="",E2189="!!!",F2189="NEW"),"",COUNTBLANK(OFFSET(A$1,,,SUMPRODUCT(MAX(ROW(E$2:E2189)*(E2189=E$2:E2189)))))-COUNTBLANK(OFFSET(A$1,,,SUMPRODUCT(MAX(ROW(E$1:E2188)*(E2=E$1:E2188))))))</f>
        <v> </v>
      </c>
      <c r="K2189" s="26" t="str">
        <f>IF(OR(E2189="",E2189="!!!",F2189="NEW"),"",INDEX(J$1:J2188,SUMPRODUCT(MAX(ROW(E$1:E2188)*(E2189=E$1:E2188)))))</f>
        <v> </v>
      </c>
      <c r="L2189" s="27"/>
    </row>
    <row r="2190" spans="1:12">
      <c r="A2190" s="20" t="s">
        <v>1589</v>
      </c>
      <c r="E2190" s="22">
        <f>IF(D2190="?OLD","!!!","")</f>
        <v/>
      </c>
      <c r="F2190" s="23" t="str">
        <f>IF(OR(E2190="",E2190="!!!"),"",IF(NOT(ISNA(VLOOKUP(E2190,E$1:E2189,1,FALSE()))),"OLD",IF(AND(E2190&lt;&gt;"",E2190&lt;&gt;"!!!"),"NEW","")))</f>
        <v> </v>
      </c>
      <c r="G2190" s="24" t="str">
        <f>IF(OR(E2190="",E2190="!!!"),"",IF(OR(J2190=0,AND(J2190=1,K2190=1),AND(J2190=1,I2190="SBJ"),AND(J2190=1,I2190=0)),"?IN_FOCUS",IF(J2190&lt;=2,"?ACTIVATED",IF(J2190&lt;&gt;"","?FAMILIAR",IF(F2190="NEW",IF(ISNA(VLOOKUP(E2190,#REF!,1,FALSE())),"?TYPE_IDENTIFIABLE","?REFERENTIAL"),"_")))))</f>
        <v> </v>
      </c>
      <c r="H2190" s="25" t="str">
        <f>IF(J2190&lt;&gt;1,"",IF(I2190="SBJ","CB","?"))</f>
        <v> </v>
      </c>
      <c r="I2190" s="26" t="str">
        <f>IF(OR(E2190="",E2190="!!!",F2190="NEW"),"",INDEX(B2189:B$2,-1+SUMPRODUCT(MAX(ROW(E2189:E$2)*(E2190=E2189:E$2)))))</f>
        <v> </v>
      </c>
      <c r="J2190" s="26" t="str">
        <f>IF(OR(E2190="",E2190="!!!",F2190="NEW"),"",COUNTBLANK(OFFSET(A$1,,,SUMPRODUCT(MAX(ROW(E$2:E2190)*(E2190=E$2:E2190)))))-COUNTBLANK(OFFSET(A$1,,,SUMPRODUCT(MAX(ROW(E$1:E2189)*(E2=E$1:E2189))))))</f>
        <v> </v>
      </c>
      <c r="K2190" s="26" t="str">
        <f>IF(OR(E2190="",E2190="!!!",F2190="NEW"),"",INDEX(J$1:J2189,SUMPRODUCT(MAX(ROW(E$1:E2189)*(E2190=E$1:E2189)))))</f>
        <v> </v>
      </c>
      <c r="L2190" s="27"/>
    </row>
    <row r="2191" spans="1:12">
      <c r="A2191" s="20" t="s">
        <v>1590</v>
      </c>
      <c r="B2191" s="21" t="s">
        <v>736</v>
      </c>
      <c r="C2191" s="21" t="s">
        <v>737</v>
      </c>
      <c r="E2191" s="22">
        <f>IF(D2191="?OLD","!!!","")</f>
        <v/>
      </c>
      <c r="F2191" s="23" t="str">
        <f>IF(OR(E2191="",E2191="!!!"),"",IF(NOT(ISNA(VLOOKUP(E2191,E$1:E2190,1,FALSE()))),"OLD",IF(AND(E2191&lt;&gt;"",E2191&lt;&gt;"!!!"),"NEW","")))</f>
        <v> </v>
      </c>
      <c r="G2191" s="24" t="str">
        <f>IF(OR(E2191="",E2191="!!!"),"",IF(OR(J2191=0,AND(J2191=1,K2191=1),AND(J2191=1,I2191="SBJ"),AND(J2191=1,I2191=0)),"?IN_FOCUS",IF(J2191&lt;=2,"?ACTIVATED",IF(J2191&lt;&gt;"","?FAMILIAR",IF(F2191="NEW",IF(ISNA(VLOOKUP(E2191,#REF!,1,FALSE())),"?TYPE_IDENTIFIABLE","?REFERENTIAL"),"_")))))</f>
        <v> </v>
      </c>
      <c r="H2191" s="25" t="str">
        <f>IF(J2191&lt;&gt;1,"",IF(I2191="SBJ","CB","?"))</f>
        <v> </v>
      </c>
      <c r="I2191" s="26" t="str">
        <f>IF(OR(E2191="",E2191="!!!",F2191="NEW"),"",INDEX(B2190:B$2,-1+SUMPRODUCT(MAX(ROW(E2190:E$2)*(E2191=E2190:E$2)))))</f>
        <v> </v>
      </c>
      <c r="J2191" s="26" t="str">
        <f>IF(OR(E2191="",E2191="!!!",F2191="NEW"),"",COUNTBLANK(OFFSET(A$1,,,SUMPRODUCT(MAX(ROW(E$2:E2191)*(E2191=E$2:E2191)))))-COUNTBLANK(OFFSET(A$1,,,SUMPRODUCT(MAX(ROW(E$1:E2190)*(E2=E$1:E2190))))))</f>
        <v> </v>
      </c>
      <c r="K2191" s="26" t="str">
        <f>IF(OR(E2191="",E2191="!!!",F2191="NEW"),"",INDEX(J$1:J2190,SUMPRODUCT(MAX(ROW(E$1:E2190)*(E2191=E$1:E2190)))))</f>
        <v> </v>
      </c>
      <c r="L2191" s="27"/>
    </row>
    <row r="2192" spans="1:12">
      <c r="A2192" s="20" t="s">
        <v>1591</v>
      </c>
      <c r="E2192" s="22">
        <f>IF(D2192="?OLD","!!!","")</f>
        <v/>
      </c>
      <c r="F2192" s="23" t="str">
        <f>IF(OR(E2192="",E2192="!!!"),"",IF(NOT(ISNA(VLOOKUP(E2192,E$1:E2191,1,FALSE()))),"OLD",IF(AND(E2192&lt;&gt;"",E2192&lt;&gt;"!!!"),"NEW","")))</f>
        <v> </v>
      </c>
      <c r="G2192" s="24" t="str">
        <f>IF(OR(E2192="",E2192="!!!"),"",IF(OR(J2192=0,AND(J2192=1,K2192=1),AND(J2192=1,I2192="SBJ"),AND(J2192=1,I2192=0)),"?IN_FOCUS",IF(J2192&lt;=2,"?ACTIVATED",IF(J2192&lt;&gt;"","?FAMILIAR",IF(F2192="NEW",IF(ISNA(VLOOKUP(E2192,#REF!,1,FALSE())),"?TYPE_IDENTIFIABLE","?REFERENTIAL"),"_")))))</f>
        <v> </v>
      </c>
      <c r="H2192" s="25" t="str">
        <f>IF(J2192&lt;&gt;1,"",IF(I2192="SBJ","CB","?"))</f>
        <v> </v>
      </c>
      <c r="I2192" s="26" t="str">
        <f>IF(OR(E2192="",E2192="!!!",F2192="NEW"),"",INDEX(B2191:B$2,-1+SUMPRODUCT(MAX(ROW(E2191:E$2)*(E2192=E2191:E$2)))))</f>
        <v> </v>
      </c>
      <c r="J2192" s="26" t="str">
        <f>IF(OR(E2192="",E2192="!!!",F2192="NEW"),"",COUNTBLANK(OFFSET(A$1,,,SUMPRODUCT(MAX(ROW(E$2:E2192)*(E2192=E$2:E2192)))))-COUNTBLANK(OFFSET(A$1,,,SUMPRODUCT(MAX(ROW(E$1:E2191)*(E2=E$1:E2191))))))</f>
        <v> </v>
      </c>
      <c r="K2192" s="26" t="str">
        <f>IF(OR(E2192="",E2192="!!!",F2192="NEW"),"",INDEX(J$1:J2191,SUMPRODUCT(MAX(ROW(E$1:E2191)*(E2192=E$1:E2191)))))</f>
        <v> </v>
      </c>
      <c r="L2192" s="27"/>
    </row>
    <row r="2193" spans="1:12">
      <c r="A2193" s="20" t="s">
        <v>759</v>
      </c>
      <c r="E2193" s="22">
        <f>IF(D2193="?OLD","!!!","")</f>
        <v/>
      </c>
      <c r="F2193" s="23" t="str">
        <f>IF(OR(E2193="",E2193="!!!"),"",IF(NOT(ISNA(VLOOKUP(E2193,E$1:E2192,1,FALSE()))),"OLD",IF(AND(E2193&lt;&gt;"",E2193&lt;&gt;"!!!"),"NEW","")))</f>
        <v> </v>
      </c>
      <c r="G2193" s="24" t="str">
        <f>IF(OR(E2193="",E2193="!!!"),"",IF(OR(J2193=0,AND(J2193=1,K2193=1),AND(J2193=1,I2193="SBJ"),AND(J2193=1,I2193=0)),"?IN_FOCUS",IF(J2193&lt;=2,"?ACTIVATED",IF(J2193&lt;&gt;"","?FAMILIAR",IF(F2193="NEW",IF(ISNA(VLOOKUP(E2193,#REF!,1,FALSE())),"?TYPE_IDENTIFIABLE","?REFERENTIAL"),"_")))))</f>
        <v> </v>
      </c>
      <c r="H2193" s="25" t="str">
        <f>IF(J2193&lt;&gt;1,"",IF(I2193="SBJ","CB","?"))</f>
        <v> </v>
      </c>
      <c r="I2193" s="26" t="str">
        <f>IF(OR(E2193="",E2193="!!!",F2193="NEW"),"",INDEX(B2192:B$2,-1+SUMPRODUCT(MAX(ROW(E2192:E$2)*(E2193=E2192:E$2)))))</f>
        <v> </v>
      </c>
      <c r="J2193" s="26" t="str">
        <f>IF(OR(E2193="",E2193="!!!",F2193="NEW"),"",COUNTBLANK(OFFSET(A$1,,,SUMPRODUCT(MAX(ROW(E$2:E2193)*(E2193=E$2:E2193)))))-COUNTBLANK(OFFSET(A$1,,,SUMPRODUCT(MAX(ROW(E$1:E2192)*(E2=E$1:E2192))))))</f>
        <v> </v>
      </c>
      <c r="K2193" s="26" t="str">
        <f>IF(OR(E2193="",E2193="!!!",F2193="NEW"),"",INDEX(J$1:J2192,SUMPRODUCT(MAX(ROW(E$1:E2192)*(E2193=E$1:E2192)))))</f>
        <v> </v>
      </c>
      <c r="L2193" s="27"/>
    </row>
    <row r="2194" spans="1:12">
      <c r="A2194" s="20" t="s">
        <v>813</v>
      </c>
      <c r="B2194" s="21" t="s">
        <v>843</v>
      </c>
      <c r="E2194" s="22">
        <f>IF(D2194="?OLD","!!!","")</f>
        <v/>
      </c>
      <c r="F2194" s="23" t="str">
        <f>IF(OR(E2194="",E2194="!!!"),"",IF(NOT(ISNA(VLOOKUP(E2194,E$1:E2193,1,FALSE()))),"OLD",IF(AND(E2194&lt;&gt;"",E2194&lt;&gt;"!!!"),"NEW","")))</f>
        <v> </v>
      </c>
      <c r="G2194" s="24" t="str">
        <f>IF(OR(E2194="",E2194="!!!"),"",IF(OR(J2194=0,AND(J2194=1,K2194=1),AND(J2194=1,I2194="SBJ"),AND(J2194=1,I2194=0)),"?IN_FOCUS",IF(J2194&lt;=2,"?ACTIVATED",IF(J2194&lt;&gt;"","?FAMILIAR",IF(F2194="NEW",IF(ISNA(VLOOKUP(E2194,#REF!,1,FALSE())),"?TYPE_IDENTIFIABLE","?REFERENTIAL"),"_")))))</f>
        <v> </v>
      </c>
      <c r="H2194" s="25" t="str">
        <f>IF(J2194&lt;&gt;1,"",IF(I2194="SBJ","CB","?"))</f>
        <v> </v>
      </c>
      <c r="I2194" s="26" t="str">
        <f>IF(OR(E2194="",E2194="!!!",F2194="NEW"),"",INDEX(B2193:B$2,-1+SUMPRODUCT(MAX(ROW(E2193:E$2)*(E2194=E2193:E$2)))))</f>
        <v> </v>
      </c>
      <c r="J2194" s="26" t="str">
        <f>IF(OR(E2194="",E2194="!!!",F2194="NEW"),"",COUNTBLANK(OFFSET(A$1,,,SUMPRODUCT(MAX(ROW(E$2:E2194)*(E2194=E$2:E2194)))))-COUNTBLANK(OFFSET(A$1,,,SUMPRODUCT(MAX(ROW(E$1:E2193)*(E2=E$1:E2193))))))</f>
        <v> </v>
      </c>
      <c r="K2194" s="26" t="str">
        <f>IF(OR(E2194="",E2194="!!!",F2194="NEW"),"",INDEX(J$1:J2193,SUMPRODUCT(MAX(ROW(E$1:E2193)*(E2194=E$1:E2193)))))</f>
        <v> </v>
      </c>
      <c r="L2194" s="27"/>
    </row>
    <row r="2195" spans="1:12">
      <c r="A2195" s="20" t="s">
        <v>750</v>
      </c>
      <c r="B2195" s="21" t="s">
        <v>788</v>
      </c>
      <c r="C2195" s="21" t="s">
        <v>729</v>
      </c>
      <c r="D2195" s="21" t="s">
        <v>730</v>
      </c>
      <c r="E2195" s="22">
        <f>IF(D2195="?OLD","!!!","")</f>
        <v/>
      </c>
      <c r="F2195" s="23" t="str">
        <f>IF(OR(E2195="",E2195="!!!"),"",IF(NOT(ISNA(VLOOKUP(E2195,E$1:E2194,1,FALSE()))),"OLD",IF(AND(E2195&lt;&gt;"",E2195&lt;&gt;"!!!"),"NEW","")))</f>
        <v> </v>
      </c>
      <c r="G2195" s="24" t="str">
        <f>IF(OR(E2195="",E2195="!!!"),"",IF(OR(J2195=0,AND(J2195=1,K2195=1),AND(J2195=1,I2195="SBJ"),AND(J2195=1,I2195=0)),"?IN_FOCUS",IF(J2195&lt;=2,"?ACTIVATED",IF(J2195&lt;&gt;"","?FAMILIAR",IF(F2195="NEW",IF(ISNA(VLOOKUP(E2195,#REF!,1,FALSE())),"?TYPE_IDENTIFIABLE","?REFERENTIAL"),"_")))))</f>
        <v> </v>
      </c>
      <c r="H2195" s="25" t="str">
        <f>IF(J2195&lt;&gt;1,"",IF(I2195="SBJ","CB","?"))</f>
        <v> </v>
      </c>
      <c r="I2195" s="26" t="str">
        <f>IF(OR(E2195="",E2195="!!!",F2195="NEW"),"",INDEX(B2194:B$2,-1+SUMPRODUCT(MAX(ROW(E2194:E$2)*(E2195=E2194:E$2)))))</f>
        <v> </v>
      </c>
      <c r="J2195" s="26" t="str">
        <f>IF(OR(E2195="",E2195="!!!",F2195="NEW"),"",COUNTBLANK(OFFSET(A$1,,,SUMPRODUCT(MAX(ROW(E$2:E2195)*(E2195=E$2:E2195)))))-COUNTBLANK(OFFSET(A$1,,,SUMPRODUCT(MAX(ROW(E$1:E2194)*(E2=E$1:E2194))))))</f>
        <v> </v>
      </c>
      <c r="K2195" s="26" t="str">
        <f>IF(OR(E2195="",E2195="!!!",F2195="NEW"),"",INDEX(J$1:J2194,SUMPRODUCT(MAX(ROW(E$1:E2194)*(E2195=E$1:E2194)))))</f>
        <v> </v>
      </c>
      <c r="L2195" s="27"/>
    </row>
    <row r="2196" spans="1:12">
      <c r="A2196" s="20" t="s">
        <v>1115</v>
      </c>
      <c r="E2196" s="22">
        <f>IF(D2196="?OLD","!!!","")</f>
        <v/>
      </c>
      <c r="F2196" s="23" t="str">
        <f>IF(OR(E2196="",E2196="!!!"),"",IF(NOT(ISNA(VLOOKUP(E2196,E$1:E2195,1,FALSE()))),"OLD",IF(AND(E2196&lt;&gt;"",E2196&lt;&gt;"!!!"),"NEW","")))</f>
        <v> </v>
      </c>
      <c r="G2196" s="24" t="str">
        <f>IF(OR(E2196="",E2196="!!!"),"",IF(OR(J2196=0,AND(J2196=1,K2196=1),AND(J2196=1,I2196="SBJ"),AND(J2196=1,I2196=0)),"?IN_FOCUS",IF(J2196&lt;=2,"?ACTIVATED",IF(J2196&lt;&gt;"","?FAMILIAR",IF(F2196="NEW",IF(ISNA(VLOOKUP(E2196,#REF!,1,FALSE())),"?TYPE_IDENTIFIABLE","?REFERENTIAL"),"_")))))</f>
        <v> </v>
      </c>
      <c r="H2196" s="25" t="str">
        <f>IF(J2196&lt;&gt;1,"",IF(I2196="SBJ","CB","?"))</f>
        <v> </v>
      </c>
      <c r="I2196" s="26" t="str">
        <f>IF(OR(E2196="",E2196="!!!",F2196="NEW"),"",INDEX(B2195:B$2,-1+SUMPRODUCT(MAX(ROW(E2195:E$2)*(E2196=E2195:E$2)))))</f>
        <v> </v>
      </c>
      <c r="J2196" s="26" t="str">
        <f>IF(OR(E2196="",E2196="!!!",F2196="NEW"),"",COUNTBLANK(OFFSET(A$1,,,SUMPRODUCT(MAX(ROW(E$2:E2196)*(E2196=E$2:E2196)))))-COUNTBLANK(OFFSET(A$1,,,SUMPRODUCT(MAX(ROW(E$1:E2195)*(E2=E$1:E2195))))))</f>
        <v> </v>
      </c>
      <c r="K2196" s="26" t="str">
        <f>IF(OR(E2196="",E2196="!!!",F2196="NEW"),"",INDEX(J$1:J2195,SUMPRODUCT(MAX(ROW(E$1:E2195)*(E2196=E$1:E2195)))))</f>
        <v> </v>
      </c>
      <c r="L2196" s="27"/>
    </row>
    <row r="2197" spans="1:12">
      <c r="A2197" s="20" t="s">
        <v>1592</v>
      </c>
      <c r="E2197" s="22">
        <f>IF(D2197="?OLD","!!!","")</f>
        <v/>
      </c>
      <c r="F2197" s="23" t="str">
        <f>IF(OR(E2197="",E2197="!!!"),"",IF(NOT(ISNA(VLOOKUP(E2197,E$1:E2196,1,FALSE()))),"OLD",IF(AND(E2197&lt;&gt;"",E2197&lt;&gt;"!!!"),"NEW","")))</f>
        <v> </v>
      </c>
      <c r="G2197" s="24" t="str">
        <f>IF(OR(E2197="",E2197="!!!"),"",IF(OR(J2197=0,AND(J2197=1,K2197=1),AND(J2197=1,I2197="SBJ"),AND(J2197=1,I2197=0)),"?IN_FOCUS",IF(J2197&lt;=2,"?ACTIVATED",IF(J2197&lt;&gt;"","?FAMILIAR",IF(F2197="NEW",IF(ISNA(VLOOKUP(E2197,#REF!,1,FALSE())),"?TYPE_IDENTIFIABLE","?REFERENTIAL"),"_")))))</f>
        <v> </v>
      </c>
      <c r="H2197" s="25" t="str">
        <f>IF(J2197&lt;&gt;1,"",IF(I2197="SBJ","CB","?"))</f>
        <v> </v>
      </c>
      <c r="I2197" s="26" t="str">
        <f>IF(OR(E2197="",E2197="!!!",F2197="NEW"),"",INDEX(B2196:B$2,-1+SUMPRODUCT(MAX(ROW(E2196:E$2)*(E2197=E2196:E$2)))))</f>
        <v> </v>
      </c>
      <c r="J2197" s="26" t="str">
        <f>IF(OR(E2197="",E2197="!!!",F2197="NEW"),"",COUNTBLANK(OFFSET(A$1,,,SUMPRODUCT(MAX(ROW(E$2:E2197)*(E2197=E$2:E2197)))))-COUNTBLANK(OFFSET(A$1,,,SUMPRODUCT(MAX(ROW(E$1:E2196)*(E2=E$1:E2196))))))</f>
        <v> </v>
      </c>
      <c r="K2197" s="26" t="str">
        <f>IF(OR(E2197="",E2197="!!!",F2197="NEW"),"",INDEX(J$1:J2196,SUMPRODUCT(MAX(ROW(E$1:E2196)*(E2197=E$1:E2196)))))</f>
        <v> </v>
      </c>
      <c r="L2197" s="27"/>
    </row>
    <row r="2198" spans="1:12">
      <c r="A2198" s="20" t="s">
        <v>1071</v>
      </c>
      <c r="E2198" s="22">
        <f>IF(D2198="?OLD","!!!","")</f>
        <v/>
      </c>
      <c r="F2198" s="23" t="str">
        <f>IF(OR(E2198="",E2198="!!!"),"",IF(NOT(ISNA(VLOOKUP(E2198,E$1:E2197,1,FALSE()))),"OLD",IF(AND(E2198&lt;&gt;"",E2198&lt;&gt;"!!!"),"NEW","")))</f>
        <v> </v>
      </c>
      <c r="G2198" s="24" t="str">
        <f>IF(OR(E2198="",E2198="!!!"),"",IF(OR(J2198=0,AND(J2198=1,K2198=1),AND(J2198=1,I2198="SBJ"),AND(J2198=1,I2198=0)),"?IN_FOCUS",IF(J2198&lt;=2,"?ACTIVATED",IF(J2198&lt;&gt;"","?FAMILIAR",IF(F2198="NEW",IF(ISNA(VLOOKUP(E2198,#REF!,1,FALSE())),"?TYPE_IDENTIFIABLE","?REFERENTIAL"),"_")))))</f>
        <v> </v>
      </c>
      <c r="H2198" s="25" t="str">
        <f>IF(J2198&lt;&gt;1,"",IF(I2198="SBJ","CB","?"))</f>
        <v> </v>
      </c>
      <c r="I2198" s="26" t="str">
        <f>IF(OR(E2198="",E2198="!!!",F2198="NEW"),"",INDEX(B2197:B$2,-1+SUMPRODUCT(MAX(ROW(E2197:E$2)*(E2198=E2197:E$2)))))</f>
        <v> </v>
      </c>
      <c r="J2198" s="26" t="str">
        <f>IF(OR(E2198="",E2198="!!!",F2198="NEW"),"",COUNTBLANK(OFFSET(A$1,,,SUMPRODUCT(MAX(ROW(E$2:E2198)*(E2198=E$2:E2198)))))-COUNTBLANK(OFFSET(A$1,,,SUMPRODUCT(MAX(ROW(E$1:E2197)*(E2=E$1:E2197))))))</f>
        <v> </v>
      </c>
      <c r="K2198" s="26" t="str">
        <f>IF(OR(E2198="",E2198="!!!",F2198="NEW"),"",INDEX(J$1:J2197,SUMPRODUCT(MAX(ROW(E$1:E2197)*(E2198=E$1:E2197)))))</f>
        <v> </v>
      </c>
      <c r="L2198" s="27"/>
    </row>
    <row r="2199" spans="1:12">
      <c r="A2199" s="20" t="s">
        <v>246</v>
      </c>
      <c r="E2199" s="22">
        <f>IF(D2199="?OLD","!!!","")</f>
        <v/>
      </c>
      <c r="F2199" s="23" t="str">
        <f>IF(OR(E2199="",E2199="!!!"),"",IF(NOT(ISNA(VLOOKUP(E2199,E$1:E2198,1,FALSE()))),"OLD",IF(AND(E2199&lt;&gt;"",E2199&lt;&gt;"!!!"),"NEW","")))</f>
        <v> </v>
      </c>
      <c r="G2199" s="24" t="str">
        <f>IF(OR(E2199="",E2199="!!!"),"",IF(OR(J2199=0,AND(J2199=1,K2199=1),AND(J2199=1,I2199="SBJ"),AND(J2199=1,I2199=0)),"?IN_FOCUS",IF(J2199&lt;=2,"?ACTIVATED",IF(J2199&lt;&gt;"","?FAMILIAR",IF(F2199="NEW",IF(ISNA(VLOOKUP(E2199,#REF!,1,FALSE())),"?TYPE_IDENTIFIABLE","?REFERENTIAL"),"_")))))</f>
        <v> </v>
      </c>
      <c r="H2199" s="25" t="str">
        <f>IF(J2199&lt;&gt;1,"",IF(I2199="SBJ","CB","?"))</f>
        <v> </v>
      </c>
      <c r="I2199" s="26" t="str">
        <f>IF(OR(E2199="",E2199="!!!",F2199="NEW"),"",INDEX(B2198:B$2,-1+SUMPRODUCT(MAX(ROW(E2198:E$2)*(E2199=E2198:E$2)))))</f>
        <v> </v>
      </c>
      <c r="J2199" s="26" t="str">
        <f>IF(OR(E2199="",E2199="!!!",F2199="NEW"),"",COUNTBLANK(OFFSET(A$1,,,SUMPRODUCT(MAX(ROW(E$2:E2199)*(E2199=E$2:E2199)))))-COUNTBLANK(OFFSET(A$1,,,SUMPRODUCT(MAX(ROW(E$1:E2198)*(E2=E$1:E2198))))))</f>
        <v> </v>
      </c>
      <c r="K2199" s="26" t="str">
        <f>IF(OR(E2199="",E2199="!!!",F2199="NEW"),"",INDEX(J$1:J2198,SUMPRODUCT(MAX(ROW(E$1:E2198)*(E2199=E$1:E2198)))))</f>
        <v> </v>
      </c>
      <c r="L2199" s="27"/>
    </row>
    <row r="2200" spans="1:12">
      <c r="A2200" s="20"/>
    </row>
    <row r="2201" spans="1:12">
      <c r="A2201" s="20" t="s">
        <v>1593</v>
      </c>
    </row>
    <row r="2202" spans="1:12">
      <c r="A2202" s="20" t="s">
        <v>1478</v>
      </c>
      <c r="E2202" s="22">
        <f>IF(D2202="?OLD","!!!","")</f>
        <v/>
      </c>
      <c r="F2202" s="23" t="str">
        <f>IF(OR(E2202="",E2202="!!!"),"",IF(NOT(ISNA(VLOOKUP(E2202,E$1:E2201,1,FALSE()))),"OLD",IF(AND(E2202&lt;&gt;"",E2202&lt;&gt;"!!!"),"NEW","")))</f>
        <v> </v>
      </c>
      <c r="G2202" s="24" t="str">
        <f>IF(OR(E2202="",E2202="!!!"),"",IF(OR(J2202=0,AND(J2202=1,K2202=1),AND(J2202=1,I2202="SBJ"),AND(J2202=1,I2202=0)),"?IN_FOCUS",IF(J2202&lt;=2,"?ACTIVATED",IF(J2202&lt;&gt;"","?FAMILIAR",IF(F2202="NEW",IF(ISNA(VLOOKUP(E2202,#REF!,1,FALSE())),"?TYPE_IDENTIFIABLE","?REFERENTIAL"),"_")))))</f>
        <v> </v>
      </c>
      <c r="H2202" s="25" t="str">
        <f>IF(J2202&lt;&gt;1,"",IF(I2202="SBJ","CB","?"))</f>
        <v> </v>
      </c>
      <c r="I2202" s="26" t="str">
        <f>IF(OR(E2202="",E2202="!!!",F2202="NEW"),"",INDEX(B2201:B$2,-1+SUMPRODUCT(MAX(ROW(E2201:E$2)*(E2202=E2201:E$2)))))</f>
        <v> </v>
      </c>
      <c r="J2202" s="26" t="str">
        <f>IF(OR(E2202="",E2202="!!!",F2202="NEW"),"",COUNTBLANK(OFFSET(A$1,,,SUMPRODUCT(MAX(ROW(E$2:E2202)*(E2202=E$2:E2202)))))-COUNTBLANK(OFFSET(A$1,,,SUMPRODUCT(MAX(ROW(E$1:E2201)*(E2=E$1:E2201))))))</f>
        <v> </v>
      </c>
      <c r="K2202" s="26" t="str">
        <f>IF(OR(E2202="",E2202="!!!",F2202="NEW"),"",INDEX(J$1:J2201,SUMPRODUCT(MAX(ROW(E$1:E2201)*(E2202=E$1:E2201)))))</f>
        <v> </v>
      </c>
      <c r="L2202" s="27"/>
    </row>
    <row r="2203" spans="1:12">
      <c r="A2203" s="20" t="s">
        <v>1594</v>
      </c>
      <c r="E2203" s="22">
        <f>IF(D2203="?OLD","!!!","")</f>
        <v/>
      </c>
      <c r="F2203" s="23" t="str">
        <f>IF(OR(E2203="",E2203="!!!"),"",IF(NOT(ISNA(VLOOKUP(E2203,E$1:E2202,1,FALSE()))),"OLD",IF(AND(E2203&lt;&gt;"",E2203&lt;&gt;"!!!"),"NEW","")))</f>
        <v> </v>
      </c>
      <c r="G2203" s="24" t="str">
        <f>IF(OR(E2203="",E2203="!!!"),"",IF(OR(J2203=0,AND(J2203=1,K2203=1),AND(J2203=1,I2203="SBJ"),AND(J2203=1,I2203=0)),"?IN_FOCUS",IF(J2203&lt;=2,"?ACTIVATED",IF(J2203&lt;&gt;"","?FAMILIAR",IF(F2203="NEW",IF(ISNA(VLOOKUP(E2203,#REF!,1,FALSE())),"?TYPE_IDENTIFIABLE","?REFERENTIAL"),"_")))))</f>
        <v> </v>
      </c>
      <c r="H2203" s="25" t="str">
        <f>IF(J2203&lt;&gt;1,"",IF(I2203="SBJ","CB","?"))</f>
        <v> </v>
      </c>
      <c r="I2203" s="26" t="str">
        <f>IF(OR(E2203="",E2203="!!!",F2203="NEW"),"",INDEX(B2202:B$2,-1+SUMPRODUCT(MAX(ROW(E2202:E$2)*(E2203=E2202:E$2)))))</f>
        <v> </v>
      </c>
      <c r="J2203" s="26" t="str">
        <f>IF(OR(E2203="",E2203="!!!",F2203="NEW"),"",COUNTBLANK(OFFSET(A$1,,,SUMPRODUCT(MAX(ROW(E$2:E2203)*(E2203=E$2:E2203)))))-COUNTBLANK(OFFSET(A$1,,,SUMPRODUCT(MAX(ROW(E$1:E2202)*(E2=E$1:E2202))))))</f>
        <v> </v>
      </c>
      <c r="K2203" s="26" t="str">
        <f>IF(OR(E2203="",E2203="!!!",F2203="NEW"),"",INDEX(J$1:J2202,SUMPRODUCT(MAX(ROW(E$1:E2202)*(E2203=E$1:E2202)))))</f>
        <v> </v>
      </c>
      <c r="L2203" s="27"/>
    </row>
    <row r="2204" spans="1:12">
      <c r="A2204" s="20" t="s">
        <v>750</v>
      </c>
      <c r="B2204" s="21" t="s">
        <v>796</v>
      </c>
      <c r="C2204" s="21" t="s">
        <v>729</v>
      </c>
      <c r="D2204" s="21" t="s">
        <v>730</v>
      </c>
      <c r="E2204" s="22">
        <f>IF(D2204="?OLD","!!!","")</f>
        <v/>
      </c>
      <c r="F2204" s="23" t="str">
        <f>IF(OR(E2204="",E2204="!!!"),"",IF(NOT(ISNA(VLOOKUP(E2204,E$1:E2203,1,FALSE()))),"OLD",IF(AND(E2204&lt;&gt;"",E2204&lt;&gt;"!!!"),"NEW","")))</f>
        <v> </v>
      </c>
      <c r="G2204" s="24" t="str">
        <f>IF(OR(E2204="",E2204="!!!"),"",IF(OR(J2204=0,AND(J2204=1,K2204=1),AND(J2204=1,I2204="SBJ"),AND(J2204=1,I2204=0)),"?IN_FOCUS",IF(J2204&lt;=2,"?ACTIVATED",IF(J2204&lt;&gt;"","?FAMILIAR",IF(F2204="NEW",IF(ISNA(VLOOKUP(E2204,#REF!,1,FALSE())),"?TYPE_IDENTIFIABLE","?REFERENTIAL"),"_")))))</f>
        <v> </v>
      </c>
      <c r="H2204" s="25" t="str">
        <f>IF(J2204&lt;&gt;1,"",IF(I2204="SBJ","CB","?"))</f>
        <v> </v>
      </c>
      <c r="I2204" s="26" t="str">
        <f>IF(OR(E2204="",E2204="!!!",F2204="NEW"),"",INDEX(B2203:B$2,-1+SUMPRODUCT(MAX(ROW(E2203:E$2)*(E2204=E2203:E$2)))))</f>
        <v> </v>
      </c>
      <c r="J2204" s="26" t="str">
        <f>IF(OR(E2204="",E2204="!!!",F2204="NEW"),"",COUNTBLANK(OFFSET(A$1,,,SUMPRODUCT(MAX(ROW(E$2:E2204)*(E2204=E$2:E2204)))))-COUNTBLANK(OFFSET(A$1,,,SUMPRODUCT(MAX(ROW(E$1:E2203)*(E2=E$1:E2203))))))</f>
        <v> </v>
      </c>
      <c r="K2204" s="26" t="str">
        <f>IF(OR(E2204="",E2204="!!!",F2204="NEW"),"",INDEX(J$1:J2203,SUMPRODUCT(MAX(ROW(E$1:E2203)*(E2204=E$1:E2203)))))</f>
        <v> </v>
      </c>
      <c r="L2204" s="27"/>
    </row>
    <row r="2205" spans="1:12">
      <c r="A2205" s="20" t="s">
        <v>1595</v>
      </c>
      <c r="E2205" s="22">
        <f>IF(D2205="?OLD","!!!","")</f>
        <v/>
      </c>
      <c r="F2205" s="23" t="str">
        <f>IF(OR(E2205="",E2205="!!!"),"",IF(NOT(ISNA(VLOOKUP(E2205,E$1:E2204,1,FALSE()))),"OLD",IF(AND(E2205&lt;&gt;"",E2205&lt;&gt;"!!!"),"NEW","")))</f>
        <v> </v>
      </c>
      <c r="G2205" s="24" t="str">
        <f>IF(OR(E2205="",E2205="!!!"),"",IF(OR(J2205=0,AND(J2205=1,K2205=1),AND(J2205=1,I2205="SBJ"),AND(J2205=1,I2205=0)),"?IN_FOCUS",IF(J2205&lt;=2,"?ACTIVATED",IF(J2205&lt;&gt;"","?FAMILIAR",IF(F2205="NEW",IF(ISNA(VLOOKUP(E2205,#REF!,1,FALSE())),"?TYPE_IDENTIFIABLE","?REFERENTIAL"),"_")))))</f>
        <v> </v>
      </c>
      <c r="H2205" s="25" t="str">
        <f>IF(J2205&lt;&gt;1,"",IF(I2205="SBJ","CB","?"))</f>
        <v> </v>
      </c>
      <c r="I2205" s="26" t="str">
        <f>IF(OR(E2205="",E2205="!!!",F2205="NEW"),"",INDEX(B2204:B$2,-1+SUMPRODUCT(MAX(ROW(E2204:E$2)*(E2205=E2204:E$2)))))</f>
        <v> </v>
      </c>
      <c r="J2205" s="26" t="str">
        <f>IF(OR(E2205="",E2205="!!!",F2205="NEW"),"",COUNTBLANK(OFFSET(A$1,,,SUMPRODUCT(MAX(ROW(E$2:E2205)*(E2205=E$2:E2205)))))-COUNTBLANK(OFFSET(A$1,,,SUMPRODUCT(MAX(ROW(E$1:E2204)*(E2=E$1:E2204))))))</f>
        <v> </v>
      </c>
      <c r="K2205" s="26" t="str">
        <f>IF(OR(E2205="",E2205="!!!",F2205="NEW"),"",INDEX(J$1:J2204,SUMPRODUCT(MAX(ROW(E$1:E2204)*(E2205=E$1:E2204)))))</f>
        <v> </v>
      </c>
      <c r="L2205" s="27"/>
    </row>
    <row r="2206" spans="1:12">
      <c r="A2206" s="20" t="s">
        <v>839</v>
      </c>
      <c r="E2206" s="22">
        <f>IF(D2206="?OLD","!!!","")</f>
        <v/>
      </c>
      <c r="F2206" s="23" t="str">
        <f>IF(OR(E2206="",E2206="!!!"),"",IF(NOT(ISNA(VLOOKUP(E2206,E$1:E2205,1,FALSE()))),"OLD",IF(AND(E2206&lt;&gt;"",E2206&lt;&gt;"!!!"),"NEW","")))</f>
        <v> </v>
      </c>
      <c r="G2206" s="24" t="str">
        <f>IF(OR(E2206="",E2206="!!!"),"",IF(OR(J2206=0,AND(J2206=1,K2206=1),AND(J2206=1,I2206="SBJ"),AND(J2206=1,I2206=0)),"?IN_FOCUS",IF(J2206&lt;=2,"?ACTIVATED",IF(J2206&lt;&gt;"","?FAMILIAR",IF(F2206="NEW",IF(ISNA(VLOOKUP(E2206,#REF!,1,FALSE())),"?TYPE_IDENTIFIABLE","?REFERENTIAL"),"_")))))</f>
        <v> </v>
      </c>
      <c r="H2206" s="25" t="str">
        <f>IF(J2206&lt;&gt;1,"",IF(I2206="SBJ","CB","?"))</f>
        <v> </v>
      </c>
      <c r="I2206" s="26" t="str">
        <f>IF(OR(E2206="",E2206="!!!",F2206="NEW"),"",INDEX(B2205:B$2,-1+SUMPRODUCT(MAX(ROW(E2205:E$2)*(E2206=E2205:E$2)))))</f>
        <v> </v>
      </c>
      <c r="J2206" s="26" t="str">
        <f>IF(OR(E2206="",E2206="!!!",F2206="NEW"),"",COUNTBLANK(OFFSET(A$1,,,SUMPRODUCT(MAX(ROW(E$2:E2206)*(E2206=E$2:E2206)))))-COUNTBLANK(OFFSET(A$1,,,SUMPRODUCT(MAX(ROW(E$1:E2205)*(E2=E$1:E2205))))))</f>
        <v> </v>
      </c>
      <c r="K2206" s="26" t="str">
        <f>IF(OR(E2206="",E2206="!!!",F2206="NEW"),"",INDEX(J$1:J2205,SUMPRODUCT(MAX(ROW(E$1:E2205)*(E2206=E$1:E2205)))))</f>
        <v> </v>
      </c>
      <c r="L2206" s="27"/>
    </row>
    <row r="2207" spans="1:12">
      <c r="A2207" s="20" t="s">
        <v>762</v>
      </c>
      <c r="E2207" s="22">
        <f>IF(D2207="?OLD","!!!","")</f>
        <v/>
      </c>
      <c r="F2207" s="23" t="str">
        <f>IF(OR(E2207="",E2207="!!!"),"",IF(NOT(ISNA(VLOOKUP(E2207,E$1:E2206,1,FALSE()))),"OLD",IF(AND(E2207&lt;&gt;"",E2207&lt;&gt;"!!!"),"NEW","")))</f>
        <v> </v>
      </c>
      <c r="G2207" s="24" t="str">
        <f>IF(OR(E2207="",E2207="!!!"),"",IF(OR(J2207=0,AND(J2207=1,K2207=1),AND(J2207=1,I2207="SBJ"),AND(J2207=1,I2207=0)),"?IN_FOCUS",IF(J2207&lt;=2,"?ACTIVATED",IF(J2207&lt;&gt;"","?FAMILIAR",IF(F2207="NEW",IF(ISNA(VLOOKUP(E2207,#REF!,1,FALSE())),"?TYPE_IDENTIFIABLE","?REFERENTIAL"),"_")))))</f>
        <v> </v>
      </c>
      <c r="H2207" s="25" t="str">
        <f>IF(J2207&lt;&gt;1,"",IF(I2207="SBJ","CB","?"))</f>
        <v> </v>
      </c>
      <c r="I2207" s="26" t="str">
        <f>IF(OR(E2207="",E2207="!!!",F2207="NEW"),"",INDEX(B2206:B$2,-1+SUMPRODUCT(MAX(ROW(E2206:E$2)*(E2207=E2206:E$2)))))</f>
        <v> </v>
      </c>
      <c r="J2207" s="26" t="str">
        <f>IF(OR(E2207="",E2207="!!!",F2207="NEW"),"",COUNTBLANK(OFFSET(A$1,,,SUMPRODUCT(MAX(ROW(E$2:E2207)*(E2207=E$2:E2207)))))-COUNTBLANK(OFFSET(A$1,,,SUMPRODUCT(MAX(ROW(E$1:E2206)*(E2=E$1:E2206))))))</f>
        <v> </v>
      </c>
      <c r="K2207" s="26" t="str">
        <f>IF(OR(E2207="",E2207="!!!",F2207="NEW"),"",INDEX(J$1:J2206,SUMPRODUCT(MAX(ROW(E$1:E2206)*(E2207=E$1:E2206)))))</f>
        <v> </v>
      </c>
      <c r="L2207" s="27"/>
    </row>
    <row r="2208" spans="1:12">
      <c r="A2208" s="20" t="s">
        <v>1596</v>
      </c>
      <c r="B2208" s="21" t="s">
        <v>739</v>
      </c>
      <c r="C2208" s="21" t="s">
        <v>737</v>
      </c>
      <c r="E2208" s="22">
        <f>IF(D2208="?OLD","!!!","")</f>
        <v/>
      </c>
      <c r="F2208" s="23" t="str">
        <f>IF(OR(E2208="",E2208="!!!"),"",IF(NOT(ISNA(VLOOKUP(E2208,E$1:E2207,1,FALSE()))),"OLD",IF(AND(E2208&lt;&gt;"",E2208&lt;&gt;"!!!"),"NEW","")))</f>
        <v> </v>
      </c>
      <c r="G2208" s="24" t="str">
        <f>IF(OR(E2208="",E2208="!!!"),"",IF(OR(J2208=0,AND(J2208=1,K2208=1),AND(J2208=1,I2208="SBJ"),AND(J2208=1,I2208=0)),"?IN_FOCUS",IF(J2208&lt;=2,"?ACTIVATED",IF(J2208&lt;&gt;"","?FAMILIAR",IF(F2208="NEW",IF(ISNA(VLOOKUP(E2208,#REF!,1,FALSE())),"?TYPE_IDENTIFIABLE","?REFERENTIAL"),"_")))))</f>
        <v> </v>
      </c>
      <c r="H2208" s="25" t="str">
        <f>IF(J2208&lt;&gt;1,"",IF(I2208="SBJ","CB","?"))</f>
        <v> </v>
      </c>
      <c r="I2208" s="26" t="str">
        <f>IF(OR(E2208="",E2208="!!!",F2208="NEW"),"",INDEX(B2207:B$2,-1+SUMPRODUCT(MAX(ROW(E2207:E$2)*(E2208=E2207:E$2)))))</f>
        <v> </v>
      </c>
      <c r="J2208" s="26" t="str">
        <f>IF(OR(E2208="",E2208="!!!",F2208="NEW"),"",COUNTBLANK(OFFSET(A$1,,,SUMPRODUCT(MAX(ROW(E$2:E2208)*(E2208=E$2:E2208)))))-COUNTBLANK(OFFSET(A$1,,,SUMPRODUCT(MAX(ROW(E$1:E2207)*(E2=E$1:E2207))))))</f>
        <v> </v>
      </c>
      <c r="K2208" s="26" t="str">
        <f>IF(OR(E2208="",E2208="!!!",F2208="NEW"),"",INDEX(J$1:J2207,SUMPRODUCT(MAX(ROW(E$1:E2207)*(E2208=E$1:E2207)))))</f>
        <v> </v>
      </c>
      <c r="L2208" s="27"/>
    </row>
    <row r="2209" spans="1:12">
      <c r="A2209" s="20" t="s">
        <v>1597</v>
      </c>
      <c r="E2209" s="22">
        <f>IF(D2209="?OLD","!!!","")</f>
        <v/>
      </c>
      <c r="F2209" s="23" t="str">
        <f>IF(OR(E2209="",E2209="!!!"),"",IF(NOT(ISNA(VLOOKUP(E2209,E$1:E2208,1,FALSE()))),"OLD",IF(AND(E2209&lt;&gt;"",E2209&lt;&gt;"!!!"),"NEW","")))</f>
        <v> </v>
      </c>
      <c r="G2209" s="24" t="str">
        <f>IF(OR(E2209="",E2209="!!!"),"",IF(OR(J2209=0,AND(J2209=1,K2209=1),AND(J2209=1,I2209="SBJ"),AND(J2209=1,I2209=0)),"?IN_FOCUS",IF(J2209&lt;=2,"?ACTIVATED",IF(J2209&lt;&gt;"","?FAMILIAR",IF(F2209="NEW",IF(ISNA(VLOOKUP(E2209,#REF!,1,FALSE())),"?TYPE_IDENTIFIABLE","?REFERENTIAL"),"_")))))</f>
        <v> </v>
      </c>
      <c r="H2209" s="25" t="str">
        <f>IF(J2209&lt;&gt;1,"",IF(I2209="SBJ","CB","?"))</f>
        <v> </v>
      </c>
      <c r="I2209" s="26" t="str">
        <f>IF(OR(E2209="",E2209="!!!",F2209="NEW"),"",INDEX(B2208:B$2,-1+SUMPRODUCT(MAX(ROW(E2208:E$2)*(E2209=E2208:E$2)))))</f>
        <v> </v>
      </c>
      <c r="J2209" s="26" t="str">
        <f>IF(OR(E2209="",E2209="!!!",F2209="NEW"),"",COUNTBLANK(OFFSET(A$1,,,SUMPRODUCT(MAX(ROW(E$2:E2209)*(E2209=E$2:E2209)))))-COUNTBLANK(OFFSET(A$1,,,SUMPRODUCT(MAX(ROW(E$1:E2208)*(E2=E$1:E2208))))))</f>
        <v> </v>
      </c>
      <c r="K2209" s="26" t="str">
        <f>IF(OR(E2209="",E2209="!!!",F2209="NEW"),"",INDEX(J$1:J2208,SUMPRODUCT(MAX(ROW(E$1:E2208)*(E2209=E$1:E2208)))))</f>
        <v> </v>
      </c>
      <c r="L2209" s="27"/>
    </row>
    <row r="2210" spans="1:12">
      <c r="A2210" s="20" t="s">
        <v>759</v>
      </c>
      <c r="E2210" s="22">
        <f>IF(D2210="?OLD","!!!","")</f>
        <v/>
      </c>
      <c r="F2210" s="23" t="str">
        <f>IF(OR(E2210="",E2210="!!!"),"",IF(NOT(ISNA(VLOOKUP(E2210,E$1:E2209,1,FALSE()))),"OLD",IF(AND(E2210&lt;&gt;"",E2210&lt;&gt;"!!!"),"NEW","")))</f>
        <v> </v>
      </c>
      <c r="G2210" s="24" t="str">
        <f>IF(OR(E2210="",E2210="!!!"),"",IF(OR(J2210=0,AND(J2210=1,K2210=1),AND(J2210=1,I2210="SBJ"),AND(J2210=1,I2210=0)),"?IN_FOCUS",IF(J2210&lt;=2,"?ACTIVATED",IF(J2210&lt;&gt;"","?FAMILIAR",IF(F2210="NEW",IF(ISNA(VLOOKUP(E2210,#REF!,1,FALSE())),"?TYPE_IDENTIFIABLE","?REFERENTIAL"),"_")))))</f>
        <v> </v>
      </c>
      <c r="H2210" s="25" t="str">
        <f>IF(J2210&lt;&gt;1,"",IF(I2210="SBJ","CB","?"))</f>
        <v> </v>
      </c>
      <c r="I2210" s="26" t="str">
        <f>IF(OR(E2210="",E2210="!!!",F2210="NEW"),"",INDEX(B2209:B$2,-1+SUMPRODUCT(MAX(ROW(E2209:E$2)*(E2210=E2209:E$2)))))</f>
        <v> </v>
      </c>
      <c r="J2210" s="26" t="str">
        <f>IF(OR(E2210="",E2210="!!!",F2210="NEW"),"",COUNTBLANK(OFFSET(A$1,,,SUMPRODUCT(MAX(ROW(E$2:E2210)*(E2210=E$2:E2210)))))-COUNTBLANK(OFFSET(A$1,,,SUMPRODUCT(MAX(ROW(E$1:E2209)*(E2=E$1:E2209))))))</f>
        <v> </v>
      </c>
      <c r="K2210" s="26" t="str">
        <f>IF(OR(E2210="",E2210="!!!",F2210="NEW"),"",INDEX(J$1:J2209,SUMPRODUCT(MAX(ROW(E$1:E2209)*(E2210=E$1:E2209)))))</f>
        <v> </v>
      </c>
      <c r="L2210" s="27"/>
    </row>
    <row r="2211" spans="1:12">
      <c r="A2211" s="20" t="s">
        <v>1378</v>
      </c>
      <c r="E2211" s="22">
        <f>IF(D2211="?OLD","!!!","")</f>
        <v/>
      </c>
      <c r="F2211" s="23" t="str">
        <f>IF(OR(E2211="",E2211="!!!"),"",IF(NOT(ISNA(VLOOKUP(E2211,E$1:E2210,1,FALSE()))),"OLD",IF(AND(E2211&lt;&gt;"",E2211&lt;&gt;"!!!"),"NEW","")))</f>
        <v> </v>
      </c>
      <c r="G2211" s="24" t="str">
        <f>IF(OR(E2211="",E2211="!!!"),"",IF(OR(J2211=0,AND(J2211=1,K2211=1),AND(J2211=1,I2211="SBJ"),AND(J2211=1,I2211=0)),"?IN_FOCUS",IF(J2211&lt;=2,"?ACTIVATED",IF(J2211&lt;&gt;"","?FAMILIAR",IF(F2211="NEW",IF(ISNA(VLOOKUP(E2211,#REF!,1,FALSE())),"?TYPE_IDENTIFIABLE","?REFERENTIAL"),"_")))))</f>
        <v> </v>
      </c>
      <c r="H2211" s="25" t="str">
        <f>IF(J2211&lt;&gt;1,"",IF(I2211="SBJ","CB","?"))</f>
        <v> </v>
      </c>
      <c r="I2211" s="26" t="str">
        <f>IF(OR(E2211="",E2211="!!!",F2211="NEW"),"",INDEX(B2210:B$2,-1+SUMPRODUCT(MAX(ROW(E2210:E$2)*(E2211=E2210:E$2)))))</f>
        <v> </v>
      </c>
      <c r="J2211" s="26" t="str">
        <f>IF(OR(E2211="",E2211="!!!",F2211="NEW"),"",COUNTBLANK(OFFSET(A$1,,,SUMPRODUCT(MAX(ROW(E$2:E2211)*(E2211=E$2:E2211)))))-COUNTBLANK(OFFSET(A$1,,,SUMPRODUCT(MAX(ROW(E$1:E2210)*(E2=E$1:E2210))))))</f>
        <v> </v>
      </c>
      <c r="K2211" s="26" t="str">
        <f>IF(OR(E2211="",E2211="!!!",F2211="NEW"),"",INDEX(J$1:J2210,SUMPRODUCT(MAX(ROW(E$1:E2210)*(E2211=E$1:E2210)))))</f>
        <v> </v>
      </c>
      <c r="L2211" s="27"/>
    </row>
    <row r="2212" spans="1:12">
      <c r="A2212" s="20" t="s">
        <v>750</v>
      </c>
      <c r="B2212" s="21" t="s">
        <v>728</v>
      </c>
      <c r="C2212" s="21" t="s">
        <v>729</v>
      </c>
      <c r="D2212" s="21" t="s">
        <v>730</v>
      </c>
      <c r="E2212" s="22">
        <f>IF(D2212="?OLD","!!!","")</f>
        <v/>
      </c>
      <c r="F2212" s="23" t="str">
        <f>IF(OR(E2212="",E2212="!!!"),"",IF(NOT(ISNA(VLOOKUP(E2212,E$1:E2211,1,FALSE()))),"OLD",IF(AND(E2212&lt;&gt;"",E2212&lt;&gt;"!!!"),"NEW","")))</f>
        <v> </v>
      </c>
      <c r="G2212" s="24" t="str">
        <f>IF(OR(E2212="",E2212="!!!"),"",IF(OR(J2212=0,AND(J2212=1,K2212=1),AND(J2212=1,I2212="SBJ"),AND(J2212=1,I2212=0)),"?IN_FOCUS",IF(J2212&lt;=2,"?ACTIVATED",IF(J2212&lt;&gt;"","?FAMILIAR",IF(F2212="NEW",IF(ISNA(VLOOKUP(E2212,#REF!,1,FALSE())),"?TYPE_IDENTIFIABLE","?REFERENTIAL"),"_")))))</f>
        <v> </v>
      </c>
      <c r="H2212" s="25" t="str">
        <f>IF(J2212&lt;&gt;1,"",IF(I2212="SBJ","CB","?"))</f>
        <v> </v>
      </c>
      <c r="I2212" s="26" t="str">
        <f>IF(OR(E2212="",E2212="!!!",F2212="NEW"),"",INDEX(B2211:B$2,-1+SUMPRODUCT(MAX(ROW(E2211:E$2)*(E2212=E2211:E$2)))))</f>
        <v> </v>
      </c>
      <c r="J2212" s="26" t="str">
        <f>IF(OR(E2212="",E2212="!!!",F2212="NEW"),"",COUNTBLANK(OFFSET(A$1,,,SUMPRODUCT(MAX(ROW(E$2:E2212)*(E2212=E$2:E2212)))))-COUNTBLANK(OFFSET(A$1,,,SUMPRODUCT(MAX(ROW(E$1:E2211)*(E2=E$1:E2211))))))</f>
        <v> </v>
      </c>
      <c r="K2212" s="26" t="str">
        <f>IF(OR(E2212="",E2212="!!!",F2212="NEW"),"",INDEX(J$1:J2211,SUMPRODUCT(MAX(ROW(E$1:E2211)*(E2212=E$1:E2211)))))</f>
        <v> </v>
      </c>
      <c r="L2212" s="27"/>
    </row>
    <row r="2213" spans="1:12">
      <c r="A2213" s="20" t="s">
        <v>772</v>
      </c>
      <c r="E2213" s="22">
        <f>IF(D2213="?OLD","!!!","")</f>
        <v/>
      </c>
      <c r="F2213" s="23" t="str">
        <f>IF(OR(E2213="",E2213="!!!"),"",IF(NOT(ISNA(VLOOKUP(E2213,E$1:E2212,1,FALSE()))),"OLD",IF(AND(E2213&lt;&gt;"",E2213&lt;&gt;"!!!"),"NEW","")))</f>
        <v> </v>
      </c>
      <c r="G2213" s="24" t="str">
        <f>IF(OR(E2213="",E2213="!!!"),"",IF(OR(J2213=0,AND(J2213=1,K2213=1),AND(J2213=1,I2213="SBJ"),AND(J2213=1,I2213=0)),"?IN_FOCUS",IF(J2213&lt;=2,"?ACTIVATED",IF(J2213&lt;&gt;"","?FAMILIAR",IF(F2213="NEW",IF(ISNA(VLOOKUP(E2213,#REF!,1,FALSE())),"?TYPE_IDENTIFIABLE","?REFERENTIAL"),"_")))))</f>
        <v> </v>
      </c>
      <c r="H2213" s="25" t="str">
        <f>IF(J2213&lt;&gt;1,"",IF(I2213="SBJ","CB","?"))</f>
        <v> </v>
      </c>
      <c r="I2213" s="26" t="str">
        <f>IF(OR(E2213="",E2213="!!!",F2213="NEW"),"",INDEX(B2212:B$2,-1+SUMPRODUCT(MAX(ROW(E2212:E$2)*(E2213=E2212:E$2)))))</f>
        <v> </v>
      </c>
      <c r="J2213" s="26" t="str">
        <f>IF(OR(E2213="",E2213="!!!",F2213="NEW"),"",COUNTBLANK(OFFSET(A$1,,,SUMPRODUCT(MAX(ROW(E$2:E2213)*(E2213=E$2:E2213)))))-COUNTBLANK(OFFSET(A$1,,,SUMPRODUCT(MAX(ROW(E$1:E2212)*(E2=E$1:E2212))))))</f>
        <v> </v>
      </c>
      <c r="K2213" s="26" t="str">
        <f>IF(OR(E2213="",E2213="!!!",F2213="NEW"),"",INDEX(J$1:J2212,SUMPRODUCT(MAX(ROW(E$1:E2212)*(E2213=E$1:E2212)))))</f>
        <v> </v>
      </c>
      <c r="L2213" s="27"/>
    </row>
    <row r="2214" spans="1:12">
      <c r="A2214" s="20" t="s">
        <v>1259</v>
      </c>
      <c r="E2214" s="22">
        <f>IF(D2214="?OLD","!!!","")</f>
        <v/>
      </c>
      <c r="F2214" s="23" t="str">
        <f>IF(OR(E2214="",E2214="!!!"),"",IF(NOT(ISNA(VLOOKUP(E2214,E$1:E2213,1,FALSE()))),"OLD",IF(AND(E2214&lt;&gt;"",E2214&lt;&gt;"!!!"),"NEW","")))</f>
        <v> </v>
      </c>
      <c r="G2214" s="24" t="str">
        <f>IF(OR(E2214="",E2214="!!!"),"",IF(OR(J2214=0,AND(J2214=1,K2214=1),AND(J2214=1,I2214="SBJ"),AND(J2214=1,I2214=0)),"?IN_FOCUS",IF(J2214&lt;=2,"?ACTIVATED",IF(J2214&lt;&gt;"","?FAMILIAR",IF(F2214="NEW",IF(ISNA(VLOOKUP(E2214,#REF!,1,FALSE())),"?TYPE_IDENTIFIABLE","?REFERENTIAL"),"_")))))</f>
        <v> </v>
      </c>
      <c r="H2214" s="25" t="str">
        <f>IF(J2214&lt;&gt;1,"",IF(I2214="SBJ","CB","?"))</f>
        <v> </v>
      </c>
      <c r="I2214" s="26" t="str">
        <f>IF(OR(E2214="",E2214="!!!",F2214="NEW"),"",INDEX(B2213:B$2,-1+SUMPRODUCT(MAX(ROW(E2213:E$2)*(E2214=E2213:E$2)))))</f>
        <v> </v>
      </c>
      <c r="J2214" s="26" t="str">
        <f>IF(OR(E2214="",E2214="!!!",F2214="NEW"),"",COUNTBLANK(OFFSET(A$1,,,SUMPRODUCT(MAX(ROW(E$2:E2214)*(E2214=E$2:E2214)))))-COUNTBLANK(OFFSET(A$1,,,SUMPRODUCT(MAX(ROW(E$1:E2213)*(E2=E$1:E2213))))))</f>
        <v> </v>
      </c>
      <c r="K2214" s="26" t="str">
        <f>IF(OR(E2214="",E2214="!!!",F2214="NEW"),"",INDEX(J$1:J2213,SUMPRODUCT(MAX(ROW(E$1:E2213)*(E2214=E$1:E2213)))))</f>
        <v> </v>
      </c>
      <c r="L2214" s="27"/>
    </row>
    <row r="2215" spans="1:12">
      <c r="A2215" s="20" t="s">
        <v>759</v>
      </c>
      <c r="E2215" s="22">
        <f>IF(D2215="?OLD","!!!","")</f>
        <v/>
      </c>
      <c r="F2215" s="23" t="str">
        <f>IF(OR(E2215="",E2215="!!!"),"",IF(NOT(ISNA(VLOOKUP(E2215,E$1:E2214,1,FALSE()))),"OLD",IF(AND(E2215&lt;&gt;"",E2215&lt;&gt;"!!!"),"NEW","")))</f>
        <v> </v>
      </c>
      <c r="G2215" s="24" t="str">
        <f>IF(OR(E2215="",E2215="!!!"),"",IF(OR(J2215=0,AND(J2215=1,K2215=1),AND(J2215=1,I2215="SBJ"),AND(J2215=1,I2215=0)),"?IN_FOCUS",IF(J2215&lt;=2,"?ACTIVATED",IF(J2215&lt;&gt;"","?FAMILIAR",IF(F2215="NEW",IF(ISNA(VLOOKUP(E2215,#REF!,1,FALSE())),"?TYPE_IDENTIFIABLE","?REFERENTIAL"),"_")))))</f>
        <v> </v>
      </c>
      <c r="H2215" s="25" t="str">
        <f>IF(J2215&lt;&gt;1,"",IF(I2215="SBJ","CB","?"))</f>
        <v> </v>
      </c>
      <c r="I2215" s="26" t="str">
        <f>IF(OR(E2215="",E2215="!!!",F2215="NEW"),"",INDEX(B2214:B$2,-1+SUMPRODUCT(MAX(ROW(E2214:E$2)*(E2215=E2214:E$2)))))</f>
        <v> </v>
      </c>
      <c r="J2215" s="26" t="str">
        <f>IF(OR(E2215="",E2215="!!!",F2215="NEW"),"",COUNTBLANK(OFFSET(A$1,,,SUMPRODUCT(MAX(ROW(E$2:E2215)*(E2215=E$2:E2215)))))-COUNTBLANK(OFFSET(A$1,,,SUMPRODUCT(MAX(ROW(E$1:E2214)*(E2=E$1:E2214))))))</f>
        <v> </v>
      </c>
      <c r="K2215" s="26" t="str">
        <f>IF(OR(E2215="",E2215="!!!",F2215="NEW"),"",INDEX(J$1:J2214,SUMPRODUCT(MAX(ROW(E$1:E2214)*(E2215=E$1:E2214)))))</f>
        <v> </v>
      </c>
      <c r="L2215" s="27"/>
    </row>
    <row r="2216" spans="1:12">
      <c r="A2216" s="20" t="s">
        <v>945</v>
      </c>
      <c r="B2216" s="21" t="s">
        <v>796</v>
      </c>
      <c r="C2216" s="21" t="s">
        <v>789</v>
      </c>
      <c r="D2216" s="21" t="s">
        <v>730</v>
      </c>
      <c r="E2216" s="22">
        <f>IF(D2216="?OLD","!!!","")</f>
        <v/>
      </c>
      <c r="F2216" s="23" t="str">
        <f>IF(OR(E2216="",E2216="!!!"),"",IF(NOT(ISNA(VLOOKUP(E2216,E$1:E2215,1,FALSE()))),"OLD",IF(AND(E2216&lt;&gt;"",E2216&lt;&gt;"!!!"),"NEW","")))</f>
        <v> </v>
      </c>
      <c r="G2216" s="24" t="str">
        <f>IF(OR(E2216="",E2216="!!!"),"",IF(OR(J2216=0,AND(J2216=1,K2216=1),AND(J2216=1,I2216="SBJ"),AND(J2216=1,I2216=0)),"?IN_FOCUS",IF(J2216&lt;=2,"?ACTIVATED",IF(J2216&lt;&gt;"","?FAMILIAR",IF(F2216="NEW",IF(ISNA(VLOOKUP(E2216,#REF!,1,FALSE())),"?TYPE_IDENTIFIABLE","?REFERENTIAL"),"_")))))</f>
        <v> </v>
      </c>
      <c r="H2216" s="25" t="str">
        <f>IF(J2216&lt;&gt;1,"",IF(I2216="SBJ","CB","?"))</f>
        <v> </v>
      </c>
      <c r="I2216" s="26" t="str">
        <f>IF(OR(E2216="",E2216="!!!",F2216="NEW"),"",INDEX(B2215:B$2,-1+SUMPRODUCT(MAX(ROW(E2215:E$2)*(E2216=E2215:E$2)))))</f>
        <v> </v>
      </c>
      <c r="J2216" s="26" t="str">
        <f>IF(OR(E2216="",E2216="!!!",F2216="NEW"),"",COUNTBLANK(OFFSET(A$1,,,SUMPRODUCT(MAX(ROW(E$2:E2216)*(E2216=E$2:E2216)))))-COUNTBLANK(OFFSET(A$1,,,SUMPRODUCT(MAX(ROW(E$1:E2215)*(E2=E$1:E2215))))))</f>
        <v> </v>
      </c>
      <c r="K2216" s="26" t="str">
        <f>IF(OR(E2216="",E2216="!!!",F2216="NEW"),"",INDEX(J$1:J2215,SUMPRODUCT(MAX(ROW(E$1:E2215)*(E2216=E$1:E2215)))))</f>
        <v> </v>
      </c>
      <c r="L2216" s="27"/>
    </row>
    <row r="2217" spans="1:12">
      <c r="A2217" s="20" t="s">
        <v>1295</v>
      </c>
      <c r="E2217" s="22">
        <f>IF(D2217="?OLD","!!!","")</f>
        <v/>
      </c>
      <c r="F2217" s="23" t="str">
        <f>IF(OR(E2217="",E2217="!!!"),"",IF(NOT(ISNA(VLOOKUP(E2217,E$1:E2216,1,FALSE()))),"OLD",IF(AND(E2217&lt;&gt;"",E2217&lt;&gt;"!!!"),"NEW","")))</f>
        <v> </v>
      </c>
      <c r="G2217" s="24" t="str">
        <f>IF(OR(E2217="",E2217="!!!"),"",IF(OR(J2217=0,AND(J2217=1,K2217=1),AND(J2217=1,I2217="SBJ"),AND(J2217=1,I2217=0)),"?IN_FOCUS",IF(J2217&lt;=2,"?ACTIVATED",IF(J2217&lt;&gt;"","?FAMILIAR",IF(F2217="NEW",IF(ISNA(VLOOKUP(E2217,#REF!,1,FALSE())),"?TYPE_IDENTIFIABLE","?REFERENTIAL"),"_")))))</f>
        <v> </v>
      </c>
      <c r="H2217" s="25" t="str">
        <f>IF(J2217&lt;&gt;1,"",IF(I2217="SBJ","CB","?"))</f>
        <v> </v>
      </c>
      <c r="I2217" s="26" t="str">
        <f>IF(OR(E2217="",E2217="!!!",F2217="NEW"),"",INDEX(B2216:B$2,-1+SUMPRODUCT(MAX(ROW(E2216:E$2)*(E2217=E2216:E$2)))))</f>
        <v> </v>
      </c>
      <c r="J2217" s="26" t="str">
        <f>IF(OR(E2217="",E2217="!!!",F2217="NEW"),"",COUNTBLANK(OFFSET(A$1,,,SUMPRODUCT(MAX(ROW(E$2:E2217)*(E2217=E$2:E2217)))))-COUNTBLANK(OFFSET(A$1,,,SUMPRODUCT(MAX(ROW(E$1:E2216)*(E2=E$1:E2216))))))</f>
        <v> </v>
      </c>
      <c r="K2217" s="26" t="str">
        <f>IF(OR(E2217="",E2217="!!!",F2217="NEW"),"",INDEX(J$1:J2216,SUMPRODUCT(MAX(ROW(E$1:E2216)*(E2217=E$1:E2216)))))</f>
        <v> </v>
      </c>
      <c r="L2217" s="27"/>
    </row>
    <row r="2218" spans="1:12">
      <c r="A2218" s="20" t="s">
        <v>773</v>
      </c>
      <c r="E2218" s="22">
        <f>IF(D2218="?OLD","!!!","")</f>
        <v/>
      </c>
      <c r="F2218" s="23" t="str">
        <f>IF(OR(E2218="",E2218="!!!"),"",IF(NOT(ISNA(VLOOKUP(E2218,E$1:E2217,1,FALSE()))),"OLD",IF(AND(E2218&lt;&gt;"",E2218&lt;&gt;"!!!"),"NEW","")))</f>
        <v> </v>
      </c>
      <c r="G2218" s="24" t="str">
        <f>IF(OR(E2218="",E2218="!!!"),"",IF(OR(J2218=0,AND(J2218=1,K2218=1),AND(J2218=1,I2218="SBJ"),AND(J2218=1,I2218=0)),"?IN_FOCUS",IF(J2218&lt;=2,"?ACTIVATED",IF(J2218&lt;&gt;"","?FAMILIAR",IF(F2218="NEW",IF(ISNA(VLOOKUP(E2218,#REF!,1,FALSE())),"?TYPE_IDENTIFIABLE","?REFERENTIAL"),"_")))))</f>
        <v> </v>
      </c>
      <c r="H2218" s="25" t="str">
        <f>IF(J2218&lt;&gt;1,"",IF(I2218="SBJ","CB","?"))</f>
        <v> </v>
      </c>
      <c r="I2218" s="26" t="str">
        <f>IF(OR(E2218="",E2218="!!!",F2218="NEW"),"",INDEX(B2217:B$2,-1+SUMPRODUCT(MAX(ROW(E2217:E$2)*(E2218=E2217:E$2)))))</f>
        <v> </v>
      </c>
      <c r="J2218" s="26" t="str">
        <f>IF(OR(E2218="",E2218="!!!",F2218="NEW"),"",COUNTBLANK(OFFSET(A$1,,,SUMPRODUCT(MAX(ROW(E$2:E2218)*(E2218=E$2:E2218)))))-COUNTBLANK(OFFSET(A$1,,,SUMPRODUCT(MAX(ROW(E$1:E2217)*(E2=E$1:E2217))))))</f>
        <v> </v>
      </c>
      <c r="K2218" s="26" t="str">
        <f>IF(OR(E2218="",E2218="!!!",F2218="NEW"),"",INDEX(J$1:J2217,SUMPRODUCT(MAX(ROW(E$1:E2217)*(E2218=E$1:E2217)))))</f>
        <v> </v>
      </c>
      <c r="L2218" s="27"/>
    </row>
    <row r="2219" spans="1:12">
      <c r="A2219" s="20" t="s">
        <v>751</v>
      </c>
      <c r="E2219" s="22">
        <f>IF(D2219="?OLD","!!!","")</f>
        <v/>
      </c>
      <c r="F2219" s="23" t="str">
        <f>IF(OR(E2219="",E2219="!!!"),"",IF(NOT(ISNA(VLOOKUP(E2219,E$1:E2218,1,FALSE()))),"OLD",IF(AND(E2219&lt;&gt;"",E2219&lt;&gt;"!!!"),"NEW","")))</f>
        <v> </v>
      </c>
      <c r="G2219" s="24" t="str">
        <f>IF(OR(E2219="",E2219="!!!"),"",IF(OR(J2219=0,AND(J2219=1,K2219=1),AND(J2219=1,I2219="SBJ"),AND(J2219=1,I2219=0)),"?IN_FOCUS",IF(J2219&lt;=2,"?ACTIVATED",IF(J2219&lt;&gt;"","?FAMILIAR",IF(F2219="NEW",IF(ISNA(VLOOKUP(E2219,#REF!,1,FALSE())),"?TYPE_IDENTIFIABLE","?REFERENTIAL"),"_")))))</f>
        <v> </v>
      </c>
      <c r="H2219" s="25" t="str">
        <f>IF(J2219&lt;&gt;1,"",IF(I2219="SBJ","CB","?"))</f>
        <v> </v>
      </c>
      <c r="I2219" s="26" t="str">
        <f>IF(OR(E2219="",E2219="!!!",F2219="NEW"),"",INDEX(B2218:B$2,-1+SUMPRODUCT(MAX(ROW(E2218:E$2)*(E2219=E2218:E$2)))))</f>
        <v> </v>
      </c>
      <c r="J2219" s="26" t="str">
        <f>IF(OR(E2219="",E2219="!!!",F2219="NEW"),"",COUNTBLANK(OFFSET(A$1,,,SUMPRODUCT(MAX(ROW(E$2:E2219)*(E2219=E$2:E2219)))))-COUNTBLANK(OFFSET(A$1,,,SUMPRODUCT(MAX(ROW(E$1:E2218)*(E2=E$1:E2218))))))</f>
        <v> </v>
      </c>
      <c r="K2219" s="26" t="str">
        <f>IF(OR(E2219="",E2219="!!!",F2219="NEW"),"",INDEX(J$1:J2218,SUMPRODUCT(MAX(ROW(E$1:E2218)*(E2219=E$1:E2218)))))</f>
        <v> </v>
      </c>
      <c r="L2219" s="27"/>
    </row>
    <row r="2220" spans="1:12">
      <c r="A2220" s="20" t="s">
        <v>1598</v>
      </c>
      <c r="B2220" s="21" t="s">
        <v>739</v>
      </c>
      <c r="C2220" s="21" t="s">
        <v>753</v>
      </c>
      <c r="D2220" s="21" t="s">
        <v>730</v>
      </c>
      <c r="E2220" s="22">
        <f>IF(D2220="?OLD","!!!","")</f>
        <v/>
      </c>
      <c r="F2220" s="23" t="str">
        <f>IF(OR(E2220="",E2220="!!!"),"",IF(NOT(ISNA(VLOOKUP(E2220,E$1:E2219,1,FALSE()))),"OLD",IF(AND(E2220&lt;&gt;"",E2220&lt;&gt;"!!!"),"NEW","")))</f>
        <v> </v>
      </c>
      <c r="G2220" s="24" t="str">
        <f>IF(OR(E2220="",E2220="!!!"),"",IF(OR(J2220=0,AND(J2220=1,K2220=1),AND(J2220=1,I2220="SBJ"),AND(J2220=1,I2220=0)),"?IN_FOCUS",IF(J2220&lt;=2,"?ACTIVATED",IF(J2220&lt;&gt;"","?FAMILIAR",IF(F2220="NEW",IF(ISNA(VLOOKUP(E2220,#REF!,1,FALSE())),"?TYPE_IDENTIFIABLE","?REFERENTIAL"),"_")))))</f>
        <v> </v>
      </c>
      <c r="H2220" s="25" t="str">
        <f>IF(J2220&lt;&gt;1,"",IF(I2220="SBJ","CB","?"))</f>
        <v> </v>
      </c>
      <c r="I2220" s="26" t="str">
        <f>IF(OR(E2220="",E2220="!!!",F2220="NEW"),"",INDEX(B2219:B$2,-1+SUMPRODUCT(MAX(ROW(E2219:E$2)*(E2220=E2219:E$2)))))</f>
        <v> </v>
      </c>
      <c r="J2220" s="26" t="str">
        <f>IF(OR(E2220="",E2220="!!!",F2220="NEW"),"",COUNTBLANK(OFFSET(A$1,,,SUMPRODUCT(MAX(ROW(E$2:E2220)*(E2220=E$2:E2220)))))-COUNTBLANK(OFFSET(A$1,,,SUMPRODUCT(MAX(ROW(E$1:E2219)*(E2=E$1:E2219))))))</f>
        <v> </v>
      </c>
      <c r="K2220" s="26" t="str">
        <f>IF(OR(E2220="",E2220="!!!",F2220="NEW"),"",INDEX(J$1:J2219,SUMPRODUCT(MAX(ROW(E$1:E2219)*(E2220=E$1:E2219)))))</f>
        <v> </v>
      </c>
      <c r="L2220" s="27"/>
    </row>
    <row r="2221" spans="1:12">
      <c r="A2221" s="20" t="s">
        <v>845</v>
      </c>
      <c r="E2221" s="22">
        <f>IF(D2221="?OLD","!!!","")</f>
        <v/>
      </c>
      <c r="F2221" s="23" t="str">
        <f>IF(OR(E2221="",E2221="!!!"),"",IF(NOT(ISNA(VLOOKUP(E2221,E$1:E2220,1,FALSE()))),"OLD",IF(AND(E2221&lt;&gt;"",E2221&lt;&gt;"!!!"),"NEW","")))</f>
        <v> </v>
      </c>
      <c r="G2221" s="24" t="str">
        <f>IF(OR(E2221="",E2221="!!!"),"",IF(OR(J2221=0,AND(J2221=1,K2221=1),AND(J2221=1,I2221="SBJ"),AND(J2221=1,I2221=0)),"?IN_FOCUS",IF(J2221&lt;=2,"?ACTIVATED",IF(J2221&lt;&gt;"","?FAMILIAR",IF(F2221="NEW",IF(ISNA(VLOOKUP(E2221,#REF!,1,FALSE())),"?TYPE_IDENTIFIABLE","?REFERENTIAL"),"_")))))</f>
        <v> </v>
      </c>
      <c r="H2221" s="25" t="str">
        <f>IF(J2221&lt;&gt;1,"",IF(I2221="SBJ","CB","?"))</f>
        <v> </v>
      </c>
      <c r="I2221" s="26" t="str">
        <f>IF(OR(E2221="",E2221="!!!",F2221="NEW"),"",INDEX(B2220:B$2,-1+SUMPRODUCT(MAX(ROW(E2220:E$2)*(E2221=E2220:E$2)))))</f>
        <v> </v>
      </c>
      <c r="J2221" s="26" t="str">
        <f>IF(OR(E2221="",E2221="!!!",F2221="NEW"),"",COUNTBLANK(OFFSET(A$1,,,SUMPRODUCT(MAX(ROW(E$2:E2221)*(E2221=E$2:E2221)))))-COUNTBLANK(OFFSET(A$1,,,SUMPRODUCT(MAX(ROW(E$1:E2220)*(E2=E$1:E2220))))))</f>
        <v> </v>
      </c>
      <c r="K2221" s="26" t="str">
        <f>IF(OR(E2221="",E2221="!!!",F2221="NEW"),"",INDEX(J$1:J2220,SUMPRODUCT(MAX(ROW(E$1:E2220)*(E2221=E$1:E2220)))))</f>
        <v> </v>
      </c>
      <c r="L2221" s="27"/>
    </row>
    <row r="2222" spans="1:12">
      <c r="A2222" s="20" t="s">
        <v>1580</v>
      </c>
      <c r="B2222" s="21" t="s">
        <v>755</v>
      </c>
      <c r="C2222" s="21" t="s">
        <v>753</v>
      </c>
      <c r="D2222" s="21" t="s">
        <v>730</v>
      </c>
      <c r="E2222" s="22">
        <f>IF(D2222="?OLD","!!!","")</f>
        <v/>
      </c>
      <c r="F2222" s="23" t="str">
        <f>IF(OR(E2222="",E2222="!!!"),"",IF(NOT(ISNA(VLOOKUP(E2222,E$1:E2221,1,FALSE()))),"OLD",IF(AND(E2222&lt;&gt;"",E2222&lt;&gt;"!!!"),"NEW","")))</f>
        <v> </v>
      </c>
      <c r="G2222" s="24" t="str">
        <f>IF(OR(E2222="",E2222="!!!"),"",IF(OR(J2222=0,AND(J2222=1,K2222=1),AND(J2222=1,I2222="SBJ"),AND(J2222=1,I2222=0)),"?IN_FOCUS",IF(J2222&lt;=2,"?ACTIVATED",IF(J2222&lt;&gt;"","?FAMILIAR",IF(F2222="NEW",IF(ISNA(VLOOKUP(E2222,#REF!,1,FALSE())),"?TYPE_IDENTIFIABLE","?REFERENTIAL"),"_")))))</f>
        <v> </v>
      </c>
      <c r="H2222" s="25" t="str">
        <f>IF(J2222&lt;&gt;1,"",IF(I2222="SBJ","CB","?"))</f>
        <v> </v>
      </c>
      <c r="I2222" s="26" t="str">
        <f>IF(OR(E2222="",E2222="!!!",F2222="NEW"),"",INDEX(B2221:B$2,-1+SUMPRODUCT(MAX(ROW(E2221:E$2)*(E2222=E2221:E$2)))))</f>
        <v> </v>
      </c>
      <c r="J2222" s="26" t="str">
        <f>IF(OR(E2222="",E2222="!!!",F2222="NEW"),"",COUNTBLANK(OFFSET(A$1,,,SUMPRODUCT(MAX(ROW(E$2:E2222)*(E2222=E$2:E2222)))))-COUNTBLANK(OFFSET(A$1,,,SUMPRODUCT(MAX(ROW(E$1:E2221)*(E2=E$1:E2221))))))</f>
        <v> </v>
      </c>
      <c r="K2222" s="26" t="str">
        <f>IF(OR(E2222="",E2222="!!!",F2222="NEW"),"",INDEX(J$1:J2221,SUMPRODUCT(MAX(ROW(E$1:E2221)*(E2222=E$1:E2221)))))</f>
        <v> </v>
      </c>
      <c r="L2222" s="27"/>
    </row>
    <row r="2223" spans="1:12">
      <c r="A2223" s="20" t="s">
        <v>1599</v>
      </c>
      <c r="E2223" s="22">
        <f>IF(D2223="?OLD","!!!","")</f>
        <v/>
      </c>
      <c r="F2223" s="23" t="str">
        <f>IF(OR(E2223="",E2223="!!!"),"",IF(NOT(ISNA(VLOOKUP(E2223,E$1:E2222,1,FALSE()))),"OLD",IF(AND(E2223&lt;&gt;"",E2223&lt;&gt;"!!!"),"NEW","")))</f>
        <v> </v>
      </c>
      <c r="G2223" s="24" t="str">
        <f>IF(OR(E2223="",E2223="!!!"),"",IF(OR(J2223=0,AND(J2223=1,K2223=1),AND(J2223=1,I2223="SBJ"),AND(J2223=1,I2223=0)),"?IN_FOCUS",IF(J2223&lt;=2,"?ACTIVATED",IF(J2223&lt;&gt;"","?FAMILIAR",IF(F2223="NEW",IF(ISNA(VLOOKUP(E2223,#REF!,1,FALSE())),"?TYPE_IDENTIFIABLE","?REFERENTIAL"),"_")))))</f>
        <v> </v>
      </c>
      <c r="H2223" s="25" t="str">
        <f>IF(J2223&lt;&gt;1,"",IF(I2223="SBJ","CB","?"))</f>
        <v> </v>
      </c>
      <c r="I2223" s="26" t="str">
        <f>IF(OR(E2223="",E2223="!!!",F2223="NEW"),"",INDEX(B2222:B$2,-1+SUMPRODUCT(MAX(ROW(E2222:E$2)*(E2223=E2222:E$2)))))</f>
        <v> </v>
      </c>
      <c r="J2223" s="26" t="str">
        <f>IF(OR(E2223="",E2223="!!!",F2223="NEW"),"",COUNTBLANK(OFFSET(A$1,,,SUMPRODUCT(MAX(ROW(E$2:E2223)*(E2223=E$2:E2223)))))-COUNTBLANK(OFFSET(A$1,,,SUMPRODUCT(MAX(ROW(E$1:E2222)*(E2=E$1:E2222))))))</f>
        <v> </v>
      </c>
      <c r="K2223" s="26" t="str">
        <f>IF(OR(E2223="",E2223="!!!",F2223="NEW"),"",INDEX(J$1:J2222,SUMPRODUCT(MAX(ROW(E$1:E2222)*(E2223=E$1:E2222)))))</f>
        <v> </v>
      </c>
      <c r="L2223" s="27"/>
    </row>
    <row r="2224" spans="1:12">
      <c r="A2224" s="20" t="s">
        <v>985</v>
      </c>
      <c r="E2224" s="22">
        <f>IF(D2224="?OLD","!!!","")</f>
        <v/>
      </c>
      <c r="F2224" s="23" t="str">
        <f>IF(OR(E2224="",E2224="!!!"),"",IF(NOT(ISNA(VLOOKUP(E2224,E$1:E2223,1,FALSE()))),"OLD",IF(AND(E2224&lt;&gt;"",E2224&lt;&gt;"!!!"),"NEW","")))</f>
        <v> </v>
      </c>
      <c r="G2224" s="24" t="str">
        <f>IF(OR(E2224="",E2224="!!!"),"",IF(OR(J2224=0,AND(J2224=1,K2224=1),AND(J2224=1,I2224="SBJ"),AND(J2224=1,I2224=0)),"?IN_FOCUS",IF(J2224&lt;=2,"?ACTIVATED",IF(J2224&lt;&gt;"","?FAMILIAR",IF(F2224="NEW",IF(ISNA(VLOOKUP(E2224,#REF!,1,FALSE())),"?TYPE_IDENTIFIABLE","?REFERENTIAL"),"_")))))</f>
        <v> </v>
      </c>
      <c r="H2224" s="25" t="str">
        <f>IF(J2224&lt;&gt;1,"",IF(I2224="SBJ","CB","?"))</f>
        <v> </v>
      </c>
      <c r="I2224" s="26" t="str">
        <f>IF(OR(E2224="",E2224="!!!",F2224="NEW"),"",INDEX(B2223:B$2,-1+SUMPRODUCT(MAX(ROW(E2223:E$2)*(E2224=E2223:E$2)))))</f>
        <v> </v>
      </c>
      <c r="J2224" s="26" t="str">
        <f>IF(OR(E2224="",E2224="!!!",F2224="NEW"),"",COUNTBLANK(OFFSET(A$1,,,SUMPRODUCT(MAX(ROW(E$2:E2224)*(E2224=E$2:E2224)))))-COUNTBLANK(OFFSET(A$1,,,SUMPRODUCT(MAX(ROW(E$1:E2223)*(E2=E$1:E2223))))))</f>
        <v> </v>
      </c>
      <c r="K2224" s="26" t="str">
        <f>IF(OR(E2224="",E2224="!!!",F2224="NEW"),"",INDEX(J$1:J2223,SUMPRODUCT(MAX(ROW(E$1:E2223)*(E2224=E$1:E2223)))))</f>
        <v> </v>
      </c>
      <c r="L2224" s="27"/>
    </row>
    <row r="2225" spans="1:12">
      <c r="A2225" s="20" t="s">
        <v>759</v>
      </c>
      <c r="E2225" s="22">
        <f>IF(D2225="?OLD","!!!","")</f>
        <v/>
      </c>
      <c r="F2225" s="23" t="str">
        <f>IF(OR(E2225="",E2225="!!!"),"",IF(NOT(ISNA(VLOOKUP(E2225,E$1:E2224,1,FALSE()))),"OLD",IF(AND(E2225&lt;&gt;"",E2225&lt;&gt;"!!!"),"NEW","")))</f>
        <v> </v>
      </c>
      <c r="G2225" s="24" t="str">
        <f>IF(OR(E2225="",E2225="!!!"),"",IF(OR(J2225=0,AND(J2225=1,K2225=1),AND(J2225=1,I2225="SBJ"),AND(J2225=1,I2225=0)),"?IN_FOCUS",IF(J2225&lt;=2,"?ACTIVATED",IF(J2225&lt;&gt;"","?FAMILIAR",IF(F2225="NEW",IF(ISNA(VLOOKUP(E2225,#REF!,1,FALSE())),"?TYPE_IDENTIFIABLE","?REFERENTIAL"),"_")))))</f>
        <v> </v>
      </c>
      <c r="H2225" s="25" t="str">
        <f>IF(J2225&lt;&gt;1,"",IF(I2225="SBJ","CB","?"))</f>
        <v> </v>
      </c>
      <c r="I2225" s="26" t="str">
        <f>IF(OR(E2225="",E2225="!!!",F2225="NEW"),"",INDEX(B2224:B$2,-1+SUMPRODUCT(MAX(ROW(E2224:E$2)*(E2225=E2224:E$2)))))</f>
        <v> </v>
      </c>
      <c r="J2225" s="26" t="str">
        <f>IF(OR(E2225="",E2225="!!!",F2225="NEW"),"",COUNTBLANK(OFFSET(A$1,,,SUMPRODUCT(MAX(ROW(E$2:E2225)*(E2225=E$2:E2225)))))-COUNTBLANK(OFFSET(A$1,,,SUMPRODUCT(MAX(ROW(E$1:E2224)*(E2=E$1:E2224))))))</f>
        <v> </v>
      </c>
      <c r="K2225" s="26" t="str">
        <f>IF(OR(E2225="",E2225="!!!",F2225="NEW"),"",INDEX(J$1:J2224,SUMPRODUCT(MAX(ROW(E$1:E2224)*(E2225=E$1:E2224)))))</f>
        <v> </v>
      </c>
      <c r="L2225" s="27"/>
    </row>
    <row r="2226" spans="1:12">
      <c r="A2226" s="20" t="s">
        <v>898</v>
      </c>
      <c r="E2226" s="22">
        <f>IF(D2226="?OLD","!!!","")</f>
        <v/>
      </c>
      <c r="F2226" s="23" t="str">
        <f>IF(OR(E2226="",E2226="!!!"),"",IF(NOT(ISNA(VLOOKUP(E2226,E$1:E2225,1,FALSE()))),"OLD",IF(AND(E2226&lt;&gt;"",E2226&lt;&gt;"!!!"),"NEW","")))</f>
        <v> </v>
      </c>
      <c r="G2226" s="24" t="str">
        <f>IF(OR(E2226="",E2226="!!!"),"",IF(OR(J2226=0,AND(J2226=1,K2226=1),AND(J2226=1,I2226="SBJ"),AND(J2226=1,I2226=0)),"?IN_FOCUS",IF(J2226&lt;=2,"?ACTIVATED",IF(J2226&lt;&gt;"","?FAMILIAR",IF(F2226="NEW",IF(ISNA(VLOOKUP(E2226,#REF!,1,FALSE())),"?TYPE_IDENTIFIABLE","?REFERENTIAL"),"_")))))</f>
        <v> </v>
      </c>
      <c r="H2226" s="25" t="str">
        <f>IF(J2226&lt;&gt;1,"",IF(I2226="SBJ","CB","?"))</f>
        <v> </v>
      </c>
      <c r="I2226" s="26" t="str">
        <f>IF(OR(E2226="",E2226="!!!",F2226="NEW"),"",INDEX(B2225:B$2,-1+SUMPRODUCT(MAX(ROW(E2225:E$2)*(E2226=E2225:E$2)))))</f>
        <v> </v>
      </c>
      <c r="J2226" s="26" t="str">
        <f>IF(OR(E2226="",E2226="!!!",F2226="NEW"),"",COUNTBLANK(OFFSET(A$1,,,SUMPRODUCT(MAX(ROW(E$2:E2226)*(E2226=E$2:E2226)))))-COUNTBLANK(OFFSET(A$1,,,SUMPRODUCT(MAX(ROW(E$1:E2225)*(E2=E$1:E2225))))))</f>
        <v> </v>
      </c>
      <c r="K2226" s="26" t="str">
        <f>IF(OR(E2226="",E2226="!!!",F2226="NEW"),"",INDEX(J$1:J2225,SUMPRODUCT(MAX(ROW(E$1:E2225)*(E2226=E$1:E2225)))))</f>
        <v> </v>
      </c>
      <c r="L2226" s="27"/>
    </row>
    <row r="2227" spans="1:12">
      <c r="A2227" s="20" t="s">
        <v>750</v>
      </c>
      <c r="B2227" s="21" t="s">
        <v>796</v>
      </c>
      <c r="C2227" s="21" t="s">
        <v>729</v>
      </c>
      <c r="D2227" s="21" t="s">
        <v>730</v>
      </c>
      <c r="E2227" s="22">
        <f>IF(D2227="?OLD","!!!","")</f>
        <v/>
      </c>
      <c r="F2227" s="23" t="str">
        <f>IF(OR(E2227="",E2227="!!!"),"",IF(NOT(ISNA(VLOOKUP(E2227,E$1:E2226,1,FALSE()))),"OLD",IF(AND(E2227&lt;&gt;"",E2227&lt;&gt;"!!!"),"NEW","")))</f>
        <v> </v>
      </c>
      <c r="G2227" s="24" t="str">
        <f>IF(OR(E2227="",E2227="!!!"),"",IF(OR(J2227=0,AND(J2227=1,K2227=1),AND(J2227=1,I2227="SBJ"),AND(J2227=1,I2227=0)),"?IN_FOCUS",IF(J2227&lt;=2,"?ACTIVATED",IF(J2227&lt;&gt;"","?FAMILIAR",IF(F2227="NEW",IF(ISNA(VLOOKUP(E2227,#REF!,1,FALSE())),"?TYPE_IDENTIFIABLE","?REFERENTIAL"),"_")))))</f>
        <v> </v>
      </c>
      <c r="H2227" s="25" t="str">
        <f>IF(J2227&lt;&gt;1,"",IF(I2227="SBJ","CB","?"))</f>
        <v> </v>
      </c>
      <c r="I2227" s="26" t="str">
        <f>IF(OR(E2227="",E2227="!!!",F2227="NEW"),"",INDEX(B2226:B$2,-1+SUMPRODUCT(MAX(ROW(E2226:E$2)*(E2227=E2226:E$2)))))</f>
        <v> </v>
      </c>
      <c r="J2227" s="26" t="str">
        <f>IF(OR(E2227="",E2227="!!!",F2227="NEW"),"",COUNTBLANK(OFFSET(A$1,,,SUMPRODUCT(MAX(ROW(E$2:E2227)*(E2227=E$2:E2227)))))-COUNTBLANK(OFFSET(A$1,,,SUMPRODUCT(MAX(ROW(E$1:E2226)*(E2=E$1:E2226))))))</f>
        <v> </v>
      </c>
      <c r="K2227" s="26" t="str">
        <f>IF(OR(E2227="",E2227="!!!",F2227="NEW"),"",INDEX(J$1:J2226,SUMPRODUCT(MAX(ROW(E$1:E2226)*(E2227=E$1:E2226)))))</f>
        <v> </v>
      </c>
      <c r="L2227" s="27"/>
    </row>
    <row r="2228" spans="1:12">
      <c r="A2228" s="20" t="s">
        <v>1600</v>
      </c>
      <c r="E2228" s="22">
        <f>IF(D2228="?OLD","!!!","")</f>
        <v/>
      </c>
      <c r="F2228" s="23" t="str">
        <f>IF(OR(E2228="",E2228="!!!"),"",IF(NOT(ISNA(VLOOKUP(E2228,E$1:E2227,1,FALSE()))),"OLD",IF(AND(E2228&lt;&gt;"",E2228&lt;&gt;"!!!"),"NEW","")))</f>
        <v> </v>
      </c>
      <c r="G2228" s="24" t="str">
        <f>IF(OR(E2228="",E2228="!!!"),"",IF(OR(J2228=0,AND(J2228=1,K2228=1),AND(J2228=1,I2228="SBJ"),AND(J2228=1,I2228=0)),"?IN_FOCUS",IF(J2228&lt;=2,"?ACTIVATED",IF(J2228&lt;&gt;"","?FAMILIAR",IF(F2228="NEW",IF(ISNA(VLOOKUP(E2228,#REF!,1,FALSE())),"?TYPE_IDENTIFIABLE","?REFERENTIAL"),"_")))))</f>
        <v> </v>
      </c>
      <c r="H2228" s="25" t="str">
        <f>IF(J2228&lt;&gt;1,"",IF(I2228="SBJ","CB","?"))</f>
        <v> </v>
      </c>
      <c r="I2228" s="26" t="str">
        <f>IF(OR(E2228="",E2228="!!!",F2228="NEW"),"",INDEX(B2227:B$2,-1+SUMPRODUCT(MAX(ROW(E2227:E$2)*(E2228=E2227:E$2)))))</f>
        <v> </v>
      </c>
      <c r="J2228" s="26" t="str">
        <f>IF(OR(E2228="",E2228="!!!",F2228="NEW"),"",COUNTBLANK(OFFSET(A$1,,,SUMPRODUCT(MAX(ROW(E$2:E2228)*(E2228=E$2:E2228)))))-COUNTBLANK(OFFSET(A$1,,,SUMPRODUCT(MAX(ROW(E$1:E2227)*(E2=E$1:E2227))))))</f>
        <v> </v>
      </c>
      <c r="K2228" s="26" t="str">
        <f>IF(OR(E2228="",E2228="!!!",F2228="NEW"),"",INDEX(J$1:J2227,SUMPRODUCT(MAX(ROW(E$1:E2227)*(E2228=E$1:E2227)))))</f>
        <v> </v>
      </c>
      <c r="L2228" s="27"/>
    </row>
    <row r="2229" spans="1:12">
      <c r="A2229" s="20" t="s">
        <v>1348</v>
      </c>
      <c r="E2229" s="22">
        <f>IF(D2229="?OLD","!!!","")</f>
        <v/>
      </c>
      <c r="F2229" s="23" t="str">
        <f>IF(OR(E2229="",E2229="!!!"),"",IF(NOT(ISNA(VLOOKUP(E2229,E$1:E2228,1,FALSE()))),"OLD",IF(AND(E2229&lt;&gt;"",E2229&lt;&gt;"!!!"),"NEW","")))</f>
        <v> </v>
      </c>
      <c r="G2229" s="24" t="str">
        <f>IF(OR(E2229="",E2229="!!!"),"",IF(OR(J2229=0,AND(J2229=1,K2229=1),AND(J2229=1,I2229="SBJ"),AND(J2229=1,I2229=0)),"?IN_FOCUS",IF(J2229&lt;=2,"?ACTIVATED",IF(J2229&lt;&gt;"","?FAMILIAR",IF(F2229="NEW",IF(ISNA(VLOOKUP(E2229,#REF!,1,FALSE())),"?TYPE_IDENTIFIABLE","?REFERENTIAL"),"_")))))</f>
        <v> </v>
      </c>
      <c r="H2229" s="25" t="str">
        <f>IF(J2229&lt;&gt;1,"",IF(I2229="SBJ","CB","?"))</f>
        <v> </v>
      </c>
      <c r="I2229" s="26" t="str">
        <f>IF(OR(E2229="",E2229="!!!",F2229="NEW"),"",INDEX(B2228:B$2,-1+SUMPRODUCT(MAX(ROW(E2228:E$2)*(E2229=E2228:E$2)))))</f>
        <v> </v>
      </c>
      <c r="J2229" s="26" t="str">
        <f>IF(OR(E2229="",E2229="!!!",F2229="NEW"),"",COUNTBLANK(OFFSET(A$1,,,SUMPRODUCT(MAX(ROW(E$2:E2229)*(E2229=E$2:E2229)))))-COUNTBLANK(OFFSET(A$1,,,SUMPRODUCT(MAX(ROW(E$1:E2228)*(E2=E$1:E2228))))))</f>
        <v> </v>
      </c>
      <c r="K2229" s="26" t="str">
        <f>IF(OR(E2229="",E2229="!!!",F2229="NEW"),"",INDEX(J$1:J2228,SUMPRODUCT(MAX(ROW(E$1:E2228)*(E2229=E$1:E2228)))))</f>
        <v> </v>
      </c>
      <c r="L2229" s="27"/>
    </row>
    <row r="2230" spans="1:12">
      <c r="A2230" s="20" t="s">
        <v>776</v>
      </c>
      <c r="E2230" s="22">
        <f>IF(D2230="?OLD","!!!","")</f>
        <v/>
      </c>
      <c r="F2230" s="23" t="str">
        <f>IF(OR(E2230="",E2230="!!!"),"",IF(NOT(ISNA(VLOOKUP(E2230,E$1:E2229,1,FALSE()))),"OLD",IF(AND(E2230&lt;&gt;"",E2230&lt;&gt;"!!!"),"NEW","")))</f>
        <v> </v>
      </c>
      <c r="G2230" s="24" t="str">
        <f>IF(OR(E2230="",E2230="!!!"),"",IF(OR(J2230=0,AND(J2230=1,K2230=1),AND(J2230=1,I2230="SBJ"),AND(J2230=1,I2230=0)),"?IN_FOCUS",IF(J2230&lt;=2,"?ACTIVATED",IF(J2230&lt;&gt;"","?FAMILIAR",IF(F2230="NEW",IF(ISNA(VLOOKUP(E2230,#REF!,1,FALSE())),"?TYPE_IDENTIFIABLE","?REFERENTIAL"),"_")))))</f>
        <v> </v>
      </c>
      <c r="H2230" s="25" t="str">
        <f>IF(J2230&lt;&gt;1,"",IF(I2230="SBJ","CB","?"))</f>
        <v> </v>
      </c>
      <c r="I2230" s="26" t="str">
        <f>IF(OR(E2230="",E2230="!!!",F2230="NEW"),"",INDEX(B2229:B$2,-1+SUMPRODUCT(MAX(ROW(E2229:E$2)*(E2230=E2229:E$2)))))</f>
        <v> </v>
      </c>
      <c r="J2230" s="26" t="str">
        <f>IF(OR(E2230="",E2230="!!!",F2230="NEW"),"",COUNTBLANK(OFFSET(A$1,,,SUMPRODUCT(MAX(ROW(E$2:E2230)*(E2230=E$2:E2230)))))-COUNTBLANK(OFFSET(A$1,,,SUMPRODUCT(MAX(ROW(E$1:E2229)*(E2=E$1:E2229))))))</f>
        <v> </v>
      </c>
      <c r="K2230" s="26" t="str">
        <f>IF(OR(E2230="",E2230="!!!",F2230="NEW"),"",INDEX(J$1:J2229,SUMPRODUCT(MAX(ROW(E$1:E2229)*(E2230=E$1:E2229)))))</f>
        <v> </v>
      </c>
      <c r="L2230" s="27"/>
    </row>
    <row r="2231" spans="1:12">
      <c r="A2231" s="20" t="s">
        <v>1601</v>
      </c>
      <c r="B2231" s="21" t="s">
        <v>739</v>
      </c>
      <c r="C2231" s="21" t="s">
        <v>753</v>
      </c>
      <c r="D2231" s="21" t="s">
        <v>730</v>
      </c>
      <c r="E2231" s="22">
        <f>IF(D2231="?OLD","!!!","")</f>
        <v/>
      </c>
      <c r="F2231" s="23" t="str">
        <f>IF(OR(E2231="",E2231="!!!"),"",IF(NOT(ISNA(VLOOKUP(E2231,E$1:E2230,1,FALSE()))),"OLD",IF(AND(E2231&lt;&gt;"",E2231&lt;&gt;"!!!"),"NEW","")))</f>
        <v> </v>
      </c>
      <c r="G2231" s="24" t="str">
        <f>IF(OR(E2231="",E2231="!!!"),"",IF(OR(J2231=0,AND(J2231=1,K2231=1),AND(J2231=1,I2231="SBJ"),AND(J2231=1,I2231=0)),"?IN_FOCUS",IF(J2231&lt;=2,"?ACTIVATED",IF(J2231&lt;&gt;"","?FAMILIAR",IF(F2231="NEW",IF(ISNA(VLOOKUP(E2231,#REF!,1,FALSE())),"?TYPE_IDENTIFIABLE","?REFERENTIAL"),"_")))))</f>
        <v> </v>
      </c>
      <c r="H2231" s="25" t="str">
        <f>IF(J2231&lt;&gt;1,"",IF(I2231="SBJ","CB","?"))</f>
        <v> </v>
      </c>
      <c r="I2231" s="26" t="str">
        <f>IF(OR(E2231="",E2231="!!!",F2231="NEW"),"",INDEX(B2230:B$2,-1+SUMPRODUCT(MAX(ROW(E2230:E$2)*(E2231=E2230:E$2)))))</f>
        <v> </v>
      </c>
      <c r="J2231" s="26" t="str">
        <f>IF(OR(E2231="",E2231="!!!",F2231="NEW"),"",COUNTBLANK(OFFSET(A$1,,,SUMPRODUCT(MAX(ROW(E$2:E2231)*(E2231=E$2:E2231)))))-COUNTBLANK(OFFSET(A$1,,,SUMPRODUCT(MAX(ROW(E$1:E2230)*(E2=E$1:E2230))))))</f>
        <v> </v>
      </c>
      <c r="K2231" s="26" t="str">
        <f>IF(OR(E2231="",E2231="!!!",F2231="NEW"),"",INDEX(J$1:J2230,SUMPRODUCT(MAX(ROW(E$1:E2230)*(E2231=E$1:E2230)))))</f>
        <v> </v>
      </c>
      <c r="L2231" s="27"/>
    </row>
    <row r="2232" spans="1:12">
      <c r="A2232" s="20" t="s">
        <v>1602</v>
      </c>
      <c r="E2232" s="22">
        <f>IF(D2232="?OLD","!!!","")</f>
        <v/>
      </c>
      <c r="F2232" s="23" t="str">
        <f>IF(OR(E2232="",E2232="!!!"),"",IF(NOT(ISNA(VLOOKUP(E2232,E$1:E2231,1,FALSE()))),"OLD",IF(AND(E2232&lt;&gt;"",E2232&lt;&gt;"!!!"),"NEW","")))</f>
        <v> </v>
      </c>
      <c r="G2232" s="24" t="str">
        <f>IF(OR(E2232="",E2232="!!!"),"",IF(OR(J2232=0,AND(J2232=1,K2232=1),AND(J2232=1,I2232="SBJ"),AND(J2232=1,I2232=0)),"?IN_FOCUS",IF(J2232&lt;=2,"?ACTIVATED",IF(J2232&lt;&gt;"","?FAMILIAR",IF(F2232="NEW",IF(ISNA(VLOOKUP(E2232,#REF!,1,FALSE())),"?TYPE_IDENTIFIABLE","?REFERENTIAL"),"_")))))</f>
        <v> </v>
      </c>
      <c r="H2232" s="25" t="str">
        <f>IF(J2232&lt;&gt;1,"",IF(I2232="SBJ","CB","?"))</f>
        <v> </v>
      </c>
      <c r="I2232" s="26" t="str">
        <f>IF(OR(E2232="",E2232="!!!",F2232="NEW"),"",INDEX(B2231:B$2,-1+SUMPRODUCT(MAX(ROW(E2231:E$2)*(E2232=E2231:E$2)))))</f>
        <v> </v>
      </c>
      <c r="J2232" s="26" t="str">
        <f>IF(OR(E2232="",E2232="!!!",F2232="NEW"),"",COUNTBLANK(OFFSET(A$1,,,SUMPRODUCT(MAX(ROW(E$2:E2232)*(E2232=E$2:E2232)))))-COUNTBLANK(OFFSET(A$1,,,SUMPRODUCT(MAX(ROW(E$1:E2231)*(E2=E$1:E2231))))))</f>
        <v> </v>
      </c>
      <c r="K2232" s="26" t="str">
        <f>IF(OR(E2232="",E2232="!!!",F2232="NEW"),"",INDEX(J$1:J2231,SUMPRODUCT(MAX(ROW(E$1:E2231)*(E2232=E$1:E2231)))))</f>
        <v> </v>
      </c>
      <c r="L2232" s="27"/>
    </row>
    <row r="2233" spans="1:12">
      <c r="A2233" s="20" t="s">
        <v>811</v>
      </c>
      <c r="E2233" s="22">
        <f>IF(D2233="?OLD","!!!","")</f>
        <v/>
      </c>
      <c r="F2233" s="23" t="str">
        <f>IF(OR(E2233="",E2233="!!!"),"",IF(NOT(ISNA(VLOOKUP(E2233,E$1:E2232,1,FALSE()))),"OLD",IF(AND(E2233&lt;&gt;"",E2233&lt;&gt;"!!!"),"NEW","")))</f>
        <v> </v>
      </c>
      <c r="G2233" s="24" t="str">
        <f>IF(OR(E2233="",E2233="!!!"),"",IF(OR(J2233=0,AND(J2233=1,K2233=1),AND(J2233=1,I2233="SBJ"),AND(J2233=1,I2233=0)),"?IN_FOCUS",IF(J2233&lt;=2,"?ACTIVATED",IF(J2233&lt;&gt;"","?FAMILIAR",IF(F2233="NEW",IF(ISNA(VLOOKUP(E2233,#REF!,1,FALSE())),"?TYPE_IDENTIFIABLE","?REFERENTIAL"),"_")))))</f>
        <v> </v>
      </c>
      <c r="H2233" s="25" t="str">
        <f>IF(J2233&lt;&gt;1,"",IF(I2233="SBJ","CB","?"))</f>
        <v> </v>
      </c>
      <c r="I2233" s="26" t="str">
        <f>IF(OR(E2233="",E2233="!!!",F2233="NEW"),"",INDEX(B2232:B$2,-1+SUMPRODUCT(MAX(ROW(E2232:E$2)*(E2233=E2232:E$2)))))</f>
        <v> </v>
      </c>
      <c r="J2233" s="26" t="str">
        <f>IF(OR(E2233="",E2233="!!!",F2233="NEW"),"",COUNTBLANK(OFFSET(A$1,,,SUMPRODUCT(MAX(ROW(E$2:E2233)*(E2233=E$2:E2233)))))-COUNTBLANK(OFFSET(A$1,,,SUMPRODUCT(MAX(ROW(E$1:E2232)*(E2=E$1:E2232))))))</f>
        <v> </v>
      </c>
      <c r="K2233" s="26" t="str">
        <f>IF(OR(E2233="",E2233="!!!",F2233="NEW"),"",INDEX(J$1:J2232,SUMPRODUCT(MAX(ROW(E$1:E2232)*(E2233=E$1:E2232)))))</f>
        <v> </v>
      </c>
      <c r="L2233" s="27"/>
    </row>
    <row r="2234" spans="1:12">
      <c r="A2234" s="20" t="s">
        <v>759</v>
      </c>
      <c r="E2234" s="22">
        <f>IF(D2234="?OLD","!!!","")</f>
        <v/>
      </c>
      <c r="F2234" s="23" t="str">
        <f>IF(OR(E2234="",E2234="!!!"),"",IF(NOT(ISNA(VLOOKUP(E2234,E$1:E2233,1,FALSE()))),"OLD",IF(AND(E2234&lt;&gt;"",E2234&lt;&gt;"!!!"),"NEW","")))</f>
        <v> </v>
      </c>
      <c r="G2234" s="24" t="str">
        <f>IF(OR(E2234="",E2234="!!!"),"",IF(OR(J2234=0,AND(J2234=1,K2234=1),AND(J2234=1,I2234="SBJ"),AND(J2234=1,I2234=0)),"?IN_FOCUS",IF(J2234&lt;=2,"?ACTIVATED",IF(J2234&lt;&gt;"","?FAMILIAR",IF(F2234="NEW",IF(ISNA(VLOOKUP(E2234,#REF!,1,FALSE())),"?TYPE_IDENTIFIABLE","?REFERENTIAL"),"_")))))</f>
        <v> </v>
      </c>
      <c r="H2234" s="25" t="str">
        <f>IF(J2234&lt;&gt;1,"",IF(I2234="SBJ","CB","?"))</f>
        <v> </v>
      </c>
      <c r="I2234" s="26" t="str">
        <f>IF(OR(E2234="",E2234="!!!",F2234="NEW"),"",INDEX(B2233:B$2,-1+SUMPRODUCT(MAX(ROW(E2233:E$2)*(E2234=E2233:E$2)))))</f>
        <v> </v>
      </c>
      <c r="J2234" s="26" t="str">
        <f>IF(OR(E2234="",E2234="!!!",F2234="NEW"),"",COUNTBLANK(OFFSET(A$1,,,SUMPRODUCT(MAX(ROW(E$2:E2234)*(E2234=E$2:E2234)))))-COUNTBLANK(OFFSET(A$1,,,SUMPRODUCT(MAX(ROW(E$1:E2233)*(E2=E$1:E2233))))))</f>
        <v> </v>
      </c>
      <c r="K2234" s="26" t="str">
        <f>IF(OR(E2234="",E2234="!!!",F2234="NEW"),"",INDEX(J$1:J2233,SUMPRODUCT(MAX(ROW(E$1:E2233)*(E2234=E$1:E2233)))))</f>
        <v> </v>
      </c>
      <c r="L2234" s="27"/>
    </row>
    <row r="2235" spans="1:12">
      <c r="A2235" s="20" t="s">
        <v>920</v>
      </c>
      <c r="E2235" s="22">
        <f>IF(D2235="?OLD","!!!","")</f>
        <v/>
      </c>
      <c r="F2235" s="23" t="str">
        <f>IF(OR(E2235="",E2235="!!!"),"",IF(NOT(ISNA(VLOOKUP(E2235,E$1:E2234,1,FALSE()))),"OLD",IF(AND(E2235&lt;&gt;"",E2235&lt;&gt;"!!!"),"NEW","")))</f>
        <v> </v>
      </c>
      <c r="G2235" s="24" t="str">
        <f>IF(OR(E2235="",E2235="!!!"),"",IF(OR(J2235=0,AND(J2235=1,K2235=1),AND(J2235=1,I2235="SBJ"),AND(J2235=1,I2235=0)),"?IN_FOCUS",IF(J2235&lt;=2,"?ACTIVATED",IF(J2235&lt;&gt;"","?FAMILIAR",IF(F2235="NEW",IF(ISNA(VLOOKUP(E2235,#REF!,1,FALSE())),"?TYPE_IDENTIFIABLE","?REFERENTIAL"),"_")))))</f>
        <v> </v>
      </c>
      <c r="H2235" s="25" t="str">
        <f>IF(J2235&lt;&gt;1,"",IF(I2235="SBJ","CB","?"))</f>
        <v> </v>
      </c>
      <c r="I2235" s="26" t="str">
        <f>IF(OR(E2235="",E2235="!!!",F2235="NEW"),"",INDEX(B2234:B$2,-1+SUMPRODUCT(MAX(ROW(E2234:E$2)*(E2235=E2234:E$2)))))</f>
        <v> </v>
      </c>
      <c r="J2235" s="26" t="str">
        <f>IF(OR(E2235="",E2235="!!!",F2235="NEW"),"",COUNTBLANK(OFFSET(A$1,,,SUMPRODUCT(MAX(ROW(E$2:E2235)*(E2235=E$2:E2235)))))-COUNTBLANK(OFFSET(A$1,,,SUMPRODUCT(MAX(ROW(E$1:E2234)*(E2=E$1:E2234))))))</f>
        <v> </v>
      </c>
      <c r="K2235" s="26" t="str">
        <f>IF(OR(E2235="",E2235="!!!",F2235="NEW"),"",INDEX(J$1:J2234,SUMPRODUCT(MAX(ROW(E$1:E2234)*(E2235=E$1:E2234)))))</f>
        <v> </v>
      </c>
      <c r="L2235" s="27"/>
    </row>
    <row r="2236" spans="1:12">
      <c r="A2236" s="20" t="s">
        <v>859</v>
      </c>
      <c r="B2236" s="21" t="s">
        <v>788</v>
      </c>
      <c r="C2236" s="21" t="s">
        <v>789</v>
      </c>
      <c r="D2236" s="21" t="s">
        <v>730</v>
      </c>
      <c r="E2236" s="22">
        <f>IF(D2236="?OLD","!!!","")</f>
        <v/>
      </c>
      <c r="F2236" s="23" t="str">
        <f>IF(OR(E2236="",E2236="!!!"),"",IF(NOT(ISNA(VLOOKUP(E2236,E$1:E2235,1,FALSE()))),"OLD",IF(AND(E2236&lt;&gt;"",E2236&lt;&gt;"!!!"),"NEW","")))</f>
        <v> </v>
      </c>
      <c r="G2236" s="24" t="str">
        <f>IF(OR(E2236="",E2236="!!!"),"",IF(OR(J2236=0,AND(J2236=1,K2236=1),AND(J2236=1,I2236="SBJ"),AND(J2236=1,I2236=0)),"?IN_FOCUS",IF(J2236&lt;=2,"?ACTIVATED",IF(J2236&lt;&gt;"","?FAMILIAR",IF(F2236="NEW",IF(ISNA(VLOOKUP(E2236,#REF!,1,FALSE())),"?TYPE_IDENTIFIABLE","?REFERENTIAL"),"_")))))</f>
        <v> </v>
      </c>
      <c r="H2236" s="25" t="str">
        <f>IF(J2236&lt;&gt;1,"",IF(I2236="SBJ","CB","?"))</f>
        <v> </v>
      </c>
      <c r="I2236" s="26" t="str">
        <f>IF(OR(E2236="",E2236="!!!",F2236="NEW"),"",INDEX(B2235:B$2,-1+SUMPRODUCT(MAX(ROW(E2235:E$2)*(E2236=E2235:E$2)))))</f>
        <v> </v>
      </c>
      <c r="J2236" s="26" t="str">
        <f>IF(OR(E2236="",E2236="!!!",F2236="NEW"),"",COUNTBLANK(OFFSET(A$1,,,SUMPRODUCT(MAX(ROW(E$2:E2236)*(E2236=E$2:E2236)))))-COUNTBLANK(OFFSET(A$1,,,SUMPRODUCT(MAX(ROW(E$1:E2235)*(E2=E$1:E2235))))))</f>
        <v> </v>
      </c>
      <c r="K2236" s="26" t="str">
        <f>IF(OR(E2236="",E2236="!!!",F2236="NEW"),"",INDEX(J$1:J2235,SUMPRODUCT(MAX(ROW(E$1:E2235)*(E2236=E$1:E2235)))))</f>
        <v> </v>
      </c>
      <c r="L2236" s="27"/>
    </row>
    <row r="2237" spans="1:12">
      <c r="A2237" s="20" t="s">
        <v>840</v>
      </c>
      <c r="E2237" s="22">
        <f>IF(D2237="?OLD","!!!","")</f>
        <v/>
      </c>
      <c r="F2237" s="23" t="str">
        <f>IF(OR(E2237="",E2237="!!!"),"",IF(NOT(ISNA(VLOOKUP(E2237,E$1:E2236,1,FALSE()))),"OLD",IF(AND(E2237&lt;&gt;"",E2237&lt;&gt;"!!!"),"NEW","")))</f>
        <v> </v>
      </c>
      <c r="G2237" s="24" t="str">
        <f>IF(OR(E2237="",E2237="!!!"),"",IF(OR(J2237=0,AND(J2237=1,K2237=1),AND(J2237=1,I2237="SBJ"),AND(J2237=1,I2237=0)),"?IN_FOCUS",IF(J2237&lt;=2,"?ACTIVATED",IF(J2237&lt;&gt;"","?FAMILIAR",IF(F2237="NEW",IF(ISNA(VLOOKUP(E2237,#REF!,1,FALSE())),"?TYPE_IDENTIFIABLE","?REFERENTIAL"),"_")))))</f>
        <v> </v>
      </c>
      <c r="H2237" s="25" t="str">
        <f>IF(J2237&lt;&gt;1,"",IF(I2237="SBJ","CB","?"))</f>
        <v> </v>
      </c>
      <c r="I2237" s="26" t="str">
        <f>IF(OR(E2237="",E2237="!!!",F2237="NEW"),"",INDEX(B2236:B$2,-1+SUMPRODUCT(MAX(ROW(E2236:E$2)*(E2237=E2236:E$2)))))</f>
        <v> </v>
      </c>
      <c r="J2237" s="26" t="str">
        <f>IF(OR(E2237="",E2237="!!!",F2237="NEW"),"",COUNTBLANK(OFFSET(A$1,,,SUMPRODUCT(MAX(ROW(E$2:E2237)*(E2237=E$2:E2237)))))-COUNTBLANK(OFFSET(A$1,,,SUMPRODUCT(MAX(ROW(E$1:E2236)*(E2=E$1:E2236))))))</f>
        <v> </v>
      </c>
      <c r="K2237" s="26" t="str">
        <f>IF(OR(E2237="",E2237="!!!",F2237="NEW"),"",INDEX(J$1:J2236,SUMPRODUCT(MAX(ROW(E$1:E2236)*(E2237=E$1:E2236)))))</f>
        <v> </v>
      </c>
      <c r="L2237" s="27"/>
    </row>
    <row r="2238" spans="1:12">
      <c r="A2238" s="20" t="s">
        <v>1168</v>
      </c>
      <c r="B2238" s="21" t="s">
        <v>843</v>
      </c>
      <c r="C2238" s="21" t="s">
        <v>753</v>
      </c>
      <c r="D2238" s="21" t="s">
        <v>730</v>
      </c>
      <c r="E2238" s="22">
        <f>IF(D2238="?OLD","!!!","")</f>
        <v/>
      </c>
      <c r="F2238" s="23" t="str">
        <f>IF(OR(E2238="",E2238="!!!"),"",IF(NOT(ISNA(VLOOKUP(E2238,E$1:E2237,1,FALSE()))),"OLD",IF(AND(E2238&lt;&gt;"",E2238&lt;&gt;"!!!"),"NEW","")))</f>
        <v> </v>
      </c>
      <c r="G2238" s="24" t="str">
        <f>IF(OR(E2238="",E2238="!!!"),"",IF(OR(J2238=0,AND(J2238=1,K2238=1),AND(J2238=1,I2238="SBJ"),AND(J2238=1,I2238=0)),"?IN_FOCUS",IF(J2238&lt;=2,"?ACTIVATED",IF(J2238&lt;&gt;"","?FAMILIAR",IF(F2238="NEW",IF(ISNA(VLOOKUP(E2238,#REF!,1,FALSE())),"?TYPE_IDENTIFIABLE","?REFERENTIAL"),"_")))))</f>
        <v> </v>
      </c>
      <c r="H2238" s="25" t="str">
        <f>IF(J2238&lt;&gt;1,"",IF(I2238="SBJ","CB","?"))</f>
        <v> </v>
      </c>
      <c r="I2238" s="26" t="str">
        <f>IF(OR(E2238="",E2238="!!!",F2238="NEW"),"",INDEX(B2237:B$2,-1+SUMPRODUCT(MAX(ROW(E2237:E$2)*(E2238=E2237:E$2)))))</f>
        <v> </v>
      </c>
      <c r="J2238" s="26" t="str">
        <f>IF(OR(E2238="",E2238="!!!",F2238="NEW"),"",COUNTBLANK(OFFSET(A$1,,,SUMPRODUCT(MAX(ROW(E$2:E2238)*(E2238=E$2:E2238)))))-COUNTBLANK(OFFSET(A$1,,,SUMPRODUCT(MAX(ROW(E$1:E2237)*(E2=E$1:E2237))))))</f>
        <v> </v>
      </c>
      <c r="K2238" s="26" t="str">
        <f>IF(OR(E2238="",E2238="!!!",F2238="NEW"),"",INDEX(J$1:J2237,SUMPRODUCT(MAX(ROW(E$1:E2237)*(E2238=E$1:E2237)))))</f>
        <v> </v>
      </c>
      <c r="L2238" s="27"/>
    </row>
    <row r="2239" spans="1:12">
      <c r="A2239" s="20" t="s">
        <v>1603</v>
      </c>
      <c r="E2239" s="22">
        <f>IF(D2239="?OLD","!!!","")</f>
        <v/>
      </c>
      <c r="F2239" s="23" t="str">
        <f>IF(OR(E2239="",E2239="!!!"),"",IF(NOT(ISNA(VLOOKUP(E2239,E$1:E2238,1,FALSE()))),"OLD",IF(AND(E2239&lt;&gt;"",E2239&lt;&gt;"!!!"),"NEW","")))</f>
        <v> </v>
      </c>
      <c r="G2239" s="24" t="str">
        <f>IF(OR(E2239="",E2239="!!!"),"",IF(OR(J2239=0,AND(J2239=1,K2239=1),AND(J2239=1,I2239="SBJ"),AND(J2239=1,I2239=0)),"?IN_FOCUS",IF(J2239&lt;=2,"?ACTIVATED",IF(J2239&lt;&gt;"","?FAMILIAR",IF(F2239="NEW",IF(ISNA(VLOOKUP(E2239,#REF!,1,FALSE())),"?TYPE_IDENTIFIABLE","?REFERENTIAL"),"_")))))</f>
        <v> </v>
      </c>
      <c r="H2239" s="25" t="str">
        <f>IF(J2239&lt;&gt;1,"",IF(I2239="SBJ","CB","?"))</f>
        <v> </v>
      </c>
      <c r="I2239" s="26" t="str">
        <f>IF(OR(E2239="",E2239="!!!",F2239="NEW"),"",INDEX(B2238:B$2,-1+SUMPRODUCT(MAX(ROW(E2238:E$2)*(E2239=E2238:E$2)))))</f>
        <v> </v>
      </c>
      <c r="J2239" s="26" t="str">
        <f>IF(OR(E2239="",E2239="!!!",F2239="NEW"),"",COUNTBLANK(OFFSET(A$1,,,SUMPRODUCT(MAX(ROW(E$2:E2239)*(E2239=E$2:E2239)))))-COUNTBLANK(OFFSET(A$1,,,SUMPRODUCT(MAX(ROW(E$1:E2238)*(E2=E$1:E2238))))))</f>
        <v> </v>
      </c>
      <c r="K2239" s="26" t="str">
        <f>IF(OR(E2239="",E2239="!!!",F2239="NEW"),"",INDEX(J$1:J2238,SUMPRODUCT(MAX(ROW(E$1:E2238)*(E2239=E$1:E2238)))))</f>
        <v> </v>
      </c>
      <c r="L2239" s="27"/>
    </row>
    <row r="2240" spans="1:12">
      <c r="A2240" s="20" t="s">
        <v>246</v>
      </c>
      <c r="E2240" s="22">
        <f>IF(D2240="?OLD","!!!","")</f>
        <v/>
      </c>
      <c r="F2240" s="23" t="str">
        <f>IF(OR(E2240="",E2240="!!!"),"",IF(NOT(ISNA(VLOOKUP(E2240,E$1:E2239,1,FALSE()))),"OLD",IF(AND(E2240&lt;&gt;"",E2240&lt;&gt;"!!!"),"NEW","")))</f>
        <v> </v>
      </c>
      <c r="G2240" s="24" t="str">
        <f>IF(OR(E2240="",E2240="!!!"),"",IF(OR(J2240=0,AND(J2240=1,K2240=1),AND(J2240=1,I2240="SBJ"),AND(J2240=1,I2240=0)),"?IN_FOCUS",IF(J2240&lt;=2,"?ACTIVATED",IF(J2240&lt;&gt;"","?FAMILIAR",IF(F2240="NEW",IF(ISNA(VLOOKUP(E2240,#REF!,1,FALSE())),"?TYPE_IDENTIFIABLE","?REFERENTIAL"),"_")))))</f>
        <v> </v>
      </c>
      <c r="H2240" s="25" t="str">
        <f>IF(J2240&lt;&gt;1,"",IF(I2240="SBJ","CB","?"))</f>
        <v> </v>
      </c>
      <c r="I2240" s="26" t="str">
        <f>IF(OR(E2240="",E2240="!!!",F2240="NEW"),"",INDEX(B2239:B$2,-1+SUMPRODUCT(MAX(ROW(E2239:E$2)*(E2240=E2239:E$2)))))</f>
        <v> </v>
      </c>
      <c r="J2240" s="26" t="str">
        <f>IF(OR(E2240="",E2240="!!!",F2240="NEW"),"",COUNTBLANK(OFFSET(A$1,,,SUMPRODUCT(MAX(ROW(E$2:E2240)*(E2240=E$2:E2240)))))-COUNTBLANK(OFFSET(A$1,,,SUMPRODUCT(MAX(ROW(E$1:E2239)*(E2=E$1:E2239))))))</f>
        <v> </v>
      </c>
      <c r="K2240" s="26" t="str">
        <f>IF(OR(E2240="",E2240="!!!",F2240="NEW"),"",INDEX(J$1:J2239,SUMPRODUCT(MAX(ROW(E$1:E2239)*(E2240=E$1:E2239)))))</f>
        <v> </v>
      </c>
      <c r="L2240" s="27"/>
    </row>
    <row r="2241" spans="1:12">
      <c r="A2241" s="20"/>
    </row>
    <row r="2242" spans="1:12">
      <c r="A2242" s="20" t="s">
        <v>1604</v>
      </c>
    </row>
    <row r="2243" spans="1:12">
      <c r="A2243" s="20" t="s">
        <v>883</v>
      </c>
      <c r="E2243" s="22">
        <f>IF(D2243="?OLD","!!!","")</f>
        <v/>
      </c>
      <c r="F2243" s="23" t="str">
        <f>IF(OR(E2243="",E2243="!!!"),"",IF(NOT(ISNA(VLOOKUP(E2243,E$1:E2242,1,FALSE()))),"OLD",IF(AND(E2243&lt;&gt;"",E2243&lt;&gt;"!!!"),"NEW","")))</f>
        <v> </v>
      </c>
      <c r="G2243" s="24" t="str">
        <f>IF(OR(E2243="",E2243="!!!"),"",IF(OR(J2243=0,AND(J2243=1,K2243=1),AND(J2243=1,I2243="SBJ"),AND(J2243=1,I2243=0)),"?IN_FOCUS",IF(J2243&lt;=2,"?ACTIVATED",IF(J2243&lt;&gt;"","?FAMILIAR",IF(F2243="NEW",IF(ISNA(VLOOKUP(E2243,#REF!,1,FALSE())),"?TYPE_IDENTIFIABLE","?REFERENTIAL"),"_")))))</f>
        <v> </v>
      </c>
      <c r="H2243" s="25" t="str">
        <f>IF(J2243&lt;&gt;1,"",IF(I2243="SBJ","CB","?"))</f>
        <v> </v>
      </c>
      <c r="I2243" s="26" t="str">
        <f>IF(OR(E2243="",E2243="!!!",F2243="NEW"),"",INDEX(B2242:B$2,-1+SUMPRODUCT(MAX(ROW(E2242:E$2)*(E2243=E2242:E$2)))))</f>
        <v> </v>
      </c>
      <c r="J2243" s="26" t="str">
        <f>IF(OR(E2243="",E2243="!!!",F2243="NEW"),"",COUNTBLANK(OFFSET(A$1,,,SUMPRODUCT(MAX(ROW(E$2:E2243)*(E2243=E$2:E2243)))))-COUNTBLANK(OFFSET(A$1,,,SUMPRODUCT(MAX(ROW(E$1:E2242)*(E2=E$1:E2242))))))</f>
        <v> </v>
      </c>
      <c r="K2243" s="26" t="str">
        <f>IF(OR(E2243="",E2243="!!!",F2243="NEW"),"",INDEX(J$1:J2242,SUMPRODUCT(MAX(ROW(E$1:E2242)*(E2243=E$1:E2242)))))</f>
        <v> </v>
      </c>
      <c r="L2243" s="27"/>
    </row>
    <row r="2244" spans="1:12">
      <c r="A2244" s="20" t="s">
        <v>1605</v>
      </c>
      <c r="B2244" s="21" t="s">
        <v>728</v>
      </c>
      <c r="C2244" s="21" t="s">
        <v>753</v>
      </c>
      <c r="D2244" s="21" t="s">
        <v>730</v>
      </c>
      <c r="E2244" s="22">
        <f>IF(D2244="?OLD","!!!","")</f>
        <v/>
      </c>
      <c r="F2244" s="23" t="str">
        <f>IF(OR(E2244="",E2244="!!!"),"",IF(NOT(ISNA(VLOOKUP(E2244,E$1:E2243,1,FALSE()))),"OLD",IF(AND(E2244&lt;&gt;"",E2244&lt;&gt;"!!!"),"NEW","")))</f>
        <v> </v>
      </c>
      <c r="G2244" s="24" t="str">
        <f>IF(OR(E2244="",E2244="!!!"),"",IF(OR(J2244=0,AND(J2244=1,K2244=1),AND(J2244=1,I2244="SBJ"),AND(J2244=1,I2244=0)),"?IN_FOCUS",IF(J2244&lt;=2,"?ACTIVATED",IF(J2244&lt;&gt;"","?FAMILIAR",IF(F2244="NEW",IF(ISNA(VLOOKUP(E2244,#REF!,1,FALSE())),"?TYPE_IDENTIFIABLE","?REFERENTIAL"),"_")))))</f>
        <v> </v>
      </c>
      <c r="H2244" s="25" t="str">
        <f>IF(J2244&lt;&gt;1,"",IF(I2244="SBJ","CB","?"))</f>
        <v> </v>
      </c>
      <c r="I2244" s="26" t="str">
        <f>IF(OR(E2244="",E2244="!!!",F2244="NEW"),"",INDEX(B2243:B$2,-1+SUMPRODUCT(MAX(ROW(E2243:E$2)*(E2244=E2243:E$2)))))</f>
        <v> </v>
      </c>
      <c r="J2244" s="26" t="str">
        <f>IF(OR(E2244="",E2244="!!!",F2244="NEW"),"",COUNTBLANK(OFFSET(A$1,,,SUMPRODUCT(MAX(ROW(E$2:E2244)*(E2244=E$2:E2244)))))-COUNTBLANK(OFFSET(A$1,,,SUMPRODUCT(MAX(ROW(E$1:E2243)*(E2=E$1:E2243))))))</f>
        <v> </v>
      </c>
      <c r="K2244" s="26" t="str">
        <f>IF(OR(E2244="",E2244="!!!",F2244="NEW"),"",INDEX(J$1:J2243,SUMPRODUCT(MAX(ROW(E$1:E2243)*(E2244=E$1:E2243)))))</f>
        <v> </v>
      </c>
      <c r="L2244" s="27"/>
    </row>
    <row r="2245" spans="1:12">
      <c r="A2245" s="20" t="s">
        <v>811</v>
      </c>
      <c r="E2245" s="22">
        <f>IF(D2245="?OLD","!!!","")</f>
        <v/>
      </c>
      <c r="F2245" s="23" t="str">
        <f>IF(OR(E2245="",E2245="!!!"),"",IF(NOT(ISNA(VLOOKUP(E2245,E$1:E2244,1,FALSE()))),"OLD",IF(AND(E2245&lt;&gt;"",E2245&lt;&gt;"!!!"),"NEW","")))</f>
        <v> </v>
      </c>
      <c r="G2245" s="24" t="str">
        <f>IF(OR(E2245="",E2245="!!!"),"",IF(OR(J2245=0,AND(J2245=1,K2245=1),AND(J2245=1,I2245="SBJ"),AND(J2245=1,I2245=0)),"?IN_FOCUS",IF(J2245&lt;=2,"?ACTIVATED",IF(J2245&lt;&gt;"","?FAMILIAR",IF(F2245="NEW",IF(ISNA(VLOOKUP(E2245,#REF!,1,FALSE())),"?TYPE_IDENTIFIABLE","?REFERENTIAL"),"_")))))</f>
        <v> </v>
      </c>
      <c r="H2245" s="25" t="str">
        <f>IF(J2245&lt;&gt;1,"",IF(I2245="SBJ","CB","?"))</f>
        <v> </v>
      </c>
      <c r="I2245" s="26" t="str">
        <f>IF(OR(E2245="",E2245="!!!",F2245="NEW"),"",INDEX(B2244:B$2,-1+SUMPRODUCT(MAX(ROW(E2244:E$2)*(E2245=E2244:E$2)))))</f>
        <v> </v>
      </c>
      <c r="J2245" s="26" t="str">
        <f>IF(OR(E2245="",E2245="!!!",F2245="NEW"),"",COUNTBLANK(OFFSET(A$1,,,SUMPRODUCT(MAX(ROW(E$2:E2245)*(E2245=E$2:E2245)))))-COUNTBLANK(OFFSET(A$1,,,SUMPRODUCT(MAX(ROW(E$1:E2244)*(E2=E$1:E2244))))))</f>
        <v> </v>
      </c>
      <c r="K2245" s="26" t="str">
        <f>IF(OR(E2245="",E2245="!!!",F2245="NEW"),"",INDEX(J$1:J2244,SUMPRODUCT(MAX(ROW(E$1:E2244)*(E2245=E$1:E2244)))))</f>
        <v> </v>
      </c>
      <c r="L2245" s="27"/>
    </row>
    <row r="2246" spans="1:12">
      <c r="A2246" s="20" t="s">
        <v>971</v>
      </c>
      <c r="E2246" s="22">
        <f>IF(D2246="?OLD","!!!","")</f>
        <v/>
      </c>
      <c r="F2246" s="23" t="str">
        <f>IF(OR(E2246="",E2246="!!!"),"",IF(NOT(ISNA(VLOOKUP(E2246,E$1:E2245,1,FALSE()))),"OLD",IF(AND(E2246&lt;&gt;"",E2246&lt;&gt;"!!!"),"NEW","")))</f>
        <v> </v>
      </c>
      <c r="G2246" s="24" t="str">
        <f>IF(OR(E2246="",E2246="!!!"),"",IF(OR(J2246=0,AND(J2246=1,K2246=1),AND(J2246=1,I2246="SBJ"),AND(J2246=1,I2246=0)),"?IN_FOCUS",IF(J2246&lt;=2,"?ACTIVATED",IF(J2246&lt;&gt;"","?FAMILIAR",IF(F2246="NEW",IF(ISNA(VLOOKUP(E2246,#REF!,1,FALSE())),"?TYPE_IDENTIFIABLE","?REFERENTIAL"),"_")))))</f>
        <v> </v>
      </c>
      <c r="H2246" s="25" t="str">
        <f>IF(J2246&lt;&gt;1,"",IF(I2246="SBJ","CB","?"))</f>
        <v> </v>
      </c>
      <c r="I2246" s="26" t="str">
        <f>IF(OR(E2246="",E2246="!!!",F2246="NEW"),"",INDEX(B2245:B$2,-1+SUMPRODUCT(MAX(ROW(E2245:E$2)*(E2246=E2245:E$2)))))</f>
        <v> </v>
      </c>
      <c r="J2246" s="26" t="str">
        <f>IF(OR(E2246="",E2246="!!!",F2246="NEW"),"",COUNTBLANK(OFFSET(A$1,,,SUMPRODUCT(MAX(ROW(E$2:E2246)*(E2246=E$2:E2246)))))-COUNTBLANK(OFFSET(A$1,,,SUMPRODUCT(MAX(ROW(E$1:E2245)*(E2=E$1:E2245))))))</f>
        <v> </v>
      </c>
      <c r="K2246" s="26" t="str">
        <f>IF(OR(E2246="",E2246="!!!",F2246="NEW"),"",INDEX(J$1:J2245,SUMPRODUCT(MAX(ROW(E$1:E2245)*(E2246=E$1:E2245)))))</f>
        <v> </v>
      </c>
      <c r="L2246" s="27"/>
    </row>
    <row r="2247" spans="1:12">
      <c r="A2247" s="20" t="s">
        <v>762</v>
      </c>
      <c r="E2247" s="22">
        <f>IF(D2247="?OLD","!!!","")</f>
        <v/>
      </c>
      <c r="F2247" s="23" t="str">
        <f>IF(OR(E2247="",E2247="!!!"),"",IF(NOT(ISNA(VLOOKUP(E2247,E$1:E2246,1,FALSE()))),"OLD",IF(AND(E2247&lt;&gt;"",E2247&lt;&gt;"!!!"),"NEW","")))</f>
        <v> </v>
      </c>
      <c r="G2247" s="24" t="str">
        <f>IF(OR(E2247="",E2247="!!!"),"",IF(OR(J2247=0,AND(J2247=1,K2247=1),AND(J2247=1,I2247="SBJ"),AND(J2247=1,I2247=0)),"?IN_FOCUS",IF(J2247&lt;=2,"?ACTIVATED",IF(J2247&lt;&gt;"","?FAMILIAR",IF(F2247="NEW",IF(ISNA(VLOOKUP(E2247,#REF!,1,FALSE())),"?TYPE_IDENTIFIABLE","?REFERENTIAL"),"_")))))</f>
        <v> </v>
      </c>
      <c r="H2247" s="25" t="str">
        <f>IF(J2247&lt;&gt;1,"",IF(I2247="SBJ","CB","?"))</f>
        <v> </v>
      </c>
      <c r="I2247" s="26" t="str">
        <f>IF(OR(E2247="",E2247="!!!",F2247="NEW"),"",INDEX(B2246:B$2,-1+SUMPRODUCT(MAX(ROW(E2246:E$2)*(E2247=E2246:E$2)))))</f>
        <v> </v>
      </c>
      <c r="J2247" s="26" t="str">
        <f>IF(OR(E2247="",E2247="!!!",F2247="NEW"),"",COUNTBLANK(OFFSET(A$1,,,SUMPRODUCT(MAX(ROW(E$2:E2247)*(E2247=E$2:E2247)))))-COUNTBLANK(OFFSET(A$1,,,SUMPRODUCT(MAX(ROW(E$1:E2246)*(E2=E$1:E2246))))))</f>
        <v> </v>
      </c>
      <c r="K2247" s="26" t="str">
        <f>IF(OR(E2247="",E2247="!!!",F2247="NEW"),"",INDEX(J$1:J2246,SUMPRODUCT(MAX(ROW(E$1:E2246)*(E2247=E$1:E2246)))))</f>
        <v> </v>
      </c>
      <c r="L2247" s="27"/>
    </row>
    <row r="2248" spans="1:12">
      <c r="A2248" s="20" t="s">
        <v>1606</v>
      </c>
      <c r="E2248" s="22">
        <f>IF(D2248="?OLD","!!!","")</f>
        <v/>
      </c>
      <c r="F2248" s="23" t="str">
        <f>IF(OR(E2248="",E2248="!!!"),"",IF(NOT(ISNA(VLOOKUP(E2248,E$1:E2247,1,FALSE()))),"OLD",IF(AND(E2248&lt;&gt;"",E2248&lt;&gt;"!!!"),"NEW","")))</f>
        <v> </v>
      </c>
      <c r="G2248" s="24" t="str">
        <f>IF(OR(E2248="",E2248="!!!"),"",IF(OR(J2248=0,AND(J2248=1,K2248=1),AND(J2248=1,I2248="SBJ"),AND(J2248=1,I2248=0)),"?IN_FOCUS",IF(J2248&lt;=2,"?ACTIVATED",IF(J2248&lt;&gt;"","?FAMILIAR",IF(F2248="NEW",IF(ISNA(VLOOKUP(E2248,#REF!,1,FALSE())),"?TYPE_IDENTIFIABLE","?REFERENTIAL"),"_")))))</f>
        <v> </v>
      </c>
      <c r="H2248" s="25" t="str">
        <f>IF(J2248&lt;&gt;1,"",IF(I2248="SBJ","CB","?"))</f>
        <v> </v>
      </c>
      <c r="I2248" s="26" t="str">
        <f>IF(OR(E2248="",E2248="!!!",F2248="NEW"),"",INDEX(B2247:B$2,-1+SUMPRODUCT(MAX(ROW(E2247:E$2)*(E2248=E2247:E$2)))))</f>
        <v> </v>
      </c>
      <c r="J2248" s="26" t="str">
        <f>IF(OR(E2248="",E2248="!!!",F2248="NEW"),"",COUNTBLANK(OFFSET(A$1,,,SUMPRODUCT(MAX(ROW(E$2:E2248)*(E2248=E$2:E2248)))))-COUNTBLANK(OFFSET(A$1,,,SUMPRODUCT(MAX(ROW(E$1:E2247)*(E2=E$1:E2247))))))</f>
        <v> </v>
      </c>
      <c r="K2248" s="26" t="str">
        <f>IF(OR(E2248="",E2248="!!!",F2248="NEW"),"",INDEX(J$1:J2247,SUMPRODUCT(MAX(ROW(E$1:E2247)*(E2248=E$1:E2247)))))</f>
        <v> </v>
      </c>
      <c r="L2248" s="27"/>
    </row>
    <row r="2249" spans="1:12">
      <c r="A2249" s="20" t="s">
        <v>1607</v>
      </c>
      <c r="B2249" s="21" t="s">
        <v>736</v>
      </c>
      <c r="C2249" s="21" t="s">
        <v>737</v>
      </c>
      <c r="E2249" s="22">
        <f>IF(D2249="?OLD","!!!","")</f>
        <v/>
      </c>
      <c r="F2249" s="23" t="str">
        <f>IF(OR(E2249="",E2249="!!!"),"",IF(NOT(ISNA(VLOOKUP(E2249,E$1:E2248,1,FALSE()))),"OLD",IF(AND(E2249&lt;&gt;"",E2249&lt;&gt;"!!!"),"NEW","")))</f>
        <v> </v>
      </c>
      <c r="G2249" s="24" t="str">
        <f>IF(OR(E2249="",E2249="!!!"),"",IF(OR(J2249=0,AND(J2249=1,K2249=1),AND(J2249=1,I2249="SBJ"),AND(J2249=1,I2249=0)),"?IN_FOCUS",IF(J2249&lt;=2,"?ACTIVATED",IF(J2249&lt;&gt;"","?FAMILIAR",IF(F2249="NEW",IF(ISNA(VLOOKUP(E2249,#REF!,1,FALSE())),"?TYPE_IDENTIFIABLE","?REFERENTIAL"),"_")))))</f>
        <v> </v>
      </c>
      <c r="H2249" s="25" t="str">
        <f>IF(J2249&lt;&gt;1,"",IF(I2249="SBJ","CB","?"))</f>
        <v> </v>
      </c>
      <c r="I2249" s="26" t="str">
        <f>IF(OR(E2249="",E2249="!!!",F2249="NEW"),"",INDEX(B2248:B$2,-1+SUMPRODUCT(MAX(ROW(E2248:E$2)*(E2249=E2248:E$2)))))</f>
        <v> </v>
      </c>
      <c r="J2249" s="26" t="str">
        <f>IF(OR(E2249="",E2249="!!!",F2249="NEW"),"",COUNTBLANK(OFFSET(A$1,,,SUMPRODUCT(MAX(ROW(E$2:E2249)*(E2249=E$2:E2249)))))-COUNTBLANK(OFFSET(A$1,,,SUMPRODUCT(MAX(ROW(E$1:E2248)*(E2=E$1:E2248))))))</f>
        <v> </v>
      </c>
      <c r="K2249" s="26" t="str">
        <f>IF(OR(E2249="",E2249="!!!",F2249="NEW"),"",INDEX(J$1:J2248,SUMPRODUCT(MAX(ROW(E$1:E2248)*(E2249=E$1:E2248)))))</f>
        <v> </v>
      </c>
      <c r="L2249" s="27"/>
    </row>
    <row r="2250" spans="1:12">
      <c r="A2250" s="20" t="s">
        <v>757</v>
      </c>
      <c r="E2250" s="22">
        <f>IF(D2250="?OLD","!!!","")</f>
        <v/>
      </c>
      <c r="F2250" s="23" t="str">
        <f>IF(OR(E2250="",E2250="!!!"),"",IF(NOT(ISNA(VLOOKUP(E2250,E$1:E2249,1,FALSE()))),"OLD",IF(AND(E2250&lt;&gt;"",E2250&lt;&gt;"!!!"),"NEW","")))</f>
        <v> </v>
      </c>
      <c r="G2250" s="24" t="str">
        <f>IF(OR(E2250="",E2250="!!!"),"",IF(OR(J2250=0,AND(J2250=1,K2250=1),AND(J2250=1,I2250="SBJ"),AND(J2250=1,I2250=0)),"?IN_FOCUS",IF(J2250&lt;=2,"?ACTIVATED",IF(J2250&lt;&gt;"","?FAMILIAR",IF(F2250="NEW",IF(ISNA(VLOOKUP(E2250,#REF!,1,FALSE())),"?TYPE_IDENTIFIABLE","?REFERENTIAL"),"_")))))</f>
        <v> </v>
      </c>
      <c r="H2250" s="25" t="str">
        <f>IF(J2250&lt;&gt;1,"",IF(I2250="SBJ","CB","?"))</f>
        <v> </v>
      </c>
      <c r="I2250" s="26" t="str">
        <f>IF(OR(E2250="",E2250="!!!",F2250="NEW"),"",INDEX(B2249:B$2,-1+SUMPRODUCT(MAX(ROW(E2249:E$2)*(E2250=E2249:E$2)))))</f>
        <v> </v>
      </c>
      <c r="J2250" s="26" t="str">
        <f>IF(OR(E2250="",E2250="!!!",F2250="NEW"),"",COUNTBLANK(OFFSET(A$1,,,SUMPRODUCT(MAX(ROW(E$2:E2250)*(E2250=E$2:E2250)))))-COUNTBLANK(OFFSET(A$1,,,SUMPRODUCT(MAX(ROW(E$1:E2249)*(E2=E$1:E2249))))))</f>
        <v> </v>
      </c>
      <c r="K2250" s="26" t="str">
        <f>IF(OR(E2250="",E2250="!!!",F2250="NEW"),"",INDEX(J$1:J2249,SUMPRODUCT(MAX(ROW(E$1:E2249)*(E2250=E$1:E2249)))))</f>
        <v> </v>
      </c>
      <c r="L2250" s="27"/>
    </row>
    <row r="2251" spans="1:12">
      <c r="A2251" s="20" t="s">
        <v>1608</v>
      </c>
      <c r="B2251" s="21" t="s">
        <v>736</v>
      </c>
      <c r="C2251" s="21" t="s">
        <v>753</v>
      </c>
      <c r="D2251" s="21" t="s">
        <v>730</v>
      </c>
      <c r="E2251" s="22">
        <f>IF(D2251="?OLD","!!!","")</f>
        <v/>
      </c>
      <c r="F2251" s="23" t="str">
        <f>IF(OR(E2251="",E2251="!!!"),"",IF(NOT(ISNA(VLOOKUP(E2251,E$1:E2250,1,FALSE()))),"OLD",IF(AND(E2251&lt;&gt;"",E2251&lt;&gt;"!!!"),"NEW","")))</f>
        <v> </v>
      </c>
      <c r="G2251" s="24" t="str">
        <f>IF(OR(E2251="",E2251="!!!"),"",IF(OR(J2251=0,AND(J2251=1,K2251=1),AND(J2251=1,I2251="SBJ"),AND(J2251=1,I2251=0)),"?IN_FOCUS",IF(J2251&lt;=2,"?ACTIVATED",IF(J2251&lt;&gt;"","?FAMILIAR",IF(F2251="NEW",IF(ISNA(VLOOKUP(E2251,#REF!,1,FALSE())),"?TYPE_IDENTIFIABLE","?REFERENTIAL"),"_")))))</f>
        <v> </v>
      </c>
      <c r="H2251" s="25" t="str">
        <f>IF(J2251&lt;&gt;1,"",IF(I2251="SBJ","CB","?"))</f>
        <v> </v>
      </c>
      <c r="I2251" s="26" t="str">
        <f>IF(OR(E2251="",E2251="!!!",F2251="NEW"),"",INDEX(B2250:B$2,-1+SUMPRODUCT(MAX(ROW(E2250:E$2)*(E2251=E2250:E$2)))))</f>
        <v> </v>
      </c>
      <c r="J2251" s="26" t="str">
        <f>IF(OR(E2251="",E2251="!!!",F2251="NEW"),"",COUNTBLANK(OFFSET(A$1,,,SUMPRODUCT(MAX(ROW(E$2:E2251)*(E2251=E$2:E2251)))))-COUNTBLANK(OFFSET(A$1,,,SUMPRODUCT(MAX(ROW(E$1:E2250)*(E2=E$1:E2250))))))</f>
        <v> </v>
      </c>
      <c r="K2251" s="26" t="str">
        <f>IF(OR(E2251="",E2251="!!!",F2251="NEW"),"",INDEX(J$1:J2250,SUMPRODUCT(MAX(ROW(E$1:E2250)*(E2251=E$1:E2250)))))</f>
        <v> </v>
      </c>
      <c r="L2251" s="27"/>
    </row>
    <row r="2252" spans="1:12">
      <c r="A2252" s="20" t="s">
        <v>845</v>
      </c>
      <c r="E2252" s="22">
        <f>IF(D2252="?OLD","!!!","")</f>
        <v/>
      </c>
      <c r="F2252" s="23" t="str">
        <f>IF(OR(E2252="",E2252="!!!"),"",IF(NOT(ISNA(VLOOKUP(E2252,E$1:E2251,1,FALSE()))),"OLD",IF(AND(E2252&lt;&gt;"",E2252&lt;&gt;"!!!"),"NEW","")))</f>
        <v> </v>
      </c>
      <c r="G2252" s="24" t="str">
        <f>IF(OR(E2252="",E2252="!!!"),"",IF(OR(J2252=0,AND(J2252=1,K2252=1),AND(J2252=1,I2252="SBJ"),AND(J2252=1,I2252=0)),"?IN_FOCUS",IF(J2252&lt;=2,"?ACTIVATED",IF(J2252&lt;&gt;"","?FAMILIAR",IF(F2252="NEW",IF(ISNA(VLOOKUP(E2252,#REF!,1,FALSE())),"?TYPE_IDENTIFIABLE","?REFERENTIAL"),"_")))))</f>
        <v> </v>
      </c>
      <c r="H2252" s="25" t="str">
        <f>IF(J2252&lt;&gt;1,"",IF(I2252="SBJ","CB","?"))</f>
        <v> </v>
      </c>
      <c r="I2252" s="26" t="str">
        <f>IF(OR(E2252="",E2252="!!!",F2252="NEW"),"",INDEX(B2251:B$2,-1+SUMPRODUCT(MAX(ROW(E2251:E$2)*(E2252=E2251:E$2)))))</f>
        <v> </v>
      </c>
      <c r="J2252" s="26" t="str">
        <f>IF(OR(E2252="",E2252="!!!",F2252="NEW"),"",COUNTBLANK(OFFSET(A$1,,,SUMPRODUCT(MAX(ROW(E$2:E2252)*(E2252=E$2:E2252)))))-COUNTBLANK(OFFSET(A$1,,,SUMPRODUCT(MAX(ROW(E$1:E2251)*(E2=E$1:E2251))))))</f>
        <v> </v>
      </c>
      <c r="K2252" s="26" t="str">
        <f>IF(OR(E2252="",E2252="!!!",F2252="NEW"),"",INDEX(J$1:J2251,SUMPRODUCT(MAX(ROW(E$1:E2251)*(E2252=E$1:E2251)))))</f>
        <v> </v>
      </c>
      <c r="L2252" s="27"/>
    </row>
    <row r="2253" spans="1:12">
      <c r="A2253" s="20" t="s">
        <v>1545</v>
      </c>
      <c r="B2253" s="21" t="s">
        <v>739</v>
      </c>
      <c r="C2253" s="21" t="s">
        <v>753</v>
      </c>
      <c r="D2253" s="21" t="s">
        <v>730</v>
      </c>
      <c r="E2253" s="22">
        <f>IF(D2253="?OLD","!!!","")</f>
        <v/>
      </c>
      <c r="F2253" s="23" t="str">
        <f>IF(OR(E2253="",E2253="!!!"),"",IF(NOT(ISNA(VLOOKUP(E2253,E$1:E2252,1,FALSE()))),"OLD",IF(AND(E2253&lt;&gt;"",E2253&lt;&gt;"!!!"),"NEW","")))</f>
        <v> </v>
      </c>
      <c r="G2253" s="24" t="str">
        <f>IF(OR(E2253="",E2253="!!!"),"",IF(OR(J2253=0,AND(J2253=1,K2253=1),AND(J2253=1,I2253="SBJ"),AND(J2253=1,I2253=0)),"?IN_FOCUS",IF(J2253&lt;=2,"?ACTIVATED",IF(J2253&lt;&gt;"","?FAMILIAR",IF(F2253="NEW",IF(ISNA(VLOOKUP(E2253,#REF!,1,FALSE())),"?TYPE_IDENTIFIABLE","?REFERENTIAL"),"_")))))</f>
        <v> </v>
      </c>
      <c r="H2253" s="25" t="str">
        <f>IF(J2253&lt;&gt;1,"",IF(I2253="SBJ","CB","?"))</f>
        <v> </v>
      </c>
      <c r="I2253" s="26" t="str">
        <f>IF(OR(E2253="",E2253="!!!",F2253="NEW"),"",INDEX(B2252:B$2,-1+SUMPRODUCT(MAX(ROW(E2252:E$2)*(E2253=E2252:E$2)))))</f>
        <v> </v>
      </c>
      <c r="J2253" s="26" t="str">
        <f>IF(OR(E2253="",E2253="!!!",F2253="NEW"),"",COUNTBLANK(OFFSET(A$1,,,SUMPRODUCT(MAX(ROW(E$2:E2253)*(E2253=E$2:E2253)))))-COUNTBLANK(OFFSET(A$1,,,SUMPRODUCT(MAX(ROW(E$1:E2252)*(E2=E$1:E2252))))))</f>
        <v> </v>
      </c>
      <c r="K2253" s="26" t="str">
        <f>IF(OR(E2253="",E2253="!!!",F2253="NEW"),"",INDEX(J$1:J2252,SUMPRODUCT(MAX(ROW(E$1:E2252)*(E2253=E$1:E2252)))))</f>
        <v> </v>
      </c>
      <c r="L2253" s="27"/>
    </row>
    <row r="2254" spans="1:12">
      <c r="A2254" s="20" t="s">
        <v>246</v>
      </c>
      <c r="E2254" s="22">
        <f>IF(D2254="?OLD","!!!","")</f>
        <v/>
      </c>
      <c r="F2254" s="23" t="str">
        <f>IF(OR(E2254="",E2254="!!!"),"",IF(NOT(ISNA(VLOOKUP(E2254,E$1:E2253,1,FALSE()))),"OLD",IF(AND(E2254&lt;&gt;"",E2254&lt;&gt;"!!!"),"NEW","")))</f>
        <v> </v>
      </c>
      <c r="G2254" s="24" t="str">
        <f>IF(OR(E2254="",E2254="!!!"),"",IF(OR(J2254=0,AND(J2254=1,K2254=1),AND(J2254=1,I2254="SBJ"),AND(J2254=1,I2254=0)),"?IN_FOCUS",IF(J2254&lt;=2,"?ACTIVATED",IF(J2254&lt;&gt;"","?FAMILIAR",IF(F2254="NEW",IF(ISNA(VLOOKUP(E2254,#REF!,1,FALSE())),"?TYPE_IDENTIFIABLE","?REFERENTIAL"),"_")))))</f>
        <v> </v>
      </c>
      <c r="H2254" s="25" t="str">
        <f>IF(J2254&lt;&gt;1,"",IF(I2254="SBJ","CB","?"))</f>
        <v> </v>
      </c>
      <c r="I2254" s="26" t="str">
        <f>IF(OR(E2254="",E2254="!!!",F2254="NEW"),"",INDEX(B2253:B$2,-1+SUMPRODUCT(MAX(ROW(E2253:E$2)*(E2254=E2253:E$2)))))</f>
        <v> </v>
      </c>
      <c r="J2254" s="26" t="str">
        <f>IF(OR(E2254="",E2254="!!!",F2254="NEW"),"",COUNTBLANK(OFFSET(A$1,,,SUMPRODUCT(MAX(ROW(E$2:E2254)*(E2254=E$2:E2254)))))-COUNTBLANK(OFFSET(A$1,,,SUMPRODUCT(MAX(ROW(E$1:E2253)*(E2=E$1:E2253))))))</f>
        <v> </v>
      </c>
      <c r="K2254" s="26" t="str">
        <f>IF(OR(E2254="",E2254="!!!",F2254="NEW"),"",INDEX(J$1:J2253,SUMPRODUCT(MAX(ROW(E$1:E2253)*(E2254=E$1:E2253)))))</f>
        <v> </v>
      </c>
      <c r="L2254" s="27"/>
    </row>
    <row r="2255" spans="1:12">
      <c r="A2255" s="20"/>
    </row>
    <row r="2256" spans="1:12">
      <c r="A2256" s="20" t="s">
        <v>1609</v>
      </c>
    </row>
    <row r="2257" spans="1:12">
      <c r="A2257" s="20" t="s">
        <v>883</v>
      </c>
      <c r="B2257" s="21" t="s">
        <v>728</v>
      </c>
      <c r="C2257" s="21" t="s">
        <v>789</v>
      </c>
      <c r="D2257" s="21" t="s">
        <v>730</v>
      </c>
      <c r="E2257" s="22">
        <f>IF(D2257="?OLD","!!!","")</f>
        <v/>
      </c>
      <c r="F2257" s="23" t="str">
        <f>IF(OR(E2257="",E2257="!!!"),"",IF(NOT(ISNA(VLOOKUP(E2257,E$1:E2256,1,FALSE()))),"OLD",IF(AND(E2257&lt;&gt;"",E2257&lt;&gt;"!!!"),"NEW","")))</f>
        <v> </v>
      </c>
      <c r="G2257" s="24" t="str">
        <f>IF(OR(E2257="",E2257="!!!"),"",IF(OR(J2257=0,AND(J2257=1,K2257=1),AND(J2257=1,I2257="SBJ"),AND(J2257=1,I2257=0)),"?IN_FOCUS",IF(J2257&lt;=2,"?ACTIVATED",IF(J2257&lt;&gt;"","?FAMILIAR",IF(F2257="NEW",IF(ISNA(VLOOKUP(E2257,#REF!,1,FALSE())),"?TYPE_IDENTIFIABLE","?REFERENTIAL"),"_")))))</f>
        <v> </v>
      </c>
      <c r="H2257" s="25" t="str">
        <f>IF(J2257&lt;&gt;1,"",IF(I2257="SBJ","CB","?"))</f>
        <v> </v>
      </c>
      <c r="I2257" s="26" t="str">
        <f>IF(OR(E2257="",E2257="!!!",F2257="NEW"),"",INDEX(B2256:B$2,-1+SUMPRODUCT(MAX(ROW(E2256:E$2)*(E2257=E2256:E$2)))))</f>
        <v> </v>
      </c>
      <c r="J2257" s="26" t="str">
        <f>IF(OR(E2257="",E2257="!!!",F2257="NEW"),"",COUNTBLANK(OFFSET(A$1,,,SUMPRODUCT(MAX(ROW(E$2:E2257)*(E2257=E$2:E2257)))))-COUNTBLANK(OFFSET(A$1,,,SUMPRODUCT(MAX(ROW(E$1:E2256)*(E2=E$1:E2256))))))</f>
        <v> </v>
      </c>
      <c r="K2257" s="26" t="str">
        <f>IF(OR(E2257="",E2257="!!!",F2257="NEW"),"",INDEX(J$1:J2256,SUMPRODUCT(MAX(ROW(E$1:E2256)*(E2257=E$1:E2256)))))</f>
        <v> </v>
      </c>
      <c r="L2257" s="27"/>
    </row>
    <row r="2258" spans="1:12">
      <c r="A2258" s="20" t="s">
        <v>811</v>
      </c>
      <c r="E2258" s="22">
        <f>IF(D2258="?OLD","!!!","")</f>
        <v/>
      </c>
      <c r="F2258" s="23" t="str">
        <f>IF(OR(E2258="",E2258="!!!"),"",IF(NOT(ISNA(VLOOKUP(E2258,E$1:E2257,1,FALSE()))),"OLD",IF(AND(E2258&lt;&gt;"",E2258&lt;&gt;"!!!"),"NEW","")))</f>
        <v> </v>
      </c>
      <c r="G2258" s="24" t="str">
        <f>IF(OR(E2258="",E2258="!!!"),"",IF(OR(J2258=0,AND(J2258=1,K2258=1),AND(J2258=1,I2258="SBJ"),AND(J2258=1,I2258=0)),"?IN_FOCUS",IF(J2258&lt;=2,"?ACTIVATED",IF(J2258&lt;&gt;"","?FAMILIAR",IF(F2258="NEW",IF(ISNA(VLOOKUP(E2258,#REF!,1,FALSE())),"?TYPE_IDENTIFIABLE","?REFERENTIAL"),"_")))))</f>
        <v> </v>
      </c>
      <c r="H2258" s="25" t="str">
        <f>IF(J2258&lt;&gt;1,"",IF(I2258="SBJ","CB","?"))</f>
        <v> </v>
      </c>
      <c r="I2258" s="26" t="str">
        <f>IF(OR(E2258="",E2258="!!!",F2258="NEW"),"",INDEX(B2257:B$2,-1+SUMPRODUCT(MAX(ROW(E2257:E$2)*(E2258=E2257:E$2)))))</f>
        <v> </v>
      </c>
      <c r="J2258" s="26" t="str">
        <f>IF(OR(E2258="",E2258="!!!",F2258="NEW"),"",COUNTBLANK(OFFSET(A$1,,,SUMPRODUCT(MAX(ROW(E$2:E2258)*(E2258=E$2:E2258)))))-COUNTBLANK(OFFSET(A$1,,,SUMPRODUCT(MAX(ROW(E$1:E2257)*(E2=E$1:E2257))))))</f>
        <v> </v>
      </c>
      <c r="K2258" s="26" t="str">
        <f>IF(OR(E2258="",E2258="!!!",F2258="NEW"),"",INDEX(J$1:J2257,SUMPRODUCT(MAX(ROW(E$1:E2257)*(E2258=E$1:E2257)))))</f>
        <v> </v>
      </c>
      <c r="L2258" s="27"/>
    </row>
    <row r="2259" spans="1:12">
      <c r="A2259" s="20" t="s">
        <v>1217</v>
      </c>
      <c r="E2259" s="22">
        <f>IF(D2259="?OLD","!!!","")</f>
        <v/>
      </c>
      <c r="F2259" s="23" t="str">
        <f>IF(OR(E2259="",E2259="!!!"),"",IF(NOT(ISNA(VLOOKUP(E2259,E$1:E2258,1,FALSE()))),"OLD",IF(AND(E2259&lt;&gt;"",E2259&lt;&gt;"!!!"),"NEW","")))</f>
        <v> </v>
      </c>
      <c r="G2259" s="24" t="str">
        <f>IF(OR(E2259="",E2259="!!!"),"",IF(OR(J2259=0,AND(J2259=1,K2259=1),AND(J2259=1,I2259="SBJ"),AND(J2259=1,I2259=0)),"?IN_FOCUS",IF(J2259&lt;=2,"?ACTIVATED",IF(J2259&lt;&gt;"","?FAMILIAR",IF(F2259="NEW",IF(ISNA(VLOOKUP(E2259,#REF!,1,FALSE())),"?TYPE_IDENTIFIABLE","?REFERENTIAL"),"_")))))</f>
        <v> </v>
      </c>
      <c r="H2259" s="25" t="str">
        <f>IF(J2259&lt;&gt;1,"",IF(I2259="SBJ","CB","?"))</f>
        <v> </v>
      </c>
      <c r="I2259" s="26" t="str">
        <f>IF(OR(E2259="",E2259="!!!",F2259="NEW"),"",INDEX(B2258:B$2,-1+SUMPRODUCT(MAX(ROW(E2258:E$2)*(E2259=E2258:E$2)))))</f>
        <v> </v>
      </c>
      <c r="J2259" s="26" t="str">
        <f>IF(OR(E2259="",E2259="!!!",F2259="NEW"),"",COUNTBLANK(OFFSET(A$1,,,SUMPRODUCT(MAX(ROW(E$2:E2259)*(E2259=E$2:E2259)))))-COUNTBLANK(OFFSET(A$1,,,SUMPRODUCT(MAX(ROW(E$1:E2258)*(E2=E$1:E2258))))))</f>
        <v> </v>
      </c>
      <c r="K2259" s="26" t="str">
        <f>IF(OR(E2259="",E2259="!!!",F2259="NEW"),"",INDEX(J$1:J2258,SUMPRODUCT(MAX(ROW(E$1:E2258)*(E2259=E$1:E2258)))))</f>
        <v> </v>
      </c>
      <c r="L2259" s="27"/>
    </row>
    <row r="2260" spans="1:12">
      <c r="A2260" s="20" t="s">
        <v>762</v>
      </c>
      <c r="E2260" s="22">
        <f>IF(D2260="?OLD","!!!","")</f>
        <v/>
      </c>
      <c r="F2260" s="23" t="str">
        <f>IF(OR(E2260="",E2260="!!!"),"",IF(NOT(ISNA(VLOOKUP(E2260,E$1:E2259,1,FALSE()))),"OLD",IF(AND(E2260&lt;&gt;"",E2260&lt;&gt;"!!!"),"NEW","")))</f>
        <v> </v>
      </c>
      <c r="G2260" s="24" t="str">
        <f>IF(OR(E2260="",E2260="!!!"),"",IF(OR(J2260=0,AND(J2260=1,K2260=1),AND(J2260=1,I2260="SBJ"),AND(J2260=1,I2260=0)),"?IN_FOCUS",IF(J2260&lt;=2,"?ACTIVATED",IF(J2260&lt;&gt;"","?FAMILIAR",IF(F2260="NEW",IF(ISNA(VLOOKUP(E2260,#REF!,1,FALSE())),"?TYPE_IDENTIFIABLE","?REFERENTIAL"),"_")))))</f>
        <v> </v>
      </c>
      <c r="H2260" s="25" t="str">
        <f>IF(J2260&lt;&gt;1,"",IF(I2260="SBJ","CB","?"))</f>
        <v> </v>
      </c>
      <c r="I2260" s="26" t="str">
        <f>IF(OR(E2260="",E2260="!!!",F2260="NEW"),"",INDEX(B2259:B$2,-1+SUMPRODUCT(MAX(ROW(E2259:E$2)*(E2260=E2259:E$2)))))</f>
        <v> </v>
      </c>
      <c r="J2260" s="26" t="str">
        <f>IF(OR(E2260="",E2260="!!!",F2260="NEW"),"",COUNTBLANK(OFFSET(A$1,,,SUMPRODUCT(MAX(ROW(E$2:E2260)*(E2260=E$2:E2260)))))-COUNTBLANK(OFFSET(A$1,,,SUMPRODUCT(MAX(ROW(E$1:E2259)*(E2=E$1:E2259))))))</f>
        <v> </v>
      </c>
      <c r="K2260" s="26" t="str">
        <f>IF(OR(E2260="",E2260="!!!",F2260="NEW"),"",INDEX(J$1:J2259,SUMPRODUCT(MAX(ROW(E$1:E2259)*(E2260=E$1:E2259)))))</f>
        <v> </v>
      </c>
      <c r="L2260" s="27"/>
    </row>
    <row r="2261" spans="1:12">
      <c r="A2261" s="20" t="s">
        <v>1610</v>
      </c>
      <c r="E2261" s="22">
        <f>IF(D2261="?OLD","!!!","")</f>
        <v/>
      </c>
      <c r="F2261" s="23" t="str">
        <f>IF(OR(E2261="",E2261="!!!"),"",IF(NOT(ISNA(VLOOKUP(E2261,E$1:E2260,1,FALSE()))),"OLD",IF(AND(E2261&lt;&gt;"",E2261&lt;&gt;"!!!"),"NEW","")))</f>
        <v> </v>
      </c>
      <c r="G2261" s="24" t="str">
        <f>IF(OR(E2261="",E2261="!!!"),"",IF(OR(J2261=0,AND(J2261=1,K2261=1),AND(J2261=1,I2261="SBJ"),AND(J2261=1,I2261=0)),"?IN_FOCUS",IF(J2261&lt;=2,"?ACTIVATED",IF(J2261&lt;&gt;"","?FAMILIAR",IF(F2261="NEW",IF(ISNA(VLOOKUP(E2261,#REF!,1,FALSE())),"?TYPE_IDENTIFIABLE","?REFERENTIAL"),"_")))))</f>
        <v> </v>
      </c>
      <c r="H2261" s="25" t="str">
        <f>IF(J2261&lt;&gt;1,"",IF(I2261="SBJ","CB","?"))</f>
        <v> </v>
      </c>
      <c r="I2261" s="26" t="str">
        <f>IF(OR(E2261="",E2261="!!!",F2261="NEW"),"",INDEX(B2260:B$2,-1+SUMPRODUCT(MAX(ROW(E2260:E$2)*(E2261=E2260:E$2)))))</f>
        <v> </v>
      </c>
      <c r="J2261" s="26" t="str">
        <f>IF(OR(E2261="",E2261="!!!",F2261="NEW"),"",COUNTBLANK(OFFSET(A$1,,,SUMPRODUCT(MAX(ROW(E$2:E2261)*(E2261=E$2:E2261)))))-COUNTBLANK(OFFSET(A$1,,,SUMPRODUCT(MAX(ROW(E$1:E2260)*(E2=E$1:E2260))))))</f>
        <v> </v>
      </c>
      <c r="K2261" s="26" t="str">
        <f>IF(OR(E2261="",E2261="!!!",F2261="NEW"),"",INDEX(J$1:J2260,SUMPRODUCT(MAX(ROW(E$1:E2260)*(E2261=E$1:E2260)))))</f>
        <v> </v>
      </c>
      <c r="L2261" s="27"/>
    </row>
    <row r="2262" spans="1:12">
      <c r="A2262" s="20" t="s">
        <v>1611</v>
      </c>
      <c r="E2262" s="22">
        <f>IF(D2262="?OLD","!!!","")</f>
        <v/>
      </c>
      <c r="F2262" s="23" t="str">
        <f>IF(OR(E2262="",E2262="!!!"),"",IF(NOT(ISNA(VLOOKUP(E2262,E$1:E2261,1,FALSE()))),"OLD",IF(AND(E2262&lt;&gt;"",E2262&lt;&gt;"!!!"),"NEW","")))</f>
        <v> </v>
      </c>
      <c r="G2262" s="24" t="str">
        <f>IF(OR(E2262="",E2262="!!!"),"",IF(OR(J2262=0,AND(J2262=1,K2262=1),AND(J2262=1,I2262="SBJ"),AND(J2262=1,I2262=0)),"?IN_FOCUS",IF(J2262&lt;=2,"?ACTIVATED",IF(J2262&lt;&gt;"","?FAMILIAR",IF(F2262="NEW",IF(ISNA(VLOOKUP(E2262,#REF!,1,FALSE())),"?TYPE_IDENTIFIABLE","?REFERENTIAL"),"_")))))</f>
        <v> </v>
      </c>
      <c r="H2262" s="25" t="str">
        <f>IF(J2262&lt;&gt;1,"",IF(I2262="SBJ","CB","?"))</f>
        <v> </v>
      </c>
      <c r="I2262" s="26" t="str">
        <f>IF(OR(E2262="",E2262="!!!",F2262="NEW"),"",INDEX(B2261:B$2,-1+SUMPRODUCT(MAX(ROW(E2261:E$2)*(E2262=E2261:E$2)))))</f>
        <v> </v>
      </c>
      <c r="J2262" s="26" t="str">
        <f>IF(OR(E2262="",E2262="!!!",F2262="NEW"),"",COUNTBLANK(OFFSET(A$1,,,SUMPRODUCT(MAX(ROW(E$2:E2262)*(E2262=E$2:E2262)))))-COUNTBLANK(OFFSET(A$1,,,SUMPRODUCT(MAX(ROW(E$1:E2261)*(E2=E$1:E2261))))))</f>
        <v> </v>
      </c>
      <c r="K2262" s="26" t="str">
        <f>IF(OR(E2262="",E2262="!!!",F2262="NEW"),"",INDEX(J$1:J2261,SUMPRODUCT(MAX(ROW(E$1:E2261)*(E2262=E$1:E2261)))))</f>
        <v> </v>
      </c>
      <c r="L2262" s="27"/>
    </row>
    <row r="2263" spans="1:12">
      <c r="A2263" s="20" t="s">
        <v>1475</v>
      </c>
      <c r="B2263" s="21" t="s">
        <v>736</v>
      </c>
      <c r="C2263" s="21" t="s">
        <v>737</v>
      </c>
      <c r="E2263" s="22">
        <f>IF(D2263="?OLD","!!!","")</f>
        <v/>
      </c>
      <c r="F2263" s="23" t="str">
        <f>IF(OR(E2263="",E2263="!!!"),"",IF(NOT(ISNA(VLOOKUP(E2263,E$1:E2262,1,FALSE()))),"OLD",IF(AND(E2263&lt;&gt;"",E2263&lt;&gt;"!!!"),"NEW","")))</f>
        <v> </v>
      </c>
      <c r="G2263" s="24" t="str">
        <f>IF(OR(E2263="",E2263="!!!"),"",IF(OR(J2263=0,AND(J2263=1,K2263=1),AND(J2263=1,I2263="SBJ"),AND(J2263=1,I2263=0)),"?IN_FOCUS",IF(J2263&lt;=2,"?ACTIVATED",IF(J2263&lt;&gt;"","?FAMILIAR",IF(F2263="NEW",IF(ISNA(VLOOKUP(E2263,#REF!,1,FALSE())),"?TYPE_IDENTIFIABLE","?REFERENTIAL"),"_")))))</f>
        <v> </v>
      </c>
      <c r="H2263" s="25" t="str">
        <f>IF(J2263&lt;&gt;1,"",IF(I2263="SBJ","CB","?"))</f>
        <v> </v>
      </c>
      <c r="I2263" s="26" t="str">
        <f>IF(OR(E2263="",E2263="!!!",F2263="NEW"),"",INDEX(B2262:B$2,-1+SUMPRODUCT(MAX(ROW(E2262:E$2)*(E2263=E2262:E$2)))))</f>
        <v> </v>
      </c>
      <c r="J2263" s="26" t="str">
        <f>IF(OR(E2263="",E2263="!!!",F2263="NEW"),"",COUNTBLANK(OFFSET(A$1,,,SUMPRODUCT(MAX(ROW(E$2:E2263)*(E2263=E$2:E2263)))))-COUNTBLANK(OFFSET(A$1,,,SUMPRODUCT(MAX(ROW(E$1:E2262)*(E2=E$1:E2262))))))</f>
        <v> </v>
      </c>
      <c r="K2263" s="26" t="str">
        <f>IF(OR(E2263="",E2263="!!!",F2263="NEW"),"",INDEX(J$1:J2262,SUMPRODUCT(MAX(ROW(E$1:E2262)*(E2263=E$1:E2262)))))</f>
        <v> </v>
      </c>
      <c r="L2263" s="27"/>
    </row>
    <row r="2264" spans="1:12">
      <c r="A2264" s="20" t="s">
        <v>246</v>
      </c>
      <c r="E2264" s="22">
        <f>IF(D2264="?OLD","!!!","")</f>
        <v/>
      </c>
      <c r="F2264" s="23" t="str">
        <f>IF(OR(E2264="",E2264="!!!"),"",IF(NOT(ISNA(VLOOKUP(E2264,E$1:E2263,1,FALSE()))),"OLD",IF(AND(E2264&lt;&gt;"",E2264&lt;&gt;"!!!"),"NEW","")))</f>
        <v> </v>
      </c>
      <c r="G2264" s="24" t="str">
        <f>IF(OR(E2264="",E2264="!!!"),"",IF(OR(J2264=0,AND(J2264=1,K2264=1),AND(J2264=1,I2264="SBJ"),AND(J2264=1,I2264=0)),"?IN_FOCUS",IF(J2264&lt;=2,"?ACTIVATED",IF(J2264&lt;&gt;"","?FAMILIAR",IF(F2264="NEW",IF(ISNA(VLOOKUP(E2264,#REF!,1,FALSE())),"?TYPE_IDENTIFIABLE","?REFERENTIAL"),"_")))))</f>
        <v> </v>
      </c>
      <c r="H2264" s="25" t="str">
        <f>IF(J2264&lt;&gt;1,"",IF(I2264="SBJ","CB","?"))</f>
        <v> </v>
      </c>
      <c r="I2264" s="26" t="str">
        <f>IF(OR(E2264="",E2264="!!!",F2264="NEW"),"",INDEX(B2263:B$2,-1+SUMPRODUCT(MAX(ROW(E2263:E$2)*(E2264=E2263:E$2)))))</f>
        <v> </v>
      </c>
      <c r="J2264" s="26" t="str">
        <f>IF(OR(E2264="",E2264="!!!",F2264="NEW"),"",COUNTBLANK(OFFSET(A$1,,,SUMPRODUCT(MAX(ROW(E$2:E2264)*(E2264=E$2:E2264)))))-COUNTBLANK(OFFSET(A$1,,,SUMPRODUCT(MAX(ROW(E$1:E2263)*(E2=E$1:E2263))))))</f>
        <v> </v>
      </c>
      <c r="K2264" s="26" t="str">
        <f>IF(OR(E2264="",E2264="!!!",F2264="NEW"),"",INDEX(J$1:J2263,SUMPRODUCT(MAX(ROW(E$1:E2263)*(E2264=E$1:E2263)))))</f>
        <v> </v>
      </c>
      <c r="L2264" s="27"/>
    </row>
    <row r="2265" spans="1:12">
      <c r="A2265" s="20"/>
    </row>
    <row r="2266" spans="1:12">
      <c r="A2266" s="20" t="s">
        <v>1612</v>
      </c>
    </row>
    <row r="2267" spans="1:12">
      <c r="A2267" s="20" t="s">
        <v>834</v>
      </c>
      <c r="B2267" s="21" t="s">
        <v>728</v>
      </c>
      <c r="C2267" s="21" t="s">
        <v>729</v>
      </c>
      <c r="D2267" s="21" t="s">
        <v>730</v>
      </c>
      <c r="E2267" s="22">
        <f>IF(D2267="?OLD","!!!","")</f>
        <v/>
      </c>
      <c r="F2267" s="23" t="str">
        <f>IF(OR(E2267="",E2267="!!!"),"",IF(NOT(ISNA(VLOOKUP(E2267,E$1:E2266,1,FALSE()))),"OLD",IF(AND(E2267&lt;&gt;"",E2267&lt;&gt;"!!!"),"NEW","")))</f>
        <v> </v>
      </c>
      <c r="G2267" s="24" t="str">
        <f>IF(OR(E2267="",E2267="!!!"),"",IF(OR(J2267=0,AND(J2267=1,K2267=1),AND(J2267=1,I2267="SBJ"),AND(J2267=1,I2267=0)),"?IN_FOCUS",IF(J2267&lt;=2,"?ACTIVATED",IF(J2267&lt;&gt;"","?FAMILIAR",IF(F2267="NEW",IF(ISNA(VLOOKUP(E2267,#REF!,1,FALSE())),"?TYPE_IDENTIFIABLE","?REFERENTIAL"),"_")))))</f>
        <v> </v>
      </c>
      <c r="H2267" s="25" t="str">
        <f>IF(J2267&lt;&gt;1,"",IF(I2267="SBJ","CB","?"))</f>
        <v> </v>
      </c>
      <c r="I2267" s="26" t="str">
        <f>IF(OR(E2267="",E2267="!!!",F2267="NEW"),"",INDEX(B2266:B$2,-1+SUMPRODUCT(MAX(ROW(E2266:E$2)*(E2267=E2266:E$2)))))</f>
        <v> </v>
      </c>
      <c r="J2267" s="26" t="str">
        <f>IF(OR(E2267="",E2267="!!!",F2267="NEW"),"",COUNTBLANK(OFFSET(A$1,,,SUMPRODUCT(MAX(ROW(E$2:E2267)*(E2267=E$2:E2267)))))-COUNTBLANK(OFFSET(A$1,,,SUMPRODUCT(MAX(ROW(E$1:E2266)*(E2=E$1:E2266))))))</f>
        <v> </v>
      </c>
      <c r="K2267" s="26" t="str">
        <f>IF(OR(E2267="",E2267="!!!",F2267="NEW"),"",INDEX(J$1:J2266,SUMPRODUCT(MAX(ROW(E$1:E2266)*(E2267=E$1:E2266)))))</f>
        <v> </v>
      </c>
      <c r="L2267" s="27"/>
    </row>
    <row r="2268" spans="1:12">
      <c r="A2268" s="20" t="s">
        <v>1046</v>
      </c>
      <c r="E2268" s="22">
        <f>IF(D2268="?OLD","!!!","")</f>
        <v/>
      </c>
      <c r="F2268" s="23" t="str">
        <f>IF(OR(E2268="",E2268="!!!"),"",IF(NOT(ISNA(VLOOKUP(E2268,E$1:E2267,1,FALSE()))),"OLD",IF(AND(E2268&lt;&gt;"",E2268&lt;&gt;"!!!"),"NEW","")))</f>
        <v> </v>
      </c>
      <c r="G2268" s="24" t="str">
        <f>IF(OR(E2268="",E2268="!!!"),"",IF(OR(J2268=0,AND(J2268=1,K2268=1),AND(J2268=1,I2268="SBJ"),AND(J2268=1,I2268=0)),"?IN_FOCUS",IF(J2268&lt;=2,"?ACTIVATED",IF(J2268&lt;&gt;"","?FAMILIAR",IF(F2268="NEW",IF(ISNA(VLOOKUP(E2268,#REF!,1,FALSE())),"?TYPE_IDENTIFIABLE","?REFERENTIAL"),"_")))))</f>
        <v> </v>
      </c>
      <c r="H2268" s="25" t="str">
        <f>IF(J2268&lt;&gt;1,"",IF(I2268="SBJ","CB","?"))</f>
        <v> </v>
      </c>
      <c r="I2268" s="26" t="str">
        <f>IF(OR(E2268="",E2268="!!!",F2268="NEW"),"",INDEX(B2267:B$2,-1+SUMPRODUCT(MAX(ROW(E2267:E$2)*(E2268=E2267:E$2)))))</f>
        <v> </v>
      </c>
      <c r="J2268" s="26" t="str">
        <f>IF(OR(E2268="",E2268="!!!",F2268="NEW"),"",COUNTBLANK(OFFSET(A$1,,,SUMPRODUCT(MAX(ROW(E$2:E2268)*(E2268=E$2:E2268)))))-COUNTBLANK(OFFSET(A$1,,,SUMPRODUCT(MAX(ROW(E$1:E2267)*(E2=E$1:E2267))))))</f>
        <v> </v>
      </c>
      <c r="K2268" s="26" t="str">
        <f>IF(OR(E2268="",E2268="!!!",F2268="NEW"),"",INDEX(J$1:J2267,SUMPRODUCT(MAX(ROW(E$1:E2267)*(E2268=E$1:E2267)))))</f>
        <v> </v>
      </c>
      <c r="L2268" s="27"/>
    </row>
    <row r="2269" spans="1:12">
      <c r="A2269" s="20" t="s">
        <v>792</v>
      </c>
      <c r="B2269" s="21" t="s">
        <v>764</v>
      </c>
      <c r="C2269" s="21" t="s">
        <v>729</v>
      </c>
      <c r="D2269" s="21" t="s">
        <v>730</v>
      </c>
      <c r="E2269" s="22">
        <f>IF(D2269="?OLD","!!!","")</f>
        <v/>
      </c>
      <c r="F2269" s="23" t="str">
        <f>IF(OR(E2269="",E2269="!!!"),"",IF(NOT(ISNA(VLOOKUP(E2269,E$1:E2268,1,FALSE()))),"OLD",IF(AND(E2269&lt;&gt;"",E2269&lt;&gt;"!!!"),"NEW","")))</f>
        <v> </v>
      </c>
      <c r="G2269" s="24" t="str">
        <f>IF(OR(E2269="",E2269="!!!"),"",IF(OR(J2269=0,AND(J2269=1,K2269=1),AND(J2269=1,I2269="SBJ"),AND(J2269=1,I2269=0)),"?IN_FOCUS",IF(J2269&lt;=2,"?ACTIVATED",IF(J2269&lt;&gt;"","?FAMILIAR",IF(F2269="NEW",IF(ISNA(VLOOKUP(E2269,#REF!,1,FALSE())),"?TYPE_IDENTIFIABLE","?REFERENTIAL"),"_")))))</f>
        <v> </v>
      </c>
      <c r="H2269" s="25" t="str">
        <f>IF(J2269&lt;&gt;1,"",IF(I2269="SBJ","CB","?"))</f>
        <v> </v>
      </c>
      <c r="I2269" s="26" t="str">
        <f>IF(OR(E2269="",E2269="!!!",F2269="NEW"),"",INDEX(B2268:B$2,-1+SUMPRODUCT(MAX(ROW(E2268:E$2)*(E2269=E2268:E$2)))))</f>
        <v> </v>
      </c>
      <c r="J2269" s="26" t="str">
        <f>IF(OR(E2269="",E2269="!!!",F2269="NEW"),"",COUNTBLANK(OFFSET(A$1,,,SUMPRODUCT(MAX(ROW(E$2:E2269)*(E2269=E$2:E2269)))))-COUNTBLANK(OFFSET(A$1,,,SUMPRODUCT(MAX(ROW(E$1:E2268)*(E2=E$1:E2268))))))</f>
        <v> </v>
      </c>
      <c r="K2269" s="26" t="str">
        <f>IF(OR(E2269="",E2269="!!!",F2269="NEW"),"",INDEX(J$1:J2268,SUMPRODUCT(MAX(ROW(E$1:E2268)*(E2269=E$1:E2268)))))</f>
        <v> </v>
      </c>
      <c r="L2269" s="27"/>
    </row>
    <row r="2270" spans="1:12">
      <c r="A2270" s="20" t="s">
        <v>1314</v>
      </c>
      <c r="B2270" s="21" t="s">
        <v>739</v>
      </c>
      <c r="C2270" s="21" t="s">
        <v>801</v>
      </c>
      <c r="D2270" s="21" t="s">
        <v>730</v>
      </c>
      <c r="E2270" s="22">
        <f>IF(D2270="?OLD","!!!","")</f>
        <v/>
      </c>
      <c r="F2270" s="23" t="str">
        <f>IF(OR(E2270="",E2270="!!!"),"",IF(NOT(ISNA(VLOOKUP(E2270,E$1:E2269,1,FALSE()))),"OLD",IF(AND(E2270&lt;&gt;"",E2270&lt;&gt;"!!!"),"NEW","")))</f>
        <v> </v>
      </c>
      <c r="G2270" s="24" t="str">
        <f>IF(OR(E2270="",E2270="!!!"),"",IF(OR(J2270=0,AND(J2270=1,K2270=1),AND(J2270=1,I2270="SBJ"),AND(J2270=1,I2270=0)),"?IN_FOCUS",IF(J2270&lt;=2,"?ACTIVATED",IF(J2270&lt;&gt;"","?FAMILIAR",IF(F2270="NEW",IF(ISNA(VLOOKUP(E2270,#REF!,1,FALSE())),"?TYPE_IDENTIFIABLE","?REFERENTIAL"),"_")))))</f>
        <v> </v>
      </c>
      <c r="H2270" s="25" t="str">
        <f>IF(J2270&lt;&gt;1,"",IF(I2270="SBJ","CB","?"))</f>
        <v> </v>
      </c>
      <c r="I2270" s="26" t="str">
        <f>IF(OR(E2270="",E2270="!!!",F2270="NEW"),"",INDEX(B2269:B$2,-1+SUMPRODUCT(MAX(ROW(E2269:E$2)*(E2270=E2269:E$2)))))</f>
        <v> </v>
      </c>
      <c r="J2270" s="26" t="str">
        <f>IF(OR(E2270="",E2270="!!!",F2270="NEW"),"",COUNTBLANK(OFFSET(A$1,,,SUMPRODUCT(MAX(ROW(E$2:E2270)*(E2270=E$2:E2270)))))-COUNTBLANK(OFFSET(A$1,,,SUMPRODUCT(MAX(ROW(E$1:E2269)*(E2=E$1:E2269))))))</f>
        <v> </v>
      </c>
      <c r="K2270" s="26" t="str">
        <f>IF(OR(E2270="",E2270="!!!",F2270="NEW"),"",INDEX(J$1:J2269,SUMPRODUCT(MAX(ROW(E$1:E2269)*(E2270=E$1:E2269)))))</f>
        <v> </v>
      </c>
      <c r="L2270" s="27"/>
    </row>
    <row r="2271" spans="1:12">
      <c r="A2271" s="20" t="s">
        <v>1613</v>
      </c>
      <c r="E2271" s="22">
        <f>IF(D2271="?OLD","!!!","")</f>
        <v/>
      </c>
      <c r="F2271" s="23" t="str">
        <f>IF(OR(E2271="",E2271="!!!"),"",IF(NOT(ISNA(VLOOKUP(E2271,E$1:E2270,1,FALSE()))),"OLD",IF(AND(E2271&lt;&gt;"",E2271&lt;&gt;"!!!"),"NEW","")))</f>
        <v> </v>
      </c>
      <c r="G2271" s="24" t="str">
        <f>IF(OR(E2271="",E2271="!!!"),"",IF(OR(J2271=0,AND(J2271=1,K2271=1),AND(J2271=1,I2271="SBJ"),AND(J2271=1,I2271=0)),"?IN_FOCUS",IF(J2271&lt;=2,"?ACTIVATED",IF(J2271&lt;&gt;"","?FAMILIAR",IF(F2271="NEW",IF(ISNA(VLOOKUP(E2271,#REF!,1,FALSE())),"?TYPE_IDENTIFIABLE","?REFERENTIAL"),"_")))))</f>
        <v> </v>
      </c>
      <c r="H2271" s="25" t="str">
        <f>IF(J2271&lt;&gt;1,"",IF(I2271="SBJ","CB","?"))</f>
        <v> </v>
      </c>
      <c r="I2271" s="26" t="str">
        <f>IF(OR(E2271="",E2271="!!!",F2271="NEW"),"",INDEX(B2270:B$2,-1+SUMPRODUCT(MAX(ROW(E2270:E$2)*(E2271=E2270:E$2)))))</f>
        <v> </v>
      </c>
      <c r="J2271" s="26" t="str">
        <f>IF(OR(E2271="",E2271="!!!",F2271="NEW"),"",COUNTBLANK(OFFSET(A$1,,,SUMPRODUCT(MAX(ROW(E$2:E2271)*(E2271=E$2:E2271)))))-COUNTBLANK(OFFSET(A$1,,,SUMPRODUCT(MAX(ROW(E$1:E2270)*(E2=E$1:E2270))))))</f>
        <v> </v>
      </c>
      <c r="K2271" s="26" t="str">
        <f>IF(OR(E2271="",E2271="!!!",F2271="NEW"),"",INDEX(J$1:J2270,SUMPRODUCT(MAX(ROW(E$1:E2270)*(E2271=E$1:E2270)))))</f>
        <v> </v>
      </c>
      <c r="L2271" s="27"/>
    </row>
    <row r="2272" spans="1:12">
      <c r="A2272" s="20" t="s">
        <v>12</v>
      </c>
      <c r="E2272" s="22">
        <f>IF(D2272="?OLD","!!!","")</f>
        <v/>
      </c>
      <c r="F2272" s="23" t="str">
        <f>IF(OR(E2272="",E2272="!!!"),"",IF(NOT(ISNA(VLOOKUP(E2272,E$1:E2271,1,FALSE()))),"OLD",IF(AND(E2272&lt;&gt;"",E2272&lt;&gt;"!!!"),"NEW","")))</f>
        <v> </v>
      </c>
      <c r="G2272" s="24" t="str">
        <f>IF(OR(E2272="",E2272="!!!"),"",IF(OR(J2272=0,AND(J2272=1,K2272=1),AND(J2272=1,I2272="SBJ"),AND(J2272=1,I2272=0)),"?IN_FOCUS",IF(J2272&lt;=2,"?ACTIVATED",IF(J2272&lt;&gt;"","?FAMILIAR",IF(F2272="NEW",IF(ISNA(VLOOKUP(E2272,#REF!,1,FALSE())),"?TYPE_IDENTIFIABLE","?REFERENTIAL"),"_")))))</f>
        <v> </v>
      </c>
      <c r="H2272" s="25" t="str">
        <f>IF(J2272&lt;&gt;1,"",IF(I2272="SBJ","CB","?"))</f>
        <v> </v>
      </c>
      <c r="I2272" s="26" t="str">
        <f>IF(OR(E2272="",E2272="!!!",F2272="NEW"),"",INDEX(B2271:B$2,-1+SUMPRODUCT(MAX(ROW(E2271:E$2)*(E2272=E2271:E$2)))))</f>
        <v> </v>
      </c>
      <c r="J2272" s="26" t="str">
        <f>IF(OR(E2272="",E2272="!!!",F2272="NEW"),"",COUNTBLANK(OFFSET(A$1,,,SUMPRODUCT(MAX(ROW(E$2:E2272)*(E2272=E$2:E2272)))))-COUNTBLANK(OFFSET(A$1,,,SUMPRODUCT(MAX(ROW(E$1:E2271)*(E2=E$1:E2271))))))</f>
        <v> </v>
      </c>
      <c r="K2272" s="26" t="str">
        <f>IF(OR(E2272="",E2272="!!!",F2272="NEW"),"",INDEX(J$1:J2271,SUMPRODUCT(MAX(ROW(E$1:E2271)*(E2272=E$1:E2271)))))</f>
        <v> </v>
      </c>
      <c r="L2272" s="27"/>
    </row>
    <row r="2273" spans="1:12">
      <c r="A2273" s="20" t="s">
        <v>1614</v>
      </c>
      <c r="B2273" s="21" t="s">
        <v>764</v>
      </c>
      <c r="C2273" s="21" t="s">
        <v>802</v>
      </c>
      <c r="D2273" s="21" t="s">
        <v>730</v>
      </c>
      <c r="E2273" s="22">
        <f>IF(D2273="?OLD","!!!","")</f>
        <v/>
      </c>
      <c r="F2273" s="23" t="str">
        <f>IF(OR(E2273="",E2273="!!!"),"",IF(NOT(ISNA(VLOOKUP(E2273,E$1:E2272,1,FALSE()))),"OLD",IF(AND(E2273&lt;&gt;"",E2273&lt;&gt;"!!!"),"NEW","")))</f>
        <v> </v>
      </c>
      <c r="G2273" s="24" t="str">
        <f>IF(OR(E2273="",E2273="!!!"),"",IF(OR(J2273=0,AND(J2273=1,K2273=1),AND(J2273=1,I2273="SBJ"),AND(J2273=1,I2273=0)),"?IN_FOCUS",IF(J2273&lt;=2,"?ACTIVATED",IF(J2273&lt;&gt;"","?FAMILIAR",IF(F2273="NEW",IF(ISNA(VLOOKUP(E2273,#REF!,1,FALSE())),"?TYPE_IDENTIFIABLE","?REFERENTIAL"),"_")))))</f>
        <v> </v>
      </c>
      <c r="H2273" s="25" t="str">
        <f>IF(J2273&lt;&gt;1,"",IF(I2273="SBJ","CB","?"))</f>
        <v> </v>
      </c>
      <c r="I2273" s="26" t="str">
        <f>IF(OR(E2273="",E2273="!!!",F2273="NEW"),"",INDEX(B2272:B$2,-1+SUMPRODUCT(MAX(ROW(E2272:E$2)*(E2273=E2272:E$2)))))</f>
        <v> </v>
      </c>
      <c r="J2273" s="26" t="str">
        <f>IF(OR(E2273="",E2273="!!!",F2273="NEW"),"",COUNTBLANK(OFFSET(A$1,,,SUMPRODUCT(MAX(ROW(E$2:E2273)*(E2273=E$2:E2273)))))-COUNTBLANK(OFFSET(A$1,,,SUMPRODUCT(MAX(ROW(E$1:E2272)*(E2=E$1:E2272))))))</f>
        <v> </v>
      </c>
      <c r="K2273" s="26" t="str">
        <f>IF(OR(E2273="",E2273="!!!",F2273="NEW"),"",INDEX(J$1:J2272,SUMPRODUCT(MAX(ROW(E$1:E2272)*(E2273=E$1:E2272)))))</f>
        <v> </v>
      </c>
      <c r="L2273" s="27"/>
    </row>
    <row r="2274" spans="1:12">
      <c r="A2274" s="20" t="s">
        <v>1615</v>
      </c>
      <c r="E2274" s="22">
        <f>IF(D2274="?OLD","!!!","")</f>
        <v/>
      </c>
      <c r="F2274" s="23" t="str">
        <f>IF(OR(E2274="",E2274="!!!"),"",IF(NOT(ISNA(VLOOKUP(E2274,E$1:E2273,1,FALSE()))),"OLD",IF(AND(E2274&lt;&gt;"",E2274&lt;&gt;"!!!"),"NEW","")))</f>
        <v> </v>
      </c>
      <c r="G2274" s="24" t="str">
        <f>IF(OR(E2274="",E2274="!!!"),"",IF(OR(J2274=0,AND(J2274=1,K2274=1),AND(J2274=1,I2274="SBJ"),AND(J2274=1,I2274=0)),"?IN_FOCUS",IF(J2274&lt;=2,"?ACTIVATED",IF(J2274&lt;&gt;"","?FAMILIAR",IF(F2274="NEW",IF(ISNA(VLOOKUP(E2274,#REF!,1,FALSE())),"?TYPE_IDENTIFIABLE","?REFERENTIAL"),"_")))))</f>
        <v> </v>
      </c>
      <c r="H2274" s="25" t="str">
        <f>IF(J2274&lt;&gt;1,"",IF(I2274="SBJ","CB","?"))</f>
        <v> </v>
      </c>
      <c r="I2274" s="26" t="str">
        <f>IF(OR(E2274="",E2274="!!!",F2274="NEW"),"",INDEX(B2273:B$2,-1+SUMPRODUCT(MAX(ROW(E2273:E$2)*(E2274=E2273:E$2)))))</f>
        <v> </v>
      </c>
      <c r="J2274" s="26" t="str">
        <f>IF(OR(E2274="",E2274="!!!",F2274="NEW"),"",COUNTBLANK(OFFSET(A$1,,,SUMPRODUCT(MAX(ROW(E$2:E2274)*(E2274=E$2:E2274)))))-COUNTBLANK(OFFSET(A$1,,,SUMPRODUCT(MAX(ROW(E$1:E2273)*(E2=E$1:E2273))))))</f>
        <v> </v>
      </c>
      <c r="K2274" s="26" t="str">
        <f>IF(OR(E2274="",E2274="!!!",F2274="NEW"),"",INDEX(J$1:J2273,SUMPRODUCT(MAX(ROW(E$1:E2273)*(E2274=E$1:E2273)))))</f>
        <v> </v>
      </c>
      <c r="L2274" s="27"/>
    </row>
    <row r="2275" spans="1:12">
      <c r="A2275" s="20" t="s">
        <v>759</v>
      </c>
      <c r="E2275" s="22">
        <f>IF(D2275="?OLD","!!!","")</f>
        <v/>
      </c>
      <c r="F2275" s="23" t="str">
        <f>IF(OR(E2275="",E2275="!!!"),"",IF(NOT(ISNA(VLOOKUP(E2275,E$1:E2274,1,FALSE()))),"OLD",IF(AND(E2275&lt;&gt;"",E2275&lt;&gt;"!!!"),"NEW","")))</f>
        <v> </v>
      </c>
      <c r="G2275" s="24" t="str">
        <f>IF(OR(E2275="",E2275="!!!"),"",IF(OR(J2275=0,AND(J2275=1,K2275=1),AND(J2275=1,I2275="SBJ"),AND(J2275=1,I2275=0)),"?IN_FOCUS",IF(J2275&lt;=2,"?ACTIVATED",IF(J2275&lt;&gt;"","?FAMILIAR",IF(F2275="NEW",IF(ISNA(VLOOKUP(E2275,#REF!,1,FALSE())),"?TYPE_IDENTIFIABLE","?REFERENTIAL"),"_")))))</f>
        <v> </v>
      </c>
      <c r="H2275" s="25" t="str">
        <f>IF(J2275&lt;&gt;1,"",IF(I2275="SBJ","CB","?"))</f>
        <v> </v>
      </c>
      <c r="I2275" s="26" t="str">
        <f>IF(OR(E2275="",E2275="!!!",F2275="NEW"),"",INDEX(B2274:B$2,-1+SUMPRODUCT(MAX(ROW(E2274:E$2)*(E2275=E2274:E$2)))))</f>
        <v> </v>
      </c>
      <c r="J2275" s="26" t="str">
        <f>IF(OR(E2275="",E2275="!!!",F2275="NEW"),"",COUNTBLANK(OFFSET(A$1,,,SUMPRODUCT(MAX(ROW(E$2:E2275)*(E2275=E$2:E2275)))))-COUNTBLANK(OFFSET(A$1,,,SUMPRODUCT(MAX(ROW(E$1:E2274)*(E2=E$1:E2274))))))</f>
        <v> </v>
      </c>
      <c r="K2275" s="26" t="str">
        <f>IF(OR(E2275="",E2275="!!!",F2275="NEW"),"",INDEX(J$1:J2274,SUMPRODUCT(MAX(ROW(E$1:E2274)*(E2275=E$1:E2274)))))</f>
        <v> </v>
      </c>
      <c r="L2275" s="27"/>
    </row>
    <row r="2276" spans="1:12">
      <c r="A2276" s="20" t="s">
        <v>808</v>
      </c>
      <c r="E2276" s="22">
        <f>IF(D2276="?OLD","!!!","")</f>
        <v/>
      </c>
      <c r="F2276" s="23" t="str">
        <f>IF(OR(E2276="",E2276="!!!"),"",IF(NOT(ISNA(VLOOKUP(E2276,E$1:E2275,1,FALSE()))),"OLD",IF(AND(E2276&lt;&gt;"",E2276&lt;&gt;"!!!"),"NEW","")))</f>
        <v> </v>
      </c>
      <c r="G2276" s="24" t="str">
        <f>IF(OR(E2276="",E2276="!!!"),"",IF(OR(J2276=0,AND(J2276=1,K2276=1),AND(J2276=1,I2276="SBJ"),AND(J2276=1,I2276=0)),"?IN_FOCUS",IF(J2276&lt;=2,"?ACTIVATED",IF(J2276&lt;&gt;"","?FAMILIAR",IF(F2276="NEW",IF(ISNA(VLOOKUP(E2276,#REF!,1,FALSE())),"?TYPE_IDENTIFIABLE","?REFERENTIAL"),"_")))))</f>
        <v> </v>
      </c>
      <c r="H2276" s="25" t="str">
        <f>IF(J2276&lt;&gt;1,"",IF(I2276="SBJ","CB","?"))</f>
        <v> </v>
      </c>
      <c r="I2276" s="26" t="str">
        <f>IF(OR(E2276="",E2276="!!!",F2276="NEW"),"",INDEX(B2275:B$2,-1+SUMPRODUCT(MAX(ROW(E2275:E$2)*(E2276=E2275:E$2)))))</f>
        <v> </v>
      </c>
      <c r="J2276" s="26" t="str">
        <f>IF(OR(E2276="",E2276="!!!",F2276="NEW"),"",COUNTBLANK(OFFSET(A$1,,,SUMPRODUCT(MAX(ROW(E$2:E2276)*(E2276=E$2:E2276)))))-COUNTBLANK(OFFSET(A$1,,,SUMPRODUCT(MAX(ROW(E$1:E2275)*(E2=E$1:E2275))))))</f>
        <v> </v>
      </c>
      <c r="K2276" s="26" t="str">
        <f>IF(OR(E2276="",E2276="!!!",F2276="NEW"),"",INDEX(J$1:J2275,SUMPRODUCT(MAX(ROW(E$1:E2275)*(E2276=E$1:E2275)))))</f>
        <v> </v>
      </c>
      <c r="L2276" s="27"/>
    </row>
    <row r="2277" spans="1:12">
      <c r="A2277" s="20" t="s">
        <v>1450</v>
      </c>
      <c r="B2277" s="21" t="s">
        <v>796</v>
      </c>
      <c r="C2277" s="21" t="s">
        <v>756</v>
      </c>
      <c r="E2277" s="22">
        <f>IF(D2277="?OLD","!!!","")</f>
        <v/>
      </c>
      <c r="F2277" s="23" t="str">
        <f>IF(OR(E2277="",E2277="!!!"),"",IF(NOT(ISNA(VLOOKUP(E2277,E$1:E2276,1,FALSE()))),"OLD",IF(AND(E2277&lt;&gt;"",E2277&lt;&gt;"!!!"),"NEW","")))</f>
        <v> </v>
      </c>
      <c r="G2277" s="24" t="str">
        <f>IF(OR(E2277="",E2277="!!!"),"",IF(OR(J2277=0,AND(J2277=1,K2277=1),AND(J2277=1,I2277="SBJ"),AND(J2277=1,I2277=0)),"?IN_FOCUS",IF(J2277&lt;=2,"?ACTIVATED",IF(J2277&lt;&gt;"","?FAMILIAR",IF(F2277="NEW",IF(ISNA(VLOOKUP(E2277,#REF!,1,FALSE())),"?TYPE_IDENTIFIABLE","?REFERENTIAL"),"_")))))</f>
        <v> </v>
      </c>
      <c r="H2277" s="25" t="str">
        <f>IF(J2277&lt;&gt;1,"",IF(I2277="SBJ","CB","?"))</f>
        <v> </v>
      </c>
      <c r="I2277" s="26" t="str">
        <f>IF(OR(E2277="",E2277="!!!",F2277="NEW"),"",INDEX(B2276:B$2,-1+SUMPRODUCT(MAX(ROW(E2276:E$2)*(E2277=E2276:E$2)))))</f>
        <v> </v>
      </c>
      <c r="J2277" s="26" t="str">
        <f>IF(OR(E2277="",E2277="!!!",F2277="NEW"),"",COUNTBLANK(OFFSET(A$1,,,SUMPRODUCT(MAX(ROW(E$2:E2277)*(E2277=E$2:E2277)))))-COUNTBLANK(OFFSET(A$1,,,SUMPRODUCT(MAX(ROW(E$1:E2276)*(E2=E$1:E2276))))))</f>
        <v> </v>
      </c>
      <c r="K2277" s="26" t="str">
        <f>IF(OR(E2277="",E2277="!!!",F2277="NEW"),"",INDEX(J$1:J2276,SUMPRODUCT(MAX(ROW(E$1:E2276)*(E2277=E$1:E2276)))))</f>
        <v> </v>
      </c>
      <c r="L2277" s="27"/>
    </row>
    <row r="2278" spans="1:12">
      <c r="A2278" s="20" t="s">
        <v>1616</v>
      </c>
      <c r="B2278" s="21" t="s">
        <v>755</v>
      </c>
      <c r="C2278" s="21" t="s">
        <v>789</v>
      </c>
      <c r="D2278" s="21" t="s">
        <v>730</v>
      </c>
      <c r="E2278" s="22">
        <f>IF(D2278="?OLD","!!!","")</f>
        <v/>
      </c>
      <c r="F2278" s="23" t="str">
        <f>IF(OR(E2278="",E2278="!!!"),"",IF(NOT(ISNA(VLOOKUP(E2278,E$1:E2277,1,FALSE()))),"OLD",IF(AND(E2278&lt;&gt;"",E2278&lt;&gt;"!!!"),"NEW","")))</f>
        <v> </v>
      </c>
      <c r="G2278" s="24" t="str">
        <f>IF(OR(E2278="",E2278="!!!"),"",IF(OR(J2278=0,AND(J2278=1,K2278=1),AND(J2278=1,I2278="SBJ"),AND(J2278=1,I2278=0)),"?IN_FOCUS",IF(J2278&lt;=2,"?ACTIVATED",IF(J2278&lt;&gt;"","?FAMILIAR",IF(F2278="NEW",IF(ISNA(VLOOKUP(E2278,#REF!,1,FALSE())),"?TYPE_IDENTIFIABLE","?REFERENTIAL"),"_")))))</f>
        <v> </v>
      </c>
      <c r="H2278" s="25" t="str">
        <f>IF(J2278&lt;&gt;1,"",IF(I2278="SBJ","CB","?"))</f>
        <v> </v>
      </c>
      <c r="I2278" s="26" t="str">
        <f>IF(OR(E2278="",E2278="!!!",F2278="NEW"),"",INDEX(B2277:B$2,-1+SUMPRODUCT(MAX(ROW(E2277:E$2)*(E2278=E2277:E$2)))))</f>
        <v> </v>
      </c>
      <c r="J2278" s="26" t="str">
        <f>IF(OR(E2278="",E2278="!!!",F2278="NEW"),"",COUNTBLANK(OFFSET(A$1,,,SUMPRODUCT(MAX(ROW(E$2:E2278)*(E2278=E$2:E2278)))))-COUNTBLANK(OFFSET(A$1,,,SUMPRODUCT(MAX(ROW(E$1:E2277)*(E2=E$1:E2277))))))</f>
        <v> </v>
      </c>
      <c r="K2278" s="26" t="str">
        <f>IF(OR(E2278="",E2278="!!!",F2278="NEW"),"",INDEX(J$1:J2277,SUMPRODUCT(MAX(ROW(E$1:E2277)*(E2278=E$1:E2277)))))</f>
        <v> </v>
      </c>
      <c r="L2278" s="27"/>
    </row>
    <row r="2279" spans="1:12">
      <c r="A2279" s="20" t="s">
        <v>1617</v>
      </c>
      <c r="E2279" s="22">
        <f>IF(D2279="?OLD","!!!","")</f>
        <v/>
      </c>
      <c r="F2279" s="23" t="str">
        <f>IF(OR(E2279="",E2279="!!!"),"",IF(NOT(ISNA(VLOOKUP(E2279,E$1:E2278,1,FALSE()))),"OLD",IF(AND(E2279&lt;&gt;"",E2279&lt;&gt;"!!!"),"NEW","")))</f>
        <v> </v>
      </c>
      <c r="G2279" s="24" t="str">
        <f>IF(OR(E2279="",E2279="!!!"),"",IF(OR(J2279=0,AND(J2279=1,K2279=1),AND(J2279=1,I2279="SBJ"),AND(J2279=1,I2279=0)),"?IN_FOCUS",IF(J2279&lt;=2,"?ACTIVATED",IF(J2279&lt;&gt;"","?FAMILIAR",IF(F2279="NEW",IF(ISNA(VLOOKUP(E2279,#REF!,1,FALSE())),"?TYPE_IDENTIFIABLE","?REFERENTIAL"),"_")))))</f>
        <v> </v>
      </c>
      <c r="H2279" s="25" t="str">
        <f>IF(J2279&lt;&gt;1,"",IF(I2279="SBJ","CB","?"))</f>
        <v> </v>
      </c>
      <c r="I2279" s="26" t="str">
        <f>IF(OR(E2279="",E2279="!!!",F2279="NEW"),"",INDEX(B2278:B$2,-1+SUMPRODUCT(MAX(ROW(E2278:E$2)*(E2279=E2278:E$2)))))</f>
        <v> </v>
      </c>
      <c r="J2279" s="26" t="str">
        <f>IF(OR(E2279="",E2279="!!!",F2279="NEW"),"",COUNTBLANK(OFFSET(A$1,,,SUMPRODUCT(MAX(ROW(E$2:E2279)*(E2279=E$2:E2279)))))-COUNTBLANK(OFFSET(A$1,,,SUMPRODUCT(MAX(ROW(E$1:E2278)*(E2=E$1:E2278))))))</f>
        <v> </v>
      </c>
      <c r="K2279" s="26" t="str">
        <f>IF(OR(E2279="",E2279="!!!",F2279="NEW"),"",INDEX(J$1:J2278,SUMPRODUCT(MAX(ROW(E$1:E2278)*(E2279=E$1:E2278)))))</f>
        <v> </v>
      </c>
      <c r="L2279" s="27"/>
    </row>
    <row r="2280" spans="1:12">
      <c r="A2280" s="20" t="s">
        <v>1618</v>
      </c>
      <c r="B2280" s="21" t="s">
        <v>791</v>
      </c>
      <c r="C2280" s="21" t="s">
        <v>801</v>
      </c>
      <c r="E2280" s="22">
        <f>IF(D2280="?OLD","!!!","")</f>
        <v/>
      </c>
      <c r="F2280" s="23" t="str">
        <f>IF(OR(E2280="",E2280="!!!"),"",IF(NOT(ISNA(VLOOKUP(E2280,E$1:E2279,1,FALSE()))),"OLD",IF(AND(E2280&lt;&gt;"",E2280&lt;&gt;"!!!"),"NEW","")))</f>
        <v> </v>
      </c>
      <c r="G2280" s="24" t="str">
        <f>IF(OR(E2280="",E2280="!!!"),"",IF(OR(J2280=0,AND(J2280=1,K2280=1),AND(J2280=1,I2280="SBJ"),AND(J2280=1,I2280=0)),"?IN_FOCUS",IF(J2280&lt;=2,"?ACTIVATED",IF(J2280&lt;&gt;"","?FAMILIAR",IF(F2280="NEW",IF(ISNA(VLOOKUP(E2280,#REF!,1,FALSE())),"?TYPE_IDENTIFIABLE","?REFERENTIAL"),"_")))))</f>
        <v> </v>
      </c>
      <c r="H2280" s="25" t="str">
        <f>IF(J2280&lt;&gt;1,"",IF(I2280="SBJ","CB","?"))</f>
        <v> </v>
      </c>
      <c r="I2280" s="26" t="str">
        <f>IF(OR(E2280="",E2280="!!!",F2280="NEW"),"",INDEX(B2279:B$2,-1+SUMPRODUCT(MAX(ROW(E2279:E$2)*(E2280=E2279:E$2)))))</f>
        <v> </v>
      </c>
      <c r="J2280" s="26" t="str">
        <f>IF(OR(E2280="",E2280="!!!",F2280="NEW"),"",COUNTBLANK(OFFSET(A$1,,,SUMPRODUCT(MAX(ROW(E$2:E2280)*(E2280=E$2:E2280)))))-COUNTBLANK(OFFSET(A$1,,,SUMPRODUCT(MAX(ROW(E$1:E2279)*(E2=E$1:E2279))))))</f>
        <v> </v>
      </c>
      <c r="K2280" s="26" t="str">
        <f>IF(OR(E2280="",E2280="!!!",F2280="NEW"),"",INDEX(J$1:J2279,SUMPRODUCT(MAX(ROW(E$1:E2279)*(E2280=E$1:E2279)))))</f>
        <v> </v>
      </c>
      <c r="L2280" s="27"/>
    </row>
    <row r="2281" spans="1:12">
      <c r="A2281" s="20" t="s">
        <v>1619</v>
      </c>
      <c r="E2281" s="22">
        <f>IF(D2281="?OLD","!!!","")</f>
        <v/>
      </c>
      <c r="F2281" s="23" t="str">
        <f>IF(OR(E2281="",E2281="!!!"),"",IF(NOT(ISNA(VLOOKUP(E2281,E$1:E2280,1,FALSE()))),"OLD",IF(AND(E2281&lt;&gt;"",E2281&lt;&gt;"!!!"),"NEW","")))</f>
        <v> </v>
      </c>
      <c r="G2281" s="24" t="str">
        <f>IF(OR(E2281="",E2281="!!!"),"",IF(OR(J2281=0,AND(J2281=1,K2281=1),AND(J2281=1,I2281="SBJ"),AND(J2281=1,I2281=0)),"?IN_FOCUS",IF(J2281&lt;=2,"?ACTIVATED",IF(J2281&lt;&gt;"","?FAMILIAR",IF(F2281="NEW",IF(ISNA(VLOOKUP(E2281,#REF!,1,FALSE())),"?TYPE_IDENTIFIABLE","?REFERENTIAL"),"_")))))</f>
        <v> </v>
      </c>
      <c r="H2281" s="25" t="str">
        <f>IF(J2281&lt;&gt;1,"",IF(I2281="SBJ","CB","?"))</f>
        <v> </v>
      </c>
      <c r="I2281" s="26" t="str">
        <f>IF(OR(E2281="",E2281="!!!",F2281="NEW"),"",INDEX(B2280:B$2,-1+SUMPRODUCT(MAX(ROW(E2280:E$2)*(E2281=E2280:E$2)))))</f>
        <v> </v>
      </c>
      <c r="J2281" s="26" t="str">
        <f>IF(OR(E2281="",E2281="!!!",F2281="NEW"),"",COUNTBLANK(OFFSET(A$1,,,SUMPRODUCT(MAX(ROW(E$2:E2281)*(E2281=E$2:E2281)))))-COUNTBLANK(OFFSET(A$1,,,SUMPRODUCT(MAX(ROW(E$1:E2280)*(E2=E$1:E2280))))))</f>
        <v> </v>
      </c>
      <c r="K2281" s="26" t="str">
        <f>IF(OR(E2281="",E2281="!!!",F2281="NEW"),"",INDEX(J$1:J2280,SUMPRODUCT(MAX(ROW(E$1:E2280)*(E2281=E$1:E2280)))))</f>
        <v> </v>
      </c>
      <c r="L2281" s="27"/>
    </row>
    <row r="2282" spans="1:12">
      <c r="A2282" s="20" t="s">
        <v>785</v>
      </c>
      <c r="E2282" s="22">
        <f>IF(D2282="?OLD","!!!","")</f>
        <v/>
      </c>
      <c r="F2282" s="23" t="str">
        <f>IF(OR(E2282="",E2282="!!!"),"",IF(NOT(ISNA(VLOOKUP(E2282,E$1:E2281,1,FALSE()))),"OLD",IF(AND(E2282&lt;&gt;"",E2282&lt;&gt;"!!!"),"NEW","")))</f>
        <v> </v>
      </c>
      <c r="G2282" s="24" t="str">
        <f>IF(OR(E2282="",E2282="!!!"),"",IF(OR(J2282=0,AND(J2282=1,K2282=1),AND(J2282=1,I2282="SBJ"),AND(J2282=1,I2282=0)),"?IN_FOCUS",IF(J2282&lt;=2,"?ACTIVATED",IF(J2282&lt;&gt;"","?FAMILIAR",IF(F2282="NEW",IF(ISNA(VLOOKUP(E2282,#REF!,1,FALSE())),"?TYPE_IDENTIFIABLE","?REFERENTIAL"),"_")))))</f>
        <v> </v>
      </c>
      <c r="H2282" s="25" t="str">
        <f>IF(J2282&lt;&gt;1,"",IF(I2282="SBJ","CB","?"))</f>
        <v> </v>
      </c>
      <c r="I2282" s="26" t="str">
        <f>IF(OR(E2282="",E2282="!!!",F2282="NEW"),"",INDEX(B2281:B$2,-1+SUMPRODUCT(MAX(ROW(E2281:E$2)*(E2282=E2281:E$2)))))</f>
        <v> </v>
      </c>
      <c r="J2282" s="26" t="str">
        <f>IF(OR(E2282="",E2282="!!!",F2282="NEW"),"",COUNTBLANK(OFFSET(A$1,,,SUMPRODUCT(MAX(ROW(E$2:E2282)*(E2282=E$2:E2282)))))-COUNTBLANK(OFFSET(A$1,,,SUMPRODUCT(MAX(ROW(E$1:E2281)*(E2=E$1:E2281))))))</f>
        <v> </v>
      </c>
      <c r="K2282" s="26" t="str">
        <f>IF(OR(E2282="",E2282="!!!",F2282="NEW"),"",INDEX(J$1:J2281,SUMPRODUCT(MAX(ROW(E$1:E2281)*(E2282=E$1:E2281)))))</f>
        <v> </v>
      </c>
      <c r="L2282" s="27"/>
    </row>
    <row r="2283" spans="1:12">
      <c r="A2283" s="20" t="s">
        <v>944</v>
      </c>
      <c r="E2283" s="22">
        <f>IF(D2283="?OLD","!!!","")</f>
        <v/>
      </c>
      <c r="F2283" s="23" t="str">
        <f>IF(OR(E2283="",E2283="!!!"),"",IF(NOT(ISNA(VLOOKUP(E2283,E$1:E2282,1,FALSE()))),"OLD",IF(AND(E2283&lt;&gt;"",E2283&lt;&gt;"!!!"),"NEW","")))</f>
        <v> </v>
      </c>
      <c r="G2283" s="24" t="str">
        <f>IF(OR(E2283="",E2283="!!!"),"",IF(OR(J2283=0,AND(J2283=1,K2283=1),AND(J2283=1,I2283="SBJ"),AND(J2283=1,I2283=0)),"?IN_FOCUS",IF(J2283&lt;=2,"?ACTIVATED",IF(J2283&lt;&gt;"","?FAMILIAR",IF(F2283="NEW",IF(ISNA(VLOOKUP(E2283,#REF!,1,FALSE())),"?TYPE_IDENTIFIABLE","?REFERENTIAL"),"_")))))</f>
        <v> </v>
      </c>
      <c r="H2283" s="25" t="str">
        <f>IF(J2283&lt;&gt;1,"",IF(I2283="SBJ","CB","?"))</f>
        <v> </v>
      </c>
      <c r="I2283" s="26" t="str">
        <f>IF(OR(E2283="",E2283="!!!",F2283="NEW"),"",INDEX(B2282:B$2,-1+SUMPRODUCT(MAX(ROW(E2282:E$2)*(E2283=E2282:E$2)))))</f>
        <v> </v>
      </c>
      <c r="J2283" s="26" t="str">
        <f>IF(OR(E2283="",E2283="!!!",F2283="NEW"),"",COUNTBLANK(OFFSET(A$1,,,SUMPRODUCT(MAX(ROW(E$2:E2283)*(E2283=E$2:E2283)))))-COUNTBLANK(OFFSET(A$1,,,SUMPRODUCT(MAX(ROW(E$1:E2282)*(E2=E$1:E2282))))))</f>
        <v> </v>
      </c>
      <c r="K2283" s="26" t="str">
        <f>IF(OR(E2283="",E2283="!!!",F2283="NEW"),"",INDEX(J$1:J2282,SUMPRODUCT(MAX(ROW(E$1:E2282)*(E2283=E$1:E2282)))))</f>
        <v> </v>
      </c>
      <c r="L2283" s="27"/>
    </row>
    <row r="2284" spans="1:12">
      <c r="A2284" s="20" t="s">
        <v>776</v>
      </c>
      <c r="E2284" s="22">
        <f>IF(D2284="?OLD","!!!","")</f>
        <v/>
      </c>
      <c r="F2284" s="23" t="str">
        <f>IF(OR(E2284="",E2284="!!!"),"",IF(NOT(ISNA(VLOOKUP(E2284,E$1:E2283,1,FALSE()))),"OLD",IF(AND(E2284&lt;&gt;"",E2284&lt;&gt;"!!!"),"NEW","")))</f>
        <v> </v>
      </c>
      <c r="G2284" s="24" t="str">
        <f>IF(OR(E2284="",E2284="!!!"),"",IF(OR(J2284=0,AND(J2284=1,K2284=1),AND(J2284=1,I2284="SBJ"),AND(J2284=1,I2284=0)),"?IN_FOCUS",IF(J2284&lt;=2,"?ACTIVATED",IF(J2284&lt;&gt;"","?FAMILIAR",IF(F2284="NEW",IF(ISNA(VLOOKUP(E2284,#REF!,1,FALSE())),"?TYPE_IDENTIFIABLE","?REFERENTIAL"),"_")))))</f>
        <v> </v>
      </c>
      <c r="H2284" s="25" t="str">
        <f>IF(J2284&lt;&gt;1,"",IF(I2284="SBJ","CB","?"))</f>
        <v> </v>
      </c>
      <c r="I2284" s="26" t="str">
        <f>IF(OR(E2284="",E2284="!!!",F2284="NEW"),"",INDEX(B2283:B$2,-1+SUMPRODUCT(MAX(ROW(E2283:E$2)*(E2284=E2283:E$2)))))</f>
        <v> </v>
      </c>
      <c r="J2284" s="26" t="str">
        <f>IF(OR(E2284="",E2284="!!!",F2284="NEW"),"",COUNTBLANK(OFFSET(A$1,,,SUMPRODUCT(MAX(ROW(E$2:E2284)*(E2284=E$2:E2284)))))-COUNTBLANK(OFFSET(A$1,,,SUMPRODUCT(MAX(ROW(E$1:E2283)*(E2=E$1:E2283))))))</f>
        <v> </v>
      </c>
      <c r="K2284" s="26" t="str">
        <f>IF(OR(E2284="",E2284="!!!",F2284="NEW"),"",INDEX(J$1:J2283,SUMPRODUCT(MAX(ROW(E$1:E2283)*(E2284=E$1:E2283)))))</f>
        <v> </v>
      </c>
      <c r="L2284" s="27"/>
    </row>
    <row r="2285" spans="1:12">
      <c r="A2285" s="20" t="s">
        <v>1404</v>
      </c>
      <c r="E2285" s="22">
        <f>IF(D2285="?OLD","!!!","")</f>
        <v/>
      </c>
      <c r="F2285" s="23" t="str">
        <f>IF(OR(E2285="",E2285="!!!"),"",IF(NOT(ISNA(VLOOKUP(E2285,E$1:E2284,1,FALSE()))),"OLD",IF(AND(E2285&lt;&gt;"",E2285&lt;&gt;"!!!"),"NEW","")))</f>
        <v> </v>
      </c>
      <c r="G2285" s="24" t="str">
        <f>IF(OR(E2285="",E2285="!!!"),"",IF(OR(J2285=0,AND(J2285=1,K2285=1),AND(J2285=1,I2285="SBJ"),AND(J2285=1,I2285=0)),"?IN_FOCUS",IF(J2285&lt;=2,"?ACTIVATED",IF(J2285&lt;&gt;"","?FAMILIAR",IF(F2285="NEW",IF(ISNA(VLOOKUP(E2285,#REF!,1,FALSE())),"?TYPE_IDENTIFIABLE","?REFERENTIAL"),"_")))))</f>
        <v> </v>
      </c>
      <c r="H2285" s="25" t="str">
        <f>IF(J2285&lt;&gt;1,"",IF(I2285="SBJ","CB","?"))</f>
        <v> </v>
      </c>
      <c r="I2285" s="26" t="str">
        <f>IF(OR(E2285="",E2285="!!!",F2285="NEW"),"",INDEX(B2284:B$2,-1+SUMPRODUCT(MAX(ROW(E2284:E$2)*(E2285=E2284:E$2)))))</f>
        <v> </v>
      </c>
      <c r="J2285" s="26" t="str">
        <f>IF(OR(E2285="",E2285="!!!",F2285="NEW"),"",COUNTBLANK(OFFSET(A$1,,,SUMPRODUCT(MAX(ROW(E$2:E2285)*(E2285=E$2:E2285)))))-COUNTBLANK(OFFSET(A$1,,,SUMPRODUCT(MAX(ROW(E$1:E2284)*(E2=E$1:E2284))))))</f>
        <v> </v>
      </c>
      <c r="K2285" s="26" t="str">
        <f>IF(OR(E2285="",E2285="!!!",F2285="NEW"),"",INDEX(J$1:J2284,SUMPRODUCT(MAX(ROW(E$1:E2284)*(E2285=E$1:E2284)))))</f>
        <v> </v>
      </c>
      <c r="L2285" s="27"/>
    </row>
    <row r="2286" spans="1:12">
      <c r="A2286" s="20" t="s">
        <v>1578</v>
      </c>
      <c r="B2286" s="21" t="s">
        <v>788</v>
      </c>
      <c r="C2286" s="21" t="s">
        <v>753</v>
      </c>
      <c r="D2286" s="21" t="s">
        <v>730</v>
      </c>
      <c r="E2286" s="22">
        <f>IF(D2286="?OLD","!!!","")</f>
        <v/>
      </c>
      <c r="F2286" s="23" t="str">
        <f>IF(OR(E2286="",E2286="!!!"),"",IF(NOT(ISNA(VLOOKUP(E2286,E$1:E2285,1,FALSE()))),"OLD",IF(AND(E2286&lt;&gt;"",E2286&lt;&gt;"!!!"),"NEW","")))</f>
        <v> </v>
      </c>
      <c r="G2286" s="24" t="str">
        <f>IF(OR(E2286="",E2286="!!!"),"",IF(OR(J2286=0,AND(J2286=1,K2286=1),AND(J2286=1,I2286="SBJ"),AND(J2286=1,I2286=0)),"?IN_FOCUS",IF(J2286&lt;=2,"?ACTIVATED",IF(J2286&lt;&gt;"","?FAMILIAR",IF(F2286="NEW",IF(ISNA(VLOOKUP(E2286,#REF!,1,FALSE())),"?TYPE_IDENTIFIABLE","?REFERENTIAL"),"_")))))</f>
        <v> </v>
      </c>
      <c r="H2286" s="25" t="str">
        <f>IF(J2286&lt;&gt;1,"",IF(I2286="SBJ","CB","?"))</f>
        <v> </v>
      </c>
      <c r="I2286" s="26" t="str">
        <f>IF(OR(E2286="",E2286="!!!",F2286="NEW"),"",INDEX(B2285:B$2,-1+SUMPRODUCT(MAX(ROW(E2285:E$2)*(E2286=E2285:E$2)))))</f>
        <v> </v>
      </c>
      <c r="J2286" s="26" t="str">
        <f>IF(OR(E2286="",E2286="!!!",F2286="NEW"),"",COUNTBLANK(OFFSET(A$1,,,SUMPRODUCT(MAX(ROW(E$2:E2286)*(E2286=E$2:E2286)))))-COUNTBLANK(OFFSET(A$1,,,SUMPRODUCT(MAX(ROW(E$1:E2285)*(E2=E$1:E2285))))))</f>
        <v> </v>
      </c>
      <c r="K2286" s="26" t="str">
        <f>IF(OR(E2286="",E2286="!!!",F2286="NEW"),"",INDEX(J$1:J2285,SUMPRODUCT(MAX(ROW(E$1:E2285)*(E2286=E$1:E2285)))))</f>
        <v> </v>
      </c>
      <c r="L2286" s="27"/>
    </row>
    <row r="2287" spans="1:12">
      <c r="A2287" s="20" t="s">
        <v>773</v>
      </c>
      <c r="E2287" s="22">
        <f>IF(D2287="?OLD","!!!","")</f>
        <v/>
      </c>
      <c r="F2287" s="23" t="str">
        <f>IF(OR(E2287="",E2287="!!!"),"",IF(NOT(ISNA(VLOOKUP(E2287,E$1:E2286,1,FALSE()))),"OLD",IF(AND(E2287&lt;&gt;"",E2287&lt;&gt;"!!!"),"NEW","")))</f>
        <v> </v>
      </c>
      <c r="G2287" s="24" t="str">
        <f>IF(OR(E2287="",E2287="!!!"),"",IF(OR(J2287=0,AND(J2287=1,K2287=1),AND(J2287=1,I2287="SBJ"),AND(J2287=1,I2287=0)),"?IN_FOCUS",IF(J2287&lt;=2,"?ACTIVATED",IF(J2287&lt;&gt;"","?FAMILIAR",IF(F2287="NEW",IF(ISNA(VLOOKUP(E2287,#REF!,1,FALSE())),"?TYPE_IDENTIFIABLE","?REFERENTIAL"),"_")))))</f>
        <v> </v>
      </c>
      <c r="H2287" s="25" t="str">
        <f>IF(J2287&lt;&gt;1,"",IF(I2287="SBJ","CB","?"))</f>
        <v> </v>
      </c>
      <c r="I2287" s="26" t="str">
        <f>IF(OR(E2287="",E2287="!!!",F2287="NEW"),"",INDEX(B2286:B$2,-1+SUMPRODUCT(MAX(ROW(E2286:E$2)*(E2287=E2286:E$2)))))</f>
        <v> </v>
      </c>
      <c r="J2287" s="26" t="str">
        <f>IF(OR(E2287="",E2287="!!!",F2287="NEW"),"",COUNTBLANK(OFFSET(A$1,,,SUMPRODUCT(MAX(ROW(E$2:E2287)*(E2287=E$2:E2287)))))-COUNTBLANK(OFFSET(A$1,,,SUMPRODUCT(MAX(ROW(E$1:E2286)*(E2=E$1:E2286))))))</f>
        <v> </v>
      </c>
      <c r="K2287" s="26" t="str">
        <f>IF(OR(E2287="",E2287="!!!",F2287="NEW"),"",INDEX(J$1:J2286,SUMPRODUCT(MAX(ROW(E$1:E2286)*(E2287=E$1:E2286)))))</f>
        <v> </v>
      </c>
      <c r="L2287" s="27"/>
    </row>
    <row r="2288" spans="1:12">
      <c r="A2288" s="20" t="s">
        <v>776</v>
      </c>
      <c r="E2288" s="22">
        <f>IF(D2288="?OLD","!!!","")</f>
        <v/>
      </c>
      <c r="F2288" s="23" t="str">
        <f>IF(OR(E2288="",E2288="!!!"),"",IF(NOT(ISNA(VLOOKUP(E2288,E$1:E2287,1,FALSE()))),"OLD",IF(AND(E2288&lt;&gt;"",E2288&lt;&gt;"!!!"),"NEW","")))</f>
        <v> </v>
      </c>
      <c r="G2288" s="24" t="str">
        <f>IF(OR(E2288="",E2288="!!!"),"",IF(OR(J2288=0,AND(J2288=1,K2288=1),AND(J2288=1,I2288="SBJ"),AND(J2288=1,I2288=0)),"?IN_FOCUS",IF(J2288&lt;=2,"?ACTIVATED",IF(J2288&lt;&gt;"","?FAMILIAR",IF(F2288="NEW",IF(ISNA(VLOOKUP(E2288,#REF!,1,FALSE())),"?TYPE_IDENTIFIABLE","?REFERENTIAL"),"_")))))</f>
        <v> </v>
      </c>
      <c r="H2288" s="25" t="str">
        <f>IF(J2288&lt;&gt;1,"",IF(I2288="SBJ","CB","?"))</f>
        <v> </v>
      </c>
      <c r="I2288" s="26" t="str">
        <f>IF(OR(E2288="",E2288="!!!",F2288="NEW"),"",INDEX(B2287:B$2,-1+SUMPRODUCT(MAX(ROW(E2287:E$2)*(E2288=E2287:E$2)))))</f>
        <v> </v>
      </c>
      <c r="J2288" s="26" t="str">
        <f>IF(OR(E2288="",E2288="!!!",F2288="NEW"),"",COUNTBLANK(OFFSET(A$1,,,SUMPRODUCT(MAX(ROW(E$2:E2288)*(E2288=E$2:E2288)))))-COUNTBLANK(OFFSET(A$1,,,SUMPRODUCT(MAX(ROW(E$1:E2287)*(E2=E$1:E2287))))))</f>
        <v> </v>
      </c>
      <c r="K2288" s="26" t="str">
        <f>IF(OR(E2288="",E2288="!!!",F2288="NEW"),"",INDEX(J$1:J2287,SUMPRODUCT(MAX(ROW(E$1:E2287)*(E2288=E$1:E2287)))))</f>
        <v> </v>
      </c>
      <c r="L2288" s="27"/>
    </row>
    <row r="2289" spans="1:12">
      <c r="A2289" s="20" t="s">
        <v>1620</v>
      </c>
      <c r="B2289" s="21" t="s">
        <v>783</v>
      </c>
      <c r="C2289" s="21" t="s">
        <v>753</v>
      </c>
      <c r="D2289" s="21" t="s">
        <v>730</v>
      </c>
      <c r="E2289" s="22">
        <f>IF(D2289="?OLD","!!!","")</f>
        <v/>
      </c>
      <c r="F2289" s="23" t="str">
        <f>IF(OR(E2289="",E2289="!!!"),"",IF(NOT(ISNA(VLOOKUP(E2289,E$1:E2288,1,FALSE()))),"OLD",IF(AND(E2289&lt;&gt;"",E2289&lt;&gt;"!!!"),"NEW","")))</f>
        <v> </v>
      </c>
      <c r="G2289" s="24" t="str">
        <f>IF(OR(E2289="",E2289="!!!"),"",IF(OR(J2289=0,AND(J2289=1,K2289=1),AND(J2289=1,I2289="SBJ"),AND(J2289=1,I2289=0)),"?IN_FOCUS",IF(J2289&lt;=2,"?ACTIVATED",IF(J2289&lt;&gt;"","?FAMILIAR",IF(F2289="NEW",IF(ISNA(VLOOKUP(E2289,#REF!,1,FALSE())),"?TYPE_IDENTIFIABLE","?REFERENTIAL"),"_")))))</f>
        <v> </v>
      </c>
      <c r="H2289" s="25" t="str">
        <f>IF(J2289&lt;&gt;1,"",IF(I2289="SBJ","CB","?"))</f>
        <v> </v>
      </c>
      <c r="I2289" s="26" t="str">
        <f>IF(OR(E2289="",E2289="!!!",F2289="NEW"),"",INDEX(B2288:B$2,-1+SUMPRODUCT(MAX(ROW(E2288:E$2)*(E2289=E2288:E$2)))))</f>
        <v> </v>
      </c>
      <c r="J2289" s="26" t="str">
        <f>IF(OR(E2289="",E2289="!!!",F2289="NEW"),"",COUNTBLANK(OFFSET(A$1,,,SUMPRODUCT(MAX(ROW(E$2:E2289)*(E2289=E$2:E2289)))))-COUNTBLANK(OFFSET(A$1,,,SUMPRODUCT(MAX(ROW(E$1:E2288)*(E2=E$1:E2288))))))</f>
        <v> </v>
      </c>
      <c r="K2289" s="26" t="str">
        <f>IF(OR(E2289="",E2289="!!!",F2289="NEW"),"",INDEX(J$1:J2288,SUMPRODUCT(MAX(ROW(E$1:E2288)*(E2289=E$1:E2288)))))</f>
        <v> </v>
      </c>
      <c r="L2289" s="27"/>
    </row>
    <row r="2290" spans="1:12">
      <c r="A2290" s="20" t="s">
        <v>759</v>
      </c>
      <c r="E2290" s="22">
        <f>IF(D2290="?OLD","!!!","")</f>
        <v/>
      </c>
      <c r="F2290" s="23" t="str">
        <f>IF(OR(E2290="",E2290="!!!"),"",IF(NOT(ISNA(VLOOKUP(E2290,E$1:E2289,1,FALSE()))),"OLD",IF(AND(E2290&lt;&gt;"",E2290&lt;&gt;"!!!"),"NEW","")))</f>
        <v> </v>
      </c>
      <c r="G2290" s="24" t="str">
        <f>IF(OR(E2290="",E2290="!!!"),"",IF(OR(J2290=0,AND(J2290=1,K2290=1),AND(J2290=1,I2290="SBJ"),AND(J2290=1,I2290=0)),"?IN_FOCUS",IF(J2290&lt;=2,"?ACTIVATED",IF(J2290&lt;&gt;"","?FAMILIAR",IF(F2290="NEW",IF(ISNA(VLOOKUP(E2290,#REF!,1,FALSE())),"?TYPE_IDENTIFIABLE","?REFERENTIAL"),"_")))))</f>
        <v> </v>
      </c>
      <c r="H2290" s="25" t="str">
        <f>IF(J2290&lt;&gt;1,"",IF(I2290="SBJ","CB","?"))</f>
        <v> </v>
      </c>
      <c r="I2290" s="26" t="str">
        <f>IF(OR(E2290="",E2290="!!!",F2290="NEW"),"",INDEX(B2289:B$2,-1+SUMPRODUCT(MAX(ROW(E2289:E$2)*(E2290=E2289:E$2)))))</f>
        <v> </v>
      </c>
      <c r="J2290" s="26" t="str">
        <f>IF(OR(E2290="",E2290="!!!",F2290="NEW"),"",COUNTBLANK(OFFSET(A$1,,,SUMPRODUCT(MAX(ROW(E$2:E2290)*(E2290=E$2:E2290)))))-COUNTBLANK(OFFSET(A$1,,,SUMPRODUCT(MAX(ROW(E$1:E2289)*(E2=E$1:E2289))))))</f>
        <v> </v>
      </c>
      <c r="K2290" s="26" t="str">
        <f>IF(OR(E2290="",E2290="!!!",F2290="NEW"),"",INDEX(J$1:J2289,SUMPRODUCT(MAX(ROW(E$1:E2289)*(E2290=E$1:E2289)))))</f>
        <v> </v>
      </c>
      <c r="L2290" s="27"/>
    </row>
    <row r="2291" spans="1:12">
      <c r="A2291" s="20" t="s">
        <v>773</v>
      </c>
      <c r="E2291" s="22">
        <f>IF(D2291="?OLD","!!!","")</f>
        <v/>
      </c>
      <c r="F2291" s="23" t="str">
        <f>IF(OR(E2291="",E2291="!!!"),"",IF(NOT(ISNA(VLOOKUP(E2291,E$1:E2290,1,FALSE()))),"OLD",IF(AND(E2291&lt;&gt;"",E2291&lt;&gt;"!!!"),"NEW","")))</f>
        <v> </v>
      </c>
      <c r="G2291" s="24" t="str">
        <f>IF(OR(E2291="",E2291="!!!"),"",IF(OR(J2291=0,AND(J2291=1,K2291=1),AND(J2291=1,I2291="SBJ"),AND(J2291=1,I2291=0)),"?IN_FOCUS",IF(J2291&lt;=2,"?ACTIVATED",IF(J2291&lt;&gt;"","?FAMILIAR",IF(F2291="NEW",IF(ISNA(VLOOKUP(E2291,#REF!,1,FALSE())),"?TYPE_IDENTIFIABLE","?REFERENTIAL"),"_")))))</f>
        <v> </v>
      </c>
      <c r="H2291" s="25" t="str">
        <f>IF(J2291&lt;&gt;1,"",IF(I2291="SBJ","CB","?"))</f>
        <v> </v>
      </c>
      <c r="I2291" s="26" t="str">
        <f>IF(OR(E2291="",E2291="!!!",F2291="NEW"),"",INDEX(B2290:B$2,-1+SUMPRODUCT(MAX(ROW(E2290:E$2)*(E2291=E2290:E$2)))))</f>
        <v> </v>
      </c>
      <c r="J2291" s="26" t="str">
        <f>IF(OR(E2291="",E2291="!!!",F2291="NEW"),"",COUNTBLANK(OFFSET(A$1,,,SUMPRODUCT(MAX(ROW(E$2:E2291)*(E2291=E$2:E2291)))))-COUNTBLANK(OFFSET(A$1,,,SUMPRODUCT(MAX(ROW(E$1:E2290)*(E2=E$1:E2290))))))</f>
        <v> </v>
      </c>
      <c r="K2291" s="26" t="str">
        <f>IF(OR(E2291="",E2291="!!!",F2291="NEW"),"",INDEX(J$1:J2290,SUMPRODUCT(MAX(ROW(E$1:E2290)*(E2291=E$1:E2290)))))</f>
        <v> </v>
      </c>
      <c r="L2291" s="27"/>
    </row>
    <row r="2292" spans="1:12">
      <c r="A2292" s="20" t="s">
        <v>903</v>
      </c>
      <c r="B2292" s="21" t="s">
        <v>783</v>
      </c>
      <c r="C2292" s="21" t="s">
        <v>801</v>
      </c>
      <c r="D2292" s="21" t="s">
        <v>730</v>
      </c>
      <c r="E2292" s="22">
        <f>IF(D2292="?OLD","!!!","")</f>
        <v/>
      </c>
      <c r="F2292" s="23" t="str">
        <f>IF(OR(E2292="",E2292="!!!"),"",IF(NOT(ISNA(VLOOKUP(E2292,E$1:E2291,1,FALSE()))),"OLD",IF(AND(E2292&lt;&gt;"",E2292&lt;&gt;"!!!"),"NEW","")))</f>
        <v> </v>
      </c>
      <c r="G2292" s="24" t="str">
        <f>IF(OR(E2292="",E2292="!!!"),"",IF(OR(J2292=0,AND(J2292=1,K2292=1),AND(J2292=1,I2292="SBJ"),AND(J2292=1,I2292=0)),"?IN_FOCUS",IF(J2292&lt;=2,"?ACTIVATED",IF(J2292&lt;&gt;"","?FAMILIAR",IF(F2292="NEW",IF(ISNA(VLOOKUP(E2292,#REF!,1,FALSE())),"?TYPE_IDENTIFIABLE","?REFERENTIAL"),"_")))))</f>
        <v> </v>
      </c>
      <c r="H2292" s="25" t="str">
        <f>IF(J2292&lt;&gt;1,"",IF(I2292="SBJ","CB","?"))</f>
        <v> </v>
      </c>
      <c r="I2292" s="26" t="str">
        <f>IF(OR(E2292="",E2292="!!!",F2292="NEW"),"",INDEX(B2291:B$2,-1+SUMPRODUCT(MAX(ROW(E2291:E$2)*(E2292=E2291:E$2)))))</f>
        <v> </v>
      </c>
      <c r="J2292" s="26" t="str">
        <f>IF(OR(E2292="",E2292="!!!",F2292="NEW"),"",COUNTBLANK(OFFSET(A$1,,,SUMPRODUCT(MAX(ROW(E$2:E2292)*(E2292=E$2:E2292)))))-COUNTBLANK(OFFSET(A$1,,,SUMPRODUCT(MAX(ROW(E$1:E2291)*(E2=E$1:E2291))))))</f>
        <v> </v>
      </c>
      <c r="K2292" s="26" t="str">
        <f>IF(OR(E2292="",E2292="!!!",F2292="NEW"),"",INDEX(J$1:J2291,SUMPRODUCT(MAX(ROW(E$1:E2291)*(E2292=E$1:E2291)))))</f>
        <v> </v>
      </c>
      <c r="L2292" s="27"/>
    </row>
    <row r="2293" spans="1:12">
      <c r="A2293" s="20" t="s">
        <v>781</v>
      </c>
      <c r="E2293" s="22">
        <f>IF(D2293="?OLD","!!!","")</f>
        <v/>
      </c>
      <c r="F2293" s="23" t="str">
        <f>IF(OR(E2293="",E2293="!!!"),"",IF(NOT(ISNA(VLOOKUP(E2293,E$1:E2292,1,FALSE()))),"OLD",IF(AND(E2293&lt;&gt;"",E2293&lt;&gt;"!!!"),"NEW","")))</f>
        <v> </v>
      </c>
      <c r="G2293" s="24" t="str">
        <f>IF(OR(E2293="",E2293="!!!"),"",IF(OR(J2293=0,AND(J2293=1,K2293=1),AND(J2293=1,I2293="SBJ"),AND(J2293=1,I2293=0)),"?IN_FOCUS",IF(J2293&lt;=2,"?ACTIVATED",IF(J2293&lt;&gt;"","?FAMILIAR",IF(F2293="NEW",IF(ISNA(VLOOKUP(E2293,#REF!,1,FALSE())),"?TYPE_IDENTIFIABLE","?REFERENTIAL"),"_")))))</f>
        <v> </v>
      </c>
      <c r="H2293" s="25" t="str">
        <f>IF(J2293&lt;&gt;1,"",IF(I2293="SBJ","CB","?"))</f>
        <v> </v>
      </c>
      <c r="I2293" s="26" t="str">
        <f>IF(OR(E2293="",E2293="!!!",F2293="NEW"),"",INDEX(B2292:B$2,-1+SUMPRODUCT(MAX(ROW(E2292:E$2)*(E2293=E2292:E$2)))))</f>
        <v> </v>
      </c>
      <c r="J2293" s="26" t="str">
        <f>IF(OR(E2293="",E2293="!!!",F2293="NEW"),"",COUNTBLANK(OFFSET(A$1,,,SUMPRODUCT(MAX(ROW(E$2:E2293)*(E2293=E$2:E2293)))))-COUNTBLANK(OFFSET(A$1,,,SUMPRODUCT(MAX(ROW(E$1:E2292)*(E2=E$1:E2292))))))</f>
        <v> </v>
      </c>
      <c r="K2293" s="26" t="str">
        <f>IF(OR(E2293="",E2293="!!!",F2293="NEW"),"",INDEX(J$1:J2292,SUMPRODUCT(MAX(ROW(E$1:E2292)*(E2293=E$1:E2292)))))</f>
        <v> </v>
      </c>
      <c r="L2293" s="27"/>
    </row>
    <row r="2294" spans="1:12">
      <c r="A2294" s="20" t="s">
        <v>1588</v>
      </c>
      <c r="B2294" s="21" t="s">
        <v>843</v>
      </c>
      <c r="C2294" s="21" t="s">
        <v>1347</v>
      </c>
      <c r="D2294" s="21" t="s">
        <v>730</v>
      </c>
      <c r="E2294" s="22">
        <f>IF(D2294="?OLD","!!!","")</f>
        <v/>
      </c>
      <c r="F2294" s="23" t="str">
        <f>IF(OR(E2294="",E2294="!!!"),"",IF(NOT(ISNA(VLOOKUP(E2294,E$1:E2293,1,FALSE()))),"OLD",IF(AND(E2294&lt;&gt;"",E2294&lt;&gt;"!!!"),"NEW","")))</f>
        <v> </v>
      </c>
      <c r="G2294" s="24" t="str">
        <f>IF(OR(E2294="",E2294="!!!"),"",IF(OR(J2294=0,AND(J2294=1,K2294=1),AND(J2294=1,I2294="SBJ"),AND(J2294=1,I2294=0)),"?IN_FOCUS",IF(J2294&lt;=2,"?ACTIVATED",IF(J2294&lt;&gt;"","?FAMILIAR",IF(F2294="NEW",IF(ISNA(VLOOKUP(E2294,#REF!,1,FALSE())),"?TYPE_IDENTIFIABLE","?REFERENTIAL"),"_")))))</f>
        <v> </v>
      </c>
      <c r="H2294" s="25" t="str">
        <f>IF(J2294&lt;&gt;1,"",IF(I2294="SBJ","CB","?"))</f>
        <v> </v>
      </c>
      <c r="I2294" s="26" t="str">
        <f>IF(OR(E2294="",E2294="!!!",F2294="NEW"),"",INDEX(B2293:B$2,-1+SUMPRODUCT(MAX(ROW(E2293:E$2)*(E2294=E2293:E$2)))))</f>
        <v> </v>
      </c>
      <c r="J2294" s="26" t="str">
        <f>IF(OR(E2294="",E2294="!!!",F2294="NEW"),"",COUNTBLANK(OFFSET(A$1,,,SUMPRODUCT(MAX(ROW(E$2:E2294)*(E2294=E$2:E2294)))))-COUNTBLANK(OFFSET(A$1,,,SUMPRODUCT(MAX(ROW(E$1:E2293)*(E2=E$1:E2293))))))</f>
        <v> </v>
      </c>
      <c r="K2294" s="26" t="str">
        <f>IF(OR(E2294="",E2294="!!!",F2294="NEW"),"",INDEX(J$1:J2293,SUMPRODUCT(MAX(ROW(E$1:E2293)*(E2294=E$1:E2293)))))</f>
        <v> </v>
      </c>
      <c r="L2294" s="27"/>
    </row>
    <row r="2295" spans="1:12">
      <c r="A2295" s="20" t="s">
        <v>757</v>
      </c>
      <c r="E2295" s="22">
        <f>IF(D2295="?OLD","!!!","")</f>
        <v/>
      </c>
      <c r="F2295" s="23" t="str">
        <f>IF(OR(E2295="",E2295="!!!"),"",IF(NOT(ISNA(VLOOKUP(E2295,E$1:E2294,1,FALSE()))),"OLD",IF(AND(E2295&lt;&gt;"",E2295&lt;&gt;"!!!"),"NEW","")))</f>
        <v> </v>
      </c>
      <c r="G2295" s="24" t="str">
        <f>IF(OR(E2295="",E2295="!!!"),"",IF(OR(J2295=0,AND(J2295=1,K2295=1),AND(J2295=1,I2295="SBJ"),AND(J2295=1,I2295=0)),"?IN_FOCUS",IF(J2295&lt;=2,"?ACTIVATED",IF(J2295&lt;&gt;"","?FAMILIAR",IF(F2295="NEW",IF(ISNA(VLOOKUP(E2295,#REF!,1,FALSE())),"?TYPE_IDENTIFIABLE","?REFERENTIAL"),"_")))))</f>
        <v> </v>
      </c>
      <c r="H2295" s="25" t="str">
        <f>IF(J2295&lt;&gt;1,"",IF(I2295="SBJ","CB","?"))</f>
        <v> </v>
      </c>
      <c r="I2295" s="26" t="str">
        <f>IF(OR(E2295="",E2295="!!!",F2295="NEW"),"",INDEX(B2294:B$2,-1+SUMPRODUCT(MAX(ROW(E2294:E$2)*(E2295=E2294:E$2)))))</f>
        <v> </v>
      </c>
      <c r="J2295" s="26" t="str">
        <f>IF(OR(E2295="",E2295="!!!",F2295="NEW"),"",COUNTBLANK(OFFSET(A$1,,,SUMPRODUCT(MAX(ROW(E$2:E2295)*(E2295=E$2:E2295)))))-COUNTBLANK(OFFSET(A$1,,,SUMPRODUCT(MAX(ROW(E$1:E2294)*(E2=E$1:E2294))))))</f>
        <v> </v>
      </c>
      <c r="K2295" s="26" t="str">
        <f>IF(OR(E2295="",E2295="!!!",F2295="NEW"),"",INDEX(J$1:J2294,SUMPRODUCT(MAX(ROW(E$1:E2294)*(E2295=E$1:E2294)))))</f>
        <v> </v>
      </c>
      <c r="L2295" s="27"/>
    </row>
    <row r="2296" spans="1:12">
      <c r="A2296" s="20" t="s">
        <v>1621</v>
      </c>
      <c r="B2296" s="21" t="s">
        <v>783</v>
      </c>
      <c r="C2296" s="21" t="s">
        <v>753</v>
      </c>
      <c r="D2296" s="21" t="s">
        <v>730</v>
      </c>
      <c r="E2296" s="22">
        <f>IF(D2296="?OLD","!!!","")</f>
        <v/>
      </c>
      <c r="F2296" s="23" t="str">
        <f>IF(OR(E2296="",E2296="!!!"),"",IF(NOT(ISNA(VLOOKUP(E2296,E$1:E2295,1,FALSE()))),"OLD",IF(AND(E2296&lt;&gt;"",E2296&lt;&gt;"!!!"),"NEW","")))</f>
        <v> </v>
      </c>
      <c r="G2296" s="24" t="str">
        <f>IF(OR(E2296="",E2296="!!!"),"",IF(OR(J2296=0,AND(J2296=1,K2296=1),AND(J2296=1,I2296="SBJ"),AND(J2296=1,I2296=0)),"?IN_FOCUS",IF(J2296&lt;=2,"?ACTIVATED",IF(J2296&lt;&gt;"","?FAMILIAR",IF(F2296="NEW",IF(ISNA(VLOOKUP(E2296,#REF!,1,FALSE())),"?TYPE_IDENTIFIABLE","?REFERENTIAL"),"_")))))</f>
        <v> </v>
      </c>
      <c r="H2296" s="25" t="str">
        <f>IF(J2296&lt;&gt;1,"",IF(I2296="SBJ","CB","?"))</f>
        <v> </v>
      </c>
      <c r="I2296" s="26" t="str">
        <f>IF(OR(E2296="",E2296="!!!",F2296="NEW"),"",INDEX(B2295:B$2,-1+SUMPRODUCT(MAX(ROW(E2295:E$2)*(E2296=E2295:E$2)))))</f>
        <v> </v>
      </c>
      <c r="J2296" s="26" t="str">
        <f>IF(OR(E2296="",E2296="!!!",F2296="NEW"),"",COUNTBLANK(OFFSET(A$1,,,SUMPRODUCT(MAX(ROW(E$2:E2296)*(E2296=E$2:E2296)))))-COUNTBLANK(OFFSET(A$1,,,SUMPRODUCT(MAX(ROW(E$1:E2295)*(E2=E$1:E2295))))))</f>
        <v> </v>
      </c>
      <c r="K2296" s="26" t="str">
        <f>IF(OR(E2296="",E2296="!!!",F2296="NEW"),"",INDEX(J$1:J2295,SUMPRODUCT(MAX(ROW(E$1:E2295)*(E2296=E$1:E2295)))))</f>
        <v> </v>
      </c>
      <c r="L2296" s="27"/>
    </row>
    <row r="2297" spans="1:12">
      <c r="A2297" s="20" t="s">
        <v>1622</v>
      </c>
      <c r="E2297" s="22">
        <f>IF(D2297="?OLD","!!!","")</f>
        <v/>
      </c>
      <c r="F2297" s="23" t="str">
        <f>IF(OR(E2297="",E2297="!!!"),"",IF(NOT(ISNA(VLOOKUP(E2297,E$1:E2296,1,FALSE()))),"OLD",IF(AND(E2297&lt;&gt;"",E2297&lt;&gt;"!!!"),"NEW","")))</f>
        <v> </v>
      </c>
      <c r="G2297" s="24" t="str">
        <f>IF(OR(E2297="",E2297="!!!"),"",IF(OR(J2297=0,AND(J2297=1,K2297=1),AND(J2297=1,I2297="SBJ"),AND(J2297=1,I2297=0)),"?IN_FOCUS",IF(J2297&lt;=2,"?ACTIVATED",IF(J2297&lt;&gt;"","?FAMILIAR",IF(F2297="NEW",IF(ISNA(VLOOKUP(E2297,#REF!,1,FALSE())),"?TYPE_IDENTIFIABLE","?REFERENTIAL"),"_")))))</f>
        <v> </v>
      </c>
      <c r="H2297" s="25" t="str">
        <f>IF(J2297&lt;&gt;1,"",IF(I2297="SBJ","CB","?"))</f>
        <v> </v>
      </c>
      <c r="I2297" s="26" t="str">
        <f>IF(OR(E2297="",E2297="!!!",F2297="NEW"),"",INDEX(B2296:B$2,-1+SUMPRODUCT(MAX(ROW(E2296:E$2)*(E2297=E2296:E$2)))))</f>
        <v> </v>
      </c>
      <c r="J2297" s="26" t="str">
        <f>IF(OR(E2297="",E2297="!!!",F2297="NEW"),"",COUNTBLANK(OFFSET(A$1,,,SUMPRODUCT(MAX(ROW(E$2:E2297)*(E2297=E$2:E2297)))))-COUNTBLANK(OFFSET(A$1,,,SUMPRODUCT(MAX(ROW(E$1:E2296)*(E2=E$1:E2296))))))</f>
        <v> </v>
      </c>
      <c r="K2297" s="26" t="str">
        <f>IF(OR(E2297="",E2297="!!!",F2297="NEW"),"",INDEX(J$1:J2296,SUMPRODUCT(MAX(ROW(E$1:E2296)*(E2297=E$1:E2296)))))</f>
        <v> </v>
      </c>
      <c r="L2297" s="27"/>
    </row>
    <row r="2298" spans="1:12">
      <c r="A2298" s="20" t="s">
        <v>1406</v>
      </c>
      <c r="E2298" s="22">
        <f>IF(D2298="?OLD","!!!","")</f>
        <v/>
      </c>
      <c r="F2298" s="23" t="str">
        <f>IF(OR(E2298="",E2298="!!!"),"",IF(NOT(ISNA(VLOOKUP(E2298,E$1:E2297,1,FALSE()))),"OLD",IF(AND(E2298&lt;&gt;"",E2298&lt;&gt;"!!!"),"NEW","")))</f>
        <v> </v>
      </c>
      <c r="G2298" s="24" t="str">
        <f>IF(OR(E2298="",E2298="!!!"),"",IF(OR(J2298=0,AND(J2298=1,K2298=1),AND(J2298=1,I2298="SBJ"),AND(J2298=1,I2298=0)),"?IN_FOCUS",IF(J2298&lt;=2,"?ACTIVATED",IF(J2298&lt;&gt;"","?FAMILIAR",IF(F2298="NEW",IF(ISNA(VLOOKUP(E2298,#REF!,1,FALSE())),"?TYPE_IDENTIFIABLE","?REFERENTIAL"),"_")))))</f>
        <v> </v>
      </c>
      <c r="H2298" s="25" t="str">
        <f>IF(J2298&lt;&gt;1,"",IF(I2298="SBJ","CB","?"))</f>
        <v> </v>
      </c>
      <c r="I2298" s="26" t="str">
        <f>IF(OR(E2298="",E2298="!!!",F2298="NEW"),"",INDEX(B2297:B$2,-1+SUMPRODUCT(MAX(ROW(E2297:E$2)*(E2298=E2297:E$2)))))</f>
        <v> </v>
      </c>
      <c r="J2298" s="26" t="str">
        <f>IF(OR(E2298="",E2298="!!!",F2298="NEW"),"",COUNTBLANK(OFFSET(A$1,,,SUMPRODUCT(MAX(ROW(E$2:E2298)*(E2298=E$2:E2298)))))-COUNTBLANK(OFFSET(A$1,,,SUMPRODUCT(MAX(ROW(E$1:E2297)*(E2=E$1:E2297))))))</f>
        <v> </v>
      </c>
      <c r="K2298" s="26" t="str">
        <f>IF(OR(E2298="",E2298="!!!",F2298="NEW"),"",INDEX(J$1:J2297,SUMPRODUCT(MAX(ROW(E$1:E2297)*(E2298=E$1:E2297)))))</f>
        <v> </v>
      </c>
      <c r="L2298" s="27"/>
    </row>
    <row r="2299" spans="1:12">
      <c r="A2299" s="20" t="s">
        <v>246</v>
      </c>
      <c r="E2299" s="22">
        <f>IF(D2299="?OLD","!!!","")</f>
        <v/>
      </c>
      <c r="F2299" s="23" t="str">
        <f>IF(OR(E2299="",E2299="!!!"),"",IF(NOT(ISNA(VLOOKUP(E2299,E$1:E2298,1,FALSE()))),"OLD",IF(AND(E2299&lt;&gt;"",E2299&lt;&gt;"!!!"),"NEW","")))</f>
        <v> </v>
      </c>
      <c r="G2299" s="24" t="str">
        <f>IF(OR(E2299="",E2299="!!!"),"",IF(OR(J2299=0,AND(J2299=1,K2299=1),AND(J2299=1,I2299="SBJ"),AND(J2299=1,I2299=0)),"?IN_FOCUS",IF(J2299&lt;=2,"?ACTIVATED",IF(J2299&lt;&gt;"","?FAMILIAR",IF(F2299="NEW",IF(ISNA(VLOOKUP(E2299,#REF!,1,FALSE())),"?TYPE_IDENTIFIABLE","?REFERENTIAL"),"_")))))</f>
        <v> </v>
      </c>
      <c r="H2299" s="25" t="str">
        <f>IF(J2299&lt;&gt;1,"",IF(I2299="SBJ","CB","?"))</f>
        <v> </v>
      </c>
      <c r="I2299" s="26" t="str">
        <f>IF(OR(E2299="",E2299="!!!",F2299="NEW"),"",INDEX(B2298:B$2,-1+SUMPRODUCT(MAX(ROW(E2298:E$2)*(E2299=E2298:E$2)))))</f>
        <v> </v>
      </c>
      <c r="J2299" s="26" t="str">
        <f>IF(OR(E2299="",E2299="!!!",F2299="NEW"),"",COUNTBLANK(OFFSET(A$1,,,SUMPRODUCT(MAX(ROW(E$2:E2299)*(E2299=E$2:E2299)))))-COUNTBLANK(OFFSET(A$1,,,SUMPRODUCT(MAX(ROW(E$1:E2298)*(E2=E$1:E2298))))))</f>
        <v> </v>
      </c>
      <c r="K2299" s="26" t="str">
        <f>IF(OR(E2299="",E2299="!!!",F2299="NEW"),"",INDEX(J$1:J2298,SUMPRODUCT(MAX(ROW(E$1:E2298)*(E2299=E$1:E2298)))))</f>
        <v> </v>
      </c>
      <c r="L2299" s="27"/>
    </row>
    <row r="2300" spans="1:12">
      <c r="A2300" s="20"/>
    </row>
    <row r="2301" spans="1:12">
      <c r="A2301" s="20" t="s">
        <v>1623</v>
      </c>
    </row>
    <row r="2302" spans="1:12">
      <c r="A2302" s="20" t="s">
        <v>836</v>
      </c>
      <c r="B2302" s="21" t="s">
        <v>728</v>
      </c>
      <c r="C2302" s="21" t="s">
        <v>729</v>
      </c>
      <c r="D2302" s="21" t="s">
        <v>730</v>
      </c>
      <c r="E2302" s="22">
        <f>IF(D2302="?OLD","!!!","")</f>
        <v/>
      </c>
      <c r="F2302" s="23" t="str">
        <f>IF(OR(E2302="",E2302="!!!"),"",IF(NOT(ISNA(VLOOKUP(E2302,E$1:E2301,1,FALSE()))),"OLD",IF(AND(E2302&lt;&gt;"",E2302&lt;&gt;"!!!"),"NEW","")))</f>
        <v> </v>
      </c>
      <c r="G2302" s="24" t="str">
        <f>IF(OR(E2302="",E2302="!!!"),"",IF(OR(J2302=0,AND(J2302=1,K2302=1),AND(J2302=1,I2302="SBJ"),AND(J2302=1,I2302=0)),"?IN_FOCUS",IF(J2302&lt;=2,"?ACTIVATED",IF(J2302&lt;&gt;"","?FAMILIAR",IF(F2302="NEW",IF(ISNA(VLOOKUP(E2302,#REF!,1,FALSE())),"?TYPE_IDENTIFIABLE","?REFERENTIAL"),"_")))))</f>
        <v> </v>
      </c>
      <c r="H2302" s="25" t="str">
        <f>IF(J2302&lt;&gt;1,"",IF(I2302="SBJ","CB","?"))</f>
        <v> </v>
      </c>
      <c r="I2302" s="26" t="str">
        <f>IF(OR(E2302="",E2302="!!!",F2302="NEW"),"",INDEX(B2301:B$2,-1+SUMPRODUCT(MAX(ROW(E2301:E$2)*(E2302=E2301:E$2)))))</f>
        <v> </v>
      </c>
      <c r="J2302" s="26" t="str">
        <f>IF(OR(E2302="",E2302="!!!",F2302="NEW"),"",COUNTBLANK(OFFSET(A$1,,,SUMPRODUCT(MAX(ROW(E$2:E2302)*(E2302=E$2:E2302)))))-COUNTBLANK(OFFSET(A$1,,,SUMPRODUCT(MAX(ROW(E$1:E2301)*(E2=E$1:E2301))))))</f>
        <v> </v>
      </c>
      <c r="K2302" s="26" t="str">
        <f>IF(OR(E2302="",E2302="!!!",F2302="NEW"),"",INDEX(J$1:J2301,SUMPRODUCT(MAX(ROW(E$1:E2301)*(E2302=E$1:E2301)))))</f>
        <v> </v>
      </c>
      <c r="L2302" s="27"/>
    </row>
    <row r="2303" spans="1:12">
      <c r="A2303" s="20" t="s">
        <v>811</v>
      </c>
      <c r="E2303" s="22">
        <f>IF(D2303="?OLD","!!!","")</f>
        <v/>
      </c>
      <c r="F2303" s="23" t="str">
        <f>IF(OR(E2303="",E2303="!!!"),"",IF(NOT(ISNA(VLOOKUP(E2303,E$1:E2302,1,FALSE()))),"OLD",IF(AND(E2303&lt;&gt;"",E2303&lt;&gt;"!!!"),"NEW","")))</f>
        <v> </v>
      </c>
      <c r="G2303" s="24" t="str">
        <f>IF(OR(E2303="",E2303="!!!"),"",IF(OR(J2303=0,AND(J2303=1,K2303=1),AND(J2303=1,I2303="SBJ"),AND(J2303=1,I2303=0)),"?IN_FOCUS",IF(J2303&lt;=2,"?ACTIVATED",IF(J2303&lt;&gt;"","?FAMILIAR",IF(F2303="NEW",IF(ISNA(VLOOKUP(E2303,#REF!,1,FALSE())),"?TYPE_IDENTIFIABLE","?REFERENTIAL"),"_")))))</f>
        <v> </v>
      </c>
      <c r="H2303" s="25" t="str">
        <f>IF(J2303&lt;&gt;1,"",IF(I2303="SBJ","CB","?"))</f>
        <v> </v>
      </c>
      <c r="I2303" s="26" t="str">
        <f>IF(OR(E2303="",E2303="!!!",F2303="NEW"),"",INDEX(B2302:B$2,-1+SUMPRODUCT(MAX(ROW(E2302:E$2)*(E2303=E2302:E$2)))))</f>
        <v> </v>
      </c>
      <c r="J2303" s="26" t="str">
        <f>IF(OR(E2303="",E2303="!!!",F2303="NEW"),"",COUNTBLANK(OFFSET(A$1,,,SUMPRODUCT(MAX(ROW(E$2:E2303)*(E2303=E$2:E2303)))))-COUNTBLANK(OFFSET(A$1,,,SUMPRODUCT(MAX(ROW(E$1:E2302)*(E2=E$1:E2302))))))</f>
        <v> </v>
      </c>
      <c r="K2303" s="26" t="str">
        <f>IF(OR(E2303="",E2303="!!!",F2303="NEW"),"",INDEX(J$1:J2302,SUMPRODUCT(MAX(ROW(E$1:E2302)*(E2303=E$1:E2302)))))</f>
        <v> </v>
      </c>
      <c r="L2303" s="27"/>
    </row>
    <row r="2304" spans="1:12">
      <c r="A2304" s="20" t="s">
        <v>1088</v>
      </c>
      <c r="E2304" s="22">
        <f>IF(D2304="?OLD","!!!","")</f>
        <v/>
      </c>
      <c r="F2304" s="23" t="str">
        <f>IF(OR(E2304="",E2304="!!!"),"",IF(NOT(ISNA(VLOOKUP(E2304,E$1:E2303,1,FALSE()))),"OLD",IF(AND(E2304&lt;&gt;"",E2304&lt;&gt;"!!!"),"NEW","")))</f>
        <v> </v>
      </c>
      <c r="G2304" s="24" t="str">
        <f>IF(OR(E2304="",E2304="!!!"),"",IF(OR(J2304=0,AND(J2304=1,K2304=1),AND(J2304=1,I2304="SBJ"),AND(J2304=1,I2304=0)),"?IN_FOCUS",IF(J2304&lt;=2,"?ACTIVATED",IF(J2304&lt;&gt;"","?FAMILIAR",IF(F2304="NEW",IF(ISNA(VLOOKUP(E2304,#REF!,1,FALSE())),"?TYPE_IDENTIFIABLE","?REFERENTIAL"),"_")))))</f>
        <v> </v>
      </c>
      <c r="H2304" s="25" t="str">
        <f>IF(J2304&lt;&gt;1,"",IF(I2304="SBJ","CB","?"))</f>
        <v> </v>
      </c>
      <c r="I2304" s="26" t="str">
        <f>IF(OR(E2304="",E2304="!!!",F2304="NEW"),"",INDEX(B2303:B$2,-1+SUMPRODUCT(MAX(ROW(E2303:E$2)*(E2304=E2303:E$2)))))</f>
        <v> </v>
      </c>
      <c r="J2304" s="26" t="str">
        <f>IF(OR(E2304="",E2304="!!!",F2304="NEW"),"",COUNTBLANK(OFFSET(A$1,,,SUMPRODUCT(MAX(ROW(E$2:E2304)*(E2304=E$2:E2304)))))-COUNTBLANK(OFFSET(A$1,,,SUMPRODUCT(MAX(ROW(E$1:E2303)*(E2=E$1:E2303))))))</f>
        <v> </v>
      </c>
      <c r="K2304" s="26" t="str">
        <f>IF(OR(E2304="",E2304="!!!",F2304="NEW"),"",INDEX(J$1:J2303,SUMPRODUCT(MAX(ROW(E$1:E2303)*(E2304=E$1:E2303)))))</f>
        <v> </v>
      </c>
      <c r="L2304" s="27"/>
    </row>
    <row r="2305" spans="1:12">
      <c r="A2305" s="20" t="s">
        <v>1221</v>
      </c>
      <c r="E2305" s="22">
        <f>IF(D2305="?OLD","!!!","")</f>
        <v/>
      </c>
      <c r="F2305" s="23" t="str">
        <f>IF(OR(E2305="",E2305="!!!"),"",IF(NOT(ISNA(VLOOKUP(E2305,E$1:E2304,1,FALSE()))),"OLD",IF(AND(E2305&lt;&gt;"",E2305&lt;&gt;"!!!"),"NEW","")))</f>
        <v> </v>
      </c>
      <c r="G2305" s="24" t="str">
        <f>IF(OR(E2305="",E2305="!!!"),"",IF(OR(J2305=0,AND(J2305=1,K2305=1),AND(J2305=1,I2305="SBJ"),AND(J2305=1,I2305=0)),"?IN_FOCUS",IF(J2305&lt;=2,"?ACTIVATED",IF(J2305&lt;&gt;"","?FAMILIAR",IF(F2305="NEW",IF(ISNA(VLOOKUP(E2305,#REF!,1,FALSE())),"?TYPE_IDENTIFIABLE","?REFERENTIAL"),"_")))))</f>
        <v> </v>
      </c>
      <c r="H2305" s="25" t="str">
        <f>IF(J2305&lt;&gt;1,"",IF(I2305="SBJ","CB","?"))</f>
        <v> </v>
      </c>
      <c r="I2305" s="26" t="str">
        <f>IF(OR(E2305="",E2305="!!!",F2305="NEW"),"",INDEX(B2304:B$2,-1+SUMPRODUCT(MAX(ROW(E2304:E$2)*(E2305=E2304:E$2)))))</f>
        <v> </v>
      </c>
      <c r="J2305" s="26" t="str">
        <f>IF(OR(E2305="",E2305="!!!",F2305="NEW"),"",COUNTBLANK(OFFSET(A$1,,,SUMPRODUCT(MAX(ROW(E$2:E2305)*(E2305=E$2:E2305)))))-COUNTBLANK(OFFSET(A$1,,,SUMPRODUCT(MAX(ROW(E$1:E2304)*(E2=E$1:E2304))))))</f>
        <v> </v>
      </c>
      <c r="K2305" s="26" t="str">
        <f>IF(OR(E2305="",E2305="!!!",F2305="NEW"),"",INDEX(J$1:J2304,SUMPRODUCT(MAX(ROW(E$1:E2304)*(E2305=E$1:E2304)))))</f>
        <v> </v>
      </c>
      <c r="L2305" s="27"/>
    </row>
    <row r="2306" spans="1:12">
      <c r="A2306" s="20" t="s">
        <v>1624</v>
      </c>
      <c r="E2306" s="22">
        <f>IF(D2306="?OLD","!!!","")</f>
        <v/>
      </c>
      <c r="F2306" s="23" t="str">
        <f>IF(OR(E2306="",E2306="!!!"),"",IF(NOT(ISNA(VLOOKUP(E2306,E$1:E2305,1,FALSE()))),"OLD",IF(AND(E2306&lt;&gt;"",E2306&lt;&gt;"!!!"),"NEW","")))</f>
        <v> </v>
      </c>
      <c r="G2306" s="24" t="str">
        <f>IF(OR(E2306="",E2306="!!!"),"",IF(OR(J2306=0,AND(J2306=1,K2306=1),AND(J2306=1,I2306="SBJ"),AND(J2306=1,I2306=0)),"?IN_FOCUS",IF(J2306&lt;=2,"?ACTIVATED",IF(J2306&lt;&gt;"","?FAMILIAR",IF(F2306="NEW",IF(ISNA(VLOOKUP(E2306,#REF!,1,FALSE())),"?TYPE_IDENTIFIABLE","?REFERENTIAL"),"_")))))</f>
        <v> </v>
      </c>
      <c r="H2306" s="25" t="str">
        <f>IF(J2306&lt;&gt;1,"",IF(I2306="SBJ","CB","?"))</f>
        <v> </v>
      </c>
      <c r="I2306" s="26" t="str">
        <f>IF(OR(E2306="",E2306="!!!",F2306="NEW"),"",INDEX(B2305:B$2,-1+SUMPRODUCT(MAX(ROW(E2305:E$2)*(E2306=E2305:E$2)))))</f>
        <v> </v>
      </c>
      <c r="J2306" s="26" t="str">
        <f>IF(OR(E2306="",E2306="!!!",F2306="NEW"),"",COUNTBLANK(OFFSET(A$1,,,SUMPRODUCT(MAX(ROW(E$2:E2306)*(E2306=E$2:E2306)))))-COUNTBLANK(OFFSET(A$1,,,SUMPRODUCT(MAX(ROW(E$1:E2305)*(E2=E$1:E2305))))))</f>
        <v> </v>
      </c>
      <c r="K2306" s="26" t="str">
        <f>IF(OR(E2306="",E2306="!!!",F2306="NEW"),"",INDEX(J$1:J2305,SUMPRODUCT(MAX(ROW(E$1:E2305)*(E2306=E$1:E2305)))))</f>
        <v> </v>
      </c>
      <c r="L2306" s="27"/>
    </row>
    <row r="2307" spans="1:12">
      <c r="A2307" s="20" t="s">
        <v>785</v>
      </c>
      <c r="E2307" s="22">
        <f>IF(D2307="?OLD","!!!","")</f>
        <v/>
      </c>
      <c r="F2307" s="23" t="str">
        <f>IF(OR(E2307="",E2307="!!!"),"",IF(NOT(ISNA(VLOOKUP(E2307,E$1:E2306,1,FALSE()))),"OLD",IF(AND(E2307&lt;&gt;"",E2307&lt;&gt;"!!!"),"NEW","")))</f>
        <v> </v>
      </c>
      <c r="G2307" s="24" t="str">
        <f>IF(OR(E2307="",E2307="!!!"),"",IF(OR(J2307=0,AND(J2307=1,K2307=1),AND(J2307=1,I2307="SBJ"),AND(J2307=1,I2307=0)),"?IN_FOCUS",IF(J2307&lt;=2,"?ACTIVATED",IF(J2307&lt;&gt;"","?FAMILIAR",IF(F2307="NEW",IF(ISNA(VLOOKUP(E2307,#REF!,1,FALSE())),"?TYPE_IDENTIFIABLE","?REFERENTIAL"),"_")))))</f>
        <v> </v>
      </c>
      <c r="H2307" s="25" t="str">
        <f>IF(J2307&lt;&gt;1,"",IF(I2307="SBJ","CB","?"))</f>
        <v> </v>
      </c>
      <c r="I2307" s="26" t="str">
        <f>IF(OR(E2307="",E2307="!!!",F2307="NEW"),"",INDEX(B2306:B$2,-1+SUMPRODUCT(MAX(ROW(E2306:E$2)*(E2307=E2306:E$2)))))</f>
        <v> </v>
      </c>
      <c r="J2307" s="26" t="str">
        <f>IF(OR(E2307="",E2307="!!!",F2307="NEW"),"",COUNTBLANK(OFFSET(A$1,,,SUMPRODUCT(MAX(ROW(E$2:E2307)*(E2307=E$2:E2307)))))-COUNTBLANK(OFFSET(A$1,,,SUMPRODUCT(MAX(ROW(E$1:E2306)*(E2=E$1:E2306))))))</f>
        <v> </v>
      </c>
      <c r="K2307" s="26" t="str">
        <f>IF(OR(E2307="",E2307="!!!",F2307="NEW"),"",INDEX(J$1:J2306,SUMPRODUCT(MAX(ROW(E$1:E2306)*(E2307=E$1:E2306)))))</f>
        <v> </v>
      </c>
      <c r="L2307" s="27"/>
    </row>
    <row r="2308" spans="1:12">
      <c r="A2308" s="20" t="s">
        <v>1625</v>
      </c>
      <c r="E2308" s="22">
        <f>IF(D2308="?OLD","!!!","")</f>
        <v/>
      </c>
      <c r="F2308" s="23" t="str">
        <f>IF(OR(E2308="",E2308="!!!"),"",IF(NOT(ISNA(VLOOKUP(E2308,E$1:E2307,1,FALSE()))),"OLD",IF(AND(E2308&lt;&gt;"",E2308&lt;&gt;"!!!"),"NEW","")))</f>
        <v> </v>
      </c>
      <c r="G2308" s="24" t="str">
        <f>IF(OR(E2308="",E2308="!!!"),"",IF(OR(J2308=0,AND(J2308=1,K2308=1),AND(J2308=1,I2308="SBJ"),AND(J2308=1,I2308=0)),"?IN_FOCUS",IF(J2308&lt;=2,"?ACTIVATED",IF(J2308&lt;&gt;"","?FAMILIAR",IF(F2308="NEW",IF(ISNA(VLOOKUP(E2308,#REF!,1,FALSE())),"?TYPE_IDENTIFIABLE","?REFERENTIAL"),"_")))))</f>
        <v> </v>
      </c>
      <c r="H2308" s="25" t="str">
        <f>IF(J2308&lt;&gt;1,"",IF(I2308="SBJ","CB","?"))</f>
        <v> </v>
      </c>
      <c r="I2308" s="26" t="str">
        <f>IF(OR(E2308="",E2308="!!!",F2308="NEW"),"",INDEX(B2307:B$2,-1+SUMPRODUCT(MAX(ROW(E2307:E$2)*(E2308=E2307:E$2)))))</f>
        <v> </v>
      </c>
      <c r="J2308" s="26" t="str">
        <f>IF(OR(E2308="",E2308="!!!",F2308="NEW"),"",COUNTBLANK(OFFSET(A$1,,,SUMPRODUCT(MAX(ROW(E$2:E2308)*(E2308=E$2:E2308)))))-COUNTBLANK(OFFSET(A$1,,,SUMPRODUCT(MAX(ROW(E$1:E2307)*(E2=E$1:E2307))))))</f>
        <v> </v>
      </c>
      <c r="K2308" s="26" t="str">
        <f>IF(OR(E2308="",E2308="!!!",F2308="NEW"),"",INDEX(J$1:J2307,SUMPRODUCT(MAX(ROW(E$1:E2307)*(E2308=E$1:E2307)))))</f>
        <v> </v>
      </c>
      <c r="L2308" s="27"/>
    </row>
    <row r="2309" spans="1:12">
      <c r="A2309" s="20" t="s">
        <v>805</v>
      </c>
      <c r="E2309" s="22">
        <f>IF(D2309="?OLD","!!!","")</f>
        <v/>
      </c>
      <c r="F2309" s="23" t="str">
        <f>IF(OR(E2309="",E2309="!!!"),"",IF(NOT(ISNA(VLOOKUP(E2309,E$1:E2308,1,FALSE()))),"OLD",IF(AND(E2309&lt;&gt;"",E2309&lt;&gt;"!!!"),"NEW","")))</f>
        <v> </v>
      </c>
      <c r="G2309" s="24" t="str">
        <f>IF(OR(E2309="",E2309="!!!"),"",IF(OR(J2309=0,AND(J2309=1,K2309=1),AND(J2309=1,I2309="SBJ"),AND(J2309=1,I2309=0)),"?IN_FOCUS",IF(J2309&lt;=2,"?ACTIVATED",IF(J2309&lt;&gt;"","?FAMILIAR",IF(F2309="NEW",IF(ISNA(VLOOKUP(E2309,#REF!,1,FALSE())),"?TYPE_IDENTIFIABLE","?REFERENTIAL"),"_")))))</f>
        <v> </v>
      </c>
      <c r="H2309" s="25" t="str">
        <f>IF(J2309&lt;&gt;1,"",IF(I2309="SBJ","CB","?"))</f>
        <v> </v>
      </c>
      <c r="I2309" s="26" t="str">
        <f>IF(OR(E2309="",E2309="!!!",F2309="NEW"),"",INDEX(B2308:B$2,-1+SUMPRODUCT(MAX(ROW(E2308:E$2)*(E2309=E2308:E$2)))))</f>
        <v> </v>
      </c>
      <c r="J2309" s="26" t="str">
        <f>IF(OR(E2309="",E2309="!!!",F2309="NEW"),"",COUNTBLANK(OFFSET(A$1,,,SUMPRODUCT(MAX(ROW(E$2:E2309)*(E2309=E$2:E2309)))))-COUNTBLANK(OFFSET(A$1,,,SUMPRODUCT(MAX(ROW(E$1:E2308)*(E2=E$1:E2308))))))</f>
        <v> </v>
      </c>
      <c r="K2309" s="26" t="str">
        <f>IF(OR(E2309="",E2309="!!!",F2309="NEW"),"",INDEX(J$1:J2308,SUMPRODUCT(MAX(ROW(E$1:E2308)*(E2309=E$1:E2308)))))</f>
        <v> </v>
      </c>
      <c r="L2309" s="27"/>
    </row>
    <row r="2310" spans="1:12">
      <c r="A2310" s="20" t="s">
        <v>922</v>
      </c>
      <c r="E2310" s="22">
        <f>IF(D2310="?OLD","!!!","")</f>
        <v/>
      </c>
      <c r="F2310" s="23" t="str">
        <f>IF(OR(E2310="",E2310="!!!"),"",IF(NOT(ISNA(VLOOKUP(E2310,E$1:E2309,1,FALSE()))),"OLD",IF(AND(E2310&lt;&gt;"",E2310&lt;&gt;"!!!"),"NEW","")))</f>
        <v> </v>
      </c>
      <c r="G2310" s="24" t="str">
        <f>IF(OR(E2310="",E2310="!!!"),"",IF(OR(J2310=0,AND(J2310=1,K2310=1),AND(J2310=1,I2310="SBJ"),AND(J2310=1,I2310=0)),"?IN_FOCUS",IF(J2310&lt;=2,"?ACTIVATED",IF(J2310&lt;&gt;"","?FAMILIAR",IF(F2310="NEW",IF(ISNA(VLOOKUP(E2310,#REF!,1,FALSE())),"?TYPE_IDENTIFIABLE","?REFERENTIAL"),"_")))))</f>
        <v> </v>
      </c>
      <c r="H2310" s="25" t="str">
        <f>IF(J2310&lt;&gt;1,"",IF(I2310="SBJ","CB","?"))</f>
        <v> </v>
      </c>
      <c r="I2310" s="26" t="str">
        <f>IF(OR(E2310="",E2310="!!!",F2310="NEW"),"",INDEX(B2309:B$2,-1+SUMPRODUCT(MAX(ROW(E2309:E$2)*(E2310=E2309:E$2)))))</f>
        <v> </v>
      </c>
      <c r="J2310" s="26" t="str">
        <f>IF(OR(E2310="",E2310="!!!",F2310="NEW"),"",COUNTBLANK(OFFSET(A$1,,,SUMPRODUCT(MAX(ROW(E$2:E2310)*(E2310=E$2:E2310)))))-COUNTBLANK(OFFSET(A$1,,,SUMPRODUCT(MAX(ROW(E$1:E2309)*(E2=E$1:E2309))))))</f>
        <v> </v>
      </c>
      <c r="K2310" s="26" t="str">
        <f>IF(OR(E2310="",E2310="!!!",F2310="NEW"),"",INDEX(J$1:J2309,SUMPRODUCT(MAX(ROW(E$1:E2309)*(E2310=E$1:E2309)))))</f>
        <v> </v>
      </c>
      <c r="L2310" s="27"/>
    </row>
    <row r="2311" spans="1:12">
      <c r="A2311" s="20" t="s">
        <v>1626</v>
      </c>
      <c r="E2311" s="22">
        <f>IF(D2311="?OLD","!!!","")</f>
        <v/>
      </c>
      <c r="F2311" s="23" t="str">
        <f>IF(OR(E2311="",E2311="!!!"),"",IF(NOT(ISNA(VLOOKUP(E2311,E$1:E2310,1,FALSE()))),"OLD",IF(AND(E2311&lt;&gt;"",E2311&lt;&gt;"!!!"),"NEW","")))</f>
        <v> </v>
      </c>
      <c r="G2311" s="24" t="str">
        <f>IF(OR(E2311="",E2311="!!!"),"",IF(OR(J2311=0,AND(J2311=1,K2311=1),AND(J2311=1,I2311="SBJ"),AND(J2311=1,I2311=0)),"?IN_FOCUS",IF(J2311&lt;=2,"?ACTIVATED",IF(J2311&lt;&gt;"","?FAMILIAR",IF(F2311="NEW",IF(ISNA(VLOOKUP(E2311,#REF!,1,FALSE())),"?TYPE_IDENTIFIABLE","?REFERENTIAL"),"_")))))</f>
        <v> </v>
      </c>
      <c r="H2311" s="25" t="str">
        <f>IF(J2311&lt;&gt;1,"",IF(I2311="SBJ","CB","?"))</f>
        <v> </v>
      </c>
      <c r="I2311" s="26" t="str">
        <f>IF(OR(E2311="",E2311="!!!",F2311="NEW"),"",INDEX(B2310:B$2,-1+SUMPRODUCT(MAX(ROW(E2310:E$2)*(E2311=E2310:E$2)))))</f>
        <v> </v>
      </c>
      <c r="J2311" s="26" t="str">
        <f>IF(OR(E2311="",E2311="!!!",F2311="NEW"),"",COUNTBLANK(OFFSET(A$1,,,SUMPRODUCT(MAX(ROW(E$2:E2311)*(E2311=E$2:E2311)))))-COUNTBLANK(OFFSET(A$1,,,SUMPRODUCT(MAX(ROW(E$1:E2310)*(E2=E$1:E2310))))))</f>
        <v> </v>
      </c>
      <c r="K2311" s="26" t="str">
        <f>IF(OR(E2311="",E2311="!!!",F2311="NEW"),"",INDEX(J$1:J2310,SUMPRODUCT(MAX(ROW(E$1:E2310)*(E2311=E$1:E2310)))))</f>
        <v> </v>
      </c>
      <c r="L2311" s="27"/>
    </row>
    <row r="2312" spans="1:12">
      <c r="A2312" s="20" t="s">
        <v>1627</v>
      </c>
      <c r="B2312" s="21" t="s">
        <v>739</v>
      </c>
      <c r="C2312" s="21" t="s">
        <v>737</v>
      </c>
      <c r="E2312" s="22">
        <f>IF(D2312="?OLD","!!!","")</f>
        <v/>
      </c>
      <c r="F2312" s="23" t="str">
        <f>IF(OR(E2312="",E2312="!!!"),"",IF(NOT(ISNA(VLOOKUP(E2312,E$1:E2311,1,FALSE()))),"OLD",IF(AND(E2312&lt;&gt;"",E2312&lt;&gt;"!!!"),"NEW","")))</f>
        <v> </v>
      </c>
      <c r="G2312" s="24" t="str">
        <f>IF(OR(E2312="",E2312="!!!"),"",IF(OR(J2312=0,AND(J2312=1,K2312=1),AND(J2312=1,I2312="SBJ"),AND(J2312=1,I2312=0)),"?IN_FOCUS",IF(J2312&lt;=2,"?ACTIVATED",IF(J2312&lt;&gt;"","?FAMILIAR",IF(F2312="NEW",IF(ISNA(VLOOKUP(E2312,#REF!,1,FALSE())),"?TYPE_IDENTIFIABLE","?REFERENTIAL"),"_")))))</f>
        <v> </v>
      </c>
      <c r="H2312" s="25" t="str">
        <f>IF(J2312&lt;&gt;1,"",IF(I2312="SBJ","CB","?"))</f>
        <v> </v>
      </c>
      <c r="I2312" s="26" t="str">
        <f>IF(OR(E2312="",E2312="!!!",F2312="NEW"),"",INDEX(B2311:B$2,-1+SUMPRODUCT(MAX(ROW(E2311:E$2)*(E2312=E2311:E$2)))))</f>
        <v> </v>
      </c>
      <c r="J2312" s="26" t="str">
        <f>IF(OR(E2312="",E2312="!!!",F2312="NEW"),"",COUNTBLANK(OFFSET(A$1,,,SUMPRODUCT(MAX(ROW(E$2:E2312)*(E2312=E$2:E2312)))))-COUNTBLANK(OFFSET(A$1,,,SUMPRODUCT(MAX(ROW(E$1:E2311)*(E2=E$1:E2311))))))</f>
        <v> </v>
      </c>
      <c r="K2312" s="26" t="str">
        <f>IF(OR(E2312="",E2312="!!!",F2312="NEW"),"",INDEX(J$1:J2311,SUMPRODUCT(MAX(ROW(E$1:E2311)*(E2312=E$1:E2311)))))</f>
        <v> </v>
      </c>
      <c r="L2312" s="27"/>
    </row>
    <row r="2313" spans="1:12">
      <c r="A2313" s="20" t="s">
        <v>742</v>
      </c>
      <c r="E2313" s="22">
        <f>IF(D2313="?OLD","!!!","")</f>
        <v/>
      </c>
      <c r="F2313" s="23" t="str">
        <f>IF(OR(E2313="",E2313="!!!"),"",IF(NOT(ISNA(VLOOKUP(E2313,E$1:E2312,1,FALSE()))),"OLD",IF(AND(E2313&lt;&gt;"",E2313&lt;&gt;"!!!"),"NEW","")))</f>
        <v> </v>
      </c>
      <c r="G2313" s="24" t="str">
        <f>IF(OR(E2313="",E2313="!!!"),"",IF(OR(J2313=0,AND(J2313=1,K2313=1),AND(J2313=1,I2313="SBJ"),AND(J2313=1,I2313=0)),"?IN_FOCUS",IF(J2313&lt;=2,"?ACTIVATED",IF(J2313&lt;&gt;"","?FAMILIAR",IF(F2313="NEW",IF(ISNA(VLOOKUP(E2313,#REF!,1,FALSE())),"?TYPE_IDENTIFIABLE","?REFERENTIAL"),"_")))))</f>
        <v> </v>
      </c>
      <c r="H2313" s="25" t="str">
        <f>IF(J2313&lt;&gt;1,"",IF(I2313="SBJ","CB","?"))</f>
        <v> </v>
      </c>
      <c r="I2313" s="26" t="str">
        <f>IF(OR(E2313="",E2313="!!!",F2313="NEW"),"",INDEX(B2312:B$2,-1+SUMPRODUCT(MAX(ROW(E2312:E$2)*(E2313=E2312:E$2)))))</f>
        <v> </v>
      </c>
      <c r="J2313" s="26" t="str">
        <f>IF(OR(E2313="",E2313="!!!",F2313="NEW"),"",COUNTBLANK(OFFSET(A$1,,,SUMPRODUCT(MAX(ROW(E$2:E2313)*(E2313=E$2:E2313)))))-COUNTBLANK(OFFSET(A$1,,,SUMPRODUCT(MAX(ROW(E$1:E2312)*(E2=E$1:E2312))))))</f>
        <v> </v>
      </c>
      <c r="K2313" s="26" t="str">
        <f>IF(OR(E2313="",E2313="!!!",F2313="NEW"),"",INDEX(J$1:J2312,SUMPRODUCT(MAX(ROW(E$1:E2312)*(E2313=E$1:E2312)))))</f>
        <v> </v>
      </c>
      <c r="L2313" s="27"/>
    </row>
    <row r="2314" spans="1:12">
      <c r="A2314" s="20" t="s">
        <v>776</v>
      </c>
      <c r="B2314" s="21" t="s">
        <v>755</v>
      </c>
      <c r="C2314" s="21" t="s">
        <v>789</v>
      </c>
      <c r="D2314" s="21" t="s">
        <v>730</v>
      </c>
      <c r="E2314" s="22">
        <f>IF(D2314="?OLD","!!!","")</f>
        <v/>
      </c>
      <c r="F2314" s="23" t="str">
        <f>IF(OR(E2314="",E2314="!!!"),"",IF(NOT(ISNA(VLOOKUP(E2314,E$1:E2313,1,FALSE()))),"OLD",IF(AND(E2314&lt;&gt;"",E2314&lt;&gt;"!!!"),"NEW","")))</f>
        <v> </v>
      </c>
      <c r="G2314" s="24" t="str">
        <f>IF(OR(E2314="",E2314="!!!"),"",IF(OR(J2314=0,AND(J2314=1,K2314=1),AND(J2314=1,I2314="SBJ"),AND(J2314=1,I2314=0)),"?IN_FOCUS",IF(J2314&lt;=2,"?ACTIVATED",IF(J2314&lt;&gt;"","?FAMILIAR",IF(F2314="NEW",IF(ISNA(VLOOKUP(E2314,#REF!,1,FALSE())),"?TYPE_IDENTIFIABLE","?REFERENTIAL"),"_")))))</f>
        <v> </v>
      </c>
      <c r="H2314" s="25" t="str">
        <f>IF(J2314&lt;&gt;1,"",IF(I2314="SBJ","CB","?"))</f>
        <v> </v>
      </c>
      <c r="I2314" s="26" t="str">
        <f>IF(OR(E2314="",E2314="!!!",F2314="NEW"),"",INDEX(B2313:B$2,-1+SUMPRODUCT(MAX(ROW(E2313:E$2)*(E2314=E2313:E$2)))))</f>
        <v> </v>
      </c>
      <c r="J2314" s="26" t="str">
        <f>IF(OR(E2314="",E2314="!!!",F2314="NEW"),"",COUNTBLANK(OFFSET(A$1,,,SUMPRODUCT(MAX(ROW(E$2:E2314)*(E2314=E$2:E2314)))))-COUNTBLANK(OFFSET(A$1,,,SUMPRODUCT(MAX(ROW(E$1:E2313)*(E2=E$1:E2313))))))</f>
        <v> </v>
      </c>
      <c r="K2314" s="26" t="str">
        <f>IF(OR(E2314="",E2314="!!!",F2314="NEW"),"",INDEX(J$1:J2313,SUMPRODUCT(MAX(ROW(E$1:E2313)*(E2314=E$1:E2313)))))</f>
        <v> </v>
      </c>
      <c r="L2314" s="27"/>
    </row>
    <row r="2315" spans="1:12">
      <c r="A2315" s="20" t="s">
        <v>759</v>
      </c>
      <c r="E2315" s="22">
        <f>IF(D2315="?OLD","!!!","")</f>
        <v/>
      </c>
      <c r="F2315" s="23" t="str">
        <f>IF(OR(E2315="",E2315="!!!"),"",IF(NOT(ISNA(VLOOKUP(E2315,E$1:E2314,1,FALSE()))),"OLD",IF(AND(E2315&lt;&gt;"",E2315&lt;&gt;"!!!"),"NEW","")))</f>
        <v> </v>
      </c>
      <c r="G2315" s="24" t="str">
        <f>IF(OR(E2315="",E2315="!!!"),"",IF(OR(J2315=0,AND(J2315=1,K2315=1),AND(J2315=1,I2315="SBJ"),AND(J2315=1,I2315=0)),"?IN_FOCUS",IF(J2315&lt;=2,"?ACTIVATED",IF(J2315&lt;&gt;"","?FAMILIAR",IF(F2315="NEW",IF(ISNA(VLOOKUP(E2315,#REF!,1,FALSE())),"?TYPE_IDENTIFIABLE","?REFERENTIAL"),"_")))))</f>
        <v> </v>
      </c>
      <c r="H2315" s="25" t="str">
        <f>IF(J2315&lt;&gt;1,"",IF(I2315="SBJ","CB","?"))</f>
        <v> </v>
      </c>
      <c r="I2315" s="26" t="str">
        <f>IF(OR(E2315="",E2315="!!!",F2315="NEW"),"",INDEX(B2314:B$2,-1+SUMPRODUCT(MAX(ROW(E2314:E$2)*(E2315=E2314:E$2)))))</f>
        <v> </v>
      </c>
      <c r="J2315" s="26" t="str">
        <f>IF(OR(E2315="",E2315="!!!",F2315="NEW"),"",COUNTBLANK(OFFSET(A$1,,,SUMPRODUCT(MAX(ROW(E$2:E2315)*(E2315=E$2:E2315)))))-COUNTBLANK(OFFSET(A$1,,,SUMPRODUCT(MAX(ROW(E$1:E2314)*(E2=E$1:E2314))))))</f>
        <v> </v>
      </c>
      <c r="K2315" s="26" t="str">
        <f>IF(OR(E2315="",E2315="!!!",F2315="NEW"),"",INDEX(J$1:J2314,SUMPRODUCT(MAX(ROW(E$1:E2314)*(E2315=E$1:E2314)))))</f>
        <v> </v>
      </c>
      <c r="L2315" s="27"/>
    </row>
    <row r="2316" spans="1:12">
      <c r="A2316" s="20" t="s">
        <v>945</v>
      </c>
      <c r="B2316" s="21" t="s">
        <v>1202</v>
      </c>
      <c r="C2316" s="21" t="s">
        <v>789</v>
      </c>
      <c r="D2316" s="21" t="s">
        <v>730</v>
      </c>
      <c r="E2316" s="22">
        <f>IF(D2316="?OLD","!!!","")</f>
        <v/>
      </c>
      <c r="F2316" s="23" t="str">
        <f>IF(OR(E2316="",E2316="!!!"),"",IF(NOT(ISNA(VLOOKUP(E2316,E$1:E2315,1,FALSE()))),"OLD",IF(AND(E2316&lt;&gt;"",E2316&lt;&gt;"!!!"),"NEW","")))</f>
        <v> </v>
      </c>
      <c r="G2316" s="24" t="str">
        <f>IF(OR(E2316="",E2316="!!!"),"",IF(OR(J2316=0,AND(J2316=1,K2316=1),AND(J2316=1,I2316="SBJ"),AND(J2316=1,I2316=0)),"?IN_FOCUS",IF(J2316&lt;=2,"?ACTIVATED",IF(J2316&lt;&gt;"","?FAMILIAR",IF(F2316="NEW",IF(ISNA(VLOOKUP(E2316,#REF!,1,FALSE())),"?TYPE_IDENTIFIABLE","?REFERENTIAL"),"_")))))</f>
        <v> </v>
      </c>
      <c r="H2316" s="25" t="str">
        <f>IF(J2316&lt;&gt;1,"",IF(I2316="SBJ","CB","?"))</f>
        <v> </v>
      </c>
      <c r="I2316" s="26" t="str">
        <f>IF(OR(E2316="",E2316="!!!",F2316="NEW"),"",INDEX(B2315:B$2,-1+SUMPRODUCT(MAX(ROW(E2315:E$2)*(E2316=E2315:E$2)))))</f>
        <v> </v>
      </c>
      <c r="J2316" s="26" t="str">
        <f>IF(OR(E2316="",E2316="!!!",F2316="NEW"),"",COUNTBLANK(OFFSET(A$1,,,SUMPRODUCT(MAX(ROW(E$2:E2316)*(E2316=E$2:E2316)))))-COUNTBLANK(OFFSET(A$1,,,SUMPRODUCT(MAX(ROW(E$1:E2315)*(E2=E$1:E2315))))))</f>
        <v> </v>
      </c>
      <c r="K2316" s="26" t="str">
        <f>IF(OR(E2316="",E2316="!!!",F2316="NEW"),"",INDEX(J$1:J2315,SUMPRODUCT(MAX(ROW(E$1:E2315)*(E2316=E$1:E2315)))))</f>
        <v> </v>
      </c>
      <c r="L2316" s="27"/>
    </row>
    <row r="2317" spans="1:12">
      <c r="A2317" s="20" t="s">
        <v>1625</v>
      </c>
      <c r="E2317" s="22">
        <f>IF(D2317="?OLD","!!!","")</f>
        <v/>
      </c>
      <c r="F2317" s="23" t="str">
        <f>IF(OR(E2317="",E2317="!!!"),"",IF(NOT(ISNA(VLOOKUP(E2317,E$1:E2316,1,FALSE()))),"OLD",IF(AND(E2317&lt;&gt;"",E2317&lt;&gt;"!!!"),"NEW","")))</f>
        <v> </v>
      </c>
      <c r="G2317" s="24" t="str">
        <f>IF(OR(E2317="",E2317="!!!"),"",IF(OR(J2317=0,AND(J2317=1,K2317=1),AND(J2317=1,I2317="SBJ"),AND(J2317=1,I2317=0)),"?IN_FOCUS",IF(J2317&lt;=2,"?ACTIVATED",IF(J2317&lt;&gt;"","?FAMILIAR",IF(F2317="NEW",IF(ISNA(VLOOKUP(E2317,#REF!,1,FALSE())),"?TYPE_IDENTIFIABLE","?REFERENTIAL"),"_")))))</f>
        <v> </v>
      </c>
      <c r="H2317" s="25" t="str">
        <f>IF(J2317&lt;&gt;1,"",IF(I2317="SBJ","CB","?"))</f>
        <v> </v>
      </c>
      <c r="I2317" s="26" t="str">
        <f>IF(OR(E2317="",E2317="!!!",F2317="NEW"),"",INDEX(B2316:B$2,-1+SUMPRODUCT(MAX(ROW(E2316:E$2)*(E2317=E2316:E$2)))))</f>
        <v> </v>
      </c>
      <c r="J2317" s="26" t="str">
        <f>IF(OR(E2317="",E2317="!!!",F2317="NEW"),"",COUNTBLANK(OFFSET(A$1,,,SUMPRODUCT(MAX(ROW(E$2:E2317)*(E2317=E$2:E2317)))))-COUNTBLANK(OFFSET(A$1,,,SUMPRODUCT(MAX(ROW(E$1:E2316)*(E2=E$1:E2316))))))</f>
        <v> </v>
      </c>
      <c r="K2317" s="26" t="str">
        <f>IF(OR(E2317="",E2317="!!!",F2317="NEW"),"",INDEX(J$1:J2316,SUMPRODUCT(MAX(ROW(E$1:E2316)*(E2317=E$1:E2316)))))</f>
        <v> </v>
      </c>
      <c r="L2317" s="27"/>
    </row>
    <row r="2318" spans="1:12">
      <c r="A2318" s="20" t="s">
        <v>773</v>
      </c>
      <c r="E2318" s="22">
        <f>IF(D2318="?OLD","!!!","")</f>
        <v/>
      </c>
      <c r="F2318" s="23" t="str">
        <f>IF(OR(E2318="",E2318="!!!"),"",IF(NOT(ISNA(VLOOKUP(E2318,E$1:E2317,1,FALSE()))),"OLD",IF(AND(E2318&lt;&gt;"",E2318&lt;&gt;"!!!"),"NEW","")))</f>
        <v> </v>
      </c>
      <c r="G2318" s="24" t="str">
        <f>IF(OR(E2318="",E2318="!!!"),"",IF(OR(J2318=0,AND(J2318=1,K2318=1),AND(J2318=1,I2318="SBJ"),AND(J2318=1,I2318=0)),"?IN_FOCUS",IF(J2318&lt;=2,"?ACTIVATED",IF(J2318&lt;&gt;"","?FAMILIAR",IF(F2318="NEW",IF(ISNA(VLOOKUP(E2318,#REF!,1,FALSE())),"?TYPE_IDENTIFIABLE","?REFERENTIAL"),"_")))))</f>
        <v> </v>
      </c>
      <c r="H2318" s="25" t="str">
        <f>IF(J2318&lt;&gt;1,"",IF(I2318="SBJ","CB","?"))</f>
        <v> </v>
      </c>
      <c r="I2318" s="26" t="str">
        <f>IF(OR(E2318="",E2318="!!!",F2318="NEW"),"",INDEX(B2317:B$2,-1+SUMPRODUCT(MAX(ROW(E2317:E$2)*(E2318=E2317:E$2)))))</f>
        <v> </v>
      </c>
      <c r="J2318" s="26" t="str">
        <f>IF(OR(E2318="",E2318="!!!",F2318="NEW"),"",COUNTBLANK(OFFSET(A$1,,,SUMPRODUCT(MAX(ROW(E$2:E2318)*(E2318=E$2:E2318)))))-COUNTBLANK(OFFSET(A$1,,,SUMPRODUCT(MAX(ROW(E$1:E2317)*(E2=E$1:E2317))))))</f>
        <v> </v>
      </c>
      <c r="K2318" s="26" t="str">
        <f>IF(OR(E2318="",E2318="!!!",F2318="NEW"),"",INDEX(J$1:J2317,SUMPRODUCT(MAX(ROW(E$1:E2317)*(E2318=E$1:E2317)))))</f>
        <v> </v>
      </c>
      <c r="L2318" s="27"/>
    </row>
    <row r="2319" spans="1:12">
      <c r="A2319" s="20" t="s">
        <v>1487</v>
      </c>
      <c r="B2319" s="21" t="s">
        <v>1497</v>
      </c>
      <c r="C2319" s="21" t="s">
        <v>756</v>
      </c>
      <c r="E2319" s="22">
        <f>IF(D2319="?OLD","!!!","")</f>
        <v/>
      </c>
      <c r="F2319" s="23" t="str">
        <f>IF(OR(E2319="",E2319="!!!"),"",IF(NOT(ISNA(VLOOKUP(E2319,E$1:E2318,1,FALSE()))),"OLD",IF(AND(E2319&lt;&gt;"",E2319&lt;&gt;"!!!"),"NEW","")))</f>
        <v> </v>
      </c>
      <c r="G2319" s="24" t="str">
        <f>IF(OR(E2319="",E2319="!!!"),"",IF(OR(J2319=0,AND(J2319=1,K2319=1),AND(J2319=1,I2319="SBJ"),AND(J2319=1,I2319=0)),"?IN_FOCUS",IF(J2319&lt;=2,"?ACTIVATED",IF(J2319&lt;&gt;"","?FAMILIAR",IF(F2319="NEW",IF(ISNA(VLOOKUP(E2319,#REF!,1,FALSE())),"?TYPE_IDENTIFIABLE","?REFERENTIAL"),"_")))))</f>
        <v> </v>
      </c>
      <c r="H2319" s="25" t="str">
        <f>IF(J2319&lt;&gt;1,"",IF(I2319="SBJ","CB","?"))</f>
        <v> </v>
      </c>
      <c r="I2319" s="26" t="str">
        <f>IF(OR(E2319="",E2319="!!!",F2319="NEW"),"",INDEX(B2318:B$2,-1+SUMPRODUCT(MAX(ROW(E2318:E$2)*(E2319=E2318:E$2)))))</f>
        <v> </v>
      </c>
      <c r="J2319" s="26" t="str">
        <f>IF(OR(E2319="",E2319="!!!",F2319="NEW"),"",COUNTBLANK(OFFSET(A$1,,,SUMPRODUCT(MAX(ROW(E$2:E2319)*(E2319=E$2:E2319)))))-COUNTBLANK(OFFSET(A$1,,,SUMPRODUCT(MAX(ROW(E$1:E2318)*(E2=E$1:E2318))))))</f>
        <v> </v>
      </c>
      <c r="K2319" s="26" t="str">
        <f>IF(OR(E2319="",E2319="!!!",F2319="NEW"),"",INDEX(J$1:J2318,SUMPRODUCT(MAX(ROW(E$1:E2318)*(E2319=E$1:E2318)))))</f>
        <v> </v>
      </c>
      <c r="L2319" s="27"/>
    </row>
    <row r="2320" spans="1:12">
      <c r="A2320" s="20" t="s">
        <v>1628</v>
      </c>
      <c r="B2320" s="21" t="s">
        <v>778</v>
      </c>
      <c r="C2320" s="21" t="s">
        <v>967</v>
      </c>
      <c r="E2320" s="22">
        <f>IF(D2320="?OLD","!!!","")</f>
        <v/>
      </c>
      <c r="F2320" s="23" t="str">
        <f>IF(OR(E2320="",E2320="!!!"),"",IF(NOT(ISNA(VLOOKUP(E2320,E$1:E2319,1,FALSE()))),"OLD",IF(AND(E2320&lt;&gt;"",E2320&lt;&gt;"!!!"),"NEW","")))</f>
        <v> </v>
      </c>
      <c r="G2320" s="24" t="str">
        <f>IF(OR(E2320="",E2320="!!!"),"",IF(OR(J2320=0,AND(J2320=1,K2320=1),AND(J2320=1,I2320="SBJ"),AND(J2320=1,I2320=0)),"?IN_FOCUS",IF(J2320&lt;=2,"?ACTIVATED",IF(J2320&lt;&gt;"","?FAMILIAR",IF(F2320="NEW",IF(ISNA(VLOOKUP(E2320,#REF!,1,FALSE())),"?TYPE_IDENTIFIABLE","?REFERENTIAL"),"_")))))</f>
        <v> </v>
      </c>
      <c r="H2320" s="25" t="str">
        <f>IF(J2320&lt;&gt;1,"",IF(I2320="SBJ","CB","?"))</f>
        <v> </v>
      </c>
      <c r="I2320" s="26" t="str">
        <f>IF(OR(E2320="",E2320="!!!",F2320="NEW"),"",INDEX(B2319:B$2,-1+SUMPRODUCT(MAX(ROW(E2319:E$2)*(E2320=E2319:E$2)))))</f>
        <v> </v>
      </c>
      <c r="J2320" s="26" t="str">
        <f>IF(OR(E2320="",E2320="!!!",F2320="NEW"),"",COUNTBLANK(OFFSET(A$1,,,SUMPRODUCT(MAX(ROW(E$2:E2320)*(E2320=E$2:E2320)))))-COUNTBLANK(OFFSET(A$1,,,SUMPRODUCT(MAX(ROW(E$1:E2319)*(E2=E$1:E2319))))))</f>
        <v> </v>
      </c>
      <c r="K2320" s="26" t="str">
        <f>IF(OR(E2320="",E2320="!!!",F2320="NEW"),"",INDEX(J$1:J2319,SUMPRODUCT(MAX(ROW(E$1:E2319)*(E2320=E$1:E2319)))))</f>
        <v> </v>
      </c>
      <c r="L2320" s="27"/>
    </row>
    <row r="2321" spans="1:12">
      <c r="A2321" s="20" t="s">
        <v>179</v>
      </c>
      <c r="E2321" s="22">
        <f>IF(D2321="?OLD","!!!","")</f>
        <v/>
      </c>
      <c r="F2321" s="23" t="str">
        <f>IF(OR(E2321="",E2321="!!!"),"",IF(NOT(ISNA(VLOOKUP(E2321,E$1:E2320,1,FALSE()))),"OLD",IF(AND(E2321&lt;&gt;"",E2321&lt;&gt;"!!!"),"NEW","")))</f>
        <v> </v>
      </c>
      <c r="G2321" s="24" t="str">
        <f>IF(OR(E2321="",E2321="!!!"),"",IF(OR(J2321=0,AND(J2321=1,K2321=1),AND(J2321=1,I2321="SBJ"),AND(J2321=1,I2321=0)),"?IN_FOCUS",IF(J2321&lt;=2,"?ACTIVATED",IF(J2321&lt;&gt;"","?FAMILIAR",IF(F2321="NEW",IF(ISNA(VLOOKUP(E2321,#REF!,1,FALSE())),"?TYPE_IDENTIFIABLE","?REFERENTIAL"),"_")))))</f>
        <v> </v>
      </c>
      <c r="H2321" s="25" t="str">
        <f>IF(J2321&lt;&gt;1,"",IF(I2321="SBJ","CB","?"))</f>
        <v> </v>
      </c>
      <c r="I2321" s="26" t="str">
        <f>IF(OR(E2321="",E2321="!!!",F2321="NEW"),"",INDEX(B2320:B$2,-1+SUMPRODUCT(MAX(ROW(E2320:E$2)*(E2321=E2320:E$2)))))</f>
        <v> </v>
      </c>
      <c r="J2321" s="26" t="str">
        <f>IF(OR(E2321="",E2321="!!!",F2321="NEW"),"",COUNTBLANK(OFFSET(A$1,,,SUMPRODUCT(MAX(ROW(E$2:E2321)*(E2321=E$2:E2321)))))-COUNTBLANK(OFFSET(A$1,,,SUMPRODUCT(MAX(ROW(E$1:E2320)*(E2=E$1:E2320))))))</f>
        <v> </v>
      </c>
      <c r="K2321" s="26" t="str">
        <f>IF(OR(E2321="",E2321="!!!",F2321="NEW"),"",INDEX(J$1:J2320,SUMPRODUCT(MAX(ROW(E$1:E2320)*(E2321=E$1:E2320)))))</f>
        <v> </v>
      </c>
      <c r="L2321" s="27"/>
    </row>
    <row r="2322" spans="1:12">
      <c r="A2322" s="20" t="s">
        <v>1629</v>
      </c>
      <c r="E2322" s="22">
        <f>IF(D2322="?OLD","!!!","")</f>
        <v/>
      </c>
      <c r="F2322" s="23" t="str">
        <f>IF(OR(E2322="",E2322="!!!"),"",IF(NOT(ISNA(VLOOKUP(E2322,E$1:E2321,1,FALSE()))),"OLD",IF(AND(E2322&lt;&gt;"",E2322&lt;&gt;"!!!"),"NEW","")))</f>
        <v> </v>
      </c>
      <c r="G2322" s="24" t="str">
        <f>IF(OR(E2322="",E2322="!!!"),"",IF(OR(J2322=0,AND(J2322=1,K2322=1),AND(J2322=1,I2322="SBJ"),AND(J2322=1,I2322=0)),"?IN_FOCUS",IF(J2322&lt;=2,"?ACTIVATED",IF(J2322&lt;&gt;"","?FAMILIAR",IF(F2322="NEW",IF(ISNA(VLOOKUP(E2322,#REF!,1,FALSE())),"?TYPE_IDENTIFIABLE","?REFERENTIAL"),"_")))))</f>
        <v> </v>
      </c>
      <c r="H2322" s="25" t="str">
        <f>IF(J2322&lt;&gt;1,"",IF(I2322="SBJ","CB","?"))</f>
        <v> </v>
      </c>
      <c r="I2322" s="26" t="str">
        <f>IF(OR(E2322="",E2322="!!!",F2322="NEW"),"",INDEX(B2321:B$2,-1+SUMPRODUCT(MAX(ROW(E2321:E$2)*(E2322=E2321:E$2)))))</f>
        <v> </v>
      </c>
      <c r="J2322" s="26" t="str">
        <f>IF(OR(E2322="",E2322="!!!",F2322="NEW"),"",COUNTBLANK(OFFSET(A$1,,,SUMPRODUCT(MAX(ROW(E$2:E2322)*(E2322=E$2:E2322)))))-COUNTBLANK(OFFSET(A$1,,,SUMPRODUCT(MAX(ROW(E$1:E2321)*(E2=E$1:E2321))))))</f>
        <v> </v>
      </c>
      <c r="K2322" s="26" t="str">
        <f>IF(OR(E2322="",E2322="!!!",F2322="NEW"),"",INDEX(J$1:J2321,SUMPRODUCT(MAX(ROW(E$1:E2321)*(E2322=E$1:E2321)))))</f>
        <v> </v>
      </c>
      <c r="L2322" s="27"/>
    </row>
    <row r="2323" spans="1:12">
      <c r="A2323" s="20" t="s">
        <v>759</v>
      </c>
      <c r="E2323" s="22">
        <f>IF(D2323="?OLD","!!!","")</f>
        <v/>
      </c>
      <c r="F2323" s="23" t="str">
        <f>IF(OR(E2323="",E2323="!!!"),"",IF(NOT(ISNA(VLOOKUP(E2323,E$1:E2322,1,FALSE()))),"OLD",IF(AND(E2323&lt;&gt;"",E2323&lt;&gt;"!!!"),"NEW","")))</f>
        <v> </v>
      </c>
      <c r="G2323" s="24" t="str">
        <f>IF(OR(E2323="",E2323="!!!"),"",IF(OR(J2323=0,AND(J2323=1,K2323=1),AND(J2323=1,I2323="SBJ"),AND(J2323=1,I2323=0)),"?IN_FOCUS",IF(J2323&lt;=2,"?ACTIVATED",IF(J2323&lt;&gt;"","?FAMILIAR",IF(F2323="NEW",IF(ISNA(VLOOKUP(E2323,#REF!,1,FALSE())),"?TYPE_IDENTIFIABLE","?REFERENTIAL"),"_")))))</f>
        <v> </v>
      </c>
      <c r="H2323" s="25" t="str">
        <f>IF(J2323&lt;&gt;1,"",IF(I2323="SBJ","CB","?"))</f>
        <v> </v>
      </c>
      <c r="I2323" s="26" t="str">
        <f>IF(OR(E2323="",E2323="!!!",F2323="NEW"),"",INDEX(B2322:B$2,-1+SUMPRODUCT(MAX(ROW(E2322:E$2)*(E2323=E2322:E$2)))))</f>
        <v> </v>
      </c>
      <c r="J2323" s="26" t="str">
        <f>IF(OR(E2323="",E2323="!!!",F2323="NEW"),"",COUNTBLANK(OFFSET(A$1,,,SUMPRODUCT(MAX(ROW(E$2:E2323)*(E2323=E$2:E2323)))))-COUNTBLANK(OFFSET(A$1,,,SUMPRODUCT(MAX(ROW(E$1:E2322)*(E2=E$1:E2322))))))</f>
        <v> </v>
      </c>
      <c r="K2323" s="26" t="str">
        <f>IF(OR(E2323="",E2323="!!!",F2323="NEW"),"",INDEX(J$1:J2322,SUMPRODUCT(MAX(ROW(E$1:E2322)*(E2323=E$1:E2322)))))</f>
        <v> </v>
      </c>
      <c r="L2323" s="27"/>
    </row>
    <row r="2324" spans="1:12">
      <c r="A2324" s="20" t="s">
        <v>809</v>
      </c>
      <c r="E2324" s="22">
        <f>IF(D2324="?OLD","!!!","")</f>
        <v/>
      </c>
      <c r="F2324" s="23" t="str">
        <f>IF(OR(E2324="",E2324="!!!"),"",IF(NOT(ISNA(VLOOKUP(E2324,E$1:E2323,1,FALSE()))),"OLD",IF(AND(E2324&lt;&gt;"",E2324&lt;&gt;"!!!"),"NEW","")))</f>
        <v> </v>
      </c>
      <c r="G2324" s="24" t="str">
        <f>IF(OR(E2324="",E2324="!!!"),"",IF(OR(J2324=0,AND(J2324=1,K2324=1),AND(J2324=1,I2324="SBJ"),AND(J2324=1,I2324=0)),"?IN_FOCUS",IF(J2324&lt;=2,"?ACTIVATED",IF(J2324&lt;&gt;"","?FAMILIAR",IF(F2324="NEW",IF(ISNA(VLOOKUP(E2324,#REF!,1,FALSE())),"?TYPE_IDENTIFIABLE","?REFERENTIAL"),"_")))))</f>
        <v> </v>
      </c>
      <c r="H2324" s="25" t="str">
        <f>IF(J2324&lt;&gt;1,"",IF(I2324="SBJ","CB","?"))</f>
        <v> </v>
      </c>
      <c r="I2324" s="26" t="str">
        <f>IF(OR(E2324="",E2324="!!!",F2324="NEW"),"",INDEX(B2323:B$2,-1+SUMPRODUCT(MAX(ROW(E2323:E$2)*(E2324=E2323:E$2)))))</f>
        <v> </v>
      </c>
      <c r="J2324" s="26" t="str">
        <f>IF(OR(E2324="",E2324="!!!",F2324="NEW"),"",COUNTBLANK(OFFSET(A$1,,,SUMPRODUCT(MAX(ROW(E$2:E2324)*(E2324=E$2:E2324)))))-COUNTBLANK(OFFSET(A$1,,,SUMPRODUCT(MAX(ROW(E$1:E2323)*(E2=E$1:E2323))))))</f>
        <v> </v>
      </c>
      <c r="K2324" s="26" t="str">
        <f>IF(OR(E2324="",E2324="!!!",F2324="NEW"),"",INDEX(J$1:J2323,SUMPRODUCT(MAX(ROW(E$1:E2323)*(E2324=E$1:E2323)))))</f>
        <v> </v>
      </c>
      <c r="L2324" s="27"/>
    </row>
    <row r="2325" spans="1:12">
      <c r="A2325" s="20" t="s">
        <v>1450</v>
      </c>
      <c r="B2325" s="21" t="s">
        <v>1630</v>
      </c>
      <c r="C2325" s="21" t="s">
        <v>756</v>
      </c>
      <c r="E2325" s="22">
        <f>IF(D2325="?OLD","!!!","")</f>
        <v/>
      </c>
      <c r="F2325" s="23" t="str">
        <f>IF(OR(E2325="",E2325="!!!"),"",IF(NOT(ISNA(VLOOKUP(E2325,E$1:E2324,1,FALSE()))),"OLD",IF(AND(E2325&lt;&gt;"",E2325&lt;&gt;"!!!"),"NEW","")))</f>
        <v> </v>
      </c>
      <c r="G2325" s="24" t="str">
        <f>IF(OR(E2325="",E2325="!!!"),"",IF(OR(J2325=0,AND(J2325=1,K2325=1),AND(J2325=1,I2325="SBJ"),AND(J2325=1,I2325=0)),"?IN_FOCUS",IF(J2325&lt;=2,"?ACTIVATED",IF(J2325&lt;&gt;"","?FAMILIAR",IF(F2325="NEW",IF(ISNA(VLOOKUP(E2325,#REF!,1,FALSE())),"?TYPE_IDENTIFIABLE","?REFERENTIAL"),"_")))))</f>
        <v> </v>
      </c>
      <c r="H2325" s="25" t="str">
        <f>IF(J2325&lt;&gt;1,"",IF(I2325="SBJ","CB","?"))</f>
        <v> </v>
      </c>
      <c r="I2325" s="26" t="str">
        <f>IF(OR(E2325="",E2325="!!!",F2325="NEW"),"",INDEX(B2324:B$2,-1+SUMPRODUCT(MAX(ROW(E2324:E$2)*(E2325=E2324:E$2)))))</f>
        <v> </v>
      </c>
      <c r="J2325" s="26" t="str">
        <f>IF(OR(E2325="",E2325="!!!",F2325="NEW"),"",COUNTBLANK(OFFSET(A$1,,,SUMPRODUCT(MAX(ROW(E$2:E2325)*(E2325=E$2:E2325)))))-COUNTBLANK(OFFSET(A$1,,,SUMPRODUCT(MAX(ROW(E$1:E2324)*(E2=E$1:E2324))))))</f>
        <v> </v>
      </c>
      <c r="K2325" s="26" t="str">
        <f>IF(OR(E2325="",E2325="!!!",F2325="NEW"),"",INDEX(J$1:J2324,SUMPRODUCT(MAX(ROW(E$1:E2324)*(E2325=E$1:E2324)))))</f>
        <v> </v>
      </c>
      <c r="L2325" s="27"/>
    </row>
    <row r="2326" spans="1:12">
      <c r="A2326" s="20" t="s">
        <v>1631</v>
      </c>
      <c r="B2326" s="21" t="s">
        <v>1632</v>
      </c>
      <c r="C2326" s="21" t="s">
        <v>740</v>
      </c>
      <c r="D2326" s="21" t="s">
        <v>730</v>
      </c>
      <c r="E2326" s="22">
        <f>IF(D2326="?OLD","!!!","")</f>
        <v/>
      </c>
      <c r="F2326" s="23" t="str">
        <f>IF(OR(E2326="",E2326="!!!"),"",IF(NOT(ISNA(VLOOKUP(E2326,E$1:E2325,1,FALSE()))),"OLD",IF(AND(E2326&lt;&gt;"",E2326&lt;&gt;"!!!"),"NEW","")))</f>
        <v> </v>
      </c>
      <c r="G2326" s="24" t="str">
        <f>IF(OR(E2326="",E2326="!!!"),"",IF(OR(J2326=0,AND(J2326=1,K2326=1),AND(J2326=1,I2326="SBJ"),AND(J2326=1,I2326=0)),"?IN_FOCUS",IF(J2326&lt;=2,"?ACTIVATED",IF(J2326&lt;&gt;"","?FAMILIAR",IF(F2326="NEW",IF(ISNA(VLOOKUP(E2326,#REF!,1,FALSE())),"?TYPE_IDENTIFIABLE","?REFERENTIAL"),"_")))))</f>
        <v> </v>
      </c>
      <c r="H2326" s="25" t="str">
        <f>IF(J2326&lt;&gt;1,"",IF(I2326="SBJ","CB","?"))</f>
        <v> </v>
      </c>
      <c r="I2326" s="26" t="str">
        <f>IF(OR(E2326="",E2326="!!!",F2326="NEW"),"",INDEX(B2325:B$2,-1+SUMPRODUCT(MAX(ROW(E2325:E$2)*(E2326=E2325:E$2)))))</f>
        <v> </v>
      </c>
      <c r="J2326" s="26" t="str">
        <f>IF(OR(E2326="",E2326="!!!",F2326="NEW"),"",COUNTBLANK(OFFSET(A$1,,,SUMPRODUCT(MAX(ROW(E$2:E2326)*(E2326=E$2:E2326)))))-COUNTBLANK(OFFSET(A$1,,,SUMPRODUCT(MAX(ROW(E$1:E2325)*(E2=E$1:E2325))))))</f>
        <v> </v>
      </c>
      <c r="K2326" s="26" t="str">
        <f>IF(OR(E2326="",E2326="!!!",F2326="NEW"),"",INDEX(J$1:J2325,SUMPRODUCT(MAX(ROW(E$1:E2325)*(E2326=E$1:E2325)))))</f>
        <v> </v>
      </c>
      <c r="L2326" s="27"/>
    </row>
    <row r="2327" spans="1:12">
      <c r="A2327" s="20" t="s">
        <v>12</v>
      </c>
      <c r="E2327" s="22">
        <f>IF(D2327="?OLD","!!!","")</f>
        <v/>
      </c>
      <c r="F2327" s="23" t="str">
        <f>IF(OR(E2327="",E2327="!!!"),"",IF(NOT(ISNA(VLOOKUP(E2327,E$1:E2326,1,FALSE()))),"OLD",IF(AND(E2327&lt;&gt;"",E2327&lt;&gt;"!!!"),"NEW","")))</f>
        <v> </v>
      </c>
      <c r="G2327" s="24" t="str">
        <f>IF(OR(E2327="",E2327="!!!"),"",IF(OR(J2327=0,AND(J2327=1,K2327=1),AND(J2327=1,I2327="SBJ"),AND(J2327=1,I2327=0)),"?IN_FOCUS",IF(J2327&lt;=2,"?ACTIVATED",IF(J2327&lt;&gt;"","?FAMILIAR",IF(F2327="NEW",IF(ISNA(VLOOKUP(E2327,#REF!,1,FALSE())),"?TYPE_IDENTIFIABLE","?REFERENTIAL"),"_")))))</f>
        <v> </v>
      </c>
      <c r="H2327" s="25" t="str">
        <f>IF(J2327&lt;&gt;1,"",IF(I2327="SBJ","CB","?"))</f>
        <v> </v>
      </c>
      <c r="I2327" s="26" t="str">
        <f>IF(OR(E2327="",E2327="!!!",F2327="NEW"),"",INDEX(B2326:B$2,-1+SUMPRODUCT(MAX(ROW(E2326:E$2)*(E2327=E2326:E$2)))))</f>
        <v> </v>
      </c>
      <c r="J2327" s="26" t="str">
        <f>IF(OR(E2327="",E2327="!!!",F2327="NEW"),"",COUNTBLANK(OFFSET(A$1,,,SUMPRODUCT(MAX(ROW(E$2:E2327)*(E2327=E$2:E2327)))))-COUNTBLANK(OFFSET(A$1,,,SUMPRODUCT(MAX(ROW(E$1:E2326)*(E2=E$1:E2326))))))</f>
        <v> </v>
      </c>
      <c r="K2327" s="26" t="str">
        <f>IF(OR(E2327="",E2327="!!!",F2327="NEW"),"",INDEX(J$1:J2326,SUMPRODUCT(MAX(ROW(E$1:E2326)*(E2327=E$1:E2326)))))</f>
        <v> </v>
      </c>
      <c r="L2327" s="27"/>
    </row>
    <row r="2328" spans="1:12">
      <c r="A2328" s="20" t="s">
        <v>1633</v>
      </c>
      <c r="E2328" s="22">
        <f>IF(D2328="?OLD","!!!","")</f>
        <v/>
      </c>
      <c r="F2328" s="23" t="str">
        <f>IF(OR(E2328="",E2328="!!!"),"",IF(NOT(ISNA(VLOOKUP(E2328,E$1:E2327,1,FALSE()))),"OLD",IF(AND(E2328&lt;&gt;"",E2328&lt;&gt;"!!!"),"NEW","")))</f>
        <v> </v>
      </c>
      <c r="G2328" s="24" t="str">
        <f>IF(OR(E2328="",E2328="!!!"),"",IF(OR(J2328=0,AND(J2328=1,K2328=1),AND(J2328=1,I2328="SBJ"),AND(J2328=1,I2328=0)),"?IN_FOCUS",IF(J2328&lt;=2,"?ACTIVATED",IF(J2328&lt;&gt;"","?FAMILIAR",IF(F2328="NEW",IF(ISNA(VLOOKUP(E2328,#REF!,1,FALSE())),"?TYPE_IDENTIFIABLE","?REFERENTIAL"),"_")))))</f>
        <v> </v>
      </c>
      <c r="H2328" s="25" t="str">
        <f>IF(J2328&lt;&gt;1,"",IF(I2328="SBJ","CB","?"))</f>
        <v> </v>
      </c>
      <c r="I2328" s="26" t="str">
        <f>IF(OR(E2328="",E2328="!!!",F2328="NEW"),"",INDEX(B2327:B$2,-1+SUMPRODUCT(MAX(ROW(E2327:E$2)*(E2328=E2327:E$2)))))</f>
        <v> </v>
      </c>
      <c r="J2328" s="26" t="str">
        <f>IF(OR(E2328="",E2328="!!!",F2328="NEW"),"",COUNTBLANK(OFFSET(A$1,,,SUMPRODUCT(MAX(ROW(E$2:E2328)*(E2328=E$2:E2328)))))-COUNTBLANK(OFFSET(A$1,,,SUMPRODUCT(MAX(ROW(E$1:E2327)*(E2=E$1:E2327))))))</f>
        <v> </v>
      </c>
      <c r="K2328" s="26" t="str">
        <f>IF(OR(E2328="",E2328="!!!",F2328="NEW"),"",INDEX(J$1:J2327,SUMPRODUCT(MAX(ROW(E$1:E2327)*(E2328=E$1:E2327)))))</f>
        <v> </v>
      </c>
      <c r="L2328" s="27"/>
    </row>
    <row r="2329" spans="1:12">
      <c r="A2329" s="20" t="s">
        <v>884</v>
      </c>
      <c r="E2329" s="22">
        <f>IF(D2329="?OLD","!!!","")</f>
        <v/>
      </c>
      <c r="F2329" s="23" t="str">
        <f>IF(OR(E2329="",E2329="!!!"),"",IF(NOT(ISNA(VLOOKUP(E2329,E$1:E2328,1,FALSE()))),"OLD",IF(AND(E2329&lt;&gt;"",E2329&lt;&gt;"!!!"),"NEW","")))</f>
        <v> </v>
      </c>
      <c r="G2329" s="24" t="str">
        <f>IF(OR(E2329="",E2329="!!!"),"",IF(OR(J2329=0,AND(J2329=1,K2329=1),AND(J2329=1,I2329="SBJ"),AND(J2329=1,I2329=0)),"?IN_FOCUS",IF(J2329&lt;=2,"?ACTIVATED",IF(J2329&lt;&gt;"","?FAMILIAR",IF(F2329="NEW",IF(ISNA(VLOOKUP(E2329,#REF!,1,FALSE())),"?TYPE_IDENTIFIABLE","?REFERENTIAL"),"_")))))</f>
        <v> </v>
      </c>
      <c r="H2329" s="25" t="str">
        <f>IF(J2329&lt;&gt;1,"",IF(I2329="SBJ","CB","?"))</f>
        <v> </v>
      </c>
      <c r="I2329" s="26" t="str">
        <f>IF(OR(E2329="",E2329="!!!",F2329="NEW"),"",INDEX(B2328:B$2,-1+SUMPRODUCT(MAX(ROW(E2328:E$2)*(E2329=E2328:E$2)))))</f>
        <v> </v>
      </c>
      <c r="J2329" s="26" t="str">
        <f>IF(OR(E2329="",E2329="!!!",F2329="NEW"),"",COUNTBLANK(OFFSET(A$1,,,SUMPRODUCT(MAX(ROW(E$2:E2329)*(E2329=E$2:E2329)))))-COUNTBLANK(OFFSET(A$1,,,SUMPRODUCT(MAX(ROW(E$1:E2328)*(E2=E$1:E2328))))))</f>
        <v> </v>
      </c>
      <c r="K2329" s="26" t="str">
        <f>IF(OR(E2329="",E2329="!!!",F2329="NEW"),"",INDEX(J$1:J2328,SUMPRODUCT(MAX(ROW(E$1:E2328)*(E2329=E$1:E2328)))))</f>
        <v> </v>
      </c>
      <c r="L2329" s="27"/>
    </row>
    <row r="2330" spans="1:12">
      <c r="A2330" s="20" t="s">
        <v>759</v>
      </c>
      <c r="E2330" s="22">
        <f>IF(D2330="?OLD","!!!","")</f>
        <v/>
      </c>
      <c r="F2330" s="23" t="str">
        <f>IF(OR(E2330="",E2330="!!!"),"",IF(NOT(ISNA(VLOOKUP(E2330,E$1:E2329,1,FALSE()))),"OLD",IF(AND(E2330&lt;&gt;"",E2330&lt;&gt;"!!!"),"NEW","")))</f>
        <v> </v>
      </c>
      <c r="G2330" s="24" t="str">
        <f>IF(OR(E2330="",E2330="!!!"),"",IF(OR(J2330=0,AND(J2330=1,K2330=1),AND(J2330=1,I2330="SBJ"),AND(J2330=1,I2330=0)),"?IN_FOCUS",IF(J2330&lt;=2,"?ACTIVATED",IF(J2330&lt;&gt;"","?FAMILIAR",IF(F2330="NEW",IF(ISNA(VLOOKUP(E2330,#REF!,1,FALSE())),"?TYPE_IDENTIFIABLE","?REFERENTIAL"),"_")))))</f>
        <v> </v>
      </c>
      <c r="H2330" s="25" t="str">
        <f>IF(J2330&lt;&gt;1,"",IF(I2330="SBJ","CB","?"))</f>
        <v> </v>
      </c>
      <c r="I2330" s="26" t="str">
        <f>IF(OR(E2330="",E2330="!!!",F2330="NEW"),"",INDEX(B2329:B$2,-1+SUMPRODUCT(MAX(ROW(E2329:E$2)*(E2330=E2329:E$2)))))</f>
        <v> </v>
      </c>
      <c r="J2330" s="26" t="str">
        <f>IF(OR(E2330="",E2330="!!!",F2330="NEW"),"",COUNTBLANK(OFFSET(A$1,,,SUMPRODUCT(MAX(ROW(E$2:E2330)*(E2330=E$2:E2330)))))-COUNTBLANK(OFFSET(A$1,,,SUMPRODUCT(MAX(ROW(E$1:E2329)*(E2=E$1:E2329))))))</f>
        <v> </v>
      </c>
      <c r="K2330" s="26" t="str">
        <f>IF(OR(E2330="",E2330="!!!",F2330="NEW"),"",INDEX(J$1:J2329,SUMPRODUCT(MAX(ROW(E$1:E2329)*(E2330=E$1:E2329)))))</f>
        <v> </v>
      </c>
      <c r="L2330" s="27"/>
    </row>
    <row r="2331" spans="1:12">
      <c r="A2331" s="20" t="s">
        <v>839</v>
      </c>
      <c r="E2331" s="22">
        <f>IF(D2331="?OLD","!!!","")</f>
        <v/>
      </c>
      <c r="F2331" s="23" t="str">
        <f>IF(OR(E2331="",E2331="!!!"),"",IF(NOT(ISNA(VLOOKUP(E2331,E$1:E2330,1,FALSE()))),"OLD",IF(AND(E2331&lt;&gt;"",E2331&lt;&gt;"!!!"),"NEW","")))</f>
        <v> </v>
      </c>
      <c r="G2331" s="24" t="str">
        <f>IF(OR(E2331="",E2331="!!!"),"",IF(OR(J2331=0,AND(J2331=1,K2331=1),AND(J2331=1,I2331="SBJ"),AND(J2331=1,I2331=0)),"?IN_FOCUS",IF(J2331&lt;=2,"?ACTIVATED",IF(J2331&lt;&gt;"","?FAMILIAR",IF(F2331="NEW",IF(ISNA(VLOOKUP(E2331,#REF!,1,FALSE())),"?TYPE_IDENTIFIABLE","?REFERENTIAL"),"_")))))</f>
        <v> </v>
      </c>
      <c r="H2331" s="25" t="str">
        <f>IF(J2331&lt;&gt;1,"",IF(I2331="SBJ","CB","?"))</f>
        <v> </v>
      </c>
      <c r="I2331" s="26" t="str">
        <f>IF(OR(E2331="",E2331="!!!",F2331="NEW"),"",INDEX(B2330:B$2,-1+SUMPRODUCT(MAX(ROW(E2330:E$2)*(E2331=E2330:E$2)))))</f>
        <v> </v>
      </c>
      <c r="J2331" s="26" t="str">
        <f>IF(OR(E2331="",E2331="!!!",F2331="NEW"),"",COUNTBLANK(OFFSET(A$1,,,SUMPRODUCT(MAX(ROW(E$2:E2331)*(E2331=E$2:E2331)))))-COUNTBLANK(OFFSET(A$1,,,SUMPRODUCT(MAX(ROW(E$1:E2330)*(E2=E$1:E2330))))))</f>
        <v> </v>
      </c>
      <c r="K2331" s="26" t="str">
        <f>IF(OR(E2331="",E2331="!!!",F2331="NEW"),"",INDEX(J$1:J2330,SUMPRODUCT(MAX(ROW(E$1:E2330)*(E2331=E$1:E2330)))))</f>
        <v> </v>
      </c>
      <c r="L2331" s="27"/>
    </row>
    <row r="2332" spans="1:12">
      <c r="A2332" s="20" t="s">
        <v>965</v>
      </c>
      <c r="B2332" s="21" t="s">
        <v>1501</v>
      </c>
      <c r="C2332" s="21" t="s">
        <v>756</v>
      </c>
      <c r="E2332" s="22">
        <f>IF(D2332="?OLD","!!!","")</f>
        <v/>
      </c>
      <c r="F2332" s="23" t="str">
        <f>IF(OR(E2332="",E2332="!!!"),"",IF(NOT(ISNA(VLOOKUP(E2332,E$1:E2331,1,FALSE()))),"OLD",IF(AND(E2332&lt;&gt;"",E2332&lt;&gt;"!!!"),"NEW","")))</f>
        <v> </v>
      </c>
      <c r="G2332" s="24" t="str">
        <f>IF(OR(E2332="",E2332="!!!"),"",IF(OR(J2332=0,AND(J2332=1,K2332=1),AND(J2332=1,I2332="SBJ"),AND(J2332=1,I2332=0)),"?IN_FOCUS",IF(J2332&lt;=2,"?ACTIVATED",IF(J2332&lt;&gt;"","?FAMILIAR",IF(F2332="NEW",IF(ISNA(VLOOKUP(E2332,#REF!,1,FALSE())),"?TYPE_IDENTIFIABLE","?REFERENTIAL"),"_")))))</f>
        <v> </v>
      </c>
      <c r="H2332" s="25" t="str">
        <f>IF(J2332&lt;&gt;1,"",IF(I2332="SBJ","CB","?"))</f>
        <v> </v>
      </c>
      <c r="I2332" s="26" t="str">
        <f>IF(OR(E2332="",E2332="!!!",F2332="NEW"),"",INDEX(B2331:B$2,-1+SUMPRODUCT(MAX(ROW(E2331:E$2)*(E2332=E2331:E$2)))))</f>
        <v> </v>
      </c>
      <c r="J2332" s="26" t="str">
        <f>IF(OR(E2332="",E2332="!!!",F2332="NEW"),"",COUNTBLANK(OFFSET(A$1,,,SUMPRODUCT(MAX(ROW(E$2:E2332)*(E2332=E$2:E2332)))))-COUNTBLANK(OFFSET(A$1,,,SUMPRODUCT(MAX(ROW(E$1:E2331)*(E2=E$1:E2331))))))</f>
        <v> </v>
      </c>
      <c r="K2332" s="26" t="str">
        <f>IF(OR(E2332="",E2332="!!!",F2332="NEW"),"",INDEX(J$1:J2331,SUMPRODUCT(MAX(ROW(E$1:E2331)*(E2332=E$1:E2331)))))</f>
        <v> </v>
      </c>
      <c r="L2332" s="27"/>
    </row>
    <row r="2333" spans="1:12">
      <c r="A2333" s="20" t="s">
        <v>754</v>
      </c>
      <c r="E2333" s="22">
        <f>IF(D2333="?OLD","!!!","")</f>
        <v/>
      </c>
      <c r="F2333" s="23" t="str">
        <f>IF(OR(E2333="",E2333="!!!"),"",IF(NOT(ISNA(VLOOKUP(E2333,E$1:E2332,1,FALSE()))),"OLD",IF(AND(E2333&lt;&gt;"",E2333&lt;&gt;"!!!"),"NEW","")))</f>
        <v> </v>
      </c>
      <c r="G2333" s="24" t="str">
        <f>IF(OR(E2333="",E2333="!!!"),"",IF(OR(J2333=0,AND(J2333=1,K2333=1),AND(J2333=1,I2333="SBJ"),AND(J2333=1,I2333=0)),"?IN_FOCUS",IF(J2333&lt;=2,"?ACTIVATED",IF(J2333&lt;&gt;"","?FAMILIAR",IF(F2333="NEW",IF(ISNA(VLOOKUP(E2333,#REF!,1,FALSE())),"?TYPE_IDENTIFIABLE","?REFERENTIAL"),"_")))))</f>
        <v> </v>
      </c>
      <c r="H2333" s="25" t="str">
        <f>IF(J2333&lt;&gt;1,"",IF(I2333="SBJ","CB","?"))</f>
        <v> </v>
      </c>
      <c r="I2333" s="26" t="str">
        <f>IF(OR(E2333="",E2333="!!!",F2333="NEW"),"",INDEX(B2332:B$2,-1+SUMPRODUCT(MAX(ROW(E2332:E$2)*(E2333=E2332:E$2)))))</f>
        <v> </v>
      </c>
      <c r="J2333" s="26" t="str">
        <f>IF(OR(E2333="",E2333="!!!",F2333="NEW"),"",COUNTBLANK(OFFSET(A$1,,,SUMPRODUCT(MAX(ROW(E$2:E2333)*(E2333=E$2:E2333)))))-COUNTBLANK(OFFSET(A$1,,,SUMPRODUCT(MAX(ROW(E$1:E2332)*(E2=E$1:E2332))))))</f>
        <v> </v>
      </c>
      <c r="K2333" s="26" t="str">
        <f>IF(OR(E2333="",E2333="!!!",F2333="NEW"),"",INDEX(J$1:J2332,SUMPRODUCT(MAX(ROW(E$1:E2332)*(E2333=E$1:E2332)))))</f>
        <v> </v>
      </c>
      <c r="L2333" s="27"/>
    </row>
    <row r="2334" spans="1:12">
      <c r="A2334" s="20" t="s">
        <v>1634</v>
      </c>
      <c r="E2334" s="22">
        <f>IF(D2334="?OLD","!!!","")</f>
        <v/>
      </c>
      <c r="F2334" s="23" t="str">
        <f>IF(OR(E2334="",E2334="!!!"),"",IF(NOT(ISNA(VLOOKUP(E2334,E$1:E2333,1,FALSE()))),"OLD",IF(AND(E2334&lt;&gt;"",E2334&lt;&gt;"!!!"),"NEW","")))</f>
        <v> </v>
      </c>
      <c r="G2334" s="24" t="str">
        <f>IF(OR(E2334="",E2334="!!!"),"",IF(OR(J2334=0,AND(J2334=1,K2334=1),AND(J2334=1,I2334="SBJ"),AND(J2334=1,I2334=0)),"?IN_FOCUS",IF(J2334&lt;=2,"?ACTIVATED",IF(J2334&lt;&gt;"","?FAMILIAR",IF(F2334="NEW",IF(ISNA(VLOOKUP(E2334,#REF!,1,FALSE())),"?TYPE_IDENTIFIABLE","?REFERENTIAL"),"_")))))</f>
        <v> </v>
      </c>
      <c r="H2334" s="25" t="str">
        <f>IF(J2334&lt;&gt;1,"",IF(I2334="SBJ","CB","?"))</f>
        <v> </v>
      </c>
      <c r="I2334" s="26" t="str">
        <f>IF(OR(E2334="",E2334="!!!",F2334="NEW"),"",INDEX(B2333:B$2,-1+SUMPRODUCT(MAX(ROW(E2333:E$2)*(E2334=E2333:E$2)))))</f>
        <v> </v>
      </c>
      <c r="J2334" s="26" t="str">
        <f>IF(OR(E2334="",E2334="!!!",F2334="NEW"),"",COUNTBLANK(OFFSET(A$1,,,SUMPRODUCT(MAX(ROW(E$2:E2334)*(E2334=E$2:E2334)))))-COUNTBLANK(OFFSET(A$1,,,SUMPRODUCT(MAX(ROW(E$1:E2333)*(E2=E$1:E2333))))))</f>
        <v> </v>
      </c>
      <c r="K2334" s="26" t="str">
        <f>IF(OR(E2334="",E2334="!!!",F2334="NEW"),"",INDEX(J$1:J2333,SUMPRODUCT(MAX(ROW(E$1:E2333)*(E2334=E$1:E2333)))))</f>
        <v> </v>
      </c>
      <c r="L2334" s="27"/>
    </row>
    <row r="2335" spans="1:12">
      <c r="A2335" s="20" t="s">
        <v>1635</v>
      </c>
      <c r="E2335" s="22">
        <f>IF(D2335="?OLD","!!!","")</f>
        <v/>
      </c>
      <c r="F2335" s="23" t="str">
        <f>IF(OR(E2335="",E2335="!!!"),"",IF(NOT(ISNA(VLOOKUP(E2335,E$1:E2334,1,FALSE()))),"OLD",IF(AND(E2335&lt;&gt;"",E2335&lt;&gt;"!!!"),"NEW","")))</f>
        <v> </v>
      </c>
      <c r="G2335" s="24" t="str">
        <f>IF(OR(E2335="",E2335="!!!"),"",IF(OR(J2335=0,AND(J2335=1,K2335=1),AND(J2335=1,I2335="SBJ"),AND(J2335=1,I2335=0)),"?IN_FOCUS",IF(J2335&lt;=2,"?ACTIVATED",IF(J2335&lt;&gt;"","?FAMILIAR",IF(F2335="NEW",IF(ISNA(VLOOKUP(E2335,#REF!,1,FALSE())),"?TYPE_IDENTIFIABLE","?REFERENTIAL"),"_")))))</f>
        <v> </v>
      </c>
      <c r="H2335" s="25" t="str">
        <f>IF(J2335&lt;&gt;1,"",IF(I2335="SBJ","CB","?"))</f>
        <v> </v>
      </c>
      <c r="I2335" s="26" t="str">
        <f>IF(OR(E2335="",E2335="!!!",F2335="NEW"),"",INDEX(B2334:B$2,-1+SUMPRODUCT(MAX(ROW(E2334:E$2)*(E2335=E2334:E$2)))))</f>
        <v> </v>
      </c>
      <c r="J2335" s="26" t="str">
        <f>IF(OR(E2335="",E2335="!!!",F2335="NEW"),"",COUNTBLANK(OFFSET(A$1,,,SUMPRODUCT(MAX(ROW(E$2:E2335)*(E2335=E$2:E2335)))))-COUNTBLANK(OFFSET(A$1,,,SUMPRODUCT(MAX(ROW(E$1:E2334)*(E2=E$1:E2334))))))</f>
        <v> </v>
      </c>
      <c r="K2335" s="26" t="str">
        <f>IF(OR(E2335="",E2335="!!!",F2335="NEW"),"",INDEX(J$1:J2334,SUMPRODUCT(MAX(ROW(E$1:E2334)*(E2335=E$1:E2334)))))</f>
        <v> </v>
      </c>
      <c r="L2335" s="27"/>
    </row>
    <row r="2336" spans="1:12">
      <c r="A2336" s="20" t="s">
        <v>781</v>
      </c>
      <c r="E2336" s="22">
        <f>IF(D2336="?OLD","!!!","")</f>
        <v/>
      </c>
      <c r="F2336" s="23" t="str">
        <f>IF(OR(E2336="",E2336="!!!"),"",IF(NOT(ISNA(VLOOKUP(E2336,E$1:E2335,1,FALSE()))),"OLD",IF(AND(E2336&lt;&gt;"",E2336&lt;&gt;"!!!"),"NEW","")))</f>
        <v> </v>
      </c>
      <c r="G2336" s="24" t="str">
        <f>IF(OR(E2336="",E2336="!!!"),"",IF(OR(J2336=0,AND(J2336=1,K2336=1),AND(J2336=1,I2336="SBJ"),AND(J2336=1,I2336=0)),"?IN_FOCUS",IF(J2336&lt;=2,"?ACTIVATED",IF(J2336&lt;&gt;"","?FAMILIAR",IF(F2336="NEW",IF(ISNA(VLOOKUP(E2336,#REF!,1,FALSE())),"?TYPE_IDENTIFIABLE","?REFERENTIAL"),"_")))))</f>
        <v> </v>
      </c>
      <c r="H2336" s="25" t="str">
        <f>IF(J2336&lt;&gt;1,"",IF(I2336="SBJ","CB","?"))</f>
        <v> </v>
      </c>
      <c r="I2336" s="26" t="str">
        <f>IF(OR(E2336="",E2336="!!!",F2336="NEW"),"",INDEX(B2335:B$2,-1+SUMPRODUCT(MAX(ROW(E2335:E$2)*(E2336=E2335:E$2)))))</f>
        <v> </v>
      </c>
      <c r="J2336" s="26" t="str">
        <f>IF(OR(E2336="",E2336="!!!",F2336="NEW"),"",COUNTBLANK(OFFSET(A$1,,,SUMPRODUCT(MAX(ROW(E$2:E2336)*(E2336=E$2:E2336)))))-COUNTBLANK(OFFSET(A$1,,,SUMPRODUCT(MAX(ROW(E$1:E2335)*(E2=E$1:E2335))))))</f>
        <v> </v>
      </c>
      <c r="K2336" s="26" t="str">
        <f>IF(OR(E2336="",E2336="!!!",F2336="NEW"),"",INDEX(J$1:J2335,SUMPRODUCT(MAX(ROW(E$1:E2335)*(E2336=E$1:E2335)))))</f>
        <v> </v>
      </c>
      <c r="L2336" s="27"/>
    </row>
    <row r="2337" spans="1:12">
      <c r="A2337" s="20" t="s">
        <v>1493</v>
      </c>
      <c r="B2337" s="21" t="s">
        <v>1505</v>
      </c>
      <c r="C2337" s="21" t="s">
        <v>748</v>
      </c>
      <c r="E2337" s="22">
        <f>IF(D2337="?OLD","!!!","")</f>
        <v/>
      </c>
      <c r="F2337" s="23" t="str">
        <f>IF(OR(E2337="",E2337="!!!"),"",IF(NOT(ISNA(VLOOKUP(E2337,E$1:E2336,1,FALSE()))),"OLD",IF(AND(E2337&lt;&gt;"",E2337&lt;&gt;"!!!"),"NEW","")))</f>
        <v> </v>
      </c>
      <c r="G2337" s="24" t="str">
        <f>IF(OR(E2337="",E2337="!!!"),"",IF(OR(J2337=0,AND(J2337=1,K2337=1),AND(J2337=1,I2337="SBJ"),AND(J2337=1,I2337=0)),"?IN_FOCUS",IF(J2337&lt;=2,"?ACTIVATED",IF(J2337&lt;&gt;"","?FAMILIAR",IF(F2337="NEW",IF(ISNA(VLOOKUP(E2337,#REF!,1,FALSE())),"?TYPE_IDENTIFIABLE","?REFERENTIAL"),"_")))))</f>
        <v> </v>
      </c>
      <c r="H2337" s="25" t="str">
        <f>IF(J2337&lt;&gt;1,"",IF(I2337="SBJ","CB","?"))</f>
        <v> </v>
      </c>
      <c r="I2337" s="26" t="str">
        <f>IF(OR(E2337="",E2337="!!!",F2337="NEW"),"",INDEX(B2336:B$2,-1+SUMPRODUCT(MAX(ROW(E2336:E$2)*(E2337=E2336:E$2)))))</f>
        <v> </v>
      </c>
      <c r="J2337" s="26" t="str">
        <f>IF(OR(E2337="",E2337="!!!",F2337="NEW"),"",COUNTBLANK(OFFSET(A$1,,,SUMPRODUCT(MAX(ROW(E$2:E2337)*(E2337=E$2:E2337)))))-COUNTBLANK(OFFSET(A$1,,,SUMPRODUCT(MAX(ROW(E$1:E2336)*(E2=E$1:E2336))))))</f>
        <v> </v>
      </c>
      <c r="K2337" s="26" t="str">
        <f>IF(OR(E2337="",E2337="!!!",F2337="NEW"),"",INDEX(J$1:J2336,SUMPRODUCT(MAX(ROW(E$1:E2336)*(E2337=E$1:E2336)))))</f>
        <v> </v>
      </c>
      <c r="L2337" s="27"/>
    </row>
    <row r="2338" spans="1:12">
      <c r="A2338" s="20" t="s">
        <v>754</v>
      </c>
      <c r="E2338" s="22">
        <f>IF(D2338="?OLD","!!!","")</f>
        <v/>
      </c>
      <c r="F2338" s="23" t="str">
        <f>IF(OR(E2338="",E2338="!!!"),"",IF(NOT(ISNA(VLOOKUP(E2338,E$1:E2337,1,FALSE()))),"OLD",IF(AND(E2338&lt;&gt;"",E2338&lt;&gt;"!!!"),"NEW","")))</f>
        <v> </v>
      </c>
      <c r="G2338" s="24" t="str">
        <f>IF(OR(E2338="",E2338="!!!"),"",IF(OR(J2338=0,AND(J2338=1,K2338=1),AND(J2338=1,I2338="SBJ"),AND(J2338=1,I2338=0)),"?IN_FOCUS",IF(J2338&lt;=2,"?ACTIVATED",IF(J2338&lt;&gt;"","?FAMILIAR",IF(F2338="NEW",IF(ISNA(VLOOKUP(E2338,#REF!,1,FALSE())),"?TYPE_IDENTIFIABLE","?REFERENTIAL"),"_")))))</f>
        <v> </v>
      </c>
      <c r="H2338" s="25" t="str">
        <f>IF(J2338&lt;&gt;1,"",IF(I2338="SBJ","CB","?"))</f>
        <v> </v>
      </c>
      <c r="I2338" s="26" t="str">
        <f>IF(OR(E2338="",E2338="!!!",F2338="NEW"),"",INDEX(B2337:B$2,-1+SUMPRODUCT(MAX(ROW(E2337:E$2)*(E2338=E2337:E$2)))))</f>
        <v> </v>
      </c>
      <c r="J2338" s="26" t="str">
        <f>IF(OR(E2338="",E2338="!!!",F2338="NEW"),"",COUNTBLANK(OFFSET(A$1,,,SUMPRODUCT(MAX(ROW(E$2:E2338)*(E2338=E$2:E2338)))))-COUNTBLANK(OFFSET(A$1,,,SUMPRODUCT(MAX(ROW(E$1:E2337)*(E2=E$1:E2337))))))</f>
        <v> </v>
      </c>
      <c r="K2338" s="26" t="str">
        <f>IF(OR(E2338="",E2338="!!!",F2338="NEW"),"",INDEX(J$1:J2337,SUMPRODUCT(MAX(ROW(E$1:E2337)*(E2338=E$1:E2337)))))</f>
        <v> </v>
      </c>
      <c r="L2338" s="27"/>
    </row>
    <row r="2339" spans="1:12">
      <c r="A2339" s="20" t="s">
        <v>1469</v>
      </c>
      <c r="E2339" s="22">
        <f>IF(D2339="?OLD","!!!","")</f>
        <v/>
      </c>
      <c r="F2339" s="23" t="str">
        <f>IF(OR(E2339="",E2339="!!!"),"",IF(NOT(ISNA(VLOOKUP(E2339,E$1:E2338,1,FALSE()))),"OLD",IF(AND(E2339&lt;&gt;"",E2339&lt;&gt;"!!!"),"NEW","")))</f>
        <v> </v>
      </c>
      <c r="G2339" s="24" t="str">
        <f>IF(OR(E2339="",E2339="!!!"),"",IF(OR(J2339=0,AND(J2339=1,K2339=1),AND(J2339=1,I2339="SBJ"),AND(J2339=1,I2339=0)),"?IN_FOCUS",IF(J2339&lt;=2,"?ACTIVATED",IF(J2339&lt;&gt;"","?FAMILIAR",IF(F2339="NEW",IF(ISNA(VLOOKUP(E2339,#REF!,1,FALSE())),"?TYPE_IDENTIFIABLE","?REFERENTIAL"),"_")))))</f>
        <v> </v>
      </c>
      <c r="H2339" s="25" t="str">
        <f>IF(J2339&lt;&gt;1,"",IF(I2339="SBJ","CB","?"))</f>
        <v> </v>
      </c>
      <c r="I2339" s="26" t="str">
        <f>IF(OR(E2339="",E2339="!!!",F2339="NEW"),"",INDEX(B2338:B$2,-1+SUMPRODUCT(MAX(ROW(E2338:E$2)*(E2339=E2338:E$2)))))</f>
        <v> </v>
      </c>
      <c r="J2339" s="26" t="str">
        <f>IF(OR(E2339="",E2339="!!!",F2339="NEW"),"",COUNTBLANK(OFFSET(A$1,,,SUMPRODUCT(MAX(ROW(E$2:E2339)*(E2339=E$2:E2339)))))-COUNTBLANK(OFFSET(A$1,,,SUMPRODUCT(MAX(ROW(E$1:E2338)*(E2=E$1:E2338))))))</f>
        <v> </v>
      </c>
      <c r="K2339" s="26" t="str">
        <f>IF(OR(E2339="",E2339="!!!",F2339="NEW"),"",INDEX(J$1:J2338,SUMPRODUCT(MAX(ROW(E$1:E2338)*(E2339=E$1:E2338)))))</f>
        <v> </v>
      </c>
      <c r="L2339" s="27"/>
    </row>
    <row r="2340" spans="1:12">
      <c r="A2340" s="20" t="s">
        <v>759</v>
      </c>
      <c r="E2340" s="22">
        <f>IF(D2340="?OLD","!!!","")</f>
        <v/>
      </c>
      <c r="F2340" s="23" t="str">
        <f>IF(OR(E2340="",E2340="!!!"),"",IF(NOT(ISNA(VLOOKUP(E2340,E$1:E2339,1,FALSE()))),"OLD",IF(AND(E2340&lt;&gt;"",E2340&lt;&gt;"!!!"),"NEW","")))</f>
        <v> </v>
      </c>
      <c r="G2340" s="24" t="str">
        <f>IF(OR(E2340="",E2340="!!!"),"",IF(OR(J2340=0,AND(J2340=1,K2340=1),AND(J2340=1,I2340="SBJ"),AND(J2340=1,I2340=0)),"?IN_FOCUS",IF(J2340&lt;=2,"?ACTIVATED",IF(J2340&lt;&gt;"","?FAMILIAR",IF(F2340="NEW",IF(ISNA(VLOOKUP(E2340,#REF!,1,FALSE())),"?TYPE_IDENTIFIABLE","?REFERENTIAL"),"_")))))</f>
        <v> </v>
      </c>
      <c r="H2340" s="25" t="str">
        <f>IF(J2340&lt;&gt;1,"",IF(I2340="SBJ","CB","?"))</f>
        <v> </v>
      </c>
      <c r="I2340" s="26" t="str">
        <f>IF(OR(E2340="",E2340="!!!",F2340="NEW"),"",INDEX(B2339:B$2,-1+SUMPRODUCT(MAX(ROW(E2339:E$2)*(E2340=E2339:E$2)))))</f>
        <v> </v>
      </c>
      <c r="J2340" s="26" t="str">
        <f>IF(OR(E2340="",E2340="!!!",F2340="NEW"),"",COUNTBLANK(OFFSET(A$1,,,SUMPRODUCT(MAX(ROW(E$2:E2340)*(E2340=E$2:E2340)))))-COUNTBLANK(OFFSET(A$1,,,SUMPRODUCT(MAX(ROW(E$1:E2339)*(E2=E$1:E2339))))))</f>
        <v> </v>
      </c>
      <c r="K2340" s="26" t="str">
        <f>IF(OR(E2340="",E2340="!!!",F2340="NEW"),"",INDEX(J$1:J2339,SUMPRODUCT(MAX(ROW(E$1:E2339)*(E2340=E$1:E2339)))))</f>
        <v> </v>
      </c>
      <c r="L2340" s="27"/>
    </row>
    <row r="2341" spans="1:12">
      <c r="A2341" s="20" t="s">
        <v>773</v>
      </c>
      <c r="E2341" s="22">
        <f>IF(D2341="?OLD","!!!","")</f>
        <v/>
      </c>
      <c r="F2341" s="23" t="str">
        <f>IF(OR(E2341="",E2341="!!!"),"",IF(NOT(ISNA(VLOOKUP(E2341,E$1:E2340,1,FALSE()))),"OLD",IF(AND(E2341&lt;&gt;"",E2341&lt;&gt;"!!!"),"NEW","")))</f>
        <v> </v>
      </c>
      <c r="G2341" s="24" t="str">
        <f>IF(OR(E2341="",E2341="!!!"),"",IF(OR(J2341=0,AND(J2341=1,K2341=1),AND(J2341=1,I2341="SBJ"),AND(J2341=1,I2341=0)),"?IN_FOCUS",IF(J2341&lt;=2,"?ACTIVATED",IF(J2341&lt;&gt;"","?FAMILIAR",IF(F2341="NEW",IF(ISNA(VLOOKUP(E2341,#REF!,1,FALSE())),"?TYPE_IDENTIFIABLE","?REFERENTIAL"),"_")))))</f>
        <v> </v>
      </c>
      <c r="H2341" s="25" t="str">
        <f>IF(J2341&lt;&gt;1,"",IF(I2341="SBJ","CB","?"))</f>
        <v> </v>
      </c>
      <c r="I2341" s="26" t="str">
        <f>IF(OR(E2341="",E2341="!!!",F2341="NEW"),"",INDEX(B2340:B$2,-1+SUMPRODUCT(MAX(ROW(E2340:E$2)*(E2341=E2340:E$2)))))</f>
        <v> </v>
      </c>
      <c r="J2341" s="26" t="str">
        <f>IF(OR(E2341="",E2341="!!!",F2341="NEW"),"",COUNTBLANK(OFFSET(A$1,,,SUMPRODUCT(MAX(ROW(E$2:E2341)*(E2341=E$2:E2341)))))-COUNTBLANK(OFFSET(A$1,,,SUMPRODUCT(MAX(ROW(E$1:E2340)*(E2=E$1:E2340))))))</f>
        <v> </v>
      </c>
      <c r="K2341" s="26" t="str">
        <f>IF(OR(E2341="",E2341="!!!",F2341="NEW"),"",INDEX(J$1:J2340,SUMPRODUCT(MAX(ROW(E$1:E2340)*(E2341=E$1:E2340)))))</f>
        <v> </v>
      </c>
      <c r="L2341" s="27"/>
    </row>
    <row r="2342" spans="1:12">
      <c r="A2342" s="20" t="s">
        <v>1636</v>
      </c>
      <c r="B2342" s="21" t="s">
        <v>783</v>
      </c>
      <c r="C2342" s="21" t="s">
        <v>756</v>
      </c>
      <c r="E2342" s="22">
        <f>IF(D2342="?OLD","!!!","")</f>
        <v/>
      </c>
      <c r="F2342" s="23" t="str">
        <f>IF(OR(E2342="",E2342="!!!"),"",IF(NOT(ISNA(VLOOKUP(E2342,E$1:E2341,1,FALSE()))),"OLD",IF(AND(E2342&lt;&gt;"",E2342&lt;&gt;"!!!"),"NEW","")))</f>
        <v> </v>
      </c>
      <c r="G2342" s="24" t="str">
        <f>IF(OR(E2342="",E2342="!!!"),"",IF(OR(J2342=0,AND(J2342=1,K2342=1),AND(J2342=1,I2342="SBJ"),AND(J2342=1,I2342=0)),"?IN_FOCUS",IF(J2342&lt;=2,"?ACTIVATED",IF(J2342&lt;&gt;"","?FAMILIAR",IF(F2342="NEW",IF(ISNA(VLOOKUP(E2342,#REF!,1,FALSE())),"?TYPE_IDENTIFIABLE","?REFERENTIAL"),"_")))))</f>
        <v> </v>
      </c>
      <c r="H2342" s="25" t="str">
        <f>IF(J2342&lt;&gt;1,"",IF(I2342="SBJ","CB","?"))</f>
        <v> </v>
      </c>
      <c r="I2342" s="26" t="str">
        <f>IF(OR(E2342="",E2342="!!!",F2342="NEW"),"",INDEX(B2341:B$2,-1+SUMPRODUCT(MAX(ROW(E2341:E$2)*(E2342=E2341:E$2)))))</f>
        <v> </v>
      </c>
      <c r="J2342" s="26" t="str">
        <f>IF(OR(E2342="",E2342="!!!",F2342="NEW"),"",COUNTBLANK(OFFSET(A$1,,,SUMPRODUCT(MAX(ROW(E$2:E2342)*(E2342=E$2:E2342)))))-COUNTBLANK(OFFSET(A$1,,,SUMPRODUCT(MAX(ROW(E$1:E2341)*(E2=E$1:E2341))))))</f>
        <v> </v>
      </c>
      <c r="K2342" s="26" t="str">
        <f>IF(OR(E2342="",E2342="!!!",F2342="NEW"),"",INDEX(J$1:J2341,SUMPRODUCT(MAX(ROW(E$1:E2341)*(E2342=E$1:E2341)))))</f>
        <v> </v>
      </c>
      <c r="L2342" s="27"/>
    </row>
    <row r="2343" spans="1:12">
      <c r="A2343" s="20" t="s">
        <v>1637</v>
      </c>
      <c r="E2343" s="22">
        <f>IF(D2343="?OLD","!!!","")</f>
        <v/>
      </c>
      <c r="F2343" s="23" t="str">
        <f>IF(OR(E2343="",E2343="!!!"),"",IF(NOT(ISNA(VLOOKUP(E2343,E$1:E2342,1,FALSE()))),"OLD",IF(AND(E2343&lt;&gt;"",E2343&lt;&gt;"!!!"),"NEW","")))</f>
        <v> </v>
      </c>
      <c r="G2343" s="24" t="str">
        <f>IF(OR(E2343="",E2343="!!!"),"",IF(OR(J2343=0,AND(J2343=1,K2343=1),AND(J2343=1,I2343="SBJ"),AND(J2343=1,I2343=0)),"?IN_FOCUS",IF(J2343&lt;=2,"?ACTIVATED",IF(J2343&lt;&gt;"","?FAMILIAR",IF(F2343="NEW",IF(ISNA(VLOOKUP(E2343,#REF!,1,FALSE())),"?TYPE_IDENTIFIABLE","?REFERENTIAL"),"_")))))</f>
        <v> </v>
      </c>
      <c r="H2343" s="25" t="str">
        <f>IF(J2343&lt;&gt;1,"",IF(I2343="SBJ","CB","?"))</f>
        <v> </v>
      </c>
      <c r="I2343" s="26" t="str">
        <f>IF(OR(E2343="",E2343="!!!",F2343="NEW"),"",INDEX(B2342:B$2,-1+SUMPRODUCT(MAX(ROW(E2342:E$2)*(E2343=E2342:E$2)))))</f>
        <v> </v>
      </c>
      <c r="J2343" s="26" t="str">
        <f>IF(OR(E2343="",E2343="!!!",F2343="NEW"),"",COUNTBLANK(OFFSET(A$1,,,SUMPRODUCT(MAX(ROW(E$2:E2343)*(E2343=E$2:E2343)))))-COUNTBLANK(OFFSET(A$1,,,SUMPRODUCT(MAX(ROW(E$1:E2342)*(E2=E$1:E2342))))))</f>
        <v> </v>
      </c>
      <c r="K2343" s="26" t="str">
        <f>IF(OR(E2343="",E2343="!!!",F2343="NEW"),"",INDEX(J$1:J2342,SUMPRODUCT(MAX(ROW(E$1:E2342)*(E2343=E$1:E2342)))))</f>
        <v> </v>
      </c>
      <c r="L2343" s="27"/>
    </row>
    <row r="2344" spans="1:12">
      <c r="A2344" s="20" t="s">
        <v>1638</v>
      </c>
      <c r="E2344" s="22">
        <f>IF(D2344="?OLD","!!!","")</f>
        <v/>
      </c>
      <c r="F2344" s="23" t="str">
        <f>IF(OR(E2344="",E2344="!!!"),"",IF(NOT(ISNA(VLOOKUP(E2344,E$1:E2343,1,FALSE()))),"OLD",IF(AND(E2344&lt;&gt;"",E2344&lt;&gt;"!!!"),"NEW","")))</f>
        <v> </v>
      </c>
      <c r="G2344" s="24" t="str">
        <f>IF(OR(E2344="",E2344="!!!"),"",IF(OR(J2344=0,AND(J2344=1,K2344=1),AND(J2344=1,I2344="SBJ"),AND(J2344=1,I2344=0)),"?IN_FOCUS",IF(J2344&lt;=2,"?ACTIVATED",IF(J2344&lt;&gt;"","?FAMILIAR",IF(F2344="NEW",IF(ISNA(VLOOKUP(E2344,#REF!,1,FALSE())),"?TYPE_IDENTIFIABLE","?REFERENTIAL"),"_")))))</f>
        <v> </v>
      </c>
      <c r="H2344" s="25" t="str">
        <f>IF(J2344&lt;&gt;1,"",IF(I2344="SBJ","CB","?"))</f>
        <v> </v>
      </c>
      <c r="I2344" s="26" t="str">
        <f>IF(OR(E2344="",E2344="!!!",F2344="NEW"),"",INDEX(B2343:B$2,-1+SUMPRODUCT(MAX(ROW(E2343:E$2)*(E2344=E2343:E$2)))))</f>
        <v> </v>
      </c>
      <c r="J2344" s="26" t="str">
        <f>IF(OR(E2344="",E2344="!!!",F2344="NEW"),"",COUNTBLANK(OFFSET(A$1,,,SUMPRODUCT(MAX(ROW(E$2:E2344)*(E2344=E$2:E2344)))))-COUNTBLANK(OFFSET(A$1,,,SUMPRODUCT(MAX(ROW(E$1:E2343)*(E2=E$1:E2343))))))</f>
        <v> </v>
      </c>
      <c r="K2344" s="26" t="str">
        <f>IF(OR(E2344="",E2344="!!!",F2344="NEW"),"",INDEX(J$1:J2343,SUMPRODUCT(MAX(ROW(E$1:E2343)*(E2344=E$1:E2343)))))</f>
        <v> </v>
      </c>
      <c r="L2344" s="27"/>
    </row>
    <row r="2345" spans="1:12">
      <c r="A2345" s="20" t="s">
        <v>1639</v>
      </c>
      <c r="E2345" s="22">
        <f>IF(D2345="?OLD","!!!","")</f>
        <v/>
      </c>
      <c r="F2345" s="23" t="str">
        <f>IF(OR(E2345="",E2345="!!!"),"",IF(NOT(ISNA(VLOOKUP(E2345,E$1:E2344,1,FALSE()))),"OLD",IF(AND(E2345&lt;&gt;"",E2345&lt;&gt;"!!!"),"NEW","")))</f>
        <v> </v>
      </c>
      <c r="G2345" s="24" t="str">
        <f>IF(OR(E2345="",E2345="!!!"),"",IF(OR(J2345=0,AND(J2345=1,K2345=1),AND(J2345=1,I2345="SBJ"),AND(J2345=1,I2345=0)),"?IN_FOCUS",IF(J2345&lt;=2,"?ACTIVATED",IF(J2345&lt;&gt;"","?FAMILIAR",IF(F2345="NEW",IF(ISNA(VLOOKUP(E2345,#REF!,1,FALSE())),"?TYPE_IDENTIFIABLE","?REFERENTIAL"),"_")))))</f>
        <v> </v>
      </c>
      <c r="H2345" s="25" t="str">
        <f>IF(J2345&lt;&gt;1,"",IF(I2345="SBJ","CB","?"))</f>
        <v> </v>
      </c>
      <c r="I2345" s="26" t="str">
        <f>IF(OR(E2345="",E2345="!!!",F2345="NEW"),"",INDEX(B2344:B$2,-1+SUMPRODUCT(MAX(ROW(E2344:E$2)*(E2345=E2344:E$2)))))</f>
        <v> </v>
      </c>
      <c r="J2345" s="26" t="str">
        <f>IF(OR(E2345="",E2345="!!!",F2345="NEW"),"",COUNTBLANK(OFFSET(A$1,,,SUMPRODUCT(MAX(ROW(E$2:E2345)*(E2345=E$2:E2345)))))-COUNTBLANK(OFFSET(A$1,,,SUMPRODUCT(MAX(ROW(E$1:E2344)*(E2=E$1:E2344))))))</f>
        <v> </v>
      </c>
      <c r="K2345" s="26" t="str">
        <f>IF(OR(E2345="",E2345="!!!",F2345="NEW"),"",INDEX(J$1:J2344,SUMPRODUCT(MAX(ROW(E$1:E2344)*(E2345=E$1:E2344)))))</f>
        <v> </v>
      </c>
      <c r="L2345" s="27"/>
    </row>
    <row r="2346" spans="1:12">
      <c r="A2346" s="20" t="s">
        <v>1640</v>
      </c>
      <c r="B2346" s="21" t="s">
        <v>755</v>
      </c>
      <c r="C2346" s="21" t="s">
        <v>967</v>
      </c>
      <c r="E2346" s="22">
        <f>IF(D2346="?OLD","!!!","")</f>
        <v/>
      </c>
      <c r="F2346" s="23" t="str">
        <f>IF(OR(E2346="",E2346="!!!"),"",IF(NOT(ISNA(VLOOKUP(E2346,E$1:E2345,1,FALSE()))),"OLD",IF(AND(E2346&lt;&gt;"",E2346&lt;&gt;"!!!"),"NEW","")))</f>
        <v> </v>
      </c>
      <c r="G2346" s="24" t="str">
        <f>IF(OR(E2346="",E2346="!!!"),"",IF(OR(J2346=0,AND(J2346=1,K2346=1),AND(J2346=1,I2346="SBJ"),AND(J2346=1,I2346=0)),"?IN_FOCUS",IF(J2346&lt;=2,"?ACTIVATED",IF(J2346&lt;&gt;"","?FAMILIAR",IF(F2346="NEW",IF(ISNA(VLOOKUP(E2346,#REF!,1,FALSE())),"?TYPE_IDENTIFIABLE","?REFERENTIAL"),"_")))))</f>
        <v> </v>
      </c>
      <c r="H2346" s="25" t="str">
        <f>IF(J2346&lt;&gt;1,"",IF(I2346="SBJ","CB","?"))</f>
        <v> </v>
      </c>
      <c r="I2346" s="26" t="str">
        <f>IF(OR(E2346="",E2346="!!!",F2346="NEW"),"",INDEX(B2345:B$2,-1+SUMPRODUCT(MAX(ROW(E2345:E$2)*(E2346=E2345:E$2)))))</f>
        <v> </v>
      </c>
      <c r="J2346" s="26" t="str">
        <f>IF(OR(E2346="",E2346="!!!",F2346="NEW"),"",COUNTBLANK(OFFSET(A$1,,,SUMPRODUCT(MAX(ROW(E$2:E2346)*(E2346=E$2:E2346)))))-COUNTBLANK(OFFSET(A$1,,,SUMPRODUCT(MAX(ROW(E$1:E2345)*(E2=E$1:E2345))))))</f>
        <v> </v>
      </c>
      <c r="K2346" s="26" t="str">
        <f>IF(OR(E2346="",E2346="!!!",F2346="NEW"),"",INDEX(J$1:J2345,SUMPRODUCT(MAX(ROW(E$1:E2345)*(E2346=E$1:E2345)))))</f>
        <v> </v>
      </c>
      <c r="L2346" s="27"/>
    </row>
    <row r="2347" spans="1:12">
      <c r="A2347" s="20" t="s">
        <v>759</v>
      </c>
      <c r="E2347" s="22">
        <f>IF(D2347="?OLD","!!!","")</f>
        <v/>
      </c>
      <c r="F2347" s="23" t="str">
        <f>IF(OR(E2347="",E2347="!!!"),"",IF(NOT(ISNA(VLOOKUP(E2347,E$1:E2346,1,FALSE()))),"OLD",IF(AND(E2347&lt;&gt;"",E2347&lt;&gt;"!!!"),"NEW","")))</f>
        <v> </v>
      </c>
      <c r="G2347" s="24" t="str">
        <f>IF(OR(E2347="",E2347="!!!"),"",IF(OR(J2347=0,AND(J2347=1,K2347=1),AND(J2347=1,I2347="SBJ"),AND(J2347=1,I2347=0)),"?IN_FOCUS",IF(J2347&lt;=2,"?ACTIVATED",IF(J2347&lt;&gt;"","?FAMILIAR",IF(F2347="NEW",IF(ISNA(VLOOKUP(E2347,#REF!,1,FALSE())),"?TYPE_IDENTIFIABLE","?REFERENTIAL"),"_")))))</f>
        <v> </v>
      </c>
      <c r="H2347" s="25" t="str">
        <f>IF(J2347&lt;&gt;1,"",IF(I2347="SBJ","CB","?"))</f>
        <v> </v>
      </c>
      <c r="I2347" s="26" t="str">
        <f>IF(OR(E2347="",E2347="!!!",F2347="NEW"),"",INDEX(B2346:B$2,-1+SUMPRODUCT(MAX(ROW(E2346:E$2)*(E2347=E2346:E$2)))))</f>
        <v> </v>
      </c>
      <c r="J2347" s="26" t="str">
        <f>IF(OR(E2347="",E2347="!!!",F2347="NEW"),"",COUNTBLANK(OFFSET(A$1,,,SUMPRODUCT(MAX(ROW(E$2:E2347)*(E2347=E$2:E2347)))))-COUNTBLANK(OFFSET(A$1,,,SUMPRODUCT(MAX(ROW(E$1:E2346)*(E2=E$1:E2346))))))</f>
        <v> </v>
      </c>
      <c r="K2347" s="26" t="str">
        <f>IF(OR(E2347="",E2347="!!!",F2347="NEW"),"",INDEX(J$1:J2346,SUMPRODUCT(MAX(ROW(E$1:E2346)*(E2347=E$1:E2346)))))</f>
        <v> </v>
      </c>
      <c r="L2347" s="27"/>
    </row>
    <row r="2348" spans="1:12">
      <c r="A2348" s="20" t="s">
        <v>813</v>
      </c>
      <c r="B2348" s="21" t="s">
        <v>1130</v>
      </c>
      <c r="E2348" s="22">
        <f>IF(D2348="?OLD","!!!","")</f>
        <v/>
      </c>
      <c r="F2348" s="23" t="str">
        <f>IF(OR(E2348="",E2348="!!!"),"",IF(NOT(ISNA(VLOOKUP(E2348,E$1:E2347,1,FALSE()))),"OLD",IF(AND(E2348&lt;&gt;"",E2348&lt;&gt;"!!!"),"NEW","")))</f>
        <v> </v>
      </c>
      <c r="G2348" s="24" t="str">
        <f>IF(OR(E2348="",E2348="!!!"),"",IF(OR(J2348=0,AND(J2348=1,K2348=1),AND(J2348=1,I2348="SBJ"),AND(J2348=1,I2348=0)),"?IN_FOCUS",IF(J2348&lt;=2,"?ACTIVATED",IF(J2348&lt;&gt;"","?FAMILIAR",IF(F2348="NEW",IF(ISNA(VLOOKUP(E2348,#REF!,1,FALSE())),"?TYPE_IDENTIFIABLE","?REFERENTIAL"),"_")))))</f>
        <v> </v>
      </c>
      <c r="H2348" s="25" t="str">
        <f>IF(J2348&lt;&gt;1,"",IF(I2348="SBJ","CB","?"))</f>
        <v> </v>
      </c>
      <c r="I2348" s="26" t="str">
        <f>IF(OR(E2348="",E2348="!!!",F2348="NEW"),"",INDEX(B2347:B$2,-1+SUMPRODUCT(MAX(ROW(E2347:E$2)*(E2348=E2347:E$2)))))</f>
        <v> </v>
      </c>
      <c r="J2348" s="26" t="str">
        <f>IF(OR(E2348="",E2348="!!!",F2348="NEW"),"",COUNTBLANK(OFFSET(A$1,,,SUMPRODUCT(MAX(ROW(E$2:E2348)*(E2348=E$2:E2348)))))-COUNTBLANK(OFFSET(A$1,,,SUMPRODUCT(MAX(ROW(E$1:E2347)*(E2=E$1:E2347))))))</f>
        <v> </v>
      </c>
      <c r="K2348" s="26" t="str">
        <f>IF(OR(E2348="",E2348="!!!",F2348="NEW"),"",INDEX(J$1:J2347,SUMPRODUCT(MAX(ROW(E$1:E2347)*(E2348=E$1:E2347)))))</f>
        <v> </v>
      </c>
      <c r="L2348" s="27"/>
    </row>
    <row r="2349" spans="1:12">
      <c r="A2349" s="20" t="s">
        <v>750</v>
      </c>
      <c r="B2349" s="21" t="s">
        <v>1202</v>
      </c>
      <c r="C2349" s="21" t="s">
        <v>729</v>
      </c>
      <c r="D2349" s="21" t="s">
        <v>730</v>
      </c>
      <c r="E2349" s="22">
        <f>IF(D2349="?OLD","!!!","")</f>
        <v/>
      </c>
      <c r="F2349" s="23" t="str">
        <f>IF(OR(E2349="",E2349="!!!"),"",IF(NOT(ISNA(VLOOKUP(E2349,E$1:E2348,1,FALSE()))),"OLD",IF(AND(E2349&lt;&gt;"",E2349&lt;&gt;"!!!"),"NEW","")))</f>
        <v> </v>
      </c>
      <c r="G2349" s="24" t="str">
        <f>IF(OR(E2349="",E2349="!!!"),"",IF(OR(J2349=0,AND(J2349=1,K2349=1),AND(J2349=1,I2349="SBJ"),AND(J2349=1,I2349=0)),"?IN_FOCUS",IF(J2349&lt;=2,"?ACTIVATED",IF(J2349&lt;&gt;"","?FAMILIAR",IF(F2349="NEW",IF(ISNA(VLOOKUP(E2349,#REF!,1,FALSE())),"?TYPE_IDENTIFIABLE","?REFERENTIAL"),"_")))))</f>
        <v> </v>
      </c>
      <c r="H2349" s="25" t="str">
        <f>IF(J2349&lt;&gt;1,"",IF(I2349="SBJ","CB","?"))</f>
        <v> </v>
      </c>
      <c r="I2349" s="26" t="str">
        <f>IF(OR(E2349="",E2349="!!!",F2349="NEW"),"",INDEX(B2348:B$2,-1+SUMPRODUCT(MAX(ROW(E2348:E$2)*(E2349=E2348:E$2)))))</f>
        <v> </v>
      </c>
      <c r="J2349" s="26" t="str">
        <f>IF(OR(E2349="",E2349="!!!",F2349="NEW"),"",COUNTBLANK(OFFSET(A$1,,,SUMPRODUCT(MAX(ROW(E$2:E2349)*(E2349=E$2:E2349)))))-COUNTBLANK(OFFSET(A$1,,,SUMPRODUCT(MAX(ROW(E$1:E2348)*(E2=E$1:E2348))))))</f>
        <v> </v>
      </c>
      <c r="K2349" s="26" t="str">
        <f>IF(OR(E2349="",E2349="!!!",F2349="NEW"),"",INDEX(J$1:J2348,SUMPRODUCT(MAX(ROW(E$1:E2348)*(E2349=E$1:E2348)))))</f>
        <v> </v>
      </c>
      <c r="L2349" s="27"/>
    </row>
    <row r="2350" spans="1:12">
      <c r="A2350" s="20" t="s">
        <v>792</v>
      </c>
      <c r="B2350" s="21" t="s">
        <v>1130</v>
      </c>
      <c r="E2350" s="22">
        <f>IF(D2350="?OLD","!!!","")</f>
        <v/>
      </c>
      <c r="F2350" s="23" t="str">
        <f>IF(OR(E2350="",E2350="!!!"),"",IF(NOT(ISNA(VLOOKUP(E2350,E$1:E2349,1,FALSE()))),"OLD",IF(AND(E2350&lt;&gt;"",E2350&lt;&gt;"!!!"),"NEW","")))</f>
        <v> </v>
      </c>
      <c r="G2350" s="24" t="str">
        <f>IF(OR(E2350="",E2350="!!!"),"",IF(OR(J2350=0,AND(J2350=1,K2350=1),AND(J2350=1,I2350="SBJ"),AND(J2350=1,I2350=0)),"?IN_FOCUS",IF(J2350&lt;=2,"?ACTIVATED",IF(J2350&lt;&gt;"","?FAMILIAR",IF(F2350="NEW",IF(ISNA(VLOOKUP(E2350,#REF!,1,FALSE())),"?TYPE_IDENTIFIABLE","?REFERENTIAL"),"_")))))</f>
        <v> </v>
      </c>
      <c r="H2350" s="25" t="str">
        <f>IF(J2350&lt;&gt;1,"",IF(I2350="SBJ","CB","?"))</f>
        <v> </v>
      </c>
      <c r="I2350" s="26" t="str">
        <f>IF(OR(E2350="",E2350="!!!",F2350="NEW"),"",INDEX(B2349:B$2,-1+SUMPRODUCT(MAX(ROW(E2349:E$2)*(E2350=E2349:E$2)))))</f>
        <v> </v>
      </c>
      <c r="J2350" s="26" t="str">
        <f>IF(OR(E2350="",E2350="!!!",F2350="NEW"),"",COUNTBLANK(OFFSET(A$1,,,SUMPRODUCT(MAX(ROW(E$2:E2350)*(E2350=E$2:E2350)))))-COUNTBLANK(OFFSET(A$1,,,SUMPRODUCT(MAX(ROW(E$1:E2349)*(E2=E$1:E2349))))))</f>
        <v> </v>
      </c>
      <c r="K2350" s="26" t="str">
        <f>IF(OR(E2350="",E2350="!!!",F2350="NEW"),"",INDEX(J$1:J2349,SUMPRODUCT(MAX(ROW(E$1:E2349)*(E2350=E$1:E2349)))))</f>
        <v> </v>
      </c>
      <c r="L2350" s="27"/>
    </row>
    <row r="2351" spans="1:12">
      <c r="A2351" s="20" t="s">
        <v>920</v>
      </c>
      <c r="E2351" s="22">
        <f>IF(D2351="?OLD","!!!","")</f>
        <v/>
      </c>
      <c r="F2351" s="23" t="str">
        <f>IF(OR(E2351="",E2351="!!!"),"",IF(NOT(ISNA(VLOOKUP(E2351,E$1:E2350,1,FALSE()))),"OLD",IF(AND(E2351&lt;&gt;"",E2351&lt;&gt;"!!!"),"NEW","")))</f>
        <v> </v>
      </c>
      <c r="G2351" s="24" t="str">
        <f>IF(OR(E2351="",E2351="!!!"),"",IF(OR(J2351=0,AND(J2351=1,K2351=1),AND(J2351=1,I2351="SBJ"),AND(J2351=1,I2351=0)),"?IN_FOCUS",IF(J2351&lt;=2,"?ACTIVATED",IF(J2351&lt;&gt;"","?FAMILIAR",IF(F2351="NEW",IF(ISNA(VLOOKUP(E2351,#REF!,1,FALSE())),"?TYPE_IDENTIFIABLE","?REFERENTIAL"),"_")))))</f>
        <v> </v>
      </c>
      <c r="H2351" s="25" t="str">
        <f>IF(J2351&lt;&gt;1,"",IF(I2351="SBJ","CB","?"))</f>
        <v> </v>
      </c>
      <c r="I2351" s="26" t="str">
        <f>IF(OR(E2351="",E2351="!!!",F2351="NEW"),"",INDEX(B2350:B$2,-1+SUMPRODUCT(MAX(ROW(E2350:E$2)*(E2351=E2350:E$2)))))</f>
        <v> </v>
      </c>
      <c r="J2351" s="26" t="str">
        <f>IF(OR(E2351="",E2351="!!!",F2351="NEW"),"",COUNTBLANK(OFFSET(A$1,,,SUMPRODUCT(MAX(ROW(E$2:E2351)*(E2351=E$2:E2351)))))-COUNTBLANK(OFFSET(A$1,,,SUMPRODUCT(MAX(ROW(E$1:E2350)*(E2=E$1:E2350))))))</f>
        <v> </v>
      </c>
      <c r="K2351" s="26" t="str">
        <f>IF(OR(E2351="",E2351="!!!",F2351="NEW"),"",INDEX(J$1:J2350,SUMPRODUCT(MAX(ROW(E$1:E2350)*(E2351=E$1:E2350)))))</f>
        <v> </v>
      </c>
      <c r="L2351" s="27"/>
    </row>
    <row r="2352" spans="1:12">
      <c r="A2352" s="20" t="s">
        <v>738</v>
      </c>
      <c r="E2352" s="22">
        <f>IF(D2352="?OLD","!!!","")</f>
        <v/>
      </c>
      <c r="F2352" s="23" t="str">
        <f>IF(OR(E2352="",E2352="!!!"),"",IF(NOT(ISNA(VLOOKUP(E2352,E$1:E2351,1,FALSE()))),"OLD",IF(AND(E2352&lt;&gt;"",E2352&lt;&gt;"!!!"),"NEW","")))</f>
        <v> </v>
      </c>
      <c r="G2352" s="24" t="str">
        <f>IF(OR(E2352="",E2352="!!!"),"",IF(OR(J2352=0,AND(J2352=1,K2352=1),AND(J2352=1,I2352="SBJ"),AND(J2352=1,I2352=0)),"?IN_FOCUS",IF(J2352&lt;=2,"?ACTIVATED",IF(J2352&lt;&gt;"","?FAMILIAR",IF(F2352="NEW",IF(ISNA(VLOOKUP(E2352,#REF!,1,FALSE())),"?TYPE_IDENTIFIABLE","?REFERENTIAL"),"_")))))</f>
        <v> </v>
      </c>
      <c r="H2352" s="25" t="str">
        <f>IF(J2352&lt;&gt;1,"",IF(I2352="SBJ","CB","?"))</f>
        <v> </v>
      </c>
      <c r="I2352" s="26" t="str">
        <f>IF(OR(E2352="",E2352="!!!",F2352="NEW"),"",INDEX(B2351:B$2,-1+SUMPRODUCT(MAX(ROW(E2351:E$2)*(E2352=E2351:E$2)))))</f>
        <v> </v>
      </c>
      <c r="J2352" s="26" t="str">
        <f>IF(OR(E2352="",E2352="!!!",F2352="NEW"),"",COUNTBLANK(OFFSET(A$1,,,SUMPRODUCT(MAX(ROW(E$2:E2352)*(E2352=E$2:E2352)))))-COUNTBLANK(OFFSET(A$1,,,SUMPRODUCT(MAX(ROW(E$1:E2351)*(E2=E$1:E2351))))))</f>
        <v> </v>
      </c>
      <c r="K2352" s="26" t="str">
        <f>IF(OR(E2352="",E2352="!!!",F2352="NEW"),"",INDEX(J$1:J2351,SUMPRODUCT(MAX(ROW(E$1:E2351)*(E2352=E$1:E2351)))))</f>
        <v> </v>
      </c>
      <c r="L2352" s="27"/>
    </row>
    <row r="2353" spans="1:12">
      <c r="A2353" s="20" t="s">
        <v>12</v>
      </c>
      <c r="E2353" s="22">
        <f>IF(D2353="?OLD","!!!","")</f>
        <v/>
      </c>
      <c r="F2353" s="23" t="str">
        <f>IF(OR(E2353="",E2353="!!!"),"",IF(NOT(ISNA(VLOOKUP(E2353,E$1:E2352,1,FALSE()))),"OLD",IF(AND(E2353&lt;&gt;"",E2353&lt;&gt;"!!!"),"NEW","")))</f>
        <v> </v>
      </c>
      <c r="G2353" s="24" t="str">
        <f>IF(OR(E2353="",E2353="!!!"),"",IF(OR(J2353=0,AND(J2353=1,K2353=1),AND(J2353=1,I2353="SBJ"),AND(J2353=1,I2353=0)),"?IN_FOCUS",IF(J2353&lt;=2,"?ACTIVATED",IF(J2353&lt;&gt;"","?FAMILIAR",IF(F2353="NEW",IF(ISNA(VLOOKUP(E2353,#REF!,1,FALSE())),"?TYPE_IDENTIFIABLE","?REFERENTIAL"),"_")))))</f>
        <v> </v>
      </c>
      <c r="H2353" s="25" t="str">
        <f>IF(J2353&lt;&gt;1,"",IF(I2353="SBJ","CB","?"))</f>
        <v> </v>
      </c>
      <c r="I2353" s="26" t="str">
        <f>IF(OR(E2353="",E2353="!!!",F2353="NEW"),"",INDEX(B2352:B$2,-1+SUMPRODUCT(MAX(ROW(E2352:E$2)*(E2353=E2352:E$2)))))</f>
        <v> </v>
      </c>
      <c r="J2353" s="26" t="str">
        <f>IF(OR(E2353="",E2353="!!!",F2353="NEW"),"",COUNTBLANK(OFFSET(A$1,,,SUMPRODUCT(MAX(ROW(E$2:E2353)*(E2353=E$2:E2353)))))-COUNTBLANK(OFFSET(A$1,,,SUMPRODUCT(MAX(ROW(E$1:E2352)*(E2=E$1:E2352))))))</f>
        <v> </v>
      </c>
      <c r="K2353" s="26" t="str">
        <f>IF(OR(E2353="",E2353="!!!",F2353="NEW"),"",INDEX(J$1:J2352,SUMPRODUCT(MAX(ROW(E$1:E2352)*(E2353=E$1:E2352)))))</f>
        <v> </v>
      </c>
      <c r="L2353" s="27"/>
    </row>
    <row r="2354" spans="1:12">
      <c r="A2354" s="20" t="s">
        <v>741</v>
      </c>
      <c r="E2354" s="22">
        <f>IF(D2354="?OLD","!!!","")</f>
        <v/>
      </c>
      <c r="F2354" s="23" t="str">
        <f>IF(OR(E2354="",E2354="!!!"),"",IF(NOT(ISNA(VLOOKUP(E2354,E$1:E2353,1,FALSE()))),"OLD",IF(AND(E2354&lt;&gt;"",E2354&lt;&gt;"!!!"),"NEW","")))</f>
        <v> </v>
      </c>
      <c r="G2354" s="24" t="str">
        <f>IF(OR(E2354="",E2354="!!!"),"",IF(OR(J2354=0,AND(J2354=1,K2354=1),AND(J2354=1,I2354="SBJ"),AND(J2354=1,I2354=0)),"?IN_FOCUS",IF(J2354&lt;=2,"?ACTIVATED",IF(J2354&lt;&gt;"","?FAMILIAR",IF(F2354="NEW",IF(ISNA(VLOOKUP(E2354,#REF!,1,FALSE())),"?TYPE_IDENTIFIABLE","?REFERENTIAL"),"_")))))</f>
        <v> </v>
      </c>
      <c r="H2354" s="25" t="str">
        <f>IF(J2354&lt;&gt;1,"",IF(I2354="SBJ","CB","?"))</f>
        <v> </v>
      </c>
      <c r="I2354" s="26" t="str">
        <f>IF(OR(E2354="",E2354="!!!",F2354="NEW"),"",INDEX(B2353:B$2,-1+SUMPRODUCT(MAX(ROW(E2353:E$2)*(E2354=E2353:E$2)))))</f>
        <v> </v>
      </c>
      <c r="J2354" s="26" t="str">
        <f>IF(OR(E2354="",E2354="!!!",F2354="NEW"),"",COUNTBLANK(OFFSET(A$1,,,SUMPRODUCT(MAX(ROW(E$2:E2354)*(E2354=E$2:E2354)))))-COUNTBLANK(OFFSET(A$1,,,SUMPRODUCT(MAX(ROW(E$1:E2353)*(E2=E$1:E2353))))))</f>
        <v> </v>
      </c>
      <c r="K2354" s="26" t="str">
        <f>IF(OR(E2354="",E2354="!!!",F2354="NEW"),"",INDEX(J$1:J2353,SUMPRODUCT(MAX(ROW(E$1:E2353)*(E2354=E$1:E2353)))))</f>
        <v> </v>
      </c>
      <c r="L2354" s="27"/>
    </row>
    <row r="2355" spans="1:12">
      <c r="A2355" s="20" t="s">
        <v>12</v>
      </c>
      <c r="E2355" s="22">
        <f>IF(D2355="?OLD","!!!","")</f>
        <v/>
      </c>
      <c r="F2355" s="23" t="str">
        <f>IF(OR(E2355="",E2355="!!!"),"",IF(NOT(ISNA(VLOOKUP(E2355,E$1:E2354,1,FALSE()))),"OLD",IF(AND(E2355&lt;&gt;"",E2355&lt;&gt;"!!!"),"NEW","")))</f>
        <v> </v>
      </c>
      <c r="G2355" s="24" t="str">
        <f>IF(OR(E2355="",E2355="!!!"),"",IF(OR(J2355=0,AND(J2355=1,K2355=1),AND(J2355=1,I2355="SBJ"),AND(J2355=1,I2355=0)),"?IN_FOCUS",IF(J2355&lt;=2,"?ACTIVATED",IF(J2355&lt;&gt;"","?FAMILIAR",IF(F2355="NEW",IF(ISNA(VLOOKUP(E2355,#REF!,1,FALSE())),"?TYPE_IDENTIFIABLE","?REFERENTIAL"),"_")))))</f>
        <v> </v>
      </c>
      <c r="H2355" s="25" t="str">
        <f>IF(J2355&lt;&gt;1,"",IF(I2355="SBJ","CB","?"))</f>
        <v> </v>
      </c>
      <c r="I2355" s="26" t="str">
        <f>IF(OR(E2355="",E2355="!!!",F2355="NEW"),"",INDEX(B2354:B$2,-1+SUMPRODUCT(MAX(ROW(E2354:E$2)*(E2355=E2354:E$2)))))</f>
        <v> </v>
      </c>
      <c r="J2355" s="26" t="str">
        <f>IF(OR(E2355="",E2355="!!!",F2355="NEW"),"",COUNTBLANK(OFFSET(A$1,,,SUMPRODUCT(MAX(ROW(E$2:E2355)*(E2355=E$2:E2355)))))-COUNTBLANK(OFFSET(A$1,,,SUMPRODUCT(MAX(ROW(E$1:E2354)*(E2=E$1:E2354))))))</f>
        <v> </v>
      </c>
      <c r="K2355" s="26" t="str">
        <f>IF(OR(E2355="",E2355="!!!",F2355="NEW"),"",INDEX(J$1:J2354,SUMPRODUCT(MAX(ROW(E$1:E2354)*(E2355=E$1:E2354)))))</f>
        <v> </v>
      </c>
      <c r="L2355" s="27"/>
    </row>
    <row r="2356" spans="1:12">
      <c r="A2356" s="20" t="s">
        <v>1641</v>
      </c>
      <c r="B2356" s="21" t="s">
        <v>778</v>
      </c>
      <c r="C2356" s="21" t="s">
        <v>748</v>
      </c>
      <c r="E2356" s="22">
        <f>IF(D2356="?OLD","!!!","")</f>
        <v/>
      </c>
      <c r="F2356" s="23" t="str">
        <f>IF(OR(E2356="",E2356="!!!"),"",IF(NOT(ISNA(VLOOKUP(E2356,E$1:E2355,1,FALSE()))),"OLD",IF(AND(E2356&lt;&gt;"",E2356&lt;&gt;"!!!"),"NEW","")))</f>
        <v> </v>
      </c>
      <c r="G2356" s="24" t="str">
        <f>IF(OR(E2356="",E2356="!!!"),"",IF(OR(J2356=0,AND(J2356=1,K2356=1),AND(J2356=1,I2356="SBJ"),AND(J2356=1,I2356=0)),"?IN_FOCUS",IF(J2356&lt;=2,"?ACTIVATED",IF(J2356&lt;&gt;"","?FAMILIAR",IF(F2356="NEW",IF(ISNA(VLOOKUP(E2356,#REF!,1,FALSE())),"?TYPE_IDENTIFIABLE","?REFERENTIAL"),"_")))))</f>
        <v> </v>
      </c>
      <c r="H2356" s="25" t="str">
        <f>IF(J2356&lt;&gt;1,"",IF(I2356="SBJ","CB","?"))</f>
        <v> </v>
      </c>
      <c r="I2356" s="26" t="str">
        <f>IF(OR(E2356="",E2356="!!!",F2356="NEW"),"",INDEX(B2355:B$2,-1+SUMPRODUCT(MAX(ROW(E2355:E$2)*(E2356=E2355:E$2)))))</f>
        <v> </v>
      </c>
      <c r="J2356" s="26" t="str">
        <f>IF(OR(E2356="",E2356="!!!",F2356="NEW"),"",COUNTBLANK(OFFSET(A$1,,,SUMPRODUCT(MAX(ROW(E$2:E2356)*(E2356=E$2:E2356)))))-COUNTBLANK(OFFSET(A$1,,,SUMPRODUCT(MAX(ROW(E$1:E2355)*(E2=E$1:E2355))))))</f>
        <v> </v>
      </c>
      <c r="K2356" s="26" t="str">
        <f>IF(OR(E2356="",E2356="!!!",F2356="NEW"),"",INDEX(J$1:J2355,SUMPRODUCT(MAX(ROW(E$1:E2355)*(E2356=E$1:E2355)))))</f>
        <v> </v>
      </c>
      <c r="L2356" s="27"/>
    </row>
    <row r="2357" spans="1:12">
      <c r="A2357" s="20" t="s">
        <v>504</v>
      </c>
      <c r="E2357" s="22">
        <f>IF(D2357="?OLD","!!!","")</f>
        <v/>
      </c>
      <c r="F2357" s="23" t="str">
        <f>IF(OR(E2357="",E2357="!!!"),"",IF(NOT(ISNA(VLOOKUP(E2357,E$1:E2356,1,FALSE()))),"OLD",IF(AND(E2357&lt;&gt;"",E2357&lt;&gt;"!!!"),"NEW","")))</f>
        <v> </v>
      </c>
      <c r="G2357" s="24" t="str">
        <f>IF(OR(E2357="",E2357="!!!"),"",IF(OR(J2357=0,AND(J2357=1,K2357=1),AND(J2357=1,I2357="SBJ"),AND(J2357=1,I2357=0)),"?IN_FOCUS",IF(J2357&lt;=2,"?ACTIVATED",IF(J2357&lt;&gt;"","?FAMILIAR",IF(F2357="NEW",IF(ISNA(VLOOKUP(E2357,#REF!,1,FALSE())),"?TYPE_IDENTIFIABLE","?REFERENTIAL"),"_")))))</f>
        <v> </v>
      </c>
      <c r="H2357" s="25" t="str">
        <f>IF(J2357&lt;&gt;1,"",IF(I2357="SBJ","CB","?"))</f>
        <v> </v>
      </c>
      <c r="I2357" s="26" t="str">
        <f>IF(OR(E2357="",E2357="!!!",F2357="NEW"),"",INDEX(B2356:B$2,-1+SUMPRODUCT(MAX(ROW(E2356:E$2)*(E2357=E2356:E$2)))))</f>
        <v> </v>
      </c>
      <c r="J2357" s="26" t="str">
        <f>IF(OR(E2357="",E2357="!!!",F2357="NEW"),"",COUNTBLANK(OFFSET(A$1,,,SUMPRODUCT(MAX(ROW(E$2:E2357)*(E2357=E$2:E2357)))))-COUNTBLANK(OFFSET(A$1,,,SUMPRODUCT(MAX(ROW(E$1:E2356)*(E2=E$1:E2356))))))</f>
        <v> </v>
      </c>
      <c r="K2357" s="26" t="str">
        <f>IF(OR(E2357="",E2357="!!!",F2357="NEW"),"",INDEX(J$1:J2356,SUMPRODUCT(MAX(ROW(E$1:E2356)*(E2357=E$1:E2356)))))</f>
        <v> </v>
      </c>
      <c r="L2357" s="27"/>
    </row>
    <row r="2358" spans="1:12">
      <c r="A2358" s="20" t="s">
        <v>1406</v>
      </c>
      <c r="E2358" s="22">
        <f>IF(D2358="?OLD","!!!","")</f>
        <v/>
      </c>
      <c r="F2358" s="23" t="str">
        <f>IF(OR(E2358="",E2358="!!!"),"",IF(NOT(ISNA(VLOOKUP(E2358,E$1:E2357,1,FALSE()))),"OLD",IF(AND(E2358&lt;&gt;"",E2358&lt;&gt;"!!!"),"NEW","")))</f>
        <v> </v>
      </c>
      <c r="G2358" s="24" t="str">
        <f>IF(OR(E2358="",E2358="!!!"),"",IF(OR(J2358=0,AND(J2358=1,K2358=1),AND(J2358=1,I2358="SBJ"),AND(J2358=1,I2358=0)),"?IN_FOCUS",IF(J2358&lt;=2,"?ACTIVATED",IF(J2358&lt;&gt;"","?FAMILIAR",IF(F2358="NEW",IF(ISNA(VLOOKUP(E2358,#REF!,1,FALSE())),"?TYPE_IDENTIFIABLE","?REFERENTIAL"),"_")))))</f>
        <v> </v>
      </c>
      <c r="H2358" s="25" t="str">
        <f>IF(J2358&lt;&gt;1,"",IF(I2358="SBJ","CB","?"))</f>
        <v> </v>
      </c>
      <c r="I2358" s="26" t="str">
        <f>IF(OR(E2358="",E2358="!!!",F2358="NEW"),"",INDEX(B2357:B$2,-1+SUMPRODUCT(MAX(ROW(E2357:E$2)*(E2358=E2357:E$2)))))</f>
        <v> </v>
      </c>
      <c r="J2358" s="26" t="str">
        <f>IF(OR(E2358="",E2358="!!!",F2358="NEW"),"",COUNTBLANK(OFFSET(A$1,,,SUMPRODUCT(MAX(ROW(E$2:E2358)*(E2358=E$2:E2358)))))-COUNTBLANK(OFFSET(A$1,,,SUMPRODUCT(MAX(ROW(E$1:E2357)*(E2=E$1:E2357))))))</f>
        <v> </v>
      </c>
      <c r="K2358" s="26" t="str">
        <f>IF(OR(E2358="",E2358="!!!",F2358="NEW"),"",INDEX(J$1:J2357,SUMPRODUCT(MAX(ROW(E$1:E2357)*(E2358=E$1:E2357)))))</f>
        <v> </v>
      </c>
      <c r="L2358" s="27"/>
    </row>
    <row r="2359" spans="1:12">
      <c r="A2359" s="20" t="s">
        <v>246</v>
      </c>
      <c r="E2359" s="22">
        <f>IF(D2359="?OLD","!!!","")</f>
        <v/>
      </c>
      <c r="F2359" s="23" t="str">
        <f>IF(OR(E2359="",E2359="!!!"),"",IF(NOT(ISNA(VLOOKUP(E2359,E$1:E2358,1,FALSE()))),"OLD",IF(AND(E2359&lt;&gt;"",E2359&lt;&gt;"!!!"),"NEW","")))</f>
        <v> </v>
      </c>
      <c r="G2359" s="24" t="str">
        <f>IF(OR(E2359="",E2359="!!!"),"",IF(OR(J2359=0,AND(J2359=1,K2359=1),AND(J2359=1,I2359="SBJ"),AND(J2359=1,I2359=0)),"?IN_FOCUS",IF(J2359&lt;=2,"?ACTIVATED",IF(J2359&lt;&gt;"","?FAMILIAR",IF(F2359="NEW",IF(ISNA(VLOOKUP(E2359,#REF!,1,FALSE())),"?TYPE_IDENTIFIABLE","?REFERENTIAL"),"_")))))</f>
        <v> </v>
      </c>
      <c r="H2359" s="25" t="str">
        <f>IF(J2359&lt;&gt;1,"",IF(I2359="SBJ","CB","?"))</f>
        <v> </v>
      </c>
      <c r="I2359" s="26" t="str">
        <f>IF(OR(E2359="",E2359="!!!",F2359="NEW"),"",INDEX(B2358:B$2,-1+SUMPRODUCT(MAX(ROW(E2358:E$2)*(E2359=E2358:E$2)))))</f>
        <v> </v>
      </c>
      <c r="J2359" s="26" t="str">
        <f>IF(OR(E2359="",E2359="!!!",F2359="NEW"),"",COUNTBLANK(OFFSET(A$1,,,SUMPRODUCT(MAX(ROW(E$2:E2359)*(E2359=E$2:E2359)))))-COUNTBLANK(OFFSET(A$1,,,SUMPRODUCT(MAX(ROW(E$1:E2358)*(E2=E$1:E2358))))))</f>
        <v> </v>
      </c>
      <c r="K2359" s="26" t="str">
        <f>IF(OR(E2359="",E2359="!!!",F2359="NEW"),"",INDEX(J$1:J2358,SUMPRODUCT(MAX(ROW(E$1:E2358)*(E2359=E$1:E2358)))))</f>
        <v> </v>
      </c>
      <c r="L2359" s="27"/>
    </row>
    <row r="2360" spans="1:12">
      <c r="A2360" s="20"/>
    </row>
    <row r="2361" spans="1:12">
      <c r="A2361" s="20" t="s">
        <v>1642</v>
      </c>
    </row>
    <row r="2362" spans="1:12">
      <c r="A2362" s="20" t="s">
        <v>1514</v>
      </c>
      <c r="E2362" s="22">
        <f>IF(D2362="?OLD","!!!","")</f>
        <v/>
      </c>
      <c r="F2362" s="23" t="str">
        <f>IF(OR(E2362="",E2362="!!!"),"",IF(NOT(ISNA(VLOOKUP(E2362,E$1:E2361,1,FALSE()))),"OLD",IF(AND(E2362&lt;&gt;"",E2362&lt;&gt;"!!!"),"NEW","")))</f>
        <v> </v>
      </c>
      <c r="G2362" s="24" t="str">
        <f>IF(OR(E2362="",E2362="!!!"),"",IF(OR(J2362=0,AND(J2362=1,K2362=1),AND(J2362=1,I2362="SBJ"),AND(J2362=1,I2362=0)),"?IN_FOCUS",IF(J2362&lt;=2,"?ACTIVATED",IF(J2362&lt;&gt;"","?FAMILIAR",IF(F2362="NEW",IF(ISNA(VLOOKUP(E2362,#REF!,1,FALSE())),"?TYPE_IDENTIFIABLE","?REFERENTIAL"),"_")))))</f>
        <v> </v>
      </c>
      <c r="H2362" s="25" t="str">
        <f>IF(J2362&lt;&gt;1,"",IF(I2362="SBJ","CB","?"))</f>
        <v> </v>
      </c>
      <c r="I2362" s="26" t="str">
        <f>IF(OR(E2362="",E2362="!!!",F2362="NEW"),"",INDEX(B2361:B$2,-1+SUMPRODUCT(MAX(ROW(E2361:E$2)*(E2362=E2361:E$2)))))</f>
        <v> </v>
      </c>
      <c r="J2362" s="26" t="str">
        <f>IF(OR(E2362="",E2362="!!!",F2362="NEW"),"",COUNTBLANK(OFFSET(A$1,,,SUMPRODUCT(MAX(ROW(E$2:E2362)*(E2362=E$2:E2362)))))-COUNTBLANK(OFFSET(A$1,,,SUMPRODUCT(MAX(ROW(E$1:E2361)*(E2=E$1:E2361))))))</f>
        <v> </v>
      </c>
      <c r="K2362" s="26" t="str">
        <f>IF(OR(E2362="",E2362="!!!",F2362="NEW"),"",INDEX(J$1:J2361,SUMPRODUCT(MAX(ROW(E$1:E2361)*(E2362=E$1:E2361)))))</f>
        <v> </v>
      </c>
      <c r="L2362" s="27"/>
    </row>
    <row r="2363" spans="1:12">
      <c r="A2363" s="20" t="s">
        <v>1264</v>
      </c>
      <c r="B2363" s="21" t="s">
        <v>739</v>
      </c>
      <c r="C2363" s="21" t="s">
        <v>801</v>
      </c>
      <c r="D2363" s="21" t="s">
        <v>730</v>
      </c>
      <c r="E2363" s="22">
        <f>IF(D2363="?OLD","!!!","")</f>
        <v/>
      </c>
      <c r="F2363" s="23" t="str">
        <f>IF(OR(E2363="",E2363="!!!"),"",IF(NOT(ISNA(VLOOKUP(E2363,E$1:E2362,1,FALSE()))),"OLD",IF(AND(E2363&lt;&gt;"",E2363&lt;&gt;"!!!"),"NEW","")))</f>
        <v> </v>
      </c>
      <c r="G2363" s="24" t="str">
        <f>IF(OR(E2363="",E2363="!!!"),"",IF(OR(J2363=0,AND(J2363=1,K2363=1),AND(J2363=1,I2363="SBJ"),AND(J2363=1,I2363=0)),"?IN_FOCUS",IF(J2363&lt;=2,"?ACTIVATED",IF(J2363&lt;&gt;"","?FAMILIAR",IF(F2363="NEW",IF(ISNA(VLOOKUP(E2363,#REF!,1,FALSE())),"?TYPE_IDENTIFIABLE","?REFERENTIAL"),"_")))))</f>
        <v> </v>
      </c>
      <c r="H2363" s="25" t="str">
        <f>IF(J2363&lt;&gt;1,"",IF(I2363="SBJ","CB","?"))</f>
        <v> </v>
      </c>
      <c r="I2363" s="26" t="str">
        <f>IF(OR(E2363="",E2363="!!!",F2363="NEW"),"",INDEX(B2362:B$2,-1+SUMPRODUCT(MAX(ROW(E2362:E$2)*(E2363=E2362:E$2)))))</f>
        <v> </v>
      </c>
      <c r="J2363" s="26" t="str">
        <f>IF(OR(E2363="",E2363="!!!",F2363="NEW"),"",COUNTBLANK(OFFSET(A$1,,,SUMPRODUCT(MAX(ROW(E$2:E2363)*(E2363=E$2:E2363)))))-COUNTBLANK(OFFSET(A$1,,,SUMPRODUCT(MAX(ROW(E$1:E2362)*(E2=E$1:E2362))))))</f>
        <v> </v>
      </c>
      <c r="K2363" s="26" t="str">
        <f>IF(OR(E2363="",E2363="!!!",F2363="NEW"),"",INDEX(J$1:J2362,SUMPRODUCT(MAX(ROW(E$1:E2362)*(E2363=E$1:E2362)))))</f>
        <v> </v>
      </c>
      <c r="L2363" s="27"/>
    </row>
    <row r="2364" spans="1:12">
      <c r="A2364" s="20" t="s">
        <v>1489</v>
      </c>
      <c r="B2364" s="21" t="s">
        <v>736</v>
      </c>
      <c r="C2364" s="21" t="s">
        <v>802</v>
      </c>
      <c r="D2364" s="21" t="s">
        <v>730</v>
      </c>
      <c r="E2364" s="22">
        <f>IF(D2364="?OLD","!!!","")</f>
        <v/>
      </c>
      <c r="F2364" s="23" t="str">
        <f>IF(OR(E2364="",E2364="!!!"),"",IF(NOT(ISNA(VLOOKUP(E2364,E$1:E2363,1,FALSE()))),"OLD",IF(AND(E2364&lt;&gt;"",E2364&lt;&gt;"!!!"),"NEW","")))</f>
        <v> </v>
      </c>
      <c r="G2364" s="24" t="str">
        <f>IF(OR(E2364="",E2364="!!!"),"",IF(OR(J2364=0,AND(J2364=1,K2364=1),AND(J2364=1,I2364="SBJ"),AND(J2364=1,I2364=0)),"?IN_FOCUS",IF(J2364&lt;=2,"?ACTIVATED",IF(J2364&lt;&gt;"","?FAMILIAR",IF(F2364="NEW",IF(ISNA(VLOOKUP(E2364,#REF!,1,FALSE())),"?TYPE_IDENTIFIABLE","?REFERENTIAL"),"_")))))</f>
        <v> </v>
      </c>
      <c r="H2364" s="25" t="str">
        <f>IF(J2364&lt;&gt;1,"",IF(I2364="SBJ","CB","?"))</f>
        <v> </v>
      </c>
      <c r="I2364" s="26" t="str">
        <f>IF(OR(E2364="",E2364="!!!",F2364="NEW"),"",INDEX(B2363:B$2,-1+SUMPRODUCT(MAX(ROW(E2363:E$2)*(E2364=E2363:E$2)))))</f>
        <v> </v>
      </c>
      <c r="J2364" s="26" t="str">
        <f>IF(OR(E2364="",E2364="!!!",F2364="NEW"),"",COUNTBLANK(OFFSET(A$1,,,SUMPRODUCT(MAX(ROW(E$2:E2364)*(E2364=E$2:E2364)))))-COUNTBLANK(OFFSET(A$1,,,SUMPRODUCT(MAX(ROW(E$1:E2363)*(E2=E$1:E2363))))))</f>
        <v> </v>
      </c>
      <c r="K2364" s="26" t="str">
        <f>IF(OR(E2364="",E2364="!!!",F2364="NEW"),"",INDEX(J$1:J2363,SUMPRODUCT(MAX(ROW(E$1:E2363)*(E2364=E$1:E2363)))))</f>
        <v> </v>
      </c>
      <c r="L2364" s="27"/>
    </row>
    <row r="2365" spans="1:12">
      <c r="A2365" s="20" t="s">
        <v>1526</v>
      </c>
      <c r="E2365" s="22">
        <f>IF(D2365="?OLD","!!!","")</f>
        <v/>
      </c>
      <c r="F2365" s="23" t="str">
        <f>IF(OR(E2365="",E2365="!!!"),"",IF(NOT(ISNA(VLOOKUP(E2365,E$1:E2364,1,FALSE()))),"OLD",IF(AND(E2365&lt;&gt;"",E2365&lt;&gt;"!!!"),"NEW","")))</f>
        <v> </v>
      </c>
      <c r="G2365" s="24" t="str">
        <f>IF(OR(E2365="",E2365="!!!"),"",IF(OR(J2365=0,AND(J2365=1,K2365=1),AND(J2365=1,I2365="SBJ"),AND(J2365=1,I2365=0)),"?IN_FOCUS",IF(J2365&lt;=2,"?ACTIVATED",IF(J2365&lt;&gt;"","?FAMILIAR",IF(F2365="NEW",IF(ISNA(VLOOKUP(E2365,#REF!,1,FALSE())),"?TYPE_IDENTIFIABLE","?REFERENTIAL"),"_")))))</f>
        <v> </v>
      </c>
      <c r="H2365" s="25" t="str">
        <f>IF(J2365&lt;&gt;1,"",IF(I2365="SBJ","CB","?"))</f>
        <v> </v>
      </c>
      <c r="I2365" s="26" t="str">
        <f>IF(OR(E2365="",E2365="!!!",F2365="NEW"),"",INDEX(B2364:B$2,-1+SUMPRODUCT(MAX(ROW(E2364:E$2)*(E2365=E2364:E$2)))))</f>
        <v> </v>
      </c>
      <c r="J2365" s="26" t="str">
        <f>IF(OR(E2365="",E2365="!!!",F2365="NEW"),"",COUNTBLANK(OFFSET(A$1,,,SUMPRODUCT(MAX(ROW(E$2:E2365)*(E2365=E$2:E2365)))))-COUNTBLANK(OFFSET(A$1,,,SUMPRODUCT(MAX(ROW(E$1:E2364)*(E2=E$1:E2364))))))</f>
        <v> </v>
      </c>
      <c r="K2365" s="26" t="str">
        <f>IF(OR(E2365="",E2365="!!!",F2365="NEW"),"",INDEX(J$1:J2364,SUMPRODUCT(MAX(ROW(E$1:E2364)*(E2365=E$1:E2364)))))</f>
        <v> </v>
      </c>
      <c r="L2365" s="27"/>
    </row>
    <row r="2366" spans="1:12">
      <c r="A2366" s="20" t="s">
        <v>859</v>
      </c>
      <c r="B2366" s="21" t="s">
        <v>728</v>
      </c>
      <c r="C2366" s="21" t="s">
        <v>789</v>
      </c>
      <c r="D2366" s="21" t="s">
        <v>730</v>
      </c>
      <c r="E2366" s="22">
        <f>IF(D2366="?OLD","!!!","")</f>
        <v/>
      </c>
      <c r="F2366" s="23" t="str">
        <f>IF(OR(E2366="",E2366="!!!"),"",IF(NOT(ISNA(VLOOKUP(E2366,E$1:E2365,1,FALSE()))),"OLD",IF(AND(E2366&lt;&gt;"",E2366&lt;&gt;"!!!"),"NEW","")))</f>
        <v> </v>
      </c>
      <c r="G2366" s="24" t="str">
        <f>IF(OR(E2366="",E2366="!!!"),"",IF(OR(J2366=0,AND(J2366=1,K2366=1),AND(J2366=1,I2366="SBJ"),AND(J2366=1,I2366=0)),"?IN_FOCUS",IF(J2366&lt;=2,"?ACTIVATED",IF(J2366&lt;&gt;"","?FAMILIAR",IF(F2366="NEW",IF(ISNA(VLOOKUP(E2366,#REF!,1,FALSE())),"?TYPE_IDENTIFIABLE","?REFERENTIAL"),"_")))))</f>
        <v> </v>
      </c>
      <c r="H2366" s="25" t="str">
        <f>IF(J2366&lt;&gt;1,"",IF(I2366="SBJ","CB","?"))</f>
        <v> </v>
      </c>
      <c r="I2366" s="26" t="str">
        <f>IF(OR(E2366="",E2366="!!!",F2366="NEW"),"",INDEX(B2365:B$2,-1+SUMPRODUCT(MAX(ROW(E2365:E$2)*(E2366=E2365:E$2)))))</f>
        <v> </v>
      </c>
      <c r="J2366" s="26" t="str">
        <f>IF(OR(E2366="",E2366="!!!",F2366="NEW"),"",COUNTBLANK(OFFSET(A$1,,,SUMPRODUCT(MAX(ROW(E$2:E2366)*(E2366=E$2:E2366)))))-COUNTBLANK(OFFSET(A$1,,,SUMPRODUCT(MAX(ROW(E$1:E2365)*(E2=E$1:E2365))))))</f>
        <v> </v>
      </c>
      <c r="K2366" s="26" t="str">
        <f>IF(OR(E2366="",E2366="!!!",F2366="NEW"),"",INDEX(J$1:J2365,SUMPRODUCT(MAX(ROW(E$1:E2365)*(E2366=E$1:E2365)))))</f>
        <v> </v>
      </c>
      <c r="L2366" s="27"/>
    </row>
    <row r="2367" spans="1:12">
      <c r="A2367" s="20" t="s">
        <v>776</v>
      </c>
      <c r="B2367" s="21" t="s">
        <v>764</v>
      </c>
      <c r="C2367" s="21" t="s">
        <v>789</v>
      </c>
      <c r="D2367" s="21" t="s">
        <v>730</v>
      </c>
      <c r="E2367" s="22">
        <f>IF(D2367="?OLD","!!!","")</f>
        <v/>
      </c>
      <c r="F2367" s="23" t="str">
        <f>IF(OR(E2367="",E2367="!!!"),"",IF(NOT(ISNA(VLOOKUP(E2367,E$1:E2366,1,FALSE()))),"OLD",IF(AND(E2367&lt;&gt;"",E2367&lt;&gt;"!!!"),"NEW","")))</f>
        <v> </v>
      </c>
      <c r="G2367" s="24" t="str">
        <f>IF(OR(E2367="",E2367="!!!"),"",IF(OR(J2367=0,AND(J2367=1,K2367=1),AND(J2367=1,I2367="SBJ"),AND(J2367=1,I2367=0)),"?IN_FOCUS",IF(J2367&lt;=2,"?ACTIVATED",IF(J2367&lt;&gt;"","?FAMILIAR",IF(F2367="NEW",IF(ISNA(VLOOKUP(E2367,#REF!,1,FALSE())),"?TYPE_IDENTIFIABLE","?REFERENTIAL"),"_")))))</f>
        <v> </v>
      </c>
      <c r="H2367" s="25" t="str">
        <f>IF(J2367&lt;&gt;1,"",IF(I2367="SBJ","CB","?"))</f>
        <v> </v>
      </c>
      <c r="I2367" s="26" t="str">
        <f>IF(OR(E2367="",E2367="!!!",F2367="NEW"),"",INDEX(B2366:B$2,-1+SUMPRODUCT(MAX(ROW(E2366:E$2)*(E2367=E2366:E$2)))))</f>
        <v> </v>
      </c>
      <c r="J2367" s="26" t="str">
        <f>IF(OR(E2367="",E2367="!!!",F2367="NEW"),"",COUNTBLANK(OFFSET(A$1,,,SUMPRODUCT(MAX(ROW(E$2:E2367)*(E2367=E$2:E2367)))))-COUNTBLANK(OFFSET(A$1,,,SUMPRODUCT(MAX(ROW(E$1:E2366)*(E2=E$1:E2366))))))</f>
        <v> </v>
      </c>
      <c r="K2367" s="26" t="str">
        <f>IF(OR(E2367="",E2367="!!!",F2367="NEW"),"",INDEX(J$1:J2366,SUMPRODUCT(MAX(ROW(E$1:E2366)*(E2367=E$1:E2366)))))</f>
        <v> </v>
      </c>
      <c r="L2367" s="27"/>
    </row>
    <row r="2368" spans="1:12">
      <c r="A2368" s="20" t="s">
        <v>759</v>
      </c>
      <c r="E2368" s="22">
        <f>IF(D2368="?OLD","!!!","")</f>
        <v/>
      </c>
      <c r="F2368" s="23" t="str">
        <f>IF(OR(E2368="",E2368="!!!"),"",IF(NOT(ISNA(VLOOKUP(E2368,E$1:E2367,1,FALSE()))),"OLD",IF(AND(E2368&lt;&gt;"",E2368&lt;&gt;"!!!"),"NEW","")))</f>
        <v> </v>
      </c>
      <c r="G2368" s="24" t="str">
        <f>IF(OR(E2368="",E2368="!!!"),"",IF(OR(J2368=0,AND(J2368=1,K2368=1),AND(J2368=1,I2368="SBJ"),AND(J2368=1,I2368=0)),"?IN_FOCUS",IF(J2368&lt;=2,"?ACTIVATED",IF(J2368&lt;&gt;"","?FAMILIAR",IF(F2368="NEW",IF(ISNA(VLOOKUP(E2368,#REF!,1,FALSE())),"?TYPE_IDENTIFIABLE","?REFERENTIAL"),"_")))))</f>
        <v> </v>
      </c>
      <c r="H2368" s="25" t="str">
        <f>IF(J2368&lt;&gt;1,"",IF(I2368="SBJ","CB","?"))</f>
        <v> </v>
      </c>
      <c r="I2368" s="26" t="str">
        <f>IF(OR(E2368="",E2368="!!!",F2368="NEW"),"",INDEX(B2367:B$2,-1+SUMPRODUCT(MAX(ROW(E2367:E$2)*(E2368=E2367:E$2)))))</f>
        <v> </v>
      </c>
      <c r="J2368" s="26" t="str">
        <f>IF(OR(E2368="",E2368="!!!",F2368="NEW"),"",COUNTBLANK(OFFSET(A$1,,,SUMPRODUCT(MAX(ROW(E$2:E2368)*(E2368=E$2:E2368)))))-COUNTBLANK(OFFSET(A$1,,,SUMPRODUCT(MAX(ROW(E$1:E2367)*(E2=E$1:E2367))))))</f>
        <v> </v>
      </c>
      <c r="K2368" s="26" t="str">
        <f>IF(OR(E2368="",E2368="!!!",F2368="NEW"),"",INDEX(J$1:J2367,SUMPRODUCT(MAX(ROW(E$1:E2367)*(E2368=E$1:E2367)))))</f>
        <v> </v>
      </c>
      <c r="L2368" s="27"/>
    </row>
    <row r="2369" spans="1:12">
      <c r="A2369" s="20" t="s">
        <v>945</v>
      </c>
      <c r="B2369" s="21" t="s">
        <v>843</v>
      </c>
      <c r="C2369" s="21" t="s">
        <v>789</v>
      </c>
      <c r="D2369" s="21" t="s">
        <v>730</v>
      </c>
      <c r="E2369" s="22">
        <f>IF(D2369="?OLD","!!!","")</f>
        <v/>
      </c>
      <c r="F2369" s="23" t="str">
        <f>IF(OR(E2369="",E2369="!!!"),"",IF(NOT(ISNA(VLOOKUP(E2369,E$1:E2368,1,FALSE()))),"OLD",IF(AND(E2369&lt;&gt;"",E2369&lt;&gt;"!!!"),"NEW","")))</f>
        <v> </v>
      </c>
      <c r="G2369" s="24" t="str">
        <f>IF(OR(E2369="",E2369="!!!"),"",IF(OR(J2369=0,AND(J2369=1,K2369=1),AND(J2369=1,I2369="SBJ"),AND(J2369=1,I2369=0)),"?IN_FOCUS",IF(J2369&lt;=2,"?ACTIVATED",IF(J2369&lt;&gt;"","?FAMILIAR",IF(F2369="NEW",IF(ISNA(VLOOKUP(E2369,#REF!,1,FALSE())),"?TYPE_IDENTIFIABLE","?REFERENTIAL"),"_")))))</f>
        <v> </v>
      </c>
      <c r="H2369" s="25" t="str">
        <f>IF(J2369&lt;&gt;1,"",IF(I2369="SBJ","CB","?"))</f>
        <v> </v>
      </c>
      <c r="I2369" s="26" t="str">
        <f>IF(OR(E2369="",E2369="!!!",F2369="NEW"),"",INDEX(B2368:B$2,-1+SUMPRODUCT(MAX(ROW(E2368:E$2)*(E2369=E2368:E$2)))))</f>
        <v> </v>
      </c>
      <c r="J2369" s="26" t="str">
        <f>IF(OR(E2369="",E2369="!!!",F2369="NEW"),"",COUNTBLANK(OFFSET(A$1,,,SUMPRODUCT(MAX(ROW(E$2:E2369)*(E2369=E$2:E2369)))))-COUNTBLANK(OFFSET(A$1,,,SUMPRODUCT(MAX(ROW(E$1:E2368)*(E2=E$1:E2368))))))</f>
        <v> </v>
      </c>
      <c r="K2369" s="26" t="str">
        <f>IF(OR(E2369="",E2369="!!!",F2369="NEW"),"",INDEX(J$1:J2368,SUMPRODUCT(MAX(ROW(E$1:E2368)*(E2369=E$1:E2368)))))</f>
        <v> </v>
      </c>
      <c r="L2369" s="27"/>
    </row>
    <row r="2370" spans="1:12">
      <c r="A2370" s="20" t="s">
        <v>859</v>
      </c>
      <c r="B2370" s="21" t="s">
        <v>788</v>
      </c>
      <c r="C2370" s="21" t="s">
        <v>789</v>
      </c>
      <c r="D2370" s="21" t="s">
        <v>730</v>
      </c>
      <c r="E2370" s="22">
        <f>IF(D2370="?OLD","!!!","")</f>
        <v/>
      </c>
      <c r="F2370" s="23" t="str">
        <f>IF(OR(E2370="",E2370="!!!"),"",IF(NOT(ISNA(VLOOKUP(E2370,E$1:E2369,1,FALSE()))),"OLD",IF(AND(E2370&lt;&gt;"",E2370&lt;&gt;"!!!"),"NEW","")))</f>
        <v> </v>
      </c>
      <c r="G2370" s="24" t="str">
        <f>IF(OR(E2370="",E2370="!!!"),"",IF(OR(J2370=0,AND(J2370=1,K2370=1),AND(J2370=1,I2370="SBJ"),AND(J2370=1,I2370=0)),"?IN_FOCUS",IF(J2370&lt;=2,"?ACTIVATED",IF(J2370&lt;&gt;"","?FAMILIAR",IF(F2370="NEW",IF(ISNA(VLOOKUP(E2370,#REF!,1,FALSE())),"?TYPE_IDENTIFIABLE","?REFERENTIAL"),"_")))))</f>
        <v> </v>
      </c>
      <c r="H2370" s="25" t="str">
        <f>IF(J2370&lt;&gt;1,"",IF(I2370="SBJ","CB","?"))</f>
        <v> </v>
      </c>
      <c r="I2370" s="26" t="str">
        <f>IF(OR(E2370="",E2370="!!!",F2370="NEW"),"",INDEX(B2369:B$2,-1+SUMPRODUCT(MAX(ROW(E2369:E$2)*(E2370=E2369:E$2)))))</f>
        <v> </v>
      </c>
      <c r="J2370" s="26" t="str">
        <f>IF(OR(E2370="",E2370="!!!",F2370="NEW"),"",COUNTBLANK(OFFSET(A$1,,,SUMPRODUCT(MAX(ROW(E$2:E2370)*(E2370=E$2:E2370)))))-COUNTBLANK(OFFSET(A$1,,,SUMPRODUCT(MAX(ROW(E$1:E2369)*(E2=E$1:E2369))))))</f>
        <v> </v>
      </c>
      <c r="K2370" s="26" t="str">
        <f>IF(OR(E2370="",E2370="!!!",F2370="NEW"),"",INDEX(J$1:J2369,SUMPRODUCT(MAX(ROW(E$1:E2369)*(E2370=E$1:E2369)))))</f>
        <v> </v>
      </c>
      <c r="L2370" s="27"/>
    </row>
    <row r="2371" spans="1:12">
      <c r="A2371" s="20" t="s">
        <v>898</v>
      </c>
      <c r="E2371" s="22">
        <f>IF(D2371="?OLD","!!!","")</f>
        <v/>
      </c>
      <c r="F2371" s="23" t="str">
        <f>IF(OR(E2371="",E2371="!!!"),"",IF(NOT(ISNA(VLOOKUP(E2371,E$1:E2370,1,FALSE()))),"OLD",IF(AND(E2371&lt;&gt;"",E2371&lt;&gt;"!!!"),"NEW","")))</f>
        <v> </v>
      </c>
      <c r="G2371" s="24" t="str">
        <f>IF(OR(E2371="",E2371="!!!"),"",IF(OR(J2371=0,AND(J2371=1,K2371=1),AND(J2371=1,I2371="SBJ"),AND(J2371=1,I2371=0)),"?IN_FOCUS",IF(J2371&lt;=2,"?ACTIVATED",IF(J2371&lt;&gt;"","?FAMILIAR",IF(F2371="NEW",IF(ISNA(VLOOKUP(E2371,#REF!,1,FALSE())),"?TYPE_IDENTIFIABLE","?REFERENTIAL"),"_")))))</f>
        <v> </v>
      </c>
      <c r="H2371" s="25" t="str">
        <f>IF(J2371&lt;&gt;1,"",IF(I2371="SBJ","CB","?"))</f>
        <v> </v>
      </c>
      <c r="I2371" s="26" t="str">
        <f>IF(OR(E2371="",E2371="!!!",F2371="NEW"),"",INDEX(B2370:B$2,-1+SUMPRODUCT(MAX(ROW(E2370:E$2)*(E2371=E2370:E$2)))))</f>
        <v> </v>
      </c>
      <c r="J2371" s="26" t="str">
        <f>IF(OR(E2371="",E2371="!!!",F2371="NEW"),"",COUNTBLANK(OFFSET(A$1,,,SUMPRODUCT(MAX(ROW(E$2:E2371)*(E2371=E$2:E2371)))))-COUNTBLANK(OFFSET(A$1,,,SUMPRODUCT(MAX(ROW(E$1:E2370)*(E2=E$1:E2370))))))</f>
        <v> </v>
      </c>
      <c r="K2371" s="26" t="str">
        <f>IF(OR(E2371="",E2371="!!!",F2371="NEW"),"",INDEX(J$1:J2370,SUMPRODUCT(MAX(ROW(E$1:E2370)*(E2371=E$1:E2370)))))</f>
        <v> </v>
      </c>
      <c r="L2371" s="27"/>
    </row>
    <row r="2372" spans="1:12">
      <c r="A2372" s="20" t="s">
        <v>1643</v>
      </c>
      <c r="E2372" s="22">
        <f>IF(D2372="?OLD","!!!","")</f>
        <v/>
      </c>
      <c r="F2372" s="23" t="str">
        <f>IF(OR(E2372="",E2372="!!!"),"",IF(NOT(ISNA(VLOOKUP(E2372,E$1:E2371,1,FALSE()))),"OLD",IF(AND(E2372&lt;&gt;"",E2372&lt;&gt;"!!!"),"NEW","")))</f>
        <v> </v>
      </c>
      <c r="G2372" s="24" t="str">
        <f>IF(OR(E2372="",E2372="!!!"),"",IF(OR(J2372=0,AND(J2372=1,K2372=1),AND(J2372=1,I2372="SBJ"),AND(J2372=1,I2372=0)),"?IN_FOCUS",IF(J2372&lt;=2,"?ACTIVATED",IF(J2372&lt;&gt;"","?FAMILIAR",IF(F2372="NEW",IF(ISNA(VLOOKUP(E2372,#REF!,1,FALSE())),"?TYPE_IDENTIFIABLE","?REFERENTIAL"),"_")))))</f>
        <v> </v>
      </c>
      <c r="H2372" s="25" t="str">
        <f>IF(J2372&lt;&gt;1,"",IF(I2372="SBJ","CB","?"))</f>
        <v> </v>
      </c>
      <c r="I2372" s="26" t="str">
        <f>IF(OR(E2372="",E2372="!!!",F2372="NEW"),"",INDEX(B2371:B$2,-1+SUMPRODUCT(MAX(ROW(E2371:E$2)*(E2372=E2371:E$2)))))</f>
        <v> </v>
      </c>
      <c r="J2372" s="26" t="str">
        <f>IF(OR(E2372="",E2372="!!!",F2372="NEW"),"",COUNTBLANK(OFFSET(A$1,,,SUMPRODUCT(MAX(ROW(E$2:E2372)*(E2372=E$2:E2372)))))-COUNTBLANK(OFFSET(A$1,,,SUMPRODUCT(MAX(ROW(E$1:E2371)*(E2=E$1:E2371))))))</f>
        <v> </v>
      </c>
      <c r="K2372" s="26" t="str">
        <f>IF(OR(E2372="",E2372="!!!",F2372="NEW"),"",INDEX(J$1:J2371,SUMPRODUCT(MAX(ROW(E$1:E2371)*(E2372=E$1:E2371)))))</f>
        <v> </v>
      </c>
      <c r="L2372" s="27"/>
    </row>
    <row r="2373" spans="1:12">
      <c r="A2373" s="20" t="s">
        <v>1491</v>
      </c>
      <c r="E2373" s="22">
        <f>IF(D2373="?OLD","!!!","")</f>
        <v/>
      </c>
      <c r="F2373" s="23" t="str">
        <f>IF(OR(E2373="",E2373="!!!"),"",IF(NOT(ISNA(VLOOKUP(E2373,E$1:E2372,1,FALSE()))),"OLD",IF(AND(E2373&lt;&gt;"",E2373&lt;&gt;"!!!"),"NEW","")))</f>
        <v> </v>
      </c>
      <c r="G2373" s="24" t="str">
        <f>IF(OR(E2373="",E2373="!!!"),"",IF(OR(J2373=0,AND(J2373=1,K2373=1),AND(J2373=1,I2373="SBJ"),AND(J2373=1,I2373=0)),"?IN_FOCUS",IF(J2373&lt;=2,"?ACTIVATED",IF(J2373&lt;&gt;"","?FAMILIAR",IF(F2373="NEW",IF(ISNA(VLOOKUP(E2373,#REF!,1,FALSE())),"?TYPE_IDENTIFIABLE","?REFERENTIAL"),"_")))))</f>
        <v> </v>
      </c>
      <c r="H2373" s="25" t="str">
        <f>IF(J2373&lt;&gt;1,"",IF(I2373="SBJ","CB","?"))</f>
        <v> </v>
      </c>
      <c r="I2373" s="26" t="str">
        <f>IF(OR(E2373="",E2373="!!!",F2373="NEW"),"",INDEX(B2372:B$2,-1+SUMPRODUCT(MAX(ROW(E2372:E$2)*(E2373=E2372:E$2)))))</f>
        <v> </v>
      </c>
      <c r="J2373" s="26" t="str">
        <f>IF(OR(E2373="",E2373="!!!",F2373="NEW"),"",COUNTBLANK(OFFSET(A$1,,,SUMPRODUCT(MAX(ROW(E$2:E2373)*(E2373=E$2:E2373)))))-COUNTBLANK(OFFSET(A$1,,,SUMPRODUCT(MAX(ROW(E$1:E2372)*(E2=E$1:E2372))))))</f>
        <v> </v>
      </c>
      <c r="K2373" s="26" t="str">
        <f>IF(OR(E2373="",E2373="!!!",F2373="NEW"),"",INDEX(J$1:J2372,SUMPRODUCT(MAX(ROW(E$1:E2372)*(E2373=E$1:E2372)))))</f>
        <v> </v>
      </c>
      <c r="L2373" s="27"/>
    </row>
    <row r="2374" spans="1:12">
      <c r="A2374" s="20" t="s">
        <v>1252</v>
      </c>
      <c r="E2374" s="22">
        <f>IF(D2374="?OLD","!!!","")</f>
        <v/>
      </c>
      <c r="F2374" s="23" t="str">
        <f>IF(OR(E2374="",E2374="!!!"),"",IF(NOT(ISNA(VLOOKUP(E2374,E$1:E2373,1,FALSE()))),"OLD",IF(AND(E2374&lt;&gt;"",E2374&lt;&gt;"!!!"),"NEW","")))</f>
        <v> </v>
      </c>
      <c r="G2374" s="24" t="str">
        <f>IF(OR(E2374="",E2374="!!!"),"",IF(OR(J2374=0,AND(J2374=1,K2374=1),AND(J2374=1,I2374="SBJ"),AND(J2374=1,I2374=0)),"?IN_FOCUS",IF(J2374&lt;=2,"?ACTIVATED",IF(J2374&lt;&gt;"","?FAMILIAR",IF(F2374="NEW",IF(ISNA(VLOOKUP(E2374,#REF!,1,FALSE())),"?TYPE_IDENTIFIABLE","?REFERENTIAL"),"_")))))</f>
        <v> </v>
      </c>
      <c r="H2374" s="25" t="str">
        <f>IF(J2374&lt;&gt;1,"",IF(I2374="SBJ","CB","?"))</f>
        <v> </v>
      </c>
      <c r="I2374" s="26" t="str">
        <f>IF(OR(E2374="",E2374="!!!",F2374="NEW"),"",INDEX(B2373:B$2,-1+SUMPRODUCT(MAX(ROW(E2373:E$2)*(E2374=E2373:E$2)))))</f>
        <v> </v>
      </c>
      <c r="J2374" s="26" t="str">
        <f>IF(OR(E2374="",E2374="!!!",F2374="NEW"),"",COUNTBLANK(OFFSET(A$1,,,SUMPRODUCT(MAX(ROW(E$2:E2374)*(E2374=E$2:E2374)))))-COUNTBLANK(OFFSET(A$1,,,SUMPRODUCT(MAX(ROW(E$1:E2373)*(E2=E$1:E2373))))))</f>
        <v> </v>
      </c>
      <c r="K2374" s="26" t="str">
        <f>IF(OR(E2374="",E2374="!!!",F2374="NEW"),"",INDEX(J$1:J2373,SUMPRODUCT(MAX(ROW(E$1:E2373)*(E2374=E$1:E2373)))))</f>
        <v> </v>
      </c>
      <c r="L2374" s="27"/>
    </row>
    <row r="2375" spans="1:12">
      <c r="A2375" s="20" t="s">
        <v>759</v>
      </c>
      <c r="E2375" s="22">
        <f>IF(D2375="?OLD","!!!","")</f>
        <v/>
      </c>
      <c r="F2375" s="23" t="str">
        <f>IF(OR(E2375="",E2375="!!!"),"",IF(NOT(ISNA(VLOOKUP(E2375,E$1:E2374,1,FALSE()))),"OLD",IF(AND(E2375&lt;&gt;"",E2375&lt;&gt;"!!!"),"NEW","")))</f>
        <v> </v>
      </c>
      <c r="G2375" s="24" t="str">
        <f>IF(OR(E2375="",E2375="!!!"),"",IF(OR(J2375=0,AND(J2375=1,K2375=1),AND(J2375=1,I2375="SBJ"),AND(J2375=1,I2375=0)),"?IN_FOCUS",IF(J2375&lt;=2,"?ACTIVATED",IF(J2375&lt;&gt;"","?FAMILIAR",IF(F2375="NEW",IF(ISNA(VLOOKUP(E2375,#REF!,1,FALSE())),"?TYPE_IDENTIFIABLE","?REFERENTIAL"),"_")))))</f>
        <v> </v>
      </c>
      <c r="H2375" s="25" t="str">
        <f>IF(J2375&lt;&gt;1,"",IF(I2375="SBJ","CB","?"))</f>
        <v> </v>
      </c>
      <c r="I2375" s="26" t="str">
        <f>IF(OR(E2375="",E2375="!!!",F2375="NEW"),"",INDEX(B2374:B$2,-1+SUMPRODUCT(MAX(ROW(E2374:E$2)*(E2375=E2374:E$2)))))</f>
        <v> </v>
      </c>
      <c r="J2375" s="26" t="str">
        <f>IF(OR(E2375="",E2375="!!!",F2375="NEW"),"",COUNTBLANK(OFFSET(A$1,,,SUMPRODUCT(MAX(ROW(E$2:E2375)*(E2375=E$2:E2375)))))-COUNTBLANK(OFFSET(A$1,,,SUMPRODUCT(MAX(ROW(E$1:E2374)*(E2=E$1:E2374))))))</f>
        <v> </v>
      </c>
      <c r="K2375" s="26" t="str">
        <f>IF(OR(E2375="",E2375="!!!",F2375="NEW"),"",INDEX(J$1:J2374,SUMPRODUCT(MAX(ROW(E$1:E2374)*(E2375=E$1:E2374)))))</f>
        <v> </v>
      </c>
      <c r="L2375" s="27"/>
    </row>
    <row r="2376" spans="1:12">
      <c r="A2376" s="20" t="s">
        <v>1088</v>
      </c>
      <c r="E2376" s="22">
        <f>IF(D2376="?OLD","!!!","")</f>
        <v/>
      </c>
      <c r="F2376" s="23" t="str">
        <f>IF(OR(E2376="",E2376="!!!"),"",IF(NOT(ISNA(VLOOKUP(E2376,E$1:E2375,1,FALSE()))),"OLD",IF(AND(E2376&lt;&gt;"",E2376&lt;&gt;"!!!"),"NEW","")))</f>
        <v> </v>
      </c>
      <c r="G2376" s="24" t="str">
        <f>IF(OR(E2376="",E2376="!!!"),"",IF(OR(J2376=0,AND(J2376=1,K2376=1),AND(J2376=1,I2376="SBJ"),AND(J2376=1,I2376=0)),"?IN_FOCUS",IF(J2376&lt;=2,"?ACTIVATED",IF(J2376&lt;&gt;"","?FAMILIAR",IF(F2376="NEW",IF(ISNA(VLOOKUP(E2376,#REF!,1,FALSE())),"?TYPE_IDENTIFIABLE","?REFERENTIAL"),"_")))))</f>
        <v> </v>
      </c>
      <c r="H2376" s="25" t="str">
        <f>IF(J2376&lt;&gt;1,"",IF(I2376="SBJ","CB","?"))</f>
        <v> </v>
      </c>
      <c r="I2376" s="26" t="str">
        <f>IF(OR(E2376="",E2376="!!!",F2376="NEW"),"",INDEX(B2375:B$2,-1+SUMPRODUCT(MAX(ROW(E2375:E$2)*(E2376=E2375:E$2)))))</f>
        <v> </v>
      </c>
      <c r="J2376" s="26" t="str">
        <f>IF(OR(E2376="",E2376="!!!",F2376="NEW"),"",COUNTBLANK(OFFSET(A$1,,,SUMPRODUCT(MAX(ROW(E$2:E2376)*(E2376=E$2:E2376)))))-COUNTBLANK(OFFSET(A$1,,,SUMPRODUCT(MAX(ROW(E$1:E2375)*(E2=E$1:E2375))))))</f>
        <v> </v>
      </c>
      <c r="K2376" s="26" t="str">
        <f>IF(OR(E2376="",E2376="!!!",F2376="NEW"),"",INDEX(J$1:J2375,SUMPRODUCT(MAX(ROW(E$1:E2375)*(E2376=E$1:E2375)))))</f>
        <v> </v>
      </c>
      <c r="L2376" s="27"/>
    </row>
    <row r="2377" spans="1:12">
      <c r="A2377" s="20" t="s">
        <v>1644</v>
      </c>
      <c r="E2377" s="22">
        <f>IF(D2377="?OLD","!!!","")</f>
        <v/>
      </c>
      <c r="F2377" s="23" t="str">
        <f>IF(OR(E2377="",E2377="!!!"),"",IF(NOT(ISNA(VLOOKUP(E2377,E$1:E2376,1,FALSE()))),"OLD",IF(AND(E2377&lt;&gt;"",E2377&lt;&gt;"!!!"),"NEW","")))</f>
        <v> </v>
      </c>
      <c r="G2377" s="24" t="str">
        <f>IF(OR(E2377="",E2377="!!!"),"",IF(OR(J2377=0,AND(J2377=1,K2377=1),AND(J2377=1,I2377="SBJ"),AND(J2377=1,I2377=0)),"?IN_FOCUS",IF(J2377&lt;=2,"?ACTIVATED",IF(J2377&lt;&gt;"","?FAMILIAR",IF(F2377="NEW",IF(ISNA(VLOOKUP(E2377,#REF!,1,FALSE())),"?TYPE_IDENTIFIABLE","?REFERENTIAL"),"_")))))</f>
        <v> </v>
      </c>
      <c r="H2377" s="25" t="str">
        <f>IF(J2377&lt;&gt;1,"",IF(I2377="SBJ","CB","?"))</f>
        <v> </v>
      </c>
      <c r="I2377" s="26" t="str">
        <f>IF(OR(E2377="",E2377="!!!",F2377="NEW"),"",INDEX(B2376:B$2,-1+SUMPRODUCT(MAX(ROW(E2376:E$2)*(E2377=E2376:E$2)))))</f>
        <v> </v>
      </c>
      <c r="J2377" s="26" t="str">
        <f>IF(OR(E2377="",E2377="!!!",F2377="NEW"),"",COUNTBLANK(OFFSET(A$1,,,SUMPRODUCT(MAX(ROW(E$2:E2377)*(E2377=E$2:E2377)))))-COUNTBLANK(OFFSET(A$1,,,SUMPRODUCT(MAX(ROW(E$1:E2376)*(E2=E$1:E2376))))))</f>
        <v> </v>
      </c>
      <c r="K2377" s="26" t="str">
        <f>IF(OR(E2377="",E2377="!!!",F2377="NEW"),"",INDEX(J$1:J2376,SUMPRODUCT(MAX(ROW(E$1:E2376)*(E2377=E$1:E2376)))))</f>
        <v> </v>
      </c>
      <c r="L2377" s="27"/>
    </row>
    <row r="2378" spans="1:12">
      <c r="A2378" s="20" t="s">
        <v>754</v>
      </c>
      <c r="E2378" s="22">
        <f>IF(D2378="?OLD","!!!","")</f>
        <v/>
      </c>
      <c r="F2378" s="23" t="str">
        <f>IF(OR(E2378="",E2378="!!!"),"",IF(NOT(ISNA(VLOOKUP(E2378,E$1:E2377,1,FALSE()))),"OLD",IF(AND(E2378&lt;&gt;"",E2378&lt;&gt;"!!!"),"NEW","")))</f>
        <v> </v>
      </c>
      <c r="G2378" s="24" t="str">
        <f>IF(OR(E2378="",E2378="!!!"),"",IF(OR(J2378=0,AND(J2378=1,K2378=1),AND(J2378=1,I2378="SBJ"),AND(J2378=1,I2378=0)),"?IN_FOCUS",IF(J2378&lt;=2,"?ACTIVATED",IF(J2378&lt;&gt;"","?FAMILIAR",IF(F2378="NEW",IF(ISNA(VLOOKUP(E2378,#REF!,1,FALSE())),"?TYPE_IDENTIFIABLE","?REFERENTIAL"),"_")))))</f>
        <v> </v>
      </c>
      <c r="H2378" s="25" t="str">
        <f>IF(J2378&lt;&gt;1,"",IF(I2378="SBJ","CB","?"))</f>
        <v> </v>
      </c>
      <c r="I2378" s="26" t="str">
        <f>IF(OR(E2378="",E2378="!!!",F2378="NEW"),"",INDEX(B2377:B$2,-1+SUMPRODUCT(MAX(ROW(E2377:E$2)*(E2378=E2377:E$2)))))</f>
        <v> </v>
      </c>
      <c r="J2378" s="26" t="str">
        <f>IF(OR(E2378="",E2378="!!!",F2378="NEW"),"",COUNTBLANK(OFFSET(A$1,,,SUMPRODUCT(MAX(ROW(E$2:E2378)*(E2378=E$2:E2378)))))-COUNTBLANK(OFFSET(A$1,,,SUMPRODUCT(MAX(ROW(E$1:E2377)*(E2=E$1:E2377))))))</f>
        <v> </v>
      </c>
      <c r="K2378" s="26" t="str">
        <f>IF(OR(E2378="",E2378="!!!",F2378="NEW"),"",INDEX(J$1:J2377,SUMPRODUCT(MAX(ROW(E$1:E2377)*(E2378=E$1:E2377)))))</f>
        <v> </v>
      </c>
      <c r="L2378" s="27"/>
    </row>
    <row r="2379" spans="1:12">
      <c r="A2379" s="20" t="s">
        <v>133</v>
      </c>
      <c r="E2379" s="22">
        <f>IF(D2379="?OLD","!!!","")</f>
        <v/>
      </c>
      <c r="F2379" s="23" t="str">
        <f>IF(OR(E2379="",E2379="!!!"),"",IF(NOT(ISNA(VLOOKUP(E2379,E$1:E2378,1,FALSE()))),"OLD",IF(AND(E2379&lt;&gt;"",E2379&lt;&gt;"!!!"),"NEW","")))</f>
        <v> </v>
      </c>
      <c r="G2379" s="24" t="str">
        <f>IF(OR(E2379="",E2379="!!!"),"",IF(OR(J2379=0,AND(J2379=1,K2379=1),AND(J2379=1,I2379="SBJ"),AND(J2379=1,I2379=0)),"?IN_FOCUS",IF(J2379&lt;=2,"?ACTIVATED",IF(J2379&lt;&gt;"","?FAMILIAR",IF(F2379="NEW",IF(ISNA(VLOOKUP(E2379,#REF!,1,FALSE())),"?TYPE_IDENTIFIABLE","?REFERENTIAL"),"_")))))</f>
        <v> </v>
      </c>
      <c r="H2379" s="25" t="str">
        <f>IF(J2379&lt;&gt;1,"",IF(I2379="SBJ","CB","?"))</f>
        <v> </v>
      </c>
      <c r="I2379" s="26" t="str">
        <f>IF(OR(E2379="",E2379="!!!",F2379="NEW"),"",INDEX(B2378:B$2,-1+SUMPRODUCT(MAX(ROW(E2378:E$2)*(E2379=E2378:E$2)))))</f>
        <v> </v>
      </c>
      <c r="J2379" s="26" t="str">
        <f>IF(OR(E2379="",E2379="!!!",F2379="NEW"),"",COUNTBLANK(OFFSET(A$1,,,SUMPRODUCT(MAX(ROW(E$2:E2379)*(E2379=E$2:E2379)))))-COUNTBLANK(OFFSET(A$1,,,SUMPRODUCT(MAX(ROW(E$1:E2378)*(E2=E$1:E2378))))))</f>
        <v> </v>
      </c>
      <c r="K2379" s="26" t="str">
        <f>IF(OR(E2379="",E2379="!!!",F2379="NEW"),"",INDEX(J$1:J2378,SUMPRODUCT(MAX(ROW(E$1:E2378)*(E2379=E$1:E2378)))))</f>
        <v> </v>
      </c>
      <c r="L2379" s="27"/>
    </row>
    <row r="2380" spans="1:12">
      <c r="A2380" s="20" t="s">
        <v>759</v>
      </c>
      <c r="E2380" s="22">
        <f>IF(D2380="?OLD","!!!","")</f>
        <v/>
      </c>
      <c r="F2380" s="23" t="str">
        <f>IF(OR(E2380="",E2380="!!!"),"",IF(NOT(ISNA(VLOOKUP(E2380,E$1:E2379,1,FALSE()))),"OLD",IF(AND(E2380&lt;&gt;"",E2380&lt;&gt;"!!!"),"NEW","")))</f>
        <v> </v>
      </c>
      <c r="G2380" s="24" t="str">
        <f>IF(OR(E2380="",E2380="!!!"),"",IF(OR(J2380=0,AND(J2380=1,K2380=1),AND(J2380=1,I2380="SBJ"),AND(J2380=1,I2380=0)),"?IN_FOCUS",IF(J2380&lt;=2,"?ACTIVATED",IF(J2380&lt;&gt;"","?FAMILIAR",IF(F2380="NEW",IF(ISNA(VLOOKUP(E2380,#REF!,1,FALSE())),"?TYPE_IDENTIFIABLE","?REFERENTIAL"),"_")))))</f>
        <v> </v>
      </c>
      <c r="H2380" s="25" t="str">
        <f>IF(J2380&lt;&gt;1,"",IF(I2380="SBJ","CB","?"))</f>
        <v> </v>
      </c>
      <c r="I2380" s="26" t="str">
        <f>IF(OR(E2380="",E2380="!!!",F2380="NEW"),"",INDEX(B2379:B$2,-1+SUMPRODUCT(MAX(ROW(E2379:E$2)*(E2380=E2379:E$2)))))</f>
        <v> </v>
      </c>
      <c r="J2380" s="26" t="str">
        <f>IF(OR(E2380="",E2380="!!!",F2380="NEW"),"",COUNTBLANK(OFFSET(A$1,,,SUMPRODUCT(MAX(ROW(E$2:E2380)*(E2380=E$2:E2380)))))-COUNTBLANK(OFFSET(A$1,,,SUMPRODUCT(MAX(ROW(E$1:E2379)*(E2=E$1:E2379))))))</f>
        <v> </v>
      </c>
      <c r="K2380" s="26" t="str">
        <f>IF(OR(E2380="",E2380="!!!",F2380="NEW"),"",INDEX(J$1:J2379,SUMPRODUCT(MAX(ROW(E$1:E2379)*(E2380=E$1:E2379)))))</f>
        <v> </v>
      </c>
      <c r="L2380" s="27"/>
    </row>
    <row r="2381" spans="1:12">
      <c r="A2381" s="20" t="s">
        <v>754</v>
      </c>
      <c r="B2381" s="21" t="s">
        <v>755</v>
      </c>
      <c r="C2381" s="21" t="s">
        <v>756</v>
      </c>
      <c r="E2381" s="22">
        <f>IF(D2381="?OLD","!!!","")</f>
        <v/>
      </c>
      <c r="F2381" s="23" t="str">
        <f>IF(OR(E2381="",E2381="!!!"),"",IF(NOT(ISNA(VLOOKUP(E2381,E$1:E2380,1,FALSE()))),"OLD",IF(AND(E2381&lt;&gt;"",E2381&lt;&gt;"!!!"),"NEW","")))</f>
        <v> </v>
      </c>
      <c r="G2381" s="24" t="str">
        <f>IF(OR(E2381="",E2381="!!!"),"",IF(OR(J2381=0,AND(J2381=1,K2381=1),AND(J2381=1,I2381="SBJ"),AND(J2381=1,I2381=0)),"?IN_FOCUS",IF(J2381&lt;=2,"?ACTIVATED",IF(J2381&lt;&gt;"","?FAMILIAR",IF(F2381="NEW",IF(ISNA(VLOOKUP(E2381,#REF!,1,FALSE())),"?TYPE_IDENTIFIABLE","?REFERENTIAL"),"_")))))</f>
        <v> </v>
      </c>
      <c r="H2381" s="25" t="str">
        <f>IF(J2381&lt;&gt;1,"",IF(I2381="SBJ","CB","?"))</f>
        <v> </v>
      </c>
      <c r="I2381" s="26" t="str">
        <f>IF(OR(E2381="",E2381="!!!",F2381="NEW"),"",INDEX(B2380:B$2,-1+SUMPRODUCT(MAX(ROW(E2380:E$2)*(E2381=E2380:E$2)))))</f>
        <v> </v>
      </c>
      <c r="J2381" s="26" t="str">
        <f>IF(OR(E2381="",E2381="!!!",F2381="NEW"),"",COUNTBLANK(OFFSET(A$1,,,SUMPRODUCT(MAX(ROW(E$2:E2381)*(E2381=E$2:E2381)))))-COUNTBLANK(OFFSET(A$1,,,SUMPRODUCT(MAX(ROW(E$1:E2380)*(E2=E$1:E2380))))))</f>
        <v> </v>
      </c>
      <c r="K2381" s="26" t="str">
        <f>IF(OR(E2381="",E2381="!!!",F2381="NEW"),"",INDEX(J$1:J2380,SUMPRODUCT(MAX(ROW(E$1:E2380)*(E2381=E$1:E2380)))))</f>
        <v> </v>
      </c>
      <c r="L2381" s="27"/>
    </row>
    <row r="2382" spans="1:12">
      <c r="A2382" s="20" t="s">
        <v>751</v>
      </c>
      <c r="E2382" s="22">
        <f>IF(D2382="?OLD","!!!","")</f>
        <v/>
      </c>
      <c r="F2382" s="23" t="str">
        <f>IF(OR(E2382="",E2382="!!!"),"",IF(NOT(ISNA(VLOOKUP(E2382,E$1:E2381,1,FALSE()))),"OLD",IF(AND(E2382&lt;&gt;"",E2382&lt;&gt;"!!!"),"NEW","")))</f>
        <v> </v>
      </c>
      <c r="G2382" s="24" t="str">
        <f>IF(OR(E2382="",E2382="!!!"),"",IF(OR(J2382=0,AND(J2382=1,K2382=1),AND(J2382=1,I2382="SBJ"),AND(J2382=1,I2382=0)),"?IN_FOCUS",IF(J2382&lt;=2,"?ACTIVATED",IF(J2382&lt;&gt;"","?FAMILIAR",IF(F2382="NEW",IF(ISNA(VLOOKUP(E2382,#REF!,1,FALSE())),"?TYPE_IDENTIFIABLE","?REFERENTIAL"),"_")))))</f>
        <v> </v>
      </c>
      <c r="H2382" s="25" t="str">
        <f>IF(J2382&lt;&gt;1,"",IF(I2382="SBJ","CB","?"))</f>
        <v> </v>
      </c>
      <c r="I2382" s="26" t="str">
        <f>IF(OR(E2382="",E2382="!!!",F2382="NEW"),"",INDEX(B2381:B$2,-1+SUMPRODUCT(MAX(ROW(E2381:E$2)*(E2382=E2381:E$2)))))</f>
        <v> </v>
      </c>
      <c r="J2382" s="26" t="str">
        <f>IF(OR(E2382="",E2382="!!!",F2382="NEW"),"",COUNTBLANK(OFFSET(A$1,,,SUMPRODUCT(MAX(ROW(E$2:E2382)*(E2382=E$2:E2382)))))-COUNTBLANK(OFFSET(A$1,,,SUMPRODUCT(MAX(ROW(E$1:E2381)*(E2=E$1:E2381))))))</f>
        <v> </v>
      </c>
      <c r="K2382" s="26" t="str">
        <f>IF(OR(E2382="",E2382="!!!",F2382="NEW"),"",INDEX(J$1:J2381,SUMPRODUCT(MAX(ROW(E$1:E2381)*(E2382=E$1:E2381)))))</f>
        <v> </v>
      </c>
      <c r="L2382" s="27"/>
    </row>
    <row r="2383" spans="1:12">
      <c r="A2383" s="20" t="s">
        <v>1645</v>
      </c>
      <c r="B2383" s="21" t="s">
        <v>739</v>
      </c>
      <c r="C2383" s="21" t="s">
        <v>753</v>
      </c>
      <c r="D2383" s="21" t="s">
        <v>730</v>
      </c>
      <c r="E2383" s="22">
        <f>IF(D2383="?OLD","!!!","")</f>
        <v/>
      </c>
      <c r="F2383" s="23" t="str">
        <f>IF(OR(E2383="",E2383="!!!"),"",IF(NOT(ISNA(VLOOKUP(E2383,E$1:E2382,1,FALSE()))),"OLD",IF(AND(E2383&lt;&gt;"",E2383&lt;&gt;"!!!"),"NEW","")))</f>
        <v> </v>
      </c>
      <c r="G2383" s="24" t="str">
        <f>IF(OR(E2383="",E2383="!!!"),"",IF(OR(J2383=0,AND(J2383=1,K2383=1),AND(J2383=1,I2383="SBJ"),AND(J2383=1,I2383=0)),"?IN_FOCUS",IF(J2383&lt;=2,"?ACTIVATED",IF(J2383&lt;&gt;"","?FAMILIAR",IF(F2383="NEW",IF(ISNA(VLOOKUP(E2383,#REF!,1,FALSE())),"?TYPE_IDENTIFIABLE","?REFERENTIAL"),"_")))))</f>
        <v> </v>
      </c>
      <c r="H2383" s="25" t="str">
        <f>IF(J2383&lt;&gt;1,"",IF(I2383="SBJ","CB","?"))</f>
        <v> </v>
      </c>
      <c r="I2383" s="26" t="str">
        <f>IF(OR(E2383="",E2383="!!!",F2383="NEW"),"",INDEX(B2382:B$2,-1+SUMPRODUCT(MAX(ROW(E2382:E$2)*(E2383=E2382:E$2)))))</f>
        <v> </v>
      </c>
      <c r="J2383" s="26" t="str">
        <f>IF(OR(E2383="",E2383="!!!",F2383="NEW"),"",COUNTBLANK(OFFSET(A$1,,,SUMPRODUCT(MAX(ROW(E$2:E2383)*(E2383=E$2:E2383)))))-COUNTBLANK(OFFSET(A$1,,,SUMPRODUCT(MAX(ROW(E$1:E2382)*(E2=E$1:E2382))))))</f>
        <v> </v>
      </c>
      <c r="K2383" s="26" t="str">
        <f>IF(OR(E2383="",E2383="!!!",F2383="NEW"),"",INDEX(J$1:J2382,SUMPRODUCT(MAX(ROW(E$1:E2382)*(E2383=E$1:E2382)))))</f>
        <v> </v>
      </c>
      <c r="L2383" s="27"/>
    </row>
    <row r="2384" spans="1:12">
      <c r="A2384" s="20" t="s">
        <v>903</v>
      </c>
      <c r="B2384" s="21" t="s">
        <v>739</v>
      </c>
      <c r="C2384" s="21" t="s">
        <v>801</v>
      </c>
      <c r="D2384" s="21" t="s">
        <v>730</v>
      </c>
      <c r="E2384" s="22">
        <f>IF(D2384="?OLD","!!!","")</f>
        <v/>
      </c>
      <c r="F2384" s="23" t="str">
        <f>IF(OR(E2384="",E2384="!!!"),"",IF(NOT(ISNA(VLOOKUP(E2384,E$1:E2383,1,FALSE()))),"OLD",IF(AND(E2384&lt;&gt;"",E2384&lt;&gt;"!!!"),"NEW","")))</f>
        <v> </v>
      </c>
      <c r="G2384" s="24" t="str">
        <f>IF(OR(E2384="",E2384="!!!"),"",IF(OR(J2384=0,AND(J2384=1,K2384=1),AND(J2384=1,I2384="SBJ"),AND(J2384=1,I2384=0)),"?IN_FOCUS",IF(J2384&lt;=2,"?ACTIVATED",IF(J2384&lt;&gt;"","?FAMILIAR",IF(F2384="NEW",IF(ISNA(VLOOKUP(E2384,#REF!,1,FALSE())),"?TYPE_IDENTIFIABLE","?REFERENTIAL"),"_")))))</f>
        <v> </v>
      </c>
      <c r="H2384" s="25" t="str">
        <f>IF(J2384&lt;&gt;1,"",IF(I2384="SBJ","CB","?"))</f>
        <v> </v>
      </c>
      <c r="I2384" s="26" t="str">
        <f>IF(OR(E2384="",E2384="!!!",F2384="NEW"),"",INDEX(B2383:B$2,-1+SUMPRODUCT(MAX(ROW(E2383:E$2)*(E2384=E2383:E$2)))))</f>
        <v> </v>
      </c>
      <c r="J2384" s="26" t="str">
        <f>IF(OR(E2384="",E2384="!!!",F2384="NEW"),"",COUNTBLANK(OFFSET(A$1,,,SUMPRODUCT(MAX(ROW(E$2:E2384)*(E2384=E$2:E2384)))))-COUNTBLANK(OFFSET(A$1,,,SUMPRODUCT(MAX(ROW(E$1:E2383)*(E2=E$1:E2383))))))</f>
        <v> </v>
      </c>
      <c r="K2384" s="26" t="str">
        <f>IF(OR(E2384="",E2384="!!!",F2384="NEW"),"",INDEX(J$1:J2383,SUMPRODUCT(MAX(ROW(E$1:E2383)*(E2384=E$1:E2383)))))</f>
        <v> </v>
      </c>
      <c r="L2384" s="27"/>
    </row>
    <row r="2385" spans="1:12">
      <c r="A2385" s="20" t="s">
        <v>1646</v>
      </c>
      <c r="B2385" s="21" t="s">
        <v>728</v>
      </c>
      <c r="C2385" s="21" t="s">
        <v>802</v>
      </c>
      <c r="D2385" s="21" t="s">
        <v>730</v>
      </c>
      <c r="E2385" s="22">
        <f>IF(D2385="?OLD","!!!","")</f>
        <v/>
      </c>
      <c r="F2385" s="23" t="str">
        <f>IF(OR(E2385="",E2385="!!!"),"",IF(NOT(ISNA(VLOOKUP(E2385,E$1:E2384,1,FALSE()))),"OLD",IF(AND(E2385&lt;&gt;"",E2385&lt;&gt;"!!!"),"NEW","")))</f>
        <v> </v>
      </c>
      <c r="G2385" s="24" t="str">
        <f>IF(OR(E2385="",E2385="!!!"),"",IF(OR(J2385=0,AND(J2385=1,K2385=1),AND(J2385=1,I2385="SBJ"),AND(J2385=1,I2385=0)),"?IN_FOCUS",IF(J2385&lt;=2,"?ACTIVATED",IF(J2385&lt;&gt;"","?FAMILIAR",IF(F2385="NEW",IF(ISNA(VLOOKUP(E2385,#REF!,1,FALSE())),"?TYPE_IDENTIFIABLE","?REFERENTIAL"),"_")))))</f>
        <v> </v>
      </c>
      <c r="H2385" s="25" t="str">
        <f>IF(J2385&lt;&gt;1,"",IF(I2385="SBJ","CB","?"))</f>
        <v> </v>
      </c>
      <c r="I2385" s="26" t="str">
        <f>IF(OR(E2385="",E2385="!!!",F2385="NEW"),"",INDEX(B2384:B$2,-1+SUMPRODUCT(MAX(ROW(E2384:E$2)*(E2385=E2384:E$2)))))</f>
        <v> </v>
      </c>
      <c r="J2385" s="26" t="str">
        <f>IF(OR(E2385="",E2385="!!!",F2385="NEW"),"",COUNTBLANK(OFFSET(A$1,,,SUMPRODUCT(MAX(ROW(E$2:E2385)*(E2385=E$2:E2385)))))-COUNTBLANK(OFFSET(A$1,,,SUMPRODUCT(MAX(ROW(E$1:E2384)*(E2=E$1:E2384))))))</f>
        <v> </v>
      </c>
      <c r="K2385" s="26" t="str">
        <f>IF(OR(E2385="",E2385="!!!",F2385="NEW"),"",INDEX(J$1:J2384,SUMPRODUCT(MAX(ROW(E$1:E2384)*(E2385=E$1:E2384)))))</f>
        <v> </v>
      </c>
      <c r="L2385" s="27"/>
    </row>
    <row r="2386" spans="1:12">
      <c r="A2386" s="20" t="s">
        <v>759</v>
      </c>
      <c r="E2386" s="22">
        <f>IF(D2386="?OLD","!!!","")</f>
        <v/>
      </c>
      <c r="F2386" s="23" t="str">
        <f>IF(OR(E2386="",E2386="!!!"),"",IF(NOT(ISNA(VLOOKUP(E2386,E$1:E2385,1,FALSE()))),"OLD",IF(AND(E2386&lt;&gt;"",E2386&lt;&gt;"!!!"),"NEW","")))</f>
        <v> </v>
      </c>
      <c r="G2386" s="24" t="str">
        <f>IF(OR(E2386="",E2386="!!!"),"",IF(OR(J2386=0,AND(J2386=1,K2386=1),AND(J2386=1,I2386="SBJ"),AND(J2386=1,I2386=0)),"?IN_FOCUS",IF(J2386&lt;=2,"?ACTIVATED",IF(J2386&lt;&gt;"","?FAMILIAR",IF(F2386="NEW",IF(ISNA(VLOOKUP(E2386,#REF!,1,FALSE())),"?TYPE_IDENTIFIABLE","?REFERENTIAL"),"_")))))</f>
        <v> </v>
      </c>
      <c r="H2386" s="25" t="str">
        <f>IF(J2386&lt;&gt;1,"",IF(I2386="SBJ","CB","?"))</f>
        <v> </v>
      </c>
      <c r="I2386" s="26" t="str">
        <f>IF(OR(E2386="",E2386="!!!",F2386="NEW"),"",INDEX(B2385:B$2,-1+SUMPRODUCT(MAX(ROW(E2385:E$2)*(E2386=E2385:E$2)))))</f>
        <v> </v>
      </c>
      <c r="J2386" s="26" t="str">
        <f>IF(OR(E2386="",E2386="!!!",F2386="NEW"),"",COUNTBLANK(OFFSET(A$1,,,SUMPRODUCT(MAX(ROW(E$2:E2386)*(E2386=E$2:E2386)))))-COUNTBLANK(OFFSET(A$1,,,SUMPRODUCT(MAX(ROW(E$1:E2385)*(E2=E$1:E2385))))))</f>
        <v> </v>
      </c>
      <c r="K2386" s="26" t="str">
        <f>IF(OR(E2386="",E2386="!!!",F2386="NEW"),"",INDEX(J$1:J2385,SUMPRODUCT(MAX(ROW(E$1:E2385)*(E2386=E$1:E2385)))))</f>
        <v> </v>
      </c>
      <c r="L2386" s="27"/>
    </row>
    <row r="2387" spans="1:12">
      <c r="A2387" s="20" t="s">
        <v>1043</v>
      </c>
      <c r="E2387" s="22">
        <f>IF(D2387="?OLD","!!!","")</f>
        <v/>
      </c>
      <c r="F2387" s="23" t="str">
        <f>IF(OR(E2387="",E2387="!!!"),"",IF(NOT(ISNA(VLOOKUP(E2387,E$1:E2386,1,FALSE()))),"OLD",IF(AND(E2387&lt;&gt;"",E2387&lt;&gt;"!!!"),"NEW","")))</f>
        <v> </v>
      </c>
      <c r="G2387" s="24" t="str">
        <f>IF(OR(E2387="",E2387="!!!"),"",IF(OR(J2387=0,AND(J2387=1,K2387=1),AND(J2387=1,I2387="SBJ"),AND(J2387=1,I2387=0)),"?IN_FOCUS",IF(J2387&lt;=2,"?ACTIVATED",IF(J2387&lt;&gt;"","?FAMILIAR",IF(F2387="NEW",IF(ISNA(VLOOKUP(E2387,#REF!,1,FALSE())),"?TYPE_IDENTIFIABLE","?REFERENTIAL"),"_")))))</f>
        <v> </v>
      </c>
      <c r="H2387" s="25" t="str">
        <f>IF(J2387&lt;&gt;1,"",IF(I2387="SBJ","CB","?"))</f>
        <v> </v>
      </c>
      <c r="I2387" s="26" t="str">
        <f>IF(OR(E2387="",E2387="!!!",F2387="NEW"),"",INDEX(B2386:B$2,-1+SUMPRODUCT(MAX(ROW(E2386:E$2)*(E2387=E2386:E$2)))))</f>
        <v> </v>
      </c>
      <c r="J2387" s="26" t="str">
        <f>IF(OR(E2387="",E2387="!!!",F2387="NEW"),"",COUNTBLANK(OFFSET(A$1,,,SUMPRODUCT(MAX(ROW(E$2:E2387)*(E2387=E$2:E2387)))))-COUNTBLANK(OFFSET(A$1,,,SUMPRODUCT(MAX(ROW(E$1:E2386)*(E2=E$1:E2386))))))</f>
        <v> </v>
      </c>
      <c r="K2387" s="26" t="str">
        <f>IF(OR(E2387="",E2387="!!!",F2387="NEW"),"",INDEX(J$1:J2386,SUMPRODUCT(MAX(ROW(E$1:E2386)*(E2387=E$1:E2386)))))</f>
        <v> </v>
      </c>
      <c r="L2387" s="27"/>
    </row>
    <row r="2388" spans="1:12">
      <c r="A2388" s="20" t="s">
        <v>859</v>
      </c>
      <c r="B2388" s="21" t="s">
        <v>788</v>
      </c>
      <c r="C2388" s="21" t="s">
        <v>789</v>
      </c>
      <c r="D2388" s="21" t="s">
        <v>730</v>
      </c>
      <c r="E2388" s="22">
        <f>IF(D2388="?OLD","!!!","")</f>
        <v/>
      </c>
      <c r="F2388" s="23" t="str">
        <f>IF(OR(E2388="",E2388="!!!"),"",IF(NOT(ISNA(VLOOKUP(E2388,E$1:E2387,1,FALSE()))),"OLD",IF(AND(E2388&lt;&gt;"",E2388&lt;&gt;"!!!"),"NEW","")))</f>
        <v> </v>
      </c>
      <c r="G2388" s="24" t="str">
        <f>IF(OR(E2388="",E2388="!!!"),"",IF(OR(J2388=0,AND(J2388=1,K2388=1),AND(J2388=1,I2388="SBJ"),AND(J2388=1,I2388=0)),"?IN_FOCUS",IF(J2388&lt;=2,"?ACTIVATED",IF(J2388&lt;&gt;"","?FAMILIAR",IF(F2388="NEW",IF(ISNA(VLOOKUP(E2388,#REF!,1,FALSE())),"?TYPE_IDENTIFIABLE","?REFERENTIAL"),"_")))))</f>
        <v> </v>
      </c>
      <c r="H2388" s="25" t="str">
        <f>IF(J2388&lt;&gt;1,"",IF(I2388="SBJ","CB","?"))</f>
        <v> </v>
      </c>
      <c r="I2388" s="26" t="str">
        <f>IF(OR(E2388="",E2388="!!!",F2388="NEW"),"",INDEX(B2387:B$2,-1+SUMPRODUCT(MAX(ROW(E2387:E$2)*(E2388=E2387:E$2)))))</f>
        <v> </v>
      </c>
      <c r="J2388" s="26" t="str">
        <f>IF(OR(E2388="",E2388="!!!",F2388="NEW"),"",COUNTBLANK(OFFSET(A$1,,,SUMPRODUCT(MAX(ROW(E$2:E2388)*(E2388=E$2:E2388)))))-COUNTBLANK(OFFSET(A$1,,,SUMPRODUCT(MAX(ROW(E$1:E2387)*(E2=E$1:E2387))))))</f>
        <v> </v>
      </c>
      <c r="K2388" s="26" t="str">
        <f>IF(OR(E2388="",E2388="!!!",F2388="NEW"),"",INDEX(J$1:J2387,SUMPRODUCT(MAX(ROW(E$1:E2387)*(E2388=E$1:E2387)))))</f>
        <v> </v>
      </c>
      <c r="L2388" s="27"/>
    </row>
    <row r="2389" spans="1:12">
      <c r="A2389" s="20" t="s">
        <v>903</v>
      </c>
      <c r="B2389" s="21" t="s">
        <v>783</v>
      </c>
      <c r="C2389" s="21" t="s">
        <v>801</v>
      </c>
      <c r="D2389" s="21" t="s">
        <v>730</v>
      </c>
      <c r="E2389" s="22">
        <f>IF(D2389="?OLD","!!!","")</f>
        <v/>
      </c>
      <c r="F2389" s="23" t="str">
        <f>IF(OR(E2389="",E2389="!!!"),"",IF(NOT(ISNA(VLOOKUP(E2389,E$1:E2388,1,FALSE()))),"OLD",IF(AND(E2389&lt;&gt;"",E2389&lt;&gt;"!!!"),"NEW","")))</f>
        <v> </v>
      </c>
      <c r="G2389" s="24" t="str">
        <f>IF(OR(E2389="",E2389="!!!"),"",IF(OR(J2389=0,AND(J2389=1,K2389=1),AND(J2389=1,I2389="SBJ"),AND(J2389=1,I2389=0)),"?IN_FOCUS",IF(J2389&lt;=2,"?ACTIVATED",IF(J2389&lt;&gt;"","?FAMILIAR",IF(F2389="NEW",IF(ISNA(VLOOKUP(E2389,#REF!,1,FALSE())),"?TYPE_IDENTIFIABLE","?REFERENTIAL"),"_")))))</f>
        <v> </v>
      </c>
      <c r="H2389" s="25" t="str">
        <f>IF(J2389&lt;&gt;1,"",IF(I2389="SBJ","CB","?"))</f>
        <v> </v>
      </c>
      <c r="I2389" s="26" t="str">
        <f>IF(OR(E2389="",E2389="!!!",F2389="NEW"),"",INDEX(B2388:B$2,-1+SUMPRODUCT(MAX(ROW(E2388:E$2)*(E2389=E2388:E$2)))))</f>
        <v> </v>
      </c>
      <c r="J2389" s="26" t="str">
        <f>IF(OR(E2389="",E2389="!!!",F2389="NEW"),"",COUNTBLANK(OFFSET(A$1,,,SUMPRODUCT(MAX(ROW(E$2:E2389)*(E2389=E$2:E2389)))))-COUNTBLANK(OFFSET(A$1,,,SUMPRODUCT(MAX(ROW(E$1:E2388)*(E2=E$1:E2388))))))</f>
        <v> </v>
      </c>
      <c r="K2389" s="26" t="str">
        <f>IF(OR(E2389="",E2389="!!!",F2389="NEW"),"",INDEX(J$1:J2388,SUMPRODUCT(MAX(ROW(E$1:E2388)*(E2389=E$1:E2388)))))</f>
        <v> </v>
      </c>
      <c r="L2389" s="27"/>
    </row>
    <row r="2390" spans="1:12">
      <c r="A2390" s="20" t="s">
        <v>1647</v>
      </c>
      <c r="E2390" s="22">
        <f>IF(D2390="?OLD","!!!","")</f>
        <v/>
      </c>
      <c r="F2390" s="23" t="str">
        <f>IF(OR(E2390="",E2390="!!!"),"",IF(NOT(ISNA(VLOOKUP(E2390,E$1:E2389,1,FALSE()))),"OLD",IF(AND(E2390&lt;&gt;"",E2390&lt;&gt;"!!!"),"NEW","")))</f>
        <v> </v>
      </c>
      <c r="G2390" s="24" t="str">
        <f>IF(OR(E2390="",E2390="!!!"),"",IF(OR(J2390=0,AND(J2390=1,K2390=1),AND(J2390=1,I2390="SBJ"),AND(J2390=1,I2390=0)),"?IN_FOCUS",IF(J2390&lt;=2,"?ACTIVATED",IF(J2390&lt;&gt;"","?FAMILIAR",IF(F2390="NEW",IF(ISNA(VLOOKUP(E2390,#REF!,1,FALSE())),"?TYPE_IDENTIFIABLE","?REFERENTIAL"),"_")))))</f>
        <v> </v>
      </c>
      <c r="H2390" s="25" t="str">
        <f>IF(J2390&lt;&gt;1,"",IF(I2390="SBJ","CB","?"))</f>
        <v> </v>
      </c>
      <c r="I2390" s="26" t="str">
        <f>IF(OR(E2390="",E2390="!!!",F2390="NEW"),"",INDEX(B2389:B$2,-1+SUMPRODUCT(MAX(ROW(E2389:E$2)*(E2390=E2389:E$2)))))</f>
        <v> </v>
      </c>
      <c r="J2390" s="26" t="str">
        <f>IF(OR(E2390="",E2390="!!!",F2390="NEW"),"",COUNTBLANK(OFFSET(A$1,,,SUMPRODUCT(MAX(ROW(E$2:E2390)*(E2390=E$2:E2390)))))-COUNTBLANK(OFFSET(A$1,,,SUMPRODUCT(MAX(ROW(E$1:E2389)*(E2=E$1:E2389))))))</f>
        <v> </v>
      </c>
      <c r="K2390" s="26" t="str">
        <f>IF(OR(E2390="",E2390="!!!",F2390="NEW"),"",INDEX(J$1:J2389,SUMPRODUCT(MAX(ROW(E$1:E2389)*(E2390=E$1:E2389)))))</f>
        <v> </v>
      </c>
      <c r="L2390" s="27"/>
    </row>
    <row r="2391" spans="1:12">
      <c r="A2391" s="20" t="s">
        <v>1648</v>
      </c>
      <c r="E2391" s="22">
        <f>IF(D2391="?OLD","!!!","")</f>
        <v/>
      </c>
      <c r="F2391" s="23" t="str">
        <f>IF(OR(E2391="",E2391="!!!"),"",IF(NOT(ISNA(VLOOKUP(E2391,E$1:E2390,1,FALSE()))),"OLD",IF(AND(E2391&lt;&gt;"",E2391&lt;&gt;"!!!"),"NEW","")))</f>
        <v> </v>
      </c>
      <c r="G2391" s="24" t="str">
        <f>IF(OR(E2391="",E2391="!!!"),"",IF(OR(J2391=0,AND(J2391=1,K2391=1),AND(J2391=1,I2391="SBJ"),AND(J2391=1,I2391=0)),"?IN_FOCUS",IF(J2391&lt;=2,"?ACTIVATED",IF(J2391&lt;&gt;"","?FAMILIAR",IF(F2391="NEW",IF(ISNA(VLOOKUP(E2391,#REF!,1,FALSE())),"?TYPE_IDENTIFIABLE","?REFERENTIAL"),"_")))))</f>
        <v> </v>
      </c>
      <c r="H2391" s="25" t="str">
        <f>IF(J2391&lt;&gt;1,"",IF(I2391="SBJ","CB","?"))</f>
        <v> </v>
      </c>
      <c r="I2391" s="26" t="str">
        <f>IF(OR(E2391="",E2391="!!!",F2391="NEW"),"",INDEX(B2390:B$2,-1+SUMPRODUCT(MAX(ROW(E2390:E$2)*(E2391=E2390:E$2)))))</f>
        <v> </v>
      </c>
      <c r="J2391" s="26" t="str">
        <f>IF(OR(E2391="",E2391="!!!",F2391="NEW"),"",COUNTBLANK(OFFSET(A$1,,,SUMPRODUCT(MAX(ROW(E$2:E2391)*(E2391=E$2:E2391)))))-COUNTBLANK(OFFSET(A$1,,,SUMPRODUCT(MAX(ROW(E$1:E2390)*(E2=E$1:E2390))))))</f>
        <v> </v>
      </c>
      <c r="K2391" s="26" t="str">
        <f>IF(OR(E2391="",E2391="!!!",F2391="NEW"),"",INDEX(J$1:J2390,SUMPRODUCT(MAX(ROW(E$1:E2390)*(E2391=E$1:E2390)))))</f>
        <v> </v>
      </c>
      <c r="L2391" s="27"/>
    </row>
    <row r="2392" spans="1:12">
      <c r="A2392" s="20" t="s">
        <v>873</v>
      </c>
      <c r="B2392" s="21" t="s">
        <v>843</v>
      </c>
      <c r="C2392" s="21" t="s">
        <v>802</v>
      </c>
      <c r="D2392" s="21" t="s">
        <v>730</v>
      </c>
      <c r="E2392" s="22">
        <f>IF(D2392="?OLD","!!!","")</f>
        <v/>
      </c>
      <c r="F2392" s="23" t="str">
        <f>IF(OR(E2392="",E2392="!!!"),"",IF(NOT(ISNA(VLOOKUP(E2392,E$1:E2391,1,FALSE()))),"OLD",IF(AND(E2392&lt;&gt;"",E2392&lt;&gt;"!!!"),"NEW","")))</f>
        <v> </v>
      </c>
      <c r="G2392" s="24" t="str">
        <f>IF(OR(E2392="",E2392="!!!"),"",IF(OR(J2392=0,AND(J2392=1,K2392=1),AND(J2392=1,I2392="SBJ"),AND(J2392=1,I2392=0)),"?IN_FOCUS",IF(J2392&lt;=2,"?ACTIVATED",IF(J2392&lt;&gt;"","?FAMILIAR",IF(F2392="NEW",IF(ISNA(VLOOKUP(E2392,#REF!,1,FALSE())),"?TYPE_IDENTIFIABLE","?REFERENTIAL"),"_")))))</f>
        <v> </v>
      </c>
      <c r="H2392" s="25" t="str">
        <f>IF(J2392&lt;&gt;1,"",IF(I2392="SBJ","CB","?"))</f>
        <v> </v>
      </c>
      <c r="I2392" s="26" t="str">
        <f>IF(OR(E2392="",E2392="!!!",F2392="NEW"),"",INDEX(B2391:B$2,-1+SUMPRODUCT(MAX(ROW(E2391:E$2)*(E2392=E2391:E$2)))))</f>
        <v> </v>
      </c>
      <c r="J2392" s="26" t="str">
        <f>IF(OR(E2392="",E2392="!!!",F2392="NEW"),"",COUNTBLANK(OFFSET(A$1,,,SUMPRODUCT(MAX(ROW(E$2:E2392)*(E2392=E$2:E2392)))))-COUNTBLANK(OFFSET(A$1,,,SUMPRODUCT(MAX(ROW(E$1:E2391)*(E2=E$1:E2391))))))</f>
        <v> </v>
      </c>
      <c r="K2392" s="26" t="str">
        <f>IF(OR(E2392="",E2392="!!!",F2392="NEW"),"",INDEX(J$1:J2391,SUMPRODUCT(MAX(ROW(E$1:E2391)*(E2392=E$1:E2391)))))</f>
        <v> </v>
      </c>
      <c r="L2392" s="27"/>
    </row>
    <row r="2393" spans="1:12">
      <c r="A2393" s="20" t="s">
        <v>1216</v>
      </c>
      <c r="E2393" s="22">
        <f>IF(D2393="?OLD","!!!","")</f>
        <v/>
      </c>
      <c r="F2393" s="23" t="str">
        <f>IF(OR(E2393="",E2393="!!!"),"",IF(NOT(ISNA(VLOOKUP(E2393,E$1:E2392,1,FALSE()))),"OLD",IF(AND(E2393&lt;&gt;"",E2393&lt;&gt;"!!!"),"NEW","")))</f>
        <v> </v>
      </c>
      <c r="G2393" s="24" t="str">
        <f>IF(OR(E2393="",E2393="!!!"),"",IF(OR(J2393=0,AND(J2393=1,K2393=1),AND(J2393=1,I2393="SBJ"),AND(J2393=1,I2393=0)),"?IN_FOCUS",IF(J2393&lt;=2,"?ACTIVATED",IF(J2393&lt;&gt;"","?FAMILIAR",IF(F2393="NEW",IF(ISNA(VLOOKUP(E2393,#REF!,1,FALSE())),"?TYPE_IDENTIFIABLE","?REFERENTIAL"),"_")))))</f>
        <v> </v>
      </c>
      <c r="H2393" s="25" t="str">
        <f>IF(J2393&lt;&gt;1,"",IF(I2393="SBJ","CB","?"))</f>
        <v> </v>
      </c>
      <c r="I2393" s="26" t="str">
        <f>IF(OR(E2393="",E2393="!!!",F2393="NEW"),"",INDEX(B2392:B$2,-1+SUMPRODUCT(MAX(ROW(E2392:E$2)*(E2393=E2392:E$2)))))</f>
        <v> </v>
      </c>
      <c r="J2393" s="26" t="str">
        <f>IF(OR(E2393="",E2393="!!!",F2393="NEW"),"",COUNTBLANK(OFFSET(A$1,,,SUMPRODUCT(MAX(ROW(E$2:E2393)*(E2393=E$2:E2393)))))-COUNTBLANK(OFFSET(A$1,,,SUMPRODUCT(MAX(ROW(E$1:E2392)*(E2=E$1:E2392))))))</f>
        <v> </v>
      </c>
      <c r="K2393" s="26" t="str">
        <f>IF(OR(E2393="",E2393="!!!",F2393="NEW"),"",INDEX(J$1:J2392,SUMPRODUCT(MAX(ROW(E$1:E2392)*(E2393=E$1:E2392)))))</f>
        <v> </v>
      </c>
      <c r="L2393" s="27"/>
    </row>
    <row r="2394" spans="1:12">
      <c r="A2394" s="20" t="s">
        <v>246</v>
      </c>
      <c r="E2394" s="22">
        <f>IF(D2394="?OLD","!!!","")</f>
        <v/>
      </c>
      <c r="F2394" s="23" t="str">
        <f>IF(OR(E2394="",E2394="!!!"),"",IF(NOT(ISNA(VLOOKUP(E2394,E$1:E2393,1,FALSE()))),"OLD",IF(AND(E2394&lt;&gt;"",E2394&lt;&gt;"!!!"),"NEW","")))</f>
        <v> </v>
      </c>
      <c r="G2394" s="24" t="str">
        <f>IF(OR(E2394="",E2394="!!!"),"",IF(OR(J2394=0,AND(J2394=1,K2394=1),AND(J2394=1,I2394="SBJ"),AND(J2394=1,I2394=0)),"?IN_FOCUS",IF(J2394&lt;=2,"?ACTIVATED",IF(J2394&lt;&gt;"","?FAMILIAR",IF(F2394="NEW",IF(ISNA(VLOOKUP(E2394,#REF!,1,FALSE())),"?TYPE_IDENTIFIABLE","?REFERENTIAL"),"_")))))</f>
        <v> </v>
      </c>
      <c r="H2394" s="25" t="str">
        <f>IF(J2394&lt;&gt;1,"",IF(I2394="SBJ","CB","?"))</f>
        <v> </v>
      </c>
      <c r="I2394" s="26" t="str">
        <f>IF(OR(E2394="",E2394="!!!",F2394="NEW"),"",INDEX(B2393:B$2,-1+SUMPRODUCT(MAX(ROW(E2393:E$2)*(E2394=E2393:E$2)))))</f>
        <v> </v>
      </c>
      <c r="J2394" s="26" t="str">
        <f>IF(OR(E2394="",E2394="!!!",F2394="NEW"),"",COUNTBLANK(OFFSET(A$1,,,SUMPRODUCT(MAX(ROW(E$2:E2394)*(E2394=E$2:E2394)))))-COUNTBLANK(OFFSET(A$1,,,SUMPRODUCT(MAX(ROW(E$1:E2393)*(E2=E$1:E2393))))))</f>
        <v> </v>
      </c>
      <c r="K2394" s="26" t="str">
        <f>IF(OR(E2394="",E2394="!!!",F2394="NEW"),"",INDEX(J$1:J2393,SUMPRODUCT(MAX(ROW(E$1:E2393)*(E2394=E$1:E2393)))))</f>
        <v> </v>
      </c>
      <c r="L2394" s="27"/>
    </row>
    <row r="2395" spans="1:12">
      <c r="A2395" s="20"/>
    </row>
    <row r="2396" spans="1:12">
      <c r="A2396" s="20" t="s">
        <v>1649</v>
      </c>
    </row>
    <row r="2397" spans="1:12">
      <c r="A2397" s="20" t="s">
        <v>883</v>
      </c>
      <c r="B2397" s="21" t="s">
        <v>728</v>
      </c>
      <c r="C2397" s="21" t="s">
        <v>801</v>
      </c>
      <c r="D2397" s="21" t="s">
        <v>730</v>
      </c>
      <c r="E2397" s="22">
        <f>IF(D2397="?OLD","!!!","")</f>
        <v/>
      </c>
      <c r="F2397" s="23" t="str">
        <f>IF(OR(E2397="",E2397="!!!"),"",IF(NOT(ISNA(VLOOKUP(E2397,E$1:E2396,1,FALSE()))),"OLD",IF(AND(E2397&lt;&gt;"",E2397&lt;&gt;"!!!"),"NEW","")))</f>
        <v> </v>
      </c>
      <c r="G2397" s="24" t="str">
        <f>IF(OR(E2397="",E2397="!!!"),"",IF(OR(J2397=0,AND(J2397=1,K2397=1),AND(J2397=1,I2397="SBJ"),AND(J2397=1,I2397=0)),"?IN_FOCUS",IF(J2397&lt;=2,"?ACTIVATED",IF(J2397&lt;&gt;"","?FAMILIAR",IF(F2397="NEW",IF(ISNA(VLOOKUP(E2397,#REF!,1,FALSE())),"?TYPE_IDENTIFIABLE","?REFERENTIAL"),"_")))))</f>
        <v> </v>
      </c>
      <c r="H2397" s="25" t="str">
        <f>IF(J2397&lt;&gt;1,"",IF(I2397="SBJ","CB","?"))</f>
        <v> </v>
      </c>
      <c r="I2397" s="26" t="str">
        <f>IF(OR(E2397="",E2397="!!!",F2397="NEW"),"",INDEX(B2396:B$2,-1+SUMPRODUCT(MAX(ROW(E2396:E$2)*(E2397=E2396:E$2)))))</f>
        <v> </v>
      </c>
      <c r="J2397" s="26" t="str">
        <f>IF(OR(E2397="",E2397="!!!",F2397="NEW"),"",COUNTBLANK(OFFSET(A$1,,,SUMPRODUCT(MAX(ROW(E$2:E2397)*(E2397=E$2:E2397)))))-COUNTBLANK(OFFSET(A$1,,,SUMPRODUCT(MAX(ROW(E$1:E2396)*(E2=E$1:E2396))))))</f>
        <v> </v>
      </c>
      <c r="K2397" s="26" t="str">
        <f>IF(OR(E2397="",E2397="!!!",F2397="NEW"),"",INDEX(J$1:J2396,SUMPRODUCT(MAX(ROW(E$1:E2396)*(E2397=E$1:E2396)))))</f>
        <v> </v>
      </c>
      <c r="L2397" s="27"/>
    </row>
    <row r="2398" spans="1:12">
      <c r="A2398" s="20" t="s">
        <v>1070</v>
      </c>
      <c r="E2398" s="22">
        <f>IF(D2398="?OLD","!!!","")</f>
        <v/>
      </c>
      <c r="F2398" s="23" t="str">
        <f>IF(OR(E2398="",E2398="!!!"),"",IF(NOT(ISNA(VLOOKUP(E2398,E$1:E2397,1,FALSE()))),"OLD",IF(AND(E2398&lt;&gt;"",E2398&lt;&gt;"!!!"),"NEW","")))</f>
        <v> </v>
      </c>
      <c r="G2398" s="24" t="str">
        <f>IF(OR(E2398="",E2398="!!!"),"",IF(OR(J2398=0,AND(J2398=1,K2398=1),AND(J2398=1,I2398="SBJ"),AND(J2398=1,I2398=0)),"?IN_FOCUS",IF(J2398&lt;=2,"?ACTIVATED",IF(J2398&lt;&gt;"","?FAMILIAR",IF(F2398="NEW",IF(ISNA(VLOOKUP(E2398,#REF!,1,FALSE())),"?TYPE_IDENTIFIABLE","?REFERENTIAL"),"_")))))</f>
        <v> </v>
      </c>
      <c r="H2398" s="25" t="str">
        <f>IF(J2398&lt;&gt;1,"",IF(I2398="SBJ","CB","?"))</f>
        <v> </v>
      </c>
      <c r="I2398" s="26" t="str">
        <f>IF(OR(E2398="",E2398="!!!",F2398="NEW"),"",INDEX(B2397:B$2,-1+SUMPRODUCT(MAX(ROW(E2397:E$2)*(E2398=E2397:E$2)))))</f>
        <v> </v>
      </c>
      <c r="J2398" s="26" t="str">
        <f>IF(OR(E2398="",E2398="!!!",F2398="NEW"),"",COUNTBLANK(OFFSET(A$1,,,SUMPRODUCT(MAX(ROW(E$2:E2398)*(E2398=E$2:E2398)))))-COUNTBLANK(OFFSET(A$1,,,SUMPRODUCT(MAX(ROW(E$1:E2397)*(E2=E$1:E2397))))))</f>
        <v> </v>
      </c>
      <c r="K2398" s="26" t="str">
        <f>IF(OR(E2398="",E2398="!!!",F2398="NEW"),"",INDEX(J$1:J2397,SUMPRODUCT(MAX(ROW(E$1:E2397)*(E2398=E$1:E2397)))))</f>
        <v> </v>
      </c>
      <c r="L2398" s="27"/>
    </row>
    <row r="2399" spans="1:12">
      <c r="A2399" s="20" t="s">
        <v>1158</v>
      </c>
      <c r="E2399" s="22">
        <f>IF(D2399="?OLD","!!!","")</f>
        <v/>
      </c>
      <c r="F2399" s="23" t="str">
        <f>IF(OR(E2399="",E2399="!!!"),"",IF(NOT(ISNA(VLOOKUP(E2399,E$1:E2398,1,FALSE()))),"OLD",IF(AND(E2399&lt;&gt;"",E2399&lt;&gt;"!!!"),"NEW","")))</f>
        <v> </v>
      </c>
      <c r="G2399" s="24" t="str">
        <f>IF(OR(E2399="",E2399="!!!"),"",IF(OR(J2399=0,AND(J2399=1,K2399=1),AND(J2399=1,I2399="SBJ"),AND(J2399=1,I2399=0)),"?IN_FOCUS",IF(J2399&lt;=2,"?ACTIVATED",IF(J2399&lt;&gt;"","?FAMILIAR",IF(F2399="NEW",IF(ISNA(VLOOKUP(E2399,#REF!,1,FALSE())),"?TYPE_IDENTIFIABLE","?REFERENTIAL"),"_")))))</f>
        <v> </v>
      </c>
      <c r="H2399" s="25" t="str">
        <f>IF(J2399&lt;&gt;1,"",IF(I2399="SBJ","CB","?"))</f>
        <v> </v>
      </c>
      <c r="I2399" s="26" t="str">
        <f>IF(OR(E2399="",E2399="!!!",F2399="NEW"),"",INDEX(B2398:B$2,-1+SUMPRODUCT(MAX(ROW(E2398:E$2)*(E2399=E2398:E$2)))))</f>
        <v> </v>
      </c>
      <c r="J2399" s="26" t="str">
        <f>IF(OR(E2399="",E2399="!!!",F2399="NEW"),"",COUNTBLANK(OFFSET(A$1,,,SUMPRODUCT(MAX(ROW(E$2:E2399)*(E2399=E$2:E2399)))))-COUNTBLANK(OFFSET(A$1,,,SUMPRODUCT(MAX(ROW(E$1:E2398)*(E2=E$1:E2398))))))</f>
        <v> </v>
      </c>
      <c r="K2399" s="26" t="str">
        <f>IF(OR(E2399="",E2399="!!!",F2399="NEW"),"",INDEX(J$1:J2398,SUMPRODUCT(MAX(ROW(E$1:E2398)*(E2399=E$1:E2398)))))</f>
        <v> </v>
      </c>
      <c r="L2399" s="27"/>
    </row>
    <row r="2400" spans="1:12">
      <c r="A2400" s="20" t="s">
        <v>1650</v>
      </c>
      <c r="B2400" s="21" t="s">
        <v>736</v>
      </c>
      <c r="C2400" s="21" t="s">
        <v>748</v>
      </c>
      <c r="E2400" s="22">
        <f>IF(D2400="?OLD","!!!","")</f>
        <v/>
      </c>
      <c r="F2400" s="23" t="str">
        <f>IF(OR(E2400="",E2400="!!!"),"",IF(NOT(ISNA(VLOOKUP(E2400,E$1:E2399,1,FALSE()))),"OLD",IF(AND(E2400&lt;&gt;"",E2400&lt;&gt;"!!!"),"NEW","")))</f>
        <v> </v>
      </c>
      <c r="G2400" s="24" t="str">
        <f>IF(OR(E2400="",E2400="!!!"),"",IF(OR(J2400=0,AND(J2400=1,K2400=1),AND(J2400=1,I2400="SBJ"),AND(J2400=1,I2400=0)),"?IN_FOCUS",IF(J2400&lt;=2,"?ACTIVATED",IF(J2400&lt;&gt;"","?FAMILIAR",IF(F2400="NEW",IF(ISNA(VLOOKUP(E2400,#REF!,1,FALSE())),"?TYPE_IDENTIFIABLE","?REFERENTIAL"),"_")))))</f>
        <v> </v>
      </c>
      <c r="H2400" s="25" t="str">
        <f>IF(J2400&lt;&gt;1,"",IF(I2400="SBJ","CB","?"))</f>
        <v> </v>
      </c>
      <c r="I2400" s="26" t="str">
        <f>IF(OR(E2400="",E2400="!!!",F2400="NEW"),"",INDEX(B2399:B$2,-1+SUMPRODUCT(MAX(ROW(E2399:E$2)*(E2400=E2399:E$2)))))</f>
        <v> </v>
      </c>
      <c r="J2400" s="26" t="str">
        <f>IF(OR(E2400="",E2400="!!!",F2400="NEW"),"",COUNTBLANK(OFFSET(A$1,,,SUMPRODUCT(MAX(ROW(E$2:E2400)*(E2400=E$2:E2400)))))-COUNTBLANK(OFFSET(A$1,,,SUMPRODUCT(MAX(ROW(E$1:E2399)*(E2=E$1:E2399))))))</f>
        <v> </v>
      </c>
      <c r="K2400" s="26" t="str">
        <f>IF(OR(E2400="",E2400="!!!",F2400="NEW"),"",INDEX(J$1:J2399,SUMPRODUCT(MAX(ROW(E$1:E2399)*(E2400=E$1:E2399)))))</f>
        <v> </v>
      </c>
      <c r="L2400" s="27"/>
    </row>
    <row r="2401" spans="1:12">
      <c r="A2401" s="20" t="s">
        <v>759</v>
      </c>
      <c r="E2401" s="22">
        <f>IF(D2401="?OLD","!!!","")</f>
        <v/>
      </c>
      <c r="F2401" s="23" t="str">
        <f>IF(OR(E2401="",E2401="!!!"),"",IF(NOT(ISNA(VLOOKUP(E2401,E$1:E2400,1,FALSE()))),"OLD",IF(AND(E2401&lt;&gt;"",E2401&lt;&gt;"!!!"),"NEW","")))</f>
        <v> </v>
      </c>
      <c r="G2401" s="24" t="str">
        <f>IF(OR(E2401="",E2401="!!!"),"",IF(OR(J2401=0,AND(J2401=1,K2401=1),AND(J2401=1,I2401="SBJ"),AND(J2401=1,I2401=0)),"?IN_FOCUS",IF(J2401&lt;=2,"?ACTIVATED",IF(J2401&lt;&gt;"","?FAMILIAR",IF(F2401="NEW",IF(ISNA(VLOOKUP(E2401,#REF!,1,FALSE())),"?TYPE_IDENTIFIABLE","?REFERENTIAL"),"_")))))</f>
        <v> </v>
      </c>
      <c r="H2401" s="25" t="str">
        <f>IF(J2401&lt;&gt;1,"",IF(I2401="SBJ","CB","?"))</f>
        <v> </v>
      </c>
      <c r="I2401" s="26" t="str">
        <f>IF(OR(E2401="",E2401="!!!",F2401="NEW"),"",INDEX(B2400:B$2,-1+SUMPRODUCT(MAX(ROW(E2400:E$2)*(E2401=E2400:E$2)))))</f>
        <v> </v>
      </c>
      <c r="J2401" s="26" t="str">
        <f>IF(OR(E2401="",E2401="!!!",F2401="NEW"),"",COUNTBLANK(OFFSET(A$1,,,SUMPRODUCT(MAX(ROW(E$2:E2401)*(E2401=E$2:E2401)))))-COUNTBLANK(OFFSET(A$1,,,SUMPRODUCT(MAX(ROW(E$1:E2400)*(E2=E$1:E2400))))))</f>
        <v> </v>
      </c>
      <c r="K2401" s="26" t="str">
        <f>IF(OR(E2401="",E2401="!!!",F2401="NEW"),"",INDEX(J$1:J2400,SUMPRODUCT(MAX(ROW(E$1:E2400)*(E2401=E$1:E2400)))))</f>
        <v> </v>
      </c>
      <c r="L2401" s="27"/>
    </row>
    <row r="2402" spans="1:12">
      <c r="A2402" s="20" t="s">
        <v>1023</v>
      </c>
      <c r="E2402" s="22">
        <f>IF(D2402="?OLD","!!!","")</f>
        <v/>
      </c>
      <c r="F2402" s="23" t="str">
        <f>IF(OR(E2402="",E2402="!!!"),"",IF(NOT(ISNA(VLOOKUP(E2402,E$1:E2401,1,FALSE()))),"OLD",IF(AND(E2402&lt;&gt;"",E2402&lt;&gt;"!!!"),"NEW","")))</f>
        <v> </v>
      </c>
      <c r="G2402" s="24" t="str">
        <f>IF(OR(E2402="",E2402="!!!"),"",IF(OR(J2402=0,AND(J2402=1,K2402=1),AND(J2402=1,I2402="SBJ"),AND(J2402=1,I2402=0)),"?IN_FOCUS",IF(J2402&lt;=2,"?ACTIVATED",IF(J2402&lt;&gt;"","?FAMILIAR",IF(F2402="NEW",IF(ISNA(VLOOKUP(E2402,#REF!,1,FALSE())),"?TYPE_IDENTIFIABLE","?REFERENTIAL"),"_")))))</f>
        <v> </v>
      </c>
      <c r="H2402" s="25" t="str">
        <f>IF(J2402&lt;&gt;1,"",IF(I2402="SBJ","CB","?"))</f>
        <v> </v>
      </c>
      <c r="I2402" s="26" t="str">
        <f>IF(OR(E2402="",E2402="!!!",F2402="NEW"),"",INDEX(B2401:B$2,-1+SUMPRODUCT(MAX(ROW(E2401:E$2)*(E2402=E2401:E$2)))))</f>
        <v> </v>
      </c>
      <c r="J2402" s="26" t="str">
        <f>IF(OR(E2402="",E2402="!!!",F2402="NEW"),"",COUNTBLANK(OFFSET(A$1,,,SUMPRODUCT(MAX(ROW(E$2:E2402)*(E2402=E$2:E2402)))))-COUNTBLANK(OFFSET(A$1,,,SUMPRODUCT(MAX(ROW(E$1:E2401)*(E2=E$1:E2401))))))</f>
        <v> </v>
      </c>
      <c r="K2402" s="26" t="str">
        <f>IF(OR(E2402="",E2402="!!!",F2402="NEW"),"",INDEX(J$1:J2401,SUMPRODUCT(MAX(ROW(E$1:E2401)*(E2402=E$1:E2401)))))</f>
        <v> </v>
      </c>
      <c r="L2402" s="27"/>
    </row>
    <row r="2403" spans="1:12">
      <c r="A2403" s="20" t="s">
        <v>979</v>
      </c>
      <c r="E2403" s="22">
        <f>IF(D2403="?OLD","!!!","")</f>
        <v/>
      </c>
      <c r="F2403" s="23" t="str">
        <f>IF(OR(E2403="",E2403="!!!"),"",IF(NOT(ISNA(VLOOKUP(E2403,E$1:E2402,1,FALSE()))),"OLD",IF(AND(E2403&lt;&gt;"",E2403&lt;&gt;"!!!"),"NEW","")))</f>
        <v> </v>
      </c>
      <c r="G2403" s="24" t="str">
        <f>IF(OR(E2403="",E2403="!!!"),"",IF(OR(J2403=0,AND(J2403=1,K2403=1),AND(J2403=1,I2403="SBJ"),AND(J2403=1,I2403=0)),"?IN_FOCUS",IF(J2403&lt;=2,"?ACTIVATED",IF(J2403&lt;&gt;"","?FAMILIAR",IF(F2403="NEW",IF(ISNA(VLOOKUP(E2403,#REF!,1,FALSE())),"?TYPE_IDENTIFIABLE","?REFERENTIAL"),"_")))))</f>
        <v> </v>
      </c>
      <c r="H2403" s="25" t="str">
        <f>IF(J2403&lt;&gt;1,"",IF(I2403="SBJ","CB","?"))</f>
        <v> </v>
      </c>
      <c r="I2403" s="26" t="str">
        <f>IF(OR(E2403="",E2403="!!!",F2403="NEW"),"",INDEX(B2402:B$2,-1+SUMPRODUCT(MAX(ROW(E2402:E$2)*(E2403=E2402:E$2)))))</f>
        <v> </v>
      </c>
      <c r="J2403" s="26" t="str">
        <f>IF(OR(E2403="",E2403="!!!",F2403="NEW"),"",COUNTBLANK(OFFSET(A$1,,,SUMPRODUCT(MAX(ROW(E$2:E2403)*(E2403=E$2:E2403)))))-COUNTBLANK(OFFSET(A$1,,,SUMPRODUCT(MAX(ROW(E$1:E2402)*(E2=E$1:E2402))))))</f>
        <v> </v>
      </c>
      <c r="K2403" s="26" t="str">
        <f>IF(OR(E2403="",E2403="!!!",F2403="NEW"),"",INDEX(J$1:J2402,SUMPRODUCT(MAX(ROW(E$1:E2402)*(E2403=E$1:E2402)))))</f>
        <v> </v>
      </c>
      <c r="L2403" s="27"/>
    </row>
    <row r="2404" spans="1:12">
      <c r="A2404" s="20" t="s">
        <v>742</v>
      </c>
      <c r="E2404" s="22">
        <f>IF(D2404="?OLD","!!!","")</f>
        <v/>
      </c>
      <c r="F2404" s="23" t="str">
        <f>IF(OR(E2404="",E2404="!!!"),"",IF(NOT(ISNA(VLOOKUP(E2404,E$1:E2403,1,FALSE()))),"OLD",IF(AND(E2404&lt;&gt;"",E2404&lt;&gt;"!!!"),"NEW","")))</f>
        <v> </v>
      </c>
      <c r="G2404" s="24" t="str">
        <f>IF(OR(E2404="",E2404="!!!"),"",IF(OR(J2404=0,AND(J2404=1,K2404=1),AND(J2404=1,I2404="SBJ"),AND(J2404=1,I2404=0)),"?IN_FOCUS",IF(J2404&lt;=2,"?ACTIVATED",IF(J2404&lt;&gt;"","?FAMILIAR",IF(F2404="NEW",IF(ISNA(VLOOKUP(E2404,#REF!,1,FALSE())),"?TYPE_IDENTIFIABLE","?REFERENTIAL"),"_")))))</f>
        <v> </v>
      </c>
      <c r="H2404" s="25" t="str">
        <f>IF(J2404&lt;&gt;1,"",IF(I2404="SBJ","CB","?"))</f>
        <v> </v>
      </c>
      <c r="I2404" s="26" t="str">
        <f>IF(OR(E2404="",E2404="!!!",F2404="NEW"),"",INDEX(B2403:B$2,-1+SUMPRODUCT(MAX(ROW(E2403:E$2)*(E2404=E2403:E$2)))))</f>
        <v> </v>
      </c>
      <c r="J2404" s="26" t="str">
        <f>IF(OR(E2404="",E2404="!!!",F2404="NEW"),"",COUNTBLANK(OFFSET(A$1,,,SUMPRODUCT(MAX(ROW(E$2:E2404)*(E2404=E$2:E2404)))))-COUNTBLANK(OFFSET(A$1,,,SUMPRODUCT(MAX(ROW(E$1:E2403)*(E2=E$1:E2403))))))</f>
        <v> </v>
      </c>
      <c r="K2404" s="26" t="str">
        <f>IF(OR(E2404="",E2404="!!!",F2404="NEW"),"",INDEX(J$1:J2403,SUMPRODUCT(MAX(ROW(E$1:E2403)*(E2404=E$1:E2403)))))</f>
        <v> </v>
      </c>
      <c r="L2404" s="27"/>
    </row>
    <row r="2405" spans="1:12">
      <c r="A2405" s="20" t="s">
        <v>1651</v>
      </c>
      <c r="B2405" s="21" t="s">
        <v>736</v>
      </c>
      <c r="C2405" s="21" t="s">
        <v>748</v>
      </c>
      <c r="E2405" s="22">
        <f>IF(D2405="?OLD","!!!","")</f>
        <v/>
      </c>
      <c r="F2405" s="23" t="str">
        <f>IF(OR(E2405="",E2405="!!!"),"",IF(NOT(ISNA(VLOOKUP(E2405,E$1:E2404,1,FALSE()))),"OLD",IF(AND(E2405&lt;&gt;"",E2405&lt;&gt;"!!!"),"NEW","")))</f>
        <v> </v>
      </c>
      <c r="G2405" s="24" t="str">
        <f>IF(OR(E2405="",E2405="!!!"),"",IF(OR(J2405=0,AND(J2405=1,K2405=1),AND(J2405=1,I2405="SBJ"),AND(J2405=1,I2405=0)),"?IN_FOCUS",IF(J2405&lt;=2,"?ACTIVATED",IF(J2405&lt;&gt;"","?FAMILIAR",IF(F2405="NEW",IF(ISNA(VLOOKUP(E2405,#REF!,1,FALSE())),"?TYPE_IDENTIFIABLE","?REFERENTIAL"),"_")))))</f>
        <v> </v>
      </c>
      <c r="H2405" s="25" t="str">
        <f>IF(J2405&lt;&gt;1,"",IF(I2405="SBJ","CB","?"))</f>
        <v> </v>
      </c>
      <c r="I2405" s="26" t="str">
        <f>IF(OR(E2405="",E2405="!!!",F2405="NEW"),"",INDEX(B2404:B$2,-1+SUMPRODUCT(MAX(ROW(E2404:E$2)*(E2405=E2404:E$2)))))</f>
        <v> </v>
      </c>
      <c r="J2405" s="26" t="str">
        <f>IF(OR(E2405="",E2405="!!!",F2405="NEW"),"",COUNTBLANK(OFFSET(A$1,,,SUMPRODUCT(MAX(ROW(E$2:E2405)*(E2405=E$2:E2405)))))-COUNTBLANK(OFFSET(A$1,,,SUMPRODUCT(MAX(ROW(E$1:E2404)*(E2=E$1:E2404))))))</f>
        <v> </v>
      </c>
      <c r="K2405" s="26" t="str">
        <f>IF(OR(E2405="",E2405="!!!",F2405="NEW"),"",INDEX(J$1:J2404,SUMPRODUCT(MAX(ROW(E$1:E2404)*(E2405=E$1:E2404)))))</f>
        <v> </v>
      </c>
      <c r="L2405" s="27"/>
    </row>
    <row r="2406" spans="1:12">
      <c r="A2406" s="20" t="s">
        <v>246</v>
      </c>
      <c r="E2406" s="22">
        <f>IF(D2406="?OLD","!!!","")</f>
        <v/>
      </c>
      <c r="F2406" s="23" t="str">
        <f>IF(OR(E2406="",E2406="!!!"),"",IF(NOT(ISNA(VLOOKUP(E2406,E$1:E2405,1,FALSE()))),"OLD",IF(AND(E2406&lt;&gt;"",E2406&lt;&gt;"!!!"),"NEW","")))</f>
        <v> </v>
      </c>
      <c r="G2406" s="24" t="str">
        <f>IF(OR(E2406="",E2406="!!!"),"",IF(OR(J2406=0,AND(J2406=1,K2406=1),AND(J2406=1,I2406="SBJ"),AND(J2406=1,I2406=0)),"?IN_FOCUS",IF(J2406&lt;=2,"?ACTIVATED",IF(J2406&lt;&gt;"","?FAMILIAR",IF(F2406="NEW",IF(ISNA(VLOOKUP(E2406,#REF!,1,FALSE())),"?TYPE_IDENTIFIABLE","?REFERENTIAL"),"_")))))</f>
        <v> </v>
      </c>
      <c r="H2406" s="25" t="str">
        <f>IF(J2406&lt;&gt;1,"",IF(I2406="SBJ","CB","?"))</f>
        <v> </v>
      </c>
      <c r="I2406" s="26" t="str">
        <f>IF(OR(E2406="",E2406="!!!",F2406="NEW"),"",INDEX(B2405:B$2,-1+SUMPRODUCT(MAX(ROW(E2405:E$2)*(E2406=E2405:E$2)))))</f>
        <v> </v>
      </c>
      <c r="J2406" s="26" t="str">
        <f>IF(OR(E2406="",E2406="!!!",F2406="NEW"),"",COUNTBLANK(OFFSET(A$1,,,SUMPRODUCT(MAX(ROW(E$2:E2406)*(E2406=E$2:E2406)))))-COUNTBLANK(OFFSET(A$1,,,SUMPRODUCT(MAX(ROW(E$1:E2405)*(E2=E$1:E2405))))))</f>
        <v> </v>
      </c>
      <c r="K2406" s="26" t="str">
        <f>IF(OR(E2406="",E2406="!!!",F2406="NEW"),"",INDEX(J$1:J2405,SUMPRODUCT(MAX(ROW(E$1:E2405)*(E2406=E$1:E2405)))))</f>
        <v> </v>
      </c>
      <c r="L2406" s="27"/>
    </row>
    <row r="2407" spans="1:12">
      <c r="A2407" s="20"/>
    </row>
    <row r="2408" spans="1:12">
      <c r="A2408" s="20" t="s">
        <v>1652</v>
      </c>
    </row>
    <row r="2409" spans="1:12">
      <c r="A2409" s="20" t="s">
        <v>834</v>
      </c>
      <c r="B2409" s="21" t="s">
        <v>728</v>
      </c>
      <c r="C2409" s="21" t="s">
        <v>729</v>
      </c>
      <c r="D2409" s="21" t="s">
        <v>730</v>
      </c>
      <c r="E2409" s="22">
        <f>IF(D2409="?OLD","!!!","")</f>
        <v/>
      </c>
      <c r="F2409" s="23" t="str">
        <f>IF(OR(E2409="",E2409="!!!"),"",IF(NOT(ISNA(VLOOKUP(E2409,E$1:E2408,1,FALSE()))),"OLD",IF(AND(E2409&lt;&gt;"",E2409&lt;&gt;"!!!"),"NEW","")))</f>
        <v> </v>
      </c>
      <c r="G2409" s="24" t="str">
        <f>IF(OR(E2409="",E2409="!!!"),"",IF(OR(J2409=0,AND(J2409=1,K2409=1),AND(J2409=1,I2409="SBJ"),AND(J2409=1,I2409=0)),"?IN_FOCUS",IF(J2409&lt;=2,"?ACTIVATED",IF(J2409&lt;&gt;"","?FAMILIAR",IF(F2409="NEW",IF(ISNA(VLOOKUP(E2409,#REF!,1,FALSE())),"?TYPE_IDENTIFIABLE","?REFERENTIAL"),"_")))))</f>
        <v> </v>
      </c>
      <c r="H2409" s="25" t="str">
        <f>IF(J2409&lt;&gt;1,"",IF(I2409="SBJ","CB","?"))</f>
        <v> </v>
      </c>
      <c r="I2409" s="26" t="str">
        <f>IF(OR(E2409="",E2409="!!!",F2409="NEW"),"",INDEX(B2408:B$2,-1+SUMPRODUCT(MAX(ROW(E2408:E$2)*(E2409=E2408:E$2)))))</f>
        <v> </v>
      </c>
      <c r="J2409" s="26" t="str">
        <f>IF(OR(E2409="",E2409="!!!",F2409="NEW"),"",COUNTBLANK(OFFSET(A$1,,,SUMPRODUCT(MAX(ROW(E$2:E2409)*(E2409=E$2:E2409)))))-COUNTBLANK(OFFSET(A$1,,,SUMPRODUCT(MAX(ROW(E$1:E2408)*(E2=E$1:E2408))))))</f>
        <v> </v>
      </c>
      <c r="K2409" s="26" t="str">
        <f>IF(OR(E2409="",E2409="!!!",F2409="NEW"),"",INDEX(J$1:J2408,SUMPRODUCT(MAX(ROW(E$1:E2408)*(E2409=E$1:E2408)))))</f>
        <v> </v>
      </c>
      <c r="L2409" s="27"/>
    </row>
    <row r="2410" spans="1:12">
      <c r="A2410" s="20" t="s">
        <v>493</v>
      </c>
      <c r="E2410" s="22">
        <f>IF(D2410="?OLD","!!!","")</f>
        <v/>
      </c>
      <c r="F2410" s="23" t="str">
        <f>IF(OR(E2410="",E2410="!!!"),"",IF(NOT(ISNA(VLOOKUP(E2410,E$1:E2409,1,FALSE()))),"OLD",IF(AND(E2410&lt;&gt;"",E2410&lt;&gt;"!!!"),"NEW","")))</f>
        <v> </v>
      </c>
      <c r="G2410" s="24" t="str">
        <f>IF(OR(E2410="",E2410="!!!"),"",IF(OR(J2410=0,AND(J2410=1,K2410=1),AND(J2410=1,I2410="SBJ"),AND(J2410=1,I2410=0)),"?IN_FOCUS",IF(J2410&lt;=2,"?ACTIVATED",IF(J2410&lt;&gt;"","?FAMILIAR",IF(F2410="NEW",IF(ISNA(VLOOKUP(E2410,#REF!,1,FALSE())),"?TYPE_IDENTIFIABLE","?REFERENTIAL"),"_")))))</f>
        <v> </v>
      </c>
      <c r="H2410" s="25" t="str">
        <f>IF(J2410&lt;&gt;1,"",IF(I2410="SBJ","CB","?"))</f>
        <v> </v>
      </c>
      <c r="I2410" s="26" t="str">
        <f>IF(OR(E2410="",E2410="!!!",F2410="NEW"),"",INDEX(B2409:B$2,-1+SUMPRODUCT(MAX(ROW(E2409:E$2)*(E2410=E2409:E$2)))))</f>
        <v> </v>
      </c>
      <c r="J2410" s="26" t="str">
        <f>IF(OR(E2410="",E2410="!!!",F2410="NEW"),"",COUNTBLANK(OFFSET(A$1,,,SUMPRODUCT(MAX(ROW(E$2:E2410)*(E2410=E$2:E2410)))))-COUNTBLANK(OFFSET(A$1,,,SUMPRODUCT(MAX(ROW(E$1:E2409)*(E2=E$1:E2409))))))</f>
        <v> </v>
      </c>
      <c r="K2410" s="26" t="str">
        <f>IF(OR(E2410="",E2410="!!!",F2410="NEW"),"",INDEX(J$1:J2409,SUMPRODUCT(MAX(ROW(E$1:E2409)*(E2410=E$1:E2409)))))</f>
        <v> </v>
      </c>
      <c r="L2410" s="27"/>
    </row>
    <row r="2411" spans="1:12">
      <c r="A2411" s="20" t="s">
        <v>732</v>
      </c>
      <c r="E2411" s="22">
        <f>IF(D2411="?OLD","!!!","")</f>
        <v/>
      </c>
      <c r="F2411" s="23" t="str">
        <f>IF(OR(E2411="",E2411="!!!"),"",IF(NOT(ISNA(VLOOKUP(E2411,E$1:E2410,1,FALSE()))),"OLD",IF(AND(E2411&lt;&gt;"",E2411&lt;&gt;"!!!"),"NEW","")))</f>
        <v> </v>
      </c>
      <c r="G2411" s="24" t="str">
        <f>IF(OR(E2411="",E2411="!!!"),"",IF(OR(J2411=0,AND(J2411=1,K2411=1),AND(J2411=1,I2411="SBJ"),AND(J2411=1,I2411=0)),"?IN_FOCUS",IF(J2411&lt;=2,"?ACTIVATED",IF(J2411&lt;&gt;"","?FAMILIAR",IF(F2411="NEW",IF(ISNA(VLOOKUP(E2411,#REF!,1,FALSE())),"?TYPE_IDENTIFIABLE","?REFERENTIAL"),"_")))))</f>
        <v> </v>
      </c>
      <c r="H2411" s="25" t="str">
        <f>IF(J2411&lt;&gt;1,"",IF(I2411="SBJ","CB","?"))</f>
        <v> </v>
      </c>
      <c r="I2411" s="26" t="str">
        <f>IF(OR(E2411="",E2411="!!!",F2411="NEW"),"",INDEX(B2410:B$2,-1+SUMPRODUCT(MAX(ROW(E2410:E$2)*(E2411=E2410:E$2)))))</f>
        <v> </v>
      </c>
      <c r="J2411" s="26" t="str">
        <f>IF(OR(E2411="",E2411="!!!",F2411="NEW"),"",COUNTBLANK(OFFSET(A$1,,,SUMPRODUCT(MAX(ROW(E$2:E2411)*(E2411=E$2:E2411)))))-COUNTBLANK(OFFSET(A$1,,,SUMPRODUCT(MAX(ROW(E$1:E2410)*(E2=E$1:E2410))))))</f>
        <v> </v>
      </c>
      <c r="K2411" s="26" t="str">
        <f>IF(OR(E2411="",E2411="!!!",F2411="NEW"),"",INDEX(J$1:J2410,SUMPRODUCT(MAX(ROW(E$1:E2410)*(E2411=E$1:E2410)))))</f>
        <v> </v>
      </c>
      <c r="L2411" s="27"/>
    </row>
    <row r="2412" spans="1:12">
      <c r="A2412" s="20" t="s">
        <v>1653</v>
      </c>
      <c r="B2412" s="21" t="s">
        <v>736</v>
      </c>
      <c r="C2412" s="21" t="s">
        <v>748</v>
      </c>
      <c r="E2412" s="22">
        <f>IF(D2412="?OLD","!!!","")</f>
        <v/>
      </c>
      <c r="F2412" s="23" t="str">
        <f>IF(OR(E2412="",E2412="!!!"),"",IF(NOT(ISNA(VLOOKUP(E2412,E$1:E2411,1,FALSE()))),"OLD",IF(AND(E2412&lt;&gt;"",E2412&lt;&gt;"!!!"),"NEW","")))</f>
        <v> </v>
      </c>
      <c r="G2412" s="24" t="str">
        <f>IF(OR(E2412="",E2412="!!!"),"",IF(OR(J2412=0,AND(J2412=1,K2412=1),AND(J2412=1,I2412="SBJ"),AND(J2412=1,I2412=0)),"?IN_FOCUS",IF(J2412&lt;=2,"?ACTIVATED",IF(J2412&lt;&gt;"","?FAMILIAR",IF(F2412="NEW",IF(ISNA(VLOOKUP(E2412,#REF!,1,FALSE())),"?TYPE_IDENTIFIABLE","?REFERENTIAL"),"_")))))</f>
        <v> </v>
      </c>
      <c r="H2412" s="25" t="str">
        <f>IF(J2412&lt;&gt;1,"",IF(I2412="SBJ","CB","?"))</f>
        <v> </v>
      </c>
      <c r="I2412" s="26" t="str">
        <f>IF(OR(E2412="",E2412="!!!",F2412="NEW"),"",INDEX(B2411:B$2,-1+SUMPRODUCT(MAX(ROW(E2411:E$2)*(E2412=E2411:E$2)))))</f>
        <v> </v>
      </c>
      <c r="J2412" s="26" t="str">
        <f>IF(OR(E2412="",E2412="!!!",F2412="NEW"),"",COUNTBLANK(OFFSET(A$1,,,SUMPRODUCT(MAX(ROW(E$2:E2412)*(E2412=E$2:E2412)))))-COUNTBLANK(OFFSET(A$1,,,SUMPRODUCT(MAX(ROW(E$1:E2411)*(E2=E$1:E2411))))))</f>
        <v> </v>
      </c>
      <c r="K2412" s="26" t="str">
        <f>IF(OR(E2412="",E2412="!!!",F2412="NEW"),"",INDEX(J$1:J2411,SUMPRODUCT(MAX(ROW(E$1:E2411)*(E2412=E$1:E2411)))))</f>
        <v> </v>
      </c>
      <c r="L2412" s="27"/>
    </row>
    <row r="2413" spans="1:12">
      <c r="A2413" s="20" t="s">
        <v>938</v>
      </c>
      <c r="E2413" s="22">
        <f>IF(D2413="?OLD","!!!","")</f>
        <v/>
      </c>
      <c r="F2413" s="23" t="str">
        <f>IF(OR(E2413="",E2413="!!!"),"",IF(NOT(ISNA(VLOOKUP(E2413,E$1:E2412,1,FALSE()))),"OLD",IF(AND(E2413&lt;&gt;"",E2413&lt;&gt;"!!!"),"NEW","")))</f>
        <v> </v>
      </c>
      <c r="G2413" s="24" t="str">
        <f>IF(OR(E2413="",E2413="!!!"),"",IF(OR(J2413=0,AND(J2413=1,K2413=1),AND(J2413=1,I2413="SBJ"),AND(J2413=1,I2413=0)),"?IN_FOCUS",IF(J2413&lt;=2,"?ACTIVATED",IF(J2413&lt;&gt;"","?FAMILIAR",IF(F2413="NEW",IF(ISNA(VLOOKUP(E2413,#REF!,1,FALSE())),"?TYPE_IDENTIFIABLE","?REFERENTIAL"),"_")))))</f>
        <v> </v>
      </c>
      <c r="H2413" s="25" t="str">
        <f>IF(J2413&lt;&gt;1,"",IF(I2413="SBJ","CB","?"))</f>
        <v> </v>
      </c>
      <c r="I2413" s="26" t="str">
        <f>IF(OR(E2413="",E2413="!!!",F2413="NEW"),"",INDEX(B2412:B$2,-1+SUMPRODUCT(MAX(ROW(E2412:E$2)*(E2413=E2412:E$2)))))</f>
        <v> </v>
      </c>
      <c r="J2413" s="26" t="str">
        <f>IF(OR(E2413="",E2413="!!!",F2413="NEW"),"",COUNTBLANK(OFFSET(A$1,,,SUMPRODUCT(MAX(ROW(E$2:E2413)*(E2413=E$2:E2413)))))-COUNTBLANK(OFFSET(A$1,,,SUMPRODUCT(MAX(ROW(E$1:E2412)*(E2=E$1:E2412))))))</f>
        <v> </v>
      </c>
      <c r="K2413" s="26" t="str">
        <f>IF(OR(E2413="",E2413="!!!",F2413="NEW"),"",INDEX(J$1:J2412,SUMPRODUCT(MAX(ROW(E$1:E2412)*(E2413=E$1:E2412)))))</f>
        <v> </v>
      </c>
      <c r="L2413" s="27"/>
    </row>
    <row r="2414" spans="1:12">
      <c r="A2414" s="20" t="s">
        <v>1654</v>
      </c>
      <c r="B2414" s="21" t="s">
        <v>739</v>
      </c>
      <c r="C2414" s="21" t="s">
        <v>748</v>
      </c>
      <c r="E2414" s="22">
        <f>IF(D2414="?OLD","!!!","")</f>
        <v/>
      </c>
      <c r="F2414" s="23" t="str">
        <f>IF(OR(E2414="",E2414="!!!"),"",IF(NOT(ISNA(VLOOKUP(E2414,E$1:E2413,1,FALSE()))),"OLD",IF(AND(E2414&lt;&gt;"",E2414&lt;&gt;"!!!"),"NEW","")))</f>
        <v> </v>
      </c>
      <c r="G2414" s="24" t="str">
        <f>IF(OR(E2414="",E2414="!!!"),"",IF(OR(J2414=0,AND(J2414=1,K2414=1),AND(J2414=1,I2414="SBJ"),AND(J2414=1,I2414=0)),"?IN_FOCUS",IF(J2414&lt;=2,"?ACTIVATED",IF(J2414&lt;&gt;"","?FAMILIAR",IF(F2414="NEW",IF(ISNA(VLOOKUP(E2414,#REF!,1,FALSE())),"?TYPE_IDENTIFIABLE","?REFERENTIAL"),"_")))))</f>
        <v> </v>
      </c>
      <c r="H2414" s="25" t="str">
        <f>IF(J2414&lt;&gt;1,"",IF(I2414="SBJ","CB","?"))</f>
        <v> </v>
      </c>
      <c r="I2414" s="26" t="str">
        <f>IF(OR(E2414="",E2414="!!!",F2414="NEW"),"",INDEX(B2413:B$2,-1+SUMPRODUCT(MAX(ROW(E2413:E$2)*(E2414=E2413:E$2)))))</f>
        <v> </v>
      </c>
      <c r="J2414" s="26" t="str">
        <f>IF(OR(E2414="",E2414="!!!",F2414="NEW"),"",COUNTBLANK(OFFSET(A$1,,,SUMPRODUCT(MAX(ROW(E$2:E2414)*(E2414=E$2:E2414)))))-COUNTBLANK(OFFSET(A$1,,,SUMPRODUCT(MAX(ROW(E$1:E2413)*(E2=E$1:E2413))))))</f>
        <v> </v>
      </c>
      <c r="K2414" s="26" t="str">
        <f>IF(OR(E2414="",E2414="!!!",F2414="NEW"),"",INDEX(J$1:J2413,SUMPRODUCT(MAX(ROW(E$1:E2413)*(E2414=E$1:E2413)))))</f>
        <v> </v>
      </c>
      <c r="L2414" s="27"/>
    </row>
    <row r="2415" spans="1:12">
      <c r="A2415" s="20" t="s">
        <v>246</v>
      </c>
      <c r="E2415" s="22">
        <f>IF(D2415="?OLD","!!!","")</f>
        <v/>
      </c>
      <c r="F2415" s="23" t="str">
        <f>IF(OR(E2415="",E2415="!!!"),"",IF(NOT(ISNA(VLOOKUP(E2415,E$1:E2414,1,FALSE()))),"OLD",IF(AND(E2415&lt;&gt;"",E2415&lt;&gt;"!!!"),"NEW","")))</f>
        <v> </v>
      </c>
      <c r="G2415" s="24" t="str">
        <f>IF(OR(E2415="",E2415="!!!"),"",IF(OR(J2415=0,AND(J2415=1,K2415=1),AND(J2415=1,I2415="SBJ"),AND(J2415=1,I2415=0)),"?IN_FOCUS",IF(J2415&lt;=2,"?ACTIVATED",IF(J2415&lt;&gt;"","?FAMILIAR",IF(F2415="NEW",IF(ISNA(VLOOKUP(E2415,#REF!,1,FALSE())),"?TYPE_IDENTIFIABLE","?REFERENTIAL"),"_")))))</f>
        <v> </v>
      </c>
      <c r="H2415" s="25" t="str">
        <f>IF(J2415&lt;&gt;1,"",IF(I2415="SBJ","CB","?"))</f>
        <v> </v>
      </c>
      <c r="I2415" s="26" t="str">
        <f>IF(OR(E2415="",E2415="!!!",F2415="NEW"),"",INDEX(B2414:B$2,-1+SUMPRODUCT(MAX(ROW(E2414:E$2)*(E2415=E2414:E$2)))))</f>
        <v> </v>
      </c>
      <c r="J2415" s="26" t="str">
        <f>IF(OR(E2415="",E2415="!!!",F2415="NEW"),"",COUNTBLANK(OFFSET(A$1,,,SUMPRODUCT(MAX(ROW(E$2:E2415)*(E2415=E$2:E2415)))))-COUNTBLANK(OFFSET(A$1,,,SUMPRODUCT(MAX(ROW(E$1:E2414)*(E2=E$1:E2414))))))</f>
        <v> </v>
      </c>
      <c r="K2415" s="26" t="str">
        <f>IF(OR(E2415="",E2415="!!!",F2415="NEW"),"",INDEX(J$1:J2414,SUMPRODUCT(MAX(ROW(E$1:E2414)*(E2415=E$1:E2414)))))</f>
        <v> </v>
      </c>
      <c r="L2415" s="27"/>
    </row>
    <row r="2416" spans="1:12">
      <c r="A2416" s="20"/>
    </row>
    <row r="2417" spans="1:12">
      <c r="A2417" s="20" t="s">
        <v>1655</v>
      </c>
    </row>
    <row r="2418" spans="1:12">
      <c r="A2418" s="20" t="s">
        <v>834</v>
      </c>
      <c r="B2418" s="21" t="s">
        <v>728</v>
      </c>
      <c r="C2418" s="21" t="s">
        <v>729</v>
      </c>
      <c r="D2418" s="21" t="s">
        <v>730</v>
      </c>
      <c r="E2418" s="22">
        <f>IF(D2418="?OLD","!!!","")</f>
        <v/>
      </c>
      <c r="F2418" s="23" t="str">
        <f>IF(OR(E2418="",E2418="!!!"),"",IF(NOT(ISNA(VLOOKUP(E2418,E$1:E2417,1,FALSE()))),"OLD",IF(AND(E2418&lt;&gt;"",E2418&lt;&gt;"!!!"),"NEW","")))</f>
        <v> </v>
      </c>
      <c r="G2418" s="24" t="str">
        <f>IF(OR(E2418="",E2418="!!!"),"",IF(OR(J2418=0,AND(J2418=1,K2418=1),AND(J2418=1,I2418="SBJ"),AND(J2418=1,I2418=0)),"?IN_FOCUS",IF(J2418&lt;=2,"?ACTIVATED",IF(J2418&lt;&gt;"","?FAMILIAR",IF(F2418="NEW",IF(ISNA(VLOOKUP(E2418,#REF!,1,FALSE())),"?TYPE_IDENTIFIABLE","?REFERENTIAL"),"_")))))</f>
        <v> </v>
      </c>
      <c r="H2418" s="25" t="str">
        <f>IF(J2418&lt;&gt;1,"",IF(I2418="SBJ","CB","?"))</f>
        <v> </v>
      </c>
      <c r="I2418" s="26" t="str">
        <f>IF(OR(E2418="",E2418="!!!",F2418="NEW"),"",INDEX(B2417:B$2,-1+SUMPRODUCT(MAX(ROW(E2417:E$2)*(E2418=E2417:E$2)))))</f>
        <v> </v>
      </c>
      <c r="J2418" s="26" t="str">
        <f>IF(OR(E2418="",E2418="!!!",F2418="NEW"),"",COUNTBLANK(OFFSET(A$1,,,SUMPRODUCT(MAX(ROW(E$2:E2418)*(E2418=E$2:E2418)))))-COUNTBLANK(OFFSET(A$1,,,SUMPRODUCT(MAX(ROW(E$1:E2417)*(E2=E$1:E2417))))))</f>
        <v> </v>
      </c>
      <c r="K2418" s="26" t="str">
        <f>IF(OR(E2418="",E2418="!!!",F2418="NEW"),"",INDEX(J$1:J2417,SUMPRODUCT(MAX(ROW(E$1:E2417)*(E2418=E$1:E2417)))))</f>
        <v> </v>
      </c>
      <c r="L2418" s="27"/>
    </row>
    <row r="2419" spans="1:12">
      <c r="A2419" s="20" t="s">
        <v>497</v>
      </c>
      <c r="E2419" s="22">
        <f>IF(D2419="?OLD","!!!","")</f>
        <v/>
      </c>
      <c r="F2419" s="23" t="str">
        <f>IF(OR(E2419="",E2419="!!!"),"",IF(NOT(ISNA(VLOOKUP(E2419,E$1:E2418,1,FALSE()))),"OLD",IF(AND(E2419&lt;&gt;"",E2419&lt;&gt;"!!!"),"NEW","")))</f>
        <v> </v>
      </c>
      <c r="G2419" s="24" t="str">
        <f>IF(OR(E2419="",E2419="!!!"),"",IF(OR(J2419=0,AND(J2419=1,K2419=1),AND(J2419=1,I2419="SBJ"),AND(J2419=1,I2419=0)),"?IN_FOCUS",IF(J2419&lt;=2,"?ACTIVATED",IF(J2419&lt;&gt;"","?FAMILIAR",IF(F2419="NEW",IF(ISNA(VLOOKUP(E2419,#REF!,1,FALSE())),"?TYPE_IDENTIFIABLE","?REFERENTIAL"),"_")))))</f>
        <v> </v>
      </c>
      <c r="H2419" s="25" t="str">
        <f>IF(J2419&lt;&gt;1,"",IF(I2419="SBJ","CB","?"))</f>
        <v> </v>
      </c>
      <c r="I2419" s="26" t="str">
        <f>IF(OR(E2419="",E2419="!!!",F2419="NEW"),"",INDEX(B2418:B$2,-1+SUMPRODUCT(MAX(ROW(E2418:E$2)*(E2419=E2418:E$2)))))</f>
        <v> </v>
      </c>
      <c r="J2419" s="26" t="str">
        <f>IF(OR(E2419="",E2419="!!!",F2419="NEW"),"",COUNTBLANK(OFFSET(A$1,,,SUMPRODUCT(MAX(ROW(E$2:E2419)*(E2419=E$2:E2419)))))-COUNTBLANK(OFFSET(A$1,,,SUMPRODUCT(MAX(ROW(E$1:E2418)*(E2=E$1:E2418))))))</f>
        <v> </v>
      </c>
      <c r="K2419" s="26" t="str">
        <f>IF(OR(E2419="",E2419="!!!",F2419="NEW"),"",INDEX(J$1:J2418,SUMPRODUCT(MAX(ROW(E$1:E2418)*(E2419=E$1:E2418)))))</f>
        <v> </v>
      </c>
      <c r="L2419" s="27"/>
    </row>
    <row r="2420" spans="1:12">
      <c r="A2420" s="20" t="s">
        <v>810</v>
      </c>
      <c r="E2420" s="22">
        <f>IF(D2420="?OLD","!!!","")</f>
        <v/>
      </c>
      <c r="F2420" s="23" t="str">
        <f>IF(OR(E2420="",E2420="!!!"),"",IF(NOT(ISNA(VLOOKUP(E2420,E$1:E2419,1,FALSE()))),"OLD",IF(AND(E2420&lt;&gt;"",E2420&lt;&gt;"!!!"),"NEW","")))</f>
        <v> </v>
      </c>
      <c r="G2420" s="24" t="str">
        <f>IF(OR(E2420="",E2420="!!!"),"",IF(OR(J2420=0,AND(J2420=1,K2420=1),AND(J2420=1,I2420="SBJ"),AND(J2420=1,I2420=0)),"?IN_FOCUS",IF(J2420&lt;=2,"?ACTIVATED",IF(J2420&lt;&gt;"","?FAMILIAR",IF(F2420="NEW",IF(ISNA(VLOOKUP(E2420,#REF!,1,FALSE())),"?TYPE_IDENTIFIABLE","?REFERENTIAL"),"_")))))</f>
        <v> </v>
      </c>
      <c r="H2420" s="25" t="str">
        <f>IF(J2420&lt;&gt;1,"",IF(I2420="SBJ","CB","?"))</f>
        <v> </v>
      </c>
      <c r="I2420" s="26" t="str">
        <f>IF(OR(E2420="",E2420="!!!",F2420="NEW"),"",INDEX(B2419:B$2,-1+SUMPRODUCT(MAX(ROW(E2419:E$2)*(E2420=E2419:E$2)))))</f>
        <v> </v>
      </c>
      <c r="J2420" s="26" t="str">
        <f>IF(OR(E2420="",E2420="!!!",F2420="NEW"),"",COUNTBLANK(OFFSET(A$1,,,SUMPRODUCT(MAX(ROW(E$2:E2420)*(E2420=E$2:E2420)))))-COUNTBLANK(OFFSET(A$1,,,SUMPRODUCT(MAX(ROW(E$1:E2419)*(E2=E$1:E2419))))))</f>
        <v> </v>
      </c>
      <c r="K2420" s="26" t="str">
        <f>IF(OR(E2420="",E2420="!!!",F2420="NEW"),"",INDEX(J$1:J2419,SUMPRODUCT(MAX(ROW(E$1:E2419)*(E2420=E$1:E2419)))))</f>
        <v> </v>
      </c>
      <c r="L2420" s="27"/>
    </row>
    <row r="2421" spans="1:12">
      <c r="A2421" s="20" t="s">
        <v>773</v>
      </c>
      <c r="E2421" s="22">
        <f>IF(D2421="?OLD","!!!","")</f>
        <v/>
      </c>
      <c r="F2421" s="23" t="str">
        <f>IF(OR(E2421="",E2421="!!!"),"",IF(NOT(ISNA(VLOOKUP(E2421,E$1:E2420,1,FALSE()))),"OLD",IF(AND(E2421&lt;&gt;"",E2421&lt;&gt;"!!!"),"NEW","")))</f>
        <v> </v>
      </c>
      <c r="G2421" s="24" t="str">
        <f>IF(OR(E2421="",E2421="!!!"),"",IF(OR(J2421=0,AND(J2421=1,K2421=1),AND(J2421=1,I2421="SBJ"),AND(J2421=1,I2421=0)),"?IN_FOCUS",IF(J2421&lt;=2,"?ACTIVATED",IF(J2421&lt;&gt;"","?FAMILIAR",IF(F2421="NEW",IF(ISNA(VLOOKUP(E2421,#REF!,1,FALSE())),"?TYPE_IDENTIFIABLE","?REFERENTIAL"),"_")))))</f>
        <v> </v>
      </c>
      <c r="H2421" s="25" t="str">
        <f>IF(J2421&lt;&gt;1,"",IF(I2421="SBJ","CB","?"))</f>
        <v> </v>
      </c>
      <c r="I2421" s="26" t="str">
        <f>IF(OR(E2421="",E2421="!!!",F2421="NEW"),"",INDEX(B2420:B$2,-1+SUMPRODUCT(MAX(ROW(E2420:E$2)*(E2421=E2420:E$2)))))</f>
        <v> </v>
      </c>
      <c r="J2421" s="26" t="str">
        <f>IF(OR(E2421="",E2421="!!!",F2421="NEW"),"",COUNTBLANK(OFFSET(A$1,,,SUMPRODUCT(MAX(ROW(E$2:E2421)*(E2421=E$2:E2421)))))-COUNTBLANK(OFFSET(A$1,,,SUMPRODUCT(MAX(ROW(E$1:E2420)*(E2=E$1:E2420))))))</f>
        <v> </v>
      </c>
      <c r="K2421" s="26" t="str">
        <f>IF(OR(E2421="",E2421="!!!",F2421="NEW"),"",INDEX(J$1:J2420,SUMPRODUCT(MAX(ROW(E$1:E2420)*(E2421=E$1:E2420)))))</f>
        <v> </v>
      </c>
      <c r="L2421" s="27"/>
    </row>
    <row r="2422" spans="1:12">
      <c r="A2422" s="20" t="s">
        <v>774</v>
      </c>
      <c r="E2422" s="22">
        <f>IF(D2422="?OLD","!!!","")</f>
        <v/>
      </c>
      <c r="F2422" s="23" t="str">
        <f>IF(OR(E2422="",E2422="!!!"),"",IF(NOT(ISNA(VLOOKUP(E2422,E$1:E2421,1,FALSE()))),"OLD",IF(AND(E2422&lt;&gt;"",E2422&lt;&gt;"!!!"),"NEW","")))</f>
        <v> </v>
      </c>
      <c r="G2422" s="24" t="str">
        <f>IF(OR(E2422="",E2422="!!!"),"",IF(OR(J2422=0,AND(J2422=1,K2422=1),AND(J2422=1,I2422="SBJ"),AND(J2422=1,I2422=0)),"?IN_FOCUS",IF(J2422&lt;=2,"?ACTIVATED",IF(J2422&lt;&gt;"","?FAMILIAR",IF(F2422="NEW",IF(ISNA(VLOOKUP(E2422,#REF!,1,FALSE())),"?TYPE_IDENTIFIABLE","?REFERENTIAL"),"_")))))</f>
        <v> </v>
      </c>
      <c r="H2422" s="25" t="str">
        <f>IF(J2422&lt;&gt;1,"",IF(I2422="SBJ","CB","?"))</f>
        <v> </v>
      </c>
      <c r="I2422" s="26" t="str">
        <f>IF(OR(E2422="",E2422="!!!",F2422="NEW"),"",INDEX(B2421:B$2,-1+SUMPRODUCT(MAX(ROW(E2421:E$2)*(E2422=E2421:E$2)))))</f>
        <v> </v>
      </c>
      <c r="J2422" s="26" t="str">
        <f>IF(OR(E2422="",E2422="!!!",F2422="NEW"),"",COUNTBLANK(OFFSET(A$1,,,SUMPRODUCT(MAX(ROW(E$2:E2422)*(E2422=E$2:E2422)))))-COUNTBLANK(OFFSET(A$1,,,SUMPRODUCT(MAX(ROW(E$1:E2421)*(E2=E$1:E2421))))))</f>
        <v> </v>
      </c>
      <c r="K2422" s="26" t="str">
        <f>IF(OR(E2422="",E2422="!!!",F2422="NEW"),"",INDEX(J$1:J2421,SUMPRODUCT(MAX(ROW(E$1:E2421)*(E2422=E$1:E2421)))))</f>
        <v> </v>
      </c>
      <c r="L2422" s="27"/>
    </row>
    <row r="2423" spans="1:12">
      <c r="A2423" s="20" t="s">
        <v>742</v>
      </c>
      <c r="E2423" s="22">
        <f>IF(D2423="?OLD","!!!","")</f>
        <v/>
      </c>
      <c r="F2423" s="23" t="str">
        <f>IF(OR(E2423="",E2423="!!!"),"",IF(NOT(ISNA(VLOOKUP(E2423,E$1:E2422,1,FALSE()))),"OLD",IF(AND(E2423&lt;&gt;"",E2423&lt;&gt;"!!!"),"NEW","")))</f>
        <v> </v>
      </c>
      <c r="G2423" s="24" t="str">
        <f>IF(OR(E2423="",E2423="!!!"),"",IF(OR(J2423=0,AND(J2423=1,K2423=1),AND(J2423=1,I2423="SBJ"),AND(J2423=1,I2423=0)),"?IN_FOCUS",IF(J2423&lt;=2,"?ACTIVATED",IF(J2423&lt;&gt;"","?FAMILIAR",IF(F2423="NEW",IF(ISNA(VLOOKUP(E2423,#REF!,1,FALSE())),"?TYPE_IDENTIFIABLE","?REFERENTIAL"),"_")))))</f>
        <v> </v>
      </c>
      <c r="H2423" s="25" t="str">
        <f>IF(J2423&lt;&gt;1,"",IF(I2423="SBJ","CB","?"))</f>
        <v> </v>
      </c>
      <c r="I2423" s="26" t="str">
        <f>IF(OR(E2423="",E2423="!!!",F2423="NEW"),"",INDEX(B2422:B$2,-1+SUMPRODUCT(MAX(ROW(E2422:E$2)*(E2423=E2422:E$2)))))</f>
        <v> </v>
      </c>
      <c r="J2423" s="26" t="str">
        <f>IF(OR(E2423="",E2423="!!!",F2423="NEW"),"",COUNTBLANK(OFFSET(A$1,,,SUMPRODUCT(MAX(ROW(E$2:E2423)*(E2423=E$2:E2423)))))-COUNTBLANK(OFFSET(A$1,,,SUMPRODUCT(MAX(ROW(E$1:E2422)*(E2=E$1:E2422))))))</f>
        <v> </v>
      </c>
      <c r="K2423" s="26" t="str">
        <f>IF(OR(E2423="",E2423="!!!",F2423="NEW"),"",INDEX(J$1:J2422,SUMPRODUCT(MAX(ROW(E$1:E2422)*(E2423=E$1:E2422)))))</f>
        <v> </v>
      </c>
      <c r="L2423" s="27"/>
    </row>
    <row r="2424" spans="1:12">
      <c r="A2424" s="20" t="s">
        <v>1656</v>
      </c>
      <c r="B2424" s="21" t="s">
        <v>755</v>
      </c>
      <c r="C2424" s="21" t="s">
        <v>748</v>
      </c>
      <c r="E2424" s="22">
        <f>IF(D2424="?OLD","!!!","")</f>
        <v/>
      </c>
      <c r="F2424" s="23" t="str">
        <f>IF(OR(E2424="",E2424="!!!"),"",IF(NOT(ISNA(VLOOKUP(E2424,E$1:E2423,1,FALSE()))),"OLD",IF(AND(E2424&lt;&gt;"",E2424&lt;&gt;"!!!"),"NEW","")))</f>
        <v> </v>
      </c>
      <c r="G2424" s="24" t="str">
        <f>IF(OR(E2424="",E2424="!!!"),"",IF(OR(J2424=0,AND(J2424=1,K2424=1),AND(J2424=1,I2424="SBJ"),AND(J2424=1,I2424=0)),"?IN_FOCUS",IF(J2424&lt;=2,"?ACTIVATED",IF(J2424&lt;&gt;"","?FAMILIAR",IF(F2424="NEW",IF(ISNA(VLOOKUP(E2424,#REF!,1,FALSE())),"?TYPE_IDENTIFIABLE","?REFERENTIAL"),"_")))))</f>
        <v> </v>
      </c>
      <c r="H2424" s="25" t="str">
        <f>IF(J2424&lt;&gt;1,"",IF(I2424="SBJ","CB","?"))</f>
        <v> </v>
      </c>
      <c r="I2424" s="26" t="str">
        <f>IF(OR(E2424="",E2424="!!!",F2424="NEW"),"",INDEX(B2423:B$2,-1+SUMPRODUCT(MAX(ROW(E2423:E$2)*(E2424=E2423:E$2)))))</f>
        <v> </v>
      </c>
      <c r="J2424" s="26" t="str">
        <f>IF(OR(E2424="",E2424="!!!",F2424="NEW"),"",COUNTBLANK(OFFSET(A$1,,,SUMPRODUCT(MAX(ROW(E$2:E2424)*(E2424=E$2:E2424)))))-COUNTBLANK(OFFSET(A$1,,,SUMPRODUCT(MAX(ROW(E$1:E2423)*(E2=E$1:E2423))))))</f>
        <v> </v>
      </c>
      <c r="K2424" s="26" t="str">
        <f>IF(OR(E2424="",E2424="!!!",F2424="NEW"),"",INDEX(J$1:J2423,SUMPRODUCT(MAX(ROW(E$1:E2423)*(E2424=E$1:E2423)))))</f>
        <v> </v>
      </c>
      <c r="L2424" s="27"/>
    </row>
    <row r="2425" spans="1:12">
      <c r="A2425" s="20" t="s">
        <v>1657</v>
      </c>
      <c r="E2425" s="22">
        <f>IF(D2425="?OLD","!!!","")</f>
        <v/>
      </c>
      <c r="F2425" s="23" t="str">
        <f>IF(OR(E2425="",E2425="!!!"),"",IF(NOT(ISNA(VLOOKUP(E2425,E$1:E2424,1,FALSE()))),"OLD",IF(AND(E2425&lt;&gt;"",E2425&lt;&gt;"!!!"),"NEW","")))</f>
        <v> </v>
      </c>
      <c r="G2425" s="24" t="str">
        <f>IF(OR(E2425="",E2425="!!!"),"",IF(OR(J2425=0,AND(J2425=1,K2425=1),AND(J2425=1,I2425="SBJ"),AND(J2425=1,I2425=0)),"?IN_FOCUS",IF(J2425&lt;=2,"?ACTIVATED",IF(J2425&lt;&gt;"","?FAMILIAR",IF(F2425="NEW",IF(ISNA(VLOOKUP(E2425,#REF!,1,FALSE())),"?TYPE_IDENTIFIABLE","?REFERENTIAL"),"_")))))</f>
        <v> </v>
      </c>
      <c r="H2425" s="25" t="str">
        <f>IF(J2425&lt;&gt;1,"",IF(I2425="SBJ","CB","?"))</f>
        <v> </v>
      </c>
      <c r="I2425" s="26" t="str">
        <f>IF(OR(E2425="",E2425="!!!",F2425="NEW"),"",INDEX(B2424:B$2,-1+SUMPRODUCT(MAX(ROW(E2424:E$2)*(E2425=E2424:E$2)))))</f>
        <v> </v>
      </c>
      <c r="J2425" s="26" t="str">
        <f>IF(OR(E2425="",E2425="!!!",F2425="NEW"),"",COUNTBLANK(OFFSET(A$1,,,SUMPRODUCT(MAX(ROW(E$2:E2425)*(E2425=E$2:E2425)))))-COUNTBLANK(OFFSET(A$1,,,SUMPRODUCT(MAX(ROW(E$1:E2424)*(E2=E$1:E2424))))))</f>
        <v> </v>
      </c>
      <c r="K2425" s="26" t="str">
        <f>IF(OR(E2425="",E2425="!!!",F2425="NEW"),"",INDEX(J$1:J2424,SUMPRODUCT(MAX(ROW(E$1:E2424)*(E2425=E$1:E2424)))))</f>
        <v> </v>
      </c>
      <c r="L2425" s="27"/>
    </row>
    <row r="2426" spans="1:12">
      <c r="A2426" s="20" t="s">
        <v>1658</v>
      </c>
      <c r="B2426" s="21" t="s">
        <v>736</v>
      </c>
      <c r="C2426" s="21" t="s">
        <v>737</v>
      </c>
      <c r="E2426" s="22">
        <f>IF(D2426="?OLD","!!!","")</f>
        <v/>
      </c>
      <c r="F2426" s="23" t="str">
        <f>IF(OR(E2426="",E2426="!!!"),"",IF(NOT(ISNA(VLOOKUP(E2426,E$1:E2425,1,FALSE()))),"OLD",IF(AND(E2426&lt;&gt;"",E2426&lt;&gt;"!!!"),"NEW","")))</f>
        <v> </v>
      </c>
      <c r="G2426" s="24" t="str">
        <f>IF(OR(E2426="",E2426="!!!"),"",IF(OR(J2426=0,AND(J2426=1,K2426=1),AND(J2426=1,I2426="SBJ"),AND(J2426=1,I2426=0)),"?IN_FOCUS",IF(J2426&lt;=2,"?ACTIVATED",IF(J2426&lt;&gt;"","?FAMILIAR",IF(F2426="NEW",IF(ISNA(VLOOKUP(E2426,#REF!,1,FALSE())),"?TYPE_IDENTIFIABLE","?REFERENTIAL"),"_")))))</f>
        <v> </v>
      </c>
      <c r="H2426" s="25" t="str">
        <f>IF(J2426&lt;&gt;1,"",IF(I2426="SBJ","CB","?"))</f>
        <v> </v>
      </c>
      <c r="I2426" s="26" t="str">
        <f>IF(OR(E2426="",E2426="!!!",F2426="NEW"),"",INDEX(B2425:B$2,-1+SUMPRODUCT(MAX(ROW(E2425:E$2)*(E2426=E2425:E$2)))))</f>
        <v> </v>
      </c>
      <c r="J2426" s="26" t="str">
        <f>IF(OR(E2426="",E2426="!!!",F2426="NEW"),"",COUNTBLANK(OFFSET(A$1,,,SUMPRODUCT(MAX(ROW(E$2:E2426)*(E2426=E$2:E2426)))))-COUNTBLANK(OFFSET(A$1,,,SUMPRODUCT(MAX(ROW(E$1:E2425)*(E2=E$1:E2425))))))</f>
        <v> </v>
      </c>
      <c r="K2426" s="26" t="str">
        <f>IF(OR(E2426="",E2426="!!!",F2426="NEW"),"",INDEX(J$1:J2425,SUMPRODUCT(MAX(ROW(E$1:E2425)*(E2426=E$1:E2425)))))</f>
        <v> </v>
      </c>
      <c r="L2426" s="27"/>
    </row>
    <row r="2427" spans="1:12">
      <c r="A2427" s="20" t="s">
        <v>759</v>
      </c>
      <c r="E2427" s="22">
        <f>IF(D2427="?OLD","!!!","")</f>
        <v/>
      </c>
      <c r="F2427" s="23" t="str">
        <f>IF(OR(E2427="",E2427="!!!"),"",IF(NOT(ISNA(VLOOKUP(E2427,E$1:E2426,1,FALSE()))),"OLD",IF(AND(E2427&lt;&gt;"",E2427&lt;&gt;"!!!"),"NEW","")))</f>
        <v> </v>
      </c>
      <c r="G2427" s="24" t="str">
        <f>IF(OR(E2427="",E2427="!!!"),"",IF(OR(J2427=0,AND(J2427=1,K2427=1),AND(J2427=1,I2427="SBJ"),AND(J2427=1,I2427=0)),"?IN_FOCUS",IF(J2427&lt;=2,"?ACTIVATED",IF(J2427&lt;&gt;"","?FAMILIAR",IF(F2427="NEW",IF(ISNA(VLOOKUP(E2427,#REF!,1,FALSE())),"?TYPE_IDENTIFIABLE","?REFERENTIAL"),"_")))))</f>
        <v> </v>
      </c>
      <c r="H2427" s="25" t="str">
        <f>IF(J2427&lt;&gt;1,"",IF(I2427="SBJ","CB","?"))</f>
        <v> </v>
      </c>
      <c r="I2427" s="26" t="str">
        <f>IF(OR(E2427="",E2427="!!!",F2427="NEW"),"",INDEX(B2426:B$2,-1+SUMPRODUCT(MAX(ROW(E2426:E$2)*(E2427=E2426:E$2)))))</f>
        <v> </v>
      </c>
      <c r="J2427" s="26" t="str">
        <f>IF(OR(E2427="",E2427="!!!",F2427="NEW"),"",COUNTBLANK(OFFSET(A$1,,,SUMPRODUCT(MAX(ROW(E$2:E2427)*(E2427=E$2:E2427)))))-COUNTBLANK(OFFSET(A$1,,,SUMPRODUCT(MAX(ROW(E$1:E2426)*(E2=E$1:E2426))))))</f>
        <v> </v>
      </c>
      <c r="K2427" s="26" t="str">
        <f>IF(OR(E2427="",E2427="!!!",F2427="NEW"),"",INDEX(J$1:J2426,SUMPRODUCT(MAX(ROW(E$1:E2426)*(E2427=E$1:E2426)))))</f>
        <v> </v>
      </c>
      <c r="L2427" s="27"/>
    </row>
    <row r="2428" spans="1:12">
      <c r="A2428" s="20" t="s">
        <v>952</v>
      </c>
      <c r="E2428" s="22">
        <f>IF(D2428="?OLD","!!!","")</f>
        <v/>
      </c>
      <c r="F2428" s="23" t="str">
        <f>IF(OR(E2428="",E2428="!!!"),"",IF(NOT(ISNA(VLOOKUP(E2428,E$1:E2427,1,FALSE()))),"OLD",IF(AND(E2428&lt;&gt;"",E2428&lt;&gt;"!!!"),"NEW","")))</f>
        <v> </v>
      </c>
      <c r="G2428" s="24" t="str">
        <f>IF(OR(E2428="",E2428="!!!"),"",IF(OR(J2428=0,AND(J2428=1,K2428=1),AND(J2428=1,I2428="SBJ"),AND(J2428=1,I2428=0)),"?IN_FOCUS",IF(J2428&lt;=2,"?ACTIVATED",IF(J2428&lt;&gt;"","?FAMILIAR",IF(F2428="NEW",IF(ISNA(VLOOKUP(E2428,#REF!,1,FALSE())),"?TYPE_IDENTIFIABLE","?REFERENTIAL"),"_")))))</f>
        <v> </v>
      </c>
      <c r="H2428" s="25" t="str">
        <f>IF(J2428&lt;&gt;1,"",IF(I2428="SBJ","CB","?"))</f>
        <v> </v>
      </c>
      <c r="I2428" s="26" t="str">
        <f>IF(OR(E2428="",E2428="!!!",F2428="NEW"),"",INDEX(B2427:B$2,-1+SUMPRODUCT(MAX(ROW(E2427:E$2)*(E2428=E2427:E$2)))))</f>
        <v> </v>
      </c>
      <c r="J2428" s="26" t="str">
        <f>IF(OR(E2428="",E2428="!!!",F2428="NEW"),"",COUNTBLANK(OFFSET(A$1,,,SUMPRODUCT(MAX(ROW(E$2:E2428)*(E2428=E$2:E2428)))))-COUNTBLANK(OFFSET(A$1,,,SUMPRODUCT(MAX(ROW(E$1:E2427)*(E2=E$1:E2427))))))</f>
        <v> </v>
      </c>
      <c r="K2428" s="26" t="str">
        <f>IF(OR(E2428="",E2428="!!!",F2428="NEW"),"",INDEX(J$1:J2427,SUMPRODUCT(MAX(ROW(E$1:E2427)*(E2428=E$1:E2427)))))</f>
        <v> </v>
      </c>
      <c r="L2428" s="27"/>
    </row>
    <row r="2429" spans="1:12">
      <c r="A2429" s="20" t="s">
        <v>859</v>
      </c>
      <c r="B2429" s="21" t="s">
        <v>796</v>
      </c>
      <c r="C2429" s="21" t="s">
        <v>789</v>
      </c>
      <c r="D2429" s="21" t="s">
        <v>730</v>
      </c>
      <c r="E2429" s="22">
        <f>IF(D2429="?OLD","!!!","")</f>
        <v/>
      </c>
      <c r="F2429" s="23" t="str">
        <f>IF(OR(E2429="",E2429="!!!"),"",IF(NOT(ISNA(VLOOKUP(E2429,E$1:E2428,1,FALSE()))),"OLD",IF(AND(E2429&lt;&gt;"",E2429&lt;&gt;"!!!"),"NEW","")))</f>
        <v> </v>
      </c>
      <c r="G2429" s="24" t="str">
        <f>IF(OR(E2429="",E2429="!!!"),"",IF(OR(J2429=0,AND(J2429=1,K2429=1),AND(J2429=1,I2429="SBJ"),AND(J2429=1,I2429=0)),"?IN_FOCUS",IF(J2429&lt;=2,"?ACTIVATED",IF(J2429&lt;&gt;"","?FAMILIAR",IF(F2429="NEW",IF(ISNA(VLOOKUP(E2429,#REF!,1,FALSE())),"?TYPE_IDENTIFIABLE","?REFERENTIAL"),"_")))))</f>
        <v> </v>
      </c>
      <c r="H2429" s="25" t="str">
        <f>IF(J2429&lt;&gt;1,"",IF(I2429="SBJ","CB","?"))</f>
        <v> </v>
      </c>
      <c r="I2429" s="26" t="str">
        <f>IF(OR(E2429="",E2429="!!!",F2429="NEW"),"",INDEX(B2428:B$2,-1+SUMPRODUCT(MAX(ROW(E2428:E$2)*(E2429=E2428:E$2)))))</f>
        <v> </v>
      </c>
      <c r="J2429" s="26" t="str">
        <f>IF(OR(E2429="",E2429="!!!",F2429="NEW"),"",COUNTBLANK(OFFSET(A$1,,,SUMPRODUCT(MAX(ROW(E$2:E2429)*(E2429=E$2:E2429)))))-COUNTBLANK(OFFSET(A$1,,,SUMPRODUCT(MAX(ROW(E$1:E2428)*(E2=E$1:E2428))))))</f>
        <v> </v>
      </c>
      <c r="K2429" s="26" t="str">
        <f>IF(OR(E2429="",E2429="!!!",F2429="NEW"),"",INDEX(J$1:J2428,SUMPRODUCT(MAX(ROW(E$1:E2428)*(E2429=E$1:E2428)))))</f>
        <v> </v>
      </c>
      <c r="L2429" s="27"/>
    </row>
    <row r="2430" spans="1:12">
      <c r="A2430" s="20" t="s">
        <v>776</v>
      </c>
      <c r="E2430" s="22">
        <f>IF(D2430="?OLD","!!!","")</f>
        <v/>
      </c>
      <c r="F2430" s="23" t="str">
        <f>IF(OR(E2430="",E2430="!!!"),"",IF(NOT(ISNA(VLOOKUP(E2430,E$1:E2429,1,FALSE()))),"OLD",IF(AND(E2430&lt;&gt;"",E2430&lt;&gt;"!!!"),"NEW","")))</f>
        <v> </v>
      </c>
      <c r="G2430" s="24" t="str">
        <f>IF(OR(E2430="",E2430="!!!"),"",IF(OR(J2430=0,AND(J2430=1,K2430=1),AND(J2430=1,I2430="SBJ"),AND(J2430=1,I2430=0)),"?IN_FOCUS",IF(J2430&lt;=2,"?ACTIVATED",IF(J2430&lt;&gt;"","?FAMILIAR",IF(F2430="NEW",IF(ISNA(VLOOKUP(E2430,#REF!,1,FALSE())),"?TYPE_IDENTIFIABLE","?REFERENTIAL"),"_")))))</f>
        <v> </v>
      </c>
      <c r="H2430" s="25" t="str">
        <f>IF(J2430&lt;&gt;1,"",IF(I2430="SBJ","CB","?"))</f>
        <v> </v>
      </c>
      <c r="I2430" s="26" t="str">
        <f>IF(OR(E2430="",E2430="!!!",F2430="NEW"),"",INDEX(B2429:B$2,-1+SUMPRODUCT(MAX(ROW(E2429:E$2)*(E2430=E2429:E$2)))))</f>
        <v> </v>
      </c>
      <c r="J2430" s="26" t="str">
        <f>IF(OR(E2430="",E2430="!!!",F2430="NEW"),"",COUNTBLANK(OFFSET(A$1,,,SUMPRODUCT(MAX(ROW(E$2:E2430)*(E2430=E$2:E2430)))))-COUNTBLANK(OFFSET(A$1,,,SUMPRODUCT(MAX(ROW(E$1:E2429)*(E2=E$1:E2429))))))</f>
        <v> </v>
      </c>
      <c r="K2430" s="26" t="str">
        <f>IF(OR(E2430="",E2430="!!!",F2430="NEW"),"",INDEX(J$1:J2429,SUMPRODUCT(MAX(ROW(E$1:E2429)*(E2430=E$1:E2429)))))</f>
        <v> </v>
      </c>
      <c r="L2430" s="27"/>
    </row>
    <row r="2431" spans="1:12">
      <c r="A2431" s="20" t="s">
        <v>1469</v>
      </c>
      <c r="E2431" s="22">
        <f>IF(D2431="?OLD","!!!","")</f>
        <v/>
      </c>
      <c r="F2431" s="23" t="str">
        <f>IF(OR(E2431="",E2431="!!!"),"",IF(NOT(ISNA(VLOOKUP(E2431,E$1:E2430,1,FALSE()))),"OLD",IF(AND(E2431&lt;&gt;"",E2431&lt;&gt;"!!!"),"NEW","")))</f>
        <v> </v>
      </c>
      <c r="G2431" s="24" t="str">
        <f>IF(OR(E2431="",E2431="!!!"),"",IF(OR(J2431=0,AND(J2431=1,K2431=1),AND(J2431=1,I2431="SBJ"),AND(J2431=1,I2431=0)),"?IN_FOCUS",IF(J2431&lt;=2,"?ACTIVATED",IF(J2431&lt;&gt;"","?FAMILIAR",IF(F2431="NEW",IF(ISNA(VLOOKUP(E2431,#REF!,1,FALSE())),"?TYPE_IDENTIFIABLE","?REFERENTIAL"),"_")))))</f>
        <v> </v>
      </c>
      <c r="H2431" s="25" t="str">
        <f>IF(J2431&lt;&gt;1,"",IF(I2431="SBJ","CB","?"))</f>
        <v> </v>
      </c>
      <c r="I2431" s="26" t="str">
        <f>IF(OR(E2431="",E2431="!!!",F2431="NEW"),"",INDEX(B2430:B$2,-1+SUMPRODUCT(MAX(ROW(E2430:E$2)*(E2431=E2430:E$2)))))</f>
        <v> </v>
      </c>
      <c r="J2431" s="26" t="str">
        <f>IF(OR(E2431="",E2431="!!!",F2431="NEW"),"",COUNTBLANK(OFFSET(A$1,,,SUMPRODUCT(MAX(ROW(E$2:E2431)*(E2431=E$2:E2431)))))-COUNTBLANK(OFFSET(A$1,,,SUMPRODUCT(MAX(ROW(E$1:E2430)*(E2=E$1:E2430))))))</f>
        <v> </v>
      </c>
      <c r="K2431" s="26" t="str">
        <f>IF(OR(E2431="",E2431="!!!",F2431="NEW"),"",INDEX(J$1:J2430,SUMPRODUCT(MAX(ROW(E$1:E2430)*(E2431=E$1:E2430)))))</f>
        <v> </v>
      </c>
      <c r="L2431" s="27"/>
    </row>
    <row r="2432" spans="1:12">
      <c r="A2432" s="20" t="s">
        <v>246</v>
      </c>
      <c r="E2432" s="22">
        <f>IF(D2432="?OLD","!!!","")</f>
        <v/>
      </c>
      <c r="F2432" s="23" t="str">
        <f>IF(OR(E2432="",E2432="!!!"),"",IF(NOT(ISNA(VLOOKUP(E2432,E$1:E2431,1,FALSE()))),"OLD",IF(AND(E2432&lt;&gt;"",E2432&lt;&gt;"!!!"),"NEW","")))</f>
        <v> </v>
      </c>
      <c r="G2432" s="24" t="str">
        <f>IF(OR(E2432="",E2432="!!!"),"",IF(OR(J2432=0,AND(J2432=1,K2432=1),AND(J2432=1,I2432="SBJ"),AND(J2432=1,I2432=0)),"?IN_FOCUS",IF(J2432&lt;=2,"?ACTIVATED",IF(J2432&lt;&gt;"","?FAMILIAR",IF(F2432="NEW",IF(ISNA(VLOOKUP(E2432,#REF!,1,FALSE())),"?TYPE_IDENTIFIABLE","?REFERENTIAL"),"_")))))</f>
        <v> </v>
      </c>
      <c r="H2432" s="25" t="str">
        <f>IF(J2432&lt;&gt;1,"",IF(I2432="SBJ","CB","?"))</f>
        <v> </v>
      </c>
      <c r="I2432" s="26" t="str">
        <f>IF(OR(E2432="",E2432="!!!",F2432="NEW"),"",INDEX(B2431:B$2,-1+SUMPRODUCT(MAX(ROW(E2431:E$2)*(E2432=E2431:E$2)))))</f>
        <v> </v>
      </c>
      <c r="J2432" s="26" t="str">
        <f>IF(OR(E2432="",E2432="!!!",F2432="NEW"),"",COUNTBLANK(OFFSET(A$1,,,SUMPRODUCT(MAX(ROW(E$2:E2432)*(E2432=E$2:E2432)))))-COUNTBLANK(OFFSET(A$1,,,SUMPRODUCT(MAX(ROW(E$1:E2431)*(E2=E$1:E2431))))))</f>
        <v> </v>
      </c>
      <c r="K2432" s="26" t="str">
        <f>IF(OR(E2432="",E2432="!!!",F2432="NEW"),"",INDEX(J$1:J2431,SUMPRODUCT(MAX(ROW(E$1:E2431)*(E2432=E$1:E2431)))))</f>
        <v> </v>
      </c>
      <c r="L2432" s="27"/>
    </row>
    <row r="2433" spans="1:12">
      <c r="A2433" s="20"/>
    </row>
    <row r="2434" spans="1:12">
      <c r="A2434" s="20" t="s">
        <v>1659</v>
      </c>
    </row>
    <row r="2435" spans="1:12">
      <c r="A2435" s="20" t="s">
        <v>768</v>
      </c>
      <c r="E2435" s="22">
        <f>IF(D2435="?OLD","!!!","")</f>
        <v/>
      </c>
      <c r="F2435" s="23" t="str">
        <f>IF(OR(E2435="",E2435="!!!"),"",IF(NOT(ISNA(VLOOKUP(E2435,E$1:E2434,1,FALSE()))),"OLD",IF(AND(E2435&lt;&gt;"",E2435&lt;&gt;"!!!"),"NEW","")))</f>
        <v> </v>
      </c>
      <c r="G2435" s="24" t="str">
        <f>IF(OR(E2435="",E2435="!!!"),"",IF(OR(J2435=0,AND(J2435=1,K2435=1),AND(J2435=1,I2435="SBJ"),AND(J2435=1,I2435=0)),"?IN_FOCUS",IF(J2435&lt;=2,"?ACTIVATED",IF(J2435&lt;&gt;"","?FAMILIAR",IF(F2435="NEW",IF(ISNA(VLOOKUP(E2435,#REF!,1,FALSE())),"?TYPE_IDENTIFIABLE","?REFERENTIAL"),"_")))))</f>
        <v> </v>
      </c>
      <c r="H2435" s="25" t="str">
        <f>IF(J2435&lt;&gt;1,"",IF(I2435="SBJ","CB","?"))</f>
        <v> </v>
      </c>
      <c r="I2435" s="26" t="str">
        <f>IF(OR(E2435="",E2435="!!!",F2435="NEW"),"",INDEX(B2434:B$2,-1+SUMPRODUCT(MAX(ROW(E2434:E$2)*(E2435=E2434:E$2)))))</f>
        <v> </v>
      </c>
      <c r="J2435" s="26" t="str">
        <f>IF(OR(E2435="",E2435="!!!",F2435="NEW"),"",COUNTBLANK(OFFSET(A$1,,,SUMPRODUCT(MAX(ROW(E$2:E2435)*(E2435=E$2:E2435)))))-COUNTBLANK(OFFSET(A$1,,,SUMPRODUCT(MAX(ROW(E$1:E2434)*(E2=E$1:E2434))))))</f>
        <v> </v>
      </c>
      <c r="K2435" s="26" t="str">
        <f>IF(OR(E2435="",E2435="!!!",F2435="NEW"),"",INDEX(J$1:J2434,SUMPRODUCT(MAX(ROW(E$1:E2434)*(E2435=E$1:E2434)))))</f>
        <v> </v>
      </c>
      <c r="L2435" s="27"/>
    </row>
    <row r="2436" spans="1:12">
      <c r="A2436" s="20" t="s">
        <v>944</v>
      </c>
      <c r="E2436" s="22">
        <f>IF(D2436="?OLD","!!!","")</f>
        <v/>
      </c>
      <c r="F2436" s="23" t="str">
        <f>IF(OR(E2436="",E2436="!!!"),"",IF(NOT(ISNA(VLOOKUP(E2436,E$1:E2435,1,FALSE()))),"OLD",IF(AND(E2436&lt;&gt;"",E2436&lt;&gt;"!!!"),"NEW","")))</f>
        <v> </v>
      </c>
      <c r="G2436" s="24" t="str">
        <f>IF(OR(E2436="",E2436="!!!"),"",IF(OR(J2436=0,AND(J2436=1,K2436=1),AND(J2436=1,I2436="SBJ"),AND(J2436=1,I2436=0)),"?IN_FOCUS",IF(J2436&lt;=2,"?ACTIVATED",IF(J2436&lt;&gt;"","?FAMILIAR",IF(F2436="NEW",IF(ISNA(VLOOKUP(E2436,#REF!,1,FALSE())),"?TYPE_IDENTIFIABLE","?REFERENTIAL"),"_")))))</f>
        <v> </v>
      </c>
      <c r="H2436" s="25" t="str">
        <f>IF(J2436&lt;&gt;1,"",IF(I2436="SBJ","CB","?"))</f>
        <v> </v>
      </c>
      <c r="I2436" s="26" t="str">
        <f>IF(OR(E2436="",E2436="!!!",F2436="NEW"),"",INDEX(B2435:B$2,-1+SUMPRODUCT(MAX(ROW(E2435:E$2)*(E2436=E2435:E$2)))))</f>
        <v> </v>
      </c>
      <c r="J2436" s="26" t="str">
        <f>IF(OR(E2436="",E2436="!!!",F2436="NEW"),"",COUNTBLANK(OFFSET(A$1,,,SUMPRODUCT(MAX(ROW(E$2:E2436)*(E2436=E$2:E2436)))))-COUNTBLANK(OFFSET(A$1,,,SUMPRODUCT(MAX(ROW(E$1:E2435)*(E2=E$1:E2435))))))</f>
        <v> </v>
      </c>
      <c r="K2436" s="26" t="str">
        <f>IF(OR(E2436="",E2436="!!!",F2436="NEW"),"",INDEX(J$1:J2435,SUMPRODUCT(MAX(ROW(E$1:E2435)*(E2436=E$1:E2435)))))</f>
        <v> </v>
      </c>
      <c r="L2436" s="27"/>
    </row>
    <row r="2437" spans="1:12">
      <c r="A2437" s="20" t="s">
        <v>1660</v>
      </c>
      <c r="E2437" s="22">
        <f>IF(D2437="?OLD","!!!","")</f>
        <v/>
      </c>
      <c r="F2437" s="23" t="str">
        <f>IF(OR(E2437="",E2437="!!!"),"",IF(NOT(ISNA(VLOOKUP(E2437,E$1:E2436,1,FALSE()))),"OLD",IF(AND(E2437&lt;&gt;"",E2437&lt;&gt;"!!!"),"NEW","")))</f>
        <v> </v>
      </c>
      <c r="G2437" s="24" t="str">
        <f>IF(OR(E2437="",E2437="!!!"),"",IF(OR(J2437=0,AND(J2437=1,K2437=1),AND(J2437=1,I2437="SBJ"),AND(J2437=1,I2437=0)),"?IN_FOCUS",IF(J2437&lt;=2,"?ACTIVATED",IF(J2437&lt;&gt;"","?FAMILIAR",IF(F2437="NEW",IF(ISNA(VLOOKUP(E2437,#REF!,1,FALSE())),"?TYPE_IDENTIFIABLE","?REFERENTIAL"),"_")))))</f>
        <v> </v>
      </c>
      <c r="H2437" s="25" t="str">
        <f>IF(J2437&lt;&gt;1,"",IF(I2437="SBJ","CB","?"))</f>
        <v> </v>
      </c>
      <c r="I2437" s="26" t="str">
        <f>IF(OR(E2437="",E2437="!!!",F2437="NEW"),"",INDEX(B2436:B$2,-1+SUMPRODUCT(MAX(ROW(E2436:E$2)*(E2437=E2436:E$2)))))</f>
        <v> </v>
      </c>
      <c r="J2437" s="26" t="str">
        <f>IF(OR(E2437="",E2437="!!!",F2437="NEW"),"",COUNTBLANK(OFFSET(A$1,,,SUMPRODUCT(MAX(ROW(E$2:E2437)*(E2437=E$2:E2437)))))-COUNTBLANK(OFFSET(A$1,,,SUMPRODUCT(MAX(ROW(E$1:E2436)*(E2=E$1:E2436))))))</f>
        <v> </v>
      </c>
      <c r="K2437" s="26" t="str">
        <f>IF(OR(E2437="",E2437="!!!",F2437="NEW"),"",INDEX(J$1:J2436,SUMPRODUCT(MAX(ROW(E$1:E2436)*(E2437=E$1:E2436)))))</f>
        <v> </v>
      </c>
      <c r="L2437" s="27"/>
    </row>
    <row r="2438" spans="1:12">
      <c r="A2438" s="20" t="s">
        <v>1450</v>
      </c>
      <c r="B2438" s="21" t="s">
        <v>728</v>
      </c>
      <c r="C2438" s="21" t="s">
        <v>756</v>
      </c>
      <c r="E2438" s="22">
        <f>IF(D2438="?OLD","!!!","")</f>
        <v/>
      </c>
      <c r="F2438" s="23" t="str">
        <f>IF(OR(E2438="",E2438="!!!"),"",IF(NOT(ISNA(VLOOKUP(E2438,E$1:E2437,1,FALSE()))),"OLD",IF(AND(E2438&lt;&gt;"",E2438&lt;&gt;"!!!"),"NEW","")))</f>
        <v> </v>
      </c>
      <c r="G2438" s="24" t="str">
        <f>IF(OR(E2438="",E2438="!!!"),"",IF(OR(J2438=0,AND(J2438=1,K2438=1),AND(J2438=1,I2438="SBJ"),AND(J2438=1,I2438=0)),"?IN_FOCUS",IF(J2438&lt;=2,"?ACTIVATED",IF(J2438&lt;&gt;"","?FAMILIAR",IF(F2438="NEW",IF(ISNA(VLOOKUP(E2438,#REF!,1,FALSE())),"?TYPE_IDENTIFIABLE","?REFERENTIAL"),"_")))))</f>
        <v> </v>
      </c>
      <c r="H2438" s="25" t="str">
        <f>IF(J2438&lt;&gt;1,"",IF(I2438="SBJ","CB","?"))</f>
        <v> </v>
      </c>
      <c r="I2438" s="26" t="str">
        <f>IF(OR(E2438="",E2438="!!!",F2438="NEW"),"",INDEX(B2437:B$2,-1+SUMPRODUCT(MAX(ROW(E2437:E$2)*(E2438=E2437:E$2)))))</f>
        <v> </v>
      </c>
      <c r="J2438" s="26" t="str">
        <f>IF(OR(E2438="",E2438="!!!",F2438="NEW"),"",COUNTBLANK(OFFSET(A$1,,,SUMPRODUCT(MAX(ROW(E$2:E2438)*(E2438=E$2:E2438)))))-COUNTBLANK(OFFSET(A$1,,,SUMPRODUCT(MAX(ROW(E$1:E2437)*(E2=E$1:E2437))))))</f>
        <v> </v>
      </c>
      <c r="K2438" s="26" t="str">
        <f>IF(OR(E2438="",E2438="!!!",F2438="NEW"),"",INDEX(J$1:J2437,SUMPRODUCT(MAX(ROW(E$1:E2437)*(E2438=E$1:E2437)))))</f>
        <v> </v>
      </c>
      <c r="L2438" s="27"/>
    </row>
    <row r="2439" spans="1:12">
      <c r="A2439" s="20" t="s">
        <v>873</v>
      </c>
      <c r="B2439" s="21" t="s">
        <v>796</v>
      </c>
      <c r="C2439" s="21" t="s">
        <v>748</v>
      </c>
      <c r="E2439" s="22">
        <f>IF(D2439="?OLD","!!!","")</f>
        <v/>
      </c>
      <c r="F2439" s="23" t="str">
        <f>IF(OR(E2439="",E2439="!!!"),"",IF(NOT(ISNA(VLOOKUP(E2439,E$1:E2438,1,FALSE()))),"OLD",IF(AND(E2439&lt;&gt;"",E2439&lt;&gt;"!!!"),"NEW","")))</f>
        <v> </v>
      </c>
      <c r="G2439" s="24" t="str">
        <f>IF(OR(E2439="",E2439="!!!"),"",IF(OR(J2439=0,AND(J2439=1,K2439=1),AND(J2439=1,I2439="SBJ"),AND(J2439=1,I2439=0)),"?IN_FOCUS",IF(J2439&lt;=2,"?ACTIVATED",IF(J2439&lt;&gt;"","?FAMILIAR",IF(F2439="NEW",IF(ISNA(VLOOKUP(E2439,#REF!,1,FALSE())),"?TYPE_IDENTIFIABLE","?REFERENTIAL"),"_")))))</f>
        <v> </v>
      </c>
      <c r="H2439" s="25" t="str">
        <f>IF(J2439&lt;&gt;1,"",IF(I2439="SBJ","CB","?"))</f>
        <v> </v>
      </c>
      <c r="I2439" s="26" t="str">
        <f>IF(OR(E2439="",E2439="!!!",F2439="NEW"),"",INDEX(B2438:B$2,-1+SUMPRODUCT(MAX(ROW(E2438:E$2)*(E2439=E2438:E$2)))))</f>
        <v> </v>
      </c>
      <c r="J2439" s="26" t="str">
        <f>IF(OR(E2439="",E2439="!!!",F2439="NEW"),"",COUNTBLANK(OFFSET(A$1,,,SUMPRODUCT(MAX(ROW(E$2:E2439)*(E2439=E$2:E2439)))))-COUNTBLANK(OFFSET(A$1,,,SUMPRODUCT(MAX(ROW(E$1:E2438)*(E2=E$1:E2438))))))</f>
        <v> </v>
      </c>
      <c r="K2439" s="26" t="str">
        <f>IF(OR(E2439="",E2439="!!!",F2439="NEW"),"",INDEX(J$1:J2438,SUMPRODUCT(MAX(ROW(E$1:E2438)*(E2439=E$1:E2438)))))</f>
        <v> </v>
      </c>
      <c r="L2439" s="27"/>
    </row>
    <row r="2440" spans="1:12">
      <c r="A2440" s="20" t="s">
        <v>759</v>
      </c>
      <c r="E2440" s="22">
        <f>IF(D2440="?OLD","!!!","")</f>
        <v/>
      </c>
      <c r="F2440" s="23" t="str">
        <f>IF(OR(E2440="",E2440="!!!"),"",IF(NOT(ISNA(VLOOKUP(E2440,E$1:E2439,1,FALSE()))),"OLD",IF(AND(E2440&lt;&gt;"",E2440&lt;&gt;"!!!"),"NEW","")))</f>
        <v> </v>
      </c>
      <c r="G2440" s="24" t="str">
        <f>IF(OR(E2440="",E2440="!!!"),"",IF(OR(J2440=0,AND(J2440=1,K2440=1),AND(J2440=1,I2440="SBJ"),AND(J2440=1,I2440=0)),"?IN_FOCUS",IF(J2440&lt;=2,"?ACTIVATED",IF(J2440&lt;&gt;"","?FAMILIAR",IF(F2440="NEW",IF(ISNA(VLOOKUP(E2440,#REF!,1,FALSE())),"?TYPE_IDENTIFIABLE","?REFERENTIAL"),"_")))))</f>
        <v> </v>
      </c>
      <c r="H2440" s="25" t="str">
        <f>IF(J2440&lt;&gt;1,"",IF(I2440="SBJ","CB","?"))</f>
        <v> </v>
      </c>
      <c r="I2440" s="26" t="str">
        <f>IF(OR(E2440="",E2440="!!!",F2440="NEW"),"",INDEX(B2439:B$2,-1+SUMPRODUCT(MAX(ROW(E2439:E$2)*(E2440=E2439:E$2)))))</f>
        <v> </v>
      </c>
      <c r="J2440" s="26" t="str">
        <f>IF(OR(E2440="",E2440="!!!",F2440="NEW"),"",COUNTBLANK(OFFSET(A$1,,,SUMPRODUCT(MAX(ROW(E$2:E2440)*(E2440=E$2:E2440)))))-COUNTBLANK(OFFSET(A$1,,,SUMPRODUCT(MAX(ROW(E$1:E2439)*(E2=E$1:E2439))))))</f>
        <v> </v>
      </c>
      <c r="K2440" s="26" t="str">
        <f>IF(OR(E2440="",E2440="!!!",F2440="NEW"),"",INDEX(J$1:J2439,SUMPRODUCT(MAX(ROW(E$1:E2439)*(E2440=E$1:E2439)))))</f>
        <v> </v>
      </c>
      <c r="L2440" s="27"/>
    </row>
    <row r="2441" spans="1:12">
      <c r="A2441" s="20" t="s">
        <v>813</v>
      </c>
      <c r="B2441" s="21" t="s">
        <v>777</v>
      </c>
      <c r="E2441" s="22">
        <f>IF(D2441="?OLD","!!!","")</f>
        <v/>
      </c>
      <c r="F2441" s="23" t="str">
        <f>IF(OR(E2441="",E2441="!!!"),"",IF(NOT(ISNA(VLOOKUP(E2441,E$1:E2440,1,FALSE()))),"OLD",IF(AND(E2441&lt;&gt;"",E2441&lt;&gt;"!!!"),"NEW","")))</f>
        <v> </v>
      </c>
      <c r="G2441" s="24" t="str">
        <f>IF(OR(E2441="",E2441="!!!"),"",IF(OR(J2441=0,AND(J2441=1,K2441=1),AND(J2441=1,I2441="SBJ"),AND(J2441=1,I2441=0)),"?IN_FOCUS",IF(J2441&lt;=2,"?ACTIVATED",IF(J2441&lt;&gt;"","?FAMILIAR",IF(F2441="NEW",IF(ISNA(VLOOKUP(E2441,#REF!,1,FALSE())),"?TYPE_IDENTIFIABLE","?REFERENTIAL"),"_")))))</f>
        <v> </v>
      </c>
      <c r="H2441" s="25" t="str">
        <f>IF(J2441&lt;&gt;1,"",IF(I2441="SBJ","CB","?"))</f>
        <v> </v>
      </c>
      <c r="I2441" s="26" t="str">
        <f>IF(OR(E2441="",E2441="!!!",F2441="NEW"),"",INDEX(B2440:B$2,-1+SUMPRODUCT(MAX(ROW(E2440:E$2)*(E2441=E2440:E$2)))))</f>
        <v> </v>
      </c>
      <c r="J2441" s="26" t="str">
        <f>IF(OR(E2441="",E2441="!!!",F2441="NEW"),"",COUNTBLANK(OFFSET(A$1,,,SUMPRODUCT(MAX(ROW(E$2:E2441)*(E2441=E$2:E2441)))))-COUNTBLANK(OFFSET(A$1,,,SUMPRODUCT(MAX(ROW(E$1:E2440)*(E2=E$1:E2440))))))</f>
        <v> </v>
      </c>
      <c r="K2441" s="26" t="str">
        <f>IF(OR(E2441="",E2441="!!!",F2441="NEW"),"",INDEX(J$1:J2440,SUMPRODUCT(MAX(ROW(E$1:E2440)*(E2441=E$1:E2440)))))</f>
        <v> </v>
      </c>
      <c r="L2441" s="27"/>
    </row>
    <row r="2442" spans="1:12">
      <c r="A2442" s="20" t="s">
        <v>1661</v>
      </c>
      <c r="E2442" s="22">
        <f>IF(D2442="?OLD","!!!","")</f>
        <v/>
      </c>
      <c r="F2442" s="23" t="str">
        <f>IF(OR(E2442="",E2442="!!!"),"",IF(NOT(ISNA(VLOOKUP(E2442,E$1:E2441,1,FALSE()))),"OLD",IF(AND(E2442&lt;&gt;"",E2442&lt;&gt;"!!!"),"NEW","")))</f>
        <v> </v>
      </c>
      <c r="G2442" s="24" t="str">
        <f>IF(OR(E2442="",E2442="!!!"),"",IF(OR(J2442=0,AND(J2442=1,K2442=1),AND(J2442=1,I2442="SBJ"),AND(J2442=1,I2442=0)),"?IN_FOCUS",IF(J2442&lt;=2,"?ACTIVATED",IF(J2442&lt;&gt;"","?FAMILIAR",IF(F2442="NEW",IF(ISNA(VLOOKUP(E2442,#REF!,1,FALSE())),"?TYPE_IDENTIFIABLE","?REFERENTIAL"),"_")))))</f>
        <v> </v>
      </c>
      <c r="H2442" s="25" t="str">
        <f>IF(J2442&lt;&gt;1,"",IF(I2442="SBJ","CB","?"))</f>
        <v> </v>
      </c>
      <c r="I2442" s="26" t="str">
        <f>IF(OR(E2442="",E2442="!!!",F2442="NEW"),"",INDEX(B2441:B$2,-1+SUMPRODUCT(MAX(ROW(E2441:E$2)*(E2442=E2441:E$2)))))</f>
        <v> </v>
      </c>
      <c r="J2442" s="26" t="str">
        <f>IF(OR(E2442="",E2442="!!!",F2442="NEW"),"",COUNTBLANK(OFFSET(A$1,,,SUMPRODUCT(MAX(ROW(E$2:E2442)*(E2442=E$2:E2442)))))-COUNTBLANK(OFFSET(A$1,,,SUMPRODUCT(MAX(ROW(E$1:E2441)*(E2=E$1:E2441))))))</f>
        <v> </v>
      </c>
      <c r="K2442" s="26" t="str">
        <f>IF(OR(E2442="",E2442="!!!",F2442="NEW"),"",INDEX(J$1:J2441,SUMPRODUCT(MAX(ROW(E$1:E2441)*(E2442=E$1:E2441)))))</f>
        <v> </v>
      </c>
      <c r="L2442" s="27"/>
    </row>
    <row r="2443" spans="1:12">
      <c r="A2443" s="20" t="s">
        <v>1662</v>
      </c>
      <c r="E2443" s="22">
        <f>IF(D2443="?OLD","!!!","")</f>
        <v/>
      </c>
      <c r="F2443" s="23" t="str">
        <f>IF(OR(E2443="",E2443="!!!"),"",IF(NOT(ISNA(VLOOKUP(E2443,E$1:E2442,1,FALSE()))),"OLD",IF(AND(E2443&lt;&gt;"",E2443&lt;&gt;"!!!"),"NEW","")))</f>
        <v> </v>
      </c>
      <c r="G2443" s="24" t="str">
        <f>IF(OR(E2443="",E2443="!!!"),"",IF(OR(J2443=0,AND(J2443=1,K2443=1),AND(J2443=1,I2443="SBJ"),AND(J2443=1,I2443=0)),"?IN_FOCUS",IF(J2443&lt;=2,"?ACTIVATED",IF(J2443&lt;&gt;"","?FAMILIAR",IF(F2443="NEW",IF(ISNA(VLOOKUP(E2443,#REF!,1,FALSE())),"?TYPE_IDENTIFIABLE","?REFERENTIAL"),"_")))))</f>
        <v> </v>
      </c>
      <c r="H2443" s="25" t="str">
        <f>IF(J2443&lt;&gt;1,"",IF(I2443="SBJ","CB","?"))</f>
        <v> </v>
      </c>
      <c r="I2443" s="26" t="str">
        <f>IF(OR(E2443="",E2443="!!!",F2443="NEW"),"",INDEX(B2442:B$2,-1+SUMPRODUCT(MAX(ROW(E2442:E$2)*(E2443=E2442:E$2)))))</f>
        <v> </v>
      </c>
      <c r="J2443" s="26" t="str">
        <f>IF(OR(E2443="",E2443="!!!",F2443="NEW"),"",COUNTBLANK(OFFSET(A$1,,,SUMPRODUCT(MAX(ROW(E$2:E2443)*(E2443=E$2:E2443)))))-COUNTBLANK(OFFSET(A$1,,,SUMPRODUCT(MAX(ROW(E$1:E2442)*(E2=E$1:E2442))))))</f>
        <v> </v>
      </c>
      <c r="K2443" s="26" t="str">
        <f>IF(OR(E2443="",E2443="!!!",F2443="NEW"),"",INDEX(J$1:J2442,SUMPRODUCT(MAX(ROW(E$1:E2442)*(E2443=E$1:E2442)))))</f>
        <v> </v>
      </c>
      <c r="L2443" s="27"/>
    </row>
    <row r="2444" spans="1:12">
      <c r="A2444" s="20" t="s">
        <v>733</v>
      </c>
      <c r="E2444" s="22">
        <f>IF(D2444="?OLD","!!!","")</f>
        <v/>
      </c>
      <c r="F2444" s="23" t="str">
        <f>IF(OR(E2444="",E2444="!!!"),"",IF(NOT(ISNA(VLOOKUP(E2444,E$1:E2443,1,FALSE()))),"OLD",IF(AND(E2444&lt;&gt;"",E2444&lt;&gt;"!!!"),"NEW","")))</f>
        <v> </v>
      </c>
      <c r="G2444" s="24" t="str">
        <f>IF(OR(E2444="",E2444="!!!"),"",IF(OR(J2444=0,AND(J2444=1,K2444=1),AND(J2444=1,I2444="SBJ"),AND(J2444=1,I2444=0)),"?IN_FOCUS",IF(J2444&lt;=2,"?ACTIVATED",IF(J2444&lt;&gt;"","?FAMILIAR",IF(F2444="NEW",IF(ISNA(VLOOKUP(E2444,#REF!,1,FALSE())),"?TYPE_IDENTIFIABLE","?REFERENTIAL"),"_")))))</f>
        <v> </v>
      </c>
      <c r="H2444" s="25" t="str">
        <f>IF(J2444&lt;&gt;1,"",IF(I2444="SBJ","CB","?"))</f>
        <v> </v>
      </c>
      <c r="I2444" s="26" t="str">
        <f>IF(OR(E2444="",E2444="!!!",F2444="NEW"),"",INDEX(B2443:B$2,-1+SUMPRODUCT(MAX(ROW(E2443:E$2)*(E2444=E2443:E$2)))))</f>
        <v> </v>
      </c>
      <c r="J2444" s="26" t="str">
        <f>IF(OR(E2444="",E2444="!!!",F2444="NEW"),"",COUNTBLANK(OFFSET(A$1,,,SUMPRODUCT(MAX(ROW(E$2:E2444)*(E2444=E$2:E2444)))))-COUNTBLANK(OFFSET(A$1,,,SUMPRODUCT(MAX(ROW(E$1:E2443)*(E2=E$1:E2443))))))</f>
        <v> </v>
      </c>
      <c r="K2444" s="26" t="str">
        <f>IF(OR(E2444="",E2444="!!!",F2444="NEW"),"",INDEX(J$1:J2443,SUMPRODUCT(MAX(ROW(E$1:E2443)*(E2444=E$1:E2443)))))</f>
        <v> </v>
      </c>
      <c r="L2444" s="27"/>
    </row>
    <row r="2445" spans="1:12">
      <c r="A2445" s="20" t="s">
        <v>1077</v>
      </c>
      <c r="E2445" s="22">
        <f>IF(D2445="?OLD","!!!","")</f>
        <v/>
      </c>
      <c r="F2445" s="23" t="str">
        <f>IF(OR(E2445="",E2445="!!!"),"",IF(NOT(ISNA(VLOOKUP(E2445,E$1:E2444,1,FALSE()))),"OLD",IF(AND(E2445&lt;&gt;"",E2445&lt;&gt;"!!!"),"NEW","")))</f>
        <v> </v>
      </c>
      <c r="G2445" s="24" t="str">
        <f>IF(OR(E2445="",E2445="!!!"),"",IF(OR(J2445=0,AND(J2445=1,K2445=1),AND(J2445=1,I2445="SBJ"),AND(J2445=1,I2445=0)),"?IN_FOCUS",IF(J2445&lt;=2,"?ACTIVATED",IF(J2445&lt;&gt;"","?FAMILIAR",IF(F2445="NEW",IF(ISNA(VLOOKUP(E2445,#REF!,1,FALSE())),"?TYPE_IDENTIFIABLE","?REFERENTIAL"),"_")))))</f>
        <v> </v>
      </c>
      <c r="H2445" s="25" t="str">
        <f>IF(J2445&lt;&gt;1,"",IF(I2445="SBJ","CB","?"))</f>
        <v> </v>
      </c>
      <c r="I2445" s="26" t="str">
        <f>IF(OR(E2445="",E2445="!!!",F2445="NEW"),"",INDEX(B2444:B$2,-1+SUMPRODUCT(MAX(ROW(E2444:E$2)*(E2445=E2444:E$2)))))</f>
        <v> </v>
      </c>
      <c r="J2445" s="26" t="str">
        <f>IF(OR(E2445="",E2445="!!!",F2445="NEW"),"",COUNTBLANK(OFFSET(A$1,,,SUMPRODUCT(MAX(ROW(E$2:E2445)*(E2445=E$2:E2445)))))-COUNTBLANK(OFFSET(A$1,,,SUMPRODUCT(MAX(ROW(E$1:E2444)*(E2=E$1:E2444))))))</f>
        <v> </v>
      </c>
      <c r="K2445" s="26" t="str">
        <f>IF(OR(E2445="",E2445="!!!",F2445="NEW"),"",INDEX(J$1:J2444,SUMPRODUCT(MAX(ROW(E$1:E2444)*(E2445=E$1:E2444)))))</f>
        <v> </v>
      </c>
      <c r="L2445" s="27"/>
    </row>
    <row r="2446" spans="1:12">
      <c r="A2446" s="20" t="s">
        <v>1663</v>
      </c>
      <c r="B2446" s="21" t="s">
        <v>783</v>
      </c>
      <c r="C2446" s="21" t="s">
        <v>737</v>
      </c>
      <c r="E2446" s="22">
        <f>IF(D2446="?OLD","!!!","")</f>
        <v/>
      </c>
      <c r="F2446" s="23" t="str">
        <f>IF(OR(E2446="",E2446="!!!"),"",IF(NOT(ISNA(VLOOKUP(E2446,E$1:E2445,1,FALSE()))),"OLD",IF(AND(E2446&lt;&gt;"",E2446&lt;&gt;"!!!"),"NEW","")))</f>
        <v> </v>
      </c>
      <c r="G2446" s="24" t="str">
        <f>IF(OR(E2446="",E2446="!!!"),"",IF(OR(J2446=0,AND(J2446=1,K2446=1),AND(J2446=1,I2446="SBJ"),AND(J2446=1,I2446=0)),"?IN_FOCUS",IF(J2446&lt;=2,"?ACTIVATED",IF(J2446&lt;&gt;"","?FAMILIAR",IF(F2446="NEW",IF(ISNA(VLOOKUP(E2446,#REF!,1,FALSE())),"?TYPE_IDENTIFIABLE","?REFERENTIAL"),"_")))))</f>
        <v> </v>
      </c>
      <c r="H2446" s="25" t="str">
        <f>IF(J2446&lt;&gt;1,"",IF(I2446="SBJ","CB","?"))</f>
        <v> </v>
      </c>
      <c r="I2446" s="26" t="str">
        <f>IF(OR(E2446="",E2446="!!!",F2446="NEW"),"",INDEX(B2445:B$2,-1+SUMPRODUCT(MAX(ROW(E2445:E$2)*(E2446=E2445:E$2)))))</f>
        <v> </v>
      </c>
      <c r="J2446" s="26" t="str">
        <f>IF(OR(E2446="",E2446="!!!",F2446="NEW"),"",COUNTBLANK(OFFSET(A$1,,,SUMPRODUCT(MAX(ROW(E$2:E2446)*(E2446=E$2:E2446)))))-COUNTBLANK(OFFSET(A$1,,,SUMPRODUCT(MAX(ROW(E$1:E2445)*(E2=E$1:E2445))))))</f>
        <v> </v>
      </c>
      <c r="K2446" s="26" t="str">
        <f>IF(OR(E2446="",E2446="!!!",F2446="NEW"),"",INDEX(J$1:J2445,SUMPRODUCT(MAX(ROW(E$1:E2445)*(E2446=E$1:E2445)))))</f>
        <v> </v>
      </c>
      <c r="L2446" s="27"/>
    </row>
    <row r="2447" spans="1:12">
      <c r="A2447" s="20" t="s">
        <v>1664</v>
      </c>
      <c r="B2447" s="21" t="s">
        <v>778</v>
      </c>
      <c r="C2447" s="21" t="s">
        <v>740</v>
      </c>
      <c r="D2447" s="21" t="s">
        <v>730</v>
      </c>
      <c r="E2447" s="22">
        <f>IF(D2447="?OLD","!!!","")</f>
        <v/>
      </c>
      <c r="F2447" s="23" t="str">
        <f>IF(OR(E2447="",E2447="!!!"),"",IF(NOT(ISNA(VLOOKUP(E2447,E$1:E2446,1,FALSE()))),"OLD",IF(AND(E2447&lt;&gt;"",E2447&lt;&gt;"!!!"),"NEW","")))</f>
        <v> </v>
      </c>
      <c r="G2447" s="24" t="str">
        <f>IF(OR(E2447="",E2447="!!!"),"",IF(OR(J2447=0,AND(J2447=1,K2447=1),AND(J2447=1,I2447="SBJ"),AND(J2447=1,I2447=0)),"?IN_FOCUS",IF(J2447&lt;=2,"?ACTIVATED",IF(J2447&lt;&gt;"","?FAMILIAR",IF(F2447="NEW",IF(ISNA(VLOOKUP(E2447,#REF!,1,FALSE())),"?TYPE_IDENTIFIABLE","?REFERENTIAL"),"_")))))</f>
        <v> </v>
      </c>
      <c r="H2447" s="25" t="str">
        <f>IF(J2447&lt;&gt;1,"",IF(I2447="SBJ","CB","?"))</f>
        <v> </v>
      </c>
      <c r="I2447" s="26" t="str">
        <f>IF(OR(E2447="",E2447="!!!",F2447="NEW"),"",INDEX(B2446:B$2,-1+SUMPRODUCT(MAX(ROW(E2446:E$2)*(E2447=E2446:E$2)))))</f>
        <v> </v>
      </c>
      <c r="J2447" s="26" t="str">
        <f>IF(OR(E2447="",E2447="!!!",F2447="NEW"),"",COUNTBLANK(OFFSET(A$1,,,SUMPRODUCT(MAX(ROW(E$2:E2447)*(E2447=E$2:E2447)))))-COUNTBLANK(OFFSET(A$1,,,SUMPRODUCT(MAX(ROW(E$1:E2446)*(E2=E$1:E2446))))))</f>
        <v> </v>
      </c>
      <c r="K2447" s="26" t="str">
        <f>IF(OR(E2447="",E2447="!!!",F2447="NEW"),"",INDEX(J$1:J2446,SUMPRODUCT(MAX(ROW(E$1:E2446)*(E2447=E$1:E2446)))))</f>
        <v> </v>
      </c>
      <c r="L2447" s="27"/>
    </row>
    <row r="2448" spans="1:12">
      <c r="A2448" s="20" t="s">
        <v>242</v>
      </c>
      <c r="E2448" s="22">
        <f>IF(D2448="?OLD","!!!","")</f>
        <v/>
      </c>
      <c r="F2448" s="23" t="str">
        <f>IF(OR(E2448="",E2448="!!!"),"",IF(NOT(ISNA(VLOOKUP(E2448,E$1:E2447,1,FALSE()))),"OLD",IF(AND(E2448&lt;&gt;"",E2448&lt;&gt;"!!!"),"NEW","")))</f>
        <v> </v>
      </c>
      <c r="G2448" s="24" t="str">
        <f>IF(OR(E2448="",E2448="!!!"),"",IF(OR(J2448=0,AND(J2448=1,K2448=1),AND(J2448=1,I2448="SBJ"),AND(J2448=1,I2448=0)),"?IN_FOCUS",IF(J2448&lt;=2,"?ACTIVATED",IF(J2448&lt;&gt;"","?FAMILIAR",IF(F2448="NEW",IF(ISNA(VLOOKUP(E2448,#REF!,1,FALSE())),"?TYPE_IDENTIFIABLE","?REFERENTIAL"),"_")))))</f>
        <v> </v>
      </c>
      <c r="H2448" s="25" t="str">
        <f>IF(J2448&lt;&gt;1,"",IF(I2448="SBJ","CB","?"))</f>
        <v> </v>
      </c>
      <c r="I2448" s="26" t="str">
        <f>IF(OR(E2448="",E2448="!!!",F2448="NEW"),"",INDEX(B2447:B$2,-1+SUMPRODUCT(MAX(ROW(E2447:E$2)*(E2448=E2447:E$2)))))</f>
        <v> </v>
      </c>
      <c r="J2448" s="26" t="str">
        <f>IF(OR(E2448="",E2448="!!!",F2448="NEW"),"",COUNTBLANK(OFFSET(A$1,,,SUMPRODUCT(MAX(ROW(E$2:E2448)*(E2448=E$2:E2448)))))-COUNTBLANK(OFFSET(A$1,,,SUMPRODUCT(MAX(ROW(E$1:E2447)*(E2=E$1:E2447))))))</f>
        <v> </v>
      </c>
      <c r="K2448" s="26" t="str">
        <f>IF(OR(E2448="",E2448="!!!",F2448="NEW"),"",INDEX(J$1:J2447,SUMPRODUCT(MAX(ROW(E$1:E2447)*(E2448=E$1:E2447)))))</f>
        <v> </v>
      </c>
      <c r="L2448" s="27"/>
    </row>
    <row r="2449" spans="1:12">
      <c r="A2449" s="20" t="s">
        <v>1665</v>
      </c>
      <c r="B2449" s="21" t="s">
        <v>764</v>
      </c>
      <c r="C2449" s="21" t="s">
        <v>748</v>
      </c>
      <c r="E2449" s="22">
        <f>IF(D2449="?OLD","!!!","")</f>
        <v/>
      </c>
      <c r="F2449" s="23" t="str">
        <f>IF(OR(E2449="",E2449="!!!"),"",IF(NOT(ISNA(VLOOKUP(E2449,E$1:E2448,1,FALSE()))),"OLD",IF(AND(E2449&lt;&gt;"",E2449&lt;&gt;"!!!"),"NEW","")))</f>
        <v> </v>
      </c>
      <c r="G2449" s="24" t="str">
        <f>IF(OR(E2449="",E2449="!!!"),"",IF(OR(J2449=0,AND(J2449=1,K2449=1),AND(J2449=1,I2449="SBJ"),AND(J2449=1,I2449=0)),"?IN_FOCUS",IF(J2449&lt;=2,"?ACTIVATED",IF(J2449&lt;&gt;"","?FAMILIAR",IF(F2449="NEW",IF(ISNA(VLOOKUP(E2449,#REF!,1,FALSE())),"?TYPE_IDENTIFIABLE","?REFERENTIAL"),"_")))))</f>
        <v> </v>
      </c>
      <c r="H2449" s="25" t="str">
        <f>IF(J2449&lt;&gt;1,"",IF(I2449="SBJ","CB","?"))</f>
        <v> </v>
      </c>
      <c r="I2449" s="26" t="str">
        <f>IF(OR(E2449="",E2449="!!!",F2449="NEW"),"",INDEX(B2448:B$2,-1+SUMPRODUCT(MAX(ROW(E2448:E$2)*(E2449=E2448:E$2)))))</f>
        <v> </v>
      </c>
      <c r="J2449" s="26" t="str">
        <f>IF(OR(E2449="",E2449="!!!",F2449="NEW"),"",COUNTBLANK(OFFSET(A$1,,,SUMPRODUCT(MAX(ROW(E$2:E2449)*(E2449=E$2:E2449)))))-COUNTBLANK(OFFSET(A$1,,,SUMPRODUCT(MAX(ROW(E$1:E2448)*(E2=E$1:E2448))))))</f>
        <v> </v>
      </c>
      <c r="K2449" s="26" t="str">
        <f>IF(OR(E2449="",E2449="!!!",F2449="NEW"),"",INDEX(J$1:J2448,SUMPRODUCT(MAX(ROW(E$1:E2448)*(E2449=E$1:E2448)))))</f>
        <v> </v>
      </c>
      <c r="L2449" s="27"/>
    </row>
    <row r="2450" spans="1:12">
      <c r="A2450" s="20" t="s">
        <v>493</v>
      </c>
      <c r="E2450" s="22">
        <f>IF(D2450="?OLD","!!!","")</f>
        <v/>
      </c>
      <c r="F2450" s="23" t="str">
        <f>IF(OR(E2450="",E2450="!!!"),"",IF(NOT(ISNA(VLOOKUP(E2450,E$1:E2449,1,FALSE()))),"OLD",IF(AND(E2450&lt;&gt;"",E2450&lt;&gt;"!!!"),"NEW","")))</f>
        <v> </v>
      </c>
      <c r="G2450" s="24" t="str">
        <f>IF(OR(E2450="",E2450="!!!"),"",IF(OR(J2450=0,AND(J2450=1,K2450=1),AND(J2450=1,I2450="SBJ"),AND(J2450=1,I2450=0)),"?IN_FOCUS",IF(J2450&lt;=2,"?ACTIVATED",IF(J2450&lt;&gt;"","?FAMILIAR",IF(F2450="NEW",IF(ISNA(VLOOKUP(E2450,#REF!,1,FALSE())),"?TYPE_IDENTIFIABLE","?REFERENTIAL"),"_")))))</f>
        <v> </v>
      </c>
      <c r="H2450" s="25" t="str">
        <f>IF(J2450&lt;&gt;1,"",IF(I2450="SBJ","CB","?"))</f>
        <v> </v>
      </c>
      <c r="I2450" s="26" t="str">
        <f>IF(OR(E2450="",E2450="!!!",F2450="NEW"),"",INDEX(B2449:B$2,-1+SUMPRODUCT(MAX(ROW(E2449:E$2)*(E2450=E2449:E$2)))))</f>
        <v> </v>
      </c>
      <c r="J2450" s="26" t="str">
        <f>IF(OR(E2450="",E2450="!!!",F2450="NEW"),"",COUNTBLANK(OFFSET(A$1,,,SUMPRODUCT(MAX(ROW(E$2:E2450)*(E2450=E$2:E2450)))))-COUNTBLANK(OFFSET(A$1,,,SUMPRODUCT(MAX(ROW(E$1:E2449)*(E2=E$1:E2449))))))</f>
        <v> </v>
      </c>
      <c r="K2450" s="26" t="str">
        <f>IF(OR(E2450="",E2450="!!!",F2450="NEW"),"",INDEX(J$1:J2449,SUMPRODUCT(MAX(ROW(E$1:E2449)*(E2450=E$1:E2449)))))</f>
        <v> </v>
      </c>
      <c r="L2450" s="27"/>
    </row>
    <row r="2451" spans="1:12">
      <c r="A2451" s="20" t="s">
        <v>246</v>
      </c>
      <c r="E2451" s="22">
        <f>IF(D2451="?OLD","!!!","")</f>
        <v/>
      </c>
      <c r="F2451" s="23" t="str">
        <f>IF(OR(E2451="",E2451="!!!"),"",IF(NOT(ISNA(VLOOKUP(E2451,E$1:E2450,1,FALSE()))),"OLD",IF(AND(E2451&lt;&gt;"",E2451&lt;&gt;"!!!"),"NEW","")))</f>
        <v> </v>
      </c>
      <c r="G2451" s="24" t="str">
        <f>IF(OR(E2451="",E2451="!!!"),"",IF(OR(J2451=0,AND(J2451=1,K2451=1),AND(J2451=1,I2451="SBJ"),AND(J2451=1,I2451=0)),"?IN_FOCUS",IF(J2451&lt;=2,"?ACTIVATED",IF(J2451&lt;&gt;"","?FAMILIAR",IF(F2451="NEW",IF(ISNA(VLOOKUP(E2451,#REF!,1,FALSE())),"?TYPE_IDENTIFIABLE","?REFERENTIAL"),"_")))))</f>
        <v> </v>
      </c>
      <c r="H2451" s="25" t="str">
        <f>IF(J2451&lt;&gt;1,"",IF(I2451="SBJ","CB","?"))</f>
        <v> </v>
      </c>
      <c r="I2451" s="26" t="str">
        <f>IF(OR(E2451="",E2451="!!!",F2451="NEW"),"",INDEX(B2450:B$2,-1+SUMPRODUCT(MAX(ROW(E2450:E$2)*(E2451=E2450:E$2)))))</f>
        <v> </v>
      </c>
      <c r="J2451" s="26" t="str">
        <f>IF(OR(E2451="",E2451="!!!",F2451="NEW"),"",COUNTBLANK(OFFSET(A$1,,,SUMPRODUCT(MAX(ROW(E$2:E2451)*(E2451=E$2:E2451)))))-COUNTBLANK(OFFSET(A$1,,,SUMPRODUCT(MAX(ROW(E$1:E2450)*(E2=E$1:E2450))))))</f>
        <v> </v>
      </c>
      <c r="K2451" s="26" t="str">
        <f>IF(OR(E2451="",E2451="!!!",F2451="NEW"),"",INDEX(J$1:J2450,SUMPRODUCT(MAX(ROW(E$1:E2450)*(E2451=E$1:E2450)))))</f>
        <v> </v>
      </c>
      <c r="L2451" s="27"/>
    </row>
    <row r="2452" spans="1:12">
      <c r="A2452" s="20"/>
    </row>
    <row r="2453" spans="1:12">
      <c r="A2453" s="20" t="s">
        <v>1666</v>
      </c>
    </row>
    <row r="2454" spans="1:12">
      <c r="A2454" s="20" t="s">
        <v>768</v>
      </c>
      <c r="E2454" s="22">
        <f>IF(D2454="?OLD","!!!","")</f>
        <v/>
      </c>
      <c r="F2454" s="23" t="str">
        <f>IF(OR(E2454="",E2454="!!!"),"",IF(NOT(ISNA(VLOOKUP(E2454,E$1:E2453,1,FALSE()))),"OLD",IF(AND(E2454&lt;&gt;"",E2454&lt;&gt;"!!!"),"NEW","")))</f>
        <v> </v>
      </c>
      <c r="G2454" s="24" t="str">
        <f>IF(OR(E2454="",E2454="!!!"),"",IF(OR(J2454=0,AND(J2454=1,K2454=1),AND(J2454=1,I2454="SBJ"),AND(J2454=1,I2454=0)),"?IN_FOCUS",IF(J2454&lt;=2,"?ACTIVATED",IF(J2454&lt;&gt;"","?FAMILIAR",IF(F2454="NEW",IF(ISNA(VLOOKUP(E2454,#REF!,1,FALSE())),"?TYPE_IDENTIFIABLE","?REFERENTIAL"),"_")))))</f>
        <v> </v>
      </c>
      <c r="H2454" s="25" t="str">
        <f>IF(J2454&lt;&gt;1,"",IF(I2454="SBJ","CB","?"))</f>
        <v> </v>
      </c>
      <c r="I2454" s="26" t="str">
        <f>IF(OR(E2454="",E2454="!!!",F2454="NEW"),"",INDEX(B2453:B$2,-1+SUMPRODUCT(MAX(ROW(E2453:E$2)*(E2454=E2453:E$2)))))</f>
        <v> </v>
      </c>
      <c r="J2454" s="26" t="str">
        <f>IF(OR(E2454="",E2454="!!!",F2454="NEW"),"",COUNTBLANK(OFFSET(A$1,,,SUMPRODUCT(MAX(ROW(E$2:E2454)*(E2454=E$2:E2454)))))-COUNTBLANK(OFFSET(A$1,,,SUMPRODUCT(MAX(ROW(E$1:E2453)*(E2=E$1:E2453))))))</f>
        <v> </v>
      </c>
      <c r="K2454" s="26" t="str">
        <f>IF(OR(E2454="",E2454="!!!",F2454="NEW"),"",INDEX(J$1:J2453,SUMPRODUCT(MAX(ROW(E$1:E2453)*(E2454=E$1:E2453)))))</f>
        <v> </v>
      </c>
      <c r="L2454" s="27"/>
    </row>
    <row r="2455" spans="1:12">
      <c r="A2455" s="20" t="s">
        <v>1450</v>
      </c>
      <c r="B2455" s="21" t="s">
        <v>728</v>
      </c>
      <c r="C2455" s="21" t="s">
        <v>756</v>
      </c>
      <c r="E2455" s="22">
        <f>IF(D2455="?OLD","!!!","")</f>
        <v/>
      </c>
      <c r="F2455" s="23" t="str">
        <f>IF(OR(E2455="",E2455="!!!"),"",IF(NOT(ISNA(VLOOKUP(E2455,E$1:E2454,1,FALSE()))),"OLD",IF(AND(E2455&lt;&gt;"",E2455&lt;&gt;"!!!"),"NEW","")))</f>
        <v> </v>
      </c>
      <c r="G2455" s="24" t="str">
        <f>IF(OR(E2455="",E2455="!!!"),"",IF(OR(J2455=0,AND(J2455=1,K2455=1),AND(J2455=1,I2455="SBJ"),AND(J2455=1,I2455=0)),"?IN_FOCUS",IF(J2455&lt;=2,"?ACTIVATED",IF(J2455&lt;&gt;"","?FAMILIAR",IF(F2455="NEW",IF(ISNA(VLOOKUP(E2455,#REF!,1,FALSE())),"?TYPE_IDENTIFIABLE","?REFERENTIAL"),"_")))))</f>
        <v> </v>
      </c>
      <c r="H2455" s="25" t="str">
        <f>IF(J2455&lt;&gt;1,"",IF(I2455="SBJ","CB","?"))</f>
        <v> </v>
      </c>
      <c r="I2455" s="26" t="str">
        <f>IF(OR(E2455="",E2455="!!!",F2455="NEW"),"",INDEX(B2454:B$2,-1+SUMPRODUCT(MAX(ROW(E2454:E$2)*(E2455=E2454:E$2)))))</f>
        <v> </v>
      </c>
      <c r="J2455" s="26" t="str">
        <f>IF(OR(E2455="",E2455="!!!",F2455="NEW"),"",COUNTBLANK(OFFSET(A$1,,,SUMPRODUCT(MAX(ROW(E$2:E2455)*(E2455=E$2:E2455)))))-COUNTBLANK(OFFSET(A$1,,,SUMPRODUCT(MAX(ROW(E$1:E2454)*(E2=E$1:E2454))))))</f>
        <v> </v>
      </c>
      <c r="K2455" s="26" t="str">
        <f>IF(OR(E2455="",E2455="!!!",F2455="NEW"),"",INDEX(J$1:J2454,SUMPRODUCT(MAX(ROW(E$1:E2454)*(E2455=E$1:E2454)))))</f>
        <v> </v>
      </c>
      <c r="L2455" s="27"/>
    </row>
    <row r="2456" spans="1:12">
      <c r="A2456" s="20" t="s">
        <v>1406</v>
      </c>
      <c r="E2456" s="22">
        <f>IF(D2456="?OLD","!!!","")</f>
        <v/>
      </c>
      <c r="F2456" s="23" t="str">
        <f>IF(OR(E2456="",E2456="!!!"),"",IF(NOT(ISNA(VLOOKUP(E2456,E$1:E2455,1,FALSE()))),"OLD",IF(AND(E2456&lt;&gt;"",E2456&lt;&gt;"!!!"),"NEW","")))</f>
        <v> </v>
      </c>
      <c r="G2456" s="24" t="str">
        <f>IF(OR(E2456="",E2456="!!!"),"",IF(OR(J2456=0,AND(J2456=1,K2456=1),AND(J2456=1,I2456="SBJ"),AND(J2456=1,I2456=0)),"?IN_FOCUS",IF(J2456&lt;=2,"?ACTIVATED",IF(J2456&lt;&gt;"","?FAMILIAR",IF(F2456="NEW",IF(ISNA(VLOOKUP(E2456,#REF!,1,FALSE())),"?TYPE_IDENTIFIABLE","?REFERENTIAL"),"_")))))</f>
        <v> </v>
      </c>
      <c r="H2456" s="25" t="str">
        <f>IF(J2456&lt;&gt;1,"",IF(I2456="SBJ","CB","?"))</f>
        <v> </v>
      </c>
      <c r="I2456" s="26" t="str">
        <f>IF(OR(E2456="",E2456="!!!",F2456="NEW"),"",INDEX(B2455:B$2,-1+SUMPRODUCT(MAX(ROW(E2455:E$2)*(E2456=E2455:E$2)))))</f>
        <v> </v>
      </c>
      <c r="J2456" s="26" t="str">
        <f>IF(OR(E2456="",E2456="!!!",F2456="NEW"),"",COUNTBLANK(OFFSET(A$1,,,SUMPRODUCT(MAX(ROW(E$2:E2456)*(E2456=E$2:E2456)))))-COUNTBLANK(OFFSET(A$1,,,SUMPRODUCT(MAX(ROW(E$1:E2455)*(E2=E$1:E2455))))))</f>
        <v> </v>
      </c>
      <c r="K2456" s="26" t="str">
        <f>IF(OR(E2456="",E2456="!!!",F2456="NEW"),"",INDEX(J$1:J2455,SUMPRODUCT(MAX(ROW(E$1:E2455)*(E2456=E$1:E2455)))))</f>
        <v> </v>
      </c>
      <c r="L2456" s="27"/>
    </row>
    <row r="2457" spans="1:12">
      <c r="A2457" s="20" t="s">
        <v>804</v>
      </c>
      <c r="B2457" s="21" t="s">
        <v>764</v>
      </c>
      <c r="E2457" s="22">
        <f>IF(D2457="?OLD","!!!","")</f>
        <v/>
      </c>
      <c r="F2457" s="23" t="str">
        <f>IF(OR(E2457="",E2457="!!!"),"",IF(NOT(ISNA(VLOOKUP(E2457,E$1:E2456,1,FALSE()))),"OLD",IF(AND(E2457&lt;&gt;"",E2457&lt;&gt;"!!!"),"NEW","")))</f>
        <v> </v>
      </c>
      <c r="G2457" s="24" t="str">
        <f>IF(OR(E2457="",E2457="!!!"),"",IF(OR(J2457=0,AND(J2457=1,K2457=1),AND(J2457=1,I2457="SBJ"),AND(J2457=1,I2457=0)),"?IN_FOCUS",IF(J2457&lt;=2,"?ACTIVATED",IF(J2457&lt;&gt;"","?FAMILIAR",IF(F2457="NEW",IF(ISNA(VLOOKUP(E2457,#REF!,1,FALSE())),"?TYPE_IDENTIFIABLE","?REFERENTIAL"),"_")))))</f>
        <v> </v>
      </c>
      <c r="H2457" s="25" t="str">
        <f>IF(J2457&lt;&gt;1,"",IF(I2457="SBJ","CB","?"))</f>
        <v> </v>
      </c>
      <c r="I2457" s="26" t="str">
        <f>IF(OR(E2457="",E2457="!!!",F2457="NEW"),"",INDEX(B2456:B$2,-1+SUMPRODUCT(MAX(ROW(E2456:E$2)*(E2457=E2456:E$2)))))</f>
        <v> </v>
      </c>
      <c r="J2457" s="26" t="str">
        <f>IF(OR(E2457="",E2457="!!!",F2457="NEW"),"",COUNTBLANK(OFFSET(A$1,,,SUMPRODUCT(MAX(ROW(E$2:E2457)*(E2457=E$2:E2457)))))-COUNTBLANK(OFFSET(A$1,,,SUMPRODUCT(MAX(ROW(E$1:E2456)*(E2=E$1:E2456))))))</f>
        <v> </v>
      </c>
      <c r="K2457" s="26" t="str">
        <f>IF(OR(E2457="",E2457="!!!",F2457="NEW"),"",INDEX(J$1:J2456,SUMPRODUCT(MAX(ROW(E$1:E2456)*(E2457=E$1:E2456)))))</f>
        <v> </v>
      </c>
      <c r="L2457" s="27"/>
    </row>
    <row r="2458" spans="1:12">
      <c r="A2458" s="20" t="s">
        <v>810</v>
      </c>
      <c r="E2458" s="22">
        <f>IF(D2458="?OLD","!!!","")</f>
        <v/>
      </c>
      <c r="F2458" s="23" t="str">
        <f>IF(OR(E2458="",E2458="!!!"),"",IF(NOT(ISNA(VLOOKUP(E2458,E$1:E2457,1,FALSE()))),"OLD",IF(AND(E2458&lt;&gt;"",E2458&lt;&gt;"!!!"),"NEW","")))</f>
        <v> </v>
      </c>
      <c r="G2458" s="24" t="str">
        <f>IF(OR(E2458="",E2458="!!!"),"",IF(OR(J2458=0,AND(J2458=1,K2458=1),AND(J2458=1,I2458="SBJ"),AND(J2458=1,I2458=0)),"?IN_FOCUS",IF(J2458&lt;=2,"?ACTIVATED",IF(J2458&lt;&gt;"","?FAMILIAR",IF(F2458="NEW",IF(ISNA(VLOOKUP(E2458,#REF!,1,FALSE())),"?TYPE_IDENTIFIABLE","?REFERENTIAL"),"_")))))</f>
        <v> </v>
      </c>
      <c r="H2458" s="25" t="str">
        <f>IF(J2458&lt;&gt;1,"",IF(I2458="SBJ","CB","?"))</f>
        <v> </v>
      </c>
      <c r="I2458" s="26" t="str">
        <f>IF(OR(E2458="",E2458="!!!",F2458="NEW"),"",INDEX(B2457:B$2,-1+SUMPRODUCT(MAX(ROW(E2457:E$2)*(E2458=E2457:E$2)))))</f>
        <v> </v>
      </c>
      <c r="J2458" s="26" t="str">
        <f>IF(OR(E2458="",E2458="!!!",F2458="NEW"),"",COUNTBLANK(OFFSET(A$1,,,SUMPRODUCT(MAX(ROW(E$2:E2458)*(E2458=E$2:E2458)))))-COUNTBLANK(OFFSET(A$1,,,SUMPRODUCT(MAX(ROW(E$1:E2457)*(E2=E$1:E2457))))))</f>
        <v> </v>
      </c>
      <c r="K2458" s="26" t="str">
        <f>IF(OR(E2458="",E2458="!!!",F2458="NEW"),"",INDEX(J$1:J2457,SUMPRODUCT(MAX(ROW(E$1:E2457)*(E2458=E$1:E2457)))))</f>
        <v> </v>
      </c>
      <c r="L2458" s="27"/>
    </row>
    <row r="2459" spans="1:12">
      <c r="A2459" s="20" t="s">
        <v>504</v>
      </c>
      <c r="E2459" s="22">
        <f>IF(D2459="?OLD","!!!","")</f>
        <v/>
      </c>
      <c r="F2459" s="23" t="str">
        <f>IF(OR(E2459="",E2459="!!!"),"",IF(NOT(ISNA(VLOOKUP(E2459,E$1:E2458,1,FALSE()))),"OLD",IF(AND(E2459&lt;&gt;"",E2459&lt;&gt;"!!!"),"NEW","")))</f>
        <v> </v>
      </c>
      <c r="G2459" s="24" t="str">
        <f>IF(OR(E2459="",E2459="!!!"),"",IF(OR(J2459=0,AND(J2459=1,K2459=1),AND(J2459=1,I2459="SBJ"),AND(J2459=1,I2459=0)),"?IN_FOCUS",IF(J2459&lt;=2,"?ACTIVATED",IF(J2459&lt;&gt;"","?FAMILIAR",IF(F2459="NEW",IF(ISNA(VLOOKUP(E2459,#REF!,1,FALSE())),"?TYPE_IDENTIFIABLE","?REFERENTIAL"),"_")))))</f>
        <v> </v>
      </c>
      <c r="H2459" s="25" t="str">
        <f>IF(J2459&lt;&gt;1,"",IF(I2459="SBJ","CB","?"))</f>
        <v> </v>
      </c>
      <c r="I2459" s="26" t="str">
        <f>IF(OR(E2459="",E2459="!!!",F2459="NEW"),"",INDEX(B2458:B$2,-1+SUMPRODUCT(MAX(ROW(E2458:E$2)*(E2459=E2458:E$2)))))</f>
        <v> </v>
      </c>
      <c r="J2459" s="26" t="str">
        <f>IF(OR(E2459="",E2459="!!!",F2459="NEW"),"",COUNTBLANK(OFFSET(A$1,,,SUMPRODUCT(MAX(ROW(E$2:E2459)*(E2459=E$2:E2459)))))-COUNTBLANK(OFFSET(A$1,,,SUMPRODUCT(MAX(ROW(E$1:E2458)*(E2=E$1:E2458))))))</f>
        <v> </v>
      </c>
      <c r="K2459" s="26" t="str">
        <f>IF(OR(E2459="",E2459="!!!",F2459="NEW"),"",INDEX(J$1:J2458,SUMPRODUCT(MAX(ROW(E$1:E2458)*(E2459=E$1:E2458)))))</f>
        <v> </v>
      </c>
      <c r="L2459" s="27"/>
    </row>
    <row r="2460" spans="1:12">
      <c r="A2460" s="20" t="s">
        <v>759</v>
      </c>
      <c r="E2460" s="22">
        <f>IF(D2460="?OLD","!!!","")</f>
        <v/>
      </c>
      <c r="F2460" s="23" t="str">
        <f>IF(OR(E2460="",E2460="!!!"),"",IF(NOT(ISNA(VLOOKUP(E2460,E$1:E2459,1,FALSE()))),"OLD",IF(AND(E2460&lt;&gt;"",E2460&lt;&gt;"!!!"),"NEW","")))</f>
        <v> </v>
      </c>
      <c r="G2460" s="24" t="str">
        <f>IF(OR(E2460="",E2460="!!!"),"",IF(OR(J2460=0,AND(J2460=1,K2460=1),AND(J2460=1,I2460="SBJ"),AND(J2460=1,I2460=0)),"?IN_FOCUS",IF(J2460&lt;=2,"?ACTIVATED",IF(J2460&lt;&gt;"","?FAMILIAR",IF(F2460="NEW",IF(ISNA(VLOOKUP(E2460,#REF!,1,FALSE())),"?TYPE_IDENTIFIABLE","?REFERENTIAL"),"_")))))</f>
        <v> </v>
      </c>
      <c r="H2460" s="25" t="str">
        <f>IF(J2460&lt;&gt;1,"",IF(I2460="SBJ","CB","?"))</f>
        <v> </v>
      </c>
      <c r="I2460" s="26" t="str">
        <f>IF(OR(E2460="",E2460="!!!",F2460="NEW"),"",INDEX(B2459:B$2,-1+SUMPRODUCT(MAX(ROW(E2459:E$2)*(E2460=E2459:E$2)))))</f>
        <v> </v>
      </c>
      <c r="J2460" s="26" t="str">
        <f>IF(OR(E2460="",E2460="!!!",F2460="NEW"),"",COUNTBLANK(OFFSET(A$1,,,SUMPRODUCT(MAX(ROW(E$2:E2460)*(E2460=E$2:E2460)))))-COUNTBLANK(OFFSET(A$1,,,SUMPRODUCT(MAX(ROW(E$1:E2459)*(E2=E$1:E2459))))))</f>
        <v> </v>
      </c>
      <c r="K2460" s="26" t="str">
        <f>IF(OR(E2460="",E2460="!!!",F2460="NEW"),"",INDEX(J$1:J2459,SUMPRODUCT(MAX(ROW(E$1:E2459)*(E2460=E$1:E2459)))))</f>
        <v> </v>
      </c>
      <c r="L2460" s="27"/>
    </row>
    <row r="2461" spans="1:12">
      <c r="A2461" s="20" t="s">
        <v>808</v>
      </c>
      <c r="E2461" s="22">
        <f>IF(D2461="?OLD","!!!","")</f>
        <v/>
      </c>
      <c r="F2461" s="23" t="str">
        <f>IF(OR(E2461="",E2461="!!!"),"",IF(NOT(ISNA(VLOOKUP(E2461,E$1:E2460,1,FALSE()))),"OLD",IF(AND(E2461&lt;&gt;"",E2461&lt;&gt;"!!!"),"NEW","")))</f>
        <v> </v>
      </c>
      <c r="G2461" s="24" t="str">
        <f>IF(OR(E2461="",E2461="!!!"),"",IF(OR(J2461=0,AND(J2461=1,K2461=1),AND(J2461=1,I2461="SBJ"),AND(J2461=1,I2461=0)),"?IN_FOCUS",IF(J2461&lt;=2,"?ACTIVATED",IF(J2461&lt;&gt;"","?FAMILIAR",IF(F2461="NEW",IF(ISNA(VLOOKUP(E2461,#REF!,1,FALSE())),"?TYPE_IDENTIFIABLE","?REFERENTIAL"),"_")))))</f>
        <v> </v>
      </c>
      <c r="H2461" s="25" t="str">
        <f>IF(J2461&lt;&gt;1,"",IF(I2461="SBJ","CB","?"))</f>
        <v> </v>
      </c>
      <c r="I2461" s="26" t="str">
        <f>IF(OR(E2461="",E2461="!!!",F2461="NEW"),"",INDEX(B2460:B$2,-1+SUMPRODUCT(MAX(ROW(E2460:E$2)*(E2461=E2460:E$2)))))</f>
        <v> </v>
      </c>
      <c r="J2461" s="26" t="str">
        <f>IF(OR(E2461="",E2461="!!!",F2461="NEW"),"",COUNTBLANK(OFFSET(A$1,,,SUMPRODUCT(MAX(ROW(E$2:E2461)*(E2461=E$2:E2461)))))-COUNTBLANK(OFFSET(A$1,,,SUMPRODUCT(MAX(ROW(E$1:E2460)*(E2=E$1:E2460))))))</f>
        <v> </v>
      </c>
      <c r="K2461" s="26" t="str">
        <f>IF(OR(E2461="",E2461="!!!",F2461="NEW"),"",INDEX(J$1:J2460,SUMPRODUCT(MAX(ROW(E$1:E2460)*(E2461=E$1:E2460)))))</f>
        <v> </v>
      </c>
      <c r="L2461" s="27"/>
    </row>
    <row r="2462" spans="1:12">
      <c r="A2462" s="20" t="s">
        <v>928</v>
      </c>
      <c r="B2462" s="21" t="s">
        <v>796</v>
      </c>
      <c r="C2462" s="21" t="s">
        <v>789</v>
      </c>
      <c r="D2462" s="21" t="s">
        <v>730</v>
      </c>
      <c r="E2462" s="22">
        <f>IF(D2462="?OLD","!!!","")</f>
        <v/>
      </c>
      <c r="F2462" s="23" t="str">
        <f>IF(OR(E2462="",E2462="!!!"),"",IF(NOT(ISNA(VLOOKUP(E2462,E$1:E2461,1,FALSE()))),"OLD",IF(AND(E2462&lt;&gt;"",E2462&lt;&gt;"!!!"),"NEW","")))</f>
        <v> </v>
      </c>
      <c r="G2462" s="24" t="str">
        <f>IF(OR(E2462="",E2462="!!!"),"",IF(OR(J2462=0,AND(J2462=1,K2462=1),AND(J2462=1,I2462="SBJ"),AND(J2462=1,I2462=0)),"?IN_FOCUS",IF(J2462&lt;=2,"?ACTIVATED",IF(J2462&lt;&gt;"","?FAMILIAR",IF(F2462="NEW",IF(ISNA(VLOOKUP(E2462,#REF!,1,FALSE())),"?TYPE_IDENTIFIABLE","?REFERENTIAL"),"_")))))</f>
        <v> </v>
      </c>
      <c r="H2462" s="25" t="str">
        <f>IF(J2462&lt;&gt;1,"",IF(I2462="SBJ","CB","?"))</f>
        <v> </v>
      </c>
      <c r="I2462" s="26" t="str">
        <f>IF(OR(E2462="",E2462="!!!",F2462="NEW"),"",INDEX(B2461:B$2,-1+SUMPRODUCT(MAX(ROW(E2461:E$2)*(E2462=E2461:E$2)))))</f>
        <v> </v>
      </c>
      <c r="J2462" s="26" t="str">
        <f>IF(OR(E2462="",E2462="!!!",F2462="NEW"),"",COUNTBLANK(OFFSET(A$1,,,SUMPRODUCT(MAX(ROW(E$2:E2462)*(E2462=E$2:E2462)))))-COUNTBLANK(OFFSET(A$1,,,SUMPRODUCT(MAX(ROW(E$1:E2461)*(E2=E$1:E2461))))))</f>
        <v> </v>
      </c>
      <c r="K2462" s="26" t="str">
        <f>IF(OR(E2462="",E2462="!!!",F2462="NEW"),"",INDEX(J$1:J2461,SUMPRODUCT(MAX(ROW(E$1:E2461)*(E2462=E$1:E2461)))))</f>
        <v> </v>
      </c>
      <c r="L2462" s="27"/>
    </row>
    <row r="2463" spans="1:12">
      <c r="A2463" s="20" t="s">
        <v>1237</v>
      </c>
      <c r="E2463" s="22">
        <f>IF(D2463="?OLD","!!!","")</f>
        <v/>
      </c>
      <c r="F2463" s="23" t="str">
        <f>IF(OR(E2463="",E2463="!!!"),"",IF(NOT(ISNA(VLOOKUP(E2463,E$1:E2462,1,FALSE()))),"OLD",IF(AND(E2463&lt;&gt;"",E2463&lt;&gt;"!!!"),"NEW","")))</f>
        <v> </v>
      </c>
      <c r="G2463" s="24" t="str">
        <f>IF(OR(E2463="",E2463="!!!"),"",IF(OR(J2463=0,AND(J2463=1,K2463=1),AND(J2463=1,I2463="SBJ"),AND(J2463=1,I2463=0)),"?IN_FOCUS",IF(J2463&lt;=2,"?ACTIVATED",IF(J2463&lt;&gt;"","?FAMILIAR",IF(F2463="NEW",IF(ISNA(VLOOKUP(E2463,#REF!,1,FALSE())),"?TYPE_IDENTIFIABLE","?REFERENTIAL"),"_")))))</f>
        <v> </v>
      </c>
      <c r="H2463" s="25" t="str">
        <f>IF(J2463&lt;&gt;1,"",IF(I2463="SBJ","CB","?"))</f>
        <v> </v>
      </c>
      <c r="I2463" s="26" t="str">
        <f>IF(OR(E2463="",E2463="!!!",F2463="NEW"),"",INDEX(B2462:B$2,-1+SUMPRODUCT(MAX(ROW(E2462:E$2)*(E2463=E2462:E$2)))))</f>
        <v> </v>
      </c>
      <c r="J2463" s="26" t="str">
        <f>IF(OR(E2463="",E2463="!!!",F2463="NEW"),"",COUNTBLANK(OFFSET(A$1,,,SUMPRODUCT(MAX(ROW(E$2:E2463)*(E2463=E$2:E2463)))))-COUNTBLANK(OFFSET(A$1,,,SUMPRODUCT(MAX(ROW(E$1:E2462)*(E2=E$1:E2462))))))</f>
        <v> </v>
      </c>
      <c r="K2463" s="26" t="str">
        <f>IF(OR(E2463="",E2463="!!!",F2463="NEW"),"",INDEX(J$1:J2462,SUMPRODUCT(MAX(ROW(E$1:E2462)*(E2463=E$1:E2462)))))</f>
        <v> </v>
      </c>
      <c r="L2463" s="27"/>
    </row>
    <row r="2464" spans="1:12">
      <c r="A2464" s="20" t="s">
        <v>1667</v>
      </c>
      <c r="E2464" s="22">
        <f>IF(D2464="?OLD","!!!","")</f>
        <v/>
      </c>
      <c r="F2464" s="23" t="str">
        <f>IF(OR(E2464="",E2464="!!!"),"",IF(NOT(ISNA(VLOOKUP(E2464,E$1:E2463,1,FALSE()))),"OLD",IF(AND(E2464&lt;&gt;"",E2464&lt;&gt;"!!!"),"NEW","")))</f>
        <v> </v>
      </c>
      <c r="G2464" s="24" t="str">
        <f>IF(OR(E2464="",E2464="!!!"),"",IF(OR(J2464=0,AND(J2464=1,K2464=1),AND(J2464=1,I2464="SBJ"),AND(J2464=1,I2464=0)),"?IN_FOCUS",IF(J2464&lt;=2,"?ACTIVATED",IF(J2464&lt;&gt;"","?FAMILIAR",IF(F2464="NEW",IF(ISNA(VLOOKUP(E2464,#REF!,1,FALSE())),"?TYPE_IDENTIFIABLE","?REFERENTIAL"),"_")))))</f>
        <v> </v>
      </c>
      <c r="H2464" s="25" t="str">
        <f>IF(J2464&lt;&gt;1,"",IF(I2464="SBJ","CB","?"))</f>
        <v> </v>
      </c>
      <c r="I2464" s="26" t="str">
        <f>IF(OR(E2464="",E2464="!!!",F2464="NEW"),"",INDEX(B2463:B$2,-1+SUMPRODUCT(MAX(ROW(E2463:E$2)*(E2464=E2463:E$2)))))</f>
        <v> </v>
      </c>
      <c r="J2464" s="26" t="str">
        <f>IF(OR(E2464="",E2464="!!!",F2464="NEW"),"",COUNTBLANK(OFFSET(A$1,,,SUMPRODUCT(MAX(ROW(E$2:E2464)*(E2464=E$2:E2464)))))-COUNTBLANK(OFFSET(A$1,,,SUMPRODUCT(MAX(ROW(E$1:E2463)*(E2=E$1:E2463))))))</f>
        <v> </v>
      </c>
      <c r="K2464" s="26" t="str">
        <f>IF(OR(E2464="",E2464="!!!",F2464="NEW"),"",INDEX(J$1:J2463,SUMPRODUCT(MAX(ROW(E$1:E2463)*(E2464=E$1:E2463)))))</f>
        <v> </v>
      </c>
      <c r="L2464" s="27"/>
    </row>
    <row r="2465" spans="1:12">
      <c r="A2465" s="20" t="s">
        <v>881</v>
      </c>
      <c r="E2465" s="22">
        <f>IF(D2465="?OLD","!!!","")</f>
        <v/>
      </c>
      <c r="F2465" s="23" t="str">
        <f>IF(OR(E2465="",E2465="!!!"),"",IF(NOT(ISNA(VLOOKUP(E2465,E$1:E2464,1,FALSE()))),"OLD",IF(AND(E2465&lt;&gt;"",E2465&lt;&gt;"!!!"),"NEW","")))</f>
        <v> </v>
      </c>
      <c r="G2465" s="24" t="str">
        <f>IF(OR(E2465="",E2465="!!!"),"",IF(OR(J2465=0,AND(J2465=1,K2465=1),AND(J2465=1,I2465="SBJ"),AND(J2465=1,I2465=0)),"?IN_FOCUS",IF(J2465&lt;=2,"?ACTIVATED",IF(J2465&lt;&gt;"","?FAMILIAR",IF(F2465="NEW",IF(ISNA(VLOOKUP(E2465,#REF!,1,FALSE())),"?TYPE_IDENTIFIABLE","?REFERENTIAL"),"_")))))</f>
        <v> </v>
      </c>
      <c r="H2465" s="25" t="str">
        <f>IF(J2465&lt;&gt;1,"",IF(I2465="SBJ","CB","?"))</f>
        <v> </v>
      </c>
      <c r="I2465" s="26" t="str">
        <f>IF(OR(E2465="",E2465="!!!",F2465="NEW"),"",INDEX(B2464:B$2,-1+SUMPRODUCT(MAX(ROW(E2464:E$2)*(E2465=E2464:E$2)))))</f>
        <v> </v>
      </c>
      <c r="J2465" s="26" t="str">
        <f>IF(OR(E2465="",E2465="!!!",F2465="NEW"),"",COUNTBLANK(OFFSET(A$1,,,SUMPRODUCT(MAX(ROW(E$2:E2465)*(E2465=E$2:E2465)))))-COUNTBLANK(OFFSET(A$1,,,SUMPRODUCT(MAX(ROW(E$1:E2464)*(E2=E$1:E2464))))))</f>
        <v> </v>
      </c>
      <c r="K2465" s="26" t="str">
        <f>IF(OR(E2465="",E2465="!!!",F2465="NEW"),"",INDEX(J$1:J2464,SUMPRODUCT(MAX(ROW(E$1:E2464)*(E2465=E$1:E2464)))))</f>
        <v> </v>
      </c>
      <c r="L2465" s="27"/>
    </row>
    <row r="2466" spans="1:12">
      <c r="A2466" s="20" t="s">
        <v>246</v>
      </c>
      <c r="E2466" s="22">
        <f>IF(D2466="?OLD","!!!","")</f>
        <v/>
      </c>
      <c r="F2466" s="23" t="str">
        <f>IF(OR(E2466="",E2466="!!!"),"",IF(NOT(ISNA(VLOOKUP(E2466,E$1:E2465,1,FALSE()))),"OLD",IF(AND(E2466&lt;&gt;"",E2466&lt;&gt;"!!!"),"NEW","")))</f>
        <v> </v>
      </c>
      <c r="G2466" s="24" t="str">
        <f>IF(OR(E2466="",E2466="!!!"),"",IF(OR(J2466=0,AND(J2466=1,K2466=1),AND(J2466=1,I2466="SBJ"),AND(J2466=1,I2466=0)),"?IN_FOCUS",IF(J2466&lt;=2,"?ACTIVATED",IF(J2466&lt;&gt;"","?FAMILIAR",IF(F2466="NEW",IF(ISNA(VLOOKUP(E2466,#REF!,1,FALSE())),"?TYPE_IDENTIFIABLE","?REFERENTIAL"),"_")))))</f>
        <v> </v>
      </c>
      <c r="H2466" s="25" t="str">
        <f>IF(J2466&lt;&gt;1,"",IF(I2466="SBJ","CB","?"))</f>
        <v> </v>
      </c>
      <c r="I2466" s="26" t="str">
        <f>IF(OR(E2466="",E2466="!!!",F2466="NEW"),"",INDEX(B2465:B$2,-1+SUMPRODUCT(MAX(ROW(E2465:E$2)*(E2466=E2465:E$2)))))</f>
        <v> </v>
      </c>
      <c r="J2466" s="26" t="str">
        <f>IF(OR(E2466="",E2466="!!!",F2466="NEW"),"",COUNTBLANK(OFFSET(A$1,,,SUMPRODUCT(MAX(ROW(E$2:E2466)*(E2466=E$2:E2466)))))-COUNTBLANK(OFFSET(A$1,,,SUMPRODUCT(MAX(ROW(E$1:E2465)*(E2=E$1:E2465))))))</f>
        <v> </v>
      </c>
      <c r="K2466" s="26" t="str">
        <f>IF(OR(E2466="",E2466="!!!",F2466="NEW"),"",INDEX(J$1:J2465,SUMPRODUCT(MAX(ROW(E$1:E2465)*(E2466=E$1:E2465)))))</f>
        <v> </v>
      </c>
      <c r="L2466" s="27"/>
    </row>
    <row r="2467" spans="1:12">
      <c r="A2467" s="20"/>
    </row>
    <row r="2468" spans="1:12">
      <c r="A2468" s="20" t="s">
        <v>1668</v>
      </c>
    </row>
    <row r="2469" spans="1:12">
      <c r="A2469" s="20" t="s">
        <v>1669</v>
      </c>
      <c r="B2469" s="21" t="s">
        <v>739</v>
      </c>
      <c r="C2469" s="21" t="s">
        <v>756</v>
      </c>
      <c r="E2469" s="22">
        <f>IF(D2469="?OLD","!!!","")</f>
        <v/>
      </c>
      <c r="F2469" s="23" t="str">
        <f>IF(OR(E2469="",E2469="!!!"),"",IF(NOT(ISNA(VLOOKUP(E2469,E$1:E2468,1,FALSE()))),"OLD",IF(AND(E2469&lt;&gt;"",E2469&lt;&gt;"!!!"),"NEW","")))</f>
        <v> </v>
      </c>
      <c r="G2469" s="24" t="str">
        <f>IF(OR(E2469="",E2469="!!!"),"",IF(OR(J2469=0,AND(J2469=1,K2469=1),AND(J2469=1,I2469="SBJ"),AND(J2469=1,I2469=0)),"?IN_FOCUS",IF(J2469&lt;=2,"?ACTIVATED",IF(J2469&lt;&gt;"","?FAMILIAR",IF(F2469="NEW",IF(ISNA(VLOOKUP(E2469,#REF!,1,FALSE())),"?TYPE_IDENTIFIABLE","?REFERENTIAL"),"_")))))</f>
        <v> </v>
      </c>
      <c r="H2469" s="25" t="str">
        <f>IF(J2469&lt;&gt;1,"",IF(I2469="SBJ","CB","?"))</f>
        <v> </v>
      </c>
      <c r="I2469" s="26" t="str">
        <f>IF(OR(E2469="",E2469="!!!",F2469="NEW"),"",INDEX(B2468:B$2,-1+SUMPRODUCT(MAX(ROW(E2468:E$2)*(E2469=E2468:E$2)))))</f>
        <v> </v>
      </c>
      <c r="J2469" s="26" t="str">
        <f>IF(OR(E2469="",E2469="!!!",F2469="NEW"),"",COUNTBLANK(OFFSET(A$1,,,SUMPRODUCT(MAX(ROW(E$2:E2469)*(E2469=E$2:E2469)))))-COUNTBLANK(OFFSET(A$1,,,SUMPRODUCT(MAX(ROW(E$1:E2468)*(E2=E$1:E2468))))))</f>
        <v> </v>
      </c>
      <c r="K2469" s="26" t="str">
        <f>IF(OR(E2469="",E2469="!!!",F2469="NEW"),"",INDEX(J$1:J2468,SUMPRODUCT(MAX(ROW(E$1:E2468)*(E2469=E$1:E2468)))))</f>
        <v> </v>
      </c>
      <c r="L2469" s="27"/>
    </row>
    <row r="2470" spans="1:12">
      <c r="A2470" s="20" t="s">
        <v>757</v>
      </c>
      <c r="E2470" s="22">
        <f>IF(D2470="?OLD","!!!","")</f>
        <v/>
      </c>
      <c r="F2470" s="23" t="str">
        <f>IF(OR(E2470="",E2470="!!!"),"",IF(NOT(ISNA(VLOOKUP(E2470,E$1:E2469,1,FALSE()))),"OLD",IF(AND(E2470&lt;&gt;"",E2470&lt;&gt;"!!!"),"NEW","")))</f>
        <v> </v>
      </c>
      <c r="G2470" s="24" t="str">
        <f>IF(OR(E2470="",E2470="!!!"),"",IF(OR(J2470=0,AND(J2470=1,K2470=1),AND(J2470=1,I2470="SBJ"),AND(J2470=1,I2470=0)),"?IN_FOCUS",IF(J2470&lt;=2,"?ACTIVATED",IF(J2470&lt;&gt;"","?FAMILIAR",IF(F2470="NEW",IF(ISNA(VLOOKUP(E2470,#REF!,1,FALSE())),"?TYPE_IDENTIFIABLE","?REFERENTIAL"),"_")))))</f>
        <v> </v>
      </c>
      <c r="H2470" s="25" t="str">
        <f>IF(J2470&lt;&gt;1,"",IF(I2470="SBJ","CB","?"))</f>
        <v> </v>
      </c>
      <c r="I2470" s="26" t="str">
        <f>IF(OR(E2470="",E2470="!!!",F2470="NEW"),"",INDEX(B2469:B$2,-1+SUMPRODUCT(MAX(ROW(E2469:E$2)*(E2470=E2469:E$2)))))</f>
        <v> </v>
      </c>
      <c r="J2470" s="26" t="str">
        <f>IF(OR(E2470="",E2470="!!!",F2470="NEW"),"",COUNTBLANK(OFFSET(A$1,,,SUMPRODUCT(MAX(ROW(E$2:E2470)*(E2470=E$2:E2470)))))-COUNTBLANK(OFFSET(A$1,,,SUMPRODUCT(MAX(ROW(E$1:E2469)*(E2=E$1:E2469))))))</f>
        <v> </v>
      </c>
      <c r="K2470" s="26" t="str">
        <f>IF(OR(E2470="",E2470="!!!",F2470="NEW"),"",INDEX(J$1:J2469,SUMPRODUCT(MAX(ROW(E$1:E2469)*(E2470=E$1:E2469)))))</f>
        <v> </v>
      </c>
      <c r="L2470" s="27"/>
    </row>
    <row r="2471" spans="1:12">
      <c r="A2471" s="20" t="s">
        <v>1670</v>
      </c>
      <c r="E2471" s="22">
        <f>IF(D2471="?OLD","!!!","")</f>
        <v/>
      </c>
      <c r="F2471" s="23" t="str">
        <f>IF(OR(E2471="",E2471="!!!"),"",IF(NOT(ISNA(VLOOKUP(E2471,E$1:E2470,1,FALSE()))),"OLD",IF(AND(E2471&lt;&gt;"",E2471&lt;&gt;"!!!"),"NEW","")))</f>
        <v> </v>
      </c>
      <c r="G2471" s="24" t="str">
        <f>IF(OR(E2471="",E2471="!!!"),"",IF(OR(J2471=0,AND(J2471=1,K2471=1),AND(J2471=1,I2471="SBJ"),AND(J2471=1,I2471=0)),"?IN_FOCUS",IF(J2471&lt;=2,"?ACTIVATED",IF(J2471&lt;&gt;"","?FAMILIAR",IF(F2471="NEW",IF(ISNA(VLOOKUP(E2471,#REF!,1,FALSE())),"?TYPE_IDENTIFIABLE","?REFERENTIAL"),"_")))))</f>
        <v> </v>
      </c>
      <c r="H2471" s="25" t="str">
        <f>IF(J2471&lt;&gt;1,"",IF(I2471="SBJ","CB","?"))</f>
        <v> </v>
      </c>
      <c r="I2471" s="26" t="str">
        <f>IF(OR(E2471="",E2471="!!!",F2471="NEW"),"",INDEX(B2470:B$2,-1+SUMPRODUCT(MAX(ROW(E2470:E$2)*(E2471=E2470:E$2)))))</f>
        <v> </v>
      </c>
      <c r="J2471" s="26" t="str">
        <f>IF(OR(E2471="",E2471="!!!",F2471="NEW"),"",COUNTBLANK(OFFSET(A$1,,,SUMPRODUCT(MAX(ROW(E$2:E2471)*(E2471=E$2:E2471)))))-COUNTBLANK(OFFSET(A$1,,,SUMPRODUCT(MAX(ROW(E$1:E2470)*(E2=E$1:E2470))))))</f>
        <v> </v>
      </c>
      <c r="K2471" s="26" t="str">
        <f>IF(OR(E2471="",E2471="!!!",F2471="NEW"),"",INDEX(J$1:J2470,SUMPRODUCT(MAX(ROW(E$1:E2470)*(E2471=E$1:E2470)))))</f>
        <v> </v>
      </c>
      <c r="L2471" s="27"/>
    </row>
    <row r="2472" spans="1:12">
      <c r="A2472" s="20" t="s">
        <v>1277</v>
      </c>
      <c r="B2472" s="21" t="s">
        <v>736</v>
      </c>
      <c r="C2472" s="21" t="s">
        <v>753</v>
      </c>
      <c r="D2472" s="21" t="s">
        <v>730</v>
      </c>
      <c r="E2472" s="22">
        <f>IF(D2472="?OLD","!!!","")</f>
        <v/>
      </c>
      <c r="F2472" s="23" t="str">
        <f>IF(OR(E2472="",E2472="!!!"),"",IF(NOT(ISNA(VLOOKUP(E2472,E$1:E2471,1,FALSE()))),"OLD",IF(AND(E2472&lt;&gt;"",E2472&lt;&gt;"!!!"),"NEW","")))</f>
        <v> </v>
      </c>
      <c r="G2472" s="24" t="str">
        <f>IF(OR(E2472="",E2472="!!!"),"",IF(OR(J2472=0,AND(J2472=1,K2472=1),AND(J2472=1,I2472="SBJ"),AND(J2472=1,I2472=0)),"?IN_FOCUS",IF(J2472&lt;=2,"?ACTIVATED",IF(J2472&lt;&gt;"","?FAMILIAR",IF(F2472="NEW",IF(ISNA(VLOOKUP(E2472,#REF!,1,FALSE())),"?TYPE_IDENTIFIABLE","?REFERENTIAL"),"_")))))</f>
        <v> </v>
      </c>
      <c r="H2472" s="25" t="str">
        <f>IF(J2472&lt;&gt;1,"",IF(I2472="SBJ","CB","?"))</f>
        <v> </v>
      </c>
      <c r="I2472" s="26" t="str">
        <f>IF(OR(E2472="",E2472="!!!",F2472="NEW"),"",INDEX(B2471:B$2,-1+SUMPRODUCT(MAX(ROW(E2471:E$2)*(E2472=E2471:E$2)))))</f>
        <v> </v>
      </c>
      <c r="J2472" s="26" t="str">
        <f>IF(OR(E2472="",E2472="!!!",F2472="NEW"),"",COUNTBLANK(OFFSET(A$1,,,SUMPRODUCT(MAX(ROW(E$2:E2472)*(E2472=E$2:E2472)))))-COUNTBLANK(OFFSET(A$1,,,SUMPRODUCT(MAX(ROW(E$1:E2471)*(E2=E$1:E2471))))))</f>
        <v> </v>
      </c>
      <c r="K2472" s="26" t="str">
        <f>IF(OR(E2472="",E2472="!!!",F2472="NEW"),"",INDEX(J$1:J2471,SUMPRODUCT(MAX(ROW(E$1:E2471)*(E2472=E$1:E2471)))))</f>
        <v> </v>
      </c>
      <c r="L2472" s="27"/>
    </row>
    <row r="2473" spans="1:12">
      <c r="A2473" s="20" t="s">
        <v>1671</v>
      </c>
      <c r="E2473" s="22">
        <f>IF(D2473="?OLD","!!!","")</f>
        <v/>
      </c>
      <c r="F2473" s="23" t="str">
        <f>IF(OR(E2473="",E2473="!!!"),"",IF(NOT(ISNA(VLOOKUP(E2473,E$1:E2472,1,FALSE()))),"OLD",IF(AND(E2473&lt;&gt;"",E2473&lt;&gt;"!!!"),"NEW","")))</f>
        <v> </v>
      </c>
      <c r="G2473" s="24" t="str">
        <f>IF(OR(E2473="",E2473="!!!"),"",IF(OR(J2473=0,AND(J2473=1,K2473=1),AND(J2473=1,I2473="SBJ"),AND(J2473=1,I2473=0)),"?IN_FOCUS",IF(J2473&lt;=2,"?ACTIVATED",IF(J2473&lt;&gt;"","?FAMILIAR",IF(F2473="NEW",IF(ISNA(VLOOKUP(E2473,#REF!,1,FALSE())),"?TYPE_IDENTIFIABLE","?REFERENTIAL"),"_")))))</f>
        <v> </v>
      </c>
      <c r="H2473" s="25" t="str">
        <f>IF(J2473&lt;&gt;1,"",IF(I2473="SBJ","CB","?"))</f>
        <v> </v>
      </c>
      <c r="I2473" s="26" t="str">
        <f>IF(OR(E2473="",E2473="!!!",F2473="NEW"),"",INDEX(B2472:B$2,-1+SUMPRODUCT(MAX(ROW(E2472:E$2)*(E2473=E2472:E$2)))))</f>
        <v> </v>
      </c>
      <c r="J2473" s="26" t="str">
        <f>IF(OR(E2473="",E2473="!!!",F2473="NEW"),"",COUNTBLANK(OFFSET(A$1,,,SUMPRODUCT(MAX(ROW(E$2:E2473)*(E2473=E$2:E2473)))))-COUNTBLANK(OFFSET(A$1,,,SUMPRODUCT(MAX(ROW(E$1:E2472)*(E2=E$1:E2472))))))</f>
        <v> </v>
      </c>
      <c r="K2473" s="26" t="str">
        <f>IF(OR(E2473="",E2473="!!!",F2473="NEW"),"",INDEX(J$1:J2472,SUMPRODUCT(MAX(ROW(E$1:E2472)*(E2473=E$1:E2472)))))</f>
        <v> </v>
      </c>
      <c r="L2473" s="27"/>
    </row>
    <row r="2474" spans="1:12">
      <c r="A2474" s="20" t="s">
        <v>750</v>
      </c>
      <c r="B2474" s="21" t="s">
        <v>728</v>
      </c>
      <c r="C2474" s="21" t="s">
        <v>729</v>
      </c>
      <c r="D2474" s="21" t="s">
        <v>730</v>
      </c>
      <c r="E2474" s="22">
        <f>IF(D2474="?OLD","!!!","")</f>
        <v/>
      </c>
      <c r="F2474" s="23" t="str">
        <f>IF(OR(E2474="",E2474="!!!"),"",IF(NOT(ISNA(VLOOKUP(E2474,E$1:E2473,1,FALSE()))),"OLD",IF(AND(E2474&lt;&gt;"",E2474&lt;&gt;"!!!"),"NEW","")))</f>
        <v> </v>
      </c>
      <c r="G2474" s="24" t="str">
        <f>IF(OR(E2474="",E2474="!!!"),"",IF(OR(J2474=0,AND(J2474=1,K2474=1),AND(J2474=1,I2474="SBJ"),AND(J2474=1,I2474=0)),"?IN_FOCUS",IF(J2474&lt;=2,"?ACTIVATED",IF(J2474&lt;&gt;"","?FAMILIAR",IF(F2474="NEW",IF(ISNA(VLOOKUP(E2474,#REF!,1,FALSE())),"?TYPE_IDENTIFIABLE","?REFERENTIAL"),"_")))))</f>
        <v> </v>
      </c>
      <c r="H2474" s="25" t="str">
        <f>IF(J2474&lt;&gt;1,"",IF(I2474="SBJ","CB","?"))</f>
        <v> </v>
      </c>
      <c r="I2474" s="26" t="str">
        <f>IF(OR(E2474="",E2474="!!!",F2474="NEW"),"",INDEX(B2473:B$2,-1+SUMPRODUCT(MAX(ROW(E2473:E$2)*(E2474=E2473:E$2)))))</f>
        <v> </v>
      </c>
      <c r="J2474" s="26" t="str">
        <f>IF(OR(E2474="",E2474="!!!",F2474="NEW"),"",COUNTBLANK(OFFSET(A$1,,,SUMPRODUCT(MAX(ROW(E$2:E2474)*(E2474=E$2:E2474)))))-COUNTBLANK(OFFSET(A$1,,,SUMPRODUCT(MAX(ROW(E$1:E2473)*(E2=E$1:E2473))))))</f>
        <v> </v>
      </c>
      <c r="K2474" s="26" t="str">
        <f>IF(OR(E2474="",E2474="!!!",F2474="NEW"),"",INDEX(J$1:J2473,SUMPRODUCT(MAX(ROW(E$1:E2473)*(E2474=E$1:E2473)))))</f>
        <v> </v>
      </c>
      <c r="L2474" s="27"/>
    </row>
    <row r="2475" spans="1:12">
      <c r="A2475" s="20" t="s">
        <v>970</v>
      </c>
      <c r="B2475" s="21" t="s">
        <v>764</v>
      </c>
      <c r="E2475" s="22">
        <f>IF(D2475="?OLD","!!!","")</f>
        <v/>
      </c>
      <c r="F2475" s="23" t="str">
        <f>IF(OR(E2475="",E2475="!!!"),"",IF(NOT(ISNA(VLOOKUP(E2475,E$1:E2474,1,FALSE()))),"OLD",IF(AND(E2475&lt;&gt;"",E2475&lt;&gt;"!!!"),"NEW","")))</f>
        <v> </v>
      </c>
      <c r="G2475" s="24" t="str">
        <f>IF(OR(E2475="",E2475="!!!"),"",IF(OR(J2475=0,AND(J2475=1,K2475=1),AND(J2475=1,I2475="SBJ"),AND(J2475=1,I2475=0)),"?IN_FOCUS",IF(J2475&lt;=2,"?ACTIVATED",IF(J2475&lt;&gt;"","?FAMILIAR",IF(F2475="NEW",IF(ISNA(VLOOKUP(E2475,#REF!,1,FALSE())),"?TYPE_IDENTIFIABLE","?REFERENTIAL"),"_")))))</f>
        <v> </v>
      </c>
      <c r="H2475" s="25" t="str">
        <f>IF(J2475&lt;&gt;1,"",IF(I2475="SBJ","CB","?"))</f>
        <v> </v>
      </c>
      <c r="I2475" s="26" t="str">
        <f>IF(OR(E2475="",E2475="!!!",F2475="NEW"),"",INDEX(B2474:B$2,-1+SUMPRODUCT(MAX(ROW(E2474:E$2)*(E2475=E2474:E$2)))))</f>
        <v> </v>
      </c>
      <c r="J2475" s="26" t="str">
        <f>IF(OR(E2475="",E2475="!!!",F2475="NEW"),"",COUNTBLANK(OFFSET(A$1,,,SUMPRODUCT(MAX(ROW(E$2:E2475)*(E2475=E$2:E2475)))))-COUNTBLANK(OFFSET(A$1,,,SUMPRODUCT(MAX(ROW(E$1:E2474)*(E2=E$1:E2474))))))</f>
        <v> </v>
      </c>
      <c r="K2475" s="26" t="str">
        <f>IF(OR(E2475="",E2475="!!!",F2475="NEW"),"",INDEX(J$1:J2474,SUMPRODUCT(MAX(ROW(E$1:E2474)*(E2475=E$1:E2474)))))</f>
        <v> </v>
      </c>
      <c r="L2475" s="27"/>
    </row>
    <row r="2476" spans="1:12">
      <c r="A2476" s="20" t="s">
        <v>1672</v>
      </c>
      <c r="E2476" s="22">
        <f>IF(D2476="?OLD","!!!","")</f>
        <v/>
      </c>
      <c r="F2476" s="23" t="str">
        <f>IF(OR(E2476="",E2476="!!!"),"",IF(NOT(ISNA(VLOOKUP(E2476,E$1:E2475,1,FALSE()))),"OLD",IF(AND(E2476&lt;&gt;"",E2476&lt;&gt;"!!!"),"NEW","")))</f>
        <v> </v>
      </c>
      <c r="G2476" s="24" t="str">
        <f>IF(OR(E2476="",E2476="!!!"),"",IF(OR(J2476=0,AND(J2476=1,K2476=1),AND(J2476=1,I2476="SBJ"),AND(J2476=1,I2476=0)),"?IN_FOCUS",IF(J2476&lt;=2,"?ACTIVATED",IF(J2476&lt;&gt;"","?FAMILIAR",IF(F2476="NEW",IF(ISNA(VLOOKUP(E2476,#REF!,1,FALSE())),"?TYPE_IDENTIFIABLE","?REFERENTIAL"),"_")))))</f>
        <v> </v>
      </c>
      <c r="H2476" s="25" t="str">
        <f>IF(J2476&lt;&gt;1,"",IF(I2476="SBJ","CB","?"))</f>
        <v> </v>
      </c>
      <c r="I2476" s="26" t="str">
        <f>IF(OR(E2476="",E2476="!!!",F2476="NEW"),"",INDEX(B2475:B$2,-1+SUMPRODUCT(MAX(ROW(E2475:E$2)*(E2476=E2475:E$2)))))</f>
        <v> </v>
      </c>
      <c r="J2476" s="26" t="str">
        <f>IF(OR(E2476="",E2476="!!!",F2476="NEW"),"",COUNTBLANK(OFFSET(A$1,,,SUMPRODUCT(MAX(ROW(E$2:E2476)*(E2476=E$2:E2476)))))-COUNTBLANK(OFFSET(A$1,,,SUMPRODUCT(MAX(ROW(E$1:E2475)*(E2=E$1:E2475))))))</f>
        <v> </v>
      </c>
      <c r="K2476" s="26" t="str">
        <f>IF(OR(E2476="",E2476="!!!",F2476="NEW"),"",INDEX(J$1:J2475,SUMPRODUCT(MAX(ROW(E$1:E2475)*(E2476=E$1:E2475)))))</f>
        <v> </v>
      </c>
      <c r="L2476" s="27"/>
    </row>
    <row r="2477" spans="1:12">
      <c r="A2477" s="20" t="s">
        <v>1435</v>
      </c>
      <c r="E2477" s="22">
        <f>IF(D2477="?OLD","!!!","")</f>
        <v/>
      </c>
      <c r="F2477" s="23" t="str">
        <f>IF(OR(E2477="",E2477="!!!"),"",IF(NOT(ISNA(VLOOKUP(E2477,E$1:E2476,1,FALSE()))),"OLD",IF(AND(E2477&lt;&gt;"",E2477&lt;&gt;"!!!"),"NEW","")))</f>
        <v> </v>
      </c>
      <c r="G2477" s="24" t="str">
        <f>IF(OR(E2477="",E2477="!!!"),"",IF(OR(J2477=0,AND(J2477=1,K2477=1),AND(J2477=1,I2477="SBJ"),AND(J2477=1,I2477=0)),"?IN_FOCUS",IF(J2477&lt;=2,"?ACTIVATED",IF(J2477&lt;&gt;"","?FAMILIAR",IF(F2477="NEW",IF(ISNA(VLOOKUP(E2477,#REF!,1,FALSE())),"?TYPE_IDENTIFIABLE","?REFERENTIAL"),"_")))))</f>
        <v> </v>
      </c>
      <c r="H2477" s="25" t="str">
        <f>IF(J2477&lt;&gt;1,"",IF(I2477="SBJ","CB","?"))</f>
        <v> </v>
      </c>
      <c r="I2477" s="26" t="str">
        <f>IF(OR(E2477="",E2477="!!!",F2477="NEW"),"",INDEX(B2476:B$2,-1+SUMPRODUCT(MAX(ROW(E2476:E$2)*(E2477=E2476:E$2)))))</f>
        <v> </v>
      </c>
      <c r="J2477" s="26" t="str">
        <f>IF(OR(E2477="",E2477="!!!",F2477="NEW"),"",COUNTBLANK(OFFSET(A$1,,,SUMPRODUCT(MAX(ROW(E$2:E2477)*(E2477=E$2:E2477)))))-COUNTBLANK(OFFSET(A$1,,,SUMPRODUCT(MAX(ROW(E$1:E2476)*(E2=E$1:E2476))))))</f>
        <v> </v>
      </c>
      <c r="K2477" s="26" t="str">
        <f>IF(OR(E2477="",E2477="!!!",F2477="NEW"),"",INDEX(J$1:J2476,SUMPRODUCT(MAX(ROW(E$1:E2476)*(E2477=E$1:E2476)))))</f>
        <v> </v>
      </c>
      <c r="L2477" s="27"/>
    </row>
    <row r="2478" spans="1:12">
      <c r="A2478" s="20" t="s">
        <v>1107</v>
      </c>
      <c r="E2478" s="22">
        <f>IF(D2478="?OLD","!!!","")</f>
        <v/>
      </c>
      <c r="F2478" s="23" t="str">
        <f>IF(OR(E2478="",E2478="!!!"),"",IF(NOT(ISNA(VLOOKUP(E2478,E$1:E2477,1,FALSE()))),"OLD",IF(AND(E2478&lt;&gt;"",E2478&lt;&gt;"!!!"),"NEW","")))</f>
        <v> </v>
      </c>
      <c r="G2478" s="24" t="str">
        <f>IF(OR(E2478="",E2478="!!!"),"",IF(OR(J2478=0,AND(J2478=1,K2478=1),AND(J2478=1,I2478="SBJ"),AND(J2478=1,I2478=0)),"?IN_FOCUS",IF(J2478&lt;=2,"?ACTIVATED",IF(J2478&lt;&gt;"","?FAMILIAR",IF(F2478="NEW",IF(ISNA(VLOOKUP(E2478,#REF!,1,FALSE())),"?TYPE_IDENTIFIABLE","?REFERENTIAL"),"_")))))</f>
        <v> </v>
      </c>
      <c r="H2478" s="25" t="str">
        <f>IF(J2478&lt;&gt;1,"",IF(I2478="SBJ","CB","?"))</f>
        <v> </v>
      </c>
      <c r="I2478" s="26" t="str">
        <f>IF(OR(E2478="",E2478="!!!",F2478="NEW"),"",INDEX(B2477:B$2,-1+SUMPRODUCT(MAX(ROW(E2477:E$2)*(E2478=E2477:E$2)))))</f>
        <v> </v>
      </c>
      <c r="J2478" s="26" t="str">
        <f>IF(OR(E2478="",E2478="!!!",F2478="NEW"),"",COUNTBLANK(OFFSET(A$1,,,SUMPRODUCT(MAX(ROW(E$2:E2478)*(E2478=E$2:E2478)))))-COUNTBLANK(OFFSET(A$1,,,SUMPRODUCT(MAX(ROW(E$1:E2477)*(E2=E$1:E2477))))))</f>
        <v> </v>
      </c>
      <c r="K2478" s="26" t="str">
        <f>IF(OR(E2478="",E2478="!!!",F2478="NEW"),"",INDEX(J$1:J2477,SUMPRODUCT(MAX(ROW(E$1:E2477)*(E2478=E$1:E2477)))))</f>
        <v> </v>
      </c>
      <c r="L2478" s="27"/>
    </row>
    <row r="2479" spans="1:12">
      <c r="A2479" s="20" t="s">
        <v>1673</v>
      </c>
      <c r="B2479" s="21" t="s">
        <v>736</v>
      </c>
      <c r="C2479" s="21" t="s">
        <v>748</v>
      </c>
      <c r="E2479" s="22">
        <f>IF(D2479="?OLD","!!!","")</f>
        <v/>
      </c>
      <c r="F2479" s="23" t="str">
        <f>IF(OR(E2479="",E2479="!!!"),"",IF(NOT(ISNA(VLOOKUP(E2479,E$1:E2478,1,FALSE()))),"OLD",IF(AND(E2479&lt;&gt;"",E2479&lt;&gt;"!!!"),"NEW","")))</f>
        <v> </v>
      </c>
      <c r="G2479" s="24" t="str">
        <f>IF(OR(E2479="",E2479="!!!"),"",IF(OR(J2479=0,AND(J2479=1,K2479=1),AND(J2479=1,I2479="SBJ"),AND(J2479=1,I2479=0)),"?IN_FOCUS",IF(J2479&lt;=2,"?ACTIVATED",IF(J2479&lt;&gt;"","?FAMILIAR",IF(F2479="NEW",IF(ISNA(VLOOKUP(E2479,#REF!,1,FALSE())),"?TYPE_IDENTIFIABLE","?REFERENTIAL"),"_")))))</f>
        <v> </v>
      </c>
      <c r="H2479" s="25" t="str">
        <f>IF(J2479&lt;&gt;1,"",IF(I2479="SBJ","CB","?"))</f>
        <v> </v>
      </c>
      <c r="I2479" s="26" t="str">
        <f>IF(OR(E2479="",E2479="!!!",F2479="NEW"),"",INDEX(B2478:B$2,-1+SUMPRODUCT(MAX(ROW(E2478:E$2)*(E2479=E2478:E$2)))))</f>
        <v> </v>
      </c>
      <c r="J2479" s="26" t="str">
        <f>IF(OR(E2479="",E2479="!!!",F2479="NEW"),"",COUNTBLANK(OFFSET(A$1,,,SUMPRODUCT(MAX(ROW(E$2:E2479)*(E2479=E$2:E2479)))))-COUNTBLANK(OFFSET(A$1,,,SUMPRODUCT(MAX(ROW(E$1:E2478)*(E2=E$1:E2478))))))</f>
        <v> </v>
      </c>
      <c r="K2479" s="26" t="str">
        <f>IF(OR(E2479="",E2479="!!!",F2479="NEW"),"",INDEX(J$1:J2478,SUMPRODUCT(MAX(ROW(E$1:E2478)*(E2479=E$1:E2478)))))</f>
        <v> </v>
      </c>
      <c r="L2479" s="27"/>
    </row>
    <row r="2480" spans="1:12">
      <c r="A2480" s="20" t="s">
        <v>759</v>
      </c>
      <c r="E2480" s="22">
        <f>IF(D2480="?OLD","!!!","")</f>
        <v/>
      </c>
      <c r="F2480" s="23" t="str">
        <f>IF(OR(E2480="",E2480="!!!"),"",IF(NOT(ISNA(VLOOKUP(E2480,E$1:E2479,1,FALSE()))),"OLD",IF(AND(E2480&lt;&gt;"",E2480&lt;&gt;"!!!"),"NEW","")))</f>
        <v> </v>
      </c>
      <c r="G2480" s="24" t="str">
        <f>IF(OR(E2480="",E2480="!!!"),"",IF(OR(J2480=0,AND(J2480=1,K2480=1),AND(J2480=1,I2480="SBJ"),AND(J2480=1,I2480=0)),"?IN_FOCUS",IF(J2480&lt;=2,"?ACTIVATED",IF(J2480&lt;&gt;"","?FAMILIAR",IF(F2480="NEW",IF(ISNA(VLOOKUP(E2480,#REF!,1,FALSE())),"?TYPE_IDENTIFIABLE","?REFERENTIAL"),"_")))))</f>
        <v> </v>
      </c>
      <c r="H2480" s="25" t="str">
        <f>IF(J2480&lt;&gt;1,"",IF(I2480="SBJ","CB","?"))</f>
        <v> </v>
      </c>
      <c r="I2480" s="26" t="str">
        <f>IF(OR(E2480="",E2480="!!!",F2480="NEW"),"",INDEX(B2479:B$2,-1+SUMPRODUCT(MAX(ROW(E2479:E$2)*(E2480=E2479:E$2)))))</f>
        <v> </v>
      </c>
      <c r="J2480" s="26" t="str">
        <f>IF(OR(E2480="",E2480="!!!",F2480="NEW"),"",COUNTBLANK(OFFSET(A$1,,,SUMPRODUCT(MAX(ROW(E$2:E2480)*(E2480=E$2:E2480)))))-COUNTBLANK(OFFSET(A$1,,,SUMPRODUCT(MAX(ROW(E$1:E2479)*(E2=E$1:E2479))))))</f>
        <v> </v>
      </c>
      <c r="K2480" s="26" t="str">
        <f>IF(OR(E2480="",E2480="!!!",F2480="NEW"),"",INDEX(J$1:J2479,SUMPRODUCT(MAX(ROW(E$1:E2479)*(E2480=E$1:E2479)))))</f>
        <v> </v>
      </c>
      <c r="L2480" s="27"/>
    </row>
    <row r="2481" spans="1:12">
      <c r="A2481" s="20" t="s">
        <v>776</v>
      </c>
      <c r="B2481" s="21" t="s">
        <v>788</v>
      </c>
      <c r="E2481" s="22">
        <f>IF(D2481="?OLD","!!!","")</f>
        <v/>
      </c>
      <c r="F2481" s="23" t="str">
        <f>IF(OR(E2481="",E2481="!!!"),"",IF(NOT(ISNA(VLOOKUP(E2481,E$1:E2480,1,FALSE()))),"OLD",IF(AND(E2481&lt;&gt;"",E2481&lt;&gt;"!!!"),"NEW","")))</f>
        <v> </v>
      </c>
      <c r="G2481" s="24" t="str">
        <f>IF(OR(E2481="",E2481="!!!"),"",IF(OR(J2481=0,AND(J2481=1,K2481=1),AND(J2481=1,I2481="SBJ"),AND(J2481=1,I2481=0)),"?IN_FOCUS",IF(J2481&lt;=2,"?ACTIVATED",IF(J2481&lt;&gt;"","?FAMILIAR",IF(F2481="NEW",IF(ISNA(VLOOKUP(E2481,#REF!,1,FALSE())),"?TYPE_IDENTIFIABLE","?REFERENTIAL"),"_")))))</f>
        <v> </v>
      </c>
      <c r="H2481" s="25" t="str">
        <f>IF(J2481&lt;&gt;1,"",IF(I2481="SBJ","CB","?"))</f>
        <v> </v>
      </c>
      <c r="I2481" s="26" t="str">
        <f>IF(OR(E2481="",E2481="!!!",F2481="NEW"),"",INDEX(B2480:B$2,-1+SUMPRODUCT(MAX(ROW(E2480:E$2)*(E2481=E2480:E$2)))))</f>
        <v> </v>
      </c>
      <c r="J2481" s="26" t="str">
        <f>IF(OR(E2481="",E2481="!!!",F2481="NEW"),"",COUNTBLANK(OFFSET(A$1,,,SUMPRODUCT(MAX(ROW(E$2:E2481)*(E2481=E$2:E2481)))))-COUNTBLANK(OFFSET(A$1,,,SUMPRODUCT(MAX(ROW(E$1:E2480)*(E2=E$1:E2480))))))</f>
        <v> </v>
      </c>
      <c r="K2481" s="26" t="str">
        <f>IF(OR(E2481="",E2481="!!!",F2481="NEW"),"",INDEX(J$1:J2480,SUMPRODUCT(MAX(ROW(E$1:E2480)*(E2481=E$1:E2480)))))</f>
        <v> </v>
      </c>
      <c r="L2481" s="27"/>
    </row>
    <row r="2482" spans="1:12">
      <c r="A2482" s="20" t="s">
        <v>811</v>
      </c>
      <c r="E2482" s="22">
        <f>IF(D2482="?OLD","!!!","")</f>
        <v/>
      </c>
      <c r="F2482" s="23" t="str">
        <f>IF(OR(E2482="",E2482="!!!"),"",IF(NOT(ISNA(VLOOKUP(E2482,E$1:E2481,1,FALSE()))),"OLD",IF(AND(E2482&lt;&gt;"",E2482&lt;&gt;"!!!"),"NEW","")))</f>
        <v> </v>
      </c>
      <c r="G2482" s="24" t="str">
        <f>IF(OR(E2482="",E2482="!!!"),"",IF(OR(J2482=0,AND(J2482=1,K2482=1),AND(J2482=1,I2482="SBJ"),AND(J2482=1,I2482=0)),"?IN_FOCUS",IF(J2482&lt;=2,"?ACTIVATED",IF(J2482&lt;&gt;"","?FAMILIAR",IF(F2482="NEW",IF(ISNA(VLOOKUP(E2482,#REF!,1,FALSE())),"?TYPE_IDENTIFIABLE","?REFERENTIAL"),"_")))))</f>
        <v> </v>
      </c>
      <c r="H2482" s="25" t="str">
        <f>IF(J2482&lt;&gt;1,"",IF(I2482="SBJ","CB","?"))</f>
        <v> </v>
      </c>
      <c r="I2482" s="26" t="str">
        <f>IF(OR(E2482="",E2482="!!!",F2482="NEW"),"",INDEX(B2481:B$2,-1+SUMPRODUCT(MAX(ROW(E2481:E$2)*(E2482=E2481:E$2)))))</f>
        <v> </v>
      </c>
      <c r="J2482" s="26" t="str">
        <f>IF(OR(E2482="",E2482="!!!",F2482="NEW"),"",COUNTBLANK(OFFSET(A$1,,,SUMPRODUCT(MAX(ROW(E$2:E2482)*(E2482=E$2:E2482)))))-COUNTBLANK(OFFSET(A$1,,,SUMPRODUCT(MAX(ROW(E$1:E2481)*(E2=E$1:E2481))))))</f>
        <v> </v>
      </c>
      <c r="K2482" s="26" t="str">
        <f>IF(OR(E2482="",E2482="!!!",F2482="NEW"),"",INDEX(J$1:J2481,SUMPRODUCT(MAX(ROW(E$1:E2481)*(E2482=E$1:E2481)))))</f>
        <v> </v>
      </c>
      <c r="L2482" s="27"/>
    </row>
    <row r="2483" spans="1:12">
      <c r="A2483" s="20" t="s">
        <v>1403</v>
      </c>
      <c r="E2483" s="22">
        <f>IF(D2483="?OLD","!!!","")</f>
        <v/>
      </c>
      <c r="F2483" s="23" t="str">
        <f>IF(OR(E2483="",E2483="!!!"),"",IF(NOT(ISNA(VLOOKUP(E2483,E$1:E2482,1,FALSE()))),"OLD",IF(AND(E2483&lt;&gt;"",E2483&lt;&gt;"!!!"),"NEW","")))</f>
        <v> </v>
      </c>
      <c r="G2483" s="24" t="str">
        <f>IF(OR(E2483="",E2483="!!!"),"",IF(OR(J2483=0,AND(J2483=1,K2483=1),AND(J2483=1,I2483="SBJ"),AND(J2483=1,I2483=0)),"?IN_FOCUS",IF(J2483&lt;=2,"?ACTIVATED",IF(J2483&lt;&gt;"","?FAMILIAR",IF(F2483="NEW",IF(ISNA(VLOOKUP(E2483,#REF!,1,FALSE())),"?TYPE_IDENTIFIABLE","?REFERENTIAL"),"_")))))</f>
        <v> </v>
      </c>
      <c r="H2483" s="25" t="str">
        <f>IF(J2483&lt;&gt;1,"",IF(I2483="SBJ","CB","?"))</f>
        <v> </v>
      </c>
      <c r="I2483" s="26" t="str">
        <f>IF(OR(E2483="",E2483="!!!",F2483="NEW"),"",INDEX(B2482:B$2,-1+SUMPRODUCT(MAX(ROW(E2482:E$2)*(E2483=E2482:E$2)))))</f>
        <v> </v>
      </c>
      <c r="J2483" s="26" t="str">
        <f>IF(OR(E2483="",E2483="!!!",F2483="NEW"),"",COUNTBLANK(OFFSET(A$1,,,SUMPRODUCT(MAX(ROW(E$2:E2483)*(E2483=E$2:E2483)))))-COUNTBLANK(OFFSET(A$1,,,SUMPRODUCT(MAX(ROW(E$1:E2482)*(E2=E$1:E2482))))))</f>
        <v> </v>
      </c>
      <c r="K2483" s="26" t="str">
        <f>IF(OR(E2483="",E2483="!!!",F2483="NEW"),"",INDEX(J$1:J2482,SUMPRODUCT(MAX(ROW(E$1:E2482)*(E2483=E$1:E2482)))))</f>
        <v> </v>
      </c>
      <c r="L2483" s="27"/>
    </row>
    <row r="2484" spans="1:12">
      <c r="A2484" s="20" t="s">
        <v>757</v>
      </c>
      <c r="E2484" s="22">
        <f>IF(D2484="?OLD","!!!","")</f>
        <v/>
      </c>
      <c r="F2484" s="23" t="str">
        <f>IF(OR(E2484="",E2484="!!!"),"",IF(NOT(ISNA(VLOOKUP(E2484,E$1:E2483,1,FALSE()))),"OLD",IF(AND(E2484&lt;&gt;"",E2484&lt;&gt;"!!!"),"NEW","")))</f>
        <v> </v>
      </c>
      <c r="G2484" s="24" t="str">
        <f>IF(OR(E2484="",E2484="!!!"),"",IF(OR(J2484=0,AND(J2484=1,K2484=1),AND(J2484=1,I2484="SBJ"),AND(J2484=1,I2484=0)),"?IN_FOCUS",IF(J2484&lt;=2,"?ACTIVATED",IF(J2484&lt;&gt;"","?FAMILIAR",IF(F2484="NEW",IF(ISNA(VLOOKUP(E2484,#REF!,1,FALSE())),"?TYPE_IDENTIFIABLE","?REFERENTIAL"),"_")))))</f>
        <v> </v>
      </c>
      <c r="H2484" s="25" t="str">
        <f>IF(J2484&lt;&gt;1,"",IF(I2484="SBJ","CB","?"))</f>
        <v> </v>
      </c>
      <c r="I2484" s="26" t="str">
        <f>IF(OR(E2484="",E2484="!!!",F2484="NEW"),"",INDEX(B2483:B$2,-1+SUMPRODUCT(MAX(ROW(E2483:E$2)*(E2484=E2483:E$2)))))</f>
        <v> </v>
      </c>
      <c r="J2484" s="26" t="str">
        <f>IF(OR(E2484="",E2484="!!!",F2484="NEW"),"",COUNTBLANK(OFFSET(A$1,,,SUMPRODUCT(MAX(ROW(E$2:E2484)*(E2484=E$2:E2484)))))-COUNTBLANK(OFFSET(A$1,,,SUMPRODUCT(MAX(ROW(E$1:E2483)*(E2=E$1:E2483))))))</f>
        <v> </v>
      </c>
      <c r="K2484" s="26" t="str">
        <f>IF(OR(E2484="",E2484="!!!",F2484="NEW"),"",INDEX(J$1:J2483,SUMPRODUCT(MAX(ROW(E$1:E2483)*(E2484=E$1:E2483)))))</f>
        <v> </v>
      </c>
      <c r="L2484" s="27"/>
    </row>
    <row r="2485" spans="1:12">
      <c r="A2485" s="20" t="s">
        <v>738</v>
      </c>
      <c r="B2485" s="21" t="s">
        <v>739</v>
      </c>
      <c r="C2485" s="21" t="s">
        <v>740</v>
      </c>
      <c r="D2485" s="21" t="s">
        <v>730</v>
      </c>
      <c r="E2485" s="22">
        <f>IF(D2485="?OLD","!!!","")</f>
        <v/>
      </c>
      <c r="F2485" s="23" t="str">
        <f>IF(OR(E2485="",E2485="!!!"),"",IF(NOT(ISNA(VLOOKUP(E2485,E$1:E2484,1,FALSE()))),"OLD",IF(AND(E2485&lt;&gt;"",E2485&lt;&gt;"!!!"),"NEW","")))</f>
        <v> </v>
      </c>
      <c r="G2485" s="24" t="str">
        <f>IF(OR(E2485="",E2485="!!!"),"",IF(OR(J2485=0,AND(J2485=1,K2485=1),AND(J2485=1,I2485="SBJ"),AND(J2485=1,I2485=0)),"?IN_FOCUS",IF(J2485&lt;=2,"?ACTIVATED",IF(J2485&lt;&gt;"","?FAMILIAR",IF(F2485="NEW",IF(ISNA(VLOOKUP(E2485,#REF!,1,FALSE())),"?TYPE_IDENTIFIABLE","?REFERENTIAL"),"_")))))</f>
        <v> </v>
      </c>
      <c r="H2485" s="25" t="str">
        <f>IF(J2485&lt;&gt;1,"",IF(I2485="SBJ","CB","?"))</f>
        <v> </v>
      </c>
      <c r="I2485" s="26" t="str">
        <f>IF(OR(E2485="",E2485="!!!",F2485="NEW"),"",INDEX(B2484:B$2,-1+SUMPRODUCT(MAX(ROW(E2484:E$2)*(E2485=E2484:E$2)))))</f>
        <v> </v>
      </c>
      <c r="J2485" s="26" t="str">
        <f>IF(OR(E2485="",E2485="!!!",F2485="NEW"),"",COUNTBLANK(OFFSET(A$1,,,SUMPRODUCT(MAX(ROW(E$2:E2485)*(E2485=E$2:E2485)))))-COUNTBLANK(OFFSET(A$1,,,SUMPRODUCT(MAX(ROW(E$1:E2484)*(E2=E$1:E2484))))))</f>
        <v> </v>
      </c>
      <c r="K2485" s="26" t="str">
        <f>IF(OR(E2485="",E2485="!!!",F2485="NEW"),"",INDEX(J$1:J2484,SUMPRODUCT(MAX(ROW(E$1:E2484)*(E2485=E$1:E2484)))))</f>
        <v> </v>
      </c>
      <c r="L2485" s="27"/>
    </row>
    <row r="2486" spans="1:12">
      <c r="A2486" s="20" t="s">
        <v>12</v>
      </c>
      <c r="E2486" s="22">
        <f>IF(D2486="?OLD","!!!","")</f>
        <v/>
      </c>
      <c r="F2486" s="23" t="str">
        <f>IF(OR(E2486="",E2486="!!!"),"",IF(NOT(ISNA(VLOOKUP(E2486,E$1:E2485,1,FALSE()))),"OLD",IF(AND(E2486&lt;&gt;"",E2486&lt;&gt;"!!!"),"NEW","")))</f>
        <v> </v>
      </c>
      <c r="G2486" s="24" t="str">
        <f>IF(OR(E2486="",E2486="!!!"),"",IF(OR(J2486=0,AND(J2486=1,K2486=1),AND(J2486=1,I2486="SBJ"),AND(J2486=1,I2486=0)),"?IN_FOCUS",IF(J2486&lt;=2,"?ACTIVATED",IF(J2486&lt;&gt;"","?FAMILIAR",IF(F2486="NEW",IF(ISNA(VLOOKUP(E2486,#REF!,1,FALSE())),"?TYPE_IDENTIFIABLE","?REFERENTIAL"),"_")))))</f>
        <v> </v>
      </c>
      <c r="H2486" s="25" t="str">
        <f>IF(J2486&lt;&gt;1,"",IF(I2486="SBJ","CB","?"))</f>
        <v> </v>
      </c>
      <c r="I2486" s="26" t="str">
        <f>IF(OR(E2486="",E2486="!!!",F2486="NEW"),"",INDEX(B2485:B$2,-1+SUMPRODUCT(MAX(ROW(E2485:E$2)*(E2486=E2485:E$2)))))</f>
        <v> </v>
      </c>
      <c r="J2486" s="26" t="str">
        <f>IF(OR(E2486="",E2486="!!!",F2486="NEW"),"",COUNTBLANK(OFFSET(A$1,,,SUMPRODUCT(MAX(ROW(E$2:E2486)*(E2486=E$2:E2486)))))-COUNTBLANK(OFFSET(A$1,,,SUMPRODUCT(MAX(ROW(E$1:E2485)*(E2=E$1:E2485))))))</f>
        <v> </v>
      </c>
      <c r="K2486" s="26" t="str">
        <f>IF(OR(E2486="",E2486="!!!",F2486="NEW"),"",INDEX(J$1:J2485,SUMPRODUCT(MAX(ROW(E$1:E2485)*(E2486=E$1:E2485)))))</f>
        <v> </v>
      </c>
      <c r="L2486" s="27"/>
    </row>
    <row r="2487" spans="1:12">
      <c r="A2487" s="20" t="s">
        <v>741</v>
      </c>
      <c r="E2487" s="22">
        <f>IF(D2487="?OLD","!!!","")</f>
        <v/>
      </c>
      <c r="F2487" s="23" t="str">
        <f>IF(OR(E2487="",E2487="!!!"),"",IF(NOT(ISNA(VLOOKUP(E2487,E$1:E2486,1,FALSE()))),"OLD",IF(AND(E2487&lt;&gt;"",E2487&lt;&gt;"!!!"),"NEW","")))</f>
        <v> </v>
      </c>
      <c r="G2487" s="24" t="str">
        <f>IF(OR(E2487="",E2487="!!!"),"",IF(OR(J2487=0,AND(J2487=1,K2487=1),AND(J2487=1,I2487="SBJ"),AND(J2487=1,I2487=0)),"?IN_FOCUS",IF(J2487&lt;=2,"?ACTIVATED",IF(J2487&lt;&gt;"","?FAMILIAR",IF(F2487="NEW",IF(ISNA(VLOOKUP(E2487,#REF!,1,FALSE())),"?TYPE_IDENTIFIABLE","?REFERENTIAL"),"_")))))</f>
        <v> </v>
      </c>
      <c r="H2487" s="25" t="str">
        <f>IF(J2487&lt;&gt;1,"",IF(I2487="SBJ","CB","?"))</f>
        <v> </v>
      </c>
      <c r="I2487" s="26" t="str">
        <f>IF(OR(E2487="",E2487="!!!",F2487="NEW"),"",INDEX(B2486:B$2,-1+SUMPRODUCT(MAX(ROW(E2486:E$2)*(E2487=E2486:E$2)))))</f>
        <v> </v>
      </c>
      <c r="J2487" s="26" t="str">
        <f>IF(OR(E2487="",E2487="!!!",F2487="NEW"),"",COUNTBLANK(OFFSET(A$1,,,SUMPRODUCT(MAX(ROW(E$2:E2487)*(E2487=E$2:E2487)))))-COUNTBLANK(OFFSET(A$1,,,SUMPRODUCT(MAX(ROW(E$1:E2486)*(E2=E$1:E2486))))))</f>
        <v> </v>
      </c>
      <c r="K2487" s="26" t="str">
        <f>IF(OR(E2487="",E2487="!!!",F2487="NEW"),"",INDEX(J$1:J2486,SUMPRODUCT(MAX(ROW(E$1:E2486)*(E2487=E$1:E2486)))))</f>
        <v> </v>
      </c>
      <c r="L2487" s="27"/>
    </row>
    <row r="2488" spans="1:12">
      <c r="A2488" s="20" t="s">
        <v>12</v>
      </c>
      <c r="E2488" s="22">
        <f>IF(D2488="?OLD","!!!","")</f>
        <v/>
      </c>
      <c r="F2488" s="23" t="str">
        <f>IF(OR(E2488="",E2488="!!!"),"",IF(NOT(ISNA(VLOOKUP(E2488,E$1:E2487,1,FALSE()))),"OLD",IF(AND(E2488&lt;&gt;"",E2488&lt;&gt;"!!!"),"NEW","")))</f>
        <v> </v>
      </c>
      <c r="G2488" s="24" t="str">
        <f>IF(OR(E2488="",E2488="!!!"),"",IF(OR(J2488=0,AND(J2488=1,K2488=1),AND(J2488=1,I2488="SBJ"),AND(J2488=1,I2488=0)),"?IN_FOCUS",IF(J2488&lt;=2,"?ACTIVATED",IF(J2488&lt;&gt;"","?FAMILIAR",IF(F2488="NEW",IF(ISNA(VLOOKUP(E2488,#REF!,1,FALSE())),"?TYPE_IDENTIFIABLE","?REFERENTIAL"),"_")))))</f>
        <v> </v>
      </c>
      <c r="H2488" s="25" t="str">
        <f>IF(J2488&lt;&gt;1,"",IF(I2488="SBJ","CB","?"))</f>
        <v> </v>
      </c>
      <c r="I2488" s="26" t="str">
        <f>IF(OR(E2488="",E2488="!!!",F2488="NEW"),"",INDEX(B2487:B$2,-1+SUMPRODUCT(MAX(ROW(E2487:E$2)*(E2488=E2487:E$2)))))</f>
        <v> </v>
      </c>
      <c r="J2488" s="26" t="str">
        <f>IF(OR(E2488="",E2488="!!!",F2488="NEW"),"",COUNTBLANK(OFFSET(A$1,,,SUMPRODUCT(MAX(ROW(E$2:E2488)*(E2488=E$2:E2488)))))-COUNTBLANK(OFFSET(A$1,,,SUMPRODUCT(MAX(ROW(E$1:E2487)*(E2=E$1:E2487))))))</f>
        <v> </v>
      </c>
      <c r="K2488" s="26" t="str">
        <f>IF(OR(E2488="",E2488="!!!",F2488="NEW"),"",INDEX(J$1:J2487,SUMPRODUCT(MAX(ROW(E$1:E2487)*(E2488=E$1:E2487)))))</f>
        <v> </v>
      </c>
      <c r="L2488" s="27"/>
    </row>
    <row r="2489" spans="1:12">
      <c r="A2489" s="20" t="s">
        <v>1674</v>
      </c>
      <c r="E2489" s="22">
        <f>IF(D2489="?OLD","!!!","")</f>
        <v/>
      </c>
      <c r="F2489" s="23" t="str">
        <f>IF(OR(E2489="",E2489="!!!"),"",IF(NOT(ISNA(VLOOKUP(E2489,E$1:E2488,1,FALSE()))),"OLD",IF(AND(E2489&lt;&gt;"",E2489&lt;&gt;"!!!"),"NEW","")))</f>
        <v> </v>
      </c>
      <c r="G2489" s="24" t="str">
        <f>IF(OR(E2489="",E2489="!!!"),"",IF(OR(J2489=0,AND(J2489=1,K2489=1),AND(J2489=1,I2489="SBJ"),AND(J2489=1,I2489=0)),"?IN_FOCUS",IF(J2489&lt;=2,"?ACTIVATED",IF(J2489&lt;&gt;"","?FAMILIAR",IF(F2489="NEW",IF(ISNA(VLOOKUP(E2489,#REF!,1,FALSE())),"?TYPE_IDENTIFIABLE","?REFERENTIAL"),"_")))))</f>
        <v> </v>
      </c>
      <c r="H2489" s="25" t="str">
        <f>IF(J2489&lt;&gt;1,"",IF(I2489="SBJ","CB","?"))</f>
        <v> </v>
      </c>
      <c r="I2489" s="26" t="str">
        <f>IF(OR(E2489="",E2489="!!!",F2489="NEW"),"",INDEX(B2488:B$2,-1+SUMPRODUCT(MAX(ROW(E2488:E$2)*(E2489=E2488:E$2)))))</f>
        <v> </v>
      </c>
      <c r="J2489" s="26" t="str">
        <f>IF(OR(E2489="",E2489="!!!",F2489="NEW"),"",COUNTBLANK(OFFSET(A$1,,,SUMPRODUCT(MAX(ROW(E$2:E2489)*(E2489=E$2:E2489)))))-COUNTBLANK(OFFSET(A$1,,,SUMPRODUCT(MAX(ROW(E$1:E2488)*(E2=E$1:E2488))))))</f>
        <v> </v>
      </c>
      <c r="K2489" s="26" t="str">
        <f>IF(OR(E2489="",E2489="!!!",F2489="NEW"),"",INDEX(J$1:J2488,SUMPRODUCT(MAX(ROW(E$1:E2488)*(E2489=E$1:E2488)))))</f>
        <v> </v>
      </c>
      <c r="L2489" s="27"/>
    </row>
    <row r="2490" spans="1:12">
      <c r="A2490" s="20" t="s">
        <v>1145</v>
      </c>
      <c r="E2490" s="22">
        <f>IF(D2490="?OLD","!!!","")</f>
        <v/>
      </c>
      <c r="F2490" s="23" t="str">
        <f>IF(OR(E2490="",E2490="!!!"),"",IF(NOT(ISNA(VLOOKUP(E2490,E$1:E2489,1,FALSE()))),"OLD",IF(AND(E2490&lt;&gt;"",E2490&lt;&gt;"!!!"),"NEW","")))</f>
        <v> </v>
      </c>
      <c r="G2490" s="24" t="str">
        <f>IF(OR(E2490="",E2490="!!!"),"",IF(OR(J2490=0,AND(J2490=1,K2490=1),AND(J2490=1,I2490="SBJ"),AND(J2490=1,I2490=0)),"?IN_FOCUS",IF(J2490&lt;=2,"?ACTIVATED",IF(J2490&lt;&gt;"","?FAMILIAR",IF(F2490="NEW",IF(ISNA(VLOOKUP(E2490,#REF!,1,FALSE())),"?TYPE_IDENTIFIABLE","?REFERENTIAL"),"_")))))</f>
        <v> </v>
      </c>
      <c r="H2490" s="25" t="str">
        <f>IF(J2490&lt;&gt;1,"",IF(I2490="SBJ","CB","?"))</f>
        <v> </v>
      </c>
      <c r="I2490" s="26" t="str">
        <f>IF(OR(E2490="",E2490="!!!",F2490="NEW"),"",INDEX(B2489:B$2,-1+SUMPRODUCT(MAX(ROW(E2489:E$2)*(E2490=E2489:E$2)))))</f>
        <v> </v>
      </c>
      <c r="J2490" s="26" t="str">
        <f>IF(OR(E2490="",E2490="!!!",F2490="NEW"),"",COUNTBLANK(OFFSET(A$1,,,SUMPRODUCT(MAX(ROW(E$2:E2490)*(E2490=E$2:E2490)))))-COUNTBLANK(OFFSET(A$1,,,SUMPRODUCT(MAX(ROW(E$1:E2489)*(E2=E$1:E2489))))))</f>
        <v> </v>
      </c>
      <c r="K2490" s="26" t="str">
        <f>IF(OR(E2490="",E2490="!!!",F2490="NEW"),"",INDEX(J$1:J2489,SUMPRODUCT(MAX(ROW(E$1:E2489)*(E2490=E$1:E2489)))))</f>
        <v> </v>
      </c>
      <c r="L2490" s="27"/>
    </row>
    <row r="2491" spans="1:12">
      <c r="A2491" s="20" t="s">
        <v>745</v>
      </c>
      <c r="B2491" s="21" t="s">
        <v>783</v>
      </c>
      <c r="C2491" s="21" t="s">
        <v>746</v>
      </c>
      <c r="D2491" s="21" t="s">
        <v>730</v>
      </c>
      <c r="E2491" s="22">
        <f>IF(D2491="?OLD","!!!","")</f>
        <v/>
      </c>
      <c r="F2491" s="23" t="str">
        <f>IF(OR(E2491="",E2491="!!!"),"",IF(NOT(ISNA(VLOOKUP(E2491,E$1:E2490,1,FALSE()))),"OLD",IF(AND(E2491&lt;&gt;"",E2491&lt;&gt;"!!!"),"NEW","")))</f>
        <v> </v>
      </c>
      <c r="G2491" s="24" t="str">
        <f>IF(OR(E2491="",E2491="!!!"),"",IF(OR(J2491=0,AND(J2491=1,K2491=1),AND(J2491=1,I2491="SBJ"),AND(J2491=1,I2491=0)),"?IN_FOCUS",IF(J2491&lt;=2,"?ACTIVATED",IF(J2491&lt;&gt;"","?FAMILIAR",IF(F2491="NEW",IF(ISNA(VLOOKUP(E2491,#REF!,1,FALSE())),"?TYPE_IDENTIFIABLE","?REFERENTIAL"),"_")))))</f>
        <v> </v>
      </c>
      <c r="H2491" s="25" t="str">
        <f>IF(J2491&lt;&gt;1,"",IF(I2491="SBJ","CB","?"))</f>
        <v> </v>
      </c>
      <c r="I2491" s="26" t="str">
        <f>IF(OR(E2491="",E2491="!!!",F2491="NEW"),"",INDEX(B2490:B$2,-1+SUMPRODUCT(MAX(ROW(E2490:E$2)*(E2491=E2490:E$2)))))</f>
        <v> </v>
      </c>
      <c r="J2491" s="26" t="str">
        <f>IF(OR(E2491="",E2491="!!!",F2491="NEW"),"",COUNTBLANK(OFFSET(A$1,,,SUMPRODUCT(MAX(ROW(E$2:E2491)*(E2491=E$2:E2491)))))-COUNTBLANK(OFFSET(A$1,,,SUMPRODUCT(MAX(ROW(E$1:E2490)*(E2=E$1:E2490))))))</f>
        <v> </v>
      </c>
      <c r="K2491" s="26" t="str">
        <f>IF(OR(E2491="",E2491="!!!",F2491="NEW"),"",INDEX(J$1:J2490,SUMPRODUCT(MAX(ROW(E$1:E2490)*(E2491=E$1:E2490)))))</f>
        <v> </v>
      </c>
      <c r="L2491" s="27"/>
    </row>
    <row r="2492" spans="1:12">
      <c r="A2492" s="20" t="s">
        <v>1675</v>
      </c>
      <c r="B2492" s="21" t="s">
        <v>755</v>
      </c>
      <c r="C2492" s="21" t="s">
        <v>748</v>
      </c>
      <c r="E2492" s="22">
        <f>IF(D2492="?OLD","!!!","")</f>
        <v/>
      </c>
      <c r="F2492" s="23" t="str">
        <f>IF(OR(E2492="",E2492="!!!"),"",IF(NOT(ISNA(VLOOKUP(E2492,E$1:E2491,1,FALSE()))),"OLD",IF(AND(E2492&lt;&gt;"",E2492&lt;&gt;"!!!"),"NEW","")))</f>
        <v> </v>
      </c>
      <c r="G2492" s="24" t="str">
        <f>IF(OR(E2492="",E2492="!!!"),"",IF(OR(J2492=0,AND(J2492=1,K2492=1),AND(J2492=1,I2492="SBJ"),AND(J2492=1,I2492=0)),"?IN_FOCUS",IF(J2492&lt;=2,"?ACTIVATED",IF(J2492&lt;&gt;"","?FAMILIAR",IF(F2492="NEW",IF(ISNA(VLOOKUP(E2492,#REF!,1,FALSE())),"?TYPE_IDENTIFIABLE","?REFERENTIAL"),"_")))))</f>
        <v> </v>
      </c>
      <c r="H2492" s="25" t="str">
        <f>IF(J2492&lt;&gt;1,"",IF(I2492="SBJ","CB","?"))</f>
        <v> </v>
      </c>
      <c r="I2492" s="26" t="str">
        <f>IF(OR(E2492="",E2492="!!!",F2492="NEW"),"",INDEX(B2491:B$2,-1+SUMPRODUCT(MAX(ROW(E2491:E$2)*(E2492=E2491:E$2)))))</f>
        <v> </v>
      </c>
      <c r="J2492" s="26" t="str">
        <f>IF(OR(E2492="",E2492="!!!",F2492="NEW"),"",COUNTBLANK(OFFSET(A$1,,,SUMPRODUCT(MAX(ROW(E$2:E2492)*(E2492=E$2:E2492)))))-COUNTBLANK(OFFSET(A$1,,,SUMPRODUCT(MAX(ROW(E$1:E2491)*(E2=E$1:E2491))))))</f>
        <v> </v>
      </c>
      <c r="K2492" s="26" t="str">
        <f>IF(OR(E2492="",E2492="!!!",F2492="NEW"),"",INDEX(J$1:J2491,SUMPRODUCT(MAX(ROW(E$1:E2491)*(E2492=E$1:E2491)))))</f>
        <v> </v>
      </c>
      <c r="L2492" s="27"/>
    </row>
    <row r="2493" spans="1:12">
      <c r="A2493" s="20" t="s">
        <v>246</v>
      </c>
      <c r="E2493" s="22">
        <f>IF(D2493="?OLD","!!!","")</f>
        <v/>
      </c>
      <c r="F2493" s="23" t="str">
        <f>IF(OR(E2493="",E2493="!!!"),"",IF(NOT(ISNA(VLOOKUP(E2493,E$1:E2492,1,FALSE()))),"OLD",IF(AND(E2493&lt;&gt;"",E2493&lt;&gt;"!!!"),"NEW","")))</f>
        <v> </v>
      </c>
      <c r="G2493" s="24" t="str">
        <f>IF(OR(E2493="",E2493="!!!"),"",IF(OR(J2493=0,AND(J2493=1,K2493=1),AND(J2493=1,I2493="SBJ"),AND(J2493=1,I2493=0)),"?IN_FOCUS",IF(J2493&lt;=2,"?ACTIVATED",IF(J2493&lt;&gt;"","?FAMILIAR",IF(F2493="NEW",IF(ISNA(VLOOKUP(E2493,#REF!,1,FALSE())),"?TYPE_IDENTIFIABLE","?REFERENTIAL"),"_")))))</f>
        <v> </v>
      </c>
      <c r="H2493" s="25" t="str">
        <f>IF(J2493&lt;&gt;1,"",IF(I2493="SBJ","CB","?"))</f>
        <v> </v>
      </c>
      <c r="I2493" s="26" t="str">
        <f>IF(OR(E2493="",E2493="!!!",F2493="NEW"),"",INDEX(B2492:B$2,-1+SUMPRODUCT(MAX(ROW(E2492:E$2)*(E2493=E2492:E$2)))))</f>
        <v> </v>
      </c>
      <c r="J2493" s="26" t="str">
        <f>IF(OR(E2493="",E2493="!!!",F2493="NEW"),"",COUNTBLANK(OFFSET(A$1,,,SUMPRODUCT(MAX(ROW(E$2:E2493)*(E2493=E$2:E2493)))))-COUNTBLANK(OFFSET(A$1,,,SUMPRODUCT(MAX(ROW(E$1:E2492)*(E2=E$1:E2492))))))</f>
        <v> </v>
      </c>
      <c r="K2493" s="26" t="str">
        <f>IF(OR(E2493="",E2493="!!!",F2493="NEW"),"",INDEX(J$1:J2492,SUMPRODUCT(MAX(ROW(E$1:E2492)*(E2493=E$1:E2492)))))</f>
        <v> </v>
      </c>
      <c r="L2493" s="27"/>
    </row>
    <row r="2494" spans="1:12">
      <c r="A2494" s="20"/>
    </row>
    <row r="2495" spans="1:12">
      <c r="A2495" s="20" t="s">
        <v>1676</v>
      </c>
    </row>
    <row r="2496" spans="1:12">
      <c r="A2496" s="20" t="s">
        <v>768</v>
      </c>
      <c r="E2496" s="22">
        <f>IF(D2496="?OLD","!!!","")</f>
        <v/>
      </c>
      <c r="F2496" s="23" t="str">
        <f>IF(OR(E2496="",E2496="!!!"),"",IF(NOT(ISNA(VLOOKUP(E2496,E$1:E2495,1,FALSE()))),"OLD",IF(AND(E2496&lt;&gt;"",E2496&lt;&gt;"!!!"),"NEW","")))</f>
        <v> </v>
      </c>
      <c r="G2496" s="24" t="str">
        <f>IF(OR(E2496="",E2496="!!!"),"",IF(OR(J2496=0,AND(J2496=1,K2496=1),AND(J2496=1,I2496="SBJ"),AND(J2496=1,I2496=0)),"?IN_FOCUS",IF(J2496&lt;=2,"?ACTIVATED",IF(J2496&lt;&gt;"","?FAMILIAR",IF(F2496="NEW",IF(ISNA(VLOOKUP(E2496,#REF!,1,FALSE())),"?TYPE_IDENTIFIABLE","?REFERENTIAL"),"_")))))</f>
        <v> </v>
      </c>
      <c r="H2496" s="25" t="str">
        <f>IF(J2496&lt;&gt;1,"",IF(I2496="SBJ","CB","?"))</f>
        <v> </v>
      </c>
      <c r="I2496" s="26" t="str">
        <f>IF(OR(E2496="",E2496="!!!",F2496="NEW"),"",INDEX(B2495:B$2,-1+SUMPRODUCT(MAX(ROW(E2495:E$2)*(E2496=E2495:E$2)))))</f>
        <v> </v>
      </c>
      <c r="J2496" s="26" t="str">
        <f>IF(OR(E2496="",E2496="!!!",F2496="NEW"),"",COUNTBLANK(OFFSET(A$1,,,SUMPRODUCT(MAX(ROW(E$2:E2496)*(E2496=E$2:E2496)))))-COUNTBLANK(OFFSET(A$1,,,SUMPRODUCT(MAX(ROW(E$1:E2495)*(E2=E$1:E2495))))))</f>
        <v> </v>
      </c>
      <c r="K2496" s="26" t="str">
        <f>IF(OR(E2496="",E2496="!!!",F2496="NEW"),"",INDEX(J$1:J2495,SUMPRODUCT(MAX(ROW(E$1:E2495)*(E2496=E$1:E2495)))))</f>
        <v> </v>
      </c>
      <c r="L2496" s="27"/>
    </row>
    <row r="2497" spans="1:12">
      <c r="A2497" s="20" t="s">
        <v>944</v>
      </c>
      <c r="E2497" s="22">
        <f>IF(D2497="?OLD","!!!","")</f>
        <v/>
      </c>
      <c r="F2497" s="23" t="str">
        <f>IF(OR(E2497="",E2497="!!!"),"",IF(NOT(ISNA(VLOOKUP(E2497,E$1:E2496,1,FALSE()))),"OLD",IF(AND(E2497&lt;&gt;"",E2497&lt;&gt;"!!!"),"NEW","")))</f>
        <v> </v>
      </c>
      <c r="G2497" s="24" t="str">
        <f>IF(OR(E2497="",E2497="!!!"),"",IF(OR(J2497=0,AND(J2497=1,K2497=1),AND(J2497=1,I2497="SBJ"),AND(J2497=1,I2497=0)),"?IN_FOCUS",IF(J2497&lt;=2,"?ACTIVATED",IF(J2497&lt;&gt;"","?FAMILIAR",IF(F2497="NEW",IF(ISNA(VLOOKUP(E2497,#REF!,1,FALSE())),"?TYPE_IDENTIFIABLE","?REFERENTIAL"),"_")))))</f>
        <v> </v>
      </c>
      <c r="H2497" s="25" t="str">
        <f>IF(J2497&lt;&gt;1,"",IF(I2497="SBJ","CB","?"))</f>
        <v> </v>
      </c>
      <c r="I2497" s="26" t="str">
        <f>IF(OR(E2497="",E2497="!!!",F2497="NEW"),"",INDEX(B2496:B$2,-1+SUMPRODUCT(MAX(ROW(E2496:E$2)*(E2497=E2496:E$2)))))</f>
        <v> </v>
      </c>
      <c r="J2497" s="26" t="str">
        <f>IF(OR(E2497="",E2497="!!!",F2497="NEW"),"",COUNTBLANK(OFFSET(A$1,,,SUMPRODUCT(MAX(ROW(E$2:E2497)*(E2497=E$2:E2497)))))-COUNTBLANK(OFFSET(A$1,,,SUMPRODUCT(MAX(ROW(E$1:E2496)*(E2=E$1:E2496))))))</f>
        <v> </v>
      </c>
      <c r="K2497" s="26" t="str">
        <f>IF(OR(E2497="",E2497="!!!",F2497="NEW"),"",INDEX(J$1:J2496,SUMPRODUCT(MAX(ROW(E$1:E2496)*(E2497=E$1:E2496)))))</f>
        <v> </v>
      </c>
      <c r="L2497" s="27"/>
    </row>
    <row r="2498" spans="1:12">
      <c r="A2498" s="20" t="s">
        <v>1677</v>
      </c>
      <c r="E2498" s="22">
        <f>IF(D2498="?OLD","!!!","")</f>
        <v/>
      </c>
      <c r="F2498" s="23" t="str">
        <f>IF(OR(E2498="",E2498="!!!"),"",IF(NOT(ISNA(VLOOKUP(E2498,E$1:E2497,1,FALSE()))),"OLD",IF(AND(E2498&lt;&gt;"",E2498&lt;&gt;"!!!"),"NEW","")))</f>
        <v> </v>
      </c>
      <c r="G2498" s="24" t="str">
        <f>IF(OR(E2498="",E2498="!!!"),"",IF(OR(J2498=0,AND(J2498=1,K2498=1),AND(J2498=1,I2498="SBJ"),AND(J2498=1,I2498=0)),"?IN_FOCUS",IF(J2498&lt;=2,"?ACTIVATED",IF(J2498&lt;&gt;"","?FAMILIAR",IF(F2498="NEW",IF(ISNA(VLOOKUP(E2498,#REF!,1,FALSE())),"?TYPE_IDENTIFIABLE","?REFERENTIAL"),"_")))))</f>
        <v> </v>
      </c>
      <c r="H2498" s="25" t="str">
        <f>IF(J2498&lt;&gt;1,"",IF(I2498="SBJ","CB","?"))</f>
        <v> </v>
      </c>
      <c r="I2498" s="26" t="str">
        <f>IF(OR(E2498="",E2498="!!!",F2498="NEW"),"",INDEX(B2497:B$2,-1+SUMPRODUCT(MAX(ROW(E2497:E$2)*(E2498=E2497:E$2)))))</f>
        <v> </v>
      </c>
      <c r="J2498" s="26" t="str">
        <f>IF(OR(E2498="",E2498="!!!",F2498="NEW"),"",COUNTBLANK(OFFSET(A$1,,,SUMPRODUCT(MAX(ROW(E$2:E2498)*(E2498=E$2:E2498)))))-COUNTBLANK(OFFSET(A$1,,,SUMPRODUCT(MAX(ROW(E$1:E2497)*(E2=E$1:E2497))))))</f>
        <v> </v>
      </c>
      <c r="K2498" s="26" t="str">
        <f>IF(OR(E2498="",E2498="!!!",F2498="NEW"),"",INDEX(J$1:J2497,SUMPRODUCT(MAX(ROW(E$1:E2497)*(E2498=E$1:E2497)))))</f>
        <v> </v>
      </c>
      <c r="L2498" s="27"/>
    </row>
    <row r="2499" spans="1:12">
      <c r="A2499" s="20" t="s">
        <v>750</v>
      </c>
      <c r="B2499" s="21" t="s">
        <v>728</v>
      </c>
      <c r="C2499" s="21" t="s">
        <v>729</v>
      </c>
      <c r="D2499" s="21" t="s">
        <v>730</v>
      </c>
      <c r="E2499" s="22">
        <f>IF(D2499="?OLD","!!!","")</f>
        <v/>
      </c>
      <c r="F2499" s="23" t="str">
        <f>IF(OR(E2499="",E2499="!!!"),"",IF(NOT(ISNA(VLOOKUP(E2499,E$1:E2498,1,FALSE()))),"OLD",IF(AND(E2499&lt;&gt;"",E2499&lt;&gt;"!!!"),"NEW","")))</f>
        <v> </v>
      </c>
      <c r="G2499" s="24" t="str">
        <f>IF(OR(E2499="",E2499="!!!"),"",IF(OR(J2499=0,AND(J2499=1,K2499=1),AND(J2499=1,I2499="SBJ"),AND(J2499=1,I2499=0)),"?IN_FOCUS",IF(J2499&lt;=2,"?ACTIVATED",IF(J2499&lt;&gt;"","?FAMILIAR",IF(F2499="NEW",IF(ISNA(VLOOKUP(E2499,#REF!,1,FALSE())),"?TYPE_IDENTIFIABLE","?REFERENTIAL"),"_")))))</f>
        <v> </v>
      </c>
      <c r="H2499" s="25" t="str">
        <f>IF(J2499&lt;&gt;1,"",IF(I2499="SBJ","CB","?"))</f>
        <v> </v>
      </c>
      <c r="I2499" s="26" t="str">
        <f>IF(OR(E2499="",E2499="!!!",F2499="NEW"),"",INDEX(B2498:B$2,-1+SUMPRODUCT(MAX(ROW(E2498:E$2)*(E2499=E2498:E$2)))))</f>
        <v> </v>
      </c>
      <c r="J2499" s="26" t="str">
        <f>IF(OR(E2499="",E2499="!!!",F2499="NEW"),"",COUNTBLANK(OFFSET(A$1,,,SUMPRODUCT(MAX(ROW(E$2:E2499)*(E2499=E$2:E2499)))))-COUNTBLANK(OFFSET(A$1,,,SUMPRODUCT(MAX(ROW(E$1:E2498)*(E2=E$1:E2498))))))</f>
        <v> </v>
      </c>
      <c r="K2499" s="26" t="str">
        <f>IF(OR(E2499="",E2499="!!!",F2499="NEW"),"",INDEX(J$1:J2498,SUMPRODUCT(MAX(ROW(E$1:E2498)*(E2499=E$1:E2498)))))</f>
        <v> </v>
      </c>
      <c r="L2499" s="27"/>
    </row>
    <row r="2500" spans="1:12">
      <c r="A2500" s="20" t="s">
        <v>1164</v>
      </c>
      <c r="E2500" s="22">
        <f>IF(D2500="?OLD","!!!","")</f>
        <v/>
      </c>
      <c r="F2500" s="23" t="str">
        <f>IF(OR(E2500="",E2500="!!!"),"",IF(NOT(ISNA(VLOOKUP(E2500,E$1:E2499,1,FALSE()))),"OLD",IF(AND(E2500&lt;&gt;"",E2500&lt;&gt;"!!!"),"NEW","")))</f>
        <v> </v>
      </c>
      <c r="G2500" s="24" t="str">
        <f>IF(OR(E2500="",E2500="!!!"),"",IF(OR(J2500=0,AND(J2500=1,K2500=1),AND(J2500=1,I2500="SBJ"),AND(J2500=1,I2500=0)),"?IN_FOCUS",IF(J2500&lt;=2,"?ACTIVATED",IF(J2500&lt;&gt;"","?FAMILIAR",IF(F2500="NEW",IF(ISNA(VLOOKUP(E2500,#REF!,1,FALSE())),"?TYPE_IDENTIFIABLE","?REFERENTIAL"),"_")))))</f>
        <v> </v>
      </c>
      <c r="H2500" s="25" t="str">
        <f>IF(J2500&lt;&gt;1,"",IF(I2500="SBJ","CB","?"))</f>
        <v> </v>
      </c>
      <c r="I2500" s="26" t="str">
        <f>IF(OR(E2500="",E2500="!!!",F2500="NEW"),"",INDEX(B2499:B$2,-1+SUMPRODUCT(MAX(ROW(E2499:E$2)*(E2500=E2499:E$2)))))</f>
        <v> </v>
      </c>
      <c r="J2500" s="26" t="str">
        <f>IF(OR(E2500="",E2500="!!!",F2500="NEW"),"",COUNTBLANK(OFFSET(A$1,,,SUMPRODUCT(MAX(ROW(E$2:E2500)*(E2500=E$2:E2500)))))-COUNTBLANK(OFFSET(A$1,,,SUMPRODUCT(MAX(ROW(E$1:E2499)*(E2=E$1:E2499))))))</f>
        <v> </v>
      </c>
      <c r="K2500" s="26" t="str">
        <f>IF(OR(E2500="",E2500="!!!",F2500="NEW"),"",INDEX(J$1:J2499,SUMPRODUCT(MAX(ROW(E$1:E2499)*(E2500=E$1:E2499)))))</f>
        <v> </v>
      </c>
      <c r="L2500" s="27"/>
    </row>
    <row r="2501" spans="1:12">
      <c r="A2501" s="20" t="s">
        <v>840</v>
      </c>
      <c r="E2501" s="22">
        <f>IF(D2501="?OLD","!!!","")</f>
        <v/>
      </c>
      <c r="F2501" s="23" t="str">
        <f>IF(OR(E2501="",E2501="!!!"),"",IF(NOT(ISNA(VLOOKUP(E2501,E$1:E2500,1,FALSE()))),"OLD",IF(AND(E2501&lt;&gt;"",E2501&lt;&gt;"!!!"),"NEW","")))</f>
        <v> </v>
      </c>
      <c r="G2501" s="24" t="str">
        <f>IF(OR(E2501="",E2501="!!!"),"",IF(OR(J2501=0,AND(J2501=1,K2501=1),AND(J2501=1,I2501="SBJ"),AND(J2501=1,I2501=0)),"?IN_FOCUS",IF(J2501&lt;=2,"?ACTIVATED",IF(J2501&lt;&gt;"","?FAMILIAR",IF(F2501="NEW",IF(ISNA(VLOOKUP(E2501,#REF!,1,FALSE())),"?TYPE_IDENTIFIABLE","?REFERENTIAL"),"_")))))</f>
        <v> </v>
      </c>
      <c r="H2501" s="25" t="str">
        <f>IF(J2501&lt;&gt;1,"",IF(I2501="SBJ","CB","?"))</f>
        <v> </v>
      </c>
      <c r="I2501" s="26" t="str">
        <f>IF(OR(E2501="",E2501="!!!",F2501="NEW"),"",INDEX(B2500:B$2,-1+SUMPRODUCT(MAX(ROW(E2500:E$2)*(E2501=E2500:E$2)))))</f>
        <v> </v>
      </c>
      <c r="J2501" s="26" t="str">
        <f>IF(OR(E2501="",E2501="!!!",F2501="NEW"),"",COUNTBLANK(OFFSET(A$1,,,SUMPRODUCT(MAX(ROW(E$2:E2501)*(E2501=E$2:E2501)))))-COUNTBLANK(OFFSET(A$1,,,SUMPRODUCT(MAX(ROW(E$1:E2500)*(E2=E$1:E2500))))))</f>
        <v> </v>
      </c>
      <c r="K2501" s="26" t="str">
        <f>IF(OR(E2501="",E2501="!!!",F2501="NEW"),"",INDEX(J$1:J2500,SUMPRODUCT(MAX(ROW(E$1:E2500)*(E2501=E$1:E2500)))))</f>
        <v> </v>
      </c>
      <c r="L2501" s="27"/>
    </row>
    <row r="2502" spans="1:12">
      <c r="A2502" s="20" t="s">
        <v>1678</v>
      </c>
      <c r="B2502" s="21" t="s">
        <v>736</v>
      </c>
      <c r="C2502" s="21" t="s">
        <v>753</v>
      </c>
      <c r="D2502" s="21" t="s">
        <v>730</v>
      </c>
      <c r="E2502" s="22">
        <f>IF(D2502="?OLD","!!!","")</f>
        <v/>
      </c>
      <c r="F2502" s="23" t="str">
        <f>IF(OR(E2502="",E2502="!!!"),"",IF(NOT(ISNA(VLOOKUP(E2502,E$1:E2501,1,FALSE()))),"OLD",IF(AND(E2502&lt;&gt;"",E2502&lt;&gt;"!!!"),"NEW","")))</f>
        <v> </v>
      </c>
      <c r="G2502" s="24" t="str">
        <f>IF(OR(E2502="",E2502="!!!"),"",IF(OR(J2502=0,AND(J2502=1,K2502=1),AND(J2502=1,I2502="SBJ"),AND(J2502=1,I2502=0)),"?IN_FOCUS",IF(J2502&lt;=2,"?ACTIVATED",IF(J2502&lt;&gt;"","?FAMILIAR",IF(F2502="NEW",IF(ISNA(VLOOKUP(E2502,#REF!,1,FALSE())),"?TYPE_IDENTIFIABLE","?REFERENTIAL"),"_")))))</f>
        <v> </v>
      </c>
      <c r="H2502" s="25" t="str">
        <f>IF(J2502&lt;&gt;1,"",IF(I2502="SBJ","CB","?"))</f>
        <v> </v>
      </c>
      <c r="I2502" s="26" t="str">
        <f>IF(OR(E2502="",E2502="!!!",F2502="NEW"),"",INDEX(B2501:B$2,-1+SUMPRODUCT(MAX(ROW(E2501:E$2)*(E2502=E2501:E$2)))))</f>
        <v> </v>
      </c>
      <c r="J2502" s="26" t="str">
        <f>IF(OR(E2502="",E2502="!!!",F2502="NEW"),"",COUNTBLANK(OFFSET(A$1,,,SUMPRODUCT(MAX(ROW(E$2:E2502)*(E2502=E$2:E2502)))))-COUNTBLANK(OFFSET(A$1,,,SUMPRODUCT(MAX(ROW(E$1:E2501)*(E2=E$1:E2501))))))</f>
        <v> </v>
      </c>
      <c r="K2502" s="26" t="str">
        <f>IF(OR(E2502="",E2502="!!!",F2502="NEW"),"",INDEX(J$1:J2501,SUMPRODUCT(MAX(ROW(E$1:E2501)*(E2502=E$1:E2501)))))</f>
        <v> </v>
      </c>
      <c r="L2502" s="27"/>
    </row>
    <row r="2503" spans="1:12">
      <c r="A2503" s="20" t="s">
        <v>759</v>
      </c>
      <c r="E2503" s="22">
        <f>IF(D2503="?OLD","!!!","")</f>
        <v/>
      </c>
      <c r="F2503" s="23" t="str">
        <f>IF(OR(E2503="",E2503="!!!"),"",IF(NOT(ISNA(VLOOKUP(E2503,E$1:E2502,1,FALSE()))),"OLD",IF(AND(E2503&lt;&gt;"",E2503&lt;&gt;"!!!"),"NEW","")))</f>
        <v> </v>
      </c>
      <c r="G2503" s="24" t="str">
        <f>IF(OR(E2503="",E2503="!!!"),"",IF(OR(J2503=0,AND(J2503=1,K2503=1),AND(J2503=1,I2503="SBJ"),AND(J2503=1,I2503=0)),"?IN_FOCUS",IF(J2503&lt;=2,"?ACTIVATED",IF(J2503&lt;&gt;"","?FAMILIAR",IF(F2503="NEW",IF(ISNA(VLOOKUP(E2503,#REF!,1,FALSE())),"?TYPE_IDENTIFIABLE","?REFERENTIAL"),"_")))))</f>
        <v> </v>
      </c>
      <c r="H2503" s="25" t="str">
        <f>IF(J2503&lt;&gt;1,"",IF(I2503="SBJ","CB","?"))</f>
        <v> </v>
      </c>
      <c r="I2503" s="26" t="str">
        <f>IF(OR(E2503="",E2503="!!!",F2503="NEW"),"",INDEX(B2502:B$2,-1+SUMPRODUCT(MAX(ROW(E2502:E$2)*(E2503=E2502:E$2)))))</f>
        <v> </v>
      </c>
      <c r="J2503" s="26" t="str">
        <f>IF(OR(E2503="",E2503="!!!",F2503="NEW"),"",COUNTBLANK(OFFSET(A$1,,,SUMPRODUCT(MAX(ROW(E$2:E2503)*(E2503=E$2:E2503)))))-COUNTBLANK(OFFSET(A$1,,,SUMPRODUCT(MAX(ROW(E$1:E2502)*(E2=E$1:E2502))))))</f>
        <v> </v>
      </c>
      <c r="K2503" s="26" t="str">
        <f>IF(OR(E2503="",E2503="!!!",F2503="NEW"),"",INDEX(J$1:J2502,SUMPRODUCT(MAX(ROW(E$1:E2502)*(E2503=E$1:E2502)))))</f>
        <v> </v>
      </c>
      <c r="L2503" s="27"/>
    </row>
    <row r="2504" spans="1:12">
      <c r="A2504" s="20" t="s">
        <v>813</v>
      </c>
      <c r="B2504" s="21" t="s">
        <v>788</v>
      </c>
      <c r="E2504" s="22">
        <f>IF(D2504="?OLD","!!!","")</f>
        <v/>
      </c>
      <c r="F2504" s="23" t="str">
        <f>IF(OR(E2504="",E2504="!!!"),"",IF(NOT(ISNA(VLOOKUP(E2504,E$1:E2503,1,FALSE()))),"OLD",IF(AND(E2504&lt;&gt;"",E2504&lt;&gt;"!!!"),"NEW","")))</f>
        <v> </v>
      </c>
      <c r="G2504" s="24" t="str">
        <f>IF(OR(E2504="",E2504="!!!"),"",IF(OR(J2504=0,AND(J2504=1,K2504=1),AND(J2504=1,I2504="SBJ"),AND(J2504=1,I2504=0)),"?IN_FOCUS",IF(J2504&lt;=2,"?ACTIVATED",IF(J2504&lt;&gt;"","?FAMILIAR",IF(F2504="NEW",IF(ISNA(VLOOKUP(E2504,#REF!,1,FALSE())),"?TYPE_IDENTIFIABLE","?REFERENTIAL"),"_")))))</f>
        <v> </v>
      </c>
      <c r="H2504" s="25" t="str">
        <f>IF(J2504&lt;&gt;1,"",IF(I2504="SBJ","CB","?"))</f>
        <v> </v>
      </c>
      <c r="I2504" s="26" t="str">
        <f>IF(OR(E2504="",E2504="!!!",F2504="NEW"),"",INDEX(B2503:B$2,-1+SUMPRODUCT(MAX(ROW(E2503:E$2)*(E2504=E2503:E$2)))))</f>
        <v> </v>
      </c>
      <c r="J2504" s="26" t="str">
        <f>IF(OR(E2504="",E2504="!!!",F2504="NEW"),"",COUNTBLANK(OFFSET(A$1,,,SUMPRODUCT(MAX(ROW(E$2:E2504)*(E2504=E$2:E2504)))))-COUNTBLANK(OFFSET(A$1,,,SUMPRODUCT(MAX(ROW(E$1:E2503)*(E2=E$1:E2503))))))</f>
        <v> </v>
      </c>
      <c r="K2504" s="26" t="str">
        <f>IF(OR(E2504="",E2504="!!!",F2504="NEW"),"",INDEX(J$1:J2503,SUMPRODUCT(MAX(ROW(E$1:E2503)*(E2504=E$1:E2503)))))</f>
        <v> </v>
      </c>
      <c r="L2504" s="27"/>
    </row>
    <row r="2505" spans="1:12">
      <c r="A2505" s="20" t="s">
        <v>804</v>
      </c>
      <c r="B2505" s="21" t="s">
        <v>843</v>
      </c>
      <c r="E2505" s="22">
        <f>IF(D2505="?OLD","!!!","")</f>
        <v/>
      </c>
      <c r="F2505" s="23" t="str">
        <f>IF(OR(E2505="",E2505="!!!"),"",IF(NOT(ISNA(VLOOKUP(E2505,E$1:E2504,1,FALSE()))),"OLD",IF(AND(E2505&lt;&gt;"",E2505&lt;&gt;"!!!"),"NEW","")))</f>
        <v> </v>
      </c>
      <c r="G2505" s="24" t="str">
        <f>IF(OR(E2505="",E2505="!!!"),"",IF(OR(J2505=0,AND(J2505=1,K2505=1),AND(J2505=1,I2505="SBJ"),AND(J2505=1,I2505=0)),"?IN_FOCUS",IF(J2505&lt;=2,"?ACTIVATED",IF(J2505&lt;&gt;"","?FAMILIAR",IF(F2505="NEW",IF(ISNA(VLOOKUP(E2505,#REF!,1,FALSE())),"?TYPE_IDENTIFIABLE","?REFERENTIAL"),"_")))))</f>
        <v> </v>
      </c>
      <c r="H2505" s="25" t="str">
        <f>IF(J2505&lt;&gt;1,"",IF(I2505="SBJ","CB","?"))</f>
        <v> </v>
      </c>
      <c r="I2505" s="26" t="str">
        <f>IF(OR(E2505="",E2505="!!!",F2505="NEW"),"",INDEX(B2504:B$2,-1+SUMPRODUCT(MAX(ROW(E2504:E$2)*(E2505=E2504:E$2)))))</f>
        <v> </v>
      </c>
      <c r="J2505" s="26" t="str">
        <f>IF(OR(E2505="",E2505="!!!",F2505="NEW"),"",COUNTBLANK(OFFSET(A$1,,,SUMPRODUCT(MAX(ROW(E$2:E2505)*(E2505=E$2:E2505)))))-COUNTBLANK(OFFSET(A$1,,,SUMPRODUCT(MAX(ROW(E$1:E2504)*(E2=E$1:E2504))))))</f>
        <v> </v>
      </c>
      <c r="K2505" s="26" t="str">
        <f>IF(OR(E2505="",E2505="!!!",F2505="NEW"),"",INDEX(J$1:J2504,SUMPRODUCT(MAX(ROW(E$1:E2504)*(E2505=E$1:E2504)))))</f>
        <v> </v>
      </c>
      <c r="L2505" s="27"/>
    </row>
    <row r="2506" spans="1:12">
      <c r="A2506" s="20" t="s">
        <v>1107</v>
      </c>
      <c r="E2506" s="22">
        <f>IF(D2506="?OLD","!!!","")</f>
        <v/>
      </c>
      <c r="F2506" s="23" t="str">
        <f>IF(OR(E2506="",E2506="!!!"),"",IF(NOT(ISNA(VLOOKUP(E2506,E$1:E2505,1,FALSE()))),"OLD",IF(AND(E2506&lt;&gt;"",E2506&lt;&gt;"!!!"),"NEW","")))</f>
        <v> </v>
      </c>
      <c r="G2506" s="24" t="str">
        <f>IF(OR(E2506="",E2506="!!!"),"",IF(OR(J2506=0,AND(J2506=1,K2506=1),AND(J2506=1,I2506="SBJ"),AND(J2506=1,I2506=0)),"?IN_FOCUS",IF(J2506&lt;=2,"?ACTIVATED",IF(J2506&lt;&gt;"","?FAMILIAR",IF(F2506="NEW",IF(ISNA(VLOOKUP(E2506,#REF!,1,FALSE())),"?TYPE_IDENTIFIABLE","?REFERENTIAL"),"_")))))</f>
        <v> </v>
      </c>
      <c r="H2506" s="25" t="str">
        <f>IF(J2506&lt;&gt;1,"",IF(I2506="SBJ","CB","?"))</f>
        <v> </v>
      </c>
      <c r="I2506" s="26" t="str">
        <f>IF(OR(E2506="",E2506="!!!",F2506="NEW"),"",INDEX(B2505:B$2,-1+SUMPRODUCT(MAX(ROW(E2505:E$2)*(E2506=E2505:E$2)))))</f>
        <v> </v>
      </c>
      <c r="J2506" s="26" t="str">
        <f>IF(OR(E2506="",E2506="!!!",F2506="NEW"),"",COUNTBLANK(OFFSET(A$1,,,SUMPRODUCT(MAX(ROW(E$2:E2506)*(E2506=E$2:E2506)))))-COUNTBLANK(OFFSET(A$1,,,SUMPRODUCT(MAX(ROW(E$1:E2505)*(E2=E$1:E2505))))))</f>
        <v> </v>
      </c>
      <c r="K2506" s="26" t="str">
        <f>IF(OR(E2506="",E2506="!!!",F2506="NEW"),"",INDEX(J$1:J2505,SUMPRODUCT(MAX(ROW(E$1:E2505)*(E2506=E$1:E2505)))))</f>
        <v> </v>
      </c>
      <c r="L2506" s="27"/>
    </row>
    <row r="2507" spans="1:12">
      <c r="A2507" s="20" t="s">
        <v>840</v>
      </c>
      <c r="E2507" s="22">
        <f>IF(D2507="?OLD","!!!","")</f>
        <v/>
      </c>
      <c r="F2507" s="23" t="str">
        <f>IF(OR(E2507="",E2507="!!!"),"",IF(NOT(ISNA(VLOOKUP(E2507,E$1:E2506,1,FALSE()))),"OLD",IF(AND(E2507&lt;&gt;"",E2507&lt;&gt;"!!!"),"NEW","")))</f>
        <v> </v>
      </c>
      <c r="G2507" s="24" t="str">
        <f>IF(OR(E2507="",E2507="!!!"),"",IF(OR(J2507=0,AND(J2507=1,K2507=1),AND(J2507=1,I2507="SBJ"),AND(J2507=1,I2507=0)),"?IN_FOCUS",IF(J2507&lt;=2,"?ACTIVATED",IF(J2507&lt;&gt;"","?FAMILIAR",IF(F2507="NEW",IF(ISNA(VLOOKUP(E2507,#REF!,1,FALSE())),"?TYPE_IDENTIFIABLE","?REFERENTIAL"),"_")))))</f>
        <v> </v>
      </c>
      <c r="H2507" s="25" t="str">
        <f>IF(J2507&lt;&gt;1,"",IF(I2507="SBJ","CB","?"))</f>
        <v> </v>
      </c>
      <c r="I2507" s="26" t="str">
        <f>IF(OR(E2507="",E2507="!!!",F2507="NEW"),"",INDEX(B2506:B$2,-1+SUMPRODUCT(MAX(ROW(E2506:E$2)*(E2507=E2506:E$2)))))</f>
        <v> </v>
      </c>
      <c r="J2507" s="26" t="str">
        <f>IF(OR(E2507="",E2507="!!!",F2507="NEW"),"",COUNTBLANK(OFFSET(A$1,,,SUMPRODUCT(MAX(ROW(E$2:E2507)*(E2507=E$2:E2507)))))-COUNTBLANK(OFFSET(A$1,,,SUMPRODUCT(MAX(ROW(E$1:E2506)*(E2=E$1:E2506))))))</f>
        <v> </v>
      </c>
      <c r="K2507" s="26" t="str">
        <f>IF(OR(E2507="",E2507="!!!",F2507="NEW"),"",INDEX(J$1:J2506,SUMPRODUCT(MAX(ROW(E$1:E2506)*(E2507=E$1:E2506)))))</f>
        <v> </v>
      </c>
      <c r="L2507" s="27"/>
    </row>
    <row r="2508" spans="1:12">
      <c r="A2508" s="20" t="s">
        <v>1679</v>
      </c>
      <c r="B2508" s="21" t="s">
        <v>755</v>
      </c>
      <c r="C2508" s="21" t="s">
        <v>753</v>
      </c>
      <c r="D2508" s="21" t="s">
        <v>730</v>
      </c>
      <c r="E2508" s="22">
        <f>IF(D2508="?OLD","!!!","")</f>
        <v/>
      </c>
      <c r="F2508" s="23" t="str">
        <f>IF(OR(E2508="",E2508="!!!"),"",IF(NOT(ISNA(VLOOKUP(E2508,E$1:E2507,1,FALSE()))),"OLD",IF(AND(E2508&lt;&gt;"",E2508&lt;&gt;"!!!"),"NEW","")))</f>
        <v> </v>
      </c>
      <c r="G2508" s="24" t="str">
        <f>IF(OR(E2508="",E2508="!!!"),"",IF(OR(J2508=0,AND(J2508=1,K2508=1),AND(J2508=1,I2508="SBJ"),AND(J2508=1,I2508=0)),"?IN_FOCUS",IF(J2508&lt;=2,"?ACTIVATED",IF(J2508&lt;&gt;"","?FAMILIAR",IF(F2508="NEW",IF(ISNA(VLOOKUP(E2508,#REF!,1,FALSE())),"?TYPE_IDENTIFIABLE","?REFERENTIAL"),"_")))))</f>
        <v> </v>
      </c>
      <c r="H2508" s="25" t="str">
        <f>IF(J2508&lt;&gt;1,"",IF(I2508="SBJ","CB","?"))</f>
        <v> </v>
      </c>
      <c r="I2508" s="26" t="str">
        <f>IF(OR(E2508="",E2508="!!!",F2508="NEW"),"",INDEX(B2507:B$2,-1+SUMPRODUCT(MAX(ROW(E2507:E$2)*(E2508=E2507:E$2)))))</f>
        <v> </v>
      </c>
      <c r="J2508" s="26" t="str">
        <f>IF(OR(E2508="",E2508="!!!",F2508="NEW"),"",COUNTBLANK(OFFSET(A$1,,,SUMPRODUCT(MAX(ROW(E$2:E2508)*(E2508=E$2:E2508)))))-COUNTBLANK(OFFSET(A$1,,,SUMPRODUCT(MAX(ROW(E$1:E2507)*(E2=E$1:E2507))))))</f>
        <v> </v>
      </c>
      <c r="K2508" s="26" t="str">
        <f>IF(OR(E2508="",E2508="!!!",F2508="NEW"),"",INDEX(J$1:J2507,SUMPRODUCT(MAX(ROW(E$1:E2507)*(E2508=E$1:E2507)))))</f>
        <v> </v>
      </c>
      <c r="L2508" s="27"/>
    </row>
    <row r="2509" spans="1:12">
      <c r="A2509" s="20" t="s">
        <v>1680</v>
      </c>
      <c r="E2509" s="22">
        <f>IF(D2509="?OLD","!!!","")</f>
        <v/>
      </c>
      <c r="F2509" s="23" t="str">
        <f>IF(OR(E2509="",E2509="!!!"),"",IF(NOT(ISNA(VLOOKUP(E2509,E$1:E2508,1,FALSE()))),"OLD",IF(AND(E2509&lt;&gt;"",E2509&lt;&gt;"!!!"),"NEW","")))</f>
        <v> </v>
      </c>
      <c r="G2509" s="24" t="str">
        <f>IF(OR(E2509="",E2509="!!!"),"",IF(OR(J2509=0,AND(J2509=1,K2509=1),AND(J2509=1,I2509="SBJ"),AND(J2509=1,I2509=0)),"?IN_FOCUS",IF(J2509&lt;=2,"?ACTIVATED",IF(J2509&lt;&gt;"","?FAMILIAR",IF(F2509="NEW",IF(ISNA(VLOOKUP(E2509,#REF!,1,FALSE())),"?TYPE_IDENTIFIABLE","?REFERENTIAL"),"_")))))</f>
        <v> </v>
      </c>
      <c r="H2509" s="25" t="str">
        <f>IF(J2509&lt;&gt;1,"",IF(I2509="SBJ","CB","?"))</f>
        <v> </v>
      </c>
      <c r="I2509" s="26" t="str">
        <f>IF(OR(E2509="",E2509="!!!",F2509="NEW"),"",INDEX(B2508:B$2,-1+SUMPRODUCT(MAX(ROW(E2508:E$2)*(E2509=E2508:E$2)))))</f>
        <v> </v>
      </c>
      <c r="J2509" s="26" t="str">
        <f>IF(OR(E2509="",E2509="!!!",F2509="NEW"),"",COUNTBLANK(OFFSET(A$1,,,SUMPRODUCT(MAX(ROW(E$2:E2509)*(E2509=E$2:E2509)))))-COUNTBLANK(OFFSET(A$1,,,SUMPRODUCT(MAX(ROW(E$1:E2508)*(E2=E$1:E2508))))))</f>
        <v> </v>
      </c>
      <c r="K2509" s="26" t="str">
        <f>IF(OR(E2509="",E2509="!!!",F2509="NEW"),"",INDEX(J$1:J2508,SUMPRODUCT(MAX(ROW(E$1:E2508)*(E2509=E$1:E2508)))))</f>
        <v> </v>
      </c>
      <c r="L2509" s="27"/>
    </row>
    <row r="2510" spans="1:12">
      <c r="A2510" s="20" t="s">
        <v>785</v>
      </c>
      <c r="E2510" s="22">
        <f>IF(D2510="?OLD","!!!","")</f>
        <v/>
      </c>
      <c r="F2510" s="23" t="str">
        <f>IF(OR(E2510="",E2510="!!!"),"",IF(NOT(ISNA(VLOOKUP(E2510,E$1:E2509,1,FALSE()))),"OLD",IF(AND(E2510&lt;&gt;"",E2510&lt;&gt;"!!!"),"NEW","")))</f>
        <v> </v>
      </c>
      <c r="G2510" s="24" t="str">
        <f>IF(OR(E2510="",E2510="!!!"),"",IF(OR(J2510=0,AND(J2510=1,K2510=1),AND(J2510=1,I2510="SBJ"),AND(J2510=1,I2510=0)),"?IN_FOCUS",IF(J2510&lt;=2,"?ACTIVATED",IF(J2510&lt;&gt;"","?FAMILIAR",IF(F2510="NEW",IF(ISNA(VLOOKUP(E2510,#REF!,1,FALSE())),"?TYPE_IDENTIFIABLE","?REFERENTIAL"),"_")))))</f>
        <v> </v>
      </c>
      <c r="H2510" s="25" t="str">
        <f>IF(J2510&lt;&gt;1,"",IF(I2510="SBJ","CB","?"))</f>
        <v> </v>
      </c>
      <c r="I2510" s="26" t="str">
        <f>IF(OR(E2510="",E2510="!!!",F2510="NEW"),"",INDEX(B2509:B$2,-1+SUMPRODUCT(MAX(ROW(E2509:E$2)*(E2510=E2509:E$2)))))</f>
        <v> </v>
      </c>
      <c r="J2510" s="26" t="str">
        <f>IF(OR(E2510="",E2510="!!!",F2510="NEW"),"",COUNTBLANK(OFFSET(A$1,,,SUMPRODUCT(MAX(ROW(E$2:E2510)*(E2510=E$2:E2510)))))-COUNTBLANK(OFFSET(A$1,,,SUMPRODUCT(MAX(ROW(E$1:E2509)*(E2=E$1:E2509))))))</f>
        <v> </v>
      </c>
      <c r="K2510" s="26" t="str">
        <f>IF(OR(E2510="",E2510="!!!",F2510="NEW"),"",INDEX(J$1:J2509,SUMPRODUCT(MAX(ROW(E$1:E2509)*(E2510=E$1:E2509)))))</f>
        <v> </v>
      </c>
      <c r="L2510" s="27"/>
    </row>
    <row r="2511" spans="1:12">
      <c r="A2511" s="20" t="s">
        <v>813</v>
      </c>
      <c r="B2511" s="21" t="s">
        <v>780</v>
      </c>
      <c r="E2511" s="22">
        <f>IF(D2511="?OLD","!!!","")</f>
        <v/>
      </c>
      <c r="F2511" s="23" t="str">
        <f>IF(OR(E2511="",E2511="!!!"),"",IF(NOT(ISNA(VLOOKUP(E2511,E$1:E2510,1,FALSE()))),"OLD",IF(AND(E2511&lt;&gt;"",E2511&lt;&gt;"!!!"),"NEW","")))</f>
        <v> </v>
      </c>
      <c r="G2511" s="24" t="str">
        <f>IF(OR(E2511="",E2511="!!!"),"",IF(OR(J2511=0,AND(J2511=1,K2511=1),AND(J2511=1,I2511="SBJ"),AND(J2511=1,I2511=0)),"?IN_FOCUS",IF(J2511&lt;=2,"?ACTIVATED",IF(J2511&lt;&gt;"","?FAMILIAR",IF(F2511="NEW",IF(ISNA(VLOOKUP(E2511,#REF!,1,FALSE())),"?TYPE_IDENTIFIABLE","?REFERENTIAL"),"_")))))</f>
        <v> </v>
      </c>
      <c r="H2511" s="25" t="str">
        <f>IF(J2511&lt;&gt;1,"",IF(I2511="SBJ","CB","?"))</f>
        <v> </v>
      </c>
      <c r="I2511" s="26" t="str">
        <f>IF(OR(E2511="",E2511="!!!",F2511="NEW"),"",INDEX(B2510:B$2,-1+SUMPRODUCT(MAX(ROW(E2510:E$2)*(E2511=E2510:E$2)))))</f>
        <v> </v>
      </c>
      <c r="J2511" s="26" t="str">
        <f>IF(OR(E2511="",E2511="!!!",F2511="NEW"),"",COUNTBLANK(OFFSET(A$1,,,SUMPRODUCT(MAX(ROW(E$2:E2511)*(E2511=E$2:E2511)))))-COUNTBLANK(OFFSET(A$1,,,SUMPRODUCT(MAX(ROW(E$1:E2510)*(E2=E$1:E2510))))))</f>
        <v> </v>
      </c>
      <c r="K2511" s="26" t="str">
        <f>IF(OR(E2511="",E2511="!!!",F2511="NEW"),"",INDEX(J$1:J2510,SUMPRODUCT(MAX(ROW(E$1:E2510)*(E2511=E$1:E2510)))))</f>
        <v> </v>
      </c>
      <c r="L2511" s="27"/>
    </row>
    <row r="2512" spans="1:12">
      <c r="A2512" s="20" t="s">
        <v>732</v>
      </c>
      <c r="E2512" s="22">
        <f>IF(D2512="?OLD","!!!","")</f>
        <v/>
      </c>
      <c r="F2512" s="23" t="str">
        <f>IF(OR(E2512="",E2512="!!!"),"",IF(NOT(ISNA(VLOOKUP(E2512,E$1:E2511,1,FALSE()))),"OLD",IF(AND(E2512&lt;&gt;"",E2512&lt;&gt;"!!!"),"NEW","")))</f>
        <v> </v>
      </c>
      <c r="G2512" s="24" t="str">
        <f>IF(OR(E2512="",E2512="!!!"),"",IF(OR(J2512=0,AND(J2512=1,K2512=1),AND(J2512=1,I2512="SBJ"),AND(J2512=1,I2512=0)),"?IN_FOCUS",IF(J2512&lt;=2,"?ACTIVATED",IF(J2512&lt;&gt;"","?FAMILIAR",IF(F2512="NEW",IF(ISNA(VLOOKUP(E2512,#REF!,1,FALSE())),"?TYPE_IDENTIFIABLE","?REFERENTIAL"),"_")))))</f>
        <v> </v>
      </c>
      <c r="H2512" s="25" t="str">
        <f>IF(J2512&lt;&gt;1,"",IF(I2512="SBJ","CB","?"))</f>
        <v> </v>
      </c>
      <c r="I2512" s="26" t="str">
        <f>IF(OR(E2512="",E2512="!!!",F2512="NEW"),"",INDEX(B2511:B$2,-1+SUMPRODUCT(MAX(ROW(E2511:E$2)*(E2512=E2511:E$2)))))</f>
        <v> </v>
      </c>
      <c r="J2512" s="26" t="str">
        <f>IF(OR(E2512="",E2512="!!!",F2512="NEW"),"",COUNTBLANK(OFFSET(A$1,,,SUMPRODUCT(MAX(ROW(E$2:E2512)*(E2512=E$2:E2512)))))-COUNTBLANK(OFFSET(A$1,,,SUMPRODUCT(MAX(ROW(E$1:E2511)*(E2=E$1:E2511))))))</f>
        <v> </v>
      </c>
      <c r="K2512" s="26" t="str">
        <f>IF(OR(E2512="",E2512="!!!",F2512="NEW"),"",INDEX(J$1:J2511,SUMPRODUCT(MAX(ROW(E$1:E2511)*(E2512=E$1:E2511)))))</f>
        <v> </v>
      </c>
      <c r="L2512" s="27"/>
    </row>
    <row r="2513" spans="1:12">
      <c r="A2513" s="20" t="s">
        <v>757</v>
      </c>
      <c r="E2513" s="22">
        <f>IF(D2513="?OLD","!!!","")</f>
        <v/>
      </c>
      <c r="F2513" s="23" t="str">
        <f>IF(OR(E2513="",E2513="!!!"),"",IF(NOT(ISNA(VLOOKUP(E2513,E$1:E2512,1,FALSE()))),"OLD",IF(AND(E2513&lt;&gt;"",E2513&lt;&gt;"!!!"),"NEW","")))</f>
        <v> </v>
      </c>
      <c r="G2513" s="24" t="str">
        <f>IF(OR(E2513="",E2513="!!!"),"",IF(OR(J2513=0,AND(J2513=1,K2513=1),AND(J2513=1,I2513="SBJ"),AND(J2513=1,I2513=0)),"?IN_FOCUS",IF(J2513&lt;=2,"?ACTIVATED",IF(J2513&lt;&gt;"","?FAMILIAR",IF(F2513="NEW",IF(ISNA(VLOOKUP(E2513,#REF!,1,FALSE())),"?TYPE_IDENTIFIABLE","?REFERENTIAL"),"_")))))</f>
        <v> </v>
      </c>
      <c r="H2513" s="25" t="str">
        <f>IF(J2513&lt;&gt;1,"",IF(I2513="SBJ","CB","?"))</f>
        <v> </v>
      </c>
      <c r="I2513" s="26" t="str">
        <f>IF(OR(E2513="",E2513="!!!",F2513="NEW"),"",INDEX(B2512:B$2,-1+SUMPRODUCT(MAX(ROW(E2512:E$2)*(E2513=E2512:E$2)))))</f>
        <v> </v>
      </c>
      <c r="J2513" s="26" t="str">
        <f>IF(OR(E2513="",E2513="!!!",F2513="NEW"),"",COUNTBLANK(OFFSET(A$1,,,SUMPRODUCT(MAX(ROW(E$2:E2513)*(E2513=E$2:E2513)))))-COUNTBLANK(OFFSET(A$1,,,SUMPRODUCT(MAX(ROW(E$1:E2512)*(E2=E$1:E2512))))))</f>
        <v> </v>
      </c>
      <c r="K2513" s="26" t="str">
        <f>IF(OR(E2513="",E2513="!!!",F2513="NEW"),"",INDEX(J$1:J2512,SUMPRODUCT(MAX(ROW(E$1:E2512)*(E2513=E$1:E2512)))))</f>
        <v> </v>
      </c>
      <c r="L2513" s="27"/>
    </row>
    <row r="2514" spans="1:12">
      <c r="A2514" s="20" t="s">
        <v>1681</v>
      </c>
      <c r="B2514" s="21" t="s">
        <v>783</v>
      </c>
      <c r="C2514" s="21" t="s">
        <v>740</v>
      </c>
      <c r="D2514" s="21" t="s">
        <v>730</v>
      </c>
      <c r="E2514" s="22">
        <f>IF(D2514="?OLD","!!!","")</f>
        <v/>
      </c>
      <c r="F2514" s="23" t="str">
        <f>IF(OR(E2514="",E2514="!!!"),"",IF(NOT(ISNA(VLOOKUP(E2514,E$1:E2513,1,FALSE()))),"OLD",IF(AND(E2514&lt;&gt;"",E2514&lt;&gt;"!!!"),"NEW","")))</f>
        <v> </v>
      </c>
      <c r="G2514" s="24" t="str">
        <f>IF(OR(E2514="",E2514="!!!"),"",IF(OR(J2514=0,AND(J2514=1,K2514=1),AND(J2514=1,I2514="SBJ"),AND(J2514=1,I2514=0)),"?IN_FOCUS",IF(J2514&lt;=2,"?ACTIVATED",IF(J2514&lt;&gt;"","?FAMILIAR",IF(F2514="NEW",IF(ISNA(VLOOKUP(E2514,#REF!,1,FALSE())),"?TYPE_IDENTIFIABLE","?REFERENTIAL"),"_")))))</f>
        <v> </v>
      </c>
      <c r="H2514" s="25" t="str">
        <f>IF(J2514&lt;&gt;1,"",IF(I2514="SBJ","CB","?"))</f>
        <v> </v>
      </c>
      <c r="I2514" s="26" t="str">
        <f>IF(OR(E2514="",E2514="!!!",F2514="NEW"),"",INDEX(B2513:B$2,-1+SUMPRODUCT(MAX(ROW(E2513:E$2)*(E2514=E2513:E$2)))))</f>
        <v> </v>
      </c>
      <c r="J2514" s="26" t="str">
        <f>IF(OR(E2514="",E2514="!!!",F2514="NEW"),"",COUNTBLANK(OFFSET(A$1,,,SUMPRODUCT(MAX(ROW(E$2:E2514)*(E2514=E$2:E2514)))))-COUNTBLANK(OFFSET(A$1,,,SUMPRODUCT(MAX(ROW(E$1:E2513)*(E2=E$1:E2513))))))</f>
        <v> </v>
      </c>
      <c r="K2514" s="26" t="str">
        <f>IF(OR(E2514="",E2514="!!!",F2514="NEW"),"",INDEX(J$1:J2513,SUMPRODUCT(MAX(ROW(E$1:E2513)*(E2514=E$1:E2513)))))</f>
        <v> </v>
      </c>
      <c r="L2514" s="27"/>
    </row>
    <row r="2515" spans="1:12">
      <c r="A2515" s="20" t="s">
        <v>754</v>
      </c>
      <c r="E2515" s="22">
        <f>IF(D2515="?OLD","!!!","")</f>
        <v/>
      </c>
      <c r="F2515" s="23" t="str">
        <f>IF(OR(E2515="",E2515="!!!"),"",IF(NOT(ISNA(VLOOKUP(E2515,E$1:E2514,1,FALSE()))),"OLD",IF(AND(E2515&lt;&gt;"",E2515&lt;&gt;"!!!"),"NEW","")))</f>
        <v> </v>
      </c>
      <c r="G2515" s="24" t="str">
        <f>IF(OR(E2515="",E2515="!!!"),"",IF(OR(J2515=0,AND(J2515=1,K2515=1),AND(J2515=1,I2515="SBJ"),AND(J2515=1,I2515=0)),"?IN_FOCUS",IF(J2515&lt;=2,"?ACTIVATED",IF(J2515&lt;&gt;"","?FAMILIAR",IF(F2515="NEW",IF(ISNA(VLOOKUP(E2515,#REF!,1,FALSE())),"?TYPE_IDENTIFIABLE","?REFERENTIAL"),"_")))))</f>
        <v> </v>
      </c>
      <c r="H2515" s="25" t="str">
        <f>IF(J2515&lt;&gt;1,"",IF(I2515="SBJ","CB","?"))</f>
        <v> </v>
      </c>
      <c r="I2515" s="26" t="str">
        <f>IF(OR(E2515="",E2515="!!!",F2515="NEW"),"",INDEX(B2514:B$2,-1+SUMPRODUCT(MAX(ROW(E2514:E$2)*(E2515=E2514:E$2)))))</f>
        <v> </v>
      </c>
      <c r="J2515" s="26" t="str">
        <f>IF(OR(E2515="",E2515="!!!",F2515="NEW"),"",COUNTBLANK(OFFSET(A$1,,,SUMPRODUCT(MAX(ROW(E$2:E2515)*(E2515=E$2:E2515)))))-COUNTBLANK(OFFSET(A$1,,,SUMPRODUCT(MAX(ROW(E$1:E2514)*(E2=E$1:E2514))))))</f>
        <v> </v>
      </c>
      <c r="K2515" s="26" t="str">
        <f>IF(OR(E2515="",E2515="!!!",F2515="NEW"),"",INDEX(J$1:J2514,SUMPRODUCT(MAX(ROW(E$1:E2514)*(E2515=E$1:E2514)))))</f>
        <v> </v>
      </c>
      <c r="L2515" s="27"/>
    </row>
    <row r="2516" spans="1:12">
      <c r="A2516" s="20" t="s">
        <v>1469</v>
      </c>
      <c r="E2516" s="22">
        <f>IF(D2516="?OLD","!!!","")</f>
        <v/>
      </c>
      <c r="F2516" s="23" t="str">
        <f>IF(OR(E2516="",E2516="!!!"),"",IF(NOT(ISNA(VLOOKUP(E2516,E$1:E2515,1,FALSE()))),"OLD",IF(AND(E2516&lt;&gt;"",E2516&lt;&gt;"!!!"),"NEW","")))</f>
        <v> </v>
      </c>
      <c r="G2516" s="24" t="str">
        <f>IF(OR(E2516="",E2516="!!!"),"",IF(OR(J2516=0,AND(J2516=1,K2516=1),AND(J2516=1,I2516="SBJ"),AND(J2516=1,I2516=0)),"?IN_FOCUS",IF(J2516&lt;=2,"?ACTIVATED",IF(J2516&lt;&gt;"","?FAMILIAR",IF(F2516="NEW",IF(ISNA(VLOOKUP(E2516,#REF!,1,FALSE())),"?TYPE_IDENTIFIABLE","?REFERENTIAL"),"_")))))</f>
        <v> </v>
      </c>
      <c r="H2516" s="25" t="str">
        <f>IF(J2516&lt;&gt;1,"",IF(I2516="SBJ","CB","?"))</f>
        <v> </v>
      </c>
      <c r="I2516" s="26" t="str">
        <f>IF(OR(E2516="",E2516="!!!",F2516="NEW"),"",INDEX(B2515:B$2,-1+SUMPRODUCT(MAX(ROW(E2515:E$2)*(E2516=E2515:E$2)))))</f>
        <v> </v>
      </c>
      <c r="J2516" s="26" t="str">
        <f>IF(OR(E2516="",E2516="!!!",F2516="NEW"),"",COUNTBLANK(OFFSET(A$1,,,SUMPRODUCT(MAX(ROW(E$2:E2516)*(E2516=E$2:E2516)))))-COUNTBLANK(OFFSET(A$1,,,SUMPRODUCT(MAX(ROW(E$1:E2515)*(E2=E$1:E2515))))))</f>
        <v> </v>
      </c>
      <c r="K2516" s="26" t="str">
        <f>IF(OR(E2516="",E2516="!!!",F2516="NEW"),"",INDEX(J$1:J2515,SUMPRODUCT(MAX(ROW(E$1:E2515)*(E2516=E$1:E2515)))))</f>
        <v> </v>
      </c>
      <c r="L2516" s="27"/>
    </row>
    <row r="2517" spans="1:12">
      <c r="A2517" s="20" t="s">
        <v>440</v>
      </c>
      <c r="E2517" s="22">
        <f>IF(D2517="?OLD","!!!","")</f>
        <v/>
      </c>
      <c r="F2517" s="23" t="str">
        <f>IF(OR(E2517="",E2517="!!!"),"",IF(NOT(ISNA(VLOOKUP(E2517,E$1:E2516,1,FALSE()))),"OLD",IF(AND(E2517&lt;&gt;"",E2517&lt;&gt;"!!!"),"NEW","")))</f>
        <v> </v>
      </c>
      <c r="G2517" s="24" t="str">
        <f>IF(OR(E2517="",E2517="!!!"),"",IF(OR(J2517=0,AND(J2517=1,K2517=1),AND(J2517=1,I2517="SBJ"),AND(J2517=1,I2517=0)),"?IN_FOCUS",IF(J2517&lt;=2,"?ACTIVATED",IF(J2517&lt;&gt;"","?FAMILIAR",IF(F2517="NEW",IF(ISNA(VLOOKUP(E2517,#REF!,1,FALSE())),"?TYPE_IDENTIFIABLE","?REFERENTIAL"),"_")))))</f>
        <v> </v>
      </c>
      <c r="H2517" s="25" t="str">
        <f>IF(J2517&lt;&gt;1,"",IF(I2517="SBJ","CB","?"))</f>
        <v> </v>
      </c>
      <c r="I2517" s="26" t="str">
        <f>IF(OR(E2517="",E2517="!!!",F2517="NEW"),"",INDEX(B2516:B$2,-1+SUMPRODUCT(MAX(ROW(E2516:E$2)*(E2517=E2516:E$2)))))</f>
        <v> </v>
      </c>
      <c r="J2517" s="26" t="str">
        <f>IF(OR(E2517="",E2517="!!!",F2517="NEW"),"",COUNTBLANK(OFFSET(A$1,,,SUMPRODUCT(MAX(ROW(E$2:E2517)*(E2517=E$2:E2517)))))-COUNTBLANK(OFFSET(A$1,,,SUMPRODUCT(MAX(ROW(E$1:E2516)*(E2=E$1:E2516))))))</f>
        <v> </v>
      </c>
      <c r="K2517" s="26" t="str">
        <f>IF(OR(E2517="",E2517="!!!",F2517="NEW"),"",INDEX(J$1:J2516,SUMPRODUCT(MAX(ROW(E$1:E2516)*(E2517=E$1:E2516)))))</f>
        <v> </v>
      </c>
      <c r="L2517" s="27"/>
    </row>
    <row r="2518" spans="1:12">
      <c r="A2518" s="20" t="s">
        <v>785</v>
      </c>
      <c r="E2518" s="22">
        <f>IF(D2518="?OLD","!!!","")</f>
        <v/>
      </c>
      <c r="F2518" s="23" t="str">
        <f>IF(OR(E2518="",E2518="!!!"),"",IF(NOT(ISNA(VLOOKUP(E2518,E$1:E2517,1,FALSE()))),"OLD",IF(AND(E2518&lt;&gt;"",E2518&lt;&gt;"!!!"),"NEW","")))</f>
        <v> </v>
      </c>
      <c r="G2518" s="24" t="str">
        <f>IF(OR(E2518="",E2518="!!!"),"",IF(OR(J2518=0,AND(J2518=1,K2518=1),AND(J2518=1,I2518="SBJ"),AND(J2518=1,I2518=0)),"?IN_FOCUS",IF(J2518&lt;=2,"?ACTIVATED",IF(J2518&lt;&gt;"","?FAMILIAR",IF(F2518="NEW",IF(ISNA(VLOOKUP(E2518,#REF!,1,FALSE())),"?TYPE_IDENTIFIABLE","?REFERENTIAL"),"_")))))</f>
        <v> </v>
      </c>
      <c r="H2518" s="25" t="str">
        <f>IF(J2518&lt;&gt;1,"",IF(I2518="SBJ","CB","?"))</f>
        <v> </v>
      </c>
      <c r="I2518" s="26" t="str">
        <f>IF(OR(E2518="",E2518="!!!",F2518="NEW"),"",INDEX(B2517:B$2,-1+SUMPRODUCT(MAX(ROW(E2517:E$2)*(E2518=E2517:E$2)))))</f>
        <v> </v>
      </c>
      <c r="J2518" s="26" t="str">
        <f>IF(OR(E2518="",E2518="!!!",F2518="NEW"),"",COUNTBLANK(OFFSET(A$1,,,SUMPRODUCT(MAX(ROW(E$2:E2518)*(E2518=E$2:E2518)))))-COUNTBLANK(OFFSET(A$1,,,SUMPRODUCT(MAX(ROW(E$1:E2517)*(E2=E$1:E2517))))))</f>
        <v> </v>
      </c>
      <c r="K2518" s="26" t="str">
        <f>IF(OR(E2518="",E2518="!!!",F2518="NEW"),"",INDEX(J$1:J2517,SUMPRODUCT(MAX(ROW(E$1:E2517)*(E2518=E$1:E2517)))))</f>
        <v> </v>
      </c>
      <c r="L2518" s="27"/>
    </row>
    <row r="2519" spans="1:12">
      <c r="A2519" s="20" t="s">
        <v>773</v>
      </c>
      <c r="E2519" s="22">
        <f>IF(D2519="?OLD","!!!","")</f>
        <v/>
      </c>
      <c r="F2519" s="23" t="str">
        <f>IF(OR(E2519="",E2519="!!!"),"",IF(NOT(ISNA(VLOOKUP(E2519,E$1:E2518,1,FALSE()))),"OLD",IF(AND(E2519&lt;&gt;"",E2519&lt;&gt;"!!!"),"NEW","")))</f>
        <v> </v>
      </c>
      <c r="G2519" s="24" t="str">
        <f>IF(OR(E2519="",E2519="!!!"),"",IF(OR(J2519=0,AND(J2519=1,K2519=1),AND(J2519=1,I2519="SBJ"),AND(J2519=1,I2519=0)),"?IN_FOCUS",IF(J2519&lt;=2,"?ACTIVATED",IF(J2519&lt;&gt;"","?FAMILIAR",IF(F2519="NEW",IF(ISNA(VLOOKUP(E2519,#REF!,1,FALSE())),"?TYPE_IDENTIFIABLE","?REFERENTIAL"),"_")))))</f>
        <v> </v>
      </c>
      <c r="H2519" s="25" t="str">
        <f>IF(J2519&lt;&gt;1,"",IF(I2519="SBJ","CB","?"))</f>
        <v> </v>
      </c>
      <c r="I2519" s="26" t="str">
        <f>IF(OR(E2519="",E2519="!!!",F2519="NEW"),"",INDEX(B2518:B$2,-1+SUMPRODUCT(MAX(ROW(E2518:E$2)*(E2519=E2518:E$2)))))</f>
        <v> </v>
      </c>
      <c r="J2519" s="26" t="str">
        <f>IF(OR(E2519="",E2519="!!!",F2519="NEW"),"",COUNTBLANK(OFFSET(A$1,,,SUMPRODUCT(MAX(ROW(E$2:E2519)*(E2519=E$2:E2519)))))-COUNTBLANK(OFFSET(A$1,,,SUMPRODUCT(MAX(ROW(E$1:E2518)*(E2=E$1:E2518))))))</f>
        <v> </v>
      </c>
      <c r="K2519" s="26" t="str">
        <f>IF(OR(E2519="",E2519="!!!",F2519="NEW"),"",INDEX(J$1:J2518,SUMPRODUCT(MAX(ROW(E$1:E2518)*(E2519=E$1:E2518)))))</f>
        <v> </v>
      </c>
      <c r="L2519" s="27"/>
    </row>
    <row r="2520" spans="1:12">
      <c r="A2520" s="20" t="s">
        <v>751</v>
      </c>
      <c r="E2520" s="22">
        <f>IF(D2520="?OLD","!!!","")</f>
        <v/>
      </c>
      <c r="F2520" s="23" t="str">
        <f>IF(OR(E2520="",E2520="!!!"),"",IF(NOT(ISNA(VLOOKUP(E2520,E$1:E2519,1,FALSE()))),"OLD",IF(AND(E2520&lt;&gt;"",E2520&lt;&gt;"!!!"),"NEW","")))</f>
        <v> </v>
      </c>
      <c r="G2520" s="24" t="str">
        <f>IF(OR(E2520="",E2520="!!!"),"",IF(OR(J2520=0,AND(J2520=1,K2520=1),AND(J2520=1,I2520="SBJ"),AND(J2520=1,I2520=0)),"?IN_FOCUS",IF(J2520&lt;=2,"?ACTIVATED",IF(J2520&lt;&gt;"","?FAMILIAR",IF(F2520="NEW",IF(ISNA(VLOOKUP(E2520,#REF!,1,FALSE())),"?TYPE_IDENTIFIABLE","?REFERENTIAL"),"_")))))</f>
        <v> </v>
      </c>
      <c r="H2520" s="25" t="str">
        <f>IF(J2520&lt;&gt;1,"",IF(I2520="SBJ","CB","?"))</f>
        <v> </v>
      </c>
      <c r="I2520" s="26" t="str">
        <f>IF(OR(E2520="",E2520="!!!",F2520="NEW"),"",INDEX(B2519:B$2,-1+SUMPRODUCT(MAX(ROW(E2519:E$2)*(E2520=E2519:E$2)))))</f>
        <v> </v>
      </c>
      <c r="J2520" s="26" t="str">
        <f>IF(OR(E2520="",E2520="!!!",F2520="NEW"),"",COUNTBLANK(OFFSET(A$1,,,SUMPRODUCT(MAX(ROW(E$2:E2520)*(E2520=E$2:E2520)))))-COUNTBLANK(OFFSET(A$1,,,SUMPRODUCT(MAX(ROW(E$1:E2519)*(E2=E$1:E2519))))))</f>
        <v> </v>
      </c>
      <c r="K2520" s="26" t="str">
        <f>IF(OR(E2520="",E2520="!!!",F2520="NEW"),"",INDEX(J$1:J2519,SUMPRODUCT(MAX(ROW(E$1:E2519)*(E2520=E$1:E2519)))))</f>
        <v> </v>
      </c>
      <c r="L2520" s="27"/>
    </row>
    <row r="2521" spans="1:12">
      <c r="A2521" s="20" t="s">
        <v>1681</v>
      </c>
      <c r="B2521" s="21" t="s">
        <v>783</v>
      </c>
      <c r="C2521" s="21" t="s">
        <v>740</v>
      </c>
      <c r="D2521" s="21" t="s">
        <v>730</v>
      </c>
      <c r="E2521" s="22">
        <f>IF(D2521="?OLD","!!!","")</f>
        <v/>
      </c>
      <c r="F2521" s="23" t="str">
        <f>IF(OR(E2521="",E2521="!!!"),"",IF(NOT(ISNA(VLOOKUP(E2521,E$1:E2520,1,FALSE()))),"OLD",IF(AND(E2521&lt;&gt;"",E2521&lt;&gt;"!!!"),"NEW","")))</f>
        <v> </v>
      </c>
      <c r="G2521" s="24" t="str">
        <f>IF(OR(E2521="",E2521="!!!"),"",IF(OR(J2521=0,AND(J2521=1,K2521=1),AND(J2521=1,I2521="SBJ"),AND(J2521=1,I2521=0)),"?IN_FOCUS",IF(J2521&lt;=2,"?ACTIVATED",IF(J2521&lt;&gt;"","?FAMILIAR",IF(F2521="NEW",IF(ISNA(VLOOKUP(E2521,#REF!,1,FALSE())),"?TYPE_IDENTIFIABLE","?REFERENTIAL"),"_")))))</f>
        <v> </v>
      </c>
      <c r="H2521" s="25" t="str">
        <f>IF(J2521&lt;&gt;1,"",IF(I2521="SBJ","CB","?"))</f>
        <v> </v>
      </c>
      <c r="I2521" s="26" t="str">
        <f>IF(OR(E2521="",E2521="!!!",F2521="NEW"),"",INDEX(B2520:B$2,-1+SUMPRODUCT(MAX(ROW(E2520:E$2)*(E2521=E2520:E$2)))))</f>
        <v> </v>
      </c>
      <c r="J2521" s="26" t="str">
        <f>IF(OR(E2521="",E2521="!!!",F2521="NEW"),"",COUNTBLANK(OFFSET(A$1,,,SUMPRODUCT(MAX(ROW(E$2:E2521)*(E2521=E$2:E2521)))))-COUNTBLANK(OFFSET(A$1,,,SUMPRODUCT(MAX(ROW(E$1:E2520)*(E2=E$1:E2520))))))</f>
        <v> </v>
      </c>
      <c r="K2521" s="26" t="str">
        <f>IF(OR(E2521="",E2521="!!!",F2521="NEW"),"",INDEX(J$1:J2520,SUMPRODUCT(MAX(ROW(E$1:E2520)*(E2521=E$1:E2520)))))</f>
        <v> </v>
      </c>
      <c r="L2521" s="27"/>
    </row>
    <row r="2522" spans="1:12">
      <c r="A2522" s="20" t="s">
        <v>12</v>
      </c>
      <c r="E2522" s="22">
        <f>IF(D2522="?OLD","!!!","")</f>
        <v/>
      </c>
      <c r="F2522" s="23" t="str">
        <f>IF(OR(E2522="",E2522="!!!"),"",IF(NOT(ISNA(VLOOKUP(E2522,E$1:E2521,1,FALSE()))),"OLD",IF(AND(E2522&lt;&gt;"",E2522&lt;&gt;"!!!"),"NEW","")))</f>
        <v> </v>
      </c>
      <c r="G2522" s="24" t="str">
        <f>IF(OR(E2522="",E2522="!!!"),"",IF(OR(J2522=0,AND(J2522=1,K2522=1),AND(J2522=1,I2522="SBJ"),AND(J2522=1,I2522=0)),"?IN_FOCUS",IF(J2522&lt;=2,"?ACTIVATED",IF(J2522&lt;&gt;"","?FAMILIAR",IF(F2522="NEW",IF(ISNA(VLOOKUP(E2522,#REF!,1,FALSE())),"?TYPE_IDENTIFIABLE","?REFERENTIAL"),"_")))))</f>
        <v> </v>
      </c>
      <c r="H2522" s="25" t="str">
        <f>IF(J2522&lt;&gt;1,"",IF(I2522="SBJ","CB","?"))</f>
        <v> </v>
      </c>
      <c r="I2522" s="26" t="str">
        <f>IF(OR(E2522="",E2522="!!!",F2522="NEW"),"",INDEX(B2521:B$2,-1+SUMPRODUCT(MAX(ROW(E2521:E$2)*(E2522=E2521:E$2)))))</f>
        <v> </v>
      </c>
      <c r="J2522" s="26" t="str">
        <f>IF(OR(E2522="",E2522="!!!",F2522="NEW"),"",COUNTBLANK(OFFSET(A$1,,,SUMPRODUCT(MAX(ROW(E$2:E2522)*(E2522=E$2:E2522)))))-COUNTBLANK(OFFSET(A$1,,,SUMPRODUCT(MAX(ROW(E$1:E2521)*(E2=E$1:E2521))))))</f>
        <v> </v>
      </c>
      <c r="K2522" s="26" t="str">
        <f>IF(OR(E2522="",E2522="!!!",F2522="NEW"),"",INDEX(J$1:J2521,SUMPRODUCT(MAX(ROW(E$1:E2521)*(E2522=E$1:E2521)))))</f>
        <v> </v>
      </c>
      <c r="L2522" s="27"/>
    </row>
    <row r="2523" spans="1:12">
      <c r="A2523" s="20" t="s">
        <v>1682</v>
      </c>
      <c r="E2523" s="22">
        <f>IF(D2523="?OLD","!!!","")</f>
        <v/>
      </c>
      <c r="F2523" s="23" t="str">
        <f>IF(OR(E2523="",E2523="!!!"),"",IF(NOT(ISNA(VLOOKUP(E2523,E$1:E2522,1,FALSE()))),"OLD",IF(AND(E2523&lt;&gt;"",E2523&lt;&gt;"!!!"),"NEW","")))</f>
        <v> </v>
      </c>
      <c r="G2523" s="24" t="str">
        <f>IF(OR(E2523="",E2523="!!!"),"",IF(OR(J2523=0,AND(J2523=1,K2523=1),AND(J2523=1,I2523="SBJ"),AND(J2523=1,I2523=0)),"?IN_FOCUS",IF(J2523&lt;=2,"?ACTIVATED",IF(J2523&lt;&gt;"","?FAMILIAR",IF(F2523="NEW",IF(ISNA(VLOOKUP(E2523,#REF!,1,FALSE())),"?TYPE_IDENTIFIABLE","?REFERENTIAL"),"_")))))</f>
        <v> </v>
      </c>
      <c r="H2523" s="25" t="str">
        <f>IF(J2523&lt;&gt;1,"",IF(I2523="SBJ","CB","?"))</f>
        <v> </v>
      </c>
      <c r="I2523" s="26" t="str">
        <f>IF(OR(E2523="",E2523="!!!",F2523="NEW"),"",INDEX(B2522:B$2,-1+SUMPRODUCT(MAX(ROW(E2522:E$2)*(E2523=E2522:E$2)))))</f>
        <v> </v>
      </c>
      <c r="J2523" s="26" t="str">
        <f>IF(OR(E2523="",E2523="!!!",F2523="NEW"),"",COUNTBLANK(OFFSET(A$1,,,SUMPRODUCT(MAX(ROW(E$2:E2523)*(E2523=E$2:E2523)))))-COUNTBLANK(OFFSET(A$1,,,SUMPRODUCT(MAX(ROW(E$1:E2522)*(E2=E$1:E2522))))))</f>
        <v> </v>
      </c>
      <c r="K2523" s="26" t="str">
        <f>IF(OR(E2523="",E2523="!!!",F2523="NEW"),"",INDEX(J$1:J2522,SUMPRODUCT(MAX(ROW(E$1:E2522)*(E2523=E$1:E2522)))))</f>
        <v> </v>
      </c>
      <c r="L2523" s="27"/>
    </row>
    <row r="2524" spans="1:12">
      <c r="A2524" s="20" t="s">
        <v>448</v>
      </c>
      <c r="E2524" s="22">
        <f>IF(D2524="?OLD","!!!","")</f>
        <v/>
      </c>
      <c r="F2524" s="23" t="str">
        <f>IF(OR(E2524="",E2524="!!!"),"",IF(NOT(ISNA(VLOOKUP(E2524,E$1:E2523,1,FALSE()))),"OLD",IF(AND(E2524&lt;&gt;"",E2524&lt;&gt;"!!!"),"NEW","")))</f>
        <v> </v>
      </c>
      <c r="G2524" s="24" t="str">
        <f>IF(OR(E2524="",E2524="!!!"),"",IF(OR(J2524=0,AND(J2524=1,K2524=1),AND(J2524=1,I2524="SBJ"),AND(J2524=1,I2524=0)),"?IN_FOCUS",IF(J2524&lt;=2,"?ACTIVATED",IF(J2524&lt;&gt;"","?FAMILIAR",IF(F2524="NEW",IF(ISNA(VLOOKUP(E2524,#REF!,1,FALSE())),"?TYPE_IDENTIFIABLE","?REFERENTIAL"),"_")))))</f>
        <v> </v>
      </c>
      <c r="H2524" s="25" t="str">
        <f>IF(J2524&lt;&gt;1,"",IF(I2524="SBJ","CB","?"))</f>
        <v> </v>
      </c>
      <c r="I2524" s="26" t="str">
        <f>IF(OR(E2524="",E2524="!!!",F2524="NEW"),"",INDEX(B2523:B$2,-1+SUMPRODUCT(MAX(ROW(E2523:E$2)*(E2524=E2523:E$2)))))</f>
        <v> </v>
      </c>
      <c r="J2524" s="26" t="str">
        <f>IF(OR(E2524="",E2524="!!!",F2524="NEW"),"",COUNTBLANK(OFFSET(A$1,,,SUMPRODUCT(MAX(ROW(E$2:E2524)*(E2524=E$2:E2524)))))-COUNTBLANK(OFFSET(A$1,,,SUMPRODUCT(MAX(ROW(E$1:E2523)*(E2=E$1:E2523))))))</f>
        <v> </v>
      </c>
      <c r="K2524" s="26" t="str">
        <f>IF(OR(E2524="",E2524="!!!",F2524="NEW"),"",INDEX(J$1:J2523,SUMPRODUCT(MAX(ROW(E$1:E2523)*(E2524=E$1:E2523)))))</f>
        <v> </v>
      </c>
      <c r="L2524" s="27"/>
    </row>
    <row r="2525" spans="1:12">
      <c r="A2525" s="20" t="s">
        <v>785</v>
      </c>
      <c r="E2525" s="22">
        <f>IF(D2525="?OLD","!!!","")</f>
        <v/>
      </c>
      <c r="F2525" s="23" t="str">
        <f>IF(OR(E2525="",E2525="!!!"),"",IF(NOT(ISNA(VLOOKUP(E2525,E$1:E2524,1,FALSE()))),"OLD",IF(AND(E2525&lt;&gt;"",E2525&lt;&gt;"!!!"),"NEW","")))</f>
        <v> </v>
      </c>
      <c r="G2525" s="24" t="str">
        <f>IF(OR(E2525="",E2525="!!!"),"",IF(OR(J2525=0,AND(J2525=1,K2525=1),AND(J2525=1,I2525="SBJ"),AND(J2525=1,I2525=0)),"?IN_FOCUS",IF(J2525&lt;=2,"?ACTIVATED",IF(J2525&lt;&gt;"","?FAMILIAR",IF(F2525="NEW",IF(ISNA(VLOOKUP(E2525,#REF!,1,FALSE())),"?TYPE_IDENTIFIABLE","?REFERENTIAL"),"_")))))</f>
        <v> </v>
      </c>
      <c r="H2525" s="25" t="str">
        <f>IF(J2525&lt;&gt;1,"",IF(I2525="SBJ","CB","?"))</f>
        <v> </v>
      </c>
      <c r="I2525" s="26" t="str">
        <f>IF(OR(E2525="",E2525="!!!",F2525="NEW"),"",INDEX(B2524:B$2,-1+SUMPRODUCT(MAX(ROW(E2524:E$2)*(E2525=E2524:E$2)))))</f>
        <v> </v>
      </c>
      <c r="J2525" s="26" t="str">
        <f>IF(OR(E2525="",E2525="!!!",F2525="NEW"),"",COUNTBLANK(OFFSET(A$1,,,SUMPRODUCT(MAX(ROW(E$2:E2525)*(E2525=E$2:E2525)))))-COUNTBLANK(OFFSET(A$1,,,SUMPRODUCT(MAX(ROW(E$1:E2524)*(E2=E$1:E2524))))))</f>
        <v> </v>
      </c>
      <c r="K2525" s="26" t="str">
        <f>IF(OR(E2525="",E2525="!!!",F2525="NEW"),"",INDEX(J$1:J2524,SUMPRODUCT(MAX(ROW(E$1:E2524)*(E2525=E$1:E2524)))))</f>
        <v> </v>
      </c>
      <c r="L2525" s="27"/>
    </row>
    <row r="2526" spans="1:12">
      <c r="A2526" s="20" t="s">
        <v>1683</v>
      </c>
      <c r="E2526" s="22">
        <f>IF(D2526="?OLD","!!!","")</f>
        <v/>
      </c>
      <c r="F2526" s="23" t="str">
        <f>IF(OR(E2526="",E2526="!!!"),"",IF(NOT(ISNA(VLOOKUP(E2526,E$1:E2525,1,FALSE()))),"OLD",IF(AND(E2526&lt;&gt;"",E2526&lt;&gt;"!!!"),"NEW","")))</f>
        <v> </v>
      </c>
      <c r="G2526" s="24" t="str">
        <f>IF(OR(E2526="",E2526="!!!"),"",IF(OR(J2526=0,AND(J2526=1,K2526=1),AND(J2526=1,I2526="SBJ"),AND(J2526=1,I2526=0)),"?IN_FOCUS",IF(J2526&lt;=2,"?ACTIVATED",IF(J2526&lt;&gt;"","?FAMILIAR",IF(F2526="NEW",IF(ISNA(VLOOKUP(E2526,#REF!,1,FALSE())),"?TYPE_IDENTIFIABLE","?REFERENTIAL"),"_")))))</f>
        <v> </v>
      </c>
      <c r="H2526" s="25" t="str">
        <f>IF(J2526&lt;&gt;1,"",IF(I2526="SBJ","CB","?"))</f>
        <v> </v>
      </c>
      <c r="I2526" s="26" t="str">
        <f>IF(OR(E2526="",E2526="!!!",F2526="NEW"),"",INDEX(B2525:B$2,-1+SUMPRODUCT(MAX(ROW(E2525:E$2)*(E2526=E2525:E$2)))))</f>
        <v> </v>
      </c>
      <c r="J2526" s="26" t="str">
        <f>IF(OR(E2526="",E2526="!!!",F2526="NEW"),"",COUNTBLANK(OFFSET(A$1,,,SUMPRODUCT(MAX(ROW(E$2:E2526)*(E2526=E$2:E2526)))))-COUNTBLANK(OFFSET(A$1,,,SUMPRODUCT(MAX(ROW(E$1:E2525)*(E2=E$1:E2525))))))</f>
        <v> </v>
      </c>
      <c r="K2526" s="26" t="str">
        <f>IF(OR(E2526="",E2526="!!!",F2526="NEW"),"",INDEX(J$1:J2525,SUMPRODUCT(MAX(ROW(E$1:E2525)*(E2526=E$1:E2525)))))</f>
        <v> </v>
      </c>
      <c r="L2526" s="27"/>
    </row>
    <row r="2527" spans="1:12">
      <c r="A2527" s="20" t="s">
        <v>1684</v>
      </c>
      <c r="B2527" s="21" t="s">
        <v>739</v>
      </c>
      <c r="C2527" s="21" t="s">
        <v>748</v>
      </c>
      <c r="E2527" s="22">
        <f>IF(D2527="?OLD","!!!","")</f>
        <v/>
      </c>
      <c r="F2527" s="23" t="str">
        <f>IF(OR(E2527="",E2527="!!!"),"",IF(NOT(ISNA(VLOOKUP(E2527,E$1:E2526,1,FALSE()))),"OLD",IF(AND(E2527&lt;&gt;"",E2527&lt;&gt;"!!!"),"NEW","")))</f>
        <v> </v>
      </c>
      <c r="G2527" s="24" t="str">
        <f>IF(OR(E2527="",E2527="!!!"),"",IF(OR(J2527=0,AND(J2527=1,K2527=1),AND(J2527=1,I2527="SBJ"),AND(J2527=1,I2527=0)),"?IN_FOCUS",IF(J2527&lt;=2,"?ACTIVATED",IF(J2527&lt;&gt;"","?FAMILIAR",IF(F2527="NEW",IF(ISNA(VLOOKUP(E2527,#REF!,1,FALSE())),"?TYPE_IDENTIFIABLE","?REFERENTIAL"),"_")))))</f>
        <v> </v>
      </c>
      <c r="H2527" s="25" t="str">
        <f>IF(J2527&lt;&gt;1,"",IF(I2527="SBJ","CB","?"))</f>
        <v> </v>
      </c>
      <c r="I2527" s="26" t="str">
        <f>IF(OR(E2527="",E2527="!!!",F2527="NEW"),"",INDEX(B2526:B$2,-1+SUMPRODUCT(MAX(ROW(E2526:E$2)*(E2527=E2526:E$2)))))</f>
        <v> </v>
      </c>
      <c r="J2527" s="26" t="str">
        <f>IF(OR(E2527="",E2527="!!!",F2527="NEW"),"",COUNTBLANK(OFFSET(A$1,,,SUMPRODUCT(MAX(ROW(E$2:E2527)*(E2527=E$2:E2527)))))-COUNTBLANK(OFFSET(A$1,,,SUMPRODUCT(MAX(ROW(E$1:E2526)*(E2=E$1:E2526))))))</f>
        <v> </v>
      </c>
      <c r="K2527" s="26" t="str">
        <f>IF(OR(E2527="",E2527="!!!",F2527="NEW"),"",INDEX(J$1:J2526,SUMPRODUCT(MAX(ROW(E$1:E2526)*(E2527=E$1:E2526)))))</f>
        <v> </v>
      </c>
      <c r="L2527" s="27"/>
    </row>
    <row r="2528" spans="1:12">
      <c r="A2528" s="20" t="s">
        <v>1527</v>
      </c>
      <c r="E2528" s="22">
        <f>IF(D2528="?OLD","!!!","")</f>
        <v/>
      </c>
      <c r="F2528" s="23" t="str">
        <f>IF(OR(E2528="",E2528="!!!"),"",IF(NOT(ISNA(VLOOKUP(E2528,E$1:E2527,1,FALSE()))),"OLD",IF(AND(E2528&lt;&gt;"",E2528&lt;&gt;"!!!"),"NEW","")))</f>
        <v> </v>
      </c>
      <c r="G2528" s="24" t="str">
        <f>IF(OR(E2528="",E2528="!!!"),"",IF(OR(J2528=0,AND(J2528=1,K2528=1),AND(J2528=1,I2528="SBJ"),AND(J2528=1,I2528=0)),"?IN_FOCUS",IF(J2528&lt;=2,"?ACTIVATED",IF(J2528&lt;&gt;"","?FAMILIAR",IF(F2528="NEW",IF(ISNA(VLOOKUP(E2528,#REF!,1,FALSE())),"?TYPE_IDENTIFIABLE","?REFERENTIAL"),"_")))))</f>
        <v> </v>
      </c>
      <c r="H2528" s="25" t="str">
        <f>IF(J2528&lt;&gt;1,"",IF(I2528="SBJ","CB","?"))</f>
        <v> </v>
      </c>
      <c r="I2528" s="26" t="str">
        <f>IF(OR(E2528="",E2528="!!!",F2528="NEW"),"",INDEX(B2527:B$2,-1+SUMPRODUCT(MAX(ROW(E2527:E$2)*(E2528=E2527:E$2)))))</f>
        <v> </v>
      </c>
      <c r="J2528" s="26" t="str">
        <f>IF(OR(E2528="",E2528="!!!",F2528="NEW"),"",COUNTBLANK(OFFSET(A$1,,,SUMPRODUCT(MAX(ROW(E$2:E2528)*(E2528=E$2:E2528)))))-COUNTBLANK(OFFSET(A$1,,,SUMPRODUCT(MAX(ROW(E$1:E2527)*(E2=E$1:E2527))))))</f>
        <v> </v>
      </c>
      <c r="K2528" s="26" t="str">
        <f>IF(OR(E2528="",E2528="!!!",F2528="NEW"),"",INDEX(J$1:J2527,SUMPRODUCT(MAX(ROW(E$1:E2527)*(E2528=E$1:E2527)))))</f>
        <v> </v>
      </c>
      <c r="L2528" s="27"/>
    </row>
    <row r="2529" spans="1:12">
      <c r="A2529" s="20" t="s">
        <v>246</v>
      </c>
      <c r="E2529" s="22">
        <f>IF(D2529="?OLD","!!!","")</f>
        <v/>
      </c>
      <c r="F2529" s="23" t="str">
        <f>IF(OR(E2529="",E2529="!!!"),"",IF(NOT(ISNA(VLOOKUP(E2529,E$1:E2528,1,FALSE()))),"OLD",IF(AND(E2529&lt;&gt;"",E2529&lt;&gt;"!!!"),"NEW","")))</f>
        <v> </v>
      </c>
      <c r="G2529" s="24" t="str">
        <f>IF(OR(E2529="",E2529="!!!"),"",IF(OR(J2529=0,AND(J2529=1,K2529=1),AND(J2529=1,I2529="SBJ"),AND(J2529=1,I2529=0)),"?IN_FOCUS",IF(J2529&lt;=2,"?ACTIVATED",IF(J2529&lt;&gt;"","?FAMILIAR",IF(F2529="NEW",IF(ISNA(VLOOKUP(E2529,#REF!,1,FALSE())),"?TYPE_IDENTIFIABLE","?REFERENTIAL"),"_")))))</f>
        <v> </v>
      </c>
      <c r="H2529" s="25" t="str">
        <f>IF(J2529&lt;&gt;1,"",IF(I2529="SBJ","CB","?"))</f>
        <v> </v>
      </c>
      <c r="I2529" s="26" t="str">
        <f>IF(OR(E2529="",E2529="!!!",F2529="NEW"),"",INDEX(B2528:B$2,-1+SUMPRODUCT(MAX(ROW(E2528:E$2)*(E2529=E2528:E$2)))))</f>
        <v> </v>
      </c>
      <c r="J2529" s="26" t="str">
        <f>IF(OR(E2529="",E2529="!!!",F2529="NEW"),"",COUNTBLANK(OFFSET(A$1,,,SUMPRODUCT(MAX(ROW(E$2:E2529)*(E2529=E$2:E2529)))))-COUNTBLANK(OFFSET(A$1,,,SUMPRODUCT(MAX(ROW(E$1:E2528)*(E2=E$1:E2528))))))</f>
        <v> </v>
      </c>
      <c r="K2529" s="26" t="str">
        <f>IF(OR(E2529="",E2529="!!!",F2529="NEW"),"",INDEX(J$1:J2528,SUMPRODUCT(MAX(ROW(E$1:E2528)*(E2529=E$1:E2528)))))</f>
        <v> </v>
      </c>
      <c r="L2529" s="27"/>
    </row>
    <row r="2530" spans="1:12">
      <c r="A2530" s="20"/>
    </row>
    <row r="2531" spans="1:12">
      <c r="A2531" s="20" t="s">
        <v>1685</v>
      </c>
    </row>
    <row r="2532" spans="1:12">
      <c r="A2532" s="20" t="s">
        <v>834</v>
      </c>
      <c r="B2532" s="21" t="s">
        <v>728</v>
      </c>
      <c r="C2532" s="21" t="s">
        <v>729</v>
      </c>
      <c r="D2532" s="21" t="s">
        <v>730</v>
      </c>
      <c r="E2532" s="22">
        <f>IF(D2532="?OLD","!!!","")</f>
        <v/>
      </c>
      <c r="F2532" s="23" t="str">
        <f>IF(OR(E2532="",E2532="!!!"),"",IF(NOT(ISNA(VLOOKUP(E2532,E$1:E2531,1,FALSE()))),"OLD",IF(AND(E2532&lt;&gt;"",E2532&lt;&gt;"!!!"),"NEW","")))</f>
        <v> </v>
      </c>
      <c r="G2532" s="24" t="str">
        <f>IF(OR(E2532="",E2532="!!!"),"",IF(OR(J2532=0,AND(J2532=1,K2532=1),AND(J2532=1,I2532="SBJ"),AND(J2532=1,I2532=0)),"?IN_FOCUS",IF(J2532&lt;=2,"?ACTIVATED",IF(J2532&lt;&gt;"","?FAMILIAR",IF(F2532="NEW",IF(ISNA(VLOOKUP(E2532,#REF!,1,FALSE())),"?TYPE_IDENTIFIABLE","?REFERENTIAL"),"_")))))</f>
        <v> </v>
      </c>
      <c r="H2532" s="25" t="str">
        <f>IF(J2532&lt;&gt;1,"",IF(I2532="SBJ","CB","?"))</f>
        <v> </v>
      </c>
      <c r="I2532" s="26" t="str">
        <f>IF(OR(E2532="",E2532="!!!",F2532="NEW"),"",INDEX(B2531:B$2,-1+SUMPRODUCT(MAX(ROW(E2531:E$2)*(E2532=E2531:E$2)))))</f>
        <v> </v>
      </c>
      <c r="J2532" s="26" t="str">
        <f>IF(OR(E2532="",E2532="!!!",F2532="NEW"),"",COUNTBLANK(OFFSET(A$1,,,SUMPRODUCT(MAX(ROW(E$2:E2532)*(E2532=E$2:E2532)))))-COUNTBLANK(OFFSET(A$1,,,SUMPRODUCT(MAX(ROW(E$1:E2531)*(E2=E$1:E2531))))))</f>
        <v> </v>
      </c>
      <c r="K2532" s="26" t="str">
        <f>IF(OR(E2532="",E2532="!!!",F2532="NEW"),"",INDEX(J$1:J2531,SUMPRODUCT(MAX(ROW(E$1:E2531)*(E2532=E$1:E2531)))))</f>
        <v> </v>
      </c>
      <c r="L2532" s="27"/>
    </row>
    <row r="2533" spans="1:12">
      <c r="A2533" s="20" t="s">
        <v>17</v>
      </c>
      <c r="E2533" s="22">
        <f>IF(D2533="?OLD","!!!","")</f>
        <v/>
      </c>
      <c r="F2533" s="23" t="str">
        <f>IF(OR(E2533="",E2533="!!!"),"",IF(NOT(ISNA(VLOOKUP(E2533,E$1:E2532,1,FALSE()))),"OLD",IF(AND(E2533&lt;&gt;"",E2533&lt;&gt;"!!!"),"NEW","")))</f>
        <v> </v>
      </c>
      <c r="G2533" s="24" t="str">
        <f>IF(OR(E2533="",E2533="!!!"),"",IF(OR(J2533=0,AND(J2533=1,K2533=1),AND(J2533=1,I2533="SBJ"),AND(J2533=1,I2533=0)),"?IN_FOCUS",IF(J2533&lt;=2,"?ACTIVATED",IF(J2533&lt;&gt;"","?FAMILIAR",IF(F2533="NEW",IF(ISNA(VLOOKUP(E2533,#REF!,1,FALSE())),"?TYPE_IDENTIFIABLE","?REFERENTIAL"),"_")))))</f>
        <v> </v>
      </c>
      <c r="H2533" s="25" t="str">
        <f>IF(J2533&lt;&gt;1,"",IF(I2533="SBJ","CB","?"))</f>
        <v> </v>
      </c>
      <c r="I2533" s="26" t="str">
        <f>IF(OR(E2533="",E2533="!!!",F2533="NEW"),"",INDEX(B2532:B$2,-1+SUMPRODUCT(MAX(ROW(E2532:E$2)*(E2533=E2532:E$2)))))</f>
        <v> </v>
      </c>
      <c r="J2533" s="26" t="str">
        <f>IF(OR(E2533="",E2533="!!!",F2533="NEW"),"",COUNTBLANK(OFFSET(A$1,,,SUMPRODUCT(MAX(ROW(E$2:E2533)*(E2533=E$2:E2533)))))-COUNTBLANK(OFFSET(A$1,,,SUMPRODUCT(MAX(ROW(E$1:E2532)*(E2=E$1:E2532))))))</f>
        <v> </v>
      </c>
      <c r="K2533" s="26" t="str">
        <f>IF(OR(E2533="",E2533="!!!",F2533="NEW"),"",INDEX(J$1:J2532,SUMPRODUCT(MAX(ROW(E$1:E2532)*(E2533=E$1:E2532)))))</f>
        <v> </v>
      </c>
      <c r="L2533" s="27"/>
    </row>
    <row r="2534" spans="1:12">
      <c r="A2534" s="20" t="s">
        <v>825</v>
      </c>
      <c r="E2534" s="22">
        <f>IF(D2534="?OLD","!!!","")</f>
        <v/>
      </c>
      <c r="F2534" s="23" t="str">
        <f>IF(OR(E2534="",E2534="!!!"),"",IF(NOT(ISNA(VLOOKUP(E2534,E$1:E2533,1,FALSE()))),"OLD",IF(AND(E2534&lt;&gt;"",E2534&lt;&gt;"!!!"),"NEW","")))</f>
        <v> </v>
      </c>
      <c r="G2534" s="24" t="str">
        <f>IF(OR(E2534="",E2534="!!!"),"",IF(OR(J2534=0,AND(J2534=1,K2534=1),AND(J2534=1,I2534="SBJ"),AND(J2534=1,I2534=0)),"?IN_FOCUS",IF(J2534&lt;=2,"?ACTIVATED",IF(J2534&lt;&gt;"","?FAMILIAR",IF(F2534="NEW",IF(ISNA(VLOOKUP(E2534,#REF!,1,FALSE())),"?TYPE_IDENTIFIABLE","?REFERENTIAL"),"_")))))</f>
        <v> </v>
      </c>
      <c r="H2534" s="25" t="str">
        <f>IF(J2534&lt;&gt;1,"",IF(I2534="SBJ","CB","?"))</f>
        <v> </v>
      </c>
      <c r="I2534" s="26" t="str">
        <f>IF(OR(E2534="",E2534="!!!",F2534="NEW"),"",INDEX(B2533:B$2,-1+SUMPRODUCT(MAX(ROW(E2533:E$2)*(E2534=E2533:E$2)))))</f>
        <v> </v>
      </c>
      <c r="J2534" s="26" t="str">
        <f>IF(OR(E2534="",E2534="!!!",F2534="NEW"),"",COUNTBLANK(OFFSET(A$1,,,SUMPRODUCT(MAX(ROW(E$2:E2534)*(E2534=E$2:E2534)))))-COUNTBLANK(OFFSET(A$1,,,SUMPRODUCT(MAX(ROW(E$1:E2533)*(E2=E$1:E2533))))))</f>
        <v> </v>
      </c>
      <c r="K2534" s="26" t="str">
        <f>IF(OR(E2534="",E2534="!!!",F2534="NEW"),"",INDEX(J$1:J2533,SUMPRODUCT(MAX(ROW(E$1:E2533)*(E2534=E$1:E2533)))))</f>
        <v> </v>
      </c>
      <c r="L2534" s="27"/>
    </row>
    <row r="2535" spans="1:12">
      <c r="A2535" s="20" t="s">
        <v>1686</v>
      </c>
      <c r="B2535" s="21" t="s">
        <v>736</v>
      </c>
      <c r="C2535" s="21" t="s">
        <v>740</v>
      </c>
      <c r="D2535" s="21" t="s">
        <v>730</v>
      </c>
      <c r="E2535" s="22">
        <f>IF(D2535="?OLD","!!!","")</f>
        <v/>
      </c>
      <c r="F2535" s="23" t="str">
        <f>IF(OR(E2535="",E2535="!!!"),"",IF(NOT(ISNA(VLOOKUP(E2535,E$1:E2534,1,FALSE()))),"OLD",IF(AND(E2535&lt;&gt;"",E2535&lt;&gt;"!!!"),"NEW","")))</f>
        <v> </v>
      </c>
      <c r="G2535" s="24" t="str">
        <f>IF(OR(E2535="",E2535="!!!"),"",IF(OR(J2535=0,AND(J2535=1,K2535=1),AND(J2535=1,I2535="SBJ"),AND(J2535=1,I2535=0)),"?IN_FOCUS",IF(J2535&lt;=2,"?ACTIVATED",IF(J2535&lt;&gt;"","?FAMILIAR",IF(F2535="NEW",IF(ISNA(VLOOKUP(E2535,#REF!,1,FALSE())),"?TYPE_IDENTIFIABLE","?REFERENTIAL"),"_")))))</f>
        <v> </v>
      </c>
      <c r="H2535" s="25" t="str">
        <f>IF(J2535&lt;&gt;1,"",IF(I2535="SBJ","CB","?"))</f>
        <v> </v>
      </c>
      <c r="I2535" s="26" t="str">
        <f>IF(OR(E2535="",E2535="!!!",F2535="NEW"),"",INDEX(B2534:B$2,-1+SUMPRODUCT(MAX(ROW(E2534:E$2)*(E2535=E2534:E$2)))))</f>
        <v> </v>
      </c>
      <c r="J2535" s="26" t="str">
        <f>IF(OR(E2535="",E2535="!!!",F2535="NEW"),"",COUNTBLANK(OFFSET(A$1,,,SUMPRODUCT(MAX(ROW(E$2:E2535)*(E2535=E$2:E2535)))))-COUNTBLANK(OFFSET(A$1,,,SUMPRODUCT(MAX(ROW(E$1:E2534)*(E2=E$1:E2534))))))</f>
        <v> </v>
      </c>
      <c r="K2535" s="26" t="str">
        <f>IF(OR(E2535="",E2535="!!!",F2535="NEW"),"",INDEX(J$1:J2534,SUMPRODUCT(MAX(ROW(E$1:E2534)*(E2535=E$1:E2534)))))</f>
        <v> </v>
      </c>
      <c r="L2535" s="27"/>
    </row>
    <row r="2536" spans="1:12">
      <c r="A2536" s="20" t="s">
        <v>759</v>
      </c>
      <c r="E2536" s="22">
        <f>IF(D2536="?OLD","!!!","")</f>
        <v/>
      </c>
      <c r="F2536" s="23" t="str">
        <f>IF(OR(E2536="",E2536="!!!"),"",IF(NOT(ISNA(VLOOKUP(E2536,E$1:E2535,1,FALSE()))),"OLD",IF(AND(E2536&lt;&gt;"",E2536&lt;&gt;"!!!"),"NEW","")))</f>
        <v> </v>
      </c>
      <c r="G2536" s="24" t="str">
        <f>IF(OR(E2536="",E2536="!!!"),"",IF(OR(J2536=0,AND(J2536=1,K2536=1),AND(J2536=1,I2536="SBJ"),AND(J2536=1,I2536=0)),"?IN_FOCUS",IF(J2536&lt;=2,"?ACTIVATED",IF(J2536&lt;&gt;"","?FAMILIAR",IF(F2536="NEW",IF(ISNA(VLOOKUP(E2536,#REF!,1,FALSE())),"?TYPE_IDENTIFIABLE","?REFERENTIAL"),"_")))))</f>
        <v> </v>
      </c>
      <c r="H2536" s="25" t="str">
        <f>IF(J2536&lt;&gt;1,"",IF(I2536="SBJ","CB","?"))</f>
        <v> </v>
      </c>
      <c r="I2536" s="26" t="str">
        <f>IF(OR(E2536="",E2536="!!!",F2536="NEW"),"",INDEX(B2535:B$2,-1+SUMPRODUCT(MAX(ROW(E2535:E$2)*(E2536=E2535:E$2)))))</f>
        <v> </v>
      </c>
      <c r="J2536" s="26" t="str">
        <f>IF(OR(E2536="",E2536="!!!",F2536="NEW"),"",COUNTBLANK(OFFSET(A$1,,,SUMPRODUCT(MAX(ROW(E$2:E2536)*(E2536=E$2:E2536)))))-COUNTBLANK(OFFSET(A$1,,,SUMPRODUCT(MAX(ROW(E$1:E2535)*(E2=E$1:E2535))))))</f>
        <v> </v>
      </c>
      <c r="K2536" s="26" t="str">
        <f>IF(OR(E2536="",E2536="!!!",F2536="NEW"),"",INDEX(J$1:J2535,SUMPRODUCT(MAX(ROW(E$1:E2535)*(E2536=E$1:E2535)))))</f>
        <v> </v>
      </c>
      <c r="L2536" s="27"/>
    </row>
    <row r="2537" spans="1:12">
      <c r="A2537" s="20" t="s">
        <v>1687</v>
      </c>
      <c r="E2537" s="22">
        <f>IF(D2537="?OLD","!!!","")</f>
        <v/>
      </c>
      <c r="F2537" s="23" t="str">
        <f>IF(OR(E2537="",E2537="!!!"),"",IF(NOT(ISNA(VLOOKUP(E2537,E$1:E2536,1,FALSE()))),"OLD",IF(AND(E2537&lt;&gt;"",E2537&lt;&gt;"!!!"),"NEW","")))</f>
        <v> </v>
      </c>
      <c r="G2537" s="24" t="str">
        <f>IF(OR(E2537="",E2537="!!!"),"",IF(OR(J2537=0,AND(J2537=1,K2537=1),AND(J2537=1,I2537="SBJ"),AND(J2537=1,I2537=0)),"?IN_FOCUS",IF(J2537&lt;=2,"?ACTIVATED",IF(J2537&lt;&gt;"","?FAMILIAR",IF(F2537="NEW",IF(ISNA(VLOOKUP(E2537,#REF!,1,FALSE())),"?TYPE_IDENTIFIABLE","?REFERENTIAL"),"_")))))</f>
        <v> </v>
      </c>
      <c r="H2537" s="25" t="str">
        <f>IF(J2537&lt;&gt;1,"",IF(I2537="SBJ","CB","?"))</f>
        <v> </v>
      </c>
      <c r="I2537" s="26" t="str">
        <f>IF(OR(E2537="",E2537="!!!",F2537="NEW"),"",INDEX(B2536:B$2,-1+SUMPRODUCT(MAX(ROW(E2536:E$2)*(E2537=E2536:E$2)))))</f>
        <v> </v>
      </c>
      <c r="J2537" s="26" t="str">
        <f>IF(OR(E2537="",E2537="!!!",F2537="NEW"),"",COUNTBLANK(OFFSET(A$1,,,SUMPRODUCT(MAX(ROW(E$2:E2537)*(E2537=E$2:E2537)))))-COUNTBLANK(OFFSET(A$1,,,SUMPRODUCT(MAX(ROW(E$1:E2536)*(E2=E$1:E2536))))))</f>
        <v> </v>
      </c>
      <c r="K2537" s="26" t="str">
        <f>IF(OR(E2537="",E2537="!!!",F2537="NEW"),"",INDEX(J$1:J2536,SUMPRODUCT(MAX(ROW(E$1:E2536)*(E2537=E$1:E2536)))))</f>
        <v> </v>
      </c>
      <c r="L2537" s="27"/>
    </row>
    <row r="2538" spans="1:12">
      <c r="A2538" s="20" t="s">
        <v>1688</v>
      </c>
      <c r="E2538" s="22">
        <f>IF(D2538="?OLD","!!!","")</f>
        <v/>
      </c>
      <c r="F2538" s="23" t="str">
        <f>IF(OR(E2538="",E2538="!!!"),"",IF(NOT(ISNA(VLOOKUP(E2538,E$1:E2537,1,FALSE()))),"OLD",IF(AND(E2538&lt;&gt;"",E2538&lt;&gt;"!!!"),"NEW","")))</f>
        <v> </v>
      </c>
      <c r="G2538" s="24" t="str">
        <f>IF(OR(E2538="",E2538="!!!"),"",IF(OR(J2538=0,AND(J2538=1,K2538=1),AND(J2538=1,I2538="SBJ"),AND(J2538=1,I2538=0)),"?IN_FOCUS",IF(J2538&lt;=2,"?ACTIVATED",IF(J2538&lt;&gt;"","?FAMILIAR",IF(F2538="NEW",IF(ISNA(VLOOKUP(E2538,#REF!,1,FALSE())),"?TYPE_IDENTIFIABLE","?REFERENTIAL"),"_")))))</f>
        <v> </v>
      </c>
      <c r="H2538" s="25" t="str">
        <f>IF(J2538&lt;&gt;1,"",IF(I2538="SBJ","CB","?"))</f>
        <v> </v>
      </c>
      <c r="I2538" s="26" t="str">
        <f>IF(OR(E2538="",E2538="!!!",F2538="NEW"),"",INDEX(B2537:B$2,-1+SUMPRODUCT(MAX(ROW(E2537:E$2)*(E2538=E2537:E$2)))))</f>
        <v> </v>
      </c>
      <c r="J2538" s="26" t="str">
        <f>IF(OR(E2538="",E2538="!!!",F2538="NEW"),"",COUNTBLANK(OFFSET(A$1,,,SUMPRODUCT(MAX(ROW(E$2:E2538)*(E2538=E$2:E2538)))))-COUNTBLANK(OFFSET(A$1,,,SUMPRODUCT(MAX(ROW(E$1:E2537)*(E2=E$1:E2537))))))</f>
        <v> </v>
      </c>
      <c r="K2538" s="26" t="str">
        <f>IF(OR(E2538="",E2538="!!!",F2538="NEW"),"",INDEX(J$1:J2537,SUMPRODUCT(MAX(ROW(E$1:E2537)*(E2538=E$1:E2537)))))</f>
        <v> </v>
      </c>
      <c r="L2538" s="27"/>
    </row>
    <row r="2539" spans="1:12">
      <c r="A2539" s="20" t="s">
        <v>757</v>
      </c>
      <c r="E2539" s="22">
        <f>IF(D2539="?OLD","!!!","")</f>
        <v/>
      </c>
      <c r="F2539" s="23" t="str">
        <f>IF(OR(E2539="",E2539="!!!"),"",IF(NOT(ISNA(VLOOKUP(E2539,E$1:E2538,1,FALSE()))),"OLD",IF(AND(E2539&lt;&gt;"",E2539&lt;&gt;"!!!"),"NEW","")))</f>
        <v> </v>
      </c>
      <c r="G2539" s="24" t="str">
        <f>IF(OR(E2539="",E2539="!!!"),"",IF(OR(J2539=0,AND(J2539=1,K2539=1),AND(J2539=1,I2539="SBJ"),AND(J2539=1,I2539=0)),"?IN_FOCUS",IF(J2539&lt;=2,"?ACTIVATED",IF(J2539&lt;&gt;"","?FAMILIAR",IF(F2539="NEW",IF(ISNA(VLOOKUP(E2539,#REF!,1,FALSE())),"?TYPE_IDENTIFIABLE","?REFERENTIAL"),"_")))))</f>
        <v> </v>
      </c>
      <c r="H2539" s="25" t="str">
        <f>IF(J2539&lt;&gt;1,"",IF(I2539="SBJ","CB","?"))</f>
        <v> </v>
      </c>
      <c r="I2539" s="26" t="str">
        <f>IF(OR(E2539="",E2539="!!!",F2539="NEW"),"",INDEX(B2538:B$2,-1+SUMPRODUCT(MAX(ROW(E2538:E$2)*(E2539=E2538:E$2)))))</f>
        <v> </v>
      </c>
      <c r="J2539" s="26" t="str">
        <f>IF(OR(E2539="",E2539="!!!",F2539="NEW"),"",COUNTBLANK(OFFSET(A$1,,,SUMPRODUCT(MAX(ROW(E$2:E2539)*(E2539=E$2:E2539)))))-COUNTBLANK(OFFSET(A$1,,,SUMPRODUCT(MAX(ROW(E$1:E2538)*(E2=E$1:E2538))))))</f>
        <v> </v>
      </c>
      <c r="K2539" s="26" t="str">
        <f>IF(OR(E2539="",E2539="!!!",F2539="NEW"),"",INDEX(J$1:J2538,SUMPRODUCT(MAX(ROW(E$1:E2538)*(E2539=E$1:E2538)))))</f>
        <v> </v>
      </c>
      <c r="L2539" s="27"/>
    </row>
    <row r="2540" spans="1:12">
      <c r="A2540" s="20" t="s">
        <v>1689</v>
      </c>
      <c r="B2540" s="21" t="s">
        <v>739</v>
      </c>
      <c r="C2540" s="21" t="s">
        <v>753</v>
      </c>
      <c r="D2540" s="21" t="s">
        <v>730</v>
      </c>
      <c r="E2540" s="22">
        <f>IF(D2540="?OLD","!!!","")</f>
        <v/>
      </c>
      <c r="F2540" s="23" t="str">
        <f>IF(OR(E2540="",E2540="!!!"),"",IF(NOT(ISNA(VLOOKUP(E2540,E$1:E2539,1,FALSE()))),"OLD",IF(AND(E2540&lt;&gt;"",E2540&lt;&gt;"!!!"),"NEW","")))</f>
        <v> </v>
      </c>
      <c r="G2540" s="24" t="str">
        <f>IF(OR(E2540="",E2540="!!!"),"",IF(OR(J2540=0,AND(J2540=1,K2540=1),AND(J2540=1,I2540="SBJ"),AND(J2540=1,I2540=0)),"?IN_FOCUS",IF(J2540&lt;=2,"?ACTIVATED",IF(J2540&lt;&gt;"","?FAMILIAR",IF(F2540="NEW",IF(ISNA(VLOOKUP(E2540,#REF!,1,FALSE())),"?TYPE_IDENTIFIABLE","?REFERENTIAL"),"_")))))</f>
        <v> </v>
      </c>
      <c r="H2540" s="25" t="str">
        <f>IF(J2540&lt;&gt;1,"",IF(I2540="SBJ","CB","?"))</f>
        <v> </v>
      </c>
      <c r="I2540" s="26" t="str">
        <f>IF(OR(E2540="",E2540="!!!",F2540="NEW"),"",INDEX(B2539:B$2,-1+SUMPRODUCT(MAX(ROW(E2539:E$2)*(E2540=E2539:E$2)))))</f>
        <v> </v>
      </c>
      <c r="J2540" s="26" t="str">
        <f>IF(OR(E2540="",E2540="!!!",F2540="NEW"),"",COUNTBLANK(OFFSET(A$1,,,SUMPRODUCT(MAX(ROW(E$2:E2540)*(E2540=E$2:E2540)))))-COUNTBLANK(OFFSET(A$1,,,SUMPRODUCT(MAX(ROW(E$1:E2539)*(E2=E$1:E2539))))))</f>
        <v> </v>
      </c>
      <c r="K2540" s="26" t="str">
        <f>IF(OR(E2540="",E2540="!!!",F2540="NEW"),"",INDEX(J$1:J2539,SUMPRODUCT(MAX(ROW(E$1:E2539)*(E2540=E$1:E2539)))))</f>
        <v> </v>
      </c>
      <c r="L2540" s="27"/>
    </row>
    <row r="2541" spans="1:12">
      <c r="A2541" s="20" t="s">
        <v>776</v>
      </c>
      <c r="E2541" s="22">
        <f>IF(D2541="?OLD","!!!","")</f>
        <v/>
      </c>
      <c r="F2541" s="23" t="str">
        <f>IF(OR(E2541="",E2541="!!!"),"",IF(NOT(ISNA(VLOOKUP(E2541,E$1:E2540,1,FALSE()))),"OLD",IF(AND(E2541&lt;&gt;"",E2541&lt;&gt;"!!!"),"NEW","")))</f>
        <v> </v>
      </c>
      <c r="G2541" s="24" t="str">
        <f>IF(OR(E2541="",E2541="!!!"),"",IF(OR(J2541=0,AND(J2541=1,K2541=1),AND(J2541=1,I2541="SBJ"),AND(J2541=1,I2541=0)),"?IN_FOCUS",IF(J2541&lt;=2,"?ACTIVATED",IF(J2541&lt;&gt;"","?FAMILIAR",IF(F2541="NEW",IF(ISNA(VLOOKUP(E2541,#REF!,1,FALSE())),"?TYPE_IDENTIFIABLE","?REFERENTIAL"),"_")))))</f>
        <v> </v>
      </c>
      <c r="H2541" s="25" t="str">
        <f>IF(J2541&lt;&gt;1,"",IF(I2541="SBJ","CB","?"))</f>
        <v> </v>
      </c>
      <c r="I2541" s="26" t="str">
        <f>IF(OR(E2541="",E2541="!!!",F2541="NEW"),"",INDEX(B2540:B$2,-1+SUMPRODUCT(MAX(ROW(E2540:E$2)*(E2541=E2540:E$2)))))</f>
        <v> </v>
      </c>
      <c r="J2541" s="26" t="str">
        <f>IF(OR(E2541="",E2541="!!!",F2541="NEW"),"",COUNTBLANK(OFFSET(A$1,,,SUMPRODUCT(MAX(ROW(E$2:E2541)*(E2541=E$2:E2541)))))-COUNTBLANK(OFFSET(A$1,,,SUMPRODUCT(MAX(ROW(E$1:E2540)*(E2=E$1:E2540))))))</f>
        <v> </v>
      </c>
      <c r="K2541" s="26" t="str">
        <f>IF(OR(E2541="",E2541="!!!",F2541="NEW"),"",INDEX(J$1:J2540,SUMPRODUCT(MAX(ROW(E$1:E2540)*(E2541=E$1:E2540)))))</f>
        <v> </v>
      </c>
      <c r="L2541" s="27"/>
    </row>
    <row r="2542" spans="1:12">
      <c r="A2542" s="20" t="s">
        <v>1690</v>
      </c>
      <c r="E2542" s="22">
        <f>IF(D2542="?OLD","!!!","")</f>
        <v/>
      </c>
      <c r="F2542" s="23" t="str">
        <f>IF(OR(E2542="",E2542="!!!"),"",IF(NOT(ISNA(VLOOKUP(E2542,E$1:E2541,1,FALSE()))),"OLD",IF(AND(E2542&lt;&gt;"",E2542&lt;&gt;"!!!"),"NEW","")))</f>
        <v> </v>
      </c>
      <c r="G2542" s="24" t="str">
        <f>IF(OR(E2542="",E2542="!!!"),"",IF(OR(J2542=0,AND(J2542=1,K2542=1),AND(J2542=1,I2542="SBJ"),AND(J2542=1,I2542=0)),"?IN_FOCUS",IF(J2542&lt;=2,"?ACTIVATED",IF(J2542&lt;&gt;"","?FAMILIAR",IF(F2542="NEW",IF(ISNA(VLOOKUP(E2542,#REF!,1,FALSE())),"?TYPE_IDENTIFIABLE","?REFERENTIAL"),"_")))))</f>
        <v> </v>
      </c>
      <c r="H2542" s="25" t="str">
        <f>IF(J2542&lt;&gt;1,"",IF(I2542="SBJ","CB","?"))</f>
        <v> </v>
      </c>
      <c r="I2542" s="26" t="str">
        <f>IF(OR(E2542="",E2542="!!!",F2542="NEW"),"",INDEX(B2541:B$2,-1+SUMPRODUCT(MAX(ROW(E2541:E$2)*(E2542=E2541:E$2)))))</f>
        <v> </v>
      </c>
      <c r="J2542" s="26" t="str">
        <f>IF(OR(E2542="",E2542="!!!",F2542="NEW"),"",COUNTBLANK(OFFSET(A$1,,,SUMPRODUCT(MAX(ROW(E$2:E2542)*(E2542=E$2:E2542)))))-COUNTBLANK(OFFSET(A$1,,,SUMPRODUCT(MAX(ROW(E$1:E2541)*(E2=E$1:E2541))))))</f>
        <v> </v>
      </c>
      <c r="K2542" s="26" t="str">
        <f>IF(OR(E2542="",E2542="!!!",F2542="NEW"),"",INDEX(J$1:J2541,SUMPRODUCT(MAX(ROW(E$1:E2541)*(E2542=E$1:E2541)))))</f>
        <v> </v>
      </c>
      <c r="L2542" s="27"/>
    </row>
    <row r="2543" spans="1:12">
      <c r="A2543" s="20" t="s">
        <v>1691</v>
      </c>
      <c r="B2543" s="21" t="s">
        <v>796</v>
      </c>
      <c r="C2543" s="21" t="s">
        <v>753</v>
      </c>
      <c r="D2543" s="21" t="s">
        <v>730</v>
      </c>
      <c r="E2543" s="22">
        <f>IF(D2543="?OLD","!!!","")</f>
        <v/>
      </c>
      <c r="F2543" s="23" t="str">
        <f>IF(OR(E2543="",E2543="!!!"),"",IF(NOT(ISNA(VLOOKUP(E2543,E$1:E2542,1,FALSE()))),"OLD",IF(AND(E2543&lt;&gt;"",E2543&lt;&gt;"!!!"),"NEW","")))</f>
        <v> </v>
      </c>
      <c r="G2543" s="24" t="str">
        <f>IF(OR(E2543="",E2543="!!!"),"",IF(OR(J2543=0,AND(J2543=1,K2543=1),AND(J2543=1,I2543="SBJ"),AND(J2543=1,I2543=0)),"?IN_FOCUS",IF(J2543&lt;=2,"?ACTIVATED",IF(J2543&lt;&gt;"","?FAMILIAR",IF(F2543="NEW",IF(ISNA(VLOOKUP(E2543,#REF!,1,FALSE())),"?TYPE_IDENTIFIABLE","?REFERENTIAL"),"_")))))</f>
        <v> </v>
      </c>
      <c r="H2543" s="25" t="str">
        <f>IF(J2543&lt;&gt;1,"",IF(I2543="SBJ","CB","?"))</f>
        <v> </v>
      </c>
      <c r="I2543" s="26" t="str">
        <f>IF(OR(E2543="",E2543="!!!",F2543="NEW"),"",INDEX(B2542:B$2,-1+SUMPRODUCT(MAX(ROW(E2542:E$2)*(E2543=E2542:E$2)))))</f>
        <v> </v>
      </c>
      <c r="J2543" s="26" t="str">
        <f>IF(OR(E2543="",E2543="!!!",F2543="NEW"),"",COUNTBLANK(OFFSET(A$1,,,SUMPRODUCT(MAX(ROW(E$2:E2543)*(E2543=E$2:E2543)))))-COUNTBLANK(OFFSET(A$1,,,SUMPRODUCT(MAX(ROW(E$1:E2542)*(E2=E$1:E2542))))))</f>
        <v> </v>
      </c>
      <c r="K2543" s="26" t="str">
        <f>IF(OR(E2543="",E2543="!!!",F2543="NEW"),"",INDEX(J$1:J2542,SUMPRODUCT(MAX(ROW(E$1:E2542)*(E2543=E$1:E2542)))))</f>
        <v> </v>
      </c>
      <c r="L2543" s="27"/>
    </row>
    <row r="2544" spans="1:12">
      <c r="A2544" s="20" t="s">
        <v>1692</v>
      </c>
      <c r="E2544" s="22">
        <f>IF(D2544="?OLD","!!!","")</f>
        <v/>
      </c>
      <c r="F2544" s="23" t="str">
        <f>IF(OR(E2544="",E2544="!!!"),"",IF(NOT(ISNA(VLOOKUP(E2544,E$1:E2543,1,FALSE()))),"OLD",IF(AND(E2544&lt;&gt;"",E2544&lt;&gt;"!!!"),"NEW","")))</f>
        <v> </v>
      </c>
      <c r="G2544" s="24" t="str">
        <f>IF(OR(E2544="",E2544="!!!"),"",IF(OR(J2544=0,AND(J2544=1,K2544=1),AND(J2544=1,I2544="SBJ"),AND(J2544=1,I2544=0)),"?IN_FOCUS",IF(J2544&lt;=2,"?ACTIVATED",IF(J2544&lt;&gt;"","?FAMILIAR",IF(F2544="NEW",IF(ISNA(VLOOKUP(E2544,#REF!,1,FALSE())),"?TYPE_IDENTIFIABLE","?REFERENTIAL"),"_")))))</f>
        <v> </v>
      </c>
      <c r="H2544" s="25" t="str">
        <f>IF(J2544&lt;&gt;1,"",IF(I2544="SBJ","CB","?"))</f>
        <v> </v>
      </c>
      <c r="I2544" s="26" t="str">
        <f>IF(OR(E2544="",E2544="!!!",F2544="NEW"),"",INDEX(B2543:B$2,-1+SUMPRODUCT(MAX(ROW(E2543:E$2)*(E2544=E2543:E$2)))))</f>
        <v> </v>
      </c>
      <c r="J2544" s="26" t="str">
        <f>IF(OR(E2544="",E2544="!!!",F2544="NEW"),"",COUNTBLANK(OFFSET(A$1,,,SUMPRODUCT(MAX(ROW(E$2:E2544)*(E2544=E$2:E2544)))))-COUNTBLANK(OFFSET(A$1,,,SUMPRODUCT(MAX(ROW(E$1:E2543)*(E2=E$1:E2543))))))</f>
        <v> </v>
      </c>
      <c r="K2544" s="26" t="str">
        <f>IF(OR(E2544="",E2544="!!!",F2544="NEW"),"",INDEX(J$1:J2543,SUMPRODUCT(MAX(ROW(E$1:E2543)*(E2544=E$1:E2543)))))</f>
        <v> </v>
      </c>
      <c r="L2544" s="27"/>
    </row>
    <row r="2545" spans="1:12">
      <c r="A2545" s="20" t="s">
        <v>1693</v>
      </c>
      <c r="B2545" s="21" t="s">
        <v>739</v>
      </c>
      <c r="C2545" s="21" t="s">
        <v>756</v>
      </c>
      <c r="E2545" s="22">
        <f>IF(D2545="?OLD","!!!","")</f>
        <v/>
      </c>
      <c r="F2545" s="23" t="str">
        <f>IF(OR(E2545="",E2545="!!!"),"",IF(NOT(ISNA(VLOOKUP(E2545,E$1:E2544,1,FALSE()))),"OLD",IF(AND(E2545&lt;&gt;"",E2545&lt;&gt;"!!!"),"NEW","")))</f>
        <v> </v>
      </c>
      <c r="G2545" s="24" t="str">
        <f>IF(OR(E2545="",E2545="!!!"),"",IF(OR(J2545=0,AND(J2545=1,K2545=1),AND(J2545=1,I2545="SBJ"),AND(J2545=1,I2545=0)),"?IN_FOCUS",IF(J2545&lt;=2,"?ACTIVATED",IF(J2545&lt;&gt;"","?FAMILIAR",IF(F2545="NEW",IF(ISNA(VLOOKUP(E2545,#REF!,1,FALSE())),"?TYPE_IDENTIFIABLE","?REFERENTIAL"),"_")))))</f>
        <v> </v>
      </c>
      <c r="H2545" s="25" t="str">
        <f>IF(J2545&lt;&gt;1,"",IF(I2545="SBJ","CB","?"))</f>
        <v> </v>
      </c>
      <c r="I2545" s="26" t="str">
        <f>IF(OR(E2545="",E2545="!!!",F2545="NEW"),"",INDEX(B2544:B$2,-1+SUMPRODUCT(MAX(ROW(E2544:E$2)*(E2545=E2544:E$2)))))</f>
        <v> </v>
      </c>
      <c r="J2545" s="26" t="str">
        <f>IF(OR(E2545="",E2545="!!!",F2545="NEW"),"",COUNTBLANK(OFFSET(A$1,,,SUMPRODUCT(MAX(ROW(E$2:E2545)*(E2545=E$2:E2545)))))-COUNTBLANK(OFFSET(A$1,,,SUMPRODUCT(MAX(ROW(E$1:E2544)*(E2=E$1:E2544))))))</f>
        <v> </v>
      </c>
      <c r="K2545" s="26" t="str">
        <f>IF(OR(E2545="",E2545="!!!",F2545="NEW"),"",INDEX(J$1:J2544,SUMPRODUCT(MAX(ROW(E$1:E2544)*(E2545=E$1:E2544)))))</f>
        <v> </v>
      </c>
      <c r="L2545" s="27"/>
    </row>
    <row r="2546" spans="1:12">
      <c r="A2546" s="20" t="s">
        <v>1694</v>
      </c>
      <c r="B2546" s="21" t="s">
        <v>791</v>
      </c>
      <c r="C2546" s="21" t="s">
        <v>748</v>
      </c>
      <c r="E2546" s="22">
        <f>IF(D2546="?OLD","!!!","")</f>
        <v/>
      </c>
      <c r="F2546" s="23" t="str">
        <f>IF(OR(E2546="",E2546="!!!"),"",IF(NOT(ISNA(VLOOKUP(E2546,E$1:E2545,1,FALSE()))),"OLD",IF(AND(E2546&lt;&gt;"",E2546&lt;&gt;"!!!"),"NEW","")))</f>
        <v> </v>
      </c>
      <c r="G2546" s="24" t="str">
        <f>IF(OR(E2546="",E2546="!!!"),"",IF(OR(J2546=0,AND(J2546=1,K2546=1),AND(J2546=1,I2546="SBJ"),AND(J2546=1,I2546=0)),"?IN_FOCUS",IF(J2546&lt;=2,"?ACTIVATED",IF(J2546&lt;&gt;"","?FAMILIAR",IF(F2546="NEW",IF(ISNA(VLOOKUP(E2546,#REF!,1,FALSE())),"?TYPE_IDENTIFIABLE","?REFERENTIAL"),"_")))))</f>
        <v> </v>
      </c>
      <c r="H2546" s="25" t="str">
        <f>IF(J2546&lt;&gt;1,"",IF(I2546="SBJ","CB","?"))</f>
        <v> </v>
      </c>
      <c r="I2546" s="26" t="str">
        <f>IF(OR(E2546="",E2546="!!!",F2546="NEW"),"",INDEX(B2545:B$2,-1+SUMPRODUCT(MAX(ROW(E2545:E$2)*(E2546=E2545:E$2)))))</f>
        <v> </v>
      </c>
      <c r="J2546" s="26" t="str">
        <f>IF(OR(E2546="",E2546="!!!",F2546="NEW"),"",COUNTBLANK(OFFSET(A$1,,,SUMPRODUCT(MAX(ROW(E$2:E2546)*(E2546=E$2:E2546)))))-COUNTBLANK(OFFSET(A$1,,,SUMPRODUCT(MAX(ROW(E$1:E2545)*(E2=E$1:E2545))))))</f>
        <v> </v>
      </c>
      <c r="K2546" s="26" t="str">
        <f>IF(OR(E2546="",E2546="!!!",F2546="NEW"),"",INDEX(J$1:J2545,SUMPRODUCT(MAX(ROW(E$1:E2545)*(E2546=E$1:E2545)))))</f>
        <v> </v>
      </c>
      <c r="L2546" s="27"/>
    </row>
    <row r="2547" spans="1:12">
      <c r="A2547" s="20" t="s">
        <v>785</v>
      </c>
      <c r="E2547" s="22">
        <f>IF(D2547="?OLD","!!!","")</f>
        <v/>
      </c>
      <c r="F2547" s="23" t="str">
        <f>IF(OR(E2547="",E2547="!!!"),"",IF(NOT(ISNA(VLOOKUP(E2547,E$1:E2546,1,FALSE()))),"OLD",IF(AND(E2547&lt;&gt;"",E2547&lt;&gt;"!!!"),"NEW","")))</f>
        <v> </v>
      </c>
      <c r="G2547" s="24" t="str">
        <f>IF(OR(E2547="",E2547="!!!"),"",IF(OR(J2547=0,AND(J2547=1,K2547=1),AND(J2547=1,I2547="SBJ"),AND(J2547=1,I2547=0)),"?IN_FOCUS",IF(J2547&lt;=2,"?ACTIVATED",IF(J2547&lt;&gt;"","?FAMILIAR",IF(F2547="NEW",IF(ISNA(VLOOKUP(E2547,#REF!,1,FALSE())),"?TYPE_IDENTIFIABLE","?REFERENTIAL"),"_")))))</f>
        <v> </v>
      </c>
      <c r="H2547" s="25" t="str">
        <f>IF(J2547&lt;&gt;1,"",IF(I2547="SBJ","CB","?"))</f>
        <v> </v>
      </c>
      <c r="I2547" s="26" t="str">
        <f>IF(OR(E2547="",E2547="!!!",F2547="NEW"),"",INDEX(B2546:B$2,-1+SUMPRODUCT(MAX(ROW(E2546:E$2)*(E2547=E2546:E$2)))))</f>
        <v> </v>
      </c>
      <c r="J2547" s="26" t="str">
        <f>IF(OR(E2547="",E2547="!!!",F2547="NEW"),"",COUNTBLANK(OFFSET(A$1,,,SUMPRODUCT(MAX(ROW(E$2:E2547)*(E2547=E$2:E2547)))))-COUNTBLANK(OFFSET(A$1,,,SUMPRODUCT(MAX(ROW(E$1:E2546)*(E2=E$1:E2546))))))</f>
        <v> </v>
      </c>
      <c r="K2547" s="26" t="str">
        <f>IF(OR(E2547="",E2547="!!!",F2547="NEW"),"",INDEX(J$1:J2546,SUMPRODUCT(MAX(ROW(E$1:E2546)*(E2547=E$1:E2546)))))</f>
        <v> </v>
      </c>
      <c r="L2547" s="27"/>
    </row>
    <row r="2548" spans="1:12">
      <c r="A2548" s="20" t="s">
        <v>1695</v>
      </c>
      <c r="B2548" s="21" t="s">
        <v>755</v>
      </c>
      <c r="C2548" s="21" t="s">
        <v>748</v>
      </c>
      <c r="E2548" s="22">
        <f>IF(D2548="?OLD","!!!","")</f>
        <v/>
      </c>
      <c r="F2548" s="23" t="str">
        <f>IF(OR(E2548="",E2548="!!!"),"",IF(NOT(ISNA(VLOOKUP(E2548,E$1:E2547,1,FALSE()))),"OLD",IF(AND(E2548&lt;&gt;"",E2548&lt;&gt;"!!!"),"NEW","")))</f>
        <v> </v>
      </c>
      <c r="G2548" s="24" t="str">
        <f>IF(OR(E2548="",E2548="!!!"),"",IF(OR(J2548=0,AND(J2548=1,K2548=1),AND(J2548=1,I2548="SBJ"),AND(J2548=1,I2548=0)),"?IN_FOCUS",IF(J2548&lt;=2,"?ACTIVATED",IF(J2548&lt;&gt;"","?FAMILIAR",IF(F2548="NEW",IF(ISNA(VLOOKUP(E2548,#REF!,1,FALSE())),"?TYPE_IDENTIFIABLE","?REFERENTIAL"),"_")))))</f>
        <v> </v>
      </c>
      <c r="H2548" s="25" t="str">
        <f>IF(J2548&lt;&gt;1,"",IF(I2548="SBJ","CB","?"))</f>
        <v> </v>
      </c>
      <c r="I2548" s="26" t="str">
        <f>IF(OR(E2548="",E2548="!!!",F2548="NEW"),"",INDEX(B2547:B$2,-1+SUMPRODUCT(MAX(ROW(E2547:E$2)*(E2548=E2547:E$2)))))</f>
        <v> </v>
      </c>
      <c r="J2548" s="26" t="str">
        <f>IF(OR(E2548="",E2548="!!!",F2548="NEW"),"",COUNTBLANK(OFFSET(A$1,,,SUMPRODUCT(MAX(ROW(E$2:E2548)*(E2548=E$2:E2548)))))-COUNTBLANK(OFFSET(A$1,,,SUMPRODUCT(MAX(ROW(E$1:E2547)*(E2=E$1:E2547))))))</f>
        <v> </v>
      </c>
      <c r="K2548" s="26" t="str">
        <f>IF(OR(E2548="",E2548="!!!",F2548="NEW"),"",INDEX(J$1:J2547,SUMPRODUCT(MAX(ROW(E$1:E2547)*(E2548=E$1:E2547)))))</f>
        <v> </v>
      </c>
      <c r="L2548" s="27"/>
    </row>
    <row r="2549" spans="1:12">
      <c r="A2549" s="20" t="s">
        <v>759</v>
      </c>
      <c r="E2549" s="22">
        <f>IF(D2549="?OLD","!!!","")</f>
        <v/>
      </c>
      <c r="F2549" s="23" t="str">
        <f>IF(OR(E2549="",E2549="!!!"),"",IF(NOT(ISNA(VLOOKUP(E2549,E$1:E2548,1,FALSE()))),"OLD",IF(AND(E2549&lt;&gt;"",E2549&lt;&gt;"!!!"),"NEW","")))</f>
        <v> </v>
      </c>
      <c r="G2549" s="24" t="str">
        <f>IF(OR(E2549="",E2549="!!!"),"",IF(OR(J2549=0,AND(J2549=1,K2549=1),AND(J2549=1,I2549="SBJ"),AND(J2549=1,I2549=0)),"?IN_FOCUS",IF(J2549&lt;=2,"?ACTIVATED",IF(J2549&lt;&gt;"","?FAMILIAR",IF(F2549="NEW",IF(ISNA(VLOOKUP(E2549,#REF!,1,FALSE())),"?TYPE_IDENTIFIABLE","?REFERENTIAL"),"_")))))</f>
        <v> </v>
      </c>
      <c r="H2549" s="25" t="str">
        <f>IF(J2549&lt;&gt;1,"",IF(I2549="SBJ","CB","?"))</f>
        <v> </v>
      </c>
      <c r="I2549" s="26" t="str">
        <f>IF(OR(E2549="",E2549="!!!",F2549="NEW"),"",INDEX(B2548:B$2,-1+SUMPRODUCT(MAX(ROW(E2548:E$2)*(E2549=E2548:E$2)))))</f>
        <v> </v>
      </c>
      <c r="J2549" s="26" t="str">
        <f>IF(OR(E2549="",E2549="!!!",F2549="NEW"),"",COUNTBLANK(OFFSET(A$1,,,SUMPRODUCT(MAX(ROW(E$2:E2549)*(E2549=E$2:E2549)))))-COUNTBLANK(OFFSET(A$1,,,SUMPRODUCT(MAX(ROW(E$1:E2548)*(E2=E$1:E2548))))))</f>
        <v> </v>
      </c>
      <c r="K2549" s="26" t="str">
        <f>IF(OR(E2549="",E2549="!!!",F2549="NEW"),"",INDEX(J$1:J2548,SUMPRODUCT(MAX(ROW(E$1:E2548)*(E2549=E$1:E2548)))))</f>
        <v> </v>
      </c>
      <c r="L2549" s="27"/>
    </row>
    <row r="2550" spans="1:12">
      <c r="A2550" s="20" t="s">
        <v>453</v>
      </c>
      <c r="E2550" s="22">
        <f>IF(D2550="?OLD","!!!","")</f>
        <v/>
      </c>
      <c r="F2550" s="23" t="str">
        <f>IF(OR(E2550="",E2550="!!!"),"",IF(NOT(ISNA(VLOOKUP(E2550,E$1:E2549,1,FALSE()))),"OLD",IF(AND(E2550&lt;&gt;"",E2550&lt;&gt;"!!!"),"NEW","")))</f>
        <v> </v>
      </c>
      <c r="G2550" s="24" t="str">
        <f>IF(OR(E2550="",E2550="!!!"),"",IF(OR(J2550=0,AND(J2550=1,K2550=1),AND(J2550=1,I2550="SBJ"),AND(J2550=1,I2550=0)),"?IN_FOCUS",IF(J2550&lt;=2,"?ACTIVATED",IF(J2550&lt;&gt;"","?FAMILIAR",IF(F2550="NEW",IF(ISNA(VLOOKUP(E2550,#REF!,1,FALSE())),"?TYPE_IDENTIFIABLE","?REFERENTIAL"),"_")))))</f>
        <v> </v>
      </c>
      <c r="H2550" s="25" t="str">
        <f>IF(J2550&lt;&gt;1,"",IF(I2550="SBJ","CB","?"))</f>
        <v> </v>
      </c>
      <c r="I2550" s="26" t="str">
        <f>IF(OR(E2550="",E2550="!!!",F2550="NEW"),"",INDEX(B2549:B$2,-1+SUMPRODUCT(MAX(ROW(E2549:E$2)*(E2550=E2549:E$2)))))</f>
        <v> </v>
      </c>
      <c r="J2550" s="26" t="str">
        <f>IF(OR(E2550="",E2550="!!!",F2550="NEW"),"",COUNTBLANK(OFFSET(A$1,,,SUMPRODUCT(MAX(ROW(E$2:E2550)*(E2550=E$2:E2550)))))-COUNTBLANK(OFFSET(A$1,,,SUMPRODUCT(MAX(ROW(E$1:E2549)*(E2=E$1:E2549))))))</f>
        <v> </v>
      </c>
      <c r="K2550" s="26" t="str">
        <f>IF(OR(E2550="",E2550="!!!",F2550="NEW"),"",INDEX(J$1:J2549,SUMPRODUCT(MAX(ROW(E$1:E2549)*(E2550=E$1:E2549)))))</f>
        <v> </v>
      </c>
      <c r="L2550" s="27"/>
    </row>
    <row r="2551" spans="1:12">
      <c r="A2551" s="20" t="s">
        <v>885</v>
      </c>
      <c r="E2551" s="22">
        <f>IF(D2551="?OLD","!!!","")</f>
        <v/>
      </c>
      <c r="F2551" s="23" t="str">
        <f>IF(OR(E2551="",E2551="!!!"),"",IF(NOT(ISNA(VLOOKUP(E2551,E$1:E2550,1,FALSE()))),"OLD",IF(AND(E2551&lt;&gt;"",E2551&lt;&gt;"!!!"),"NEW","")))</f>
        <v> </v>
      </c>
      <c r="G2551" s="24" t="str">
        <f>IF(OR(E2551="",E2551="!!!"),"",IF(OR(J2551=0,AND(J2551=1,K2551=1),AND(J2551=1,I2551="SBJ"),AND(J2551=1,I2551=0)),"?IN_FOCUS",IF(J2551&lt;=2,"?ACTIVATED",IF(J2551&lt;&gt;"","?FAMILIAR",IF(F2551="NEW",IF(ISNA(VLOOKUP(E2551,#REF!,1,FALSE())),"?TYPE_IDENTIFIABLE","?REFERENTIAL"),"_")))))</f>
        <v> </v>
      </c>
      <c r="H2551" s="25" t="str">
        <f>IF(J2551&lt;&gt;1,"",IF(I2551="SBJ","CB","?"))</f>
        <v> </v>
      </c>
      <c r="I2551" s="26" t="str">
        <f>IF(OR(E2551="",E2551="!!!",F2551="NEW"),"",INDEX(B2550:B$2,-1+SUMPRODUCT(MAX(ROW(E2550:E$2)*(E2551=E2550:E$2)))))</f>
        <v> </v>
      </c>
      <c r="J2551" s="26" t="str">
        <f>IF(OR(E2551="",E2551="!!!",F2551="NEW"),"",COUNTBLANK(OFFSET(A$1,,,SUMPRODUCT(MAX(ROW(E$2:E2551)*(E2551=E$2:E2551)))))-COUNTBLANK(OFFSET(A$1,,,SUMPRODUCT(MAX(ROW(E$1:E2550)*(E2=E$1:E2550))))))</f>
        <v> </v>
      </c>
      <c r="K2551" s="26" t="str">
        <f>IF(OR(E2551="",E2551="!!!",F2551="NEW"),"",INDEX(J$1:J2550,SUMPRODUCT(MAX(ROW(E$1:E2550)*(E2551=E$1:E2550)))))</f>
        <v> </v>
      </c>
      <c r="L2551" s="27"/>
    </row>
    <row r="2552" spans="1:12">
      <c r="A2552" s="20" t="s">
        <v>754</v>
      </c>
      <c r="B2552" s="21" t="s">
        <v>755</v>
      </c>
      <c r="C2552" s="21" t="s">
        <v>756</v>
      </c>
      <c r="E2552" s="22">
        <f>IF(D2552="?OLD","!!!","")</f>
        <v/>
      </c>
      <c r="F2552" s="23" t="str">
        <f>IF(OR(E2552="",E2552="!!!"),"",IF(NOT(ISNA(VLOOKUP(E2552,E$1:E2551,1,FALSE()))),"OLD",IF(AND(E2552&lt;&gt;"",E2552&lt;&gt;"!!!"),"NEW","")))</f>
        <v> </v>
      </c>
      <c r="G2552" s="24" t="str">
        <f>IF(OR(E2552="",E2552="!!!"),"",IF(OR(J2552=0,AND(J2552=1,K2552=1),AND(J2552=1,I2552="SBJ"),AND(J2552=1,I2552=0)),"?IN_FOCUS",IF(J2552&lt;=2,"?ACTIVATED",IF(J2552&lt;&gt;"","?FAMILIAR",IF(F2552="NEW",IF(ISNA(VLOOKUP(E2552,#REF!,1,FALSE())),"?TYPE_IDENTIFIABLE","?REFERENTIAL"),"_")))))</f>
        <v> </v>
      </c>
      <c r="H2552" s="25" t="str">
        <f>IF(J2552&lt;&gt;1,"",IF(I2552="SBJ","CB","?"))</f>
        <v> </v>
      </c>
      <c r="I2552" s="26" t="str">
        <f>IF(OR(E2552="",E2552="!!!",F2552="NEW"),"",INDEX(B2551:B$2,-1+SUMPRODUCT(MAX(ROW(E2551:E$2)*(E2552=E2551:E$2)))))</f>
        <v> </v>
      </c>
      <c r="J2552" s="26" t="str">
        <f>IF(OR(E2552="",E2552="!!!",F2552="NEW"),"",COUNTBLANK(OFFSET(A$1,,,SUMPRODUCT(MAX(ROW(E$2:E2552)*(E2552=E$2:E2552)))))-COUNTBLANK(OFFSET(A$1,,,SUMPRODUCT(MAX(ROW(E$1:E2551)*(E2=E$1:E2551))))))</f>
        <v> </v>
      </c>
      <c r="K2552" s="26" t="str">
        <f>IF(OR(E2552="",E2552="!!!",F2552="NEW"),"",INDEX(J$1:J2551,SUMPRODUCT(MAX(ROW(E$1:E2551)*(E2552=E$1:E2551)))))</f>
        <v> </v>
      </c>
      <c r="L2552" s="27"/>
    </row>
    <row r="2553" spans="1:12">
      <c r="A2553" s="20" t="s">
        <v>757</v>
      </c>
      <c r="E2553" s="22">
        <f>IF(D2553="?OLD","!!!","")</f>
        <v/>
      </c>
      <c r="F2553" s="23" t="str">
        <f>IF(OR(E2553="",E2553="!!!"),"",IF(NOT(ISNA(VLOOKUP(E2553,E$1:E2552,1,FALSE()))),"OLD",IF(AND(E2553&lt;&gt;"",E2553&lt;&gt;"!!!"),"NEW","")))</f>
        <v> </v>
      </c>
      <c r="G2553" s="24" t="str">
        <f>IF(OR(E2553="",E2553="!!!"),"",IF(OR(J2553=0,AND(J2553=1,K2553=1),AND(J2553=1,I2553="SBJ"),AND(J2553=1,I2553=0)),"?IN_FOCUS",IF(J2553&lt;=2,"?ACTIVATED",IF(J2553&lt;&gt;"","?FAMILIAR",IF(F2553="NEW",IF(ISNA(VLOOKUP(E2553,#REF!,1,FALSE())),"?TYPE_IDENTIFIABLE","?REFERENTIAL"),"_")))))</f>
        <v> </v>
      </c>
      <c r="H2553" s="25" t="str">
        <f>IF(J2553&lt;&gt;1,"",IF(I2553="SBJ","CB","?"))</f>
        <v> </v>
      </c>
      <c r="I2553" s="26" t="str">
        <f>IF(OR(E2553="",E2553="!!!",F2553="NEW"),"",INDEX(B2552:B$2,-1+SUMPRODUCT(MAX(ROW(E2552:E$2)*(E2553=E2552:E$2)))))</f>
        <v> </v>
      </c>
      <c r="J2553" s="26" t="str">
        <f>IF(OR(E2553="",E2553="!!!",F2553="NEW"),"",COUNTBLANK(OFFSET(A$1,,,SUMPRODUCT(MAX(ROW(E$2:E2553)*(E2553=E$2:E2553)))))-COUNTBLANK(OFFSET(A$1,,,SUMPRODUCT(MAX(ROW(E$1:E2552)*(E2=E$1:E2552))))))</f>
        <v> </v>
      </c>
      <c r="K2553" s="26" t="str">
        <f>IF(OR(E2553="",E2553="!!!",F2553="NEW"),"",INDEX(J$1:J2552,SUMPRODUCT(MAX(ROW(E$1:E2552)*(E2553=E$1:E2552)))))</f>
        <v> </v>
      </c>
      <c r="L2553" s="27"/>
    </row>
    <row r="2554" spans="1:12">
      <c r="A2554" s="20" t="s">
        <v>1696</v>
      </c>
      <c r="E2554" s="22">
        <f>IF(D2554="?OLD","!!!","")</f>
        <v/>
      </c>
      <c r="F2554" s="23" t="str">
        <f>IF(OR(E2554="",E2554="!!!"),"",IF(NOT(ISNA(VLOOKUP(E2554,E$1:E2553,1,FALSE()))),"OLD",IF(AND(E2554&lt;&gt;"",E2554&lt;&gt;"!!!"),"NEW","")))</f>
        <v> </v>
      </c>
      <c r="G2554" s="24" t="str">
        <f>IF(OR(E2554="",E2554="!!!"),"",IF(OR(J2554=0,AND(J2554=1,K2554=1),AND(J2554=1,I2554="SBJ"),AND(J2554=1,I2554=0)),"?IN_FOCUS",IF(J2554&lt;=2,"?ACTIVATED",IF(J2554&lt;&gt;"","?FAMILIAR",IF(F2554="NEW",IF(ISNA(VLOOKUP(E2554,#REF!,1,FALSE())),"?TYPE_IDENTIFIABLE","?REFERENTIAL"),"_")))))</f>
        <v> </v>
      </c>
      <c r="H2554" s="25" t="str">
        <f>IF(J2554&lt;&gt;1,"",IF(I2554="SBJ","CB","?"))</f>
        <v> </v>
      </c>
      <c r="I2554" s="26" t="str">
        <f>IF(OR(E2554="",E2554="!!!",F2554="NEW"),"",INDEX(B2553:B$2,-1+SUMPRODUCT(MAX(ROW(E2553:E$2)*(E2554=E2553:E$2)))))</f>
        <v> </v>
      </c>
      <c r="J2554" s="26" t="str">
        <f>IF(OR(E2554="",E2554="!!!",F2554="NEW"),"",COUNTBLANK(OFFSET(A$1,,,SUMPRODUCT(MAX(ROW(E$2:E2554)*(E2554=E$2:E2554)))))-COUNTBLANK(OFFSET(A$1,,,SUMPRODUCT(MAX(ROW(E$1:E2553)*(E2=E$1:E2553))))))</f>
        <v> </v>
      </c>
      <c r="K2554" s="26" t="str">
        <f>IF(OR(E2554="",E2554="!!!",F2554="NEW"),"",INDEX(J$1:J2553,SUMPRODUCT(MAX(ROW(E$1:E2553)*(E2554=E$1:E2553)))))</f>
        <v> </v>
      </c>
      <c r="L2554" s="27"/>
    </row>
    <row r="2555" spans="1:12">
      <c r="A2555" s="20" t="s">
        <v>1697</v>
      </c>
      <c r="B2555" s="21" t="s">
        <v>739</v>
      </c>
      <c r="C2555" s="21" t="s">
        <v>753</v>
      </c>
      <c r="D2555" s="21" t="s">
        <v>730</v>
      </c>
      <c r="E2555" s="22">
        <f>IF(D2555="?OLD","!!!","")</f>
        <v/>
      </c>
      <c r="F2555" s="23" t="str">
        <f>IF(OR(E2555="",E2555="!!!"),"",IF(NOT(ISNA(VLOOKUP(E2555,E$1:E2554,1,FALSE()))),"OLD",IF(AND(E2555&lt;&gt;"",E2555&lt;&gt;"!!!"),"NEW","")))</f>
        <v> </v>
      </c>
      <c r="G2555" s="24" t="str">
        <f>IF(OR(E2555="",E2555="!!!"),"",IF(OR(J2555=0,AND(J2555=1,K2555=1),AND(J2555=1,I2555="SBJ"),AND(J2555=1,I2555=0)),"?IN_FOCUS",IF(J2555&lt;=2,"?ACTIVATED",IF(J2555&lt;&gt;"","?FAMILIAR",IF(F2555="NEW",IF(ISNA(VLOOKUP(E2555,#REF!,1,FALSE())),"?TYPE_IDENTIFIABLE","?REFERENTIAL"),"_")))))</f>
        <v> </v>
      </c>
      <c r="H2555" s="25" t="str">
        <f>IF(J2555&lt;&gt;1,"",IF(I2555="SBJ","CB","?"))</f>
        <v> </v>
      </c>
      <c r="I2555" s="26" t="str">
        <f>IF(OR(E2555="",E2555="!!!",F2555="NEW"),"",INDEX(B2554:B$2,-1+SUMPRODUCT(MAX(ROW(E2554:E$2)*(E2555=E2554:E$2)))))</f>
        <v> </v>
      </c>
      <c r="J2555" s="26" t="str">
        <f>IF(OR(E2555="",E2555="!!!",F2555="NEW"),"",COUNTBLANK(OFFSET(A$1,,,SUMPRODUCT(MAX(ROW(E$2:E2555)*(E2555=E$2:E2555)))))-COUNTBLANK(OFFSET(A$1,,,SUMPRODUCT(MAX(ROW(E$1:E2554)*(E2=E$1:E2554))))))</f>
        <v> </v>
      </c>
      <c r="K2555" s="26" t="str">
        <f>IF(OR(E2555="",E2555="!!!",F2555="NEW"),"",INDEX(J$1:J2554,SUMPRODUCT(MAX(ROW(E$1:E2554)*(E2555=E$1:E2554)))))</f>
        <v> </v>
      </c>
      <c r="L2555" s="27"/>
    </row>
    <row r="2556" spans="1:12">
      <c r="A2556" s="20" t="s">
        <v>785</v>
      </c>
      <c r="E2556" s="22">
        <f>IF(D2556="?OLD","!!!","")</f>
        <v/>
      </c>
      <c r="F2556" s="23" t="str">
        <f>IF(OR(E2556="",E2556="!!!"),"",IF(NOT(ISNA(VLOOKUP(E2556,E$1:E2555,1,FALSE()))),"OLD",IF(AND(E2556&lt;&gt;"",E2556&lt;&gt;"!!!"),"NEW","")))</f>
        <v> </v>
      </c>
      <c r="G2556" s="24" t="str">
        <f>IF(OR(E2556="",E2556="!!!"),"",IF(OR(J2556=0,AND(J2556=1,K2556=1),AND(J2556=1,I2556="SBJ"),AND(J2556=1,I2556=0)),"?IN_FOCUS",IF(J2556&lt;=2,"?ACTIVATED",IF(J2556&lt;&gt;"","?FAMILIAR",IF(F2556="NEW",IF(ISNA(VLOOKUP(E2556,#REF!,1,FALSE())),"?TYPE_IDENTIFIABLE","?REFERENTIAL"),"_")))))</f>
        <v> </v>
      </c>
      <c r="H2556" s="25" t="str">
        <f>IF(J2556&lt;&gt;1,"",IF(I2556="SBJ","CB","?"))</f>
        <v> </v>
      </c>
      <c r="I2556" s="26" t="str">
        <f>IF(OR(E2556="",E2556="!!!",F2556="NEW"),"",INDEX(B2555:B$2,-1+SUMPRODUCT(MAX(ROW(E2555:E$2)*(E2556=E2555:E$2)))))</f>
        <v> </v>
      </c>
      <c r="J2556" s="26" t="str">
        <f>IF(OR(E2556="",E2556="!!!",F2556="NEW"),"",COUNTBLANK(OFFSET(A$1,,,SUMPRODUCT(MAX(ROW(E$2:E2556)*(E2556=E$2:E2556)))))-COUNTBLANK(OFFSET(A$1,,,SUMPRODUCT(MAX(ROW(E$1:E2555)*(E2=E$1:E2555))))))</f>
        <v> </v>
      </c>
      <c r="K2556" s="26" t="str">
        <f>IF(OR(E2556="",E2556="!!!",F2556="NEW"),"",INDEX(J$1:J2555,SUMPRODUCT(MAX(ROW(E$1:E2555)*(E2556=E$1:E2555)))))</f>
        <v> </v>
      </c>
      <c r="L2556" s="27"/>
    </row>
    <row r="2557" spans="1:12">
      <c r="A2557" s="20" t="s">
        <v>69</v>
      </c>
      <c r="E2557" s="22">
        <f>IF(D2557="?OLD","!!!","")</f>
        <v/>
      </c>
      <c r="F2557" s="23" t="str">
        <f>IF(OR(E2557="",E2557="!!!"),"",IF(NOT(ISNA(VLOOKUP(E2557,E$1:E2556,1,FALSE()))),"OLD",IF(AND(E2557&lt;&gt;"",E2557&lt;&gt;"!!!"),"NEW","")))</f>
        <v> </v>
      </c>
      <c r="G2557" s="24" t="str">
        <f>IF(OR(E2557="",E2557="!!!"),"",IF(OR(J2557=0,AND(J2557=1,K2557=1),AND(J2557=1,I2557="SBJ"),AND(J2557=1,I2557=0)),"?IN_FOCUS",IF(J2557&lt;=2,"?ACTIVATED",IF(J2557&lt;&gt;"","?FAMILIAR",IF(F2557="NEW",IF(ISNA(VLOOKUP(E2557,#REF!,1,FALSE())),"?TYPE_IDENTIFIABLE","?REFERENTIAL"),"_")))))</f>
        <v> </v>
      </c>
      <c r="H2557" s="25" t="str">
        <f>IF(J2557&lt;&gt;1,"",IF(I2557="SBJ","CB","?"))</f>
        <v> </v>
      </c>
      <c r="I2557" s="26" t="str">
        <f>IF(OR(E2557="",E2557="!!!",F2557="NEW"),"",INDEX(B2556:B$2,-1+SUMPRODUCT(MAX(ROW(E2556:E$2)*(E2557=E2556:E$2)))))</f>
        <v> </v>
      </c>
      <c r="J2557" s="26" t="str">
        <f>IF(OR(E2557="",E2557="!!!",F2557="NEW"),"",COUNTBLANK(OFFSET(A$1,,,SUMPRODUCT(MAX(ROW(E$2:E2557)*(E2557=E$2:E2557)))))-COUNTBLANK(OFFSET(A$1,,,SUMPRODUCT(MAX(ROW(E$1:E2556)*(E2=E$1:E2556))))))</f>
        <v> </v>
      </c>
      <c r="K2557" s="26" t="str">
        <f>IF(OR(E2557="",E2557="!!!",F2557="NEW"),"",INDEX(J$1:J2556,SUMPRODUCT(MAX(ROW(E$1:E2556)*(E2557=E$1:E2556)))))</f>
        <v> </v>
      </c>
      <c r="L2557" s="27"/>
    </row>
    <row r="2558" spans="1:12">
      <c r="A2558" s="20" t="s">
        <v>867</v>
      </c>
      <c r="B2558" s="21" t="s">
        <v>755</v>
      </c>
      <c r="C2558" s="21" t="s">
        <v>746</v>
      </c>
      <c r="D2558" s="21" t="s">
        <v>730</v>
      </c>
      <c r="E2558" s="22">
        <f>IF(D2558="?OLD","!!!","")</f>
        <v/>
      </c>
      <c r="F2558" s="23" t="str">
        <f>IF(OR(E2558="",E2558="!!!"),"",IF(NOT(ISNA(VLOOKUP(E2558,E$1:E2557,1,FALSE()))),"OLD",IF(AND(E2558&lt;&gt;"",E2558&lt;&gt;"!!!"),"NEW","")))</f>
        <v> </v>
      </c>
      <c r="G2558" s="24" t="str">
        <f>IF(OR(E2558="",E2558="!!!"),"",IF(OR(J2558=0,AND(J2558=1,K2558=1),AND(J2558=1,I2558="SBJ"),AND(J2558=1,I2558=0)),"?IN_FOCUS",IF(J2558&lt;=2,"?ACTIVATED",IF(J2558&lt;&gt;"","?FAMILIAR",IF(F2558="NEW",IF(ISNA(VLOOKUP(E2558,#REF!,1,FALSE())),"?TYPE_IDENTIFIABLE","?REFERENTIAL"),"_")))))</f>
        <v> </v>
      </c>
      <c r="H2558" s="25" t="str">
        <f>IF(J2558&lt;&gt;1,"",IF(I2558="SBJ","CB","?"))</f>
        <v> </v>
      </c>
      <c r="I2558" s="26" t="str">
        <f>IF(OR(E2558="",E2558="!!!",F2558="NEW"),"",INDEX(B2557:B$2,-1+SUMPRODUCT(MAX(ROW(E2557:E$2)*(E2558=E2557:E$2)))))</f>
        <v> </v>
      </c>
      <c r="J2558" s="26" t="str">
        <f>IF(OR(E2558="",E2558="!!!",F2558="NEW"),"",COUNTBLANK(OFFSET(A$1,,,SUMPRODUCT(MAX(ROW(E$2:E2558)*(E2558=E$2:E2558)))))-COUNTBLANK(OFFSET(A$1,,,SUMPRODUCT(MAX(ROW(E$1:E2557)*(E2=E$1:E2557))))))</f>
        <v> </v>
      </c>
      <c r="K2558" s="26" t="str">
        <f>IF(OR(E2558="",E2558="!!!",F2558="NEW"),"",INDEX(J$1:J2557,SUMPRODUCT(MAX(ROW(E$1:E2557)*(E2558=E$1:E2557)))))</f>
        <v> </v>
      </c>
      <c r="L2558" s="27"/>
    </row>
    <row r="2559" spans="1:12">
      <c r="A2559" s="20" t="s">
        <v>1698</v>
      </c>
      <c r="E2559" s="22">
        <f>IF(D2559="?OLD","!!!","")</f>
        <v/>
      </c>
      <c r="F2559" s="23" t="str">
        <f>IF(OR(E2559="",E2559="!!!"),"",IF(NOT(ISNA(VLOOKUP(E2559,E$1:E2558,1,FALSE()))),"OLD",IF(AND(E2559&lt;&gt;"",E2559&lt;&gt;"!!!"),"NEW","")))</f>
        <v> </v>
      </c>
      <c r="G2559" s="24" t="str">
        <f>IF(OR(E2559="",E2559="!!!"),"",IF(OR(J2559=0,AND(J2559=1,K2559=1),AND(J2559=1,I2559="SBJ"),AND(J2559=1,I2559=0)),"?IN_FOCUS",IF(J2559&lt;=2,"?ACTIVATED",IF(J2559&lt;&gt;"","?FAMILIAR",IF(F2559="NEW",IF(ISNA(VLOOKUP(E2559,#REF!,1,FALSE())),"?TYPE_IDENTIFIABLE","?REFERENTIAL"),"_")))))</f>
        <v> </v>
      </c>
      <c r="H2559" s="25" t="str">
        <f>IF(J2559&lt;&gt;1,"",IF(I2559="SBJ","CB","?"))</f>
        <v> </v>
      </c>
      <c r="I2559" s="26" t="str">
        <f>IF(OR(E2559="",E2559="!!!",F2559="NEW"),"",INDEX(B2558:B$2,-1+SUMPRODUCT(MAX(ROW(E2558:E$2)*(E2559=E2558:E$2)))))</f>
        <v> </v>
      </c>
      <c r="J2559" s="26" t="str">
        <f>IF(OR(E2559="",E2559="!!!",F2559="NEW"),"",COUNTBLANK(OFFSET(A$1,,,SUMPRODUCT(MAX(ROW(E$2:E2559)*(E2559=E$2:E2559)))))-COUNTBLANK(OFFSET(A$1,,,SUMPRODUCT(MAX(ROW(E$1:E2558)*(E2=E$1:E2558))))))</f>
        <v> </v>
      </c>
      <c r="K2559" s="26" t="str">
        <f>IF(OR(E2559="",E2559="!!!",F2559="NEW"),"",INDEX(J$1:J2558,SUMPRODUCT(MAX(ROW(E$1:E2558)*(E2559=E$1:E2558)))))</f>
        <v> </v>
      </c>
      <c r="L2559" s="27"/>
    </row>
    <row r="2560" spans="1:12">
      <c r="A2560" s="20" t="s">
        <v>12</v>
      </c>
      <c r="E2560" s="22">
        <f>IF(D2560="?OLD","!!!","")</f>
        <v/>
      </c>
      <c r="F2560" s="23" t="str">
        <f>IF(OR(E2560="",E2560="!!!"),"",IF(NOT(ISNA(VLOOKUP(E2560,E$1:E2559,1,FALSE()))),"OLD",IF(AND(E2560&lt;&gt;"",E2560&lt;&gt;"!!!"),"NEW","")))</f>
        <v> </v>
      </c>
      <c r="G2560" s="24" t="str">
        <f>IF(OR(E2560="",E2560="!!!"),"",IF(OR(J2560=0,AND(J2560=1,K2560=1),AND(J2560=1,I2560="SBJ"),AND(J2560=1,I2560=0)),"?IN_FOCUS",IF(J2560&lt;=2,"?ACTIVATED",IF(J2560&lt;&gt;"","?FAMILIAR",IF(F2560="NEW",IF(ISNA(VLOOKUP(E2560,#REF!,1,FALSE())),"?TYPE_IDENTIFIABLE","?REFERENTIAL"),"_")))))</f>
        <v> </v>
      </c>
      <c r="H2560" s="25" t="str">
        <f>IF(J2560&lt;&gt;1,"",IF(I2560="SBJ","CB","?"))</f>
        <v> </v>
      </c>
      <c r="I2560" s="26" t="str">
        <f>IF(OR(E2560="",E2560="!!!",F2560="NEW"),"",INDEX(B2559:B$2,-1+SUMPRODUCT(MAX(ROW(E2559:E$2)*(E2560=E2559:E$2)))))</f>
        <v> </v>
      </c>
      <c r="J2560" s="26" t="str">
        <f>IF(OR(E2560="",E2560="!!!",F2560="NEW"),"",COUNTBLANK(OFFSET(A$1,,,SUMPRODUCT(MAX(ROW(E$2:E2560)*(E2560=E$2:E2560)))))-COUNTBLANK(OFFSET(A$1,,,SUMPRODUCT(MAX(ROW(E$1:E2559)*(E2=E$1:E2559))))))</f>
        <v> </v>
      </c>
      <c r="K2560" s="26" t="str">
        <f>IF(OR(E2560="",E2560="!!!",F2560="NEW"),"",INDEX(J$1:J2559,SUMPRODUCT(MAX(ROW(E$1:E2559)*(E2560=E$1:E2559)))))</f>
        <v> </v>
      </c>
      <c r="L2560" s="27"/>
    </row>
    <row r="2561" spans="1:12">
      <c r="A2561" s="20" t="s">
        <v>1699</v>
      </c>
      <c r="B2561" s="21" t="s">
        <v>791</v>
      </c>
      <c r="C2561" s="21" t="s">
        <v>748</v>
      </c>
      <c r="E2561" s="22">
        <f>IF(D2561="?OLD","!!!","")</f>
        <v/>
      </c>
      <c r="F2561" s="23" t="str">
        <f>IF(OR(E2561="",E2561="!!!"),"",IF(NOT(ISNA(VLOOKUP(E2561,E$1:E2560,1,FALSE()))),"OLD",IF(AND(E2561&lt;&gt;"",E2561&lt;&gt;"!!!"),"NEW","")))</f>
        <v> </v>
      </c>
      <c r="G2561" s="24" t="str">
        <f>IF(OR(E2561="",E2561="!!!"),"",IF(OR(J2561=0,AND(J2561=1,K2561=1),AND(J2561=1,I2561="SBJ"),AND(J2561=1,I2561=0)),"?IN_FOCUS",IF(J2561&lt;=2,"?ACTIVATED",IF(J2561&lt;&gt;"","?FAMILIAR",IF(F2561="NEW",IF(ISNA(VLOOKUP(E2561,#REF!,1,FALSE())),"?TYPE_IDENTIFIABLE","?REFERENTIAL"),"_")))))</f>
        <v> </v>
      </c>
      <c r="H2561" s="25" t="str">
        <f>IF(J2561&lt;&gt;1,"",IF(I2561="SBJ","CB","?"))</f>
        <v> </v>
      </c>
      <c r="I2561" s="26" t="str">
        <f>IF(OR(E2561="",E2561="!!!",F2561="NEW"),"",INDEX(B2560:B$2,-1+SUMPRODUCT(MAX(ROW(E2560:E$2)*(E2561=E2560:E$2)))))</f>
        <v> </v>
      </c>
      <c r="J2561" s="26" t="str">
        <f>IF(OR(E2561="",E2561="!!!",F2561="NEW"),"",COUNTBLANK(OFFSET(A$1,,,SUMPRODUCT(MAX(ROW(E$2:E2561)*(E2561=E$2:E2561)))))-COUNTBLANK(OFFSET(A$1,,,SUMPRODUCT(MAX(ROW(E$1:E2560)*(E2=E$1:E2560))))))</f>
        <v> </v>
      </c>
      <c r="K2561" s="26" t="str">
        <f>IF(OR(E2561="",E2561="!!!",F2561="NEW"),"",INDEX(J$1:J2560,SUMPRODUCT(MAX(ROW(E$1:E2560)*(E2561=E$1:E2560)))))</f>
        <v> </v>
      </c>
      <c r="L2561" s="27"/>
    </row>
    <row r="2562" spans="1:12">
      <c r="A2562" s="20" t="s">
        <v>732</v>
      </c>
      <c r="E2562" s="22">
        <f>IF(D2562="?OLD","!!!","")</f>
        <v/>
      </c>
      <c r="F2562" s="23" t="str">
        <f>IF(OR(E2562="",E2562="!!!"),"",IF(NOT(ISNA(VLOOKUP(E2562,E$1:E2561,1,FALSE()))),"OLD",IF(AND(E2562&lt;&gt;"",E2562&lt;&gt;"!!!"),"NEW","")))</f>
        <v> </v>
      </c>
      <c r="G2562" s="24" t="str">
        <f>IF(OR(E2562="",E2562="!!!"),"",IF(OR(J2562=0,AND(J2562=1,K2562=1),AND(J2562=1,I2562="SBJ"),AND(J2562=1,I2562=0)),"?IN_FOCUS",IF(J2562&lt;=2,"?ACTIVATED",IF(J2562&lt;&gt;"","?FAMILIAR",IF(F2562="NEW",IF(ISNA(VLOOKUP(E2562,#REF!,1,FALSE())),"?TYPE_IDENTIFIABLE","?REFERENTIAL"),"_")))))</f>
        <v> </v>
      </c>
      <c r="H2562" s="25" t="str">
        <f>IF(J2562&lt;&gt;1,"",IF(I2562="SBJ","CB","?"))</f>
        <v> </v>
      </c>
      <c r="I2562" s="26" t="str">
        <f>IF(OR(E2562="",E2562="!!!",F2562="NEW"),"",INDEX(B2561:B$2,-1+SUMPRODUCT(MAX(ROW(E2561:E$2)*(E2562=E2561:E$2)))))</f>
        <v> </v>
      </c>
      <c r="J2562" s="26" t="str">
        <f>IF(OR(E2562="",E2562="!!!",F2562="NEW"),"",COUNTBLANK(OFFSET(A$1,,,SUMPRODUCT(MAX(ROW(E$2:E2562)*(E2562=E$2:E2562)))))-COUNTBLANK(OFFSET(A$1,,,SUMPRODUCT(MAX(ROW(E$1:E2561)*(E2=E$1:E2561))))))</f>
        <v> </v>
      </c>
      <c r="K2562" s="26" t="str">
        <f>IF(OR(E2562="",E2562="!!!",F2562="NEW"),"",INDEX(J$1:J2561,SUMPRODUCT(MAX(ROW(E$1:E2561)*(E2562=E$1:E2561)))))</f>
        <v> </v>
      </c>
      <c r="L2562" s="27"/>
    </row>
    <row r="2563" spans="1:12">
      <c r="A2563" s="20" t="s">
        <v>246</v>
      </c>
      <c r="E2563" s="22">
        <f>IF(D2563="?OLD","!!!","")</f>
        <v/>
      </c>
      <c r="F2563" s="23" t="str">
        <f>IF(OR(E2563="",E2563="!!!"),"",IF(NOT(ISNA(VLOOKUP(E2563,E$1:E2562,1,FALSE()))),"OLD",IF(AND(E2563&lt;&gt;"",E2563&lt;&gt;"!!!"),"NEW","")))</f>
        <v> </v>
      </c>
      <c r="G2563" s="24" t="str">
        <f>IF(OR(E2563="",E2563="!!!"),"",IF(OR(J2563=0,AND(J2563=1,K2563=1),AND(J2563=1,I2563="SBJ"),AND(J2563=1,I2563=0)),"?IN_FOCUS",IF(J2563&lt;=2,"?ACTIVATED",IF(J2563&lt;&gt;"","?FAMILIAR",IF(F2563="NEW",IF(ISNA(VLOOKUP(E2563,#REF!,1,FALSE())),"?TYPE_IDENTIFIABLE","?REFERENTIAL"),"_")))))</f>
        <v> </v>
      </c>
      <c r="H2563" s="25" t="str">
        <f>IF(J2563&lt;&gt;1,"",IF(I2563="SBJ","CB","?"))</f>
        <v> </v>
      </c>
      <c r="I2563" s="26" t="str">
        <f>IF(OR(E2563="",E2563="!!!",F2563="NEW"),"",INDEX(B2562:B$2,-1+SUMPRODUCT(MAX(ROW(E2562:E$2)*(E2563=E2562:E$2)))))</f>
        <v> </v>
      </c>
      <c r="J2563" s="26" t="str">
        <f>IF(OR(E2563="",E2563="!!!",F2563="NEW"),"",COUNTBLANK(OFFSET(A$1,,,SUMPRODUCT(MAX(ROW(E$2:E2563)*(E2563=E$2:E2563)))))-COUNTBLANK(OFFSET(A$1,,,SUMPRODUCT(MAX(ROW(E$1:E2562)*(E2=E$1:E2562))))))</f>
        <v> </v>
      </c>
      <c r="K2563" s="26" t="str">
        <f>IF(OR(E2563="",E2563="!!!",F2563="NEW"),"",INDEX(J$1:J2562,SUMPRODUCT(MAX(ROW(E$1:E2562)*(E2563=E$1:E2562)))))</f>
        <v> </v>
      </c>
      <c r="L2563" s="27"/>
    </row>
    <row r="2564" spans="1:12">
      <c r="A2564" s="20"/>
    </row>
    <row r="2565" spans="1:12">
      <c r="A2565" s="20" t="s">
        <v>1700</v>
      </c>
    </row>
    <row r="2566" spans="1:12">
      <c r="A2566" s="20" t="s">
        <v>883</v>
      </c>
      <c r="B2566" s="21" t="s">
        <v>728</v>
      </c>
      <c r="C2566" s="21" t="s">
        <v>789</v>
      </c>
      <c r="D2566" s="21" t="s">
        <v>730</v>
      </c>
      <c r="E2566" s="22">
        <f>IF(D2566="?OLD","!!!","")</f>
        <v/>
      </c>
      <c r="F2566" s="23" t="str">
        <f>IF(OR(E2566="",E2566="!!!"),"",IF(NOT(ISNA(VLOOKUP(E2566,E$1:E2565,1,FALSE()))),"OLD",IF(AND(E2566&lt;&gt;"",E2566&lt;&gt;"!!!"),"NEW","")))</f>
        <v> </v>
      </c>
      <c r="G2566" s="24" t="str">
        <f>IF(OR(E2566="",E2566="!!!"),"",IF(OR(J2566=0,AND(J2566=1,K2566=1),AND(J2566=1,I2566="SBJ"),AND(J2566=1,I2566=0)),"?IN_FOCUS",IF(J2566&lt;=2,"?ACTIVATED",IF(J2566&lt;&gt;"","?FAMILIAR",IF(F2566="NEW",IF(ISNA(VLOOKUP(E2566,#REF!,1,FALSE())),"?TYPE_IDENTIFIABLE","?REFERENTIAL"),"_")))))</f>
        <v> </v>
      </c>
      <c r="H2566" s="25" t="str">
        <f>IF(J2566&lt;&gt;1,"",IF(I2566="SBJ","CB","?"))</f>
        <v> </v>
      </c>
      <c r="I2566" s="26" t="str">
        <f>IF(OR(E2566="",E2566="!!!",F2566="NEW"),"",INDEX(B2565:B$2,-1+SUMPRODUCT(MAX(ROW(E2565:E$2)*(E2566=E2565:E$2)))))</f>
        <v> </v>
      </c>
      <c r="J2566" s="26" t="str">
        <f>IF(OR(E2566="",E2566="!!!",F2566="NEW"),"",COUNTBLANK(OFFSET(A$1,,,SUMPRODUCT(MAX(ROW(E$2:E2566)*(E2566=E$2:E2566)))))-COUNTBLANK(OFFSET(A$1,,,SUMPRODUCT(MAX(ROW(E$1:E2565)*(E2=E$1:E2565))))))</f>
        <v> </v>
      </c>
      <c r="K2566" s="26" t="str">
        <f>IF(OR(E2566="",E2566="!!!",F2566="NEW"),"",INDEX(J$1:J2565,SUMPRODUCT(MAX(ROW(E$1:E2565)*(E2566=E$1:E2565)))))</f>
        <v> </v>
      </c>
      <c r="L2566" s="27"/>
    </row>
    <row r="2567" spans="1:12">
      <c r="A2567" s="20" t="s">
        <v>811</v>
      </c>
      <c r="E2567" s="22">
        <f>IF(D2567="?OLD","!!!","")</f>
        <v/>
      </c>
      <c r="F2567" s="23" t="str">
        <f>IF(OR(E2567="",E2567="!!!"),"",IF(NOT(ISNA(VLOOKUP(E2567,E$1:E2566,1,FALSE()))),"OLD",IF(AND(E2567&lt;&gt;"",E2567&lt;&gt;"!!!"),"NEW","")))</f>
        <v> </v>
      </c>
      <c r="G2567" s="24" t="str">
        <f>IF(OR(E2567="",E2567="!!!"),"",IF(OR(J2567=0,AND(J2567=1,K2567=1),AND(J2567=1,I2567="SBJ"),AND(J2567=1,I2567=0)),"?IN_FOCUS",IF(J2567&lt;=2,"?ACTIVATED",IF(J2567&lt;&gt;"","?FAMILIAR",IF(F2567="NEW",IF(ISNA(VLOOKUP(E2567,#REF!,1,FALSE())),"?TYPE_IDENTIFIABLE","?REFERENTIAL"),"_")))))</f>
        <v> </v>
      </c>
      <c r="H2567" s="25" t="str">
        <f>IF(J2567&lt;&gt;1,"",IF(I2567="SBJ","CB","?"))</f>
        <v> </v>
      </c>
      <c r="I2567" s="26" t="str">
        <f>IF(OR(E2567="",E2567="!!!",F2567="NEW"),"",INDEX(B2566:B$2,-1+SUMPRODUCT(MAX(ROW(E2566:E$2)*(E2567=E2566:E$2)))))</f>
        <v> </v>
      </c>
      <c r="J2567" s="26" t="str">
        <f>IF(OR(E2567="",E2567="!!!",F2567="NEW"),"",COUNTBLANK(OFFSET(A$1,,,SUMPRODUCT(MAX(ROW(E$2:E2567)*(E2567=E$2:E2567)))))-COUNTBLANK(OFFSET(A$1,,,SUMPRODUCT(MAX(ROW(E$1:E2566)*(E2=E$1:E2566))))))</f>
        <v> </v>
      </c>
      <c r="K2567" s="26" t="str">
        <f>IF(OR(E2567="",E2567="!!!",F2567="NEW"),"",INDEX(J$1:J2566,SUMPRODUCT(MAX(ROW(E$1:E2566)*(E2567=E$1:E2566)))))</f>
        <v> </v>
      </c>
      <c r="L2567" s="27"/>
    </row>
    <row r="2568" spans="1:12">
      <c r="A2568" s="20" t="s">
        <v>998</v>
      </c>
      <c r="E2568" s="22">
        <f>IF(D2568="?OLD","!!!","")</f>
        <v/>
      </c>
      <c r="F2568" s="23" t="str">
        <f>IF(OR(E2568="",E2568="!!!"),"",IF(NOT(ISNA(VLOOKUP(E2568,E$1:E2567,1,FALSE()))),"OLD",IF(AND(E2568&lt;&gt;"",E2568&lt;&gt;"!!!"),"NEW","")))</f>
        <v> </v>
      </c>
      <c r="G2568" s="24" t="str">
        <f>IF(OR(E2568="",E2568="!!!"),"",IF(OR(J2568=0,AND(J2568=1,K2568=1),AND(J2568=1,I2568="SBJ"),AND(J2568=1,I2568=0)),"?IN_FOCUS",IF(J2568&lt;=2,"?ACTIVATED",IF(J2568&lt;&gt;"","?FAMILIAR",IF(F2568="NEW",IF(ISNA(VLOOKUP(E2568,#REF!,1,FALSE())),"?TYPE_IDENTIFIABLE","?REFERENTIAL"),"_")))))</f>
        <v> </v>
      </c>
      <c r="H2568" s="25" t="str">
        <f>IF(J2568&lt;&gt;1,"",IF(I2568="SBJ","CB","?"))</f>
        <v> </v>
      </c>
      <c r="I2568" s="26" t="str">
        <f>IF(OR(E2568="",E2568="!!!",F2568="NEW"),"",INDEX(B2567:B$2,-1+SUMPRODUCT(MAX(ROW(E2567:E$2)*(E2568=E2567:E$2)))))</f>
        <v> </v>
      </c>
      <c r="J2568" s="26" t="str">
        <f>IF(OR(E2568="",E2568="!!!",F2568="NEW"),"",COUNTBLANK(OFFSET(A$1,,,SUMPRODUCT(MAX(ROW(E$2:E2568)*(E2568=E$2:E2568)))))-COUNTBLANK(OFFSET(A$1,,,SUMPRODUCT(MAX(ROW(E$1:E2567)*(E2=E$1:E2567))))))</f>
        <v> </v>
      </c>
      <c r="K2568" s="26" t="str">
        <f>IF(OR(E2568="",E2568="!!!",F2568="NEW"),"",INDEX(J$1:J2567,SUMPRODUCT(MAX(ROW(E$1:E2567)*(E2568=E$1:E2567)))))</f>
        <v> </v>
      </c>
      <c r="L2568" s="27"/>
    </row>
    <row r="2569" spans="1:12">
      <c r="A2569" s="20" t="s">
        <v>246</v>
      </c>
      <c r="E2569" s="22">
        <f>IF(D2569="?OLD","!!!","")</f>
        <v/>
      </c>
      <c r="F2569" s="23" t="str">
        <f>IF(OR(E2569="",E2569="!!!"),"",IF(NOT(ISNA(VLOOKUP(E2569,E$1:E2568,1,FALSE()))),"OLD",IF(AND(E2569&lt;&gt;"",E2569&lt;&gt;"!!!"),"NEW","")))</f>
        <v> </v>
      </c>
      <c r="G2569" s="24" t="str">
        <f>IF(OR(E2569="",E2569="!!!"),"",IF(OR(J2569=0,AND(J2569=1,K2569=1),AND(J2569=1,I2569="SBJ"),AND(J2569=1,I2569=0)),"?IN_FOCUS",IF(J2569&lt;=2,"?ACTIVATED",IF(J2569&lt;&gt;"","?FAMILIAR",IF(F2569="NEW",IF(ISNA(VLOOKUP(E2569,#REF!,1,FALSE())),"?TYPE_IDENTIFIABLE","?REFERENTIAL"),"_")))))</f>
        <v> </v>
      </c>
      <c r="H2569" s="25" t="str">
        <f>IF(J2569&lt;&gt;1,"",IF(I2569="SBJ","CB","?"))</f>
        <v> </v>
      </c>
      <c r="I2569" s="26" t="str">
        <f>IF(OR(E2569="",E2569="!!!",F2569="NEW"),"",INDEX(B2568:B$2,-1+SUMPRODUCT(MAX(ROW(E2568:E$2)*(E2569=E2568:E$2)))))</f>
        <v> </v>
      </c>
      <c r="J2569" s="26" t="str">
        <f>IF(OR(E2569="",E2569="!!!",F2569="NEW"),"",COUNTBLANK(OFFSET(A$1,,,SUMPRODUCT(MAX(ROW(E$2:E2569)*(E2569=E$2:E2569)))))-COUNTBLANK(OFFSET(A$1,,,SUMPRODUCT(MAX(ROW(E$1:E2568)*(E2=E$1:E2568))))))</f>
        <v> </v>
      </c>
      <c r="K2569" s="26" t="str">
        <f>IF(OR(E2569="",E2569="!!!",F2569="NEW"),"",INDEX(J$1:J2568,SUMPRODUCT(MAX(ROW(E$1:E2568)*(E2569=E$1:E2568)))))</f>
        <v> </v>
      </c>
      <c r="L2569" s="27"/>
    </row>
    <row r="2570" spans="1:12">
      <c r="A2570" s="20"/>
    </row>
    <row r="2571" spans="1:12">
      <c r="A2571" s="20" t="s">
        <v>1701</v>
      </c>
    </row>
    <row r="2572" spans="1:12">
      <c r="A2572" s="20" t="s">
        <v>994</v>
      </c>
      <c r="E2572" s="22">
        <f>IF(D2572="?OLD","!!!","")</f>
        <v/>
      </c>
      <c r="F2572" s="23" t="str">
        <f>IF(OR(E2572="",E2572="!!!"),"",IF(NOT(ISNA(VLOOKUP(E2572,E$1:E2571,1,FALSE()))),"OLD",IF(AND(E2572&lt;&gt;"",E2572&lt;&gt;"!!!"),"NEW","")))</f>
        <v> </v>
      </c>
      <c r="G2572" s="24" t="str">
        <f>IF(OR(E2572="",E2572="!!!"),"",IF(OR(J2572=0,AND(J2572=1,K2572=1),AND(J2572=1,I2572="SBJ"),AND(J2572=1,I2572=0)),"?IN_FOCUS",IF(J2572&lt;=2,"?ACTIVATED",IF(J2572&lt;&gt;"","?FAMILIAR",IF(F2572="NEW",IF(ISNA(VLOOKUP(E2572,#REF!,1,FALSE())),"?TYPE_IDENTIFIABLE","?REFERENTIAL"),"_")))))</f>
        <v> </v>
      </c>
      <c r="H2572" s="25" t="str">
        <f>IF(J2572&lt;&gt;1,"",IF(I2572="SBJ","CB","?"))</f>
        <v> </v>
      </c>
      <c r="I2572" s="26" t="str">
        <f>IF(OR(E2572="",E2572="!!!",F2572="NEW"),"",INDEX(B2571:B$2,-1+SUMPRODUCT(MAX(ROW(E2571:E$2)*(E2572=E2571:E$2)))))</f>
        <v> </v>
      </c>
      <c r="J2572" s="26" t="str">
        <f>IF(OR(E2572="",E2572="!!!",F2572="NEW"),"",COUNTBLANK(OFFSET(A$1,,,SUMPRODUCT(MAX(ROW(E$2:E2572)*(E2572=E$2:E2572)))))-COUNTBLANK(OFFSET(A$1,,,SUMPRODUCT(MAX(ROW(E$1:E2571)*(E2=E$1:E2571))))))</f>
        <v> </v>
      </c>
      <c r="K2572" s="26" t="str">
        <f>IF(OR(E2572="",E2572="!!!",F2572="NEW"),"",INDEX(J$1:J2571,SUMPRODUCT(MAX(ROW(E$1:E2571)*(E2572=E$1:E2571)))))</f>
        <v> </v>
      </c>
      <c r="L2572" s="27"/>
    </row>
    <row r="2573" spans="1:12">
      <c r="A2573" s="20" t="s">
        <v>972</v>
      </c>
      <c r="E2573" s="22">
        <f>IF(D2573="?OLD","!!!","")</f>
        <v/>
      </c>
      <c r="F2573" s="23" t="str">
        <f>IF(OR(E2573="",E2573="!!!"),"",IF(NOT(ISNA(VLOOKUP(E2573,E$1:E2572,1,FALSE()))),"OLD",IF(AND(E2573&lt;&gt;"",E2573&lt;&gt;"!!!"),"NEW","")))</f>
        <v> </v>
      </c>
      <c r="G2573" s="24" t="str">
        <f>IF(OR(E2573="",E2573="!!!"),"",IF(OR(J2573=0,AND(J2573=1,K2573=1),AND(J2573=1,I2573="SBJ"),AND(J2573=1,I2573=0)),"?IN_FOCUS",IF(J2573&lt;=2,"?ACTIVATED",IF(J2573&lt;&gt;"","?FAMILIAR",IF(F2573="NEW",IF(ISNA(VLOOKUP(E2573,#REF!,1,FALSE())),"?TYPE_IDENTIFIABLE","?REFERENTIAL"),"_")))))</f>
        <v> </v>
      </c>
      <c r="H2573" s="25" t="str">
        <f>IF(J2573&lt;&gt;1,"",IF(I2573="SBJ","CB","?"))</f>
        <v> </v>
      </c>
      <c r="I2573" s="26" t="str">
        <f>IF(OR(E2573="",E2573="!!!",F2573="NEW"),"",INDEX(B2572:B$2,-1+SUMPRODUCT(MAX(ROW(E2572:E$2)*(E2573=E2572:E$2)))))</f>
        <v> </v>
      </c>
      <c r="J2573" s="26" t="str">
        <f>IF(OR(E2573="",E2573="!!!",F2573="NEW"),"",COUNTBLANK(OFFSET(A$1,,,SUMPRODUCT(MAX(ROW(E$2:E2573)*(E2573=E$2:E2573)))))-COUNTBLANK(OFFSET(A$1,,,SUMPRODUCT(MAX(ROW(E$1:E2572)*(E2=E$1:E2572))))))</f>
        <v> </v>
      </c>
      <c r="K2573" s="26" t="str">
        <f>IF(OR(E2573="",E2573="!!!",F2573="NEW"),"",INDEX(J$1:J2572,SUMPRODUCT(MAX(ROW(E$1:E2572)*(E2573=E$1:E2572)))))</f>
        <v> </v>
      </c>
      <c r="L2573" s="27"/>
    </row>
    <row r="2574" spans="1:12">
      <c r="A2574" s="20" t="s">
        <v>751</v>
      </c>
      <c r="E2574" s="22">
        <f>IF(D2574="?OLD","!!!","")</f>
        <v/>
      </c>
      <c r="F2574" s="23" t="str">
        <f>IF(OR(E2574="",E2574="!!!"),"",IF(NOT(ISNA(VLOOKUP(E2574,E$1:E2573,1,FALSE()))),"OLD",IF(AND(E2574&lt;&gt;"",E2574&lt;&gt;"!!!"),"NEW","")))</f>
        <v> </v>
      </c>
      <c r="G2574" s="24" t="str">
        <f>IF(OR(E2574="",E2574="!!!"),"",IF(OR(J2574=0,AND(J2574=1,K2574=1),AND(J2574=1,I2574="SBJ"),AND(J2574=1,I2574=0)),"?IN_FOCUS",IF(J2574&lt;=2,"?ACTIVATED",IF(J2574&lt;&gt;"","?FAMILIAR",IF(F2574="NEW",IF(ISNA(VLOOKUP(E2574,#REF!,1,FALSE())),"?TYPE_IDENTIFIABLE","?REFERENTIAL"),"_")))))</f>
        <v> </v>
      </c>
      <c r="H2574" s="25" t="str">
        <f>IF(J2574&lt;&gt;1,"",IF(I2574="SBJ","CB","?"))</f>
        <v> </v>
      </c>
      <c r="I2574" s="26" t="str">
        <f>IF(OR(E2574="",E2574="!!!",F2574="NEW"),"",INDEX(B2573:B$2,-1+SUMPRODUCT(MAX(ROW(E2573:E$2)*(E2574=E2573:E$2)))))</f>
        <v> </v>
      </c>
      <c r="J2574" s="26" t="str">
        <f>IF(OR(E2574="",E2574="!!!",F2574="NEW"),"",COUNTBLANK(OFFSET(A$1,,,SUMPRODUCT(MAX(ROW(E$2:E2574)*(E2574=E$2:E2574)))))-COUNTBLANK(OFFSET(A$1,,,SUMPRODUCT(MAX(ROW(E$1:E2573)*(E2=E$1:E2573))))))</f>
        <v> </v>
      </c>
      <c r="K2574" s="26" t="str">
        <f>IF(OR(E2574="",E2574="!!!",F2574="NEW"),"",INDEX(J$1:J2573,SUMPRODUCT(MAX(ROW(E$1:E2573)*(E2574=E$1:E2573)))))</f>
        <v> </v>
      </c>
      <c r="L2574" s="27"/>
    </row>
    <row r="2575" spans="1:12">
      <c r="A2575" s="20" t="s">
        <v>1702</v>
      </c>
      <c r="B2575" s="21" t="s">
        <v>736</v>
      </c>
      <c r="C2575" s="21" t="s">
        <v>753</v>
      </c>
      <c r="D2575" s="21" t="s">
        <v>730</v>
      </c>
      <c r="E2575" s="22">
        <f>IF(D2575="?OLD","!!!","")</f>
        <v/>
      </c>
      <c r="F2575" s="23" t="str">
        <f>IF(OR(E2575="",E2575="!!!"),"",IF(NOT(ISNA(VLOOKUP(E2575,E$1:E2574,1,FALSE()))),"OLD",IF(AND(E2575&lt;&gt;"",E2575&lt;&gt;"!!!"),"NEW","")))</f>
        <v> </v>
      </c>
      <c r="G2575" s="24" t="str">
        <f>IF(OR(E2575="",E2575="!!!"),"",IF(OR(J2575=0,AND(J2575=1,K2575=1),AND(J2575=1,I2575="SBJ"),AND(J2575=1,I2575=0)),"?IN_FOCUS",IF(J2575&lt;=2,"?ACTIVATED",IF(J2575&lt;&gt;"","?FAMILIAR",IF(F2575="NEW",IF(ISNA(VLOOKUP(E2575,#REF!,1,FALSE())),"?TYPE_IDENTIFIABLE","?REFERENTIAL"),"_")))))</f>
        <v> </v>
      </c>
      <c r="H2575" s="25" t="str">
        <f>IF(J2575&lt;&gt;1,"",IF(I2575="SBJ","CB","?"))</f>
        <v> </v>
      </c>
      <c r="I2575" s="26" t="str">
        <f>IF(OR(E2575="",E2575="!!!",F2575="NEW"),"",INDEX(B2574:B$2,-1+SUMPRODUCT(MAX(ROW(E2574:E$2)*(E2575=E2574:E$2)))))</f>
        <v> </v>
      </c>
      <c r="J2575" s="26" t="str">
        <f>IF(OR(E2575="",E2575="!!!",F2575="NEW"),"",COUNTBLANK(OFFSET(A$1,,,SUMPRODUCT(MAX(ROW(E$2:E2575)*(E2575=E$2:E2575)))))-COUNTBLANK(OFFSET(A$1,,,SUMPRODUCT(MAX(ROW(E$1:E2574)*(E2=E$1:E2574))))))</f>
        <v> </v>
      </c>
      <c r="K2575" s="26" t="str">
        <f>IF(OR(E2575="",E2575="!!!",F2575="NEW"),"",INDEX(J$1:J2574,SUMPRODUCT(MAX(ROW(E$1:E2574)*(E2575=E$1:E2574)))))</f>
        <v> </v>
      </c>
      <c r="L2575" s="27"/>
    </row>
    <row r="2576" spans="1:12">
      <c r="A2576" s="20" t="s">
        <v>1703</v>
      </c>
      <c r="E2576" s="22">
        <f>IF(D2576="?OLD","!!!","")</f>
        <v/>
      </c>
      <c r="F2576" s="23" t="str">
        <f>IF(OR(E2576="",E2576="!!!"),"",IF(NOT(ISNA(VLOOKUP(E2576,E$1:E2575,1,FALSE()))),"OLD",IF(AND(E2576&lt;&gt;"",E2576&lt;&gt;"!!!"),"NEW","")))</f>
        <v> </v>
      </c>
      <c r="G2576" s="24" t="str">
        <f>IF(OR(E2576="",E2576="!!!"),"",IF(OR(J2576=0,AND(J2576=1,K2576=1),AND(J2576=1,I2576="SBJ"),AND(J2576=1,I2576=0)),"?IN_FOCUS",IF(J2576&lt;=2,"?ACTIVATED",IF(J2576&lt;&gt;"","?FAMILIAR",IF(F2576="NEW",IF(ISNA(VLOOKUP(E2576,#REF!,1,FALSE())),"?TYPE_IDENTIFIABLE","?REFERENTIAL"),"_")))))</f>
        <v> </v>
      </c>
      <c r="H2576" s="25" t="str">
        <f>IF(J2576&lt;&gt;1,"",IF(I2576="SBJ","CB","?"))</f>
        <v> </v>
      </c>
      <c r="I2576" s="26" t="str">
        <f>IF(OR(E2576="",E2576="!!!",F2576="NEW"),"",INDEX(B2575:B$2,-1+SUMPRODUCT(MAX(ROW(E2575:E$2)*(E2576=E2575:E$2)))))</f>
        <v> </v>
      </c>
      <c r="J2576" s="26" t="str">
        <f>IF(OR(E2576="",E2576="!!!",F2576="NEW"),"",COUNTBLANK(OFFSET(A$1,,,SUMPRODUCT(MAX(ROW(E$2:E2576)*(E2576=E$2:E2576)))))-COUNTBLANK(OFFSET(A$1,,,SUMPRODUCT(MAX(ROW(E$1:E2575)*(E2=E$1:E2575))))))</f>
        <v> </v>
      </c>
      <c r="K2576" s="26" t="str">
        <f>IF(OR(E2576="",E2576="!!!",F2576="NEW"),"",INDEX(J$1:J2575,SUMPRODUCT(MAX(ROW(E$1:E2575)*(E2576=E$1:E2575)))))</f>
        <v> </v>
      </c>
      <c r="L2576" s="27"/>
    </row>
    <row r="2577" spans="1:12">
      <c r="A2577" s="20" t="s">
        <v>899</v>
      </c>
      <c r="B2577" s="21" t="s">
        <v>728</v>
      </c>
      <c r="C2577" s="21" t="s">
        <v>729</v>
      </c>
      <c r="D2577" s="21" t="s">
        <v>730</v>
      </c>
      <c r="E2577" s="22">
        <f>IF(D2577="?OLD","!!!","")</f>
        <v/>
      </c>
      <c r="F2577" s="23" t="str">
        <f>IF(OR(E2577="",E2577="!!!"),"",IF(NOT(ISNA(VLOOKUP(E2577,E$1:E2576,1,FALSE()))),"OLD",IF(AND(E2577&lt;&gt;"",E2577&lt;&gt;"!!!"),"NEW","")))</f>
        <v> </v>
      </c>
      <c r="G2577" s="24" t="str">
        <f>IF(OR(E2577="",E2577="!!!"),"",IF(OR(J2577=0,AND(J2577=1,K2577=1),AND(J2577=1,I2577="SBJ"),AND(J2577=1,I2577=0)),"?IN_FOCUS",IF(J2577&lt;=2,"?ACTIVATED",IF(J2577&lt;&gt;"","?FAMILIAR",IF(F2577="NEW",IF(ISNA(VLOOKUP(E2577,#REF!,1,FALSE())),"?TYPE_IDENTIFIABLE","?REFERENTIAL"),"_")))))</f>
        <v> </v>
      </c>
      <c r="H2577" s="25" t="str">
        <f>IF(J2577&lt;&gt;1,"",IF(I2577="SBJ","CB","?"))</f>
        <v> </v>
      </c>
      <c r="I2577" s="26" t="str">
        <f>IF(OR(E2577="",E2577="!!!",F2577="NEW"),"",INDEX(B2576:B$2,-1+SUMPRODUCT(MAX(ROW(E2576:E$2)*(E2577=E2576:E$2)))))</f>
        <v> </v>
      </c>
      <c r="J2577" s="26" t="str">
        <f>IF(OR(E2577="",E2577="!!!",F2577="NEW"),"",COUNTBLANK(OFFSET(A$1,,,SUMPRODUCT(MAX(ROW(E$2:E2577)*(E2577=E$2:E2577)))))-COUNTBLANK(OFFSET(A$1,,,SUMPRODUCT(MAX(ROW(E$1:E2576)*(E2=E$1:E2576))))))</f>
        <v> </v>
      </c>
      <c r="K2577" s="26" t="str">
        <f>IF(OR(E2577="",E2577="!!!",F2577="NEW"),"",INDEX(J$1:J2576,SUMPRODUCT(MAX(ROW(E$1:E2576)*(E2577=E$1:E2576)))))</f>
        <v> </v>
      </c>
      <c r="L2577" s="27"/>
    </row>
    <row r="2578" spans="1:12">
      <c r="A2578" s="20" t="s">
        <v>935</v>
      </c>
      <c r="E2578" s="22">
        <f>IF(D2578="?OLD","!!!","")</f>
        <v/>
      </c>
      <c r="F2578" s="23" t="str">
        <f>IF(OR(E2578="",E2578="!!!"),"",IF(NOT(ISNA(VLOOKUP(E2578,E$1:E2577,1,FALSE()))),"OLD",IF(AND(E2578&lt;&gt;"",E2578&lt;&gt;"!!!"),"NEW","")))</f>
        <v> </v>
      </c>
      <c r="G2578" s="24" t="str">
        <f>IF(OR(E2578="",E2578="!!!"),"",IF(OR(J2578=0,AND(J2578=1,K2578=1),AND(J2578=1,I2578="SBJ"),AND(J2578=1,I2578=0)),"?IN_FOCUS",IF(J2578&lt;=2,"?ACTIVATED",IF(J2578&lt;&gt;"","?FAMILIAR",IF(F2578="NEW",IF(ISNA(VLOOKUP(E2578,#REF!,1,FALSE())),"?TYPE_IDENTIFIABLE","?REFERENTIAL"),"_")))))</f>
        <v> </v>
      </c>
      <c r="H2578" s="25" t="str">
        <f>IF(J2578&lt;&gt;1,"",IF(I2578="SBJ","CB","?"))</f>
        <v> </v>
      </c>
      <c r="I2578" s="26" t="str">
        <f>IF(OR(E2578="",E2578="!!!",F2578="NEW"),"",INDEX(B2577:B$2,-1+SUMPRODUCT(MAX(ROW(E2577:E$2)*(E2578=E2577:E$2)))))</f>
        <v> </v>
      </c>
      <c r="J2578" s="26" t="str">
        <f>IF(OR(E2578="",E2578="!!!",F2578="NEW"),"",COUNTBLANK(OFFSET(A$1,,,SUMPRODUCT(MAX(ROW(E$2:E2578)*(E2578=E$2:E2578)))))-COUNTBLANK(OFFSET(A$1,,,SUMPRODUCT(MAX(ROW(E$1:E2577)*(E2=E$1:E2577))))))</f>
        <v> </v>
      </c>
      <c r="K2578" s="26" t="str">
        <f>IF(OR(E2578="",E2578="!!!",F2578="NEW"),"",INDEX(J$1:J2577,SUMPRODUCT(MAX(ROW(E$1:E2577)*(E2578=E$1:E2577)))))</f>
        <v> </v>
      </c>
      <c r="L2578" s="27"/>
    </row>
    <row r="2579" spans="1:12">
      <c r="A2579" s="20" t="s">
        <v>1704</v>
      </c>
      <c r="E2579" s="22">
        <f>IF(D2579="?OLD","!!!","")</f>
        <v/>
      </c>
      <c r="F2579" s="23" t="str">
        <f>IF(OR(E2579="",E2579="!!!"),"",IF(NOT(ISNA(VLOOKUP(E2579,E$1:E2578,1,FALSE()))),"OLD",IF(AND(E2579&lt;&gt;"",E2579&lt;&gt;"!!!"),"NEW","")))</f>
        <v> </v>
      </c>
      <c r="G2579" s="24" t="str">
        <f>IF(OR(E2579="",E2579="!!!"),"",IF(OR(J2579=0,AND(J2579=1,K2579=1),AND(J2579=1,I2579="SBJ"),AND(J2579=1,I2579=0)),"?IN_FOCUS",IF(J2579&lt;=2,"?ACTIVATED",IF(J2579&lt;&gt;"","?FAMILIAR",IF(F2579="NEW",IF(ISNA(VLOOKUP(E2579,#REF!,1,FALSE())),"?TYPE_IDENTIFIABLE","?REFERENTIAL"),"_")))))</f>
        <v> </v>
      </c>
      <c r="H2579" s="25" t="str">
        <f>IF(J2579&lt;&gt;1,"",IF(I2579="SBJ","CB","?"))</f>
        <v> </v>
      </c>
      <c r="I2579" s="26" t="str">
        <f>IF(OR(E2579="",E2579="!!!",F2579="NEW"),"",INDEX(B2578:B$2,-1+SUMPRODUCT(MAX(ROW(E2578:E$2)*(E2579=E2578:E$2)))))</f>
        <v> </v>
      </c>
      <c r="J2579" s="26" t="str">
        <f>IF(OR(E2579="",E2579="!!!",F2579="NEW"),"",COUNTBLANK(OFFSET(A$1,,,SUMPRODUCT(MAX(ROW(E$2:E2579)*(E2579=E$2:E2579)))))-COUNTBLANK(OFFSET(A$1,,,SUMPRODUCT(MAX(ROW(E$1:E2578)*(E2=E$1:E2578))))))</f>
        <v> </v>
      </c>
      <c r="K2579" s="26" t="str">
        <f>IF(OR(E2579="",E2579="!!!",F2579="NEW"),"",INDEX(J$1:J2578,SUMPRODUCT(MAX(ROW(E$1:E2578)*(E2579=E$1:E2578)))))</f>
        <v> </v>
      </c>
      <c r="L2579" s="27"/>
    </row>
    <row r="2580" spans="1:12">
      <c r="A2580" s="20" t="s">
        <v>759</v>
      </c>
      <c r="E2580" s="22">
        <f>IF(D2580="?OLD","!!!","")</f>
        <v/>
      </c>
      <c r="F2580" s="23" t="str">
        <f>IF(OR(E2580="",E2580="!!!"),"",IF(NOT(ISNA(VLOOKUP(E2580,E$1:E2579,1,FALSE()))),"OLD",IF(AND(E2580&lt;&gt;"",E2580&lt;&gt;"!!!"),"NEW","")))</f>
        <v> </v>
      </c>
      <c r="G2580" s="24" t="str">
        <f>IF(OR(E2580="",E2580="!!!"),"",IF(OR(J2580=0,AND(J2580=1,K2580=1),AND(J2580=1,I2580="SBJ"),AND(J2580=1,I2580=0)),"?IN_FOCUS",IF(J2580&lt;=2,"?ACTIVATED",IF(J2580&lt;&gt;"","?FAMILIAR",IF(F2580="NEW",IF(ISNA(VLOOKUP(E2580,#REF!,1,FALSE())),"?TYPE_IDENTIFIABLE","?REFERENTIAL"),"_")))))</f>
        <v> </v>
      </c>
      <c r="H2580" s="25" t="str">
        <f>IF(J2580&lt;&gt;1,"",IF(I2580="SBJ","CB","?"))</f>
        <v> </v>
      </c>
      <c r="I2580" s="26" t="str">
        <f>IF(OR(E2580="",E2580="!!!",F2580="NEW"),"",INDEX(B2579:B$2,-1+SUMPRODUCT(MAX(ROW(E2579:E$2)*(E2580=E2579:E$2)))))</f>
        <v> </v>
      </c>
      <c r="J2580" s="26" t="str">
        <f>IF(OR(E2580="",E2580="!!!",F2580="NEW"),"",COUNTBLANK(OFFSET(A$1,,,SUMPRODUCT(MAX(ROW(E$2:E2580)*(E2580=E$2:E2580)))))-COUNTBLANK(OFFSET(A$1,,,SUMPRODUCT(MAX(ROW(E$1:E2579)*(E2=E$1:E2579))))))</f>
        <v> </v>
      </c>
      <c r="K2580" s="26" t="str">
        <f>IF(OR(E2580="",E2580="!!!",F2580="NEW"),"",INDEX(J$1:J2579,SUMPRODUCT(MAX(ROW(E$1:E2579)*(E2580=E$1:E2579)))))</f>
        <v> </v>
      </c>
      <c r="L2580" s="27"/>
    </row>
    <row r="2581" spans="1:12">
      <c r="A2581" s="20" t="s">
        <v>808</v>
      </c>
      <c r="E2581" s="22">
        <f>IF(D2581="?OLD","!!!","")</f>
        <v/>
      </c>
      <c r="F2581" s="23" t="str">
        <f>IF(OR(E2581="",E2581="!!!"),"",IF(NOT(ISNA(VLOOKUP(E2581,E$1:E2580,1,FALSE()))),"OLD",IF(AND(E2581&lt;&gt;"",E2581&lt;&gt;"!!!"),"NEW","")))</f>
        <v> </v>
      </c>
      <c r="G2581" s="24" t="str">
        <f>IF(OR(E2581="",E2581="!!!"),"",IF(OR(J2581=0,AND(J2581=1,K2581=1),AND(J2581=1,I2581="SBJ"),AND(J2581=1,I2581=0)),"?IN_FOCUS",IF(J2581&lt;=2,"?ACTIVATED",IF(J2581&lt;&gt;"","?FAMILIAR",IF(F2581="NEW",IF(ISNA(VLOOKUP(E2581,#REF!,1,FALSE())),"?TYPE_IDENTIFIABLE","?REFERENTIAL"),"_")))))</f>
        <v> </v>
      </c>
      <c r="H2581" s="25" t="str">
        <f>IF(J2581&lt;&gt;1,"",IF(I2581="SBJ","CB","?"))</f>
        <v> </v>
      </c>
      <c r="I2581" s="26" t="str">
        <f>IF(OR(E2581="",E2581="!!!",F2581="NEW"),"",INDEX(B2580:B$2,-1+SUMPRODUCT(MAX(ROW(E2580:E$2)*(E2581=E2580:E$2)))))</f>
        <v> </v>
      </c>
      <c r="J2581" s="26" t="str">
        <f>IF(OR(E2581="",E2581="!!!",F2581="NEW"),"",COUNTBLANK(OFFSET(A$1,,,SUMPRODUCT(MAX(ROW(E$2:E2581)*(E2581=E$2:E2581)))))-COUNTBLANK(OFFSET(A$1,,,SUMPRODUCT(MAX(ROW(E$1:E2580)*(E2=E$1:E2580))))))</f>
        <v> </v>
      </c>
      <c r="K2581" s="26" t="str">
        <f>IF(OR(E2581="",E2581="!!!",F2581="NEW"),"",INDEX(J$1:J2580,SUMPRODUCT(MAX(ROW(E$1:E2580)*(E2581=E$1:E2580)))))</f>
        <v> </v>
      </c>
      <c r="L2581" s="27"/>
    </row>
    <row r="2582" spans="1:12">
      <c r="A2582" s="20" t="s">
        <v>750</v>
      </c>
      <c r="B2582" s="21" t="s">
        <v>796</v>
      </c>
      <c r="C2582" s="21" t="s">
        <v>729</v>
      </c>
      <c r="D2582" s="21" t="s">
        <v>730</v>
      </c>
      <c r="E2582" s="22">
        <f>IF(D2582="?OLD","!!!","")</f>
        <v/>
      </c>
      <c r="F2582" s="23" t="str">
        <f>IF(OR(E2582="",E2582="!!!"),"",IF(NOT(ISNA(VLOOKUP(E2582,E$1:E2581,1,FALSE()))),"OLD",IF(AND(E2582&lt;&gt;"",E2582&lt;&gt;"!!!"),"NEW","")))</f>
        <v> </v>
      </c>
      <c r="G2582" s="24" t="str">
        <f>IF(OR(E2582="",E2582="!!!"),"",IF(OR(J2582=0,AND(J2582=1,K2582=1),AND(J2582=1,I2582="SBJ"),AND(J2582=1,I2582=0)),"?IN_FOCUS",IF(J2582&lt;=2,"?ACTIVATED",IF(J2582&lt;&gt;"","?FAMILIAR",IF(F2582="NEW",IF(ISNA(VLOOKUP(E2582,#REF!,1,FALSE())),"?TYPE_IDENTIFIABLE","?REFERENTIAL"),"_")))))</f>
        <v> </v>
      </c>
      <c r="H2582" s="25" t="str">
        <f>IF(J2582&lt;&gt;1,"",IF(I2582="SBJ","CB","?"))</f>
        <v> </v>
      </c>
      <c r="I2582" s="26" t="str">
        <f>IF(OR(E2582="",E2582="!!!",F2582="NEW"),"",INDEX(B2581:B$2,-1+SUMPRODUCT(MAX(ROW(E2581:E$2)*(E2582=E2581:E$2)))))</f>
        <v> </v>
      </c>
      <c r="J2582" s="26" t="str">
        <f>IF(OR(E2582="",E2582="!!!",F2582="NEW"),"",COUNTBLANK(OFFSET(A$1,,,SUMPRODUCT(MAX(ROW(E$2:E2582)*(E2582=E$2:E2582)))))-COUNTBLANK(OFFSET(A$1,,,SUMPRODUCT(MAX(ROW(E$1:E2581)*(E2=E$1:E2581))))))</f>
        <v> </v>
      </c>
      <c r="K2582" s="26" t="str">
        <f>IF(OR(E2582="",E2582="!!!",F2582="NEW"),"",INDEX(J$1:J2581,SUMPRODUCT(MAX(ROW(E$1:E2581)*(E2582=E$1:E2581)))))</f>
        <v> </v>
      </c>
      <c r="L2582" s="27"/>
    </row>
    <row r="2583" spans="1:12">
      <c r="A2583" s="20" t="s">
        <v>1705</v>
      </c>
      <c r="B2583" s="21" t="s">
        <v>791</v>
      </c>
      <c r="C2583" s="21" t="s">
        <v>748</v>
      </c>
      <c r="E2583" s="22">
        <f>IF(D2583="?OLD","!!!","")</f>
        <v/>
      </c>
      <c r="F2583" s="23" t="str">
        <f>IF(OR(E2583="",E2583="!!!"),"",IF(NOT(ISNA(VLOOKUP(E2583,E$1:E2582,1,FALSE()))),"OLD",IF(AND(E2583&lt;&gt;"",E2583&lt;&gt;"!!!"),"NEW","")))</f>
        <v> </v>
      </c>
      <c r="G2583" s="24" t="str">
        <f>IF(OR(E2583="",E2583="!!!"),"",IF(OR(J2583=0,AND(J2583=1,K2583=1),AND(J2583=1,I2583="SBJ"),AND(J2583=1,I2583=0)),"?IN_FOCUS",IF(J2583&lt;=2,"?ACTIVATED",IF(J2583&lt;&gt;"","?FAMILIAR",IF(F2583="NEW",IF(ISNA(VLOOKUP(E2583,#REF!,1,FALSE())),"?TYPE_IDENTIFIABLE","?REFERENTIAL"),"_")))))</f>
        <v> </v>
      </c>
      <c r="H2583" s="25" t="str">
        <f>IF(J2583&lt;&gt;1,"",IF(I2583="SBJ","CB","?"))</f>
        <v> </v>
      </c>
      <c r="I2583" s="26" t="str">
        <f>IF(OR(E2583="",E2583="!!!",F2583="NEW"),"",INDEX(B2582:B$2,-1+SUMPRODUCT(MAX(ROW(E2582:E$2)*(E2583=E2582:E$2)))))</f>
        <v> </v>
      </c>
      <c r="J2583" s="26" t="str">
        <f>IF(OR(E2583="",E2583="!!!",F2583="NEW"),"",COUNTBLANK(OFFSET(A$1,,,SUMPRODUCT(MAX(ROW(E$2:E2583)*(E2583=E$2:E2583)))))-COUNTBLANK(OFFSET(A$1,,,SUMPRODUCT(MAX(ROW(E$1:E2582)*(E2=E$1:E2582))))))</f>
        <v> </v>
      </c>
      <c r="K2583" s="26" t="str">
        <f>IF(OR(E2583="",E2583="!!!",F2583="NEW"),"",INDEX(J$1:J2582,SUMPRODUCT(MAX(ROW(E$1:E2582)*(E2583=E$1:E2582)))))</f>
        <v> </v>
      </c>
      <c r="L2583" s="27"/>
    </row>
    <row r="2584" spans="1:12">
      <c r="A2584" s="20" t="s">
        <v>732</v>
      </c>
      <c r="E2584" s="22">
        <f>IF(D2584="?OLD","!!!","")</f>
        <v/>
      </c>
      <c r="F2584" s="23" t="str">
        <f>IF(OR(E2584="",E2584="!!!"),"",IF(NOT(ISNA(VLOOKUP(E2584,E$1:E2583,1,FALSE()))),"OLD",IF(AND(E2584&lt;&gt;"",E2584&lt;&gt;"!!!"),"NEW","")))</f>
        <v> </v>
      </c>
      <c r="G2584" s="24" t="str">
        <f>IF(OR(E2584="",E2584="!!!"),"",IF(OR(J2584=0,AND(J2584=1,K2584=1),AND(J2584=1,I2584="SBJ"),AND(J2584=1,I2584=0)),"?IN_FOCUS",IF(J2584&lt;=2,"?ACTIVATED",IF(J2584&lt;&gt;"","?FAMILIAR",IF(F2584="NEW",IF(ISNA(VLOOKUP(E2584,#REF!,1,FALSE())),"?TYPE_IDENTIFIABLE","?REFERENTIAL"),"_")))))</f>
        <v> </v>
      </c>
      <c r="H2584" s="25" t="str">
        <f>IF(J2584&lt;&gt;1,"",IF(I2584="SBJ","CB","?"))</f>
        <v> </v>
      </c>
      <c r="I2584" s="26" t="str">
        <f>IF(OR(E2584="",E2584="!!!",F2584="NEW"),"",INDEX(B2583:B$2,-1+SUMPRODUCT(MAX(ROW(E2583:E$2)*(E2584=E2583:E$2)))))</f>
        <v> </v>
      </c>
      <c r="J2584" s="26" t="str">
        <f>IF(OR(E2584="",E2584="!!!",F2584="NEW"),"",COUNTBLANK(OFFSET(A$1,,,SUMPRODUCT(MAX(ROW(E$2:E2584)*(E2584=E$2:E2584)))))-COUNTBLANK(OFFSET(A$1,,,SUMPRODUCT(MAX(ROW(E$1:E2583)*(E2=E$1:E2583))))))</f>
        <v> </v>
      </c>
      <c r="K2584" s="26" t="str">
        <f>IF(OR(E2584="",E2584="!!!",F2584="NEW"),"",INDEX(J$1:J2583,SUMPRODUCT(MAX(ROW(E$1:E2583)*(E2584=E$1:E2583)))))</f>
        <v> </v>
      </c>
      <c r="L2584" s="27"/>
    </row>
    <row r="2585" spans="1:12">
      <c r="A2585" s="20" t="s">
        <v>872</v>
      </c>
      <c r="B2585" s="21" t="s">
        <v>739</v>
      </c>
      <c r="C2585" s="21" t="s">
        <v>789</v>
      </c>
      <c r="D2585" s="21" t="s">
        <v>730</v>
      </c>
      <c r="E2585" s="22">
        <f>IF(D2585="?OLD","!!!","")</f>
        <v/>
      </c>
      <c r="F2585" s="23" t="str">
        <f>IF(OR(E2585="",E2585="!!!"),"",IF(NOT(ISNA(VLOOKUP(E2585,E$1:E2584,1,FALSE()))),"OLD",IF(AND(E2585&lt;&gt;"",E2585&lt;&gt;"!!!"),"NEW","")))</f>
        <v> </v>
      </c>
      <c r="G2585" s="24" t="str">
        <f>IF(OR(E2585="",E2585="!!!"),"",IF(OR(J2585=0,AND(J2585=1,K2585=1),AND(J2585=1,I2585="SBJ"),AND(J2585=1,I2585=0)),"?IN_FOCUS",IF(J2585&lt;=2,"?ACTIVATED",IF(J2585&lt;&gt;"","?FAMILIAR",IF(F2585="NEW",IF(ISNA(VLOOKUP(E2585,#REF!,1,FALSE())),"?TYPE_IDENTIFIABLE","?REFERENTIAL"),"_")))))</f>
        <v> </v>
      </c>
      <c r="H2585" s="25" t="str">
        <f>IF(J2585&lt;&gt;1,"",IF(I2585="SBJ","CB","?"))</f>
        <v> </v>
      </c>
      <c r="I2585" s="26" t="str">
        <f>IF(OR(E2585="",E2585="!!!",F2585="NEW"),"",INDEX(B2584:B$2,-1+SUMPRODUCT(MAX(ROW(E2584:E$2)*(E2585=E2584:E$2)))))</f>
        <v> </v>
      </c>
      <c r="J2585" s="26" t="str">
        <f>IF(OR(E2585="",E2585="!!!",F2585="NEW"),"",COUNTBLANK(OFFSET(A$1,,,SUMPRODUCT(MAX(ROW(E$2:E2585)*(E2585=E$2:E2585)))))-COUNTBLANK(OFFSET(A$1,,,SUMPRODUCT(MAX(ROW(E$1:E2584)*(E2=E$1:E2584))))))</f>
        <v> </v>
      </c>
      <c r="K2585" s="26" t="str">
        <f>IF(OR(E2585="",E2585="!!!",F2585="NEW"),"",INDEX(J$1:J2584,SUMPRODUCT(MAX(ROW(E$1:E2584)*(E2585=E$1:E2584)))))</f>
        <v> </v>
      </c>
      <c r="L2585" s="27"/>
    </row>
    <row r="2586" spans="1:12">
      <c r="A2586" s="20" t="s">
        <v>773</v>
      </c>
      <c r="E2586" s="22">
        <f>IF(D2586="?OLD","!!!","")</f>
        <v/>
      </c>
      <c r="F2586" s="23" t="str">
        <f>IF(OR(E2586="",E2586="!!!"),"",IF(NOT(ISNA(VLOOKUP(E2586,E$1:E2585,1,FALSE()))),"OLD",IF(AND(E2586&lt;&gt;"",E2586&lt;&gt;"!!!"),"NEW","")))</f>
        <v> </v>
      </c>
      <c r="G2586" s="24" t="str">
        <f>IF(OR(E2586="",E2586="!!!"),"",IF(OR(J2586=0,AND(J2586=1,K2586=1),AND(J2586=1,I2586="SBJ"),AND(J2586=1,I2586=0)),"?IN_FOCUS",IF(J2586&lt;=2,"?ACTIVATED",IF(J2586&lt;&gt;"","?FAMILIAR",IF(F2586="NEW",IF(ISNA(VLOOKUP(E2586,#REF!,1,FALSE())),"?TYPE_IDENTIFIABLE","?REFERENTIAL"),"_")))))</f>
        <v> </v>
      </c>
      <c r="H2586" s="25" t="str">
        <f>IF(J2586&lt;&gt;1,"",IF(I2586="SBJ","CB","?"))</f>
        <v> </v>
      </c>
      <c r="I2586" s="26" t="str">
        <f>IF(OR(E2586="",E2586="!!!",F2586="NEW"),"",INDEX(B2585:B$2,-1+SUMPRODUCT(MAX(ROW(E2585:E$2)*(E2586=E2585:E$2)))))</f>
        <v> </v>
      </c>
      <c r="J2586" s="26" t="str">
        <f>IF(OR(E2586="",E2586="!!!",F2586="NEW"),"",COUNTBLANK(OFFSET(A$1,,,SUMPRODUCT(MAX(ROW(E$2:E2586)*(E2586=E$2:E2586)))))-COUNTBLANK(OFFSET(A$1,,,SUMPRODUCT(MAX(ROW(E$1:E2585)*(E2=E$1:E2585))))))</f>
        <v> </v>
      </c>
      <c r="K2586" s="26" t="str">
        <f>IF(OR(E2586="",E2586="!!!",F2586="NEW"),"",INDEX(J$1:J2585,SUMPRODUCT(MAX(ROW(E$1:E2585)*(E2586=E$1:E2585)))))</f>
        <v> </v>
      </c>
      <c r="L2586" s="27"/>
    </row>
    <row r="2587" spans="1:12">
      <c r="A2587" s="20" t="s">
        <v>813</v>
      </c>
      <c r="E2587" s="22">
        <f>IF(D2587="?OLD","!!!","")</f>
        <v/>
      </c>
      <c r="F2587" s="23" t="str">
        <f>IF(OR(E2587="",E2587="!!!"),"",IF(NOT(ISNA(VLOOKUP(E2587,E$1:E2586,1,FALSE()))),"OLD",IF(AND(E2587&lt;&gt;"",E2587&lt;&gt;"!!!"),"NEW","")))</f>
        <v> </v>
      </c>
      <c r="G2587" s="24" t="str">
        <f>IF(OR(E2587="",E2587="!!!"),"",IF(OR(J2587=0,AND(J2587=1,K2587=1),AND(J2587=1,I2587="SBJ"),AND(J2587=1,I2587=0)),"?IN_FOCUS",IF(J2587&lt;=2,"?ACTIVATED",IF(J2587&lt;&gt;"","?FAMILIAR",IF(F2587="NEW",IF(ISNA(VLOOKUP(E2587,#REF!,1,FALSE())),"?TYPE_IDENTIFIABLE","?REFERENTIAL"),"_")))))</f>
        <v> </v>
      </c>
      <c r="H2587" s="25" t="str">
        <f>IF(J2587&lt;&gt;1,"",IF(I2587="SBJ","CB","?"))</f>
        <v> </v>
      </c>
      <c r="I2587" s="26" t="str">
        <f>IF(OR(E2587="",E2587="!!!",F2587="NEW"),"",INDEX(B2586:B$2,-1+SUMPRODUCT(MAX(ROW(E2586:E$2)*(E2587=E2586:E$2)))))</f>
        <v> </v>
      </c>
      <c r="J2587" s="26" t="str">
        <f>IF(OR(E2587="",E2587="!!!",F2587="NEW"),"",COUNTBLANK(OFFSET(A$1,,,SUMPRODUCT(MAX(ROW(E$2:E2587)*(E2587=E$2:E2587)))))-COUNTBLANK(OFFSET(A$1,,,SUMPRODUCT(MAX(ROW(E$1:E2586)*(E2=E$1:E2586))))))</f>
        <v> </v>
      </c>
      <c r="K2587" s="26" t="str">
        <f>IF(OR(E2587="",E2587="!!!",F2587="NEW"),"",INDEX(J$1:J2586,SUMPRODUCT(MAX(ROW(E$1:E2586)*(E2587=E$1:E2586)))))</f>
        <v> </v>
      </c>
      <c r="L2587" s="27"/>
    </row>
    <row r="2588" spans="1:12">
      <c r="A2588" s="20" t="s">
        <v>862</v>
      </c>
      <c r="B2588" s="21" t="s">
        <v>739</v>
      </c>
      <c r="C2588" s="21" t="s">
        <v>753</v>
      </c>
      <c r="D2588" s="21" t="s">
        <v>730</v>
      </c>
      <c r="E2588" s="22">
        <f>IF(D2588="?OLD","!!!","")</f>
        <v/>
      </c>
      <c r="F2588" s="23" t="str">
        <f>IF(OR(E2588="",E2588="!!!"),"",IF(NOT(ISNA(VLOOKUP(E2588,E$1:E2587,1,FALSE()))),"OLD",IF(AND(E2588&lt;&gt;"",E2588&lt;&gt;"!!!"),"NEW","")))</f>
        <v> </v>
      </c>
      <c r="G2588" s="24" t="str">
        <f>IF(OR(E2588="",E2588="!!!"),"",IF(OR(J2588=0,AND(J2588=1,K2588=1),AND(J2588=1,I2588="SBJ"),AND(J2588=1,I2588=0)),"?IN_FOCUS",IF(J2588&lt;=2,"?ACTIVATED",IF(J2588&lt;&gt;"","?FAMILIAR",IF(F2588="NEW",IF(ISNA(VLOOKUP(E2588,#REF!,1,FALSE())),"?TYPE_IDENTIFIABLE","?REFERENTIAL"),"_")))))</f>
        <v> </v>
      </c>
      <c r="H2588" s="25" t="str">
        <f>IF(J2588&lt;&gt;1,"",IF(I2588="SBJ","CB","?"))</f>
        <v> </v>
      </c>
      <c r="I2588" s="26" t="str">
        <f>IF(OR(E2588="",E2588="!!!",F2588="NEW"),"",INDEX(B2587:B$2,-1+SUMPRODUCT(MAX(ROW(E2587:E$2)*(E2588=E2587:E$2)))))</f>
        <v> </v>
      </c>
      <c r="J2588" s="26" t="str">
        <f>IF(OR(E2588="",E2588="!!!",F2588="NEW"),"",COUNTBLANK(OFFSET(A$1,,,SUMPRODUCT(MAX(ROW(E$2:E2588)*(E2588=E$2:E2588)))))-COUNTBLANK(OFFSET(A$1,,,SUMPRODUCT(MAX(ROW(E$1:E2587)*(E2=E$1:E2587))))))</f>
        <v> </v>
      </c>
      <c r="K2588" s="26" t="str">
        <f>IF(OR(E2588="",E2588="!!!",F2588="NEW"),"",INDEX(J$1:J2587,SUMPRODUCT(MAX(ROW(E$1:E2587)*(E2588=E$1:E2587)))))</f>
        <v> </v>
      </c>
      <c r="L2588" s="27"/>
    </row>
    <row r="2589" spans="1:12">
      <c r="A2589" s="20" t="s">
        <v>1706</v>
      </c>
      <c r="E2589" s="22">
        <f>IF(D2589="?OLD","!!!","")</f>
        <v/>
      </c>
      <c r="F2589" s="23" t="str">
        <f>IF(OR(E2589="",E2589="!!!"),"",IF(NOT(ISNA(VLOOKUP(E2589,E$1:E2588,1,FALSE()))),"OLD",IF(AND(E2589&lt;&gt;"",E2589&lt;&gt;"!!!"),"NEW","")))</f>
        <v> </v>
      </c>
      <c r="G2589" s="24" t="str">
        <f>IF(OR(E2589="",E2589="!!!"),"",IF(OR(J2589=0,AND(J2589=1,K2589=1),AND(J2589=1,I2589="SBJ"),AND(J2589=1,I2589=0)),"?IN_FOCUS",IF(J2589&lt;=2,"?ACTIVATED",IF(J2589&lt;&gt;"","?FAMILIAR",IF(F2589="NEW",IF(ISNA(VLOOKUP(E2589,#REF!,1,FALSE())),"?TYPE_IDENTIFIABLE","?REFERENTIAL"),"_")))))</f>
        <v> </v>
      </c>
      <c r="H2589" s="25" t="str">
        <f>IF(J2589&lt;&gt;1,"",IF(I2589="SBJ","CB","?"))</f>
        <v> </v>
      </c>
      <c r="I2589" s="26" t="str">
        <f>IF(OR(E2589="",E2589="!!!",F2589="NEW"),"",INDEX(B2588:B$2,-1+SUMPRODUCT(MAX(ROW(E2588:E$2)*(E2589=E2588:E$2)))))</f>
        <v> </v>
      </c>
      <c r="J2589" s="26" t="str">
        <f>IF(OR(E2589="",E2589="!!!",F2589="NEW"),"",COUNTBLANK(OFFSET(A$1,,,SUMPRODUCT(MAX(ROW(E$2:E2589)*(E2589=E$2:E2589)))))-COUNTBLANK(OFFSET(A$1,,,SUMPRODUCT(MAX(ROW(E$1:E2588)*(E2=E$1:E2588))))))</f>
        <v> </v>
      </c>
      <c r="K2589" s="26" t="str">
        <f>IF(OR(E2589="",E2589="!!!",F2589="NEW"),"",INDEX(J$1:J2588,SUMPRODUCT(MAX(ROW(E$1:E2588)*(E2589=E$1:E2588)))))</f>
        <v> </v>
      </c>
      <c r="L2589" s="27"/>
    </row>
    <row r="2590" spans="1:12">
      <c r="A2590" s="20" t="s">
        <v>246</v>
      </c>
      <c r="E2590" s="22">
        <f>IF(D2590="?OLD","!!!","")</f>
        <v/>
      </c>
      <c r="F2590" s="23" t="str">
        <f>IF(OR(E2590="",E2590="!!!"),"",IF(NOT(ISNA(VLOOKUP(E2590,E$1:E2589,1,FALSE()))),"OLD",IF(AND(E2590&lt;&gt;"",E2590&lt;&gt;"!!!"),"NEW","")))</f>
        <v> </v>
      </c>
      <c r="G2590" s="24" t="str">
        <f>IF(OR(E2590="",E2590="!!!"),"",IF(OR(J2590=0,AND(J2590=1,K2590=1),AND(J2590=1,I2590="SBJ"),AND(J2590=1,I2590=0)),"?IN_FOCUS",IF(J2590&lt;=2,"?ACTIVATED",IF(J2590&lt;&gt;"","?FAMILIAR",IF(F2590="NEW",IF(ISNA(VLOOKUP(E2590,#REF!,1,FALSE())),"?TYPE_IDENTIFIABLE","?REFERENTIAL"),"_")))))</f>
        <v> </v>
      </c>
      <c r="H2590" s="25" t="str">
        <f>IF(J2590&lt;&gt;1,"",IF(I2590="SBJ","CB","?"))</f>
        <v> </v>
      </c>
      <c r="I2590" s="26" t="str">
        <f>IF(OR(E2590="",E2590="!!!",F2590="NEW"),"",INDEX(B2589:B$2,-1+SUMPRODUCT(MAX(ROW(E2589:E$2)*(E2590=E2589:E$2)))))</f>
        <v> </v>
      </c>
      <c r="J2590" s="26" t="str">
        <f>IF(OR(E2590="",E2590="!!!",F2590="NEW"),"",COUNTBLANK(OFFSET(A$1,,,SUMPRODUCT(MAX(ROW(E$2:E2590)*(E2590=E$2:E2590)))))-COUNTBLANK(OFFSET(A$1,,,SUMPRODUCT(MAX(ROW(E$1:E2589)*(E2=E$1:E2589))))))</f>
        <v> </v>
      </c>
      <c r="K2590" s="26" t="str">
        <f>IF(OR(E2590="",E2590="!!!",F2590="NEW"),"",INDEX(J$1:J2589,SUMPRODUCT(MAX(ROW(E$1:E2589)*(E2590=E$1:E2589)))))</f>
        <v> </v>
      </c>
      <c r="L2590" s="27"/>
    </row>
    <row r="2591" spans="1:12">
      <c r="A2591" s="20"/>
    </row>
    <row r="2592" spans="1:12">
      <c r="A2592" s="20" t="s">
        <v>1707</v>
      </c>
    </row>
    <row r="2593" spans="1:12">
      <c r="A2593" s="20" t="s">
        <v>727</v>
      </c>
      <c r="B2593" s="21" t="s">
        <v>728</v>
      </c>
      <c r="C2593" s="21" t="s">
        <v>729</v>
      </c>
      <c r="D2593" s="21" t="s">
        <v>730</v>
      </c>
      <c r="E2593" s="22">
        <f>IF(D2593="?OLD","!!!","")</f>
        <v/>
      </c>
      <c r="F2593" s="23" t="str">
        <f>IF(OR(E2593="",E2593="!!!"),"",IF(NOT(ISNA(VLOOKUP(E2593,E$1:E2592,1,FALSE()))),"OLD",IF(AND(E2593&lt;&gt;"",E2593&lt;&gt;"!!!"),"NEW","")))</f>
        <v> </v>
      </c>
      <c r="G2593" s="24" t="str">
        <f>IF(OR(E2593="",E2593="!!!"),"",IF(OR(J2593=0,AND(J2593=1,K2593=1),AND(J2593=1,I2593="SBJ"),AND(J2593=1,I2593=0)),"?IN_FOCUS",IF(J2593&lt;=2,"?ACTIVATED",IF(J2593&lt;&gt;"","?FAMILIAR",IF(F2593="NEW",IF(ISNA(VLOOKUP(E2593,#REF!,1,FALSE())),"?TYPE_IDENTIFIABLE","?REFERENTIAL"),"_")))))</f>
        <v> </v>
      </c>
      <c r="H2593" s="25" t="str">
        <f>IF(J2593&lt;&gt;1,"",IF(I2593="SBJ","CB","?"))</f>
        <v> </v>
      </c>
      <c r="I2593" s="26" t="str">
        <f>IF(OR(E2593="",E2593="!!!",F2593="NEW"),"",INDEX(B2592:B$2,-1+SUMPRODUCT(MAX(ROW(E2592:E$2)*(E2593=E2592:E$2)))))</f>
        <v> </v>
      </c>
      <c r="J2593" s="26" t="str">
        <f>IF(OR(E2593="",E2593="!!!",F2593="NEW"),"",COUNTBLANK(OFFSET(A$1,,,SUMPRODUCT(MAX(ROW(E$2:E2593)*(E2593=E$2:E2593)))))-COUNTBLANK(OFFSET(A$1,,,SUMPRODUCT(MAX(ROW(E$1:E2592)*(E2=E$1:E2592))))))</f>
        <v> </v>
      </c>
      <c r="K2593" s="26" t="str">
        <f>IF(OR(E2593="",E2593="!!!",F2593="NEW"),"",INDEX(J$1:J2592,SUMPRODUCT(MAX(ROW(E$1:E2592)*(E2593=E$1:E2592)))))</f>
        <v> </v>
      </c>
      <c r="L2593" s="27"/>
    </row>
    <row r="2594" spans="1:12">
      <c r="A2594" s="20" t="s">
        <v>1706</v>
      </c>
      <c r="E2594" s="22">
        <f>IF(D2594="?OLD","!!!","")</f>
        <v/>
      </c>
      <c r="F2594" s="23" t="str">
        <f>IF(OR(E2594="",E2594="!!!"),"",IF(NOT(ISNA(VLOOKUP(E2594,E$1:E2593,1,FALSE()))),"OLD",IF(AND(E2594&lt;&gt;"",E2594&lt;&gt;"!!!"),"NEW","")))</f>
        <v> </v>
      </c>
      <c r="G2594" s="24" t="str">
        <f>IF(OR(E2594="",E2594="!!!"),"",IF(OR(J2594=0,AND(J2594=1,K2594=1),AND(J2594=1,I2594="SBJ"),AND(J2594=1,I2594=0)),"?IN_FOCUS",IF(J2594&lt;=2,"?ACTIVATED",IF(J2594&lt;&gt;"","?FAMILIAR",IF(F2594="NEW",IF(ISNA(VLOOKUP(E2594,#REF!,1,FALSE())),"?TYPE_IDENTIFIABLE","?REFERENTIAL"),"_")))))</f>
        <v> </v>
      </c>
      <c r="H2594" s="25" t="str">
        <f>IF(J2594&lt;&gt;1,"",IF(I2594="SBJ","CB","?"))</f>
        <v> </v>
      </c>
      <c r="I2594" s="26" t="str">
        <f>IF(OR(E2594="",E2594="!!!",F2594="NEW"),"",INDEX(B2593:B$2,-1+SUMPRODUCT(MAX(ROW(E2593:E$2)*(E2594=E2593:E$2)))))</f>
        <v> </v>
      </c>
      <c r="J2594" s="26" t="str">
        <f>IF(OR(E2594="",E2594="!!!",F2594="NEW"),"",COUNTBLANK(OFFSET(A$1,,,SUMPRODUCT(MAX(ROW(E$2:E2594)*(E2594=E$2:E2594)))))-COUNTBLANK(OFFSET(A$1,,,SUMPRODUCT(MAX(ROW(E$1:E2593)*(E2=E$1:E2593))))))</f>
        <v> </v>
      </c>
      <c r="K2594" s="26" t="str">
        <f>IF(OR(E2594="",E2594="!!!",F2594="NEW"),"",INDEX(J$1:J2593,SUMPRODUCT(MAX(ROW(E$1:E2593)*(E2594=E$1:E2593)))))</f>
        <v> </v>
      </c>
      <c r="L2594" s="27"/>
    </row>
    <row r="2595" spans="1:12">
      <c r="A2595" s="20" t="s">
        <v>928</v>
      </c>
      <c r="B2595" s="21" t="s">
        <v>764</v>
      </c>
      <c r="C2595" s="21" t="s">
        <v>789</v>
      </c>
      <c r="D2595" s="21" t="s">
        <v>730</v>
      </c>
      <c r="E2595" s="22">
        <f>IF(D2595="?OLD","!!!","")</f>
        <v/>
      </c>
      <c r="F2595" s="23" t="str">
        <f>IF(OR(E2595="",E2595="!!!"),"",IF(NOT(ISNA(VLOOKUP(E2595,E$1:E2594,1,FALSE()))),"OLD",IF(AND(E2595&lt;&gt;"",E2595&lt;&gt;"!!!"),"NEW","")))</f>
        <v> </v>
      </c>
      <c r="G2595" s="24" t="str">
        <f>IF(OR(E2595="",E2595="!!!"),"",IF(OR(J2595=0,AND(J2595=1,K2595=1),AND(J2595=1,I2595="SBJ"),AND(J2595=1,I2595=0)),"?IN_FOCUS",IF(J2595&lt;=2,"?ACTIVATED",IF(J2595&lt;&gt;"","?FAMILIAR",IF(F2595="NEW",IF(ISNA(VLOOKUP(E2595,#REF!,1,FALSE())),"?TYPE_IDENTIFIABLE","?REFERENTIAL"),"_")))))</f>
        <v> </v>
      </c>
      <c r="H2595" s="25" t="str">
        <f>IF(J2595&lt;&gt;1,"",IF(I2595="SBJ","CB","?"))</f>
        <v> </v>
      </c>
      <c r="I2595" s="26" t="str">
        <f>IF(OR(E2595="",E2595="!!!",F2595="NEW"),"",INDEX(B2594:B$2,-1+SUMPRODUCT(MAX(ROW(E2594:E$2)*(E2595=E2594:E$2)))))</f>
        <v> </v>
      </c>
      <c r="J2595" s="26" t="str">
        <f>IF(OR(E2595="",E2595="!!!",F2595="NEW"),"",COUNTBLANK(OFFSET(A$1,,,SUMPRODUCT(MAX(ROW(E$2:E2595)*(E2595=E$2:E2595)))))-COUNTBLANK(OFFSET(A$1,,,SUMPRODUCT(MAX(ROW(E$1:E2594)*(E2=E$1:E2594))))))</f>
        <v> </v>
      </c>
      <c r="K2595" s="26" t="str">
        <f>IF(OR(E2595="",E2595="!!!",F2595="NEW"),"",INDEX(J$1:J2594,SUMPRODUCT(MAX(ROW(E$1:E2594)*(E2595=E$1:E2594)))))</f>
        <v> </v>
      </c>
      <c r="L2595" s="27"/>
    </row>
    <row r="2596" spans="1:12">
      <c r="A2596" s="20" t="s">
        <v>732</v>
      </c>
      <c r="E2596" s="22">
        <f>IF(D2596="?OLD","!!!","")</f>
        <v/>
      </c>
      <c r="F2596" s="23" t="str">
        <f>IF(OR(E2596="",E2596="!!!"),"",IF(NOT(ISNA(VLOOKUP(E2596,E$1:E2595,1,FALSE()))),"OLD",IF(AND(E2596&lt;&gt;"",E2596&lt;&gt;"!!!"),"NEW","")))</f>
        <v> </v>
      </c>
      <c r="G2596" s="24" t="str">
        <f>IF(OR(E2596="",E2596="!!!"),"",IF(OR(J2596=0,AND(J2596=1,K2596=1),AND(J2596=1,I2596="SBJ"),AND(J2596=1,I2596=0)),"?IN_FOCUS",IF(J2596&lt;=2,"?ACTIVATED",IF(J2596&lt;&gt;"","?FAMILIAR",IF(F2596="NEW",IF(ISNA(VLOOKUP(E2596,#REF!,1,FALSE())),"?TYPE_IDENTIFIABLE","?REFERENTIAL"),"_")))))</f>
        <v> </v>
      </c>
      <c r="H2596" s="25" t="str">
        <f>IF(J2596&lt;&gt;1,"",IF(I2596="SBJ","CB","?"))</f>
        <v> </v>
      </c>
      <c r="I2596" s="26" t="str">
        <f>IF(OR(E2596="",E2596="!!!",F2596="NEW"),"",INDEX(B2595:B$2,-1+SUMPRODUCT(MAX(ROW(E2595:E$2)*(E2596=E2595:E$2)))))</f>
        <v> </v>
      </c>
      <c r="J2596" s="26" t="str">
        <f>IF(OR(E2596="",E2596="!!!",F2596="NEW"),"",COUNTBLANK(OFFSET(A$1,,,SUMPRODUCT(MAX(ROW(E$2:E2596)*(E2596=E$2:E2596)))))-COUNTBLANK(OFFSET(A$1,,,SUMPRODUCT(MAX(ROW(E$1:E2595)*(E2=E$1:E2595))))))</f>
        <v> </v>
      </c>
      <c r="K2596" s="26" t="str">
        <f>IF(OR(E2596="",E2596="!!!",F2596="NEW"),"",INDEX(J$1:J2595,SUMPRODUCT(MAX(ROW(E$1:E2595)*(E2596=E$1:E2595)))))</f>
        <v> </v>
      </c>
      <c r="L2596" s="27"/>
    </row>
    <row r="2597" spans="1:12">
      <c r="A2597" s="20" t="s">
        <v>785</v>
      </c>
      <c r="E2597" s="22">
        <f>IF(D2597="?OLD","!!!","")</f>
        <v/>
      </c>
      <c r="F2597" s="23" t="str">
        <f>IF(OR(E2597="",E2597="!!!"),"",IF(NOT(ISNA(VLOOKUP(E2597,E$1:E2596,1,FALSE()))),"OLD",IF(AND(E2597&lt;&gt;"",E2597&lt;&gt;"!!!"),"NEW","")))</f>
        <v> </v>
      </c>
      <c r="G2597" s="24" t="str">
        <f>IF(OR(E2597="",E2597="!!!"),"",IF(OR(J2597=0,AND(J2597=1,K2597=1),AND(J2597=1,I2597="SBJ"),AND(J2597=1,I2597=0)),"?IN_FOCUS",IF(J2597&lt;=2,"?ACTIVATED",IF(J2597&lt;&gt;"","?FAMILIAR",IF(F2597="NEW",IF(ISNA(VLOOKUP(E2597,#REF!,1,FALSE())),"?TYPE_IDENTIFIABLE","?REFERENTIAL"),"_")))))</f>
        <v> </v>
      </c>
      <c r="H2597" s="25" t="str">
        <f>IF(J2597&lt;&gt;1,"",IF(I2597="SBJ","CB","?"))</f>
        <v> </v>
      </c>
      <c r="I2597" s="26" t="str">
        <f>IF(OR(E2597="",E2597="!!!",F2597="NEW"),"",INDEX(B2596:B$2,-1+SUMPRODUCT(MAX(ROW(E2596:E$2)*(E2597=E2596:E$2)))))</f>
        <v> </v>
      </c>
      <c r="J2597" s="26" t="str">
        <f>IF(OR(E2597="",E2597="!!!",F2597="NEW"),"",COUNTBLANK(OFFSET(A$1,,,SUMPRODUCT(MAX(ROW(E$2:E2597)*(E2597=E$2:E2597)))))-COUNTBLANK(OFFSET(A$1,,,SUMPRODUCT(MAX(ROW(E$1:E2596)*(E2=E$1:E2596))))))</f>
        <v> </v>
      </c>
      <c r="K2597" s="26" t="str">
        <f>IF(OR(E2597="",E2597="!!!",F2597="NEW"),"",INDEX(J$1:J2596,SUMPRODUCT(MAX(ROW(E$1:E2596)*(E2597=E$1:E2596)))))</f>
        <v> </v>
      </c>
      <c r="L2597" s="27"/>
    </row>
    <row r="2598" spans="1:12">
      <c r="A2598" s="20" t="s">
        <v>1708</v>
      </c>
      <c r="E2598" s="22">
        <f>IF(D2598="?OLD","!!!","")</f>
        <v/>
      </c>
      <c r="F2598" s="23" t="str">
        <f>IF(OR(E2598="",E2598="!!!"),"",IF(NOT(ISNA(VLOOKUP(E2598,E$1:E2597,1,FALSE()))),"OLD",IF(AND(E2598&lt;&gt;"",E2598&lt;&gt;"!!!"),"NEW","")))</f>
        <v> </v>
      </c>
      <c r="G2598" s="24" t="str">
        <f>IF(OR(E2598="",E2598="!!!"),"",IF(OR(J2598=0,AND(J2598=1,K2598=1),AND(J2598=1,I2598="SBJ"),AND(J2598=1,I2598=0)),"?IN_FOCUS",IF(J2598&lt;=2,"?ACTIVATED",IF(J2598&lt;&gt;"","?FAMILIAR",IF(F2598="NEW",IF(ISNA(VLOOKUP(E2598,#REF!,1,FALSE())),"?TYPE_IDENTIFIABLE","?REFERENTIAL"),"_")))))</f>
        <v> </v>
      </c>
      <c r="H2598" s="25" t="str">
        <f>IF(J2598&lt;&gt;1,"",IF(I2598="SBJ","CB","?"))</f>
        <v> </v>
      </c>
      <c r="I2598" s="26" t="str">
        <f>IF(OR(E2598="",E2598="!!!",F2598="NEW"),"",INDEX(B2597:B$2,-1+SUMPRODUCT(MAX(ROW(E2597:E$2)*(E2598=E2597:E$2)))))</f>
        <v> </v>
      </c>
      <c r="J2598" s="26" t="str">
        <f>IF(OR(E2598="",E2598="!!!",F2598="NEW"),"",COUNTBLANK(OFFSET(A$1,,,SUMPRODUCT(MAX(ROW(E$2:E2598)*(E2598=E$2:E2598)))))-COUNTBLANK(OFFSET(A$1,,,SUMPRODUCT(MAX(ROW(E$1:E2597)*(E2=E$1:E2597))))))</f>
        <v> </v>
      </c>
      <c r="K2598" s="26" t="str">
        <f>IF(OR(E2598="",E2598="!!!",F2598="NEW"),"",INDEX(J$1:J2597,SUMPRODUCT(MAX(ROW(E$1:E2597)*(E2598=E$1:E2597)))))</f>
        <v> </v>
      </c>
      <c r="L2598" s="27"/>
    </row>
    <row r="2599" spans="1:12">
      <c r="A2599" s="20" t="s">
        <v>1709</v>
      </c>
      <c r="B2599" s="21" t="s">
        <v>780</v>
      </c>
      <c r="C2599" s="21" t="s">
        <v>729</v>
      </c>
      <c r="D2599" s="21" t="s">
        <v>730</v>
      </c>
      <c r="E2599" s="22">
        <f>IF(D2599="?OLD","!!!","")</f>
        <v/>
      </c>
      <c r="F2599" s="23" t="str">
        <f>IF(OR(E2599="",E2599="!!!"),"",IF(NOT(ISNA(VLOOKUP(E2599,E$1:E2598,1,FALSE()))),"OLD",IF(AND(E2599&lt;&gt;"",E2599&lt;&gt;"!!!"),"NEW","")))</f>
        <v> </v>
      </c>
      <c r="G2599" s="24" t="str">
        <f>IF(OR(E2599="",E2599="!!!"),"",IF(OR(J2599=0,AND(J2599=1,K2599=1),AND(J2599=1,I2599="SBJ"),AND(J2599=1,I2599=0)),"?IN_FOCUS",IF(J2599&lt;=2,"?ACTIVATED",IF(J2599&lt;&gt;"","?FAMILIAR",IF(F2599="NEW",IF(ISNA(VLOOKUP(E2599,#REF!,1,FALSE())),"?TYPE_IDENTIFIABLE","?REFERENTIAL"),"_")))))</f>
        <v> </v>
      </c>
      <c r="H2599" s="25" t="str">
        <f>IF(J2599&lt;&gt;1,"",IF(I2599="SBJ","CB","?"))</f>
        <v> </v>
      </c>
      <c r="I2599" s="26" t="str">
        <f>IF(OR(E2599="",E2599="!!!",F2599="NEW"),"",INDEX(B2598:B$2,-1+SUMPRODUCT(MAX(ROW(E2598:E$2)*(E2599=E2598:E$2)))))</f>
        <v> </v>
      </c>
      <c r="J2599" s="26" t="str">
        <f>IF(OR(E2599="",E2599="!!!",F2599="NEW"),"",COUNTBLANK(OFFSET(A$1,,,SUMPRODUCT(MAX(ROW(E$2:E2599)*(E2599=E$2:E2599)))))-COUNTBLANK(OFFSET(A$1,,,SUMPRODUCT(MAX(ROW(E$1:E2598)*(E2=E$1:E2598))))))</f>
        <v> </v>
      </c>
      <c r="K2599" s="26" t="str">
        <f>IF(OR(E2599="",E2599="!!!",F2599="NEW"),"",INDEX(J$1:J2598,SUMPRODUCT(MAX(ROW(E$1:E2598)*(E2599=E$1:E2598)))))</f>
        <v> </v>
      </c>
      <c r="L2599" s="27"/>
    </row>
    <row r="2600" spans="1:12">
      <c r="A2600" s="20" t="s">
        <v>1710</v>
      </c>
      <c r="B2600" s="21" t="s">
        <v>736</v>
      </c>
      <c r="C2600" s="21" t="s">
        <v>748</v>
      </c>
      <c r="E2600" s="22">
        <f>IF(D2600="?OLD","!!!","")</f>
        <v/>
      </c>
      <c r="F2600" s="23" t="str">
        <f>IF(OR(E2600="",E2600="!!!"),"",IF(NOT(ISNA(VLOOKUP(E2600,E$1:E2599,1,FALSE()))),"OLD",IF(AND(E2600&lt;&gt;"",E2600&lt;&gt;"!!!"),"NEW","")))</f>
        <v> </v>
      </c>
      <c r="G2600" s="24" t="str">
        <f>IF(OR(E2600="",E2600="!!!"),"",IF(OR(J2600=0,AND(J2600=1,K2600=1),AND(J2600=1,I2600="SBJ"),AND(J2600=1,I2600=0)),"?IN_FOCUS",IF(J2600&lt;=2,"?ACTIVATED",IF(J2600&lt;&gt;"","?FAMILIAR",IF(F2600="NEW",IF(ISNA(VLOOKUP(E2600,#REF!,1,FALSE())),"?TYPE_IDENTIFIABLE","?REFERENTIAL"),"_")))))</f>
        <v> </v>
      </c>
      <c r="H2600" s="25" t="str">
        <f>IF(J2600&lt;&gt;1,"",IF(I2600="SBJ","CB","?"))</f>
        <v> </v>
      </c>
      <c r="I2600" s="26" t="str">
        <f>IF(OR(E2600="",E2600="!!!",F2600="NEW"),"",INDEX(B2599:B$2,-1+SUMPRODUCT(MAX(ROW(E2599:E$2)*(E2600=E2599:E$2)))))</f>
        <v> </v>
      </c>
      <c r="J2600" s="26" t="str">
        <f>IF(OR(E2600="",E2600="!!!",F2600="NEW"),"",COUNTBLANK(OFFSET(A$1,,,SUMPRODUCT(MAX(ROW(E$2:E2600)*(E2600=E$2:E2600)))))-COUNTBLANK(OFFSET(A$1,,,SUMPRODUCT(MAX(ROW(E$1:E2599)*(E2=E$1:E2599))))))</f>
        <v> </v>
      </c>
      <c r="K2600" s="26" t="str">
        <f>IF(OR(E2600="",E2600="!!!",F2600="NEW"),"",INDEX(J$1:J2599,SUMPRODUCT(MAX(ROW(E$1:E2599)*(E2600=E$1:E2599)))))</f>
        <v> </v>
      </c>
      <c r="L2600" s="27"/>
    </row>
    <row r="2601" spans="1:12">
      <c r="A2601" s="20" t="s">
        <v>754</v>
      </c>
      <c r="B2601" s="21" t="s">
        <v>755</v>
      </c>
      <c r="C2601" s="21" t="s">
        <v>756</v>
      </c>
      <c r="E2601" s="22">
        <f>IF(D2601="?OLD","!!!","")</f>
        <v/>
      </c>
      <c r="F2601" s="23" t="str">
        <f>IF(OR(E2601="",E2601="!!!"),"",IF(NOT(ISNA(VLOOKUP(E2601,E$1:E2600,1,FALSE()))),"OLD",IF(AND(E2601&lt;&gt;"",E2601&lt;&gt;"!!!"),"NEW","")))</f>
        <v> </v>
      </c>
      <c r="G2601" s="24" t="str">
        <f>IF(OR(E2601="",E2601="!!!"),"",IF(OR(J2601=0,AND(J2601=1,K2601=1),AND(J2601=1,I2601="SBJ"),AND(J2601=1,I2601=0)),"?IN_FOCUS",IF(J2601&lt;=2,"?ACTIVATED",IF(J2601&lt;&gt;"","?FAMILIAR",IF(F2601="NEW",IF(ISNA(VLOOKUP(E2601,#REF!,1,FALSE())),"?TYPE_IDENTIFIABLE","?REFERENTIAL"),"_")))))</f>
        <v> </v>
      </c>
      <c r="H2601" s="25" t="str">
        <f>IF(J2601&lt;&gt;1,"",IF(I2601="SBJ","CB","?"))</f>
        <v> </v>
      </c>
      <c r="I2601" s="26" t="str">
        <f>IF(OR(E2601="",E2601="!!!",F2601="NEW"),"",INDEX(B2600:B$2,-1+SUMPRODUCT(MAX(ROW(E2600:E$2)*(E2601=E2600:E$2)))))</f>
        <v> </v>
      </c>
      <c r="J2601" s="26" t="str">
        <f>IF(OR(E2601="",E2601="!!!",F2601="NEW"),"",COUNTBLANK(OFFSET(A$1,,,SUMPRODUCT(MAX(ROW(E$2:E2601)*(E2601=E$2:E2601)))))-COUNTBLANK(OFFSET(A$1,,,SUMPRODUCT(MAX(ROW(E$1:E2600)*(E2=E$1:E2600))))))</f>
        <v> </v>
      </c>
      <c r="K2601" s="26" t="str">
        <f>IF(OR(E2601="",E2601="!!!",F2601="NEW"),"",INDEX(J$1:J2600,SUMPRODUCT(MAX(ROW(E$1:E2600)*(E2601=E$1:E2600)))))</f>
        <v> </v>
      </c>
      <c r="L2601" s="27"/>
    </row>
    <row r="2602" spans="1:12">
      <c r="A2602" s="20" t="s">
        <v>757</v>
      </c>
      <c r="E2602" s="22">
        <f>IF(D2602="?OLD","!!!","")</f>
        <v/>
      </c>
      <c r="F2602" s="23" t="str">
        <f>IF(OR(E2602="",E2602="!!!"),"",IF(NOT(ISNA(VLOOKUP(E2602,E$1:E2601,1,FALSE()))),"OLD",IF(AND(E2602&lt;&gt;"",E2602&lt;&gt;"!!!"),"NEW","")))</f>
        <v> </v>
      </c>
      <c r="G2602" s="24" t="str">
        <f>IF(OR(E2602="",E2602="!!!"),"",IF(OR(J2602=0,AND(J2602=1,K2602=1),AND(J2602=1,I2602="SBJ"),AND(J2602=1,I2602=0)),"?IN_FOCUS",IF(J2602&lt;=2,"?ACTIVATED",IF(J2602&lt;&gt;"","?FAMILIAR",IF(F2602="NEW",IF(ISNA(VLOOKUP(E2602,#REF!,1,FALSE())),"?TYPE_IDENTIFIABLE","?REFERENTIAL"),"_")))))</f>
        <v> </v>
      </c>
      <c r="H2602" s="25" t="str">
        <f>IF(J2602&lt;&gt;1,"",IF(I2602="SBJ","CB","?"))</f>
        <v> </v>
      </c>
      <c r="I2602" s="26" t="str">
        <f>IF(OR(E2602="",E2602="!!!",F2602="NEW"),"",INDEX(B2601:B$2,-1+SUMPRODUCT(MAX(ROW(E2601:E$2)*(E2602=E2601:E$2)))))</f>
        <v> </v>
      </c>
      <c r="J2602" s="26" t="str">
        <f>IF(OR(E2602="",E2602="!!!",F2602="NEW"),"",COUNTBLANK(OFFSET(A$1,,,SUMPRODUCT(MAX(ROW(E$2:E2602)*(E2602=E$2:E2602)))))-COUNTBLANK(OFFSET(A$1,,,SUMPRODUCT(MAX(ROW(E$1:E2601)*(E2=E$1:E2601))))))</f>
        <v> </v>
      </c>
      <c r="K2602" s="26" t="str">
        <f>IF(OR(E2602="",E2602="!!!",F2602="NEW"),"",INDEX(J$1:J2601,SUMPRODUCT(MAX(ROW(E$1:E2601)*(E2602=E$1:E2601)))))</f>
        <v> </v>
      </c>
      <c r="L2602" s="27"/>
    </row>
    <row r="2603" spans="1:12">
      <c r="A2603" s="20" t="s">
        <v>842</v>
      </c>
      <c r="B2603" s="21" t="s">
        <v>739</v>
      </c>
      <c r="C2603" s="21" t="s">
        <v>753</v>
      </c>
      <c r="D2603" s="21" t="s">
        <v>730</v>
      </c>
      <c r="E2603" s="22">
        <f>IF(D2603="?OLD","!!!","")</f>
        <v/>
      </c>
      <c r="F2603" s="23" t="str">
        <f>IF(OR(E2603="",E2603="!!!"),"",IF(NOT(ISNA(VLOOKUP(E2603,E$1:E2602,1,FALSE()))),"OLD",IF(AND(E2603&lt;&gt;"",E2603&lt;&gt;"!!!"),"NEW","")))</f>
        <v> </v>
      </c>
      <c r="G2603" s="24" t="str">
        <f>IF(OR(E2603="",E2603="!!!"),"",IF(OR(J2603=0,AND(J2603=1,K2603=1),AND(J2603=1,I2603="SBJ"),AND(J2603=1,I2603=0)),"?IN_FOCUS",IF(J2603&lt;=2,"?ACTIVATED",IF(J2603&lt;&gt;"","?FAMILIAR",IF(F2603="NEW",IF(ISNA(VLOOKUP(E2603,#REF!,1,FALSE())),"?TYPE_IDENTIFIABLE","?REFERENTIAL"),"_")))))</f>
        <v> </v>
      </c>
      <c r="H2603" s="25" t="str">
        <f>IF(J2603&lt;&gt;1,"",IF(I2603="SBJ","CB","?"))</f>
        <v> </v>
      </c>
      <c r="I2603" s="26" t="str">
        <f>IF(OR(E2603="",E2603="!!!",F2603="NEW"),"",INDEX(B2602:B$2,-1+SUMPRODUCT(MAX(ROW(E2602:E$2)*(E2603=E2602:E$2)))))</f>
        <v> </v>
      </c>
      <c r="J2603" s="26" t="str">
        <f>IF(OR(E2603="",E2603="!!!",F2603="NEW"),"",COUNTBLANK(OFFSET(A$1,,,SUMPRODUCT(MAX(ROW(E$2:E2603)*(E2603=E$2:E2603)))))-COUNTBLANK(OFFSET(A$1,,,SUMPRODUCT(MAX(ROW(E$1:E2602)*(E2=E$1:E2602))))))</f>
        <v> </v>
      </c>
      <c r="K2603" s="26" t="str">
        <f>IF(OR(E2603="",E2603="!!!",F2603="NEW"),"",INDEX(J$1:J2602,SUMPRODUCT(MAX(ROW(E$1:E2602)*(E2603=E$1:E2602)))))</f>
        <v> </v>
      </c>
      <c r="L2603" s="27"/>
    </row>
    <row r="2604" spans="1:12">
      <c r="A2604" s="20" t="s">
        <v>898</v>
      </c>
      <c r="E2604" s="22">
        <f>IF(D2604="?OLD","!!!","")</f>
        <v/>
      </c>
      <c r="F2604" s="23" t="str">
        <f>IF(OR(E2604="",E2604="!!!"),"",IF(NOT(ISNA(VLOOKUP(E2604,E$1:E2603,1,FALSE()))),"OLD",IF(AND(E2604&lt;&gt;"",E2604&lt;&gt;"!!!"),"NEW","")))</f>
        <v> </v>
      </c>
      <c r="G2604" s="24" t="str">
        <f>IF(OR(E2604="",E2604="!!!"),"",IF(OR(J2604=0,AND(J2604=1,K2604=1),AND(J2604=1,I2604="SBJ"),AND(J2604=1,I2604=0)),"?IN_FOCUS",IF(J2604&lt;=2,"?ACTIVATED",IF(J2604&lt;&gt;"","?FAMILIAR",IF(F2604="NEW",IF(ISNA(VLOOKUP(E2604,#REF!,1,FALSE())),"?TYPE_IDENTIFIABLE","?REFERENTIAL"),"_")))))</f>
        <v> </v>
      </c>
      <c r="H2604" s="25" t="str">
        <f>IF(J2604&lt;&gt;1,"",IF(I2604="SBJ","CB","?"))</f>
        <v> </v>
      </c>
      <c r="I2604" s="26" t="str">
        <f>IF(OR(E2604="",E2604="!!!",F2604="NEW"),"",INDEX(B2603:B$2,-1+SUMPRODUCT(MAX(ROW(E2603:E$2)*(E2604=E2603:E$2)))))</f>
        <v> </v>
      </c>
      <c r="J2604" s="26" t="str">
        <f>IF(OR(E2604="",E2604="!!!",F2604="NEW"),"",COUNTBLANK(OFFSET(A$1,,,SUMPRODUCT(MAX(ROW(E$2:E2604)*(E2604=E$2:E2604)))))-COUNTBLANK(OFFSET(A$1,,,SUMPRODUCT(MAX(ROW(E$1:E2603)*(E2=E$1:E2603))))))</f>
        <v> </v>
      </c>
      <c r="K2604" s="26" t="str">
        <f>IF(OR(E2604="",E2604="!!!",F2604="NEW"),"",INDEX(J$1:J2603,SUMPRODUCT(MAX(ROW(E$1:E2603)*(E2604=E$1:E2603)))))</f>
        <v> </v>
      </c>
      <c r="L2604" s="27"/>
    </row>
    <row r="2605" spans="1:12">
      <c r="A2605" s="20" t="s">
        <v>1643</v>
      </c>
      <c r="E2605" s="22">
        <f>IF(D2605="?OLD","!!!","")</f>
        <v/>
      </c>
      <c r="F2605" s="23" t="str">
        <f>IF(OR(E2605="",E2605="!!!"),"",IF(NOT(ISNA(VLOOKUP(E2605,E$1:E2604,1,FALSE()))),"OLD",IF(AND(E2605&lt;&gt;"",E2605&lt;&gt;"!!!"),"NEW","")))</f>
        <v> </v>
      </c>
      <c r="G2605" s="24" t="str">
        <f>IF(OR(E2605="",E2605="!!!"),"",IF(OR(J2605=0,AND(J2605=1,K2605=1),AND(J2605=1,I2605="SBJ"),AND(J2605=1,I2605=0)),"?IN_FOCUS",IF(J2605&lt;=2,"?ACTIVATED",IF(J2605&lt;&gt;"","?FAMILIAR",IF(F2605="NEW",IF(ISNA(VLOOKUP(E2605,#REF!,1,FALSE())),"?TYPE_IDENTIFIABLE","?REFERENTIAL"),"_")))))</f>
        <v> </v>
      </c>
      <c r="H2605" s="25" t="str">
        <f>IF(J2605&lt;&gt;1,"",IF(I2605="SBJ","CB","?"))</f>
        <v> </v>
      </c>
      <c r="I2605" s="26" t="str">
        <f>IF(OR(E2605="",E2605="!!!",F2605="NEW"),"",INDEX(B2604:B$2,-1+SUMPRODUCT(MAX(ROW(E2604:E$2)*(E2605=E2604:E$2)))))</f>
        <v> </v>
      </c>
      <c r="J2605" s="26" t="str">
        <f>IF(OR(E2605="",E2605="!!!",F2605="NEW"),"",COUNTBLANK(OFFSET(A$1,,,SUMPRODUCT(MAX(ROW(E$2:E2605)*(E2605=E$2:E2605)))))-COUNTBLANK(OFFSET(A$1,,,SUMPRODUCT(MAX(ROW(E$1:E2604)*(E2=E$1:E2604))))))</f>
        <v> </v>
      </c>
      <c r="K2605" s="26" t="str">
        <f>IF(OR(E2605="",E2605="!!!",F2605="NEW"),"",INDEX(J$1:J2604,SUMPRODUCT(MAX(ROW(E$1:E2604)*(E2605=E$1:E2604)))))</f>
        <v> </v>
      </c>
      <c r="L2605" s="27"/>
    </row>
    <row r="2606" spans="1:12">
      <c r="A2606" s="20" t="s">
        <v>1147</v>
      </c>
      <c r="E2606" s="22">
        <f>IF(D2606="?OLD","!!!","")</f>
        <v/>
      </c>
      <c r="F2606" s="23" t="str">
        <f>IF(OR(E2606="",E2606="!!!"),"",IF(NOT(ISNA(VLOOKUP(E2606,E$1:E2605,1,FALSE()))),"OLD",IF(AND(E2606&lt;&gt;"",E2606&lt;&gt;"!!!"),"NEW","")))</f>
        <v> </v>
      </c>
      <c r="G2606" s="24" t="str">
        <f>IF(OR(E2606="",E2606="!!!"),"",IF(OR(J2606=0,AND(J2606=1,K2606=1),AND(J2606=1,I2606="SBJ"),AND(J2606=1,I2606=0)),"?IN_FOCUS",IF(J2606&lt;=2,"?ACTIVATED",IF(J2606&lt;&gt;"","?FAMILIAR",IF(F2606="NEW",IF(ISNA(VLOOKUP(E2606,#REF!,1,FALSE())),"?TYPE_IDENTIFIABLE","?REFERENTIAL"),"_")))))</f>
        <v> </v>
      </c>
      <c r="H2606" s="25" t="str">
        <f>IF(J2606&lt;&gt;1,"",IF(I2606="SBJ","CB","?"))</f>
        <v> </v>
      </c>
      <c r="I2606" s="26" t="str">
        <f>IF(OR(E2606="",E2606="!!!",F2606="NEW"),"",INDEX(B2605:B$2,-1+SUMPRODUCT(MAX(ROW(E2605:E$2)*(E2606=E2605:E$2)))))</f>
        <v> </v>
      </c>
      <c r="J2606" s="26" t="str">
        <f>IF(OR(E2606="",E2606="!!!",F2606="NEW"),"",COUNTBLANK(OFFSET(A$1,,,SUMPRODUCT(MAX(ROW(E$2:E2606)*(E2606=E$2:E2606)))))-COUNTBLANK(OFFSET(A$1,,,SUMPRODUCT(MAX(ROW(E$1:E2605)*(E2=E$1:E2605))))))</f>
        <v> </v>
      </c>
      <c r="K2606" s="26" t="str">
        <f>IF(OR(E2606="",E2606="!!!",F2606="NEW"),"",INDEX(J$1:J2605,SUMPRODUCT(MAX(ROW(E$1:E2605)*(E2606=E$1:E2605)))))</f>
        <v> </v>
      </c>
      <c r="L2606" s="27"/>
    </row>
    <row r="2607" spans="1:12">
      <c r="A2607" s="20" t="s">
        <v>1711</v>
      </c>
      <c r="B2607" s="21" t="s">
        <v>736</v>
      </c>
      <c r="C2607" s="21" t="s">
        <v>740</v>
      </c>
      <c r="D2607" s="21" t="s">
        <v>730</v>
      </c>
      <c r="E2607" s="22">
        <f>IF(D2607="?OLD","!!!","")</f>
        <v/>
      </c>
      <c r="F2607" s="23" t="str">
        <f>IF(OR(E2607="",E2607="!!!"),"",IF(NOT(ISNA(VLOOKUP(E2607,E$1:E2606,1,FALSE()))),"OLD",IF(AND(E2607&lt;&gt;"",E2607&lt;&gt;"!!!"),"NEW","")))</f>
        <v> </v>
      </c>
      <c r="G2607" s="24" t="str">
        <f>IF(OR(E2607="",E2607="!!!"),"",IF(OR(J2607=0,AND(J2607=1,K2607=1),AND(J2607=1,I2607="SBJ"),AND(J2607=1,I2607=0)),"?IN_FOCUS",IF(J2607&lt;=2,"?ACTIVATED",IF(J2607&lt;&gt;"","?FAMILIAR",IF(F2607="NEW",IF(ISNA(VLOOKUP(E2607,#REF!,1,FALSE())),"?TYPE_IDENTIFIABLE","?REFERENTIAL"),"_")))))</f>
        <v> </v>
      </c>
      <c r="H2607" s="25" t="str">
        <f>IF(J2607&lt;&gt;1,"",IF(I2607="SBJ","CB","?"))</f>
        <v> </v>
      </c>
      <c r="I2607" s="26" t="str">
        <f>IF(OR(E2607="",E2607="!!!",F2607="NEW"),"",INDEX(B2606:B$2,-1+SUMPRODUCT(MAX(ROW(E2606:E$2)*(E2607=E2606:E$2)))))</f>
        <v> </v>
      </c>
      <c r="J2607" s="26" t="str">
        <f>IF(OR(E2607="",E2607="!!!",F2607="NEW"),"",COUNTBLANK(OFFSET(A$1,,,SUMPRODUCT(MAX(ROW(E$2:E2607)*(E2607=E$2:E2607)))))-COUNTBLANK(OFFSET(A$1,,,SUMPRODUCT(MAX(ROW(E$1:E2606)*(E2=E$1:E2606))))))</f>
        <v> </v>
      </c>
      <c r="K2607" s="26" t="str">
        <f>IF(OR(E2607="",E2607="!!!",F2607="NEW"),"",INDEX(J$1:J2606,SUMPRODUCT(MAX(ROW(E$1:E2606)*(E2607=E$1:E2606)))))</f>
        <v> </v>
      </c>
      <c r="L2607" s="27"/>
    </row>
    <row r="2608" spans="1:12">
      <c r="A2608" s="20" t="s">
        <v>759</v>
      </c>
      <c r="E2608" s="22">
        <f>IF(D2608="?OLD","!!!","")</f>
        <v/>
      </c>
      <c r="F2608" s="23" t="str">
        <f>IF(OR(E2608="",E2608="!!!"),"",IF(NOT(ISNA(VLOOKUP(E2608,E$1:E2607,1,FALSE()))),"OLD",IF(AND(E2608&lt;&gt;"",E2608&lt;&gt;"!!!"),"NEW","")))</f>
        <v> </v>
      </c>
      <c r="G2608" s="24" t="str">
        <f>IF(OR(E2608="",E2608="!!!"),"",IF(OR(J2608=0,AND(J2608=1,K2608=1),AND(J2608=1,I2608="SBJ"),AND(J2608=1,I2608=0)),"?IN_FOCUS",IF(J2608&lt;=2,"?ACTIVATED",IF(J2608&lt;&gt;"","?FAMILIAR",IF(F2608="NEW",IF(ISNA(VLOOKUP(E2608,#REF!,1,FALSE())),"?TYPE_IDENTIFIABLE","?REFERENTIAL"),"_")))))</f>
        <v> </v>
      </c>
      <c r="H2608" s="25" t="str">
        <f>IF(J2608&lt;&gt;1,"",IF(I2608="SBJ","CB","?"))</f>
        <v> </v>
      </c>
      <c r="I2608" s="26" t="str">
        <f>IF(OR(E2608="",E2608="!!!",F2608="NEW"),"",INDEX(B2607:B$2,-1+SUMPRODUCT(MAX(ROW(E2607:E$2)*(E2608=E2607:E$2)))))</f>
        <v> </v>
      </c>
      <c r="J2608" s="26" t="str">
        <f>IF(OR(E2608="",E2608="!!!",F2608="NEW"),"",COUNTBLANK(OFFSET(A$1,,,SUMPRODUCT(MAX(ROW(E$2:E2608)*(E2608=E$2:E2608)))))-COUNTBLANK(OFFSET(A$1,,,SUMPRODUCT(MAX(ROW(E$1:E2607)*(E2=E$1:E2607))))))</f>
        <v> </v>
      </c>
      <c r="K2608" s="26" t="str">
        <f>IF(OR(E2608="",E2608="!!!",F2608="NEW"),"",INDEX(J$1:J2607,SUMPRODUCT(MAX(ROW(E$1:E2607)*(E2608=E$1:E2607)))))</f>
        <v> </v>
      </c>
      <c r="L2608" s="27"/>
    </row>
    <row r="2609" spans="1:12">
      <c r="A2609" s="20" t="s">
        <v>1712</v>
      </c>
      <c r="B2609" s="21" t="s">
        <v>739</v>
      </c>
      <c r="C2609" s="21" t="s">
        <v>748</v>
      </c>
      <c r="E2609" s="22">
        <f>IF(D2609="?OLD","!!!","")</f>
        <v/>
      </c>
      <c r="F2609" s="23" t="str">
        <f>IF(OR(E2609="",E2609="!!!"),"",IF(NOT(ISNA(VLOOKUP(E2609,E$1:E2608,1,FALSE()))),"OLD",IF(AND(E2609&lt;&gt;"",E2609&lt;&gt;"!!!"),"NEW","")))</f>
        <v> </v>
      </c>
      <c r="G2609" s="24" t="str">
        <f>IF(OR(E2609="",E2609="!!!"),"",IF(OR(J2609=0,AND(J2609=1,K2609=1),AND(J2609=1,I2609="SBJ"),AND(J2609=1,I2609=0)),"?IN_FOCUS",IF(J2609&lt;=2,"?ACTIVATED",IF(J2609&lt;&gt;"","?FAMILIAR",IF(F2609="NEW",IF(ISNA(VLOOKUP(E2609,#REF!,1,FALSE())),"?TYPE_IDENTIFIABLE","?REFERENTIAL"),"_")))))</f>
        <v> </v>
      </c>
      <c r="H2609" s="25" t="str">
        <f>IF(J2609&lt;&gt;1,"",IF(I2609="SBJ","CB","?"))</f>
        <v> </v>
      </c>
      <c r="I2609" s="26" t="str">
        <f>IF(OR(E2609="",E2609="!!!",F2609="NEW"),"",INDEX(B2608:B$2,-1+SUMPRODUCT(MAX(ROW(E2608:E$2)*(E2609=E2608:E$2)))))</f>
        <v> </v>
      </c>
      <c r="J2609" s="26" t="str">
        <f>IF(OR(E2609="",E2609="!!!",F2609="NEW"),"",COUNTBLANK(OFFSET(A$1,,,SUMPRODUCT(MAX(ROW(E$2:E2609)*(E2609=E$2:E2609)))))-COUNTBLANK(OFFSET(A$1,,,SUMPRODUCT(MAX(ROW(E$1:E2608)*(E2=E$1:E2608))))))</f>
        <v> </v>
      </c>
      <c r="K2609" s="26" t="str">
        <f>IF(OR(E2609="",E2609="!!!",F2609="NEW"),"",INDEX(J$1:J2608,SUMPRODUCT(MAX(ROW(E$1:E2608)*(E2609=E$1:E2608)))))</f>
        <v> </v>
      </c>
      <c r="L2609" s="27"/>
    </row>
    <row r="2610" spans="1:12">
      <c r="A2610" s="20" t="s">
        <v>759</v>
      </c>
      <c r="E2610" s="22">
        <f>IF(D2610="?OLD","!!!","")</f>
        <v/>
      </c>
      <c r="F2610" s="23" t="str">
        <f>IF(OR(E2610="",E2610="!!!"),"",IF(NOT(ISNA(VLOOKUP(E2610,E$1:E2609,1,FALSE()))),"OLD",IF(AND(E2610&lt;&gt;"",E2610&lt;&gt;"!!!"),"NEW","")))</f>
        <v> </v>
      </c>
      <c r="G2610" s="24" t="str">
        <f>IF(OR(E2610="",E2610="!!!"),"",IF(OR(J2610=0,AND(J2610=1,K2610=1),AND(J2610=1,I2610="SBJ"),AND(J2610=1,I2610=0)),"?IN_FOCUS",IF(J2610&lt;=2,"?ACTIVATED",IF(J2610&lt;&gt;"","?FAMILIAR",IF(F2610="NEW",IF(ISNA(VLOOKUP(E2610,#REF!,1,FALSE())),"?TYPE_IDENTIFIABLE","?REFERENTIAL"),"_")))))</f>
        <v> </v>
      </c>
      <c r="H2610" s="25" t="str">
        <f>IF(J2610&lt;&gt;1,"",IF(I2610="SBJ","CB","?"))</f>
        <v> </v>
      </c>
      <c r="I2610" s="26" t="str">
        <f>IF(OR(E2610="",E2610="!!!",F2610="NEW"),"",INDEX(B2609:B$2,-1+SUMPRODUCT(MAX(ROW(E2609:E$2)*(E2610=E2609:E$2)))))</f>
        <v> </v>
      </c>
      <c r="J2610" s="26" t="str">
        <f>IF(OR(E2610="",E2610="!!!",F2610="NEW"),"",COUNTBLANK(OFFSET(A$1,,,SUMPRODUCT(MAX(ROW(E$2:E2610)*(E2610=E$2:E2610)))))-COUNTBLANK(OFFSET(A$1,,,SUMPRODUCT(MAX(ROW(E$1:E2609)*(E2=E$1:E2609))))))</f>
        <v> </v>
      </c>
      <c r="K2610" s="26" t="str">
        <f>IF(OR(E2610="",E2610="!!!",F2610="NEW"),"",INDEX(J$1:J2609,SUMPRODUCT(MAX(ROW(E$1:E2609)*(E2610=E$1:E2609)))))</f>
        <v> </v>
      </c>
      <c r="L2610" s="27"/>
    </row>
    <row r="2611" spans="1:12">
      <c r="A2611" s="20" t="s">
        <v>1340</v>
      </c>
      <c r="B2611" s="21" t="s">
        <v>739</v>
      </c>
      <c r="C2611" s="21" t="s">
        <v>748</v>
      </c>
      <c r="E2611" s="22">
        <f>IF(D2611="?OLD","!!!","")</f>
        <v/>
      </c>
      <c r="F2611" s="23" t="str">
        <f>IF(OR(E2611="",E2611="!!!"),"",IF(NOT(ISNA(VLOOKUP(E2611,E$1:E2610,1,FALSE()))),"OLD",IF(AND(E2611&lt;&gt;"",E2611&lt;&gt;"!!!"),"NEW","")))</f>
        <v> </v>
      </c>
      <c r="G2611" s="24" t="str">
        <f>IF(OR(E2611="",E2611="!!!"),"",IF(OR(J2611=0,AND(J2611=1,K2611=1),AND(J2611=1,I2611="SBJ"),AND(J2611=1,I2611=0)),"?IN_FOCUS",IF(J2611&lt;=2,"?ACTIVATED",IF(J2611&lt;&gt;"","?FAMILIAR",IF(F2611="NEW",IF(ISNA(VLOOKUP(E2611,#REF!,1,FALSE())),"?TYPE_IDENTIFIABLE","?REFERENTIAL"),"_")))))</f>
        <v> </v>
      </c>
      <c r="H2611" s="25" t="str">
        <f>IF(J2611&lt;&gt;1,"",IF(I2611="SBJ","CB","?"))</f>
        <v> </v>
      </c>
      <c r="I2611" s="26" t="str">
        <f>IF(OR(E2611="",E2611="!!!",F2611="NEW"),"",INDEX(B2610:B$2,-1+SUMPRODUCT(MAX(ROW(E2610:E$2)*(E2611=E2610:E$2)))))</f>
        <v> </v>
      </c>
      <c r="J2611" s="26" t="str">
        <f>IF(OR(E2611="",E2611="!!!",F2611="NEW"),"",COUNTBLANK(OFFSET(A$1,,,SUMPRODUCT(MAX(ROW(E$2:E2611)*(E2611=E$2:E2611)))))-COUNTBLANK(OFFSET(A$1,,,SUMPRODUCT(MAX(ROW(E$1:E2610)*(E2=E$1:E2610))))))</f>
        <v> </v>
      </c>
      <c r="K2611" s="26" t="str">
        <f>IF(OR(E2611="",E2611="!!!",F2611="NEW"),"",INDEX(J$1:J2610,SUMPRODUCT(MAX(ROW(E$1:E2610)*(E2611=E$1:E2610)))))</f>
        <v> </v>
      </c>
      <c r="L2611" s="27"/>
    </row>
    <row r="2612" spans="1:12">
      <c r="A2612" s="20" t="s">
        <v>759</v>
      </c>
      <c r="E2612" s="22">
        <f>IF(D2612="?OLD","!!!","")</f>
        <v/>
      </c>
      <c r="F2612" s="23" t="str">
        <f>IF(OR(E2612="",E2612="!!!"),"",IF(NOT(ISNA(VLOOKUP(E2612,E$1:E2611,1,FALSE()))),"OLD",IF(AND(E2612&lt;&gt;"",E2612&lt;&gt;"!!!"),"NEW","")))</f>
        <v> </v>
      </c>
      <c r="G2612" s="24" t="str">
        <f>IF(OR(E2612="",E2612="!!!"),"",IF(OR(J2612=0,AND(J2612=1,K2612=1),AND(J2612=1,I2612="SBJ"),AND(J2612=1,I2612=0)),"?IN_FOCUS",IF(J2612&lt;=2,"?ACTIVATED",IF(J2612&lt;&gt;"","?FAMILIAR",IF(F2612="NEW",IF(ISNA(VLOOKUP(E2612,#REF!,1,FALSE())),"?TYPE_IDENTIFIABLE","?REFERENTIAL"),"_")))))</f>
        <v> </v>
      </c>
      <c r="H2612" s="25" t="str">
        <f>IF(J2612&lt;&gt;1,"",IF(I2612="SBJ","CB","?"))</f>
        <v> </v>
      </c>
      <c r="I2612" s="26" t="str">
        <f>IF(OR(E2612="",E2612="!!!",F2612="NEW"),"",INDEX(B2611:B$2,-1+SUMPRODUCT(MAX(ROW(E2611:E$2)*(E2612=E2611:E$2)))))</f>
        <v> </v>
      </c>
      <c r="J2612" s="26" t="str">
        <f>IF(OR(E2612="",E2612="!!!",F2612="NEW"),"",COUNTBLANK(OFFSET(A$1,,,SUMPRODUCT(MAX(ROW(E$2:E2612)*(E2612=E$2:E2612)))))-COUNTBLANK(OFFSET(A$1,,,SUMPRODUCT(MAX(ROW(E$1:E2611)*(E2=E$1:E2611))))))</f>
        <v> </v>
      </c>
      <c r="K2612" s="26" t="str">
        <f>IF(OR(E2612="",E2612="!!!",F2612="NEW"),"",INDEX(J$1:J2611,SUMPRODUCT(MAX(ROW(E$1:E2611)*(E2612=E$1:E2611)))))</f>
        <v> </v>
      </c>
      <c r="L2612" s="27"/>
    </row>
    <row r="2613" spans="1:12">
      <c r="A2613" s="20" t="s">
        <v>813</v>
      </c>
      <c r="B2613" s="21" t="s">
        <v>788</v>
      </c>
      <c r="E2613" s="22">
        <f>IF(D2613="?OLD","!!!","")</f>
        <v/>
      </c>
      <c r="F2613" s="23" t="str">
        <f>IF(OR(E2613="",E2613="!!!"),"",IF(NOT(ISNA(VLOOKUP(E2613,E$1:E2612,1,FALSE()))),"OLD",IF(AND(E2613&lt;&gt;"",E2613&lt;&gt;"!!!"),"NEW","")))</f>
        <v> </v>
      </c>
      <c r="G2613" s="24" t="str">
        <f>IF(OR(E2613="",E2613="!!!"),"",IF(OR(J2613=0,AND(J2613=1,K2613=1),AND(J2613=1,I2613="SBJ"),AND(J2613=1,I2613=0)),"?IN_FOCUS",IF(J2613&lt;=2,"?ACTIVATED",IF(J2613&lt;&gt;"","?FAMILIAR",IF(F2613="NEW",IF(ISNA(VLOOKUP(E2613,#REF!,1,FALSE())),"?TYPE_IDENTIFIABLE","?REFERENTIAL"),"_")))))</f>
        <v> </v>
      </c>
      <c r="H2613" s="25" t="str">
        <f>IF(J2613&lt;&gt;1,"",IF(I2613="SBJ","CB","?"))</f>
        <v> </v>
      </c>
      <c r="I2613" s="26" t="str">
        <f>IF(OR(E2613="",E2613="!!!",F2613="NEW"),"",INDEX(B2612:B$2,-1+SUMPRODUCT(MAX(ROW(E2612:E$2)*(E2613=E2612:E$2)))))</f>
        <v> </v>
      </c>
      <c r="J2613" s="26" t="str">
        <f>IF(OR(E2613="",E2613="!!!",F2613="NEW"),"",COUNTBLANK(OFFSET(A$1,,,SUMPRODUCT(MAX(ROW(E$2:E2613)*(E2613=E$2:E2613)))))-COUNTBLANK(OFFSET(A$1,,,SUMPRODUCT(MAX(ROW(E$1:E2612)*(E2=E$1:E2612))))))</f>
        <v> </v>
      </c>
      <c r="K2613" s="26" t="str">
        <f>IF(OR(E2613="",E2613="!!!",F2613="NEW"),"",INDEX(J$1:J2612,SUMPRODUCT(MAX(ROW(E$1:E2612)*(E2613=E$1:E2612)))))</f>
        <v> </v>
      </c>
      <c r="L2613" s="27"/>
    </row>
    <row r="2614" spans="1:12">
      <c r="A2614" s="20" t="s">
        <v>804</v>
      </c>
      <c r="B2614" s="21" t="s">
        <v>843</v>
      </c>
      <c r="E2614" s="22">
        <f>IF(D2614="?OLD","!!!","")</f>
        <v/>
      </c>
      <c r="F2614" s="23" t="str">
        <f>IF(OR(E2614="",E2614="!!!"),"",IF(NOT(ISNA(VLOOKUP(E2614,E$1:E2613,1,FALSE()))),"OLD",IF(AND(E2614&lt;&gt;"",E2614&lt;&gt;"!!!"),"NEW","")))</f>
        <v> </v>
      </c>
      <c r="G2614" s="24" t="str">
        <f>IF(OR(E2614="",E2614="!!!"),"",IF(OR(J2614=0,AND(J2614=1,K2614=1),AND(J2614=1,I2614="SBJ"),AND(J2614=1,I2614=0)),"?IN_FOCUS",IF(J2614&lt;=2,"?ACTIVATED",IF(J2614&lt;&gt;"","?FAMILIAR",IF(F2614="NEW",IF(ISNA(VLOOKUP(E2614,#REF!,1,FALSE())),"?TYPE_IDENTIFIABLE","?REFERENTIAL"),"_")))))</f>
        <v> </v>
      </c>
      <c r="H2614" s="25" t="str">
        <f>IF(J2614&lt;&gt;1,"",IF(I2614="SBJ","CB","?"))</f>
        <v> </v>
      </c>
      <c r="I2614" s="26" t="str">
        <f>IF(OR(E2614="",E2614="!!!",F2614="NEW"),"",INDEX(B2613:B$2,-1+SUMPRODUCT(MAX(ROW(E2613:E$2)*(E2614=E2613:E$2)))))</f>
        <v> </v>
      </c>
      <c r="J2614" s="26" t="str">
        <f>IF(OR(E2614="",E2614="!!!",F2614="NEW"),"",COUNTBLANK(OFFSET(A$1,,,SUMPRODUCT(MAX(ROW(E$2:E2614)*(E2614=E$2:E2614)))))-COUNTBLANK(OFFSET(A$1,,,SUMPRODUCT(MAX(ROW(E$1:E2613)*(E2=E$1:E2613))))))</f>
        <v> </v>
      </c>
      <c r="K2614" s="26" t="str">
        <f>IF(OR(E2614="",E2614="!!!",F2614="NEW"),"",INDEX(J$1:J2613,SUMPRODUCT(MAX(ROW(E$1:E2613)*(E2614=E$1:E2613)))))</f>
        <v> </v>
      </c>
      <c r="L2614" s="27"/>
    </row>
    <row r="2615" spans="1:12">
      <c r="A2615" s="20" t="s">
        <v>1107</v>
      </c>
      <c r="E2615" s="22">
        <f>IF(D2615="?OLD","!!!","")</f>
        <v/>
      </c>
      <c r="F2615" s="23" t="str">
        <f>IF(OR(E2615="",E2615="!!!"),"",IF(NOT(ISNA(VLOOKUP(E2615,E$1:E2614,1,FALSE()))),"OLD",IF(AND(E2615&lt;&gt;"",E2615&lt;&gt;"!!!"),"NEW","")))</f>
        <v> </v>
      </c>
      <c r="G2615" s="24" t="str">
        <f>IF(OR(E2615="",E2615="!!!"),"",IF(OR(J2615=0,AND(J2615=1,K2615=1),AND(J2615=1,I2615="SBJ"),AND(J2615=1,I2615=0)),"?IN_FOCUS",IF(J2615&lt;=2,"?ACTIVATED",IF(J2615&lt;&gt;"","?FAMILIAR",IF(F2615="NEW",IF(ISNA(VLOOKUP(E2615,#REF!,1,FALSE())),"?TYPE_IDENTIFIABLE","?REFERENTIAL"),"_")))))</f>
        <v> </v>
      </c>
      <c r="H2615" s="25" t="str">
        <f>IF(J2615&lt;&gt;1,"",IF(I2615="SBJ","CB","?"))</f>
        <v> </v>
      </c>
      <c r="I2615" s="26" t="str">
        <f>IF(OR(E2615="",E2615="!!!",F2615="NEW"),"",INDEX(B2614:B$2,-1+SUMPRODUCT(MAX(ROW(E2614:E$2)*(E2615=E2614:E$2)))))</f>
        <v> </v>
      </c>
      <c r="J2615" s="26" t="str">
        <f>IF(OR(E2615="",E2615="!!!",F2615="NEW"),"",COUNTBLANK(OFFSET(A$1,,,SUMPRODUCT(MAX(ROW(E$2:E2615)*(E2615=E$2:E2615)))))-COUNTBLANK(OFFSET(A$1,,,SUMPRODUCT(MAX(ROW(E$1:E2614)*(E2=E$1:E2614))))))</f>
        <v> </v>
      </c>
      <c r="K2615" s="26" t="str">
        <f>IF(OR(E2615="",E2615="!!!",F2615="NEW"),"",INDEX(J$1:J2614,SUMPRODUCT(MAX(ROW(E$1:E2614)*(E2615=E$1:E2614)))))</f>
        <v> </v>
      </c>
      <c r="L2615" s="27"/>
    </row>
    <row r="2616" spans="1:12">
      <c r="A2616" s="20" t="s">
        <v>1713</v>
      </c>
      <c r="B2616" s="21" t="s">
        <v>783</v>
      </c>
      <c r="C2616" s="21" t="s">
        <v>789</v>
      </c>
      <c r="D2616" s="21" t="s">
        <v>730</v>
      </c>
      <c r="E2616" s="22">
        <f>IF(D2616="?OLD","!!!","")</f>
        <v/>
      </c>
      <c r="F2616" s="23" t="str">
        <f>IF(OR(E2616="",E2616="!!!"),"",IF(NOT(ISNA(VLOOKUP(E2616,E$1:E2615,1,FALSE()))),"OLD",IF(AND(E2616&lt;&gt;"",E2616&lt;&gt;"!!!"),"NEW","")))</f>
        <v> </v>
      </c>
      <c r="G2616" s="24" t="str">
        <f>IF(OR(E2616="",E2616="!!!"),"",IF(OR(J2616=0,AND(J2616=1,K2616=1),AND(J2616=1,I2616="SBJ"),AND(J2616=1,I2616=0)),"?IN_FOCUS",IF(J2616&lt;=2,"?ACTIVATED",IF(J2616&lt;&gt;"","?FAMILIAR",IF(F2616="NEW",IF(ISNA(VLOOKUP(E2616,#REF!,1,FALSE())),"?TYPE_IDENTIFIABLE","?REFERENTIAL"),"_")))))</f>
        <v> </v>
      </c>
      <c r="H2616" s="25" t="str">
        <f>IF(J2616&lt;&gt;1,"",IF(I2616="SBJ","CB","?"))</f>
        <v> </v>
      </c>
      <c r="I2616" s="26" t="str">
        <f>IF(OR(E2616="",E2616="!!!",F2616="NEW"),"",INDEX(B2615:B$2,-1+SUMPRODUCT(MAX(ROW(E2615:E$2)*(E2616=E2615:E$2)))))</f>
        <v> </v>
      </c>
      <c r="J2616" s="26" t="str">
        <f>IF(OR(E2616="",E2616="!!!",F2616="NEW"),"",COUNTBLANK(OFFSET(A$1,,,SUMPRODUCT(MAX(ROW(E$2:E2616)*(E2616=E$2:E2616)))))-COUNTBLANK(OFFSET(A$1,,,SUMPRODUCT(MAX(ROW(E$1:E2615)*(E2=E$1:E2615))))))</f>
        <v> </v>
      </c>
      <c r="K2616" s="26" t="str">
        <f>IF(OR(E2616="",E2616="!!!",F2616="NEW"),"",INDEX(J$1:J2615,SUMPRODUCT(MAX(ROW(E$1:E2615)*(E2616=E$1:E2615)))))</f>
        <v> </v>
      </c>
      <c r="L2616" s="27"/>
    </row>
    <row r="2617" spans="1:12">
      <c r="A2617" s="20" t="s">
        <v>1714</v>
      </c>
      <c r="E2617" s="22">
        <f>IF(D2617="?OLD","!!!","")</f>
        <v/>
      </c>
      <c r="F2617" s="23" t="str">
        <f>IF(OR(E2617="",E2617="!!!"),"",IF(NOT(ISNA(VLOOKUP(E2617,E$1:E2616,1,FALSE()))),"OLD",IF(AND(E2617&lt;&gt;"",E2617&lt;&gt;"!!!"),"NEW","")))</f>
        <v> </v>
      </c>
      <c r="G2617" s="24" t="str">
        <f>IF(OR(E2617="",E2617="!!!"),"",IF(OR(J2617=0,AND(J2617=1,K2617=1),AND(J2617=1,I2617="SBJ"),AND(J2617=1,I2617=0)),"?IN_FOCUS",IF(J2617&lt;=2,"?ACTIVATED",IF(J2617&lt;&gt;"","?FAMILIAR",IF(F2617="NEW",IF(ISNA(VLOOKUP(E2617,#REF!,1,FALSE())),"?TYPE_IDENTIFIABLE","?REFERENTIAL"),"_")))))</f>
        <v> </v>
      </c>
      <c r="H2617" s="25" t="str">
        <f>IF(J2617&lt;&gt;1,"",IF(I2617="SBJ","CB","?"))</f>
        <v> </v>
      </c>
      <c r="I2617" s="26" t="str">
        <f>IF(OR(E2617="",E2617="!!!",F2617="NEW"),"",INDEX(B2616:B$2,-1+SUMPRODUCT(MAX(ROW(E2616:E$2)*(E2617=E2616:E$2)))))</f>
        <v> </v>
      </c>
      <c r="J2617" s="26" t="str">
        <f>IF(OR(E2617="",E2617="!!!",F2617="NEW"),"",COUNTBLANK(OFFSET(A$1,,,SUMPRODUCT(MAX(ROW(E$2:E2617)*(E2617=E$2:E2617)))))-COUNTBLANK(OFFSET(A$1,,,SUMPRODUCT(MAX(ROW(E$1:E2616)*(E2=E$1:E2616))))))</f>
        <v> </v>
      </c>
      <c r="K2617" s="26" t="str">
        <f>IF(OR(E2617="",E2617="!!!",F2617="NEW"),"",INDEX(J$1:J2616,SUMPRODUCT(MAX(ROW(E$1:E2616)*(E2617=E$1:E2616)))))</f>
        <v> </v>
      </c>
      <c r="L2617" s="27"/>
    </row>
    <row r="2618" spans="1:12">
      <c r="A2618" s="20" t="s">
        <v>1715</v>
      </c>
      <c r="B2618" s="21" t="s">
        <v>755</v>
      </c>
      <c r="C2618" s="21" t="s">
        <v>801</v>
      </c>
      <c r="E2618" s="22">
        <f>IF(D2618="?OLD","!!!","")</f>
        <v/>
      </c>
      <c r="F2618" s="23" t="str">
        <f>IF(OR(E2618="",E2618="!!!"),"",IF(NOT(ISNA(VLOOKUP(E2618,E$1:E2617,1,FALSE()))),"OLD",IF(AND(E2618&lt;&gt;"",E2618&lt;&gt;"!!!"),"NEW","")))</f>
        <v> </v>
      </c>
      <c r="G2618" s="24" t="str">
        <f>IF(OR(E2618="",E2618="!!!"),"",IF(OR(J2618=0,AND(J2618=1,K2618=1),AND(J2618=1,I2618="SBJ"),AND(J2618=1,I2618=0)),"?IN_FOCUS",IF(J2618&lt;=2,"?ACTIVATED",IF(J2618&lt;&gt;"","?FAMILIAR",IF(F2618="NEW",IF(ISNA(VLOOKUP(E2618,#REF!,1,FALSE())),"?TYPE_IDENTIFIABLE","?REFERENTIAL"),"_")))))</f>
        <v> </v>
      </c>
      <c r="H2618" s="25" t="str">
        <f>IF(J2618&lt;&gt;1,"",IF(I2618="SBJ","CB","?"))</f>
        <v> </v>
      </c>
      <c r="I2618" s="26" t="str">
        <f>IF(OR(E2618="",E2618="!!!",F2618="NEW"),"",INDEX(B2617:B$2,-1+SUMPRODUCT(MAX(ROW(E2617:E$2)*(E2618=E2617:E$2)))))</f>
        <v> </v>
      </c>
      <c r="J2618" s="26" t="str">
        <f>IF(OR(E2618="",E2618="!!!",F2618="NEW"),"",COUNTBLANK(OFFSET(A$1,,,SUMPRODUCT(MAX(ROW(E$2:E2618)*(E2618=E$2:E2618)))))-COUNTBLANK(OFFSET(A$1,,,SUMPRODUCT(MAX(ROW(E$1:E2617)*(E2=E$1:E2617))))))</f>
        <v> </v>
      </c>
      <c r="K2618" s="26" t="str">
        <f>IF(OR(E2618="",E2618="!!!",F2618="NEW"),"",INDEX(J$1:J2617,SUMPRODUCT(MAX(ROW(E$1:E2617)*(E2618=E$1:E2617)))))</f>
        <v> </v>
      </c>
      <c r="L2618" s="27"/>
    </row>
    <row r="2619" spans="1:12">
      <c r="A2619" s="20" t="s">
        <v>1716</v>
      </c>
      <c r="E2619" s="22">
        <f>IF(D2619="?OLD","!!!","")</f>
        <v/>
      </c>
      <c r="F2619" s="23" t="str">
        <f>IF(OR(E2619="",E2619="!!!"),"",IF(NOT(ISNA(VLOOKUP(E2619,E$1:E2618,1,FALSE()))),"OLD",IF(AND(E2619&lt;&gt;"",E2619&lt;&gt;"!!!"),"NEW","")))</f>
        <v> </v>
      </c>
      <c r="G2619" s="24" t="str">
        <f>IF(OR(E2619="",E2619="!!!"),"",IF(OR(J2619=0,AND(J2619=1,K2619=1),AND(J2619=1,I2619="SBJ"),AND(J2619=1,I2619=0)),"?IN_FOCUS",IF(J2619&lt;=2,"?ACTIVATED",IF(J2619&lt;&gt;"","?FAMILIAR",IF(F2619="NEW",IF(ISNA(VLOOKUP(E2619,#REF!,1,FALSE())),"?TYPE_IDENTIFIABLE","?REFERENTIAL"),"_")))))</f>
        <v> </v>
      </c>
      <c r="H2619" s="25" t="str">
        <f>IF(J2619&lt;&gt;1,"",IF(I2619="SBJ","CB","?"))</f>
        <v> </v>
      </c>
      <c r="I2619" s="26" t="str">
        <f>IF(OR(E2619="",E2619="!!!",F2619="NEW"),"",INDEX(B2618:B$2,-1+SUMPRODUCT(MAX(ROW(E2618:E$2)*(E2619=E2618:E$2)))))</f>
        <v> </v>
      </c>
      <c r="J2619" s="26" t="str">
        <f>IF(OR(E2619="",E2619="!!!",F2619="NEW"),"",COUNTBLANK(OFFSET(A$1,,,SUMPRODUCT(MAX(ROW(E$2:E2619)*(E2619=E$2:E2619)))))-COUNTBLANK(OFFSET(A$1,,,SUMPRODUCT(MAX(ROW(E$1:E2618)*(E2=E$1:E2618))))))</f>
        <v> </v>
      </c>
      <c r="K2619" s="26" t="str">
        <f>IF(OR(E2619="",E2619="!!!",F2619="NEW"),"",INDEX(J$1:J2618,SUMPRODUCT(MAX(ROW(E$1:E2618)*(E2619=E$1:E2618)))))</f>
        <v> </v>
      </c>
      <c r="L2619" s="27"/>
    </row>
    <row r="2620" spans="1:12">
      <c r="A2620" s="20" t="s">
        <v>246</v>
      </c>
      <c r="E2620" s="22">
        <f>IF(D2620="?OLD","!!!","")</f>
        <v/>
      </c>
      <c r="F2620" s="23" t="str">
        <f>IF(OR(E2620="",E2620="!!!"),"",IF(NOT(ISNA(VLOOKUP(E2620,E$1:E2619,1,FALSE()))),"OLD",IF(AND(E2620&lt;&gt;"",E2620&lt;&gt;"!!!"),"NEW","")))</f>
        <v> </v>
      </c>
      <c r="G2620" s="24" t="str">
        <f>IF(OR(E2620="",E2620="!!!"),"",IF(OR(J2620=0,AND(J2620=1,K2620=1),AND(J2620=1,I2620="SBJ"),AND(J2620=1,I2620=0)),"?IN_FOCUS",IF(J2620&lt;=2,"?ACTIVATED",IF(J2620&lt;&gt;"","?FAMILIAR",IF(F2620="NEW",IF(ISNA(VLOOKUP(E2620,#REF!,1,FALSE())),"?TYPE_IDENTIFIABLE","?REFERENTIAL"),"_")))))</f>
        <v> </v>
      </c>
      <c r="H2620" s="25" t="str">
        <f>IF(J2620&lt;&gt;1,"",IF(I2620="SBJ","CB","?"))</f>
        <v> </v>
      </c>
      <c r="I2620" s="26" t="str">
        <f>IF(OR(E2620="",E2620="!!!",F2620="NEW"),"",INDEX(B2619:B$2,-1+SUMPRODUCT(MAX(ROW(E2619:E$2)*(E2620=E2619:E$2)))))</f>
        <v> </v>
      </c>
      <c r="J2620" s="26" t="str">
        <f>IF(OR(E2620="",E2620="!!!",F2620="NEW"),"",COUNTBLANK(OFFSET(A$1,,,SUMPRODUCT(MAX(ROW(E$2:E2620)*(E2620=E$2:E2620)))))-COUNTBLANK(OFFSET(A$1,,,SUMPRODUCT(MAX(ROW(E$1:E2619)*(E2=E$1:E2619))))))</f>
        <v> </v>
      </c>
      <c r="K2620" s="26" t="str">
        <f>IF(OR(E2620="",E2620="!!!",F2620="NEW"),"",INDEX(J$1:J2619,SUMPRODUCT(MAX(ROW(E$1:E2619)*(E2620=E$1:E2619)))))</f>
        <v> </v>
      </c>
      <c r="L2620" s="27"/>
    </row>
    <row r="2621" spans="1:12">
      <c r="A2621" s="20"/>
    </row>
    <row r="2622" spans="1:12">
      <c r="A2622" s="20" t="s">
        <v>1717</v>
      </c>
    </row>
    <row r="2623" spans="1:12">
      <c r="A2623" s="20" t="s">
        <v>727</v>
      </c>
      <c r="B2623" s="21" t="s">
        <v>728</v>
      </c>
      <c r="C2623" s="21" t="s">
        <v>729</v>
      </c>
      <c r="D2623" s="21" t="s">
        <v>730</v>
      </c>
      <c r="E2623" s="22">
        <f>IF(D2623="?OLD","!!!","")</f>
        <v/>
      </c>
      <c r="F2623" s="23" t="str">
        <f>IF(OR(E2623="",E2623="!!!"),"",IF(NOT(ISNA(VLOOKUP(E2623,E$1:E2622,1,FALSE()))),"OLD",IF(AND(E2623&lt;&gt;"",E2623&lt;&gt;"!!!"),"NEW","")))</f>
        <v> </v>
      </c>
      <c r="G2623" s="24" t="str">
        <f>IF(OR(E2623="",E2623="!!!"),"",IF(OR(J2623=0,AND(J2623=1,K2623=1),AND(J2623=1,I2623="SBJ"),AND(J2623=1,I2623=0)),"?IN_FOCUS",IF(J2623&lt;=2,"?ACTIVATED",IF(J2623&lt;&gt;"","?FAMILIAR",IF(F2623="NEW",IF(ISNA(VLOOKUP(E2623,#REF!,1,FALSE())),"?TYPE_IDENTIFIABLE","?REFERENTIAL"),"_")))))</f>
        <v> </v>
      </c>
      <c r="H2623" s="25" t="str">
        <f>IF(J2623&lt;&gt;1,"",IF(I2623="SBJ","CB","?"))</f>
        <v> </v>
      </c>
      <c r="I2623" s="26" t="str">
        <f>IF(OR(E2623="",E2623="!!!",F2623="NEW"),"",INDEX(B2622:B$2,-1+SUMPRODUCT(MAX(ROW(E2622:E$2)*(E2623=E2622:E$2)))))</f>
        <v> </v>
      </c>
      <c r="J2623" s="26" t="str">
        <f>IF(OR(E2623="",E2623="!!!",F2623="NEW"),"",COUNTBLANK(OFFSET(A$1,,,SUMPRODUCT(MAX(ROW(E$2:E2623)*(E2623=E$2:E2623)))))-COUNTBLANK(OFFSET(A$1,,,SUMPRODUCT(MAX(ROW(E$1:E2622)*(E2=E$1:E2622))))))</f>
        <v> </v>
      </c>
      <c r="K2623" s="26" t="str">
        <f>IF(OR(E2623="",E2623="!!!",F2623="NEW"),"",INDEX(J$1:J2622,SUMPRODUCT(MAX(ROW(E$1:E2622)*(E2623=E$1:E2622)))))</f>
        <v> </v>
      </c>
      <c r="L2623" s="27"/>
    </row>
    <row r="2624" spans="1:12">
      <c r="A2624" s="20" t="s">
        <v>1706</v>
      </c>
      <c r="E2624" s="22">
        <f>IF(D2624="?OLD","!!!","")</f>
        <v/>
      </c>
      <c r="F2624" s="23" t="str">
        <f>IF(OR(E2624="",E2624="!!!"),"",IF(NOT(ISNA(VLOOKUP(E2624,E$1:E2623,1,FALSE()))),"OLD",IF(AND(E2624&lt;&gt;"",E2624&lt;&gt;"!!!"),"NEW","")))</f>
        <v> </v>
      </c>
      <c r="G2624" s="24" t="str">
        <f>IF(OR(E2624="",E2624="!!!"),"",IF(OR(J2624=0,AND(J2624=1,K2624=1),AND(J2624=1,I2624="SBJ"),AND(J2624=1,I2624=0)),"?IN_FOCUS",IF(J2624&lt;=2,"?ACTIVATED",IF(J2624&lt;&gt;"","?FAMILIAR",IF(F2624="NEW",IF(ISNA(VLOOKUP(E2624,#REF!,1,FALSE())),"?TYPE_IDENTIFIABLE","?REFERENTIAL"),"_")))))</f>
        <v> </v>
      </c>
      <c r="H2624" s="25" t="str">
        <f>IF(J2624&lt;&gt;1,"",IF(I2624="SBJ","CB","?"))</f>
        <v> </v>
      </c>
      <c r="I2624" s="26" t="str">
        <f>IF(OR(E2624="",E2624="!!!",F2624="NEW"),"",INDEX(B2623:B$2,-1+SUMPRODUCT(MAX(ROW(E2623:E$2)*(E2624=E2623:E$2)))))</f>
        <v> </v>
      </c>
      <c r="J2624" s="26" t="str">
        <f>IF(OR(E2624="",E2624="!!!",F2624="NEW"),"",COUNTBLANK(OFFSET(A$1,,,SUMPRODUCT(MAX(ROW(E$2:E2624)*(E2624=E$2:E2624)))))-COUNTBLANK(OFFSET(A$1,,,SUMPRODUCT(MAX(ROW(E$1:E2623)*(E2=E$1:E2623))))))</f>
        <v> </v>
      </c>
      <c r="K2624" s="26" t="str">
        <f>IF(OR(E2624="",E2624="!!!",F2624="NEW"),"",INDEX(J$1:J2623,SUMPRODUCT(MAX(ROW(E$1:E2623)*(E2624=E$1:E2623)))))</f>
        <v> </v>
      </c>
      <c r="L2624" s="27"/>
    </row>
    <row r="2625" spans="1:12">
      <c r="A2625" s="20" t="s">
        <v>928</v>
      </c>
      <c r="B2625" s="21" t="s">
        <v>728</v>
      </c>
      <c r="C2625" s="21" t="s">
        <v>789</v>
      </c>
      <c r="D2625" s="21" t="s">
        <v>730</v>
      </c>
      <c r="E2625" s="22">
        <f>IF(D2625="?OLD","!!!","")</f>
        <v/>
      </c>
      <c r="F2625" s="23" t="str">
        <f>IF(OR(E2625="",E2625="!!!"),"",IF(NOT(ISNA(VLOOKUP(E2625,E$1:E2624,1,FALSE()))),"OLD",IF(AND(E2625&lt;&gt;"",E2625&lt;&gt;"!!!"),"NEW","")))</f>
        <v> </v>
      </c>
      <c r="G2625" s="24" t="str">
        <f>IF(OR(E2625="",E2625="!!!"),"",IF(OR(J2625=0,AND(J2625=1,K2625=1),AND(J2625=1,I2625="SBJ"),AND(J2625=1,I2625=0)),"?IN_FOCUS",IF(J2625&lt;=2,"?ACTIVATED",IF(J2625&lt;&gt;"","?FAMILIAR",IF(F2625="NEW",IF(ISNA(VLOOKUP(E2625,#REF!,1,FALSE())),"?TYPE_IDENTIFIABLE","?REFERENTIAL"),"_")))))</f>
        <v> </v>
      </c>
      <c r="H2625" s="25" t="str">
        <f>IF(J2625&lt;&gt;1,"",IF(I2625="SBJ","CB","?"))</f>
        <v> </v>
      </c>
      <c r="I2625" s="26" t="str">
        <f>IF(OR(E2625="",E2625="!!!",F2625="NEW"),"",INDEX(B2624:B$2,-1+SUMPRODUCT(MAX(ROW(E2624:E$2)*(E2625=E2624:E$2)))))</f>
        <v> </v>
      </c>
      <c r="J2625" s="26" t="str">
        <f>IF(OR(E2625="",E2625="!!!",F2625="NEW"),"",COUNTBLANK(OFFSET(A$1,,,SUMPRODUCT(MAX(ROW(E$2:E2625)*(E2625=E$2:E2625)))))-COUNTBLANK(OFFSET(A$1,,,SUMPRODUCT(MAX(ROW(E$1:E2624)*(E2=E$1:E2624))))))</f>
        <v> </v>
      </c>
      <c r="K2625" s="26" t="str">
        <f>IF(OR(E2625="",E2625="!!!",F2625="NEW"),"",INDEX(J$1:J2624,SUMPRODUCT(MAX(ROW(E$1:E2624)*(E2625=E$1:E2624)))))</f>
        <v> </v>
      </c>
      <c r="L2625" s="27"/>
    </row>
    <row r="2626" spans="1:12">
      <c r="A2626" s="20" t="s">
        <v>754</v>
      </c>
      <c r="E2626" s="22">
        <f>IF(D2626="?OLD","!!!","")</f>
        <v/>
      </c>
      <c r="F2626" s="23" t="str">
        <f>IF(OR(E2626="",E2626="!!!"),"",IF(NOT(ISNA(VLOOKUP(E2626,E$1:E2625,1,FALSE()))),"OLD",IF(AND(E2626&lt;&gt;"",E2626&lt;&gt;"!!!"),"NEW","")))</f>
        <v> </v>
      </c>
      <c r="G2626" s="24" t="str">
        <f>IF(OR(E2626="",E2626="!!!"),"",IF(OR(J2626=0,AND(J2626=1,K2626=1),AND(J2626=1,I2626="SBJ"),AND(J2626=1,I2626=0)),"?IN_FOCUS",IF(J2626&lt;=2,"?ACTIVATED",IF(J2626&lt;&gt;"","?FAMILIAR",IF(F2626="NEW",IF(ISNA(VLOOKUP(E2626,#REF!,1,FALSE())),"?TYPE_IDENTIFIABLE","?REFERENTIAL"),"_")))))</f>
        <v> </v>
      </c>
      <c r="H2626" s="25" t="str">
        <f>IF(J2626&lt;&gt;1,"",IF(I2626="SBJ","CB","?"))</f>
        <v> </v>
      </c>
      <c r="I2626" s="26" t="str">
        <f>IF(OR(E2626="",E2626="!!!",F2626="NEW"),"",INDEX(B2625:B$2,-1+SUMPRODUCT(MAX(ROW(E2625:E$2)*(E2626=E2625:E$2)))))</f>
        <v> </v>
      </c>
      <c r="J2626" s="26" t="str">
        <f>IF(OR(E2626="",E2626="!!!",F2626="NEW"),"",COUNTBLANK(OFFSET(A$1,,,SUMPRODUCT(MAX(ROW(E$2:E2626)*(E2626=E$2:E2626)))))-COUNTBLANK(OFFSET(A$1,,,SUMPRODUCT(MAX(ROW(E$1:E2625)*(E2=E$1:E2625))))))</f>
        <v> </v>
      </c>
      <c r="K2626" s="26" t="str">
        <f>IF(OR(E2626="",E2626="!!!",F2626="NEW"),"",INDEX(J$1:J2625,SUMPRODUCT(MAX(ROW(E$1:E2625)*(E2626=E$1:E2625)))))</f>
        <v> </v>
      </c>
      <c r="L2626" s="27"/>
    </row>
    <row r="2627" spans="1:12">
      <c r="A2627" s="20" t="s">
        <v>840</v>
      </c>
      <c r="E2627" s="22">
        <f>IF(D2627="?OLD","!!!","")</f>
        <v/>
      </c>
      <c r="F2627" s="23" t="str">
        <f>IF(OR(E2627="",E2627="!!!"),"",IF(NOT(ISNA(VLOOKUP(E2627,E$1:E2626,1,FALSE()))),"OLD",IF(AND(E2627&lt;&gt;"",E2627&lt;&gt;"!!!"),"NEW","")))</f>
        <v> </v>
      </c>
      <c r="G2627" s="24" t="str">
        <f>IF(OR(E2627="",E2627="!!!"),"",IF(OR(J2627=0,AND(J2627=1,K2627=1),AND(J2627=1,I2627="SBJ"),AND(J2627=1,I2627=0)),"?IN_FOCUS",IF(J2627&lt;=2,"?ACTIVATED",IF(J2627&lt;&gt;"","?FAMILIAR",IF(F2627="NEW",IF(ISNA(VLOOKUP(E2627,#REF!,1,FALSE())),"?TYPE_IDENTIFIABLE","?REFERENTIAL"),"_")))))</f>
        <v> </v>
      </c>
      <c r="H2627" s="25" t="str">
        <f>IF(J2627&lt;&gt;1,"",IF(I2627="SBJ","CB","?"))</f>
        <v> </v>
      </c>
      <c r="I2627" s="26" t="str">
        <f>IF(OR(E2627="",E2627="!!!",F2627="NEW"),"",INDEX(B2626:B$2,-1+SUMPRODUCT(MAX(ROW(E2626:E$2)*(E2627=E2626:E$2)))))</f>
        <v> </v>
      </c>
      <c r="J2627" s="26" t="str">
        <f>IF(OR(E2627="",E2627="!!!",F2627="NEW"),"",COUNTBLANK(OFFSET(A$1,,,SUMPRODUCT(MAX(ROW(E$2:E2627)*(E2627=E$2:E2627)))))-COUNTBLANK(OFFSET(A$1,,,SUMPRODUCT(MAX(ROW(E$1:E2626)*(E2=E$1:E2626))))))</f>
        <v> </v>
      </c>
      <c r="K2627" s="26" t="str">
        <f>IF(OR(E2627="",E2627="!!!",F2627="NEW"),"",INDEX(J$1:J2626,SUMPRODUCT(MAX(ROW(E$1:E2626)*(E2627=E$1:E2626)))))</f>
        <v> </v>
      </c>
      <c r="L2627" s="27"/>
    </row>
    <row r="2628" spans="1:12">
      <c r="A2628" s="20" t="s">
        <v>1718</v>
      </c>
      <c r="B2628" s="21" t="s">
        <v>736</v>
      </c>
      <c r="C2628" s="21" t="s">
        <v>753</v>
      </c>
      <c r="D2628" s="21" t="s">
        <v>730</v>
      </c>
      <c r="E2628" s="22">
        <f>IF(D2628="?OLD","!!!","")</f>
        <v/>
      </c>
      <c r="F2628" s="23" t="str">
        <f>IF(OR(E2628="",E2628="!!!"),"",IF(NOT(ISNA(VLOOKUP(E2628,E$1:E2627,1,FALSE()))),"OLD",IF(AND(E2628&lt;&gt;"",E2628&lt;&gt;"!!!"),"NEW","")))</f>
        <v> </v>
      </c>
      <c r="G2628" s="24" t="str">
        <f>IF(OR(E2628="",E2628="!!!"),"",IF(OR(J2628=0,AND(J2628=1,K2628=1),AND(J2628=1,I2628="SBJ"),AND(J2628=1,I2628=0)),"?IN_FOCUS",IF(J2628&lt;=2,"?ACTIVATED",IF(J2628&lt;&gt;"","?FAMILIAR",IF(F2628="NEW",IF(ISNA(VLOOKUP(E2628,#REF!,1,FALSE())),"?TYPE_IDENTIFIABLE","?REFERENTIAL"),"_")))))</f>
        <v> </v>
      </c>
      <c r="H2628" s="25" t="str">
        <f>IF(J2628&lt;&gt;1,"",IF(I2628="SBJ","CB","?"))</f>
        <v> </v>
      </c>
      <c r="I2628" s="26" t="str">
        <f>IF(OR(E2628="",E2628="!!!",F2628="NEW"),"",INDEX(B2627:B$2,-1+SUMPRODUCT(MAX(ROW(E2627:E$2)*(E2628=E2627:E$2)))))</f>
        <v> </v>
      </c>
      <c r="J2628" s="26" t="str">
        <f>IF(OR(E2628="",E2628="!!!",F2628="NEW"),"",COUNTBLANK(OFFSET(A$1,,,SUMPRODUCT(MAX(ROW(E$2:E2628)*(E2628=E$2:E2628)))))-COUNTBLANK(OFFSET(A$1,,,SUMPRODUCT(MAX(ROW(E$1:E2627)*(E2=E$1:E2627))))))</f>
        <v> </v>
      </c>
      <c r="K2628" s="26" t="str">
        <f>IF(OR(E2628="",E2628="!!!",F2628="NEW"),"",INDEX(J$1:J2627,SUMPRODUCT(MAX(ROW(E$1:E2627)*(E2628=E$1:E2627)))))</f>
        <v> </v>
      </c>
      <c r="L2628" s="27"/>
    </row>
    <row r="2629" spans="1:12">
      <c r="A2629" s="20" t="s">
        <v>732</v>
      </c>
      <c r="E2629" s="22">
        <f>IF(D2629="?OLD","!!!","")</f>
        <v/>
      </c>
      <c r="F2629" s="23" t="str">
        <f>IF(OR(E2629="",E2629="!!!"),"",IF(NOT(ISNA(VLOOKUP(E2629,E$1:E2628,1,FALSE()))),"OLD",IF(AND(E2629&lt;&gt;"",E2629&lt;&gt;"!!!"),"NEW","")))</f>
        <v> </v>
      </c>
      <c r="G2629" s="24" t="str">
        <f>IF(OR(E2629="",E2629="!!!"),"",IF(OR(J2629=0,AND(J2629=1,K2629=1),AND(J2629=1,I2629="SBJ"),AND(J2629=1,I2629=0)),"?IN_FOCUS",IF(J2629&lt;=2,"?ACTIVATED",IF(J2629&lt;&gt;"","?FAMILIAR",IF(F2629="NEW",IF(ISNA(VLOOKUP(E2629,#REF!,1,FALSE())),"?TYPE_IDENTIFIABLE","?REFERENTIAL"),"_")))))</f>
        <v> </v>
      </c>
      <c r="H2629" s="25" t="str">
        <f>IF(J2629&lt;&gt;1,"",IF(I2629="SBJ","CB","?"))</f>
        <v> </v>
      </c>
      <c r="I2629" s="26" t="str">
        <f>IF(OR(E2629="",E2629="!!!",F2629="NEW"),"",INDEX(B2628:B$2,-1+SUMPRODUCT(MAX(ROW(E2628:E$2)*(E2629=E2628:E$2)))))</f>
        <v> </v>
      </c>
      <c r="J2629" s="26" t="str">
        <f>IF(OR(E2629="",E2629="!!!",F2629="NEW"),"",COUNTBLANK(OFFSET(A$1,,,SUMPRODUCT(MAX(ROW(E$2:E2629)*(E2629=E$2:E2629)))))-COUNTBLANK(OFFSET(A$1,,,SUMPRODUCT(MAX(ROW(E$1:E2628)*(E2=E$1:E2628))))))</f>
        <v> </v>
      </c>
      <c r="K2629" s="26" t="str">
        <f>IF(OR(E2629="",E2629="!!!",F2629="NEW"),"",INDEX(J$1:J2628,SUMPRODUCT(MAX(ROW(E$1:E2628)*(E2629=E$1:E2628)))))</f>
        <v> </v>
      </c>
      <c r="L2629" s="27"/>
    </row>
    <row r="2630" spans="1:12">
      <c r="A2630" s="20" t="s">
        <v>759</v>
      </c>
      <c r="E2630" s="22">
        <f>IF(D2630="?OLD","!!!","")</f>
        <v/>
      </c>
      <c r="F2630" s="23" t="str">
        <f>IF(OR(E2630="",E2630="!!!"),"",IF(NOT(ISNA(VLOOKUP(E2630,E$1:E2629,1,FALSE()))),"OLD",IF(AND(E2630&lt;&gt;"",E2630&lt;&gt;"!!!"),"NEW","")))</f>
        <v> </v>
      </c>
      <c r="G2630" s="24" t="str">
        <f>IF(OR(E2630="",E2630="!!!"),"",IF(OR(J2630=0,AND(J2630=1,K2630=1),AND(J2630=1,I2630="SBJ"),AND(J2630=1,I2630=0)),"?IN_FOCUS",IF(J2630&lt;=2,"?ACTIVATED",IF(J2630&lt;&gt;"","?FAMILIAR",IF(F2630="NEW",IF(ISNA(VLOOKUP(E2630,#REF!,1,FALSE())),"?TYPE_IDENTIFIABLE","?REFERENTIAL"),"_")))))</f>
        <v> </v>
      </c>
      <c r="H2630" s="25" t="str">
        <f>IF(J2630&lt;&gt;1,"",IF(I2630="SBJ","CB","?"))</f>
        <v> </v>
      </c>
      <c r="I2630" s="26" t="str">
        <f>IF(OR(E2630="",E2630="!!!",F2630="NEW"),"",INDEX(B2629:B$2,-1+SUMPRODUCT(MAX(ROW(E2629:E$2)*(E2630=E2629:E$2)))))</f>
        <v> </v>
      </c>
      <c r="J2630" s="26" t="str">
        <f>IF(OR(E2630="",E2630="!!!",F2630="NEW"),"",COUNTBLANK(OFFSET(A$1,,,SUMPRODUCT(MAX(ROW(E$2:E2630)*(E2630=E$2:E2630)))))-COUNTBLANK(OFFSET(A$1,,,SUMPRODUCT(MAX(ROW(E$1:E2629)*(E2=E$1:E2629))))))</f>
        <v> </v>
      </c>
      <c r="K2630" s="26" t="str">
        <f>IF(OR(E2630="",E2630="!!!",F2630="NEW"),"",INDEX(J$1:J2629,SUMPRODUCT(MAX(ROW(E$1:E2629)*(E2630=E$1:E2629)))))</f>
        <v> </v>
      </c>
      <c r="L2630" s="27"/>
    </row>
    <row r="2631" spans="1:12">
      <c r="A2631" s="20" t="s">
        <v>1719</v>
      </c>
      <c r="E2631" s="22">
        <f>IF(D2631="?OLD","!!!","")</f>
        <v/>
      </c>
      <c r="F2631" s="23" t="str">
        <f>IF(OR(E2631="",E2631="!!!"),"",IF(NOT(ISNA(VLOOKUP(E2631,E$1:E2630,1,FALSE()))),"OLD",IF(AND(E2631&lt;&gt;"",E2631&lt;&gt;"!!!"),"NEW","")))</f>
        <v> </v>
      </c>
      <c r="G2631" s="24" t="str">
        <f>IF(OR(E2631="",E2631="!!!"),"",IF(OR(J2631=0,AND(J2631=1,K2631=1),AND(J2631=1,I2631="SBJ"),AND(J2631=1,I2631=0)),"?IN_FOCUS",IF(J2631&lt;=2,"?ACTIVATED",IF(J2631&lt;&gt;"","?FAMILIAR",IF(F2631="NEW",IF(ISNA(VLOOKUP(E2631,#REF!,1,FALSE())),"?TYPE_IDENTIFIABLE","?REFERENTIAL"),"_")))))</f>
        <v> </v>
      </c>
      <c r="H2631" s="25" t="str">
        <f>IF(J2631&lt;&gt;1,"",IF(I2631="SBJ","CB","?"))</f>
        <v> </v>
      </c>
      <c r="I2631" s="26" t="str">
        <f>IF(OR(E2631="",E2631="!!!",F2631="NEW"),"",INDEX(B2630:B$2,-1+SUMPRODUCT(MAX(ROW(E2630:E$2)*(E2631=E2630:E$2)))))</f>
        <v> </v>
      </c>
      <c r="J2631" s="26" t="str">
        <f>IF(OR(E2631="",E2631="!!!",F2631="NEW"),"",COUNTBLANK(OFFSET(A$1,,,SUMPRODUCT(MAX(ROW(E$2:E2631)*(E2631=E$2:E2631)))))-COUNTBLANK(OFFSET(A$1,,,SUMPRODUCT(MAX(ROW(E$1:E2630)*(E2=E$1:E2630))))))</f>
        <v> </v>
      </c>
      <c r="K2631" s="26" t="str">
        <f>IF(OR(E2631="",E2631="!!!",F2631="NEW"),"",INDEX(J$1:J2630,SUMPRODUCT(MAX(ROW(E$1:E2630)*(E2631=E$1:E2630)))))</f>
        <v> </v>
      </c>
      <c r="L2631" s="27"/>
    </row>
    <row r="2632" spans="1:12">
      <c r="A2632" s="20" t="s">
        <v>928</v>
      </c>
      <c r="B2632" s="21" t="s">
        <v>796</v>
      </c>
      <c r="C2632" s="21" t="s">
        <v>789</v>
      </c>
      <c r="D2632" s="21" t="s">
        <v>730</v>
      </c>
      <c r="E2632" s="22">
        <f>IF(D2632="?OLD","!!!","")</f>
        <v/>
      </c>
      <c r="F2632" s="23" t="str">
        <f>IF(OR(E2632="",E2632="!!!"),"",IF(NOT(ISNA(VLOOKUP(E2632,E$1:E2631,1,FALSE()))),"OLD",IF(AND(E2632&lt;&gt;"",E2632&lt;&gt;"!!!"),"NEW","")))</f>
        <v> </v>
      </c>
      <c r="G2632" s="24" t="str">
        <f>IF(OR(E2632="",E2632="!!!"),"",IF(OR(J2632=0,AND(J2632=1,K2632=1),AND(J2632=1,I2632="SBJ"),AND(J2632=1,I2632=0)),"?IN_FOCUS",IF(J2632&lt;=2,"?ACTIVATED",IF(J2632&lt;&gt;"","?FAMILIAR",IF(F2632="NEW",IF(ISNA(VLOOKUP(E2632,#REF!,1,FALSE())),"?TYPE_IDENTIFIABLE","?REFERENTIAL"),"_")))))</f>
        <v> </v>
      </c>
      <c r="H2632" s="25" t="str">
        <f>IF(J2632&lt;&gt;1,"",IF(I2632="SBJ","CB","?"))</f>
        <v> </v>
      </c>
      <c r="I2632" s="26" t="str">
        <f>IF(OR(E2632="",E2632="!!!",F2632="NEW"),"",INDEX(B2631:B$2,-1+SUMPRODUCT(MAX(ROW(E2631:E$2)*(E2632=E2631:E$2)))))</f>
        <v> </v>
      </c>
      <c r="J2632" s="26" t="str">
        <f>IF(OR(E2632="",E2632="!!!",F2632="NEW"),"",COUNTBLANK(OFFSET(A$1,,,SUMPRODUCT(MAX(ROW(E$2:E2632)*(E2632=E$2:E2632)))))-COUNTBLANK(OFFSET(A$1,,,SUMPRODUCT(MAX(ROW(E$1:E2631)*(E2=E$1:E2631))))))</f>
        <v> </v>
      </c>
      <c r="K2632" s="26" t="str">
        <f>IF(OR(E2632="",E2632="!!!",F2632="NEW"),"",INDEX(J$1:J2631,SUMPRODUCT(MAX(ROW(E$1:E2631)*(E2632=E$1:E2631)))))</f>
        <v> </v>
      </c>
      <c r="L2632" s="27"/>
    </row>
    <row r="2633" spans="1:12">
      <c r="A2633" s="20" t="s">
        <v>804</v>
      </c>
      <c r="B2633" s="21" t="s">
        <v>791</v>
      </c>
      <c r="E2633" s="22">
        <f>IF(D2633="?OLD","!!!","")</f>
        <v/>
      </c>
      <c r="F2633" s="23" t="str">
        <f>IF(OR(E2633="",E2633="!!!"),"",IF(NOT(ISNA(VLOOKUP(E2633,E$1:E2632,1,FALSE()))),"OLD",IF(AND(E2633&lt;&gt;"",E2633&lt;&gt;"!!!"),"NEW","")))</f>
        <v> </v>
      </c>
      <c r="G2633" s="24" t="str">
        <f>IF(OR(E2633="",E2633="!!!"),"",IF(OR(J2633=0,AND(J2633=1,K2633=1),AND(J2633=1,I2633="SBJ"),AND(J2633=1,I2633=0)),"?IN_FOCUS",IF(J2633&lt;=2,"?ACTIVATED",IF(J2633&lt;&gt;"","?FAMILIAR",IF(F2633="NEW",IF(ISNA(VLOOKUP(E2633,#REF!,1,FALSE())),"?TYPE_IDENTIFIABLE","?REFERENTIAL"),"_")))))</f>
        <v> </v>
      </c>
      <c r="H2633" s="25" t="str">
        <f>IF(J2633&lt;&gt;1,"",IF(I2633="SBJ","CB","?"))</f>
        <v> </v>
      </c>
      <c r="I2633" s="26" t="str">
        <f>IF(OR(E2633="",E2633="!!!",F2633="NEW"),"",INDEX(B2632:B$2,-1+SUMPRODUCT(MAX(ROW(E2632:E$2)*(E2633=E2632:E$2)))))</f>
        <v> </v>
      </c>
      <c r="J2633" s="26" t="str">
        <f>IF(OR(E2633="",E2633="!!!",F2633="NEW"),"",COUNTBLANK(OFFSET(A$1,,,SUMPRODUCT(MAX(ROW(E$2:E2633)*(E2633=E$2:E2633)))))-COUNTBLANK(OFFSET(A$1,,,SUMPRODUCT(MAX(ROW(E$1:E2632)*(E2=E$1:E2632))))))</f>
        <v> </v>
      </c>
      <c r="K2633" s="26" t="str">
        <f>IF(OR(E2633="",E2633="!!!",F2633="NEW"),"",INDEX(J$1:J2632,SUMPRODUCT(MAX(ROW(E$1:E2632)*(E2633=E$1:E2632)))))</f>
        <v> </v>
      </c>
      <c r="L2633" s="27"/>
    </row>
    <row r="2634" spans="1:12">
      <c r="A2634" s="20" t="s">
        <v>1720</v>
      </c>
      <c r="E2634" s="22">
        <f>IF(D2634="?OLD","!!!","")</f>
        <v/>
      </c>
      <c r="F2634" s="23" t="str">
        <f>IF(OR(E2634="",E2634="!!!"),"",IF(NOT(ISNA(VLOOKUP(E2634,E$1:E2633,1,FALSE()))),"OLD",IF(AND(E2634&lt;&gt;"",E2634&lt;&gt;"!!!"),"NEW","")))</f>
        <v> </v>
      </c>
      <c r="G2634" s="24" t="str">
        <f>IF(OR(E2634="",E2634="!!!"),"",IF(OR(J2634=0,AND(J2634=1,K2634=1),AND(J2634=1,I2634="SBJ"),AND(J2634=1,I2634=0)),"?IN_FOCUS",IF(J2634&lt;=2,"?ACTIVATED",IF(J2634&lt;&gt;"","?FAMILIAR",IF(F2634="NEW",IF(ISNA(VLOOKUP(E2634,#REF!,1,FALSE())),"?TYPE_IDENTIFIABLE","?REFERENTIAL"),"_")))))</f>
        <v> </v>
      </c>
      <c r="H2634" s="25" t="str">
        <f>IF(J2634&lt;&gt;1,"",IF(I2634="SBJ","CB","?"))</f>
        <v> </v>
      </c>
      <c r="I2634" s="26" t="str">
        <f>IF(OR(E2634="",E2634="!!!",F2634="NEW"),"",INDEX(B2633:B$2,-1+SUMPRODUCT(MAX(ROW(E2633:E$2)*(E2634=E2633:E$2)))))</f>
        <v> </v>
      </c>
      <c r="J2634" s="26" t="str">
        <f>IF(OR(E2634="",E2634="!!!",F2634="NEW"),"",COUNTBLANK(OFFSET(A$1,,,SUMPRODUCT(MAX(ROW(E$2:E2634)*(E2634=E$2:E2634)))))-COUNTBLANK(OFFSET(A$1,,,SUMPRODUCT(MAX(ROW(E$1:E2633)*(E2=E$1:E2633))))))</f>
        <v> </v>
      </c>
      <c r="K2634" s="26" t="str">
        <f>IF(OR(E2634="",E2634="!!!",F2634="NEW"),"",INDEX(J$1:J2633,SUMPRODUCT(MAX(ROW(E$1:E2633)*(E2634=E$1:E2633)))))</f>
        <v> </v>
      </c>
      <c r="L2634" s="27"/>
    </row>
    <row r="2635" spans="1:12">
      <c r="A2635" s="20" t="s">
        <v>759</v>
      </c>
      <c r="E2635" s="22">
        <f>IF(D2635="?OLD","!!!","")</f>
        <v/>
      </c>
      <c r="F2635" s="23" t="str">
        <f>IF(OR(E2635="",E2635="!!!"),"",IF(NOT(ISNA(VLOOKUP(E2635,E$1:E2634,1,FALSE()))),"OLD",IF(AND(E2635&lt;&gt;"",E2635&lt;&gt;"!!!"),"NEW","")))</f>
        <v> </v>
      </c>
      <c r="G2635" s="24" t="str">
        <f>IF(OR(E2635="",E2635="!!!"),"",IF(OR(J2635=0,AND(J2635=1,K2635=1),AND(J2635=1,I2635="SBJ"),AND(J2635=1,I2635=0)),"?IN_FOCUS",IF(J2635&lt;=2,"?ACTIVATED",IF(J2635&lt;&gt;"","?FAMILIAR",IF(F2635="NEW",IF(ISNA(VLOOKUP(E2635,#REF!,1,FALSE())),"?TYPE_IDENTIFIABLE","?REFERENTIAL"),"_")))))</f>
        <v> </v>
      </c>
      <c r="H2635" s="25" t="str">
        <f>IF(J2635&lt;&gt;1,"",IF(I2635="SBJ","CB","?"))</f>
        <v> </v>
      </c>
      <c r="I2635" s="26" t="str">
        <f>IF(OR(E2635="",E2635="!!!",F2635="NEW"),"",INDEX(B2634:B$2,-1+SUMPRODUCT(MAX(ROW(E2634:E$2)*(E2635=E2634:E$2)))))</f>
        <v> </v>
      </c>
      <c r="J2635" s="26" t="str">
        <f>IF(OR(E2635="",E2635="!!!",F2635="NEW"),"",COUNTBLANK(OFFSET(A$1,,,SUMPRODUCT(MAX(ROW(E$2:E2635)*(E2635=E$2:E2635)))))-COUNTBLANK(OFFSET(A$1,,,SUMPRODUCT(MAX(ROW(E$1:E2634)*(E2=E$1:E2634))))))</f>
        <v> </v>
      </c>
      <c r="K2635" s="26" t="str">
        <f>IF(OR(E2635="",E2635="!!!",F2635="NEW"),"",INDEX(J$1:J2634,SUMPRODUCT(MAX(ROW(E$1:E2634)*(E2635=E$1:E2634)))))</f>
        <v> </v>
      </c>
      <c r="L2635" s="27"/>
    </row>
    <row r="2636" spans="1:12">
      <c r="A2636" s="20" t="s">
        <v>818</v>
      </c>
      <c r="B2636" s="21" t="s">
        <v>791</v>
      </c>
      <c r="C2636" s="21" t="s">
        <v>748</v>
      </c>
      <c r="E2636" s="22">
        <f>IF(D2636="?OLD","!!!","")</f>
        <v/>
      </c>
      <c r="F2636" s="23" t="str">
        <f>IF(OR(E2636="",E2636="!!!"),"",IF(NOT(ISNA(VLOOKUP(E2636,E$1:E2635,1,FALSE()))),"OLD",IF(AND(E2636&lt;&gt;"",E2636&lt;&gt;"!!!"),"NEW","")))</f>
        <v> </v>
      </c>
      <c r="G2636" s="24" t="str">
        <f>IF(OR(E2636="",E2636="!!!"),"",IF(OR(J2636=0,AND(J2636=1,K2636=1),AND(J2636=1,I2636="SBJ"),AND(J2636=1,I2636=0)),"?IN_FOCUS",IF(J2636&lt;=2,"?ACTIVATED",IF(J2636&lt;&gt;"","?FAMILIAR",IF(F2636="NEW",IF(ISNA(VLOOKUP(E2636,#REF!,1,FALSE())),"?TYPE_IDENTIFIABLE","?REFERENTIAL"),"_")))))</f>
        <v> </v>
      </c>
      <c r="H2636" s="25" t="str">
        <f>IF(J2636&lt;&gt;1,"",IF(I2636="SBJ","CB","?"))</f>
        <v> </v>
      </c>
      <c r="I2636" s="26" t="str">
        <f>IF(OR(E2636="",E2636="!!!",F2636="NEW"),"",INDEX(B2635:B$2,-1+SUMPRODUCT(MAX(ROW(E2635:E$2)*(E2636=E2635:E$2)))))</f>
        <v> </v>
      </c>
      <c r="J2636" s="26" t="str">
        <f>IF(OR(E2636="",E2636="!!!",F2636="NEW"),"",COUNTBLANK(OFFSET(A$1,,,SUMPRODUCT(MAX(ROW(E$2:E2636)*(E2636=E$2:E2636)))))-COUNTBLANK(OFFSET(A$1,,,SUMPRODUCT(MAX(ROW(E$1:E2635)*(E2=E$1:E2635))))))</f>
        <v> </v>
      </c>
      <c r="K2636" s="26" t="str">
        <f>IF(OR(E2636="",E2636="!!!",F2636="NEW"),"",INDEX(J$1:J2635,SUMPRODUCT(MAX(ROW(E$1:E2635)*(E2636=E$1:E2635)))))</f>
        <v> </v>
      </c>
      <c r="L2636" s="27"/>
    </row>
    <row r="2637" spans="1:12">
      <c r="A2637" s="20" t="s">
        <v>69</v>
      </c>
      <c r="E2637" s="22">
        <f>IF(D2637="?OLD","!!!","")</f>
        <v/>
      </c>
      <c r="F2637" s="23" t="str">
        <f>IF(OR(E2637="",E2637="!!!"),"",IF(NOT(ISNA(VLOOKUP(E2637,E$1:E2636,1,FALSE()))),"OLD",IF(AND(E2637&lt;&gt;"",E2637&lt;&gt;"!!!"),"NEW","")))</f>
        <v> </v>
      </c>
      <c r="G2637" s="24" t="str">
        <f>IF(OR(E2637="",E2637="!!!"),"",IF(OR(J2637=0,AND(J2637=1,K2637=1),AND(J2637=1,I2637="SBJ"),AND(J2637=1,I2637=0)),"?IN_FOCUS",IF(J2637&lt;=2,"?ACTIVATED",IF(J2637&lt;&gt;"","?FAMILIAR",IF(F2637="NEW",IF(ISNA(VLOOKUP(E2637,#REF!,1,FALSE())),"?TYPE_IDENTIFIABLE","?REFERENTIAL"),"_")))))</f>
        <v> </v>
      </c>
      <c r="H2637" s="25" t="str">
        <f>IF(J2637&lt;&gt;1,"",IF(I2637="SBJ","CB","?"))</f>
        <v> </v>
      </c>
      <c r="I2637" s="26" t="str">
        <f>IF(OR(E2637="",E2637="!!!",F2637="NEW"),"",INDEX(B2636:B$2,-1+SUMPRODUCT(MAX(ROW(E2636:E$2)*(E2637=E2636:E$2)))))</f>
        <v> </v>
      </c>
      <c r="J2637" s="26" t="str">
        <f>IF(OR(E2637="",E2637="!!!",F2637="NEW"),"",COUNTBLANK(OFFSET(A$1,,,SUMPRODUCT(MAX(ROW(E$2:E2637)*(E2637=E$2:E2637)))))-COUNTBLANK(OFFSET(A$1,,,SUMPRODUCT(MAX(ROW(E$1:E2636)*(E2=E$1:E2636))))))</f>
        <v> </v>
      </c>
      <c r="K2637" s="26" t="str">
        <f>IF(OR(E2637="",E2637="!!!",F2637="NEW"),"",INDEX(J$1:J2636,SUMPRODUCT(MAX(ROW(E$1:E2636)*(E2637=E$1:E2636)))))</f>
        <v> </v>
      </c>
      <c r="L2637" s="27"/>
    </row>
    <row r="2638" spans="1:12">
      <c r="A2638" s="20" t="s">
        <v>785</v>
      </c>
      <c r="E2638" s="22">
        <f>IF(D2638="?OLD","!!!","")</f>
        <v/>
      </c>
      <c r="F2638" s="23" t="str">
        <f>IF(OR(E2638="",E2638="!!!"),"",IF(NOT(ISNA(VLOOKUP(E2638,E$1:E2637,1,FALSE()))),"OLD",IF(AND(E2638&lt;&gt;"",E2638&lt;&gt;"!!!"),"NEW","")))</f>
        <v> </v>
      </c>
      <c r="G2638" s="24" t="str">
        <f>IF(OR(E2638="",E2638="!!!"),"",IF(OR(J2638=0,AND(J2638=1,K2638=1),AND(J2638=1,I2638="SBJ"),AND(J2638=1,I2638=0)),"?IN_FOCUS",IF(J2638&lt;=2,"?ACTIVATED",IF(J2638&lt;&gt;"","?FAMILIAR",IF(F2638="NEW",IF(ISNA(VLOOKUP(E2638,#REF!,1,FALSE())),"?TYPE_IDENTIFIABLE","?REFERENTIAL"),"_")))))</f>
        <v> </v>
      </c>
      <c r="H2638" s="25" t="str">
        <f>IF(J2638&lt;&gt;1,"",IF(I2638="SBJ","CB","?"))</f>
        <v> </v>
      </c>
      <c r="I2638" s="26" t="str">
        <f>IF(OR(E2638="",E2638="!!!",F2638="NEW"),"",INDEX(B2637:B$2,-1+SUMPRODUCT(MAX(ROW(E2637:E$2)*(E2638=E2637:E$2)))))</f>
        <v> </v>
      </c>
      <c r="J2638" s="26" t="str">
        <f>IF(OR(E2638="",E2638="!!!",F2638="NEW"),"",COUNTBLANK(OFFSET(A$1,,,SUMPRODUCT(MAX(ROW(E$2:E2638)*(E2638=E$2:E2638)))))-COUNTBLANK(OFFSET(A$1,,,SUMPRODUCT(MAX(ROW(E$1:E2637)*(E2=E$1:E2637))))))</f>
        <v> </v>
      </c>
      <c r="K2638" s="26" t="str">
        <f>IF(OR(E2638="",E2638="!!!",F2638="NEW"),"",INDEX(J$1:J2637,SUMPRODUCT(MAX(ROW(E$1:E2637)*(E2638=E$1:E2637)))))</f>
        <v> </v>
      </c>
      <c r="L2638" s="27"/>
    </row>
    <row r="2639" spans="1:12">
      <c r="A2639" s="20" t="s">
        <v>1721</v>
      </c>
      <c r="B2639" s="21" t="s">
        <v>791</v>
      </c>
      <c r="C2639" s="21" t="s">
        <v>748</v>
      </c>
      <c r="E2639" s="22">
        <f>IF(D2639="?OLD","!!!","")</f>
        <v/>
      </c>
      <c r="F2639" s="23" t="str">
        <f>IF(OR(E2639="",E2639="!!!"),"",IF(NOT(ISNA(VLOOKUP(E2639,E$1:E2638,1,FALSE()))),"OLD",IF(AND(E2639&lt;&gt;"",E2639&lt;&gt;"!!!"),"NEW","")))</f>
        <v> </v>
      </c>
      <c r="G2639" s="24" t="str">
        <f>IF(OR(E2639="",E2639="!!!"),"",IF(OR(J2639=0,AND(J2639=1,K2639=1),AND(J2639=1,I2639="SBJ"),AND(J2639=1,I2639=0)),"?IN_FOCUS",IF(J2639&lt;=2,"?ACTIVATED",IF(J2639&lt;&gt;"","?FAMILIAR",IF(F2639="NEW",IF(ISNA(VLOOKUP(E2639,#REF!,1,FALSE())),"?TYPE_IDENTIFIABLE","?REFERENTIAL"),"_")))))</f>
        <v> </v>
      </c>
      <c r="H2639" s="25" t="str">
        <f>IF(J2639&lt;&gt;1,"",IF(I2639="SBJ","CB","?"))</f>
        <v> </v>
      </c>
      <c r="I2639" s="26" t="str">
        <f>IF(OR(E2639="",E2639="!!!",F2639="NEW"),"",INDEX(B2638:B$2,-1+SUMPRODUCT(MAX(ROW(E2638:E$2)*(E2639=E2638:E$2)))))</f>
        <v> </v>
      </c>
      <c r="J2639" s="26" t="str">
        <f>IF(OR(E2639="",E2639="!!!",F2639="NEW"),"",COUNTBLANK(OFFSET(A$1,,,SUMPRODUCT(MAX(ROW(E$2:E2639)*(E2639=E$2:E2639)))))-COUNTBLANK(OFFSET(A$1,,,SUMPRODUCT(MAX(ROW(E$1:E2638)*(E2=E$1:E2638))))))</f>
        <v> </v>
      </c>
      <c r="K2639" s="26" t="str">
        <f>IF(OR(E2639="",E2639="!!!",F2639="NEW"),"",INDEX(J$1:J2638,SUMPRODUCT(MAX(ROW(E$1:E2638)*(E2639=E$1:E2638)))))</f>
        <v> </v>
      </c>
      <c r="L2639" s="27"/>
    </row>
    <row r="2640" spans="1:12">
      <c r="A2640" s="20" t="s">
        <v>1722</v>
      </c>
      <c r="E2640" s="22">
        <f>IF(D2640="?OLD","!!!","")</f>
        <v/>
      </c>
      <c r="F2640" s="23" t="str">
        <f>IF(OR(E2640="",E2640="!!!"),"",IF(NOT(ISNA(VLOOKUP(E2640,E$1:E2639,1,FALSE()))),"OLD",IF(AND(E2640&lt;&gt;"",E2640&lt;&gt;"!!!"),"NEW","")))</f>
        <v> </v>
      </c>
      <c r="G2640" s="24" t="str">
        <f>IF(OR(E2640="",E2640="!!!"),"",IF(OR(J2640=0,AND(J2640=1,K2640=1),AND(J2640=1,I2640="SBJ"),AND(J2640=1,I2640=0)),"?IN_FOCUS",IF(J2640&lt;=2,"?ACTIVATED",IF(J2640&lt;&gt;"","?FAMILIAR",IF(F2640="NEW",IF(ISNA(VLOOKUP(E2640,#REF!,1,FALSE())),"?TYPE_IDENTIFIABLE","?REFERENTIAL"),"_")))))</f>
        <v> </v>
      </c>
      <c r="H2640" s="25" t="str">
        <f>IF(J2640&lt;&gt;1,"",IF(I2640="SBJ","CB","?"))</f>
        <v> </v>
      </c>
      <c r="I2640" s="26" t="str">
        <f>IF(OR(E2640="",E2640="!!!",F2640="NEW"),"",INDEX(B2639:B$2,-1+SUMPRODUCT(MAX(ROW(E2639:E$2)*(E2640=E2639:E$2)))))</f>
        <v> </v>
      </c>
      <c r="J2640" s="26" t="str">
        <f>IF(OR(E2640="",E2640="!!!",F2640="NEW"),"",COUNTBLANK(OFFSET(A$1,,,SUMPRODUCT(MAX(ROW(E$2:E2640)*(E2640=E$2:E2640)))))-COUNTBLANK(OFFSET(A$1,,,SUMPRODUCT(MAX(ROW(E$1:E2639)*(E2=E$1:E2639))))))</f>
        <v> </v>
      </c>
      <c r="K2640" s="26" t="str">
        <f>IF(OR(E2640="",E2640="!!!",F2640="NEW"),"",INDEX(J$1:J2639,SUMPRODUCT(MAX(ROW(E$1:E2639)*(E2640=E$1:E2639)))))</f>
        <v> </v>
      </c>
      <c r="L2640" s="27"/>
    </row>
    <row r="2641" spans="1:12">
      <c r="A2641" s="20" t="s">
        <v>1482</v>
      </c>
      <c r="E2641" s="22">
        <f>IF(D2641="?OLD","!!!","")</f>
        <v/>
      </c>
      <c r="F2641" s="23" t="str">
        <f>IF(OR(E2641="",E2641="!!!"),"",IF(NOT(ISNA(VLOOKUP(E2641,E$1:E2640,1,FALSE()))),"OLD",IF(AND(E2641&lt;&gt;"",E2641&lt;&gt;"!!!"),"NEW","")))</f>
        <v> </v>
      </c>
      <c r="G2641" s="24" t="str">
        <f>IF(OR(E2641="",E2641="!!!"),"",IF(OR(J2641=0,AND(J2641=1,K2641=1),AND(J2641=1,I2641="SBJ"),AND(J2641=1,I2641=0)),"?IN_FOCUS",IF(J2641&lt;=2,"?ACTIVATED",IF(J2641&lt;&gt;"","?FAMILIAR",IF(F2641="NEW",IF(ISNA(VLOOKUP(E2641,#REF!,1,FALSE())),"?TYPE_IDENTIFIABLE","?REFERENTIAL"),"_")))))</f>
        <v> </v>
      </c>
      <c r="H2641" s="25" t="str">
        <f>IF(J2641&lt;&gt;1,"",IF(I2641="SBJ","CB","?"))</f>
        <v> </v>
      </c>
      <c r="I2641" s="26" t="str">
        <f>IF(OR(E2641="",E2641="!!!",F2641="NEW"),"",INDEX(B2640:B$2,-1+SUMPRODUCT(MAX(ROW(E2640:E$2)*(E2641=E2640:E$2)))))</f>
        <v> </v>
      </c>
      <c r="J2641" s="26" t="str">
        <f>IF(OR(E2641="",E2641="!!!",F2641="NEW"),"",COUNTBLANK(OFFSET(A$1,,,SUMPRODUCT(MAX(ROW(E$2:E2641)*(E2641=E$2:E2641)))))-COUNTBLANK(OFFSET(A$1,,,SUMPRODUCT(MAX(ROW(E$1:E2640)*(E2=E$1:E2640))))))</f>
        <v> </v>
      </c>
      <c r="K2641" s="26" t="str">
        <f>IF(OR(E2641="",E2641="!!!",F2641="NEW"),"",INDEX(J$1:J2640,SUMPRODUCT(MAX(ROW(E$1:E2640)*(E2641=E$1:E2640)))))</f>
        <v> </v>
      </c>
      <c r="L2641" s="27"/>
    </row>
    <row r="2642" spans="1:12">
      <c r="A2642" s="20" t="s">
        <v>785</v>
      </c>
      <c r="E2642" s="22">
        <f>IF(D2642="?OLD","!!!","")</f>
        <v/>
      </c>
      <c r="F2642" s="23" t="str">
        <f>IF(OR(E2642="",E2642="!!!"),"",IF(NOT(ISNA(VLOOKUP(E2642,E$1:E2641,1,FALSE()))),"OLD",IF(AND(E2642&lt;&gt;"",E2642&lt;&gt;"!!!"),"NEW","")))</f>
        <v> </v>
      </c>
      <c r="G2642" s="24" t="str">
        <f>IF(OR(E2642="",E2642="!!!"),"",IF(OR(J2642=0,AND(J2642=1,K2642=1),AND(J2642=1,I2642="SBJ"),AND(J2642=1,I2642=0)),"?IN_FOCUS",IF(J2642&lt;=2,"?ACTIVATED",IF(J2642&lt;&gt;"","?FAMILIAR",IF(F2642="NEW",IF(ISNA(VLOOKUP(E2642,#REF!,1,FALSE())),"?TYPE_IDENTIFIABLE","?REFERENTIAL"),"_")))))</f>
        <v> </v>
      </c>
      <c r="H2642" s="25" t="str">
        <f>IF(J2642&lt;&gt;1,"",IF(I2642="SBJ","CB","?"))</f>
        <v> </v>
      </c>
      <c r="I2642" s="26" t="str">
        <f>IF(OR(E2642="",E2642="!!!",F2642="NEW"),"",INDEX(B2641:B$2,-1+SUMPRODUCT(MAX(ROW(E2641:E$2)*(E2642=E2641:E$2)))))</f>
        <v> </v>
      </c>
      <c r="J2642" s="26" t="str">
        <f>IF(OR(E2642="",E2642="!!!",F2642="NEW"),"",COUNTBLANK(OFFSET(A$1,,,SUMPRODUCT(MAX(ROW(E$2:E2642)*(E2642=E$2:E2642)))))-COUNTBLANK(OFFSET(A$1,,,SUMPRODUCT(MAX(ROW(E$1:E2641)*(E2=E$1:E2641))))))</f>
        <v> </v>
      </c>
      <c r="K2642" s="26" t="str">
        <f>IF(OR(E2642="",E2642="!!!",F2642="NEW"),"",INDEX(J$1:J2641,SUMPRODUCT(MAX(ROW(E$1:E2641)*(E2642=E$1:E2641)))))</f>
        <v> </v>
      </c>
      <c r="L2642" s="27"/>
    </row>
    <row r="2643" spans="1:12">
      <c r="A2643" s="20" t="s">
        <v>944</v>
      </c>
      <c r="E2643" s="22">
        <f>IF(D2643="?OLD","!!!","")</f>
        <v/>
      </c>
      <c r="F2643" s="23" t="str">
        <f>IF(OR(E2643="",E2643="!!!"),"",IF(NOT(ISNA(VLOOKUP(E2643,E$1:E2642,1,FALSE()))),"OLD",IF(AND(E2643&lt;&gt;"",E2643&lt;&gt;"!!!"),"NEW","")))</f>
        <v> </v>
      </c>
      <c r="G2643" s="24" t="str">
        <f>IF(OR(E2643="",E2643="!!!"),"",IF(OR(J2643=0,AND(J2643=1,K2643=1),AND(J2643=1,I2643="SBJ"),AND(J2643=1,I2643=0)),"?IN_FOCUS",IF(J2643&lt;=2,"?ACTIVATED",IF(J2643&lt;&gt;"","?FAMILIAR",IF(F2643="NEW",IF(ISNA(VLOOKUP(E2643,#REF!,1,FALSE())),"?TYPE_IDENTIFIABLE","?REFERENTIAL"),"_")))))</f>
        <v> </v>
      </c>
      <c r="H2643" s="25" t="str">
        <f>IF(J2643&lt;&gt;1,"",IF(I2643="SBJ","CB","?"))</f>
        <v> </v>
      </c>
      <c r="I2643" s="26" t="str">
        <f>IF(OR(E2643="",E2643="!!!",F2643="NEW"),"",INDEX(B2642:B$2,-1+SUMPRODUCT(MAX(ROW(E2642:E$2)*(E2643=E2642:E$2)))))</f>
        <v> </v>
      </c>
      <c r="J2643" s="26" t="str">
        <f>IF(OR(E2643="",E2643="!!!",F2643="NEW"),"",COUNTBLANK(OFFSET(A$1,,,SUMPRODUCT(MAX(ROW(E$2:E2643)*(E2643=E$2:E2643)))))-COUNTBLANK(OFFSET(A$1,,,SUMPRODUCT(MAX(ROW(E$1:E2642)*(E2=E$1:E2642))))))</f>
        <v> </v>
      </c>
      <c r="K2643" s="26" t="str">
        <f>IF(OR(E2643="",E2643="!!!",F2643="NEW"),"",INDEX(J$1:J2642,SUMPRODUCT(MAX(ROW(E$1:E2642)*(E2643=E$1:E2642)))))</f>
        <v> </v>
      </c>
      <c r="L2643" s="27"/>
    </row>
    <row r="2644" spans="1:12">
      <c r="A2644" s="20" t="s">
        <v>1233</v>
      </c>
      <c r="E2644" s="22">
        <f>IF(D2644="?OLD","!!!","")</f>
        <v/>
      </c>
      <c r="F2644" s="23" t="str">
        <f>IF(OR(E2644="",E2644="!!!"),"",IF(NOT(ISNA(VLOOKUP(E2644,E$1:E2643,1,FALSE()))),"OLD",IF(AND(E2644&lt;&gt;"",E2644&lt;&gt;"!!!"),"NEW","")))</f>
        <v> </v>
      </c>
      <c r="G2644" s="24" t="str">
        <f>IF(OR(E2644="",E2644="!!!"),"",IF(OR(J2644=0,AND(J2644=1,K2644=1),AND(J2644=1,I2644="SBJ"),AND(J2644=1,I2644=0)),"?IN_FOCUS",IF(J2644&lt;=2,"?ACTIVATED",IF(J2644&lt;&gt;"","?FAMILIAR",IF(F2644="NEW",IF(ISNA(VLOOKUP(E2644,#REF!,1,FALSE())),"?TYPE_IDENTIFIABLE","?REFERENTIAL"),"_")))))</f>
        <v> </v>
      </c>
      <c r="H2644" s="25" t="str">
        <f>IF(J2644&lt;&gt;1,"",IF(I2644="SBJ","CB","?"))</f>
        <v> </v>
      </c>
      <c r="I2644" s="26" t="str">
        <f>IF(OR(E2644="",E2644="!!!",F2644="NEW"),"",INDEX(B2643:B$2,-1+SUMPRODUCT(MAX(ROW(E2643:E$2)*(E2644=E2643:E$2)))))</f>
        <v> </v>
      </c>
      <c r="J2644" s="26" t="str">
        <f>IF(OR(E2644="",E2644="!!!",F2644="NEW"),"",COUNTBLANK(OFFSET(A$1,,,SUMPRODUCT(MAX(ROW(E$2:E2644)*(E2644=E$2:E2644)))))-COUNTBLANK(OFFSET(A$1,,,SUMPRODUCT(MAX(ROW(E$1:E2643)*(E2=E$1:E2643))))))</f>
        <v> </v>
      </c>
      <c r="K2644" s="26" t="str">
        <f>IF(OR(E2644="",E2644="!!!",F2644="NEW"),"",INDEX(J$1:J2643,SUMPRODUCT(MAX(ROW(E$1:E2643)*(E2644=E$1:E2643)))))</f>
        <v> </v>
      </c>
      <c r="L2644" s="27"/>
    </row>
    <row r="2645" spans="1:12">
      <c r="A2645" s="20" t="s">
        <v>246</v>
      </c>
      <c r="E2645" s="22">
        <f>IF(D2645="?OLD","!!!","")</f>
        <v/>
      </c>
      <c r="F2645" s="23" t="str">
        <f>IF(OR(E2645="",E2645="!!!"),"",IF(NOT(ISNA(VLOOKUP(E2645,E$1:E2644,1,FALSE()))),"OLD",IF(AND(E2645&lt;&gt;"",E2645&lt;&gt;"!!!"),"NEW","")))</f>
        <v> </v>
      </c>
      <c r="G2645" s="24" t="str">
        <f>IF(OR(E2645="",E2645="!!!"),"",IF(OR(J2645=0,AND(J2645=1,K2645=1),AND(J2645=1,I2645="SBJ"),AND(J2645=1,I2645=0)),"?IN_FOCUS",IF(J2645&lt;=2,"?ACTIVATED",IF(J2645&lt;&gt;"","?FAMILIAR",IF(F2645="NEW",IF(ISNA(VLOOKUP(E2645,#REF!,1,FALSE())),"?TYPE_IDENTIFIABLE","?REFERENTIAL"),"_")))))</f>
        <v> </v>
      </c>
      <c r="H2645" s="25" t="str">
        <f>IF(J2645&lt;&gt;1,"",IF(I2645="SBJ","CB","?"))</f>
        <v> </v>
      </c>
      <c r="I2645" s="26" t="str">
        <f>IF(OR(E2645="",E2645="!!!",F2645="NEW"),"",INDEX(B2644:B$2,-1+SUMPRODUCT(MAX(ROW(E2644:E$2)*(E2645=E2644:E$2)))))</f>
        <v> </v>
      </c>
      <c r="J2645" s="26" t="str">
        <f>IF(OR(E2645="",E2645="!!!",F2645="NEW"),"",COUNTBLANK(OFFSET(A$1,,,SUMPRODUCT(MAX(ROW(E$2:E2645)*(E2645=E$2:E2645)))))-COUNTBLANK(OFFSET(A$1,,,SUMPRODUCT(MAX(ROW(E$1:E2644)*(E2=E$1:E2644))))))</f>
        <v> </v>
      </c>
      <c r="K2645" s="26" t="str">
        <f>IF(OR(E2645="",E2645="!!!",F2645="NEW"),"",INDEX(J$1:J2644,SUMPRODUCT(MAX(ROW(E$1:E2644)*(E2645=E$1:E2644)))))</f>
        <v> </v>
      </c>
      <c r="L2645" s="27"/>
    </row>
    <row r="2646" spans="1:12">
      <c r="A2646" s="20"/>
    </row>
    <row r="2647" spans="1:12">
      <c r="A2647" s="20" t="s">
        <v>1723</v>
      </c>
    </row>
    <row r="2648" spans="1:12">
      <c r="A2648" s="20" t="s">
        <v>1382</v>
      </c>
      <c r="B2648" s="21" t="s">
        <v>728</v>
      </c>
      <c r="C2648" s="21" t="s">
        <v>789</v>
      </c>
      <c r="D2648" s="21" t="s">
        <v>730</v>
      </c>
      <c r="E2648" s="22">
        <f>IF(D2648="?OLD","!!!","")</f>
        <v/>
      </c>
      <c r="F2648" s="23" t="str">
        <f>IF(OR(E2648="",E2648="!!!"),"",IF(NOT(ISNA(VLOOKUP(E2648,E$1:E2647,1,FALSE()))),"OLD",IF(AND(E2648&lt;&gt;"",E2648&lt;&gt;"!!!"),"NEW","")))</f>
        <v> </v>
      </c>
      <c r="G2648" s="24" t="str">
        <f>IF(OR(E2648="",E2648="!!!"),"",IF(OR(J2648=0,AND(J2648=1,K2648=1),AND(J2648=1,I2648="SBJ"),AND(J2648=1,I2648=0)),"?IN_FOCUS",IF(J2648&lt;=2,"?ACTIVATED",IF(J2648&lt;&gt;"","?FAMILIAR",IF(F2648="NEW",IF(ISNA(VLOOKUP(E2648,#REF!,1,FALSE())),"?TYPE_IDENTIFIABLE","?REFERENTIAL"),"_")))))</f>
        <v> </v>
      </c>
      <c r="H2648" s="25" t="str">
        <f>IF(J2648&lt;&gt;1,"",IF(I2648="SBJ","CB","?"))</f>
        <v> </v>
      </c>
      <c r="I2648" s="26" t="str">
        <f>IF(OR(E2648="",E2648="!!!",F2648="NEW"),"",INDEX(B2647:B$2,-1+SUMPRODUCT(MAX(ROW(E2647:E$2)*(E2648=E2647:E$2)))))</f>
        <v> </v>
      </c>
      <c r="J2648" s="26" t="str">
        <f>IF(OR(E2648="",E2648="!!!",F2648="NEW"),"",COUNTBLANK(OFFSET(A$1,,,SUMPRODUCT(MAX(ROW(E$2:E2648)*(E2648=E$2:E2648)))))-COUNTBLANK(OFFSET(A$1,,,SUMPRODUCT(MAX(ROW(E$1:E2647)*(E2=E$1:E2647))))))</f>
        <v> </v>
      </c>
      <c r="K2648" s="26" t="str">
        <f>IF(OR(E2648="",E2648="!!!",F2648="NEW"),"",INDEX(J$1:J2647,SUMPRODUCT(MAX(ROW(E$1:E2647)*(E2648=E$1:E2647)))))</f>
        <v> </v>
      </c>
      <c r="L2648" s="27"/>
    </row>
    <row r="2649" spans="1:12">
      <c r="A2649" s="20" t="s">
        <v>1603</v>
      </c>
      <c r="E2649" s="22">
        <f>IF(D2649="?OLD","!!!","")</f>
        <v/>
      </c>
      <c r="F2649" s="23" t="str">
        <f>IF(OR(E2649="",E2649="!!!"),"",IF(NOT(ISNA(VLOOKUP(E2649,E$1:E2648,1,FALSE()))),"OLD",IF(AND(E2649&lt;&gt;"",E2649&lt;&gt;"!!!"),"NEW","")))</f>
        <v> </v>
      </c>
      <c r="G2649" s="24" t="str">
        <f>IF(OR(E2649="",E2649="!!!"),"",IF(OR(J2649=0,AND(J2649=1,K2649=1),AND(J2649=1,I2649="SBJ"),AND(J2649=1,I2649=0)),"?IN_FOCUS",IF(J2649&lt;=2,"?ACTIVATED",IF(J2649&lt;&gt;"","?FAMILIAR",IF(F2649="NEW",IF(ISNA(VLOOKUP(E2649,#REF!,1,FALSE())),"?TYPE_IDENTIFIABLE","?REFERENTIAL"),"_")))))</f>
        <v> </v>
      </c>
      <c r="H2649" s="25" t="str">
        <f>IF(J2649&lt;&gt;1,"",IF(I2649="SBJ","CB","?"))</f>
        <v> </v>
      </c>
      <c r="I2649" s="26" t="str">
        <f>IF(OR(E2649="",E2649="!!!",F2649="NEW"),"",INDEX(B2648:B$2,-1+SUMPRODUCT(MAX(ROW(E2648:E$2)*(E2649=E2648:E$2)))))</f>
        <v> </v>
      </c>
      <c r="J2649" s="26" t="str">
        <f>IF(OR(E2649="",E2649="!!!",F2649="NEW"),"",COUNTBLANK(OFFSET(A$1,,,SUMPRODUCT(MAX(ROW(E$2:E2649)*(E2649=E$2:E2649)))))-COUNTBLANK(OFFSET(A$1,,,SUMPRODUCT(MAX(ROW(E$1:E2648)*(E2=E$1:E2648))))))</f>
        <v> </v>
      </c>
      <c r="K2649" s="26" t="str">
        <f>IF(OR(E2649="",E2649="!!!",F2649="NEW"),"",INDEX(J$1:J2648,SUMPRODUCT(MAX(ROW(E$1:E2648)*(E2649=E$1:E2648)))))</f>
        <v> </v>
      </c>
      <c r="L2649" s="27"/>
    </row>
    <row r="2650" spans="1:12">
      <c r="A2650" s="20" t="s">
        <v>1170</v>
      </c>
      <c r="E2650" s="22">
        <f>IF(D2650="?OLD","!!!","")</f>
        <v/>
      </c>
      <c r="F2650" s="23" t="str">
        <f>IF(OR(E2650="",E2650="!!!"),"",IF(NOT(ISNA(VLOOKUP(E2650,E$1:E2649,1,FALSE()))),"OLD",IF(AND(E2650&lt;&gt;"",E2650&lt;&gt;"!!!"),"NEW","")))</f>
        <v> </v>
      </c>
      <c r="G2650" s="24" t="str">
        <f>IF(OR(E2650="",E2650="!!!"),"",IF(OR(J2650=0,AND(J2650=1,K2650=1),AND(J2650=1,I2650="SBJ"),AND(J2650=1,I2650=0)),"?IN_FOCUS",IF(J2650&lt;=2,"?ACTIVATED",IF(J2650&lt;&gt;"","?FAMILIAR",IF(F2650="NEW",IF(ISNA(VLOOKUP(E2650,#REF!,1,FALSE())),"?TYPE_IDENTIFIABLE","?REFERENTIAL"),"_")))))</f>
        <v> </v>
      </c>
      <c r="H2650" s="25" t="str">
        <f>IF(J2650&lt;&gt;1,"",IF(I2650="SBJ","CB","?"))</f>
        <v> </v>
      </c>
      <c r="I2650" s="26" t="str">
        <f>IF(OR(E2650="",E2650="!!!",F2650="NEW"),"",INDEX(B2649:B$2,-1+SUMPRODUCT(MAX(ROW(E2649:E$2)*(E2650=E2649:E$2)))))</f>
        <v> </v>
      </c>
      <c r="J2650" s="26" t="str">
        <f>IF(OR(E2650="",E2650="!!!",F2650="NEW"),"",COUNTBLANK(OFFSET(A$1,,,SUMPRODUCT(MAX(ROW(E$2:E2650)*(E2650=E$2:E2650)))))-COUNTBLANK(OFFSET(A$1,,,SUMPRODUCT(MAX(ROW(E$1:E2649)*(E2=E$1:E2649))))))</f>
        <v> </v>
      </c>
      <c r="K2650" s="26" t="str">
        <f>IF(OR(E2650="",E2650="!!!",F2650="NEW"),"",INDEX(J$1:J2649,SUMPRODUCT(MAX(ROW(E$1:E2649)*(E2650=E$1:E2649)))))</f>
        <v> </v>
      </c>
      <c r="L2650" s="27"/>
    </row>
    <row r="2651" spans="1:12">
      <c r="A2651" s="20" t="s">
        <v>1724</v>
      </c>
      <c r="B2651" s="21" t="s">
        <v>764</v>
      </c>
      <c r="C2651" s="21" t="s">
        <v>748</v>
      </c>
      <c r="E2651" s="22">
        <f>IF(D2651="?OLD","!!!","")</f>
        <v/>
      </c>
      <c r="F2651" s="23" t="str">
        <f>IF(OR(E2651="",E2651="!!!"),"",IF(NOT(ISNA(VLOOKUP(E2651,E$1:E2650,1,FALSE()))),"OLD",IF(AND(E2651&lt;&gt;"",E2651&lt;&gt;"!!!"),"NEW","")))</f>
        <v> </v>
      </c>
      <c r="G2651" s="24" t="str">
        <f>IF(OR(E2651="",E2651="!!!"),"",IF(OR(J2651=0,AND(J2651=1,K2651=1),AND(J2651=1,I2651="SBJ"),AND(J2651=1,I2651=0)),"?IN_FOCUS",IF(J2651&lt;=2,"?ACTIVATED",IF(J2651&lt;&gt;"","?FAMILIAR",IF(F2651="NEW",IF(ISNA(VLOOKUP(E2651,#REF!,1,FALSE())),"?TYPE_IDENTIFIABLE","?REFERENTIAL"),"_")))))</f>
        <v> </v>
      </c>
      <c r="H2651" s="25" t="str">
        <f>IF(J2651&lt;&gt;1,"",IF(I2651="SBJ","CB","?"))</f>
        <v> </v>
      </c>
      <c r="I2651" s="26" t="str">
        <f>IF(OR(E2651="",E2651="!!!",F2651="NEW"),"",INDEX(B2650:B$2,-1+SUMPRODUCT(MAX(ROW(E2650:E$2)*(E2651=E2650:E$2)))))</f>
        <v> </v>
      </c>
      <c r="J2651" s="26" t="str">
        <f>IF(OR(E2651="",E2651="!!!",F2651="NEW"),"",COUNTBLANK(OFFSET(A$1,,,SUMPRODUCT(MAX(ROW(E$2:E2651)*(E2651=E$2:E2651)))))-COUNTBLANK(OFFSET(A$1,,,SUMPRODUCT(MAX(ROW(E$1:E2650)*(E2=E$1:E2650))))))</f>
        <v> </v>
      </c>
      <c r="K2651" s="26" t="str">
        <f>IF(OR(E2651="",E2651="!!!",F2651="NEW"),"",INDEX(J$1:J2650,SUMPRODUCT(MAX(ROW(E$1:E2650)*(E2651=E$1:E2650)))))</f>
        <v> </v>
      </c>
      <c r="L2651" s="27"/>
    </row>
    <row r="2652" spans="1:12">
      <c r="A2652" s="20" t="s">
        <v>759</v>
      </c>
      <c r="E2652" s="22">
        <f>IF(D2652="?OLD","!!!","")</f>
        <v/>
      </c>
      <c r="F2652" s="23" t="str">
        <f>IF(OR(E2652="",E2652="!!!"),"",IF(NOT(ISNA(VLOOKUP(E2652,E$1:E2651,1,FALSE()))),"OLD",IF(AND(E2652&lt;&gt;"",E2652&lt;&gt;"!!!"),"NEW","")))</f>
        <v> </v>
      </c>
      <c r="G2652" s="24" t="str">
        <f>IF(OR(E2652="",E2652="!!!"),"",IF(OR(J2652=0,AND(J2652=1,K2652=1),AND(J2652=1,I2652="SBJ"),AND(J2652=1,I2652=0)),"?IN_FOCUS",IF(J2652&lt;=2,"?ACTIVATED",IF(J2652&lt;&gt;"","?FAMILIAR",IF(F2652="NEW",IF(ISNA(VLOOKUP(E2652,#REF!,1,FALSE())),"?TYPE_IDENTIFIABLE","?REFERENTIAL"),"_")))))</f>
        <v> </v>
      </c>
      <c r="H2652" s="25" t="str">
        <f>IF(J2652&lt;&gt;1,"",IF(I2652="SBJ","CB","?"))</f>
        <v> </v>
      </c>
      <c r="I2652" s="26" t="str">
        <f>IF(OR(E2652="",E2652="!!!",F2652="NEW"),"",INDEX(B2651:B$2,-1+SUMPRODUCT(MAX(ROW(E2651:E$2)*(E2652=E2651:E$2)))))</f>
        <v> </v>
      </c>
      <c r="J2652" s="26" t="str">
        <f>IF(OR(E2652="",E2652="!!!",F2652="NEW"),"",COUNTBLANK(OFFSET(A$1,,,SUMPRODUCT(MAX(ROW(E$2:E2652)*(E2652=E$2:E2652)))))-COUNTBLANK(OFFSET(A$1,,,SUMPRODUCT(MAX(ROW(E$1:E2651)*(E2=E$1:E2651))))))</f>
        <v> </v>
      </c>
      <c r="K2652" s="26" t="str">
        <f>IF(OR(E2652="",E2652="!!!",F2652="NEW"),"",INDEX(J$1:J2651,SUMPRODUCT(MAX(ROW(E$1:E2651)*(E2652=E$1:E2651)))))</f>
        <v> </v>
      </c>
      <c r="L2652" s="27"/>
    </row>
    <row r="2653" spans="1:12">
      <c r="A2653" s="20" t="s">
        <v>1725</v>
      </c>
      <c r="E2653" s="22">
        <f>IF(D2653="?OLD","!!!","")</f>
        <v/>
      </c>
      <c r="F2653" s="23" t="str">
        <f>IF(OR(E2653="",E2653="!!!"),"",IF(NOT(ISNA(VLOOKUP(E2653,E$1:E2652,1,FALSE()))),"OLD",IF(AND(E2653&lt;&gt;"",E2653&lt;&gt;"!!!"),"NEW","")))</f>
        <v> </v>
      </c>
      <c r="G2653" s="24" t="str">
        <f>IF(OR(E2653="",E2653="!!!"),"",IF(OR(J2653=0,AND(J2653=1,K2653=1),AND(J2653=1,I2653="SBJ"),AND(J2653=1,I2653=0)),"?IN_FOCUS",IF(J2653&lt;=2,"?ACTIVATED",IF(J2653&lt;&gt;"","?FAMILIAR",IF(F2653="NEW",IF(ISNA(VLOOKUP(E2653,#REF!,1,FALSE())),"?TYPE_IDENTIFIABLE","?REFERENTIAL"),"_")))))</f>
        <v> </v>
      </c>
      <c r="H2653" s="25" t="str">
        <f>IF(J2653&lt;&gt;1,"",IF(I2653="SBJ","CB","?"))</f>
        <v> </v>
      </c>
      <c r="I2653" s="26" t="str">
        <f>IF(OR(E2653="",E2653="!!!",F2653="NEW"),"",INDEX(B2652:B$2,-1+SUMPRODUCT(MAX(ROW(E2652:E$2)*(E2653=E2652:E$2)))))</f>
        <v> </v>
      </c>
      <c r="J2653" s="26" t="str">
        <f>IF(OR(E2653="",E2653="!!!",F2653="NEW"),"",COUNTBLANK(OFFSET(A$1,,,SUMPRODUCT(MAX(ROW(E$2:E2653)*(E2653=E$2:E2653)))))-COUNTBLANK(OFFSET(A$1,,,SUMPRODUCT(MAX(ROW(E$1:E2652)*(E2=E$1:E2652))))))</f>
        <v> </v>
      </c>
      <c r="K2653" s="26" t="str">
        <f>IF(OR(E2653="",E2653="!!!",F2653="NEW"),"",INDEX(J$1:J2652,SUMPRODUCT(MAX(ROW(E$1:E2652)*(E2653=E$1:E2652)))))</f>
        <v> </v>
      </c>
      <c r="L2653" s="27"/>
    </row>
    <row r="2654" spans="1:12">
      <c r="A2654" s="20" t="s">
        <v>1023</v>
      </c>
      <c r="E2654" s="22">
        <f>IF(D2654="?OLD","!!!","")</f>
        <v/>
      </c>
      <c r="F2654" s="23" t="str">
        <f>IF(OR(E2654="",E2654="!!!"),"",IF(NOT(ISNA(VLOOKUP(E2654,E$1:E2653,1,FALSE()))),"OLD",IF(AND(E2654&lt;&gt;"",E2654&lt;&gt;"!!!"),"NEW","")))</f>
        <v> </v>
      </c>
      <c r="G2654" s="24" t="str">
        <f>IF(OR(E2654="",E2654="!!!"),"",IF(OR(J2654=0,AND(J2654=1,K2654=1),AND(J2654=1,I2654="SBJ"),AND(J2654=1,I2654=0)),"?IN_FOCUS",IF(J2654&lt;=2,"?ACTIVATED",IF(J2654&lt;&gt;"","?FAMILIAR",IF(F2654="NEW",IF(ISNA(VLOOKUP(E2654,#REF!,1,FALSE())),"?TYPE_IDENTIFIABLE","?REFERENTIAL"),"_")))))</f>
        <v> </v>
      </c>
      <c r="H2654" s="25" t="str">
        <f>IF(J2654&lt;&gt;1,"",IF(I2654="SBJ","CB","?"))</f>
        <v> </v>
      </c>
      <c r="I2654" s="26" t="str">
        <f>IF(OR(E2654="",E2654="!!!",F2654="NEW"),"",INDEX(B2653:B$2,-1+SUMPRODUCT(MAX(ROW(E2653:E$2)*(E2654=E2653:E$2)))))</f>
        <v> </v>
      </c>
      <c r="J2654" s="26" t="str">
        <f>IF(OR(E2654="",E2654="!!!",F2654="NEW"),"",COUNTBLANK(OFFSET(A$1,,,SUMPRODUCT(MAX(ROW(E$2:E2654)*(E2654=E$2:E2654)))))-COUNTBLANK(OFFSET(A$1,,,SUMPRODUCT(MAX(ROW(E$1:E2653)*(E2=E$1:E2653))))))</f>
        <v> </v>
      </c>
      <c r="K2654" s="26" t="str">
        <f>IF(OR(E2654="",E2654="!!!",F2654="NEW"),"",INDEX(J$1:J2653,SUMPRODUCT(MAX(ROW(E$1:E2653)*(E2654=E$1:E2653)))))</f>
        <v> </v>
      </c>
      <c r="L2654" s="27"/>
    </row>
    <row r="2655" spans="1:12">
      <c r="A2655" s="20" t="s">
        <v>1309</v>
      </c>
      <c r="E2655" s="22">
        <f>IF(D2655="?OLD","!!!","")</f>
        <v/>
      </c>
      <c r="F2655" s="23" t="str">
        <f>IF(OR(E2655="",E2655="!!!"),"",IF(NOT(ISNA(VLOOKUP(E2655,E$1:E2654,1,FALSE()))),"OLD",IF(AND(E2655&lt;&gt;"",E2655&lt;&gt;"!!!"),"NEW","")))</f>
        <v> </v>
      </c>
      <c r="G2655" s="24" t="str">
        <f>IF(OR(E2655="",E2655="!!!"),"",IF(OR(J2655=0,AND(J2655=1,K2655=1),AND(J2655=1,I2655="SBJ"),AND(J2655=1,I2655=0)),"?IN_FOCUS",IF(J2655&lt;=2,"?ACTIVATED",IF(J2655&lt;&gt;"","?FAMILIAR",IF(F2655="NEW",IF(ISNA(VLOOKUP(E2655,#REF!,1,FALSE())),"?TYPE_IDENTIFIABLE","?REFERENTIAL"),"_")))))</f>
        <v> </v>
      </c>
      <c r="H2655" s="25" t="str">
        <f>IF(J2655&lt;&gt;1,"",IF(I2655="SBJ","CB","?"))</f>
        <v> </v>
      </c>
      <c r="I2655" s="26" t="str">
        <f>IF(OR(E2655="",E2655="!!!",F2655="NEW"),"",INDEX(B2654:B$2,-1+SUMPRODUCT(MAX(ROW(E2654:E$2)*(E2655=E2654:E$2)))))</f>
        <v> </v>
      </c>
      <c r="J2655" s="26" t="str">
        <f>IF(OR(E2655="",E2655="!!!",F2655="NEW"),"",COUNTBLANK(OFFSET(A$1,,,SUMPRODUCT(MAX(ROW(E$2:E2655)*(E2655=E$2:E2655)))))-COUNTBLANK(OFFSET(A$1,,,SUMPRODUCT(MAX(ROW(E$1:E2654)*(E2=E$1:E2654))))))</f>
        <v> </v>
      </c>
      <c r="K2655" s="26" t="str">
        <f>IF(OR(E2655="",E2655="!!!",F2655="NEW"),"",INDEX(J$1:J2654,SUMPRODUCT(MAX(ROW(E$1:E2654)*(E2655=E$1:E2654)))))</f>
        <v> </v>
      </c>
      <c r="L2655" s="27"/>
    </row>
    <row r="2656" spans="1:12">
      <c r="A2656" s="20" t="s">
        <v>1468</v>
      </c>
      <c r="B2656" s="21" t="s">
        <v>791</v>
      </c>
      <c r="C2656" s="21" t="s">
        <v>748</v>
      </c>
      <c r="E2656" s="22">
        <f>IF(D2656="?OLD","!!!","")</f>
        <v/>
      </c>
      <c r="F2656" s="23" t="str">
        <f>IF(OR(E2656="",E2656="!!!"),"",IF(NOT(ISNA(VLOOKUP(E2656,E$1:E2655,1,FALSE()))),"OLD",IF(AND(E2656&lt;&gt;"",E2656&lt;&gt;"!!!"),"NEW","")))</f>
        <v> </v>
      </c>
      <c r="G2656" s="24" t="str">
        <f>IF(OR(E2656="",E2656="!!!"),"",IF(OR(J2656=0,AND(J2656=1,K2656=1),AND(J2656=1,I2656="SBJ"),AND(J2656=1,I2656=0)),"?IN_FOCUS",IF(J2656&lt;=2,"?ACTIVATED",IF(J2656&lt;&gt;"","?FAMILIAR",IF(F2656="NEW",IF(ISNA(VLOOKUP(E2656,#REF!,1,FALSE())),"?TYPE_IDENTIFIABLE","?REFERENTIAL"),"_")))))</f>
        <v> </v>
      </c>
      <c r="H2656" s="25" t="str">
        <f>IF(J2656&lt;&gt;1,"",IF(I2656="SBJ","CB","?"))</f>
        <v> </v>
      </c>
      <c r="I2656" s="26" t="str">
        <f>IF(OR(E2656="",E2656="!!!",F2656="NEW"),"",INDEX(B2655:B$2,-1+SUMPRODUCT(MAX(ROW(E2655:E$2)*(E2656=E2655:E$2)))))</f>
        <v> </v>
      </c>
      <c r="J2656" s="26" t="str">
        <f>IF(OR(E2656="",E2656="!!!",F2656="NEW"),"",COUNTBLANK(OFFSET(A$1,,,SUMPRODUCT(MAX(ROW(E$2:E2656)*(E2656=E$2:E2656)))))-COUNTBLANK(OFFSET(A$1,,,SUMPRODUCT(MAX(ROW(E$1:E2655)*(E2=E$1:E2655))))))</f>
        <v> </v>
      </c>
      <c r="K2656" s="26" t="str">
        <f>IF(OR(E2656="",E2656="!!!",F2656="NEW"),"",INDEX(J$1:J2655,SUMPRODUCT(MAX(ROW(E$1:E2655)*(E2656=E$1:E2655)))))</f>
        <v> </v>
      </c>
      <c r="L2656" s="27"/>
    </row>
    <row r="2657" spans="1:12">
      <c r="A2657" s="20" t="s">
        <v>759</v>
      </c>
      <c r="E2657" s="22">
        <f>IF(D2657="?OLD","!!!","")</f>
        <v/>
      </c>
      <c r="F2657" s="23" t="str">
        <f>IF(OR(E2657="",E2657="!!!"),"",IF(NOT(ISNA(VLOOKUP(E2657,E$1:E2656,1,FALSE()))),"OLD",IF(AND(E2657&lt;&gt;"",E2657&lt;&gt;"!!!"),"NEW","")))</f>
        <v> </v>
      </c>
      <c r="G2657" s="24" t="str">
        <f>IF(OR(E2657="",E2657="!!!"),"",IF(OR(J2657=0,AND(J2657=1,K2657=1),AND(J2657=1,I2657="SBJ"),AND(J2657=1,I2657=0)),"?IN_FOCUS",IF(J2657&lt;=2,"?ACTIVATED",IF(J2657&lt;&gt;"","?FAMILIAR",IF(F2657="NEW",IF(ISNA(VLOOKUP(E2657,#REF!,1,FALSE())),"?TYPE_IDENTIFIABLE","?REFERENTIAL"),"_")))))</f>
        <v> </v>
      </c>
      <c r="H2657" s="25" t="str">
        <f>IF(J2657&lt;&gt;1,"",IF(I2657="SBJ","CB","?"))</f>
        <v> </v>
      </c>
      <c r="I2657" s="26" t="str">
        <f>IF(OR(E2657="",E2657="!!!",F2657="NEW"),"",INDEX(B2656:B$2,-1+SUMPRODUCT(MAX(ROW(E2656:E$2)*(E2657=E2656:E$2)))))</f>
        <v> </v>
      </c>
      <c r="J2657" s="26" t="str">
        <f>IF(OR(E2657="",E2657="!!!",F2657="NEW"),"",COUNTBLANK(OFFSET(A$1,,,SUMPRODUCT(MAX(ROW(E$2:E2657)*(E2657=E$2:E2657)))))-COUNTBLANK(OFFSET(A$1,,,SUMPRODUCT(MAX(ROW(E$1:E2656)*(E2=E$1:E2656))))))</f>
        <v> </v>
      </c>
      <c r="K2657" s="26" t="str">
        <f>IF(OR(E2657="",E2657="!!!",F2657="NEW"),"",INDEX(J$1:J2656,SUMPRODUCT(MAX(ROW(E$1:E2656)*(E2657=E$1:E2656)))))</f>
        <v> </v>
      </c>
      <c r="L2657" s="27"/>
    </row>
    <row r="2658" spans="1:12">
      <c r="A2658" s="20" t="s">
        <v>1726</v>
      </c>
      <c r="E2658" s="22">
        <f>IF(D2658="?OLD","!!!","")</f>
        <v/>
      </c>
      <c r="F2658" s="23" t="str">
        <f>IF(OR(E2658="",E2658="!!!"),"",IF(NOT(ISNA(VLOOKUP(E2658,E$1:E2657,1,FALSE()))),"OLD",IF(AND(E2658&lt;&gt;"",E2658&lt;&gt;"!!!"),"NEW","")))</f>
        <v> </v>
      </c>
      <c r="G2658" s="24" t="str">
        <f>IF(OR(E2658="",E2658="!!!"),"",IF(OR(J2658=0,AND(J2658=1,K2658=1),AND(J2658=1,I2658="SBJ"),AND(J2658=1,I2658=0)),"?IN_FOCUS",IF(J2658&lt;=2,"?ACTIVATED",IF(J2658&lt;&gt;"","?FAMILIAR",IF(F2658="NEW",IF(ISNA(VLOOKUP(E2658,#REF!,1,FALSE())),"?TYPE_IDENTIFIABLE","?REFERENTIAL"),"_")))))</f>
        <v> </v>
      </c>
      <c r="H2658" s="25" t="str">
        <f>IF(J2658&lt;&gt;1,"",IF(I2658="SBJ","CB","?"))</f>
        <v> </v>
      </c>
      <c r="I2658" s="26" t="str">
        <f>IF(OR(E2658="",E2658="!!!",F2658="NEW"),"",INDEX(B2657:B$2,-1+SUMPRODUCT(MAX(ROW(E2657:E$2)*(E2658=E2657:E$2)))))</f>
        <v> </v>
      </c>
      <c r="J2658" s="26" t="str">
        <f>IF(OR(E2658="",E2658="!!!",F2658="NEW"),"",COUNTBLANK(OFFSET(A$1,,,SUMPRODUCT(MAX(ROW(E$2:E2658)*(E2658=E$2:E2658)))))-COUNTBLANK(OFFSET(A$1,,,SUMPRODUCT(MAX(ROW(E$1:E2657)*(E2=E$1:E2657))))))</f>
        <v> </v>
      </c>
      <c r="K2658" s="26" t="str">
        <f>IF(OR(E2658="",E2658="!!!",F2658="NEW"),"",INDEX(J$1:J2657,SUMPRODUCT(MAX(ROW(E$1:E2657)*(E2658=E$1:E2657)))))</f>
        <v> </v>
      </c>
      <c r="L2658" s="27"/>
    </row>
    <row r="2659" spans="1:12">
      <c r="A2659" s="20" t="s">
        <v>1189</v>
      </c>
      <c r="E2659" s="22">
        <f>IF(D2659="?OLD","!!!","")</f>
        <v/>
      </c>
      <c r="F2659" s="23" t="str">
        <f>IF(OR(E2659="",E2659="!!!"),"",IF(NOT(ISNA(VLOOKUP(E2659,E$1:E2658,1,FALSE()))),"OLD",IF(AND(E2659&lt;&gt;"",E2659&lt;&gt;"!!!"),"NEW","")))</f>
        <v> </v>
      </c>
      <c r="G2659" s="24" t="str">
        <f>IF(OR(E2659="",E2659="!!!"),"",IF(OR(J2659=0,AND(J2659=1,K2659=1),AND(J2659=1,I2659="SBJ"),AND(J2659=1,I2659=0)),"?IN_FOCUS",IF(J2659&lt;=2,"?ACTIVATED",IF(J2659&lt;&gt;"","?FAMILIAR",IF(F2659="NEW",IF(ISNA(VLOOKUP(E2659,#REF!,1,FALSE())),"?TYPE_IDENTIFIABLE","?REFERENTIAL"),"_")))))</f>
        <v> </v>
      </c>
      <c r="H2659" s="25" t="str">
        <f>IF(J2659&lt;&gt;1,"",IF(I2659="SBJ","CB","?"))</f>
        <v> </v>
      </c>
      <c r="I2659" s="26" t="str">
        <f>IF(OR(E2659="",E2659="!!!",F2659="NEW"),"",INDEX(B2658:B$2,-1+SUMPRODUCT(MAX(ROW(E2658:E$2)*(E2659=E2658:E$2)))))</f>
        <v> </v>
      </c>
      <c r="J2659" s="26" t="str">
        <f>IF(OR(E2659="",E2659="!!!",F2659="NEW"),"",COUNTBLANK(OFFSET(A$1,,,SUMPRODUCT(MAX(ROW(E$2:E2659)*(E2659=E$2:E2659)))))-COUNTBLANK(OFFSET(A$1,,,SUMPRODUCT(MAX(ROW(E$1:E2658)*(E2=E$1:E2658))))))</f>
        <v> </v>
      </c>
      <c r="K2659" s="26" t="str">
        <f>IF(OR(E2659="",E2659="!!!",F2659="NEW"),"",INDEX(J$1:J2658,SUMPRODUCT(MAX(ROW(E$1:E2658)*(E2659=E$1:E2658)))))</f>
        <v> </v>
      </c>
      <c r="L2659" s="27"/>
    </row>
    <row r="2660" spans="1:12">
      <c r="A2660" s="20" t="s">
        <v>1147</v>
      </c>
      <c r="E2660" s="22">
        <f>IF(D2660="?OLD","!!!","")</f>
        <v/>
      </c>
      <c r="F2660" s="23" t="str">
        <f>IF(OR(E2660="",E2660="!!!"),"",IF(NOT(ISNA(VLOOKUP(E2660,E$1:E2659,1,FALSE()))),"OLD",IF(AND(E2660&lt;&gt;"",E2660&lt;&gt;"!!!"),"NEW","")))</f>
        <v> </v>
      </c>
      <c r="G2660" s="24" t="str">
        <f>IF(OR(E2660="",E2660="!!!"),"",IF(OR(J2660=0,AND(J2660=1,K2660=1),AND(J2660=1,I2660="SBJ"),AND(J2660=1,I2660=0)),"?IN_FOCUS",IF(J2660&lt;=2,"?ACTIVATED",IF(J2660&lt;&gt;"","?FAMILIAR",IF(F2660="NEW",IF(ISNA(VLOOKUP(E2660,#REF!,1,FALSE())),"?TYPE_IDENTIFIABLE","?REFERENTIAL"),"_")))))</f>
        <v> </v>
      </c>
      <c r="H2660" s="25" t="str">
        <f>IF(J2660&lt;&gt;1,"",IF(I2660="SBJ","CB","?"))</f>
        <v> </v>
      </c>
      <c r="I2660" s="26" t="str">
        <f>IF(OR(E2660="",E2660="!!!",F2660="NEW"),"",INDEX(B2659:B$2,-1+SUMPRODUCT(MAX(ROW(E2659:E$2)*(E2660=E2659:E$2)))))</f>
        <v> </v>
      </c>
      <c r="J2660" s="26" t="str">
        <f>IF(OR(E2660="",E2660="!!!",F2660="NEW"),"",COUNTBLANK(OFFSET(A$1,,,SUMPRODUCT(MAX(ROW(E$2:E2660)*(E2660=E$2:E2660)))))-COUNTBLANK(OFFSET(A$1,,,SUMPRODUCT(MAX(ROW(E$1:E2659)*(E2=E$1:E2659))))))</f>
        <v> </v>
      </c>
      <c r="K2660" s="26" t="str">
        <f>IF(OR(E2660="",E2660="!!!",F2660="NEW"),"",INDEX(J$1:J2659,SUMPRODUCT(MAX(ROW(E$1:E2659)*(E2660=E$1:E2659)))))</f>
        <v> </v>
      </c>
      <c r="L2660" s="27"/>
    </row>
    <row r="2661" spans="1:12">
      <c r="A2661" s="20" t="s">
        <v>1673</v>
      </c>
      <c r="B2661" s="21" t="s">
        <v>739</v>
      </c>
      <c r="C2661" s="21" t="s">
        <v>748</v>
      </c>
      <c r="E2661" s="22">
        <f>IF(D2661="?OLD","!!!","")</f>
        <v/>
      </c>
      <c r="F2661" s="23" t="str">
        <f>IF(OR(E2661="",E2661="!!!"),"",IF(NOT(ISNA(VLOOKUP(E2661,E$1:E2660,1,FALSE()))),"OLD",IF(AND(E2661&lt;&gt;"",E2661&lt;&gt;"!!!"),"NEW","")))</f>
        <v> </v>
      </c>
      <c r="G2661" s="24" t="str">
        <f>IF(OR(E2661="",E2661="!!!"),"",IF(OR(J2661=0,AND(J2661=1,K2661=1),AND(J2661=1,I2661="SBJ"),AND(J2661=1,I2661=0)),"?IN_FOCUS",IF(J2661&lt;=2,"?ACTIVATED",IF(J2661&lt;&gt;"","?FAMILIAR",IF(F2661="NEW",IF(ISNA(VLOOKUP(E2661,#REF!,1,FALSE())),"?TYPE_IDENTIFIABLE","?REFERENTIAL"),"_")))))</f>
        <v> </v>
      </c>
      <c r="H2661" s="25" t="str">
        <f>IF(J2661&lt;&gt;1,"",IF(I2661="SBJ","CB","?"))</f>
        <v> </v>
      </c>
      <c r="I2661" s="26" t="str">
        <f>IF(OR(E2661="",E2661="!!!",F2661="NEW"),"",INDEX(B2660:B$2,-1+SUMPRODUCT(MAX(ROW(E2660:E$2)*(E2661=E2660:E$2)))))</f>
        <v> </v>
      </c>
      <c r="J2661" s="26" t="str">
        <f>IF(OR(E2661="",E2661="!!!",F2661="NEW"),"",COUNTBLANK(OFFSET(A$1,,,SUMPRODUCT(MAX(ROW(E$2:E2661)*(E2661=E$2:E2661)))))-COUNTBLANK(OFFSET(A$1,,,SUMPRODUCT(MAX(ROW(E$1:E2660)*(E2=E$1:E2660))))))</f>
        <v> </v>
      </c>
      <c r="K2661" s="26" t="str">
        <f>IF(OR(E2661="",E2661="!!!",F2661="NEW"),"",INDEX(J$1:J2660,SUMPRODUCT(MAX(ROW(E$1:E2660)*(E2661=E$1:E2660)))))</f>
        <v> </v>
      </c>
      <c r="L2661" s="27"/>
    </row>
    <row r="2662" spans="1:12">
      <c r="A2662" s="20" t="s">
        <v>246</v>
      </c>
      <c r="E2662" s="22">
        <f>IF(D2662="?OLD","!!!","")</f>
        <v/>
      </c>
      <c r="F2662" s="23" t="str">
        <f>IF(OR(E2662="",E2662="!!!"),"",IF(NOT(ISNA(VLOOKUP(E2662,E$1:E2661,1,FALSE()))),"OLD",IF(AND(E2662&lt;&gt;"",E2662&lt;&gt;"!!!"),"NEW","")))</f>
        <v> </v>
      </c>
      <c r="G2662" s="24" t="str">
        <f>IF(OR(E2662="",E2662="!!!"),"",IF(OR(J2662=0,AND(J2662=1,K2662=1),AND(J2662=1,I2662="SBJ"),AND(J2662=1,I2662=0)),"?IN_FOCUS",IF(J2662&lt;=2,"?ACTIVATED",IF(J2662&lt;&gt;"","?FAMILIAR",IF(F2662="NEW",IF(ISNA(VLOOKUP(E2662,#REF!,1,FALSE())),"?TYPE_IDENTIFIABLE","?REFERENTIAL"),"_")))))</f>
        <v> </v>
      </c>
      <c r="H2662" s="25" t="str">
        <f>IF(J2662&lt;&gt;1,"",IF(I2662="SBJ","CB","?"))</f>
        <v> </v>
      </c>
      <c r="I2662" s="26" t="str">
        <f>IF(OR(E2662="",E2662="!!!",F2662="NEW"),"",INDEX(B2661:B$2,-1+SUMPRODUCT(MAX(ROW(E2661:E$2)*(E2662=E2661:E$2)))))</f>
        <v> </v>
      </c>
      <c r="J2662" s="26" t="str">
        <f>IF(OR(E2662="",E2662="!!!",F2662="NEW"),"",COUNTBLANK(OFFSET(A$1,,,SUMPRODUCT(MAX(ROW(E$2:E2662)*(E2662=E$2:E2662)))))-COUNTBLANK(OFFSET(A$1,,,SUMPRODUCT(MAX(ROW(E$1:E2661)*(E2=E$1:E2661))))))</f>
        <v> </v>
      </c>
      <c r="K2662" s="26" t="str">
        <f>IF(OR(E2662="",E2662="!!!",F2662="NEW"),"",INDEX(J$1:J2661,SUMPRODUCT(MAX(ROW(E$1:E2661)*(E2662=E$1:E2661)))))</f>
        <v> </v>
      </c>
      <c r="L2662" s="27"/>
    </row>
    <row r="2663" spans="1:12">
      <c r="A2663" s="20"/>
    </row>
    <row r="2664" spans="1:12">
      <c r="A2664" s="20" t="s">
        <v>1727</v>
      </c>
    </row>
    <row r="2665" spans="1:12">
      <c r="A2665" s="20" t="s">
        <v>1728</v>
      </c>
      <c r="E2665" s="22">
        <f>IF(D2665="?OLD","!!!","")</f>
        <v/>
      </c>
      <c r="F2665" s="23" t="str">
        <f>IF(OR(E2665="",E2665="!!!"),"",IF(NOT(ISNA(VLOOKUP(E2665,E$1:E2664,1,FALSE()))),"OLD",IF(AND(E2665&lt;&gt;"",E2665&lt;&gt;"!!!"),"NEW","")))</f>
        <v> </v>
      </c>
      <c r="G2665" s="24" t="str">
        <f>IF(OR(E2665="",E2665="!!!"),"",IF(OR(J2665=0,AND(J2665=1,K2665=1),AND(J2665=1,I2665="SBJ"),AND(J2665=1,I2665=0)),"?IN_FOCUS",IF(J2665&lt;=2,"?ACTIVATED",IF(J2665&lt;&gt;"","?FAMILIAR",IF(F2665="NEW",IF(ISNA(VLOOKUP(E2665,#REF!,1,FALSE())),"?TYPE_IDENTIFIABLE","?REFERENTIAL"),"_")))))</f>
        <v> </v>
      </c>
      <c r="H2665" s="25" t="str">
        <f>IF(J2665&lt;&gt;1,"",IF(I2665="SBJ","CB","?"))</f>
        <v> </v>
      </c>
      <c r="I2665" s="26" t="str">
        <f>IF(OR(E2665="",E2665="!!!",F2665="NEW"),"",INDEX(B2664:B$2,-1+SUMPRODUCT(MAX(ROW(E2664:E$2)*(E2665=E2664:E$2)))))</f>
        <v> </v>
      </c>
      <c r="J2665" s="26" t="str">
        <f>IF(OR(E2665="",E2665="!!!",F2665="NEW"),"",COUNTBLANK(OFFSET(A$1,,,SUMPRODUCT(MAX(ROW(E$2:E2665)*(E2665=E$2:E2665)))))-COUNTBLANK(OFFSET(A$1,,,SUMPRODUCT(MAX(ROW(E$1:E2664)*(E2=E$1:E2664))))))</f>
        <v> </v>
      </c>
      <c r="K2665" s="26" t="str">
        <f>IF(OR(E2665="",E2665="!!!",F2665="NEW"),"",INDEX(J$1:J2664,SUMPRODUCT(MAX(ROW(E$1:E2664)*(E2665=E$1:E2664)))))</f>
        <v> </v>
      </c>
      <c r="L2665" s="27"/>
    </row>
    <row r="2666" spans="1:12">
      <c r="A2666" s="20" t="s">
        <v>1729</v>
      </c>
      <c r="E2666" s="22">
        <f>IF(D2666="?OLD","!!!","")</f>
        <v/>
      </c>
      <c r="F2666" s="23" t="str">
        <f>IF(OR(E2666="",E2666="!!!"),"",IF(NOT(ISNA(VLOOKUP(E2666,E$1:E2665,1,FALSE()))),"OLD",IF(AND(E2666&lt;&gt;"",E2666&lt;&gt;"!!!"),"NEW","")))</f>
        <v> </v>
      </c>
      <c r="G2666" s="24" t="str">
        <f>IF(OR(E2666="",E2666="!!!"),"",IF(OR(J2666=0,AND(J2666=1,K2666=1),AND(J2666=1,I2666="SBJ"),AND(J2666=1,I2666=0)),"?IN_FOCUS",IF(J2666&lt;=2,"?ACTIVATED",IF(J2666&lt;&gt;"","?FAMILIAR",IF(F2666="NEW",IF(ISNA(VLOOKUP(E2666,#REF!,1,FALSE())),"?TYPE_IDENTIFIABLE","?REFERENTIAL"),"_")))))</f>
        <v> </v>
      </c>
      <c r="H2666" s="25" t="str">
        <f>IF(J2666&lt;&gt;1,"",IF(I2666="SBJ","CB","?"))</f>
        <v> </v>
      </c>
      <c r="I2666" s="26" t="str">
        <f>IF(OR(E2666="",E2666="!!!",F2666="NEW"),"",INDEX(B2665:B$2,-1+SUMPRODUCT(MAX(ROW(E2665:E$2)*(E2666=E2665:E$2)))))</f>
        <v> </v>
      </c>
      <c r="J2666" s="26" t="str">
        <f>IF(OR(E2666="",E2666="!!!",F2666="NEW"),"",COUNTBLANK(OFFSET(A$1,,,SUMPRODUCT(MAX(ROW(E$2:E2666)*(E2666=E$2:E2666)))))-COUNTBLANK(OFFSET(A$1,,,SUMPRODUCT(MAX(ROW(E$1:E2665)*(E2=E$1:E2665))))))</f>
        <v> </v>
      </c>
      <c r="K2666" s="26" t="str">
        <f>IF(OR(E2666="",E2666="!!!",F2666="NEW"),"",INDEX(J$1:J2665,SUMPRODUCT(MAX(ROW(E$1:E2665)*(E2666=E$1:E2665)))))</f>
        <v> </v>
      </c>
      <c r="L2666" s="27"/>
    </row>
    <row r="2667" spans="1:12">
      <c r="A2667" s="20" t="s">
        <v>804</v>
      </c>
      <c r="B2667" s="21" t="s">
        <v>764</v>
      </c>
      <c r="E2667" s="22">
        <f>IF(D2667="?OLD","!!!","")</f>
        <v/>
      </c>
      <c r="F2667" s="23" t="str">
        <f>IF(OR(E2667="",E2667="!!!"),"",IF(NOT(ISNA(VLOOKUP(E2667,E$1:E2666,1,FALSE()))),"OLD",IF(AND(E2667&lt;&gt;"",E2667&lt;&gt;"!!!"),"NEW","")))</f>
        <v> </v>
      </c>
      <c r="G2667" s="24" t="str">
        <f>IF(OR(E2667="",E2667="!!!"),"",IF(OR(J2667=0,AND(J2667=1,K2667=1),AND(J2667=1,I2667="SBJ"),AND(J2667=1,I2667=0)),"?IN_FOCUS",IF(J2667&lt;=2,"?ACTIVATED",IF(J2667&lt;&gt;"","?FAMILIAR",IF(F2667="NEW",IF(ISNA(VLOOKUP(E2667,#REF!,1,FALSE())),"?TYPE_IDENTIFIABLE","?REFERENTIAL"),"_")))))</f>
        <v> </v>
      </c>
      <c r="H2667" s="25" t="str">
        <f>IF(J2667&lt;&gt;1,"",IF(I2667="SBJ","CB","?"))</f>
        <v> </v>
      </c>
      <c r="I2667" s="26" t="str">
        <f>IF(OR(E2667="",E2667="!!!",F2667="NEW"),"",INDEX(B2666:B$2,-1+SUMPRODUCT(MAX(ROW(E2666:E$2)*(E2667=E2666:E$2)))))</f>
        <v> </v>
      </c>
      <c r="J2667" s="26" t="str">
        <f>IF(OR(E2667="",E2667="!!!",F2667="NEW"),"",COUNTBLANK(OFFSET(A$1,,,SUMPRODUCT(MAX(ROW(E$2:E2667)*(E2667=E$2:E2667)))))-COUNTBLANK(OFFSET(A$1,,,SUMPRODUCT(MAX(ROW(E$1:E2666)*(E2=E$1:E2666))))))</f>
        <v> </v>
      </c>
      <c r="K2667" s="26" t="str">
        <f>IF(OR(E2667="",E2667="!!!",F2667="NEW"),"",INDEX(J$1:J2666,SUMPRODUCT(MAX(ROW(E$1:E2666)*(E2667=E$1:E2666)))))</f>
        <v> </v>
      </c>
      <c r="L2667" s="27"/>
    </row>
    <row r="2668" spans="1:12">
      <c r="A2668" s="20" t="s">
        <v>757</v>
      </c>
      <c r="E2668" s="22">
        <f>IF(D2668="?OLD","!!!","")</f>
        <v/>
      </c>
      <c r="F2668" s="23" t="str">
        <f>IF(OR(E2668="",E2668="!!!"),"",IF(NOT(ISNA(VLOOKUP(E2668,E$1:E2667,1,FALSE()))),"OLD",IF(AND(E2668&lt;&gt;"",E2668&lt;&gt;"!!!"),"NEW","")))</f>
        <v> </v>
      </c>
      <c r="G2668" s="24" t="str">
        <f>IF(OR(E2668="",E2668="!!!"),"",IF(OR(J2668=0,AND(J2668=1,K2668=1),AND(J2668=1,I2668="SBJ"),AND(J2668=1,I2668=0)),"?IN_FOCUS",IF(J2668&lt;=2,"?ACTIVATED",IF(J2668&lt;&gt;"","?FAMILIAR",IF(F2668="NEW",IF(ISNA(VLOOKUP(E2668,#REF!,1,FALSE())),"?TYPE_IDENTIFIABLE","?REFERENTIAL"),"_")))))</f>
        <v> </v>
      </c>
      <c r="H2668" s="25" t="str">
        <f>IF(J2668&lt;&gt;1,"",IF(I2668="SBJ","CB","?"))</f>
        <v> </v>
      </c>
      <c r="I2668" s="26" t="str">
        <f>IF(OR(E2668="",E2668="!!!",F2668="NEW"),"",INDEX(B2667:B$2,-1+SUMPRODUCT(MAX(ROW(E2667:E$2)*(E2668=E2667:E$2)))))</f>
        <v> </v>
      </c>
      <c r="J2668" s="26" t="str">
        <f>IF(OR(E2668="",E2668="!!!",F2668="NEW"),"",COUNTBLANK(OFFSET(A$1,,,SUMPRODUCT(MAX(ROW(E$2:E2668)*(E2668=E$2:E2668)))))-COUNTBLANK(OFFSET(A$1,,,SUMPRODUCT(MAX(ROW(E$1:E2667)*(E2=E$1:E2667))))))</f>
        <v> </v>
      </c>
      <c r="K2668" s="26" t="str">
        <f>IF(OR(E2668="",E2668="!!!",F2668="NEW"),"",INDEX(J$1:J2667,SUMPRODUCT(MAX(ROW(E$1:E2667)*(E2668=E$1:E2667)))))</f>
        <v> </v>
      </c>
      <c r="L2668" s="27"/>
    </row>
    <row r="2669" spans="1:12">
      <c r="A2669" s="20" t="s">
        <v>1730</v>
      </c>
      <c r="B2669" s="21" t="s">
        <v>728</v>
      </c>
      <c r="C2669" s="21" t="s">
        <v>753</v>
      </c>
      <c r="D2669" s="21" t="s">
        <v>730</v>
      </c>
      <c r="E2669" s="22">
        <f>IF(D2669="?OLD","!!!","")</f>
        <v/>
      </c>
      <c r="F2669" s="23" t="str">
        <f>IF(OR(E2669="",E2669="!!!"),"",IF(NOT(ISNA(VLOOKUP(E2669,E$1:E2668,1,FALSE()))),"OLD",IF(AND(E2669&lt;&gt;"",E2669&lt;&gt;"!!!"),"NEW","")))</f>
        <v> </v>
      </c>
      <c r="G2669" s="24" t="str">
        <f>IF(OR(E2669="",E2669="!!!"),"",IF(OR(J2669=0,AND(J2669=1,K2669=1),AND(J2669=1,I2669="SBJ"),AND(J2669=1,I2669=0)),"?IN_FOCUS",IF(J2669&lt;=2,"?ACTIVATED",IF(J2669&lt;&gt;"","?FAMILIAR",IF(F2669="NEW",IF(ISNA(VLOOKUP(E2669,#REF!,1,FALSE())),"?TYPE_IDENTIFIABLE","?REFERENTIAL"),"_")))))</f>
        <v> </v>
      </c>
      <c r="H2669" s="25" t="str">
        <f>IF(J2669&lt;&gt;1,"",IF(I2669="SBJ","CB","?"))</f>
        <v> </v>
      </c>
      <c r="I2669" s="26" t="str">
        <f>IF(OR(E2669="",E2669="!!!",F2669="NEW"),"",INDEX(B2668:B$2,-1+SUMPRODUCT(MAX(ROW(E2668:E$2)*(E2669=E2668:E$2)))))</f>
        <v> </v>
      </c>
      <c r="J2669" s="26" t="str">
        <f>IF(OR(E2669="",E2669="!!!",F2669="NEW"),"",COUNTBLANK(OFFSET(A$1,,,SUMPRODUCT(MAX(ROW(E$2:E2669)*(E2669=E$2:E2669)))))-COUNTBLANK(OFFSET(A$1,,,SUMPRODUCT(MAX(ROW(E$1:E2668)*(E2=E$1:E2668))))))</f>
        <v> </v>
      </c>
      <c r="K2669" s="26" t="str">
        <f>IF(OR(E2669="",E2669="!!!",F2669="NEW"),"",INDEX(J$1:J2668,SUMPRODUCT(MAX(ROW(E$1:E2668)*(E2669=E$1:E2668)))))</f>
        <v> </v>
      </c>
      <c r="L2669" s="27"/>
    </row>
    <row r="2670" spans="1:12">
      <c r="A2670" s="20" t="s">
        <v>1731</v>
      </c>
      <c r="E2670" s="22">
        <f>IF(D2670="?OLD","!!!","")</f>
        <v/>
      </c>
      <c r="F2670" s="23" t="str">
        <f>IF(OR(E2670="",E2670="!!!"),"",IF(NOT(ISNA(VLOOKUP(E2670,E$1:E2669,1,FALSE()))),"OLD",IF(AND(E2670&lt;&gt;"",E2670&lt;&gt;"!!!"),"NEW","")))</f>
        <v> </v>
      </c>
      <c r="G2670" s="24" t="str">
        <f>IF(OR(E2670="",E2670="!!!"),"",IF(OR(J2670=0,AND(J2670=1,K2670=1),AND(J2670=1,I2670="SBJ"),AND(J2670=1,I2670=0)),"?IN_FOCUS",IF(J2670&lt;=2,"?ACTIVATED",IF(J2670&lt;&gt;"","?FAMILIAR",IF(F2670="NEW",IF(ISNA(VLOOKUP(E2670,#REF!,1,FALSE())),"?TYPE_IDENTIFIABLE","?REFERENTIAL"),"_")))))</f>
        <v> </v>
      </c>
      <c r="H2670" s="25" t="str">
        <f>IF(J2670&lt;&gt;1,"",IF(I2670="SBJ","CB","?"))</f>
        <v> </v>
      </c>
      <c r="I2670" s="26" t="str">
        <f>IF(OR(E2670="",E2670="!!!",F2670="NEW"),"",INDEX(B2669:B$2,-1+SUMPRODUCT(MAX(ROW(E2669:E$2)*(E2670=E2669:E$2)))))</f>
        <v> </v>
      </c>
      <c r="J2670" s="26" t="str">
        <f>IF(OR(E2670="",E2670="!!!",F2670="NEW"),"",COUNTBLANK(OFFSET(A$1,,,SUMPRODUCT(MAX(ROW(E$2:E2670)*(E2670=E$2:E2670)))))-COUNTBLANK(OFFSET(A$1,,,SUMPRODUCT(MAX(ROW(E$1:E2669)*(E2=E$1:E2669))))))</f>
        <v> </v>
      </c>
      <c r="K2670" s="26" t="str">
        <f>IF(OR(E2670="",E2670="!!!",F2670="NEW"),"",INDEX(J$1:J2669,SUMPRODUCT(MAX(ROW(E$1:E2669)*(E2670=E$1:E2669)))))</f>
        <v> </v>
      </c>
      <c r="L2670" s="27"/>
    </row>
    <row r="2671" spans="1:12">
      <c r="A2671" s="20" t="s">
        <v>745</v>
      </c>
      <c r="B2671" s="21" t="s">
        <v>755</v>
      </c>
      <c r="C2671" s="21" t="s">
        <v>746</v>
      </c>
      <c r="D2671" s="21" t="s">
        <v>730</v>
      </c>
      <c r="E2671" s="22">
        <f>IF(D2671="?OLD","!!!","")</f>
        <v/>
      </c>
      <c r="F2671" s="23" t="str">
        <f>IF(OR(E2671="",E2671="!!!"),"",IF(NOT(ISNA(VLOOKUP(E2671,E$1:E2670,1,FALSE()))),"OLD",IF(AND(E2671&lt;&gt;"",E2671&lt;&gt;"!!!"),"NEW","")))</f>
        <v> </v>
      </c>
      <c r="G2671" s="24" t="str">
        <f>IF(OR(E2671="",E2671="!!!"),"",IF(OR(J2671=0,AND(J2671=1,K2671=1),AND(J2671=1,I2671="SBJ"),AND(J2671=1,I2671=0)),"?IN_FOCUS",IF(J2671&lt;=2,"?ACTIVATED",IF(J2671&lt;&gt;"","?FAMILIAR",IF(F2671="NEW",IF(ISNA(VLOOKUP(E2671,#REF!,1,FALSE())),"?TYPE_IDENTIFIABLE","?REFERENTIAL"),"_")))))</f>
        <v> </v>
      </c>
      <c r="H2671" s="25" t="str">
        <f>IF(J2671&lt;&gt;1,"",IF(I2671="SBJ","CB","?"))</f>
        <v> </v>
      </c>
      <c r="I2671" s="26" t="str">
        <f>IF(OR(E2671="",E2671="!!!",F2671="NEW"),"",INDEX(B2670:B$2,-1+SUMPRODUCT(MAX(ROW(E2670:E$2)*(E2671=E2670:E$2)))))</f>
        <v> </v>
      </c>
      <c r="J2671" s="26" t="str">
        <f>IF(OR(E2671="",E2671="!!!",F2671="NEW"),"",COUNTBLANK(OFFSET(A$1,,,SUMPRODUCT(MAX(ROW(E$2:E2671)*(E2671=E$2:E2671)))))-COUNTBLANK(OFFSET(A$1,,,SUMPRODUCT(MAX(ROW(E$1:E2670)*(E2=E$1:E2670))))))</f>
        <v> </v>
      </c>
      <c r="K2671" s="26" t="str">
        <f>IF(OR(E2671="",E2671="!!!",F2671="NEW"),"",INDEX(J$1:J2670,SUMPRODUCT(MAX(ROW(E$1:E2670)*(E2671=E$1:E2670)))))</f>
        <v> </v>
      </c>
      <c r="L2671" s="27"/>
    </row>
    <row r="2672" spans="1:12">
      <c r="A2672" s="20" t="s">
        <v>1621</v>
      </c>
      <c r="B2672" s="21" t="s">
        <v>739</v>
      </c>
      <c r="C2672" s="21" t="s">
        <v>748</v>
      </c>
      <c r="E2672" s="22">
        <f>IF(D2672="?OLD","!!!","")</f>
        <v/>
      </c>
      <c r="F2672" s="23" t="str">
        <f>IF(OR(E2672="",E2672="!!!"),"",IF(NOT(ISNA(VLOOKUP(E2672,E$1:E2671,1,FALSE()))),"OLD",IF(AND(E2672&lt;&gt;"",E2672&lt;&gt;"!!!"),"NEW","")))</f>
        <v> </v>
      </c>
      <c r="G2672" s="24" t="str">
        <f>IF(OR(E2672="",E2672="!!!"),"",IF(OR(J2672=0,AND(J2672=1,K2672=1),AND(J2672=1,I2672="SBJ"),AND(J2672=1,I2672=0)),"?IN_FOCUS",IF(J2672&lt;=2,"?ACTIVATED",IF(J2672&lt;&gt;"","?FAMILIAR",IF(F2672="NEW",IF(ISNA(VLOOKUP(E2672,#REF!,1,FALSE())),"?TYPE_IDENTIFIABLE","?REFERENTIAL"),"_")))))</f>
        <v> </v>
      </c>
      <c r="H2672" s="25" t="str">
        <f>IF(J2672&lt;&gt;1,"",IF(I2672="SBJ","CB","?"))</f>
        <v> </v>
      </c>
      <c r="I2672" s="26" t="str">
        <f>IF(OR(E2672="",E2672="!!!",F2672="NEW"),"",INDEX(B2671:B$2,-1+SUMPRODUCT(MAX(ROW(E2671:E$2)*(E2672=E2671:E$2)))))</f>
        <v> </v>
      </c>
      <c r="J2672" s="26" t="str">
        <f>IF(OR(E2672="",E2672="!!!",F2672="NEW"),"",COUNTBLANK(OFFSET(A$1,,,SUMPRODUCT(MAX(ROW(E$2:E2672)*(E2672=E$2:E2672)))))-COUNTBLANK(OFFSET(A$1,,,SUMPRODUCT(MAX(ROW(E$1:E2671)*(E2=E$1:E2671))))))</f>
        <v> </v>
      </c>
      <c r="K2672" s="26" t="str">
        <f>IF(OR(E2672="",E2672="!!!",F2672="NEW"),"",INDEX(J$1:J2671,SUMPRODUCT(MAX(ROW(E$1:E2671)*(E2672=E$1:E2671)))))</f>
        <v> </v>
      </c>
      <c r="L2672" s="27"/>
    </row>
    <row r="2673" spans="1:12">
      <c r="A2673" s="20" t="s">
        <v>920</v>
      </c>
      <c r="E2673" s="22">
        <f>IF(D2673="?OLD","!!!","")</f>
        <v/>
      </c>
      <c r="F2673" s="23" t="str">
        <f>IF(OR(E2673="",E2673="!!!"),"",IF(NOT(ISNA(VLOOKUP(E2673,E$1:E2672,1,FALSE()))),"OLD",IF(AND(E2673&lt;&gt;"",E2673&lt;&gt;"!!!"),"NEW","")))</f>
        <v> </v>
      </c>
      <c r="G2673" s="24" t="str">
        <f>IF(OR(E2673="",E2673="!!!"),"",IF(OR(J2673=0,AND(J2673=1,K2673=1),AND(J2673=1,I2673="SBJ"),AND(J2673=1,I2673=0)),"?IN_FOCUS",IF(J2673&lt;=2,"?ACTIVATED",IF(J2673&lt;&gt;"","?FAMILIAR",IF(F2673="NEW",IF(ISNA(VLOOKUP(E2673,#REF!,1,FALSE())),"?TYPE_IDENTIFIABLE","?REFERENTIAL"),"_")))))</f>
        <v> </v>
      </c>
      <c r="H2673" s="25" t="str">
        <f>IF(J2673&lt;&gt;1,"",IF(I2673="SBJ","CB","?"))</f>
        <v> </v>
      </c>
      <c r="I2673" s="26" t="str">
        <f>IF(OR(E2673="",E2673="!!!",F2673="NEW"),"",INDEX(B2672:B$2,-1+SUMPRODUCT(MAX(ROW(E2672:E$2)*(E2673=E2672:E$2)))))</f>
        <v> </v>
      </c>
      <c r="J2673" s="26" t="str">
        <f>IF(OR(E2673="",E2673="!!!",F2673="NEW"),"",COUNTBLANK(OFFSET(A$1,,,SUMPRODUCT(MAX(ROW(E$2:E2673)*(E2673=E$2:E2673)))))-COUNTBLANK(OFFSET(A$1,,,SUMPRODUCT(MAX(ROW(E$1:E2672)*(E2=E$1:E2672))))))</f>
        <v> </v>
      </c>
      <c r="K2673" s="26" t="str">
        <f>IF(OR(E2673="",E2673="!!!",F2673="NEW"),"",INDEX(J$1:J2672,SUMPRODUCT(MAX(ROW(E$1:E2672)*(E2673=E$1:E2672)))))</f>
        <v> </v>
      </c>
      <c r="L2673" s="27"/>
    </row>
    <row r="2674" spans="1:12">
      <c r="A2674" s="20" t="s">
        <v>738</v>
      </c>
      <c r="B2674" s="21" t="s">
        <v>755</v>
      </c>
      <c r="C2674" s="21" t="s">
        <v>740</v>
      </c>
      <c r="D2674" s="21" t="s">
        <v>730</v>
      </c>
      <c r="E2674" s="22">
        <f>IF(D2674="?OLD","!!!","")</f>
        <v/>
      </c>
      <c r="F2674" s="23" t="str">
        <f>IF(OR(E2674="",E2674="!!!"),"",IF(NOT(ISNA(VLOOKUP(E2674,E$1:E2673,1,FALSE()))),"OLD",IF(AND(E2674&lt;&gt;"",E2674&lt;&gt;"!!!"),"NEW","")))</f>
        <v> </v>
      </c>
      <c r="G2674" s="24" t="str">
        <f>IF(OR(E2674="",E2674="!!!"),"",IF(OR(J2674=0,AND(J2674=1,K2674=1),AND(J2674=1,I2674="SBJ"),AND(J2674=1,I2674=0)),"?IN_FOCUS",IF(J2674&lt;=2,"?ACTIVATED",IF(J2674&lt;&gt;"","?FAMILIAR",IF(F2674="NEW",IF(ISNA(VLOOKUP(E2674,#REF!,1,FALSE())),"?TYPE_IDENTIFIABLE","?REFERENTIAL"),"_")))))</f>
        <v> </v>
      </c>
      <c r="H2674" s="25" t="str">
        <f>IF(J2674&lt;&gt;1,"",IF(I2674="SBJ","CB","?"))</f>
        <v> </v>
      </c>
      <c r="I2674" s="26" t="str">
        <f>IF(OR(E2674="",E2674="!!!",F2674="NEW"),"",INDEX(B2673:B$2,-1+SUMPRODUCT(MAX(ROW(E2673:E$2)*(E2674=E2673:E$2)))))</f>
        <v> </v>
      </c>
      <c r="J2674" s="26" t="str">
        <f>IF(OR(E2674="",E2674="!!!",F2674="NEW"),"",COUNTBLANK(OFFSET(A$1,,,SUMPRODUCT(MAX(ROW(E$2:E2674)*(E2674=E$2:E2674)))))-COUNTBLANK(OFFSET(A$1,,,SUMPRODUCT(MAX(ROW(E$1:E2673)*(E2=E$1:E2673))))))</f>
        <v> </v>
      </c>
      <c r="K2674" s="26" t="str">
        <f>IF(OR(E2674="",E2674="!!!",F2674="NEW"),"",INDEX(J$1:J2673,SUMPRODUCT(MAX(ROW(E$1:E2673)*(E2674=E$1:E2673)))))</f>
        <v> </v>
      </c>
      <c r="L2674" s="27"/>
    </row>
    <row r="2675" spans="1:12">
      <c r="A2675" s="20" t="s">
        <v>12</v>
      </c>
      <c r="E2675" s="22">
        <f>IF(D2675="?OLD","!!!","")</f>
        <v/>
      </c>
      <c r="F2675" s="23" t="str">
        <f>IF(OR(E2675="",E2675="!!!"),"",IF(NOT(ISNA(VLOOKUP(E2675,E$1:E2674,1,FALSE()))),"OLD",IF(AND(E2675&lt;&gt;"",E2675&lt;&gt;"!!!"),"NEW","")))</f>
        <v> </v>
      </c>
      <c r="G2675" s="24" t="str">
        <f>IF(OR(E2675="",E2675="!!!"),"",IF(OR(J2675=0,AND(J2675=1,K2675=1),AND(J2675=1,I2675="SBJ"),AND(J2675=1,I2675=0)),"?IN_FOCUS",IF(J2675&lt;=2,"?ACTIVATED",IF(J2675&lt;&gt;"","?FAMILIAR",IF(F2675="NEW",IF(ISNA(VLOOKUP(E2675,#REF!,1,FALSE())),"?TYPE_IDENTIFIABLE","?REFERENTIAL"),"_")))))</f>
        <v> </v>
      </c>
      <c r="H2675" s="25" t="str">
        <f>IF(J2675&lt;&gt;1,"",IF(I2675="SBJ","CB","?"))</f>
        <v> </v>
      </c>
      <c r="I2675" s="26" t="str">
        <f>IF(OR(E2675="",E2675="!!!",F2675="NEW"),"",INDEX(B2674:B$2,-1+SUMPRODUCT(MAX(ROW(E2674:E$2)*(E2675=E2674:E$2)))))</f>
        <v> </v>
      </c>
      <c r="J2675" s="26" t="str">
        <f>IF(OR(E2675="",E2675="!!!",F2675="NEW"),"",COUNTBLANK(OFFSET(A$1,,,SUMPRODUCT(MAX(ROW(E$2:E2675)*(E2675=E$2:E2675)))))-COUNTBLANK(OFFSET(A$1,,,SUMPRODUCT(MAX(ROW(E$1:E2674)*(E2=E$1:E2674))))))</f>
        <v> </v>
      </c>
      <c r="K2675" s="26" t="str">
        <f>IF(OR(E2675="",E2675="!!!",F2675="NEW"),"",INDEX(J$1:J2674,SUMPRODUCT(MAX(ROW(E$1:E2674)*(E2675=E$1:E2674)))))</f>
        <v> </v>
      </c>
      <c r="L2675" s="27"/>
    </row>
    <row r="2676" spans="1:12">
      <c r="A2676" s="20" t="s">
        <v>741</v>
      </c>
      <c r="E2676" s="22">
        <f>IF(D2676="?OLD","!!!","")</f>
        <v/>
      </c>
      <c r="F2676" s="23" t="str">
        <f>IF(OR(E2676="",E2676="!!!"),"",IF(NOT(ISNA(VLOOKUP(E2676,E$1:E2675,1,FALSE()))),"OLD",IF(AND(E2676&lt;&gt;"",E2676&lt;&gt;"!!!"),"NEW","")))</f>
        <v> </v>
      </c>
      <c r="G2676" s="24" t="str">
        <f>IF(OR(E2676="",E2676="!!!"),"",IF(OR(J2676=0,AND(J2676=1,K2676=1),AND(J2676=1,I2676="SBJ"),AND(J2676=1,I2676=0)),"?IN_FOCUS",IF(J2676&lt;=2,"?ACTIVATED",IF(J2676&lt;&gt;"","?FAMILIAR",IF(F2676="NEW",IF(ISNA(VLOOKUP(E2676,#REF!,1,FALSE())),"?TYPE_IDENTIFIABLE","?REFERENTIAL"),"_")))))</f>
        <v> </v>
      </c>
      <c r="H2676" s="25" t="str">
        <f>IF(J2676&lt;&gt;1,"",IF(I2676="SBJ","CB","?"))</f>
        <v> </v>
      </c>
      <c r="I2676" s="26" t="str">
        <f>IF(OR(E2676="",E2676="!!!",F2676="NEW"),"",INDEX(B2675:B$2,-1+SUMPRODUCT(MAX(ROW(E2675:E$2)*(E2676=E2675:E$2)))))</f>
        <v> </v>
      </c>
      <c r="J2676" s="26" t="str">
        <f>IF(OR(E2676="",E2676="!!!",F2676="NEW"),"",COUNTBLANK(OFFSET(A$1,,,SUMPRODUCT(MAX(ROW(E$2:E2676)*(E2676=E$2:E2676)))))-COUNTBLANK(OFFSET(A$1,,,SUMPRODUCT(MAX(ROW(E$1:E2675)*(E2=E$1:E2675))))))</f>
        <v> </v>
      </c>
      <c r="K2676" s="26" t="str">
        <f>IF(OR(E2676="",E2676="!!!",F2676="NEW"),"",INDEX(J$1:J2675,SUMPRODUCT(MAX(ROW(E$1:E2675)*(E2676=E$1:E2675)))))</f>
        <v> </v>
      </c>
      <c r="L2676" s="27"/>
    </row>
    <row r="2677" spans="1:12">
      <c r="A2677" s="20" t="s">
        <v>12</v>
      </c>
      <c r="E2677" s="22">
        <f>IF(D2677="?OLD","!!!","")</f>
        <v/>
      </c>
      <c r="F2677" s="23" t="str">
        <f>IF(OR(E2677="",E2677="!!!"),"",IF(NOT(ISNA(VLOOKUP(E2677,E$1:E2676,1,FALSE()))),"OLD",IF(AND(E2677&lt;&gt;"",E2677&lt;&gt;"!!!"),"NEW","")))</f>
        <v> </v>
      </c>
      <c r="G2677" s="24" t="str">
        <f>IF(OR(E2677="",E2677="!!!"),"",IF(OR(J2677=0,AND(J2677=1,K2677=1),AND(J2677=1,I2677="SBJ"),AND(J2677=1,I2677=0)),"?IN_FOCUS",IF(J2677&lt;=2,"?ACTIVATED",IF(J2677&lt;&gt;"","?FAMILIAR",IF(F2677="NEW",IF(ISNA(VLOOKUP(E2677,#REF!,1,FALSE())),"?TYPE_IDENTIFIABLE","?REFERENTIAL"),"_")))))</f>
        <v> </v>
      </c>
      <c r="H2677" s="25" t="str">
        <f>IF(J2677&lt;&gt;1,"",IF(I2677="SBJ","CB","?"))</f>
        <v> </v>
      </c>
      <c r="I2677" s="26" t="str">
        <f>IF(OR(E2677="",E2677="!!!",F2677="NEW"),"",INDEX(B2676:B$2,-1+SUMPRODUCT(MAX(ROW(E2676:E$2)*(E2677=E2676:E$2)))))</f>
        <v> </v>
      </c>
      <c r="J2677" s="26" t="str">
        <f>IF(OR(E2677="",E2677="!!!",F2677="NEW"),"",COUNTBLANK(OFFSET(A$1,,,SUMPRODUCT(MAX(ROW(E$2:E2677)*(E2677=E$2:E2677)))))-COUNTBLANK(OFFSET(A$1,,,SUMPRODUCT(MAX(ROW(E$1:E2676)*(E2=E$1:E2676))))))</f>
        <v> </v>
      </c>
      <c r="K2677" s="26" t="str">
        <f>IF(OR(E2677="",E2677="!!!",F2677="NEW"),"",INDEX(J$1:J2676,SUMPRODUCT(MAX(ROW(E$1:E2676)*(E2677=E$1:E2676)))))</f>
        <v> </v>
      </c>
      <c r="L2677" s="27"/>
    </row>
    <row r="2678" spans="1:12">
      <c r="A2678" s="20" t="s">
        <v>1641</v>
      </c>
      <c r="E2678" s="22">
        <f>IF(D2678="?OLD","!!!","")</f>
        <v/>
      </c>
      <c r="F2678" s="23" t="str">
        <f>IF(OR(E2678="",E2678="!!!"),"",IF(NOT(ISNA(VLOOKUP(E2678,E$1:E2677,1,FALSE()))),"OLD",IF(AND(E2678&lt;&gt;"",E2678&lt;&gt;"!!!"),"NEW","")))</f>
        <v> </v>
      </c>
      <c r="G2678" s="24" t="str">
        <f>IF(OR(E2678="",E2678="!!!"),"",IF(OR(J2678=0,AND(J2678=1,K2678=1),AND(J2678=1,I2678="SBJ"),AND(J2678=1,I2678=0)),"?IN_FOCUS",IF(J2678&lt;=2,"?ACTIVATED",IF(J2678&lt;&gt;"","?FAMILIAR",IF(F2678="NEW",IF(ISNA(VLOOKUP(E2678,#REF!,1,FALSE())),"?TYPE_IDENTIFIABLE","?REFERENTIAL"),"_")))))</f>
        <v> </v>
      </c>
      <c r="H2678" s="25" t="str">
        <f>IF(J2678&lt;&gt;1,"",IF(I2678="SBJ","CB","?"))</f>
        <v> </v>
      </c>
      <c r="I2678" s="26" t="str">
        <f>IF(OR(E2678="",E2678="!!!",F2678="NEW"),"",INDEX(B2677:B$2,-1+SUMPRODUCT(MAX(ROW(E2677:E$2)*(E2678=E2677:E$2)))))</f>
        <v> </v>
      </c>
      <c r="J2678" s="26" t="str">
        <f>IF(OR(E2678="",E2678="!!!",F2678="NEW"),"",COUNTBLANK(OFFSET(A$1,,,SUMPRODUCT(MAX(ROW(E$2:E2678)*(E2678=E$2:E2678)))))-COUNTBLANK(OFFSET(A$1,,,SUMPRODUCT(MAX(ROW(E$1:E2677)*(E2=E$1:E2677))))))</f>
        <v> </v>
      </c>
      <c r="K2678" s="26" t="str">
        <f>IF(OR(E2678="",E2678="!!!",F2678="NEW"),"",INDEX(J$1:J2677,SUMPRODUCT(MAX(ROW(E$1:E2677)*(E2678=E$1:E2677)))))</f>
        <v> </v>
      </c>
      <c r="L2678" s="27"/>
    </row>
    <row r="2679" spans="1:12">
      <c r="A2679" s="20" t="s">
        <v>759</v>
      </c>
      <c r="E2679" s="22">
        <f>IF(D2679="?OLD","!!!","")</f>
        <v/>
      </c>
      <c r="F2679" s="23" t="str">
        <f>IF(OR(E2679="",E2679="!!!"),"",IF(NOT(ISNA(VLOOKUP(E2679,E$1:E2678,1,FALSE()))),"OLD",IF(AND(E2679&lt;&gt;"",E2679&lt;&gt;"!!!"),"NEW","")))</f>
        <v> </v>
      </c>
      <c r="G2679" s="24" t="str">
        <f>IF(OR(E2679="",E2679="!!!"),"",IF(OR(J2679=0,AND(J2679=1,K2679=1),AND(J2679=1,I2679="SBJ"),AND(J2679=1,I2679=0)),"?IN_FOCUS",IF(J2679&lt;=2,"?ACTIVATED",IF(J2679&lt;&gt;"","?FAMILIAR",IF(F2679="NEW",IF(ISNA(VLOOKUP(E2679,#REF!,1,FALSE())),"?TYPE_IDENTIFIABLE","?REFERENTIAL"),"_")))))</f>
        <v> </v>
      </c>
      <c r="H2679" s="25" t="str">
        <f>IF(J2679&lt;&gt;1,"",IF(I2679="SBJ","CB","?"))</f>
        <v> </v>
      </c>
      <c r="I2679" s="26" t="str">
        <f>IF(OR(E2679="",E2679="!!!",F2679="NEW"),"",INDEX(B2678:B$2,-1+SUMPRODUCT(MAX(ROW(E2678:E$2)*(E2679=E2678:E$2)))))</f>
        <v> </v>
      </c>
      <c r="J2679" s="26" t="str">
        <f>IF(OR(E2679="",E2679="!!!",F2679="NEW"),"",COUNTBLANK(OFFSET(A$1,,,SUMPRODUCT(MAX(ROW(E$2:E2679)*(E2679=E$2:E2679)))))-COUNTBLANK(OFFSET(A$1,,,SUMPRODUCT(MAX(ROW(E$1:E2678)*(E2=E$1:E2678))))))</f>
        <v> </v>
      </c>
      <c r="K2679" s="26" t="str">
        <f>IF(OR(E2679="",E2679="!!!",F2679="NEW"),"",INDEX(J$1:J2678,SUMPRODUCT(MAX(ROW(E$1:E2678)*(E2679=E$1:E2678)))))</f>
        <v> </v>
      </c>
      <c r="L2679" s="27"/>
    </row>
    <row r="2680" spans="1:12">
      <c r="A2680" s="20" t="s">
        <v>855</v>
      </c>
      <c r="E2680" s="22">
        <f>IF(D2680="?OLD","!!!","")</f>
        <v/>
      </c>
      <c r="F2680" s="23" t="str">
        <f>IF(OR(E2680="",E2680="!!!"),"",IF(NOT(ISNA(VLOOKUP(E2680,E$1:E2679,1,FALSE()))),"OLD",IF(AND(E2680&lt;&gt;"",E2680&lt;&gt;"!!!"),"NEW","")))</f>
        <v> </v>
      </c>
      <c r="G2680" s="24" t="str">
        <f>IF(OR(E2680="",E2680="!!!"),"",IF(OR(J2680=0,AND(J2680=1,K2680=1),AND(J2680=1,I2680="SBJ"),AND(J2680=1,I2680=0)),"?IN_FOCUS",IF(J2680&lt;=2,"?ACTIVATED",IF(J2680&lt;&gt;"","?FAMILIAR",IF(F2680="NEW",IF(ISNA(VLOOKUP(E2680,#REF!,1,FALSE())),"?TYPE_IDENTIFIABLE","?REFERENTIAL"),"_")))))</f>
        <v> </v>
      </c>
      <c r="H2680" s="25" t="str">
        <f>IF(J2680&lt;&gt;1,"",IF(I2680="SBJ","CB","?"))</f>
        <v> </v>
      </c>
      <c r="I2680" s="26" t="str">
        <f>IF(OR(E2680="",E2680="!!!",F2680="NEW"),"",INDEX(B2679:B$2,-1+SUMPRODUCT(MAX(ROW(E2679:E$2)*(E2680=E2679:E$2)))))</f>
        <v> </v>
      </c>
      <c r="J2680" s="26" t="str">
        <f>IF(OR(E2680="",E2680="!!!",F2680="NEW"),"",COUNTBLANK(OFFSET(A$1,,,SUMPRODUCT(MAX(ROW(E$2:E2680)*(E2680=E$2:E2680)))))-COUNTBLANK(OFFSET(A$1,,,SUMPRODUCT(MAX(ROW(E$1:E2679)*(E2=E$1:E2679))))))</f>
        <v> </v>
      </c>
      <c r="K2680" s="26" t="str">
        <f>IF(OR(E2680="",E2680="!!!",F2680="NEW"),"",INDEX(J$1:J2679,SUMPRODUCT(MAX(ROW(E$1:E2679)*(E2680=E$1:E2679)))))</f>
        <v> </v>
      </c>
      <c r="L2680" s="27"/>
    </row>
    <row r="2681" spans="1:12">
      <c r="A2681" s="20" t="s">
        <v>920</v>
      </c>
      <c r="E2681" s="22">
        <f>IF(D2681="?OLD","!!!","")</f>
        <v/>
      </c>
      <c r="F2681" s="23" t="str">
        <f>IF(OR(E2681="",E2681="!!!"),"",IF(NOT(ISNA(VLOOKUP(E2681,E$1:E2680,1,FALSE()))),"OLD",IF(AND(E2681&lt;&gt;"",E2681&lt;&gt;"!!!"),"NEW","")))</f>
        <v> </v>
      </c>
      <c r="G2681" s="24" t="str">
        <f>IF(OR(E2681="",E2681="!!!"),"",IF(OR(J2681=0,AND(J2681=1,K2681=1),AND(J2681=1,I2681="SBJ"),AND(J2681=1,I2681=0)),"?IN_FOCUS",IF(J2681&lt;=2,"?ACTIVATED",IF(J2681&lt;&gt;"","?FAMILIAR",IF(F2681="NEW",IF(ISNA(VLOOKUP(E2681,#REF!,1,FALSE())),"?TYPE_IDENTIFIABLE","?REFERENTIAL"),"_")))))</f>
        <v> </v>
      </c>
      <c r="H2681" s="25" t="str">
        <f>IF(J2681&lt;&gt;1,"",IF(I2681="SBJ","CB","?"))</f>
        <v> </v>
      </c>
      <c r="I2681" s="26" t="str">
        <f>IF(OR(E2681="",E2681="!!!",F2681="NEW"),"",INDEX(B2680:B$2,-1+SUMPRODUCT(MAX(ROW(E2680:E$2)*(E2681=E2680:E$2)))))</f>
        <v> </v>
      </c>
      <c r="J2681" s="26" t="str">
        <f>IF(OR(E2681="",E2681="!!!",F2681="NEW"),"",COUNTBLANK(OFFSET(A$1,,,SUMPRODUCT(MAX(ROW(E$2:E2681)*(E2681=E$2:E2681)))))-COUNTBLANK(OFFSET(A$1,,,SUMPRODUCT(MAX(ROW(E$1:E2680)*(E2=E$1:E2680))))))</f>
        <v> </v>
      </c>
      <c r="K2681" s="26" t="str">
        <f>IF(OR(E2681="",E2681="!!!",F2681="NEW"),"",INDEX(J$1:J2680,SUMPRODUCT(MAX(ROW(E$1:E2680)*(E2681=E$1:E2680)))))</f>
        <v> </v>
      </c>
      <c r="L2681" s="27"/>
    </row>
    <row r="2682" spans="1:12">
      <c r="A2682" s="20" t="s">
        <v>1133</v>
      </c>
      <c r="B2682" s="21" t="s">
        <v>736</v>
      </c>
      <c r="C2682" s="21" t="s">
        <v>748</v>
      </c>
      <c r="E2682" s="22">
        <f>IF(D2682="?OLD","!!!","")</f>
        <v/>
      </c>
      <c r="F2682" s="23" t="str">
        <f>IF(OR(E2682="",E2682="!!!"),"",IF(NOT(ISNA(VLOOKUP(E2682,E$1:E2681,1,FALSE()))),"OLD",IF(AND(E2682&lt;&gt;"",E2682&lt;&gt;"!!!"),"NEW","")))</f>
        <v> </v>
      </c>
      <c r="G2682" s="24" t="str">
        <f>IF(OR(E2682="",E2682="!!!"),"",IF(OR(J2682=0,AND(J2682=1,K2682=1),AND(J2682=1,I2682="SBJ"),AND(J2682=1,I2682=0)),"?IN_FOCUS",IF(J2682&lt;=2,"?ACTIVATED",IF(J2682&lt;&gt;"","?FAMILIAR",IF(F2682="NEW",IF(ISNA(VLOOKUP(E2682,#REF!,1,FALSE())),"?TYPE_IDENTIFIABLE","?REFERENTIAL"),"_")))))</f>
        <v> </v>
      </c>
      <c r="H2682" s="25" t="str">
        <f>IF(J2682&lt;&gt;1,"",IF(I2682="SBJ","CB","?"))</f>
        <v> </v>
      </c>
      <c r="I2682" s="26" t="str">
        <f>IF(OR(E2682="",E2682="!!!",F2682="NEW"),"",INDEX(B2681:B$2,-1+SUMPRODUCT(MAX(ROW(E2681:E$2)*(E2682=E2681:E$2)))))</f>
        <v> </v>
      </c>
      <c r="J2682" s="26" t="str">
        <f>IF(OR(E2682="",E2682="!!!",F2682="NEW"),"",COUNTBLANK(OFFSET(A$1,,,SUMPRODUCT(MAX(ROW(E$2:E2682)*(E2682=E$2:E2682)))))-COUNTBLANK(OFFSET(A$1,,,SUMPRODUCT(MAX(ROW(E$1:E2681)*(E2=E$1:E2681))))))</f>
        <v> </v>
      </c>
      <c r="K2682" s="26" t="str">
        <f>IF(OR(E2682="",E2682="!!!",F2682="NEW"),"",INDEX(J$1:J2681,SUMPRODUCT(MAX(ROW(E$1:E2681)*(E2682=E$1:E2681)))))</f>
        <v> </v>
      </c>
      <c r="L2682" s="27"/>
    </row>
    <row r="2683" spans="1:12">
      <c r="A2683" s="20" t="s">
        <v>759</v>
      </c>
      <c r="E2683" s="22">
        <f>IF(D2683="?OLD","!!!","")</f>
        <v/>
      </c>
      <c r="F2683" s="23" t="str">
        <f>IF(OR(E2683="",E2683="!!!"),"",IF(NOT(ISNA(VLOOKUP(E2683,E$1:E2682,1,FALSE()))),"OLD",IF(AND(E2683&lt;&gt;"",E2683&lt;&gt;"!!!"),"NEW","")))</f>
        <v> </v>
      </c>
      <c r="G2683" s="24" t="str">
        <f>IF(OR(E2683="",E2683="!!!"),"",IF(OR(J2683=0,AND(J2683=1,K2683=1),AND(J2683=1,I2683="SBJ"),AND(J2683=1,I2683=0)),"?IN_FOCUS",IF(J2683&lt;=2,"?ACTIVATED",IF(J2683&lt;&gt;"","?FAMILIAR",IF(F2683="NEW",IF(ISNA(VLOOKUP(E2683,#REF!,1,FALSE())),"?TYPE_IDENTIFIABLE","?REFERENTIAL"),"_")))))</f>
        <v> </v>
      </c>
      <c r="H2683" s="25" t="str">
        <f>IF(J2683&lt;&gt;1,"",IF(I2683="SBJ","CB","?"))</f>
        <v> </v>
      </c>
      <c r="I2683" s="26" t="str">
        <f>IF(OR(E2683="",E2683="!!!",F2683="NEW"),"",INDEX(B2682:B$2,-1+SUMPRODUCT(MAX(ROW(E2682:E$2)*(E2683=E2682:E$2)))))</f>
        <v> </v>
      </c>
      <c r="J2683" s="26" t="str">
        <f>IF(OR(E2683="",E2683="!!!",F2683="NEW"),"",COUNTBLANK(OFFSET(A$1,,,SUMPRODUCT(MAX(ROW(E$2:E2683)*(E2683=E$2:E2683)))))-COUNTBLANK(OFFSET(A$1,,,SUMPRODUCT(MAX(ROW(E$1:E2682)*(E2=E$1:E2682))))))</f>
        <v> </v>
      </c>
      <c r="K2683" s="26" t="str">
        <f>IF(OR(E2683="",E2683="!!!",F2683="NEW"),"",INDEX(J$1:J2682,SUMPRODUCT(MAX(ROW(E$1:E2682)*(E2683=E$1:E2682)))))</f>
        <v> </v>
      </c>
      <c r="L2683" s="27"/>
    </row>
    <row r="2684" spans="1:12">
      <c r="A2684" s="20" t="s">
        <v>785</v>
      </c>
      <c r="E2684" s="22">
        <f>IF(D2684="?OLD","!!!","")</f>
        <v/>
      </c>
      <c r="F2684" s="23" t="str">
        <f>IF(OR(E2684="",E2684="!!!"),"",IF(NOT(ISNA(VLOOKUP(E2684,E$1:E2683,1,FALSE()))),"OLD",IF(AND(E2684&lt;&gt;"",E2684&lt;&gt;"!!!"),"NEW","")))</f>
        <v> </v>
      </c>
      <c r="G2684" s="24" t="str">
        <f>IF(OR(E2684="",E2684="!!!"),"",IF(OR(J2684=0,AND(J2684=1,K2684=1),AND(J2684=1,I2684="SBJ"),AND(J2684=1,I2684=0)),"?IN_FOCUS",IF(J2684&lt;=2,"?ACTIVATED",IF(J2684&lt;&gt;"","?FAMILIAR",IF(F2684="NEW",IF(ISNA(VLOOKUP(E2684,#REF!,1,FALSE())),"?TYPE_IDENTIFIABLE","?REFERENTIAL"),"_")))))</f>
        <v> </v>
      </c>
      <c r="H2684" s="25" t="str">
        <f>IF(J2684&lt;&gt;1,"",IF(I2684="SBJ","CB","?"))</f>
        <v> </v>
      </c>
      <c r="I2684" s="26" t="str">
        <f>IF(OR(E2684="",E2684="!!!",F2684="NEW"),"",INDEX(B2683:B$2,-1+SUMPRODUCT(MAX(ROW(E2683:E$2)*(E2684=E2683:E$2)))))</f>
        <v> </v>
      </c>
      <c r="J2684" s="26" t="str">
        <f>IF(OR(E2684="",E2684="!!!",F2684="NEW"),"",COUNTBLANK(OFFSET(A$1,,,SUMPRODUCT(MAX(ROW(E$2:E2684)*(E2684=E$2:E2684)))))-COUNTBLANK(OFFSET(A$1,,,SUMPRODUCT(MAX(ROW(E$1:E2683)*(E2=E$1:E2683))))))</f>
        <v> </v>
      </c>
      <c r="K2684" s="26" t="str">
        <f>IF(OR(E2684="",E2684="!!!",F2684="NEW"),"",INDEX(J$1:J2683,SUMPRODUCT(MAX(ROW(E$1:E2683)*(E2684=E$1:E2683)))))</f>
        <v> </v>
      </c>
      <c r="L2684" s="27"/>
    </row>
    <row r="2685" spans="1:12">
      <c r="A2685" s="20" t="s">
        <v>757</v>
      </c>
      <c r="E2685" s="22">
        <f>IF(D2685="?OLD","!!!","")</f>
        <v/>
      </c>
      <c r="F2685" s="23" t="str">
        <f>IF(OR(E2685="",E2685="!!!"),"",IF(NOT(ISNA(VLOOKUP(E2685,E$1:E2684,1,FALSE()))),"OLD",IF(AND(E2685&lt;&gt;"",E2685&lt;&gt;"!!!"),"NEW","")))</f>
        <v> </v>
      </c>
      <c r="G2685" s="24" t="str">
        <f>IF(OR(E2685="",E2685="!!!"),"",IF(OR(J2685=0,AND(J2685=1,K2685=1),AND(J2685=1,I2685="SBJ"),AND(J2685=1,I2685=0)),"?IN_FOCUS",IF(J2685&lt;=2,"?ACTIVATED",IF(J2685&lt;&gt;"","?FAMILIAR",IF(F2685="NEW",IF(ISNA(VLOOKUP(E2685,#REF!,1,FALSE())),"?TYPE_IDENTIFIABLE","?REFERENTIAL"),"_")))))</f>
        <v> </v>
      </c>
      <c r="H2685" s="25" t="str">
        <f>IF(J2685&lt;&gt;1,"",IF(I2685="SBJ","CB","?"))</f>
        <v> </v>
      </c>
      <c r="I2685" s="26" t="str">
        <f>IF(OR(E2685="",E2685="!!!",F2685="NEW"),"",INDEX(B2684:B$2,-1+SUMPRODUCT(MAX(ROW(E2684:E$2)*(E2685=E2684:E$2)))))</f>
        <v> </v>
      </c>
      <c r="J2685" s="26" t="str">
        <f>IF(OR(E2685="",E2685="!!!",F2685="NEW"),"",COUNTBLANK(OFFSET(A$1,,,SUMPRODUCT(MAX(ROW(E$2:E2685)*(E2685=E$2:E2685)))))-COUNTBLANK(OFFSET(A$1,,,SUMPRODUCT(MAX(ROW(E$1:E2684)*(E2=E$1:E2684))))))</f>
        <v> </v>
      </c>
      <c r="K2685" s="26" t="str">
        <f>IF(OR(E2685="",E2685="!!!",F2685="NEW"),"",INDEX(J$1:J2684,SUMPRODUCT(MAX(ROW(E$1:E2684)*(E2685=E$1:E2684)))))</f>
        <v> </v>
      </c>
      <c r="L2685" s="27"/>
    </row>
    <row r="2686" spans="1:12">
      <c r="A2686" s="20" t="s">
        <v>1732</v>
      </c>
      <c r="B2686" s="21" t="s">
        <v>736</v>
      </c>
      <c r="C2686" s="21" t="s">
        <v>753</v>
      </c>
      <c r="D2686" s="21" t="s">
        <v>730</v>
      </c>
      <c r="E2686" s="22">
        <f>IF(D2686="?OLD","!!!","")</f>
        <v/>
      </c>
      <c r="F2686" s="23" t="str">
        <f>IF(OR(E2686="",E2686="!!!"),"",IF(NOT(ISNA(VLOOKUP(E2686,E$1:E2685,1,FALSE()))),"OLD",IF(AND(E2686&lt;&gt;"",E2686&lt;&gt;"!!!"),"NEW","")))</f>
        <v> </v>
      </c>
      <c r="G2686" s="24" t="str">
        <f>IF(OR(E2686="",E2686="!!!"),"",IF(OR(J2686=0,AND(J2686=1,K2686=1),AND(J2686=1,I2686="SBJ"),AND(J2686=1,I2686=0)),"?IN_FOCUS",IF(J2686&lt;=2,"?ACTIVATED",IF(J2686&lt;&gt;"","?FAMILIAR",IF(F2686="NEW",IF(ISNA(VLOOKUP(E2686,#REF!,1,FALSE())),"?TYPE_IDENTIFIABLE","?REFERENTIAL"),"_")))))</f>
        <v> </v>
      </c>
      <c r="H2686" s="25" t="str">
        <f>IF(J2686&lt;&gt;1,"",IF(I2686="SBJ","CB","?"))</f>
        <v> </v>
      </c>
      <c r="I2686" s="26" t="str">
        <f>IF(OR(E2686="",E2686="!!!",F2686="NEW"),"",INDEX(B2685:B$2,-1+SUMPRODUCT(MAX(ROW(E2685:E$2)*(E2686=E2685:E$2)))))</f>
        <v> </v>
      </c>
      <c r="J2686" s="26" t="str">
        <f>IF(OR(E2686="",E2686="!!!",F2686="NEW"),"",COUNTBLANK(OFFSET(A$1,,,SUMPRODUCT(MAX(ROW(E$2:E2686)*(E2686=E$2:E2686)))))-COUNTBLANK(OFFSET(A$1,,,SUMPRODUCT(MAX(ROW(E$1:E2685)*(E2=E$1:E2685))))))</f>
        <v> </v>
      </c>
      <c r="K2686" s="26" t="str">
        <f>IF(OR(E2686="",E2686="!!!",F2686="NEW"),"",INDEX(J$1:J2685,SUMPRODUCT(MAX(ROW(E$1:E2685)*(E2686=E$1:E2685)))))</f>
        <v> </v>
      </c>
      <c r="L2686" s="27"/>
    </row>
    <row r="2687" spans="1:12">
      <c r="A2687" s="20" t="s">
        <v>773</v>
      </c>
      <c r="E2687" s="22">
        <f>IF(D2687="?OLD","!!!","")</f>
        <v/>
      </c>
      <c r="F2687" s="23" t="str">
        <f>IF(OR(E2687="",E2687="!!!"),"",IF(NOT(ISNA(VLOOKUP(E2687,E$1:E2686,1,FALSE()))),"OLD",IF(AND(E2687&lt;&gt;"",E2687&lt;&gt;"!!!"),"NEW","")))</f>
        <v> </v>
      </c>
      <c r="G2687" s="24" t="str">
        <f>IF(OR(E2687="",E2687="!!!"),"",IF(OR(J2687=0,AND(J2687=1,K2687=1),AND(J2687=1,I2687="SBJ"),AND(J2687=1,I2687=0)),"?IN_FOCUS",IF(J2687&lt;=2,"?ACTIVATED",IF(J2687&lt;&gt;"","?FAMILIAR",IF(F2687="NEW",IF(ISNA(VLOOKUP(E2687,#REF!,1,FALSE())),"?TYPE_IDENTIFIABLE","?REFERENTIAL"),"_")))))</f>
        <v> </v>
      </c>
      <c r="H2687" s="25" t="str">
        <f>IF(J2687&lt;&gt;1,"",IF(I2687="SBJ","CB","?"))</f>
        <v> </v>
      </c>
      <c r="I2687" s="26" t="str">
        <f>IF(OR(E2687="",E2687="!!!",F2687="NEW"),"",INDEX(B2686:B$2,-1+SUMPRODUCT(MAX(ROW(E2686:E$2)*(E2687=E2686:E$2)))))</f>
        <v> </v>
      </c>
      <c r="J2687" s="26" t="str">
        <f>IF(OR(E2687="",E2687="!!!",F2687="NEW"),"",COUNTBLANK(OFFSET(A$1,,,SUMPRODUCT(MAX(ROW(E$2:E2687)*(E2687=E$2:E2687)))))-COUNTBLANK(OFFSET(A$1,,,SUMPRODUCT(MAX(ROW(E$1:E2686)*(E2=E$1:E2686))))))</f>
        <v> </v>
      </c>
      <c r="K2687" s="26" t="str">
        <f>IF(OR(E2687="",E2687="!!!",F2687="NEW"),"",INDEX(J$1:J2686,SUMPRODUCT(MAX(ROW(E$1:E2686)*(E2687=E$1:E2686)))))</f>
        <v> </v>
      </c>
      <c r="L2687" s="27"/>
    </row>
    <row r="2688" spans="1:12">
      <c r="A2688" s="20" t="s">
        <v>813</v>
      </c>
      <c r="E2688" s="22">
        <f>IF(D2688="?OLD","!!!","")</f>
        <v/>
      </c>
      <c r="F2688" s="23" t="str">
        <f>IF(OR(E2688="",E2688="!!!"),"",IF(NOT(ISNA(VLOOKUP(E2688,E$1:E2687,1,FALSE()))),"OLD",IF(AND(E2688&lt;&gt;"",E2688&lt;&gt;"!!!"),"NEW","")))</f>
        <v> </v>
      </c>
      <c r="G2688" s="24" t="str">
        <f>IF(OR(E2688="",E2688="!!!"),"",IF(OR(J2688=0,AND(J2688=1,K2688=1),AND(J2688=1,I2688="SBJ"),AND(J2688=1,I2688=0)),"?IN_FOCUS",IF(J2688&lt;=2,"?ACTIVATED",IF(J2688&lt;&gt;"","?FAMILIAR",IF(F2688="NEW",IF(ISNA(VLOOKUP(E2688,#REF!,1,FALSE())),"?TYPE_IDENTIFIABLE","?REFERENTIAL"),"_")))))</f>
        <v> </v>
      </c>
      <c r="H2688" s="25" t="str">
        <f>IF(J2688&lt;&gt;1,"",IF(I2688="SBJ","CB","?"))</f>
        <v> </v>
      </c>
      <c r="I2688" s="26" t="str">
        <f>IF(OR(E2688="",E2688="!!!",F2688="NEW"),"",INDEX(B2687:B$2,-1+SUMPRODUCT(MAX(ROW(E2687:E$2)*(E2688=E2687:E$2)))))</f>
        <v> </v>
      </c>
      <c r="J2688" s="26" t="str">
        <f>IF(OR(E2688="",E2688="!!!",F2688="NEW"),"",COUNTBLANK(OFFSET(A$1,,,SUMPRODUCT(MAX(ROW(E$2:E2688)*(E2688=E$2:E2688)))))-COUNTBLANK(OFFSET(A$1,,,SUMPRODUCT(MAX(ROW(E$1:E2687)*(E2=E$1:E2687))))))</f>
        <v> </v>
      </c>
      <c r="K2688" s="26" t="str">
        <f>IF(OR(E2688="",E2688="!!!",F2688="NEW"),"",INDEX(J$1:J2687,SUMPRODUCT(MAX(ROW(E$1:E2687)*(E2688=E$1:E2687)))))</f>
        <v> </v>
      </c>
      <c r="L2688" s="27"/>
    </row>
    <row r="2689" spans="1:12">
      <c r="A2689" s="20" t="s">
        <v>1405</v>
      </c>
      <c r="B2689" s="21" t="s">
        <v>739</v>
      </c>
      <c r="C2689" s="21" t="s">
        <v>753</v>
      </c>
      <c r="D2689" s="21" t="s">
        <v>730</v>
      </c>
      <c r="E2689" s="22">
        <f>IF(D2689="?OLD","!!!","")</f>
        <v/>
      </c>
      <c r="F2689" s="23" t="str">
        <f>IF(OR(E2689="",E2689="!!!"),"",IF(NOT(ISNA(VLOOKUP(E2689,E$1:E2688,1,FALSE()))),"OLD",IF(AND(E2689&lt;&gt;"",E2689&lt;&gt;"!!!"),"NEW","")))</f>
        <v> </v>
      </c>
      <c r="G2689" s="24" t="str">
        <f>IF(OR(E2689="",E2689="!!!"),"",IF(OR(J2689=0,AND(J2689=1,K2689=1),AND(J2689=1,I2689="SBJ"),AND(J2689=1,I2689=0)),"?IN_FOCUS",IF(J2689&lt;=2,"?ACTIVATED",IF(J2689&lt;&gt;"","?FAMILIAR",IF(F2689="NEW",IF(ISNA(VLOOKUP(E2689,#REF!,1,FALSE())),"?TYPE_IDENTIFIABLE","?REFERENTIAL"),"_")))))</f>
        <v> </v>
      </c>
      <c r="H2689" s="25" t="str">
        <f>IF(J2689&lt;&gt;1,"",IF(I2689="SBJ","CB","?"))</f>
        <v> </v>
      </c>
      <c r="I2689" s="26" t="str">
        <f>IF(OR(E2689="",E2689="!!!",F2689="NEW"),"",INDEX(B2688:B$2,-1+SUMPRODUCT(MAX(ROW(E2688:E$2)*(E2689=E2688:E$2)))))</f>
        <v> </v>
      </c>
      <c r="J2689" s="26" t="str">
        <f>IF(OR(E2689="",E2689="!!!",F2689="NEW"),"",COUNTBLANK(OFFSET(A$1,,,SUMPRODUCT(MAX(ROW(E$2:E2689)*(E2689=E$2:E2689)))))-COUNTBLANK(OFFSET(A$1,,,SUMPRODUCT(MAX(ROW(E$1:E2688)*(E2=E$1:E2688))))))</f>
        <v> </v>
      </c>
      <c r="K2689" s="26" t="str">
        <f>IF(OR(E2689="",E2689="!!!",F2689="NEW"),"",INDEX(J$1:J2688,SUMPRODUCT(MAX(ROW(E$1:E2688)*(E2689=E$1:E2688)))))</f>
        <v> </v>
      </c>
      <c r="L2689" s="27"/>
    </row>
    <row r="2690" spans="1:12">
      <c r="A2690" s="20" t="s">
        <v>246</v>
      </c>
      <c r="E2690" s="22">
        <f>IF(D2690="?OLD","!!!","")</f>
        <v/>
      </c>
      <c r="F2690" s="23" t="str">
        <f>IF(OR(E2690="",E2690="!!!"),"",IF(NOT(ISNA(VLOOKUP(E2690,E$1:E2689,1,FALSE()))),"OLD",IF(AND(E2690&lt;&gt;"",E2690&lt;&gt;"!!!"),"NEW","")))</f>
        <v> </v>
      </c>
      <c r="G2690" s="24" t="str">
        <f>IF(OR(E2690="",E2690="!!!"),"",IF(OR(J2690=0,AND(J2690=1,K2690=1),AND(J2690=1,I2690="SBJ"),AND(J2690=1,I2690=0)),"?IN_FOCUS",IF(J2690&lt;=2,"?ACTIVATED",IF(J2690&lt;&gt;"","?FAMILIAR",IF(F2690="NEW",IF(ISNA(VLOOKUP(E2690,#REF!,1,FALSE())),"?TYPE_IDENTIFIABLE","?REFERENTIAL"),"_")))))</f>
        <v> </v>
      </c>
      <c r="H2690" s="25" t="str">
        <f>IF(J2690&lt;&gt;1,"",IF(I2690="SBJ","CB","?"))</f>
        <v> </v>
      </c>
      <c r="I2690" s="26" t="str">
        <f>IF(OR(E2690="",E2690="!!!",F2690="NEW"),"",INDEX(B2689:B$2,-1+SUMPRODUCT(MAX(ROW(E2689:E$2)*(E2690=E2689:E$2)))))</f>
        <v> </v>
      </c>
      <c r="J2690" s="26" t="str">
        <f>IF(OR(E2690="",E2690="!!!",F2690="NEW"),"",COUNTBLANK(OFFSET(A$1,,,SUMPRODUCT(MAX(ROW(E$2:E2690)*(E2690=E$2:E2690)))))-COUNTBLANK(OFFSET(A$1,,,SUMPRODUCT(MAX(ROW(E$1:E2689)*(E2=E$1:E2689))))))</f>
        <v> </v>
      </c>
      <c r="K2690" s="26" t="str">
        <f>IF(OR(E2690="",E2690="!!!",F2690="NEW"),"",INDEX(J$1:J2689,SUMPRODUCT(MAX(ROW(E$1:E2689)*(E2690=E$1:E2689)))))</f>
        <v> </v>
      </c>
      <c r="L2690" s="27"/>
    </row>
    <row r="2691" spans="1:12">
      <c r="A2691" s="20"/>
    </row>
    <row r="2692" spans="1:12">
      <c r="A2692" s="20" t="s">
        <v>1733</v>
      </c>
    </row>
    <row r="2693" spans="1:12">
      <c r="A2693" s="20" t="s">
        <v>744</v>
      </c>
      <c r="E2693" s="22">
        <f>IF(D2693="?OLD","!!!","")</f>
        <v/>
      </c>
      <c r="F2693" s="23" t="str">
        <f>IF(OR(E2693="",E2693="!!!"),"",IF(NOT(ISNA(VLOOKUP(E2693,E$1:E2692,1,FALSE()))),"OLD",IF(AND(E2693&lt;&gt;"",E2693&lt;&gt;"!!!"),"NEW","")))</f>
        <v> </v>
      </c>
      <c r="G2693" s="24" t="str">
        <f>IF(OR(E2693="",E2693="!!!"),"",IF(OR(J2693=0,AND(J2693=1,K2693=1),AND(J2693=1,I2693="SBJ"),AND(J2693=1,I2693=0)),"?IN_FOCUS",IF(J2693&lt;=2,"?ACTIVATED",IF(J2693&lt;&gt;"","?FAMILIAR",IF(F2693="NEW",IF(ISNA(VLOOKUP(E2693,#REF!,1,FALSE())),"?TYPE_IDENTIFIABLE","?REFERENTIAL"),"_")))))</f>
        <v> </v>
      </c>
      <c r="H2693" s="25" t="str">
        <f>IF(J2693&lt;&gt;1,"",IF(I2693="SBJ","CB","?"))</f>
        <v> </v>
      </c>
      <c r="I2693" s="26" t="str">
        <f>IF(OR(E2693="",E2693="!!!",F2693="NEW"),"",INDEX(B2692:B$2,-1+SUMPRODUCT(MAX(ROW(E2692:E$2)*(E2693=E2692:E$2)))))</f>
        <v> </v>
      </c>
      <c r="J2693" s="26" t="str">
        <f>IF(OR(E2693="",E2693="!!!",F2693="NEW"),"",COUNTBLANK(OFFSET(A$1,,,SUMPRODUCT(MAX(ROW(E$2:E2693)*(E2693=E$2:E2693)))))-COUNTBLANK(OFFSET(A$1,,,SUMPRODUCT(MAX(ROW(E$1:E2692)*(E2=E$1:E2692))))))</f>
        <v> </v>
      </c>
      <c r="K2693" s="26" t="str">
        <f>IF(OR(E2693="",E2693="!!!",F2693="NEW"),"",INDEX(J$1:J2692,SUMPRODUCT(MAX(ROW(E$1:E2692)*(E2693=E$1:E2692)))))</f>
        <v> </v>
      </c>
      <c r="L2693" s="27"/>
    </row>
    <row r="2694" spans="1:12">
      <c r="A2694" s="20" t="s">
        <v>751</v>
      </c>
      <c r="E2694" s="22">
        <f>IF(D2694="?OLD","!!!","")</f>
        <v/>
      </c>
      <c r="F2694" s="23" t="str">
        <f>IF(OR(E2694="",E2694="!!!"),"",IF(NOT(ISNA(VLOOKUP(E2694,E$1:E2693,1,FALSE()))),"OLD",IF(AND(E2694&lt;&gt;"",E2694&lt;&gt;"!!!"),"NEW","")))</f>
        <v> </v>
      </c>
      <c r="G2694" s="24" t="str">
        <f>IF(OR(E2694="",E2694="!!!"),"",IF(OR(J2694=0,AND(J2694=1,K2694=1),AND(J2694=1,I2694="SBJ"),AND(J2694=1,I2694=0)),"?IN_FOCUS",IF(J2694&lt;=2,"?ACTIVATED",IF(J2694&lt;&gt;"","?FAMILIAR",IF(F2694="NEW",IF(ISNA(VLOOKUP(E2694,#REF!,1,FALSE())),"?TYPE_IDENTIFIABLE","?REFERENTIAL"),"_")))))</f>
        <v> </v>
      </c>
      <c r="H2694" s="25" t="str">
        <f>IF(J2694&lt;&gt;1,"",IF(I2694="SBJ","CB","?"))</f>
        <v> </v>
      </c>
      <c r="I2694" s="26" t="str">
        <f>IF(OR(E2694="",E2694="!!!",F2694="NEW"),"",INDEX(B2693:B$2,-1+SUMPRODUCT(MAX(ROW(E2693:E$2)*(E2694=E2693:E$2)))))</f>
        <v> </v>
      </c>
      <c r="J2694" s="26" t="str">
        <f>IF(OR(E2694="",E2694="!!!",F2694="NEW"),"",COUNTBLANK(OFFSET(A$1,,,SUMPRODUCT(MAX(ROW(E$2:E2694)*(E2694=E$2:E2694)))))-COUNTBLANK(OFFSET(A$1,,,SUMPRODUCT(MAX(ROW(E$1:E2693)*(E2=E$1:E2693))))))</f>
        <v> </v>
      </c>
      <c r="K2694" s="26" t="str">
        <f>IF(OR(E2694="",E2694="!!!",F2694="NEW"),"",INDEX(J$1:J2693,SUMPRODUCT(MAX(ROW(E$1:E2693)*(E2694=E$1:E2693)))))</f>
        <v> </v>
      </c>
      <c r="L2694" s="27"/>
    </row>
    <row r="2695" spans="1:12">
      <c r="A2695" s="20" t="s">
        <v>1734</v>
      </c>
      <c r="B2695" s="21" t="s">
        <v>736</v>
      </c>
      <c r="C2695" s="21" t="s">
        <v>978</v>
      </c>
      <c r="D2695" s="21" t="s">
        <v>730</v>
      </c>
      <c r="E2695" s="22">
        <f>IF(D2695="?OLD","!!!","")</f>
        <v/>
      </c>
      <c r="F2695" s="23" t="str">
        <f>IF(OR(E2695="",E2695="!!!"),"",IF(NOT(ISNA(VLOOKUP(E2695,E$1:E2694,1,FALSE()))),"OLD",IF(AND(E2695&lt;&gt;"",E2695&lt;&gt;"!!!"),"NEW","")))</f>
        <v> </v>
      </c>
      <c r="G2695" s="24" t="str">
        <f>IF(OR(E2695="",E2695="!!!"),"",IF(OR(J2695=0,AND(J2695=1,K2695=1),AND(J2695=1,I2695="SBJ"),AND(J2695=1,I2695=0)),"?IN_FOCUS",IF(J2695&lt;=2,"?ACTIVATED",IF(J2695&lt;&gt;"","?FAMILIAR",IF(F2695="NEW",IF(ISNA(VLOOKUP(E2695,#REF!,1,FALSE())),"?TYPE_IDENTIFIABLE","?REFERENTIAL"),"_")))))</f>
        <v> </v>
      </c>
      <c r="H2695" s="25" t="str">
        <f>IF(J2695&lt;&gt;1,"",IF(I2695="SBJ","CB","?"))</f>
        <v> </v>
      </c>
      <c r="I2695" s="26" t="str">
        <f>IF(OR(E2695="",E2695="!!!",F2695="NEW"),"",INDEX(B2694:B$2,-1+SUMPRODUCT(MAX(ROW(E2694:E$2)*(E2695=E2694:E$2)))))</f>
        <v> </v>
      </c>
      <c r="J2695" s="26" t="str">
        <f>IF(OR(E2695="",E2695="!!!",F2695="NEW"),"",COUNTBLANK(OFFSET(A$1,,,SUMPRODUCT(MAX(ROW(E$2:E2695)*(E2695=E$2:E2695)))))-COUNTBLANK(OFFSET(A$1,,,SUMPRODUCT(MAX(ROW(E$1:E2694)*(E2=E$1:E2694))))))</f>
        <v> </v>
      </c>
      <c r="K2695" s="26" t="str">
        <f>IF(OR(E2695="",E2695="!!!",F2695="NEW"),"",INDEX(J$1:J2694,SUMPRODUCT(MAX(ROW(E$1:E2694)*(E2695=E$1:E2694)))))</f>
        <v> </v>
      </c>
      <c r="L2695" s="27"/>
    </row>
    <row r="2696" spans="1:12">
      <c r="A2696" s="20" t="s">
        <v>1245</v>
      </c>
      <c r="B2696" s="21" t="s">
        <v>755</v>
      </c>
      <c r="C2696" s="21" t="s">
        <v>801</v>
      </c>
      <c r="D2696" s="21" t="s">
        <v>730</v>
      </c>
      <c r="E2696" s="22">
        <f>IF(D2696="?OLD","!!!","")</f>
        <v/>
      </c>
      <c r="F2696" s="23" t="str">
        <f>IF(OR(E2696="",E2696="!!!"),"",IF(NOT(ISNA(VLOOKUP(E2696,E$1:E2695,1,FALSE()))),"OLD",IF(AND(E2696&lt;&gt;"",E2696&lt;&gt;"!!!"),"NEW","")))</f>
        <v> </v>
      </c>
      <c r="G2696" s="24" t="str">
        <f>IF(OR(E2696="",E2696="!!!"),"",IF(OR(J2696=0,AND(J2696=1,K2696=1),AND(J2696=1,I2696="SBJ"),AND(J2696=1,I2696=0)),"?IN_FOCUS",IF(J2696&lt;=2,"?ACTIVATED",IF(J2696&lt;&gt;"","?FAMILIAR",IF(F2696="NEW",IF(ISNA(VLOOKUP(E2696,#REF!,1,FALSE())),"?TYPE_IDENTIFIABLE","?REFERENTIAL"),"_")))))</f>
        <v> </v>
      </c>
      <c r="H2696" s="25" t="str">
        <f>IF(J2696&lt;&gt;1,"",IF(I2696="SBJ","CB","?"))</f>
        <v> </v>
      </c>
      <c r="I2696" s="26" t="str">
        <f>IF(OR(E2696="",E2696="!!!",F2696="NEW"),"",INDEX(B2695:B$2,-1+SUMPRODUCT(MAX(ROW(E2695:E$2)*(E2696=E2695:E$2)))))</f>
        <v> </v>
      </c>
      <c r="J2696" s="26" t="str">
        <f>IF(OR(E2696="",E2696="!!!",F2696="NEW"),"",COUNTBLANK(OFFSET(A$1,,,SUMPRODUCT(MAX(ROW(E$2:E2696)*(E2696=E$2:E2696)))))-COUNTBLANK(OFFSET(A$1,,,SUMPRODUCT(MAX(ROW(E$1:E2695)*(E2=E$1:E2695))))))</f>
        <v> </v>
      </c>
      <c r="K2696" s="26" t="str">
        <f>IF(OR(E2696="",E2696="!!!",F2696="NEW"),"",INDEX(J$1:J2695,SUMPRODUCT(MAX(ROW(E$1:E2695)*(E2696=E$1:E2695)))))</f>
        <v> </v>
      </c>
      <c r="L2696" s="27"/>
    </row>
    <row r="2697" spans="1:12">
      <c r="A2697" s="20" t="s">
        <v>1735</v>
      </c>
      <c r="B2697" s="21" t="s">
        <v>739</v>
      </c>
      <c r="C2697" s="21" t="s">
        <v>802</v>
      </c>
      <c r="D2697" s="21" t="s">
        <v>730</v>
      </c>
      <c r="E2697" s="22">
        <f>IF(D2697="?OLD","!!!","")</f>
        <v/>
      </c>
      <c r="F2697" s="23" t="str">
        <f>IF(OR(E2697="",E2697="!!!"),"",IF(NOT(ISNA(VLOOKUP(E2697,E$1:E2696,1,FALSE()))),"OLD",IF(AND(E2697&lt;&gt;"",E2697&lt;&gt;"!!!"),"NEW","")))</f>
        <v> </v>
      </c>
      <c r="G2697" s="24" t="str">
        <f>IF(OR(E2697="",E2697="!!!"),"",IF(OR(J2697=0,AND(J2697=1,K2697=1),AND(J2697=1,I2697="SBJ"),AND(J2697=1,I2697=0)),"?IN_FOCUS",IF(J2697&lt;=2,"?ACTIVATED",IF(J2697&lt;&gt;"","?FAMILIAR",IF(F2697="NEW",IF(ISNA(VLOOKUP(E2697,#REF!,1,FALSE())),"?TYPE_IDENTIFIABLE","?REFERENTIAL"),"_")))))</f>
        <v> </v>
      </c>
      <c r="H2697" s="25" t="str">
        <f>IF(J2697&lt;&gt;1,"",IF(I2697="SBJ","CB","?"))</f>
        <v> </v>
      </c>
      <c r="I2697" s="26" t="str">
        <f>IF(OR(E2697="",E2697="!!!",F2697="NEW"),"",INDEX(B2696:B$2,-1+SUMPRODUCT(MAX(ROW(E2696:E$2)*(E2697=E2696:E$2)))))</f>
        <v> </v>
      </c>
      <c r="J2697" s="26" t="str">
        <f>IF(OR(E2697="",E2697="!!!",F2697="NEW"),"",COUNTBLANK(OFFSET(A$1,,,SUMPRODUCT(MAX(ROW(E$2:E2697)*(E2697=E$2:E2697)))))-COUNTBLANK(OFFSET(A$1,,,SUMPRODUCT(MAX(ROW(E$1:E2696)*(E2=E$1:E2696))))))</f>
        <v> </v>
      </c>
      <c r="K2697" s="26" t="str">
        <f>IF(OR(E2697="",E2697="!!!",F2697="NEW"),"",INDEX(J$1:J2696,SUMPRODUCT(MAX(ROW(E$1:E2696)*(E2697=E$1:E2696)))))</f>
        <v> </v>
      </c>
      <c r="L2697" s="27"/>
    </row>
    <row r="2698" spans="1:12">
      <c r="A2698" s="20" t="s">
        <v>1071</v>
      </c>
      <c r="E2698" s="22">
        <f>IF(D2698="?OLD","!!!","")</f>
        <v/>
      </c>
      <c r="F2698" s="23" t="str">
        <f>IF(OR(E2698="",E2698="!!!"),"",IF(NOT(ISNA(VLOOKUP(E2698,E$1:E2697,1,FALSE()))),"OLD",IF(AND(E2698&lt;&gt;"",E2698&lt;&gt;"!!!"),"NEW","")))</f>
        <v> </v>
      </c>
      <c r="G2698" s="24" t="str">
        <f>IF(OR(E2698="",E2698="!!!"),"",IF(OR(J2698=0,AND(J2698=1,K2698=1),AND(J2698=1,I2698="SBJ"),AND(J2698=1,I2698=0)),"?IN_FOCUS",IF(J2698&lt;=2,"?ACTIVATED",IF(J2698&lt;&gt;"","?FAMILIAR",IF(F2698="NEW",IF(ISNA(VLOOKUP(E2698,#REF!,1,FALSE())),"?TYPE_IDENTIFIABLE","?REFERENTIAL"),"_")))))</f>
        <v> </v>
      </c>
      <c r="H2698" s="25" t="str">
        <f>IF(J2698&lt;&gt;1,"",IF(I2698="SBJ","CB","?"))</f>
        <v> </v>
      </c>
      <c r="I2698" s="26" t="str">
        <f>IF(OR(E2698="",E2698="!!!",F2698="NEW"),"",INDEX(B2697:B$2,-1+SUMPRODUCT(MAX(ROW(E2697:E$2)*(E2698=E2697:E$2)))))</f>
        <v> </v>
      </c>
      <c r="J2698" s="26" t="str">
        <f>IF(OR(E2698="",E2698="!!!",F2698="NEW"),"",COUNTBLANK(OFFSET(A$1,,,SUMPRODUCT(MAX(ROW(E$2:E2698)*(E2698=E$2:E2698)))))-COUNTBLANK(OFFSET(A$1,,,SUMPRODUCT(MAX(ROW(E$1:E2697)*(E2=E$1:E2697))))))</f>
        <v> </v>
      </c>
      <c r="K2698" s="26" t="str">
        <f>IF(OR(E2698="",E2698="!!!",F2698="NEW"),"",INDEX(J$1:J2697,SUMPRODUCT(MAX(ROW(E$1:E2697)*(E2698=E$1:E2697)))))</f>
        <v> </v>
      </c>
      <c r="L2698" s="27"/>
    </row>
    <row r="2699" spans="1:12">
      <c r="A2699" s="20" t="s">
        <v>750</v>
      </c>
      <c r="B2699" s="21" t="s">
        <v>728</v>
      </c>
      <c r="C2699" s="21" t="s">
        <v>729</v>
      </c>
      <c r="D2699" s="21" t="s">
        <v>730</v>
      </c>
      <c r="E2699" s="22">
        <f>IF(D2699="?OLD","!!!","")</f>
        <v/>
      </c>
      <c r="F2699" s="23" t="str">
        <f>IF(OR(E2699="",E2699="!!!"),"",IF(NOT(ISNA(VLOOKUP(E2699,E$1:E2698,1,FALSE()))),"OLD",IF(AND(E2699&lt;&gt;"",E2699&lt;&gt;"!!!"),"NEW","")))</f>
        <v> </v>
      </c>
      <c r="G2699" s="24" t="str">
        <f>IF(OR(E2699="",E2699="!!!"),"",IF(OR(J2699=0,AND(J2699=1,K2699=1),AND(J2699=1,I2699="SBJ"),AND(J2699=1,I2699=0)),"?IN_FOCUS",IF(J2699&lt;=2,"?ACTIVATED",IF(J2699&lt;&gt;"","?FAMILIAR",IF(F2699="NEW",IF(ISNA(VLOOKUP(E2699,#REF!,1,FALSE())),"?TYPE_IDENTIFIABLE","?REFERENTIAL"),"_")))))</f>
        <v> </v>
      </c>
      <c r="H2699" s="25" t="str">
        <f>IF(J2699&lt;&gt;1,"",IF(I2699="SBJ","CB","?"))</f>
        <v> </v>
      </c>
      <c r="I2699" s="26" t="str">
        <f>IF(OR(E2699="",E2699="!!!",F2699="NEW"),"",INDEX(B2698:B$2,-1+SUMPRODUCT(MAX(ROW(E2698:E$2)*(E2699=E2698:E$2)))))</f>
        <v> </v>
      </c>
      <c r="J2699" s="26" t="str">
        <f>IF(OR(E2699="",E2699="!!!",F2699="NEW"),"",COUNTBLANK(OFFSET(A$1,,,SUMPRODUCT(MAX(ROW(E$2:E2699)*(E2699=E$2:E2699)))))-COUNTBLANK(OFFSET(A$1,,,SUMPRODUCT(MAX(ROW(E$1:E2698)*(E2=E$1:E2698))))))</f>
        <v> </v>
      </c>
      <c r="K2699" s="26" t="str">
        <f>IF(OR(E2699="",E2699="!!!",F2699="NEW"),"",INDEX(J$1:J2698,SUMPRODUCT(MAX(ROW(E$1:E2698)*(E2699=E$1:E2698)))))</f>
        <v> </v>
      </c>
      <c r="L2699" s="27"/>
    </row>
    <row r="2700" spans="1:12">
      <c r="A2700" s="20" t="s">
        <v>762</v>
      </c>
      <c r="E2700" s="22">
        <f>IF(D2700="?OLD","!!!","")</f>
        <v/>
      </c>
      <c r="F2700" s="23" t="str">
        <f>IF(OR(E2700="",E2700="!!!"),"",IF(NOT(ISNA(VLOOKUP(E2700,E$1:E2699,1,FALSE()))),"OLD",IF(AND(E2700&lt;&gt;"",E2700&lt;&gt;"!!!"),"NEW","")))</f>
        <v> </v>
      </c>
      <c r="G2700" s="24" t="str">
        <f>IF(OR(E2700="",E2700="!!!"),"",IF(OR(J2700=0,AND(J2700=1,K2700=1),AND(J2700=1,I2700="SBJ"),AND(J2700=1,I2700=0)),"?IN_FOCUS",IF(J2700&lt;=2,"?ACTIVATED",IF(J2700&lt;&gt;"","?FAMILIAR",IF(F2700="NEW",IF(ISNA(VLOOKUP(E2700,#REF!,1,FALSE())),"?TYPE_IDENTIFIABLE","?REFERENTIAL"),"_")))))</f>
        <v> </v>
      </c>
      <c r="H2700" s="25" t="str">
        <f>IF(J2700&lt;&gt;1,"",IF(I2700="SBJ","CB","?"))</f>
        <v> </v>
      </c>
      <c r="I2700" s="26" t="str">
        <f>IF(OR(E2700="",E2700="!!!",F2700="NEW"),"",INDEX(B2699:B$2,-1+SUMPRODUCT(MAX(ROW(E2699:E$2)*(E2700=E2699:E$2)))))</f>
        <v> </v>
      </c>
      <c r="J2700" s="26" t="str">
        <f>IF(OR(E2700="",E2700="!!!",F2700="NEW"),"",COUNTBLANK(OFFSET(A$1,,,SUMPRODUCT(MAX(ROW(E$2:E2700)*(E2700=E$2:E2700)))))-COUNTBLANK(OFFSET(A$1,,,SUMPRODUCT(MAX(ROW(E$1:E2699)*(E2=E$1:E2699))))))</f>
        <v> </v>
      </c>
      <c r="K2700" s="26" t="str">
        <f>IF(OR(E2700="",E2700="!!!",F2700="NEW"),"",INDEX(J$1:J2699,SUMPRODUCT(MAX(ROW(E$1:E2699)*(E2700=E$1:E2699)))))</f>
        <v> </v>
      </c>
      <c r="L2700" s="27"/>
    </row>
    <row r="2701" spans="1:12">
      <c r="A2701" s="20" t="s">
        <v>1736</v>
      </c>
      <c r="B2701" s="21" t="s">
        <v>764</v>
      </c>
      <c r="C2701" s="21" t="s">
        <v>737</v>
      </c>
      <c r="E2701" s="22">
        <f>IF(D2701="?OLD","!!!","")</f>
        <v/>
      </c>
      <c r="F2701" s="23" t="str">
        <f>IF(OR(E2701="",E2701="!!!"),"",IF(NOT(ISNA(VLOOKUP(E2701,E$1:E2700,1,FALSE()))),"OLD",IF(AND(E2701&lt;&gt;"",E2701&lt;&gt;"!!!"),"NEW","")))</f>
        <v> </v>
      </c>
      <c r="G2701" s="24" t="str">
        <f>IF(OR(E2701="",E2701="!!!"),"",IF(OR(J2701=0,AND(J2701=1,K2701=1),AND(J2701=1,I2701="SBJ"),AND(J2701=1,I2701=0)),"?IN_FOCUS",IF(J2701&lt;=2,"?ACTIVATED",IF(J2701&lt;&gt;"","?FAMILIAR",IF(F2701="NEW",IF(ISNA(VLOOKUP(E2701,#REF!,1,FALSE())),"?TYPE_IDENTIFIABLE","?REFERENTIAL"),"_")))))</f>
        <v> </v>
      </c>
      <c r="H2701" s="25" t="str">
        <f>IF(J2701&lt;&gt;1,"",IF(I2701="SBJ","CB","?"))</f>
        <v> </v>
      </c>
      <c r="I2701" s="26" t="str">
        <f>IF(OR(E2701="",E2701="!!!",F2701="NEW"),"",INDEX(B2700:B$2,-1+SUMPRODUCT(MAX(ROW(E2700:E$2)*(E2701=E2700:E$2)))))</f>
        <v> </v>
      </c>
      <c r="J2701" s="26" t="str">
        <f>IF(OR(E2701="",E2701="!!!",F2701="NEW"),"",COUNTBLANK(OFFSET(A$1,,,SUMPRODUCT(MAX(ROW(E$2:E2701)*(E2701=E$2:E2701)))))-COUNTBLANK(OFFSET(A$1,,,SUMPRODUCT(MAX(ROW(E$1:E2700)*(E2=E$1:E2700))))))</f>
        <v> </v>
      </c>
      <c r="K2701" s="26" t="str">
        <f>IF(OR(E2701="",E2701="!!!",F2701="NEW"),"",INDEX(J$1:J2700,SUMPRODUCT(MAX(ROW(E$1:E2700)*(E2701=E$1:E2700)))))</f>
        <v> </v>
      </c>
      <c r="L2701" s="27"/>
    </row>
    <row r="2702" spans="1:12">
      <c r="A2702" s="20" t="s">
        <v>1081</v>
      </c>
      <c r="E2702" s="22">
        <f>IF(D2702="?OLD","!!!","")</f>
        <v/>
      </c>
      <c r="F2702" s="23" t="str">
        <f>IF(OR(E2702="",E2702="!!!"),"",IF(NOT(ISNA(VLOOKUP(E2702,E$1:E2701,1,FALSE()))),"OLD",IF(AND(E2702&lt;&gt;"",E2702&lt;&gt;"!!!"),"NEW","")))</f>
        <v> </v>
      </c>
      <c r="G2702" s="24" t="str">
        <f>IF(OR(E2702="",E2702="!!!"),"",IF(OR(J2702=0,AND(J2702=1,K2702=1),AND(J2702=1,I2702="SBJ"),AND(J2702=1,I2702=0)),"?IN_FOCUS",IF(J2702&lt;=2,"?ACTIVATED",IF(J2702&lt;&gt;"","?FAMILIAR",IF(F2702="NEW",IF(ISNA(VLOOKUP(E2702,#REF!,1,FALSE())),"?TYPE_IDENTIFIABLE","?REFERENTIAL"),"_")))))</f>
        <v> </v>
      </c>
      <c r="H2702" s="25" t="str">
        <f>IF(J2702&lt;&gt;1,"",IF(I2702="SBJ","CB","?"))</f>
        <v> </v>
      </c>
      <c r="I2702" s="26" t="str">
        <f>IF(OR(E2702="",E2702="!!!",F2702="NEW"),"",INDEX(B2701:B$2,-1+SUMPRODUCT(MAX(ROW(E2701:E$2)*(E2702=E2701:E$2)))))</f>
        <v> </v>
      </c>
      <c r="J2702" s="26" t="str">
        <f>IF(OR(E2702="",E2702="!!!",F2702="NEW"),"",COUNTBLANK(OFFSET(A$1,,,SUMPRODUCT(MAX(ROW(E$2:E2702)*(E2702=E$2:E2702)))))-COUNTBLANK(OFFSET(A$1,,,SUMPRODUCT(MAX(ROW(E$1:E2701)*(E2=E$1:E2701))))))</f>
        <v> </v>
      </c>
      <c r="K2702" s="26" t="str">
        <f>IF(OR(E2702="",E2702="!!!",F2702="NEW"),"",INDEX(J$1:J2701,SUMPRODUCT(MAX(ROW(E$1:E2701)*(E2702=E$1:E2701)))))</f>
        <v> </v>
      </c>
      <c r="L2702" s="27"/>
    </row>
    <row r="2703" spans="1:12">
      <c r="A2703" s="20" t="s">
        <v>246</v>
      </c>
      <c r="E2703" s="22">
        <f>IF(D2703="?OLD","!!!","")</f>
        <v/>
      </c>
      <c r="F2703" s="23" t="str">
        <f>IF(OR(E2703="",E2703="!!!"),"",IF(NOT(ISNA(VLOOKUP(E2703,E$1:E2702,1,FALSE()))),"OLD",IF(AND(E2703&lt;&gt;"",E2703&lt;&gt;"!!!"),"NEW","")))</f>
        <v> </v>
      </c>
      <c r="G2703" s="24" t="str">
        <f>IF(OR(E2703="",E2703="!!!"),"",IF(OR(J2703=0,AND(J2703=1,K2703=1),AND(J2703=1,I2703="SBJ"),AND(J2703=1,I2703=0)),"?IN_FOCUS",IF(J2703&lt;=2,"?ACTIVATED",IF(J2703&lt;&gt;"","?FAMILIAR",IF(F2703="NEW",IF(ISNA(VLOOKUP(E2703,#REF!,1,FALSE())),"?TYPE_IDENTIFIABLE","?REFERENTIAL"),"_")))))</f>
        <v> </v>
      </c>
      <c r="H2703" s="25" t="str">
        <f>IF(J2703&lt;&gt;1,"",IF(I2703="SBJ","CB","?"))</f>
        <v> </v>
      </c>
      <c r="I2703" s="26" t="str">
        <f>IF(OR(E2703="",E2703="!!!",F2703="NEW"),"",INDEX(B2702:B$2,-1+SUMPRODUCT(MAX(ROW(E2702:E$2)*(E2703=E2702:E$2)))))</f>
        <v> </v>
      </c>
      <c r="J2703" s="26" t="str">
        <f>IF(OR(E2703="",E2703="!!!",F2703="NEW"),"",COUNTBLANK(OFFSET(A$1,,,SUMPRODUCT(MAX(ROW(E$2:E2703)*(E2703=E$2:E2703)))))-COUNTBLANK(OFFSET(A$1,,,SUMPRODUCT(MAX(ROW(E$1:E2702)*(E2=E$1:E2702))))))</f>
        <v> </v>
      </c>
      <c r="K2703" s="26" t="str">
        <f>IF(OR(E2703="",E2703="!!!",F2703="NEW"),"",INDEX(J$1:J2702,SUMPRODUCT(MAX(ROW(E$1:E2702)*(E2703=E$1:E2702)))))</f>
        <v> </v>
      </c>
      <c r="L2703" s="27"/>
    </row>
    <row r="2704" spans="1:12">
      <c r="A2704" s="20"/>
    </row>
    <row r="2705" spans="1:12">
      <c r="A2705" s="20" t="s">
        <v>1737</v>
      </c>
    </row>
    <row r="2706" spans="1:12">
      <c r="A2706" s="20" t="s">
        <v>727</v>
      </c>
      <c r="B2706" s="21" t="s">
        <v>728</v>
      </c>
      <c r="C2706" s="21" t="s">
        <v>729</v>
      </c>
      <c r="D2706" s="21" t="s">
        <v>730</v>
      </c>
      <c r="E2706" s="22">
        <f>IF(D2706="?OLD","!!!","")</f>
        <v/>
      </c>
      <c r="F2706" s="23" t="str">
        <f>IF(OR(E2706="",E2706="!!!"),"",IF(NOT(ISNA(VLOOKUP(E2706,E$1:E2705,1,FALSE()))),"OLD",IF(AND(E2706&lt;&gt;"",E2706&lt;&gt;"!!!"),"NEW","")))</f>
        <v> </v>
      </c>
      <c r="G2706" s="24" t="str">
        <f>IF(OR(E2706="",E2706="!!!"),"",IF(OR(J2706=0,AND(J2706=1,K2706=1),AND(J2706=1,I2706="SBJ"),AND(J2706=1,I2706=0)),"?IN_FOCUS",IF(J2706&lt;=2,"?ACTIVATED",IF(J2706&lt;&gt;"","?FAMILIAR",IF(F2706="NEW",IF(ISNA(VLOOKUP(E2706,#REF!,1,FALSE())),"?TYPE_IDENTIFIABLE","?REFERENTIAL"),"_")))))</f>
        <v> </v>
      </c>
      <c r="H2706" s="25" t="str">
        <f>IF(J2706&lt;&gt;1,"",IF(I2706="SBJ","CB","?"))</f>
        <v> </v>
      </c>
      <c r="I2706" s="26" t="str">
        <f>IF(OR(E2706="",E2706="!!!",F2706="NEW"),"",INDEX(B2705:B$2,-1+SUMPRODUCT(MAX(ROW(E2705:E$2)*(E2706=E2705:E$2)))))</f>
        <v> </v>
      </c>
      <c r="J2706" s="26" t="str">
        <f>IF(OR(E2706="",E2706="!!!",F2706="NEW"),"",COUNTBLANK(OFFSET(A$1,,,SUMPRODUCT(MAX(ROW(E$2:E2706)*(E2706=E$2:E2706)))))-COUNTBLANK(OFFSET(A$1,,,SUMPRODUCT(MAX(ROW(E$1:E2705)*(E2=E$1:E2705))))))</f>
        <v> </v>
      </c>
      <c r="K2706" s="26" t="str">
        <f>IF(OR(E2706="",E2706="!!!",F2706="NEW"),"",INDEX(J$1:J2705,SUMPRODUCT(MAX(ROW(E$1:E2705)*(E2706=E$1:E2705)))))</f>
        <v> </v>
      </c>
      <c r="L2706" s="27"/>
    </row>
    <row r="2707" spans="1:12">
      <c r="A2707" s="20" t="s">
        <v>1071</v>
      </c>
      <c r="E2707" s="22">
        <f>IF(D2707="?OLD","!!!","")</f>
        <v/>
      </c>
      <c r="F2707" s="23" t="str">
        <f>IF(OR(E2707="",E2707="!!!"),"",IF(NOT(ISNA(VLOOKUP(E2707,E$1:E2706,1,FALSE()))),"OLD",IF(AND(E2707&lt;&gt;"",E2707&lt;&gt;"!!!"),"NEW","")))</f>
        <v> </v>
      </c>
      <c r="G2707" s="24" t="str">
        <f>IF(OR(E2707="",E2707="!!!"),"",IF(OR(J2707=0,AND(J2707=1,K2707=1),AND(J2707=1,I2707="SBJ"),AND(J2707=1,I2707=0)),"?IN_FOCUS",IF(J2707&lt;=2,"?ACTIVATED",IF(J2707&lt;&gt;"","?FAMILIAR",IF(F2707="NEW",IF(ISNA(VLOOKUP(E2707,#REF!,1,FALSE())),"?TYPE_IDENTIFIABLE","?REFERENTIAL"),"_")))))</f>
        <v> </v>
      </c>
      <c r="H2707" s="25" t="str">
        <f>IF(J2707&lt;&gt;1,"",IF(I2707="SBJ","CB","?"))</f>
        <v> </v>
      </c>
      <c r="I2707" s="26" t="str">
        <f>IF(OR(E2707="",E2707="!!!",F2707="NEW"),"",INDEX(B2706:B$2,-1+SUMPRODUCT(MAX(ROW(E2706:E$2)*(E2707=E2706:E$2)))))</f>
        <v> </v>
      </c>
      <c r="J2707" s="26" t="str">
        <f>IF(OR(E2707="",E2707="!!!",F2707="NEW"),"",COUNTBLANK(OFFSET(A$1,,,SUMPRODUCT(MAX(ROW(E$2:E2707)*(E2707=E$2:E2707)))))-COUNTBLANK(OFFSET(A$1,,,SUMPRODUCT(MAX(ROW(E$1:E2706)*(E2=E$1:E2706))))))</f>
        <v> </v>
      </c>
      <c r="K2707" s="26" t="str">
        <f>IF(OR(E2707="",E2707="!!!",F2707="NEW"),"",INDEX(J$1:J2706,SUMPRODUCT(MAX(ROW(E$1:E2706)*(E2707=E$1:E2706)))))</f>
        <v> </v>
      </c>
      <c r="L2707" s="27"/>
    </row>
    <row r="2708" spans="1:12">
      <c r="A2708" s="20" t="s">
        <v>762</v>
      </c>
      <c r="E2708" s="22">
        <f>IF(D2708="?OLD","!!!","")</f>
        <v/>
      </c>
      <c r="F2708" s="23" t="str">
        <f>IF(OR(E2708="",E2708="!!!"),"",IF(NOT(ISNA(VLOOKUP(E2708,E$1:E2707,1,FALSE()))),"OLD",IF(AND(E2708&lt;&gt;"",E2708&lt;&gt;"!!!"),"NEW","")))</f>
        <v> </v>
      </c>
      <c r="G2708" s="24" t="str">
        <f>IF(OR(E2708="",E2708="!!!"),"",IF(OR(J2708=0,AND(J2708=1,K2708=1),AND(J2708=1,I2708="SBJ"),AND(J2708=1,I2708=0)),"?IN_FOCUS",IF(J2708&lt;=2,"?ACTIVATED",IF(J2708&lt;&gt;"","?FAMILIAR",IF(F2708="NEW",IF(ISNA(VLOOKUP(E2708,#REF!,1,FALSE())),"?TYPE_IDENTIFIABLE","?REFERENTIAL"),"_")))))</f>
        <v> </v>
      </c>
      <c r="H2708" s="25" t="str">
        <f>IF(J2708&lt;&gt;1,"",IF(I2708="SBJ","CB","?"))</f>
        <v> </v>
      </c>
      <c r="I2708" s="26" t="str">
        <f>IF(OR(E2708="",E2708="!!!",F2708="NEW"),"",INDEX(B2707:B$2,-1+SUMPRODUCT(MAX(ROW(E2707:E$2)*(E2708=E2707:E$2)))))</f>
        <v> </v>
      </c>
      <c r="J2708" s="26" t="str">
        <f>IF(OR(E2708="",E2708="!!!",F2708="NEW"),"",COUNTBLANK(OFFSET(A$1,,,SUMPRODUCT(MAX(ROW(E$2:E2708)*(E2708=E$2:E2708)))))-COUNTBLANK(OFFSET(A$1,,,SUMPRODUCT(MAX(ROW(E$1:E2707)*(E2=E$1:E2707))))))</f>
        <v> </v>
      </c>
      <c r="K2708" s="26" t="str">
        <f>IF(OR(E2708="",E2708="!!!",F2708="NEW"),"",INDEX(J$1:J2707,SUMPRODUCT(MAX(ROW(E$1:E2707)*(E2708=E$1:E2707)))))</f>
        <v> </v>
      </c>
      <c r="L2708" s="27"/>
    </row>
    <row r="2709" spans="1:12">
      <c r="A2709" s="20" t="s">
        <v>1736</v>
      </c>
      <c r="B2709" s="21" t="s">
        <v>764</v>
      </c>
      <c r="C2709" s="21" t="s">
        <v>737</v>
      </c>
      <c r="E2709" s="22">
        <f>IF(D2709="?OLD","!!!","")</f>
        <v/>
      </c>
      <c r="F2709" s="23" t="str">
        <f>IF(OR(E2709="",E2709="!!!"),"",IF(NOT(ISNA(VLOOKUP(E2709,E$1:E2708,1,FALSE()))),"OLD",IF(AND(E2709&lt;&gt;"",E2709&lt;&gt;"!!!"),"NEW","")))</f>
        <v> </v>
      </c>
      <c r="G2709" s="24" t="str">
        <f>IF(OR(E2709="",E2709="!!!"),"",IF(OR(J2709=0,AND(J2709=1,K2709=1),AND(J2709=1,I2709="SBJ"),AND(J2709=1,I2709=0)),"?IN_FOCUS",IF(J2709&lt;=2,"?ACTIVATED",IF(J2709&lt;&gt;"","?FAMILIAR",IF(F2709="NEW",IF(ISNA(VLOOKUP(E2709,#REF!,1,FALSE())),"?TYPE_IDENTIFIABLE","?REFERENTIAL"),"_")))))</f>
        <v> </v>
      </c>
      <c r="H2709" s="25" t="str">
        <f>IF(J2709&lt;&gt;1,"",IF(I2709="SBJ","CB","?"))</f>
        <v> </v>
      </c>
      <c r="I2709" s="26" t="str">
        <f>IF(OR(E2709="",E2709="!!!",F2709="NEW"),"",INDEX(B2708:B$2,-1+SUMPRODUCT(MAX(ROW(E2708:E$2)*(E2709=E2708:E$2)))))</f>
        <v> </v>
      </c>
      <c r="J2709" s="26" t="str">
        <f>IF(OR(E2709="",E2709="!!!",F2709="NEW"),"",COUNTBLANK(OFFSET(A$1,,,SUMPRODUCT(MAX(ROW(E$2:E2709)*(E2709=E$2:E2709)))))-COUNTBLANK(OFFSET(A$1,,,SUMPRODUCT(MAX(ROW(E$1:E2708)*(E2=E$1:E2708))))))</f>
        <v> </v>
      </c>
      <c r="K2709" s="26" t="str">
        <f>IF(OR(E2709="",E2709="!!!",F2709="NEW"),"",INDEX(J$1:J2708,SUMPRODUCT(MAX(ROW(E$1:E2708)*(E2709=E$1:E2708)))))</f>
        <v> </v>
      </c>
      <c r="L2709" s="27"/>
    </row>
    <row r="2710" spans="1:12">
      <c r="A2710" s="20" t="s">
        <v>1348</v>
      </c>
      <c r="E2710" s="22">
        <f>IF(D2710="?OLD","!!!","")</f>
        <v/>
      </c>
      <c r="F2710" s="23" t="str">
        <f>IF(OR(E2710="",E2710="!!!"),"",IF(NOT(ISNA(VLOOKUP(E2710,E$1:E2709,1,FALSE()))),"OLD",IF(AND(E2710&lt;&gt;"",E2710&lt;&gt;"!!!"),"NEW","")))</f>
        <v> </v>
      </c>
      <c r="G2710" s="24" t="str">
        <f>IF(OR(E2710="",E2710="!!!"),"",IF(OR(J2710=0,AND(J2710=1,K2710=1),AND(J2710=1,I2710="SBJ"),AND(J2710=1,I2710=0)),"?IN_FOCUS",IF(J2710&lt;=2,"?ACTIVATED",IF(J2710&lt;&gt;"","?FAMILIAR",IF(F2710="NEW",IF(ISNA(VLOOKUP(E2710,#REF!,1,FALSE())),"?TYPE_IDENTIFIABLE","?REFERENTIAL"),"_")))))</f>
        <v> </v>
      </c>
      <c r="H2710" s="25" t="str">
        <f>IF(J2710&lt;&gt;1,"",IF(I2710="SBJ","CB","?"))</f>
        <v> </v>
      </c>
      <c r="I2710" s="26" t="str">
        <f>IF(OR(E2710="",E2710="!!!",F2710="NEW"),"",INDEX(B2709:B$2,-1+SUMPRODUCT(MAX(ROW(E2709:E$2)*(E2710=E2709:E$2)))))</f>
        <v> </v>
      </c>
      <c r="J2710" s="26" t="str">
        <f>IF(OR(E2710="",E2710="!!!",F2710="NEW"),"",COUNTBLANK(OFFSET(A$1,,,SUMPRODUCT(MAX(ROW(E$2:E2710)*(E2710=E$2:E2710)))))-COUNTBLANK(OFFSET(A$1,,,SUMPRODUCT(MAX(ROW(E$1:E2709)*(E2=E$1:E2709))))))</f>
        <v> </v>
      </c>
      <c r="K2710" s="26" t="str">
        <f>IF(OR(E2710="",E2710="!!!",F2710="NEW"),"",INDEX(J$1:J2709,SUMPRODUCT(MAX(ROW(E$1:E2709)*(E2710=E$1:E2709)))))</f>
        <v> </v>
      </c>
      <c r="L2710" s="27"/>
    </row>
    <row r="2711" spans="1:12">
      <c r="A2711" s="20" t="s">
        <v>1468</v>
      </c>
      <c r="B2711" s="21" t="s">
        <v>739</v>
      </c>
      <c r="C2711" s="21" t="s">
        <v>748</v>
      </c>
      <c r="E2711" s="22">
        <f>IF(D2711="?OLD","!!!","")</f>
        <v/>
      </c>
      <c r="F2711" s="23" t="str">
        <f>IF(OR(E2711="",E2711="!!!"),"",IF(NOT(ISNA(VLOOKUP(E2711,E$1:E2710,1,FALSE()))),"OLD",IF(AND(E2711&lt;&gt;"",E2711&lt;&gt;"!!!"),"NEW","")))</f>
        <v> </v>
      </c>
      <c r="G2711" s="24" t="str">
        <f>IF(OR(E2711="",E2711="!!!"),"",IF(OR(J2711=0,AND(J2711=1,K2711=1),AND(J2711=1,I2711="SBJ"),AND(J2711=1,I2711=0)),"?IN_FOCUS",IF(J2711&lt;=2,"?ACTIVATED",IF(J2711&lt;&gt;"","?FAMILIAR",IF(F2711="NEW",IF(ISNA(VLOOKUP(E2711,#REF!,1,FALSE())),"?TYPE_IDENTIFIABLE","?REFERENTIAL"),"_")))))</f>
        <v> </v>
      </c>
      <c r="H2711" s="25" t="str">
        <f>IF(J2711&lt;&gt;1,"",IF(I2711="SBJ","CB","?"))</f>
        <v> </v>
      </c>
      <c r="I2711" s="26" t="str">
        <f>IF(OR(E2711="",E2711="!!!",F2711="NEW"),"",INDEX(B2710:B$2,-1+SUMPRODUCT(MAX(ROW(E2710:E$2)*(E2711=E2710:E$2)))))</f>
        <v> </v>
      </c>
      <c r="J2711" s="26" t="str">
        <f>IF(OR(E2711="",E2711="!!!",F2711="NEW"),"",COUNTBLANK(OFFSET(A$1,,,SUMPRODUCT(MAX(ROW(E$2:E2711)*(E2711=E$2:E2711)))))-COUNTBLANK(OFFSET(A$1,,,SUMPRODUCT(MAX(ROW(E$1:E2710)*(E2=E$1:E2710))))))</f>
        <v> </v>
      </c>
      <c r="K2711" s="26" t="str">
        <f>IF(OR(E2711="",E2711="!!!",F2711="NEW"),"",INDEX(J$1:J2710,SUMPRODUCT(MAX(ROW(E$1:E2710)*(E2711=E$1:E2710)))))</f>
        <v> </v>
      </c>
      <c r="L2711" s="27"/>
    </row>
    <row r="2712" spans="1:12">
      <c r="A2712" s="20" t="s">
        <v>1081</v>
      </c>
      <c r="E2712" s="22">
        <f>IF(D2712="?OLD","!!!","")</f>
        <v/>
      </c>
      <c r="F2712" s="23" t="str">
        <f>IF(OR(E2712="",E2712="!!!"),"",IF(NOT(ISNA(VLOOKUP(E2712,E$1:E2711,1,FALSE()))),"OLD",IF(AND(E2712&lt;&gt;"",E2712&lt;&gt;"!!!"),"NEW","")))</f>
        <v> </v>
      </c>
      <c r="G2712" s="24" t="str">
        <f>IF(OR(E2712="",E2712="!!!"),"",IF(OR(J2712=0,AND(J2712=1,K2712=1),AND(J2712=1,I2712="SBJ"),AND(J2712=1,I2712=0)),"?IN_FOCUS",IF(J2712&lt;=2,"?ACTIVATED",IF(J2712&lt;&gt;"","?FAMILIAR",IF(F2712="NEW",IF(ISNA(VLOOKUP(E2712,#REF!,1,FALSE())),"?TYPE_IDENTIFIABLE","?REFERENTIAL"),"_")))))</f>
        <v> </v>
      </c>
      <c r="H2712" s="25" t="str">
        <f>IF(J2712&lt;&gt;1,"",IF(I2712="SBJ","CB","?"))</f>
        <v> </v>
      </c>
      <c r="I2712" s="26" t="str">
        <f>IF(OR(E2712="",E2712="!!!",F2712="NEW"),"",INDEX(B2711:B$2,-1+SUMPRODUCT(MAX(ROW(E2711:E$2)*(E2712=E2711:E$2)))))</f>
        <v> </v>
      </c>
      <c r="J2712" s="26" t="str">
        <f>IF(OR(E2712="",E2712="!!!",F2712="NEW"),"",COUNTBLANK(OFFSET(A$1,,,SUMPRODUCT(MAX(ROW(E$2:E2712)*(E2712=E$2:E2712)))))-COUNTBLANK(OFFSET(A$1,,,SUMPRODUCT(MAX(ROW(E$1:E2711)*(E2=E$1:E2711))))))</f>
        <v> </v>
      </c>
      <c r="K2712" s="26" t="str">
        <f>IF(OR(E2712="",E2712="!!!",F2712="NEW"),"",INDEX(J$1:J2711,SUMPRODUCT(MAX(ROW(E$1:E2711)*(E2712=E$1:E2711)))))</f>
        <v> </v>
      </c>
      <c r="L2712" s="27"/>
    </row>
    <row r="2713" spans="1:12">
      <c r="A2713" s="20" t="s">
        <v>246</v>
      </c>
      <c r="E2713" s="22">
        <f>IF(D2713="?OLD","!!!","")</f>
        <v/>
      </c>
      <c r="F2713" s="23" t="str">
        <f>IF(OR(E2713="",E2713="!!!"),"",IF(NOT(ISNA(VLOOKUP(E2713,E$1:E2712,1,FALSE()))),"OLD",IF(AND(E2713&lt;&gt;"",E2713&lt;&gt;"!!!"),"NEW","")))</f>
        <v> </v>
      </c>
      <c r="G2713" s="24" t="str">
        <f>IF(OR(E2713="",E2713="!!!"),"",IF(OR(J2713=0,AND(J2713=1,K2713=1),AND(J2713=1,I2713="SBJ"),AND(J2713=1,I2713=0)),"?IN_FOCUS",IF(J2713&lt;=2,"?ACTIVATED",IF(J2713&lt;&gt;"","?FAMILIAR",IF(F2713="NEW",IF(ISNA(VLOOKUP(E2713,#REF!,1,FALSE())),"?TYPE_IDENTIFIABLE","?REFERENTIAL"),"_")))))</f>
        <v> </v>
      </c>
      <c r="H2713" s="25" t="str">
        <f>IF(J2713&lt;&gt;1,"",IF(I2713="SBJ","CB","?"))</f>
        <v> </v>
      </c>
      <c r="I2713" s="26" t="str">
        <f>IF(OR(E2713="",E2713="!!!",F2713="NEW"),"",INDEX(B2712:B$2,-1+SUMPRODUCT(MAX(ROW(E2712:E$2)*(E2713=E2712:E$2)))))</f>
        <v> </v>
      </c>
      <c r="J2713" s="26" t="str">
        <f>IF(OR(E2713="",E2713="!!!",F2713="NEW"),"",COUNTBLANK(OFFSET(A$1,,,SUMPRODUCT(MAX(ROW(E$2:E2713)*(E2713=E$2:E2713)))))-COUNTBLANK(OFFSET(A$1,,,SUMPRODUCT(MAX(ROW(E$1:E2712)*(E2=E$1:E2712))))))</f>
        <v> </v>
      </c>
      <c r="K2713" s="26" t="str">
        <f>IF(OR(E2713="",E2713="!!!",F2713="NEW"),"",INDEX(J$1:J2712,SUMPRODUCT(MAX(ROW(E$1:E2712)*(E2713=E$1:E2712)))))</f>
        <v> </v>
      </c>
      <c r="L2713" s="27"/>
    </row>
    <row r="2714" spans="1:12">
      <c r="A2714" s="20"/>
    </row>
    <row r="2715" spans="1:12">
      <c r="A2715" s="20" t="s">
        <v>1738</v>
      </c>
    </row>
    <row r="2716" spans="1:12">
      <c r="A2716" s="20" t="s">
        <v>994</v>
      </c>
      <c r="E2716" s="22">
        <f>IF(D2716="?OLD","!!!","")</f>
        <v/>
      </c>
      <c r="F2716" s="23" t="str">
        <f>IF(OR(E2716="",E2716="!!!"),"",IF(NOT(ISNA(VLOOKUP(E2716,E$1:E2715,1,FALSE()))),"OLD",IF(AND(E2716&lt;&gt;"",E2716&lt;&gt;"!!!"),"NEW","")))</f>
        <v> </v>
      </c>
      <c r="G2716" s="24" t="str">
        <f>IF(OR(E2716="",E2716="!!!"),"",IF(OR(J2716=0,AND(J2716=1,K2716=1),AND(J2716=1,I2716="SBJ"),AND(J2716=1,I2716=0)),"?IN_FOCUS",IF(J2716&lt;=2,"?ACTIVATED",IF(J2716&lt;&gt;"","?FAMILIAR",IF(F2716="NEW",IF(ISNA(VLOOKUP(E2716,#REF!,1,FALSE())),"?TYPE_IDENTIFIABLE","?REFERENTIAL"),"_")))))</f>
        <v> </v>
      </c>
      <c r="H2716" s="25" t="str">
        <f>IF(J2716&lt;&gt;1,"",IF(I2716="SBJ","CB","?"))</f>
        <v> </v>
      </c>
      <c r="I2716" s="26" t="str">
        <f>IF(OR(E2716="",E2716="!!!",F2716="NEW"),"",INDEX(B2715:B$2,-1+SUMPRODUCT(MAX(ROW(E2715:E$2)*(E2716=E2715:E$2)))))</f>
        <v> </v>
      </c>
      <c r="J2716" s="26" t="str">
        <f>IF(OR(E2716="",E2716="!!!",F2716="NEW"),"",COUNTBLANK(OFFSET(A$1,,,SUMPRODUCT(MAX(ROW(E$2:E2716)*(E2716=E$2:E2716)))))-COUNTBLANK(OFFSET(A$1,,,SUMPRODUCT(MAX(ROW(E$1:E2715)*(E2=E$1:E2715))))))</f>
        <v> </v>
      </c>
      <c r="K2716" s="26" t="str">
        <f>IF(OR(E2716="",E2716="!!!",F2716="NEW"),"",INDEX(J$1:J2715,SUMPRODUCT(MAX(ROW(E$1:E2715)*(E2716=E$1:E2715)))))</f>
        <v> </v>
      </c>
      <c r="L2716" s="27"/>
    </row>
    <row r="2717" spans="1:12">
      <c r="A2717" s="20" t="s">
        <v>750</v>
      </c>
      <c r="B2717" s="21" t="s">
        <v>728</v>
      </c>
      <c r="C2717" s="21" t="s">
        <v>729</v>
      </c>
      <c r="D2717" s="21" t="s">
        <v>730</v>
      </c>
      <c r="E2717" s="22">
        <f>IF(D2717="?OLD","!!!","")</f>
        <v/>
      </c>
      <c r="F2717" s="23" t="str">
        <f>IF(OR(E2717="",E2717="!!!"),"",IF(NOT(ISNA(VLOOKUP(E2717,E$1:E2716,1,FALSE()))),"OLD",IF(AND(E2717&lt;&gt;"",E2717&lt;&gt;"!!!"),"NEW","")))</f>
        <v> </v>
      </c>
      <c r="G2717" s="24" t="str">
        <f>IF(OR(E2717="",E2717="!!!"),"",IF(OR(J2717=0,AND(J2717=1,K2717=1),AND(J2717=1,I2717="SBJ"),AND(J2717=1,I2717=0)),"?IN_FOCUS",IF(J2717&lt;=2,"?ACTIVATED",IF(J2717&lt;&gt;"","?FAMILIAR",IF(F2717="NEW",IF(ISNA(VLOOKUP(E2717,#REF!,1,FALSE())),"?TYPE_IDENTIFIABLE","?REFERENTIAL"),"_")))))</f>
        <v> </v>
      </c>
      <c r="H2717" s="25" t="str">
        <f>IF(J2717&lt;&gt;1,"",IF(I2717="SBJ","CB","?"))</f>
        <v> </v>
      </c>
      <c r="I2717" s="26" t="str">
        <f>IF(OR(E2717="",E2717="!!!",F2717="NEW"),"",INDEX(B2716:B$2,-1+SUMPRODUCT(MAX(ROW(E2716:E$2)*(E2717=E2716:E$2)))))</f>
        <v> </v>
      </c>
      <c r="J2717" s="26" t="str">
        <f>IF(OR(E2717="",E2717="!!!",F2717="NEW"),"",COUNTBLANK(OFFSET(A$1,,,SUMPRODUCT(MAX(ROW(E$2:E2717)*(E2717=E$2:E2717)))))-COUNTBLANK(OFFSET(A$1,,,SUMPRODUCT(MAX(ROW(E$1:E2716)*(E2=E$1:E2716))))))</f>
        <v> </v>
      </c>
      <c r="K2717" s="26" t="str">
        <f>IF(OR(E2717="",E2717="!!!",F2717="NEW"),"",INDEX(J$1:J2716,SUMPRODUCT(MAX(ROW(E$1:E2716)*(E2717=E$1:E2716)))))</f>
        <v> </v>
      </c>
      <c r="L2717" s="27"/>
    </row>
    <row r="2718" spans="1:12">
      <c r="A2718" s="20" t="s">
        <v>1071</v>
      </c>
      <c r="E2718" s="22">
        <f>IF(D2718="?OLD","!!!","")</f>
        <v/>
      </c>
      <c r="F2718" s="23" t="str">
        <f>IF(OR(E2718="",E2718="!!!"),"",IF(NOT(ISNA(VLOOKUP(E2718,E$1:E2717,1,FALSE()))),"OLD",IF(AND(E2718&lt;&gt;"",E2718&lt;&gt;"!!!"),"NEW","")))</f>
        <v> </v>
      </c>
      <c r="G2718" s="24" t="str">
        <f>IF(OR(E2718="",E2718="!!!"),"",IF(OR(J2718=0,AND(J2718=1,K2718=1),AND(J2718=1,I2718="SBJ"),AND(J2718=1,I2718=0)),"?IN_FOCUS",IF(J2718&lt;=2,"?ACTIVATED",IF(J2718&lt;&gt;"","?FAMILIAR",IF(F2718="NEW",IF(ISNA(VLOOKUP(E2718,#REF!,1,FALSE())),"?TYPE_IDENTIFIABLE","?REFERENTIAL"),"_")))))</f>
        <v> </v>
      </c>
      <c r="H2718" s="25" t="str">
        <f>IF(J2718&lt;&gt;1,"",IF(I2718="SBJ","CB","?"))</f>
        <v> </v>
      </c>
      <c r="I2718" s="26" t="str">
        <f>IF(OR(E2718="",E2718="!!!",F2718="NEW"),"",INDEX(B2717:B$2,-1+SUMPRODUCT(MAX(ROW(E2717:E$2)*(E2718=E2717:E$2)))))</f>
        <v> </v>
      </c>
      <c r="J2718" s="26" t="str">
        <f>IF(OR(E2718="",E2718="!!!",F2718="NEW"),"",COUNTBLANK(OFFSET(A$1,,,SUMPRODUCT(MAX(ROW(E$2:E2718)*(E2718=E$2:E2718)))))-COUNTBLANK(OFFSET(A$1,,,SUMPRODUCT(MAX(ROW(E$1:E2717)*(E2=E$1:E2717))))))</f>
        <v> </v>
      </c>
      <c r="K2718" s="26" t="str">
        <f>IF(OR(E2718="",E2718="!!!",F2718="NEW"),"",INDEX(J$1:J2717,SUMPRODUCT(MAX(ROW(E$1:E2717)*(E2718=E$1:E2717)))))</f>
        <v> </v>
      </c>
      <c r="L2718" s="27"/>
    </row>
    <row r="2719" spans="1:12">
      <c r="A2719" s="20" t="s">
        <v>805</v>
      </c>
      <c r="E2719" s="22">
        <f>IF(D2719="?OLD","!!!","")</f>
        <v/>
      </c>
      <c r="F2719" s="23" t="str">
        <f>IF(OR(E2719="",E2719="!!!"),"",IF(NOT(ISNA(VLOOKUP(E2719,E$1:E2718,1,FALSE()))),"OLD",IF(AND(E2719&lt;&gt;"",E2719&lt;&gt;"!!!"),"NEW","")))</f>
        <v> </v>
      </c>
      <c r="G2719" s="24" t="str">
        <f>IF(OR(E2719="",E2719="!!!"),"",IF(OR(J2719=0,AND(J2719=1,K2719=1),AND(J2719=1,I2719="SBJ"),AND(J2719=1,I2719=0)),"?IN_FOCUS",IF(J2719&lt;=2,"?ACTIVATED",IF(J2719&lt;&gt;"","?FAMILIAR",IF(F2719="NEW",IF(ISNA(VLOOKUP(E2719,#REF!,1,FALSE())),"?TYPE_IDENTIFIABLE","?REFERENTIAL"),"_")))))</f>
        <v> </v>
      </c>
      <c r="H2719" s="25" t="str">
        <f>IF(J2719&lt;&gt;1,"",IF(I2719="SBJ","CB","?"))</f>
        <v> </v>
      </c>
      <c r="I2719" s="26" t="str">
        <f>IF(OR(E2719="",E2719="!!!",F2719="NEW"),"",INDEX(B2718:B$2,-1+SUMPRODUCT(MAX(ROW(E2718:E$2)*(E2719=E2718:E$2)))))</f>
        <v> </v>
      </c>
      <c r="J2719" s="26" t="str">
        <f>IF(OR(E2719="",E2719="!!!",F2719="NEW"),"",COUNTBLANK(OFFSET(A$1,,,SUMPRODUCT(MAX(ROW(E$2:E2719)*(E2719=E$2:E2719)))))-COUNTBLANK(OFFSET(A$1,,,SUMPRODUCT(MAX(ROW(E$1:E2718)*(E2=E$1:E2718))))))</f>
        <v> </v>
      </c>
      <c r="K2719" s="26" t="str">
        <f>IF(OR(E2719="",E2719="!!!",F2719="NEW"),"",INDEX(J$1:J2718,SUMPRODUCT(MAX(ROW(E$1:E2718)*(E2719=E$1:E2718)))))</f>
        <v> </v>
      </c>
      <c r="L2719" s="27"/>
    </row>
    <row r="2720" spans="1:12">
      <c r="A2720" s="20" t="s">
        <v>1232</v>
      </c>
      <c r="B2720" s="21" t="s">
        <v>739</v>
      </c>
      <c r="C2720" s="21" t="s">
        <v>789</v>
      </c>
      <c r="D2720" s="21" t="s">
        <v>730</v>
      </c>
      <c r="E2720" s="22">
        <f>IF(D2720="?OLD","!!!","")</f>
        <v/>
      </c>
      <c r="F2720" s="23" t="str">
        <f>IF(OR(E2720="",E2720="!!!"),"",IF(NOT(ISNA(VLOOKUP(E2720,E$1:E2719,1,FALSE()))),"OLD",IF(AND(E2720&lt;&gt;"",E2720&lt;&gt;"!!!"),"NEW","")))</f>
        <v> </v>
      </c>
      <c r="G2720" s="24" t="str">
        <f>IF(OR(E2720="",E2720="!!!"),"",IF(OR(J2720=0,AND(J2720=1,K2720=1),AND(J2720=1,I2720="SBJ"),AND(J2720=1,I2720=0)),"?IN_FOCUS",IF(J2720&lt;=2,"?ACTIVATED",IF(J2720&lt;&gt;"","?FAMILIAR",IF(F2720="NEW",IF(ISNA(VLOOKUP(E2720,#REF!,1,FALSE())),"?TYPE_IDENTIFIABLE","?REFERENTIAL"),"_")))))</f>
        <v> </v>
      </c>
      <c r="H2720" s="25" t="str">
        <f>IF(J2720&lt;&gt;1,"",IF(I2720="SBJ","CB","?"))</f>
        <v> </v>
      </c>
      <c r="I2720" s="26" t="str">
        <f>IF(OR(E2720="",E2720="!!!",F2720="NEW"),"",INDEX(B2719:B$2,-1+SUMPRODUCT(MAX(ROW(E2719:E$2)*(E2720=E2719:E$2)))))</f>
        <v> </v>
      </c>
      <c r="J2720" s="26" t="str">
        <f>IF(OR(E2720="",E2720="!!!",F2720="NEW"),"",COUNTBLANK(OFFSET(A$1,,,SUMPRODUCT(MAX(ROW(E$2:E2720)*(E2720=E$2:E2720)))))-COUNTBLANK(OFFSET(A$1,,,SUMPRODUCT(MAX(ROW(E$1:E2719)*(E2=E$1:E2719))))))</f>
        <v> </v>
      </c>
      <c r="K2720" s="26" t="str">
        <f>IF(OR(E2720="",E2720="!!!",F2720="NEW"),"",INDEX(J$1:J2719,SUMPRODUCT(MAX(ROW(E$1:E2719)*(E2720=E$1:E2719)))))</f>
        <v> </v>
      </c>
      <c r="L2720" s="27"/>
    </row>
    <row r="2721" spans="1:12">
      <c r="A2721" s="20" t="s">
        <v>1348</v>
      </c>
      <c r="E2721" s="22">
        <f>IF(D2721="?OLD","!!!","")</f>
        <v/>
      </c>
      <c r="F2721" s="23" t="str">
        <f>IF(OR(E2721="",E2721="!!!"),"",IF(NOT(ISNA(VLOOKUP(E2721,E$1:E2720,1,FALSE()))),"OLD",IF(AND(E2721&lt;&gt;"",E2721&lt;&gt;"!!!"),"NEW","")))</f>
        <v> </v>
      </c>
      <c r="G2721" s="24" t="str">
        <f>IF(OR(E2721="",E2721="!!!"),"",IF(OR(J2721=0,AND(J2721=1,K2721=1),AND(J2721=1,I2721="SBJ"),AND(J2721=1,I2721=0)),"?IN_FOCUS",IF(J2721&lt;=2,"?ACTIVATED",IF(J2721&lt;&gt;"","?FAMILIAR",IF(F2721="NEW",IF(ISNA(VLOOKUP(E2721,#REF!,1,FALSE())),"?TYPE_IDENTIFIABLE","?REFERENTIAL"),"_")))))</f>
        <v> </v>
      </c>
      <c r="H2721" s="25" t="str">
        <f>IF(J2721&lt;&gt;1,"",IF(I2721="SBJ","CB","?"))</f>
        <v> </v>
      </c>
      <c r="I2721" s="26" t="str">
        <f>IF(OR(E2721="",E2721="!!!",F2721="NEW"),"",INDEX(B2720:B$2,-1+SUMPRODUCT(MAX(ROW(E2720:E$2)*(E2721=E2720:E$2)))))</f>
        <v> </v>
      </c>
      <c r="J2721" s="26" t="str">
        <f>IF(OR(E2721="",E2721="!!!",F2721="NEW"),"",COUNTBLANK(OFFSET(A$1,,,SUMPRODUCT(MAX(ROW(E$2:E2721)*(E2721=E$2:E2721)))))-COUNTBLANK(OFFSET(A$1,,,SUMPRODUCT(MAX(ROW(E$1:E2720)*(E2=E$1:E2720))))))</f>
        <v> </v>
      </c>
      <c r="K2721" s="26" t="str">
        <f>IF(OR(E2721="",E2721="!!!",F2721="NEW"),"",INDEX(J$1:J2720,SUMPRODUCT(MAX(ROW(E$1:E2720)*(E2721=E$1:E2720)))))</f>
        <v> </v>
      </c>
      <c r="L2721" s="27"/>
    </row>
    <row r="2722" spans="1:12">
      <c r="A2722" s="20" t="s">
        <v>1739</v>
      </c>
      <c r="B2722" s="21" t="s">
        <v>736</v>
      </c>
      <c r="C2722" s="21" t="s">
        <v>967</v>
      </c>
      <c r="E2722" s="22">
        <f>IF(D2722="?OLD","!!!","")</f>
        <v/>
      </c>
      <c r="F2722" s="23" t="str">
        <f>IF(OR(E2722="",E2722="!!!"),"",IF(NOT(ISNA(VLOOKUP(E2722,E$1:E2721,1,FALSE()))),"OLD",IF(AND(E2722&lt;&gt;"",E2722&lt;&gt;"!!!"),"NEW","")))</f>
        <v> </v>
      </c>
      <c r="G2722" s="24" t="str">
        <f>IF(OR(E2722="",E2722="!!!"),"",IF(OR(J2722=0,AND(J2722=1,K2722=1),AND(J2722=1,I2722="SBJ"),AND(J2722=1,I2722=0)),"?IN_FOCUS",IF(J2722&lt;=2,"?ACTIVATED",IF(J2722&lt;&gt;"","?FAMILIAR",IF(F2722="NEW",IF(ISNA(VLOOKUP(E2722,#REF!,1,FALSE())),"?TYPE_IDENTIFIABLE","?REFERENTIAL"),"_")))))</f>
        <v> </v>
      </c>
      <c r="H2722" s="25" t="str">
        <f>IF(J2722&lt;&gt;1,"",IF(I2722="SBJ","CB","?"))</f>
        <v> </v>
      </c>
      <c r="I2722" s="26" t="str">
        <f>IF(OR(E2722="",E2722="!!!",F2722="NEW"),"",INDEX(B2721:B$2,-1+SUMPRODUCT(MAX(ROW(E2721:E$2)*(E2722=E2721:E$2)))))</f>
        <v> </v>
      </c>
      <c r="J2722" s="26" t="str">
        <f>IF(OR(E2722="",E2722="!!!",F2722="NEW"),"",COUNTBLANK(OFFSET(A$1,,,SUMPRODUCT(MAX(ROW(E$2:E2722)*(E2722=E$2:E2722)))))-COUNTBLANK(OFFSET(A$1,,,SUMPRODUCT(MAX(ROW(E$1:E2721)*(E2=E$1:E2721))))))</f>
        <v> </v>
      </c>
      <c r="K2722" s="26" t="str">
        <f>IF(OR(E2722="",E2722="!!!",F2722="NEW"),"",INDEX(J$1:J2721,SUMPRODUCT(MAX(ROW(E$1:E2721)*(E2722=E$1:E2721)))))</f>
        <v> </v>
      </c>
      <c r="L2722" s="27"/>
    </row>
    <row r="2723" spans="1:12">
      <c r="A2723" s="20" t="s">
        <v>1081</v>
      </c>
      <c r="E2723" s="22">
        <f>IF(D2723="?OLD","!!!","")</f>
        <v/>
      </c>
      <c r="F2723" s="23" t="str">
        <f>IF(OR(E2723="",E2723="!!!"),"",IF(NOT(ISNA(VLOOKUP(E2723,E$1:E2722,1,FALSE()))),"OLD",IF(AND(E2723&lt;&gt;"",E2723&lt;&gt;"!!!"),"NEW","")))</f>
        <v> </v>
      </c>
      <c r="G2723" s="24" t="str">
        <f>IF(OR(E2723="",E2723="!!!"),"",IF(OR(J2723=0,AND(J2723=1,K2723=1),AND(J2723=1,I2723="SBJ"),AND(J2723=1,I2723=0)),"?IN_FOCUS",IF(J2723&lt;=2,"?ACTIVATED",IF(J2723&lt;&gt;"","?FAMILIAR",IF(F2723="NEW",IF(ISNA(VLOOKUP(E2723,#REF!,1,FALSE())),"?TYPE_IDENTIFIABLE","?REFERENTIAL"),"_")))))</f>
        <v> </v>
      </c>
      <c r="H2723" s="25" t="str">
        <f>IF(J2723&lt;&gt;1,"",IF(I2723="SBJ","CB","?"))</f>
        <v> </v>
      </c>
      <c r="I2723" s="26" t="str">
        <f>IF(OR(E2723="",E2723="!!!",F2723="NEW"),"",INDEX(B2722:B$2,-1+SUMPRODUCT(MAX(ROW(E2722:E$2)*(E2723=E2722:E$2)))))</f>
        <v> </v>
      </c>
      <c r="J2723" s="26" t="str">
        <f>IF(OR(E2723="",E2723="!!!",F2723="NEW"),"",COUNTBLANK(OFFSET(A$1,,,SUMPRODUCT(MAX(ROW(E$2:E2723)*(E2723=E$2:E2723)))))-COUNTBLANK(OFFSET(A$1,,,SUMPRODUCT(MAX(ROW(E$1:E2722)*(E2=E$1:E2722))))))</f>
        <v> </v>
      </c>
      <c r="K2723" s="26" t="str">
        <f>IF(OR(E2723="",E2723="!!!",F2723="NEW"),"",INDEX(J$1:J2722,SUMPRODUCT(MAX(ROW(E$1:E2722)*(E2723=E$1:E2722)))))</f>
        <v> </v>
      </c>
      <c r="L2723" s="27"/>
    </row>
    <row r="2724" spans="1:12">
      <c r="A2724" s="20" t="s">
        <v>246</v>
      </c>
      <c r="E2724" s="22">
        <f>IF(D2724="?OLD","!!!","")</f>
        <v/>
      </c>
      <c r="F2724" s="23" t="str">
        <f>IF(OR(E2724="",E2724="!!!"),"",IF(NOT(ISNA(VLOOKUP(E2724,E$1:E2723,1,FALSE()))),"OLD",IF(AND(E2724&lt;&gt;"",E2724&lt;&gt;"!!!"),"NEW","")))</f>
        <v> </v>
      </c>
      <c r="G2724" s="24" t="str">
        <f>IF(OR(E2724="",E2724="!!!"),"",IF(OR(J2724=0,AND(J2724=1,K2724=1),AND(J2724=1,I2724="SBJ"),AND(J2724=1,I2724=0)),"?IN_FOCUS",IF(J2724&lt;=2,"?ACTIVATED",IF(J2724&lt;&gt;"","?FAMILIAR",IF(F2724="NEW",IF(ISNA(VLOOKUP(E2724,#REF!,1,FALSE())),"?TYPE_IDENTIFIABLE","?REFERENTIAL"),"_")))))</f>
        <v> </v>
      </c>
      <c r="H2724" s="25" t="str">
        <f>IF(J2724&lt;&gt;1,"",IF(I2724="SBJ","CB","?"))</f>
        <v> </v>
      </c>
      <c r="I2724" s="26" t="str">
        <f>IF(OR(E2724="",E2724="!!!",F2724="NEW"),"",INDEX(B2723:B$2,-1+SUMPRODUCT(MAX(ROW(E2723:E$2)*(E2724=E2723:E$2)))))</f>
        <v> </v>
      </c>
      <c r="J2724" s="26" t="str">
        <f>IF(OR(E2724="",E2724="!!!",F2724="NEW"),"",COUNTBLANK(OFFSET(A$1,,,SUMPRODUCT(MAX(ROW(E$2:E2724)*(E2724=E$2:E2724)))))-COUNTBLANK(OFFSET(A$1,,,SUMPRODUCT(MAX(ROW(E$1:E2723)*(E2=E$1:E2723))))))</f>
        <v> </v>
      </c>
      <c r="K2724" s="26" t="str">
        <f>IF(OR(E2724="",E2724="!!!",F2724="NEW"),"",INDEX(J$1:J2723,SUMPRODUCT(MAX(ROW(E$1:E2723)*(E2724=E$1:E2723)))))</f>
        <v> </v>
      </c>
      <c r="L2724" s="27"/>
    </row>
    <row r="2725" spans="1:12">
      <c r="A2725" s="20"/>
    </row>
    <row r="2726" spans="1:12">
      <c r="A2726" s="20" t="s">
        <v>1740</v>
      </c>
    </row>
    <row r="2727" spans="1:12">
      <c r="A2727" s="20" t="s">
        <v>1741</v>
      </c>
      <c r="E2727" s="22">
        <f>IF(D2727="?OLD","!!!","")</f>
        <v/>
      </c>
      <c r="F2727" s="23" t="str">
        <f>IF(OR(E2727="",E2727="!!!"),"",IF(NOT(ISNA(VLOOKUP(E2727,E$1:E2726,1,FALSE()))),"OLD",IF(AND(E2727&lt;&gt;"",E2727&lt;&gt;"!!!"),"NEW","")))</f>
        <v> </v>
      </c>
      <c r="G2727" s="24" t="str">
        <f>IF(OR(E2727="",E2727="!!!"),"",IF(OR(J2727=0,AND(J2727=1,K2727=1),AND(J2727=1,I2727="SBJ"),AND(J2727=1,I2727=0)),"?IN_FOCUS",IF(J2727&lt;=2,"?ACTIVATED",IF(J2727&lt;&gt;"","?FAMILIAR",IF(F2727="NEW",IF(ISNA(VLOOKUP(E2727,#REF!,1,FALSE())),"?TYPE_IDENTIFIABLE","?REFERENTIAL"),"_")))))</f>
        <v> </v>
      </c>
      <c r="H2727" s="25" t="str">
        <f>IF(J2727&lt;&gt;1,"",IF(I2727="SBJ","CB","?"))</f>
        <v> </v>
      </c>
      <c r="I2727" s="26" t="str">
        <f>IF(OR(E2727="",E2727="!!!",F2727="NEW"),"",INDEX(B2726:B$2,-1+SUMPRODUCT(MAX(ROW(E2726:E$2)*(E2727=E2726:E$2)))))</f>
        <v> </v>
      </c>
      <c r="J2727" s="26" t="str">
        <f>IF(OR(E2727="",E2727="!!!",F2727="NEW"),"",COUNTBLANK(OFFSET(A$1,,,SUMPRODUCT(MAX(ROW(E$2:E2727)*(E2727=E$2:E2727)))))-COUNTBLANK(OFFSET(A$1,,,SUMPRODUCT(MAX(ROW(E$1:E2726)*(E2=E$1:E2726))))))</f>
        <v> </v>
      </c>
      <c r="K2727" s="26" t="str">
        <f>IF(OR(E2727="",E2727="!!!",F2727="NEW"),"",INDEX(J$1:J2726,SUMPRODUCT(MAX(ROW(E$1:E2726)*(E2727=E$1:E2726)))))</f>
        <v> </v>
      </c>
      <c r="L2727" s="27"/>
    </row>
    <row r="2728" spans="1:12">
      <c r="A2728" s="20" t="s">
        <v>203</v>
      </c>
      <c r="E2728" s="22">
        <f>IF(D2728="?OLD","!!!","")</f>
        <v/>
      </c>
      <c r="F2728" s="23" t="str">
        <f>IF(OR(E2728="",E2728="!!!"),"",IF(NOT(ISNA(VLOOKUP(E2728,E$1:E2727,1,FALSE()))),"OLD",IF(AND(E2728&lt;&gt;"",E2728&lt;&gt;"!!!"),"NEW","")))</f>
        <v> </v>
      </c>
      <c r="G2728" s="24" t="str">
        <f>IF(OR(E2728="",E2728="!!!"),"",IF(OR(J2728=0,AND(J2728=1,K2728=1),AND(J2728=1,I2728="SBJ"),AND(J2728=1,I2728=0)),"?IN_FOCUS",IF(J2728&lt;=2,"?ACTIVATED",IF(J2728&lt;&gt;"","?FAMILIAR",IF(F2728="NEW",IF(ISNA(VLOOKUP(E2728,#REF!,1,FALSE())),"?TYPE_IDENTIFIABLE","?REFERENTIAL"),"_")))))</f>
        <v> </v>
      </c>
      <c r="H2728" s="25" t="str">
        <f>IF(J2728&lt;&gt;1,"",IF(I2728="SBJ","CB","?"))</f>
        <v> </v>
      </c>
      <c r="I2728" s="26" t="str">
        <f>IF(OR(E2728="",E2728="!!!",F2728="NEW"),"",INDEX(B2727:B$2,-1+SUMPRODUCT(MAX(ROW(E2727:E$2)*(E2728=E2727:E$2)))))</f>
        <v> </v>
      </c>
      <c r="J2728" s="26" t="str">
        <f>IF(OR(E2728="",E2728="!!!",F2728="NEW"),"",COUNTBLANK(OFFSET(A$1,,,SUMPRODUCT(MAX(ROW(E$2:E2728)*(E2728=E$2:E2728)))))-COUNTBLANK(OFFSET(A$1,,,SUMPRODUCT(MAX(ROW(E$1:E2727)*(E2=E$1:E2727))))))</f>
        <v> </v>
      </c>
      <c r="K2728" s="26" t="str">
        <f>IF(OR(E2728="",E2728="!!!",F2728="NEW"),"",INDEX(J$1:J2727,SUMPRODUCT(MAX(ROW(E$1:E2727)*(E2728=E$1:E2727)))))</f>
        <v> </v>
      </c>
      <c r="L2728" s="27"/>
    </row>
    <row r="2729" spans="1:12">
      <c r="A2729" s="20" t="s">
        <v>834</v>
      </c>
      <c r="B2729" s="21" t="s">
        <v>728</v>
      </c>
      <c r="C2729" s="21" t="s">
        <v>729</v>
      </c>
      <c r="D2729" s="21" t="s">
        <v>730</v>
      </c>
      <c r="E2729" s="22">
        <f>IF(D2729="?OLD","!!!","")</f>
        <v/>
      </c>
      <c r="F2729" s="23" t="str">
        <f>IF(OR(E2729="",E2729="!!!"),"",IF(NOT(ISNA(VLOOKUP(E2729,E$1:E2728,1,FALSE()))),"OLD",IF(AND(E2729&lt;&gt;"",E2729&lt;&gt;"!!!"),"NEW","")))</f>
        <v> </v>
      </c>
      <c r="G2729" s="24" t="str">
        <f>IF(OR(E2729="",E2729="!!!"),"",IF(OR(J2729=0,AND(J2729=1,K2729=1),AND(J2729=1,I2729="SBJ"),AND(J2729=1,I2729=0)),"?IN_FOCUS",IF(J2729&lt;=2,"?ACTIVATED",IF(J2729&lt;&gt;"","?FAMILIAR",IF(F2729="NEW",IF(ISNA(VLOOKUP(E2729,#REF!,1,FALSE())),"?TYPE_IDENTIFIABLE","?REFERENTIAL"),"_")))))</f>
        <v> </v>
      </c>
      <c r="H2729" s="25" t="str">
        <f>IF(J2729&lt;&gt;1,"",IF(I2729="SBJ","CB","?"))</f>
        <v> </v>
      </c>
      <c r="I2729" s="26" t="str">
        <f>IF(OR(E2729="",E2729="!!!",F2729="NEW"),"",INDEX(B2728:B$2,-1+SUMPRODUCT(MAX(ROW(E2728:E$2)*(E2729=E2728:E$2)))))</f>
        <v> </v>
      </c>
      <c r="J2729" s="26" t="str">
        <f>IF(OR(E2729="",E2729="!!!",F2729="NEW"),"",COUNTBLANK(OFFSET(A$1,,,SUMPRODUCT(MAX(ROW(E$2:E2729)*(E2729=E$2:E2729)))))-COUNTBLANK(OFFSET(A$1,,,SUMPRODUCT(MAX(ROW(E$1:E2728)*(E2=E$1:E2728))))))</f>
        <v> </v>
      </c>
      <c r="K2729" s="26" t="str">
        <f>IF(OR(E2729="",E2729="!!!",F2729="NEW"),"",INDEX(J$1:J2728,SUMPRODUCT(MAX(ROW(E$1:E2728)*(E2729=E$1:E2728)))))</f>
        <v> </v>
      </c>
      <c r="L2729" s="27"/>
    </row>
    <row r="2730" spans="1:12">
      <c r="A2730" s="20" t="s">
        <v>1742</v>
      </c>
      <c r="E2730" s="22">
        <f>IF(D2730="?OLD","!!!","")</f>
        <v/>
      </c>
      <c r="F2730" s="23" t="str">
        <f>IF(OR(E2730="",E2730="!!!"),"",IF(NOT(ISNA(VLOOKUP(E2730,E$1:E2729,1,FALSE()))),"OLD",IF(AND(E2730&lt;&gt;"",E2730&lt;&gt;"!!!"),"NEW","")))</f>
        <v> </v>
      </c>
      <c r="G2730" s="24" t="str">
        <f>IF(OR(E2730="",E2730="!!!"),"",IF(OR(J2730=0,AND(J2730=1,K2730=1),AND(J2730=1,I2730="SBJ"),AND(J2730=1,I2730=0)),"?IN_FOCUS",IF(J2730&lt;=2,"?ACTIVATED",IF(J2730&lt;&gt;"","?FAMILIAR",IF(F2730="NEW",IF(ISNA(VLOOKUP(E2730,#REF!,1,FALSE())),"?TYPE_IDENTIFIABLE","?REFERENTIAL"),"_")))))</f>
        <v> </v>
      </c>
      <c r="H2730" s="25" t="str">
        <f>IF(J2730&lt;&gt;1,"",IF(I2730="SBJ","CB","?"))</f>
        <v> </v>
      </c>
      <c r="I2730" s="26" t="str">
        <f>IF(OR(E2730="",E2730="!!!",F2730="NEW"),"",INDEX(B2729:B$2,-1+SUMPRODUCT(MAX(ROW(E2729:E$2)*(E2730=E2729:E$2)))))</f>
        <v> </v>
      </c>
      <c r="J2730" s="26" t="str">
        <f>IF(OR(E2730="",E2730="!!!",F2730="NEW"),"",COUNTBLANK(OFFSET(A$1,,,SUMPRODUCT(MAX(ROW(E$2:E2730)*(E2730=E$2:E2730)))))-COUNTBLANK(OFFSET(A$1,,,SUMPRODUCT(MAX(ROW(E$1:E2729)*(E2=E$1:E2729))))))</f>
        <v> </v>
      </c>
      <c r="K2730" s="26" t="str">
        <f>IF(OR(E2730="",E2730="!!!",F2730="NEW"),"",INDEX(J$1:J2729,SUMPRODUCT(MAX(ROW(E$1:E2729)*(E2730=E$1:E2729)))))</f>
        <v> </v>
      </c>
      <c r="L2730" s="27"/>
    </row>
    <row r="2731" spans="1:12">
      <c r="A2731" s="20" t="s">
        <v>759</v>
      </c>
      <c r="E2731" s="22">
        <f>IF(D2731="?OLD","!!!","")</f>
        <v/>
      </c>
      <c r="F2731" s="23" t="str">
        <f>IF(OR(E2731="",E2731="!!!"),"",IF(NOT(ISNA(VLOOKUP(E2731,E$1:E2730,1,FALSE()))),"OLD",IF(AND(E2731&lt;&gt;"",E2731&lt;&gt;"!!!"),"NEW","")))</f>
        <v> </v>
      </c>
      <c r="G2731" s="24" t="str">
        <f>IF(OR(E2731="",E2731="!!!"),"",IF(OR(J2731=0,AND(J2731=1,K2731=1),AND(J2731=1,I2731="SBJ"),AND(J2731=1,I2731=0)),"?IN_FOCUS",IF(J2731&lt;=2,"?ACTIVATED",IF(J2731&lt;&gt;"","?FAMILIAR",IF(F2731="NEW",IF(ISNA(VLOOKUP(E2731,#REF!,1,FALSE())),"?TYPE_IDENTIFIABLE","?REFERENTIAL"),"_")))))</f>
        <v> </v>
      </c>
      <c r="H2731" s="25" t="str">
        <f>IF(J2731&lt;&gt;1,"",IF(I2731="SBJ","CB","?"))</f>
        <v> </v>
      </c>
      <c r="I2731" s="26" t="str">
        <f>IF(OR(E2731="",E2731="!!!",F2731="NEW"),"",INDEX(B2730:B$2,-1+SUMPRODUCT(MAX(ROW(E2730:E$2)*(E2731=E2730:E$2)))))</f>
        <v> </v>
      </c>
      <c r="J2731" s="26" t="str">
        <f>IF(OR(E2731="",E2731="!!!",F2731="NEW"),"",COUNTBLANK(OFFSET(A$1,,,SUMPRODUCT(MAX(ROW(E$2:E2731)*(E2731=E$2:E2731)))))-COUNTBLANK(OFFSET(A$1,,,SUMPRODUCT(MAX(ROW(E$1:E2730)*(E2=E$1:E2730))))))</f>
        <v> </v>
      </c>
      <c r="K2731" s="26" t="str">
        <f>IF(OR(E2731="",E2731="!!!",F2731="NEW"),"",INDEX(J$1:J2730,SUMPRODUCT(MAX(ROW(E$1:E2730)*(E2731=E$1:E2730)))))</f>
        <v> </v>
      </c>
      <c r="L2731" s="27"/>
    </row>
    <row r="2732" spans="1:12">
      <c r="A2732" s="20" t="s">
        <v>922</v>
      </c>
      <c r="E2732" s="22">
        <f>IF(D2732="?OLD","!!!","")</f>
        <v/>
      </c>
      <c r="F2732" s="23" t="str">
        <f>IF(OR(E2732="",E2732="!!!"),"",IF(NOT(ISNA(VLOOKUP(E2732,E$1:E2731,1,FALSE()))),"OLD",IF(AND(E2732&lt;&gt;"",E2732&lt;&gt;"!!!"),"NEW","")))</f>
        <v> </v>
      </c>
      <c r="G2732" s="24" t="str">
        <f>IF(OR(E2732="",E2732="!!!"),"",IF(OR(J2732=0,AND(J2732=1,K2732=1),AND(J2732=1,I2732="SBJ"),AND(J2732=1,I2732=0)),"?IN_FOCUS",IF(J2732&lt;=2,"?ACTIVATED",IF(J2732&lt;&gt;"","?FAMILIAR",IF(F2732="NEW",IF(ISNA(VLOOKUP(E2732,#REF!,1,FALSE())),"?TYPE_IDENTIFIABLE","?REFERENTIAL"),"_")))))</f>
        <v> </v>
      </c>
      <c r="H2732" s="25" t="str">
        <f>IF(J2732&lt;&gt;1,"",IF(I2732="SBJ","CB","?"))</f>
        <v> </v>
      </c>
      <c r="I2732" s="26" t="str">
        <f>IF(OR(E2732="",E2732="!!!",F2732="NEW"),"",INDEX(B2731:B$2,-1+SUMPRODUCT(MAX(ROW(E2731:E$2)*(E2732=E2731:E$2)))))</f>
        <v> </v>
      </c>
      <c r="J2732" s="26" t="str">
        <f>IF(OR(E2732="",E2732="!!!",F2732="NEW"),"",COUNTBLANK(OFFSET(A$1,,,SUMPRODUCT(MAX(ROW(E$2:E2732)*(E2732=E$2:E2732)))))-COUNTBLANK(OFFSET(A$1,,,SUMPRODUCT(MAX(ROW(E$1:E2731)*(E2=E$1:E2731))))))</f>
        <v> </v>
      </c>
      <c r="K2732" s="26" t="str">
        <f>IF(OR(E2732="",E2732="!!!",F2732="NEW"),"",INDEX(J$1:J2731,SUMPRODUCT(MAX(ROW(E$1:E2731)*(E2732=E$1:E2731)))))</f>
        <v> </v>
      </c>
      <c r="L2732" s="27"/>
    </row>
    <row r="2733" spans="1:12">
      <c r="A2733" s="20" t="s">
        <v>1743</v>
      </c>
      <c r="B2733" s="21" t="s">
        <v>796</v>
      </c>
      <c r="C2733" s="21" t="s">
        <v>737</v>
      </c>
      <c r="E2733" s="22">
        <f>IF(D2733="?OLD","!!!","")</f>
        <v/>
      </c>
      <c r="F2733" s="23" t="str">
        <f>IF(OR(E2733="",E2733="!!!"),"",IF(NOT(ISNA(VLOOKUP(E2733,E$1:E2732,1,FALSE()))),"OLD",IF(AND(E2733&lt;&gt;"",E2733&lt;&gt;"!!!"),"NEW","")))</f>
        <v> </v>
      </c>
      <c r="G2733" s="24" t="str">
        <f>IF(OR(E2733="",E2733="!!!"),"",IF(OR(J2733=0,AND(J2733=1,K2733=1),AND(J2733=1,I2733="SBJ"),AND(J2733=1,I2733=0)),"?IN_FOCUS",IF(J2733&lt;=2,"?ACTIVATED",IF(J2733&lt;&gt;"","?FAMILIAR",IF(F2733="NEW",IF(ISNA(VLOOKUP(E2733,#REF!,1,FALSE())),"?TYPE_IDENTIFIABLE","?REFERENTIAL"),"_")))))</f>
        <v> </v>
      </c>
      <c r="H2733" s="25" t="str">
        <f>IF(J2733&lt;&gt;1,"",IF(I2733="SBJ","CB","?"))</f>
        <v> </v>
      </c>
      <c r="I2733" s="26" t="str">
        <f>IF(OR(E2733="",E2733="!!!",F2733="NEW"),"",INDEX(B2732:B$2,-1+SUMPRODUCT(MAX(ROW(E2732:E$2)*(E2733=E2732:E$2)))))</f>
        <v> </v>
      </c>
      <c r="J2733" s="26" t="str">
        <f>IF(OR(E2733="",E2733="!!!",F2733="NEW"),"",COUNTBLANK(OFFSET(A$1,,,SUMPRODUCT(MAX(ROW(E$2:E2733)*(E2733=E$2:E2733)))))-COUNTBLANK(OFFSET(A$1,,,SUMPRODUCT(MAX(ROW(E$1:E2732)*(E2=E$1:E2732))))))</f>
        <v> </v>
      </c>
      <c r="K2733" s="26" t="str">
        <f>IF(OR(E2733="",E2733="!!!",F2733="NEW"),"",INDEX(J$1:J2732,SUMPRODUCT(MAX(ROW(E$1:E2732)*(E2733=E$1:E2732)))))</f>
        <v> </v>
      </c>
      <c r="L2733" s="27"/>
    </row>
    <row r="2734" spans="1:12">
      <c r="A2734" s="20" t="s">
        <v>1226</v>
      </c>
      <c r="E2734" s="22">
        <f>IF(D2734="?OLD","!!!","")</f>
        <v/>
      </c>
      <c r="F2734" s="23" t="str">
        <f>IF(OR(E2734="",E2734="!!!"),"",IF(NOT(ISNA(VLOOKUP(E2734,E$1:E2733,1,FALSE()))),"OLD",IF(AND(E2734&lt;&gt;"",E2734&lt;&gt;"!!!"),"NEW","")))</f>
        <v> </v>
      </c>
      <c r="G2734" s="24" t="str">
        <f>IF(OR(E2734="",E2734="!!!"),"",IF(OR(J2734=0,AND(J2734=1,K2734=1),AND(J2734=1,I2734="SBJ"),AND(J2734=1,I2734=0)),"?IN_FOCUS",IF(J2734&lt;=2,"?ACTIVATED",IF(J2734&lt;&gt;"","?FAMILIAR",IF(F2734="NEW",IF(ISNA(VLOOKUP(E2734,#REF!,1,FALSE())),"?TYPE_IDENTIFIABLE","?REFERENTIAL"),"_")))))</f>
        <v> </v>
      </c>
      <c r="H2734" s="25" t="str">
        <f>IF(J2734&lt;&gt;1,"",IF(I2734="SBJ","CB","?"))</f>
        <v> </v>
      </c>
      <c r="I2734" s="26" t="str">
        <f>IF(OR(E2734="",E2734="!!!",F2734="NEW"),"",INDEX(B2733:B$2,-1+SUMPRODUCT(MAX(ROW(E2733:E$2)*(E2734=E2733:E$2)))))</f>
        <v> </v>
      </c>
      <c r="J2734" s="26" t="str">
        <f>IF(OR(E2734="",E2734="!!!",F2734="NEW"),"",COUNTBLANK(OFFSET(A$1,,,SUMPRODUCT(MAX(ROW(E$2:E2734)*(E2734=E$2:E2734)))))-COUNTBLANK(OFFSET(A$1,,,SUMPRODUCT(MAX(ROW(E$1:E2733)*(E2=E$1:E2733))))))</f>
        <v> </v>
      </c>
      <c r="K2734" s="26" t="str">
        <f>IF(OR(E2734="",E2734="!!!",F2734="NEW"),"",INDEX(J$1:J2733,SUMPRODUCT(MAX(ROW(E$1:E2733)*(E2734=E$1:E2733)))))</f>
        <v> </v>
      </c>
      <c r="L2734" s="27"/>
    </row>
    <row r="2735" spans="1:12">
      <c r="A2735" s="20" t="s">
        <v>805</v>
      </c>
      <c r="E2735" s="22">
        <f>IF(D2735="?OLD","!!!","")</f>
        <v/>
      </c>
      <c r="F2735" s="23" t="str">
        <f>IF(OR(E2735="",E2735="!!!"),"",IF(NOT(ISNA(VLOOKUP(E2735,E$1:E2734,1,FALSE()))),"OLD",IF(AND(E2735&lt;&gt;"",E2735&lt;&gt;"!!!"),"NEW","")))</f>
        <v> </v>
      </c>
      <c r="G2735" s="24" t="str">
        <f>IF(OR(E2735="",E2735="!!!"),"",IF(OR(J2735=0,AND(J2735=1,K2735=1),AND(J2735=1,I2735="SBJ"),AND(J2735=1,I2735=0)),"?IN_FOCUS",IF(J2735&lt;=2,"?ACTIVATED",IF(J2735&lt;&gt;"","?FAMILIAR",IF(F2735="NEW",IF(ISNA(VLOOKUP(E2735,#REF!,1,FALSE())),"?TYPE_IDENTIFIABLE","?REFERENTIAL"),"_")))))</f>
        <v> </v>
      </c>
      <c r="H2735" s="25" t="str">
        <f>IF(J2735&lt;&gt;1,"",IF(I2735="SBJ","CB","?"))</f>
        <v> </v>
      </c>
      <c r="I2735" s="26" t="str">
        <f>IF(OR(E2735="",E2735="!!!",F2735="NEW"),"",INDEX(B2734:B$2,-1+SUMPRODUCT(MAX(ROW(E2734:E$2)*(E2735=E2734:E$2)))))</f>
        <v> </v>
      </c>
      <c r="J2735" s="26" t="str">
        <f>IF(OR(E2735="",E2735="!!!",F2735="NEW"),"",COUNTBLANK(OFFSET(A$1,,,SUMPRODUCT(MAX(ROW(E$2:E2735)*(E2735=E$2:E2735)))))-COUNTBLANK(OFFSET(A$1,,,SUMPRODUCT(MAX(ROW(E$1:E2734)*(E2=E$1:E2734))))))</f>
        <v> </v>
      </c>
      <c r="K2735" s="26" t="str">
        <f>IF(OR(E2735="",E2735="!!!",F2735="NEW"),"",INDEX(J$1:J2734,SUMPRODUCT(MAX(ROW(E$1:E2734)*(E2735=E$1:E2734)))))</f>
        <v> </v>
      </c>
      <c r="L2735" s="27"/>
    </row>
    <row r="2736" spans="1:12">
      <c r="A2736" s="20" t="s">
        <v>1744</v>
      </c>
      <c r="E2736" s="22">
        <f>IF(D2736="?OLD","!!!","")</f>
        <v/>
      </c>
      <c r="F2736" s="23" t="str">
        <f>IF(OR(E2736="",E2736="!!!"),"",IF(NOT(ISNA(VLOOKUP(E2736,E$1:E2735,1,FALSE()))),"OLD",IF(AND(E2736&lt;&gt;"",E2736&lt;&gt;"!!!"),"NEW","")))</f>
        <v> </v>
      </c>
      <c r="G2736" s="24" t="str">
        <f>IF(OR(E2736="",E2736="!!!"),"",IF(OR(J2736=0,AND(J2736=1,K2736=1),AND(J2736=1,I2736="SBJ"),AND(J2736=1,I2736=0)),"?IN_FOCUS",IF(J2736&lt;=2,"?ACTIVATED",IF(J2736&lt;&gt;"","?FAMILIAR",IF(F2736="NEW",IF(ISNA(VLOOKUP(E2736,#REF!,1,FALSE())),"?TYPE_IDENTIFIABLE","?REFERENTIAL"),"_")))))</f>
        <v> </v>
      </c>
      <c r="H2736" s="25" t="str">
        <f>IF(J2736&lt;&gt;1,"",IF(I2736="SBJ","CB","?"))</f>
        <v> </v>
      </c>
      <c r="I2736" s="26" t="str">
        <f>IF(OR(E2736="",E2736="!!!",F2736="NEW"),"",INDEX(B2735:B$2,-1+SUMPRODUCT(MAX(ROW(E2735:E$2)*(E2736=E2735:E$2)))))</f>
        <v> </v>
      </c>
      <c r="J2736" s="26" t="str">
        <f>IF(OR(E2736="",E2736="!!!",F2736="NEW"),"",COUNTBLANK(OFFSET(A$1,,,SUMPRODUCT(MAX(ROW(E$2:E2736)*(E2736=E$2:E2736)))))-COUNTBLANK(OFFSET(A$1,,,SUMPRODUCT(MAX(ROW(E$1:E2735)*(E2=E$1:E2735))))))</f>
        <v> </v>
      </c>
      <c r="K2736" s="26" t="str">
        <f>IF(OR(E2736="",E2736="!!!",F2736="NEW"),"",INDEX(J$1:J2735,SUMPRODUCT(MAX(ROW(E$1:E2735)*(E2736=E$1:E2735)))))</f>
        <v> </v>
      </c>
      <c r="L2736" s="27"/>
    </row>
    <row r="2737" spans="1:12">
      <c r="A2737" s="20" t="s">
        <v>881</v>
      </c>
      <c r="E2737" s="22">
        <f>IF(D2737="?OLD","!!!","")</f>
        <v/>
      </c>
      <c r="F2737" s="23" t="str">
        <f>IF(OR(E2737="",E2737="!!!"),"",IF(NOT(ISNA(VLOOKUP(E2737,E$1:E2736,1,FALSE()))),"OLD",IF(AND(E2737&lt;&gt;"",E2737&lt;&gt;"!!!"),"NEW","")))</f>
        <v> </v>
      </c>
      <c r="G2737" s="24" t="str">
        <f>IF(OR(E2737="",E2737="!!!"),"",IF(OR(J2737=0,AND(J2737=1,K2737=1),AND(J2737=1,I2737="SBJ"),AND(J2737=1,I2737=0)),"?IN_FOCUS",IF(J2737&lt;=2,"?ACTIVATED",IF(J2737&lt;&gt;"","?FAMILIAR",IF(F2737="NEW",IF(ISNA(VLOOKUP(E2737,#REF!,1,FALSE())),"?TYPE_IDENTIFIABLE","?REFERENTIAL"),"_")))))</f>
        <v> </v>
      </c>
      <c r="H2737" s="25" t="str">
        <f>IF(J2737&lt;&gt;1,"",IF(I2737="SBJ","CB","?"))</f>
        <v> </v>
      </c>
      <c r="I2737" s="26" t="str">
        <f>IF(OR(E2737="",E2737="!!!",F2737="NEW"),"",INDEX(B2736:B$2,-1+SUMPRODUCT(MAX(ROW(E2736:E$2)*(E2737=E2736:E$2)))))</f>
        <v> </v>
      </c>
      <c r="J2737" s="26" t="str">
        <f>IF(OR(E2737="",E2737="!!!",F2737="NEW"),"",COUNTBLANK(OFFSET(A$1,,,SUMPRODUCT(MAX(ROW(E$2:E2737)*(E2737=E$2:E2737)))))-COUNTBLANK(OFFSET(A$1,,,SUMPRODUCT(MAX(ROW(E$1:E2736)*(E2=E$1:E2736))))))</f>
        <v> </v>
      </c>
      <c r="K2737" s="26" t="str">
        <f>IF(OR(E2737="",E2737="!!!",F2737="NEW"),"",INDEX(J$1:J2736,SUMPRODUCT(MAX(ROW(E$1:E2736)*(E2737=E$1:E2736)))))</f>
        <v> </v>
      </c>
      <c r="L2737" s="27"/>
    </row>
    <row r="2738" spans="1:12">
      <c r="A2738" s="20" t="s">
        <v>759</v>
      </c>
      <c r="E2738" s="22">
        <f>IF(D2738="?OLD","!!!","")</f>
        <v/>
      </c>
      <c r="F2738" s="23" t="str">
        <f>IF(OR(E2738="",E2738="!!!"),"",IF(NOT(ISNA(VLOOKUP(E2738,E$1:E2737,1,FALSE()))),"OLD",IF(AND(E2738&lt;&gt;"",E2738&lt;&gt;"!!!"),"NEW","")))</f>
        <v> </v>
      </c>
      <c r="G2738" s="24" t="str">
        <f>IF(OR(E2738="",E2738="!!!"),"",IF(OR(J2738=0,AND(J2738=1,K2738=1),AND(J2738=1,I2738="SBJ"),AND(J2738=1,I2738=0)),"?IN_FOCUS",IF(J2738&lt;=2,"?ACTIVATED",IF(J2738&lt;&gt;"","?FAMILIAR",IF(F2738="NEW",IF(ISNA(VLOOKUP(E2738,#REF!,1,FALSE())),"?TYPE_IDENTIFIABLE","?REFERENTIAL"),"_")))))</f>
        <v> </v>
      </c>
      <c r="H2738" s="25" t="str">
        <f>IF(J2738&lt;&gt;1,"",IF(I2738="SBJ","CB","?"))</f>
        <v> </v>
      </c>
      <c r="I2738" s="26" t="str">
        <f>IF(OR(E2738="",E2738="!!!",F2738="NEW"),"",INDEX(B2737:B$2,-1+SUMPRODUCT(MAX(ROW(E2737:E$2)*(E2738=E2737:E$2)))))</f>
        <v> </v>
      </c>
      <c r="J2738" s="26" t="str">
        <f>IF(OR(E2738="",E2738="!!!",F2738="NEW"),"",COUNTBLANK(OFFSET(A$1,,,SUMPRODUCT(MAX(ROW(E$2:E2738)*(E2738=E$2:E2738)))))-COUNTBLANK(OFFSET(A$1,,,SUMPRODUCT(MAX(ROW(E$1:E2737)*(E2=E$1:E2737))))))</f>
        <v> </v>
      </c>
      <c r="K2738" s="26" t="str">
        <f>IF(OR(E2738="",E2738="!!!",F2738="NEW"),"",INDEX(J$1:J2737,SUMPRODUCT(MAX(ROW(E$1:E2737)*(E2738=E$1:E2737)))))</f>
        <v> </v>
      </c>
      <c r="L2738" s="27"/>
    </row>
    <row r="2739" spans="1:12">
      <c r="A2739" s="20" t="s">
        <v>922</v>
      </c>
      <c r="E2739" s="22">
        <f>IF(D2739="?OLD","!!!","")</f>
        <v/>
      </c>
      <c r="F2739" s="23" t="str">
        <f>IF(OR(E2739="",E2739="!!!"),"",IF(NOT(ISNA(VLOOKUP(E2739,E$1:E2738,1,FALSE()))),"OLD",IF(AND(E2739&lt;&gt;"",E2739&lt;&gt;"!!!"),"NEW","")))</f>
        <v> </v>
      </c>
      <c r="G2739" s="24" t="str">
        <f>IF(OR(E2739="",E2739="!!!"),"",IF(OR(J2739=0,AND(J2739=1,K2739=1),AND(J2739=1,I2739="SBJ"),AND(J2739=1,I2739=0)),"?IN_FOCUS",IF(J2739&lt;=2,"?ACTIVATED",IF(J2739&lt;&gt;"","?FAMILIAR",IF(F2739="NEW",IF(ISNA(VLOOKUP(E2739,#REF!,1,FALSE())),"?TYPE_IDENTIFIABLE","?REFERENTIAL"),"_")))))</f>
        <v> </v>
      </c>
      <c r="H2739" s="25" t="str">
        <f>IF(J2739&lt;&gt;1,"",IF(I2739="SBJ","CB","?"))</f>
        <v> </v>
      </c>
      <c r="I2739" s="26" t="str">
        <f>IF(OR(E2739="",E2739="!!!",F2739="NEW"),"",INDEX(B2738:B$2,-1+SUMPRODUCT(MAX(ROW(E2738:E$2)*(E2739=E2738:E$2)))))</f>
        <v> </v>
      </c>
      <c r="J2739" s="26" t="str">
        <f>IF(OR(E2739="",E2739="!!!",F2739="NEW"),"",COUNTBLANK(OFFSET(A$1,,,SUMPRODUCT(MAX(ROW(E$2:E2739)*(E2739=E$2:E2739)))))-COUNTBLANK(OFFSET(A$1,,,SUMPRODUCT(MAX(ROW(E$1:E2738)*(E2=E$1:E2738))))))</f>
        <v> </v>
      </c>
      <c r="K2739" s="26" t="str">
        <f>IF(OR(E2739="",E2739="!!!",F2739="NEW"),"",INDEX(J$1:J2738,SUMPRODUCT(MAX(ROW(E$1:E2738)*(E2739=E$1:E2738)))))</f>
        <v> </v>
      </c>
      <c r="L2739" s="27"/>
    </row>
    <row r="2740" spans="1:12">
      <c r="A2740" s="20" t="s">
        <v>1745</v>
      </c>
      <c r="B2740" s="21" t="s">
        <v>796</v>
      </c>
      <c r="C2740" s="21" t="s">
        <v>737</v>
      </c>
      <c r="E2740" s="22">
        <f>IF(D2740="?OLD","!!!","")</f>
        <v/>
      </c>
      <c r="F2740" s="23" t="str">
        <f>IF(OR(E2740="",E2740="!!!"),"",IF(NOT(ISNA(VLOOKUP(E2740,E$1:E2739,1,FALSE()))),"OLD",IF(AND(E2740&lt;&gt;"",E2740&lt;&gt;"!!!"),"NEW","")))</f>
        <v> </v>
      </c>
      <c r="G2740" s="24" t="str">
        <f>IF(OR(E2740="",E2740="!!!"),"",IF(OR(J2740=0,AND(J2740=1,K2740=1),AND(J2740=1,I2740="SBJ"),AND(J2740=1,I2740=0)),"?IN_FOCUS",IF(J2740&lt;=2,"?ACTIVATED",IF(J2740&lt;&gt;"","?FAMILIAR",IF(F2740="NEW",IF(ISNA(VLOOKUP(E2740,#REF!,1,FALSE())),"?TYPE_IDENTIFIABLE","?REFERENTIAL"),"_")))))</f>
        <v> </v>
      </c>
      <c r="H2740" s="25" t="str">
        <f>IF(J2740&lt;&gt;1,"",IF(I2740="SBJ","CB","?"))</f>
        <v> </v>
      </c>
      <c r="I2740" s="26" t="str">
        <f>IF(OR(E2740="",E2740="!!!",F2740="NEW"),"",INDEX(B2739:B$2,-1+SUMPRODUCT(MAX(ROW(E2739:E$2)*(E2740=E2739:E$2)))))</f>
        <v> </v>
      </c>
      <c r="J2740" s="26" t="str">
        <f>IF(OR(E2740="",E2740="!!!",F2740="NEW"),"",COUNTBLANK(OFFSET(A$1,,,SUMPRODUCT(MAX(ROW(E$2:E2740)*(E2740=E$2:E2740)))))-COUNTBLANK(OFFSET(A$1,,,SUMPRODUCT(MAX(ROW(E$1:E2739)*(E2=E$1:E2739))))))</f>
        <v> </v>
      </c>
      <c r="K2740" s="26" t="str">
        <f>IF(OR(E2740="",E2740="!!!",F2740="NEW"),"",INDEX(J$1:J2739,SUMPRODUCT(MAX(ROW(E$1:E2739)*(E2740=E$1:E2739)))))</f>
        <v> </v>
      </c>
      <c r="L2740" s="27"/>
    </row>
    <row r="2741" spans="1:12">
      <c r="A2741" s="20" t="s">
        <v>106</v>
      </c>
      <c r="E2741" s="22">
        <f>IF(D2741="?OLD","!!!","")</f>
        <v/>
      </c>
      <c r="F2741" s="23" t="str">
        <f>IF(OR(E2741="",E2741="!!!"),"",IF(NOT(ISNA(VLOOKUP(E2741,E$1:E2740,1,FALSE()))),"OLD",IF(AND(E2741&lt;&gt;"",E2741&lt;&gt;"!!!"),"NEW","")))</f>
        <v> </v>
      </c>
      <c r="G2741" s="24" t="str">
        <f>IF(OR(E2741="",E2741="!!!"),"",IF(OR(J2741=0,AND(J2741=1,K2741=1),AND(J2741=1,I2741="SBJ"),AND(J2741=1,I2741=0)),"?IN_FOCUS",IF(J2741&lt;=2,"?ACTIVATED",IF(J2741&lt;&gt;"","?FAMILIAR",IF(F2741="NEW",IF(ISNA(VLOOKUP(E2741,#REF!,1,FALSE())),"?TYPE_IDENTIFIABLE","?REFERENTIAL"),"_")))))</f>
        <v> </v>
      </c>
      <c r="H2741" s="25" t="str">
        <f>IF(J2741&lt;&gt;1,"",IF(I2741="SBJ","CB","?"))</f>
        <v> </v>
      </c>
      <c r="I2741" s="26" t="str">
        <f>IF(OR(E2741="",E2741="!!!",F2741="NEW"),"",INDEX(B2740:B$2,-1+SUMPRODUCT(MAX(ROW(E2740:E$2)*(E2741=E2740:E$2)))))</f>
        <v> </v>
      </c>
      <c r="J2741" s="26" t="str">
        <f>IF(OR(E2741="",E2741="!!!",F2741="NEW"),"",COUNTBLANK(OFFSET(A$1,,,SUMPRODUCT(MAX(ROW(E$2:E2741)*(E2741=E$2:E2741)))))-COUNTBLANK(OFFSET(A$1,,,SUMPRODUCT(MAX(ROW(E$1:E2740)*(E2=E$1:E2740))))))</f>
        <v> </v>
      </c>
      <c r="K2741" s="26" t="str">
        <f>IF(OR(E2741="",E2741="!!!",F2741="NEW"),"",INDEX(J$1:J2740,SUMPRODUCT(MAX(ROW(E$1:E2740)*(E2741=E$1:E2740)))))</f>
        <v> </v>
      </c>
      <c r="L2741" s="27"/>
    </row>
    <row r="2742" spans="1:12">
      <c r="A2742" s="20" t="s">
        <v>952</v>
      </c>
      <c r="E2742" s="22">
        <f>IF(D2742="?OLD","!!!","")</f>
        <v/>
      </c>
      <c r="F2742" s="23" t="str">
        <f>IF(OR(E2742="",E2742="!!!"),"",IF(NOT(ISNA(VLOOKUP(E2742,E$1:E2741,1,FALSE()))),"OLD",IF(AND(E2742&lt;&gt;"",E2742&lt;&gt;"!!!"),"NEW","")))</f>
        <v> </v>
      </c>
      <c r="G2742" s="24" t="str">
        <f>IF(OR(E2742="",E2742="!!!"),"",IF(OR(J2742=0,AND(J2742=1,K2742=1),AND(J2742=1,I2742="SBJ"),AND(J2742=1,I2742=0)),"?IN_FOCUS",IF(J2742&lt;=2,"?ACTIVATED",IF(J2742&lt;&gt;"","?FAMILIAR",IF(F2742="NEW",IF(ISNA(VLOOKUP(E2742,#REF!,1,FALSE())),"?TYPE_IDENTIFIABLE","?REFERENTIAL"),"_")))))</f>
        <v> </v>
      </c>
      <c r="H2742" s="25" t="str">
        <f>IF(J2742&lt;&gt;1,"",IF(I2742="SBJ","CB","?"))</f>
        <v> </v>
      </c>
      <c r="I2742" s="26" t="str">
        <f>IF(OR(E2742="",E2742="!!!",F2742="NEW"),"",INDEX(B2741:B$2,-1+SUMPRODUCT(MAX(ROW(E2741:E$2)*(E2742=E2741:E$2)))))</f>
        <v> </v>
      </c>
      <c r="J2742" s="26" t="str">
        <f>IF(OR(E2742="",E2742="!!!",F2742="NEW"),"",COUNTBLANK(OFFSET(A$1,,,SUMPRODUCT(MAX(ROW(E$2:E2742)*(E2742=E$2:E2742)))))-COUNTBLANK(OFFSET(A$1,,,SUMPRODUCT(MAX(ROW(E$1:E2741)*(E2=E$1:E2741))))))</f>
        <v> </v>
      </c>
      <c r="K2742" s="26" t="str">
        <f>IF(OR(E2742="",E2742="!!!",F2742="NEW"),"",INDEX(J$1:J2741,SUMPRODUCT(MAX(ROW(E$1:E2741)*(E2742=E$1:E2741)))))</f>
        <v> </v>
      </c>
      <c r="L2742" s="27"/>
    </row>
    <row r="2743" spans="1:12">
      <c r="A2743" s="20" t="s">
        <v>922</v>
      </c>
      <c r="E2743" s="22">
        <f>IF(D2743="?OLD","!!!","")</f>
        <v/>
      </c>
      <c r="F2743" s="23" t="str">
        <f>IF(OR(E2743="",E2743="!!!"),"",IF(NOT(ISNA(VLOOKUP(E2743,E$1:E2742,1,FALSE()))),"OLD",IF(AND(E2743&lt;&gt;"",E2743&lt;&gt;"!!!"),"NEW","")))</f>
        <v> </v>
      </c>
      <c r="G2743" s="24" t="str">
        <f>IF(OR(E2743="",E2743="!!!"),"",IF(OR(J2743=0,AND(J2743=1,K2743=1),AND(J2743=1,I2743="SBJ"),AND(J2743=1,I2743=0)),"?IN_FOCUS",IF(J2743&lt;=2,"?ACTIVATED",IF(J2743&lt;&gt;"","?FAMILIAR",IF(F2743="NEW",IF(ISNA(VLOOKUP(E2743,#REF!,1,FALSE())),"?TYPE_IDENTIFIABLE","?REFERENTIAL"),"_")))))</f>
        <v> </v>
      </c>
      <c r="H2743" s="25" t="str">
        <f>IF(J2743&lt;&gt;1,"",IF(I2743="SBJ","CB","?"))</f>
        <v> </v>
      </c>
      <c r="I2743" s="26" t="str">
        <f>IF(OR(E2743="",E2743="!!!",F2743="NEW"),"",INDEX(B2742:B$2,-1+SUMPRODUCT(MAX(ROW(E2742:E$2)*(E2743=E2742:E$2)))))</f>
        <v> </v>
      </c>
      <c r="J2743" s="26" t="str">
        <f>IF(OR(E2743="",E2743="!!!",F2743="NEW"),"",COUNTBLANK(OFFSET(A$1,,,SUMPRODUCT(MAX(ROW(E$2:E2743)*(E2743=E$2:E2743)))))-COUNTBLANK(OFFSET(A$1,,,SUMPRODUCT(MAX(ROW(E$1:E2742)*(E2=E$1:E2742))))))</f>
        <v> </v>
      </c>
      <c r="K2743" s="26" t="str">
        <f>IF(OR(E2743="",E2743="!!!",F2743="NEW"),"",INDEX(J$1:J2742,SUMPRODUCT(MAX(ROW(E$1:E2742)*(E2743=E$1:E2742)))))</f>
        <v> </v>
      </c>
      <c r="L2743" s="27"/>
    </row>
    <row r="2744" spans="1:12">
      <c r="A2744" s="20" t="s">
        <v>1746</v>
      </c>
      <c r="B2744" s="21" t="s">
        <v>736</v>
      </c>
      <c r="C2744" s="21" t="s">
        <v>737</v>
      </c>
      <c r="E2744" s="22">
        <f>IF(D2744="?OLD","!!!","")</f>
        <v/>
      </c>
      <c r="F2744" s="23" t="str">
        <f>IF(OR(E2744="",E2744="!!!"),"",IF(NOT(ISNA(VLOOKUP(E2744,E$1:E2743,1,FALSE()))),"OLD",IF(AND(E2744&lt;&gt;"",E2744&lt;&gt;"!!!"),"NEW","")))</f>
        <v> </v>
      </c>
      <c r="G2744" s="24" t="str">
        <f>IF(OR(E2744="",E2744="!!!"),"",IF(OR(J2744=0,AND(J2744=1,K2744=1),AND(J2744=1,I2744="SBJ"),AND(J2744=1,I2744=0)),"?IN_FOCUS",IF(J2744&lt;=2,"?ACTIVATED",IF(J2744&lt;&gt;"","?FAMILIAR",IF(F2744="NEW",IF(ISNA(VLOOKUP(E2744,#REF!,1,FALSE())),"?TYPE_IDENTIFIABLE","?REFERENTIAL"),"_")))))</f>
        <v> </v>
      </c>
      <c r="H2744" s="25" t="str">
        <f>IF(J2744&lt;&gt;1,"",IF(I2744="SBJ","CB","?"))</f>
        <v> </v>
      </c>
      <c r="I2744" s="26" t="str">
        <f>IF(OR(E2744="",E2744="!!!",F2744="NEW"),"",INDEX(B2743:B$2,-1+SUMPRODUCT(MAX(ROW(E2743:E$2)*(E2744=E2743:E$2)))))</f>
        <v> </v>
      </c>
      <c r="J2744" s="26" t="str">
        <f>IF(OR(E2744="",E2744="!!!",F2744="NEW"),"",COUNTBLANK(OFFSET(A$1,,,SUMPRODUCT(MAX(ROW(E$2:E2744)*(E2744=E$2:E2744)))))-COUNTBLANK(OFFSET(A$1,,,SUMPRODUCT(MAX(ROW(E$1:E2743)*(E2=E$1:E2743))))))</f>
        <v> </v>
      </c>
      <c r="K2744" s="26" t="str">
        <f>IF(OR(E2744="",E2744="!!!",F2744="NEW"),"",INDEX(J$1:J2743,SUMPRODUCT(MAX(ROW(E$1:E2743)*(E2744=E$1:E2743)))))</f>
        <v> </v>
      </c>
      <c r="L2744" s="27"/>
    </row>
    <row r="2745" spans="1:12">
      <c r="A2745" s="20" t="s">
        <v>1635</v>
      </c>
      <c r="E2745" s="22">
        <f>IF(D2745="?OLD","!!!","")</f>
        <v/>
      </c>
      <c r="F2745" s="23" t="str">
        <f>IF(OR(E2745="",E2745="!!!"),"",IF(NOT(ISNA(VLOOKUP(E2745,E$1:E2744,1,FALSE()))),"OLD",IF(AND(E2745&lt;&gt;"",E2745&lt;&gt;"!!!"),"NEW","")))</f>
        <v> </v>
      </c>
      <c r="G2745" s="24" t="str">
        <f>IF(OR(E2745="",E2745="!!!"),"",IF(OR(J2745=0,AND(J2745=1,K2745=1),AND(J2745=1,I2745="SBJ"),AND(J2745=1,I2745=0)),"?IN_FOCUS",IF(J2745&lt;=2,"?ACTIVATED",IF(J2745&lt;&gt;"","?FAMILIAR",IF(F2745="NEW",IF(ISNA(VLOOKUP(E2745,#REF!,1,FALSE())),"?TYPE_IDENTIFIABLE","?REFERENTIAL"),"_")))))</f>
        <v> </v>
      </c>
      <c r="H2745" s="25" t="str">
        <f>IF(J2745&lt;&gt;1,"",IF(I2745="SBJ","CB","?"))</f>
        <v> </v>
      </c>
      <c r="I2745" s="26" t="str">
        <f>IF(OR(E2745="",E2745="!!!",F2745="NEW"),"",INDEX(B2744:B$2,-1+SUMPRODUCT(MAX(ROW(E2744:E$2)*(E2745=E2744:E$2)))))</f>
        <v> </v>
      </c>
      <c r="J2745" s="26" t="str">
        <f>IF(OR(E2745="",E2745="!!!",F2745="NEW"),"",COUNTBLANK(OFFSET(A$1,,,SUMPRODUCT(MAX(ROW(E$2:E2745)*(E2745=E$2:E2745)))))-COUNTBLANK(OFFSET(A$1,,,SUMPRODUCT(MAX(ROW(E$1:E2744)*(E2=E$1:E2744))))))</f>
        <v> </v>
      </c>
      <c r="K2745" s="26" t="str">
        <f>IF(OR(E2745="",E2745="!!!",F2745="NEW"),"",INDEX(J$1:J2744,SUMPRODUCT(MAX(ROW(E$1:E2744)*(E2745=E$1:E2744)))))</f>
        <v> </v>
      </c>
      <c r="L2745" s="27"/>
    </row>
    <row r="2746" spans="1:12">
      <c r="A2746" s="20" t="s">
        <v>944</v>
      </c>
      <c r="E2746" s="22">
        <f>IF(D2746="?OLD","!!!","")</f>
        <v/>
      </c>
      <c r="F2746" s="23" t="str">
        <f>IF(OR(E2746="",E2746="!!!"),"",IF(NOT(ISNA(VLOOKUP(E2746,E$1:E2745,1,FALSE()))),"OLD",IF(AND(E2746&lt;&gt;"",E2746&lt;&gt;"!!!"),"NEW","")))</f>
        <v> </v>
      </c>
      <c r="G2746" s="24" t="str">
        <f>IF(OR(E2746="",E2746="!!!"),"",IF(OR(J2746=0,AND(J2746=1,K2746=1),AND(J2746=1,I2746="SBJ"),AND(J2746=1,I2746=0)),"?IN_FOCUS",IF(J2746&lt;=2,"?ACTIVATED",IF(J2746&lt;&gt;"","?FAMILIAR",IF(F2746="NEW",IF(ISNA(VLOOKUP(E2746,#REF!,1,FALSE())),"?TYPE_IDENTIFIABLE","?REFERENTIAL"),"_")))))</f>
        <v> </v>
      </c>
      <c r="H2746" s="25" t="str">
        <f>IF(J2746&lt;&gt;1,"",IF(I2746="SBJ","CB","?"))</f>
        <v> </v>
      </c>
      <c r="I2746" s="26" t="str">
        <f>IF(OR(E2746="",E2746="!!!",F2746="NEW"),"",INDEX(B2745:B$2,-1+SUMPRODUCT(MAX(ROW(E2745:E$2)*(E2746=E2745:E$2)))))</f>
        <v> </v>
      </c>
      <c r="J2746" s="26" t="str">
        <f>IF(OR(E2746="",E2746="!!!",F2746="NEW"),"",COUNTBLANK(OFFSET(A$1,,,SUMPRODUCT(MAX(ROW(E$2:E2746)*(E2746=E$2:E2746)))))-COUNTBLANK(OFFSET(A$1,,,SUMPRODUCT(MAX(ROW(E$1:E2745)*(E2=E$1:E2745))))))</f>
        <v> </v>
      </c>
      <c r="K2746" s="26" t="str">
        <f>IF(OR(E2746="",E2746="!!!",F2746="NEW"),"",INDEX(J$1:J2745,SUMPRODUCT(MAX(ROW(E$1:E2745)*(E2746=E$1:E2745)))))</f>
        <v> </v>
      </c>
      <c r="L2746" s="27"/>
    </row>
    <row r="2747" spans="1:12">
      <c r="A2747" s="20" t="s">
        <v>246</v>
      </c>
      <c r="E2747" s="22">
        <f>IF(D2747="?OLD","!!!","")</f>
        <v/>
      </c>
      <c r="F2747" s="23" t="str">
        <f>IF(OR(E2747="",E2747="!!!"),"",IF(NOT(ISNA(VLOOKUP(E2747,E$1:E2746,1,FALSE()))),"OLD",IF(AND(E2747&lt;&gt;"",E2747&lt;&gt;"!!!"),"NEW","")))</f>
        <v> </v>
      </c>
      <c r="G2747" s="24" t="str">
        <f>IF(OR(E2747="",E2747="!!!"),"",IF(OR(J2747=0,AND(J2747=1,K2747=1),AND(J2747=1,I2747="SBJ"),AND(J2747=1,I2747=0)),"?IN_FOCUS",IF(J2747&lt;=2,"?ACTIVATED",IF(J2747&lt;&gt;"","?FAMILIAR",IF(F2747="NEW",IF(ISNA(VLOOKUP(E2747,#REF!,1,FALSE())),"?TYPE_IDENTIFIABLE","?REFERENTIAL"),"_")))))</f>
        <v> </v>
      </c>
      <c r="H2747" s="25" t="str">
        <f>IF(J2747&lt;&gt;1,"",IF(I2747="SBJ","CB","?"))</f>
        <v> </v>
      </c>
      <c r="I2747" s="26" t="str">
        <f>IF(OR(E2747="",E2747="!!!",F2747="NEW"),"",INDEX(B2746:B$2,-1+SUMPRODUCT(MAX(ROW(E2746:E$2)*(E2747=E2746:E$2)))))</f>
        <v> </v>
      </c>
      <c r="J2747" s="26" t="str">
        <f>IF(OR(E2747="",E2747="!!!",F2747="NEW"),"",COUNTBLANK(OFFSET(A$1,,,SUMPRODUCT(MAX(ROW(E$2:E2747)*(E2747=E$2:E2747)))))-COUNTBLANK(OFFSET(A$1,,,SUMPRODUCT(MAX(ROW(E$1:E2746)*(E2=E$1:E2746))))))</f>
        <v> </v>
      </c>
      <c r="K2747" s="26" t="str">
        <f>IF(OR(E2747="",E2747="!!!",F2747="NEW"),"",INDEX(J$1:J2746,SUMPRODUCT(MAX(ROW(E$1:E2746)*(E2747=E$1:E2746)))))</f>
        <v> </v>
      </c>
      <c r="L2747" s="27"/>
    </row>
    <row r="2748" spans="1:12">
      <c r="A2748" s="20"/>
    </row>
    <row r="2749" spans="1:12">
      <c r="A2749" s="20" t="s">
        <v>1747</v>
      </c>
    </row>
    <row r="2750" spans="1:12">
      <c r="A2750" s="20" t="s">
        <v>727</v>
      </c>
      <c r="B2750" s="21" t="s">
        <v>728</v>
      </c>
      <c r="C2750" s="21" t="s">
        <v>729</v>
      </c>
      <c r="D2750" s="21" t="s">
        <v>730</v>
      </c>
      <c r="E2750" s="22">
        <f>IF(D2750="?OLD","!!!","")</f>
        <v/>
      </c>
      <c r="F2750" s="23" t="str">
        <f>IF(OR(E2750="",E2750="!!!"),"",IF(NOT(ISNA(VLOOKUP(E2750,E$1:E2749,1,FALSE()))),"OLD",IF(AND(E2750&lt;&gt;"",E2750&lt;&gt;"!!!"),"NEW","")))</f>
        <v> </v>
      </c>
      <c r="G2750" s="24" t="str">
        <f>IF(OR(E2750="",E2750="!!!"),"",IF(OR(J2750=0,AND(J2750=1,K2750=1),AND(J2750=1,I2750="SBJ"),AND(J2750=1,I2750=0)),"?IN_FOCUS",IF(J2750&lt;=2,"?ACTIVATED",IF(J2750&lt;&gt;"","?FAMILIAR",IF(F2750="NEW",IF(ISNA(VLOOKUP(E2750,#REF!,1,FALSE())),"?TYPE_IDENTIFIABLE","?REFERENTIAL"),"_")))))</f>
        <v> </v>
      </c>
      <c r="H2750" s="25" t="str">
        <f>IF(J2750&lt;&gt;1,"",IF(I2750="SBJ","CB","?"))</f>
        <v> </v>
      </c>
      <c r="I2750" s="26" t="str">
        <f>IF(OR(E2750="",E2750="!!!",F2750="NEW"),"",INDEX(B2749:B$2,-1+SUMPRODUCT(MAX(ROW(E2749:E$2)*(E2750=E2749:E$2)))))</f>
        <v> </v>
      </c>
      <c r="J2750" s="26" t="str">
        <f>IF(OR(E2750="",E2750="!!!",F2750="NEW"),"",COUNTBLANK(OFFSET(A$1,,,SUMPRODUCT(MAX(ROW(E$2:E2750)*(E2750=E$2:E2750)))))-COUNTBLANK(OFFSET(A$1,,,SUMPRODUCT(MAX(ROW(E$1:E2749)*(E2=E$1:E2749))))))</f>
        <v> </v>
      </c>
      <c r="K2750" s="26" t="str">
        <f>IF(OR(E2750="",E2750="!!!",F2750="NEW"),"",INDEX(J$1:J2749,SUMPRODUCT(MAX(ROW(E$1:E2749)*(E2750=E$1:E2749)))))</f>
        <v> </v>
      </c>
      <c r="L2750" s="27"/>
    </row>
    <row r="2751" spans="1:12">
      <c r="A2751" s="20" t="s">
        <v>1748</v>
      </c>
      <c r="E2751" s="22">
        <f>IF(D2751="?OLD","!!!","")</f>
        <v/>
      </c>
      <c r="F2751" s="23" t="str">
        <f>IF(OR(E2751="",E2751="!!!"),"",IF(NOT(ISNA(VLOOKUP(E2751,E$1:E2750,1,FALSE()))),"OLD",IF(AND(E2751&lt;&gt;"",E2751&lt;&gt;"!!!"),"NEW","")))</f>
        <v> </v>
      </c>
      <c r="G2751" s="24" t="str">
        <f>IF(OR(E2751="",E2751="!!!"),"",IF(OR(J2751=0,AND(J2751=1,K2751=1),AND(J2751=1,I2751="SBJ"),AND(J2751=1,I2751=0)),"?IN_FOCUS",IF(J2751&lt;=2,"?ACTIVATED",IF(J2751&lt;&gt;"","?FAMILIAR",IF(F2751="NEW",IF(ISNA(VLOOKUP(E2751,#REF!,1,FALSE())),"?TYPE_IDENTIFIABLE","?REFERENTIAL"),"_")))))</f>
        <v> </v>
      </c>
      <c r="H2751" s="25" t="str">
        <f>IF(J2751&lt;&gt;1,"",IF(I2751="SBJ","CB","?"))</f>
        <v> </v>
      </c>
      <c r="I2751" s="26" t="str">
        <f>IF(OR(E2751="",E2751="!!!",F2751="NEW"),"",INDEX(B2750:B$2,-1+SUMPRODUCT(MAX(ROW(E2750:E$2)*(E2751=E2750:E$2)))))</f>
        <v> </v>
      </c>
      <c r="J2751" s="26" t="str">
        <f>IF(OR(E2751="",E2751="!!!",F2751="NEW"),"",COUNTBLANK(OFFSET(A$1,,,SUMPRODUCT(MAX(ROW(E$2:E2751)*(E2751=E$2:E2751)))))-COUNTBLANK(OFFSET(A$1,,,SUMPRODUCT(MAX(ROW(E$1:E2750)*(E2=E$1:E2750))))))</f>
        <v> </v>
      </c>
      <c r="K2751" s="26" t="str">
        <f>IF(OR(E2751="",E2751="!!!",F2751="NEW"),"",INDEX(J$1:J2750,SUMPRODUCT(MAX(ROW(E$1:E2750)*(E2751=E$1:E2750)))))</f>
        <v> </v>
      </c>
      <c r="L2751" s="27"/>
    </row>
    <row r="2752" spans="1:12">
      <c r="A2752" s="20" t="s">
        <v>1023</v>
      </c>
      <c r="E2752" s="22">
        <f>IF(D2752="?OLD","!!!","")</f>
        <v/>
      </c>
      <c r="F2752" s="23" t="str">
        <f>IF(OR(E2752="",E2752="!!!"),"",IF(NOT(ISNA(VLOOKUP(E2752,E$1:E2751,1,FALSE()))),"OLD",IF(AND(E2752&lt;&gt;"",E2752&lt;&gt;"!!!"),"NEW","")))</f>
        <v> </v>
      </c>
      <c r="G2752" s="24" t="str">
        <f>IF(OR(E2752="",E2752="!!!"),"",IF(OR(J2752=0,AND(J2752=1,K2752=1),AND(J2752=1,I2752="SBJ"),AND(J2752=1,I2752=0)),"?IN_FOCUS",IF(J2752&lt;=2,"?ACTIVATED",IF(J2752&lt;&gt;"","?FAMILIAR",IF(F2752="NEW",IF(ISNA(VLOOKUP(E2752,#REF!,1,FALSE())),"?TYPE_IDENTIFIABLE","?REFERENTIAL"),"_")))))</f>
        <v> </v>
      </c>
      <c r="H2752" s="25" t="str">
        <f>IF(J2752&lt;&gt;1,"",IF(I2752="SBJ","CB","?"))</f>
        <v> </v>
      </c>
      <c r="I2752" s="26" t="str">
        <f>IF(OR(E2752="",E2752="!!!",F2752="NEW"),"",INDEX(B2751:B$2,-1+SUMPRODUCT(MAX(ROW(E2751:E$2)*(E2752=E2751:E$2)))))</f>
        <v> </v>
      </c>
      <c r="J2752" s="26" t="str">
        <f>IF(OR(E2752="",E2752="!!!",F2752="NEW"),"",COUNTBLANK(OFFSET(A$1,,,SUMPRODUCT(MAX(ROW(E$2:E2752)*(E2752=E$2:E2752)))))-COUNTBLANK(OFFSET(A$1,,,SUMPRODUCT(MAX(ROW(E$1:E2751)*(E2=E$1:E2751))))))</f>
        <v> </v>
      </c>
      <c r="K2752" s="26" t="str">
        <f>IF(OR(E2752="",E2752="!!!",F2752="NEW"),"",INDEX(J$1:J2751,SUMPRODUCT(MAX(ROW(E$1:E2751)*(E2752=E$1:E2751)))))</f>
        <v> </v>
      </c>
      <c r="L2752" s="27"/>
    </row>
    <row r="2753" spans="1:12">
      <c r="A2753" s="20" t="s">
        <v>810</v>
      </c>
      <c r="E2753" s="22">
        <f>IF(D2753="?OLD","!!!","")</f>
        <v/>
      </c>
      <c r="F2753" s="23" t="str">
        <f>IF(OR(E2753="",E2753="!!!"),"",IF(NOT(ISNA(VLOOKUP(E2753,E$1:E2752,1,FALSE()))),"OLD",IF(AND(E2753&lt;&gt;"",E2753&lt;&gt;"!!!"),"NEW","")))</f>
        <v> </v>
      </c>
      <c r="G2753" s="24" t="str">
        <f>IF(OR(E2753="",E2753="!!!"),"",IF(OR(J2753=0,AND(J2753=1,K2753=1),AND(J2753=1,I2753="SBJ"),AND(J2753=1,I2753=0)),"?IN_FOCUS",IF(J2753&lt;=2,"?ACTIVATED",IF(J2753&lt;&gt;"","?FAMILIAR",IF(F2753="NEW",IF(ISNA(VLOOKUP(E2753,#REF!,1,FALSE())),"?TYPE_IDENTIFIABLE","?REFERENTIAL"),"_")))))</f>
        <v> </v>
      </c>
      <c r="H2753" s="25" t="str">
        <f>IF(J2753&lt;&gt;1,"",IF(I2753="SBJ","CB","?"))</f>
        <v> </v>
      </c>
      <c r="I2753" s="26" t="str">
        <f>IF(OR(E2753="",E2753="!!!",F2753="NEW"),"",INDEX(B2752:B$2,-1+SUMPRODUCT(MAX(ROW(E2752:E$2)*(E2753=E2752:E$2)))))</f>
        <v> </v>
      </c>
      <c r="J2753" s="26" t="str">
        <f>IF(OR(E2753="",E2753="!!!",F2753="NEW"),"",COUNTBLANK(OFFSET(A$1,,,SUMPRODUCT(MAX(ROW(E$2:E2753)*(E2753=E$2:E2753)))))-COUNTBLANK(OFFSET(A$1,,,SUMPRODUCT(MAX(ROW(E$1:E2752)*(E2=E$1:E2752))))))</f>
        <v> </v>
      </c>
      <c r="K2753" s="26" t="str">
        <f>IF(OR(E2753="",E2753="!!!",F2753="NEW"),"",INDEX(J$1:J2752,SUMPRODUCT(MAX(ROW(E$1:E2752)*(E2753=E$1:E2752)))))</f>
        <v> </v>
      </c>
      <c r="L2753" s="27"/>
    </row>
    <row r="2754" spans="1:12">
      <c r="A2754" s="20" t="s">
        <v>1232</v>
      </c>
      <c r="E2754" s="22">
        <f>IF(D2754="?OLD","!!!","")</f>
        <v/>
      </c>
      <c r="F2754" s="23" t="str">
        <f>IF(OR(E2754="",E2754="!!!"),"",IF(NOT(ISNA(VLOOKUP(E2754,E$1:E2753,1,FALSE()))),"OLD",IF(AND(E2754&lt;&gt;"",E2754&lt;&gt;"!!!"),"NEW","")))</f>
        <v> </v>
      </c>
      <c r="G2754" s="24" t="str">
        <f>IF(OR(E2754="",E2754="!!!"),"",IF(OR(J2754=0,AND(J2754=1,K2754=1),AND(J2754=1,I2754="SBJ"),AND(J2754=1,I2754=0)),"?IN_FOCUS",IF(J2754&lt;=2,"?ACTIVATED",IF(J2754&lt;&gt;"","?FAMILIAR",IF(F2754="NEW",IF(ISNA(VLOOKUP(E2754,#REF!,1,FALSE())),"?TYPE_IDENTIFIABLE","?REFERENTIAL"),"_")))))</f>
        <v> </v>
      </c>
      <c r="H2754" s="25" t="str">
        <f>IF(J2754&lt;&gt;1,"",IF(I2754="SBJ","CB","?"))</f>
        <v> </v>
      </c>
      <c r="I2754" s="26" t="str">
        <f>IF(OR(E2754="",E2754="!!!",F2754="NEW"),"",INDEX(B2753:B$2,-1+SUMPRODUCT(MAX(ROW(E2753:E$2)*(E2754=E2753:E$2)))))</f>
        <v> </v>
      </c>
      <c r="J2754" s="26" t="str">
        <f>IF(OR(E2754="",E2754="!!!",F2754="NEW"),"",COUNTBLANK(OFFSET(A$1,,,SUMPRODUCT(MAX(ROW(E$2:E2754)*(E2754=E$2:E2754)))))-COUNTBLANK(OFFSET(A$1,,,SUMPRODUCT(MAX(ROW(E$1:E2753)*(E2=E$1:E2753))))))</f>
        <v> </v>
      </c>
      <c r="K2754" s="26" t="str">
        <f>IF(OR(E2754="",E2754="!!!",F2754="NEW"),"",INDEX(J$1:J2753,SUMPRODUCT(MAX(ROW(E$1:E2753)*(E2754=E$1:E2753)))))</f>
        <v> </v>
      </c>
      <c r="L2754" s="27"/>
    </row>
    <row r="2755" spans="1:12">
      <c r="A2755" s="20" t="s">
        <v>938</v>
      </c>
      <c r="E2755" s="22">
        <f>IF(D2755="?OLD","!!!","")</f>
        <v/>
      </c>
      <c r="F2755" s="23" t="str">
        <f>IF(OR(E2755="",E2755="!!!"),"",IF(NOT(ISNA(VLOOKUP(E2755,E$1:E2754,1,FALSE()))),"OLD",IF(AND(E2755&lt;&gt;"",E2755&lt;&gt;"!!!"),"NEW","")))</f>
        <v> </v>
      </c>
      <c r="G2755" s="24" t="str">
        <f>IF(OR(E2755="",E2755="!!!"),"",IF(OR(J2755=0,AND(J2755=1,K2755=1),AND(J2755=1,I2755="SBJ"),AND(J2755=1,I2755=0)),"?IN_FOCUS",IF(J2755&lt;=2,"?ACTIVATED",IF(J2755&lt;&gt;"","?FAMILIAR",IF(F2755="NEW",IF(ISNA(VLOOKUP(E2755,#REF!,1,FALSE())),"?TYPE_IDENTIFIABLE","?REFERENTIAL"),"_")))))</f>
        <v> </v>
      </c>
      <c r="H2755" s="25" t="str">
        <f>IF(J2755&lt;&gt;1,"",IF(I2755="SBJ","CB","?"))</f>
        <v> </v>
      </c>
      <c r="I2755" s="26" t="str">
        <f>IF(OR(E2755="",E2755="!!!",F2755="NEW"),"",INDEX(B2754:B$2,-1+SUMPRODUCT(MAX(ROW(E2754:E$2)*(E2755=E2754:E$2)))))</f>
        <v> </v>
      </c>
      <c r="J2755" s="26" t="str">
        <f>IF(OR(E2755="",E2755="!!!",F2755="NEW"),"",COUNTBLANK(OFFSET(A$1,,,SUMPRODUCT(MAX(ROW(E$2:E2755)*(E2755=E$2:E2755)))))-COUNTBLANK(OFFSET(A$1,,,SUMPRODUCT(MAX(ROW(E$1:E2754)*(E2=E$1:E2754))))))</f>
        <v> </v>
      </c>
      <c r="K2755" s="26" t="str">
        <f>IF(OR(E2755="",E2755="!!!",F2755="NEW"),"",INDEX(J$1:J2754,SUMPRODUCT(MAX(ROW(E$1:E2754)*(E2755=E$1:E2754)))))</f>
        <v> </v>
      </c>
      <c r="L2755" s="27"/>
    </row>
    <row r="2756" spans="1:12">
      <c r="A2756" s="20" t="s">
        <v>1749</v>
      </c>
      <c r="B2756" s="21" t="s">
        <v>736</v>
      </c>
      <c r="C2756" s="21" t="s">
        <v>748</v>
      </c>
      <c r="E2756" s="22">
        <f>IF(D2756="?OLD","!!!","")</f>
        <v/>
      </c>
      <c r="F2756" s="23" t="str">
        <f>IF(OR(E2756="",E2756="!!!"),"",IF(NOT(ISNA(VLOOKUP(E2756,E$1:E2755,1,FALSE()))),"OLD",IF(AND(E2756&lt;&gt;"",E2756&lt;&gt;"!!!"),"NEW","")))</f>
        <v> </v>
      </c>
      <c r="G2756" s="24" t="str">
        <f>IF(OR(E2756="",E2756="!!!"),"",IF(OR(J2756=0,AND(J2756=1,K2756=1),AND(J2756=1,I2756="SBJ"),AND(J2756=1,I2756=0)),"?IN_FOCUS",IF(J2756&lt;=2,"?ACTIVATED",IF(J2756&lt;&gt;"","?FAMILIAR",IF(F2756="NEW",IF(ISNA(VLOOKUP(E2756,#REF!,1,FALSE())),"?TYPE_IDENTIFIABLE","?REFERENTIAL"),"_")))))</f>
        <v> </v>
      </c>
      <c r="H2756" s="25" t="str">
        <f>IF(J2756&lt;&gt;1,"",IF(I2756="SBJ","CB","?"))</f>
        <v> </v>
      </c>
      <c r="I2756" s="26" t="str">
        <f>IF(OR(E2756="",E2756="!!!",F2756="NEW"),"",INDEX(B2755:B$2,-1+SUMPRODUCT(MAX(ROW(E2755:E$2)*(E2756=E2755:E$2)))))</f>
        <v> </v>
      </c>
      <c r="J2756" s="26" t="str">
        <f>IF(OR(E2756="",E2756="!!!",F2756="NEW"),"",COUNTBLANK(OFFSET(A$1,,,SUMPRODUCT(MAX(ROW(E$2:E2756)*(E2756=E$2:E2756)))))-COUNTBLANK(OFFSET(A$1,,,SUMPRODUCT(MAX(ROW(E$1:E2755)*(E2=E$1:E2755))))))</f>
        <v> </v>
      </c>
      <c r="K2756" s="26" t="str">
        <f>IF(OR(E2756="",E2756="!!!",F2756="NEW"),"",INDEX(J$1:J2755,SUMPRODUCT(MAX(ROW(E$1:E2755)*(E2756=E$1:E2755)))))</f>
        <v> </v>
      </c>
      <c r="L2756" s="27"/>
    </row>
    <row r="2757" spans="1:12">
      <c r="A2757" s="20" t="s">
        <v>759</v>
      </c>
      <c r="E2757" s="22">
        <f>IF(D2757="?OLD","!!!","")</f>
        <v/>
      </c>
      <c r="F2757" s="23" t="str">
        <f>IF(OR(E2757="",E2757="!!!"),"",IF(NOT(ISNA(VLOOKUP(E2757,E$1:E2756,1,FALSE()))),"OLD",IF(AND(E2757&lt;&gt;"",E2757&lt;&gt;"!!!"),"NEW","")))</f>
        <v> </v>
      </c>
      <c r="G2757" s="24" t="str">
        <f>IF(OR(E2757="",E2757="!!!"),"",IF(OR(J2757=0,AND(J2757=1,K2757=1),AND(J2757=1,I2757="SBJ"),AND(J2757=1,I2757=0)),"?IN_FOCUS",IF(J2757&lt;=2,"?ACTIVATED",IF(J2757&lt;&gt;"","?FAMILIAR",IF(F2757="NEW",IF(ISNA(VLOOKUP(E2757,#REF!,1,FALSE())),"?TYPE_IDENTIFIABLE","?REFERENTIAL"),"_")))))</f>
        <v> </v>
      </c>
      <c r="H2757" s="25" t="str">
        <f>IF(J2757&lt;&gt;1,"",IF(I2757="SBJ","CB","?"))</f>
        <v> </v>
      </c>
      <c r="I2757" s="26" t="str">
        <f>IF(OR(E2757="",E2757="!!!",F2757="NEW"),"",INDEX(B2756:B$2,-1+SUMPRODUCT(MAX(ROW(E2756:E$2)*(E2757=E2756:E$2)))))</f>
        <v> </v>
      </c>
      <c r="J2757" s="26" t="str">
        <f>IF(OR(E2757="",E2757="!!!",F2757="NEW"),"",COUNTBLANK(OFFSET(A$1,,,SUMPRODUCT(MAX(ROW(E$2:E2757)*(E2757=E$2:E2757)))))-COUNTBLANK(OFFSET(A$1,,,SUMPRODUCT(MAX(ROW(E$1:E2756)*(E2=E$1:E2756))))))</f>
        <v> </v>
      </c>
      <c r="K2757" s="26" t="str">
        <f>IF(OR(E2757="",E2757="!!!",F2757="NEW"),"",INDEX(J$1:J2756,SUMPRODUCT(MAX(ROW(E$1:E2756)*(E2757=E$1:E2756)))))</f>
        <v> </v>
      </c>
      <c r="L2757" s="27"/>
    </row>
    <row r="2758" spans="1:12">
      <c r="A2758" s="20" t="s">
        <v>1594</v>
      </c>
      <c r="E2758" s="22">
        <f>IF(D2758="?OLD","!!!","")</f>
        <v/>
      </c>
      <c r="F2758" s="23" t="str">
        <f>IF(OR(E2758="",E2758="!!!"),"",IF(NOT(ISNA(VLOOKUP(E2758,E$1:E2757,1,FALSE()))),"OLD",IF(AND(E2758&lt;&gt;"",E2758&lt;&gt;"!!!"),"NEW","")))</f>
        <v> </v>
      </c>
      <c r="G2758" s="24" t="str">
        <f>IF(OR(E2758="",E2758="!!!"),"",IF(OR(J2758=0,AND(J2758=1,K2758=1),AND(J2758=1,I2758="SBJ"),AND(J2758=1,I2758=0)),"?IN_FOCUS",IF(J2758&lt;=2,"?ACTIVATED",IF(J2758&lt;&gt;"","?FAMILIAR",IF(F2758="NEW",IF(ISNA(VLOOKUP(E2758,#REF!,1,FALSE())),"?TYPE_IDENTIFIABLE","?REFERENTIAL"),"_")))))</f>
        <v> </v>
      </c>
      <c r="H2758" s="25" t="str">
        <f>IF(J2758&lt;&gt;1,"",IF(I2758="SBJ","CB","?"))</f>
        <v> </v>
      </c>
      <c r="I2758" s="26" t="str">
        <f>IF(OR(E2758="",E2758="!!!",F2758="NEW"),"",INDEX(B2757:B$2,-1+SUMPRODUCT(MAX(ROW(E2757:E$2)*(E2758=E2757:E$2)))))</f>
        <v> </v>
      </c>
      <c r="J2758" s="26" t="str">
        <f>IF(OR(E2758="",E2758="!!!",F2758="NEW"),"",COUNTBLANK(OFFSET(A$1,,,SUMPRODUCT(MAX(ROW(E$2:E2758)*(E2758=E$2:E2758)))))-COUNTBLANK(OFFSET(A$1,,,SUMPRODUCT(MAX(ROW(E$1:E2757)*(E2=E$1:E2757))))))</f>
        <v> </v>
      </c>
      <c r="K2758" s="26" t="str">
        <f>IF(OR(E2758="",E2758="!!!",F2758="NEW"),"",INDEX(J$1:J2757,SUMPRODUCT(MAX(ROW(E$1:E2757)*(E2758=E$1:E2757)))))</f>
        <v> </v>
      </c>
      <c r="L2758" s="27"/>
    </row>
    <row r="2759" spans="1:12">
      <c r="A2759" s="20" t="s">
        <v>750</v>
      </c>
      <c r="B2759" s="21" t="s">
        <v>796</v>
      </c>
      <c r="C2759" s="21" t="s">
        <v>729</v>
      </c>
      <c r="D2759" s="21" t="s">
        <v>730</v>
      </c>
      <c r="E2759" s="22">
        <f>IF(D2759="?OLD","!!!","")</f>
        <v/>
      </c>
      <c r="F2759" s="23" t="str">
        <f>IF(OR(E2759="",E2759="!!!"),"",IF(NOT(ISNA(VLOOKUP(E2759,E$1:E2758,1,FALSE()))),"OLD",IF(AND(E2759&lt;&gt;"",E2759&lt;&gt;"!!!"),"NEW","")))</f>
        <v> </v>
      </c>
      <c r="G2759" s="24" t="str">
        <f>IF(OR(E2759="",E2759="!!!"),"",IF(OR(J2759=0,AND(J2759=1,K2759=1),AND(J2759=1,I2759="SBJ"),AND(J2759=1,I2759=0)),"?IN_FOCUS",IF(J2759&lt;=2,"?ACTIVATED",IF(J2759&lt;&gt;"","?FAMILIAR",IF(F2759="NEW",IF(ISNA(VLOOKUP(E2759,#REF!,1,FALSE())),"?TYPE_IDENTIFIABLE","?REFERENTIAL"),"_")))))</f>
        <v> </v>
      </c>
      <c r="H2759" s="25" t="str">
        <f>IF(J2759&lt;&gt;1,"",IF(I2759="SBJ","CB","?"))</f>
        <v> </v>
      </c>
      <c r="I2759" s="26" t="str">
        <f>IF(OR(E2759="",E2759="!!!",F2759="NEW"),"",INDEX(B2758:B$2,-1+SUMPRODUCT(MAX(ROW(E2758:E$2)*(E2759=E2758:E$2)))))</f>
        <v> </v>
      </c>
      <c r="J2759" s="26" t="str">
        <f>IF(OR(E2759="",E2759="!!!",F2759="NEW"),"",COUNTBLANK(OFFSET(A$1,,,SUMPRODUCT(MAX(ROW(E$2:E2759)*(E2759=E$2:E2759)))))-COUNTBLANK(OFFSET(A$1,,,SUMPRODUCT(MAX(ROW(E$1:E2758)*(E2=E$1:E2758))))))</f>
        <v> </v>
      </c>
      <c r="K2759" s="26" t="str">
        <f>IF(OR(E2759="",E2759="!!!",F2759="NEW"),"",INDEX(J$1:J2758,SUMPRODUCT(MAX(ROW(E$1:E2758)*(E2759=E$1:E2758)))))</f>
        <v> </v>
      </c>
      <c r="L2759" s="27"/>
    </row>
    <row r="2760" spans="1:12">
      <c r="A2760" s="20" t="s">
        <v>903</v>
      </c>
      <c r="B2760" s="21" t="s">
        <v>755</v>
      </c>
      <c r="C2760" s="21" t="s">
        <v>801</v>
      </c>
      <c r="D2760" s="21" t="s">
        <v>730</v>
      </c>
      <c r="E2760" s="22">
        <f>IF(D2760="?OLD","!!!","")</f>
        <v/>
      </c>
      <c r="F2760" s="23" t="str">
        <f>IF(OR(E2760="",E2760="!!!"),"",IF(NOT(ISNA(VLOOKUP(E2760,E$1:E2759,1,FALSE()))),"OLD",IF(AND(E2760&lt;&gt;"",E2760&lt;&gt;"!!!"),"NEW","")))</f>
        <v> </v>
      </c>
      <c r="G2760" s="24" t="str">
        <f>IF(OR(E2760="",E2760="!!!"),"",IF(OR(J2760=0,AND(J2760=1,K2760=1),AND(J2760=1,I2760="SBJ"),AND(J2760=1,I2760=0)),"?IN_FOCUS",IF(J2760&lt;=2,"?ACTIVATED",IF(J2760&lt;&gt;"","?FAMILIAR",IF(F2760="NEW",IF(ISNA(VLOOKUP(E2760,#REF!,1,FALSE())),"?TYPE_IDENTIFIABLE","?REFERENTIAL"),"_")))))</f>
        <v> </v>
      </c>
      <c r="H2760" s="25" t="str">
        <f>IF(J2760&lt;&gt;1,"",IF(I2760="SBJ","CB","?"))</f>
        <v> </v>
      </c>
      <c r="I2760" s="26" t="str">
        <f>IF(OR(E2760="",E2760="!!!",F2760="NEW"),"",INDEX(B2759:B$2,-1+SUMPRODUCT(MAX(ROW(E2759:E$2)*(E2760=E2759:E$2)))))</f>
        <v> </v>
      </c>
      <c r="J2760" s="26" t="str">
        <f>IF(OR(E2760="",E2760="!!!",F2760="NEW"),"",COUNTBLANK(OFFSET(A$1,,,SUMPRODUCT(MAX(ROW(E$2:E2760)*(E2760=E$2:E2760)))))-COUNTBLANK(OFFSET(A$1,,,SUMPRODUCT(MAX(ROW(E$1:E2759)*(E2=E$1:E2759))))))</f>
        <v> </v>
      </c>
      <c r="K2760" s="26" t="str">
        <f>IF(OR(E2760="",E2760="!!!",F2760="NEW"),"",INDEX(J$1:J2759,SUMPRODUCT(MAX(ROW(E$1:E2759)*(E2760=E$1:E2759)))))</f>
        <v> </v>
      </c>
      <c r="L2760" s="27"/>
    </row>
    <row r="2761" spans="1:12">
      <c r="A2761" s="20" t="s">
        <v>1489</v>
      </c>
      <c r="B2761" s="21" t="s">
        <v>791</v>
      </c>
      <c r="C2761" s="21" t="s">
        <v>802</v>
      </c>
      <c r="D2761" s="21" t="s">
        <v>730</v>
      </c>
      <c r="E2761" s="22">
        <f>IF(D2761="?OLD","!!!","")</f>
        <v/>
      </c>
      <c r="F2761" s="23" t="str">
        <f>IF(OR(E2761="",E2761="!!!"),"",IF(NOT(ISNA(VLOOKUP(E2761,E$1:E2760,1,FALSE()))),"OLD",IF(AND(E2761&lt;&gt;"",E2761&lt;&gt;"!!!"),"NEW","")))</f>
        <v> </v>
      </c>
      <c r="G2761" s="24" t="str">
        <f>IF(OR(E2761="",E2761="!!!"),"",IF(OR(J2761=0,AND(J2761=1,K2761=1),AND(J2761=1,I2761="SBJ"),AND(J2761=1,I2761=0)),"?IN_FOCUS",IF(J2761&lt;=2,"?ACTIVATED",IF(J2761&lt;&gt;"","?FAMILIAR",IF(F2761="NEW",IF(ISNA(VLOOKUP(E2761,#REF!,1,FALSE())),"?TYPE_IDENTIFIABLE","?REFERENTIAL"),"_")))))</f>
        <v> </v>
      </c>
      <c r="H2761" s="25" t="str">
        <f>IF(J2761&lt;&gt;1,"",IF(I2761="SBJ","CB","?"))</f>
        <v> </v>
      </c>
      <c r="I2761" s="26" t="str">
        <f>IF(OR(E2761="",E2761="!!!",F2761="NEW"),"",INDEX(B2760:B$2,-1+SUMPRODUCT(MAX(ROW(E2760:E$2)*(E2761=E2760:E$2)))))</f>
        <v> </v>
      </c>
      <c r="J2761" s="26" t="str">
        <f>IF(OR(E2761="",E2761="!!!",F2761="NEW"),"",COUNTBLANK(OFFSET(A$1,,,SUMPRODUCT(MAX(ROW(E$2:E2761)*(E2761=E$2:E2761)))))-COUNTBLANK(OFFSET(A$1,,,SUMPRODUCT(MAX(ROW(E$1:E2760)*(E2=E$1:E2760))))))</f>
        <v> </v>
      </c>
      <c r="K2761" s="26" t="str">
        <f>IF(OR(E2761="",E2761="!!!",F2761="NEW"),"",INDEX(J$1:J2760,SUMPRODUCT(MAX(ROW(E$1:E2760)*(E2761=E$1:E2760)))))</f>
        <v> </v>
      </c>
      <c r="L2761" s="27"/>
    </row>
    <row r="2762" spans="1:12">
      <c r="A2762" s="20" t="s">
        <v>1750</v>
      </c>
      <c r="E2762" s="22">
        <f>IF(D2762="?OLD","!!!","")</f>
        <v/>
      </c>
      <c r="F2762" s="23" t="str">
        <f>IF(OR(E2762="",E2762="!!!"),"",IF(NOT(ISNA(VLOOKUP(E2762,E$1:E2761,1,FALSE()))),"OLD",IF(AND(E2762&lt;&gt;"",E2762&lt;&gt;"!!!"),"NEW","")))</f>
        <v> </v>
      </c>
      <c r="G2762" s="24" t="str">
        <f>IF(OR(E2762="",E2762="!!!"),"",IF(OR(J2762=0,AND(J2762=1,K2762=1),AND(J2762=1,I2762="SBJ"),AND(J2762=1,I2762=0)),"?IN_FOCUS",IF(J2762&lt;=2,"?ACTIVATED",IF(J2762&lt;&gt;"","?FAMILIAR",IF(F2762="NEW",IF(ISNA(VLOOKUP(E2762,#REF!,1,FALSE())),"?TYPE_IDENTIFIABLE","?REFERENTIAL"),"_")))))</f>
        <v> </v>
      </c>
      <c r="H2762" s="25" t="str">
        <f>IF(J2762&lt;&gt;1,"",IF(I2762="SBJ","CB","?"))</f>
        <v> </v>
      </c>
      <c r="I2762" s="26" t="str">
        <f>IF(OR(E2762="",E2762="!!!",F2762="NEW"),"",INDEX(B2761:B$2,-1+SUMPRODUCT(MAX(ROW(E2761:E$2)*(E2762=E2761:E$2)))))</f>
        <v> </v>
      </c>
      <c r="J2762" s="26" t="str">
        <f>IF(OR(E2762="",E2762="!!!",F2762="NEW"),"",COUNTBLANK(OFFSET(A$1,,,SUMPRODUCT(MAX(ROW(E$2:E2762)*(E2762=E$2:E2762)))))-COUNTBLANK(OFFSET(A$1,,,SUMPRODUCT(MAX(ROW(E$1:E2761)*(E2=E$1:E2761))))))</f>
        <v> </v>
      </c>
      <c r="K2762" s="26" t="str">
        <f>IF(OR(E2762="",E2762="!!!",F2762="NEW"),"",INDEX(J$1:J2761,SUMPRODUCT(MAX(ROW(E$1:E2761)*(E2762=E$1:E2761)))))</f>
        <v> </v>
      </c>
      <c r="L2762" s="27"/>
    </row>
    <row r="2763" spans="1:12">
      <c r="A2763" s="20" t="s">
        <v>246</v>
      </c>
      <c r="E2763" s="22">
        <f>IF(D2763="?OLD","!!!","")</f>
        <v/>
      </c>
      <c r="F2763" s="23" t="str">
        <f>IF(OR(E2763="",E2763="!!!"),"",IF(NOT(ISNA(VLOOKUP(E2763,E$1:E2762,1,FALSE()))),"OLD",IF(AND(E2763&lt;&gt;"",E2763&lt;&gt;"!!!"),"NEW","")))</f>
        <v> </v>
      </c>
      <c r="G2763" s="24" t="str">
        <f>IF(OR(E2763="",E2763="!!!"),"",IF(OR(J2763=0,AND(J2763=1,K2763=1),AND(J2763=1,I2763="SBJ"),AND(J2763=1,I2763=0)),"?IN_FOCUS",IF(J2763&lt;=2,"?ACTIVATED",IF(J2763&lt;&gt;"","?FAMILIAR",IF(F2763="NEW",IF(ISNA(VLOOKUP(E2763,#REF!,1,FALSE())),"?TYPE_IDENTIFIABLE","?REFERENTIAL"),"_")))))</f>
        <v> </v>
      </c>
      <c r="H2763" s="25" t="str">
        <f>IF(J2763&lt;&gt;1,"",IF(I2763="SBJ","CB","?"))</f>
        <v> </v>
      </c>
      <c r="I2763" s="26" t="str">
        <f>IF(OR(E2763="",E2763="!!!",F2763="NEW"),"",INDEX(B2762:B$2,-1+SUMPRODUCT(MAX(ROW(E2762:E$2)*(E2763=E2762:E$2)))))</f>
        <v> </v>
      </c>
      <c r="J2763" s="26" t="str">
        <f>IF(OR(E2763="",E2763="!!!",F2763="NEW"),"",COUNTBLANK(OFFSET(A$1,,,SUMPRODUCT(MAX(ROW(E$2:E2763)*(E2763=E$2:E2763)))))-COUNTBLANK(OFFSET(A$1,,,SUMPRODUCT(MAX(ROW(E$1:E2762)*(E2=E$1:E2762))))))</f>
        <v> </v>
      </c>
      <c r="K2763" s="26" t="str">
        <f>IF(OR(E2763="",E2763="!!!",F2763="NEW"),"",INDEX(J$1:J2762,SUMPRODUCT(MAX(ROW(E$1:E2762)*(E2763=E$1:E2762)))))</f>
        <v> </v>
      </c>
      <c r="L2763" s="27"/>
    </row>
    <row r="2764" spans="1:12">
      <c r="A2764" s="20"/>
    </row>
    <row r="2765" spans="1:12">
      <c r="A2765" s="20" t="s">
        <v>798</v>
      </c>
      <c r="E2765" s="22">
        <f>IF(D2765="?OLD","!!!","")</f>
        <v/>
      </c>
      <c r="F2765" s="23" t="str">
        <f>IF(OR(E2765="",E2765="!!!"),"",IF(NOT(ISNA(VLOOKUP(E2765,E$1:E2764,1,FALSE()))),"OLD",IF(AND(E2765&lt;&gt;"",E2765&lt;&gt;"!!!"),"NEW","")))</f>
        <v> </v>
      </c>
      <c r="G2765" s="24" t="str">
        <f>IF(OR(E2765="",E2765="!!!"),"",IF(OR(J2765=0,AND(J2765=1,K2765=1),AND(J2765=1,I2765="SBJ"),AND(J2765=1,I2765=0)),"?IN_FOCUS",IF(J2765&lt;=2,"?ACTIVATED",IF(J2765&lt;&gt;"","?FAMILIAR",IF(F2765="NEW",IF(ISNA(VLOOKUP(E2765,#REF!,1,FALSE())),"?TYPE_IDENTIFIABLE","?REFERENTIAL"),"_")))))</f>
        <v> </v>
      </c>
      <c r="H2765" s="25" t="str">
        <f>IF(J2765&lt;&gt;1,"",IF(I2765="SBJ","CB","?"))</f>
        <v> </v>
      </c>
      <c r="I2765" s="26" t="str">
        <f>IF(OR(E2765="",E2765="!!!",F2765="NEW"),"",INDEX(B2764:B$2,-1+SUMPRODUCT(MAX(ROW(E2764:E$2)*(E2765=E2764:E$2)))))</f>
        <v> </v>
      </c>
      <c r="J2765" s="26" t="str">
        <f>IF(OR(E2765="",E2765="!!!",F2765="NEW"),"",COUNTBLANK(OFFSET(A$1,,,SUMPRODUCT(MAX(ROW(E$2:E2765)*(E2765=E$2:E2765)))))-COUNTBLANK(OFFSET(A$1,,,SUMPRODUCT(MAX(ROW(E$1:E2764)*(E2=E$1:E2764))))))</f>
        <v> </v>
      </c>
      <c r="K2765" s="26" t="str">
        <f>IF(OR(E2765="",E2765="!!!",F2765="NEW"),"",INDEX(J$1:J2764,SUMPRODUCT(MAX(ROW(E$1:E2764)*(E2765=E$1:E2764)))))</f>
        <v> </v>
      </c>
      <c r="L2765" s="27"/>
    </row>
    <row r="2766" spans="1:12">
      <c r="A2766" s="20" t="s">
        <v>1751</v>
      </c>
    </row>
    <row r="2767" spans="1:12">
      <c r="A2767" s="20" t="s">
        <v>1478</v>
      </c>
      <c r="E2767" s="22">
        <f>IF(D2767="?OLD","!!!","")</f>
        <v/>
      </c>
      <c r="F2767" s="23" t="str">
        <f>IF(OR(E2767="",E2767="!!!"),"",IF(NOT(ISNA(VLOOKUP(E2767,E$1:E2766,1,FALSE()))),"OLD",IF(AND(E2767&lt;&gt;"",E2767&lt;&gt;"!!!"),"NEW","")))</f>
        <v> </v>
      </c>
      <c r="G2767" s="24" t="str">
        <f>IF(OR(E2767="",E2767="!!!"),"",IF(OR(J2767=0,AND(J2767=1,K2767=1),AND(J2767=1,I2767="SBJ"),AND(J2767=1,I2767=0)),"?IN_FOCUS",IF(J2767&lt;=2,"?ACTIVATED",IF(J2767&lt;&gt;"","?FAMILIAR",IF(F2767="NEW",IF(ISNA(VLOOKUP(E2767,#REF!,1,FALSE())),"?TYPE_IDENTIFIABLE","?REFERENTIAL"),"_")))))</f>
        <v> </v>
      </c>
      <c r="H2767" s="25" t="str">
        <f>IF(J2767&lt;&gt;1,"",IF(I2767="SBJ","CB","?"))</f>
        <v> </v>
      </c>
      <c r="I2767" s="26" t="str">
        <f>IF(OR(E2767="",E2767="!!!",F2767="NEW"),"",INDEX(B2766:B$2,-1+SUMPRODUCT(MAX(ROW(E2766:E$2)*(E2767=E2766:E$2)))))</f>
        <v> </v>
      </c>
      <c r="J2767" s="26" t="str">
        <f>IF(OR(E2767="",E2767="!!!",F2767="NEW"),"",COUNTBLANK(OFFSET(A$1,,,SUMPRODUCT(MAX(ROW(E$2:E2767)*(E2767=E$2:E2767)))))-COUNTBLANK(OFFSET(A$1,,,SUMPRODUCT(MAX(ROW(E$1:E2766)*(E2=E$1:E2766))))))</f>
        <v> </v>
      </c>
      <c r="K2767" s="26" t="str">
        <f>IF(OR(E2767="",E2767="!!!",F2767="NEW"),"",INDEX(J$1:J2766,SUMPRODUCT(MAX(ROW(E$1:E2766)*(E2767=E$1:E2766)))))</f>
        <v> </v>
      </c>
      <c r="L2767" s="27"/>
    </row>
    <row r="2768" spans="1:12">
      <c r="A2768" s="20" t="s">
        <v>972</v>
      </c>
      <c r="E2768" s="22">
        <f>IF(D2768="?OLD","!!!","")</f>
        <v/>
      </c>
      <c r="F2768" s="23" t="str">
        <f>IF(OR(E2768="",E2768="!!!"),"",IF(NOT(ISNA(VLOOKUP(E2768,E$1:E2767,1,FALSE()))),"OLD",IF(AND(E2768&lt;&gt;"",E2768&lt;&gt;"!!!"),"NEW","")))</f>
        <v> </v>
      </c>
      <c r="G2768" s="24" t="str">
        <f>IF(OR(E2768="",E2768="!!!"),"",IF(OR(J2768=0,AND(J2768=1,K2768=1),AND(J2768=1,I2768="SBJ"),AND(J2768=1,I2768=0)),"?IN_FOCUS",IF(J2768&lt;=2,"?ACTIVATED",IF(J2768&lt;&gt;"","?FAMILIAR",IF(F2768="NEW",IF(ISNA(VLOOKUP(E2768,#REF!,1,FALSE())),"?TYPE_IDENTIFIABLE","?REFERENTIAL"),"_")))))</f>
        <v> </v>
      </c>
      <c r="H2768" s="25" t="str">
        <f>IF(J2768&lt;&gt;1,"",IF(I2768="SBJ","CB","?"))</f>
        <v> </v>
      </c>
      <c r="I2768" s="26" t="str">
        <f>IF(OR(E2768="",E2768="!!!",F2768="NEW"),"",INDEX(B2767:B$2,-1+SUMPRODUCT(MAX(ROW(E2767:E$2)*(E2768=E2767:E$2)))))</f>
        <v> </v>
      </c>
      <c r="J2768" s="26" t="str">
        <f>IF(OR(E2768="",E2768="!!!",F2768="NEW"),"",COUNTBLANK(OFFSET(A$1,,,SUMPRODUCT(MAX(ROW(E$2:E2768)*(E2768=E$2:E2768)))))-COUNTBLANK(OFFSET(A$1,,,SUMPRODUCT(MAX(ROW(E$1:E2767)*(E2=E$1:E2767))))))</f>
        <v> </v>
      </c>
      <c r="K2768" s="26" t="str">
        <f>IF(OR(E2768="",E2768="!!!",F2768="NEW"),"",INDEX(J$1:J2767,SUMPRODUCT(MAX(ROW(E$1:E2767)*(E2768=E$1:E2767)))))</f>
        <v> </v>
      </c>
      <c r="L2768" s="27"/>
    </row>
    <row r="2769" spans="1:12">
      <c r="A2769" s="20" t="s">
        <v>774</v>
      </c>
      <c r="E2769" s="22">
        <f>IF(D2769="?OLD","!!!","")</f>
        <v/>
      </c>
      <c r="F2769" s="23" t="str">
        <f>IF(OR(E2769="",E2769="!!!"),"",IF(NOT(ISNA(VLOOKUP(E2769,E$1:E2768,1,FALSE()))),"OLD",IF(AND(E2769&lt;&gt;"",E2769&lt;&gt;"!!!"),"NEW","")))</f>
        <v> </v>
      </c>
      <c r="G2769" s="24" t="str">
        <f>IF(OR(E2769="",E2769="!!!"),"",IF(OR(J2769=0,AND(J2769=1,K2769=1),AND(J2769=1,I2769="SBJ"),AND(J2769=1,I2769=0)),"?IN_FOCUS",IF(J2769&lt;=2,"?ACTIVATED",IF(J2769&lt;&gt;"","?FAMILIAR",IF(F2769="NEW",IF(ISNA(VLOOKUP(E2769,#REF!,1,FALSE())),"?TYPE_IDENTIFIABLE","?REFERENTIAL"),"_")))))</f>
        <v> </v>
      </c>
      <c r="H2769" s="25" t="str">
        <f>IF(J2769&lt;&gt;1,"",IF(I2769="SBJ","CB","?"))</f>
        <v> </v>
      </c>
      <c r="I2769" s="26" t="str">
        <f>IF(OR(E2769="",E2769="!!!",F2769="NEW"),"",INDEX(B2768:B$2,-1+SUMPRODUCT(MAX(ROW(E2768:E$2)*(E2769=E2768:E$2)))))</f>
        <v> </v>
      </c>
      <c r="J2769" s="26" t="str">
        <f>IF(OR(E2769="",E2769="!!!",F2769="NEW"),"",COUNTBLANK(OFFSET(A$1,,,SUMPRODUCT(MAX(ROW(E$2:E2769)*(E2769=E$2:E2769)))))-COUNTBLANK(OFFSET(A$1,,,SUMPRODUCT(MAX(ROW(E$1:E2768)*(E2=E$1:E2768))))))</f>
        <v> </v>
      </c>
      <c r="K2769" s="26" t="str">
        <f>IF(OR(E2769="",E2769="!!!",F2769="NEW"),"",INDEX(J$1:J2768,SUMPRODUCT(MAX(ROW(E$1:E2768)*(E2769=E$1:E2768)))))</f>
        <v> </v>
      </c>
      <c r="L2769" s="27"/>
    </row>
    <row r="2770" spans="1:12">
      <c r="A2770" s="20" t="s">
        <v>1752</v>
      </c>
      <c r="E2770" s="22">
        <f>IF(D2770="?OLD","!!!","")</f>
        <v/>
      </c>
      <c r="F2770" s="23" t="str">
        <f>IF(OR(E2770="",E2770="!!!"),"",IF(NOT(ISNA(VLOOKUP(E2770,E$1:E2769,1,FALSE()))),"OLD",IF(AND(E2770&lt;&gt;"",E2770&lt;&gt;"!!!"),"NEW","")))</f>
        <v> </v>
      </c>
      <c r="G2770" s="24" t="str">
        <f>IF(OR(E2770="",E2770="!!!"),"",IF(OR(J2770=0,AND(J2770=1,K2770=1),AND(J2770=1,I2770="SBJ"),AND(J2770=1,I2770=0)),"?IN_FOCUS",IF(J2770&lt;=2,"?ACTIVATED",IF(J2770&lt;&gt;"","?FAMILIAR",IF(F2770="NEW",IF(ISNA(VLOOKUP(E2770,#REF!,1,FALSE())),"?TYPE_IDENTIFIABLE","?REFERENTIAL"),"_")))))</f>
        <v> </v>
      </c>
      <c r="H2770" s="25" t="str">
        <f>IF(J2770&lt;&gt;1,"",IF(I2770="SBJ","CB","?"))</f>
        <v> </v>
      </c>
      <c r="I2770" s="26" t="str">
        <f>IF(OR(E2770="",E2770="!!!",F2770="NEW"),"",INDEX(B2769:B$2,-1+SUMPRODUCT(MAX(ROW(E2769:E$2)*(E2770=E2769:E$2)))))</f>
        <v> </v>
      </c>
      <c r="J2770" s="26" t="str">
        <f>IF(OR(E2770="",E2770="!!!",F2770="NEW"),"",COUNTBLANK(OFFSET(A$1,,,SUMPRODUCT(MAX(ROW(E$2:E2770)*(E2770=E$2:E2770)))))-COUNTBLANK(OFFSET(A$1,,,SUMPRODUCT(MAX(ROW(E$1:E2769)*(E2=E$1:E2769))))))</f>
        <v> </v>
      </c>
      <c r="K2770" s="26" t="str">
        <f>IF(OR(E2770="",E2770="!!!",F2770="NEW"),"",INDEX(J$1:J2769,SUMPRODUCT(MAX(ROW(E$1:E2769)*(E2770=E$1:E2769)))))</f>
        <v> </v>
      </c>
      <c r="L2770" s="27"/>
    </row>
    <row r="2771" spans="1:12">
      <c r="A2771" s="20" t="s">
        <v>1753</v>
      </c>
      <c r="B2771" s="21" t="s">
        <v>736</v>
      </c>
      <c r="C2771" s="21" t="s">
        <v>737</v>
      </c>
      <c r="E2771" s="22">
        <f>IF(D2771="?OLD","!!!","")</f>
        <v/>
      </c>
      <c r="F2771" s="23" t="str">
        <f>IF(OR(E2771="",E2771="!!!"),"",IF(NOT(ISNA(VLOOKUP(E2771,E$1:E2770,1,FALSE()))),"OLD",IF(AND(E2771&lt;&gt;"",E2771&lt;&gt;"!!!"),"NEW","")))</f>
        <v> </v>
      </c>
      <c r="G2771" s="24" t="str">
        <f>IF(OR(E2771="",E2771="!!!"),"",IF(OR(J2771=0,AND(J2771=1,K2771=1),AND(J2771=1,I2771="SBJ"),AND(J2771=1,I2771=0)),"?IN_FOCUS",IF(J2771&lt;=2,"?ACTIVATED",IF(J2771&lt;&gt;"","?FAMILIAR",IF(F2771="NEW",IF(ISNA(VLOOKUP(E2771,#REF!,1,FALSE())),"?TYPE_IDENTIFIABLE","?REFERENTIAL"),"_")))))</f>
        <v> </v>
      </c>
      <c r="H2771" s="25" t="str">
        <f>IF(J2771&lt;&gt;1,"",IF(I2771="SBJ","CB","?"))</f>
        <v> </v>
      </c>
      <c r="I2771" s="26" t="str">
        <f>IF(OR(E2771="",E2771="!!!",F2771="NEW"),"",INDEX(B2770:B$2,-1+SUMPRODUCT(MAX(ROW(E2770:E$2)*(E2771=E2770:E$2)))))</f>
        <v> </v>
      </c>
      <c r="J2771" s="26" t="str">
        <f>IF(OR(E2771="",E2771="!!!",F2771="NEW"),"",COUNTBLANK(OFFSET(A$1,,,SUMPRODUCT(MAX(ROW(E$2:E2771)*(E2771=E$2:E2771)))))-COUNTBLANK(OFFSET(A$1,,,SUMPRODUCT(MAX(ROW(E$1:E2770)*(E2=E$1:E2770))))))</f>
        <v> </v>
      </c>
      <c r="K2771" s="26" t="str">
        <f>IF(OR(E2771="",E2771="!!!",F2771="NEW"),"",INDEX(J$1:J2770,SUMPRODUCT(MAX(ROW(E$1:E2770)*(E2771=E$1:E2770)))))</f>
        <v> </v>
      </c>
      <c r="L2771" s="27"/>
    </row>
    <row r="2772" spans="1:12">
      <c r="A2772" s="20" t="s">
        <v>911</v>
      </c>
      <c r="E2772" s="22">
        <f>IF(D2772="?OLD","!!!","")</f>
        <v/>
      </c>
      <c r="F2772" s="23" t="str">
        <f>IF(OR(E2772="",E2772="!!!"),"",IF(NOT(ISNA(VLOOKUP(E2772,E$1:E2771,1,FALSE()))),"OLD",IF(AND(E2772&lt;&gt;"",E2772&lt;&gt;"!!!"),"NEW","")))</f>
        <v> </v>
      </c>
      <c r="G2772" s="24" t="str">
        <f>IF(OR(E2772="",E2772="!!!"),"",IF(OR(J2772=0,AND(J2772=1,K2772=1),AND(J2772=1,I2772="SBJ"),AND(J2772=1,I2772=0)),"?IN_FOCUS",IF(J2772&lt;=2,"?ACTIVATED",IF(J2772&lt;&gt;"","?FAMILIAR",IF(F2772="NEW",IF(ISNA(VLOOKUP(E2772,#REF!,1,FALSE())),"?TYPE_IDENTIFIABLE","?REFERENTIAL"),"_")))))</f>
        <v> </v>
      </c>
      <c r="H2772" s="25" t="str">
        <f>IF(J2772&lt;&gt;1,"",IF(I2772="SBJ","CB","?"))</f>
        <v> </v>
      </c>
      <c r="I2772" s="26" t="str">
        <f>IF(OR(E2772="",E2772="!!!",F2772="NEW"),"",INDEX(B2771:B$2,-1+SUMPRODUCT(MAX(ROW(E2771:E$2)*(E2772=E2771:E$2)))))</f>
        <v> </v>
      </c>
      <c r="J2772" s="26" t="str">
        <f>IF(OR(E2772="",E2772="!!!",F2772="NEW"),"",COUNTBLANK(OFFSET(A$1,,,SUMPRODUCT(MAX(ROW(E$2:E2772)*(E2772=E$2:E2772)))))-COUNTBLANK(OFFSET(A$1,,,SUMPRODUCT(MAX(ROW(E$1:E2771)*(E2=E$1:E2771))))))</f>
        <v> </v>
      </c>
      <c r="K2772" s="26" t="str">
        <f>IF(OR(E2772="",E2772="!!!",F2772="NEW"),"",INDEX(J$1:J2771,SUMPRODUCT(MAX(ROW(E$1:E2771)*(E2772=E$1:E2771)))))</f>
        <v> </v>
      </c>
      <c r="L2772" s="27"/>
    </row>
    <row r="2773" spans="1:12">
      <c r="A2773" s="20" t="s">
        <v>750</v>
      </c>
      <c r="B2773" s="21" t="s">
        <v>728</v>
      </c>
      <c r="C2773" s="21" t="s">
        <v>729</v>
      </c>
      <c r="D2773" s="21" t="s">
        <v>730</v>
      </c>
      <c r="E2773" s="22">
        <f>IF(D2773="?OLD","!!!","")</f>
        <v/>
      </c>
      <c r="F2773" s="23" t="str">
        <f>IF(OR(E2773="",E2773="!!!"),"",IF(NOT(ISNA(VLOOKUP(E2773,E$1:E2772,1,FALSE()))),"OLD",IF(AND(E2773&lt;&gt;"",E2773&lt;&gt;"!!!"),"NEW","")))</f>
        <v> </v>
      </c>
      <c r="G2773" s="24" t="str">
        <f>IF(OR(E2773="",E2773="!!!"),"",IF(OR(J2773=0,AND(J2773=1,K2773=1),AND(J2773=1,I2773="SBJ"),AND(J2773=1,I2773=0)),"?IN_FOCUS",IF(J2773&lt;=2,"?ACTIVATED",IF(J2773&lt;&gt;"","?FAMILIAR",IF(F2773="NEW",IF(ISNA(VLOOKUP(E2773,#REF!,1,FALSE())),"?TYPE_IDENTIFIABLE","?REFERENTIAL"),"_")))))</f>
        <v> </v>
      </c>
      <c r="H2773" s="25" t="str">
        <f>IF(J2773&lt;&gt;1,"",IF(I2773="SBJ","CB","?"))</f>
        <v> </v>
      </c>
      <c r="I2773" s="26" t="str">
        <f>IF(OR(E2773="",E2773="!!!",F2773="NEW"),"",INDEX(B2772:B$2,-1+SUMPRODUCT(MAX(ROW(E2772:E$2)*(E2773=E2772:E$2)))))</f>
        <v> </v>
      </c>
      <c r="J2773" s="26" t="str">
        <f>IF(OR(E2773="",E2773="!!!",F2773="NEW"),"",COUNTBLANK(OFFSET(A$1,,,SUMPRODUCT(MAX(ROW(E$2:E2773)*(E2773=E$2:E2773)))))-COUNTBLANK(OFFSET(A$1,,,SUMPRODUCT(MAX(ROW(E$1:E2772)*(E2=E$1:E2772))))))</f>
        <v> </v>
      </c>
      <c r="K2773" s="26" t="str">
        <f>IF(OR(E2773="",E2773="!!!",F2773="NEW"),"",INDEX(J$1:J2772,SUMPRODUCT(MAX(ROW(E$1:E2772)*(E2773=E$1:E2772)))))</f>
        <v> </v>
      </c>
      <c r="L2773" s="27"/>
    </row>
    <row r="2774" spans="1:12">
      <c r="A2774" s="20" t="s">
        <v>792</v>
      </c>
      <c r="B2774" s="21" t="s">
        <v>764</v>
      </c>
      <c r="E2774" s="22">
        <f>IF(D2774="?OLD","!!!","")</f>
        <v/>
      </c>
      <c r="F2774" s="23" t="str">
        <f>IF(OR(E2774="",E2774="!!!"),"",IF(NOT(ISNA(VLOOKUP(E2774,E$1:E2773,1,FALSE()))),"OLD",IF(AND(E2774&lt;&gt;"",E2774&lt;&gt;"!!!"),"NEW","")))</f>
        <v> </v>
      </c>
      <c r="G2774" s="24" t="str">
        <f>IF(OR(E2774="",E2774="!!!"),"",IF(OR(J2774=0,AND(J2774=1,K2774=1),AND(J2774=1,I2774="SBJ"),AND(J2774=1,I2774=0)),"?IN_FOCUS",IF(J2774&lt;=2,"?ACTIVATED",IF(J2774&lt;&gt;"","?FAMILIAR",IF(F2774="NEW",IF(ISNA(VLOOKUP(E2774,#REF!,1,FALSE())),"?TYPE_IDENTIFIABLE","?REFERENTIAL"),"_")))))</f>
        <v> </v>
      </c>
      <c r="H2774" s="25" t="str">
        <f>IF(J2774&lt;&gt;1,"",IF(I2774="SBJ","CB","?"))</f>
        <v> </v>
      </c>
      <c r="I2774" s="26" t="str">
        <f>IF(OR(E2774="",E2774="!!!",F2774="NEW"),"",INDEX(B2773:B$2,-1+SUMPRODUCT(MAX(ROW(E2773:E$2)*(E2774=E2773:E$2)))))</f>
        <v> </v>
      </c>
      <c r="J2774" s="26" t="str">
        <f>IF(OR(E2774="",E2774="!!!",F2774="NEW"),"",COUNTBLANK(OFFSET(A$1,,,SUMPRODUCT(MAX(ROW(E$2:E2774)*(E2774=E$2:E2774)))))-COUNTBLANK(OFFSET(A$1,,,SUMPRODUCT(MAX(ROW(E$1:E2773)*(E2=E$1:E2773))))))</f>
        <v> </v>
      </c>
      <c r="K2774" s="26" t="str">
        <f>IF(OR(E2774="",E2774="!!!",F2774="NEW"),"",INDEX(J$1:J2773,SUMPRODUCT(MAX(ROW(E$1:E2773)*(E2774=E$1:E2773)))))</f>
        <v> </v>
      </c>
      <c r="L2774" s="27"/>
    </row>
    <row r="2775" spans="1:12">
      <c r="A2775" s="20" t="s">
        <v>273</v>
      </c>
      <c r="E2775" s="22">
        <f>IF(D2775="?OLD","!!!","")</f>
        <v/>
      </c>
      <c r="F2775" s="23" t="str">
        <f>IF(OR(E2775="",E2775="!!!"),"",IF(NOT(ISNA(VLOOKUP(E2775,E$1:E2774,1,FALSE()))),"OLD",IF(AND(E2775&lt;&gt;"",E2775&lt;&gt;"!!!"),"NEW","")))</f>
        <v> </v>
      </c>
      <c r="G2775" s="24" t="str">
        <f>IF(OR(E2775="",E2775="!!!"),"",IF(OR(J2775=0,AND(J2775=1,K2775=1),AND(J2775=1,I2775="SBJ"),AND(J2775=1,I2775=0)),"?IN_FOCUS",IF(J2775&lt;=2,"?ACTIVATED",IF(J2775&lt;&gt;"","?FAMILIAR",IF(F2775="NEW",IF(ISNA(VLOOKUP(E2775,#REF!,1,FALSE())),"?TYPE_IDENTIFIABLE","?REFERENTIAL"),"_")))))</f>
        <v> </v>
      </c>
      <c r="H2775" s="25" t="str">
        <f>IF(J2775&lt;&gt;1,"",IF(I2775="SBJ","CB","?"))</f>
        <v> </v>
      </c>
      <c r="I2775" s="26" t="str">
        <f>IF(OR(E2775="",E2775="!!!",F2775="NEW"),"",INDEX(B2774:B$2,-1+SUMPRODUCT(MAX(ROW(E2774:E$2)*(E2775=E2774:E$2)))))</f>
        <v> </v>
      </c>
      <c r="J2775" s="26" t="str">
        <f>IF(OR(E2775="",E2775="!!!",F2775="NEW"),"",COUNTBLANK(OFFSET(A$1,,,SUMPRODUCT(MAX(ROW(E$2:E2775)*(E2775=E$2:E2775)))))-COUNTBLANK(OFFSET(A$1,,,SUMPRODUCT(MAX(ROW(E$1:E2774)*(E2=E$1:E2774))))))</f>
        <v> </v>
      </c>
      <c r="K2775" s="26" t="str">
        <f>IF(OR(E2775="",E2775="!!!",F2775="NEW"),"",INDEX(J$1:J2774,SUMPRODUCT(MAX(ROW(E$1:E2774)*(E2775=E$1:E2774)))))</f>
        <v> </v>
      </c>
      <c r="L2775" s="27"/>
    </row>
    <row r="2776" spans="1:12">
      <c r="A2776" s="20" t="s">
        <v>1147</v>
      </c>
      <c r="E2776" s="22">
        <f>IF(D2776="?OLD","!!!","")</f>
        <v/>
      </c>
      <c r="F2776" s="23" t="str">
        <f>IF(OR(E2776="",E2776="!!!"),"",IF(NOT(ISNA(VLOOKUP(E2776,E$1:E2775,1,FALSE()))),"OLD",IF(AND(E2776&lt;&gt;"",E2776&lt;&gt;"!!!"),"NEW","")))</f>
        <v> </v>
      </c>
      <c r="G2776" s="24" t="str">
        <f>IF(OR(E2776="",E2776="!!!"),"",IF(OR(J2776=0,AND(J2776=1,K2776=1),AND(J2776=1,I2776="SBJ"),AND(J2776=1,I2776=0)),"?IN_FOCUS",IF(J2776&lt;=2,"?ACTIVATED",IF(J2776&lt;&gt;"","?FAMILIAR",IF(F2776="NEW",IF(ISNA(VLOOKUP(E2776,#REF!,1,FALSE())),"?TYPE_IDENTIFIABLE","?REFERENTIAL"),"_")))))</f>
        <v> </v>
      </c>
      <c r="H2776" s="25" t="str">
        <f>IF(J2776&lt;&gt;1,"",IF(I2776="SBJ","CB","?"))</f>
        <v> </v>
      </c>
      <c r="I2776" s="26" t="str">
        <f>IF(OR(E2776="",E2776="!!!",F2776="NEW"),"",INDEX(B2775:B$2,-1+SUMPRODUCT(MAX(ROW(E2775:E$2)*(E2776=E2775:E$2)))))</f>
        <v> </v>
      </c>
      <c r="J2776" s="26" t="str">
        <f>IF(OR(E2776="",E2776="!!!",F2776="NEW"),"",COUNTBLANK(OFFSET(A$1,,,SUMPRODUCT(MAX(ROW(E$2:E2776)*(E2776=E$2:E2776)))))-COUNTBLANK(OFFSET(A$1,,,SUMPRODUCT(MAX(ROW(E$1:E2775)*(E2=E$1:E2775))))))</f>
        <v> </v>
      </c>
      <c r="K2776" s="26" t="str">
        <f>IF(OR(E2776="",E2776="!!!",F2776="NEW"),"",INDEX(J$1:J2775,SUMPRODUCT(MAX(ROW(E$1:E2775)*(E2776=E$1:E2775)))))</f>
        <v> </v>
      </c>
      <c r="L2776" s="27"/>
    </row>
    <row r="2777" spans="1:12">
      <c r="A2777" s="20" t="s">
        <v>817</v>
      </c>
      <c r="E2777" s="22">
        <f>IF(D2777="?OLD","!!!","")</f>
        <v/>
      </c>
      <c r="F2777" s="23" t="str">
        <f>IF(OR(E2777="",E2777="!!!"),"",IF(NOT(ISNA(VLOOKUP(E2777,E$1:E2776,1,FALSE()))),"OLD",IF(AND(E2777&lt;&gt;"",E2777&lt;&gt;"!!!"),"NEW","")))</f>
        <v> </v>
      </c>
      <c r="G2777" s="24" t="str">
        <f>IF(OR(E2777="",E2777="!!!"),"",IF(OR(J2777=0,AND(J2777=1,K2777=1),AND(J2777=1,I2777="SBJ"),AND(J2777=1,I2777=0)),"?IN_FOCUS",IF(J2777&lt;=2,"?ACTIVATED",IF(J2777&lt;&gt;"","?FAMILIAR",IF(F2777="NEW",IF(ISNA(VLOOKUP(E2777,#REF!,1,FALSE())),"?TYPE_IDENTIFIABLE","?REFERENTIAL"),"_")))))</f>
        <v> </v>
      </c>
      <c r="H2777" s="25" t="str">
        <f>IF(J2777&lt;&gt;1,"",IF(I2777="SBJ","CB","?"))</f>
        <v> </v>
      </c>
      <c r="I2777" s="26" t="str">
        <f>IF(OR(E2777="",E2777="!!!",F2777="NEW"),"",INDEX(B2776:B$2,-1+SUMPRODUCT(MAX(ROW(E2776:E$2)*(E2777=E2776:E$2)))))</f>
        <v> </v>
      </c>
      <c r="J2777" s="26" t="str">
        <f>IF(OR(E2777="",E2777="!!!",F2777="NEW"),"",COUNTBLANK(OFFSET(A$1,,,SUMPRODUCT(MAX(ROW(E$2:E2777)*(E2777=E$2:E2777)))))-COUNTBLANK(OFFSET(A$1,,,SUMPRODUCT(MAX(ROW(E$1:E2776)*(E2=E$1:E2776))))))</f>
        <v> </v>
      </c>
      <c r="K2777" s="26" t="str">
        <f>IF(OR(E2777="",E2777="!!!",F2777="NEW"),"",INDEX(J$1:J2776,SUMPRODUCT(MAX(ROW(E$1:E2776)*(E2777=E$1:E2776)))))</f>
        <v> </v>
      </c>
      <c r="L2777" s="27"/>
    </row>
    <row r="2778" spans="1:12">
      <c r="A2778" s="20" t="s">
        <v>969</v>
      </c>
      <c r="B2778" s="21" t="s">
        <v>739</v>
      </c>
      <c r="C2778" s="21" t="s">
        <v>789</v>
      </c>
      <c r="D2778" s="21" t="s">
        <v>730</v>
      </c>
      <c r="E2778" s="22">
        <f>IF(D2778="?OLD","!!!","")</f>
        <v/>
      </c>
      <c r="F2778" s="23" t="str">
        <f>IF(OR(E2778="",E2778="!!!"),"",IF(NOT(ISNA(VLOOKUP(E2778,E$1:E2777,1,FALSE()))),"OLD",IF(AND(E2778&lt;&gt;"",E2778&lt;&gt;"!!!"),"NEW","")))</f>
        <v> </v>
      </c>
      <c r="G2778" s="24" t="str">
        <f>IF(OR(E2778="",E2778="!!!"),"",IF(OR(J2778=0,AND(J2778=1,K2778=1),AND(J2778=1,I2778="SBJ"),AND(J2778=1,I2778=0)),"?IN_FOCUS",IF(J2778&lt;=2,"?ACTIVATED",IF(J2778&lt;&gt;"","?FAMILIAR",IF(F2778="NEW",IF(ISNA(VLOOKUP(E2778,#REF!,1,FALSE())),"?TYPE_IDENTIFIABLE","?REFERENTIAL"),"_")))))</f>
        <v> </v>
      </c>
      <c r="H2778" s="25" t="str">
        <f>IF(J2778&lt;&gt;1,"",IF(I2778="SBJ","CB","?"))</f>
        <v> </v>
      </c>
      <c r="I2778" s="26" t="str">
        <f>IF(OR(E2778="",E2778="!!!",F2778="NEW"),"",INDEX(B2777:B$2,-1+SUMPRODUCT(MAX(ROW(E2777:E$2)*(E2778=E2777:E$2)))))</f>
        <v> </v>
      </c>
      <c r="J2778" s="26" t="str">
        <f>IF(OR(E2778="",E2778="!!!",F2778="NEW"),"",COUNTBLANK(OFFSET(A$1,,,SUMPRODUCT(MAX(ROW(E$2:E2778)*(E2778=E$2:E2778)))))-COUNTBLANK(OFFSET(A$1,,,SUMPRODUCT(MAX(ROW(E$1:E2777)*(E2=E$1:E2777))))))</f>
        <v> </v>
      </c>
      <c r="K2778" s="26" t="str">
        <f>IF(OR(E2778="",E2778="!!!",F2778="NEW"),"",INDEX(J$1:J2777,SUMPRODUCT(MAX(ROW(E$1:E2777)*(E2778=E$1:E2777)))))</f>
        <v> </v>
      </c>
      <c r="L2778" s="27"/>
    </row>
    <row r="2779" spans="1:12">
      <c r="A2779" s="20" t="s">
        <v>1754</v>
      </c>
      <c r="B2779" s="21" t="s">
        <v>736</v>
      </c>
      <c r="C2779" s="21" t="s">
        <v>789</v>
      </c>
      <c r="D2779" s="21" t="s">
        <v>730</v>
      </c>
      <c r="E2779" s="22">
        <f>IF(D2779="?OLD","!!!","")</f>
        <v/>
      </c>
      <c r="F2779" s="23" t="str">
        <f>IF(OR(E2779="",E2779="!!!"),"",IF(NOT(ISNA(VLOOKUP(E2779,E$1:E2778,1,FALSE()))),"OLD",IF(AND(E2779&lt;&gt;"",E2779&lt;&gt;"!!!"),"NEW","")))</f>
        <v> </v>
      </c>
      <c r="G2779" s="24" t="str">
        <f>IF(OR(E2779="",E2779="!!!"),"",IF(OR(J2779=0,AND(J2779=1,K2779=1),AND(J2779=1,I2779="SBJ"),AND(J2779=1,I2779=0)),"?IN_FOCUS",IF(J2779&lt;=2,"?ACTIVATED",IF(J2779&lt;&gt;"","?FAMILIAR",IF(F2779="NEW",IF(ISNA(VLOOKUP(E2779,#REF!,1,FALSE())),"?TYPE_IDENTIFIABLE","?REFERENTIAL"),"_")))))</f>
        <v> </v>
      </c>
      <c r="H2779" s="25" t="str">
        <f>IF(J2779&lt;&gt;1,"",IF(I2779="SBJ","CB","?"))</f>
        <v> </v>
      </c>
      <c r="I2779" s="26" t="str">
        <f>IF(OR(E2779="",E2779="!!!",F2779="NEW"),"",INDEX(B2778:B$2,-1+SUMPRODUCT(MAX(ROW(E2778:E$2)*(E2779=E2778:E$2)))))</f>
        <v> </v>
      </c>
      <c r="J2779" s="26" t="str">
        <f>IF(OR(E2779="",E2779="!!!",F2779="NEW"),"",COUNTBLANK(OFFSET(A$1,,,SUMPRODUCT(MAX(ROW(E$2:E2779)*(E2779=E$2:E2779)))))-COUNTBLANK(OFFSET(A$1,,,SUMPRODUCT(MAX(ROW(E$1:E2778)*(E2=E$1:E2778))))))</f>
        <v> </v>
      </c>
      <c r="K2779" s="26" t="str">
        <f>IF(OR(E2779="",E2779="!!!",F2779="NEW"),"",INDEX(J$1:J2778,SUMPRODUCT(MAX(ROW(E$1:E2778)*(E2779=E$1:E2778)))))</f>
        <v> </v>
      </c>
      <c r="L2779" s="27"/>
    </row>
    <row r="2780" spans="1:12">
      <c r="A2780" s="20" t="s">
        <v>750</v>
      </c>
      <c r="B2780" s="21" t="s">
        <v>796</v>
      </c>
      <c r="C2780" s="21" t="s">
        <v>729</v>
      </c>
      <c r="D2780" s="21" t="s">
        <v>730</v>
      </c>
      <c r="E2780" s="22">
        <f>IF(D2780="?OLD","!!!","")</f>
        <v/>
      </c>
      <c r="F2780" s="23" t="str">
        <f>IF(OR(E2780="",E2780="!!!"),"",IF(NOT(ISNA(VLOOKUP(E2780,E$1:E2779,1,FALSE()))),"OLD",IF(AND(E2780&lt;&gt;"",E2780&lt;&gt;"!!!"),"NEW","")))</f>
        <v> </v>
      </c>
      <c r="G2780" s="24" t="str">
        <f>IF(OR(E2780="",E2780="!!!"),"",IF(OR(J2780=0,AND(J2780=1,K2780=1),AND(J2780=1,I2780="SBJ"),AND(J2780=1,I2780=0)),"?IN_FOCUS",IF(J2780&lt;=2,"?ACTIVATED",IF(J2780&lt;&gt;"","?FAMILIAR",IF(F2780="NEW",IF(ISNA(VLOOKUP(E2780,#REF!,1,FALSE())),"?TYPE_IDENTIFIABLE","?REFERENTIAL"),"_")))))</f>
        <v> </v>
      </c>
      <c r="H2780" s="25" t="str">
        <f>IF(J2780&lt;&gt;1,"",IF(I2780="SBJ","CB","?"))</f>
        <v> </v>
      </c>
      <c r="I2780" s="26" t="str">
        <f>IF(OR(E2780="",E2780="!!!",F2780="NEW"),"",INDEX(B2779:B$2,-1+SUMPRODUCT(MAX(ROW(E2779:E$2)*(E2780=E2779:E$2)))))</f>
        <v> </v>
      </c>
      <c r="J2780" s="26" t="str">
        <f>IF(OR(E2780="",E2780="!!!",F2780="NEW"),"",COUNTBLANK(OFFSET(A$1,,,SUMPRODUCT(MAX(ROW(E$2:E2780)*(E2780=E$2:E2780)))))-COUNTBLANK(OFFSET(A$1,,,SUMPRODUCT(MAX(ROW(E$1:E2779)*(E2=E$1:E2779))))))</f>
        <v> </v>
      </c>
      <c r="K2780" s="26" t="str">
        <f>IF(OR(E2780="",E2780="!!!",F2780="NEW"),"",INDEX(J$1:J2779,SUMPRODUCT(MAX(ROW(E$1:E2779)*(E2780=E$1:E2779)))))</f>
        <v> </v>
      </c>
      <c r="L2780" s="27"/>
    </row>
    <row r="2781" spans="1:12">
      <c r="A2781" s="20" t="s">
        <v>1309</v>
      </c>
      <c r="E2781" s="22">
        <f>IF(D2781="?OLD","!!!","")</f>
        <v/>
      </c>
      <c r="F2781" s="23" t="str">
        <f>IF(OR(E2781="",E2781="!!!"),"",IF(NOT(ISNA(VLOOKUP(E2781,E$1:E2780,1,FALSE()))),"OLD",IF(AND(E2781&lt;&gt;"",E2781&lt;&gt;"!!!"),"NEW","")))</f>
        <v> </v>
      </c>
      <c r="G2781" s="24" t="str">
        <f>IF(OR(E2781="",E2781="!!!"),"",IF(OR(J2781=0,AND(J2781=1,K2781=1),AND(J2781=1,I2781="SBJ"),AND(J2781=1,I2781=0)),"?IN_FOCUS",IF(J2781&lt;=2,"?ACTIVATED",IF(J2781&lt;&gt;"","?FAMILIAR",IF(F2781="NEW",IF(ISNA(VLOOKUP(E2781,#REF!,1,FALSE())),"?TYPE_IDENTIFIABLE","?REFERENTIAL"),"_")))))</f>
        <v> </v>
      </c>
      <c r="H2781" s="25" t="str">
        <f>IF(J2781&lt;&gt;1,"",IF(I2781="SBJ","CB","?"))</f>
        <v> </v>
      </c>
      <c r="I2781" s="26" t="str">
        <f>IF(OR(E2781="",E2781="!!!",F2781="NEW"),"",INDEX(B2780:B$2,-1+SUMPRODUCT(MAX(ROW(E2780:E$2)*(E2781=E2780:E$2)))))</f>
        <v> </v>
      </c>
      <c r="J2781" s="26" t="str">
        <f>IF(OR(E2781="",E2781="!!!",F2781="NEW"),"",COUNTBLANK(OFFSET(A$1,,,SUMPRODUCT(MAX(ROW(E$2:E2781)*(E2781=E$2:E2781)))))-COUNTBLANK(OFFSET(A$1,,,SUMPRODUCT(MAX(ROW(E$1:E2780)*(E2=E$1:E2780))))))</f>
        <v> </v>
      </c>
      <c r="K2781" s="26" t="str">
        <f>IF(OR(E2781="",E2781="!!!",F2781="NEW"),"",INDEX(J$1:J2780,SUMPRODUCT(MAX(ROW(E$1:E2780)*(E2781=E$1:E2780)))))</f>
        <v> </v>
      </c>
      <c r="L2781" s="27"/>
    </row>
    <row r="2782" spans="1:12">
      <c r="A2782" s="20" t="s">
        <v>979</v>
      </c>
      <c r="E2782" s="22">
        <f>IF(D2782="?OLD","!!!","")</f>
        <v/>
      </c>
      <c r="F2782" s="23" t="str">
        <f>IF(OR(E2782="",E2782="!!!"),"",IF(NOT(ISNA(VLOOKUP(E2782,E$1:E2781,1,FALSE()))),"OLD",IF(AND(E2782&lt;&gt;"",E2782&lt;&gt;"!!!"),"NEW","")))</f>
        <v> </v>
      </c>
      <c r="G2782" s="24" t="str">
        <f>IF(OR(E2782="",E2782="!!!"),"",IF(OR(J2782=0,AND(J2782=1,K2782=1),AND(J2782=1,I2782="SBJ"),AND(J2782=1,I2782=0)),"?IN_FOCUS",IF(J2782&lt;=2,"?ACTIVATED",IF(J2782&lt;&gt;"","?FAMILIAR",IF(F2782="NEW",IF(ISNA(VLOOKUP(E2782,#REF!,1,FALSE())),"?TYPE_IDENTIFIABLE","?REFERENTIAL"),"_")))))</f>
        <v> </v>
      </c>
      <c r="H2782" s="25" t="str">
        <f>IF(J2782&lt;&gt;1,"",IF(I2782="SBJ","CB","?"))</f>
        <v> </v>
      </c>
      <c r="I2782" s="26" t="str">
        <f>IF(OR(E2782="",E2782="!!!",F2782="NEW"),"",INDEX(B2781:B$2,-1+SUMPRODUCT(MAX(ROW(E2781:E$2)*(E2782=E2781:E$2)))))</f>
        <v> </v>
      </c>
      <c r="J2782" s="26" t="str">
        <f>IF(OR(E2782="",E2782="!!!",F2782="NEW"),"",COUNTBLANK(OFFSET(A$1,,,SUMPRODUCT(MAX(ROW(E$2:E2782)*(E2782=E$2:E2782)))))-COUNTBLANK(OFFSET(A$1,,,SUMPRODUCT(MAX(ROW(E$1:E2781)*(E2=E$1:E2781))))))</f>
        <v> </v>
      </c>
      <c r="K2782" s="26" t="str">
        <f>IF(OR(E2782="",E2782="!!!",F2782="NEW"),"",INDEX(J$1:J2781,SUMPRODUCT(MAX(ROW(E$1:E2781)*(E2782=E$1:E2781)))))</f>
        <v> </v>
      </c>
      <c r="L2782" s="27"/>
    </row>
    <row r="2783" spans="1:12">
      <c r="A2783" s="20" t="s">
        <v>1755</v>
      </c>
      <c r="E2783" s="22">
        <f>IF(D2783="?OLD","!!!","")</f>
        <v/>
      </c>
      <c r="F2783" s="23" t="str">
        <f>IF(OR(E2783="",E2783="!!!"),"",IF(NOT(ISNA(VLOOKUP(E2783,E$1:E2782,1,FALSE()))),"OLD",IF(AND(E2783&lt;&gt;"",E2783&lt;&gt;"!!!"),"NEW","")))</f>
        <v> </v>
      </c>
      <c r="G2783" s="24" t="str">
        <f>IF(OR(E2783="",E2783="!!!"),"",IF(OR(J2783=0,AND(J2783=1,K2783=1),AND(J2783=1,I2783="SBJ"),AND(J2783=1,I2783=0)),"?IN_FOCUS",IF(J2783&lt;=2,"?ACTIVATED",IF(J2783&lt;&gt;"","?FAMILIAR",IF(F2783="NEW",IF(ISNA(VLOOKUP(E2783,#REF!,1,FALSE())),"?TYPE_IDENTIFIABLE","?REFERENTIAL"),"_")))))</f>
        <v> </v>
      </c>
      <c r="H2783" s="25" t="str">
        <f>IF(J2783&lt;&gt;1,"",IF(I2783="SBJ","CB","?"))</f>
        <v> </v>
      </c>
      <c r="I2783" s="26" t="str">
        <f>IF(OR(E2783="",E2783="!!!",F2783="NEW"),"",INDEX(B2782:B$2,-1+SUMPRODUCT(MAX(ROW(E2782:E$2)*(E2783=E2782:E$2)))))</f>
        <v> </v>
      </c>
      <c r="J2783" s="26" t="str">
        <f>IF(OR(E2783="",E2783="!!!",F2783="NEW"),"",COUNTBLANK(OFFSET(A$1,,,SUMPRODUCT(MAX(ROW(E$2:E2783)*(E2783=E$2:E2783)))))-COUNTBLANK(OFFSET(A$1,,,SUMPRODUCT(MAX(ROW(E$1:E2782)*(E2=E$1:E2782))))))</f>
        <v> </v>
      </c>
      <c r="K2783" s="26" t="str">
        <f>IF(OR(E2783="",E2783="!!!",F2783="NEW"),"",INDEX(J$1:J2782,SUMPRODUCT(MAX(ROW(E$1:E2782)*(E2783=E$1:E2782)))))</f>
        <v> </v>
      </c>
      <c r="L2783" s="27"/>
    </row>
    <row r="2784" spans="1:12">
      <c r="A2784" s="20"/>
    </row>
    <row r="2785" spans="1:12">
      <c r="A2785" s="20" t="s">
        <v>1756</v>
      </c>
    </row>
    <row r="2786" spans="1:12">
      <c r="A2786" s="20" t="s">
        <v>1757</v>
      </c>
      <c r="E2786" s="22">
        <f>IF(D2786="?OLD","!!!","")</f>
        <v/>
      </c>
      <c r="F2786" s="23" t="str">
        <f>IF(OR(E2786="",E2786="!!!"),"",IF(NOT(ISNA(VLOOKUP(E2786,E$1:E2785,1,FALSE()))),"OLD",IF(AND(E2786&lt;&gt;"",E2786&lt;&gt;"!!!"),"NEW","")))</f>
        <v> </v>
      </c>
      <c r="G2786" s="24" t="str">
        <f>IF(OR(E2786="",E2786="!!!"),"",IF(OR(J2786=0,AND(J2786=1,K2786=1),AND(J2786=1,I2786="SBJ"),AND(J2786=1,I2786=0)),"?IN_FOCUS",IF(J2786&lt;=2,"?ACTIVATED",IF(J2786&lt;&gt;"","?FAMILIAR",IF(F2786="NEW",IF(ISNA(VLOOKUP(E2786,#REF!,1,FALSE())),"?TYPE_IDENTIFIABLE","?REFERENTIAL"),"_")))))</f>
        <v> </v>
      </c>
      <c r="H2786" s="25" t="str">
        <f>IF(J2786&lt;&gt;1,"",IF(I2786="SBJ","CB","?"))</f>
        <v> </v>
      </c>
      <c r="I2786" s="26" t="str">
        <f>IF(OR(E2786="",E2786="!!!",F2786="NEW"),"",INDEX(B2785:B$2,-1+SUMPRODUCT(MAX(ROW(E2785:E$2)*(E2786=E2785:E$2)))))</f>
        <v> </v>
      </c>
      <c r="J2786" s="26" t="str">
        <f>IF(OR(E2786="",E2786="!!!",F2786="NEW"),"",COUNTBLANK(OFFSET(A$1,,,SUMPRODUCT(MAX(ROW(E$2:E2786)*(E2786=E$2:E2786)))))-COUNTBLANK(OFFSET(A$1,,,SUMPRODUCT(MAX(ROW(E$1:E2785)*(E2=E$1:E2785))))))</f>
        <v> </v>
      </c>
      <c r="K2786" s="26" t="str">
        <f>IF(OR(E2786="",E2786="!!!",F2786="NEW"),"",INDEX(J$1:J2785,SUMPRODUCT(MAX(ROW(E$1:E2785)*(E2786=E$1:E2785)))))</f>
        <v> </v>
      </c>
      <c r="L2786" s="27"/>
    </row>
    <row r="2787" spans="1:12">
      <c r="A2787" s="20" t="s">
        <v>1754</v>
      </c>
      <c r="B2787" s="21" t="s">
        <v>736</v>
      </c>
      <c r="C2787" s="21" t="s">
        <v>789</v>
      </c>
      <c r="D2787" s="21" t="s">
        <v>730</v>
      </c>
      <c r="E2787" s="22">
        <f>IF(D2787="?OLD","!!!","")</f>
        <v/>
      </c>
      <c r="F2787" s="23" t="str">
        <f>IF(OR(E2787="",E2787="!!!"),"",IF(NOT(ISNA(VLOOKUP(E2787,E$1:E2786,1,FALSE()))),"OLD",IF(AND(E2787&lt;&gt;"",E2787&lt;&gt;"!!!"),"NEW","")))</f>
        <v> </v>
      </c>
      <c r="G2787" s="24" t="str">
        <f>IF(OR(E2787="",E2787="!!!"),"",IF(OR(J2787=0,AND(J2787=1,K2787=1),AND(J2787=1,I2787="SBJ"),AND(J2787=1,I2787=0)),"?IN_FOCUS",IF(J2787&lt;=2,"?ACTIVATED",IF(J2787&lt;&gt;"","?FAMILIAR",IF(F2787="NEW",IF(ISNA(VLOOKUP(E2787,#REF!,1,FALSE())),"?TYPE_IDENTIFIABLE","?REFERENTIAL"),"_")))))</f>
        <v> </v>
      </c>
      <c r="H2787" s="25" t="str">
        <f>IF(J2787&lt;&gt;1,"",IF(I2787="SBJ","CB","?"))</f>
        <v> </v>
      </c>
      <c r="I2787" s="26" t="str">
        <f>IF(OR(E2787="",E2787="!!!",F2787="NEW"),"",INDEX(B2786:B$2,-1+SUMPRODUCT(MAX(ROW(E2786:E$2)*(E2787=E2786:E$2)))))</f>
        <v> </v>
      </c>
      <c r="J2787" s="26" t="str">
        <f>IF(OR(E2787="",E2787="!!!",F2787="NEW"),"",COUNTBLANK(OFFSET(A$1,,,SUMPRODUCT(MAX(ROW(E$2:E2787)*(E2787=E$2:E2787)))))-COUNTBLANK(OFFSET(A$1,,,SUMPRODUCT(MAX(ROW(E$1:E2786)*(E2=E$1:E2786))))))</f>
        <v> </v>
      </c>
      <c r="K2787" s="26" t="str">
        <f>IF(OR(E2787="",E2787="!!!",F2787="NEW"),"",INDEX(J$1:J2786,SUMPRODUCT(MAX(ROW(E$1:E2786)*(E2787=E$1:E2786)))))</f>
        <v> </v>
      </c>
      <c r="L2787" s="27"/>
    </row>
    <row r="2788" spans="1:12">
      <c r="A2788" s="20" t="s">
        <v>750</v>
      </c>
      <c r="B2788" s="21" t="s">
        <v>728</v>
      </c>
      <c r="C2788" s="21" t="s">
        <v>729</v>
      </c>
      <c r="D2788" s="21" t="s">
        <v>730</v>
      </c>
      <c r="E2788" s="22">
        <f>IF(D2788="?OLD","!!!","")</f>
        <v/>
      </c>
      <c r="F2788" s="23" t="str">
        <f>IF(OR(E2788="",E2788="!!!"),"",IF(NOT(ISNA(VLOOKUP(E2788,E$1:E2787,1,FALSE()))),"OLD",IF(AND(E2788&lt;&gt;"",E2788&lt;&gt;"!!!"),"NEW","")))</f>
        <v> </v>
      </c>
      <c r="G2788" s="24" t="str">
        <f>IF(OR(E2788="",E2788="!!!"),"",IF(OR(J2788=0,AND(J2788=1,K2788=1),AND(J2788=1,I2788="SBJ"),AND(J2788=1,I2788=0)),"?IN_FOCUS",IF(J2788&lt;=2,"?ACTIVATED",IF(J2788&lt;&gt;"","?FAMILIAR",IF(F2788="NEW",IF(ISNA(VLOOKUP(E2788,#REF!,1,FALSE())),"?TYPE_IDENTIFIABLE","?REFERENTIAL"),"_")))))</f>
        <v> </v>
      </c>
      <c r="H2788" s="25" t="str">
        <f>IF(J2788&lt;&gt;1,"",IF(I2788="SBJ","CB","?"))</f>
        <v> </v>
      </c>
      <c r="I2788" s="26" t="str">
        <f>IF(OR(E2788="",E2788="!!!",F2788="NEW"),"",INDEX(B2787:B$2,-1+SUMPRODUCT(MAX(ROW(E2787:E$2)*(E2788=E2787:E$2)))))</f>
        <v> </v>
      </c>
      <c r="J2788" s="26" t="str">
        <f>IF(OR(E2788="",E2788="!!!",F2788="NEW"),"",COUNTBLANK(OFFSET(A$1,,,SUMPRODUCT(MAX(ROW(E$2:E2788)*(E2788=E$2:E2788)))))-COUNTBLANK(OFFSET(A$1,,,SUMPRODUCT(MAX(ROW(E$1:E2787)*(E2=E$1:E2787))))))</f>
        <v> </v>
      </c>
      <c r="K2788" s="26" t="str">
        <f>IF(OR(E2788="",E2788="!!!",F2788="NEW"),"",INDEX(J$1:J2787,SUMPRODUCT(MAX(ROW(E$1:E2787)*(E2788=E$1:E2787)))))</f>
        <v> </v>
      </c>
      <c r="L2788" s="27"/>
    </row>
    <row r="2789" spans="1:12">
      <c r="A2789" s="20" t="s">
        <v>776</v>
      </c>
      <c r="B2789" s="21" t="s">
        <v>764</v>
      </c>
      <c r="E2789" s="22">
        <f>IF(D2789="?OLD","!!!","")</f>
        <v/>
      </c>
      <c r="F2789" s="23" t="str">
        <f>IF(OR(E2789="",E2789="!!!"),"",IF(NOT(ISNA(VLOOKUP(E2789,E$1:E2788,1,FALSE()))),"OLD",IF(AND(E2789&lt;&gt;"",E2789&lt;&gt;"!!!"),"NEW","")))</f>
        <v> </v>
      </c>
      <c r="G2789" s="24" t="str">
        <f>IF(OR(E2789="",E2789="!!!"),"",IF(OR(J2789=0,AND(J2789=1,K2789=1),AND(J2789=1,I2789="SBJ"),AND(J2789=1,I2789=0)),"?IN_FOCUS",IF(J2789&lt;=2,"?ACTIVATED",IF(J2789&lt;&gt;"","?FAMILIAR",IF(F2789="NEW",IF(ISNA(VLOOKUP(E2789,#REF!,1,FALSE())),"?TYPE_IDENTIFIABLE","?REFERENTIAL"),"_")))))</f>
        <v> </v>
      </c>
      <c r="H2789" s="25" t="str">
        <f>IF(J2789&lt;&gt;1,"",IF(I2789="SBJ","CB","?"))</f>
        <v> </v>
      </c>
      <c r="I2789" s="26" t="str">
        <f>IF(OR(E2789="",E2789="!!!",F2789="NEW"),"",INDEX(B2788:B$2,-1+SUMPRODUCT(MAX(ROW(E2788:E$2)*(E2789=E2788:E$2)))))</f>
        <v> </v>
      </c>
      <c r="J2789" s="26" t="str">
        <f>IF(OR(E2789="",E2789="!!!",F2789="NEW"),"",COUNTBLANK(OFFSET(A$1,,,SUMPRODUCT(MAX(ROW(E$2:E2789)*(E2789=E$2:E2789)))))-COUNTBLANK(OFFSET(A$1,,,SUMPRODUCT(MAX(ROW(E$1:E2788)*(E2=E$1:E2788))))))</f>
        <v> </v>
      </c>
      <c r="K2789" s="26" t="str">
        <f>IF(OR(E2789="",E2789="!!!",F2789="NEW"),"",INDEX(J$1:J2788,SUMPRODUCT(MAX(ROW(E$1:E2788)*(E2789=E$1:E2788)))))</f>
        <v> </v>
      </c>
      <c r="L2789" s="27"/>
    </row>
    <row r="2790" spans="1:12">
      <c r="A2790" s="20" t="s">
        <v>1755</v>
      </c>
      <c r="E2790" s="22">
        <f>IF(D2790="?OLD","!!!","")</f>
        <v/>
      </c>
      <c r="F2790" s="23" t="str">
        <f>IF(OR(E2790="",E2790="!!!"),"",IF(NOT(ISNA(VLOOKUP(E2790,E$1:E2789,1,FALSE()))),"OLD",IF(AND(E2790&lt;&gt;"",E2790&lt;&gt;"!!!"),"NEW","")))</f>
        <v> </v>
      </c>
      <c r="G2790" s="24" t="str">
        <f>IF(OR(E2790="",E2790="!!!"),"",IF(OR(J2790=0,AND(J2790=1,K2790=1),AND(J2790=1,I2790="SBJ"),AND(J2790=1,I2790=0)),"?IN_FOCUS",IF(J2790&lt;=2,"?ACTIVATED",IF(J2790&lt;&gt;"","?FAMILIAR",IF(F2790="NEW",IF(ISNA(VLOOKUP(E2790,#REF!,1,FALSE())),"?TYPE_IDENTIFIABLE","?REFERENTIAL"),"_")))))</f>
        <v> </v>
      </c>
      <c r="H2790" s="25" t="str">
        <f>IF(J2790&lt;&gt;1,"",IF(I2790="SBJ","CB","?"))</f>
        <v> </v>
      </c>
      <c r="I2790" s="26" t="str">
        <f>IF(OR(E2790="",E2790="!!!",F2790="NEW"),"",INDEX(B2789:B$2,-1+SUMPRODUCT(MAX(ROW(E2789:E$2)*(E2790=E2789:E$2)))))</f>
        <v> </v>
      </c>
      <c r="J2790" s="26" t="str">
        <f>IF(OR(E2790="",E2790="!!!",F2790="NEW"),"",COUNTBLANK(OFFSET(A$1,,,SUMPRODUCT(MAX(ROW(E$2:E2790)*(E2790=E$2:E2790)))))-COUNTBLANK(OFFSET(A$1,,,SUMPRODUCT(MAX(ROW(E$1:E2789)*(E2=E$1:E2789))))))</f>
        <v> </v>
      </c>
      <c r="K2790" s="26" t="str">
        <f>IF(OR(E2790="",E2790="!!!",F2790="NEW"),"",INDEX(J$1:J2789,SUMPRODUCT(MAX(ROW(E$1:E2789)*(E2790=E$1:E2789)))))</f>
        <v> </v>
      </c>
      <c r="L2790" s="27"/>
    </row>
    <row r="2791" spans="1:12">
      <c r="A2791" s="20"/>
    </row>
    <row r="2792" spans="1:12">
      <c r="A2792" s="20" t="s">
        <v>798</v>
      </c>
      <c r="E2792" s="22">
        <f>IF(D2792="?OLD","!!!","")</f>
        <v/>
      </c>
      <c r="F2792" s="23" t="str">
        <f>IF(OR(E2792="",E2792="!!!"),"",IF(NOT(ISNA(VLOOKUP(E2792,E$1:E2791,1,FALSE()))),"OLD",IF(AND(E2792&lt;&gt;"",E2792&lt;&gt;"!!!"),"NEW","")))</f>
        <v> </v>
      </c>
      <c r="G2792" s="24" t="str">
        <f>IF(OR(E2792="",E2792="!!!"),"",IF(OR(J2792=0,AND(J2792=1,K2792=1),AND(J2792=1,I2792="SBJ"),AND(J2792=1,I2792=0)),"?IN_FOCUS",IF(J2792&lt;=2,"?ACTIVATED",IF(J2792&lt;&gt;"","?FAMILIAR",IF(F2792="NEW",IF(ISNA(VLOOKUP(E2792,#REF!,1,FALSE())),"?TYPE_IDENTIFIABLE","?REFERENTIAL"),"_")))))</f>
        <v> </v>
      </c>
      <c r="H2792" s="25" t="str">
        <f>IF(J2792&lt;&gt;1,"",IF(I2792="SBJ","CB","?"))</f>
        <v> </v>
      </c>
      <c r="I2792" s="26" t="str">
        <f>IF(OR(E2792="",E2792="!!!",F2792="NEW"),"",INDEX(B2791:B$2,-1+SUMPRODUCT(MAX(ROW(E2791:E$2)*(E2792=E2791:E$2)))))</f>
        <v> </v>
      </c>
      <c r="J2792" s="26" t="str">
        <f>IF(OR(E2792="",E2792="!!!",F2792="NEW"),"",COUNTBLANK(OFFSET(A$1,,,SUMPRODUCT(MAX(ROW(E$2:E2792)*(E2792=E$2:E2792)))))-COUNTBLANK(OFFSET(A$1,,,SUMPRODUCT(MAX(ROW(E$1:E2791)*(E2=E$1:E2791))))))</f>
        <v> </v>
      </c>
      <c r="K2792" s="26" t="str">
        <f>IF(OR(E2792="",E2792="!!!",F2792="NEW"),"",INDEX(J$1:J2791,SUMPRODUCT(MAX(ROW(E$1:E2791)*(E2792=E$1:E2791)))))</f>
        <v> </v>
      </c>
      <c r="L2792" s="27"/>
    </row>
    <row r="2793" spans="1:12">
      <c r="A2793" s="20" t="s">
        <v>1758</v>
      </c>
    </row>
    <row r="2794" spans="1:12">
      <c r="A2794" s="20" t="s">
        <v>969</v>
      </c>
      <c r="B2794" s="21" t="s">
        <v>728</v>
      </c>
      <c r="C2794" s="21" t="s">
        <v>789</v>
      </c>
      <c r="D2794" s="21" t="s">
        <v>730</v>
      </c>
      <c r="E2794" s="22">
        <f>IF(D2794="?OLD","!!!","")</f>
        <v/>
      </c>
      <c r="F2794" s="23" t="str">
        <f>IF(OR(E2794="",E2794="!!!"),"",IF(NOT(ISNA(VLOOKUP(E2794,E$1:E2793,1,FALSE()))),"OLD",IF(AND(E2794&lt;&gt;"",E2794&lt;&gt;"!!!"),"NEW","")))</f>
        <v> </v>
      </c>
      <c r="G2794" s="24" t="str">
        <f>IF(OR(E2794="",E2794="!!!"),"",IF(OR(J2794=0,AND(J2794=1,K2794=1),AND(J2794=1,I2794="SBJ"),AND(J2794=1,I2794=0)),"?IN_FOCUS",IF(J2794&lt;=2,"?ACTIVATED",IF(J2794&lt;&gt;"","?FAMILIAR",IF(F2794="NEW",IF(ISNA(VLOOKUP(E2794,#REF!,1,FALSE())),"?TYPE_IDENTIFIABLE","?REFERENTIAL"),"_")))))</f>
        <v> </v>
      </c>
      <c r="H2794" s="25" t="str">
        <f>IF(J2794&lt;&gt;1,"",IF(I2794="SBJ","CB","?"))</f>
        <v> </v>
      </c>
      <c r="I2794" s="26" t="str">
        <f>IF(OR(E2794="",E2794="!!!",F2794="NEW"),"",INDEX(B2793:B$2,-1+SUMPRODUCT(MAX(ROW(E2793:E$2)*(E2794=E2793:E$2)))))</f>
        <v> </v>
      </c>
      <c r="J2794" s="26" t="str">
        <f>IF(OR(E2794="",E2794="!!!",F2794="NEW"),"",COUNTBLANK(OFFSET(A$1,,,SUMPRODUCT(MAX(ROW(E$2:E2794)*(E2794=E$2:E2794)))))-COUNTBLANK(OFFSET(A$1,,,SUMPRODUCT(MAX(ROW(E$1:E2793)*(E2=E$1:E2793))))))</f>
        <v> </v>
      </c>
      <c r="K2794" s="26" t="str">
        <f>IF(OR(E2794="",E2794="!!!",F2794="NEW"),"",INDEX(J$1:J2793,SUMPRODUCT(MAX(ROW(E$1:E2793)*(E2794=E$1:E2793)))))</f>
        <v> </v>
      </c>
      <c r="L2794" s="27"/>
    </row>
    <row r="2795" spans="1:12">
      <c r="A2795" s="20" t="s">
        <v>1759</v>
      </c>
      <c r="E2795" s="22">
        <f>IF(D2795="?OLD","!!!","")</f>
        <v/>
      </c>
      <c r="F2795" s="23" t="str">
        <f>IF(OR(E2795="",E2795="!!!"),"",IF(NOT(ISNA(VLOOKUP(E2795,E$1:E2794,1,FALSE()))),"OLD",IF(AND(E2795&lt;&gt;"",E2795&lt;&gt;"!!!"),"NEW","")))</f>
        <v> </v>
      </c>
      <c r="G2795" s="24" t="str">
        <f>IF(OR(E2795="",E2795="!!!"),"",IF(OR(J2795=0,AND(J2795=1,K2795=1),AND(J2795=1,I2795="SBJ"),AND(J2795=1,I2795=0)),"?IN_FOCUS",IF(J2795&lt;=2,"?ACTIVATED",IF(J2795&lt;&gt;"","?FAMILIAR",IF(F2795="NEW",IF(ISNA(VLOOKUP(E2795,#REF!,1,FALSE())),"?TYPE_IDENTIFIABLE","?REFERENTIAL"),"_")))))</f>
        <v> </v>
      </c>
      <c r="H2795" s="25" t="str">
        <f>IF(J2795&lt;&gt;1,"",IF(I2795="SBJ","CB","?"))</f>
        <v> </v>
      </c>
      <c r="I2795" s="26" t="str">
        <f>IF(OR(E2795="",E2795="!!!",F2795="NEW"),"",INDEX(B2794:B$2,-1+SUMPRODUCT(MAX(ROW(E2794:E$2)*(E2795=E2794:E$2)))))</f>
        <v> </v>
      </c>
      <c r="J2795" s="26" t="str">
        <f>IF(OR(E2795="",E2795="!!!",F2795="NEW"),"",COUNTBLANK(OFFSET(A$1,,,SUMPRODUCT(MAX(ROW(E$2:E2795)*(E2795=E$2:E2795)))))-COUNTBLANK(OFFSET(A$1,,,SUMPRODUCT(MAX(ROW(E$1:E2794)*(E2=E$1:E2794))))))</f>
        <v> </v>
      </c>
      <c r="K2795" s="26" t="str">
        <f>IF(OR(E2795="",E2795="!!!",F2795="NEW"),"",INDEX(J$1:J2794,SUMPRODUCT(MAX(ROW(E$1:E2794)*(E2795=E$1:E2794)))))</f>
        <v> </v>
      </c>
      <c r="L2795" s="27"/>
    </row>
    <row r="2796" spans="1:12">
      <c r="A2796" s="20" t="s">
        <v>838</v>
      </c>
      <c r="E2796" s="22">
        <f>IF(D2796="?OLD","!!!","")</f>
        <v/>
      </c>
      <c r="F2796" s="23" t="str">
        <f>IF(OR(E2796="",E2796="!!!"),"",IF(NOT(ISNA(VLOOKUP(E2796,E$1:E2795,1,FALSE()))),"OLD",IF(AND(E2796&lt;&gt;"",E2796&lt;&gt;"!!!"),"NEW","")))</f>
        <v> </v>
      </c>
      <c r="G2796" s="24" t="str">
        <f>IF(OR(E2796="",E2796="!!!"),"",IF(OR(J2796=0,AND(J2796=1,K2796=1),AND(J2796=1,I2796="SBJ"),AND(J2796=1,I2796=0)),"?IN_FOCUS",IF(J2796&lt;=2,"?ACTIVATED",IF(J2796&lt;&gt;"","?FAMILIAR",IF(F2796="NEW",IF(ISNA(VLOOKUP(E2796,#REF!,1,FALSE())),"?TYPE_IDENTIFIABLE","?REFERENTIAL"),"_")))))</f>
        <v> </v>
      </c>
      <c r="H2796" s="25" t="str">
        <f>IF(J2796&lt;&gt;1,"",IF(I2796="SBJ","CB","?"))</f>
        <v> </v>
      </c>
      <c r="I2796" s="26" t="str">
        <f>IF(OR(E2796="",E2796="!!!",F2796="NEW"),"",INDEX(B2795:B$2,-1+SUMPRODUCT(MAX(ROW(E2795:E$2)*(E2796=E2795:E$2)))))</f>
        <v> </v>
      </c>
      <c r="J2796" s="26" t="str">
        <f>IF(OR(E2796="",E2796="!!!",F2796="NEW"),"",COUNTBLANK(OFFSET(A$1,,,SUMPRODUCT(MAX(ROW(E$2:E2796)*(E2796=E$2:E2796)))))-COUNTBLANK(OFFSET(A$1,,,SUMPRODUCT(MAX(ROW(E$1:E2795)*(E2=E$1:E2795))))))</f>
        <v> </v>
      </c>
      <c r="K2796" s="26" t="str">
        <f>IF(OR(E2796="",E2796="!!!",F2796="NEW"),"",INDEX(J$1:J2795,SUMPRODUCT(MAX(ROW(E$1:E2795)*(E2796=E$1:E2795)))))</f>
        <v> </v>
      </c>
      <c r="L2796" s="27"/>
    </row>
    <row r="2797" spans="1:12">
      <c r="A2797" s="20" t="s">
        <v>1760</v>
      </c>
      <c r="E2797" s="22">
        <f>IF(D2797="?OLD","!!!","")</f>
        <v/>
      </c>
      <c r="F2797" s="23" t="str">
        <f>IF(OR(E2797="",E2797="!!!"),"",IF(NOT(ISNA(VLOOKUP(E2797,E$1:E2796,1,FALSE()))),"OLD",IF(AND(E2797&lt;&gt;"",E2797&lt;&gt;"!!!"),"NEW","")))</f>
        <v> </v>
      </c>
      <c r="G2797" s="24" t="str">
        <f>IF(OR(E2797="",E2797="!!!"),"",IF(OR(J2797=0,AND(J2797=1,K2797=1),AND(J2797=1,I2797="SBJ"),AND(J2797=1,I2797=0)),"?IN_FOCUS",IF(J2797&lt;=2,"?ACTIVATED",IF(J2797&lt;&gt;"","?FAMILIAR",IF(F2797="NEW",IF(ISNA(VLOOKUP(E2797,#REF!,1,FALSE())),"?TYPE_IDENTIFIABLE","?REFERENTIAL"),"_")))))</f>
        <v> </v>
      </c>
      <c r="H2797" s="25" t="str">
        <f>IF(J2797&lt;&gt;1,"",IF(I2797="SBJ","CB","?"))</f>
        <v> </v>
      </c>
      <c r="I2797" s="26" t="str">
        <f>IF(OR(E2797="",E2797="!!!",F2797="NEW"),"",INDEX(B2796:B$2,-1+SUMPRODUCT(MAX(ROW(E2796:E$2)*(E2797=E2796:E$2)))))</f>
        <v> </v>
      </c>
      <c r="J2797" s="26" t="str">
        <f>IF(OR(E2797="",E2797="!!!",F2797="NEW"),"",COUNTBLANK(OFFSET(A$1,,,SUMPRODUCT(MAX(ROW(E$2:E2797)*(E2797=E$2:E2797)))))-COUNTBLANK(OFFSET(A$1,,,SUMPRODUCT(MAX(ROW(E$1:E2796)*(E2=E$1:E2796))))))</f>
        <v> </v>
      </c>
      <c r="K2797" s="26" t="str">
        <f>IF(OR(E2797="",E2797="!!!",F2797="NEW"),"",INDEX(J$1:J2796,SUMPRODUCT(MAX(ROW(E$1:E2796)*(E2797=E$1:E2796)))))</f>
        <v> </v>
      </c>
      <c r="L2797" s="27"/>
    </row>
    <row r="2798" spans="1:12">
      <c r="A2798" s="20" t="s">
        <v>1755</v>
      </c>
      <c r="E2798" s="22">
        <f>IF(D2798="?OLD","!!!","")</f>
        <v/>
      </c>
      <c r="F2798" s="23" t="str">
        <f>IF(OR(E2798="",E2798="!!!"),"",IF(NOT(ISNA(VLOOKUP(E2798,E$1:E2797,1,FALSE()))),"OLD",IF(AND(E2798&lt;&gt;"",E2798&lt;&gt;"!!!"),"NEW","")))</f>
        <v> </v>
      </c>
      <c r="G2798" s="24" t="str">
        <f>IF(OR(E2798="",E2798="!!!"),"",IF(OR(J2798=0,AND(J2798=1,K2798=1),AND(J2798=1,I2798="SBJ"),AND(J2798=1,I2798=0)),"?IN_FOCUS",IF(J2798&lt;=2,"?ACTIVATED",IF(J2798&lt;&gt;"","?FAMILIAR",IF(F2798="NEW",IF(ISNA(VLOOKUP(E2798,#REF!,1,FALSE())),"?TYPE_IDENTIFIABLE","?REFERENTIAL"),"_")))))</f>
        <v> </v>
      </c>
      <c r="H2798" s="25" t="str">
        <f>IF(J2798&lt;&gt;1,"",IF(I2798="SBJ","CB","?"))</f>
        <v> </v>
      </c>
      <c r="I2798" s="26" t="str">
        <f>IF(OR(E2798="",E2798="!!!",F2798="NEW"),"",INDEX(B2797:B$2,-1+SUMPRODUCT(MAX(ROW(E2797:E$2)*(E2798=E2797:E$2)))))</f>
        <v> </v>
      </c>
      <c r="J2798" s="26" t="str">
        <f>IF(OR(E2798="",E2798="!!!",F2798="NEW"),"",COUNTBLANK(OFFSET(A$1,,,SUMPRODUCT(MAX(ROW(E$2:E2798)*(E2798=E$2:E2798)))))-COUNTBLANK(OFFSET(A$1,,,SUMPRODUCT(MAX(ROW(E$1:E2797)*(E2=E$1:E2797))))))</f>
        <v> </v>
      </c>
      <c r="K2798" s="26" t="str">
        <f>IF(OR(E2798="",E2798="!!!",F2798="NEW"),"",INDEX(J$1:J2797,SUMPRODUCT(MAX(ROW(E$1:E2797)*(E2798=E$1:E2797)))))</f>
        <v> </v>
      </c>
      <c r="L2798" s="27"/>
    </row>
    <row r="2799" spans="1:12">
      <c r="A2799" s="20" t="s">
        <v>817</v>
      </c>
      <c r="E2799" s="22">
        <f>IF(D2799="?OLD","!!!","")</f>
        <v/>
      </c>
      <c r="F2799" s="23" t="str">
        <f>IF(OR(E2799="",E2799="!!!"),"",IF(NOT(ISNA(VLOOKUP(E2799,E$1:E2798,1,FALSE()))),"OLD",IF(AND(E2799&lt;&gt;"",E2799&lt;&gt;"!!!"),"NEW","")))</f>
        <v> </v>
      </c>
      <c r="G2799" s="24" t="str">
        <f>IF(OR(E2799="",E2799="!!!"),"",IF(OR(J2799=0,AND(J2799=1,K2799=1),AND(J2799=1,I2799="SBJ"),AND(J2799=1,I2799=0)),"?IN_FOCUS",IF(J2799&lt;=2,"?ACTIVATED",IF(J2799&lt;&gt;"","?FAMILIAR",IF(F2799="NEW",IF(ISNA(VLOOKUP(E2799,#REF!,1,FALSE())),"?TYPE_IDENTIFIABLE","?REFERENTIAL"),"_")))))</f>
        <v> </v>
      </c>
      <c r="H2799" s="25" t="str">
        <f>IF(J2799&lt;&gt;1,"",IF(I2799="SBJ","CB","?"))</f>
        <v> </v>
      </c>
      <c r="I2799" s="26" t="str">
        <f>IF(OR(E2799="",E2799="!!!",F2799="NEW"),"",INDEX(B2798:B$2,-1+SUMPRODUCT(MAX(ROW(E2798:E$2)*(E2799=E2798:E$2)))))</f>
        <v> </v>
      </c>
      <c r="J2799" s="26" t="str">
        <f>IF(OR(E2799="",E2799="!!!",F2799="NEW"),"",COUNTBLANK(OFFSET(A$1,,,SUMPRODUCT(MAX(ROW(E$2:E2799)*(E2799=E$2:E2799)))))-COUNTBLANK(OFFSET(A$1,,,SUMPRODUCT(MAX(ROW(E$1:E2798)*(E2=E$1:E2798))))))</f>
        <v> </v>
      </c>
      <c r="K2799" s="26" t="str">
        <f>IF(OR(E2799="",E2799="!!!",F2799="NEW"),"",INDEX(J$1:J2798,SUMPRODUCT(MAX(ROW(E$1:E2798)*(E2799=E$1:E2798)))))</f>
        <v> </v>
      </c>
      <c r="L2799" s="27"/>
    </row>
    <row r="2800" spans="1:12">
      <c r="A2800" s="20"/>
    </row>
    <row r="2801" spans="1:12">
      <c r="A2801" s="20" t="s">
        <v>1761</v>
      </c>
    </row>
    <row r="2802" spans="1:12">
      <c r="A2802" s="20" t="s">
        <v>800</v>
      </c>
      <c r="B2802" s="21" t="s">
        <v>739</v>
      </c>
      <c r="C2802" s="21" t="s">
        <v>801</v>
      </c>
      <c r="D2802" s="21" t="s">
        <v>730</v>
      </c>
      <c r="E2802" s="22">
        <f>IF(D2802="?OLD","!!!","")</f>
        <v/>
      </c>
      <c r="F2802" s="23" t="str">
        <f>IF(OR(E2802="",E2802="!!!"),"",IF(NOT(ISNA(VLOOKUP(E2802,E$1:E2801,1,FALSE()))),"OLD",IF(AND(E2802&lt;&gt;"",E2802&lt;&gt;"!!!"),"NEW","")))</f>
        <v> </v>
      </c>
      <c r="G2802" s="24" t="str">
        <f>IF(OR(E2802="",E2802="!!!"),"",IF(OR(J2802=0,AND(J2802=1,K2802=1),AND(J2802=1,I2802="SBJ"),AND(J2802=1,I2802=0)),"?IN_FOCUS",IF(J2802&lt;=2,"?ACTIVATED",IF(J2802&lt;&gt;"","?FAMILIAR",IF(F2802="NEW",IF(ISNA(VLOOKUP(E2802,#REF!,1,FALSE())),"?TYPE_IDENTIFIABLE","?REFERENTIAL"),"_")))))</f>
        <v> </v>
      </c>
      <c r="H2802" s="25" t="str">
        <f>IF(J2802&lt;&gt;1,"",IF(I2802="SBJ","CB","?"))</f>
        <v> </v>
      </c>
      <c r="I2802" s="26" t="str">
        <f>IF(OR(E2802="",E2802="!!!",F2802="NEW"),"",INDEX(B2801:B$2,-1+SUMPRODUCT(MAX(ROW(E2801:E$2)*(E2802=E2801:E$2)))))</f>
        <v> </v>
      </c>
      <c r="J2802" s="26" t="str">
        <f>IF(OR(E2802="",E2802="!!!",F2802="NEW"),"",COUNTBLANK(OFFSET(A$1,,,SUMPRODUCT(MAX(ROW(E$2:E2802)*(E2802=E$2:E2802)))))-COUNTBLANK(OFFSET(A$1,,,SUMPRODUCT(MAX(ROW(E$1:E2801)*(E2=E$1:E2801))))))</f>
        <v> </v>
      </c>
      <c r="K2802" s="26" t="str">
        <f>IF(OR(E2802="",E2802="!!!",F2802="NEW"),"",INDEX(J$1:J2801,SUMPRODUCT(MAX(ROW(E$1:E2801)*(E2802=E$1:E2801)))))</f>
        <v> </v>
      </c>
      <c r="L2802" s="27"/>
    </row>
    <row r="2803" spans="1:12">
      <c r="A2803" s="20" t="s">
        <v>1762</v>
      </c>
      <c r="E2803" s="22">
        <f>IF(D2803="?OLD","!!!","")</f>
        <v/>
      </c>
      <c r="F2803" s="23" t="str">
        <f>IF(OR(E2803="",E2803="!!!"),"",IF(NOT(ISNA(VLOOKUP(E2803,E$1:E2802,1,FALSE()))),"OLD",IF(AND(E2803&lt;&gt;"",E2803&lt;&gt;"!!!"),"NEW","")))</f>
        <v> </v>
      </c>
      <c r="G2803" s="24" t="str">
        <f>IF(OR(E2803="",E2803="!!!"),"",IF(OR(J2803=0,AND(J2803=1,K2803=1),AND(J2803=1,I2803="SBJ"),AND(J2803=1,I2803=0)),"?IN_FOCUS",IF(J2803&lt;=2,"?ACTIVATED",IF(J2803&lt;&gt;"","?FAMILIAR",IF(F2803="NEW",IF(ISNA(VLOOKUP(E2803,#REF!,1,FALSE())),"?TYPE_IDENTIFIABLE","?REFERENTIAL"),"_")))))</f>
        <v> </v>
      </c>
      <c r="H2803" s="25" t="str">
        <f>IF(J2803&lt;&gt;1,"",IF(I2803="SBJ","CB","?"))</f>
        <v> </v>
      </c>
      <c r="I2803" s="26" t="str">
        <f>IF(OR(E2803="",E2803="!!!",F2803="NEW"),"",INDEX(B2802:B$2,-1+SUMPRODUCT(MAX(ROW(E2802:E$2)*(E2803=E2802:E$2)))))</f>
        <v> </v>
      </c>
      <c r="J2803" s="26" t="str">
        <f>IF(OR(E2803="",E2803="!!!",F2803="NEW"),"",COUNTBLANK(OFFSET(A$1,,,SUMPRODUCT(MAX(ROW(E$2:E2803)*(E2803=E$2:E2803)))))-COUNTBLANK(OFFSET(A$1,,,SUMPRODUCT(MAX(ROW(E$1:E2802)*(E2=E$1:E2802))))))</f>
        <v> </v>
      </c>
      <c r="K2803" s="26" t="str">
        <f>IF(OR(E2803="",E2803="!!!",F2803="NEW"),"",INDEX(J$1:J2802,SUMPRODUCT(MAX(ROW(E$1:E2802)*(E2803=E$1:E2802)))))</f>
        <v> </v>
      </c>
      <c r="L2803" s="27"/>
    </row>
    <row r="2804" spans="1:12">
      <c r="A2804" s="20" t="s">
        <v>1138</v>
      </c>
      <c r="B2804" s="21" t="s">
        <v>764</v>
      </c>
      <c r="C2804" s="21" t="s">
        <v>802</v>
      </c>
      <c r="D2804" s="21" t="s">
        <v>730</v>
      </c>
      <c r="E2804" s="22">
        <f>IF(D2804="?OLD","!!!","")</f>
        <v/>
      </c>
      <c r="F2804" s="23" t="str">
        <f>IF(OR(E2804="",E2804="!!!"),"",IF(NOT(ISNA(VLOOKUP(E2804,E$1:E2803,1,FALSE()))),"OLD",IF(AND(E2804&lt;&gt;"",E2804&lt;&gt;"!!!"),"NEW","")))</f>
        <v> </v>
      </c>
      <c r="G2804" s="24" t="str">
        <f>IF(OR(E2804="",E2804="!!!"),"",IF(OR(J2804=0,AND(J2804=1,K2804=1),AND(J2804=1,I2804="SBJ"),AND(J2804=1,I2804=0)),"?IN_FOCUS",IF(J2804&lt;=2,"?ACTIVATED",IF(J2804&lt;&gt;"","?FAMILIAR",IF(F2804="NEW",IF(ISNA(VLOOKUP(E2804,#REF!,1,FALSE())),"?TYPE_IDENTIFIABLE","?REFERENTIAL"),"_")))))</f>
        <v> </v>
      </c>
      <c r="H2804" s="25" t="str">
        <f>IF(J2804&lt;&gt;1,"",IF(I2804="SBJ","CB","?"))</f>
        <v> </v>
      </c>
      <c r="I2804" s="26" t="str">
        <f>IF(OR(E2804="",E2804="!!!",F2804="NEW"),"",INDEX(B2803:B$2,-1+SUMPRODUCT(MAX(ROW(E2803:E$2)*(E2804=E2803:E$2)))))</f>
        <v> </v>
      </c>
      <c r="J2804" s="26" t="str">
        <f>IF(OR(E2804="",E2804="!!!",F2804="NEW"),"",COUNTBLANK(OFFSET(A$1,,,SUMPRODUCT(MAX(ROW(E$2:E2804)*(E2804=E$2:E2804)))))-COUNTBLANK(OFFSET(A$1,,,SUMPRODUCT(MAX(ROW(E$1:E2803)*(E2=E$1:E2803))))))</f>
        <v> </v>
      </c>
      <c r="K2804" s="26" t="str">
        <f>IF(OR(E2804="",E2804="!!!",F2804="NEW"),"",INDEX(J$1:J2803,SUMPRODUCT(MAX(ROW(E$1:E2803)*(E2804=E$1:E2803)))))</f>
        <v> </v>
      </c>
      <c r="L2804" s="27"/>
    </row>
    <row r="2805" spans="1:12">
      <c r="A2805" s="20" t="s">
        <v>187</v>
      </c>
      <c r="E2805" s="22">
        <f>IF(D2805="?OLD","!!!","")</f>
        <v/>
      </c>
      <c r="F2805" s="23" t="str">
        <f>IF(OR(E2805="",E2805="!!!"),"",IF(NOT(ISNA(VLOOKUP(E2805,E$1:E2804,1,FALSE()))),"OLD",IF(AND(E2805&lt;&gt;"",E2805&lt;&gt;"!!!"),"NEW","")))</f>
        <v> </v>
      </c>
      <c r="G2805" s="24" t="str">
        <f>IF(OR(E2805="",E2805="!!!"),"",IF(OR(J2805=0,AND(J2805=1,K2805=1),AND(J2805=1,I2805="SBJ"),AND(J2805=1,I2805=0)),"?IN_FOCUS",IF(J2805&lt;=2,"?ACTIVATED",IF(J2805&lt;&gt;"","?FAMILIAR",IF(F2805="NEW",IF(ISNA(VLOOKUP(E2805,#REF!,1,FALSE())),"?TYPE_IDENTIFIABLE","?REFERENTIAL"),"_")))))</f>
        <v> </v>
      </c>
      <c r="H2805" s="25" t="str">
        <f>IF(J2805&lt;&gt;1,"",IF(I2805="SBJ","CB","?"))</f>
        <v> </v>
      </c>
      <c r="I2805" s="26" t="str">
        <f>IF(OR(E2805="",E2805="!!!",F2805="NEW"),"",INDEX(B2804:B$2,-1+SUMPRODUCT(MAX(ROW(E2804:E$2)*(E2805=E2804:E$2)))))</f>
        <v> </v>
      </c>
      <c r="J2805" s="26" t="str">
        <f>IF(OR(E2805="",E2805="!!!",F2805="NEW"),"",COUNTBLANK(OFFSET(A$1,,,SUMPRODUCT(MAX(ROW(E$2:E2805)*(E2805=E$2:E2805)))))-COUNTBLANK(OFFSET(A$1,,,SUMPRODUCT(MAX(ROW(E$1:E2804)*(E2=E$1:E2804))))))</f>
        <v> </v>
      </c>
      <c r="K2805" s="26" t="str">
        <f>IF(OR(E2805="",E2805="!!!",F2805="NEW"),"",INDEX(J$1:J2804,SUMPRODUCT(MAX(ROW(E$1:E2804)*(E2805=E$1:E2804)))))</f>
        <v> </v>
      </c>
      <c r="L2805" s="27"/>
    </row>
    <row r="2806" spans="1:12">
      <c r="A2806" s="20" t="s">
        <v>872</v>
      </c>
      <c r="B2806" s="21" t="s">
        <v>764</v>
      </c>
      <c r="C2806" s="21" t="s">
        <v>789</v>
      </c>
      <c r="D2806" s="21" t="s">
        <v>730</v>
      </c>
      <c r="E2806" s="22">
        <f>IF(D2806="?OLD","!!!","")</f>
        <v/>
      </c>
      <c r="F2806" s="23" t="str">
        <f>IF(OR(E2806="",E2806="!!!"),"",IF(NOT(ISNA(VLOOKUP(E2806,E$1:E2805,1,FALSE()))),"OLD",IF(AND(E2806&lt;&gt;"",E2806&lt;&gt;"!!!"),"NEW","")))</f>
        <v> </v>
      </c>
      <c r="G2806" s="24" t="str">
        <f>IF(OR(E2806="",E2806="!!!"),"",IF(OR(J2806=0,AND(J2806=1,K2806=1),AND(J2806=1,I2806="SBJ"),AND(J2806=1,I2806=0)),"?IN_FOCUS",IF(J2806&lt;=2,"?ACTIVATED",IF(J2806&lt;&gt;"","?FAMILIAR",IF(F2806="NEW",IF(ISNA(VLOOKUP(E2806,#REF!,1,FALSE())),"?TYPE_IDENTIFIABLE","?REFERENTIAL"),"_")))))</f>
        <v> </v>
      </c>
      <c r="H2806" s="25" t="str">
        <f>IF(J2806&lt;&gt;1,"",IF(I2806="SBJ","CB","?"))</f>
        <v> </v>
      </c>
      <c r="I2806" s="26" t="str">
        <f>IF(OR(E2806="",E2806="!!!",F2806="NEW"),"",INDEX(B2805:B$2,-1+SUMPRODUCT(MAX(ROW(E2805:E$2)*(E2806=E2805:E$2)))))</f>
        <v> </v>
      </c>
      <c r="J2806" s="26" t="str">
        <f>IF(OR(E2806="",E2806="!!!",F2806="NEW"),"",COUNTBLANK(OFFSET(A$1,,,SUMPRODUCT(MAX(ROW(E$2:E2806)*(E2806=E$2:E2806)))))-COUNTBLANK(OFFSET(A$1,,,SUMPRODUCT(MAX(ROW(E$1:E2805)*(E2=E$1:E2805))))))</f>
        <v> </v>
      </c>
      <c r="K2806" s="26" t="str">
        <f>IF(OR(E2806="",E2806="!!!",F2806="NEW"),"",INDEX(J$1:J2805,SUMPRODUCT(MAX(ROW(E$1:E2805)*(E2806=E$1:E2805)))))</f>
        <v> </v>
      </c>
      <c r="L2806" s="27"/>
    </row>
    <row r="2807" spans="1:12">
      <c r="A2807" s="20" t="s">
        <v>1187</v>
      </c>
      <c r="B2807" s="21" t="s">
        <v>739</v>
      </c>
      <c r="C2807" s="21" t="s">
        <v>789</v>
      </c>
      <c r="D2807" s="21" t="s">
        <v>730</v>
      </c>
      <c r="E2807" s="22">
        <f>IF(D2807="?OLD","!!!","")</f>
        <v/>
      </c>
      <c r="F2807" s="23" t="str">
        <f>IF(OR(E2807="",E2807="!!!"),"",IF(NOT(ISNA(VLOOKUP(E2807,E$1:E2806,1,FALSE()))),"OLD",IF(AND(E2807&lt;&gt;"",E2807&lt;&gt;"!!!"),"NEW","")))</f>
        <v> </v>
      </c>
      <c r="G2807" s="24" t="str">
        <f>IF(OR(E2807="",E2807="!!!"),"",IF(OR(J2807=0,AND(J2807=1,K2807=1),AND(J2807=1,I2807="SBJ"),AND(J2807=1,I2807=0)),"?IN_FOCUS",IF(J2807&lt;=2,"?ACTIVATED",IF(J2807&lt;&gt;"","?FAMILIAR",IF(F2807="NEW",IF(ISNA(VLOOKUP(E2807,#REF!,1,FALSE())),"?TYPE_IDENTIFIABLE","?REFERENTIAL"),"_")))))</f>
        <v> </v>
      </c>
      <c r="H2807" s="25" t="str">
        <f>IF(J2807&lt;&gt;1,"",IF(I2807="SBJ","CB","?"))</f>
        <v> </v>
      </c>
      <c r="I2807" s="26" t="str">
        <f>IF(OR(E2807="",E2807="!!!",F2807="NEW"),"",INDEX(B2806:B$2,-1+SUMPRODUCT(MAX(ROW(E2806:E$2)*(E2807=E2806:E$2)))))</f>
        <v> </v>
      </c>
      <c r="J2807" s="26" t="str">
        <f>IF(OR(E2807="",E2807="!!!",F2807="NEW"),"",COUNTBLANK(OFFSET(A$1,,,SUMPRODUCT(MAX(ROW(E$2:E2807)*(E2807=E$2:E2807)))))-COUNTBLANK(OFFSET(A$1,,,SUMPRODUCT(MAX(ROW(E$1:E2806)*(E2=E$1:E2806))))))</f>
        <v> </v>
      </c>
      <c r="K2807" s="26" t="str">
        <f>IF(OR(E2807="",E2807="!!!",F2807="NEW"),"",INDEX(J$1:J2806,SUMPRODUCT(MAX(ROW(E$1:E2806)*(E2807=E$1:E2806)))))</f>
        <v> </v>
      </c>
      <c r="L2807" s="27"/>
    </row>
    <row r="2808" spans="1:12">
      <c r="A2808" s="20" t="s">
        <v>1188</v>
      </c>
      <c r="B2808" s="21" t="s">
        <v>764</v>
      </c>
      <c r="C2808" s="21" t="s">
        <v>967</v>
      </c>
      <c r="E2808" s="22">
        <f>IF(D2808="?OLD","!!!","")</f>
        <v/>
      </c>
      <c r="F2808" s="23" t="str">
        <f>IF(OR(E2808="",E2808="!!!"),"",IF(NOT(ISNA(VLOOKUP(E2808,E$1:E2807,1,FALSE()))),"OLD",IF(AND(E2808&lt;&gt;"",E2808&lt;&gt;"!!!"),"NEW","")))</f>
        <v> </v>
      </c>
      <c r="G2808" s="24" t="str">
        <f>IF(OR(E2808="",E2808="!!!"),"",IF(OR(J2808=0,AND(J2808=1,K2808=1),AND(J2808=1,I2808="SBJ"),AND(J2808=1,I2808=0)),"?IN_FOCUS",IF(J2808&lt;=2,"?ACTIVATED",IF(J2808&lt;&gt;"","?FAMILIAR",IF(F2808="NEW",IF(ISNA(VLOOKUP(E2808,#REF!,1,FALSE())),"?TYPE_IDENTIFIABLE","?REFERENTIAL"),"_")))))</f>
        <v> </v>
      </c>
      <c r="H2808" s="25" t="str">
        <f>IF(J2808&lt;&gt;1,"",IF(I2808="SBJ","CB","?"))</f>
        <v> </v>
      </c>
      <c r="I2808" s="26" t="str">
        <f>IF(OR(E2808="",E2808="!!!",F2808="NEW"),"",INDEX(B2807:B$2,-1+SUMPRODUCT(MAX(ROW(E2807:E$2)*(E2808=E2807:E$2)))))</f>
        <v> </v>
      </c>
      <c r="J2808" s="26" t="str">
        <f>IF(OR(E2808="",E2808="!!!",F2808="NEW"),"",COUNTBLANK(OFFSET(A$1,,,SUMPRODUCT(MAX(ROW(E$2:E2808)*(E2808=E$2:E2808)))))-COUNTBLANK(OFFSET(A$1,,,SUMPRODUCT(MAX(ROW(E$1:E2807)*(E2=E$1:E2807))))))</f>
        <v> </v>
      </c>
      <c r="K2808" s="26" t="str">
        <f>IF(OR(E2808="",E2808="!!!",F2808="NEW"),"",INDEX(J$1:J2807,SUMPRODUCT(MAX(ROW(E$1:E2807)*(E2808=E$1:E2807)))))</f>
        <v> </v>
      </c>
      <c r="L2808" s="27"/>
    </row>
    <row r="2809" spans="1:12">
      <c r="A2809" s="20" t="s">
        <v>922</v>
      </c>
      <c r="E2809" s="22">
        <f>IF(D2809="?OLD","!!!","")</f>
        <v/>
      </c>
      <c r="F2809" s="23" t="str">
        <f>IF(OR(E2809="",E2809="!!!"),"",IF(NOT(ISNA(VLOOKUP(E2809,E$1:E2808,1,FALSE()))),"OLD",IF(AND(E2809&lt;&gt;"",E2809&lt;&gt;"!!!"),"NEW","")))</f>
        <v> </v>
      </c>
      <c r="G2809" s="24" t="str">
        <f>IF(OR(E2809="",E2809="!!!"),"",IF(OR(J2809=0,AND(J2809=1,K2809=1),AND(J2809=1,I2809="SBJ"),AND(J2809=1,I2809=0)),"?IN_FOCUS",IF(J2809&lt;=2,"?ACTIVATED",IF(J2809&lt;&gt;"","?FAMILIAR",IF(F2809="NEW",IF(ISNA(VLOOKUP(E2809,#REF!,1,FALSE())),"?TYPE_IDENTIFIABLE","?REFERENTIAL"),"_")))))</f>
        <v> </v>
      </c>
      <c r="H2809" s="25" t="str">
        <f>IF(J2809&lt;&gt;1,"",IF(I2809="SBJ","CB","?"))</f>
        <v> </v>
      </c>
      <c r="I2809" s="26" t="str">
        <f>IF(OR(E2809="",E2809="!!!",F2809="NEW"),"",INDEX(B2808:B$2,-1+SUMPRODUCT(MAX(ROW(E2808:E$2)*(E2809=E2808:E$2)))))</f>
        <v> </v>
      </c>
      <c r="J2809" s="26" t="str">
        <f>IF(OR(E2809="",E2809="!!!",F2809="NEW"),"",COUNTBLANK(OFFSET(A$1,,,SUMPRODUCT(MAX(ROW(E$2:E2809)*(E2809=E$2:E2809)))))-COUNTBLANK(OFFSET(A$1,,,SUMPRODUCT(MAX(ROW(E$1:E2808)*(E2=E$1:E2808))))))</f>
        <v> </v>
      </c>
      <c r="K2809" s="26" t="str">
        <f>IF(OR(E2809="",E2809="!!!",F2809="NEW"),"",INDEX(J$1:J2808,SUMPRODUCT(MAX(ROW(E$1:E2808)*(E2809=E$1:E2808)))))</f>
        <v> </v>
      </c>
      <c r="L2809" s="27"/>
    </row>
    <row r="2810" spans="1:12">
      <c r="A2810" s="20" t="s">
        <v>246</v>
      </c>
      <c r="E2810" s="22">
        <f>IF(D2810="?OLD","!!!","")</f>
        <v/>
      </c>
      <c r="F2810" s="23" t="str">
        <f>IF(OR(E2810="",E2810="!!!"),"",IF(NOT(ISNA(VLOOKUP(E2810,E$1:E2809,1,FALSE()))),"OLD",IF(AND(E2810&lt;&gt;"",E2810&lt;&gt;"!!!"),"NEW","")))</f>
        <v> </v>
      </c>
      <c r="G2810" s="24" t="str">
        <f>IF(OR(E2810="",E2810="!!!"),"",IF(OR(J2810=0,AND(J2810=1,K2810=1),AND(J2810=1,I2810="SBJ"),AND(J2810=1,I2810=0)),"?IN_FOCUS",IF(J2810&lt;=2,"?ACTIVATED",IF(J2810&lt;&gt;"","?FAMILIAR",IF(F2810="NEW",IF(ISNA(VLOOKUP(E2810,#REF!,1,FALSE())),"?TYPE_IDENTIFIABLE","?REFERENTIAL"),"_")))))</f>
        <v> </v>
      </c>
      <c r="H2810" s="25" t="str">
        <f>IF(J2810&lt;&gt;1,"",IF(I2810="SBJ","CB","?"))</f>
        <v> </v>
      </c>
      <c r="I2810" s="26" t="str">
        <f>IF(OR(E2810="",E2810="!!!",F2810="NEW"),"",INDEX(B2809:B$2,-1+SUMPRODUCT(MAX(ROW(E2809:E$2)*(E2810=E2809:E$2)))))</f>
        <v> </v>
      </c>
      <c r="J2810" s="26" t="str">
        <f>IF(OR(E2810="",E2810="!!!",F2810="NEW"),"",COUNTBLANK(OFFSET(A$1,,,SUMPRODUCT(MAX(ROW(E$2:E2810)*(E2810=E$2:E2810)))))-COUNTBLANK(OFFSET(A$1,,,SUMPRODUCT(MAX(ROW(E$1:E2809)*(E2=E$1:E2809))))))</f>
        <v> </v>
      </c>
      <c r="K2810" s="26" t="str">
        <f>IF(OR(E2810="",E2810="!!!",F2810="NEW"),"",INDEX(J$1:J2809,SUMPRODUCT(MAX(ROW(E$1:E2809)*(E2810=E$1:E2809)))))</f>
        <v> </v>
      </c>
      <c r="L2810" s="27"/>
    </row>
    <row r="2811" spans="1:12">
      <c r="A2811" s="20"/>
    </row>
    <row r="2812" spans="1:12">
      <c r="A2812" s="20" t="s">
        <v>1763</v>
      </c>
    </row>
    <row r="2813" spans="1:12">
      <c r="A2813" s="20" t="s">
        <v>1382</v>
      </c>
      <c r="B2813" s="21" t="s">
        <v>728</v>
      </c>
      <c r="C2813" s="21" t="s">
        <v>789</v>
      </c>
      <c r="D2813" s="21" t="s">
        <v>730</v>
      </c>
      <c r="E2813" s="22">
        <f>IF(D2813="?OLD","!!!","")</f>
        <v/>
      </c>
      <c r="F2813" s="23" t="str">
        <f>IF(OR(E2813="",E2813="!!!"),"",IF(NOT(ISNA(VLOOKUP(E2813,E$1:E2812,1,FALSE()))),"OLD",IF(AND(E2813&lt;&gt;"",E2813&lt;&gt;"!!!"),"NEW","")))</f>
        <v> </v>
      </c>
      <c r="G2813" s="24" t="str">
        <f>IF(OR(E2813="",E2813="!!!"),"",IF(OR(J2813=0,AND(J2813=1,K2813=1),AND(J2813=1,I2813="SBJ"),AND(J2813=1,I2813=0)),"?IN_FOCUS",IF(J2813&lt;=2,"?ACTIVATED",IF(J2813&lt;&gt;"","?FAMILIAR",IF(F2813="NEW",IF(ISNA(VLOOKUP(E2813,#REF!,1,FALSE())),"?TYPE_IDENTIFIABLE","?REFERENTIAL"),"_")))))</f>
        <v> </v>
      </c>
      <c r="H2813" s="25" t="str">
        <f>IF(J2813&lt;&gt;1,"",IF(I2813="SBJ","CB","?"))</f>
        <v> </v>
      </c>
      <c r="I2813" s="26" t="str">
        <f>IF(OR(E2813="",E2813="!!!",F2813="NEW"),"",INDEX(B2812:B$2,-1+SUMPRODUCT(MAX(ROW(E2812:E$2)*(E2813=E2812:E$2)))))</f>
        <v> </v>
      </c>
      <c r="J2813" s="26" t="str">
        <f>IF(OR(E2813="",E2813="!!!",F2813="NEW"),"",COUNTBLANK(OFFSET(A$1,,,SUMPRODUCT(MAX(ROW(E$2:E2813)*(E2813=E$2:E2813)))))-COUNTBLANK(OFFSET(A$1,,,SUMPRODUCT(MAX(ROW(E$1:E2812)*(E2=E$1:E2812))))))</f>
        <v> </v>
      </c>
      <c r="K2813" s="26" t="str">
        <f>IF(OR(E2813="",E2813="!!!",F2813="NEW"),"",INDEX(J$1:J2812,SUMPRODUCT(MAX(ROW(E$1:E2812)*(E2813=E$1:E2812)))))</f>
        <v> </v>
      </c>
      <c r="L2813" s="27"/>
    </row>
    <row r="2814" spans="1:12">
      <c r="A2814" s="20" t="s">
        <v>563</v>
      </c>
      <c r="E2814" s="22">
        <f>IF(D2814="?OLD","!!!","")</f>
        <v/>
      </c>
      <c r="F2814" s="23" t="str">
        <f>IF(OR(E2814="",E2814="!!!"),"",IF(NOT(ISNA(VLOOKUP(E2814,E$1:E2813,1,FALSE()))),"OLD",IF(AND(E2814&lt;&gt;"",E2814&lt;&gt;"!!!"),"NEW","")))</f>
        <v> </v>
      </c>
      <c r="G2814" s="24" t="str">
        <f>IF(OR(E2814="",E2814="!!!"),"",IF(OR(J2814=0,AND(J2814=1,K2814=1),AND(J2814=1,I2814="SBJ"),AND(J2814=1,I2814=0)),"?IN_FOCUS",IF(J2814&lt;=2,"?ACTIVATED",IF(J2814&lt;&gt;"","?FAMILIAR",IF(F2814="NEW",IF(ISNA(VLOOKUP(E2814,#REF!,1,FALSE())),"?TYPE_IDENTIFIABLE","?REFERENTIAL"),"_")))))</f>
        <v> </v>
      </c>
      <c r="H2814" s="25" t="str">
        <f>IF(J2814&lt;&gt;1,"",IF(I2814="SBJ","CB","?"))</f>
        <v> </v>
      </c>
      <c r="I2814" s="26" t="str">
        <f>IF(OR(E2814="",E2814="!!!",F2814="NEW"),"",INDEX(B2813:B$2,-1+SUMPRODUCT(MAX(ROW(E2813:E$2)*(E2814=E2813:E$2)))))</f>
        <v> </v>
      </c>
      <c r="J2814" s="26" t="str">
        <f>IF(OR(E2814="",E2814="!!!",F2814="NEW"),"",COUNTBLANK(OFFSET(A$1,,,SUMPRODUCT(MAX(ROW(E$2:E2814)*(E2814=E$2:E2814)))))-COUNTBLANK(OFFSET(A$1,,,SUMPRODUCT(MAX(ROW(E$1:E2813)*(E2=E$1:E2813))))))</f>
        <v> </v>
      </c>
      <c r="K2814" s="26" t="str">
        <f>IF(OR(E2814="",E2814="!!!",F2814="NEW"),"",INDEX(J$1:J2813,SUMPRODUCT(MAX(ROW(E$1:E2813)*(E2814=E$1:E2813)))))</f>
        <v> </v>
      </c>
      <c r="L2814" s="27"/>
    </row>
    <row r="2815" spans="1:12">
      <c r="A2815" s="20" t="s">
        <v>1192</v>
      </c>
      <c r="E2815" s="22">
        <f>IF(D2815="?OLD","!!!","")</f>
        <v/>
      </c>
      <c r="F2815" s="23" t="str">
        <f>IF(OR(E2815="",E2815="!!!"),"",IF(NOT(ISNA(VLOOKUP(E2815,E$1:E2814,1,FALSE()))),"OLD",IF(AND(E2815&lt;&gt;"",E2815&lt;&gt;"!!!"),"NEW","")))</f>
        <v> </v>
      </c>
      <c r="G2815" s="24" t="str">
        <f>IF(OR(E2815="",E2815="!!!"),"",IF(OR(J2815=0,AND(J2815=1,K2815=1),AND(J2815=1,I2815="SBJ"),AND(J2815=1,I2815=0)),"?IN_FOCUS",IF(J2815&lt;=2,"?ACTIVATED",IF(J2815&lt;&gt;"","?FAMILIAR",IF(F2815="NEW",IF(ISNA(VLOOKUP(E2815,#REF!,1,FALSE())),"?TYPE_IDENTIFIABLE","?REFERENTIAL"),"_")))))</f>
        <v> </v>
      </c>
      <c r="H2815" s="25" t="str">
        <f>IF(J2815&lt;&gt;1,"",IF(I2815="SBJ","CB","?"))</f>
        <v> </v>
      </c>
      <c r="I2815" s="26" t="str">
        <f>IF(OR(E2815="",E2815="!!!",F2815="NEW"),"",INDEX(B2814:B$2,-1+SUMPRODUCT(MAX(ROW(E2814:E$2)*(E2815=E2814:E$2)))))</f>
        <v> </v>
      </c>
      <c r="J2815" s="26" t="str">
        <f>IF(OR(E2815="",E2815="!!!",F2815="NEW"),"",COUNTBLANK(OFFSET(A$1,,,SUMPRODUCT(MAX(ROW(E$2:E2815)*(E2815=E$2:E2815)))))-COUNTBLANK(OFFSET(A$1,,,SUMPRODUCT(MAX(ROW(E$1:E2814)*(E2=E$1:E2814))))))</f>
        <v> </v>
      </c>
      <c r="K2815" s="26" t="str">
        <f>IF(OR(E2815="",E2815="!!!",F2815="NEW"),"",INDEX(J$1:J2814,SUMPRODUCT(MAX(ROW(E$1:E2814)*(E2815=E$1:E2814)))))</f>
        <v> </v>
      </c>
      <c r="L2815" s="27"/>
    </row>
    <row r="2816" spans="1:12">
      <c r="A2816" s="20" t="s">
        <v>1191</v>
      </c>
      <c r="E2816" s="22">
        <f>IF(D2816="?OLD","!!!","")</f>
        <v/>
      </c>
      <c r="F2816" s="23" t="str">
        <f>IF(OR(E2816="",E2816="!!!"),"",IF(NOT(ISNA(VLOOKUP(E2816,E$1:E2815,1,FALSE()))),"OLD",IF(AND(E2816&lt;&gt;"",E2816&lt;&gt;"!!!"),"NEW","")))</f>
        <v> </v>
      </c>
      <c r="G2816" s="24" t="str">
        <f>IF(OR(E2816="",E2816="!!!"),"",IF(OR(J2816=0,AND(J2816=1,K2816=1),AND(J2816=1,I2816="SBJ"),AND(J2816=1,I2816=0)),"?IN_FOCUS",IF(J2816&lt;=2,"?ACTIVATED",IF(J2816&lt;&gt;"","?FAMILIAR",IF(F2816="NEW",IF(ISNA(VLOOKUP(E2816,#REF!,1,FALSE())),"?TYPE_IDENTIFIABLE","?REFERENTIAL"),"_")))))</f>
        <v> </v>
      </c>
      <c r="H2816" s="25" t="str">
        <f>IF(J2816&lt;&gt;1,"",IF(I2816="SBJ","CB","?"))</f>
        <v> </v>
      </c>
      <c r="I2816" s="26" t="str">
        <f>IF(OR(E2816="",E2816="!!!",F2816="NEW"),"",INDEX(B2815:B$2,-1+SUMPRODUCT(MAX(ROW(E2815:E$2)*(E2816=E2815:E$2)))))</f>
        <v> </v>
      </c>
      <c r="J2816" s="26" t="str">
        <f>IF(OR(E2816="",E2816="!!!",F2816="NEW"),"",COUNTBLANK(OFFSET(A$1,,,SUMPRODUCT(MAX(ROW(E$2:E2816)*(E2816=E$2:E2816)))))-COUNTBLANK(OFFSET(A$1,,,SUMPRODUCT(MAX(ROW(E$1:E2815)*(E2=E$1:E2815))))))</f>
        <v> </v>
      </c>
      <c r="K2816" s="26" t="str">
        <f>IF(OR(E2816="",E2816="!!!",F2816="NEW"),"",INDEX(J$1:J2815,SUMPRODUCT(MAX(ROW(E$1:E2815)*(E2816=E$1:E2815)))))</f>
        <v> </v>
      </c>
      <c r="L2816" s="27"/>
    </row>
    <row r="2817" spans="1:12">
      <c r="A2817" s="20" t="s">
        <v>813</v>
      </c>
      <c r="E2817" s="22">
        <f>IF(D2817="?OLD","!!!","")</f>
        <v/>
      </c>
      <c r="F2817" s="23" t="str">
        <f>IF(OR(E2817="",E2817="!!!"),"",IF(NOT(ISNA(VLOOKUP(E2817,E$1:E2816,1,FALSE()))),"OLD",IF(AND(E2817&lt;&gt;"",E2817&lt;&gt;"!!!"),"NEW","")))</f>
        <v> </v>
      </c>
      <c r="G2817" s="24" t="str">
        <f>IF(OR(E2817="",E2817="!!!"),"",IF(OR(J2817=0,AND(J2817=1,K2817=1),AND(J2817=1,I2817="SBJ"),AND(J2817=1,I2817=0)),"?IN_FOCUS",IF(J2817&lt;=2,"?ACTIVATED",IF(J2817&lt;&gt;"","?FAMILIAR",IF(F2817="NEW",IF(ISNA(VLOOKUP(E2817,#REF!,1,FALSE())),"?TYPE_IDENTIFIABLE","?REFERENTIAL"),"_")))))</f>
        <v> </v>
      </c>
      <c r="H2817" s="25" t="str">
        <f>IF(J2817&lt;&gt;1,"",IF(I2817="SBJ","CB","?"))</f>
        <v> </v>
      </c>
      <c r="I2817" s="26" t="str">
        <f>IF(OR(E2817="",E2817="!!!",F2817="NEW"),"",INDEX(B2816:B$2,-1+SUMPRODUCT(MAX(ROW(E2816:E$2)*(E2817=E2816:E$2)))))</f>
        <v> </v>
      </c>
      <c r="J2817" s="26" t="str">
        <f>IF(OR(E2817="",E2817="!!!",F2817="NEW"),"",COUNTBLANK(OFFSET(A$1,,,SUMPRODUCT(MAX(ROW(E$2:E2817)*(E2817=E$2:E2817)))))-COUNTBLANK(OFFSET(A$1,,,SUMPRODUCT(MAX(ROW(E$1:E2816)*(E2=E$1:E2816))))))</f>
        <v> </v>
      </c>
      <c r="K2817" s="26" t="str">
        <f>IF(OR(E2817="",E2817="!!!",F2817="NEW"),"",INDEX(J$1:J2816,SUMPRODUCT(MAX(ROW(E$1:E2816)*(E2817=E$1:E2816)))))</f>
        <v> </v>
      </c>
      <c r="L2817" s="27"/>
    </row>
    <row r="2818" spans="1:12">
      <c r="A2818" s="20" t="s">
        <v>1194</v>
      </c>
      <c r="B2818" s="21" t="s">
        <v>764</v>
      </c>
      <c r="C2818" s="21" t="s">
        <v>753</v>
      </c>
      <c r="D2818" s="21" t="s">
        <v>730</v>
      </c>
      <c r="E2818" s="22">
        <f>IF(D2818="?OLD","!!!","")</f>
        <v/>
      </c>
      <c r="F2818" s="23" t="str">
        <f>IF(OR(E2818="",E2818="!!!"),"",IF(NOT(ISNA(VLOOKUP(E2818,E$1:E2817,1,FALSE()))),"OLD",IF(AND(E2818&lt;&gt;"",E2818&lt;&gt;"!!!"),"NEW","")))</f>
        <v> </v>
      </c>
      <c r="G2818" s="24" t="str">
        <f>IF(OR(E2818="",E2818="!!!"),"",IF(OR(J2818=0,AND(J2818=1,K2818=1),AND(J2818=1,I2818="SBJ"),AND(J2818=1,I2818=0)),"?IN_FOCUS",IF(J2818&lt;=2,"?ACTIVATED",IF(J2818&lt;&gt;"","?FAMILIAR",IF(F2818="NEW",IF(ISNA(VLOOKUP(E2818,#REF!,1,FALSE())),"?TYPE_IDENTIFIABLE","?REFERENTIAL"),"_")))))</f>
        <v> </v>
      </c>
      <c r="H2818" s="25" t="str">
        <f>IF(J2818&lt;&gt;1,"",IF(I2818="SBJ","CB","?"))</f>
        <v> </v>
      </c>
      <c r="I2818" s="26" t="str">
        <f>IF(OR(E2818="",E2818="!!!",F2818="NEW"),"",INDEX(B2817:B$2,-1+SUMPRODUCT(MAX(ROW(E2817:E$2)*(E2818=E2817:E$2)))))</f>
        <v> </v>
      </c>
      <c r="J2818" s="26" t="str">
        <f>IF(OR(E2818="",E2818="!!!",F2818="NEW"),"",COUNTBLANK(OFFSET(A$1,,,SUMPRODUCT(MAX(ROW(E$2:E2818)*(E2818=E$2:E2818)))))-COUNTBLANK(OFFSET(A$1,,,SUMPRODUCT(MAX(ROW(E$1:E2817)*(E2=E$1:E2817))))))</f>
        <v> </v>
      </c>
      <c r="K2818" s="26" t="str">
        <f>IF(OR(E2818="",E2818="!!!",F2818="NEW"),"",INDEX(J$1:J2817,SUMPRODUCT(MAX(ROW(E$1:E2817)*(E2818=E$1:E2817)))))</f>
        <v> </v>
      </c>
      <c r="L2818" s="27"/>
    </row>
    <row r="2819" spans="1:12">
      <c r="A2819" s="20" t="s">
        <v>922</v>
      </c>
      <c r="E2819" s="22">
        <f>IF(D2819="?OLD","!!!","")</f>
        <v/>
      </c>
      <c r="F2819" s="23" t="str">
        <f>IF(OR(E2819="",E2819="!!!"),"",IF(NOT(ISNA(VLOOKUP(E2819,E$1:E2818,1,FALSE()))),"OLD",IF(AND(E2819&lt;&gt;"",E2819&lt;&gt;"!!!"),"NEW","")))</f>
        <v> </v>
      </c>
      <c r="G2819" s="24" t="str">
        <f>IF(OR(E2819="",E2819="!!!"),"",IF(OR(J2819=0,AND(J2819=1,K2819=1),AND(J2819=1,I2819="SBJ"),AND(J2819=1,I2819=0)),"?IN_FOCUS",IF(J2819&lt;=2,"?ACTIVATED",IF(J2819&lt;&gt;"","?FAMILIAR",IF(F2819="NEW",IF(ISNA(VLOOKUP(E2819,#REF!,1,FALSE())),"?TYPE_IDENTIFIABLE","?REFERENTIAL"),"_")))))</f>
        <v> </v>
      </c>
      <c r="H2819" s="25" t="str">
        <f>IF(J2819&lt;&gt;1,"",IF(I2819="SBJ","CB","?"))</f>
        <v> </v>
      </c>
      <c r="I2819" s="26" t="str">
        <f>IF(OR(E2819="",E2819="!!!",F2819="NEW"),"",INDEX(B2818:B$2,-1+SUMPRODUCT(MAX(ROW(E2818:E$2)*(E2819=E2818:E$2)))))</f>
        <v> </v>
      </c>
      <c r="J2819" s="26" t="str">
        <f>IF(OR(E2819="",E2819="!!!",F2819="NEW"),"",COUNTBLANK(OFFSET(A$1,,,SUMPRODUCT(MAX(ROW(E$2:E2819)*(E2819=E$2:E2819)))))-COUNTBLANK(OFFSET(A$1,,,SUMPRODUCT(MAX(ROW(E$1:E2818)*(E2=E$1:E2818))))))</f>
        <v> </v>
      </c>
      <c r="K2819" s="26" t="str">
        <f>IF(OR(E2819="",E2819="!!!",F2819="NEW"),"",INDEX(J$1:J2818,SUMPRODUCT(MAX(ROW(E$1:E2818)*(E2819=E$1:E2818)))))</f>
        <v> </v>
      </c>
      <c r="L2819" s="27"/>
    </row>
    <row r="2820" spans="1:12">
      <c r="A2820" s="20" t="s">
        <v>246</v>
      </c>
      <c r="E2820" s="22">
        <f>IF(D2820="?OLD","!!!","")</f>
        <v/>
      </c>
      <c r="F2820" s="23" t="str">
        <f>IF(OR(E2820="",E2820="!!!"),"",IF(NOT(ISNA(VLOOKUP(E2820,E$1:E2819,1,FALSE()))),"OLD",IF(AND(E2820&lt;&gt;"",E2820&lt;&gt;"!!!"),"NEW","")))</f>
        <v> </v>
      </c>
      <c r="G2820" s="24" t="str">
        <f>IF(OR(E2820="",E2820="!!!"),"",IF(OR(J2820=0,AND(J2820=1,K2820=1),AND(J2820=1,I2820="SBJ"),AND(J2820=1,I2820=0)),"?IN_FOCUS",IF(J2820&lt;=2,"?ACTIVATED",IF(J2820&lt;&gt;"","?FAMILIAR",IF(F2820="NEW",IF(ISNA(VLOOKUP(E2820,#REF!,1,FALSE())),"?TYPE_IDENTIFIABLE","?REFERENTIAL"),"_")))))</f>
        <v> </v>
      </c>
      <c r="H2820" s="25" t="str">
        <f>IF(J2820&lt;&gt;1,"",IF(I2820="SBJ","CB","?"))</f>
        <v> </v>
      </c>
      <c r="I2820" s="26" t="str">
        <f>IF(OR(E2820="",E2820="!!!",F2820="NEW"),"",INDEX(B2819:B$2,-1+SUMPRODUCT(MAX(ROW(E2819:E$2)*(E2820=E2819:E$2)))))</f>
        <v> </v>
      </c>
      <c r="J2820" s="26" t="str">
        <f>IF(OR(E2820="",E2820="!!!",F2820="NEW"),"",COUNTBLANK(OFFSET(A$1,,,SUMPRODUCT(MAX(ROW(E$2:E2820)*(E2820=E$2:E2820)))))-COUNTBLANK(OFFSET(A$1,,,SUMPRODUCT(MAX(ROW(E$1:E2819)*(E2=E$1:E2819))))))</f>
        <v> </v>
      </c>
      <c r="K2820" s="26" t="str">
        <f>IF(OR(E2820="",E2820="!!!",F2820="NEW"),"",INDEX(J$1:J2819,SUMPRODUCT(MAX(ROW(E$1:E2819)*(E2820=E$1:E2819)))))</f>
        <v> </v>
      </c>
      <c r="L2820" s="27"/>
    </row>
    <row r="2821" spans="1:12">
      <c r="A2821" s="20"/>
    </row>
    <row r="2822" spans="1:12">
      <c r="A2822" s="20" t="s">
        <v>1764</v>
      </c>
    </row>
    <row r="2823" spans="1:12">
      <c r="A2823" s="20" t="s">
        <v>1263</v>
      </c>
      <c r="E2823" s="22">
        <f>IF(D2823="?OLD","!!!","")</f>
        <v/>
      </c>
      <c r="F2823" s="23" t="str">
        <f>IF(OR(E2823="",E2823="!!!"),"",IF(NOT(ISNA(VLOOKUP(E2823,E$1:E2822,1,FALSE()))),"OLD",IF(AND(E2823&lt;&gt;"",E2823&lt;&gt;"!!!"),"NEW","")))</f>
        <v> </v>
      </c>
      <c r="G2823" s="24" t="str">
        <f>IF(OR(E2823="",E2823="!!!"),"",IF(OR(J2823=0,AND(J2823=1,K2823=1),AND(J2823=1,I2823="SBJ"),AND(J2823=1,I2823=0)),"?IN_FOCUS",IF(J2823&lt;=2,"?ACTIVATED",IF(J2823&lt;&gt;"","?FAMILIAR",IF(F2823="NEW",IF(ISNA(VLOOKUP(E2823,#REF!,1,FALSE())),"?TYPE_IDENTIFIABLE","?REFERENTIAL"),"_")))))</f>
        <v> </v>
      </c>
      <c r="H2823" s="25" t="str">
        <f>IF(J2823&lt;&gt;1,"",IF(I2823="SBJ","CB","?"))</f>
        <v> </v>
      </c>
      <c r="I2823" s="26" t="str">
        <f>IF(OR(E2823="",E2823="!!!",F2823="NEW"),"",INDEX(B2822:B$2,-1+SUMPRODUCT(MAX(ROW(E2822:E$2)*(E2823=E2822:E$2)))))</f>
        <v> </v>
      </c>
      <c r="J2823" s="26" t="str">
        <f>IF(OR(E2823="",E2823="!!!",F2823="NEW"),"",COUNTBLANK(OFFSET(A$1,,,SUMPRODUCT(MAX(ROW(E$2:E2823)*(E2823=E$2:E2823)))))-COUNTBLANK(OFFSET(A$1,,,SUMPRODUCT(MAX(ROW(E$1:E2822)*(E2=E$1:E2822))))))</f>
        <v> </v>
      </c>
      <c r="K2823" s="26" t="str">
        <f>IF(OR(E2823="",E2823="!!!",F2823="NEW"),"",INDEX(J$1:J2822,SUMPRODUCT(MAX(ROW(E$1:E2822)*(E2823=E$1:E2822)))))</f>
        <v> </v>
      </c>
      <c r="L2823" s="27"/>
    </row>
    <row r="2824" spans="1:12">
      <c r="A2824" s="20" t="s">
        <v>1765</v>
      </c>
      <c r="B2824" s="21" t="s">
        <v>736</v>
      </c>
      <c r="C2824" s="21" t="s">
        <v>740</v>
      </c>
      <c r="D2824" s="21" t="s">
        <v>730</v>
      </c>
      <c r="E2824" s="22">
        <f>IF(D2824="?OLD","!!!","")</f>
        <v/>
      </c>
      <c r="F2824" s="23" t="str">
        <f>IF(OR(E2824="",E2824="!!!"),"",IF(NOT(ISNA(VLOOKUP(E2824,E$1:E2823,1,FALSE()))),"OLD",IF(AND(E2824&lt;&gt;"",E2824&lt;&gt;"!!!"),"NEW","")))</f>
        <v> </v>
      </c>
      <c r="G2824" s="24" t="str">
        <f>IF(OR(E2824="",E2824="!!!"),"",IF(OR(J2824=0,AND(J2824=1,K2824=1),AND(J2824=1,I2824="SBJ"),AND(J2824=1,I2824=0)),"?IN_FOCUS",IF(J2824&lt;=2,"?ACTIVATED",IF(J2824&lt;&gt;"","?FAMILIAR",IF(F2824="NEW",IF(ISNA(VLOOKUP(E2824,#REF!,1,FALSE())),"?TYPE_IDENTIFIABLE","?REFERENTIAL"),"_")))))</f>
        <v> </v>
      </c>
      <c r="H2824" s="25" t="str">
        <f>IF(J2824&lt;&gt;1,"",IF(I2824="SBJ","CB","?"))</f>
        <v> </v>
      </c>
      <c r="I2824" s="26" t="str">
        <f>IF(OR(E2824="",E2824="!!!",F2824="NEW"),"",INDEX(B2823:B$2,-1+SUMPRODUCT(MAX(ROW(E2823:E$2)*(E2824=E2823:E$2)))))</f>
        <v> </v>
      </c>
      <c r="J2824" s="26" t="str">
        <f>IF(OR(E2824="",E2824="!!!",F2824="NEW"),"",COUNTBLANK(OFFSET(A$1,,,SUMPRODUCT(MAX(ROW(E$2:E2824)*(E2824=E$2:E2824)))))-COUNTBLANK(OFFSET(A$1,,,SUMPRODUCT(MAX(ROW(E$1:E2823)*(E2=E$1:E2823))))))</f>
        <v> </v>
      </c>
      <c r="K2824" s="26" t="str">
        <f>IF(OR(E2824="",E2824="!!!",F2824="NEW"),"",INDEX(J$1:J2823,SUMPRODUCT(MAX(ROW(E$1:E2823)*(E2824=E$1:E2823)))))</f>
        <v> </v>
      </c>
      <c r="L2824" s="27"/>
    </row>
    <row r="2825" spans="1:12">
      <c r="A2825" s="20" t="s">
        <v>1094</v>
      </c>
      <c r="B2825" s="21" t="s">
        <v>736</v>
      </c>
      <c r="C2825" s="21" t="s">
        <v>789</v>
      </c>
      <c r="D2825" s="21" t="s">
        <v>730</v>
      </c>
      <c r="E2825" s="22">
        <f>IF(D2825="?OLD","!!!","")</f>
        <v/>
      </c>
      <c r="F2825" s="23" t="str">
        <f>IF(OR(E2825="",E2825="!!!"),"",IF(NOT(ISNA(VLOOKUP(E2825,E$1:E2824,1,FALSE()))),"OLD",IF(AND(E2825&lt;&gt;"",E2825&lt;&gt;"!!!"),"NEW","")))</f>
        <v> </v>
      </c>
      <c r="G2825" s="24" t="str">
        <f>IF(OR(E2825="",E2825="!!!"),"",IF(OR(J2825=0,AND(J2825=1,K2825=1),AND(J2825=1,I2825="SBJ"),AND(J2825=1,I2825=0)),"?IN_FOCUS",IF(J2825&lt;=2,"?ACTIVATED",IF(J2825&lt;&gt;"","?FAMILIAR",IF(F2825="NEW",IF(ISNA(VLOOKUP(E2825,#REF!,1,FALSE())),"?TYPE_IDENTIFIABLE","?REFERENTIAL"),"_")))))</f>
        <v> </v>
      </c>
      <c r="H2825" s="25" t="str">
        <f>IF(J2825&lt;&gt;1,"",IF(I2825="SBJ","CB","?"))</f>
        <v> </v>
      </c>
      <c r="I2825" s="26" t="str">
        <f>IF(OR(E2825="",E2825="!!!",F2825="NEW"),"",INDEX(B2824:B$2,-1+SUMPRODUCT(MAX(ROW(E2824:E$2)*(E2825=E2824:E$2)))))</f>
        <v> </v>
      </c>
      <c r="J2825" s="26" t="str">
        <f>IF(OR(E2825="",E2825="!!!",F2825="NEW"),"",COUNTBLANK(OFFSET(A$1,,,SUMPRODUCT(MAX(ROW(E$2:E2825)*(E2825=E$2:E2825)))))-COUNTBLANK(OFFSET(A$1,,,SUMPRODUCT(MAX(ROW(E$1:E2824)*(E2=E$1:E2824))))))</f>
        <v> </v>
      </c>
      <c r="K2825" s="26" t="str">
        <f>IF(OR(E2825="",E2825="!!!",F2825="NEW"),"",INDEX(J$1:J2824,SUMPRODUCT(MAX(ROW(E$1:E2824)*(E2825=E$1:E2824)))))</f>
        <v> </v>
      </c>
      <c r="L2825" s="27"/>
    </row>
    <row r="2826" spans="1:12">
      <c r="A2826" s="20" t="s">
        <v>567</v>
      </c>
      <c r="B2826" s="21" t="s">
        <v>736</v>
      </c>
      <c r="C2826" s="21" t="s">
        <v>967</v>
      </c>
      <c r="E2826" s="22">
        <f>IF(D2826="?OLD","!!!","")</f>
        <v/>
      </c>
      <c r="F2826" s="23" t="str">
        <f>IF(OR(E2826="",E2826="!!!"),"",IF(NOT(ISNA(VLOOKUP(E2826,E$1:E2825,1,FALSE()))),"OLD",IF(AND(E2826&lt;&gt;"",E2826&lt;&gt;"!!!"),"NEW","")))</f>
        <v> </v>
      </c>
      <c r="G2826" s="24" t="str">
        <f>IF(OR(E2826="",E2826="!!!"),"",IF(OR(J2826=0,AND(J2826=1,K2826=1),AND(J2826=1,I2826="SBJ"),AND(J2826=1,I2826=0)),"?IN_FOCUS",IF(J2826&lt;=2,"?ACTIVATED",IF(J2826&lt;&gt;"","?FAMILIAR",IF(F2826="NEW",IF(ISNA(VLOOKUP(E2826,#REF!,1,FALSE())),"?TYPE_IDENTIFIABLE","?REFERENTIAL"),"_")))))</f>
        <v> </v>
      </c>
      <c r="H2826" s="25" t="str">
        <f>IF(J2826&lt;&gt;1,"",IF(I2826="SBJ","CB","?"))</f>
        <v> </v>
      </c>
      <c r="I2826" s="26" t="str">
        <f>IF(OR(E2826="",E2826="!!!",F2826="NEW"),"",INDEX(B2825:B$2,-1+SUMPRODUCT(MAX(ROW(E2825:E$2)*(E2826=E2825:E$2)))))</f>
        <v> </v>
      </c>
      <c r="J2826" s="26" t="str">
        <f>IF(OR(E2826="",E2826="!!!",F2826="NEW"),"",COUNTBLANK(OFFSET(A$1,,,SUMPRODUCT(MAX(ROW(E$2:E2826)*(E2826=E$2:E2826)))))-COUNTBLANK(OFFSET(A$1,,,SUMPRODUCT(MAX(ROW(E$1:E2825)*(E2=E$1:E2825))))))</f>
        <v> </v>
      </c>
      <c r="K2826" s="26" t="str">
        <f>IF(OR(E2826="",E2826="!!!",F2826="NEW"),"",INDEX(J$1:J2825,SUMPRODUCT(MAX(ROW(E$1:E2825)*(E2826=E$1:E2825)))))</f>
        <v> </v>
      </c>
      <c r="L2826" s="27"/>
    </row>
    <row r="2827" spans="1:12">
      <c r="A2827" s="20" t="s">
        <v>246</v>
      </c>
      <c r="E2827" s="22">
        <f>IF(D2827="?OLD","!!!","")</f>
        <v/>
      </c>
      <c r="F2827" s="23" t="str">
        <f>IF(OR(E2827="",E2827="!!!"),"",IF(NOT(ISNA(VLOOKUP(E2827,E$1:E2826,1,FALSE()))),"OLD",IF(AND(E2827&lt;&gt;"",E2827&lt;&gt;"!!!"),"NEW","")))</f>
        <v> </v>
      </c>
      <c r="G2827" s="24" t="str">
        <f>IF(OR(E2827="",E2827="!!!"),"",IF(OR(J2827=0,AND(J2827=1,K2827=1),AND(J2827=1,I2827="SBJ"),AND(J2827=1,I2827=0)),"?IN_FOCUS",IF(J2827&lt;=2,"?ACTIVATED",IF(J2827&lt;&gt;"","?FAMILIAR",IF(F2827="NEW",IF(ISNA(VLOOKUP(E2827,#REF!,1,FALSE())),"?TYPE_IDENTIFIABLE","?REFERENTIAL"),"_")))))</f>
        <v> </v>
      </c>
      <c r="H2827" s="25" t="str">
        <f>IF(J2827&lt;&gt;1,"",IF(I2827="SBJ","CB","?"))</f>
        <v> </v>
      </c>
      <c r="I2827" s="26" t="str">
        <f>IF(OR(E2827="",E2827="!!!",F2827="NEW"),"",INDEX(B2826:B$2,-1+SUMPRODUCT(MAX(ROW(E2826:E$2)*(E2827=E2826:E$2)))))</f>
        <v> </v>
      </c>
      <c r="J2827" s="26" t="str">
        <f>IF(OR(E2827="",E2827="!!!",F2827="NEW"),"",COUNTBLANK(OFFSET(A$1,,,SUMPRODUCT(MAX(ROW(E$2:E2827)*(E2827=E$2:E2827)))))-COUNTBLANK(OFFSET(A$1,,,SUMPRODUCT(MAX(ROW(E$1:E2826)*(E2=E$1:E2826))))))</f>
        <v> </v>
      </c>
      <c r="K2827" s="26" t="str">
        <f>IF(OR(E2827="",E2827="!!!",F2827="NEW"),"",INDEX(J$1:J2826,SUMPRODUCT(MAX(ROW(E$1:E2826)*(E2827=E$1:E2826)))))</f>
        <v> </v>
      </c>
      <c r="L2827" s="27"/>
    </row>
    <row r="2828" spans="1:12">
      <c r="A2828" s="20"/>
    </row>
    <row r="2829" spans="1:12">
      <c r="A2829" s="20" t="s">
        <v>798</v>
      </c>
      <c r="E2829" s="22">
        <f>IF(D2829="?OLD","!!!","")</f>
        <v/>
      </c>
      <c r="F2829" s="23" t="str">
        <f>IF(OR(E2829="",E2829="!!!"),"",IF(NOT(ISNA(VLOOKUP(E2829,E$1:E2828,1,FALSE()))),"OLD",IF(AND(E2829&lt;&gt;"",E2829&lt;&gt;"!!!"),"NEW","")))</f>
        <v> </v>
      </c>
      <c r="G2829" s="24" t="str">
        <f>IF(OR(E2829="",E2829="!!!"),"",IF(OR(J2829=0,AND(J2829=1,K2829=1),AND(J2829=1,I2829="SBJ"),AND(J2829=1,I2829=0)),"?IN_FOCUS",IF(J2829&lt;=2,"?ACTIVATED",IF(J2829&lt;&gt;"","?FAMILIAR",IF(F2829="NEW",IF(ISNA(VLOOKUP(E2829,#REF!,1,FALSE())),"?TYPE_IDENTIFIABLE","?REFERENTIAL"),"_")))))</f>
        <v> </v>
      </c>
      <c r="H2829" s="25" t="str">
        <f>IF(J2829&lt;&gt;1,"",IF(I2829="SBJ","CB","?"))</f>
        <v> </v>
      </c>
      <c r="I2829" s="26" t="str">
        <f>IF(OR(E2829="",E2829="!!!",F2829="NEW"),"",INDEX(B2828:B$2,-1+SUMPRODUCT(MAX(ROW(E2828:E$2)*(E2829=E2828:E$2)))))</f>
        <v> </v>
      </c>
      <c r="J2829" s="26" t="str">
        <f>IF(OR(E2829="",E2829="!!!",F2829="NEW"),"",COUNTBLANK(OFFSET(A$1,,,SUMPRODUCT(MAX(ROW(E$2:E2829)*(E2829=E$2:E2829)))))-COUNTBLANK(OFFSET(A$1,,,SUMPRODUCT(MAX(ROW(E$1:E2828)*(E2=E$1:E2828))))))</f>
        <v> </v>
      </c>
      <c r="K2829" s="26" t="str">
        <f>IF(OR(E2829="",E2829="!!!",F2829="NEW"),"",INDEX(J$1:J2828,SUMPRODUCT(MAX(ROW(E$1:E2828)*(E2829=E$1:E2828)))))</f>
        <v> </v>
      </c>
      <c r="L2829" s="27"/>
    </row>
    <row r="2830" spans="1:12">
      <c r="A2830" s="20" t="s">
        <v>1766</v>
      </c>
    </row>
    <row r="2831" spans="1:12">
      <c r="A2831" s="20" t="s">
        <v>1767</v>
      </c>
      <c r="B2831" s="21" t="s">
        <v>728</v>
      </c>
      <c r="C2831" s="21" t="s">
        <v>756</v>
      </c>
      <c r="E2831" s="22">
        <f>IF(D2831="?OLD","!!!","")</f>
        <v/>
      </c>
      <c r="F2831" s="23" t="str">
        <f>IF(OR(E2831="",E2831="!!!"),"",IF(NOT(ISNA(VLOOKUP(E2831,E$1:E2830,1,FALSE()))),"OLD",IF(AND(E2831&lt;&gt;"",E2831&lt;&gt;"!!!"),"NEW","")))</f>
        <v> </v>
      </c>
      <c r="G2831" s="24" t="str">
        <f>IF(OR(E2831="",E2831="!!!"),"",IF(OR(J2831=0,AND(J2831=1,K2831=1),AND(J2831=1,I2831="SBJ"),AND(J2831=1,I2831=0)),"?IN_FOCUS",IF(J2831&lt;=2,"?ACTIVATED",IF(J2831&lt;&gt;"","?FAMILIAR",IF(F2831="NEW",IF(ISNA(VLOOKUP(E2831,#REF!,1,FALSE())),"?TYPE_IDENTIFIABLE","?REFERENTIAL"),"_")))))</f>
        <v> </v>
      </c>
      <c r="H2831" s="25" t="str">
        <f>IF(J2831&lt;&gt;1,"",IF(I2831="SBJ","CB","?"))</f>
        <v> </v>
      </c>
      <c r="I2831" s="26" t="str">
        <f>IF(OR(E2831="",E2831="!!!",F2831="NEW"),"",INDEX(B2830:B$2,-1+SUMPRODUCT(MAX(ROW(E2830:E$2)*(E2831=E2830:E$2)))))</f>
        <v> </v>
      </c>
      <c r="J2831" s="26" t="str">
        <f>IF(OR(E2831="",E2831="!!!",F2831="NEW"),"",COUNTBLANK(OFFSET(A$1,,,SUMPRODUCT(MAX(ROW(E$2:E2831)*(E2831=E$2:E2831)))))-COUNTBLANK(OFFSET(A$1,,,SUMPRODUCT(MAX(ROW(E$1:E2830)*(E2=E$1:E2830))))))</f>
        <v> </v>
      </c>
      <c r="K2831" s="26" t="str">
        <f>IF(OR(E2831="",E2831="!!!",F2831="NEW"),"",INDEX(J$1:J2830,SUMPRODUCT(MAX(ROW(E$1:E2830)*(E2831=E$1:E2830)))))</f>
        <v> </v>
      </c>
      <c r="L2831" s="27"/>
    </row>
    <row r="2832" spans="1:12">
      <c r="A2832" s="20" t="s">
        <v>203</v>
      </c>
      <c r="E2832" s="22">
        <f>IF(D2832="?OLD","!!!","")</f>
        <v/>
      </c>
      <c r="F2832" s="23" t="str">
        <f>IF(OR(E2832="",E2832="!!!"),"",IF(NOT(ISNA(VLOOKUP(E2832,E$1:E2831,1,FALSE()))),"OLD",IF(AND(E2832&lt;&gt;"",E2832&lt;&gt;"!!!"),"NEW","")))</f>
        <v> </v>
      </c>
      <c r="G2832" s="24" t="str">
        <f>IF(OR(E2832="",E2832="!!!"),"",IF(OR(J2832=0,AND(J2832=1,K2832=1),AND(J2832=1,I2832="SBJ"),AND(J2832=1,I2832=0)),"?IN_FOCUS",IF(J2832&lt;=2,"?ACTIVATED",IF(J2832&lt;&gt;"","?FAMILIAR",IF(F2832="NEW",IF(ISNA(VLOOKUP(E2832,#REF!,1,FALSE())),"?TYPE_IDENTIFIABLE","?REFERENTIAL"),"_")))))</f>
        <v> </v>
      </c>
      <c r="H2832" s="25" t="str">
        <f>IF(J2832&lt;&gt;1,"",IF(I2832="SBJ","CB","?"))</f>
        <v> </v>
      </c>
      <c r="I2832" s="26" t="str">
        <f>IF(OR(E2832="",E2832="!!!",F2832="NEW"),"",INDEX(B2831:B$2,-1+SUMPRODUCT(MAX(ROW(E2831:E$2)*(E2832=E2831:E$2)))))</f>
        <v> </v>
      </c>
      <c r="J2832" s="26" t="str">
        <f>IF(OR(E2832="",E2832="!!!",F2832="NEW"),"",COUNTBLANK(OFFSET(A$1,,,SUMPRODUCT(MAX(ROW(E$2:E2832)*(E2832=E$2:E2832)))))-COUNTBLANK(OFFSET(A$1,,,SUMPRODUCT(MAX(ROW(E$1:E2831)*(E2=E$1:E2831))))))</f>
        <v> </v>
      </c>
      <c r="K2832" s="26" t="str">
        <f>IF(OR(E2832="",E2832="!!!",F2832="NEW"),"",INDEX(J$1:J2831,SUMPRODUCT(MAX(ROW(E$1:E2831)*(E2832=E$1:E2831)))))</f>
        <v> </v>
      </c>
      <c r="L2832" s="27"/>
    </row>
    <row r="2833" spans="1:12">
      <c r="A2833" s="20" t="s">
        <v>759</v>
      </c>
      <c r="E2833" s="22">
        <f>IF(D2833="?OLD","!!!","")</f>
        <v/>
      </c>
      <c r="F2833" s="23" t="str">
        <f>IF(OR(E2833="",E2833="!!!"),"",IF(NOT(ISNA(VLOOKUP(E2833,E$1:E2832,1,FALSE()))),"OLD",IF(AND(E2833&lt;&gt;"",E2833&lt;&gt;"!!!"),"NEW","")))</f>
        <v> </v>
      </c>
      <c r="G2833" s="24" t="str">
        <f>IF(OR(E2833="",E2833="!!!"),"",IF(OR(J2833=0,AND(J2833=1,K2833=1),AND(J2833=1,I2833="SBJ"),AND(J2833=1,I2833=0)),"?IN_FOCUS",IF(J2833&lt;=2,"?ACTIVATED",IF(J2833&lt;&gt;"","?FAMILIAR",IF(F2833="NEW",IF(ISNA(VLOOKUP(E2833,#REF!,1,FALSE())),"?TYPE_IDENTIFIABLE","?REFERENTIAL"),"_")))))</f>
        <v> </v>
      </c>
      <c r="H2833" s="25" t="str">
        <f>IF(J2833&lt;&gt;1,"",IF(I2833="SBJ","CB","?"))</f>
        <v> </v>
      </c>
      <c r="I2833" s="26" t="str">
        <f>IF(OR(E2833="",E2833="!!!",F2833="NEW"),"",INDEX(B2832:B$2,-1+SUMPRODUCT(MAX(ROW(E2832:E$2)*(E2833=E2832:E$2)))))</f>
        <v> </v>
      </c>
      <c r="J2833" s="26" t="str">
        <f>IF(OR(E2833="",E2833="!!!",F2833="NEW"),"",COUNTBLANK(OFFSET(A$1,,,SUMPRODUCT(MAX(ROW(E$2:E2833)*(E2833=E$2:E2833)))))-COUNTBLANK(OFFSET(A$1,,,SUMPRODUCT(MAX(ROW(E$1:E2832)*(E2=E$1:E2832))))))</f>
        <v> </v>
      </c>
      <c r="K2833" s="26" t="str">
        <f>IF(OR(E2833="",E2833="!!!",F2833="NEW"),"",INDEX(J$1:J2832,SUMPRODUCT(MAX(ROW(E$1:E2832)*(E2833=E$1:E2832)))))</f>
        <v> </v>
      </c>
      <c r="L2833" s="27"/>
    </row>
    <row r="2834" spans="1:12">
      <c r="A2834" s="20" t="s">
        <v>750</v>
      </c>
      <c r="B2834" s="21" t="s">
        <v>788</v>
      </c>
      <c r="C2834" s="21" t="s">
        <v>729</v>
      </c>
      <c r="D2834" s="21" t="s">
        <v>730</v>
      </c>
      <c r="E2834" s="22">
        <f>IF(D2834="?OLD","!!!","")</f>
        <v/>
      </c>
      <c r="F2834" s="23" t="str">
        <f>IF(OR(E2834="",E2834="!!!"),"",IF(NOT(ISNA(VLOOKUP(E2834,E$1:E2833,1,FALSE()))),"OLD",IF(AND(E2834&lt;&gt;"",E2834&lt;&gt;"!!!"),"NEW","")))</f>
        <v> </v>
      </c>
      <c r="G2834" s="24" t="str">
        <f>IF(OR(E2834="",E2834="!!!"),"",IF(OR(J2834=0,AND(J2834=1,K2834=1),AND(J2834=1,I2834="SBJ"),AND(J2834=1,I2834=0)),"?IN_FOCUS",IF(J2834&lt;=2,"?ACTIVATED",IF(J2834&lt;&gt;"","?FAMILIAR",IF(F2834="NEW",IF(ISNA(VLOOKUP(E2834,#REF!,1,FALSE())),"?TYPE_IDENTIFIABLE","?REFERENTIAL"),"_")))))</f>
        <v> </v>
      </c>
      <c r="H2834" s="25" t="str">
        <f>IF(J2834&lt;&gt;1,"",IF(I2834="SBJ","CB","?"))</f>
        <v> </v>
      </c>
      <c r="I2834" s="26" t="str">
        <f>IF(OR(E2834="",E2834="!!!",F2834="NEW"),"",INDEX(B2833:B$2,-1+SUMPRODUCT(MAX(ROW(E2833:E$2)*(E2834=E2833:E$2)))))</f>
        <v> </v>
      </c>
      <c r="J2834" s="26" t="str">
        <f>IF(OR(E2834="",E2834="!!!",F2834="NEW"),"",COUNTBLANK(OFFSET(A$1,,,SUMPRODUCT(MAX(ROW(E$2:E2834)*(E2834=E$2:E2834)))))-COUNTBLANK(OFFSET(A$1,,,SUMPRODUCT(MAX(ROW(E$1:E2833)*(E2=E$1:E2833))))))</f>
        <v> </v>
      </c>
      <c r="K2834" s="26" t="str">
        <f>IF(OR(E2834="",E2834="!!!",F2834="NEW"),"",INDEX(J$1:J2833,SUMPRODUCT(MAX(ROW(E$1:E2833)*(E2834=E$1:E2833)))))</f>
        <v> </v>
      </c>
      <c r="L2834" s="27"/>
    </row>
    <row r="2835" spans="1:12">
      <c r="A2835" s="20" t="s">
        <v>1768</v>
      </c>
      <c r="E2835" s="22">
        <f>IF(D2835="?OLD","!!!","")</f>
        <v/>
      </c>
      <c r="F2835" s="23" t="str">
        <f>IF(OR(E2835="",E2835="!!!"),"",IF(NOT(ISNA(VLOOKUP(E2835,E$1:E2834,1,FALSE()))),"OLD",IF(AND(E2835&lt;&gt;"",E2835&lt;&gt;"!!!"),"NEW","")))</f>
        <v> </v>
      </c>
      <c r="G2835" s="24" t="str">
        <f>IF(OR(E2835="",E2835="!!!"),"",IF(OR(J2835=0,AND(J2835=1,K2835=1),AND(J2835=1,I2835="SBJ"),AND(J2835=1,I2835=0)),"?IN_FOCUS",IF(J2835&lt;=2,"?ACTIVATED",IF(J2835&lt;&gt;"","?FAMILIAR",IF(F2835="NEW",IF(ISNA(VLOOKUP(E2835,#REF!,1,FALSE())),"?TYPE_IDENTIFIABLE","?REFERENTIAL"),"_")))))</f>
        <v> </v>
      </c>
      <c r="H2835" s="25" t="str">
        <f>IF(J2835&lt;&gt;1,"",IF(I2835="SBJ","CB","?"))</f>
        <v> </v>
      </c>
      <c r="I2835" s="26" t="str">
        <f>IF(OR(E2835="",E2835="!!!",F2835="NEW"),"",INDEX(B2834:B$2,-1+SUMPRODUCT(MAX(ROW(E2834:E$2)*(E2835=E2834:E$2)))))</f>
        <v> </v>
      </c>
      <c r="J2835" s="26" t="str">
        <f>IF(OR(E2835="",E2835="!!!",F2835="NEW"),"",COUNTBLANK(OFFSET(A$1,,,SUMPRODUCT(MAX(ROW(E$2:E2835)*(E2835=E$2:E2835)))))-COUNTBLANK(OFFSET(A$1,,,SUMPRODUCT(MAX(ROW(E$1:E2834)*(E2=E$1:E2834))))))</f>
        <v> </v>
      </c>
      <c r="K2835" s="26" t="str">
        <f>IF(OR(E2835="",E2835="!!!",F2835="NEW"),"",INDEX(J$1:J2834,SUMPRODUCT(MAX(ROW(E$1:E2834)*(E2835=E$1:E2834)))))</f>
        <v> </v>
      </c>
      <c r="L2835" s="27"/>
    </row>
    <row r="2836" spans="1:12">
      <c r="A2836" s="20" t="s">
        <v>1731</v>
      </c>
      <c r="E2836" s="22">
        <f>IF(D2836="?OLD","!!!","")</f>
        <v/>
      </c>
      <c r="F2836" s="23" t="str">
        <f>IF(OR(E2836="",E2836="!!!"),"",IF(NOT(ISNA(VLOOKUP(E2836,E$1:E2835,1,FALSE()))),"OLD",IF(AND(E2836&lt;&gt;"",E2836&lt;&gt;"!!!"),"NEW","")))</f>
        <v> </v>
      </c>
      <c r="G2836" s="24" t="str">
        <f>IF(OR(E2836="",E2836="!!!"),"",IF(OR(J2836=0,AND(J2836=1,K2836=1),AND(J2836=1,I2836="SBJ"),AND(J2836=1,I2836=0)),"?IN_FOCUS",IF(J2836&lt;=2,"?ACTIVATED",IF(J2836&lt;&gt;"","?FAMILIAR",IF(F2836="NEW",IF(ISNA(VLOOKUP(E2836,#REF!,1,FALSE())),"?TYPE_IDENTIFIABLE","?REFERENTIAL"),"_")))))</f>
        <v> </v>
      </c>
      <c r="H2836" s="25" t="str">
        <f>IF(J2836&lt;&gt;1,"",IF(I2836="SBJ","CB","?"))</f>
        <v> </v>
      </c>
      <c r="I2836" s="26" t="str">
        <f>IF(OR(E2836="",E2836="!!!",F2836="NEW"),"",INDEX(B2835:B$2,-1+SUMPRODUCT(MAX(ROW(E2835:E$2)*(E2836=E2835:E$2)))))</f>
        <v> </v>
      </c>
      <c r="J2836" s="26" t="str">
        <f>IF(OR(E2836="",E2836="!!!",F2836="NEW"),"",COUNTBLANK(OFFSET(A$1,,,SUMPRODUCT(MAX(ROW(E$2:E2836)*(E2836=E$2:E2836)))))-COUNTBLANK(OFFSET(A$1,,,SUMPRODUCT(MAX(ROW(E$1:E2835)*(E2=E$1:E2835))))))</f>
        <v> </v>
      </c>
      <c r="K2836" s="26" t="str">
        <f>IF(OR(E2836="",E2836="!!!",F2836="NEW"),"",INDEX(J$1:J2835,SUMPRODUCT(MAX(ROW(E$1:E2835)*(E2836=E$1:E2835)))))</f>
        <v> </v>
      </c>
      <c r="L2836" s="27"/>
    </row>
    <row r="2837" spans="1:12">
      <c r="A2837" s="20" t="s">
        <v>817</v>
      </c>
      <c r="E2837" s="22">
        <f>IF(D2837="?OLD","!!!","")</f>
        <v/>
      </c>
      <c r="F2837" s="23" t="str">
        <f>IF(OR(E2837="",E2837="!!!"),"",IF(NOT(ISNA(VLOOKUP(E2837,E$1:E2836,1,FALSE()))),"OLD",IF(AND(E2837&lt;&gt;"",E2837&lt;&gt;"!!!"),"NEW","")))</f>
        <v> </v>
      </c>
      <c r="G2837" s="24" t="str">
        <f>IF(OR(E2837="",E2837="!!!"),"",IF(OR(J2837=0,AND(J2837=1,K2837=1),AND(J2837=1,I2837="SBJ"),AND(J2837=1,I2837=0)),"?IN_FOCUS",IF(J2837&lt;=2,"?ACTIVATED",IF(J2837&lt;&gt;"","?FAMILIAR",IF(F2837="NEW",IF(ISNA(VLOOKUP(E2837,#REF!,1,FALSE())),"?TYPE_IDENTIFIABLE","?REFERENTIAL"),"_")))))</f>
        <v> </v>
      </c>
      <c r="H2837" s="25" t="str">
        <f>IF(J2837&lt;&gt;1,"",IF(I2837="SBJ","CB","?"))</f>
        <v> </v>
      </c>
      <c r="I2837" s="26" t="str">
        <f>IF(OR(E2837="",E2837="!!!",F2837="NEW"),"",INDEX(B2836:B$2,-1+SUMPRODUCT(MAX(ROW(E2836:E$2)*(E2837=E2836:E$2)))))</f>
        <v> </v>
      </c>
      <c r="J2837" s="26" t="str">
        <f>IF(OR(E2837="",E2837="!!!",F2837="NEW"),"",COUNTBLANK(OFFSET(A$1,,,SUMPRODUCT(MAX(ROW(E$2:E2837)*(E2837=E$2:E2837)))))-COUNTBLANK(OFFSET(A$1,,,SUMPRODUCT(MAX(ROW(E$1:E2836)*(E2=E$1:E2836))))))</f>
        <v> </v>
      </c>
      <c r="K2837" s="26" t="str">
        <f>IF(OR(E2837="",E2837="!!!",F2837="NEW"),"",INDEX(J$1:J2836,SUMPRODUCT(MAX(ROW(E$1:E2836)*(E2837=E$1:E2836)))))</f>
        <v> </v>
      </c>
      <c r="L2837" s="27"/>
    </row>
    <row r="2838" spans="1:12">
      <c r="A2838" s="20" t="s">
        <v>1370</v>
      </c>
      <c r="B2838" s="21" t="s">
        <v>739</v>
      </c>
      <c r="C2838" s="21" t="s">
        <v>740</v>
      </c>
      <c r="D2838" s="21" t="s">
        <v>730</v>
      </c>
      <c r="E2838" s="22">
        <f>IF(D2838="?OLD","!!!","")</f>
        <v/>
      </c>
      <c r="F2838" s="23" t="str">
        <f>IF(OR(E2838="",E2838="!!!"),"",IF(NOT(ISNA(VLOOKUP(E2838,E$1:E2837,1,FALSE()))),"OLD",IF(AND(E2838&lt;&gt;"",E2838&lt;&gt;"!!!"),"NEW","")))</f>
        <v> </v>
      </c>
      <c r="G2838" s="24" t="str">
        <f>IF(OR(E2838="",E2838="!!!"),"",IF(OR(J2838=0,AND(J2838=1,K2838=1),AND(J2838=1,I2838="SBJ"),AND(J2838=1,I2838=0)),"?IN_FOCUS",IF(J2838&lt;=2,"?ACTIVATED",IF(J2838&lt;&gt;"","?FAMILIAR",IF(F2838="NEW",IF(ISNA(VLOOKUP(E2838,#REF!,1,FALSE())),"?TYPE_IDENTIFIABLE","?REFERENTIAL"),"_")))))</f>
        <v> </v>
      </c>
      <c r="H2838" s="25" t="str">
        <f>IF(J2838&lt;&gt;1,"",IF(I2838="SBJ","CB","?"))</f>
        <v> </v>
      </c>
      <c r="I2838" s="26" t="str">
        <f>IF(OR(E2838="",E2838="!!!",F2838="NEW"),"",INDEX(B2837:B$2,-1+SUMPRODUCT(MAX(ROW(E2837:E$2)*(E2838=E2837:E$2)))))</f>
        <v> </v>
      </c>
      <c r="J2838" s="26" t="str">
        <f>IF(OR(E2838="",E2838="!!!",F2838="NEW"),"",COUNTBLANK(OFFSET(A$1,,,SUMPRODUCT(MAX(ROW(E$2:E2838)*(E2838=E$2:E2838)))))-COUNTBLANK(OFFSET(A$1,,,SUMPRODUCT(MAX(ROW(E$1:E2837)*(E2=E$1:E2837))))))</f>
        <v> </v>
      </c>
      <c r="K2838" s="26" t="str">
        <f>IF(OR(E2838="",E2838="!!!",F2838="NEW"),"",INDEX(J$1:J2837,SUMPRODUCT(MAX(ROW(E$1:E2837)*(E2838=E$1:E2837)))))</f>
        <v> </v>
      </c>
      <c r="L2838" s="27"/>
    </row>
    <row r="2839" spans="1:12">
      <c r="A2839" s="20" t="s">
        <v>817</v>
      </c>
      <c r="E2839" s="22">
        <f>IF(D2839="?OLD","!!!","")</f>
        <v/>
      </c>
      <c r="F2839" s="23" t="str">
        <f>IF(OR(E2839="",E2839="!!!"),"",IF(NOT(ISNA(VLOOKUP(E2839,E$1:E2838,1,FALSE()))),"OLD",IF(AND(E2839&lt;&gt;"",E2839&lt;&gt;"!!!"),"NEW","")))</f>
        <v> </v>
      </c>
      <c r="G2839" s="24" t="str">
        <f>IF(OR(E2839="",E2839="!!!"),"",IF(OR(J2839=0,AND(J2839=1,K2839=1),AND(J2839=1,I2839="SBJ"),AND(J2839=1,I2839=0)),"?IN_FOCUS",IF(J2839&lt;=2,"?ACTIVATED",IF(J2839&lt;&gt;"","?FAMILIAR",IF(F2839="NEW",IF(ISNA(VLOOKUP(E2839,#REF!,1,FALSE())),"?TYPE_IDENTIFIABLE","?REFERENTIAL"),"_")))))</f>
        <v> </v>
      </c>
      <c r="H2839" s="25" t="str">
        <f>IF(J2839&lt;&gt;1,"",IF(I2839="SBJ","CB","?"))</f>
        <v> </v>
      </c>
      <c r="I2839" s="26" t="str">
        <f>IF(OR(E2839="",E2839="!!!",F2839="NEW"),"",INDEX(B2838:B$2,-1+SUMPRODUCT(MAX(ROW(E2838:E$2)*(E2839=E2838:E$2)))))</f>
        <v> </v>
      </c>
      <c r="J2839" s="26" t="str">
        <f>IF(OR(E2839="",E2839="!!!",F2839="NEW"),"",COUNTBLANK(OFFSET(A$1,,,SUMPRODUCT(MAX(ROW(E$2:E2839)*(E2839=E$2:E2839)))))-COUNTBLANK(OFFSET(A$1,,,SUMPRODUCT(MAX(ROW(E$1:E2838)*(E2=E$1:E2838))))))</f>
        <v> </v>
      </c>
      <c r="K2839" s="26" t="str">
        <f>IF(OR(E2839="",E2839="!!!",F2839="NEW"),"",INDEX(J$1:J2838,SUMPRODUCT(MAX(ROW(E$1:E2838)*(E2839=E$1:E2838)))))</f>
        <v> </v>
      </c>
      <c r="L2839" s="27"/>
    </row>
    <row r="2840" spans="1:12">
      <c r="A2840" s="20" t="s">
        <v>785</v>
      </c>
      <c r="E2840" s="22">
        <f>IF(D2840="?OLD","!!!","")</f>
        <v/>
      </c>
      <c r="F2840" s="23" t="str">
        <f>IF(OR(E2840="",E2840="!!!"),"",IF(NOT(ISNA(VLOOKUP(E2840,E$1:E2839,1,FALSE()))),"OLD",IF(AND(E2840&lt;&gt;"",E2840&lt;&gt;"!!!"),"NEW","")))</f>
        <v> </v>
      </c>
      <c r="G2840" s="24" t="str">
        <f>IF(OR(E2840="",E2840="!!!"),"",IF(OR(J2840=0,AND(J2840=1,K2840=1),AND(J2840=1,I2840="SBJ"),AND(J2840=1,I2840=0)),"?IN_FOCUS",IF(J2840&lt;=2,"?ACTIVATED",IF(J2840&lt;&gt;"","?FAMILIAR",IF(F2840="NEW",IF(ISNA(VLOOKUP(E2840,#REF!,1,FALSE())),"?TYPE_IDENTIFIABLE","?REFERENTIAL"),"_")))))</f>
        <v> </v>
      </c>
      <c r="H2840" s="25" t="str">
        <f>IF(J2840&lt;&gt;1,"",IF(I2840="SBJ","CB","?"))</f>
        <v> </v>
      </c>
      <c r="I2840" s="26" t="str">
        <f>IF(OR(E2840="",E2840="!!!",F2840="NEW"),"",INDEX(B2839:B$2,-1+SUMPRODUCT(MAX(ROW(E2839:E$2)*(E2840=E2839:E$2)))))</f>
        <v> </v>
      </c>
      <c r="J2840" s="26" t="str">
        <f>IF(OR(E2840="",E2840="!!!",F2840="NEW"),"",COUNTBLANK(OFFSET(A$1,,,SUMPRODUCT(MAX(ROW(E$2:E2840)*(E2840=E$2:E2840)))))-COUNTBLANK(OFFSET(A$1,,,SUMPRODUCT(MAX(ROW(E$1:E2839)*(E2=E$1:E2839))))))</f>
        <v> </v>
      </c>
      <c r="K2840" s="26" t="str">
        <f>IF(OR(E2840="",E2840="!!!",F2840="NEW"),"",INDEX(J$1:J2839,SUMPRODUCT(MAX(ROW(E$1:E2839)*(E2840=E$1:E2839)))))</f>
        <v> </v>
      </c>
      <c r="L2840" s="27"/>
    </row>
    <row r="2841" spans="1:12">
      <c r="A2841" s="20" t="s">
        <v>817</v>
      </c>
      <c r="E2841" s="22">
        <f>IF(D2841="?OLD","!!!","")</f>
        <v/>
      </c>
      <c r="F2841" s="23" t="str">
        <f>IF(OR(E2841="",E2841="!!!"),"",IF(NOT(ISNA(VLOOKUP(E2841,E$1:E2840,1,FALSE()))),"OLD",IF(AND(E2841&lt;&gt;"",E2841&lt;&gt;"!!!"),"NEW","")))</f>
        <v> </v>
      </c>
      <c r="G2841" s="24" t="str">
        <f>IF(OR(E2841="",E2841="!!!"),"",IF(OR(J2841=0,AND(J2841=1,K2841=1),AND(J2841=1,I2841="SBJ"),AND(J2841=1,I2841=0)),"?IN_FOCUS",IF(J2841&lt;=2,"?ACTIVATED",IF(J2841&lt;&gt;"","?FAMILIAR",IF(F2841="NEW",IF(ISNA(VLOOKUP(E2841,#REF!,1,FALSE())),"?TYPE_IDENTIFIABLE","?REFERENTIAL"),"_")))))</f>
        <v> </v>
      </c>
      <c r="H2841" s="25" t="str">
        <f>IF(J2841&lt;&gt;1,"",IF(I2841="SBJ","CB","?"))</f>
        <v> </v>
      </c>
      <c r="I2841" s="26" t="str">
        <f>IF(OR(E2841="",E2841="!!!",F2841="NEW"),"",INDEX(B2840:B$2,-1+SUMPRODUCT(MAX(ROW(E2840:E$2)*(E2841=E2840:E$2)))))</f>
        <v> </v>
      </c>
      <c r="J2841" s="26" t="str">
        <f>IF(OR(E2841="",E2841="!!!",F2841="NEW"),"",COUNTBLANK(OFFSET(A$1,,,SUMPRODUCT(MAX(ROW(E$2:E2841)*(E2841=E$2:E2841)))))-COUNTBLANK(OFFSET(A$1,,,SUMPRODUCT(MAX(ROW(E$1:E2840)*(E2=E$1:E2840))))))</f>
        <v> </v>
      </c>
      <c r="K2841" s="26" t="str">
        <f>IF(OR(E2841="",E2841="!!!",F2841="NEW"),"",INDEX(J$1:J2840,SUMPRODUCT(MAX(ROW(E$1:E2840)*(E2841=E$1:E2840)))))</f>
        <v> </v>
      </c>
      <c r="L2841" s="27"/>
    </row>
    <row r="2842" spans="1:12">
      <c r="A2842" s="20" t="s">
        <v>1316</v>
      </c>
      <c r="B2842" s="21" t="s">
        <v>755</v>
      </c>
      <c r="C2842" s="21" t="s">
        <v>740</v>
      </c>
      <c r="D2842" s="21" t="s">
        <v>730</v>
      </c>
      <c r="E2842" s="22">
        <f>IF(D2842="?OLD","!!!","")</f>
        <v/>
      </c>
      <c r="F2842" s="23" t="str">
        <f>IF(OR(E2842="",E2842="!!!"),"",IF(NOT(ISNA(VLOOKUP(E2842,E$1:E2841,1,FALSE()))),"OLD",IF(AND(E2842&lt;&gt;"",E2842&lt;&gt;"!!!"),"NEW","")))</f>
        <v> </v>
      </c>
      <c r="G2842" s="24" t="str">
        <f>IF(OR(E2842="",E2842="!!!"),"",IF(OR(J2842=0,AND(J2842=1,K2842=1),AND(J2842=1,I2842="SBJ"),AND(J2842=1,I2842=0)),"?IN_FOCUS",IF(J2842&lt;=2,"?ACTIVATED",IF(J2842&lt;&gt;"","?FAMILIAR",IF(F2842="NEW",IF(ISNA(VLOOKUP(E2842,#REF!,1,FALSE())),"?TYPE_IDENTIFIABLE","?REFERENTIAL"),"_")))))</f>
        <v> </v>
      </c>
      <c r="H2842" s="25" t="str">
        <f>IF(J2842&lt;&gt;1,"",IF(I2842="SBJ","CB","?"))</f>
        <v> </v>
      </c>
      <c r="I2842" s="26" t="str">
        <f>IF(OR(E2842="",E2842="!!!",F2842="NEW"),"",INDEX(B2841:B$2,-1+SUMPRODUCT(MAX(ROW(E2841:E$2)*(E2842=E2841:E$2)))))</f>
        <v> </v>
      </c>
      <c r="J2842" s="26" t="str">
        <f>IF(OR(E2842="",E2842="!!!",F2842="NEW"),"",COUNTBLANK(OFFSET(A$1,,,SUMPRODUCT(MAX(ROW(E$2:E2842)*(E2842=E$2:E2842)))))-COUNTBLANK(OFFSET(A$1,,,SUMPRODUCT(MAX(ROW(E$1:E2841)*(E2=E$1:E2841))))))</f>
        <v> </v>
      </c>
      <c r="K2842" s="26" t="str">
        <f>IF(OR(E2842="",E2842="!!!",F2842="NEW"),"",INDEX(J$1:J2841,SUMPRODUCT(MAX(ROW(E$1:E2841)*(E2842=E$1:E2841)))))</f>
        <v> </v>
      </c>
      <c r="L2842" s="27"/>
    </row>
    <row r="2843" spans="1:12">
      <c r="A2843" s="20" t="s">
        <v>817</v>
      </c>
      <c r="E2843" s="22">
        <f>IF(D2843="?OLD","!!!","")</f>
        <v/>
      </c>
      <c r="F2843" s="23" t="str">
        <f>IF(OR(E2843="",E2843="!!!"),"",IF(NOT(ISNA(VLOOKUP(E2843,E$1:E2842,1,FALSE()))),"OLD",IF(AND(E2843&lt;&gt;"",E2843&lt;&gt;"!!!"),"NEW","")))</f>
        <v> </v>
      </c>
      <c r="G2843" s="24" t="str">
        <f>IF(OR(E2843="",E2843="!!!"),"",IF(OR(J2843=0,AND(J2843=1,K2843=1),AND(J2843=1,I2843="SBJ"),AND(J2843=1,I2843=0)),"?IN_FOCUS",IF(J2843&lt;=2,"?ACTIVATED",IF(J2843&lt;&gt;"","?FAMILIAR",IF(F2843="NEW",IF(ISNA(VLOOKUP(E2843,#REF!,1,FALSE())),"?TYPE_IDENTIFIABLE","?REFERENTIAL"),"_")))))</f>
        <v> </v>
      </c>
      <c r="H2843" s="25" t="str">
        <f>IF(J2843&lt;&gt;1,"",IF(I2843="SBJ","CB","?"))</f>
        <v> </v>
      </c>
      <c r="I2843" s="26" t="str">
        <f>IF(OR(E2843="",E2843="!!!",F2843="NEW"),"",INDEX(B2842:B$2,-1+SUMPRODUCT(MAX(ROW(E2842:E$2)*(E2843=E2842:E$2)))))</f>
        <v> </v>
      </c>
      <c r="J2843" s="26" t="str">
        <f>IF(OR(E2843="",E2843="!!!",F2843="NEW"),"",COUNTBLANK(OFFSET(A$1,,,SUMPRODUCT(MAX(ROW(E$2:E2843)*(E2843=E$2:E2843)))))-COUNTBLANK(OFFSET(A$1,,,SUMPRODUCT(MAX(ROW(E$1:E2842)*(E2=E$1:E2842))))))</f>
        <v> </v>
      </c>
      <c r="K2843" s="26" t="str">
        <f>IF(OR(E2843="",E2843="!!!",F2843="NEW"),"",INDEX(J$1:J2842,SUMPRODUCT(MAX(ROW(E$1:E2842)*(E2843=E$1:E2842)))))</f>
        <v> </v>
      </c>
      <c r="L2843" s="27"/>
    </row>
    <row r="2844" spans="1:12">
      <c r="A2844" s="20" t="s">
        <v>1769</v>
      </c>
      <c r="E2844" s="22">
        <f>IF(D2844="?OLD","!!!","")</f>
        <v/>
      </c>
      <c r="F2844" s="23" t="str">
        <f>IF(OR(E2844="",E2844="!!!"),"",IF(NOT(ISNA(VLOOKUP(E2844,E$1:E2843,1,FALSE()))),"OLD",IF(AND(E2844&lt;&gt;"",E2844&lt;&gt;"!!!"),"NEW","")))</f>
        <v> </v>
      </c>
      <c r="G2844" s="24" t="str">
        <f>IF(OR(E2844="",E2844="!!!"),"",IF(OR(J2844=0,AND(J2844=1,K2844=1),AND(J2844=1,I2844="SBJ"),AND(J2844=1,I2844=0)),"?IN_FOCUS",IF(J2844&lt;=2,"?ACTIVATED",IF(J2844&lt;&gt;"","?FAMILIAR",IF(F2844="NEW",IF(ISNA(VLOOKUP(E2844,#REF!,1,FALSE())),"?TYPE_IDENTIFIABLE","?REFERENTIAL"),"_")))))</f>
        <v> </v>
      </c>
      <c r="H2844" s="25" t="str">
        <f>IF(J2844&lt;&gt;1,"",IF(I2844="SBJ","CB","?"))</f>
        <v> </v>
      </c>
      <c r="I2844" s="26" t="str">
        <f>IF(OR(E2844="",E2844="!!!",F2844="NEW"),"",INDEX(B2843:B$2,-1+SUMPRODUCT(MAX(ROW(E2843:E$2)*(E2844=E2843:E$2)))))</f>
        <v> </v>
      </c>
      <c r="J2844" s="26" t="str">
        <f>IF(OR(E2844="",E2844="!!!",F2844="NEW"),"",COUNTBLANK(OFFSET(A$1,,,SUMPRODUCT(MAX(ROW(E$2:E2844)*(E2844=E$2:E2844)))))-COUNTBLANK(OFFSET(A$1,,,SUMPRODUCT(MAX(ROW(E$1:E2843)*(E2=E$1:E2843))))))</f>
        <v> </v>
      </c>
      <c r="K2844" s="26" t="str">
        <f>IF(OR(E2844="",E2844="!!!",F2844="NEW"),"",INDEX(J$1:J2843,SUMPRODUCT(MAX(ROW(E$1:E2843)*(E2844=E$1:E2843)))))</f>
        <v> </v>
      </c>
      <c r="L2844" s="27"/>
    </row>
    <row r="2845" spans="1:12">
      <c r="A2845" s="20" t="s">
        <v>785</v>
      </c>
      <c r="E2845" s="22">
        <f>IF(D2845="?OLD","!!!","")</f>
        <v/>
      </c>
      <c r="F2845" s="23" t="str">
        <f>IF(OR(E2845="",E2845="!!!"),"",IF(NOT(ISNA(VLOOKUP(E2845,E$1:E2844,1,FALSE()))),"OLD",IF(AND(E2845&lt;&gt;"",E2845&lt;&gt;"!!!"),"NEW","")))</f>
        <v> </v>
      </c>
      <c r="G2845" s="24" t="str">
        <f>IF(OR(E2845="",E2845="!!!"),"",IF(OR(J2845=0,AND(J2845=1,K2845=1),AND(J2845=1,I2845="SBJ"),AND(J2845=1,I2845=0)),"?IN_FOCUS",IF(J2845&lt;=2,"?ACTIVATED",IF(J2845&lt;&gt;"","?FAMILIAR",IF(F2845="NEW",IF(ISNA(VLOOKUP(E2845,#REF!,1,FALSE())),"?TYPE_IDENTIFIABLE","?REFERENTIAL"),"_")))))</f>
        <v> </v>
      </c>
      <c r="H2845" s="25" t="str">
        <f>IF(J2845&lt;&gt;1,"",IF(I2845="SBJ","CB","?"))</f>
        <v> </v>
      </c>
      <c r="I2845" s="26" t="str">
        <f>IF(OR(E2845="",E2845="!!!",F2845="NEW"),"",INDEX(B2844:B$2,-1+SUMPRODUCT(MAX(ROW(E2844:E$2)*(E2845=E2844:E$2)))))</f>
        <v> </v>
      </c>
      <c r="J2845" s="26" t="str">
        <f>IF(OR(E2845="",E2845="!!!",F2845="NEW"),"",COUNTBLANK(OFFSET(A$1,,,SUMPRODUCT(MAX(ROW(E$2:E2845)*(E2845=E$2:E2845)))))-COUNTBLANK(OFFSET(A$1,,,SUMPRODUCT(MAX(ROW(E$1:E2844)*(E2=E$1:E2844))))))</f>
        <v> </v>
      </c>
      <c r="K2845" s="26" t="str">
        <f>IF(OR(E2845="",E2845="!!!",F2845="NEW"),"",INDEX(J$1:J2844,SUMPRODUCT(MAX(ROW(E$1:E2844)*(E2845=E$1:E2844)))))</f>
        <v> </v>
      </c>
      <c r="L2845" s="27"/>
    </row>
    <row r="2846" spans="1:12">
      <c r="A2846" s="20" t="s">
        <v>1770</v>
      </c>
      <c r="E2846" s="22">
        <f>IF(D2846="?OLD","!!!","")</f>
        <v/>
      </c>
      <c r="F2846" s="23" t="str">
        <f>IF(OR(E2846="",E2846="!!!"),"",IF(NOT(ISNA(VLOOKUP(E2846,E$1:E2845,1,FALSE()))),"OLD",IF(AND(E2846&lt;&gt;"",E2846&lt;&gt;"!!!"),"NEW","")))</f>
        <v> </v>
      </c>
      <c r="G2846" s="24" t="str">
        <f>IF(OR(E2846="",E2846="!!!"),"",IF(OR(J2846=0,AND(J2846=1,K2846=1),AND(J2846=1,I2846="SBJ"),AND(J2846=1,I2846=0)),"?IN_FOCUS",IF(J2846&lt;=2,"?ACTIVATED",IF(J2846&lt;&gt;"","?FAMILIAR",IF(F2846="NEW",IF(ISNA(VLOOKUP(E2846,#REF!,1,FALSE())),"?TYPE_IDENTIFIABLE","?REFERENTIAL"),"_")))))</f>
        <v> </v>
      </c>
      <c r="H2846" s="25" t="str">
        <f>IF(J2846&lt;&gt;1,"",IF(I2846="SBJ","CB","?"))</f>
        <v> </v>
      </c>
      <c r="I2846" s="26" t="str">
        <f>IF(OR(E2846="",E2846="!!!",F2846="NEW"),"",INDEX(B2845:B$2,-1+SUMPRODUCT(MAX(ROW(E2845:E$2)*(E2846=E2845:E$2)))))</f>
        <v> </v>
      </c>
      <c r="J2846" s="26" t="str">
        <f>IF(OR(E2846="",E2846="!!!",F2846="NEW"),"",COUNTBLANK(OFFSET(A$1,,,SUMPRODUCT(MAX(ROW(E$2:E2846)*(E2846=E$2:E2846)))))-COUNTBLANK(OFFSET(A$1,,,SUMPRODUCT(MAX(ROW(E$1:E2845)*(E2=E$1:E2845))))))</f>
        <v> </v>
      </c>
      <c r="K2846" s="26" t="str">
        <f>IF(OR(E2846="",E2846="!!!",F2846="NEW"),"",INDEX(J$1:J2845,SUMPRODUCT(MAX(ROW(E$1:E2845)*(E2846=E$1:E2845)))))</f>
        <v> </v>
      </c>
      <c r="L2846" s="27"/>
    </row>
    <row r="2847" spans="1:12">
      <c r="A2847" s="20" t="s">
        <v>792</v>
      </c>
      <c r="B2847" s="21" t="s">
        <v>843</v>
      </c>
      <c r="C2847" s="21" t="s">
        <v>729</v>
      </c>
      <c r="D2847" s="21" t="s">
        <v>730</v>
      </c>
      <c r="E2847" s="22">
        <f>IF(D2847="?OLD","!!!","")</f>
        <v/>
      </c>
      <c r="F2847" s="23" t="str">
        <f>IF(OR(E2847="",E2847="!!!"),"",IF(NOT(ISNA(VLOOKUP(E2847,E$1:E2846,1,FALSE()))),"OLD",IF(AND(E2847&lt;&gt;"",E2847&lt;&gt;"!!!"),"NEW","")))</f>
        <v> </v>
      </c>
      <c r="G2847" s="24" t="str">
        <f>IF(OR(E2847="",E2847="!!!"),"",IF(OR(J2847=0,AND(J2847=1,K2847=1),AND(J2847=1,I2847="SBJ"),AND(J2847=1,I2847=0)),"?IN_FOCUS",IF(J2847&lt;=2,"?ACTIVATED",IF(J2847&lt;&gt;"","?FAMILIAR",IF(F2847="NEW",IF(ISNA(VLOOKUP(E2847,#REF!,1,FALSE())),"?TYPE_IDENTIFIABLE","?REFERENTIAL"),"_")))))</f>
        <v> </v>
      </c>
      <c r="H2847" s="25" t="str">
        <f>IF(J2847&lt;&gt;1,"",IF(I2847="SBJ","CB","?"))</f>
        <v> </v>
      </c>
      <c r="I2847" s="26" t="str">
        <f>IF(OR(E2847="",E2847="!!!",F2847="NEW"),"",INDEX(B2846:B$2,-1+SUMPRODUCT(MAX(ROW(E2846:E$2)*(E2847=E2846:E$2)))))</f>
        <v> </v>
      </c>
      <c r="J2847" s="26" t="str">
        <f>IF(OR(E2847="",E2847="!!!",F2847="NEW"),"",COUNTBLANK(OFFSET(A$1,,,SUMPRODUCT(MAX(ROW(E$2:E2847)*(E2847=E$2:E2847)))))-COUNTBLANK(OFFSET(A$1,,,SUMPRODUCT(MAX(ROW(E$1:E2846)*(E2=E$1:E2846))))))</f>
        <v> </v>
      </c>
      <c r="K2847" s="26" t="str">
        <f>IF(OR(E2847="",E2847="!!!",F2847="NEW"),"",INDEX(J$1:J2846,SUMPRODUCT(MAX(ROW(E$1:E2846)*(E2847=E$1:E2846)))))</f>
        <v> </v>
      </c>
      <c r="L2847" s="27"/>
    </row>
    <row r="2848" spans="1:12">
      <c r="A2848" s="20" t="s">
        <v>1771</v>
      </c>
      <c r="E2848" s="22">
        <f>IF(D2848="?OLD","!!!","")</f>
        <v/>
      </c>
      <c r="F2848" s="23" t="str">
        <f>IF(OR(E2848="",E2848="!!!"),"",IF(NOT(ISNA(VLOOKUP(E2848,E$1:E2847,1,FALSE()))),"OLD",IF(AND(E2848&lt;&gt;"",E2848&lt;&gt;"!!!"),"NEW","")))</f>
        <v> </v>
      </c>
      <c r="G2848" s="24" t="str">
        <f>IF(OR(E2848="",E2848="!!!"),"",IF(OR(J2848=0,AND(J2848=1,K2848=1),AND(J2848=1,I2848="SBJ"),AND(J2848=1,I2848=0)),"?IN_FOCUS",IF(J2848&lt;=2,"?ACTIVATED",IF(J2848&lt;&gt;"","?FAMILIAR",IF(F2848="NEW",IF(ISNA(VLOOKUP(E2848,#REF!,1,FALSE())),"?TYPE_IDENTIFIABLE","?REFERENTIAL"),"_")))))</f>
        <v> </v>
      </c>
      <c r="H2848" s="25" t="str">
        <f>IF(J2848&lt;&gt;1,"",IF(I2848="SBJ","CB","?"))</f>
        <v> </v>
      </c>
      <c r="I2848" s="26" t="str">
        <f>IF(OR(E2848="",E2848="!!!",F2848="NEW"),"",INDEX(B2847:B$2,-1+SUMPRODUCT(MAX(ROW(E2847:E$2)*(E2848=E2847:E$2)))))</f>
        <v> </v>
      </c>
      <c r="J2848" s="26" t="str">
        <f>IF(OR(E2848="",E2848="!!!",F2848="NEW"),"",COUNTBLANK(OFFSET(A$1,,,SUMPRODUCT(MAX(ROW(E$2:E2848)*(E2848=E$2:E2848)))))-COUNTBLANK(OFFSET(A$1,,,SUMPRODUCT(MAX(ROW(E$1:E2847)*(E2=E$1:E2847))))))</f>
        <v> </v>
      </c>
      <c r="K2848" s="26" t="str">
        <f>IF(OR(E2848="",E2848="!!!",F2848="NEW"),"",INDEX(J$1:J2847,SUMPRODUCT(MAX(ROW(E$1:E2847)*(E2848=E$1:E2847)))))</f>
        <v> </v>
      </c>
      <c r="L2848" s="27"/>
    </row>
    <row r="2849" spans="1:12">
      <c r="A2849" s="20" t="s">
        <v>813</v>
      </c>
      <c r="E2849" s="22">
        <f>IF(D2849="?OLD","!!!","")</f>
        <v/>
      </c>
      <c r="F2849" s="23" t="str">
        <f>IF(OR(E2849="",E2849="!!!"),"",IF(NOT(ISNA(VLOOKUP(E2849,E$1:E2848,1,FALSE()))),"OLD",IF(AND(E2849&lt;&gt;"",E2849&lt;&gt;"!!!"),"NEW","")))</f>
        <v> </v>
      </c>
      <c r="G2849" s="24" t="str">
        <f>IF(OR(E2849="",E2849="!!!"),"",IF(OR(J2849=0,AND(J2849=1,K2849=1),AND(J2849=1,I2849="SBJ"),AND(J2849=1,I2849=0)),"?IN_FOCUS",IF(J2849&lt;=2,"?ACTIVATED",IF(J2849&lt;&gt;"","?FAMILIAR",IF(F2849="NEW",IF(ISNA(VLOOKUP(E2849,#REF!,1,FALSE())),"?TYPE_IDENTIFIABLE","?REFERENTIAL"),"_")))))</f>
        <v> </v>
      </c>
      <c r="H2849" s="25" t="str">
        <f>IF(J2849&lt;&gt;1,"",IF(I2849="SBJ","CB","?"))</f>
        <v> </v>
      </c>
      <c r="I2849" s="26" t="str">
        <f>IF(OR(E2849="",E2849="!!!",F2849="NEW"),"",INDEX(B2848:B$2,-1+SUMPRODUCT(MAX(ROW(E2848:E$2)*(E2849=E2848:E$2)))))</f>
        <v> </v>
      </c>
      <c r="J2849" s="26" t="str">
        <f>IF(OR(E2849="",E2849="!!!",F2849="NEW"),"",COUNTBLANK(OFFSET(A$1,,,SUMPRODUCT(MAX(ROW(E$2:E2849)*(E2849=E$2:E2849)))))-COUNTBLANK(OFFSET(A$1,,,SUMPRODUCT(MAX(ROW(E$1:E2848)*(E2=E$1:E2848))))))</f>
        <v> </v>
      </c>
      <c r="K2849" s="26" t="str">
        <f>IF(OR(E2849="",E2849="!!!",F2849="NEW"),"",INDEX(J$1:J2848,SUMPRODUCT(MAX(ROW(E$1:E2848)*(E2849=E$1:E2848)))))</f>
        <v> </v>
      </c>
      <c r="L2849" s="27"/>
    </row>
    <row r="2850" spans="1:12">
      <c r="A2850" s="20" t="s">
        <v>1772</v>
      </c>
      <c r="B2850" s="21" t="s">
        <v>788</v>
      </c>
      <c r="C2850" s="21" t="s">
        <v>753</v>
      </c>
      <c r="D2850" s="21" t="s">
        <v>730</v>
      </c>
      <c r="E2850" s="22">
        <f>IF(D2850="?OLD","!!!","")</f>
        <v/>
      </c>
      <c r="F2850" s="23" t="str">
        <f>IF(OR(E2850="",E2850="!!!"),"",IF(NOT(ISNA(VLOOKUP(E2850,E$1:E2849,1,FALSE()))),"OLD",IF(AND(E2850&lt;&gt;"",E2850&lt;&gt;"!!!"),"NEW","")))</f>
        <v> </v>
      </c>
      <c r="G2850" s="24" t="str">
        <f>IF(OR(E2850="",E2850="!!!"),"",IF(OR(J2850=0,AND(J2850=1,K2850=1),AND(J2850=1,I2850="SBJ"),AND(J2850=1,I2850=0)),"?IN_FOCUS",IF(J2850&lt;=2,"?ACTIVATED",IF(J2850&lt;&gt;"","?FAMILIAR",IF(F2850="NEW",IF(ISNA(VLOOKUP(E2850,#REF!,1,FALSE())),"?TYPE_IDENTIFIABLE","?REFERENTIAL"),"_")))))</f>
        <v> </v>
      </c>
      <c r="H2850" s="25" t="str">
        <f>IF(J2850&lt;&gt;1,"",IF(I2850="SBJ","CB","?"))</f>
        <v> </v>
      </c>
      <c r="I2850" s="26" t="str">
        <f>IF(OR(E2850="",E2850="!!!",F2850="NEW"),"",INDEX(B2849:B$2,-1+SUMPRODUCT(MAX(ROW(E2849:E$2)*(E2850=E2849:E$2)))))</f>
        <v> </v>
      </c>
      <c r="J2850" s="26" t="str">
        <f>IF(OR(E2850="",E2850="!!!",F2850="NEW"),"",COUNTBLANK(OFFSET(A$1,,,SUMPRODUCT(MAX(ROW(E$2:E2850)*(E2850=E$2:E2850)))))-COUNTBLANK(OFFSET(A$1,,,SUMPRODUCT(MAX(ROW(E$1:E2849)*(E2=E$1:E2849))))))</f>
        <v> </v>
      </c>
      <c r="K2850" s="26" t="str">
        <f>IF(OR(E2850="",E2850="!!!",F2850="NEW"),"",INDEX(J$1:J2849,SUMPRODUCT(MAX(ROW(E$1:E2849)*(E2850=E$1:E2849)))))</f>
        <v> </v>
      </c>
      <c r="L2850" s="27"/>
    </row>
    <row r="2851" spans="1:12">
      <c r="A2851" s="20" t="s">
        <v>742</v>
      </c>
      <c r="E2851" s="22">
        <f>IF(D2851="?OLD","!!!","")</f>
        <v/>
      </c>
      <c r="F2851" s="23" t="str">
        <f>IF(OR(E2851="",E2851="!!!"),"",IF(NOT(ISNA(VLOOKUP(E2851,E$1:E2850,1,FALSE()))),"OLD",IF(AND(E2851&lt;&gt;"",E2851&lt;&gt;"!!!"),"NEW","")))</f>
        <v> </v>
      </c>
      <c r="G2851" s="24" t="str">
        <f>IF(OR(E2851="",E2851="!!!"),"",IF(OR(J2851=0,AND(J2851=1,K2851=1),AND(J2851=1,I2851="SBJ"),AND(J2851=1,I2851=0)),"?IN_FOCUS",IF(J2851&lt;=2,"?ACTIVATED",IF(J2851&lt;&gt;"","?FAMILIAR",IF(F2851="NEW",IF(ISNA(VLOOKUP(E2851,#REF!,1,FALSE())),"?TYPE_IDENTIFIABLE","?REFERENTIAL"),"_")))))</f>
        <v> </v>
      </c>
      <c r="H2851" s="25" t="str">
        <f>IF(J2851&lt;&gt;1,"",IF(I2851="SBJ","CB","?"))</f>
        <v> </v>
      </c>
      <c r="I2851" s="26" t="str">
        <f>IF(OR(E2851="",E2851="!!!",F2851="NEW"),"",INDEX(B2850:B$2,-1+SUMPRODUCT(MAX(ROW(E2850:E$2)*(E2851=E2850:E$2)))))</f>
        <v> </v>
      </c>
      <c r="J2851" s="26" t="str">
        <f>IF(OR(E2851="",E2851="!!!",F2851="NEW"),"",COUNTBLANK(OFFSET(A$1,,,SUMPRODUCT(MAX(ROW(E$2:E2851)*(E2851=E$2:E2851)))))-COUNTBLANK(OFFSET(A$1,,,SUMPRODUCT(MAX(ROW(E$1:E2850)*(E2=E$1:E2850))))))</f>
        <v> </v>
      </c>
      <c r="K2851" s="26" t="str">
        <f>IF(OR(E2851="",E2851="!!!",F2851="NEW"),"",INDEX(J$1:J2850,SUMPRODUCT(MAX(ROW(E$1:E2850)*(E2851=E$1:E2850)))))</f>
        <v> </v>
      </c>
      <c r="L2851" s="27"/>
    </row>
    <row r="2852" spans="1:12">
      <c r="A2852" s="20" t="s">
        <v>774</v>
      </c>
      <c r="E2852" s="22">
        <f>IF(D2852="?OLD","!!!","")</f>
        <v/>
      </c>
      <c r="F2852" s="23" t="str">
        <f>IF(OR(E2852="",E2852="!!!"),"",IF(NOT(ISNA(VLOOKUP(E2852,E$1:E2851,1,FALSE()))),"OLD",IF(AND(E2852&lt;&gt;"",E2852&lt;&gt;"!!!"),"NEW","")))</f>
        <v> </v>
      </c>
      <c r="G2852" s="24" t="str">
        <f>IF(OR(E2852="",E2852="!!!"),"",IF(OR(J2852=0,AND(J2852=1,K2852=1),AND(J2852=1,I2852="SBJ"),AND(J2852=1,I2852=0)),"?IN_FOCUS",IF(J2852&lt;=2,"?ACTIVATED",IF(J2852&lt;&gt;"","?FAMILIAR",IF(F2852="NEW",IF(ISNA(VLOOKUP(E2852,#REF!,1,FALSE())),"?TYPE_IDENTIFIABLE","?REFERENTIAL"),"_")))))</f>
        <v> </v>
      </c>
      <c r="H2852" s="25" t="str">
        <f>IF(J2852&lt;&gt;1,"",IF(I2852="SBJ","CB","?"))</f>
        <v> </v>
      </c>
      <c r="I2852" s="26" t="str">
        <f>IF(OR(E2852="",E2852="!!!",F2852="NEW"),"",INDEX(B2851:B$2,-1+SUMPRODUCT(MAX(ROW(E2851:E$2)*(E2852=E2851:E$2)))))</f>
        <v> </v>
      </c>
      <c r="J2852" s="26" t="str">
        <f>IF(OR(E2852="",E2852="!!!",F2852="NEW"),"",COUNTBLANK(OFFSET(A$1,,,SUMPRODUCT(MAX(ROW(E$2:E2852)*(E2852=E$2:E2852)))))-COUNTBLANK(OFFSET(A$1,,,SUMPRODUCT(MAX(ROW(E$1:E2851)*(E2=E$1:E2851))))))</f>
        <v> </v>
      </c>
      <c r="K2852" s="26" t="str">
        <f>IF(OR(E2852="",E2852="!!!",F2852="NEW"),"",INDEX(J$1:J2851,SUMPRODUCT(MAX(ROW(E$1:E2851)*(E2852=E$1:E2851)))))</f>
        <v> </v>
      </c>
      <c r="L2852" s="27"/>
    </row>
    <row r="2853" spans="1:12">
      <c r="A2853" s="20" t="s">
        <v>1773</v>
      </c>
      <c r="B2853" s="21" t="s">
        <v>755</v>
      </c>
      <c r="C2853" s="21" t="s">
        <v>737</v>
      </c>
      <c r="E2853" s="22">
        <f>IF(D2853="?OLD","!!!","")</f>
        <v/>
      </c>
      <c r="F2853" s="23" t="str">
        <f>IF(OR(E2853="",E2853="!!!"),"",IF(NOT(ISNA(VLOOKUP(E2853,E$1:E2852,1,FALSE()))),"OLD",IF(AND(E2853&lt;&gt;"",E2853&lt;&gt;"!!!"),"NEW","")))</f>
        <v> </v>
      </c>
      <c r="G2853" s="24" t="str">
        <f>IF(OR(E2853="",E2853="!!!"),"",IF(OR(J2853=0,AND(J2853=1,K2853=1),AND(J2853=1,I2853="SBJ"),AND(J2853=1,I2853=0)),"?IN_FOCUS",IF(J2853&lt;=2,"?ACTIVATED",IF(J2853&lt;&gt;"","?FAMILIAR",IF(F2853="NEW",IF(ISNA(VLOOKUP(E2853,#REF!,1,FALSE())),"?TYPE_IDENTIFIABLE","?REFERENTIAL"),"_")))))</f>
        <v> </v>
      </c>
      <c r="H2853" s="25" t="str">
        <f>IF(J2853&lt;&gt;1,"",IF(I2853="SBJ","CB","?"))</f>
        <v> </v>
      </c>
      <c r="I2853" s="26" t="str">
        <f>IF(OR(E2853="",E2853="!!!",F2853="NEW"),"",INDEX(B2852:B$2,-1+SUMPRODUCT(MAX(ROW(E2852:E$2)*(E2853=E2852:E$2)))))</f>
        <v> </v>
      </c>
      <c r="J2853" s="26" t="str">
        <f>IF(OR(E2853="",E2853="!!!",F2853="NEW"),"",COUNTBLANK(OFFSET(A$1,,,SUMPRODUCT(MAX(ROW(E$2:E2853)*(E2853=E$2:E2853)))))-COUNTBLANK(OFFSET(A$1,,,SUMPRODUCT(MAX(ROW(E$1:E2852)*(E2=E$1:E2852))))))</f>
        <v> </v>
      </c>
      <c r="K2853" s="26" t="str">
        <f>IF(OR(E2853="",E2853="!!!",F2853="NEW"),"",INDEX(J$1:J2852,SUMPRODUCT(MAX(ROW(E$1:E2852)*(E2853=E$1:E2852)))))</f>
        <v> </v>
      </c>
      <c r="L2853" s="27"/>
    </row>
    <row r="2854" spans="1:12">
      <c r="A2854" s="20" t="s">
        <v>972</v>
      </c>
      <c r="E2854" s="22">
        <f>IF(D2854="?OLD","!!!","")</f>
        <v/>
      </c>
      <c r="F2854" s="23" t="str">
        <f>IF(OR(E2854="",E2854="!!!"),"",IF(NOT(ISNA(VLOOKUP(E2854,E$1:E2853,1,FALSE()))),"OLD",IF(AND(E2854&lt;&gt;"",E2854&lt;&gt;"!!!"),"NEW","")))</f>
        <v> </v>
      </c>
      <c r="G2854" s="24" t="str">
        <f>IF(OR(E2854="",E2854="!!!"),"",IF(OR(J2854=0,AND(J2854=1,K2854=1),AND(J2854=1,I2854="SBJ"),AND(J2854=1,I2854=0)),"?IN_FOCUS",IF(J2854&lt;=2,"?ACTIVATED",IF(J2854&lt;&gt;"","?FAMILIAR",IF(F2854="NEW",IF(ISNA(VLOOKUP(E2854,#REF!,1,FALSE())),"?TYPE_IDENTIFIABLE","?REFERENTIAL"),"_")))))</f>
        <v> </v>
      </c>
      <c r="H2854" s="25" t="str">
        <f>IF(J2854&lt;&gt;1,"",IF(I2854="SBJ","CB","?"))</f>
        <v> </v>
      </c>
      <c r="I2854" s="26" t="str">
        <f>IF(OR(E2854="",E2854="!!!",F2854="NEW"),"",INDEX(B2853:B$2,-1+SUMPRODUCT(MAX(ROW(E2853:E$2)*(E2854=E2853:E$2)))))</f>
        <v> </v>
      </c>
      <c r="J2854" s="26" t="str">
        <f>IF(OR(E2854="",E2854="!!!",F2854="NEW"),"",COUNTBLANK(OFFSET(A$1,,,SUMPRODUCT(MAX(ROW(E$2:E2854)*(E2854=E$2:E2854)))))-COUNTBLANK(OFFSET(A$1,,,SUMPRODUCT(MAX(ROW(E$1:E2853)*(E2=E$1:E2853))))))</f>
        <v> </v>
      </c>
      <c r="K2854" s="26" t="str">
        <f>IF(OR(E2854="",E2854="!!!",F2854="NEW"),"",INDEX(J$1:J2853,SUMPRODUCT(MAX(ROW(E$1:E2853)*(E2854=E$1:E2853)))))</f>
        <v> </v>
      </c>
      <c r="L2854" s="27"/>
    </row>
    <row r="2855" spans="1:12">
      <c r="A2855" s="20" t="s">
        <v>751</v>
      </c>
      <c r="E2855" s="22">
        <f>IF(D2855="?OLD","!!!","")</f>
        <v/>
      </c>
      <c r="F2855" s="23" t="str">
        <f>IF(OR(E2855="",E2855="!!!"),"",IF(NOT(ISNA(VLOOKUP(E2855,E$1:E2854,1,FALSE()))),"OLD",IF(AND(E2855&lt;&gt;"",E2855&lt;&gt;"!!!"),"NEW","")))</f>
        <v> </v>
      </c>
      <c r="G2855" s="24" t="str">
        <f>IF(OR(E2855="",E2855="!!!"),"",IF(OR(J2855=0,AND(J2855=1,K2855=1),AND(J2855=1,I2855="SBJ"),AND(J2855=1,I2855=0)),"?IN_FOCUS",IF(J2855&lt;=2,"?ACTIVATED",IF(J2855&lt;&gt;"","?FAMILIAR",IF(F2855="NEW",IF(ISNA(VLOOKUP(E2855,#REF!,1,FALSE())),"?TYPE_IDENTIFIABLE","?REFERENTIAL"),"_")))))</f>
        <v> </v>
      </c>
      <c r="H2855" s="25" t="str">
        <f>IF(J2855&lt;&gt;1,"",IF(I2855="SBJ","CB","?"))</f>
        <v> </v>
      </c>
      <c r="I2855" s="26" t="str">
        <f>IF(OR(E2855="",E2855="!!!",F2855="NEW"),"",INDEX(B2854:B$2,-1+SUMPRODUCT(MAX(ROW(E2854:E$2)*(E2855=E2854:E$2)))))</f>
        <v> </v>
      </c>
      <c r="J2855" s="26" t="str">
        <f>IF(OR(E2855="",E2855="!!!",F2855="NEW"),"",COUNTBLANK(OFFSET(A$1,,,SUMPRODUCT(MAX(ROW(E$2:E2855)*(E2855=E$2:E2855)))))-COUNTBLANK(OFFSET(A$1,,,SUMPRODUCT(MAX(ROW(E$1:E2854)*(E2=E$1:E2854))))))</f>
        <v> </v>
      </c>
      <c r="K2855" s="26" t="str">
        <f>IF(OR(E2855="",E2855="!!!",F2855="NEW"),"",INDEX(J$1:J2854,SUMPRODUCT(MAX(ROW(E$1:E2854)*(E2855=E$1:E2854)))))</f>
        <v> </v>
      </c>
      <c r="L2855" s="27"/>
    </row>
    <row r="2856" spans="1:12">
      <c r="A2856" s="20" t="s">
        <v>1774</v>
      </c>
      <c r="B2856" s="21" t="s">
        <v>783</v>
      </c>
      <c r="C2856" s="21" t="s">
        <v>753</v>
      </c>
      <c r="D2856" s="21" t="s">
        <v>730</v>
      </c>
      <c r="E2856" s="22">
        <f>IF(D2856="?OLD","!!!","")</f>
        <v/>
      </c>
      <c r="F2856" s="23" t="str">
        <f>IF(OR(E2856="",E2856="!!!"),"",IF(NOT(ISNA(VLOOKUP(E2856,E$1:E2855,1,FALSE()))),"OLD",IF(AND(E2856&lt;&gt;"",E2856&lt;&gt;"!!!"),"NEW","")))</f>
        <v> </v>
      </c>
      <c r="G2856" s="24" t="str">
        <f>IF(OR(E2856="",E2856="!!!"),"",IF(OR(J2856=0,AND(J2856=1,K2856=1),AND(J2856=1,I2856="SBJ"),AND(J2856=1,I2856=0)),"?IN_FOCUS",IF(J2856&lt;=2,"?ACTIVATED",IF(J2856&lt;&gt;"","?FAMILIAR",IF(F2856="NEW",IF(ISNA(VLOOKUP(E2856,#REF!,1,FALSE())),"?TYPE_IDENTIFIABLE","?REFERENTIAL"),"_")))))</f>
        <v> </v>
      </c>
      <c r="H2856" s="25" t="str">
        <f>IF(J2856&lt;&gt;1,"",IF(I2856="SBJ","CB","?"))</f>
        <v> </v>
      </c>
      <c r="I2856" s="26" t="str">
        <f>IF(OR(E2856="",E2856="!!!",F2856="NEW"),"",INDEX(B2855:B$2,-1+SUMPRODUCT(MAX(ROW(E2855:E$2)*(E2856=E2855:E$2)))))</f>
        <v> </v>
      </c>
      <c r="J2856" s="26" t="str">
        <f>IF(OR(E2856="",E2856="!!!",F2856="NEW"),"",COUNTBLANK(OFFSET(A$1,,,SUMPRODUCT(MAX(ROW(E$2:E2856)*(E2856=E$2:E2856)))))-COUNTBLANK(OFFSET(A$1,,,SUMPRODUCT(MAX(ROW(E$1:E2855)*(E2=E$1:E2855))))))</f>
        <v> </v>
      </c>
      <c r="K2856" s="26" t="str">
        <f>IF(OR(E2856="",E2856="!!!",F2856="NEW"),"",INDEX(J$1:J2855,SUMPRODUCT(MAX(ROW(E$1:E2855)*(E2856=E$1:E2855)))))</f>
        <v> </v>
      </c>
      <c r="L2856" s="27"/>
    </row>
    <row r="2857" spans="1:12">
      <c r="A2857" s="20" t="s">
        <v>1775</v>
      </c>
      <c r="E2857" s="22">
        <f>IF(D2857="?OLD","!!!","")</f>
        <v/>
      </c>
      <c r="F2857" s="23" t="str">
        <f>IF(OR(E2857="",E2857="!!!"),"",IF(NOT(ISNA(VLOOKUP(E2857,E$1:E2856,1,FALSE()))),"OLD",IF(AND(E2857&lt;&gt;"",E2857&lt;&gt;"!!!"),"NEW","")))</f>
        <v> </v>
      </c>
      <c r="G2857" s="24" t="str">
        <f>IF(OR(E2857="",E2857="!!!"),"",IF(OR(J2857=0,AND(J2857=1,K2857=1),AND(J2857=1,I2857="SBJ"),AND(J2857=1,I2857=0)),"?IN_FOCUS",IF(J2857&lt;=2,"?ACTIVATED",IF(J2857&lt;&gt;"","?FAMILIAR",IF(F2857="NEW",IF(ISNA(VLOOKUP(E2857,#REF!,1,FALSE())),"?TYPE_IDENTIFIABLE","?REFERENTIAL"),"_")))))</f>
        <v> </v>
      </c>
      <c r="H2857" s="25" t="str">
        <f>IF(J2857&lt;&gt;1,"",IF(I2857="SBJ","CB","?"))</f>
        <v> </v>
      </c>
      <c r="I2857" s="26" t="str">
        <f>IF(OR(E2857="",E2857="!!!",F2857="NEW"),"",INDEX(B2856:B$2,-1+SUMPRODUCT(MAX(ROW(E2856:E$2)*(E2857=E2856:E$2)))))</f>
        <v> </v>
      </c>
      <c r="J2857" s="26" t="str">
        <f>IF(OR(E2857="",E2857="!!!",F2857="NEW"),"",COUNTBLANK(OFFSET(A$1,,,SUMPRODUCT(MAX(ROW(E$2:E2857)*(E2857=E$2:E2857)))))-COUNTBLANK(OFFSET(A$1,,,SUMPRODUCT(MAX(ROW(E$1:E2856)*(E2=E$1:E2856))))))</f>
        <v> </v>
      </c>
      <c r="K2857" s="26" t="str">
        <f>IF(OR(E2857="",E2857="!!!",F2857="NEW"),"",INDEX(J$1:J2856,SUMPRODUCT(MAX(ROW(E$1:E2856)*(E2857=E$1:E2856)))))</f>
        <v> </v>
      </c>
      <c r="L2857" s="27"/>
    </row>
    <row r="2858" spans="1:12">
      <c r="A2858" s="20" t="s">
        <v>246</v>
      </c>
      <c r="E2858" s="22">
        <f>IF(D2858="?OLD","!!!","")</f>
        <v/>
      </c>
      <c r="F2858" s="23" t="str">
        <f>IF(OR(E2858="",E2858="!!!"),"",IF(NOT(ISNA(VLOOKUP(E2858,E$1:E2857,1,FALSE()))),"OLD",IF(AND(E2858&lt;&gt;"",E2858&lt;&gt;"!!!"),"NEW","")))</f>
        <v> </v>
      </c>
      <c r="G2858" s="24" t="str">
        <f>IF(OR(E2858="",E2858="!!!"),"",IF(OR(J2858=0,AND(J2858=1,K2858=1),AND(J2858=1,I2858="SBJ"),AND(J2858=1,I2858=0)),"?IN_FOCUS",IF(J2858&lt;=2,"?ACTIVATED",IF(J2858&lt;&gt;"","?FAMILIAR",IF(F2858="NEW",IF(ISNA(VLOOKUP(E2858,#REF!,1,FALSE())),"?TYPE_IDENTIFIABLE","?REFERENTIAL"),"_")))))</f>
        <v> </v>
      </c>
      <c r="H2858" s="25" t="str">
        <f>IF(J2858&lt;&gt;1,"",IF(I2858="SBJ","CB","?"))</f>
        <v> </v>
      </c>
      <c r="I2858" s="26" t="str">
        <f>IF(OR(E2858="",E2858="!!!",F2858="NEW"),"",INDEX(B2857:B$2,-1+SUMPRODUCT(MAX(ROW(E2857:E$2)*(E2858=E2857:E$2)))))</f>
        <v> </v>
      </c>
      <c r="J2858" s="26" t="str">
        <f>IF(OR(E2858="",E2858="!!!",F2858="NEW"),"",COUNTBLANK(OFFSET(A$1,,,SUMPRODUCT(MAX(ROW(E$2:E2858)*(E2858=E$2:E2858)))))-COUNTBLANK(OFFSET(A$1,,,SUMPRODUCT(MAX(ROW(E$1:E2857)*(E2=E$1:E2857))))))</f>
        <v> </v>
      </c>
      <c r="K2858" s="26" t="str">
        <f>IF(OR(E2858="",E2858="!!!",F2858="NEW"),"",INDEX(J$1:J2857,SUMPRODUCT(MAX(ROW(E$1:E2857)*(E2858=E$1:E2857)))))</f>
        <v> </v>
      </c>
      <c r="L2858" s="27"/>
    </row>
    <row r="2859" spans="1:12">
      <c r="A2859" s="20"/>
    </row>
    <row r="2860" spans="1:12">
      <c r="A2860" s="20" t="s">
        <v>1776</v>
      </c>
    </row>
    <row r="2861" spans="1:12">
      <c r="A2861" s="20" t="s">
        <v>727</v>
      </c>
      <c r="B2861" s="21" t="s">
        <v>796</v>
      </c>
      <c r="C2861" s="21" t="s">
        <v>729</v>
      </c>
      <c r="D2861" s="21" t="s">
        <v>730</v>
      </c>
      <c r="E2861" s="22">
        <f>IF(D2861="?OLD","!!!","")</f>
        <v/>
      </c>
      <c r="F2861" s="23" t="str">
        <f>IF(OR(E2861="",E2861="!!!"),"",IF(NOT(ISNA(VLOOKUP(E2861,E$1:E2860,1,FALSE()))),"OLD",IF(AND(E2861&lt;&gt;"",E2861&lt;&gt;"!!!"),"NEW","")))</f>
        <v> </v>
      </c>
      <c r="G2861" s="24" t="str">
        <f>IF(OR(E2861="",E2861="!!!"),"",IF(OR(J2861=0,AND(J2861=1,K2861=1),AND(J2861=1,I2861="SBJ"),AND(J2861=1,I2861=0)),"?IN_FOCUS",IF(J2861&lt;=2,"?ACTIVATED",IF(J2861&lt;&gt;"","?FAMILIAR",IF(F2861="NEW",IF(ISNA(VLOOKUP(E2861,#REF!,1,FALSE())),"?TYPE_IDENTIFIABLE","?REFERENTIAL"),"_")))))</f>
        <v> </v>
      </c>
      <c r="H2861" s="25" t="str">
        <f>IF(J2861&lt;&gt;1,"",IF(I2861="SBJ","CB","?"))</f>
        <v> </v>
      </c>
      <c r="I2861" s="26" t="str">
        <f>IF(OR(E2861="",E2861="!!!",F2861="NEW"),"",INDEX(B2860:B$2,-1+SUMPRODUCT(MAX(ROW(E2860:E$2)*(E2861=E2860:E$2)))))</f>
        <v> </v>
      </c>
      <c r="J2861" s="26" t="str">
        <f>IF(OR(E2861="",E2861="!!!",F2861="NEW"),"",COUNTBLANK(OFFSET(A$1,,,SUMPRODUCT(MAX(ROW(E$2:E2861)*(E2861=E$2:E2861)))))-COUNTBLANK(OFFSET(A$1,,,SUMPRODUCT(MAX(ROW(E$1:E2860)*(E2=E$1:E2860))))))</f>
        <v> </v>
      </c>
      <c r="K2861" s="26" t="str">
        <f>IF(OR(E2861="",E2861="!!!",F2861="NEW"),"",INDEX(J$1:J2860,SUMPRODUCT(MAX(ROW(E$1:E2860)*(E2861=E$1:E2860)))))</f>
        <v> </v>
      </c>
      <c r="L2861" s="27"/>
    </row>
    <row r="2862" spans="1:12">
      <c r="A2862" s="20" t="s">
        <v>1071</v>
      </c>
      <c r="E2862" s="22">
        <f>IF(D2862="?OLD","!!!","")</f>
        <v/>
      </c>
      <c r="F2862" s="23" t="str">
        <f>IF(OR(E2862="",E2862="!!!"),"",IF(NOT(ISNA(VLOOKUP(E2862,E$1:E2861,1,FALSE()))),"OLD",IF(AND(E2862&lt;&gt;"",E2862&lt;&gt;"!!!"),"NEW","")))</f>
        <v> </v>
      </c>
      <c r="G2862" s="24" t="str">
        <f>IF(OR(E2862="",E2862="!!!"),"",IF(OR(J2862=0,AND(J2862=1,K2862=1),AND(J2862=1,I2862="SBJ"),AND(J2862=1,I2862=0)),"?IN_FOCUS",IF(J2862&lt;=2,"?ACTIVATED",IF(J2862&lt;&gt;"","?FAMILIAR",IF(F2862="NEW",IF(ISNA(VLOOKUP(E2862,#REF!,1,FALSE())),"?TYPE_IDENTIFIABLE","?REFERENTIAL"),"_")))))</f>
        <v> </v>
      </c>
      <c r="H2862" s="25" t="str">
        <f>IF(J2862&lt;&gt;1,"",IF(I2862="SBJ","CB","?"))</f>
        <v> </v>
      </c>
      <c r="I2862" s="26" t="str">
        <f>IF(OR(E2862="",E2862="!!!",F2862="NEW"),"",INDEX(B2861:B$2,-1+SUMPRODUCT(MAX(ROW(E2861:E$2)*(E2862=E2861:E$2)))))</f>
        <v> </v>
      </c>
      <c r="J2862" s="26" t="str">
        <f>IF(OR(E2862="",E2862="!!!",F2862="NEW"),"",COUNTBLANK(OFFSET(A$1,,,SUMPRODUCT(MAX(ROW(E$2:E2862)*(E2862=E$2:E2862)))))-COUNTBLANK(OFFSET(A$1,,,SUMPRODUCT(MAX(ROW(E$1:E2861)*(E2=E$1:E2861))))))</f>
        <v> </v>
      </c>
      <c r="K2862" s="26" t="str">
        <f>IF(OR(E2862="",E2862="!!!",F2862="NEW"),"",INDEX(J$1:J2861,SUMPRODUCT(MAX(ROW(E$1:E2861)*(E2862=E$1:E2861)))))</f>
        <v> </v>
      </c>
      <c r="L2862" s="27"/>
    </row>
    <row r="2863" spans="1:12">
      <c r="A2863" s="20" t="s">
        <v>917</v>
      </c>
      <c r="B2863" s="21" t="s">
        <v>755</v>
      </c>
      <c r="C2863" s="21" t="s">
        <v>756</v>
      </c>
      <c r="E2863" s="22">
        <f>IF(D2863="?OLD","!!!","")</f>
        <v/>
      </c>
      <c r="F2863" s="23" t="str">
        <f>IF(OR(E2863="",E2863="!!!"),"",IF(NOT(ISNA(VLOOKUP(E2863,E$1:E2862,1,FALSE()))),"OLD",IF(AND(E2863&lt;&gt;"",E2863&lt;&gt;"!!!"),"NEW","")))</f>
        <v> </v>
      </c>
      <c r="G2863" s="24" t="str">
        <f>IF(OR(E2863="",E2863="!!!"),"",IF(OR(J2863=0,AND(J2863=1,K2863=1),AND(J2863=1,I2863="SBJ"),AND(J2863=1,I2863=0)),"?IN_FOCUS",IF(J2863&lt;=2,"?ACTIVATED",IF(J2863&lt;&gt;"","?FAMILIAR",IF(F2863="NEW",IF(ISNA(VLOOKUP(E2863,#REF!,1,FALSE())),"?TYPE_IDENTIFIABLE","?REFERENTIAL"),"_")))))</f>
        <v> </v>
      </c>
      <c r="H2863" s="25" t="str">
        <f>IF(J2863&lt;&gt;1,"",IF(I2863="SBJ","CB","?"))</f>
        <v> </v>
      </c>
      <c r="I2863" s="26" t="str">
        <f>IF(OR(E2863="",E2863="!!!",F2863="NEW"),"",INDEX(B2862:B$2,-1+SUMPRODUCT(MAX(ROW(E2862:E$2)*(E2863=E2862:E$2)))))</f>
        <v> </v>
      </c>
      <c r="J2863" s="26" t="str">
        <f>IF(OR(E2863="",E2863="!!!",F2863="NEW"),"",COUNTBLANK(OFFSET(A$1,,,SUMPRODUCT(MAX(ROW(E$2:E2863)*(E2863=E$2:E2863)))))-COUNTBLANK(OFFSET(A$1,,,SUMPRODUCT(MAX(ROW(E$1:E2862)*(E2=E$1:E2862))))))</f>
        <v> </v>
      </c>
      <c r="K2863" s="26" t="str">
        <f>IF(OR(E2863="",E2863="!!!",F2863="NEW"),"",INDEX(J$1:J2862,SUMPRODUCT(MAX(ROW(E$1:E2862)*(E2863=E$1:E2862)))))</f>
        <v> </v>
      </c>
      <c r="L2863" s="27"/>
    </row>
    <row r="2864" spans="1:12">
      <c r="A2864" s="20" t="s">
        <v>903</v>
      </c>
      <c r="B2864" s="21" t="s">
        <v>755</v>
      </c>
      <c r="C2864" s="21" t="s">
        <v>801</v>
      </c>
      <c r="D2864" s="21" t="s">
        <v>730</v>
      </c>
      <c r="E2864" s="22">
        <f>IF(D2864="?OLD","!!!","")</f>
        <v/>
      </c>
      <c r="F2864" s="23" t="str">
        <f>IF(OR(E2864="",E2864="!!!"),"",IF(NOT(ISNA(VLOOKUP(E2864,E$1:E2863,1,FALSE()))),"OLD",IF(AND(E2864&lt;&gt;"",E2864&lt;&gt;"!!!"),"NEW","")))</f>
        <v> </v>
      </c>
      <c r="G2864" s="24" t="str">
        <f>IF(OR(E2864="",E2864="!!!"),"",IF(OR(J2864=0,AND(J2864=1,K2864=1),AND(J2864=1,I2864="SBJ"),AND(J2864=1,I2864=0)),"?IN_FOCUS",IF(J2864&lt;=2,"?ACTIVATED",IF(J2864&lt;&gt;"","?FAMILIAR",IF(F2864="NEW",IF(ISNA(VLOOKUP(E2864,#REF!,1,FALSE())),"?TYPE_IDENTIFIABLE","?REFERENTIAL"),"_")))))</f>
        <v> </v>
      </c>
      <c r="H2864" s="25" t="str">
        <f>IF(J2864&lt;&gt;1,"",IF(I2864="SBJ","CB","?"))</f>
        <v> </v>
      </c>
      <c r="I2864" s="26" t="str">
        <f>IF(OR(E2864="",E2864="!!!",F2864="NEW"),"",INDEX(B2863:B$2,-1+SUMPRODUCT(MAX(ROW(E2863:E$2)*(E2864=E2863:E$2)))))</f>
        <v> </v>
      </c>
      <c r="J2864" s="26" t="str">
        <f>IF(OR(E2864="",E2864="!!!",F2864="NEW"),"",COUNTBLANK(OFFSET(A$1,,,SUMPRODUCT(MAX(ROW(E$2:E2864)*(E2864=E$2:E2864)))))-COUNTBLANK(OFFSET(A$1,,,SUMPRODUCT(MAX(ROW(E$1:E2863)*(E2=E$1:E2863))))))</f>
        <v> </v>
      </c>
      <c r="K2864" s="26" t="str">
        <f>IF(OR(E2864="",E2864="!!!",F2864="NEW"),"",INDEX(J$1:J2863,SUMPRODUCT(MAX(ROW(E$1:E2863)*(E2864=E$1:E2863)))))</f>
        <v> </v>
      </c>
      <c r="L2864" s="27"/>
    </row>
    <row r="2865" spans="1:12">
      <c r="A2865" s="20" t="s">
        <v>1138</v>
      </c>
      <c r="B2865" s="21" t="s">
        <v>791</v>
      </c>
      <c r="C2865" s="21" t="s">
        <v>802</v>
      </c>
      <c r="D2865" s="21" t="s">
        <v>730</v>
      </c>
      <c r="E2865" s="22">
        <f>IF(D2865="?OLD","!!!","")</f>
        <v/>
      </c>
      <c r="F2865" s="23" t="str">
        <f>IF(OR(E2865="",E2865="!!!"),"",IF(NOT(ISNA(VLOOKUP(E2865,E$1:E2864,1,FALSE()))),"OLD",IF(AND(E2865&lt;&gt;"",E2865&lt;&gt;"!!!"),"NEW","")))</f>
        <v> </v>
      </c>
      <c r="G2865" s="24" t="str">
        <f>IF(OR(E2865="",E2865="!!!"),"",IF(OR(J2865=0,AND(J2865=1,K2865=1),AND(J2865=1,I2865="SBJ"),AND(J2865=1,I2865=0)),"?IN_FOCUS",IF(J2865&lt;=2,"?ACTIVATED",IF(J2865&lt;&gt;"","?FAMILIAR",IF(F2865="NEW",IF(ISNA(VLOOKUP(E2865,#REF!,1,FALSE())),"?TYPE_IDENTIFIABLE","?REFERENTIAL"),"_")))))</f>
        <v> </v>
      </c>
      <c r="H2865" s="25" t="str">
        <f>IF(J2865&lt;&gt;1,"",IF(I2865="SBJ","CB","?"))</f>
        <v> </v>
      </c>
      <c r="I2865" s="26" t="str">
        <f>IF(OR(E2865="",E2865="!!!",F2865="NEW"),"",INDEX(B2864:B$2,-1+SUMPRODUCT(MAX(ROW(E2864:E$2)*(E2865=E2864:E$2)))))</f>
        <v> </v>
      </c>
      <c r="J2865" s="26" t="str">
        <f>IF(OR(E2865="",E2865="!!!",F2865="NEW"),"",COUNTBLANK(OFFSET(A$1,,,SUMPRODUCT(MAX(ROW(E$2:E2865)*(E2865=E$2:E2865)))))-COUNTBLANK(OFFSET(A$1,,,SUMPRODUCT(MAX(ROW(E$1:E2864)*(E2=E$1:E2864))))))</f>
        <v> </v>
      </c>
      <c r="K2865" s="26" t="str">
        <f>IF(OR(E2865="",E2865="!!!",F2865="NEW"),"",INDEX(J$1:J2864,SUMPRODUCT(MAX(ROW(E$1:E2864)*(E2865=E$1:E2864)))))</f>
        <v> </v>
      </c>
      <c r="L2865" s="27"/>
    </row>
    <row r="2866" spans="1:12">
      <c r="A2866" s="20" t="s">
        <v>759</v>
      </c>
      <c r="E2866" s="22">
        <f>IF(D2866="?OLD","!!!","")</f>
        <v/>
      </c>
      <c r="F2866" s="23" t="str">
        <f>IF(OR(E2866="",E2866="!!!"),"",IF(NOT(ISNA(VLOOKUP(E2866,E$1:E2865,1,FALSE()))),"OLD",IF(AND(E2866&lt;&gt;"",E2866&lt;&gt;"!!!"),"NEW","")))</f>
        <v> </v>
      </c>
      <c r="G2866" s="24" t="str">
        <f>IF(OR(E2866="",E2866="!!!"),"",IF(OR(J2866=0,AND(J2866=1,K2866=1),AND(J2866=1,I2866="SBJ"),AND(J2866=1,I2866=0)),"?IN_FOCUS",IF(J2866&lt;=2,"?ACTIVATED",IF(J2866&lt;&gt;"","?FAMILIAR",IF(F2866="NEW",IF(ISNA(VLOOKUP(E2866,#REF!,1,FALSE())),"?TYPE_IDENTIFIABLE","?REFERENTIAL"),"_")))))</f>
        <v> </v>
      </c>
      <c r="H2866" s="25" t="str">
        <f>IF(J2866&lt;&gt;1,"",IF(I2866="SBJ","CB","?"))</f>
        <v> </v>
      </c>
      <c r="I2866" s="26" t="str">
        <f>IF(OR(E2866="",E2866="!!!",F2866="NEW"),"",INDEX(B2865:B$2,-1+SUMPRODUCT(MAX(ROW(E2865:E$2)*(E2866=E2865:E$2)))))</f>
        <v> </v>
      </c>
      <c r="J2866" s="26" t="str">
        <f>IF(OR(E2866="",E2866="!!!",F2866="NEW"),"",COUNTBLANK(OFFSET(A$1,,,SUMPRODUCT(MAX(ROW(E$2:E2866)*(E2866=E$2:E2866)))))-COUNTBLANK(OFFSET(A$1,,,SUMPRODUCT(MAX(ROW(E$1:E2865)*(E2=E$1:E2865))))))</f>
        <v> </v>
      </c>
      <c r="K2866" s="26" t="str">
        <f>IF(OR(E2866="",E2866="!!!",F2866="NEW"),"",INDEX(J$1:J2865,SUMPRODUCT(MAX(ROW(E$1:E2865)*(E2866=E$1:E2865)))))</f>
        <v> </v>
      </c>
      <c r="L2866" s="27"/>
    </row>
    <row r="2867" spans="1:12">
      <c r="A2867" s="20" t="s">
        <v>903</v>
      </c>
      <c r="B2867" s="21" t="s">
        <v>739</v>
      </c>
      <c r="C2867" s="21" t="s">
        <v>801</v>
      </c>
      <c r="D2867" s="21" t="s">
        <v>730</v>
      </c>
      <c r="E2867" s="22">
        <f>IF(D2867="?OLD","!!!","")</f>
        <v/>
      </c>
      <c r="F2867" s="23" t="str">
        <f>IF(OR(E2867="",E2867="!!!"),"",IF(NOT(ISNA(VLOOKUP(E2867,E$1:E2866,1,FALSE()))),"OLD",IF(AND(E2867&lt;&gt;"",E2867&lt;&gt;"!!!"),"NEW","")))</f>
        <v> </v>
      </c>
      <c r="G2867" s="24" t="str">
        <f>IF(OR(E2867="",E2867="!!!"),"",IF(OR(J2867=0,AND(J2867=1,K2867=1),AND(J2867=1,I2867="SBJ"),AND(J2867=1,I2867=0)),"?IN_FOCUS",IF(J2867&lt;=2,"?ACTIVATED",IF(J2867&lt;&gt;"","?FAMILIAR",IF(F2867="NEW",IF(ISNA(VLOOKUP(E2867,#REF!,1,FALSE())),"?TYPE_IDENTIFIABLE","?REFERENTIAL"),"_")))))</f>
        <v> </v>
      </c>
      <c r="H2867" s="25" t="str">
        <f>IF(J2867&lt;&gt;1,"",IF(I2867="SBJ","CB","?"))</f>
        <v> </v>
      </c>
      <c r="I2867" s="26" t="str">
        <f>IF(OR(E2867="",E2867="!!!",F2867="NEW"),"",INDEX(B2866:B$2,-1+SUMPRODUCT(MAX(ROW(E2866:E$2)*(E2867=E2866:E$2)))))</f>
        <v> </v>
      </c>
      <c r="J2867" s="26" t="str">
        <f>IF(OR(E2867="",E2867="!!!",F2867="NEW"),"",COUNTBLANK(OFFSET(A$1,,,SUMPRODUCT(MAX(ROW(E$2:E2867)*(E2867=E$2:E2867)))))-COUNTBLANK(OFFSET(A$1,,,SUMPRODUCT(MAX(ROW(E$1:E2866)*(E2=E$1:E2866))))))</f>
        <v> </v>
      </c>
      <c r="K2867" s="26" t="str">
        <f>IF(OR(E2867="",E2867="!!!",F2867="NEW"),"",INDEX(J$1:J2866,SUMPRODUCT(MAX(ROW(E$1:E2866)*(E2867=E$1:E2866)))))</f>
        <v> </v>
      </c>
      <c r="L2867" s="27"/>
    </row>
    <row r="2868" spans="1:12">
      <c r="A2868" s="20" t="s">
        <v>1724</v>
      </c>
      <c r="B2868" s="21" t="s">
        <v>764</v>
      </c>
      <c r="C2868" s="21" t="s">
        <v>802</v>
      </c>
      <c r="D2868" s="21" t="s">
        <v>730</v>
      </c>
      <c r="E2868" s="22">
        <f>IF(D2868="?OLD","!!!","")</f>
        <v/>
      </c>
      <c r="F2868" s="23" t="str">
        <f>IF(OR(E2868="",E2868="!!!"),"",IF(NOT(ISNA(VLOOKUP(E2868,E$1:E2867,1,FALSE()))),"OLD",IF(AND(E2868&lt;&gt;"",E2868&lt;&gt;"!!!"),"NEW","")))</f>
        <v> </v>
      </c>
      <c r="G2868" s="24" t="str">
        <f>IF(OR(E2868="",E2868="!!!"),"",IF(OR(J2868=0,AND(J2868=1,K2868=1),AND(J2868=1,I2868="SBJ"),AND(J2868=1,I2868=0)),"?IN_FOCUS",IF(J2868&lt;=2,"?ACTIVATED",IF(J2868&lt;&gt;"","?FAMILIAR",IF(F2868="NEW",IF(ISNA(VLOOKUP(E2868,#REF!,1,FALSE())),"?TYPE_IDENTIFIABLE","?REFERENTIAL"),"_")))))</f>
        <v> </v>
      </c>
      <c r="H2868" s="25" t="str">
        <f>IF(J2868&lt;&gt;1,"",IF(I2868="SBJ","CB","?"))</f>
        <v> </v>
      </c>
      <c r="I2868" s="26" t="str">
        <f>IF(OR(E2868="",E2868="!!!",F2868="NEW"),"",INDEX(B2867:B$2,-1+SUMPRODUCT(MAX(ROW(E2867:E$2)*(E2868=E2867:E$2)))))</f>
        <v> </v>
      </c>
      <c r="J2868" s="26" t="str">
        <f>IF(OR(E2868="",E2868="!!!",F2868="NEW"),"",COUNTBLANK(OFFSET(A$1,,,SUMPRODUCT(MAX(ROW(E$2:E2868)*(E2868=E$2:E2868)))))-COUNTBLANK(OFFSET(A$1,,,SUMPRODUCT(MAX(ROW(E$1:E2867)*(E2=E$1:E2867))))))</f>
        <v> </v>
      </c>
      <c r="K2868" s="26" t="str">
        <f>IF(OR(E2868="",E2868="!!!",F2868="NEW"),"",INDEX(J$1:J2867,SUMPRODUCT(MAX(ROW(E$1:E2867)*(E2868=E$1:E2867)))))</f>
        <v> </v>
      </c>
      <c r="L2868" s="27"/>
    </row>
    <row r="2869" spans="1:12">
      <c r="A2869" s="20" t="s">
        <v>759</v>
      </c>
      <c r="E2869" s="22">
        <f>IF(D2869="?OLD","!!!","")</f>
        <v/>
      </c>
      <c r="F2869" s="23" t="str">
        <f>IF(OR(E2869="",E2869="!!!"),"",IF(NOT(ISNA(VLOOKUP(E2869,E$1:E2868,1,FALSE()))),"OLD",IF(AND(E2869&lt;&gt;"",E2869&lt;&gt;"!!!"),"NEW","")))</f>
        <v> </v>
      </c>
      <c r="G2869" s="24" t="str">
        <f>IF(OR(E2869="",E2869="!!!"),"",IF(OR(J2869=0,AND(J2869=1,K2869=1),AND(J2869=1,I2869="SBJ"),AND(J2869=1,I2869=0)),"?IN_FOCUS",IF(J2869&lt;=2,"?ACTIVATED",IF(J2869&lt;&gt;"","?FAMILIAR",IF(F2869="NEW",IF(ISNA(VLOOKUP(E2869,#REF!,1,FALSE())),"?TYPE_IDENTIFIABLE","?REFERENTIAL"),"_")))))</f>
        <v> </v>
      </c>
      <c r="H2869" s="25" t="str">
        <f>IF(J2869&lt;&gt;1,"",IF(I2869="SBJ","CB","?"))</f>
        <v> </v>
      </c>
      <c r="I2869" s="26" t="str">
        <f>IF(OR(E2869="",E2869="!!!",F2869="NEW"),"",INDEX(B2868:B$2,-1+SUMPRODUCT(MAX(ROW(E2868:E$2)*(E2869=E2868:E$2)))))</f>
        <v> </v>
      </c>
      <c r="J2869" s="26" t="str">
        <f>IF(OR(E2869="",E2869="!!!",F2869="NEW"),"",COUNTBLANK(OFFSET(A$1,,,SUMPRODUCT(MAX(ROW(E$2:E2869)*(E2869=E$2:E2869)))))-COUNTBLANK(OFFSET(A$1,,,SUMPRODUCT(MAX(ROW(E$1:E2868)*(E2=E$1:E2868))))))</f>
        <v> </v>
      </c>
      <c r="K2869" s="26" t="str">
        <f>IF(OR(E2869="",E2869="!!!",F2869="NEW"),"",INDEX(J$1:J2868,SUMPRODUCT(MAX(ROW(E$1:E2868)*(E2869=E$1:E2868)))))</f>
        <v> </v>
      </c>
      <c r="L2869" s="27"/>
    </row>
    <row r="2870" spans="1:12">
      <c r="A2870" s="20" t="s">
        <v>1107</v>
      </c>
      <c r="E2870" s="22">
        <f>IF(D2870="?OLD","!!!","")</f>
        <v/>
      </c>
      <c r="F2870" s="23" t="str">
        <f>IF(OR(E2870="",E2870="!!!"),"",IF(NOT(ISNA(VLOOKUP(E2870,E$1:E2869,1,FALSE()))),"OLD",IF(AND(E2870&lt;&gt;"",E2870&lt;&gt;"!!!"),"NEW","")))</f>
        <v> </v>
      </c>
      <c r="G2870" s="24" t="str">
        <f>IF(OR(E2870="",E2870="!!!"),"",IF(OR(J2870=0,AND(J2870=1,K2870=1),AND(J2870=1,I2870="SBJ"),AND(J2870=1,I2870=0)),"?IN_FOCUS",IF(J2870&lt;=2,"?ACTIVATED",IF(J2870&lt;&gt;"","?FAMILIAR",IF(F2870="NEW",IF(ISNA(VLOOKUP(E2870,#REF!,1,FALSE())),"?TYPE_IDENTIFIABLE","?REFERENTIAL"),"_")))))</f>
        <v> </v>
      </c>
      <c r="H2870" s="25" t="str">
        <f>IF(J2870&lt;&gt;1,"",IF(I2870="SBJ","CB","?"))</f>
        <v> </v>
      </c>
      <c r="I2870" s="26" t="str">
        <f>IF(OR(E2870="",E2870="!!!",F2870="NEW"),"",INDEX(B2869:B$2,-1+SUMPRODUCT(MAX(ROW(E2869:E$2)*(E2870=E2869:E$2)))))</f>
        <v> </v>
      </c>
      <c r="J2870" s="26" t="str">
        <f>IF(OR(E2870="",E2870="!!!",F2870="NEW"),"",COUNTBLANK(OFFSET(A$1,,,SUMPRODUCT(MAX(ROW(E$2:E2870)*(E2870=E$2:E2870)))))-COUNTBLANK(OFFSET(A$1,,,SUMPRODUCT(MAX(ROW(E$1:E2869)*(E2=E$1:E2869))))))</f>
        <v> </v>
      </c>
      <c r="K2870" s="26" t="str">
        <f>IF(OR(E2870="",E2870="!!!",F2870="NEW"),"",INDEX(J$1:J2869,SUMPRODUCT(MAX(ROW(E$1:E2869)*(E2870=E$1:E2869)))))</f>
        <v> </v>
      </c>
      <c r="L2870" s="27"/>
    </row>
    <row r="2871" spans="1:12">
      <c r="A2871" s="20" t="s">
        <v>922</v>
      </c>
      <c r="E2871" s="22">
        <f>IF(D2871="?OLD","!!!","")</f>
        <v/>
      </c>
      <c r="F2871" s="23" t="str">
        <f>IF(OR(E2871="",E2871="!!!"),"",IF(NOT(ISNA(VLOOKUP(E2871,E$1:E2870,1,FALSE()))),"OLD",IF(AND(E2871&lt;&gt;"",E2871&lt;&gt;"!!!"),"NEW","")))</f>
        <v> </v>
      </c>
      <c r="G2871" s="24" t="str">
        <f>IF(OR(E2871="",E2871="!!!"),"",IF(OR(J2871=0,AND(J2871=1,K2871=1),AND(J2871=1,I2871="SBJ"),AND(J2871=1,I2871=0)),"?IN_FOCUS",IF(J2871&lt;=2,"?ACTIVATED",IF(J2871&lt;&gt;"","?FAMILIAR",IF(F2871="NEW",IF(ISNA(VLOOKUP(E2871,#REF!,1,FALSE())),"?TYPE_IDENTIFIABLE","?REFERENTIAL"),"_")))))</f>
        <v> </v>
      </c>
      <c r="H2871" s="25" t="str">
        <f>IF(J2871&lt;&gt;1,"",IF(I2871="SBJ","CB","?"))</f>
        <v> </v>
      </c>
      <c r="I2871" s="26" t="str">
        <f>IF(OR(E2871="",E2871="!!!",F2871="NEW"),"",INDEX(B2870:B$2,-1+SUMPRODUCT(MAX(ROW(E2870:E$2)*(E2871=E2870:E$2)))))</f>
        <v> </v>
      </c>
      <c r="J2871" s="26" t="str">
        <f>IF(OR(E2871="",E2871="!!!",F2871="NEW"),"",COUNTBLANK(OFFSET(A$1,,,SUMPRODUCT(MAX(ROW(E$2:E2871)*(E2871=E$2:E2871)))))-COUNTBLANK(OFFSET(A$1,,,SUMPRODUCT(MAX(ROW(E$1:E2870)*(E2=E$1:E2870))))))</f>
        <v> </v>
      </c>
      <c r="K2871" s="26" t="str">
        <f>IF(OR(E2871="",E2871="!!!",F2871="NEW"),"",INDEX(J$1:J2870,SUMPRODUCT(MAX(ROW(E$1:E2870)*(E2871=E$1:E2870)))))</f>
        <v> </v>
      </c>
      <c r="L2871" s="27"/>
    </row>
    <row r="2872" spans="1:12">
      <c r="A2872" s="20" t="s">
        <v>1435</v>
      </c>
      <c r="E2872" s="22">
        <f>IF(D2872="?OLD","!!!","")</f>
        <v/>
      </c>
      <c r="F2872" s="23" t="str">
        <f>IF(OR(E2872="",E2872="!!!"),"",IF(NOT(ISNA(VLOOKUP(E2872,E$1:E2871,1,FALSE()))),"OLD",IF(AND(E2872&lt;&gt;"",E2872&lt;&gt;"!!!"),"NEW","")))</f>
        <v> </v>
      </c>
      <c r="G2872" s="24" t="str">
        <f>IF(OR(E2872="",E2872="!!!"),"",IF(OR(J2872=0,AND(J2872=1,K2872=1),AND(J2872=1,I2872="SBJ"),AND(J2872=1,I2872=0)),"?IN_FOCUS",IF(J2872&lt;=2,"?ACTIVATED",IF(J2872&lt;&gt;"","?FAMILIAR",IF(F2872="NEW",IF(ISNA(VLOOKUP(E2872,#REF!,1,FALSE())),"?TYPE_IDENTIFIABLE","?REFERENTIAL"),"_")))))</f>
        <v> </v>
      </c>
      <c r="H2872" s="25" t="str">
        <f>IF(J2872&lt;&gt;1,"",IF(I2872="SBJ","CB","?"))</f>
        <v> </v>
      </c>
      <c r="I2872" s="26" t="str">
        <f>IF(OR(E2872="",E2872="!!!",F2872="NEW"),"",INDEX(B2871:B$2,-1+SUMPRODUCT(MAX(ROW(E2871:E$2)*(E2872=E2871:E$2)))))</f>
        <v> </v>
      </c>
      <c r="J2872" s="26" t="str">
        <f>IF(OR(E2872="",E2872="!!!",F2872="NEW"),"",COUNTBLANK(OFFSET(A$1,,,SUMPRODUCT(MAX(ROW(E$2:E2872)*(E2872=E$2:E2872)))))-COUNTBLANK(OFFSET(A$1,,,SUMPRODUCT(MAX(ROW(E$1:E2871)*(E2=E$1:E2871))))))</f>
        <v> </v>
      </c>
      <c r="K2872" s="26" t="str">
        <f>IF(OR(E2872="",E2872="!!!",F2872="NEW"),"",INDEX(J$1:J2871,SUMPRODUCT(MAX(ROW(E$1:E2871)*(E2872=E$1:E2871)))))</f>
        <v> </v>
      </c>
      <c r="L2872" s="27"/>
    </row>
    <row r="2873" spans="1:12">
      <c r="A2873" s="20" t="s">
        <v>1777</v>
      </c>
      <c r="E2873" s="22">
        <f>IF(D2873="?OLD","!!!","")</f>
        <v/>
      </c>
      <c r="F2873" s="23" t="str">
        <f>IF(OR(E2873="",E2873="!!!"),"",IF(NOT(ISNA(VLOOKUP(E2873,E$1:E2872,1,FALSE()))),"OLD",IF(AND(E2873&lt;&gt;"",E2873&lt;&gt;"!!!"),"NEW","")))</f>
        <v> </v>
      </c>
      <c r="G2873" s="24" t="str">
        <f>IF(OR(E2873="",E2873="!!!"),"",IF(OR(J2873=0,AND(J2873=1,K2873=1),AND(J2873=1,I2873="SBJ"),AND(J2873=1,I2873=0)),"?IN_FOCUS",IF(J2873&lt;=2,"?ACTIVATED",IF(J2873&lt;&gt;"","?FAMILIAR",IF(F2873="NEW",IF(ISNA(VLOOKUP(E2873,#REF!,1,FALSE())),"?TYPE_IDENTIFIABLE","?REFERENTIAL"),"_")))))</f>
        <v> </v>
      </c>
      <c r="H2873" s="25" t="str">
        <f>IF(J2873&lt;&gt;1,"",IF(I2873="SBJ","CB","?"))</f>
        <v> </v>
      </c>
      <c r="I2873" s="26" t="str">
        <f>IF(OR(E2873="",E2873="!!!",F2873="NEW"),"",INDEX(B2872:B$2,-1+SUMPRODUCT(MAX(ROW(E2872:E$2)*(E2873=E2872:E$2)))))</f>
        <v> </v>
      </c>
      <c r="J2873" s="26" t="str">
        <f>IF(OR(E2873="",E2873="!!!",F2873="NEW"),"",COUNTBLANK(OFFSET(A$1,,,SUMPRODUCT(MAX(ROW(E$2:E2873)*(E2873=E$2:E2873)))))-COUNTBLANK(OFFSET(A$1,,,SUMPRODUCT(MAX(ROW(E$1:E2872)*(E2=E$1:E2872))))))</f>
        <v> </v>
      </c>
      <c r="K2873" s="26" t="str">
        <f>IF(OR(E2873="",E2873="!!!",F2873="NEW"),"",INDEX(J$1:J2872,SUMPRODUCT(MAX(ROW(E$1:E2872)*(E2873=E$1:E2872)))))</f>
        <v> </v>
      </c>
      <c r="L2873" s="27"/>
    </row>
    <row r="2874" spans="1:12">
      <c r="A2874" s="20" t="s">
        <v>1198</v>
      </c>
      <c r="B2874" s="21" t="s">
        <v>736</v>
      </c>
      <c r="C2874" s="21" t="s">
        <v>737</v>
      </c>
      <c r="E2874" s="22">
        <f>IF(D2874="?OLD","!!!","")</f>
        <v/>
      </c>
      <c r="F2874" s="23" t="str">
        <f>IF(OR(E2874="",E2874="!!!"),"",IF(NOT(ISNA(VLOOKUP(E2874,E$1:E2873,1,FALSE()))),"OLD",IF(AND(E2874&lt;&gt;"",E2874&lt;&gt;"!!!"),"NEW","")))</f>
        <v> </v>
      </c>
      <c r="G2874" s="24" t="str">
        <f>IF(OR(E2874="",E2874="!!!"),"",IF(OR(J2874=0,AND(J2874=1,K2874=1),AND(J2874=1,I2874="SBJ"),AND(J2874=1,I2874=0)),"?IN_FOCUS",IF(J2874&lt;=2,"?ACTIVATED",IF(J2874&lt;&gt;"","?FAMILIAR",IF(F2874="NEW",IF(ISNA(VLOOKUP(E2874,#REF!,1,FALSE())),"?TYPE_IDENTIFIABLE","?REFERENTIAL"),"_")))))</f>
        <v> </v>
      </c>
      <c r="H2874" s="25" t="str">
        <f>IF(J2874&lt;&gt;1,"",IF(I2874="SBJ","CB","?"))</f>
        <v> </v>
      </c>
      <c r="I2874" s="26" t="str">
        <f>IF(OR(E2874="",E2874="!!!",F2874="NEW"),"",INDEX(B2873:B$2,-1+SUMPRODUCT(MAX(ROW(E2873:E$2)*(E2874=E2873:E$2)))))</f>
        <v> </v>
      </c>
      <c r="J2874" s="26" t="str">
        <f>IF(OR(E2874="",E2874="!!!",F2874="NEW"),"",COUNTBLANK(OFFSET(A$1,,,SUMPRODUCT(MAX(ROW(E$2:E2874)*(E2874=E$2:E2874)))))-COUNTBLANK(OFFSET(A$1,,,SUMPRODUCT(MAX(ROW(E$1:E2873)*(E2=E$1:E2873))))))</f>
        <v> </v>
      </c>
      <c r="K2874" s="26" t="str">
        <f>IF(OR(E2874="",E2874="!!!",F2874="NEW"),"",INDEX(J$1:J2873,SUMPRODUCT(MAX(ROW(E$1:E2873)*(E2874=E$1:E2873)))))</f>
        <v> </v>
      </c>
      <c r="L2874" s="27"/>
    </row>
    <row r="2875" spans="1:12">
      <c r="A2875" s="20" t="s">
        <v>1037</v>
      </c>
      <c r="E2875" s="22">
        <f>IF(D2875="?OLD","!!!","")</f>
        <v/>
      </c>
      <c r="F2875" s="23" t="str">
        <f>IF(OR(E2875="",E2875="!!!"),"",IF(NOT(ISNA(VLOOKUP(E2875,E$1:E2874,1,FALSE()))),"OLD",IF(AND(E2875&lt;&gt;"",E2875&lt;&gt;"!!!"),"NEW","")))</f>
        <v> </v>
      </c>
      <c r="G2875" s="24" t="str">
        <f>IF(OR(E2875="",E2875="!!!"),"",IF(OR(J2875=0,AND(J2875=1,K2875=1),AND(J2875=1,I2875="SBJ"),AND(J2875=1,I2875=0)),"?IN_FOCUS",IF(J2875&lt;=2,"?ACTIVATED",IF(J2875&lt;&gt;"","?FAMILIAR",IF(F2875="NEW",IF(ISNA(VLOOKUP(E2875,#REF!,1,FALSE())),"?TYPE_IDENTIFIABLE","?REFERENTIAL"),"_")))))</f>
        <v> </v>
      </c>
      <c r="H2875" s="25" t="str">
        <f>IF(J2875&lt;&gt;1,"",IF(I2875="SBJ","CB","?"))</f>
        <v> </v>
      </c>
      <c r="I2875" s="26" t="str">
        <f>IF(OR(E2875="",E2875="!!!",F2875="NEW"),"",INDEX(B2874:B$2,-1+SUMPRODUCT(MAX(ROW(E2874:E$2)*(E2875=E2874:E$2)))))</f>
        <v> </v>
      </c>
      <c r="J2875" s="26" t="str">
        <f>IF(OR(E2875="",E2875="!!!",F2875="NEW"),"",COUNTBLANK(OFFSET(A$1,,,SUMPRODUCT(MAX(ROW(E$2:E2875)*(E2875=E$2:E2875)))))-COUNTBLANK(OFFSET(A$1,,,SUMPRODUCT(MAX(ROW(E$1:E2874)*(E2=E$1:E2874))))))</f>
        <v> </v>
      </c>
      <c r="K2875" s="26" t="str">
        <f>IF(OR(E2875="",E2875="!!!",F2875="NEW"),"",INDEX(J$1:J2874,SUMPRODUCT(MAX(ROW(E$1:E2874)*(E2875=E$1:E2874)))))</f>
        <v> </v>
      </c>
      <c r="L2875" s="27"/>
    </row>
    <row r="2876" spans="1:12">
      <c r="A2876" s="20" t="s">
        <v>246</v>
      </c>
      <c r="E2876" s="22">
        <f>IF(D2876="?OLD","!!!","")</f>
        <v/>
      </c>
      <c r="F2876" s="23" t="str">
        <f>IF(OR(E2876="",E2876="!!!"),"",IF(NOT(ISNA(VLOOKUP(E2876,E$1:E2875,1,FALSE()))),"OLD",IF(AND(E2876&lt;&gt;"",E2876&lt;&gt;"!!!"),"NEW","")))</f>
        <v> </v>
      </c>
      <c r="G2876" s="24" t="str">
        <f>IF(OR(E2876="",E2876="!!!"),"",IF(OR(J2876=0,AND(J2876=1,K2876=1),AND(J2876=1,I2876="SBJ"),AND(J2876=1,I2876=0)),"?IN_FOCUS",IF(J2876&lt;=2,"?ACTIVATED",IF(J2876&lt;&gt;"","?FAMILIAR",IF(F2876="NEW",IF(ISNA(VLOOKUP(E2876,#REF!,1,FALSE())),"?TYPE_IDENTIFIABLE","?REFERENTIAL"),"_")))))</f>
        <v> </v>
      </c>
      <c r="H2876" s="25" t="str">
        <f>IF(J2876&lt;&gt;1,"",IF(I2876="SBJ","CB","?"))</f>
        <v> </v>
      </c>
      <c r="I2876" s="26" t="str">
        <f>IF(OR(E2876="",E2876="!!!",F2876="NEW"),"",INDEX(B2875:B$2,-1+SUMPRODUCT(MAX(ROW(E2875:E$2)*(E2876=E2875:E$2)))))</f>
        <v> </v>
      </c>
      <c r="J2876" s="26" t="str">
        <f>IF(OR(E2876="",E2876="!!!",F2876="NEW"),"",COUNTBLANK(OFFSET(A$1,,,SUMPRODUCT(MAX(ROW(E$2:E2876)*(E2876=E$2:E2876)))))-COUNTBLANK(OFFSET(A$1,,,SUMPRODUCT(MAX(ROW(E$1:E2875)*(E2=E$1:E2875))))))</f>
        <v> </v>
      </c>
      <c r="K2876" s="26" t="str">
        <f>IF(OR(E2876="",E2876="!!!",F2876="NEW"),"",INDEX(J$1:J2875,SUMPRODUCT(MAX(ROW(E$1:E2875)*(E2876=E$1:E2875)))))</f>
        <v> </v>
      </c>
      <c r="L2876" s="27"/>
    </row>
    <row r="2877" spans="1:12">
      <c r="A2877" s="20"/>
    </row>
    <row r="2878" spans="1:12">
      <c r="A2878" s="20" t="s">
        <v>1778</v>
      </c>
    </row>
    <row r="2879" spans="1:12">
      <c r="A2879" s="20" t="s">
        <v>577</v>
      </c>
      <c r="B2879" s="21" t="s">
        <v>736</v>
      </c>
      <c r="C2879" s="21" t="s">
        <v>740</v>
      </c>
      <c r="D2879" s="21" t="s">
        <v>730</v>
      </c>
      <c r="E2879" s="22">
        <f>IF(D2879="?OLD","!!!","")</f>
        <v/>
      </c>
      <c r="F2879" s="23" t="str">
        <f>IF(OR(E2879="",E2879="!!!"),"",IF(NOT(ISNA(VLOOKUP(E2879,E$1:E2878,1,FALSE()))),"OLD",IF(AND(E2879&lt;&gt;"",E2879&lt;&gt;"!!!"),"NEW","")))</f>
        <v> </v>
      </c>
      <c r="G2879" s="24" t="str">
        <f>IF(OR(E2879="",E2879="!!!"),"",IF(OR(J2879=0,AND(J2879=1,K2879=1),AND(J2879=1,I2879="SBJ"),AND(J2879=1,I2879=0)),"?IN_FOCUS",IF(J2879&lt;=2,"?ACTIVATED",IF(J2879&lt;&gt;"","?FAMILIAR",IF(F2879="NEW",IF(ISNA(VLOOKUP(E2879,#REF!,1,FALSE())),"?TYPE_IDENTIFIABLE","?REFERENTIAL"),"_")))))</f>
        <v> </v>
      </c>
      <c r="H2879" s="25" t="str">
        <f>IF(J2879&lt;&gt;1,"",IF(I2879="SBJ","CB","?"))</f>
        <v> </v>
      </c>
      <c r="I2879" s="26" t="str">
        <f>IF(OR(E2879="",E2879="!!!",F2879="NEW"),"",INDEX(B2878:B$2,-1+SUMPRODUCT(MAX(ROW(E2878:E$2)*(E2879=E2878:E$2)))))</f>
        <v> </v>
      </c>
      <c r="J2879" s="26" t="str">
        <f>IF(OR(E2879="",E2879="!!!",F2879="NEW"),"",COUNTBLANK(OFFSET(A$1,,,SUMPRODUCT(MAX(ROW(E$2:E2879)*(E2879=E$2:E2879)))))-COUNTBLANK(OFFSET(A$1,,,SUMPRODUCT(MAX(ROW(E$1:E2878)*(E2=E$1:E2878))))))</f>
        <v> </v>
      </c>
      <c r="K2879" s="26" t="str">
        <f>IF(OR(E2879="",E2879="!!!",F2879="NEW"),"",INDEX(J$1:J2878,SUMPRODUCT(MAX(ROW(E$1:E2878)*(E2879=E$1:E2878)))))</f>
        <v> </v>
      </c>
      <c r="L2879" s="27"/>
    </row>
    <row r="2880" spans="1:12">
      <c r="A2880" s="20" t="s">
        <v>1765</v>
      </c>
      <c r="E2880" s="22">
        <f>IF(D2880="?OLD","!!!","")</f>
        <v/>
      </c>
      <c r="F2880" s="23" t="str">
        <f>IF(OR(E2880="",E2880="!!!"),"",IF(NOT(ISNA(VLOOKUP(E2880,E$1:E2879,1,FALSE()))),"OLD",IF(AND(E2880&lt;&gt;"",E2880&lt;&gt;"!!!"),"NEW","")))</f>
        <v> </v>
      </c>
      <c r="G2880" s="24" t="str">
        <f>IF(OR(E2880="",E2880="!!!"),"",IF(OR(J2880=0,AND(J2880=1,K2880=1),AND(J2880=1,I2880="SBJ"),AND(J2880=1,I2880=0)),"?IN_FOCUS",IF(J2880&lt;=2,"?ACTIVATED",IF(J2880&lt;&gt;"","?FAMILIAR",IF(F2880="NEW",IF(ISNA(VLOOKUP(E2880,#REF!,1,FALSE())),"?TYPE_IDENTIFIABLE","?REFERENTIAL"),"_")))))</f>
        <v> </v>
      </c>
      <c r="H2880" s="25" t="str">
        <f>IF(J2880&lt;&gt;1,"",IF(I2880="SBJ","CB","?"))</f>
        <v> </v>
      </c>
      <c r="I2880" s="26" t="str">
        <f>IF(OR(E2880="",E2880="!!!",F2880="NEW"),"",INDEX(B2879:B$2,-1+SUMPRODUCT(MAX(ROW(E2879:E$2)*(E2880=E2879:E$2)))))</f>
        <v> </v>
      </c>
      <c r="J2880" s="26" t="str">
        <f>IF(OR(E2880="",E2880="!!!",F2880="NEW"),"",COUNTBLANK(OFFSET(A$1,,,SUMPRODUCT(MAX(ROW(E$2:E2880)*(E2880=E$2:E2880)))))-COUNTBLANK(OFFSET(A$1,,,SUMPRODUCT(MAX(ROW(E$1:E2879)*(E2=E$1:E2879))))))</f>
        <v> </v>
      </c>
      <c r="K2880" s="26" t="str">
        <f>IF(OR(E2880="",E2880="!!!",F2880="NEW"),"",INDEX(J$1:J2879,SUMPRODUCT(MAX(ROW(E$1:E2879)*(E2880=E$1:E2879)))))</f>
        <v> </v>
      </c>
      <c r="L2880" s="27"/>
    </row>
    <row r="2881" spans="1:12">
      <c r="A2881" s="20" t="s">
        <v>759</v>
      </c>
      <c r="E2881" s="22">
        <f>IF(D2881="?OLD","!!!","")</f>
        <v/>
      </c>
      <c r="F2881" s="23" t="str">
        <f>IF(OR(E2881="",E2881="!!!"),"",IF(NOT(ISNA(VLOOKUP(E2881,E$1:E2880,1,FALSE()))),"OLD",IF(AND(E2881&lt;&gt;"",E2881&lt;&gt;"!!!"),"NEW","")))</f>
        <v> </v>
      </c>
      <c r="G2881" s="24" t="str">
        <f>IF(OR(E2881="",E2881="!!!"),"",IF(OR(J2881=0,AND(J2881=1,K2881=1),AND(J2881=1,I2881="SBJ"),AND(J2881=1,I2881=0)),"?IN_FOCUS",IF(J2881&lt;=2,"?ACTIVATED",IF(J2881&lt;&gt;"","?FAMILIAR",IF(F2881="NEW",IF(ISNA(VLOOKUP(E2881,#REF!,1,FALSE())),"?TYPE_IDENTIFIABLE","?REFERENTIAL"),"_")))))</f>
        <v> </v>
      </c>
      <c r="H2881" s="25" t="str">
        <f>IF(J2881&lt;&gt;1,"",IF(I2881="SBJ","CB","?"))</f>
        <v> </v>
      </c>
      <c r="I2881" s="26" t="str">
        <f>IF(OR(E2881="",E2881="!!!",F2881="NEW"),"",INDEX(B2880:B$2,-1+SUMPRODUCT(MAX(ROW(E2880:E$2)*(E2881=E2880:E$2)))))</f>
        <v> </v>
      </c>
      <c r="J2881" s="26" t="str">
        <f>IF(OR(E2881="",E2881="!!!",F2881="NEW"),"",COUNTBLANK(OFFSET(A$1,,,SUMPRODUCT(MAX(ROW(E$2:E2881)*(E2881=E$2:E2881)))))-COUNTBLANK(OFFSET(A$1,,,SUMPRODUCT(MAX(ROW(E$1:E2880)*(E2=E$1:E2880))))))</f>
        <v> </v>
      </c>
      <c r="K2881" s="26" t="str">
        <f>IF(OR(E2881="",E2881="!!!",F2881="NEW"),"",INDEX(J$1:J2880,SUMPRODUCT(MAX(ROW(E$1:E2880)*(E2881=E$1:E2880)))))</f>
        <v> </v>
      </c>
      <c r="L2881" s="27"/>
    </row>
    <row r="2882" spans="1:12">
      <c r="A2882" s="20" t="s">
        <v>1094</v>
      </c>
      <c r="B2882" s="21" t="s">
        <v>739</v>
      </c>
      <c r="C2882" s="21" t="s">
        <v>789</v>
      </c>
      <c r="D2882" s="21" t="s">
        <v>730</v>
      </c>
      <c r="E2882" s="22">
        <f>IF(D2882="?OLD","!!!","")</f>
        <v/>
      </c>
      <c r="F2882" s="23" t="str">
        <f>IF(OR(E2882="",E2882="!!!"),"",IF(NOT(ISNA(VLOOKUP(E2882,E$1:E2881,1,FALSE()))),"OLD",IF(AND(E2882&lt;&gt;"",E2882&lt;&gt;"!!!"),"NEW","")))</f>
        <v> </v>
      </c>
      <c r="G2882" s="24" t="str">
        <f>IF(OR(E2882="",E2882="!!!"),"",IF(OR(J2882=0,AND(J2882=1,K2882=1),AND(J2882=1,I2882="SBJ"),AND(J2882=1,I2882=0)),"?IN_FOCUS",IF(J2882&lt;=2,"?ACTIVATED",IF(J2882&lt;&gt;"","?FAMILIAR",IF(F2882="NEW",IF(ISNA(VLOOKUP(E2882,#REF!,1,FALSE())),"?TYPE_IDENTIFIABLE","?REFERENTIAL"),"_")))))</f>
        <v> </v>
      </c>
      <c r="H2882" s="25" t="str">
        <f>IF(J2882&lt;&gt;1,"",IF(I2882="SBJ","CB","?"))</f>
        <v> </v>
      </c>
      <c r="I2882" s="26" t="str">
        <f>IF(OR(E2882="",E2882="!!!",F2882="NEW"),"",INDEX(B2881:B$2,-1+SUMPRODUCT(MAX(ROW(E2881:E$2)*(E2882=E2881:E$2)))))</f>
        <v> </v>
      </c>
      <c r="J2882" s="26" t="str">
        <f>IF(OR(E2882="",E2882="!!!",F2882="NEW"),"",COUNTBLANK(OFFSET(A$1,,,SUMPRODUCT(MAX(ROW(E$2:E2882)*(E2882=E$2:E2882)))))-COUNTBLANK(OFFSET(A$1,,,SUMPRODUCT(MAX(ROW(E$1:E2881)*(E2=E$1:E2881))))))</f>
        <v> </v>
      </c>
      <c r="K2882" s="26" t="str">
        <f>IF(OR(E2882="",E2882="!!!",F2882="NEW"),"",INDEX(J$1:J2881,SUMPRODUCT(MAX(ROW(E$1:E2881)*(E2882=E$1:E2881)))))</f>
        <v> </v>
      </c>
      <c r="L2882" s="27"/>
    </row>
    <row r="2883" spans="1:12">
      <c r="A2883" s="20" t="s">
        <v>1779</v>
      </c>
      <c r="B2883" s="21" t="s">
        <v>736</v>
      </c>
      <c r="C2883" s="21" t="s">
        <v>967</v>
      </c>
      <c r="E2883" s="22">
        <f>IF(D2883="?OLD","!!!","")</f>
        <v/>
      </c>
      <c r="F2883" s="23" t="str">
        <f>IF(OR(E2883="",E2883="!!!"),"",IF(NOT(ISNA(VLOOKUP(E2883,E$1:E2882,1,FALSE()))),"OLD",IF(AND(E2883&lt;&gt;"",E2883&lt;&gt;"!!!"),"NEW","")))</f>
        <v> </v>
      </c>
      <c r="G2883" s="24" t="str">
        <f>IF(OR(E2883="",E2883="!!!"),"",IF(OR(J2883=0,AND(J2883=1,K2883=1),AND(J2883=1,I2883="SBJ"),AND(J2883=1,I2883=0)),"?IN_FOCUS",IF(J2883&lt;=2,"?ACTIVATED",IF(J2883&lt;&gt;"","?FAMILIAR",IF(F2883="NEW",IF(ISNA(VLOOKUP(E2883,#REF!,1,FALSE())),"?TYPE_IDENTIFIABLE","?REFERENTIAL"),"_")))))</f>
        <v> </v>
      </c>
      <c r="H2883" s="25" t="str">
        <f>IF(J2883&lt;&gt;1,"",IF(I2883="SBJ","CB","?"))</f>
        <v> </v>
      </c>
      <c r="I2883" s="26" t="str">
        <f>IF(OR(E2883="",E2883="!!!",F2883="NEW"),"",INDEX(B2882:B$2,-1+SUMPRODUCT(MAX(ROW(E2882:E$2)*(E2883=E2882:E$2)))))</f>
        <v> </v>
      </c>
      <c r="J2883" s="26" t="str">
        <f>IF(OR(E2883="",E2883="!!!",F2883="NEW"),"",COUNTBLANK(OFFSET(A$1,,,SUMPRODUCT(MAX(ROW(E$2:E2883)*(E2883=E$2:E2883)))))-COUNTBLANK(OFFSET(A$1,,,SUMPRODUCT(MAX(ROW(E$1:E2882)*(E2=E$1:E2882))))))</f>
        <v> </v>
      </c>
      <c r="K2883" s="26" t="str">
        <f>IF(OR(E2883="",E2883="!!!",F2883="NEW"),"",INDEX(J$1:J2882,SUMPRODUCT(MAX(ROW(E$1:E2882)*(E2883=E$1:E2882)))))</f>
        <v> </v>
      </c>
      <c r="L2883" s="27"/>
    </row>
    <row r="2884" spans="1:12">
      <c r="A2884" s="20" t="s">
        <v>759</v>
      </c>
      <c r="E2884" s="22">
        <f>IF(D2884="?OLD","!!!","")</f>
        <v/>
      </c>
      <c r="F2884" s="23" t="str">
        <f>IF(OR(E2884="",E2884="!!!"),"",IF(NOT(ISNA(VLOOKUP(E2884,E$1:E2883,1,FALSE()))),"OLD",IF(AND(E2884&lt;&gt;"",E2884&lt;&gt;"!!!"),"NEW","")))</f>
        <v> </v>
      </c>
      <c r="G2884" s="24" t="str">
        <f>IF(OR(E2884="",E2884="!!!"),"",IF(OR(J2884=0,AND(J2884=1,K2884=1),AND(J2884=1,I2884="SBJ"),AND(J2884=1,I2884=0)),"?IN_FOCUS",IF(J2884&lt;=2,"?ACTIVATED",IF(J2884&lt;&gt;"","?FAMILIAR",IF(F2884="NEW",IF(ISNA(VLOOKUP(E2884,#REF!,1,FALSE())),"?TYPE_IDENTIFIABLE","?REFERENTIAL"),"_")))))</f>
        <v> </v>
      </c>
      <c r="H2884" s="25" t="str">
        <f>IF(J2884&lt;&gt;1,"",IF(I2884="SBJ","CB","?"))</f>
        <v> </v>
      </c>
      <c r="I2884" s="26" t="str">
        <f>IF(OR(E2884="",E2884="!!!",F2884="NEW"),"",INDEX(B2883:B$2,-1+SUMPRODUCT(MAX(ROW(E2883:E$2)*(E2884=E2883:E$2)))))</f>
        <v> </v>
      </c>
      <c r="J2884" s="26" t="str">
        <f>IF(OR(E2884="",E2884="!!!",F2884="NEW"),"",COUNTBLANK(OFFSET(A$1,,,SUMPRODUCT(MAX(ROW(E$2:E2884)*(E2884=E$2:E2884)))))-COUNTBLANK(OFFSET(A$1,,,SUMPRODUCT(MAX(ROW(E$1:E2883)*(E2=E$1:E2883))))))</f>
        <v> </v>
      </c>
      <c r="K2884" s="26" t="str">
        <f>IF(OR(E2884="",E2884="!!!",F2884="NEW"),"",INDEX(J$1:J2883,SUMPRODUCT(MAX(ROW(E$1:E2883)*(E2884=E$1:E2883)))))</f>
        <v> </v>
      </c>
      <c r="L2884" s="27"/>
    </row>
    <row r="2885" spans="1:12">
      <c r="A2885" s="20" t="s">
        <v>1187</v>
      </c>
      <c r="B2885" s="21" t="s">
        <v>739</v>
      </c>
      <c r="C2885" s="21" t="s">
        <v>789</v>
      </c>
      <c r="D2885" s="21" t="s">
        <v>730</v>
      </c>
      <c r="E2885" s="22">
        <f>IF(D2885="?OLD","!!!","")</f>
        <v/>
      </c>
      <c r="F2885" s="23" t="str">
        <f>IF(OR(E2885="",E2885="!!!"),"",IF(NOT(ISNA(VLOOKUP(E2885,E$1:E2884,1,FALSE()))),"OLD",IF(AND(E2885&lt;&gt;"",E2885&lt;&gt;"!!!"),"NEW","")))</f>
        <v> </v>
      </c>
      <c r="G2885" s="24" t="str">
        <f>IF(OR(E2885="",E2885="!!!"),"",IF(OR(J2885=0,AND(J2885=1,K2885=1),AND(J2885=1,I2885="SBJ"),AND(J2885=1,I2885=0)),"?IN_FOCUS",IF(J2885&lt;=2,"?ACTIVATED",IF(J2885&lt;&gt;"","?FAMILIAR",IF(F2885="NEW",IF(ISNA(VLOOKUP(E2885,#REF!,1,FALSE())),"?TYPE_IDENTIFIABLE","?REFERENTIAL"),"_")))))</f>
        <v> </v>
      </c>
      <c r="H2885" s="25" t="str">
        <f>IF(J2885&lt;&gt;1,"",IF(I2885="SBJ","CB","?"))</f>
        <v> </v>
      </c>
      <c r="I2885" s="26" t="str">
        <f>IF(OR(E2885="",E2885="!!!",F2885="NEW"),"",INDEX(B2884:B$2,-1+SUMPRODUCT(MAX(ROW(E2884:E$2)*(E2885=E2884:E$2)))))</f>
        <v> </v>
      </c>
      <c r="J2885" s="26" t="str">
        <f>IF(OR(E2885="",E2885="!!!",F2885="NEW"),"",COUNTBLANK(OFFSET(A$1,,,SUMPRODUCT(MAX(ROW(E$2:E2885)*(E2885=E$2:E2885)))))-COUNTBLANK(OFFSET(A$1,,,SUMPRODUCT(MAX(ROW(E$1:E2884)*(E2=E$1:E2884))))))</f>
        <v> </v>
      </c>
      <c r="K2885" s="26" t="str">
        <f>IF(OR(E2885="",E2885="!!!",F2885="NEW"),"",INDEX(J$1:J2884,SUMPRODUCT(MAX(ROW(E$1:E2884)*(E2885=E$1:E2884)))))</f>
        <v> </v>
      </c>
      <c r="L2885" s="27"/>
    </row>
    <row r="2886" spans="1:12">
      <c r="A2886" s="20" t="s">
        <v>1188</v>
      </c>
      <c r="B2886" s="21" t="s">
        <v>764</v>
      </c>
      <c r="C2886" s="21" t="s">
        <v>967</v>
      </c>
      <c r="E2886" s="22">
        <f>IF(D2886="?OLD","!!!","")</f>
        <v/>
      </c>
      <c r="F2886" s="23" t="str">
        <f>IF(OR(E2886="",E2886="!!!"),"",IF(NOT(ISNA(VLOOKUP(E2886,E$1:E2885,1,FALSE()))),"OLD",IF(AND(E2886&lt;&gt;"",E2886&lt;&gt;"!!!"),"NEW","")))</f>
        <v> </v>
      </c>
      <c r="G2886" s="24" t="str">
        <f>IF(OR(E2886="",E2886="!!!"),"",IF(OR(J2886=0,AND(J2886=1,K2886=1),AND(J2886=1,I2886="SBJ"),AND(J2886=1,I2886=0)),"?IN_FOCUS",IF(J2886&lt;=2,"?ACTIVATED",IF(J2886&lt;&gt;"","?FAMILIAR",IF(F2886="NEW",IF(ISNA(VLOOKUP(E2886,#REF!,1,FALSE())),"?TYPE_IDENTIFIABLE","?REFERENTIAL"),"_")))))</f>
        <v> </v>
      </c>
      <c r="H2886" s="25" t="str">
        <f>IF(J2886&lt;&gt;1,"",IF(I2886="SBJ","CB","?"))</f>
        <v> </v>
      </c>
      <c r="I2886" s="26" t="str">
        <f>IF(OR(E2886="",E2886="!!!",F2886="NEW"),"",INDEX(B2885:B$2,-1+SUMPRODUCT(MAX(ROW(E2885:E$2)*(E2886=E2885:E$2)))))</f>
        <v> </v>
      </c>
      <c r="J2886" s="26" t="str">
        <f>IF(OR(E2886="",E2886="!!!",F2886="NEW"),"",COUNTBLANK(OFFSET(A$1,,,SUMPRODUCT(MAX(ROW(E$2:E2886)*(E2886=E$2:E2886)))))-COUNTBLANK(OFFSET(A$1,,,SUMPRODUCT(MAX(ROW(E$1:E2885)*(E2=E$1:E2885))))))</f>
        <v> </v>
      </c>
      <c r="K2886" s="26" t="str">
        <f>IF(OR(E2886="",E2886="!!!",F2886="NEW"),"",INDEX(J$1:J2885,SUMPRODUCT(MAX(ROW(E$1:E2885)*(E2886=E$1:E2885)))))</f>
        <v> </v>
      </c>
      <c r="L2886" s="27"/>
    </row>
    <row r="2887" spans="1:12">
      <c r="A2887" s="20" t="s">
        <v>246</v>
      </c>
      <c r="E2887" s="22">
        <f>IF(D2887="?OLD","!!!","")</f>
        <v/>
      </c>
      <c r="F2887" s="23" t="str">
        <f>IF(OR(E2887="",E2887="!!!"),"",IF(NOT(ISNA(VLOOKUP(E2887,E$1:E2886,1,FALSE()))),"OLD",IF(AND(E2887&lt;&gt;"",E2887&lt;&gt;"!!!"),"NEW","")))</f>
        <v> </v>
      </c>
      <c r="G2887" s="24" t="str">
        <f>IF(OR(E2887="",E2887="!!!"),"",IF(OR(J2887=0,AND(J2887=1,K2887=1),AND(J2887=1,I2887="SBJ"),AND(J2887=1,I2887=0)),"?IN_FOCUS",IF(J2887&lt;=2,"?ACTIVATED",IF(J2887&lt;&gt;"","?FAMILIAR",IF(F2887="NEW",IF(ISNA(VLOOKUP(E2887,#REF!,1,FALSE())),"?TYPE_IDENTIFIABLE","?REFERENTIAL"),"_")))))</f>
        <v> </v>
      </c>
      <c r="H2887" s="25" t="str">
        <f>IF(J2887&lt;&gt;1,"",IF(I2887="SBJ","CB","?"))</f>
        <v> </v>
      </c>
      <c r="I2887" s="26" t="str">
        <f>IF(OR(E2887="",E2887="!!!",F2887="NEW"),"",INDEX(B2886:B$2,-1+SUMPRODUCT(MAX(ROW(E2886:E$2)*(E2887=E2886:E$2)))))</f>
        <v> </v>
      </c>
      <c r="J2887" s="26" t="str">
        <f>IF(OR(E2887="",E2887="!!!",F2887="NEW"),"",COUNTBLANK(OFFSET(A$1,,,SUMPRODUCT(MAX(ROW(E$2:E2887)*(E2887=E$2:E2887)))))-COUNTBLANK(OFFSET(A$1,,,SUMPRODUCT(MAX(ROW(E$1:E2886)*(E2=E$1:E2886))))))</f>
        <v> </v>
      </c>
      <c r="K2887" s="26" t="str">
        <f>IF(OR(E2887="",E2887="!!!",F2887="NEW"),"",INDEX(J$1:J2886,SUMPRODUCT(MAX(ROW(E$1:E2886)*(E2887=E$1:E2886)))))</f>
        <v> </v>
      </c>
      <c r="L2887" s="27"/>
    </row>
    <row r="2888" spans="1:12">
      <c r="A2888" s="20"/>
    </row>
    <row r="2889" spans="1:12">
      <c r="A2889" s="20" t="s">
        <v>1780</v>
      </c>
    </row>
    <row r="2890" spans="1:12">
      <c r="A2890" s="20" t="s">
        <v>969</v>
      </c>
      <c r="B2890" s="21" t="s">
        <v>728</v>
      </c>
      <c r="C2890" s="21" t="s">
        <v>789</v>
      </c>
      <c r="D2890" s="21" t="s">
        <v>730</v>
      </c>
      <c r="E2890" s="22">
        <f>IF(D2890="?OLD","!!!","")</f>
        <v/>
      </c>
      <c r="F2890" s="23" t="str">
        <f>IF(OR(E2890="",E2890="!!!"),"",IF(NOT(ISNA(VLOOKUP(E2890,E$1:E2889,1,FALSE()))),"OLD",IF(AND(E2890&lt;&gt;"",E2890&lt;&gt;"!!!"),"NEW","")))</f>
        <v> </v>
      </c>
      <c r="G2890" s="24" t="str">
        <f>IF(OR(E2890="",E2890="!!!"),"",IF(OR(J2890=0,AND(J2890=1,K2890=1),AND(J2890=1,I2890="SBJ"),AND(J2890=1,I2890=0)),"?IN_FOCUS",IF(J2890&lt;=2,"?ACTIVATED",IF(J2890&lt;&gt;"","?FAMILIAR",IF(F2890="NEW",IF(ISNA(VLOOKUP(E2890,#REF!,1,FALSE())),"?TYPE_IDENTIFIABLE","?REFERENTIAL"),"_")))))</f>
        <v> </v>
      </c>
      <c r="H2890" s="25" t="str">
        <f>IF(J2890&lt;&gt;1,"",IF(I2890="SBJ","CB","?"))</f>
        <v> </v>
      </c>
      <c r="I2890" s="26" t="str">
        <f>IF(OR(E2890="",E2890="!!!",F2890="NEW"),"",INDEX(B2889:B$2,-1+SUMPRODUCT(MAX(ROW(E2889:E$2)*(E2890=E2889:E$2)))))</f>
        <v> </v>
      </c>
      <c r="J2890" s="26" t="str">
        <f>IF(OR(E2890="",E2890="!!!",F2890="NEW"),"",COUNTBLANK(OFFSET(A$1,,,SUMPRODUCT(MAX(ROW(E$2:E2890)*(E2890=E$2:E2890)))))-COUNTBLANK(OFFSET(A$1,,,SUMPRODUCT(MAX(ROW(E$1:E2889)*(E2=E$1:E2889))))))</f>
        <v> </v>
      </c>
      <c r="K2890" s="26" t="str">
        <f>IF(OR(E2890="",E2890="!!!",F2890="NEW"),"",INDEX(J$1:J2889,SUMPRODUCT(MAX(ROW(E$1:E2889)*(E2890=E$1:E2889)))))</f>
        <v> </v>
      </c>
      <c r="L2890" s="27"/>
    </row>
    <row r="2891" spans="1:12">
      <c r="A2891" s="20" t="s">
        <v>1781</v>
      </c>
      <c r="E2891" s="22">
        <f>IF(D2891="?OLD","!!!","")</f>
        <v/>
      </c>
      <c r="F2891" s="23" t="str">
        <f>IF(OR(E2891="",E2891="!!!"),"",IF(NOT(ISNA(VLOOKUP(E2891,E$1:E2890,1,FALSE()))),"OLD",IF(AND(E2891&lt;&gt;"",E2891&lt;&gt;"!!!"),"NEW","")))</f>
        <v> </v>
      </c>
      <c r="G2891" s="24" t="str">
        <f>IF(OR(E2891="",E2891="!!!"),"",IF(OR(J2891=0,AND(J2891=1,K2891=1),AND(J2891=1,I2891="SBJ"),AND(J2891=1,I2891=0)),"?IN_FOCUS",IF(J2891&lt;=2,"?ACTIVATED",IF(J2891&lt;&gt;"","?FAMILIAR",IF(F2891="NEW",IF(ISNA(VLOOKUP(E2891,#REF!,1,FALSE())),"?TYPE_IDENTIFIABLE","?REFERENTIAL"),"_")))))</f>
        <v> </v>
      </c>
      <c r="H2891" s="25" t="str">
        <f>IF(J2891&lt;&gt;1,"",IF(I2891="SBJ","CB","?"))</f>
        <v> </v>
      </c>
      <c r="I2891" s="26" t="str">
        <f>IF(OR(E2891="",E2891="!!!",F2891="NEW"),"",INDEX(B2890:B$2,-1+SUMPRODUCT(MAX(ROW(E2890:E$2)*(E2891=E2890:E$2)))))</f>
        <v> </v>
      </c>
      <c r="J2891" s="26" t="str">
        <f>IF(OR(E2891="",E2891="!!!",F2891="NEW"),"",COUNTBLANK(OFFSET(A$1,,,SUMPRODUCT(MAX(ROW(E$2:E2891)*(E2891=E$2:E2891)))))-COUNTBLANK(OFFSET(A$1,,,SUMPRODUCT(MAX(ROW(E$1:E2890)*(E2=E$1:E2890))))))</f>
        <v> </v>
      </c>
      <c r="K2891" s="26" t="str">
        <f>IF(OR(E2891="",E2891="!!!",F2891="NEW"),"",INDEX(J$1:J2890,SUMPRODUCT(MAX(ROW(E$1:E2890)*(E2891=E$1:E2890)))))</f>
        <v> </v>
      </c>
      <c r="L2891" s="27"/>
    </row>
    <row r="2892" spans="1:12">
      <c r="A2892" s="20" t="s">
        <v>1782</v>
      </c>
      <c r="B2892" s="21" t="s">
        <v>728</v>
      </c>
      <c r="C2892" s="21" t="s">
        <v>729</v>
      </c>
      <c r="D2892" s="21" t="s">
        <v>730</v>
      </c>
      <c r="E2892" s="22">
        <f>IF(D2892="?OLD","!!!","")</f>
        <v/>
      </c>
      <c r="F2892" s="23" t="str">
        <f>IF(OR(E2892="",E2892="!!!"),"",IF(NOT(ISNA(VLOOKUP(E2892,E$1:E2891,1,FALSE()))),"OLD",IF(AND(E2892&lt;&gt;"",E2892&lt;&gt;"!!!"),"NEW","")))</f>
        <v> </v>
      </c>
      <c r="G2892" s="24" t="str">
        <f>IF(OR(E2892="",E2892="!!!"),"",IF(OR(J2892=0,AND(J2892=1,K2892=1),AND(J2892=1,I2892="SBJ"),AND(J2892=1,I2892=0)),"?IN_FOCUS",IF(J2892&lt;=2,"?ACTIVATED",IF(J2892&lt;&gt;"","?FAMILIAR",IF(F2892="NEW",IF(ISNA(VLOOKUP(E2892,#REF!,1,FALSE())),"?TYPE_IDENTIFIABLE","?REFERENTIAL"),"_")))))</f>
        <v> </v>
      </c>
      <c r="H2892" s="25" t="str">
        <f>IF(J2892&lt;&gt;1,"",IF(I2892="SBJ","CB","?"))</f>
        <v> </v>
      </c>
      <c r="I2892" s="26" t="str">
        <f>IF(OR(E2892="",E2892="!!!",F2892="NEW"),"",INDEX(B2891:B$2,-1+SUMPRODUCT(MAX(ROW(E2891:E$2)*(E2892=E2891:E$2)))))</f>
        <v> </v>
      </c>
      <c r="J2892" s="26" t="str">
        <f>IF(OR(E2892="",E2892="!!!",F2892="NEW"),"",COUNTBLANK(OFFSET(A$1,,,SUMPRODUCT(MAX(ROW(E$2:E2892)*(E2892=E$2:E2892)))))-COUNTBLANK(OFFSET(A$1,,,SUMPRODUCT(MAX(ROW(E$1:E2891)*(E2=E$1:E2891))))))</f>
        <v> </v>
      </c>
      <c r="K2892" s="26" t="str">
        <f>IF(OR(E2892="",E2892="!!!",F2892="NEW"),"",INDEX(J$1:J2891,SUMPRODUCT(MAX(ROW(E$1:E2891)*(E2892=E$1:E2891)))))</f>
        <v> </v>
      </c>
      <c r="L2892" s="27"/>
    </row>
    <row r="2893" spans="1:12">
      <c r="A2893" s="20" t="s">
        <v>1576</v>
      </c>
      <c r="E2893" s="22">
        <f>IF(D2893="?OLD","!!!","")</f>
        <v/>
      </c>
      <c r="F2893" s="23" t="str">
        <f>IF(OR(E2893="",E2893="!!!"),"",IF(NOT(ISNA(VLOOKUP(E2893,E$1:E2892,1,FALSE()))),"OLD",IF(AND(E2893&lt;&gt;"",E2893&lt;&gt;"!!!"),"NEW","")))</f>
        <v> </v>
      </c>
      <c r="G2893" s="24" t="str">
        <f>IF(OR(E2893="",E2893="!!!"),"",IF(OR(J2893=0,AND(J2893=1,K2893=1),AND(J2893=1,I2893="SBJ"),AND(J2893=1,I2893=0)),"?IN_FOCUS",IF(J2893&lt;=2,"?ACTIVATED",IF(J2893&lt;&gt;"","?FAMILIAR",IF(F2893="NEW",IF(ISNA(VLOOKUP(E2893,#REF!,1,FALSE())),"?TYPE_IDENTIFIABLE","?REFERENTIAL"),"_")))))</f>
        <v> </v>
      </c>
      <c r="H2893" s="25" t="str">
        <f>IF(J2893&lt;&gt;1,"",IF(I2893="SBJ","CB","?"))</f>
        <v> </v>
      </c>
      <c r="I2893" s="26" t="str">
        <f>IF(OR(E2893="",E2893="!!!",F2893="NEW"),"",INDEX(B2892:B$2,-1+SUMPRODUCT(MAX(ROW(E2892:E$2)*(E2893=E2892:E$2)))))</f>
        <v> </v>
      </c>
      <c r="J2893" s="26" t="str">
        <f>IF(OR(E2893="",E2893="!!!",F2893="NEW"),"",COUNTBLANK(OFFSET(A$1,,,SUMPRODUCT(MAX(ROW(E$2:E2893)*(E2893=E$2:E2893)))))-COUNTBLANK(OFFSET(A$1,,,SUMPRODUCT(MAX(ROW(E$1:E2892)*(E2=E$1:E2892))))))</f>
        <v> </v>
      </c>
      <c r="K2893" s="26" t="str">
        <f>IF(OR(E2893="",E2893="!!!",F2893="NEW"),"",INDEX(J$1:J2892,SUMPRODUCT(MAX(ROW(E$1:E2892)*(E2893=E$1:E2892)))))</f>
        <v> </v>
      </c>
      <c r="L2893" s="27"/>
    </row>
    <row r="2894" spans="1:12">
      <c r="A2894" s="20" t="s">
        <v>1755</v>
      </c>
      <c r="E2894" s="22">
        <f>IF(D2894="?OLD","!!!","")</f>
        <v/>
      </c>
      <c r="F2894" s="23" t="str">
        <f>IF(OR(E2894="",E2894="!!!"),"",IF(NOT(ISNA(VLOOKUP(E2894,E$1:E2893,1,FALSE()))),"OLD",IF(AND(E2894&lt;&gt;"",E2894&lt;&gt;"!!!"),"NEW","")))</f>
        <v> </v>
      </c>
      <c r="G2894" s="24" t="str">
        <f>IF(OR(E2894="",E2894="!!!"),"",IF(OR(J2894=0,AND(J2894=1,K2894=1),AND(J2894=1,I2894="SBJ"),AND(J2894=1,I2894=0)),"?IN_FOCUS",IF(J2894&lt;=2,"?ACTIVATED",IF(J2894&lt;&gt;"","?FAMILIAR",IF(F2894="NEW",IF(ISNA(VLOOKUP(E2894,#REF!,1,FALSE())),"?TYPE_IDENTIFIABLE","?REFERENTIAL"),"_")))))</f>
        <v> </v>
      </c>
      <c r="H2894" s="25" t="str">
        <f>IF(J2894&lt;&gt;1,"",IF(I2894="SBJ","CB","?"))</f>
        <v> </v>
      </c>
      <c r="I2894" s="26" t="str">
        <f>IF(OR(E2894="",E2894="!!!",F2894="NEW"),"",INDEX(B2893:B$2,-1+SUMPRODUCT(MAX(ROW(E2893:E$2)*(E2894=E2893:E$2)))))</f>
        <v> </v>
      </c>
      <c r="J2894" s="26" t="str">
        <f>IF(OR(E2894="",E2894="!!!",F2894="NEW"),"",COUNTBLANK(OFFSET(A$1,,,SUMPRODUCT(MAX(ROW(E$2:E2894)*(E2894=E$2:E2894)))))-COUNTBLANK(OFFSET(A$1,,,SUMPRODUCT(MAX(ROW(E$1:E2893)*(E2=E$1:E2893))))))</f>
        <v> </v>
      </c>
      <c r="K2894" s="26" t="str">
        <f>IF(OR(E2894="",E2894="!!!",F2894="NEW"),"",INDEX(J$1:J2893,SUMPRODUCT(MAX(ROW(E$1:E2893)*(E2894=E$1:E2893)))))</f>
        <v> </v>
      </c>
      <c r="L2894" s="27"/>
    </row>
    <row r="2895" spans="1:12">
      <c r="A2895" s="20"/>
    </row>
    <row r="2896" spans="1:12">
      <c r="A2896" s="20" t="s">
        <v>1783</v>
      </c>
    </row>
    <row r="2897" spans="1:12">
      <c r="A2897" s="20" t="s">
        <v>1784</v>
      </c>
      <c r="B2897" s="21" t="s">
        <v>728</v>
      </c>
      <c r="C2897" s="21" t="s">
        <v>729</v>
      </c>
      <c r="D2897" s="21" t="s">
        <v>730</v>
      </c>
      <c r="E2897" s="22">
        <f>IF(D2897="?OLD","!!!","")</f>
        <v/>
      </c>
      <c r="F2897" s="23" t="str">
        <f>IF(OR(E2897="",E2897="!!!"),"",IF(NOT(ISNA(VLOOKUP(E2897,E$1:E2896,1,FALSE()))),"OLD",IF(AND(E2897&lt;&gt;"",E2897&lt;&gt;"!!!"),"NEW","")))</f>
        <v> </v>
      </c>
      <c r="G2897" s="24" t="str">
        <f>IF(OR(E2897="",E2897="!!!"),"",IF(OR(J2897=0,AND(J2897=1,K2897=1),AND(J2897=1,I2897="SBJ"),AND(J2897=1,I2897=0)),"?IN_FOCUS",IF(J2897&lt;=2,"?ACTIVATED",IF(J2897&lt;&gt;"","?FAMILIAR",IF(F2897="NEW",IF(ISNA(VLOOKUP(E2897,#REF!,1,FALSE())),"?TYPE_IDENTIFIABLE","?REFERENTIAL"),"_")))))</f>
        <v> </v>
      </c>
      <c r="H2897" s="25" t="str">
        <f>IF(J2897&lt;&gt;1,"",IF(I2897="SBJ","CB","?"))</f>
        <v> </v>
      </c>
      <c r="I2897" s="26" t="str">
        <f>IF(OR(E2897="",E2897="!!!",F2897="NEW"),"",INDEX(B2896:B$2,-1+SUMPRODUCT(MAX(ROW(E2896:E$2)*(E2897=E2896:E$2)))))</f>
        <v> </v>
      </c>
      <c r="J2897" s="26" t="str">
        <f>IF(OR(E2897="",E2897="!!!",F2897="NEW"),"",COUNTBLANK(OFFSET(A$1,,,SUMPRODUCT(MAX(ROW(E$2:E2897)*(E2897=E$2:E2897)))))-COUNTBLANK(OFFSET(A$1,,,SUMPRODUCT(MAX(ROW(E$1:E2896)*(E2=E$1:E2896))))))</f>
        <v> </v>
      </c>
      <c r="K2897" s="26" t="str">
        <f>IF(OR(E2897="",E2897="!!!",F2897="NEW"),"",INDEX(J$1:J2896,SUMPRODUCT(MAX(ROW(E$1:E2896)*(E2897=E$1:E2896)))))</f>
        <v> </v>
      </c>
      <c r="L2897" s="27"/>
    </row>
    <row r="2898" spans="1:12">
      <c r="A2898" s="20" t="s">
        <v>1781</v>
      </c>
      <c r="E2898" s="22">
        <f>IF(D2898="?OLD","!!!","")</f>
        <v/>
      </c>
      <c r="F2898" s="23" t="str">
        <f>IF(OR(E2898="",E2898="!!!"),"",IF(NOT(ISNA(VLOOKUP(E2898,E$1:E2897,1,FALSE()))),"OLD",IF(AND(E2898&lt;&gt;"",E2898&lt;&gt;"!!!"),"NEW","")))</f>
        <v> </v>
      </c>
      <c r="G2898" s="24" t="str">
        <f>IF(OR(E2898="",E2898="!!!"),"",IF(OR(J2898=0,AND(J2898=1,K2898=1),AND(J2898=1,I2898="SBJ"),AND(J2898=1,I2898=0)),"?IN_FOCUS",IF(J2898&lt;=2,"?ACTIVATED",IF(J2898&lt;&gt;"","?FAMILIAR",IF(F2898="NEW",IF(ISNA(VLOOKUP(E2898,#REF!,1,FALSE())),"?TYPE_IDENTIFIABLE","?REFERENTIAL"),"_")))))</f>
        <v> </v>
      </c>
      <c r="H2898" s="25" t="str">
        <f>IF(J2898&lt;&gt;1,"",IF(I2898="SBJ","CB","?"))</f>
        <v> </v>
      </c>
      <c r="I2898" s="26" t="str">
        <f>IF(OR(E2898="",E2898="!!!",F2898="NEW"),"",INDEX(B2897:B$2,-1+SUMPRODUCT(MAX(ROW(E2897:E$2)*(E2898=E2897:E$2)))))</f>
        <v> </v>
      </c>
      <c r="J2898" s="26" t="str">
        <f>IF(OR(E2898="",E2898="!!!",F2898="NEW"),"",COUNTBLANK(OFFSET(A$1,,,SUMPRODUCT(MAX(ROW(E$2:E2898)*(E2898=E$2:E2898)))))-COUNTBLANK(OFFSET(A$1,,,SUMPRODUCT(MAX(ROW(E$1:E2897)*(E2=E$1:E2897))))))</f>
        <v> </v>
      </c>
      <c r="K2898" s="26" t="str">
        <f>IF(OR(E2898="",E2898="!!!",F2898="NEW"),"",INDEX(J$1:J2897,SUMPRODUCT(MAX(ROW(E$1:E2897)*(E2898=E$1:E2897)))))</f>
        <v> </v>
      </c>
      <c r="L2898" s="27"/>
    </row>
    <row r="2899" spans="1:12">
      <c r="A2899" s="20" t="s">
        <v>899</v>
      </c>
      <c r="B2899" s="21" t="s">
        <v>764</v>
      </c>
      <c r="C2899" s="21" t="s">
        <v>729</v>
      </c>
      <c r="D2899" s="21" t="s">
        <v>730</v>
      </c>
      <c r="E2899" s="22">
        <f>IF(D2899="?OLD","!!!","")</f>
        <v/>
      </c>
      <c r="F2899" s="23" t="str">
        <f>IF(OR(E2899="",E2899="!!!"),"",IF(NOT(ISNA(VLOOKUP(E2899,E$1:E2898,1,FALSE()))),"OLD",IF(AND(E2899&lt;&gt;"",E2899&lt;&gt;"!!!"),"NEW","")))</f>
        <v> </v>
      </c>
      <c r="G2899" s="24" t="str">
        <f>IF(OR(E2899="",E2899="!!!"),"",IF(OR(J2899=0,AND(J2899=1,K2899=1),AND(J2899=1,I2899="SBJ"),AND(J2899=1,I2899=0)),"?IN_FOCUS",IF(J2899&lt;=2,"?ACTIVATED",IF(J2899&lt;&gt;"","?FAMILIAR",IF(F2899="NEW",IF(ISNA(VLOOKUP(E2899,#REF!,1,FALSE())),"?TYPE_IDENTIFIABLE","?REFERENTIAL"),"_")))))</f>
        <v> </v>
      </c>
      <c r="H2899" s="25" t="str">
        <f>IF(J2899&lt;&gt;1,"",IF(I2899="SBJ","CB","?"))</f>
        <v> </v>
      </c>
      <c r="I2899" s="26" t="str">
        <f>IF(OR(E2899="",E2899="!!!",F2899="NEW"),"",INDEX(B2898:B$2,-1+SUMPRODUCT(MAX(ROW(E2898:E$2)*(E2899=E2898:E$2)))))</f>
        <v> </v>
      </c>
      <c r="J2899" s="26" t="str">
        <f>IF(OR(E2899="",E2899="!!!",F2899="NEW"),"",COUNTBLANK(OFFSET(A$1,,,SUMPRODUCT(MAX(ROW(E$2:E2899)*(E2899=E$2:E2899)))))-COUNTBLANK(OFFSET(A$1,,,SUMPRODUCT(MAX(ROW(E$1:E2898)*(E2=E$1:E2898))))))</f>
        <v> </v>
      </c>
      <c r="K2899" s="26" t="str">
        <f>IF(OR(E2899="",E2899="!!!",F2899="NEW"),"",INDEX(J$1:J2898,SUMPRODUCT(MAX(ROW(E$1:E2898)*(E2899=E$1:E2898)))))</f>
        <v> </v>
      </c>
      <c r="L2899" s="27"/>
    </row>
    <row r="2900" spans="1:12">
      <c r="A2900" s="20" t="s">
        <v>839</v>
      </c>
      <c r="E2900" s="22">
        <f>IF(D2900="?OLD","!!!","")</f>
        <v/>
      </c>
      <c r="F2900" s="23" t="str">
        <f>IF(OR(E2900="",E2900="!!!"),"",IF(NOT(ISNA(VLOOKUP(E2900,E$1:E2899,1,FALSE()))),"OLD",IF(AND(E2900&lt;&gt;"",E2900&lt;&gt;"!!!"),"NEW","")))</f>
        <v> </v>
      </c>
      <c r="G2900" s="24" t="str">
        <f>IF(OR(E2900="",E2900="!!!"),"",IF(OR(J2900=0,AND(J2900=1,K2900=1),AND(J2900=1,I2900="SBJ"),AND(J2900=1,I2900=0)),"?IN_FOCUS",IF(J2900&lt;=2,"?ACTIVATED",IF(J2900&lt;&gt;"","?FAMILIAR",IF(F2900="NEW",IF(ISNA(VLOOKUP(E2900,#REF!,1,FALSE())),"?TYPE_IDENTIFIABLE","?REFERENTIAL"),"_")))))</f>
        <v> </v>
      </c>
      <c r="H2900" s="25" t="str">
        <f>IF(J2900&lt;&gt;1,"",IF(I2900="SBJ","CB","?"))</f>
        <v> </v>
      </c>
      <c r="I2900" s="26" t="str">
        <f>IF(OR(E2900="",E2900="!!!",F2900="NEW"),"",INDEX(B2899:B$2,-1+SUMPRODUCT(MAX(ROW(E2899:E$2)*(E2900=E2899:E$2)))))</f>
        <v> </v>
      </c>
      <c r="J2900" s="26" t="str">
        <f>IF(OR(E2900="",E2900="!!!",F2900="NEW"),"",COUNTBLANK(OFFSET(A$1,,,SUMPRODUCT(MAX(ROW(E$2:E2900)*(E2900=E$2:E2900)))))-COUNTBLANK(OFFSET(A$1,,,SUMPRODUCT(MAX(ROW(E$1:E2899)*(E2=E$1:E2899))))))</f>
        <v> </v>
      </c>
      <c r="K2900" s="26" t="str">
        <f>IF(OR(E2900="",E2900="!!!",F2900="NEW"),"",INDEX(J$1:J2899,SUMPRODUCT(MAX(ROW(E$1:E2899)*(E2900=E$1:E2899)))))</f>
        <v> </v>
      </c>
      <c r="L2900" s="27"/>
    </row>
    <row r="2901" spans="1:12">
      <c r="A2901" s="20" t="s">
        <v>757</v>
      </c>
      <c r="E2901" s="22">
        <f>IF(D2901="?OLD","!!!","")</f>
        <v/>
      </c>
      <c r="F2901" s="23" t="str">
        <f>IF(OR(E2901="",E2901="!!!"),"",IF(NOT(ISNA(VLOOKUP(E2901,E$1:E2900,1,FALSE()))),"OLD",IF(AND(E2901&lt;&gt;"",E2901&lt;&gt;"!!!"),"NEW","")))</f>
        <v> </v>
      </c>
      <c r="G2901" s="24" t="str">
        <f>IF(OR(E2901="",E2901="!!!"),"",IF(OR(J2901=0,AND(J2901=1,K2901=1),AND(J2901=1,I2901="SBJ"),AND(J2901=1,I2901=0)),"?IN_FOCUS",IF(J2901&lt;=2,"?ACTIVATED",IF(J2901&lt;&gt;"","?FAMILIAR",IF(F2901="NEW",IF(ISNA(VLOOKUP(E2901,#REF!,1,FALSE())),"?TYPE_IDENTIFIABLE","?REFERENTIAL"),"_")))))</f>
        <v> </v>
      </c>
      <c r="H2901" s="25" t="str">
        <f>IF(J2901&lt;&gt;1,"",IF(I2901="SBJ","CB","?"))</f>
        <v> </v>
      </c>
      <c r="I2901" s="26" t="str">
        <f>IF(OR(E2901="",E2901="!!!",F2901="NEW"),"",INDEX(B2900:B$2,-1+SUMPRODUCT(MAX(ROW(E2900:E$2)*(E2901=E2900:E$2)))))</f>
        <v> </v>
      </c>
      <c r="J2901" s="26" t="str">
        <f>IF(OR(E2901="",E2901="!!!",F2901="NEW"),"",COUNTBLANK(OFFSET(A$1,,,SUMPRODUCT(MAX(ROW(E$2:E2901)*(E2901=E$2:E2901)))))-COUNTBLANK(OFFSET(A$1,,,SUMPRODUCT(MAX(ROW(E$1:E2900)*(E2=E$1:E2900))))))</f>
        <v> </v>
      </c>
      <c r="K2901" s="26" t="str">
        <f>IF(OR(E2901="",E2901="!!!",F2901="NEW"),"",INDEX(J$1:J2900,SUMPRODUCT(MAX(ROW(E$1:E2900)*(E2901=E$1:E2900)))))</f>
        <v> </v>
      </c>
      <c r="L2901" s="27"/>
    </row>
    <row r="2902" spans="1:12">
      <c r="A2902" s="20" t="s">
        <v>1785</v>
      </c>
      <c r="B2902" s="21" t="s">
        <v>736</v>
      </c>
      <c r="C2902" s="21" t="s">
        <v>753</v>
      </c>
      <c r="D2902" s="21" t="s">
        <v>730</v>
      </c>
      <c r="E2902" s="22">
        <f>IF(D2902="?OLD","!!!","")</f>
        <v/>
      </c>
      <c r="F2902" s="23" t="str">
        <f>IF(OR(E2902="",E2902="!!!"),"",IF(NOT(ISNA(VLOOKUP(E2902,E$1:E2901,1,FALSE()))),"OLD",IF(AND(E2902&lt;&gt;"",E2902&lt;&gt;"!!!"),"NEW","")))</f>
        <v> </v>
      </c>
      <c r="G2902" s="24" t="str">
        <f>IF(OR(E2902="",E2902="!!!"),"",IF(OR(J2902=0,AND(J2902=1,K2902=1),AND(J2902=1,I2902="SBJ"),AND(J2902=1,I2902=0)),"?IN_FOCUS",IF(J2902&lt;=2,"?ACTIVATED",IF(J2902&lt;&gt;"","?FAMILIAR",IF(F2902="NEW",IF(ISNA(VLOOKUP(E2902,#REF!,1,FALSE())),"?TYPE_IDENTIFIABLE","?REFERENTIAL"),"_")))))</f>
        <v> </v>
      </c>
      <c r="H2902" s="25" t="str">
        <f>IF(J2902&lt;&gt;1,"",IF(I2902="SBJ","CB","?"))</f>
        <v> </v>
      </c>
      <c r="I2902" s="26" t="str">
        <f>IF(OR(E2902="",E2902="!!!",F2902="NEW"),"",INDEX(B2901:B$2,-1+SUMPRODUCT(MAX(ROW(E2901:E$2)*(E2902=E2901:E$2)))))</f>
        <v> </v>
      </c>
      <c r="J2902" s="26" t="str">
        <f>IF(OR(E2902="",E2902="!!!",F2902="NEW"),"",COUNTBLANK(OFFSET(A$1,,,SUMPRODUCT(MAX(ROW(E$2:E2902)*(E2902=E$2:E2902)))))-COUNTBLANK(OFFSET(A$1,,,SUMPRODUCT(MAX(ROW(E$1:E2901)*(E2=E$1:E2901))))))</f>
        <v> </v>
      </c>
      <c r="K2902" s="26" t="str">
        <f>IF(OR(E2902="",E2902="!!!",F2902="NEW"),"",INDEX(J$1:J2901,SUMPRODUCT(MAX(ROW(E$1:E2901)*(E2902=E$1:E2901)))))</f>
        <v> </v>
      </c>
      <c r="L2902" s="27"/>
    </row>
    <row r="2903" spans="1:12">
      <c r="A2903" s="20" t="s">
        <v>1786</v>
      </c>
      <c r="E2903" s="22">
        <f>IF(D2903="?OLD","!!!","")</f>
        <v/>
      </c>
      <c r="F2903" s="23" t="str">
        <f>IF(OR(E2903="",E2903="!!!"),"",IF(NOT(ISNA(VLOOKUP(E2903,E$1:E2902,1,FALSE()))),"OLD",IF(AND(E2903&lt;&gt;"",E2903&lt;&gt;"!!!"),"NEW","")))</f>
        <v> </v>
      </c>
      <c r="G2903" s="24" t="str">
        <f>IF(OR(E2903="",E2903="!!!"),"",IF(OR(J2903=0,AND(J2903=1,K2903=1),AND(J2903=1,I2903="SBJ"),AND(J2903=1,I2903=0)),"?IN_FOCUS",IF(J2903&lt;=2,"?ACTIVATED",IF(J2903&lt;&gt;"","?FAMILIAR",IF(F2903="NEW",IF(ISNA(VLOOKUP(E2903,#REF!,1,FALSE())),"?TYPE_IDENTIFIABLE","?REFERENTIAL"),"_")))))</f>
        <v> </v>
      </c>
      <c r="H2903" s="25" t="str">
        <f>IF(J2903&lt;&gt;1,"",IF(I2903="SBJ","CB","?"))</f>
        <v> </v>
      </c>
      <c r="I2903" s="26" t="str">
        <f>IF(OR(E2903="",E2903="!!!",F2903="NEW"),"",INDEX(B2902:B$2,-1+SUMPRODUCT(MAX(ROW(E2902:E$2)*(E2903=E2902:E$2)))))</f>
        <v> </v>
      </c>
      <c r="J2903" s="26" t="str">
        <f>IF(OR(E2903="",E2903="!!!",F2903="NEW"),"",COUNTBLANK(OFFSET(A$1,,,SUMPRODUCT(MAX(ROW(E$2:E2903)*(E2903=E$2:E2903)))))-COUNTBLANK(OFFSET(A$1,,,SUMPRODUCT(MAX(ROW(E$1:E2902)*(E2=E$1:E2902))))))</f>
        <v> </v>
      </c>
      <c r="K2903" s="26" t="str">
        <f>IF(OR(E2903="",E2903="!!!",F2903="NEW"),"",INDEX(J$1:J2902,SUMPRODUCT(MAX(ROW(E$1:E2902)*(E2903=E$1:E2902)))))</f>
        <v> </v>
      </c>
      <c r="L2903" s="27"/>
    </row>
    <row r="2904" spans="1:12">
      <c r="A2904" s="20" t="s">
        <v>759</v>
      </c>
      <c r="E2904" s="22">
        <f>IF(D2904="?OLD","!!!","")</f>
        <v/>
      </c>
      <c r="F2904" s="23" t="str">
        <f>IF(OR(E2904="",E2904="!!!"),"",IF(NOT(ISNA(VLOOKUP(E2904,E$1:E2903,1,FALSE()))),"OLD",IF(AND(E2904&lt;&gt;"",E2904&lt;&gt;"!!!"),"NEW","")))</f>
        <v> </v>
      </c>
      <c r="G2904" s="24" t="str">
        <f>IF(OR(E2904="",E2904="!!!"),"",IF(OR(J2904=0,AND(J2904=1,K2904=1),AND(J2904=1,I2904="SBJ"),AND(J2904=1,I2904=0)),"?IN_FOCUS",IF(J2904&lt;=2,"?ACTIVATED",IF(J2904&lt;&gt;"","?FAMILIAR",IF(F2904="NEW",IF(ISNA(VLOOKUP(E2904,#REF!,1,FALSE())),"?TYPE_IDENTIFIABLE","?REFERENTIAL"),"_")))))</f>
        <v> </v>
      </c>
      <c r="H2904" s="25" t="str">
        <f>IF(J2904&lt;&gt;1,"",IF(I2904="SBJ","CB","?"))</f>
        <v> </v>
      </c>
      <c r="I2904" s="26" t="str">
        <f>IF(OR(E2904="",E2904="!!!",F2904="NEW"),"",INDEX(B2903:B$2,-1+SUMPRODUCT(MAX(ROW(E2903:E$2)*(E2904=E2903:E$2)))))</f>
        <v> </v>
      </c>
      <c r="J2904" s="26" t="str">
        <f>IF(OR(E2904="",E2904="!!!",F2904="NEW"),"",COUNTBLANK(OFFSET(A$1,,,SUMPRODUCT(MAX(ROW(E$2:E2904)*(E2904=E$2:E2904)))))-COUNTBLANK(OFFSET(A$1,,,SUMPRODUCT(MAX(ROW(E$1:E2903)*(E2=E$1:E2903))))))</f>
        <v> </v>
      </c>
      <c r="K2904" s="26" t="str">
        <f>IF(OR(E2904="",E2904="!!!",F2904="NEW"),"",INDEX(J$1:J2903,SUMPRODUCT(MAX(ROW(E$1:E2903)*(E2904=E$1:E2903)))))</f>
        <v> </v>
      </c>
      <c r="L2904" s="27"/>
    </row>
    <row r="2905" spans="1:12">
      <c r="A2905" s="20" t="s">
        <v>839</v>
      </c>
      <c r="E2905" s="22">
        <f>IF(D2905="?OLD","!!!","")</f>
        <v/>
      </c>
      <c r="F2905" s="23" t="str">
        <f>IF(OR(E2905="",E2905="!!!"),"",IF(NOT(ISNA(VLOOKUP(E2905,E$1:E2904,1,FALSE()))),"OLD",IF(AND(E2905&lt;&gt;"",E2905&lt;&gt;"!!!"),"NEW","")))</f>
        <v> </v>
      </c>
      <c r="G2905" s="24" t="str">
        <f>IF(OR(E2905="",E2905="!!!"),"",IF(OR(J2905=0,AND(J2905=1,K2905=1),AND(J2905=1,I2905="SBJ"),AND(J2905=1,I2905=0)),"?IN_FOCUS",IF(J2905&lt;=2,"?ACTIVATED",IF(J2905&lt;&gt;"","?FAMILIAR",IF(F2905="NEW",IF(ISNA(VLOOKUP(E2905,#REF!,1,FALSE())),"?TYPE_IDENTIFIABLE","?REFERENTIAL"),"_")))))</f>
        <v> </v>
      </c>
      <c r="H2905" s="25" t="str">
        <f>IF(J2905&lt;&gt;1,"",IF(I2905="SBJ","CB","?"))</f>
        <v> </v>
      </c>
      <c r="I2905" s="26" t="str">
        <f>IF(OR(E2905="",E2905="!!!",F2905="NEW"),"",INDEX(B2904:B$2,-1+SUMPRODUCT(MAX(ROW(E2904:E$2)*(E2905=E2904:E$2)))))</f>
        <v> </v>
      </c>
      <c r="J2905" s="26" t="str">
        <f>IF(OR(E2905="",E2905="!!!",F2905="NEW"),"",COUNTBLANK(OFFSET(A$1,,,SUMPRODUCT(MAX(ROW(E$2:E2905)*(E2905=E$2:E2905)))))-COUNTBLANK(OFFSET(A$1,,,SUMPRODUCT(MAX(ROW(E$1:E2904)*(E2=E$1:E2904))))))</f>
        <v> </v>
      </c>
      <c r="K2905" s="26" t="str">
        <f>IF(OR(E2905="",E2905="!!!",F2905="NEW"),"",INDEX(J$1:J2904,SUMPRODUCT(MAX(ROW(E$1:E2904)*(E2905=E$1:E2904)))))</f>
        <v> </v>
      </c>
      <c r="L2905" s="27"/>
    </row>
    <row r="2906" spans="1:12">
      <c r="A2906" s="20" t="s">
        <v>757</v>
      </c>
      <c r="E2906" s="22">
        <f>IF(D2906="?OLD","!!!","")</f>
        <v/>
      </c>
      <c r="F2906" s="23" t="str">
        <f>IF(OR(E2906="",E2906="!!!"),"",IF(NOT(ISNA(VLOOKUP(E2906,E$1:E2905,1,FALSE()))),"OLD",IF(AND(E2906&lt;&gt;"",E2906&lt;&gt;"!!!"),"NEW","")))</f>
        <v> </v>
      </c>
      <c r="G2906" s="24" t="str">
        <f>IF(OR(E2906="",E2906="!!!"),"",IF(OR(J2906=0,AND(J2906=1,K2906=1),AND(J2906=1,I2906="SBJ"),AND(J2906=1,I2906=0)),"?IN_FOCUS",IF(J2906&lt;=2,"?ACTIVATED",IF(J2906&lt;&gt;"","?FAMILIAR",IF(F2906="NEW",IF(ISNA(VLOOKUP(E2906,#REF!,1,FALSE())),"?TYPE_IDENTIFIABLE","?REFERENTIAL"),"_")))))</f>
        <v> </v>
      </c>
      <c r="H2906" s="25" t="str">
        <f>IF(J2906&lt;&gt;1,"",IF(I2906="SBJ","CB","?"))</f>
        <v> </v>
      </c>
      <c r="I2906" s="26" t="str">
        <f>IF(OR(E2906="",E2906="!!!",F2906="NEW"),"",INDEX(B2905:B$2,-1+SUMPRODUCT(MAX(ROW(E2905:E$2)*(E2906=E2905:E$2)))))</f>
        <v> </v>
      </c>
      <c r="J2906" s="26" t="str">
        <f>IF(OR(E2906="",E2906="!!!",F2906="NEW"),"",COUNTBLANK(OFFSET(A$1,,,SUMPRODUCT(MAX(ROW(E$2:E2906)*(E2906=E$2:E2906)))))-COUNTBLANK(OFFSET(A$1,,,SUMPRODUCT(MAX(ROW(E$1:E2905)*(E2=E$1:E2905))))))</f>
        <v> </v>
      </c>
      <c r="K2906" s="26" t="str">
        <f>IF(OR(E2906="",E2906="!!!",F2906="NEW"),"",INDEX(J$1:J2905,SUMPRODUCT(MAX(ROW(E$1:E2905)*(E2906=E$1:E2905)))))</f>
        <v> </v>
      </c>
      <c r="L2906" s="27"/>
    </row>
    <row r="2907" spans="1:12">
      <c r="A2907" s="20" t="s">
        <v>633</v>
      </c>
      <c r="B2907" s="21" t="s">
        <v>843</v>
      </c>
      <c r="C2907" s="21" t="s">
        <v>753</v>
      </c>
      <c r="D2907" s="21" t="s">
        <v>730</v>
      </c>
      <c r="E2907" s="22">
        <f>IF(D2907="?OLD","!!!","")</f>
        <v/>
      </c>
      <c r="F2907" s="23" t="str">
        <f>IF(OR(E2907="",E2907="!!!"),"",IF(NOT(ISNA(VLOOKUP(E2907,E$1:E2906,1,FALSE()))),"OLD",IF(AND(E2907&lt;&gt;"",E2907&lt;&gt;"!!!"),"NEW","")))</f>
        <v> </v>
      </c>
      <c r="G2907" s="24" t="str">
        <f>IF(OR(E2907="",E2907="!!!"),"",IF(OR(J2907=0,AND(J2907=1,K2907=1),AND(J2907=1,I2907="SBJ"),AND(J2907=1,I2907=0)),"?IN_FOCUS",IF(J2907&lt;=2,"?ACTIVATED",IF(J2907&lt;&gt;"","?FAMILIAR",IF(F2907="NEW",IF(ISNA(VLOOKUP(E2907,#REF!,1,FALSE())),"?TYPE_IDENTIFIABLE","?REFERENTIAL"),"_")))))</f>
        <v> </v>
      </c>
      <c r="H2907" s="25" t="str">
        <f>IF(J2907&lt;&gt;1,"",IF(I2907="SBJ","CB","?"))</f>
        <v> </v>
      </c>
      <c r="I2907" s="26" t="str">
        <f>IF(OR(E2907="",E2907="!!!",F2907="NEW"),"",INDEX(B2906:B$2,-1+SUMPRODUCT(MAX(ROW(E2906:E$2)*(E2907=E2906:E$2)))))</f>
        <v> </v>
      </c>
      <c r="J2907" s="26" t="str">
        <f>IF(OR(E2907="",E2907="!!!",F2907="NEW"),"",COUNTBLANK(OFFSET(A$1,,,SUMPRODUCT(MAX(ROW(E$2:E2907)*(E2907=E$2:E2907)))))-COUNTBLANK(OFFSET(A$1,,,SUMPRODUCT(MAX(ROW(E$1:E2906)*(E2=E$1:E2906))))))</f>
        <v> </v>
      </c>
      <c r="K2907" s="26" t="str">
        <f>IF(OR(E2907="",E2907="!!!",F2907="NEW"),"",INDEX(J$1:J2906,SUMPRODUCT(MAX(ROW(E$1:E2906)*(E2907=E$1:E2906)))))</f>
        <v> </v>
      </c>
      <c r="L2907" s="27"/>
    </row>
    <row r="2908" spans="1:12">
      <c r="A2908" s="20" t="s">
        <v>1786</v>
      </c>
      <c r="E2908" s="22">
        <f>IF(D2908="?OLD","!!!","")</f>
        <v/>
      </c>
      <c r="F2908" s="23" t="str">
        <f>IF(OR(E2908="",E2908="!!!"),"",IF(NOT(ISNA(VLOOKUP(E2908,E$1:E2907,1,FALSE()))),"OLD",IF(AND(E2908&lt;&gt;"",E2908&lt;&gt;"!!!"),"NEW","")))</f>
        <v> </v>
      </c>
      <c r="G2908" s="24" t="str">
        <f>IF(OR(E2908="",E2908="!!!"),"",IF(OR(J2908=0,AND(J2908=1,K2908=1),AND(J2908=1,I2908="SBJ"),AND(J2908=1,I2908=0)),"?IN_FOCUS",IF(J2908&lt;=2,"?ACTIVATED",IF(J2908&lt;&gt;"","?FAMILIAR",IF(F2908="NEW",IF(ISNA(VLOOKUP(E2908,#REF!,1,FALSE())),"?TYPE_IDENTIFIABLE","?REFERENTIAL"),"_")))))</f>
        <v> </v>
      </c>
      <c r="H2908" s="25" t="str">
        <f>IF(J2908&lt;&gt;1,"",IF(I2908="SBJ","CB","?"))</f>
        <v> </v>
      </c>
      <c r="I2908" s="26" t="str">
        <f>IF(OR(E2908="",E2908="!!!",F2908="NEW"),"",INDEX(B2907:B$2,-1+SUMPRODUCT(MAX(ROW(E2907:E$2)*(E2908=E2907:E$2)))))</f>
        <v> </v>
      </c>
      <c r="J2908" s="26" t="str">
        <f>IF(OR(E2908="",E2908="!!!",F2908="NEW"),"",COUNTBLANK(OFFSET(A$1,,,SUMPRODUCT(MAX(ROW(E$2:E2908)*(E2908=E$2:E2908)))))-COUNTBLANK(OFFSET(A$1,,,SUMPRODUCT(MAX(ROW(E$1:E2907)*(E2=E$1:E2907))))))</f>
        <v> </v>
      </c>
      <c r="K2908" s="26" t="str">
        <f>IF(OR(E2908="",E2908="!!!",F2908="NEW"),"",INDEX(J$1:J2907,SUMPRODUCT(MAX(ROW(E$1:E2907)*(E2908=E$1:E2907)))))</f>
        <v> </v>
      </c>
      <c r="L2908" s="27"/>
    </row>
    <row r="2909" spans="1:12">
      <c r="A2909" s="20" t="s">
        <v>12</v>
      </c>
      <c r="E2909" s="22">
        <f>IF(D2909="?OLD","!!!","")</f>
        <v/>
      </c>
      <c r="F2909" s="23" t="str">
        <f>IF(OR(E2909="",E2909="!!!"),"",IF(NOT(ISNA(VLOOKUP(E2909,E$1:E2908,1,FALSE()))),"OLD",IF(AND(E2909&lt;&gt;"",E2909&lt;&gt;"!!!"),"NEW","")))</f>
        <v> </v>
      </c>
      <c r="G2909" s="24" t="str">
        <f>IF(OR(E2909="",E2909="!!!"),"",IF(OR(J2909=0,AND(J2909=1,K2909=1),AND(J2909=1,I2909="SBJ"),AND(J2909=1,I2909=0)),"?IN_FOCUS",IF(J2909&lt;=2,"?ACTIVATED",IF(J2909&lt;&gt;"","?FAMILIAR",IF(F2909="NEW",IF(ISNA(VLOOKUP(E2909,#REF!,1,FALSE())),"?TYPE_IDENTIFIABLE","?REFERENTIAL"),"_")))))</f>
        <v> </v>
      </c>
      <c r="H2909" s="25" t="str">
        <f>IF(J2909&lt;&gt;1,"",IF(I2909="SBJ","CB","?"))</f>
        <v> </v>
      </c>
      <c r="I2909" s="26" t="str">
        <f>IF(OR(E2909="",E2909="!!!",F2909="NEW"),"",INDEX(B2908:B$2,-1+SUMPRODUCT(MAX(ROW(E2908:E$2)*(E2909=E2908:E$2)))))</f>
        <v> </v>
      </c>
      <c r="J2909" s="26" t="str">
        <f>IF(OR(E2909="",E2909="!!!",F2909="NEW"),"",COUNTBLANK(OFFSET(A$1,,,SUMPRODUCT(MAX(ROW(E$2:E2909)*(E2909=E$2:E2909)))))-COUNTBLANK(OFFSET(A$1,,,SUMPRODUCT(MAX(ROW(E$1:E2908)*(E2=E$1:E2908))))))</f>
        <v> </v>
      </c>
      <c r="K2909" s="26" t="str">
        <f>IF(OR(E2909="",E2909="!!!",F2909="NEW"),"",INDEX(J$1:J2908,SUMPRODUCT(MAX(ROW(E$1:E2908)*(E2909=E$1:E2908)))))</f>
        <v> </v>
      </c>
      <c r="L2909" s="27"/>
    </row>
    <row r="2910" spans="1:12">
      <c r="A2910" s="20" t="s">
        <v>785</v>
      </c>
      <c r="E2910" s="22">
        <f>IF(D2910="?OLD","!!!","")</f>
        <v/>
      </c>
      <c r="F2910" s="23" t="str">
        <f>IF(OR(E2910="",E2910="!!!"),"",IF(NOT(ISNA(VLOOKUP(E2910,E$1:E2909,1,FALSE()))),"OLD",IF(AND(E2910&lt;&gt;"",E2910&lt;&gt;"!!!"),"NEW","")))</f>
        <v> </v>
      </c>
      <c r="G2910" s="24" t="str">
        <f>IF(OR(E2910="",E2910="!!!"),"",IF(OR(J2910=0,AND(J2910=1,K2910=1),AND(J2910=1,I2910="SBJ"),AND(J2910=1,I2910=0)),"?IN_FOCUS",IF(J2910&lt;=2,"?ACTIVATED",IF(J2910&lt;&gt;"","?FAMILIAR",IF(F2910="NEW",IF(ISNA(VLOOKUP(E2910,#REF!,1,FALSE())),"?TYPE_IDENTIFIABLE","?REFERENTIAL"),"_")))))</f>
        <v> </v>
      </c>
      <c r="H2910" s="25" t="str">
        <f>IF(J2910&lt;&gt;1,"",IF(I2910="SBJ","CB","?"))</f>
        <v> </v>
      </c>
      <c r="I2910" s="26" t="str">
        <f>IF(OR(E2910="",E2910="!!!",F2910="NEW"),"",INDEX(B2909:B$2,-1+SUMPRODUCT(MAX(ROW(E2909:E$2)*(E2910=E2909:E$2)))))</f>
        <v> </v>
      </c>
      <c r="J2910" s="26" t="str">
        <f>IF(OR(E2910="",E2910="!!!",F2910="NEW"),"",COUNTBLANK(OFFSET(A$1,,,SUMPRODUCT(MAX(ROW(E$2:E2910)*(E2910=E$2:E2910)))))-COUNTBLANK(OFFSET(A$1,,,SUMPRODUCT(MAX(ROW(E$1:E2909)*(E2=E$1:E2909))))))</f>
        <v> </v>
      </c>
      <c r="K2910" s="26" t="str">
        <f>IF(OR(E2910="",E2910="!!!",F2910="NEW"),"",INDEX(J$1:J2909,SUMPRODUCT(MAX(ROW(E$1:E2909)*(E2910=E$1:E2909)))))</f>
        <v> </v>
      </c>
      <c r="L2910" s="27"/>
    </row>
    <row r="2911" spans="1:12">
      <c r="A2911" s="20" t="s">
        <v>757</v>
      </c>
      <c r="E2911" s="22">
        <f>IF(D2911="?OLD","!!!","")</f>
        <v/>
      </c>
      <c r="F2911" s="23" t="str">
        <f>IF(OR(E2911="",E2911="!!!"),"",IF(NOT(ISNA(VLOOKUP(E2911,E$1:E2910,1,FALSE()))),"OLD",IF(AND(E2911&lt;&gt;"",E2911&lt;&gt;"!!!"),"NEW","")))</f>
        <v> </v>
      </c>
      <c r="G2911" s="24" t="str">
        <f>IF(OR(E2911="",E2911="!!!"),"",IF(OR(J2911=0,AND(J2911=1,K2911=1),AND(J2911=1,I2911="SBJ"),AND(J2911=1,I2911=0)),"?IN_FOCUS",IF(J2911&lt;=2,"?ACTIVATED",IF(J2911&lt;&gt;"","?FAMILIAR",IF(F2911="NEW",IF(ISNA(VLOOKUP(E2911,#REF!,1,FALSE())),"?TYPE_IDENTIFIABLE","?REFERENTIAL"),"_")))))</f>
        <v> </v>
      </c>
      <c r="H2911" s="25" t="str">
        <f>IF(J2911&lt;&gt;1,"",IF(I2911="SBJ","CB","?"))</f>
        <v> </v>
      </c>
      <c r="I2911" s="26" t="str">
        <f>IF(OR(E2911="",E2911="!!!",F2911="NEW"),"",INDEX(B2910:B$2,-1+SUMPRODUCT(MAX(ROW(E2910:E$2)*(E2911=E2910:E$2)))))</f>
        <v> </v>
      </c>
      <c r="J2911" s="26" t="str">
        <f>IF(OR(E2911="",E2911="!!!",F2911="NEW"),"",COUNTBLANK(OFFSET(A$1,,,SUMPRODUCT(MAX(ROW(E$2:E2911)*(E2911=E$2:E2911)))))-COUNTBLANK(OFFSET(A$1,,,SUMPRODUCT(MAX(ROW(E$1:E2910)*(E2=E$1:E2910))))))</f>
        <v> </v>
      </c>
      <c r="K2911" s="26" t="str">
        <f>IF(OR(E2911="",E2911="!!!",F2911="NEW"),"",INDEX(J$1:J2910,SUMPRODUCT(MAX(ROW(E$1:E2910)*(E2911=E$1:E2910)))))</f>
        <v> </v>
      </c>
      <c r="L2911" s="27"/>
    </row>
    <row r="2912" spans="1:12">
      <c r="A2912" s="20" t="s">
        <v>1018</v>
      </c>
      <c r="B2912" s="21" t="s">
        <v>755</v>
      </c>
      <c r="C2912" s="21" t="s">
        <v>740</v>
      </c>
      <c r="D2912" s="21" t="s">
        <v>730</v>
      </c>
      <c r="E2912" s="22">
        <f>IF(D2912="?OLD","!!!","")</f>
        <v/>
      </c>
      <c r="F2912" s="23" t="str">
        <f>IF(OR(E2912="",E2912="!!!"),"",IF(NOT(ISNA(VLOOKUP(E2912,E$1:E2911,1,FALSE()))),"OLD",IF(AND(E2912&lt;&gt;"",E2912&lt;&gt;"!!!"),"NEW","")))</f>
        <v> </v>
      </c>
      <c r="G2912" s="24" t="str">
        <f>IF(OR(E2912="",E2912="!!!"),"",IF(OR(J2912=0,AND(J2912=1,K2912=1),AND(J2912=1,I2912="SBJ"),AND(J2912=1,I2912=0)),"?IN_FOCUS",IF(J2912&lt;=2,"?ACTIVATED",IF(J2912&lt;&gt;"","?FAMILIAR",IF(F2912="NEW",IF(ISNA(VLOOKUP(E2912,#REF!,1,FALSE())),"?TYPE_IDENTIFIABLE","?REFERENTIAL"),"_")))))</f>
        <v> </v>
      </c>
      <c r="H2912" s="25" t="str">
        <f>IF(J2912&lt;&gt;1,"",IF(I2912="SBJ","CB","?"))</f>
        <v> </v>
      </c>
      <c r="I2912" s="26" t="str">
        <f>IF(OR(E2912="",E2912="!!!",F2912="NEW"),"",INDEX(B2911:B$2,-1+SUMPRODUCT(MAX(ROW(E2911:E$2)*(E2912=E2911:E$2)))))</f>
        <v> </v>
      </c>
      <c r="J2912" s="26" t="str">
        <f>IF(OR(E2912="",E2912="!!!",F2912="NEW"),"",COUNTBLANK(OFFSET(A$1,,,SUMPRODUCT(MAX(ROW(E$2:E2912)*(E2912=E$2:E2912)))))-COUNTBLANK(OFFSET(A$1,,,SUMPRODUCT(MAX(ROW(E$1:E2911)*(E2=E$1:E2911))))))</f>
        <v> </v>
      </c>
      <c r="K2912" s="26" t="str">
        <f>IF(OR(E2912="",E2912="!!!",F2912="NEW"),"",INDEX(J$1:J2911,SUMPRODUCT(MAX(ROW(E$1:E2911)*(E2912=E$1:E2911)))))</f>
        <v> </v>
      </c>
      <c r="L2912" s="27"/>
    </row>
    <row r="2913" spans="1:12">
      <c r="A2913" s="20" t="s">
        <v>1087</v>
      </c>
      <c r="E2913" s="22">
        <f>IF(D2913="?OLD","!!!","")</f>
        <v/>
      </c>
      <c r="F2913" s="23" t="str">
        <f>IF(OR(E2913="",E2913="!!!"),"",IF(NOT(ISNA(VLOOKUP(E2913,E$1:E2912,1,FALSE()))),"OLD",IF(AND(E2913&lt;&gt;"",E2913&lt;&gt;"!!!"),"NEW","")))</f>
        <v> </v>
      </c>
      <c r="G2913" s="24" t="str">
        <f>IF(OR(E2913="",E2913="!!!"),"",IF(OR(J2913=0,AND(J2913=1,K2913=1),AND(J2913=1,I2913="SBJ"),AND(J2913=1,I2913=0)),"?IN_FOCUS",IF(J2913&lt;=2,"?ACTIVATED",IF(J2913&lt;&gt;"","?FAMILIAR",IF(F2913="NEW",IF(ISNA(VLOOKUP(E2913,#REF!,1,FALSE())),"?TYPE_IDENTIFIABLE","?REFERENTIAL"),"_")))))</f>
        <v> </v>
      </c>
      <c r="H2913" s="25" t="str">
        <f>IF(J2913&lt;&gt;1,"",IF(I2913="SBJ","CB","?"))</f>
        <v> </v>
      </c>
      <c r="I2913" s="26" t="str">
        <f>IF(OR(E2913="",E2913="!!!",F2913="NEW"),"",INDEX(B2912:B$2,-1+SUMPRODUCT(MAX(ROW(E2912:E$2)*(E2913=E2912:E$2)))))</f>
        <v> </v>
      </c>
      <c r="J2913" s="26" t="str">
        <f>IF(OR(E2913="",E2913="!!!",F2913="NEW"),"",COUNTBLANK(OFFSET(A$1,,,SUMPRODUCT(MAX(ROW(E$2:E2913)*(E2913=E$2:E2913)))))-COUNTBLANK(OFFSET(A$1,,,SUMPRODUCT(MAX(ROW(E$1:E2912)*(E2=E$1:E2912))))))</f>
        <v> </v>
      </c>
      <c r="K2913" s="26" t="str">
        <f>IF(OR(E2913="",E2913="!!!",F2913="NEW"),"",INDEX(J$1:J2912,SUMPRODUCT(MAX(ROW(E$1:E2912)*(E2913=E$1:E2912)))))</f>
        <v> </v>
      </c>
      <c r="L2913" s="27"/>
    </row>
    <row r="2914" spans="1:12">
      <c r="A2914" s="20" t="s">
        <v>813</v>
      </c>
      <c r="E2914" s="22">
        <f>IF(D2914="?OLD","!!!","")</f>
        <v/>
      </c>
      <c r="F2914" s="23" t="str">
        <f>IF(OR(E2914="",E2914="!!!"),"",IF(NOT(ISNA(VLOOKUP(E2914,E$1:E2913,1,FALSE()))),"OLD",IF(AND(E2914&lt;&gt;"",E2914&lt;&gt;"!!!"),"NEW","")))</f>
        <v> </v>
      </c>
      <c r="G2914" s="24" t="str">
        <f>IF(OR(E2914="",E2914="!!!"),"",IF(OR(J2914=0,AND(J2914=1,K2914=1),AND(J2914=1,I2914="SBJ"),AND(J2914=1,I2914=0)),"?IN_FOCUS",IF(J2914&lt;=2,"?ACTIVATED",IF(J2914&lt;&gt;"","?FAMILIAR",IF(F2914="NEW",IF(ISNA(VLOOKUP(E2914,#REF!,1,FALSE())),"?TYPE_IDENTIFIABLE","?REFERENTIAL"),"_")))))</f>
        <v> </v>
      </c>
      <c r="H2914" s="25" t="str">
        <f>IF(J2914&lt;&gt;1,"",IF(I2914="SBJ","CB","?"))</f>
        <v> </v>
      </c>
      <c r="I2914" s="26" t="str">
        <f>IF(OR(E2914="",E2914="!!!",F2914="NEW"),"",INDEX(B2913:B$2,-1+SUMPRODUCT(MAX(ROW(E2913:E$2)*(E2914=E2913:E$2)))))</f>
        <v> </v>
      </c>
      <c r="J2914" s="26" t="str">
        <f>IF(OR(E2914="",E2914="!!!",F2914="NEW"),"",COUNTBLANK(OFFSET(A$1,,,SUMPRODUCT(MAX(ROW(E$2:E2914)*(E2914=E$2:E2914)))))-COUNTBLANK(OFFSET(A$1,,,SUMPRODUCT(MAX(ROW(E$1:E2913)*(E2=E$1:E2913))))))</f>
        <v> </v>
      </c>
      <c r="K2914" s="26" t="str">
        <f>IF(OR(E2914="",E2914="!!!",F2914="NEW"),"",INDEX(J$1:J2913,SUMPRODUCT(MAX(ROW(E$1:E2913)*(E2914=E$1:E2913)))))</f>
        <v> </v>
      </c>
      <c r="L2914" s="27"/>
    </row>
    <row r="2915" spans="1:12">
      <c r="A2915" s="20" t="s">
        <v>1787</v>
      </c>
      <c r="E2915" s="22">
        <f>IF(D2915="?OLD","!!!","")</f>
        <v/>
      </c>
      <c r="F2915" s="23" t="str">
        <f>IF(OR(E2915="",E2915="!!!"),"",IF(NOT(ISNA(VLOOKUP(E2915,E$1:E2914,1,FALSE()))),"OLD",IF(AND(E2915&lt;&gt;"",E2915&lt;&gt;"!!!"),"NEW","")))</f>
        <v> </v>
      </c>
      <c r="G2915" s="24" t="str">
        <f>IF(OR(E2915="",E2915="!!!"),"",IF(OR(J2915=0,AND(J2915=1,K2915=1),AND(J2915=1,I2915="SBJ"),AND(J2915=1,I2915=0)),"?IN_FOCUS",IF(J2915&lt;=2,"?ACTIVATED",IF(J2915&lt;&gt;"","?FAMILIAR",IF(F2915="NEW",IF(ISNA(VLOOKUP(E2915,#REF!,1,FALSE())),"?TYPE_IDENTIFIABLE","?REFERENTIAL"),"_")))))</f>
        <v> </v>
      </c>
      <c r="H2915" s="25" t="str">
        <f>IF(J2915&lt;&gt;1,"",IF(I2915="SBJ","CB","?"))</f>
        <v> </v>
      </c>
      <c r="I2915" s="26" t="str">
        <f>IF(OR(E2915="",E2915="!!!",F2915="NEW"),"",INDEX(B2914:B$2,-1+SUMPRODUCT(MAX(ROW(E2914:E$2)*(E2915=E2914:E$2)))))</f>
        <v> </v>
      </c>
      <c r="J2915" s="26" t="str">
        <f>IF(OR(E2915="",E2915="!!!",F2915="NEW"),"",COUNTBLANK(OFFSET(A$1,,,SUMPRODUCT(MAX(ROW(E$2:E2915)*(E2915=E$2:E2915)))))-COUNTBLANK(OFFSET(A$1,,,SUMPRODUCT(MAX(ROW(E$1:E2914)*(E2=E$1:E2914))))))</f>
        <v> </v>
      </c>
      <c r="K2915" s="26" t="str">
        <f>IF(OR(E2915="",E2915="!!!",F2915="NEW"),"",INDEX(J$1:J2914,SUMPRODUCT(MAX(ROW(E$1:E2914)*(E2915=E$1:E2914)))))</f>
        <v> </v>
      </c>
      <c r="L2915" s="27"/>
    </row>
    <row r="2916" spans="1:12">
      <c r="A2916" s="20" t="s">
        <v>851</v>
      </c>
      <c r="B2916" s="21" t="s">
        <v>728</v>
      </c>
      <c r="C2916" s="21" t="s">
        <v>753</v>
      </c>
      <c r="D2916" s="21" t="s">
        <v>730</v>
      </c>
      <c r="E2916" s="22">
        <f>IF(D2916="?OLD","!!!","")</f>
        <v/>
      </c>
      <c r="F2916" s="23" t="str">
        <f>IF(OR(E2916="",E2916="!!!"),"",IF(NOT(ISNA(VLOOKUP(E2916,E$1:E2915,1,FALSE()))),"OLD",IF(AND(E2916&lt;&gt;"",E2916&lt;&gt;"!!!"),"NEW","")))</f>
        <v> </v>
      </c>
      <c r="G2916" s="24" t="str">
        <f>IF(OR(E2916="",E2916="!!!"),"",IF(OR(J2916=0,AND(J2916=1,K2916=1),AND(J2916=1,I2916="SBJ"),AND(J2916=1,I2916=0)),"?IN_FOCUS",IF(J2916&lt;=2,"?ACTIVATED",IF(J2916&lt;&gt;"","?FAMILIAR",IF(F2916="NEW",IF(ISNA(VLOOKUP(E2916,#REF!,1,FALSE())),"?TYPE_IDENTIFIABLE","?REFERENTIAL"),"_")))))</f>
        <v> </v>
      </c>
      <c r="H2916" s="25" t="str">
        <f>IF(J2916&lt;&gt;1,"",IF(I2916="SBJ","CB","?"))</f>
        <v> </v>
      </c>
      <c r="I2916" s="26" t="str">
        <f>IF(OR(E2916="",E2916="!!!",F2916="NEW"),"",INDEX(B2915:B$2,-1+SUMPRODUCT(MAX(ROW(E2915:E$2)*(E2916=E2915:E$2)))))</f>
        <v> </v>
      </c>
      <c r="J2916" s="26" t="str">
        <f>IF(OR(E2916="",E2916="!!!",F2916="NEW"),"",COUNTBLANK(OFFSET(A$1,,,SUMPRODUCT(MAX(ROW(E$2:E2916)*(E2916=E$2:E2916)))))-COUNTBLANK(OFFSET(A$1,,,SUMPRODUCT(MAX(ROW(E$1:E2915)*(E2=E$1:E2915))))))</f>
        <v> </v>
      </c>
      <c r="K2916" s="26" t="str">
        <f>IF(OR(E2916="",E2916="!!!",F2916="NEW"),"",INDEX(J$1:J2915,SUMPRODUCT(MAX(ROW(E$1:E2915)*(E2916=E$1:E2915)))))</f>
        <v> </v>
      </c>
      <c r="L2916" s="27"/>
    </row>
    <row r="2917" spans="1:12">
      <c r="A2917" s="20" t="s">
        <v>759</v>
      </c>
      <c r="E2917" s="22">
        <f>IF(D2917="?OLD","!!!","")</f>
        <v/>
      </c>
      <c r="F2917" s="23" t="str">
        <f>IF(OR(E2917="",E2917="!!!"),"",IF(NOT(ISNA(VLOOKUP(E2917,E$1:E2916,1,FALSE()))),"OLD",IF(AND(E2917&lt;&gt;"",E2917&lt;&gt;"!!!"),"NEW","")))</f>
        <v> </v>
      </c>
      <c r="G2917" s="24" t="str">
        <f>IF(OR(E2917="",E2917="!!!"),"",IF(OR(J2917=0,AND(J2917=1,K2917=1),AND(J2917=1,I2917="SBJ"),AND(J2917=1,I2917=0)),"?IN_FOCUS",IF(J2917&lt;=2,"?ACTIVATED",IF(J2917&lt;&gt;"","?FAMILIAR",IF(F2917="NEW",IF(ISNA(VLOOKUP(E2917,#REF!,1,FALSE())),"?TYPE_IDENTIFIABLE","?REFERENTIAL"),"_")))))</f>
        <v> </v>
      </c>
      <c r="H2917" s="25" t="str">
        <f>IF(J2917&lt;&gt;1,"",IF(I2917="SBJ","CB","?"))</f>
        <v> </v>
      </c>
      <c r="I2917" s="26" t="str">
        <f>IF(OR(E2917="",E2917="!!!",F2917="NEW"),"",INDEX(B2916:B$2,-1+SUMPRODUCT(MAX(ROW(E2916:E$2)*(E2917=E2916:E$2)))))</f>
        <v> </v>
      </c>
      <c r="J2917" s="26" t="str">
        <f>IF(OR(E2917="",E2917="!!!",F2917="NEW"),"",COUNTBLANK(OFFSET(A$1,,,SUMPRODUCT(MAX(ROW(E$2:E2917)*(E2917=E$2:E2917)))))-COUNTBLANK(OFFSET(A$1,,,SUMPRODUCT(MAX(ROW(E$1:E2916)*(E2=E$1:E2916))))))</f>
        <v> </v>
      </c>
      <c r="K2917" s="26" t="str">
        <f>IF(OR(E2917="",E2917="!!!",F2917="NEW"),"",INDEX(J$1:J2916,SUMPRODUCT(MAX(ROW(E$1:E2916)*(E2917=E$1:E2916)))))</f>
        <v> </v>
      </c>
      <c r="L2917" s="27"/>
    </row>
    <row r="2918" spans="1:12">
      <c r="A2918" s="20" t="s">
        <v>813</v>
      </c>
      <c r="B2918" s="21" t="s">
        <v>788</v>
      </c>
      <c r="E2918" s="22">
        <f>IF(D2918="?OLD","!!!","")</f>
        <v/>
      </c>
      <c r="F2918" s="23" t="str">
        <f>IF(OR(E2918="",E2918="!!!"),"",IF(NOT(ISNA(VLOOKUP(E2918,E$1:E2917,1,FALSE()))),"OLD",IF(AND(E2918&lt;&gt;"",E2918&lt;&gt;"!!!"),"NEW","")))</f>
        <v> </v>
      </c>
      <c r="G2918" s="24" t="str">
        <f>IF(OR(E2918="",E2918="!!!"),"",IF(OR(J2918=0,AND(J2918=1,K2918=1),AND(J2918=1,I2918="SBJ"),AND(J2918=1,I2918=0)),"?IN_FOCUS",IF(J2918&lt;=2,"?ACTIVATED",IF(J2918&lt;&gt;"","?FAMILIAR",IF(F2918="NEW",IF(ISNA(VLOOKUP(E2918,#REF!,1,FALSE())),"?TYPE_IDENTIFIABLE","?REFERENTIAL"),"_")))))</f>
        <v> </v>
      </c>
      <c r="H2918" s="25" t="str">
        <f>IF(J2918&lt;&gt;1,"",IF(I2918="SBJ","CB","?"))</f>
        <v> </v>
      </c>
      <c r="I2918" s="26" t="str">
        <f>IF(OR(E2918="",E2918="!!!",F2918="NEW"),"",INDEX(B2917:B$2,-1+SUMPRODUCT(MAX(ROW(E2917:E$2)*(E2918=E2917:E$2)))))</f>
        <v> </v>
      </c>
      <c r="J2918" s="26" t="str">
        <f>IF(OR(E2918="",E2918="!!!",F2918="NEW"),"",COUNTBLANK(OFFSET(A$1,,,SUMPRODUCT(MAX(ROW(E$2:E2918)*(E2918=E$2:E2918)))))-COUNTBLANK(OFFSET(A$1,,,SUMPRODUCT(MAX(ROW(E$1:E2917)*(E2=E$1:E2917))))))</f>
        <v> </v>
      </c>
      <c r="K2918" s="26" t="str">
        <f>IF(OR(E2918="",E2918="!!!",F2918="NEW"),"",INDEX(J$1:J2917,SUMPRODUCT(MAX(ROW(E$1:E2917)*(E2918=E$1:E2917)))))</f>
        <v> </v>
      </c>
      <c r="L2918" s="27"/>
    </row>
    <row r="2919" spans="1:12">
      <c r="A2919" s="20" t="s">
        <v>899</v>
      </c>
      <c r="E2919" s="22">
        <f>IF(D2919="?OLD","!!!","")</f>
        <v/>
      </c>
      <c r="F2919" s="23" t="str">
        <f>IF(OR(E2919="",E2919="!!!"),"",IF(NOT(ISNA(VLOOKUP(E2919,E$1:E2918,1,FALSE()))),"OLD",IF(AND(E2919&lt;&gt;"",E2919&lt;&gt;"!!!"),"NEW","")))</f>
        <v> </v>
      </c>
      <c r="G2919" s="24" t="str">
        <f>IF(OR(E2919="",E2919="!!!"),"",IF(OR(J2919=0,AND(J2919=1,K2919=1),AND(J2919=1,I2919="SBJ"),AND(J2919=1,I2919=0)),"?IN_FOCUS",IF(J2919&lt;=2,"?ACTIVATED",IF(J2919&lt;&gt;"","?FAMILIAR",IF(F2919="NEW",IF(ISNA(VLOOKUP(E2919,#REF!,1,FALSE())),"?TYPE_IDENTIFIABLE","?REFERENTIAL"),"_")))))</f>
        <v> </v>
      </c>
      <c r="H2919" s="25" t="str">
        <f>IF(J2919&lt;&gt;1,"",IF(I2919="SBJ","CB","?"))</f>
        <v> </v>
      </c>
      <c r="I2919" s="26" t="str">
        <f>IF(OR(E2919="",E2919="!!!",F2919="NEW"),"",INDEX(B2918:B$2,-1+SUMPRODUCT(MAX(ROW(E2918:E$2)*(E2919=E2918:E$2)))))</f>
        <v> </v>
      </c>
      <c r="J2919" s="26" t="str">
        <f>IF(OR(E2919="",E2919="!!!",F2919="NEW"),"",COUNTBLANK(OFFSET(A$1,,,SUMPRODUCT(MAX(ROW(E$2:E2919)*(E2919=E$2:E2919)))))-COUNTBLANK(OFFSET(A$1,,,SUMPRODUCT(MAX(ROW(E$1:E2918)*(E2=E$1:E2918))))))</f>
        <v> </v>
      </c>
      <c r="K2919" s="26" t="str">
        <f>IF(OR(E2919="",E2919="!!!",F2919="NEW"),"",INDEX(J$1:J2918,SUMPRODUCT(MAX(ROW(E$1:E2918)*(E2919=E$1:E2918)))))</f>
        <v> </v>
      </c>
      <c r="L2919" s="27"/>
    </row>
    <row r="2920" spans="1:12">
      <c r="A2920" s="20" t="s">
        <v>1788</v>
      </c>
      <c r="E2920" s="22">
        <f>IF(D2920="?OLD","!!!","")</f>
        <v/>
      </c>
      <c r="F2920" s="23" t="str">
        <f>IF(OR(E2920="",E2920="!!!"),"",IF(NOT(ISNA(VLOOKUP(E2920,E$1:E2919,1,FALSE()))),"OLD",IF(AND(E2920&lt;&gt;"",E2920&lt;&gt;"!!!"),"NEW","")))</f>
        <v> </v>
      </c>
      <c r="G2920" s="24" t="str">
        <f>IF(OR(E2920="",E2920="!!!"),"",IF(OR(J2920=0,AND(J2920=1,K2920=1),AND(J2920=1,I2920="SBJ"),AND(J2920=1,I2920=0)),"?IN_FOCUS",IF(J2920&lt;=2,"?ACTIVATED",IF(J2920&lt;&gt;"","?FAMILIAR",IF(F2920="NEW",IF(ISNA(VLOOKUP(E2920,#REF!,1,FALSE())),"?TYPE_IDENTIFIABLE","?REFERENTIAL"),"_")))))</f>
        <v> </v>
      </c>
      <c r="H2920" s="25" t="str">
        <f>IF(J2920&lt;&gt;1,"",IF(I2920="SBJ","CB","?"))</f>
        <v> </v>
      </c>
      <c r="I2920" s="26" t="str">
        <f>IF(OR(E2920="",E2920="!!!",F2920="NEW"),"",INDEX(B2919:B$2,-1+SUMPRODUCT(MAX(ROW(E2919:E$2)*(E2920=E2919:E$2)))))</f>
        <v> </v>
      </c>
      <c r="J2920" s="26" t="str">
        <f>IF(OR(E2920="",E2920="!!!",F2920="NEW"),"",COUNTBLANK(OFFSET(A$1,,,SUMPRODUCT(MAX(ROW(E$2:E2920)*(E2920=E$2:E2920)))))-COUNTBLANK(OFFSET(A$1,,,SUMPRODUCT(MAX(ROW(E$1:E2919)*(E2=E$1:E2919))))))</f>
        <v> </v>
      </c>
      <c r="K2920" s="26" t="str">
        <f>IF(OR(E2920="",E2920="!!!",F2920="NEW"),"",INDEX(J$1:J2919,SUMPRODUCT(MAX(ROW(E$1:E2919)*(E2920=E$1:E2919)))))</f>
        <v> </v>
      </c>
      <c r="L2920" s="27"/>
    </row>
    <row r="2921" spans="1:12">
      <c r="A2921" s="20" t="s">
        <v>246</v>
      </c>
      <c r="E2921" s="22">
        <f>IF(D2921="?OLD","!!!","")</f>
        <v/>
      </c>
      <c r="F2921" s="23" t="str">
        <f>IF(OR(E2921="",E2921="!!!"),"",IF(NOT(ISNA(VLOOKUP(E2921,E$1:E2920,1,FALSE()))),"OLD",IF(AND(E2921&lt;&gt;"",E2921&lt;&gt;"!!!"),"NEW","")))</f>
        <v> </v>
      </c>
      <c r="G2921" s="24" t="str">
        <f>IF(OR(E2921="",E2921="!!!"),"",IF(OR(J2921=0,AND(J2921=1,K2921=1),AND(J2921=1,I2921="SBJ"),AND(J2921=1,I2921=0)),"?IN_FOCUS",IF(J2921&lt;=2,"?ACTIVATED",IF(J2921&lt;&gt;"","?FAMILIAR",IF(F2921="NEW",IF(ISNA(VLOOKUP(E2921,#REF!,1,FALSE())),"?TYPE_IDENTIFIABLE","?REFERENTIAL"),"_")))))</f>
        <v> </v>
      </c>
      <c r="H2921" s="25" t="str">
        <f>IF(J2921&lt;&gt;1,"",IF(I2921="SBJ","CB","?"))</f>
        <v> </v>
      </c>
      <c r="I2921" s="26" t="str">
        <f>IF(OR(E2921="",E2921="!!!",F2921="NEW"),"",INDEX(B2920:B$2,-1+SUMPRODUCT(MAX(ROW(E2920:E$2)*(E2921=E2920:E$2)))))</f>
        <v> </v>
      </c>
      <c r="J2921" s="26" t="str">
        <f>IF(OR(E2921="",E2921="!!!",F2921="NEW"),"",COUNTBLANK(OFFSET(A$1,,,SUMPRODUCT(MAX(ROW(E$2:E2921)*(E2921=E$2:E2921)))))-COUNTBLANK(OFFSET(A$1,,,SUMPRODUCT(MAX(ROW(E$1:E2920)*(E2=E$1:E2920))))))</f>
        <v> </v>
      </c>
      <c r="K2921" s="26" t="str">
        <f>IF(OR(E2921="",E2921="!!!",F2921="NEW"),"",INDEX(J$1:J2920,SUMPRODUCT(MAX(ROW(E$1:E2920)*(E2921=E$1:E2920)))))</f>
        <v> </v>
      </c>
      <c r="L2921" s="27"/>
    </row>
    <row r="2922" spans="1:12">
      <c r="A2922" s="20"/>
    </row>
    <row r="2923" spans="1:12">
      <c r="A2923" s="20" t="s">
        <v>1789</v>
      </c>
    </row>
    <row r="2924" spans="1:12">
      <c r="A2924" s="20" t="s">
        <v>1784</v>
      </c>
      <c r="B2924" s="21" t="s">
        <v>728</v>
      </c>
      <c r="C2924" s="21" t="s">
        <v>729</v>
      </c>
      <c r="D2924" s="21" t="s">
        <v>730</v>
      </c>
      <c r="E2924" s="22">
        <f>IF(D2924="?OLD","!!!","")</f>
        <v/>
      </c>
      <c r="F2924" s="23" t="str">
        <f>IF(OR(E2924="",E2924="!!!"),"",IF(NOT(ISNA(VLOOKUP(E2924,E$1:E2923,1,FALSE()))),"OLD",IF(AND(E2924&lt;&gt;"",E2924&lt;&gt;"!!!"),"NEW","")))</f>
        <v> </v>
      </c>
      <c r="G2924" s="24" t="str">
        <f>IF(OR(E2924="",E2924="!!!"),"",IF(OR(J2924=0,AND(J2924=1,K2924=1),AND(J2924=1,I2924="SBJ"),AND(J2924=1,I2924=0)),"?IN_FOCUS",IF(J2924&lt;=2,"?ACTIVATED",IF(J2924&lt;&gt;"","?FAMILIAR",IF(F2924="NEW",IF(ISNA(VLOOKUP(E2924,#REF!,1,FALSE())),"?TYPE_IDENTIFIABLE","?REFERENTIAL"),"_")))))</f>
        <v> </v>
      </c>
      <c r="H2924" s="25" t="str">
        <f>IF(J2924&lt;&gt;1,"",IF(I2924="SBJ","CB","?"))</f>
        <v> </v>
      </c>
      <c r="I2924" s="26" t="str">
        <f>IF(OR(E2924="",E2924="!!!",F2924="NEW"),"",INDEX(B2923:B$2,-1+SUMPRODUCT(MAX(ROW(E2923:E$2)*(E2924=E2923:E$2)))))</f>
        <v> </v>
      </c>
      <c r="J2924" s="26" t="str">
        <f>IF(OR(E2924="",E2924="!!!",F2924="NEW"),"",COUNTBLANK(OFFSET(A$1,,,SUMPRODUCT(MAX(ROW(E$2:E2924)*(E2924=E$2:E2924)))))-COUNTBLANK(OFFSET(A$1,,,SUMPRODUCT(MAX(ROW(E$1:E2923)*(E2=E$1:E2923))))))</f>
        <v> </v>
      </c>
      <c r="K2924" s="26" t="str">
        <f>IF(OR(E2924="",E2924="!!!",F2924="NEW"),"",INDEX(J$1:J2923,SUMPRODUCT(MAX(ROW(E$1:E2923)*(E2924=E$1:E2923)))))</f>
        <v> </v>
      </c>
      <c r="L2924" s="27"/>
    </row>
    <row r="2925" spans="1:12">
      <c r="A2925" s="20" t="s">
        <v>1781</v>
      </c>
      <c r="E2925" s="22">
        <f>IF(D2925="?OLD","!!!","")</f>
        <v/>
      </c>
      <c r="F2925" s="23" t="str">
        <f>IF(OR(E2925="",E2925="!!!"),"",IF(NOT(ISNA(VLOOKUP(E2925,E$1:E2924,1,FALSE()))),"OLD",IF(AND(E2925&lt;&gt;"",E2925&lt;&gt;"!!!"),"NEW","")))</f>
        <v> </v>
      </c>
      <c r="G2925" s="24" t="str">
        <f>IF(OR(E2925="",E2925="!!!"),"",IF(OR(J2925=0,AND(J2925=1,K2925=1),AND(J2925=1,I2925="SBJ"),AND(J2925=1,I2925=0)),"?IN_FOCUS",IF(J2925&lt;=2,"?ACTIVATED",IF(J2925&lt;&gt;"","?FAMILIAR",IF(F2925="NEW",IF(ISNA(VLOOKUP(E2925,#REF!,1,FALSE())),"?TYPE_IDENTIFIABLE","?REFERENTIAL"),"_")))))</f>
        <v> </v>
      </c>
      <c r="H2925" s="25" t="str">
        <f>IF(J2925&lt;&gt;1,"",IF(I2925="SBJ","CB","?"))</f>
        <v> </v>
      </c>
      <c r="I2925" s="26" t="str">
        <f>IF(OR(E2925="",E2925="!!!",F2925="NEW"),"",INDEX(B2924:B$2,-1+SUMPRODUCT(MAX(ROW(E2924:E$2)*(E2925=E2924:E$2)))))</f>
        <v> </v>
      </c>
      <c r="J2925" s="26" t="str">
        <f>IF(OR(E2925="",E2925="!!!",F2925="NEW"),"",COUNTBLANK(OFFSET(A$1,,,SUMPRODUCT(MAX(ROW(E$2:E2925)*(E2925=E$2:E2925)))))-COUNTBLANK(OFFSET(A$1,,,SUMPRODUCT(MAX(ROW(E$1:E2924)*(E2=E$1:E2924))))))</f>
        <v> </v>
      </c>
      <c r="K2925" s="26" t="str">
        <f>IF(OR(E2925="",E2925="!!!",F2925="NEW"),"",INDEX(J$1:J2924,SUMPRODUCT(MAX(ROW(E$1:E2924)*(E2925=E$1:E2924)))))</f>
        <v> </v>
      </c>
      <c r="L2925" s="27"/>
    </row>
    <row r="2926" spans="1:12">
      <c r="A2926" s="20" t="s">
        <v>899</v>
      </c>
      <c r="E2926" s="22">
        <f>IF(D2926="?OLD","!!!","")</f>
        <v/>
      </c>
      <c r="F2926" s="23" t="str">
        <f>IF(OR(E2926="",E2926="!!!"),"",IF(NOT(ISNA(VLOOKUP(E2926,E$1:E2925,1,FALSE()))),"OLD",IF(AND(E2926&lt;&gt;"",E2926&lt;&gt;"!!!"),"NEW","")))</f>
        <v> </v>
      </c>
      <c r="G2926" s="24" t="str">
        <f>IF(OR(E2926="",E2926="!!!"),"",IF(OR(J2926=0,AND(J2926=1,K2926=1),AND(J2926=1,I2926="SBJ"),AND(J2926=1,I2926=0)),"?IN_FOCUS",IF(J2926&lt;=2,"?ACTIVATED",IF(J2926&lt;&gt;"","?FAMILIAR",IF(F2926="NEW",IF(ISNA(VLOOKUP(E2926,#REF!,1,FALSE())),"?TYPE_IDENTIFIABLE","?REFERENTIAL"),"_")))))</f>
        <v> </v>
      </c>
      <c r="H2926" s="25" t="str">
        <f>IF(J2926&lt;&gt;1,"",IF(I2926="SBJ","CB","?"))</f>
        <v> </v>
      </c>
      <c r="I2926" s="26" t="str">
        <f>IF(OR(E2926="",E2926="!!!",F2926="NEW"),"",INDEX(B2925:B$2,-1+SUMPRODUCT(MAX(ROW(E2925:E$2)*(E2926=E2925:E$2)))))</f>
        <v> </v>
      </c>
      <c r="J2926" s="26" t="str">
        <f>IF(OR(E2926="",E2926="!!!",F2926="NEW"),"",COUNTBLANK(OFFSET(A$1,,,SUMPRODUCT(MAX(ROW(E$2:E2926)*(E2926=E$2:E2926)))))-COUNTBLANK(OFFSET(A$1,,,SUMPRODUCT(MAX(ROW(E$1:E2925)*(E2=E$1:E2925))))))</f>
        <v> </v>
      </c>
      <c r="K2926" s="26" t="str">
        <f>IF(OR(E2926="",E2926="!!!",F2926="NEW"),"",INDEX(J$1:J2925,SUMPRODUCT(MAX(ROW(E$1:E2925)*(E2926=E$1:E2925)))))</f>
        <v> </v>
      </c>
      <c r="L2926" s="27"/>
    </row>
    <row r="2927" spans="1:12">
      <c r="A2927" s="20" t="s">
        <v>845</v>
      </c>
      <c r="E2927" s="22">
        <f>IF(D2927="?OLD","!!!","")</f>
        <v/>
      </c>
      <c r="F2927" s="23" t="str">
        <f>IF(OR(E2927="",E2927="!!!"),"",IF(NOT(ISNA(VLOOKUP(E2927,E$1:E2926,1,FALSE()))),"OLD",IF(AND(E2927&lt;&gt;"",E2927&lt;&gt;"!!!"),"NEW","")))</f>
        <v> </v>
      </c>
      <c r="G2927" s="24" t="str">
        <f>IF(OR(E2927="",E2927="!!!"),"",IF(OR(J2927=0,AND(J2927=1,K2927=1),AND(J2927=1,I2927="SBJ"),AND(J2927=1,I2927=0)),"?IN_FOCUS",IF(J2927&lt;=2,"?ACTIVATED",IF(J2927&lt;&gt;"","?FAMILIAR",IF(F2927="NEW",IF(ISNA(VLOOKUP(E2927,#REF!,1,FALSE())),"?TYPE_IDENTIFIABLE","?REFERENTIAL"),"_")))))</f>
        <v> </v>
      </c>
      <c r="H2927" s="25" t="str">
        <f>IF(J2927&lt;&gt;1,"",IF(I2927="SBJ","CB","?"))</f>
        <v> </v>
      </c>
      <c r="I2927" s="26" t="str">
        <f>IF(OR(E2927="",E2927="!!!",F2927="NEW"),"",INDEX(B2926:B$2,-1+SUMPRODUCT(MAX(ROW(E2926:E$2)*(E2927=E2926:E$2)))))</f>
        <v> </v>
      </c>
      <c r="J2927" s="26" t="str">
        <f>IF(OR(E2927="",E2927="!!!",F2927="NEW"),"",COUNTBLANK(OFFSET(A$1,,,SUMPRODUCT(MAX(ROW(E$2:E2927)*(E2927=E$2:E2927)))))-COUNTBLANK(OFFSET(A$1,,,SUMPRODUCT(MAX(ROW(E$1:E2926)*(E2=E$1:E2926))))))</f>
        <v> </v>
      </c>
      <c r="K2927" s="26" t="str">
        <f>IF(OR(E2927="",E2927="!!!",F2927="NEW"),"",INDEX(J$1:J2926,SUMPRODUCT(MAX(ROW(E$1:E2926)*(E2927=E$1:E2926)))))</f>
        <v> </v>
      </c>
      <c r="L2927" s="27"/>
    </row>
    <row r="2928" spans="1:12">
      <c r="A2928" s="20" t="s">
        <v>1790</v>
      </c>
      <c r="B2928" s="21" t="s">
        <v>764</v>
      </c>
      <c r="C2928" s="21" t="s">
        <v>753</v>
      </c>
      <c r="D2928" s="21" t="s">
        <v>730</v>
      </c>
      <c r="E2928" s="22">
        <f>IF(D2928="?OLD","!!!","")</f>
        <v/>
      </c>
      <c r="F2928" s="23" t="str">
        <f>IF(OR(E2928="",E2928="!!!"),"",IF(NOT(ISNA(VLOOKUP(E2928,E$1:E2927,1,FALSE()))),"OLD",IF(AND(E2928&lt;&gt;"",E2928&lt;&gt;"!!!"),"NEW","")))</f>
        <v> </v>
      </c>
      <c r="G2928" s="24" t="str">
        <f>IF(OR(E2928="",E2928="!!!"),"",IF(OR(J2928=0,AND(J2928=1,K2928=1),AND(J2928=1,I2928="SBJ"),AND(J2928=1,I2928=0)),"?IN_FOCUS",IF(J2928&lt;=2,"?ACTIVATED",IF(J2928&lt;&gt;"","?FAMILIAR",IF(F2928="NEW",IF(ISNA(VLOOKUP(E2928,#REF!,1,FALSE())),"?TYPE_IDENTIFIABLE","?REFERENTIAL"),"_")))))</f>
        <v> </v>
      </c>
      <c r="H2928" s="25" t="str">
        <f>IF(J2928&lt;&gt;1,"",IF(I2928="SBJ","CB","?"))</f>
        <v> </v>
      </c>
      <c r="I2928" s="26" t="str">
        <f>IF(OR(E2928="",E2928="!!!",F2928="NEW"),"",INDEX(B2927:B$2,-1+SUMPRODUCT(MAX(ROW(E2927:E$2)*(E2928=E2927:E$2)))))</f>
        <v> </v>
      </c>
      <c r="J2928" s="26" t="str">
        <f>IF(OR(E2928="",E2928="!!!",F2928="NEW"),"",COUNTBLANK(OFFSET(A$1,,,SUMPRODUCT(MAX(ROW(E$2:E2928)*(E2928=E$2:E2928)))))-COUNTBLANK(OFFSET(A$1,,,SUMPRODUCT(MAX(ROW(E$1:E2927)*(E2=E$1:E2927))))))</f>
        <v> </v>
      </c>
      <c r="K2928" s="26" t="str">
        <f>IF(OR(E2928="",E2928="!!!",F2928="NEW"),"",INDEX(J$1:J2927,SUMPRODUCT(MAX(ROW(E$1:E2927)*(E2928=E$1:E2927)))))</f>
        <v> </v>
      </c>
      <c r="L2928" s="27"/>
    </row>
    <row r="2929" spans="1:12">
      <c r="A2929" s="20" t="s">
        <v>1791</v>
      </c>
      <c r="E2929" s="22">
        <f>IF(D2929="?OLD","!!!","")</f>
        <v/>
      </c>
      <c r="F2929" s="23" t="str">
        <f>IF(OR(E2929="",E2929="!!!"),"",IF(NOT(ISNA(VLOOKUP(E2929,E$1:E2928,1,FALSE()))),"OLD",IF(AND(E2929&lt;&gt;"",E2929&lt;&gt;"!!!"),"NEW","")))</f>
        <v> </v>
      </c>
      <c r="G2929" s="24" t="str">
        <f>IF(OR(E2929="",E2929="!!!"),"",IF(OR(J2929=0,AND(J2929=1,K2929=1),AND(J2929=1,I2929="SBJ"),AND(J2929=1,I2929=0)),"?IN_FOCUS",IF(J2929&lt;=2,"?ACTIVATED",IF(J2929&lt;&gt;"","?FAMILIAR",IF(F2929="NEW",IF(ISNA(VLOOKUP(E2929,#REF!,1,FALSE())),"?TYPE_IDENTIFIABLE","?REFERENTIAL"),"_")))))</f>
        <v> </v>
      </c>
      <c r="H2929" s="25" t="str">
        <f>IF(J2929&lt;&gt;1,"",IF(I2929="SBJ","CB","?"))</f>
        <v> </v>
      </c>
      <c r="I2929" s="26" t="str">
        <f>IF(OR(E2929="",E2929="!!!",F2929="NEW"),"",INDEX(B2928:B$2,-1+SUMPRODUCT(MAX(ROW(E2928:E$2)*(E2929=E2928:E$2)))))</f>
        <v> </v>
      </c>
      <c r="J2929" s="26" t="str">
        <f>IF(OR(E2929="",E2929="!!!",F2929="NEW"),"",COUNTBLANK(OFFSET(A$1,,,SUMPRODUCT(MAX(ROW(E$2:E2929)*(E2929=E$2:E2929)))))-COUNTBLANK(OFFSET(A$1,,,SUMPRODUCT(MAX(ROW(E$1:E2928)*(E2=E$1:E2928))))))</f>
        <v> </v>
      </c>
      <c r="K2929" s="26" t="str">
        <f>IF(OR(E2929="",E2929="!!!",F2929="NEW"),"",INDEX(J$1:J2928,SUMPRODUCT(MAX(ROW(E$1:E2928)*(E2929=E$1:E2928)))))</f>
        <v> </v>
      </c>
      <c r="L2929" s="27"/>
    </row>
    <row r="2930" spans="1:12">
      <c r="A2930" s="20" t="s">
        <v>759</v>
      </c>
      <c r="E2930" s="22">
        <f>IF(D2930="?OLD","!!!","")</f>
        <v/>
      </c>
      <c r="F2930" s="23" t="str">
        <f>IF(OR(E2930="",E2930="!!!"),"",IF(NOT(ISNA(VLOOKUP(E2930,E$1:E2929,1,FALSE()))),"OLD",IF(AND(E2930&lt;&gt;"",E2930&lt;&gt;"!!!"),"NEW","")))</f>
        <v> </v>
      </c>
      <c r="G2930" s="24" t="str">
        <f>IF(OR(E2930="",E2930="!!!"),"",IF(OR(J2930=0,AND(J2930=1,K2930=1),AND(J2930=1,I2930="SBJ"),AND(J2930=1,I2930=0)),"?IN_FOCUS",IF(J2930&lt;=2,"?ACTIVATED",IF(J2930&lt;&gt;"","?FAMILIAR",IF(F2930="NEW",IF(ISNA(VLOOKUP(E2930,#REF!,1,FALSE())),"?TYPE_IDENTIFIABLE","?REFERENTIAL"),"_")))))</f>
        <v> </v>
      </c>
      <c r="H2930" s="25" t="str">
        <f>IF(J2930&lt;&gt;1,"",IF(I2930="SBJ","CB","?"))</f>
        <v> </v>
      </c>
      <c r="I2930" s="26" t="str">
        <f>IF(OR(E2930="",E2930="!!!",F2930="NEW"),"",INDEX(B2929:B$2,-1+SUMPRODUCT(MAX(ROW(E2929:E$2)*(E2930=E2929:E$2)))))</f>
        <v> </v>
      </c>
      <c r="J2930" s="26" t="str">
        <f>IF(OR(E2930="",E2930="!!!",F2930="NEW"),"",COUNTBLANK(OFFSET(A$1,,,SUMPRODUCT(MAX(ROW(E$2:E2930)*(E2930=E$2:E2930)))))-COUNTBLANK(OFFSET(A$1,,,SUMPRODUCT(MAX(ROW(E$1:E2929)*(E2=E$1:E2929))))))</f>
        <v> </v>
      </c>
      <c r="K2930" s="26" t="str">
        <f>IF(OR(E2930="",E2930="!!!",F2930="NEW"),"",INDEX(J$1:J2929,SUMPRODUCT(MAX(ROW(E$1:E2929)*(E2930=E$1:E2929)))))</f>
        <v> </v>
      </c>
      <c r="L2930" s="27"/>
    </row>
    <row r="2931" spans="1:12">
      <c r="A2931" s="20" t="s">
        <v>785</v>
      </c>
      <c r="E2931" s="22">
        <f>IF(D2931="?OLD","!!!","")</f>
        <v/>
      </c>
      <c r="F2931" s="23" t="str">
        <f>IF(OR(E2931="",E2931="!!!"),"",IF(NOT(ISNA(VLOOKUP(E2931,E$1:E2930,1,FALSE()))),"OLD",IF(AND(E2931&lt;&gt;"",E2931&lt;&gt;"!!!"),"NEW","")))</f>
        <v> </v>
      </c>
      <c r="G2931" s="24" t="str">
        <f>IF(OR(E2931="",E2931="!!!"),"",IF(OR(J2931=0,AND(J2931=1,K2931=1),AND(J2931=1,I2931="SBJ"),AND(J2931=1,I2931=0)),"?IN_FOCUS",IF(J2931&lt;=2,"?ACTIVATED",IF(J2931&lt;&gt;"","?FAMILIAR",IF(F2931="NEW",IF(ISNA(VLOOKUP(E2931,#REF!,1,FALSE())),"?TYPE_IDENTIFIABLE","?REFERENTIAL"),"_")))))</f>
        <v> </v>
      </c>
      <c r="H2931" s="25" t="str">
        <f>IF(J2931&lt;&gt;1,"",IF(I2931="SBJ","CB","?"))</f>
        <v> </v>
      </c>
      <c r="I2931" s="26" t="str">
        <f>IF(OR(E2931="",E2931="!!!",F2931="NEW"),"",INDEX(B2930:B$2,-1+SUMPRODUCT(MAX(ROW(E2930:E$2)*(E2931=E2930:E$2)))))</f>
        <v> </v>
      </c>
      <c r="J2931" s="26" t="str">
        <f>IF(OR(E2931="",E2931="!!!",F2931="NEW"),"",COUNTBLANK(OFFSET(A$1,,,SUMPRODUCT(MAX(ROW(E$2:E2931)*(E2931=E$2:E2931)))))-COUNTBLANK(OFFSET(A$1,,,SUMPRODUCT(MAX(ROW(E$1:E2930)*(E2=E$1:E2930))))))</f>
        <v> </v>
      </c>
      <c r="K2931" s="26" t="str">
        <f>IF(OR(E2931="",E2931="!!!",F2931="NEW"),"",INDEX(J$1:J2930,SUMPRODUCT(MAX(ROW(E$1:E2930)*(E2931=E$1:E2930)))))</f>
        <v> </v>
      </c>
      <c r="L2931" s="27"/>
    </row>
    <row r="2932" spans="1:12">
      <c r="A2932" s="20" t="s">
        <v>1791</v>
      </c>
      <c r="E2932" s="22">
        <f>IF(D2932="?OLD","!!!","")</f>
        <v/>
      </c>
      <c r="F2932" s="23" t="str">
        <f>IF(OR(E2932="",E2932="!!!"),"",IF(NOT(ISNA(VLOOKUP(E2932,E$1:E2931,1,FALSE()))),"OLD",IF(AND(E2932&lt;&gt;"",E2932&lt;&gt;"!!!"),"NEW","")))</f>
        <v> </v>
      </c>
      <c r="G2932" s="24" t="str">
        <f>IF(OR(E2932="",E2932="!!!"),"",IF(OR(J2932=0,AND(J2932=1,K2932=1),AND(J2932=1,I2932="SBJ"),AND(J2932=1,I2932=0)),"?IN_FOCUS",IF(J2932&lt;=2,"?ACTIVATED",IF(J2932&lt;&gt;"","?FAMILIAR",IF(F2932="NEW",IF(ISNA(VLOOKUP(E2932,#REF!,1,FALSE())),"?TYPE_IDENTIFIABLE","?REFERENTIAL"),"_")))))</f>
        <v> </v>
      </c>
      <c r="H2932" s="25" t="str">
        <f>IF(J2932&lt;&gt;1,"",IF(I2932="SBJ","CB","?"))</f>
        <v> </v>
      </c>
      <c r="I2932" s="26" t="str">
        <f>IF(OR(E2932="",E2932="!!!",F2932="NEW"),"",INDEX(B2931:B$2,-1+SUMPRODUCT(MAX(ROW(E2931:E$2)*(E2932=E2931:E$2)))))</f>
        <v> </v>
      </c>
      <c r="J2932" s="26" t="str">
        <f>IF(OR(E2932="",E2932="!!!",F2932="NEW"),"",COUNTBLANK(OFFSET(A$1,,,SUMPRODUCT(MAX(ROW(E$2:E2932)*(E2932=E$2:E2932)))))-COUNTBLANK(OFFSET(A$1,,,SUMPRODUCT(MAX(ROW(E$1:E2931)*(E2=E$1:E2931))))))</f>
        <v> </v>
      </c>
      <c r="K2932" s="26" t="str">
        <f>IF(OR(E2932="",E2932="!!!",F2932="NEW"),"",INDEX(J$1:J2931,SUMPRODUCT(MAX(ROW(E$1:E2931)*(E2932=E$1:E2931)))))</f>
        <v> </v>
      </c>
      <c r="L2932" s="27"/>
    </row>
    <row r="2933" spans="1:12">
      <c r="A2933" s="20" t="s">
        <v>757</v>
      </c>
      <c r="E2933" s="22">
        <f>IF(D2933="?OLD","!!!","")</f>
        <v/>
      </c>
      <c r="F2933" s="23" t="str">
        <f>IF(OR(E2933="",E2933="!!!"),"",IF(NOT(ISNA(VLOOKUP(E2933,E$1:E2932,1,FALSE()))),"OLD",IF(AND(E2933&lt;&gt;"",E2933&lt;&gt;"!!!"),"NEW","")))</f>
        <v> </v>
      </c>
      <c r="G2933" s="24" t="str">
        <f>IF(OR(E2933="",E2933="!!!"),"",IF(OR(J2933=0,AND(J2933=1,K2933=1),AND(J2933=1,I2933="SBJ"),AND(J2933=1,I2933=0)),"?IN_FOCUS",IF(J2933&lt;=2,"?ACTIVATED",IF(J2933&lt;&gt;"","?FAMILIAR",IF(F2933="NEW",IF(ISNA(VLOOKUP(E2933,#REF!,1,FALSE())),"?TYPE_IDENTIFIABLE","?REFERENTIAL"),"_")))))</f>
        <v> </v>
      </c>
      <c r="H2933" s="25" t="str">
        <f>IF(J2933&lt;&gt;1,"",IF(I2933="SBJ","CB","?"))</f>
        <v> </v>
      </c>
      <c r="I2933" s="26" t="str">
        <f>IF(OR(E2933="",E2933="!!!",F2933="NEW"),"",INDEX(B2932:B$2,-1+SUMPRODUCT(MAX(ROW(E2932:E$2)*(E2933=E2932:E$2)))))</f>
        <v> </v>
      </c>
      <c r="J2933" s="26" t="str">
        <f>IF(OR(E2933="",E2933="!!!",F2933="NEW"),"",COUNTBLANK(OFFSET(A$1,,,SUMPRODUCT(MAX(ROW(E$2:E2933)*(E2933=E$2:E2933)))))-COUNTBLANK(OFFSET(A$1,,,SUMPRODUCT(MAX(ROW(E$1:E2932)*(E2=E$1:E2932))))))</f>
        <v> </v>
      </c>
      <c r="K2933" s="26" t="str">
        <f>IF(OR(E2933="",E2933="!!!",F2933="NEW"),"",INDEX(J$1:J2932,SUMPRODUCT(MAX(ROW(E$1:E2932)*(E2933=E$1:E2932)))))</f>
        <v> </v>
      </c>
      <c r="L2933" s="27"/>
    </row>
    <row r="2934" spans="1:12">
      <c r="A2934" s="20" t="s">
        <v>1792</v>
      </c>
      <c r="E2934" s="22">
        <f>IF(D2934="?OLD","!!!","")</f>
        <v/>
      </c>
      <c r="F2934" s="23" t="str">
        <f>IF(OR(E2934="",E2934="!!!"),"",IF(NOT(ISNA(VLOOKUP(E2934,E$1:E2933,1,FALSE()))),"OLD",IF(AND(E2934&lt;&gt;"",E2934&lt;&gt;"!!!"),"NEW","")))</f>
        <v> </v>
      </c>
      <c r="G2934" s="24" t="str">
        <f>IF(OR(E2934="",E2934="!!!"),"",IF(OR(J2934=0,AND(J2934=1,K2934=1),AND(J2934=1,I2934="SBJ"),AND(J2934=1,I2934=0)),"?IN_FOCUS",IF(J2934&lt;=2,"?ACTIVATED",IF(J2934&lt;&gt;"","?FAMILIAR",IF(F2934="NEW",IF(ISNA(VLOOKUP(E2934,#REF!,1,FALSE())),"?TYPE_IDENTIFIABLE","?REFERENTIAL"),"_")))))</f>
        <v> </v>
      </c>
      <c r="H2934" s="25" t="str">
        <f>IF(J2934&lt;&gt;1,"",IF(I2934="SBJ","CB","?"))</f>
        <v> </v>
      </c>
      <c r="I2934" s="26" t="str">
        <f>IF(OR(E2934="",E2934="!!!",F2934="NEW"),"",INDEX(B2933:B$2,-1+SUMPRODUCT(MAX(ROW(E2933:E$2)*(E2934=E2933:E$2)))))</f>
        <v> </v>
      </c>
      <c r="J2934" s="26" t="str">
        <f>IF(OR(E2934="",E2934="!!!",F2934="NEW"),"",COUNTBLANK(OFFSET(A$1,,,SUMPRODUCT(MAX(ROW(E$2:E2934)*(E2934=E$2:E2934)))))-COUNTBLANK(OFFSET(A$1,,,SUMPRODUCT(MAX(ROW(E$1:E2933)*(E2=E$1:E2933))))))</f>
        <v> </v>
      </c>
      <c r="K2934" s="26" t="str">
        <f>IF(OR(E2934="",E2934="!!!",F2934="NEW"),"",INDEX(J$1:J2933,SUMPRODUCT(MAX(ROW(E$1:E2933)*(E2934=E$1:E2933)))))</f>
        <v> </v>
      </c>
      <c r="L2934" s="27"/>
    </row>
    <row r="2935" spans="1:12">
      <c r="A2935" s="20" t="s">
        <v>1793</v>
      </c>
      <c r="B2935" s="21" t="s">
        <v>736</v>
      </c>
      <c r="C2935" s="21" t="s">
        <v>753</v>
      </c>
      <c r="D2935" s="21" t="s">
        <v>730</v>
      </c>
      <c r="E2935" s="22">
        <f>IF(D2935="?OLD","!!!","")</f>
        <v/>
      </c>
      <c r="F2935" s="23" t="str">
        <f>IF(OR(E2935="",E2935="!!!"),"",IF(NOT(ISNA(VLOOKUP(E2935,E$1:E2934,1,FALSE()))),"OLD",IF(AND(E2935&lt;&gt;"",E2935&lt;&gt;"!!!"),"NEW","")))</f>
        <v> </v>
      </c>
      <c r="G2935" s="24" t="str">
        <f>IF(OR(E2935="",E2935="!!!"),"",IF(OR(J2935=0,AND(J2935=1,K2935=1),AND(J2935=1,I2935="SBJ"),AND(J2935=1,I2935=0)),"?IN_FOCUS",IF(J2935&lt;=2,"?ACTIVATED",IF(J2935&lt;&gt;"","?FAMILIAR",IF(F2935="NEW",IF(ISNA(VLOOKUP(E2935,#REF!,1,FALSE())),"?TYPE_IDENTIFIABLE","?REFERENTIAL"),"_")))))</f>
        <v> </v>
      </c>
      <c r="H2935" s="25" t="str">
        <f>IF(J2935&lt;&gt;1,"",IF(I2935="SBJ","CB","?"))</f>
        <v> </v>
      </c>
      <c r="I2935" s="26" t="str">
        <f>IF(OR(E2935="",E2935="!!!",F2935="NEW"),"",INDEX(B2934:B$2,-1+SUMPRODUCT(MAX(ROW(E2934:E$2)*(E2935=E2934:E$2)))))</f>
        <v> </v>
      </c>
      <c r="J2935" s="26" t="str">
        <f>IF(OR(E2935="",E2935="!!!",F2935="NEW"),"",COUNTBLANK(OFFSET(A$1,,,SUMPRODUCT(MAX(ROW(E$2:E2935)*(E2935=E$2:E2935)))))-COUNTBLANK(OFFSET(A$1,,,SUMPRODUCT(MAX(ROW(E$1:E2934)*(E2=E$1:E2934))))))</f>
        <v> </v>
      </c>
      <c r="K2935" s="26" t="str">
        <f>IF(OR(E2935="",E2935="!!!",F2935="NEW"),"",INDEX(J$1:J2934,SUMPRODUCT(MAX(ROW(E$1:E2934)*(E2935=E$1:E2934)))))</f>
        <v> </v>
      </c>
      <c r="L2935" s="27"/>
    </row>
    <row r="2936" spans="1:12">
      <c r="A2936" s="20" t="s">
        <v>759</v>
      </c>
      <c r="E2936" s="22">
        <f>IF(D2936="?OLD","!!!","")</f>
        <v/>
      </c>
      <c r="F2936" s="23" t="str">
        <f>IF(OR(E2936="",E2936="!!!"),"",IF(NOT(ISNA(VLOOKUP(E2936,E$1:E2935,1,FALSE()))),"OLD",IF(AND(E2936&lt;&gt;"",E2936&lt;&gt;"!!!"),"NEW","")))</f>
        <v> </v>
      </c>
      <c r="G2936" s="24" t="str">
        <f>IF(OR(E2936="",E2936="!!!"),"",IF(OR(J2936=0,AND(J2936=1,K2936=1),AND(J2936=1,I2936="SBJ"),AND(J2936=1,I2936=0)),"?IN_FOCUS",IF(J2936&lt;=2,"?ACTIVATED",IF(J2936&lt;&gt;"","?FAMILIAR",IF(F2936="NEW",IF(ISNA(VLOOKUP(E2936,#REF!,1,FALSE())),"?TYPE_IDENTIFIABLE","?REFERENTIAL"),"_")))))</f>
        <v> </v>
      </c>
      <c r="H2936" s="25" t="str">
        <f>IF(J2936&lt;&gt;1,"",IF(I2936="SBJ","CB","?"))</f>
        <v> </v>
      </c>
      <c r="I2936" s="26" t="str">
        <f>IF(OR(E2936="",E2936="!!!",F2936="NEW"),"",INDEX(B2935:B$2,-1+SUMPRODUCT(MAX(ROW(E2935:E$2)*(E2936=E2935:E$2)))))</f>
        <v> </v>
      </c>
      <c r="J2936" s="26" t="str">
        <f>IF(OR(E2936="",E2936="!!!",F2936="NEW"),"",COUNTBLANK(OFFSET(A$1,,,SUMPRODUCT(MAX(ROW(E$2:E2936)*(E2936=E$2:E2936)))))-COUNTBLANK(OFFSET(A$1,,,SUMPRODUCT(MAX(ROW(E$1:E2935)*(E2=E$1:E2935))))))</f>
        <v> </v>
      </c>
      <c r="K2936" s="26" t="str">
        <f>IF(OR(E2936="",E2936="!!!",F2936="NEW"),"",INDEX(J$1:J2935,SUMPRODUCT(MAX(ROW(E$1:E2935)*(E2936=E$1:E2935)))))</f>
        <v> </v>
      </c>
      <c r="L2936" s="27"/>
    </row>
    <row r="2937" spans="1:12">
      <c r="A2937" s="20" t="s">
        <v>813</v>
      </c>
      <c r="B2937" s="21" t="s">
        <v>788</v>
      </c>
      <c r="E2937" s="22">
        <f>IF(D2937="?OLD","!!!","")</f>
        <v/>
      </c>
      <c r="F2937" s="23" t="str">
        <f>IF(OR(E2937="",E2937="!!!"),"",IF(NOT(ISNA(VLOOKUP(E2937,E$1:E2936,1,FALSE()))),"OLD",IF(AND(E2937&lt;&gt;"",E2937&lt;&gt;"!!!"),"NEW","")))</f>
        <v> </v>
      </c>
      <c r="G2937" s="24" t="str">
        <f>IF(OR(E2937="",E2937="!!!"),"",IF(OR(J2937=0,AND(J2937=1,K2937=1),AND(J2937=1,I2937="SBJ"),AND(J2937=1,I2937=0)),"?IN_FOCUS",IF(J2937&lt;=2,"?ACTIVATED",IF(J2937&lt;&gt;"","?FAMILIAR",IF(F2937="NEW",IF(ISNA(VLOOKUP(E2937,#REF!,1,FALSE())),"?TYPE_IDENTIFIABLE","?REFERENTIAL"),"_")))))</f>
        <v> </v>
      </c>
      <c r="H2937" s="25" t="str">
        <f>IF(J2937&lt;&gt;1,"",IF(I2937="SBJ","CB","?"))</f>
        <v> </v>
      </c>
      <c r="I2937" s="26" t="str">
        <f>IF(OR(E2937="",E2937="!!!",F2937="NEW"),"",INDEX(B2936:B$2,-1+SUMPRODUCT(MAX(ROW(E2936:E$2)*(E2937=E2936:E$2)))))</f>
        <v> </v>
      </c>
      <c r="J2937" s="26" t="str">
        <f>IF(OR(E2937="",E2937="!!!",F2937="NEW"),"",COUNTBLANK(OFFSET(A$1,,,SUMPRODUCT(MAX(ROW(E$2:E2937)*(E2937=E$2:E2937)))))-COUNTBLANK(OFFSET(A$1,,,SUMPRODUCT(MAX(ROW(E$1:E2936)*(E2=E$1:E2936))))))</f>
        <v> </v>
      </c>
      <c r="K2937" s="26" t="str">
        <f>IF(OR(E2937="",E2937="!!!",F2937="NEW"),"",INDEX(J$1:J2936,SUMPRODUCT(MAX(ROW(E$1:E2936)*(E2937=E$1:E2936)))))</f>
        <v> </v>
      </c>
      <c r="L2937" s="27"/>
    </row>
    <row r="2938" spans="1:12">
      <c r="A2938" s="20" t="s">
        <v>1794</v>
      </c>
      <c r="E2938" s="22">
        <f>IF(D2938="?OLD","!!!","")</f>
        <v/>
      </c>
      <c r="F2938" s="23" t="str">
        <f>IF(OR(E2938="",E2938="!!!"),"",IF(NOT(ISNA(VLOOKUP(E2938,E$1:E2937,1,FALSE()))),"OLD",IF(AND(E2938&lt;&gt;"",E2938&lt;&gt;"!!!"),"NEW","")))</f>
        <v> </v>
      </c>
      <c r="G2938" s="24" t="str">
        <f>IF(OR(E2938="",E2938="!!!"),"",IF(OR(J2938=0,AND(J2938=1,K2938=1),AND(J2938=1,I2938="SBJ"),AND(J2938=1,I2938=0)),"?IN_FOCUS",IF(J2938&lt;=2,"?ACTIVATED",IF(J2938&lt;&gt;"","?FAMILIAR",IF(F2938="NEW",IF(ISNA(VLOOKUP(E2938,#REF!,1,FALSE())),"?TYPE_IDENTIFIABLE","?REFERENTIAL"),"_")))))</f>
        <v> </v>
      </c>
      <c r="H2938" s="25" t="str">
        <f>IF(J2938&lt;&gt;1,"",IF(I2938="SBJ","CB","?"))</f>
        <v> </v>
      </c>
      <c r="I2938" s="26" t="str">
        <f>IF(OR(E2938="",E2938="!!!",F2938="NEW"),"",INDEX(B2937:B$2,-1+SUMPRODUCT(MAX(ROW(E2937:E$2)*(E2938=E2937:E$2)))))</f>
        <v> </v>
      </c>
      <c r="J2938" s="26" t="str">
        <f>IF(OR(E2938="",E2938="!!!",F2938="NEW"),"",COUNTBLANK(OFFSET(A$1,,,SUMPRODUCT(MAX(ROW(E$2:E2938)*(E2938=E$2:E2938)))))-COUNTBLANK(OFFSET(A$1,,,SUMPRODUCT(MAX(ROW(E$1:E2937)*(E2=E$1:E2937))))))</f>
        <v> </v>
      </c>
      <c r="K2938" s="26" t="str">
        <f>IF(OR(E2938="",E2938="!!!",F2938="NEW"),"",INDEX(J$1:J2937,SUMPRODUCT(MAX(ROW(E$1:E2937)*(E2938=E$1:E2937)))))</f>
        <v> </v>
      </c>
      <c r="L2938" s="27"/>
    </row>
    <row r="2939" spans="1:12">
      <c r="A2939" s="20" t="s">
        <v>759</v>
      </c>
      <c r="E2939" s="22">
        <f>IF(D2939="?OLD","!!!","")</f>
        <v/>
      </c>
      <c r="F2939" s="23" t="str">
        <f>IF(OR(E2939="",E2939="!!!"),"",IF(NOT(ISNA(VLOOKUP(E2939,E$1:E2938,1,FALSE()))),"OLD",IF(AND(E2939&lt;&gt;"",E2939&lt;&gt;"!!!"),"NEW","")))</f>
        <v> </v>
      </c>
      <c r="G2939" s="24" t="str">
        <f>IF(OR(E2939="",E2939="!!!"),"",IF(OR(J2939=0,AND(J2939=1,K2939=1),AND(J2939=1,I2939="SBJ"),AND(J2939=1,I2939=0)),"?IN_FOCUS",IF(J2939&lt;=2,"?ACTIVATED",IF(J2939&lt;&gt;"","?FAMILIAR",IF(F2939="NEW",IF(ISNA(VLOOKUP(E2939,#REF!,1,FALSE())),"?TYPE_IDENTIFIABLE","?REFERENTIAL"),"_")))))</f>
        <v> </v>
      </c>
      <c r="H2939" s="25" t="str">
        <f>IF(J2939&lt;&gt;1,"",IF(I2939="SBJ","CB","?"))</f>
        <v> </v>
      </c>
      <c r="I2939" s="26" t="str">
        <f>IF(OR(E2939="",E2939="!!!",F2939="NEW"),"",INDEX(B2938:B$2,-1+SUMPRODUCT(MAX(ROW(E2938:E$2)*(E2939=E2938:E$2)))))</f>
        <v> </v>
      </c>
      <c r="J2939" s="26" t="str">
        <f>IF(OR(E2939="",E2939="!!!",F2939="NEW"),"",COUNTBLANK(OFFSET(A$1,,,SUMPRODUCT(MAX(ROW(E$2:E2939)*(E2939=E$2:E2939)))))-COUNTBLANK(OFFSET(A$1,,,SUMPRODUCT(MAX(ROW(E$1:E2938)*(E2=E$1:E2938))))))</f>
        <v> </v>
      </c>
      <c r="K2939" s="26" t="str">
        <f>IF(OR(E2939="",E2939="!!!",F2939="NEW"),"",INDEX(J$1:J2938,SUMPRODUCT(MAX(ROW(E$1:E2938)*(E2939=E$1:E2938)))))</f>
        <v> </v>
      </c>
      <c r="L2939" s="27"/>
    </row>
    <row r="2940" spans="1:12">
      <c r="A2940" s="20" t="s">
        <v>809</v>
      </c>
      <c r="E2940" s="22">
        <f>IF(D2940="?OLD","!!!","")</f>
        <v/>
      </c>
      <c r="F2940" s="23" t="str">
        <f>IF(OR(E2940="",E2940="!!!"),"",IF(NOT(ISNA(VLOOKUP(E2940,E$1:E2939,1,FALSE()))),"OLD",IF(AND(E2940&lt;&gt;"",E2940&lt;&gt;"!!!"),"NEW","")))</f>
        <v> </v>
      </c>
      <c r="G2940" s="24" t="str">
        <f>IF(OR(E2940="",E2940="!!!"),"",IF(OR(J2940=0,AND(J2940=1,K2940=1),AND(J2940=1,I2940="SBJ"),AND(J2940=1,I2940=0)),"?IN_FOCUS",IF(J2940&lt;=2,"?ACTIVATED",IF(J2940&lt;&gt;"","?FAMILIAR",IF(F2940="NEW",IF(ISNA(VLOOKUP(E2940,#REF!,1,FALSE())),"?TYPE_IDENTIFIABLE","?REFERENTIAL"),"_")))))</f>
        <v> </v>
      </c>
      <c r="H2940" s="25" t="str">
        <f>IF(J2940&lt;&gt;1,"",IF(I2940="SBJ","CB","?"))</f>
        <v> </v>
      </c>
      <c r="I2940" s="26" t="str">
        <f>IF(OR(E2940="",E2940="!!!",F2940="NEW"),"",INDEX(B2939:B$2,-1+SUMPRODUCT(MAX(ROW(E2939:E$2)*(E2940=E2939:E$2)))))</f>
        <v> </v>
      </c>
      <c r="J2940" s="26" t="str">
        <f>IF(OR(E2940="",E2940="!!!",F2940="NEW"),"",COUNTBLANK(OFFSET(A$1,,,SUMPRODUCT(MAX(ROW(E$2:E2940)*(E2940=E$2:E2940)))))-COUNTBLANK(OFFSET(A$1,,,SUMPRODUCT(MAX(ROW(E$1:E2939)*(E2=E$1:E2939))))))</f>
        <v> </v>
      </c>
      <c r="K2940" s="26" t="str">
        <f>IF(OR(E2940="",E2940="!!!",F2940="NEW"),"",INDEX(J$1:J2939,SUMPRODUCT(MAX(ROW(E$1:E2939)*(E2940=E$1:E2939)))))</f>
        <v> </v>
      </c>
      <c r="L2940" s="27"/>
    </row>
    <row r="2941" spans="1:12">
      <c r="A2941" s="20" t="s">
        <v>762</v>
      </c>
      <c r="E2941" s="22">
        <f>IF(D2941="?OLD","!!!","")</f>
        <v/>
      </c>
      <c r="F2941" s="23" t="str">
        <f>IF(OR(E2941="",E2941="!!!"),"",IF(NOT(ISNA(VLOOKUP(E2941,E$1:E2940,1,FALSE()))),"OLD",IF(AND(E2941&lt;&gt;"",E2941&lt;&gt;"!!!"),"NEW","")))</f>
        <v> </v>
      </c>
      <c r="G2941" s="24" t="str">
        <f>IF(OR(E2941="",E2941="!!!"),"",IF(OR(J2941=0,AND(J2941=1,K2941=1),AND(J2941=1,I2941="SBJ"),AND(J2941=1,I2941=0)),"?IN_FOCUS",IF(J2941&lt;=2,"?ACTIVATED",IF(J2941&lt;&gt;"","?FAMILIAR",IF(F2941="NEW",IF(ISNA(VLOOKUP(E2941,#REF!,1,FALSE())),"?TYPE_IDENTIFIABLE","?REFERENTIAL"),"_")))))</f>
        <v> </v>
      </c>
      <c r="H2941" s="25" t="str">
        <f>IF(J2941&lt;&gt;1,"",IF(I2941="SBJ","CB","?"))</f>
        <v> </v>
      </c>
      <c r="I2941" s="26" t="str">
        <f>IF(OR(E2941="",E2941="!!!",F2941="NEW"),"",INDEX(B2940:B$2,-1+SUMPRODUCT(MAX(ROW(E2940:E$2)*(E2941=E2940:E$2)))))</f>
        <v> </v>
      </c>
      <c r="J2941" s="26" t="str">
        <f>IF(OR(E2941="",E2941="!!!",F2941="NEW"),"",COUNTBLANK(OFFSET(A$1,,,SUMPRODUCT(MAX(ROW(E$2:E2941)*(E2941=E$2:E2941)))))-COUNTBLANK(OFFSET(A$1,,,SUMPRODUCT(MAX(ROW(E$1:E2940)*(E2=E$1:E2940))))))</f>
        <v> </v>
      </c>
      <c r="K2941" s="26" t="str">
        <f>IF(OR(E2941="",E2941="!!!",F2941="NEW"),"",INDEX(J$1:J2940,SUMPRODUCT(MAX(ROW(E$1:E2940)*(E2941=E$1:E2940)))))</f>
        <v> </v>
      </c>
      <c r="L2941" s="27"/>
    </row>
    <row r="2942" spans="1:12">
      <c r="A2942" s="20" t="s">
        <v>1535</v>
      </c>
      <c r="E2942" s="22">
        <f>IF(D2942="?OLD","!!!","")</f>
        <v/>
      </c>
      <c r="F2942" s="23" t="str">
        <f>IF(OR(E2942="",E2942="!!!"),"",IF(NOT(ISNA(VLOOKUP(E2942,E$1:E2941,1,FALSE()))),"OLD",IF(AND(E2942&lt;&gt;"",E2942&lt;&gt;"!!!"),"NEW","")))</f>
        <v> </v>
      </c>
      <c r="G2942" s="24" t="str">
        <f>IF(OR(E2942="",E2942="!!!"),"",IF(OR(J2942=0,AND(J2942=1,K2942=1),AND(J2942=1,I2942="SBJ"),AND(J2942=1,I2942=0)),"?IN_FOCUS",IF(J2942&lt;=2,"?ACTIVATED",IF(J2942&lt;&gt;"","?FAMILIAR",IF(F2942="NEW",IF(ISNA(VLOOKUP(E2942,#REF!,1,FALSE())),"?TYPE_IDENTIFIABLE","?REFERENTIAL"),"_")))))</f>
        <v> </v>
      </c>
      <c r="H2942" s="25" t="str">
        <f>IF(J2942&lt;&gt;1,"",IF(I2942="SBJ","CB","?"))</f>
        <v> </v>
      </c>
      <c r="I2942" s="26" t="str">
        <f>IF(OR(E2942="",E2942="!!!",F2942="NEW"),"",INDEX(B2941:B$2,-1+SUMPRODUCT(MAX(ROW(E2941:E$2)*(E2942=E2941:E$2)))))</f>
        <v> </v>
      </c>
      <c r="J2942" s="26" t="str">
        <f>IF(OR(E2942="",E2942="!!!",F2942="NEW"),"",COUNTBLANK(OFFSET(A$1,,,SUMPRODUCT(MAX(ROW(E$2:E2942)*(E2942=E$2:E2942)))))-COUNTBLANK(OFFSET(A$1,,,SUMPRODUCT(MAX(ROW(E$1:E2941)*(E2=E$1:E2941))))))</f>
        <v> </v>
      </c>
      <c r="K2942" s="26" t="str">
        <f>IF(OR(E2942="",E2942="!!!",F2942="NEW"),"",INDEX(J$1:J2941,SUMPRODUCT(MAX(ROW(E$1:E2941)*(E2942=E$1:E2941)))))</f>
        <v> </v>
      </c>
      <c r="L2942" s="27"/>
    </row>
    <row r="2943" spans="1:12">
      <c r="A2943" s="20" t="s">
        <v>1795</v>
      </c>
      <c r="B2943" s="21" t="s">
        <v>796</v>
      </c>
      <c r="C2943" s="21" t="s">
        <v>737</v>
      </c>
      <c r="E2943" s="22">
        <f>IF(D2943="?OLD","!!!","")</f>
        <v/>
      </c>
      <c r="F2943" s="23" t="str">
        <f>IF(OR(E2943="",E2943="!!!"),"",IF(NOT(ISNA(VLOOKUP(E2943,E$1:E2942,1,FALSE()))),"OLD",IF(AND(E2943&lt;&gt;"",E2943&lt;&gt;"!!!"),"NEW","")))</f>
        <v> </v>
      </c>
      <c r="G2943" s="24" t="str">
        <f>IF(OR(E2943="",E2943="!!!"),"",IF(OR(J2943=0,AND(J2943=1,K2943=1),AND(J2943=1,I2943="SBJ"),AND(J2943=1,I2943=0)),"?IN_FOCUS",IF(J2943&lt;=2,"?ACTIVATED",IF(J2943&lt;&gt;"","?FAMILIAR",IF(F2943="NEW",IF(ISNA(VLOOKUP(E2943,#REF!,1,FALSE())),"?TYPE_IDENTIFIABLE","?REFERENTIAL"),"_")))))</f>
        <v> </v>
      </c>
      <c r="H2943" s="25" t="str">
        <f>IF(J2943&lt;&gt;1,"",IF(I2943="SBJ","CB","?"))</f>
        <v> </v>
      </c>
      <c r="I2943" s="26" t="str">
        <f>IF(OR(E2943="",E2943="!!!",F2943="NEW"),"",INDEX(B2942:B$2,-1+SUMPRODUCT(MAX(ROW(E2942:E$2)*(E2943=E2942:E$2)))))</f>
        <v> </v>
      </c>
      <c r="J2943" s="26" t="str">
        <f>IF(OR(E2943="",E2943="!!!",F2943="NEW"),"",COUNTBLANK(OFFSET(A$1,,,SUMPRODUCT(MAX(ROW(E$2:E2943)*(E2943=E$2:E2943)))))-COUNTBLANK(OFFSET(A$1,,,SUMPRODUCT(MAX(ROW(E$1:E2942)*(E2=E$1:E2942))))))</f>
        <v> </v>
      </c>
      <c r="K2943" s="26" t="str">
        <f>IF(OR(E2943="",E2943="!!!",F2943="NEW"),"",INDEX(J$1:J2942,SUMPRODUCT(MAX(ROW(E$1:E2942)*(E2943=E$1:E2942)))))</f>
        <v> </v>
      </c>
      <c r="L2943" s="27"/>
    </row>
    <row r="2944" spans="1:12">
      <c r="A2944" s="20" t="s">
        <v>938</v>
      </c>
      <c r="E2944" s="22">
        <f>IF(D2944="?OLD","!!!","")</f>
        <v/>
      </c>
      <c r="F2944" s="23" t="str">
        <f>IF(OR(E2944="",E2944="!!!"),"",IF(NOT(ISNA(VLOOKUP(E2944,E$1:E2943,1,FALSE()))),"OLD",IF(AND(E2944&lt;&gt;"",E2944&lt;&gt;"!!!"),"NEW","")))</f>
        <v> </v>
      </c>
      <c r="G2944" s="24" t="str">
        <f>IF(OR(E2944="",E2944="!!!"),"",IF(OR(J2944=0,AND(J2944=1,K2944=1),AND(J2944=1,I2944="SBJ"),AND(J2944=1,I2944=0)),"?IN_FOCUS",IF(J2944&lt;=2,"?ACTIVATED",IF(J2944&lt;&gt;"","?FAMILIAR",IF(F2944="NEW",IF(ISNA(VLOOKUP(E2944,#REF!,1,FALSE())),"?TYPE_IDENTIFIABLE","?REFERENTIAL"),"_")))))</f>
        <v> </v>
      </c>
      <c r="H2944" s="25" t="str">
        <f>IF(J2944&lt;&gt;1,"",IF(I2944="SBJ","CB","?"))</f>
        <v> </v>
      </c>
      <c r="I2944" s="26" t="str">
        <f>IF(OR(E2944="",E2944="!!!",F2944="NEW"),"",INDEX(B2943:B$2,-1+SUMPRODUCT(MAX(ROW(E2943:E$2)*(E2944=E2943:E$2)))))</f>
        <v> </v>
      </c>
      <c r="J2944" s="26" t="str">
        <f>IF(OR(E2944="",E2944="!!!",F2944="NEW"),"",COUNTBLANK(OFFSET(A$1,,,SUMPRODUCT(MAX(ROW(E$2:E2944)*(E2944=E$2:E2944)))))-COUNTBLANK(OFFSET(A$1,,,SUMPRODUCT(MAX(ROW(E$1:E2943)*(E2=E$1:E2943))))))</f>
        <v> </v>
      </c>
      <c r="K2944" s="26" t="str">
        <f>IF(OR(E2944="",E2944="!!!",F2944="NEW"),"",INDEX(J$1:J2943,SUMPRODUCT(MAX(ROW(E$1:E2943)*(E2944=E$1:E2943)))))</f>
        <v> </v>
      </c>
      <c r="L2944" s="27"/>
    </row>
    <row r="2945" spans="1:12">
      <c r="A2945" s="20" t="s">
        <v>1678</v>
      </c>
      <c r="B2945" s="21" t="s">
        <v>755</v>
      </c>
      <c r="C2945" s="21" t="s">
        <v>748</v>
      </c>
      <c r="E2945" s="22">
        <f>IF(D2945="?OLD","!!!","")</f>
        <v/>
      </c>
      <c r="F2945" s="23" t="str">
        <f>IF(OR(E2945="",E2945="!!!"),"",IF(NOT(ISNA(VLOOKUP(E2945,E$1:E2944,1,FALSE()))),"OLD",IF(AND(E2945&lt;&gt;"",E2945&lt;&gt;"!!!"),"NEW","")))</f>
        <v> </v>
      </c>
      <c r="G2945" s="24" t="str">
        <f>IF(OR(E2945="",E2945="!!!"),"",IF(OR(J2945=0,AND(J2945=1,K2945=1),AND(J2945=1,I2945="SBJ"),AND(J2945=1,I2945=0)),"?IN_FOCUS",IF(J2945&lt;=2,"?ACTIVATED",IF(J2945&lt;&gt;"","?FAMILIAR",IF(F2945="NEW",IF(ISNA(VLOOKUP(E2945,#REF!,1,FALSE())),"?TYPE_IDENTIFIABLE","?REFERENTIAL"),"_")))))</f>
        <v> </v>
      </c>
      <c r="H2945" s="25" t="str">
        <f>IF(J2945&lt;&gt;1,"",IF(I2945="SBJ","CB","?"))</f>
        <v> </v>
      </c>
      <c r="I2945" s="26" t="str">
        <f>IF(OR(E2945="",E2945="!!!",F2945="NEW"),"",INDEX(B2944:B$2,-1+SUMPRODUCT(MAX(ROW(E2944:E$2)*(E2945=E2944:E$2)))))</f>
        <v> </v>
      </c>
      <c r="J2945" s="26" t="str">
        <f>IF(OR(E2945="",E2945="!!!",F2945="NEW"),"",COUNTBLANK(OFFSET(A$1,,,SUMPRODUCT(MAX(ROW(E$2:E2945)*(E2945=E$2:E2945)))))-COUNTBLANK(OFFSET(A$1,,,SUMPRODUCT(MAX(ROW(E$1:E2944)*(E2=E$1:E2944))))))</f>
        <v> </v>
      </c>
      <c r="K2945" s="26" t="str">
        <f>IF(OR(E2945="",E2945="!!!",F2945="NEW"),"",INDEX(J$1:J2944,SUMPRODUCT(MAX(ROW(E$1:E2944)*(E2945=E$1:E2944)))))</f>
        <v> </v>
      </c>
      <c r="L2945" s="27"/>
    </row>
    <row r="2946" spans="1:12">
      <c r="A2946" s="20" t="s">
        <v>922</v>
      </c>
      <c r="E2946" s="22">
        <f>IF(D2946="?OLD","!!!","")</f>
        <v/>
      </c>
      <c r="F2946" s="23" t="str">
        <f>IF(OR(E2946="",E2946="!!!"),"",IF(NOT(ISNA(VLOOKUP(E2946,E$1:E2945,1,FALSE()))),"OLD",IF(AND(E2946&lt;&gt;"",E2946&lt;&gt;"!!!"),"NEW","")))</f>
        <v> </v>
      </c>
      <c r="G2946" s="24" t="str">
        <f>IF(OR(E2946="",E2946="!!!"),"",IF(OR(J2946=0,AND(J2946=1,K2946=1),AND(J2946=1,I2946="SBJ"),AND(J2946=1,I2946=0)),"?IN_FOCUS",IF(J2946&lt;=2,"?ACTIVATED",IF(J2946&lt;&gt;"","?FAMILIAR",IF(F2946="NEW",IF(ISNA(VLOOKUP(E2946,#REF!,1,FALSE())),"?TYPE_IDENTIFIABLE","?REFERENTIAL"),"_")))))</f>
        <v> </v>
      </c>
      <c r="H2946" s="25" t="str">
        <f>IF(J2946&lt;&gt;1,"",IF(I2946="SBJ","CB","?"))</f>
        <v> </v>
      </c>
      <c r="I2946" s="26" t="str">
        <f>IF(OR(E2946="",E2946="!!!",F2946="NEW"),"",INDEX(B2945:B$2,-1+SUMPRODUCT(MAX(ROW(E2945:E$2)*(E2946=E2945:E$2)))))</f>
        <v> </v>
      </c>
      <c r="J2946" s="26" t="str">
        <f>IF(OR(E2946="",E2946="!!!",F2946="NEW"),"",COUNTBLANK(OFFSET(A$1,,,SUMPRODUCT(MAX(ROW(E$2:E2946)*(E2946=E$2:E2946)))))-COUNTBLANK(OFFSET(A$1,,,SUMPRODUCT(MAX(ROW(E$1:E2945)*(E2=E$1:E2945))))))</f>
        <v> </v>
      </c>
      <c r="K2946" s="26" t="str">
        <f>IF(OR(E2946="",E2946="!!!",F2946="NEW"),"",INDEX(J$1:J2945,SUMPRODUCT(MAX(ROW(E$1:E2945)*(E2946=E$1:E2945)))))</f>
        <v> </v>
      </c>
      <c r="L2946" s="27"/>
    </row>
    <row r="2947" spans="1:12">
      <c r="A2947" s="20" t="s">
        <v>1796</v>
      </c>
      <c r="B2947" s="21" t="s">
        <v>791</v>
      </c>
      <c r="C2947" s="21" t="s">
        <v>737</v>
      </c>
      <c r="E2947" s="22">
        <f>IF(D2947="?OLD","!!!","")</f>
        <v/>
      </c>
      <c r="F2947" s="23" t="str">
        <f>IF(OR(E2947="",E2947="!!!"),"",IF(NOT(ISNA(VLOOKUP(E2947,E$1:E2946,1,FALSE()))),"OLD",IF(AND(E2947&lt;&gt;"",E2947&lt;&gt;"!!!"),"NEW","")))</f>
        <v> </v>
      </c>
      <c r="G2947" s="24" t="str">
        <f>IF(OR(E2947="",E2947="!!!"),"",IF(OR(J2947=0,AND(J2947=1,K2947=1),AND(J2947=1,I2947="SBJ"),AND(J2947=1,I2947=0)),"?IN_FOCUS",IF(J2947&lt;=2,"?ACTIVATED",IF(J2947&lt;&gt;"","?FAMILIAR",IF(F2947="NEW",IF(ISNA(VLOOKUP(E2947,#REF!,1,FALSE())),"?TYPE_IDENTIFIABLE","?REFERENTIAL"),"_")))))</f>
        <v> </v>
      </c>
      <c r="H2947" s="25" t="str">
        <f>IF(J2947&lt;&gt;1,"",IF(I2947="SBJ","CB","?"))</f>
        <v> </v>
      </c>
      <c r="I2947" s="26" t="str">
        <f>IF(OR(E2947="",E2947="!!!",F2947="NEW"),"",INDEX(B2946:B$2,-1+SUMPRODUCT(MAX(ROW(E2946:E$2)*(E2947=E2946:E$2)))))</f>
        <v> </v>
      </c>
      <c r="J2947" s="26" t="str">
        <f>IF(OR(E2947="",E2947="!!!",F2947="NEW"),"",COUNTBLANK(OFFSET(A$1,,,SUMPRODUCT(MAX(ROW(E$2:E2947)*(E2947=E$2:E2947)))))-COUNTBLANK(OFFSET(A$1,,,SUMPRODUCT(MAX(ROW(E$1:E2946)*(E2=E$1:E2946))))))</f>
        <v> </v>
      </c>
      <c r="K2947" s="26" t="str">
        <f>IF(OR(E2947="",E2947="!!!",F2947="NEW"),"",INDEX(J$1:J2946,SUMPRODUCT(MAX(ROW(E$1:E2946)*(E2947=E$1:E2946)))))</f>
        <v> </v>
      </c>
      <c r="L2947" s="27"/>
    </row>
    <row r="2948" spans="1:12">
      <c r="A2948" s="20" t="s">
        <v>1797</v>
      </c>
      <c r="E2948" s="22">
        <f>IF(D2948="?OLD","!!!","")</f>
        <v/>
      </c>
      <c r="F2948" s="23" t="str">
        <f>IF(OR(E2948="",E2948="!!!"),"",IF(NOT(ISNA(VLOOKUP(E2948,E$1:E2947,1,FALSE()))),"OLD",IF(AND(E2948&lt;&gt;"",E2948&lt;&gt;"!!!"),"NEW","")))</f>
        <v> </v>
      </c>
      <c r="G2948" s="24" t="str">
        <f>IF(OR(E2948="",E2948="!!!"),"",IF(OR(J2948=0,AND(J2948=1,K2948=1),AND(J2948=1,I2948="SBJ"),AND(J2948=1,I2948=0)),"?IN_FOCUS",IF(J2948&lt;=2,"?ACTIVATED",IF(J2948&lt;&gt;"","?FAMILIAR",IF(F2948="NEW",IF(ISNA(VLOOKUP(E2948,#REF!,1,FALSE())),"?TYPE_IDENTIFIABLE","?REFERENTIAL"),"_")))))</f>
        <v> </v>
      </c>
      <c r="H2948" s="25" t="str">
        <f>IF(J2948&lt;&gt;1,"",IF(I2948="SBJ","CB","?"))</f>
        <v> </v>
      </c>
      <c r="I2948" s="26" t="str">
        <f>IF(OR(E2948="",E2948="!!!",F2948="NEW"),"",INDEX(B2947:B$2,-1+SUMPRODUCT(MAX(ROW(E2947:E$2)*(E2948=E2947:E$2)))))</f>
        <v> </v>
      </c>
      <c r="J2948" s="26" t="str">
        <f>IF(OR(E2948="",E2948="!!!",F2948="NEW"),"",COUNTBLANK(OFFSET(A$1,,,SUMPRODUCT(MAX(ROW(E$2:E2948)*(E2948=E$2:E2948)))))-COUNTBLANK(OFFSET(A$1,,,SUMPRODUCT(MAX(ROW(E$1:E2947)*(E2=E$1:E2947))))))</f>
        <v> </v>
      </c>
      <c r="K2948" s="26" t="str">
        <f>IF(OR(E2948="",E2948="!!!",F2948="NEW"),"",INDEX(J$1:J2947,SUMPRODUCT(MAX(ROW(E$1:E2947)*(E2948=E$1:E2947)))))</f>
        <v> </v>
      </c>
      <c r="L2948" s="27"/>
    </row>
    <row r="2949" spans="1:12">
      <c r="A2949" s="20" t="s">
        <v>246</v>
      </c>
      <c r="E2949" s="22">
        <f>IF(D2949="?OLD","!!!","")</f>
        <v/>
      </c>
      <c r="F2949" s="23" t="str">
        <f>IF(OR(E2949="",E2949="!!!"),"",IF(NOT(ISNA(VLOOKUP(E2949,E$1:E2948,1,FALSE()))),"OLD",IF(AND(E2949&lt;&gt;"",E2949&lt;&gt;"!!!"),"NEW","")))</f>
        <v> </v>
      </c>
      <c r="G2949" s="24" t="str">
        <f>IF(OR(E2949="",E2949="!!!"),"",IF(OR(J2949=0,AND(J2949=1,K2949=1),AND(J2949=1,I2949="SBJ"),AND(J2949=1,I2949=0)),"?IN_FOCUS",IF(J2949&lt;=2,"?ACTIVATED",IF(J2949&lt;&gt;"","?FAMILIAR",IF(F2949="NEW",IF(ISNA(VLOOKUP(E2949,#REF!,1,FALSE())),"?TYPE_IDENTIFIABLE","?REFERENTIAL"),"_")))))</f>
        <v> </v>
      </c>
      <c r="H2949" s="25" t="str">
        <f>IF(J2949&lt;&gt;1,"",IF(I2949="SBJ","CB","?"))</f>
        <v> </v>
      </c>
      <c r="I2949" s="26" t="str">
        <f>IF(OR(E2949="",E2949="!!!",F2949="NEW"),"",INDEX(B2948:B$2,-1+SUMPRODUCT(MAX(ROW(E2948:E$2)*(E2949=E2948:E$2)))))</f>
        <v> </v>
      </c>
      <c r="J2949" s="26" t="str">
        <f>IF(OR(E2949="",E2949="!!!",F2949="NEW"),"",COUNTBLANK(OFFSET(A$1,,,SUMPRODUCT(MAX(ROW(E$2:E2949)*(E2949=E$2:E2949)))))-COUNTBLANK(OFFSET(A$1,,,SUMPRODUCT(MAX(ROW(E$1:E2948)*(E2=E$1:E2948))))))</f>
        <v> </v>
      </c>
      <c r="K2949" s="26" t="str">
        <f>IF(OR(E2949="",E2949="!!!",F2949="NEW"),"",INDEX(J$1:J2948,SUMPRODUCT(MAX(ROW(E$1:E2948)*(E2949=E$1:E2948)))))</f>
        <v> </v>
      </c>
      <c r="L2949" s="27"/>
    </row>
    <row r="2950" spans="1:12">
      <c r="A2950" s="20"/>
    </row>
    <row r="2951" spans="1:12">
      <c r="A2951" s="20" t="s">
        <v>1798</v>
      </c>
    </row>
    <row r="2952" spans="1:12">
      <c r="A2952" s="20" t="s">
        <v>1478</v>
      </c>
      <c r="E2952" s="22">
        <f>IF(D2952="?OLD","!!!","")</f>
        <v/>
      </c>
      <c r="F2952" s="23" t="str">
        <f>IF(OR(E2952="",E2952="!!!"),"",IF(NOT(ISNA(VLOOKUP(E2952,E$1:E2951,1,FALSE()))),"OLD",IF(AND(E2952&lt;&gt;"",E2952&lt;&gt;"!!!"),"NEW","")))</f>
        <v> </v>
      </c>
      <c r="G2952" s="24" t="str">
        <f>IF(OR(E2952="",E2952="!!!"),"",IF(OR(J2952=0,AND(J2952=1,K2952=1),AND(J2952=1,I2952="SBJ"),AND(J2952=1,I2952=0)),"?IN_FOCUS",IF(J2952&lt;=2,"?ACTIVATED",IF(J2952&lt;&gt;"","?FAMILIAR",IF(F2952="NEW",IF(ISNA(VLOOKUP(E2952,#REF!,1,FALSE())),"?TYPE_IDENTIFIABLE","?REFERENTIAL"),"_")))))</f>
        <v> </v>
      </c>
      <c r="H2952" s="25" t="str">
        <f>IF(J2952&lt;&gt;1,"",IF(I2952="SBJ","CB","?"))</f>
        <v> </v>
      </c>
      <c r="I2952" s="26" t="str">
        <f>IF(OR(E2952="",E2952="!!!",F2952="NEW"),"",INDEX(B2951:B$2,-1+SUMPRODUCT(MAX(ROW(E2951:E$2)*(E2952=E2951:E$2)))))</f>
        <v> </v>
      </c>
      <c r="J2952" s="26" t="str">
        <f>IF(OR(E2952="",E2952="!!!",F2952="NEW"),"",COUNTBLANK(OFFSET(A$1,,,SUMPRODUCT(MAX(ROW(E$2:E2952)*(E2952=E$2:E2952)))))-COUNTBLANK(OFFSET(A$1,,,SUMPRODUCT(MAX(ROW(E$1:E2951)*(E2=E$1:E2951))))))</f>
        <v> </v>
      </c>
      <c r="K2952" s="26" t="str">
        <f>IF(OR(E2952="",E2952="!!!",F2952="NEW"),"",INDEX(J$1:J2951,SUMPRODUCT(MAX(ROW(E$1:E2951)*(E2952=E$1:E2951)))))</f>
        <v> </v>
      </c>
      <c r="L2952" s="27"/>
    </row>
    <row r="2953" spans="1:12">
      <c r="A2953" s="20" t="s">
        <v>859</v>
      </c>
      <c r="B2953" s="21" t="s">
        <v>728</v>
      </c>
      <c r="C2953" s="21" t="s">
        <v>789</v>
      </c>
      <c r="D2953" s="21" t="s">
        <v>730</v>
      </c>
      <c r="E2953" s="22">
        <f>IF(D2953="?OLD","!!!","")</f>
        <v/>
      </c>
      <c r="F2953" s="23" t="str">
        <f>IF(OR(E2953="",E2953="!!!"),"",IF(NOT(ISNA(VLOOKUP(E2953,E$1:E2952,1,FALSE()))),"OLD",IF(AND(E2953&lt;&gt;"",E2953&lt;&gt;"!!!"),"NEW","")))</f>
        <v> </v>
      </c>
      <c r="G2953" s="24" t="str">
        <f>IF(OR(E2953="",E2953="!!!"),"",IF(OR(J2953=0,AND(J2953=1,K2953=1),AND(J2953=1,I2953="SBJ"),AND(J2953=1,I2953=0)),"?IN_FOCUS",IF(J2953&lt;=2,"?ACTIVATED",IF(J2953&lt;&gt;"","?FAMILIAR",IF(F2953="NEW",IF(ISNA(VLOOKUP(E2953,#REF!,1,FALSE())),"?TYPE_IDENTIFIABLE","?REFERENTIAL"),"_")))))</f>
        <v> </v>
      </c>
      <c r="H2953" s="25" t="str">
        <f>IF(J2953&lt;&gt;1,"",IF(I2953="SBJ","CB","?"))</f>
        <v> </v>
      </c>
      <c r="I2953" s="26" t="str">
        <f>IF(OR(E2953="",E2953="!!!",F2953="NEW"),"",INDEX(B2952:B$2,-1+SUMPRODUCT(MAX(ROW(E2952:E$2)*(E2953=E2952:E$2)))))</f>
        <v> </v>
      </c>
      <c r="J2953" s="26" t="str">
        <f>IF(OR(E2953="",E2953="!!!",F2953="NEW"),"",COUNTBLANK(OFFSET(A$1,,,SUMPRODUCT(MAX(ROW(E$2:E2953)*(E2953=E$2:E2953)))))-COUNTBLANK(OFFSET(A$1,,,SUMPRODUCT(MAX(ROW(E$1:E2952)*(E2=E$1:E2952))))))</f>
        <v> </v>
      </c>
      <c r="K2953" s="26" t="str">
        <f>IF(OR(E2953="",E2953="!!!",F2953="NEW"),"",INDEX(J$1:J2952,SUMPRODUCT(MAX(ROW(E$1:E2952)*(E2953=E$1:E2952)))))</f>
        <v> </v>
      </c>
      <c r="L2953" s="27"/>
    </row>
    <row r="2954" spans="1:12">
      <c r="A2954" s="20" t="s">
        <v>440</v>
      </c>
      <c r="E2954" s="22">
        <f>IF(D2954="?OLD","!!!","")</f>
        <v/>
      </c>
      <c r="F2954" s="23" t="str">
        <f>IF(OR(E2954="",E2954="!!!"),"",IF(NOT(ISNA(VLOOKUP(E2954,E$1:E2953,1,FALSE()))),"OLD",IF(AND(E2954&lt;&gt;"",E2954&lt;&gt;"!!!"),"NEW","")))</f>
        <v> </v>
      </c>
      <c r="G2954" s="24" t="str">
        <f>IF(OR(E2954="",E2954="!!!"),"",IF(OR(J2954=0,AND(J2954=1,K2954=1),AND(J2954=1,I2954="SBJ"),AND(J2954=1,I2954=0)),"?IN_FOCUS",IF(J2954&lt;=2,"?ACTIVATED",IF(J2954&lt;&gt;"","?FAMILIAR",IF(F2954="NEW",IF(ISNA(VLOOKUP(E2954,#REF!,1,FALSE())),"?TYPE_IDENTIFIABLE","?REFERENTIAL"),"_")))))</f>
        <v> </v>
      </c>
      <c r="H2954" s="25" t="str">
        <f>IF(J2954&lt;&gt;1,"",IF(I2954="SBJ","CB","?"))</f>
        <v> </v>
      </c>
      <c r="I2954" s="26" t="str">
        <f>IF(OR(E2954="",E2954="!!!",F2954="NEW"),"",INDEX(B2953:B$2,-1+SUMPRODUCT(MAX(ROW(E2953:E$2)*(E2954=E2953:E$2)))))</f>
        <v> </v>
      </c>
      <c r="J2954" s="26" t="str">
        <f>IF(OR(E2954="",E2954="!!!",F2954="NEW"),"",COUNTBLANK(OFFSET(A$1,,,SUMPRODUCT(MAX(ROW(E$2:E2954)*(E2954=E$2:E2954)))))-COUNTBLANK(OFFSET(A$1,,,SUMPRODUCT(MAX(ROW(E$1:E2953)*(E2=E$1:E2953))))))</f>
        <v> </v>
      </c>
      <c r="K2954" s="26" t="str">
        <f>IF(OR(E2954="",E2954="!!!",F2954="NEW"),"",INDEX(J$1:J2953,SUMPRODUCT(MAX(ROW(E$1:E2953)*(E2954=E$1:E2953)))))</f>
        <v> </v>
      </c>
      <c r="L2954" s="27"/>
    </row>
    <row r="2955" spans="1:12">
      <c r="A2955" s="20" t="s">
        <v>943</v>
      </c>
      <c r="B2955" s="21" t="s">
        <v>728</v>
      </c>
      <c r="C2955" s="21" t="s">
        <v>756</v>
      </c>
      <c r="E2955" s="22">
        <f>IF(D2955="?OLD","!!!","")</f>
        <v/>
      </c>
      <c r="F2955" s="23" t="str">
        <f>IF(OR(E2955="",E2955="!!!"),"",IF(NOT(ISNA(VLOOKUP(E2955,E$1:E2954,1,FALSE()))),"OLD",IF(AND(E2955&lt;&gt;"",E2955&lt;&gt;"!!!"),"NEW","")))</f>
        <v> </v>
      </c>
      <c r="G2955" s="24" t="str">
        <f>IF(OR(E2955="",E2955="!!!"),"",IF(OR(J2955=0,AND(J2955=1,K2955=1),AND(J2955=1,I2955="SBJ"),AND(J2955=1,I2955=0)),"?IN_FOCUS",IF(J2955&lt;=2,"?ACTIVATED",IF(J2955&lt;&gt;"","?FAMILIAR",IF(F2955="NEW",IF(ISNA(VLOOKUP(E2955,#REF!,1,FALSE())),"?TYPE_IDENTIFIABLE","?REFERENTIAL"),"_")))))</f>
        <v> </v>
      </c>
      <c r="H2955" s="25" t="str">
        <f>IF(J2955&lt;&gt;1,"",IF(I2955="SBJ","CB","?"))</f>
        <v> </v>
      </c>
      <c r="I2955" s="26" t="str">
        <f>IF(OR(E2955="",E2955="!!!",F2955="NEW"),"",INDEX(B2954:B$2,-1+SUMPRODUCT(MAX(ROW(E2954:E$2)*(E2955=E2954:E$2)))))</f>
        <v> </v>
      </c>
      <c r="J2955" s="26" t="str">
        <f>IF(OR(E2955="",E2955="!!!",F2955="NEW"),"",COUNTBLANK(OFFSET(A$1,,,SUMPRODUCT(MAX(ROW(E$2:E2955)*(E2955=E$2:E2955)))))-COUNTBLANK(OFFSET(A$1,,,SUMPRODUCT(MAX(ROW(E$1:E2954)*(E2=E$1:E2954))))))</f>
        <v> </v>
      </c>
      <c r="K2955" s="26" t="str">
        <f>IF(OR(E2955="",E2955="!!!",F2955="NEW"),"",INDEX(J$1:J2954,SUMPRODUCT(MAX(ROW(E$1:E2954)*(E2955=E$1:E2954)))))</f>
        <v> </v>
      </c>
      <c r="L2955" s="27"/>
    </row>
    <row r="2956" spans="1:12">
      <c r="A2956" s="20" t="s">
        <v>1799</v>
      </c>
      <c r="B2956" s="21" t="s">
        <v>764</v>
      </c>
      <c r="C2956" s="21" t="s">
        <v>801</v>
      </c>
      <c r="D2956" s="21" t="s">
        <v>730</v>
      </c>
      <c r="E2956" s="22">
        <f>IF(D2956="?OLD","!!!","")</f>
        <v/>
      </c>
      <c r="F2956" s="23" t="str">
        <f>IF(OR(E2956="",E2956="!!!"),"",IF(NOT(ISNA(VLOOKUP(E2956,E$1:E2955,1,FALSE()))),"OLD",IF(AND(E2956&lt;&gt;"",E2956&lt;&gt;"!!!"),"NEW","")))</f>
        <v> </v>
      </c>
      <c r="G2956" s="24" t="str">
        <f>IF(OR(E2956="",E2956="!!!"),"",IF(OR(J2956=0,AND(J2956=1,K2956=1),AND(J2956=1,I2956="SBJ"),AND(J2956=1,I2956=0)),"?IN_FOCUS",IF(J2956&lt;=2,"?ACTIVATED",IF(J2956&lt;&gt;"","?FAMILIAR",IF(F2956="NEW",IF(ISNA(VLOOKUP(E2956,#REF!,1,FALSE())),"?TYPE_IDENTIFIABLE","?REFERENTIAL"),"_")))))</f>
        <v> </v>
      </c>
      <c r="H2956" s="25" t="str">
        <f>IF(J2956&lt;&gt;1,"",IF(I2956="SBJ","CB","?"))</f>
        <v> </v>
      </c>
      <c r="I2956" s="26" t="str">
        <f>IF(OR(E2956="",E2956="!!!",F2956="NEW"),"",INDEX(B2955:B$2,-1+SUMPRODUCT(MAX(ROW(E2955:E$2)*(E2956=E2955:E$2)))))</f>
        <v> </v>
      </c>
      <c r="J2956" s="26" t="str">
        <f>IF(OR(E2956="",E2956="!!!",F2956="NEW"),"",COUNTBLANK(OFFSET(A$1,,,SUMPRODUCT(MAX(ROW(E$2:E2956)*(E2956=E$2:E2956)))))-COUNTBLANK(OFFSET(A$1,,,SUMPRODUCT(MAX(ROW(E$1:E2955)*(E2=E$1:E2955))))))</f>
        <v> </v>
      </c>
      <c r="K2956" s="26" t="str">
        <f>IF(OR(E2956="",E2956="!!!",F2956="NEW"),"",INDEX(J$1:J2955,SUMPRODUCT(MAX(ROW(E$1:E2955)*(E2956=E$1:E2955)))))</f>
        <v> </v>
      </c>
      <c r="L2956" s="27"/>
    </row>
    <row r="2957" spans="1:12">
      <c r="A2957" s="20" t="s">
        <v>732</v>
      </c>
      <c r="E2957" s="22">
        <f>IF(D2957="?OLD","!!!","")</f>
        <v/>
      </c>
      <c r="F2957" s="23" t="str">
        <f>IF(OR(E2957="",E2957="!!!"),"",IF(NOT(ISNA(VLOOKUP(E2957,E$1:E2956,1,FALSE()))),"OLD",IF(AND(E2957&lt;&gt;"",E2957&lt;&gt;"!!!"),"NEW","")))</f>
        <v> </v>
      </c>
      <c r="G2957" s="24" t="str">
        <f>IF(OR(E2957="",E2957="!!!"),"",IF(OR(J2957=0,AND(J2957=1,K2957=1),AND(J2957=1,I2957="SBJ"),AND(J2957=1,I2957=0)),"?IN_FOCUS",IF(J2957&lt;=2,"?ACTIVATED",IF(J2957&lt;&gt;"","?FAMILIAR",IF(F2957="NEW",IF(ISNA(VLOOKUP(E2957,#REF!,1,FALSE())),"?TYPE_IDENTIFIABLE","?REFERENTIAL"),"_")))))</f>
        <v> </v>
      </c>
      <c r="H2957" s="25" t="str">
        <f>IF(J2957&lt;&gt;1,"",IF(I2957="SBJ","CB","?"))</f>
        <v> </v>
      </c>
      <c r="I2957" s="26" t="str">
        <f>IF(OR(E2957="",E2957="!!!",F2957="NEW"),"",INDEX(B2956:B$2,-1+SUMPRODUCT(MAX(ROW(E2956:E$2)*(E2957=E2956:E$2)))))</f>
        <v> </v>
      </c>
      <c r="J2957" s="26" t="str">
        <f>IF(OR(E2957="",E2957="!!!",F2957="NEW"),"",COUNTBLANK(OFFSET(A$1,,,SUMPRODUCT(MAX(ROW(E$2:E2957)*(E2957=E$2:E2957)))))-COUNTBLANK(OFFSET(A$1,,,SUMPRODUCT(MAX(ROW(E$1:E2956)*(E2=E$1:E2956))))))</f>
        <v> </v>
      </c>
      <c r="K2957" s="26" t="str">
        <f>IF(OR(E2957="",E2957="!!!",F2957="NEW"),"",INDEX(J$1:J2956,SUMPRODUCT(MAX(ROW(E$1:E2956)*(E2957=E$1:E2956)))))</f>
        <v> </v>
      </c>
      <c r="L2957" s="27"/>
    </row>
    <row r="2958" spans="1:12">
      <c r="A2958" s="20" t="s">
        <v>1576</v>
      </c>
      <c r="E2958" s="22">
        <f>IF(D2958="?OLD","!!!","")</f>
        <v/>
      </c>
      <c r="F2958" s="23" t="str">
        <f>IF(OR(E2958="",E2958="!!!"),"",IF(NOT(ISNA(VLOOKUP(E2958,E$1:E2957,1,FALSE()))),"OLD",IF(AND(E2958&lt;&gt;"",E2958&lt;&gt;"!!!"),"NEW","")))</f>
        <v> </v>
      </c>
      <c r="G2958" s="24" t="str">
        <f>IF(OR(E2958="",E2958="!!!"),"",IF(OR(J2958=0,AND(J2958=1,K2958=1),AND(J2958=1,I2958="SBJ"),AND(J2958=1,I2958=0)),"?IN_FOCUS",IF(J2958&lt;=2,"?ACTIVATED",IF(J2958&lt;&gt;"","?FAMILIAR",IF(F2958="NEW",IF(ISNA(VLOOKUP(E2958,#REF!,1,FALSE())),"?TYPE_IDENTIFIABLE","?REFERENTIAL"),"_")))))</f>
        <v> </v>
      </c>
      <c r="H2958" s="25" t="str">
        <f>IF(J2958&lt;&gt;1,"",IF(I2958="SBJ","CB","?"))</f>
        <v> </v>
      </c>
      <c r="I2958" s="26" t="str">
        <f>IF(OR(E2958="",E2958="!!!",F2958="NEW"),"",INDEX(B2957:B$2,-1+SUMPRODUCT(MAX(ROW(E2957:E$2)*(E2958=E2957:E$2)))))</f>
        <v> </v>
      </c>
      <c r="J2958" s="26" t="str">
        <f>IF(OR(E2958="",E2958="!!!",F2958="NEW"),"",COUNTBLANK(OFFSET(A$1,,,SUMPRODUCT(MAX(ROW(E$2:E2958)*(E2958=E$2:E2958)))))-COUNTBLANK(OFFSET(A$1,,,SUMPRODUCT(MAX(ROW(E$1:E2957)*(E2=E$1:E2957))))))</f>
        <v> </v>
      </c>
      <c r="K2958" s="26" t="str">
        <f>IF(OR(E2958="",E2958="!!!",F2958="NEW"),"",INDEX(J$1:J2957,SUMPRODUCT(MAX(ROW(E$1:E2957)*(E2958=E$1:E2957)))))</f>
        <v> </v>
      </c>
      <c r="L2958" s="27"/>
    </row>
    <row r="2959" spans="1:12">
      <c r="A2959" s="20" t="s">
        <v>48</v>
      </c>
      <c r="E2959" s="22">
        <f>IF(D2959="?OLD","!!!","")</f>
        <v/>
      </c>
      <c r="F2959" s="23" t="str">
        <f>IF(OR(E2959="",E2959="!!!"),"",IF(NOT(ISNA(VLOOKUP(E2959,E$1:E2958,1,FALSE()))),"OLD",IF(AND(E2959&lt;&gt;"",E2959&lt;&gt;"!!!"),"NEW","")))</f>
        <v> </v>
      </c>
      <c r="G2959" s="24" t="str">
        <f>IF(OR(E2959="",E2959="!!!"),"",IF(OR(J2959=0,AND(J2959=1,K2959=1),AND(J2959=1,I2959="SBJ"),AND(J2959=1,I2959=0)),"?IN_FOCUS",IF(J2959&lt;=2,"?ACTIVATED",IF(J2959&lt;&gt;"","?FAMILIAR",IF(F2959="NEW",IF(ISNA(VLOOKUP(E2959,#REF!,1,FALSE())),"?TYPE_IDENTIFIABLE","?REFERENTIAL"),"_")))))</f>
        <v> </v>
      </c>
      <c r="H2959" s="25" t="str">
        <f>IF(J2959&lt;&gt;1,"",IF(I2959="SBJ","CB","?"))</f>
        <v> </v>
      </c>
      <c r="I2959" s="26" t="str">
        <f>IF(OR(E2959="",E2959="!!!",F2959="NEW"),"",INDEX(B2958:B$2,-1+SUMPRODUCT(MAX(ROW(E2958:E$2)*(E2959=E2958:E$2)))))</f>
        <v> </v>
      </c>
      <c r="J2959" s="26" t="str">
        <f>IF(OR(E2959="",E2959="!!!",F2959="NEW"),"",COUNTBLANK(OFFSET(A$1,,,SUMPRODUCT(MAX(ROW(E$2:E2959)*(E2959=E$2:E2959)))))-COUNTBLANK(OFFSET(A$1,,,SUMPRODUCT(MAX(ROW(E$1:E2958)*(E2=E$1:E2958))))))</f>
        <v> </v>
      </c>
      <c r="K2959" s="26" t="str">
        <f>IF(OR(E2959="",E2959="!!!",F2959="NEW"),"",INDEX(J$1:J2958,SUMPRODUCT(MAX(ROW(E$1:E2958)*(E2959=E$1:E2958)))))</f>
        <v> </v>
      </c>
      <c r="L2959" s="27"/>
    </row>
    <row r="2960" spans="1:12">
      <c r="A2960" s="20" t="s">
        <v>1029</v>
      </c>
      <c r="E2960" s="22">
        <f>IF(D2960="?OLD","!!!","")</f>
        <v/>
      </c>
      <c r="F2960" s="23" t="str">
        <f>IF(OR(E2960="",E2960="!!!"),"",IF(NOT(ISNA(VLOOKUP(E2960,E$1:E2959,1,FALSE()))),"OLD",IF(AND(E2960&lt;&gt;"",E2960&lt;&gt;"!!!"),"NEW","")))</f>
        <v> </v>
      </c>
      <c r="G2960" s="24" t="str">
        <f>IF(OR(E2960="",E2960="!!!"),"",IF(OR(J2960=0,AND(J2960=1,K2960=1),AND(J2960=1,I2960="SBJ"),AND(J2960=1,I2960=0)),"?IN_FOCUS",IF(J2960&lt;=2,"?ACTIVATED",IF(J2960&lt;&gt;"","?FAMILIAR",IF(F2960="NEW",IF(ISNA(VLOOKUP(E2960,#REF!,1,FALSE())),"?TYPE_IDENTIFIABLE","?REFERENTIAL"),"_")))))</f>
        <v> </v>
      </c>
      <c r="H2960" s="25" t="str">
        <f>IF(J2960&lt;&gt;1,"",IF(I2960="SBJ","CB","?"))</f>
        <v> </v>
      </c>
      <c r="I2960" s="26" t="str">
        <f>IF(OR(E2960="",E2960="!!!",F2960="NEW"),"",INDEX(B2959:B$2,-1+SUMPRODUCT(MAX(ROW(E2959:E$2)*(E2960=E2959:E$2)))))</f>
        <v> </v>
      </c>
      <c r="J2960" s="26" t="str">
        <f>IF(OR(E2960="",E2960="!!!",F2960="NEW"),"",COUNTBLANK(OFFSET(A$1,,,SUMPRODUCT(MAX(ROW(E$2:E2960)*(E2960=E$2:E2960)))))-COUNTBLANK(OFFSET(A$1,,,SUMPRODUCT(MAX(ROW(E$1:E2959)*(E2=E$1:E2959))))))</f>
        <v> </v>
      </c>
      <c r="K2960" s="26" t="str">
        <f>IF(OR(E2960="",E2960="!!!",F2960="NEW"),"",INDEX(J$1:J2959,SUMPRODUCT(MAX(ROW(E$1:E2959)*(E2960=E$1:E2959)))))</f>
        <v> </v>
      </c>
      <c r="L2960" s="27"/>
    </row>
    <row r="2961" spans="1:12">
      <c r="A2961" s="20" t="s">
        <v>56</v>
      </c>
      <c r="E2961" s="22">
        <f>IF(D2961="?OLD","!!!","")</f>
        <v/>
      </c>
      <c r="F2961" s="23" t="str">
        <f>IF(OR(E2961="",E2961="!!!"),"",IF(NOT(ISNA(VLOOKUP(E2961,E$1:E2960,1,FALSE()))),"OLD",IF(AND(E2961&lt;&gt;"",E2961&lt;&gt;"!!!"),"NEW","")))</f>
        <v> </v>
      </c>
      <c r="G2961" s="24" t="str">
        <f>IF(OR(E2961="",E2961="!!!"),"",IF(OR(J2961=0,AND(J2961=1,K2961=1),AND(J2961=1,I2961="SBJ"),AND(J2961=1,I2961=0)),"?IN_FOCUS",IF(J2961&lt;=2,"?ACTIVATED",IF(J2961&lt;&gt;"","?FAMILIAR",IF(F2961="NEW",IF(ISNA(VLOOKUP(E2961,#REF!,1,FALSE())),"?TYPE_IDENTIFIABLE","?REFERENTIAL"),"_")))))</f>
        <v> </v>
      </c>
      <c r="H2961" s="25" t="str">
        <f>IF(J2961&lt;&gt;1,"",IF(I2961="SBJ","CB","?"))</f>
        <v> </v>
      </c>
      <c r="I2961" s="26" t="str">
        <f>IF(OR(E2961="",E2961="!!!",F2961="NEW"),"",INDEX(B2960:B$2,-1+SUMPRODUCT(MAX(ROW(E2960:E$2)*(E2961=E2960:E$2)))))</f>
        <v> </v>
      </c>
      <c r="J2961" s="26" t="str">
        <f>IF(OR(E2961="",E2961="!!!",F2961="NEW"),"",COUNTBLANK(OFFSET(A$1,,,SUMPRODUCT(MAX(ROW(E$2:E2961)*(E2961=E$2:E2961)))))-COUNTBLANK(OFFSET(A$1,,,SUMPRODUCT(MAX(ROW(E$1:E2960)*(E2=E$1:E2960))))))</f>
        <v> </v>
      </c>
      <c r="K2961" s="26" t="str">
        <f>IF(OR(E2961="",E2961="!!!",F2961="NEW"),"",INDEX(J$1:J2960,SUMPRODUCT(MAX(ROW(E$1:E2960)*(E2961=E$1:E2960)))))</f>
        <v> </v>
      </c>
      <c r="L2961" s="27"/>
    </row>
    <row r="2962" spans="1:12">
      <c r="A2962" s="20" t="s">
        <v>1678</v>
      </c>
      <c r="B2962" s="21" t="s">
        <v>736</v>
      </c>
      <c r="C2962" s="21" t="s">
        <v>967</v>
      </c>
      <c r="E2962" s="22">
        <f>IF(D2962="?OLD","!!!","")</f>
        <v/>
      </c>
      <c r="F2962" s="23" t="str">
        <f>IF(OR(E2962="",E2962="!!!"),"",IF(NOT(ISNA(VLOOKUP(E2962,E$1:E2961,1,FALSE()))),"OLD",IF(AND(E2962&lt;&gt;"",E2962&lt;&gt;"!!!"),"NEW","")))</f>
        <v> </v>
      </c>
      <c r="G2962" s="24" t="str">
        <f>IF(OR(E2962="",E2962="!!!"),"",IF(OR(J2962=0,AND(J2962=1,K2962=1),AND(J2962=1,I2962="SBJ"),AND(J2962=1,I2962=0)),"?IN_FOCUS",IF(J2962&lt;=2,"?ACTIVATED",IF(J2962&lt;&gt;"","?FAMILIAR",IF(F2962="NEW",IF(ISNA(VLOOKUP(E2962,#REF!,1,FALSE())),"?TYPE_IDENTIFIABLE","?REFERENTIAL"),"_")))))</f>
        <v> </v>
      </c>
      <c r="H2962" s="25" t="str">
        <f>IF(J2962&lt;&gt;1,"",IF(I2962="SBJ","CB","?"))</f>
        <v> </v>
      </c>
      <c r="I2962" s="26" t="str">
        <f>IF(OR(E2962="",E2962="!!!",F2962="NEW"),"",INDEX(B2961:B$2,-1+SUMPRODUCT(MAX(ROW(E2961:E$2)*(E2962=E2961:E$2)))))</f>
        <v> </v>
      </c>
      <c r="J2962" s="26" t="str">
        <f>IF(OR(E2962="",E2962="!!!",F2962="NEW"),"",COUNTBLANK(OFFSET(A$1,,,SUMPRODUCT(MAX(ROW(E$2:E2962)*(E2962=E$2:E2962)))))-COUNTBLANK(OFFSET(A$1,,,SUMPRODUCT(MAX(ROW(E$1:E2961)*(E2=E$1:E2961))))))</f>
        <v> </v>
      </c>
      <c r="K2962" s="26" t="str">
        <f>IF(OR(E2962="",E2962="!!!",F2962="NEW"),"",INDEX(J$1:J2961,SUMPRODUCT(MAX(ROW(E$1:E2961)*(E2962=E$1:E2961)))))</f>
        <v> </v>
      </c>
      <c r="L2962" s="27"/>
    </row>
    <row r="2963" spans="1:12">
      <c r="A2963" s="20" t="s">
        <v>1037</v>
      </c>
      <c r="E2963" s="22">
        <f>IF(D2963="?OLD","!!!","")</f>
        <v/>
      </c>
      <c r="F2963" s="23" t="str">
        <f>IF(OR(E2963="",E2963="!!!"),"",IF(NOT(ISNA(VLOOKUP(E2963,E$1:E2962,1,FALSE()))),"OLD",IF(AND(E2963&lt;&gt;"",E2963&lt;&gt;"!!!"),"NEW","")))</f>
        <v> </v>
      </c>
      <c r="G2963" s="24" t="str">
        <f>IF(OR(E2963="",E2963="!!!"),"",IF(OR(J2963=0,AND(J2963=1,K2963=1),AND(J2963=1,I2963="SBJ"),AND(J2963=1,I2963=0)),"?IN_FOCUS",IF(J2963&lt;=2,"?ACTIVATED",IF(J2963&lt;&gt;"","?FAMILIAR",IF(F2963="NEW",IF(ISNA(VLOOKUP(E2963,#REF!,1,FALSE())),"?TYPE_IDENTIFIABLE","?REFERENTIAL"),"_")))))</f>
        <v> </v>
      </c>
      <c r="H2963" s="25" t="str">
        <f>IF(J2963&lt;&gt;1,"",IF(I2963="SBJ","CB","?"))</f>
        <v> </v>
      </c>
      <c r="I2963" s="26" t="str">
        <f>IF(OR(E2963="",E2963="!!!",F2963="NEW"),"",INDEX(B2962:B$2,-1+SUMPRODUCT(MAX(ROW(E2962:E$2)*(E2963=E2962:E$2)))))</f>
        <v> </v>
      </c>
      <c r="J2963" s="26" t="str">
        <f>IF(OR(E2963="",E2963="!!!",F2963="NEW"),"",COUNTBLANK(OFFSET(A$1,,,SUMPRODUCT(MAX(ROW(E$2:E2963)*(E2963=E$2:E2963)))))-COUNTBLANK(OFFSET(A$1,,,SUMPRODUCT(MAX(ROW(E$1:E2962)*(E2=E$1:E2962))))))</f>
        <v> </v>
      </c>
      <c r="K2963" s="26" t="str">
        <f>IF(OR(E2963="",E2963="!!!",F2963="NEW"),"",INDEX(J$1:J2962,SUMPRODUCT(MAX(ROW(E$1:E2962)*(E2963=E$1:E2962)))))</f>
        <v> </v>
      </c>
      <c r="L2963" s="27"/>
    </row>
    <row r="2964" spans="1:12">
      <c r="A2964" s="20" t="s">
        <v>759</v>
      </c>
      <c r="E2964" s="22">
        <f>IF(D2964="?OLD","!!!","")</f>
        <v/>
      </c>
      <c r="F2964" s="23" t="str">
        <f>IF(OR(E2964="",E2964="!!!"),"",IF(NOT(ISNA(VLOOKUP(E2964,E$1:E2963,1,FALSE()))),"OLD",IF(AND(E2964&lt;&gt;"",E2964&lt;&gt;"!!!"),"NEW","")))</f>
        <v> </v>
      </c>
      <c r="G2964" s="24" t="str">
        <f>IF(OR(E2964="",E2964="!!!"),"",IF(OR(J2964=0,AND(J2964=1,K2964=1),AND(J2964=1,I2964="SBJ"),AND(J2964=1,I2964=0)),"?IN_FOCUS",IF(J2964&lt;=2,"?ACTIVATED",IF(J2964&lt;&gt;"","?FAMILIAR",IF(F2964="NEW",IF(ISNA(VLOOKUP(E2964,#REF!,1,FALSE())),"?TYPE_IDENTIFIABLE","?REFERENTIAL"),"_")))))</f>
        <v> </v>
      </c>
      <c r="H2964" s="25" t="str">
        <f>IF(J2964&lt;&gt;1,"",IF(I2964="SBJ","CB","?"))</f>
        <v> </v>
      </c>
      <c r="I2964" s="26" t="str">
        <f>IF(OR(E2964="",E2964="!!!",F2964="NEW"),"",INDEX(B2963:B$2,-1+SUMPRODUCT(MAX(ROW(E2963:E$2)*(E2964=E2963:E$2)))))</f>
        <v> </v>
      </c>
      <c r="J2964" s="26" t="str">
        <f>IF(OR(E2964="",E2964="!!!",F2964="NEW"),"",COUNTBLANK(OFFSET(A$1,,,SUMPRODUCT(MAX(ROW(E$2:E2964)*(E2964=E$2:E2964)))))-COUNTBLANK(OFFSET(A$1,,,SUMPRODUCT(MAX(ROW(E$1:E2963)*(E2=E$1:E2963))))))</f>
        <v> </v>
      </c>
      <c r="K2964" s="26" t="str">
        <f>IF(OR(E2964="",E2964="!!!",F2964="NEW"),"",INDEX(J$1:J2963,SUMPRODUCT(MAX(ROW(E$1:E2963)*(E2964=E$1:E2963)))))</f>
        <v> </v>
      </c>
      <c r="L2964" s="27"/>
    </row>
    <row r="2965" spans="1:12">
      <c r="A2965" s="20" t="s">
        <v>813</v>
      </c>
      <c r="B2965" s="21" t="s">
        <v>796</v>
      </c>
      <c r="E2965" s="22">
        <f>IF(D2965="?OLD","!!!","")</f>
        <v/>
      </c>
      <c r="F2965" s="23" t="str">
        <f>IF(OR(E2965="",E2965="!!!"),"",IF(NOT(ISNA(VLOOKUP(E2965,E$1:E2964,1,FALSE()))),"OLD",IF(AND(E2965&lt;&gt;"",E2965&lt;&gt;"!!!"),"NEW","")))</f>
        <v> </v>
      </c>
      <c r="G2965" s="24" t="str">
        <f>IF(OR(E2965="",E2965="!!!"),"",IF(OR(J2965=0,AND(J2965=1,K2965=1),AND(J2965=1,I2965="SBJ"),AND(J2965=1,I2965=0)),"?IN_FOCUS",IF(J2965&lt;=2,"?ACTIVATED",IF(J2965&lt;&gt;"","?FAMILIAR",IF(F2965="NEW",IF(ISNA(VLOOKUP(E2965,#REF!,1,FALSE())),"?TYPE_IDENTIFIABLE","?REFERENTIAL"),"_")))))</f>
        <v> </v>
      </c>
      <c r="H2965" s="25" t="str">
        <f>IF(J2965&lt;&gt;1,"",IF(I2965="SBJ","CB","?"))</f>
        <v> </v>
      </c>
      <c r="I2965" s="26" t="str">
        <f>IF(OR(E2965="",E2965="!!!",F2965="NEW"),"",INDEX(B2964:B$2,-1+SUMPRODUCT(MAX(ROW(E2964:E$2)*(E2965=E2964:E$2)))))</f>
        <v> </v>
      </c>
      <c r="J2965" s="26" t="str">
        <f>IF(OR(E2965="",E2965="!!!",F2965="NEW"),"",COUNTBLANK(OFFSET(A$1,,,SUMPRODUCT(MAX(ROW(E$2:E2965)*(E2965=E$2:E2965)))))-COUNTBLANK(OFFSET(A$1,,,SUMPRODUCT(MAX(ROW(E$1:E2964)*(E2=E$1:E2964))))))</f>
        <v> </v>
      </c>
      <c r="K2965" s="26" t="str">
        <f>IF(OR(E2965="",E2965="!!!",F2965="NEW"),"",INDEX(J$1:J2964,SUMPRODUCT(MAX(ROW(E$1:E2964)*(E2965=E$1:E2964)))))</f>
        <v> </v>
      </c>
      <c r="L2965" s="27"/>
    </row>
    <row r="2966" spans="1:12">
      <c r="A2966" s="20" t="s">
        <v>1800</v>
      </c>
      <c r="B2966" s="21" t="s">
        <v>791</v>
      </c>
      <c r="C2966" s="21" t="s">
        <v>748</v>
      </c>
      <c r="E2966" s="22">
        <f>IF(D2966="?OLD","!!!","")</f>
        <v/>
      </c>
      <c r="F2966" s="23" t="str">
        <f>IF(OR(E2966="",E2966="!!!"),"",IF(NOT(ISNA(VLOOKUP(E2966,E$1:E2965,1,FALSE()))),"OLD",IF(AND(E2966&lt;&gt;"",E2966&lt;&gt;"!!!"),"NEW","")))</f>
        <v> </v>
      </c>
      <c r="G2966" s="24" t="str">
        <f>IF(OR(E2966="",E2966="!!!"),"",IF(OR(J2966=0,AND(J2966=1,K2966=1),AND(J2966=1,I2966="SBJ"),AND(J2966=1,I2966=0)),"?IN_FOCUS",IF(J2966&lt;=2,"?ACTIVATED",IF(J2966&lt;&gt;"","?FAMILIAR",IF(F2966="NEW",IF(ISNA(VLOOKUP(E2966,#REF!,1,FALSE())),"?TYPE_IDENTIFIABLE","?REFERENTIAL"),"_")))))</f>
        <v> </v>
      </c>
      <c r="H2966" s="25" t="str">
        <f>IF(J2966&lt;&gt;1,"",IF(I2966="SBJ","CB","?"))</f>
        <v> </v>
      </c>
      <c r="I2966" s="26" t="str">
        <f>IF(OR(E2966="",E2966="!!!",F2966="NEW"),"",INDEX(B2965:B$2,-1+SUMPRODUCT(MAX(ROW(E2965:E$2)*(E2966=E2965:E$2)))))</f>
        <v> </v>
      </c>
      <c r="J2966" s="26" t="str">
        <f>IF(OR(E2966="",E2966="!!!",F2966="NEW"),"",COUNTBLANK(OFFSET(A$1,,,SUMPRODUCT(MAX(ROW(E$2:E2966)*(E2966=E$2:E2966)))))-COUNTBLANK(OFFSET(A$1,,,SUMPRODUCT(MAX(ROW(E$1:E2965)*(E2=E$1:E2965))))))</f>
        <v> </v>
      </c>
      <c r="K2966" s="26" t="str">
        <f>IF(OR(E2966="",E2966="!!!",F2966="NEW"),"",INDEX(J$1:J2965,SUMPRODUCT(MAX(ROW(E$1:E2965)*(E2966=E$1:E2965)))))</f>
        <v> </v>
      </c>
      <c r="L2966" s="27"/>
    </row>
    <row r="2967" spans="1:12">
      <c r="A2967" s="20" t="s">
        <v>1801</v>
      </c>
      <c r="E2967" s="22">
        <f>IF(D2967="?OLD","!!!","")</f>
        <v/>
      </c>
      <c r="F2967" s="23" t="str">
        <f>IF(OR(E2967="",E2967="!!!"),"",IF(NOT(ISNA(VLOOKUP(E2967,E$1:E2966,1,FALSE()))),"OLD",IF(AND(E2967&lt;&gt;"",E2967&lt;&gt;"!!!"),"NEW","")))</f>
        <v> </v>
      </c>
      <c r="G2967" s="24" t="str">
        <f>IF(OR(E2967="",E2967="!!!"),"",IF(OR(J2967=0,AND(J2967=1,K2967=1),AND(J2967=1,I2967="SBJ"),AND(J2967=1,I2967=0)),"?IN_FOCUS",IF(J2967&lt;=2,"?ACTIVATED",IF(J2967&lt;&gt;"","?FAMILIAR",IF(F2967="NEW",IF(ISNA(VLOOKUP(E2967,#REF!,1,FALSE())),"?TYPE_IDENTIFIABLE","?REFERENTIAL"),"_")))))</f>
        <v> </v>
      </c>
      <c r="H2967" s="25" t="str">
        <f>IF(J2967&lt;&gt;1,"",IF(I2967="SBJ","CB","?"))</f>
        <v> </v>
      </c>
      <c r="I2967" s="26" t="str">
        <f>IF(OR(E2967="",E2967="!!!",F2967="NEW"),"",INDEX(B2966:B$2,-1+SUMPRODUCT(MAX(ROW(E2966:E$2)*(E2967=E2966:E$2)))))</f>
        <v> </v>
      </c>
      <c r="J2967" s="26" t="str">
        <f>IF(OR(E2967="",E2967="!!!",F2967="NEW"),"",COUNTBLANK(OFFSET(A$1,,,SUMPRODUCT(MAX(ROW(E$2:E2967)*(E2967=E$2:E2967)))))-COUNTBLANK(OFFSET(A$1,,,SUMPRODUCT(MAX(ROW(E$1:E2966)*(E2=E$1:E2966))))))</f>
        <v> </v>
      </c>
      <c r="K2967" s="26" t="str">
        <f>IF(OR(E2967="",E2967="!!!",F2967="NEW"),"",INDEX(J$1:J2966,SUMPRODUCT(MAX(ROW(E$1:E2966)*(E2967=E$1:E2966)))))</f>
        <v> </v>
      </c>
      <c r="L2967" s="27"/>
    </row>
    <row r="2968" spans="1:12">
      <c r="A2968" s="20" t="s">
        <v>1802</v>
      </c>
      <c r="E2968" s="22">
        <f>IF(D2968="?OLD","!!!","")</f>
        <v/>
      </c>
      <c r="F2968" s="23" t="str">
        <f>IF(OR(E2968="",E2968="!!!"),"",IF(NOT(ISNA(VLOOKUP(E2968,E$1:E2967,1,FALSE()))),"OLD",IF(AND(E2968&lt;&gt;"",E2968&lt;&gt;"!!!"),"NEW","")))</f>
        <v> </v>
      </c>
      <c r="G2968" s="24" t="str">
        <f>IF(OR(E2968="",E2968="!!!"),"",IF(OR(J2968=0,AND(J2968=1,K2968=1),AND(J2968=1,I2968="SBJ"),AND(J2968=1,I2968=0)),"?IN_FOCUS",IF(J2968&lt;=2,"?ACTIVATED",IF(J2968&lt;&gt;"","?FAMILIAR",IF(F2968="NEW",IF(ISNA(VLOOKUP(E2968,#REF!,1,FALSE())),"?TYPE_IDENTIFIABLE","?REFERENTIAL"),"_")))))</f>
        <v> </v>
      </c>
      <c r="H2968" s="25" t="str">
        <f>IF(J2968&lt;&gt;1,"",IF(I2968="SBJ","CB","?"))</f>
        <v> </v>
      </c>
      <c r="I2968" s="26" t="str">
        <f>IF(OR(E2968="",E2968="!!!",F2968="NEW"),"",INDEX(B2967:B$2,-1+SUMPRODUCT(MAX(ROW(E2967:E$2)*(E2968=E2967:E$2)))))</f>
        <v> </v>
      </c>
      <c r="J2968" s="26" t="str">
        <f>IF(OR(E2968="",E2968="!!!",F2968="NEW"),"",COUNTBLANK(OFFSET(A$1,,,SUMPRODUCT(MAX(ROW(E$2:E2968)*(E2968=E$2:E2968)))))-COUNTBLANK(OFFSET(A$1,,,SUMPRODUCT(MAX(ROW(E$1:E2967)*(E2=E$1:E2967))))))</f>
        <v> </v>
      </c>
      <c r="K2968" s="26" t="str">
        <f>IF(OR(E2968="",E2968="!!!",F2968="NEW"),"",INDEX(J$1:J2967,SUMPRODUCT(MAX(ROW(E$1:E2967)*(E2968=E$1:E2967)))))</f>
        <v> </v>
      </c>
      <c r="L2968" s="27"/>
    </row>
    <row r="2969" spans="1:12">
      <c r="A2969" s="20" t="s">
        <v>440</v>
      </c>
      <c r="E2969" s="22">
        <f>IF(D2969="?OLD","!!!","")</f>
        <v/>
      </c>
      <c r="F2969" s="23" t="str">
        <f>IF(OR(E2969="",E2969="!!!"),"",IF(NOT(ISNA(VLOOKUP(E2969,E$1:E2968,1,FALSE()))),"OLD",IF(AND(E2969&lt;&gt;"",E2969&lt;&gt;"!!!"),"NEW","")))</f>
        <v> </v>
      </c>
      <c r="G2969" s="24" t="str">
        <f>IF(OR(E2969="",E2969="!!!"),"",IF(OR(J2969=0,AND(J2969=1,K2969=1),AND(J2969=1,I2969="SBJ"),AND(J2969=1,I2969=0)),"?IN_FOCUS",IF(J2969&lt;=2,"?ACTIVATED",IF(J2969&lt;&gt;"","?FAMILIAR",IF(F2969="NEW",IF(ISNA(VLOOKUP(E2969,#REF!,1,FALSE())),"?TYPE_IDENTIFIABLE","?REFERENTIAL"),"_")))))</f>
        <v> </v>
      </c>
      <c r="H2969" s="25" t="str">
        <f>IF(J2969&lt;&gt;1,"",IF(I2969="SBJ","CB","?"))</f>
        <v> </v>
      </c>
      <c r="I2969" s="26" t="str">
        <f>IF(OR(E2969="",E2969="!!!",F2969="NEW"),"",INDEX(B2968:B$2,-1+SUMPRODUCT(MAX(ROW(E2968:E$2)*(E2969=E2968:E$2)))))</f>
        <v> </v>
      </c>
      <c r="J2969" s="26" t="str">
        <f>IF(OR(E2969="",E2969="!!!",F2969="NEW"),"",COUNTBLANK(OFFSET(A$1,,,SUMPRODUCT(MAX(ROW(E$2:E2969)*(E2969=E$2:E2969)))))-COUNTBLANK(OFFSET(A$1,,,SUMPRODUCT(MAX(ROW(E$1:E2968)*(E2=E$1:E2968))))))</f>
        <v> </v>
      </c>
      <c r="K2969" s="26" t="str">
        <f>IF(OR(E2969="",E2969="!!!",F2969="NEW"),"",INDEX(J$1:J2968,SUMPRODUCT(MAX(ROW(E$1:E2968)*(E2969=E$1:E2968)))))</f>
        <v> </v>
      </c>
      <c r="L2969" s="27"/>
    </row>
    <row r="2970" spans="1:12">
      <c r="A2970" s="20" t="s">
        <v>246</v>
      </c>
      <c r="E2970" s="22">
        <f>IF(D2970="?OLD","!!!","")</f>
        <v/>
      </c>
      <c r="F2970" s="23" t="str">
        <f>IF(OR(E2970="",E2970="!!!"),"",IF(NOT(ISNA(VLOOKUP(E2970,E$1:E2969,1,FALSE()))),"OLD",IF(AND(E2970&lt;&gt;"",E2970&lt;&gt;"!!!"),"NEW","")))</f>
        <v> </v>
      </c>
      <c r="G2970" s="24" t="str">
        <f>IF(OR(E2970="",E2970="!!!"),"",IF(OR(J2970=0,AND(J2970=1,K2970=1),AND(J2970=1,I2970="SBJ"),AND(J2970=1,I2970=0)),"?IN_FOCUS",IF(J2970&lt;=2,"?ACTIVATED",IF(J2970&lt;&gt;"","?FAMILIAR",IF(F2970="NEW",IF(ISNA(VLOOKUP(E2970,#REF!,1,FALSE())),"?TYPE_IDENTIFIABLE","?REFERENTIAL"),"_")))))</f>
        <v> </v>
      </c>
      <c r="H2970" s="25" t="str">
        <f>IF(J2970&lt;&gt;1,"",IF(I2970="SBJ","CB","?"))</f>
        <v> </v>
      </c>
      <c r="I2970" s="26" t="str">
        <f>IF(OR(E2970="",E2970="!!!",F2970="NEW"),"",INDEX(B2969:B$2,-1+SUMPRODUCT(MAX(ROW(E2969:E$2)*(E2970=E2969:E$2)))))</f>
        <v> </v>
      </c>
      <c r="J2970" s="26" t="str">
        <f>IF(OR(E2970="",E2970="!!!",F2970="NEW"),"",COUNTBLANK(OFFSET(A$1,,,SUMPRODUCT(MAX(ROW(E$2:E2970)*(E2970=E$2:E2970)))))-COUNTBLANK(OFFSET(A$1,,,SUMPRODUCT(MAX(ROW(E$1:E2969)*(E2=E$1:E2969))))))</f>
        <v> </v>
      </c>
      <c r="K2970" s="26" t="str">
        <f>IF(OR(E2970="",E2970="!!!",F2970="NEW"),"",INDEX(J$1:J2969,SUMPRODUCT(MAX(ROW(E$1:E2969)*(E2970=E$1:E2969)))))</f>
        <v> </v>
      </c>
      <c r="L2970" s="27"/>
    </row>
    <row r="2971" spans="1:12">
      <c r="A2971" s="20"/>
    </row>
    <row r="2972" spans="1:12">
      <c r="A2972" s="20" t="s">
        <v>1803</v>
      </c>
    </row>
    <row r="2973" spans="1:12">
      <c r="A2973" s="20" t="s">
        <v>1804</v>
      </c>
      <c r="E2973" s="22">
        <f>IF(D2973="?OLD","!!!","")</f>
        <v/>
      </c>
      <c r="F2973" s="23" t="str">
        <f>IF(OR(E2973="",E2973="!!!"),"",IF(NOT(ISNA(VLOOKUP(E2973,E$1:E2972,1,FALSE()))),"OLD",IF(AND(E2973&lt;&gt;"",E2973&lt;&gt;"!!!"),"NEW","")))</f>
        <v> </v>
      </c>
      <c r="G2973" s="24" t="str">
        <f>IF(OR(E2973="",E2973="!!!"),"",IF(OR(J2973=0,AND(J2973=1,K2973=1),AND(J2973=1,I2973="SBJ"),AND(J2973=1,I2973=0)),"?IN_FOCUS",IF(J2973&lt;=2,"?ACTIVATED",IF(J2973&lt;&gt;"","?FAMILIAR",IF(F2973="NEW",IF(ISNA(VLOOKUP(E2973,#REF!,1,FALSE())),"?TYPE_IDENTIFIABLE","?REFERENTIAL"),"_")))))</f>
        <v> </v>
      </c>
      <c r="H2973" s="25" t="str">
        <f>IF(J2973&lt;&gt;1,"",IF(I2973="SBJ","CB","?"))</f>
        <v> </v>
      </c>
      <c r="I2973" s="26" t="str">
        <f>IF(OR(E2973="",E2973="!!!",F2973="NEW"),"",INDEX(B2972:B$2,-1+SUMPRODUCT(MAX(ROW(E2972:E$2)*(E2973=E2972:E$2)))))</f>
        <v> </v>
      </c>
      <c r="J2973" s="26" t="str">
        <f>IF(OR(E2973="",E2973="!!!",F2973="NEW"),"",COUNTBLANK(OFFSET(A$1,,,SUMPRODUCT(MAX(ROW(E$2:E2973)*(E2973=E$2:E2973)))))-COUNTBLANK(OFFSET(A$1,,,SUMPRODUCT(MAX(ROW(E$1:E2972)*(E2=E$1:E2972))))))</f>
        <v> </v>
      </c>
      <c r="K2973" s="26" t="str">
        <f>IF(OR(E2973="",E2973="!!!",F2973="NEW"),"",INDEX(J$1:J2972,SUMPRODUCT(MAX(ROW(E$1:E2972)*(E2973=E$1:E2972)))))</f>
        <v> </v>
      </c>
      <c r="L2973" s="27"/>
    </row>
    <row r="2974" spans="1:12">
      <c r="A2974" s="20" t="s">
        <v>1137</v>
      </c>
      <c r="E2974" s="22">
        <f>IF(D2974="?OLD","!!!","")</f>
        <v/>
      </c>
      <c r="F2974" s="23" t="str">
        <f>IF(OR(E2974="",E2974="!!!"),"",IF(NOT(ISNA(VLOOKUP(E2974,E$1:E2973,1,FALSE()))),"OLD",IF(AND(E2974&lt;&gt;"",E2974&lt;&gt;"!!!"),"NEW","")))</f>
        <v> </v>
      </c>
      <c r="G2974" s="24" t="str">
        <f>IF(OR(E2974="",E2974="!!!"),"",IF(OR(J2974=0,AND(J2974=1,K2974=1),AND(J2974=1,I2974="SBJ"),AND(J2974=1,I2974=0)),"?IN_FOCUS",IF(J2974&lt;=2,"?ACTIVATED",IF(J2974&lt;&gt;"","?FAMILIAR",IF(F2974="NEW",IF(ISNA(VLOOKUP(E2974,#REF!,1,FALSE())),"?TYPE_IDENTIFIABLE","?REFERENTIAL"),"_")))))</f>
        <v> </v>
      </c>
      <c r="H2974" s="25" t="str">
        <f>IF(J2974&lt;&gt;1,"",IF(I2974="SBJ","CB","?"))</f>
        <v> </v>
      </c>
      <c r="I2974" s="26" t="str">
        <f>IF(OR(E2974="",E2974="!!!",F2974="NEW"),"",INDEX(B2973:B$2,-1+SUMPRODUCT(MAX(ROW(E2973:E$2)*(E2974=E2973:E$2)))))</f>
        <v> </v>
      </c>
      <c r="J2974" s="26" t="str">
        <f>IF(OR(E2974="",E2974="!!!",F2974="NEW"),"",COUNTBLANK(OFFSET(A$1,,,SUMPRODUCT(MAX(ROW(E$2:E2974)*(E2974=E$2:E2974)))))-COUNTBLANK(OFFSET(A$1,,,SUMPRODUCT(MAX(ROW(E$1:E2973)*(E2=E$1:E2973))))))</f>
        <v> </v>
      </c>
      <c r="K2974" s="26" t="str">
        <f>IF(OR(E2974="",E2974="!!!",F2974="NEW"),"",INDEX(J$1:J2973,SUMPRODUCT(MAX(ROW(E$1:E2973)*(E2974=E$1:E2973)))))</f>
        <v> </v>
      </c>
      <c r="L2974" s="27"/>
    </row>
    <row r="2975" spans="1:12">
      <c r="A2975" s="20" t="s">
        <v>859</v>
      </c>
      <c r="B2975" s="21" t="s">
        <v>728</v>
      </c>
      <c r="C2975" s="21" t="s">
        <v>789</v>
      </c>
      <c r="D2975" s="21" t="s">
        <v>730</v>
      </c>
      <c r="E2975" s="22">
        <f>IF(D2975="?OLD","!!!","")</f>
        <v/>
      </c>
      <c r="F2975" s="23" t="str">
        <f>IF(OR(E2975="",E2975="!!!"),"",IF(NOT(ISNA(VLOOKUP(E2975,E$1:E2974,1,FALSE()))),"OLD",IF(AND(E2975&lt;&gt;"",E2975&lt;&gt;"!!!"),"NEW","")))</f>
        <v> </v>
      </c>
      <c r="G2975" s="24" t="str">
        <f>IF(OR(E2975="",E2975="!!!"),"",IF(OR(J2975=0,AND(J2975=1,K2975=1),AND(J2975=1,I2975="SBJ"),AND(J2975=1,I2975=0)),"?IN_FOCUS",IF(J2975&lt;=2,"?ACTIVATED",IF(J2975&lt;&gt;"","?FAMILIAR",IF(F2975="NEW",IF(ISNA(VLOOKUP(E2975,#REF!,1,FALSE())),"?TYPE_IDENTIFIABLE","?REFERENTIAL"),"_")))))</f>
        <v> </v>
      </c>
      <c r="H2975" s="25" t="str">
        <f>IF(J2975&lt;&gt;1,"",IF(I2975="SBJ","CB","?"))</f>
        <v> </v>
      </c>
      <c r="I2975" s="26" t="str">
        <f>IF(OR(E2975="",E2975="!!!",F2975="NEW"),"",INDEX(B2974:B$2,-1+SUMPRODUCT(MAX(ROW(E2974:E$2)*(E2975=E2974:E$2)))))</f>
        <v> </v>
      </c>
      <c r="J2975" s="26" t="str">
        <f>IF(OR(E2975="",E2975="!!!",F2975="NEW"),"",COUNTBLANK(OFFSET(A$1,,,SUMPRODUCT(MAX(ROW(E$2:E2975)*(E2975=E$2:E2975)))))-COUNTBLANK(OFFSET(A$1,,,SUMPRODUCT(MAX(ROW(E$1:E2974)*(E2=E$1:E2974))))))</f>
        <v> </v>
      </c>
      <c r="K2975" s="26" t="str">
        <f>IF(OR(E2975="",E2975="!!!",F2975="NEW"),"",INDEX(J$1:J2974,SUMPRODUCT(MAX(ROW(E$1:E2974)*(E2975=E$1:E2974)))))</f>
        <v> </v>
      </c>
      <c r="L2975" s="27"/>
    </row>
    <row r="2976" spans="1:12">
      <c r="A2976" s="20" t="s">
        <v>11</v>
      </c>
      <c r="E2976" s="22">
        <f>IF(D2976="?OLD","!!!","")</f>
        <v/>
      </c>
      <c r="F2976" s="23" t="str">
        <f>IF(OR(E2976="",E2976="!!!"),"",IF(NOT(ISNA(VLOOKUP(E2976,E$1:E2975,1,FALSE()))),"OLD",IF(AND(E2976&lt;&gt;"",E2976&lt;&gt;"!!!"),"NEW","")))</f>
        <v> </v>
      </c>
      <c r="G2976" s="24" t="str">
        <f>IF(OR(E2976="",E2976="!!!"),"",IF(OR(J2976=0,AND(J2976=1,K2976=1),AND(J2976=1,I2976="SBJ"),AND(J2976=1,I2976=0)),"?IN_FOCUS",IF(J2976&lt;=2,"?ACTIVATED",IF(J2976&lt;&gt;"","?FAMILIAR",IF(F2976="NEW",IF(ISNA(VLOOKUP(E2976,#REF!,1,FALSE())),"?TYPE_IDENTIFIABLE","?REFERENTIAL"),"_")))))</f>
        <v> </v>
      </c>
      <c r="H2976" s="25" t="str">
        <f>IF(J2976&lt;&gt;1,"",IF(I2976="SBJ","CB","?"))</f>
        <v> </v>
      </c>
      <c r="I2976" s="26" t="str">
        <f>IF(OR(E2976="",E2976="!!!",F2976="NEW"),"",INDEX(B2975:B$2,-1+SUMPRODUCT(MAX(ROW(E2975:E$2)*(E2976=E2975:E$2)))))</f>
        <v> </v>
      </c>
      <c r="J2976" s="26" t="str">
        <f>IF(OR(E2976="",E2976="!!!",F2976="NEW"),"",COUNTBLANK(OFFSET(A$1,,,SUMPRODUCT(MAX(ROW(E$2:E2976)*(E2976=E$2:E2976)))))-COUNTBLANK(OFFSET(A$1,,,SUMPRODUCT(MAX(ROW(E$1:E2975)*(E2=E$1:E2975))))))</f>
        <v> </v>
      </c>
      <c r="K2976" s="26" t="str">
        <f>IF(OR(E2976="",E2976="!!!",F2976="NEW"),"",INDEX(J$1:J2975,SUMPRODUCT(MAX(ROW(E$1:E2975)*(E2976=E$1:E2975)))))</f>
        <v> </v>
      </c>
      <c r="L2976" s="27"/>
    </row>
    <row r="2977" spans="1:12">
      <c r="A2977" s="20" t="s">
        <v>1029</v>
      </c>
      <c r="E2977" s="22">
        <f>IF(D2977="?OLD","!!!","")</f>
        <v/>
      </c>
      <c r="F2977" s="23" t="str">
        <f>IF(OR(E2977="",E2977="!!!"),"",IF(NOT(ISNA(VLOOKUP(E2977,E$1:E2976,1,FALSE()))),"OLD",IF(AND(E2977&lt;&gt;"",E2977&lt;&gt;"!!!"),"NEW","")))</f>
        <v> </v>
      </c>
      <c r="G2977" s="24" t="str">
        <f>IF(OR(E2977="",E2977="!!!"),"",IF(OR(J2977=0,AND(J2977=1,K2977=1),AND(J2977=1,I2977="SBJ"),AND(J2977=1,I2977=0)),"?IN_FOCUS",IF(J2977&lt;=2,"?ACTIVATED",IF(J2977&lt;&gt;"","?FAMILIAR",IF(F2977="NEW",IF(ISNA(VLOOKUP(E2977,#REF!,1,FALSE())),"?TYPE_IDENTIFIABLE","?REFERENTIAL"),"_")))))</f>
        <v> </v>
      </c>
      <c r="H2977" s="25" t="str">
        <f>IF(J2977&lt;&gt;1,"",IF(I2977="SBJ","CB","?"))</f>
        <v> </v>
      </c>
      <c r="I2977" s="26" t="str">
        <f>IF(OR(E2977="",E2977="!!!",F2977="NEW"),"",INDEX(B2976:B$2,-1+SUMPRODUCT(MAX(ROW(E2976:E$2)*(E2977=E2976:E$2)))))</f>
        <v> </v>
      </c>
      <c r="J2977" s="26" t="str">
        <f>IF(OR(E2977="",E2977="!!!",F2977="NEW"),"",COUNTBLANK(OFFSET(A$1,,,SUMPRODUCT(MAX(ROW(E$2:E2977)*(E2977=E$2:E2977)))))-COUNTBLANK(OFFSET(A$1,,,SUMPRODUCT(MAX(ROW(E$1:E2976)*(E2=E$1:E2976))))))</f>
        <v> </v>
      </c>
      <c r="K2977" s="26" t="str">
        <f>IF(OR(E2977="",E2977="!!!",F2977="NEW"),"",INDEX(J$1:J2976,SUMPRODUCT(MAX(ROW(E$1:E2976)*(E2977=E$1:E2976)))))</f>
        <v> </v>
      </c>
      <c r="L2977" s="27"/>
    </row>
    <row r="2978" spans="1:12">
      <c r="A2978" s="20" t="s">
        <v>20</v>
      </c>
      <c r="E2978" s="22">
        <f>IF(D2978="?OLD","!!!","")</f>
        <v/>
      </c>
      <c r="F2978" s="23" t="str">
        <f>IF(OR(E2978="",E2978="!!!"),"",IF(NOT(ISNA(VLOOKUP(E2978,E$1:E2977,1,FALSE()))),"OLD",IF(AND(E2978&lt;&gt;"",E2978&lt;&gt;"!!!"),"NEW","")))</f>
        <v> </v>
      </c>
      <c r="G2978" s="24" t="str">
        <f>IF(OR(E2978="",E2978="!!!"),"",IF(OR(J2978=0,AND(J2978=1,K2978=1),AND(J2978=1,I2978="SBJ"),AND(J2978=1,I2978=0)),"?IN_FOCUS",IF(J2978&lt;=2,"?ACTIVATED",IF(J2978&lt;&gt;"","?FAMILIAR",IF(F2978="NEW",IF(ISNA(VLOOKUP(E2978,#REF!,1,FALSE())),"?TYPE_IDENTIFIABLE","?REFERENTIAL"),"_")))))</f>
        <v> </v>
      </c>
      <c r="H2978" s="25" t="str">
        <f>IF(J2978&lt;&gt;1,"",IF(I2978="SBJ","CB","?"))</f>
        <v> </v>
      </c>
      <c r="I2978" s="26" t="str">
        <f>IF(OR(E2978="",E2978="!!!",F2978="NEW"),"",INDEX(B2977:B$2,-1+SUMPRODUCT(MAX(ROW(E2977:E$2)*(E2978=E2977:E$2)))))</f>
        <v> </v>
      </c>
      <c r="J2978" s="26" t="str">
        <f>IF(OR(E2978="",E2978="!!!",F2978="NEW"),"",COUNTBLANK(OFFSET(A$1,,,SUMPRODUCT(MAX(ROW(E$2:E2978)*(E2978=E$2:E2978)))))-COUNTBLANK(OFFSET(A$1,,,SUMPRODUCT(MAX(ROW(E$1:E2977)*(E2=E$1:E2977))))))</f>
        <v> </v>
      </c>
      <c r="K2978" s="26" t="str">
        <f>IF(OR(E2978="",E2978="!!!",F2978="NEW"),"",INDEX(J$1:J2977,SUMPRODUCT(MAX(ROW(E$1:E2977)*(E2978=E$1:E2977)))))</f>
        <v> </v>
      </c>
      <c r="L2978" s="27"/>
    </row>
    <row r="2979" spans="1:12">
      <c r="A2979" s="20" t="s">
        <v>1410</v>
      </c>
      <c r="B2979" s="21" t="s">
        <v>736</v>
      </c>
      <c r="C2979" s="21" t="s">
        <v>967</v>
      </c>
      <c r="E2979" s="22">
        <f>IF(D2979="?OLD","!!!","")</f>
        <v/>
      </c>
      <c r="F2979" s="23" t="str">
        <f>IF(OR(E2979="",E2979="!!!"),"",IF(NOT(ISNA(VLOOKUP(E2979,E$1:E2978,1,FALSE()))),"OLD",IF(AND(E2979&lt;&gt;"",E2979&lt;&gt;"!!!"),"NEW","")))</f>
        <v> </v>
      </c>
      <c r="G2979" s="24" t="str">
        <f>IF(OR(E2979="",E2979="!!!"),"",IF(OR(J2979=0,AND(J2979=1,K2979=1),AND(J2979=1,I2979="SBJ"),AND(J2979=1,I2979=0)),"?IN_FOCUS",IF(J2979&lt;=2,"?ACTIVATED",IF(J2979&lt;&gt;"","?FAMILIAR",IF(F2979="NEW",IF(ISNA(VLOOKUP(E2979,#REF!,1,FALSE())),"?TYPE_IDENTIFIABLE","?REFERENTIAL"),"_")))))</f>
        <v> </v>
      </c>
      <c r="H2979" s="25" t="str">
        <f>IF(J2979&lt;&gt;1,"",IF(I2979="SBJ","CB","?"))</f>
        <v> </v>
      </c>
      <c r="I2979" s="26" t="str">
        <f>IF(OR(E2979="",E2979="!!!",F2979="NEW"),"",INDEX(B2978:B$2,-1+SUMPRODUCT(MAX(ROW(E2978:E$2)*(E2979=E2978:E$2)))))</f>
        <v> </v>
      </c>
      <c r="J2979" s="26" t="str">
        <f>IF(OR(E2979="",E2979="!!!",F2979="NEW"),"",COUNTBLANK(OFFSET(A$1,,,SUMPRODUCT(MAX(ROW(E$2:E2979)*(E2979=E$2:E2979)))))-COUNTBLANK(OFFSET(A$1,,,SUMPRODUCT(MAX(ROW(E$1:E2978)*(E2=E$1:E2978))))))</f>
        <v> </v>
      </c>
      <c r="K2979" s="26" t="str">
        <f>IF(OR(E2979="",E2979="!!!",F2979="NEW"),"",INDEX(J$1:J2978,SUMPRODUCT(MAX(ROW(E$1:E2978)*(E2979=E$1:E2978)))))</f>
        <v> </v>
      </c>
      <c r="L2979" s="27"/>
    </row>
    <row r="2980" spans="1:12">
      <c r="A2980" s="20" t="s">
        <v>1805</v>
      </c>
      <c r="E2980" s="22">
        <f>IF(D2980="?OLD","!!!","")</f>
        <v/>
      </c>
      <c r="F2980" s="23" t="str">
        <f>IF(OR(E2980="",E2980="!!!"),"",IF(NOT(ISNA(VLOOKUP(E2980,E$1:E2979,1,FALSE()))),"OLD",IF(AND(E2980&lt;&gt;"",E2980&lt;&gt;"!!!"),"NEW","")))</f>
        <v> </v>
      </c>
      <c r="G2980" s="24" t="str">
        <f>IF(OR(E2980="",E2980="!!!"),"",IF(OR(J2980=0,AND(J2980=1,K2980=1),AND(J2980=1,I2980="SBJ"),AND(J2980=1,I2980=0)),"?IN_FOCUS",IF(J2980&lt;=2,"?ACTIVATED",IF(J2980&lt;&gt;"","?FAMILIAR",IF(F2980="NEW",IF(ISNA(VLOOKUP(E2980,#REF!,1,FALSE())),"?TYPE_IDENTIFIABLE","?REFERENTIAL"),"_")))))</f>
        <v> </v>
      </c>
      <c r="H2980" s="25" t="str">
        <f>IF(J2980&lt;&gt;1,"",IF(I2980="SBJ","CB","?"))</f>
        <v> </v>
      </c>
      <c r="I2980" s="26" t="str">
        <f>IF(OR(E2980="",E2980="!!!",F2980="NEW"),"",INDEX(B2979:B$2,-1+SUMPRODUCT(MAX(ROW(E2979:E$2)*(E2980=E2979:E$2)))))</f>
        <v> </v>
      </c>
      <c r="J2980" s="26" t="str">
        <f>IF(OR(E2980="",E2980="!!!",F2980="NEW"),"",COUNTBLANK(OFFSET(A$1,,,SUMPRODUCT(MAX(ROW(E$2:E2980)*(E2980=E$2:E2980)))))-COUNTBLANK(OFFSET(A$1,,,SUMPRODUCT(MAX(ROW(E$1:E2979)*(E2=E$1:E2979))))))</f>
        <v> </v>
      </c>
      <c r="K2980" s="26" t="str">
        <f>IF(OR(E2980="",E2980="!!!",F2980="NEW"),"",INDEX(J$1:J2979,SUMPRODUCT(MAX(ROW(E$1:E2979)*(E2980=E$1:E2979)))))</f>
        <v> </v>
      </c>
      <c r="L2980" s="27"/>
    </row>
    <row r="2981" spans="1:12">
      <c r="A2981" s="20" t="s">
        <v>742</v>
      </c>
      <c r="E2981" s="22">
        <f>IF(D2981="?OLD","!!!","")</f>
        <v/>
      </c>
      <c r="F2981" s="23" t="str">
        <f>IF(OR(E2981="",E2981="!!!"),"",IF(NOT(ISNA(VLOOKUP(E2981,E$1:E2980,1,FALSE()))),"OLD",IF(AND(E2981&lt;&gt;"",E2981&lt;&gt;"!!!"),"NEW","")))</f>
        <v> </v>
      </c>
      <c r="G2981" s="24" t="str">
        <f>IF(OR(E2981="",E2981="!!!"),"",IF(OR(J2981=0,AND(J2981=1,K2981=1),AND(J2981=1,I2981="SBJ"),AND(J2981=1,I2981=0)),"?IN_FOCUS",IF(J2981&lt;=2,"?ACTIVATED",IF(J2981&lt;&gt;"","?FAMILIAR",IF(F2981="NEW",IF(ISNA(VLOOKUP(E2981,#REF!,1,FALSE())),"?TYPE_IDENTIFIABLE","?REFERENTIAL"),"_")))))</f>
        <v> </v>
      </c>
      <c r="H2981" s="25" t="str">
        <f>IF(J2981&lt;&gt;1,"",IF(I2981="SBJ","CB","?"))</f>
        <v> </v>
      </c>
      <c r="I2981" s="26" t="str">
        <f>IF(OR(E2981="",E2981="!!!",F2981="NEW"),"",INDEX(B2980:B$2,-1+SUMPRODUCT(MAX(ROW(E2980:E$2)*(E2981=E2980:E$2)))))</f>
        <v> </v>
      </c>
      <c r="J2981" s="26" t="str">
        <f>IF(OR(E2981="",E2981="!!!",F2981="NEW"),"",COUNTBLANK(OFFSET(A$1,,,SUMPRODUCT(MAX(ROW(E$2:E2981)*(E2981=E$2:E2981)))))-COUNTBLANK(OFFSET(A$1,,,SUMPRODUCT(MAX(ROW(E$1:E2980)*(E2=E$1:E2980))))))</f>
        <v> </v>
      </c>
      <c r="K2981" s="26" t="str">
        <f>IF(OR(E2981="",E2981="!!!",F2981="NEW"),"",INDEX(J$1:J2980,SUMPRODUCT(MAX(ROW(E$1:E2980)*(E2981=E$1:E2980)))))</f>
        <v> </v>
      </c>
      <c r="L2981" s="27"/>
    </row>
    <row r="2982" spans="1:12">
      <c r="A2982" s="20" t="s">
        <v>1806</v>
      </c>
      <c r="B2982" s="21" t="s">
        <v>736</v>
      </c>
      <c r="C2982" s="21" t="s">
        <v>748</v>
      </c>
      <c r="E2982" s="22">
        <f>IF(D2982="?OLD","!!!","")</f>
        <v/>
      </c>
      <c r="F2982" s="23" t="str">
        <f>IF(OR(E2982="",E2982="!!!"),"",IF(NOT(ISNA(VLOOKUP(E2982,E$1:E2981,1,FALSE()))),"OLD",IF(AND(E2982&lt;&gt;"",E2982&lt;&gt;"!!!"),"NEW","")))</f>
        <v> </v>
      </c>
      <c r="G2982" s="24" t="str">
        <f>IF(OR(E2982="",E2982="!!!"),"",IF(OR(J2982=0,AND(J2982=1,K2982=1),AND(J2982=1,I2982="SBJ"),AND(J2982=1,I2982=0)),"?IN_FOCUS",IF(J2982&lt;=2,"?ACTIVATED",IF(J2982&lt;&gt;"","?FAMILIAR",IF(F2982="NEW",IF(ISNA(VLOOKUP(E2982,#REF!,1,FALSE())),"?TYPE_IDENTIFIABLE","?REFERENTIAL"),"_")))))</f>
        <v> </v>
      </c>
      <c r="H2982" s="25" t="str">
        <f>IF(J2982&lt;&gt;1,"",IF(I2982="SBJ","CB","?"))</f>
        <v> </v>
      </c>
      <c r="I2982" s="26" t="str">
        <f>IF(OR(E2982="",E2982="!!!",F2982="NEW"),"",INDEX(B2981:B$2,-1+SUMPRODUCT(MAX(ROW(E2981:E$2)*(E2982=E2981:E$2)))))</f>
        <v> </v>
      </c>
      <c r="J2982" s="26" t="str">
        <f>IF(OR(E2982="",E2982="!!!",F2982="NEW"),"",COUNTBLANK(OFFSET(A$1,,,SUMPRODUCT(MAX(ROW(E$2:E2982)*(E2982=E$2:E2982)))))-COUNTBLANK(OFFSET(A$1,,,SUMPRODUCT(MAX(ROW(E$1:E2981)*(E2=E$1:E2981))))))</f>
        <v> </v>
      </c>
      <c r="K2982" s="26" t="str">
        <f>IF(OR(E2982="",E2982="!!!",F2982="NEW"),"",INDEX(J$1:J2981,SUMPRODUCT(MAX(ROW(E$1:E2981)*(E2982=E$1:E2981)))))</f>
        <v> </v>
      </c>
      <c r="L2982" s="27"/>
    </row>
    <row r="2983" spans="1:12">
      <c r="A2983" s="20" t="s">
        <v>246</v>
      </c>
      <c r="E2983" s="22">
        <f>IF(D2983="?OLD","!!!","")</f>
        <v/>
      </c>
      <c r="F2983" s="23" t="str">
        <f>IF(OR(E2983="",E2983="!!!"),"",IF(NOT(ISNA(VLOOKUP(E2983,E$1:E2982,1,FALSE()))),"OLD",IF(AND(E2983&lt;&gt;"",E2983&lt;&gt;"!!!"),"NEW","")))</f>
        <v> </v>
      </c>
      <c r="G2983" s="24" t="str">
        <f>IF(OR(E2983="",E2983="!!!"),"",IF(OR(J2983=0,AND(J2983=1,K2983=1),AND(J2983=1,I2983="SBJ"),AND(J2983=1,I2983=0)),"?IN_FOCUS",IF(J2983&lt;=2,"?ACTIVATED",IF(J2983&lt;&gt;"","?FAMILIAR",IF(F2983="NEW",IF(ISNA(VLOOKUP(E2983,#REF!,1,FALSE())),"?TYPE_IDENTIFIABLE","?REFERENTIAL"),"_")))))</f>
        <v> </v>
      </c>
      <c r="H2983" s="25" t="str">
        <f>IF(J2983&lt;&gt;1,"",IF(I2983="SBJ","CB","?"))</f>
        <v> </v>
      </c>
      <c r="I2983" s="26" t="str">
        <f>IF(OR(E2983="",E2983="!!!",F2983="NEW"),"",INDEX(B2982:B$2,-1+SUMPRODUCT(MAX(ROW(E2982:E$2)*(E2983=E2982:E$2)))))</f>
        <v> </v>
      </c>
      <c r="J2983" s="26" t="str">
        <f>IF(OR(E2983="",E2983="!!!",F2983="NEW"),"",COUNTBLANK(OFFSET(A$1,,,SUMPRODUCT(MAX(ROW(E$2:E2983)*(E2983=E$2:E2983)))))-COUNTBLANK(OFFSET(A$1,,,SUMPRODUCT(MAX(ROW(E$1:E2982)*(E2=E$1:E2982))))))</f>
        <v> </v>
      </c>
      <c r="K2983" s="26" t="str">
        <f>IF(OR(E2983="",E2983="!!!",F2983="NEW"),"",INDEX(J$1:J2982,SUMPRODUCT(MAX(ROW(E$1:E2982)*(E2983=E$1:E2982)))))</f>
        <v> </v>
      </c>
      <c r="L2983" s="27"/>
    </row>
    <row r="2984" spans="1:12">
      <c r="A2984" s="20"/>
    </row>
    <row r="2985" spans="1:12">
      <c r="A2985" s="20" t="s">
        <v>1807</v>
      </c>
    </row>
    <row r="2986" spans="1:12">
      <c r="A2986" s="20" t="s">
        <v>768</v>
      </c>
      <c r="E2986" s="22">
        <f>IF(D2986="?OLD","!!!","")</f>
        <v/>
      </c>
      <c r="F2986" s="23" t="str">
        <f>IF(OR(E2986="",E2986="!!!"),"",IF(NOT(ISNA(VLOOKUP(E2986,E$1:E2985,1,FALSE()))),"OLD",IF(AND(E2986&lt;&gt;"",E2986&lt;&gt;"!!!"),"NEW","")))</f>
        <v> </v>
      </c>
      <c r="G2986" s="24" t="str">
        <f>IF(OR(E2986="",E2986="!!!"),"",IF(OR(J2986=0,AND(J2986=1,K2986=1),AND(J2986=1,I2986="SBJ"),AND(J2986=1,I2986=0)),"?IN_FOCUS",IF(J2986&lt;=2,"?ACTIVATED",IF(J2986&lt;&gt;"","?FAMILIAR",IF(F2986="NEW",IF(ISNA(VLOOKUP(E2986,#REF!,1,FALSE())),"?TYPE_IDENTIFIABLE","?REFERENTIAL"),"_")))))</f>
        <v> </v>
      </c>
      <c r="H2986" s="25" t="str">
        <f>IF(J2986&lt;&gt;1,"",IF(I2986="SBJ","CB","?"))</f>
        <v> </v>
      </c>
      <c r="I2986" s="26" t="str">
        <f>IF(OR(E2986="",E2986="!!!",F2986="NEW"),"",INDEX(B2985:B$2,-1+SUMPRODUCT(MAX(ROW(E2985:E$2)*(E2986=E2985:E$2)))))</f>
        <v> </v>
      </c>
      <c r="J2986" s="26" t="str">
        <f>IF(OR(E2986="",E2986="!!!",F2986="NEW"),"",COUNTBLANK(OFFSET(A$1,,,SUMPRODUCT(MAX(ROW(E$2:E2986)*(E2986=E$2:E2986)))))-COUNTBLANK(OFFSET(A$1,,,SUMPRODUCT(MAX(ROW(E$1:E2985)*(E2=E$1:E2985))))))</f>
        <v> </v>
      </c>
      <c r="K2986" s="26" t="str">
        <f>IF(OR(E2986="",E2986="!!!",F2986="NEW"),"",INDEX(J$1:J2985,SUMPRODUCT(MAX(ROW(E$1:E2985)*(E2986=E$1:E2985)))))</f>
        <v> </v>
      </c>
      <c r="L2986" s="27"/>
    </row>
    <row r="2987" spans="1:12">
      <c r="A2987" s="20" t="s">
        <v>773</v>
      </c>
      <c r="E2987" s="22">
        <f>IF(D2987="?OLD","!!!","")</f>
        <v/>
      </c>
      <c r="F2987" s="23" t="str">
        <f>IF(OR(E2987="",E2987="!!!"),"",IF(NOT(ISNA(VLOOKUP(E2987,E$1:E2986,1,FALSE()))),"OLD",IF(AND(E2987&lt;&gt;"",E2987&lt;&gt;"!!!"),"NEW","")))</f>
        <v> </v>
      </c>
      <c r="G2987" s="24" t="str">
        <f>IF(OR(E2987="",E2987="!!!"),"",IF(OR(J2987=0,AND(J2987=1,K2987=1),AND(J2987=1,I2987="SBJ"),AND(J2987=1,I2987=0)),"?IN_FOCUS",IF(J2987&lt;=2,"?ACTIVATED",IF(J2987&lt;&gt;"","?FAMILIAR",IF(F2987="NEW",IF(ISNA(VLOOKUP(E2987,#REF!,1,FALSE())),"?TYPE_IDENTIFIABLE","?REFERENTIAL"),"_")))))</f>
        <v> </v>
      </c>
      <c r="H2987" s="25" t="str">
        <f>IF(J2987&lt;&gt;1,"",IF(I2987="SBJ","CB","?"))</f>
        <v> </v>
      </c>
      <c r="I2987" s="26" t="str">
        <f>IF(OR(E2987="",E2987="!!!",F2987="NEW"),"",INDEX(B2986:B$2,-1+SUMPRODUCT(MAX(ROW(E2986:E$2)*(E2987=E2986:E$2)))))</f>
        <v> </v>
      </c>
      <c r="J2987" s="26" t="str">
        <f>IF(OR(E2987="",E2987="!!!",F2987="NEW"),"",COUNTBLANK(OFFSET(A$1,,,SUMPRODUCT(MAX(ROW(E$2:E2987)*(E2987=E$2:E2987)))))-COUNTBLANK(OFFSET(A$1,,,SUMPRODUCT(MAX(ROW(E$1:E2986)*(E2=E$1:E2986))))))</f>
        <v> </v>
      </c>
      <c r="K2987" s="26" t="str">
        <f>IF(OR(E2987="",E2987="!!!",F2987="NEW"),"",INDEX(J$1:J2986,SUMPRODUCT(MAX(ROW(E$1:E2986)*(E2987=E$1:E2986)))))</f>
        <v> </v>
      </c>
      <c r="L2987" s="27"/>
    </row>
    <row r="2988" spans="1:12">
      <c r="A2988" s="20" t="s">
        <v>1245</v>
      </c>
      <c r="B2988" s="21" t="s">
        <v>739</v>
      </c>
      <c r="C2988" s="21" t="s">
        <v>801</v>
      </c>
      <c r="D2988" s="21" t="s">
        <v>730</v>
      </c>
      <c r="E2988" s="22">
        <f>IF(D2988="?OLD","!!!","")</f>
        <v/>
      </c>
      <c r="F2988" s="23" t="str">
        <f>IF(OR(E2988="",E2988="!!!"),"",IF(NOT(ISNA(VLOOKUP(E2988,E$1:E2987,1,FALSE()))),"OLD",IF(AND(E2988&lt;&gt;"",E2988&lt;&gt;"!!!"),"NEW","")))</f>
        <v> </v>
      </c>
      <c r="G2988" s="24" t="str">
        <f>IF(OR(E2988="",E2988="!!!"),"",IF(OR(J2988=0,AND(J2988=1,K2988=1),AND(J2988=1,I2988="SBJ"),AND(J2988=1,I2988=0)),"?IN_FOCUS",IF(J2988&lt;=2,"?ACTIVATED",IF(J2988&lt;&gt;"","?FAMILIAR",IF(F2988="NEW",IF(ISNA(VLOOKUP(E2988,#REF!,1,FALSE())),"?TYPE_IDENTIFIABLE","?REFERENTIAL"),"_")))))</f>
        <v> </v>
      </c>
      <c r="H2988" s="25" t="str">
        <f>IF(J2988&lt;&gt;1,"",IF(I2988="SBJ","CB","?"))</f>
        <v> </v>
      </c>
      <c r="I2988" s="26" t="str">
        <f>IF(OR(E2988="",E2988="!!!",F2988="NEW"),"",INDEX(B2987:B$2,-1+SUMPRODUCT(MAX(ROW(E2987:E$2)*(E2988=E2987:E$2)))))</f>
        <v> </v>
      </c>
      <c r="J2988" s="26" t="str">
        <f>IF(OR(E2988="",E2988="!!!",F2988="NEW"),"",COUNTBLANK(OFFSET(A$1,,,SUMPRODUCT(MAX(ROW(E$2:E2988)*(E2988=E$2:E2988)))))-COUNTBLANK(OFFSET(A$1,,,SUMPRODUCT(MAX(ROW(E$1:E2987)*(E2=E$1:E2987))))))</f>
        <v> </v>
      </c>
      <c r="K2988" s="26" t="str">
        <f>IF(OR(E2988="",E2988="!!!",F2988="NEW"),"",INDEX(J$1:J2987,SUMPRODUCT(MAX(ROW(E$1:E2987)*(E2988=E$1:E2987)))))</f>
        <v> </v>
      </c>
      <c r="L2988" s="27"/>
    </row>
    <row r="2989" spans="1:12">
      <c r="A2989" s="20" t="s">
        <v>1808</v>
      </c>
      <c r="B2989" s="21" t="s">
        <v>736</v>
      </c>
      <c r="C2989" s="21" t="s">
        <v>802</v>
      </c>
      <c r="D2989" s="21" t="s">
        <v>730</v>
      </c>
      <c r="E2989" s="22">
        <f>IF(D2989="?OLD","!!!","")</f>
        <v/>
      </c>
      <c r="F2989" s="23" t="str">
        <f>IF(OR(E2989="",E2989="!!!"),"",IF(NOT(ISNA(VLOOKUP(E2989,E$1:E2988,1,FALSE()))),"OLD",IF(AND(E2989&lt;&gt;"",E2989&lt;&gt;"!!!"),"NEW","")))</f>
        <v> </v>
      </c>
      <c r="G2989" s="24" t="str">
        <f>IF(OR(E2989="",E2989="!!!"),"",IF(OR(J2989=0,AND(J2989=1,K2989=1),AND(J2989=1,I2989="SBJ"),AND(J2989=1,I2989=0)),"?IN_FOCUS",IF(J2989&lt;=2,"?ACTIVATED",IF(J2989&lt;&gt;"","?FAMILIAR",IF(F2989="NEW",IF(ISNA(VLOOKUP(E2989,#REF!,1,FALSE())),"?TYPE_IDENTIFIABLE","?REFERENTIAL"),"_")))))</f>
        <v> </v>
      </c>
      <c r="H2989" s="25" t="str">
        <f>IF(J2989&lt;&gt;1,"",IF(I2989="SBJ","CB","?"))</f>
        <v> </v>
      </c>
      <c r="I2989" s="26" t="str">
        <f>IF(OR(E2989="",E2989="!!!",F2989="NEW"),"",INDEX(B2988:B$2,-1+SUMPRODUCT(MAX(ROW(E2988:E$2)*(E2989=E2988:E$2)))))</f>
        <v> </v>
      </c>
      <c r="J2989" s="26" t="str">
        <f>IF(OR(E2989="",E2989="!!!",F2989="NEW"),"",COUNTBLANK(OFFSET(A$1,,,SUMPRODUCT(MAX(ROW(E$2:E2989)*(E2989=E$2:E2989)))))-COUNTBLANK(OFFSET(A$1,,,SUMPRODUCT(MAX(ROW(E$1:E2988)*(E2=E$1:E2988))))))</f>
        <v> </v>
      </c>
      <c r="K2989" s="26" t="str">
        <f>IF(OR(E2989="",E2989="!!!",F2989="NEW"),"",INDEX(J$1:J2988,SUMPRODUCT(MAX(ROW(E$1:E2988)*(E2989=E$1:E2988)))))</f>
        <v> </v>
      </c>
      <c r="L2989" s="27"/>
    </row>
    <row r="2990" spans="1:12">
      <c r="A2990" s="20" t="s">
        <v>1809</v>
      </c>
      <c r="E2990" s="22">
        <f>IF(D2990="?OLD","!!!","")</f>
        <v/>
      </c>
      <c r="F2990" s="23" t="str">
        <f>IF(OR(E2990="",E2990="!!!"),"",IF(NOT(ISNA(VLOOKUP(E2990,E$1:E2989,1,FALSE()))),"OLD",IF(AND(E2990&lt;&gt;"",E2990&lt;&gt;"!!!"),"NEW","")))</f>
        <v> </v>
      </c>
      <c r="G2990" s="24" t="str">
        <f>IF(OR(E2990="",E2990="!!!"),"",IF(OR(J2990=0,AND(J2990=1,K2990=1),AND(J2990=1,I2990="SBJ"),AND(J2990=1,I2990=0)),"?IN_FOCUS",IF(J2990&lt;=2,"?ACTIVATED",IF(J2990&lt;&gt;"","?FAMILIAR",IF(F2990="NEW",IF(ISNA(VLOOKUP(E2990,#REF!,1,FALSE())),"?TYPE_IDENTIFIABLE","?REFERENTIAL"),"_")))))</f>
        <v> </v>
      </c>
      <c r="H2990" s="25" t="str">
        <f>IF(J2990&lt;&gt;1,"",IF(I2990="SBJ","CB","?"))</f>
        <v> </v>
      </c>
      <c r="I2990" s="26" t="str">
        <f>IF(OR(E2990="",E2990="!!!",F2990="NEW"),"",INDEX(B2989:B$2,-1+SUMPRODUCT(MAX(ROW(E2989:E$2)*(E2990=E2989:E$2)))))</f>
        <v> </v>
      </c>
      <c r="J2990" s="26" t="str">
        <f>IF(OR(E2990="",E2990="!!!",F2990="NEW"),"",COUNTBLANK(OFFSET(A$1,,,SUMPRODUCT(MAX(ROW(E$2:E2990)*(E2990=E$2:E2990)))))-COUNTBLANK(OFFSET(A$1,,,SUMPRODUCT(MAX(ROW(E$1:E2989)*(E2=E$1:E2989))))))</f>
        <v> </v>
      </c>
      <c r="K2990" s="26" t="str">
        <f>IF(OR(E2990="",E2990="!!!",F2990="NEW"),"",INDEX(J$1:J2989,SUMPRODUCT(MAX(ROW(E$1:E2989)*(E2990=E$1:E2989)))))</f>
        <v> </v>
      </c>
      <c r="L2990" s="27"/>
    </row>
    <row r="2991" spans="1:12">
      <c r="A2991" s="20" t="s">
        <v>1450</v>
      </c>
      <c r="B2991" s="21" t="s">
        <v>728</v>
      </c>
      <c r="C2991" s="21" t="s">
        <v>756</v>
      </c>
      <c r="E2991" s="22">
        <f>IF(D2991="?OLD","!!!","")</f>
        <v/>
      </c>
      <c r="F2991" s="23" t="str">
        <f>IF(OR(E2991="",E2991="!!!"),"",IF(NOT(ISNA(VLOOKUP(E2991,E$1:E2990,1,FALSE()))),"OLD",IF(AND(E2991&lt;&gt;"",E2991&lt;&gt;"!!!"),"NEW","")))</f>
        <v> </v>
      </c>
      <c r="G2991" s="24" t="str">
        <f>IF(OR(E2991="",E2991="!!!"),"",IF(OR(J2991=0,AND(J2991=1,K2991=1),AND(J2991=1,I2991="SBJ"),AND(J2991=1,I2991=0)),"?IN_FOCUS",IF(J2991&lt;=2,"?ACTIVATED",IF(J2991&lt;&gt;"","?FAMILIAR",IF(F2991="NEW",IF(ISNA(VLOOKUP(E2991,#REF!,1,FALSE())),"?TYPE_IDENTIFIABLE","?REFERENTIAL"),"_")))))</f>
        <v> </v>
      </c>
      <c r="H2991" s="25" t="str">
        <f>IF(J2991&lt;&gt;1,"",IF(I2991="SBJ","CB","?"))</f>
        <v> </v>
      </c>
      <c r="I2991" s="26" t="str">
        <f>IF(OR(E2991="",E2991="!!!",F2991="NEW"),"",INDEX(B2990:B$2,-1+SUMPRODUCT(MAX(ROW(E2990:E$2)*(E2991=E2990:E$2)))))</f>
        <v> </v>
      </c>
      <c r="J2991" s="26" t="str">
        <f>IF(OR(E2991="",E2991="!!!",F2991="NEW"),"",COUNTBLANK(OFFSET(A$1,,,SUMPRODUCT(MAX(ROW(E$2:E2991)*(E2991=E$2:E2991)))))-COUNTBLANK(OFFSET(A$1,,,SUMPRODUCT(MAX(ROW(E$1:E2990)*(E2=E$1:E2990))))))</f>
        <v> </v>
      </c>
      <c r="K2991" s="26" t="str">
        <f>IF(OR(E2991="",E2991="!!!",F2991="NEW"),"",INDEX(J$1:J2990,SUMPRODUCT(MAX(ROW(E$1:E2990)*(E2991=E$1:E2990)))))</f>
        <v> </v>
      </c>
      <c r="L2991" s="27"/>
    </row>
    <row r="2992" spans="1:12">
      <c r="A2992" s="20" t="s">
        <v>759</v>
      </c>
      <c r="E2992" s="22">
        <f>IF(D2992="?OLD","!!!","")</f>
        <v/>
      </c>
      <c r="F2992" s="23" t="str">
        <f>IF(OR(E2992="",E2992="!!!"),"",IF(NOT(ISNA(VLOOKUP(E2992,E$1:E2991,1,FALSE()))),"OLD",IF(AND(E2992&lt;&gt;"",E2992&lt;&gt;"!!!"),"NEW","")))</f>
        <v> </v>
      </c>
      <c r="G2992" s="24" t="str">
        <f>IF(OR(E2992="",E2992="!!!"),"",IF(OR(J2992=0,AND(J2992=1,K2992=1),AND(J2992=1,I2992="SBJ"),AND(J2992=1,I2992=0)),"?IN_FOCUS",IF(J2992&lt;=2,"?ACTIVATED",IF(J2992&lt;&gt;"","?FAMILIAR",IF(F2992="NEW",IF(ISNA(VLOOKUP(E2992,#REF!,1,FALSE())),"?TYPE_IDENTIFIABLE","?REFERENTIAL"),"_")))))</f>
        <v> </v>
      </c>
      <c r="H2992" s="25" t="str">
        <f>IF(J2992&lt;&gt;1,"",IF(I2992="SBJ","CB","?"))</f>
        <v> </v>
      </c>
      <c r="I2992" s="26" t="str">
        <f>IF(OR(E2992="",E2992="!!!",F2992="NEW"),"",INDEX(B2991:B$2,-1+SUMPRODUCT(MAX(ROW(E2991:E$2)*(E2992=E2991:E$2)))))</f>
        <v> </v>
      </c>
      <c r="J2992" s="26" t="str">
        <f>IF(OR(E2992="",E2992="!!!",F2992="NEW"),"",COUNTBLANK(OFFSET(A$1,,,SUMPRODUCT(MAX(ROW(E$2:E2992)*(E2992=E$2:E2992)))))-COUNTBLANK(OFFSET(A$1,,,SUMPRODUCT(MAX(ROW(E$1:E2991)*(E2=E$1:E2991))))))</f>
        <v> </v>
      </c>
      <c r="K2992" s="26" t="str">
        <f>IF(OR(E2992="",E2992="!!!",F2992="NEW"),"",INDEX(J$1:J2991,SUMPRODUCT(MAX(ROW(E$1:E2991)*(E2992=E$1:E2991)))))</f>
        <v> </v>
      </c>
      <c r="L2992" s="27"/>
    </row>
    <row r="2993" spans="1:12">
      <c r="A2993" s="20" t="s">
        <v>808</v>
      </c>
      <c r="E2993" s="22">
        <f>IF(D2993="?OLD","!!!","")</f>
        <v/>
      </c>
      <c r="F2993" s="23" t="str">
        <f>IF(OR(E2993="",E2993="!!!"),"",IF(NOT(ISNA(VLOOKUP(E2993,E$1:E2992,1,FALSE()))),"OLD",IF(AND(E2993&lt;&gt;"",E2993&lt;&gt;"!!!"),"NEW","")))</f>
        <v> </v>
      </c>
      <c r="G2993" s="24" t="str">
        <f>IF(OR(E2993="",E2993="!!!"),"",IF(OR(J2993=0,AND(J2993=1,K2993=1),AND(J2993=1,I2993="SBJ"),AND(J2993=1,I2993=0)),"?IN_FOCUS",IF(J2993&lt;=2,"?ACTIVATED",IF(J2993&lt;&gt;"","?FAMILIAR",IF(F2993="NEW",IF(ISNA(VLOOKUP(E2993,#REF!,1,FALSE())),"?TYPE_IDENTIFIABLE","?REFERENTIAL"),"_")))))</f>
        <v> </v>
      </c>
      <c r="H2993" s="25" t="str">
        <f>IF(J2993&lt;&gt;1,"",IF(I2993="SBJ","CB","?"))</f>
        <v> </v>
      </c>
      <c r="I2993" s="26" t="str">
        <f>IF(OR(E2993="",E2993="!!!",F2993="NEW"),"",INDEX(B2992:B$2,-1+SUMPRODUCT(MAX(ROW(E2992:E$2)*(E2993=E2992:E$2)))))</f>
        <v> </v>
      </c>
      <c r="J2993" s="26" t="str">
        <f>IF(OR(E2993="",E2993="!!!",F2993="NEW"),"",COUNTBLANK(OFFSET(A$1,,,SUMPRODUCT(MAX(ROW(E$2:E2993)*(E2993=E$2:E2993)))))-COUNTBLANK(OFFSET(A$1,,,SUMPRODUCT(MAX(ROW(E$1:E2992)*(E2=E$1:E2992))))))</f>
        <v> </v>
      </c>
      <c r="K2993" s="26" t="str">
        <f>IF(OR(E2993="",E2993="!!!",F2993="NEW"),"",INDEX(J$1:J2992,SUMPRODUCT(MAX(ROW(E$1:E2992)*(E2993=E$1:E2992)))))</f>
        <v> </v>
      </c>
      <c r="L2993" s="27"/>
    </row>
    <row r="2994" spans="1:12">
      <c r="A2994" s="20" t="s">
        <v>813</v>
      </c>
      <c r="E2994" s="22">
        <f>IF(D2994="?OLD","!!!","")</f>
        <v/>
      </c>
      <c r="F2994" s="23" t="str">
        <f>IF(OR(E2994="",E2994="!!!"),"",IF(NOT(ISNA(VLOOKUP(E2994,E$1:E2993,1,FALSE()))),"OLD",IF(AND(E2994&lt;&gt;"",E2994&lt;&gt;"!!!"),"NEW","")))</f>
        <v> </v>
      </c>
      <c r="G2994" s="24" t="str">
        <f>IF(OR(E2994="",E2994="!!!"),"",IF(OR(J2994=0,AND(J2994=1,K2994=1),AND(J2994=1,I2994="SBJ"),AND(J2994=1,I2994=0)),"?IN_FOCUS",IF(J2994&lt;=2,"?ACTIVATED",IF(J2994&lt;&gt;"","?FAMILIAR",IF(F2994="NEW",IF(ISNA(VLOOKUP(E2994,#REF!,1,FALSE())),"?TYPE_IDENTIFIABLE","?REFERENTIAL"),"_")))))</f>
        <v> </v>
      </c>
      <c r="H2994" s="25" t="str">
        <f>IF(J2994&lt;&gt;1,"",IF(I2994="SBJ","CB","?"))</f>
        <v> </v>
      </c>
      <c r="I2994" s="26" t="str">
        <f>IF(OR(E2994="",E2994="!!!",F2994="NEW"),"",INDEX(B2993:B$2,-1+SUMPRODUCT(MAX(ROW(E2993:E$2)*(E2994=E2993:E$2)))))</f>
        <v> </v>
      </c>
      <c r="J2994" s="26" t="str">
        <f>IF(OR(E2994="",E2994="!!!",F2994="NEW"),"",COUNTBLANK(OFFSET(A$1,,,SUMPRODUCT(MAX(ROW(E$2:E2994)*(E2994=E$2:E2994)))))-COUNTBLANK(OFFSET(A$1,,,SUMPRODUCT(MAX(ROW(E$1:E2993)*(E2=E$1:E2993))))))</f>
        <v> </v>
      </c>
      <c r="K2994" s="26" t="str">
        <f>IF(OR(E2994="",E2994="!!!",F2994="NEW"),"",INDEX(J$1:J2993,SUMPRODUCT(MAX(ROW(E$1:E2993)*(E2994=E$1:E2993)))))</f>
        <v> </v>
      </c>
      <c r="L2994" s="27"/>
    </row>
    <row r="2995" spans="1:12">
      <c r="A2995" s="20" t="s">
        <v>1810</v>
      </c>
      <c r="E2995" s="22">
        <f>IF(D2995="?OLD","!!!","")</f>
        <v/>
      </c>
      <c r="F2995" s="23" t="str">
        <f>IF(OR(E2995="",E2995="!!!"),"",IF(NOT(ISNA(VLOOKUP(E2995,E$1:E2994,1,FALSE()))),"OLD",IF(AND(E2995&lt;&gt;"",E2995&lt;&gt;"!!!"),"NEW","")))</f>
        <v> </v>
      </c>
      <c r="G2995" s="24" t="str">
        <f>IF(OR(E2995="",E2995="!!!"),"",IF(OR(J2995=0,AND(J2995=1,K2995=1),AND(J2995=1,I2995="SBJ"),AND(J2995=1,I2995=0)),"?IN_FOCUS",IF(J2995&lt;=2,"?ACTIVATED",IF(J2995&lt;&gt;"","?FAMILIAR",IF(F2995="NEW",IF(ISNA(VLOOKUP(E2995,#REF!,1,FALSE())),"?TYPE_IDENTIFIABLE","?REFERENTIAL"),"_")))))</f>
        <v> </v>
      </c>
      <c r="H2995" s="25" t="str">
        <f>IF(J2995&lt;&gt;1,"",IF(I2995="SBJ","CB","?"))</f>
        <v> </v>
      </c>
      <c r="I2995" s="26" t="str">
        <f>IF(OR(E2995="",E2995="!!!",F2995="NEW"),"",INDEX(B2994:B$2,-1+SUMPRODUCT(MAX(ROW(E2994:E$2)*(E2995=E2994:E$2)))))</f>
        <v> </v>
      </c>
      <c r="J2995" s="26" t="str">
        <f>IF(OR(E2995="",E2995="!!!",F2995="NEW"),"",COUNTBLANK(OFFSET(A$1,,,SUMPRODUCT(MAX(ROW(E$2:E2995)*(E2995=E$2:E2995)))))-COUNTBLANK(OFFSET(A$1,,,SUMPRODUCT(MAX(ROW(E$1:E2994)*(E2=E$1:E2994))))))</f>
        <v> </v>
      </c>
      <c r="K2995" s="26" t="str">
        <f>IF(OR(E2995="",E2995="!!!",F2995="NEW"),"",INDEX(J$1:J2994,SUMPRODUCT(MAX(ROW(E$1:E2994)*(E2995=E$1:E2994)))))</f>
        <v> </v>
      </c>
      <c r="L2995" s="27"/>
    </row>
    <row r="2996" spans="1:12">
      <c r="A2996" s="20" t="s">
        <v>1811</v>
      </c>
      <c r="B2996" s="21" t="s">
        <v>796</v>
      </c>
      <c r="C2996" s="21" t="s">
        <v>753</v>
      </c>
      <c r="D2996" s="21" t="s">
        <v>730</v>
      </c>
      <c r="E2996" s="22">
        <f>IF(D2996="?OLD","!!!","")</f>
        <v/>
      </c>
      <c r="F2996" s="23" t="str">
        <f>IF(OR(E2996="",E2996="!!!"),"",IF(NOT(ISNA(VLOOKUP(E2996,E$1:E2995,1,FALSE()))),"OLD",IF(AND(E2996&lt;&gt;"",E2996&lt;&gt;"!!!"),"NEW","")))</f>
        <v> </v>
      </c>
      <c r="G2996" s="24" t="str">
        <f>IF(OR(E2996="",E2996="!!!"),"",IF(OR(J2996=0,AND(J2996=1,K2996=1),AND(J2996=1,I2996="SBJ"),AND(J2996=1,I2996=0)),"?IN_FOCUS",IF(J2996&lt;=2,"?ACTIVATED",IF(J2996&lt;&gt;"","?FAMILIAR",IF(F2996="NEW",IF(ISNA(VLOOKUP(E2996,#REF!,1,FALSE())),"?TYPE_IDENTIFIABLE","?REFERENTIAL"),"_")))))</f>
        <v> </v>
      </c>
      <c r="H2996" s="25" t="str">
        <f>IF(J2996&lt;&gt;1,"",IF(I2996="SBJ","CB","?"))</f>
        <v> </v>
      </c>
      <c r="I2996" s="26" t="str">
        <f>IF(OR(E2996="",E2996="!!!",F2996="NEW"),"",INDEX(B2995:B$2,-1+SUMPRODUCT(MAX(ROW(E2995:E$2)*(E2996=E2995:E$2)))))</f>
        <v> </v>
      </c>
      <c r="J2996" s="26" t="str">
        <f>IF(OR(E2996="",E2996="!!!",F2996="NEW"),"",COUNTBLANK(OFFSET(A$1,,,SUMPRODUCT(MAX(ROW(E$2:E2996)*(E2996=E$2:E2996)))))-COUNTBLANK(OFFSET(A$1,,,SUMPRODUCT(MAX(ROW(E$1:E2995)*(E2=E$1:E2995))))))</f>
        <v> </v>
      </c>
      <c r="K2996" s="26" t="str">
        <f>IF(OR(E2996="",E2996="!!!",F2996="NEW"),"",INDEX(J$1:J2995,SUMPRODUCT(MAX(ROW(E$1:E2995)*(E2996=E$1:E2995)))))</f>
        <v> </v>
      </c>
      <c r="L2996" s="27"/>
    </row>
    <row r="2997" spans="1:12">
      <c r="A2997" s="20" t="s">
        <v>813</v>
      </c>
      <c r="E2997" s="22">
        <f>IF(D2997="?OLD","!!!","")</f>
        <v/>
      </c>
      <c r="F2997" s="23" t="str">
        <f>IF(OR(E2997="",E2997="!!!"),"",IF(NOT(ISNA(VLOOKUP(E2997,E$1:E2996,1,FALSE()))),"OLD",IF(AND(E2997&lt;&gt;"",E2997&lt;&gt;"!!!"),"NEW","")))</f>
        <v> </v>
      </c>
      <c r="G2997" s="24" t="str">
        <f>IF(OR(E2997="",E2997="!!!"),"",IF(OR(J2997=0,AND(J2997=1,K2997=1),AND(J2997=1,I2997="SBJ"),AND(J2997=1,I2997=0)),"?IN_FOCUS",IF(J2997&lt;=2,"?ACTIVATED",IF(J2997&lt;&gt;"","?FAMILIAR",IF(F2997="NEW",IF(ISNA(VLOOKUP(E2997,#REF!,1,FALSE())),"?TYPE_IDENTIFIABLE","?REFERENTIAL"),"_")))))</f>
        <v> </v>
      </c>
      <c r="H2997" s="25" t="str">
        <f>IF(J2997&lt;&gt;1,"",IF(I2997="SBJ","CB","?"))</f>
        <v> </v>
      </c>
      <c r="I2997" s="26" t="str">
        <f>IF(OR(E2997="",E2997="!!!",F2997="NEW"),"",INDEX(B2996:B$2,-1+SUMPRODUCT(MAX(ROW(E2996:E$2)*(E2997=E2996:E$2)))))</f>
        <v> </v>
      </c>
      <c r="J2997" s="26" t="str">
        <f>IF(OR(E2997="",E2997="!!!",F2997="NEW"),"",COUNTBLANK(OFFSET(A$1,,,SUMPRODUCT(MAX(ROW(E$2:E2997)*(E2997=E$2:E2997)))))-COUNTBLANK(OFFSET(A$1,,,SUMPRODUCT(MAX(ROW(E$1:E2996)*(E2=E$1:E2996))))))</f>
        <v> </v>
      </c>
      <c r="K2997" s="26" t="str">
        <f>IF(OR(E2997="",E2997="!!!",F2997="NEW"),"",INDEX(J$1:J2996,SUMPRODUCT(MAX(ROW(E$1:E2996)*(E2997=E$1:E2996)))))</f>
        <v> </v>
      </c>
      <c r="L2997" s="27"/>
    </row>
    <row r="2998" spans="1:12">
      <c r="A2998" s="20" t="s">
        <v>1812</v>
      </c>
      <c r="B2998" s="21" t="s">
        <v>736</v>
      </c>
      <c r="C2998" s="21" t="s">
        <v>753</v>
      </c>
      <c r="D2998" s="21" t="s">
        <v>730</v>
      </c>
      <c r="E2998" s="22">
        <f>IF(D2998="?OLD","!!!","")</f>
        <v/>
      </c>
      <c r="F2998" s="23" t="str">
        <f>IF(OR(E2998="",E2998="!!!"),"",IF(NOT(ISNA(VLOOKUP(E2998,E$1:E2997,1,FALSE()))),"OLD",IF(AND(E2998&lt;&gt;"",E2998&lt;&gt;"!!!"),"NEW","")))</f>
        <v> </v>
      </c>
      <c r="G2998" s="24" t="str">
        <f>IF(OR(E2998="",E2998="!!!"),"",IF(OR(J2998=0,AND(J2998=1,K2998=1),AND(J2998=1,I2998="SBJ"),AND(J2998=1,I2998=0)),"?IN_FOCUS",IF(J2998&lt;=2,"?ACTIVATED",IF(J2998&lt;&gt;"","?FAMILIAR",IF(F2998="NEW",IF(ISNA(VLOOKUP(E2998,#REF!,1,FALSE())),"?TYPE_IDENTIFIABLE","?REFERENTIAL"),"_")))))</f>
        <v> </v>
      </c>
      <c r="H2998" s="25" t="str">
        <f>IF(J2998&lt;&gt;1,"",IF(I2998="SBJ","CB","?"))</f>
        <v> </v>
      </c>
      <c r="I2998" s="26" t="str">
        <f>IF(OR(E2998="",E2998="!!!",F2998="NEW"),"",INDEX(B2997:B$2,-1+SUMPRODUCT(MAX(ROW(E2997:E$2)*(E2998=E2997:E$2)))))</f>
        <v> </v>
      </c>
      <c r="J2998" s="26" t="str">
        <f>IF(OR(E2998="",E2998="!!!",F2998="NEW"),"",COUNTBLANK(OFFSET(A$1,,,SUMPRODUCT(MAX(ROW(E$2:E2998)*(E2998=E$2:E2998)))))-COUNTBLANK(OFFSET(A$1,,,SUMPRODUCT(MAX(ROW(E$1:E2997)*(E2=E$1:E2997))))))</f>
        <v> </v>
      </c>
      <c r="K2998" s="26" t="str">
        <f>IF(OR(E2998="",E2998="!!!",F2998="NEW"),"",INDEX(J$1:J2997,SUMPRODUCT(MAX(ROW(E$1:E2997)*(E2998=E$1:E2997)))))</f>
        <v> </v>
      </c>
      <c r="L2998" s="27"/>
    </row>
    <row r="2999" spans="1:12">
      <c r="A2999" s="20" t="s">
        <v>1087</v>
      </c>
      <c r="E2999" s="22">
        <f>IF(D2999="?OLD","!!!","")</f>
        <v/>
      </c>
      <c r="F2999" s="23" t="str">
        <f>IF(OR(E2999="",E2999="!!!"),"",IF(NOT(ISNA(VLOOKUP(E2999,E$1:E2998,1,FALSE()))),"OLD",IF(AND(E2999&lt;&gt;"",E2999&lt;&gt;"!!!"),"NEW","")))</f>
        <v> </v>
      </c>
      <c r="G2999" s="24" t="str">
        <f>IF(OR(E2999="",E2999="!!!"),"",IF(OR(J2999=0,AND(J2999=1,K2999=1),AND(J2999=1,I2999="SBJ"),AND(J2999=1,I2999=0)),"?IN_FOCUS",IF(J2999&lt;=2,"?ACTIVATED",IF(J2999&lt;&gt;"","?FAMILIAR",IF(F2999="NEW",IF(ISNA(VLOOKUP(E2999,#REF!,1,FALSE())),"?TYPE_IDENTIFIABLE","?REFERENTIAL"),"_")))))</f>
        <v> </v>
      </c>
      <c r="H2999" s="25" t="str">
        <f>IF(J2999&lt;&gt;1,"",IF(I2999="SBJ","CB","?"))</f>
        <v> </v>
      </c>
      <c r="I2999" s="26" t="str">
        <f>IF(OR(E2999="",E2999="!!!",F2999="NEW"),"",INDEX(B2998:B$2,-1+SUMPRODUCT(MAX(ROW(E2998:E$2)*(E2999=E2998:E$2)))))</f>
        <v> </v>
      </c>
      <c r="J2999" s="26" t="str">
        <f>IF(OR(E2999="",E2999="!!!",F2999="NEW"),"",COUNTBLANK(OFFSET(A$1,,,SUMPRODUCT(MAX(ROW(E$2:E2999)*(E2999=E$2:E2999)))))-COUNTBLANK(OFFSET(A$1,,,SUMPRODUCT(MAX(ROW(E$1:E2998)*(E2=E$1:E2998))))))</f>
        <v> </v>
      </c>
      <c r="K2999" s="26" t="str">
        <f>IF(OR(E2999="",E2999="!!!",F2999="NEW"),"",INDEX(J$1:J2998,SUMPRODUCT(MAX(ROW(E$1:E2998)*(E2999=E$1:E2998)))))</f>
        <v> </v>
      </c>
      <c r="L2999" s="27"/>
    </row>
    <row r="3000" spans="1:12">
      <c r="A3000" s="20" t="s">
        <v>759</v>
      </c>
      <c r="E3000" s="22">
        <f>IF(D3000="?OLD","!!!","")</f>
        <v/>
      </c>
      <c r="F3000" s="23" t="str">
        <f>IF(OR(E3000="",E3000="!!!"),"",IF(NOT(ISNA(VLOOKUP(E3000,E$1:E2999,1,FALSE()))),"OLD",IF(AND(E3000&lt;&gt;"",E3000&lt;&gt;"!!!"),"NEW","")))</f>
        <v> </v>
      </c>
      <c r="G3000" s="24" t="str">
        <f>IF(OR(E3000="",E3000="!!!"),"",IF(OR(J3000=0,AND(J3000=1,K3000=1),AND(J3000=1,I3000="SBJ"),AND(J3000=1,I3000=0)),"?IN_FOCUS",IF(J3000&lt;=2,"?ACTIVATED",IF(J3000&lt;&gt;"","?FAMILIAR",IF(F3000="NEW",IF(ISNA(VLOOKUP(E3000,#REF!,1,FALSE())),"?TYPE_IDENTIFIABLE","?REFERENTIAL"),"_")))))</f>
        <v> </v>
      </c>
      <c r="H3000" s="25" t="str">
        <f>IF(J3000&lt;&gt;1,"",IF(I3000="SBJ","CB","?"))</f>
        <v> </v>
      </c>
      <c r="I3000" s="26" t="str">
        <f>IF(OR(E3000="",E3000="!!!",F3000="NEW"),"",INDEX(B2999:B$2,-1+SUMPRODUCT(MAX(ROW(E2999:E$2)*(E3000=E2999:E$2)))))</f>
        <v> </v>
      </c>
      <c r="J3000" s="26" t="str">
        <f>IF(OR(E3000="",E3000="!!!",F3000="NEW"),"",COUNTBLANK(OFFSET(A$1,,,SUMPRODUCT(MAX(ROW(E$2:E3000)*(E3000=E$2:E3000)))))-COUNTBLANK(OFFSET(A$1,,,SUMPRODUCT(MAX(ROW(E$1:E2999)*(E2=E$1:E2999))))))</f>
        <v> </v>
      </c>
      <c r="K3000" s="26" t="str">
        <f>IF(OR(E3000="",E3000="!!!",F3000="NEW"),"",INDEX(J$1:J2999,SUMPRODUCT(MAX(ROW(E$1:E2999)*(E3000=E$1:E2999)))))</f>
        <v> </v>
      </c>
      <c r="L3000" s="27"/>
    </row>
    <row r="3001" spans="1:12">
      <c r="A3001" s="20" t="s">
        <v>813</v>
      </c>
      <c r="B3001" s="21" t="s">
        <v>843</v>
      </c>
      <c r="E3001" s="22">
        <f>IF(D3001="?OLD","!!!","")</f>
        <v/>
      </c>
      <c r="F3001" s="23" t="str">
        <f>IF(OR(E3001="",E3001="!!!"),"",IF(NOT(ISNA(VLOOKUP(E3001,E$1:E3000,1,FALSE()))),"OLD",IF(AND(E3001&lt;&gt;"",E3001&lt;&gt;"!!!"),"NEW","")))</f>
        <v> </v>
      </c>
      <c r="G3001" s="24" t="str">
        <f>IF(OR(E3001="",E3001="!!!"),"",IF(OR(J3001=0,AND(J3001=1,K3001=1),AND(J3001=1,I3001="SBJ"),AND(J3001=1,I3001=0)),"?IN_FOCUS",IF(J3001&lt;=2,"?ACTIVATED",IF(J3001&lt;&gt;"","?FAMILIAR",IF(F3001="NEW",IF(ISNA(VLOOKUP(E3001,#REF!,1,FALSE())),"?TYPE_IDENTIFIABLE","?REFERENTIAL"),"_")))))</f>
        <v> </v>
      </c>
      <c r="H3001" s="25" t="str">
        <f>IF(J3001&lt;&gt;1,"",IF(I3001="SBJ","CB","?"))</f>
        <v> </v>
      </c>
      <c r="I3001" s="26" t="str">
        <f>IF(OR(E3001="",E3001="!!!",F3001="NEW"),"",INDEX(B3000:B$2,-1+SUMPRODUCT(MAX(ROW(E3000:E$2)*(E3001=E3000:E$2)))))</f>
        <v> </v>
      </c>
      <c r="J3001" s="26" t="str">
        <f>IF(OR(E3001="",E3001="!!!",F3001="NEW"),"",COUNTBLANK(OFFSET(A$1,,,SUMPRODUCT(MAX(ROW(E$2:E3001)*(E3001=E$2:E3001)))))-COUNTBLANK(OFFSET(A$1,,,SUMPRODUCT(MAX(ROW(E$1:E3000)*(E2=E$1:E3000))))))</f>
        <v> </v>
      </c>
      <c r="K3001" s="26" t="str">
        <f>IF(OR(E3001="",E3001="!!!",F3001="NEW"),"",INDEX(J$1:J3000,SUMPRODUCT(MAX(ROW(E$1:E3000)*(E3001=E$1:E3000)))))</f>
        <v> </v>
      </c>
      <c r="L3001" s="27"/>
    </row>
    <row r="3002" spans="1:12">
      <c r="A3002" s="20" t="s">
        <v>1450</v>
      </c>
      <c r="B3002" s="21" t="s">
        <v>788</v>
      </c>
      <c r="C3002" s="21" t="s">
        <v>756</v>
      </c>
      <c r="E3002" s="22">
        <f>IF(D3002="?OLD","!!!","")</f>
        <v/>
      </c>
      <c r="F3002" s="23" t="str">
        <f>IF(OR(E3002="",E3002="!!!"),"",IF(NOT(ISNA(VLOOKUP(E3002,E$1:E3001,1,FALSE()))),"OLD",IF(AND(E3002&lt;&gt;"",E3002&lt;&gt;"!!!"),"NEW","")))</f>
        <v> </v>
      </c>
      <c r="G3002" s="24" t="str">
        <f>IF(OR(E3002="",E3002="!!!"),"",IF(OR(J3002=0,AND(J3002=1,K3002=1),AND(J3002=1,I3002="SBJ"),AND(J3002=1,I3002=0)),"?IN_FOCUS",IF(J3002&lt;=2,"?ACTIVATED",IF(J3002&lt;&gt;"","?FAMILIAR",IF(F3002="NEW",IF(ISNA(VLOOKUP(E3002,#REF!,1,FALSE())),"?TYPE_IDENTIFIABLE","?REFERENTIAL"),"_")))))</f>
        <v> </v>
      </c>
      <c r="H3002" s="25" t="str">
        <f>IF(J3002&lt;&gt;1,"",IF(I3002="SBJ","CB","?"))</f>
        <v> </v>
      </c>
      <c r="I3002" s="26" t="str">
        <f>IF(OR(E3002="",E3002="!!!",F3002="NEW"),"",INDEX(B3001:B$2,-1+SUMPRODUCT(MAX(ROW(E3001:E$2)*(E3002=E3001:E$2)))))</f>
        <v> </v>
      </c>
      <c r="J3002" s="26" t="str">
        <f>IF(OR(E3002="",E3002="!!!",F3002="NEW"),"",COUNTBLANK(OFFSET(A$1,,,SUMPRODUCT(MAX(ROW(E$2:E3002)*(E3002=E$2:E3002)))))-COUNTBLANK(OFFSET(A$1,,,SUMPRODUCT(MAX(ROW(E$1:E3001)*(E2=E$1:E3001))))))</f>
        <v> </v>
      </c>
      <c r="K3002" s="26" t="str">
        <f>IF(OR(E3002="",E3002="!!!",F3002="NEW"),"",INDEX(J$1:J3001,SUMPRODUCT(MAX(ROW(E$1:E3001)*(E3002=E$1:E3001)))))</f>
        <v> </v>
      </c>
      <c r="L3002" s="27"/>
    </row>
    <row r="3003" spans="1:12">
      <c r="A3003" s="20" t="s">
        <v>1688</v>
      </c>
      <c r="E3003" s="22">
        <f>IF(D3003="?OLD","!!!","")</f>
        <v/>
      </c>
      <c r="F3003" s="23" t="str">
        <f>IF(OR(E3003="",E3003="!!!"),"",IF(NOT(ISNA(VLOOKUP(E3003,E$1:E3002,1,FALSE()))),"OLD",IF(AND(E3003&lt;&gt;"",E3003&lt;&gt;"!!!"),"NEW","")))</f>
        <v> </v>
      </c>
      <c r="G3003" s="24" t="str">
        <f>IF(OR(E3003="",E3003="!!!"),"",IF(OR(J3003=0,AND(J3003=1,K3003=1),AND(J3003=1,I3003="SBJ"),AND(J3003=1,I3003=0)),"?IN_FOCUS",IF(J3003&lt;=2,"?ACTIVATED",IF(J3003&lt;&gt;"","?FAMILIAR",IF(F3003="NEW",IF(ISNA(VLOOKUP(E3003,#REF!,1,FALSE())),"?TYPE_IDENTIFIABLE","?REFERENTIAL"),"_")))))</f>
        <v> </v>
      </c>
      <c r="H3003" s="25" t="str">
        <f>IF(J3003&lt;&gt;1,"",IF(I3003="SBJ","CB","?"))</f>
        <v> </v>
      </c>
      <c r="I3003" s="26" t="str">
        <f>IF(OR(E3003="",E3003="!!!",F3003="NEW"),"",INDEX(B3002:B$2,-1+SUMPRODUCT(MAX(ROW(E3002:E$2)*(E3003=E3002:E$2)))))</f>
        <v> </v>
      </c>
      <c r="J3003" s="26" t="str">
        <f>IF(OR(E3003="",E3003="!!!",F3003="NEW"),"",COUNTBLANK(OFFSET(A$1,,,SUMPRODUCT(MAX(ROW(E$2:E3003)*(E3003=E$2:E3003)))))-COUNTBLANK(OFFSET(A$1,,,SUMPRODUCT(MAX(ROW(E$1:E3002)*(E2=E$1:E3002))))))</f>
        <v> </v>
      </c>
      <c r="K3003" s="26" t="str">
        <f>IF(OR(E3003="",E3003="!!!",F3003="NEW"),"",INDEX(J$1:J3002,SUMPRODUCT(MAX(ROW(E$1:E3002)*(E3003=E$1:E3002)))))</f>
        <v> </v>
      </c>
      <c r="L3003" s="27"/>
    </row>
    <row r="3004" spans="1:12">
      <c r="A3004" s="20" t="s">
        <v>1813</v>
      </c>
      <c r="E3004" s="22">
        <f>IF(D3004="?OLD","!!!","")</f>
        <v/>
      </c>
      <c r="F3004" s="23" t="str">
        <f>IF(OR(E3004="",E3004="!!!"),"",IF(NOT(ISNA(VLOOKUP(E3004,E$1:E3003,1,FALSE()))),"OLD",IF(AND(E3004&lt;&gt;"",E3004&lt;&gt;"!!!"),"NEW","")))</f>
        <v> </v>
      </c>
      <c r="G3004" s="24" t="str">
        <f>IF(OR(E3004="",E3004="!!!"),"",IF(OR(J3004=0,AND(J3004=1,K3004=1),AND(J3004=1,I3004="SBJ"),AND(J3004=1,I3004=0)),"?IN_FOCUS",IF(J3004&lt;=2,"?ACTIVATED",IF(J3004&lt;&gt;"","?FAMILIAR",IF(F3004="NEW",IF(ISNA(VLOOKUP(E3004,#REF!,1,FALSE())),"?TYPE_IDENTIFIABLE","?REFERENTIAL"),"_")))))</f>
        <v> </v>
      </c>
      <c r="H3004" s="25" t="str">
        <f>IF(J3004&lt;&gt;1,"",IF(I3004="SBJ","CB","?"))</f>
        <v> </v>
      </c>
      <c r="I3004" s="26" t="str">
        <f>IF(OR(E3004="",E3004="!!!",F3004="NEW"),"",INDEX(B3003:B$2,-1+SUMPRODUCT(MAX(ROW(E3003:E$2)*(E3004=E3003:E$2)))))</f>
        <v> </v>
      </c>
      <c r="J3004" s="26" t="str">
        <f>IF(OR(E3004="",E3004="!!!",F3004="NEW"),"",COUNTBLANK(OFFSET(A$1,,,SUMPRODUCT(MAX(ROW(E$2:E3004)*(E3004=E$2:E3004)))))-COUNTBLANK(OFFSET(A$1,,,SUMPRODUCT(MAX(ROW(E$1:E3003)*(E2=E$1:E3003))))))</f>
        <v> </v>
      </c>
      <c r="K3004" s="26" t="str">
        <f>IF(OR(E3004="",E3004="!!!",F3004="NEW"),"",INDEX(J$1:J3003,SUMPRODUCT(MAX(ROW(E$1:E3003)*(E3004=E$1:E3003)))))</f>
        <v> </v>
      </c>
      <c r="L3004" s="27"/>
    </row>
    <row r="3005" spans="1:12">
      <c r="A3005" s="20" t="s">
        <v>884</v>
      </c>
      <c r="E3005" s="22">
        <f>IF(D3005="?OLD","!!!","")</f>
        <v/>
      </c>
      <c r="F3005" s="23" t="str">
        <f>IF(OR(E3005="",E3005="!!!"),"",IF(NOT(ISNA(VLOOKUP(E3005,E$1:E3004,1,FALSE()))),"OLD",IF(AND(E3005&lt;&gt;"",E3005&lt;&gt;"!!!"),"NEW","")))</f>
        <v> </v>
      </c>
      <c r="G3005" s="24" t="str">
        <f>IF(OR(E3005="",E3005="!!!"),"",IF(OR(J3005=0,AND(J3005=1,K3005=1),AND(J3005=1,I3005="SBJ"),AND(J3005=1,I3005=0)),"?IN_FOCUS",IF(J3005&lt;=2,"?ACTIVATED",IF(J3005&lt;&gt;"","?FAMILIAR",IF(F3005="NEW",IF(ISNA(VLOOKUP(E3005,#REF!,1,FALSE())),"?TYPE_IDENTIFIABLE","?REFERENTIAL"),"_")))))</f>
        <v> </v>
      </c>
      <c r="H3005" s="25" t="str">
        <f>IF(J3005&lt;&gt;1,"",IF(I3005="SBJ","CB","?"))</f>
        <v> </v>
      </c>
      <c r="I3005" s="26" t="str">
        <f>IF(OR(E3005="",E3005="!!!",F3005="NEW"),"",INDEX(B3004:B$2,-1+SUMPRODUCT(MAX(ROW(E3004:E$2)*(E3005=E3004:E$2)))))</f>
        <v> </v>
      </c>
      <c r="J3005" s="26" t="str">
        <f>IF(OR(E3005="",E3005="!!!",F3005="NEW"),"",COUNTBLANK(OFFSET(A$1,,,SUMPRODUCT(MAX(ROW(E$2:E3005)*(E3005=E$2:E3005)))))-COUNTBLANK(OFFSET(A$1,,,SUMPRODUCT(MAX(ROW(E$1:E3004)*(E2=E$1:E3004))))))</f>
        <v> </v>
      </c>
      <c r="K3005" s="26" t="str">
        <f>IF(OR(E3005="",E3005="!!!",F3005="NEW"),"",INDEX(J$1:J3004,SUMPRODUCT(MAX(ROW(E$1:E3004)*(E3005=E$1:E3004)))))</f>
        <v> </v>
      </c>
      <c r="L3005" s="27"/>
    </row>
    <row r="3006" spans="1:12">
      <c r="A3006" s="20" t="s">
        <v>759</v>
      </c>
      <c r="E3006" s="22">
        <f>IF(D3006="?OLD","!!!","")</f>
        <v/>
      </c>
      <c r="F3006" s="23" t="str">
        <f>IF(OR(E3006="",E3006="!!!"),"",IF(NOT(ISNA(VLOOKUP(E3006,E$1:E3005,1,FALSE()))),"OLD",IF(AND(E3006&lt;&gt;"",E3006&lt;&gt;"!!!"),"NEW","")))</f>
        <v> </v>
      </c>
      <c r="G3006" s="24" t="str">
        <f>IF(OR(E3006="",E3006="!!!"),"",IF(OR(J3006=0,AND(J3006=1,K3006=1),AND(J3006=1,I3006="SBJ"),AND(J3006=1,I3006=0)),"?IN_FOCUS",IF(J3006&lt;=2,"?ACTIVATED",IF(J3006&lt;&gt;"","?FAMILIAR",IF(F3006="NEW",IF(ISNA(VLOOKUP(E3006,#REF!,1,FALSE())),"?TYPE_IDENTIFIABLE","?REFERENTIAL"),"_")))))</f>
        <v> </v>
      </c>
      <c r="H3006" s="25" t="str">
        <f>IF(J3006&lt;&gt;1,"",IF(I3006="SBJ","CB","?"))</f>
        <v> </v>
      </c>
      <c r="I3006" s="26" t="str">
        <f>IF(OR(E3006="",E3006="!!!",F3006="NEW"),"",INDEX(B3005:B$2,-1+SUMPRODUCT(MAX(ROW(E3005:E$2)*(E3006=E3005:E$2)))))</f>
        <v> </v>
      </c>
      <c r="J3006" s="26" t="str">
        <f>IF(OR(E3006="",E3006="!!!",F3006="NEW"),"",COUNTBLANK(OFFSET(A$1,,,SUMPRODUCT(MAX(ROW(E$2:E3006)*(E3006=E$2:E3006)))))-COUNTBLANK(OFFSET(A$1,,,SUMPRODUCT(MAX(ROW(E$1:E3005)*(E2=E$1:E3005))))))</f>
        <v> </v>
      </c>
      <c r="K3006" s="26" t="str">
        <f>IF(OR(E3006="",E3006="!!!",F3006="NEW"),"",INDEX(J$1:J3005,SUMPRODUCT(MAX(ROW(E$1:E3005)*(E3006=E$1:E3005)))))</f>
        <v> </v>
      </c>
      <c r="L3006" s="27"/>
    </row>
    <row r="3007" spans="1:12">
      <c r="A3007" s="20" t="s">
        <v>1814</v>
      </c>
      <c r="E3007" s="22">
        <f>IF(D3007="?OLD","!!!","")</f>
        <v/>
      </c>
      <c r="F3007" s="23" t="str">
        <f>IF(OR(E3007="",E3007="!!!"),"",IF(NOT(ISNA(VLOOKUP(E3007,E$1:E3006,1,FALSE()))),"OLD",IF(AND(E3007&lt;&gt;"",E3007&lt;&gt;"!!!"),"NEW","")))</f>
        <v> </v>
      </c>
      <c r="G3007" s="24" t="str">
        <f>IF(OR(E3007="",E3007="!!!"),"",IF(OR(J3007=0,AND(J3007=1,K3007=1),AND(J3007=1,I3007="SBJ"),AND(J3007=1,I3007=0)),"?IN_FOCUS",IF(J3007&lt;=2,"?ACTIVATED",IF(J3007&lt;&gt;"","?FAMILIAR",IF(F3007="NEW",IF(ISNA(VLOOKUP(E3007,#REF!,1,FALSE())),"?TYPE_IDENTIFIABLE","?REFERENTIAL"),"_")))))</f>
        <v> </v>
      </c>
      <c r="H3007" s="25" t="str">
        <f>IF(J3007&lt;&gt;1,"",IF(I3007="SBJ","CB","?"))</f>
        <v> </v>
      </c>
      <c r="I3007" s="26" t="str">
        <f>IF(OR(E3007="",E3007="!!!",F3007="NEW"),"",INDEX(B3006:B$2,-1+SUMPRODUCT(MAX(ROW(E3006:E$2)*(E3007=E3006:E$2)))))</f>
        <v> </v>
      </c>
      <c r="J3007" s="26" t="str">
        <f>IF(OR(E3007="",E3007="!!!",F3007="NEW"),"",COUNTBLANK(OFFSET(A$1,,,SUMPRODUCT(MAX(ROW(E$2:E3007)*(E3007=E$2:E3007)))))-COUNTBLANK(OFFSET(A$1,,,SUMPRODUCT(MAX(ROW(E$1:E3006)*(E2=E$1:E3006))))))</f>
        <v> </v>
      </c>
      <c r="K3007" s="26" t="str">
        <f>IF(OR(E3007="",E3007="!!!",F3007="NEW"),"",INDEX(J$1:J3006,SUMPRODUCT(MAX(ROW(E$1:E3006)*(E3007=E$1:E3006)))))</f>
        <v> </v>
      </c>
      <c r="L3007" s="27"/>
    </row>
    <row r="3008" spans="1:12">
      <c r="A3008" s="20" t="s">
        <v>1450</v>
      </c>
      <c r="B3008" s="21" t="s">
        <v>777</v>
      </c>
      <c r="C3008" s="21" t="s">
        <v>756</v>
      </c>
      <c r="E3008" s="22">
        <f>IF(D3008="?OLD","!!!","")</f>
        <v/>
      </c>
      <c r="F3008" s="23" t="str">
        <f>IF(OR(E3008="",E3008="!!!"),"",IF(NOT(ISNA(VLOOKUP(E3008,E$1:E3007,1,FALSE()))),"OLD",IF(AND(E3008&lt;&gt;"",E3008&lt;&gt;"!!!"),"NEW","")))</f>
        <v> </v>
      </c>
      <c r="G3008" s="24" t="str">
        <f>IF(OR(E3008="",E3008="!!!"),"",IF(OR(J3008=0,AND(J3008=1,K3008=1),AND(J3008=1,I3008="SBJ"),AND(J3008=1,I3008=0)),"?IN_FOCUS",IF(J3008&lt;=2,"?ACTIVATED",IF(J3008&lt;&gt;"","?FAMILIAR",IF(F3008="NEW",IF(ISNA(VLOOKUP(E3008,#REF!,1,FALSE())),"?TYPE_IDENTIFIABLE","?REFERENTIAL"),"_")))))</f>
        <v> </v>
      </c>
      <c r="H3008" s="25" t="str">
        <f>IF(J3008&lt;&gt;1,"",IF(I3008="SBJ","CB","?"))</f>
        <v> </v>
      </c>
      <c r="I3008" s="26" t="str">
        <f>IF(OR(E3008="",E3008="!!!",F3008="NEW"),"",INDEX(B3007:B$2,-1+SUMPRODUCT(MAX(ROW(E3007:E$2)*(E3008=E3007:E$2)))))</f>
        <v> </v>
      </c>
      <c r="J3008" s="26" t="str">
        <f>IF(OR(E3008="",E3008="!!!",F3008="NEW"),"",COUNTBLANK(OFFSET(A$1,,,SUMPRODUCT(MAX(ROW(E$2:E3008)*(E3008=E$2:E3008)))))-COUNTBLANK(OFFSET(A$1,,,SUMPRODUCT(MAX(ROW(E$1:E3007)*(E2=E$1:E3007))))))</f>
        <v> </v>
      </c>
      <c r="K3008" s="26" t="str">
        <f>IF(OR(E3008="",E3008="!!!",F3008="NEW"),"",INDEX(J$1:J3007,SUMPRODUCT(MAX(ROW(E$1:E3007)*(E3008=E$1:E3007)))))</f>
        <v> </v>
      </c>
      <c r="L3008" s="27"/>
    </row>
    <row r="3009" spans="1:12">
      <c r="A3009" s="20" t="s">
        <v>762</v>
      </c>
      <c r="E3009" s="22">
        <f>IF(D3009="?OLD","!!!","")</f>
        <v/>
      </c>
      <c r="F3009" s="23" t="str">
        <f>IF(OR(E3009="",E3009="!!!"),"",IF(NOT(ISNA(VLOOKUP(E3009,E$1:E3008,1,FALSE()))),"OLD",IF(AND(E3009&lt;&gt;"",E3009&lt;&gt;"!!!"),"NEW","")))</f>
        <v> </v>
      </c>
      <c r="G3009" s="24" t="str">
        <f>IF(OR(E3009="",E3009="!!!"),"",IF(OR(J3009=0,AND(J3009=1,K3009=1),AND(J3009=1,I3009="SBJ"),AND(J3009=1,I3009=0)),"?IN_FOCUS",IF(J3009&lt;=2,"?ACTIVATED",IF(J3009&lt;&gt;"","?FAMILIAR",IF(F3009="NEW",IF(ISNA(VLOOKUP(E3009,#REF!,1,FALSE())),"?TYPE_IDENTIFIABLE","?REFERENTIAL"),"_")))))</f>
        <v> </v>
      </c>
      <c r="H3009" s="25" t="str">
        <f>IF(J3009&lt;&gt;1,"",IF(I3009="SBJ","CB","?"))</f>
        <v> </v>
      </c>
      <c r="I3009" s="26" t="str">
        <f>IF(OR(E3009="",E3009="!!!",F3009="NEW"),"",INDEX(B3008:B$2,-1+SUMPRODUCT(MAX(ROW(E3008:E$2)*(E3009=E3008:E$2)))))</f>
        <v> </v>
      </c>
      <c r="J3009" s="26" t="str">
        <f>IF(OR(E3009="",E3009="!!!",F3009="NEW"),"",COUNTBLANK(OFFSET(A$1,,,SUMPRODUCT(MAX(ROW(E$2:E3009)*(E3009=E$2:E3009)))))-COUNTBLANK(OFFSET(A$1,,,SUMPRODUCT(MAX(ROW(E$1:E3008)*(E2=E$1:E3008))))))</f>
        <v> </v>
      </c>
      <c r="K3009" s="26" t="str">
        <f>IF(OR(E3009="",E3009="!!!",F3009="NEW"),"",INDEX(J$1:J3008,SUMPRODUCT(MAX(ROW(E$1:E3008)*(E3009=E$1:E3008)))))</f>
        <v> </v>
      </c>
      <c r="L3009" s="27"/>
    </row>
    <row r="3010" spans="1:12">
      <c r="A3010" s="20" t="s">
        <v>1785</v>
      </c>
      <c r="B3010" s="21" t="s">
        <v>780</v>
      </c>
      <c r="C3010" s="21" t="s">
        <v>737</v>
      </c>
      <c r="E3010" s="22">
        <f>IF(D3010="?OLD","!!!","")</f>
        <v/>
      </c>
      <c r="F3010" s="23" t="str">
        <f>IF(OR(E3010="",E3010="!!!"),"",IF(NOT(ISNA(VLOOKUP(E3010,E$1:E3009,1,FALSE()))),"OLD",IF(AND(E3010&lt;&gt;"",E3010&lt;&gt;"!!!"),"NEW","")))</f>
        <v> </v>
      </c>
      <c r="G3010" s="24" t="str">
        <f>IF(OR(E3010="",E3010="!!!"),"",IF(OR(J3010=0,AND(J3010=1,K3010=1),AND(J3010=1,I3010="SBJ"),AND(J3010=1,I3010=0)),"?IN_FOCUS",IF(J3010&lt;=2,"?ACTIVATED",IF(J3010&lt;&gt;"","?FAMILIAR",IF(F3010="NEW",IF(ISNA(VLOOKUP(E3010,#REF!,1,FALSE())),"?TYPE_IDENTIFIABLE","?REFERENTIAL"),"_")))))</f>
        <v> </v>
      </c>
      <c r="H3010" s="25" t="str">
        <f>IF(J3010&lt;&gt;1,"",IF(I3010="SBJ","CB","?"))</f>
        <v> </v>
      </c>
      <c r="I3010" s="26" t="str">
        <f>IF(OR(E3010="",E3010="!!!",F3010="NEW"),"",INDEX(B3009:B$2,-1+SUMPRODUCT(MAX(ROW(E3009:E$2)*(E3010=E3009:E$2)))))</f>
        <v> </v>
      </c>
      <c r="J3010" s="26" t="str">
        <f>IF(OR(E3010="",E3010="!!!",F3010="NEW"),"",COUNTBLANK(OFFSET(A$1,,,SUMPRODUCT(MAX(ROW(E$2:E3010)*(E3010=E$2:E3010)))))-COUNTBLANK(OFFSET(A$1,,,SUMPRODUCT(MAX(ROW(E$1:E3009)*(E2=E$1:E3009))))))</f>
        <v> </v>
      </c>
      <c r="K3010" s="26" t="str">
        <f>IF(OR(E3010="",E3010="!!!",F3010="NEW"),"",INDEX(J$1:J3009,SUMPRODUCT(MAX(ROW(E$1:E3009)*(E3010=E$1:E3009)))))</f>
        <v> </v>
      </c>
      <c r="L3010" s="27"/>
    </row>
    <row r="3011" spans="1:12">
      <c r="A3011" s="20" t="s">
        <v>1815</v>
      </c>
      <c r="E3011" s="22">
        <f>IF(D3011="?OLD","!!!","")</f>
        <v/>
      </c>
      <c r="F3011" s="23" t="str">
        <f>IF(OR(E3011="",E3011="!!!"),"",IF(NOT(ISNA(VLOOKUP(E3011,E$1:E3010,1,FALSE()))),"OLD",IF(AND(E3011&lt;&gt;"",E3011&lt;&gt;"!!!"),"NEW","")))</f>
        <v> </v>
      </c>
      <c r="G3011" s="24" t="str">
        <f>IF(OR(E3011="",E3011="!!!"),"",IF(OR(J3011=0,AND(J3011=1,K3011=1),AND(J3011=1,I3011="SBJ"),AND(J3011=1,I3011=0)),"?IN_FOCUS",IF(J3011&lt;=2,"?ACTIVATED",IF(J3011&lt;&gt;"","?FAMILIAR",IF(F3011="NEW",IF(ISNA(VLOOKUP(E3011,#REF!,1,FALSE())),"?TYPE_IDENTIFIABLE","?REFERENTIAL"),"_")))))</f>
        <v> </v>
      </c>
      <c r="H3011" s="25" t="str">
        <f>IF(J3011&lt;&gt;1,"",IF(I3011="SBJ","CB","?"))</f>
        <v> </v>
      </c>
      <c r="I3011" s="26" t="str">
        <f>IF(OR(E3011="",E3011="!!!",F3011="NEW"),"",INDEX(B3010:B$2,-1+SUMPRODUCT(MAX(ROW(E3010:E$2)*(E3011=E3010:E$2)))))</f>
        <v> </v>
      </c>
      <c r="J3011" s="26" t="str">
        <f>IF(OR(E3011="",E3011="!!!",F3011="NEW"),"",COUNTBLANK(OFFSET(A$1,,,SUMPRODUCT(MAX(ROW(E$2:E3011)*(E3011=E$2:E3011)))))-COUNTBLANK(OFFSET(A$1,,,SUMPRODUCT(MAX(ROW(E$1:E3010)*(E2=E$1:E3010))))))</f>
        <v> </v>
      </c>
      <c r="K3011" s="26" t="str">
        <f>IF(OR(E3011="",E3011="!!!",F3011="NEW"),"",INDEX(J$1:J3010,SUMPRODUCT(MAX(ROW(E$1:E3010)*(E3011=E$1:E3010)))))</f>
        <v> </v>
      </c>
      <c r="L3011" s="27"/>
    </row>
    <row r="3012" spans="1:12">
      <c r="A3012" s="20" t="s">
        <v>884</v>
      </c>
      <c r="E3012" s="22">
        <f>IF(D3012="?OLD","!!!","")</f>
        <v/>
      </c>
      <c r="F3012" s="23" t="str">
        <f>IF(OR(E3012="",E3012="!!!"),"",IF(NOT(ISNA(VLOOKUP(E3012,E$1:E3011,1,FALSE()))),"OLD",IF(AND(E3012&lt;&gt;"",E3012&lt;&gt;"!!!"),"NEW","")))</f>
        <v> </v>
      </c>
      <c r="G3012" s="24" t="str">
        <f>IF(OR(E3012="",E3012="!!!"),"",IF(OR(J3012=0,AND(J3012=1,K3012=1),AND(J3012=1,I3012="SBJ"),AND(J3012=1,I3012=0)),"?IN_FOCUS",IF(J3012&lt;=2,"?ACTIVATED",IF(J3012&lt;&gt;"","?FAMILIAR",IF(F3012="NEW",IF(ISNA(VLOOKUP(E3012,#REF!,1,FALSE())),"?TYPE_IDENTIFIABLE","?REFERENTIAL"),"_")))))</f>
        <v> </v>
      </c>
      <c r="H3012" s="25" t="str">
        <f>IF(J3012&lt;&gt;1,"",IF(I3012="SBJ","CB","?"))</f>
        <v> </v>
      </c>
      <c r="I3012" s="26" t="str">
        <f>IF(OR(E3012="",E3012="!!!",F3012="NEW"),"",INDEX(B3011:B$2,-1+SUMPRODUCT(MAX(ROW(E3011:E$2)*(E3012=E3011:E$2)))))</f>
        <v> </v>
      </c>
      <c r="J3012" s="26" t="str">
        <f>IF(OR(E3012="",E3012="!!!",F3012="NEW"),"",COUNTBLANK(OFFSET(A$1,,,SUMPRODUCT(MAX(ROW(E$2:E3012)*(E3012=E$2:E3012)))))-COUNTBLANK(OFFSET(A$1,,,SUMPRODUCT(MAX(ROW(E$1:E3011)*(E2=E$1:E3011))))))</f>
        <v> </v>
      </c>
      <c r="K3012" s="26" t="str">
        <f>IF(OR(E3012="",E3012="!!!",F3012="NEW"),"",INDEX(J$1:J3011,SUMPRODUCT(MAX(ROW(E$1:E3011)*(E3012=E$1:E3011)))))</f>
        <v> </v>
      </c>
      <c r="L3012" s="27"/>
    </row>
    <row r="3013" spans="1:12">
      <c r="A3013" s="20" t="s">
        <v>759</v>
      </c>
      <c r="E3013" s="22">
        <f>IF(D3013="?OLD","!!!","")</f>
        <v/>
      </c>
      <c r="F3013" s="23" t="str">
        <f>IF(OR(E3013="",E3013="!!!"),"",IF(NOT(ISNA(VLOOKUP(E3013,E$1:E3012,1,FALSE()))),"OLD",IF(AND(E3013&lt;&gt;"",E3013&lt;&gt;"!!!"),"NEW","")))</f>
        <v> </v>
      </c>
      <c r="G3013" s="24" t="str">
        <f>IF(OR(E3013="",E3013="!!!"),"",IF(OR(J3013=0,AND(J3013=1,K3013=1),AND(J3013=1,I3013="SBJ"),AND(J3013=1,I3013=0)),"?IN_FOCUS",IF(J3013&lt;=2,"?ACTIVATED",IF(J3013&lt;&gt;"","?FAMILIAR",IF(F3013="NEW",IF(ISNA(VLOOKUP(E3013,#REF!,1,FALSE())),"?TYPE_IDENTIFIABLE","?REFERENTIAL"),"_")))))</f>
        <v> </v>
      </c>
      <c r="H3013" s="25" t="str">
        <f>IF(J3013&lt;&gt;1,"",IF(I3013="SBJ","CB","?"))</f>
        <v> </v>
      </c>
      <c r="I3013" s="26" t="str">
        <f>IF(OR(E3013="",E3013="!!!",F3013="NEW"),"",INDEX(B3012:B$2,-1+SUMPRODUCT(MAX(ROW(E3012:E$2)*(E3013=E3012:E$2)))))</f>
        <v> </v>
      </c>
      <c r="J3013" s="26" t="str">
        <f>IF(OR(E3013="",E3013="!!!",F3013="NEW"),"",COUNTBLANK(OFFSET(A$1,,,SUMPRODUCT(MAX(ROW(E$2:E3013)*(E3013=E$2:E3013)))))-COUNTBLANK(OFFSET(A$1,,,SUMPRODUCT(MAX(ROW(E$1:E3012)*(E2=E$1:E3012))))))</f>
        <v> </v>
      </c>
      <c r="K3013" s="26" t="str">
        <f>IF(OR(E3013="",E3013="!!!",F3013="NEW"),"",INDEX(J$1:J3012,SUMPRODUCT(MAX(ROW(E$1:E3012)*(E3013=E$1:E3012)))))</f>
        <v> </v>
      </c>
      <c r="L3013" s="27"/>
    </row>
    <row r="3014" spans="1:12">
      <c r="A3014" s="20" t="s">
        <v>813</v>
      </c>
      <c r="B3014" s="21" t="s">
        <v>791</v>
      </c>
      <c r="E3014" s="22">
        <f>IF(D3014="?OLD","!!!","")</f>
        <v/>
      </c>
      <c r="F3014" s="23" t="str">
        <f>IF(OR(E3014="",E3014="!!!"),"",IF(NOT(ISNA(VLOOKUP(E3014,E$1:E3013,1,FALSE()))),"OLD",IF(AND(E3014&lt;&gt;"",E3014&lt;&gt;"!!!"),"NEW","")))</f>
        <v> </v>
      </c>
      <c r="G3014" s="24" t="str">
        <f>IF(OR(E3014="",E3014="!!!"),"",IF(OR(J3014=0,AND(J3014=1,K3014=1),AND(J3014=1,I3014="SBJ"),AND(J3014=1,I3014=0)),"?IN_FOCUS",IF(J3014&lt;=2,"?ACTIVATED",IF(J3014&lt;&gt;"","?FAMILIAR",IF(F3014="NEW",IF(ISNA(VLOOKUP(E3014,#REF!,1,FALSE())),"?TYPE_IDENTIFIABLE","?REFERENTIAL"),"_")))))</f>
        <v> </v>
      </c>
      <c r="H3014" s="25" t="str">
        <f>IF(J3014&lt;&gt;1,"",IF(I3014="SBJ","CB","?"))</f>
        <v> </v>
      </c>
      <c r="I3014" s="26" t="str">
        <f>IF(OR(E3014="",E3014="!!!",F3014="NEW"),"",INDEX(B3013:B$2,-1+SUMPRODUCT(MAX(ROW(E3013:E$2)*(E3014=E3013:E$2)))))</f>
        <v> </v>
      </c>
      <c r="J3014" s="26" t="str">
        <f>IF(OR(E3014="",E3014="!!!",F3014="NEW"),"",COUNTBLANK(OFFSET(A$1,,,SUMPRODUCT(MAX(ROW(E$2:E3014)*(E3014=E$2:E3014)))))-COUNTBLANK(OFFSET(A$1,,,SUMPRODUCT(MAX(ROW(E$1:E3013)*(E2=E$1:E3013))))))</f>
        <v> </v>
      </c>
      <c r="K3014" s="26" t="str">
        <f>IF(OR(E3014="",E3014="!!!",F3014="NEW"),"",INDEX(J$1:J3013,SUMPRODUCT(MAX(ROW(E$1:E3013)*(E3014=E$1:E3013)))))</f>
        <v> </v>
      </c>
      <c r="L3014" s="27"/>
    </row>
    <row r="3015" spans="1:12">
      <c r="A3015" s="20" t="s">
        <v>1450</v>
      </c>
      <c r="B3015" s="21" t="s">
        <v>796</v>
      </c>
      <c r="C3015" s="21" t="s">
        <v>756</v>
      </c>
      <c r="E3015" s="22">
        <f>IF(D3015="?OLD","!!!","")</f>
        <v/>
      </c>
      <c r="F3015" s="23" t="str">
        <f>IF(OR(E3015="",E3015="!!!"),"",IF(NOT(ISNA(VLOOKUP(E3015,E$1:E3014,1,FALSE()))),"OLD",IF(AND(E3015&lt;&gt;"",E3015&lt;&gt;"!!!"),"NEW","")))</f>
        <v> </v>
      </c>
      <c r="G3015" s="24" t="str">
        <f>IF(OR(E3015="",E3015="!!!"),"",IF(OR(J3015=0,AND(J3015=1,K3015=1),AND(J3015=1,I3015="SBJ"),AND(J3015=1,I3015=0)),"?IN_FOCUS",IF(J3015&lt;=2,"?ACTIVATED",IF(J3015&lt;&gt;"","?FAMILIAR",IF(F3015="NEW",IF(ISNA(VLOOKUP(E3015,#REF!,1,FALSE())),"?TYPE_IDENTIFIABLE","?REFERENTIAL"),"_")))))</f>
        <v> </v>
      </c>
      <c r="H3015" s="25" t="str">
        <f>IF(J3015&lt;&gt;1,"",IF(I3015="SBJ","CB","?"))</f>
        <v> </v>
      </c>
      <c r="I3015" s="26" t="str">
        <f>IF(OR(E3015="",E3015="!!!",F3015="NEW"),"",INDEX(B3014:B$2,-1+SUMPRODUCT(MAX(ROW(E3014:E$2)*(E3015=E3014:E$2)))))</f>
        <v> </v>
      </c>
      <c r="J3015" s="26" t="str">
        <f>IF(OR(E3015="",E3015="!!!",F3015="NEW"),"",COUNTBLANK(OFFSET(A$1,,,SUMPRODUCT(MAX(ROW(E$2:E3015)*(E3015=E$2:E3015)))))-COUNTBLANK(OFFSET(A$1,,,SUMPRODUCT(MAX(ROW(E$1:E3014)*(E2=E$1:E3014))))))</f>
        <v> </v>
      </c>
      <c r="K3015" s="26" t="str">
        <f>IF(OR(E3015="",E3015="!!!",F3015="NEW"),"",INDEX(J$1:J3014,SUMPRODUCT(MAX(ROW(E$1:E3014)*(E3015=E$1:E3014)))))</f>
        <v> </v>
      </c>
      <c r="L3015" s="27"/>
    </row>
    <row r="3016" spans="1:12">
      <c r="A3016" s="20" t="s">
        <v>1816</v>
      </c>
      <c r="B3016" s="21" t="s">
        <v>791</v>
      </c>
      <c r="C3016" s="21" t="s">
        <v>789</v>
      </c>
      <c r="D3016" s="21" t="s">
        <v>730</v>
      </c>
      <c r="E3016" s="22">
        <f>IF(D3016="?OLD","!!!","")</f>
        <v/>
      </c>
      <c r="F3016" s="23" t="str">
        <f>IF(OR(E3016="",E3016="!!!"),"",IF(NOT(ISNA(VLOOKUP(E3016,E$1:E3015,1,FALSE()))),"OLD",IF(AND(E3016&lt;&gt;"",E3016&lt;&gt;"!!!"),"NEW","")))</f>
        <v> </v>
      </c>
      <c r="G3016" s="24" t="str">
        <f>IF(OR(E3016="",E3016="!!!"),"",IF(OR(J3016=0,AND(J3016=1,K3016=1),AND(J3016=1,I3016="SBJ"),AND(J3016=1,I3016=0)),"?IN_FOCUS",IF(J3016&lt;=2,"?ACTIVATED",IF(J3016&lt;&gt;"","?FAMILIAR",IF(F3016="NEW",IF(ISNA(VLOOKUP(E3016,#REF!,1,FALSE())),"?TYPE_IDENTIFIABLE","?REFERENTIAL"),"_")))))</f>
        <v> </v>
      </c>
      <c r="H3016" s="25" t="str">
        <f>IF(J3016&lt;&gt;1,"",IF(I3016="SBJ","CB","?"))</f>
        <v> </v>
      </c>
      <c r="I3016" s="26" t="str">
        <f>IF(OR(E3016="",E3016="!!!",F3016="NEW"),"",INDEX(B3015:B$2,-1+SUMPRODUCT(MAX(ROW(E3015:E$2)*(E3016=E3015:E$2)))))</f>
        <v> </v>
      </c>
      <c r="J3016" s="26" t="str">
        <f>IF(OR(E3016="",E3016="!!!",F3016="NEW"),"",COUNTBLANK(OFFSET(A$1,,,SUMPRODUCT(MAX(ROW(E$2:E3016)*(E3016=E$2:E3016)))))-COUNTBLANK(OFFSET(A$1,,,SUMPRODUCT(MAX(ROW(E$1:E3015)*(E2=E$1:E3015))))))</f>
        <v> </v>
      </c>
      <c r="K3016" s="26" t="str">
        <f>IF(OR(E3016="",E3016="!!!",F3016="NEW"),"",INDEX(J$1:J3015,SUMPRODUCT(MAX(ROW(E$1:E3015)*(E3016=E$1:E3015)))))</f>
        <v> </v>
      </c>
      <c r="L3016" s="27"/>
    </row>
    <row r="3017" spans="1:12">
      <c r="A3017" s="20" t="s">
        <v>1817</v>
      </c>
      <c r="B3017" s="21" t="s">
        <v>755</v>
      </c>
      <c r="C3017" s="21" t="s">
        <v>756</v>
      </c>
      <c r="E3017" s="22">
        <f>IF(D3017="?OLD","!!!","")</f>
        <v/>
      </c>
      <c r="F3017" s="23" t="str">
        <f>IF(OR(E3017="",E3017="!!!"),"",IF(NOT(ISNA(VLOOKUP(E3017,E$1:E3016,1,FALSE()))),"OLD",IF(AND(E3017&lt;&gt;"",E3017&lt;&gt;"!!!"),"NEW","")))</f>
        <v> </v>
      </c>
      <c r="G3017" s="24" t="str">
        <f>IF(OR(E3017="",E3017="!!!"),"",IF(OR(J3017=0,AND(J3017=1,K3017=1),AND(J3017=1,I3017="SBJ"),AND(J3017=1,I3017=0)),"?IN_FOCUS",IF(J3017&lt;=2,"?ACTIVATED",IF(J3017&lt;&gt;"","?FAMILIAR",IF(F3017="NEW",IF(ISNA(VLOOKUP(E3017,#REF!,1,FALSE())),"?TYPE_IDENTIFIABLE","?REFERENTIAL"),"_")))))</f>
        <v> </v>
      </c>
      <c r="H3017" s="25" t="str">
        <f>IF(J3017&lt;&gt;1,"",IF(I3017="SBJ","CB","?"))</f>
        <v> </v>
      </c>
      <c r="I3017" s="26" t="str">
        <f>IF(OR(E3017="",E3017="!!!",F3017="NEW"),"",INDEX(B3016:B$2,-1+SUMPRODUCT(MAX(ROW(E3016:E$2)*(E3017=E3016:E$2)))))</f>
        <v> </v>
      </c>
      <c r="J3017" s="26" t="str">
        <f>IF(OR(E3017="",E3017="!!!",F3017="NEW"),"",COUNTBLANK(OFFSET(A$1,,,SUMPRODUCT(MAX(ROW(E$2:E3017)*(E3017=E$2:E3017)))))-COUNTBLANK(OFFSET(A$1,,,SUMPRODUCT(MAX(ROW(E$1:E3016)*(E2=E$1:E3016))))))</f>
        <v> </v>
      </c>
      <c r="K3017" s="26" t="str">
        <f>IF(OR(E3017="",E3017="!!!",F3017="NEW"),"",INDEX(J$1:J3016,SUMPRODUCT(MAX(ROW(E$1:E3016)*(E3017=E$1:E3016)))))</f>
        <v> </v>
      </c>
      <c r="L3017" s="27"/>
    </row>
    <row r="3018" spans="1:12">
      <c r="A3018" s="20" t="s">
        <v>1818</v>
      </c>
      <c r="E3018" s="22">
        <f>IF(D3018="?OLD","!!!","")</f>
        <v/>
      </c>
      <c r="F3018" s="23" t="str">
        <f>IF(OR(E3018="",E3018="!!!"),"",IF(NOT(ISNA(VLOOKUP(E3018,E$1:E3017,1,FALSE()))),"OLD",IF(AND(E3018&lt;&gt;"",E3018&lt;&gt;"!!!"),"NEW","")))</f>
        <v> </v>
      </c>
      <c r="G3018" s="24" t="str">
        <f>IF(OR(E3018="",E3018="!!!"),"",IF(OR(J3018=0,AND(J3018=1,K3018=1),AND(J3018=1,I3018="SBJ"),AND(J3018=1,I3018=0)),"?IN_FOCUS",IF(J3018&lt;=2,"?ACTIVATED",IF(J3018&lt;&gt;"","?FAMILIAR",IF(F3018="NEW",IF(ISNA(VLOOKUP(E3018,#REF!,1,FALSE())),"?TYPE_IDENTIFIABLE","?REFERENTIAL"),"_")))))</f>
        <v> </v>
      </c>
      <c r="H3018" s="25" t="str">
        <f>IF(J3018&lt;&gt;1,"",IF(I3018="SBJ","CB","?"))</f>
        <v> </v>
      </c>
      <c r="I3018" s="26" t="str">
        <f>IF(OR(E3018="",E3018="!!!",F3018="NEW"),"",INDEX(B3017:B$2,-1+SUMPRODUCT(MAX(ROW(E3017:E$2)*(E3018=E3017:E$2)))))</f>
        <v> </v>
      </c>
      <c r="J3018" s="26" t="str">
        <f>IF(OR(E3018="",E3018="!!!",F3018="NEW"),"",COUNTBLANK(OFFSET(A$1,,,SUMPRODUCT(MAX(ROW(E$2:E3018)*(E3018=E$2:E3018)))))-COUNTBLANK(OFFSET(A$1,,,SUMPRODUCT(MAX(ROW(E$1:E3017)*(E2=E$1:E3017))))))</f>
        <v> </v>
      </c>
      <c r="K3018" s="26" t="str">
        <f>IF(OR(E3018="",E3018="!!!",F3018="NEW"),"",INDEX(J$1:J3017,SUMPRODUCT(MAX(ROW(E$1:E3017)*(E3018=E$1:E3017)))))</f>
        <v> </v>
      </c>
      <c r="L3018" s="27"/>
    </row>
    <row r="3019" spans="1:12">
      <c r="A3019" s="20" t="s">
        <v>1406</v>
      </c>
      <c r="E3019" s="22">
        <f>IF(D3019="?OLD","!!!","")</f>
        <v/>
      </c>
      <c r="F3019" s="23" t="str">
        <f>IF(OR(E3019="",E3019="!!!"),"",IF(NOT(ISNA(VLOOKUP(E3019,E$1:E3018,1,FALSE()))),"OLD",IF(AND(E3019&lt;&gt;"",E3019&lt;&gt;"!!!"),"NEW","")))</f>
        <v> </v>
      </c>
      <c r="G3019" s="24" t="str">
        <f>IF(OR(E3019="",E3019="!!!"),"",IF(OR(J3019=0,AND(J3019=1,K3019=1),AND(J3019=1,I3019="SBJ"),AND(J3019=1,I3019=0)),"?IN_FOCUS",IF(J3019&lt;=2,"?ACTIVATED",IF(J3019&lt;&gt;"","?FAMILIAR",IF(F3019="NEW",IF(ISNA(VLOOKUP(E3019,#REF!,1,FALSE())),"?TYPE_IDENTIFIABLE","?REFERENTIAL"),"_")))))</f>
        <v> </v>
      </c>
      <c r="H3019" s="25" t="str">
        <f>IF(J3019&lt;&gt;1,"",IF(I3019="SBJ","CB","?"))</f>
        <v> </v>
      </c>
      <c r="I3019" s="26" t="str">
        <f>IF(OR(E3019="",E3019="!!!",F3019="NEW"),"",INDEX(B3018:B$2,-1+SUMPRODUCT(MAX(ROW(E3018:E$2)*(E3019=E3018:E$2)))))</f>
        <v> </v>
      </c>
      <c r="J3019" s="26" t="str">
        <f>IF(OR(E3019="",E3019="!!!",F3019="NEW"),"",COUNTBLANK(OFFSET(A$1,,,SUMPRODUCT(MAX(ROW(E$2:E3019)*(E3019=E$2:E3019)))))-COUNTBLANK(OFFSET(A$1,,,SUMPRODUCT(MAX(ROW(E$1:E3018)*(E2=E$1:E3018))))))</f>
        <v> </v>
      </c>
      <c r="K3019" s="26" t="str">
        <f>IF(OR(E3019="",E3019="!!!",F3019="NEW"),"",INDEX(J$1:J3018,SUMPRODUCT(MAX(ROW(E$1:E3018)*(E3019=E$1:E3018)))))</f>
        <v> </v>
      </c>
      <c r="L3019" s="27"/>
    </row>
    <row r="3020" spans="1:12">
      <c r="A3020" s="20" t="s">
        <v>246</v>
      </c>
      <c r="E3020" s="22">
        <f>IF(D3020="?OLD","!!!","")</f>
        <v/>
      </c>
      <c r="F3020" s="23" t="str">
        <f>IF(OR(E3020="",E3020="!!!"),"",IF(NOT(ISNA(VLOOKUP(E3020,E$1:E3019,1,FALSE()))),"OLD",IF(AND(E3020&lt;&gt;"",E3020&lt;&gt;"!!!"),"NEW","")))</f>
        <v> </v>
      </c>
      <c r="G3020" s="24" t="str">
        <f>IF(OR(E3020="",E3020="!!!"),"",IF(OR(J3020=0,AND(J3020=1,K3020=1),AND(J3020=1,I3020="SBJ"),AND(J3020=1,I3020=0)),"?IN_FOCUS",IF(J3020&lt;=2,"?ACTIVATED",IF(J3020&lt;&gt;"","?FAMILIAR",IF(F3020="NEW",IF(ISNA(VLOOKUP(E3020,#REF!,1,FALSE())),"?TYPE_IDENTIFIABLE","?REFERENTIAL"),"_")))))</f>
        <v> </v>
      </c>
      <c r="H3020" s="25" t="str">
        <f>IF(J3020&lt;&gt;1,"",IF(I3020="SBJ","CB","?"))</f>
        <v> </v>
      </c>
      <c r="I3020" s="26" t="str">
        <f>IF(OR(E3020="",E3020="!!!",F3020="NEW"),"",INDEX(B3019:B$2,-1+SUMPRODUCT(MAX(ROW(E3019:E$2)*(E3020=E3019:E$2)))))</f>
        <v> </v>
      </c>
      <c r="J3020" s="26" t="str">
        <f>IF(OR(E3020="",E3020="!!!",F3020="NEW"),"",COUNTBLANK(OFFSET(A$1,,,SUMPRODUCT(MAX(ROW(E$2:E3020)*(E3020=E$2:E3020)))))-COUNTBLANK(OFFSET(A$1,,,SUMPRODUCT(MAX(ROW(E$1:E3019)*(E2=E$1:E3019))))))</f>
        <v> </v>
      </c>
      <c r="K3020" s="26" t="str">
        <f>IF(OR(E3020="",E3020="!!!",F3020="NEW"),"",INDEX(J$1:J3019,SUMPRODUCT(MAX(ROW(E$1:E3019)*(E3020=E$1:E3019)))))</f>
        <v> </v>
      </c>
      <c r="L3020" s="27"/>
    </row>
    <row r="3021" spans="1:12">
      <c r="A3021" s="20"/>
    </row>
    <row r="3022" spans="1:12">
      <c r="A3022" s="20" t="s">
        <v>798</v>
      </c>
      <c r="E3022" s="22">
        <f>IF(D3022="?OLD","!!!","")</f>
        <v/>
      </c>
      <c r="F3022" s="23" t="str">
        <f>IF(OR(E3022="",E3022="!!!"),"",IF(NOT(ISNA(VLOOKUP(E3022,E$1:E3021,1,FALSE()))),"OLD",IF(AND(E3022&lt;&gt;"",E3022&lt;&gt;"!!!"),"NEW","")))</f>
        <v> </v>
      </c>
      <c r="G3022" s="24" t="str">
        <f>IF(OR(E3022="",E3022="!!!"),"",IF(OR(J3022=0,AND(J3022=1,K3022=1),AND(J3022=1,I3022="SBJ"),AND(J3022=1,I3022=0)),"?IN_FOCUS",IF(J3022&lt;=2,"?ACTIVATED",IF(J3022&lt;&gt;"","?FAMILIAR",IF(F3022="NEW",IF(ISNA(VLOOKUP(E3022,#REF!,1,FALSE())),"?TYPE_IDENTIFIABLE","?REFERENTIAL"),"_")))))</f>
        <v> </v>
      </c>
      <c r="H3022" s="25" t="str">
        <f>IF(J3022&lt;&gt;1,"",IF(I3022="SBJ","CB","?"))</f>
        <v> </v>
      </c>
      <c r="I3022" s="26" t="str">
        <f>IF(OR(E3022="",E3022="!!!",F3022="NEW"),"",INDEX(B3021:B$2,-1+SUMPRODUCT(MAX(ROW(E3021:E$2)*(E3022=E3021:E$2)))))</f>
        <v> </v>
      </c>
      <c r="J3022" s="26" t="str">
        <f>IF(OR(E3022="",E3022="!!!",F3022="NEW"),"",COUNTBLANK(OFFSET(A$1,,,SUMPRODUCT(MAX(ROW(E$2:E3022)*(E3022=E$2:E3022)))))-COUNTBLANK(OFFSET(A$1,,,SUMPRODUCT(MAX(ROW(E$1:E3021)*(E2=E$1:E3021))))))</f>
        <v> </v>
      </c>
      <c r="K3022" s="26" t="str">
        <f>IF(OR(E3022="",E3022="!!!",F3022="NEW"),"",INDEX(J$1:J3021,SUMPRODUCT(MAX(ROW(E$1:E3021)*(E3022=E$1:E3021)))))</f>
        <v> </v>
      </c>
      <c r="L3022" s="27"/>
    </row>
    <row r="3023" spans="1:12">
      <c r="A3023" s="20" t="s">
        <v>1819</v>
      </c>
    </row>
    <row r="3024" spans="1:12">
      <c r="A3024" s="20" t="s">
        <v>919</v>
      </c>
      <c r="E3024" s="22">
        <f>IF(D3024="?OLD","!!!","")</f>
        <v/>
      </c>
      <c r="F3024" s="23" t="str">
        <f>IF(OR(E3024="",E3024="!!!"),"",IF(NOT(ISNA(VLOOKUP(E3024,E$1:E3023,1,FALSE()))),"OLD",IF(AND(E3024&lt;&gt;"",E3024&lt;&gt;"!!!"),"NEW","")))</f>
        <v> </v>
      </c>
      <c r="G3024" s="24" t="str">
        <f>IF(OR(E3024="",E3024="!!!"),"",IF(OR(J3024=0,AND(J3024=1,K3024=1),AND(J3024=1,I3024="SBJ"),AND(J3024=1,I3024=0)),"?IN_FOCUS",IF(J3024&lt;=2,"?ACTIVATED",IF(J3024&lt;&gt;"","?FAMILIAR",IF(F3024="NEW",IF(ISNA(VLOOKUP(E3024,#REF!,1,FALSE())),"?TYPE_IDENTIFIABLE","?REFERENTIAL"),"_")))))</f>
        <v> </v>
      </c>
      <c r="H3024" s="25" t="str">
        <f>IF(J3024&lt;&gt;1,"",IF(I3024="SBJ","CB","?"))</f>
        <v> </v>
      </c>
      <c r="I3024" s="26" t="str">
        <f>IF(OR(E3024="",E3024="!!!",F3024="NEW"),"",INDEX(B3023:B$2,-1+SUMPRODUCT(MAX(ROW(E3023:E$2)*(E3024=E3023:E$2)))))</f>
        <v> </v>
      </c>
      <c r="J3024" s="26" t="str">
        <f>IF(OR(E3024="",E3024="!!!",F3024="NEW"),"",COUNTBLANK(OFFSET(A$1,,,SUMPRODUCT(MAX(ROW(E$2:E3024)*(E3024=E$2:E3024)))))-COUNTBLANK(OFFSET(A$1,,,SUMPRODUCT(MAX(ROW(E$1:E3023)*(E2=E$1:E3023))))))</f>
        <v> </v>
      </c>
      <c r="K3024" s="26" t="str">
        <f>IF(OR(E3024="",E3024="!!!",F3024="NEW"),"",INDEX(J$1:J3023,SUMPRODUCT(MAX(ROW(E$1:E3023)*(E3024=E$1:E3023)))))</f>
        <v> </v>
      </c>
      <c r="L3024" s="27"/>
    </row>
    <row r="3025" spans="1:12">
      <c r="A3025" s="20" t="s">
        <v>1450</v>
      </c>
      <c r="B3025" s="21" t="s">
        <v>796</v>
      </c>
      <c r="C3025" s="21" t="s">
        <v>756</v>
      </c>
      <c r="E3025" s="22">
        <f>IF(D3025="?OLD","!!!","")</f>
        <v/>
      </c>
      <c r="F3025" s="23" t="str">
        <f>IF(OR(E3025="",E3025="!!!"),"",IF(NOT(ISNA(VLOOKUP(E3025,E$1:E3024,1,FALSE()))),"OLD",IF(AND(E3025&lt;&gt;"",E3025&lt;&gt;"!!!"),"NEW","")))</f>
        <v> </v>
      </c>
      <c r="G3025" s="24" t="str">
        <f>IF(OR(E3025="",E3025="!!!"),"",IF(OR(J3025=0,AND(J3025=1,K3025=1),AND(J3025=1,I3025="SBJ"),AND(J3025=1,I3025=0)),"?IN_FOCUS",IF(J3025&lt;=2,"?ACTIVATED",IF(J3025&lt;&gt;"","?FAMILIAR",IF(F3025="NEW",IF(ISNA(VLOOKUP(E3025,#REF!,1,FALSE())),"?TYPE_IDENTIFIABLE","?REFERENTIAL"),"_")))))</f>
        <v> </v>
      </c>
      <c r="H3025" s="25" t="str">
        <f>IF(J3025&lt;&gt;1,"",IF(I3025="SBJ","CB","?"))</f>
        <v> </v>
      </c>
      <c r="I3025" s="26" t="str">
        <f>IF(OR(E3025="",E3025="!!!",F3025="NEW"),"",INDEX(B3024:B$2,-1+SUMPRODUCT(MAX(ROW(E3024:E$2)*(E3025=E3024:E$2)))))</f>
        <v> </v>
      </c>
      <c r="J3025" s="26" t="str">
        <f>IF(OR(E3025="",E3025="!!!",F3025="NEW"),"",COUNTBLANK(OFFSET(A$1,,,SUMPRODUCT(MAX(ROW(E$2:E3025)*(E3025=E$2:E3025)))))-COUNTBLANK(OFFSET(A$1,,,SUMPRODUCT(MAX(ROW(E$1:E3024)*(E2=E$1:E3024))))))</f>
        <v> </v>
      </c>
      <c r="K3025" s="26" t="str">
        <f>IF(OR(E3025="",E3025="!!!",F3025="NEW"),"",INDEX(J$1:J3024,SUMPRODUCT(MAX(ROW(E$1:E3024)*(E3025=E$1:E3024)))))</f>
        <v> </v>
      </c>
      <c r="L3025" s="27"/>
    </row>
    <row r="3026" spans="1:12">
      <c r="A3026" s="20" t="s">
        <v>972</v>
      </c>
      <c r="E3026" s="22">
        <f>IF(D3026="?OLD","!!!","")</f>
        <v/>
      </c>
      <c r="F3026" s="23" t="str">
        <f>IF(OR(E3026="",E3026="!!!"),"",IF(NOT(ISNA(VLOOKUP(E3026,E$1:E3025,1,FALSE()))),"OLD",IF(AND(E3026&lt;&gt;"",E3026&lt;&gt;"!!!"),"NEW","")))</f>
        <v> </v>
      </c>
      <c r="G3026" s="24" t="str">
        <f>IF(OR(E3026="",E3026="!!!"),"",IF(OR(J3026=0,AND(J3026=1,K3026=1),AND(J3026=1,I3026="SBJ"),AND(J3026=1,I3026=0)),"?IN_FOCUS",IF(J3026&lt;=2,"?ACTIVATED",IF(J3026&lt;&gt;"","?FAMILIAR",IF(F3026="NEW",IF(ISNA(VLOOKUP(E3026,#REF!,1,FALSE())),"?TYPE_IDENTIFIABLE","?REFERENTIAL"),"_")))))</f>
        <v> </v>
      </c>
      <c r="H3026" s="25" t="str">
        <f>IF(J3026&lt;&gt;1,"",IF(I3026="SBJ","CB","?"))</f>
        <v> </v>
      </c>
      <c r="I3026" s="26" t="str">
        <f>IF(OR(E3026="",E3026="!!!",F3026="NEW"),"",INDEX(B3025:B$2,-1+SUMPRODUCT(MAX(ROW(E3025:E$2)*(E3026=E3025:E$2)))))</f>
        <v> </v>
      </c>
      <c r="J3026" s="26" t="str">
        <f>IF(OR(E3026="",E3026="!!!",F3026="NEW"),"",COUNTBLANK(OFFSET(A$1,,,SUMPRODUCT(MAX(ROW(E$2:E3026)*(E3026=E$2:E3026)))))-COUNTBLANK(OFFSET(A$1,,,SUMPRODUCT(MAX(ROW(E$1:E3025)*(E2=E$1:E3025))))))</f>
        <v> </v>
      </c>
      <c r="K3026" s="26" t="str">
        <f>IF(OR(E3026="",E3026="!!!",F3026="NEW"),"",INDEX(J$1:J3025,SUMPRODUCT(MAX(ROW(E$1:E3025)*(E3026=E$1:E3025)))))</f>
        <v> </v>
      </c>
      <c r="L3026" s="27"/>
    </row>
    <row r="3027" spans="1:12">
      <c r="A3027" s="20" t="s">
        <v>1820</v>
      </c>
      <c r="B3027" s="21" t="s">
        <v>739</v>
      </c>
      <c r="C3027" s="21" t="s">
        <v>748</v>
      </c>
      <c r="E3027" s="22">
        <f>IF(D3027="?OLD","!!!","")</f>
        <v/>
      </c>
      <c r="F3027" s="23" t="str">
        <f>IF(OR(E3027="",E3027="!!!"),"",IF(NOT(ISNA(VLOOKUP(E3027,E$1:E3026,1,FALSE()))),"OLD",IF(AND(E3027&lt;&gt;"",E3027&lt;&gt;"!!!"),"NEW","")))</f>
        <v> </v>
      </c>
      <c r="G3027" s="24" t="str">
        <f>IF(OR(E3027="",E3027="!!!"),"",IF(OR(J3027=0,AND(J3027=1,K3027=1),AND(J3027=1,I3027="SBJ"),AND(J3027=1,I3027=0)),"?IN_FOCUS",IF(J3027&lt;=2,"?ACTIVATED",IF(J3027&lt;&gt;"","?FAMILIAR",IF(F3027="NEW",IF(ISNA(VLOOKUP(E3027,#REF!,1,FALSE())),"?TYPE_IDENTIFIABLE","?REFERENTIAL"),"_")))))</f>
        <v> </v>
      </c>
      <c r="H3027" s="25" t="str">
        <f>IF(J3027&lt;&gt;1,"",IF(I3027="SBJ","CB","?"))</f>
        <v> </v>
      </c>
      <c r="I3027" s="26" t="str">
        <f>IF(OR(E3027="",E3027="!!!",F3027="NEW"),"",INDEX(B3026:B$2,-1+SUMPRODUCT(MAX(ROW(E3026:E$2)*(E3027=E3026:E$2)))))</f>
        <v> </v>
      </c>
      <c r="J3027" s="26" t="str">
        <f>IF(OR(E3027="",E3027="!!!",F3027="NEW"),"",COUNTBLANK(OFFSET(A$1,,,SUMPRODUCT(MAX(ROW(E$2:E3027)*(E3027=E$2:E3027)))))-COUNTBLANK(OFFSET(A$1,,,SUMPRODUCT(MAX(ROW(E$1:E3026)*(E2=E$1:E3026))))))</f>
        <v> </v>
      </c>
      <c r="K3027" s="26" t="str">
        <f>IF(OR(E3027="",E3027="!!!",F3027="NEW"),"",INDEX(J$1:J3026,SUMPRODUCT(MAX(ROW(E$1:E3026)*(E3027=E$1:E3026)))))</f>
        <v> </v>
      </c>
      <c r="L3027" s="27"/>
    </row>
    <row r="3028" spans="1:12">
      <c r="A3028" s="20" t="s">
        <v>1821</v>
      </c>
      <c r="E3028" s="22">
        <f>IF(D3028="?OLD","!!!","")</f>
        <v/>
      </c>
      <c r="F3028" s="23" t="str">
        <f>IF(OR(E3028="",E3028="!!!"),"",IF(NOT(ISNA(VLOOKUP(E3028,E$1:E3027,1,FALSE()))),"OLD",IF(AND(E3028&lt;&gt;"",E3028&lt;&gt;"!!!"),"NEW","")))</f>
        <v> </v>
      </c>
      <c r="G3028" s="24" t="str">
        <f>IF(OR(E3028="",E3028="!!!"),"",IF(OR(J3028=0,AND(J3028=1,K3028=1),AND(J3028=1,I3028="SBJ"),AND(J3028=1,I3028=0)),"?IN_FOCUS",IF(J3028&lt;=2,"?ACTIVATED",IF(J3028&lt;&gt;"","?FAMILIAR",IF(F3028="NEW",IF(ISNA(VLOOKUP(E3028,#REF!,1,FALSE())),"?TYPE_IDENTIFIABLE","?REFERENTIAL"),"_")))))</f>
        <v> </v>
      </c>
      <c r="H3028" s="25" t="str">
        <f>IF(J3028&lt;&gt;1,"",IF(I3028="SBJ","CB","?"))</f>
        <v> </v>
      </c>
      <c r="I3028" s="26" t="str">
        <f>IF(OR(E3028="",E3028="!!!",F3028="NEW"),"",INDEX(B3027:B$2,-1+SUMPRODUCT(MAX(ROW(E3027:E$2)*(E3028=E3027:E$2)))))</f>
        <v> </v>
      </c>
      <c r="J3028" s="26" t="str">
        <f>IF(OR(E3028="",E3028="!!!",F3028="NEW"),"",COUNTBLANK(OFFSET(A$1,,,SUMPRODUCT(MAX(ROW(E$2:E3028)*(E3028=E$2:E3028)))))-COUNTBLANK(OFFSET(A$1,,,SUMPRODUCT(MAX(ROW(E$1:E3027)*(E2=E$1:E3027))))))</f>
        <v> </v>
      </c>
      <c r="K3028" s="26" t="str">
        <f>IF(OR(E3028="",E3028="!!!",F3028="NEW"),"",INDEX(J$1:J3027,SUMPRODUCT(MAX(ROW(E$1:E3027)*(E3028=E$1:E3027)))))</f>
        <v> </v>
      </c>
      <c r="L3028" s="27"/>
    </row>
    <row r="3029" spans="1:12">
      <c r="A3029" s="20" t="s">
        <v>785</v>
      </c>
      <c r="E3029" s="22">
        <f>IF(D3029="?OLD","!!!","")</f>
        <v/>
      </c>
      <c r="F3029" s="23" t="str">
        <f>IF(OR(E3029="",E3029="!!!"),"",IF(NOT(ISNA(VLOOKUP(E3029,E$1:E3028,1,FALSE()))),"OLD",IF(AND(E3029&lt;&gt;"",E3029&lt;&gt;"!!!"),"NEW","")))</f>
        <v> </v>
      </c>
      <c r="G3029" s="24" t="str">
        <f>IF(OR(E3029="",E3029="!!!"),"",IF(OR(J3029=0,AND(J3029=1,K3029=1),AND(J3029=1,I3029="SBJ"),AND(J3029=1,I3029=0)),"?IN_FOCUS",IF(J3029&lt;=2,"?ACTIVATED",IF(J3029&lt;&gt;"","?FAMILIAR",IF(F3029="NEW",IF(ISNA(VLOOKUP(E3029,#REF!,1,FALSE())),"?TYPE_IDENTIFIABLE","?REFERENTIAL"),"_")))))</f>
        <v> </v>
      </c>
      <c r="H3029" s="25" t="str">
        <f>IF(J3029&lt;&gt;1,"",IF(I3029="SBJ","CB","?"))</f>
        <v> </v>
      </c>
      <c r="I3029" s="26" t="str">
        <f>IF(OR(E3029="",E3029="!!!",F3029="NEW"),"",INDEX(B3028:B$2,-1+SUMPRODUCT(MAX(ROW(E3028:E$2)*(E3029=E3028:E$2)))))</f>
        <v> </v>
      </c>
      <c r="J3029" s="26" t="str">
        <f>IF(OR(E3029="",E3029="!!!",F3029="NEW"),"",COUNTBLANK(OFFSET(A$1,,,SUMPRODUCT(MAX(ROW(E$2:E3029)*(E3029=E$2:E3029)))))-COUNTBLANK(OFFSET(A$1,,,SUMPRODUCT(MAX(ROW(E$1:E3028)*(E2=E$1:E3028))))))</f>
        <v> </v>
      </c>
      <c r="K3029" s="26" t="str">
        <f>IF(OR(E3029="",E3029="!!!",F3029="NEW"),"",INDEX(J$1:J3028,SUMPRODUCT(MAX(ROW(E$1:E3028)*(E3029=E$1:E3028)))))</f>
        <v> </v>
      </c>
      <c r="L3029" s="27"/>
    </row>
    <row r="3030" spans="1:12">
      <c r="A3030" s="20" t="s">
        <v>804</v>
      </c>
      <c r="B3030" s="21" t="s">
        <v>764</v>
      </c>
      <c r="E3030" s="22">
        <f>IF(D3030="?OLD","!!!","")</f>
        <v/>
      </c>
      <c r="F3030" s="23" t="str">
        <f>IF(OR(E3030="",E3030="!!!"),"",IF(NOT(ISNA(VLOOKUP(E3030,E$1:E3029,1,FALSE()))),"OLD",IF(AND(E3030&lt;&gt;"",E3030&lt;&gt;"!!!"),"NEW","")))</f>
        <v> </v>
      </c>
      <c r="G3030" s="24" t="str">
        <f>IF(OR(E3030="",E3030="!!!"),"",IF(OR(J3030=0,AND(J3030=1,K3030=1),AND(J3030=1,I3030="SBJ"),AND(J3030=1,I3030=0)),"?IN_FOCUS",IF(J3030&lt;=2,"?ACTIVATED",IF(J3030&lt;&gt;"","?FAMILIAR",IF(F3030="NEW",IF(ISNA(VLOOKUP(E3030,#REF!,1,FALSE())),"?TYPE_IDENTIFIABLE","?REFERENTIAL"),"_")))))</f>
        <v> </v>
      </c>
      <c r="H3030" s="25" t="str">
        <f>IF(J3030&lt;&gt;1,"",IF(I3030="SBJ","CB","?"))</f>
        <v> </v>
      </c>
      <c r="I3030" s="26" t="str">
        <f>IF(OR(E3030="",E3030="!!!",F3030="NEW"),"",INDEX(B3029:B$2,-1+SUMPRODUCT(MAX(ROW(E3029:E$2)*(E3030=E3029:E$2)))))</f>
        <v> </v>
      </c>
      <c r="J3030" s="26" t="str">
        <f>IF(OR(E3030="",E3030="!!!",F3030="NEW"),"",COUNTBLANK(OFFSET(A$1,,,SUMPRODUCT(MAX(ROW(E$2:E3030)*(E3030=E$2:E3030)))))-COUNTBLANK(OFFSET(A$1,,,SUMPRODUCT(MAX(ROW(E$1:E3029)*(E2=E$1:E3029))))))</f>
        <v> </v>
      </c>
      <c r="K3030" s="26" t="str">
        <f>IF(OR(E3030="",E3030="!!!",F3030="NEW"),"",INDEX(J$1:J3029,SUMPRODUCT(MAX(ROW(E$1:E3029)*(E3030=E$1:E3029)))))</f>
        <v> </v>
      </c>
      <c r="L3030" s="27"/>
    </row>
    <row r="3031" spans="1:12">
      <c r="A3031" s="20" t="s">
        <v>1822</v>
      </c>
      <c r="E3031" s="22">
        <f>IF(D3031="?OLD","!!!","")</f>
        <v/>
      </c>
      <c r="F3031" s="23" t="str">
        <f>IF(OR(E3031="",E3031="!!!"),"",IF(NOT(ISNA(VLOOKUP(E3031,E$1:E3030,1,FALSE()))),"OLD",IF(AND(E3031&lt;&gt;"",E3031&lt;&gt;"!!!"),"NEW","")))</f>
        <v> </v>
      </c>
      <c r="G3031" s="24" t="str">
        <f>IF(OR(E3031="",E3031="!!!"),"",IF(OR(J3031=0,AND(J3031=1,K3031=1),AND(J3031=1,I3031="SBJ"),AND(J3031=1,I3031=0)),"?IN_FOCUS",IF(J3031&lt;=2,"?ACTIVATED",IF(J3031&lt;&gt;"","?FAMILIAR",IF(F3031="NEW",IF(ISNA(VLOOKUP(E3031,#REF!,1,FALSE())),"?TYPE_IDENTIFIABLE","?REFERENTIAL"),"_")))))</f>
        <v> </v>
      </c>
      <c r="H3031" s="25" t="str">
        <f>IF(J3031&lt;&gt;1,"",IF(I3031="SBJ","CB","?"))</f>
        <v> </v>
      </c>
      <c r="I3031" s="26" t="str">
        <f>IF(OR(E3031="",E3031="!!!",F3031="NEW"),"",INDEX(B3030:B$2,-1+SUMPRODUCT(MAX(ROW(E3030:E$2)*(E3031=E3030:E$2)))))</f>
        <v> </v>
      </c>
      <c r="J3031" s="26" t="str">
        <f>IF(OR(E3031="",E3031="!!!",F3031="NEW"),"",COUNTBLANK(OFFSET(A$1,,,SUMPRODUCT(MAX(ROW(E$2:E3031)*(E3031=E$2:E3031)))))-COUNTBLANK(OFFSET(A$1,,,SUMPRODUCT(MAX(ROW(E$1:E3030)*(E2=E$1:E3030))))))</f>
        <v> </v>
      </c>
      <c r="K3031" s="26" t="str">
        <f>IF(OR(E3031="",E3031="!!!",F3031="NEW"),"",INDEX(J$1:J3030,SUMPRODUCT(MAX(ROW(E$1:E3030)*(E3031=E$1:E3030)))))</f>
        <v> </v>
      </c>
      <c r="L3031" s="27"/>
    </row>
    <row r="3032" spans="1:12">
      <c r="A3032" s="20" t="s">
        <v>759</v>
      </c>
      <c r="E3032" s="22">
        <f>IF(D3032="?OLD","!!!","")</f>
        <v/>
      </c>
      <c r="F3032" s="23" t="str">
        <f>IF(OR(E3032="",E3032="!!!"),"",IF(NOT(ISNA(VLOOKUP(E3032,E$1:E3031,1,FALSE()))),"OLD",IF(AND(E3032&lt;&gt;"",E3032&lt;&gt;"!!!"),"NEW","")))</f>
        <v> </v>
      </c>
      <c r="G3032" s="24" t="str">
        <f>IF(OR(E3032="",E3032="!!!"),"",IF(OR(J3032=0,AND(J3032=1,K3032=1),AND(J3032=1,I3032="SBJ"),AND(J3032=1,I3032=0)),"?IN_FOCUS",IF(J3032&lt;=2,"?ACTIVATED",IF(J3032&lt;&gt;"","?FAMILIAR",IF(F3032="NEW",IF(ISNA(VLOOKUP(E3032,#REF!,1,FALSE())),"?TYPE_IDENTIFIABLE","?REFERENTIAL"),"_")))))</f>
        <v> </v>
      </c>
      <c r="H3032" s="25" t="str">
        <f>IF(J3032&lt;&gt;1,"",IF(I3032="SBJ","CB","?"))</f>
        <v> </v>
      </c>
      <c r="I3032" s="26" t="str">
        <f>IF(OR(E3032="",E3032="!!!",F3032="NEW"),"",INDEX(B3031:B$2,-1+SUMPRODUCT(MAX(ROW(E3031:E$2)*(E3032=E3031:E$2)))))</f>
        <v> </v>
      </c>
      <c r="J3032" s="26" t="str">
        <f>IF(OR(E3032="",E3032="!!!",F3032="NEW"),"",COUNTBLANK(OFFSET(A$1,,,SUMPRODUCT(MAX(ROW(E$2:E3032)*(E3032=E$2:E3032)))))-COUNTBLANK(OFFSET(A$1,,,SUMPRODUCT(MAX(ROW(E$1:E3031)*(E2=E$1:E3031))))))</f>
        <v> </v>
      </c>
      <c r="K3032" s="26" t="str">
        <f>IF(OR(E3032="",E3032="!!!",F3032="NEW"),"",INDEX(J$1:J3031,SUMPRODUCT(MAX(ROW(E$1:E3031)*(E3032=E$1:E3031)))))</f>
        <v> </v>
      </c>
      <c r="L3032" s="27"/>
    </row>
    <row r="3033" spans="1:12">
      <c r="A3033" s="20" t="s">
        <v>817</v>
      </c>
      <c r="E3033" s="22">
        <f>IF(D3033="?OLD","!!!","")</f>
        <v/>
      </c>
      <c r="F3033" s="23" t="str">
        <f>IF(OR(E3033="",E3033="!!!"),"",IF(NOT(ISNA(VLOOKUP(E3033,E$1:E3032,1,FALSE()))),"OLD",IF(AND(E3033&lt;&gt;"",E3033&lt;&gt;"!!!"),"NEW","")))</f>
        <v> </v>
      </c>
      <c r="G3033" s="24" t="str">
        <f>IF(OR(E3033="",E3033="!!!"),"",IF(OR(J3033=0,AND(J3033=1,K3033=1),AND(J3033=1,I3033="SBJ"),AND(J3033=1,I3033=0)),"?IN_FOCUS",IF(J3033&lt;=2,"?ACTIVATED",IF(J3033&lt;&gt;"","?FAMILIAR",IF(F3033="NEW",IF(ISNA(VLOOKUP(E3033,#REF!,1,FALSE())),"?TYPE_IDENTIFIABLE","?REFERENTIAL"),"_")))))</f>
        <v> </v>
      </c>
      <c r="H3033" s="25" t="str">
        <f>IF(J3033&lt;&gt;1,"",IF(I3033="SBJ","CB","?"))</f>
        <v> </v>
      </c>
      <c r="I3033" s="26" t="str">
        <f>IF(OR(E3033="",E3033="!!!",F3033="NEW"),"",INDEX(B3032:B$2,-1+SUMPRODUCT(MAX(ROW(E3032:E$2)*(E3033=E3032:E$2)))))</f>
        <v> </v>
      </c>
      <c r="J3033" s="26" t="str">
        <f>IF(OR(E3033="",E3033="!!!",F3033="NEW"),"",COUNTBLANK(OFFSET(A$1,,,SUMPRODUCT(MAX(ROW(E$2:E3033)*(E3033=E$2:E3033)))))-COUNTBLANK(OFFSET(A$1,,,SUMPRODUCT(MAX(ROW(E$1:E3032)*(E2=E$1:E3032))))))</f>
        <v> </v>
      </c>
      <c r="K3033" s="26" t="str">
        <f>IF(OR(E3033="",E3033="!!!",F3033="NEW"),"",INDEX(J$1:J3032,SUMPRODUCT(MAX(ROW(E$1:E3032)*(E3033=E$1:E3032)))))</f>
        <v> </v>
      </c>
      <c r="L3033" s="27"/>
    </row>
    <row r="3034" spans="1:12">
      <c r="A3034" s="20" t="s">
        <v>1382</v>
      </c>
      <c r="B3034" s="21" t="s">
        <v>728</v>
      </c>
      <c r="C3034" s="21" t="s">
        <v>789</v>
      </c>
      <c r="D3034" s="21" t="s">
        <v>730</v>
      </c>
      <c r="E3034" s="22">
        <f>IF(D3034="?OLD","!!!","")</f>
        <v/>
      </c>
      <c r="F3034" s="23" t="str">
        <f>IF(OR(E3034="",E3034="!!!"),"",IF(NOT(ISNA(VLOOKUP(E3034,E$1:E3033,1,FALSE()))),"OLD",IF(AND(E3034&lt;&gt;"",E3034&lt;&gt;"!!!"),"NEW","")))</f>
        <v> </v>
      </c>
      <c r="G3034" s="24" t="str">
        <f>IF(OR(E3034="",E3034="!!!"),"",IF(OR(J3034=0,AND(J3034=1,K3034=1),AND(J3034=1,I3034="SBJ"),AND(J3034=1,I3034=0)),"?IN_FOCUS",IF(J3034&lt;=2,"?ACTIVATED",IF(J3034&lt;&gt;"","?FAMILIAR",IF(F3034="NEW",IF(ISNA(VLOOKUP(E3034,#REF!,1,FALSE())),"?TYPE_IDENTIFIABLE","?REFERENTIAL"),"_")))))</f>
        <v> </v>
      </c>
      <c r="H3034" s="25" t="str">
        <f>IF(J3034&lt;&gt;1,"",IF(I3034="SBJ","CB","?"))</f>
        <v> </v>
      </c>
      <c r="I3034" s="26" t="str">
        <f>IF(OR(E3034="",E3034="!!!",F3034="NEW"),"",INDEX(B3033:B$2,-1+SUMPRODUCT(MAX(ROW(E3033:E$2)*(E3034=E3033:E$2)))))</f>
        <v> </v>
      </c>
      <c r="J3034" s="26" t="str">
        <f>IF(OR(E3034="",E3034="!!!",F3034="NEW"),"",COUNTBLANK(OFFSET(A$1,,,SUMPRODUCT(MAX(ROW(E$2:E3034)*(E3034=E$2:E3034)))))-COUNTBLANK(OFFSET(A$1,,,SUMPRODUCT(MAX(ROW(E$1:E3033)*(E2=E$1:E3033))))))</f>
        <v> </v>
      </c>
      <c r="K3034" s="26" t="str">
        <f>IF(OR(E3034="",E3034="!!!",F3034="NEW"),"",INDEX(J$1:J3033,SUMPRODUCT(MAX(ROW(E$1:E3033)*(E3034=E$1:E3033)))))</f>
        <v> </v>
      </c>
      <c r="L3034" s="27"/>
    </row>
    <row r="3035" spans="1:12">
      <c r="A3035" s="20" t="s">
        <v>916</v>
      </c>
      <c r="E3035" s="22">
        <f>IF(D3035="?OLD","!!!","")</f>
        <v/>
      </c>
      <c r="F3035" s="23" t="str">
        <f>IF(OR(E3035="",E3035="!!!"),"",IF(NOT(ISNA(VLOOKUP(E3035,E$1:E3034,1,FALSE()))),"OLD",IF(AND(E3035&lt;&gt;"",E3035&lt;&gt;"!!!"),"NEW","")))</f>
        <v> </v>
      </c>
      <c r="G3035" s="24" t="str">
        <f>IF(OR(E3035="",E3035="!!!"),"",IF(OR(J3035=0,AND(J3035=1,K3035=1),AND(J3035=1,I3035="SBJ"),AND(J3035=1,I3035=0)),"?IN_FOCUS",IF(J3035&lt;=2,"?ACTIVATED",IF(J3035&lt;&gt;"","?FAMILIAR",IF(F3035="NEW",IF(ISNA(VLOOKUP(E3035,#REF!,1,FALSE())),"?TYPE_IDENTIFIABLE","?REFERENTIAL"),"_")))))</f>
        <v> </v>
      </c>
      <c r="H3035" s="25" t="str">
        <f>IF(J3035&lt;&gt;1,"",IF(I3035="SBJ","CB","?"))</f>
        <v> </v>
      </c>
      <c r="I3035" s="26" t="str">
        <f>IF(OR(E3035="",E3035="!!!",F3035="NEW"),"",INDEX(B3034:B$2,-1+SUMPRODUCT(MAX(ROW(E3034:E$2)*(E3035=E3034:E$2)))))</f>
        <v> </v>
      </c>
      <c r="J3035" s="26" t="str">
        <f>IF(OR(E3035="",E3035="!!!",F3035="NEW"),"",COUNTBLANK(OFFSET(A$1,,,SUMPRODUCT(MAX(ROW(E$2:E3035)*(E3035=E$2:E3035)))))-COUNTBLANK(OFFSET(A$1,,,SUMPRODUCT(MAX(ROW(E$1:E3034)*(E2=E$1:E3034))))))</f>
        <v> </v>
      </c>
      <c r="K3035" s="26" t="str">
        <f>IF(OR(E3035="",E3035="!!!",F3035="NEW"),"",INDEX(J$1:J3034,SUMPRODUCT(MAX(ROW(E$1:E3034)*(E3035=E$1:E3034)))))</f>
        <v> </v>
      </c>
      <c r="L3035" s="27"/>
    </row>
    <row r="3036" spans="1:12">
      <c r="A3036" s="20" t="s">
        <v>899</v>
      </c>
      <c r="E3036" s="22">
        <f>IF(D3036="?OLD","!!!","")</f>
        <v/>
      </c>
      <c r="F3036" s="23" t="str">
        <f>IF(OR(E3036="",E3036="!!!"),"",IF(NOT(ISNA(VLOOKUP(E3036,E$1:E3035,1,FALSE()))),"OLD",IF(AND(E3036&lt;&gt;"",E3036&lt;&gt;"!!!"),"NEW","")))</f>
        <v> </v>
      </c>
      <c r="G3036" s="24" t="str">
        <f>IF(OR(E3036="",E3036="!!!"),"",IF(OR(J3036=0,AND(J3036=1,K3036=1),AND(J3036=1,I3036="SBJ"),AND(J3036=1,I3036=0)),"?IN_FOCUS",IF(J3036&lt;=2,"?ACTIVATED",IF(J3036&lt;&gt;"","?FAMILIAR",IF(F3036="NEW",IF(ISNA(VLOOKUP(E3036,#REF!,1,FALSE())),"?TYPE_IDENTIFIABLE","?REFERENTIAL"),"_")))))</f>
        <v> </v>
      </c>
      <c r="H3036" s="25" t="str">
        <f>IF(J3036&lt;&gt;1,"",IF(I3036="SBJ","CB","?"))</f>
        <v> </v>
      </c>
      <c r="I3036" s="26" t="str">
        <f>IF(OR(E3036="",E3036="!!!",F3036="NEW"),"",INDEX(B3035:B$2,-1+SUMPRODUCT(MAX(ROW(E3035:E$2)*(E3036=E3035:E$2)))))</f>
        <v> </v>
      </c>
      <c r="J3036" s="26" t="str">
        <f>IF(OR(E3036="",E3036="!!!",F3036="NEW"),"",COUNTBLANK(OFFSET(A$1,,,SUMPRODUCT(MAX(ROW(E$2:E3036)*(E3036=E$2:E3036)))))-COUNTBLANK(OFFSET(A$1,,,SUMPRODUCT(MAX(ROW(E$1:E3035)*(E2=E$1:E3035))))))</f>
        <v> </v>
      </c>
      <c r="K3036" s="26" t="str">
        <f>IF(OR(E3036="",E3036="!!!",F3036="NEW"),"",INDEX(J$1:J3035,SUMPRODUCT(MAX(ROW(E$1:E3035)*(E3036=E$1:E3035)))))</f>
        <v> </v>
      </c>
      <c r="L3036" s="27"/>
    </row>
    <row r="3037" spans="1:12">
      <c r="A3037" s="20" t="s">
        <v>1469</v>
      </c>
      <c r="E3037" s="22">
        <f>IF(D3037="?OLD","!!!","")</f>
        <v/>
      </c>
      <c r="F3037" s="23" t="str">
        <f>IF(OR(E3037="",E3037="!!!"),"",IF(NOT(ISNA(VLOOKUP(E3037,E$1:E3036,1,FALSE()))),"OLD",IF(AND(E3037&lt;&gt;"",E3037&lt;&gt;"!!!"),"NEW","")))</f>
        <v> </v>
      </c>
      <c r="G3037" s="24" t="str">
        <f>IF(OR(E3037="",E3037="!!!"),"",IF(OR(J3037=0,AND(J3037=1,K3037=1),AND(J3037=1,I3037="SBJ"),AND(J3037=1,I3037=0)),"?IN_FOCUS",IF(J3037&lt;=2,"?ACTIVATED",IF(J3037&lt;&gt;"","?FAMILIAR",IF(F3037="NEW",IF(ISNA(VLOOKUP(E3037,#REF!,1,FALSE())),"?TYPE_IDENTIFIABLE","?REFERENTIAL"),"_")))))</f>
        <v> </v>
      </c>
      <c r="H3037" s="25" t="str">
        <f>IF(J3037&lt;&gt;1,"",IF(I3037="SBJ","CB","?"))</f>
        <v> </v>
      </c>
      <c r="I3037" s="26" t="str">
        <f>IF(OR(E3037="",E3037="!!!",F3037="NEW"),"",INDEX(B3036:B$2,-1+SUMPRODUCT(MAX(ROW(E3036:E$2)*(E3037=E3036:E$2)))))</f>
        <v> </v>
      </c>
      <c r="J3037" s="26" t="str">
        <f>IF(OR(E3037="",E3037="!!!",F3037="NEW"),"",COUNTBLANK(OFFSET(A$1,,,SUMPRODUCT(MAX(ROW(E$2:E3037)*(E3037=E$2:E3037)))))-COUNTBLANK(OFFSET(A$1,,,SUMPRODUCT(MAX(ROW(E$1:E3036)*(E2=E$1:E3036))))))</f>
        <v> </v>
      </c>
      <c r="K3037" s="26" t="str">
        <f>IF(OR(E3037="",E3037="!!!",F3037="NEW"),"",INDEX(J$1:J3036,SUMPRODUCT(MAX(ROW(E$1:E3036)*(E3037=E$1:E3036)))))</f>
        <v> </v>
      </c>
      <c r="L3037" s="27"/>
    </row>
    <row r="3038" spans="1:12">
      <c r="A3038" s="20" t="s">
        <v>759</v>
      </c>
      <c r="E3038" s="22">
        <f>IF(D3038="?OLD","!!!","")</f>
        <v/>
      </c>
      <c r="F3038" s="23" t="str">
        <f>IF(OR(E3038="",E3038="!!!"),"",IF(NOT(ISNA(VLOOKUP(E3038,E$1:E3037,1,FALSE()))),"OLD",IF(AND(E3038&lt;&gt;"",E3038&lt;&gt;"!!!"),"NEW","")))</f>
        <v> </v>
      </c>
      <c r="G3038" s="24" t="str">
        <f>IF(OR(E3038="",E3038="!!!"),"",IF(OR(J3038=0,AND(J3038=1,K3038=1),AND(J3038=1,I3038="SBJ"),AND(J3038=1,I3038=0)),"?IN_FOCUS",IF(J3038&lt;=2,"?ACTIVATED",IF(J3038&lt;&gt;"","?FAMILIAR",IF(F3038="NEW",IF(ISNA(VLOOKUP(E3038,#REF!,1,FALSE())),"?TYPE_IDENTIFIABLE","?REFERENTIAL"),"_")))))</f>
        <v> </v>
      </c>
      <c r="H3038" s="25" t="str">
        <f>IF(J3038&lt;&gt;1,"",IF(I3038="SBJ","CB","?"))</f>
        <v> </v>
      </c>
      <c r="I3038" s="26" t="str">
        <f>IF(OR(E3038="",E3038="!!!",F3038="NEW"),"",INDEX(B3037:B$2,-1+SUMPRODUCT(MAX(ROW(E3037:E$2)*(E3038=E3037:E$2)))))</f>
        <v> </v>
      </c>
      <c r="J3038" s="26" t="str">
        <f>IF(OR(E3038="",E3038="!!!",F3038="NEW"),"",COUNTBLANK(OFFSET(A$1,,,SUMPRODUCT(MAX(ROW(E$2:E3038)*(E3038=E$2:E3038)))))-COUNTBLANK(OFFSET(A$1,,,SUMPRODUCT(MAX(ROW(E$1:E3037)*(E2=E$1:E3037))))))</f>
        <v> </v>
      </c>
      <c r="K3038" s="26" t="str">
        <f>IF(OR(E3038="",E3038="!!!",F3038="NEW"),"",INDEX(J$1:J3037,SUMPRODUCT(MAX(ROW(E$1:E3037)*(E3038=E$1:E3037)))))</f>
        <v> </v>
      </c>
      <c r="L3038" s="27"/>
    </row>
    <row r="3039" spans="1:12">
      <c r="A3039" s="20" t="s">
        <v>776</v>
      </c>
      <c r="E3039" s="22">
        <f>IF(D3039="?OLD","!!!","")</f>
        <v/>
      </c>
      <c r="F3039" s="23" t="str">
        <f>IF(OR(E3039="",E3039="!!!"),"",IF(NOT(ISNA(VLOOKUP(E3039,E$1:E3038,1,FALSE()))),"OLD",IF(AND(E3039&lt;&gt;"",E3039&lt;&gt;"!!!"),"NEW","")))</f>
        <v> </v>
      </c>
      <c r="G3039" s="24" t="str">
        <f>IF(OR(E3039="",E3039="!!!"),"",IF(OR(J3039=0,AND(J3039=1,K3039=1),AND(J3039=1,I3039="SBJ"),AND(J3039=1,I3039=0)),"?IN_FOCUS",IF(J3039&lt;=2,"?ACTIVATED",IF(J3039&lt;&gt;"","?FAMILIAR",IF(F3039="NEW",IF(ISNA(VLOOKUP(E3039,#REF!,1,FALSE())),"?TYPE_IDENTIFIABLE","?REFERENTIAL"),"_")))))</f>
        <v> </v>
      </c>
      <c r="H3039" s="25" t="str">
        <f>IF(J3039&lt;&gt;1,"",IF(I3039="SBJ","CB","?"))</f>
        <v> </v>
      </c>
      <c r="I3039" s="26" t="str">
        <f>IF(OR(E3039="",E3039="!!!",F3039="NEW"),"",INDEX(B3038:B$2,-1+SUMPRODUCT(MAX(ROW(E3038:E$2)*(E3039=E3038:E$2)))))</f>
        <v> </v>
      </c>
      <c r="J3039" s="26" t="str">
        <f>IF(OR(E3039="",E3039="!!!",F3039="NEW"),"",COUNTBLANK(OFFSET(A$1,,,SUMPRODUCT(MAX(ROW(E$2:E3039)*(E3039=E$2:E3039)))))-COUNTBLANK(OFFSET(A$1,,,SUMPRODUCT(MAX(ROW(E$1:E3038)*(E2=E$1:E3038))))))</f>
        <v> </v>
      </c>
      <c r="K3039" s="26" t="str">
        <f>IF(OR(E3039="",E3039="!!!",F3039="NEW"),"",INDEX(J$1:J3038,SUMPRODUCT(MAX(ROW(E$1:E3038)*(E3039=E$1:E3038)))))</f>
        <v> </v>
      </c>
      <c r="L3039" s="27"/>
    </row>
    <row r="3040" spans="1:12">
      <c r="A3040" s="20" t="s">
        <v>1823</v>
      </c>
      <c r="B3040" s="21" t="s">
        <v>755</v>
      </c>
      <c r="C3040" s="21" t="s">
        <v>753</v>
      </c>
      <c r="D3040" s="21" t="s">
        <v>730</v>
      </c>
      <c r="E3040" s="22">
        <f>IF(D3040="?OLD","!!!","")</f>
        <v/>
      </c>
      <c r="F3040" s="23" t="str">
        <f>IF(OR(E3040="",E3040="!!!"),"",IF(NOT(ISNA(VLOOKUP(E3040,E$1:E3039,1,FALSE()))),"OLD",IF(AND(E3040&lt;&gt;"",E3040&lt;&gt;"!!!"),"NEW","")))</f>
        <v> </v>
      </c>
      <c r="G3040" s="24" t="str">
        <f>IF(OR(E3040="",E3040="!!!"),"",IF(OR(J3040=0,AND(J3040=1,K3040=1),AND(J3040=1,I3040="SBJ"),AND(J3040=1,I3040=0)),"?IN_FOCUS",IF(J3040&lt;=2,"?ACTIVATED",IF(J3040&lt;&gt;"","?FAMILIAR",IF(F3040="NEW",IF(ISNA(VLOOKUP(E3040,#REF!,1,FALSE())),"?TYPE_IDENTIFIABLE","?REFERENTIAL"),"_")))))</f>
        <v> </v>
      </c>
      <c r="H3040" s="25" t="str">
        <f>IF(J3040&lt;&gt;1,"",IF(I3040="SBJ","CB","?"))</f>
        <v> </v>
      </c>
      <c r="I3040" s="26" t="str">
        <f>IF(OR(E3040="",E3040="!!!",F3040="NEW"),"",INDEX(B3039:B$2,-1+SUMPRODUCT(MAX(ROW(E3039:E$2)*(E3040=E3039:E$2)))))</f>
        <v> </v>
      </c>
      <c r="J3040" s="26" t="str">
        <f>IF(OR(E3040="",E3040="!!!",F3040="NEW"),"",COUNTBLANK(OFFSET(A$1,,,SUMPRODUCT(MAX(ROW(E$2:E3040)*(E3040=E$2:E3040)))))-COUNTBLANK(OFFSET(A$1,,,SUMPRODUCT(MAX(ROW(E$1:E3039)*(E2=E$1:E3039))))))</f>
        <v> </v>
      </c>
      <c r="K3040" s="26" t="str">
        <f>IF(OR(E3040="",E3040="!!!",F3040="NEW"),"",INDEX(J$1:J3039,SUMPRODUCT(MAX(ROW(E$1:E3039)*(E3040=E$1:E3039)))))</f>
        <v> </v>
      </c>
      <c r="L3040" s="27"/>
    </row>
    <row r="3041" spans="1:12">
      <c r="A3041" s="20" t="s">
        <v>759</v>
      </c>
      <c r="E3041" s="22">
        <f>IF(D3041="?OLD","!!!","")</f>
        <v/>
      </c>
      <c r="F3041" s="23" t="str">
        <f>IF(OR(E3041="",E3041="!!!"),"",IF(NOT(ISNA(VLOOKUP(E3041,E$1:E3040,1,FALSE()))),"OLD",IF(AND(E3041&lt;&gt;"",E3041&lt;&gt;"!!!"),"NEW","")))</f>
        <v> </v>
      </c>
      <c r="G3041" s="24" t="str">
        <f>IF(OR(E3041="",E3041="!!!"),"",IF(OR(J3041=0,AND(J3041=1,K3041=1),AND(J3041=1,I3041="SBJ"),AND(J3041=1,I3041=0)),"?IN_FOCUS",IF(J3041&lt;=2,"?ACTIVATED",IF(J3041&lt;&gt;"","?FAMILIAR",IF(F3041="NEW",IF(ISNA(VLOOKUP(E3041,#REF!,1,FALSE())),"?TYPE_IDENTIFIABLE","?REFERENTIAL"),"_")))))</f>
        <v> </v>
      </c>
      <c r="H3041" s="25" t="str">
        <f>IF(J3041&lt;&gt;1,"",IF(I3041="SBJ","CB","?"))</f>
        <v> </v>
      </c>
      <c r="I3041" s="26" t="str">
        <f>IF(OR(E3041="",E3041="!!!",F3041="NEW"),"",INDEX(B3040:B$2,-1+SUMPRODUCT(MAX(ROW(E3040:E$2)*(E3041=E3040:E$2)))))</f>
        <v> </v>
      </c>
      <c r="J3041" s="26" t="str">
        <f>IF(OR(E3041="",E3041="!!!",F3041="NEW"),"",COUNTBLANK(OFFSET(A$1,,,SUMPRODUCT(MAX(ROW(E$2:E3041)*(E3041=E$2:E3041)))))-COUNTBLANK(OFFSET(A$1,,,SUMPRODUCT(MAX(ROW(E$1:E3040)*(E2=E$1:E3040))))))</f>
        <v> </v>
      </c>
      <c r="K3041" s="26" t="str">
        <f>IF(OR(E3041="",E3041="!!!",F3041="NEW"),"",INDEX(J$1:J3040,SUMPRODUCT(MAX(ROW(E$1:E3040)*(E3041=E$1:E3040)))))</f>
        <v> </v>
      </c>
      <c r="L3041" s="27"/>
    </row>
    <row r="3042" spans="1:12">
      <c r="A3042" s="20" t="s">
        <v>813</v>
      </c>
      <c r="E3042" s="22">
        <f>IF(D3042="?OLD","!!!","")</f>
        <v/>
      </c>
      <c r="F3042" s="23" t="str">
        <f>IF(OR(E3042="",E3042="!!!"),"",IF(NOT(ISNA(VLOOKUP(E3042,E$1:E3041,1,FALSE()))),"OLD",IF(AND(E3042&lt;&gt;"",E3042&lt;&gt;"!!!"),"NEW","")))</f>
        <v> </v>
      </c>
      <c r="G3042" s="24" t="str">
        <f>IF(OR(E3042="",E3042="!!!"),"",IF(OR(J3042=0,AND(J3042=1,K3042=1),AND(J3042=1,I3042="SBJ"),AND(J3042=1,I3042=0)),"?IN_FOCUS",IF(J3042&lt;=2,"?ACTIVATED",IF(J3042&lt;&gt;"","?FAMILIAR",IF(F3042="NEW",IF(ISNA(VLOOKUP(E3042,#REF!,1,FALSE())),"?TYPE_IDENTIFIABLE","?REFERENTIAL"),"_")))))</f>
        <v> </v>
      </c>
      <c r="H3042" s="25" t="str">
        <f>IF(J3042&lt;&gt;1,"",IF(I3042="SBJ","CB","?"))</f>
        <v> </v>
      </c>
      <c r="I3042" s="26" t="str">
        <f>IF(OR(E3042="",E3042="!!!",F3042="NEW"),"",INDEX(B3041:B$2,-1+SUMPRODUCT(MAX(ROW(E3041:E$2)*(E3042=E3041:E$2)))))</f>
        <v> </v>
      </c>
      <c r="J3042" s="26" t="str">
        <f>IF(OR(E3042="",E3042="!!!",F3042="NEW"),"",COUNTBLANK(OFFSET(A$1,,,SUMPRODUCT(MAX(ROW(E$2:E3042)*(E3042=E$2:E3042)))))-COUNTBLANK(OFFSET(A$1,,,SUMPRODUCT(MAX(ROW(E$1:E3041)*(E2=E$1:E3041))))))</f>
        <v> </v>
      </c>
      <c r="K3042" s="26" t="str">
        <f>IF(OR(E3042="",E3042="!!!",F3042="NEW"),"",INDEX(J$1:J3041,SUMPRODUCT(MAX(ROW(E$1:E3041)*(E3042=E$1:E3041)))))</f>
        <v> </v>
      </c>
      <c r="L3042" s="27"/>
    </row>
    <row r="3043" spans="1:12">
      <c r="A3043" s="20" t="s">
        <v>1824</v>
      </c>
      <c r="B3043" s="21" t="s">
        <v>739</v>
      </c>
      <c r="C3043" s="21" t="s">
        <v>753</v>
      </c>
      <c r="D3043" s="21" t="s">
        <v>730</v>
      </c>
      <c r="E3043" s="22">
        <f>IF(D3043="?OLD","!!!","")</f>
        <v/>
      </c>
      <c r="F3043" s="23" t="str">
        <f>IF(OR(E3043="",E3043="!!!"),"",IF(NOT(ISNA(VLOOKUP(E3043,E$1:E3042,1,FALSE()))),"OLD",IF(AND(E3043&lt;&gt;"",E3043&lt;&gt;"!!!"),"NEW","")))</f>
        <v> </v>
      </c>
      <c r="G3043" s="24" t="str">
        <f>IF(OR(E3043="",E3043="!!!"),"",IF(OR(J3043=0,AND(J3043=1,K3043=1),AND(J3043=1,I3043="SBJ"),AND(J3043=1,I3043=0)),"?IN_FOCUS",IF(J3043&lt;=2,"?ACTIVATED",IF(J3043&lt;&gt;"","?FAMILIAR",IF(F3043="NEW",IF(ISNA(VLOOKUP(E3043,#REF!,1,FALSE())),"?TYPE_IDENTIFIABLE","?REFERENTIAL"),"_")))))</f>
        <v> </v>
      </c>
      <c r="H3043" s="25" t="str">
        <f>IF(J3043&lt;&gt;1,"",IF(I3043="SBJ","CB","?"))</f>
        <v> </v>
      </c>
      <c r="I3043" s="26" t="str">
        <f>IF(OR(E3043="",E3043="!!!",F3043="NEW"),"",INDEX(B3042:B$2,-1+SUMPRODUCT(MAX(ROW(E3042:E$2)*(E3043=E3042:E$2)))))</f>
        <v> </v>
      </c>
      <c r="J3043" s="26" t="str">
        <f>IF(OR(E3043="",E3043="!!!",F3043="NEW"),"",COUNTBLANK(OFFSET(A$1,,,SUMPRODUCT(MAX(ROW(E$2:E3043)*(E3043=E$2:E3043)))))-COUNTBLANK(OFFSET(A$1,,,SUMPRODUCT(MAX(ROW(E$1:E3042)*(E2=E$1:E3042))))))</f>
        <v> </v>
      </c>
      <c r="K3043" s="26" t="str">
        <f>IF(OR(E3043="",E3043="!!!",F3043="NEW"),"",INDEX(J$1:J3042,SUMPRODUCT(MAX(ROW(E$1:E3042)*(E3043=E$1:E3042)))))</f>
        <v> </v>
      </c>
      <c r="L3043" s="27"/>
    </row>
    <row r="3044" spans="1:12">
      <c r="A3044" s="20" t="s">
        <v>759</v>
      </c>
      <c r="E3044" s="22">
        <f>IF(D3044="?OLD","!!!","")</f>
        <v/>
      </c>
      <c r="F3044" s="23" t="str">
        <f>IF(OR(E3044="",E3044="!!!"),"",IF(NOT(ISNA(VLOOKUP(E3044,E$1:E3043,1,FALSE()))),"OLD",IF(AND(E3044&lt;&gt;"",E3044&lt;&gt;"!!!"),"NEW","")))</f>
        <v> </v>
      </c>
      <c r="G3044" s="24" t="str">
        <f>IF(OR(E3044="",E3044="!!!"),"",IF(OR(J3044=0,AND(J3044=1,K3044=1),AND(J3044=1,I3044="SBJ"),AND(J3044=1,I3044=0)),"?IN_FOCUS",IF(J3044&lt;=2,"?ACTIVATED",IF(J3044&lt;&gt;"","?FAMILIAR",IF(F3044="NEW",IF(ISNA(VLOOKUP(E3044,#REF!,1,FALSE())),"?TYPE_IDENTIFIABLE","?REFERENTIAL"),"_")))))</f>
        <v> </v>
      </c>
      <c r="H3044" s="25" t="str">
        <f>IF(J3044&lt;&gt;1,"",IF(I3044="SBJ","CB","?"))</f>
        <v> </v>
      </c>
      <c r="I3044" s="26" t="str">
        <f>IF(OR(E3044="",E3044="!!!",F3044="NEW"),"",INDEX(B3043:B$2,-1+SUMPRODUCT(MAX(ROW(E3043:E$2)*(E3044=E3043:E$2)))))</f>
        <v> </v>
      </c>
      <c r="J3044" s="26" t="str">
        <f>IF(OR(E3044="",E3044="!!!",F3044="NEW"),"",COUNTBLANK(OFFSET(A$1,,,SUMPRODUCT(MAX(ROW(E$2:E3044)*(E3044=E$2:E3044)))))-COUNTBLANK(OFFSET(A$1,,,SUMPRODUCT(MAX(ROW(E$1:E3043)*(E2=E$1:E3043))))))</f>
        <v> </v>
      </c>
      <c r="K3044" s="26" t="str">
        <f>IF(OR(E3044="",E3044="!!!",F3044="NEW"),"",INDEX(J$1:J3043,SUMPRODUCT(MAX(ROW(E$1:E3043)*(E3044=E$1:E3043)))))</f>
        <v> </v>
      </c>
      <c r="L3044" s="27"/>
    </row>
    <row r="3045" spans="1:12">
      <c r="A3045" s="20" t="s">
        <v>785</v>
      </c>
      <c r="E3045" s="22">
        <f>IF(D3045="?OLD","!!!","")</f>
        <v/>
      </c>
      <c r="F3045" s="23" t="str">
        <f>IF(OR(E3045="",E3045="!!!"),"",IF(NOT(ISNA(VLOOKUP(E3045,E$1:E3044,1,FALSE()))),"OLD",IF(AND(E3045&lt;&gt;"",E3045&lt;&gt;"!!!"),"NEW","")))</f>
        <v> </v>
      </c>
      <c r="G3045" s="24" t="str">
        <f>IF(OR(E3045="",E3045="!!!"),"",IF(OR(J3045=0,AND(J3045=1,K3045=1),AND(J3045=1,I3045="SBJ"),AND(J3045=1,I3045=0)),"?IN_FOCUS",IF(J3045&lt;=2,"?ACTIVATED",IF(J3045&lt;&gt;"","?FAMILIAR",IF(F3045="NEW",IF(ISNA(VLOOKUP(E3045,#REF!,1,FALSE())),"?TYPE_IDENTIFIABLE","?REFERENTIAL"),"_")))))</f>
        <v> </v>
      </c>
      <c r="H3045" s="25" t="str">
        <f>IF(J3045&lt;&gt;1,"",IF(I3045="SBJ","CB","?"))</f>
        <v> </v>
      </c>
      <c r="I3045" s="26" t="str">
        <f>IF(OR(E3045="",E3045="!!!",F3045="NEW"),"",INDEX(B3044:B$2,-1+SUMPRODUCT(MAX(ROW(E3044:E$2)*(E3045=E3044:E$2)))))</f>
        <v> </v>
      </c>
      <c r="J3045" s="26" t="str">
        <f>IF(OR(E3045="",E3045="!!!",F3045="NEW"),"",COUNTBLANK(OFFSET(A$1,,,SUMPRODUCT(MAX(ROW(E$2:E3045)*(E3045=E$2:E3045)))))-COUNTBLANK(OFFSET(A$1,,,SUMPRODUCT(MAX(ROW(E$1:E3044)*(E2=E$1:E3044))))))</f>
        <v> </v>
      </c>
      <c r="K3045" s="26" t="str">
        <f>IF(OR(E3045="",E3045="!!!",F3045="NEW"),"",INDEX(J$1:J3044,SUMPRODUCT(MAX(ROW(E$1:E3044)*(E3045=E$1:E3044)))))</f>
        <v> </v>
      </c>
      <c r="L3045" s="27"/>
    </row>
    <row r="3046" spans="1:12">
      <c r="A3046" s="20" t="s">
        <v>776</v>
      </c>
      <c r="E3046" s="22">
        <f>IF(D3046="?OLD","!!!","")</f>
        <v/>
      </c>
      <c r="F3046" s="23" t="str">
        <f>IF(OR(E3046="",E3046="!!!"),"",IF(NOT(ISNA(VLOOKUP(E3046,E$1:E3045,1,FALSE()))),"OLD",IF(AND(E3046&lt;&gt;"",E3046&lt;&gt;"!!!"),"NEW","")))</f>
        <v> </v>
      </c>
      <c r="G3046" s="24" t="str">
        <f>IF(OR(E3046="",E3046="!!!"),"",IF(OR(J3046=0,AND(J3046=1,K3046=1),AND(J3046=1,I3046="SBJ"),AND(J3046=1,I3046=0)),"?IN_FOCUS",IF(J3046&lt;=2,"?ACTIVATED",IF(J3046&lt;&gt;"","?FAMILIAR",IF(F3046="NEW",IF(ISNA(VLOOKUP(E3046,#REF!,1,FALSE())),"?TYPE_IDENTIFIABLE","?REFERENTIAL"),"_")))))</f>
        <v> </v>
      </c>
      <c r="H3046" s="25" t="str">
        <f>IF(J3046&lt;&gt;1,"",IF(I3046="SBJ","CB","?"))</f>
        <v> </v>
      </c>
      <c r="I3046" s="26" t="str">
        <f>IF(OR(E3046="",E3046="!!!",F3046="NEW"),"",INDEX(B3045:B$2,-1+SUMPRODUCT(MAX(ROW(E3045:E$2)*(E3046=E3045:E$2)))))</f>
        <v> </v>
      </c>
      <c r="J3046" s="26" t="str">
        <f>IF(OR(E3046="",E3046="!!!",F3046="NEW"),"",COUNTBLANK(OFFSET(A$1,,,SUMPRODUCT(MAX(ROW(E$2:E3046)*(E3046=E$2:E3046)))))-COUNTBLANK(OFFSET(A$1,,,SUMPRODUCT(MAX(ROW(E$1:E3045)*(E2=E$1:E3045))))))</f>
        <v> </v>
      </c>
      <c r="K3046" s="26" t="str">
        <f>IF(OR(E3046="",E3046="!!!",F3046="NEW"),"",INDEX(J$1:J3045,SUMPRODUCT(MAX(ROW(E$1:E3045)*(E3046=E$1:E3045)))))</f>
        <v> </v>
      </c>
      <c r="L3046" s="27"/>
    </row>
    <row r="3047" spans="1:12">
      <c r="A3047" s="20" t="s">
        <v>887</v>
      </c>
      <c r="E3047" s="22">
        <f>IF(D3047="?OLD","!!!","")</f>
        <v/>
      </c>
      <c r="F3047" s="23" t="str">
        <f>IF(OR(E3047="",E3047="!!!"),"",IF(NOT(ISNA(VLOOKUP(E3047,E$1:E3046,1,FALSE()))),"OLD",IF(AND(E3047&lt;&gt;"",E3047&lt;&gt;"!!!"),"NEW","")))</f>
        <v> </v>
      </c>
      <c r="G3047" s="24" t="str">
        <f>IF(OR(E3047="",E3047="!!!"),"",IF(OR(J3047=0,AND(J3047=1,K3047=1),AND(J3047=1,I3047="SBJ"),AND(J3047=1,I3047=0)),"?IN_FOCUS",IF(J3047&lt;=2,"?ACTIVATED",IF(J3047&lt;&gt;"","?FAMILIAR",IF(F3047="NEW",IF(ISNA(VLOOKUP(E3047,#REF!,1,FALSE())),"?TYPE_IDENTIFIABLE","?REFERENTIAL"),"_")))))</f>
        <v> </v>
      </c>
      <c r="H3047" s="25" t="str">
        <f>IF(J3047&lt;&gt;1,"",IF(I3047="SBJ","CB","?"))</f>
        <v> </v>
      </c>
      <c r="I3047" s="26" t="str">
        <f>IF(OR(E3047="",E3047="!!!",F3047="NEW"),"",INDEX(B3046:B$2,-1+SUMPRODUCT(MAX(ROW(E3046:E$2)*(E3047=E3046:E$2)))))</f>
        <v> </v>
      </c>
      <c r="J3047" s="26" t="str">
        <f>IF(OR(E3047="",E3047="!!!",F3047="NEW"),"",COUNTBLANK(OFFSET(A$1,,,SUMPRODUCT(MAX(ROW(E$2:E3047)*(E3047=E$2:E3047)))))-COUNTBLANK(OFFSET(A$1,,,SUMPRODUCT(MAX(ROW(E$1:E3046)*(E2=E$1:E3046))))))</f>
        <v> </v>
      </c>
      <c r="K3047" s="26" t="str">
        <f>IF(OR(E3047="",E3047="!!!",F3047="NEW"),"",INDEX(J$1:J3046,SUMPRODUCT(MAX(ROW(E$1:E3046)*(E3047=E$1:E3046)))))</f>
        <v> </v>
      </c>
      <c r="L3047" s="27"/>
    </row>
    <row r="3048" spans="1:12">
      <c r="A3048" s="20" t="s">
        <v>1825</v>
      </c>
      <c r="B3048" s="21" t="s">
        <v>755</v>
      </c>
      <c r="C3048" s="21" t="s">
        <v>753</v>
      </c>
      <c r="D3048" s="21" t="s">
        <v>730</v>
      </c>
      <c r="E3048" s="22">
        <f>IF(D3048="?OLD","!!!","")</f>
        <v/>
      </c>
      <c r="F3048" s="23" t="str">
        <f>IF(OR(E3048="",E3048="!!!"),"",IF(NOT(ISNA(VLOOKUP(E3048,E$1:E3047,1,FALSE()))),"OLD",IF(AND(E3048&lt;&gt;"",E3048&lt;&gt;"!!!"),"NEW","")))</f>
        <v> </v>
      </c>
      <c r="G3048" s="24" t="str">
        <f>IF(OR(E3048="",E3048="!!!"),"",IF(OR(J3048=0,AND(J3048=1,K3048=1),AND(J3048=1,I3048="SBJ"),AND(J3048=1,I3048=0)),"?IN_FOCUS",IF(J3048&lt;=2,"?ACTIVATED",IF(J3048&lt;&gt;"","?FAMILIAR",IF(F3048="NEW",IF(ISNA(VLOOKUP(E3048,#REF!,1,FALSE())),"?TYPE_IDENTIFIABLE","?REFERENTIAL"),"_")))))</f>
        <v> </v>
      </c>
      <c r="H3048" s="25" t="str">
        <f>IF(J3048&lt;&gt;1,"",IF(I3048="SBJ","CB","?"))</f>
        <v> </v>
      </c>
      <c r="I3048" s="26" t="str">
        <f>IF(OR(E3048="",E3048="!!!",F3048="NEW"),"",INDEX(B3047:B$2,-1+SUMPRODUCT(MAX(ROW(E3047:E$2)*(E3048=E3047:E$2)))))</f>
        <v> </v>
      </c>
      <c r="J3048" s="26" t="str">
        <f>IF(OR(E3048="",E3048="!!!",F3048="NEW"),"",COUNTBLANK(OFFSET(A$1,,,SUMPRODUCT(MAX(ROW(E$2:E3048)*(E3048=E$2:E3048)))))-COUNTBLANK(OFFSET(A$1,,,SUMPRODUCT(MAX(ROW(E$1:E3047)*(E2=E$1:E3047))))))</f>
        <v> </v>
      </c>
      <c r="K3048" s="26" t="str">
        <f>IF(OR(E3048="",E3048="!!!",F3048="NEW"),"",INDEX(J$1:J3047,SUMPRODUCT(MAX(ROW(E$1:E3047)*(E3048=E$1:E3047)))))</f>
        <v> </v>
      </c>
      <c r="L3048" s="27"/>
    </row>
    <row r="3049" spans="1:12">
      <c r="A3049" s="20" t="s">
        <v>759</v>
      </c>
      <c r="E3049" s="22">
        <f>IF(D3049="?OLD","!!!","")</f>
        <v/>
      </c>
      <c r="F3049" s="23" t="str">
        <f>IF(OR(E3049="",E3049="!!!"),"",IF(NOT(ISNA(VLOOKUP(E3049,E$1:E3048,1,FALSE()))),"OLD",IF(AND(E3049&lt;&gt;"",E3049&lt;&gt;"!!!"),"NEW","")))</f>
        <v> </v>
      </c>
      <c r="G3049" s="24" t="str">
        <f>IF(OR(E3049="",E3049="!!!"),"",IF(OR(J3049=0,AND(J3049=1,K3049=1),AND(J3049=1,I3049="SBJ"),AND(J3049=1,I3049=0)),"?IN_FOCUS",IF(J3049&lt;=2,"?ACTIVATED",IF(J3049&lt;&gt;"","?FAMILIAR",IF(F3049="NEW",IF(ISNA(VLOOKUP(E3049,#REF!,1,FALSE())),"?TYPE_IDENTIFIABLE","?REFERENTIAL"),"_")))))</f>
        <v> </v>
      </c>
      <c r="H3049" s="25" t="str">
        <f>IF(J3049&lt;&gt;1,"",IF(I3049="SBJ","CB","?"))</f>
        <v> </v>
      </c>
      <c r="I3049" s="26" t="str">
        <f>IF(OR(E3049="",E3049="!!!",F3049="NEW"),"",INDEX(B3048:B$2,-1+SUMPRODUCT(MAX(ROW(E3048:E$2)*(E3049=E3048:E$2)))))</f>
        <v> </v>
      </c>
      <c r="J3049" s="26" t="str">
        <f>IF(OR(E3049="",E3049="!!!",F3049="NEW"),"",COUNTBLANK(OFFSET(A$1,,,SUMPRODUCT(MAX(ROW(E$2:E3049)*(E3049=E$2:E3049)))))-COUNTBLANK(OFFSET(A$1,,,SUMPRODUCT(MAX(ROW(E$1:E3048)*(E2=E$1:E3048))))))</f>
        <v> </v>
      </c>
      <c r="K3049" s="26" t="str">
        <f>IF(OR(E3049="",E3049="!!!",F3049="NEW"),"",INDEX(J$1:J3048,SUMPRODUCT(MAX(ROW(E$1:E3048)*(E3049=E$1:E3048)))))</f>
        <v> </v>
      </c>
      <c r="L3049" s="27"/>
    </row>
    <row r="3050" spans="1:12">
      <c r="A3050" s="20" t="s">
        <v>813</v>
      </c>
      <c r="E3050" s="22">
        <f>IF(D3050="?OLD","!!!","")</f>
        <v/>
      </c>
      <c r="F3050" s="23" t="str">
        <f>IF(OR(E3050="",E3050="!!!"),"",IF(NOT(ISNA(VLOOKUP(E3050,E$1:E3049,1,FALSE()))),"OLD",IF(AND(E3050&lt;&gt;"",E3050&lt;&gt;"!!!"),"NEW","")))</f>
        <v> </v>
      </c>
      <c r="G3050" s="24" t="str">
        <f>IF(OR(E3050="",E3050="!!!"),"",IF(OR(J3050=0,AND(J3050=1,K3050=1),AND(J3050=1,I3050="SBJ"),AND(J3050=1,I3050=0)),"?IN_FOCUS",IF(J3050&lt;=2,"?ACTIVATED",IF(J3050&lt;&gt;"","?FAMILIAR",IF(F3050="NEW",IF(ISNA(VLOOKUP(E3050,#REF!,1,FALSE())),"?TYPE_IDENTIFIABLE","?REFERENTIAL"),"_")))))</f>
        <v> </v>
      </c>
      <c r="H3050" s="25" t="str">
        <f>IF(J3050&lt;&gt;1,"",IF(I3050="SBJ","CB","?"))</f>
        <v> </v>
      </c>
      <c r="I3050" s="26" t="str">
        <f>IF(OR(E3050="",E3050="!!!",F3050="NEW"),"",INDEX(B3049:B$2,-1+SUMPRODUCT(MAX(ROW(E3049:E$2)*(E3050=E3049:E$2)))))</f>
        <v> </v>
      </c>
      <c r="J3050" s="26" t="str">
        <f>IF(OR(E3050="",E3050="!!!",F3050="NEW"),"",COUNTBLANK(OFFSET(A$1,,,SUMPRODUCT(MAX(ROW(E$2:E3050)*(E3050=E$2:E3050)))))-COUNTBLANK(OFFSET(A$1,,,SUMPRODUCT(MAX(ROW(E$1:E3049)*(E2=E$1:E3049))))))</f>
        <v> </v>
      </c>
      <c r="K3050" s="26" t="str">
        <f>IF(OR(E3050="",E3050="!!!",F3050="NEW"),"",INDEX(J$1:J3049,SUMPRODUCT(MAX(ROW(E$1:E3049)*(E3050=E$1:E3049)))))</f>
        <v> </v>
      </c>
      <c r="L3050" s="27"/>
    </row>
    <row r="3051" spans="1:12">
      <c r="A3051" s="20" t="s">
        <v>907</v>
      </c>
      <c r="E3051" s="22">
        <f>IF(D3051="?OLD","!!!","")</f>
        <v/>
      </c>
      <c r="F3051" s="23" t="str">
        <f>IF(OR(E3051="",E3051="!!!"),"",IF(NOT(ISNA(VLOOKUP(E3051,E$1:E3050,1,FALSE()))),"OLD",IF(AND(E3051&lt;&gt;"",E3051&lt;&gt;"!!!"),"NEW","")))</f>
        <v> </v>
      </c>
      <c r="G3051" s="24" t="str">
        <f>IF(OR(E3051="",E3051="!!!"),"",IF(OR(J3051=0,AND(J3051=1,K3051=1),AND(J3051=1,I3051="SBJ"),AND(J3051=1,I3051=0)),"?IN_FOCUS",IF(J3051&lt;=2,"?ACTIVATED",IF(J3051&lt;&gt;"","?FAMILIAR",IF(F3051="NEW",IF(ISNA(VLOOKUP(E3051,#REF!,1,FALSE())),"?TYPE_IDENTIFIABLE","?REFERENTIAL"),"_")))))</f>
        <v> </v>
      </c>
      <c r="H3051" s="25" t="str">
        <f>IF(J3051&lt;&gt;1,"",IF(I3051="SBJ","CB","?"))</f>
        <v> </v>
      </c>
      <c r="I3051" s="26" t="str">
        <f>IF(OR(E3051="",E3051="!!!",F3051="NEW"),"",INDEX(B3050:B$2,-1+SUMPRODUCT(MAX(ROW(E3050:E$2)*(E3051=E3050:E$2)))))</f>
        <v> </v>
      </c>
      <c r="J3051" s="26" t="str">
        <f>IF(OR(E3051="",E3051="!!!",F3051="NEW"),"",COUNTBLANK(OFFSET(A$1,,,SUMPRODUCT(MAX(ROW(E$2:E3051)*(E3051=E$2:E3051)))))-COUNTBLANK(OFFSET(A$1,,,SUMPRODUCT(MAX(ROW(E$1:E3050)*(E2=E$1:E3050))))))</f>
        <v> </v>
      </c>
      <c r="K3051" s="26" t="str">
        <f>IF(OR(E3051="",E3051="!!!",F3051="NEW"),"",INDEX(J$1:J3050,SUMPRODUCT(MAX(ROW(E$1:E3050)*(E3051=E$1:E3050)))))</f>
        <v> </v>
      </c>
      <c r="L3051" s="27"/>
    </row>
    <row r="3052" spans="1:12">
      <c r="A3052" s="20" t="s">
        <v>1826</v>
      </c>
      <c r="B3052" s="21" t="s">
        <v>783</v>
      </c>
      <c r="C3052" s="21" t="s">
        <v>753</v>
      </c>
      <c r="D3052" s="21" t="s">
        <v>730</v>
      </c>
      <c r="E3052" s="22">
        <f>IF(D3052="?OLD","!!!","")</f>
        <v/>
      </c>
      <c r="F3052" s="23" t="str">
        <f>IF(OR(E3052="",E3052="!!!"),"",IF(NOT(ISNA(VLOOKUP(E3052,E$1:E3051,1,FALSE()))),"OLD",IF(AND(E3052&lt;&gt;"",E3052&lt;&gt;"!!!"),"NEW","")))</f>
        <v> </v>
      </c>
      <c r="G3052" s="24" t="str">
        <f>IF(OR(E3052="",E3052="!!!"),"",IF(OR(J3052=0,AND(J3052=1,K3052=1),AND(J3052=1,I3052="SBJ"),AND(J3052=1,I3052=0)),"?IN_FOCUS",IF(J3052&lt;=2,"?ACTIVATED",IF(J3052&lt;&gt;"","?FAMILIAR",IF(F3052="NEW",IF(ISNA(VLOOKUP(E3052,#REF!,1,FALSE())),"?TYPE_IDENTIFIABLE","?REFERENTIAL"),"_")))))</f>
        <v> </v>
      </c>
      <c r="H3052" s="25" t="str">
        <f>IF(J3052&lt;&gt;1,"",IF(I3052="SBJ","CB","?"))</f>
        <v> </v>
      </c>
      <c r="I3052" s="26" t="str">
        <f>IF(OR(E3052="",E3052="!!!",F3052="NEW"),"",INDEX(B3051:B$2,-1+SUMPRODUCT(MAX(ROW(E3051:E$2)*(E3052=E3051:E$2)))))</f>
        <v> </v>
      </c>
      <c r="J3052" s="26" t="str">
        <f>IF(OR(E3052="",E3052="!!!",F3052="NEW"),"",COUNTBLANK(OFFSET(A$1,,,SUMPRODUCT(MAX(ROW(E$2:E3052)*(E3052=E$2:E3052)))))-COUNTBLANK(OFFSET(A$1,,,SUMPRODUCT(MAX(ROW(E$1:E3051)*(E2=E$1:E3051))))))</f>
        <v> </v>
      </c>
      <c r="K3052" s="26" t="str">
        <f>IF(OR(E3052="",E3052="!!!",F3052="NEW"),"",INDEX(J$1:J3051,SUMPRODUCT(MAX(ROW(E$1:E3051)*(E3052=E$1:E3051)))))</f>
        <v> </v>
      </c>
      <c r="L3052" s="27"/>
    </row>
    <row r="3053" spans="1:12">
      <c r="A3053" s="20" t="s">
        <v>759</v>
      </c>
      <c r="E3053" s="22">
        <f>IF(D3053="?OLD","!!!","")</f>
        <v/>
      </c>
      <c r="F3053" s="23" t="str">
        <f>IF(OR(E3053="",E3053="!!!"),"",IF(NOT(ISNA(VLOOKUP(E3053,E$1:E3052,1,FALSE()))),"OLD",IF(AND(E3053&lt;&gt;"",E3053&lt;&gt;"!!!"),"NEW","")))</f>
        <v> </v>
      </c>
      <c r="G3053" s="24" t="str">
        <f>IF(OR(E3053="",E3053="!!!"),"",IF(OR(J3053=0,AND(J3053=1,K3053=1),AND(J3053=1,I3053="SBJ"),AND(J3053=1,I3053=0)),"?IN_FOCUS",IF(J3053&lt;=2,"?ACTIVATED",IF(J3053&lt;&gt;"","?FAMILIAR",IF(F3053="NEW",IF(ISNA(VLOOKUP(E3053,#REF!,1,FALSE())),"?TYPE_IDENTIFIABLE","?REFERENTIAL"),"_")))))</f>
        <v> </v>
      </c>
      <c r="H3053" s="25" t="str">
        <f>IF(J3053&lt;&gt;1,"",IF(I3053="SBJ","CB","?"))</f>
        <v> </v>
      </c>
      <c r="I3053" s="26" t="str">
        <f>IF(OR(E3053="",E3053="!!!",F3053="NEW"),"",INDEX(B3052:B$2,-1+SUMPRODUCT(MAX(ROW(E3052:E$2)*(E3053=E3052:E$2)))))</f>
        <v> </v>
      </c>
      <c r="J3053" s="26" t="str">
        <f>IF(OR(E3053="",E3053="!!!",F3053="NEW"),"",COUNTBLANK(OFFSET(A$1,,,SUMPRODUCT(MAX(ROW(E$2:E3053)*(E3053=E$2:E3053)))))-COUNTBLANK(OFFSET(A$1,,,SUMPRODUCT(MAX(ROW(E$1:E3052)*(E2=E$1:E3052))))))</f>
        <v> </v>
      </c>
      <c r="K3053" s="26" t="str">
        <f>IF(OR(E3053="",E3053="!!!",F3053="NEW"),"",INDEX(J$1:J3052,SUMPRODUCT(MAX(ROW(E$1:E3052)*(E3053=E$1:E3052)))))</f>
        <v> </v>
      </c>
      <c r="L3053" s="27"/>
    </row>
    <row r="3054" spans="1:12">
      <c r="A3054" s="20" t="s">
        <v>785</v>
      </c>
      <c r="E3054" s="22">
        <f>IF(D3054="?OLD","!!!","")</f>
        <v/>
      </c>
      <c r="F3054" s="23" t="str">
        <f>IF(OR(E3054="",E3054="!!!"),"",IF(NOT(ISNA(VLOOKUP(E3054,E$1:E3053,1,FALSE()))),"OLD",IF(AND(E3054&lt;&gt;"",E3054&lt;&gt;"!!!"),"NEW","")))</f>
        <v> </v>
      </c>
      <c r="G3054" s="24" t="str">
        <f>IF(OR(E3054="",E3054="!!!"),"",IF(OR(J3054=0,AND(J3054=1,K3054=1),AND(J3054=1,I3054="SBJ"),AND(J3054=1,I3054=0)),"?IN_FOCUS",IF(J3054&lt;=2,"?ACTIVATED",IF(J3054&lt;&gt;"","?FAMILIAR",IF(F3054="NEW",IF(ISNA(VLOOKUP(E3054,#REF!,1,FALSE())),"?TYPE_IDENTIFIABLE","?REFERENTIAL"),"_")))))</f>
        <v> </v>
      </c>
      <c r="H3054" s="25" t="str">
        <f>IF(J3054&lt;&gt;1,"",IF(I3054="SBJ","CB","?"))</f>
        <v> </v>
      </c>
      <c r="I3054" s="26" t="str">
        <f>IF(OR(E3054="",E3054="!!!",F3054="NEW"),"",INDEX(B3053:B$2,-1+SUMPRODUCT(MAX(ROW(E3053:E$2)*(E3054=E3053:E$2)))))</f>
        <v> </v>
      </c>
      <c r="J3054" s="26" t="str">
        <f>IF(OR(E3054="",E3054="!!!",F3054="NEW"),"",COUNTBLANK(OFFSET(A$1,,,SUMPRODUCT(MAX(ROW(E$2:E3054)*(E3054=E$2:E3054)))))-COUNTBLANK(OFFSET(A$1,,,SUMPRODUCT(MAX(ROW(E$1:E3053)*(E2=E$1:E3053))))))</f>
        <v> </v>
      </c>
      <c r="K3054" s="26" t="str">
        <f>IF(OR(E3054="",E3054="!!!",F3054="NEW"),"",INDEX(J$1:J3053,SUMPRODUCT(MAX(ROW(E$1:E3053)*(E3054=E$1:E3053)))))</f>
        <v> </v>
      </c>
      <c r="L3054" s="27"/>
    </row>
    <row r="3055" spans="1:12">
      <c r="A3055" s="20" t="s">
        <v>813</v>
      </c>
      <c r="E3055" s="22">
        <f>IF(D3055="?OLD","!!!","")</f>
        <v/>
      </c>
      <c r="F3055" s="23" t="str">
        <f>IF(OR(E3055="",E3055="!!!"),"",IF(NOT(ISNA(VLOOKUP(E3055,E$1:E3054,1,FALSE()))),"OLD",IF(AND(E3055&lt;&gt;"",E3055&lt;&gt;"!!!"),"NEW","")))</f>
        <v> </v>
      </c>
      <c r="G3055" s="24" t="str">
        <f>IF(OR(E3055="",E3055="!!!"),"",IF(OR(J3055=0,AND(J3055=1,K3055=1),AND(J3055=1,I3055="SBJ"),AND(J3055=1,I3055=0)),"?IN_FOCUS",IF(J3055&lt;=2,"?ACTIVATED",IF(J3055&lt;&gt;"","?FAMILIAR",IF(F3055="NEW",IF(ISNA(VLOOKUP(E3055,#REF!,1,FALSE())),"?TYPE_IDENTIFIABLE","?REFERENTIAL"),"_")))))</f>
        <v> </v>
      </c>
      <c r="H3055" s="25" t="str">
        <f>IF(J3055&lt;&gt;1,"",IF(I3055="SBJ","CB","?"))</f>
        <v> </v>
      </c>
      <c r="I3055" s="26" t="str">
        <f>IF(OR(E3055="",E3055="!!!",F3055="NEW"),"",INDEX(B3054:B$2,-1+SUMPRODUCT(MAX(ROW(E3054:E$2)*(E3055=E3054:E$2)))))</f>
        <v> </v>
      </c>
      <c r="J3055" s="26" t="str">
        <f>IF(OR(E3055="",E3055="!!!",F3055="NEW"),"",COUNTBLANK(OFFSET(A$1,,,SUMPRODUCT(MAX(ROW(E$2:E3055)*(E3055=E$2:E3055)))))-COUNTBLANK(OFFSET(A$1,,,SUMPRODUCT(MAX(ROW(E$1:E3054)*(E2=E$1:E3054))))))</f>
        <v> </v>
      </c>
      <c r="K3055" s="26" t="str">
        <f>IF(OR(E3055="",E3055="!!!",F3055="NEW"),"",INDEX(J$1:J3054,SUMPRODUCT(MAX(ROW(E$1:E3054)*(E3055=E$1:E3054)))))</f>
        <v> </v>
      </c>
      <c r="L3055" s="27"/>
    </row>
    <row r="3056" spans="1:12">
      <c r="A3056" s="20" t="s">
        <v>1827</v>
      </c>
      <c r="B3056" s="21" t="s">
        <v>755</v>
      </c>
      <c r="C3056" s="21" t="s">
        <v>753</v>
      </c>
      <c r="D3056" s="21" t="s">
        <v>730</v>
      </c>
      <c r="E3056" s="22">
        <f>IF(D3056="?OLD","!!!","")</f>
        <v/>
      </c>
      <c r="F3056" s="23" t="str">
        <f>IF(OR(E3056="",E3056="!!!"),"",IF(NOT(ISNA(VLOOKUP(E3056,E$1:E3055,1,FALSE()))),"OLD",IF(AND(E3056&lt;&gt;"",E3056&lt;&gt;"!!!"),"NEW","")))</f>
        <v> </v>
      </c>
      <c r="G3056" s="24" t="str">
        <f>IF(OR(E3056="",E3056="!!!"),"",IF(OR(J3056=0,AND(J3056=1,K3056=1),AND(J3056=1,I3056="SBJ"),AND(J3056=1,I3056=0)),"?IN_FOCUS",IF(J3056&lt;=2,"?ACTIVATED",IF(J3056&lt;&gt;"","?FAMILIAR",IF(F3056="NEW",IF(ISNA(VLOOKUP(E3056,#REF!,1,FALSE())),"?TYPE_IDENTIFIABLE","?REFERENTIAL"),"_")))))</f>
        <v> </v>
      </c>
      <c r="H3056" s="25" t="str">
        <f>IF(J3056&lt;&gt;1,"",IF(I3056="SBJ","CB","?"))</f>
        <v> </v>
      </c>
      <c r="I3056" s="26" t="str">
        <f>IF(OR(E3056="",E3056="!!!",F3056="NEW"),"",INDEX(B3055:B$2,-1+SUMPRODUCT(MAX(ROW(E3055:E$2)*(E3056=E3055:E$2)))))</f>
        <v> </v>
      </c>
      <c r="J3056" s="26" t="str">
        <f>IF(OR(E3056="",E3056="!!!",F3056="NEW"),"",COUNTBLANK(OFFSET(A$1,,,SUMPRODUCT(MAX(ROW(E$2:E3056)*(E3056=E$2:E3056)))))-COUNTBLANK(OFFSET(A$1,,,SUMPRODUCT(MAX(ROW(E$1:E3055)*(E2=E$1:E3055))))))</f>
        <v> </v>
      </c>
      <c r="K3056" s="26" t="str">
        <f>IF(OR(E3056="",E3056="!!!",F3056="NEW"),"",INDEX(J$1:J3055,SUMPRODUCT(MAX(ROW(E$1:E3055)*(E3056=E$1:E3055)))))</f>
        <v> </v>
      </c>
      <c r="L3056" s="27"/>
    </row>
    <row r="3057" spans="1:12">
      <c r="A3057" s="20" t="s">
        <v>759</v>
      </c>
      <c r="E3057" s="22">
        <f>IF(D3057="?OLD","!!!","")</f>
        <v/>
      </c>
      <c r="F3057" s="23" t="str">
        <f>IF(OR(E3057="",E3057="!!!"),"",IF(NOT(ISNA(VLOOKUP(E3057,E$1:E3056,1,FALSE()))),"OLD",IF(AND(E3057&lt;&gt;"",E3057&lt;&gt;"!!!"),"NEW","")))</f>
        <v> </v>
      </c>
      <c r="G3057" s="24" t="str">
        <f>IF(OR(E3057="",E3057="!!!"),"",IF(OR(J3057=0,AND(J3057=1,K3057=1),AND(J3057=1,I3057="SBJ"),AND(J3057=1,I3057=0)),"?IN_FOCUS",IF(J3057&lt;=2,"?ACTIVATED",IF(J3057&lt;&gt;"","?FAMILIAR",IF(F3057="NEW",IF(ISNA(VLOOKUP(E3057,#REF!,1,FALSE())),"?TYPE_IDENTIFIABLE","?REFERENTIAL"),"_")))))</f>
        <v> </v>
      </c>
      <c r="H3057" s="25" t="str">
        <f>IF(J3057&lt;&gt;1,"",IF(I3057="SBJ","CB","?"))</f>
        <v> </v>
      </c>
      <c r="I3057" s="26" t="str">
        <f>IF(OR(E3057="",E3057="!!!",F3057="NEW"),"",INDEX(B3056:B$2,-1+SUMPRODUCT(MAX(ROW(E3056:E$2)*(E3057=E3056:E$2)))))</f>
        <v> </v>
      </c>
      <c r="J3057" s="26" t="str">
        <f>IF(OR(E3057="",E3057="!!!",F3057="NEW"),"",COUNTBLANK(OFFSET(A$1,,,SUMPRODUCT(MAX(ROW(E$2:E3057)*(E3057=E$2:E3057)))))-COUNTBLANK(OFFSET(A$1,,,SUMPRODUCT(MAX(ROW(E$1:E3056)*(E2=E$1:E3056))))))</f>
        <v> </v>
      </c>
      <c r="K3057" s="26" t="str">
        <f>IF(OR(E3057="",E3057="!!!",F3057="NEW"),"",INDEX(J$1:J3056,SUMPRODUCT(MAX(ROW(E$1:E3056)*(E3057=E$1:E3056)))))</f>
        <v> </v>
      </c>
      <c r="L3057" s="27"/>
    </row>
    <row r="3058" spans="1:12">
      <c r="A3058" s="20" t="s">
        <v>776</v>
      </c>
      <c r="E3058" s="22">
        <f>IF(D3058="?OLD","!!!","")</f>
        <v/>
      </c>
      <c r="F3058" s="23" t="str">
        <f>IF(OR(E3058="",E3058="!!!"),"",IF(NOT(ISNA(VLOOKUP(E3058,E$1:E3057,1,FALSE()))),"OLD",IF(AND(E3058&lt;&gt;"",E3058&lt;&gt;"!!!"),"NEW","")))</f>
        <v> </v>
      </c>
      <c r="G3058" s="24" t="str">
        <f>IF(OR(E3058="",E3058="!!!"),"",IF(OR(J3058=0,AND(J3058=1,K3058=1),AND(J3058=1,I3058="SBJ"),AND(J3058=1,I3058=0)),"?IN_FOCUS",IF(J3058&lt;=2,"?ACTIVATED",IF(J3058&lt;&gt;"","?FAMILIAR",IF(F3058="NEW",IF(ISNA(VLOOKUP(E3058,#REF!,1,FALSE())),"?TYPE_IDENTIFIABLE","?REFERENTIAL"),"_")))))</f>
        <v> </v>
      </c>
      <c r="H3058" s="25" t="str">
        <f>IF(J3058&lt;&gt;1,"",IF(I3058="SBJ","CB","?"))</f>
        <v> </v>
      </c>
      <c r="I3058" s="26" t="str">
        <f>IF(OR(E3058="",E3058="!!!",F3058="NEW"),"",INDEX(B3057:B$2,-1+SUMPRODUCT(MAX(ROW(E3057:E$2)*(E3058=E3057:E$2)))))</f>
        <v> </v>
      </c>
      <c r="J3058" s="26" t="str">
        <f>IF(OR(E3058="",E3058="!!!",F3058="NEW"),"",COUNTBLANK(OFFSET(A$1,,,SUMPRODUCT(MAX(ROW(E$2:E3058)*(E3058=E$2:E3058)))))-COUNTBLANK(OFFSET(A$1,,,SUMPRODUCT(MAX(ROW(E$1:E3057)*(E2=E$1:E3057))))))</f>
        <v> </v>
      </c>
      <c r="K3058" s="26" t="str">
        <f>IF(OR(E3058="",E3058="!!!",F3058="NEW"),"",INDEX(J$1:J3057,SUMPRODUCT(MAX(ROW(E$1:E3057)*(E3058=E$1:E3057)))))</f>
        <v> </v>
      </c>
      <c r="L3058" s="27"/>
    </row>
    <row r="3059" spans="1:12">
      <c r="A3059" s="20" t="s">
        <v>1828</v>
      </c>
      <c r="E3059" s="22">
        <f>IF(D3059="?OLD","!!!","")</f>
        <v/>
      </c>
      <c r="F3059" s="23" t="str">
        <f>IF(OR(E3059="",E3059="!!!"),"",IF(NOT(ISNA(VLOOKUP(E3059,E$1:E3058,1,FALSE()))),"OLD",IF(AND(E3059&lt;&gt;"",E3059&lt;&gt;"!!!"),"NEW","")))</f>
        <v> </v>
      </c>
      <c r="G3059" s="24" t="str">
        <f>IF(OR(E3059="",E3059="!!!"),"",IF(OR(J3059=0,AND(J3059=1,K3059=1),AND(J3059=1,I3059="SBJ"),AND(J3059=1,I3059=0)),"?IN_FOCUS",IF(J3059&lt;=2,"?ACTIVATED",IF(J3059&lt;&gt;"","?FAMILIAR",IF(F3059="NEW",IF(ISNA(VLOOKUP(E3059,#REF!,1,FALSE())),"?TYPE_IDENTIFIABLE","?REFERENTIAL"),"_")))))</f>
        <v> </v>
      </c>
      <c r="H3059" s="25" t="str">
        <f>IF(J3059&lt;&gt;1,"",IF(I3059="SBJ","CB","?"))</f>
        <v> </v>
      </c>
      <c r="I3059" s="26" t="str">
        <f>IF(OR(E3059="",E3059="!!!",F3059="NEW"),"",INDEX(B3058:B$2,-1+SUMPRODUCT(MAX(ROW(E3058:E$2)*(E3059=E3058:E$2)))))</f>
        <v> </v>
      </c>
      <c r="J3059" s="26" t="str">
        <f>IF(OR(E3059="",E3059="!!!",F3059="NEW"),"",COUNTBLANK(OFFSET(A$1,,,SUMPRODUCT(MAX(ROW(E$2:E3059)*(E3059=E$2:E3059)))))-COUNTBLANK(OFFSET(A$1,,,SUMPRODUCT(MAX(ROW(E$1:E3058)*(E2=E$1:E3058))))))</f>
        <v> </v>
      </c>
      <c r="K3059" s="26" t="str">
        <f>IF(OR(E3059="",E3059="!!!",F3059="NEW"),"",INDEX(J$1:J3058,SUMPRODUCT(MAX(ROW(E$1:E3058)*(E3059=E$1:E3058)))))</f>
        <v> </v>
      </c>
      <c r="L3059" s="27"/>
    </row>
    <row r="3060" spans="1:12">
      <c r="A3060" s="20" t="s">
        <v>1829</v>
      </c>
      <c r="B3060" s="21" t="s">
        <v>764</v>
      </c>
      <c r="C3060" s="21" t="s">
        <v>753</v>
      </c>
      <c r="D3060" s="21" t="s">
        <v>730</v>
      </c>
      <c r="E3060" s="22">
        <f>IF(D3060="?OLD","!!!","")</f>
        <v/>
      </c>
      <c r="F3060" s="23" t="str">
        <f>IF(OR(E3060="",E3060="!!!"),"",IF(NOT(ISNA(VLOOKUP(E3060,E$1:E3059,1,FALSE()))),"OLD",IF(AND(E3060&lt;&gt;"",E3060&lt;&gt;"!!!"),"NEW","")))</f>
        <v> </v>
      </c>
      <c r="G3060" s="24" t="str">
        <f>IF(OR(E3060="",E3060="!!!"),"",IF(OR(J3060=0,AND(J3060=1,K3060=1),AND(J3060=1,I3060="SBJ"),AND(J3060=1,I3060=0)),"?IN_FOCUS",IF(J3060&lt;=2,"?ACTIVATED",IF(J3060&lt;&gt;"","?FAMILIAR",IF(F3060="NEW",IF(ISNA(VLOOKUP(E3060,#REF!,1,FALSE())),"?TYPE_IDENTIFIABLE","?REFERENTIAL"),"_")))))</f>
        <v> </v>
      </c>
      <c r="H3060" s="25" t="str">
        <f>IF(J3060&lt;&gt;1,"",IF(I3060="SBJ","CB","?"))</f>
        <v> </v>
      </c>
      <c r="I3060" s="26" t="str">
        <f>IF(OR(E3060="",E3060="!!!",F3060="NEW"),"",INDEX(B3059:B$2,-1+SUMPRODUCT(MAX(ROW(E3059:E$2)*(E3060=E3059:E$2)))))</f>
        <v> </v>
      </c>
      <c r="J3060" s="26" t="str">
        <f>IF(OR(E3060="",E3060="!!!",F3060="NEW"),"",COUNTBLANK(OFFSET(A$1,,,SUMPRODUCT(MAX(ROW(E$2:E3060)*(E3060=E$2:E3060)))))-COUNTBLANK(OFFSET(A$1,,,SUMPRODUCT(MAX(ROW(E$1:E3059)*(E2=E$1:E3059))))))</f>
        <v> </v>
      </c>
      <c r="K3060" s="26" t="str">
        <f>IF(OR(E3060="",E3060="!!!",F3060="NEW"),"",INDEX(J$1:J3059,SUMPRODUCT(MAX(ROW(E$1:E3059)*(E3060=E$1:E3059)))))</f>
        <v> </v>
      </c>
      <c r="L3060" s="27"/>
    </row>
    <row r="3061" spans="1:12">
      <c r="A3061" s="20" t="s">
        <v>759</v>
      </c>
      <c r="E3061" s="22">
        <f>IF(D3061="?OLD","!!!","")</f>
        <v/>
      </c>
      <c r="F3061" s="23" t="str">
        <f>IF(OR(E3061="",E3061="!!!"),"",IF(NOT(ISNA(VLOOKUP(E3061,E$1:E3060,1,FALSE()))),"OLD",IF(AND(E3061&lt;&gt;"",E3061&lt;&gt;"!!!"),"NEW","")))</f>
        <v> </v>
      </c>
      <c r="G3061" s="24" t="str">
        <f>IF(OR(E3061="",E3061="!!!"),"",IF(OR(J3061=0,AND(J3061=1,K3061=1),AND(J3061=1,I3061="SBJ"),AND(J3061=1,I3061=0)),"?IN_FOCUS",IF(J3061&lt;=2,"?ACTIVATED",IF(J3061&lt;&gt;"","?FAMILIAR",IF(F3061="NEW",IF(ISNA(VLOOKUP(E3061,#REF!,1,FALSE())),"?TYPE_IDENTIFIABLE","?REFERENTIAL"),"_")))))</f>
        <v> </v>
      </c>
      <c r="H3061" s="25" t="str">
        <f>IF(J3061&lt;&gt;1,"",IF(I3061="SBJ","CB","?"))</f>
        <v> </v>
      </c>
      <c r="I3061" s="26" t="str">
        <f>IF(OR(E3061="",E3061="!!!",F3061="NEW"),"",INDEX(B3060:B$2,-1+SUMPRODUCT(MAX(ROW(E3060:E$2)*(E3061=E3060:E$2)))))</f>
        <v> </v>
      </c>
      <c r="J3061" s="26" t="str">
        <f>IF(OR(E3061="",E3061="!!!",F3061="NEW"),"",COUNTBLANK(OFFSET(A$1,,,SUMPRODUCT(MAX(ROW(E$2:E3061)*(E3061=E$2:E3061)))))-COUNTBLANK(OFFSET(A$1,,,SUMPRODUCT(MAX(ROW(E$1:E3060)*(E2=E$1:E3060))))))</f>
        <v> </v>
      </c>
      <c r="K3061" s="26" t="str">
        <f>IF(OR(E3061="",E3061="!!!",F3061="NEW"),"",INDEX(J$1:J3060,SUMPRODUCT(MAX(ROW(E$1:E3060)*(E3061=E$1:E3060)))))</f>
        <v> </v>
      </c>
      <c r="L3061" s="27"/>
    </row>
    <row r="3062" spans="1:12">
      <c r="A3062" s="20" t="s">
        <v>809</v>
      </c>
      <c r="E3062" s="22">
        <f>IF(D3062="?OLD","!!!","")</f>
        <v/>
      </c>
      <c r="F3062" s="23" t="str">
        <f>IF(OR(E3062="",E3062="!!!"),"",IF(NOT(ISNA(VLOOKUP(E3062,E$1:E3061,1,FALSE()))),"OLD",IF(AND(E3062&lt;&gt;"",E3062&lt;&gt;"!!!"),"NEW","")))</f>
        <v> </v>
      </c>
      <c r="G3062" s="24" t="str">
        <f>IF(OR(E3062="",E3062="!!!"),"",IF(OR(J3062=0,AND(J3062=1,K3062=1),AND(J3062=1,I3062="SBJ"),AND(J3062=1,I3062=0)),"?IN_FOCUS",IF(J3062&lt;=2,"?ACTIVATED",IF(J3062&lt;&gt;"","?FAMILIAR",IF(F3062="NEW",IF(ISNA(VLOOKUP(E3062,#REF!,1,FALSE())),"?TYPE_IDENTIFIABLE","?REFERENTIAL"),"_")))))</f>
        <v> </v>
      </c>
      <c r="H3062" s="25" t="str">
        <f>IF(J3062&lt;&gt;1,"",IF(I3062="SBJ","CB","?"))</f>
        <v> </v>
      </c>
      <c r="I3062" s="26" t="str">
        <f>IF(OR(E3062="",E3062="!!!",F3062="NEW"),"",INDEX(B3061:B$2,-1+SUMPRODUCT(MAX(ROW(E3061:E$2)*(E3062=E3061:E$2)))))</f>
        <v> </v>
      </c>
      <c r="J3062" s="26" t="str">
        <f>IF(OR(E3062="",E3062="!!!",F3062="NEW"),"",COUNTBLANK(OFFSET(A$1,,,SUMPRODUCT(MAX(ROW(E$2:E3062)*(E3062=E$2:E3062)))))-COUNTBLANK(OFFSET(A$1,,,SUMPRODUCT(MAX(ROW(E$1:E3061)*(E2=E$1:E3061))))))</f>
        <v> </v>
      </c>
      <c r="K3062" s="26" t="str">
        <f>IF(OR(E3062="",E3062="!!!",F3062="NEW"),"",INDEX(J$1:J3061,SUMPRODUCT(MAX(ROW(E$1:E3061)*(E3062=E$1:E3061)))))</f>
        <v> </v>
      </c>
      <c r="L3062" s="27"/>
    </row>
    <row r="3063" spans="1:12">
      <c r="A3063" s="20" t="s">
        <v>1450</v>
      </c>
      <c r="B3063" s="21" t="s">
        <v>788</v>
      </c>
      <c r="C3063" s="21" t="s">
        <v>756</v>
      </c>
      <c r="E3063" s="22">
        <f>IF(D3063="?OLD","!!!","")</f>
        <v/>
      </c>
      <c r="F3063" s="23" t="str">
        <f>IF(OR(E3063="",E3063="!!!"),"",IF(NOT(ISNA(VLOOKUP(E3063,E$1:E3062,1,FALSE()))),"OLD",IF(AND(E3063&lt;&gt;"",E3063&lt;&gt;"!!!"),"NEW","")))</f>
        <v> </v>
      </c>
      <c r="G3063" s="24" t="str">
        <f>IF(OR(E3063="",E3063="!!!"),"",IF(OR(J3063=0,AND(J3063=1,K3063=1),AND(J3063=1,I3063="SBJ"),AND(J3063=1,I3063=0)),"?IN_FOCUS",IF(J3063&lt;=2,"?ACTIVATED",IF(J3063&lt;&gt;"","?FAMILIAR",IF(F3063="NEW",IF(ISNA(VLOOKUP(E3063,#REF!,1,FALSE())),"?TYPE_IDENTIFIABLE","?REFERENTIAL"),"_")))))</f>
        <v> </v>
      </c>
      <c r="H3063" s="25" t="str">
        <f>IF(J3063&lt;&gt;1,"",IF(I3063="SBJ","CB","?"))</f>
        <v> </v>
      </c>
      <c r="I3063" s="26" t="str">
        <f>IF(OR(E3063="",E3063="!!!",F3063="NEW"),"",INDEX(B3062:B$2,-1+SUMPRODUCT(MAX(ROW(E3062:E$2)*(E3063=E3062:E$2)))))</f>
        <v> </v>
      </c>
      <c r="J3063" s="26" t="str">
        <f>IF(OR(E3063="",E3063="!!!",F3063="NEW"),"",COUNTBLANK(OFFSET(A$1,,,SUMPRODUCT(MAX(ROW(E$2:E3063)*(E3063=E$2:E3063)))))-COUNTBLANK(OFFSET(A$1,,,SUMPRODUCT(MAX(ROW(E$1:E3062)*(E2=E$1:E3062))))))</f>
        <v> </v>
      </c>
      <c r="K3063" s="26" t="str">
        <f>IF(OR(E3063="",E3063="!!!",F3063="NEW"),"",INDEX(J$1:J3062,SUMPRODUCT(MAX(ROW(E$1:E3062)*(E3063=E$1:E3062)))))</f>
        <v> </v>
      </c>
      <c r="L3063" s="27"/>
    </row>
    <row r="3064" spans="1:12">
      <c r="A3064" s="20" t="s">
        <v>742</v>
      </c>
      <c r="E3064" s="22">
        <f>IF(D3064="?OLD","!!!","")</f>
        <v/>
      </c>
      <c r="F3064" s="23" t="str">
        <f>IF(OR(E3064="",E3064="!!!"),"",IF(NOT(ISNA(VLOOKUP(E3064,E$1:E3063,1,FALSE()))),"OLD",IF(AND(E3064&lt;&gt;"",E3064&lt;&gt;"!!!"),"NEW","")))</f>
        <v> </v>
      </c>
      <c r="G3064" s="24" t="str">
        <f>IF(OR(E3064="",E3064="!!!"),"",IF(OR(J3064=0,AND(J3064=1,K3064=1),AND(J3064=1,I3064="SBJ"),AND(J3064=1,I3064=0)),"?IN_FOCUS",IF(J3064&lt;=2,"?ACTIVATED",IF(J3064&lt;&gt;"","?FAMILIAR",IF(F3064="NEW",IF(ISNA(VLOOKUP(E3064,#REF!,1,FALSE())),"?TYPE_IDENTIFIABLE","?REFERENTIAL"),"_")))))</f>
        <v> </v>
      </c>
      <c r="H3064" s="25" t="str">
        <f>IF(J3064&lt;&gt;1,"",IF(I3064="SBJ","CB","?"))</f>
        <v> </v>
      </c>
      <c r="I3064" s="26" t="str">
        <f>IF(OR(E3064="",E3064="!!!",F3064="NEW"),"",INDEX(B3063:B$2,-1+SUMPRODUCT(MAX(ROW(E3063:E$2)*(E3064=E3063:E$2)))))</f>
        <v> </v>
      </c>
      <c r="J3064" s="26" t="str">
        <f>IF(OR(E3064="",E3064="!!!",F3064="NEW"),"",COUNTBLANK(OFFSET(A$1,,,SUMPRODUCT(MAX(ROW(E$2:E3064)*(E3064=E$2:E3064)))))-COUNTBLANK(OFFSET(A$1,,,SUMPRODUCT(MAX(ROW(E$1:E3063)*(E2=E$1:E3063))))))</f>
        <v> </v>
      </c>
      <c r="K3064" s="26" t="str">
        <f>IF(OR(E3064="",E3064="!!!",F3064="NEW"),"",INDEX(J$1:J3063,SUMPRODUCT(MAX(ROW(E$1:E3063)*(E3064=E$1:E3063)))))</f>
        <v> </v>
      </c>
      <c r="L3064" s="27"/>
    </row>
    <row r="3065" spans="1:12">
      <c r="A3065" s="20" t="s">
        <v>1806</v>
      </c>
      <c r="B3065" s="21" t="s">
        <v>755</v>
      </c>
      <c r="C3065" s="21" t="s">
        <v>748</v>
      </c>
      <c r="E3065" s="22">
        <f>IF(D3065="?OLD","!!!","")</f>
        <v/>
      </c>
      <c r="F3065" s="23" t="str">
        <f>IF(OR(E3065="",E3065="!!!"),"",IF(NOT(ISNA(VLOOKUP(E3065,E$1:E3064,1,FALSE()))),"OLD",IF(AND(E3065&lt;&gt;"",E3065&lt;&gt;"!!!"),"NEW","")))</f>
        <v> </v>
      </c>
      <c r="G3065" s="24" t="str">
        <f>IF(OR(E3065="",E3065="!!!"),"",IF(OR(J3065=0,AND(J3065=1,K3065=1),AND(J3065=1,I3065="SBJ"),AND(J3065=1,I3065=0)),"?IN_FOCUS",IF(J3065&lt;=2,"?ACTIVATED",IF(J3065&lt;&gt;"","?FAMILIAR",IF(F3065="NEW",IF(ISNA(VLOOKUP(E3065,#REF!,1,FALSE())),"?TYPE_IDENTIFIABLE","?REFERENTIAL"),"_")))))</f>
        <v> </v>
      </c>
      <c r="H3065" s="25" t="str">
        <f>IF(J3065&lt;&gt;1,"",IF(I3065="SBJ","CB","?"))</f>
        <v> </v>
      </c>
      <c r="I3065" s="26" t="str">
        <f>IF(OR(E3065="",E3065="!!!",F3065="NEW"),"",INDEX(B3064:B$2,-1+SUMPRODUCT(MAX(ROW(E3064:E$2)*(E3065=E3064:E$2)))))</f>
        <v> </v>
      </c>
      <c r="J3065" s="26" t="str">
        <f>IF(OR(E3065="",E3065="!!!",F3065="NEW"),"",COUNTBLANK(OFFSET(A$1,,,SUMPRODUCT(MAX(ROW(E$2:E3065)*(E3065=E$2:E3065)))))-COUNTBLANK(OFFSET(A$1,,,SUMPRODUCT(MAX(ROW(E$1:E3064)*(E2=E$1:E3064))))))</f>
        <v> </v>
      </c>
      <c r="K3065" s="26" t="str">
        <f>IF(OR(E3065="",E3065="!!!",F3065="NEW"),"",INDEX(J$1:J3064,SUMPRODUCT(MAX(ROW(E$1:E3064)*(E3065=E$1:E3064)))))</f>
        <v> </v>
      </c>
      <c r="L3065" s="27"/>
    </row>
    <row r="3066" spans="1:12">
      <c r="A3066" s="20" t="s">
        <v>1830</v>
      </c>
      <c r="E3066" s="22">
        <f>IF(D3066="?OLD","!!!","")</f>
        <v/>
      </c>
      <c r="F3066" s="23" t="str">
        <f>IF(OR(E3066="",E3066="!!!"),"",IF(NOT(ISNA(VLOOKUP(E3066,E$1:E3065,1,FALSE()))),"OLD",IF(AND(E3066&lt;&gt;"",E3066&lt;&gt;"!!!"),"NEW","")))</f>
        <v> </v>
      </c>
      <c r="G3066" s="24" t="str">
        <f>IF(OR(E3066="",E3066="!!!"),"",IF(OR(J3066=0,AND(J3066=1,K3066=1),AND(J3066=1,I3066="SBJ"),AND(J3066=1,I3066=0)),"?IN_FOCUS",IF(J3066&lt;=2,"?ACTIVATED",IF(J3066&lt;&gt;"","?FAMILIAR",IF(F3066="NEW",IF(ISNA(VLOOKUP(E3066,#REF!,1,FALSE())),"?TYPE_IDENTIFIABLE","?REFERENTIAL"),"_")))))</f>
        <v> </v>
      </c>
      <c r="H3066" s="25" t="str">
        <f>IF(J3066&lt;&gt;1,"",IF(I3066="SBJ","CB","?"))</f>
        <v> </v>
      </c>
      <c r="I3066" s="26" t="str">
        <f>IF(OR(E3066="",E3066="!!!",F3066="NEW"),"",INDEX(B3065:B$2,-1+SUMPRODUCT(MAX(ROW(E3065:E$2)*(E3066=E3065:E$2)))))</f>
        <v> </v>
      </c>
      <c r="J3066" s="26" t="str">
        <f>IF(OR(E3066="",E3066="!!!",F3066="NEW"),"",COUNTBLANK(OFFSET(A$1,,,SUMPRODUCT(MAX(ROW(E$2:E3066)*(E3066=E$2:E3066)))))-COUNTBLANK(OFFSET(A$1,,,SUMPRODUCT(MAX(ROW(E$1:E3065)*(E2=E$1:E3065))))))</f>
        <v> </v>
      </c>
      <c r="K3066" s="26" t="str">
        <f>IF(OR(E3066="",E3066="!!!",F3066="NEW"),"",INDEX(J$1:J3065,SUMPRODUCT(MAX(ROW(E$1:E3065)*(E3066=E$1:E3065)))))</f>
        <v> </v>
      </c>
      <c r="L3066" s="27"/>
    </row>
    <row r="3067" spans="1:12">
      <c r="A3067" s="20" t="s">
        <v>817</v>
      </c>
      <c r="E3067" s="22">
        <f>IF(D3067="?OLD","!!!","")</f>
        <v/>
      </c>
      <c r="F3067" s="23" t="str">
        <f>IF(OR(E3067="",E3067="!!!"),"",IF(NOT(ISNA(VLOOKUP(E3067,E$1:E3066,1,FALSE()))),"OLD",IF(AND(E3067&lt;&gt;"",E3067&lt;&gt;"!!!"),"NEW","")))</f>
        <v> </v>
      </c>
      <c r="G3067" s="24" t="str">
        <f>IF(OR(E3067="",E3067="!!!"),"",IF(OR(J3067=0,AND(J3067=1,K3067=1),AND(J3067=1,I3067="SBJ"),AND(J3067=1,I3067=0)),"?IN_FOCUS",IF(J3067&lt;=2,"?ACTIVATED",IF(J3067&lt;&gt;"","?FAMILIAR",IF(F3067="NEW",IF(ISNA(VLOOKUP(E3067,#REF!,1,FALSE())),"?TYPE_IDENTIFIABLE","?REFERENTIAL"),"_")))))</f>
        <v> </v>
      </c>
      <c r="H3067" s="25" t="str">
        <f>IF(J3067&lt;&gt;1,"",IF(I3067="SBJ","CB","?"))</f>
        <v> </v>
      </c>
      <c r="I3067" s="26" t="str">
        <f>IF(OR(E3067="",E3067="!!!",F3067="NEW"),"",INDEX(B3066:B$2,-1+SUMPRODUCT(MAX(ROW(E3066:E$2)*(E3067=E3066:E$2)))))</f>
        <v> </v>
      </c>
      <c r="J3067" s="26" t="str">
        <f>IF(OR(E3067="",E3067="!!!",F3067="NEW"),"",COUNTBLANK(OFFSET(A$1,,,SUMPRODUCT(MAX(ROW(E$2:E3067)*(E3067=E$2:E3067)))))-COUNTBLANK(OFFSET(A$1,,,SUMPRODUCT(MAX(ROW(E$1:E3066)*(E2=E$1:E3066))))))</f>
        <v> </v>
      </c>
      <c r="K3067" s="26" t="str">
        <f>IF(OR(E3067="",E3067="!!!",F3067="NEW"),"",INDEX(J$1:J3066,SUMPRODUCT(MAX(ROW(E$1:E3066)*(E3067=E$1:E3066)))))</f>
        <v> </v>
      </c>
      <c r="L3067" s="27"/>
    </row>
    <row r="3068" spans="1:12">
      <c r="A3068" s="20" t="s">
        <v>759</v>
      </c>
      <c r="E3068" s="22">
        <f>IF(D3068="?OLD","!!!","")</f>
        <v/>
      </c>
      <c r="F3068" s="23" t="str">
        <f>IF(OR(E3068="",E3068="!!!"),"",IF(NOT(ISNA(VLOOKUP(E3068,E$1:E3067,1,FALSE()))),"OLD",IF(AND(E3068&lt;&gt;"",E3068&lt;&gt;"!!!"),"NEW","")))</f>
        <v> </v>
      </c>
      <c r="G3068" s="24" t="str">
        <f>IF(OR(E3068="",E3068="!!!"),"",IF(OR(J3068=0,AND(J3068=1,K3068=1),AND(J3068=1,I3068="SBJ"),AND(J3068=1,I3068=0)),"?IN_FOCUS",IF(J3068&lt;=2,"?ACTIVATED",IF(J3068&lt;&gt;"","?FAMILIAR",IF(F3068="NEW",IF(ISNA(VLOOKUP(E3068,#REF!,1,FALSE())),"?TYPE_IDENTIFIABLE","?REFERENTIAL"),"_")))))</f>
        <v> </v>
      </c>
      <c r="H3068" s="25" t="str">
        <f>IF(J3068&lt;&gt;1,"",IF(I3068="SBJ","CB","?"))</f>
        <v> </v>
      </c>
      <c r="I3068" s="26" t="str">
        <f>IF(OR(E3068="",E3068="!!!",F3068="NEW"),"",INDEX(B3067:B$2,-1+SUMPRODUCT(MAX(ROW(E3067:E$2)*(E3068=E3067:E$2)))))</f>
        <v> </v>
      </c>
      <c r="J3068" s="26" t="str">
        <f>IF(OR(E3068="",E3068="!!!",F3068="NEW"),"",COUNTBLANK(OFFSET(A$1,,,SUMPRODUCT(MAX(ROW(E$2:E3068)*(E3068=E$2:E3068)))))-COUNTBLANK(OFFSET(A$1,,,SUMPRODUCT(MAX(ROW(E$1:E3067)*(E2=E$1:E3067))))))</f>
        <v> </v>
      </c>
      <c r="K3068" s="26" t="str">
        <f>IF(OR(E3068="",E3068="!!!",F3068="NEW"),"",INDEX(J$1:J3067,SUMPRODUCT(MAX(ROW(E$1:E3067)*(E3068=E$1:E3067)))))</f>
        <v> </v>
      </c>
      <c r="L3068" s="27"/>
    </row>
    <row r="3069" spans="1:12">
      <c r="A3069" s="20" t="s">
        <v>885</v>
      </c>
      <c r="E3069" s="22">
        <f>IF(D3069="?OLD","!!!","")</f>
        <v/>
      </c>
      <c r="F3069" s="23" t="str">
        <f>IF(OR(E3069="",E3069="!!!"),"",IF(NOT(ISNA(VLOOKUP(E3069,E$1:E3068,1,FALSE()))),"OLD",IF(AND(E3069&lt;&gt;"",E3069&lt;&gt;"!!!"),"NEW","")))</f>
        <v> </v>
      </c>
      <c r="G3069" s="24" t="str">
        <f>IF(OR(E3069="",E3069="!!!"),"",IF(OR(J3069=0,AND(J3069=1,K3069=1),AND(J3069=1,I3069="SBJ"),AND(J3069=1,I3069=0)),"?IN_FOCUS",IF(J3069&lt;=2,"?ACTIVATED",IF(J3069&lt;&gt;"","?FAMILIAR",IF(F3069="NEW",IF(ISNA(VLOOKUP(E3069,#REF!,1,FALSE())),"?TYPE_IDENTIFIABLE","?REFERENTIAL"),"_")))))</f>
        <v> </v>
      </c>
      <c r="H3069" s="25" t="str">
        <f>IF(J3069&lt;&gt;1,"",IF(I3069="SBJ","CB","?"))</f>
        <v> </v>
      </c>
      <c r="I3069" s="26" t="str">
        <f>IF(OR(E3069="",E3069="!!!",F3069="NEW"),"",INDEX(B3068:B$2,-1+SUMPRODUCT(MAX(ROW(E3068:E$2)*(E3069=E3068:E$2)))))</f>
        <v> </v>
      </c>
      <c r="J3069" s="26" t="str">
        <f>IF(OR(E3069="",E3069="!!!",F3069="NEW"),"",COUNTBLANK(OFFSET(A$1,,,SUMPRODUCT(MAX(ROW(E$2:E3069)*(E3069=E$2:E3069)))))-COUNTBLANK(OFFSET(A$1,,,SUMPRODUCT(MAX(ROW(E$1:E3068)*(E2=E$1:E3068))))))</f>
        <v> </v>
      </c>
      <c r="K3069" s="26" t="str">
        <f>IF(OR(E3069="",E3069="!!!",F3069="NEW"),"",INDEX(J$1:J3068,SUMPRODUCT(MAX(ROW(E$1:E3068)*(E3069=E$1:E3068)))))</f>
        <v> </v>
      </c>
      <c r="L3069" s="27"/>
    </row>
    <row r="3070" spans="1:12">
      <c r="A3070" s="20" t="s">
        <v>1406</v>
      </c>
      <c r="E3070" s="22">
        <f>IF(D3070="?OLD","!!!","")</f>
        <v/>
      </c>
      <c r="F3070" s="23" t="str">
        <f>IF(OR(E3070="",E3070="!!!"),"",IF(NOT(ISNA(VLOOKUP(E3070,E$1:E3069,1,FALSE()))),"OLD",IF(AND(E3070&lt;&gt;"",E3070&lt;&gt;"!!!"),"NEW","")))</f>
        <v> </v>
      </c>
      <c r="G3070" s="24" t="str">
        <f>IF(OR(E3070="",E3070="!!!"),"",IF(OR(J3070=0,AND(J3070=1,K3070=1),AND(J3070=1,I3070="SBJ"),AND(J3070=1,I3070=0)),"?IN_FOCUS",IF(J3070&lt;=2,"?ACTIVATED",IF(J3070&lt;&gt;"","?FAMILIAR",IF(F3070="NEW",IF(ISNA(VLOOKUP(E3070,#REF!,1,FALSE())),"?TYPE_IDENTIFIABLE","?REFERENTIAL"),"_")))))</f>
        <v> </v>
      </c>
      <c r="H3070" s="25" t="str">
        <f>IF(J3070&lt;&gt;1,"",IF(I3070="SBJ","CB","?"))</f>
        <v> </v>
      </c>
      <c r="I3070" s="26" t="str">
        <f>IF(OR(E3070="",E3070="!!!",F3070="NEW"),"",INDEX(B3069:B$2,-1+SUMPRODUCT(MAX(ROW(E3069:E$2)*(E3070=E3069:E$2)))))</f>
        <v> </v>
      </c>
      <c r="J3070" s="26" t="str">
        <f>IF(OR(E3070="",E3070="!!!",F3070="NEW"),"",COUNTBLANK(OFFSET(A$1,,,SUMPRODUCT(MAX(ROW(E$2:E3070)*(E3070=E$2:E3070)))))-COUNTBLANK(OFFSET(A$1,,,SUMPRODUCT(MAX(ROW(E$1:E3069)*(E2=E$1:E3069))))))</f>
        <v> </v>
      </c>
      <c r="K3070" s="26" t="str">
        <f>IF(OR(E3070="",E3070="!!!",F3070="NEW"),"",INDEX(J$1:J3069,SUMPRODUCT(MAX(ROW(E$1:E3069)*(E3070=E$1:E3069)))))</f>
        <v> </v>
      </c>
      <c r="L3070" s="27"/>
    </row>
    <row r="3071" spans="1:12">
      <c r="A3071" s="20" t="s">
        <v>1450</v>
      </c>
      <c r="B3071" s="21" t="s">
        <v>796</v>
      </c>
      <c r="C3071" s="21" t="s">
        <v>756</v>
      </c>
      <c r="E3071" s="22">
        <f>IF(D3071="?OLD","!!!","")</f>
        <v/>
      </c>
      <c r="F3071" s="23" t="str">
        <f>IF(OR(E3071="",E3071="!!!"),"",IF(NOT(ISNA(VLOOKUP(E3071,E$1:E3070,1,FALSE()))),"OLD",IF(AND(E3071&lt;&gt;"",E3071&lt;&gt;"!!!"),"NEW","")))</f>
        <v> </v>
      </c>
      <c r="G3071" s="24" t="str">
        <f>IF(OR(E3071="",E3071="!!!"),"",IF(OR(J3071=0,AND(J3071=1,K3071=1),AND(J3071=1,I3071="SBJ"),AND(J3071=1,I3071=0)),"?IN_FOCUS",IF(J3071&lt;=2,"?ACTIVATED",IF(J3071&lt;&gt;"","?FAMILIAR",IF(F3071="NEW",IF(ISNA(VLOOKUP(E3071,#REF!,1,FALSE())),"?TYPE_IDENTIFIABLE","?REFERENTIAL"),"_")))))</f>
        <v> </v>
      </c>
      <c r="H3071" s="25" t="str">
        <f>IF(J3071&lt;&gt;1,"",IF(I3071="SBJ","CB","?"))</f>
        <v> </v>
      </c>
      <c r="I3071" s="26" t="str">
        <f>IF(OR(E3071="",E3071="!!!",F3071="NEW"),"",INDEX(B3070:B$2,-1+SUMPRODUCT(MAX(ROW(E3070:E$2)*(E3071=E3070:E$2)))))</f>
        <v> </v>
      </c>
      <c r="J3071" s="26" t="str">
        <f>IF(OR(E3071="",E3071="!!!",F3071="NEW"),"",COUNTBLANK(OFFSET(A$1,,,SUMPRODUCT(MAX(ROW(E$2:E3071)*(E3071=E$2:E3071)))))-COUNTBLANK(OFFSET(A$1,,,SUMPRODUCT(MAX(ROW(E$1:E3070)*(E2=E$1:E3070))))))</f>
        <v> </v>
      </c>
      <c r="K3071" s="26" t="str">
        <f>IF(OR(E3071="",E3071="!!!",F3071="NEW"),"",INDEX(J$1:J3070,SUMPRODUCT(MAX(ROW(E$1:E3070)*(E3071=E$1:E3070)))))</f>
        <v> </v>
      </c>
      <c r="L3071" s="27"/>
    </row>
    <row r="3072" spans="1:12">
      <c r="A3072" s="20" t="s">
        <v>776</v>
      </c>
      <c r="B3072" s="21" t="s">
        <v>791</v>
      </c>
      <c r="E3072" s="22">
        <f>IF(D3072="?OLD","!!!","")</f>
        <v/>
      </c>
      <c r="F3072" s="23" t="str">
        <f>IF(OR(E3072="",E3072="!!!"),"",IF(NOT(ISNA(VLOOKUP(E3072,E$1:E3071,1,FALSE()))),"OLD",IF(AND(E3072&lt;&gt;"",E3072&lt;&gt;"!!!"),"NEW","")))</f>
        <v> </v>
      </c>
      <c r="G3072" s="24" t="str">
        <f>IF(OR(E3072="",E3072="!!!"),"",IF(OR(J3072=0,AND(J3072=1,K3072=1),AND(J3072=1,I3072="SBJ"),AND(J3072=1,I3072=0)),"?IN_FOCUS",IF(J3072&lt;=2,"?ACTIVATED",IF(J3072&lt;&gt;"","?FAMILIAR",IF(F3072="NEW",IF(ISNA(VLOOKUP(E3072,#REF!,1,FALSE())),"?TYPE_IDENTIFIABLE","?REFERENTIAL"),"_")))))</f>
        <v> </v>
      </c>
      <c r="H3072" s="25" t="str">
        <f>IF(J3072&lt;&gt;1,"",IF(I3072="SBJ","CB","?"))</f>
        <v> </v>
      </c>
      <c r="I3072" s="26" t="str">
        <f>IF(OR(E3072="",E3072="!!!",F3072="NEW"),"",INDEX(B3071:B$2,-1+SUMPRODUCT(MAX(ROW(E3071:E$2)*(E3072=E3071:E$2)))))</f>
        <v> </v>
      </c>
      <c r="J3072" s="26" t="str">
        <f>IF(OR(E3072="",E3072="!!!",F3072="NEW"),"",COUNTBLANK(OFFSET(A$1,,,SUMPRODUCT(MAX(ROW(E$2:E3072)*(E3072=E$2:E3072)))))-COUNTBLANK(OFFSET(A$1,,,SUMPRODUCT(MAX(ROW(E$1:E3071)*(E2=E$1:E3071))))))</f>
        <v> </v>
      </c>
      <c r="K3072" s="26" t="str">
        <f>IF(OR(E3072="",E3072="!!!",F3072="NEW"),"",INDEX(J$1:J3071,SUMPRODUCT(MAX(ROW(E$1:E3071)*(E3072=E$1:E3071)))))</f>
        <v> </v>
      </c>
      <c r="L3072" s="27"/>
    </row>
    <row r="3073" spans="1:12">
      <c r="A3073" s="20" t="s">
        <v>1039</v>
      </c>
      <c r="E3073" s="22">
        <f>IF(D3073="?OLD","!!!","")</f>
        <v/>
      </c>
      <c r="F3073" s="23" t="str">
        <f>IF(OR(E3073="",E3073="!!!"),"",IF(NOT(ISNA(VLOOKUP(E3073,E$1:E3072,1,FALSE()))),"OLD",IF(AND(E3073&lt;&gt;"",E3073&lt;&gt;"!!!"),"NEW","")))</f>
        <v> </v>
      </c>
      <c r="G3073" s="24" t="str">
        <f>IF(OR(E3073="",E3073="!!!"),"",IF(OR(J3073=0,AND(J3073=1,K3073=1),AND(J3073=1,I3073="SBJ"),AND(J3073=1,I3073=0)),"?IN_FOCUS",IF(J3073&lt;=2,"?ACTIVATED",IF(J3073&lt;&gt;"","?FAMILIAR",IF(F3073="NEW",IF(ISNA(VLOOKUP(E3073,#REF!,1,FALSE())),"?TYPE_IDENTIFIABLE","?REFERENTIAL"),"_")))))</f>
        <v> </v>
      </c>
      <c r="H3073" s="25" t="str">
        <f>IF(J3073&lt;&gt;1,"",IF(I3073="SBJ","CB","?"))</f>
        <v> </v>
      </c>
      <c r="I3073" s="26" t="str">
        <f>IF(OR(E3073="",E3073="!!!",F3073="NEW"),"",INDEX(B3072:B$2,-1+SUMPRODUCT(MAX(ROW(E3072:E$2)*(E3073=E3072:E$2)))))</f>
        <v> </v>
      </c>
      <c r="J3073" s="26" t="str">
        <f>IF(OR(E3073="",E3073="!!!",F3073="NEW"),"",COUNTBLANK(OFFSET(A$1,,,SUMPRODUCT(MAX(ROW(E$2:E3073)*(E3073=E$2:E3073)))))-COUNTBLANK(OFFSET(A$1,,,SUMPRODUCT(MAX(ROW(E$1:E3072)*(E2=E$1:E3072))))))</f>
        <v> </v>
      </c>
      <c r="K3073" s="26" t="str">
        <f>IF(OR(E3073="",E3073="!!!",F3073="NEW"),"",INDEX(J$1:J3072,SUMPRODUCT(MAX(ROW(E$1:E3072)*(E3073=E$1:E3072)))))</f>
        <v> </v>
      </c>
      <c r="L3073" s="27"/>
    </row>
    <row r="3074" spans="1:12">
      <c r="A3074" s="20" t="s">
        <v>1831</v>
      </c>
      <c r="E3074" s="22">
        <f>IF(D3074="?OLD","!!!","")</f>
        <v/>
      </c>
      <c r="F3074" s="23" t="str">
        <f>IF(OR(E3074="",E3074="!!!"),"",IF(NOT(ISNA(VLOOKUP(E3074,E$1:E3073,1,FALSE()))),"OLD",IF(AND(E3074&lt;&gt;"",E3074&lt;&gt;"!!!"),"NEW","")))</f>
        <v> </v>
      </c>
      <c r="G3074" s="24" t="str">
        <f>IF(OR(E3074="",E3074="!!!"),"",IF(OR(J3074=0,AND(J3074=1,K3074=1),AND(J3074=1,I3074="SBJ"),AND(J3074=1,I3074=0)),"?IN_FOCUS",IF(J3074&lt;=2,"?ACTIVATED",IF(J3074&lt;&gt;"","?FAMILIAR",IF(F3074="NEW",IF(ISNA(VLOOKUP(E3074,#REF!,1,FALSE())),"?TYPE_IDENTIFIABLE","?REFERENTIAL"),"_")))))</f>
        <v> </v>
      </c>
      <c r="H3074" s="25" t="str">
        <f>IF(J3074&lt;&gt;1,"",IF(I3074="SBJ","CB","?"))</f>
        <v> </v>
      </c>
      <c r="I3074" s="26" t="str">
        <f>IF(OR(E3074="",E3074="!!!",F3074="NEW"),"",INDEX(B3073:B$2,-1+SUMPRODUCT(MAX(ROW(E3073:E$2)*(E3074=E3073:E$2)))))</f>
        <v> </v>
      </c>
      <c r="J3074" s="26" t="str">
        <f>IF(OR(E3074="",E3074="!!!",F3074="NEW"),"",COUNTBLANK(OFFSET(A$1,,,SUMPRODUCT(MAX(ROW(E$2:E3074)*(E3074=E$2:E3074)))))-COUNTBLANK(OFFSET(A$1,,,SUMPRODUCT(MAX(ROW(E$1:E3073)*(E2=E$1:E3073))))))</f>
        <v> </v>
      </c>
      <c r="K3074" s="26" t="str">
        <f>IF(OR(E3074="",E3074="!!!",F3074="NEW"),"",INDEX(J$1:J3073,SUMPRODUCT(MAX(ROW(E$1:E3073)*(E3074=E$1:E3073)))))</f>
        <v> </v>
      </c>
      <c r="L3074" s="27"/>
    </row>
    <row r="3075" spans="1:12">
      <c r="A3075" s="20" t="s">
        <v>810</v>
      </c>
      <c r="E3075" s="22">
        <f>IF(D3075="?OLD","!!!","")</f>
        <v/>
      </c>
      <c r="F3075" s="23" t="str">
        <f>IF(OR(E3075="",E3075="!!!"),"",IF(NOT(ISNA(VLOOKUP(E3075,E$1:E3074,1,FALSE()))),"OLD",IF(AND(E3075&lt;&gt;"",E3075&lt;&gt;"!!!"),"NEW","")))</f>
        <v> </v>
      </c>
      <c r="G3075" s="24" t="str">
        <f>IF(OR(E3075="",E3075="!!!"),"",IF(OR(J3075=0,AND(J3075=1,K3075=1),AND(J3075=1,I3075="SBJ"),AND(J3075=1,I3075=0)),"?IN_FOCUS",IF(J3075&lt;=2,"?ACTIVATED",IF(J3075&lt;&gt;"","?FAMILIAR",IF(F3075="NEW",IF(ISNA(VLOOKUP(E3075,#REF!,1,FALSE())),"?TYPE_IDENTIFIABLE","?REFERENTIAL"),"_")))))</f>
        <v> </v>
      </c>
      <c r="H3075" s="25" t="str">
        <f>IF(J3075&lt;&gt;1,"",IF(I3075="SBJ","CB","?"))</f>
        <v> </v>
      </c>
      <c r="I3075" s="26" t="str">
        <f>IF(OR(E3075="",E3075="!!!",F3075="NEW"),"",INDEX(B3074:B$2,-1+SUMPRODUCT(MAX(ROW(E3074:E$2)*(E3075=E3074:E$2)))))</f>
        <v> </v>
      </c>
      <c r="J3075" s="26" t="str">
        <f>IF(OR(E3075="",E3075="!!!",F3075="NEW"),"",COUNTBLANK(OFFSET(A$1,,,SUMPRODUCT(MAX(ROW(E$2:E3075)*(E3075=E$2:E3075)))))-COUNTBLANK(OFFSET(A$1,,,SUMPRODUCT(MAX(ROW(E$1:E3074)*(E2=E$1:E3074))))))</f>
        <v> </v>
      </c>
      <c r="K3075" s="26" t="str">
        <f>IF(OR(E3075="",E3075="!!!",F3075="NEW"),"",INDEX(J$1:J3074,SUMPRODUCT(MAX(ROW(E$1:E3074)*(E3075=E$1:E3074)))))</f>
        <v> </v>
      </c>
      <c r="L3075" s="27"/>
    </row>
    <row r="3076" spans="1:12">
      <c r="A3076" s="20" t="s">
        <v>1818</v>
      </c>
      <c r="E3076" s="22">
        <f>IF(D3076="?OLD","!!!","")</f>
        <v/>
      </c>
      <c r="F3076" s="23" t="str">
        <f>IF(OR(E3076="",E3076="!!!"),"",IF(NOT(ISNA(VLOOKUP(E3076,E$1:E3075,1,FALSE()))),"OLD",IF(AND(E3076&lt;&gt;"",E3076&lt;&gt;"!!!"),"NEW","")))</f>
        <v> </v>
      </c>
      <c r="G3076" s="24" t="str">
        <f>IF(OR(E3076="",E3076="!!!"),"",IF(OR(J3076=0,AND(J3076=1,K3076=1),AND(J3076=1,I3076="SBJ"),AND(J3076=1,I3076=0)),"?IN_FOCUS",IF(J3076&lt;=2,"?ACTIVATED",IF(J3076&lt;&gt;"","?FAMILIAR",IF(F3076="NEW",IF(ISNA(VLOOKUP(E3076,#REF!,1,FALSE())),"?TYPE_IDENTIFIABLE","?REFERENTIAL"),"_")))))</f>
        <v> </v>
      </c>
      <c r="H3076" s="25" t="str">
        <f>IF(J3076&lt;&gt;1,"",IF(I3076="SBJ","CB","?"))</f>
        <v> </v>
      </c>
      <c r="I3076" s="26" t="str">
        <f>IF(OR(E3076="",E3076="!!!",F3076="NEW"),"",INDEX(B3075:B$2,-1+SUMPRODUCT(MAX(ROW(E3075:E$2)*(E3076=E3075:E$2)))))</f>
        <v> </v>
      </c>
      <c r="J3076" s="26" t="str">
        <f>IF(OR(E3076="",E3076="!!!",F3076="NEW"),"",COUNTBLANK(OFFSET(A$1,,,SUMPRODUCT(MAX(ROW(E$2:E3076)*(E3076=E$2:E3076)))))-COUNTBLANK(OFFSET(A$1,,,SUMPRODUCT(MAX(ROW(E$1:E3075)*(E2=E$1:E3075))))))</f>
        <v> </v>
      </c>
      <c r="K3076" s="26" t="str">
        <f>IF(OR(E3076="",E3076="!!!",F3076="NEW"),"",INDEX(J$1:J3075,SUMPRODUCT(MAX(ROW(E$1:E3075)*(E3076=E$1:E3075)))))</f>
        <v> </v>
      </c>
      <c r="L3076" s="27"/>
    </row>
    <row r="3077" spans="1:12">
      <c r="A3077" s="20" t="s">
        <v>246</v>
      </c>
      <c r="E3077" s="22">
        <f>IF(D3077="?OLD","!!!","")</f>
        <v/>
      </c>
      <c r="F3077" s="23" t="str">
        <f>IF(OR(E3077="",E3077="!!!"),"",IF(NOT(ISNA(VLOOKUP(E3077,E$1:E3076,1,FALSE()))),"OLD",IF(AND(E3077&lt;&gt;"",E3077&lt;&gt;"!!!"),"NEW","")))</f>
        <v> </v>
      </c>
      <c r="G3077" s="24" t="str">
        <f>IF(OR(E3077="",E3077="!!!"),"",IF(OR(J3077=0,AND(J3077=1,K3077=1),AND(J3077=1,I3077="SBJ"),AND(J3077=1,I3077=0)),"?IN_FOCUS",IF(J3077&lt;=2,"?ACTIVATED",IF(J3077&lt;&gt;"","?FAMILIAR",IF(F3077="NEW",IF(ISNA(VLOOKUP(E3077,#REF!,1,FALSE())),"?TYPE_IDENTIFIABLE","?REFERENTIAL"),"_")))))</f>
        <v> </v>
      </c>
      <c r="H3077" s="25" t="str">
        <f>IF(J3077&lt;&gt;1,"",IF(I3077="SBJ","CB","?"))</f>
        <v> </v>
      </c>
      <c r="I3077" s="26" t="str">
        <f>IF(OR(E3077="",E3077="!!!",F3077="NEW"),"",INDEX(B3076:B$2,-1+SUMPRODUCT(MAX(ROW(E3076:E$2)*(E3077=E3076:E$2)))))</f>
        <v> </v>
      </c>
      <c r="J3077" s="26" t="str">
        <f>IF(OR(E3077="",E3077="!!!",F3077="NEW"),"",COUNTBLANK(OFFSET(A$1,,,SUMPRODUCT(MAX(ROW(E$2:E3077)*(E3077=E$2:E3077)))))-COUNTBLANK(OFFSET(A$1,,,SUMPRODUCT(MAX(ROW(E$1:E3076)*(E2=E$1:E3076))))))</f>
        <v> </v>
      </c>
      <c r="K3077" s="26" t="str">
        <f>IF(OR(E3077="",E3077="!!!",F3077="NEW"),"",INDEX(J$1:J3076,SUMPRODUCT(MAX(ROW(E$1:E3076)*(E3077=E$1:E3076)))))</f>
        <v> </v>
      </c>
      <c r="L3077" s="27"/>
    </row>
    <row r="3078" spans="1:12">
      <c r="A3078" s="20"/>
    </row>
    <row r="3079" spans="1:12">
      <c r="A3079" s="20" t="s">
        <v>1832</v>
      </c>
    </row>
    <row r="3080" spans="1:12">
      <c r="A3080" s="20" t="s">
        <v>883</v>
      </c>
      <c r="B3080" s="21" t="s">
        <v>728</v>
      </c>
      <c r="C3080" s="21" t="s">
        <v>789</v>
      </c>
      <c r="D3080" s="21" t="s">
        <v>730</v>
      </c>
      <c r="E3080" s="22">
        <f>IF(D3080="?OLD","!!!","")</f>
        <v/>
      </c>
      <c r="F3080" s="23" t="str">
        <f>IF(OR(E3080="",E3080="!!!"),"",IF(NOT(ISNA(VLOOKUP(E3080,E$1:E3079,1,FALSE()))),"OLD",IF(AND(E3080&lt;&gt;"",E3080&lt;&gt;"!!!"),"NEW","")))</f>
        <v> </v>
      </c>
      <c r="G3080" s="24" t="str">
        <f>IF(OR(E3080="",E3080="!!!"),"",IF(OR(J3080=0,AND(J3080=1,K3080=1),AND(J3080=1,I3080="SBJ"),AND(J3080=1,I3080=0)),"?IN_FOCUS",IF(J3080&lt;=2,"?ACTIVATED",IF(J3080&lt;&gt;"","?FAMILIAR",IF(F3080="NEW",IF(ISNA(VLOOKUP(E3080,#REF!,1,FALSE())),"?TYPE_IDENTIFIABLE","?REFERENTIAL"),"_")))))</f>
        <v> </v>
      </c>
      <c r="H3080" s="25" t="str">
        <f>IF(J3080&lt;&gt;1,"",IF(I3080="SBJ","CB","?"))</f>
        <v> </v>
      </c>
      <c r="I3080" s="26" t="str">
        <f>IF(OR(E3080="",E3080="!!!",F3080="NEW"),"",INDEX(B3079:B$2,-1+SUMPRODUCT(MAX(ROW(E3079:E$2)*(E3080=E3079:E$2)))))</f>
        <v> </v>
      </c>
      <c r="J3080" s="26" t="str">
        <f>IF(OR(E3080="",E3080="!!!",F3080="NEW"),"",COUNTBLANK(OFFSET(A$1,,,SUMPRODUCT(MAX(ROW(E$2:E3080)*(E3080=E$2:E3080)))))-COUNTBLANK(OFFSET(A$1,,,SUMPRODUCT(MAX(ROW(E$1:E3079)*(E2=E$1:E3079))))))</f>
        <v> </v>
      </c>
      <c r="K3080" s="26" t="str">
        <f>IF(OR(E3080="",E3080="!!!",F3080="NEW"),"",INDEX(J$1:J3079,SUMPRODUCT(MAX(ROW(E$1:E3079)*(E3080=E$1:E3079)))))</f>
        <v> </v>
      </c>
      <c r="L3080" s="27"/>
    </row>
    <row r="3081" spans="1:12">
      <c r="A3081" s="20" t="s">
        <v>1087</v>
      </c>
      <c r="E3081" s="22">
        <f>IF(D3081="?OLD","!!!","")</f>
        <v/>
      </c>
      <c r="F3081" s="23" t="str">
        <f>IF(OR(E3081="",E3081="!!!"),"",IF(NOT(ISNA(VLOOKUP(E3081,E$1:E3080,1,FALSE()))),"OLD",IF(AND(E3081&lt;&gt;"",E3081&lt;&gt;"!!!"),"NEW","")))</f>
        <v> </v>
      </c>
      <c r="G3081" s="24" t="str">
        <f>IF(OR(E3081="",E3081="!!!"),"",IF(OR(J3081=0,AND(J3081=1,K3081=1),AND(J3081=1,I3081="SBJ"),AND(J3081=1,I3081=0)),"?IN_FOCUS",IF(J3081&lt;=2,"?ACTIVATED",IF(J3081&lt;&gt;"","?FAMILIAR",IF(F3081="NEW",IF(ISNA(VLOOKUP(E3081,#REF!,1,FALSE())),"?TYPE_IDENTIFIABLE","?REFERENTIAL"),"_")))))</f>
        <v> </v>
      </c>
      <c r="H3081" s="25" t="str">
        <f>IF(J3081&lt;&gt;1,"",IF(I3081="SBJ","CB","?"))</f>
        <v> </v>
      </c>
      <c r="I3081" s="26" t="str">
        <f>IF(OR(E3081="",E3081="!!!",F3081="NEW"),"",INDEX(B3080:B$2,-1+SUMPRODUCT(MAX(ROW(E3080:E$2)*(E3081=E3080:E$2)))))</f>
        <v> </v>
      </c>
      <c r="J3081" s="26" t="str">
        <f>IF(OR(E3081="",E3081="!!!",F3081="NEW"),"",COUNTBLANK(OFFSET(A$1,,,SUMPRODUCT(MAX(ROW(E$2:E3081)*(E3081=E$2:E3081)))))-COUNTBLANK(OFFSET(A$1,,,SUMPRODUCT(MAX(ROW(E$1:E3080)*(E2=E$1:E3080))))))</f>
        <v> </v>
      </c>
      <c r="K3081" s="26" t="str">
        <f>IF(OR(E3081="",E3081="!!!",F3081="NEW"),"",INDEX(J$1:J3080,SUMPRODUCT(MAX(ROW(E$1:E3080)*(E3081=E$1:E3080)))))</f>
        <v> </v>
      </c>
      <c r="L3081" s="27"/>
    </row>
    <row r="3082" spans="1:12">
      <c r="A3082" s="20" t="s">
        <v>952</v>
      </c>
      <c r="E3082" s="22">
        <f>IF(D3082="?OLD","!!!","")</f>
        <v/>
      </c>
      <c r="F3082" s="23" t="str">
        <f>IF(OR(E3082="",E3082="!!!"),"",IF(NOT(ISNA(VLOOKUP(E3082,E$1:E3081,1,FALSE()))),"OLD",IF(AND(E3082&lt;&gt;"",E3082&lt;&gt;"!!!"),"NEW","")))</f>
        <v> </v>
      </c>
      <c r="G3082" s="24" t="str">
        <f>IF(OR(E3082="",E3082="!!!"),"",IF(OR(J3082=0,AND(J3082=1,K3082=1),AND(J3082=1,I3082="SBJ"),AND(J3082=1,I3082=0)),"?IN_FOCUS",IF(J3082&lt;=2,"?ACTIVATED",IF(J3082&lt;&gt;"","?FAMILIAR",IF(F3082="NEW",IF(ISNA(VLOOKUP(E3082,#REF!,1,FALSE())),"?TYPE_IDENTIFIABLE","?REFERENTIAL"),"_")))))</f>
        <v> </v>
      </c>
      <c r="H3082" s="25" t="str">
        <f>IF(J3082&lt;&gt;1,"",IF(I3082="SBJ","CB","?"))</f>
        <v> </v>
      </c>
      <c r="I3082" s="26" t="str">
        <f>IF(OR(E3082="",E3082="!!!",F3082="NEW"),"",INDEX(B3081:B$2,-1+SUMPRODUCT(MAX(ROW(E3081:E$2)*(E3082=E3081:E$2)))))</f>
        <v> </v>
      </c>
      <c r="J3082" s="26" t="str">
        <f>IF(OR(E3082="",E3082="!!!",F3082="NEW"),"",COUNTBLANK(OFFSET(A$1,,,SUMPRODUCT(MAX(ROW(E$2:E3082)*(E3082=E$2:E3082)))))-COUNTBLANK(OFFSET(A$1,,,SUMPRODUCT(MAX(ROW(E$1:E3081)*(E2=E$1:E3081))))))</f>
        <v> </v>
      </c>
      <c r="K3082" s="26" t="str">
        <f>IF(OR(E3082="",E3082="!!!",F3082="NEW"),"",INDEX(J$1:J3081,SUMPRODUCT(MAX(ROW(E$1:E3081)*(E3082=E$1:E3081)))))</f>
        <v> </v>
      </c>
      <c r="L3082" s="27"/>
    </row>
    <row r="3083" spans="1:12">
      <c r="A3083" s="20" t="s">
        <v>1164</v>
      </c>
      <c r="E3083" s="22">
        <f>IF(D3083="?OLD","!!!","")</f>
        <v/>
      </c>
      <c r="F3083" s="23" t="str">
        <f>IF(OR(E3083="",E3083="!!!"),"",IF(NOT(ISNA(VLOOKUP(E3083,E$1:E3082,1,FALSE()))),"OLD",IF(AND(E3083&lt;&gt;"",E3083&lt;&gt;"!!!"),"NEW","")))</f>
        <v> </v>
      </c>
      <c r="G3083" s="24" t="str">
        <f>IF(OR(E3083="",E3083="!!!"),"",IF(OR(J3083=0,AND(J3083=1,K3083=1),AND(J3083=1,I3083="SBJ"),AND(J3083=1,I3083=0)),"?IN_FOCUS",IF(J3083&lt;=2,"?ACTIVATED",IF(J3083&lt;&gt;"","?FAMILIAR",IF(F3083="NEW",IF(ISNA(VLOOKUP(E3083,#REF!,1,FALSE())),"?TYPE_IDENTIFIABLE","?REFERENTIAL"),"_")))))</f>
        <v> </v>
      </c>
      <c r="H3083" s="25" t="str">
        <f>IF(J3083&lt;&gt;1,"",IF(I3083="SBJ","CB","?"))</f>
        <v> </v>
      </c>
      <c r="I3083" s="26" t="str">
        <f>IF(OR(E3083="",E3083="!!!",F3083="NEW"),"",INDEX(B3082:B$2,-1+SUMPRODUCT(MAX(ROW(E3082:E$2)*(E3083=E3082:E$2)))))</f>
        <v> </v>
      </c>
      <c r="J3083" s="26" t="str">
        <f>IF(OR(E3083="",E3083="!!!",F3083="NEW"),"",COUNTBLANK(OFFSET(A$1,,,SUMPRODUCT(MAX(ROW(E$2:E3083)*(E3083=E$2:E3083)))))-COUNTBLANK(OFFSET(A$1,,,SUMPRODUCT(MAX(ROW(E$1:E3082)*(E2=E$1:E3082))))))</f>
        <v> </v>
      </c>
      <c r="K3083" s="26" t="str">
        <f>IF(OR(E3083="",E3083="!!!",F3083="NEW"),"",INDEX(J$1:J3082,SUMPRODUCT(MAX(ROW(E$1:E3082)*(E3083=E$1:E3082)))))</f>
        <v> </v>
      </c>
      <c r="L3083" s="27"/>
    </row>
    <row r="3084" spans="1:12">
      <c r="A3084" s="20" t="s">
        <v>1833</v>
      </c>
      <c r="B3084" s="21" t="s">
        <v>736</v>
      </c>
      <c r="C3084" s="21" t="s">
        <v>748</v>
      </c>
      <c r="E3084" s="22">
        <f>IF(D3084="?OLD","!!!","")</f>
        <v/>
      </c>
      <c r="F3084" s="23" t="str">
        <f>IF(OR(E3084="",E3084="!!!"),"",IF(NOT(ISNA(VLOOKUP(E3084,E$1:E3083,1,FALSE()))),"OLD",IF(AND(E3084&lt;&gt;"",E3084&lt;&gt;"!!!"),"NEW","")))</f>
        <v> </v>
      </c>
      <c r="G3084" s="24" t="str">
        <f>IF(OR(E3084="",E3084="!!!"),"",IF(OR(J3084=0,AND(J3084=1,K3084=1),AND(J3084=1,I3084="SBJ"),AND(J3084=1,I3084=0)),"?IN_FOCUS",IF(J3084&lt;=2,"?ACTIVATED",IF(J3084&lt;&gt;"","?FAMILIAR",IF(F3084="NEW",IF(ISNA(VLOOKUP(E3084,#REF!,1,FALSE())),"?TYPE_IDENTIFIABLE","?REFERENTIAL"),"_")))))</f>
        <v> </v>
      </c>
      <c r="H3084" s="25" t="str">
        <f>IF(J3084&lt;&gt;1,"",IF(I3084="SBJ","CB","?"))</f>
        <v> </v>
      </c>
      <c r="I3084" s="26" t="str">
        <f>IF(OR(E3084="",E3084="!!!",F3084="NEW"),"",INDEX(B3083:B$2,-1+SUMPRODUCT(MAX(ROW(E3083:E$2)*(E3084=E3083:E$2)))))</f>
        <v> </v>
      </c>
      <c r="J3084" s="26" t="str">
        <f>IF(OR(E3084="",E3084="!!!",F3084="NEW"),"",COUNTBLANK(OFFSET(A$1,,,SUMPRODUCT(MAX(ROW(E$2:E3084)*(E3084=E$2:E3084)))))-COUNTBLANK(OFFSET(A$1,,,SUMPRODUCT(MAX(ROW(E$1:E3083)*(E2=E$1:E3083))))))</f>
        <v> </v>
      </c>
      <c r="K3084" s="26" t="str">
        <f>IF(OR(E3084="",E3084="!!!",F3084="NEW"),"",INDEX(J$1:J3083,SUMPRODUCT(MAX(ROW(E$1:E3083)*(E3084=E$1:E3083)))))</f>
        <v> </v>
      </c>
      <c r="L3084" s="27"/>
    </row>
    <row r="3085" spans="1:12">
      <c r="A3085" s="20" t="s">
        <v>1635</v>
      </c>
      <c r="E3085" s="22">
        <f>IF(D3085="?OLD","!!!","")</f>
        <v/>
      </c>
      <c r="F3085" s="23" t="str">
        <f>IF(OR(E3085="",E3085="!!!"),"",IF(NOT(ISNA(VLOOKUP(E3085,E$1:E3084,1,FALSE()))),"OLD",IF(AND(E3085&lt;&gt;"",E3085&lt;&gt;"!!!"),"NEW","")))</f>
        <v> </v>
      </c>
      <c r="G3085" s="24" t="str">
        <f>IF(OR(E3085="",E3085="!!!"),"",IF(OR(J3085=0,AND(J3085=1,K3085=1),AND(J3085=1,I3085="SBJ"),AND(J3085=1,I3085=0)),"?IN_FOCUS",IF(J3085&lt;=2,"?ACTIVATED",IF(J3085&lt;&gt;"","?FAMILIAR",IF(F3085="NEW",IF(ISNA(VLOOKUP(E3085,#REF!,1,FALSE())),"?TYPE_IDENTIFIABLE","?REFERENTIAL"),"_")))))</f>
        <v> </v>
      </c>
      <c r="H3085" s="25" t="str">
        <f>IF(J3085&lt;&gt;1,"",IF(I3085="SBJ","CB","?"))</f>
        <v> </v>
      </c>
      <c r="I3085" s="26" t="str">
        <f>IF(OR(E3085="",E3085="!!!",F3085="NEW"),"",INDEX(B3084:B$2,-1+SUMPRODUCT(MAX(ROW(E3084:E$2)*(E3085=E3084:E$2)))))</f>
        <v> </v>
      </c>
      <c r="J3085" s="26" t="str">
        <f>IF(OR(E3085="",E3085="!!!",F3085="NEW"),"",COUNTBLANK(OFFSET(A$1,,,SUMPRODUCT(MAX(ROW(E$2:E3085)*(E3085=E$2:E3085)))))-COUNTBLANK(OFFSET(A$1,,,SUMPRODUCT(MAX(ROW(E$1:E3084)*(E2=E$1:E3084))))))</f>
        <v> </v>
      </c>
      <c r="K3085" s="26" t="str">
        <f>IF(OR(E3085="",E3085="!!!",F3085="NEW"),"",INDEX(J$1:J3084,SUMPRODUCT(MAX(ROW(E$1:E3084)*(E3085=E$1:E3084)))))</f>
        <v> </v>
      </c>
      <c r="L3085" s="27"/>
    </row>
    <row r="3086" spans="1:12">
      <c r="A3086" s="20" t="s">
        <v>1164</v>
      </c>
      <c r="E3086" s="22">
        <f>IF(D3086="?OLD","!!!","")</f>
        <v/>
      </c>
      <c r="F3086" s="23" t="str">
        <f>IF(OR(E3086="",E3086="!!!"),"",IF(NOT(ISNA(VLOOKUP(E3086,E$1:E3085,1,FALSE()))),"OLD",IF(AND(E3086&lt;&gt;"",E3086&lt;&gt;"!!!"),"NEW","")))</f>
        <v> </v>
      </c>
      <c r="G3086" s="24" t="str">
        <f>IF(OR(E3086="",E3086="!!!"),"",IF(OR(J3086=0,AND(J3086=1,K3086=1),AND(J3086=1,I3086="SBJ"),AND(J3086=1,I3086=0)),"?IN_FOCUS",IF(J3086&lt;=2,"?ACTIVATED",IF(J3086&lt;&gt;"","?FAMILIAR",IF(F3086="NEW",IF(ISNA(VLOOKUP(E3086,#REF!,1,FALSE())),"?TYPE_IDENTIFIABLE","?REFERENTIAL"),"_")))))</f>
        <v> </v>
      </c>
      <c r="H3086" s="25" t="str">
        <f>IF(J3086&lt;&gt;1,"",IF(I3086="SBJ","CB","?"))</f>
        <v> </v>
      </c>
      <c r="I3086" s="26" t="str">
        <f>IF(OR(E3086="",E3086="!!!",F3086="NEW"),"",INDEX(B3085:B$2,-1+SUMPRODUCT(MAX(ROW(E3085:E$2)*(E3086=E3085:E$2)))))</f>
        <v> </v>
      </c>
      <c r="J3086" s="26" t="str">
        <f>IF(OR(E3086="",E3086="!!!",F3086="NEW"),"",COUNTBLANK(OFFSET(A$1,,,SUMPRODUCT(MAX(ROW(E$2:E3086)*(E3086=E$2:E3086)))))-COUNTBLANK(OFFSET(A$1,,,SUMPRODUCT(MAX(ROW(E$1:E3085)*(E2=E$1:E3085))))))</f>
        <v> </v>
      </c>
      <c r="K3086" s="26" t="str">
        <f>IF(OR(E3086="",E3086="!!!",F3086="NEW"),"",INDEX(J$1:J3085,SUMPRODUCT(MAX(ROW(E$1:E3085)*(E3086=E$1:E3085)))))</f>
        <v> </v>
      </c>
      <c r="L3086" s="27"/>
    </row>
    <row r="3087" spans="1:12">
      <c r="A3087" s="20" t="s">
        <v>1834</v>
      </c>
      <c r="B3087" s="21" t="s">
        <v>739</v>
      </c>
      <c r="C3087" s="21" t="s">
        <v>748</v>
      </c>
      <c r="E3087" s="22">
        <f>IF(D3087="?OLD","!!!","")</f>
        <v/>
      </c>
      <c r="F3087" s="23" t="str">
        <f>IF(OR(E3087="",E3087="!!!"),"",IF(NOT(ISNA(VLOOKUP(E3087,E$1:E3086,1,FALSE()))),"OLD",IF(AND(E3087&lt;&gt;"",E3087&lt;&gt;"!!!"),"NEW","")))</f>
        <v> </v>
      </c>
      <c r="G3087" s="24" t="str">
        <f>IF(OR(E3087="",E3087="!!!"),"",IF(OR(J3087=0,AND(J3087=1,K3087=1),AND(J3087=1,I3087="SBJ"),AND(J3087=1,I3087=0)),"?IN_FOCUS",IF(J3087&lt;=2,"?ACTIVATED",IF(J3087&lt;&gt;"","?FAMILIAR",IF(F3087="NEW",IF(ISNA(VLOOKUP(E3087,#REF!,1,FALSE())),"?TYPE_IDENTIFIABLE","?REFERENTIAL"),"_")))))</f>
        <v> </v>
      </c>
      <c r="H3087" s="25" t="str">
        <f>IF(J3087&lt;&gt;1,"",IF(I3087="SBJ","CB","?"))</f>
        <v> </v>
      </c>
      <c r="I3087" s="26" t="str">
        <f>IF(OR(E3087="",E3087="!!!",F3087="NEW"),"",INDEX(B3086:B$2,-1+SUMPRODUCT(MAX(ROW(E3086:E$2)*(E3087=E3086:E$2)))))</f>
        <v> </v>
      </c>
      <c r="J3087" s="26" t="str">
        <f>IF(OR(E3087="",E3087="!!!",F3087="NEW"),"",COUNTBLANK(OFFSET(A$1,,,SUMPRODUCT(MAX(ROW(E$2:E3087)*(E3087=E$2:E3087)))))-COUNTBLANK(OFFSET(A$1,,,SUMPRODUCT(MAX(ROW(E$1:E3086)*(E2=E$1:E3086))))))</f>
        <v> </v>
      </c>
      <c r="K3087" s="26" t="str">
        <f>IF(OR(E3087="",E3087="!!!",F3087="NEW"),"",INDEX(J$1:J3086,SUMPRODUCT(MAX(ROW(E$1:E3086)*(E3087=E$1:E3086)))))</f>
        <v> </v>
      </c>
      <c r="L3087" s="27"/>
    </row>
    <row r="3088" spans="1:12">
      <c r="A3088" s="20" t="s">
        <v>759</v>
      </c>
      <c r="E3088" s="22">
        <f>IF(D3088="?OLD","!!!","")</f>
        <v/>
      </c>
      <c r="F3088" s="23" t="str">
        <f>IF(OR(E3088="",E3088="!!!"),"",IF(NOT(ISNA(VLOOKUP(E3088,E$1:E3087,1,FALSE()))),"OLD",IF(AND(E3088&lt;&gt;"",E3088&lt;&gt;"!!!"),"NEW","")))</f>
        <v> </v>
      </c>
      <c r="G3088" s="24" t="str">
        <f>IF(OR(E3088="",E3088="!!!"),"",IF(OR(J3088=0,AND(J3088=1,K3088=1),AND(J3088=1,I3088="SBJ"),AND(J3088=1,I3088=0)),"?IN_FOCUS",IF(J3088&lt;=2,"?ACTIVATED",IF(J3088&lt;&gt;"","?FAMILIAR",IF(F3088="NEW",IF(ISNA(VLOOKUP(E3088,#REF!,1,FALSE())),"?TYPE_IDENTIFIABLE","?REFERENTIAL"),"_")))))</f>
        <v> </v>
      </c>
      <c r="H3088" s="25" t="str">
        <f>IF(J3088&lt;&gt;1,"",IF(I3088="SBJ","CB","?"))</f>
        <v> </v>
      </c>
      <c r="I3088" s="26" t="str">
        <f>IF(OR(E3088="",E3088="!!!",F3088="NEW"),"",INDEX(B3087:B$2,-1+SUMPRODUCT(MAX(ROW(E3087:E$2)*(E3088=E3087:E$2)))))</f>
        <v> </v>
      </c>
      <c r="J3088" s="26" t="str">
        <f>IF(OR(E3088="",E3088="!!!",F3088="NEW"),"",COUNTBLANK(OFFSET(A$1,,,SUMPRODUCT(MAX(ROW(E$2:E3088)*(E3088=E$2:E3088)))))-COUNTBLANK(OFFSET(A$1,,,SUMPRODUCT(MAX(ROW(E$1:E3087)*(E2=E$1:E3087))))))</f>
        <v> </v>
      </c>
      <c r="K3088" s="26" t="str">
        <f>IF(OR(E3088="",E3088="!!!",F3088="NEW"),"",INDEX(J$1:J3087,SUMPRODUCT(MAX(ROW(E$1:E3087)*(E3088=E$1:E3087)))))</f>
        <v> </v>
      </c>
      <c r="L3088" s="27"/>
    </row>
    <row r="3089" spans="1:12">
      <c r="A3089" s="20" t="s">
        <v>813</v>
      </c>
      <c r="B3089" s="21" t="s">
        <v>788</v>
      </c>
      <c r="E3089" s="22">
        <f>IF(D3089="?OLD","!!!","")</f>
        <v/>
      </c>
      <c r="F3089" s="23" t="str">
        <f>IF(OR(E3089="",E3089="!!!"),"",IF(NOT(ISNA(VLOOKUP(E3089,E$1:E3088,1,FALSE()))),"OLD",IF(AND(E3089&lt;&gt;"",E3089&lt;&gt;"!!!"),"NEW","")))</f>
        <v> </v>
      </c>
      <c r="G3089" s="24" t="str">
        <f>IF(OR(E3089="",E3089="!!!"),"",IF(OR(J3089=0,AND(J3089=1,K3089=1),AND(J3089=1,I3089="SBJ"),AND(J3089=1,I3089=0)),"?IN_FOCUS",IF(J3089&lt;=2,"?ACTIVATED",IF(J3089&lt;&gt;"","?FAMILIAR",IF(F3089="NEW",IF(ISNA(VLOOKUP(E3089,#REF!,1,FALSE())),"?TYPE_IDENTIFIABLE","?REFERENTIAL"),"_")))))</f>
        <v> </v>
      </c>
      <c r="H3089" s="25" t="str">
        <f>IF(J3089&lt;&gt;1,"",IF(I3089="SBJ","CB","?"))</f>
        <v> </v>
      </c>
      <c r="I3089" s="26" t="str">
        <f>IF(OR(E3089="",E3089="!!!",F3089="NEW"),"",INDEX(B3088:B$2,-1+SUMPRODUCT(MAX(ROW(E3088:E$2)*(E3089=E3088:E$2)))))</f>
        <v> </v>
      </c>
      <c r="J3089" s="26" t="str">
        <f>IF(OR(E3089="",E3089="!!!",F3089="NEW"),"",COUNTBLANK(OFFSET(A$1,,,SUMPRODUCT(MAX(ROW(E$2:E3089)*(E3089=E$2:E3089)))))-COUNTBLANK(OFFSET(A$1,,,SUMPRODUCT(MAX(ROW(E$1:E3088)*(E2=E$1:E3088))))))</f>
        <v> </v>
      </c>
      <c r="K3089" s="26" t="str">
        <f>IF(OR(E3089="",E3089="!!!",F3089="NEW"),"",INDEX(J$1:J3088,SUMPRODUCT(MAX(ROW(E$1:E3088)*(E3089=E$1:E3088)))))</f>
        <v> </v>
      </c>
      <c r="L3089" s="27"/>
    </row>
    <row r="3090" spans="1:12">
      <c r="A3090" s="20" t="s">
        <v>965</v>
      </c>
      <c r="B3090" s="21" t="s">
        <v>843</v>
      </c>
      <c r="C3090" s="21" t="s">
        <v>789</v>
      </c>
      <c r="D3090" s="21" t="s">
        <v>730</v>
      </c>
      <c r="E3090" s="22">
        <f>IF(D3090="?OLD","!!!","")</f>
        <v/>
      </c>
      <c r="F3090" s="23" t="str">
        <f>IF(OR(E3090="",E3090="!!!"),"",IF(NOT(ISNA(VLOOKUP(E3090,E$1:E3089,1,FALSE()))),"OLD",IF(AND(E3090&lt;&gt;"",E3090&lt;&gt;"!!!"),"NEW","")))</f>
        <v> </v>
      </c>
      <c r="G3090" s="24" t="str">
        <f>IF(OR(E3090="",E3090="!!!"),"",IF(OR(J3090=0,AND(J3090=1,K3090=1),AND(J3090=1,I3090="SBJ"),AND(J3090=1,I3090=0)),"?IN_FOCUS",IF(J3090&lt;=2,"?ACTIVATED",IF(J3090&lt;&gt;"","?FAMILIAR",IF(F3090="NEW",IF(ISNA(VLOOKUP(E3090,#REF!,1,FALSE())),"?TYPE_IDENTIFIABLE","?REFERENTIAL"),"_")))))</f>
        <v> </v>
      </c>
      <c r="H3090" s="25" t="str">
        <f>IF(J3090&lt;&gt;1,"",IF(I3090="SBJ","CB","?"))</f>
        <v> </v>
      </c>
      <c r="I3090" s="26" t="str">
        <f>IF(OR(E3090="",E3090="!!!",F3090="NEW"),"",INDEX(B3089:B$2,-1+SUMPRODUCT(MAX(ROW(E3089:E$2)*(E3090=E3089:E$2)))))</f>
        <v> </v>
      </c>
      <c r="J3090" s="26" t="str">
        <f>IF(OR(E3090="",E3090="!!!",F3090="NEW"),"",COUNTBLANK(OFFSET(A$1,,,SUMPRODUCT(MAX(ROW(E$2:E3090)*(E3090=E$2:E3090)))))-COUNTBLANK(OFFSET(A$1,,,SUMPRODUCT(MAX(ROW(E$1:E3089)*(E2=E$1:E3089))))))</f>
        <v> </v>
      </c>
      <c r="K3090" s="26" t="str">
        <f>IF(OR(E3090="",E3090="!!!",F3090="NEW"),"",INDEX(J$1:J3089,SUMPRODUCT(MAX(ROW(E$1:E3089)*(E3090=E$1:E3089)))))</f>
        <v> </v>
      </c>
      <c r="L3090" s="27"/>
    </row>
    <row r="3091" spans="1:12">
      <c r="A3091" s="20" t="s">
        <v>1835</v>
      </c>
      <c r="E3091" s="22">
        <f>IF(D3091="?OLD","!!!","")</f>
        <v/>
      </c>
      <c r="F3091" s="23" t="str">
        <f>IF(OR(E3091="",E3091="!!!"),"",IF(NOT(ISNA(VLOOKUP(E3091,E$1:E3090,1,FALSE()))),"OLD",IF(AND(E3091&lt;&gt;"",E3091&lt;&gt;"!!!"),"NEW","")))</f>
        <v> </v>
      </c>
      <c r="G3091" s="24" t="str">
        <f>IF(OR(E3091="",E3091="!!!"),"",IF(OR(J3091=0,AND(J3091=1,K3091=1),AND(J3091=1,I3091="SBJ"),AND(J3091=1,I3091=0)),"?IN_FOCUS",IF(J3091&lt;=2,"?ACTIVATED",IF(J3091&lt;&gt;"","?FAMILIAR",IF(F3091="NEW",IF(ISNA(VLOOKUP(E3091,#REF!,1,FALSE())),"?TYPE_IDENTIFIABLE","?REFERENTIAL"),"_")))))</f>
        <v> </v>
      </c>
      <c r="H3091" s="25" t="str">
        <f>IF(J3091&lt;&gt;1,"",IF(I3091="SBJ","CB","?"))</f>
        <v> </v>
      </c>
      <c r="I3091" s="26" t="str">
        <f>IF(OR(E3091="",E3091="!!!",F3091="NEW"),"",INDEX(B3090:B$2,-1+SUMPRODUCT(MAX(ROW(E3090:E$2)*(E3091=E3090:E$2)))))</f>
        <v> </v>
      </c>
      <c r="J3091" s="26" t="str">
        <f>IF(OR(E3091="",E3091="!!!",F3091="NEW"),"",COUNTBLANK(OFFSET(A$1,,,SUMPRODUCT(MAX(ROW(E$2:E3091)*(E3091=E$2:E3091)))))-COUNTBLANK(OFFSET(A$1,,,SUMPRODUCT(MAX(ROW(E$1:E3090)*(E2=E$1:E3090))))))</f>
        <v> </v>
      </c>
      <c r="K3091" s="26" t="str">
        <f>IF(OR(E3091="",E3091="!!!",F3091="NEW"),"",INDEX(J$1:J3090,SUMPRODUCT(MAX(ROW(E$1:E3090)*(E3091=E$1:E3090)))))</f>
        <v> </v>
      </c>
      <c r="L3091" s="27"/>
    </row>
    <row r="3092" spans="1:12">
      <c r="A3092" s="20" t="s">
        <v>1836</v>
      </c>
      <c r="E3092" s="22">
        <f>IF(D3092="?OLD","!!!","")</f>
        <v/>
      </c>
      <c r="F3092" s="23" t="str">
        <f>IF(OR(E3092="",E3092="!!!"),"",IF(NOT(ISNA(VLOOKUP(E3092,E$1:E3091,1,FALSE()))),"OLD",IF(AND(E3092&lt;&gt;"",E3092&lt;&gt;"!!!"),"NEW","")))</f>
        <v> </v>
      </c>
      <c r="G3092" s="24" t="str">
        <f>IF(OR(E3092="",E3092="!!!"),"",IF(OR(J3092=0,AND(J3092=1,K3092=1),AND(J3092=1,I3092="SBJ"),AND(J3092=1,I3092=0)),"?IN_FOCUS",IF(J3092&lt;=2,"?ACTIVATED",IF(J3092&lt;&gt;"","?FAMILIAR",IF(F3092="NEW",IF(ISNA(VLOOKUP(E3092,#REF!,1,FALSE())),"?TYPE_IDENTIFIABLE","?REFERENTIAL"),"_")))))</f>
        <v> </v>
      </c>
      <c r="H3092" s="25" t="str">
        <f>IF(J3092&lt;&gt;1,"",IF(I3092="SBJ","CB","?"))</f>
        <v> </v>
      </c>
      <c r="I3092" s="26" t="str">
        <f>IF(OR(E3092="",E3092="!!!",F3092="NEW"),"",INDEX(B3091:B$2,-1+SUMPRODUCT(MAX(ROW(E3091:E$2)*(E3092=E3091:E$2)))))</f>
        <v> </v>
      </c>
      <c r="J3092" s="26" t="str">
        <f>IF(OR(E3092="",E3092="!!!",F3092="NEW"),"",COUNTBLANK(OFFSET(A$1,,,SUMPRODUCT(MAX(ROW(E$2:E3092)*(E3092=E$2:E3092)))))-COUNTBLANK(OFFSET(A$1,,,SUMPRODUCT(MAX(ROW(E$1:E3091)*(E2=E$1:E3091))))))</f>
        <v> </v>
      </c>
      <c r="K3092" s="26" t="str">
        <f>IF(OR(E3092="",E3092="!!!",F3092="NEW"),"",INDEX(J$1:J3091,SUMPRODUCT(MAX(ROW(E$1:E3091)*(E3092=E$1:E3091)))))</f>
        <v> </v>
      </c>
      <c r="L3092" s="27"/>
    </row>
    <row r="3093" spans="1:12">
      <c r="A3093" s="20" t="s">
        <v>440</v>
      </c>
      <c r="E3093" s="22">
        <f>IF(D3093="?OLD","!!!","")</f>
        <v/>
      </c>
      <c r="F3093" s="23" t="str">
        <f>IF(OR(E3093="",E3093="!!!"),"",IF(NOT(ISNA(VLOOKUP(E3093,E$1:E3092,1,FALSE()))),"OLD",IF(AND(E3093&lt;&gt;"",E3093&lt;&gt;"!!!"),"NEW","")))</f>
        <v> </v>
      </c>
      <c r="G3093" s="24" t="str">
        <f>IF(OR(E3093="",E3093="!!!"),"",IF(OR(J3093=0,AND(J3093=1,K3093=1),AND(J3093=1,I3093="SBJ"),AND(J3093=1,I3093=0)),"?IN_FOCUS",IF(J3093&lt;=2,"?ACTIVATED",IF(J3093&lt;&gt;"","?FAMILIAR",IF(F3093="NEW",IF(ISNA(VLOOKUP(E3093,#REF!,1,FALSE())),"?TYPE_IDENTIFIABLE","?REFERENTIAL"),"_")))))</f>
        <v> </v>
      </c>
      <c r="H3093" s="25" t="str">
        <f>IF(J3093&lt;&gt;1,"",IF(I3093="SBJ","CB","?"))</f>
        <v> </v>
      </c>
      <c r="I3093" s="26" t="str">
        <f>IF(OR(E3093="",E3093="!!!",F3093="NEW"),"",INDEX(B3092:B$2,-1+SUMPRODUCT(MAX(ROW(E3092:E$2)*(E3093=E3092:E$2)))))</f>
        <v> </v>
      </c>
      <c r="J3093" s="26" t="str">
        <f>IF(OR(E3093="",E3093="!!!",F3093="NEW"),"",COUNTBLANK(OFFSET(A$1,,,SUMPRODUCT(MAX(ROW(E$2:E3093)*(E3093=E$2:E3093)))))-COUNTBLANK(OFFSET(A$1,,,SUMPRODUCT(MAX(ROW(E$1:E3092)*(E2=E$1:E3092))))))</f>
        <v> </v>
      </c>
      <c r="K3093" s="26" t="str">
        <f>IF(OR(E3093="",E3093="!!!",F3093="NEW"),"",INDEX(J$1:J3092,SUMPRODUCT(MAX(ROW(E$1:E3092)*(E3093=E$1:E3092)))))</f>
        <v> </v>
      </c>
      <c r="L3093" s="27"/>
    </row>
    <row r="3094" spans="1:12">
      <c r="A3094" s="20" t="s">
        <v>785</v>
      </c>
      <c r="E3094" s="22">
        <f>IF(D3094="?OLD","!!!","")</f>
        <v/>
      </c>
      <c r="F3094" s="23" t="str">
        <f>IF(OR(E3094="",E3094="!!!"),"",IF(NOT(ISNA(VLOOKUP(E3094,E$1:E3093,1,FALSE()))),"OLD",IF(AND(E3094&lt;&gt;"",E3094&lt;&gt;"!!!"),"NEW","")))</f>
        <v> </v>
      </c>
      <c r="G3094" s="24" t="str">
        <f>IF(OR(E3094="",E3094="!!!"),"",IF(OR(J3094=0,AND(J3094=1,K3094=1),AND(J3094=1,I3094="SBJ"),AND(J3094=1,I3094=0)),"?IN_FOCUS",IF(J3094&lt;=2,"?ACTIVATED",IF(J3094&lt;&gt;"","?FAMILIAR",IF(F3094="NEW",IF(ISNA(VLOOKUP(E3094,#REF!,1,FALSE())),"?TYPE_IDENTIFIABLE","?REFERENTIAL"),"_")))))</f>
        <v> </v>
      </c>
      <c r="H3094" s="25" t="str">
        <f>IF(J3094&lt;&gt;1,"",IF(I3094="SBJ","CB","?"))</f>
        <v> </v>
      </c>
      <c r="I3094" s="26" t="str">
        <f>IF(OR(E3094="",E3094="!!!",F3094="NEW"),"",INDEX(B3093:B$2,-1+SUMPRODUCT(MAX(ROW(E3093:E$2)*(E3094=E3093:E$2)))))</f>
        <v> </v>
      </c>
      <c r="J3094" s="26" t="str">
        <f>IF(OR(E3094="",E3094="!!!",F3094="NEW"),"",COUNTBLANK(OFFSET(A$1,,,SUMPRODUCT(MAX(ROW(E$2:E3094)*(E3094=E$2:E3094)))))-COUNTBLANK(OFFSET(A$1,,,SUMPRODUCT(MAX(ROW(E$1:E3093)*(E2=E$1:E3093))))))</f>
        <v> </v>
      </c>
      <c r="K3094" s="26" t="str">
        <f>IF(OR(E3094="",E3094="!!!",F3094="NEW"),"",INDEX(J$1:J3093,SUMPRODUCT(MAX(ROW(E$1:E3093)*(E3094=E$1:E3093)))))</f>
        <v> </v>
      </c>
      <c r="L3094" s="27"/>
    </row>
    <row r="3095" spans="1:12">
      <c r="A3095" s="20" t="s">
        <v>300</v>
      </c>
      <c r="E3095" s="22">
        <f>IF(D3095="?OLD","!!!","")</f>
        <v/>
      </c>
      <c r="F3095" s="23" t="str">
        <f>IF(OR(E3095="",E3095="!!!"),"",IF(NOT(ISNA(VLOOKUP(E3095,E$1:E3094,1,FALSE()))),"OLD",IF(AND(E3095&lt;&gt;"",E3095&lt;&gt;"!!!"),"NEW","")))</f>
        <v> </v>
      </c>
      <c r="G3095" s="24" t="str">
        <f>IF(OR(E3095="",E3095="!!!"),"",IF(OR(J3095=0,AND(J3095=1,K3095=1),AND(J3095=1,I3095="SBJ"),AND(J3095=1,I3095=0)),"?IN_FOCUS",IF(J3095&lt;=2,"?ACTIVATED",IF(J3095&lt;&gt;"","?FAMILIAR",IF(F3095="NEW",IF(ISNA(VLOOKUP(E3095,#REF!,1,FALSE())),"?TYPE_IDENTIFIABLE","?REFERENTIAL"),"_")))))</f>
        <v> </v>
      </c>
      <c r="H3095" s="25" t="str">
        <f>IF(J3095&lt;&gt;1,"",IF(I3095="SBJ","CB","?"))</f>
        <v> </v>
      </c>
      <c r="I3095" s="26" t="str">
        <f>IF(OR(E3095="",E3095="!!!",F3095="NEW"),"",INDEX(B3094:B$2,-1+SUMPRODUCT(MAX(ROW(E3094:E$2)*(E3095=E3094:E$2)))))</f>
        <v> </v>
      </c>
      <c r="J3095" s="26" t="str">
        <f>IF(OR(E3095="",E3095="!!!",F3095="NEW"),"",COUNTBLANK(OFFSET(A$1,,,SUMPRODUCT(MAX(ROW(E$2:E3095)*(E3095=E$2:E3095)))))-COUNTBLANK(OFFSET(A$1,,,SUMPRODUCT(MAX(ROW(E$1:E3094)*(E2=E$1:E3094))))))</f>
        <v> </v>
      </c>
      <c r="K3095" s="26" t="str">
        <f>IF(OR(E3095="",E3095="!!!",F3095="NEW"),"",INDEX(J$1:J3094,SUMPRODUCT(MAX(ROW(E$1:E3094)*(E3095=E$1:E3094)))))</f>
        <v> </v>
      </c>
      <c r="L3095" s="27"/>
    </row>
    <row r="3096" spans="1:12">
      <c r="A3096" s="20" t="s">
        <v>759</v>
      </c>
      <c r="E3096" s="22">
        <f>IF(D3096="?OLD","!!!","")</f>
        <v/>
      </c>
      <c r="F3096" s="23" t="str">
        <f>IF(OR(E3096="",E3096="!!!"),"",IF(NOT(ISNA(VLOOKUP(E3096,E$1:E3095,1,FALSE()))),"OLD",IF(AND(E3096&lt;&gt;"",E3096&lt;&gt;"!!!"),"NEW","")))</f>
        <v> </v>
      </c>
      <c r="G3096" s="24" t="str">
        <f>IF(OR(E3096="",E3096="!!!"),"",IF(OR(J3096=0,AND(J3096=1,K3096=1),AND(J3096=1,I3096="SBJ"),AND(J3096=1,I3096=0)),"?IN_FOCUS",IF(J3096&lt;=2,"?ACTIVATED",IF(J3096&lt;&gt;"","?FAMILIAR",IF(F3096="NEW",IF(ISNA(VLOOKUP(E3096,#REF!,1,FALSE())),"?TYPE_IDENTIFIABLE","?REFERENTIAL"),"_")))))</f>
        <v> </v>
      </c>
      <c r="H3096" s="25" t="str">
        <f>IF(J3096&lt;&gt;1,"",IF(I3096="SBJ","CB","?"))</f>
        <v> </v>
      </c>
      <c r="I3096" s="26" t="str">
        <f>IF(OR(E3096="",E3096="!!!",F3096="NEW"),"",INDEX(B3095:B$2,-1+SUMPRODUCT(MAX(ROW(E3095:E$2)*(E3096=E3095:E$2)))))</f>
        <v> </v>
      </c>
      <c r="J3096" s="26" t="str">
        <f>IF(OR(E3096="",E3096="!!!",F3096="NEW"),"",COUNTBLANK(OFFSET(A$1,,,SUMPRODUCT(MAX(ROW(E$2:E3096)*(E3096=E$2:E3096)))))-COUNTBLANK(OFFSET(A$1,,,SUMPRODUCT(MAX(ROW(E$1:E3095)*(E2=E$1:E3095))))))</f>
        <v> </v>
      </c>
      <c r="K3096" s="26" t="str">
        <f>IF(OR(E3096="",E3096="!!!",F3096="NEW"),"",INDEX(J$1:J3095,SUMPRODUCT(MAX(ROW(E$1:E3095)*(E3096=E$1:E3095)))))</f>
        <v> </v>
      </c>
      <c r="L3096" s="27"/>
    </row>
    <row r="3097" spans="1:12">
      <c r="A3097" s="20" t="s">
        <v>808</v>
      </c>
      <c r="E3097" s="22">
        <f>IF(D3097="?OLD","!!!","")</f>
        <v/>
      </c>
      <c r="F3097" s="23" t="str">
        <f>IF(OR(E3097="",E3097="!!!"),"",IF(NOT(ISNA(VLOOKUP(E3097,E$1:E3096,1,FALSE()))),"OLD",IF(AND(E3097&lt;&gt;"",E3097&lt;&gt;"!!!"),"NEW","")))</f>
        <v> </v>
      </c>
      <c r="G3097" s="24" t="str">
        <f>IF(OR(E3097="",E3097="!!!"),"",IF(OR(J3097=0,AND(J3097=1,K3097=1),AND(J3097=1,I3097="SBJ"),AND(J3097=1,I3097=0)),"?IN_FOCUS",IF(J3097&lt;=2,"?ACTIVATED",IF(J3097&lt;&gt;"","?FAMILIAR",IF(F3097="NEW",IF(ISNA(VLOOKUP(E3097,#REF!,1,FALSE())),"?TYPE_IDENTIFIABLE","?REFERENTIAL"),"_")))))</f>
        <v> </v>
      </c>
      <c r="H3097" s="25" t="str">
        <f>IF(J3097&lt;&gt;1,"",IF(I3097="SBJ","CB","?"))</f>
        <v> </v>
      </c>
      <c r="I3097" s="26" t="str">
        <f>IF(OR(E3097="",E3097="!!!",F3097="NEW"),"",INDEX(B3096:B$2,-1+SUMPRODUCT(MAX(ROW(E3096:E$2)*(E3097=E3096:E$2)))))</f>
        <v> </v>
      </c>
      <c r="J3097" s="26" t="str">
        <f>IF(OR(E3097="",E3097="!!!",F3097="NEW"),"",COUNTBLANK(OFFSET(A$1,,,SUMPRODUCT(MAX(ROW(E$2:E3097)*(E3097=E$2:E3097)))))-COUNTBLANK(OFFSET(A$1,,,SUMPRODUCT(MAX(ROW(E$1:E3096)*(E2=E$1:E3096))))))</f>
        <v> </v>
      </c>
      <c r="K3097" s="26" t="str">
        <f>IF(OR(E3097="",E3097="!!!",F3097="NEW"),"",INDEX(J$1:J3096,SUMPRODUCT(MAX(ROW(E$1:E3096)*(E3097=E$1:E3096)))))</f>
        <v> </v>
      </c>
      <c r="L3097" s="27"/>
    </row>
    <row r="3098" spans="1:12">
      <c r="A3098" s="20" t="s">
        <v>928</v>
      </c>
      <c r="B3098" s="21" t="s">
        <v>796</v>
      </c>
      <c r="C3098" s="21" t="s">
        <v>789</v>
      </c>
      <c r="D3098" s="21" t="s">
        <v>730</v>
      </c>
      <c r="E3098" s="22">
        <f>IF(D3098="?OLD","!!!","")</f>
        <v/>
      </c>
      <c r="F3098" s="23" t="str">
        <f>IF(OR(E3098="",E3098="!!!"),"",IF(NOT(ISNA(VLOOKUP(E3098,E$1:E3097,1,FALSE()))),"OLD",IF(AND(E3098&lt;&gt;"",E3098&lt;&gt;"!!!"),"NEW","")))</f>
        <v> </v>
      </c>
      <c r="G3098" s="24" t="str">
        <f>IF(OR(E3098="",E3098="!!!"),"",IF(OR(J3098=0,AND(J3098=1,K3098=1),AND(J3098=1,I3098="SBJ"),AND(J3098=1,I3098=0)),"?IN_FOCUS",IF(J3098&lt;=2,"?ACTIVATED",IF(J3098&lt;&gt;"","?FAMILIAR",IF(F3098="NEW",IF(ISNA(VLOOKUP(E3098,#REF!,1,FALSE())),"?TYPE_IDENTIFIABLE","?REFERENTIAL"),"_")))))</f>
        <v> </v>
      </c>
      <c r="H3098" s="25" t="str">
        <f>IF(J3098&lt;&gt;1,"",IF(I3098="SBJ","CB","?"))</f>
        <v> </v>
      </c>
      <c r="I3098" s="26" t="str">
        <f>IF(OR(E3098="",E3098="!!!",F3098="NEW"),"",INDEX(B3097:B$2,-1+SUMPRODUCT(MAX(ROW(E3097:E$2)*(E3098=E3097:E$2)))))</f>
        <v> </v>
      </c>
      <c r="J3098" s="26" t="str">
        <f>IF(OR(E3098="",E3098="!!!",F3098="NEW"),"",COUNTBLANK(OFFSET(A$1,,,SUMPRODUCT(MAX(ROW(E$2:E3098)*(E3098=E$2:E3098)))))-COUNTBLANK(OFFSET(A$1,,,SUMPRODUCT(MAX(ROW(E$1:E3097)*(E2=E$1:E3097))))))</f>
        <v> </v>
      </c>
      <c r="K3098" s="26" t="str">
        <f>IF(OR(E3098="",E3098="!!!",F3098="NEW"),"",INDEX(J$1:J3097,SUMPRODUCT(MAX(ROW(E$1:E3097)*(E3098=E$1:E3097)))))</f>
        <v> </v>
      </c>
      <c r="L3098" s="27"/>
    </row>
    <row r="3099" spans="1:12">
      <c r="A3099" s="20" t="s">
        <v>899</v>
      </c>
      <c r="E3099" s="22">
        <f>IF(D3099="?OLD","!!!","")</f>
        <v/>
      </c>
      <c r="F3099" s="23" t="str">
        <f>IF(OR(E3099="",E3099="!!!"),"",IF(NOT(ISNA(VLOOKUP(E3099,E$1:E3098,1,FALSE()))),"OLD",IF(AND(E3099&lt;&gt;"",E3099&lt;&gt;"!!!"),"NEW","")))</f>
        <v> </v>
      </c>
      <c r="G3099" s="24" t="str">
        <f>IF(OR(E3099="",E3099="!!!"),"",IF(OR(J3099=0,AND(J3099=1,K3099=1),AND(J3099=1,I3099="SBJ"),AND(J3099=1,I3099=0)),"?IN_FOCUS",IF(J3099&lt;=2,"?ACTIVATED",IF(J3099&lt;&gt;"","?FAMILIAR",IF(F3099="NEW",IF(ISNA(VLOOKUP(E3099,#REF!,1,FALSE())),"?TYPE_IDENTIFIABLE","?REFERENTIAL"),"_")))))</f>
        <v> </v>
      </c>
      <c r="H3099" s="25" t="str">
        <f>IF(J3099&lt;&gt;1,"",IF(I3099="SBJ","CB","?"))</f>
        <v> </v>
      </c>
      <c r="I3099" s="26" t="str">
        <f>IF(OR(E3099="",E3099="!!!",F3099="NEW"),"",INDEX(B3098:B$2,-1+SUMPRODUCT(MAX(ROW(E3098:E$2)*(E3099=E3098:E$2)))))</f>
        <v> </v>
      </c>
      <c r="J3099" s="26" t="str">
        <f>IF(OR(E3099="",E3099="!!!",F3099="NEW"),"",COUNTBLANK(OFFSET(A$1,,,SUMPRODUCT(MAX(ROW(E$2:E3099)*(E3099=E$2:E3099)))))-COUNTBLANK(OFFSET(A$1,,,SUMPRODUCT(MAX(ROW(E$1:E3098)*(E2=E$1:E3098))))))</f>
        <v> </v>
      </c>
      <c r="K3099" s="26" t="str">
        <f>IF(OR(E3099="",E3099="!!!",F3099="NEW"),"",INDEX(J$1:J3098,SUMPRODUCT(MAX(ROW(E$1:E3098)*(E3099=E$1:E3098)))))</f>
        <v> </v>
      </c>
      <c r="L3099" s="27"/>
    </row>
    <row r="3100" spans="1:12">
      <c r="A3100" s="20" t="s">
        <v>879</v>
      </c>
      <c r="E3100" s="22">
        <f>IF(D3100="?OLD","!!!","")</f>
        <v/>
      </c>
      <c r="F3100" s="23" t="str">
        <f>IF(OR(E3100="",E3100="!!!"),"",IF(NOT(ISNA(VLOOKUP(E3100,E$1:E3099,1,FALSE()))),"OLD",IF(AND(E3100&lt;&gt;"",E3100&lt;&gt;"!!!"),"NEW","")))</f>
        <v> </v>
      </c>
      <c r="G3100" s="24" t="str">
        <f>IF(OR(E3100="",E3100="!!!"),"",IF(OR(J3100=0,AND(J3100=1,K3100=1),AND(J3100=1,I3100="SBJ"),AND(J3100=1,I3100=0)),"?IN_FOCUS",IF(J3100&lt;=2,"?ACTIVATED",IF(J3100&lt;&gt;"","?FAMILIAR",IF(F3100="NEW",IF(ISNA(VLOOKUP(E3100,#REF!,1,FALSE())),"?TYPE_IDENTIFIABLE","?REFERENTIAL"),"_")))))</f>
        <v> </v>
      </c>
      <c r="H3100" s="25" t="str">
        <f>IF(J3100&lt;&gt;1,"",IF(I3100="SBJ","CB","?"))</f>
        <v> </v>
      </c>
      <c r="I3100" s="26" t="str">
        <f>IF(OR(E3100="",E3100="!!!",F3100="NEW"),"",INDEX(B3099:B$2,-1+SUMPRODUCT(MAX(ROW(E3099:E$2)*(E3100=E3099:E$2)))))</f>
        <v> </v>
      </c>
      <c r="J3100" s="26" t="str">
        <f>IF(OR(E3100="",E3100="!!!",F3100="NEW"),"",COUNTBLANK(OFFSET(A$1,,,SUMPRODUCT(MAX(ROW(E$2:E3100)*(E3100=E$2:E3100)))))-COUNTBLANK(OFFSET(A$1,,,SUMPRODUCT(MAX(ROW(E$1:E3099)*(E2=E$1:E3099))))))</f>
        <v> </v>
      </c>
      <c r="K3100" s="26" t="str">
        <f>IF(OR(E3100="",E3100="!!!",F3100="NEW"),"",INDEX(J$1:J3099,SUMPRODUCT(MAX(ROW(E$1:E3099)*(E3100=E$1:E3099)))))</f>
        <v> </v>
      </c>
      <c r="L3100" s="27"/>
    </row>
    <row r="3101" spans="1:12">
      <c r="A3101" s="20" t="s">
        <v>1837</v>
      </c>
      <c r="B3101" s="21" t="s">
        <v>791</v>
      </c>
      <c r="C3101" s="21" t="s">
        <v>756</v>
      </c>
      <c r="E3101" s="22">
        <f>IF(D3101="?OLD","!!!","")</f>
        <v/>
      </c>
      <c r="F3101" s="23" t="str">
        <f>IF(OR(E3101="",E3101="!!!"),"",IF(NOT(ISNA(VLOOKUP(E3101,E$1:E3100,1,FALSE()))),"OLD",IF(AND(E3101&lt;&gt;"",E3101&lt;&gt;"!!!"),"NEW","")))</f>
        <v> </v>
      </c>
      <c r="G3101" s="24" t="str">
        <f>IF(OR(E3101="",E3101="!!!"),"",IF(OR(J3101=0,AND(J3101=1,K3101=1),AND(J3101=1,I3101="SBJ"),AND(J3101=1,I3101=0)),"?IN_FOCUS",IF(J3101&lt;=2,"?ACTIVATED",IF(J3101&lt;&gt;"","?FAMILIAR",IF(F3101="NEW",IF(ISNA(VLOOKUP(E3101,#REF!,1,FALSE())),"?TYPE_IDENTIFIABLE","?REFERENTIAL"),"_")))))</f>
        <v> </v>
      </c>
      <c r="H3101" s="25" t="str">
        <f>IF(J3101&lt;&gt;1,"",IF(I3101="SBJ","CB","?"))</f>
        <v> </v>
      </c>
      <c r="I3101" s="26" t="str">
        <f>IF(OR(E3101="",E3101="!!!",F3101="NEW"),"",INDEX(B3100:B$2,-1+SUMPRODUCT(MAX(ROW(E3100:E$2)*(E3101=E3100:E$2)))))</f>
        <v> </v>
      </c>
      <c r="J3101" s="26" t="str">
        <f>IF(OR(E3101="",E3101="!!!",F3101="NEW"),"",COUNTBLANK(OFFSET(A$1,,,SUMPRODUCT(MAX(ROW(E$2:E3101)*(E3101=E$2:E3101)))))-COUNTBLANK(OFFSET(A$1,,,SUMPRODUCT(MAX(ROW(E$1:E3100)*(E2=E$1:E3100))))))</f>
        <v> </v>
      </c>
      <c r="K3101" s="26" t="str">
        <f>IF(OR(E3101="",E3101="!!!",F3101="NEW"),"",INDEX(J$1:J3100,SUMPRODUCT(MAX(ROW(E$1:E3100)*(E3101=E$1:E3100)))))</f>
        <v> </v>
      </c>
      <c r="L3101" s="27"/>
    </row>
    <row r="3102" spans="1:12">
      <c r="A3102" s="20" t="s">
        <v>1818</v>
      </c>
      <c r="E3102" s="22">
        <f>IF(D3102="?OLD","!!!","")</f>
        <v/>
      </c>
      <c r="F3102" s="23" t="str">
        <f>IF(OR(E3102="",E3102="!!!"),"",IF(NOT(ISNA(VLOOKUP(E3102,E$1:E3101,1,FALSE()))),"OLD",IF(AND(E3102&lt;&gt;"",E3102&lt;&gt;"!!!"),"NEW","")))</f>
        <v> </v>
      </c>
      <c r="G3102" s="24" t="str">
        <f>IF(OR(E3102="",E3102="!!!"),"",IF(OR(J3102=0,AND(J3102=1,K3102=1),AND(J3102=1,I3102="SBJ"),AND(J3102=1,I3102=0)),"?IN_FOCUS",IF(J3102&lt;=2,"?ACTIVATED",IF(J3102&lt;&gt;"","?FAMILIAR",IF(F3102="NEW",IF(ISNA(VLOOKUP(E3102,#REF!,1,FALSE())),"?TYPE_IDENTIFIABLE","?REFERENTIAL"),"_")))))</f>
        <v> </v>
      </c>
      <c r="H3102" s="25" t="str">
        <f>IF(J3102&lt;&gt;1,"",IF(I3102="SBJ","CB","?"))</f>
        <v> </v>
      </c>
      <c r="I3102" s="26" t="str">
        <f>IF(OR(E3102="",E3102="!!!",F3102="NEW"),"",INDEX(B3101:B$2,-1+SUMPRODUCT(MAX(ROW(E3101:E$2)*(E3102=E3101:E$2)))))</f>
        <v> </v>
      </c>
      <c r="J3102" s="26" t="str">
        <f>IF(OR(E3102="",E3102="!!!",F3102="NEW"),"",COUNTBLANK(OFFSET(A$1,,,SUMPRODUCT(MAX(ROW(E$2:E3102)*(E3102=E$2:E3102)))))-COUNTBLANK(OFFSET(A$1,,,SUMPRODUCT(MAX(ROW(E$1:E3101)*(E2=E$1:E3101))))))</f>
        <v> </v>
      </c>
      <c r="K3102" s="26" t="str">
        <f>IF(OR(E3102="",E3102="!!!",F3102="NEW"),"",INDEX(J$1:J3101,SUMPRODUCT(MAX(ROW(E$1:E3101)*(E3102=E$1:E3101)))))</f>
        <v> </v>
      </c>
      <c r="L3102" s="27"/>
    </row>
    <row r="3103" spans="1:12">
      <c r="A3103" s="20" t="s">
        <v>881</v>
      </c>
      <c r="E3103" s="22">
        <f>IF(D3103="?OLD","!!!","")</f>
        <v/>
      </c>
      <c r="F3103" s="23" t="str">
        <f>IF(OR(E3103="",E3103="!!!"),"",IF(NOT(ISNA(VLOOKUP(E3103,E$1:E3102,1,FALSE()))),"OLD",IF(AND(E3103&lt;&gt;"",E3103&lt;&gt;"!!!"),"NEW","")))</f>
        <v> </v>
      </c>
      <c r="G3103" s="24" t="str">
        <f>IF(OR(E3103="",E3103="!!!"),"",IF(OR(J3103=0,AND(J3103=1,K3103=1),AND(J3103=1,I3103="SBJ"),AND(J3103=1,I3103=0)),"?IN_FOCUS",IF(J3103&lt;=2,"?ACTIVATED",IF(J3103&lt;&gt;"","?FAMILIAR",IF(F3103="NEW",IF(ISNA(VLOOKUP(E3103,#REF!,1,FALSE())),"?TYPE_IDENTIFIABLE","?REFERENTIAL"),"_")))))</f>
        <v> </v>
      </c>
      <c r="H3103" s="25" t="str">
        <f>IF(J3103&lt;&gt;1,"",IF(I3103="SBJ","CB","?"))</f>
        <v> </v>
      </c>
      <c r="I3103" s="26" t="str">
        <f>IF(OR(E3103="",E3103="!!!",F3103="NEW"),"",INDEX(B3102:B$2,-1+SUMPRODUCT(MAX(ROW(E3102:E$2)*(E3103=E3102:E$2)))))</f>
        <v> </v>
      </c>
      <c r="J3103" s="26" t="str">
        <f>IF(OR(E3103="",E3103="!!!",F3103="NEW"),"",COUNTBLANK(OFFSET(A$1,,,SUMPRODUCT(MAX(ROW(E$2:E3103)*(E3103=E$2:E3103)))))-COUNTBLANK(OFFSET(A$1,,,SUMPRODUCT(MAX(ROW(E$1:E3102)*(E2=E$1:E3102))))))</f>
        <v> </v>
      </c>
      <c r="K3103" s="26" t="str">
        <f>IF(OR(E3103="",E3103="!!!",F3103="NEW"),"",INDEX(J$1:J3102,SUMPRODUCT(MAX(ROW(E$1:E3102)*(E3103=E$1:E3102)))))</f>
        <v> </v>
      </c>
      <c r="L3103" s="27"/>
    </row>
    <row r="3104" spans="1:12">
      <c r="A3104" s="20" t="s">
        <v>246</v>
      </c>
      <c r="E3104" s="22">
        <f>IF(D3104="?OLD","!!!","")</f>
        <v/>
      </c>
      <c r="F3104" s="23" t="str">
        <f>IF(OR(E3104="",E3104="!!!"),"",IF(NOT(ISNA(VLOOKUP(E3104,E$1:E3103,1,FALSE()))),"OLD",IF(AND(E3104&lt;&gt;"",E3104&lt;&gt;"!!!"),"NEW","")))</f>
        <v> </v>
      </c>
      <c r="G3104" s="24" t="str">
        <f>IF(OR(E3104="",E3104="!!!"),"",IF(OR(J3104=0,AND(J3104=1,K3104=1),AND(J3104=1,I3104="SBJ"),AND(J3104=1,I3104=0)),"?IN_FOCUS",IF(J3104&lt;=2,"?ACTIVATED",IF(J3104&lt;&gt;"","?FAMILIAR",IF(F3104="NEW",IF(ISNA(VLOOKUP(E3104,#REF!,1,FALSE())),"?TYPE_IDENTIFIABLE","?REFERENTIAL"),"_")))))</f>
        <v> </v>
      </c>
      <c r="H3104" s="25" t="str">
        <f>IF(J3104&lt;&gt;1,"",IF(I3104="SBJ","CB","?"))</f>
        <v> </v>
      </c>
      <c r="I3104" s="26" t="str">
        <f>IF(OR(E3104="",E3104="!!!",F3104="NEW"),"",INDEX(B3103:B$2,-1+SUMPRODUCT(MAX(ROW(E3103:E$2)*(E3104=E3103:E$2)))))</f>
        <v> </v>
      </c>
      <c r="J3104" s="26" t="str">
        <f>IF(OR(E3104="",E3104="!!!",F3104="NEW"),"",COUNTBLANK(OFFSET(A$1,,,SUMPRODUCT(MAX(ROW(E$2:E3104)*(E3104=E$2:E3104)))))-COUNTBLANK(OFFSET(A$1,,,SUMPRODUCT(MAX(ROW(E$1:E3103)*(E2=E$1:E3103))))))</f>
        <v> </v>
      </c>
      <c r="K3104" s="26" t="str">
        <f>IF(OR(E3104="",E3104="!!!",F3104="NEW"),"",INDEX(J$1:J3103,SUMPRODUCT(MAX(ROW(E$1:E3103)*(E3104=E$1:E3103)))))</f>
        <v> </v>
      </c>
      <c r="L3104" s="27"/>
    </row>
    <row r="3105" spans="1:12">
      <c r="A3105" s="20"/>
    </row>
    <row r="3106" spans="1:12">
      <c r="A3106" s="20" t="s">
        <v>1838</v>
      </c>
    </row>
    <row r="3107" spans="1:12">
      <c r="A3107" s="20" t="s">
        <v>1839</v>
      </c>
      <c r="E3107" s="22">
        <f>IF(D3107="?OLD","!!!","")</f>
        <v/>
      </c>
      <c r="F3107" s="23" t="str">
        <f>IF(OR(E3107="",E3107="!!!"),"",IF(NOT(ISNA(VLOOKUP(E3107,E$1:E3106,1,FALSE()))),"OLD",IF(AND(E3107&lt;&gt;"",E3107&lt;&gt;"!!!"),"NEW","")))</f>
        <v> </v>
      </c>
      <c r="G3107" s="24" t="str">
        <f>IF(OR(E3107="",E3107="!!!"),"",IF(OR(J3107=0,AND(J3107=1,K3107=1),AND(J3107=1,I3107="SBJ"),AND(J3107=1,I3107=0)),"?IN_FOCUS",IF(J3107&lt;=2,"?ACTIVATED",IF(J3107&lt;&gt;"","?FAMILIAR",IF(F3107="NEW",IF(ISNA(VLOOKUP(E3107,#REF!,1,FALSE())),"?TYPE_IDENTIFIABLE","?REFERENTIAL"),"_")))))</f>
        <v> </v>
      </c>
      <c r="H3107" s="25" t="str">
        <f>IF(J3107&lt;&gt;1,"",IF(I3107="SBJ","CB","?"))</f>
        <v> </v>
      </c>
      <c r="I3107" s="26" t="str">
        <f>IF(OR(E3107="",E3107="!!!",F3107="NEW"),"",INDEX(B3106:B$2,-1+SUMPRODUCT(MAX(ROW(E3106:E$2)*(E3107=E3106:E$2)))))</f>
        <v> </v>
      </c>
      <c r="J3107" s="26" t="str">
        <f>IF(OR(E3107="",E3107="!!!",F3107="NEW"),"",COUNTBLANK(OFFSET(A$1,,,SUMPRODUCT(MAX(ROW(E$2:E3107)*(E3107=E$2:E3107)))))-COUNTBLANK(OFFSET(A$1,,,SUMPRODUCT(MAX(ROW(E$1:E3106)*(E2=E$1:E3106))))))</f>
        <v> </v>
      </c>
      <c r="K3107" s="26" t="str">
        <f>IF(OR(E3107="",E3107="!!!",F3107="NEW"),"",INDEX(J$1:J3106,SUMPRODUCT(MAX(ROW(E$1:E3106)*(E3107=E$1:E3106)))))</f>
        <v> </v>
      </c>
      <c r="L3107" s="27"/>
    </row>
    <row r="3108" spans="1:12">
      <c r="A3108" s="20" t="s">
        <v>1794</v>
      </c>
      <c r="E3108" s="22">
        <f>IF(D3108="?OLD","!!!","")</f>
        <v/>
      </c>
      <c r="F3108" s="23" t="str">
        <f>IF(OR(E3108="",E3108="!!!"),"",IF(NOT(ISNA(VLOOKUP(E3108,E$1:E3107,1,FALSE()))),"OLD",IF(AND(E3108&lt;&gt;"",E3108&lt;&gt;"!!!"),"NEW","")))</f>
        <v> </v>
      </c>
      <c r="G3108" s="24" t="str">
        <f>IF(OR(E3108="",E3108="!!!"),"",IF(OR(J3108=0,AND(J3108=1,K3108=1),AND(J3108=1,I3108="SBJ"),AND(J3108=1,I3108=0)),"?IN_FOCUS",IF(J3108&lt;=2,"?ACTIVATED",IF(J3108&lt;&gt;"","?FAMILIAR",IF(F3108="NEW",IF(ISNA(VLOOKUP(E3108,#REF!,1,FALSE())),"?TYPE_IDENTIFIABLE","?REFERENTIAL"),"_")))))</f>
        <v> </v>
      </c>
      <c r="H3108" s="25" t="str">
        <f>IF(J3108&lt;&gt;1,"",IF(I3108="SBJ","CB","?"))</f>
        <v> </v>
      </c>
      <c r="I3108" s="26" t="str">
        <f>IF(OR(E3108="",E3108="!!!",F3108="NEW"),"",INDEX(B3107:B$2,-1+SUMPRODUCT(MAX(ROW(E3107:E$2)*(E3108=E3107:E$2)))))</f>
        <v> </v>
      </c>
      <c r="J3108" s="26" t="str">
        <f>IF(OR(E3108="",E3108="!!!",F3108="NEW"),"",COUNTBLANK(OFFSET(A$1,,,SUMPRODUCT(MAX(ROW(E$2:E3108)*(E3108=E$2:E3108)))))-COUNTBLANK(OFFSET(A$1,,,SUMPRODUCT(MAX(ROW(E$1:E3107)*(E2=E$1:E3107))))))</f>
        <v> </v>
      </c>
      <c r="K3108" s="26" t="str">
        <f>IF(OR(E3108="",E3108="!!!",F3108="NEW"),"",INDEX(J$1:J3107,SUMPRODUCT(MAX(ROW(E$1:E3107)*(E3108=E$1:E3107)))))</f>
        <v> </v>
      </c>
      <c r="L3108" s="27"/>
    </row>
    <row r="3109" spans="1:12">
      <c r="A3109" s="20" t="s">
        <v>762</v>
      </c>
      <c r="E3109" s="22">
        <f>IF(D3109="?OLD","!!!","")</f>
        <v/>
      </c>
      <c r="F3109" s="23" t="str">
        <f>IF(OR(E3109="",E3109="!!!"),"",IF(NOT(ISNA(VLOOKUP(E3109,E$1:E3108,1,FALSE()))),"OLD",IF(AND(E3109&lt;&gt;"",E3109&lt;&gt;"!!!"),"NEW","")))</f>
        <v> </v>
      </c>
      <c r="G3109" s="24" t="str">
        <f>IF(OR(E3109="",E3109="!!!"),"",IF(OR(J3109=0,AND(J3109=1,K3109=1),AND(J3109=1,I3109="SBJ"),AND(J3109=1,I3109=0)),"?IN_FOCUS",IF(J3109&lt;=2,"?ACTIVATED",IF(J3109&lt;&gt;"","?FAMILIAR",IF(F3109="NEW",IF(ISNA(VLOOKUP(E3109,#REF!,1,FALSE())),"?TYPE_IDENTIFIABLE","?REFERENTIAL"),"_")))))</f>
        <v> </v>
      </c>
      <c r="H3109" s="25" t="str">
        <f>IF(J3109&lt;&gt;1,"",IF(I3109="SBJ","CB","?"))</f>
        <v> </v>
      </c>
      <c r="I3109" s="26" t="str">
        <f>IF(OR(E3109="",E3109="!!!",F3109="NEW"),"",INDEX(B3108:B$2,-1+SUMPRODUCT(MAX(ROW(E3108:E$2)*(E3109=E3108:E$2)))))</f>
        <v> </v>
      </c>
      <c r="J3109" s="26" t="str">
        <f>IF(OR(E3109="",E3109="!!!",F3109="NEW"),"",COUNTBLANK(OFFSET(A$1,,,SUMPRODUCT(MAX(ROW(E$2:E3109)*(E3109=E$2:E3109)))))-COUNTBLANK(OFFSET(A$1,,,SUMPRODUCT(MAX(ROW(E$1:E3108)*(E2=E$1:E3108))))))</f>
        <v> </v>
      </c>
      <c r="K3109" s="26" t="str">
        <f>IF(OR(E3109="",E3109="!!!",F3109="NEW"),"",INDEX(J$1:J3108,SUMPRODUCT(MAX(ROW(E$1:E3108)*(E3109=E$1:E3108)))))</f>
        <v> </v>
      </c>
      <c r="L3109" s="27"/>
    </row>
    <row r="3110" spans="1:12">
      <c r="A3110" s="20" t="s">
        <v>1793</v>
      </c>
      <c r="B3110" s="21" t="s">
        <v>728</v>
      </c>
      <c r="C3110" s="21" t="s">
        <v>737</v>
      </c>
      <c r="E3110" s="22">
        <f>IF(D3110="?OLD","!!!","")</f>
        <v/>
      </c>
      <c r="F3110" s="23" t="str">
        <f>IF(OR(E3110="",E3110="!!!"),"",IF(NOT(ISNA(VLOOKUP(E3110,E$1:E3109,1,FALSE()))),"OLD",IF(AND(E3110&lt;&gt;"",E3110&lt;&gt;"!!!"),"NEW","")))</f>
        <v> </v>
      </c>
      <c r="G3110" s="24" t="str">
        <f>IF(OR(E3110="",E3110="!!!"),"",IF(OR(J3110=0,AND(J3110=1,K3110=1),AND(J3110=1,I3110="SBJ"),AND(J3110=1,I3110=0)),"?IN_FOCUS",IF(J3110&lt;=2,"?ACTIVATED",IF(J3110&lt;&gt;"","?FAMILIAR",IF(F3110="NEW",IF(ISNA(VLOOKUP(E3110,#REF!,1,FALSE())),"?TYPE_IDENTIFIABLE","?REFERENTIAL"),"_")))))</f>
        <v> </v>
      </c>
      <c r="H3110" s="25" t="str">
        <f>IF(J3110&lt;&gt;1,"",IF(I3110="SBJ","CB","?"))</f>
        <v> </v>
      </c>
      <c r="I3110" s="26" t="str">
        <f>IF(OR(E3110="",E3110="!!!",F3110="NEW"),"",INDEX(B3109:B$2,-1+SUMPRODUCT(MAX(ROW(E3109:E$2)*(E3110=E3109:E$2)))))</f>
        <v> </v>
      </c>
      <c r="J3110" s="26" t="str">
        <f>IF(OR(E3110="",E3110="!!!",F3110="NEW"),"",COUNTBLANK(OFFSET(A$1,,,SUMPRODUCT(MAX(ROW(E$2:E3110)*(E3110=E$2:E3110)))))-COUNTBLANK(OFFSET(A$1,,,SUMPRODUCT(MAX(ROW(E$1:E3109)*(E2=E$1:E3109))))))</f>
        <v> </v>
      </c>
      <c r="K3110" s="26" t="str">
        <f>IF(OR(E3110="",E3110="!!!",F3110="NEW"),"",INDEX(J$1:J3109,SUMPRODUCT(MAX(ROW(E$1:E3109)*(E3110=E$1:E3109)))))</f>
        <v> </v>
      </c>
      <c r="L3110" s="27"/>
    </row>
    <row r="3111" spans="1:12">
      <c r="A3111" s="20" t="s">
        <v>759</v>
      </c>
      <c r="E3111" s="22">
        <f>IF(D3111="?OLD","!!!","")</f>
        <v/>
      </c>
      <c r="F3111" s="23" t="str">
        <f>IF(OR(E3111="",E3111="!!!"),"",IF(NOT(ISNA(VLOOKUP(E3111,E$1:E3110,1,FALSE()))),"OLD",IF(AND(E3111&lt;&gt;"",E3111&lt;&gt;"!!!"),"NEW","")))</f>
        <v> </v>
      </c>
      <c r="G3111" s="24" t="str">
        <f>IF(OR(E3111="",E3111="!!!"),"",IF(OR(J3111=0,AND(J3111=1,K3111=1),AND(J3111=1,I3111="SBJ"),AND(J3111=1,I3111=0)),"?IN_FOCUS",IF(J3111&lt;=2,"?ACTIVATED",IF(J3111&lt;&gt;"","?FAMILIAR",IF(F3111="NEW",IF(ISNA(VLOOKUP(E3111,#REF!,1,FALSE())),"?TYPE_IDENTIFIABLE","?REFERENTIAL"),"_")))))</f>
        <v> </v>
      </c>
      <c r="H3111" s="25" t="str">
        <f>IF(J3111&lt;&gt;1,"",IF(I3111="SBJ","CB","?"))</f>
        <v> </v>
      </c>
      <c r="I3111" s="26" t="str">
        <f>IF(OR(E3111="",E3111="!!!",F3111="NEW"),"",INDEX(B3110:B$2,-1+SUMPRODUCT(MAX(ROW(E3110:E$2)*(E3111=E3110:E$2)))))</f>
        <v> </v>
      </c>
      <c r="J3111" s="26" t="str">
        <f>IF(OR(E3111="",E3111="!!!",F3111="NEW"),"",COUNTBLANK(OFFSET(A$1,,,SUMPRODUCT(MAX(ROW(E$2:E3111)*(E3111=E$2:E3111)))))-COUNTBLANK(OFFSET(A$1,,,SUMPRODUCT(MAX(ROW(E$1:E3110)*(E2=E$1:E3110))))))</f>
        <v> </v>
      </c>
      <c r="K3111" s="26" t="str">
        <f>IF(OR(E3111="",E3111="!!!",F3111="NEW"),"",INDEX(J$1:J3110,SUMPRODUCT(MAX(ROW(E$1:E3110)*(E3111=E$1:E3110)))))</f>
        <v> </v>
      </c>
      <c r="L3111" s="27"/>
    </row>
    <row r="3112" spans="1:12">
      <c r="A3112" s="20" t="s">
        <v>922</v>
      </c>
      <c r="E3112" s="22">
        <f>IF(D3112="?OLD","!!!","")</f>
        <v/>
      </c>
      <c r="F3112" s="23" t="str">
        <f>IF(OR(E3112="",E3112="!!!"),"",IF(NOT(ISNA(VLOOKUP(E3112,E$1:E3111,1,FALSE()))),"OLD",IF(AND(E3112&lt;&gt;"",E3112&lt;&gt;"!!!"),"NEW","")))</f>
        <v> </v>
      </c>
      <c r="G3112" s="24" t="str">
        <f>IF(OR(E3112="",E3112="!!!"),"",IF(OR(J3112=0,AND(J3112=1,K3112=1),AND(J3112=1,I3112="SBJ"),AND(J3112=1,I3112=0)),"?IN_FOCUS",IF(J3112&lt;=2,"?ACTIVATED",IF(J3112&lt;&gt;"","?FAMILIAR",IF(F3112="NEW",IF(ISNA(VLOOKUP(E3112,#REF!,1,FALSE())),"?TYPE_IDENTIFIABLE","?REFERENTIAL"),"_")))))</f>
        <v> </v>
      </c>
      <c r="H3112" s="25" t="str">
        <f>IF(J3112&lt;&gt;1,"",IF(I3112="SBJ","CB","?"))</f>
        <v> </v>
      </c>
      <c r="I3112" s="26" t="str">
        <f>IF(OR(E3112="",E3112="!!!",F3112="NEW"),"",INDEX(B3111:B$2,-1+SUMPRODUCT(MAX(ROW(E3111:E$2)*(E3112=E3111:E$2)))))</f>
        <v> </v>
      </c>
      <c r="J3112" s="26" t="str">
        <f>IF(OR(E3112="",E3112="!!!",F3112="NEW"),"",COUNTBLANK(OFFSET(A$1,,,SUMPRODUCT(MAX(ROW(E$2:E3112)*(E3112=E$2:E3112)))))-COUNTBLANK(OFFSET(A$1,,,SUMPRODUCT(MAX(ROW(E$1:E3111)*(E2=E$1:E3111))))))</f>
        <v> </v>
      </c>
      <c r="K3112" s="26" t="str">
        <f>IF(OR(E3112="",E3112="!!!",F3112="NEW"),"",INDEX(J$1:J3111,SUMPRODUCT(MAX(ROW(E$1:E3111)*(E3112=E$1:E3111)))))</f>
        <v> </v>
      </c>
      <c r="L3112" s="27"/>
    </row>
    <row r="3113" spans="1:12">
      <c r="A3113" s="20" t="s">
        <v>1840</v>
      </c>
      <c r="E3113" s="22">
        <f>IF(D3113="?OLD","!!!","")</f>
        <v/>
      </c>
      <c r="F3113" s="23" t="str">
        <f>IF(OR(E3113="",E3113="!!!"),"",IF(NOT(ISNA(VLOOKUP(E3113,E$1:E3112,1,FALSE()))),"OLD",IF(AND(E3113&lt;&gt;"",E3113&lt;&gt;"!!!"),"NEW","")))</f>
        <v> </v>
      </c>
      <c r="G3113" s="24" t="str">
        <f>IF(OR(E3113="",E3113="!!!"),"",IF(OR(J3113=0,AND(J3113=1,K3113=1),AND(J3113=1,I3113="SBJ"),AND(J3113=1,I3113=0)),"?IN_FOCUS",IF(J3113&lt;=2,"?ACTIVATED",IF(J3113&lt;&gt;"","?FAMILIAR",IF(F3113="NEW",IF(ISNA(VLOOKUP(E3113,#REF!,1,FALSE())),"?TYPE_IDENTIFIABLE","?REFERENTIAL"),"_")))))</f>
        <v> </v>
      </c>
      <c r="H3113" s="25" t="str">
        <f>IF(J3113&lt;&gt;1,"",IF(I3113="SBJ","CB","?"))</f>
        <v> </v>
      </c>
      <c r="I3113" s="26" t="str">
        <f>IF(OR(E3113="",E3113="!!!",F3113="NEW"),"",INDEX(B3112:B$2,-1+SUMPRODUCT(MAX(ROW(E3112:E$2)*(E3113=E3112:E$2)))))</f>
        <v> </v>
      </c>
      <c r="J3113" s="26" t="str">
        <f>IF(OR(E3113="",E3113="!!!",F3113="NEW"),"",COUNTBLANK(OFFSET(A$1,,,SUMPRODUCT(MAX(ROW(E$2:E3113)*(E3113=E$2:E3113)))))-COUNTBLANK(OFFSET(A$1,,,SUMPRODUCT(MAX(ROW(E$1:E3112)*(E2=E$1:E3112))))))</f>
        <v> </v>
      </c>
      <c r="K3113" s="26" t="str">
        <f>IF(OR(E3113="",E3113="!!!",F3113="NEW"),"",INDEX(J$1:J3112,SUMPRODUCT(MAX(ROW(E$1:E3112)*(E3113=E$1:E3112)))))</f>
        <v> </v>
      </c>
      <c r="L3113" s="27"/>
    </row>
    <row r="3114" spans="1:12">
      <c r="A3114" s="20" t="s">
        <v>1841</v>
      </c>
      <c r="B3114" s="21" t="s">
        <v>739</v>
      </c>
      <c r="C3114" s="21" t="s">
        <v>737</v>
      </c>
      <c r="E3114" s="22">
        <f>IF(D3114="?OLD","!!!","")</f>
        <v/>
      </c>
      <c r="F3114" s="23" t="str">
        <f>IF(OR(E3114="",E3114="!!!"),"",IF(NOT(ISNA(VLOOKUP(E3114,E$1:E3113,1,FALSE()))),"OLD",IF(AND(E3114&lt;&gt;"",E3114&lt;&gt;"!!!"),"NEW","")))</f>
        <v> </v>
      </c>
      <c r="G3114" s="24" t="str">
        <f>IF(OR(E3114="",E3114="!!!"),"",IF(OR(J3114=0,AND(J3114=1,K3114=1),AND(J3114=1,I3114="SBJ"),AND(J3114=1,I3114=0)),"?IN_FOCUS",IF(J3114&lt;=2,"?ACTIVATED",IF(J3114&lt;&gt;"","?FAMILIAR",IF(F3114="NEW",IF(ISNA(VLOOKUP(E3114,#REF!,1,FALSE())),"?TYPE_IDENTIFIABLE","?REFERENTIAL"),"_")))))</f>
        <v> </v>
      </c>
      <c r="H3114" s="25" t="str">
        <f>IF(J3114&lt;&gt;1,"",IF(I3114="SBJ","CB","?"))</f>
        <v> </v>
      </c>
      <c r="I3114" s="26" t="str">
        <f>IF(OR(E3114="",E3114="!!!",F3114="NEW"),"",INDEX(B3113:B$2,-1+SUMPRODUCT(MAX(ROW(E3113:E$2)*(E3114=E3113:E$2)))))</f>
        <v> </v>
      </c>
      <c r="J3114" s="26" t="str">
        <f>IF(OR(E3114="",E3114="!!!",F3114="NEW"),"",COUNTBLANK(OFFSET(A$1,,,SUMPRODUCT(MAX(ROW(E$2:E3114)*(E3114=E$2:E3114)))))-COUNTBLANK(OFFSET(A$1,,,SUMPRODUCT(MAX(ROW(E$1:E3113)*(E2=E$1:E3113))))))</f>
        <v> </v>
      </c>
      <c r="K3114" s="26" t="str">
        <f>IF(OR(E3114="",E3114="!!!",F3114="NEW"),"",INDEX(J$1:J3113,SUMPRODUCT(MAX(ROW(E$1:E3113)*(E3114=E$1:E3113)))))</f>
        <v> </v>
      </c>
      <c r="L3114" s="27"/>
    </row>
    <row r="3115" spans="1:12">
      <c r="A3115" s="20" t="s">
        <v>246</v>
      </c>
      <c r="E3115" s="22">
        <f>IF(D3115="?OLD","!!!","")</f>
        <v/>
      </c>
      <c r="F3115" s="23" t="str">
        <f>IF(OR(E3115="",E3115="!!!"),"",IF(NOT(ISNA(VLOOKUP(E3115,E$1:E3114,1,FALSE()))),"OLD",IF(AND(E3115&lt;&gt;"",E3115&lt;&gt;"!!!"),"NEW","")))</f>
        <v> </v>
      </c>
      <c r="G3115" s="24" t="str">
        <f>IF(OR(E3115="",E3115="!!!"),"",IF(OR(J3115=0,AND(J3115=1,K3115=1),AND(J3115=1,I3115="SBJ"),AND(J3115=1,I3115=0)),"?IN_FOCUS",IF(J3115&lt;=2,"?ACTIVATED",IF(J3115&lt;&gt;"","?FAMILIAR",IF(F3115="NEW",IF(ISNA(VLOOKUP(E3115,#REF!,1,FALSE())),"?TYPE_IDENTIFIABLE","?REFERENTIAL"),"_")))))</f>
        <v> </v>
      </c>
      <c r="H3115" s="25" t="str">
        <f>IF(J3115&lt;&gt;1,"",IF(I3115="SBJ","CB","?"))</f>
        <v> </v>
      </c>
      <c r="I3115" s="26" t="str">
        <f>IF(OR(E3115="",E3115="!!!",F3115="NEW"),"",INDEX(B3114:B$2,-1+SUMPRODUCT(MAX(ROW(E3114:E$2)*(E3115=E3114:E$2)))))</f>
        <v> </v>
      </c>
      <c r="J3115" s="26" t="str">
        <f>IF(OR(E3115="",E3115="!!!",F3115="NEW"),"",COUNTBLANK(OFFSET(A$1,,,SUMPRODUCT(MAX(ROW(E$2:E3115)*(E3115=E$2:E3115)))))-COUNTBLANK(OFFSET(A$1,,,SUMPRODUCT(MAX(ROW(E$1:E3114)*(E2=E$1:E3114))))))</f>
        <v> </v>
      </c>
      <c r="K3115" s="26" t="str">
        <f>IF(OR(E3115="",E3115="!!!",F3115="NEW"),"",INDEX(J$1:J3114,SUMPRODUCT(MAX(ROW(E$1:E3114)*(E3115=E$1:E3114)))))</f>
        <v> </v>
      </c>
      <c r="L3115" s="27"/>
    </row>
    <row r="3116" spans="1:12">
      <c r="A3116" s="20"/>
    </row>
    <row r="3117" spans="1:12">
      <c r="A3117" s="20" t="s">
        <v>798</v>
      </c>
      <c r="E3117" s="22">
        <f>IF(D3117="?OLD","!!!","")</f>
        <v/>
      </c>
      <c r="F3117" s="23" t="str">
        <f>IF(OR(E3117="",E3117="!!!"),"",IF(NOT(ISNA(VLOOKUP(E3117,E$1:E3116,1,FALSE()))),"OLD",IF(AND(E3117&lt;&gt;"",E3117&lt;&gt;"!!!"),"NEW","")))</f>
        <v> </v>
      </c>
      <c r="G3117" s="24" t="str">
        <f>IF(OR(E3117="",E3117="!!!"),"",IF(OR(J3117=0,AND(J3117=1,K3117=1),AND(J3117=1,I3117="SBJ"),AND(J3117=1,I3117=0)),"?IN_FOCUS",IF(J3117&lt;=2,"?ACTIVATED",IF(J3117&lt;&gt;"","?FAMILIAR",IF(F3117="NEW",IF(ISNA(VLOOKUP(E3117,#REF!,1,FALSE())),"?TYPE_IDENTIFIABLE","?REFERENTIAL"),"_")))))</f>
        <v> </v>
      </c>
      <c r="H3117" s="25" t="str">
        <f>IF(J3117&lt;&gt;1,"",IF(I3117="SBJ","CB","?"))</f>
        <v> </v>
      </c>
      <c r="I3117" s="26" t="str">
        <f>IF(OR(E3117="",E3117="!!!",F3117="NEW"),"",INDEX(B3116:B$2,-1+SUMPRODUCT(MAX(ROW(E3116:E$2)*(E3117=E3116:E$2)))))</f>
        <v> </v>
      </c>
      <c r="J3117" s="26" t="str">
        <f>IF(OR(E3117="",E3117="!!!",F3117="NEW"),"",COUNTBLANK(OFFSET(A$1,,,SUMPRODUCT(MAX(ROW(E$2:E3117)*(E3117=E$2:E3117)))))-COUNTBLANK(OFFSET(A$1,,,SUMPRODUCT(MAX(ROW(E$1:E3116)*(E2=E$1:E3116))))))</f>
        <v> </v>
      </c>
      <c r="K3117" s="26" t="str">
        <f>IF(OR(E3117="",E3117="!!!",F3117="NEW"),"",INDEX(J$1:J3116,SUMPRODUCT(MAX(ROW(E$1:E3116)*(E3117=E$1:E3116)))))</f>
        <v> </v>
      </c>
      <c r="L3117" s="27"/>
    </row>
    <row r="3118" spans="1:12">
      <c r="A3118" s="20" t="s">
        <v>1842</v>
      </c>
    </row>
    <row r="3119" spans="1:12">
      <c r="A3119" s="20" t="s">
        <v>1117</v>
      </c>
      <c r="E3119" s="22">
        <f>IF(D3119="?OLD","!!!","")</f>
        <v/>
      </c>
      <c r="F3119" s="23" t="str">
        <f>IF(OR(E3119="",E3119="!!!"),"",IF(NOT(ISNA(VLOOKUP(E3119,E$1:E3118,1,FALSE()))),"OLD",IF(AND(E3119&lt;&gt;"",E3119&lt;&gt;"!!!"),"NEW","")))</f>
        <v> </v>
      </c>
      <c r="G3119" s="24" t="str">
        <f>IF(OR(E3119="",E3119="!!!"),"",IF(OR(J3119=0,AND(J3119=1,K3119=1),AND(J3119=1,I3119="SBJ"),AND(J3119=1,I3119=0)),"?IN_FOCUS",IF(J3119&lt;=2,"?ACTIVATED",IF(J3119&lt;&gt;"","?FAMILIAR",IF(F3119="NEW",IF(ISNA(VLOOKUP(E3119,#REF!,1,FALSE())),"?TYPE_IDENTIFIABLE","?REFERENTIAL"),"_")))))</f>
        <v> </v>
      </c>
      <c r="H3119" s="25" t="str">
        <f>IF(J3119&lt;&gt;1,"",IF(I3119="SBJ","CB","?"))</f>
        <v> </v>
      </c>
      <c r="I3119" s="26" t="str">
        <f>IF(OR(E3119="",E3119="!!!",F3119="NEW"),"",INDEX(B3118:B$2,-1+SUMPRODUCT(MAX(ROW(E3118:E$2)*(E3119=E3118:E$2)))))</f>
        <v> </v>
      </c>
      <c r="J3119" s="26" t="str">
        <f>IF(OR(E3119="",E3119="!!!",F3119="NEW"),"",COUNTBLANK(OFFSET(A$1,,,SUMPRODUCT(MAX(ROW(E$2:E3119)*(E3119=E$2:E3119)))))-COUNTBLANK(OFFSET(A$1,,,SUMPRODUCT(MAX(ROW(E$1:E3118)*(E2=E$1:E3118))))))</f>
        <v> </v>
      </c>
      <c r="K3119" s="26" t="str">
        <f>IF(OR(E3119="",E3119="!!!",F3119="NEW"),"",INDEX(J$1:J3118,SUMPRODUCT(MAX(ROW(E$1:E3118)*(E3119=E$1:E3118)))))</f>
        <v> </v>
      </c>
      <c r="L3119" s="27"/>
    </row>
    <row r="3120" spans="1:12">
      <c r="A3120" s="20" t="s">
        <v>750</v>
      </c>
      <c r="B3120" s="21" t="s">
        <v>796</v>
      </c>
      <c r="C3120" s="21" t="s">
        <v>729</v>
      </c>
      <c r="D3120" s="21" t="s">
        <v>730</v>
      </c>
      <c r="E3120" s="22">
        <f>IF(D3120="?OLD","!!!","")</f>
        <v/>
      </c>
      <c r="F3120" s="23" t="str">
        <f>IF(OR(E3120="",E3120="!!!"),"",IF(NOT(ISNA(VLOOKUP(E3120,E$1:E3119,1,FALSE()))),"OLD",IF(AND(E3120&lt;&gt;"",E3120&lt;&gt;"!!!"),"NEW","")))</f>
        <v> </v>
      </c>
      <c r="G3120" s="24" t="str">
        <f>IF(OR(E3120="",E3120="!!!"),"",IF(OR(J3120=0,AND(J3120=1,K3120=1),AND(J3120=1,I3120="SBJ"),AND(J3120=1,I3120=0)),"?IN_FOCUS",IF(J3120&lt;=2,"?ACTIVATED",IF(J3120&lt;&gt;"","?FAMILIAR",IF(F3120="NEW",IF(ISNA(VLOOKUP(E3120,#REF!,1,FALSE())),"?TYPE_IDENTIFIABLE","?REFERENTIAL"),"_")))))</f>
        <v> </v>
      </c>
      <c r="H3120" s="25" t="str">
        <f>IF(J3120&lt;&gt;1,"",IF(I3120="SBJ","CB","?"))</f>
        <v> </v>
      </c>
      <c r="I3120" s="26" t="str">
        <f>IF(OR(E3120="",E3120="!!!",F3120="NEW"),"",INDEX(B3119:B$2,-1+SUMPRODUCT(MAX(ROW(E3119:E$2)*(E3120=E3119:E$2)))))</f>
        <v> </v>
      </c>
      <c r="J3120" s="26" t="str">
        <f>IF(OR(E3120="",E3120="!!!",F3120="NEW"),"",COUNTBLANK(OFFSET(A$1,,,SUMPRODUCT(MAX(ROW(E$2:E3120)*(E3120=E$2:E3120)))))-COUNTBLANK(OFFSET(A$1,,,SUMPRODUCT(MAX(ROW(E$1:E3119)*(E2=E$1:E3119))))))</f>
        <v> </v>
      </c>
      <c r="K3120" s="26" t="str">
        <f>IF(OR(E3120="",E3120="!!!",F3120="NEW"),"",INDEX(J$1:J3119,SUMPRODUCT(MAX(ROW(E$1:E3119)*(E3120=E$1:E3119)))))</f>
        <v> </v>
      </c>
      <c r="L3120" s="27"/>
    </row>
    <row r="3121" spans="1:12">
      <c r="A3121" s="20" t="s">
        <v>1217</v>
      </c>
      <c r="E3121" s="22">
        <f>IF(D3121="?OLD","!!!","")</f>
        <v/>
      </c>
      <c r="F3121" s="23" t="str">
        <f>IF(OR(E3121="",E3121="!!!"),"",IF(NOT(ISNA(VLOOKUP(E3121,E$1:E3120,1,FALSE()))),"OLD",IF(AND(E3121&lt;&gt;"",E3121&lt;&gt;"!!!"),"NEW","")))</f>
        <v> </v>
      </c>
      <c r="G3121" s="24" t="str">
        <f>IF(OR(E3121="",E3121="!!!"),"",IF(OR(J3121=0,AND(J3121=1,K3121=1),AND(J3121=1,I3121="SBJ"),AND(J3121=1,I3121=0)),"?IN_FOCUS",IF(J3121&lt;=2,"?ACTIVATED",IF(J3121&lt;&gt;"","?FAMILIAR",IF(F3121="NEW",IF(ISNA(VLOOKUP(E3121,#REF!,1,FALSE())),"?TYPE_IDENTIFIABLE","?REFERENTIAL"),"_")))))</f>
        <v> </v>
      </c>
      <c r="H3121" s="25" t="str">
        <f>IF(J3121&lt;&gt;1,"",IF(I3121="SBJ","CB","?"))</f>
        <v> </v>
      </c>
      <c r="I3121" s="26" t="str">
        <f>IF(OR(E3121="",E3121="!!!",F3121="NEW"),"",INDEX(B3120:B$2,-1+SUMPRODUCT(MAX(ROW(E3120:E$2)*(E3121=E3120:E$2)))))</f>
        <v> </v>
      </c>
      <c r="J3121" s="26" t="str">
        <f>IF(OR(E3121="",E3121="!!!",F3121="NEW"),"",COUNTBLANK(OFFSET(A$1,,,SUMPRODUCT(MAX(ROW(E$2:E3121)*(E3121=E$2:E3121)))))-COUNTBLANK(OFFSET(A$1,,,SUMPRODUCT(MAX(ROW(E$1:E3120)*(E2=E$1:E3120))))))</f>
        <v> </v>
      </c>
      <c r="K3121" s="26" t="str">
        <f>IF(OR(E3121="",E3121="!!!",F3121="NEW"),"",INDEX(J$1:J3120,SUMPRODUCT(MAX(ROW(E$1:E3120)*(E3121=E$1:E3120)))))</f>
        <v> </v>
      </c>
      <c r="L3121" s="27"/>
    </row>
    <row r="3122" spans="1:12">
      <c r="A3122" s="20" t="s">
        <v>1843</v>
      </c>
      <c r="E3122" s="22">
        <f>IF(D3122="?OLD","!!!","")</f>
        <v/>
      </c>
      <c r="F3122" s="23" t="str">
        <f>IF(OR(E3122="",E3122="!!!"),"",IF(NOT(ISNA(VLOOKUP(E3122,E$1:E3121,1,FALSE()))),"OLD",IF(AND(E3122&lt;&gt;"",E3122&lt;&gt;"!!!"),"NEW","")))</f>
        <v> </v>
      </c>
      <c r="G3122" s="24" t="str">
        <f>IF(OR(E3122="",E3122="!!!"),"",IF(OR(J3122=0,AND(J3122=1,K3122=1),AND(J3122=1,I3122="SBJ"),AND(J3122=1,I3122=0)),"?IN_FOCUS",IF(J3122&lt;=2,"?ACTIVATED",IF(J3122&lt;&gt;"","?FAMILIAR",IF(F3122="NEW",IF(ISNA(VLOOKUP(E3122,#REF!,1,FALSE())),"?TYPE_IDENTIFIABLE","?REFERENTIAL"),"_")))))</f>
        <v> </v>
      </c>
      <c r="H3122" s="25" t="str">
        <f>IF(J3122&lt;&gt;1,"",IF(I3122="SBJ","CB","?"))</f>
        <v> </v>
      </c>
      <c r="I3122" s="26" t="str">
        <f>IF(OR(E3122="",E3122="!!!",F3122="NEW"),"",INDEX(B3121:B$2,-1+SUMPRODUCT(MAX(ROW(E3121:E$2)*(E3122=E3121:E$2)))))</f>
        <v> </v>
      </c>
      <c r="J3122" s="26" t="str">
        <f>IF(OR(E3122="",E3122="!!!",F3122="NEW"),"",COUNTBLANK(OFFSET(A$1,,,SUMPRODUCT(MAX(ROW(E$2:E3122)*(E3122=E$2:E3122)))))-COUNTBLANK(OFFSET(A$1,,,SUMPRODUCT(MAX(ROW(E$1:E3121)*(E2=E$1:E3121))))))</f>
        <v> </v>
      </c>
      <c r="K3122" s="26" t="str">
        <f>IF(OR(E3122="",E3122="!!!",F3122="NEW"),"",INDEX(J$1:J3121,SUMPRODUCT(MAX(ROW(E$1:E3121)*(E3122=E$1:E3121)))))</f>
        <v> </v>
      </c>
      <c r="L3122" s="27"/>
    </row>
    <row r="3123" spans="1:12">
      <c r="A3123" s="20" t="s">
        <v>759</v>
      </c>
      <c r="E3123" s="22">
        <f>IF(D3123="?OLD","!!!","")</f>
        <v/>
      </c>
      <c r="F3123" s="23" t="str">
        <f>IF(OR(E3123="",E3123="!!!"),"",IF(NOT(ISNA(VLOOKUP(E3123,E$1:E3122,1,FALSE()))),"OLD",IF(AND(E3123&lt;&gt;"",E3123&lt;&gt;"!!!"),"NEW","")))</f>
        <v> </v>
      </c>
      <c r="G3123" s="24" t="str">
        <f>IF(OR(E3123="",E3123="!!!"),"",IF(OR(J3123=0,AND(J3123=1,K3123=1),AND(J3123=1,I3123="SBJ"),AND(J3123=1,I3123=0)),"?IN_FOCUS",IF(J3123&lt;=2,"?ACTIVATED",IF(J3123&lt;&gt;"","?FAMILIAR",IF(F3123="NEW",IF(ISNA(VLOOKUP(E3123,#REF!,1,FALSE())),"?TYPE_IDENTIFIABLE","?REFERENTIAL"),"_")))))</f>
        <v> </v>
      </c>
      <c r="H3123" s="25" t="str">
        <f>IF(J3123&lt;&gt;1,"",IF(I3123="SBJ","CB","?"))</f>
        <v> </v>
      </c>
      <c r="I3123" s="26" t="str">
        <f>IF(OR(E3123="",E3123="!!!",F3123="NEW"),"",INDEX(B3122:B$2,-1+SUMPRODUCT(MAX(ROW(E3122:E$2)*(E3123=E3122:E$2)))))</f>
        <v> </v>
      </c>
      <c r="J3123" s="26" t="str">
        <f>IF(OR(E3123="",E3123="!!!",F3123="NEW"),"",COUNTBLANK(OFFSET(A$1,,,SUMPRODUCT(MAX(ROW(E$2:E3123)*(E3123=E$2:E3123)))))-COUNTBLANK(OFFSET(A$1,,,SUMPRODUCT(MAX(ROW(E$1:E3122)*(E2=E$1:E3122))))))</f>
        <v> </v>
      </c>
      <c r="K3123" s="26" t="str">
        <f>IF(OR(E3123="",E3123="!!!",F3123="NEW"),"",INDEX(J$1:J3122,SUMPRODUCT(MAX(ROW(E$1:E3122)*(E3123=E$1:E3122)))))</f>
        <v> </v>
      </c>
      <c r="L3123" s="27"/>
    </row>
    <row r="3124" spans="1:12">
      <c r="A3124" s="20" t="s">
        <v>839</v>
      </c>
      <c r="E3124" s="22">
        <f>IF(D3124="?OLD","!!!","")</f>
        <v/>
      </c>
      <c r="F3124" s="23" t="str">
        <f>IF(OR(E3124="",E3124="!!!"),"",IF(NOT(ISNA(VLOOKUP(E3124,E$1:E3123,1,FALSE()))),"OLD",IF(AND(E3124&lt;&gt;"",E3124&lt;&gt;"!!!"),"NEW","")))</f>
        <v> </v>
      </c>
      <c r="G3124" s="24" t="str">
        <f>IF(OR(E3124="",E3124="!!!"),"",IF(OR(J3124=0,AND(J3124=1,K3124=1),AND(J3124=1,I3124="SBJ"),AND(J3124=1,I3124=0)),"?IN_FOCUS",IF(J3124&lt;=2,"?ACTIVATED",IF(J3124&lt;&gt;"","?FAMILIAR",IF(F3124="NEW",IF(ISNA(VLOOKUP(E3124,#REF!,1,FALSE())),"?TYPE_IDENTIFIABLE","?REFERENTIAL"),"_")))))</f>
        <v> </v>
      </c>
      <c r="H3124" s="25" t="str">
        <f>IF(J3124&lt;&gt;1,"",IF(I3124="SBJ","CB","?"))</f>
        <v> </v>
      </c>
      <c r="I3124" s="26" t="str">
        <f>IF(OR(E3124="",E3124="!!!",F3124="NEW"),"",INDEX(B3123:B$2,-1+SUMPRODUCT(MAX(ROW(E3123:E$2)*(E3124=E3123:E$2)))))</f>
        <v> </v>
      </c>
      <c r="J3124" s="26" t="str">
        <f>IF(OR(E3124="",E3124="!!!",F3124="NEW"),"",COUNTBLANK(OFFSET(A$1,,,SUMPRODUCT(MAX(ROW(E$2:E3124)*(E3124=E$2:E3124)))))-COUNTBLANK(OFFSET(A$1,,,SUMPRODUCT(MAX(ROW(E$1:E3123)*(E2=E$1:E3123))))))</f>
        <v> </v>
      </c>
      <c r="K3124" s="26" t="str">
        <f>IF(OR(E3124="",E3124="!!!",F3124="NEW"),"",INDEX(J$1:J3123,SUMPRODUCT(MAX(ROW(E$1:E3123)*(E3124=E$1:E3123)))))</f>
        <v> </v>
      </c>
      <c r="L3124" s="27"/>
    </row>
    <row r="3125" spans="1:12">
      <c r="A3125" s="20" t="s">
        <v>1027</v>
      </c>
      <c r="B3125" s="21" t="s">
        <v>783</v>
      </c>
      <c r="C3125" s="21" t="s">
        <v>746</v>
      </c>
      <c r="D3125" s="21" t="s">
        <v>730</v>
      </c>
      <c r="E3125" s="22">
        <f>IF(D3125="?OLD","!!!","")</f>
        <v/>
      </c>
      <c r="F3125" s="23" t="str">
        <f>IF(OR(E3125="",E3125="!!!"),"",IF(NOT(ISNA(VLOOKUP(E3125,E$1:E3124,1,FALSE()))),"OLD",IF(AND(E3125&lt;&gt;"",E3125&lt;&gt;"!!!"),"NEW","")))</f>
        <v> </v>
      </c>
      <c r="G3125" s="24" t="str">
        <f>IF(OR(E3125="",E3125="!!!"),"",IF(OR(J3125=0,AND(J3125=1,K3125=1),AND(J3125=1,I3125="SBJ"),AND(J3125=1,I3125=0)),"?IN_FOCUS",IF(J3125&lt;=2,"?ACTIVATED",IF(J3125&lt;&gt;"","?FAMILIAR",IF(F3125="NEW",IF(ISNA(VLOOKUP(E3125,#REF!,1,FALSE())),"?TYPE_IDENTIFIABLE","?REFERENTIAL"),"_")))))</f>
        <v> </v>
      </c>
      <c r="H3125" s="25" t="str">
        <f>IF(J3125&lt;&gt;1,"",IF(I3125="SBJ","CB","?"))</f>
        <v> </v>
      </c>
      <c r="I3125" s="26" t="str">
        <f>IF(OR(E3125="",E3125="!!!",F3125="NEW"),"",INDEX(B3124:B$2,-1+SUMPRODUCT(MAX(ROW(E3124:E$2)*(E3125=E3124:E$2)))))</f>
        <v> </v>
      </c>
      <c r="J3125" s="26" t="str">
        <f>IF(OR(E3125="",E3125="!!!",F3125="NEW"),"",COUNTBLANK(OFFSET(A$1,,,SUMPRODUCT(MAX(ROW(E$2:E3125)*(E3125=E$2:E3125)))))-COUNTBLANK(OFFSET(A$1,,,SUMPRODUCT(MAX(ROW(E$1:E3124)*(E2=E$1:E3124))))))</f>
        <v> </v>
      </c>
      <c r="K3125" s="26" t="str">
        <f>IF(OR(E3125="",E3125="!!!",F3125="NEW"),"",INDEX(J$1:J3124,SUMPRODUCT(MAX(ROW(E$1:E3124)*(E3125=E$1:E3124)))))</f>
        <v> </v>
      </c>
      <c r="L3125" s="27"/>
    </row>
    <row r="3126" spans="1:12">
      <c r="A3126" s="20" t="s">
        <v>1017</v>
      </c>
      <c r="E3126" s="22">
        <f>IF(D3126="?OLD","!!!","")</f>
        <v/>
      </c>
      <c r="F3126" s="23" t="str">
        <f>IF(OR(E3126="",E3126="!!!"),"",IF(NOT(ISNA(VLOOKUP(E3126,E$1:E3125,1,FALSE()))),"OLD",IF(AND(E3126&lt;&gt;"",E3126&lt;&gt;"!!!"),"NEW","")))</f>
        <v> </v>
      </c>
      <c r="G3126" s="24" t="str">
        <f>IF(OR(E3126="",E3126="!!!"),"",IF(OR(J3126=0,AND(J3126=1,K3126=1),AND(J3126=1,I3126="SBJ"),AND(J3126=1,I3126=0)),"?IN_FOCUS",IF(J3126&lt;=2,"?ACTIVATED",IF(J3126&lt;&gt;"","?FAMILIAR",IF(F3126="NEW",IF(ISNA(VLOOKUP(E3126,#REF!,1,FALSE())),"?TYPE_IDENTIFIABLE","?REFERENTIAL"),"_")))))</f>
        <v> </v>
      </c>
      <c r="H3126" s="25" t="str">
        <f>IF(J3126&lt;&gt;1,"",IF(I3126="SBJ","CB","?"))</f>
        <v> </v>
      </c>
      <c r="I3126" s="26" t="str">
        <f>IF(OR(E3126="",E3126="!!!",F3126="NEW"),"",INDEX(B3125:B$2,-1+SUMPRODUCT(MAX(ROW(E3125:E$2)*(E3126=E3125:E$2)))))</f>
        <v> </v>
      </c>
      <c r="J3126" s="26" t="str">
        <f>IF(OR(E3126="",E3126="!!!",F3126="NEW"),"",COUNTBLANK(OFFSET(A$1,,,SUMPRODUCT(MAX(ROW(E$2:E3126)*(E3126=E$2:E3126)))))-COUNTBLANK(OFFSET(A$1,,,SUMPRODUCT(MAX(ROW(E$1:E3125)*(E2=E$1:E3125))))))</f>
        <v> </v>
      </c>
      <c r="K3126" s="26" t="str">
        <f>IF(OR(E3126="",E3126="!!!",F3126="NEW"),"",INDEX(J$1:J3125,SUMPRODUCT(MAX(ROW(E$1:E3125)*(E3126=E$1:E3125)))))</f>
        <v> </v>
      </c>
      <c r="L3126" s="27"/>
    </row>
    <row r="3127" spans="1:12">
      <c r="A3127" s="20" t="s">
        <v>1168</v>
      </c>
      <c r="B3127" s="21" t="s">
        <v>755</v>
      </c>
      <c r="C3127" s="21" t="s">
        <v>748</v>
      </c>
      <c r="E3127" s="22">
        <f>IF(D3127="?OLD","!!!","")</f>
        <v/>
      </c>
      <c r="F3127" s="23" t="str">
        <f>IF(OR(E3127="",E3127="!!!"),"",IF(NOT(ISNA(VLOOKUP(E3127,E$1:E3126,1,FALSE()))),"OLD",IF(AND(E3127&lt;&gt;"",E3127&lt;&gt;"!!!"),"NEW","")))</f>
        <v> </v>
      </c>
      <c r="G3127" s="24" t="str">
        <f>IF(OR(E3127="",E3127="!!!"),"",IF(OR(J3127=0,AND(J3127=1,K3127=1),AND(J3127=1,I3127="SBJ"),AND(J3127=1,I3127=0)),"?IN_FOCUS",IF(J3127&lt;=2,"?ACTIVATED",IF(J3127&lt;&gt;"","?FAMILIAR",IF(F3127="NEW",IF(ISNA(VLOOKUP(E3127,#REF!,1,FALSE())),"?TYPE_IDENTIFIABLE","?REFERENTIAL"),"_")))))</f>
        <v> </v>
      </c>
      <c r="H3127" s="25" t="str">
        <f>IF(J3127&lt;&gt;1,"",IF(I3127="SBJ","CB","?"))</f>
        <v> </v>
      </c>
      <c r="I3127" s="26" t="str">
        <f>IF(OR(E3127="",E3127="!!!",F3127="NEW"),"",INDEX(B3126:B$2,-1+SUMPRODUCT(MAX(ROW(E3126:E$2)*(E3127=E3126:E$2)))))</f>
        <v> </v>
      </c>
      <c r="J3127" s="26" t="str">
        <f>IF(OR(E3127="",E3127="!!!",F3127="NEW"),"",COUNTBLANK(OFFSET(A$1,,,SUMPRODUCT(MAX(ROW(E$2:E3127)*(E3127=E$2:E3127)))))-COUNTBLANK(OFFSET(A$1,,,SUMPRODUCT(MAX(ROW(E$1:E3126)*(E2=E$1:E3126))))))</f>
        <v> </v>
      </c>
      <c r="K3127" s="26" t="str">
        <f>IF(OR(E3127="",E3127="!!!",F3127="NEW"),"",INDEX(J$1:J3126,SUMPRODUCT(MAX(ROW(E$1:E3126)*(E3127=E$1:E3126)))))</f>
        <v> </v>
      </c>
      <c r="L3127" s="27"/>
    </row>
    <row r="3128" spans="1:12">
      <c r="A3128" s="20" t="s">
        <v>817</v>
      </c>
      <c r="E3128" s="22">
        <f>IF(D3128="?OLD","!!!","")</f>
        <v/>
      </c>
      <c r="F3128" s="23" t="str">
        <f>IF(OR(E3128="",E3128="!!!"),"",IF(NOT(ISNA(VLOOKUP(E3128,E$1:E3127,1,FALSE()))),"OLD",IF(AND(E3128&lt;&gt;"",E3128&lt;&gt;"!!!"),"NEW","")))</f>
        <v> </v>
      </c>
      <c r="G3128" s="24" t="str">
        <f>IF(OR(E3128="",E3128="!!!"),"",IF(OR(J3128=0,AND(J3128=1,K3128=1),AND(J3128=1,I3128="SBJ"),AND(J3128=1,I3128=0)),"?IN_FOCUS",IF(J3128&lt;=2,"?ACTIVATED",IF(J3128&lt;&gt;"","?FAMILIAR",IF(F3128="NEW",IF(ISNA(VLOOKUP(E3128,#REF!,1,FALSE())),"?TYPE_IDENTIFIABLE","?REFERENTIAL"),"_")))))</f>
        <v> </v>
      </c>
      <c r="H3128" s="25" t="str">
        <f>IF(J3128&lt;&gt;1,"",IF(I3128="SBJ","CB","?"))</f>
        <v> </v>
      </c>
      <c r="I3128" s="26" t="str">
        <f>IF(OR(E3128="",E3128="!!!",F3128="NEW"),"",INDEX(B3127:B$2,-1+SUMPRODUCT(MAX(ROW(E3127:E$2)*(E3128=E3127:E$2)))))</f>
        <v> </v>
      </c>
      <c r="J3128" s="26" t="str">
        <f>IF(OR(E3128="",E3128="!!!",F3128="NEW"),"",COUNTBLANK(OFFSET(A$1,,,SUMPRODUCT(MAX(ROW(E$2:E3128)*(E3128=E$2:E3128)))))-COUNTBLANK(OFFSET(A$1,,,SUMPRODUCT(MAX(ROW(E$1:E3127)*(E2=E$1:E3127))))))</f>
        <v> </v>
      </c>
      <c r="K3128" s="26" t="str">
        <f>IF(OR(E3128="",E3128="!!!",F3128="NEW"),"",INDEX(J$1:J3127,SUMPRODUCT(MAX(ROW(E$1:E3127)*(E3128=E$1:E3127)))))</f>
        <v> </v>
      </c>
      <c r="L3128" s="27"/>
    </row>
    <row r="3129" spans="1:12">
      <c r="A3129" s="20" t="s">
        <v>1316</v>
      </c>
      <c r="B3129" s="21" t="s">
        <v>783</v>
      </c>
      <c r="C3129" s="21" t="s">
        <v>740</v>
      </c>
      <c r="D3129" s="21" t="s">
        <v>730</v>
      </c>
      <c r="E3129" s="22">
        <f>IF(D3129="?OLD","!!!","")</f>
        <v/>
      </c>
      <c r="F3129" s="23" t="str">
        <f>IF(OR(E3129="",E3129="!!!"),"",IF(NOT(ISNA(VLOOKUP(E3129,E$1:E3128,1,FALSE()))),"OLD",IF(AND(E3129&lt;&gt;"",E3129&lt;&gt;"!!!"),"NEW","")))</f>
        <v> </v>
      </c>
      <c r="G3129" s="24" t="str">
        <f>IF(OR(E3129="",E3129="!!!"),"",IF(OR(J3129=0,AND(J3129=1,K3129=1),AND(J3129=1,I3129="SBJ"),AND(J3129=1,I3129=0)),"?IN_FOCUS",IF(J3129&lt;=2,"?ACTIVATED",IF(J3129&lt;&gt;"","?FAMILIAR",IF(F3129="NEW",IF(ISNA(VLOOKUP(E3129,#REF!,1,FALSE())),"?TYPE_IDENTIFIABLE","?REFERENTIAL"),"_")))))</f>
        <v> </v>
      </c>
      <c r="H3129" s="25" t="str">
        <f>IF(J3129&lt;&gt;1,"",IF(I3129="SBJ","CB","?"))</f>
        <v> </v>
      </c>
      <c r="I3129" s="26" t="str">
        <f>IF(OR(E3129="",E3129="!!!",F3129="NEW"),"",INDEX(B3128:B$2,-1+SUMPRODUCT(MAX(ROW(E3128:E$2)*(E3129=E3128:E$2)))))</f>
        <v> </v>
      </c>
      <c r="J3129" s="26" t="str">
        <f>IF(OR(E3129="",E3129="!!!",F3129="NEW"),"",COUNTBLANK(OFFSET(A$1,,,SUMPRODUCT(MAX(ROW(E$2:E3129)*(E3129=E$2:E3129)))))-COUNTBLANK(OFFSET(A$1,,,SUMPRODUCT(MAX(ROW(E$1:E3128)*(E2=E$1:E3128))))))</f>
        <v> </v>
      </c>
      <c r="K3129" s="26" t="str">
        <f>IF(OR(E3129="",E3129="!!!",F3129="NEW"),"",INDEX(J$1:J3128,SUMPRODUCT(MAX(ROW(E$1:E3128)*(E3129=E$1:E3128)))))</f>
        <v> </v>
      </c>
      <c r="L3129" s="27"/>
    </row>
    <row r="3130" spans="1:12">
      <c r="A3130" s="20" t="s">
        <v>817</v>
      </c>
      <c r="E3130" s="22">
        <f>IF(D3130="?OLD","!!!","")</f>
        <v/>
      </c>
      <c r="F3130" s="23" t="str">
        <f>IF(OR(E3130="",E3130="!!!"),"",IF(NOT(ISNA(VLOOKUP(E3130,E$1:E3129,1,FALSE()))),"OLD",IF(AND(E3130&lt;&gt;"",E3130&lt;&gt;"!!!"),"NEW","")))</f>
        <v> </v>
      </c>
      <c r="G3130" s="24" t="str">
        <f>IF(OR(E3130="",E3130="!!!"),"",IF(OR(J3130=0,AND(J3130=1,K3130=1),AND(J3130=1,I3130="SBJ"),AND(J3130=1,I3130=0)),"?IN_FOCUS",IF(J3130&lt;=2,"?ACTIVATED",IF(J3130&lt;&gt;"","?FAMILIAR",IF(F3130="NEW",IF(ISNA(VLOOKUP(E3130,#REF!,1,FALSE())),"?TYPE_IDENTIFIABLE","?REFERENTIAL"),"_")))))</f>
        <v> </v>
      </c>
      <c r="H3130" s="25" t="str">
        <f>IF(J3130&lt;&gt;1,"",IF(I3130="SBJ","CB","?"))</f>
        <v> </v>
      </c>
      <c r="I3130" s="26" t="str">
        <f>IF(OR(E3130="",E3130="!!!",F3130="NEW"),"",INDEX(B3129:B$2,-1+SUMPRODUCT(MAX(ROW(E3129:E$2)*(E3130=E3129:E$2)))))</f>
        <v> </v>
      </c>
      <c r="J3130" s="26" t="str">
        <f>IF(OR(E3130="",E3130="!!!",F3130="NEW"),"",COUNTBLANK(OFFSET(A$1,,,SUMPRODUCT(MAX(ROW(E$2:E3130)*(E3130=E$2:E3130)))))-COUNTBLANK(OFFSET(A$1,,,SUMPRODUCT(MAX(ROW(E$1:E3129)*(E2=E$1:E3129))))))</f>
        <v> </v>
      </c>
      <c r="K3130" s="26" t="str">
        <f>IF(OR(E3130="",E3130="!!!",F3130="NEW"),"",INDEX(J$1:J3129,SUMPRODUCT(MAX(ROW(E$1:E3129)*(E3130=E$1:E3129)))))</f>
        <v> </v>
      </c>
      <c r="L3130" s="27"/>
    </row>
    <row r="3131" spans="1:12">
      <c r="A3131" s="20" t="s">
        <v>754</v>
      </c>
      <c r="E3131" s="22">
        <f>IF(D3131="?OLD","!!!","")</f>
        <v/>
      </c>
      <c r="F3131" s="23" t="str">
        <f>IF(OR(E3131="",E3131="!!!"),"",IF(NOT(ISNA(VLOOKUP(E3131,E$1:E3130,1,FALSE()))),"OLD",IF(AND(E3131&lt;&gt;"",E3131&lt;&gt;"!!!"),"NEW","")))</f>
        <v> </v>
      </c>
      <c r="G3131" s="24" t="str">
        <f>IF(OR(E3131="",E3131="!!!"),"",IF(OR(J3131=0,AND(J3131=1,K3131=1),AND(J3131=1,I3131="SBJ"),AND(J3131=1,I3131=0)),"?IN_FOCUS",IF(J3131&lt;=2,"?ACTIVATED",IF(J3131&lt;&gt;"","?FAMILIAR",IF(F3131="NEW",IF(ISNA(VLOOKUP(E3131,#REF!,1,FALSE())),"?TYPE_IDENTIFIABLE","?REFERENTIAL"),"_")))))</f>
        <v> </v>
      </c>
      <c r="H3131" s="25" t="str">
        <f>IF(J3131&lt;&gt;1,"",IF(I3131="SBJ","CB","?"))</f>
        <v> </v>
      </c>
      <c r="I3131" s="26" t="str">
        <f>IF(OR(E3131="",E3131="!!!",F3131="NEW"),"",INDEX(B3130:B$2,-1+SUMPRODUCT(MAX(ROW(E3130:E$2)*(E3131=E3130:E$2)))))</f>
        <v> </v>
      </c>
      <c r="J3131" s="26" t="str">
        <f>IF(OR(E3131="",E3131="!!!",F3131="NEW"),"",COUNTBLANK(OFFSET(A$1,,,SUMPRODUCT(MAX(ROW(E$2:E3131)*(E3131=E$2:E3131)))))-COUNTBLANK(OFFSET(A$1,,,SUMPRODUCT(MAX(ROW(E$1:E3130)*(E2=E$1:E3130))))))</f>
        <v> </v>
      </c>
      <c r="K3131" s="26" t="str">
        <f>IF(OR(E3131="",E3131="!!!",F3131="NEW"),"",INDEX(J$1:J3130,SUMPRODUCT(MAX(ROW(E$1:E3130)*(E3131=E$1:E3130)))))</f>
        <v> </v>
      </c>
      <c r="L3131" s="27"/>
    </row>
    <row r="3132" spans="1:12">
      <c r="A3132" s="20" t="s">
        <v>529</v>
      </c>
      <c r="E3132" s="22">
        <f>IF(D3132="?OLD","!!!","")</f>
        <v/>
      </c>
      <c r="F3132" s="23" t="str">
        <f>IF(OR(E3132="",E3132="!!!"),"",IF(NOT(ISNA(VLOOKUP(E3132,E$1:E3131,1,FALSE()))),"OLD",IF(AND(E3132&lt;&gt;"",E3132&lt;&gt;"!!!"),"NEW","")))</f>
        <v> </v>
      </c>
      <c r="G3132" s="24" t="str">
        <f>IF(OR(E3132="",E3132="!!!"),"",IF(OR(J3132=0,AND(J3132=1,K3132=1),AND(J3132=1,I3132="SBJ"),AND(J3132=1,I3132=0)),"?IN_FOCUS",IF(J3132&lt;=2,"?ACTIVATED",IF(J3132&lt;&gt;"","?FAMILIAR",IF(F3132="NEW",IF(ISNA(VLOOKUP(E3132,#REF!,1,FALSE())),"?TYPE_IDENTIFIABLE","?REFERENTIAL"),"_")))))</f>
        <v> </v>
      </c>
      <c r="H3132" s="25" t="str">
        <f>IF(J3132&lt;&gt;1,"",IF(I3132="SBJ","CB","?"))</f>
        <v> </v>
      </c>
      <c r="I3132" s="26" t="str">
        <f>IF(OR(E3132="",E3132="!!!",F3132="NEW"),"",INDEX(B3131:B$2,-1+SUMPRODUCT(MAX(ROW(E3131:E$2)*(E3132=E3131:E$2)))))</f>
        <v> </v>
      </c>
      <c r="J3132" s="26" t="str">
        <f>IF(OR(E3132="",E3132="!!!",F3132="NEW"),"",COUNTBLANK(OFFSET(A$1,,,SUMPRODUCT(MAX(ROW(E$2:E3132)*(E3132=E$2:E3132)))))-COUNTBLANK(OFFSET(A$1,,,SUMPRODUCT(MAX(ROW(E$1:E3131)*(E2=E$1:E3131))))))</f>
        <v> </v>
      </c>
      <c r="K3132" s="26" t="str">
        <f>IF(OR(E3132="",E3132="!!!",F3132="NEW"),"",INDEX(J$1:J3131,SUMPRODUCT(MAX(ROW(E$1:E3131)*(E3132=E$1:E3131)))))</f>
        <v> </v>
      </c>
      <c r="L3132" s="27"/>
    </row>
    <row r="3133" spans="1:12">
      <c r="A3133" s="20" t="s">
        <v>759</v>
      </c>
      <c r="E3133" s="22">
        <f>IF(D3133="?OLD","!!!","")</f>
        <v/>
      </c>
      <c r="F3133" s="23" t="str">
        <f>IF(OR(E3133="",E3133="!!!"),"",IF(NOT(ISNA(VLOOKUP(E3133,E$1:E3132,1,FALSE()))),"OLD",IF(AND(E3133&lt;&gt;"",E3133&lt;&gt;"!!!"),"NEW","")))</f>
        <v> </v>
      </c>
      <c r="G3133" s="24" t="str">
        <f>IF(OR(E3133="",E3133="!!!"),"",IF(OR(J3133=0,AND(J3133=1,K3133=1),AND(J3133=1,I3133="SBJ"),AND(J3133=1,I3133=0)),"?IN_FOCUS",IF(J3133&lt;=2,"?ACTIVATED",IF(J3133&lt;&gt;"","?FAMILIAR",IF(F3133="NEW",IF(ISNA(VLOOKUP(E3133,#REF!,1,FALSE())),"?TYPE_IDENTIFIABLE","?REFERENTIAL"),"_")))))</f>
        <v> </v>
      </c>
      <c r="H3133" s="25" t="str">
        <f>IF(J3133&lt;&gt;1,"",IF(I3133="SBJ","CB","?"))</f>
        <v> </v>
      </c>
      <c r="I3133" s="26" t="str">
        <f>IF(OR(E3133="",E3133="!!!",F3133="NEW"),"",INDEX(B3132:B$2,-1+SUMPRODUCT(MAX(ROW(E3132:E$2)*(E3133=E3132:E$2)))))</f>
        <v> </v>
      </c>
      <c r="J3133" s="26" t="str">
        <f>IF(OR(E3133="",E3133="!!!",F3133="NEW"),"",COUNTBLANK(OFFSET(A$1,,,SUMPRODUCT(MAX(ROW(E$2:E3133)*(E3133=E$2:E3133)))))-COUNTBLANK(OFFSET(A$1,,,SUMPRODUCT(MAX(ROW(E$1:E3132)*(E2=E$1:E3132))))))</f>
        <v> </v>
      </c>
      <c r="K3133" s="26" t="str">
        <f>IF(OR(E3133="",E3133="!!!",F3133="NEW"),"",INDEX(J$1:J3132,SUMPRODUCT(MAX(ROW(E$1:E3132)*(E3133=E$1:E3132)))))</f>
        <v> </v>
      </c>
      <c r="L3133" s="27"/>
    </row>
    <row r="3134" spans="1:12">
      <c r="A3134" s="20" t="s">
        <v>1844</v>
      </c>
      <c r="E3134" s="22">
        <f>IF(D3134="?OLD","!!!","")</f>
        <v/>
      </c>
      <c r="F3134" s="23" t="str">
        <f>IF(OR(E3134="",E3134="!!!"),"",IF(NOT(ISNA(VLOOKUP(E3134,E$1:E3133,1,FALSE()))),"OLD",IF(AND(E3134&lt;&gt;"",E3134&lt;&gt;"!!!"),"NEW","")))</f>
        <v> </v>
      </c>
      <c r="G3134" s="24" t="str">
        <f>IF(OR(E3134="",E3134="!!!"),"",IF(OR(J3134=0,AND(J3134=1,K3134=1),AND(J3134=1,I3134="SBJ"),AND(J3134=1,I3134=0)),"?IN_FOCUS",IF(J3134&lt;=2,"?ACTIVATED",IF(J3134&lt;&gt;"","?FAMILIAR",IF(F3134="NEW",IF(ISNA(VLOOKUP(E3134,#REF!,1,FALSE())),"?TYPE_IDENTIFIABLE","?REFERENTIAL"),"_")))))</f>
        <v> </v>
      </c>
      <c r="H3134" s="25" t="str">
        <f>IF(J3134&lt;&gt;1,"",IF(I3134="SBJ","CB","?"))</f>
        <v> </v>
      </c>
      <c r="I3134" s="26" t="str">
        <f>IF(OR(E3134="",E3134="!!!",F3134="NEW"),"",INDEX(B3133:B$2,-1+SUMPRODUCT(MAX(ROW(E3133:E$2)*(E3134=E3133:E$2)))))</f>
        <v> </v>
      </c>
      <c r="J3134" s="26" t="str">
        <f>IF(OR(E3134="",E3134="!!!",F3134="NEW"),"",COUNTBLANK(OFFSET(A$1,,,SUMPRODUCT(MAX(ROW(E$2:E3134)*(E3134=E$2:E3134)))))-COUNTBLANK(OFFSET(A$1,,,SUMPRODUCT(MAX(ROW(E$1:E3133)*(E2=E$1:E3133))))))</f>
        <v> </v>
      </c>
      <c r="K3134" s="26" t="str">
        <f>IF(OR(E3134="",E3134="!!!",F3134="NEW"),"",INDEX(J$1:J3133,SUMPRODUCT(MAX(ROW(E$1:E3133)*(E3134=E$1:E3133)))))</f>
        <v> </v>
      </c>
      <c r="L3134" s="27"/>
    </row>
    <row r="3135" spans="1:12">
      <c r="A3135" s="20" t="s">
        <v>750</v>
      </c>
      <c r="B3135" s="21" t="s">
        <v>728</v>
      </c>
      <c r="C3135" s="21" t="s">
        <v>729</v>
      </c>
      <c r="D3135" s="21" t="s">
        <v>730</v>
      </c>
      <c r="E3135" s="22">
        <f>IF(D3135="?OLD","!!!","")</f>
        <v/>
      </c>
      <c r="F3135" s="23" t="str">
        <f>IF(OR(E3135="",E3135="!!!"),"",IF(NOT(ISNA(VLOOKUP(E3135,E$1:E3134,1,FALSE()))),"OLD",IF(AND(E3135&lt;&gt;"",E3135&lt;&gt;"!!!"),"NEW","")))</f>
        <v> </v>
      </c>
      <c r="G3135" s="24" t="str">
        <f>IF(OR(E3135="",E3135="!!!"),"",IF(OR(J3135=0,AND(J3135=1,K3135=1),AND(J3135=1,I3135="SBJ"),AND(J3135=1,I3135=0)),"?IN_FOCUS",IF(J3135&lt;=2,"?ACTIVATED",IF(J3135&lt;&gt;"","?FAMILIAR",IF(F3135="NEW",IF(ISNA(VLOOKUP(E3135,#REF!,1,FALSE())),"?TYPE_IDENTIFIABLE","?REFERENTIAL"),"_")))))</f>
        <v> </v>
      </c>
      <c r="H3135" s="25" t="str">
        <f>IF(J3135&lt;&gt;1,"",IF(I3135="SBJ","CB","?"))</f>
        <v> </v>
      </c>
      <c r="I3135" s="26" t="str">
        <f>IF(OR(E3135="",E3135="!!!",F3135="NEW"),"",INDEX(B3134:B$2,-1+SUMPRODUCT(MAX(ROW(E3134:E$2)*(E3135=E3134:E$2)))))</f>
        <v> </v>
      </c>
      <c r="J3135" s="26" t="str">
        <f>IF(OR(E3135="",E3135="!!!",F3135="NEW"),"",COUNTBLANK(OFFSET(A$1,,,SUMPRODUCT(MAX(ROW(E$2:E3135)*(E3135=E$2:E3135)))))-COUNTBLANK(OFFSET(A$1,,,SUMPRODUCT(MAX(ROW(E$1:E3134)*(E2=E$1:E3134))))))</f>
        <v> </v>
      </c>
      <c r="K3135" s="26" t="str">
        <f>IF(OR(E3135="",E3135="!!!",F3135="NEW"),"",INDEX(J$1:J3134,SUMPRODUCT(MAX(ROW(E$1:E3134)*(E3135=E$1:E3134)))))</f>
        <v> </v>
      </c>
      <c r="L3135" s="27"/>
    </row>
    <row r="3136" spans="1:12">
      <c r="A3136" s="20" t="s">
        <v>1845</v>
      </c>
      <c r="B3136" s="21" t="s">
        <v>791</v>
      </c>
      <c r="E3136" s="22">
        <f>IF(D3136="?OLD","!!!","")</f>
        <v/>
      </c>
      <c r="F3136" s="23" t="str">
        <f>IF(OR(E3136="",E3136="!!!"),"",IF(NOT(ISNA(VLOOKUP(E3136,E$1:E3135,1,FALSE()))),"OLD",IF(AND(E3136&lt;&gt;"",E3136&lt;&gt;"!!!"),"NEW","")))</f>
        <v> </v>
      </c>
      <c r="G3136" s="24" t="str">
        <f>IF(OR(E3136="",E3136="!!!"),"",IF(OR(J3136=0,AND(J3136=1,K3136=1),AND(J3136=1,I3136="SBJ"),AND(J3136=1,I3136=0)),"?IN_FOCUS",IF(J3136&lt;=2,"?ACTIVATED",IF(J3136&lt;&gt;"","?FAMILIAR",IF(F3136="NEW",IF(ISNA(VLOOKUP(E3136,#REF!,1,FALSE())),"?TYPE_IDENTIFIABLE","?REFERENTIAL"),"_")))))</f>
        <v> </v>
      </c>
      <c r="H3136" s="25" t="str">
        <f>IF(J3136&lt;&gt;1,"",IF(I3136="SBJ","CB","?"))</f>
        <v> </v>
      </c>
      <c r="I3136" s="26" t="str">
        <f>IF(OR(E3136="",E3136="!!!",F3136="NEW"),"",INDEX(B3135:B$2,-1+SUMPRODUCT(MAX(ROW(E3135:E$2)*(E3136=E3135:E$2)))))</f>
        <v> </v>
      </c>
      <c r="J3136" s="26" t="str">
        <f>IF(OR(E3136="",E3136="!!!",F3136="NEW"),"",COUNTBLANK(OFFSET(A$1,,,SUMPRODUCT(MAX(ROW(E$2:E3136)*(E3136=E$2:E3136)))))-COUNTBLANK(OFFSET(A$1,,,SUMPRODUCT(MAX(ROW(E$1:E3135)*(E2=E$1:E3135))))))</f>
        <v> </v>
      </c>
      <c r="K3136" s="26" t="str">
        <f>IF(OR(E3136="",E3136="!!!",F3136="NEW"),"",INDEX(J$1:J3135,SUMPRODUCT(MAX(ROW(E$1:E3135)*(E3136=E$1:E3135)))))</f>
        <v> </v>
      </c>
      <c r="L3136" s="27"/>
    </row>
    <row r="3137" spans="1:12">
      <c r="A3137" s="20" t="s">
        <v>1739</v>
      </c>
      <c r="B3137" s="21" t="s">
        <v>791</v>
      </c>
      <c r="C3137" s="21" t="s">
        <v>748</v>
      </c>
      <c r="E3137" s="22">
        <f>IF(D3137="?OLD","!!!","")</f>
        <v/>
      </c>
      <c r="F3137" s="23" t="str">
        <f>IF(OR(E3137="",E3137="!!!"),"",IF(NOT(ISNA(VLOOKUP(E3137,E$1:E3136,1,FALSE()))),"OLD",IF(AND(E3137&lt;&gt;"",E3137&lt;&gt;"!!!"),"NEW","")))</f>
        <v> </v>
      </c>
      <c r="G3137" s="24" t="str">
        <f>IF(OR(E3137="",E3137="!!!"),"",IF(OR(J3137=0,AND(J3137=1,K3137=1),AND(J3137=1,I3137="SBJ"),AND(J3137=1,I3137=0)),"?IN_FOCUS",IF(J3137&lt;=2,"?ACTIVATED",IF(J3137&lt;&gt;"","?FAMILIAR",IF(F3137="NEW",IF(ISNA(VLOOKUP(E3137,#REF!,1,FALSE())),"?TYPE_IDENTIFIABLE","?REFERENTIAL"),"_")))))</f>
        <v> </v>
      </c>
      <c r="H3137" s="25" t="str">
        <f>IF(J3137&lt;&gt;1,"",IF(I3137="SBJ","CB","?"))</f>
        <v> </v>
      </c>
      <c r="I3137" s="26" t="str">
        <f>IF(OR(E3137="",E3137="!!!",F3137="NEW"),"",INDEX(B3136:B$2,-1+SUMPRODUCT(MAX(ROW(E3136:E$2)*(E3137=E3136:E$2)))))</f>
        <v> </v>
      </c>
      <c r="J3137" s="26" t="str">
        <f>IF(OR(E3137="",E3137="!!!",F3137="NEW"),"",COUNTBLANK(OFFSET(A$1,,,SUMPRODUCT(MAX(ROW(E$2:E3137)*(E3137=E$2:E3137)))))-COUNTBLANK(OFFSET(A$1,,,SUMPRODUCT(MAX(ROW(E$1:E3136)*(E2=E$1:E3136))))))</f>
        <v> </v>
      </c>
      <c r="K3137" s="26" t="str">
        <f>IF(OR(E3137="",E3137="!!!",F3137="NEW"),"",INDEX(J$1:J3136,SUMPRODUCT(MAX(ROW(E$1:E3136)*(E3137=E$1:E3136)))))</f>
        <v> </v>
      </c>
      <c r="L3137" s="27"/>
    </row>
    <row r="3138" spans="1:12">
      <c r="A3138" s="20" t="s">
        <v>1846</v>
      </c>
      <c r="E3138" s="22">
        <f>IF(D3138="?OLD","!!!","")</f>
        <v/>
      </c>
      <c r="F3138" s="23" t="str">
        <f>IF(OR(E3138="",E3138="!!!"),"",IF(NOT(ISNA(VLOOKUP(E3138,E$1:E3137,1,FALSE()))),"OLD",IF(AND(E3138&lt;&gt;"",E3138&lt;&gt;"!!!"),"NEW","")))</f>
        <v> </v>
      </c>
      <c r="G3138" s="24" t="str">
        <f>IF(OR(E3138="",E3138="!!!"),"",IF(OR(J3138=0,AND(J3138=1,K3138=1),AND(J3138=1,I3138="SBJ"),AND(J3138=1,I3138=0)),"?IN_FOCUS",IF(J3138&lt;=2,"?ACTIVATED",IF(J3138&lt;&gt;"","?FAMILIAR",IF(F3138="NEW",IF(ISNA(VLOOKUP(E3138,#REF!,1,FALSE())),"?TYPE_IDENTIFIABLE","?REFERENTIAL"),"_")))))</f>
        <v> </v>
      </c>
      <c r="H3138" s="25" t="str">
        <f>IF(J3138&lt;&gt;1,"",IF(I3138="SBJ","CB","?"))</f>
        <v> </v>
      </c>
      <c r="I3138" s="26" t="str">
        <f>IF(OR(E3138="",E3138="!!!",F3138="NEW"),"",INDEX(B3137:B$2,-1+SUMPRODUCT(MAX(ROW(E3137:E$2)*(E3138=E3137:E$2)))))</f>
        <v> </v>
      </c>
      <c r="J3138" s="26" t="str">
        <f>IF(OR(E3138="",E3138="!!!",F3138="NEW"),"",COUNTBLANK(OFFSET(A$1,,,SUMPRODUCT(MAX(ROW(E$2:E3138)*(E3138=E$2:E3138)))))-COUNTBLANK(OFFSET(A$1,,,SUMPRODUCT(MAX(ROW(E$1:E3137)*(E2=E$1:E3137))))))</f>
        <v> </v>
      </c>
      <c r="K3138" s="26" t="str">
        <f>IF(OR(E3138="",E3138="!!!",F3138="NEW"),"",INDEX(J$1:J3137,SUMPRODUCT(MAX(ROW(E$1:E3137)*(E3138=E$1:E3137)))))</f>
        <v> </v>
      </c>
      <c r="L3138" s="27"/>
    </row>
    <row r="3139" spans="1:12">
      <c r="A3139" s="20" t="s">
        <v>759</v>
      </c>
      <c r="E3139" s="22">
        <f>IF(D3139="?OLD","!!!","")</f>
        <v/>
      </c>
      <c r="F3139" s="23" t="str">
        <f>IF(OR(E3139="",E3139="!!!"),"",IF(NOT(ISNA(VLOOKUP(E3139,E$1:E3138,1,FALSE()))),"OLD",IF(AND(E3139&lt;&gt;"",E3139&lt;&gt;"!!!"),"NEW","")))</f>
        <v> </v>
      </c>
      <c r="G3139" s="24" t="str">
        <f>IF(OR(E3139="",E3139="!!!"),"",IF(OR(J3139=0,AND(J3139=1,K3139=1),AND(J3139=1,I3139="SBJ"),AND(J3139=1,I3139=0)),"?IN_FOCUS",IF(J3139&lt;=2,"?ACTIVATED",IF(J3139&lt;&gt;"","?FAMILIAR",IF(F3139="NEW",IF(ISNA(VLOOKUP(E3139,#REF!,1,FALSE())),"?TYPE_IDENTIFIABLE","?REFERENTIAL"),"_")))))</f>
        <v> </v>
      </c>
      <c r="H3139" s="25" t="str">
        <f>IF(J3139&lt;&gt;1,"",IF(I3139="SBJ","CB","?"))</f>
        <v> </v>
      </c>
      <c r="I3139" s="26" t="str">
        <f>IF(OR(E3139="",E3139="!!!",F3139="NEW"),"",INDEX(B3138:B$2,-1+SUMPRODUCT(MAX(ROW(E3138:E$2)*(E3139=E3138:E$2)))))</f>
        <v> </v>
      </c>
      <c r="J3139" s="26" t="str">
        <f>IF(OR(E3139="",E3139="!!!",F3139="NEW"),"",COUNTBLANK(OFFSET(A$1,,,SUMPRODUCT(MAX(ROW(E$2:E3139)*(E3139=E$2:E3139)))))-COUNTBLANK(OFFSET(A$1,,,SUMPRODUCT(MAX(ROW(E$1:E3138)*(E2=E$1:E3138))))))</f>
        <v> </v>
      </c>
      <c r="K3139" s="26" t="str">
        <f>IF(OR(E3139="",E3139="!!!",F3139="NEW"),"",INDEX(J$1:J3138,SUMPRODUCT(MAX(ROW(E$1:E3138)*(E3139=E$1:E3138)))))</f>
        <v> </v>
      </c>
      <c r="L3139" s="27"/>
    </row>
    <row r="3140" spans="1:12">
      <c r="A3140" s="20" t="s">
        <v>971</v>
      </c>
      <c r="E3140" s="22">
        <f>IF(D3140="?OLD","!!!","")</f>
        <v/>
      </c>
      <c r="F3140" s="23" t="str">
        <f>IF(OR(E3140="",E3140="!!!"),"",IF(NOT(ISNA(VLOOKUP(E3140,E$1:E3139,1,FALSE()))),"OLD",IF(AND(E3140&lt;&gt;"",E3140&lt;&gt;"!!!"),"NEW","")))</f>
        <v> </v>
      </c>
      <c r="G3140" s="24" t="str">
        <f>IF(OR(E3140="",E3140="!!!"),"",IF(OR(J3140=0,AND(J3140=1,K3140=1),AND(J3140=1,I3140="SBJ"),AND(J3140=1,I3140=0)),"?IN_FOCUS",IF(J3140&lt;=2,"?ACTIVATED",IF(J3140&lt;&gt;"","?FAMILIAR",IF(F3140="NEW",IF(ISNA(VLOOKUP(E3140,#REF!,1,FALSE())),"?TYPE_IDENTIFIABLE","?REFERENTIAL"),"_")))))</f>
        <v> </v>
      </c>
      <c r="H3140" s="25" t="str">
        <f>IF(J3140&lt;&gt;1,"",IF(I3140="SBJ","CB","?"))</f>
        <v> </v>
      </c>
      <c r="I3140" s="26" t="str">
        <f>IF(OR(E3140="",E3140="!!!",F3140="NEW"),"",INDEX(B3139:B$2,-1+SUMPRODUCT(MAX(ROW(E3139:E$2)*(E3140=E3139:E$2)))))</f>
        <v> </v>
      </c>
      <c r="J3140" s="26" t="str">
        <f>IF(OR(E3140="",E3140="!!!",F3140="NEW"),"",COUNTBLANK(OFFSET(A$1,,,SUMPRODUCT(MAX(ROW(E$2:E3140)*(E3140=E$2:E3140)))))-COUNTBLANK(OFFSET(A$1,,,SUMPRODUCT(MAX(ROW(E$1:E3139)*(E2=E$1:E3139))))))</f>
        <v> </v>
      </c>
      <c r="K3140" s="26" t="str">
        <f>IF(OR(E3140="",E3140="!!!",F3140="NEW"),"",INDEX(J$1:J3139,SUMPRODUCT(MAX(ROW(E$1:E3139)*(E3140=E$1:E3139)))))</f>
        <v> </v>
      </c>
      <c r="L3140" s="27"/>
    </row>
    <row r="3141" spans="1:12">
      <c r="A3141" s="20" t="s">
        <v>808</v>
      </c>
      <c r="E3141" s="22">
        <f>IF(D3141="?OLD","!!!","")</f>
        <v/>
      </c>
      <c r="F3141" s="23" t="str">
        <f>IF(OR(E3141="",E3141="!!!"),"",IF(NOT(ISNA(VLOOKUP(E3141,E$1:E3140,1,FALSE()))),"OLD",IF(AND(E3141&lt;&gt;"",E3141&lt;&gt;"!!!"),"NEW","")))</f>
        <v> </v>
      </c>
      <c r="G3141" s="24" t="str">
        <f>IF(OR(E3141="",E3141="!!!"),"",IF(OR(J3141=0,AND(J3141=1,K3141=1),AND(J3141=1,I3141="SBJ"),AND(J3141=1,I3141=0)),"?IN_FOCUS",IF(J3141&lt;=2,"?ACTIVATED",IF(J3141&lt;&gt;"","?FAMILIAR",IF(F3141="NEW",IF(ISNA(VLOOKUP(E3141,#REF!,1,FALSE())),"?TYPE_IDENTIFIABLE","?REFERENTIAL"),"_")))))</f>
        <v> </v>
      </c>
      <c r="H3141" s="25" t="str">
        <f>IF(J3141&lt;&gt;1,"",IF(I3141="SBJ","CB","?"))</f>
        <v> </v>
      </c>
      <c r="I3141" s="26" t="str">
        <f>IF(OR(E3141="",E3141="!!!",F3141="NEW"),"",INDEX(B3140:B$2,-1+SUMPRODUCT(MAX(ROW(E3140:E$2)*(E3141=E3140:E$2)))))</f>
        <v> </v>
      </c>
      <c r="J3141" s="26" t="str">
        <f>IF(OR(E3141="",E3141="!!!",F3141="NEW"),"",COUNTBLANK(OFFSET(A$1,,,SUMPRODUCT(MAX(ROW(E$2:E3141)*(E3141=E$2:E3141)))))-COUNTBLANK(OFFSET(A$1,,,SUMPRODUCT(MAX(ROW(E$1:E3140)*(E2=E$1:E3140))))))</f>
        <v> </v>
      </c>
      <c r="K3141" s="26" t="str">
        <f>IF(OR(E3141="",E3141="!!!",F3141="NEW"),"",INDEX(J$1:J3140,SUMPRODUCT(MAX(ROW(E$1:E3140)*(E3141=E$1:E3140)))))</f>
        <v> </v>
      </c>
      <c r="L3141" s="27"/>
    </row>
    <row r="3142" spans="1:12">
      <c r="A3142" s="20" t="s">
        <v>1450</v>
      </c>
      <c r="B3142" s="21" t="s">
        <v>796</v>
      </c>
      <c r="C3142" s="21" t="s">
        <v>756</v>
      </c>
      <c r="E3142" s="22">
        <f>IF(D3142="?OLD","!!!","")</f>
        <v/>
      </c>
      <c r="F3142" s="23" t="str">
        <f>IF(OR(E3142="",E3142="!!!"),"",IF(NOT(ISNA(VLOOKUP(E3142,E$1:E3141,1,FALSE()))),"OLD",IF(AND(E3142&lt;&gt;"",E3142&lt;&gt;"!!!"),"NEW","")))</f>
        <v> </v>
      </c>
      <c r="G3142" s="24" t="str">
        <f>IF(OR(E3142="",E3142="!!!"),"",IF(OR(J3142=0,AND(J3142=1,K3142=1),AND(J3142=1,I3142="SBJ"),AND(J3142=1,I3142=0)),"?IN_FOCUS",IF(J3142&lt;=2,"?ACTIVATED",IF(J3142&lt;&gt;"","?FAMILIAR",IF(F3142="NEW",IF(ISNA(VLOOKUP(E3142,#REF!,1,FALSE())),"?TYPE_IDENTIFIABLE","?REFERENTIAL"),"_")))))</f>
        <v> </v>
      </c>
      <c r="H3142" s="25" t="str">
        <f>IF(J3142&lt;&gt;1,"",IF(I3142="SBJ","CB","?"))</f>
        <v> </v>
      </c>
      <c r="I3142" s="26" t="str">
        <f>IF(OR(E3142="",E3142="!!!",F3142="NEW"),"",INDEX(B3141:B$2,-1+SUMPRODUCT(MAX(ROW(E3141:E$2)*(E3142=E3141:E$2)))))</f>
        <v> </v>
      </c>
      <c r="J3142" s="26" t="str">
        <f>IF(OR(E3142="",E3142="!!!",F3142="NEW"),"",COUNTBLANK(OFFSET(A$1,,,SUMPRODUCT(MAX(ROW(E$2:E3142)*(E3142=E$2:E3142)))))-COUNTBLANK(OFFSET(A$1,,,SUMPRODUCT(MAX(ROW(E$1:E3141)*(E2=E$1:E3141))))))</f>
        <v> </v>
      </c>
      <c r="K3142" s="26" t="str">
        <f>IF(OR(E3142="",E3142="!!!",F3142="NEW"),"",INDEX(J$1:J3141,SUMPRODUCT(MAX(ROW(E$1:E3141)*(E3142=E$1:E3141)))))</f>
        <v> </v>
      </c>
      <c r="L3142" s="27"/>
    </row>
    <row r="3143" spans="1:12">
      <c r="A3143" s="20" t="s">
        <v>106</v>
      </c>
      <c r="E3143" s="22">
        <f>IF(D3143="?OLD","!!!","")</f>
        <v/>
      </c>
      <c r="F3143" s="23" t="str">
        <f>IF(OR(E3143="",E3143="!!!"),"",IF(NOT(ISNA(VLOOKUP(E3143,E$1:E3142,1,FALSE()))),"OLD",IF(AND(E3143&lt;&gt;"",E3143&lt;&gt;"!!!"),"NEW","")))</f>
        <v> </v>
      </c>
      <c r="G3143" s="24" t="str">
        <f>IF(OR(E3143="",E3143="!!!"),"",IF(OR(J3143=0,AND(J3143=1,K3143=1),AND(J3143=1,I3143="SBJ"),AND(J3143=1,I3143=0)),"?IN_FOCUS",IF(J3143&lt;=2,"?ACTIVATED",IF(J3143&lt;&gt;"","?FAMILIAR",IF(F3143="NEW",IF(ISNA(VLOOKUP(E3143,#REF!,1,FALSE())),"?TYPE_IDENTIFIABLE","?REFERENTIAL"),"_")))))</f>
        <v> </v>
      </c>
      <c r="H3143" s="25" t="str">
        <f>IF(J3143&lt;&gt;1,"",IF(I3143="SBJ","CB","?"))</f>
        <v> </v>
      </c>
      <c r="I3143" s="26" t="str">
        <f>IF(OR(E3143="",E3143="!!!",F3143="NEW"),"",INDEX(B3142:B$2,-1+SUMPRODUCT(MAX(ROW(E3142:E$2)*(E3143=E3142:E$2)))))</f>
        <v> </v>
      </c>
      <c r="J3143" s="26" t="str">
        <f>IF(OR(E3143="",E3143="!!!",F3143="NEW"),"",COUNTBLANK(OFFSET(A$1,,,SUMPRODUCT(MAX(ROW(E$2:E3143)*(E3143=E$2:E3143)))))-COUNTBLANK(OFFSET(A$1,,,SUMPRODUCT(MAX(ROW(E$1:E3142)*(E2=E$1:E3142))))))</f>
        <v> </v>
      </c>
      <c r="K3143" s="26" t="str">
        <f>IF(OR(E3143="",E3143="!!!",F3143="NEW"),"",INDEX(J$1:J3142,SUMPRODUCT(MAX(ROW(E$1:E3142)*(E3143=E$1:E3142)))))</f>
        <v> </v>
      </c>
      <c r="L3143" s="27"/>
    </row>
    <row r="3144" spans="1:12">
      <c r="A3144" s="20" t="s">
        <v>1796</v>
      </c>
      <c r="B3144" s="21" t="s">
        <v>791</v>
      </c>
      <c r="C3144" s="21" t="s">
        <v>852</v>
      </c>
      <c r="E3144" s="22">
        <f>IF(D3144="?OLD","!!!","")</f>
        <v/>
      </c>
      <c r="F3144" s="23" t="str">
        <f>IF(OR(E3144="",E3144="!!!"),"",IF(NOT(ISNA(VLOOKUP(E3144,E$1:E3143,1,FALSE()))),"OLD",IF(AND(E3144&lt;&gt;"",E3144&lt;&gt;"!!!"),"NEW","")))</f>
        <v> </v>
      </c>
      <c r="G3144" s="24" t="str">
        <f>IF(OR(E3144="",E3144="!!!"),"",IF(OR(J3144=0,AND(J3144=1,K3144=1),AND(J3144=1,I3144="SBJ"),AND(J3144=1,I3144=0)),"?IN_FOCUS",IF(J3144&lt;=2,"?ACTIVATED",IF(J3144&lt;&gt;"","?FAMILIAR",IF(F3144="NEW",IF(ISNA(VLOOKUP(E3144,#REF!,1,FALSE())),"?TYPE_IDENTIFIABLE","?REFERENTIAL"),"_")))))</f>
        <v> </v>
      </c>
      <c r="H3144" s="25" t="str">
        <f>IF(J3144&lt;&gt;1,"",IF(I3144="SBJ","CB","?"))</f>
        <v> </v>
      </c>
      <c r="I3144" s="26" t="str">
        <f>IF(OR(E3144="",E3144="!!!",F3144="NEW"),"",INDEX(B3143:B$2,-1+SUMPRODUCT(MAX(ROW(E3143:E$2)*(E3144=E3143:E$2)))))</f>
        <v> </v>
      </c>
      <c r="J3144" s="26" t="str">
        <f>IF(OR(E3144="",E3144="!!!",F3144="NEW"),"",COUNTBLANK(OFFSET(A$1,,,SUMPRODUCT(MAX(ROW(E$2:E3144)*(E3144=E$2:E3144)))))-COUNTBLANK(OFFSET(A$1,,,SUMPRODUCT(MAX(ROW(E$1:E3143)*(E2=E$1:E3143))))))</f>
        <v> </v>
      </c>
      <c r="K3144" s="26" t="str">
        <f>IF(OR(E3144="",E3144="!!!",F3144="NEW"),"",INDEX(J$1:J3143,SUMPRODUCT(MAX(ROW(E$1:E3143)*(E3144=E$1:E3143)))))</f>
        <v> </v>
      </c>
      <c r="L3144" s="27"/>
    </row>
    <row r="3145" spans="1:12">
      <c r="A3145" s="20" t="s">
        <v>1847</v>
      </c>
      <c r="E3145" s="22">
        <f>IF(D3145="?OLD","!!!","")</f>
        <v/>
      </c>
      <c r="F3145" s="23" t="str">
        <f>IF(OR(E3145="",E3145="!!!"),"",IF(NOT(ISNA(VLOOKUP(E3145,E$1:E3144,1,FALSE()))),"OLD",IF(AND(E3145&lt;&gt;"",E3145&lt;&gt;"!!!"),"NEW","")))</f>
        <v> </v>
      </c>
      <c r="G3145" s="24" t="str">
        <f>IF(OR(E3145="",E3145="!!!"),"",IF(OR(J3145=0,AND(J3145=1,K3145=1),AND(J3145=1,I3145="SBJ"),AND(J3145=1,I3145=0)),"?IN_FOCUS",IF(J3145&lt;=2,"?ACTIVATED",IF(J3145&lt;&gt;"","?FAMILIAR",IF(F3145="NEW",IF(ISNA(VLOOKUP(E3145,#REF!,1,FALSE())),"?TYPE_IDENTIFIABLE","?REFERENTIAL"),"_")))))</f>
        <v> </v>
      </c>
      <c r="H3145" s="25" t="str">
        <f>IF(J3145&lt;&gt;1,"",IF(I3145="SBJ","CB","?"))</f>
        <v> </v>
      </c>
      <c r="I3145" s="26" t="str">
        <f>IF(OR(E3145="",E3145="!!!",F3145="NEW"),"",INDEX(B3144:B$2,-1+SUMPRODUCT(MAX(ROW(E3144:E$2)*(E3145=E3144:E$2)))))</f>
        <v> </v>
      </c>
      <c r="J3145" s="26" t="str">
        <f>IF(OR(E3145="",E3145="!!!",F3145="NEW"),"",COUNTBLANK(OFFSET(A$1,,,SUMPRODUCT(MAX(ROW(E$2:E3145)*(E3145=E$2:E3145)))))-COUNTBLANK(OFFSET(A$1,,,SUMPRODUCT(MAX(ROW(E$1:E3144)*(E2=E$1:E3144))))))</f>
        <v> </v>
      </c>
      <c r="K3145" s="26" t="str">
        <f>IF(OR(E3145="",E3145="!!!",F3145="NEW"),"",INDEX(J$1:J3144,SUMPRODUCT(MAX(ROW(E$1:E3144)*(E3145=E$1:E3144)))))</f>
        <v> </v>
      </c>
      <c r="L3145" s="27"/>
    </row>
    <row r="3146" spans="1:12">
      <c r="A3146" s="20" t="s">
        <v>785</v>
      </c>
      <c r="E3146" s="22">
        <f>IF(D3146="?OLD","!!!","")</f>
        <v/>
      </c>
      <c r="F3146" s="23" t="str">
        <f>IF(OR(E3146="",E3146="!!!"),"",IF(NOT(ISNA(VLOOKUP(E3146,E$1:E3145,1,FALSE()))),"OLD",IF(AND(E3146&lt;&gt;"",E3146&lt;&gt;"!!!"),"NEW","")))</f>
        <v> </v>
      </c>
      <c r="G3146" s="24" t="str">
        <f>IF(OR(E3146="",E3146="!!!"),"",IF(OR(J3146=0,AND(J3146=1,K3146=1),AND(J3146=1,I3146="SBJ"),AND(J3146=1,I3146=0)),"?IN_FOCUS",IF(J3146&lt;=2,"?ACTIVATED",IF(J3146&lt;&gt;"","?FAMILIAR",IF(F3146="NEW",IF(ISNA(VLOOKUP(E3146,#REF!,1,FALSE())),"?TYPE_IDENTIFIABLE","?REFERENTIAL"),"_")))))</f>
        <v> </v>
      </c>
      <c r="H3146" s="25" t="str">
        <f>IF(J3146&lt;&gt;1,"",IF(I3146="SBJ","CB","?"))</f>
        <v> </v>
      </c>
      <c r="I3146" s="26" t="str">
        <f>IF(OR(E3146="",E3146="!!!",F3146="NEW"),"",INDEX(B3145:B$2,-1+SUMPRODUCT(MAX(ROW(E3145:E$2)*(E3146=E3145:E$2)))))</f>
        <v> </v>
      </c>
      <c r="J3146" s="26" t="str">
        <f>IF(OR(E3146="",E3146="!!!",F3146="NEW"),"",COUNTBLANK(OFFSET(A$1,,,SUMPRODUCT(MAX(ROW(E$2:E3146)*(E3146=E$2:E3146)))))-COUNTBLANK(OFFSET(A$1,,,SUMPRODUCT(MAX(ROW(E$1:E3145)*(E2=E$1:E3145))))))</f>
        <v> </v>
      </c>
      <c r="K3146" s="26" t="str">
        <f>IF(OR(E3146="",E3146="!!!",F3146="NEW"),"",INDEX(J$1:J3145,SUMPRODUCT(MAX(ROW(E$1:E3145)*(E3146=E$1:E3145)))))</f>
        <v> </v>
      </c>
      <c r="L3146" s="27"/>
    </row>
    <row r="3147" spans="1:12">
      <c r="A3147" s="20" t="s">
        <v>804</v>
      </c>
      <c r="B3147" s="21" t="s">
        <v>843</v>
      </c>
      <c r="E3147" s="22">
        <f>IF(D3147="?OLD","!!!","")</f>
        <v/>
      </c>
      <c r="F3147" s="23" t="str">
        <f>IF(OR(E3147="",E3147="!!!"),"",IF(NOT(ISNA(VLOOKUP(E3147,E$1:E3146,1,FALSE()))),"OLD",IF(AND(E3147&lt;&gt;"",E3147&lt;&gt;"!!!"),"NEW","")))</f>
        <v> </v>
      </c>
      <c r="G3147" s="24" t="str">
        <f>IF(OR(E3147="",E3147="!!!"),"",IF(OR(J3147=0,AND(J3147=1,K3147=1),AND(J3147=1,I3147="SBJ"),AND(J3147=1,I3147=0)),"?IN_FOCUS",IF(J3147&lt;=2,"?ACTIVATED",IF(J3147&lt;&gt;"","?FAMILIAR",IF(F3147="NEW",IF(ISNA(VLOOKUP(E3147,#REF!,1,FALSE())),"?TYPE_IDENTIFIABLE","?REFERENTIAL"),"_")))))</f>
        <v> </v>
      </c>
      <c r="H3147" s="25" t="str">
        <f>IF(J3147&lt;&gt;1,"",IF(I3147="SBJ","CB","?"))</f>
        <v> </v>
      </c>
      <c r="I3147" s="26" t="str">
        <f>IF(OR(E3147="",E3147="!!!",F3147="NEW"),"",INDEX(B3146:B$2,-1+SUMPRODUCT(MAX(ROW(E3146:E$2)*(E3147=E3146:E$2)))))</f>
        <v> </v>
      </c>
      <c r="J3147" s="26" t="str">
        <f>IF(OR(E3147="",E3147="!!!",F3147="NEW"),"",COUNTBLANK(OFFSET(A$1,,,SUMPRODUCT(MAX(ROW(E$2:E3147)*(E3147=E$2:E3147)))))-COUNTBLANK(OFFSET(A$1,,,SUMPRODUCT(MAX(ROW(E$1:E3146)*(E2=E$1:E3146))))))</f>
        <v> </v>
      </c>
      <c r="K3147" s="26" t="str">
        <f>IF(OR(E3147="",E3147="!!!",F3147="NEW"),"",INDEX(J$1:J3146,SUMPRODUCT(MAX(ROW(E$1:E3146)*(E3147=E$1:E3146)))))</f>
        <v> </v>
      </c>
      <c r="L3147" s="27"/>
    </row>
    <row r="3148" spans="1:12">
      <c r="A3148" s="20" t="s">
        <v>773</v>
      </c>
      <c r="E3148" s="22">
        <f>IF(D3148="?OLD","!!!","")</f>
        <v/>
      </c>
      <c r="F3148" s="23" t="str">
        <f>IF(OR(E3148="",E3148="!!!"),"",IF(NOT(ISNA(VLOOKUP(E3148,E$1:E3147,1,FALSE()))),"OLD",IF(AND(E3148&lt;&gt;"",E3148&lt;&gt;"!!!"),"NEW","")))</f>
        <v> </v>
      </c>
      <c r="G3148" s="24" t="str">
        <f>IF(OR(E3148="",E3148="!!!"),"",IF(OR(J3148=0,AND(J3148=1,K3148=1),AND(J3148=1,I3148="SBJ"),AND(J3148=1,I3148=0)),"?IN_FOCUS",IF(J3148&lt;=2,"?ACTIVATED",IF(J3148&lt;&gt;"","?FAMILIAR",IF(F3148="NEW",IF(ISNA(VLOOKUP(E3148,#REF!,1,FALSE())),"?TYPE_IDENTIFIABLE","?REFERENTIAL"),"_")))))</f>
        <v> </v>
      </c>
      <c r="H3148" s="25" t="str">
        <f>IF(J3148&lt;&gt;1,"",IF(I3148="SBJ","CB","?"))</f>
        <v> </v>
      </c>
      <c r="I3148" s="26" t="str">
        <f>IF(OR(E3148="",E3148="!!!",F3148="NEW"),"",INDEX(B3147:B$2,-1+SUMPRODUCT(MAX(ROW(E3147:E$2)*(E3148=E3147:E$2)))))</f>
        <v> </v>
      </c>
      <c r="J3148" s="26" t="str">
        <f>IF(OR(E3148="",E3148="!!!",F3148="NEW"),"",COUNTBLANK(OFFSET(A$1,,,SUMPRODUCT(MAX(ROW(E$2:E3148)*(E3148=E$2:E3148)))))-COUNTBLANK(OFFSET(A$1,,,SUMPRODUCT(MAX(ROW(E$1:E3147)*(E2=E$1:E3147))))))</f>
        <v> </v>
      </c>
      <c r="K3148" s="26" t="str">
        <f>IF(OR(E3148="",E3148="!!!",F3148="NEW"),"",INDEX(J$1:J3147,SUMPRODUCT(MAX(ROW(E$1:E3147)*(E3148=E$1:E3147)))))</f>
        <v> </v>
      </c>
      <c r="L3148" s="27"/>
    </row>
    <row r="3149" spans="1:12">
      <c r="A3149" s="20" t="s">
        <v>751</v>
      </c>
      <c r="E3149" s="22">
        <f>IF(D3149="?OLD","!!!","")</f>
        <v/>
      </c>
      <c r="F3149" s="23" t="str">
        <f>IF(OR(E3149="",E3149="!!!"),"",IF(NOT(ISNA(VLOOKUP(E3149,E$1:E3148,1,FALSE()))),"OLD",IF(AND(E3149&lt;&gt;"",E3149&lt;&gt;"!!!"),"NEW","")))</f>
        <v> </v>
      </c>
      <c r="G3149" s="24" t="str">
        <f>IF(OR(E3149="",E3149="!!!"),"",IF(OR(J3149=0,AND(J3149=1,K3149=1),AND(J3149=1,I3149="SBJ"),AND(J3149=1,I3149=0)),"?IN_FOCUS",IF(J3149&lt;=2,"?ACTIVATED",IF(J3149&lt;&gt;"","?FAMILIAR",IF(F3149="NEW",IF(ISNA(VLOOKUP(E3149,#REF!,1,FALSE())),"?TYPE_IDENTIFIABLE","?REFERENTIAL"),"_")))))</f>
        <v> </v>
      </c>
      <c r="H3149" s="25" t="str">
        <f>IF(J3149&lt;&gt;1,"",IF(I3149="SBJ","CB","?"))</f>
        <v> </v>
      </c>
      <c r="I3149" s="26" t="str">
        <f>IF(OR(E3149="",E3149="!!!",F3149="NEW"),"",INDEX(B3148:B$2,-1+SUMPRODUCT(MAX(ROW(E3148:E$2)*(E3149=E3148:E$2)))))</f>
        <v> </v>
      </c>
      <c r="J3149" s="26" t="str">
        <f>IF(OR(E3149="",E3149="!!!",F3149="NEW"),"",COUNTBLANK(OFFSET(A$1,,,SUMPRODUCT(MAX(ROW(E$2:E3149)*(E3149=E$2:E3149)))))-COUNTBLANK(OFFSET(A$1,,,SUMPRODUCT(MAX(ROW(E$1:E3148)*(E2=E$1:E3148))))))</f>
        <v> </v>
      </c>
      <c r="K3149" s="26" t="str">
        <f>IF(OR(E3149="",E3149="!!!",F3149="NEW"),"",INDEX(J$1:J3148,SUMPRODUCT(MAX(ROW(E$1:E3148)*(E3149=E$1:E3148)))))</f>
        <v> </v>
      </c>
      <c r="L3149" s="27"/>
    </row>
    <row r="3150" spans="1:12">
      <c r="A3150" s="20" t="s">
        <v>1848</v>
      </c>
      <c r="B3150" s="21" t="s">
        <v>755</v>
      </c>
      <c r="C3150" s="21" t="s">
        <v>753</v>
      </c>
      <c r="D3150" s="21" t="s">
        <v>730</v>
      </c>
      <c r="E3150" s="22">
        <f>IF(D3150="?OLD","!!!","")</f>
        <v/>
      </c>
      <c r="F3150" s="23" t="str">
        <f>IF(OR(E3150="",E3150="!!!"),"",IF(NOT(ISNA(VLOOKUP(E3150,E$1:E3149,1,FALSE()))),"OLD",IF(AND(E3150&lt;&gt;"",E3150&lt;&gt;"!!!"),"NEW","")))</f>
        <v> </v>
      </c>
      <c r="G3150" s="24" t="str">
        <f>IF(OR(E3150="",E3150="!!!"),"",IF(OR(J3150=0,AND(J3150=1,K3150=1),AND(J3150=1,I3150="SBJ"),AND(J3150=1,I3150=0)),"?IN_FOCUS",IF(J3150&lt;=2,"?ACTIVATED",IF(J3150&lt;&gt;"","?FAMILIAR",IF(F3150="NEW",IF(ISNA(VLOOKUP(E3150,#REF!,1,FALSE())),"?TYPE_IDENTIFIABLE","?REFERENTIAL"),"_")))))</f>
        <v> </v>
      </c>
      <c r="H3150" s="25" t="str">
        <f>IF(J3150&lt;&gt;1,"",IF(I3150="SBJ","CB","?"))</f>
        <v> </v>
      </c>
      <c r="I3150" s="26" t="str">
        <f>IF(OR(E3150="",E3150="!!!",F3150="NEW"),"",INDEX(B3149:B$2,-1+SUMPRODUCT(MAX(ROW(E3149:E$2)*(E3150=E3149:E$2)))))</f>
        <v> </v>
      </c>
      <c r="J3150" s="26" t="str">
        <f>IF(OR(E3150="",E3150="!!!",F3150="NEW"),"",COUNTBLANK(OFFSET(A$1,,,SUMPRODUCT(MAX(ROW(E$2:E3150)*(E3150=E$2:E3150)))))-COUNTBLANK(OFFSET(A$1,,,SUMPRODUCT(MAX(ROW(E$1:E3149)*(E2=E$1:E3149))))))</f>
        <v> </v>
      </c>
      <c r="K3150" s="26" t="str">
        <f>IF(OR(E3150="",E3150="!!!",F3150="NEW"),"",INDEX(J$1:J3149,SUMPRODUCT(MAX(ROW(E$1:E3149)*(E3150=E$1:E3149)))))</f>
        <v> </v>
      </c>
      <c r="L3150" s="27"/>
    </row>
    <row r="3151" spans="1:12">
      <c r="A3151" s="20" t="s">
        <v>1849</v>
      </c>
      <c r="E3151" s="22">
        <f>IF(D3151="?OLD","!!!","")</f>
        <v/>
      </c>
      <c r="F3151" s="23" t="str">
        <f>IF(OR(E3151="",E3151="!!!"),"",IF(NOT(ISNA(VLOOKUP(E3151,E$1:E3150,1,FALSE()))),"OLD",IF(AND(E3151&lt;&gt;"",E3151&lt;&gt;"!!!"),"NEW","")))</f>
        <v> </v>
      </c>
      <c r="G3151" s="24" t="str">
        <f>IF(OR(E3151="",E3151="!!!"),"",IF(OR(J3151=0,AND(J3151=1,K3151=1),AND(J3151=1,I3151="SBJ"),AND(J3151=1,I3151=0)),"?IN_FOCUS",IF(J3151&lt;=2,"?ACTIVATED",IF(J3151&lt;&gt;"","?FAMILIAR",IF(F3151="NEW",IF(ISNA(VLOOKUP(E3151,#REF!,1,FALSE())),"?TYPE_IDENTIFIABLE","?REFERENTIAL"),"_")))))</f>
        <v> </v>
      </c>
      <c r="H3151" s="25" t="str">
        <f>IF(J3151&lt;&gt;1,"",IF(I3151="SBJ","CB","?"))</f>
        <v> </v>
      </c>
      <c r="I3151" s="26" t="str">
        <f>IF(OR(E3151="",E3151="!!!",F3151="NEW"),"",INDEX(B3150:B$2,-1+SUMPRODUCT(MAX(ROW(E3150:E$2)*(E3151=E3150:E$2)))))</f>
        <v> </v>
      </c>
      <c r="J3151" s="26" t="str">
        <f>IF(OR(E3151="",E3151="!!!",F3151="NEW"),"",COUNTBLANK(OFFSET(A$1,,,SUMPRODUCT(MAX(ROW(E$2:E3151)*(E3151=E$2:E3151)))))-COUNTBLANK(OFFSET(A$1,,,SUMPRODUCT(MAX(ROW(E$1:E3150)*(E2=E$1:E3150))))))</f>
        <v> </v>
      </c>
      <c r="K3151" s="26" t="str">
        <f>IF(OR(E3151="",E3151="!!!",F3151="NEW"),"",INDEX(J$1:J3150,SUMPRODUCT(MAX(ROW(E$1:E3150)*(E3151=E$1:E3150)))))</f>
        <v> </v>
      </c>
      <c r="L3151" s="27"/>
    </row>
    <row r="3152" spans="1:12">
      <c r="A3152" s="20" t="s">
        <v>1841</v>
      </c>
      <c r="B3152" s="21" t="s">
        <v>843</v>
      </c>
      <c r="C3152" s="21" t="s">
        <v>802</v>
      </c>
      <c r="D3152" s="21" t="s">
        <v>730</v>
      </c>
      <c r="E3152" s="22">
        <f>IF(D3152="?OLD","!!!","")</f>
        <v/>
      </c>
      <c r="F3152" s="23" t="str">
        <f>IF(OR(E3152="",E3152="!!!"),"",IF(NOT(ISNA(VLOOKUP(E3152,E$1:E3151,1,FALSE()))),"OLD",IF(AND(E3152&lt;&gt;"",E3152&lt;&gt;"!!!"),"NEW","")))</f>
        <v> </v>
      </c>
      <c r="G3152" s="24" t="str">
        <f>IF(OR(E3152="",E3152="!!!"),"",IF(OR(J3152=0,AND(J3152=1,K3152=1),AND(J3152=1,I3152="SBJ"),AND(J3152=1,I3152=0)),"?IN_FOCUS",IF(J3152&lt;=2,"?ACTIVATED",IF(J3152&lt;&gt;"","?FAMILIAR",IF(F3152="NEW",IF(ISNA(VLOOKUP(E3152,#REF!,1,FALSE())),"?TYPE_IDENTIFIABLE","?REFERENTIAL"),"_")))))</f>
        <v> </v>
      </c>
      <c r="H3152" s="25" t="str">
        <f>IF(J3152&lt;&gt;1,"",IF(I3152="SBJ","CB","?"))</f>
        <v> </v>
      </c>
      <c r="I3152" s="26" t="str">
        <f>IF(OR(E3152="",E3152="!!!",F3152="NEW"),"",INDEX(B3151:B$2,-1+SUMPRODUCT(MAX(ROW(E3151:E$2)*(E3152=E3151:E$2)))))</f>
        <v> </v>
      </c>
      <c r="J3152" s="26" t="str">
        <f>IF(OR(E3152="",E3152="!!!",F3152="NEW"),"",COUNTBLANK(OFFSET(A$1,,,SUMPRODUCT(MAX(ROW(E$2:E3152)*(E3152=E$2:E3152)))))-COUNTBLANK(OFFSET(A$1,,,SUMPRODUCT(MAX(ROW(E$1:E3151)*(E2=E$1:E3151))))))</f>
        <v> </v>
      </c>
      <c r="K3152" s="26" t="str">
        <f>IF(OR(E3152="",E3152="!!!",F3152="NEW"),"",INDEX(J$1:J3151,SUMPRODUCT(MAX(ROW(E$1:E3151)*(E3152=E$1:E3151)))))</f>
        <v> </v>
      </c>
      <c r="L3152" s="27"/>
    </row>
    <row r="3153" spans="1:12">
      <c r="A3153" s="20" t="s">
        <v>1850</v>
      </c>
      <c r="E3153" s="22">
        <f>IF(D3153="?OLD","!!!","")</f>
        <v/>
      </c>
      <c r="F3153" s="23" t="str">
        <f>IF(OR(E3153="",E3153="!!!"),"",IF(NOT(ISNA(VLOOKUP(E3153,E$1:E3152,1,FALSE()))),"OLD",IF(AND(E3153&lt;&gt;"",E3153&lt;&gt;"!!!"),"NEW","")))</f>
        <v> </v>
      </c>
      <c r="G3153" s="24" t="str">
        <f>IF(OR(E3153="",E3153="!!!"),"",IF(OR(J3153=0,AND(J3153=1,K3153=1),AND(J3153=1,I3153="SBJ"),AND(J3153=1,I3153=0)),"?IN_FOCUS",IF(J3153&lt;=2,"?ACTIVATED",IF(J3153&lt;&gt;"","?FAMILIAR",IF(F3153="NEW",IF(ISNA(VLOOKUP(E3153,#REF!,1,FALSE())),"?TYPE_IDENTIFIABLE","?REFERENTIAL"),"_")))))</f>
        <v> </v>
      </c>
      <c r="H3153" s="25" t="str">
        <f>IF(J3153&lt;&gt;1,"",IF(I3153="SBJ","CB","?"))</f>
        <v> </v>
      </c>
      <c r="I3153" s="26" t="str">
        <f>IF(OR(E3153="",E3153="!!!",F3153="NEW"),"",INDEX(B3152:B$2,-1+SUMPRODUCT(MAX(ROW(E3152:E$2)*(E3153=E3152:E$2)))))</f>
        <v> </v>
      </c>
      <c r="J3153" s="26" t="str">
        <f>IF(OR(E3153="",E3153="!!!",F3153="NEW"),"",COUNTBLANK(OFFSET(A$1,,,SUMPRODUCT(MAX(ROW(E$2:E3153)*(E3153=E$2:E3153)))))-COUNTBLANK(OFFSET(A$1,,,SUMPRODUCT(MAX(ROW(E$1:E3152)*(E2=E$1:E3152))))))</f>
        <v> </v>
      </c>
      <c r="K3153" s="26" t="str">
        <f>IF(OR(E3153="",E3153="!!!",F3153="NEW"),"",INDEX(J$1:J3152,SUMPRODUCT(MAX(ROW(E$1:E3152)*(E3153=E$1:E3152)))))</f>
        <v> </v>
      </c>
      <c r="L3153" s="27"/>
    </row>
    <row r="3154" spans="1:12">
      <c r="A3154" s="20" t="s">
        <v>246</v>
      </c>
      <c r="E3154" s="22">
        <f>IF(D3154="?OLD","!!!","")</f>
        <v/>
      </c>
      <c r="F3154" s="23" t="str">
        <f>IF(OR(E3154="",E3154="!!!"),"",IF(NOT(ISNA(VLOOKUP(E3154,E$1:E3153,1,FALSE()))),"OLD",IF(AND(E3154&lt;&gt;"",E3154&lt;&gt;"!!!"),"NEW","")))</f>
        <v> </v>
      </c>
      <c r="G3154" s="24" t="str">
        <f>IF(OR(E3154="",E3154="!!!"),"",IF(OR(J3154=0,AND(J3154=1,K3154=1),AND(J3154=1,I3154="SBJ"),AND(J3154=1,I3154=0)),"?IN_FOCUS",IF(J3154&lt;=2,"?ACTIVATED",IF(J3154&lt;&gt;"","?FAMILIAR",IF(F3154="NEW",IF(ISNA(VLOOKUP(E3154,#REF!,1,FALSE())),"?TYPE_IDENTIFIABLE","?REFERENTIAL"),"_")))))</f>
        <v> </v>
      </c>
      <c r="H3154" s="25" t="str">
        <f>IF(J3154&lt;&gt;1,"",IF(I3154="SBJ","CB","?"))</f>
        <v> </v>
      </c>
      <c r="I3154" s="26" t="str">
        <f>IF(OR(E3154="",E3154="!!!",F3154="NEW"),"",INDEX(B3153:B$2,-1+SUMPRODUCT(MAX(ROW(E3153:E$2)*(E3154=E3153:E$2)))))</f>
        <v> </v>
      </c>
      <c r="J3154" s="26" t="str">
        <f>IF(OR(E3154="",E3154="!!!",F3154="NEW"),"",COUNTBLANK(OFFSET(A$1,,,SUMPRODUCT(MAX(ROW(E$2:E3154)*(E3154=E$2:E3154)))))-COUNTBLANK(OFFSET(A$1,,,SUMPRODUCT(MAX(ROW(E$1:E3153)*(E2=E$1:E3153))))))</f>
        <v> </v>
      </c>
      <c r="K3154" s="26" t="str">
        <f>IF(OR(E3154="",E3154="!!!",F3154="NEW"),"",INDEX(J$1:J3153,SUMPRODUCT(MAX(ROW(E$1:E3153)*(E3154=E$1:E3153)))))</f>
        <v> </v>
      </c>
      <c r="L3154" s="27"/>
    </row>
    <row r="3155" spans="1:12">
      <c r="A3155" s="20"/>
    </row>
    <row r="3156" spans="1:12">
      <c r="A3156" s="20" t="s">
        <v>1851</v>
      </c>
    </row>
    <row r="3157" spans="1:12">
      <c r="A3157" s="20" t="s">
        <v>1852</v>
      </c>
      <c r="E3157" s="22">
        <f>IF(D3157="?OLD","!!!","")</f>
        <v/>
      </c>
      <c r="F3157" s="23" t="str">
        <f>IF(OR(E3157="",E3157="!!!"),"",IF(NOT(ISNA(VLOOKUP(E3157,E$1:E3156,1,FALSE()))),"OLD",IF(AND(E3157&lt;&gt;"",E3157&lt;&gt;"!!!"),"NEW","")))</f>
        <v> </v>
      </c>
      <c r="G3157" s="24" t="str">
        <f>IF(OR(E3157="",E3157="!!!"),"",IF(OR(J3157=0,AND(J3157=1,K3157=1),AND(J3157=1,I3157="SBJ"),AND(J3157=1,I3157=0)),"?IN_FOCUS",IF(J3157&lt;=2,"?ACTIVATED",IF(J3157&lt;&gt;"","?FAMILIAR",IF(F3157="NEW",IF(ISNA(VLOOKUP(E3157,#REF!,1,FALSE())),"?TYPE_IDENTIFIABLE","?REFERENTIAL"),"_")))))</f>
        <v> </v>
      </c>
      <c r="H3157" s="25" t="str">
        <f>IF(J3157&lt;&gt;1,"",IF(I3157="SBJ","CB","?"))</f>
        <v> </v>
      </c>
      <c r="I3157" s="26" t="str">
        <f>IF(OR(E3157="",E3157="!!!",F3157="NEW"),"",INDEX(B3156:B$2,-1+SUMPRODUCT(MAX(ROW(E3156:E$2)*(E3157=E3156:E$2)))))</f>
        <v> </v>
      </c>
      <c r="J3157" s="26" t="str">
        <f>IF(OR(E3157="",E3157="!!!",F3157="NEW"),"",COUNTBLANK(OFFSET(A$1,,,SUMPRODUCT(MAX(ROW(E$2:E3157)*(E3157=E$2:E3157)))))-COUNTBLANK(OFFSET(A$1,,,SUMPRODUCT(MAX(ROW(E$1:E3156)*(E2=E$1:E3156))))))</f>
        <v> </v>
      </c>
      <c r="K3157" s="26" t="str">
        <f>IF(OR(E3157="",E3157="!!!",F3157="NEW"),"",INDEX(J$1:J3156,SUMPRODUCT(MAX(ROW(E$1:E3156)*(E3157=E$1:E3156)))))</f>
        <v> </v>
      </c>
      <c r="L3157" s="27"/>
    </row>
    <row r="3158" spans="1:12">
      <c r="A3158" s="20" t="s">
        <v>948</v>
      </c>
      <c r="E3158" s="22">
        <f>IF(D3158="?OLD","!!!","")</f>
        <v/>
      </c>
      <c r="F3158" s="23" t="str">
        <f>IF(OR(E3158="",E3158="!!!"),"",IF(NOT(ISNA(VLOOKUP(E3158,E$1:E3157,1,FALSE()))),"OLD",IF(AND(E3158&lt;&gt;"",E3158&lt;&gt;"!!!"),"NEW","")))</f>
        <v> </v>
      </c>
      <c r="G3158" s="24" t="str">
        <f>IF(OR(E3158="",E3158="!!!"),"",IF(OR(J3158=0,AND(J3158=1,K3158=1),AND(J3158=1,I3158="SBJ"),AND(J3158=1,I3158=0)),"?IN_FOCUS",IF(J3158&lt;=2,"?ACTIVATED",IF(J3158&lt;&gt;"","?FAMILIAR",IF(F3158="NEW",IF(ISNA(VLOOKUP(E3158,#REF!,1,FALSE())),"?TYPE_IDENTIFIABLE","?REFERENTIAL"),"_")))))</f>
        <v> </v>
      </c>
      <c r="H3158" s="25" t="str">
        <f>IF(J3158&lt;&gt;1,"",IF(I3158="SBJ","CB","?"))</f>
        <v> </v>
      </c>
      <c r="I3158" s="26" t="str">
        <f>IF(OR(E3158="",E3158="!!!",F3158="NEW"),"",INDEX(B3157:B$2,-1+SUMPRODUCT(MAX(ROW(E3157:E$2)*(E3158=E3157:E$2)))))</f>
        <v> </v>
      </c>
      <c r="J3158" s="26" t="str">
        <f>IF(OR(E3158="",E3158="!!!",F3158="NEW"),"",COUNTBLANK(OFFSET(A$1,,,SUMPRODUCT(MAX(ROW(E$2:E3158)*(E3158=E$2:E3158)))))-COUNTBLANK(OFFSET(A$1,,,SUMPRODUCT(MAX(ROW(E$1:E3157)*(E2=E$1:E3157))))))</f>
        <v> </v>
      </c>
      <c r="K3158" s="26" t="str">
        <f>IF(OR(E3158="",E3158="!!!",F3158="NEW"),"",INDEX(J$1:J3157,SUMPRODUCT(MAX(ROW(E$1:E3157)*(E3158=E$1:E3157)))))</f>
        <v> </v>
      </c>
      <c r="L3158" s="27"/>
    </row>
    <row r="3159" spans="1:12">
      <c r="A3159" s="20" t="s">
        <v>813</v>
      </c>
      <c r="E3159" s="22">
        <f>IF(D3159="?OLD","!!!","")</f>
        <v/>
      </c>
      <c r="F3159" s="23" t="str">
        <f>IF(OR(E3159="",E3159="!!!"),"",IF(NOT(ISNA(VLOOKUP(E3159,E$1:E3158,1,FALSE()))),"OLD",IF(AND(E3159&lt;&gt;"",E3159&lt;&gt;"!!!"),"NEW","")))</f>
        <v> </v>
      </c>
      <c r="G3159" s="24" t="str">
        <f>IF(OR(E3159="",E3159="!!!"),"",IF(OR(J3159=0,AND(J3159=1,K3159=1),AND(J3159=1,I3159="SBJ"),AND(J3159=1,I3159=0)),"?IN_FOCUS",IF(J3159&lt;=2,"?ACTIVATED",IF(J3159&lt;&gt;"","?FAMILIAR",IF(F3159="NEW",IF(ISNA(VLOOKUP(E3159,#REF!,1,FALSE())),"?TYPE_IDENTIFIABLE","?REFERENTIAL"),"_")))))</f>
        <v> </v>
      </c>
      <c r="H3159" s="25" t="str">
        <f>IF(J3159&lt;&gt;1,"",IF(I3159="SBJ","CB","?"))</f>
        <v> </v>
      </c>
      <c r="I3159" s="26" t="str">
        <f>IF(OR(E3159="",E3159="!!!",F3159="NEW"),"",INDEX(B3158:B$2,-1+SUMPRODUCT(MAX(ROW(E3158:E$2)*(E3159=E3158:E$2)))))</f>
        <v> </v>
      </c>
      <c r="J3159" s="26" t="str">
        <f>IF(OR(E3159="",E3159="!!!",F3159="NEW"),"",COUNTBLANK(OFFSET(A$1,,,SUMPRODUCT(MAX(ROW(E$2:E3159)*(E3159=E$2:E3159)))))-COUNTBLANK(OFFSET(A$1,,,SUMPRODUCT(MAX(ROW(E$1:E3158)*(E2=E$1:E3158))))))</f>
        <v> </v>
      </c>
      <c r="K3159" s="26" t="str">
        <f>IF(OR(E3159="",E3159="!!!",F3159="NEW"),"",INDEX(J$1:J3158,SUMPRODUCT(MAX(ROW(E$1:E3158)*(E3159=E$1:E3158)))))</f>
        <v> </v>
      </c>
      <c r="L3159" s="27"/>
    </row>
    <row r="3160" spans="1:12">
      <c r="A3160" s="20" t="s">
        <v>1853</v>
      </c>
      <c r="B3160" s="21" t="s">
        <v>728</v>
      </c>
      <c r="C3160" s="21" t="s">
        <v>753</v>
      </c>
      <c r="D3160" s="21" t="s">
        <v>730</v>
      </c>
      <c r="E3160" s="22">
        <f>IF(D3160="?OLD","!!!","")</f>
        <v/>
      </c>
      <c r="F3160" s="23" t="str">
        <f>IF(OR(E3160="",E3160="!!!"),"",IF(NOT(ISNA(VLOOKUP(E3160,E$1:E3159,1,FALSE()))),"OLD",IF(AND(E3160&lt;&gt;"",E3160&lt;&gt;"!!!"),"NEW","")))</f>
        <v> </v>
      </c>
      <c r="G3160" s="24" t="str">
        <f>IF(OR(E3160="",E3160="!!!"),"",IF(OR(J3160=0,AND(J3160=1,K3160=1),AND(J3160=1,I3160="SBJ"),AND(J3160=1,I3160=0)),"?IN_FOCUS",IF(J3160&lt;=2,"?ACTIVATED",IF(J3160&lt;&gt;"","?FAMILIAR",IF(F3160="NEW",IF(ISNA(VLOOKUP(E3160,#REF!,1,FALSE())),"?TYPE_IDENTIFIABLE","?REFERENTIAL"),"_")))))</f>
        <v> </v>
      </c>
      <c r="H3160" s="25" t="str">
        <f>IF(J3160&lt;&gt;1,"",IF(I3160="SBJ","CB","?"))</f>
        <v> </v>
      </c>
      <c r="I3160" s="26" t="str">
        <f>IF(OR(E3160="",E3160="!!!",F3160="NEW"),"",INDEX(B3159:B$2,-1+SUMPRODUCT(MAX(ROW(E3159:E$2)*(E3160=E3159:E$2)))))</f>
        <v> </v>
      </c>
      <c r="J3160" s="26" t="str">
        <f>IF(OR(E3160="",E3160="!!!",F3160="NEW"),"",COUNTBLANK(OFFSET(A$1,,,SUMPRODUCT(MAX(ROW(E$2:E3160)*(E3160=E$2:E3160)))))-COUNTBLANK(OFFSET(A$1,,,SUMPRODUCT(MAX(ROW(E$1:E3159)*(E2=E$1:E3159))))))</f>
        <v> </v>
      </c>
      <c r="K3160" s="26" t="str">
        <f>IF(OR(E3160="",E3160="!!!",F3160="NEW"),"",INDEX(J$1:J3159,SUMPRODUCT(MAX(ROW(E$1:E3159)*(E3160=E$1:E3159)))))</f>
        <v> </v>
      </c>
      <c r="L3160" s="27"/>
    </row>
    <row r="3161" spans="1:12">
      <c r="A3161" s="20" t="s">
        <v>1088</v>
      </c>
      <c r="E3161" s="22">
        <f>IF(D3161="?OLD","!!!","")</f>
        <v/>
      </c>
      <c r="F3161" s="23" t="str">
        <f>IF(OR(E3161="",E3161="!!!"),"",IF(NOT(ISNA(VLOOKUP(E3161,E$1:E3160,1,FALSE()))),"OLD",IF(AND(E3161&lt;&gt;"",E3161&lt;&gt;"!!!"),"NEW","")))</f>
        <v> </v>
      </c>
      <c r="G3161" s="24" t="str">
        <f>IF(OR(E3161="",E3161="!!!"),"",IF(OR(J3161=0,AND(J3161=1,K3161=1),AND(J3161=1,I3161="SBJ"),AND(J3161=1,I3161=0)),"?IN_FOCUS",IF(J3161&lt;=2,"?ACTIVATED",IF(J3161&lt;&gt;"","?FAMILIAR",IF(F3161="NEW",IF(ISNA(VLOOKUP(E3161,#REF!,1,FALSE())),"?TYPE_IDENTIFIABLE","?REFERENTIAL"),"_")))))</f>
        <v> </v>
      </c>
      <c r="H3161" s="25" t="str">
        <f>IF(J3161&lt;&gt;1,"",IF(I3161="SBJ","CB","?"))</f>
        <v> </v>
      </c>
      <c r="I3161" s="26" t="str">
        <f>IF(OR(E3161="",E3161="!!!",F3161="NEW"),"",INDEX(B3160:B$2,-1+SUMPRODUCT(MAX(ROW(E3160:E$2)*(E3161=E3160:E$2)))))</f>
        <v> </v>
      </c>
      <c r="J3161" s="26" t="str">
        <f>IF(OR(E3161="",E3161="!!!",F3161="NEW"),"",COUNTBLANK(OFFSET(A$1,,,SUMPRODUCT(MAX(ROW(E$2:E3161)*(E3161=E$2:E3161)))))-COUNTBLANK(OFFSET(A$1,,,SUMPRODUCT(MAX(ROW(E$1:E3160)*(E2=E$1:E3160))))))</f>
        <v> </v>
      </c>
      <c r="K3161" s="26" t="str">
        <f>IF(OR(E3161="",E3161="!!!",F3161="NEW"),"",INDEX(J$1:J3160,SUMPRODUCT(MAX(ROW(E$1:E3160)*(E3161=E$1:E3160)))))</f>
        <v> </v>
      </c>
      <c r="L3161" s="27"/>
    </row>
    <row r="3162" spans="1:12">
      <c r="A3162" s="20" t="s">
        <v>1854</v>
      </c>
      <c r="E3162" s="22">
        <f>IF(D3162="?OLD","!!!","")</f>
        <v/>
      </c>
      <c r="F3162" s="23" t="str">
        <f>IF(OR(E3162="",E3162="!!!"),"",IF(NOT(ISNA(VLOOKUP(E3162,E$1:E3161,1,FALSE()))),"OLD",IF(AND(E3162&lt;&gt;"",E3162&lt;&gt;"!!!"),"NEW","")))</f>
        <v> </v>
      </c>
      <c r="G3162" s="24" t="str">
        <f>IF(OR(E3162="",E3162="!!!"),"",IF(OR(J3162=0,AND(J3162=1,K3162=1),AND(J3162=1,I3162="SBJ"),AND(J3162=1,I3162=0)),"?IN_FOCUS",IF(J3162&lt;=2,"?ACTIVATED",IF(J3162&lt;&gt;"","?FAMILIAR",IF(F3162="NEW",IF(ISNA(VLOOKUP(E3162,#REF!,1,FALSE())),"?TYPE_IDENTIFIABLE","?REFERENTIAL"),"_")))))</f>
        <v> </v>
      </c>
      <c r="H3162" s="25" t="str">
        <f>IF(J3162&lt;&gt;1,"",IF(I3162="SBJ","CB","?"))</f>
        <v> </v>
      </c>
      <c r="I3162" s="26" t="str">
        <f>IF(OR(E3162="",E3162="!!!",F3162="NEW"),"",INDEX(B3161:B$2,-1+SUMPRODUCT(MAX(ROW(E3161:E$2)*(E3162=E3161:E$2)))))</f>
        <v> </v>
      </c>
      <c r="J3162" s="26" t="str">
        <f>IF(OR(E3162="",E3162="!!!",F3162="NEW"),"",COUNTBLANK(OFFSET(A$1,,,SUMPRODUCT(MAX(ROW(E$2:E3162)*(E3162=E$2:E3162)))))-COUNTBLANK(OFFSET(A$1,,,SUMPRODUCT(MAX(ROW(E$1:E3161)*(E2=E$1:E3161))))))</f>
        <v> </v>
      </c>
      <c r="K3162" s="26" t="str">
        <f>IF(OR(E3162="",E3162="!!!",F3162="NEW"),"",INDEX(J$1:J3161,SUMPRODUCT(MAX(ROW(E$1:E3161)*(E3162=E$1:E3161)))))</f>
        <v> </v>
      </c>
      <c r="L3162" s="27"/>
    </row>
    <row r="3163" spans="1:12">
      <c r="A3163" s="20" t="s">
        <v>246</v>
      </c>
      <c r="E3163" s="22">
        <f>IF(D3163="?OLD","!!!","")</f>
        <v/>
      </c>
      <c r="F3163" s="23" t="str">
        <f>IF(OR(E3163="",E3163="!!!"),"",IF(NOT(ISNA(VLOOKUP(E3163,E$1:E3162,1,FALSE()))),"OLD",IF(AND(E3163&lt;&gt;"",E3163&lt;&gt;"!!!"),"NEW","")))</f>
        <v> </v>
      </c>
      <c r="G3163" s="24" t="str">
        <f>IF(OR(E3163="",E3163="!!!"),"",IF(OR(J3163=0,AND(J3163=1,K3163=1),AND(J3163=1,I3163="SBJ"),AND(J3163=1,I3163=0)),"?IN_FOCUS",IF(J3163&lt;=2,"?ACTIVATED",IF(J3163&lt;&gt;"","?FAMILIAR",IF(F3163="NEW",IF(ISNA(VLOOKUP(E3163,#REF!,1,FALSE())),"?TYPE_IDENTIFIABLE","?REFERENTIAL"),"_")))))</f>
        <v> </v>
      </c>
      <c r="H3163" s="25" t="str">
        <f>IF(J3163&lt;&gt;1,"",IF(I3163="SBJ","CB","?"))</f>
        <v> </v>
      </c>
      <c r="I3163" s="26" t="str">
        <f>IF(OR(E3163="",E3163="!!!",F3163="NEW"),"",INDEX(B3162:B$2,-1+SUMPRODUCT(MAX(ROW(E3162:E$2)*(E3163=E3162:E$2)))))</f>
        <v> </v>
      </c>
      <c r="J3163" s="26" t="str">
        <f>IF(OR(E3163="",E3163="!!!",F3163="NEW"),"",COUNTBLANK(OFFSET(A$1,,,SUMPRODUCT(MAX(ROW(E$2:E3163)*(E3163=E$2:E3163)))))-COUNTBLANK(OFFSET(A$1,,,SUMPRODUCT(MAX(ROW(E$1:E3162)*(E2=E$1:E3162))))))</f>
        <v> </v>
      </c>
      <c r="K3163" s="26" t="str">
        <f>IF(OR(E3163="",E3163="!!!",F3163="NEW"),"",INDEX(J$1:J3162,SUMPRODUCT(MAX(ROW(E$1:E3162)*(E3163=E$1:E3162)))))</f>
        <v> </v>
      </c>
      <c r="L3163" s="27"/>
    </row>
    <row r="3164" spans="1:12">
      <c r="A3164" s="20"/>
    </row>
    <row r="3165" spans="1:12">
      <c r="A3165" s="20" t="s">
        <v>1855</v>
      </c>
    </row>
    <row r="3166" spans="1:12">
      <c r="A3166" s="20" t="s">
        <v>1839</v>
      </c>
      <c r="E3166" s="22">
        <f>IF(D3166="?OLD","!!!","")</f>
        <v/>
      </c>
      <c r="F3166" s="23" t="str">
        <f>IF(OR(E3166="",E3166="!!!"),"",IF(NOT(ISNA(VLOOKUP(E3166,E$1:E3165,1,FALSE()))),"OLD",IF(AND(E3166&lt;&gt;"",E3166&lt;&gt;"!!!"),"NEW","")))</f>
        <v> </v>
      </c>
      <c r="G3166" s="24" t="str">
        <f>IF(OR(E3166="",E3166="!!!"),"",IF(OR(J3166=0,AND(J3166=1,K3166=1),AND(J3166=1,I3166="SBJ"),AND(J3166=1,I3166=0)),"?IN_FOCUS",IF(J3166&lt;=2,"?ACTIVATED",IF(J3166&lt;&gt;"","?FAMILIAR",IF(F3166="NEW",IF(ISNA(VLOOKUP(E3166,#REF!,1,FALSE())),"?TYPE_IDENTIFIABLE","?REFERENTIAL"),"_")))))</f>
        <v> </v>
      </c>
      <c r="H3166" s="25" t="str">
        <f>IF(J3166&lt;&gt;1,"",IF(I3166="SBJ","CB","?"))</f>
        <v> </v>
      </c>
      <c r="I3166" s="26" t="str">
        <f>IF(OR(E3166="",E3166="!!!",F3166="NEW"),"",INDEX(B3165:B$2,-1+SUMPRODUCT(MAX(ROW(E3165:E$2)*(E3166=E3165:E$2)))))</f>
        <v> </v>
      </c>
      <c r="J3166" s="26" t="str">
        <f>IF(OR(E3166="",E3166="!!!",F3166="NEW"),"",COUNTBLANK(OFFSET(A$1,,,SUMPRODUCT(MAX(ROW(E$2:E3166)*(E3166=E$2:E3166)))))-COUNTBLANK(OFFSET(A$1,,,SUMPRODUCT(MAX(ROW(E$1:E3165)*(E2=E$1:E3165))))))</f>
        <v> </v>
      </c>
      <c r="K3166" s="26" t="str">
        <f>IF(OR(E3166="",E3166="!!!",F3166="NEW"),"",INDEX(J$1:J3165,SUMPRODUCT(MAX(ROW(E$1:E3165)*(E3166=E$1:E3165)))))</f>
        <v> </v>
      </c>
      <c r="L3166" s="27"/>
    </row>
    <row r="3167" spans="1:12">
      <c r="A3167" s="20" t="s">
        <v>1856</v>
      </c>
      <c r="E3167" s="22">
        <f>IF(D3167="?OLD","!!!","")</f>
        <v/>
      </c>
      <c r="F3167" s="23" t="str">
        <f>IF(OR(E3167="",E3167="!!!"),"",IF(NOT(ISNA(VLOOKUP(E3167,E$1:E3166,1,FALSE()))),"OLD",IF(AND(E3167&lt;&gt;"",E3167&lt;&gt;"!!!"),"NEW","")))</f>
        <v> </v>
      </c>
      <c r="G3167" s="24" t="str">
        <f>IF(OR(E3167="",E3167="!!!"),"",IF(OR(J3167=0,AND(J3167=1,K3167=1),AND(J3167=1,I3167="SBJ"),AND(J3167=1,I3167=0)),"?IN_FOCUS",IF(J3167&lt;=2,"?ACTIVATED",IF(J3167&lt;&gt;"","?FAMILIAR",IF(F3167="NEW",IF(ISNA(VLOOKUP(E3167,#REF!,1,FALSE())),"?TYPE_IDENTIFIABLE","?REFERENTIAL"),"_")))))</f>
        <v> </v>
      </c>
      <c r="H3167" s="25" t="str">
        <f>IF(J3167&lt;&gt;1,"",IF(I3167="SBJ","CB","?"))</f>
        <v> </v>
      </c>
      <c r="I3167" s="26" t="str">
        <f>IF(OR(E3167="",E3167="!!!",F3167="NEW"),"",INDEX(B3166:B$2,-1+SUMPRODUCT(MAX(ROW(E3166:E$2)*(E3167=E3166:E$2)))))</f>
        <v> </v>
      </c>
      <c r="J3167" s="26" t="str">
        <f>IF(OR(E3167="",E3167="!!!",F3167="NEW"),"",COUNTBLANK(OFFSET(A$1,,,SUMPRODUCT(MAX(ROW(E$2:E3167)*(E3167=E$2:E3167)))))-COUNTBLANK(OFFSET(A$1,,,SUMPRODUCT(MAX(ROW(E$1:E3166)*(E2=E$1:E3166))))))</f>
        <v> </v>
      </c>
      <c r="K3167" s="26" t="str">
        <f>IF(OR(E3167="",E3167="!!!",F3167="NEW"),"",INDEX(J$1:J3166,SUMPRODUCT(MAX(ROW(E$1:E3166)*(E3167=E$1:E3166)))))</f>
        <v> </v>
      </c>
      <c r="L3167" s="27"/>
    </row>
    <row r="3168" spans="1:12">
      <c r="A3168" s="20" t="s">
        <v>750</v>
      </c>
      <c r="B3168" s="21" t="s">
        <v>728</v>
      </c>
      <c r="C3168" s="21" t="s">
        <v>729</v>
      </c>
      <c r="D3168" s="21" t="s">
        <v>730</v>
      </c>
      <c r="E3168" s="22">
        <f>IF(D3168="?OLD","!!!","")</f>
        <v/>
      </c>
      <c r="F3168" s="23" t="str">
        <f>IF(OR(E3168="",E3168="!!!"),"",IF(NOT(ISNA(VLOOKUP(E3168,E$1:E3167,1,FALSE()))),"OLD",IF(AND(E3168&lt;&gt;"",E3168&lt;&gt;"!!!"),"NEW","")))</f>
        <v> </v>
      </c>
      <c r="G3168" s="24" t="str">
        <f>IF(OR(E3168="",E3168="!!!"),"",IF(OR(J3168=0,AND(J3168=1,K3168=1),AND(J3168=1,I3168="SBJ"),AND(J3168=1,I3168=0)),"?IN_FOCUS",IF(J3168&lt;=2,"?ACTIVATED",IF(J3168&lt;&gt;"","?FAMILIAR",IF(F3168="NEW",IF(ISNA(VLOOKUP(E3168,#REF!,1,FALSE())),"?TYPE_IDENTIFIABLE","?REFERENTIAL"),"_")))))</f>
        <v> </v>
      </c>
      <c r="H3168" s="25" t="str">
        <f>IF(J3168&lt;&gt;1,"",IF(I3168="SBJ","CB","?"))</f>
        <v> </v>
      </c>
      <c r="I3168" s="26" t="str">
        <f>IF(OR(E3168="",E3168="!!!",F3168="NEW"),"",INDEX(B3167:B$2,-1+SUMPRODUCT(MAX(ROW(E3167:E$2)*(E3168=E3167:E$2)))))</f>
        <v> </v>
      </c>
      <c r="J3168" s="26" t="str">
        <f>IF(OR(E3168="",E3168="!!!",F3168="NEW"),"",COUNTBLANK(OFFSET(A$1,,,SUMPRODUCT(MAX(ROW(E$2:E3168)*(E3168=E$2:E3168)))))-COUNTBLANK(OFFSET(A$1,,,SUMPRODUCT(MAX(ROW(E$1:E3167)*(E2=E$1:E3167))))))</f>
        <v> </v>
      </c>
      <c r="K3168" s="26" t="str">
        <f>IF(OR(E3168="",E3168="!!!",F3168="NEW"),"",INDEX(J$1:J3167,SUMPRODUCT(MAX(ROW(E$1:E3167)*(E3168=E$1:E3167)))))</f>
        <v> </v>
      </c>
      <c r="L3168" s="27"/>
    </row>
    <row r="3169" spans="1:12">
      <c r="A3169" s="20" t="s">
        <v>1217</v>
      </c>
      <c r="E3169" s="22">
        <f>IF(D3169="?OLD","!!!","")</f>
        <v/>
      </c>
      <c r="F3169" s="23" t="str">
        <f>IF(OR(E3169="",E3169="!!!"),"",IF(NOT(ISNA(VLOOKUP(E3169,E$1:E3168,1,FALSE()))),"OLD",IF(AND(E3169&lt;&gt;"",E3169&lt;&gt;"!!!"),"NEW","")))</f>
        <v> </v>
      </c>
      <c r="G3169" s="24" t="str">
        <f>IF(OR(E3169="",E3169="!!!"),"",IF(OR(J3169=0,AND(J3169=1,K3169=1),AND(J3169=1,I3169="SBJ"),AND(J3169=1,I3169=0)),"?IN_FOCUS",IF(J3169&lt;=2,"?ACTIVATED",IF(J3169&lt;&gt;"","?FAMILIAR",IF(F3169="NEW",IF(ISNA(VLOOKUP(E3169,#REF!,1,FALSE())),"?TYPE_IDENTIFIABLE","?REFERENTIAL"),"_")))))</f>
        <v> </v>
      </c>
      <c r="H3169" s="25" t="str">
        <f>IF(J3169&lt;&gt;1,"",IF(I3169="SBJ","CB","?"))</f>
        <v> </v>
      </c>
      <c r="I3169" s="26" t="str">
        <f>IF(OR(E3169="",E3169="!!!",F3169="NEW"),"",INDEX(B3168:B$2,-1+SUMPRODUCT(MAX(ROW(E3168:E$2)*(E3169=E3168:E$2)))))</f>
        <v> </v>
      </c>
      <c r="J3169" s="26" t="str">
        <f>IF(OR(E3169="",E3169="!!!",F3169="NEW"),"",COUNTBLANK(OFFSET(A$1,,,SUMPRODUCT(MAX(ROW(E$2:E3169)*(E3169=E$2:E3169)))))-COUNTBLANK(OFFSET(A$1,,,SUMPRODUCT(MAX(ROW(E$1:E3168)*(E2=E$1:E3168))))))</f>
        <v> </v>
      </c>
      <c r="K3169" s="26" t="str">
        <f>IF(OR(E3169="",E3169="!!!",F3169="NEW"),"",INDEX(J$1:J3168,SUMPRODUCT(MAX(ROW(E$1:E3168)*(E3169=E$1:E3168)))))</f>
        <v> </v>
      </c>
      <c r="L3169" s="27"/>
    </row>
    <row r="3170" spans="1:12">
      <c r="A3170" s="20" t="s">
        <v>1403</v>
      </c>
      <c r="E3170" s="22">
        <f>IF(D3170="?OLD","!!!","")</f>
        <v/>
      </c>
      <c r="F3170" s="23" t="str">
        <f>IF(OR(E3170="",E3170="!!!"),"",IF(NOT(ISNA(VLOOKUP(E3170,E$1:E3169,1,FALSE()))),"OLD",IF(AND(E3170&lt;&gt;"",E3170&lt;&gt;"!!!"),"NEW","")))</f>
        <v> </v>
      </c>
      <c r="G3170" s="24" t="str">
        <f>IF(OR(E3170="",E3170="!!!"),"",IF(OR(J3170=0,AND(J3170=1,K3170=1),AND(J3170=1,I3170="SBJ"),AND(J3170=1,I3170=0)),"?IN_FOCUS",IF(J3170&lt;=2,"?ACTIVATED",IF(J3170&lt;&gt;"","?FAMILIAR",IF(F3170="NEW",IF(ISNA(VLOOKUP(E3170,#REF!,1,FALSE())),"?TYPE_IDENTIFIABLE","?REFERENTIAL"),"_")))))</f>
        <v> </v>
      </c>
      <c r="H3170" s="25" t="str">
        <f>IF(J3170&lt;&gt;1,"",IF(I3170="SBJ","CB","?"))</f>
        <v> </v>
      </c>
      <c r="I3170" s="26" t="str">
        <f>IF(OR(E3170="",E3170="!!!",F3170="NEW"),"",INDEX(B3169:B$2,-1+SUMPRODUCT(MAX(ROW(E3169:E$2)*(E3170=E3169:E$2)))))</f>
        <v> </v>
      </c>
      <c r="J3170" s="26" t="str">
        <f>IF(OR(E3170="",E3170="!!!",F3170="NEW"),"",COUNTBLANK(OFFSET(A$1,,,SUMPRODUCT(MAX(ROW(E$2:E3170)*(E3170=E$2:E3170)))))-COUNTBLANK(OFFSET(A$1,,,SUMPRODUCT(MAX(ROW(E$1:E3169)*(E2=E$1:E3169))))))</f>
        <v> </v>
      </c>
      <c r="K3170" s="26" t="str">
        <f>IF(OR(E3170="",E3170="!!!",F3170="NEW"),"",INDEX(J$1:J3169,SUMPRODUCT(MAX(ROW(E$1:E3169)*(E3170=E$1:E3169)))))</f>
        <v> </v>
      </c>
      <c r="L3170" s="27"/>
    </row>
    <row r="3171" spans="1:12">
      <c r="A3171" s="20" t="s">
        <v>732</v>
      </c>
      <c r="E3171" s="22">
        <f>IF(D3171="?OLD","!!!","")</f>
        <v/>
      </c>
      <c r="F3171" s="23" t="str">
        <f>IF(OR(E3171="",E3171="!!!"),"",IF(NOT(ISNA(VLOOKUP(E3171,E$1:E3170,1,FALSE()))),"OLD",IF(AND(E3171&lt;&gt;"",E3171&lt;&gt;"!!!"),"NEW","")))</f>
        <v> </v>
      </c>
      <c r="G3171" s="24" t="str">
        <f>IF(OR(E3171="",E3171="!!!"),"",IF(OR(J3171=0,AND(J3171=1,K3171=1),AND(J3171=1,I3171="SBJ"),AND(J3171=1,I3171=0)),"?IN_FOCUS",IF(J3171&lt;=2,"?ACTIVATED",IF(J3171&lt;&gt;"","?FAMILIAR",IF(F3171="NEW",IF(ISNA(VLOOKUP(E3171,#REF!,1,FALSE())),"?TYPE_IDENTIFIABLE","?REFERENTIAL"),"_")))))</f>
        <v> </v>
      </c>
      <c r="H3171" s="25" t="str">
        <f>IF(J3171&lt;&gt;1,"",IF(I3171="SBJ","CB","?"))</f>
        <v> </v>
      </c>
      <c r="I3171" s="26" t="str">
        <f>IF(OR(E3171="",E3171="!!!",F3171="NEW"),"",INDEX(B3170:B$2,-1+SUMPRODUCT(MAX(ROW(E3170:E$2)*(E3171=E3170:E$2)))))</f>
        <v> </v>
      </c>
      <c r="J3171" s="26" t="str">
        <f>IF(OR(E3171="",E3171="!!!",F3171="NEW"),"",COUNTBLANK(OFFSET(A$1,,,SUMPRODUCT(MAX(ROW(E$2:E3171)*(E3171=E$2:E3171)))))-COUNTBLANK(OFFSET(A$1,,,SUMPRODUCT(MAX(ROW(E$1:E3170)*(E2=E$1:E3170))))))</f>
        <v> </v>
      </c>
      <c r="K3171" s="26" t="str">
        <f>IF(OR(E3171="",E3171="!!!",F3171="NEW"),"",INDEX(J$1:J3170,SUMPRODUCT(MAX(ROW(E$1:E3170)*(E3171=E$1:E3170)))))</f>
        <v> </v>
      </c>
      <c r="L3171" s="27"/>
    </row>
    <row r="3172" spans="1:12">
      <c r="A3172" s="20" t="s">
        <v>774</v>
      </c>
      <c r="E3172" s="22">
        <f>IF(D3172="?OLD","!!!","")</f>
        <v/>
      </c>
      <c r="F3172" s="23" t="str">
        <f>IF(OR(E3172="",E3172="!!!"),"",IF(NOT(ISNA(VLOOKUP(E3172,E$1:E3171,1,FALSE()))),"OLD",IF(AND(E3172&lt;&gt;"",E3172&lt;&gt;"!!!"),"NEW","")))</f>
        <v> </v>
      </c>
      <c r="G3172" s="24" t="str">
        <f>IF(OR(E3172="",E3172="!!!"),"",IF(OR(J3172=0,AND(J3172=1,K3172=1),AND(J3172=1,I3172="SBJ"),AND(J3172=1,I3172=0)),"?IN_FOCUS",IF(J3172&lt;=2,"?ACTIVATED",IF(J3172&lt;&gt;"","?FAMILIAR",IF(F3172="NEW",IF(ISNA(VLOOKUP(E3172,#REF!,1,FALSE())),"?TYPE_IDENTIFIABLE","?REFERENTIAL"),"_")))))</f>
        <v> </v>
      </c>
      <c r="H3172" s="25" t="str">
        <f>IF(J3172&lt;&gt;1,"",IF(I3172="SBJ","CB","?"))</f>
        <v> </v>
      </c>
      <c r="I3172" s="26" t="str">
        <f>IF(OR(E3172="",E3172="!!!",F3172="NEW"),"",INDEX(B3171:B$2,-1+SUMPRODUCT(MAX(ROW(E3171:E$2)*(E3172=E3171:E$2)))))</f>
        <v> </v>
      </c>
      <c r="J3172" s="26" t="str">
        <f>IF(OR(E3172="",E3172="!!!",F3172="NEW"),"",COUNTBLANK(OFFSET(A$1,,,SUMPRODUCT(MAX(ROW(E$2:E3172)*(E3172=E$2:E3172)))))-COUNTBLANK(OFFSET(A$1,,,SUMPRODUCT(MAX(ROW(E$1:E3171)*(E2=E$1:E3171))))))</f>
        <v> </v>
      </c>
      <c r="K3172" s="26" t="str">
        <f>IF(OR(E3172="",E3172="!!!",F3172="NEW"),"",INDEX(J$1:J3171,SUMPRODUCT(MAX(ROW(E$1:E3171)*(E3172=E$1:E3171)))))</f>
        <v> </v>
      </c>
      <c r="L3172" s="27"/>
    </row>
    <row r="3173" spans="1:12">
      <c r="A3173" s="20" t="s">
        <v>1011</v>
      </c>
      <c r="E3173" s="22">
        <f>IF(D3173="?OLD","!!!","")</f>
        <v/>
      </c>
      <c r="F3173" s="23" t="str">
        <f>IF(OR(E3173="",E3173="!!!"),"",IF(NOT(ISNA(VLOOKUP(E3173,E$1:E3172,1,FALSE()))),"OLD",IF(AND(E3173&lt;&gt;"",E3173&lt;&gt;"!!!"),"NEW","")))</f>
        <v> </v>
      </c>
      <c r="G3173" s="24" t="str">
        <f>IF(OR(E3173="",E3173="!!!"),"",IF(OR(J3173=0,AND(J3173=1,K3173=1),AND(J3173=1,I3173="SBJ"),AND(J3173=1,I3173=0)),"?IN_FOCUS",IF(J3173&lt;=2,"?ACTIVATED",IF(J3173&lt;&gt;"","?FAMILIAR",IF(F3173="NEW",IF(ISNA(VLOOKUP(E3173,#REF!,1,FALSE())),"?TYPE_IDENTIFIABLE","?REFERENTIAL"),"_")))))</f>
        <v> </v>
      </c>
      <c r="H3173" s="25" t="str">
        <f>IF(J3173&lt;&gt;1,"",IF(I3173="SBJ","CB","?"))</f>
        <v> </v>
      </c>
      <c r="I3173" s="26" t="str">
        <f>IF(OR(E3173="",E3173="!!!",F3173="NEW"),"",INDEX(B3172:B$2,-1+SUMPRODUCT(MAX(ROW(E3172:E$2)*(E3173=E3172:E$2)))))</f>
        <v> </v>
      </c>
      <c r="J3173" s="26" t="str">
        <f>IF(OR(E3173="",E3173="!!!",F3173="NEW"),"",COUNTBLANK(OFFSET(A$1,,,SUMPRODUCT(MAX(ROW(E$2:E3173)*(E3173=E$2:E3173)))))-COUNTBLANK(OFFSET(A$1,,,SUMPRODUCT(MAX(ROW(E$1:E3172)*(E2=E$1:E3172))))))</f>
        <v> </v>
      </c>
      <c r="K3173" s="26" t="str">
        <f>IF(OR(E3173="",E3173="!!!",F3173="NEW"),"",INDEX(J$1:J3172,SUMPRODUCT(MAX(ROW(E$1:E3172)*(E3173=E$1:E3172)))))</f>
        <v> </v>
      </c>
      <c r="L3173" s="27"/>
    </row>
    <row r="3174" spans="1:12">
      <c r="A3174" s="20" t="s">
        <v>1796</v>
      </c>
      <c r="B3174" s="21" t="s">
        <v>736</v>
      </c>
      <c r="C3174" s="21" t="s">
        <v>737</v>
      </c>
      <c r="E3174" s="22">
        <f>IF(D3174="?OLD","!!!","")</f>
        <v/>
      </c>
      <c r="F3174" s="23" t="str">
        <f>IF(OR(E3174="",E3174="!!!"),"",IF(NOT(ISNA(VLOOKUP(E3174,E$1:E3173,1,FALSE()))),"OLD",IF(AND(E3174&lt;&gt;"",E3174&lt;&gt;"!!!"),"NEW","")))</f>
        <v> </v>
      </c>
      <c r="G3174" s="24" t="str">
        <f>IF(OR(E3174="",E3174="!!!"),"",IF(OR(J3174=0,AND(J3174=1,K3174=1),AND(J3174=1,I3174="SBJ"),AND(J3174=1,I3174=0)),"?IN_FOCUS",IF(J3174&lt;=2,"?ACTIVATED",IF(J3174&lt;&gt;"","?FAMILIAR",IF(F3174="NEW",IF(ISNA(VLOOKUP(E3174,#REF!,1,FALSE())),"?TYPE_IDENTIFIABLE","?REFERENTIAL"),"_")))))</f>
        <v> </v>
      </c>
      <c r="H3174" s="25" t="str">
        <f>IF(J3174&lt;&gt;1,"",IF(I3174="SBJ","CB","?"))</f>
        <v> </v>
      </c>
      <c r="I3174" s="26" t="str">
        <f>IF(OR(E3174="",E3174="!!!",F3174="NEW"),"",INDEX(B3173:B$2,-1+SUMPRODUCT(MAX(ROW(E3173:E$2)*(E3174=E3173:E$2)))))</f>
        <v> </v>
      </c>
      <c r="J3174" s="26" t="str">
        <f>IF(OR(E3174="",E3174="!!!",F3174="NEW"),"",COUNTBLANK(OFFSET(A$1,,,SUMPRODUCT(MAX(ROW(E$2:E3174)*(E3174=E$2:E3174)))))-COUNTBLANK(OFFSET(A$1,,,SUMPRODUCT(MAX(ROW(E$1:E3173)*(E2=E$1:E3173))))))</f>
        <v> </v>
      </c>
      <c r="K3174" s="26" t="str">
        <f>IF(OR(E3174="",E3174="!!!",F3174="NEW"),"",INDEX(J$1:J3173,SUMPRODUCT(MAX(ROW(E$1:E3173)*(E3174=E$1:E3173)))))</f>
        <v> </v>
      </c>
      <c r="L3174" s="27"/>
    </row>
    <row r="3175" spans="1:12">
      <c r="A3175" s="20" t="s">
        <v>742</v>
      </c>
      <c r="E3175" s="22">
        <f>IF(D3175="?OLD","!!!","")</f>
        <v/>
      </c>
      <c r="F3175" s="23" t="str">
        <f>IF(OR(E3175="",E3175="!!!"),"",IF(NOT(ISNA(VLOOKUP(E3175,E$1:E3174,1,FALSE()))),"OLD",IF(AND(E3175&lt;&gt;"",E3175&lt;&gt;"!!!"),"NEW","")))</f>
        <v> </v>
      </c>
      <c r="G3175" s="24" t="str">
        <f>IF(OR(E3175="",E3175="!!!"),"",IF(OR(J3175=0,AND(J3175=1,K3175=1),AND(J3175=1,I3175="SBJ"),AND(J3175=1,I3175=0)),"?IN_FOCUS",IF(J3175&lt;=2,"?ACTIVATED",IF(J3175&lt;&gt;"","?FAMILIAR",IF(F3175="NEW",IF(ISNA(VLOOKUP(E3175,#REF!,1,FALSE())),"?TYPE_IDENTIFIABLE","?REFERENTIAL"),"_")))))</f>
        <v> </v>
      </c>
      <c r="H3175" s="25" t="str">
        <f>IF(J3175&lt;&gt;1,"",IF(I3175="SBJ","CB","?"))</f>
        <v> </v>
      </c>
      <c r="I3175" s="26" t="str">
        <f>IF(OR(E3175="",E3175="!!!",F3175="NEW"),"",INDEX(B3174:B$2,-1+SUMPRODUCT(MAX(ROW(E3174:E$2)*(E3175=E3174:E$2)))))</f>
        <v> </v>
      </c>
      <c r="J3175" s="26" t="str">
        <f>IF(OR(E3175="",E3175="!!!",F3175="NEW"),"",COUNTBLANK(OFFSET(A$1,,,SUMPRODUCT(MAX(ROW(E$2:E3175)*(E3175=E$2:E3175)))))-COUNTBLANK(OFFSET(A$1,,,SUMPRODUCT(MAX(ROW(E$1:E3174)*(E2=E$1:E3174))))))</f>
        <v> </v>
      </c>
      <c r="K3175" s="26" t="str">
        <f>IF(OR(E3175="",E3175="!!!",F3175="NEW"),"",INDEX(J$1:J3174,SUMPRODUCT(MAX(ROW(E$1:E3174)*(E3175=E$1:E3174)))))</f>
        <v> </v>
      </c>
      <c r="L3175" s="27"/>
    </row>
    <row r="3176" spans="1:12">
      <c r="A3176" s="20" t="s">
        <v>1857</v>
      </c>
      <c r="E3176" s="22">
        <f>IF(D3176="?OLD","!!!","")</f>
        <v/>
      </c>
      <c r="F3176" s="23" t="str">
        <f>IF(OR(E3176="",E3176="!!!"),"",IF(NOT(ISNA(VLOOKUP(E3176,E$1:E3175,1,FALSE()))),"OLD",IF(AND(E3176&lt;&gt;"",E3176&lt;&gt;"!!!"),"NEW","")))</f>
        <v> </v>
      </c>
      <c r="G3176" s="24" t="str">
        <f>IF(OR(E3176="",E3176="!!!"),"",IF(OR(J3176=0,AND(J3176=1,K3176=1),AND(J3176=1,I3176="SBJ"),AND(J3176=1,I3176=0)),"?IN_FOCUS",IF(J3176&lt;=2,"?ACTIVATED",IF(J3176&lt;&gt;"","?FAMILIAR",IF(F3176="NEW",IF(ISNA(VLOOKUP(E3176,#REF!,1,FALSE())),"?TYPE_IDENTIFIABLE","?REFERENTIAL"),"_")))))</f>
        <v> </v>
      </c>
      <c r="H3176" s="25" t="str">
        <f>IF(J3176&lt;&gt;1,"",IF(I3176="SBJ","CB","?"))</f>
        <v> </v>
      </c>
      <c r="I3176" s="26" t="str">
        <f>IF(OR(E3176="",E3176="!!!",F3176="NEW"),"",INDEX(B3175:B$2,-1+SUMPRODUCT(MAX(ROW(E3175:E$2)*(E3176=E3175:E$2)))))</f>
        <v> </v>
      </c>
      <c r="J3176" s="26" t="str">
        <f>IF(OR(E3176="",E3176="!!!",F3176="NEW"),"",COUNTBLANK(OFFSET(A$1,,,SUMPRODUCT(MAX(ROW(E$2:E3176)*(E3176=E$2:E3176)))))-COUNTBLANK(OFFSET(A$1,,,SUMPRODUCT(MAX(ROW(E$1:E3175)*(E2=E$1:E3175))))))</f>
        <v> </v>
      </c>
      <c r="K3176" s="26" t="str">
        <f>IF(OR(E3176="",E3176="!!!",F3176="NEW"),"",INDEX(J$1:J3175,SUMPRODUCT(MAX(ROW(E$1:E3175)*(E3176=E$1:E3175)))))</f>
        <v> </v>
      </c>
      <c r="L3176" s="27"/>
    </row>
    <row r="3177" spans="1:12">
      <c r="A3177" s="20" t="s">
        <v>1858</v>
      </c>
      <c r="B3177" s="21" t="s">
        <v>736</v>
      </c>
      <c r="C3177" s="21" t="s">
        <v>748</v>
      </c>
      <c r="E3177" s="22">
        <f>IF(D3177="?OLD","!!!","")</f>
        <v/>
      </c>
      <c r="F3177" s="23" t="str">
        <f>IF(OR(E3177="",E3177="!!!"),"",IF(NOT(ISNA(VLOOKUP(E3177,E$1:E3176,1,FALSE()))),"OLD",IF(AND(E3177&lt;&gt;"",E3177&lt;&gt;"!!!"),"NEW","")))</f>
        <v> </v>
      </c>
      <c r="G3177" s="24" t="str">
        <f>IF(OR(E3177="",E3177="!!!"),"",IF(OR(J3177=0,AND(J3177=1,K3177=1),AND(J3177=1,I3177="SBJ"),AND(J3177=1,I3177=0)),"?IN_FOCUS",IF(J3177&lt;=2,"?ACTIVATED",IF(J3177&lt;&gt;"","?FAMILIAR",IF(F3177="NEW",IF(ISNA(VLOOKUP(E3177,#REF!,1,FALSE())),"?TYPE_IDENTIFIABLE","?REFERENTIAL"),"_")))))</f>
        <v> </v>
      </c>
      <c r="H3177" s="25" t="str">
        <f>IF(J3177&lt;&gt;1,"",IF(I3177="SBJ","CB","?"))</f>
        <v> </v>
      </c>
      <c r="I3177" s="26" t="str">
        <f>IF(OR(E3177="",E3177="!!!",F3177="NEW"),"",INDEX(B3176:B$2,-1+SUMPRODUCT(MAX(ROW(E3176:E$2)*(E3177=E3176:E$2)))))</f>
        <v> </v>
      </c>
      <c r="J3177" s="26" t="str">
        <f>IF(OR(E3177="",E3177="!!!",F3177="NEW"),"",COUNTBLANK(OFFSET(A$1,,,SUMPRODUCT(MAX(ROW(E$2:E3177)*(E3177=E$2:E3177)))))-COUNTBLANK(OFFSET(A$1,,,SUMPRODUCT(MAX(ROW(E$1:E3176)*(E2=E$1:E3176))))))</f>
        <v> </v>
      </c>
      <c r="K3177" s="26" t="str">
        <f>IF(OR(E3177="",E3177="!!!",F3177="NEW"),"",INDEX(J$1:J3176,SUMPRODUCT(MAX(ROW(E$1:E3176)*(E3177=E$1:E3176)))))</f>
        <v> </v>
      </c>
      <c r="L3177" s="27"/>
    </row>
    <row r="3178" spans="1:12">
      <c r="A3178" s="20" t="s">
        <v>246</v>
      </c>
      <c r="E3178" s="22">
        <f>IF(D3178="?OLD","!!!","")</f>
        <v/>
      </c>
      <c r="F3178" s="23" t="str">
        <f>IF(OR(E3178="",E3178="!!!"),"",IF(NOT(ISNA(VLOOKUP(E3178,E$1:E3177,1,FALSE()))),"OLD",IF(AND(E3178&lt;&gt;"",E3178&lt;&gt;"!!!"),"NEW","")))</f>
        <v> </v>
      </c>
      <c r="G3178" s="24" t="str">
        <f>IF(OR(E3178="",E3178="!!!"),"",IF(OR(J3178=0,AND(J3178=1,K3178=1),AND(J3178=1,I3178="SBJ"),AND(J3178=1,I3178=0)),"?IN_FOCUS",IF(J3178&lt;=2,"?ACTIVATED",IF(J3178&lt;&gt;"","?FAMILIAR",IF(F3178="NEW",IF(ISNA(VLOOKUP(E3178,#REF!,1,FALSE())),"?TYPE_IDENTIFIABLE","?REFERENTIAL"),"_")))))</f>
        <v> </v>
      </c>
      <c r="H3178" s="25" t="str">
        <f>IF(J3178&lt;&gt;1,"",IF(I3178="SBJ","CB","?"))</f>
        <v> </v>
      </c>
      <c r="I3178" s="26" t="str">
        <f>IF(OR(E3178="",E3178="!!!",F3178="NEW"),"",INDEX(B3177:B$2,-1+SUMPRODUCT(MAX(ROW(E3177:E$2)*(E3178=E3177:E$2)))))</f>
        <v> </v>
      </c>
      <c r="J3178" s="26" t="str">
        <f>IF(OR(E3178="",E3178="!!!",F3178="NEW"),"",COUNTBLANK(OFFSET(A$1,,,SUMPRODUCT(MAX(ROW(E$2:E3178)*(E3178=E$2:E3178)))))-COUNTBLANK(OFFSET(A$1,,,SUMPRODUCT(MAX(ROW(E$1:E3177)*(E2=E$1:E3177))))))</f>
        <v> </v>
      </c>
      <c r="K3178" s="26" t="str">
        <f>IF(OR(E3178="",E3178="!!!",F3178="NEW"),"",INDEX(J$1:J3177,SUMPRODUCT(MAX(ROW(E$1:E3177)*(E3178=E$1:E3177)))))</f>
        <v> </v>
      </c>
      <c r="L3178" s="27"/>
    </row>
    <row r="3179" spans="1:12">
      <c r="A3179" s="20"/>
    </row>
    <row r="3180" spans="1:12">
      <c r="A3180" s="20" t="s">
        <v>798</v>
      </c>
      <c r="E3180" s="22">
        <f>IF(D3180="?OLD","!!!","")</f>
        <v/>
      </c>
      <c r="F3180" s="23" t="str">
        <f>IF(OR(E3180="",E3180="!!!"),"",IF(NOT(ISNA(VLOOKUP(E3180,E$1:E3179,1,FALSE()))),"OLD",IF(AND(E3180&lt;&gt;"",E3180&lt;&gt;"!!!"),"NEW","")))</f>
        <v> </v>
      </c>
      <c r="G3180" s="24" t="str">
        <f>IF(OR(E3180="",E3180="!!!"),"",IF(OR(J3180=0,AND(J3180=1,K3180=1),AND(J3180=1,I3180="SBJ"),AND(J3180=1,I3180=0)),"?IN_FOCUS",IF(J3180&lt;=2,"?ACTIVATED",IF(J3180&lt;&gt;"","?FAMILIAR",IF(F3180="NEW",IF(ISNA(VLOOKUP(E3180,#REF!,1,FALSE())),"?TYPE_IDENTIFIABLE","?REFERENTIAL"),"_")))))</f>
        <v> </v>
      </c>
      <c r="H3180" s="25" t="str">
        <f>IF(J3180&lt;&gt;1,"",IF(I3180="SBJ","CB","?"))</f>
        <v> </v>
      </c>
      <c r="I3180" s="26" t="str">
        <f>IF(OR(E3180="",E3180="!!!",F3180="NEW"),"",INDEX(B3179:B$2,-1+SUMPRODUCT(MAX(ROW(E3179:E$2)*(E3180=E3179:E$2)))))</f>
        <v> </v>
      </c>
      <c r="J3180" s="26" t="str">
        <f>IF(OR(E3180="",E3180="!!!",F3180="NEW"),"",COUNTBLANK(OFFSET(A$1,,,SUMPRODUCT(MAX(ROW(E$2:E3180)*(E3180=E$2:E3180)))))-COUNTBLANK(OFFSET(A$1,,,SUMPRODUCT(MAX(ROW(E$1:E3179)*(E2=E$1:E3179))))))</f>
        <v> </v>
      </c>
      <c r="K3180" s="26" t="str">
        <f>IF(OR(E3180="",E3180="!!!",F3180="NEW"),"",INDEX(J$1:J3179,SUMPRODUCT(MAX(ROW(E$1:E3179)*(E3180=E$1:E3179)))))</f>
        <v> </v>
      </c>
      <c r="L3180" s="27"/>
    </row>
    <row r="3181" spans="1:12">
      <c r="A3181" s="20" t="s">
        <v>1859</v>
      </c>
    </row>
    <row r="3182" spans="1:12">
      <c r="A3182" s="20" t="s">
        <v>1382</v>
      </c>
      <c r="B3182" s="21" t="s">
        <v>728</v>
      </c>
      <c r="C3182" s="21" t="s">
        <v>789</v>
      </c>
      <c r="D3182" s="21" t="s">
        <v>730</v>
      </c>
      <c r="E3182" s="22">
        <f>IF(D3182="?OLD","!!!","")</f>
        <v/>
      </c>
      <c r="F3182" s="23" t="str">
        <f>IF(OR(E3182="",E3182="!!!"),"",IF(NOT(ISNA(VLOOKUP(E3182,E$1:E3181,1,FALSE()))),"OLD",IF(AND(E3182&lt;&gt;"",E3182&lt;&gt;"!!!"),"NEW","")))</f>
        <v> </v>
      </c>
      <c r="G3182" s="24" t="str">
        <f>IF(OR(E3182="",E3182="!!!"),"",IF(OR(J3182=0,AND(J3182=1,K3182=1),AND(J3182=1,I3182="SBJ"),AND(J3182=1,I3182=0)),"?IN_FOCUS",IF(J3182&lt;=2,"?ACTIVATED",IF(J3182&lt;&gt;"","?FAMILIAR",IF(F3182="NEW",IF(ISNA(VLOOKUP(E3182,#REF!,1,FALSE())),"?TYPE_IDENTIFIABLE","?REFERENTIAL"),"_")))))</f>
        <v> </v>
      </c>
      <c r="H3182" s="25" t="str">
        <f>IF(J3182&lt;&gt;1,"",IF(I3182="SBJ","CB","?"))</f>
        <v> </v>
      </c>
      <c r="I3182" s="26" t="str">
        <f>IF(OR(E3182="",E3182="!!!",F3182="NEW"),"",INDEX(B3181:B$2,-1+SUMPRODUCT(MAX(ROW(E3181:E$2)*(E3182=E3181:E$2)))))</f>
        <v> </v>
      </c>
      <c r="J3182" s="26" t="str">
        <f>IF(OR(E3182="",E3182="!!!",F3182="NEW"),"",COUNTBLANK(OFFSET(A$1,,,SUMPRODUCT(MAX(ROW(E$2:E3182)*(E3182=E$2:E3182)))))-COUNTBLANK(OFFSET(A$1,,,SUMPRODUCT(MAX(ROW(E$1:E3181)*(E2=E$1:E3181))))))</f>
        <v> </v>
      </c>
      <c r="K3182" s="26" t="str">
        <f>IF(OR(E3182="",E3182="!!!",F3182="NEW"),"",INDEX(J$1:J3181,SUMPRODUCT(MAX(ROW(E$1:E3181)*(E3182=E$1:E3181)))))</f>
        <v> </v>
      </c>
      <c r="L3182" s="27"/>
    </row>
    <row r="3183" spans="1:12">
      <c r="A3183" s="20" t="s">
        <v>1603</v>
      </c>
      <c r="E3183" s="22">
        <f>IF(D3183="?OLD","!!!","")</f>
        <v/>
      </c>
      <c r="F3183" s="23" t="str">
        <f>IF(OR(E3183="",E3183="!!!"),"",IF(NOT(ISNA(VLOOKUP(E3183,E$1:E3182,1,FALSE()))),"OLD",IF(AND(E3183&lt;&gt;"",E3183&lt;&gt;"!!!"),"NEW","")))</f>
        <v> </v>
      </c>
      <c r="G3183" s="24" t="str">
        <f>IF(OR(E3183="",E3183="!!!"),"",IF(OR(J3183=0,AND(J3183=1,K3183=1),AND(J3183=1,I3183="SBJ"),AND(J3183=1,I3183=0)),"?IN_FOCUS",IF(J3183&lt;=2,"?ACTIVATED",IF(J3183&lt;&gt;"","?FAMILIAR",IF(F3183="NEW",IF(ISNA(VLOOKUP(E3183,#REF!,1,FALSE())),"?TYPE_IDENTIFIABLE","?REFERENTIAL"),"_")))))</f>
        <v> </v>
      </c>
      <c r="H3183" s="25" t="str">
        <f>IF(J3183&lt;&gt;1,"",IF(I3183="SBJ","CB","?"))</f>
        <v> </v>
      </c>
      <c r="I3183" s="26" t="str">
        <f>IF(OR(E3183="",E3183="!!!",F3183="NEW"),"",INDEX(B3182:B$2,-1+SUMPRODUCT(MAX(ROW(E3182:E$2)*(E3183=E3182:E$2)))))</f>
        <v> </v>
      </c>
      <c r="J3183" s="26" t="str">
        <f>IF(OR(E3183="",E3183="!!!",F3183="NEW"),"",COUNTBLANK(OFFSET(A$1,,,SUMPRODUCT(MAX(ROW(E$2:E3183)*(E3183=E$2:E3183)))))-COUNTBLANK(OFFSET(A$1,,,SUMPRODUCT(MAX(ROW(E$1:E3182)*(E2=E$1:E3182))))))</f>
        <v> </v>
      </c>
      <c r="K3183" s="26" t="str">
        <f>IF(OR(E3183="",E3183="!!!",F3183="NEW"),"",INDEX(J$1:J3182,SUMPRODUCT(MAX(ROW(E$1:E3182)*(E3183=E$1:E3182)))))</f>
        <v> </v>
      </c>
      <c r="L3183" s="27"/>
    </row>
    <row r="3184" spans="1:12">
      <c r="A3184" s="20" t="s">
        <v>817</v>
      </c>
      <c r="E3184" s="22">
        <f>IF(D3184="?OLD","!!!","")</f>
        <v/>
      </c>
      <c r="F3184" s="23" t="str">
        <f>IF(OR(E3184="",E3184="!!!"),"",IF(NOT(ISNA(VLOOKUP(E3184,E$1:E3183,1,FALSE()))),"OLD",IF(AND(E3184&lt;&gt;"",E3184&lt;&gt;"!!!"),"NEW","")))</f>
        <v> </v>
      </c>
      <c r="G3184" s="24" t="str">
        <f>IF(OR(E3184="",E3184="!!!"),"",IF(OR(J3184=0,AND(J3184=1,K3184=1),AND(J3184=1,I3184="SBJ"),AND(J3184=1,I3184=0)),"?IN_FOCUS",IF(J3184&lt;=2,"?ACTIVATED",IF(J3184&lt;&gt;"","?FAMILIAR",IF(F3184="NEW",IF(ISNA(VLOOKUP(E3184,#REF!,1,FALSE())),"?TYPE_IDENTIFIABLE","?REFERENTIAL"),"_")))))</f>
        <v> </v>
      </c>
      <c r="H3184" s="25" t="str">
        <f>IF(J3184&lt;&gt;1,"",IF(I3184="SBJ","CB","?"))</f>
        <v> </v>
      </c>
      <c r="I3184" s="26" t="str">
        <f>IF(OR(E3184="",E3184="!!!",F3184="NEW"),"",INDEX(B3183:B$2,-1+SUMPRODUCT(MAX(ROW(E3183:E$2)*(E3184=E3183:E$2)))))</f>
        <v> </v>
      </c>
      <c r="J3184" s="26" t="str">
        <f>IF(OR(E3184="",E3184="!!!",F3184="NEW"),"",COUNTBLANK(OFFSET(A$1,,,SUMPRODUCT(MAX(ROW(E$2:E3184)*(E3184=E$2:E3184)))))-COUNTBLANK(OFFSET(A$1,,,SUMPRODUCT(MAX(ROW(E$1:E3183)*(E2=E$1:E3183))))))</f>
        <v> </v>
      </c>
      <c r="K3184" s="26" t="str">
        <f>IF(OR(E3184="",E3184="!!!",F3184="NEW"),"",INDEX(J$1:J3183,SUMPRODUCT(MAX(ROW(E$1:E3183)*(E3184=E$1:E3183)))))</f>
        <v> </v>
      </c>
      <c r="L3184" s="27"/>
    </row>
    <row r="3185" spans="1:12">
      <c r="A3185" s="20" t="s">
        <v>1316</v>
      </c>
      <c r="B3185" s="21" t="s">
        <v>764</v>
      </c>
      <c r="C3185" s="21" t="s">
        <v>740</v>
      </c>
      <c r="D3185" s="21" t="s">
        <v>730</v>
      </c>
      <c r="E3185" s="22">
        <f>IF(D3185="?OLD","!!!","")</f>
        <v/>
      </c>
      <c r="F3185" s="23" t="str">
        <f>IF(OR(E3185="",E3185="!!!"),"",IF(NOT(ISNA(VLOOKUP(E3185,E$1:E3184,1,FALSE()))),"OLD",IF(AND(E3185&lt;&gt;"",E3185&lt;&gt;"!!!"),"NEW","")))</f>
        <v> </v>
      </c>
      <c r="G3185" s="24" t="str">
        <f>IF(OR(E3185="",E3185="!!!"),"",IF(OR(J3185=0,AND(J3185=1,K3185=1),AND(J3185=1,I3185="SBJ"),AND(J3185=1,I3185=0)),"?IN_FOCUS",IF(J3185&lt;=2,"?ACTIVATED",IF(J3185&lt;&gt;"","?FAMILIAR",IF(F3185="NEW",IF(ISNA(VLOOKUP(E3185,#REF!,1,FALSE())),"?TYPE_IDENTIFIABLE","?REFERENTIAL"),"_")))))</f>
        <v> </v>
      </c>
      <c r="H3185" s="25" t="str">
        <f>IF(J3185&lt;&gt;1,"",IF(I3185="SBJ","CB","?"))</f>
        <v> </v>
      </c>
      <c r="I3185" s="26" t="str">
        <f>IF(OR(E3185="",E3185="!!!",F3185="NEW"),"",INDEX(B3184:B$2,-1+SUMPRODUCT(MAX(ROW(E3184:E$2)*(E3185=E3184:E$2)))))</f>
        <v> </v>
      </c>
      <c r="J3185" s="26" t="str">
        <f>IF(OR(E3185="",E3185="!!!",F3185="NEW"),"",COUNTBLANK(OFFSET(A$1,,,SUMPRODUCT(MAX(ROW(E$2:E3185)*(E3185=E$2:E3185)))))-COUNTBLANK(OFFSET(A$1,,,SUMPRODUCT(MAX(ROW(E$1:E3184)*(E2=E$1:E3184))))))</f>
        <v> </v>
      </c>
      <c r="K3185" s="26" t="str">
        <f>IF(OR(E3185="",E3185="!!!",F3185="NEW"),"",INDEX(J$1:J3184,SUMPRODUCT(MAX(ROW(E$1:E3184)*(E3185=E$1:E3184)))))</f>
        <v> </v>
      </c>
      <c r="L3185" s="27"/>
    </row>
    <row r="3186" spans="1:12">
      <c r="A3186" s="20" t="s">
        <v>817</v>
      </c>
      <c r="E3186" s="22">
        <f>IF(D3186="?OLD","!!!","")</f>
        <v/>
      </c>
      <c r="F3186" s="23" t="str">
        <f>IF(OR(E3186="",E3186="!!!"),"",IF(NOT(ISNA(VLOOKUP(E3186,E$1:E3185,1,FALSE()))),"OLD",IF(AND(E3186&lt;&gt;"",E3186&lt;&gt;"!!!"),"NEW","")))</f>
        <v> </v>
      </c>
      <c r="G3186" s="24" t="str">
        <f>IF(OR(E3186="",E3186="!!!"),"",IF(OR(J3186=0,AND(J3186=1,K3186=1),AND(J3186=1,I3186="SBJ"),AND(J3186=1,I3186=0)),"?IN_FOCUS",IF(J3186&lt;=2,"?ACTIVATED",IF(J3186&lt;&gt;"","?FAMILIAR",IF(F3186="NEW",IF(ISNA(VLOOKUP(E3186,#REF!,1,FALSE())),"?TYPE_IDENTIFIABLE","?REFERENTIAL"),"_")))))</f>
        <v> </v>
      </c>
      <c r="H3186" s="25" t="str">
        <f>IF(J3186&lt;&gt;1,"",IF(I3186="SBJ","CB","?"))</f>
        <v> </v>
      </c>
      <c r="I3186" s="26" t="str">
        <f>IF(OR(E3186="",E3186="!!!",F3186="NEW"),"",INDEX(B3185:B$2,-1+SUMPRODUCT(MAX(ROW(E3185:E$2)*(E3186=E3185:E$2)))))</f>
        <v> </v>
      </c>
      <c r="J3186" s="26" t="str">
        <f>IF(OR(E3186="",E3186="!!!",F3186="NEW"),"",COUNTBLANK(OFFSET(A$1,,,SUMPRODUCT(MAX(ROW(E$2:E3186)*(E3186=E$2:E3186)))))-COUNTBLANK(OFFSET(A$1,,,SUMPRODUCT(MAX(ROW(E$1:E3185)*(E2=E$1:E3185))))))</f>
        <v> </v>
      </c>
      <c r="K3186" s="26" t="str">
        <f>IF(OR(E3186="",E3186="!!!",F3186="NEW"),"",INDEX(J$1:J3185,SUMPRODUCT(MAX(ROW(E$1:E3185)*(E3186=E$1:E3185)))))</f>
        <v> </v>
      </c>
      <c r="L3186" s="27"/>
    </row>
    <row r="3187" spans="1:12">
      <c r="A3187" s="20" t="s">
        <v>732</v>
      </c>
      <c r="E3187" s="22">
        <f>IF(D3187="?OLD","!!!","")</f>
        <v/>
      </c>
      <c r="F3187" s="23" t="str">
        <f>IF(OR(E3187="",E3187="!!!"),"",IF(NOT(ISNA(VLOOKUP(E3187,E$1:E3186,1,FALSE()))),"OLD",IF(AND(E3187&lt;&gt;"",E3187&lt;&gt;"!!!"),"NEW","")))</f>
        <v> </v>
      </c>
      <c r="G3187" s="24" t="str">
        <f>IF(OR(E3187="",E3187="!!!"),"",IF(OR(J3187=0,AND(J3187=1,K3187=1),AND(J3187=1,I3187="SBJ"),AND(J3187=1,I3187=0)),"?IN_FOCUS",IF(J3187&lt;=2,"?ACTIVATED",IF(J3187&lt;&gt;"","?FAMILIAR",IF(F3187="NEW",IF(ISNA(VLOOKUP(E3187,#REF!,1,FALSE())),"?TYPE_IDENTIFIABLE","?REFERENTIAL"),"_")))))</f>
        <v> </v>
      </c>
      <c r="H3187" s="25" t="str">
        <f>IF(J3187&lt;&gt;1,"",IF(I3187="SBJ","CB","?"))</f>
        <v> </v>
      </c>
      <c r="I3187" s="26" t="str">
        <f>IF(OR(E3187="",E3187="!!!",F3187="NEW"),"",INDEX(B3186:B$2,-1+SUMPRODUCT(MAX(ROW(E3186:E$2)*(E3187=E3186:E$2)))))</f>
        <v> </v>
      </c>
      <c r="J3187" s="26" t="str">
        <f>IF(OR(E3187="",E3187="!!!",F3187="NEW"),"",COUNTBLANK(OFFSET(A$1,,,SUMPRODUCT(MAX(ROW(E$2:E3187)*(E3187=E$2:E3187)))))-COUNTBLANK(OFFSET(A$1,,,SUMPRODUCT(MAX(ROW(E$1:E3186)*(E2=E$1:E3186))))))</f>
        <v> </v>
      </c>
      <c r="K3187" s="26" t="str">
        <f>IF(OR(E3187="",E3187="!!!",F3187="NEW"),"",INDEX(J$1:J3186,SUMPRODUCT(MAX(ROW(E$1:E3186)*(E3187=E$1:E3186)))))</f>
        <v> </v>
      </c>
      <c r="L3187" s="27"/>
    </row>
    <row r="3188" spans="1:12">
      <c r="A3188" s="20" t="s">
        <v>733</v>
      </c>
      <c r="E3188" s="22">
        <f>IF(D3188="?OLD","!!!","")</f>
        <v/>
      </c>
      <c r="F3188" s="23" t="str">
        <f>IF(OR(E3188="",E3188="!!!"),"",IF(NOT(ISNA(VLOOKUP(E3188,E$1:E3187,1,FALSE()))),"OLD",IF(AND(E3188&lt;&gt;"",E3188&lt;&gt;"!!!"),"NEW","")))</f>
        <v> </v>
      </c>
      <c r="G3188" s="24" t="str">
        <f>IF(OR(E3188="",E3188="!!!"),"",IF(OR(J3188=0,AND(J3188=1,K3188=1),AND(J3188=1,I3188="SBJ"),AND(J3188=1,I3188=0)),"?IN_FOCUS",IF(J3188&lt;=2,"?ACTIVATED",IF(J3188&lt;&gt;"","?FAMILIAR",IF(F3188="NEW",IF(ISNA(VLOOKUP(E3188,#REF!,1,FALSE())),"?TYPE_IDENTIFIABLE","?REFERENTIAL"),"_")))))</f>
        <v> </v>
      </c>
      <c r="H3188" s="25" t="str">
        <f>IF(J3188&lt;&gt;1,"",IF(I3188="SBJ","CB","?"))</f>
        <v> </v>
      </c>
      <c r="I3188" s="26" t="str">
        <f>IF(OR(E3188="",E3188="!!!",F3188="NEW"),"",INDEX(B3187:B$2,-1+SUMPRODUCT(MAX(ROW(E3187:E$2)*(E3188=E3187:E$2)))))</f>
        <v> </v>
      </c>
      <c r="J3188" s="26" t="str">
        <f>IF(OR(E3188="",E3188="!!!",F3188="NEW"),"",COUNTBLANK(OFFSET(A$1,,,SUMPRODUCT(MAX(ROW(E$2:E3188)*(E3188=E$2:E3188)))))-COUNTBLANK(OFFSET(A$1,,,SUMPRODUCT(MAX(ROW(E$1:E3187)*(E2=E$1:E3187))))))</f>
        <v> </v>
      </c>
      <c r="K3188" s="26" t="str">
        <f>IF(OR(E3188="",E3188="!!!",F3188="NEW"),"",INDEX(J$1:J3187,SUMPRODUCT(MAX(ROW(E$1:E3187)*(E3188=E$1:E3187)))))</f>
        <v> </v>
      </c>
      <c r="L3188" s="27"/>
    </row>
    <row r="3189" spans="1:12">
      <c r="A3189" s="20" t="s">
        <v>1860</v>
      </c>
      <c r="E3189" s="22">
        <f>IF(D3189="?OLD","!!!","")</f>
        <v/>
      </c>
      <c r="F3189" s="23" t="str">
        <f>IF(OR(E3189="",E3189="!!!"),"",IF(NOT(ISNA(VLOOKUP(E3189,E$1:E3188,1,FALSE()))),"OLD",IF(AND(E3189&lt;&gt;"",E3189&lt;&gt;"!!!"),"NEW","")))</f>
        <v> </v>
      </c>
      <c r="G3189" s="24" t="str">
        <f>IF(OR(E3189="",E3189="!!!"),"",IF(OR(J3189=0,AND(J3189=1,K3189=1),AND(J3189=1,I3189="SBJ"),AND(J3189=1,I3189=0)),"?IN_FOCUS",IF(J3189&lt;=2,"?ACTIVATED",IF(J3189&lt;&gt;"","?FAMILIAR",IF(F3189="NEW",IF(ISNA(VLOOKUP(E3189,#REF!,1,FALSE())),"?TYPE_IDENTIFIABLE","?REFERENTIAL"),"_")))))</f>
        <v> </v>
      </c>
      <c r="H3189" s="25" t="str">
        <f>IF(J3189&lt;&gt;1,"",IF(I3189="SBJ","CB","?"))</f>
        <v> </v>
      </c>
      <c r="I3189" s="26" t="str">
        <f>IF(OR(E3189="",E3189="!!!",F3189="NEW"),"",INDEX(B3188:B$2,-1+SUMPRODUCT(MAX(ROW(E3188:E$2)*(E3189=E3188:E$2)))))</f>
        <v> </v>
      </c>
      <c r="J3189" s="26" t="str">
        <f>IF(OR(E3189="",E3189="!!!",F3189="NEW"),"",COUNTBLANK(OFFSET(A$1,,,SUMPRODUCT(MAX(ROW(E$2:E3189)*(E3189=E$2:E3189)))))-COUNTBLANK(OFFSET(A$1,,,SUMPRODUCT(MAX(ROW(E$1:E3188)*(E2=E$1:E3188))))))</f>
        <v> </v>
      </c>
      <c r="K3189" s="26" t="str">
        <f>IF(OR(E3189="",E3189="!!!",F3189="NEW"),"",INDEX(J$1:J3188,SUMPRODUCT(MAX(ROW(E$1:E3188)*(E3189=E$1:E3188)))))</f>
        <v> </v>
      </c>
      <c r="L3189" s="27"/>
    </row>
    <row r="3190" spans="1:12">
      <c r="A3190" s="20" t="s">
        <v>1826</v>
      </c>
      <c r="B3190" s="21" t="s">
        <v>736</v>
      </c>
      <c r="C3190" s="21" t="s">
        <v>737</v>
      </c>
      <c r="E3190" s="22">
        <f>IF(D3190="?OLD","!!!","")</f>
        <v/>
      </c>
      <c r="F3190" s="23" t="str">
        <f>IF(OR(E3190="",E3190="!!!"),"",IF(NOT(ISNA(VLOOKUP(E3190,E$1:E3189,1,FALSE()))),"OLD",IF(AND(E3190&lt;&gt;"",E3190&lt;&gt;"!!!"),"NEW","")))</f>
        <v> </v>
      </c>
      <c r="G3190" s="24" t="str">
        <f>IF(OR(E3190="",E3190="!!!"),"",IF(OR(J3190=0,AND(J3190=1,K3190=1),AND(J3190=1,I3190="SBJ"),AND(J3190=1,I3190=0)),"?IN_FOCUS",IF(J3190&lt;=2,"?ACTIVATED",IF(J3190&lt;&gt;"","?FAMILIAR",IF(F3190="NEW",IF(ISNA(VLOOKUP(E3190,#REF!,1,FALSE())),"?TYPE_IDENTIFIABLE","?REFERENTIAL"),"_")))))</f>
        <v> </v>
      </c>
      <c r="H3190" s="25" t="str">
        <f>IF(J3190&lt;&gt;1,"",IF(I3190="SBJ","CB","?"))</f>
        <v> </v>
      </c>
      <c r="I3190" s="26" t="str">
        <f>IF(OR(E3190="",E3190="!!!",F3190="NEW"),"",INDEX(B3189:B$2,-1+SUMPRODUCT(MAX(ROW(E3189:E$2)*(E3190=E3189:E$2)))))</f>
        <v> </v>
      </c>
      <c r="J3190" s="26" t="str">
        <f>IF(OR(E3190="",E3190="!!!",F3190="NEW"),"",COUNTBLANK(OFFSET(A$1,,,SUMPRODUCT(MAX(ROW(E$2:E3190)*(E3190=E$2:E3190)))))-COUNTBLANK(OFFSET(A$1,,,SUMPRODUCT(MAX(ROW(E$1:E3189)*(E2=E$1:E3189))))))</f>
        <v> </v>
      </c>
      <c r="K3190" s="26" t="str">
        <f>IF(OR(E3190="",E3190="!!!",F3190="NEW"),"",INDEX(J$1:J3189,SUMPRODUCT(MAX(ROW(E$1:E3189)*(E3190=E$1:E3189)))))</f>
        <v> </v>
      </c>
      <c r="L3190" s="27"/>
    </row>
    <row r="3191" spans="1:12">
      <c r="A3191" s="20" t="s">
        <v>759</v>
      </c>
      <c r="E3191" s="22">
        <f>IF(D3191="?OLD","!!!","")</f>
        <v/>
      </c>
      <c r="F3191" s="23" t="str">
        <f>IF(OR(E3191="",E3191="!!!"),"",IF(NOT(ISNA(VLOOKUP(E3191,E$1:E3190,1,FALSE()))),"OLD",IF(AND(E3191&lt;&gt;"",E3191&lt;&gt;"!!!"),"NEW","")))</f>
        <v> </v>
      </c>
      <c r="G3191" s="24" t="str">
        <f>IF(OR(E3191="",E3191="!!!"),"",IF(OR(J3191=0,AND(J3191=1,K3191=1),AND(J3191=1,I3191="SBJ"),AND(J3191=1,I3191=0)),"?IN_FOCUS",IF(J3191&lt;=2,"?ACTIVATED",IF(J3191&lt;&gt;"","?FAMILIAR",IF(F3191="NEW",IF(ISNA(VLOOKUP(E3191,#REF!,1,FALSE())),"?TYPE_IDENTIFIABLE","?REFERENTIAL"),"_")))))</f>
        <v> </v>
      </c>
      <c r="H3191" s="25" t="str">
        <f>IF(J3191&lt;&gt;1,"",IF(I3191="SBJ","CB","?"))</f>
        <v> </v>
      </c>
      <c r="I3191" s="26" t="str">
        <f>IF(OR(E3191="",E3191="!!!",F3191="NEW"),"",INDEX(B3190:B$2,-1+SUMPRODUCT(MAX(ROW(E3190:E$2)*(E3191=E3190:E$2)))))</f>
        <v> </v>
      </c>
      <c r="J3191" s="26" t="str">
        <f>IF(OR(E3191="",E3191="!!!",F3191="NEW"),"",COUNTBLANK(OFFSET(A$1,,,SUMPRODUCT(MAX(ROW(E$2:E3191)*(E3191=E$2:E3191)))))-COUNTBLANK(OFFSET(A$1,,,SUMPRODUCT(MAX(ROW(E$1:E3190)*(E2=E$1:E3190))))))</f>
        <v> </v>
      </c>
      <c r="K3191" s="26" t="str">
        <f>IF(OR(E3191="",E3191="!!!",F3191="NEW"),"",INDEX(J$1:J3190,SUMPRODUCT(MAX(ROW(E$1:E3190)*(E3191=E$1:E3190)))))</f>
        <v> </v>
      </c>
      <c r="L3191" s="27"/>
    </row>
    <row r="3192" spans="1:12">
      <c r="A3192" s="20" t="s">
        <v>813</v>
      </c>
      <c r="B3192" s="21" t="s">
        <v>788</v>
      </c>
      <c r="E3192" s="22">
        <f>IF(D3192="?OLD","!!!","")</f>
        <v/>
      </c>
      <c r="F3192" s="23" t="str">
        <f>IF(OR(E3192="",E3192="!!!"),"",IF(NOT(ISNA(VLOOKUP(E3192,E$1:E3191,1,FALSE()))),"OLD",IF(AND(E3192&lt;&gt;"",E3192&lt;&gt;"!!!"),"NEW","")))</f>
        <v> </v>
      </c>
      <c r="G3192" s="24" t="str">
        <f>IF(OR(E3192="",E3192="!!!"),"",IF(OR(J3192=0,AND(J3192=1,K3192=1),AND(J3192=1,I3192="SBJ"),AND(J3192=1,I3192=0)),"?IN_FOCUS",IF(J3192&lt;=2,"?ACTIVATED",IF(J3192&lt;&gt;"","?FAMILIAR",IF(F3192="NEW",IF(ISNA(VLOOKUP(E3192,#REF!,1,FALSE())),"?TYPE_IDENTIFIABLE","?REFERENTIAL"),"_")))))</f>
        <v> </v>
      </c>
      <c r="H3192" s="25" t="str">
        <f>IF(J3192&lt;&gt;1,"",IF(I3192="SBJ","CB","?"))</f>
        <v> </v>
      </c>
      <c r="I3192" s="26" t="str">
        <f>IF(OR(E3192="",E3192="!!!",F3192="NEW"),"",INDEX(B3191:B$2,-1+SUMPRODUCT(MAX(ROW(E3191:E$2)*(E3192=E3191:E$2)))))</f>
        <v> </v>
      </c>
      <c r="J3192" s="26" t="str">
        <f>IF(OR(E3192="",E3192="!!!",F3192="NEW"),"",COUNTBLANK(OFFSET(A$1,,,SUMPRODUCT(MAX(ROW(E$2:E3192)*(E3192=E$2:E3192)))))-COUNTBLANK(OFFSET(A$1,,,SUMPRODUCT(MAX(ROW(E$1:E3191)*(E2=E$1:E3191))))))</f>
        <v> </v>
      </c>
      <c r="K3192" s="26" t="str">
        <f>IF(OR(E3192="",E3192="!!!",F3192="NEW"),"",INDEX(J$1:J3191,SUMPRODUCT(MAX(ROW(E$1:E3191)*(E3192=E$1:E3191)))))</f>
        <v> </v>
      </c>
      <c r="L3192" s="27"/>
    </row>
    <row r="3193" spans="1:12">
      <c r="A3193" s="20" t="s">
        <v>899</v>
      </c>
      <c r="B3193" s="21" t="s">
        <v>788</v>
      </c>
      <c r="C3193" s="21" t="s">
        <v>729</v>
      </c>
      <c r="D3193" s="21" t="s">
        <v>730</v>
      </c>
      <c r="E3193" s="22">
        <f>IF(D3193="?OLD","!!!","")</f>
        <v/>
      </c>
      <c r="F3193" s="23" t="str">
        <f>IF(OR(E3193="",E3193="!!!"),"",IF(NOT(ISNA(VLOOKUP(E3193,E$1:E3192,1,FALSE()))),"OLD",IF(AND(E3193&lt;&gt;"",E3193&lt;&gt;"!!!"),"NEW","")))</f>
        <v> </v>
      </c>
      <c r="G3193" s="24" t="str">
        <f>IF(OR(E3193="",E3193="!!!"),"",IF(OR(J3193=0,AND(J3193=1,K3193=1),AND(J3193=1,I3193="SBJ"),AND(J3193=1,I3193=0)),"?IN_FOCUS",IF(J3193&lt;=2,"?ACTIVATED",IF(J3193&lt;&gt;"","?FAMILIAR",IF(F3193="NEW",IF(ISNA(VLOOKUP(E3193,#REF!,1,FALSE())),"?TYPE_IDENTIFIABLE","?REFERENTIAL"),"_")))))</f>
        <v> </v>
      </c>
      <c r="H3193" s="25" t="str">
        <f>IF(J3193&lt;&gt;1,"",IF(I3193="SBJ","CB","?"))</f>
        <v> </v>
      </c>
      <c r="I3193" s="26" t="str">
        <f>IF(OR(E3193="",E3193="!!!",F3193="NEW"),"",INDEX(B3192:B$2,-1+SUMPRODUCT(MAX(ROW(E3192:E$2)*(E3193=E3192:E$2)))))</f>
        <v> </v>
      </c>
      <c r="J3193" s="26" t="str">
        <f>IF(OR(E3193="",E3193="!!!",F3193="NEW"),"",COUNTBLANK(OFFSET(A$1,,,SUMPRODUCT(MAX(ROW(E$2:E3193)*(E3193=E$2:E3193)))))-COUNTBLANK(OFFSET(A$1,,,SUMPRODUCT(MAX(ROW(E$1:E3192)*(E2=E$1:E3192))))))</f>
        <v> </v>
      </c>
      <c r="K3193" s="26" t="str">
        <f>IF(OR(E3193="",E3193="!!!",F3193="NEW"),"",INDEX(J$1:J3192,SUMPRODUCT(MAX(ROW(E$1:E3192)*(E3193=E$1:E3192)))))</f>
        <v> </v>
      </c>
      <c r="L3193" s="27"/>
    </row>
    <row r="3194" spans="1:12">
      <c r="A3194" s="20" t="s">
        <v>878</v>
      </c>
      <c r="E3194" s="22">
        <f>IF(D3194="?OLD","!!!","")</f>
        <v/>
      </c>
      <c r="F3194" s="23" t="str">
        <f>IF(OR(E3194="",E3194="!!!"),"",IF(NOT(ISNA(VLOOKUP(E3194,E$1:E3193,1,FALSE()))),"OLD",IF(AND(E3194&lt;&gt;"",E3194&lt;&gt;"!!!"),"NEW","")))</f>
        <v> </v>
      </c>
      <c r="G3194" s="24" t="str">
        <f>IF(OR(E3194="",E3194="!!!"),"",IF(OR(J3194=0,AND(J3194=1,K3194=1),AND(J3194=1,I3194="SBJ"),AND(J3194=1,I3194=0)),"?IN_FOCUS",IF(J3194&lt;=2,"?ACTIVATED",IF(J3194&lt;&gt;"","?FAMILIAR",IF(F3194="NEW",IF(ISNA(VLOOKUP(E3194,#REF!,1,FALSE())),"?TYPE_IDENTIFIABLE","?REFERENTIAL"),"_")))))</f>
        <v> </v>
      </c>
      <c r="H3194" s="25" t="str">
        <f>IF(J3194&lt;&gt;1,"",IF(I3194="SBJ","CB","?"))</f>
        <v> </v>
      </c>
      <c r="I3194" s="26" t="str">
        <f>IF(OR(E3194="",E3194="!!!",F3194="NEW"),"",INDEX(B3193:B$2,-1+SUMPRODUCT(MAX(ROW(E3193:E$2)*(E3194=E3193:E$2)))))</f>
        <v> </v>
      </c>
      <c r="J3194" s="26" t="str">
        <f>IF(OR(E3194="",E3194="!!!",F3194="NEW"),"",COUNTBLANK(OFFSET(A$1,,,SUMPRODUCT(MAX(ROW(E$2:E3194)*(E3194=E$2:E3194)))))-COUNTBLANK(OFFSET(A$1,,,SUMPRODUCT(MAX(ROW(E$1:E3193)*(E2=E$1:E3193))))))</f>
        <v> </v>
      </c>
      <c r="K3194" s="26" t="str">
        <f>IF(OR(E3194="",E3194="!!!",F3194="NEW"),"",INDEX(J$1:J3193,SUMPRODUCT(MAX(ROW(E$1:E3193)*(E3194=E$1:E3193)))))</f>
        <v> </v>
      </c>
      <c r="L3194" s="27"/>
    </row>
    <row r="3195" spans="1:12">
      <c r="A3195" s="20" t="s">
        <v>902</v>
      </c>
      <c r="E3195" s="22">
        <f>IF(D3195="?OLD","!!!","")</f>
        <v/>
      </c>
      <c r="F3195" s="23" t="str">
        <f>IF(OR(E3195="",E3195="!!!"),"",IF(NOT(ISNA(VLOOKUP(E3195,E$1:E3194,1,FALSE()))),"OLD",IF(AND(E3195&lt;&gt;"",E3195&lt;&gt;"!!!"),"NEW","")))</f>
        <v> </v>
      </c>
      <c r="G3195" s="24" t="str">
        <f>IF(OR(E3195="",E3195="!!!"),"",IF(OR(J3195=0,AND(J3195=1,K3195=1),AND(J3195=1,I3195="SBJ"),AND(J3195=1,I3195=0)),"?IN_FOCUS",IF(J3195&lt;=2,"?ACTIVATED",IF(J3195&lt;&gt;"","?FAMILIAR",IF(F3195="NEW",IF(ISNA(VLOOKUP(E3195,#REF!,1,FALSE())),"?TYPE_IDENTIFIABLE","?REFERENTIAL"),"_")))))</f>
        <v> </v>
      </c>
      <c r="H3195" s="25" t="str">
        <f>IF(J3195&lt;&gt;1,"",IF(I3195="SBJ","CB","?"))</f>
        <v> </v>
      </c>
      <c r="I3195" s="26" t="str">
        <f>IF(OR(E3195="",E3195="!!!",F3195="NEW"),"",INDEX(B3194:B$2,-1+SUMPRODUCT(MAX(ROW(E3194:E$2)*(E3195=E3194:E$2)))))</f>
        <v> </v>
      </c>
      <c r="J3195" s="26" t="str">
        <f>IF(OR(E3195="",E3195="!!!",F3195="NEW"),"",COUNTBLANK(OFFSET(A$1,,,SUMPRODUCT(MAX(ROW(E$2:E3195)*(E3195=E$2:E3195)))))-COUNTBLANK(OFFSET(A$1,,,SUMPRODUCT(MAX(ROW(E$1:E3194)*(E2=E$1:E3194))))))</f>
        <v> </v>
      </c>
      <c r="K3195" s="26" t="str">
        <f>IF(OR(E3195="",E3195="!!!",F3195="NEW"),"",INDEX(J$1:J3194,SUMPRODUCT(MAX(ROW(E$1:E3194)*(E3195=E$1:E3194)))))</f>
        <v> </v>
      </c>
      <c r="L3195" s="27"/>
    </row>
    <row r="3196" spans="1:12">
      <c r="A3196" s="20" t="s">
        <v>810</v>
      </c>
      <c r="E3196" s="22">
        <f>IF(D3196="?OLD","!!!","")</f>
        <v/>
      </c>
      <c r="F3196" s="23" t="str">
        <f>IF(OR(E3196="",E3196="!!!"),"",IF(NOT(ISNA(VLOOKUP(E3196,E$1:E3195,1,FALSE()))),"OLD",IF(AND(E3196&lt;&gt;"",E3196&lt;&gt;"!!!"),"NEW","")))</f>
        <v> </v>
      </c>
      <c r="G3196" s="24" t="str">
        <f>IF(OR(E3196="",E3196="!!!"),"",IF(OR(J3196=0,AND(J3196=1,K3196=1),AND(J3196=1,I3196="SBJ"),AND(J3196=1,I3196=0)),"?IN_FOCUS",IF(J3196&lt;=2,"?ACTIVATED",IF(J3196&lt;&gt;"","?FAMILIAR",IF(F3196="NEW",IF(ISNA(VLOOKUP(E3196,#REF!,1,FALSE())),"?TYPE_IDENTIFIABLE","?REFERENTIAL"),"_")))))</f>
        <v> </v>
      </c>
      <c r="H3196" s="25" t="str">
        <f>IF(J3196&lt;&gt;1,"",IF(I3196="SBJ","CB","?"))</f>
        <v> </v>
      </c>
      <c r="I3196" s="26" t="str">
        <f>IF(OR(E3196="",E3196="!!!",F3196="NEW"),"",INDEX(B3195:B$2,-1+SUMPRODUCT(MAX(ROW(E3195:E$2)*(E3196=E3195:E$2)))))</f>
        <v> </v>
      </c>
      <c r="J3196" s="26" t="str">
        <f>IF(OR(E3196="",E3196="!!!",F3196="NEW"),"",COUNTBLANK(OFFSET(A$1,,,SUMPRODUCT(MAX(ROW(E$2:E3196)*(E3196=E$2:E3196)))))-COUNTBLANK(OFFSET(A$1,,,SUMPRODUCT(MAX(ROW(E$1:E3195)*(E2=E$1:E3195))))))</f>
        <v> </v>
      </c>
      <c r="K3196" s="26" t="str">
        <f>IF(OR(E3196="",E3196="!!!",F3196="NEW"),"",INDEX(J$1:J3195,SUMPRODUCT(MAX(ROW(E$1:E3195)*(E3196=E$1:E3195)))))</f>
        <v> </v>
      </c>
      <c r="L3196" s="27"/>
    </row>
    <row r="3197" spans="1:12">
      <c r="A3197" s="20" t="s">
        <v>910</v>
      </c>
      <c r="E3197" s="22">
        <f>IF(D3197="?OLD","!!!","")</f>
        <v/>
      </c>
      <c r="F3197" s="23" t="str">
        <f>IF(OR(E3197="",E3197="!!!"),"",IF(NOT(ISNA(VLOOKUP(E3197,E$1:E3196,1,FALSE()))),"OLD",IF(AND(E3197&lt;&gt;"",E3197&lt;&gt;"!!!"),"NEW","")))</f>
        <v> </v>
      </c>
      <c r="G3197" s="24" t="str">
        <f>IF(OR(E3197="",E3197="!!!"),"",IF(OR(J3197=0,AND(J3197=1,K3197=1),AND(J3197=1,I3197="SBJ"),AND(J3197=1,I3197=0)),"?IN_FOCUS",IF(J3197&lt;=2,"?ACTIVATED",IF(J3197&lt;&gt;"","?FAMILIAR",IF(F3197="NEW",IF(ISNA(VLOOKUP(E3197,#REF!,1,FALSE())),"?TYPE_IDENTIFIABLE","?REFERENTIAL"),"_")))))</f>
        <v> </v>
      </c>
      <c r="H3197" s="25" t="str">
        <f>IF(J3197&lt;&gt;1,"",IF(I3197="SBJ","CB","?"))</f>
        <v> </v>
      </c>
      <c r="I3197" s="26" t="str">
        <f>IF(OR(E3197="",E3197="!!!",F3197="NEW"),"",INDEX(B3196:B$2,-1+SUMPRODUCT(MAX(ROW(E3196:E$2)*(E3197=E3196:E$2)))))</f>
        <v> </v>
      </c>
      <c r="J3197" s="26" t="str">
        <f>IF(OR(E3197="",E3197="!!!",F3197="NEW"),"",COUNTBLANK(OFFSET(A$1,,,SUMPRODUCT(MAX(ROW(E$2:E3197)*(E3197=E$2:E3197)))))-COUNTBLANK(OFFSET(A$1,,,SUMPRODUCT(MAX(ROW(E$1:E3196)*(E2=E$1:E3196))))))</f>
        <v> </v>
      </c>
      <c r="K3197" s="26" t="str">
        <f>IF(OR(E3197="",E3197="!!!",F3197="NEW"),"",INDEX(J$1:J3196,SUMPRODUCT(MAX(ROW(E$1:E3196)*(E3197=E$1:E3196)))))</f>
        <v> </v>
      </c>
      <c r="L3197" s="27"/>
    </row>
    <row r="3198" spans="1:12">
      <c r="A3198" s="20" t="s">
        <v>246</v>
      </c>
      <c r="E3198" s="22">
        <f>IF(D3198="?OLD","!!!","")</f>
        <v/>
      </c>
      <c r="F3198" s="23" t="str">
        <f>IF(OR(E3198="",E3198="!!!"),"",IF(NOT(ISNA(VLOOKUP(E3198,E$1:E3197,1,FALSE()))),"OLD",IF(AND(E3198&lt;&gt;"",E3198&lt;&gt;"!!!"),"NEW","")))</f>
        <v> </v>
      </c>
      <c r="G3198" s="24" t="str">
        <f>IF(OR(E3198="",E3198="!!!"),"",IF(OR(J3198=0,AND(J3198=1,K3198=1),AND(J3198=1,I3198="SBJ"),AND(J3198=1,I3198=0)),"?IN_FOCUS",IF(J3198&lt;=2,"?ACTIVATED",IF(J3198&lt;&gt;"","?FAMILIAR",IF(F3198="NEW",IF(ISNA(VLOOKUP(E3198,#REF!,1,FALSE())),"?TYPE_IDENTIFIABLE","?REFERENTIAL"),"_")))))</f>
        <v> </v>
      </c>
      <c r="H3198" s="25" t="str">
        <f>IF(J3198&lt;&gt;1,"",IF(I3198="SBJ","CB","?"))</f>
        <v> </v>
      </c>
      <c r="I3198" s="26" t="str">
        <f>IF(OR(E3198="",E3198="!!!",F3198="NEW"),"",INDEX(B3197:B$2,-1+SUMPRODUCT(MAX(ROW(E3197:E$2)*(E3198=E3197:E$2)))))</f>
        <v> </v>
      </c>
      <c r="J3198" s="26" t="str">
        <f>IF(OR(E3198="",E3198="!!!",F3198="NEW"),"",COUNTBLANK(OFFSET(A$1,,,SUMPRODUCT(MAX(ROW(E$2:E3198)*(E3198=E$2:E3198)))))-COUNTBLANK(OFFSET(A$1,,,SUMPRODUCT(MAX(ROW(E$1:E3197)*(E2=E$1:E3197))))))</f>
        <v> </v>
      </c>
      <c r="K3198" s="26" t="str">
        <f>IF(OR(E3198="",E3198="!!!",F3198="NEW"),"",INDEX(J$1:J3197,SUMPRODUCT(MAX(ROW(E$1:E3197)*(E3198=E$1:E3197)))))</f>
        <v> </v>
      </c>
      <c r="L3198" s="27"/>
    </row>
    <row r="3199" spans="1:12">
      <c r="A3199" s="20"/>
    </row>
    <row r="3200" spans="1:12">
      <c r="A3200" s="20" t="s">
        <v>1861</v>
      </c>
    </row>
    <row r="3201" spans="1:12">
      <c r="A3201" s="20" t="s">
        <v>1862</v>
      </c>
      <c r="B3201" s="21" t="s">
        <v>728</v>
      </c>
      <c r="C3201" s="21" t="s">
        <v>740</v>
      </c>
      <c r="D3201" s="21" t="s">
        <v>730</v>
      </c>
      <c r="E3201" s="22">
        <f>IF(D3201="?OLD","!!!","")</f>
        <v/>
      </c>
      <c r="F3201" s="23" t="str">
        <f>IF(OR(E3201="",E3201="!!!"),"",IF(NOT(ISNA(VLOOKUP(E3201,E$1:E3200,1,FALSE()))),"OLD",IF(AND(E3201&lt;&gt;"",E3201&lt;&gt;"!!!"),"NEW","")))</f>
        <v> </v>
      </c>
      <c r="G3201" s="24" t="str">
        <f>IF(OR(E3201="",E3201="!!!"),"",IF(OR(J3201=0,AND(J3201=1,K3201=1),AND(J3201=1,I3201="SBJ"),AND(J3201=1,I3201=0)),"?IN_FOCUS",IF(J3201&lt;=2,"?ACTIVATED",IF(J3201&lt;&gt;"","?FAMILIAR",IF(F3201="NEW",IF(ISNA(VLOOKUP(E3201,#REF!,1,FALSE())),"?TYPE_IDENTIFIABLE","?REFERENTIAL"),"_")))))</f>
        <v> </v>
      </c>
      <c r="H3201" s="25" t="str">
        <f>IF(J3201&lt;&gt;1,"",IF(I3201="SBJ","CB","?"))</f>
        <v> </v>
      </c>
      <c r="I3201" s="26" t="str">
        <f>IF(OR(E3201="",E3201="!!!",F3201="NEW"),"",INDEX(B3200:B$2,-1+SUMPRODUCT(MAX(ROW(E3200:E$2)*(E3201=E3200:E$2)))))</f>
        <v> </v>
      </c>
      <c r="J3201" s="26" t="str">
        <f>IF(OR(E3201="",E3201="!!!",F3201="NEW"),"",COUNTBLANK(OFFSET(A$1,,,SUMPRODUCT(MAX(ROW(E$2:E3201)*(E3201=E$2:E3201)))))-COUNTBLANK(OFFSET(A$1,,,SUMPRODUCT(MAX(ROW(E$1:E3200)*(E2=E$1:E3200))))))</f>
        <v> </v>
      </c>
      <c r="K3201" s="26" t="str">
        <f>IF(OR(E3201="",E3201="!!!",F3201="NEW"),"",INDEX(J$1:J3200,SUMPRODUCT(MAX(ROW(E$1:E3200)*(E3201=E$1:E3200)))))</f>
        <v> </v>
      </c>
      <c r="L3201" s="27"/>
    </row>
    <row r="3202" spans="1:12">
      <c r="A3202" s="20" t="s">
        <v>629</v>
      </c>
      <c r="E3202" s="22">
        <f>IF(D3202="?OLD","!!!","")</f>
        <v/>
      </c>
      <c r="F3202" s="23" t="str">
        <f>IF(OR(E3202="",E3202="!!!"),"",IF(NOT(ISNA(VLOOKUP(E3202,E$1:E3201,1,FALSE()))),"OLD",IF(AND(E3202&lt;&gt;"",E3202&lt;&gt;"!!!"),"NEW","")))</f>
        <v> </v>
      </c>
      <c r="G3202" s="24" t="str">
        <f>IF(OR(E3202="",E3202="!!!"),"",IF(OR(J3202=0,AND(J3202=1,K3202=1),AND(J3202=1,I3202="SBJ"),AND(J3202=1,I3202=0)),"?IN_FOCUS",IF(J3202&lt;=2,"?ACTIVATED",IF(J3202&lt;&gt;"","?FAMILIAR",IF(F3202="NEW",IF(ISNA(VLOOKUP(E3202,#REF!,1,FALSE())),"?TYPE_IDENTIFIABLE","?REFERENTIAL"),"_")))))</f>
        <v> </v>
      </c>
      <c r="H3202" s="25" t="str">
        <f>IF(J3202&lt;&gt;1,"",IF(I3202="SBJ","CB","?"))</f>
        <v> </v>
      </c>
      <c r="I3202" s="26" t="str">
        <f>IF(OR(E3202="",E3202="!!!",F3202="NEW"),"",INDEX(B3201:B$2,-1+SUMPRODUCT(MAX(ROW(E3201:E$2)*(E3202=E3201:E$2)))))</f>
        <v> </v>
      </c>
      <c r="J3202" s="26" t="str">
        <f>IF(OR(E3202="",E3202="!!!",F3202="NEW"),"",COUNTBLANK(OFFSET(A$1,,,SUMPRODUCT(MAX(ROW(E$2:E3202)*(E3202=E$2:E3202)))))-COUNTBLANK(OFFSET(A$1,,,SUMPRODUCT(MAX(ROW(E$1:E3201)*(E2=E$1:E3201))))))</f>
        <v> </v>
      </c>
      <c r="K3202" s="26" t="str">
        <f>IF(OR(E3202="",E3202="!!!",F3202="NEW"),"",INDEX(J$1:J3201,SUMPRODUCT(MAX(ROW(E$1:E3201)*(E3202=E$1:E3201)))))</f>
        <v> </v>
      </c>
      <c r="L3202" s="27"/>
    </row>
    <row r="3203" spans="1:12">
      <c r="A3203" s="20" t="s">
        <v>246</v>
      </c>
      <c r="E3203" s="22">
        <f>IF(D3203="?OLD","!!!","")</f>
        <v/>
      </c>
      <c r="F3203" s="23" t="str">
        <f>IF(OR(E3203="",E3203="!!!"),"",IF(NOT(ISNA(VLOOKUP(E3203,E$1:E3202,1,FALSE()))),"OLD",IF(AND(E3203&lt;&gt;"",E3203&lt;&gt;"!!!"),"NEW","")))</f>
        <v> </v>
      </c>
      <c r="G3203" s="24" t="str">
        <f>IF(OR(E3203="",E3203="!!!"),"",IF(OR(J3203=0,AND(J3203=1,K3203=1),AND(J3203=1,I3203="SBJ"),AND(J3203=1,I3203=0)),"?IN_FOCUS",IF(J3203&lt;=2,"?ACTIVATED",IF(J3203&lt;&gt;"","?FAMILIAR",IF(F3203="NEW",IF(ISNA(VLOOKUP(E3203,#REF!,1,FALSE())),"?TYPE_IDENTIFIABLE","?REFERENTIAL"),"_")))))</f>
        <v> </v>
      </c>
      <c r="H3203" s="25" t="str">
        <f>IF(J3203&lt;&gt;1,"",IF(I3203="SBJ","CB","?"))</f>
        <v> </v>
      </c>
      <c r="I3203" s="26" t="str">
        <f>IF(OR(E3203="",E3203="!!!",F3203="NEW"),"",INDEX(B3202:B$2,-1+SUMPRODUCT(MAX(ROW(E3202:E$2)*(E3203=E3202:E$2)))))</f>
        <v> </v>
      </c>
      <c r="J3203" s="26" t="str">
        <f>IF(OR(E3203="",E3203="!!!",F3203="NEW"),"",COUNTBLANK(OFFSET(A$1,,,SUMPRODUCT(MAX(ROW(E$2:E3203)*(E3203=E$2:E3203)))))-COUNTBLANK(OFFSET(A$1,,,SUMPRODUCT(MAX(ROW(E$1:E3202)*(E2=E$1:E3202))))))</f>
        <v> </v>
      </c>
      <c r="K3203" s="26" t="str">
        <f>IF(OR(E3203="",E3203="!!!",F3203="NEW"),"",INDEX(J$1:J3202,SUMPRODUCT(MAX(ROW(E$1:E3202)*(E3203=E$1:E3202)))))</f>
        <v> </v>
      </c>
      <c r="L3203" s="27"/>
    </row>
    <row r="3204" spans="1:12">
      <c r="A3204" s="20"/>
    </row>
    <row r="3205" spans="1:12">
      <c r="A3205" s="20" t="s">
        <v>1863</v>
      </c>
    </row>
    <row r="3206" spans="1:12">
      <c r="A3206" s="20" t="s">
        <v>1864</v>
      </c>
      <c r="E3206" s="22">
        <f>IF(D3206="?OLD","!!!","")</f>
        <v/>
      </c>
      <c r="F3206" s="23" t="str">
        <f>IF(OR(E3206="",E3206="!!!"),"",IF(NOT(ISNA(VLOOKUP(E3206,E$1:E3205,1,FALSE()))),"OLD",IF(AND(E3206&lt;&gt;"",E3206&lt;&gt;"!!!"),"NEW","")))</f>
        <v> </v>
      </c>
      <c r="G3206" s="24" t="str">
        <f>IF(OR(E3206="",E3206="!!!"),"",IF(OR(J3206=0,AND(J3206=1,K3206=1),AND(J3206=1,I3206="SBJ"),AND(J3206=1,I3206=0)),"?IN_FOCUS",IF(J3206&lt;=2,"?ACTIVATED",IF(J3206&lt;&gt;"","?FAMILIAR",IF(F3206="NEW",IF(ISNA(VLOOKUP(E3206,#REF!,1,FALSE())),"?TYPE_IDENTIFIABLE","?REFERENTIAL"),"_")))))</f>
        <v> </v>
      </c>
      <c r="H3206" s="25" t="str">
        <f>IF(J3206&lt;&gt;1,"",IF(I3206="SBJ","CB","?"))</f>
        <v> </v>
      </c>
      <c r="I3206" s="26" t="str">
        <f>IF(OR(E3206="",E3206="!!!",F3206="NEW"),"",INDEX(B3205:B$2,-1+SUMPRODUCT(MAX(ROW(E3205:E$2)*(E3206=E3205:E$2)))))</f>
        <v> </v>
      </c>
      <c r="J3206" s="26" t="str">
        <f>IF(OR(E3206="",E3206="!!!",F3206="NEW"),"",COUNTBLANK(OFFSET(A$1,,,SUMPRODUCT(MAX(ROW(E$2:E3206)*(E3206=E$2:E3206)))))-COUNTBLANK(OFFSET(A$1,,,SUMPRODUCT(MAX(ROW(E$1:E3205)*(E2=E$1:E3205))))))</f>
        <v> </v>
      </c>
      <c r="K3206" s="26" t="str">
        <f>IF(OR(E3206="",E3206="!!!",F3206="NEW"),"",INDEX(J$1:J3205,SUMPRODUCT(MAX(ROW(E$1:E3205)*(E3206=E$1:E3205)))))</f>
        <v> </v>
      </c>
      <c r="L3206" s="27"/>
    </row>
    <row r="3207" spans="1:12">
      <c r="A3207" s="20" t="s">
        <v>1865</v>
      </c>
      <c r="E3207" s="22">
        <f>IF(D3207="?OLD","!!!","")</f>
        <v/>
      </c>
      <c r="F3207" s="23" t="str">
        <f>IF(OR(E3207="",E3207="!!!"),"",IF(NOT(ISNA(VLOOKUP(E3207,E$1:E3206,1,FALSE()))),"OLD",IF(AND(E3207&lt;&gt;"",E3207&lt;&gt;"!!!"),"NEW","")))</f>
        <v> </v>
      </c>
      <c r="G3207" s="24" t="str">
        <f>IF(OR(E3207="",E3207="!!!"),"",IF(OR(J3207=0,AND(J3207=1,K3207=1),AND(J3207=1,I3207="SBJ"),AND(J3207=1,I3207=0)),"?IN_FOCUS",IF(J3207&lt;=2,"?ACTIVATED",IF(J3207&lt;&gt;"","?FAMILIAR",IF(F3207="NEW",IF(ISNA(VLOOKUP(E3207,#REF!,1,FALSE())),"?TYPE_IDENTIFIABLE","?REFERENTIAL"),"_")))))</f>
        <v> </v>
      </c>
      <c r="H3207" s="25" t="str">
        <f>IF(J3207&lt;&gt;1,"",IF(I3207="SBJ","CB","?"))</f>
        <v> </v>
      </c>
      <c r="I3207" s="26" t="str">
        <f>IF(OR(E3207="",E3207="!!!",F3207="NEW"),"",INDEX(B3206:B$2,-1+SUMPRODUCT(MAX(ROW(E3206:E$2)*(E3207=E3206:E$2)))))</f>
        <v> </v>
      </c>
      <c r="J3207" s="26" t="str">
        <f>IF(OR(E3207="",E3207="!!!",F3207="NEW"),"",COUNTBLANK(OFFSET(A$1,,,SUMPRODUCT(MAX(ROW(E$2:E3207)*(E3207=E$2:E3207)))))-COUNTBLANK(OFFSET(A$1,,,SUMPRODUCT(MAX(ROW(E$1:E3206)*(E2=E$1:E3206))))))</f>
        <v> </v>
      </c>
      <c r="K3207" s="26" t="str">
        <f>IF(OR(E3207="",E3207="!!!",F3207="NEW"),"",INDEX(J$1:J3206,SUMPRODUCT(MAX(ROW(E$1:E3206)*(E3207=E$1:E3206)))))</f>
        <v> </v>
      </c>
      <c r="L3207" s="27"/>
    </row>
    <row r="3208" spans="1:12">
      <c r="A3208" s="20" t="s">
        <v>633</v>
      </c>
      <c r="B3208" s="21" t="s">
        <v>736</v>
      </c>
      <c r="C3208" s="21" t="s">
        <v>737</v>
      </c>
      <c r="E3208" s="22">
        <f>IF(D3208="?OLD","!!!","")</f>
        <v/>
      </c>
      <c r="F3208" s="23" t="str">
        <f>IF(OR(E3208="",E3208="!!!"),"",IF(NOT(ISNA(VLOOKUP(E3208,E$1:E3207,1,FALSE()))),"OLD",IF(AND(E3208&lt;&gt;"",E3208&lt;&gt;"!!!"),"NEW","")))</f>
        <v> </v>
      </c>
      <c r="G3208" s="24" t="str">
        <f>IF(OR(E3208="",E3208="!!!"),"",IF(OR(J3208=0,AND(J3208=1,K3208=1),AND(J3208=1,I3208="SBJ"),AND(J3208=1,I3208=0)),"?IN_FOCUS",IF(J3208&lt;=2,"?ACTIVATED",IF(J3208&lt;&gt;"","?FAMILIAR",IF(F3208="NEW",IF(ISNA(VLOOKUP(E3208,#REF!,1,FALSE())),"?TYPE_IDENTIFIABLE","?REFERENTIAL"),"_")))))</f>
        <v> </v>
      </c>
      <c r="H3208" s="25" t="str">
        <f>IF(J3208&lt;&gt;1,"",IF(I3208="SBJ","CB","?"))</f>
        <v> </v>
      </c>
      <c r="I3208" s="26" t="str">
        <f>IF(OR(E3208="",E3208="!!!",F3208="NEW"),"",INDEX(B3207:B$2,-1+SUMPRODUCT(MAX(ROW(E3207:E$2)*(E3208=E3207:E$2)))))</f>
        <v> </v>
      </c>
      <c r="J3208" s="26" t="str">
        <f>IF(OR(E3208="",E3208="!!!",F3208="NEW"),"",COUNTBLANK(OFFSET(A$1,,,SUMPRODUCT(MAX(ROW(E$2:E3208)*(E3208=E$2:E3208)))))-COUNTBLANK(OFFSET(A$1,,,SUMPRODUCT(MAX(ROW(E$1:E3207)*(E2=E$1:E3207))))))</f>
        <v> </v>
      </c>
      <c r="K3208" s="26" t="str">
        <f>IF(OR(E3208="",E3208="!!!",F3208="NEW"),"",INDEX(J$1:J3207,SUMPRODUCT(MAX(ROW(E$1:E3207)*(E3208=E$1:E3207)))))</f>
        <v> </v>
      </c>
      <c r="L3208" s="27"/>
    </row>
    <row r="3209" spans="1:12">
      <c r="A3209" s="20" t="s">
        <v>246</v>
      </c>
      <c r="E3209" s="22">
        <f>IF(D3209="?OLD","!!!","")</f>
        <v/>
      </c>
      <c r="F3209" s="23" t="str">
        <f>IF(OR(E3209="",E3209="!!!"),"",IF(NOT(ISNA(VLOOKUP(E3209,E$1:E3208,1,FALSE()))),"OLD",IF(AND(E3209&lt;&gt;"",E3209&lt;&gt;"!!!"),"NEW","")))</f>
        <v> </v>
      </c>
      <c r="G3209" s="24" t="str">
        <f>IF(OR(E3209="",E3209="!!!"),"",IF(OR(J3209=0,AND(J3209=1,K3209=1),AND(J3209=1,I3209="SBJ"),AND(J3209=1,I3209=0)),"?IN_FOCUS",IF(J3209&lt;=2,"?ACTIVATED",IF(J3209&lt;&gt;"","?FAMILIAR",IF(F3209="NEW",IF(ISNA(VLOOKUP(E3209,#REF!,1,FALSE())),"?TYPE_IDENTIFIABLE","?REFERENTIAL"),"_")))))</f>
        <v> </v>
      </c>
      <c r="H3209" s="25" t="str">
        <f>IF(J3209&lt;&gt;1,"",IF(I3209="SBJ","CB","?"))</f>
        <v> </v>
      </c>
      <c r="I3209" s="26" t="str">
        <f>IF(OR(E3209="",E3209="!!!",F3209="NEW"),"",INDEX(B3208:B$2,-1+SUMPRODUCT(MAX(ROW(E3208:E$2)*(E3209=E3208:E$2)))))</f>
        <v> </v>
      </c>
      <c r="J3209" s="26" t="str">
        <f>IF(OR(E3209="",E3209="!!!",F3209="NEW"),"",COUNTBLANK(OFFSET(A$1,,,SUMPRODUCT(MAX(ROW(E$2:E3209)*(E3209=E$2:E3209)))))-COUNTBLANK(OFFSET(A$1,,,SUMPRODUCT(MAX(ROW(E$1:E3208)*(E2=E$1:E3208))))))</f>
        <v> </v>
      </c>
      <c r="K3209" s="26" t="str">
        <f>IF(OR(E3209="",E3209="!!!",F3209="NEW"),"",INDEX(J$1:J3208,SUMPRODUCT(MAX(ROW(E$1:E3208)*(E3209=E$1:E3208)))))</f>
        <v> </v>
      </c>
      <c r="L3209" s="27"/>
    </row>
    <row r="3210" spans="1:12">
      <c r="A3210" s="20"/>
    </row>
    <row r="3211" spans="1:12">
      <c r="A3211" s="20" t="s">
        <v>1866</v>
      </c>
    </row>
    <row r="3212" spans="1:12">
      <c r="A3212" s="20" t="s">
        <v>768</v>
      </c>
      <c r="E3212" s="22">
        <f>IF(D3212="?OLD","!!!","")</f>
        <v/>
      </c>
      <c r="F3212" s="23" t="str">
        <f>IF(OR(E3212="",E3212="!!!"),"",IF(NOT(ISNA(VLOOKUP(E3212,E$1:E3211,1,FALSE()))),"OLD",IF(AND(E3212&lt;&gt;"",E3212&lt;&gt;"!!!"),"NEW","")))</f>
        <v> </v>
      </c>
      <c r="G3212" s="24" t="str">
        <f>IF(OR(E3212="",E3212="!!!"),"",IF(OR(J3212=0,AND(J3212=1,K3212=1),AND(J3212=1,I3212="SBJ"),AND(J3212=1,I3212=0)),"?IN_FOCUS",IF(J3212&lt;=2,"?ACTIVATED",IF(J3212&lt;&gt;"","?FAMILIAR",IF(F3212="NEW",IF(ISNA(VLOOKUP(E3212,#REF!,1,FALSE())),"?TYPE_IDENTIFIABLE","?REFERENTIAL"),"_")))))</f>
        <v> </v>
      </c>
      <c r="H3212" s="25" t="str">
        <f>IF(J3212&lt;&gt;1,"",IF(I3212="SBJ","CB","?"))</f>
        <v> </v>
      </c>
      <c r="I3212" s="26" t="str">
        <f>IF(OR(E3212="",E3212="!!!",F3212="NEW"),"",INDEX(B3211:B$2,-1+SUMPRODUCT(MAX(ROW(E3211:E$2)*(E3212=E3211:E$2)))))</f>
        <v> </v>
      </c>
      <c r="J3212" s="26" t="str">
        <f>IF(OR(E3212="",E3212="!!!",F3212="NEW"),"",COUNTBLANK(OFFSET(A$1,,,SUMPRODUCT(MAX(ROW(E$2:E3212)*(E3212=E$2:E3212)))))-COUNTBLANK(OFFSET(A$1,,,SUMPRODUCT(MAX(ROW(E$1:E3211)*(E2=E$1:E3211))))))</f>
        <v> </v>
      </c>
      <c r="K3212" s="26" t="str">
        <f>IF(OR(E3212="",E3212="!!!",F3212="NEW"),"",INDEX(J$1:J3211,SUMPRODUCT(MAX(ROW(E$1:E3211)*(E3212=E$1:E3211)))))</f>
        <v> </v>
      </c>
      <c r="L3212" s="27"/>
    </row>
    <row r="3213" spans="1:12">
      <c r="A3213" s="20" t="s">
        <v>859</v>
      </c>
      <c r="B3213" s="21" t="s">
        <v>728</v>
      </c>
      <c r="C3213" s="21" t="s">
        <v>789</v>
      </c>
      <c r="D3213" s="21" t="s">
        <v>730</v>
      </c>
      <c r="E3213" s="22">
        <f>IF(D3213="?OLD","!!!","")</f>
        <v/>
      </c>
      <c r="F3213" s="23" t="str">
        <f>IF(OR(E3213="",E3213="!!!"),"",IF(NOT(ISNA(VLOOKUP(E3213,E$1:E3212,1,FALSE()))),"OLD",IF(AND(E3213&lt;&gt;"",E3213&lt;&gt;"!!!"),"NEW","")))</f>
        <v> </v>
      </c>
      <c r="G3213" s="24" t="str">
        <f>IF(OR(E3213="",E3213="!!!"),"",IF(OR(J3213=0,AND(J3213=1,K3213=1),AND(J3213=1,I3213="SBJ"),AND(J3213=1,I3213=0)),"?IN_FOCUS",IF(J3213&lt;=2,"?ACTIVATED",IF(J3213&lt;&gt;"","?FAMILIAR",IF(F3213="NEW",IF(ISNA(VLOOKUP(E3213,#REF!,1,FALSE())),"?TYPE_IDENTIFIABLE","?REFERENTIAL"),"_")))))</f>
        <v> </v>
      </c>
      <c r="H3213" s="25" t="str">
        <f>IF(J3213&lt;&gt;1,"",IF(I3213="SBJ","CB","?"))</f>
        <v> </v>
      </c>
      <c r="I3213" s="26" t="str">
        <f>IF(OR(E3213="",E3213="!!!",F3213="NEW"),"",INDEX(B3212:B$2,-1+SUMPRODUCT(MAX(ROW(E3212:E$2)*(E3213=E3212:E$2)))))</f>
        <v> </v>
      </c>
      <c r="J3213" s="26" t="str">
        <f>IF(OR(E3213="",E3213="!!!",F3213="NEW"),"",COUNTBLANK(OFFSET(A$1,,,SUMPRODUCT(MAX(ROW(E$2:E3213)*(E3213=E$2:E3213)))))-COUNTBLANK(OFFSET(A$1,,,SUMPRODUCT(MAX(ROW(E$1:E3212)*(E2=E$1:E3212))))))</f>
        <v> </v>
      </c>
      <c r="K3213" s="26" t="str">
        <f>IF(OR(E3213="",E3213="!!!",F3213="NEW"),"",INDEX(J$1:J3212,SUMPRODUCT(MAX(ROW(E$1:E3212)*(E3213=E$1:E3212)))))</f>
        <v> </v>
      </c>
      <c r="L3213" s="27"/>
    </row>
    <row r="3214" spans="1:12">
      <c r="A3214" s="20" t="s">
        <v>1867</v>
      </c>
      <c r="E3214" s="22">
        <f>IF(D3214="?OLD","!!!","")</f>
        <v/>
      </c>
      <c r="F3214" s="23" t="str">
        <f>IF(OR(E3214="",E3214="!!!"),"",IF(NOT(ISNA(VLOOKUP(E3214,E$1:E3213,1,FALSE()))),"OLD",IF(AND(E3214&lt;&gt;"",E3214&lt;&gt;"!!!"),"NEW","")))</f>
        <v> </v>
      </c>
      <c r="G3214" s="24" t="str">
        <f>IF(OR(E3214="",E3214="!!!"),"",IF(OR(J3214=0,AND(J3214=1,K3214=1),AND(J3214=1,I3214="SBJ"),AND(J3214=1,I3214=0)),"?IN_FOCUS",IF(J3214&lt;=2,"?ACTIVATED",IF(J3214&lt;&gt;"","?FAMILIAR",IF(F3214="NEW",IF(ISNA(VLOOKUP(E3214,#REF!,1,FALSE())),"?TYPE_IDENTIFIABLE","?REFERENTIAL"),"_")))))</f>
        <v> </v>
      </c>
      <c r="H3214" s="25" t="str">
        <f>IF(J3214&lt;&gt;1,"",IF(I3214="SBJ","CB","?"))</f>
        <v> </v>
      </c>
      <c r="I3214" s="26" t="str">
        <f>IF(OR(E3214="",E3214="!!!",F3214="NEW"),"",INDEX(B3213:B$2,-1+SUMPRODUCT(MAX(ROW(E3213:E$2)*(E3214=E3213:E$2)))))</f>
        <v> </v>
      </c>
      <c r="J3214" s="26" t="str">
        <f>IF(OR(E3214="",E3214="!!!",F3214="NEW"),"",COUNTBLANK(OFFSET(A$1,,,SUMPRODUCT(MAX(ROW(E$2:E3214)*(E3214=E$2:E3214)))))-COUNTBLANK(OFFSET(A$1,,,SUMPRODUCT(MAX(ROW(E$1:E3213)*(E2=E$1:E3213))))))</f>
        <v> </v>
      </c>
      <c r="K3214" s="26" t="str">
        <f>IF(OR(E3214="",E3214="!!!",F3214="NEW"),"",INDEX(J$1:J3213,SUMPRODUCT(MAX(ROW(E$1:E3213)*(E3214=E$1:E3213)))))</f>
        <v> </v>
      </c>
      <c r="L3214" s="27"/>
    </row>
    <row r="3215" spans="1:12">
      <c r="A3215" s="20" t="s">
        <v>1107</v>
      </c>
      <c r="E3215" s="22">
        <f>IF(D3215="?OLD","!!!","")</f>
        <v/>
      </c>
      <c r="F3215" s="23" t="str">
        <f>IF(OR(E3215="",E3215="!!!"),"",IF(NOT(ISNA(VLOOKUP(E3215,E$1:E3214,1,FALSE()))),"OLD",IF(AND(E3215&lt;&gt;"",E3215&lt;&gt;"!!!"),"NEW","")))</f>
        <v> </v>
      </c>
      <c r="G3215" s="24" t="str">
        <f>IF(OR(E3215="",E3215="!!!"),"",IF(OR(J3215=0,AND(J3215=1,K3215=1),AND(J3215=1,I3215="SBJ"),AND(J3215=1,I3215=0)),"?IN_FOCUS",IF(J3215&lt;=2,"?ACTIVATED",IF(J3215&lt;&gt;"","?FAMILIAR",IF(F3215="NEW",IF(ISNA(VLOOKUP(E3215,#REF!,1,FALSE())),"?TYPE_IDENTIFIABLE","?REFERENTIAL"),"_")))))</f>
        <v> </v>
      </c>
      <c r="H3215" s="25" t="str">
        <f>IF(J3215&lt;&gt;1,"",IF(I3215="SBJ","CB","?"))</f>
        <v> </v>
      </c>
      <c r="I3215" s="26" t="str">
        <f>IF(OR(E3215="",E3215="!!!",F3215="NEW"),"",INDEX(B3214:B$2,-1+SUMPRODUCT(MAX(ROW(E3214:E$2)*(E3215=E3214:E$2)))))</f>
        <v> </v>
      </c>
      <c r="J3215" s="26" t="str">
        <f>IF(OR(E3215="",E3215="!!!",F3215="NEW"),"",COUNTBLANK(OFFSET(A$1,,,SUMPRODUCT(MAX(ROW(E$2:E3215)*(E3215=E$2:E3215)))))-COUNTBLANK(OFFSET(A$1,,,SUMPRODUCT(MAX(ROW(E$1:E3214)*(E2=E$1:E3214))))))</f>
        <v> </v>
      </c>
      <c r="K3215" s="26" t="str">
        <f>IF(OR(E3215="",E3215="!!!",F3215="NEW"),"",INDEX(J$1:J3214,SUMPRODUCT(MAX(ROW(E$1:E3214)*(E3215=E$1:E3214)))))</f>
        <v> </v>
      </c>
      <c r="L3215" s="27"/>
    </row>
    <row r="3216" spans="1:12">
      <c r="A3216" s="20" t="s">
        <v>1054</v>
      </c>
      <c r="E3216" s="22">
        <f>IF(D3216="?OLD","!!!","")</f>
        <v/>
      </c>
      <c r="F3216" s="23" t="str">
        <f>IF(OR(E3216="",E3216="!!!"),"",IF(NOT(ISNA(VLOOKUP(E3216,E$1:E3215,1,FALSE()))),"OLD",IF(AND(E3216&lt;&gt;"",E3216&lt;&gt;"!!!"),"NEW","")))</f>
        <v> </v>
      </c>
      <c r="G3216" s="24" t="str">
        <f>IF(OR(E3216="",E3216="!!!"),"",IF(OR(J3216=0,AND(J3216=1,K3216=1),AND(J3216=1,I3216="SBJ"),AND(J3216=1,I3216=0)),"?IN_FOCUS",IF(J3216&lt;=2,"?ACTIVATED",IF(J3216&lt;&gt;"","?FAMILIAR",IF(F3216="NEW",IF(ISNA(VLOOKUP(E3216,#REF!,1,FALSE())),"?TYPE_IDENTIFIABLE","?REFERENTIAL"),"_")))))</f>
        <v> </v>
      </c>
      <c r="H3216" s="25" t="str">
        <f>IF(J3216&lt;&gt;1,"",IF(I3216="SBJ","CB","?"))</f>
        <v> </v>
      </c>
      <c r="I3216" s="26" t="str">
        <f>IF(OR(E3216="",E3216="!!!",F3216="NEW"),"",INDEX(B3215:B$2,-1+SUMPRODUCT(MAX(ROW(E3215:E$2)*(E3216=E3215:E$2)))))</f>
        <v> </v>
      </c>
      <c r="J3216" s="26" t="str">
        <f>IF(OR(E3216="",E3216="!!!",F3216="NEW"),"",COUNTBLANK(OFFSET(A$1,,,SUMPRODUCT(MAX(ROW(E$2:E3216)*(E3216=E$2:E3216)))))-COUNTBLANK(OFFSET(A$1,,,SUMPRODUCT(MAX(ROW(E$1:E3215)*(E2=E$1:E3215))))))</f>
        <v> </v>
      </c>
      <c r="K3216" s="26" t="str">
        <f>IF(OR(E3216="",E3216="!!!",F3216="NEW"),"",INDEX(J$1:J3215,SUMPRODUCT(MAX(ROW(E$1:E3215)*(E3216=E$1:E3215)))))</f>
        <v> </v>
      </c>
      <c r="L3216" s="27"/>
    </row>
    <row r="3217" spans="1:12">
      <c r="A3217" s="20" t="s">
        <v>1868</v>
      </c>
      <c r="B3217" s="21" t="s">
        <v>739</v>
      </c>
      <c r="C3217" s="21" t="s">
        <v>737</v>
      </c>
      <c r="E3217" s="22">
        <f>IF(D3217="?OLD","!!!","")</f>
        <v/>
      </c>
      <c r="F3217" s="23" t="str">
        <f>IF(OR(E3217="",E3217="!!!"),"",IF(NOT(ISNA(VLOOKUP(E3217,E$1:E3216,1,FALSE()))),"OLD",IF(AND(E3217&lt;&gt;"",E3217&lt;&gt;"!!!"),"NEW","")))</f>
        <v> </v>
      </c>
      <c r="G3217" s="24" t="str">
        <f>IF(OR(E3217="",E3217="!!!"),"",IF(OR(J3217=0,AND(J3217=1,K3217=1),AND(J3217=1,I3217="SBJ"),AND(J3217=1,I3217=0)),"?IN_FOCUS",IF(J3217&lt;=2,"?ACTIVATED",IF(J3217&lt;&gt;"","?FAMILIAR",IF(F3217="NEW",IF(ISNA(VLOOKUP(E3217,#REF!,1,FALSE())),"?TYPE_IDENTIFIABLE","?REFERENTIAL"),"_")))))</f>
        <v> </v>
      </c>
      <c r="H3217" s="25" t="str">
        <f>IF(J3217&lt;&gt;1,"",IF(I3217="SBJ","CB","?"))</f>
        <v> </v>
      </c>
      <c r="I3217" s="26" t="str">
        <f>IF(OR(E3217="",E3217="!!!",F3217="NEW"),"",INDEX(B3216:B$2,-1+SUMPRODUCT(MAX(ROW(E3216:E$2)*(E3217=E3216:E$2)))))</f>
        <v> </v>
      </c>
      <c r="J3217" s="26" t="str">
        <f>IF(OR(E3217="",E3217="!!!",F3217="NEW"),"",COUNTBLANK(OFFSET(A$1,,,SUMPRODUCT(MAX(ROW(E$2:E3217)*(E3217=E$2:E3217)))))-COUNTBLANK(OFFSET(A$1,,,SUMPRODUCT(MAX(ROW(E$1:E3216)*(E2=E$1:E3216))))))</f>
        <v> </v>
      </c>
      <c r="K3217" s="26" t="str">
        <f>IF(OR(E3217="",E3217="!!!",F3217="NEW"),"",INDEX(J$1:J3216,SUMPRODUCT(MAX(ROW(E$1:E3216)*(E3217=E$1:E3216)))))</f>
        <v> </v>
      </c>
      <c r="L3217" s="27"/>
    </row>
    <row r="3218" spans="1:12">
      <c r="A3218" s="20" t="s">
        <v>938</v>
      </c>
      <c r="E3218" s="22">
        <f>IF(D3218="?OLD","!!!","")</f>
        <v/>
      </c>
      <c r="F3218" s="23" t="str">
        <f>IF(OR(E3218="",E3218="!!!"),"",IF(NOT(ISNA(VLOOKUP(E3218,E$1:E3217,1,FALSE()))),"OLD",IF(AND(E3218&lt;&gt;"",E3218&lt;&gt;"!!!"),"NEW","")))</f>
        <v> </v>
      </c>
      <c r="G3218" s="24" t="str">
        <f>IF(OR(E3218="",E3218="!!!"),"",IF(OR(J3218=0,AND(J3218=1,K3218=1),AND(J3218=1,I3218="SBJ"),AND(J3218=1,I3218=0)),"?IN_FOCUS",IF(J3218&lt;=2,"?ACTIVATED",IF(J3218&lt;&gt;"","?FAMILIAR",IF(F3218="NEW",IF(ISNA(VLOOKUP(E3218,#REF!,1,FALSE())),"?TYPE_IDENTIFIABLE","?REFERENTIAL"),"_")))))</f>
        <v> </v>
      </c>
      <c r="H3218" s="25" t="str">
        <f>IF(J3218&lt;&gt;1,"",IF(I3218="SBJ","CB","?"))</f>
        <v> </v>
      </c>
      <c r="I3218" s="26" t="str">
        <f>IF(OR(E3218="",E3218="!!!",F3218="NEW"),"",INDEX(B3217:B$2,-1+SUMPRODUCT(MAX(ROW(E3217:E$2)*(E3218=E3217:E$2)))))</f>
        <v> </v>
      </c>
      <c r="J3218" s="26" t="str">
        <f>IF(OR(E3218="",E3218="!!!",F3218="NEW"),"",COUNTBLANK(OFFSET(A$1,,,SUMPRODUCT(MAX(ROW(E$2:E3218)*(E3218=E$2:E3218)))))-COUNTBLANK(OFFSET(A$1,,,SUMPRODUCT(MAX(ROW(E$1:E3217)*(E2=E$1:E3217))))))</f>
        <v> </v>
      </c>
      <c r="K3218" s="26" t="str">
        <f>IF(OR(E3218="",E3218="!!!",F3218="NEW"),"",INDEX(J$1:J3217,SUMPRODUCT(MAX(ROW(E$1:E3217)*(E3218=E$1:E3217)))))</f>
        <v> </v>
      </c>
      <c r="L3218" s="27"/>
    </row>
    <row r="3219" spans="1:12">
      <c r="A3219" s="20" t="s">
        <v>1869</v>
      </c>
      <c r="E3219" s="22">
        <f>IF(D3219="?OLD","!!!","")</f>
        <v/>
      </c>
      <c r="F3219" s="23" t="str">
        <f>IF(OR(E3219="",E3219="!!!"),"",IF(NOT(ISNA(VLOOKUP(E3219,E$1:E3218,1,FALSE()))),"OLD",IF(AND(E3219&lt;&gt;"",E3219&lt;&gt;"!!!"),"NEW","")))</f>
        <v> </v>
      </c>
      <c r="G3219" s="24" t="str">
        <f>IF(OR(E3219="",E3219="!!!"),"",IF(OR(J3219=0,AND(J3219=1,K3219=1),AND(J3219=1,I3219="SBJ"),AND(J3219=1,I3219=0)),"?IN_FOCUS",IF(J3219&lt;=2,"?ACTIVATED",IF(J3219&lt;&gt;"","?FAMILIAR",IF(F3219="NEW",IF(ISNA(VLOOKUP(E3219,#REF!,1,FALSE())),"?TYPE_IDENTIFIABLE","?REFERENTIAL"),"_")))))</f>
        <v> </v>
      </c>
      <c r="H3219" s="25" t="str">
        <f>IF(J3219&lt;&gt;1,"",IF(I3219="SBJ","CB","?"))</f>
        <v> </v>
      </c>
      <c r="I3219" s="26" t="str">
        <f>IF(OR(E3219="",E3219="!!!",F3219="NEW"),"",INDEX(B3218:B$2,-1+SUMPRODUCT(MAX(ROW(E3218:E$2)*(E3219=E3218:E$2)))))</f>
        <v> </v>
      </c>
      <c r="J3219" s="26" t="str">
        <f>IF(OR(E3219="",E3219="!!!",F3219="NEW"),"",COUNTBLANK(OFFSET(A$1,,,SUMPRODUCT(MAX(ROW(E$2:E3219)*(E3219=E$2:E3219)))))-COUNTBLANK(OFFSET(A$1,,,SUMPRODUCT(MAX(ROW(E$1:E3218)*(E2=E$1:E3218))))))</f>
        <v> </v>
      </c>
      <c r="K3219" s="26" t="str">
        <f>IF(OR(E3219="",E3219="!!!",F3219="NEW"),"",INDEX(J$1:J3218,SUMPRODUCT(MAX(ROW(E$1:E3218)*(E3219=E$1:E3218)))))</f>
        <v> </v>
      </c>
      <c r="L3219" s="27"/>
    </row>
    <row r="3220" spans="1:12">
      <c r="A3220" s="20" t="s">
        <v>1066</v>
      </c>
      <c r="B3220" s="21" t="s">
        <v>755</v>
      </c>
      <c r="C3220" s="21" t="s">
        <v>967</v>
      </c>
      <c r="E3220" s="22">
        <f>IF(D3220="?OLD","!!!","")</f>
        <v/>
      </c>
      <c r="F3220" s="23" t="str">
        <f>IF(OR(E3220="",E3220="!!!"),"",IF(NOT(ISNA(VLOOKUP(E3220,E$1:E3219,1,FALSE()))),"OLD",IF(AND(E3220&lt;&gt;"",E3220&lt;&gt;"!!!"),"NEW","")))</f>
        <v> </v>
      </c>
      <c r="G3220" s="24" t="str">
        <f>IF(OR(E3220="",E3220="!!!"),"",IF(OR(J3220=0,AND(J3220=1,K3220=1),AND(J3220=1,I3220="SBJ"),AND(J3220=1,I3220=0)),"?IN_FOCUS",IF(J3220&lt;=2,"?ACTIVATED",IF(J3220&lt;&gt;"","?FAMILIAR",IF(F3220="NEW",IF(ISNA(VLOOKUP(E3220,#REF!,1,FALSE())),"?TYPE_IDENTIFIABLE","?REFERENTIAL"),"_")))))</f>
        <v> </v>
      </c>
      <c r="H3220" s="25" t="str">
        <f>IF(J3220&lt;&gt;1,"",IF(I3220="SBJ","CB","?"))</f>
        <v> </v>
      </c>
      <c r="I3220" s="26" t="str">
        <f>IF(OR(E3220="",E3220="!!!",F3220="NEW"),"",INDEX(B3219:B$2,-1+SUMPRODUCT(MAX(ROW(E3219:E$2)*(E3220=E3219:E$2)))))</f>
        <v> </v>
      </c>
      <c r="J3220" s="26" t="str">
        <f>IF(OR(E3220="",E3220="!!!",F3220="NEW"),"",COUNTBLANK(OFFSET(A$1,,,SUMPRODUCT(MAX(ROW(E$2:E3220)*(E3220=E$2:E3220)))))-COUNTBLANK(OFFSET(A$1,,,SUMPRODUCT(MAX(ROW(E$1:E3219)*(E2=E$1:E3219))))))</f>
        <v> </v>
      </c>
      <c r="K3220" s="26" t="str">
        <f>IF(OR(E3220="",E3220="!!!",F3220="NEW"),"",INDEX(J$1:J3219,SUMPRODUCT(MAX(ROW(E$1:E3219)*(E3220=E$1:E3219)))))</f>
        <v> </v>
      </c>
      <c r="L3220" s="27"/>
    </row>
    <row r="3221" spans="1:12">
      <c r="A3221" s="20" t="s">
        <v>754</v>
      </c>
      <c r="B3221" s="21" t="s">
        <v>739</v>
      </c>
      <c r="C3221" s="21" t="s">
        <v>756</v>
      </c>
      <c r="E3221" s="22">
        <f>IF(D3221="?OLD","!!!","")</f>
        <v/>
      </c>
      <c r="F3221" s="23" t="str">
        <f>IF(OR(E3221="",E3221="!!!"),"",IF(NOT(ISNA(VLOOKUP(E3221,E$1:E3220,1,FALSE()))),"OLD",IF(AND(E3221&lt;&gt;"",E3221&lt;&gt;"!!!"),"NEW","")))</f>
        <v> </v>
      </c>
      <c r="G3221" s="24" t="str">
        <f>IF(OR(E3221="",E3221="!!!"),"",IF(OR(J3221=0,AND(J3221=1,K3221=1),AND(J3221=1,I3221="SBJ"),AND(J3221=1,I3221=0)),"?IN_FOCUS",IF(J3221&lt;=2,"?ACTIVATED",IF(J3221&lt;&gt;"","?FAMILIAR",IF(F3221="NEW",IF(ISNA(VLOOKUP(E3221,#REF!,1,FALSE())),"?TYPE_IDENTIFIABLE","?REFERENTIAL"),"_")))))</f>
        <v> </v>
      </c>
      <c r="H3221" s="25" t="str">
        <f>IF(J3221&lt;&gt;1,"",IF(I3221="SBJ","CB","?"))</f>
        <v> </v>
      </c>
      <c r="I3221" s="26" t="str">
        <f>IF(OR(E3221="",E3221="!!!",F3221="NEW"),"",INDEX(B3220:B$2,-1+SUMPRODUCT(MAX(ROW(E3220:E$2)*(E3221=E3220:E$2)))))</f>
        <v> </v>
      </c>
      <c r="J3221" s="26" t="str">
        <f>IF(OR(E3221="",E3221="!!!",F3221="NEW"),"",COUNTBLANK(OFFSET(A$1,,,SUMPRODUCT(MAX(ROW(E$2:E3221)*(E3221=E$2:E3221)))))-COUNTBLANK(OFFSET(A$1,,,SUMPRODUCT(MAX(ROW(E$1:E3220)*(E2=E$1:E3220))))))</f>
        <v> </v>
      </c>
      <c r="K3221" s="26" t="str">
        <f>IF(OR(E3221="",E3221="!!!",F3221="NEW"),"",INDEX(J$1:J3220,SUMPRODUCT(MAX(ROW(E$1:E3220)*(E3221=E$1:E3220)))))</f>
        <v> </v>
      </c>
      <c r="L3221" s="27"/>
    </row>
    <row r="3222" spans="1:12">
      <c r="A3222" s="20" t="s">
        <v>733</v>
      </c>
      <c r="E3222" s="22">
        <f>IF(D3222="?OLD","!!!","")</f>
        <v/>
      </c>
      <c r="F3222" s="23" t="str">
        <f>IF(OR(E3222="",E3222="!!!"),"",IF(NOT(ISNA(VLOOKUP(E3222,E$1:E3221,1,FALSE()))),"OLD",IF(AND(E3222&lt;&gt;"",E3222&lt;&gt;"!!!"),"NEW","")))</f>
        <v> </v>
      </c>
      <c r="G3222" s="24" t="str">
        <f>IF(OR(E3222="",E3222="!!!"),"",IF(OR(J3222=0,AND(J3222=1,K3222=1),AND(J3222=1,I3222="SBJ"),AND(J3222=1,I3222=0)),"?IN_FOCUS",IF(J3222&lt;=2,"?ACTIVATED",IF(J3222&lt;&gt;"","?FAMILIAR",IF(F3222="NEW",IF(ISNA(VLOOKUP(E3222,#REF!,1,FALSE())),"?TYPE_IDENTIFIABLE","?REFERENTIAL"),"_")))))</f>
        <v> </v>
      </c>
      <c r="H3222" s="25" t="str">
        <f>IF(J3222&lt;&gt;1,"",IF(I3222="SBJ","CB","?"))</f>
        <v> </v>
      </c>
      <c r="I3222" s="26" t="str">
        <f>IF(OR(E3222="",E3222="!!!",F3222="NEW"),"",INDEX(B3221:B$2,-1+SUMPRODUCT(MAX(ROW(E3221:E$2)*(E3222=E3221:E$2)))))</f>
        <v> </v>
      </c>
      <c r="J3222" s="26" t="str">
        <f>IF(OR(E3222="",E3222="!!!",F3222="NEW"),"",COUNTBLANK(OFFSET(A$1,,,SUMPRODUCT(MAX(ROW(E$2:E3222)*(E3222=E$2:E3222)))))-COUNTBLANK(OFFSET(A$1,,,SUMPRODUCT(MAX(ROW(E$1:E3221)*(E2=E$1:E3221))))))</f>
        <v> </v>
      </c>
      <c r="K3222" s="26" t="str">
        <f>IF(OR(E3222="",E3222="!!!",F3222="NEW"),"",INDEX(J$1:J3221,SUMPRODUCT(MAX(ROW(E$1:E3221)*(E3222=E$1:E3221)))))</f>
        <v> </v>
      </c>
      <c r="L3222" s="27"/>
    </row>
    <row r="3223" spans="1:12">
      <c r="A3223" s="20" t="s">
        <v>1870</v>
      </c>
      <c r="E3223" s="22">
        <f>IF(D3223="?OLD","!!!","")</f>
        <v/>
      </c>
      <c r="F3223" s="23" t="str">
        <f>IF(OR(E3223="",E3223="!!!"),"",IF(NOT(ISNA(VLOOKUP(E3223,E$1:E3222,1,FALSE()))),"OLD",IF(AND(E3223&lt;&gt;"",E3223&lt;&gt;"!!!"),"NEW","")))</f>
        <v> </v>
      </c>
      <c r="G3223" s="24" t="str">
        <f>IF(OR(E3223="",E3223="!!!"),"",IF(OR(J3223=0,AND(J3223=1,K3223=1),AND(J3223=1,I3223="SBJ"),AND(J3223=1,I3223=0)),"?IN_FOCUS",IF(J3223&lt;=2,"?ACTIVATED",IF(J3223&lt;&gt;"","?FAMILIAR",IF(F3223="NEW",IF(ISNA(VLOOKUP(E3223,#REF!,1,FALSE())),"?TYPE_IDENTIFIABLE","?REFERENTIAL"),"_")))))</f>
        <v> </v>
      </c>
      <c r="H3223" s="25" t="str">
        <f>IF(J3223&lt;&gt;1,"",IF(I3223="SBJ","CB","?"))</f>
        <v> </v>
      </c>
      <c r="I3223" s="26" t="str">
        <f>IF(OR(E3223="",E3223="!!!",F3223="NEW"),"",INDEX(B3222:B$2,-1+SUMPRODUCT(MAX(ROW(E3222:E$2)*(E3223=E3222:E$2)))))</f>
        <v> </v>
      </c>
      <c r="J3223" s="26" t="str">
        <f>IF(OR(E3223="",E3223="!!!",F3223="NEW"),"",COUNTBLANK(OFFSET(A$1,,,SUMPRODUCT(MAX(ROW(E$2:E3223)*(E3223=E$2:E3223)))))-COUNTBLANK(OFFSET(A$1,,,SUMPRODUCT(MAX(ROW(E$1:E3222)*(E2=E$1:E3222))))))</f>
        <v> </v>
      </c>
      <c r="K3223" s="26" t="str">
        <f>IF(OR(E3223="",E3223="!!!",F3223="NEW"),"",INDEX(J$1:J3222,SUMPRODUCT(MAX(ROW(E$1:E3222)*(E3223=E$1:E3222)))))</f>
        <v> </v>
      </c>
      <c r="L3223" s="27"/>
    </row>
    <row r="3224" spans="1:12">
      <c r="A3224" s="20" t="s">
        <v>1871</v>
      </c>
      <c r="B3224" s="21" t="s">
        <v>736</v>
      </c>
      <c r="C3224" s="21" t="s">
        <v>737</v>
      </c>
      <c r="E3224" s="22">
        <f>IF(D3224="?OLD","!!!","")</f>
        <v/>
      </c>
      <c r="F3224" s="23" t="str">
        <f>IF(OR(E3224="",E3224="!!!"),"",IF(NOT(ISNA(VLOOKUP(E3224,E$1:E3223,1,FALSE()))),"OLD",IF(AND(E3224&lt;&gt;"",E3224&lt;&gt;"!!!"),"NEW","")))</f>
        <v> </v>
      </c>
      <c r="G3224" s="24" t="str">
        <f>IF(OR(E3224="",E3224="!!!"),"",IF(OR(J3224=0,AND(J3224=1,K3224=1),AND(J3224=1,I3224="SBJ"),AND(J3224=1,I3224=0)),"?IN_FOCUS",IF(J3224&lt;=2,"?ACTIVATED",IF(J3224&lt;&gt;"","?FAMILIAR",IF(F3224="NEW",IF(ISNA(VLOOKUP(E3224,#REF!,1,FALSE())),"?TYPE_IDENTIFIABLE","?REFERENTIAL"),"_")))))</f>
        <v> </v>
      </c>
      <c r="H3224" s="25" t="str">
        <f>IF(J3224&lt;&gt;1,"",IF(I3224="SBJ","CB","?"))</f>
        <v> </v>
      </c>
      <c r="I3224" s="26" t="str">
        <f>IF(OR(E3224="",E3224="!!!",F3224="NEW"),"",INDEX(B3223:B$2,-1+SUMPRODUCT(MAX(ROW(E3223:E$2)*(E3224=E3223:E$2)))))</f>
        <v> </v>
      </c>
      <c r="J3224" s="26" t="str">
        <f>IF(OR(E3224="",E3224="!!!",F3224="NEW"),"",COUNTBLANK(OFFSET(A$1,,,SUMPRODUCT(MAX(ROW(E$2:E3224)*(E3224=E$2:E3224)))))-COUNTBLANK(OFFSET(A$1,,,SUMPRODUCT(MAX(ROW(E$1:E3223)*(E2=E$1:E3223))))))</f>
        <v> </v>
      </c>
      <c r="K3224" s="26" t="str">
        <f>IF(OR(E3224="",E3224="!!!",F3224="NEW"),"",INDEX(J$1:J3223,SUMPRODUCT(MAX(ROW(E$1:E3223)*(E3224=E$1:E3223)))))</f>
        <v> </v>
      </c>
      <c r="L3224" s="27"/>
    </row>
    <row r="3225" spans="1:12">
      <c r="A3225" s="20" t="s">
        <v>246</v>
      </c>
      <c r="E3225" s="22">
        <f>IF(D3225="?OLD","!!!","")</f>
        <v/>
      </c>
      <c r="F3225" s="23" t="str">
        <f>IF(OR(E3225="",E3225="!!!"),"",IF(NOT(ISNA(VLOOKUP(E3225,E$1:E3224,1,FALSE()))),"OLD",IF(AND(E3225&lt;&gt;"",E3225&lt;&gt;"!!!"),"NEW","")))</f>
        <v> </v>
      </c>
      <c r="G3225" s="24" t="str">
        <f>IF(OR(E3225="",E3225="!!!"),"",IF(OR(J3225=0,AND(J3225=1,K3225=1),AND(J3225=1,I3225="SBJ"),AND(J3225=1,I3225=0)),"?IN_FOCUS",IF(J3225&lt;=2,"?ACTIVATED",IF(J3225&lt;&gt;"","?FAMILIAR",IF(F3225="NEW",IF(ISNA(VLOOKUP(E3225,#REF!,1,FALSE())),"?TYPE_IDENTIFIABLE","?REFERENTIAL"),"_")))))</f>
        <v> </v>
      </c>
      <c r="H3225" s="25" t="str">
        <f>IF(J3225&lt;&gt;1,"",IF(I3225="SBJ","CB","?"))</f>
        <v> </v>
      </c>
      <c r="I3225" s="26" t="str">
        <f>IF(OR(E3225="",E3225="!!!",F3225="NEW"),"",INDEX(B3224:B$2,-1+SUMPRODUCT(MAX(ROW(E3224:E$2)*(E3225=E3224:E$2)))))</f>
        <v> </v>
      </c>
      <c r="J3225" s="26" t="str">
        <f>IF(OR(E3225="",E3225="!!!",F3225="NEW"),"",COUNTBLANK(OFFSET(A$1,,,SUMPRODUCT(MAX(ROW(E$2:E3225)*(E3225=E$2:E3225)))))-COUNTBLANK(OFFSET(A$1,,,SUMPRODUCT(MAX(ROW(E$1:E3224)*(E2=E$1:E3224))))))</f>
        <v> </v>
      </c>
      <c r="K3225" s="26" t="str">
        <f>IF(OR(E3225="",E3225="!!!",F3225="NEW"),"",INDEX(J$1:J3224,SUMPRODUCT(MAX(ROW(E$1:E3224)*(E3225=E$1:E3224)))))</f>
        <v> </v>
      </c>
      <c r="L3225" s="27"/>
    </row>
    <row r="3226" spans="1:12">
      <c r="A3226" s="20"/>
    </row>
    <row r="3227" spans="1:12">
      <c r="A3227" s="20" t="s">
        <v>1872</v>
      </c>
    </row>
    <row r="3228" spans="1:12">
      <c r="A3228" s="20" t="s">
        <v>1852</v>
      </c>
      <c r="E3228" s="22">
        <f>IF(D3228="?OLD","!!!","")</f>
        <v/>
      </c>
      <c r="F3228" s="23" t="str">
        <f>IF(OR(E3228="",E3228="!!!"),"",IF(NOT(ISNA(VLOOKUP(E3228,E$1:E3227,1,FALSE()))),"OLD",IF(AND(E3228&lt;&gt;"",E3228&lt;&gt;"!!!"),"NEW","")))</f>
        <v> </v>
      </c>
      <c r="G3228" s="24" t="str">
        <f>IF(OR(E3228="",E3228="!!!"),"",IF(OR(J3228=0,AND(J3228=1,K3228=1),AND(J3228=1,I3228="SBJ"),AND(J3228=1,I3228=0)),"?IN_FOCUS",IF(J3228&lt;=2,"?ACTIVATED",IF(J3228&lt;&gt;"","?FAMILIAR",IF(F3228="NEW",IF(ISNA(VLOOKUP(E3228,#REF!,1,FALSE())),"?TYPE_IDENTIFIABLE","?REFERENTIAL"),"_")))))</f>
        <v> </v>
      </c>
      <c r="H3228" s="25" t="str">
        <f>IF(J3228&lt;&gt;1,"",IF(I3228="SBJ","CB","?"))</f>
        <v> </v>
      </c>
      <c r="I3228" s="26" t="str">
        <f>IF(OR(E3228="",E3228="!!!",F3228="NEW"),"",INDEX(B3227:B$2,-1+SUMPRODUCT(MAX(ROW(E3227:E$2)*(E3228=E3227:E$2)))))</f>
        <v> </v>
      </c>
      <c r="J3228" s="26" t="str">
        <f>IF(OR(E3228="",E3228="!!!",F3228="NEW"),"",COUNTBLANK(OFFSET(A$1,,,SUMPRODUCT(MAX(ROW(E$2:E3228)*(E3228=E$2:E3228)))))-COUNTBLANK(OFFSET(A$1,,,SUMPRODUCT(MAX(ROW(E$1:E3227)*(E2=E$1:E3227))))))</f>
        <v> </v>
      </c>
      <c r="K3228" s="26" t="str">
        <f>IF(OR(E3228="",E3228="!!!",F3228="NEW"),"",INDEX(J$1:J3227,SUMPRODUCT(MAX(ROW(E$1:E3227)*(E3228=E$1:E3227)))))</f>
        <v> </v>
      </c>
      <c r="L3228" s="27"/>
    </row>
    <row r="3229" spans="1:12">
      <c r="A3229" s="20" t="s">
        <v>1873</v>
      </c>
      <c r="E3229" s="22">
        <f>IF(D3229="?OLD","!!!","")</f>
        <v/>
      </c>
      <c r="F3229" s="23" t="str">
        <f>IF(OR(E3229="",E3229="!!!"),"",IF(NOT(ISNA(VLOOKUP(E3229,E$1:E3228,1,FALSE()))),"OLD",IF(AND(E3229&lt;&gt;"",E3229&lt;&gt;"!!!"),"NEW","")))</f>
        <v> </v>
      </c>
      <c r="G3229" s="24" t="str">
        <f>IF(OR(E3229="",E3229="!!!"),"",IF(OR(J3229=0,AND(J3229=1,K3229=1),AND(J3229=1,I3229="SBJ"),AND(J3229=1,I3229=0)),"?IN_FOCUS",IF(J3229&lt;=2,"?ACTIVATED",IF(J3229&lt;&gt;"","?FAMILIAR",IF(F3229="NEW",IF(ISNA(VLOOKUP(E3229,#REF!,1,FALSE())),"?TYPE_IDENTIFIABLE","?REFERENTIAL"),"_")))))</f>
        <v> </v>
      </c>
      <c r="H3229" s="25" t="str">
        <f>IF(J3229&lt;&gt;1,"",IF(I3229="SBJ","CB","?"))</f>
        <v> </v>
      </c>
      <c r="I3229" s="26" t="str">
        <f>IF(OR(E3229="",E3229="!!!",F3229="NEW"),"",INDEX(B3228:B$2,-1+SUMPRODUCT(MAX(ROW(E3228:E$2)*(E3229=E3228:E$2)))))</f>
        <v> </v>
      </c>
      <c r="J3229" s="26" t="str">
        <f>IF(OR(E3229="",E3229="!!!",F3229="NEW"),"",COUNTBLANK(OFFSET(A$1,,,SUMPRODUCT(MAX(ROW(E$2:E3229)*(E3229=E$2:E3229)))))-COUNTBLANK(OFFSET(A$1,,,SUMPRODUCT(MAX(ROW(E$1:E3228)*(E2=E$1:E3228))))))</f>
        <v> </v>
      </c>
      <c r="K3229" s="26" t="str">
        <f>IF(OR(E3229="",E3229="!!!",F3229="NEW"),"",INDEX(J$1:J3228,SUMPRODUCT(MAX(ROW(E$1:E3228)*(E3229=E$1:E3228)))))</f>
        <v> </v>
      </c>
      <c r="L3229" s="27"/>
    </row>
    <row r="3230" spans="1:12">
      <c r="A3230" s="20" t="s">
        <v>804</v>
      </c>
      <c r="B3230" s="21" t="s">
        <v>764</v>
      </c>
      <c r="E3230" s="22">
        <f>IF(D3230="?OLD","!!!","")</f>
        <v/>
      </c>
      <c r="F3230" s="23" t="str">
        <f>IF(OR(E3230="",E3230="!!!"),"",IF(NOT(ISNA(VLOOKUP(E3230,E$1:E3229,1,FALSE()))),"OLD",IF(AND(E3230&lt;&gt;"",E3230&lt;&gt;"!!!"),"NEW","")))</f>
        <v> </v>
      </c>
      <c r="G3230" s="24" t="str">
        <f>IF(OR(E3230="",E3230="!!!"),"",IF(OR(J3230=0,AND(J3230=1,K3230=1),AND(J3230=1,I3230="SBJ"),AND(J3230=1,I3230=0)),"?IN_FOCUS",IF(J3230&lt;=2,"?ACTIVATED",IF(J3230&lt;&gt;"","?FAMILIAR",IF(F3230="NEW",IF(ISNA(VLOOKUP(E3230,#REF!,1,FALSE())),"?TYPE_IDENTIFIABLE","?REFERENTIAL"),"_")))))</f>
        <v> </v>
      </c>
      <c r="H3230" s="25" t="str">
        <f>IF(J3230&lt;&gt;1,"",IF(I3230="SBJ","CB","?"))</f>
        <v> </v>
      </c>
      <c r="I3230" s="26" t="str">
        <f>IF(OR(E3230="",E3230="!!!",F3230="NEW"),"",INDEX(B3229:B$2,-1+SUMPRODUCT(MAX(ROW(E3229:E$2)*(E3230=E3229:E$2)))))</f>
        <v> </v>
      </c>
      <c r="J3230" s="26" t="str">
        <f>IF(OR(E3230="",E3230="!!!",F3230="NEW"),"",COUNTBLANK(OFFSET(A$1,,,SUMPRODUCT(MAX(ROW(E$2:E3230)*(E3230=E$2:E3230)))))-COUNTBLANK(OFFSET(A$1,,,SUMPRODUCT(MAX(ROW(E$1:E3229)*(E2=E$1:E3229))))))</f>
        <v> </v>
      </c>
      <c r="K3230" s="26" t="str">
        <f>IF(OR(E3230="",E3230="!!!",F3230="NEW"),"",INDEX(J$1:J3229,SUMPRODUCT(MAX(ROW(E$1:E3229)*(E3230=E$1:E3229)))))</f>
        <v> </v>
      </c>
      <c r="L3230" s="27"/>
    </row>
    <row r="3231" spans="1:12">
      <c r="A3231" s="20" t="s">
        <v>769</v>
      </c>
      <c r="B3231" s="21" t="s">
        <v>739</v>
      </c>
      <c r="C3231" s="21" t="s">
        <v>746</v>
      </c>
      <c r="D3231" s="21" t="s">
        <v>730</v>
      </c>
      <c r="E3231" s="22">
        <f>IF(D3231="?OLD","!!!","")</f>
        <v/>
      </c>
      <c r="F3231" s="23" t="str">
        <f>IF(OR(E3231="",E3231="!!!"),"",IF(NOT(ISNA(VLOOKUP(E3231,E$1:E3230,1,FALSE()))),"OLD",IF(AND(E3231&lt;&gt;"",E3231&lt;&gt;"!!!"),"NEW","")))</f>
        <v> </v>
      </c>
      <c r="G3231" s="24" t="str">
        <f>IF(OR(E3231="",E3231="!!!"),"",IF(OR(J3231=0,AND(J3231=1,K3231=1),AND(J3231=1,I3231="SBJ"),AND(J3231=1,I3231=0)),"?IN_FOCUS",IF(J3231&lt;=2,"?ACTIVATED",IF(J3231&lt;&gt;"","?FAMILIAR",IF(F3231="NEW",IF(ISNA(VLOOKUP(E3231,#REF!,1,FALSE())),"?TYPE_IDENTIFIABLE","?REFERENTIAL"),"_")))))</f>
        <v> </v>
      </c>
      <c r="H3231" s="25" t="str">
        <f>IF(J3231&lt;&gt;1,"",IF(I3231="SBJ","CB","?"))</f>
        <v> </v>
      </c>
      <c r="I3231" s="26" t="str">
        <f>IF(OR(E3231="",E3231="!!!",F3231="NEW"),"",INDEX(B3230:B$2,-1+SUMPRODUCT(MAX(ROW(E3230:E$2)*(E3231=E3230:E$2)))))</f>
        <v> </v>
      </c>
      <c r="J3231" s="26" t="str">
        <f>IF(OR(E3231="",E3231="!!!",F3231="NEW"),"",COUNTBLANK(OFFSET(A$1,,,SUMPRODUCT(MAX(ROW(E$2:E3231)*(E3231=E$2:E3231)))))-COUNTBLANK(OFFSET(A$1,,,SUMPRODUCT(MAX(ROW(E$1:E3230)*(E2=E$1:E3230))))))</f>
        <v> </v>
      </c>
      <c r="K3231" s="26" t="str">
        <f>IF(OR(E3231="",E3231="!!!",F3231="NEW"),"",INDEX(J$1:J3230,SUMPRODUCT(MAX(ROW(E$1:E3230)*(E3231=E$1:E3230)))))</f>
        <v> </v>
      </c>
      <c r="L3231" s="27"/>
    </row>
    <row r="3232" spans="1:12">
      <c r="A3232" s="20" t="s">
        <v>1171</v>
      </c>
      <c r="B3232" s="21" t="s">
        <v>728</v>
      </c>
      <c r="C3232" s="21" t="s">
        <v>748</v>
      </c>
      <c r="E3232" s="22">
        <f>IF(D3232="?OLD","!!!","")</f>
        <v/>
      </c>
      <c r="F3232" s="23" t="str">
        <f>IF(OR(E3232="",E3232="!!!"),"",IF(NOT(ISNA(VLOOKUP(E3232,E$1:E3231,1,FALSE()))),"OLD",IF(AND(E3232&lt;&gt;"",E3232&lt;&gt;"!!!"),"NEW","")))</f>
        <v> </v>
      </c>
      <c r="G3232" s="24" t="str">
        <f>IF(OR(E3232="",E3232="!!!"),"",IF(OR(J3232=0,AND(J3232=1,K3232=1),AND(J3232=1,I3232="SBJ"),AND(J3232=1,I3232=0)),"?IN_FOCUS",IF(J3232&lt;=2,"?ACTIVATED",IF(J3232&lt;&gt;"","?FAMILIAR",IF(F3232="NEW",IF(ISNA(VLOOKUP(E3232,#REF!,1,FALSE())),"?TYPE_IDENTIFIABLE","?REFERENTIAL"),"_")))))</f>
        <v> </v>
      </c>
      <c r="H3232" s="25" t="str">
        <f>IF(J3232&lt;&gt;1,"",IF(I3232="SBJ","CB","?"))</f>
        <v> </v>
      </c>
      <c r="I3232" s="26" t="str">
        <f>IF(OR(E3232="",E3232="!!!",F3232="NEW"),"",INDEX(B3231:B$2,-1+SUMPRODUCT(MAX(ROW(E3231:E$2)*(E3232=E3231:E$2)))))</f>
        <v> </v>
      </c>
      <c r="J3232" s="26" t="str">
        <f>IF(OR(E3232="",E3232="!!!",F3232="NEW"),"",COUNTBLANK(OFFSET(A$1,,,SUMPRODUCT(MAX(ROW(E$2:E3232)*(E3232=E$2:E3232)))))-COUNTBLANK(OFFSET(A$1,,,SUMPRODUCT(MAX(ROW(E$1:E3231)*(E2=E$1:E3231))))))</f>
        <v> </v>
      </c>
      <c r="K3232" s="26" t="str">
        <f>IF(OR(E3232="",E3232="!!!",F3232="NEW"),"",INDEX(J$1:J3231,SUMPRODUCT(MAX(ROW(E$1:E3231)*(E3232=E$1:E3231)))))</f>
        <v> </v>
      </c>
      <c r="L3232" s="27"/>
    </row>
    <row r="3233" spans="1:12">
      <c r="A3233" s="20" t="s">
        <v>759</v>
      </c>
      <c r="E3233" s="22">
        <f>IF(D3233="?OLD","!!!","")</f>
        <v/>
      </c>
      <c r="F3233" s="23" t="str">
        <f>IF(OR(E3233="",E3233="!!!"),"",IF(NOT(ISNA(VLOOKUP(E3233,E$1:E3232,1,FALSE()))),"OLD",IF(AND(E3233&lt;&gt;"",E3233&lt;&gt;"!!!"),"NEW","")))</f>
        <v> </v>
      </c>
      <c r="G3233" s="24" t="str">
        <f>IF(OR(E3233="",E3233="!!!"),"",IF(OR(J3233=0,AND(J3233=1,K3233=1),AND(J3233=1,I3233="SBJ"),AND(J3233=1,I3233=0)),"?IN_FOCUS",IF(J3233&lt;=2,"?ACTIVATED",IF(J3233&lt;&gt;"","?FAMILIAR",IF(F3233="NEW",IF(ISNA(VLOOKUP(E3233,#REF!,1,FALSE())),"?TYPE_IDENTIFIABLE","?REFERENTIAL"),"_")))))</f>
        <v> </v>
      </c>
      <c r="H3233" s="25" t="str">
        <f>IF(J3233&lt;&gt;1,"",IF(I3233="SBJ","CB","?"))</f>
        <v> </v>
      </c>
      <c r="I3233" s="26" t="str">
        <f>IF(OR(E3233="",E3233="!!!",F3233="NEW"),"",INDEX(B3232:B$2,-1+SUMPRODUCT(MAX(ROW(E3232:E$2)*(E3233=E3232:E$2)))))</f>
        <v> </v>
      </c>
      <c r="J3233" s="26" t="str">
        <f>IF(OR(E3233="",E3233="!!!",F3233="NEW"),"",COUNTBLANK(OFFSET(A$1,,,SUMPRODUCT(MAX(ROW(E$2:E3233)*(E3233=E$2:E3233)))))-COUNTBLANK(OFFSET(A$1,,,SUMPRODUCT(MAX(ROW(E$1:E3232)*(E2=E$1:E3232))))))</f>
        <v> </v>
      </c>
      <c r="K3233" s="26" t="str">
        <f>IF(OR(E3233="",E3233="!!!",F3233="NEW"),"",INDEX(J$1:J3232,SUMPRODUCT(MAX(ROW(E$1:E3232)*(E3233=E$1:E3232)))))</f>
        <v> </v>
      </c>
      <c r="L3233" s="27"/>
    </row>
    <row r="3234" spans="1:12">
      <c r="A3234" s="20" t="s">
        <v>1138</v>
      </c>
      <c r="B3234" s="21" t="s">
        <v>791</v>
      </c>
      <c r="C3234" s="21" t="s">
        <v>748</v>
      </c>
      <c r="E3234" s="22">
        <f>IF(D3234="?OLD","!!!","")</f>
        <v/>
      </c>
      <c r="F3234" s="23" t="str">
        <f>IF(OR(E3234="",E3234="!!!"),"",IF(NOT(ISNA(VLOOKUP(E3234,E$1:E3233,1,FALSE()))),"OLD",IF(AND(E3234&lt;&gt;"",E3234&lt;&gt;"!!!"),"NEW","")))</f>
        <v> </v>
      </c>
      <c r="G3234" s="24" t="str">
        <f>IF(OR(E3234="",E3234="!!!"),"",IF(OR(J3234=0,AND(J3234=1,K3234=1),AND(J3234=1,I3234="SBJ"),AND(J3234=1,I3234=0)),"?IN_FOCUS",IF(J3234&lt;=2,"?ACTIVATED",IF(J3234&lt;&gt;"","?FAMILIAR",IF(F3234="NEW",IF(ISNA(VLOOKUP(E3234,#REF!,1,FALSE())),"?TYPE_IDENTIFIABLE","?REFERENTIAL"),"_")))))</f>
        <v> </v>
      </c>
      <c r="H3234" s="25" t="str">
        <f>IF(J3234&lt;&gt;1,"",IF(I3234="SBJ","CB","?"))</f>
        <v> </v>
      </c>
      <c r="I3234" s="26" t="str">
        <f>IF(OR(E3234="",E3234="!!!",F3234="NEW"),"",INDEX(B3233:B$2,-1+SUMPRODUCT(MAX(ROW(E3233:E$2)*(E3234=E3233:E$2)))))</f>
        <v> </v>
      </c>
      <c r="J3234" s="26" t="str">
        <f>IF(OR(E3234="",E3234="!!!",F3234="NEW"),"",COUNTBLANK(OFFSET(A$1,,,SUMPRODUCT(MAX(ROW(E$2:E3234)*(E3234=E$2:E3234)))))-COUNTBLANK(OFFSET(A$1,,,SUMPRODUCT(MAX(ROW(E$1:E3233)*(E2=E$1:E3233))))))</f>
        <v> </v>
      </c>
      <c r="K3234" s="26" t="str">
        <f>IF(OR(E3234="",E3234="!!!",F3234="NEW"),"",INDEX(J$1:J3233,SUMPRODUCT(MAX(ROW(E$1:E3233)*(E3234=E$1:E3233)))))</f>
        <v> </v>
      </c>
      <c r="L3234" s="27"/>
    </row>
    <row r="3235" spans="1:12">
      <c r="A3235" s="20" t="s">
        <v>754</v>
      </c>
      <c r="E3235" s="22">
        <f>IF(D3235="?OLD","!!!","")</f>
        <v/>
      </c>
      <c r="F3235" s="23" t="str">
        <f>IF(OR(E3235="",E3235="!!!"),"",IF(NOT(ISNA(VLOOKUP(E3235,E$1:E3234,1,FALSE()))),"OLD",IF(AND(E3235&lt;&gt;"",E3235&lt;&gt;"!!!"),"NEW","")))</f>
        <v> </v>
      </c>
      <c r="G3235" s="24" t="str">
        <f>IF(OR(E3235="",E3235="!!!"),"",IF(OR(J3235=0,AND(J3235=1,K3235=1),AND(J3235=1,I3235="SBJ"),AND(J3235=1,I3235=0)),"?IN_FOCUS",IF(J3235&lt;=2,"?ACTIVATED",IF(J3235&lt;&gt;"","?FAMILIAR",IF(F3235="NEW",IF(ISNA(VLOOKUP(E3235,#REF!,1,FALSE())),"?TYPE_IDENTIFIABLE","?REFERENTIAL"),"_")))))</f>
        <v> </v>
      </c>
      <c r="H3235" s="25" t="str">
        <f>IF(J3235&lt;&gt;1,"",IF(I3235="SBJ","CB","?"))</f>
        <v> </v>
      </c>
      <c r="I3235" s="26" t="str">
        <f>IF(OR(E3235="",E3235="!!!",F3235="NEW"),"",INDEX(B3234:B$2,-1+SUMPRODUCT(MAX(ROW(E3234:E$2)*(E3235=E3234:E$2)))))</f>
        <v> </v>
      </c>
      <c r="J3235" s="26" t="str">
        <f>IF(OR(E3235="",E3235="!!!",F3235="NEW"),"",COUNTBLANK(OFFSET(A$1,,,SUMPRODUCT(MAX(ROW(E$2:E3235)*(E3235=E$2:E3235)))))-COUNTBLANK(OFFSET(A$1,,,SUMPRODUCT(MAX(ROW(E$1:E3234)*(E2=E$1:E3234))))))</f>
        <v> </v>
      </c>
      <c r="K3235" s="26" t="str">
        <f>IF(OR(E3235="",E3235="!!!",F3235="NEW"),"",INDEX(J$1:J3234,SUMPRODUCT(MAX(ROW(E$1:E3234)*(E3235=E$1:E3234)))))</f>
        <v> </v>
      </c>
      <c r="L3235" s="27"/>
    </row>
    <row r="3236" spans="1:12">
      <c r="A3236" s="20" t="s">
        <v>117</v>
      </c>
      <c r="E3236" s="22">
        <f>IF(D3236="?OLD","!!!","")</f>
        <v/>
      </c>
      <c r="F3236" s="23" t="str">
        <f>IF(OR(E3236="",E3236="!!!"),"",IF(NOT(ISNA(VLOOKUP(E3236,E$1:E3235,1,FALSE()))),"OLD",IF(AND(E3236&lt;&gt;"",E3236&lt;&gt;"!!!"),"NEW","")))</f>
        <v> </v>
      </c>
      <c r="G3236" s="24" t="str">
        <f>IF(OR(E3236="",E3236="!!!"),"",IF(OR(J3236=0,AND(J3236=1,K3236=1),AND(J3236=1,I3236="SBJ"),AND(J3236=1,I3236=0)),"?IN_FOCUS",IF(J3236&lt;=2,"?ACTIVATED",IF(J3236&lt;&gt;"","?FAMILIAR",IF(F3236="NEW",IF(ISNA(VLOOKUP(E3236,#REF!,1,FALSE())),"?TYPE_IDENTIFIABLE","?REFERENTIAL"),"_")))))</f>
        <v> </v>
      </c>
      <c r="H3236" s="25" t="str">
        <f>IF(J3236&lt;&gt;1,"",IF(I3236="SBJ","CB","?"))</f>
        <v> </v>
      </c>
      <c r="I3236" s="26" t="str">
        <f>IF(OR(E3236="",E3236="!!!",F3236="NEW"),"",INDEX(B3235:B$2,-1+SUMPRODUCT(MAX(ROW(E3235:E$2)*(E3236=E3235:E$2)))))</f>
        <v> </v>
      </c>
      <c r="J3236" s="26" t="str">
        <f>IF(OR(E3236="",E3236="!!!",F3236="NEW"),"",COUNTBLANK(OFFSET(A$1,,,SUMPRODUCT(MAX(ROW(E$2:E3236)*(E3236=E$2:E3236)))))-COUNTBLANK(OFFSET(A$1,,,SUMPRODUCT(MAX(ROW(E$1:E3235)*(E2=E$1:E3235))))))</f>
        <v> </v>
      </c>
      <c r="K3236" s="26" t="str">
        <f>IF(OR(E3236="",E3236="!!!",F3236="NEW"),"",INDEX(J$1:J3235,SUMPRODUCT(MAX(ROW(E$1:E3235)*(E3236=E$1:E3235)))))</f>
        <v> </v>
      </c>
      <c r="L3236" s="27"/>
    </row>
    <row r="3237" spans="1:12">
      <c r="A3237" s="20" t="s">
        <v>759</v>
      </c>
      <c r="E3237" s="22">
        <f>IF(D3237="?OLD","!!!","")</f>
        <v/>
      </c>
      <c r="F3237" s="23" t="str">
        <f>IF(OR(E3237="",E3237="!!!"),"",IF(NOT(ISNA(VLOOKUP(E3237,E$1:E3236,1,FALSE()))),"OLD",IF(AND(E3237&lt;&gt;"",E3237&lt;&gt;"!!!"),"NEW","")))</f>
        <v> </v>
      </c>
      <c r="G3237" s="24" t="str">
        <f>IF(OR(E3237="",E3237="!!!"),"",IF(OR(J3237=0,AND(J3237=1,K3237=1),AND(J3237=1,I3237="SBJ"),AND(J3237=1,I3237=0)),"?IN_FOCUS",IF(J3237&lt;=2,"?ACTIVATED",IF(J3237&lt;&gt;"","?FAMILIAR",IF(F3237="NEW",IF(ISNA(VLOOKUP(E3237,#REF!,1,FALSE())),"?TYPE_IDENTIFIABLE","?REFERENTIAL"),"_")))))</f>
        <v> </v>
      </c>
      <c r="H3237" s="25" t="str">
        <f>IF(J3237&lt;&gt;1,"",IF(I3237="SBJ","CB","?"))</f>
        <v> </v>
      </c>
      <c r="I3237" s="26" t="str">
        <f>IF(OR(E3237="",E3237="!!!",F3237="NEW"),"",INDEX(B3236:B$2,-1+SUMPRODUCT(MAX(ROW(E3236:E$2)*(E3237=E3236:E$2)))))</f>
        <v> </v>
      </c>
      <c r="J3237" s="26" t="str">
        <f>IF(OR(E3237="",E3237="!!!",F3237="NEW"),"",COUNTBLANK(OFFSET(A$1,,,SUMPRODUCT(MAX(ROW(E$2:E3237)*(E3237=E$2:E3237)))))-COUNTBLANK(OFFSET(A$1,,,SUMPRODUCT(MAX(ROW(E$1:E3236)*(E2=E$1:E3236))))))</f>
        <v> </v>
      </c>
      <c r="K3237" s="26" t="str">
        <f>IF(OR(E3237="",E3237="!!!",F3237="NEW"),"",INDEX(J$1:J3236,SUMPRODUCT(MAX(ROW(E$1:E3236)*(E3237=E$1:E3236)))))</f>
        <v> </v>
      </c>
      <c r="L3237" s="27"/>
    </row>
    <row r="3238" spans="1:12">
      <c r="A3238" s="20" t="s">
        <v>1874</v>
      </c>
      <c r="E3238" s="22">
        <f>IF(D3238="?OLD","!!!","")</f>
        <v/>
      </c>
      <c r="F3238" s="23" t="str">
        <f>IF(OR(E3238="",E3238="!!!"),"",IF(NOT(ISNA(VLOOKUP(E3238,E$1:E3237,1,FALSE()))),"OLD",IF(AND(E3238&lt;&gt;"",E3238&lt;&gt;"!!!"),"NEW","")))</f>
        <v> </v>
      </c>
      <c r="G3238" s="24" t="str">
        <f>IF(OR(E3238="",E3238="!!!"),"",IF(OR(J3238=0,AND(J3238=1,K3238=1),AND(J3238=1,I3238="SBJ"),AND(J3238=1,I3238=0)),"?IN_FOCUS",IF(J3238&lt;=2,"?ACTIVATED",IF(J3238&lt;&gt;"","?FAMILIAR",IF(F3238="NEW",IF(ISNA(VLOOKUP(E3238,#REF!,1,FALSE())),"?TYPE_IDENTIFIABLE","?REFERENTIAL"),"_")))))</f>
        <v> </v>
      </c>
      <c r="H3238" s="25" t="str">
        <f>IF(J3238&lt;&gt;1,"",IF(I3238="SBJ","CB","?"))</f>
        <v> </v>
      </c>
      <c r="I3238" s="26" t="str">
        <f>IF(OR(E3238="",E3238="!!!",F3238="NEW"),"",INDEX(B3237:B$2,-1+SUMPRODUCT(MAX(ROW(E3237:E$2)*(E3238=E3237:E$2)))))</f>
        <v> </v>
      </c>
      <c r="J3238" s="26" t="str">
        <f>IF(OR(E3238="",E3238="!!!",F3238="NEW"),"",COUNTBLANK(OFFSET(A$1,,,SUMPRODUCT(MAX(ROW(E$2:E3238)*(E3238=E$2:E3238)))))-COUNTBLANK(OFFSET(A$1,,,SUMPRODUCT(MAX(ROW(E$1:E3237)*(E2=E$1:E3237))))))</f>
        <v> </v>
      </c>
      <c r="K3238" s="26" t="str">
        <f>IF(OR(E3238="",E3238="!!!",F3238="NEW"),"",INDEX(J$1:J3237,SUMPRODUCT(MAX(ROW(E$1:E3237)*(E3238=E$1:E3237)))))</f>
        <v> </v>
      </c>
      <c r="L3238" s="27"/>
    </row>
    <row r="3239" spans="1:12">
      <c r="A3239" s="20" t="s">
        <v>246</v>
      </c>
      <c r="E3239" s="22">
        <f>IF(D3239="?OLD","!!!","")</f>
        <v/>
      </c>
      <c r="F3239" s="23" t="str">
        <f>IF(OR(E3239="",E3239="!!!"),"",IF(NOT(ISNA(VLOOKUP(E3239,E$1:E3238,1,FALSE()))),"OLD",IF(AND(E3239&lt;&gt;"",E3239&lt;&gt;"!!!"),"NEW","")))</f>
        <v> </v>
      </c>
      <c r="G3239" s="24" t="str">
        <f>IF(OR(E3239="",E3239="!!!"),"",IF(OR(J3239=0,AND(J3239=1,K3239=1),AND(J3239=1,I3239="SBJ"),AND(J3239=1,I3239=0)),"?IN_FOCUS",IF(J3239&lt;=2,"?ACTIVATED",IF(J3239&lt;&gt;"","?FAMILIAR",IF(F3239="NEW",IF(ISNA(VLOOKUP(E3239,#REF!,1,FALSE())),"?TYPE_IDENTIFIABLE","?REFERENTIAL"),"_")))))</f>
        <v> </v>
      </c>
      <c r="H3239" s="25" t="str">
        <f>IF(J3239&lt;&gt;1,"",IF(I3239="SBJ","CB","?"))</f>
        <v> </v>
      </c>
      <c r="I3239" s="26" t="str">
        <f>IF(OR(E3239="",E3239="!!!",F3239="NEW"),"",INDEX(B3238:B$2,-1+SUMPRODUCT(MAX(ROW(E3238:E$2)*(E3239=E3238:E$2)))))</f>
        <v> </v>
      </c>
      <c r="J3239" s="26" t="str">
        <f>IF(OR(E3239="",E3239="!!!",F3239="NEW"),"",COUNTBLANK(OFFSET(A$1,,,SUMPRODUCT(MAX(ROW(E$2:E3239)*(E3239=E$2:E3239)))))-COUNTBLANK(OFFSET(A$1,,,SUMPRODUCT(MAX(ROW(E$1:E3238)*(E2=E$1:E3238))))))</f>
        <v> </v>
      </c>
      <c r="K3239" s="26" t="str">
        <f>IF(OR(E3239="",E3239="!!!",F3239="NEW"),"",INDEX(J$1:J3238,SUMPRODUCT(MAX(ROW(E$1:E3238)*(E3239=E$1:E3238)))))</f>
        <v> </v>
      </c>
      <c r="L3239" s="27"/>
    </row>
    <row r="3240" spans="1:12">
      <c r="A3240" s="20"/>
    </row>
    <row r="3241" spans="1:12">
      <c r="A3241" s="20" t="s">
        <v>1875</v>
      </c>
    </row>
    <row r="3242" spans="1:12">
      <c r="A3242" s="20" t="s">
        <v>836</v>
      </c>
      <c r="E3242" s="22">
        <f>IF(D3242="?OLD","!!!","")</f>
        <v/>
      </c>
      <c r="F3242" s="23" t="str">
        <f>IF(OR(E3242="",E3242="!!!"),"",IF(NOT(ISNA(VLOOKUP(E3242,E$1:E3241,1,FALSE()))),"OLD",IF(AND(E3242&lt;&gt;"",E3242&lt;&gt;"!!!"),"NEW","")))</f>
        <v> </v>
      </c>
      <c r="G3242" s="24" t="str">
        <f>IF(OR(E3242="",E3242="!!!"),"",IF(OR(J3242=0,AND(J3242=1,K3242=1),AND(J3242=1,I3242="SBJ"),AND(J3242=1,I3242=0)),"?IN_FOCUS",IF(J3242&lt;=2,"?ACTIVATED",IF(J3242&lt;&gt;"","?FAMILIAR",IF(F3242="NEW",IF(ISNA(VLOOKUP(E3242,#REF!,1,FALSE())),"?TYPE_IDENTIFIABLE","?REFERENTIAL"),"_")))))</f>
        <v> </v>
      </c>
      <c r="H3242" s="25" t="str">
        <f>IF(J3242&lt;&gt;1,"",IF(I3242="SBJ","CB","?"))</f>
        <v> </v>
      </c>
      <c r="I3242" s="26" t="str">
        <f>IF(OR(E3242="",E3242="!!!",F3242="NEW"),"",INDEX(B3241:B$2,-1+SUMPRODUCT(MAX(ROW(E3241:E$2)*(E3242=E3241:E$2)))))</f>
        <v> </v>
      </c>
      <c r="J3242" s="26" t="str">
        <f>IF(OR(E3242="",E3242="!!!",F3242="NEW"),"",COUNTBLANK(OFFSET(A$1,,,SUMPRODUCT(MAX(ROW(E$2:E3242)*(E3242=E$2:E3242)))))-COUNTBLANK(OFFSET(A$1,,,SUMPRODUCT(MAX(ROW(E$1:E3241)*(E2=E$1:E3241))))))</f>
        <v> </v>
      </c>
      <c r="K3242" s="26" t="str">
        <f>IF(OR(E3242="",E3242="!!!",F3242="NEW"),"",INDEX(J$1:J3241,SUMPRODUCT(MAX(ROW(E$1:E3241)*(E3242=E$1:E3241)))))</f>
        <v> </v>
      </c>
      <c r="L3242" s="27"/>
    </row>
    <row r="3243" spans="1:12">
      <c r="A3243" s="20" t="s">
        <v>910</v>
      </c>
      <c r="E3243" s="22">
        <f>IF(D3243="?OLD","!!!","")</f>
        <v/>
      </c>
      <c r="F3243" s="23" t="str">
        <f>IF(OR(E3243="",E3243="!!!"),"",IF(NOT(ISNA(VLOOKUP(E3243,E$1:E3242,1,FALSE()))),"OLD",IF(AND(E3243&lt;&gt;"",E3243&lt;&gt;"!!!"),"NEW","")))</f>
        <v> </v>
      </c>
      <c r="G3243" s="24" t="str">
        <f>IF(OR(E3243="",E3243="!!!"),"",IF(OR(J3243=0,AND(J3243=1,K3243=1),AND(J3243=1,I3243="SBJ"),AND(J3243=1,I3243=0)),"?IN_FOCUS",IF(J3243&lt;=2,"?ACTIVATED",IF(J3243&lt;&gt;"","?FAMILIAR",IF(F3243="NEW",IF(ISNA(VLOOKUP(E3243,#REF!,1,FALSE())),"?TYPE_IDENTIFIABLE","?REFERENTIAL"),"_")))))</f>
        <v> </v>
      </c>
      <c r="H3243" s="25" t="str">
        <f>IF(J3243&lt;&gt;1,"",IF(I3243="SBJ","CB","?"))</f>
        <v> </v>
      </c>
      <c r="I3243" s="26" t="str">
        <f>IF(OR(E3243="",E3243="!!!",F3243="NEW"),"",INDEX(B3242:B$2,-1+SUMPRODUCT(MAX(ROW(E3242:E$2)*(E3243=E3242:E$2)))))</f>
        <v> </v>
      </c>
      <c r="J3243" s="26" t="str">
        <f>IF(OR(E3243="",E3243="!!!",F3243="NEW"),"",COUNTBLANK(OFFSET(A$1,,,SUMPRODUCT(MAX(ROW(E$2:E3243)*(E3243=E$2:E3243)))))-COUNTBLANK(OFFSET(A$1,,,SUMPRODUCT(MAX(ROW(E$1:E3242)*(E2=E$1:E3242))))))</f>
        <v> </v>
      </c>
      <c r="K3243" s="26" t="str">
        <f>IF(OR(E3243="",E3243="!!!",F3243="NEW"),"",INDEX(J$1:J3242,SUMPRODUCT(MAX(ROW(E$1:E3242)*(E3243=E$1:E3242)))))</f>
        <v> </v>
      </c>
      <c r="L3243" s="27"/>
    </row>
    <row r="3244" spans="1:12">
      <c r="A3244" s="20" t="s">
        <v>1340</v>
      </c>
      <c r="B3244" s="21" t="s">
        <v>728</v>
      </c>
      <c r="C3244" s="21" t="s">
        <v>748</v>
      </c>
      <c r="E3244" s="22">
        <f>IF(D3244="?OLD","!!!","")</f>
        <v/>
      </c>
      <c r="F3244" s="23" t="str">
        <f>IF(OR(E3244="",E3244="!!!"),"",IF(NOT(ISNA(VLOOKUP(E3244,E$1:E3243,1,FALSE()))),"OLD",IF(AND(E3244&lt;&gt;"",E3244&lt;&gt;"!!!"),"NEW","")))</f>
        <v> </v>
      </c>
      <c r="G3244" s="24" t="str">
        <f>IF(OR(E3244="",E3244="!!!"),"",IF(OR(J3244=0,AND(J3244=1,K3244=1),AND(J3244=1,I3244="SBJ"),AND(J3244=1,I3244=0)),"?IN_FOCUS",IF(J3244&lt;=2,"?ACTIVATED",IF(J3244&lt;&gt;"","?FAMILIAR",IF(F3244="NEW",IF(ISNA(VLOOKUP(E3244,#REF!,1,FALSE())),"?TYPE_IDENTIFIABLE","?REFERENTIAL"),"_")))))</f>
        <v> </v>
      </c>
      <c r="H3244" s="25" t="str">
        <f>IF(J3244&lt;&gt;1,"",IF(I3244="SBJ","CB","?"))</f>
        <v> </v>
      </c>
      <c r="I3244" s="26" t="str">
        <f>IF(OR(E3244="",E3244="!!!",F3244="NEW"),"",INDEX(B3243:B$2,-1+SUMPRODUCT(MAX(ROW(E3243:E$2)*(E3244=E3243:E$2)))))</f>
        <v> </v>
      </c>
      <c r="J3244" s="26" t="str">
        <f>IF(OR(E3244="",E3244="!!!",F3244="NEW"),"",COUNTBLANK(OFFSET(A$1,,,SUMPRODUCT(MAX(ROW(E$2:E3244)*(E3244=E$2:E3244)))))-COUNTBLANK(OFFSET(A$1,,,SUMPRODUCT(MAX(ROW(E$1:E3243)*(E2=E$1:E3243))))))</f>
        <v> </v>
      </c>
      <c r="K3244" s="26" t="str">
        <f>IF(OR(E3244="",E3244="!!!",F3244="NEW"),"",INDEX(J$1:J3243,SUMPRODUCT(MAX(ROW(E$1:E3243)*(E3244=E$1:E3243)))))</f>
        <v> </v>
      </c>
      <c r="L3244" s="27"/>
    </row>
    <row r="3245" spans="1:12">
      <c r="A3245" s="20" t="s">
        <v>759</v>
      </c>
      <c r="E3245" s="22">
        <f>IF(D3245="?OLD","!!!","")</f>
        <v/>
      </c>
      <c r="F3245" s="23" t="str">
        <f>IF(OR(E3245="",E3245="!!!"),"",IF(NOT(ISNA(VLOOKUP(E3245,E$1:E3244,1,FALSE()))),"OLD",IF(AND(E3245&lt;&gt;"",E3245&lt;&gt;"!!!"),"NEW","")))</f>
        <v> </v>
      </c>
      <c r="G3245" s="24" t="str">
        <f>IF(OR(E3245="",E3245="!!!"),"",IF(OR(J3245=0,AND(J3245=1,K3245=1),AND(J3245=1,I3245="SBJ"),AND(J3245=1,I3245=0)),"?IN_FOCUS",IF(J3245&lt;=2,"?ACTIVATED",IF(J3245&lt;&gt;"","?FAMILIAR",IF(F3245="NEW",IF(ISNA(VLOOKUP(E3245,#REF!,1,FALSE())),"?TYPE_IDENTIFIABLE","?REFERENTIAL"),"_")))))</f>
        <v> </v>
      </c>
      <c r="H3245" s="25" t="str">
        <f>IF(J3245&lt;&gt;1,"",IF(I3245="SBJ","CB","?"))</f>
        <v> </v>
      </c>
      <c r="I3245" s="26" t="str">
        <f>IF(OR(E3245="",E3245="!!!",F3245="NEW"),"",INDEX(B3244:B$2,-1+SUMPRODUCT(MAX(ROW(E3244:E$2)*(E3245=E3244:E$2)))))</f>
        <v> </v>
      </c>
      <c r="J3245" s="26" t="str">
        <f>IF(OR(E3245="",E3245="!!!",F3245="NEW"),"",COUNTBLANK(OFFSET(A$1,,,SUMPRODUCT(MAX(ROW(E$2:E3245)*(E3245=E$2:E3245)))))-COUNTBLANK(OFFSET(A$1,,,SUMPRODUCT(MAX(ROW(E$1:E3244)*(E2=E$1:E3244))))))</f>
        <v> </v>
      </c>
      <c r="K3245" s="26" t="str">
        <f>IF(OR(E3245="",E3245="!!!",F3245="NEW"),"",INDEX(J$1:J3244,SUMPRODUCT(MAX(ROW(E$1:E3244)*(E3245=E$1:E3244)))))</f>
        <v> </v>
      </c>
      <c r="L3245" s="27"/>
    </row>
    <row r="3246" spans="1:12">
      <c r="A3246" s="20" t="s">
        <v>813</v>
      </c>
      <c r="B3246" s="21" t="s">
        <v>788</v>
      </c>
      <c r="E3246" s="22">
        <f>IF(D3246="?OLD","!!!","")</f>
        <v/>
      </c>
      <c r="F3246" s="23" t="str">
        <f>IF(OR(E3246="",E3246="!!!"),"",IF(NOT(ISNA(VLOOKUP(E3246,E$1:E3245,1,FALSE()))),"OLD",IF(AND(E3246&lt;&gt;"",E3246&lt;&gt;"!!!"),"NEW","")))</f>
        <v> </v>
      </c>
      <c r="G3246" s="24" t="str">
        <f>IF(OR(E3246="",E3246="!!!"),"",IF(OR(J3246=0,AND(J3246=1,K3246=1),AND(J3246=1,I3246="SBJ"),AND(J3246=1,I3246=0)),"?IN_FOCUS",IF(J3246&lt;=2,"?ACTIVATED",IF(J3246&lt;&gt;"","?FAMILIAR",IF(F3246="NEW",IF(ISNA(VLOOKUP(E3246,#REF!,1,FALSE())),"?TYPE_IDENTIFIABLE","?REFERENTIAL"),"_")))))</f>
        <v> </v>
      </c>
      <c r="H3246" s="25" t="str">
        <f>IF(J3246&lt;&gt;1,"",IF(I3246="SBJ","CB","?"))</f>
        <v> </v>
      </c>
      <c r="I3246" s="26" t="str">
        <f>IF(OR(E3246="",E3246="!!!",F3246="NEW"),"",INDEX(B3245:B$2,-1+SUMPRODUCT(MAX(ROW(E3245:E$2)*(E3246=E3245:E$2)))))</f>
        <v> </v>
      </c>
      <c r="J3246" s="26" t="str">
        <f>IF(OR(E3246="",E3246="!!!",F3246="NEW"),"",COUNTBLANK(OFFSET(A$1,,,SUMPRODUCT(MAX(ROW(E$2:E3246)*(E3246=E$2:E3246)))))-COUNTBLANK(OFFSET(A$1,,,SUMPRODUCT(MAX(ROW(E$1:E3245)*(E2=E$1:E3245))))))</f>
        <v> </v>
      </c>
      <c r="K3246" s="26" t="str">
        <f>IF(OR(E3246="",E3246="!!!",F3246="NEW"),"",INDEX(J$1:J3245,SUMPRODUCT(MAX(ROW(E$1:E3245)*(E3246=E$1:E3245)))))</f>
        <v> </v>
      </c>
      <c r="L3246" s="27"/>
    </row>
    <row r="3247" spans="1:12">
      <c r="A3247" s="20" t="s">
        <v>1876</v>
      </c>
      <c r="E3247" s="22">
        <f>IF(D3247="?OLD","!!!","")</f>
        <v/>
      </c>
      <c r="F3247" s="23" t="str">
        <f>IF(OR(E3247="",E3247="!!!"),"",IF(NOT(ISNA(VLOOKUP(E3247,E$1:E3246,1,FALSE()))),"OLD",IF(AND(E3247&lt;&gt;"",E3247&lt;&gt;"!!!"),"NEW","")))</f>
        <v> </v>
      </c>
      <c r="G3247" s="24" t="str">
        <f>IF(OR(E3247="",E3247="!!!"),"",IF(OR(J3247=0,AND(J3247=1,K3247=1),AND(J3247=1,I3247="SBJ"),AND(J3247=1,I3247=0)),"?IN_FOCUS",IF(J3247&lt;=2,"?ACTIVATED",IF(J3247&lt;&gt;"","?FAMILIAR",IF(F3247="NEW",IF(ISNA(VLOOKUP(E3247,#REF!,1,FALSE())),"?TYPE_IDENTIFIABLE","?REFERENTIAL"),"_")))))</f>
        <v> </v>
      </c>
      <c r="H3247" s="25" t="str">
        <f>IF(J3247&lt;&gt;1,"",IF(I3247="SBJ","CB","?"))</f>
        <v> </v>
      </c>
      <c r="I3247" s="26" t="str">
        <f>IF(OR(E3247="",E3247="!!!",F3247="NEW"),"",INDEX(B3246:B$2,-1+SUMPRODUCT(MAX(ROW(E3246:E$2)*(E3247=E3246:E$2)))))</f>
        <v> </v>
      </c>
      <c r="J3247" s="26" t="str">
        <f>IF(OR(E3247="",E3247="!!!",F3247="NEW"),"",COUNTBLANK(OFFSET(A$1,,,SUMPRODUCT(MAX(ROW(E$2:E3247)*(E3247=E$2:E3247)))))-COUNTBLANK(OFFSET(A$1,,,SUMPRODUCT(MAX(ROW(E$1:E3246)*(E2=E$1:E3246))))))</f>
        <v> </v>
      </c>
      <c r="K3247" s="26" t="str">
        <f>IF(OR(E3247="",E3247="!!!",F3247="NEW"),"",INDEX(J$1:J3246,SUMPRODUCT(MAX(ROW(E$1:E3246)*(E3247=E$1:E3246)))))</f>
        <v> </v>
      </c>
      <c r="L3247" s="27"/>
    </row>
    <row r="3248" spans="1:12">
      <c r="A3248" s="20" t="s">
        <v>759</v>
      </c>
      <c r="E3248" s="22">
        <f>IF(D3248="?OLD","!!!","")</f>
        <v/>
      </c>
      <c r="F3248" s="23" t="str">
        <f>IF(OR(E3248="",E3248="!!!"),"",IF(NOT(ISNA(VLOOKUP(E3248,E$1:E3247,1,FALSE()))),"OLD",IF(AND(E3248&lt;&gt;"",E3248&lt;&gt;"!!!"),"NEW","")))</f>
        <v> </v>
      </c>
      <c r="G3248" s="24" t="str">
        <f>IF(OR(E3248="",E3248="!!!"),"",IF(OR(J3248=0,AND(J3248=1,K3248=1),AND(J3248=1,I3248="SBJ"),AND(J3248=1,I3248=0)),"?IN_FOCUS",IF(J3248&lt;=2,"?ACTIVATED",IF(J3248&lt;&gt;"","?FAMILIAR",IF(F3248="NEW",IF(ISNA(VLOOKUP(E3248,#REF!,1,FALSE())),"?TYPE_IDENTIFIABLE","?REFERENTIAL"),"_")))))</f>
        <v> </v>
      </c>
      <c r="H3248" s="25" t="str">
        <f>IF(J3248&lt;&gt;1,"",IF(I3248="SBJ","CB","?"))</f>
        <v> </v>
      </c>
      <c r="I3248" s="26" t="str">
        <f>IF(OR(E3248="",E3248="!!!",F3248="NEW"),"",INDEX(B3247:B$2,-1+SUMPRODUCT(MAX(ROW(E3247:E$2)*(E3248=E3247:E$2)))))</f>
        <v> </v>
      </c>
      <c r="J3248" s="26" t="str">
        <f>IF(OR(E3248="",E3248="!!!",F3248="NEW"),"",COUNTBLANK(OFFSET(A$1,,,SUMPRODUCT(MAX(ROW(E$2:E3248)*(E3248=E$2:E3248)))))-COUNTBLANK(OFFSET(A$1,,,SUMPRODUCT(MAX(ROW(E$1:E3247)*(E2=E$1:E3247))))))</f>
        <v> </v>
      </c>
      <c r="K3248" s="26" t="str">
        <f>IF(OR(E3248="",E3248="!!!",F3248="NEW"),"",INDEX(J$1:J3247,SUMPRODUCT(MAX(ROW(E$1:E3247)*(E3248=E$1:E3247)))))</f>
        <v> </v>
      </c>
      <c r="L3248" s="27"/>
    </row>
    <row r="3249" spans="1:12">
      <c r="A3249" s="20" t="s">
        <v>859</v>
      </c>
      <c r="B3249" s="21" t="s">
        <v>796</v>
      </c>
      <c r="C3249" s="21" t="s">
        <v>789</v>
      </c>
      <c r="D3249" s="21" t="s">
        <v>730</v>
      </c>
      <c r="E3249" s="22">
        <f>IF(D3249="?OLD","!!!","")</f>
        <v/>
      </c>
      <c r="F3249" s="23" t="str">
        <f>IF(OR(E3249="",E3249="!!!"),"",IF(NOT(ISNA(VLOOKUP(E3249,E$1:E3248,1,FALSE()))),"OLD",IF(AND(E3249&lt;&gt;"",E3249&lt;&gt;"!!!"),"NEW","")))</f>
        <v> </v>
      </c>
      <c r="G3249" s="24" t="str">
        <f>IF(OR(E3249="",E3249="!!!"),"",IF(OR(J3249=0,AND(J3249=1,K3249=1),AND(J3249=1,I3249="SBJ"),AND(J3249=1,I3249=0)),"?IN_FOCUS",IF(J3249&lt;=2,"?ACTIVATED",IF(J3249&lt;&gt;"","?FAMILIAR",IF(F3249="NEW",IF(ISNA(VLOOKUP(E3249,#REF!,1,FALSE())),"?TYPE_IDENTIFIABLE","?REFERENTIAL"),"_")))))</f>
        <v> </v>
      </c>
      <c r="H3249" s="25" t="str">
        <f>IF(J3249&lt;&gt;1,"",IF(I3249="SBJ","CB","?"))</f>
        <v> </v>
      </c>
      <c r="I3249" s="26" t="str">
        <f>IF(OR(E3249="",E3249="!!!",F3249="NEW"),"",INDEX(B3248:B$2,-1+SUMPRODUCT(MAX(ROW(E3248:E$2)*(E3249=E3248:E$2)))))</f>
        <v> </v>
      </c>
      <c r="J3249" s="26" t="str">
        <f>IF(OR(E3249="",E3249="!!!",F3249="NEW"),"",COUNTBLANK(OFFSET(A$1,,,SUMPRODUCT(MAX(ROW(E$2:E3249)*(E3249=E$2:E3249)))))-COUNTBLANK(OFFSET(A$1,,,SUMPRODUCT(MAX(ROW(E$1:E3248)*(E2=E$1:E3248))))))</f>
        <v> </v>
      </c>
      <c r="K3249" s="26" t="str">
        <f>IF(OR(E3249="",E3249="!!!",F3249="NEW"),"",INDEX(J$1:J3248,SUMPRODUCT(MAX(ROW(E$1:E3248)*(E3249=E$1:E3248)))))</f>
        <v> </v>
      </c>
      <c r="L3249" s="27"/>
    </row>
    <row r="3250" spans="1:12">
      <c r="A3250" s="20" t="s">
        <v>880</v>
      </c>
      <c r="E3250" s="22">
        <f>IF(D3250="?OLD","!!!","")</f>
        <v/>
      </c>
      <c r="F3250" s="23" t="str">
        <f>IF(OR(E3250="",E3250="!!!"),"",IF(NOT(ISNA(VLOOKUP(E3250,E$1:E3249,1,FALSE()))),"OLD",IF(AND(E3250&lt;&gt;"",E3250&lt;&gt;"!!!"),"NEW","")))</f>
        <v> </v>
      </c>
      <c r="G3250" s="24" t="str">
        <f>IF(OR(E3250="",E3250="!!!"),"",IF(OR(J3250=0,AND(J3250=1,K3250=1),AND(J3250=1,I3250="SBJ"),AND(J3250=1,I3250=0)),"?IN_FOCUS",IF(J3250&lt;=2,"?ACTIVATED",IF(J3250&lt;&gt;"","?FAMILIAR",IF(F3250="NEW",IF(ISNA(VLOOKUP(E3250,#REF!,1,FALSE())),"?TYPE_IDENTIFIABLE","?REFERENTIAL"),"_")))))</f>
        <v> </v>
      </c>
      <c r="H3250" s="25" t="str">
        <f>IF(J3250&lt;&gt;1,"",IF(I3250="SBJ","CB","?"))</f>
        <v> </v>
      </c>
      <c r="I3250" s="26" t="str">
        <f>IF(OR(E3250="",E3250="!!!",F3250="NEW"),"",INDEX(B3249:B$2,-1+SUMPRODUCT(MAX(ROW(E3249:E$2)*(E3250=E3249:E$2)))))</f>
        <v> </v>
      </c>
      <c r="J3250" s="26" t="str">
        <f>IF(OR(E3250="",E3250="!!!",F3250="NEW"),"",COUNTBLANK(OFFSET(A$1,,,SUMPRODUCT(MAX(ROW(E$2:E3250)*(E3250=E$2:E3250)))))-COUNTBLANK(OFFSET(A$1,,,SUMPRODUCT(MAX(ROW(E$1:E3249)*(E2=E$1:E3249))))))</f>
        <v> </v>
      </c>
      <c r="K3250" s="26" t="str">
        <f>IF(OR(E3250="",E3250="!!!",F3250="NEW"),"",INDEX(J$1:J3249,SUMPRODUCT(MAX(ROW(E$1:E3249)*(E3250=E$1:E3249)))))</f>
        <v> </v>
      </c>
      <c r="L3250" s="27"/>
    </row>
    <row r="3251" spans="1:12">
      <c r="A3251" s="20" t="s">
        <v>903</v>
      </c>
      <c r="B3251" s="21" t="s">
        <v>755</v>
      </c>
      <c r="C3251" s="21" t="s">
        <v>801</v>
      </c>
      <c r="D3251" s="21" t="s">
        <v>730</v>
      </c>
      <c r="E3251" s="22">
        <f>IF(D3251="?OLD","!!!","")</f>
        <v/>
      </c>
      <c r="F3251" s="23" t="str">
        <f>IF(OR(E3251="",E3251="!!!"),"",IF(NOT(ISNA(VLOOKUP(E3251,E$1:E3250,1,FALSE()))),"OLD",IF(AND(E3251&lt;&gt;"",E3251&lt;&gt;"!!!"),"NEW","")))</f>
        <v> </v>
      </c>
      <c r="G3251" s="24" t="str">
        <f>IF(OR(E3251="",E3251="!!!"),"",IF(OR(J3251=0,AND(J3251=1,K3251=1),AND(J3251=1,I3251="SBJ"),AND(J3251=1,I3251=0)),"?IN_FOCUS",IF(J3251&lt;=2,"?ACTIVATED",IF(J3251&lt;&gt;"","?FAMILIAR",IF(F3251="NEW",IF(ISNA(VLOOKUP(E3251,#REF!,1,FALSE())),"?TYPE_IDENTIFIABLE","?REFERENTIAL"),"_")))))</f>
        <v> </v>
      </c>
      <c r="H3251" s="25" t="str">
        <f>IF(J3251&lt;&gt;1,"",IF(I3251="SBJ","CB","?"))</f>
        <v> </v>
      </c>
      <c r="I3251" s="26" t="str">
        <f>IF(OR(E3251="",E3251="!!!",F3251="NEW"),"",INDEX(B3250:B$2,-1+SUMPRODUCT(MAX(ROW(E3250:E$2)*(E3251=E3250:E$2)))))</f>
        <v> </v>
      </c>
      <c r="J3251" s="26" t="str">
        <f>IF(OR(E3251="",E3251="!!!",F3251="NEW"),"",COUNTBLANK(OFFSET(A$1,,,SUMPRODUCT(MAX(ROW(E$2:E3251)*(E3251=E$2:E3251)))))-COUNTBLANK(OFFSET(A$1,,,SUMPRODUCT(MAX(ROW(E$1:E3250)*(E2=E$1:E3250))))))</f>
        <v> </v>
      </c>
      <c r="K3251" s="26" t="str">
        <f>IF(OR(E3251="",E3251="!!!",F3251="NEW"),"",INDEX(J$1:J3250,SUMPRODUCT(MAX(ROW(E$1:E3250)*(E3251=E$1:E3250)))))</f>
        <v> </v>
      </c>
      <c r="L3251" s="27"/>
    </row>
    <row r="3252" spans="1:12">
      <c r="A3252" s="20" t="s">
        <v>1877</v>
      </c>
      <c r="B3252" s="21" t="s">
        <v>796</v>
      </c>
      <c r="C3252" s="21" t="s">
        <v>802</v>
      </c>
      <c r="D3252" s="21" t="s">
        <v>730</v>
      </c>
      <c r="E3252" s="22">
        <f>IF(D3252="?OLD","!!!","")</f>
        <v/>
      </c>
      <c r="F3252" s="23" t="str">
        <f>IF(OR(E3252="",E3252="!!!"),"",IF(NOT(ISNA(VLOOKUP(E3252,E$1:E3251,1,FALSE()))),"OLD",IF(AND(E3252&lt;&gt;"",E3252&lt;&gt;"!!!"),"NEW","")))</f>
        <v> </v>
      </c>
      <c r="G3252" s="24" t="str">
        <f>IF(OR(E3252="",E3252="!!!"),"",IF(OR(J3252=0,AND(J3252=1,K3252=1),AND(J3252=1,I3252="SBJ"),AND(J3252=1,I3252=0)),"?IN_FOCUS",IF(J3252&lt;=2,"?ACTIVATED",IF(J3252&lt;&gt;"","?FAMILIAR",IF(F3252="NEW",IF(ISNA(VLOOKUP(E3252,#REF!,1,FALSE())),"?TYPE_IDENTIFIABLE","?REFERENTIAL"),"_")))))</f>
        <v> </v>
      </c>
      <c r="H3252" s="25" t="str">
        <f>IF(J3252&lt;&gt;1,"",IF(I3252="SBJ","CB","?"))</f>
        <v> </v>
      </c>
      <c r="I3252" s="26" t="str">
        <f>IF(OR(E3252="",E3252="!!!",F3252="NEW"),"",INDEX(B3251:B$2,-1+SUMPRODUCT(MAX(ROW(E3251:E$2)*(E3252=E3251:E$2)))))</f>
        <v> </v>
      </c>
      <c r="J3252" s="26" t="str">
        <f>IF(OR(E3252="",E3252="!!!",F3252="NEW"),"",COUNTBLANK(OFFSET(A$1,,,SUMPRODUCT(MAX(ROW(E$2:E3252)*(E3252=E$2:E3252)))))-COUNTBLANK(OFFSET(A$1,,,SUMPRODUCT(MAX(ROW(E$1:E3251)*(E2=E$1:E3251))))))</f>
        <v> </v>
      </c>
      <c r="K3252" s="26" t="str">
        <f>IF(OR(E3252="",E3252="!!!",F3252="NEW"),"",INDEX(J$1:J3251,SUMPRODUCT(MAX(ROW(E$1:E3251)*(E3252=E$1:E3251)))))</f>
        <v> </v>
      </c>
      <c r="L3252" s="27"/>
    </row>
    <row r="3253" spans="1:12">
      <c r="A3253" s="20" t="s">
        <v>986</v>
      </c>
      <c r="E3253" s="22">
        <f>IF(D3253="?OLD","!!!","")</f>
        <v/>
      </c>
      <c r="F3253" s="23" t="str">
        <f>IF(OR(E3253="",E3253="!!!"),"",IF(NOT(ISNA(VLOOKUP(E3253,E$1:E3252,1,FALSE()))),"OLD",IF(AND(E3253&lt;&gt;"",E3253&lt;&gt;"!!!"),"NEW","")))</f>
        <v> </v>
      </c>
      <c r="G3253" s="24" t="str">
        <f>IF(OR(E3253="",E3253="!!!"),"",IF(OR(J3253=0,AND(J3253=1,K3253=1),AND(J3253=1,I3253="SBJ"),AND(J3253=1,I3253=0)),"?IN_FOCUS",IF(J3253&lt;=2,"?ACTIVATED",IF(J3253&lt;&gt;"","?FAMILIAR",IF(F3253="NEW",IF(ISNA(VLOOKUP(E3253,#REF!,1,FALSE())),"?TYPE_IDENTIFIABLE","?REFERENTIAL"),"_")))))</f>
        <v> </v>
      </c>
      <c r="H3253" s="25" t="str">
        <f>IF(J3253&lt;&gt;1,"",IF(I3253="SBJ","CB","?"))</f>
        <v> </v>
      </c>
      <c r="I3253" s="26" t="str">
        <f>IF(OR(E3253="",E3253="!!!",F3253="NEW"),"",INDEX(B3252:B$2,-1+SUMPRODUCT(MAX(ROW(E3252:E$2)*(E3253=E3252:E$2)))))</f>
        <v> </v>
      </c>
      <c r="J3253" s="26" t="str">
        <f>IF(OR(E3253="",E3253="!!!",F3253="NEW"),"",COUNTBLANK(OFFSET(A$1,,,SUMPRODUCT(MAX(ROW(E$2:E3253)*(E3253=E$2:E3253)))))-COUNTBLANK(OFFSET(A$1,,,SUMPRODUCT(MAX(ROW(E$1:E3252)*(E2=E$1:E3252))))))</f>
        <v> </v>
      </c>
      <c r="K3253" s="26" t="str">
        <f>IF(OR(E3253="",E3253="!!!",F3253="NEW"),"",INDEX(J$1:J3252,SUMPRODUCT(MAX(ROW(E$1:E3252)*(E3253=E$1:E3252)))))</f>
        <v> </v>
      </c>
      <c r="L3253" s="27"/>
    </row>
    <row r="3254" spans="1:12">
      <c r="A3254" s="20" t="s">
        <v>1088</v>
      </c>
      <c r="E3254" s="22">
        <f>IF(D3254="?OLD","!!!","")</f>
        <v/>
      </c>
      <c r="F3254" s="23" t="str">
        <f>IF(OR(E3254="",E3254="!!!"),"",IF(NOT(ISNA(VLOOKUP(E3254,E$1:E3253,1,FALSE()))),"OLD",IF(AND(E3254&lt;&gt;"",E3254&lt;&gt;"!!!"),"NEW","")))</f>
        <v> </v>
      </c>
      <c r="G3254" s="24" t="str">
        <f>IF(OR(E3254="",E3254="!!!"),"",IF(OR(J3254=0,AND(J3254=1,K3254=1),AND(J3254=1,I3254="SBJ"),AND(J3254=1,I3254=0)),"?IN_FOCUS",IF(J3254&lt;=2,"?ACTIVATED",IF(J3254&lt;&gt;"","?FAMILIAR",IF(F3254="NEW",IF(ISNA(VLOOKUP(E3254,#REF!,1,FALSE())),"?TYPE_IDENTIFIABLE","?REFERENTIAL"),"_")))))</f>
        <v> </v>
      </c>
      <c r="H3254" s="25" t="str">
        <f>IF(J3254&lt;&gt;1,"",IF(I3254="SBJ","CB","?"))</f>
        <v> </v>
      </c>
      <c r="I3254" s="26" t="str">
        <f>IF(OR(E3254="",E3254="!!!",F3254="NEW"),"",INDEX(B3253:B$2,-1+SUMPRODUCT(MAX(ROW(E3253:E$2)*(E3254=E3253:E$2)))))</f>
        <v> </v>
      </c>
      <c r="J3254" s="26" t="str">
        <f>IF(OR(E3254="",E3254="!!!",F3254="NEW"),"",COUNTBLANK(OFFSET(A$1,,,SUMPRODUCT(MAX(ROW(E$2:E3254)*(E3254=E$2:E3254)))))-COUNTBLANK(OFFSET(A$1,,,SUMPRODUCT(MAX(ROW(E$1:E3253)*(E2=E$1:E3253))))))</f>
        <v> </v>
      </c>
      <c r="K3254" s="26" t="str">
        <f>IF(OR(E3254="",E3254="!!!",F3254="NEW"),"",INDEX(J$1:J3253,SUMPRODUCT(MAX(ROW(E$1:E3253)*(E3254=E$1:E3253)))))</f>
        <v> </v>
      </c>
      <c r="L3254" s="27"/>
    </row>
    <row r="3255" spans="1:12">
      <c r="A3255" s="20" t="s">
        <v>888</v>
      </c>
      <c r="E3255" s="22">
        <f>IF(D3255="?OLD","!!!","")</f>
        <v/>
      </c>
      <c r="F3255" s="23" t="str">
        <f>IF(OR(E3255="",E3255="!!!"),"",IF(NOT(ISNA(VLOOKUP(E3255,E$1:E3254,1,FALSE()))),"OLD",IF(AND(E3255&lt;&gt;"",E3255&lt;&gt;"!!!"),"NEW","")))</f>
        <v> </v>
      </c>
      <c r="G3255" s="24" t="str">
        <f>IF(OR(E3255="",E3255="!!!"),"",IF(OR(J3255=0,AND(J3255=1,K3255=1),AND(J3255=1,I3255="SBJ"),AND(J3255=1,I3255=0)),"?IN_FOCUS",IF(J3255&lt;=2,"?ACTIVATED",IF(J3255&lt;&gt;"","?FAMILIAR",IF(F3255="NEW",IF(ISNA(VLOOKUP(E3255,#REF!,1,FALSE())),"?TYPE_IDENTIFIABLE","?REFERENTIAL"),"_")))))</f>
        <v> </v>
      </c>
      <c r="H3255" s="25" t="str">
        <f>IF(J3255&lt;&gt;1,"",IF(I3255="SBJ","CB","?"))</f>
        <v> </v>
      </c>
      <c r="I3255" s="26" t="str">
        <f>IF(OR(E3255="",E3255="!!!",F3255="NEW"),"",INDEX(B3254:B$2,-1+SUMPRODUCT(MAX(ROW(E3254:E$2)*(E3255=E3254:E$2)))))</f>
        <v> </v>
      </c>
      <c r="J3255" s="26" t="str">
        <f>IF(OR(E3255="",E3255="!!!",F3255="NEW"),"",COUNTBLANK(OFFSET(A$1,,,SUMPRODUCT(MAX(ROW(E$2:E3255)*(E3255=E$2:E3255)))))-COUNTBLANK(OFFSET(A$1,,,SUMPRODUCT(MAX(ROW(E$1:E3254)*(E2=E$1:E3254))))))</f>
        <v> </v>
      </c>
      <c r="K3255" s="26" t="str">
        <f>IF(OR(E3255="",E3255="!!!",F3255="NEW"),"",INDEX(J$1:J3254,SUMPRODUCT(MAX(ROW(E$1:E3254)*(E3255=E$1:E3254)))))</f>
        <v> </v>
      </c>
      <c r="L3255" s="27"/>
    </row>
    <row r="3256" spans="1:12">
      <c r="A3256" s="20" t="s">
        <v>1878</v>
      </c>
      <c r="E3256" s="22">
        <f>IF(D3256="?OLD","!!!","")</f>
        <v/>
      </c>
      <c r="F3256" s="23" t="str">
        <f>IF(OR(E3256="",E3256="!!!"),"",IF(NOT(ISNA(VLOOKUP(E3256,E$1:E3255,1,FALSE()))),"OLD",IF(AND(E3256&lt;&gt;"",E3256&lt;&gt;"!!!"),"NEW","")))</f>
        <v> </v>
      </c>
      <c r="G3256" s="24" t="str">
        <f>IF(OR(E3256="",E3256="!!!"),"",IF(OR(J3256=0,AND(J3256=1,K3256=1),AND(J3256=1,I3256="SBJ"),AND(J3256=1,I3256=0)),"?IN_FOCUS",IF(J3256&lt;=2,"?ACTIVATED",IF(J3256&lt;&gt;"","?FAMILIAR",IF(F3256="NEW",IF(ISNA(VLOOKUP(E3256,#REF!,1,FALSE())),"?TYPE_IDENTIFIABLE","?REFERENTIAL"),"_")))))</f>
        <v> </v>
      </c>
      <c r="H3256" s="25" t="str">
        <f>IF(J3256&lt;&gt;1,"",IF(I3256="SBJ","CB","?"))</f>
        <v> </v>
      </c>
      <c r="I3256" s="26" t="str">
        <f>IF(OR(E3256="",E3256="!!!",F3256="NEW"),"",INDEX(B3255:B$2,-1+SUMPRODUCT(MAX(ROW(E3255:E$2)*(E3256=E3255:E$2)))))</f>
        <v> </v>
      </c>
      <c r="J3256" s="26" t="str">
        <f>IF(OR(E3256="",E3256="!!!",F3256="NEW"),"",COUNTBLANK(OFFSET(A$1,,,SUMPRODUCT(MAX(ROW(E$2:E3256)*(E3256=E$2:E3256)))))-COUNTBLANK(OFFSET(A$1,,,SUMPRODUCT(MAX(ROW(E$1:E3255)*(E2=E$1:E3255))))))</f>
        <v> </v>
      </c>
      <c r="K3256" s="26" t="str">
        <f>IF(OR(E3256="",E3256="!!!",F3256="NEW"),"",INDEX(J$1:J3255,SUMPRODUCT(MAX(ROW(E$1:E3255)*(E3256=E$1:E3255)))))</f>
        <v> </v>
      </c>
      <c r="L3256" s="27"/>
    </row>
    <row r="3257" spans="1:12">
      <c r="A3257" s="20" t="s">
        <v>785</v>
      </c>
      <c r="E3257" s="22">
        <f>IF(D3257="?OLD","!!!","")</f>
        <v/>
      </c>
      <c r="F3257" s="23" t="str">
        <f>IF(OR(E3257="",E3257="!!!"),"",IF(NOT(ISNA(VLOOKUP(E3257,E$1:E3256,1,FALSE()))),"OLD",IF(AND(E3257&lt;&gt;"",E3257&lt;&gt;"!!!"),"NEW","")))</f>
        <v> </v>
      </c>
      <c r="G3257" s="24" t="str">
        <f>IF(OR(E3257="",E3257="!!!"),"",IF(OR(J3257=0,AND(J3257=1,K3257=1),AND(J3257=1,I3257="SBJ"),AND(J3257=1,I3257=0)),"?IN_FOCUS",IF(J3257&lt;=2,"?ACTIVATED",IF(J3257&lt;&gt;"","?FAMILIAR",IF(F3257="NEW",IF(ISNA(VLOOKUP(E3257,#REF!,1,FALSE())),"?TYPE_IDENTIFIABLE","?REFERENTIAL"),"_")))))</f>
        <v> </v>
      </c>
      <c r="H3257" s="25" t="str">
        <f>IF(J3257&lt;&gt;1,"",IF(I3257="SBJ","CB","?"))</f>
        <v> </v>
      </c>
      <c r="I3257" s="26" t="str">
        <f>IF(OR(E3257="",E3257="!!!",F3257="NEW"),"",INDEX(B3256:B$2,-1+SUMPRODUCT(MAX(ROW(E3256:E$2)*(E3257=E3256:E$2)))))</f>
        <v> </v>
      </c>
      <c r="J3257" s="26" t="str">
        <f>IF(OR(E3257="",E3257="!!!",F3257="NEW"),"",COUNTBLANK(OFFSET(A$1,,,SUMPRODUCT(MAX(ROW(E$2:E3257)*(E3257=E$2:E3257)))))-COUNTBLANK(OFFSET(A$1,,,SUMPRODUCT(MAX(ROW(E$1:E3256)*(E2=E$1:E3256))))))</f>
        <v> </v>
      </c>
      <c r="K3257" s="26" t="str">
        <f>IF(OR(E3257="",E3257="!!!",F3257="NEW"),"",INDEX(J$1:J3256,SUMPRODUCT(MAX(ROW(E$1:E3256)*(E3257=E$1:E3256)))))</f>
        <v> </v>
      </c>
      <c r="L3257" s="27"/>
    </row>
    <row r="3258" spans="1:12">
      <c r="A3258" s="20" t="s">
        <v>742</v>
      </c>
      <c r="E3258" s="22">
        <f>IF(D3258="?OLD","!!!","")</f>
        <v/>
      </c>
      <c r="F3258" s="23" t="str">
        <f>IF(OR(E3258="",E3258="!!!"),"",IF(NOT(ISNA(VLOOKUP(E3258,E$1:E3257,1,FALSE()))),"OLD",IF(AND(E3258&lt;&gt;"",E3258&lt;&gt;"!!!"),"NEW","")))</f>
        <v> </v>
      </c>
      <c r="G3258" s="24" t="str">
        <f>IF(OR(E3258="",E3258="!!!"),"",IF(OR(J3258=0,AND(J3258=1,K3258=1),AND(J3258=1,I3258="SBJ"),AND(J3258=1,I3258=0)),"?IN_FOCUS",IF(J3258&lt;=2,"?ACTIVATED",IF(J3258&lt;&gt;"","?FAMILIAR",IF(F3258="NEW",IF(ISNA(VLOOKUP(E3258,#REF!,1,FALSE())),"?TYPE_IDENTIFIABLE","?REFERENTIAL"),"_")))))</f>
        <v> </v>
      </c>
      <c r="H3258" s="25" t="str">
        <f>IF(J3258&lt;&gt;1,"",IF(I3258="SBJ","CB","?"))</f>
        <v> </v>
      </c>
      <c r="I3258" s="26" t="str">
        <f>IF(OR(E3258="",E3258="!!!",F3258="NEW"),"",INDEX(B3257:B$2,-1+SUMPRODUCT(MAX(ROW(E3257:E$2)*(E3258=E3257:E$2)))))</f>
        <v> </v>
      </c>
      <c r="J3258" s="26" t="str">
        <f>IF(OR(E3258="",E3258="!!!",F3258="NEW"),"",COUNTBLANK(OFFSET(A$1,,,SUMPRODUCT(MAX(ROW(E$2:E3258)*(E3258=E$2:E3258)))))-COUNTBLANK(OFFSET(A$1,,,SUMPRODUCT(MAX(ROW(E$1:E3257)*(E2=E$1:E3257))))))</f>
        <v> </v>
      </c>
      <c r="K3258" s="26" t="str">
        <f>IF(OR(E3258="",E3258="!!!",F3258="NEW"),"",INDEX(J$1:J3257,SUMPRODUCT(MAX(ROW(E$1:E3257)*(E3258=E$1:E3257)))))</f>
        <v> </v>
      </c>
      <c r="L3258" s="27"/>
    </row>
    <row r="3259" spans="1:12">
      <c r="A3259" s="20" t="s">
        <v>840</v>
      </c>
      <c r="E3259" s="22">
        <f>IF(D3259="?OLD","!!!","")</f>
        <v/>
      </c>
      <c r="F3259" s="23" t="str">
        <f>IF(OR(E3259="",E3259="!!!"),"",IF(NOT(ISNA(VLOOKUP(E3259,E$1:E3258,1,FALSE()))),"OLD",IF(AND(E3259&lt;&gt;"",E3259&lt;&gt;"!!!"),"NEW","")))</f>
        <v> </v>
      </c>
      <c r="G3259" s="24" t="str">
        <f>IF(OR(E3259="",E3259="!!!"),"",IF(OR(J3259=0,AND(J3259=1,K3259=1),AND(J3259=1,I3259="SBJ"),AND(J3259=1,I3259=0)),"?IN_FOCUS",IF(J3259&lt;=2,"?ACTIVATED",IF(J3259&lt;&gt;"","?FAMILIAR",IF(F3259="NEW",IF(ISNA(VLOOKUP(E3259,#REF!,1,FALSE())),"?TYPE_IDENTIFIABLE","?REFERENTIAL"),"_")))))</f>
        <v> </v>
      </c>
      <c r="H3259" s="25" t="str">
        <f>IF(J3259&lt;&gt;1,"",IF(I3259="SBJ","CB","?"))</f>
        <v> </v>
      </c>
      <c r="I3259" s="26" t="str">
        <f>IF(OR(E3259="",E3259="!!!",F3259="NEW"),"",INDEX(B3258:B$2,-1+SUMPRODUCT(MAX(ROW(E3258:E$2)*(E3259=E3258:E$2)))))</f>
        <v> </v>
      </c>
      <c r="J3259" s="26" t="str">
        <f>IF(OR(E3259="",E3259="!!!",F3259="NEW"),"",COUNTBLANK(OFFSET(A$1,,,SUMPRODUCT(MAX(ROW(E$2:E3259)*(E3259=E$2:E3259)))))-COUNTBLANK(OFFSET(A$1,,,SUMPRODUCT(MAX(ROW(E$1:E3258)*(E2=E$1:E3258))))))</f>
        <v> </v>
      </c>
      <c r="K3259" s="26" t="str">
        <f>IF(OR(E3259="",E3259="!!!",F3259="NEW"),"",INDEX(J$1:J3258,SUMPRODUCT(MAX(ROW(E$1:E3258)*(E3259=E$1:E3258)))))</f>
        <v> </v>
      </c>
      <c r="L3259" s="27"/>
    </row>
    <row r="3260" spans="1:12">
      <c r="A3260" s="20" t="s">
        <v>1879</v>
      </c>
      <c r="B3260" s="21" t="s">
        <v>755</v>
      </c>
      <c r="C3260" s="21" t="s">
        <v>753</v>
      </c>
      <c r="D3260" s="21" t="s">
        <v>730</v>
      </c>
      <c r="E3260" s="22">
        <f>IF(D3260="?OLD","!!!","")</f>
        <v/>
      </c>
      <c r="F3260" s="23" t="str">
        <f>IF(OR(E3260="",E3260="!!!"),"",IF(NOT(ISNA(VLOOKUP(E3260,E$1:E3259,1,FALSE()))),"OLD",IF(AND(E3260&lt;&gt;"",E3260&lt;&gt;"!!!"),"NEW","")))</f>
        <v> </v>
      </c>
      <c r="G3260" s="24" t="str">
        <f>IF(OR(E3260="",E3260="!!!"),"",IF(OR(J3260=0,AND(J3260=1,K3260=1),AND(J3260=1,I3260="SBJ"),AND(J3260=1,I3260=0)),"?IN_FOCUS",IF(J3260&lt;=2,"?ACTIVATED",IF(J3260&lt;&gt;"","?FAMILIAR",IF(F3260="NEW",IF(ISNA(VLOOKUP(E3260,#REF!,1,FALSE())),"?TYPE_IDENTIFIABLE","?REFERENTIAL"),"_")))))</f>
        <v> </v>
      </c>
      <c r="H3260" s="25" t="str">
        <f>IF(J3260&lt;&gt;1,"",IF(I3260="SBJ","CB","?"))</f>
        <v> </v>
      </c>
      <c r="I3260" s="26" t="str">
        <f>IF(OR(E3260="",E3260="!!!",F3260="NEW"),"",INDEX(B3259:B$2,-1+SUMPRODUCT(MAX(ROW(E3259:E$2)*(E3260=E3259:E$2)))))</f>
        <v> </v>
      </c>
      <c r="J3260" s="26" t="str">
        <f>IF(OR(E3260="",E3260="!!!",F3260="NEW"),"",COUNTBLANK(OFFSET(A$1,,,SUMPRODUCT(MAX(ROW(E$2:E3260)*(E3260=E$2:E3260)))))-COUNTBLANK(OFFSET(A$1,,,SUMPRODUCT(MAX(ROW(E$1:E3259)*(E2=E$1:E3259))))))</f>
        <v> </v>
      </c>
      <c r="K3260" s="26" t="str">
        <f>IF(OR(E3260="",E3260="!!!",F3260="NEW"),"",INDEX(J$1:J3259,SUMPRODUCT(MAX(ROW(E$1:E3259)*(E3260=E$1:E3259)))))</f>
        <v> </v>
      </c>
      <c r="L3260" s="27"/>
    </row>
    <row r="3261" spans="1:12">
      <c r="A3261" s="20" t="s">
        <v>1880</v>
      </c>
      <c r="B3261" s="21" t="s">
        <v>783</v>
      </c>
      <c r="C3261" s="21" t="s">
        <v>740</v>
      </c>
      <c r="D3261" s="21" t="s">
        <v>730</v>
      </c>
      <c r="E3261" s="22">
        <f>IF(D3261="?OLD","!!!","")</f>
        <v/>
      </c>
      <c r="F3261" s="23" t="str">
        <f>IF(OR(E3261="",E3261="!!!"),"",IF(NOT(ISNA(VLOOKUP(E3261,E$1:E3260,1,FALSE()))),"OLD",IF(AND(E3261&lt;&gt;"",E3261&lt;&gt;"!!!"),"NEW","")))</f>
        <v> </v>
      </c>
      <c r="G3261" s="24" t="str">
        <f>IF(OR(E3261="",E3261="!!!"),"",IF(OR(J3261=0,AND(J3261=1,K3261=1),AND(J3261=1,I3261="SBJ"),AND(J3261=1,I3261=0)),"?IN_FOCUS",IF(J3261&lt;=2,"?ACTIVATED",IF(J3261&lt;&gt;"","?FAMILIAR",IF(F3261="NEW",IF(ISNA(VLOOKUP(E3261,#REF!,1,FALSE())),"?TYPE_IDENTIFIABLE","?REFERENTIAL"),"_")))))</f>
        <v> </v>
      </c>
      <c r="H3261" s="25" t="str">
        <f>IF(J3261&lt;&gt;1,"",IF(I3261="SBJ","CB","?"))</f>
        <v> </v>
      </c>
      <c r="I3261" s="26" t="str">
        <f>IF(OR(E3261="",E3261="!!!",F3261="NEW"),"",INDEX(B3260:B$2,-1+SUMPRODUCT(MAX(ROW(E3260:E$2)*(E3261=E3260:E$2)))))</f>
        <v> </v>
      </c>
      <c r="J3261" s="26" t="str">
        <f>IF(OR(E3261="",E3261="!!!",F3261="NEW"),"",COUNTBLANK(OFFSET(A$1,,,SUMPRODUCT(MAX(ROW(E$2:E3261)*(E3261=E$2:E3261)))))-COUNTBLANK(OFFSET(A$1,,,SUMPRODUCT(MAX(ROW(E$1:E3260)*(E2=E$1:E3260))))))</f>
        <v> </v>
      </c>
      <c r="K3261" s="26" t="str">
        <f>IF(OR(E3261="",E3261="!!!",F3261="NEW"),"",INDEX(J$1:J3260,SUMPRODUCT(MAX(ROW(E$1:E3260)*(E3261=E$1:E3260)))))</f>
        <v> </v>
      </c>
      <c r="L3261" s="27"/>
    </row>
    <row r="3262" spans="1:12">
      <c r="A3262" s="20" t="s">
        <v>1881</v>
      </c>
      <c r="E3262" s="22">
        <f>IF(D3262="?OLD","!!!","")</f>
        <v/>
      </c>
      <c r="F3262" s="23" t="str">
        <f>IF(OR(E3262="",E3262="!!!"),"",IF(NOT(ISNA(VLOOKUP(E3262,E$1:E3261,1,FALSE()))),"OLD",IF(AND(E3262&lt;&gt;"",E3262&lt;&gt;"!!!"),"NEW","")))</f>
        <v> </v>
      </c>
      <c r="G3262" s="24" t="str">
        <f>IF(OR(E3262="",E3262="!!!"),"",IF(OR(J3262=0,AND(J3262=1,K3262=1),AND(J3262=1,I3262="SBJ"),AND(J3262=1,I3262=0)),"?IN_FOCUS",IF(J3262&lt;=2,"?ACTIVATED",IF(J3262&lt;&gt;"","?FAMILIAR",IF(F3262="NEW",IF(ISNA(VLOOKUP(E3262,#REF!,1,FALSE())),"?TYPE_IDENTIFIABLE","?REFERENTIAL"),"_")))))</f>
        <v> </v>
      </c>
      <c r="H3262" s="25" t="str">
        <f>IF(J3262&lt;&gt;1,"",IF(I3262="SBJ","CB","?"))</f>
        <v> </v>
      </c>
      <c r="I3262" s="26" t="str">
        <f>IF(OR(E3262="",E3262="!!!",F3262="NEW"),"",INDEX(B3261:B$2,-1+SUMPRODUCT(MAX(ROW(E3261:E$2)*(E3262=E3261:E$2)))))</f>
        <v> </v>
      </c>
      <c r="J3262" s="26" t="str">
        <f>IF(OR(E3262="",E3262="!!!",F3262="NEW"),"",COUNTBLANK(OFFSET(A$1,,,SUMPRODUCT(MAX(ROW(E$2:E3262)*(E3262=E$2:E3262)))))-COUNTBLANK(OFFSET(A$1,,,SUMPRODUCT(MAX(ROW(E$1:E3261)*(E2=E$1:E3261))))))</f>
        <v> </v>
      </c>
      <c r="K3262" s="26" t="str">
        <f>IF(OR(E3262="",E3262="!!!",F3262="NEW"),"",INDEX(J$1:J3261,SUMPRODUCT(MAX(ROW(E$1:E3261)*(E3262=E$1:E3261)))))</f>
        <v> </v>
      </c>
      <c r="L3262" s="27"/>
    </row>
    <row r="3263" spans="1:12">
      <c r="A3263" s="20" t="s">
        <v>246</v>
      </c>
      <c r="E3263" s="22">
        <f>IF(D3263="?OLD","!!!","")</f>
        <v/>
      </c>
      <c r="F3263" s="23" t="str">
        <f>IF(OR(E3263="",E3263="!!!"),"",IF(NOT(ISNA(VLOOKUP(E3263,E$1:E3262,1,FALSE()))),"OLD",IF(AND(E3263&lt;&gt;"",E3263&lt;&gt;"!!!"),"NEW","")))</f>
        <v> </v>
      </c>
      <c r="G3263" s="24" t="str">
        <f>IF(OR(E3263="",E3263="!!!"),"",IF(OR(J3263=0,AND(J3263=1,K3263=1),AND(J3263=1,I3263="SBJ"),AND(J3263=1,I3263=0)),"?IN_FOCUS",IF(J3263&lt;=2,"?ACTIVATED",IF(J3263&lt;&gt;"","?FAMILIAR",IF(F3263="NEW",IF(ISNA(VLOOKUP(E3263,#REF!,1,FALSE())),"?TYPE_IDENTIFIABLE","?REFERENTIAL"),"_")))))</f>
        <v> </v>
      </c>
      <c r="H3263" s="25" t="str">
        <f>IF(J3263&lt;&gt;1,"",IF(I3263="SBJ","CB","?"))</f>
        <v> </v>
      </c>
      <c r="I3263" s="26" t="str">
        <f>IF(OR(E3263="",E3263="!!!",F3263="NEW"),"",INDEX(B3262:B$2,-1+SUMPRODUCT(MAX(ROW(E3262:E$2)*(E3263=E3262:E$2)))))</f>
        <v> </v>
      </c>
      <c r="J3263" s="26" t="str">
        <f>IF(OR(E3263="",E3263="!!!",F3263="NEW"),"",COUNTBLANK(OFFSET(A$1,,,SUMPRODUCT(MAX(ROW(E$2:E3263)*(E3263=E$2:E3263)))))-COUNTBLANK(OFFSET(A$1,,,SUMPRODUCT(MAX(ROW(E$1:E3262)*(E2=E$1:E3262))))))</f>
        <v> </v>
      </c>
      <c r="K3263" s="26" t="str">
        <f>IF(OR(E3263="",E3263="!!!",F3263="NEW"),"",INDEX(J$1:J3262,SUMPRODUCT(MAX(ROW(E$1:E3262)*(E3263=E$1:E3262)))))</f>
        <v> </v>
      </c>
      <c r="L3263" s="27"/>
    </row>
    <row r="3264" spans="1:12">
      <c r="A3264" s="20"/>
    </row>
    <row r="3265" spans="1:12">
      <c r="A3265" s="20" t="s">
        <v>1882</v>
      </c>
    </row>
    <row r="3266" spans="1:12">
      <c r="A3266" s="20" t="s">
        <v>1883</v>
      </c>
      <c r="E3266" s="22">
        <f>IF(D3266="?OLD","!!!","")</f>
        <v/>
      </c>
      <c r="F3266" s="23" t="str">
        <f>IF(OR(E3266="",E3266="!!!"),"",IF(NOT(ISNA(VLOOKUP(E3266,E$1:E3265,1,FALSE()))),"OLD",IF(AND(E3266&lt;&gt;"",E3266&lt;&gt;"!!!"),"NEW","")))</f>
        <v> </v>
      </c>
      <c r="G3266" s="24" t="str">
        <f>IF(OR(E3266="",E3266="!!!"),"",IF(OR(J3266=0,AND(J3266=1,K3266=1),AND(J3266=1,I3266="SBJ"),AND(J3266=1,I3266=0)),"?IN_FOCUS",IF(J3266&lt;=2,"?ACTIVATED",IF(J3266&lt;&gt;"","?FAMILIAR",IF(F3266="NEW",IF(ISNA(VLOOKUP(E3266,#REF!,1,FALSE())),"?TYPE_IDENTIFIABLE","?REFERENTIAL"),"_")))))</f>
        <v> </v>
      </c>
      <c r="H3266" s="25" t="str">
        <f>IF(J3266&lt;&gt;1,"",IF(I3266="SBJ","CB","?"))</f>
        <v> </v>
      </c>
      <c r="I3266" s="26" t="str">
        <f>IF(OR(E3266="",E3266="!!!",F3266="NEW"),"",INDEX(B3265:B$2,-1+SUMPRODUCT(MAX(ROW(E3265:E$2)*(E3266=E3265:E$2)))))</f>
        <v> </v>
      </c>
      <c r="J3266" s="26" t="str">
        <f>IF(OR(E3266="",E3266="!!!",F3266="NEW"),"",COUNTBLANK(OFFSET(A$1,,,SUMPRODUCT(MAX(ROW(E$2:E3266)*(E3266=E$2:E3266)))))-COUNTBLANK(OFFSET(A$1,,,SUMPRODUCT(MAX(ROW(E$1:E3265)*(E2=E$1:E3265))))))</f>
        <v> </v>
      </c>
      <c r="K3266" s="26" t="str">
        <f>IF(OR(E3266="",E3266="!!!",F3266="NEW"),"",INDEX(J$1:J3265,SUMPRODUCT(MAX(ROW(E$1:E3265)*(E3266=E$1:E3265)))))</f>
        <v> </v>
      </c>
      <c r="L3266" s="27"/>
    </row>
    <row r="3267" spans="1:12">
      <c r="A3267" s="20" t="s">
        <v>970</v>
      </c>
      <c r="B3267" s="21" t="s">
        <v>736</v>
      </c>
      <c r="C3267" s="21" t="s">
        <v>729</v>
      </c>
      <c r="D3267" s="21" t="s">
        <v>730</v>
      </c>
      <c r="E3267" s="22">
        <f>IF(D3267="?OLD","!!!","")</f>
        <v/>
      </c>
      <c r="F3267" s="23" t="str">
        <f>IF(OR(E3267="",E3267="!!!"),"",IF(NOT(ISNA(VLOOKUP(E3267,E$1:E3266,1,FALSE()))),"OLD",IF(AND(E3267&lt;&gt;"",E3267&lt;&gt;"!!!"),"NEW","")))</f>
        <v> </v>
      </c>
      <c r="G3267" s="24" t="str">
        <f>IF(OR(E3267="",E3267="!!!"),"",IF(OR(J3267=0,AND(J3267=1,K3267=1),AND(J3267=1,I3267="SBJ"),AND(J3267=1,I3267=0)),"?IN_FOCUS",IF(J3267&lt;=2,"?ACTIVATED",IF(J3267&lt;&gt;"","?FAMILIAR",IF(F3267="NEW",IF(ISNA(VLOOKUP(E3267,#REF!,1,FALSE())),"?TYPE_IDENTIFIABLE","?REFERENTIAL"),"_")))))</f>
        <v> </v>
      </c>
      <c r="H3267" s="25" t="str">
        <f>IF(J3267&lt;&gt;1,"",IF(I3267="SBJ","CB","?"))</f>
        <v> </v>
      </c>
      <c r="I3267" s="26" t="str">
        <f>IF(OR(E3267="",E3267="!!!",F3267="NEW"),"",INDEX(B3266:B$2,-1+SUMPRODUCT(MAX(ROW(E3266:E$2)*(E3267=E3266:E$2)))))</f>
        <v> </v>
      </c>
      <c r="J3267" s="26" t="str">
        <f>IF(OR(E3267="",E3267="!!!",F3267="NEW"),"",COUNTBLANK(OFFSET(A$1,,,SUMPRODUCT(MAX(ROW(E$2:E3267)*(E3267=E$2:E3267)))))-COUNTBLANK(OFFSET(A$1,,,SUMPRODUCT(MAX(ROW(E$1:E3266)*(E2=E$1:E3266))))))</f>
        <v> </v>
      </c>
      <c r="K3267" s="26" t="str">
        <f>IF(OR(E3267="",E3267="!!!",F3267="NEW"),"",INDEX(J$1:J3266,SUMPRODUCT(MAX(ROW(E$1:E3266)*(E3267=E$1:E3266)))))</f>
        <v> </v>
      </c>
      <c r="L3267" s="27"/>
    </row>
    <row r="3268" spans="1:12">
      <c r="A3268" s="20" t="s">
        <v>811</v>
      </c>
      <c r="E3268" s="22">
        <f>IF(D3268="?OLD","!!!","")</f>
        <v/>
      </c>
      <c r="F3268" s="23" t="str">
        <f>IF(OR(E3268="",E3268="!!!"),"",IF(NOT(ISNA(VLOOKUP(E3268,E$1:E3267,1,FALSE()))),"OLD",IF(AND(E3268&lt;&gt;"",E3268&lt;&gt;"!!!"),"NEW","")))</f>
        <v> </v>
      </c>
      <c r="G3268" s="24" t="str">
        <f>IF(OR(E3268="",E3268="!!!"),"",IF(OR(J3268=0,AND(J3268=1,K3268=1),AND(J3268=1,I3268="SBJ"),AND(J3268=1,I3268=0)),"?IN_FOCUS",IF(J3268&lt;=2,"?ACTIVATED",IF(J3268&lt;&gt;"","?FAMILIAR",IF(F3268="NEW",IF(ISNA(VLOOKUP(E3268,#REF!,1,FALSE())),"?TYPE_IDENTIFIABLE","?REFERENTIAL"),"_")))))</f>
        <v> </v>
      </c>
      <c r="H3268" s="25" t="str">
        <f>IF(J3268&lt;&gt;1,"",IF(I3268="SBJ","CB","?"))</f>
        <v> </v>
      </c>
      <c r="I3268" s="26" t="str">
        <f>IF(OR(E3268="",E3268="!!!",F3268="NEW"),"",INDEX(B3267:B$2,-1+SUMPRODUCT(MAX(ROW(E3267:E$2)*(E3268=E3267:E$2)))))</f>
        <v> </v>
      </c>
      <c r="J3268" s="26" t="str">
        <f>IF(OR(E3268="",E3268="!!!",F3268="NEW"),"",COUNTBLANK(OFFSET(A$1,,,SUMPRODUCT(MAX(ROW(E$2:E3268)*(E3268=E$2:E3268)))))-COUNTBLANK(OFFSET(A$1,,,SUMPRODUCT(MAX(ROW(E$1:E3267)*(E2=E$1:E3267))))))</f>
        <v> </v>
      </c>
      <c r="K3268" s="26" t="str">
        <f>IF(OR(E3268="",E3268="!!!",F3268="NEW"),"",INDEX(J$1:J3267,SUMPRODUCT(MAX(ROW(E$1:E3267)*(E3268=E$1:E3267)))))</f>
        <v> </v>
      </c>
      <c r="L3268" s="27"/>
    </row>
    <row r="3269" spans="1:12">
      <c r="A3269" s="20" t="s">
        <v>899</v>
      </c>
      <c r="B3269" s="21" t="s">
        <v>728</v>
      </c>
      <c r="C3269" s="21" t="s">
        <v>729</v>
      </c>
      <c r="D3269" s="21" t="s">
        <v>730</v>
      </c>
      <c r="E3269" s="22">
        <f>IF(D3269="?OLD","!!!","")</f>
        <v/>
      </c>
      <c r="F3269" s="23" t="str">
        <f>IF(OR(E3269="",E3269="!!!"),"",IF(NOT(ISNA(VLOOKUP(E3269,E$1:E3268,1,FALSE()))),"OLD",IF(AND(E3269&lt;&gt;"",E3269&lt;&gt;"!!!"),"NEW","")))</f>
        <v> </v>
      </c>
      <c r="G3269" s="24" t="str">
        <f>IF(OR(E3269="",E3269="!!!"),"",IF(OR(J3269=0,AND(J3269=1,K3269=1),AND(J3269=1,I3269="SBJ"),AND(J3269=1,I3269=0)),"?IN_FOCUS",IF(J3269&lt;=2,"?ACTIVATED",IF(J3269&lt;&gt;"","?FAMILIAR",IF(F3269="NEW",IF(ISNA(VLOOKUP(E3269,#REF!,1,FALSE())),"?TYPE_IDENTIFIABLE","?REFERENTIAL"),"_")))))</f>
        <v> </v>
      </c>
      <c r="H3269" s="25" t="str">
        <f>IF(J3269&lt;&gt;1,"",IF(I3269="SBJ","CB","?"))</f>
        <v> </v>
      </c>
      <c r="I3269" s="26" t="str">
        <f>IF(OR(E3269="",E3269="!!!",F3269="NEW"),"",INDEX(B3268:B$2,-1+SUMPRODUCT(MAX(ROW(E3268:E$2)*(E3269=E3268:E$2)))))</f>
        <v> </v>
      </c>
      <c r="J3269" s="26" t="str">
        <f>IF(OR(E3269="",E3269="!!!",F3269="NEW"),"",COUNTBLANK(OFFSET(A$1,,,SUMPRODUCT(MAX(ROW(E$2:E3269)*(E3269=E$2:E3269)))))-COUNTBLANK(OFFSET(A$1,,,SUMPRODUCT(MAX(ROW(E$1:E3268)*(E2=E$1:E3268))))))</f>
        <v> </v>
      </c>
      <c r="K3269" s="26" t="str">
        <f>IF(OR(E3269="",E3269="!!!",F3269="NEW"),"",INDEX(J$1:J3268,SUMPRODUCT(MAX(ROW(E$1:E3268)*(E3269=E$1:E3268)))))</f>
        <v> </v>
      </c>
      <c r="L3269" s="27"/>
    </row>
    <row r="3270" spans="1:12">
      <c r="A3270" s="20" t="s">
        <v>1213</v>
      </c>
      <c r="E3270" s="22">
        <f>IF(D3270="?OLD","!!!","")</f>
        <v/>
      </c>
      <c r="F3270" s="23" t="str">
        <f>IF(OR(E3270="",E3270="!!!"),"",IF(NOT(ISNA(VLOOKUP(E3270,E$1:E3269,1,FALSE()))),"OLD",IF(AND(E3270&lt;&gt;"",E3270&lt;&gt;"!!!"),"NEW","")))</f>
        <v> </v>
      </c>
      <c r="G3270" s="24" t="str">
        <f>IF(OR(E3270="",E3270="!!!"),"",IF(OR(J3270=0,AND(J3270=1,K3270=1),AND(J3270=1,I3270="SBJ"),AND(J3270=1,I3270=0)),"?IN_FOCUS",IF(J3270&lt;=2,"?ACTIVATED",IF(J3270&lt;&gt;"","?FAMILIAR",IF(F3270="NEW",IF(ISNA(VLOOKUP(E3270,#REF!,1,FALSE())),"?TYPE_IDENTIFIABLE","?REFERENTIAL"),"_")))))</f>
        <v> </v>
      </c>
      <c r="H3270" s="25" t="str">
        <f>IF(J3270&lt;&gt;1,"",IF(I3270="SBJ","CB","?"))</f>
        <v> </v>
      </c>
      <c r="I3270" s="26" t="str">
        <f>IF(OR(E3270="",E3270="!!!",F3270="NEW"),"",INDEX(B3269:B$2,-1+SUMPRODUCT(MAX(ROW(E3269:E$2)*(E3270=E3269:E$2)))))</f>
        <v> </v>
      </c>
      <c r="J3270" s="26" t="str">
        <f>IF(OR(E3270="",E3270="!!!",F3270="NEW"),"",COUNTBLANK(OFFSET(A$1,,,SUMPRODUCT(MAX(ROW(E$2:E3270)*(E3270=E$2:E3270)))))-COUNTBLANK(OFFSET(A$1,,,SUMPRODUCT(MAX(ROW(E$1:E3269)*(E2=E$1:E3269))))))</f>
        <v> </v>
      </c>
      <c r="K3270" s="26" t="str">
        <f>IF(OR(E3270="",E3270="!!!",F3270="NEW"),"",INDEX(J$1:J3269,SUMPRODUCT(MAX(ROW(E$1:E3269)*(E3270=E$1:E3269)))))</f>
        <v> </v>
      </c>
      <c r="L3270" s="27"/>
    </row>
    <row r="3271" spans="1:12">
      <c r="A3271" s="20" t="s">
        <v>762</v>
      </c>
      <c r="E3271" s="22">
        <f>IF(D3271="?OLD","!!!","")</f>
        <v/>
      </c>
      <c r="F3271" s="23" t="str">
        <f>IF(OR(E3271="",E3271="!!!"),"",IF(NOT(ISNA(VLOOKUP(E3271,E$1:E3270,1,FALSE()))),"OLD",IF(AND(E3271&lt;&gt;"",E3271&lt;&gt;"!!!"),"NEW","")))</f>
        <v> </v>
      </c>
      <c r="G3271" s="24" t="str">
        <f>IF(OR(E3271="",E3271="!!!"),"",IF(OR(J3271=0,AND(J3271=1,K3271=1),AND(J3271=1,I3271="SBJ"),AND(J3271=1,I3271=0)),"?IN_FOCUS",IF(J3271&lt;=2,"?ACTIVATED",IF(J3271&lt;&gt;"","?FAMILIAR",IF(F3271="NEW",IF(ISNA(VLOOKUP(E3271,#REF!,1,FALSE())),"?TYPE_IDENTIFIABLE","?REFERENTIAL"),"_")))))</f>
        <v> </v>
      </c>
      <c r="H3271" s="25" t="str">
        <f>IF(J3271&lt;&gt;1,"",IF(I3271="SBJ","CB","?"))</f>
        <v> </v>
      </c>
      <c r="I3271" s="26" t="str">
        <f>IF(OR(E3271="",E3271="!!!",F3271="NEW"),"",INDEX(B3270:B$2,-1+SUMPRODUCT(MAX(ROW(E3270:E$2)*(E3271=E3270:E$2)))))</f>
        <v> </v>
      </c>
      <c r="J3271" s="26" t="str">
        <f>IF(OR(E3271="",E3271="!!!",F3271="NEW"),"",COUNTBLANK(OFFSET(A$1,,,SUMPRODUCT(MAX(ROW(E$2:E3271)*(E3271=E$2:E3271)))))-COUNTBLANK(OFFSET(A$1,,,SUMPRODUCT(MAX(ROW(E$1:E3270)*(E2=E$1:E3270))))))</f>
        <v> </v>
      </c>
      <c r="K3271" s="26" t="str">
        <f>IF(OR(E3271="",E3271="!!!",F3271="NEW"),"",INDEX(J$1:J3270,SUMPRODUCT(MAX(ROW(E$1:E3270)*(E3271=E$1:E3270)))))</f>
        <v> </v>
      </c>
      <c r="L3271" s="27"/>
    </row>
    <row r="3272" spans="1:12">
      <c r="A3272" s="20" t="s">
        <v>1884</v>
      </c>
      <c r="E3272" s="22">
        <f>IF(D3272="?OLD","!!!","")</f>
        <v/>
      </c>
      <c r="F3272" s="23" t="str">
        <f>IF(OR(E3272="",E3272="!!!"),"",IF(NOT(ISNA(VLOOKUP(E3272,E$1:E3271,1,FALSE()))),"OLD",IF(AND(E3272&lt;&gt;"",E3272&lt;&gt;"!!!"),"NEW","")))</f>
        <v> </v>
      </c>
      <c r="G3272" s="24" t="str">
        <f>IF(OR(E3272="",E3272="!!!"),"",IF(OR(J3272=0,AND(J3272=1,K3272=1),AND(J3272=1,I3272="SBJ"),AND(J3272=1,I3272=0)),"?IN_FOCUS",IF(J3272&lt;=2,"?ACTIVATED",IF(J3272&lt;&gt;"","?FAMILIAR",IF(F3272="NEW",IF(ISNA(VLOOKUP(E3272,#REF!,1,FALSE())),"?TYPE_IDENTIFIABLE","?REFERENTIAL"),"_")))))</f>
        <v> </v>
      </c>
      <c r="H3272" s="25" t="str">
        <f>IF(J3272&lt;&gt;1,"",IF(I3272="SBJ","CB","?"))</f>
        <v> </v>
      </c>
      <c r="I3272" s="26" t="str">
        <f>IF(OR(E3272="",E3272="!!!",F3272="NEW"),"",INDEX(B3271:B$2,-1+SUMPRODUCT(MAX(ROW(E3271:E$2)*(E3272=E3271:E$2)))))</f>
        <v> </v>
      </c>
      <c r="J3272" s="26" t="str">
        <f>IF(OR(E3272="",E3272="!!!",F3272="NEW"),"",COUNTBLANK(OFFSET(A$1,,,SUMPRODUCT(MAX(ROW(E$2:E3272)*(E3272=E$2:E3272)))))-COUNTBLANK(OFFSET(A$1,,,SUMPRODUCT(MAX(ROW(E$1:E3271)*(E2=E$1:E3271))))))</f>
        <v> </v>
      </c>
      <c r="K3272" s="26" t="str">
        <f>IF(OR(E3272="",E3272="!!!",F3272="NEW"),"",INDEX(J$1:J3271,SUMPRODUCT(MAX(ROW(E$1:E3271)*(E3272=E$1:E3271)))))</f>
        <v> </v>
      </c>
      <c r="L3272" s="27"/>
    </row>
    <row r="3273" spans="1:12">
      <c r="A3273" s="20" t="s">
        <v>1171</v>
      </c>
      <c r="B3273" s="21" t="s">
        <v>736</v>
      </c>
      <c r="C3273" s="21" t="s">
        <v>737</v>
      </c>
      <c r="E3273" s="22">
        <f>IF(D3273="?OLD","!!!","")</f>
        <v/>
      </c>
      <c r="F3273" s="23" t="str">
        <f>IF(OR(E3273="",E3273="!!!"),"",IF(NOT(ISNA(VLOOKUP(E3273,E$1:E3272,1,FALSE()))),"OLD",IF(AND(E3273&lt;&gt;"",E3273&lt;&gt;"!!!"),"NEW","")))</f>
        <v> </v>
      </c>
      <c r="G3273" s="24" t="str">
        <f>IF(OR(E3273="",E3273="!!!"),"",IF(OR(J3273=0,AND(J3273=1,K3273=1),AND(J3273=1,I3273="SBJ"),AND(J3273=1,I3273=0)),"?IN_FOCUS",IF(J3273&lt;=2,"?ACTIVATED",IF(J3273&lt;&gt;"","?FAMILIAR",IF(F3273="NEW",IF(ISNA(VLOOKUP(E3273,#REF!,1,FALSE())),"?TYPE_IDENTIFIABLE","?REFERENTIAL"),"_")))))</f>
        <v> </v>
      </c>
      <c r="H3273" s="25" t="str">
        <f>IF(J3273&lt;&gt;1,"",IF(I3273="SBJ","CB","?"))</f>
        <v> </v>
      </c>
      <c r="I3273" s="26" t="str">
        <f>IF(OR(E3273="",E3273="!!!",F3273="NEW"),"",INDEX(B3272:B$2,-1+SUMPRODUCT(MAX(ROW(E3272:E$2)*(E3273=E3272:E$2)))))</f>
        <v> </v>
      </c>
      <c r="J3273" s="26" t="str">
        <f>IF(OR(E3273="",E3273="!!!",F3273="NEW"),"",COUNTBLANK(OFFSET(A$1,,,SUMPRODUCT(MAX(ROW(E$2:E3273)*(E3273=E$2:E3273)))))-COUNTBLANK(OFFSET(A$1,,,SUMPRODUCT(MAX(ROW(E$1:E3272)*(E2=E$1:E3272))))))</f>
        <v> </v>
      </c>
      <c r="K3273" s="26" t="str">
        <f>IF(OR(E3273="",E3273="!!!",F3273="NEW"),"",INDEX(J$1:J3272,SUMPRODUCT(MAX(ROW(E$1:E3272)*(E3273=E$1:E3272)))))</f>
        <v> </v>
      </c>
      <c r="L3273" s="27"/>
    </row>
    <row r="3274" spans="1:12">
      <c r="A3274" s="20" t="s">
        <v>759</v>
      </c>
      <c r="E3274" s="22">
        <f>IF(D3274="?OLD","!!!","")</f>
        <v/>
      </c>
      <c r="F3274" s="23" t="str">
        <f>IF(OR(E3274="",E3274="!!!"),"",IF(NOT(ISNA(VLOOKUP(E3274,E$1:E3273,1,FALSE()))),"OLD",IF(AND(E3274&lt;&gt;"",E3274&lt;&gt;"!!!"),"NEW","")))</f>
        <v> </v>
      </c>
      <c r="G3274" s="24" t="str">
        <f>IF(OR(E3274="",E3274="!!!"),"",IF(OR(J3274=0,AND(J3274=1,K3274=1),AND(J3274=1,I3274="SBJ"),AND(J3274=1,I3274=0)),"?IN_FOCUS",IF(J3274&lt;=2,"?ACTIVATED",IF(J3274&lt;&gt;"","?FAMILIAR",IF(F3274="NEW",IF(ISNA(VLOOKUP(E3274,#REF!,1,FALSE())),"?TYPE_IDENTIFIABLE","?REFERENTIAL"),"_")))))</f>
        <v> </v>
      </c>
      <c r="H3274" s="25" t="str">
        <f>IF(J3274&lt;&gt;1,"",IF(I3274="SBJ","CB","?"))</f>
        <v> </v>
      </c>
      <c r="I3274" s="26" t="str">
        <f>IF(OR(E3274="",E3274="!!!",F3274="NEW"),"",INDEX(B3273:B$2,-1+SUMPRODUCT(MAX(ROW(E3273:E$2)*(E3274=E3273:E$2)))))</f>
        <v> </v>
      </c>
      <c r="J3274" s="26" t="str">
        <f>IF(OR(E3274="",E3274="!!!",F3274="NEW"),"",COUNTBLANK(OFFSET(A$1,,,SUMPRODUCT(MAX(ROW(E$2:E3274)*(E3274=E$2:E3274)))))-COUNTBLANK(OFFSET(A$1,,,SUMPRODUCT(MAX(ROW(E$1:E3273)*(E2=E$1:E3273))))))</f>
        <v> </v>
      </c>
      <c r="K3274" s="26" t="str">
        <f>IF(OR(E3274="",E3274="!!!",F3274="NEW"),"",INDEX(J$1:J3273,SUMPRODUCT(MAX(ROW(E$1:E3273)*(E3274=E$1:E3273)))))</f>
        <v> </v>
      </c>
      <c r="L3274" s="27"/>
    </row>
    <row r="3275" spans="1:12">
      <c r="A3275" s="20" t="s">
        <v>1027</v>
      </c>
      <c r="B3275" s="21" t="s">
        <v>755</v>
      </c>
      <c r="C3275" s="21" t="s">
        <v>746</v>
      </c>
      <c r="D3275" s="21" t="s">
        <v>730</v>
      </c>
      <c r="E3275" s="22">
        <f>IF(D3275="?OLD","!!!","")</f>
        <v/>
      </c>
      <c r="F3275" s="23" t="str">
        <f>IF(OR(E3275="",E3275="!!!"),"",IF(NOT(ISNA(VLOOKUP(E3275,E$1:E3274,1,FALSE()))),"OLD",IF(AND(E3275&lt;&gt;"",E3275&lt;&gt;"!!!"),"NEW","")))</f>
        <v> </v>
      </c>
      <c r="G3275" s="24" t="str">
        <f>IF(OR(E3275="",E3275="!!!"),"",IF(OR(J3275=0,AND(J3275=1,K3275=1),AND(J3275=1,I3275="SBJ"),AND(J3275=1,I3275=0)),"?IN_FOCUS",IF(J3275&lt;=2,"?ACTIVATED",IF(J3275&lt;&gt;"","?FAMILIAR",IF(F3275="NEW",IF(ISNA(VLOOKUP(E3275,#REF!,1,FALSE())),"?TYPE_IDENTIFIABLE","?REFERENTIAL"),"_")))))</f>
        <v> </v>
      </c>
      <c r="H3275" s="25" t="str">
        <f>IF(J3275&lt;&gt;1,"",IF(I3275="SBJ","CB","?"))</f>
        <v> </v>
      </c>
      <c r="I3275" s="26" t="str">
        <f>IF(OR(E3275="",E3275="!!!",F3275="NEW"),"",INDEX(B3274:B$2,-1+SUMPRODUCT(MAX(ROW(E3274:E$2)*(E3275=E3274:E$2)))))</f>
        <v> </v>
      </c>
      <c r="J3275" s="26" t="str">
        <f>IF(OR(E3275="",E3275="!!!",F3275="NEW"),"",COUNTBLANK(OFFSET(A$1,,,SUMPRODUCT(MAX(ROW(E$2:E3275)*(E3275=E$2:E3275)))))-COUNTBLANK(OFFSET(A$1,,,SUMPRODUCT(MAX(ROW(E$1:E3274)*(E2=E$1:E3274))))))</f>
        <v> </v>
      </c>
      <c r="K3275" s="26" t="str">
        <f>IF(OR(E3275="",E3275="!!!",F3275="NEW"),"",INDEX(J$1:J3274,SUMPRODUCT(MAX(ROW(E$1:E3274)*(E3275=E$1:E3274)))))</f>
        <v> </v>
      </c>
      <c r="L3275" s="27"/>
    </row>
    <row r="3276" spans="1:12">
      <c r="A3276" s="20" t="s">
        <v>1885</v>
      </c>
      <c r="B3276" s="21" t="s">
        <v>791</v>
      </c>
      <c r="C3276" s="21" t="s">
        <v>748</v>
      </c>
      <c r="E3276" s="22">
        <f>IF(D3276="?OLD","!!!","")</f>
        <v/>
      </c>
      <c r="F3276" s="23" t="str">
        <f>IF(OR(E3276="",E3276="!!!"),"",IF(NOT(ISNA(VLOOKUP(E3276,E$1:E3275,1,FALSE()))),"OLD",IF(AND(E3276&lt;&gt;"",E3276&lt;&gt;"!!!"),"NEW","")))</f>
        <v> </v>
      </c>
      <c r="G3276" s="24" t="str">
        <f>IF(OR(E3276="",E3276="!!!"),"",IF(OR(J3276=0,AND(J3276=1,K3276=1),AND(J3276=1,I3276="SBJ"),AND(J3276=1,I3276=0)),"?IN_FOCUS",IF(J3276&lt;=2,"?ACTIVATED",IF(J3276&lt;&gt;"","?FAMILIAR",IF(F3276="NEW",IF(ISNA(VLOOKUP(E3276,#REF!,1,FALSE())),"?TYPE_IDENTIFIABLE","?REFERENTIAL"),"_")))))</f>
        <v> </v>
      </c>
      <c r="H3276" s="25" t="str">
        <f>IF(J3276&lt;&gt;1,"",IF(I3276="SBJ","CB","?"))</f>
        <v> </v>
      </c>
      <c r="I3276" s="26" t="str">
        <f>IF(OR(E3276="",E3276="!!!",F3276="NEW"),"",INDEX(B3275:B$2,-1+SUMPRODUCT(MAX(ROW(E3275:E$2)*(E3276=E3275:E$2)))))</f>
        <v> </v>
      </c>
      <c r="J3276" s="26" t="str">
        <f>IF(OR(E3276="",E3276="!!!",F3276="NEW"),"",COUNTBLANK(OFFSET(A$1,,,SUMPRODUCT(MAX(ROW(E$2:E3276)*(E3276=E$2:E3276)))))-COUNTBLANK(OFFSET(A$1,,,SUMPRODUCT(MAX(ROW(E$1:E3275)*(E2=E$1:E3275))))))</f>
        <v> </v>
      </c>
      <c r="K3276" s="26" t="str">
        <f>IF(OR(E3276="",E3276="!!!",F3276="NEW"),"",INDEX(J$1:J3275,SUMPRODUCT(MAX(ROW(E$1:E3275)*(E3276=E$1:E3275)))))</f>
        <v> </v>
      </c>
      <c r="L3276" s="27"/>
    </row>
    <row r="3277" spans="1:12">
      <c r="A3277" s="20" t="s">
        <v>754</v>
      </c>
      <c r="E3277" s="22">
        <f>IF(D3277="?OLD","!!!","")</f>
        <v/>
      </c>
      <c r="F3277" s="23" t="str">
        <f>IF(OR(E3277="",E3277="!!!"),"",IF(NOT(ISNA(VLOOKUP(E3277,E$1:E3276,1,FALSE()))),"OLD",IF(AND(E3277&lt;&gt;"",E3277&lt;&gt;"!!!"),"NEW","")))</f>
        <v> </v>
      </c>
      <c r="G3277" s="24" t="str">
        <f>IF(OR(E3277="",E3277="!!!"),"",IF(OR(J3277=0,AND(J3277=1,K3277=1),AND(J3277=1,I3277="SBJ"),AND(J3277=1,I3277=0)),"?IN_FOCUS",IF(J3277&lt;=2,"?ACTIVATED",IF(J3277&lt;&gt;"","?FAMILIAR",IF(F3277="NEW",IF(ISNA(VLOOKUP(E3277,#REF!,1,FALSE())),"?TYPE_IDENTIFIABLE","?REFERENTIAL"),"_")))))</f>
        <v> </v>
      </c>
      <c r="H3277" s="25" t="str">
        <f>IF(J3277&lt;&gt;1,"",IF(I3277="SBJ","CB","?"))</f>
        <v> </v>
      </c>
      <c r="I3277" s="26" t="str">
        <f>IF(OR(E3277="",E3277="!!!",F3277="NEW"),"",INDEX(B3276:B$2,-1+SUMPRODUCT(MAX(ROW(E3276:E$2)*(E3277=E3276:E$2)))))</f>
        <v> </v>
      </c>
      <c r="J3277" s="26" t="str">
        <f>IF(OR(E3277="",E3277="!!!",F3277="NEW"),"",COUNTBLANK(OFFSET(A$1,,,SUMPRODUCT(MAX(ROW(E$2:E3277)*(E3277=E$2:E3277)))))-COUNTBLANK(OFFSET(A$1,,,SUMPRODUCT(MAX(ROW(E$1:E3276)*(E2=E$1:E3276))))))</f>
        <v> </v>
      </c>
      <c r="K3277" s="26" t="str">
        <f>IF(OR(E3277="",E3277="!!!",F3277="NEW"),"",INDEX(J$1:J3276,SUMPRODUCT(MAX(ROW(E$1:E3276)*(E3277=E$1:E3276)))))</f>
        <v> </v>
      </c>
      <c r="L3277" s="27"/>
    </row>
    <row r="3278" spans="1:12">
      <c r="A3278" s="20" t="s">
        <v>1469</v>
      </c>
      <c r="E3278" s="22">
        <f>IF(D3278="?OLD","!!!","")</f>
        <v/>
      </c>
      <c r="F3278" s="23" t="str">
        <f>IF(OR(E3278="",E3278="!!!"),"",IF(NOT(ISNA(VLOOKUP(E3278,E$1:E3277,1,FALSE()))),"OLD",IF(AND(E3278&lt;&gt;"",E3278&lt;&gt;"!!!"),"NEW","")))</f>
        <v> </v>
      </c>
      <c r="G3278" s="24" t="str">
        <f>IF(OR(E3278="",E3278="!!!"),"",IF(OR(J3278=0,AND(J3278=1,K3278=1),AND(J3278=1,I3278="SBJ"),AND(J3278=1,I3278=0)),"?IN_FOCUS",IF(J3278&lt;=2,"?ACTIVATED",IF(J3278&lt;&gt;"","?FAMILIAR",IF(F3278="NEW",IF(ISNA(VLOOKUP(E3278,#REF!,1,FALSE())),"?TYPE_IDENTIFIABLE","?REFERENTIAL"),"_")))))</f>
        <v> </v>
      </c>
      <c r="H3278" s="25" t="str">
        <f>IF(J3278&lt;&gt;1,"",IF(I3278="SBJ","CB","?"))</f>
        <v> </v>
      </c>
      <c r="I3278" s="26" t="str">
        <f>IF(OR(E3278="",E3278="!!!",F3278="NEW"),"",INDEX(B3277:B$2,-1+SUMPRODUCT(MAX(ROW(E3277:E$2)*(E3278=E3277:E$2)))))</f>
        <v> </v>
      </c>
      <c r="J3278" s="26" t="str">
        <f>IF(OR(E3278="",E3278="!!!",F3278="NEW"),"",COUNTBLANK(OFFSET(A$1,,,SUMPRODUCT(MAX(ROW(E$2:E3278)*(E3278=E$2:E3278)))))-COUNTBLANK(OFFSET(A$1,,,SUMPRODUCT(MAX(ROW(E$1:E3277)*(E2=E$1:E3277))))))</f>
        <v> </v>
      </c>
      <c r="K3278" s="26" t="str">
        <f>IF(OR(E3278="",E3278="!!!",F3278="NEW"),"",INDEX(J$1:J3277,SUMPRODUCT(MAX(ROW(E$1:E3277)*(E3278=E$1:E3277)))))</f>
        <v> </v>
      </c>
      <c r="L3278" s="27"/>
    </row>
    <row r="3279" spans="1:12">
      <c r="A3279" s="20" t="s">
        <v>759</v>
      </c>
      <c r="E3279" s="22">
        <f>IF(D3279="?OLD","!!!","")</f>
        <v/>
      </c>
      <c r="F3279" s="23" t="str">
        <f>IF(OR(E3279="",E3279="!!!"),"",IF(NOT(ISNA(VLOOKUP(E3279,E$1:E3278,1,FALSE()))),"OLD",IF(AND(E3279&lt;&gt;"",E3279&lt;&gt;"!!!"),"NEW","")))</f>
        <v> </v>
      </c>
      <c r="G3279" s="24" t="str">
        <f>IF(OR(E3279="",E3279="!!!"),"",IF(OR(J3279=0,AND(J3279=1,K3279=1),AND(J3279=1,I3279="SBJ"),AND(J3279=1,I3279=0)),"?IN_FOCUS",IF(J3279&lt;=2,"?ACTIVATED",IF(J3279&lt;&gt;"","?FAMILIAR",IF(F3279="NEW",IF(ISNA(VLOOKUP(E3279,#REF!,1,FALSE())),"?TYPE_IDENTIFIABLE","?REFERENTIAL"),"_")))))</f>
        <v> </v>
      </c>
      <c r="H3279" s="25" t="str">
        <f>IF(J3279&lt;&gt;1,"",IF(I3279="SBJ","CB","?"))</f>
        <v> </v>
      </c>
      <c r="I3279" s="26" t="str">
        <f>IF(OR(E3279="",E3279="!!!",F3279="NEW"),"",INDEX(B3278:B$2,-1+SUMPRODUCT(MAX(ROW(E3278:E$2)*(E3279=E3278:E$2)))))</f>
        <v> </v>
      </c>
      <c r="J3279" s="26" t="str">
        <f>IF(OR(E3279="",E3279="!!!",F3279="NEW"),"",COUNTBLANK(OFFSET(A$1,,,SUMPRODUCT(MAX(ROW(E$2:E3279)*(E3279=E$2:E3279)))))-COUNTBLANK(OFFSET(A$1,,,SUMPRODUCT(MAX(ROW(E$1:E3278)*(E2=E$1:E3278))))))</f>
        <v> </v>
      </c>
      <c r="K3279" s="26" t="str">
        <f>IF(OR(E3279="",E3279="!!!",F3279="NEW"),"",INDEX(J$1:J3278,SUMPRODUCT(MAX(ROW(E$1:E3278)*(E3279=E$1:E3278)))))</f>
        <v> </v>
      </c>
      <c r="L3279" s="27"/>
    </row>
    <row r="3280" spans="1:12">
      <c r="A3280" s="20" t="s">
        <v>757</v>
      </c>
      <c r="E3280" s="22">
        <f>IF(D3280="?OLD","!!!","")</f>
        <v/>
      </c>
      <c r="F3280" s="23" t="str">
        <f>IF(OR(E3280="",E3280="!!!"),"",IF(NOT(ISNA(VLOOKUP(E3280,E$1:E3279,1,FALSE()))),"OLD",IF(AND(E3280&lt;&gt;"",E3280&lt;&gt;"!!!"),"NEW","")))</f>
        <v> </v>
      </c>
      <c r="G3280" s="24" t="str">
        <f>IF(OR(E3280="",E3280="!!!"),"",IF(OR(J3280=0,AND(J3280=1,K3280=1),AND(J3280=1,I3280="SBJ"),AND(J3280=1,I3280=0)),"?IN_FOCUS",IF(J3280&lt;=2,"?ACTIVATED",IF(J3280&lt;&gt;"","?FAMILIAR",IF(F3280="NEW",IF(ISNA(VLOOKUP(E3280,#REF!,1,FALSE())),"?TYPE_IDENTIFIABLE","?REFERENTIAL"),"_")))))</f>
        <v> </v>
      </c>
      <c r="H3280" s="25" t="str">
        <f>IF(J3280&lt;&gt;1,"",IF(I3280="SBJ","CB","?"))</f>
        <v> </v>
      </c>
      <c r="I3280" s="26" t="str">
        <f>IF(OR(E3280="",E3280="!!!",F3280="NEW"),"",INDEX(B3279:B$2,-1+SUMPRODUCT(MAX(ROW(E3279:E$2)*(E3280=E3279:E$2)))))</f>
        <v> </v>
      </c>
      <c r="J3280" s="26" t="str">
        <f>IF(OR(E3280="",E3280="!!!",F3280="NEW"),"",COUNTBLANK(OFFSET(A$1,,,SUMPRODUCT(MAX(ROW(E$2:E3280)*(E3280=E$2:E3280)))))-COUNTBLANK(OFFSET(A$1,,,SUMPRODUCT(MAX(ROW(E$1:E3279)*(E2=E$1:E3279))))))</f>
        <v> </v>
      </c>
      <c r="K3280" s="26" t="str">
        <f>IF(OR(E3280="",E3280="!!!",F3280="NEW"),"",INDEX(J$1:J3279,SUMPRODUCT(MAX(ROW(E$1:E3279)*(E3280=E$1:E3279)))))</f>
        <v> </v>
      </c>
      <c r="L3280" s="27"/>
    </row>
    <row r="3281" spans="1:12">
      <c r="A3281" s="20" t="s">
        <v>1886</v>
      </c>
      <c r="E3281" s="22">
        <f>IF(D3281="?OLD","!!!","")</f>
        <v/>
      </c>
      <c r="F3281" s="23" t="str">
        <f>IF(OR(E3281="",E3281="!!!"),"",IF(NOT(ISNA(VLOOKUP(E3281,E$1:E3280,1,FALSE()))),"OLD",IF(AND(E3281&lt;&gt;"",E3281&lt;&gt;"!!!"),"NEW","")))</f>
        <v> </v>
      </c>
      <c r="G3281" s="24" t="str">
        <f>IF(OR(E3281="",E3281="!!!"),"",IF(OR(J3281=0,AND(J3281=1,K3281=1),AND(J3281=1,I3281="SBJ"),AND(J3281=1,I3281=0)),"?IN_FOCUS",IF(J3281&lt;=2,"?ACTIVATED",IF(J3281&lt;&gt;"","?FAMILIAR",IF(F3281="NEW",IF(ISNA(VLOOKUP(E3281,#REF!,1,FALSE())),"?TYPE_IDENTIFIABLE","?REFERENTIAL"),"_")))))</f>
        <v> </v>
      </c>
      <c r="H3281" s="25" t="str">
        <f>IF(J3281&lt;&gt;1,"",IF(I3281="SBJ","CB","?"))</f>
        <v> </v>
      </c>
      <c r="I3281" s="26" t="str">
        <f>IF(OR(E3281="",E3281="!!!",F3281="NEW"),"",INDEX(B3280:B$2,-1+SUMPRODUCT(MAX(ROW(E3280:E$2)*(E3281=E3280:E$2)))))</f>
        <v> </v>
      </c>
      <c r="J3281" s="26" t="str">
        <f>IF(OR(E3281="",E3281="!!!",F3281="NEW"),"",COUNTBLANK(OFFSET(A$1,,,SUMPRODUCT(MAX(ROW(E$2:E3281)*(E3281=E$2:E3281)))))-COUNTBLANK(OFFSET(A$1,,,SUMPRODUCT(MAX(ROW(E$1:E3280)*(E2=E$1:E3280))))))</f>
        <v> </v>
      </c>
      <c r="K3281" s="26" t="str">
        <f>IF(OR(E3281="",E3281="!!!",F3281="NEW"),"",INDEX(J$1:J3280,SUMPRODUCT(MAX(ROW(E$1:E3280)*(E3281=E$1:E3280)))))</f>
        <v> </v>
      </c>
      <c r="L3281" s="27"/>
    </row>
    <row r="3282" spans="1:12">
      <c r="A3282" s="20" t="s">
        <v>1887</v>
      </c>
      <c r="B3282" s="21" t="s">
        <v>736</v>
      </c>
      <c r="C3282" s="21" t="s">
        <v>753</v>
      </c>
      <c r="D3282" s="21" t="s">
        <v>730</v>
      </c>
      <c r="E3282" s="22">
        <f>IF(D3282="?OLD","!!!","")</f>
        <v/>
      </c>
      <c r="F3282" s="23" t="str">
        <f>IF(OR(E3282="",E3282="!!!"),"",IF(NOT(ISNA(VLOOKUP(E3282,E$1:E3281,1,FALSE()))),"OLD",IF(AND(E3282&lt;&gt;"",E3282&lt;&gt;"!!!"),"NEW","")))</f>
        <v> </v>
      </c>
      <c r="G3282" s="24" t="str">
        <f>IF(OR(E3282="",E3282="!!!"),"",IF(OR(J3282=0,AND(J3282=1,K3282=1),AND(J3282=1,I3282="SBJ"),AND(J3282=1,I3282=0)),"?IN_FOCUS",IF(J3282&lt;=2,"?ACTIVATED",IF(J3282&lt;&gt;"","?FAMILIAR",IF(F3282="NEW",IF(ISNA(VLOOKUP(E3282,#REF!,1,FALSE())),"?TYPE_IDENTIFIABLE","?REFERENTIAL"),"_")))))</f>
        <v> </v>
      </c>
      <c r="H3282" s="25" t="str">
        <f>IF(J3282&lt;&gt;1,"",IF(I3282="SBJ","CB","?"))</f>
        <v> </v>
      </c>
      <c r="I3282" s="26" t="str">
        <f>IF(OR(E3282="",E3282="!!!",F3282="NEW"),"",INDEX(B3281:B$2,-1+SUMPRODUCT(MAX(ROW(E3281:E$2)*(E3282=E3281:E$2)))))</f>
        <v> </v>
      </c>
      <c r="J3282" s="26" t="str">
        <f>IF(OR(E3282="",E3282="!!!",F3282="NEW"),"",COUNTBLANK(OFFSET(A$1,,,SUMPRODUCT(MAX(ROW(E$2:E3282)*(E3282=E$2:E3282)))))-COUNTBLANK(OFFSET(A$1,,,SUMPRODUCT(MAX(ROW(E$1:E3281)*(E2=E$1:E3281))))))</f>
        <v> </v>
      </c>
      <c r="K3282" s="26" t="str">
        <f>IF(OR(E3282="",E3282="!!!",F3282="NEW"),"",INDEX(J$1:J3281,SUMPRODUCT(MAX(ROW(E$1:E3281)*(E3282=E$1:E3281)))))</f>
        <v> </v>
      </c>
      <c r="L3282" s="27"/>
    </row>
    <row r="3283" spans="1:12">
      <c r="A3283" s="20" t="s">
        <v>759</v>
      </c>
      <c r="E3283" s="22">
        <f>IF(D3283="?OLD","!!!","")</f>
        <v/>
      </c>
      <c r="F3283" s="23" t="str">
        <f>IF(OR(E3283="",E3283="!!!"),"",IF(NOT(ISNA(VLOOKUP(E3283,E$1:E3282,1,FALSE()))),"OLD",IF(AND(E3283&lt;&gt;"",E3283&lt;&gt;"!!!"),"NEW","")))</f>
        <v> </v>
      </c>
      <c r="G3283" s="24" t="str">
        <f>IF(OR(E3283="",E3283="!!!"),"",IF(OR(J3283=0,AND(J3283=1,K3283=1),AND(J3283=1,I3283="SBJ"),AND(J3283=1,I3283=0)),"?IN_FOCUS",IF(J3283&lt;=2,"?ACTIVATED",IF(J3283&lt;&gt;"","?FAMILIAR",IF(F3283="NEW",IF(ISNA(VLOOKUP(E3283,#REF!,1,FALSE())),"?TYPE_IDENTIFIABLE","?REFERENTIAL"),"_")))))</f>
        <v> </v>
      </c>
      <c r="H3283" s="25" t="str">
        <f>IF(J3283&lt;&gt;1,"",IF(I3283="SBJ","CB","?"))</f>
        <v> </v>
      </c>
      <c r="I3283" s="26" t="str">
        <f>IF(OR(E3283="",E3283="!!!",F3283="NEW"),"",INDEX(B3282:B$2,-1+SUMPRODUCT(MAX(ROW(E3282:E$2)*(E3283=E3282:E$2)))))</f>
        <v> </v>
      </c>
      <c r="J3283" s="26" t="str">
        <f>IF(OR(E3283="",E3283="!!!",F3283="NEW"),"",COUNTBLANK(OFFSET(A$1,,,SUMPRODUCT(MAX(ROW(E$2:E3283)*(E3283=E$2:E3283)))))-COUNTBLANK(OFFSET(A$1,,,SUMPRODUCT(MAX(ROW(E$1:E3282)*(E2=E$1:E3282))))))</f>
        <v> </v>
      </c>
      <c r="K3283" s="26" t="str">
        <f>IF(OR(E3283="",E3283="!!!",F3283="NEW"),"",INDEX(J$1:J3282,SUMPRODUCT(MAX(ROW(E$1:E3282)*(E3283=E$1:E3282)))))</f>
        <v> </v>
      </c>
      <c r="L3283" s="27"/>
    </row>
    <row r="3284" spans="1:12">
      <c r="A3284" s="20" t="s">
        <v>757</v>
      </c>
      <c r="B3284" s="21" t="s">
        <v>788</v>
      </c>
      <c r="E3284" s="22">
        <f>IF(D3284="?OLD","!!!","")</f>
        <v/>
      </c>
      <c r="F3284" s="23" t="str">
        <f>IF(OR(E3284="",E3284="!!!"),"",IF(NOT(ISNA(VLOOKUP(E3284,E$1:E3283,1,FALSE()))),"OLD",IF(AND(E3284&lt;&gt;"",E3284&lt;&gt;"!!!"),"NEW","")))</f>
        <v> </v>
      </c>
      <c r="G3284" s="24" t="str">
        <f>IF(OR(E3284="",E3284="!!!"),"",IF(OR(J3284=0,AND(J3284=1,K3284=1),AND(J3284=1,I3284="SBJ"),AND(J3284=1,I3284=0)),"?IN_FOCUS",IF(J3284&lt;=2,"?ACTIVATED",IF(J3284&lt;&gt;"","?FAMILIAR",IF(F3284="NEW",IF(ISNA(VLOOKUP(E3284,#REF!,1,FALSE())),"?TYPE_IDENTIFIABLE","?REFERENTIAL"),"_")))))</f>
        <v> </v>
      </c>
      <c r="H3284" s="25" t="str">
        <f>IF(J3284&lt;&gt;1,"",IF(I3284="SBJ","CB","?"))</f>
        <v> </v>
      </c>
      <c r="I3284" s="26" t="str">
        <f>IF(OR(E3284="",E3284="!!!",F3284="NEW"),"",INDEX(B3283:B$2,-1+SUMPRODUCT(MAX(ROW(E3283:E$2)*(E3284=E3283:E$2)))))</f>
        <v> </v>
      </c>
      <c r="J3284" s="26" t="str">
        <f>IF(OR(E3284="",E3284="!!!",F3284="NEW"),"",COUNTBLANK(OFFSET(A$1,,,SUMPRODUCT(MAX(ROW(E$2:E3284)*(E3284=E$2:E3284)))))-COUNTBLANK(OFFSET(A$1,,,SUMPRODUCT(MAX(ROW(E$1:E3283)*(E2=E$1:E3283))))))</f>
        <v> </v>
      </c>
      <c r="K3284" s="26" t="str">
        <f>IF(OR(E3284="",E3284="!!!",F3284="NEW"),"",INDEX(J$1:J3283,SUMPRODUCT(MAX(ROW(E$1:E3283)*(E3284=E$1:E3283)))))</f>
        <v> </v>
      </c>
      <c r="L3284" s="27"/>
    </row>
    <row r="3285" spans="1:12">
      <c r="A3285" s="20" t="s">
        <v>804</v>
      </c>
      <c r="B3285" s="21" t="s">
        <v>843</v>
      </c>
      <c r="E3285" s="22">
        <f>IF(D3285="?OLD","!!!","")</f>
        <v/>
      </c>
      <c r="F3285" s="23" t="str">
        <f>IF(OR(E3285="",E3285="!!!"),"",IF(NOT(ISNA(VLOOKUP(E3285,E$1:E3284,1,FALSE()))),"OLD",IF(AND(E3285&lt;&gt;"",E3285&lt;&gt;"!!!"),"NEW","")))</f>
        <v> </v>
      </c>
      <c r="G3285" s="24" t="str">
        <f>IF(OR(E3285="",E3285="!!!"),"",IF(OR(J3285=0,AND(J3285=1,K3285=1),AND(J3285=1,I3285="SBJ"),AND(J3285=1,I3285=0)),"?IN_FOCUS",IF(J3285&lt;=2,"?ACTIVATED",IF(J3285&lt;&gt;"","?FAMILIAR",IF(F3285="NEW",IF(ISNA(VLOOKUP(E3285,#REF!,1,FALSE())),"?TYPE_IDENTIFIABLE","?REFERENTIAL"),"_")))))</f>
        <v> </v>
      </c>
      <c r="H3285" s="25" t="str">
        <f>IF(J3285&lt;&gt;1,"",IF(I3285="SBJ","CB","?"))</f>
        <v> </v>
      </c>
      <c r="I3285" s="26" t="str">
        <f>IF(OR(E3285="",E3285="!!!",F3285="NEW"),"",INDEX(B3284:B$2,-1+SUMPRODUCT(MAX(ROW(E3284:E$2)*(E3285=E3284:E$2)))))</f>
        <v> </v>
      </c>
      <c r="J3285" s="26" t="str">
        <f>IF(OR(E3285="",E3285="!!!",F3285="NEW"),"",COUNTBLANK(OFFSET(A$1,,,SUMPRODUCT(MAX(ROW(E$2:E3285)*(E3285=E$2:E3285)))))-COUNTBLANK(OFFSET(A$1,,,SUMPRODUCT(MAX(ROW(E$1:E3284)*(E2=E$1:E3284))))))</f>
        <v> </v>
      </c>
      <c r="K3285" s="26" t="str">
        <f>IF(OR(E3285="",E3285="!!!",F3285="NEW"),"",INDEX(J$1:J3284,SUMPRODUCT(MAX(ROW(E$1:E3284)*(E3285=E$1:E3284)))))</f>
        <v> </v>
      </c>
      <c r="L3285" s="27"/>
    </row>
    <row r="3286" spans="1:12">
      <c r="A3286" s="20" t="s">
        <v>773</v>
      </c>
      <c r="E3286" s="22">
        <f>IF(D3286="?OLD","!!!","")</f>
        <v/>
      </c>
      <c r="F3286" s="23" t="str">
        <f>IF(OR(E3286="",E3286="!!!"),"",IF(NOT(ISNA(VLOOKUP(E3286,E$1:E3285,1,FALSE()))),"OLD",IF(AND(E3286&lt;&gt;"",E3286&lt;&gt;"!!!"),"NEW","")))</f>
        <v> </v>
      </c>
      <c r="G3286" s="24" t="str">
        <f>IF(OR(E3286="",E3286="!!!"),"",IF(OR(J3286=0,AND(J3286=1,K3286=1),AND(J3286=1,I3286="SBJ"),AND(J3286=1,I3286=0)),"?IN_FOCUS",IF(J3286&lt;=2,"?ACTIVATED",IF(J3286&lt;&gt;"","?FAMILIAR",IF(F3286="NEW",IF(ISNA(VLOOKUP(E3286,#REF!,1,FALSE())),"?TYPE_IDENTIFIABLE","?REFERENTIAL"),"_")))))</f>
        <v> </v>
      </c>
      <c r="H3286" s="25" t="str">
        <f>IF(J3286&lt;&gt;1,"",IF(I3286="SBJ","CB","?"))</f>
        <v> </v>
      </c>
      <c r="I3286" s="26" t="str">
        <f>IF(OR(E3286="",E3286="!!!",F3286="NEW"),"",INDEX(B3285:B$2,-1+SUMPRODUCT(MAX(ROW(E3285:E$2)*(E3286=E3285:E$2)))))</f>
        <v> </v>
      </c>
      <c r="J3286" s="26" t="str">
        <f>IF(OR(E3286="",E3286="!!!",F3286="NEW"),"",COUNTBLANK(OFFSET(A$1,,,SUMPRODUCT(MAX(ROW(E$2:E3286)*(E3286=E$2:E3286)))))-COUNTBLANK(OFFSET(A$1,,,SUMPRODUCT(MAX(ROW(E$1:E3285)*(E2=E$1:E3285))))))</f>
        <v> </v>
      </c>
      <c r="K3286" s="26" t="str">
        <f>IF(OR(E3286="",E3286="!!!",F3286="NEW"),"",INDEX(J$1:J3285,SUMPRODUCT(MAX(ROW(E$1:E3285)*(E3286=E$1:E3285)))))</f>
        <v> </v>
      </c>
      <c r="L3286" s="27"/>
    </row>
    <row r="3287" spans="1:12">
      <c r="A3287" s="20" t="s">
        <v>751</v>
      </c>
      <c r="E3287" s="22">
        <f>IF(D3287="?OLD","!!!","")</f>
        <v/>
      </c>
      <c r="F3287" s="23" t="str">
        <f>IF(OR(E3287="",E3287="!!!"),"",IF(NOT(ISNA(VLOOKUP(E3287,E$1:E3286,1,FALSE()))),"OLD",IF(AND(E3287&lt;&gt;"",E3287&lt;&gt;"!!!"),"NEW","")))</f>
        <v> </v>
      </c>
      <c r="G3287" s="24" t="str">
        <f>IF(OR(E3287="",E3287="!!!"),"",IF(OR(J3287=0,AND(J3287=1,K3287=1),AND(J3287=1,I3287="SBJ"),AND(J3287=1,I3287=0)),"?IN_FOCUS",IF(J3287&lt;=2,"?ACTIVATED",IF(J3287&lt;&gt;"","?FAMILIAR",IF(F3287="NEW",IF(ISNA(VLOOKUP(E3287,#REF!,1,FALSE())),"?TYPE_IDENTIFIABLE","?REFERENTIAL"),"_")))))</f>
        <v> </v>
      </c>
      <c r="H3287" s="25" t="str">
        <f>IF(J3287&lt;&gt;1,"",IF(I3287="SBJ","CB","?"))</f>
        <v> </v>
      </c>
      <c r="I3287" s="26" t="str">
        <f>IF(OR(E3287="",E3287="!!!",F3287="NEW"),"",INDEX(B3286:B$2,-1+SUMPRODUCT(MAX(ROW(E3286:E$2)*(E3287=E3286:E$2)))))</f>
        <v> </v>
      </c>
      <c r="J3287" s="26" t="str">
        <f>IF(OR(E3287="",E3287="!!!",F3287="NEW"),"",COUNTBLANK(OFFSET(A$1,,,SUMPRODUCT(MAX(ROW(E$2:E3287)*(E3287=E$2:E3287)))))-COUNTBLANK(OFFSET(A$1,,,SUMPRODUCT(MAX(ROW(E$1:E3286)*(E2=E$1:E3286))))))</f>
        <v> </v>
      </c>
      <c r="K3287" s="26" t="str">
        <f>IF(OR(E3287="",E3287="!!!",F3287="NEW"),"",INDEX(J$1:J3286,SUMPRODUCT(MAX(ROW(E$1:E3286)*(E3287=E$1:E3286)))))</f>
        <v> </v>
      </c>
      <c r="L3287" s="27"/>
    </row>
    <row r="3288" spans="1:12">
      <c r="A3288" s="20" t="s">
        <v>1888</v>
      </c>
      <c r="B3288" s="21" t="s">
        <v>755</v>
      </c>
      <c r="C3288" s="21" t="s">
        <v>753</v>
      </c>
      <c r="D3288" s="21" t="s">
        <v>730</v>
      </c>
      <c r="E3288" s="22">
        <f>IF(D3288="?OLD","!!!","")</f>
        <v/>
      </c>
      <c r="F3288" s="23" t="str">
        <f>IF(OR(E3288="",E3288="!!!"),"",IF(NOT(ISNA(VLOOKUP(E3288,E$1:E3287,1,FALSE()))),"OLD",IF(AND(E3288&lt;&gt;"",E3288&lt;&gt;"!!!"),"NEW","")))</f>
        <v> </v>
      </c>
      <c r="G3288" s="24" t="str">
        <f>IF(OR(E3288="",E3288="!!!"),"",IF(OR(J3288=0,AND(J3288=1,K3288=1),AND(J3288=1,I3288="SBJ"),AND(J3288=1,I3288=0)),"?IN_FOCUS",IF(J3288&lt;=2,"?ACTIVATED",IF(J3288&lt;&gt;"","?FAMILIAR",IF(F3288="NEW",IF(ISNA(VLOOKUP(E3288,#REF!,1,FALSE())),"?TYPE_IDENTIFIABLE","?REFERENTIAL"),"_")))))</f>
        <v> </v>
      </c>
      <c r="H3288" s="25" t="str">
        <f>IF(J3288&lt;&gt;1,"",IF(I3288="SBJ","CB","?"))</f>
        <v> </v>
      </c>
      <c r="I3288" s="26" t="str">
        <f>IF(OR(E3288="",E3288="!!!",F3288="NEW"),"",INDEX(B3287:B$2,-1+SUMPRODUCT(MAX(ROW(E3287:E$2)*(E3288=E3287:E$2)))))</f>
        <v> </v>
      </c>
      <c r="J3288" s="26" t="str">
        <f>IF(OR(E3288="",E3288="!!!",F3288="NEW"),"",COUNTBLANK(OFFSET(A$1,,,SUMPRODUCT(MAX(ROW(E$2:E3288)*(E3288=E$2:E3288)))))-COUNTBLANK(OFFSET(A$1,,,SUMPRODUCT(MAX(ROW(E$1:E3287)*(E2=E$1:E3287))))))</f>
        <v> </v>
      </c>
      <c r="K3288" s="26" t="str">
        <f>IF(OR(E3288="",E3288="!!!",F3288="NEW"),"",INDEX(J$1:J3287,SUMPRODUCT(MAX(ROW(E$1:E3287)*(E3288=E$1:E3287)))))</f>
        <v> </v>
      </c>
      <c r="L3288" s="27"/>
    </row>
    <row r="3289" spans="1:12">
      <c r="A3289" s="20" t="s">
        <v>1889</v>
      </c>
      <c r="E3289" s="22">
        <f>IF(D3289="?OLD","!!!","")</f>
        <v/>
      </c>
      <c r="F3289" s="23" t="str">
        <f>IF(OR(E3289="",E3289="!!!"),"",IF(NOT(ISNA(VLOOKUP(E3289,E$1:E3288,1,FALSE()))),"OLD",IF(AND(E3289&lt;&gt;"",E3289&lt;&gt;"!!!"),"NEW","")))</f>
        <v> </v>
      </c>
      <c r="G3289" s="24" t="str">
        <f>IF(OR(E3289="",E3289="!!!"),"",IF(OR(J3289=0,AND(J3289=1,K3289=1),AND(J3289=1,I3289="SBJ"),AND(J3289=1,I3289=0)),"?IN_FOCUS",IF(J3289&lt;=2,"?ACTIVATED",IF(J3289&lt;&gt;"","?FAMILIAR",IF(F3289="NEW",IF(ISNA(VLOOKUP(E3289,#REF!,1,FALSE())),"?TYPE_IDENTIFIABLE","?REFERENTIAL"),"_")))))</f>
        <v> </v>
      </c>
      <c r="H3289" s="25" t="str">
        <f>IF(J3289&lt;&gt;1,"",IF(I3289="SBJ","CB","?"))</f>
        <v> </v>
      </c>
      <c r="I3289" s="26" t="str">
        <f>IF(OR(E3289="",E3289="!!!",F3289="NEW"),"",INDEX(B3288:B$2,-1+SUMPRODUCT(MAX(ROW(E3288:E$2)*(E3289=E3288:E$2)))))</f>
        <v> </v>
      </c>
      <c r="J3289" s="26" t="str">
        <f>IF(OR(E3289="",E3289="!!!",F3289="NEW"),"",COUNTBLANK(OFFSET(A$1,,,SUMPRODUCT(MAX(ROW(E$2:E3289)*(E3289=E$2:E3289)))))-COUNTBLANK(OFFSET(A$1,,,SUMPRODUCT(MAX(ROW(E$1:E3288)*(E2=E$1:E3288))))))</f>
        <v> </v>
      </c>
      <c r="K3289" s="26" t="str">
        <f>IF(OR(E3289="",E3289="!!!",F3289="NEW"),"",INDEX(J$1:J3288,SUMPRODUCT(MAX(ROW(E$1:E3288)*(E3289=E$1:E3288)))))</f>
        <v> </v>
      </c>
      <c r="L3289" s="27"/>
    </row>
    <row r="3290" spans="1:12">
      <c r="A3290" s="20" t="s">
        <v>884</v>
      </c>
      <c r="E3290" s="22">
        <f>IF(D3290="?OLD","!!!","")</f>
        <v/>
      </c>
      <c r="F3290" s="23" t="str">
        <f>IF(OR(E3290="",E3290="!!!"),"",IF(NOT(ISNA(VLOOKUP(E3290,E$1:E3289,1,FALSE()))),"OLD",IF(AND(E3290&lt;&gt;"",E3290&lt;&gt;"!!!"),"NEW","")))</f>
        <v> </v>
      </c>
      <c r="G3290" s="24" t="str">
        <f>IF(OR(E3290="",E3290="!!!"),"",IF(OR(J3290=0,AND(J3290=1,K3290=1),AND(J3290=1,I3290="SBJ"),AND(J3290=1,I3290=0)),"?IN_FOCUS",IF(J3290&lt;=2,"?ACTIVATED",IF(J3290&lt;&gt;"","?FAMILIAR",IF(F3290="NEW",IF(ISNA(VLOOKUP(E3290,#REF!,1,FALSE())),"?TYPE_IDENTIFIABLE","?REFERENTIAL"),"_")))))</f>
        <v> </v>
      </c>
      <c r="H3290" s="25" t="str">
        <f>IF(J3290&lt;&gt;1,"",IF(I3290="SBJ","CB","?"))</f>
        <v> </v>
      </c>
      <c r="I3290" s="26" t="str">
        <f>IF(OR(E3290="",E3290="!!!",F3290="NEW"),"",INDEX(B3289:B$2,-1+SUMPRODUCT(MAX(ROW(E3289:E$2)*(E3290=E3289:E$2)))))</f>
        <v> </v>
      </c>
      <c r="J3290" s="26" t="str">
        <f>IF(OR(E3290="",E3290="!!!",F3290="NEW"),"",COUNTBLANK(OFFSET(A$1,,,SUMPRODUCT(MAX(ROW(E$2:E3290)*(E3290=E$2:E3290)))))-COUNTBLANK(OFFSET(A$1,,,SUMPRODUCT(MAX(ROW(E$1:E3289)*(E2=E$1:E3289))))))</f>
        <v> </v>
      </c>
      <c r="K3290" s="26" t="str">
        <f>IF(OR(E3290="",E3290="!!!",F3290="NEW"),"",INDEX(J$1:J3289,SUMPRODUCT(MAX(ROW(E$1:E3289)*(E3290=E$1:E3289)))))</f>
        <v> </v>
      </c>
      <c r="L3290" s="27"/>
    </row>
    <row r="3291" spans="1:12">
      <c r="A3291" s="20" t="s">
        <v>246</v>
      </c>
      <c r="E3291" s="22">
        <f>IF(D3291="?OLD","!!!","")</f>
        <v/>
      </c>
      <c r="F3291" s="23" t="str">
        <f>IF(OR(E3291="",E3291="!!!"),"",IF(NOT(ISNA(VLOOKUP(E3291,E$1:E3290,1,FALSE()))),"OLD",IF(AND(E3291&lt;&gt;"",E3291&lt;&gt;"!!!"),"NEW","")))</f>
        <v> </v>
      </c>
      <c r="G3291" s="24" t="str">
        <f>IF(OR(E3291="",E3291="!!!"),"",IF(OR(J3291=0,AND(J3291=1,K3291=1),AND(J3291=1,I3291="SBJ"),AND(J3291=1,I3291=0)),"?IN_FOCUS",IF(J3291&lt;=2,"?ACTIVATED",IF(J3291&lt;&gt;"","?FAMILIAR",IF(F3291="NEW",IF(ISNA(VLOOKUP(E3291,#REF!,1,FALSE())),"?TYPE_IDENTIFIABLE","?REFERENTIAL"),"_")))))</f>
        <v> </v>
      </c>
      <c r="H3291" s="25" t="str">
        <f>IF(J3291&lt;&gt;1,"",IF(I3291="SBJ","CB","?"))</f>
        <v> </v>
      </c>
      <c r="I3291" s="26" t="str">
        <f>IF(OR(E3291="",E3291="!!!",F3291="NEW"),"",INDEX(B3290:B$2,-1+SUMPRODUCT(MAX(ROW(E3290:E$2)*(E3291=E3290:E$2)))))</f>
        <v> </v>
      </c>
      <c r="J3291" s="26" t="str">
        <f>IF(OR(E3291="",E3291="!!!",F3291="NEW"),"",COUNTBLANK(OFFSET(A$1,,,SUMPRODUCT(MAX(ROW(E$2:E3291)*(E3291=E$2:E3291)))))-COUNTBLANK(OFFSET(A$1,,,SUMPRODUCT(MAX(ROW(E$1:E3290)*(E2=E$1:E3290))))))</f>
        <v> </v>
      </c>
      <c r="K3291" s="26" t="str">
        <f>IF(OR(E3291="",E3291="!!!",F3291="NEW"),"",INDEX(J$1:J3290,SUMPRODUCT(MAX(ROW(E$1:E3290)*(E3291=E$1:E3290)))))</f>
        <v> </v>
      </c>
      <c r="L3291" s="27"/>
    </row>
    <row r="3292" spans="1:12">
      <c r="A3292" s="20"/>
    </row>
    <row r="3293" spans="1:12">
      <c r="A3293" s="20" t="s">
        <v>1890</v>
      </c>
    </row>
    <row r="3294" spans="1:12">
      <c r="A3294" s="20" t="s">
        <v>969</v>
      </c>
      <c r="B3294" s="21" t="s">
        <v>728</v>
      </c>
      <c r="C3294" s="21" t="s">
        <v>789</v>
      </c>
      <c r="D3294" s="21" t="s">
        <v>730</v>
      </c>
      <c r="E3294" s="22">
        <f>IF(D3294="?OLD","!!!","")</f>
        <v/>
      </c>
      <c r="F3294" s="23" t="str">
        <f>IF(OR(E3294="",E3294="!!!"),"",IF(NOT(ISNA(VLOOKUP(E3294,E$1:E3293,1,FALSE()))),"OLD",IF(AND(E3294&lt;&gt;"",E3294&lt;&gt;"!!!"),"NEW","")))</f>
        <v> </v>
      </c>
      <c r="G3294" s="24" t="str">
        <f>IF(OR(E3294="",E3294="!!!"),"",IF(OR(J3294=0,AND(J3294=1,K3294=1),AND(J3294=1,I3294="SBJ"),AND(J3294=1,I3294=0)),"?IN_FOCUS",IF(J3294&lt;=2,"?ACTIVATED",IF(J3294&lt;&gt;"","?FAMILIAR",IF(F3294="NEW",IF(ISNA(VLOOKUP(E3294,#REF!,1,FALSE())),"?TYPE_IDENTIFIABLE","?REFERENTIAL"),"_")))))</f>
        <v> </v>
      </c>
      <c r="H3294" s="25" t="str">
        <f>IF(J3294&lt;&gt;1,"",IF(I3294="SBJ","CB","?"))</f>
        <v> </v>
      </c>
      <c r="I3294" s="26" t="str">
        <f>IF(OR(E3294="",E3294="!!!",F3294="NEW"),"",INDEX(B3293:B$2,-1+SUMPRODUCT(MAX(ROW(E3293:E$2)*(E3294=E3293:E$2)))))</f>
        <v> </v>
      </c>
      <c r="J3294" s="26" t="str">
        <f>IF(OR(E3294="",E3294="!!!",F3294="NEW"),"",COUNTBLANK(OFFSET(A$1,,,SUMPRODUCT(MAX(ROW(E$2:E3294)*(E3294=E$2:E3294)))))-COUNTBLANK(OFFSET(A$1,,,SUMPRODUCT(MAX(ROW(E$1:E3293)*(E2=E$1:E3293))))))</f>
        <v> </v>
      </c>
      <c r="K3294" s="26" t="str">
        <f>IF(OR(E3294="",E3294="!!!",F3294="NEW"),"",INDEX(J$1:J3293,SUMPRODUCT(MAX(ROW(E$1:E3293)*(E3294=E$1:E3293)))))</f>
        <v> </v>
      </c>
      <c r="L3294" s="27"/>
    </row>
    <row r="3295" spans="1:12">
      <c r="A3295" s="20" t="s">
        <v>881</v>
      </c>
      <c r="E3295" s="22">
        <f>IF(D3295="?OLD","!!!","")</f>
        <v/>
      </c>
      <c r="F3295" s="23" t="str">
        <f>IF(OR(E3295="",E3295="!!!"),"",IF(NOT(ISNA(VLOOKUP(E3295,E$1:E3294,1,FALSE()))),"OLD",IF(AND(E3295&lt;&gt;"",E3295&lt;&gt;"!!!"),"NEW","")))</f>
        <v> </v>
      </c>
      <c r="G3295" s="24" t="str">
        <f>IF(OR(E3295="",E3295="!!!"),"",IF(OR(J3295=0,AND(J3295=1,K3295=1),AND(J3295=1,I3295="SBJ"),AND(J3295=1,I3295=0)),"?IN_FOCUS",IF(J3295&lt;=2,"?ACTIVATED",IF(J3295&lt;&gt;"","?FAMILIAR",IF(F3295="NEW",IF(ISNA(VLOOKUP(E3295,#REF!,1,FALSE())),"?TYPE_IDENTIFIABLE","?REFERENTIAL"),"_")))))</f>
        <v> </v>
      </c>
      <c r="H3295" s="25" t="str">
        <f>IF(J3295&lt;&gt;1,"",IF(I3295="SBJ","CB","?"))</f>
        <v> </v>
      </c>
      <c r="I3295" s="26" t="str">
        <f>IF(OR(E3295="",E3295="!!!",F3295="NEW"),"",INDEX(B3294:B$2,-1+SUMPRODUCT(MAX(ROW(E3294:E$2)*(E3295=E3294:E$2)))))</f>
        <v> </v>
      </c>
      <c r="J3295" s="26" t="str">
        <f>IF(OR(E3295="",E3295="!!!",F3295="NEW"),"",COUNTBLANK(OFFSET(A$1,,,SUMPRODUCT(MAX(ROW(E$2:E3295)*(E3295=E$2:E3295)))))-COUNTBLANK(OFFSET(A$1,,,SUMPRODUCT(MAX(ROW(E$1:E3294)*(E2=E$1:E3294))))))</f>
        <v> </v>
      </c>
      <c r="K3295" s="26" t="str">
        <f>IF(OR(E3295="",E3295="!!!",F3295="NEW"),"",INDEX(J$1:J3294,SUMPRODUCT(MAX(ROW(E$1:E3294)*(E3295=E$1:E3294)))))</f>
        <v> </v>
      </c>
      <c r="L3295" s="27"/>
    </row>
    <row r="3296" spans="1:12">
      <c r="A3296" s="20" t="s">
        <v>859</v>
      </c>
      <c r="B3296" s="21" t="s">
        <v>728</v>
      </c>
      <c r="C3296" s="21" t="s">
        <v>789</v>
      </c>
      <c r="D3296" s="21" t="s">
        <v>730</v>
      </c>
      <c r="E3296" s="22">
        <f>IF(D3296="?OLD","!!!","")</f>
        <v/>
      </c>
      <c r="F3296" s="23" t="str">
        <f>IF(OR(E3296="",E3296="!!!"),"",IF(NOT(ISNA(VLOOKUP(E3296,E$1:E3295,1,FALSE()))),"OLD",IF(AND(E3296&lt;&gt;"",E3296&lt;&gt;"!!!"),"NEW","")))</f>
        <v> </v>
      </c>
      <c r="G3296" s="24" t="str">
        <f>IF(OR(E3296="",E3296="!!!"),"",IF(OR(J3296=0,AND(J3296=1,K3296=1),AND(J3296=1,I3296="SBJ"),AND(J3296=1,I3296=0)),"?IN_FOCUS",IF(J3296&lt;=2,"?ACTIVATED",IF(J3296&lt;&gt;"","?FAMILIAR",IF(F3296="NEW",IF(ISNA(VLOOKUP(E3296,#REF!,1,FALSE())),"?TYPE_IDENTIFIABLE","?REFERENTIAL"),"_")))))</f>
        <v> </v>
      </c>
      <c r="H3296" s="25" t="str">
        <f>IF(J3296&lt;&gt;1,"",IF(I3296="SBJ","CB","?"))</f>
        <v> </v>
      </c>
      <c r="I3296" s="26" t="str">
        <f>IF(OR(E3296="",E3296="!!!",F3296="NEW"),"",INDEX(B3295:B$2,-1+SUMPRODUCT(MAX(ROW(E3295:E$2)*(E3296=E3295:E$2)))))</f>
        <v> </v>
      </c>
      <c r="J3296" s="26" t="str">
        <f>IF(OR(E3296="",E3296="!!!",F3296="NEW"),"",COUNTBLANK(OFFSET(A$1,,,SUMPRODUCT(MAX(ROW(E$2:E3296)*(E3296=E$2:E3296)))))-COUNTBLANK(OFFSET(A$1,,,SUMPRODUCT(MAX(ROW(E$1:E3295)*(E2=E$1:E3295))))))</f>
        <v> </v>
      </c>
      <c r="K3296" s="26" t="str">
        <f>IF(OR(E3296="",E3296="!!!",F3296="NEW"),"",INDEX(J$1:J3295,SUMPRODUCT(MAX(ROW(E$1:E3295)*(E3296=E$1:E3295)))))</f>
        <v> </v>
      </c>
      <c r="L3296" s="27"/>
    </row>
    <row r="3297" spans="1:12">
      <c r="A3297" s="20" t="s">
        <v>1217</v>
      </c>
      <c r="E3297" s="22">
        <f>IF(D3297="?OLD","!!!","")</f>
        <v/>
      </c>
      <c r="F3297" s="23" t="str">
        <f>IF(OR(E3297="",E3297="!!!"),"",IF(NOT(ISNA(VLOOKUP(E3297,E$1:E3296,1,FALSE()))),"OLD",IF(AND(E3297&lt;&gt;"",E3297&lt;&gt;"!!!"),"NEW","")))</f>
        <v> </v>
      </c>
      <c r="G3297" s="24" t="str">
        <f>IF(OR(E3297="",E3297="!!!"),"",IF(OR(J3297=0,AND(J3297=1,K3297=1),AND(J3297=1,I3297="SBJ"),AND(J3297=1,I3297=0)),"?IN_FOCUS",IF(J3297&lt;=2,"?ACTIVATED",IF(J3297&lt;&gt;"","?FAMILIAR",IF(F3297="NEW",IF(ISNA(VLOOKUP(E3297,#REF!,1,FALSE())),"?TYPE_IDENTIFIABLE","?REFERENTIAL"),"_")))))</f>
        <v> </v>
      </c>
      <c r="H3297" s="25" t="str">
        <f>IF(J3297&lt;&gt;1,"",IF(I3297="SBJ","CB","?"))</f>
        <v> </v>
      </c>
      <c r="I3297" s="26" t="str">
        <f>IF(OR(E3297="",E3297="!!!",F3297="NEW"),"",INDEX(B3296:B$2,-1+SUMPRODUCT(MAX(ROW(E3296:E$2)*(E3297=E3296:E$2)))))</f>
        <v> </v>
      </c>
      <c r="J3297" s="26" t="str">
        <f>IF(OR(E3297="",E3297="!!!",F3297="NEW"),"",COUNTBLANK(OFFSET(A$1,,,SUMPRODUCT(MAX(ROW(E$2:E3297)*(E3297=E$2:E3297)))))-COUNTBLANK(OFFSET(A$1,,,SUMPRODUCT(MAX(ROW(E$1:E3296)*(E2=E$1:E3296))))))</f>
        <v> </v>
      </c>
      <c r="K3297" s="26" t="str">
        <f>IF(OR(E3297="",E3297="!!!",F3297="NEW"),"",INDEX(J$1:J3296,SUMPRODUCT(MAX(ROW(E$1:E3296)*(E3297=E$1:E3296)))))</f>
        <v> </v>
      </c>
      <c r="L3297" s="27"/>
    </row>
    <row r="3298" spans="1:12">
      <c r="A3298" s="20" t="s">
        <v>1145</v>
      </c>
      <c r="E3298" s="22">
        <f>IF(D3298="?OLD","!!!","")</f>
        <v/>
      </c>
      <c r="F3298" s="23" t="str">
        <f>IF(OR(E3298="",E3298="!!!"),"",IF(NOT(ISNA(VLOOKUP(E3298,E$1:E3297,1,FALSE()))),"OLD",IF(AND(E3298&lt;&gt;"",E3298&lt;&gt;"!!!"),"NEW","")))</f>
        <v> </v>
      </c>
      <c r="G3298" s="24" t="str">
        <f>IF(OR(E3298="",E3298="!!!"),"",IF(OR(J3298=0,AND(J3298=1,K3298=1),AND(J3298=1,I3298="SBJ"),AND(J3298=1,I3298=0)),"?IN_FOCUS",IF(J3298&lt;=2,"?ACTIVATED",IF(J3298&lt;&gt;"","?FAMILIAR",IF(F3298="NEW",IF(ISNA(VLOOKUP(E3298,#REF!,1,FALSE())),"?TYPE_IDENTIFIABLE","?REFERENTIAL"),"_")))))</f>
        <v> </v>
      </c>
      <c r="H3298" s="25" t="str">
        <f>IF(J3298&lt;&gt;1,"",IF(I3298="SBJ","CB","?"))</f>
        <v> </v>
      </c>
      <c r="I3298" s="26" t="str">
        <f>IF(OR(E3298="",E3298="!!!",F3298="NEW"),"",INDEX(B3297:B$2,-1+SUMPRODUCT(MAX(ROW(E3297:E$2)*(E3298=E3297:E$2)))))</f>
        <v> </v>
      </c>
      <c r="J3298" s="26" t="str">
        <f>IF(OR(E3298="",E3298="!!!",F3298="NEW"),"",COUNTBLANK(OFFSET(A$1,,,SUMPRODUCT(MAX(ROW(E$2:E3298)*(E3298=E$2:E3298)))))-COUNTBLANK(OFFSET(A$1,,,SUMPRODUCT(MAX(ROW(E$1:E3297)*(E2=E$1:E3297))))))</f>
        <v> </v>
      </c>
      <c r="K3298" s="26" t="str">
        <f>IF(OR(E3298="",E3298="!!!",F3298="NEW"),"",INDEX(J$1:J3297,SUMPRODUCT(MAX(ROW(E$1:E3297)*(E3298=E$1:E3297)))))</f>
        <v> </v>
      </c>
      <c r="L3298" s="27"/>
    </row>
    <row r="3299" spans="1:12">
      <c r="A3299" s="20" t="s">
        <v>943</v>
      </c>
      <c r="B3299" s="21" t="s">
        <v>739</v>
      </c>
      <c r="C3299" s="21" t="s">
        <v>756</v>
      </c>
      <c r="E3299" s="22">
        <f>IF(D3299="?OLD","!!!","")</f>
        <v/>
      </c>
      <c r="F3299" s="23" t="str">
        <f>IF(OR(E3299="",E3299="!!!"),"",IF(NOT(ISNA(VLOOKUP(E3299,E$1:E3298,1,FALSE()))),"OLD",IF(AND(E3299&lt;&gt;"",E3299&lt;&gt;"!!!"),"NEW","")))</f>
        <v> </v>
      </c>
      <c r="G3299" s="24" t="str">
        <f>IF(OR(E3299="",E3299="!!!"),"",IF(OR(J3299=0,AND(J3299=1,K3299=1),AND(J3299=1,I3299="SBJ"),AND(J3299=1,I3299=0)),"?IN_FOCUS",IF(J3299&lt;=2,"?ACTIVATED",IF(J3299&lt;&gt;"","?FAMILIAR",IF(F3299="NEW",IF(ISNA(VLOOKUP(E3299,#REF!,1,FALSE())),"?TYPE_IDENTIFIABLE","?REFERENTIAL"),"_")))))</f>
        <v> </v>
      </c>
      <c r="H3299" s="25" t="str">
        <f>IF(J3299&lt;&gt;1,"",IF(I3299="SBJ","CB","?"))</f>
        <v> </v>
      </c>
      <c r="I3299" s="26" t="str">
        <f>IF(OR(E3299="",E3299="!!!",F3299="NEW"),"",INDEX(B3298:B$2,-1+SUMPRODUCT(MAX(ROW(E3298:E$2)*(E3299=E3298:E$2)))))</f>
        <v> </v>
      </c>
      <c r="J3299" s="26" t="str">
        <f>IF(OR(E3299="",E3299="!!!",F3299="NEW"),"",COUNTBLANK(OFFSET(A$1,,,SUMPRODUCT(MAX(ROW(E$2:E3299)*(E3299=E$2:E3299)))))-COUNTBLANK(OFFSET(A$1,,,SUMPRODUCT(MAX(ROW(E$1:E3298)*(E2=E$1:E3298))))))</f>
        <v> </v>
      </c>
      <c r="K3299" s="26" t="str">
        <f>IF(OR(E3299="",E3299="!!!",F3299="NEW"),"",INDEX(J$1:J3298,SUMPRODUCT(MAX(ROW(E$1:E3298)*(E3299=E$1:E3298)))))</f>
        <v> </v>
      </c>
      <c r="L3299" s="27"/>
    </row>
    <row r="3300" spans="1:12">
      <c r="A3300" s="20" t="s">
        <v>751</v>
      </c>
      <c r="B3300" s="21" t="s">
        <v>736</v>
      </c>
      <c r="C3300" s="21" t="s">
        <v>801</v>
      </c>
      <c r="D3300" s="21" t="s">
        <v>730</v>
      </c>
      <c r="E3300" s="22">
        <f>IF(D3300="?OLD","!!!","")</f>
        <v/>
      </c>
      <c r="F3300" s="23" t="str">
        <f>IF(OR(E3300="",E3300="!!!"),"",IF(NOT(ISNA(VLOOKUP(E3300,E$1:E3299,1,FALSE()))),"OLD",IF(AND(E3300&lt;&gt;"",E3300&lt;&gt;"!!!"),"NEW","")))</f>
        <v> </v>
      </c>
      <c r="G3300" s="24" t="str">
        <f>IF(OR(E3300="",E3300="!!!"),"",IF(OR(J3300=0,AND(J3300=1,K3300=1),AND(J3300=1,I3300="SBJ"),AND(J3300=1,I3300=0)),"?IN_FOCUS",IF(J3300&lt;=2,"?ACTIVATED",IF(J3300&lt;&gt;"","?FAMILIAR",IF(F3300="NEW",IF(ISNA(VLOOKUP(E3300,#REF!,1,FALSE())),"?TYPE_IDENTIFIABLE","?REFERENTIAL"),"_")))))</f>
        <v> </v>
      </c>
      <c r="H3300" s="25" t="str">
        <f>IF(J3300&lt;&gt;1,"",IF(I3300="SBJ","CB","?"))</f>
        <v> </v>
      </c>
      <c r="I3300" s="26" t="str">
        <f>IF(OR(E3300="",E3300="!!!",F3300="NEW"),"",INDEX(B3299:B$2,-1+SUMPRODUCT(MAX(ROW(E3299:E$2)*(E3300=E3299:E$2)))))</f>
        <v> </v>
      </c>
      <c r="J3300" s="26" t="str">
        <f>IF(OR(E3300="",E3300="!!!",F3300="NEW"),"",COUNTBLANK(OFFSET(A$1,,,SUMPRODUCT(MAX(ROW(E$2:E3300)*(E3300=E$2:E3300)))))-COUNTBLANK(OFFSET(A$1,,,SUMPRODUCT(MAX(ROW(E$1:E3299)*(E2=E$1:E3299))))))</f>
        <v> </v>
      </c>
      <c r="K3300" s="26" t="str">
        <f>IF(OR(E3300="",E3300="!!!",F3300="NEW"),"",INDEX(J$1:J3299,SUMPRODUCT(MAX(ROW(E$1:E3299)*(E3300=E$1:E3299)))))</f>
        <v> </v>
      </c>
      <c r="L3300" s="27"/>
    </row>
    <row r="3301" spans="1:12">
      <c r="A3301" s="20" t="s">
        <v>533</v>
      </c>
      <c r="E3301" s="22">
        <f>IF(D3301="?OLD","!!!","")</f>
        <v/>
      </c>
      <c r="F3301" s="23" t="str">
        <f>IF(OR(E3301="",E3301="!!!"),"",IF(NOT(ISNA(VLOOKUP(E3301,E$1:E3300,1,FALSE()))),"OLD",IF(AND(E3301&lt;&gt;"",E3301&lt;&gt;"!!!"),"NEW","")))</f>
        <v> </v>
      </c>
      <c r="G3301" s="24" t="str">
        <f>IF(OR(E3301="",E3301="!!!"),"",IF(OR(J3301=0,AND(J3301=1,K3301=1),AND(J3301=1,I3301="SBJ"),AND(J3301=1,I3301=0)),"?IN_FOCUS",IF(J3301&lt;=2,"?ACTIVATED",IF(J3301&lt;&gt;"","?FAMILIAR",IF(F3301="NEW",IF(ISNA(VLOOKUP(E3301,#REF!,1,FALSE())),"?TYPE_IDENTIFIABLE","?REFERENTIAL"),"_")))))</f>
        <v> </v>
      </c>
      <c r="H3301" s="25" t="str">
        <f>IF(J3301&lt;&gt;1,"",IF(I3301="SBJ","CB","?"))</f>
        <v> </v>
      </c>
      <c r="I3301" s="26" t="str">
        <f>IF(OR(E3301="",E3301="!!!",F3301="NEW"),"",INDEX(B3300:B$2,-1+SUMPRODUCT(MAX(ROW(E3300:E$2)*(E3301=E3300:E$2)))))</f>
        <v> </v>
      </c>
      <c r="J3301" s="26" t="str">
        <f>IF(OR(E3301="",E3301="!!!",F3301="NEW"),"",COUNTBLANK(OFFSET(A$1,,,SUMPRODUCT(MAX(ROW(E$2:E3301)*(E3301=E$2:E3301)))))-COUNTBLANK(OFFSET(A$1,,,SUMPRODUCT(MAX(ROW(E$1:E3300)*(E2=E$1:E3300))))))</f>
        <v> </v>
      </c>
      <c r="K3301" s="26" t="str">
        <f>IF(OR(E3301="",E3301="!!!",F3301="NEW"),"",INDEX(J$1:J3300,SUMPRODUCT(MAX(ROW(E$1:E3300)*(E3301=E$1:E3300)))))</f>
        <v> </v>
      </c>
      <c r="L3301" s="27"/>
    </row>
    <row r="3302" spans="1:12">
      <c r="A3302" s="20" t="s">
        <v>1755</v>
      </c>
      <c r="E3302" s="22">
        <f>IF(D3302="?OLD","!!!","")</f>
        <v/>
      </c>
      <c r="F3302" s="23" t="str">
        <f>IF(OR(E3302="",E3302="!!!"),"",IF(NOT(ISNA(VLOOKUP(E3302,E$1:E3301,1,FALSE()))),"OLD",IF(AND(E3302&lt;&gt;"",E3302&lt;&gt;"!!!"),"NEW","")))</f>
        <v> </v>
      </c>
      <c r="G3302" s="24" t="str">
        <f>IF(OR(E3302="",E3302="!!!"),"",IF(OR(J3302=0,AND(J3302=1,K3302=1),AND(J3302=1,I3302="SBJ"),AND(J3302=1,I3302=0)),"?IN_FOCUS",IF(J3302&lt;=2,"?ACTIVATED",IF(J3302&lt;&gt;"","?FAMILIAR",IF(F3302="NEW",IF(ISNA(VLOOKUP(E3302,#REF!,1,FALSE())),"?TYPE_IDENTIFIABLE","?REFERENTIAL"),"_")))))</f>
        <v> </v>
      </c>
      <c r="H3302" s="25" t="str">
        <f>IF(J3302&lt;&gt;1,"",IF(I3302="SBJ","CB","?"))</f>
        <v> </v>
      </c>
      <c r="I3302" s="26" t="str">
        <f>IF(OR(E3302="",E3302="!!!",F3302="NEW"),"",INDEX(B3301:B$2,-1+SUMPRODUCT(MAX(ROW(E3301:E$2)*(E3302=E3301:E$2)))))</f>
        <v> </v>
      </c>
      <c r="J3302" s="26" t="str">
        <f>IF(OR(E3302="",E3302="!!!",F3302="NEW"),"",COUNTBLANK(OFFSET(A$1,,,SUMPRODUCT(MAX(ROW(E$2:E3302)*(E3302=E$2:E3302)))))-COUNTBLANK(OFFSET(A$1,,,SUMPRODUCT(MAX(ROW(E$1:E3301)*(E2=E$1:E3301))))))</f>
        <v> </v>
      </c>
      <c r="K3302" s="26" t="str">
        <f>IF(OR(E3302="",E3302="!!!",F3302="NEW"),"",INDEX(J$1:J3301,SUMPRODUCT(MAX(ROW(E$1:E3301)*(E3302=E$1:E3301)))))</f>
        <v> </v>
      </c>
      <c r="L3302" s="27"/>
    </row>
    <row r="3303" spans="1:12">
      <c r="A3303" s="20"/>
    </row>
    <row r="3304" spans="1:12">
      <c r="A3304" s="20" t="s">
        <v>1891</v>
      </c>
    </row>
    <row r="3305" spans="1:12">
      <c r="A3305" s="20" t="s">
        <v>1892</v>
      </c>
      <c r="B3305" s="21" t="s">
        <v>739</v>
      </c>
      <c r="C3305" s="21" t="s">
        <v>756</v>
      </c>
      <c r="E3305" s="22">
        <f>IF(D3305="?OLD","!!!","")</f>
        <v/>
      </c>
      <c r="F3305" s="23" t="str">
        <f>IF(OR(E3305="",E3305="!!!"),"",IF(NOT(ISNA(VLOOKUP(E3305,E$1:E3304,1,FALSE()))),"OLD",IF(AND(E3305&lt;&gt;"",E3305&lt;&gt;"!!!"),"NEW","")))</f>
        <v> </v>
      </c>
      <c r="G3305" s="24" t="str">
        <f>IF(OR(E3305="",E3305="!!!"),"",IF(OR(J3305=0,AND(J3305=1,K3305=1),AND(J3305=1,I3305="SBJ"),AND(J3305=1,I3305=0)),"?IN_FOCUS",IF(J3305&lt;=2,"?ACTIVATED",IF(J3305&lt;&gt;"","?FAMILIAR",IF(F3305="NEW",IF(ISNA(VLOOKUP(E3305,#REF!,1,FALSE())),"?TYPE_IDENTIFIABLE","?REFERENTIAL"),"_")))))</f>
        <v> </v>
      </c>
      <c r="H3305" s="25" t="str">
        <f>IF(J3305&lt;&gt;1,"",IF(I3305="SBJ","CB","?"))</f>
        <v> </v>
      </c>
      <c r="I3305" s="26" t="str">
        <f>IF(OR(E3305="",E3305="!!!",F3305="NEW"),"",INDEX(B3304:B$2,-1+SUMPRODUCT(MAX(ROW(E3304:E$2)*(E3305=E3304:E$2)))))</f>
        <v> </v>
      </c>
      <c r="J3305" s="26" t="str">
        <f>IF(OR(E3305="",E3305="!!!",F3305="NEW"),"",COUNTBLANK(OFFSET(A$1,,,SUMPRODUCT(MAX(ROW(E$2:E3305)*(E3305=E$2:E3305)))))-COUNTBLANK(OFFSET(A$1,,,SUMPRODUCT(MAX(ROW(E$1:E3304)*(E2=E$1:E3304))))))</f>
        <v> </v>
      </c>
      <c r="K3305" s="26" t="str">
        <f>IF(OR(E3305="",E3305="!!!",F3305="NEW"),"",INDEX(J$1:J3304,SUMPRODUCT(MAX(ROW(E$1:E3304)*(E3305=E$1:E3304)))))</f>
        <v> </v>
      </c>
      <c r="L3305" s="27"/>
    </row>
    <row r="3306" spans="1:12">
      <c r="A3306" s="20" t="s">
        <v>1893</v>
      </c>
      <c r="B3306" s="21" t="s">
        <v>728</v>
      </c>
      <c r="C3306" s="21" t="s">
        <v>748</v>
      </c>
      <c r="E3306" s="22">
        <f>IF(D3306="?OLD","!!!","")</f>
        <v/>
      </c>
      <c r="F3306" s="23" t="str">
        <f>IF(OR(E3306="",E3306="!!!"),"",IF(NOT(ISNA(VLOOKUP(E3306,E$1:E3305,1,FALSE()))),"OLD",IF(AND(E3306&lt;&gt;"",E3306&lt;&gt;"!!!"),"NEW","")))</f>
        <v> </v>
      </c>
      <c r="G3306" s="24" t="str">
        <f>IF(OR(E3306="",E3306="!!!"),"",IF(OR(J3306=0,AND(J3306=1,K3306=1),AND(J3306=1,I3306="SBJ"),AND(J3306=1,I3306=0)),"?IN_FOCUS",IF(J3306&lt;=2,"?ACTIVATED",IF(J3306&lt;&gt;"","?FAMILIAR",IF(F3306="NEW",IF(ISNA(VLOOKUP(E3306,#REF!,1,FALSE())),"?TYPE_IDENTIFIABLE","?REFERENTIAL"),"_")))))</f>
        <v> </v>
      </c>
      <c r="H3306" s="25" t="str">
        <f>IF(J3306&lt;&gt;1,"",IF(I3306="SBJ","CB","?"))</f>
        <v> </v>
      </c>
      <c r="I3306" s="26" t="str">
        <f>IF(OR(E3306="",E3306="!!!",F3306="NEW"),"",INDEX(B3305:B$2,-1+SUMPRODUCT(MAX(ROW(E3305:E$2)*(E3306=E3305:E$2)))))</f>
        <v> </v>
      </c>
      <c r="J3306" s="26" t="str">
        <f>IF(OR(E3306="",E3306="!!!",F3306="NEW"),"",COUNTBLANK(OFFSET(A$1,,,SUMPRODUCT(MAX(ROW(E$2:E3306)*(E3306=E$2:E3306)))))-COUNTBLANK(OFFSET(A$1,,,SUMPRODUCT(MAX(ROW(E$1:E3305)*(E2=E$1:E3305))))))</f>
        <v> </v>
      </c>
      <c r="K3306" s="26" t="str">
        <f>IF(OR(E3306="",E3306="!!!",F3306="NEW"),"",INDEX(J$1:J3305,SUMPRODUCT(MAX(ROW(E$1:E3305)*(E3306=E$1:E3305)))))</f>
        <v> </v>
      </c>
      <c r="L3306" s="27"/>
    </row>
    <row r="3307" spans="1:12">
      <c r="A3307" s="20" t="s">
        <v>440</v>
      </c>
      <c r="E3307" s="22">
        <f>IF(D3307="?OLD","!!!","")</f>
        <v/>
      </c>
      <c r="F3307" s="23" t="str">
        <f>IF(OR(E3307="",E3307="!!!"),"",IF(NOT(ISNA(VLOOKUP(E3307,E$1:E3306,1,FALSE()))),"OLD",IF(AND(E3307&lt;&gt;"",E3307&lt;&gt;"!!!"),"NEW","")))</f>
        <v> </v>
      </c>
      <c r="G3307" s="24" t="str">
        <f>IF(OR(E3307="",E3307="!!!"),"",IF(OR(J3307=0,AND(J3307=1,K3307=1),AND(J3307=1,I3307="SBJ"),AND(J3307=1,I3307=0)),"?IN_FOCUS",IF(J3307&lt;=2,"?ACTIVATED",IF(J3307&lt;&gt;"","?FAMILIAR",IF(F3307="NEW",IF(ISNA(VLOOKUP(E3307,#REF!,1,FALSE())),"?TYPE_IDENTIFIABLE","?REFERENTIAL"),"_")))))</f>
        <v> </v>
      </c>
      <c r="H3307" s="25" t="str">
        <f>IF(J3307&lt;&gt;1,"",IF(I3307="SBJ","CB","?"))</f>
        <v> </v>
      </c>
      <c r="I3307" s="26" t="str">
        <f>IF(OR(E3307="",E3307="!!!",F3307="NEW"),"",INDEX(B3306:B$2,-1+SUMPRODUCT(MAX(ROW(E3306:E$2)*(E3307=E3306:E$2)))))</f>
        <v> </v>
      </c>
      <c r="J3307" s="26" t="str">
        <f>IF(OR(E3307="",E3307="!!!",F3307="NEW"),"",COUNTBLANK(OFFSET(A$1,,,SUMPRODUCT(MAX(ROW(E$2:E3307)*(E3307=E$2:E3307)))))-COUNTBLANK(OFFSET(A$1,,,SUMPRODUCT(MAX(ROW(E$1:E3306)*(E2=E$1:E3306))))))</f>
        <v> </v>
      </c>
      <c r="K3307" s="26" t="str">
        <f>IF(OR(E3307="",E3307="!!!",F3307="NEW"),"",INDEX(J$1:J3306,SUMPRODUCT(MAX(ROW(E$1:E3306)*(E3307=E$1:E3306)))))</f>
        <v> </v>
      </c>
      <c r="L3307" s="27"/>
    </row>
    <row r="3308" spans="1:12">
      <c r="A3308" s="20" t="s">
        <v>859</v>
      </c>
      <c r="B3308" s="21" t="s">
        <v>728</v>
      </c>
      <c r="C3308" s="21" t="s">
        <v>789</v>
      </c>
      <c r="D3308" s="21" t="s">
        <v>730</v>
      </c>
      <c r="E3308" s="22">
        <f>IF(D3308="?OLD","!!!","")</f>
        <v/>
      </c>
      <c r="F3308" s="23" t="str">
        <f>IF(OR(E3308="",E3308="!!!"),"",IF(NOT(ISNA(VLOOKUP(E3308,E$1:E3307,1,FALSE()))),"OLD",IF(AND(E3308&lt;&gt;"",E3308&lt;&gt;"!!!"),"NEW","")))</f>
        <v> </v>
      </c>
      <c r="G3308" s="24" t="str">
        <f>IF(OR(E3308="",E3308="!!!"),"",IF(OR(J3308=0,AND(J3308=1,K3308=1),AND(J3308=1,I3308="SBJ"),AND(J3308=1,I3308=0)),"?IN_FOCUS",IF(J3308&lt;=2,"?ACTIVATED",IF(J3308&lt;&gt;"","?FAMILIAR",IF(F3308="NEW",IF(ISNA(VLOOKUP(E3308,#REF!,1,FALSE())),"?TYPE_IDENTIFIABLE","?REFERENTIAL"),"_")))))</f>
        <v> </v>
      </c>
      <c r="H3308" s="25" t="str">
        <f>IF(J3308&lt;&gt;1,"",IF(I3308="SBJ","CB","?"))</f>
        <v> </v>
      </c>
      <c r="I3308" s="26" t="str">
        <f>IF(OR(E3308="",E3308="!!!",F3308="NEW"),"",INDEX(B3307:B$2,-1+SUMPRODUCT(MAX(ROW(E3307:E$2)*(E3308=E3307:E$2)))))</f>
        <v> </v>
      </c>
      <c r="J3308" s="26" t="str">
        <f>IF(OR(E3308="",E3308="!!!",F3308="NEW"),"",COUNTBLANK(OFFSET(A$1,,,SUMPRODUCT(MAX(ROW(E$2:E3308)*(E3308=E$2:E3308)))))-COUNTBLANK(OFFSET(A$1,,,SUMPRODUCT(MAX(ROW(E$1:E3307)*(E2=E$1:E3307))))))</f>
        <v> </v>
      </c>
      <c r="K3308" s="26" t="str">
        <f>IF(OR(E3308="",E3308="!!!",F3308="NEW"),"",INDEX(J$1:J3307,SUMPRODUCT(MAX(ROW(E$1:E3307)*(E3308=E$1:E3307)))))</f>
        <v> </v>
      </c>
      <c r="L3308" s="27"/>
    </row>
    <row r="3309" spans="1:12">
      <c r="A3309" s="20" t="s">
        <v>1081</v>
      </c>
      <c r="E3309" s="22">
        <f>IF(D3309="?OLD","!!!","")</f>
        <v/>
      </c>
      <c r="F3309" s="23" t="str">
        <f>IF(OR(E3309="",E3309="!!!"),"",IF(NOT(ISNA(VLOOKUP(E3309,E$1:E3308,1,FALSE()))),"OLD",IF(AND(E3309&lt;&gt;"",E3309&lt;&gt;"!!!"),"NEW","")))</f>
        <v> </v>
      </c>
      <c r="G3309" s="24" t="str">
        <f>IF(OR(E3309="",E3309="!!!"),"",IF(OR(J3309=0,AND(J3309=1,K3309=1),AND(J3309=1,I3309="SBJ"),AND(J3309=1,I3309=0)),"?IN_FOCUS",IF(J3309&lt;=2,"?ACTIVATED",IF(J3309&lt;&gt;"","?FAMILIAR",IF(F3309="NEW",IF(ISNA(VLOOKUP(E3309,#REF!,1,FALSE())),"?TYPE_IDENTIFIABLE","?REFERENTIAL"),"_")))))</f>
        <v> </v>
      </c>
      <c r="H3309" s="25" t="str">
        <f>IF(J3309&lt;&gt;1,"",IF(I3309="SBJ","CB","?"))</f>
        <v> </v>
      </c>
      <c r="I3309" s="26" t="str">
        <f>IF(OR(E3309="",E3309="!!!",F3309="NEW"),"",INDEX(B3308:B$2,-1+SUMPRODUCT(MAX(ROW(E3308:E$2)*(E3309=E3308:E$2)))))</f>
        <v> </v>
      </c>
      <c r="J3309" s="26" t="str">
        <f>IF(OR(E3309="",E3309="!!!",F3309="NEW"),"",COUNTBLANK(OFFSET(A$1,,,SUMPRODUCT(MAX(ROW(E$2:E3309)*(E3309=E$2:E3309)))))-COUNTBLANK(OFFSET(A$1,,,SUMPRODUCT(MAX(ROW(E$1:E3308)*(E2=E$1:E3308))))))</f>
        <v> </v>
      </c>
      <c r="K3309" s="26" t="str">
        <f>IF(OR(E3309="",E3309="!!!",F3309="NEW"),"",INDEX(J$1:J3308,SUMPRODUCT(MAX(ROW(E$1:E3308)*(E3309=E$1:E3308)))))</f>
        <v> </v>
      </c>
      <c r="L3309" s="27"/>
    </row>
    <row r="3310" spans="1:12">
      <c r="A3310" s="20" t="s">
        <v>1755</v>
      </c>
      <c r="E3310" s="22">
        <f>IF(D3310="?OLD","!!!","")</f>
        <v/>
      </c>
      <c r="F3310" s="23" t="str">
        <f>IF(OR(E3310="",E3310="!!!"),"",IF(NOT(ISNA(VLOOKUP(E3310,E$1:E3309,1,FALSE()))),"OLD",IF(AND(E3310&lt;&gt;"",E3310&lt;&gt;"!!!"),"NEW","")))</f>
        <v> </v>
      </c>
      <c r="G3310" s="24" t="str">
        <f>IF(OR(E3310="",E3310="!!!"),"",IF(OR(J3310=0,AND(J3310=1,K3310=1),AND(J3310=1,I3310="SBJ"),AND(J3310=1,I3310=0)),"?IN_FOCUS",IF(J3310&lt;=2,"?ACTIVATED",IF(J3310&lt;&gt;"","?FAMILIAR",IF(F3310="NEW",IF(ISNA(VLOOKUP(E3310,#REF!,1,FALSE())),"?TYPE_IDENTIFIABLE","?REFERENTIAL"),"_")))))</f>
        <v> </v>
      </c>
      <c r="H3310" s="25" t="str">
        <f>IF(J3310&lt;&gt;1,"",IF(I3310="SBJ","CB","?"))</f>
        <v> </v>
      </c>
      <c r="I3310" s="26" t="str">
        <f>IF(OR(E3310="",E3310="!!!",F3310="NEW"),"",INDEX(B3309:B$2,-1+SUMPRODUCT(MAX(ROW(E3309:E$2)*(E3310=E3309:E$2)))))</f>
        <v> </v>
      </c>
      <c r="J3310" s="26" t="str">
        <f>IF(OR(E3310="",E3310="!!!",F3310="NEW"),"",COUNTBLANK(OFFSET(A$1,,,SUMPRODUCT(MAX(ROW(E$2:E3310)*(E3310=E$2:E3310)))))-COUNTBLANK(OFFSET(A$1,,,SUMPRODUCT(MAX(ROW(E$1:E3309)*(E2=E$1:E3309))))))</f>
        <v> </v>
      </c>
      <c r="K3310" s="26" t="str">
        <f>IF(OR(E3310="",E3310="!!!",F3310="NEW"),"",INDEX(J$1:J3309,SUMPRODUCT(MAX(ROW(E$1:E3309)*(E3310=E$1:E3309)))))</f>
        <v> </v>
      </c>
      <c r="L3310" s="27"/>
    </row>
    <row r="3311" spans="1:12">
      <c r="A3311" s="20"/>
    </row>
    <row r="3312" spans="1:12">
      <c r="A3312" s="20" t="s">
        <v>1894</v>
      </c>
    </row>
    <row r="3313" spans="1:12">
      <c r="A3313" s="20" t="s">
        <v>727</v>
      </c>
      <c r="B3313" s="21" t="s">
        <v>728</v>
      </c>
      <c r="C3313" s="21" t="s">
        <v>729</v>
      </c>
      <c r="D3313" s="21" t="s">
        <v>730</v>
      </c>
      <c r="E3313" s="22">
        <f>IF(D3313="?OLD","!!!","")</f>
        <v/>
      </c>
      <c r="F3313" s="23" t="str">
        <f>IF(OR(E3313="",E3313="!!!"),"",IF(NOT(ISNA(VLOOKUP(E3313,E$1:E3312,1,FALSE()))),"OLD",IF(AND(E3313&lt;&gt;"",E3313&lt;&gt;"!!!"),"NEW","")))</f>
        <v> </v>
      </c>
      <c r="G3313" s="24" t="str">
        <f>IF(OR(E3313="",E3313="!!!"),"",IF(OR(J3313=0,AND(J3313=1,K3313=1),AND(J3313=1,I3313="SBJ"),AND(J3313=1,I3313=0)),"?IN_FOCUS",IF(J3313&lt;=2,"?ACTIVATED",IF(J3313&lt;&gt;"","?FAMILIAR",IF(F3313="NEW",IF(ISNA(VLOOKUP(E3313,#REF!,1,FALSE())),"?TYPE_IDENTIFIABLE","?REFERENTIAL"),"_")))))</f>
        <v> </v>
      </c>
      <c r="H3313" s="25" t="str">
        <f>IF(J3313&lt;&gt;1,"",IF(I3313="SBJ","CB","?"))</f>
        <v> </v>
      </c>
      <c r="I3313" s="26" t="str">
        <f>IF(OR(E3313="",E3313="!!!",F3313="NEW"),"",INDEX(B3312:B$2,-1+SUMPRODUCT(MAX(ROW(E3312:E$2)*(E3313=E3312:E$2)))))</f>
        <v> </v>
      </c>
      <c r="J3313" s="26" t="str">
        <f>IF(OR(E3313="",E3313="!!!",F3313="NEW"),"",COUNTBLANK(OFFSET(A$1,,,SUMPRODUCT(MAX(ROW(E$2:E3313)*(E3313=E$2:E3313)))))-COUNTBLANK(OFFSET(A$1,,,SUMPRODUCT(MAX(ROW(E$1:E3312)*(E2=E$1:E3312))))))</f>
        <v> </v>
      </c>
      <c r="K3313" s="26" t="str">
        <f>IF(OR(E3313="",E3313="!!!",F3313="NEW"),"",INDEX(J$1:J3312,SUMPRODUCT(MAX(ROW(E$1:E3312)*(E3313=E$1:E3312)))))</f>
        <v> </v>
      </c>
      <c r="L3313" s="27"/>
    </row>
    <row r="3314" spans="1:12">
      <c r="A3314" s="20" t="s">
        <v>1895</v>
      </c>
      <c r="E3314" s="22">
        <f>IF(D3314="?OLD","!!!","")</f>
        <v/>
      </c>
      <c r="F3314" s="23" t="str">
        <f>IF(OR(E3314="",E3314="!!!"),"",IF(NOT(ISNA(VLOOKUP(E3314,E$1:E3313,1,FALSE()))),"OLD",IF(AND(E3314&lt;&gt;"",E3314&lt;&gt;"!!!"),"NEW","")))</f>
        <v> </v>
      </c>
      <c r="G3314" s="24" t="str">
        <f>IF(OR(E3314="",E3314="!!!"),"",IF(OR(J3314=0,AND(J3314=1,K3314=1),AND(J3314=1,I3314="SBJ"),AND(J3314=1,I3314=0)),"?IN_FOCUS",IF(J3314&lt;=2,"?ACTIVATED",IF(J3314&lt;&gt;"","?FAMILIAR",IF(F3314="NEW",IF(ISNA(VLOOKUP(E3314,#REF!,1,FALSE())),"?TYPE_IDENTIFIABLE","?REFERENTIAL"),"_")))))</f>
        <v> </v>
      </c>
      <c r="H3314" s="25" t="str">
        <f>IF(J3314&lt;&gt;1,"",IF(I3314="SBJ","CB","?"))</f>
        <v> </v>
      </c>
      <c r="I3314" s="26" t="str">
        <f>IF(OR(E3314="",E3314="!!!",F3314="NEW"),"",INDEX(B3313:B$2,-1+SUMPRODUCT(MAX(ROW(E3313:E$2)*(E3314=E3313:E$2)))))</f>
        <v> </v>
      </c>
      <c r="J3314" s="26" t="str">
        <f>IF(OR(E3314="",E3314="!!!",F3314="NEW"),"",COUNTBLANK(OFFSET(A$1,,,SUMPRODUCT(MAX(ROW(E$2:E3314)*(E3314=E$2:E3314)))))-COUNTBLANK(OFFSET(A$1,,,SUMPRODUCT(MAX(ROW(E$1:E3313)*(E2=E$1:E3313))))))</f>
        <v> </v>
      </c>
      <c r="K3314" s="26" t="str">
        <f>IF(OR(E3314="",E3314="!!!",F3314="NEW"),"",INDEX(J$1:J3313,SUMPRODUCT(MAX(ROW(E$1:E3313)*(E3314=E$1:E3313)))))</f>
        <v> </v>
      </c>
      <c r="L3314" s="27"/>
    </row>
    <row r="3315" spans="1:12">
      <c r="A3315" s="20" t="s">
        <v>759</v>
      </c>
      <c r="E3315" s="22">
        <f>IF(D3315="?OLD","!!!","")</f>
        <v/>
      </c>
      <c r="F3315" s="23" t="str">
        <f>IF(OR(E3315="",E3315="!!!"),"",IF(NOT(ISNA(VLOOKUP(E3315,E$1:E3314,1,FALSE()))),"OLD",IF(AND(E3315&lt;&gt;"",E3315&lt;&gt;"!!!"),"NEW","")))</f>
        <v> </v>
      </c>
      <c r="G3315" s="24" t="str">
        <f>IF(OR(E3315="",E3315="!!!"),"",IF(OR(J3315=0,AND(J3315=1,K3315=1),AND(J3315=1,I3315="SBJ"),AND(J3315=1,I3315=0)),"?IN_FOCUS",IF(J3315&lt;=2,"?ACTIVATED",IF(J3315&lt;&gt;"","?FAMILIAR",IF(F3315="NEW",IF(ISNA(VLOOKUP(E3315,#REF!,1,FALSE())),"?TYPE_IDENTIFIABLE","?REFERENTIAL"),"_")))))</f>
        <v> </v>
      </c>
      <c r="H3315" s="25" t="str">
        <f>IF(J3315&lt;&gt;1,"",IF(I3315="SBJ","CB","?"))</f>
        <v> </v>
      </c>
      <c r="I3315" s="26" t="str">
        <f>IF(OR(E3315="",E3315="!!!",F3315="NEW"),"",INDEX(B3314:B$2,-1+SUMPRODUCT(MAX(ROW(E3314:E$2)*(E3315=E3314:E$2)))))</f>
        <v> </v>
      </c>
      <c r="J3315" s="26" t="str">
        <f>IF(OR(E3315="",E3315="!!!",F3315="NEW"),"",COUNTBLANK(OFFSET(A$1,,,SUMPRODUCT(MAX(ROW(E$2:E3315)*(E3315=E$2:E3315)))))-COUNTBLANK(OFFSET(A$1,,,SUMPRODUCT(MAX(ROW(E$1:E3314)*(E2=E$1:E3314))))))</f>
        <v> </v>
      </c>
      <c r="K3315" s="26" t="str">
        <f>IF(OR(E3315="",E3315="!!!",F3315="NEW"),"",INDEX(J$1:J3314,SUMPRODUCT(MAX(ROW(E$1:E3314)*(E3315=E$1:E3314)))))</f>
        <v> </v>
      </c>
      <c r="L3315" s="27"/>
    </row>
    <row r="3316" spans="1:12">
      <c r="A3316" s="20" t="s">
        <v>972</v>
      </c>
      <c r="E3316" s="22">
        <f>IF(D3316="?OLD","!!!","")</f>
        <v/>
      </c>
      <c r="F3316" s="23" t="str">
        <f>IF(OR(E3316="",E3316="!!!"),"",IF(NOT(ISNA(VLOOKUP(E3316,E$1:E3315,1,FALSE()))),"OLD",IF(AND(E3316&lt;&gt;"",E3316&lt;&gt;"!!!"),"NEW","")))</f>
        <v> </v>
      </c>
      <c r="G3316" s="24" t="str">
        <f>IF(OR(E3316="",E3316="!!!"),"",IF(OR(J3316=0,AND(J3316=1,K3316=1),AND(J3316=1,I3316="SBJ"),AND(J3316=1,I3316=0)),"?IN_FOCUS",IF(J3316&lt;=2,"?ACTIVATED",IF(J3316&lt;&gt;"","?FAMILIAR",IF(F3316="NEW",IF(ISNA(VLOOKUP(E3316,#REF!,1,FALSE())),"?TYPE_IDENTIFIABLE","?REFERENTIAL"),"_")))))</f>
        <v> </v>
      </c>
      <c r="H3316" s="25" t="str">
        <f>IF(J3316&lt;&gt;1,"",IF(I3316="SBJ","CB","?"))</f>
        <v> </v>
      </c>
      <c r="I3316" s="26" t="str">
        <f>IF(OR(E3316="",E3316="!!!",F3316="NEW"),"",INDEX(B3315:B$2,-1+SUMPRODUCT(MAX(ROW(E3315:E$2)*(E3316=E3315:E$2)))))</f>
        <v> </v>
      </c>
      <c r="J3316" s="26" t="str">
        <f>IF(OR(E3316="",E3316="!!!",F3316="NEW"),"",COUNTBLANK(OFFSET(A$1,,,SUMPRODUCT(MAX(ROW(E$2:E3316)*(E3316=E$2:E3316)))))-COUNTBLANK(OFFSET(A$1,,,SUMPRODUCT(MAX(ROW(E$1:E3315)*(E2=E$1:E3315))))))</f>
        <v> </v>
      </c>
      <c r="K3316" s="26" t="str">
        <f>IF(OR(E3316="",E3316="!!!",F3316="NEW"),"",INDEX(J$1:J3315,SUMPRODUCT(MAX(ROW(E$1:E3315)*(E3316=E$1:E3315)))))</f>
        <v> </v>
      </c>
      <c r="L3316" s="27"/>
    </row>
    <row r="3317" spans="1:12">
      <c r="A3317" s="20" t="s">
        <v>1896</v>
      </c>
      <c r="E3317" s="22">
        <f>IF(D3317="?OLD","!!!","")</f>
        <v/>
      </c>
      <c r="F3317" s="23" t="str">
        <f>IF(OR(E3317="",E3317="!!!"),"",IF(NOT(ISNA(VLOOKUP(E3317,E$1:E3316,1,FALSE()))),"OLD",IF(AND(E3317&lt;&gt;"",E3317&lt;&gt;"!!!"),"NEW","")))</f>
        <v> </v>
      </c>
      <c r="G3317" s="24" t="str">
        <f>IF(OR(E3317="",E3317="!!!"),"",IF(OR(J3317=0,AND(J3317=1,K3317=1),AND(J3317=1,I3317="SBJ"),AND(J3317=1,I3317=0)),"?IN_FOCUS",IF(J3317&lt;=2,"?ACTIVATED",IF(J3317&lt;&gt;"","?FAMILIAR",IF(F3317="NEW",IF(ISNA(VLOOKUP(E3317,#REF!,1,FALSE())),"?TYPE_IDENTIFIABLE","?REFERENTIAL"),"_")))))</f>
        <v> </v>
      </c>
      <c r="H3317" s="25" t="str">
        <f>IF(J3317&lt;&gt;1,"",IF(I3317="SBJ","CB","?"))</f>
        <v> </v>
      </c>
      <c r="I3317" s="26" t="str">
        <f>IF(OR(E3317="",E3317="!!!",F3317="NEW"),"",INDEX(B3316:B$2,-1+SUMPRODUCT(MAX(ROW(E3316:E$2)*(E3317=E3316:E$2)))))</f>
        <v> </v>
      </c>
      <c r="J3317" s="26" t="str">
        <f>IF(OR(E3317="",E3317="!!!",F3317="NEW"),"",COUNTBLANK(OFFSET(A$1,,,SUMPRODUCT(MAX(ROW(E$2:E3317)*(E3317=E$2:E3317)))))-COUNTBLANK(OFFSET(A$1,,,SUMPRODUCT(MAX(ROW(E$1:E3316)*(E2=E$1:E3316))))))</f>
        <v> </v>
      </c>
      <c r="K3317" s="26" t="str">
        <f>IF(OR(E3317="",E3317="!!!",F3317="NEW"),"",INDEX(J$1:J3316,SUMPRODUCT(MAX(ROW(E$1:E3316)*(E3317=E$1:E3316)))))</f>
        <v> </v>
      </c>
      <c r="L3317" s="27"/>
    </row>
    <row r="3318" spans="1:12">
      <c r="A3318" s="20" t="s">
        <v>1897</v>
      </c>
      <c r="B3318" s="21" t="s">
        <v>739</v>
      </c>
      <c r="C3318" s="21" t="s">
        <v>748</v>
      </c>
      <c r="E3318" s="22">
        <f>IF(D3318="?OLD","!!!","")</f>
        <v/>
      </c>
      <c r="F3318" s="23" t="str">
        <f>IF(OR(E3318="",E3318="!!!"),"",IF(NOT(ISNA(VLOOKUP(E3318,E$1:E3317,1,FALSE()))),"OLD",IF(AND(E3318&lt;&gt;"",E3318&lt;&gt;"!!!"),"NEW","")))</f>
        <v> </v>
      </c>
      <c r="G3318" s="24" t="str">
        <f>IF(OR(E3318="",E3318="!!!"),"",IF(OR(J3318=0,AND(J3318=1,K3318=1),AND(J3318=1,I3318="SBJ"),AND(J3318=1,I3318=0)),"?IN_FOCUS",IF(J3318&lt;=2,"?ACTIVATED",IF(J3318&lt;&gt;"","?FAMILIAR",IF(F3318="NEW",IF(ISNA(VLOOKUP(E3318,#REF!,1,FALSE())),"?TYPE_IDENTIFIABLE","?REFERENTIAL"),"_")))))</f>
        <v> </v>
      </c>
      <c r="H3318" s="25" t="str">
        <f>IF(J3318&lt;&gt;1,"",IF(I3318="SBJ","CB","?"))</f>
        <v> </v>
      </c>
      <c r="I3318" s="26" t="str">
        <f>IF(OR(E3318="",E3318="!!!",F3318="NEW"),"",INDEX(B3317:B$2,-1+SUMPRODUCT(MAX(ROW(E3317:E$2)*(E3318=E3317:E$2)))))</f>
        <v> </v>
      </c>
      <c r="J3318" s="26" t="str">
        <f>IF(OR(E3318="",E3318="!!!",F3318="NEW"),"",COUNTBLANK(OFFSET(A$1,,,SUMPRODUCT(MAX(ROW(E$2:E3318)*(E3318=E$2:E3318)))))-COUNTBLANK(OFFSET(A$1,,,SUMPRODUCT(MAX(ROW(E$1:E3317)*(E2=E$1:E3317))))))</f>
        <v> </v>
      </c>
      <c r="K3318" s="26" t="str">
        <f>IF(OR(E3318="",E3318="!!!",F3318="NEW"),"",INDEX(J$1:J3317,SUMPRODUCT(MAX(ROW(E$1:E3317)*(E3318=E$1:E3317)))))</f>
        <v> </v>
      </c>
      <c r="L3318" s="27"/>
    </row>
    <row r="3319" spans="1:12">
      <c r="A3319" s="20" t="s">
        <v>1898</v>
      </c>
      <c r="E3319" s="22">
        <f>IF(D3319="?OLD","!!!","")</f>
        <v/>
      </c>
      <c r="F3319" s="23" t="str">
        <f>IF(OR(E3319="",E3319="!!!"),"",IF(NOT(ISNA(VLOOKUP(E3319,E$1:E3318,1,FALSE()))),"OLD",IF(AND(E3319&lt;&gt;"",E3319&lt;&gt;"!!!"),"NEW","")))</f>
        <v> </v>
      </c>
      <c r="G3319" s="24" t="str">
        <f>IF(OR(E3319="",E3319="!!!"),"",IF(OR(J3319=0,AND(J3319=1,K3319=1),AND(J3319=1,I3319="SBJ"),AND(J3319=1,I3319=0)),"?IN_FOCUS",IF(J3319&lt;=2,"?ACTIVATED",IF(J3319&lt;&gt;"","?FAMILIAR",IF(F3319="NEW",IF(ISNA(VLOOKUP(E3319,#REF!,1,FALSE())),"?TYPE_IDENTIFIABLE","?REFERENTIAL"),"_")))))</f>
        <v> </v>
      </c>
      <c r="H3319" s="25" t="str">
        <f>IF(J3319&lt;&gt;1,"",IF(I3319="SBJ","CB","?"))</f>
        <v> </v>
      </c>
      <c r="I3319" s="26" t="str">
        <f>IF(OR(E3319="",E3319="!!!",F3319="NEW"),"",INDEX(B3318:B$2,-1+SUMPRODUCT(MAX(ROW(E3318:E$2)*(E3319=E3318:E$2)))))</f>
        <v> </v>
      </c>
      <c r="J3319" s="26" t="str">
        <f>IF(OR(E3319="",E3319="!!!",F3319="NEW"),"",COUNTBLANK(OFFSET(A$1,,,SUMPRODUCT(MAX(ROW(E$2:E3319)*(E3319=E$2:E3319)))))-COUNTBLANK(OFFSET(A$1,,,SUMPRODUCT(MAX(ROW(E$1:E3318)*(E2=E$1:E3318))))))</f>
        <v> </v>
      </c>
      <c r="K3319" s="26" t="str">
        <f>IF(OR(E3319="",E3319="!!!",F3319="NEW"),"",INDEX(J$1:J3318,SUMPRODUCT(MAX(ROW(E$1:E3318)*(E3319=E$1:E3318)))))</f>
        <v> </v>
      </c>
      <c r="L3319" s="27"/>
    </row>
    <row r="3320" spans="1:12">
      <c r="A3320" s="20" t="s">
        <v>813</v>
      </c>
      <c r="E3320" s="22">
        <f>IF(D3320="?OLD","!!!","")</f>
        <v/>
      </c>
      <c r="F3320" s="23" t="str">
        <f>IF(OR(E3320="",E3320="!!!"),"",IF(NOT(ISNA(VLOOKUP(E3320,E$1:E3319,1,FALSE()))),"OLD",IF(AND(E3320&lt;&gt;"",E3320&lt;&gt;"!!!"),"NEW","")))</f>
        <v> </v>
      </c>
      <c r="G3320" s="24" t="str">
        <f>IF(OR(E3320="",E3320="!!!"),"",IF(OR(J3320=0,AND(J3320=1,K3320=1),AND(J3320=1,I3320="SBJ"),AND(J3320=1,I3320=0)),"?IN_FOCUS",IF(J3320&lt;=2,"?ACTIVATED",IF(J3320&lt;&gt;"","?FAMILIAR",IF(F3320="NEW",IF(ISNA(VLOOKUP(E3320,#REF!,1,FALSE())),"?TYPE_IDENTIFIABLE","?REFERENTIAL"),"_")))))</f>
        <v> </v>
      </c>
      <c r="H3320" s="25" t="str">
        <f>IF(J3320&lt;&gt;1,"",IF(I3320="SBJ","CB","?"))</f>
        <v> </v>
      </c>
      <c r="I3320" s="26" t="str">
        <f>IF(OR(E3320="",E3320="!!!",F3320="NEW"),"",INDEX(B3319:B$2,-1+SUMPRODUCT(MAX(ROW(E3319:E$2)*(E3320=E3319:E$2)))))</f>
        <v> </v>
      </c>
      <c r="J3320" s="26" t="str">
        <f>IF(OR(E3320="",E3320="!!!",F3320="NEW"),"",COUNTBLANK(OFFSET(A$1,,,SUMPRODUCT(MAX(ROW(E$2:E3320)*(E3320=E$2:E3320)))))-COUNTBLANK(OFFSET(A$1,,,SUMPRODUCT(MAX(ROW(E$1:E3319)*(E2=E$1:E3319))))))</f>
        <v> </v>
      </c>
      <c r="K3320" s="26" t="str">
        <f>IF(OR(E3320="",E3320="!!!",F3320="NEW"),"",INDEX(J$1:J3319,SUMPRODUCT(MAX(ROW(E$1:E3319)*(E3320=E$1:E3319)))))</f>
        <v> </v>
      </c>
      <c r="L3320" s="27"/>
    </row>
    <row r="3321" spans="1:12">
      <c r="A3321" s="20" t="s">
        <v>795</v>
      </c>
      <c r="B3321" s="21" t="s">
        <v>796</v>
      </c>
      <c r="C3321" s="21" t="s">
        <v>753</v>
      </c>
      <c r="D3321" s="21" t="s">
        <v>730</v>
      </c>
      <c r="E3321" s="22">
        <f>IF(D3321="?OLD","!!!","")</f>
        <v/>
      </c>
      <c r="F3321" s="23" t="str">
        <f>IF(OR(E3321="",E3321="!!!"),"",IF(NOT(ISNA(VLOOKUP(E3321,E$1:E3320,1,FALSE()))),"OLD",IF(AND(E3321&lt;&gt;"",E3321&lt;&gt;"!!!"),"NEW","")))</f>
        <v> </v>
      </c>
      <c r="G3321" s="24" t="str">
        <f>IF(OR(E3321="",E3321="!!!"),"",IF(OR(J3321=0,AND(J3321=1,K3321=1),AND(J3321=1,I3321="SBJ"),AND(J3321=1,I3321=0)),"?IN_FOCUS",IF(J3321&lt;=2,"?ACTIVATED",IF(J3321&lt;&gt;"","?FAMILIAR",IF(F3321="NEW",IF(ISNA(VLOOKUP(E3321,#REF!,1,FALSE())),"?TYPE_IDENTIFIABLE","?REFERENTIAL"),"_")))))</f>
        <v> </v>
      </c>
      <c r="H3321" s="25" t="str">
        <f>IF(J3321&lt;&gt;1,"",IF(I3321="SBJ","CB","?"))</f>
        <v> </v>
      </c>
      <c r="I3321" s="26" t="str">
        <f>IF(OR(E3321="",E3321="!!!",F3321="NEW"),"",INDEX(B3320:B$2,-1+SUMPRODUCT(MAX(ROW(E3320:E$2)*(E3321=E3320:E$2)))))</f>
        <v> </v>
      </c>
      <c r="J3321" s="26" t="str">
        <f>IF(OR(E3321="",E3321="!!!",F3321="NEW"),"",COUNTBLANK(OFFSET(A$1,,,SUMPRODUCT(MAX(ROW(E$2:E3321)*(E3321=E$2:E3321)))))-COUNTBLANK(OFFSET(A$1,,,SUMPRODUCT(MAX(ROW(E$1:E3320)*(E2=E$1:E3320))))))</f>
        <v> </v>
      </c>
      <c r="K3321" s="26" t="str">
        <f>IF(OR(E3321="",E3321="!!!",F3321="NEW"),"",INDEX(J$1:J3320,SUMPRODUCT(MAX(ROW(E$1:E3320)*(E3321=E$1:E3320)))))</f>
        <v> </v>
      </c>
      <c r="L3321" s="27"/>
    </row>
    <row r="3322" spans="1:12">
      <c r="A3322" s="20" t="s">
        <v>246</v>
      </c>
      <c r="E3322" s="22">
        <f>IF(D3322="?OLD","!!!","")</f>
        <v/>
      </c>
      <c r="F3322" s="23" t="str">
        <f>IF(OR(E3322="",E3322="!!!"),"",IF(NOT(ISNA(VLOOKUP(E3322,E$1:E3321,1,FALSE()))),"OLD",IF(AND(E3322&lt;&gt;"",E3322&lt;&gt;"!!!"),"NEW","")))</f>
        <v> </v>
      </c>
      <c r="G3322" s="24" t="str">
        <f>IF(OR(E3322="",E3322="!!!"),"",IF(OR(J3322=0,AND(J3322=1,K3322=1),AND(J3322=1,I3322="SBJ"),AND(J3322=1,I3322=0)),"?IN_FOCUS",IF(J3322&lt;=2,"?ACTIVATED",IF(J3322&lt;&gt;"","?FAMILIAR",IF(F3322="NEW",IF(ISNA(VLOOKUP(E3322,#REF!,1,FALSE())),"?TYPE_IDENTIFIABLE","?REFERENTIAL"),"_")))))</f>
        <v> </v>
      </c>
      <c r="H3322" s="25" t="str">
        <f>IF(J3322&lt;&gt;1,"",IF(I3322="SBJ","CB","?"))</f>
        <v> </v>
      </c>
      <c r="I3322" s="26" t="str">
        <f>IF(OR(E3322="",E3322="!!!",F3322="NEW"),"",INDEX(B3321:B$2,-1+SUMPRODUCT(MAX(ROW(E3321:E$2)*(E3322=E3321:E$2)))))</f>
        <v> </v>
      </c>
      <c r="J3322" s="26" t="str">
        <f>IF(OR(E3322="",E3322="!!!",F3322="NEW"),"",COUNTBLANK(OFFSET(A$1,,,SUMPRODUCT(MAX(ROW(E$2:E3322)*(E3322=E$2:E3322)))))-COUNTBLANK(OFFSET(A$1,,,SUMPRODUCT(MAX(ROW(E$1:E3321)*(E2=E$1:E3321))))))</f>
        <v> </v>
      </c>
      <c r="K3322" s="26" t="str">
        <f>IF(OR(E3322="",E3322="!!!",F3322="NEW"),"",INDEX(J$1:J3321,SUMPRODUCT(MAX(ROW(E$1:E3321)*(E3322=E$1:E3321)))))</f>
        <v> </v>
      </c>
      <c r="L3322" s="27"/>
    </row>
    <row r="3323" spans="1:12">
      <c r="A3323" s="20"/>
    </row>
    <row r="3324" spans="1:12">
      <c r="A3324" s="20" t="s">
        <v>1899</v>
      </c>
    </row>
    <row r="3325" spans="1:12">
      <c r="A3325" s="20" t="s">
        <v>836</v>
      </c>
      <c r="B3325" s="21" t="s">
        <v>728</v>
      </c>
      <c r="C3325" s="21" t="s">
        <v>729</v>
      </c>
      <c r="D3325" s="21" t="s">
        <v>730</v>
      </c>
      <c r="E3325" s="22">
        <f>IF(D3325="?OLD","!!!","")</f>
        <v/>
      </c>
      <c r="F3325" s="23" t="str">
        <f>IF(OR(E3325="",E3325="!!!"),"",IF(NOT(ISNA(VLOOKUP(E3325,E$1:E3324,1,FALSE()))),"OLD",IF(AND(E3325&lt;&gt;"",E3325&lt;&gt;"!!!"),"NEW","")))</f>
        <v> </v>
      </c>
      <c r="G3325" s="24" t="str">
        <f>IF(OR(E3325="",E3325="!!!"),"",IF(OR(J3325=0,AND(J3325=1,K3325=1),AND(J3325=1,I3325="SBJ"),AND(J3325=1,I3325=0)),"?IN_FOCUS",IF(J3325&lt;=2,"?ACTIVATED",IF(J3325&lt;&gt;"","?FAMILIAR",IF(F3325="NEW",IF(ISNA(VLOOKUP(E3325,#REF!,1,FALSE())),"?TYPE_IDENTIFIABLE","?REFERENTIAL"),"_")))))</f>
        <v> </v>
      </c>
      <c r="H3325" s="25" t="str">
        <f>IF(J3325&lt;&gt;1,"",IF(I3325="SBJ","CB","?"))</f>
        <v> </v>
      </c>
      <c r="I3325" s="26" t="str">
        <f>IF(OR(E3325="",E3325="!!!",F3325="NEW"),"",INDEX(B3324:B$2,-1+SUMPRODUCT(MAX(ROW(E3324:E$2)*(E3325=E3324:E$2)))))</f>
        <v> </v>
      </c>
      <c r="J3325" s="26" t="str">
        <f>IF(OR(E3325="",E3325="!!!",F3325="NEW"),"",COUNTBLANK(OFFSET(A$1,,,SUMPRODUCT(MAX(ROW(E$2:E3325)*(E3325=E$2:E3325)))))-COUNTBLANK(OFFSET(A$1,,,SUMPRODUCT(MAX(ROW(E$1:E3324)*(E2=E$1:E3324))))))</f>
        <v> </v>
      </c>
      <c r="K3325" s="26" t="str">
        <f>IF(OR(E3325="",E3325="!!!",F3325="NEW"),"",INDEX(J$1:J3324,SUMPRODUCT(MAX(ROW(E$1:E3324)*(E3325=E$1:E3324)))))</f>
        <v> </v>
      </c>
      <c r="L3325" s="27"/>
    </row>
    <row r="3326" spans="1:12">
      <c r="A3326" s="20" t="s">
        <v>1087</v>
      </c>
      <c r="E3326" s="22">
        <f>IF(D3326="?OLD","!!!","")</f>
        <v/>
      </c>
      <c r="F3326" s="23" t="str">
        <f>IF(OR(E3326="",E3326="!!!"),"",IF(NOT(ISNA(VLOOKUP(E3326,E$1:E3325,1,FALSE()))),"OLD",IF(AND(E3326&lt;&gt;"",E3326&lt;&gt;"!!!"),"NEW","")))</f>
        <v> </v>
      </c>
      <c r="G3326" s="24" t="str">
        <f>IF(OR(E3326="",E3326="!!!"),"",IF(OR(J3326=0,AND(J3326=1,K3326=1),AND(J3326=1,I3326="SBJ"),AND(J3326=1,I3326=0)),"?IN_FOCUS",IF(J3326&lt;=2,"?ACTIVATED",IF(J3326&lt;&gt;"","?FAMILIAR",IF(F3326="NEW",IF(ISNA(VLOOKUP(E3326,#REF!,1,FALSE())),"?TYPE_IDENTIFIABLE","?REFERENTIAL"),"_")))))</f>
        <v> </v>
      </c>
      <c r="H3326" s="25" t="str">
        <f>IF(J3326&lt;&gt;1,"",IF(I3326="SBJ","CB","?"))</f>
        <v> </v>
      </c>
      <c r="I3326" s="26" t="str">
        <f>IF(OR(E3326="",E3326="!!!",F3326="NEW"),"",INDEX(B3325:B$2,-1+SUMPRODUCT(MAX(ROW(E3325:E$2)*(E3326=E3325:E$2)))))</f>
        <v> </v>
      </c>
      <c r="J3326" s="26" t="str">
        <f>IF(OR(E3326="",E3326="!!!",F3326="NEW"),"",COUNTBLANK(OFFSET(A$1,,,SUMPRODUCT(MAX(ROW(E$2:E3326)*(E3326=E$2:E3326)))))-COUNTBLANK(OFFSET(A$1,,,SUMPRODUCT(MAX(ROW(E$1:E3325)*(E2=E$1:E3325))))))</f>
        <v> </v>
      </c>
      <c r="K3326" s="26" t="str">
        <f>IF(OR(E3326="",E3326="!!!",F3326="NEW"),"",INDEX(J$1:J3325,SUMPRODUCT(MAX(ROW(E$1:E3325)*(E3326=E$1:E3325)))))</f>
        <v> </v>
      </c>
      <c r="L3326" s="27"/>
    </row>
    <row r="3327" spans="1:12">
      <c r="A3327" s="20" t="s">
        <v>813</v>
      </c>
      <c r="E3327" s="22">
        <f>IF(D3327="?OLD","!!!","")</f>
        <v/>
      </c>
      <c r="F3327" s="23" t="str">
        <f>IF(OR(E3327="",E3327="!!!"),"",IF(NOT(ISNA(VLOOKUP(E3327,E$1:E3326,1,FALSE()))),"OLD",IF(AND(E3327&lt;&gt;"",E3327&lt;&gt;"!!!"),"NEW","")))</f>
        <v> </v>
      </c>
      <c r="G3327" s="24" t="str">
        <f>IF(OR(E3327="",E3327="!!!"),"",IF(OR(J3327=0,AND(J3327=1,K3327=1),AND(J3327=1,I3327="SBJ"),AND(J3327=1,I3327=0)),"?IN_FOCUS",IF(J3327&lt;=2,"?ACTIVATED",IF(J3327&lt;&gt;"","?FAMILIAR",IF(F3327="NEW",IF(ISNA(VLOOKUP(E3327,#REF!,1,FALSE())),"?TYPE_IDENTIFIABLE","?REFERENTIAL"),"_")))))</f>
        <v> </v>
      </c>
      <c r="H3327" s="25" t="str">
        <f>IF(J3327&lt;&gt;1,"",IF(I3327="SBJ","CB","?"))</f>
        <v> </v>
      </c>
      <c r="I3327" s="26" t="str">
        <f>IF(OR(E3327="",E3327="!!!",F3327="NEW"),"",INDEX(B3326:B$2,-1+SUMPRODUCT(MAX(ROW(E3326:E$2)*(E3327=E3326:E$2)))))</f>
        <v> </v>
      </c>
      <c r="J3327" s="26" t="str">
        <f>IF(OR(E3327="",E3327="!!!",F3327="NEW"),"",COUNTBLANK(OFFSET(A$1,,,SUMPRODUCT(MAX(ROW(E$2:E3327)*(E3327=E$2:E3327)))))-COUNTBLANK(OFFSET(A$1,,,SUMPRODUCT(MAX(ROW(E$1:E3326)*(E2=E$1:E3326))))))</f>
        <v> </v>
      </c>
      <c r="K3327" s="26" t="str">
        <f>IF(OR(E3327="",E3327="!!!",F3327="NEW"),"",INDEX(J$1:J3326,SUMPRODUCT(MAX(ROW(E$1:E3326)*(E3327=E$1:E3326)))))</f>
        <v> </v>
      </c>
      <c r="L3327" s="27"/>
    </row>
    <row r="3328" spans="1:12">
      <c r="A3328" s="20" t="s">
        <v>1900</v>
      </c>
      <c r="B3328" s="21" t="s">
        <v>728</v>
      </c>
      <c r="C3328" s="21" t="s">
        <v>753</v>
      </c>
      <c r="D3328" s="21" t="s">
        <v>730</v>
      </c>
      <c r="E3328" s="22">
        <f>IF(D3328="?OLD","!!!","")</f>
        <v/>
      </c>
      <c r="F3328" s="23" t="str">
        <f>IF(OR(E3328="",E3328="!!!"),"",IF(NOT(ISNA(VLOOKUP(E3328,E$1:E3327,1,FALSE()))),"OLD",IF(AND(E3328&lt;&gt;"",E3328&lt;&gt;"!!!"),"NEW","")))</f>
        <v> </v>
      </c>
      <c r="G3328" s="24" t="str">
        <f>IF(OR(E3328="",E3328="!!!"),"",IF(OR(J3328=0,AND(J3328=1,K3328=1),AND(J3328=1,I3328="SBJ"),AND(J3328=1,I3328=0)),"?IN_FOCUS",IF(J3328&lt;=2,"?ACTIVATED",IF(J3328&lt;&gt;"","?FAMILIAR",IF(F3328="NEW",IF(ISNA(VLOOKUP(E3328,#REF!,1,FALSE())),"?TYPE_IDENTIFIABLE","?REFERENTIAL"),"_")))))</f>
        <v> </v>
      </c>
      <c r="H3328" s="25" t="str">
        <f>IF(J3328&lt;&gt;1,"",IF(I3328="SBJ","CB","?"))</f>
        <v> </v>
      </c>
      <c r="I3328" s="26" t="str">
        <f>IF(OR(E3328="",E3328="!!!",F3328="NEW"),"",INDEX(B3327:B$2,-1+SUMPRODUCT(MAX(ROW(E3327:E$2)*(E3328=E3327:E$2)))))</f>
        <v> </v>
      </c>
      <c r="J3328" s="26" t="str">
        <f>IF(OR(E3328="",E3328="!!!",F3328="NEW"),"",COUNTBLANK(OFFSET(A$1,,,SUMPRODUCT(MAX(ROW(E$2:E3328)*(E3328=E$2:E3328)))))-COUNTBLANK(OFFSET(A$1,,,SUMPRODUCT(MAX(ROW(E$1:E3327)*(E2=E$1:E3327))))))</f>
        <v> </v>
      </c>
      <c r="K3328" s="26" t="str">
        <f>IF(OR(E3328="",E3328="!!!",F3328="NEW"),"",INDEX(J$1:J3327,SUMPRODUCT(MAX(ROW(E$1:E3327)*(E3328=E$1:E3327)))))</f>
        <v> </v>
      </c>
      <c r="L3328" s="27"/>
    </row>
    <row r="3329" spans="1:12">
      <c r="A3329" s="20" t="s">
        <v>1828</v>
      </c>
      <c r="E3329" s="22">
        <f>IF(D3329="?OLD","!!!","")</f>
        <v/>
      </c>
      <c r="F3329" s="23" t="str">
        <f>IF(OR(E3329="",E3329="!!!"),"",IF(NOT(ISNA(VLOOKUP(E3329,E$1:E3328,1,FALSE()))),"OLD",IF(AND(E3329&lt;&gt;"",E3329&lt;&gt;"!!!"),"NEW","")))</f>
        <v> </v>
      </c>
      <c r="G3329" s="24" t="str">
        <f>IF(OR(E3329="",E3329="!!!"),"",IF(OR(J3329=0,AND(J3329=1,K3329=1),AND(J3329=1,I3329="SBJ"),AND(J3329=1,I3329=0)),"?IN_FOCUS",IF(J3329&lt;=2,"?ACTIVATED",IF(J3329&lt;&gt;"","?FAMILIAR",IF(F3329="NEW",IF(ISNA(VLOOKUP(E3329,#REF!,1,FALSE())),"?TYPE_IDENTIFIABLE","?REFERENTIAL"),"_")))))</f>
        <v> </v>
      </c>
      <c r="H3329" s="25" t="str">
        <f>IF(J3329&lt;&gt;1,"",IF(I3329="SBJ","CB","?"))</f>
        <v> </v>
      </c>
      <c r="I3329" s="26" t="str">
        <f>IF(OR(E3329="",E3329="!!!",F3329="NEW"),"",INDEX(B3328:B$2,-1+SUMPRODUCT(MAX(ROW(E3328:E$2)*(E3329=E3328:E$2)))))</f>
        <v> </v>
      </c>
      <c r="J3329" s="26" t="str">
        <f>IF(OR(E3329="",E3329="!!!",F3329="NEW"),"",COUNTBLANK(OFFSET(A$1,,,SUMPRODUCT(MAX(ROW(E$2:E3329)*(E3329=E$2:E3329)))))-COUNTBLANK(OFFSET(A$1,,,SUMPRODUCT(MAX(ROW(E$1:E3328)*(E2=E$1:E3328))))))</f>
        <v> </v>
      </c>
      <c r="K3329" s="26" t="str">
        <f>IF(OR(E3329="",E3329="!!!",F3329="NEW"),"",INDEX(J$1:J3328,SUMPRODUCT(MAX(ROW(E$1:E3328)*(E3329=E$1:E3328)))))</f>
        <v> </v>
      </c>
      <c r="L3329" s="27"/>
    </row>
    <row r="3330" spans="1:12">
      <c r="A3330" s="20" t="s">
        <v>1901</v>
      </c>
      <c r="B3330" s="21" t="s">
        <v>736</v>
      </c>
      <c r="C3330" s="21" t="s">
        <v>748</v>
      </c>
      <c r="E3330" s="22">
        <f>IF(D3330="?OLD","!!!","")</f>
        <v/>
      </c>
      <c r="F3330" s="23" t="str">
        <f>IF(OR(E3330="",E3330="!!!"),"",IF(NOT(ISNA(VLOOKUP(E3330,E$1:E3329,1,FALSE()))),"OLD",IF(AND(E3330&lt;&gt;"",E3330&lt;&gt;"!!!"),"NEW","")))</f>
        <v> </v>
      </c>
      <c r="G3330" s="24" t="str">
        <f>IF(OR(E3330="",E3330="!!!"),"",IF(OR(J3330=0,AND(J3330=1,K3330=1),AND(J3330=1,I3330="SBJ"),AND(J3330=1,I3330=0)),"?IN_FOCUS",IF(J3330&lt;=2,"?ACTIVATED",IF(J3330&lt;&gt;"","?FAMILIAR",IF(F3330="NEW",IF(ISNA(VLOOKUP(E3330,#REF!,1,FALSE())),"?TYPE_IDENTIFIABLE","?REFERENTIAL"),"_")))))</f>
        <v> </v>
      </c>
      <c r="H3330" s="25" t="str">
        <f>IF(J3330&lt;&gt;1,"",IF(I3330="SBJ","CB","?"))</f>
        <v> </v>
      </c>
      <c r="I3330" s="26" t="str">
        <f>IF(OR(E3330="",E3330="!!!",F3330="NEW"),"",INDEX(B3329:B$2,-1+SUMPRODUCT(MAX(ROW(E3329:E$2)*(E3330=E3329:E$2)))))</f>
        <v> </v>
      </c>
      <c r="J3330" s="26" t="str">
        <f>IF(OR(E3330="",E3330="!!!",F3330="NEW"),"",COUNTBLANK(OFFSET(A$1,,,SUMPRODUCT(MAX(ROW(E$2:E3330)*(E3330=E$2:E3330)))))-COUNTBLANK(OFFSET(A$1,,,SUMPRODUCT(MAX(ROW(E$1:E3329)*(E2=E$1:E3329))))))</f>
        <v> </v>
      </c>
      <c r="K3330" s="26" t="str">
        <f>IF(OR(E3330="",E3330="!!!",F3330="NEW"),"",INDEX(J$1:J3329,SUMPRODUCT(MAX(ROW(E$1:E3329)*(E3330=E$1:E3329)))))</f>
        <v> </v>
      </c>
      <c r="L3330" s="27"/>
    </row>
    <row r="3331" spans="1:12">
      <c r="A3331" s="20" t="s">
        <v>246</v>
      </c>
      <c r="E3331" s="22">
        <f>IF(D3331="?OLD","!!!","")</f>
        <v/>
      </c>
      <c r="F3331" s="23" t="str">
        <f>IF(OR(E3331="",E3331="!!!"),"",IF(NOT(ISNA(VLOOKUP(E3331,E$1:E3330,1,FALSE()))),"OLD",IF(AND(E3331&lt;&gt;"",E3331&lt;&gt;"!!!"),"NEW","")))</f>
        <v> </v>
      </c>
      <c r="G3331" s="24" t="str">
        <f>IF(OR(E3331="",E3331="!!!"),"",IF(OR(J3331=0,AND(J3331=1,K3331=1),AND(J3331=1,I3331="SBJ"),AND(J3331=1,I3331=0)),"?IN_FOCUS",IF(J3331&lt;=2,"?ACTIVATED",IF(J3331&lt;&gt;"","?FAMILIAR",IF(F3331="NEW",IF(ISNA(VLOOKUP(E3331,#REF!,1,FALSE())),"?TYPE_IDENTIFIABLE","?REFERENTIAL"),"_")))))</f>
        <v> </v>
      </c>
      <c r="H3331" s="25" t="str">
        <f>IF(J3331&lt;&gt;1,"",IF(I3331="SBJ","CB","?"))</f>
        <v> </v>
      </c>
      <c r="I3331" s="26" t="str">
        <f>IF(OR(E3331="",E3331="!!!",F3331="NEW"),"",INDEX(B3330:B$2,-1+SUMPRODUCT(MAX(ROW(E3330:E$2)*(E3331=E3330:E$2)))))</f>
        <v> </v>
      </c>
      <c r="J3331" s="26" t="str">
        <f>IF(OR(E3331="",E3331="!!!",F3331="NEW"),"",COUNTBLANK(OFFSET(A$1,,,SUMPRODUCT(MAX(ROW(E$2:E3331)*(E3331=E$2:E3331)))))-COUNTBLANK(OFFSET(A$1,,,SUMPRODUCT(MAX(ROW(E$1:E3330)*(E2=E$1:E3330))))))</f>
        <v> </v>
      </c>
      <c r="K3331" s="26" t="str">
        <f>IF(OR(E3331="",E3331="!!!",F3331="NEW"),"",INDEX(J$1:J3330,SUMPRODUCT(MAX(ROW(E$1:E3330)*(E3331=E$1:E3330)))))</f>
        <v> </v>
      </c>
      <c r="L3331" s="27"/>
    </row>
    <row r="3332" spans="1:12">
      <c r="A3332" s="20"/>
    </row>
    <row r="3333" spans="1:12">
      <c r="A3333" s="20" t="s">
        <v>1902</v>
      </c>
    </row>
    <row r="3334" spans="1:12">
      <c r="A3334" s="20" t="s">
        <v>1541</v>
      </c>
      <c r="B3334" s="21" t="s">
        <v>739</v>
      </c>
      <c r="C3334" s="21" t="s">
        <v>746</v>
      </c>
      <c r="D3334" s="21" t="s">
        <v>730</v>
      </c>
      <c r="E3334" s="22">
        <f>IF(D3334="?OLD","!!!","")</f>
        <v/>
      </c>
      <c r="F3334" s="23" t="str">
        <f>IF(OR(E3334="",E3334="!!!"),"",IF(NOT(ISNA(VLOOKUP(E3334,E$1:E3333,1,FALSE()))),"OLD",IF(AND(E3334&lt;&gt;"",E3334&lt;&gt;"!!!"),"NEW","")))</f>
        <v> </v>
      </c>
      <c r="G3334" s="24" t="str">
        <f>IF(OR(E3334="",E3334="!!!"),"",IF(OR(J3334=0,AND(J3334=1,K3334=1),AND(J3334=1,I3334="SBJ"),AND(J3334=1,I3334=0)),"?IN_FOCUS",IF(J3334&lt;=2,"?ACTIVATED",IF(J3334&lt;&gt;"","?FAMILIAR",IF(F3334="NEW",IF(ISNA(VLOOKUP(E3334,#REF!,1,FALSE())),"?TYPE_IDENTIFIABLE","?REFERENTIAL"),"_")))))</f>
        <v> </v>
      </c>
      <c r="H3334" s="25" t="str">
        <f>IF(J3334&lt;&gt;1,"",IF(I3334="SBJ","CB","?"))</f>
        <v> </v>
      </c>
      <c r="I3334" s="26" t="str">
        <f>IF(OR(E3334="",E3334="!!!",F3334="NEW"),"",INDEX(B3333:B$2,-1+SUMPRODUCT(MAX(ROW(E3333:E$2)*(E3334=E3333:E$2)))))</f>
        <v> </v>
      </c>
      <c r="J3334" s="26" t="str">
        <f>IF(OR(E3334="",E3334="!!!",F3334="NEW"),"",COUNTBLANK(OFFSET(A$1,,,SUMPRODUCT(MAX(ROW(E$2:E3334)*(E3334=E$2:E3334)))))-COUNTBLANK(OFFSET(A$1,,,SUMPRODUCT(MAX(ROW(E$1:E3333)*(E2=E$1:E3333))))))</f>
        <v> </v>
      </c>
      <c r="K3334" s="26" t="str">
        <f>IF(OR(E3334="",E3334="!!!",F3334="NEW"),"",INDEX(J$1:J3333,SUMPRODUCT(MAX(ROW(E$1:E3333)*(E3334=E$1:E3333)))))</f>
        <v> </v>
      </c>
      <c r="L3334" s="27"/>
    </row>
    <row r="3335" spans="1:12">
      <c r="A3335" s="20" t="s">
        <v>1099</v>
      </c>
      <c r="B3335" s="21" t="s">
        <v>728</v>
      </c>
      <c r="C3335" s="21" t="s">
        <v>748</v>
      </c>
      <c r="E3335" s="22">
        <f>IF(D3335="?OLD","!!!","")</f>
        <v/>
      </c>
      <c r="F3335" s="23" t="str">
        <f>IF(OR(E3335="",E3335="!!!"),"",IF(NOT(ISNA(VLOOKUP(E3335,E$1:E3334,1,FALSE()))),"OLD",IF(AND(E3335&lt;&gt;"",E3335&lt;&gt;"!!!"),"NEW","")))</f>
        <v> </v>
      </c>
      <c r="G3335" s="24" t="str">
        <f>IF(OR(E3335="",E3335="!!!"),"",IF(OR(J3335=0,AND(J3335=1,K3335=1),AND(J3335=1,I3335="SBJ"),AND(J3335=1,I3335=0)),"?IN_FOCUS",IF(J3335&lt;=2,"?ACTIVATED",IF(J3335&lt;&gt;"","?FAMILIAR",IF(F3335="NEW",IF(ISNA(VLOOKUP(E3335,#REF!,1,FALSE())),"?TYPE_IDENTIFIABLE","?REFERENTIAL"),"_")))))</f>
        <v> </v>
      </c>
      <c r="H3335" s="25" t="str">
        <f>IF(J3335&lt;&gt;1,"",IF(I3335="SBJ","CB","?"))</f>
        <v> </v>
      </c>
      <c r="I3335" s="26" t="str">
        <f>IF(OR(E3335="",E3335="!!!",F3335="NEW"),"",INDEX(B3334:B$2,-1+SUMPRODUCT(MAX(ROW(E3334:E$2)*(E3335=E3334:E$2)))))</f>
        <v> </v>
      </c>
      <c r="J3335" s="26" t="str">
        <f>IF(OR(E3335="",E3335="!!!",F3335="NEW"),"",COUNTBLANK(OFFSET(A$1,,,SUMPRODUCT(MAX(ROW(E$2:E3335)*(E3335=E$2:E3335)))))-COUNTBLANK(OFFSET(A$1,,,SUMPRODUCT(MAX(ROW(E$1:E3334)*(E2=E$1:E3334))))))</f>
        <v> </v>
      </c>
      <c r="K3335" s="26" t="str">
        <f>IF(OR(E3335="",E3335="!!!",F3335="NEW"),"",INDEX(J$1:J3334,SUMPRODUCT(MAX(ROW(E$1:E3334)*(E3335=E$1:E3334)))))</f>
        <v> </v>
      </c>
      <c r="L3335" s="27"/>
    </row>
    <row r="3336" spans="1:12">
      <c r="A3336" s="20" t="s">
        <v>1087</v>
      </c>
      <c r="E3336" s="22">
        <f>IF(D3336="?OLD","!!!","")</f>
        <v/>
      </c>
      <c r="F3336" s="23" t="str">
        <f>IF(OR(E3336="",E3336="!!!"),"",IF(NOT(ISNA(VLOOKUP(E3336,E$1:E3335,1,FALSE()))),"OLD",IF(AND(E3336&lt;&gt;"",E3336&lt;&gt;"!!!"),"NEW","")))</f>
        <v> </v>
      </c>
      <c r="G3336" s="24" t="str">
        <f>IF(OR(E3336="",E3336="!!!"),"",IF(OR(J3336=0,AND(J3336=1,K3336=1),AND(J3336=1,I3336="SBJ"),AND(J3336=1,I3336=0)),"?IN_FOCUS",IF(J3336&lt;=2,"?ACTIVATED",IF(J3336&lt;&gt;"","?FAMILIAR",IF(F3336="NEW",IF(ISNA(VLOOKUP(E3336,#REF!,1,FALSE())),"?TYPE_IDENTIFIABLE","?REFERENTIAL"),"_")))))</f>
        <v> </v>
      </c>
      <c r="H3336" s="25" t="str">
        <f>IF(J3336&lt;&gt;1,"",IF(I3336="SBJ","CB","?"))</f>
        <v> </v>
      </c>
      <c r="I3336" s="26" t="str">
        <f>IF(OR(E3336="",E3336="!!!",F3336="NEW"),"",INDEX(B3335:B$2,-1+SUMPRODUCT(MAX(ROW(E3335:E$2)*(E3336=E3335:E$2)))))</f>
        <v> </v>
      </c>
      <c r="J3336" s="26" t="str">
        <f>IF(OR(E3336="",E3336="!!!",F3336="NEW"),"",COUNTBLANK(OFFSET(A$1,,,SUMPRODUCT(MAX(ROW(E$2:E3336)*(E3336=E$2:E3336)))))-COUNTBLANK(OFFSET(A$1,,,SUMPRODUCT(MAX(ROW(E$1:E3335)*(E2=E$1:E3335))))))</f>
        <v> </v>
      </c>
      <c r="K3336" s="26" t="str">
        <f>IF(OR(E3336="",E3336="!!!",F3336="NEW"),"",INDEX(J$1:J3335,SUMPRODUCT(MAX(ROW(E$1:E3335)*(E3336=E$1:E3335)))))</f>
        <v> </v>
      </c>
      <c r="L3336" s="27"/>
    </row>
    <row r="3337" spans="1:12">
      <c r="A3337" s="20" t="s">
        <v>762</v>
      </c>
      <c r="E3337" s="22">
        <f>IF(D3337="?OLD","!!!","")</f>
        <v/>
      </c>
      <c r="F3337" s="23" t="str">
        <f>IF(OR(E3337="",E3337="!!!"),"",IF(NOT(ISNA(VLOOKUP(E3337,E$1:E3336,1,FALSE()))),"OLD",IF(AND(E3337&lt;&gt;"",E3337&lt;&gt;"!!!"),"NEW","")))</f>
        <v> </v>
      </c>
      <c r="G3337" s="24" t="str">
        <f>IF(OR(E3337="",E3337="!!!"),"",IF(OR(J3337=0,AND(J3337=1,K3337=1),AND(J3337=1,I3337="SBJ"),AND(J3337=1,I3337=0)),"?IN_FOCUS",IF(J3337&lt;=2,"?ACTIVATED",IF(J3337&lt;&gt;"","?FAMILIAR",IF(F3337="NEW",IF(ISNA(VLOOKUP(E3337,#REF!,1,FALSE())),"?TYPE_IDENTIFIABLE","?REFERENTIAL"),"_")))))</f>
        <v> </v>
      </c>
      <c r="H3337" s="25" t="str">
        <f>IF(J3337&lt;&gt;1,"",IF(I3337="SBJ","CB","?"))</f>
        <v> </v>
      </c>
      <c r="I3337" s="26" t="str">
        <f>IF(OR(E3337="",E3337="!!!",F3337="NEW"),"",INDEX(B3336:B$2,-1+SUMPRODUCT(MAX(ROW(E3336:E$2)*(E3337=E3336:E$2)))))</f>
        <v> </v>
      </c>
      <c r="J3337" s="26" t="str">
        <f>IF(OR(E3337="",E3337="!!!",F3337="NEW"),"",COUNTBLANK(OFFSET(A$1,,,SUMPRODUCT(MAX(ROW(E$2:E3337)*(E3337=E$2:E3337)))))-COUNTBLANK(OFFSET(A$1,,,SUMPRODUCT(MAX(ROW(E$1:E3336)*(E2=E$1:E3336))))))</f>
        <v> </v>
      </c>
      <c r="K3337" s="26" t="str">
        <f>IF(OR(E3337="",E3337="!!!",F3337="NEW"),"",INDEX(J$1:J3336,SUMPRODUCT(MAX(ROW(E$1:E3336)*(E3337=E$1:E3336)))))</f>
        <v> </v>
      </c>
      <c r="L3337" s="27"/>
    </row>
    <row r="3338" spans="1:12">
      <c r="A3338" s="20" t="s">
        <v>1903</v>
      </c>
      <c r="B3338" s="21" t="s">
        <v>736</v>
      </c>
      <c r="C3338" s="21" t="s">
        <v>737</v>
      </c>
      <c r="E3338" s="22">
        <f>IF(D3338="?OLD","!!!","")</f>
        <v/>
      </c>
      <c r="F3338" s="23" t="str">
        <f>IF(OR(E3338="",E3338="!!!"),"",IF(NOT(ISNA(VLOOKUP(E3338,E$1:E3337,1,FALSE()))),"OLD",IF(AND(E3338&lt;&gt;"",E3338&lt;&gt;"!!!"),"NEW","")))</f>
        <v> </v>
      </c>
      <c r="G3338" s="24" t="str">
        <f>IF(OR(E3338="",E3338="!!!"),"",IF(OR(J3338=0,AND(J3338=1,K3338=1),AND(J3338=1,I3338="SBJ"),AND(J3338=1,I3338=0)),"?IN_FOCUS",IF(J3338&lt;=2,"?ACTIVATED",IF(J3338&lt;&gt;"","?FAMILIAR",IF(F3338="NEW",IF(ISNA(VLOOKUP(E3338,#REF!,1,FALSE())),"?TYPE_IDENTIFIABLE","?REFERENTIAL"),"_")))))</f>
        <v> </v>
      </c>
      <c r="H3338" s="25" t="str">
        <f>IF(J3338&lt;&gt;1,"",IF(I3338="SBJ","CB","?"))</f>
        <v> </v>
      </c>
      <c r="I3338" s="26" t="str">
        <f>IF(OR(E3338="",E3338="!!!",F3338="NEW"),"",INDEX(B3337:B$2,-1+SUMPRODUCT(MAX(ROW(E3337:E$2)*(E3338=E3337:E$2)))))</f>
        <v> </v>
      </c>
      <c r="J3338" s="26" t="str">
        <f>IF(OR(E3338="",E3338="!!!",F3338="NEW"),"",COUNTBLANK(OFFSET(A$1,,,SUMPRODUCT(MAX(ROW(E$2:E3338)*(E3338=E$2:E3338)))))-COUNTBLANK(OFFSET(A$1,,,SUMPRODUCT(MAX(ROW(E$1:E3337)*(E2=E$1:E3337))))))</f>
        <v> </v>
      </c>
      <c r="K3338" s="26" t="str">
        <f>IF(OR(E3338="",E3338="!!!",F3338="NEW"),"",INDEX(J$1:J3337,SUMPRODUCT(MAX(ROW(E$1:E3337)*(E3338=E$1:E3337)))))</f>
        <v> </v>
      </c>
      <c r="L3338" s="27"/>
    </row>
    <row r="3339" spans="1:12">
      <c r="A3339" s="20" t="s">
        <v>759</v>
      </c>
      <c r="E3339" s="22">
        <f>IF(D3339="?OLD","!!!","")</f>
        <v/>
      </c>
      <c r="F3339" s="23" t="str">
        <f>IF(OR(E3339="",E3339="!!!"),"",IF(NOT(ISNA(VLOOKUP(E3339,E$1:E3338,1,FALSE()))),"OLD",IF(AND(E3339&lt;&gt;"",E3339&lt;&gt;"!!!"),"NEW","")))</f>
        <v> </v>
      </c>
      <c r="G3339" s="24" t="str">
        <f>IF(OR(E3339="",E3339="!!!"),"",IF(OR(J3339=0,AND(J3339=1,K3339=1),AND(J3339=1,I3339="SBJ"),AND(J3339=1,I3339=0)),"?IN_FOCUS",IF(J3339&lt;=2,"?ACTIVATED",IF(J3339&lt;&gt;"","?FAMILIAR",IF(F3339="NEW",IF(ISNA(VLOOKUP(E3339,#REF!,1,FALSE())),"?TYPE_IDENTIFIABLE","?REFERENTIAL"),"_")))))</f>
        <v> </v>
      </c>
      <c r="H3339" s="25" t="str">
        <f>IF(J3339&lt;&gt;1,"",IF(I3339="SBJ","CB","?"))</f>
        <v> </v>
      </c>
      <c r="I3339" s="26" t="str">
        <f>IF(OR(E3339="",E3339="!!!",F3339="NEW"),"",INDEX(B3338:B$2,-1+SUMPRODUCT(MAX(ROW(E3338:E$2)*(E3339=E3338:E$2)))))</f>
        <v> </v>
      </c>
      <c r="J3339" s="26" t="str">
        <f>IF(OR(E3339="",E3339="!!!",F3339="NEW"),"",COUNTBLANK(OFFSET(A$1,,,SUMPRODUCT(MAX(ROW(E$2:E3339)*(E3339=E$2:E3339)))))-COUNTBLANK(OFFSET(A$1,,,SUMPRODUCT(MAX(ROW(E$1:E3338)*(E2=E$1:E3338))))))</f>
        <v> </v>
      </c>
      <c r="K3339" s="26" t="str">
        <f>IF(OR(E3339="",E3339="!!!",F3339="NEW"),"",INDEX(J$1:J3338,SUMPRODUCT(MAX(ROW(E$1:E3338)*(E3339=E$1:E3338)))))</f>
        <v> </v>
      </c>
      <c r="L3339" s="27"/>
    </row>
    <row r="3340" spans="1:12">
      <c r="A3340" s="20" t="s">
        <v>813</v>
      </c>
      <c r="B3340" s="21" t="s">
        <v>796</v>
      </c>
      <c r="E3340" s="22">
        <f>IF(D3340="?OLD","!!!","")</f>
        <v/>
      </c>
      <c r="F3340" s="23" t="str">
        <f>IF(OR(E3340="",E3340="!!!"),"",IF(NOT(ISNA(VLOOKUP(E3340,E$1:E3339,1,FALSE()))),"OLD",IF(AND(E3340&lt;&gt;"",E3340&lt;&gt;"!!!"),"NEW","")))</f>
        <v> </v>
      </c>
      <c r="G3340" s="24" t="str">
        <f>IF(OR(E3340="",E3340="!!!"),"",IF(OR(J3340=0,AND(J3340=1,K3340=1),AND(J3340=1,I3340="SBJ"),AND(J3340=1,I3340=0)),"?IN_FOCUS",IF(J3340&lt;=2,"?ACTIVATED",IF(J3340&lt;&gt;"","?FAMILIAR",IF(F3340="NEW",IF(ISNA(VLOOKUP(E3340,#REF!,1,FALSE())),"?TYPE_IDENTIFIABLE","?REFERENTIAL"),"_")))))</f>
        <v> </v>
      </c>
      <c r="H3340" s="25" t="str">
        <f>IF(J3340&lt;&gt;1,"",IF(I3340="SBJ","CB","?"))</f>
        <v> </v>
      </c>
      <c r="I3340" s="26" t="str">
        <f>IF(OR(E3340="",E3340="!!!",F3340="NEW"),"",INDEX(B3339:B$2,-1+SUMPRODUCT(MAX(ROW(E3339:E$2)*(E3340=E3339:E$2)))))</f>
        <v> </v>
      </c>
      <c r="J3340" s="26" t="str">
        <f>IF(OR(E3340="",E3340="!!!",F3340="NEW"),"",COUNTBLANK(OFFSET(A$1,,,SUMPRODUCT(MAX(ROW(E$2:E3340)*(E3340=E$2:E3340)))))-COUNTBLANK(OFFSET(A$1,,,SUMPRODUCT(MAX(ROW(E$1:E3339)*(E2=E$1:E3339))))))</f>
        <v> </v>
      </c>
      <c r="K3340" s="26" t="str">
        <f>IF(OR(E3340="",E3340="!!!",F3340="NEW"),"",INDEX(J$1:J3339,SUMPRODUCT(MAX(ROW(E$1:E3339)*(E3340=E$1:E3339)))))</f>
        <v> </v>
      </c>
      <c r="L3340" s="27"/>
    </row>
    <row r="3341" spans="1:12">
      <c r="A3341" s="20" t="s">
        <v>1904</v>
      </c>
      <c r="E3341" s="22">
        <f>IF(D3341="?OLD","!!!","")</f>
        <v/>
      </c>
      <c r="F3341" s="23" t="str">
        <f>IF(OR(E3341="",E3341="!!!"),"",IF(NOT(ISNA(VLOOKUP(E3341,E$1:E3340,1,FALSE()))),"OLD",IF(AND(E3341&lt;&gt;"",E3341&lt;&gt;"!!!"),"NEW","")))</f>
        <v> </v>
      </c>
      <c r="G3341" s="24" t="str">
        <f>IF(OR(E3341="",E3341="!!!"),"",IF(OR(J3341=0,AND(J3341=1,K3341=1),AND(J3341=1,I3341="SBJ"),AND(J3341=1,I3341=0)),"?IN_FOCUS",IF(J3341&lt;=2,"?ACTIVATED",IF(J3341&lt;&gt;"","?FAMILIAR",IF(F3341="NEW",IF(ISNA(VLOOKUP(E3341,#REF!,1,FALSE())),"?TYPE_IDENTIFIABLE","?REFERENTIAL"),"_")))))</f>
        <v> </v>
      </c>
      <c r="H3341" s="25" t="str">
        <f>IF(J3341&lt;&gt;1,"",IF(I3341="SBJ","CB","?"))</f>
        <v> </v>
      </c>
      <c r="I3341" s="26" t="str">
        <f>IF(OR(E3341="",E3341="!!!",F3341="NEW"),"",INDEX(B3340:B$2,-1+SUMPRODUCT(MAX(ROW(E3340:E$2)*(E3341=E3340:E$2)))))</f>
        <v> </v>
      </c>
      <c r="J3341" s="26" t="str">
        <f>IF(OR(E3341="",E3341="!!!",F3341="NEW"),"",COUNTBLANK(OFFSET(A$1,,,SUMPRODUCT(MAX(ROW(E$2:E3341)*(E3341=E$2:E3341)))))-COUNTBLANK(OFFSET(A$1,,,SUMPRODUCT(MAX(ROW(E$1:E3340)*(E2=E$1:E3340))))))</f>
        <v> </v>
      </c>
      <c r="K3341" s="26" t="str">
        <f>IF(OR(E3341="",E3341="!!!",F3341="NEW"),"",INDEX(J$1:J3340,SUMPRODUCT(MAX(ROW(E$1:E3340)*(E3341=E$1:E3340)))))</f>
        <v> </v>
      </c>
      <c r="L3341" s="27"/>
    </row>
    <row r="3342" spans="1:12">
      <c r="A3342" s="20" t="s">
        <v>762</v>
      </c>
      <c r="E3342" s="22">
        <f>IF(D3342="?OLD","!!!","")</f>
        <v/>
      </c>
      <c r="F3342" s="23" t="str">
        <f>IF(OR(E3342="",E3342="!!!"),"",IF(NOT(ISNA(VLOOKUP(E3342,E$1:E3341,1,FALSE()))),"OLD",IF(AND(E3342&lt;&gt;"",E3342&lt;&gt;"!!!"),"NEW","")))</f>
        <v> </v>
      </c>
      <c r="G3342" s="24" t="str">
        <f>IF(OR(E3342="",E3342="!!!"),"",IF(OR(J3342=0,AND(J3342=1,K3342=1),AND(J3342=1,I3342="SBJ"),AND(J3342=1,I3342=0)),"?IN_FOCUS",IF(J3342&lt;=2,"?ACTIVATED",IF(J3342&lt;&gt;"","?FAMILIAR",IF(F3342="NEW",IF(ISNA(VLOOKUP(E3342,#REF!,1,FALSE())),"?TYPE_IDENTIFIABLE","?REFERENTIAL"),"_")))))</f>
        <v> </v>
      </c>
      <c r="H3342" s="25" t="str">
        <f>IF(J3342&lt;&gt;1,"",IF(I3342="SBJ","CB","?"))</f>
        <v> </v>
      </c>
      <c r="I3342" s="26" t="str">
        <f>IF(OR(E3342="",E3342="!!!",F3342="NEW"),"",INDEX(B3341:B$2,-1+SUMPRODUCT(MAX(ROW(E3341:E$2)*(E3342=E3341:E$2)))))</f>
        <v> </v>
      </c>
      <c r="J3342" s="26" t="str">
        <f>IF(OR(E3342="",E3342="!!!",F3342="NEW"),"",COUNTBLANK(OFFSET(A$1,,,SUMPRODUCT(MAX(ROW(E$2:E3342)*(E3342=E$2:E3342)))))-COUNTBLANK(OFFSET(A$1,,,SUMPRODUCT(MAX(ROW(E$1:E3341)*(E2=E$1:E3341))))))</f>
        <v> </v>
      </c>
      <c r="K3342" s="26" t="str">
        <f>IF(OR(E3342="",E3342="!!!",F3342="NEW"),"",INDEX(J$1:J3341,SUMPRODUCT(MAX(ROW(E$1:E3341)*(E3342=E$1:E3341)))))</f>
        <v> </v>
      </c>
      <c r="L3342" s="27"/>
    </row>
    <row r="3343" spans="1:12">
      <c r="A3343" s="20" t="s">
        <v>1405</v>
      </c>
      <c r="B3343" s="21" t="s">
        <v>791</v>
      </c>
      <c r="C3343" s="21" t="s">
        <v>737</v>
      </c>
      <c r="E3343" s="22">
        <f>IF(D3343="?OLD","!!!","")</f>
        <v/>
      </c>
      <c r="F3343" s="23" t="str">
        <f>IF(OR(E3343="",E3343="!!!"),"",IF(NOT(ISNA(VLOOKUP(E3343,E$1:E3342,1,FALSE()))),"OLD",IF(AND(E3343&lt;&gt;"",E3343&lt;&gt;"!!!"),"NEW","")))</f>
        <v> </v>
      </c>
      <c r="G3343" s="24" t="str">
        <f>IF(OR(E3343="",E3343="!!!"),"",IF(OR(J3343=0,AND(J3343=1,K3343=1),AND(J3343=1,I3343="SBJ"),AND(J3343=1,I3343=0)),"?IN_FOCUS",IF(J3343&lt;=2,"?ACTIVATED",IF(J3343&lt;&gt;"","?FAMILIAR",IF(F3343="NEW",IF(ISNA(VLOOKUP(E3343,#REF!,1,FALSE())),"?TYPE_IDENTIFIABLE","?REFERENTIAL"),"_")))))</f>
        <v> </v>
      </c>
      <c r="H3343" s="25" t="str">
        <f>IF(J3343&lt;&gt;1,"",IF(I3343="SBJ","CB","?"))</f>
        <v> </v>
      </c>
      <c r="I3343" s="26" t="str">
        <f>IF(OR(E3343="",E3343="!!!",F3343="NEW"),"",INDEX(B3342:B$2,-1+SUMPRODUCT(MAX(ROW(E3342:E$2)*(E3343=E3342:E$2)))))</f>
        <v> </v>
      </c>
      <c r="J3343" s="26" t="str">
        <f>IF(OR(E3343="",E3343="!!!",F3343="NEW"),"",COUNTBLANK(OFFSET(A$1,,,SUMPRODUCT(MAX(ROW(E$2:E3343)*(E3343=E$2:E3343)))))-COUNTBLANK(OFFSET(A$1,,,SUMPRODUCT(MAX(ROW(E$1:E3342)*(E2=E$1:E3342))))))</f>
        <v> </v>
      </c>
      <c r="K3343" s="26" t="str">
        <f>IF(OR(E3343="",E3343="!!!",F3343="NEW"),"",INDEX(J$1:J3342,SUMPRODUCT(MAX(ROW(E$1:E3342)*(E3343=E$1:E3342)))))</f>
        <v> </v>
      </c>
      <c r="L3343" s="27"/>
    </row>
    <row r="3344" spans="1:12">
      <c r="A3344" s="20" t="s">
        <v>222</v>
      </c>
      <c r="E3344" s="22">
        <f>IF(D3344="?OLD","!!!","")</f>
        <v/>
      </c>
      <c r="F3344" s="23" t="str">
        <f>IF(OR(E3344="",E3344="!!!"),"",IF(NOT(ISNA(VLOOKUP(E3344,E$1:E3343,1,FALSE()))),"OLD",IF(AND(E3344&lt;&gt;"",E3344&lt;&gt;"!!!"),"NEW","")))</f>
        <v> </v>
      </c>
      <c r="G3344" s="24" t="str">
        <f>IF(OR(E3344="",E3344="!!!"),"",IF(OR(J3344=0,AND(J3344=1,K3344=1),AND(J3344=1,I3344="SBJ"),AND(J3344=1,I3344=0)),"?IN_FOCUS",IF(J3344&lt;=2,"?ACTIVATED",IF(J3344&lt;&gt;"","?FAMILIAR",IF(F3344="NEW",IF(ISNA(VLOOKUP(E3344,#REF!,1,FALSE())),"?TYPE_IDENTIFIABLE","?REFERENTIAL"),"_")))))</f>
        <v> </v>
      </c>
      <c r="H3344" s="25" t="str">
        <f>IF(J3344&lt;&gt;1,"",IF(I3344="SBJ","CB","?"))</f>
        <v> </v>
      </c>
      <c r="I3344" s="26" t="str">
        <f>IF(OR(E3344="",E3344="!!!",F3344="NEW"),"",INDEX(B3343:B$2,-1+SUMPRODUCT(MAX(ROW(E3343:E$2)*(E3344=E3343:E$2)))))</f>
        <v> </v>
      </c>
      <c r="J3344" s="26" t="str">
        <f>IF(OR(E3344="",E3344="!!!",F3344="NEW"),"",COUNTBLANK(OFFSET(A$1,,,SUMPRODUCT(MAX(ROW(E$2:E3344)*(E3344=E$2:E3344)))))-COUNTBLANK(OFFSET(A$1,,,SUMPRODUCT(MAX(ROW(E$1:E3343)*(E2=E$1:E3343))))))</f>
        <v> </v>
      </c>
      <c r="K3344" s="26" t="str">
        <f>IF(OR(E3344="",E3344="!!!",F3344="NEW"),"",INDEX(J$1:J3343,SUMPRODUCT(MAX(ROW(E$1:E3343)*(E3344=E$1:E3343)))))</f>
        <v> </v>
      </c>
      <c r="L3344" s="27"/>
    </row>
    <row r="3345" spans="1:12">
      <c r="A3345" s="20" t="s">
        <v>1406</v>
      </c>
      <c r="E3345" s="22">
        <f>IF(D3345="?OLD","!!!","")</f>
        <v/>
      </c>
      <c r="F3345" s="23" t="str">
        <f>IF(OR(E3345="",E3345="!!!"),"",IF(NOT(ISNA(VLOOKUP(E3345,E$1:E3344,1,FALSE()))),"OLD",IF(AND(E3345&lt;&gt;"",E3345&lt;&gt;"!!!"),"NEW","")))</f>
        <v> </v>
      </c>
      <c r="G3345" s="24" t="str">
        <f>IF(OR(E3345="",E3345="!!!"),"",IF(OR(J3345=0,AND(J3345=1,K3345=1),AND(J3345=1,I3345="SBJ"),AND(J3345=1,I3345=0)),"?IN_FOCUS",IF(J3345&lt;=2,"?ACTIVATED",IF(J3345&lt;&gt;"","?FAMILIAR",IF(F3345="NEW",IF(ISNA(VLOOKUP(E3345,#REF!,1,FALSE())),"?TYPE_IDENTIFIABLE","?REFERENTIAL"),"_")))))</f>
        <v> </v>
      </c>
      <c r="H3345" s="25" t="str">
        <f>IF(J3345&lt;&gt;1,"",IF(I3345="SBJ","CB","?"))</f>
        <v> </v>
      </c>
      <c r="I3345" s="26" t="str">
        <f>IF(OR(E3345="",E3345="!!!",F3345="NEW"),"",INDEX(B3344:B$2,-1+SUMPRODUCT(MAX(ROW(E3344:E$2)*(E3345=E3344:E$2)))))</f>
        <v> </v>
      </c>
      <c r="J3345" s="26" t="str">
        <f>IF(OR(E3345="",E3345="!!!",F3345="NEW"),"",COUNTBLANK(OFFSET(A$1,,,SUMPRODUCT(MAX(ROW(E$2:E3345)*(E3345=E$2:E3345)))))-COUNTBLANK(OFFSET(A$1,,,SUMPRODUCT(MAX(ROW(E$1:E3344)*(E2=E$1:E3344))))))</f>
        <v> </v>
      </c>
      <c r="K3345" s="26" t="str">
        <f>IF(OR(E3345="",E3345="!!!",F3345="NEW"),"",INDEX(J$1:J3344,SUMPRODUCT(MAX(ROW(E$1:E3344)*(E3345=E$1:E3344)))))</f>
        <v> </v>
      </c>
      <c r="L3345" s="27"/>
    </row>
    <row r="3346" spans="1:12">
      <c r="A3346" s="20" t="s">
        <v>246</v>
      </c>
      <c r="E3346" s="22">
        <f>IF(D3346="?OLD","!!!","")</f>
        <v/>
      </c>
      <c r="F3346" s="23" t="str">
        <f>IF(OR(E3346="",E3346="!!!"),"",IF(NOT(ISNA(VLOOKUP(E3346,E$1:E3345,1,FALSE()))),"OLD",IF(AND(E3346&lt;&gt;"",E3346&lt;&gt;"!!!"),"NEW","")))</f>
        <v> </v>
      </c>
      <c r="G3346" s="24" t="str">
        <f>IF(OR(E3346="",E3346="!!!"),"",IF(OR(J3346=0,AND(J3346=1,K3346=1),AND(J3346=1,I3346="SBJ"),AND(J3346=1,I3346=0)),"?IN_FOCUS",IF(J3346&lt;=2,"?ACTIVATED",IF(J3346&lt;&gt;"","?FAMILIAR",IF(F3346="NEW",IF(ISNA(VLOOKUP(E3346,#REF!,1,FALSE())),"?TYPE_IDENTIFIABLE","?REFERENTIAL"),"_")))))</f>
        <v> </v>
      </c>
      <c r="H3346" s="25" t="str">
        <f>IF(J3346&lt;&gt;1,"",IF(I3346="SBJ","CB","?"))</f>
        <v> </v>
      </c>
      <c r="I3346" s="26" t="str">
        <f>IF(OR(E3346="",E3346="!!!",F3346="NEW"),"",INDEX(B3345:B$2,-1+SUMPRODUCT(MAX(ROW(E3345:E$2)*(E3346=E3345:E$2)))))</f>
        <v> </v>
      </c>
      <c r="J3346" s="26" t="str">
        <f>IF(OR(E3346="",E3346="!!!",F3346="NEW"),"",COUNTBLANK(OFFSET(A$1,,,SUMPRODUCT(MAX(ROW(E$2:E3346)*(E3346=E$2:E3346)))))-COUNTBLANK(OFFSET(A$1,,,SUMPRODUCT(MAX(ROW(E$1:E3345)*(E2=E$1:E3345))))))</f>
        <v> </v>
      </c>
      <c r="K3346" s="26" t="str">
        <f>IF(OR(E3346="",E3346="!!!",F3346="NEW"),"",INDEX(J$1:J3345,SUMPRODUCT(MAX(ROW(E$1:E3345)*(E3346=E$1:E3345)))))</f>
        <v> </v>
      </c>
      <c r="L3346" s="27"/>
    </row>
    <row r="3347" spans="1:12">
      <c r="A3347" s="20"/>
    </row>
    <row r="3348" spans="1:12">
      <c r="A3348" s="20" t="s">
        <v>1905</v>
      </c>
    </row>
    <row r="3349" spans="1:12">
      <c r="A3349" s="20" t="s">
        <v>768</v>
      </c>
      <c r="E3349" s="22">
        <f>IF(D3349="?OLD","!!!","")</f>
        <v/>
      </c>
      <c r="F3349" s="23" t="str">
        <f>IF(OR(E3349="",E3349="!!!"),"",IF(NOT(ISNA(VLOOKUP(E3349,E$1:E3348,1,FALSE()))),"OLD",IF(AND(E3349&lt;&gt;"",E3349&lt;&gt;"!!!"),"NEW","")))</f>
        <v> </v>
      </c>
      <c r="G3349" s="24" t="str">
        <f>IF(OR(E3349="",E3349="!!!"),"",IF(OR(J3349=0,AND(J3349=1,K3349=1),AND(J3349=1,I3349="SBJ"),AND(J3349=1,I3349=0)),"?IN_FOCUS",IF(J3349&lt;=2,"?ACTIVATED",IF(J3349&lt;&gt;"","?FAMILIAR",IF(F3349="NEW",IF(ISNA(VLOOKUP(E3349,#REF!,1,FALSE())),"?TYPE_IDENTIFIABLE","?REFERENTIAL"),"_")))))</f>
        <v> </v>
      </c>
      <c r="H3349" s="25" t="str">
        <f>IF(J3349&lt;&gt;1,"",IF(I3349="SBJ","CB","?"))</f>
        <v> </v>
      </c>
      <c r="I3349" s="26" t="str">
        <f>IF(OR(E3349="",E3349="!!!",F3349="NEW"),"",INDEX(B3348:B$2,-1+SUMPRODUCT(MAX(ROW(E3348:E$2)*(E3349=E3348:E$2)))))</f>
        <v> </v>
      </c>
      <c r="J3349" s="26" t="str">
        <f>IF(OR(E3349="",E3349="!!!",F3349="NEW"),"",COUNTBLANK(OFFSET(A$1,,,SUMPRODUCT(MAX(ROW(E$2:E3349)*(E3349=E$2:E3349)))))-COUNTBLANK(OFFSET(A$1,,,SUMPRODUCT(MAX(ROW(E$1:E3348)*(E2=E$1:E3348))))))</f>
        <v> </v>
      </c>
      <c r="K3349" s="26" t="str">
        <f>IF(OR(E3349="",E3349="!!!",F3349="NEW"),"",INDEX(J$1:J3348,SUMPRODUCT(MAX(ROW(E$1:E3348)*(E3349=E$1:E3348)))))</f>
        <v> </v>
      </c>
      <c r="L3349" s="27"/>
    </row>
    <row r="3350" spans="1:12">
      <c r="A3350" s="20" t="s">
        <v>813</v>
      </c>
      <c r="E3350" s="22">
        <f>IF(D3350="?OLD","!!!","")</f>
        <v/>
      </c>
      <c r="F3350" s="23" t="str">
        <f>IF(OR(E3350="",E3350="!!!"),"",IF(NOT(ISNA(VLOOKUP(E3350,E$1:E3349,1,FALSE()))),"OLD",IF(AND(E3350&lt;&gt;"",E3350&lt;&gt;"!!!"),"NEW","")))</f>
        <v> </v>
      </c>
      <c r="G3350" s="24" t="str">
        <f>IF(OR(E3350="",E3350="!!!"),"",IF(OR(J3350=0,AND(J3350=1,K3350=1),AND(J3350=1,I3350="SBJ"),AND(J3350=1,I3350=0)),"?IN_FOCUS",IF(J3350&lt;=2,"?ACTIVATED",IF(J3350&lt;&gt;"","?FAMILIAR",IF(F3350="NEW",IF(ISNA(VLOOKUP(E3350,#REF!,1,FALSE())),"?TYPE_IDENTIFIABLE","?REFERENTIAL"),"_")))))</f>
        <v> </v>
      </c>
      <c r="H3350" s="25" t="str">
        <f>IF(J3350&lt;&gt;1,"",IF(I3350="SBJ","CB","?"))</f>
        <v> </v>
      </c>
      <c r="I3350" s="26" t="str">
        <f>IF(OR(E3350="",E3350="!!!",F3350="NEW"),"",INDEX(B3349:B$2,-1+SUMPRODUCT(MAX(ROW(E3349:E$2)*(E3350=E3349:E$2)))))</f>
        <v> </v>
      </c>
      <c r="J3350" s="26" t="str">
        <f>IF(OR(E3350="",E3350="!!!",F3350="NEW"),"",COUNTBLANK(OFFSET(A$1,,,SUMPRODUCT(MAX(ROW(E$2:E3350)*(E3350=E$2:E3350)))))-COUNTBLANK(OFFSET(A$1,,,SUMPRODUCT(MAX(ROW(E$1:E3349)*(E2=E$1:E3349))))))</f>
        <v> </v>
      </c>
      <c r="K3350" s="26" t="str">
        <f>IF(OR(E3350="",E3350="!!!",F3350="NEW"),"",INDEX(J$1:J3349,SUMPRODUCT(MAX(ROW(E$1:E3349)*(E3350=E$1:E3349)))))</f>
        <v> </v>
      </c>
      <c r="L3350" s="27"/>
    </row>
    <row r="3351" spans="1:12">
      <c r="A3351" s="20" t="s">
        <v>1812</v>
      </c>
      <c r="B3351" s="21" t="s">
        <v>728</v>
      </c>
      <c r="C3351" s="21" t="s">
        <v>753</v>
      </c>
      <c r="D3351" s="21" t="s">
        <v>730</v>
      </c>
      <c r="E3351" s="22">
        <f>IF(D3351="?OLD","!!!","")</f>
        <v/>
      </c>
      <c r="F3351" s="23" t="str">
        <f>IF(OR(E3351="",E3351="!!!"),"",IF(NOT(ISNA(VLOOKUP(E3351,E$1:E3350,1,FALSE()))),"OLD",IF(AND(E3351&lt;&gt;"",E3351&lt;&gt;"!!!"),"NEW","")))</f>
        <v> </v>
      </c>
      <c r="G3351" s="24" t="str">
        <f>IF(OR(E3351="",E3351="!!!"),"",IF(OR(J3351=0,AND(J3351=1,K3351=1),AND(J3351=1,I3351="SBJ"),AND(J3351=1,I3351=0)),"?IN_FOCUS",IF(J3351&lt;=2,"?ACTIVATED",IF(J3351&lt;&gt;"","?FAMILIAR",IF(F3351="NEW",IF(ISNA(VLOOKUP(E3351,#REF!,1,FALSE())),"?TYPE_IDENTIFIABLE","?REFERENTIAL"),"_")))))</f>
        <v> </v>
      </c>
      <c r="H3351" s="25" t="str">
        <f>IF(J3351&lt;&gt;1,"",IF(I3351="SBJ","CB","?"))</f>
        <v> </v>
      </c>
      <c r="I3351" s="26" t="str">
        <f>IF(OR(E3351="",E3351="!!!",F3351="NEW"),"",INDEX(B3350:B$2,-1+SUMPRODUCT(MAX(ROW(E3350:E$2)*(E3351=E3350:E$2)))))</f>
        <v> </v>
      </c>
      <c r="J3351" s="26" t="str">
        <f>IF(OR(E3351="",E3351="!!!",F3351="NEW"),"",COUNTBLANK(OFFSET(A$1,,,SUMPRODUCT(MAX(ROW(E$2:E3351)*(E3351=E$2:E3351)))))-COUNTBLANK(OFFSET(A$1,,,SUMPRODUCT(MAX(ROW(E$1:E3350)*(E2=E$1:E3350))))))</f>
        <v> </v>
      </c>
      <c r="K3351" s="26" t="str">
        <f>IF(OR(E3351="",E3351="!!!",F3351="NEW"),"",INDEX(J$1:J3350,SUMPRODUCT(MAX(ROW(E$1:E3350)*(E3351=E$1:E3350)))))</f>
        <v> </v>
      </c>
      <c r="L3351" s="27"/>
    </row>
    <row r="3352" spans="1:12">
      <c r="A3352" s="20" t="s">
        <v>1906</v>
      </c>
      <c r="E3352" s="22">
        <f>IF(D3352="?OLD","!!!","")</f>
        <v/>
      </c>
      <c r="F3352" s="23" t="str">
        <f>IF(OR(E3352="",E3352="!!!"),"",IF(NOT(ISNA(VLOOKUP(E3352,E$1:E3351,1,FALSE()))),"OLD",IF(AND(E3352&lt;&gt;"",E3352&lt;&gt;"!!!"),"NEW","")))</f>
        <v> </v>
      </c>
      <c r="G3352" s="24" t="str">
        <f>IF(OR(E3352="",E3352="!!!"),"",IF(OR(J3352=0,AND(J3352=1,K3352=1),AND(J3352=1,I3352="SBJ"),AND(J3352=1,I3352=0)),"?IN_FOCUS",IF(J3352&lt;=2,"?ACTIVATED",IF(J3352&lt;&gt;"","?FAMILIAR",IF(F3352="NEW",IF(ISNA(VLOOKUP(E3352,#REF!,1,FALSE())),"?TYPE_IDENTIFIABLE","?REFERENTIAL"),"_")))))</f>
        <v> </v>
      </c>
      <c r="H3352" s="25" t="str">
        <f>IF(J3352&lt;&gt;1,"",IF(I3352="SBJ","CB","?"))</f>
        <v> </v>
      </c>
      <c r="I3352" s="26" t="str">
        <f>IF(OR(E3352="",E3352="!!!",F3352="NEW"),"",INDEX(B3351:B$2,-1+SUMPRODUCT(MAX(ROW(E3351:E$2)*(E3352=E3351:E$2)))))</f>
        <v> </v>
      </c>
      <c r="J3352" s="26" t="str">
        <f>IF(OR(E3352="",E3352="!!!",F3352="NEW"),"",COUNTBLANK(OFFSET(A$1,,,SUMPRODUCT(MAX(ROW(E$2:E3352)*(E3352=E$2:E3352)))))-COUNTBLANK(OFFSET(A$1,,,SUMPRODUCT(MAX(ROW(E$1:E3351)*(E2=E$1:E3351))))))</f>
        <v> </v>
      </c>
      <c r="K3352" s="26" t="str">
        <f>IF(OR(E3352="",E3352="!!!",F3352="NEW"),"",INDEX(J$1:J3351,SUMPRODUCT(MAX(ROW(E$1:E3351)*(E3352=E$1:E3351)))))</f>
        <v> </v>
      </c>
      <c r="L3352" s="27"/>
    </row>
    <row r="3353" spans="1:12">
      <c r="A3353" s="20" t="s">
        <v>1907</v>
      </c>
      <c r="B3353" s="21" t="s">
        <v>739</v>
      </c>
      <c r="C3353" s="21" t="s">
        <v>852</v>
      </c>
      <c r="E3353" s="22">
        <f>IF(D3353="?OLD","!!!","")</f>
        <v/>
      </c>
      <c r="F3353" s="23" t="str">
        <f>IF(OR(E3353="",E3353="!!!"),"",IF(NOT(ISNA(VLOOKUP(E3353,E$1:E3352,1,FALSE()))),"OLD",IF(AND(E3353&lt;&gt;"",E3353&lt;&gt;"!!!"),"NEW","")))</f>
        <v> </v>
      </c>
      <c r="G3353" s="24" t="str">
        <f>IF(OR(E3353="",E3353="!!!"),"",IF(OR(J3353=0,AND(J3353=1,K3353=1),AND(J3353=1,I3353="SBJ"),AND(J3353=1,I3353=0)),"?IN_FOCUS",IF(J3353&lt;=2,"?ACTIVATED",IF(J3353&lt;&gt;"","?FAMILIAR",IF(F3353="NEW",IF(ISNA(VLOOKUP(E3353,#REF!,1,FALSE())),"?TYPE_IDENTIFIABLE","?REFERENTIAL"),"_")))))</f>
        <v> </v>
      </c>
      <c r="H3353" s="25" t="str">
        <f>IF(J3353&lt;&gt;1,"",IF(I3353="SBJ","CB","?"))</f>
        <v> </v>
      </c>
      <c r="I3353" s="26" t="str">
        <f>IF(OR(E3353="",E3353="!!!",F3353="NEW"),"",INDEX(B3352:B$2,-1+SUMPRODUCT(MAX(ROW(E3352:E$2)*(E3353=E3352:E$2)))))</f>
        <v> </v>
      </c>
      <c r="J3353" s="26" t="str">
        <f>IF(OR(E3353="",E3353="!!!",F3353="NEW"),"",COUNTBLANK(OFFSET(A$1,,,SUMPRODUCT(MAX(ROW(E$2:E3353)*(E3353=E$2:E3353)))))-COUNTBLANK(OFFSET(A$1,,,SUMPRODUCT(MAX(ROW(E$1:E3352)*(E2=E$1:E3352))))))</f>
        <v> </v>
      </c>
      <c r="K3353" s="26" t="str">
        <f>IF(OR(E3353="",E3353="!!!",F3353="NEW"),"",INDEX(J$1:J3352,SUMPRODUCT(MAX(ROW(E$1:E3352)*(E3353=E$1:E3352)))))</f>
        <v> </v>
      </c>
      <c r="L3353" s="27"/>
    </row>
    <row r="3354" spans="1:12">
      <c r="A3354" s="20" t="s">
        <v>1087</v>
      </c>
      <c r="E3354" s="22">
        <f>IF(D3354="?OLD","!!!","")</f>
        <v/>
      </c>
      <c r="F3354" s="23" t="str">
        <f>IF(OR(E3354="",E3354="!!!"),"",IF(NOT(ISNA(VLOOKUP(E3354,E$1:E3353,1,FALSE()))),"OLD",IF(AND(E3354&lt;&gt;"",E3354&lt;&gt;"!!!"),"NEW","")))</f>
        <v> </v>
      </c>
      <c r="G3354" s="24" t="str">
        <f>IF(OR(E3354="",E3354="!!!"),"",IF(OR(J3354=0,AND(J3354=1,K3354=1),AND(J3354=1,I3354="SBJ"),AND(J3354=1,I3354=0)),"?IN_FOCUS",IF(J3354&lt;=2,"?ACTIVATED",IF(J3354&lt;&gt;"","?FAMILIAR",IF(F3354="NEW",IF(ISNA(VLOOKUP(E3354,#REF!,1,FALSE())),"?TYPE_IDENTIFIABLE","?REFERENTIAL"),"_")))))</f>
        <v> </v>
      </c>
      <c r="H3354" s="25" t="str">
        <f>IF(J3354&lt;&gt;1,"",IF(I3354="SBJ","CB","?"))</f>
        <v> </v>
      </c>
      <c r="I3354" s="26" t="str">
        <f>IF(OR(E3354="",E3354="!!!",F3354="NEW"),"",INDEX(B3353:B$2,-1+SUMPRODUCT(MAX(ROW(E3353:E$2)*(E3354=E3353:E$2)))))</f>
        <v> </v>
      </c>
      <c r="J3354" s="26" t="str">
        <f>IF(OR(E3354="",E3354="!!!",F3354="NEW"),"",COUNTBLANK(OFFSET(A$1,,,SUMPRODUCT(MAX(ROW(E$2:E3354)*(E3354=E$2:E3354)))))-COUNTBLANK(OFFSET(A$1,,,SUMPRODUCT(MAX(ROW(E$1:E3353)*(E2=E$1:E3353))))))</f>
        <v> </v>
      </c>
      <c r="K3354" s="26" t="str">
        <f>IF(OR(E3354="",E3354="!!!",F3354="NEW"),"",INDEX(J$1:J3353,SUMPRODUCT(MAX(ROW(E$1:E3353)*(E3354=E$1:E3353)))))</f>
        <v> </v>
      </c>
      <c r="L3354" s="27"/>
    </row>
    <row r="3355" spans="1:12">
      <c r="A3355" s="20" t="s">
        <v>1908</v>
      </c>
      <c r="E3355" s="22">
        <f>IF(D3355="?OLD","!!!","")</f>
        <v/>
      </c>
      <c r="F3355" s="23" t="str">
        <f>IF(OR(E3355="",E3355="!!!"),"",IF(NOT(ISNA(VLOOKUP(E3355,E$1:E3354,1,FALSE()))),"OLD",IF(AND(E3355&lt;&gt;"",E3355&lt;&gt;"!!!"),"NEW","")))</f>
        <v> </v>
      </c>
      <c r="G3355" s="24" t="str">
        <f>IF(OR(E3355="",E3355="!!!"),"",IF(OR(J3355=0,AND(J3355=1,K3355=1),AND(J3355=1,I3355="SBJ"),AND(J3355=1,I3355=0)),"?IN_FOCUS",IF(J3355&lt;=2,"?ACTIVATED",IF(J3355&lt;&gt;"","?FAMILIAR",IF(F3355="NEW",IF(ISNA(VLOOKUP(E3355,#REF!,1,FALSE())),"?TYPE_IDENTIFIABLE","?REFERENTIAL"),"_")))))</f>
        <v> </v>
      </c>
      <c r="H3355" s="25" t="str">
        <f>IF(J3355&lt;&gt;1,"",IF(I3355="SBJ","CB","?"))</f>
        <v> </v>
      </c>
      <c r="I3355" s="26" t="str">
        <f>IF(OR(E3355="",E3355="!!!",F3355="NEW"),"",INDEX(B3354:B$2,-1+SUMPRODUCT(MAX(ROW(E3354:E$2)*(E3355=E3354:E$2)))))</f>
        <v> </v>
      </c>
      <c r="J3355" s="26" t="str">
        <f>IF(OR(E3355="",E3355="!!!",F3355="NEW"),"",COUNTBLANK(OFFSET(A$1,,,SUMPRODUCT(MAX(ROW(E$2:E3355)*(E3355=E$2:E3355)))))-COUNTBLANK(OFFSET(A$1,,,SUMPRODUCT(MAX(ROW(E$1:E3354)*(E2=E$1:E3354))))))</f>
        <v> </v>
      </c>
      <c r="K3355" s="26" t="str">
        <f>IF(OR(E3355="",E3355="!!!",F3355="NEW"),"",INDEX(J$1:J3354,SUMPRODUCT(MAX(ROW(E$1:E3354)*(E3355=E$1:E3354)))))</f>
        <v> </v>
      </c>
      <c r="L3355" s="27"/>
    </row>
    <row r="3356" spans="1:12">
      <c r="A3356" s="20" t="s">
        <v>920</v>
      </c>
      <c r="E3356" s="22">
        <f>IF(D3356="?OLD","!!!","")</f>
        <v/>
      </c>
      <c r="F3356" s="23" t="str">
        <f>IF(OR(E3356="",E3356="!!!"),"",IF(NOT(ISNA(VLOOKUP(E3356,E$1:E3355,1,FALSE()))),"OLD",IF(AND(E3356&lt;&gt;"",E3356&lt;&gt;"!!!"),"NEW","")))</f>
        <v> </v>
      </c>
      <c r="G3356" s="24" t="str">
        <f>IF(OR(E3356="",E3356="!!!"),"",IF(OR(J3356=0,AND(J3356=1,K3356=1),AND(J3356=1,I3356="SBJ"),AND(J3356=1,I3356=0)),"?IN_FOCUS",IF(J3356&lt;=2,"?ACTIVATED",IF(J3356&lt;&gt;"","?FAMILIAR",IF(F3356="NEW",IF(ISNA(VLOOKUP(E3356,#REF!,1,FALSE())),"?TYPE_IDENTIFIABLE","?REFERENTIAL"),"_")))))</f>
        <v> </v>
      </c>
      <c r="H3356" s="25" t="str">
        <f>IF(J3356&lt;&gt;1,"",IF(I3356="SBJ","CB","?"))</f>
        <v> </v>
      </c>
      <c r="I3356" s="26" t="str">
        <f>IF(OR(E3356="",E3356="!!!",F3356="NEW"),"",INDEX(B3355:B$2,-1+SUMPRODUCT(MAX(ROW(E3355:E$2)*(E3356=E3355:E$2)))))</f>
        <v> </v>
      </c>
      <c r="J3356" s="26" t="str">
        <f>IF(OR(E3356="",E3356="!!!",F3356="NEW"),"",COUNTBLANK(OFFSET(A$1,,,SUMPRODUCT(MAX(ROW(E$2:E3356)*(E3356=E$2:E3356)))))-COUNTBLANK(OFFSET(A$1,,,SUMPRODUCT(MAX(ROW(E$1:E3355)*(E2=E$1:E3355))))))</f>
        <v> </v>
      </c>
      <c r="K3356" s="26" t="str">
        <f>IF(OR(E3356="",E3356="!!!",F3356="NEW"),"",INDEX(J$1:J3355,SUMPRODUCT(MAX(ROW(E$1:E3355)*(E3356=E$1:E3355)))))</f>
        <v> </v>
      </c>
      <c r="L3356" s="27"/>
    </row>
    <row r="3357" spans="1:12">
      <c r="A3357" s="20" t="s">
        <v>1909</v>
      </c>
      <c r="B3357" s="21" t="s">
        <v>739</v>
      </c>
      <c r="C3357" s="21" t="s">
        <v>756</v>
      </c>
      <c r="E3357" s="22">
        <f>IF(D3357="?OLD","!!!","")</f>
        <v/>
      </c>
      <c r="F3357" s="23" t="str">
        <f>IF(OR(E3357="",E3357="!!!"),"",IF(NOT(ISNA(VLOOKUP(E3357,E$1:E3356,1,FALSE()))),"OLD",IF(AND(E3357&lt;&gt;"",E3357&lt;&gt;"!!!"),"NEW","")))</f>
        <v> </v>
      </c>
      <c r="G3357" s="24" t="str">
        <f>IF(OR(E3357="",E3357="!!!"),"",IF(OR(J3357=0,AND(J3357=1,K3357=1),AND(J3357=1,I3357="SBJ"),AND(J3357=1,I3357=0)),"?IN_FOCUS",IF(J3357&lt;=2,"?ACTIVATED",IF(J3357&lt;&gt;"","?FAMILIAR",IF(F3357="NEW",IF(ISNA(VLOOKUP(E3357,#REF!,1,FALSE())),"?TYPE_IDENTIFIABLE","?REFERENTIAL"),"_")))))</f>
        <v> </v>
      </c>
      <c r="H3357" s="25" t="str">
        <f>IF(J3357&lt;&gt;1,"",IF(I3357="SBJ","CB","?"))</f>
        <v> </v>
      </c>
      <c r="I3357" s="26" t="str">
        <f>IF(OR(E3357="",E3357="!!!",F3357="NEW"),"",INDEX(B3356:B$2,-1+SUMPRODUCT(MAX(ROW(E3356:E$2)*(E3357=E3356:E$2)))))</f>
        <v> </v>
      </c>
      <c r="J3357" s="26" t="str">
        <f>IF(OR(E3357="",E3357="!!!",F3357="NEW"),"",COUNTBLANK(OFFSET(A$1,,,SUMPRODUCT(MAX(ROW(E$2:E3357)*(E3357=E$2:E3357)))))-COUNTBLANK(OFFSET(A$1,,,SUMPRODUCT(MAX(ROW(E$1:E3356)*(E2=E$1:E3356))))))</f>
        <v> </v>
      </c>
      <c r="K3357" s="26" t="str">
        <f>IF(OR(E3357="",E3357="!!!",F3357="NEW"),"",INDEX(J$1:J3356,SUMPRODUCT(MAX(ROW(E$1:E3356)*(E3357=E$1:E3356)))))</f>
        <v> </v>
      </c>
      <c r="L3357" s="27"/>
    </row>
    <row r="3358" spans="1:12">
      <c r="A3358" s="20" t="s">
        <v>1910</v>
      </c>
      <c r="B3358" s="21" t="s">
        <v>736</v>
      </c>
      <c r="C3358" s="21" t="s">
        <v>978</v>
      </c>
      <c r="D3358" s="21" t="s">
        <v>730</v>
      </c>
      <c r="E3358" s="22">
        <f>IF(D3358="?OLD","!!!","")</f>
        <v/>
      </c>
      <c r="F3358" s="23" t="str">
        <f>IF(OR(E3358="",E3358="!!!"),"",IF(NOT(ISNA(VLOOKUP(E3358,E$1:E3357,1,FALSE()))),"OLD",IF(AND(E3358&lt;&gt;"",E3358&lt;&gt;"!!!"),"NEW","")))</f>
        <v> </v>
      </c>
      <c r="G3358" s="24" t="str">
        <f>IF(OR(E3358="",E3358="!!!"),"",IF(OR(J3358=0,AND(J3358=1,K3358=1),AND(J3358=1,I3358="SBJ"),AND(J3358=1,I3358=0)),"?IN_FOCUS",IF(J3358&lt;=2,"?ACTIVATED",IF(J3358&lt;&gt;"","?FAMILIAR",IF(F3358="NEW",IF(ISNA(VLOOKUP(E3358,#REF!,1,FALSE())),"?TYPE_IDENTIFIABLE","?REFERENTIAL"),"_")))))</f>
        <v> </v>
      </c>
      <c r="H3358" s="25" t="str">
        <f>IF(J3358&lt;&gt;1,"",IF(I3358="SBJ","CB","?"))</f>
        <v> </v>
      </c>
      <c r="I3358" s="26" t="str">
        <f>IF(OR(E3358="",E3358="!!!",F3358="NEW"),"",INDEX(B3357:B$2,-1+SUMPRODUCT(MAX(ROW(E3357:E$2)*(E3358=E3357:E$2)))))</f>
        <v> </v>
      </c>
      <c r="J3358" s="26" t="str">
        <f>IF(OR(E3358="",E3358="!!!",F3358="NEW"),"",COUNTBLANK(OFFSET(A$1,,,SUMPRODUCT(MAX(ROW(E$2:E3358)*(E3358=E$2:E3358)))))-COUNTBLANK(OFFSET(A$1,,,SUMPRODUCT(MAX(ROW(E$1:E3357)*(E2=E$1:E3357))))))</f>
        <v> </v>
      </c>
      <c r="K3358" s="26" t="str">
        <f>IF(OR(E3358="",E3358="!!!",F3358="NEW"),"",INDEX(J$1:J3357,SUMPRODUCT(MAX(ROW(E$1:E3357)*(E3358=E$1:E3357)))))</f>
        <v> </v>
      </c>
      <c r="L3358" s="27"/>
    </row>
    <row r="3359" spans="1:12">
      <c r="A3359" s="20" t="s">
        <v>1245</v>
      </c>
      <c r="B3359" s="21" t="s">
        <v>755</v>
      </c>
      <c r="C3359" s="21" t="s">
        <v>801</v>
      </c>
      <c r="D3359" s="21" t="s">
        <v>730</v>
      </c>
      <c r="E3359" s="22">
        <f>IF(D3359="?OLD","!!!","")</f>
        <v/>
      </c>
      <c r="F3359" s="23" t="str">
        <f>IF(OR(E3359="",E3359="!!!"),"",IF(NOT(ISNA(VLOOKUP(E3359,E$1:E3358,1,FALSE()))),"OLD",IF(AND(E3359&lt;&gt;"",E3359&lt;&gt;"!!!"),"NEW","")))</f>
        <v> </v>
      </c>
      <c r="G3359" s="24" t="str">
        <f>IF(OR(E3359="",E3359="!!!"),"",IF(OR(J3359=0,AND(J3359=1,K3359=1),AND(J3359=1,I3359="SBJ"),AND(J3359=1,I3359=0)),"?IN_FOCUS",IF(J3359&lt;=2,"?ACTIVATED",IF(J3359&lt;&gt;"","?FAMILIAR",IF(F3359="NEW",IF(ISNA(VLOOKUP(E3359,#REF!,1,FALSE())),"?TYPE_IDENTIFIABLE","?REFERENTIAL"),"_")))))</f>
        <v> </v>
      </c>
      <c r="H3359" s="25" t="str">
        <f>IF(J3359&lt;&gt;1,"",IF(I3359="SBJ","CB","?"))</f>
        <v> </v>
      </c>
      <c r="I3359" s="26" t="str">
        <f>IF(OR(E3359="",E3359="!!!",F3359="NEW"),"",INDEX(B3358:B$2,-1+SUMPRODUCT(MAX(ROW(E3358:E$2)*(E3359=E3358:E$2)))))</f>
        <v> </v>
      </c>
      <c r="J3359" s="26" t="str">
        <f>IF(OR(E3359="",E3359="!!!",F3359="NEW"),"",COUNTBLANK(OFFSET(A$1,,,SUMPRODUCT(MAX(ROW(E$2:E3359)*(E3359=E$2:E3359)))))-COUNTBLANK(OFFSET(A$1,,,SUMPRODUCT(MAX(ROW(E$1:E3358)*(E2=E$1:E3358))))))</f>
        <v> </v>
      </c>
      <c r="K3359" s="26" t="str">
        <f>IF(OR(E3359="",E3359="!!!",F3359="NEW"),"",INDEX(J$1:J3358,SUMPRODUCT(MAX(ROW(E$1:E3358)*(E3359=E$1:E3358)))))</f>
        <v> </v>
      </c>
      <c r="L3359" s="27"/>
    </row>
    <row r="3360" spans="1:12">
      <c r="A3360" s="20" t="s">
        <v>842</v>
      </c>
      <c r="B3360" s="21" t="s">
        <v>739</v>
      </c>
      <c r="C3360" s="21" t="s">
        <v>802</v>
      </c>
      <c r="D3360" s="21" t="s">
        <v>730</v>
      </c>
      <c r="E3360" s="22">
        <f>IF(D3360="?OLD","!!!","")</f>
        <v/>
      </c>
      <c r="F3360" s="23" t="str">
        <f>IF(OR(E3360="",E3360="!!!"),"",IF(NOT(ISNA(VLOOKUP(E3360,E$1:E3359,1,FALSE()))),"OLD",IF(AND(E3360&lt;&gt;"",E3360&lt;&gt;"!!!"),"NEW","")))</f>
        <v> </v>
      </c>
      <c r="G3360" s="24" t="str">
        <f>IF(OR(E3360="",E3360="!!!"),"",IF(OR(J3360=0,AND(J3360=1,K3360=1),AND(J3360=1,I3360="SBJ"),AND(J3360=1,I3360=0)),"?IN_FOCUS",IF(J3360&lt;=2,"?ACTIVATED",IF(J3360&lt;&gt;"","?FAMILIAR",IF(F3360="NEW",IF(ISNA(VLOOKUP(E3360,#REF!,1,FALSE())),"?TYPE_IDENTIFIABLE","?REFERENTIAL"),"_")))))</f>
        <v> </v>
      </c>
      <c r="H3360" s="25" t="str">
        <f>IF(J3360&lt;&gt;1,"",IF(I3360="SBJ","CB","?"))</f>
        <v> </v>
      </c>
      <c r="I3360" s="26" t="str">
        <f>IF(OR(E3360="",E3360="!!!",F3360="NEW"),"",INDEX(B3359:B$2,-1+SUMPRODUCT(MAX(ROW(E3359:E$2)*(E3360=E3359:E$2)))))</f>
        <v> </v>
      </c>
      <c r="J3360" s="26" t="str">
        <f>IF(OR(E3360="",E3360="!!!",F3360="NEW"),"",COUNTBLANK(OFFSET(A$1,,,SUMPRODUCT(MAX(ROW(E$2:E3360)*(E3360=E$2:E3360)))))-COUNTBLANK(OFFSET(A$1,,,SUMPRODUCT(MAX(ROW(E$1:E3359)*(E2=E$1:E3359))))))</f>
        <v> </v>
      </c>
      <c r="K3360" s="26" t="str">
        <f>IF(OR(E3360="",E3360="!!!",F3360="NEW"),"",INDEX(J$1:J3359,SUMPRODUCT(MAX(ROW(E$1:E3359)*(E3360=E$1:E3359)))))</f>
        <v> </v>
      </c>
      <c r="L3360" s="27"/>
    </row>
    <row r="3361" spans="1:12">
      <c r="A3361" s="20" t="s">
        <v>246</v>
      </c>
      <c r="E3361" s="22">
        <f>IF(D3361="?OLD","!!!","")</f>
        <v/>
      </c>
      <c r="F3361" s="23" t="str">
        <f>IF(OR(E3361="",E3361="!!!"),"",IF(NOT(ISNA(VLOOKUP(E3361,E$1:E3360,1,FALSE()))),"OLD",IF(AND(E3361&lt;&gt;"",E3361&lt;&gt;"!!!"),"NEW","")))</f>
        <v> </v>
      </c>
      <c r="G3361" s="24" t="str">
        <f>IF(OR(E3361="",E3361="!!!"),"",IF(OR(J3361=0,AND(J3361=1,K3361=1),AND(J3361=1,I3361="SBJ"),AND(J3361=1,I3361=0)),"?IN_FOCUS",IF(J3361&lt;=2,"?ACTIVATED",IF(J3361&lt;&gt;"","?FAMILIAR",IF(F3361="NEW",IF(ISNA(VLOOKUP(E3361,#REF!,1,FALSE())),"?TYPE_IDENTIFIABLE","?REFERENTIAL"),"_")))))</f>
        <v> </v>
      </c>
      <c r="H3361" s="25" t="str">
        <f>IF(J3361&lt;&gt;1,"",IF(I3361="SBJ","CB","?"))</f>
        <v> </v>
      </c>
      <c r="I3361" s="26" t="str">
        <f>IF(OR(E3361="",E3361="!!!",F3361="NEW"),"",INDEX(B3360:B$2,-1+SUMPRODUCT(MAX(ROW(E3360:E$2)*(E3361=E3360:E$2)))))</f>
        <v> </v>
      </c>
      <c r="J3361" s="26" t="str">
        <f>IF(OR(E3361="",E3361="!!!",F3361="NEW"),"",COUNTBLANK(OFFSET(A$1,,,SUMPRODUCT(MAX(ROW(E$2:E3361)*(E3361=E$2:E3361)))))-COUNTBLANK(OFFSET(A$1,,,SUMPRODUCT(MAX(ROW(E$1:E3360)*(E2=E$1:E3360))))))</f>
        <v> </v>
      </c>
      <c r="K3361" s="26" t="str">
        <f>IF(OR(E3361="",E3361="!!!",F3361="NEW"),"",INDEX(J$1:J3360,SUMPRODUCT(MAX(ROW(E$1:E3360)*(E3361=E$1:E3360)))))</f>
        <v> </v>
      </c>
      <c r="L3361" s="27"/>
    </row>
    <row r="3362" spans="1:12">
      <c r="A3362" s="20"/>
    </row>
    <row r="3363" spans="1:12">
      <c r="A3363" s="20" t="s">
        <v>798</v>
      </c>
      <c r="E3363" s="22">
        <f>IF(D3363="?OLD","!!!","")</f>
        <v/>
      </c>
      <c r="F3363" s="23" t="str">
        <f>IF(OR(E3363="",E3363="!!!"),"",IF(NOT(ISNA(VLOOKUP(E3363,E$1:E3362,1,FALSE()))),"OLD",IF(AND(E3363&lt;&gt;"",E3363&lt;&gt;"!!!"),"NEW","")))</f>
        <v> </v>
      </c>
      <c r="G3363" s="24" t="str">
        <f>IF(OR(E3363="",E3363="!!!"),"",IF(OR(J3363=0,AND(J3363=1,K3363=1),AND(J3363=1,I3363="SBJ"),AND(J3363=1,I3363=0)),"?IN_FOCUS",IF(J3363&lt;=2,"?ACTIVATED",IF(J3363&lt;&gt;"","?FAMILIAR",IF(F3363="NEW",IF(ISNA(VLOOKUP(E3363,#REF!,1,FALSE())),"?TYPE_IDENTIFIABLE","?REFERENTIAL"),"_")))))</f>
        <v> </v>
      </c>
      <c r="H3363" s="25" t="str">
        <f>IF(J3363&lt;&gt;1,"",IF(I3363="SBJ","CB","?"))</f>
        <v> </v>
      </c>
      <c r="I3363" s="26" t="str">
        <f>IF(OR(E3363="",E3363="!!!",F3363="NEW"),"",INDEX(B3362:B$2,-1+SUMPRODUCT(MAX(ROW(E3362:E$2)*(E3363=E3362:E$2)))))</f>
        <v> </v>
      </c>
      <c r="J3363" s="26" t="str">
        <f>IF(OR(E3363="",E3363="!!!",F3363="NEW"),"",COUNTBLANK(OFFSET(A$1,,,SUMPRODUCT(MAX(ROW(E$2:E3363)*(E3363=E$2:E3363)))))-COUNTBLANK(OFFSET(A$1,,,SUMPRODUCT(MAX(ROW(E$1:E3362)*(E2=E$1:E3362))))))</f>
        <v> </v>
      </c>
      <c r="K3363" s="26" t="str">
        <f>IF(OR(E3363="",E3363="!!!",F3363="NEW"),"",INDEX(J$1:J3362,SUMPRODUCT(MAX(ROW(E$1:E3362)*(E3363=E$1:E3362)))))</f>
        <v> </v>
      </c>
      <c r="L3363" s="27"/>
    </row>
    <row r="3364" spans="1:12">
      <c r="A3364" s="20" t="s">
        <v>1911</v>
      </c>
    </row>
    <row r="3365" spans="1:12">
      <c r="A3365" s="20" t="s">
        <v>1669</v>
      </c>
      <c r="B3365" s="21" t="s">
        <v>739</v>
      </c>
      <c r="C3365" s="21" t="s">
        <v>756</v>
      </c>
      <c r="E3365" s="22">
        <f>IF(D3365="?OLD","!!!","")</f>
        <v/>
      </c>
      <c r="F3365" s="23" t="str">
        <f>IF(OR(E3365="",E3365="!!!"),"",IF(NOT(ISNA(VLOOKUP(E3365,E$1:E3364,1,FALSE()))),"OLD",IF(AND(E3365&lt;&gt;"",E3365&lt;&gt;"!!!"),"NEW","")))</f>
        <v> </v>
      </c>
      <c r="G3365" s="24" t="str">
        <f>IF(OR(E3365="",E3365="!!!"),"",IF(OR(J3365=0,AND(J3365=1,K3365=1),AND(J3365=1,I3365="SBJ"),AND(J3365=1,I3365=0)),"?IN_FOCUS",IF(J3365&lt;=2,"?ACTIVATED",IF(J3365&lt;&gt;"","?FAMILIAR",IF(F3365="NEW",IF(ISNA(VLOOKUP(E3365,#REF!,1,FALSE())),"?TYPE_IDENTIFIABLE","?REFERENTIAL"),"_")))))</f>
        <v> </v>
      </c>
      <c r="H3365" s="25" t="str">
        <f>IF(J3365&lt;&gt;1,"",IF(I3365="SBJ","CB","?"))</f>
        <v> </v>
      </c>
      <c r="I3365" s="26" t="str">
        <f>IF(OR(E3365="",E3365="!!!",F3365="NEW"),"",INDEX(B3364:B$2,-1+SUMPRODUCT(MAX(ROW(E3364:E$2)*(E3365=E3364:E$2)))))</f>
        <v> </v>
      </c>
      <c r="J3365" s="26" t="str">
        <f>IF(OR(E3365="",E3365="!!!",F3365="NEW"),"",COUNTBLANK(OFFSET(A$1,,,SUMPRODUCT(MAX(ROW(E$2:E3365)*(E3365=E$2:E3365)))))-COUNTBLANK(OFFSET(A$1,,,SUMPRODUCT(MAX(ROW(E$1:E3364)*(E2=E$1:E3364))))))</f>
        <v> </v>
      </c>
      <c r="K3365" s="26" t="str">
        <f>IF(OR(E3365="",E3365="!!!",F3365="NEW"),"",INDEX(J$1:J3364,SUMPRODUCT(MAX(ROW(E$1:E3364)*(E3365=E$1:E3364)))))</f>
        <v> </v>
      </c>
      <c r="L3365" s="27"/>
    </row>
    <row r="3366" spans="1:12">
      <c r="A3366" s="20" t="s">
        <v>792</v>
      </c>
      <c r="B3366" s="21" t="s">
        <v>736</v>
      </c>
      <c r="C3366" s="21" t="s">
        <v>729</v>
      </c>
      <c r="D3366" s="21" t="s">
        <v>730</v>
      </c>
      <c r="E3366" s="22">
        <f>IF(D3366="?OLD","!!!","")</f>
        <v/>
      </c>
      <c r="F3366" s="23" t="str">
        <f>IF(OR(E3366="",E3366="!!!"),"",IF(NOT(ISNA(VLOOKUP(E3366,E$1:E3365,1,FALSE()))),"OLD",IF(AND(E3366&lt;&gt;"",E3366&lt;&gt;"!!!"),"NEW","")))</f>
        <v> </v>
      </c>
      <c r="G3366" s="24" t="str">
        <f>IF(OR(E3366="",E3366="!!!"),"",IF(OR(J3366=0,AND(J3366=1,K3366=1),AND(J3366=1,I3366="SBJ"),AND(J3366=1,I3366=0)),"?IN_FOCUS",IF(J3366&lt;=2,"?ACTIVATED",IF(J3366&lt;&gt;"","?FAMILIAR",IF(F3366="NEW",IF(ISNA(VLOOKUP(E3366,#REF!,1,FALSE())),"?TYPE_IDENTIFIABLE","?REFERENTIAL"),"_")))))</f>
        <v> </v>
      </c>
      <c r="H3366" s="25" t="str">
        <f>IF(J3366&lt;&gt;1,"",IF(I3366="SBJ","CB","?"))</f>
        <v> </v>
      </c>
      <c r="I3366" s="26" t="str">
        <f>IF(OR(E3366="",E3366="!!!",F3366="NEW"),"",INDEX(B3365:B$2,-1+SUMPRODUCT(MAX(ROW(E3365:E$2)*(E3366=E3365:E$2)))))</f>
        <v> </v>
      </c>
      <c r="J3366" s="26" t="str">
        <f>IF(OR(E3366="",E3366="!!!",F3366="NEW"),"",COUNTBLANK(OFFSET(A$1,,,SUMPRODUCT(MAX(ROW(E$2:E3366)*(E3366=E$2:E3366)))))-COUNTBLANK(OFFSET(A$1,,,SUMPRODUCT(MAX(ROW(E$1:E3365)*(E2=E$1:E3365))))))</f>
        <v> </v>
      </c>
      <c r="K3366" s="26" t="str">
        <f>IF(OR(E3366="",E3366="!!!",F3366="NEW"),"",INDEX(J$1:J3365,SUMPRODUCT(MAX(ROW(E$1:E3365)*(E3366=E$1:E3365)))))</f>
        <v> </v>
      </c>
      <c r="L3366" s="27"/>
    </row>
    <row r="3367" spans="1:12">
      <c r="A3367" s="20" t="s">
        <v>40</v>
      </c>
      <c r="E3367" s="22">
        <f>IF(D3367="?OLD","!!!","")</f>
        <v/>
      </c>
      <c r="F3367" s="23" t="str">
        <f>IF(OR(E3367="",E3367="!!!"),"",IF(NOT(ISNA(VLOOKUP(E3367,E$1:E3366,1,FALSE()))),"OLD",IF(AND(E3367&lt;&gt;"",E3367&lt;&gt;"!!!"),"NEW","")))</f>
        <v> </v>
      </c>
      <c r="G3367" s="24" t="str">
        <f>IF(OR(E3367="",E3367="!!!"),"",IF(OR(J3367=0,AND(J3367=1,K3367=1),AND(J3367=1,I3367="SBJ"),AND(J3367=1,I3367=0)),"?IN_FOCUS",IF(J3367&lt;=2,"?ACTIVATED",IF(J3367&lt;&gt;"","?FAMILIAR",IF(F3367="NEW",IF(ISNA(VLOOKUP(E3367,#REF!,1,FALSE())),"?TYPE_IDENTIFIABLE","?REFERENTIAL"),"_")))))</f>
        <v> </v>
      </c>
      <c r="H3367" s="25" t="str">
        <f>IF(J3367&lt;&gt;1,"",IF(I3367="SBJ","CB","?"))</f>
        <v> </v>
      </c>
      <c r="I3367" s="26" t="str">
        <f>IF(OR(E3367="",E3367="!!!",F3367="NEW"),"",INDEX(B3366:B$2,-1+SUMPRODUCT(MAX(ROW(E3366:E$2)*(E3367=E3366:E$2)))))</f>
        <v> </v>
      </c>
      <c r="J3367" s="26" t="str">
        <f>IF(OR(E3367="",E3367="!!!",F3367="NEW"),"",COUNTBLANK(OFFSET(A$1,,,SUMPRODUCT(MAX(ROW(E$2:E3367)*(E3367=E$2:E3367)))))-COUNTBLANK(OFFSET(A$1,,,SUMPRODUCT(MAX(ROW(E$1:E3366)*(E2=E$1:E3366))))))</f>
        <v> </v>
      </c>
      <c r="K3367" s="26" t="str">
        <f>IF(OR(E3367="",E3367="!!!",F3367="NEW"),"",INDEX(J$1:J3366,SUMPRODUCT(MAX(ROW(E$1:E3366)*(E3367=E$1:E3366)))))</f>
        <v> </v>
      </c>
      <c r="L3367" s="27"/>
    </row>
    <row r="3368" spans="1:12">
      <c r="A3368" s="20" t="s">
        <v>1912</v>
      </c>
      <c r="E3368" s="22">
        <f>IF(D3368="?OLD","!!!","")</f>
        <v/>
      </c>
      <c r="F3368" s="23" t="str">
        <f>IF(OR(E3368="",E3368="!!!"),"",IF(NOT(ISNA(VLOOKUP(E3368,E$1:E3367,1,FALSE()))),"OLD",IF(AND(E3368&lt;&gt;"",E3368&lt;&gt;"!!!"),"NEW","")))</f>
        <v> </v>
      </c>
      <c r="G3368" s="24" t="str">
        <f>IF(OR(E3368="",E3368="!!!"),"",IF(OR(J3368=0,AND(J3368=1,K3368=1),AND(J3368=1,I3368="SBJ"),AND(J3368=1,I3368=0)),"?IN_FOCUS",IF(J3368&lt;=2,"?ACTIVATED",IF(J3368&lt;&gt;"","?FAMILIAR",IF(F3368="NEW",IF(ISNA(VLOOKUP(E3368,#REF!,1,FALSE())),"?TYPE_IDENTIFIABLE","?REFERENTIAL"),"_")))))</f>
        <v> </v>
      </c>
      <c r="H3368" s="25" t="str">
        <f>IF(J3368&lt;&gt;1,"",IF(I3368="SBJ","CB","?"))</f>
        <v> </v>
      </c>
      <c r="I3368" s="26" t="str">
        <f>IF(OR(E3368="",E3368="!!!",F3368="NEW"),"",INDEX(B3367:B$2,-1+SUMPRODUCT(MAX(ROW(E3367:E$2)*(E3368=E3367:E$2)))))</f>
        <v> </v>
      </c>
      <c r="J3368" s="26" t="str">
        <f>IF(OR(E3368="",E3368="!!!",F3368="NEW"),"",COUNTBLANK(OFFSET(A$1,,,SUMPRODUCT(MAX(ROW(E$2:E3368)*(E3368=E$2:E3368)))))-COUNTBLANK(OFFSET(A$1,,,SUMPRODUCT(MAX(ROW(E$1:E3367)*(E2=E$1:E3367))))))</f>
        <v> </v>
      </c>
      <c r="K3368" s="26" t="str">
        <f>IF(OR(E3368="",E3368="!!!",F3368="NEW"),"",INDEX(J$1:J3367,SUMPRODUCT(MAX(ROW(E$1:E3367)*(E3368=E$1:E3367)))))</f>
        <v> </v>
      </c>
      <c r="L3368" s="27"/>
    </row>
    <row r="3369" spans="1:12">
      <c r="A3369" s="20" t="s">
        <v>1518</v>
      </c>
      <c r="B3369" s="21" t="s">
        <v>728</v>
      </c>
      <c r="C3369" s="21" t="s">
        <v>748</v>
      </c>
      <c r="E3369" s="22">
        <f>IF(D3369="?OLD","!!!","")</f>
        <v/>
      </c>
      <c r="F3369" s="23" t="str">
        <f>IF(OR(E3369="",E3369="!!!"),"",IF(NOT(ISNA(VLOOKUP(E3369,E$1:E3368,1,FALSE()))),"OLD",IF(AND(E3369&lt;&gt;"",E3369&lt;&gt;"!!!"),"NEW","")))</f>
        <v> </v>
      </c>
      <c r="G3369" s="24" t="str">
        <f>IF(OR(E3369="",E3369="!!!"),"",IF(OR(J3369=0,AND(J3369=1,K3369=1),AND(J3369=1,I3369="SBJ"),AND(J3369=1,I3369=0)),"?IN_FOCUS",IF(J3369&lt;=2,"?ACTIVATED",IF(J3369&lt;&gt;"","?FAMILIAR",IF(F3369="NEW",IF(ISNA(VLOOKUP(E3369,#REF!,1,FALSE())),"?TYPE_IDENTIFIABLE","?REFERENTIAL"),"_")))))</f>
        <v> </v>
      </c>
      <c r="H3369" s="25" t="str">
        <f>IF(J3369&lt;&gt;1,"",IF(I3369="SBJ","CB","?"))</f>
        <v> </v>
      </c>
      <c r="I3369" s="26" t="str">
        <f>IF(OR(E3369="",E3369="!!!",F3369="NEW"),"",INDEX(B3368:B$2,-1+SUMPRODUCT(MAX(ROW(E3368:E$2)*(E3369=E3368:E$2)))))</f>
        <v> </v>
      </c>
      <c r="J3369" s="26" t="str">
        <f>IF(OR(E3369="",E3369="!!!",F3369="NEW"),"",COUNTBLANK(OFFSET(A$1,,,SUMPRODUCT(MAX(ROW(E$2:E3369)*(E3369=E$2:E3369)))))-COUNTBLANK(OFFSET(A$1,,,SUMPRODUCT(MAX(ROW(E$1:E3368)*(E2=E$1:E3368))))))</f>
        <v> </v>
      </c>
      <c r="K3369" s="26" t="str">
        <f>IF(OR(E3369="",E3369="!!!",F3369="NEW"),"",INDEX(J$1:J3368,SUMPRODUCT(MAX(ROW(E$1:E3368)*(E3369=E$1:E3368)))))</f>
        <v> </v>
      </c>
      <c r="L3369" s="27"/>
    </row>
    <row r="3370" spans="1:12">
      <c r="A3370" s="20" t="s">
        <v>759</v>
      </c>
      <c r="E3370" s="22">
        <f>IF(D3370="?OLD","!!!","")</f>
        <v/>
      </c>
      <c r="F3370" s="23" t="str">
        <f>IF(OR(E3370="",E3370="!!!"),"",IF(NOT(ISNA(VLOOKUP(E3370,E$1:E3369,1,FALSE()))),"OLD",IF(AND(E3370&lt;&gt;"",E3370&lt;&gt;"!!!"),"NEW","")))</f>
        <v> </v>
      </c>
      <c r="G3370" s="24" t="str">
        <f>IF(OR(E3370="",E3370="!!!"),"",IF(OR(J3370=0,AND(J3370=1,K3370=1),AND(J3370=1,I3370="SBJ"),AND(J3370=1,I3370=0)),"?IN_FOCUS",IF(J3370&lt;=2,"?ACTIVATED",IF(J3370&lt;&gt;"","?FAMILIAR",IF(F3370="NEW",IF(ISNA(VLOOKUP(E3370,#REF!,1,FALSE())),"?TYPE_IDENTIFIABLE","?REFERENTIAL"),"_")))))</f>
        <v> </v>
      </c>
      <c r="H3370" s="25" t="str">
        <f>IF(J3370&lt;&gt;1,"",IF(I3370="SBJ","CB","?"))</f>
        <v> </v>
      </c>
      <c r="I3370" s="26" t="str">
        <f>IF(OR(E3370="",E3370="!!!",F3370="NEW"),"",INDEX(B3369:B$2,-1+SUMPRODUCT(MAX(ROW(E3369:E$2)*(E3370=E3369:E$2)))))</f>
        <v> </v>
      </c>
      <c r="J3370" s="26" t="str">
        <f>IF(OR(E3370="",E3370="!!!",F3370="NEW"),"",COUNTBLANK(OFFSET(A$1,,,SUMPRODUCT(MAX(ROW(E$2:E3370)*(E3370=E$2:E3370)))))-COUNTBLANK(OFFSET(A$1,,,SUMPRODUCT(MAX(ROW(E$1:E3369)*(E2=E$1:E3369))))))</f>
        <v> </v>
      </c>
      <c r="K3370" s="26" t="str">
        <f>IF(OR(E3370="",E3370="!!!",F3370="NEW"),"",INDEX(J$1:J3369,SUMPRODUCT(MAX(ROW(E$1:E3369)*(E3370=E$1:E3369)))))</f>
        <v> </v>
      </c>
      <c r="L3370" s="27"/>
    </row>
    <row r="3371" spans="1:12">
      <c r="A3371" s="20" t="s">
        <v>813</v>
      </c>
      <c r="B3371" s="21" t="s">
        <v>788</v>
      </c>
      <c r="E3371" s="22">
        <f>IF(D3371="?OLD","!!!","")</f>
        <v/>
      </c>
      <c r="F3371" s="23" t="str">
        <f>IF(OR(E3371="",E3371="!!!"),"",IF(NOT(ISNA(VLOOKUP(E3371,E$1:E3370,1,FALSE()))),"OLD",IF(AND(E3371&lt;&gt;"",E3371&lt;&gt;"!!!"),"NEW","")))</f>
        <v> </v>
      </c>
      <c r="G3371" s="24" t="str">
        <f>IF(OR(E3371="",E3371="!!!"),"",IF(OR(J3371=0,AND(J3371=1,K3371=1),AND(J3371=1,I3371="SBJ"),AND(J3371=1,I3371=0)),"?IN_FOCUS",IF(J3371&lt;=2,"?ACTIVATED",IF(J3371&lt;&gt;"","?FAMILIAR",IF(F3371="NEW",IF(ISNA(VLOOKUP(E3371,#REF!,1,FALSE())),"?TYPE_IDENTIFIABLE","?REFERENTIAL"),"_")))))</f>
        <v> </v>
      </c>
      <c r="H3371" s="25" t="str">
        <f>IF(J3371&lt;&gt;1,"",IF(I3371="SBJ","CB","?"))</f>
        <v> </v>
      </c>
      <c r="I3371" s="26" t="str">
        <f>IF(OR(E3371="",E3371="!!!",F3371="NEW"),"",INDEX(B3370:B$2,-1+SUMPRODUCT(MAX(ROW(E3370:E$2)*(E3371=E3370:E$2)))))</f>
        <v> </v>
      </c>
      <c r="J3371" s="26" t="str">
        <f>IF(OR(E3371="",E3371="!!!",F3371="NEW"),"",COUNTBLANK(OFFSET(A$1,,,SUMPRODUCT(MAX(ROW(E$2:E3371)*(E3371=E$2:E3371)))))-COUNTBLANK(OFFSET(A$1,,,SUMPRODUCT(MAX(ROW(E$1:E3370)*(E2=E$1:E3370))))))</f>
        <v> </v>
      </c>
      <c r="K3371" s="26" t="str">
        <f>IF(OR(E3371="",E3371="!!!",F3371="NEW"),"",INDEX(J$1:J3370,SUMPRODUCT(MAX(ROW(E$1:E3370)*(E3371=E$1:E3370)))))</f>
        <v> </v>
      </c>
      <c r="L3371" s="27"/>
    </row>
    <row r="3372" spans="1:12">
      <c r="A3372" s="20" t="s">
        <v>273</v>
      </c>
      <c r="E3372" s="22">
        <f>IF(D3372="?OLD","!!!","")</f>
        <v/>
      </c>
      <c r="F3372" s="23" t="str">
        <f>IF(OR(E3372="",E3372="!!!"),"",IF(NOT(ISNA(VLOOKUP(E3372,E$1:E3371,1,FALSE()))),"OLD",IF(AND(E3372&lt;&gt;"",E3372&lt;&gt;"!!!"),"NEW","")))</f>
        <v> </v>
      </c>
      <c r="G3372" s="24" t="str">
        <f>IF(OR(E3372="",E3372="!!!"),"",IF(OR(J3372=0,AND(J3372=1,K3372=1),AND(J3372=1,I3372="SBJ"),AND(J3372=1,I3372=0)),"?IN_FOCUS",IF(J3372&lt;=2,"?ACTIVATED",IF(J3372&lt;&gt;"","?FAMILIAR",IF(F3372="NEW",IF(ISNA(VLOOKUP(E3372,#REF!,1,FALSE())),"?TYPE_IDENTIFIABLE","?REFERENTIAL"),"_")))))</f>
        <v> </v>
      </c>
      <c r="H3372" s="25" t="str">
        <f>IF(J3372&lt;&gt;1,"",IF(I3372="SBJ","CB","?"))</f>
        <v> </v>
      </c>
      <c r="I3372" s="26" t="str">
        <f>IF(OR(E3372="",E3372="!!!",F3372="NEW"),"",INDEX(B3371:B$2,-1+SUMPRODUCT(MAX(ROW(E3371:E$2)*(E3372=E3371:E$2)))))</f>
        <v> </v>
      </c>
      <c r="J3372" s="26" t="str">
        <f>IF(OR(E3372="",E3372="!!!",F3372="NEW"),"",COUNTBLANK(OFFSET(A$1,,,SUMPRODUCT(MAX(ROW(E$2:E3372)*(E3372=E$2:E3372)))))-COUNTBLANK(OFFSET(A$1,,,SUMPRODUCT(MAX(ROW(E$1:E3371)*(E2=E$1:E3371))))))</f>
        <v> </v>
      </c>
      <c r="K3372" s="26" t="str">
        <f>IF(OR(E3372="",E3372="!!!",F3372="NEW"),"",INDEX(J$1:J3371,SUMPRODUCT(MAX(ROW(E$1:E3371)*(E3372=E$1:E3371)))))</f>
        <v> </v>
      </c>
      <c r="L3372" s="27"/>
    </row>
    <row r="3373" spans="1:12">
      <c r="A3373" s="20" t="s">
        <v>1147</v>
      </c>
      <c r="E3373" s="22">
        <f>IF(D3373="?OLD","!!!","")</f>
        <v/>
      </c>
      <c r="F3373" s="23" t="str">
        <f>IF(OR(E3373="",E3373="!!!"),"",IF(NOT(ISNA(VLOOKUP(E3373,E$1:E3372,1,FALSE()))),"OLD",IF(AND(E3373&lt;&gt;"",E3373&lt;&gt;"!!!"),"NEW","")))</f>
        <v> </v>
      </c>
      <c r="G3373" s="24" t="str">
        <f>IF(OR(E3373="",E3373="!!!"),"",IF(OR(J3373=0,AND(J3373=1,K3373=1),AND(J3373=1,I3373="SBJ"),AND(J3373=1,I3373=0)),"?IN_FOCUS",IF(J3373&lt;=2,"?ACTIVATED",IF(J3373&lt;&gt;"","?FAMILIAR",IF(F3373="NEW",IF(ISNA(VLOOKUP(E3373,#REF!,1,FALSE())),"?TYPE_IDENTIFIABLE","?REFERENTIAL"),"_")))))</f>
        <v> </v>
      </c>
      <c r="H3373" s="25" t="str">
        <f>IF(J3373&lt;&gt;1,"",IF(I3373="SBJ","CB","?"))</f>
        <v> </v>
      </c>
      <c r="I3373" s="26" t="str">
        <f>IF(OR(E3373="",E3373="!!!",F3373="NEW"),"",INDEX(B3372:B$2,-1+SUMPRODUCT(MAX(ROW(E3372:E$2)*(E3373=E3372:E$2)))))</f>
        <v> </v>
      </c>
      <c r="J3373" s="26" t="str">
        <f>IF(OR(E3373="",E3373="!!!",F3373="NEW"),"",COUNTBLANK(OFFSET(A$1,,,SUMPRODUCT(MAX(ROW(E$2:E3373)*(E3373=E$2:E3373)))))-COUNTBLANK(OFFSET(A$1,,,SUMPRODUCT(MAX(ROW(E$1:E3372)*(E2=E$1:E3372))))))</f>
        <v> </v>
      </c>
      <c r="K3373" s="26" t="str">
        <f>IF(OR(E3373="",E3373="!!!",F3373="NEW"),"",INDEX(J$1:J3372,SUMPRODUCT(MAX(ROW(E$1:E3372)*(E3373=E$1:E3372)))))</f>
        <v> </v>
      </c>
      <c r="L3373" s="27"/>
    </row>
    <row r="3374" spans="1:12">
      <c r="A3374" s="20" t="s">
        <v>817</v>
      </c>
      <c r="E3374" s="22">
        <f>IF(D3374="?OLD","!!!","")</f>
        <v/>
      </c>
      <c r="F3374" s="23" t="str">
        <f>IF(OR(E3374="",E3374="!!!"),"",IF(NOT(ISNA(VLOOKUP(E3374,E$1:E3373,1,FALSE()))),"OLD",IF(AND(E3374&lt;&gt;"",E3374&lt;&gt;"!!!"),"NEW","")))</f>
        <v> </v>
      </c>
      <c r="G3374" s="24" t="str">
        <f>IF(OR(E3374="",E3374="!!!"),"",IF(OR(J3374=0,AND(J3374=1,K3374=1),AND(J3374=1,I3374="SBJ"),AND(J3374=1,I3374=0)),"?IN_FOCUS",IF(J3374&lt;=2,"?ACTIVATED",IF(J3374&lt;&gt;"","?FAMILIAR",IF(F3374="NEW",IF(ISNA(VLOOKUP(E3374,#REF!,1,FALSE())),"?TYPE_IDENTIFIABLE","?REFERENTIAL"),"_")))))</f>
        <v> </v>
      </c>
      <c r="H3374" s="25" t="str">
        <f>IF(J3374&lt;&gt;1,"",IF(I3374="SBJ","CB","?"))</f>
        <v> </v>
      </c>
      <c r="I3374" s="26" t="str">
        <f>IF(OR(E3374="",E3374="!!!",F3374="NEW"),"",INDEX(B3373:B$2,-1+SUMPRODUCT(MAX(ROW(E3373:E$2)*(E3374=E3373:E$2)))))</f>
        <v> </v>
      </c>
      <c r="J3374" s="26" t="str">
        <f>IF(OR(E3374="",E3374="!!!",F3374="NEW"),"",COUNTBLANK(OFFSET(A$1,,,SUMPRODUCT(MAX(ROW(E$2:E3374)*(E3374=E$2:E3374)))))-COUNTBLANK(OFFSET(A$1,,,SUMPRODUCT(MAX(ROW(E$1:E3373)*(E2=E$1:E3373))))))</f>
        <v> </v>
      </c>
      <c r="K3374" s="26" t="str">
        <f>IF(OR(E3374="",E3374="!!!",F3374="NEW"),"",INDEX(J$1:J3373,SUMPRODUCT(MAX(ROW(E$1:E3373)*(E3374=E$1:E3373)))))</f>
        <v> </v>
      </c>
      <c r="L3374" s="27"/>
    </row>
    <row r="3375" spans="1:12">
      <c r="A3375" s="20" t="s">
        <v>1913</v>
      </c>
      <c r="B3375" s="21" t="s">
        <v>778</v>
      </c>
      <c r="C3375" s="21" t="s">
        <v>748</v>
      </c>
      <c r="E3375" s="22">
        <f>IF(D3375="?OLD","!!!","")</f>
        <v/>
      </c>
      <c r="F3375" s="23" t="str">
        <f>IF(OR(E3375="",E3375="!!!"),"",IF(NOT(ISNA(VLOOKUP(E3375,E$1:E3374,1,FALSE()))),"OLD",IF(AND(E3375&lt;&gt;"",E3375&lt;&gt;"!!!"),"NEW","")))</f>
        <v> </v>
      </c>
      <c r="G3375" s="24" t="str">
        <f>IF(OR(E3375="",E3375="!!!"),"",IF(OR(J3375=0,AND(J3375=1,K3375=1),AND(J3375=1,I3375="SBJ"),AND(J3375=1,I3375=0)),"?IN_FOCUS",IF(J3375&lt;=2,"?ACTIVATED",IF(J3375&lt;&gt;"","?FAMILIAR",IF(F3375="NEW",IF(ISNA(VLOOKUP(E3375,#REF!,1,FALSE())),"?TYPE_IDENTIFIABLE","?REFERENTIAL"),"_")))))</f>
        <v> </v>
      </c>
      <c r="H3375" s="25" t="str">
        <f>IF(J3375&lt;&gt;1,"",IF(I3375="SBJ","CB","?"))</f>
        <v> </v>
      </c>
      <c r="I3375" s="26" t="str">
        <f>IF(OR(E3375="",E3375="!!!",F3375="NEW"),"",INDEX(B3374:B$2,-1+SUMPRODUCT(MAX(ROW(E3374:E$2)*(E3375=E3374:E$2)))))</f>
        <v> </v>
      </c>
      <c r="J3375" s="26" t="str">
        <f>IF(OR(E3375="",E3375="!!!",F3375="NEW"),"",COUNTBLANK(OFFSET(A$1,,,SUMPRODUCT(MAX(ROW(E$2:E3375)*(E3375=E$2:E3375)))))-COUNTBLANK(OFFSET(A$1,,,SUMPRODUCT(MAX(ROW(E$1:E3374)*(E2=E$1:E3374))))))</f>
        <v> </v>
      </c>
      <c r="K3375" s="26" t="str">
        <f>IF(OR(E3375="",E3375="!!!",F3375="NEW"),"",INDEX(J$1:J3374,SUMPRODUCT(MAX(ROW(E$1:E3374)*(E3375=E$1:E3374)))))</f>
        <v> </v>
      </c>
      <c r="L3375" s="27"/>
    </row>
    <row r="3376" spans="1:12">
      <c r="A3376" s="20" t="s">
        <v>834</v>
      </c>
      <c r="B3376" s="21" t="s">
        <v>777</v>
      </c>
      <c r="C3376" s="21" t="s">
        <v>729</v>
      </c>
      <c r="D3376" s="21" t="s">
        <v>730</v>
      </c>
      <c r="E3376" s="22">
        <f>IF(D3376="?OLD","!!!","")</f>
        <v/>
      </c>
      <c r="F3376" s="23" t="str">
        <f>IF(OR(E3376="",E3376="!!!"),"",IF(NOT(ISNA(VLOOKUP(E3376,E$1:E3375,1,FALSE()))),"OLD",IF(AND(E3376&lt;&gt;"",E3376&lt;&gt;"!!!"),"NEW","")))</f>
        <v> </v>
      </c>
      <c r="G3376" s="24" t="str">
        <f>IF(OR(E3376="",E3376="!!!"),"",IF(OR(J3376=0,AND(J3376=1,K3376=1),AND(J3376=1,I3376="SBJ"),AND(J3376=1,I3376=0)),"?IN_FOCUS",IF(J3376&lt;=2,"?ACTIVATED",IF(J3376&lt;&gt;"","?FAMILIAR",IF(F3376="NEW",IF(ISNA(VLOOKUP(E3376,#REF!,1,FALSE())),"?TYPE_IDENTIFIABLE","?REFERENTIAL"),"_")))))</f>
        <v> </v>
      </c>
      <c r="H3376" s="25" t="str">
        <f>IF(J3376&lt;&gt;1,"",IF(I3376="SBJ","CB","?"))</f>
        <v> </v>
      </c>
      <c r="I3376" s="26" t="str">
        <f>IF(OR(E3376="",E3376="!!!",F3376="NEW"),"",INDEX(B3375:B$2,-1+SUMPRODUCT(MAX(ROW(E3375:E$2)*(E3376=E3375:E$2)))))</f>
        <v> </v>
      </c>
      <c r="J3376" s="26" t="str">
        <f>IF(OR(E3376="",E3376="!!!",F3376="NEW"),"",COUNTBLANK(OFFSET(A$1,,,SUMPRODUCT(MAX(ROW(E$2:E3376)*(E3376=E$2:E3376)))))-COUNTBLANK(OFFSET(A$1,,,SUMPRODUCT(MAX(ROW(E$1:E3375)*(E2=E$1:E3375))))))</f>
        <v> </v>
      </c>
      <c r="K3376" s="26" t="str">
        <f>IF(OR(E3376="",E3376="!!!",F3376="NEW"),"",INDEX(J$1:J3375,SUMPRODUCT(MAX(ROW(E$1:E3375)*(E3376=E$1:E3375)))))</f>
        <v> </v>
      </c>
      <c r="L3376" s="27"/>
    </row>
    <row r="3377" spans="1:12">
      <c r="A3377" s="20" t="s">
        <v>792</v>
      </c>
      <c r="B3377" s="21" t="s">
        <v>780</v>
      </c>
      <c r="C3377" s="21" t="s">
        <v>729</v>
      </c>
      <c r="D3377" s="21" t="s">
        <v>730</v>
      </c>
      <c r="E3377" s="22">
        <f>IF(D3377="?OLD","!!!","")</f>
        <v/>
      </c>
      <c r="F3377" s="23" t="str">
        <f>IF(OR(E3377="",E3377="!!!"),"",IF(NOT(ISNA(VLOOKUP(E3377,E$1:E3376,1,FALSE()))),"OLD",IF(AND(E3377&lt;&gt;"",E3377&lt;&gt;"!!!"),"NEW","")))</f>
        <v> </v>
      </c>
      <c r="G3377" s="24" t="str">
        <f>IF(OR(E3377="",E3377="!!!"),"",IF(OR(J3377=0,AND(J3377=1,K3377=1),AND(J3377=1,I3377="SBJ"),AND(J3377=1,I3377=0)),"?IN_FOCUS",IF(J3377&lt;=2,"?ACTIVATED",IF(J3377&lt;&gt;"","?FAMILIAR",IF(F3377="NEW",IF(ISNA(VLOOKUP(E3377,#REF!,1,FALSE())),"?TYPE_IDENTIFIABLE","?REFERENTIAL"),"_")))))</f>
        <v> </v>
      </c>
      <c r="H3377" s="25" t="str">
        <f>IF(J3377&lt;&gt;1,"",IF(I3377="SBJ","CB","?"))</f>
        <v> </v>
      </c>
      <c r="I3377" s="26" t="str">
        <f>IF(OR(E3377="",E3377="!!!",F3377="NEW"),"",INDEX(B3376:B$2,-1+SUMPRODUCT(MAX(ROW(E3376:E$2)*(E3377=E3376:E$2)))))</f>
        <v> </v>
      </c>
      <c r="J3377" s="26" t="str">
        <f>IF(OR(E3377="",E3377="!!!",F3377="NEW"),"",COUNTBLANK(OFFSET(A$1,,,SUMPRODUCT(MAX(ROW(E$2:E3377)*(E3377=E$2:E3377)))))-COUNTBLANK(OFFSET(A$1,,,SUMPRODUCT(MAX(ROW(E$1:E3376)*(E2=E$1:E3376))))))</f>
        <v> </v>
      </c>
      <c r="K3377" s="26" t="str">
        <f>IF(OR(E3377="",E3377="!!!",F3377="NEW"),"",INDEX(J$1:J3376,SUMPRODUCT(MAX(ROW(E$1:E3376)*(E3377=E$1:E3376)))))</f>
        <v> </v>
      </c>
      <c r="L3377" s="27"/>
    </row>
    <row r="3378" spans="1:12">
      <c r="A3378" s="20" t="s">
        <v>1054</v>
      </c>
      <c r="E3378" s="22">
        <f>IF(D3378="?OLD","!!!","")</f>
        <v/>
      </c>
      <c r="F3378" s="23" t="str">
        <f>IF(OR(E3378="",E3378="!!!"),"",IF(NOT(ISNA(VLOOKUP(E3378,E$1:E3377,1,FALSE()))),"OLD",IF(AND(E3378&lt;&gt;"",E3378&lt;&gt;"!!!"),"NEW","")))</f>
        <v> </v>
      </c>
      <c r="G3378" s="24" t="str">
        <f>IF(OR(E3378="",E3378="!!!"),"",IF(OR(J3378=0,AND(J3378=1,K3378=1),AND(J3378=1,I3378="SBJ"),AND(J3378=1,I3378=0)),"?IN_FOCUS",IF(J3378&lt;=2,"?ACTIVATED",IF(J3378&lt;&gt;"","?FAMILIAR",IF(F3378="NEW",IF(ISNA(VLOOKUP(E3378,#REF!,1,FALSE())),"?TYPE_IDENTIFIABLE","?REFERENTIAL"),"_")))))</f>
        <v> </v>
      </c>
      <c r="H3378" s="25" t="str">
        <f>IF(J3378&lt;&gt;1,"",IF(I3378="SBJ","CB","?"))</f>
        <v> </v>
      </c>
      <c r="I3378" s="26" t="str">
        <f>IF(OR(E3378="",E3378="!!!",F3378="NEW"),"",INDEX(B3377:B$2,-1+SUMPRODUCT(MAX(ROW(E3377:E$2)*(E3378=E3377:E$2)))))</f>
        <v> </v>
      </c>
      <c r="J3378" s="26" t="str">
        <f>IF(OR(E3378="",E3378="!!!",F3378="NEW"),"",COUNTBLANK(OFFSET(A$1,,,SUMPRODUCT(MAX(ROW(E$2:E3378)*(E3378=E$2:E3378)))))-COUNTBLANK(OFFSET(A$1,,,SUMPRODUCT(MAX(ROW(E$1:E3377)*(E2=E$1:E3377))))))</f>
        <v> </v>
      </c>
      <c r="K3378" s="26" t="str">
        <f>IF(OR(E3378="",E3378="!!!",F3378="NEW"),"",INDEX(J$1:J3377,SUMPRODUCT(MAX(ROW(E$1:E3377)*(E3378=E$1:E3377)))))</f>
        <v> </v>
      </c>
      <c r="L3378" s="27"/>
    </row>
    <row r="3379" spans="1:12">
      <c r="A3379" s="20" t="s">
        <v>1914</v>
      </c>
      <c r="B3379" s="21" t="s">
        <v>780</v>
      </c>
      <c r="C3379" s="21" t="s">
        <v>737</v>
      </c>
      <c r="E3379" s="22">
        <f>IF(D3379="?OLD","!!!","")</f>
        <v/>
      </c>
      <c r="F3379" s="23" t="str">
        <f>IF(OR(E3379="",E3379="!!!"),"",IF(NOT(ISNA(VLOOKUP(E3379,E$1:E3378,1,FALSE()))),"OLD",IF(AND(E3379&lt;&gt;"",E3379&lt;&gt;"!!!"),"NEW","")))</f>
        <v> </v>
      </c>
      <c r="G3379" s="24" t="str">
        <f>IF(OR(E3379="",E3379="!!!"),"",IF(OR(J3379=0,AND(J3379=1,K3379=1),AND(J3379=1,I3379="SBJ"),AND(J3379=1,I3379=0)),"?IN_FOCUS",IF(J3379&lt;=2,"?ACTIVATED",IF(J3379&lt;&gt;"","?FAMILIAR",IF(F3379="NEW",IF(ISNA(VLOOKUP(E3379,#REF!,1,FALSE())),"?TYPE_IDENTIFIABLE","?REFERENTIAL"),"_")))))</f>
        <v> </v>
      </c>
      <c r="H3379" s="25" t="str">
        <f>IF(J3379&lt;&gt;1,"",IF(I3379="SBJ","CB","?"))</f>
        <v> </v>
      </c>
      <c r="I3379" s="26" t="str">
        <f>IF(OR(E3379="",E3379="!!!",F3379="NEW"),"",INDEX(B3378:B$2,-1+SUMPRODUCT(MAX(ROW(E3378:E$2)*(E3379=E3378:E$2)))))</f>
        <v> </v>
      </c>
      <c r="J3379" s="26" t="str">
        <f>IF(OR(E3379="",E3379="!!!",F3379="NEW"),"",COUNTBLANK(OFFSET(A$1,,,SUMPRODUCT(MAX(ROW(E$2:E3379)*(E3379=E$2:E3379)))))-COUNTBLANK(OFFSET(A$1,,,SUMPRODUCT(MAX(ROW(E$1:E3378)*(E2=E$1:E3378))))))</f>
        <v> </v>
      </c>
      <c r="K3379" s="26" t="str">
        <f>IF(OR(E3379="",E3379="!!!",F3379="NEW"),"",INDEX(J$1:J3378,SUMPRODUCT(MAX(ROW(E$1:E3378)*(E3379=E$1:E3378)))))</f>
        <v> </v>
      </c>
      <c r="L3379" s="27"/>
    </row>
    <row r="3380" spans="1:12">
      <c r="A3380" s="20" t="s">
        <v>759</v>
      </c>
      <c r="E3380" s="22">
        <f>IF(D3380="?OLD","!!!","")</f>
        <v/>
      </c>
      <c r="F3380" s="23" t="str">
        <f>IF(OR(E3380="",E3380="!!!"),"",IF(NOT(ISNA(VLOOKUP(E3380,E$1:E3379,1,FALSE()))),"OLD",IF(AND(E3380&lt;&gt;"",E3380&lt;&gt;"!!!"),"NEW","")))</f>
        <v> </v>
      </c>
      <c r="G3380" s="24" t="str">
        <f>IF(OR(E3380="",E3380="!!!"),"",IF(OR(J3380=0,AND(J3380=1,K3380=1),AND(J3380=1,I3380="SBJ"),AND(J3380=1,I3380=0)),"?IN_FOCUS",IF(J3380&lt;=2,"?ACTIVATED",IF(J3380&lt;&gt;"","?FAMILIAR",IF(F3380="NEW",IF(ISNA(VLOOKUP(E3380,#REF!,1,FALSE())),"?TYPE_IDENTIFIABLE","?REFERENTIAL"),"_")))))</f>
        <v> </v>
      </c>
      <c r="H3380" s="25" t="str">
        <f>IF(J3380&lt;&gt;1,"",IF(I3380="SBJ","CB","?"))</f>
        <v> </v>
      </c>
      <c r="I3380" s="26" t="str">
        <f>IF(OR(E3380="",E3380="!!!",F3380="NEW"),"",INDEX(B3379:B$2,-1+SUMPRODUCT(MAX(ROW(E3379:E$2)*(E3380=E3379:E$2)))))</f>
        <v> </v>
      </c>
      <c r="J3380" s="26" t="str">
        <f>IF(OR(E3380="",E3380="!!!",F3380="NEW"),"",COUNTBLANK(OFFSET(A$1,,,SUMPRODUCT(MAX(ROW(E$2:E3380)*(E3380=E$2:E3380)))))-COUNTBLANK(OFFSET(A$1,,,SUMPRODUCT(MAX(ROW(E$1:E3379)*(E2=E$1:E3379))))))</f>
        <v> </v>
      </c>
      <c r="K3380" s="26" t="str">
        <f>IF(OR(E3380="",E3380="!!!",F3380="NEW"),"",INDEX(J$1:J3379,SUMPRODUCT(MAX(ROW(E$1:E3379)*(E3380=E$1:E3379)))))</f>
        <v> </v>
      </c>
      <c r="L3380" s="27"/>
    </row>
    <row r="3381" spans="1:12">
      <c r="A3381" s="20" t="s">
        <v>952</v>
      </c>
      <c r="E3381" s="22">
        <f>IF(D3381="?OLD","!!!","")</f>
        <v/>
      </c>
      <c r="F3381" s="23" t="str">
        <f>IF(OR(E3381="",E3381="!!!"),"",IF(NOT(ISNA(VLOOKUP(E3381,E$1:E3380,1,FALSE()))),"OLD",IF(AND(E3381&lt;&gt;"",E3381&lt;&gt;"!!!"),"NEW","")))</f>
        <v> </v>
      </c>
      <c r="G3381" s="24" t="str">
        <f>IF(OR(E3381="",E3381="!!!"),"",IF(OR(J3381=0,AND(J3381=1,K3381=1),AND(J3381=1,I3381="SBJ"),AND(J3381=1,I3381=0)),"?IN_FOCUS",IF(J3381&lt;=2,"?ACTIVATED",IF(J3381&lt;&gt;"","?FAMILIAR",IF(F3381="NEW",IF(ISNA(VLOOKUP(E3381,#REF!,1,FALSE())),"?TYPE_IDENTIFIABLE","?REFERENTIAL"),"_")))))</f>
        <v> </v>
      </c>
      <c r="H3381" s="25" t="str">
        <f>IF(J3381&lt;&gt;1,"",IF(I3381="SBJ","CB","?"))</f>
        <v> </v>
      </c>
      <c r="I3381" s="26" t="str">
        <f>IF(OR(E3381="",E3381="!!!",F3381="NEW"),"",INDEX(B3380:B$2,-1+SUMPRODUCT(MAX(ROW(E3380:E$2)*(E3381=E3380:E$2)))))</f>
        <v> </v>
      </c>
      <c r="J3381" s="26" t="str">
        <f>IF(OR(E3381="",E3381="!!!",F3381="NEW"),"",COUNTBLANK(OFFSET(A$1,,,SUMPRODUCT(MAX(ROW(E$2:E3381)*(E3381=E$2:E3381)))))-COUNTBLANK(OFFSET(A$1,,,SUMPRODUCT(MAX(ROW(E$1:E3380)*(E2=E$1:E3380))))))</f>
        <v> </v>
      </c>
      <c r="K3381" s="26" t="str">
        <f>IF(OR(E3381="",E3381="!!!",F3381="NEW"),"",INDEX(J$1:J3380,SUMPRODUCT(MAX(ROW(E$1:E3380)*(E3381=E$1:E3380)))))</f>
        <v> </v>
      </c>
      <c r="L3381" s="27"/>
    </row>
    <row r="3382" spans="1:12">
      <c r="A3382" s="20" t="s">
        <v>750</v>
      </c>
      <c r="B3382" s="21" t="s">
        <v>777</v>
      </c>
      <c r="C3382" s="21" t="s">
        <v>729</v>
      </c>
      <c r="D3382" s="21" t="s">
        <v>730</v>
      </c>
      <c r="E3382" s="22">
        <f>IF(D3382="?OLD","!!!","")</f>
        <v/>
      </c>
      <c r="F3382" s="23" t="str">
        <f>IF(OR(E3382="",E3382="!!!"),"",IF(NOT(ISNA(VLOOKUP(E3382,E$1:E3381,1,FALSE()))),"OLD",IF(AND(E3382&lt;&gt;"",E3382&lt;&gt;"!!!"),"NEW","")))</f>
        <v> </v>
      </c>
      <c r="G3382" s="24" t="str">
        <f>IF(OR(E3382="",E3382="!!!"),"",IF(OR(J3382=0,AND(J3382=1,K3382=1),AND(J3382=1,I3382="SBJ"),AND(J3382=1,I3382=0)),"?IN_FOCUS",IF(J3382&lt;=2,"?ACTIVATED",IF(J3382&lt;&gt;"","?FAMILIAR",IF(F3382="NEW",IF(ISNA(VLOOKUP(E3382,#REF!,1,FALSE())),"?TYPE_IDENTIFIABLE","?REFERENTIAL"),"_")))))</f>
        <v> </v>
      </c>
      <c r="H3382" s="25" t="str">
        <f>IF(J3382&lt;&gt;1,"",IF(I3382="SBJ","CB","?"))</f>
        <v> </v>
      </c>
      <c r="I3382" s="26" t="str">
        <f>IF(OR(E3382="",E3382="!!!",F3382="NEW"),"",INDEX(B3381:B$2,-1+SUMPRODUCT(MAX(ROW(E3381:E$2)*(E3382=E3381:E$2)))))</f>
        <v> </v>
      </c>
      <c r="J3382" s="26" t="str">
        <f>IF(OR(E3382="",E3382="!!!",F3382="NEW"),"",COUNTBLANK(OFFSET(A$1,,,SUMPRODUCT(MAX(ROW(E$2:E3382)*(E3382=E$2:E3382)))))-COUNTBLANK(OFFSET(A$1,,,SUMPRODUCT(MAX(ROW(E$1:E3381)*(E2=E$1:E3381))))))</f>
        <v> </v>
      </c>
      <c r="K3382" s="26" t="str">
        <f>IF(OR(E3382="",E3382="!!!",F3382="NEW"),"",INDEX(J$1:J3381,SUMPRODUCT(MAX(ROW(E$1:E3381)*(E3382=E$1:E3381)))))</f>
        <v> </v>
      </c>
      <c r="L3382" s="27"/>
    </row>
    <row r="3383" spans="1:12">
      <c r="A3383" s="20" t="s">
        <v>944</v>
      </c>
      <c r="E3383" s="22">
        <f>IF(D3383="?OLD","!!!","")</f>
        <v/>
      </c>
      <c r="F3383" s="23" t="str">
        <f>IF(OR(E3383="",E3383="!!!"),"",IF(NOT(ISNA(VLOOKUP(E3383,E$1:E3382,1,FALSE()))),"OLD",IF(AND(E3383&lt;&gt;"",E3383&lt;&gt;"!!!"),"NEW","")))</f>
        <v> </v>
      </c>
      <c r="G3383" s="24" t="str">
        <f>IF(OR(E3383="",E3383="!!!"),"",IF(OR(J3383=0,AND(J3383=1,K3383=1),AND(J3383=1,I3383="SBJ"),AND(J3383=1,I3383=0)),"?IN_FOCUS",IF(J3383&lt;=2,"?ACTIVATED",IF(J3383&lt;&gt;"","?FAMILIAR",IF(F3383="NEW",IF(ISNA(VLOOKUP(E3383,#REF!,1,FALSE())),"?TYPE_IDENTIFIABLE","?REFERENTIAL"),"_")))))</f>
        <v> </v>
      </c>
      <c r="H3383" s="25" t="str">
        <f>IF(J3383&lt;&gt;1,"",IF(I3383="SBJ","CB","?"))</f>
        <v> </v>
      </c>
      <c r="I3383" s="26" t="str">
        <f>IF(OR(E3383="",E3383="!!!",F3383="NEW"),"",INDEX(B3382:B$2,-1+SUMPRODUCT(MAX(ROW(E3382:E$2)*(E3383=E3382:E$2)))))</f>
        <v> </v>
      </c>
      <c r="J3383" s="26" t="str">
        <f>IF(OR(E3383="",E3383="!!!",F3383="NEW"),"",COUNTBLANK(OFFSET(A$1,,,SUMPRODUCT(MAX(ROW(E$2:E3383)*(E3383=E$2:E3383)))))-COUNTBLANK(OFFSET(A$1,,,SUMPRODUCT(MAX(ROW(E$1:E3382)*(E2=E$1:E3382))))))</f>
        <v> </v>
      </c>
      <c r="K3383" s="26" t="str">
        <f>IF(OR(E3383="",E3383="!!!",F3383="NEW"),"",INDEX(J$1:J3382,SUMPRODUCT(MAX(ROW(E$1:E3382)*(E3383=E$1:E3382)))))</f>
        <v> </v>
      </c>
      <c r="L3383" s="27"/>
    </row>
    <row r="3384" spans="1:12">
      <c r="A3384" s="20" t="s">
        <v>965</v>
      </c>
      <c r="E3384" s="22">
        <f>IF(D3384="?OLD","!!!","")</f>
        <v/>
      </c>
      <c r="F3384" s="23" t="str">
        <f>IF(OR(E3384="",E3384="!!!"),"",IF(NOT(ISNA(VLOOKUP(E3384,E$1:E3383,1,FALSE()))),"OLD",IF(AND(E3384&lt;&gt;"",E3384&lt;&gt;"!!!"),"NEW","")))</f>
        <v> </v>
      </c>
      <c r="G3384" s="24" t="str">
        <f>IF(OR(E3384="",E3384="!!!"),"",IF(OR(J3384=0,AND(J3384=1,K3384=1),AND(J3384=1,I3384="SBJ"),AND(J3384=1,I3384=0)),"?IN_FOCUS",IF(J3384&lt;=2,"?ACTIVATED",IF(J3384&lt;&gt;"","?FAMILIAR",IF(F3384="NEW",IF(ISNA(VLOOKUP(E3384,#REF!,1,FALSE())),"?TYPE_IDENTIFIABLE","?REFERENTIAL"),"_")))))</f>
        <v> </v>
      </c>
      <c r="H3384" s="25" t="str">
        <f>IF(J3384&lt;&gt;1,"",IF(I3384="SBJ","CB","?"))</f>
        <v> </v>
      </c>
      <c r="I3384" s="26" t="str">
        <f>IF(OR(E3384="",E3384="!!!",F3384="NEW"),"",INDEX(B3383:B$2,-1+SUMPRODUCT(MAX(ROW(E3383:E$2)*(E3384=E3383:E$2)))))</f>
        <v> </v>
      </c>
      <c r="J3384" s="26" t="str">
        <f>IF(OR(E3384="",E3384="!!!",F3384="NEW"),"",COUNTBLANK(OFFSET(A$1,,,SUMPRODUCT(MAX(ROW(E$2:E3384)*(E3384=E$2:E3384)))))-COUNTBLANK(OFFSET(A$1,,,SUMPRODUCT(MAX(ROW(E$1:E3383)*(E2=E$1:E3383))))))</f>
        <v> </v>
      </c>
      <c r="K3384" s="26" t="str">
        <f>IF(OR(E3384="",E3384="!!!",F3384="NEW"),"",INDEX(J$1:J3383,SUMPRODUCT(MAX(ROW(E$1:E3383)*(E3384=E$1:E3383)))))</f>
        <v> </v>
      </c>
      <c r="L3384" s="27"/>
    </row>
    <row r="3385" spans="1:12">
      <c r="A3385" s="20" t="s">
        <v>117</v>
      </c>
      <c r="E3385" s="22">
        <f>IF(D3385="?OLD","!!!","")</f>
        <v/>
      </c>
      <c r="F3385" s="23" t="str">
        <f>IF(OR(E3385="",E3385="!!!"),"",IF(NOT(ISNA(VLOOKUP(E3385,E$1:E3384,1,FALSE()))),"OLD",IF(AND(E3385&lt;&gt;"",E3385&lt;&gt;"!!!"),"NEW","")))</f>
        <v> </v>
      </c>
      <c r="G3385" s="24" t="str">
        <f>IF(OR(E3385="",E3385="!!!"),"",IF(OR(J3385=0,AND(J3385=1,K3385=1),AND(J3385=1,I3385="SBJ"),AND(J3385=1,I3385=0)),"?IN_FOCUS",IF(J3385&lt;=2,"?ACTIVATED",IF(J3385&lt;&gt;"","?FAMILIAR",IF(F3385="NEW",IF(ISNA(VLOOKUP(E3385,#REF!,1,FALSE())),"?TYPE_IDENTIFIABLE","?REFERENTIAL"),"_")))))</f>
        <v> </v>
      </c>
      <c r="H3385" s="25" t="str">
        <f>IF(J3385&lt;&gt;1,"",IF(I3385="SBJ","CB","?"))</f>
        <v> </v>
      </c>
      <c r="I3385" s="26" t="str">
        <f>IF(OR(E3385="",E3385="!!!",F3385="NEW"),"",INDEX(B3384:B$2,-1+SUMPRODUCT(MAX(ROW(E3384:E$2)*(E3385=E3384:E$2)))))</f>
        <v> </v>
      </c>
      <c r="J3385" s="26" t="str">
        <f>IF(OR(E3385="",E3385="!!!",F3385="NEW"),"",COUNTBLANK(OFFSET(A$1,,,SUMPRODUCT(MAX(ROW(E$2:E3385)*(E3385=E$2:E3385)))))-COUNTBLANK(OFFSET(A$1,,,SUMPRODUCT(MAX(ROW(E$1:E3384)*(E2=E$1:E3384))))))</f>
        <v> </v>
      </c>
      <c r="K3385" s="26" t="str">
        <f>IF(OR(E3385="",E3385="!!!",F3385="NEW"),"",INDEX(J$1:J3384,SUMPRODUCT(MAX(ROW(E$1:E3384)*(E3385=E$1:E3384)))))</f>
        <v> </v>
      </c>
      <c r="L3385" s="27"/>
    </row>
    <row r="3386" spans="1:12">
      <c r="A3386" s="20" t="s">
        <v>1406</v>
      </c>
      <c r="E3386" s="22">
        <f>IF(D3386="?OLD","!!!","")</f>
        <v/>
      </c>
      <c r="F3386" s="23" t="str">
        <f>IF(OR(E3386="",E3386="!!!"),"",IF(NOT(ISNA(VLOOKUP(E3386,E$1:E3385,1,FALSE()))),"OLD",IF(AND(E3386&lt;&gt;"",E3386&lt;&gt;"!!!"),"NEW","")))</f>
        <v> </v>
      </c>
      <c r="G3386" s="24" t="str">
        <f>IF(OR(E3386="",E3386="!!!"),"",IF(OR(J3386=0,AND(J3386=1,K3386=1),AND(J3386=1,I3386="SBJ"),AND(J3386=1,I3386=0)),"?IN_FOCUS",IF(J3386&lt;=2,"?ACTIVATED",IF(J3386&lt;&gt;"","?FAMILIAR",IF(F3386="NEW",IF(ISNA(VLOOKUP(E3386,#REF!,1,FALSE())),"?TYPE_IDENTIFIABLE","?REFERENTIAL"),"_")))))</f>
        <v> </v>
      </c>
      <c r="H3386" s="25" t="str">
        <f>IF(J3386&lt;&gt;1,"",IF(I3386="SBJ","CB","?"))</f>
        <v> </v>
      </c>
      <c r="I3386" s="26" t="str">
        <f>IF(OR(E3386="",E3386="!!!",F3386="NEW"),"",INDEX(B3385:B$2,-1+SUMPRODUCT(MAX(ROW(E3385:E$2)*(E3386=E3385:E$2)))))</f>
        <v> </v>
      </c>
      <c r="J3386" s="26" t="str">
        <f>IF(OR(E3386="",E3386="!!!",F3386="NEW"),"",COUNTBLANK(OFFSET(A$1,,,SUMPRODUCT(MAX(ROW(E$2:E3386)*(E3386=E$2:E3386)))))-COUNTBLANK(OFFSET(A$1,,,SUMPRODUCT(MAX(ROW(E$1:E3385)*(E2=E$1:E3385))))))</f>
        <v> </v>
      </c>
      <c r="K3386" s="26" t="str">
        <f>IF(OR(E3386="",E3386="!!!",F3386="NEW"),"",INDEX(J$1:J3385,SUMPRODUCT(MAX(ROW(E$1:E3385)*(E3386=E$1:E3385)))))</f>
        <v> </v>
      </c>
      <c r="L3386" s="27"/>
    </row>
    <row r="3387" spans="1:12">
      <c r="A3387" s="20" t="s">
        <v>246</v>
      </c>
      <c r="E3387" s="22">
        <f>IF(D3387="?OLD","!!!","")</f>
        <v/>
      </c>
      <c r="F3387" s="23" t="str">
        <f>IF(OR(E3387="",E3387="!!!"),"",IF(NOT(ISNA(VLOOKUP(E3387,E$1:E3386,1,FALSE()))),"OLD",IF(AND(E3387&lt;&gt;"",E3387&lt;&gt;"!!!"),"NEW","")))</f>
        <v> </v>
      </c>
      <c r="G3387" s="24" t="str">
        <f>IF(OR(E3387="",E3387="!!!"),"",IF(OR(J3387=0,AND(J3387=1,K3387=1),AND(J3387=1,I3387="SBJ"),AND(J3387=1,I3387=0)),"?IN_FOCUS",IF(J3387&lt;=2,"?ACTIVATED",IF(J3387&lt;&gt;"","?FAMILIAR",IF(F3387="NEW",IF(ISNA(VLOOKUP(E3387,#REF!,1,FALSE())),"?TYPE_IDENTIFIABLE","?REFERENTIAL"),"_")))))</f>
        <v> </v>
      </c>
      <c r="H3387" s="25" t="str">
        <f>IF(J3387&lt;&gt;1,"",IF(I3387="SBJ","CB","?"))</f>
        <v> </v>
      </c>
      <c r="I3387" s="26" t="str">
        <f>IF(OR(E3387="",E3387="!!!",F3387="NEW"),"",INDEX(B3386:B$2,-1+SUMPRODUCT(MAX(ROW(E3386:E$2)*(E3387=E3386:E$2)))))</f>
        <v> </v>
      </c>
      <c r="J3387" s="26" t="str">
        <f>IF(OR(E3387="",E3387="!!!",F3387="NEW"),"",COUNTBLANK(OFFSET(A$1,,,SUMPRODUCT(MAX(ROW(E$2:E3387)*(E3387=E$2:E3387)))))-COUNTBLANK(OFFSET(A$1,,,SUMPRODUCT(MAX(ROW(E$1:E3386)*(E2=E$1:E3386))))))</f>
        <v> </v>
      </c>
      <c r="K3387" s="26" t="str">
        <f>IF(OR(E3387="",E3387="!!!",F3387="NEW"),"",INDEX(J$1:J3386,SUMPRODUCT(MAX(ROW(E$1:E3386)*(E3387=E$1:E3386)))))</f>
        <v> </v>
      </c>
      <c r="L3387" s="27"/>
    </row>
    <row r="3388" spans="1:12">
      <c r="A3388" s="20" t="s">
        <v>817</v>
      </c>
      <c r="E3388" s="22">
        <f>IF(D3388="?OLD","!!!","")</f>
        <v/>
      </c>
      <c r="F3388" s="23" t="str">
        <f>IF(OR(E3388="",E3388="!!!"),"",IF(NOT(ISNA(VLOOKUP(E3388,E$1:E3387,1,FALSE()))),"OLD",IF(AND(E3388&lt;&gt;"",E3388&lt;&gt;"!!!"),"NEW","")))</f>
        <v> </v>
      </c>
      <c r="G3388" s="24" t="str">
        <f>IF(OR(E3388="",E3388="!!!"),"",IF(OR(J3388=0,AND(J3388=1,K3388=1),AND(J3388=1,I3388="SBJ"),AND(J3388=1,I3388=0)),"?IN_FOCUS",IF(J3388&lt;=2,"?ACTIVATED",IF(J3388&lt;&gt;"","?FAMILIAR",IF(F3388="NEW",IF(ISNA(VLOOKUP(E3388,#REF!,1,FALSE())),"?TYPE_IDENTIFIABLE","?REFERENTIAL"),"_")))))</f>
        <v> </v>
      </c>
      <c r="H3388" s="25" t="str">
        <f>IF(J3388&lt;&gt;1,"",IF(I3388="SBJ","CB","?"))</f>
        <v> </v>
      </c>
      <c r="I3388" s="26" t="str">
        <f>IF(OR(E3388="",E3388="!!!",F3388="NEW"),"",INDEX(B3387:B$2,-1+SUMPRODUCT(MAX(ROW(E3387:E$2)*(E3388=E3387:E$2)))))</f>
        <v> </v>
      </c>
      <c r="J3388" s="26" t="str">
        <f>IF(OR(E3388="",E3388="!!!",F3388="NEW"),"",COUNTBLANK(OFFSET(A$1,,,SUMPRODUCT(MAX(ROW(E$2:E3388)*(E3388=E$2:E3388)))))-COUNTBLANK(OFFSET(A$1,,,SUMPRODUCT(MAX(ROW(E$1:E3387)*(E2=E$1:E3387))))))</f>
        <v> </v>
      </c>
      <c r="K3388" s="26" t="str">
        <f>IF(OR(E3388="",E3388="!!!",F3388="NEW"),"",INDEX(J$1:J3387,SUMPRODUCT(MAX(ROW(E$1:E3387)*(E3388=E$1:E3387)))))</f>
        <v> </v>
      </c>
      <c r="L3388" s="27"/>
    </row>
    <row r="3389" spans="1:12">
      <c r="A3389" s="20"/>
    </row>
    <row r="3390" spans="1:12">
      <c r="A3390" s="20" t="s">
        <v>798</v>
      </c>
      <c r="E3390" s="22">
        <f>IF(D3390="?OLD","!!!","")</f>
        <v/>
      </c>
      <c r="F3390" s="23" t="str">
        <f>IF(OR(E3390="",E3390="!!!"),"",IF(NOT(ISNA(VLOOKUP(E3390,E$1:E3389,1,FALSE()))),"OLD",IF(AND(E3390&lt;&gt;"",E3390&lt;&gt;"!!!"),"NEW","")))</f>
        <v> </v>
      </c>
      <c r="G3390" s="24" t="str">
        <f>IF(OR(E3390="",E3390="!!!"),"",IF(OR(J3390=0,AND(J3390=1,K3390=1),AND(J3390=1,I3390="SBJ"),AND(J3390=1,I3390=0)),"?IN_FOCUS",IF(J3390&lt;=2,"?ACTIVATED",IF(J3390&lt;&gt;"","?FAMILIAR",IF(F3390="NEW",IF(ISNA(VLOOKUP(E3390,#REF!,1,FALSE())),"?TYPE_IDENTIFIABLE","?REFERENTIAL"),"_")))))</f>
        <v> </v>
      </c>
      <c r="H3390" s="25" t="str">
        <f>IF(J3390&lt;&gt;1,"",IF(I3390="SBJ","CB","?"))</f>
        <v> </v>
      </c>
      <c r="I3390" s="26" t="str">
        <f>IF(OR(E3390="",E3390="!!!",F3390="NEW"),"",INDEX(B3389:B$2,-1+SUMPRODUCT(MAX(ROW(E3389:E$2)*(E3390=E3389:E$2)))))</f>
        <v> </v>
      </c>
      <c r="J3390" s="26" t="str">
        <f>IF(OR(E3390="",E3390="!!!",F3390="NEW"),"",COUNTBLANK(OFFSET(A$1,,,SUMPRODUCT(MAX(ROW(E$2:E3390)*(E3390=E$2:E3390)))))-COUNTBLANK(OFFSET(A$1,,,SUMPRODUCT(MAX(ROW(E$1:E3389)*(E2=E$1:E3389))))))</f>
        <v> </v>
      </c>
      <c r="K3390" s="26" t="str">
        <f>IF(OR(E3390="",E3390="!!!",F3390="NEW"),"",INDEX(J$1:J3389,SUMPRODUCT(MAX(ROW(E$1:E3389)*(E3390=E$1:E3389)))))</f>
        <v> </v>
      </c>
      <c r="L3390" s="27"/>
    </row>
    <row r="3391" spans="1:12">
      <c r="A3391" s="20" t="s">
        <v>1915</v>
      </c>
    </row>
    <row r="3392" spans="1:12">
      <c r="A3392" s="20" t="s">
        <v>768</v>
      </c>
      <c r="E3392" s="22">
        <f>IF(D3392="?OLD","!!!","")</f>
        <v/>
      </c>
      <c r="F3392" s="23" t="str">
        <f>IF(OR(E3392="",E3392="!!!"),"",IF(NOT(ISNA(VLOOKUP(E3392,E$1:E3391,1,FALSE()))),"OLD",IF(AND(E3392&lt;&gt;"",E3392&lt;&gt;"!!!"),"NEW","")))</f>
        <v> </v>
      </c>
      <c r="G3392" s="24" t="str">
        <f>IF(OR(E3392="",E3392="!!!"),"",IF(OR(J3392=0,AND(J3392=1,K3392=1),AND(J3392=1,I3392="SBJ"),AND(J3392=1,I3392=0)),"?IN_FOCUS",IF(J3392&lt;=2,"?ACTIVATED",IF(J3392&lt;&gt;"","?FAMILIAR",IF(F3392="NEW",IF(ISNA(VLOOKUP(E3392,#REF!,1,FALSE())),"?TYPE_IDENTIFIABLE","?REFERENTIAL"),"_")))))</f>
        <v> </v>
      </c>
      <c r="H3392" s="25" t="str">
        <f>IF(J3392&lt;&gt;1,"",IF(I3392="SBJ","CB","?"))</f>
        <v> </v>
      </c>
      <c r="I3392" s="26" t="str">
        <f>IF(OR(E3392="",E3392="!!!",F3392="NEW"),"",INDEX(B3391:B$2,-1+SUMPRODUCT(MAX(ROW(E3391:E$2)*(E3392=E3391:E$2)))))</f>
        <v> </v>
      </c>
      <c r="J3392" s="26" t="str">
        <f>IF(OR(E3392="",E3392="!!!",F3392="NEW"),"",COUNTBLANK(OFFSET(A$1,,,SUMPRODUCT(MAX(ROW(E$2:E3392)*(E3392=E$2:E3392)))))-COUNTBLANK(OFFSET(A$1,,,SUMPRODUCT(MAX(ROW(E$1:E3391)*(E2=E$1:E3391))))))</f>
        <v> </v>
      </c>
      <c r="K3392" s="26" t="str">
        <f>IF(OR(E3392="",E3392="!!!",F3392="NEW"),"",INDEX(J$1:J3391,SUMPRODUCT(MAX(ROW(E$1:E3391)*(E3392=E$1:E3391)))))</f>
        <v> </v>
      </c>
      <c r="L3392" s="27"/>
    </row>
    <row r="3393" spans="1:12">
      <c r="A3393" s="20" t="s">
        <v>750</v>
      </c>
      <c r="B3393" s="21" t="s">
        <v>728</v>
      </c>
      <c r="C3393" s="21" t="s">
        <v>729</v>
      </c>
      <c r="D3393" s="21" t="s">
        <v>730</v>
      </c>
      <c r="E3393" s="22">
        <f>IF(D3393="?OLD","!!!","")</f>
        <v/>
      </c>
      <c r="F3393" s="23" t="str">
        <f>IF(OR(E3393="",E3393="!!!"),"",IF(NOT(ISNA(VLOOKUP(E3393,E$1:E3392,1,FALSE()))),"OLD",IF(AND(E3393&lt;&gt;"",E3393&lt;&gt;"!!!"),"NEW","")))</f>
        <v> </v>
      </c>
      <c r="G3393" s="24" t="str">
        <f>IF(OR(E3393="",E3393="!!!"),"",IF(OR(J3393=0,AND(J3393=1,K3393=1),AND(J3393=1,I3393="SBJ"),AND(J3393=1,I3393=0)),"?IN_FOCUS",IF(J3393&lt;=2,"?ACTIVATED",IF(J3393&lt;&gt;"","?FAMILIAR",IF(F3393="NEW",IF(ISNA(VLOOKUP(E3393,#REF!,1,FALSE())),"?TYPE_IDENTIFIABLE","?REFERENTIAL"),"_")))))</f>
        <v> </v>
      </c>
      <c r="H3393" s="25" t="str">
        <f>IF(J3393&lt;&gt;1,"",IF(I3393="SBJ","CB","?"))</f>
        <v> </v>
      </c>
      <c r="I3393" s="26" t="str">
        <f>IF(OR(E3393="",E3393="!!!",F3393="NEW"),"",INDEX(B3392:B$2,-1+SUMPRODUCT(MAX(ROW(E3392:E$2)*(E3393=E3392:E$2)))))</f>
        <v> </v>
      </c>
      <c r="J3393" s="26" t="str">
        <f>IF(OR(E3393="",E3393="!!!",F3393="NEW"),"",COUNTBLANK(OFFSET(A$1,,,SUMPRODUCT(MAX(ROW(E$2:E3393)*(E3393=E$2:E3393)))))-COUNTBLANK(OFFSET(A$1,,,SUMPRODUCT(MAX(ROW(E$1:E3392)*(E2=E$1:E3392))))))</f>
        <v> </v>
      </c>
      <c r="K3393" s="26" t="str">
        <f>IF(OR(E3393="",E3393="!!!",F3393="NEW"),"",INDEX(J$1:J3392,SUMPRODUCT(MAX(ROW(E$1:E3392)*(E3393=E$1:E3392)))))</f>
        <v> </v>
      </c>
      <c r="L3393" s="27"/>
    </row>
    <row r="3394" spans="1:12">
      <c r="A3394" s="20" t="s">
        <v>1916</v>
      </c>
      <c r="E3394" s="22">
        <f>IF(D3394="?OLD","!!!","")</f>
        <v/>
      </c>
      <c r="F3394" s="23" t="str">
        <f>IF(OR(E3394="",E3394="!!!"),"",IF(NOT(ISNA(VLOOKUP(E3394,E$1:E3393,1,FALSE()))),"OLD",IF(AND(E3394&lt;&gt;"",E3394&lt;&gt;"!!!"),"NEW","")))</f>
        <v> </v>
      </c>
      <c r="G3394" s="24" t="str">
        <f>IF(OR(E3394="",E3394="!!!"),"",IF(OR(J3394=0,AND(J3394=1,K3394=1),AND(J3394=1,I3394="SBJ"),AND(J3394=1,I3394=0)),"?IN_FOCUS",IF(J3394&lt;=2,"?ACTIVATED",IF(J3394&lt;&gt;"","?FAMILIAR",IF(F3394="NEW",IF(ISNA(VLOOKUP(E3394,#REF!,1,FALSE())),"?TYPE_IDENTIFIABLE","?REFERENTIAL"),"_")))))</f>
        <v> </v>
      </c>
      <c r="H3394" s="25" t="str">
        <f>IF(J3394&lt;&gt;1,"",IF(I3394="SBJ","CB","?"))</f>
        <v> </v>
      </c>
      <c r="I3394" s="26" t="str">
        <f>IF(OR(E3394="",E3394="!!!",F3394="NEW"),"",INDEX(B3393:B$2,-1+SUMPRODUCT(MAX(ROW(E3393:E$2)*(E3394=E3393:E$2)))))</f>
        <v> </v>
      </c>
      <c r="J3394" s="26" t="str">
        <f>IF(OR(E3394="",E3394="!!!",F3394="NEW"),"",COUNTBLANK(OFFSET(A$1,,,SUMPRODUCT(MAX(ROW(E$2:E3394)*(E3394=E$2:E3394)))))-COUNTBLANK(OFFSET(A$1,,,SUMPRODUCT(MAX(ROW(E$1:E3393)*(E2=E$1:E3393))))))</f>
        <v> </v>
      </c>
      <c r="K3394" s="26" t="str">
        <f>IF(OR(E3394="",E3394="!!!",F3394="NEW"),"",INDEX(J$1:J3393,SUMPRODUCT(MAX(ROW(E$1:E3393)*(E3394=E$1:E3393)))))</f>
        <v> </v>
      </c>
      <c r="L3394" s="27"/>
    </row>
    <row r="3395" spans="1:12">
      <c r="A3395" s="20" t="s">
        <v>1147</v>
      </c>
      <c r="E3395" s="22">
        <f>IF(D3395="?OLD","!!!","")</f>
        <v/>
      </c>
      <c r="F3395" s="23" t="str">
        <f>IF(OR(E3395="",E3395="!!!"),"",IF(NOT(ISNA(VLOOKUP(E3395,E$1:E3394,1,FALSE()))),"OLD",IF(AND(E3395&lt;&gt;"",E3395&lt;&gt;"!!!"),"NEW","")))</f>
        <v> </v>
      </c>
      <c r="G3395" s="24" t="str">
        <f>IF(OR(E3395="",E3395="!!!"),"",IF(OR(J3395=0,AND(J3395=1,K3395=1),AND(J3395=1,I3395="SBJ"),AND(J3395=1,I3395=0)),"?IN_FOCUS",IF(J3395&lt;=2,"?ACTIVATED",IF(J3395&lt;&gt;"","?FAMILIAR",IF(F3395="NEW",IF(ISNA(VLOOKUP(E3395,#REF!,1,FALSE())),"?TYPE_IDENTIFIABLE","?REFERENTIAL"),"_")))))</f>
        <v> </v>
      </c>
      <c r="H3395" s="25" t="str">
        <f>IF(J3395&lt;&gt;1,"",IF(I3395="SBJ","CB","?"))</f>
        <v> </v>
      </c>
      <c r="I3395" s="26" t="str">
        <f>IF(OR(E3395="",E3395="!!!",F3395="NEW"),"",INDEX(B3394:B$2,-1+SUMPRODUCT(MAX(ROW(E3394:E$2)*(E3395=E3394:E$2)))))</f>
        <v> </v>
      </c>
      <c r="J3395" s="26" t="str">
        <f>IF(OR(E3395="",E3395="!!!",F3395="NEW"),"",COUNTBLANK(OFFSET(A$1,,,SUMPRODUCT(MAX(ROW(E$2:E3395)*(E3395=E$2:E3395)))))-COUNTBLANK(OFFSET(A$1,,,SUMPRODUCT(MAX(ROW(E$1:E3394)*(E2=E$1:E3394))))))</f>
        <v> </v>
      </c>
      <c r="K3395" s="26" t="str">
        <f>IF(OR(E3395="",E3395="!!!",F3395="NEW"),"",INDEX(J$1:J3394,SUMPRODUCT(MAX(ROW(E$1:E3394)*(E3395=E$1:E3394)))))</f>
        <v> </v>
      </c>
      <c r="L3395" s="27"/>
    </row>
    <row r="3396" spans="1:12">
      <c r="A3396" s="20" t="s">
        <v>817</v>
      </c>
      <c r="E3396" s="22">
        <f>IF(D3396="?OLD","!!!","")</f>
        <v/>
      </c>
      <c r="F3396" s="23" t="str">
        <f>IF(OR(E3396="",E3396="!!!"),"",IF(NOT(ISNA(VLOOKUP(E3396,E$1:E3395,1,FALSE()))),"OLD",IF(AND(E3396&lt;&gt;"",E3396&lt;&gt;"!!!"),"NEW","")))</f>
        <v> </v>
      </c>
      <c r="G3396" s="24" t="str">
        <f>IF(OR(E3396="",E3396="!!!"),"",IF(OR(J3396=0,AND(J3396=1,K3396=1),AND(J3396=1,I3396="SBJ"),AND(J3396=1,I3396=0)),"?IN_FOCUS",IF(J3396&lt;=2,"?ACTIVATED",IF(J3396&lt;&gt;"","?FAMILIAR",IF(F3396="NEW",IF(ISNA(VLOOKUP(E3396,#REF!,1,FALSE())),"?TYPE_IDENTIFIABLE","?REFERENTIAL"),"_")))))</f>
        <v> </v>
      </c>
      <c r="H3396" s="25" t="str">
        <f>IF(J3396&lt;&gt;1,"",IF(I3396="SBJ","CB","?"))</f>
        <v> </v>
      </c>
      <c r="I3396" s="26" t="str">
        <f>IF(OR(E3396="",E3396="!!!",F3396="NEW"),"",INDEX(B3395:B$2,-1+SUMPRODUCT(MAX(ROW(E3395:E$2)*(E3396=E3395:E$2)))))</f>
        <v> </v>
      </c>
      <c r="J3396" s="26" t="str">
        <f>IF(OR(E3396="",E3396="!!!",F3396="NEW"),"",COUNTBLANK(OFFSET(A$1,,,SUMPRODUCT(MAX(ROW(E$2:E3396)*(E3396=E$2:E3396)))))-COUNTBLANK(OFFSET(A$1,,,SUMPRODUCT(MAX(ROW(E$1:E3395)*(E2=E$1:E3395))))))</f>
        <v> </v>
      </c>
      <c r="K3396" s="26" t="str">
        <f>IF(OR(E3396="",E3396="!!!",F3396="NEW"),"",INDEX(J$1:J3395,SUMPRODUCT(MAX(ROW(E$1:E3395)*(E3396=E$1:E3395)))))</f>
        <v> </v>
      </c>
      <c r="L3396" s="27"/>
    </row>
    <row r="3397" spans="1:12">
      <c r="A3397" s="20" t="s">
        <v>1917</v>
      </c>
      <c r="B3397" s="21" t="s">
        <v>796</v>
      </c>
      <c r="C3397" s="21" t="s">
        <v>748</v>
      </c>
      <c r="E3397" s="22">
        <f>IF(D3397="?OLD","!!!","")</f>
        <v/>
      </c>
      <c r="F3397" s="23" t="str">
        <f>IF(OR(E3397="",E3397="!!!"),"",IF(NOT(ISNA(VLOOKUP(E3397,E$1:E3396,1,FALSE()))),"OLD",IF(AND(E3397&lt;&gt;"",E3397&lt;&gt;"!!!"),"NEW","")))</f>
        <v> </v>
      </c>
      <c r="G3397" s="24" t="str">
        <f>IF(OR(E3397="",E3397="!!!"),"",IF(OR(J3397=0,AND(J3397=1,K3397=1),AND(J3397=1,I3397="SBJ"),AND(J3397=1,I3397=0)),"?IN_FOCUS",IF(J3397&lt;=2,"?ACTIVATED",IF(J3397&lt;&gt;"","?FAMILIAR",IF(F3397="NEW",IF(ISNA(VLOOKUP(E3397,#REF!,1,FALSE())),"?TYPE_IDENTIFIABLE","?REFERENTIAL"),"_")))))</f>
        <v> </v>
      </c>
      <c r="H3397" s="25" t="str">
        <f>IF(J3397&lt;&gt;1,"",IF(I3397="SBJ","CB","?"))</f>
        <v> </v>
      </c>
      <c r="I3397" s="26" t="str">
        <f>IF(OR(E3397="",E3397="!!!",F3397="NEW"),"",INDEX(B3396:B$2,-1+SUMPRODUCT(MAX(ROW(E3396:E$2)*(E3397=E3396:E$2)))))</f>
        <v> </v>
      </c>
      <c r="J3397" s="26" t="str">
        <f>IF(OR(E3397="",E3397="!!!",F3397="NEW"),"",COUNTBLANK(OFFSET(A$1,,,SUMPRODUCT(MAX(ROW(E$2:E3397)*(E3397=E$2:E3397)))))-COUNTBLANK(OFFSET(A$1,,,SUMPRODUCT(MAX(ROW(E$1:E3396)*(E2=E$1:E3396))))))</f>
        <v> </v>
      </c>
      <c r="K3397" s="26" t="str">
        <f>IF(OR(E3397="",E3397="!!!",F3397="NEW"),"",INDEX(J$1:J3396,SUMPRODUCT(MAX(ROW(E$1:E3396)*(E3397=E$1:E3396)))))</f>
        <v> </v>
      </c>
      <c r="L3397" s="27"/>
    </row>
    <row r="3398" spans="1:12">
      <c r="A3398" s="20" t="s">
        <v>1918</v>
      </c>
      <c r="E3398" s="22">
        <f>IF(D3398="?OLD","!!!","")</f>
        <v/>
      </c>
      <c r="F3398" s="23" t="str">
        <f>IF(OR(E3398="",E3398="!!!"),"",IF(NOT(ISNA(VLOOKUP(E3398,E$1:E3397,1,FALSE()))),"OLD",IF(AND(E3398&lt;&gt;"",E3398&lt;&gt;"!!!"),"NEW","")))</f>
        <v> </v>
      </c>
      <c r="G3398" s="24" t="str">
        <f>IF(OR(E3398="",E3398="!!!"),"",IF(OR(J3398=0,AND(J3398=1,K3398=1),AND(J3398=1,I3398="SBJ"),AND(J3398=1,I3398=0)),"?IN_FOCUS",IF(J3398&lt;=2,"?ACTIVATED",IF(J3398&lt;&gt;"","?FAMILIAR",IF(F3398="NEW",IF(ISNA(VLOOKUP(E3398,#REF!,1,FALSE())),"?TYPE_IDENTIFIABLE","?REFERENTIAL"),"_")))))</f>
        <v> </v>
      </c>
      <c r="H3398" s="25" t="str">
        <f>IF(J3398&lt;&gt;1,"",IF(I3398="SBJ","CB","?"))</f>
        <v> </v>
      </c>
      <c r="I3398" s="26" t="str">
        <f>IF(OR(E3398="",E3398="!!!",F3398="NEW"),"",INDEX(B3397:B$2,-1+SUMPRODUCT(MAX(ROW(E3397:E$2)*(E3398=E3397:E$2)))))</f>
        <v> </v>
      </c>
      <c r="J3398" s="26" t="str">
        <f>IF(OR(E3398="",E3398="!!!",F3398="NEW"),"",COUNTBLANK(OFFSET(A$1,,,SUMPRODUCT(MAX(ROW(E$2:E3398)*(E3398=E$2:E3398)))))-COUNTBLANK(OFFSET(A$1,,,SUMPRODUCT(MAX(ROW(E$1:E3397)*(E2=E$1:E3397))))))</f>
        <v> </v>
      </c>
      <c r="K3398" s="26" t="str">
        <f>IF(OR(E3398="",E3398="!!!",F3398="NEW"),"",INDEX(J$1:J3397,SUMPRODUCT(MAX(ROW(E$1:E3397)*(E3398=E$1:E3397)))))</f>
        <v> </v>
      </c>
      <c r="L3398" s="27"/>
    </row>
    <row r="3399" spans="1:12">
      <c r="A3399" s="20" t="s">
        <v>810</v>
      </c>
      <c r="E3399" s="22">
        <f>IF(D3399="?OLD","!!!","")</f>
        <v/>
      </c>
      <c r="F3399" s="23" t="str">
        <f>IF(OR(E3399="",E3399="!!!"),"",IF(NOT(ISNA(VLOOKUP(E3399,E$1:E3398,1,FALSE()))),"OLD",IF(AND(E3399&lt;&gt;"",E3399&lt;&gt;"!!!"),"NEW","")))</f>
        <v> </v>
      </c>
      <c r="G3399" s="24" t="str">
        <f>IF(OR(E3399="",E3399="!!!"),"",IF(OR(J3399=0,AND(J3399=1,K3399=1),AND(J3399=1,I3399="SBJ"),AND(J3399=1,I3399=0)),"?IN_FOCUS",IF(J3399&lt;=2,"?ACTIVATED",IF(J3399&lt;&gt;"","?FAMILIAR",IF(F3399="NEW",IF(ISNA(VLOOKUP(E3399,#REF!,1,FALSE())),"?TYPE_IDENTIFIABLE","?REFERENTIAL"),"_")))))</f>
        <v> </v>
      </c>
      <c r="H3399" s="25" t="str">
        <f>IF(J3399&lt;&gt;1,"",IF(I3399="SBJ","CB","?"))</f>
        <v> </v>
      </c>
      <c r="I3399" s="26" t="str">
        <f>IF(OR(E3399="",E3399="!!!",F3399="NEW"),"",INDEX(B3398:B$2,-1+SUMPRODUCT(MAX(ROW(E3398:E$2)*(E3399=E3398:E$2)))))</f>
        <v> </v>
      </c>
      <c r="J3399" s="26" t="str">
        <f>IF(OR(E3399="",E3399="!!!",F3399="NEW"),"",COUNTBLANK(OFFSET(A$1,,,SUMPRODUCT(MAX(ROW(E$2:E3399)*(E3399=E$2:E3399)))))-COUNTBLANK(OFFSET(A$1,,,SUMPRODUCT(MAX(ROW(E$1:E3398)*(E2=E$1:E3398))))))</f>
        <v> </v>
      </c>
      <c r="K3399" s="26" t="str">
        <f>IF(OR(E3399="",E3399="!!!",F3399="NEW"),"",INDEX(J$1:J3398,SUMPRODUCT(MAX(ROW(E$1:E3398)*(E3399=E$1:E3398)))))</f>
        <v> </v>
      </c>
      <c r="L3399" s="27"/>
    </row>
    <row r="3400" spans="1:12">
      <c r="A3400" s="20" t="s">
        <v>982</v>
      </c>
      <c r="E3400" s="22">
        <f>IF(D3400="?OLD","!!!","")</f>
        <v/>
      </c>
      <c r="F3400" s="23" t="str">
        <f>IF(OR(E3400="",E3400="!!!"),"",IF(NOT(ISNA(VLOOKUP(E3400,E$1:E3399,1,FALSE()))),"OLD",IF(AND(E3400&lt;&gt;"",E3400&lt;&gt;"!!!"),"NEW","")))</f>
        <v> </v>
      </c>
      <c r="G3400" s="24" t="str">
        <f>IF(OR(E3400="",E3400="!!!"),"",IF(OR(J3400=0,AND(J3400=1,K3400=1),AND(J3400=1,I3400="SBJ"),AND(J3400=1,I3400=0)),"?IN_FOCUS",IF(J3400&lt;=2,"?ACTIVATED",IF(J3400&lt;&gt;"","?FAMILIAR",IF(F3400="NEW",IF(ISNA(VLOOKUP(E3400,#REF!,1,FALSE())),"?TYPE_IDENTIFIABLE","?REFERENTIAL"),"_")))))</f>
        <v> </v>
      </c>
      <c r="H3400" s="25" t="str">
        <f>IF(J3400&lt;&gt;1,"",IF(I3400="SBJ","CB","?"))</f>
        <v> </v>
      </c>
      <c r="I3400" s="26" t="str">
        <f>IF(OR(E3400="",E3400="!!!",F3400="NEW"),"",INDEX(B3399:B$2,-1+SUMPRODUCT(MAX(ROW(E3399:E$2)*(E3400=E3399:E$2)))))</f>
        <v> </v>
      </c>
      <c r="J3400" s="26" t="str">
        <f>IF(OR(E3400="",E3400="!!!",F3400="NEW"),"",COUNTBLANK(OFFSET(A$1,,,SUMPRODUCT(MAX(ROW(E$2:E3400)*(E3400=E$2:E3400)))))-COUNTBLANK(OFFSET(A$1,,,SUMPRODUCT(MAX(ROW(E$1:E3399)*(E2=E$1:E3399))))))</f>
        <v> </v>
      </c>
      <c r="K3400" s="26" t="str">
        <f>IF(OR(E3400="",E3400="!!!",F3400="NEW"),"",INDEX(J$1:J3399,SUMPRODUCT(MAX(ROW(E$1:E3399)*(E3400=E$1:E3399)))))</f>
        <v> </v>
      </c>
      <c r="L3400" s="27"/>
    </row>
    <row r="3401" spans="1:12">
      <c r="A3401" s="20" t="s">
        <v>922</v>
      </c>
      <c r="E3401" s="22">
        <f>IF(D3401="?OLD","!!!","")</f>
        <v/>
      </c>
      <c r="F3401" s="23" t="str">
        <f>IF(OR(E3401="",E3401="!!!"),"",IF(NOT(ISNA(VLOOKUP(E3401,E$1:E3400,1,FALSE()))),"OLD",IF(AND(E3401&lt;&gt;"",E3401&lt;&gt;"!!!"),"NEW","")))</f>
        <v> </v>
      </c>
      <c r="G3401" s="24" t="str">
        <f>IF(OR(E3401="",E3401="!!!"),"",IF(OR(J3401=0,AND(J3401=1,K3401=1),AND(J3401=1,I3401="SBJ"),AND(J3401=1,I3401=0)),"?IN_FOCUS",IF(J3401&lt;=2,"?ACTIVATED",IF(J3401&lt;&gt;"","?FAMILIAR",IF(F3401="NEW",IF(ISNA(VLOOKUP(E3401,#REF!,1,FALSE())),"?TYPE_IDENTIFIABLE","?REFERENTIAL"),"_")))))</f>
        <v> </v>
      </c>
      <c r="H3401" s="25" t="str">
        <f>IF(J3401&lt;&gt;1,"",IF(I3401="SBJ","CB","?"))</f>
        <v> </v>
      </c>
      <c r="I3401" s="26" t="str">
        <f>IF(OR(E3401="",E3401="!!!",F3401="NEW"),"",INDEX(B3400:B$2,-1+SUMPRODUCT(MAX(ROW(E3400:E$2)*(E3401=E3400:E$2)))))</f>
        <v> </v>
      </c>
      <c r="J3401" s="26" t="str">
        <f>IF(OR(E3401="",E3401="!!!",F3401="NEW"),"",COUNTBLANK(OFFSET(A$1,,,SUMPRODUCT(MAX(ROW(E$2:E3401)*(E3401=E$2:E3401)))))-COUNTBLANK(OFFSET(A$1,,,SUMPRODUCT(MAX(ROW(E$1:E3400)*(E2=E$1:E3400))))))</f>
        <v> </v>
      </c>
      <c r="K3401" s="26" t="str">
        <f>IF(OR(E3401="",E3401="!!!",F3401="NEW"),"",INDEX(J$1:J3400,SUMPRODUCT(MAX(ROW(E$1:E3400)*(E3401=E$1:E3400)))))</f>
        <v> </v>
      </c>
      <c r="L3401" s="27"/>
    </row>
    <row r="3402" spans="1:12">
      <c r="A3402" s="20" t="s">
        <v>246</v>
      </c>
      <c r="E3402" s="22">
        <f>IF(D3402="?OLD","!!!","")</f>
        <v/>
      </c>
      <c r="F3402" s="23" t="str">
        <f>IF(OR(E3402="",E3402="!!!"),"",IF(NOT(ISNA(VLOOKUP(E3402,E$1:E3401,1,FALSE()))),"OLD",IF(AND(E3402&lt;&gt;"",E3402&lt;&gt;"!!!"),"NEW","")))</f>
        <v> </v>
      </c>
      <c r="G3402" s="24" t="str">
        <f>IF(OR(E3402="",E3402="!!!"),"",IF(OR(J3402=0,AND(J3402=1,K3402=1),AND(J3402=1,I3402="SBJ"),AND(J3402=1,I3402=0)),"?IN_FOCUS",IF(J3402&lt;=2,"?ACTIVATED",IF(J3402&lt;&gt;"","?FAMILIAR",IF(F3402="NEW",IF(ISNA(VLOOKUP(E3402,#REF!,1,FALSE())),"?TYPE_IDENTIFIABLE","?REFERENTIAL"),"_")))))</f>
        <v> </v>
      </c>
      <c r="H3402" s="25" t="str">
        <f>IF(J3402&lt;&gt;1,"",IF(I3402="SBJ","CB","?"))</f>
        <v> </v>
      </c>
      <c r="I3402" s="26" t="str">
        <f>IF(OR(E3402="",E3402="!!!",F3402="NEW"),"",INDEX(B3401:B$2,-1+SUMPRODUCT(MAX(ROW(E3401:E$2)*(E3402=E3401:E$2)))))</f>
        <v> </v>
      </c>
      <c r="J3402" s="26" t="str">
        <f>IF(OR(E3402="",E3402="!!!",F3402="NEW"),"",COUNTBLANK(OFFSET(A$1,,,SUMPRODUCT(MAX(ROW(E$2:E3402)*(E3402=E$2:E3402)))))-COUNTBLANK(OFFSET(A$1,,,SUMPRODUCT(MAX(ROW(E$1:E3401)*(E2=E$1:E3401))))))</f>
        <v> </v>
      </c>
      <c r="K3402" s="26" t="str">
        <f>IF(OR(E3402="",E3402="!!!",F3402="NEW"),"",INDEX(J$1:J3401,SUMPRODUCT(MAX(ROW(E$1:E3401)*(E3402=E$1:E3401)))))</f>
        <v> </v>
      </c>
      <c r="L3402" s="27"/>
    </row>
    <row r="3403" spans="1:12">
      <c r="A3403" s="20"/>
    </row>
    <row r="3404" spans="1:12">
      <c r="A3404" s="20" t="s">
        <v>1919</v>
      </c>
    </row>
    <row r="3405" spans="1:12">
      <c r="A3405" s="20" t="s">
        <v>883</v>
      </c>
      <c r="B3405" s="21" t="s">
        <v>728</v>
      </c>
      <c r="C3405" s="21" t="s">
        <v>801</v>
      </c>
      <c r="D3405" s="21" t="s">
        <v>730</v>
      </c>
      <c r="E3405" s="22">
        <f>IF(D3405="?OLD","!!!","")</f>
        <v/>
      </c>
      <c r="F3405" s="23" t="str">
        <f>IF(OR(E3405="",E3405="!!!"),"",IF(NOT(ISNA(VLOOKUP(E3405,E$1:E3404,1,FALSE()))),"OLD",IF(AND(E3405&lt;&gt;"",E3405&lt;&gt;"!!!"),"NEW","")))</f>
        <v> </v>
      </c>
      <c r="G3405" s="24" t="str">
        <f>IF(OR(E3405="",E3405="!!!"),"",IF(OR(J3405=0,AND(J3405=1,K3405=1),AND(J3405=1,I3405="SBJ"),AND(J3405=1,I3405=0)),"?IN_FOCUS",IF(J3405&lt;=2,"?ACTIVATED",IF(J3405&lt;&gt;"","?FAMILIAR",IF(F3405="NEW",IF(ISNA(VLOOKUP(E3405,#REF!,1,FALSE())),"?TYPE_IDENTIFIABLE","?REFERENTIAL"),"_")))))</f>
        <v> </v>
      </c>
      <c r="H3405" s="25" t="str">
        <f>IF(J3405&lt;&gt;1,"",IF(I3405="SBJ","CB","?"))</f>
        <v> </v>
      </c>
      <c r="I3405" s="26" t="str">
        <f>IF(OR(E3405="",E3405="!!!",F3405="NEW"),"",INDEX(B3404:B$2,-1+SUMPRODUCT(MAX(ROW(E3404:E$2)*(E3405=E3404:E$2)))))</f>
        <v> </v>
      </c>
      <c r="J3405" s="26" t="str">
        <f>IF(OR(E3405="",E3405="!!!",F3405="NEW"),"",COUNTBLANK(OFFSET(A$1,,,SUMPRODUCT(MAX(ROW(E$2:E3405)*(E3405=E$2:E3405)))))-COUNTBLANK(OFFSET(A$1,,,SUMPRODUCT(MAX(ROW(E$1:E3404)*(E2=E$1:E3404))))))</f>
        <v> </v>
      </c>
      <c r="K3405" s="26" t="str">
        <f>IF(OR(E3405="",E3405="!!!",F3405="NEW"),"",INDEX(J$1:J3404,SUMPRODUCT(MAX(ROW(E$1:E3404)*(E3405=E$1:E3404)))))</f>
        <v> </v>
      </c>
      <c r="L3405" s="27"/>
    </row>
    <row r="3406" spans="1:12">
      <c r="A3406" s="20" t="s">
        <v>678</v>
      </c>
      <c r="E3406" s="22">
        <f>IF(D3406="?OLD","!!!","")</f>
        <v/>
      </c>
      <c r="F3406" s="23" t="str">
        <f>IF(OR(E3406="",E3406="!!!"),"",IF(NOT(ISNA(VLOOKUP(E3406,E$1:E3405,1,FALSE()))),"OLD",IF(AND(E3406&lt;&gt;"",E3406&lt;&gt;"!!!"),"NEW","")))</f>
        <v> </v>
      </c>
      <c r="G3406" s="24" t="str">
        <f>IF(OR(E3406="",E3406="!!!"),"",IF(OR(J3406=0,AND(J3406=1,K3406=1),AND(J3406=1,I3406="SBJ"),AND(J3406=1,I3406=0)),"?IN_FOCUS",IF(J3406&lt;=2,"?ACTIVATED",IF(J3406&lt;&gt;"","?FAMILIAR",IF(F3406="NEW",IF(ISNA(VLOOKUP(E3406,#REF!,1,FALSE())),"?TYPE_IDENTIFIABLE","?REFERENTIAL"),"_")))))</f>
        <v> </v>
      </c>
      <c r="H3406" s="25" t="str">
        <f>IF(J3406&lt;&gt;1,"",IF(I3406="SBJ","CB","?"))</f>
        <v> </v>
      </c>
      <c r="I3406" s="26" t="str">
        <f>IF(OR(E3406="",E3406="!!!",F3406="NEW"),"",INDEX(B3405:B$2,-1+SUMPRODUCT(MAX(ROW(E3405:E$2)*(E3406=E3405:E$2)))))</f>
        <v> </v>
      </c>
      <c r="J3406" s="26" t="str">
        <f>IF(OR(E3406="",E3406="!!!",F3406="NEW"),"",COUNTBLANK(OFFSET(A$1,,,SUMPRODUCT(MAX(ROW(E$2:E3406)*(E3406=E$2:E3406)))))-COUNTBLANK(OFFSET(A$1,,,SUMPRODUCT(MAX(ROW(E$1:E3405)*(E2=E$1:E3405))))))</f>
        <v> </v>
      </c>
      <c r="K3406" s="26" t="str">
        <f>IF(OR(E3406="",E3406="!!!",F3406="NEW"),"",INDEX(J$1:J3405,SUMPRODUCT(MAX(ROW(E$1:E3405)*(E3406=E$1:E3405)))))</f>
        <v> </v>
      </c>
      <c r="L3406" s="27"/>
    </row>
    <row r="3407" spans="1:12">
      <c r="A3407" s="20" t="s">
        <v>1259</v>
      </c>
      <c r="E3407" s="22">
        <f>IF(D3407="?OLD","!!!","")</f>
        <v/>
      </c>
      <c r="F3407" s="23" t="str">
        <f>IF(OR(E3407="",E3407="!!!"),"",IF(NOT(ISNA(VLOOKUP(E3407,E$1:E3406,1,FALSE()))),"OLD",IF(AND(E3407&lt;&gt;"",E3407&lt;&gt;"!!!"),"NEW","")))</f>
        <v> </v>
      </c>
      <c r="G3407" s="24" t="str">
        <f>IF(OR(E3407="",E3407="!!!"),"",IF(OR(J3407=0,AND(J3407=1,K3407=1),AND(J3407=1,I3407="SBJ"),AND(J3407=1,I3407=0)),"?IN_FOCUS",IF(J3407&lt;=2,"?ACTIVATED",IF(J3407&lt;&gt;"","?FAMILIAR",IF(F3407="NEW",IF(ISNA(VLOOKUP(E3407,#REF!,1,FALSE())),"?TYPE_IDENTIFIABLE","?REFERENTIAL"),"_")))))</f>
        <v> </v>
      </c>
      <c r="H3407" s="25" t="str">
        <f>IF(J3407&lt;&gt;1,"",IF(I3407="SBJ","CB","?"))</f>
        <v> </v>
      </c>
      <c r="I3407" s="26" t="str">
        <f>IF(OR(E3407="",E3407="!!!",F3407="NEW"),"",INDEX(B3406:B$2,-1+SUMPRODUCT(MAX(ROW(E3406:E$2)*(E3407=E3406:E$2)))))</f>
        <v> </v>
      </c>
      <c r="J3407" s="26" t="str">
        <f>IF(OR(E3407="",E3407="!!!",F3407="NEW"),"",COUNTBLANK(OFFSET(A$1,,,SUMPRODUCT(MAX(ROW(E$2:E3407)*(E3407=E$2:E3407)))))-COUNTBLANK(OFFSET(A$1,,,SUMPRODUCT(MAX(ROW(E$1:E3406)*(E2=E$1:E3406))))))</f>
        <v> </v>
      </c>
      <c r="K3407" s="26" t="str">
        <f>IF(OR(E3407="",E3407="!!!",F3407="NEW"),"",INDEX(J$1:J3406,SUMPRODUCT(MAX(ROW(E$1:E3406)*(E3407=E$1:E3406)))))</f>
        <v> </v>
      </c>
      <c r="L3407" s="27"/>
    </row>
    <row r="3408" spans="1:12">
      <c r="A3408" s="20" t="s">
        <v>781</v>
      </c>
      <c r="B3408" s="21" t="s">
        <v>764</v>
      </c>
      <c r="C3408" s="21" t="s">
        <v>756</v>
      </c>
      <c r="E3408" s="22">
        <f>IF(D3408="?OLD","!!!","")</f>
        <v/>
      </c>
      <c r="F3408" s="23" t="str">
        <f>IF(OR(E3408="",E3408="!!!"),"",IF(NOT(ISNA(VLOOKUP(E3408,E$1:E3407,1,FALSE()))),"OLD",IF(AND(E3408&lt;&gt;"",E3408&lt;&gt;"!!!"),"NEW","")))</f>
        <v> </v>
      </c>
      <c r="G3408" s="24" t="str">
        <f>IF(OR(E3408="",E3408="!!!"),"",IF(OR(J3408=0,AND(J3408=1,K3408=1),AND(J3408=1,I3408="SBJ"),AND(J3408=1,I3408=0)),"?IN_FOCUS",IF(J3408&lt;=2,"?ACTIVATED",IF(J3408&lt;&gt;"","?FAMILIAR",IF(F3408="NEW",IF(ISNA(VLOOKUP(E3408,#REF!,1,FALSE())),"?TYPE_IDENTIFIABLE","?REFERENTIAL"),"_")))))</f>
        <v> </v>
      </c>
      <c r="H3408" s="25" t="str">
        <f>IF(J3408&lt;&gt;1,"",IF(I3408="SBJ","CB","?"))</f>
        <v> </v>
      </c>
      <c r="I3408" s="26" t="str">
        <f>IF(OR(E3408="",E3408="!!!",F3408="NEW"),"",INDEX(B3407:B$2,-1+SUMPRODUCT(MAX(ROW(E3407:E$2)*(E3408=E3407:E$2)))))</f>
        <v> </v>
      </c>
      <c r="J3408" s="26" t="str">
        <f>IF(OR(E3408="",E3408="!!!",F3408="NEW"),"",COUNTBLANK(OFFSET(A$1,,,SUMPRODUCT(MAX(ROW(E$2:E3408)*(E3408=E$2:E3408)))))-COUNTBLANK(OFFSET(A$1,,,SUMPRODUCT(MAX(ROW(E$1:E3407)*(E2=E$1:E3407))))))</f>
        <v> </v>
      </c>
      <c r="K3408" s="26" t="str">
        <f>IF(OR(E3408="",E3408="!!!",F3408="NEW"),"",INDEX(J$1:J3407,SUMPRODUCT(MAX(ROW(E$1:E3407)*(E3408=E$1:E3407)))))</f>
        <v> </v>
      </c>
      <c r="L3408" s="27"/>
    </row>
    <row r="3409" spans="1:12">
      <c r="A3409" s="20" t="s">
        <v>1107</v>
      </c>
      <c r="E3409" s="22">
        <f>IF(D3409="?OLD","!!!","")</f>
        <v/>
      </c>
      <c r="F3409" s="23" t="str">
        <f>IF(OR(E3409="",E3409="!!!"),"",IF(NOT(ISNA(VLOOKUP(E3409,E$1:E3408,1,FALSE()))),"OLD",IF(AND(E3409&lt;&gt;"",E3409&lt;&gt;"!!!"),"NEW","")))</f>
        <v> </v>
      </c>
      <c r="G3409" s="24" t="str">
        <f>IF(OR(E3409="",E3409="!!!"),"",IF(OR(J3409=0,AND(J3409=1,K3409=1),AND(J3409=1,I3409="SBJ"),AND(J3409=1,I3409=0)),"?IN_FOCUS",IF(J3409&lt;=2,"?ACTIVATED",IF(J3409&lt;&gt;"","?FAMILIAR",IF(F3409="NEW",IF(ISNA(VLOOKUP(E3409,#REF!,1,FALSE())),"?TYPE_IDENTIFIABLE","?REFERENTIAL"),"_")))))</f>
        <v> </v>
      </c>
      <c r="H3409" s="25" t="str">
        <f>IF(J3409&lt;&gt;1,"",IF(I3409="SBJ","CB","?"))</f>
        <v> </v>
      </c>
      <c r="I3409" s="26" t="str">
        <f>IF(OR(E3409="",E3409="!!!",F3409="NEW"),"",INDEX(B3408:B$2,-1+SUMPRODUCT(MAX(ROW(E3408:E$2)*(E3409=E3408:E$2)))))</f>
        <v> </v>
      </c>
      <c r="J3409" s="26" t="str">
        <f>IF(OR(E3409="",E3409="!!!",F3409="NEW"),"",COUNTBLANK(OFFSET(A$1,,,SUMPRODUCT(MAX(ROW(E$2:E3409)*(E3409=E$2:E3409)))))-COUNTBLANK(OFFSET(A$1,,,SUMPRODUCT(MAX(ROW(E$1:E3408)*(E2=E$1:E3408))))))</f>
        <v> </v>
      </c>
      <c r="K3409" s="26" t="str">
        <f>IF(OR(E3409="",E3409="!!!",F3409="NEW"),"",INDEX(J$1:J3408,SUMPRODUCT(MAX(ROW(E$1:E3408)*(E3409=E$1:E3408)))))</f>
        <v> </v>
      </c>
      <c r="L3409" s="27"/>
    </row>
    <row r="3410" spans="1:12">
      <c r="A3410" s="20" t="s">
        <v>1918</v>
      </c>
      <c r="E3410" s="22">
        <f>IF(D3410="?OLD","!!!","")</f>
        <v/>
      </c>
      <c r="F3410" s="23" t="str">
        <f>IF(OR(E3410="",E3410="!!!"),"",IF(NOT(ISNA(VLOOKUP(E3410,E$1:E3409,1,FALSE()))),"OLD",IF(AND(E3410&lt;&gt;"",E3410&lt;&gt;"!!!"),"NEW","")))</f>
        <v> </v>
      </c>
      <c r="G3410" s="24" t="str">
        <f>IF(OR(E3410="",E3410="!!!"),"",IF(OR(J3410=0,AND(J3410=1,K3410=1),AND(J3410=1,I3410="SBJ"),AND(J3410=1,I3410=0)),"?IN_FOCUS",IF(J3410&lt;=2,"?ACTIVATED",IF(J3410&lt;&gt;"","?FAMILIAR",IF(F3410="NEW",IF(ISNA(VLOOKUP(E3410,#REF!,1,FALSE())),"?TYPE_IDENTIFIABLE","?REFERENTIAL"),"_")))))</f>
        <v> </v>
      </c>
      <c r="H3410" s="25" t="str">
        <f>IF(J3410&lt;&gt;1,"",IF(I3410="SBJ","CB","?"))</f>
        <v> </v>
      </c>
      <c r="I3410" s="26" t="str">
        <f>IF(OR(E3410="",E3410="!!!",F3410="NEW"),"",INDEX(B3409:B$2,-1+SUMPRODUCT(MAX(ROW(E3409:E$2)*(E3410=E3409:E$2)))))</f>
        <v> </v>
      </c>
      <c r="J3410" s="26" t="str">
        <f>IF(OR(E3410="",E3410="!!!",F3410="NEW"),"",COUNTBLANK(OFFSET(A$1,,,SUMPRODUCT(MAX(ROW(E$2:E3410)*(E3410=E$2:E3410)))))-COUNTBLANK(OFFSET(A$1,,,SUMPRODUCT(MAX(ROW(E$1:E3409)*(E2=E$1:E3409))))))</f>
        <v> </v>
      </c>
      <c r="K3410" s="26" t="str">
        <f>IF(OR(E3410="",E3410="!!!",F3410="NEW"),"",INDEX(J$1:J3409,SUMPRODUCT(MAX(ROW(E$1:E3409)*(E3410=E$1:E3409)))))</f>
        <v> </v>
      </c>
      <c r="L3410" s="27"/>
    </row>
    <row r="3411" spans="1:12">
      <c r="A3411" s="20" t="s">
        <v>246</v>
      </c>
      <c r="E3411" s="22">
        <f>IF(D3411="?OLD","!!!","")</f>
        <v/>
      </c>
      <c r="F3411" s="23" t="str">
        <f>IF(OR(E3411="",E3411="!!!"),"",IF(NOT(ISNA(VLOOKUP(E3411,E$1:E3410,1,FALSE()))),"OLD",IF(AND(E3411&lt;&gt;"",E3411&lt;&gt;"!!!"),"NEW","")))</f>
        <v> </v>
      </c>
      <c r="G3411" s="24" t="str">
        <f>IF(OR(E3411="",E3411="!!!"),"",IF(OR(J3411=0,AND(J3411=1,K3411=1),AND(J3411=1,I3411="SBJ"),AND(J3411=1,I3411=0)),"?IN_FOCUS",IF(J3411&lt;=2,"?ACTIVATED",IF(J3411&lt;&gt;"","?FAMILIAR",IF(F3411="NEW",IF(ISNA(VLOOKUP(E3411,#REF!,1,FALSE())),"?TYPE_IDENTIFIABLE","?REFERENTIAL"),"_")))))</f>
        <v> </v>
      </c>
      <c r="H3411" s="25" t="str">
        <f>IF(J3411&lt;&gt;1,"",IF(I3411="SBJ","CB","?"))</f>
        <v> </v>
      </c>
      <c r="I3411" s="26" t="str">
        <f>IF(OR(E3411="",E3411="!!!",F3411="NEW"),"",INDEX(B3410:B$2,-1+SUMPRODUCT(MAX(ROW(E3410:E$2)*(E3411=E3410:E$2)))))</f>
        <v> </v>
      </c>
      <c r="J3411" s="26" t="str">
        <f>IF(OR(E3411="",E3411="!!!",F3411="NEW"),"",COUNTBLANK(OFFSET(A$1,,,SUMPRODUCT(MAX(ROW(E$2:E3411)*(E3411=E$2:E3411)))))-COUNTBLANK(OFFSET(A$1,,,SUMPRODUCT(MAX(ROW(E$1:E3410)*(E2=E$1:E3410))))))</f>
        <v> </v>
      </c>
      <c r="K3411" s="26" t="str">
        <f>IF(OR(E3411="",E3411="!!!",F3411="NEW"),"",INDEX(J$1:J3410,SUMPRODUCT(MAX(ROW(E$1:E3410)*(E3411=E$1:E3410)))))</f>
        <v> </v>
      </c>
      <c r="L3411" s="27"/>
    </row>
    <row r="3412" spans="1:12">
      <c r="A3412" s="20"/>
    </row>
    <row r="3413" spans="1:12">
      <c r="A3413" s="20" t="s">
        <v>1920</v>
      </c>
    </row>
    <row r="3414" spans="1:12">
      <c r="A3414" s="20" t="s">
        <v>1921</v>
      </c>
      <c r="B3414" s="21" t="s">
        <v>728</v>
      </c>
      <c r="C3414" s="21" t="s">
        <v>740</v>
      </c>
      <c r="D3414" s="21" t="s">
        <v>730</v>
      </c>
      <c r="E3414" s="22">
        <f>IF(D3414="?OLD","!!!","")</f>
        <v/>
      </c>
      <c r="F3414" s="23" t="str">
        <f>IF(OR(E3414="",E3414="!!!"),"",IF(NOT(ISNA(VLOOKUP(E3414,E$1:E3413,1,FALSE()))),"OLD",IF(AND(E3414&lt;&gt;"",E3414&lt;&gt;"!!!"),"NEW","")))</f>
        <v> </v>
      </c>
      <c r="G3414" s="24" t="str">
        <f>IF(OR(E3414="",E3414="!!!"),"",IF(OR(J3414=0,AND(J3414=1,K3414=1),AND(J3414=1,I3414="SBJ"),AND(J3414=1,I3414=0)),"?IN_FOCUS",IF(J3414&lt;=2,"?ACTIVATED",IF(J3414&lt;&gt;"","?FAMILIAR",IF(F3414="NEW",IF(ISNA(VLOOKUP(E3414,#REF!,1,FALSE())),"?TYPE_IDENTIFIABLE","?REFERENTIAL"),"_")))))</f>
        <v> </v>
      </c>
      <c r="H3414" s="25" t="str">
        <f>IF(J3414&lt;&gt;1,"",IF(I3414="SBJ","CB","?"))</f>
        <v> </v>
      </c>
      <c r="I3414" s="26" t="str">
        <f>IF(OR(E3414="",E3414="!!!",F3414="NEW"),"",INDEX(B3413:B$2,-1+SUMPRODUCT(MAX(ROW(E3413:E$2)*(E3414=E3413:E$2)))))</f>
        <v> </v>
      </c>
      <c r="J3414" s="26" t="str">
        <f>IF(OR(E3414="",E3414="!!!",F3414="NEW"),"",COUNTBLANK(OFFSET(A$1,,,SUMPRODUCT(MAX(ROW(E$2:E3414)*(E3414=E$2:E3414)))))-COUNTBLANK(OFFSET(A$1,,,SUMPRODUCT(MAX(ROW(E$1:E3413)*(E2=E$1:E3413))))))</f>
        <v> </v>
      </c>
      <c r="K3414" s="26" t="str">
        <f>IF(OR(E3414="",E3414="!!!",F3414="NEW"),"",INDEX(J$1:J3413,SUMPRODUCT(MAX(ROW(E$1:E3413)*(E3414=E$1:E3413)))))</f>
        <v> </v>
      </c>
      <c r="L3414" s="27"/>
    </row>
    <row r="3415" spans="1:12">
      <c r="A3415" s="20" t="s">
        <v>899</v>
      </c>
      <c r="B3415" s="21" t="s">
        <v>764</v>
      </c>
      <c r="C3415" s="21" t="s">
        <v>729</v>
      </c>
      <c r="D3415" s="21" t="s">
        <v>730</v>
      </c>
      <c r="E3415" s="22">
        <f>IF(D3415="?OLD","!!!","")</f>
        <v/>
      </c>
      <c r="F3415" s="23" t="str">
        <f>IF(OR(E3415="",E3415="!!!"),"",IF(NOT(ISNA(VLOOKUP(E3415,E$1:E3414,1,FALSE()))),"OLD",IF(AND(E3415&lt;&gt;"",E3415&lt;&gt;"!!!"),"NEW","")))</f>
        <v> </v>
      </c>
      <c r="G3415" s="24" t="str">
        <f>IF(OR(E3415="",E3415="!!!"),"",IF(OR(J3415=0,AND(J3415=1,K3415=1),AND(J3415=1,I3415="SBJ"),AND(J3415=1,I3415=0)),"?IN_FOCUS",IF(J3415&lt;=2,"?ACTIVATED",IF(J3415&lt;&gt;"","?FAMILIAR",IF(F3415="NEW",IF(ISNA(VLOOKUP(E3415,#REF!,1,FALSE())),"?TYPE_IDENTIFIABLE","?REFERENTIAL"),"_")))))</f>
        <v> </v>
      </c>
      <c r="H3415" s="25" t="str">
        <f>IF(J3415&lt;&gt;1,"",IF(I3415="SBJ","CB","?"))</f>
        <v> </v>
      </c>
      <c r="I3415" s="26" t="str">
        <f>IF(OR(E3415="",E3415="!!!",F3415="NEW"),"",INDEX(B3414:B$2,-1+SUMPRODUCT(MAX(ROW(E3414:E$2)*(E3415=E3414:E$2)))))</f>
        <v> </v>
      </c>
      <c r="J3415" s="26" t="str">
        <f>IF(OR(E3415="",E3415="!!!",F3415="NEW"),"",COUNTBLANK(OFFSET(A$1,,,SUMPRODUCT(MAX(ROW(E$2:E3415)*(E3415=E$2:E3415)))))-COUNTBLANK(OFFSET(A$1,,,SUMPRODUCT(MAX(ROW(E$1:E3414)*(E2=E$1:E3414))))))</f>
        <v> </v>
      </c>
      <c r="K3415" s="26" t="str">
        <f>IF(OR(E3415="",E3415="!!!",F3415="NEW"),"",INDEX(J$1:J3414,SUMPRODUCT(MAX(ROW(E$1:E3414)*(E3415=E$1:E3414)))))</f>
        <v> </v>
      </c>
      <c r="L3415" s="27"/>
    </row>
    <row r="3416" spans="1:12">
      <c r="A3416" s="20" t="s">
        <v>810</v>
      </c>
      <c r="E3416" s="22">
        <f>IF(D3416="?OLD","!!!","")</f>
        <v/>
      </c>
      <c r="F3416" s="23" t="str">
        <f>IF(OR(E3416="",E3416="!!!"),"",IF(NOT(ISNA(VLOOKUP(E3416,E$1:E3415,1,FALSE()))),"OLD",IF(AND(E3416&lt;&gt;"",E3416&lt;&gt;"!!!"),"NEW","")))</f>
        <v> </v>
      </c>
      <c r="G3416" s="24" t="str">
        <f>IF(OR(E3416="",E3416="!!!"),"",IF(OR(J3416=0,AND(J3416=1,K3416=1),AND(J3416=1,I3416="SBJ"),AND(J3416=1,I3416=0)),"?IN_FOCUS",IF(J3416&lt;=2,"?ACTIVATED",IF(J3416&lt;&gt;"","?FAMILIAR",IF(F3416="NEW",IF(ISNA(VLOOKUP(E3416,#REF!,1,FALSE())),"?TYPE_IDENTIFIABLE","?REFERENTIAL"),"_")))))</f>
        <v> </v>
      </c>
      <c r="H3416" s="25" t="str">
        <f>IF(J3416&lt;&gt;1,"",IF(I3416="SBJ","CB","?"))</f>
        <v> </v>
      </c>
      <c r="I3416" s="26" t="str">
        <f>IF(OR(E3416="",E3416="!!!",F3416="NEW"),"",INDEX(B3415:B$2,-1+SUMPRODUCT(MAX(ROW(E3415:E$2)*(E3416=E3415:E$2)))))</f>
        <v> </v>
      </c>
      <c r="J3416" s="26" t="str">
        <f>IF(OR(E3416="",E3416="!!!",F3416="NEW"),"",COUNTBLANK(OFFSET(A$1,,,SUMPRODUCT(MAX(ROW(E$2:E3416)*(E3416=E$2:E3416)))))-COUNTBLANK(OFFSET(A$1,,,SUMPRODUCT(MAX(ROW(E$1:E3415)*(E2=E$1:E3415))))))</f>
        <v> </v>
      </c>
      <c r="K3416" s="26" t="str">
        <f>IF(OR(E3416="",E3416="!!!",F3416="NEW"),"",INDEX(J$1:J3415,SUMPRODUCT(MAX(ROW(E$1:E3415)*(E3416=E$1:E3415)))))</f>
        <v> </v>
      </c>
      <c r="L3416" s="27"/>
    </row>
    <row r="3417" spans="1:12">
      <c r="A3417" s="20" t="s">
        <v>682</v>
      </c>
      <c r="B3417" s="21" t="s">
        <v>736</v>
      </c>
      <c r="C3417" s="21" t="s">
        <v>729</v>
      </c>
      <c r="D3417" s="21" t="s">
        <v>730</v>
      </c>
      <c r="E3417" s="22">
        <f>IF(D3417="?OLD","!!!","")</f>
        <v/>
      </c>
      <c r="F3417" s="23" t="str">
        <f>IF(OR(E3417="",E3417="!!!"),"",IF(NOT(ISNA(VLOOKUP(E3417,E$1:E3416,1,FALSE()))),"OLD",IF(AND(E3417&lt;&gt;"",E3417&lt;&gt;"!!!"),"NEW","")))</f>
        <v> </v>
      </c>
      <c r="G3417" s="24" t="str">
        <f>IF(OR(E3417="",E3417="!!!"),"",IF(OR(J3417=0,AND(J3417=1,K3417=1),AND(J3417=1,I3417="SBJ"),AND(J3417=1,I3417=0)),"?IN_FOCUS",IF(J3417&lt;=2,"?ACTIVATED",IF(J3417&lt;&gt;"","?FAMILIAR",IF(F3417="NEW",IF(ISNA(VLOOKUP(E3417,#REF!,1,FALSE())),"?TYPE_IDENTIFIABLE","?REFERENTIAL"),"_")))))</f>
        <v> </v>
      </c>
      <c r="H3417" s="25" t="str">
        <f>IF(J3417&lt;&gt;1,"",IF(I3417="SBJ","CB","?"))</f>
        <v> </v>
      </c>
      <c r="I3417" s="26" t="str">
        <f>IF(OR(E3417="",E3417="!!!",F3417="NEW"),"",INDEX(B3416:B$2,-1+SUMPRODUCT(MAX(ROW(E3416:E$2)*(E3417=E3416:E$2)))))</f>
        <v> </v>
      </c>
      <c r="J3417" s="26" t="str">
        <f>IF(OR(E3417="",E3417="!!!",F3417="NEW"),"",COUNTBLANK(OFFSET(A$1,,,SUMPRODUCT(MAX(ROW(E$2:E3417)*(E3417=E$2:E3417)))))-COUNTBLANK(OFFSET(A$1,,,SUMPRODUCT(MAX(ROW(E$1:E3416)*(E2=E$1:E3416))))))</f>
        <v> </v>
      </c>
      <c r="K3417" s="26" t="str">
        <f>IF(OR(E3417="",E3417="!!!",F3417="NEW"),"",INDEX(J$1:J3416,SUMPRODUCT(MAX(ROW(E$1:E3416)*(E3417=E$1:E3416)))))</f>
        <v> </v>
      </c>
      <c r="L3417" s="27"/>
    </row>
    <row r="3418" spans="1:12">
      <c r="A3418" s="20" t="s">
        <v>982</v>
      </c>
      <c r="E3418" s="22">
        <f>IF(D3418="?OLD","!!!","")</f>
        <v/>
      </c>
      <c r="F3418" s="23" t="str">
        <f>IF(OR(E3418="",E3418="!!!"),"",IF(NOT(ISNA(VLOOKUP(E3418,E$1:E3417,1,FALSE()))),"OLD",IF(AND(E3418&lt;&gt;"",E3418&lt;&gt;"!!!"),"NEW","")))</f>
        <v> </v>
      </c>
      <c r="G3418" s="24" t="str">
        <f>IF(OR(E3418="",E3418="!!!"),"",IF(OR(J3418=0,AND(J3418=1,K3418=1),AND(J3418=1,I3418="SBJ"),AND(J3418=1,I3418=0)),"?IN_FOCUS",IF(J3418&lt;=2,"?ACTIVATED",IF(J3418&lt;&gt;"","?FAMILIAR",IF(F3418="NEW",IF(ISNA(VLOOKUP(E3418,#REF!,1,FALSE())),"?TYPE_IDENTIFIABLE","?REFERENTIAL"),"_")))))</f>
        <v> </v>
      </c>
      <c r="H3418" s="25" t="str">
        <f>IF(J3418&lt;&gt;1,"",IF(I3418="SBJ","CB","?"))</f>
        <v> </v>
      </c>
      <c r="I3418" s="26" t="str">
        <f>IF(OR(E3418="",E3418="!!!",F3418="NEW"),"",INDEX(B3417:B$2,-1+SUMPRODUCT(MAX(ROW(E3417:E$2)*(E3418=E3417:E$2)))))</f>
        <v> </v>
      </c>
      <c r="J3418" s="26" t="str">
        <f>IF(OR(E3418="",E3418="!!!",F3418="NEW"),"",COUNTBLANK(OFFSET(A$1,,,SUMPRODUCT(MAX(ROW(E$2:E3418)*(E3418=E$2:E3418)))))-COUNTBLANK(OFFSET(A$1,,,SUMPRODUCT(MAX(ROW(E$1:E3417)*(E2=E$1:E3417))))))</f>
        <v> </v>
      </c>
      <c r="K3418" s="26" t="str">
        <f>IF(OR(E3418="",E3418="!!!",F3418="NEW"),"",INDEX(J$1:J3417,SUMPRODUCT(MAX(ROW(E$1:E3417)*(E3418=E$1:E3417)))))</f>
        <v> </v>
      </c>
      <c r="L3418" s="27"/>
    </row>
    <row r="3419" spans="1:12">
      <c r="A3419" s="20" t="s">
        <v>972</v>
      </c>
      <c r="E3419" s="22">
        <f>IF(D3419="?OLD","!!!","")</f>
        <v/>
      </c>
      <c r="F3419" s="23" t="str">
        <f>IF(OR(E3419="",E3419="!!!"),"",IF(NOT(ISNA(VLOOKUP(E3419,E$1:E3418,1,FALSE()))),"OLD",IF(AND(E3419&lt;&gt;"",E3419&lt;&gt;"!!!"),"NEW","")))</f>
        <v> </v>
      </c>
      <c r="G3419" s="24" t="str">
        <f>IF(OR(E3419="",E3419="!!!"),"",IF(OR(J3419=0,AND(J3419=1,K3419=1),AND(J3419=1,I3419="SBJ"),AND(J3419=1,I3419=0)),"?IN_FOCUS",IF(J3419&lt;=2,"?ACTIVATED",IF(J3419&lt;&gt;"","?FAMILIAR",IF(F3419="NEW",IF(ISNA(VLOOKUP(E3419,#REF!,1,FALSE())),"?TYPE_IDENTIFIABLE","?REFERENTIAL"),"_")))))</f>
        <v> </v>
      </c>
      <c r="H3419" s="25" t="str">
        <f>IF(J3419&lt;&gt;1,"",IF(I3419="SBJ","CB","?"))</f>
        <v> </v>
      </c>
      <c r="I3419" s="26" t="str">
        <f>IF(OR(E3419="",E3419="!!!",F3419="NEW"),"",INDEX(B3418:B$2,-1+SUMPRODUCT(MAX(ROW(E3418:E$2)*(E3419=E3418:E$2)))))</f>
        <v> </v>
      </c>
      <c r="J3419" s="26" t="str">
        <f>IF(OR(E3419="",E3419="!!!",F3419="NEW"),"",COUNTBLANK(OFFSET(A$1,,,SUMPRODUCT(MAX(ROW(E$2:E3419)*(E3419=E$2:E3419)))))-COUNTBLANK(OFFSET(A$1,,,SUMPRODUCT(MAX(ROW(E$1:E3418)*(E2=E$1:E3418))))))</f>
        <v> </v>
      </c>
      <c r="K3419" s="26" t="str">
        <f>IF(OR(E3419="",E3419="!!!",F3419="NEW"),"",INDEX(J$1:J3418,SUMPRODUCT(MAX(ROW(E$1:E3418)*(E3419=E$1:E3418)))))</f>
        <v> </v>
      </c>
      <c r="L3419" s="27"/>
    </row>
    <row r="3420" spans="1:12">
      <c r="A3420" s="20" t="s">
        <v>759</v>
      </c>
      <c r="E3420" s="22">
        <f>IF(D3420="?OLD","!!!","")</f>
        <v/>
      </c>
      <c r="F3420" s="23" t="str">
        <f>IF(OR(E3420="",E3420="!!!"),"",IF(NOT(ISNA(VLOOKUP(E3420,E$1:E3419,1,FALSE()))),"OLD",IF(AND(E3420&lt;&gt;"",E3420&lt;&gt;"!!!"),"NEW","")))</f>
        <v> </v>
      </c>
      <c r="G3420" s="24" t="str">
        <f>IF(OR(E3420="",E3420="!!!"),"",IF(OR(J3420=0,AND(J3420=1,K3420=1),AND(J3420=1,I3420="SBJ"),AND(J3420=1,I3420=0)),"?IN_FOCUS",IF(J3420&lt;=2,"?ACTIVATED",IF(J3420&lt;&gt;"","?FAMILIAR",IF(F3420="NEW",IF(ISNA(VLOOKUP(E3420,#REF!,1,FALSE())),"?TYPE_IDENTIFIABLE","?REFERENTIAL"),"_")))))</f>
        <v> </v>
      </c>
      <c r="H3420" s="25" t="str">
        <f>IF(J3420&lt;&gt;1,"",IF(I3420="SBJ","CB","?"))</f>
        <v> </v>
      </c>
      <c r="I3420" s="26" t="str">
        <f>IF(OR(E3420="",E3420="!!!",F3420="NEW"),"",INDEX(B3419:B$2,-1+SUMPRODUCT(MAX(ROW(E3419:E$2)*(E3420=E3419:E$2)))))</f>
        <v> </v>
      </c>
      <c r="J3420" s="26" t="str">
        <f>IF(OR(E3420="",E3420="!!!",F3420="NEW"),"",COUNTBLANK(OFFSET(A$1,,,SUMPRODUCT(MAX(ROW(E$2:E3420)*(E3420=E$2:E3420)))))-COUNTBLANK(OFFSET(A$1,,,SUMPRODUCT(MAX(ROW(E$1:E3419)*(E2=E$1:E3419))))))</f>
        <v> </v>
      </c>
      <c r="K3420" s="26" t="str">
        <f>IF(OR(E3420="",E3420="!!!",F3420="NEW"),"",INDEX(J$1:J3419,SUMPRODUCT(MAX(ROW(E$1:E3419)*(E3420=E$1:E3419)))))</f>
        <v> </v>
      </c>
      <c r="L3420" s="27"/>
    </row>
    <row r="3421" spans="1:12">
      <c r="A3421" s="20" t="s">
        <v>1922</v>
      </c>
      <c r="E3421" s="22">
        <f>IF(D3421="?OLD","!!!","")</f>
        <v/>
      </c>
      <c r="F3421" s="23" t="str">
        <f>IF(OR(E3421="",E3421="!!!"),"",IF(NOT(ISNA(VLOOKUP(E3421,E$1:E3420,1,FALSE()))),"OLD",IF(AND(E3421&lt;&gt;"",E3421&lt;&gt;"!!!"),"NEW","")))</f>
        <v> </v>
      </c>
      <c r="G3421" s="24" t="str">
        <f>IF(OR(E3421="",E3421="!!!"),"",IF(OR(J3421=0,AND(J3421=1,K3421=1),AND(J3421=1,I3421="SBJ"),AND(J3421=1,I3421=0)),"?IN_FOCUS",IF(J3421&lt;=2,"?ACTIVATED",IF(J3421&lt;&gt;"","?FAMILIAR",IF(F3421="NEW",IF(ISNA(VLOOKUP(E3421,#REF!,1,FALSE())),"?TYPE_IDENTIFIABLE","?REFERENTIAL"),"_")))))</f>
        <v> </v>
      </c>
      <c r="H3421" s="25" t="str">
        <f>IF(J3421&lt;&gt;1,"",IF(I3421="SBJ","CB","?"))</f>
        <v> </v>
      </c>
      <c r="I3421" s="26" t="str">
        <f>IF(OR(E3421="",E3421="!!!",F3421="NEW"),"",INDEX(B3420:B$2,-1+SUMPRODUCT(MAX(ROW(E3420:E$2)*(E3421=E3420:E$2)))))</f>
        <v> </v>
      </c>
      <c r="J3421" s="26" t="str">
        <f>IF(OR(E3421="",E3421="!!!",F3421="NEW"),"",COUNTBLANK(OFFSET(A$1,,,SUMPRODUCT(MAX(ROW(E$2:E3421)*(E3421=E$2:E3421)))))-COUNTBLANK(OFFSET(A$1,,,SUMPRODUCT(MAX(ROW(E$1:E3420)*(E2=E$1:E3420))))))</f>
        <v> </v>
      </c>
      <c r="K3421" s="26" t="str">
        <f>IF(OR(E3421="",E3421="!!!",F3421="NEW"),"",INDEX(J$1:J3420,SUMPRODUCT(MAX(ROW(E$1:E3420)*(E3421=E$1:E3420)))))</f>
        <v> </v>
      </c>
      <c r="L3421" s="27"/>
    </row>
    <row r="3422" spans="1:12">
      <c r="A3422" s="20" t="s">
        <v>810</v>
      </c>
      <c r="E3422" s="22">
        <f>IF(D3422="?OLD","!!!","")</f>
        <v/>
      </c>
      <c r="F3422" s="23" t="str">
        <f>IF(OR(E3422="",E3422="!!!"),"",IF(NOT(ISNA(VLOOKUP(E3422,E$1:E3421,1,FALSE()))),"OLD",IF(AND(E3422&lt;&gt;"",E3422&lt;&gt;"!!!"),"NEW","")))</f>
        <v> </v>
      </c>
      <c r="G3422" s="24" t="str">
        <f>IF(OR(E3422="",E3422="!!!"),"",IF(OR(J3422=0,AND(J3422=1,K3422=1),AND(J3422=1,I3422="SBJ"),AND(J3422=1,I3422=0)),"?IN_FOCUS",IF(J3422&lt;=2,"?ACTIVATED",IF(J3422&lt;&gt;"","?FAMILIAR",IF(F3422="NEW",IF(ISNA(VLOOKUP(E3422,#REF!,1,FALSE())),"?TYPE_IDENTIFIABLE","?REFERENTIAL"),"_")))))</f>
        <v> </v>
      </c>
      <c r="H3422" s="25" t="str">
        <f>IF(J3422&lt;&gt;1,"",IF(I3422="SBJ","CB","?"))</f>
        <v> </v>
      </c>
      <c r="I3422" s="26" t="str">
        <f>IF(OR(E3422="",E3422="!!!",F3422="NEW"),"",INDEX(B3421:B$2,-1+SUMPRODUCT(MAX(ROW(E3421:E$2)*(E3422=E3421:E$2)))))</f>
        <v> </v>
      </c>
      <c r="J3422" s="26" t="str">
        <f>IF(OR(E3422="",E3422="!!!",F3422="NEW"),"",COUNTBLANK(OFFSET(A$1,,,SUMPRODUCT(MAX(ROW(E$2:E3422)*(E3422=E$2:E3422)))))-COUNTBLANK(OFFSET(A$1,,,SUMPRODUCT(MAX(ROW(E$1:E3421)*(E2=E$1:E3421))))))</f>
        <v> </v>
      </c>
      <c r="K3422" s="26" t="str">
        <f>IF(OR(E3422="",E3422="!!!",F3422="NEW"),"",INDEX(J$1:J3421,SUMPRODUCT(MAX(ROW(E$1:E3421)*(E3422=E$1:E3421)))))</f>
        <v> </v>
      </c>
      <c r="L3422" s="27"/>
    </row>
    <row r="3423" spans="1:12">
      <c r="A3423" s="20" t="s">
        <v>1923</v>
      </c>
      <c r="E3423" s="22">
        <f>IF(D3423="?OLD","!!!","")</f>
        <v/>
      </c>
      <c r="F3423" s="23" t="str">
        <f>IF(OR(E3423="",E3423="!!!"),"",IF(NOT(ISNA(VLOOKUP(E3423,E$1:E3422,1,FALSE()))),"OLD",IF(AND(E3423&lt;&gt;"",E3423&lt;&gt;"!!!"),"NEW","")))</f>
        <v> </v>
      </c>
      <c r="G3423" s="24" t="str">
        <f>IF(OR(E3423="",E3423="!!!"),"",IF(OR(J3423=0,AND(J3423=1,K3423=1),AND(J3423=1,I3423="SBJ"),AND(J3423=1,I3423=0)),"?IN_FOCUS",IF(J3423&lt;=2,"?ACTIVATED",IF(J3423&lt;&gt;"","?FAMILIAR",IF(F3423="NEW",IF(ISNA(VLOOKUP(E3423,#REF!,1,FALSE())),"?TYPE_IDENTIFIABLE","?REFERENTIAL"),"_")))))</f>
        <v> </v>
      </c>
      <c r="H3423" s="25" t="str">
        <f>IF(J3423&lt;&gt;1,"",IF(I3423="SBJ","CB","?"))</f>
        <v> </v>
      </c>
      <c r="I3423" s="26" t="str">
        <f>IF(OR(E3423="",E3423="!!!",F3423="NEW"),"",INDEX(B3422:B$2,-1+SUMPRODUCT(MAX(ROW(E3422:E$2)*(E3423=E3422:E$2)))))</f>
        <v> </v>
      </c>
      <c r="J3423" s="26" t="str">
        <f>IF(OR(E3423="",E3423="!!!",F3423="NEW"),"",COUNTBLANK(OFFSET(A$1,,,SUMPRODUCT(MAX(ROW(E$2:E3423)*(E3423=E$2:E3423)))))-COUNTBLANK(OFFSET(A$1,,,SUMPRODUCT(MAX(ROW(E$1:E3422)*(E2=E$1:E3422))))))</f>
        <v> </v>
      </c>
      <c r="K3423" s="26" t="str">
        <f>IF(OR(E3423="",E3423="!!!",F3423="NEW"),"",INDEX(J$1:J3422,SUMPRODUCT(MAX(ROW(E$1:E3422)*(E3423=E$1:E3422)))))</f>
        <v> </v>
      </c>
      <c r="L3423" s="27"/>
    </row>
    <row r="3424" spans="1:12">
      <c r="A3424" s="20" t="s">
        <v>804</v>
      </c>
      <c r="E3424" s="22">
        <f>IF(D3424="?OLD","!!!","")</f>
        <v/>
      </c>
      <c r="F3424" s="23" t="str">
        <f>IF(OR(E3424="",E3424="!!!"),"",IF(NOT(ISNA(VLOOKUP(E3424,E$1:E3423,1,FALSE()))),"OLD",IF(AND(E3424&lt;&gt;"",E3424&lt;&gt;"!!!"),"NEW","")))</f>
        <v> </v>
      </c>
      <c r="G3424" s="24" t="str">
        <f>IF(OR(E3424="",E3424="!!!"),"",IF(OR(J3424=0,AND(J3424=1,K3424=1),AND(J3424=1,I3424="SBJ"),AND(J3424=1,I3424=0)),"?IN_FOCUS",IF(J3424&lt;=2,"?ACTIVATED",IF(J3424&lt;&gt;"","?FAMILIAR",IF(F3424="NEW",IF(ISNA(VLOOKUP(E3424,#REF!,1,FALSE())),"?TYPE_IDENTIFIABLE","?REFERENTIAL"),"_")))))</f>
        <v> </v>
      </c>
      <c r="H3424" s="25" t="str">
        <f>IF(J3424&lt;&gt;1,"",IF(I3424="SBJ","CB","?"))</f>
        <v> </v>
      </c>
      <c r="I3424" s="26" t="str">
        <f>IF(OR(E3424="",E3424="!!!",F3424="NEW"),"",INDEX(B3423:B$2,-1+SUMPRODUCT(MAX(ROW(E3423:E$2)*(E3424=E3423:E$2)))))</f>
        <v> </v>
      </c>
      <c r="J3424" s="26" t="str">
        <f>IF(OR(E3424="",E3424="!!!",F3424="NEW"),"",COUNTBLANK(OFFSET(A$1,,,SUMPRODUCT(MAX(ROW(E$2:E3424)*(E3424=E$2:E3424)))))-COUNTBLANK(OFFSET(A$1,,,SUMPRODUCT(MAX(ROW(E$1:E3423)*(E2=E$1:E3423))))))</f>
        <v> </v>
      </c>
      <c r="K3424" s="26" t="str">
        <f>IF(OR(E3424="",E3424="!!!",F3424="NEW"),"",INDEX(J$1:J3423,SUMPRODUCT(MAX(ROW(E$1:E3423)*(E3424=E$1:E3423)))))</f>
        <v> </v>
      </c>
      <c r="L3424" s="27"/>
    </row>
    <row r="3425" spans="1:12">
      <c r="A3425" s="20" t="s">
        <v>982</v>
      </c>
      <c r="E3425" s="22">
        <f>IF(D3425="?OLD","!!!","")</f>
        <v/>
      </c>
      <c r="F3425" s="23" t="str">
        <f>IF(OR(E3425="",E3425="!!!"),"",IF(NOT(ISNA(VLOOKUP(E3425,E$1:E3424,1,FALSE()))),"OLD",IF(AND(E3425&lt;&gt;"",E3425&lt;&gt;"!!!"),"NEW","")))</f>
        <v> </v>
      </c>
      <c r="G3425" s="24" t="str">
        <f>IF(OR(E3425="",E3425="!!!"),"",IF(OR(J3425=0,AND(J3425=1,K3425=1),AND(J3425=1,I3425="SBJ"),AND(J3425=1,I3425=0)),"?IN_FOCUS",IF(J3425&lt;=2,"?ACTIVATED",IF(J3425&lt;&gt;"","?FAMILIAR",IF(F3425="NEW",IF(ISNA(VLOOKUP(E3425,#REF!,1,FALSE())),"?TYPE_IDENTIFIABLE","?REFERENTIAL"),"_")))))</f>
        <v> </v>
      </c>
      <c r="H3425" s="25" t="str">
        <f>IF(J3425&lt;&gt;1,"",IF(I3425="SBJ","CB","?"))</f>
        <v> </v>
      </c>
      <c r="I3425" s="26" t="str">
        <f>IF(OR(E3425="",E3425="!!!",F3425="NEW"),"",INDEX(B3424:B$2,-1+SUMPRODUCT(MAX(ROW(E3424:E$2)*(E3425=E3424:E$2)))))</f>
        <v> </v>
      </c>
      <c r="J3425" s="26" t="str">
        <f>IF(OR(E3425="",E3425="!!!",F3425="NEW"),"",COUNTBLANK(OFFSET(A$1,,,SUMPRODUCT(MAX(ROW(E$2:E3425)*(E3425=E$2:E3425)))))-COUNTBLANK(OFFSET(A$1,,,SUMPRODUCT(MAX(ROW(E$1:E3424)*(E2=E$1:E3424))))))</f>
        <v> </v>
      </c>
      <c r="K3425" s="26" t="str">
        <f>IF(OR(E3425="",E3425="!!!",F3425="NEW"),"",INDEX(J$1:J3424,SUMPRODUCT(MAX(ROW(E$1:E3424)*(E3425=E$1:E3424)))))</f>
        <v> </v>
      </c>
      <c r="L3425" s="27"/>
    </row>
    <row r="3426" spans="1:12">
      <c r="A3426" s="20" t="s">
        <v>246</v>
      </c>
      <c r="E3426" s="22">
        <f>IF(D3426="?OLD","!!!","")</f>
        <v/>
      </c>
      <c r="F3426" s="23" t="str">
        <f>IF(OR(E3426="",E3426="!!!"),"",IF(NOT(ISNA(VLOOKUP(E3426,E$1:E3425,1,FALSE()))),"OLD",IF(AND(E3426&lt;&gt;"",E3426&lt;&gt;"!!!"),"NEW","")))</f>
        <v> </v>
      </c>
      <c r="G3426" s="24" t="str">
        <f>IF(OR(E3426="",E3426="!!!"),"",IF(OR(J3426=0,AND(J3426=1,K3426=1),AND(J3426=1,I3426="SBJ"),AND(J3426=1,I3426=0)),"?IN_FOCUS",IF(J3426&lt;=2,"?ACTIVATED",IF(J3426&lt;&gt;"","?FAMILIAR",IF(F3426="NEW",IF(ISNA(VLOOKUP(E3426,#REF!,1,FALSE())),"?TYPE_IDENTIFIABLE","?REFERENTIAL"),"_")))))</f>
        <v> </v>
      </c>
      <c r="H3426" s="25" t="str">
        <f>IF(J3426&lt;&gt;1,"",IF(I3426="SBJ","CB","?"))</f>
        <v> </v>
      </c>
      <c r="I3426" s="26" t="str">
        <f>IF(OR(E3426="",E3426="!!!",F3426="NEW"),"",INDEX(B3425:B$2,-1+SUMPRODUCT(MAX(ROW(E3425:E$2)*(E3426=E3425:E$2)))))</f>
        <v> </v>
      </c>
      <c r="J3426" s="26" t="str">
        <f>IF(OR(E3426="",E3426="!!!",F3426="NEW"),"",COUNTBLANK(OFFSET(A$1,,,SUMPRODUCT(MAX(ROW(E$2:E3426)*(E3426=E$2:E3426)))))-COUNTBLANK(OFFSET(A$1,,,SUMPRODUCT(MAX(ROW(E$1:E3425)*(E2=E$1:E3425))))))</f>
        <v> </v>
      </c>
      <c r="K3426" s="26" t="str">
        <f>IF(OR(E3426="",E3426="!!!",F3426="NEW"),"",INDEX(J$1:J3425,SUMPRODUCT(MAX(ROW(E$1:E3425)*(E3426=E$1:E3425)))))</f>
        <v> </v>
      </c>
      <c r="L3426" s="27"/>
    </row>
    <row r="3427" spans="1:12">
      <c r="A3427" s="20"/>
    </row>
    <row r="3428" spans="1:12">
      <c r="A3428" s="20" t="s">
        <v>798</v>
      </c>
      <c r="E3428" s="22">
        <f>IF(D3428="?OLD","!!!","")</f>
        <v/>
      </c>
      <c r="F3428" s="23" t="str">
        <f>IF(OR(E3428="",E3428="!!!"),"",IF(NOT(ISNA(VLOOKUP(E3428,E$1:E3427,1,FALSE()))),"OLD",IF(AND(E3428&lt;&gt;"",E3428&lt;&gt;"!!!"),"NEW","")))</f>
        <v> </v>
      </c>
      <c r="G3428" s="24" t="str">
        <f>IF(OR(E3428="",E3428="!!!"),"",IF(OR(J3428=0,AND(J3428=1,K3428=1),AND(J3428=1,I3428="SBJ"),AND(J3428=1,I3428=0)),"?IN_FOCUS",IF(J3428&lt;=2,"?ACTIVATED",IF(J3428&lt;&gt;"","?FAMILIAR",IF(F3428="NEW",IF(ISNA(VLOOKUP(E3428,#REF!,1,FALSE())),"?TYPE_IDENTIFIABLE","?REFERENTIAL"),"_")))))</f>
        <v> </v>
      </c>
      <c r="H3428" s="25" t="str">
        <f>IF(J3428&lt;&gt;1,"",IF(I3428="SBJ","CB","?"))</f>
        <v> </v>
      </c>
      <c r="I3428" s="26" t="str">
        <f>IF(OR(E3428="",E3428="!!!",F3428="NEW"),"",INDEX(B3427:B$2,-1+SUMPRODUCT(MAX(ROW(E3427:E$2)*(E3428=E3427:E$2)))))</f>
        <v> </v>
      </c>
      <c r="J3428" s="26" t="str">
        <f>IF(OR(E3428="",E3428="!!!",F3428="NEW"),"",COUNTBLANK(OFFSET(A$1,,,SUMPRODUCT(MAX(ROW(E$2:E3428)*(E3428=E$2:E3428)))))-COUNTBLANK(OFFSET(A$1,,,SUMPRODUCT(MAX(ROW(E$1:E3427)*(E2=E$1:E3427))))))</f>
        <v> </v>
      </c>
      <c r="K3428" s="26" t="str">
        <f>IF(OR(E3428="",E3428="!!!",F3428="NEW"),"",INDEX(J$1:J3427,SUMPRODUCT(MAX(ROW(E$1:E3427)*(E3428=E$1:E3427)))))</f>
        <v> </v>
      </c>
      <c r="L3428" s="27"/>
    </row>
    <row r="3429" spans="1:12">
      <c r="A3429" s="20" t="s">
        <v>1924</v>
      </c>
    </row>
    <row r="3430" spans="1:12">
      <c r="A3430" s="20" t="s">
        <v>1925</v>
      </c>
      <c r="E3430" s="22">
        <f>IF(D3430="?OLD","!!!","")</f>
        <v/>
      </c>
      <c r="F3430" s="23" t="str">
        <f>IF(OR(E3430="",E3430="!!!"),"",IF(NOT(ISNA(VLOOKUP(E3430,E$1:E3429,1,FALSE()))),"OLD",IF(AND(E3430&lt;&gt;"",E3430&lt;&gt;"!!!"),"NEW","")))</f>
        <v> </v>
      </c>
      <c r="G3430" s="24" t="str">
        <f>IF(OR(E3430="",E3430="!!!"),"",IF(OR(J3430=0,AND(J3430=1,K3430=1),AND(J3430=1,I3430="SBJ"),AND(J3430=1,I3430=0)),"?IN_FOCUS",IF(J3430&lt;=2,"?ACTIVATED",IF(J3430&lt;&gt;"","?FAMILIAR",IF(F3430="NEW",IF(ISNA(VLOOKUP(E3430,#REF!,1,FALSE())),"?TYPE_IDENTIFIABLE","?REFERENTIAL"),"_")))))</f>
        <v> </v>
      </c>
      <c r="H3430" s="25" t="str">
        <f>IF(J3430&lt;&gt;1,"",IF(I3430="SBJ","CB","?"))</f>
        <v> </v>
      </c>
      <c r="I3430" s="26" t="str">
        <f>IF(OR(E3430="",E3430="!!!",F3430="NEW"),"",INDEX(B3429:B$2,-1+SUMPRODUCT(MAX(ROW(E3429:E$2)*(E3430=E3429:E$2)))))</f>
        <v> </v>
      </c>
      <c r="J3430" s="26" t="str">
        <f>IF(OR(E3430="",E3430="!!!",F3430="NEW"),"",COUNTBLANK(OFFSET(A$1,,,SUMPRODUCT(MAX(ROW(E$2:E3430)*(E3430=E$2:E3430)))))-COUNTBLANK(OFFSET(A$1,,,SUMPRODUCT(MAX(ROW(E$1:E3429)*(E2=E$1:E3429))))))</f>
        <v> </v>
      </c>
      <c r="K3430" s="26" t="str">
        <f>IF(OR(E3430="",E3430="!!!",F3430="NEW"),"",INDEX(J$1:J3429,SUMPRODUCT(MAX(ROW(E$1:E3429)*(E3430=E$1:E3429)))))</f>
        <v> </v>
      </c>
      <c r="L3430" s="27"/>
    </row>
    <row r="3431" spans="1:12">
      <c r="A3431" s="20" t="s">
        <v>1926</v>
      </c>
      <c r="E3431" s="22">
        <f>IF(D3431="?OLD","!!!","")</f>
        <v/>
      </c>
      <c r="F3431" s="23" t="str">
        <f>IF(OR(E3431="",E3431="!!!"),"",IF(NOT(ISNA(VLOOKUP(E3431,E$1:E3430,1,FALSE()))),"OLD",IF(AND(E3431&lt;&gt;"",E3431&lt;&gt;"!!!"),"NEW","")))</f>
        <v> </v>
      </c>
      <c r="G3431" s="24" t="str">
        <f>IF(OR(E3431="",E3431="!!!"),"",IF(OR(J3431=0,AND(J3431=1,K3431=1),AND(J3431=1,I3431="SBJ"),AND(J3431=1,I3431=0)),"?IN_FOCUS",IF(J3431&lt;=2,"?ACTIVATED",IF(J3431&lt;&gt;"","?FAMILIAR",IF(F3431="NEW",IF(ISNA(VLOOKUP(E3431,#REF!,1,FALSE())),"?TYPE_IDENTIFIABLE","?REFERENTIAL"),"_")))))</f>
        <v> </v>
      </c>
      <c r="H3431" s="25" t="str">
        <f>IF(J3431&lt;&gt;1,"",IF(I3431="SBJ","CB","?"))</f>
        <v> </v>
      </c>
      <c r="I3431" s="26" t="str">
        <f>IF(OR(E3431="",E3431="!!!",F3431="NEW"),"",INDEX(B3430:B$2,-1+SUMPRODUCT(MAX(ROW(E3430:E$2)*(E3431=E3430:E$2)))))</f>
        <v> </v>
      </c>
      <c r="J3431" s="26" t="str">
        <f>IF(OR(E3431="",E3431="!!!",F3431="NEW"),"",COUNTBLANK(OFFSET(A$1,,,SUMPRODUCT(MAX(ROW(E$2:E3431)*(E3431=E$2:E3431)))))-COUNTBLANK(OFFSET(A$1,,,SUMPRODUCT(MAX(ROW(E$1:E3430)*(E2=E$1:E3430))))))</f>
        <v> </v>
      </c>
      <c r="K3431" s="26" t="str">
        <f>IF(OR(E3431="",E3431="!!!",F3431="NEW"),"",INDEX(J$1:J3430,SUMPRODUCT(MAX(ROW(E$1:E3430)*(E3431=E$1:E3430)))))</f>
        <v> </v>
      </c>
      <c r="L3431" s="27"/>
    </row>
    <row r="3432" spans="1:12">
      <c r="A3432" s="20" t="s">
        <v>1927</v>
      </c>
      <c r="B3432" s="21" t="s">
        <v>736</v>
      </c>
      <c r="C3432" s="21" t="s">
        <v>748</v>
      </c>
      <c r="E3432" s="22">
        <f>IF(D3432="?OLD","!!!","")</f>
        <v/>
      </c>
      <c r="F3432" s="23" t="str">
        <f>IF(OR(E3432="",E3432="!!!"),"",IF(NOT(ISNA(VLOOKUP(E3432,E$1:E3431,1,FALSE()))),"OLD",IF(AND(E3432&lt;&gt;"",E3432&lt;&gt;"!!!"),"NEW","")))</f>
        <v> </v>
      </c>
      <c r="G3432" s="24" t="str">
        <f>IF(OR(E3432="",E3432="!!!"),"",IF(OR(J3432=0,AND(J3432=1,K3432=1),AND(J3432=1,I3432="SBJ"),AND(J3432=1,I3432=0)),"?IN_FOCUS",IF(J3432&lt;=2,"?ACTIVATED",IF(J3432&lt;&gt;"","?FAMILIAR",IF(F3432="NEW",IF(ISNA(VLOOKUP(E3432,#REF!,1,FALSE())),"?TYPE_IDENTIFIABLE","?REFERENTIAL"),"_")))))</f>
        <v> </v>
      </c>
      <c r="H3432" s="25" t="str">
        <f>IF(J3432&lt;&gt;1,"",IF(I3432="SBJ","CB","?"))</f>
        <v> </v>
      </c>
      <c r="I3432" s="26" t="str">
        <f>IF(OR(E3432="",E3432="!!!",F3432="NEW"),"",INDEX(B3431:B$2,-1+SUMPRODUCT(MAX(ROW(E3431:E$2)*(E3432=E3431:E$2)))))</f>
        <v> </v>
      </c>
      <c r="J3432" s="26" t="str">
        <f>IF(OR(E3432="",E3432="!!!",F3432="NEW"),"",COUNTBLANK(OFFSET(A$1,,,SUMPRODUCT(MAX(ROW(E$2:E3432)*(E3432=E$2:E3432)))))-COUNTBLANK(OFFSET(A$1,,,SUMPRODUCT(MAX(ROW(E$1:E3431)*(E2=E$1:E3431))))))</f>
        <v> </v>
      </c>
      <c r="K3432" s="26" t="str">
        <f>IF(OR(E3432="",E3432="!!!",F3432="NEW"),"",INDEX(J$1:J3431,SUMPRODUCT(MAX(ROW(E$1:E3431)*(E3432=E$1:E3431)))))</f>
        <v> </v>
      </c>
      <c r="L3432" s="27"/>
    </row>
    <row r="3433" spans="1:12">
      <c r="A3433" s="20" t="s">
        <v>742</v>
      </c>
      <c r="E3433" s="22">
        <f>IF(D3433="?OLD","!!!","")</f>
        <v/>
      </c>
      <c r="F3433" s="23" t="str">
        <f>IF(OR(E3433="",E3433="!!!"),"",IF(NOT(ISNA(VLOOKUP(E3433,E$1:E3432,1,FALSE()))),"OLD",IF(AND(E3433&lt;&gt;"",E3433&lt;&gt;"!!!"),"NEW","")))</f>
        <v> </v>
      </c>
      <c r="G3433" s="24" t="str">
        <f>IF(OR(E3433="",E3433="!!!"),"",IF(OR(J3433=0,AND(J3433=1,K3433=1),AND(J3433=1,I3433="SBJ"),AND(J3433=1,I3433=0)),"?IN_FOCUS",IF(J3433&lt;=2,"?ACTIVATED",IF(J3433&lt;&gt;"","?FAMILIAR",IF(F3433="NEW",IF(ISNA(VLOOKUP(E3433,#REF!,1,FALSE())),"?TYPE_IDENTIFIABLE","?REFERENTIAL"),"_")))))</f>
        <v> </v>
      </c>
      <c r="H3433" s="25" t="str">
        <f>IF(J3433&lt;&gt;1,"",IF(I3433="SBJ","CB","?"))</f>
        <v> </v>
      </c>
      <c r="I3433" s="26" t="str">
        <f>IF(OR(E3433="",E3433="!!!",F3433="NEW"),"",INDEX(B3432:B$2,-1+SUMPRODUCT(MAX(ROW(E3432:E$2)*(E3433=E3432:E$2)))))</f>
        <v> </v>
      </c>
      <c r="J3433" s="26" t="str">
        <f>IF(OR(E3433="",E3433="!!!",F3433="NEW"),"",COUNTBLANK(OFFSET(A$1,,,SUMPRODUCT(MAX(ROW(E$2:E3433)*(E3433=E$2:E3433)))))-COUNTBLANK(OFFSET(A$1,,,SUMPRODUCT(MAX(ROW(E$1:E3432)*(E2=E$1:E3432))))))</f>
        <v> </v>
      </c>
      <c r="K3433" s="26" t="str">
        <f>IF(OR(E3433="",E3433="!!!",F3433="NEW"),"",INDEX(J$1:J3432,SUMPRODUCT(MAX(ROW(E$1:E3432)*(E3433=E$1:E3432)))))</f>
        <v> </v>
      </c>
      <c r="L3433" s="27"/>
    </row>
    <row r="3434" spans="1:12">
      <c r="A3434" s="20" t="s">
        <v>1918</v>
      </c>
      <c r="E3434" s="22">
        <f>IF(D3434="?OLD","!!!","")</f>
        <v/>
      </c>
      <c r="F3434" s="23" t="str">
        <f>IF(OR(E3434="",E3434="!!!"),"",IF(NOT(ISNA(VLOOKUP(E3434,E$1:E3433,1,FALSE()))),"OLD",IF(AND(E3434&lt;&gt;"",E3434&lt;&gt;"!!!"),"NEW","")))</f>
        <v> </v>
      </c>
      <c r="G3434" s="24" t="str">
        <f>IF(OR(E3434="",E3434="!!!"),"",IF(OR(J3434=0,AND(J3434=1,K3434=1),AND(J3434=1,I3434="SBJ"),AND(J3434=1,I3434=0)),"?IN_FOCUS",IF(J3434&lt;=2,"?ACTIVATED",IF(J3434&lt;&gt;"","?FAMILIAR",IF(F3434="NEW",IF(ISNA(VLOOKUP(E3434,#REF!,1,FALSE())),"?TYPE_IDENTIFIABLE","?REFERENTIAL"),"_")))))</f>
        <v> </v>
      </c>
      <c r="H3434" s="25" t="str">
        <f>IF(J3434&lt;&gt;1,"",IF(I3434="SBJ","CB","?"))</f>
        <v> </v>
      </c>
      <c r="I3434" s="26" t="str">
        <f>IF(OR(E3434="",E3434="!!!",F3434="NEW"),"",INDEX(B3433:B$2,-1+SUMPRODUCT(MAX(ROW(E3433:E$2)*(E3434=E3433:E$2)))))</f>
        <v> </v>
      </c>
      <c r="J3434" s="26" t="str">
        <f>IF(OR(E3434="",E3434="!!!",F3434="NEW"),"",COUNTBLANK(OFFSET(A$1,,,SUMPRODUCT(MAX(ROW(E$2:E3434)*(E3434=E$2:E3434)))))-COUNTBLANK(OFFSET(A$1,,,SUMPRODUCT(MAX(ROW(E$1:E3433)*(E2=E$1:E3433))))))</f>
        <v> </v>
      </c>
      <c r="K3434" s="26" t="str">
        <f>IF(OR(E3434="",E3434="!!!",F3434="NEW"),"",INDEX(J$1:J3433,SUMPRODUCT(MAX(ROW(E$1:E3433)*(E3434=E$1:E3433)))))</f>
        <v> </v>
      </c>
      <c r="L3434" s="27"/>
    </row>
    <row r="3435" spans="1:12">
      <c r="A3435" s="20" t="s">
        <v>246</v>
      </c>
      <c r="E3435" s="22">
        <f>IF(D3435="?OLD","!!!","")</f>
        <v/>
      </c>
      <c r="F3435" s="23" t="str">
        <f>IF(OR(E3435="",E3435="!!!"),"",IF(NOT(ISNA(VLOOKUP(E3435,E$1:E3434,1,FALSE()))),"OLD",IF(AND(E3435&lt;&gt;"",E3435&lt;&gt;"!!!"),"NEW","")))</f>
        <v> </v>
      </c>
      <c r="G3435" s="24" t="str">
        <f>IF(OR(E3435="",E3435="!!!"),"",IF(OR(J3435=0,AND(J3435=1,K3435=1),AND(J3435=1,I3435="SBJ"),AND(J3435=1,I3435=0)),"?IN_FOCUS",IF(J3435&lt;=2,"?ACTIVATED",IF(J3435&lt;&gt;"","?FAMILIAR",IF(F3435="NEW",IF(ISNA(VLOOKUP(E3435,#REF!,1,FALSE())),"?TYPE_IDENTIFIABLE","?REFERENTIAL"),"_")))))</f>
        <v> </v>
      </c>
      <c r="H3435" s="25" t="str">
        <f>IF(J3435&lt;&gt;1,"",IF(I3435="SBJ","CB","?"))</f>
        <v> </v>
      </c>
      <c r="I3435" s="26" t="str">
        <f>IF(OR(E3435="",E3435="!!!",F3435="NEW"),"",INDEX(B3434:B$2,-1+SUMPRODUCT(MAX(ROW(E3434:E$2)*(E3435=E3434:E$2)))))</f>
        <v> </v>
      </c>
      <c r="J3435" s="26" t="str">
        <f>IF(OR(E3435="",E3435="!!!",F3435="NEW"),"",COUNTBLANK(OFFSET(A$1,,,SUMPRODUCT(MAX(ROW(E$2:E3435)*(E3435=E$2:E3435)))))-COUNTBLANK(OFFSET(A$1,,,SUMPRODUCT(MAX(ROW(E$1:E3434)*(E2=E$1:E3434))))))</f>
        <v> </v>
      </c>
      <c r="K3435" s="26" t="str">
        <f>IF(OR(E3435="",E3435="!!!",F3435="NEW"),"",INDEX(J$1:J3434,SUMPRODUCT(MAX(ROW(E$1:E3434)*(E3435=E$1:E3434)))))</f>
        <v> </v>
      </c>
      <c r="L3435" s="27"/>
    </row>
    <row r="3436" spans="1:12">
      <c r="A3436" s="20" t="s">
        <v>817</v>
      </c>
      <c r="E3436" s="22">
        <f>IF(D3436="?OLD","!!!","")</f>
        <v/>
      </c>
      <c r="F3436" s="23" t="str">
        <f>IF(OR(E3436="",E3436="!!!"),"",IF(NOT(ISNA(VLOOKUP(E3436,E$1:E3435,1,FALSE()))),"OLD",IF(AND(E3436&lt;&gt;"",E3436&lt;&gt;"!!!"),"NEW","")))</f>
        <v> </v>
      </c>
      <c r="G3436" s="24" t="str">
        <f>IF(OR(E3436="",E3436="!!!"),"",IF(OR(J3436=0,AND(J3436=1,K3436=1),AND(J3436=1,I3436="SBJ"),AND(J3436=1,I3436=0)),"?IN_FOCUS",IF(J3436&lt;=2,"?ACTIVATED",IF(J3436&lt;&gt;"","?FAMILIAR",IF(F3436="NEW",IF(ISNA(VLOOKUP(E3436,#REF!,1,FALSE())),"?TYPE_IDENTIFIABLE","?REFERENTIAL"),"_")))))</f>
        <v> </v>
      </c>
      <c r="H3436" s="25" t="str">
        <f>IF(J3436&lt;&gt;1,"",IF(I3436="SBJ","CB","?"))</f>
        <v> </v>
      </c>
      <c r="I3436" s="26" t="str">
        <f>IF(OR(E3436="",E3436="!!!",F3436="NEW"),"",INDEX(B3435:B$2,-1+SUMPRODUCT(MAX(ROW(E3435:E$2)*(E3436=E3435:E$2)))))</f>
        <v> </v>
      </c>
      <c r="J3436" s="26" t="str">
        <f>IF(OR(E3436="",E3436="!!!",F3436="NEW"),"",COUNTBLANK(OFFSET(A$1,,,SUMPRODUCT(MAX(ROW(E$2:E3436)*(E3436=E$2:E3436)))))-COUNTBLANK(OFFSET(A$1,,,SUMPRODUCT(MAX(ROW(E$1:E3435)*(E2=E$1:E3435))))))</f>
        <v> </v>
      </c>
      <c r="K3436" s="26" t="str">
        <f>IF(OR(E3436="",E3436="!!!",F3436="NEW"),"",INDEX(J$1:J3435,SUMPRODUCT(MAX(ROW(E$1:E3435)*(E3436=E$1:E3435)))))</f>
        <v> </v>
      </c>
      <c r="L3436" s="27"/>
    </row>
    <row r="3437" spans="1:12">
      <c r="A3437" s="20"/>
    </row>
    <row r="3438" spans="1:12">
      <c r="A3438" s="20" t="s">
        <v>798</v>
      </c>
      <c r="E3438" s="22">
        <f>IF(D3438="?OLD","!!!","")</f>
        <v/>
      </c>
      <c r="F3438" s="23" t="str">
        <f>IF(OR(E3438="",E3438="!!!"),"",IF(NOT(ISNA(VLOOKUP(E3438,E$1:E3437,1,FALSE()))),"OLD",IF(AND(E3438&lt;&gt;"",E3438&lt;&gt;"!!!"),"NEW","")))</f>
        <v> </v>
      </c>
      <c r="G3438" s="24" t="str">
        <f>IF(OR(E3438="",E3438="!!!"),"",IF(OR(J3438=0,AND(J3438=1,K3438=1),AND(J3438=1,I3438="SBJ"),AND(J3438=1,I3438=0)),"?IN_FOCUS",IF(J3438&lt;=2,"?ACTIVATED",IF(J3438&lt;&gt;"","?FAMILIAR",IF(F3438="NEW",IF(ISNA(VLOOKUP(E3438,#REF!,1,FALSE())),"?TYPE_IDENTIFIABLE","?REFERENTIAL"),"_")))))</f>
        <v> </v>
      </c>
      <c r="H3438" s="25" t="str">
        <f>IF(J3438&lt;&gt;1,"",IF(I3438="SBJ","CB","?"))</f>
        <v> </v>
      </c>
      <c r="I3438" s="26" t="str">
        <f>IF(OR(E3438="",E3438="!!!",F3438="NEW"),"",INDEX(B3437:B$2,-1+SUMPRODUCT(MAX(ROW(E3437:E$2)*(E3438=E3437:E$2)))))</f>
        <v> </v>
      </c>
      <c r="J3438" s="26" t="str">
        <f>IF(OR(E3438="",E3438="!!!",F3438="NEW"),"",COUNTBLANK(OFFSET(A$1,,,SUMPRODUCT(MAX(ROW(E$2:E3438)*(E3438=E$2:E3438)))))-COUNTBLANK(OFFSET(A$1,,,SUMPRODUCT(MAX(ROW(E$1:E3437)*(E2=E$1:E3437))))))</f>
        <v> </v>
      </c>
      <c r="K3438" s="26" t="str">
        <f>IF(OR(E3438="",E3438="!!!",F3438="NEW"),"",INDEX(J$1:J3437,SUMPRODUCT(MAX(ROW(E$1:E3437)*(E3438=E$1:E3437)))))</f>
        <v> </v>
      </c>
      <c r="L3438" s="27"/>
    </row>
    <row r="3439" spans="1:12">
      <c r="A3439" s="20" t="s">
        <v>1928</v>
      </c>
    </row>
    <row r="3440" spans="1:12">
      <c r="A3440" s="20" t="s">
        <v>958</v>
      </c>
      <c r="E3440" s="22">
        <f>IF(D3440="?OLD","!!!","")</f>
        <v/>
      </c>
      <c r="F3440" s="23" t="str">
        <f>IF(OR(E3440="",E3440="!!!"),"",IF(NOT(ISNA(VLOOKUP(E3440,E$1:E3439,1,FALSE()))),"OLD",IF(AND(E3440&lt;&gt;"",E3440&lt;&gt;"!!!"),"NEW","")))</f>
        <v> </v>
      </c>
      <c r="G3440" s="24" t="str">
        <f>IF(OR(E3440="",E3440="!!!"),"",IF(OR(J3440=0,AND(J3440=1,K3440=1),AND(J3440=1,I3440="SBJ"),AND(J3440=1,I3440=0)),"?IN_FOCUS",IF(J3440&lt;=2,"?ACTIVATED",IF(J3440&lt;&gt;"","?FAMILIAR",IF(F3440="NEW",IF(ISNA(VLOOKUP(E3440,#REF!,1,FALSE())),"?TYPE_IDENTIFIABLE","?REFERENTIAL"),"_")))))</f>
        <v> </v>
      </c>
      <c r="H3440" s="25" t="str">
        <f>IF(J3440&lt;&gt;1,"",IF(I3440="SBJ","CB","?"))</f>
        <v> </v>
      </c>
      <c r="I3440" s="26" t="str">
        <f>IF(OR(E3440="",E3440="!!!",F3440="NEW"),"",INDEX(B3439:B$2,-1+SUMPRODUCT(MAX(ROW(E3439:E$2)*(E3440=E3439:E$2)))))</f>
        <v> </v>
      </c>
      <c r="J3440" s="26" t="str">
        <f>IF(OR(E3440="",E3440="!!!",F3440="NEW"),"",COUNTBLANK(OFFSET(A$1,,,SUMPRODUCT(MAX(ROW(E$2:E3440)*(E3440=E$2:E3440)))))-COUNTBLANK(OFFSET(A$1,,,SUMPRODUCT(MAX(ROW(E$1:E3439)*(E2=E$1:E3439))))))</f>
        <v> </v>
      </c>
      <c r="K3440" s="26" t="str">
        <f>IF(OR(E3440="",E3440="!!!",F3440="NEW"),"",INDEX(J$1:J3439,SUMPRODUCT(MAX(ROW(E$1:E3439)*(E3440=E$1:E3439)))))</f>
        <v> </v>
      </c>
      <c r="L3440" s="27"/>
    </row>
    <row r="3441" spans="1:12">
      <c r="A3441" s="20" t="s">
        <v>1681</v>
      </c>
      <c r="B3441" s="21" t="s">
        <v>728</v>
      </c>
      <c r="C3441" s="21" t="s">
        <v>740</v>
      </c>
      <c r="D3441" s="21" t="s">
        <v>730</v>
      </c>
      <c r="E3441" s="22">
        <f>IF(D3441="?OLD","!!!","")</f>
        <v/>
      </c>
      <c r="F3441" s="23" t="str">
        <f>IF(OR(E3441="",E3441="!!!"),"",IF(NOT(ISNA(VLOOKUP(E3441,E$1:E3440,1,FALSE()))),"OLD",IF(AND(E3441&lt;&gt;"",E3441&lt;&gt;"!!!"),"NEW","")))</f>
        <v> </v>
      </c>
      <c r="G3441" s="24" t="str">
        <f>IF(OR(E3441="",E3441="!!!"),"",IF(OR(J3441=0,AND(J3441=1,K3441=1),AND(J3441=1,I3441="SBJ"),AND(J3441=1,I3441=0)),"?IN_FOCUS",IF(J3441&lt;=2,"?ACTIVATED",IF(J3441&lt;&gt;"","?FAMILIAR",IF(F3441="NEW",IF(ISNA(VLOOKUP(E3441,#REF!,1,FALSE())),"?TYPE_IDENTIFIABLE","?REFERENTIAL"),"_")))))</f>
        <v> </v>
      </c>
      <c r="H3441" s="25" t="str">
        <f>IF(J3441&lt;&gt;1,"",IF(I3441="SBJ","CB","?"))</f>
        <v> </v>
      </c>
      <c r="I3441" s="26" t="str">
        <f>IF(OR(E3441="",E3441="!!!",F3441="NEW"),"",INDEX(B3440:B$2,-1+SUMPRODUCT(MAX(ROW(E3440:E$2)*(E3441=E3440:E$2)))))</f>
        <v> </v>
      </c>
      <c r="J3441" s="26" t="str">
        <f>IF(OR(E3441="",E3441="!!!",F3441="NEW"),"",COUNTBLANK(OFFSET(A$1,,,SUMPRODUCT(MAX(ROW(E$2:E3441)*(E3441=E$2:E3441)))))-COUNTBLANK(OFFSET(A$1,,,SUMPRODUCT(MAX(ROW(E$1:E3440)*(E2=E$1:E3440))))))</f>
        <v> </v>
      </c>
      <c r="K3441" s="26" t="str">
        <f>IF(OR(E3441="",E3441="!!!",F3441="NEW"),"",INDEX(J$1:J3440,SUMPRODUCT(MAX(ROW(E$1:E3440)*(E3441=E$1:E3440)))))</f>
        <v> </v>
      </c>
      <c r="L3441" s="27"/>
    </row>
    <row r="3442" spans="1:12">
      <c r="A3442" s="20" t="s">
        <v>884</v>
      </c>
      <c r="E3442" s="22">
        <f>IF(D3442="?OLD","!!!","")</f>
        <v/>
      </c>
      <c r="F3442" s="23" t="str">
        <f>IF(OR(E3442="",E3442="!!!"),"",IF(NOT(ISNA(VLOOKUP(E3442,E$1:E3441,1,FALSE()))),"OLD",IF(AND(E3442&lt;&gt;"",E3442&lt;&gt;"!!!"),"NEW","")))</f>
        <v> </v>
      </c>
      <c r="G3442" s="24" t="str">
        <f>IF(OR(E3442="",E3442="!!!"),"",IF(OR(J3442=0,AND(J3442=1,K3442=1),AND(J3442=1,I3442="SBJ"),AND(J3442=1,I3442=0)),"?IN_FOCUS",IF(J3442&lt;=2,"?ACTIVATED",IF(J3442&lt;&gt;"","?FAMILIAR",IF(F3442="NEW",IF(ISNA(VLOOKUP(E3442,#REF!,1,FALSE())),"?TYPE_IDENTIFIABLE","?REFERENTIAL"),"_")))))</f>
        <v> </v>
      </c>
      <c r="H3442" s="25" t="str">
        <f>IF(J3442&lt;&gt;1,"",IF(I3442="SBJ","CB","?"))</f>
        <v> </v>
      </c>
      <c r="I3442" s="26" t="str">
        <f>IF(OR(E3442="",E3442="!!!",F3442="NEW"),"",INDEX(B3441:B$2,-1+SUMPRODUCT(MAX(ROW(E3441:E$2)*(E3442=E3441:E$2)))))</f>
        <v> </v>
      </c>
      <c r="J3442" s="26" t="str">
        <f>IF(OR(E3442="",E3442="!!!",F3442="NEW"),"",COUNTBLANK(OFFSET(A$1,,,SUMPRODUCT(MAX(ROW(E$2:E3442)*(E3442=E$2:E3442)))))-COUNTBLANK(OFFSET(A$1,,,SUMPRODUCT(MAX(ROW(E$1:E3441)*(E2=E$1:E3441))))))</f>
        <v> </v>
      </c>
      <c r="K3442" s="26" t="str">
        <f>IF(OR(E3442="",E3442="!!!",F3442="NEW"),"",INDEX(J$1:J3441,SUMPRODUCT(MAX(ROW(E$1:E3441)*(E3442=E$1:E3441)))))</f>
        <v> </v>
      </c>
      <c r="L3442" s="27"/>
    </row>
    <row r="3443" spans="1:12">
      <c r="A3443" s="20" t="s">
        <v>944</v>
      </c>
      <c r="E3443" s="22">
        <f>IF(D3443="?OLD","!!!","")</f>
        <v/>
      </c>
      <c r="F3443" s="23" t="str">
        <f>IF(OR(E3443="",E3443="!!!"),"",IF(NOT(ISNA(VLOOKUP(E3443,E$1:E3442,1,FALSE()))),"OLD",IF(AND(E3443&lt;&gt;"",E3443&lt;&gt;"!!!"),"NEW","")))</f>
        <v> </v>
      </c>
      <c r="G3443" s="24" t="str">
        <f>IF(OR(E3443="",E3443="!!!"),"",IF(OR(J3443=0,AND(J3443=1,K3443=1),AND(J3443=1,I3443="SBJ"),AND(J3443=1,I3443=0)),"?IN_FOCUS",IF(J3443&lt;=2,"?ACTIVATED",IF(J3443&lt;&gt;"","?FAMILIAR",IF(F3443="NEW",IF(ISNA(VLOOKUP(E3443,#REF!,1,FALSE())),"?TYPE_IDENTIFIABLE","?REFERENTIAL"),"_")))))</f>
        <v> </v>
      </c>
      <c r="H3443" s="25" t="str">
        <f>IF(J3443&lt;&gt;1,"",IF(I3443="SBJ","CB","?"))</f>
        <v> </v>
      </c>
      <c r="I3443" s="26" t="str">
        <f>IF(OR(E3443="",E3443="!!!",F3443="NEW"),"",INDEX(B3442:B$2,-1+SUMPRODUCT(MAX(ROW(E3442:E$2)*(E3443=E3442:E$2)))))</f>
        <v> </v>
      </c>
      <c r="J3443" s="26" t="str">
        <f>IF(OR(E3443="",E3443="!!!",F3443="NEW"),"",COUNTBLANK(OFFSET(A$1,,,SUMPRODUCT(MAX(ROW(E$2:E3443)*(E3443=E$2:E3443)))))-COUNTBLANK(OFFSET(A$1,,,SUMPRODUCT(MAX(ROW(E$1:E3442)*(E2=E$1:E3442))))))</f>
        <v> </v>
      </c>
      <c r="K3443" s="26" t="str">
        <f>IF(OR(E3443="",E3443="!!!",F3443="NEW"),"",INDEX(J$1:J3442,SUMPRODUCT(MAX(ROW(E$1:E3442)*(E3443=E$1:E3442)))))</f>
        <v> </v>
      </c>
      <c r="L3443" s="27"/>
    </row>
    <row r="3444" spans="1:12">
      <c r="A3444" s="20" t="s">
        <v>1054</v>
      </c>
      <c r="E3444" s="22">
        <f>IF(D3444="?OLD","!!!","")</f>
        <v/>
      </c>
      <c r="F3444" s="23" t="str">
        <f>IF(OR(E3444="",E3444="!!!"),"",IF(NOT(ISNA(VLOOKUP(E3444,E$1:E3443,1,FALSE()))),"OLD",IF(AND(E3444&lt;&gt;"",E3444&lt;&gt;"!!!"),"NEW","")))</f>
        <v> </v>
      </c>
      <c r="G3444" s="24" t="str">
        <f>IF(OR(E3444="",E3444="!!!"),"",IF(OR(J3444=0,AND(J3444=1,K3444=1),AND(J3444=1,I3444="SBJ"),AND(J3444=1,I3444=0)),"?IN_FOCUS",IF(J3444&lt;=2,"?ACTIVATED",IF(J3444&lt;&gt;"","?FAMILIAR",IF(F3444="NEW",IF(ISNA(VLOOKUP(E3444,#REF!,1,FALSE())),"?TYPE_IDENTIFIABLE","?REFERENTIAL"),"_")))))</f>
        <v> </v>
      </c>
      <c r="H3444" s="25" t="str">
        <f>IF(J3444&lt;&gt;1,"",IF(I3444="SBJ","CB","?"))</f>
        <v> </v>
      </c>
      <c r="I3444" s="26" t="str">
        <f>IF(OR(E3444="",E3444="!!!",F3444="NEW"),"",INDEX(B3443:B$2,-1+SUMPRODUCT(MAX(ROW(E3443:E$2)*(E3444=E3443:E$2)))))</f>
        <v> </v>
      </c>
      <c r="J3444" s="26" t="str">
        <f>IF(OR(E3444="",E3444="!!!",F3444="NEW"),"",COUNTBLANK(OFFSET(A$1,,,SUMPRODUCT(MAX(ROW(E$2:E3444)*(E3444=E$2:E3444)))))-COUNTBLANK(OFFSET(A$1,,,SUMPRODUCT(MAX(ROW(E$1:E3443)*(E2=E$1:E3443))))))</f>
        <v> </v>
      </c>
      <c r="K3444" s="26" t="str">
        <f>IF(OR(E3444="",E3444="!!!",F3444="NEW"),"",INDEX(J$1:J3443,SUMPRODUCT(MAX(ROW(E$1:E3443)*(E3444=E$1:E3443)))))</f>
        <v> </v>
      </c>
      <c r="L3444" s="27"/>
    </row>
    <row r="3445" spans="1:12">
      <c r="A3445" s="20" t="s">
        <v>1929</v>
      </c>
      <c r="B3445" s="21" t="s">
        <v>764</v>
      </c>
      <c r="C3445" s="21" t="s">
        <v>737</v>
      </c>
      <c r="E3445" s="22">
        <f>IF(D3445="?OLD","!!!","")</f>
        <v/>
      </c>
      <c r="F3445" s="23" t="str">
        <f>IF(OR(E3445="",E3445="!!!"),"",IF(NOT(ISNA(VLOOKUP(E3445,E$1:E3444,1,FALSE()))),"OLD",IF(AND(E3445&lt;&gt;"",E3445&lt;&gt;"!!!"),"NEW","")))</f>
        <v> </v>
      </c>
      <c r="G3445" s="24" t="str">
        <f>IF(OR(E3445="",E3445="!!!"),"",IF(OR(J3445=0,AND(J3445=1,K3445=1),AND(J3445=1,I3445="SBJ"),AND(J3445=1,I3445=0)),"?IN_FOCUS",IF(J3445&lt;=2,"?ACTIVATED",IF(J3445&lt;&gt;"","?FAMILIAR",IF(F3445="NEW",IF(ISNA(VLOOKUP(E3445,#REF!,1,FALSE())),"?TYPE_IDENTIFIABLE","?REFERENTIAL"),"_")))))</f>
        <v> </v>
      </c>
      <c r="H3445" s="25" t="str">
        <f>IF(J3445&lt;&gt;1,"",IF(I3445="SBJ","CB","?"))</f>
        <v> </v>
      </c>
      <c r="I3445" s="26" t="str">
        <f>IF(OR(E3445="",E3445="!!!",F3445="NEW"),"",INDEX(B3444:B$2,-1+SUMPRODUCT(MAX(ROW(E3444:E$2)*(E3445=E3444:E$2)))))</f>
        <v> </v>
      </c>
      <c r="J3445" s="26" t="str">
        <f>IF(OR(E3445="",E3445="!!!",F3445="NEW"),"",COUNTBLANK(OFFSET(A$1,,,SUMPRODUCT(MAX(ROW(E$2:E3445)*(E3445=E$2:E3445)))))-COUNTBLANK(OFFSET(A$1,,,SUMPRODUCT(MAX(ROW(E$1:E3444)*(E2=E$1:E3444))))))</f>
        <v> </v>
      </c>
      <c r="K3445" s="26" t="str">
        <f>IF(OR(E3445="",E3445="!!!",F3445="NEW"),"",INDEX(J$1:J3444,SUMPRODUCT(MAX(ROW(E$1:E3444)*(E3445=E$1:E3444)))))</f>
        <v> </v>
      </c>
      <c r="L3445" s="27"/>
    </row>
    <row r="3446" spans="1:12">
      <c r="A3446" s="20" t="s">
        <v>1147</v>
      </c>
      <c r="E3446" s="22">
        <f>IF(D3446="?OLD","!!!","")</f>
        <v/>
      </c>
      <c r="F3446" s="23" t="str">
        <f>IF(OR(E3446="",E3446="!!!"),"",IF(NOT(ISNA(VLOOKUP(E3446,E$1:E3445,1,FALSE()))),"OLD",IF(AND(E3446&lt;&gt;"",E3446&lt;&gt;"!!!"),"NEW","")))</f>
        <v> </v>
      </c>
      <c r="G3446" s="24" t="str">
        <f>IF(OR(E3446="",E3446="!!!"),"",IF(OR(J3446=0,AND(J3446=1,K3446=1),AND(J3446=1,I3446="SBJ"),AND(J3446=1,I3446=0)),"?IN_FOCUS",IF(J3446&lt;=2,"?ACTIVATED",IF(J3446&lt;&gt;"","?FAMILIAR",IF(F3446="NEW",IF(ISNA(VLOOKUP(E3446,#REF!,1,FALSE())),"?TYPE_IDENTIFIABLE","?REFERENTIAL"),"_")))))</f>
        <v> </v>
      </c>
      <c r="H3446" s="25" t="str">
        <f>IF(J3446&lt;&gt;1,"",IF(I3446="SBJ","CB","?"))</f>
        <v> </v>
      </c>
      <c r="I3446" s="26" t="str">
        <f>IF(OR(E3446="",E3446="!!!",F3446="NEW"),"",INDEX(B3445:B$2,-1+SUMPRODUCT(MAX(ROW(E3445:E$2)*(E3446=E3445:E$2)))))</f>
        <v> </v>
      </c>
      <c r="J3446" s="26" t="str">
        <f>IF(OR(E3446="",E3446="!!!",F3446="NEW"),"",COUNTBLANK(OFFSET(A$1,,,SUMPRODUCT(MAX(ROW(E$2:E3446)*(E3446=E$2:E3446)))))-COUNTBLANK(OFFSET(A$1,,,SUMPRODUCT(MAX(ROW(E$1:E3445)*(E2=E$1:E3445))))))</f>
        <v> </v>
      </c>
      <c r="K3446" s="26" t="str">
        <f>IF(OR(E3446="",E3446="!!!",F3446="NEW"),"",INDEX(J$1:J3445,SUMPRODUCT(MAX(ROW(E$1:E3445)*(E3446=E$1:E3445)))))</f>
        <v> </v>
      </c>
      <c r="L3446" s="27"/>
    </row>
    <row r="3447" spans="1:12">
      <c r="A3447" s="20" t="s">
        <v>817</v>
      </c>
      <c r="E3447" s="22">
        <f>IF(D3447="?OLD","!!!","")</f>
        <v/>
      </c>
      <c r="F3447" s="23" t="str">
        <f>IF(OR(E3447="",E3447="!!!"),"",IF(NOT(ISNA(VLOOKUP(E3447,E$1:E3446,1,FALSE()))),"OLD",IF(AND(E3447&lt;&gt;"",E3447&lt;&gt;"!!!"),"NEW","")))</f>
        <v> </v>
      </c>
      <c r="G3447" s="24" t="str">
        <f>IF(OR(E3447="",E3447="!!!"),"",IF(OR(J3447=0,AND(J3447=1,K3447=1),AND(J3447=1,I3447="SBJ"),AND(J3447=1,I3447=0)),"?IN_FOCUS",IF(J3447&lt;=2,"?ACTIVATED",IF(J3447&lt;&gt;"","?FAMILIAR",IF(F3447="NEW",IF(ISNA(VLOOKUP(E3447,#REF!,1,FALSE())),"?TYPE_IDENTIFIABLE","?REFERENTIAL"),"_")))))</f>
        <v> </v>
      </c>
      <c r="H3447" s="25" t="str">
        <f>IF(J3447&lt;&gt;1,"",IF(I3447="SBJ","CB","?"))</f>
        <v> </v>
      </c>
      <c r="I3447" s="26" t="str">
        <f>IF(OR(E3447="",E3447="!!!",F3447="NEW"),"",INDEX(B3446:B$2,-1+SUMPRODUCT(MAX(ROW(E3446:E$2)*(E3447=E3446:E$2)))))</f>
        <v> </v>
      </c>
      <c r="J3447" s="26" t="str">
        <f>IF(OR(E3447="",E3447="!!!",F3447="NEW"),"",COUNTBLANK(OFFSET(A$1,,,SUMPRODUCT(MAX(ROW(E$2:E3447)*(E3447=E$2:E3447)))))-COUNTBLANK(OFFSET(A$1,,,SUMPRODUCT(MAX(ROW(E$1:E3446)*(E2=E$1:E3446))))))</f>
        <v> </v>
      </c>
      <c r="K3447" s="26" t="str">
        <f>IF(OR(E3447="",E3447="!!!",F3447="NEW"),"",INDEX(J$1:J3446,SUMPRODUCT(MAX(ROW(E$1:E3446)*(E3447=E$1:E3446)))))</f>
        <v> </v>
      </c>
      <c r="L3447" s="27"/>
    </row>
    <row r="3448" spans="1:12">
      <c r="A3448" s="20" t="s">
        <v>1930</v>
      </c>
      <c r="B3448" s="21" t="s">
        <v>788</v>
      </c>
      <c r="C3448" s="21" t="s">
        <v>748</v>
      </c>
      <c r="E3448" s="22">
        <f>IF(D3448="?OLD","!!!","")</f>
        <v/>
      </c>
      <c r="F3448" s="23" t="str">
        <f>IF(OR(E3448="",E3448="!!!"),"",IF(NOT(ISNA(VLOOKUP(E3448,E$1:E3447,1,FALSE()))),"OLD",IF(AND(E3448&lt;&gt;"",E3448&lt;&gt;"!!!"),"NEW","")))</f>
        <v> </v>
      </c>
      <c r="G3448" s="24" t="str">
        <f>IF(OR(E3448="",E3448="!!!"),"",IF(OR(J3448=0,AND(J3448=1,K3448=1),AND(J3448=1,I3448="SBJ"),AND(J3448=1,I3448=0)),"?IN_FOCUS",IF(J3448&lt;=2,"?ACTIVATED",IF(J3448&lt;&gt;"","?FAMILIAR",IF(F3448="NEW",IF(ISNA(VLOOKUP(E3448,#REF!,1,FALSE())),"?TYPE_IDENTIFIABLE","?REFERENTIAL"),"_")))))</f>
        <v> </v>
      </c>
      <c r="H3448" s="25" t="str">
        <f>IF(J3448&lt;&gt;1,"",IF(I3448="SBJ","CB","?"))</f>
        <v> </v>
      </c>
      <c r="I3448" s="26" t="str">
        <f>IF(OR(E3448="",E3448="!!!",F3448="NEW"),"",INDEX(B3447:B$2,-1+SUMPRODUCT(MAX(ROW(E3447:E$2)*(E3448=E3447:E$2)))))</f>
        <v> </v>
      </c>
      <c r="J3448" s="26" t="str">
        <f>IF(OR(E3448="",E3448="!!!",F3448="NEW"),"",COUNTBLANK(OFFSET(A$1,,,SUMPRODUCT(MAX(ROW(E$2:E3448)*(E3448=E$2:E3448)))))-COUNTBLANK(OFFSET(A$1,,,SUMPRODUCT(MAX(ROW(E$1:E3447)*(E2=E$1:E3447))))))</f>
        <v> </v>
      </c>
      <c r="K3448" s="26" t="str">
        <f>IF(OR(E3448="",E3448="!!!",F3448="NEW"),"",INDEX(J$1:J3447,SUMPRODUCT(MAX(ROW(E$1:E3447)*(E3448=E$1:E3447)))))</f>
        <v> </v>
      </c>
      <c r="L3448" s="27"/>
    </row>
    <row r="3449" spans="1:12">
      <c r="A3449" s="20" t="s">
        <v>1087</v>
      </c>
      <c r="E3449" s="22">
        <f>IF(D3449="?OLD","!!!","")</f>
        <v/>
      </c>
      <c r="F3449" s="23" t="str">
        <f>IF(OR(E3449="",E3449="!!!"),"",IF(NOT(ISNA(VLOOKUP(E3449,E$1:E3448,1,FALSE()))),"OLD",IF(AND(E3449&lt;&gt;"",E3449&lt;&gt;"!!!"),"NEW","")))</f>
        <v> </v>
      </c>
      <c r="G3449" s="24" t="str">
        <f>IF(OR(E3449="",E3449="!!!"),"",IF(OR(J3449=0,AND(J3449=1,K3449=1),AND(J3449=1,I3449="SBJ"),AND(J3449=1,I3449=0)),"?IN_FOCUS",IF(J3449&lt;=2,"?ACTIVATED",IF(J3449&lt;&gt;"","?FAMILIAR",IF(F3449="NEW",IF(ISNA(VLOOKUP(E3449,#REF!,1,FALSE())),"?TYPE_IDENTIFIABLE","?REFERENTIAL"),"_")))))</f>
        <v> </v>
      </c>
      <c r="H3449" s="25" t="str">
        <f>IF(J3449&lt;&gt;1,"",IF(I3449="SBJ","CB","?"))</f>
        <v> </v>
      </c>
      <c r="I3449" s="26" t="str">
        <f>IF(OR(E3449="",E3449="!!!",F3449="NEW"),"",INDEX(B3448:B$2,-1+SUMPRODUCT(MAX(ROW(E3448:E$2)*(E3449=E3448:E$2)))))</f>
        <v> </v>
      </c>
      <c r="J3449" s="26" t="str">
        <f>IF(OR(E3449="",E3449="!!!",F3449="NEW"),"",COUNTBLANK(OFFSET(A$1,,,SUMPRODUCT(MAX(ROW(E$2:E3449)*(E3449=E$2:E3449)))))-COUNTBLANK(OFFSET(A$1,,,SUMPRODUCT(MAX(ROW(E$1:E3448)*(E2=E$1:E3448))))))</f>
        <v> </v>
      </c>
      <c r="K3449" s="26" t="str">
        <f>IF(OR(E3449="",E3449="!!!",F3449="NEW"),"",INDEX(J$1:J3448,SUMPRODUCT(MAX(ROW(E$1:E3448)*(E3449=E$1:E3448)))))</f>
        <v> </v>
      </c>
      <c r="L3449" s="27"/>
    </row>
    <row r="3450" spans="1:12">
      <c r="A3450" s="20" t="s">
        <v>1094</v>
      </c>
      <c r="B3450" s="21" t="s">
        <v>755</v>
      </c>
      <c r="C3450" s="21" t="s">
        <v>789</v>
      </c>
      <c r="D3450" s="21" t="s">
        <v>730</v>
      </c>
      <c r="E3450" s="22">
        <f>IF(D3450="?OLD","!!!","")</f>
        <v/>
      </c>
      <c r="F3450" s="23" t="str">
        <f>IF(OR(E3450="",E3450="!!!"),"",IF(NOT(ISNA(VLOOKUP(E3450,E$1:E3449,1,FALSE()))),"OLD",IF(AND(E3450&lt;&gt;"",E3450&lt;&gt;"!!!"),"NEW","")))</f>
        <v> </v>
      </c>
      <c r="G3450" s="24" t="str">
        <f>IF(OR(E3450="",E3450="!!!"),"",IF(OR(J3450=0,AND(J3450=1,K3450=1),AND(J3450=1,I3450="SBJ"),AND(J3450=1,I3450=0)),"?IN_FOCUS",IF(J3450&lt;=2,"?ACTIVATED",IF(J3450&lt;&gt;"","?FAMILIAR",IF(F3450="NEW",IF(ISNA(VLOOKUP(E3450,#REF!,1,FALSE())),"?TYPE_IDENTIFIABLE","?REFERENTIAL"),"_")))))</f>
        <v> </v>
      </c>
      <c r="H3450" s="25" t="str">
        <f>IF(J3450&lt;&gt;1,"",IF(I3450="SBJ","CB","?"))</f>
        <v> </v>
      </c>
      <c r="I3450" s="26" t="str">
        <f>IF(OR(E3450="",E3450="!!!",F3450="NEW"),"",INDEX(B3449:B$2,-1+SUMPRODUCT(MAX(ROW(E3449:E$2)*(E3450=E3449:E$2)))))</f>
        <v> </v>
      </c>
      <c r="J3450" s="26" t="str">
        <f>IF(OR(E3450="",E3450="!!!",F3450="NEW"),"",COUNTBLANK(OFFSET(A$1,,,SUMPRODUCT(MAX(ROW(E$2:E3450)*(E3450=E$2:E3450)))))-COUNTBLANK(OFFSET(A$1,,,SUMPRODUCT(MAX(ROW(E$1:E3449)*(E2=E$1:E3449))))))</f>
        <v> </v>
      </c>
      <c r="K3450" s="26" t="str">
        <f>IF(OR(E3450="",E3450="!!!",F3450="NEW"),"",INDEX(J$1:J3449,SUMPRODUCT(MAX(ROW(E$1:E3449)*(E3450=E$1:E3449)))))</f>
        <v> </v>
      </c>
      <c r="L3450" s="27"/>
    </row>
    <row r="3451" spans="1:12">
      <c r="A3451" s="20" t="s">
        <v>1931</v>
      </c>
      <c r="B3451" s="21" t="s">
        <v>739</v>
      </c>
      <c r="C3451" s="21" t="s">
        <v>967</v>
      </c>
      <c r="E3451" s="22">
        <f>IF(D3451="?OLD","!!!","")</f>
        <v/>
      </c>
      <c r="F3451" s="23" t="str">
        <f>IF(OR(E3451="",E3451="!!!"),"",IF(NOT(ISNA(VLOOKUP(E3451,E$1:E3450,1,FALSE()))),"OLD",IF(AND(E3451&lt;&gt;"",E3451&lt;&gt;"!!!"),"NEW","")))</f>
        <v> </v>
      </c>
      <c r="G3451" s="24" t="str">
        <f>IF(OR(E3451="",E3451="!!!"),"",IF(OR(J3451=0,AND(J3451=1,K3451=1),AND(J3451=1,I3451="SBJ"),AND(J3451=1,I3451=0)),"?IN_FOCUS",IF(J3451&lt;=2,"?ACTIVATED",IF(J3451&lt;&gt;"","?FAMILIAR",IF(F3451="NEW",IF(ISNA(VLOOKUP(E3451,#REF!,1,FALSE())),"?TYPE_IDENTIFIABLE","?REFERENTIAL"),"_")))))</f>
        <v> </v>
      </c>
      <c r="H3451" s="25" t="str">
        <f>IF(J3451&lt;&gt;1,"",IF(I3451="SBJ","CB","?"))</f>
        <v> </v>
      </c>
      <c r="I3451" s="26" t="str">
        <f>IF(OR(E3451="",E3451="!!!",F3451="NEW"),"",INDEX(B3450:B$2,-1+SUMPRODUCT(MAX(ROW(E3450:E$2)*(E3451=E3450:E$2)))))</f>
        <v> </v>
      </c>
      <c r="J3451" s="26" t="str">
        <f>IF(OR(E3451="",E3451="!!!",F3451="NEW"),"",COUNTBLANK(OFFSET(A$1,,,SUMPRODUCT(MAX(ROW(E$2:E3451)*(E3451=E$2:E3451)))))-COUNTBLANK(OFFSET(A$1,,,SUMPRODUCT(MAX(ROW(E$1:E3450)*(E2=E$1:E3450))))))</f>
        <v> </v>
      </c>
      <c r="K3451" s="26" t="str">
        <f>IF(OR(E3451="",E3451="!!!",F3451="NEW"),"",INDEX(J$1:J3450,SUMPRODUCT(MAX(ROW(E$1:E3450)*(E3451=E$1:E3450)))))</f>
        <v> </v>
      </c>
      <c r="L3451" s="27"/>
    </row>
    <row r="3452" spans="1:12">
      <c r="A3452" s="20" t="s">
        <v>246</v>
      </c>
      <c r="E3452" s="22">
        <f>IF(D3452="?OLD","!!!","")</f>
        <v/>
      </c>
      <c r="F3452" s="23" t="str">
        <f>IF(OR(E3452="",E3452="!!!"),"",IF(NOT(ISNA(VLOOKUP(E3452,E$1:E3451,1,FALSE()))),"OLD",IF(AND(E3452&lt;&gt;"",E3452&lt;&gt;"!!!"),"NEW","")))</f>
        <v> </v>
      </c>
      <c r="G3452" s="24" t="str">
        <f>IF(OR(E3452="",E3452="!!!"),"",IF(OR(J3452=0,AND(J3452=1,K3452=1),AND(J3452=1,I3452="SBJ"),AND(J3452=1,I3452=0)),"?IN_FOCUS",IF(J3452&lt;=2,"?ACTIVATED",IF(J3452&lt;&gt;"","?FAMILIAR",IF(F3452="NEW",IF(ISNA(VLOOKUP(E3452,#REF!,1,FALSE())),"?TYPE_IDENTIFIABLE","?REFERENTIAL"),"_")))))</f>
        <v> </v>
      </c>
      <c r="H3452" s="25" t="str">
        <f>IF(J3452&lt;&gt;1,"",IF(I3452="SBJ","CB","?"))</f>
        <v> </v>
      </c>
      <c r="I3452" s="26" t="str">
        <f>IF(OR(E3452="",E3452="!!!",F3452="NEW"),"",INDEX(B3451:B$2,-1+SUMPRODUCT(MAX(ROW(E3451:E$2)*(E3452=E3451:E$2)))))</f>
        <v> </v>
      </c>
      <c r="J3452" s="26" t="str">
        <f>IF(OR(E3452="",E3452="!!!",F3452="NEW"),"",COUNTBLANK(OFFSET(A$1,,,SUMPRODUCT(MAX(ROW(E$2:E3452)*(E3452=E$2:E3452)))))-COUNTBLANK(OFFSET(A$1,,,SUMPRODUCT(MAX(ROW(E$1:E3451)*(E2=E$1:E3451))))))</f>
        <v> </v>
      </c>
      <c r="K3452" s="26" t="str">
        <f>IF(OR(E3452="",E3452="!!!",F3452="NEW"),"",INDEX(J$1:J3451,SUMPRODUCT(MAX(ROW(E$1:E3451)*(E3452=E$1:E3451)))))</f>
        <v> </v>
      </c>
      <c r="L3452" s="27"/>
    </row>
    <row r="3453" spans="1:12">
      <c r="A3453" s="20" t="s">
        <v>817</v>
      </c>
      <c r="E3453" s="22">
        <f>IF(D3453="?OLD","!!!","")</f>
        <v/>
      </c>
      <c r="F3453" s="23" t="str">
        <f>IF(OR(E3453="",E3453="!!!"),"",IF(NOT(ISNA(VLOOKUP(E3453,E$1:E3452,1,FALSE()))),"OLD",IF(AND(E3453&lt;&gt;"",E3453&lt;&gt;"!!!"),"NEW","")))</f>
        <v> </v>
      </c>
      <c r="G3453" s="24" t="str">
        <f>IF(OR(E3453="",E3453="!!!"),"",IF(OR(J3453=0,AND(J3453=1,K3453=1),AND(J3453=1,I3453="SBJ"),AND(J3453=1,I3453=0)),"?IN_FOCUS",IF(J3453&lt;=2,"?ACTIVATED",IF(J3453&lt;&gt;"","?FAMILIAR",IF(F3453="NEW",IF(ISNA(VLOOKUP(E3453,#REF!,1,FALSE())),"?TYPE_IDENTIFIABLE","?REFERENTIAL"),"_")))))</f>
        <v> </v>
      </c>
      <c r="H3453" s="25" t="str">
        <f>IF(J3453&lt;&gt;1,"",IF(I3453="SBJ","CB","?"))</f>
        <v> </v>
      </c>
      <c r="I3453" s="26" t="str">
        <f>IF(OR(E3453="",E3453="!!!",F3453="NEW"),"",INDEX(B3452:B$2,-1+SUMPRODUCT(MAX(ROW(E3452:E$2)*(E3453=E3452:E$2)))))</f>
        <v> </v>
      </c>
      <c r="J3453" s="26" t="str">
        <f>IF(OR(E3453="",E3453="!!!",F3453="NEW"),"",COUNTBLANK(OFFSET(A$1,,,SUMPRODUCT(MAX(ROW(E$2:E3453)*(E3453=E$2:E3453)))))-COUNTBLANK(OFFSET(A$1,,,SUMPRODUCT(MAX(ROW(E$1:E3452)*(E2=E$1:E3452))))))</f>
        <v> </v>
      </c>
      <c r="K3453" s="26" t="str">
        <f>IF(OR(E3453="",E3453="!!!",F3453="NEW"),"",INDEX(J$1:J3452,SUMPRODUCT(MAX(ROW(E$1:E3452)*(E3453=E$1:E3452)))))</f>
        <v> </v>
      </c>
      <c r="L3453" s="27"/>
    </row>
    <row r="3454" spans="1:12">
      <c r="A3454" s="20"/>
    </row>
    <row r="3455" spans="1:12">
      <c r="A3455" s="20" t="s">
        <v>1932</v>
      </c>
    </row>
    <row r="3456" spans="1:12">
      <c r="A3456" s="20" t="s">
        <v>994</v>
      </c>
      <c r="E3456" s="22">
        <f>IF(D3456="?OLD","!!!","")</f>
        <v/>
      </c>
      <c r="F3456" s="23" t="str">
        <f>IF(OR(E3456="",E3456="!!!"),"",IF(NOT(ISNA(VLOOKUP(E3456,E$1:E3455,1,FALSE()))),"OLD",IF(AND(E3456&lt;&gt;"",E3456&lt;&gt;"!!!"),"NEW","")))</f>
        <v> </v>
      </c>
      <c r="G3456" s="24" t="str">
        <f>IF(OR(E3456="",E3456="!!!"),"",IF(OR(J3456=0,AND(J3456=1,K3456=1),AND(J3456=1,I3456="SBJ"),AND(J3456=1,I3456=0)),"?IN_FOCUS",IF(J3456&lt;=2,"?ACTIVATED",IF(J3456&lt;&gt;"","?FAMILIAR",IF(F3456="NEW",IF(ISNA(VLOOKUP(E3456,#REF!,1,FALSE())),"?TYPE_IDENTIFIABLE","?REFERENTIAL"),"_")))))</f>
        <v> </v>
      </c>
      <c r="H3456" s="25" t="str">
        <f>IF(J3456&lt;&gt;1,"",IF(I3456="SBJ","CB","?"))</f>
        <v> </v>
      </c>
      <c r="I3456" s="26" t="str">
        <f>IF(OR(E3456="",E3456="!!!",F3456="NEW"),"",INDEX(B3455:B$2,-1+SUMPRODUCT(MAX(ROW(E3455:E$2)*(E3456=E3455:E$2)))))</f>
        <v> </v>
      </c>
      <c r="J3456" s="26" t="str">
        <f>IF(OR(E3456="",E3456="!!!",F3456="NEW"),"",COUNTBLANK(OFFSET(A$1,,,SUMPRODUCT(MAX(ROW(E$2:E3456)*(E3456=E$2:E3456)))))-COUNTBLANK(OFFSET(A$1,,,SUMPRODUCT(MAX(ROW(E$1:E3455)*(E2=E$1:E3455))))))</f>
        <v> </v>
      </c>
      <c r="K3456" s="26" t="str">
        <f>IF(OR(E3456="",E3456="!!!",F3456="NEW"),"",INDEX(J$1:J3455,SUMPRODUCT(MAX(ROW(E$1:E3455)*(E3456=E$1:E3455)))))</f>
        <v> </v>
      </c>
      <c r="L3456" s="27"/>
    </row>
    <row r="3457" spans="1:12">
      <c r="A3457" s="20" t="s">
        <v>773</v>
      </c>
      <c r="E3457" s="22">
        <f>IF(D3457="?OLD","!!!","")</f>
        <v/>
      </c>
      <c r="F3457" s="23" t="str">
        <f>IF(OR(E3457="",E3457="!!!"),"",IF(NOT(ISNA(VLOOKUP(E3457,E$1:E3456,1,FALSE()))),"OLD",IF(AND(E3457&lt;&gt;"",E3457&lt;&gt;"!!!"),"NEW","")))</f>
        <v> </v>
      </c>
      <c r="G3457" s="24" t="str">
        <f>IF(OR(E3457="",E3457="!!!"),"",IF(OR(J3457=0,AND(J3457=1,K3457=1),AND(J3457=1,I3457="SBJ"),AND(J3457=1,I3457=0)),"?IN_FOCUS",IF(J3457&lt;=2,"?ACTIVATED",IF(J3457&lt;&gt;"","?FAMILIAR",IF(F3457="NEW",IF(ISNA(VLOOKUP(E3457,#REF!,1,FALSE())),"?TYPE_IDENTIFIABLE","?REFERENTIAL"),"_")))))</f>
        <v> </v>
      </c>
      <c r="H3457" s="25" t="str">
        <f>IF(J3457&lt;&gt;1,"",IF(I3457="SBJ","CB","?"))</f>
        <v> </v>
      </c>
      <c r="I3457" s="26" t="str">
        <f>IF(OR(E3457="",E3457="!!!",F3457="NEW"),"",INDEX(B3456:B$2,-1+SUMPRODUCT(MAX(ROW(E3456:E$2)*(E3457=E3456:E$2)))))</f>
        <v> </v>
      </c>
      <c r="J3457" s="26" t="str">
        <f>IF(OR(E3457="",E3457="!!!",F3457="NEW"),"",COUNTBLANK(OFFSET(A$1,,,SUMPRODUCT(MAX(ROW(E$2:E3457)*(E3457=E$2:E3457)))))-COUNTBLANK(OFFSET(A$1,,,SUMPRODUCT(MAX(ROW(E$1:E3456)*(E2=E$1:E3456))))))</f>
        <v> </v>
      </c>
      <c r="K3457" s="26" t="str">
        <f>IF(OR(E3457="",E3457="!!!",F3457="NEW"),"",INDEX(J$1:J3456,SUMPRODUCT(MAX(ROW(E$1:E3456)*(E3457=E$1:E3456)))))</f>
        <v> </v>
      </c>
      <c r="L3457" s="27"/>
    </row>
    <row r="3458" spans="1:12">
      <c r="A3458" s="20" t="s">
        <v>757</v>
      </c>
      <c r="E3458" s="22">
        <f>IF(D3458="?OLD","!!!","")</f>
        <v/>
      </c>
      <c r="F3458" s="23" t="str">
        <f>IF(OR(E3458="",E3458="!!!"),"",IF(NOT(ISNA(VLOOKUP(E3458,E$1:E3457,1,FALSE()))),"OLD",IF(AND(E3458&lt;&gt;"",E3458&lt;&gt;"!!!"),"NEW","")))</f>
        <v> </v>
      </c>
      <c r="G3458" s="24" t="str">
        <f>IF(OR(E3458="",E3458="!!!"),"",IF(OR(J3458=0,AND(J3458=1,K3458=1),AND(J3458=1,I3458="SBJ"),AND(J3458=1,I3458=0)),"?IN_FOCUS",IF(J3458&lt;=2,"?ACTIVATED",IF(J3458&lt;&gt;"","?FAMILIAR",IF(F3458="NEW",IF(ISNA(VLOOKUP(E3458,#REF!,1,FALSE())),"?TYPE_IDENTIFIABLE","?REFERENTIAL"),"_")))))</f>
        <v> </v>
      </c>
      <c r="H3458" s="25" t="str">
        <f>IF(J3458&lt;&gt;1,"",IF(I3458="SBJ","CB","?"))</f>
        <v> </v>
      </c>
      <c r="I3458" s="26" t="str">
        <f>IF(OR(E3458="",E3458="!!!",F3458="NEW"),"",INDEX(B3457:B$2,-1+SUMPRODUCT(MAX(ROW(E3457:E$2)*(E3458=E3457:E$2)))))</f>
        <v> </v>
      </c>
      <c r="J3458" s="26" t="str">
        <f>IF(OR(E3458="",E3458="!!!",F3458="NEW"),"",COUNTBLANK(OFFSET(A$1,,,SUMPRODUCT(MAX(ROW(E$2:E3458)*(E3458=E$2:E3458)))))-COUNTBLANK(OFFSET(A$1,,,SUMPRODUCT(MAX(ROW(E$1:E3457)*(E2=E$1:E3457))))))</f>
        <v> </v>
      </c>
      <c r="K3458" s="26" t="str">
        <f>IF(OR(E3458="",E3458="!!!",F3458="NEW"),"",INDEX(J$1:J3457,SUMPRODUCT(MAX(ROW(E$1:E3457)*(E3458=E$1:E3457)))))</f>
        <v> </v>
      </c>
      <c r="L3458" s="27"/>
    </row>
    <row r="3459" spans="1:12">
      <c r="A3459" s="20" t="s">
        <v>1933</v>
      </c>
      <c r="B3459" s="21" t="s">
        <v>736</v>
      </c>
      <c r="C3459" s="21" t="s">
        <v>753</v>
      </c>
      <c r="D3459" s="21" t="s">
        <v>730</v>
      </c>
      <c r="E3459" s="22">
        <f>IF(D3459="?OLD","!!!","")</f>
        <v/>
      </c>
      <c r="F3459" s="23" t="str">
        <f>IF(OR(E3459="",E3459="!!!"),"",IF(NOT(ISNA(VLOOKUP(E3459,E$1:E3458,1,FALSE()))),"OLD",IF(AND(E3459&lt;&gt;"",E3459&lt;&gt;"!!!"),"NEW","")))</f>
        <v> </v>
      </c>
      <c r="G3459" s="24" t="str">
        <f>IF(OR(E3459="",E3459="!!!"),"",IF(OR(J3459=0,AND(J3459=1,K3459=1),AND(J3459=1,I3459="SBJ"),AND(J3459=1,I3459=0)),"?IN_FOCUS",IF(J3459&lt;=2,"?ACTIVATED",IF(J3459&lt;&gt;"","?FAMILIAR",IF(F3459="NEW",IF(ISNA(VLOOKUP(E3459,#REF!,1,FALSE())),"?TYPE_IDENTIFIABLE","?REFERENTIAL"),"_")))))</f>
        <v> </v>
      </c>
      <c r="H3459" s="25" t="str">
        <f>IF(J3459&lt;&gt;1,"",IF(I3459="SBJ","CB","?"))</f>
        <v> </v>
      </c>
      <c r="I3459" s="26" t="str">
        <f>IF(OR(E3459="",E3459="!!!",F3459="NEW"),"",INDEX(B3458:B$2,-1+SUMPRODUCT(MAX(ROW(E3458:E$2)*(E3459=E3458:E$2)))))</f>
        <v> </v>
      </c>
      <c r="J3459" s="26" t="str">
        <f>IF(OR(E3459="",E3459="!!!",F3459="NEW"),"",COUNTBLANK(OFFSET(A$1,,,SUMPRODUCT(MAX(ROW(E$2:E3459)*(E3459=E$2:E3459)))))-COUNTBLANK(OFFSET(A$1,,,SUMPRODUCT(MAX(ROW(E$1:E3458)*(E2=E$1:E3458))))))</f>
        <v> </v>
      </c>
      <c r="K3459" s="26" t="str">
        <f>IF(OR(E3459="",E3459="!!!",F3459="NEW"),"",INDEX(J$1:J3458,SUMPRODUCT(MAX(ROW(E$1:E3458)*(E3459=E$1:E3458)))))</f>
        <v> </v>
      </c>
      <c r="L3459" s="27"/>
    </row>
    <row r="3460" spans="1:12">
      <c r="A3460" s="20" t="s">
        <v>785</v>
      </c>
      <c r="E3460" s="22">
        <f>IF(D3460="?OLD","!!!","")</f>
        <v/>
      </c>
      <c r="F3460" s="23" t="str">
        <f>IF(OR(E3460="",E3460="!!!"),"",IF(NOT(ISNA(VLOOKUP(E3460,E$1:E3459,1,FALSE()))),"OLD",IF(AND(E3460&lt;&gt;"",E3460&lt;&gt;"!!!"),"NEW","")))</f>
        <v> </v>
      </c>
      <c r="G3460" s="24" t="str">
        <f>IF(OR(E3460="",E3460="!!!"),"",IF(OR(J3460=0,AND(J3460=1,K3460=1),AND(J3460=1,I3460="SBJ"),AND(J3460=1,I3460=0)),"?IN_FOCUS",IF(J3460&lt;=2,"?ACTIVATED",IF(J3460&lt;&gt;"","?FAMILIAR",IF(F3460="NEW",IF(ISNA(VLOOKUP(E3460,#REF!,1,FALSE())),"?TYPE_IDENTIFIABLE","?REFERENTIAL"),"_")))))</f>
        <v> </v>
      </c>
      <c r="H3460" s="25" t="str">
        <f>IF(J3460&lt;&gt;1,"",IF(I3460="SBJ","CB","?"))</f>
        <v> </v>
      </c>
      <c r="I3460" s="26" t="str">
        <f>IF(OR(E3460="",E3460="!!!",F3460="NEW"),"",INDEX(B3459:B$2,-1+SUMPRODUCT(MAX(ROW(E3459:E$2)*(E3460=E3459:E$2)))))</f>
        <v> </v>
      </c>
      <c r="J3460" s="26" t="str">
        <f>IF(OR(E3460="",E3460="!!!",F3460="NEW"),"",COUNTBLANK(OFFSET(A$1,,,SUMPRODUCT(MAX(ROW(E$2:E3460)*(E3460=E$2:E3460)))))-COUNTBLANK(OFFSET(A$1,,,SUMPRODUCT(MAX(ROW(E$1:E3459)*(E2=E$1:E3459))))))</f>
        <v> </v>
      </c>
      <c r="K3460" s="26" t="str">
        <f>IF(OR(E3460="",E3460="!!!",F3460="NEW"),"",INDEX(J$1:J3459,SUMPRODUCT(MAX(ROW(E$1:E3459)*(E3460=E$1:E3459)))))</f>
        <v> </v>
      </c>
      <c r="L3460" s="27"/>
    </row>
    <row r="3461" spans="1:12">
      <c r="A3461" s="20" t="s">
        <v>1164</v>
      </c>
      <c r="E3461" s="22">
        <f>IF(D3461="?OLD","!!!","")</f>
        <v/>
      </c>
      <c r="F3461" s="23" t="str">
        <f>IF(OR(E3461="",E3461="!!!"),"",IF(NOT(ISNA(VLOOKUP(E3461,E$1:E3460,1,FALSE()))),"OLD",IF(AND(E3461&lt;&gt;"",E3461&lt;&gt;"!!!"),"NEW","")))</f>
        <v> </v>
      </c>
      <c r="G3461" s="24" t="str">
        <f>IF(OR(E3461="",E3461="!!!"),"",IF(OR(J3461=0,AND(J3461=1,K3461=1),AND(J3461=1,I3461="SBJ"),AND(J3461=1,I3461=0)),"?IN_FOCUS",IF(J3461&lt;=2,"?ACTIVATED",IF(J3461&lt;&gt;"","?FAMILIAR",IF(F3461="NEW",IF(ISNA(VLOOKUP(E3461,#REF!,1,FALSE())),"?TYPE_IDENTIFIABLE","?REFERENTIAL"),"_")))))</f>
        <v> </v>
      </c>
      <c r="H3461" s="25" t="str">
        <f>IF(J3461&lt;&gt;1,"",IF(I3461="SBJ","CB","?"))</f>
        <v> </v>
      </c>
      <c r="I3461" s="26" t="str">
        <f>IF(OR(E3461="",E3461="!!!",F3461="NEW"),"",INDEX(B3460:B$2,-1+SUMPRODUCT(MAX(ROW(E3460:E$2)*(E3461=E3460:E$2)))))</f>
        <v> </v>
      </c>
      <c r="J3461" s="26" t="str">
        <f>IF(OR(E3461="",E3461="!!!",F3461="NEW"),"",COUNTBLANK(OFFSET(A$1,,,SUMPRODUCT(MAX(ROW(E$2:E3461)*(E3461=E$2:E3461)))))-COUNTBLANK(OFFSET(A$1,,,SUMPRODUCT(MAX(ROW(E$1:E3460)*(E2=E$1:E3460))))))</f>
        <v> </v>
      </c>
      <c r="K3461" s="26" t="str">
        <f>IF(OR(E3461="",E3461="!!!",F3461="NEW"),"",INDEX(J$1:J3460,SUMPRODUCT(MAX(ROW(E$1:E3460)*(E3461=E$1:E3460)))))</f>
        <v> </v>
      </c>
      <c r="L3461" s="27"/>
    </row>
    <row r="3462" spans="1:12">
      <c r="A3462" s="20" t="s">
        <v>751</v>
      </c>
      <c r="E3462" s="22">
        <f>IF(D3462="?OLD","!!!","")</f>
        <v/>
      </c>
      <c r="F3462" s="23" t="str">
        <f>IF(OR(E3462="",E3462="!!!"),"",IF(NOT(ISNA(VLOOKUP(E3462,E$1:E3461,1,FALSE()))),"OLD",IF(AND(E3462&lt;&gt;"",E3462&lt;&gt;"!!!"),"NEW","")))</f>
        <v> </v>
      </c>
      <c r="G3462" s="24" t="str">
        <f>IF(OR(E3462="",E3462="!!!"),"",IF(OR(J3462=0,AND(J3462=1,K3462=1),AND(J3462=1,I3462="SBJ"),AND(J3462=1,I3462=0)),"?IN_FOCUS",IF(J3462&lt;=2,"?ACTIVATED",IF(J3462&lt;&gt;"","?FAMILIAR",IF(F3462="NEW",IF(ISNA(VLOOKUP(E3462,#REF!,1,FALSE())),"?TYPE_IDENTIFIABLE","?REFERENTIAL"),"_")))))</f>
        <v> </v>
      </c>
      <c r="H3462" s="25" t="str">
        <f>IF(J3462&lt;&gt;1,"",IF(I3462="SBJ","CB","?"))</f>
        <v> </v>
      </c>
      <c r="I3462" s="26" t="str">
        <f>IF(OR(E3462="",E3462="!!!",F3462="NEW"),"",INDEX(B3461:B$2,-1+SUMPRODUCT(MAX(ROW(E3461:E$2)*(E3462=E3461:E$2)))))</f>
        <v> </v>
      </c>
      <c r="J3462" s="26" t="str">
        <f>IF(OR(E3462="",E3462="!!!",F3462="NEW"),"",COUNTBLANK(OFFSET(A$1,,,SUMPRODUCT(MAX(ROW(E$2:E3462)*(E3462=E$2:E3462)))))-COUNTBLANK(OFFSET(A$1,,,SUMPRODUCT(MAX(ROW(E$1:E3461)*(E2=E$1:E3461))))))</f>
        <v> </v>
      </c>
      <c r="K3462" s="26" t="str">
        <f>IF(OR(E3462="",E3462="!!!",F3462="NEW"),"",INDEX(J$1:J3461,SUMPRODUCT(MAX(ROW(E$1:E3461)*(E3462=E$1:E3461)))))</f>
        <v> </v>
      </c>
      <c r="L3462" s="27"/>
    </row>
    <row r="3463" spans="1:12">
      <c r="A3463" s="20" t="s">
        <v>1465</v>
      </c>
      <c r="B3463" s="21" t="s">
        <v>739</v>
      </c>
      <c r="C3463" s="21" t="s">
        <v>753</v>
      </c>
      <c r="D3463" s="21" t="s">
        <v>730</v>
      </c>
      <c r="E3463" s="22">
        <f>IF(D3463="?OLD","!!!","")</f>
        <v/>
      </c>
      <c r="F3463" s="23" t="str">
        <f>IF(OR(E3463="",E3463="!!!"),"",IF(NOT(ISNA(VLOOKUP(E3463,E$1:E3462,1,FALSE()))),"OLD",IF(AND(E3463&lt;&gt;"",E3463&lt;&gt;"!!!"),"NEW","")))</f>
        <v> </v>
      </c>
      <c r="G3463" s="24" t="str">
        <f>IF(OR(E3463="",E3463="!!!"),"",IF(OR(J3463=0,AND(J3463=1,K3463=1),AND(J3463=1,I3463="SBJ"),AND(J3463=1,I3463=0)),"?IN_FOCUS",IF(J3463&lt;=2,"?ACTIVATED",IF(J3463&lt;&gt;"","?FAMILIAR",IF(F3463="NEW",IF(ISNA(VLOOKUP(E3463,#REF!,1,FALSE())),"?TYPE_IDENTIFIABLE","?REFERENTIAL"),"_")))))</f>
        <v> </v>
      </c>
      <c r="H3463" s="25" t="str">
        <f>IF(J3463&lt;&gt;1,"",IF(I3463="SBJ","CB","?"))</f>
        <v> </v>
      </c>
      <c r="I3463" s="26" t="str">
        <f>IF(OR(E3463="",E3463="!!!",F3463="NEW"),"",INDEX(B3462:B$2,-1+SUMPRODUCT(MAX(ROW(E3462:E$2)*(E3463=E3462:E$2)))))</f>
        <v> </v>
      </c>
      <c r="J3463" s="26" t="str">
        <f>IF(OR(E3463="",E3463="!!!",F3463="NEW"),"",COUNTBLANK(OFFSET(A$1,,,SUMPRODUCT(MAX(ROW(E$2:E3463)*(E3463=E$2:E3463)))))-COUNTBLANK(OFFSET(A$1,,,SUMPRODUCT(MAX(ROW(E$1:E3462)*(E2=E$1:E3462))))))</f>
        <v> </v>
      </c>
      <c r="K3463" s="26" t="str">
        <f>IF(OR(E3463="",E3463="!!!",F3463="NEW"),"",INDEX(J$1:J3462,SUMPRODUCT(MAX(ROW(E$1:E3462)*(E3463=E$1:E3462)))))</f>
        <v> </v>
      </c>
      <c r="L3463" s="27"/>
    </row>
    <row r="3464" spans="1:12">
      <c r="A3464" s="20" t="s">
        <v>1226</v>
      </c>
      <c r="E3464" s="22">
        <f>IF(D3464="?OLD","!!!","")</f>
        <v/>
      </c>
      <c r="F3464" s="23" t="str">
        <f>IF(OR(E3464="",E3464="!!!"),"",IF(NOT(ISNA(VLOOKUP(E3464,E$1:E3463,1,FALSE()))),"OLD",IF(AND(E3464&lt;&gt;"",E3464&lt;&gt;"!!!"),"NEW","")))</f>
        <v> </v>
      </c>
      <c r="G3464" s="24" t="str">
        <f>IF(OR(E3464="",E3464="!!!"),"",IF(OR(J3464=0,AND(J3464=1,K3464=1),AND(J3464=1,I3464="SBJ"),AND(J3464=1,I3464=0)),"?IN_FOCUS",IF(J3464&lt;=2,"?ACTIVATED",IF(J3464&lt;&gt;"","?FAMILIAR",IF(F3464="NEW",IF(ISNA(VLOOKUP(E3464,#REF!,1,FALSE())),"?TYPE_IDENTIFIABLE","?REFERENTIAL"),"_")))))</f>
        <v> </v>
      </c>
      <c r="H3464" s="25" t="str">
        <f>IF(J3464&lt;&gt;1,"",IF(I3464="SBJ","CB","?"))</f>
        <v> </v>
      </c>
      <c r="I3464" s="26" t="str">
        <f>IF(OR(E3464="",E3464="!!!",F3464="NEW"),"",INDEX(B3463:B$2,-1+SUMPRODUCT(MAX(ROW(E3463:E$2)*(E3464=E3463:E$2)))))</f>
        <v> </v>
      </c>
      <c r="J3464" s="26" t="str">
        <f>IF(OR(E3464="",E3464="!!!",F3464="NEW"),"",COUNTBLANK(OFFSET(A$1,,,SUMPRODUCT(MAX(ROW(E$2:E3464)*(E3464=E$2:E3464)))))-COUNTBLANK(OFFSET(A$1,,,SUMPRODUCT(MAX(ROW(E$1:E3463)*(E2=E$1:E3463))))))</f>
        <v> </v>
      </c>
      <c r="K3464" s="26" t="str">
        <f>IF(OR(E3464="",E3464="!!!",F3464="NEW"),"",INDEX(J$1:J3463,SUMPRODUCT(MAX(ROW(E$1:E3463)*(E3464=E$1:E3463)))))</f>
        <v> </v>
      </c>
      <c r="L3464" s="27"/>
    </row>
    <row r="3465" spans="1:12">
      <c r="A3465" s="20" t="s">
        <v>1930</v>
      </c>
      <c r="B3465" s="21" t="s">
        <v>728</v>
      </c>
      <c r="C3465" s="21" t="s">
        <v>748</v>
      </c>
      <c r="E3465" s="22">
        <f>IF(D3465="?OLD","!!!","")</f>
        <v/>
      </c>
      <c r="F3465" s="23" t="str">
        <f>IF(OR(E3465="",E3465="!!!"),"",IF(NOT(ISNA(VLOOKUP(E3465,E$1:E3464,1,FALSE()))),"OLD",IF(AND(E3465&lt;&gt;"",E3465&lt;&gt;"!!!"),"NEW","")))</f>
        <v> </v>
      </c>
      <c r="G3465" s="24" t="str">
        <f>IF(OR(E3465="",E3465="!!!"),"",IF(OR(J3465=0,AND(J3465=1,K3465=1),AND(J3465=1,I3465="SBJ"),AND(J3465=1,I3465=0)),"?IN_FOCUS",IF(J3465&lt;=2,"?ACTIVATED",IF(J3465&lt;&gt;"","?FAMILIAR",IF(F3465="NEW",IF(ISNA(VLOOKUP(E3465,#REF!,1,FALSE())),"?TYPE_IDENTIFIABLE","?REFERENTIAL"),"_")))))</f>
        <v> </v>
      </c>
      <c r="H3465" s="25" t="str">
        <f>IF(J3465&lt;&gt;1,"",IF(I3465="SBJ","CB","?"))</f>
        <v> </v>
      </c>
      <c r="I3465" s="26" t="str">
        <f>IF(OR(E3465="",E3465="!!!",F3465="NEW"),"",INDEX(B3464:B$2,-1+SUMPRODUCT(MAX(ROW(E3464:E$2)*(E3465=E3464:E$2)))))</f>
        <v> </v>
      </c>
      <c r="J3465" s="26" t="str">
        <f>IF(OR(E3465="",E3465="!!!",F3465="NEW"),"",COUNTBLANK(OFFSET(A$1,,,SUMPRODUCT(MAX(ROW(E$2:E3465)*(E3465=E$2:E3465)))))-COUNTBLANK(OFFSET(A$1,,,SUMPRODUCT(MAX(ROW(E$1:E3464)*(E2=E$1:E3464))))))</f>
        <v> </v>
      </c>
      <c r="K3465" s="26" t="str">
        <f>IF(OR(E3465="",E3465="!!!",F3465="NEW"),"",INDEX(J$1:J3464,SUMPRODUCT(MAX(ROW(E$1:E3464)*(E3465=E$1:E3464)))))</f>
        <v> </v>
      </c>
      <c r="L3465" s="27"/>
    </row>
    <row r="3466" spans="1:12">
      <c r="A3466" s="20" t="s">
        <v>762</v>
      </c>
      <c r="E3466" s="22">
        <f>IF(D3466="?OLD","!!!","")</f>
        <v/>
      </c>
      <c r="F3466" s="23" t="str">
        <f>IF(OR(E3466="",E3466="!!!"),"",IF(NOT(ISNA(VLOOKUP(E3466,E$1:E3465,1,FALSE()))),"OLD",IF(AND(E3466&lt;&gt;"",E3466&lt;&gt;"!!!"),"NEW","")))</f>
        <v> </v>
      </c>
      <c r="G3466" s="24" t="str">
        <f>IF(OR(E3466="",E3466="!!!"),"",IF(OR(J3466=0,AND(J3466=1,K3466=1),AND(J3466=1,I3466="SBJ"),AND(J3466=1,I3466=0)),"?IN_FOCUS",IF(J3466&lt;=2,"?ACTIVATED",IF(J3466&lt;&gt;"","?FAMILIAR",IF(F3466="NEW",IF(ISNA(VLOOKUP(E3466,#REF!,1,FALSE())),"?TYPE_IDENTIFIABLE","?REFERENTIAL"),"_")))))</f>
        <v> </v>
      </c>
      <c r="H3466" s="25" t="str">
        <f>IF(J3466&lt;&gt;1,"",IF(I3466="SBJ","CB","?"))</f>
        <v> </v>
      </c>
      <c r="I3466" s="26" t="str">
        <f>IF(OR(E3466="",E3466="!!!",F3466="NEW"),"",INDEX(B3465:B$2,-1+SUMPRODUCT(MAX(ROW(E3465:E$2)*(E3466=E3465:E$2)))))</f>
        <v> </v>
      </c>
      <c r="J3466" s="26" t="str">
        <f>IF(OR(E3466="",E3466="!!!",F3466="NEW"),"",COUNTBLANK(OFFSET(A$1,,,SUMPRODUCT(MAX(ROW(E$2:E3466)*(E3466=E$2:E3466)))))-COUNTBLANK(OFFSET(A$1,,,SUMPRODUCT(MAX(ROW(E$1:E3465)*(E2=E$1:E3465))))))</f>
        <v> </v>
      </c>
      <c r="K3466" s="26" t="str">
        <f>IF(OR(E3466="",E3466="!!!",F3466="NEW"),"",INDEX(J$1:J3465,SUMPRODUCT(MAX(ROW(E$1:E3465)*(E3466=E$1:E3465)))))</f>
        <v> </v>
      </c>
      <c r="L3466" s="27"/>
    </row>
    <row r="3467" spans="1:12">
      <c r="A3467" s="20" t="s">
        <v>1931</v>
      </c>
      <c r="B3467" s="21" t="s">
        <v>736</v>
      </c>
      <c r="C3467" s="21" t="s">
        <v>737</v>
      </c>
      <c r="E3467" s="22">
        <f>IF(D3467="?OLD","!!!","")</f>
        <v/>
      </c>
      <c r="F3467" s="23" t="str">
        <f>IF(OR(E3467="",E3467="!!!"),"",IF(NOT(ISNA(VLOOKUP(E3467,E$1:E3466,1,FALSE()))),"OLD",IF(AND(E3467&lt;&gt;"",E3467&lt;&gt;"!!!"),"NEW","")))</f>
        <v> </v>
      </c>
      <c r="G3467" s="24" t="str">
        <f>IF(OR(E3467="",E3467="!!!"),"",IF(OR(J3467=0,AND(J3467=1,K3467=1),AND(J3467=1,I3467="SBJ"),AND(J3467=1,I3467=0)),"?IN_FOCUS",IF(J3467&lt;=2,"?ACTIVATED",IF(J3467&lt;&gt;"","?FAMILIAR",IF(F3467="NEW",IF(ISNA(VLOOKUP(E3467,#REF!,1,FALSE())),"?TYPE_IDENTIFIABLE","?REFERENTIAL"),"_")))))</f>
        <v> </v>
      </c>
      <c r="H3467" s="25" t="str">
        <f>IF(J3467&lt;&gt;1,"",IF(I3467="SBJ","CB","?"))</f>
        <v> </v>
      </c>
      <c r="I3467" s="26" t="str">
        <f>IF(OR(E3467="",E3467="!!!",F3467="NEW"),"",INDEX(B3466:B$2,-1+SUMPRODUCT(MAX(ROW(E3466:E$2)*(E3467=E3466:E$2)))))</f>
        <v> </v>
      </c>
      <c r="J3467" s="26" t="str">
        <f>IF(OR(E3467="",E3467="!!!",F3467="NEW"),"",COUNTBLANK(OFFSET(A$1,,,SUMPRODUCT(MAX(ROW(E$2:E3467)*(E3467=E$2:E3467)))))-COUNTBLANK(OFFSET(A$1,,,SUMPRODUCT(MAX(ROW(E$1:E3466)*(E2=E$1:E3466))))))</f>
        <v> </v>
      </c>
      <c r="K3467" s="26" t="str">
        <f>IF(OR(E3467="",E3467="!!!",F3467="NEW"),"",INDEX(J$1:J3466,SUMPRODUCT(MAX(ROW(E$1:E3466)*(E3467=E$1:E3466)))))</f>
        <v> </v>
      </c>
      <c r="L3467" s="27"/>
    </row>
    <row r="3468" spans="1:12">
      <c r="A3468" s="20" t="s">
        <v>106</v>
      </c>
      <c r="E3468" s="22">
        <f>IF(D3468="?OLD","!!!","")</f>
        <v/>
      </c>
      <c r="F3468" s="23" t="str">
        <f>IF(OR(E3468="",E3468="!!!"),"",IF(NOT(ISNA(VLOOKUP(E3468,E$1:E3467,1,FALSE()))),"OLD",IF(AND(E3468&lt;&gt;"",E3468&lt;&gt;"!!!"),"NEW","")))</f>
        <v> </v>
      </c>
      <c r="G3468" s="24" t="str">
        <f>IF(OR(E3468="",E3468="!!!"),"",IF(OR(J3468=0,AND(J3468=1,K3468=1),AND(J3468=1,I3468="SBJ"),AND(J3468=1,I3468=0)),"?IN_FOCUS",IF(J3468&lt;=2,"?ACTIVATED",IF(J3468&lt;&gt;"","?FAMILIAR",IF(F3468="NEW",IF(ISNA(VLOOKUP(E3468,#REF!,1,FALSE())),"?TYPE_IDENTIFIABLE","?REFERENTIAL"),"_")))))</f>
        <v> </v>
      </c>
      <c r="H3468" s="25" t="str">
        <f>IF(J3468&lt;&gt;1,"",IF(I3468="SBJ","CB","?"))</f>
        <v> </v>
      </c>
      <c r="I3468" s="26" t="str">
        <f>IF(OR(E3468="",E3468="!!!",F3468="NEW"),"",INDEX(B3467:B$2,-1+SUMPRODUCT(MAX(ROW(E3467:E$2)*(E3468=E3467:E$2)))))</f>
        <v> </v>
      </c>
      <c r="J3468" s="26" t="str">
        <f>IF(OR(E3468="",E3468="!!!",F3468="NEW"),"",COUNTBLANK(OFFSET(A$1,,,SUMPRODUCT(MAX(ROW(E$2:E3468)*(E3468=E$2:E3468)))))-COUNTBLANK(OFFSET(A$1,,,SUMPRODUCT(MAX(ROW(E$1:E3467)*(E2=E$1:E3467))))))</f>
        <v> </v>
      </c>
      <c r="K3468" s="26" t="str">
        <f>IF(OR(E3468="",E3468="!!!",F3468="NEW"),"",INDEX(J$1:J3467,SUMPRODUCT(MAX(ROW(E$1:E3467)*(E3468=E$1:E3467)))))</f>
        <v> </v>
      </c>
      <c r="L3468" s="27"/>
    </row>
    <row r="3469" spans="1:12">
      <c r="A3469" s="20" t="s">
        <v>759</v>
      </c>
      <c r="E3469" s="22">
        <f>IF(D3469="?OLD","!!!","")</f>
        <v/>
      </c>
      <c r="F3469" s="23" t="str">
        <f>IF(OR(E3469="",E3469="!!!"),"",IF(NOT(ISNA(VLOOKUP(E3469,E$1:E3468,1,FALSE()))),"OLD",IF(AND(E3469&lt;&gt;"",E3469&lt;&gt;"!!!"),"NEW","")))</f>
        <v> </v>
      </c>
      <c r="G3469" s="24" t="str">
        <f>IF(OR(E3469="",E3469="!!!"),"",IF(OR(J3469=0,AND(J3469=1,K3469=1),AND(J3469=1,I3469="SBJ"),AND(J3469=1,I3469=0)),"?IN_FOCUS",IF(J3469&lt;=2,"?ACTIVATED",IF(J3469&lt;&gt;"","?FAMILIAR",IF(F3469="NEW",IF(ISNA(VLOOKUP(E3469,#REF!,1,FALSE())),"?TYPE_IDENTIFIABLE","?REFERENTIAL"),"_")))))</f>
        <v> </v>
      </c>
      <c r="H3469" s="25" t="str">
        <f>IF(J3469&lt;&gt;1,"",IF(I3469="SBJ","CB","?"))</f>
        <v> </v>
      </c>
      <c r="I3469" s="26" t="str">
        <f>IF(OR(E3469="",E3469="!!!",F3469="NEW"),"",INDEX(B3468:B$2,-1+SUMPRODUCT(MAX(ROW(E3468:E$2)*(E3469=E3468:E$2)))))</f>
        <v> </v>
      </c>
      <c r="J3469" s="26" t="str">
        <f>IF(OR(E3469="",E3469="!!!",F3469="NEW"),"",COUNTBLANK(OFFSET(A$1,,,SUMPRODUCT(MAX(ROW(E$2:E3469)*(E3469=E$2:E3469)))))-COUNTBLANK(OFFSET(A$1,,,SUMPRODUCT(MAX(ROW(E$1:E3468)*(E2=E$1:E3468))))))</f>
        <v> </v>
      </c>
      <c r="K3469" s="26" t="str">
        <f>IF(OR(E3469="",E3469="!!!",F3469="NEW"),"",INDEX(J$1:J3468,SUMPRODUCT(MAX(ROW(E$1:E3468)*(E3469=E$1:E3468)))))</f>
        <v> </v>
      </c>
      <c r="L3469" s="27"/>
    </row>
    <row r="3470" spans="1:12">
      <c r="A3470" s="20" t="s">
        <v>854</v>
      </c>
      <c r="E3470" s="22">
        <f>IF(D3470="?OLD","!!!","")</f>
        <v/>
      </c>
      <c r="F3470" s="23" t="str">
        <f>IF(OR(E3470="",E3470="!!!"),"",IF(NOT(ISNA(VLOOKUP(E3470,E$1:E3469,1,FALSE()))),"OLD",IF(AND(E3470&lt;&gt;"",E3470&lt;&gt;"!!!"),"NEW","")))</f>
        <v> </v>
      </c>
      <c r="G3470" s="24" t="str">
        <f>IF(OR(E3470="",E3470="!!!"),"",IF(OR(J3470=0,AND(J3470=1,K3470=1),AND(J3470=1,I3470="SBJ"),AND(J3470=1,I3470=0)),"?IN_FOCUS",IF(J3470&lt;=2,"?ACTIVATED",IF(J3470&lt;&gt;"","?FAMILIAR",IF(F3470="NEW",IF(ISNA(VLOOKUP(E3470,#REF!,1,FALSE())),"?TYPE_IDENTIFIABLE","?REFERENTIAL"),"_")))))</f>
        <v> </v>
      </c>
      <c r="H3470" s="25" t="str">
        <f>IF(J3470&lt;&gt;1,"",IF(I3470="SBJ","CB","?"))</f>
        <v> </v>
      </c>
      <c r="I3470" s="26" t="str">
        <f>IF(OR(E3470="",E3470="!!!",F3470="NEW"),"",INDEX(B3469:B$2,-1+SUMPRODUCT(MAX(ROW(E3469:E$2)*(E3470=E3469:E$2)))))</f>
        <v> </v>
      </c>
      <c r="J3470" s="26" t="str">
        <f>IF(OR(E3470="",E3470="!!!",F3470="NEW"),"",COUNTBLANK(OFFSET(A$1,,,SUMPRODUCT(MAX(ROW(E$2:E3470)*(E3470=E$2:E3470)))))-COUNTBLANK(OFFSET(A$1,,,SUMPRODUCT(MAX(ROW(E$1:E3469)*(E2=E$1:E3469))))))</f>
        <v> </v>
      </c>
      <c r="K3470" s="26" t="str">
        <f>IF(OR(E3470="",E3470="!!!",F3470="NEW"),"",INDEX(J$1:J3469,SUMPRODUCT(MAX(ROW(E$1:E3469)*(E3470=E$1:E3469)))))</f>
        <v> </v>
      </c>
      <c r="L3470" s="27"/>
    </row>
    <row r="3471" spans="1:12">
      <c r="A3471" s="20" t="s">
        <v>1237</v>
      </c>
      <c r="E3471" s="22">
        <f>IF(D3471="?OLD","!!!","")</f>
        <v/>
      </c>
      <c r="F3471" s="23" t="str">
        <f>IF(OR(E3471="",E3471="!!!"),"",IF(NOT(ISNA(VLOOKUP(E3471,E$1:E3470,1,FALSE()))),"OLD",IF(AND(E3471&lt;&gt;"",E3471&lt;&gt;"!!!"),"NEW","")))</f>
        <v> </v>
      </c>
      <c r="G3471" s="24" t="str">
        <f>IF(OR(E3471="",E3471="!!!"),"",IF(OR(J3471=0,AND(J3471=1,K3471=1),AND(J3471=1,I3471="SBJ"),AND(J3471=1,I3471=0)),"?IN_FOCUS",IF(J3471&lt;=2,"?ACTIVATED",IF(J3471&lt;&gt;"","?FAMILIAR",IF(F3471="NEW",IF(ISNA(VLOOKUP(E3471,#REF!,1,FALSE())),"?TYPE_IDENTIFIABLE","?REFERENTIAL"),"_")))))</f>
        <v> </v>
      </c>
      <c r="H3471" s="25" t="str">
        <f>IF(J3471&lt;&gt;1,"",IF(I3471="SBJ","CB","?"))</f>
        <v> </v>
      </c>
      <c r="I3471" s="26" t="str">
        <f>IF(OR(E3471="",E3471="!!!",F3471="NEW"),"",INDEX(B3470:B$2,-1+SUMPRODUCT(MAX(ROW(E3470:E$2)*(E3471=E3470:E$2)))))</f>
        <v> </v>
      </c>
      <c r="J3471" s="26" t="str">
        <f>IF(OR(E3471="",E3471="!!!",F3471="NEW"),"",COUNTBLANK(OFFSET(A$1,,,SUMPRODUCT(MAX(ROW(E$2:E3471)*(E3471=E$2:E3471)))))-COUNTBLANK(OFFSET(A$1,,,SUMPRODUCT(MAX(ROW(E$1:E3470)*(E2=E$1:E3470))))))</f>
        <v> </v>
      </c>
      <c r="K3471" s="26" t="str">
        <f>IF(OR(E3471="",E3471="!!!",F3471="NEW"),"",INDEX(J$1:J3470,SUMPRODUCT(MAX(ROW(E$1:E3470)*(E3471=E$1:E3470)))))</f>
        <v> </v>
      </c>
      <c r="L3471" s="27"/>
    </row>
    <row r="3472" spans="1:12">
      <c r="A3472" s="20" t="s">
        <v>1934</v>
      </c>
      <c r="E3472" s="22">
        <f>IF(D3472="?OLD","!!!","")</f>
        <v/>
      </c>
      <c r="F3472" s="23" t="str">
        <f>IF(OR(E3472="",E3472="!!!"),"",IF(NOT(ISNA(VLOOKUP(E3472,E$1:E3471,1,FALSE()))),"OLD",IF(AND(E3472&lt;&gt;"",E3472&lt;&gt;"!!!"),"NEW","")))</f>
        <v> </v>
      </c>
      <c r="G3472" s="24" t="str">
        <f>IF(OR(E3472="",E3472="!!!"),"",IF(OR(J3472=0,AND(J3472=1,K3472=1),AND(J3472=1,I3472="SBJ"),AND(J3472=1,I3472=0)),"?IN_FOCUS",IF(J3472&lt;=2,"?ACTIVATED",IF(J3472&lt;&gt;"","?FAMILIAR",IF(F3472="NEW",IF(ISNA(VLOOKUP(E3472,#REF!,1,FALSE())),"?TYPE_IDENTIFIABLE","?REFERENTIAL"),"_")))))</f>
        <v> </v>
      </c>
      <c r="H3472" s="25" t="str">
        <f>IF(J3472&lt;&gt;1,"",IF(I3472="SBJ","CB","?"))</f>
        <v> </v>
      </c>
      <c r="I3472" s="26" t="str">
        <f>IF(OR(E3472="",E3472="!!!",F3472="NEW"),"",INDEX(B3471:B$2,-1+SUMPRODUCT(MAX(ROW(E3471:E$2)*(E3472=E3471:E$2)))))</f>
        <v> </v>
      </c>
      <c r="J3472" s="26" t="str">
        <f>IF(OR(E3472="",E3472="!!!",F3472="NEW"),"",COUNTBLANK(OFFSET(A$1,,,SUMPRODUCT(MAX(ROW(E$2:E3472)*(E3472=E$2:E3472)))))-COUNTBLANK(OFFSET(A$1,,,SUMPRODUCT(MAX(ROW(E$1:E3471)*(E2=E$1:E3471))))))</f>
        <v> </v>
      </c>
      <c r="K3472" s="26" t="str">
        <f>IF(OR(E3472="",E3472="!!!",F3472="NEW"),"",INDEX(J$1:J3471,SUMPRODUCT(MAX(ROW(E$1:E3471)*(E3472=E$1:E3471)))))</f>
        <v> </v>
      </c>
      <c r="L3472" s="27"/>
    </row>
    <row r="3473" spans="1:12">
      <c r="A3473" s="20" t="s">
        <v>899</v>
      </c>
      <c r="B3473" s="21" t="s">
        <v>796</v>
      </c>
      <c r="C3473" s="21" t="s">
        <v>729</v>
      </c>
      <c r="D3473" s="21" t="s">
        <v>730</v>
      </c>
      <c r="E3473" s="22">
        <f>IF(D3473="?OLD","!!!","")</f>
        <v/>
      </c>
      <c r="F3473" s="23" t="str">
        <f>IF(OR(E3473="",E3473="!!!"),"",IF(NOT(ISNA(VLOOKUP(E3473,E$1:E3472,1,FALSE()))),"OLD",IF(AND(E3473&lt;&gt;"",E3473&lt;&gt;"!!!"),"NEW","")))</f>
        <v> </v>
      </c>
      <c r="G3473" s="24" t="str">
        <f>IF(OR(E3473="",E3473="!!!"),"",IF(OR(J3473=0,AND(J3473=1,K3473=1),AND(J3473=1,I3473="SBJ"),AND(J3473=1,I3473=0)),"?IN_FOCUS",IF(J3473&lt;=2,"?ACTIVATED",IF(J3473&lt;&gt;"","?FAMILIAR",IF(F3473="NEW",IF(ISNA(VLOOKUP(E3473,#REF!,1,FALSE())),"?TYPE_IDENTIFIABLE","?REFERENTIAL"),"_")))))</f>
        <v> </v>
      </c>
      <c r="H3473" s="25" t="str">
        <f>IF(J3473&lt;&gt;1,"",IF(I3473="SBJ","CB","?"))</f>
        <v> </v>
      </c>
      <c r="I3473" s="26" t="str">
        <f>IF(OR(E3473="",E3473="!!!",F3473="NEW"),"",INDEX(B3472:B$2,-1+SUMPRODUCT(MAX(ROW(E3472:E$2)*(E3473=E3472:E$2)))))</f>
        <v> </v>
      </c>
      <c r="J3473" s="26" t="str">
        <f>IF(OR(E3473="",E3473="!!!",F3473="NEW"),"",COUNTBLANK(OFFSET(A$1,,,SUMPRODUCT(MAX(ROW(E$2:E3473)*(E3473=E$2:E3473)))))-COUNTBLANK(OFFSET(A$1,,,SUMPRODUCT(MAX(ROW(E$1:E3472)*(E2=E$1:E3472))))))</f>
        <v> </v>
      </c>
      <c r="K3473" s="26" t="str">
        <f>IF(OR(E3473="",E3473="!!!",F3473="NEW"),"",INDEX(J$1:J3472,SUMPRODUCT(MAX(ROW(E$1:E3472)*(E3473=E$1:E3472)))))</f>
        <v> </v>
      </c>
      <c r="L3473" s="27"/>
    </row>
    <row r="3474" spans="1:12">
      <c r="A3474" s="20" t="s">
        <v>1054</v>
      </c>
      <c r="E3474" s="22">
        <f>IF(D3474="?OLD","!!!","")</f>
        <v/>
      </c>
      <c r="F3474" s="23" t="str">
        <f>IF(OR(E3474="",E3474="!!!"),"",IF(NOT(ISNA(VLOOKUP(E3474,E$1:E3473,1,FALSE()))),"OLD",IF(AND(E3474&lt;&gt;"",E3474&lt;&gt;"!!!"),"NEW","")))</f>
        <v> </v>
      </c>
      <c r="G3474" s="24" t="str">
        <f>IF(OR(E3474="",E3474="!!!"),"",IF(OR(J3474=0,AND(J3474=1,K3474=1),AND(J3474=1,I3474="SBJ"),AND(J3474=1,I3474=0)),"?IN_FOCUS",IF(J3474&lt;=2,"?ACTIVATED",IF(J3474&lt;&gt;"","?FAMILIAR",IF(F3474="NEW",IF(ISNA(VLOOKUP(E3474,#REF!,1,FALSE())),"?TYPE_IDENTIFIABLE","?REFERENTIAL"),"_")))))</f>
        <v> </v>
      </c>
      <c r="H3474" s="25" t="str">
        <f>IF(J3474&lt;&gt;1,"",IF(I3474="SBJ","CB","?"))</f>
        <v> </v>
      </c>
      <c r="I3474" s="26" t="str">
        <f>IF(OR(E3474="",E3474="!!!",F3474="NEW"),"",INDEX(B3473:B$2,-1+SUMPRODUCT(MAX(ROW(E3473:E$2)*(E3474=E3473:E$2)))))</f>
        <v> </v>
      </c>
      <c r="J3474" s="26" t="str">
        <f>IF(OR(E3474="",E3474="!!!",F3474="NEW"),"",COUNTBLANK(OFFSET(A$1,,,SUMPRODUCT(MAX(ROW(E$2:E3474)*(E3474=E$2:E3474)))))-COUNTBLANK(OFFSET(A$1,,,SUMPRODUCT(MAX(ROW(E$1:E3473)*(E2=E$1:E3473))))))</f>
        <v> </v>
      </c>
      <c r="K3474" s="26" t="str">
        <f>IF(OR(E3474="",E3474="!!!",F3474="NEW"),"",INDEX(J$1:J3473,SUMPRODUCT(MAX(ROW(E$1:E3473)*(E3474=E$1:E3473)))))</f>
        <v> </v>
      </c>
      <c r="L3474" s="27"/>
    </row>
    <row r="3475" spans="1:12">
      <c r="A3475" s="20" t="s">
        <v>1935</v>
      </c>
      <c r="B3475" s="21" t="s">
        <v>791</v>
      </c>
      <c r="C3475" s="21" t="s">
        <v>737</v>
      </c>
      <c r="E3475" s="22">
        <f>IF(D3475="?OLD","!!!","")</f>
        <v/>
      </c>
      <c r="F3475" s="23" t="str">
        <f>IF(OR(E3475="",E3475="!!!"),"",IF(NOT(ISNA(VLOOKUP(E3475,E$1:E3474,1,FALSE()))),"OLD",IF(AND(E3475&lt;&gt;"",E3475&lt;&gt;"!!!"),"NEW","")))</f>
        <v> </v>
      </c>
      <c r="G3475" s="24" t="str">
        <f>IF(OR(E3475="",E3475="!!!"),"",IF(OR(J3475=0,AND(J3475=1,K3475=1),AND(J3475=1,I3475="SBJ"),AND(J3475=1,I3475=0)),"?IN_FOCUS",IF(J3475&lt;=2,"?ACTIVATED",IF(J3475&lt;&gt;"","?FAMILIAR",IF(F3475="NEW",IF(ISNA(VLOOKUP(E3475,#REF!,1,FALSE())),"?TYPE_IDENTIFIABLE","?REFERENTIAL"),"_")))))</f>
        <v> </v>
      </c>
      <c r="H3475" s="25" t="str">
        <f>IF(J3475&lt;&gt;1,"",IF(I3475="SBJ","CB","?"))</f>
        <v> </v>
      </c>
      <c r="I3475" s="26" t="str">
        <f>IF(OR(E3475="",E3475="!!!",F3475="NEW"),"",INDEX(B3474:B$2,-1+SUMPRODUCT(MAX(ROW(E3474:E$2)*(E3475=E3474:E$2)))))</f>
        <v> </v>
      </c>
      <c r="J3475" s="26" t="str">
        <f>IF(OR(E3475="",E3475="!!!",F3475="NEW"),"",COUNTBLANK(OFFSET(A$1,,,SUMPRODUCT(MAX(ROW(E$2:E3475)*(E3475=E$2:E3475)))))-COUNTBLANK(OFFSET(A$1,,,SUMPRODUCT(MAX(ROW(E$1:E3474)*(E2=E$1:E3474))))))</f>
        <v> </v>
      </c>
      <c r="K3475" s="26" t="str">
        <f>IF(OR(E3475="",E3475="!!!",F3475="NEW"),"",INDEX(J$1:J3474,SUMPRODUCT(MAX(ROW(E$1:E3474)*(E3475=E$1:E3474)))))</f>
        <v> </v>
      </c>
      <c r="L3475" s="27"/>
    </row>
    <row r="3476" spans="1:12">
      <c r="A3476" s="20" t="s">
        <v>246</v>
      </c>
      <c r="E3476" s="22">
        <f>IF(D3476="?OLD","!!!","")</f>
        <v/>
      </c>
      <c r="F3476" s="23" t="str">
        <f>IF(OR(E3476="",E3476="!!!"),"",IF(NOT(ISNA(VLOOKUP(E3476,E$1:E3475,1,FALSE()))),"OLD",IF(AND(E3476&lt;&gt;"",E3476&lt;&gt;"!!!"),"NEW","")))</f>
        <v> </v>
      </c>
      <c r="G3476" s="24" t="str">
        <f>IF(OR(E3476="",E3476="!!!"),"",IF(OR(J3476=0,AND(J3476=1,K3476=1),AND(J3476=1,I3476="SBJ"),AND(J3476=1,I3476=0)),"?IN_FOCUS",IF(J3476&lt;=2,"?ACTIVATED",IF(J3476&lt;&gt;"","?FAMILIAR",IF(F3476="NEW",IF(ISNA(VLOOKUP(E3476,#REF!,1,FALSE())),"?TYPE_IDENTIFIABLE","?REFERENTIAL"),"_")))))</f>
        <v> </v>
      </c>
      <c r="H3476" s="25" t="str">
        <f>IF(J3476&lt;&gt;1,"",IF(I3476="SBJ","CB","?"))</f>
        <v> </v>
      </c>
      <c r="I3476" s="26" t="str">
        <f>IF(OR(E3476="",E3476="!!!",F3476="NEW"),"",INDEX(B3475:B$2,-1+SUMPRODUCT(MAX(ROW(E3475:E$2)*(E3476=E3475:E$2)))))</f>
        <v> </v>
      </c>
      <c r="J3476" s="26" t="str">
        <f>IF(OR(E3476="",E3476="!!!",F3476="NEW"),"",COUNTBLANK(OFFSET(A$1,,,SUMPRODUCT(MAX(ROW(E$2:E3476)*(E3476=E$2:E3476)))))-COUNTBLANK(OFFSET(A$1,,,SUMPRODUCT(MAX(ROW(E$1:E3475)*(E2=E$1:E3475))))))</f>
        <v> </v>
      </c>
      <c r="K3476" s="26" t="str">
        <f>IF(OR(E3476="",E3476="!!!",F3476="NEW"),"",INDEX(J$1:J3475,SUMPRODUCT(MAX(ROW(E$1:E3475)*(E3476=E$1:E3475)))))</f>
        <v> </v>
      </c>
      <c r="L3476" s="27"/>
    </row>
    <row r="3477" spans="1:12">
      <c r="A3477" s="20"/>
    </row>
    <row r="3478" spans="1:12">
      <c r="A3478" s="20" t="s">
        <v>1936</v>
      </c>
    </row>
    <row r="3479" spans="1:12">
      <c r="A3479" s="20" t="s">
        <v>577</v>
      </c>
      <c r="E3479" s="22">
        <f>IF(D3479="?OLD","!!!","")</f>
        <v/>
      </c>
      <c r="F3479" s="23" t="str">
        <f>IF(OR(E3479="",E3479="!!!"),"",IF(NOT(ISNA(VLOOKUP(E3479,E$1:E3478,1,FALSE()))),"OLD",IF(AND(E3479&lt;&gt;"",E3479&lt;&gt;"!!!"),"NEW","")))</f>
        <v> </v>
      </c>
      <c r="G3479" s="24" t="str">
        <f>IF(OR(E3479="",E3479="!!!"),"",IF(OR(J3479=0,AND(J3479=1,K3479=1),AND(J3479=1,I3479="SBJ"),AND(J3479=1,I3479=0)),"?IN_FOCUS",IF(J3479&lt;=2,"?ACTIVATED",IF(J3479&lt;&gt;"","?FAMILIAR",IF(F3479="NEW",IF(ISNA(VLOOKUP(E3479,#REF!,1,FALSE())),"?TYPE_IDENTIFIABLE","?REFERENTIAL"),"_")))))</f>
        <v> </v>
      </c>
      <c r="H3479" s="25" t="str">
        <f>IF(J3479&lt;&gt;1,"",IF(I3479="SBJ","CB","?"))</f>
        <v> </v>
      </c>
      <c r="I3479" s="26" t="str">
        <f>IF(OR(E3479="",E3479="!!!",F3479="NEW"),"",INDEX(B3478:B$2,-1+SUMPRODUCT(MAX(ROW(E3478:E$2)*(E3479=E3478:E$2)))))</f>
        <v> </v>
      </c>
      <c r="J3479" s="26" t="str">
        <f>IF(OR(E3479="",E3479="!!!",F3479="NEW"),"",COUNTBLANK(OFFSET(A$1,,,SUMPRODUCT(MAX(ROW(E$2:E3479)*(E3479=E$2:E3479)))))-COUNTBLANK(OFFSET(A$1,,,SUMPRODUCT(MAX(ROW(E$1:E3478)*(E2=E$1:E3478))))))</f>
        <v> </v>
      </c>
      <c r="K3479" s="26" t="str">
        <f>IF(OR(E3479="",E3479="!!!",F3479="NEW"),"",INDEX(J$1:J3478,SUMPRODUCT(MAX(ROW(E$1:E3478)*(E3479=E$1:E3478)))))</f>
        <v> </v>
      </c>
      <c r="L3479" s="27"/>
    </row>
    <row r="3480" spans="1:12">
      <c r="A3480" s="20" t="s">
        <v>1937</v>
      </c>
      <c r="E3480" s="22">
        <f>IF(D3480="?OLD","!!!","")</f>
        <v/>
      </c>
      <c r="F3480" s="23" t="str">
        <f>IF(OR(E3480="",E3480="!!!"),"",IF(NOT(ISNA(VLOOKUP(E3480,E$1:E3479,1,FALSE()))),"OLD",IF(AND(E3480&lt;&gt;"",E3480&lt;&gt;"!!!"),"NEW","")))</f>
        <v> </v>
      </c>
      <c r="G3480" s="24" t="str">
        <f>IF(OR(E3480="",E3480="!!!"),"",IF(OR(J3480=0,AND(J3480=1,K3480=1),AND(J3480=1,I3480="SBJ"),AND(J3480=1,I3480=0)),"?IN_FOCUS",IF(J3480&lt;=2,"?ACTIVATED",IF(J3480&lt;&gt;"","?FAMILIAR",IF(F3480="NEW",IF(ISNA(VLOOKUP(E3480,#REF!,1,FALSE())),"?TYPE_IDENTIFIABLE","?REFERENTIAL"),"_")))))</f>
        <v> </v>
      </c>
      <c r="H3480" s="25" t="str">
        <f>IF(J3480&lt;&gt;1,"",IF(I3480="SBJ","CB","?"))</f>
        <v> </v>
      </c>
      <c r="I3480" s="26" t="str">
        <f>IF(OR(E3480="",E3480="!!!",F3480="NEW"),"",INDEX(B3479:B$2,-1+SUMPRODUCT(MAX(ROW(E3479:E$2)*(E3480=E3479:E$2)))))</f>
        <v> </v>
      </c>
      <c r="J3480" s="26" t="str">
        <f>IF(OR(E3480="",E3480="!!!",F3480="NEW"),"",COUNTBLANK(OFFSET(A$1,,,SUMPRODUCT(MAX(ROW(E$2:E3480)*(E3480=E$2:E3480)))))-COUNTBLANK(OFFSET(A$1,,,SUMPRODUCT(MAX(ROW(E$1:E3479)*(E2=E$1:E3479))))))</f>
        <v> </v>
      </c>
      <c r="K3480" s="26" t="str">
        <f>IF(OR(E3480="",E3480="!!!",F3480="NEW"),"",INDEX(J$1:J3479,SUMPRODUCT(MAX(ROW(E$1:E3479)*(E3480=E$1:E3479)))))</f>
        <v> </v>
      </c>
      <c r="L3480" s="27"/>
    </row>
    <row r="3481" spans="1:12">
      <c r="A3481" s="20" t="s">
        <v>1938</v>
      </c>
      <c r="B3481" s="21" t="s">
        <v>728</v>
      </c>
      <c r="C3481" s="21" t="s">
        <v>748</v>
      </c>
      <c r="E3481" s="22">
        <f>IF(D3481="?OLD","!!!","")</f>
        <v/>
      </c>
      <c r="F3481" s="23" t="str">
        <f>IF(OR(E3481="",E3481="!!!"),"",IF(NOT(ISNA(VLOOKUP(E3481,E$1:E3480,1,FALSE()))),"OLD",IF(AND(E3481&lt;&gt;"",E3481&lt;&gt;"!!!"),"NEW","")))</f>
        <v> </v>
      </c>
      <c r="G3481" s="24" t="str">
        <f>IF(OR(E3481="",E3481="!!!"),"",IF(OR(J3481=0,AND(J3481=1,K3481=1),AND(J3481=1,I3481="SBJ"),AND(J3481=1,I3481=0)),"?IN_FOCUS",IF(J3481&lt;=2,"?ACTIVATED",IF(J3481&lt;&gt;"","?FAMILIAR",IF(F3481="NEW",IF(ISNA(VLOOKUP(E3481,#REF!,1,FALSE())),"?TYPE_IDENTIFIABLE","?REFERENTIAL"),"_")))))</f>
        <v> </v>
      </c>
      <c r="H3481" s="25" t="str">
        <f>IF(J3481&lt;&gt;1,"",IF(I3481="SBJ","CB","?"))</f>
        <v> </v>
      </c>
      <c r="I3481" s="26" t="str">
        <f>IF(OR(E3481="",E3481="!!!",F3481="NEW"),"",INDEX(B3480:B$2,-1+SUMPRODUCT(MAX(ROW(E3480:E$2)*(E3481=E3480:E$2)))))</f>
        <v> </v>
      </c>
      <c r="J3481" s="26" t="str">
        <f>IF(OR(E3481="",E3481="!!!",F3481="NEW"),"",COUNTBLANK(OFFSET(A$1,,,SUMPRODUCT(MAX(ROW(E$2:E3481)*(E3481=E$2:E3481)))))-COUNTBLANK(OFFSET(A$1,,,SUMPRODUCT(MAX(ROW(E$1:E3480)*(E2=E$1:E3480))))))</f>
        <v> </v>
      </c>
      <c r="K3481" s="26" t="str">
        <f>IF(OR(E3481="",E3481="!!!",F3481="NEW"),"",INDEX(J$1:J3480,SUMPRODUCT(MAX(ROW(E$1:E3480)*(E3481=E$1:E3480)))))</f>
        <v> </v>
      </c>
      <c r="L3481" s="27"/>
    </row>
    <row r="3482" spans="1:12">
      <c r="A3482" s="20" t="s">
        <v>759</v>
      </c>
      <c r="E3482" s="22">
        <f>IF(D3482="?OLD","!!!","")</f>
        <v/>
      </c>
      <c r="F3482" s="23" t="str">
        <f>IF(OR(E3482="",E3482="!!!"),"",IF(NOT(ISNA(VLOOKUP(E3482,E$1:E3481,1,FALSE()))),"OLD",IF(AND(E3482&lt;&gt;"",E3482&lt;&gt;"!!!"),"NEW","")))</f>
        <v> </v>
      </c>
      <c r="G3482" s="24" t="str">
        <f>IF(OR(E3482="",E3482="!!!"),"",IF(OR(J3482=0,AND(J3482=1,K3482=1),AND(J3482=1,I3482="SBJ"),AND(J3482=1,I3482=0)),"?IN_FOCUS",IF(J3482&lt;=2,"?ACTIVATED",IF(J3482&lt;&gt;"","?FAMILIAR",IF(F3482="NEW",IF(ISNA(VLOOKUP(E3482,#REF!,1,FALSE())),"?TYPE_IDENTIFIABLE","?REFERENTIAL"),"_")))))</f>
        <v> </v>
      </c>
      <c r="H3482" s="25" t="str">
        <f>IF(J3482&lt;&gt;1,"",IF(I3482="SBJ","CB","?"))</f>
        <v> </v>
      </c>
      <c r="I3482" s="26" t="str">
        <f>IF(OR(E3482="",E3482="!!!",F3482="NEW"),"",INDEX(B3481:B$2,-1+SUMPRODUCT(MAX(ROW(E3481:E$2)*(E3482=E3481:E$2)))))</f>
        <v> </v>
      </c>
      <c r="J3482" s="26" t="str">
        <f>IF(OR(E3482="",E3482="!!!",F3482="NEW"),"",COUNTBLANK(OFFSET(A$1,,,SUMPRODUCT(MAX(ROW(E$2:E3482)*(E3482=E$2:E3482)))))-COUNTBLANK(OFFSET(A$1,,,SUMPRODUCT(MAX(ROW(E$1:E3481)*(E2=E$1:E3481))))))</f>
        <v> </v>
      </c>
      <c r="K3482" s="26" t="str">
        <f>IF(OR(E3482="",E3482="!!!",F3482="NEW"),"",INDEX(J$1:J3481,SUMPRODUCT(MAX(ROW(E$1:E3481)*(E3482=E$1:E3481)))))</f>
        <v> </v>
      </c>
      <c r="L3482" s="27"/>
    </row>
    <row r="3483" spans="1:12">
      <c r="A3483" s="20" t="s">
        <v>776</v>
      </c>
      <c r="E3483" s="22">
        <f>IF(D3483="?OLD","!!!","")</f>
        <v/>
      </c>
      <c r="F3483" s="23" t="str">
        <f>IF(OR(E3483="",E3483="!!!"),"",IF(NOT(ISNA(VLOOKUP(E3483,E$1:E3482,1,FALSE()))),"OLD",IF(AND(E3483&lt;&gt;"",E3483&lt;&gt;"!!!"),"NEW","")))</f>
        <v> </v>
      </c>
      <c r="G3483" s="24" t="str">
        <f>IF(OR(E3483="",E3483="!!!"),"",IF(OR(J3483=0,AND(J3483=1,K3483=1),AND(J3483=1,I3483="SBJ"),AND(J3483=1,I3483=0)),"?IN_FOCUS",IF(J3483&lt;=2,"?ACTIVATED",IF(J3483&lt;&gt;"","?FAMILIAR",IF(F3483="NEW",IF(ISNA(VLOOKUP(E3483,#REF!,1,FALSE())),"?TYPE_IDENTIFIABLE","?REFERENTIAL"),"_")))))</f>
        <v> </v>
      </c>
      <c r="H3483" s="25" t="str">
        <f>IF(J3483&lt;&gt;1,"",IF(I3483="SBJ","CB","?"))</f>
        <v> </v>
      </c>
      <c r="I3483" s="26" t="str">
        <f>IF(OR(E3483="",E3483="!!!",F3483="NEW"),"",INDEX(B3482:B$2,-1+SUMPRODUCT(MAX(ROW(E3482:E$2)*(E3483=E3482:E$2)))))</f>
        <v> </v>
      </c>
      <c r="J3483" s="26" t="str">
        <f>IF(OR(E3483="",E3483="!!!",F3483="NEW"),"",COUNTBLANK(OFFSET(A$1,,,SUMPRODUCT(MAX(ROW(E$2:E3483)*(E3483=E$2:E3483)))))-COUNTBLANK(OFFSET(A$1,,,SUMPRODUCT(MAX(ROW(E$1:E3482)*(E2=E$1:E3482))))))</f>
        <v> </v>
      </c>
      <c r="K3483" s="26" t="str">
        <f>IF(OR(E3483="",E3483="!!!",F3483="NEW"),"",INDEX(J$1:J3482,SUMPRODUCT(MAX(ROW(E$1:E3482)*(E3483=E$1:E3482)))))</f>
        <v> </v>
      </c>
      <c r="L3483" s="27"/>
    </row>
    <row r="3484" spans="1:12">
      <c r="A3484" s="20" t="s">
        <v>1939</v>
      </c>
      <c r="B3484" s="21" t="s">
        <v>788</v>
      </c>
      <c r="C3484" s="21" t="s">
        <v>753</v>
      </c>
      <c r="D3484" s="21" t="s">
        <v>730</v>
      </c>
      <c r="E3484" s="22">
        <f>IF(D3484="?OLD","!!!","")</f>
        <v/>
      </c>
      <c r="F3484" s="23" t="str">
        <f>IF(OR(E3484="",E3484="!!!"),"",IF(NOT(ISNA(VLOOKUP(E3484,E$1:E3483,1,FALSE()))),"OLD",IF(AND(E3484&lt;&gt;"",E3484&lt;&gt;"!!!"),"NEW","")))</f>
        <v> </v>
      </c>
      <c r="G3484" s="24" t="str">
        <f>IF(OR(E3484="",E3484="!!!"),"",IF(OR(J3484=0,AND(J3484=1,K3484=1),AND(J3484=1,I3484="SBJ"),AND(J3484=1,I3484=0)),"?IN_FOCUS",IF(J3484&lt;=2,"?ACTIVATED",IF(J3484&lt;&gt;"","?FAMILIAR",IF(F3484="NEW",IF(ISNA(VLOOKUP(E3484,#REF!,1,FALSE())),"?TYPE_IDENTIFIABLE","?REFERENTIAL"),"_")))))</f>
        <v> </v>
      </c>
      <c r="H3484" s="25" t="str">
        <f>IF(J3484&lt;&gt;1,"",IF(I3484="SBJ","CB","?"))</f>
        <v> </v>
      </c>
      <c r="I3484" s="26" t="str">
        <f>IF(OR(E3484="",E3484="!!!",F3484="NEW"),"",INDEX(B3483:B$2,-1+SUMPRODUCT(MAX(ROW(E3483:E$2)*(E3484=E3483:E$2)))))</f>
        <v> </v>
      </c>
      <c r="J3484" s="26" t="str">
        <f>IF(OR(E3484="",E3484="!!!",F3484="NEW"),"",COUNTBLANK(OFFSET(A$1,,,SUMPRODUCT(MAX(ROW(E$2:E3484)*(E3484=E$2:E3484)))))-COUNTBLANK(OFFSET(A$1,,,SUMPRODUCT(MAX(ROW(E$1:E3483)*(E2=E$1:E3483))))))</f>
        <v> </v>
      </c>
      <c r="K3484" s="26" t="str">
        <f>IF(OR(E3484="",E3484="!!!",F3484="NEW"),"",INDEX(J$1:J3483,SUMPRODUCT(MAX(ROW(E$1:E3483)*(E3484=E$1:E3483)))))</f>
        <v> </v>
      </c>
      <c r="L3484" s="27"/>
    </row>
    <row r="3485" spans="1:12">
      <c r="A3485" s="20" t="s">
        <v>1940</v>
      </c>
      <c r="E3485" s="22">
        <f>IF(D3485="?OLD","!!!","")</f>
        <v/>
      </c>
      <c r="F3485" s="23" t="str">
        <f>IF(OR(E3485="",E3485="!!!"),"",IF(NOT(ISNA(VLOOKUP(E3485,E$1:E3484,1,FALSE()))),"OLD",IF(AND(E3485&lt;&gt;"",E3485&lt;&gt;"!!!"),"NEW","")))</f>
        <v> </v>
      </c>
      <c r="G3485" s="24" t="str">
        <f>IF(OR(E3485="",E3485="!!!"),"",IF(OR(J3485=0,AND(J3485=1,K3485=1),AND(J3485=1,I3485="SBJ"),AND(J3485=1,I3485=0)),"?IN_FOCUS",IF(J3485&lt;=2,"?ACTIVATED",IF(J3485&lt;&gt;"","?FAMILIAR",IF(F3485="NEW",IF(ISNA(VLOOKUP(E3485,#REF!,1,FALSE())),"?TYPE_IDENTIFIABLE","?REFERENTIAL"),"_")))))</f>
        <v> </v>
      </c>
      <c r="H3485" s="25" t="str">
        <f>IF(J3485&lt;&gt;1,"",IF(I3485="SBJ","CB","?"))</f>
        <v> </v>
      </c>
      <c r="I3485" s="26" t="str">
        <f>IF(OR(E3485="",E3485="!!!",F3485="NEW"),"",INDEX(B3484:B$2,-1+SUMPRODUCT(MAX(ROW(E3484:E$2)*(E3485=E3484:E$2)))))</f>
        <v> </v>
      </c>
      <c r="J3485" s="26" t="str">
        <f>IF(OR(E3485="",E3485="!!!",F3485="NEW"),"",COUNTBLANK(OFFSET(A$1,,,SUMPRODUCT(MAX(ROW(E$2:E3485)*(E3485=E$2:E3485)))))-COUNTBLANK(OFFSET(A$1,,,SUMPRODUCT(MAX(ROW(E$1:E3484)*(E2=E$1:E3484))))))</f>
        <v> </v>
      </c>
      <c r="K3485" s="26" t="str">
        <f>IF(OR(E3485="",E3485="!!!",F3485="NEW"),"",INDEX(J$1:J3484,SUMPRODUCT(MAX(ROW(E$1:E3484)*(E3485=E$1:E3484)))))</f>
        <v> </v>
      </c>
      <c r="L3485" s="27"/>
    </row>
    <row r="3486" spans="1:12">
      <c r="A3486" s="20" t="s">
        <v>759</v>
      </c>
      <c r="E3486" s="22">
        <f>IF(D3486="?OLD","!!!","")</f>
        <v/>
      </c>
      <c r="F3486" s="23" t="str">
        <f>IF(OR(E3486="",E3486="!!!"),"",IF(NOT(ISNA(VLOOKUP(E3486,E$1:E3485,1,FALSE()))),"OLD",IF(AND(E3486&lt;&gt;"",E3486&lt;&gt;"!!!"),"NEW","")))</f>
        <v> </v>
      </c>
      <c r="G3486" s="24" t="str">
        <f>IF(OR(E3486="",E3486="!!!"),"",IF(OR(J3486=0,AND(J3486=1,K3486=1),AND(J3486=1,I3486="SBJ"),AND(J3486=1,I3486=0)),"?IN_FOCUS",IF(J3486&lt;=2,"?ACTIVATED",IF(J3486&lt;&gt;"","?FAMILIAR",IF(F3486="NEW",IF(ISNA(VLOOKUP(E3486,#REF!,1,FALSE())),"?TYPE_IDENTIFIABLE","?REFERENTIAL"),"_")))))</f>
        <v> </v>
      </c>
      <c r="H3486" s="25" t="str">
        <f>IF(J3486&lt;&gt;1,"",IF(I3486="SBJ","CB","?"))</f>
        <v> </v>
      </c>
      <c r="I3486" s="26" t="str">
        <f>IF(OR(E3486="",E3486="!!!",F3486="NEW"),"",INDEX(B3485:B$2,-1+SUMPRODUCT(MAX(ROW(E3485:E$2)*(E3486=E3485:E$2)))))</f>
        <v> </v>
      </c>
      <c r="J3486" s="26" t="str">
        <f>IF(OR(E3486="",E3486="!!!",F3486="NEW"),"",COUNTBLANK(OFFSET(A$1,,,SUMPRODUCT(MAX(ROW(E$2:E3486)*(E3486=E$2:E3486)))))-COUNTBLANK(OFFSET(A$1,,,SUMPRODUCT(MAX(ROW(E$1:E3485)*(E2=E$1:E3485))))))</f>
        <v> </v>
      </c>
      <c r="K3486" s="26" t="str">
        <f>IF(OR(E3486="",E3486="!!!",F3486="NEW"),"",INDEX(J$1:J3485,SUMPRODUCT(MAX(ROW(E$1:E3485)*(E3486=E$1:E3485)))))</f>
        <v> </v>
      </c>
      <c r="L3486" s="27"/>
    </row>
    <row r="3487" spans="1:12">
      <c r="A3487" s="20" t="s">
        <v>948</v>
      </c>
      <c r="E3487" s="22">
        <f>IF(D3487="?OLD","!!!","")</f>
        <v/>
      </c>
      <c r="F3487" s="23" t="str">
        <f>IF(OR(E3487="",E3487="!!!"),"",IF(NOT(ISNA(VLOOKUP(E3487,E$1:E3486,1,FALSE()))),"OLD",IF(AND(E3487&lt;&gt;"",E3487&lt;&gt;"!!!"),"NEW","")))</f>
        <v> </v>
      </c>
      <c r="G3487" s="24" t="str">
        <f>IF(OR(E3487="",E3487="!!!"),"",IF(OR(J3487=0,AND(J3487=1,K3487=1),AND(J3487=1,I3487="SBJ"),AND(J3487=1,I3487=0)),"?IN_FOCUS",IF(J3487&lt;=2,"?ACTIVATED",IF(J3487&lt;&gt;"","?FAMILIAR",IF(F3487="NEW",IF(ISNA(VLOOKUP(E3487,#REF!,1,FALSE())),"?TYPE_IDENTIFIABLE","?REFERENTIAL"),"_")))))</f>
        <v> </v>
      </c>
      <c r="H3487" s="25" t="str">
        <f>IF(J3487&lt;&gt;1,"",IF(I3487="SBJ","CB","?"))</f>
        <v> </v>
      </c>
      <c r="I3487" s="26" t="str">
        <f>IF(OR(E3487="",E3487="!!!",F3487="NEW"),"",INDEX(B3486:B$2,-1+SUMPRODUCT(MAX(ROW(E3486:E$2)*(E3487=E3486:E$2)))))</f>
        <v> </v>
      </c>
      <c r="J3487" s="26" t="str">
        <f>IF(OR(E3487="",E3487="!!!",F3487="NEW"),"",COUNTBLANK(OFFSET(A$1,,,SUMPRODUCT(MAX(ROW(E$2:E3487)*(E3487=E$2:E3487)))))-COUNTBLANK(OFFSET(A$1,,,SUMPRODUCT(MAX(ROW(E$1:E3486)*(E2=E$1:E3486))))))</f>
        <v> </v>
      </c>
      <c r="K3487" s="26" t="str">
        <f>IF(OR(E3487="",E3487="!!!",F3487="NEW"),"",INDEX(J$1:J3486,SUMPRODUCT(MAX(ROW(E$1:E3486)*(E3487=E$1:E3486)))))</f>
        <v> </v>
      </c>
      <c r="L3487" s="27"/>
    </row>
    <row r="3488" spans="1:12">
      <c r="A3488" s="20" t="s">
        <v>1115</v>
      </c>
      <c r="E3488" s="22">
        <f>IF(D3488="?OLD","!!!","")</f>
        <v/>
      </c>
      <c r="F3488" s="23" t="str">
        <f>IF(OR(E3488="",E3488="!!!"),"",IF(NOT(ISNA(VLOOKUP(E3488,E$1:E3487,1,FALSE()))),"OLD",IF(AND(E3488&lt;&gt;"",E3488&lt;&gt;"!!!"),"NEW","")))</f>
        <v> </v>
      </c>
      <c r="G3488" s="24" t="str">
        <f>IF(OR(E3488="",E3488="!!!"),"",IF(OR(J3488=0,AND(J3488=1,K3488=1),AND(J3488=1,I3488="SBJ"),AND(J3488=1,I3488=0)),"?IN_FOCUS",IF(J3488&lt;=2,"?ACTIVATED",IF(J3488&lt;&gt;"","?FAMILIAR",IF(F3488="NEW",IF(ISNA(VLOOKUP(E3488,#REF!,1,FALSE())),"?TYPE_IDENTIFIABLE","?REFERENTIAL"),"_")))))</f>
        <v> </v>
      </c>
      <c r="H3488" s="25" t="str">
        <f>IF(J3488&lt;&gt;1,"",IF(I3488="SBJ","CB","?"))</f>
        <v> </v>
      </c>
      <c r="I3488" s="26" t="str">
        <f>IF(OR(E3488="",E3488="!!!",F3488="NEW"),"",INDEX(B3487:B$2,-1+SUMPRODUCT(MAX(ROW(E3487:E$2)*(E3488=E3487:E$2)))))</f>
        <v> </v>
      </c>
      <c r="J3488" s="26" t="str">
        <f>IF(OR(E3488="",E3488="!!!",F3488="NEW"),"",COUNTBLANK(OFFSET(A$1,,,SUMPRODUCT(MAX(ROW(E$2:E3488)*(E3488=E$2:E3488)))))-COUNTBLANK(OFFSET(A$1,,,SUMPRODUCT(MAX(ROW(E$1:E3487)*(E2=E$1:E3487))))))</f>
        <v> </v>
      </c>
      <c r="K3488" s="26" t="str">
        <f>IF(OR(E3488="",E3488="!!!",F3488="NEW"),"",INDEX(J$1:J3487,SUMPRODUCT(MAX(ROW(E$1:E3487)*(E3488=E$1:E3487)))))</f>
        <v> </v>
      </c>
      <c r="L3488" s="27"/>
    </row>
    <row r="3489" spans="1:12">
      <c r="A3489" s="20" t="s">
        <v>1941</v>
      </c>
      <c r="E3489" s="22">
        <f>IF(D3489="?OLD","!!!","")</f>
        <v/>
      </c>
      <c r="F3489" s="23" t="str">
        <f>IF(OR(E3489="",E3489="!!!"),"",IF(NOT(ISNA(VLOOKUP(E3489,E$1:E3488,1,FALSE()))),"OLD",IF(AND(E3489&lt;&gt;"",E3489&lt;&gt;"!!!"),"NEW","")))</f>
        <v> </v>
      </c>
      <c r="G3489" s="24" t="str">
        <f>IF(OR(E3489="",E3489="!!!"),"",IF(OR(J3489=0,AND(J3489=1,K3489=1),AND(J3489=1,I3489="SBJ"),AND(J3489=1,I3489=0)),"?IN_FOCUS",IF(J3489&lt;=2,"?ACTIVATED",IF(J3489&lt;&gt;"","?FAMILIAR",IF(F3489="NEW",IF(ISNA(VLOOKUP(E3489,#REF!,1,FALSE())),"?TYPE_IDENTIFIABLE","?REFERENTIAL"),"_")))))</f>
        <v> </v>
      </c>
      <c r="H3489" s="25" t="str">
        <f>IF(J3489&lt;&gt;1,"",IF(I3489="SBJ","CB","?"))</f>
        <v> </v>
      </c>
      <c r="I3489" s="26" t="str">
        <f>IF(OR(E3489="",E3489="!!!",F3489="NEW"),"",INDEX(B3488:B$2,-1+SUMPRODUCT(MAX(ROW(E3488:E$2)*(E3489=E3488:E$2)))))</f>
        <v> </v>
      </c>
      <c r="J3489" s="26" t="str">
        <f>IF(OR(E3489="",E3489="!!!",F3489="NEW"),"",COUNTBLANK(OFFSET(A$1,,,SUMPRODUCT(MAX(ROW(E$2:E3489)*(E3489=E$2:E3489)))))-COUNTBLANK(OFFSET(A$1,,,SUMPRODUCT(MAX(ROW(E$1:E3488)*(E2=E$1:E3488))))))</f>
        <v> </v>
      </c>
      <c r="K3489" s="26" t="str">
        <f>IF(OR(E3489="",E3489="!!!",F3489="NEW"),"",INDEX(J$1:J3488,SUMPRODUCT(MAX(ROW(E$1:E3488)*(E3489=E$1:E3488)))))</f>
        <v> </v>
      </c>
      <c r="L3489" s="27"/>
    </row>
    <row r="3490" spans="1:12">
      <c r="A3490" s="20" t="s">
        <v>686</v>
      </c>
      <c r="B3490" s="21" t="s">
        <v>736</v>
      </c>
      <c r="C3490" s="21" t="s">
        <v>748</v>
      </c>
      <c r="E3490" s="22">
        <f>IF(D3490="?OLD","!!!","")</f>
        <v/>
      </c>
      <c r="F3490" s="23" t="str">
        <f>IF(OR(E3490="",E3490="!!!"),"",IF(NOT(ISNA(VLOOKUP(E3490,E$1:E3489,1,FALSE()))),"OLD",IF(AND(E3490&lt;&gt;"",E3490&lt;&gt;"!!!"),"NEW","")))</f>
        <v> </v>
      </c>
      <c r="G3490" s="24" t="str">
        <f>IF(OR(E3490="",E3490="!!!"),"",IF(OR(J3490=0,AND(J3490=1,K3490=1),AND(J3490=1,I3490="SBJ"),AND(J3490=1,I3490=0)),"?IN_FOCUS",IF(J3490&lt;=2,"?ACTIVATED",IF(J3490&lt;&gt;"","?FAMILIAR",IF(F3490="NEW",IF(ISNA(VLOOKUP(E3490,#REF!,1,FALSE())),"?TYPE_IDENTIFIABLE","?REFERENTIAL"),"_")))))</f>
        <v> </v>
      </c>
      <c r="H3490" s="25" t="str">
        <f>IF(J3490&lt;&gt;1,"",IF(I3490="SBJ","CB","?"))</f>
        <v> </v>
      </c>
      <c r="I3490" s="26" t="str">
        <f>IF(OR(E3490="",E3490="!!!",F3490="NEW"),"",INDEX(B3489:B$2,-1+SUMPRODUCT(MAX(ROW(E3489:E$2)*(E3490=E3489:E$2)))))</f>
        <v> </v>
      </c>
      <c r="J3490" s="26" t="str">
        <f>IF(OR(E3490="",E3490="!!!",F3490="NEW"),"",COUNTBLANK(OFFSET(A$1,,,SUMPRODUCT(MAX(ROW(E$2:E3490)*(E3490=E$2:E3490)))))-COUNTBLANK(OFFSET(A$1,,,SUMPRODUCT(MAX(ROW(E$1:E3489)*(E2=E$1:E3489))))))</f>
        <v> </v>
      </c>
      <c r="K3490" s="26" t="str">
        <f>IF(OR(E3490="",E3490="!!!",F3490="NEW"),"",INDEX(J$1:J3489,SUMPRODUCT(MAX(ROW(E$1:E3489)*(E3490=E$1:E3489)))))</f>
        <v> </v>
      </c>
      <c r="L3490" s="27"/>
    </row>
    <row r="3491" spans="1:12">
      <c r="A3491" s="20" t="s">
        <v>697</v>
      </c>
      <c r="E3491" s="22">
        <f>IF(D3491="?OLD","!!!","")</f>
        <v/>
      </c>
      <c r="F3491" s="23" t="str">
        <f>IF(OR(E3491="",E3491="!!!"),"",IF(NOT(ISNA(VLOOKUP(E3491,E$1:E3490,1,FALSE()))),"OLD",IF(AND(E3491&lt;&gt;"",E3491&lt;&gt;"!!!"),"NEW","")))</f>
        <v> </v>
      </c>
      <c r="G3491" s="24" t="str">
        <f>IF(OR(E3491="",E3491="!!!"),"",IF(OR(J3491=0,AND(J3491=1,K3491=1),AND(J3491=1,I3491="SBJ"),AND(J3491=1,I3491=0)),"?IN_FOCUS",IF(J3491&lt;=2,"?ACTIVATED",IF(J3491&lt;&gt;"","?FAMILIAR",IF(F3491="NEW",IF(ISNA(VLOOKUP(E3491,#REF!,1,FALSE())),"?TYPE_IDENTIFIABLE","?REFERENTIAL"),"_")))))</f>
        <v> </v>
      </c>
      <c r="H3491" s="25" t="str">
        <f>IF(J3491&lt;&gt;1,"",IF(I3491="SBJ","CB","?"))</f>
        <v> </v>
      </c>
      <c r="I3491" s="26" t="str">
        <f>IF(OR(E3491="",E3491="!!!",F3491="NEW"),"",INDEX(B3490:B$2,-1+SUMPRODUCT(MAX(ROW(E3490:E$2)*(E3491=E3490:E$2)))))</f>
        <v> </v>
      </c>
      <c r="J3491" s="26" t="str">
        <f>IF(OR(E3491="",E3491="!!!",F3491="NEW"),"",COUNTBLANK(OFFSET(A$1,,,SUMPRODUCT(MAX(ROW(E$2:E3491)*(E3491=E$2:E3491)))))-COUNTBLANK(OFFSET(A$1,,,SUMPRODUCT(MAX(ROW(E$1:E3490)*(E2=E$1:E3490))))))</f>
        <v> </v>
      </c>
      <c r="K3491" s="26" t="str">
        <f>IF(OR(E3491="",E3491="!!!",F3491="NEW"),"",INDEX(J$1:J3490,SUMPRODUCT(MAX(ROW(E$1:E3490)*(E3491=E$1:E3490)))))</f>
        <v> </v>
      </c>
      <c r="L3491" s="27"/>
    </row>
    <row r="3492" spans="1:12">
      <c r="A3492" s="20" t="s">
        <v>246</v>
      </c>
      <c r="E3492" s="22">
        <f>IF(D3492="?OLD","!!!","")</f>
        <v/>
      </c>
      <c r="F3492" s="23" t="str">
        <f>IF(OR(E3492="",E3492="!!!"),"",IF(NOT(ISNA(VLOOKUP(E3492,E$1:E3491,1,FALSE()))),"OLD",IF(AND(E3492&lt;&gt;"",E3492&lt;&gt;"!!!"),"NEW","")))</f>
        <v> </v>
      </c>
      <c r="G3492" s="24" t="str">
        <f>IF(OR(E3492="",E3492="!!!"),"",IF(OR(J3492=0,AND(J3492=1,K3492=1),AND(J3492=1,I3492="SBJ"),AND(J3492=1,I3492=0)),"?IN_FOCUS",IF(J3492&lt;=2,"?ACTIVATED",IF(J3492&lt;&gt;"","?FAMILIAR",IF(F3492="NEW",IF(ISNA(VLOOKUP(E3492,#REF!,1,FALSE())),"?TYPE_IDENTIFIABLE","?REFERENTIAL"),"_")))))</f>
        <v> </v>
      </c>
      <c r="H3492" s="25" t="str">
        <f>IF(J3492&lt;&gt;1,"",IF(I3492="SBJ","CB","?"))</f>
        <v> </v>
      </c>
      <c r="I3492" s="26" t="str">
        <f>IF(OR(E3492="",E3492="!!!",F3492="NEW"),"",INDEX(B3491:B$2,-1+SUMPRODUCT(MAX(ROW(E3491:E$2)*(E3492=E3491:E$2)))))</f>
        <v> </v>
      </c>
      <c r="J3492" s="26" t="str">
        <f>IF(OR(E3492="",E3492="!!!",F3492="NEW"),"",COUNTBLANK(OFFSET(A$1,,,SUMPRODUCT(MAX(ROW(E$2:E3492)*(E3492=E$2:E3492)))))-COUNTBLANK(OFFSET(A$1,,,SUMPRODUCT(MAX(ROW(E$1:E3491)*(E2=E$1:E3491))))))</f>
        <v> </v>
      </c>
      <c r="K3492" s="26" t="str">
        <f>IF(OR(E3492="",E3492="!!!",F3492="NEW"),"",INDEX(J$1:J3491,SUMPRODUCT(MAX(ROW(E$1:E3491)*(E3492=E$1:E3491)))))</f>
        <v> </v>
      </c>
      <c r="L3492" s="27"/>
    </row>
    <row r="3493" spans="1:12">
      <c r="A3493" s="20"/>
    </row>
    <row r="3494" spans="1:12">
      <c r="A3494" s="20" t="s">
        <v>1942</v>
      </c>
    </row>
    <row r="3495" spans="1:12">
      <c r="A3495" s="20" t="s">
        <v>1446</v>
      </c>
      <c r="B3495" s="21" t="s">
        <v>728</v>
      </c>
      <c r="C3495" s="21" t="s">
        <v>756</v>
      </c>
      <c r="E3495" s="22">
        <f>IF(D3495="?OLD","!!!","")</f>
        <v/>
      </c>
      <c r="F3495" s="23" t="str">
        <f>IF(OR(E3495="",E3495="!!!"),"",IF(NOT(ISNA(VLOOKUP(E3495,E$1:E3494,1,FALSE()))),"OLD",IF(AND(E3495&lt;&gt;"",E3495&lt;&gt;"!!!"),"NEW","")))</f>
        <v> </v>
      </c>
      <c r="G3495" s="24" t="str">
        <f>IF(OR(E3495="",E3495="!!!"),"",IF(OR(J3495=0,AND(J3495=1,K3495=1),AND(J3495=1,I3495="SBJ"),AND(J3495=1,I3495=0)),"?IN_FOCUS",IF(J3495&lt;=2,"?ACTIVATED",IF(J3495&lt;&gt;"","?FAMILIAR",IF(F3495="NEW",IF(ISNA(VLOOKUP(E3495,#REF!,1,FALSE())),"?TYPE_IDENTIFIABLE","?REFERENTIAL"),"_")))))</f>
        <v> </v>
      </c>
      <c r="H3495" s="25" t="str">
        <f>IF(J3495&lt;&gt;1,"",IF(I3495="SBJ","CB","?"))</f>
        <v> </v>
      </c>
      <c r="I3495" s="26" t="str">
        <f>IF(OR(E3495="",E3495="!!!",F3495="NEW"),"",INDEX(B3494:B$2,-1+SUMPRODUCT(MAX(ROW(E3494:E$2)*(E3495=E3494:E$2)))))</f>
        <v> </v>
      </c>
      <c r="J3495" s="26" t="str">
        <f>IF(OR(E3495="",E3495="!!!",F3495="NEW"),"",COUNTBLANK(OFFSET(A$1,,,SUMPRODUCT(MAX(ROW(E$2:E3495)*(E3495=E$2:E3495)))))-COUNTBLANK(OFFSET(A$1,,,SUMPRODUCT(MAX(ROW(E$1:E3494)*(E2=E$1:E3494))))))</f>
        <v> </v>
      </c>
      <c r="K3495" s="26" t="str">
        <f>IF(OR(E3495="",E3495="!!!",F3495="NEW"),"",INDEX(J$1:J3494,SUMPRODUCT(MAX(ROW(E$1:E3494)*(E3495=E$1:E3494)))))</f>
        <v> </v>
      </c>
      <c r="L3495" s="27"/>
    </row>
    <row r="3496" spans="1:12">
      <c r="A3496" s="20" t="s">
        <v>1226</v>
      </c>
      <c r="E3496" s="22">
        <f>IF(D3496="?OLD","!!!","")</f>
        <v/>
      </c>
      <c r="F3496" s="23" t="str">
        <f>IF(OR(E3496="",E3496="!!!"),"",IF(NOT(ISNA(VLOOKUP(E3496,E$1:E3495,1,FALSE()))),"OLD",IF(AND(E3496&lt;&gt;"",E3496&lt;&gt;"!!!"),"NEW","")))</f>
        <v> </v>
      </c>
      <c r="G3496" s="24" t="str">
        <f>IF(OR(E3496="",E3496="!!!"),"",IF(OR(J3496=0,AND(J3496=1,K3496=1),AND(J3496=1,I3496="SBJ"),AND(J3496=1,I3496=0)),"?IN_FOCUS",IF(J3496&lt;=2,"?ACTIVATED",IF(J3496&lt;&gt;"","?FAMILIAR",IF(F3496="NEW",IF(ISNA(VLOOKUP(E3496,#REF!,1,FALSE())),"?TYPE_IDENTIFIABLE","?REFERENTIAL"),"_")))))</f>
        <v> </v>
      </c>
      <c r="H3496" s="25" t="str">
        <f>IF(J3496&lt;&gt;1,"",IF(I3496="SBJ","CB","?"))</f>
        <v> </v>
      </c>
      <c r="I3496" s="26" t="str">
        <f>IF(OR(E3496="",E3496="!!!",F3496="NEW"),"",INDEX(B3495:B$2,-1+SUMPRODUCT(MAX(ROW(E3495:E$2)*(E3496=E3495:E$2)))))</f>
        <v> </v>
      </c>
      <c r="J3496" s="26" t="str">
        <f>IF(OR(E3496="",E3496="!!!",F3496="NEW"),"",COUNTBLANK(OFFSET(A$1,,,SUMPRODUCT(MAX(ROW(E$2:E3496)*(E3496=E$2:E3496)))))-COUNTBLANK(OFFSET(A$1,,,SUMPRODUCT(MAX(ROW(E$1:E3495)*(E2=E$1:E3495))))))</f>
        <v> </v>
      </c>
      <c r="K3496" s="26" t="str">
        <f>IF(OR(E3496="",E3496="!!!",F3496="NEW"),"",INDEX(J$1:J3495,SUMPRODUCT(MAX(ROW(E$1:E3495)*(E3496=E$1:E3495)))))</f>
        <v> </v>
      </c>
      <c r="L3496" s="27"/>
    </row>
    <row r="3497" spans="1:12">
      <c r="A3497" s="20" t="s">
        <v>1943</v>
      </c>
      <c r="E3497" s="22">
        <f>IF(D3497="?OLD","!!!","")</f>
        <v/>
      </c>
      <c r="F3497" s="23" t="str">
        <f>IF(OR(E3497="",E3497="!!!"),"",IF(NOT(ISNA(VLOOKUP(E3497,E$1:E3496,1,FALSE()))),"OLD",IF(AND(E3497&lt;&gt;"",E3497&lt;&gt;"!!!"),"NEW","")))</f>
        <v> </v>
      </c>
      <c r="G3497" s="24" t="str">
        <f>IF(OR(E3497="",E3497="!!!"),"",IF(OR(J3497=0,AND(J3497=1,K3497=1),AND(J3497=1,I3497="SBJ"),AND(J3497=1,I3497=0)),"?IN_FOCUS",IF(J3497&lt;=2,"?ACTIVATED",IF(J3497&lt;&gt;"","?FAMILIAR",IF(F3497="NEW",IF(ISNA(VLOOKUP(E3497,#REF!,1,FALSE())),"?TYPE_IDENTIFIABLE","?REFERENTIAL"),"_")))))</f>
        <v> </v>
      </c>
      <c r="H3497" s="25" t="str">
        <f>IF(J3497&lt;&gt;1,"",IF(I3497="SBJ","CB","?"))</f>
        <v> </v>
      </c>
      <c r="I3497" s="26" t="str">
        <f>IF(OR(E3497="",E3497="!!!",F3497="NEW"),"",INDEX(B3496:B$2,-1+SUMPRODUCT(MAX(ROW(E3496:E$2)*(E3497=E3496:E$2)))))</f>
        <v> </v>
      </c>
      <c r="J3497" s="26" t="str">
        <f>IF(OR(E3497="",E3497="!!!",F3497="NEW"),"",COUNTBLANK(OFFSET(A$1,,,SUMPRODUCT(MAX(ROW(E$2:E3497)*(E3497=E$2:E3497)))))-COUNTBLANK(OFFSET(A$1,,,SUMPRODUCT(MAX(ROW(E$1:E3496)*(E2=E$1:E3496))))))</f>
        <v> </v>
      </c>
      <c r="K3497" s="26" t="str">
        <f>IF(OR(E3497="",E3497="!!!",F3497="NEW"),"",INDEX(J$1:J3496,SUMPRODUCT(MAX(ROW(E$1:E3496)*(E3497=E$1:E3496)))))</f>
        <v> </v>
      </c>
      <c r="L3497" s="27"/>
    </row>
    <row r="3498" spans="1:12">
      <c r="A3498" s="20" t="s">
        <v>106</v>
      </c>
      <c r="E3498" s="22">
        <f>IF(D3498="?OLD","!!!","")</f>
        <v/>
      </c>
      <c r="F3498" s="23" t="str">
        <f>IF(OR(E3498="",E3498="!!!"),"",IF(NOT(ISNA(VLOOKUP(E3498,E$1:E3497,1,FALSE()))),"OLD",IF(AND(E3498&lt;&gt;"",E3498&lt;&gt;"!!!"),"NEW","")))</f>
        <v> </v>
      </c>
      <c r="G3498" s="24" t="str">
        <f>IF(OR(E3498="",E3498="!!!"),"",IF(OR(J3498=0,AND(J3498=1,K3498=1),AND(J3498=1,I3498="SBJ"),AND(J3498=1,I3498=0)),"?IN_FOCUS",IF(J3498&lt;=2,"?ACTIVATED",IF(J3498&lt;&gt;"","?FAMILIAR",IF(F3498="NEW",IF(ISNA(VLOOKUP(E3498,#REF!,1,FALSE())),"?TYPE_IDENTIFIABLE","?REFERENTIAL"),"_")))))</f>
        <v> </v>
      </c>
      <c r="H3498" s="25" t="str">
        <f>IF(J3498&lt;&gt;1,"",IF(I3498="SBJ","CB","?"))</f>
        <v> </v>
      </c>
      <c r="I3498" s="26" t="str">
        <f>IF(OR(E3498="",E3498="!!!",F3498="NEW"),"",INDEX(B3497:B$2,-1+SUMPRODUCT(MAX(ROW(E3497:E$2)*(E3498=E3497:E$2)))))</f>
        <v> </v>
      </c>
      <c r="J3498" s="26" t="str">
        <f>IF(OR(E3498="",E3498="!!!",F3498="NEW"),"",COUNTBLANK(OFFSET(A$1,,,SUMPRODUCT(MAX(ROW(E$2:E3498)*(E3498=E$2:E3498)))))-COUNTBLANK(OFFSET(A$1,,,SUMPRODUCT(MAX(ROW(E$1:E3497)*(E2=E$1:E3497))))))</f>
        <v> </v>
      </c>
      <c r="K3498" s="26" t="str">
        <f>IF(OR(E3498="",E3498="!!!",F3498="NEW"),"",INDEX(J$1:J3497,SUMPRODUCT(MAX(ROW(E$1:E3497)*(E3498=E$1:E3497)))))</f>
        <v> </v>
      </c>
      <c r="L3498" s="27"/>
    </row>
    <row r="3499" spans="1:12">
      <c r="A3499" s="20" t="s">
        <v>759</v>
      </c>
      <c r="E3499" s="22">
        <f>IF(D3499="?OLD","!!!","")</f>
        <v/>
      </c>
      <c r="F3499" s="23" t="str">
        <f>IF(OR(E3499="",E3499="!!!"),"",IF(NOT(ISNA(VLOOKUP(E3499,E$1:E3498,1,FALSE()))),"OLD",IF(AND(E3499&lt;&gt;"",E3499&lt;&gt;"!!!"),"NEW","")))</f>
        <v> </v>
      </c>
      <c r="G3499" s="24" t="str">
        <f>IF(OR(E3499="",E3499="!!!"),"",IF(OR(J3499=0,AND(J3499=1,K3499=1),AND(J3499=1,I3499="SBJ"),AND(J3499=1,I3499=0)),"?IN_FOCUS",IF(J3499&lt;=2,"?ACTIVATED",IF(J3499&lt;&gt;"","?FAMILIAR",IF(F3499="NEW",IF(ISNA(VLOOKUP(E3499,#REF!,1,FALSE())),"?TYPE_IDENTIFIABLE","?REFERENTIAL"),"_")))))</f>
        <v> </v>
      </c>
      <c r="H3499" s="25" t="str">
        <f>IF(J3499&lt;&gt;1,"",IF(I3499="SBJ","CB","?"))</f>
        <v> </v>
      </c>
      <c r="I3499" s="26" t="str">
        <f>IF(OR(E3499="",E3499="!!!",F3499="NEW"),"",INDEX(B3498:B$2,-1+SUMPRODUCT(MAX(ROW(E3498:E$2)*(E3499=E3498:E$2)))))</f>
        <v> </v>
      </c>
      <c r="J3499" s="26" t="str">
        <f>IF(OR(E3499="",E3499="!!!",F3499="NEW"),"",COUNTBLANK(OFFSET(A$1,,,SUMPRODUCT(MAX(ROW(E$2:E3499)*(E3499=E$2:E3499)))))-COUNTBLANK(OFFSET(A$1,,,SUMPRODUCT(MAX(ROW(E$1:E3498)*(E2=E$1:E3498))))))</f>
        <v> </v>
      </c>
      <c r="K3499" s="26" t="str">
        <f>IF(OR(E3499="",E3499="!!!",F3499="NEW"),"",INDEX(J$1:J3498,SUMPRODUCT(MAX(ROW(E$1:E3498)*(E3499=E$1:E3498)))))</f>
        <v> </v>
      </c>
      <c r="L3499" s="27"/>
    </row>
    <row r="3500" spans="1:12">
      <c r="A3500" s="20" t="s">
        <v>1713</v>
      </c>
      <c r="B3500" s="21" t="s">
        <v>755</v>
      </c>
      <c r="C3500" s="21" t="s">
        <v>789</v>
      </c>
      <c r="D3500" s="21" t="s">
        <v>730</v>
      </c>
      <c r="E3500" s="22">
        <f>IF(D3500="?OLD","!!!","")</f>
        <v/>
      </c>
      <c r="F3500" s="23" t="str">
        <f>IF(OR(E3500="",E3500="!!!"),"",IF(NOT(ISNA(VLOOKUP(E3500,E$1:E3499,1,FALSE()))),"OLD",IF(AND(E3500&lt;&gt;"",E3500&lt;&gt;"!!!"),"NEW","")))</f>
        <v> </v>
      </c>
      <c r="G3500" s="24" t="str">
        <f>IF(OR(E3500="",E3500="!!!"),"",IF(OR(J3500=0,AND(J3500=1,K3500=1),AND(J3500=1,I3500="SBJ"),AND(J3500=1,I3500=0)),"?IN_FOCUS",IF(J3500&lt;=2,"?ACTIVATED",IF(J3500&lt;&gt;"","?FAMILIAR",IF(F3500="NEW",IF(ISNA(VLOOKUP(E3500,#REF!,1,FALSE())),"?TYPE_IDENTIFIABLE","?REFERENTIAL"),"_")))))</f>
        <v> </v>
      </c>
      <c r="H3500" s="25" t="str">
        <f>IF(J3500&lt;&gt;1,"",IF(I3500="SBJ","CB","?"))</f>
        <v> </v>
      </c>
      <c r="I3500" s="26" t="str">
        <f>IF(OR(E3500="",E3500="!!!",F3500="NEW"),"",INDEX(B3499:B$2,-1+SUMPRODUCT(MAX(ROW(E3499:E$2)*(E3500=E3499:E$2)))))</f>
        <v> </v>
      </c>
      <c r="J3500" s="26" t="str">
        <f>IF(OR(E3500="",E3500="!!!",F3500="NEW"),"",COUNTBLANK(OFFSET(A$1,,,SUMPRODUCT(MAX(ROW(E$2:E3500)*(E3500=E$2:E3500)))))-COUNTBLANK(OFFSET(A$1,,,SUMPRODUCT(MAX(ROW(E$1:E3499)*(E2=E$1:E3499))))))</f>
        <v> </v>
      </c>
      <c r="K3500" s="26" t="str">
        <f>IF(OR(E3500="",E3500="!!!",F3500="NEW"),"",INDEX(J$1:J3499,SUMPRODUCT(MAX(ROW(E$1:E3499)*(E3500=E$1:E3499)))))</f>
        <v> </v>
      </c>
      <c r="L3500" s="27"/>
    </row>
    <row r="3501" spans="1:12">
      <c r="A3501" s="20" t="s">
        <v>1927</v>
      </c>
      <c r="B3501" s="21" t="s">
        <v>791</v>
      </c>
      <c r="C3501" s="21" t="s">
        <v>801</v>
      </c>
      <c r="E3501" s="22">
        <f>IF(D3501="?OLD","!!!","")</f>
        <v/>
      </c>
      <c r="F3501" s="23" t="str">
        <f>IF(OR(E3501="",E3501="!!!"),"",IF(NOT(ISNA(VLOOKUP(E3501,E$1:E3500,1,FALSE()))),"OLD",IF(AND(E3501&lt;&gt;"",E3501&lt;&gt;"!!!"),"NEW","")))</f>
        <v> </v>
      </c>
      <c r="G3501" s="24" t="str">
        <f>IF(OR(E3501="",E3501="!!!"),"",IF(OR(J3501=0,AND(J3501=1,K3501=1),AND(J3501=1,I3501="SBJ"),AND(J3501=1,I3501=0)),"?IN_FOCUS",IF(J3501&lt;=2,"?ACTIVATED",IF(J3501&lt;&gt;"","?FAMILIAR",IF(F3501="NEW",IF(ISNA(VLOOKUP(E3501,#REF!,1,FALSE())),"?TYPE_IDENTIFIABLE","?REFERENTIAL"),"_")))))</f>
        <v> </v>
      </c>
      <c r="H3501" s="25" t="str">
        <f>IF(J3501&lt;&gt;1,"",IF(I3501="SBJ","CB","?"))</f>
        <v> </v>
      </c>
      <c r="I3501" s="26" t="str">
        <f>IF(OR(E3501="",E3501="!!!",F3501="NEW"),"",INDEX(B3500:B$2,-1+SUMPRODUCT(MAX(ROW(E3500:E$2)*(E3501=E3500:E$2)))))</f>
        <v> </v>
      </c>
      <c r="J3501" s="26" t="str">
        <f>IF(OR(E3501="",E3501="!!!",F3501="NEW"),"",COUNTBLANK(OFFSET(A$1,,,SUMPRODUCT(MAX(ROW(E$2:E3501)*(E3501=E$2:E3501)))))-COUNTBLANK(OFFSET(A$1,,,SUMPRODUCT(MAX(ROW(E$1:E3500)*(E2=E$1:E3500))))))</f>
        <v> </v>
      </c>
      <c r="K3501" s="26" t="str">
        <f>IF(OR(E3501="",E3501="!!!",F3501="NEW"),"",INDEX(J$1:J3500,SUMPRODUCT(MAX(ROW(E$1:E3500)*(E3501=E$1:E3500)))))</f>
        <v> </v>
      </c>
      <c r="L3501" s="27"/>
    </row>
    <row r="3502" spans="1:12">
      <c r="A3502" s="20" t="s">
        <v>742</v>
      </c>
      <c r="E3502" s="22">
        <f>IF(D3502="?OLD","!!!","")</f>
        <v/>
      </c>
      <c r="F3502" s="23" t="str">
        <f>IF(OR(E3502="",E3502="!!!"),"",IF(NOT(ISNA(VLOOKUP(E3502,E$1:E3501,1,FALSE()))),"OLD",IF(AND(E3502&lt;&gt;"",E3502&lt;&gt;"!!!"),"NEW","")))</f>
        <v> </v>
      </c>
      <c r="G3502" s="24" t="str">
        <f>IF(OR(E3502="",E3502="!!!"),"",IF(OR(J3502=0,AND(J3502=1,K3502=1),AND(J3502=1,I3502="SBJ"),AND(J3502=1,I3502=0)),"?IN_FOCUS",IF(J3502&lt;=2,"?ACTIVATED",IF(J3502&lt;&gt;"","?FAMILIAR",IF(F3502="NEW",IF(ISNA(VLOOKUP(E3502,#REF!,1,FALSE())),"?TYPE_IDENTIFIABLE","?REFERENTIAL"),"_")))))</f>
        <v> </v>
      </c>
      <c r="H3502" s="25" t="str">
        <f>IF(J3502&lt;&gt;1,"",IF(I3502="SBJ","CB","?"))</f>
        <v> </v>
      </c>
      <c r="I3502" s="26" t="str">
        <f>IF(OR(E3502="",E3502="!!!",F3502="NEW"),"",INDEX(B3501:B$2,-1+SUMPRODUCT(MAX(ROW(E3501:E$2)*(E3502=E3501:E$2)))))</f>
        <v> </v>
      </c>
      <c r="J3502" s="26" t="str">
        <f>IF(OR(E3502="",E3502="!!!",F3502="NEW"),"",COUNTBLANK(OFFSET(A$1,,,SUMPRODUCT(MAX(ROW(E$2:E3502)*(E3502=E$2:E3502)))))-COUNTBLANK(OFFSET(A$1,,,SUMPRODUCT(MAX(ROW(E$1:E3501)*(E2=E$1:E3501))))))</f>
        <v> </v>
      </c>
      <c r="K3502" s="26" t="str">
        <f>IF(OR(E3502="",E3502="!!!",F3502="NEW"),"",INDEX(J$1:J3501,SUMPRODUCT(MAX(ROW(E$1:E3501)*(E3502=E$1:E3501)))))</f>
        <v> </v>
      </c>
      <c r="L3502" s="27"/>
    </row>
    <row r="3503" spans="1:12">
      <c r="A3503" s="20" t="s">
        <v>804</v>
      </c>
      <c r="E3503" s="22">
        <f>IF(D3503="?OLD","!!!","")</f>
        <v/>
      </c>
      <c r="F3503" s="23" t="str">
        <f>IF(OR(E3503="",E3503="!!!"),"",IF(NOT(ISNA(VLOOKUP(E3503,E$1:E3502,1,FALSE()))),"OLD",IF(AND(E3503&lt;&gt;"",E3503&lt;&gt;"!!!"),"NEW","")))</f>
        <v> </v>
      </c>
      <c r="G3503" s="24" t="str">
        <f>IF(OR(E3503="",E3503="!!!"),"",IF(OR(J3503=0,AND(J3503=1,K3503=1),AND(J3503=1,I3503="SBJ"),AND(J3503=1,I3503=0)),"?IN_FOCUS",IF(J3503&lt;=2,"?ACTIVATED",IF(J3503&lt;&gt;"","?FAMILIAR",IF(F3503="NEW",IF(ISNA(VLOOKUP(E3503,#REF!,1,FALSE())),"?TYPE_IDENTIFIABLE","?REFERENTIAL"),"_")))))</f>
        <v> </v>
      </c>
      <c r="H3503" s="25" t="str">
        <f>IF(J3503&lt;&gt;1,"",IF(I3503="SBJ","CB","?"))</f>
        <v> </v>
      </c>
      <c r="I3503" s="26" t="str">
        <f>IF(OR(E3503="",E3503="!!!",F3503="NEW"),"",INDEX(B3502:B$2,-1+SUMPRODUCT(MAX(ROW(E3502:E$2)*(E3503=E3502:E$2)))))</f>
        <v> </v>
      </c>
      <c r="J3503" s="26" t="str">
        <f>IF(OR(E3503="",E3503="!!!",F3503="NEW"),"",COUNTBLANK(OFFSET(A$1,,,SUMPRODUCT(MAX(ROW(E$2:E3503)*(E3503=E$2:E3503)))))-COUNTBLANK(OFFSET(A$1,,,SUMPRODUCT(MAX(ROW(E$1:E3502)*(E2=E$1:E3502))))))</f>
        <v> </v>
      </c>
      <c r="K3503" s="26" t="str">
        <f>IF(OR(E3503="",E3503="!!!",F3503="NEW"),"",INDEX(J$1:J3502,SUMPRODUCT(MAX(ROW(E$1:E3502)*(E3503=E$1:E3502)))))</f>
        <v> </v>
      </c>
      <c r="L3503" s="27"/>
    </row>
    <row r="3504" spans="1:12">
      <c r="A3504" s="20" t="s">
        <v>754</v>
      </c>
      <c r="E3504" s="22">
        <f>IF(D3504="?OLD","!!!","")</f>
        <v/>
      </c>
      <c r="F3504" s="23" t="str">
        <f>IF(OR(E3504="",E3504="!!!"),"",IF(NOT(ISNA(VLOOKUP(E3504,E$1:E3503,1,FALSE()))),"OLD",IF(AND(E3504&lt;&gt;"",E3504&lt;&gt;"!!!"),"NEW","")))</f>
        <v> </v>
      </c>
      <c r="G3504" s="24" t="str">
        <f>IF(OR(E3504="",E3504="!!!"),"",IF(OR(J3504=0,AND(J3504=1,K3504=1),AND(J3504=1,I3504="SBJ"),AND(J3504=1,I3504=0)),"?IN_FOCUS",IF(J3504&lt;=2,"?ACTIVATED",IF(J3504&lt;&gt;"","?FAMILIAR",IF(F3504="NEW",IF(ISNA(VLOOKUP(E3504,#REF!,1,FALSE())),"?TYPE_IDENTIFIABLE","?REFERENTIAL"),"_")))))</f>
        <v> </v>
      </c>
      <c r="H3504" s="25" t="str">
        <f>IF(J3504&lt;&gt;1,"",IF(I3504="SBJ","CB","?"))</f>
        <v> </v>
      </c>
      <c r="I3504" s="26" t="str">
        <f>IF(OR(E3504="",E3504="!!!",F3504="NEW"),"",INDEX(B3503:B$2,-1+SUMPRODUCT(MAX(ROW(E3503:E$2)*(E3504=E3503:E$2)))))</f>
        <v> </v>
      </c>
      <c r="J3504" s="26" t="str">
        <f>IF(OR(E3504="",E3504="!!!",F3504="NEW"),"",COUNTBLANK(OFFSET(A$1,,,SUMPRODUCT(MAX(ROW(E$2:E3504)*(E3504=E$2:E3504)))))-COUNTBLANK(OFFSET(A$1,,,SUMPRODUCT(MAX(ROW(E$1:E3503)*(E2=E$1:E3503))))))</f>
        <v> </v>
      </c>
      <c r="K3504" s="26" t="str">
        <f>IF(OR(E3504="",E3504="!!!",F3504="NEW"),"",INDEX(J$1:J3503,SUMPRODUCT(MAX(ROW(E$1:E3503)*(E3504=E$1:E3503)))))</f>
        <v> </v>
      </c>
      <c r="L3504" s="27"/>
    </row>
    <row r="3505" spans="1:12">
      <c r="A3505" s="20" t="s">
        <v>69</v>
      </c>
      <c r="E3505" s="22">
        <f>IF(D3505="?OLD","!!!","")</f>
        <v/>
      </c>
      <c r="F3505" s="23" t="str">
        <f>IF(OR(E3505="",E3505="!!!"),"",IF(NOT(ISNA(VLOOKUP(E3505,E$1:E3504,1,FALSE()))),"OLD",IF(AND(E3505&lt;&gt;"",E3505&lt;&gt;"!!!"),"NEW","")))</f>
        <v> </v>
      </c>
      <c r="G3505" s="24" t="str">
        <f>IF(OR(E3505="",E3505="!!!"),"",IF(OR(J3505=0,AND(J3505=1,K3505=1),AND(J3505=1,I3505="SBJ"),AND(J3505=1,I3505=0)),"?IN_FOCUS",IF(J3505&lt;=2,"?ACTIVATED",IF(J3505&lt;&gt;"","?FAMILIAR",IF(F3505="NEW",IF(ISNA(VLOOKUP(E3505,#REF!,1,FALSE())),"?TYPE_IDENTIFIABLE","?REFERENTIAL"),"_")))))</f>
        <v> </v>
      </c>
      <c r="H3505" s="25" t="str">
        <f>IF(J3505&lt;&gt;1,"",IF(I3505="SBJ","CB","?"))</f>
        <v> </v>
      </c>
      <c r="I3505" s="26" t="str">
        <f>IF(OR(E3505="",E3505="!!!",F3505="NEW"),"",INDEX(B3504:B$2,-1+SUMPRODUCT(MAX(ROW(E3504:E$2)*(E3505=E3504:E$2)))))</f>
        <v> </v>
      </c>
      <c r="J3505" s="26" t="str">
        <f>IF(OR(E3505="",E3505="!!!",F3505="NEW"),"",COUNTBLANK(OFFSET(A$1,,,SUMPRODUCT(MAX(ROW(E$2:E3505)*(E3505=E$2:E3505)))))-COUNTBLANK(OFFSET(A$1,,,SUMPRODUCT(MAX(ROW(E$1:E3504)*(E2=E$1:E3504))))))</f>
        <v> </v>
      </c>
      <c r="K3505" s="26" t="str">
        <f>IF(OR(E3505="",E3505="!!!",F3505="NEW"),"",INDEX(J$1:J3504,SUMPRODUCT(MAX(ROW(E$1:E3504)*(E3505=E$1:E3504)))))</f>
        <v> </v>
      </c>
      <c r="L3505" s="27"/>
    </row>
    <row r="3506" spans="1:12">
      <c r="A3506" s="20" t="s">
        <v>246</v>
      </c>
      <c r="E3506" s="22">
        <f>IF(D3506="?OLD","!!!","")</f>
        <v/>
      </c>
      <c r="F3506" s="23" t="str">
        <f>IF(OR(E3506="",E3506="!!!"),"",IF(NOT(ISNA(VLOOKUP(E3506,E$1:E3505,1,FALSE()))),"OLD",IF(AND(E3506&lt;&gt;"",E3506&lt;&gt;"!!!"),"NEW","")))</f>
        <v> </v>
      </c>
      <c r="G3506" s="24" t="str">
        <f>IF(OR(E3506="",E3506="!!!"),"",IF(OR(J3506=0,AND(J3506=1,K3506=1),AND(J3506=1,I3506="SBJ"),AND(J3506=1,I3506=0)),"?IN_FOCUS",IF(J3506&lt;=2,"?ACTIVATED",IF(J3506&lt;&gt;"","?FAMILIAR",IF(F3506="NEW",IF(ISNA(VLOOKUP(E3506,#REF!,1,FALSE())),"?TYPE_IDENTIFIABLE","?REFERENTIAL"),"_")))))</f>
        <v> </v>
      </c>
      <c r="H3506" s="25" t="str">
        <f>IF(J3506&lt;&gt;1,"",IF(I3506="SBJ","CB","?"))</f>
        <v> </v>
      </c>
      <c r="I3506" s="26" t="str">
        <f>IF(OR(E3506="",E3506="!!!",F3506="NEW"),"",INDEX(B3505:B$2,-1+SUMPRODUCT(MAX(ROW(E3505:E$2)*(E3506=E3505:E$2)))))</f>
        <v> </v>
      </c>
      <c r="J3506" s="26" t="str">
        <f>IF(OR(E3506="",E3506="!!!",F3506="NEW"),"",COUNTBLANK(OFFSET(A$1,,,SUMPRODUCT(MAX(ROW(E$2:E3506)*(E3506=E$2:E3506)))))-COUNTBLANK(OFFSET(A$1,,,SUMPRODUCT(MAX(ROW(E$1:E3505)*(E2=E$1:E3505))))))</f>
        <v> </v>
      </c>
      <c r="K3506" s="26" t="str">
        <f>IF(OR(E3506="",E3506="!!!",F3506="NEW"),"",INDEX(J$1:J3505,SUMPRODUCT(MAX(ROW(E$1:E3505)*(E3506=E$1:E3505)))))</f>
        <v> </v>
      </c>
      <c r="L3506" s="27"/>
    </row>
    <row r="3507" spans="1:12">
      <c r="A3507" s="20"/>
    </row>
    <row r="3508" spans="1:12">
      <c r="A3508" s="20" t="s">
        <v>1944</v>
      </c>
    </row>
    <row r="3509" spans="1:12">
      <c r="A3509" s="20" t="s">
        <v>883</v>
      </c>
      <c r="B3509" s="21" t="s">
        <v>728</v>
      </c>
      <c r="C3509" s="21" t="s">
        <v>801</v>
      </c>
      <c r="D3509" s="21" t="s">
        <v>730</v>
      </c>
      <c r="E3509" s="22">
        <f>IF(D3509="?OLD","!!!","")</f>
        <v/>
      </c>
      <c r="F3509" s="23" t="str">
        <f>IF(OR(E3509="",E3509="!!!"),"",IF(NOT(ISNA(VLOOKUP(E3509,E$1:E3508,1,FALSE()))),"OLD",IF(AND(E3509&lt;&gt;"",E3509&lt;&gt;"!!!"),"NEW","")))</f>
        <v> </v>
      </c>
      <c r="G3509" s="24" t="str">
        <f>IF(OR(E3509="",E3509="!!!"),"",IF(OR(J3509=0,AND(J3509=1,K3509=1),AND(J3509=1,I3509="SBJ"),AND(J3509=1,I3509=0)),"?IN_FOCUS",IF(J3509&lt;=2,"?ACTIVATED",IF(J3509&lt;&gt;"","?FAMILIAR",IF(F3509="NEW",IF(ISNA(VLOOKUP(E3509,#REF!,1,FALSE())),"?TYPE_IDENTIFIABLE","?REFERENTIAL"),"_")))))</f>
        <v> </v>
      </c>
      <c r="H3509" s="25" t="str">
        <f>IF(J3509&lt;&gt;1,"",IF(I3509="SBJ","CB","?"))</f>
        <v> </v>
      </c>
      <c r="I3509" s="26" t="str">
        <f>IF(OR(E3509="",E3509="!!!",F3509="NEW"),"",INDEX(B3508:B$2,-1+SUMPRODUCT(MAX(ROW(E3508:E$2)*(E3509=E3508:E$2)))))</f>
        <v> </v>
      </c>
      <c r="J3509" s="26" t="str">
        <f>IF(OR(E3509="",E3509="!!!",F3509="NEW"),"",COUNTBLANK(OFFSET(A$1,,,SUMPRODUCT(MAX(ROW(E$2:E3509)*(E3509=E$2:E3509)))))-COUNTBLANK(OFFSET(A$1,,,SUMPRODUCT(MAX(ROW(E$1:E3508)*(E2=E$1:E3508))))))</f>
        <v> </v>
      </c>
      <c r="K3509" s="26" t="str">
        <f>IF(OR(E3509="",E3509="!!!",F3509="NEW"),"",INDEX(J$1:J3508,SUMPRODUCT(MAX(ROW(E$1:E3508)*(E3509=E$1:E3508)))))</f>
        <v> </v>
      </c>
      <c r="L3509" s="27"/>
    </row>
    <row r="3510" spans="1:12">
      <c r="A3510" s="20" t="s">
        <v>1087</v>
      </c>
      <c r="E3510" s="22">
        <f>IF(D3510="?OLD","!!!","")</f>
        <v/>
      </c>
      <c r="F3510" s="23" t="str">
        <f>IF(OR(E3510="",E3510="!!!"),"",IF(NOT(ISNA(VLOOKUP(E3510,E$1:E3509,1,FALSE()))),"OLD",IF(AND(E3510&lt;&gt;"",E3510&lt;&gt;"!!!"),"NEW","")))</f>
        <v> </v>
      </c>
      <c r="G3510" s="24" t="str">
        <f>IF(OR(E3510="",E3510="!!!"),"",IF(OR(J3510=0,AND(J3510=1,K3510=1),AND(J3510=1,I3510="SBJ"),AND(J3510=1,I3510=0)),"?IN_FOCUS",IF(J3510&lt;=2,"?ACTIVATED",IF(J3510&lt;&gt;"","?FAMILIAR",IF(F3510="NEW",IF(ISNA(VLOOKUP(E3510,#REF!,1,FALSE())),"?TYPE_IDENTIFIABLE","?REFERENTIAL"),"_")))))</f>
        <v> </v>
      </c>
      <c r="H3510" s="25" t="str">
        <f>IF(J3510&lt;&gt;1,"",IF(I3510="SBJ","CB","?"))</f>
        <v> </v>
      </c>
      <c r="I3510" s="26" t="str">
        <f>IF(OR(E3510="",E3510="!!!",F3510="NEW"),"",INDEX(B3509:B$2,-1+SUMPRODUCT(MAX(ROW(E3509:E$2)*(E3510=E3509:E$2)))))</f>
        <v> </v>
      </c>
      <c r="J3510" s="26" t="str">
        <f>IF(OR(E3510="",E3510="!!!",F3510="NEW"),"",COUNTBLANK(OFFSET(A$1,,,SUMPRODUCT(MAX(ROW(E$2:E3510)*(E3510=E$2:E3510)))))-COUNTBLANK(OFFSET(A$1,,,SUMPRODUCT(MAX(ROW(E$1:E3509)*(E2=E$1:E3509))))))</f>
        <v> </v>
      </c>
      <c r="K3510" s="26" t="str">
        <f>IF(OR(E3510="",E3510="!!!",F3510="NEW"),"",INDEX(J$1:J3509,SUMPRODUCT(MAX(ROW(E$1:E3509)*(E3510=E$1:E3509)))))</f>
        <v> </v>
      </c>
      <c r="L3510" s="27"/>
    </row>
    <row r="3511" spans="1:12">
      <c r="A3511" s="20" t="s">
        <v>757</v>
      </c>
      <c r="E3511" s="22">
        <f>IF(D3511="?OLD","!!!","")</f>
        <v/>
      </c>
      <c r="F3511" s="23" t="str">
        <f>IF(OR(E3511="",E3511="!!!"),"",IF(NOT(ISNA(VLOOKUP(E3511,E$1:E3510,1,FALSE()))),"OLD",IF(AND(E3511&lt;&gt;"",E3511&lt;&gt;"!!!"),"NEW","")))</f>
        <v> </v>
      </c>
      <c r="G3511" s="24" t="str">
        <f>IF(OR(E3511="",E3511="!!!"),"",IF(OR(J3511=0,AND(J3511=1,K3511=1),AND(J3511=1,I3511="SBJ"),AND(J3511=1,I3511=0)),"?IN_FOCUS",IF(J3511&lt;=2,"?ACTIVATED",IF(J3511&lt;&gt;"","?FAMILIAR",IF(F3511="NEW",IF(ISNA(VLOOKUP(E3511,#REF!,1,FALSE())),"?TYPE_IDENTIFIABLE","?REFERENTIAL"),"_")))))</f>
        <v> </v>
      </c>
      <c r="H3511" s="25" t="str">
        <f>IF(J3511&lt;&gt;1,"",IF(I3511="SBJ","CB","?"))</f>
        <v> </v>
      </c>
      <c r="I3511" s="26" t="str">
        <f>IF(OR(E3511="",E3511="!!!",F3511="NEW"),"",INDEX(B3510:B$2,-1+SUMPRODUCT(MAX(ROW(E3510:E$2)*(E3511=E3510:E$2)))))</f>
        <v> </v>
      </c>
      <c r="J3511" s="26" t="str">
        <f>IF(OR(E3511="",E3511="!!!",F3511="NEW"),"",COUNTBLANK(OFFSET(A$1,,,SUMPRODUCT(MAX(ROW(E$2:E3511)*(E3511=E$2:E3511)))))-COUNTBLANK(OFFSET(A$1,,,SUMPRODUCT(MAX(ROW(E$1:E3510)*(E2=E$1:E3510))))))</f>
        <v> </v>
      </c>
      <c r="K3511" s="26" t="str">
        <f>IF(OR(E3511="",E3511="!!!",F3511="NEW"),"",INDEX(J$1:J3510,SUMPRODUCT(MAX(ROW(E$1:E3510)*(E3511=E$1:E3510)))))</f>
        <v> </v>
      </c>
      <c r="L3511" s="27"/>
    </row>
    <row r="3512" spans="1:12">
      <c r="A3512" s="20" t="s">
        <v>975</v>
      </c>
      <c r="B3512" s="21" t="s">
        <v>736</v>
      </c>
      <c r="C3512" s="21" t="s">
        <v>753</v>
      </c>
      <c r="D3512" s="21" t="s">
        <v>730</v>
      </c>
      <c r="E3512" s="22">
        <f>IF(D3512="?OLD","!!!","")</f>
        <v/>
      </c>
      <c r="F3512" s="23" t="str">
        <f>IF(OR(E3512="",E3512="!!!"),"",IF(NOT(ISNA(VLOOKUP(E3512,E$1:E3511,1,FALSE()))),"OLD",IF(AND(E3512&lt;&gt;"",E3512&lt;&gt;"!!!"),"NEW","")))</f>
        <v> </v>
      </c>
      <c r="G3512" s="24" t="str">
        <f>IF(OR(E3512="",E3512="!!!"),"",IF(OR(J3512=0,AND(J3512=1,K3512=1),AND(J3512=1,I3512="SBJ"),AND(J3512=1,I3512=0)),"?IN_FOCUS",IF(J3512&lt;=2,"?ACTIVATED",IF(J3512&lt;&gt;"","?FAMILIAR",IF(F3512="NEW",IF(ISNA(VLOOKUP(E3512,#REF!,1,FALSE())),"?TYPE_IDENTIFIABLE","?REFERENTIAL"),"_")))))</f>
        <v> </v>
      </c>
      <c r="H3512" s="25" t="str">
        <f>IF(J3512&lt;&gt;1,"",IF(I3512="SBJ","CB","?"))</f>
        <v> </v>
      </c>
      <c r="I3512" s="26" t="str">
        <f>IF(OR(E3512="",E3512="!!!",F3512="NEW"),"",INDEX(B3511:B$2,-1+SUMPRODUCT(MAX(ROW(E3511:E$2)*(E3512=E3511:E$2)))))</f>
        <v> </v>
      </c>
      <c r="J3512" s="26" t="str">
        <f>IF(OR(E3512="",E3512="!!!",F3512="NEW"),"",COUNTBLANK(OFFSET(A$1,,,SUMPRODUCT(MAX(ROW(E$2:E3512)*(E3512=E$2:E3512)))))-COUNTBLANK(OFFSET(A$1,,,SUMPRODUCT(MAX(ROW(E$1:E3511)*(E2=E$1:E3511))))))</f>
        <v> </v>
      </c>
      <c r="K3512" s="26" t="str">
        <f>IF(OR(E3512="",E3512="!!!",F3512="NEW"),"",INDEX(J$1:J3511,SUMPRODUCT(MAX(ROW(E$1:E3511)*(E3512=E$1:E3511)))))</f>
        <v> </v>
      </c>
      <c r="L3512" s="27"/>
    </row>
    <row r="3513" spans="1:12">
      <c r="A3513" s="20" t="s">
        <v>759</v>
      </c>
      <c r="E3513" s="22">
        <f>IF(D3513="?OLD","!!!","")</f>
        <v/>
      </c>
      <c r="F3513" s="23" t="str">
        <f>IF(OR(E3513="",E3513="!!!"),"",IF(NOT(ISNA(VLOOKUP(E3513,E$1:E3512,1,FALSE()))),"OLD",IF(AND(E3513&lt;&gt;"",E3513&lt;&gt;"!!!"),"NEW","")))</f>
        <v> </v>
      </c>
      <c r="G3513" s="24" t="str">
        <f>IF(OR(E3513="",E3513="!!!"),"",IF(OR(J3513=0,AND(J3513=1,K3513=1),AND(J3513=1,I3513="SBJ"),AND(J3513=1,I3513=0)),"?IN_FOCUS",IF(J3513&lt;=2,"?ACTIVATED",IF(J3513&lt;&gt;"","?FAMILIAR",IF(F3513="NEW",IF(ISNA(VLOOKUP(E3513,#REF!,1,FALSE())),"?TYPE_IDENTIFIABLE","?REFERENTIAL"),"_")))))</f>
        <v> </v>
      </c>
      <c r="H3513" s="25" t="str">
        <f>IF(J3513&lt;&gt;1,"",IF(I3513="SBJ","CB","?"))</f>
        <v> </v>
      </c>
      <c r="I3513" s="26" t="str">
        <f>IF(OR(E3513="",E3513="!!!",F3513="NEW"),"",INDEX(B3512:B$2,-1+SUMPRODUCT(MAX(ROW(E3512:E$2)*(E3513=E3512:E$2)))))</f>
        <v> </v>
      </c>
      <c r="J3513" s="26" t="str">
        <f>IF(OR(E3513="",E3513="!!!",F3513="NEW"),"",COUNTBLANK(OFFSET(A$1,,,SUMPRODUCT(MAX(ROW(E$2:E3513)*(E3513=E$2:E3513)))))-COUNTBLANK(OFFSET(A$1,,,SUMPRODUCT(MAX(ROW(E$1:E3512)*(E2=E$1:E3512))))))</f>
        <v> </v>
      </c>
      <c r="K3513" s="26" t="str">
        <f>IF(OR(E3513="",E3513="!!!",F3513="NEW"),"",INDEX(J$1:J3512,SUMPRODUCT(MAX(ROW(E$1:E3512)*(E3513=E$1:E3512)))))</f>
        <v> </v>
      </c>
      <c r="L3513" s="27"/>
    </row>
    <row r="3514" spans="1:12">
      <c r="A3514" s="20" t="s">
        <v>840</v>
      </c>
      <c r="B3514" s="21" t="s">
        <v>791</v>
      </c>
      <c r="E3514" s="22">
        <f>IF(D3514="?OLD","!!!","")</f>
        <v/>
      </c>
      <c r="F3514" s="23" t="str">
        <f>IF(OR(E3514="",E3514="!!!"),"",IF(NOT(ISNA(VLOOKUP(E3514,E$1:E3513,1,FALSE()))),"OLD",IF(AND(E3514&lt;&gt;"",E3514&lt;&gt;"!!!"),"NEW","")))</f>
        <v> </v>
      </c>
      <c r="G3514" s="24" t="str">
        <f>IF(OR(E3514="",E3514="!!!"),"",IF(OR(J3514=0,AND(J3514=1,K3514=1),AND(J3514=1,I3514="SBJ"),AND(J3514=1,I3514=0)),"?IN_FOCUS",IF(J3514&lt;=2,"?ACTIVATED",IF(J3514&lt;&gt;"","?FAMILIAR",IF(F3514="NEW",IF(ISNA(VLOOKUP(E3514,#REF!,1,FALSE())),"?TYPE_IDENTIFIABLE","?REFERENTIAL"),"_")))))</f>
        <v> </v>
      </c>
      <c r="H3514" s="25" t="str">
        <f>IF(J3514&lt;&gt;1,"",IF(I3514="SBJ","CB","?"))</f>
        <v> </v>
      </c>
      <c r="I3514" s="26" t="str">
        <f>IF(OR(E3514="",E3514="!!!",F3514="NEW"),"",INDEX(B3513:B$2,-1+SUMPRODUCT(MAX(ROW(E3513:E$2)*(E3514=E3513:E$2)))))</f>
        <v> </v>
      </c>
      <c r="J3514" s="26" t="str">
        <f>IF(OR(E3514="",E3514="!!!",F3514="NEW"),"",COUNTBLANK(OFFSET(A$1,,,SUMPRODUCT(MAX(ROW(E$2:E3514)*(E3514=E$2:E3514)))))-COUNTBLANK(OFFSET(A$1,,,SUMPRODUCT(MAX(ROW(E$1:E3513)*(E2=E$1:E3513))))))</f>
        <v> </v>
      </c>
      <c r="K3514" s="26" t="str">
        <f>IF(OR(E3514="",E3514="!!!",F3514="NEW"),"",INDEX(J$1:J3513,SUMPRODUCT(MAX(ROW(E$1:E3513)*(E3514=E$1:E3513)))))</f>
        <v> </v>
      </c>
      <c r="L3514" s="27"/>
    </row>
    <row r="3515" spans="1:12">
      <c r="A3515" s="20" t="s">
        <v>750</v>
      </c>
      <c r="B3515" s="21" t="s">
        <v>796</v>
      </c>
      <c r="C3515" s="21" t="s">
        <v>729</v>
      </c>
      <c r="D3515" s="21" t="s">
        <v>730</v>
      </c>
      <c r="E3515" s="22">
        <f>IF(D3515="?OLD","!!!","")</f>
        <v/>
      </c>
      <c r="F3515" s="23" t="str">
        <f>IF(OR(E3515="",E3515="!!!"),"",IF(NOT(ISNA(VLOOKUP(E3515,E$1:E3514,1,FALSE()))),"OLD",IF(AND(E3515&lt;&gt;"",E3515&lt;&gt;"!!!"),"NEW","")))</f>
        <v> </v>
      </c>
      <c r="G3515" s="24" t="str">
        <f>IF(OR(E3515="",E3515="!!!"),"",IF(OR(J3515=0,AND(J3515=1,K3515=1),AND(J3515=1,I3515="SBJ"),AND(J3515=1,I3515=0)),"?IN_FOCUS",IF(J3515&lt;=2,"?ACTIVATED",IF(J3515&lt;&gt;"","?FAMILIAR",IF(F3515="NEW",IF(ISNA(VLOOKUP(E3515,#REF!,1,FALSE())),"?TYPE_IDENTIFIABLE","?REFERENTIAL"),"_")))))</f>
        <v> </v>
      </c>
      <c r="H3515" s="25" t="str">
        <f>IF(J3515&lt;&gt;1,"",IF(I3515="SBJ","CB","?"))</f>
        <v> </v>
      </c>
      <c r="I3515" s="26" t="str">
        <f>IF(OR(E3515="",E3515="!!!",F3515="NEW"),"",INDEX(B3514:B$2,-1+SUMPRODUCT(MAX(ROW(E3514:E$2)*(E3515=E3514:E$2)))))</f>
        <v> </v>
      </c>
      <c r="J3515" s="26" t="str">
        <f>IF(OR(E3515="",E3515="!!!",F3515="NEW"),"",COUNTBLANK(OFFSET(A$1,,,SUMPRODUCT(MAX(ROW(E$2:E3515)*(E3515=E$2:E3515)))))-COUNTBLANK(OFFSET(A$1,,,SUMPRODUCT(MAX(ROW(E$1:E3514)*(E2=E$1:E3514))))))</f>
        <v> </v>
      </c>
      <c r="K3515" s="26" t="str">
        <f>IF(OR(E3515="",E3515="!!!",F3515="NEW"),"",INDEX(J$1:J3514,SUMPRODUCT(MAX(ROW(E$1:E3514)*(E3515=E$1:E3514)))))</f>
        <v> </v>
      </c>
      <c r="L3515" s="27"/>
    </row>
    <row r="3516" spans="1:12">
      <c r="A3516" s="20" t="s">
        <v>1945</v>
      </c>
      <c r="B3516" s="21" t="s">
        <v>791</v>
      </c>
      <c r="C3516" s="21" t="s">
        <v>729</v>
      </c>
      <c r="D3516" s="21" t="s">
        <v>730</v>
      </c>
      <c r="E3516" s="22">
        <f>IF(D3516="?OLD","!!!","")</f>
        <v/>
      </c>
      <c r="F3516" s="23" t="str">
        <f>IF(OR(E3516="",E3516="!!!"),"",IF(NOT(ISNA(VLOOKUP(E3516,E$1:E3515,1,FALSE()))),"OLD",IF(AND(E3516&lt;&gt;"",E3516&lt;&gt;"!!!"),"NEW","")))</f>
        <v> </v>
      </c>
      <c r="G3516" s="24" t="str">
        <f>IF(OR(E3516="",E3516="!!!"),"",IF(OR(J3516=0,AND(J3516=1,K3516=1),AND(J3516=1,I3516="SBJ"),AND(J3516=1,I3516=0)),"?IN_FOCUS",IF(J3516&lt;=2,"?ACTIVATED",IF(J3516&lt;&gt;"","?FAMILIAR",IF(F3516="NEW",IF(ISNA(VLOOKUP(E3516,#REF!,1,FALSE())),"?TYPE_IDENTIFIABLE","?REFERENTIAL"),"_")))))</f>
        <v> </v>
      </c>
      <c r="H3516" s="25" t="str">
        <f>IF(J3516&lt;&gt;1,"",IF(I3516="SBJ","CB","?"))</f>
        <v> </v>
      </c>
      <c r="I3516" s="26" t="str">
        <f>IF(OR(E3516="",E3516="!!!",F3516="NEW"),"",INDEX(B3515:B$2,-1+SUMPRODUCT(MAX(ROW(E3515:E$2)*(E3516=E3515:E$2)))))</f>
        <v> </v>
      </c>
      <c r="J3516" s="26" t="str">
        <f>IF(OR(E3516="",E3516="!!!",F3516="NEW"),"",COUNTBLANK(OFFSET(A$1,,,SUMPRODUCT(MAX(ROW(E$2:E3516)*(E3516=E$2:E3516)))))-COUNTBLANK(OFFSET(A$1,,,SUMPRODUCT(MAX(ROW(E$1:E3515)*(E2=E$1:E3515))))))</f>
        <v> </v>
      </c>
      <c r="K3516" s="26" t="str">
        <f>IF(OR(E3516="",E3516="!!!",F3516="NEW"),"",INDEX(J$1:J3515,SUMPRODUCT(MAX(ROW(E$1:E3515)*(E3516=E$1:E3515)))))</f>
        <v> </v>
      </c>
      <c r="L3516" s="27"/>
    </row>
    <row r="3517" spans="1:12">
      <c r="A3517" s="20" t="s">
        <v>1946</v>
      </c>
      <c r="E3517" s="22">
        <f>IF(D3517="?OLD","!!!","")</f>
        <v/>
      </c>
      <c r="F3517" s="23" t="str">
        <f>IF(OR(E3517="",E3517="!!!"),"",IF(NOT(ISNA(VLOOKUP(E3517,E$1:E3516,1,FALSE()))),"OLD",IF(AND(E3517&lt;&gt;"",E3517&lt;&gt;"!!!"),"NEW","")))</f>
        <v> </v>
      </c>
      <c r="G3517" s="24" t="str">
        <f>IF(OR(E3517="",E3517="!!!"),"",IF(OR(J3517=0,AND(J3517=1,K3517=1),AND(J3517=1,I3517="SBJ"),AND(J3517=1,I3517=0)),"?IN_FOCUS",IF(J3517&lt;=2,"?ACTIVATED",IF(J3517&lt;&gt;"","?FAMILIAR",IF(F3517="NEW",IF(ISNA(VLOOKUP(E3517,#REF!,1,FALSE())),"?TYPE_IDENTIFIABLE","?REFERENTIAL"),"_")))))</f>
        <v> </v>
      </c>
      <c r="H3517" s="25" t="str">
        <f>IF(J3517&lt;&gt;1,"",IF(I3517="SBJ","CB","?"))</f>
        <v> </v>
      </c>
      <c r="I3517" s="26" t="str">
        <f>IF(OR(E3517="",E3517="!!!",F3517="NEW"),"",INDEX(B3516:B$2,-1+SUMPRODUCT(MAX(ROW(E3516:E$2)*(E3517=E3516:E$2)))))</f>
        <v> </v>
      </c>
      <c r="J3517" s="26" t="str">
        <f>IF(OR(E3517="",E3517="!!!",F3517="NEW"),"",COUNTBLANK(OFFSET(A$1,,,SUMPRODUCT(MAX(ROW(E$2:E3517)*(E3517=E$2:E3517)))))-COUNTBLANK(OFFSET(A$1,,,SUMPRODUCT(MAX(ROW(E$1:E3516)*(E2=E$1:E3516))))))</f>
        <v> </v>
      </c>
      <c r="K3517" s="26" t="str">
        <f>IF(OR(E3517="",E3517="!!!",F3517="NEW"),"",INDEX(J$1:J3516,SUMPRODUCT(MAX(ROW(E$1:E3516)*(E3517=E$1:E3516)))))</f>
        <v> </v>
      </c>
      <c r="L3517" s="27"/>
    </row>
    <row r="3518" spans="1:12">
      <c r="A3518" s="20" t="s">
        <v>732</v>
      </c>
      <c r="E3518" s="22">
        <f>IF(D3518="?OLD","!!!","")</f>
        <v/>
      </c>
      <c r="F3518" s="23" t="str">
        <f>IF(OR(E3518="",E3518="!!!"),"",IF(NOT(ISNA(VLOOKUP(E3518,E$1:E3517,1,FALSE()))),"OLD",IF(AND(E3518&lt;&gt;"",E3518&lt;&gt;"!!!"),"NEW","")))</f>
        <v> </v>
      </c>
      <c r="G3518" s="24" t="str">
        <f>IF(OR(E3518="",E3518="!!!"),"",IF(OR(J3518=0,AND(J3518=1,K3518=1),AND(J3518=1,I3518="SBJ"),AND(J3518=1,I3518=0)),"?IN_FOCUS",IF(J3518&lt;=2,"?ACTIVATED",IF(J3518&lt;&gt;"","?FAMILIAR",IF(F3518="NEW",IF(ISNA(VLOOKUP(E3518,#REF!,1,FALSE())),"?TYPE_IDENTIFIABLE","?REFERENTIAL"),"_")))))</f>
        <v> </v>
      </c>
      <c r="H3518" s="25" t="str">
        <f>IF(J3518&lt;&gt;1,"",IF(I3518="SBJ","CB","?"))</f>
        <v> </v>
      </c>
      <c r="I3518" s="26" t="str">
        <f>IF(OR(E3518="",E3518="!!!",F3518="NEW"),"",INDEX(B3517:B$2,-1+SUMPRODUCT(MAX(ROW(E3517:E$2)*(E3518=E3517:E$2)))))</f>
        <v> </v>
      </c>
      <c r="J3518" s="26" t="str">
        <f>IF(OR(E3518="",E3518="!!!",F3518="NEW"),"",COUNTBLANK(OFFSET(A$1,,,SUMPRODUCT(MAX(ROW(E$2:E3518)*(E3518=E$2:E3518)))))-COUNTBLANK(OFFSET(A$1,,,SUMPRODUCT(MAX(ROW(E$1:E3517)*(E2=E$1:E3517))))))</f>
        <v> </v>
      </c>
      <c r="K3518" s="26" t="str">
        <f>IF(OR(E3518="",E3518="!!!",F3518="NEW"),"",INDEX(J$1:J3517,SUMPRODUCT(MAX(ROW(E$1:E3517)*(E3518=E$1:E3517)))))</f>
        <v> </v>
      </c>
      <c r="L3518" s="27"/>
    </row>
    <row r="3519" spans="1:12">
      <c r="A3519" s="20" t="s">
        <v>742</v>
      </c>
      <c r="E3519" s="22">
        <f>IF(D3519="?OLD","!!!","")</f>
        <v/>
      </c>
      <c r="F3519" s="23" t="str">
        <f>IF(OR(E3519="",E3519="!!!"),"",IF(NOT(ISNA(VLOOKUP(E3519,E$1:E3518,1,FALSE()))),"OLD",IF(AND(E3519&lt;&gt;"",E3519&lt;&gt;"!!!"),"NEW","")))</f>
        <v> </v>
      </c>
      <c r="G3519" s="24" t="str">
        <f>IF(OR(E3519="",E3519="!!!"),"",IF(OR(J3519=0,AND(J3519=1,K3519=1),AND(J3519=1,I3519="SBJ"),AND(J3519=1,I3519=0)),"?IN_FOCUS",IF(J3519&lt;=2,"?ACTIVATED",IF(J3519&lt;&gt;"","?FAMILIAR",IF(F3519="NEW",IF(ISNA(VLOOKUP(E3519,#REF!,1,FALSE())),"?TYPE_IDENTIFIABLE","?REFERENTIAL"),"_")))))</f>
        <v> </v>
      </c>
      <c r="H3519" s="25" t="str">
        <f>IF(J3519&lt;&gt;1,"",IF(I3519="SBJ","CB","?"))</f>
        <v> </v>
      </c>
      <c r="I3519" s="26" t="str">
        <f>IF(OR(E3519="",E3519="!!!",F3519="NEW"),"",INDEX(B3518:B$2,-1+SUMPRODUCT(MAX(ROW(E3518:E$2)*(E3519=E3518:E$2)))))</f>
        <v> </v>
      </c>
      <c r="J3519" s="26" t="str">
        <f>IF(OR(E3519="",E3519="!!!",F3519="NEW"),"",COUNTBLANK(OFFSET(A$1,,,SUMPRODUCT(MAX(ROW(E$2:E3519)*(E3519=E$2:E3519)))))-COUNTBLANK(OFFSET(A$1,,,SUMPRODUCT(MAX(ROW(E$1:E3518)*(E2=E$1:E3518))))))</f>
        <v> </v>
      </c>
      <c r="K3519" s="26" t="str">
        <f>IF(OR(E3519="",E3519="!!!",F3519="NEW"),"",INDEX(J$1:J3518,SUMPRODUCT(MAX(ROW(E$1:E3518)*(E3519=E$1:E3518)))))</f>
        <v> </v>
      </c>
      <c r="L3519" s="27"/>
    </row>
    <row r="3520" spans="1:12">
      <c r="A3520" s="20" t="s">
        <v>840</v>
      </c>
      <c r="E3520" s="22">
        <f>IF(D3520="?OLD","!!!","")</f>
        <v/>
      </c>
      <c r="F3520" s="23" t="str">
        <f>IF(OR(E3520="",E3520="!!!"),"",IF(NOT(ISNA(VLOOKUP(E3520,E$1:E3519,1,FALSE()))),"OLD",IF(AND(E3520&lt;&gt;"",E3520&lt;&gt;"!!!"),"NEW","")))</f>
        <v> </v>
      </c>
      <c r="G3520" s="24" t="str">
        <f>IF(OR(E3520="",E3520="!!!"),"",IF(OR(J3520=0,AND(J3520=1,K3520=1),AND(J3520=1,I3520="SBJ"),AND(J3520=1,I3520=0)),"?IN_FOCUS",IF(J3520&lt;=2,"?ACTIVATED",IF(J3520&lt;&gt;"","?FAMILIAR",IF(F3520="NEW",IF(ISNA(VLOOKUP(E3520,#REF!,1,FALSE())),"?TYPE_IDENTIFIABLE","?REFERENTIAL"),"_")))))</f>
        <v> </v>
      </c>
      <c r="H3520" s="25" t="str">
        <f>IF(J3520&lt;&gt;1,"",IF(I3520="SBJ","CB","?"))</f>
        <v> </v>
      </c>
      <c r="I3520" s="26" t="str">
        <f>IF(OR(E3520="",E3520="!!!",F3520="NEW"),"",INDEX(B3519:B$2,-1+SUMPRODUCT(MAX(ROW(E3519:E$2)*(E3520=E3519:E$2)))))</f>
        <v> </v>
      </c>
      <c r="J3520" s="26" t="str">
        <f>IF(OR(E3520="",E3520="!!!",F3520="NEW"),"",COUNTBLANK(OFFSET(A$1,,,SUMPRODUCT(MAX(ROW(E$2:E3520)*(E3520=E$2:E3520)))))-COUNTBLANK(OFFSET(A$1,,,SUMPRODUCT(MAX(ROW(E$1:E3519)*(E2=E$1:E3519))))))</f>
        <v> </v>
      </c>
      <c r="K3520" s="26" t="str">
        <f>IF(OR(E3520="",E3520="!!!",F3520="NEW"),"",INDEX(J$1:J3519,SUMPRODUCT(MAX(ROW(E$1:E3519)*(E3520=E$1:E3519)))))</f>
        <v> </v>
      </c>
      <c r="L3520" s="27"/>
    </row>
    <row r="3521" spans="1:12">
      <c r="A3521" s="20" t="s">
        <v>1139</v>
      </c>
      <c r="B3521" s="21" t="s">
        <v>739</v>
      </c>
      <c r="C3521" s="21" t="s">
        <v>753</v>
      </c>
      <c r="D3521" s="21" t="s">
        <v>730</v>
      </c>
      <c r="E3521" s="22">
        <f>IF(D3521="?OLD","!!!","")</f>
        <v/>
      </c>
      <c r="F3521" s="23" t="str">
        <f>IF(OR(E3521="",E3521="!!!"),"",IF(NOT(ISNA(VLOOKUP(E3521,E$1:E3520,1,FALSE()))),"OLD",IF(AND(E3521&lt;&gt;"",E3521&lt;&gt;"!!!"),"NEW","")))</f>
        <v> </v>
      </c>
      <c r="G3521" s="24" t="str">
        <f>IF(OR(E3521="",E3521="!!!"),"",IF(OR(J3521=0,AND(J3521=1,K3521=1),AND(J3521=1,I3521="SBJ"),AND(J3521=1,I3521=0)),"?IN_FOCUS",IF(J3521&lt;=2,"?ACTIVATED",IF(J3521&lt;&gt;"","?FAMILIAR",IF(F3521="NEW",IF(ISNA(VLOOKUP(E3521,#REF!,1,FALSE())),"?TYPE_IDENTIFIABLE","?REFERENTIAL"),"_")))))</f>
        <v> </v>
      </c>
      <c r="H3521" s="25" t="str">
        <f>IF(J3521&lt;&gt;1,"",IF(I3521="SBJ","CB","?"))</f>
        <v> </v>
      </c>
      <c r="I3521" s="26" t="str">
        <f>IF(OR(E3521="",E3521="!!!",F3521="NEW"),"",INDEX(B3520:B$2,-1+SUMPRODUCT(MAX(ROW(E3520:E$2)*(E3521=E3520:E$2)))))</f>
        <v> </v>
      </c>
      <c r="J3521" s="26" t="str">
        <f>IF(OR(E3521="",E3521="!!!",F3521="NEW"),"",COUNTBLANK(OFFSET(A$1,,,SUMPRODUCT(MAX(ROW(E$2:E3521)*(E3521=E$2:E3521)))))-COUNTBLANK(OFFSET(A$1,,,SUMPRODUCT(MAX(ROW(E$1:E3520)*(E2=E$1:E3520))))))</f>
        <v> </v>
      </c>
      <c r="K3521" s="26" t="str">
        <f>IF(OR(E3521="",E3521="!!!",F3521="NEW"),"",INDEX(J$1:J3520,SUMPRODUCT(MAX(ROW(E$1:E3520)*(E3521=E$1:E3520)))))</f>
        <v> </v>
      </c>
      <c r="L3521" s="27"/>
    </row>
    <row r="3522" spans="1:12">
      <c r="A3522" s="20" t="s">
        <v>643</v>
      </c>
      <c r="E3522" s="22">
        <f>IF(D3522="?OLD","!!!","")</f>
        <v/>
      </c>
      <c r="F3522" s="23" t="str">
        <f>IF(OR(E3522="",E3522="!!!"),"",IF(NOT(ISNA(VLOOKUP(E3522,E$1:E3521,1,FALSE()))),"OLD",IF(AND(E3522&lt;&gt;"",E3522&lt;&gt;"!!!"),"NEW","")))</f>
        <v> </v>
      </c>
      <c r="G3522" s="24" t="str">
        <f>IF(OR(E3522="",E3522="!!!"),"",IF(OR(J3522=0,AND(J3522=1,K3522=1),AND(J3522=1,I3522="SBJ"),AND(J3522=1,I3522=0)),"?IN_FOCUS",IF(J3522&lt;=2,"?ACTIVATED",IF(J3522&lt;&gt;"","?FAMILIAR",IF(F3522="NEW",IF(ISNA(VLOOKUP(E3522,#REF!,1,FALSE())),"?TYPE_IDENTIFIABLE","?REFERENTIAL"),"_")))))</f>
        <v> </v>
      </c>
      <c r="H3522" s="25" t="str">
        <f>IF(J3522&lt;&gt;1,"",IF(I3522="SBJ","CB","?"))</f>
        <v> </v>
      </c>
      <c r="I3522" s="26" t="str">
        <f>IF(OR(E3522="",E3522="!!!",F3522="NEW"),"",INDEX(B3521:B$2,-1+SUMPRODUCT(MAX(ROW(E3521:E$2)*(E3522=E3521:E$2)))))</f>
        <v> </v>
      </c>
      <c r="J3522" s="26" t="str">
        <f>IF(OR(E3522="",E3522="!!!",F3522="NEW"),"",COUNTBLANK(OFFSET(A$1,,,SUMPRODUCT(MAX(ROW(E$2:E3522)*(E3522=E$2:E3522)))))-COUNTBLANK(OFFSET(A$1,,,SUMPRODUCT(MAX(ROW(E$1:E3521)*(E2=E$1:E3521))))))</f>
        <v> </v>
      </c>
      <c r="K3522" s="26" t="str">
        <f>IF(OR(E3522="",E3522="!!!",F3522="NEW"),"",INDEX(J$1:J3521,SUMPRODUCT(MAX(ROW(E$1:E3521)*(E3522=E$1:E3521)))))</f>
        <v> </v>
      </c>
      <c r="L3522" s="27"/>
    </row>
    <row r="3523" spans="1:12">
      <c r="A3523" s="20" t="s">
        <v>1947</v>
      </c>
      <c r="E3523" s="22">
        <f>IF(D3523="?OLD","!!!","")</f>
        <v/>
      </c>
      <c r="F3523" s="23" t="str">
        <f>IF(OR(E3523="",E3523="!!!"),"",IF(NOT(ISNA(VLOOKUP(E3523,E$1:E3522,1,FALSE()))),"OLD",IF(AND(E3523&lt;&gt;"",E3523&lt;&gt;"!!!"),"NEW","")))</f>
        <v> </v>
      </c>
      <c r="G3523" s="24" t="str">
        <f>IF(OR(E3523="",E3523="!!!"),"",IF(OR(J3523=0,AND(J3523=1,K3523=1),AND(J3523=1,I3523="SBJ"),AND(J3523=1,I3523=0)),"?IN_FOCUS",IF(J3523&lt;=2,"?ACTIVATED",IF(J3523&lt;&gt;"","?FAMILIAR",IF(F3523="NEW",IF(ISNA(VLOOKUP(E3523,#REF!,1,FALSE())),"?TYPE_IDENTIFIABLE","?REFERENTIAL"),"_")))))</f>
        <v> </v>
      </c>
      <c r="H3523" s="25" t="str">
        <f>IF(J3523&lt;&gt;1,"",IF(I3523="SBJ","CB","?"))</f>
        <v> </v>
      </c>
      <c r="I3523" s="26" t="str">
        <f>IF(OR(E3523="",E3523="!!!",F3523="NEW"),"",INDEX(B3522:B$2,-1+SUMPRODUCT(MAX(ROW(E3522:E$2)*(E3523=E3522:E$2)))))</f>
        <v> </v>
      </c>
      <c r="J3523" s="26" t="str">
        <f>IF(OR(E3523="",E3523="!!!",F3523="NEW"),"",COUNTBLANK(OFFSET(A$1,,,SUMPRODUCT(MAX(ROW(E$2:E3523)*(E3523=E$2:E3523)))))-COUNTBLANK(OFFSET(A$1,,,SUMPRODUCT(MAX(ROW(E$1:E3522)*(E2=E$1:E3522))))))</f>
        <v> </v>
      </c>
      <c r="K3523" s="26" t="str">
        <f>IF(OR(E3523="",E3523="!!!",F3523="NEW"),"",INDEX(J$1:J3522,SUMPRODUCT(MAX(ROW(E$1:E3522)*(E3523=E$1:E3522)))))</f>
        <v> </v>
      </c>
      <c r="L3523" s="27"/>
    </row>
    <row r="3524" spans="1:12">
      <c r="A3524" s="20" t="s">
        <v>246</v>
      </c>
      <c r="E3524" s="22">
        <f>IF(D3524="?OLD","!!!","")</f>
        <v/>
      </c>
      <c r="F3524" s="23" t="str">
        <f>IF(OR(E3524="",E3524="!!!"),"",IF(NOT(ISNA(VLOOKUP(E3524,E$1:E3523,1,FALSE()))),"OLD",IF(AND(E3524&lt;&gt;"",E3524&lt;&gt;"!!!"),"NEW","")))</f>
        <v> </v>
      </c>
      <c r="G3524" s="24" t="str">
        <f>IF(OR(E3524="",E3524="!!!"),"",IF(OR(J3524=0,AND(J3524=1,K3524=1),AND(J3524=1,I3524="SBJ"),AND(J3524=1,I3524=0)),"?IN_FOCUS",IF(J3524&lt;=2,"?ACTIVATED",IF(J3524&lt;&gt;"","?FAMILIAR",IF(F3524="NEW",IF(ISNA(VLOOKUP(E3524,#REF!,1,FALSE())),"?TYPE_IDENTIFIABLE","?REFERENTIAL"),"_")))))</f>
        <v> </v>
      </c>
      <c r="H3524" s="25" t="str">
        <f>IF(J3524&lt;&gt;1,"",IF(I3524="SBJ","CB","?"))</f>
        <v> </v>
      </c>
      <c r="I3524" s="26" t="str">
        <f>IF(OR(E3524="",E3524="!!!",F3524="NEW"),"",INDEX(B3523:B$2,-1+SUMPRODUCT(MAX(ROW(E3523:E$2)*(E3524=E3523:E$2)))))</f>
        <v> </v>
      </c>
      <c r="J3524" s="26" t="str">
        <f>IF(OR(E3524="",E3524="!!!",F3524="NEW"),"",COUNTBLANK(OFFSET(A$1,,,SUMPRODUCT(MAX(ROW(E$2:E3524)*(E3524=E$2:E3524)))))-COUNTBLANK(OFFSET(A$1,,,SUMPRODUCT(MAX(ROW(E$1:E3523)*(E2=E$1:E3523))))))</f>
        <v> </v>
      </c>
      <c r="K3524" s="26" t="str">
        <f>IF(OR(E3524="",E3524="!!!",F3524="NEW"),"",INDEX(J$1:J3523,SUMPRODUCT(MAX(ROW(E$1:E3523)*(E3524=E$1:E3523)))))</f>
        <v> </v>
      </c>
      <c r="L3524" s="27"/>
    </row>
    <row r="3525" spans="1:12">
      <c r="A3525" s="20"/>
    </row>
    <row r="3526" spans="1:12">
      <c r="A3526" s="20" t="s">
        <v>1948</v>
      </c>
    </row>
    <row r="3527" spans="1:12">
      <c r="A3527" s="20" t="s">
        <v>1930</v>
      </c>
      <c r="B3527" s="21" t="s">
        <v>728</v>
      </c>
      <c r="C3527" s="21" t="s">
        <v>748</v>
      </c>
      <c r="E3527" s="22">
        <f>IF(D3527="?OLD","!!!","")</f>
        <v/>
      </c>
      <c r="F3527" s="23" t="str">
        <f>IF(OR(E3527="",E3527="!!!"),"",IF(NOT(ISNA(VLOOKUP(E3527,E$1:E3526,1,FALSE()))),"OLD",IF(AND(E3527&lt;&gt;"",E3527&lt;&gt;"!!!"),"NEW","")))</f>
        <v> </v>
      </c>
      <c r="G3527" s="24" t="str">
        <f>IF(OR(E3527="",E3527="!!!"),"",IF(OR(J3527=0,AND(J3527=1,K3527=1),AND(J3527=1,I3527="SBJ"),AND(J3527=1,I3527=0)),"?IN_FOCUS",IF(J3527&lt;=2,"?ACTIVATED",IF(J3527&lt;&gt;"","?FAMILIAR",IF(F3527="NEW",IF(ISNA(VLOOKUP(E3527,#REF!,1,FALSE())),"?TYPE_IDENTIFIABLE","?REFERENTIAL"),"_")))))</f>
        <v> </v>
      </c>
      <c r="H3527" s="25" t="str">
        <f>IF(J3527&lt;&gt;1,"",IF(I3527="SBJ","CB","?"))</f>
        <v> </v>
      </c>
      <c r="I3527" s="26" t="str">
        <f>IF(OR(E3527="",E3527="!!!",F3527="NEW"),"",INDEX(B3526:B$2,-1+SUMPRODUCT(MAX(ROW(E3526:E$2)*(E3527=E3526:E$2)))))</f>
        <v> </v>
      </c>
      <c r="J3527" s="26" t="str">
        <f>IF(OR(E3527="",E3527="!!!",F3527="NEW"),"",COUNTBLANK(OFFSET(A$1,,,SUMPRODUCT(MAX(ROW(E$2:E3527)*(E3527=E$2:E3527)))))-COUNTBLANK(OFFSET(A$1,,,SUMPRODUCT(MAX(ROW(E$1:E3526)*(E2=E$1:E3526))))))</f>
        <v> </v>
      </c>
      <c r="K3527" s="26" t="str">
        <f>IF(OR(E3527="",E3527="!!!",F3527="NEW"),"",INDEX(J$1:J3526,SUMPRODUCT(MAX(ROW(E$1:E3526)*(E3527=E$1:E3526)))))</f>
        <v> </v>
      </c>
      <c r="L3527" s="27"/>
    </row>
    <row r="3528" spans="1:12">
      <c r="A3528" s="20" t="s">
        <v>1087</v>
      </c>
      <c r="E3528" s="22">
        <f>IF(D3528="?OLD","!!!","")</f>
        <v/>
      </c>
      <c r="F3528" s="23" t="str">
        <f>IF(OR(E3528="",E3528="!!!"),"",IF(NOT(ISNA(VLOOKUP(E3528,E$1:E3527,1,FALSE()))),"OLD",IF(AND(E3528&lt;&gt;"",E3528&lt;&gt;"!!!"),"NEW","")))</f>
        <v> </v>
      </c>
      <c r="G3528" s="24" t="str">
        <f>IF(OR(E3528="",E3528="!!!"),"",IF(OR(J3528=0,AND(J3528=1,K3528=1),AND(J3528=1,I3528="SBJ"),AND(J3528=1,I3528=0)),"?IN_FOCUS",IF(J3528&lt;=2,"?ACTIVATED",IF(J3528&lt;&gt;"","?FAMILIAR",IF(F3528="NEW",IF(ISNA(VLOOKUP(E3528,#REF!,1,FALSE())),"?TYPE_IDENTIFIABLE","?REFERENTIAL"),"_")))))</f>
        <v> </v>
      </c>
      <c r="H3528" s="25" t="str">
        <f>IF(J3528&lt;&gt;1,"",IF(I3528="SBJ","CB","?"))</f>
        <v> </v>
      </c>
      <c r="I3528" s="26" t="str">
        <f>IF(OR(E3528="",E3528="!!!",F3528="NEW"),"",INDEX(B3527:B$2,-1+SUMPRODUCT(MAX(ROW(E3527:E$2)*(E3528=E3527:E$2)))))</f>
        <v> </v>
      </c>
      <c r="J3528" s="26" t="str">
        <f>IF(OR(E3528="",E3528="!!!",F3528="NEW"),"",COUNTBLANK(OFFSET(A$1,,,SUMPRODUCT(MAX(ROW(E$2:E3528)*(E3528=E$2:E3528)))))-COUNTBLANK(OFFSET(A$1,,,SUMPRODUCT(MAX(ROW(E$1:E3527)*(E2=E$1:E3527))))))</f>
        <v> </v>
      </c>
      <c r="K3528" s="26" t="str">
        <f>IF(OR(E3528="",E3528="!!!",F3528="NEW"),"",INDEX(J$1:J3527,SUMPRODUCT(MAX(ROW(E$1:E3527)*(E3528=E$1:E3527)))))</f>
        <v> </v>
      </c>
      <c r="L3528" s="27"/>
    </row>
    <row r="3529" spans="1:12">
      <c r="A3529" s="20" t="s">
        <v>1949</v>
      </c>
      <c r="E3529" s="22">
        <f>IF(D3529="?OLD","!!!","")</f>
        <v/>
      </c>
      <c r="F3529" s="23" t="str">
        <f>IF(OR(E3529="",E3529="!!!"),"",IF(NOT(ISNA(VLOOKUP(E3529,E$1:E3528,1,FALSE()))),"OLD",IF(AND(E3529&lt;&gt;"",E3529&lt;&gt;"!!!"),"NEW","")))</f>
        <v> </v>
      </c>
      <c r="G3529" s="24" t="str">
        <f>IF(OR(E3529="",E3529="!!!"),"",IF(OR(J3529=0,AND(J3529=1,K3529=1),AND(J3529=1,I3529="SBJ"),AND(J3529=1,I3529=0)),"?IN_FOCUS",IF(J3529&lt;=2,"?ACTIVATED",IF(J3529&lt;&gt;"","?FAMILIAR",IF(F3529="NEW",IF(ISNA(VLOOKUP(E3529,#REF!,1,FALSE())),"?TYPE_IDENTIFIABLE","?REFERENTIAL"),"_")))))</f>
        <v> </v>
      </c>
      <c r="H3529" s="25" t="str">
        <f>IF(J3529&lt;&gt;1,"",IF(I3529="SBJ","CB","?"))</f>
        <v> </v>
      </c>
      <c r="I3529" s="26" t="str">
        <f>IF(OR(E3529="",E3529="!!!",F3529="NEW"),"",INDEX(B3528:B$2,-1+SUMPRODUCT(MAX(ROW(E3528:E$2)*(E3529=E3528:E$2)))))</f>
        <v> </v>
      </c>
      <c r="J3529" s="26" t="str">
        <f>IF(OR(E3529="",E3529="!!!",F3529="NEW"),"",COUNTBLANK(OFFSET(A$1,,,SUMPRODUCT(MAX(ROW(E$2:E3529)*(E3529=E$2:E3529)))))-COUNTBLANK(OFFSET(A$1,,,SUMPRODUCT(MAX(ROW(E$1:E3528)*(E2=E$1:E3528))))))</f>
        <v> </v>
      </c>
      <c r="K3529" s="26" t="str">
        <f>IF(OR(E3529="",E3529="!!!",F3529="NEW"),"",INDEX(J$1:J3528,SUMPRODUCT(MAX(ROW(E$1:E3528)*(E3529=E$1:E3528)))))</f>
        <v> </v>
      </c>
      <c r="L3529" s="27"/>
    </row>
    <row r="3530" spans="1:12">
      <c r="A3530" s="20" t="s">
        <v>762</v>
      </c>
      <c r="E3530" s="22">
        <f>IF(D3530="?OLD","!!!","")</f>
        <v/>
      </c>
      <c r="F3530" s="23" t="str">
        <f>IF(OR(E3530="",E3530="!!!"),"",IF(NOT(ISNA(VLOOKUP(E3530,E$1:E3529,1,FALSE()))),"OLD",IF(AND(E3530&lt;&gt;"",E3530&lt;&gt;"!!!"),"NEW","")))</f>
        <v> </v>
      </c>
      <c r="G3530" s="24" t="str">
        <f>IF(OR(E3530="",E3530="!!!"),"",IF(OR(J3530=0,AND(J3530=1,K3530=1),AND(J3530=1,I3530="SBJ"),AND(J3530=1,I3530=0)),"?IN_FOCUS",IF(J3530&lt;=2,"?ACTIVATED",IF(J3530&lt;&gt;"","?FAMILIAR",IF(F3530="NEW",IF(ISNA(VLOOKUP(E3530,#REF!,1,FALSE())),"?TYPE_IDENTIFIABLE","?REFERENTIAL"),"_")))))</f>
        <v> </v>
      </c>
      <c r="H3530" s="25" t="str">
        <f>IF(J3530&lt;&gt;1,"",IF(I3530="SBJ","CB","?"))</f>
        <v> </v>
      </c>
      <c r="I3530" s="26" t="str">
        <f>IF(OR(E3530="",E3530="!!!",F3530="NEW"),"",INDEX(B3529:B$2,-1+SUMPRODUCT(MAX(ROW(E3529:E$2)*(E3530=E3529:E$2)))))</f>
        <v> </v>
      </c>
      <c r="J3530" s="26" t="str">
        <f>IF(OR(E3530="",E3530="!!!",F3530="NEW"),"",COUNTBLANK(OFFSET(A$1,,,SUMPRODUCT(MAX(ROW(E$2:E3530)*(E3530=E$2:E3530)))))-COUNTBLANK(OFFSET(A$1,,,SUMPRODUCT(MAX(ROW(E$1:E3529)*(E2=E$1:E3529))))))</f>
        <v> </v>
      </c>
      <c r="K3530" s="26" t="str">
        <f>IF(OR(E3530="",E3530="!!!",F3530="NEW"),"",INDEX(J$1:J3529,SUMPRODUCT(MAX(ROW(E$1:E3529)*(E3530=E$1:E3529)))))</f>
        <v> </v>
      </c>
      <c r="L3530" s="27"/>
    </row>
    <row r="3531" spans="1:12">
      <c r="A3531" s="20" t="s">
        <v>1931</v>
      </c>
      <c r="B3531" s="21" t="s">
        <v>736</v>
      </c>
      <c r="C3531" s="21" t="s">
        <v>737</v>
      </c>
      <c r="E3531" s="22">
        <f>IF(D3531="?OLD","!!!","")</f>
        <v/>
      </c>
      <c r="F3531" s="23" t="str">
        <f>IF(OR(E3531="",E3531="!!!"),"",IF(NOT(ISNA(VLOOKUP(E3531,E$1:E3530,1,FALSE()))),"OLD",IF(AND(E3531&lt;&gt;"",E3531&lt;&gt;"!!!"),"NEW","")))</f>
        <v> </v>
      </c>
      <c r="G3531" s="24" t="str">
        <f>IF(OR(E3531="",E3531="!!!"),"",IF(OR(J3531=0,AND(J3531=1,K3531=1),AND(J3531=1,I3531="SBJ"),AND(J3531=1,I3531=0)),"?IN_FOCUS",IF(J3531&lt;=2,"?ACTIVATED",IF(J3531&lt;&gt;"","?FAMILIAR",IF(F3531="NEW",IF(ISNA(VLOOKUP(E3531,#REF!,1,FALSE())),"?TYPE_IDENTIFIABLE","?REFERENTIAL"),"_")))))</f>
        <v> </v>
      </c>
      <c r="H3531" s="25" t="str">
        <f>IF(J3531&lt;&gt;1,"",IF(I3531="SBJ","CB","?"))</f>
        <v> </v>
      </c>
      <c r="I3531" s="26" t="str">
        <f>IF(OR(E3531="",E3531="!!!",F3531="NEW"),"",INDEX(B3530:B$2,-1+SUMPRODUCT(MAX(ROW(E3530:E$2)*(E3531=E3530:E$2)))))</f>
        <v> </v>
      </c>
      <c r="J3531" s="26" t="str">
        <f>IF(OR(E3531="",E3531="!!!",F3531="NEW"),"",COUNTBLANK(OFFSET(A$1,,,SUMPRODUCT(MAX(ROW(E$2:E3531)*(E3531=E$2:E3531)))))-COUNTBLANK(OFFSET(A$1,,,SUMPRODUCT(MAX(ROW(E$1:E3530)*(E2=E$1:E3530))))))</f>
        <v> </v>
      </c>
      <c r="K3531" s="26" t="str">
        <f>IF(OR(E3531="",E3531="!!!",F3531="NEW"),"",INDEX(J$1:J3530,SUMPRODUCT(MAX(ROW(E$1:E3530)*(E3531=E$1:E3530)))))</f>
        <v> </v>
      </c>
      <c r="L3531" s="27"/>
    </row>
    <row r="3532" spans="1:12">
      <c r="A3532" s="20" t="s">
        <v>759</v>
      </c>
      <c r="E3532" s="22">
        <f>IF(D3532="?OLD","!!!","")</f>
        <v/>
      </c>
      <c r="F3532" s="23" t="str">
        <f>IF(OR(E3532="",E3532="!!!"),"",IF(NOT(ISNA(VLOOKUP(E3532,E$1:E3531,1,FALSE()))),"OLD",IF(AND(E3532&lt;&gt;"",E3532&lt;&gt;"!!!"),"NEW","")))</f>
        <v> </v>
      </c>
      <c r="G3532" s="24" t="str">
        <f>IF(OR(E3532="",E3532="!!!"),"",IF(OR(J3532=0,AND(J3532=1,K3532=1),AND(J3532=1,I3532="SBJ"),AND(J3532=1,I3532=0)),"?IN_FOCUS",IF(J3532&lt;=2,"?ACTIVATED",IF(J3532&lt;&gt;"","?FAMILIAR",IF(F3532="NEW",IF(ISNA(VLOOKUP(E3532,#REF!,1,FALSE())),"?TYPE_IDENTIFIABLE","?REFERENTIAL"),"_")))))</f>
        <v> </v>
      </c>
      <c r="H3532" s="25" t="str">
        <f>IF(J3532&lt;&gt;1,"",IF(I3532="SBJ","CB","?"))</f>
        <v> </v>
      </c>
      <c r="I3532" s="26" t="str">
        <f>IF(OR(E3532="",E3532="!!!",F3532="NEW"),"",INDEX(B3531:B$2,-1+SUMPRODUCT(MAX(ROW(E3531:E$2)*(E3532=E3531:E$2)))))</f>
        <v> </v>
      </c>
      <c r="J3532" s="26" t="str">
        <f>IF(OR(E3532="",E3532="!!!",F3532="NEW"),"",COUNTBLANK(OFFSET(A$1,,,SUMPRODUCT(MAX(ROW(E$2:E3532)*(E3532=E$2:E3532)))))-COUNTBLANK(OFFSET(A$1,,,SUMPRODUCT(MAX(ROW(E$1:E3531)*(E2=E$1:E3531))))))</f>
        <v> </v>
      </c>
      <c r="K3532" s="26" t="str">
        <f>IF(OR(E3532="",E3532="!!!",F3532="NEW"),"",INDEX(J$1:J3531,SUMPRODUCT(MAX(ROW(E$1:E3531)*(E3532=E$1:E3531)))))</f>
        <v> </v>
      </c>
      <c r="L3532" s="27"/>
    </row>
    <row r="3533" spans="1:12">
      <c r="A3533" s="20" t="s">
        <v>1950</v>
      </c>
      <c r="B3533" s="21" t="s">
        <v>736</v>
      </c>
      <c r="C3533" s="21" t="s">
        <v>967</v>
      </c>
      <c r="E3533" s="22">
        <f>IF(D3533="?OLD","!!!","")</f>
        <v/>
      </c>
      <c r="F3533" s="23" t="str">
        <f>IF(OR(E3533="",E3533="!!!"),"",IF(NOT(ISNA(VLOOKUP(E3533,E$1:E3532,1,FALSE()))),"OLD",IF(AND(E3533&lt;&gt;"",E3533&lt;&gt;"!!!"),"NEW","")))</f>
        <v> </v>
      </c>
      <c r="G3533" s="24" t="str">
        <f>IF(OR(E3533="",E3533="!!!"),"",IF(OR(J3533=0,AND(J3533=1,K3533=1),AND(J3533=1,I3533="SBJ"),AND(J3533=1,I3533=0)),"?IN_FOCUS",IF(J3533&lt;=2,"?ACTIVATED",IF(J3533&lt;&gt;"","?FAMILIAR",IF(F3533="NEW",IF(ISNA(VLOOKUP(E3533,#REF!,1,FALSE())),"?TYPE_IDENTIFIABLE","?REFERENTIAL"),"_")))))</f>
        <v> </v>
      </c>
      <c r="H3533" s="25" t="str">
        <f>IF(J3533&lt;&gt;1,"",IF(I3533="SBJ","CB","?"))</f>
        <v> </v>
      </c>
      <c r="I3533" s="26" t="str">
        <f>IF(OR(E3533="",E3533="!!!",F3533="NEW"),"",INDEX(B3532:B$2,-1+SUMPRODUCT(MAX(ROW(E3532:E$2)*(E3533=E3532:E$2)))))</f>
        <v> </v>
      </c>
      <c r="J3533" s="26" t="str">
        <f>IF(OR(E3533="",E3533="!!!",F3533="NEW"),"",COUNTBLANK(OFFSET(A$1,,,SUMPRODUCT(MAX(ROW(E$2:E3533)*(E3533=E$2:E3533)))))-COUNTBLANK(OFFSET(A$1,,,SUMPRODUCT(MAX(ROW(E$1:E3532)*(E2=E$1:E3532))))))</f>
        <v> </v>
      </c>
      <c r="K3533" s="26" t="str">
        <f>IF(OR(E3533="",E3533="!!!",F3533="NEW"),"",INDEX(J$1:J3532,SUMPRODUCT(MAX(ROW(E$1:E3532)*(E3533=E$1:E3532)))))</f>
        <v> </v>
      </c>
      <c r="L3533" s="27"/>
    </row>
    <row r="3534" spans="1:12">
      <c r="A3534" s="20" t="s">
        <v>1023</v>
      </c>
      <c r="E3534" s="22">
        <f>IF(D3534="?OLD","!!!","")</f>
        <v/>
      </c>
      <c r="F3534" s="23" t="str">
        <f>IF(OR(E3534="",E3534="!!!"),"",IF(NOT(ISNA(VLOOKUP(E3534,E$1:E3533,1,FALSE()))),"OLD",IF(AND(E3534&lt;&gt;"",E3534&lt;&gt;"!!!"),"NEW","")))</f>
        <v> </v>
      </c>
      <c r="G3534" s="24" t="str">
        <f>IF(OR(E3534="",E3534="!!!"),"",IF(OR(J3534=0,AND(J3534=1,K3534=1),AND(J3534=1,I3534="SBJ"),AND(J3534=1,I3534=0)),"?IN_FOCUS",IF(J3534&lt;=2,"?ACTIVATED",IF(J3534&lt;&gt;"","?FAMILIAR",IF(F3534="NEW",IF(ISNA(VLOOKUP(E3534,#REF!,1,FALSE())),"?TYPE_IDENTIFIABLE","?REFERENTIAL"),"_")))))</f>
        <v> </v>
      </c>
      <c r="H3534" s="25" t="str">
        <f>IF(J3534&lt;&gt;1,"",IF(I3534="SBJ","CB","?"))</f>
        <v> </v>
      </c>
      <c r="I3534" s="26" t="str">
        <f>IF(OR(E3534="",E3534="!!!",F3534="NEW"),"",INDEX(B3533:B$2,-1+SUMPRODUCT(MAX(ROW(E3533:E$2)*(E3534=E3533:E$2)))))</f>
        <v> </v>
      </c>
      <c r="J3534" s="26" t="str">
        <f>IF(OR(E3534="",E3534="!!!",F3534="NEW"),"",COUNTBLANK(OFFSET(A$1,,,SUMPRODUCT(MAX(ROW(E$2:E3534)*(E3534=E$2:E3534)))))-COUNTBLANK(OFFSET(A$1,,,SUMPRODUCT(MAX(ROW(E$1:E3533)*(E2=E$1:E3533))))))</f>
        <v> </v>
      </c>
      <c r="K3534" s="26" t="str">
        <f>IF(OR(E3534="",E3534="!!!",F3534="NEW"),"",INDEX(J$1:J3533,SUMPRODUCT(MAX(ROW(E$1:E3533)*(E3534=E$1:E3533)))))</f>
        <v> </v>
      </c>
      <c r="L3534" s="27"/>
    </row>
    <row r="3535" spans="1:12">
      <c r="A3535" s="20" t="s">
        <v>1087</v>
      </c>
      <c r="E3535" s="22">
        <f>IF(D3535="?OLD","!!!","")</f>
        <v/>
      </c>
      <c r="F3535" s="23" t="str">
        <f>IF(OR(E3535="",E3535="!!!"),"",IF(NOT(ISNA(VLOOKUP(E3535,E$1:E3534,1,FALSE()))),"OLD",IF(AND(E3535&lt;&gt;"",E3535&lt;&gt;"!!!"),"NEW","")))</f>
        <v> </v>
      </c>
      <c r="G3535" s="24" t="str">
        <f>IF(OR(E3535="",E3535="!!!"),"",IF(OR(J3535=0,AND(J3535=1,K3535=1),AND(J3535=1,I3535="SBJ"),AND(J3535=1,I3535=0)),"?IN_FOCUS",IF(J3535&lt;=2,"?ACTIVATED",IF(J3535&lt;&gt;"","?FAMILIAR",IF(F3535="NEW",IF(ISNA(VLOOKUP(E3535,#REF!,1,FALSE())),"?TYPE_IDENTIFIABLE","?REFERENTIAL"),"_")))))</f>
        <v> </v>
      </c>
      <c r="H3535" s="25" t="str">
        <f>IF(J3535&lt;&gt;1,"",IF(I3535="SBJ","CB","?"))</f>
        <v> </v>
      </c>
      <c r="I3535" s="26" t="str">
        <f>IF(OR(E3535="",E3535="!!!",F3535="NEW"),"",INDEX(B3534:B$2,-1+SUMPRODUCT(MAX(ROW(E3534:E$2)*(E3535=E3534:E$2)))))</f>
        <v> </v>
      </c>
      <c r="J3535" s="26" t="str">
        <f>IF(OR(E3535="",E3535="!!!",F3535="NEW"),"",COUNTBLANK(OFFSET(A$1,,,SUMPRODUCT(MAX(ROW(E$2:E3535)*(E3535=E$2:E3535)))))-COUNTBLANK(OFFSET(A$1,,,SUMPRODUCT(MAX(ROW(E$1:E3534)*(E2=E$1:E3534))))))</f>
        <v> </v>
      </c>
      <c r="K3535" s="26" t="str">
        <f>IF(OR(E3535="",E3535="!!!",F3535="NEW"),"",INDEX(J$1:J3534,SUMPRODUCT(MAX(ROW(E$1:E3534)*(E3535=E$1:E3534)))))</f>
        <v> </v>
      </c>
      <c r="L3535" s="27"/>
    </row>
    <row r="3536" spans="1:12">
      <c r="A3536" s="20" t="s">
        <v>1094</v>
      </c>
      <c r="B3536" s="21" t="s">
        <v>739</v>
      </c>
      <c r="C3536" s="21" t="s">
        <v>789</v>
      </c>
      <c r="D3536" s="21" t="s">
        <v>730</v>
      </c>
      <c r="E3536" s="22">
        <f>IF(D3536="?OLD","!!!","")</f>
        <v/>
      </c>
      <c r="F3536" s="23" t="str">
        <f>IF(OR(E3536="",E3536="!!!"),"",IF(NOT(ISNA(VLOOKUP(E3536,E$1:E3535,1,FALSE()))),"OLD",IF(AND(E3536&lt;&gt;"",E3536&lt;&gt;"!!!"),"NEW","")))</f>
        <v> </v>
      </c>
      <c r="G3536" s="24" t="str">
        <f>IF(OR(E3536="",E3536="!!!"),"",IF(OR(J3536=0,AND(J3536=1,K3536=1),AND(J3536=1,I3536="SBJ"),AND(J3536=1,I3536=0)),"?IN_FOCUS",IF(J3536&lt;=2,"?ACTIVATED",IF(J3536&lt;&gt;"","?FAMILIAR",IF(F3536="NEW",IF(ISNA(VLOOKUP(E3536,#REF!,1,FALSE())),"?TYPE_IDENTIFIABLE","?REFERENTIAL"),"_")))))</f>
        <v> </v>
      </c>
      <c r="H3536" s="25" t="str">
        <f>IF(J3536&lt;&gt;1,"",IF(I3536="SBJ","CB","?"))</f>
        <v> </v>
      </c>
      <c r="I3536" s="26" t="str">
        <f>IF(OR(E3536="",E3536="!!!",F3536="NEW"),"",INDEX(B3535:B$2,-1+SUMPRODUCT(MAX(ROW(E3535:E$2)*(E3536=E3535:E$2)))))</f>
        <v> </v>
      </c>
      <c r="J3536" s="26" t="str">
        <f>IF(OR(E3536="",E3536="!!!",F3536="NEW"),"",COUNTBLANK(OFFSET(A$1,,,SUMPRODUCT(MAX(ROW(E$2:E3536)*(E3536=E$2:E3536)))))-COUNTBLANK(OFFSET(A$1,,,SUMPRODUCT(MAX(ROW(E$1:E3535)*(E2=E$1:E3535))))))</f>
        <v> </v>
      </c>
      <c r="K3536" s="26" t="str">
        <f>IF(OR(E3536="",E3536="!!!",F3536="NEW"),"",INDEX(J$1:J3535,SUMPRODUCT(MAX(ROW(E$1:E3535)*(E3536=E$1:E3535)))))</f>
        <v> </v>
      </c>
      <c r="L3536" s="27"/>
    </row>
    <row r="3537" spans="1:12">
      <c r="A3537" s="20" t="s">
        <v>246</v>
      </c>
      <c r="E3537" s="22">
        <f>IF(D3537="?OLD","!!!","")</f>
        <v/>
      </c>
      <c r="F3537" s="23" t="str">
        <f>IF(OR(E3537="",E3537="!!!"),"",IF(NOT(ISNA(VLOOKUP(E3537,E$1:E3536,1,FALSE()))),"OLD",IF(AND(E3537&lt;&gt;"",E3537&lt;&gt;"!!!"),"NEW","")))</f>
        <v> </v>
      </c>
      <c r="G3537" s="24" t="str">
        <f>IF(OR(E3537="",E3537="!!!"),"",IF(OR(J3537=0,AND(J3537=1,K3537=1),AND(J3537=1,I3537="SBJ"),AND(J3537=1,I3537=0)),"?IN_FOCUS",IF(J3537&lt;=2,"?ACTIVATED",IF(J3537&lt;&gt;"","?FAMILIAR",IF(F3537="NEW",IF(ISNA(VLOOKUP(E3537,#REF!,1,FALSE())),"?TYPE_IDENTIFIABLE","?REFERENTIAL"),"_")))))</f>
        <v> </v>
      </c>
      <c r="H3537" s="25" t="str">
        <f>IF(J3537&lt;&gt;1,"",IF(I3537="SBJ","CB","?"))</f>
        <v> </v>
      </c>
      <c r="I3537" s="26" t="str">
        <f>IF(OR(E3537="",E3537="!!!",F3537="NEW"),"",INDEX(B3536:B$2,-1+SUMPRODUCT(MAX(ROW(E3536:E$2)*(E3537=E3536:E$2)))))</f>
        <v> </v>
      </c>
      <c r="J3537" s="26" t="str">
        <f>IF(OR(E3537="",E3537="!!!",F3537="NEW"),"",COUNTBLANK(OFFSET(A$1,,,SUMPRODUCT(MAX(ROW(E$2:E3537)*(E3537=E$2:E3537)))))-COUNTBLANK(OFFSET(A$1,,,SUMPRODUCT(MAX(ROW(E$1:E3536)*(E2=E$1:E3536))))))</f>
        <v> </v>
      </c>
      <c r="K3537" s="26" t="str">
        <f>IF(OR(E3537="",E3537="!!!",F3537="NEW"),"",INDEX(J$1:J3536,SUMPRODUCT(MAX(ROW(E$1:E3536)*(E3537=E$1:E3536)))))</f>
        <v> </v>
      </c>
      <c r="L3537" s="27"/>
    </row>
    <row r="3538" spans="1:12">
      <c r="A3538" s="20"/>
    </row>
    <row r="3539" spans="1:12">
      <c r="A3539" s="20" t="s">
        <v>1951</v>
      </c>
    </row>
    <row r="3540" spans="1:12">
      <c r="A3540" s="20" t="s">
        <v>1952</v>
      </c>
      <c r="B3540" s="21" t="s">
        <v>736</v>
      </c>
      <c r="C3540" s="21" t="s">
        <v>748</v>
      </c>
      <c r="E3540" s="22">
        <f>IF(D3540="?OLD","!!!","")</f>
        <v/>
      </c>
      <c r="F3540" s="23" t="str">
        <f>IF(OR(E3540="",E3540="!!!"),"",IF(NOT(ISNA(VLOOKUP(E3540,E$1:E3539,1,FALSE()))),"OLD",IF(AND(E3540&lt;&gt;"",E3540&lt;&gt;"!!!"),"NEW","")))</f>
        <v> </v>
      </c>
      <c r="G3540" s="24" t="str">
        <f>IF(OR(E3540="",E3540="!!!"),"",IF(OR(J3540=0,AND(J3540=1,K3540=1),AND(J3540=1,I3540="SBJ"),AND(J3540=1,I3540=0)),"?IN_FOCUS",IF(J3540&lt;=2,"?ACTIVATED",IF(J3540&lt;&gt;"","?FAMILIAR",IF(F3540="NEW",IF(ISNA(VLOOKUP(E3540,#REF!,1,FALSE())),"?TYPE_IDENTIFIABLE","?REFERENTIAL"),"_")))))</f>
        <v> </v>
      </c>
      <c r="H3540" s="25" t="str">
        <f>IF(J3540&lt;&gt;1,"",IF(I3540="SBJ","CB","?"))</f>
        <v> </v>
      </c>
      <c r="I3540" s="26" t="str">
        <f>IF(OR(E3540="",E3540="!!!",F3540="NEW"),"",INDEX(B3539:B$2,-1+SUMPRODUCT(MAX(ROW(E3539:E$2)*(E3540=E3539:E$2)))))</f>
        <v> </v>
      </c>
      <c r="J3540" s="26" t="str">
        <f>IF(OR(E3540="",E3540="!!!",F3540="NEW"),"",COUNTBLANK(OFFSET(A$1,,,SUMPRODUCT(MAX(ROW(E$2:E3540)*(E3540=E$2:E3540)))))-COUNTBLANK(OFFSET(A$1,,,SUMPRODUCT(MAX(ROW(E$1:E3539)*(E2=E$1:E3539))))))</f>
        <v> </v>
      </c>
      <c r="K3540" s="26" t="str">
        <f>IF(OR(E3540="",E3540="!!!",F3540="NEW"),"",INDEX(J$1:J3539,SUMPRODUCT(MAX(ROW(E$1:E3539)*(E3540=E$1:E3539)))))</f>
        <v> </v>
      </c>
      <c r="L3540" s="27"/>
    </row>
    <row r="3541" spans="1:12">
      <c r="A3541" s="20" t="s">
        <v>246</v>
      </c>
      <c r="E3541" s="22">
        <f>IF(D3541="?OLD","!!!","")</f>
        <v/>
      </c>
      <c r="F3541" s="23" t="str">
        <f>IF(OR(E3541="",E3541="!!!"),"",IF(NOT(ISNA(VLOOKUP(E3541,E$1:E3540,1,FALSE()))),"OLD",IF(AND(E3541&lt;&gt;"",E3541&lt;&gt;"!!!"),"NEW","")))</f>
        <v> </v>
      </c>
      <c r="G3541" s="24" t="str">
        <f>IF(OR(E3541="",E3541="!!!"),"",IF(OR(J3541=0,AND(J3541=1,K3541=1),AND(J3541=1,I3541="SBJ"),AND(J3541=1,I3541=0)),"?IN_FOCUS",IF(J3541&lt;=2,"?ACTIVATED",IF(J3541&lt;&gt;"","?FAMILIAR",IF(F3541="NEW",IF(ISNA(VLOOKUP(E3541,#REF!,1,FALSE())),"?TYPE_IDENTIFIABLE","?REFERENTIAL"),"_")))))</f>
        <v> </v>
      </c>
      <c r="H3541" s="25" t="str">
        <f>IF(J3541&lt;&gt;1,"",IF(I3541="SBJ","CB","?"))</f>
        <v> </v>
      </c>
      <c r="I3541" s="26" t="str">
        <f>IF(OR(E3541="",E3541="!!!",F3541="NEW"),"",INDEX(B3540:B$2,-1+SUMPRODUCT(MAX(ROW(E3540:E$2)*(E3541=E3540:E$2)))))</f>
        <v> </v>
      </c>
      <c r="J3541" s="26" t="str">
        <f>IF(OR(E3541="",E3541="!!!",F3541="NEW"),"",COUNTBLANK(OFFSET(A$1,,,SUMPRODUCT(MAX(ROW(E$2:E3541)*(E3541=E$2:E3541)))))-COUNTBLANK(OFFSET(A$1,,,SUMPRODUCT(MAX(ROW(E$1:E3540)*(E2=E$1:E3540))))))</f>
        <v> </v>
      </c>
      <c r="K3541" s="26" t="str">
        <f>IF(OR(E3541="",E3541="!!!",F3541="NEW"),"",INDEX(J$1:J3540,SUMPRODUCT(MAX(ROW(E$1:E3540)*(E3541=E$1:E3540)))))</f>
        <v> </v>
      </c>
      <c r="L3541" s="27"/>
    </row>
    <row r="3542" spans="1:12">
      <c r="A3542" s="20"/>
    </row>
  </sheetData>
  <sheetProtection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sentence-level annotation</vt:lpstr>
      <vt:lpstr>word-level annotation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2024-12-05T17:56:00Z</dcterms:created>
  <dcterms:modified xsi:type="dcterms:W3CDTF">2024-12-05T17:56:00Z</dcterms:modified>
</cp:coreProperties>
</file>