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tabea\Desktop\Git\AURIS\annotators\team\tg\in-progress\"/>
    </mc:Choice>
  </mc:AlternateContent>
  <xr:revisionPtr revIDLastSave="0" documentId="13_ncr:1_{08F7F5DA-9CDA-49C5-BC9C-FA4F1933CAD7}" xr6:coauthVersionLast="47" xr6:coauthVersionMax="47" xr10:uidLastSave="{00000000-0000-0000-0000-000000000000}"/>
  <bookViews>
    <workbookView xWindow="-96" yWindow="0" windowWidth="17232" windowHeight="1233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463" i="2" l="1"/>
  <c r="E462" i="2"/>
  <c r="G461" i="2"/>
  <c r="F461" i="2"/>
  <c r="I461" i="2" s="1"/>
  <c r="E461" i="2"/>
  <c r="F460" i="2"/>
  <c r="K460" i="2" s="1"/>
  <c r="E460" i="2"/>
  <c r="G460" i="2" s="1"/>
  <c r="E459" i="2"/>
  <c r="G458" i="2"/>
  <c r="F458" i="2"/>
  <c r="J458" i="2" s="1"/>
  <c r="H458" i="2" s="1"/>
  <c r="E458" i="2"/>
  <c r="G455" i="2"/>
  <c r="F455" i="2"/>
  <c r="K455" i="2" s="1"/>
  <c r="E455" i="2"/>
  <c r="G454" i="2"/>
  <c r="F454" i="2"/>
  <c r="J454" i="2" s="1"/>
  <c r="H454" i="2" s="1"/>
  <c r="E454" i="2"/>
  <c r="E453" i="2"/>
  <c r="E452" i="2"/>
  <c r="F451" i="2"/>
  <c r="F450" i="2"/>
  <c r="J450" i="2" s="1"/>
  <c r="H450" i="2" s="1"/>
  <c r="E450" i="2"/>
  <c r="G450" i="2" s="1"/>
  <c r="E449" i="2"/>
  <c r="G448" i="2"/>
  <c r="F448" i="2"/>
  <c r="K448" i="2" s="1"/>
  <c r="E448" i="2"/>
  <c r="G447" i="2"/>
  <c r="F447" i="2"/>
  <c r="K447" i="2" s="1"/>
  <c r="E447" i="2"/>
  <c r="E446" i="2"/>
  <c r="F445" i="2"/>
  <c r="I445" i="2" s="1"/>
  <c r="E445" i="2"/>
  <c r="E444" i="2"/>
  <c r="G443" i="2"/>
  <c r="F443" i="2"/>
  <c r="J443" i="2" s="1"/>
  <c r="H443" i="2" s="1"/>
  <c r="E443" i="2"/>
  <c r="F442" i="2"/>
  <c r="K442" i="2" s="1"/>
  <c r="E442" i="2"/>
  <c r="G442" i="2" s="1"/>
  <c r="G440" i="2"/>
  <c r="F440" i="2"/>
  <c r="K440" i="2" s="1"/>
  <c r="E440" i="2"/>
  <c r="G439" i="2"/>
  <c r="F439" i="2"/>
  <c r="K439" i="2" s="1"/>
  <c r="E439" i="2"/>
  <c r="G438" i="2"/>
  <c r="F438" i="2"/>
  <c r="J438" i="2" s="1"/>
  <c r="H438" i="2" s="1"/>
  <c r="E438" i="2"/>
  <c r="F437" i="2"/>
  <c r="E437" i="2"/>
  <c r="G435" i="2"/>
  <c r="F435" i="2"/>
  <c r="I435" i="2" s="1"/>
  <c r="E435" i="2"/>
  <c r="F434" i="2"/>
  <c r="I434" i="2" s="1"/>
  <c r="E434" i="2"/>
  <c r="G434" i="2" s="1"/>
  <c r="G433" i="2"/>
  <c r="E433" i="2"/>
  <c r="G432" i="2"/>
  <c r="F432" i="2"/>
  <c r="I432" i="2" s="1"/>
  <c r="E432" i="2"/>
  <c r="E429" i="2"/>
  <c r="E428" i="2"/>
  <c r="E427" i="2"/>
  <c r="E426" i="2"/>
  <c r="G425" i="2"/>
  <c r="F425" i="2"/>
  <c r="K425" i="2" s="1"/>
  <c r="E425" i="2"/>
  <c r="F424" i="2"/>
  <c r="K424" i="2" s="1"/>
  <c r="E424" i="2"/>
  <c r="G424" i="2" s="1"/>
  <c r="G423" i="2"/>
  <c r="E423" i="2"/>
  <c r="G422" i="2"/>
  <c r="F422" i="2"/>
  <c r="I422" i="2" s="1"/>
  <c r="E422" i="2"/>
  <c r="G421" i="2"/>
  <c r="F421" i="2"/>
  <c r="K421" i="2" s="1"/>
  <c r="E421" i="2"/>
  <c r="E420" i="2"/>
  <c r="F419" i="2"/>
  <c r="K419" i="2" s="1"/>
  <c r="E419" i="2"/>
  <c r="E418" i="2"/>
  <c r="G417" i="2"/>
  <c r="F417" i="2"/>
  <c r="J417" i="2" s="1"/>
  <c r="H417" i="2" s="1"/>
  <c r="E417" i="2"/>
  <c r="F416" i="2"/>
  <c r="I416" i="2" s="1"/>
  <c r="E416" i="2"/>
  <c r="G416" i="2" s="1"/>
  <c r="E415" i="2"/>
  <c r="G414" i="2"/>
  <c r="F414" i="2"/>
  <c r="J414" i="2" s="1"/>
  <c r="H414" i="2" s="1"/>
  <c r="E414" i="2"/>
  <c r="E413" i="2"/>
  <c r="G412" i="2"/>
  <c r="F412" i="2"/>
  <c r="E412" i="2"/>
  <c r="F411" i="2"/>
  <c r="I411" i="2" s="1"/>
  <c r="E411" i="2"/>
  <c r="G410" i="2"/>
  <c r="E410" i="2"/>
  <c r="G409" i="2"/>
  <c r="F409" i="2"/>
  <c r="E409" i="2"/>
  <c r="E408" i="2"/>
  <c r="E407" i="2"/>
  <c r="G406" i="2"/>
  <c r="F406" i="2"/>
  <c r="E406" i="2"/>
  <c r="F405" i="2"/>
  <c r="E405" i="2"/>
  <c r="F404" i="2"/>
  <c r="I404" i="2" s="1"/>
  <c r="F403" i="2"/>
  <c r="I403" i="2" s="1"/>
  <c r="E403" i="2"/>
  <c r="E402" i="2"/>
  <c r="G401" i="2"/>
  <c r="F401" i="2"/>
  <c r="I401" i="2" s="1"/>
  <c r="E401" i="2"/>
  <c r="F400" i="2"/>
  <c r="I400" i="2" s="1"/>
  <c r="E400" i="2"/>
  <c r="G400" i="2" s="1"/>
  <c r="E397" i="2"/>
  <c r="G396" i="2"/>
  <c r="F396" i="2"/>
  <c r="K396" i="2" s="1"/>
  <c r="E396" i="2"/>
  <c r="E395" i="2"/>
  <c r="F394" i="2"/>
  <c r="E394" i="2"/>
  <c r="F393" i="2"/>
  <c r="I393" i="2" s="1"/>
  <c r="E393" i="2"/>
  <c r="G392" i="2"/>
  <c r="E392" i="2"/>
  <c r="G391" i="2"/>
  <c r="F391" i="2"/>
  <c r="E391" i="2"/>
  <c r="E390" i="2"/>
  <c r="E389" i="2"/>
  <c r="F388" i="2"/>
  <c r="F385" i="2"/>
  <c r="E385" i="2"/>
  <c r="F384" i="2"/>
  <c r="J384" i="2" s="1"/>
  <c r="H384" i="2" s="1"/>
  <c r="E384" i="2"/>
  <c r="F383" i="2"/>
  <c r="I383" i="2" s="1"/>
  <c r="E383" i="2"/>
  <c r="E382" i="2"/>
  <c r="G381" i="2"/>
  <c r="F381" i="2"/>
  <c r="K381" i="2" s="1"/>
  <c r="E381" i="2"/>
  <c r="F380" i="2"/>
  <c r="J380" i="2" s="1"/>
  <c r="H380" i="2" s="1"/>
  <c r="G379" i="2"/>
  <c r="E379" i="2"/>
  <c r="G378" i="2"/>
  <c r="F378" i="2"/>
  <c r="K378" i="2" s="1"/>
  <c r="E378" i="2"/>
  <c r="G376" i="2"/>
  <c r="F376" i="2"/>
  <c r="E376" i="2"/>
  <c r="F375" i="2"/>
  <c r="I375" i="2" s="1"/>
  <c r="E375" i="2"/>
  <c r="G371" i="2"/>
  <c r="F371" i="2"/>
  <c r="E371" i="2"/>
  <c r="G368" i="2"/>
  <c r="F368" i="2"/>
  <c r="E368" i="2"/>
  <c r="F367" i="2"/>
  <c r="E367" i="2"/>
  <c r="F366" i="2"/>
  <c r="I366" i="2" s="1"/>
  <c r="F365" i="2"/>
  <c r="I365" i="2" s="1"/>
  <c r="E365" i="2"/>
  <c r="E364" i="2"/>
  <c r="F363" i="2"/>
  <c r="I363" i="2" s="1"/>
  <c r="F362" i="2"/>
  <c r="J362" i="2" s="1"/>
  <c r="H362" i="2" s="1"/>
  <c r="E362" i="2"/>
  <c r="G362" i="2" s="1"/>
  <c r="G361" i="2"/>
  <c r="E361" i="2"/>
  <c r="G360" i="2"/>
  <c r="F360" i="2"/>
  <c r="K360" i="2" s="1"/>
  <c r="E360" i="2"/>
  <c r="G359" i="2"/>
  <c r="E359" i="2"/>
  <c r="F358" i="2"/>
  <c r="F357" i="2"/>
  <c r="I357" i="2" s="1"/>
  <c r="E357" i="2"/>
  <c r="G356" i="2"/>
  <c r="E356" i="2"/>
  <c r="F355" i="2"/>
  <c r="E354" i="2"/>
  <c r="G352" i="2"/>
  <c r="F352" i="2"/>
  <c r="E352" i="2"/>
  <c r="E351" i="2"/>
  <c r="F350" i="2"/>
  <c r="J350" i="2" s="1"/>
  <c r="H350" i="2" s="1"/>
  <c r="E350" i="2"/>
  <c r="E349" i="2"/>
  <c r="F347" i="2"/>
  <c r="J347" i="2" s="1"/>
  <c r="H347" i="2" s="1"/>
  <c r="G346" i="2"/>
  <c r="F346" i="2"/>
  <c r="J346" i="2" s="1"/>
  <c r="H346" i="2" s="1"/>
  <c r="E346" i="2"/>
  <c r="F344" i="2"/>
  <c r="E344" i="2"/>
  <c r="F343" i="2"/>
  <c r="J343" i="2" s="1"/>
  <c r="H343" i="2" s="1"/>
  <c r="E343" i="2"/>
  <c r="F342" i="2"/>
  <c r="I342" i="2" s="1"/>
  <c r="E341" i="2"/>
  <c r="G340" i="2"/>
  <c r="F340" i="2"/>
  <c r="E340" i="2"/>
  <c r="G337" i="2"/>
  <c r="E337" i="2"/>
  <c r="G336" i="2"/>
  <c r="F336" i="2"/>
  <c r="J336" i="2" s="1"/>
  <c r="H336" i="2" s="1"/>
  <c r="E336" i="2"/>
  <c r="E335" i="2"/>
  <c r="E334" i="2"/>
  <c r="G333" i="2"/>
  <c r="F333" i="2"/>
  <c r="K333" i="2" s="1"/>
  <c r="E333" i="2"/>
  <c r="E332" i="2"/>
  <c r="G332" i="2" s="1"/>
  <c r="E331" i="2"/>
  <c r="F330" i="2"/>
  <c r="I330" i="2" s="1"/>
  <c r="F329" i="2"/>
  <c r="J329" i="2" s="1"/>
  <c r="H329" i="2" s="1"/>
  <c r="E329" i="2"/>
  <c r="F328" i="2"/>
  <c r="J328" i="2" s="1"/>
  <c r="H328" i="2" s="1"/>
  <c r="E328" i="2"/>
  <c r="F327" i="2"/>
  <c r="I327" i="2" s="1"/>
  <c r="E326" i="2"/>
  <c r="G325" i="2"/>
  <c r="F325" i="2"/>
  <c r="J325" i="2" s="1"/>
  <c r="H325" i="2" s="1"/>
  <c r="F324" i="2"/>
  <c r="K324" i="2" s="1"/>
  <c r="E324" i="2"/>
  <c r="G324" i="2" s="1"/>
  <c r="G321" i="2"/>
  <c r="E321" i="2"/>
  <c r="G320" i="2"/>
  <c r="F320" i="2"/>
  <c r="I320" i="2" s="1"/>
  <c r="E320" i="2"/>
  <c r="E319" i="2"/>
  <c r="E318" i="2"/>
  <c r="F317" i="2"/>
  <c r="K317" i="2" s="1"/>
  <c r="E317" i="2"/>
  <c r="G316" i="2"/>
  <c r="E316" i="2"/>
  <c r="G315" i="2"/>
  <c r="F315" i="2"/>
  <c r="I315" i="2" s="1"/>
  <c r="E315" i="2"/>
  <c r="E314" i="2"/>
  <c r="G314" i="2" s="1"/>
  <c r="E313" i="2"/>
  <c r="G312" i="2"/>
  <c r="I312" i="2"/>
  <c r="F311" i="2"/>
  <c r="J311" i="2" s="1"/>
  <c r="H311" i="2" s="1"/>
  <c r="E311" i="2"/>
  <c r="E310" i="2"/>
  <c r="F309" i="2"/>
  <c r="I309" i="2" s="1"/>
  <c r="E309" i="2"/>
  <c r="E308" i="2"/>
  <c r="G307" i="2"/>
  <c r="F307" i="2"/>
  <c r="E307" i="2"/>
  <c r="F306" i="2"/>
  <c r="K306" i="2" s="1"/>
  <c r="E306" i="2"/>
  <c r="G306" i="2" s="1"/>
  <c r="G305" i="2"/>
  <c r="E305" i="2"/>
  <c r="G304" i="2"/>
  <c r="F304" i="2"/>
  <c r="I304" i="2" s="1"/>
  <c r="E304" i="2"/>
  <c r="E302" i="2"/>
  <c r="F301" i="2"/>
  <c r="K301" i="2" s="1"/>
  <c r="E301" i="2"/>
  <c r="G300" i="2"/>
  <c r="E300" i="2"/>
  <c r="G299" i="2"/>
  <c r="F299" i="2"/>
  <c r="I299" i="2" s="1"/>
  <c r="E299" i="2"/>
  <c r="E296" i="2"/>
  <c r="G294" i="2"/>
  <c r="F294" i="2"/>
  <c r="I294" i="2" s="1"/>
  <c r="E294" i="2"/>
  <c r="F293" i="2"/>
  <c r="J293" i="2" s="1"/>
  <c r="H293" i="2" s="1"/>
  <c r="E293" i="2"/>
  <c r="E292" i="2"/>
  <c r="F291" i="2"/>
  <c r="I291" i="2" s="1"/>
  <c r="E291" i="2"/>
  <c r="E290" i="2"/>
  <c r="G289" i="2"/>
  <c r="F289" i="2"/>
  <c r="K289" i="2" s="1"/>
  <c r="E289" i="2"/>
  <c r="E288" i="2"/>
  <c r="I287" i="2"/>
  <c r="E286" i="2"/>
  <c r="G285" i="2"/>
  <c r="E285" i="2"/>
  <c r="E284" i="2"/>
  <c r="F283" i="2"/>
  <c r="E283" i="2"/>
  <c r="G283" i="2" s="1"/>
  <c r="E282" i="2"/>
  <c r="F281" i="2"/>
  <c r="J281" i="2" s="1"/>
  <c r="H281" i="2" s="1"/>
  <c r="E280" i="2"/>
  <c r="G279" i="2"/>
  <c r="F279" i="2"/>
  <c r="K279" i="2" s="1"/>
  <c r="E279" i="2"/>
  <c r="E278" i="2"/>
  <c r="G277" i="2"/>
  <c r="E277" i="2"/>
  <c r="G276" i="2"/>
  <c r="F276" i="2"/>
  <c r="K276" i="2" s="1"/>
  <c r="E276" i="2"/>
  <c r="E274" i="2"/>
  <c r="F273" i="2"/>
  <c r="G272" i="2"/>
  <c r="E272" i="2"/>
  <c r="G271" i="2"/>
  <c r="F271" i="2"/>
  <c r="K271" i="2" s="1"/>
  <c r="E271" i="2"/>
  <c r="E270" i="2"/>
  <c r="E269" i="2"/>
  <c r="F268" i="2"/>
  <c r="F267" i="2"/>
  <c r="J267" i="2" s="1"/>
  <c r="H267" i="2" s="1"/>
  <c r="E267" i="2"/>
  <c r="E266" i="2"/>
  <c r="I265" i="2"/>
  <c r="G263" i="2"/>
  <c r="F263" i="2"/>
  <c r="E263" i="2"/>
  <c r="F262" i="2"/>
  <c r="I262" i="2" s="1"/>
  <c r="E261" i="2"/>
  <c r="G260" i="2"/>
  <c r="F260" i="2"/>
  <c r="K260" i="2" s="1"/>
  <c r="E260" i="2"/>
  <c r="E259" i="2"/>
  <c r="E258" i="2"/>
  <c r="F257" i="2"/>
  <c r="K257" i="2" s="1"/>
  <c r="E257" i="2"/>
  <c r="G257" i="2" s="1"/>
  <c r="E256" i="2"/>
  <c r="F255" i="2"/>
  <c r="F254" i="2"/>
  <c r="I254" i="2" s="1"/>
  <c r="E254" i="2"/>
  <c r="G254" i="2" s="1"/>
  <c r="E253" i="2"/>
  <c r="G252" i="2"/>
  <c r="F252" i="2"/>
  <c r="E252" i="2"/>
  <c r="E251" i="2"/>
  <c r="E250" i="2"/>
  <c r="F249" i="2"/>
  <c r="E249" i="2"/>
  <c r="G248" i="2"/>
  <c r="E248" i="2"/>
  <c r="G245" i="2"/>
  <c r="F245" i="2"/>
  <c r="I245" i="2" s="1"/>
  <c r="E245" i="2"/>
  <c r="E244" i="2"/>
  <c r="G244" i="2" s="1"/>
  <c r="G242" i="2"/>
  <c r="F242" i="2"/>
  <c r="I242" i="2" s="1"/>
  <c r="E242" i="2"/>
  <c r="E241" i="2"/>
  <c r="E239" i="2"/>
  <c r="E238" i="2"/>
  <c r="G237" i="2"/>
  <c r="F237" i="2"/>
  <c r="E237" i="2"/>
  <c r="E236" i="2"/>
  <c r="G235" i="2"/>
  <c r="F235" i="2"/>
  <c r="E235" i="2"/>
  <c r="E234" i="2"/>
  <c r="G233" i="2"/>
  <c r="E233" i="2"/>
  <c r="E231" i="2"/>
  <c r="G230" i="2"/>
  <c r="F230" i="2"/>
  <c r="K230" i="2" s="1"/>
  <c r="E230" i="2"/>
  <c r="E228" i="2"/>
  <c r="G228" i="2" s="1"/>
  <c r="E227" i="2"/>
  <c r="G227" i="2" s="1"/>
  <c r="F226" i="2"/>
  <c r="G225" i="2"/>
  <c r="F225" i="2"/>
  <c r="I225" i="2" s="1"/>
  <c r="E225" i="2"/>
  <c r="E223" i="2"/>
  <c r="G222" i="2"/>
  <c r="F222" i="2"/>
  <c r="K222" i="2" s="1"/>
  <c r="E222" i="2"/>
  <c r="E221" i="2"/>
  <c r="E219" i="2"/>
  <c r="G219" i="2" s="1"/>
  <c r="G218" i="2"/>
  <c r="E218" i="2"/>
  <c r="F218" i="2" s="1"/>
  <c r="G217" i="2"/>
  <c r="F217" i="2"/>
  <c r="I217" i="2" s="1"/>
  <c r="E217" i="2"/>
  <c r="F216" i="2"/>
  <c r="E215" i="2"/>
  <c r="G214" i="2"/>
  <c r="F214" i="2"/>
  <c r="K214" i="2" s="1"/>
  <c r="E214" i="2"/>
  <c r="E213" i="2"/>
  <c r="E210" i="2"/>
  <c r="G210" i="2" s="1"/>
  <c r="E209" i="2"/>
  <c r="G209" i="2" s="1"/>
  <c r="G208" i="2"/>
  <c r="E208" i="2"/>
  <c r="F208" i="2" s="1"/>
  <c r="J208" i="2" s="1"/>
  <c r="H208" i="2" s="1"/>
  <c r="F207" i="2"/>
  <c r="E206" i="2"/>
  <c r="G204" i="2"/>
  <c r="F204" i="2"/>
  <c r="K204" i="2" s="1"/>
  <c r="F203" i="2"/>
  <c r="J203" i="2" s="1"/>
  <c r="H203" i="2" s="1"/>
  <c r="E203" i="2"/>
  <c r="E202" i="2"/>
  <c r="E201" i="2"/>
  <c r="G201" i="2" s="1"/>
  <c r="G200" i="2"/>
  <c r="E200" i="2"/>
  <c r="F200" i="2" s="1"/>
  <c r="I200" i="2" s="1"/>
  <c r="G199" i="2"/>
  <c r="F199" i="2"/>
  <c r="K199" i="2" s="1"/>
  <c r="E199" i="2"/>
  <c r="E198" i="2"/>
  <c r="G197" i="2"/>
  <c r="E197" i="2"/>
  <c r="G196" i="2"/>
  <c r="F196" i="2"/>
  <c r="K196" i="2" s="1"/>
  <c r="E196" i="2"/>
  <c r="F195" i="2"/>
  <c r="E195" i="2"/>
  <c r="E194" i="2"/>
  <c r="E193" i="2"/>
  <c r="G193" i="2" s="1"/>
  <c r="F192" i="2"/>
  <c r="I192" i="2" s="1"/>
  <c r="G191" i="2"/>
  <c r="F191" i="2"/>
  <c r="K191" i="2" s="1"/>
  <c r="E190" i="2"/>
  <c r="G189" i="2"/>
  <c r="E189" i="2"/>
  <c r="G188" i="2"/>
  <c r="F188" i="2"/>
  <c r="K188" i="2" s="1"/>
  <c r="E188" i="2"/>
  <c r="F187" i="2"/>
  <c r="E187" i="2"/>
  <c r="E186" i="2"/>
  <c r="E185" i="2"/>
  <c r="G185" i="2" s="1"/>
  <c r="G184" i="2"/>
  <c r="E184" i="2"/>
  <c r="F184" i="2" s="1"/>
  <c r="I184" i="2" s="1"/>
  <c r="G183" i="2"/>
  <c r="F183" i="2"/>
  <c r="K183" i="2" s="1"/>
  <c r="E183" i="2"/>
  <c r="E182" i="2"/>
  <c r="G181" i="2"/>
  <c r="E181" i="2"/>
  <c r="G180" i="2"/>
  <c r="F180" i="2"/>
  <c r="K180" i="2" s="1"/>
  <c r="E180" i="2"/>
  <c r="E176" i="2"/>
  <c r="F174" i="2"/>
  <c r="I174" i="2" s="1"/>
  <c r="G173" i="2"/>
  <c r="F173" i="2"/>
  <c r="K173" i="2" s="1"/>
  <c r="E173" i="2"/>
  <c r="E171" i="2"/>
  <c r="G170" i="2"/>
  <c r="F170" i="2"/>
  <c r="K170" i="2" s="1"/>
  <c r="E170" i="2"/>
  <c r="G169" i="2"/>
  <c r="E169" i="2"/>
  <c r="F168" i="2"/>
  <c r="I168" i="2" s="1"/>
  <c r="E168" i="2"/>
  <c r="E167" i="2"/>
  <c r="G166" i="2"/>
  <c r="E166" i="2"/>
  <c r="F166" i="2" s="1"/>
  <c r="I166" i="2" s="1"/>
  <c r="G165" i="2"/>
  <c r="F165" i="2"/>
  <c r="J165" i="2" s="1"/>
  <c r="H165" i="2" s="1"/>
  <c r="E165" i="2"/>
  <c r="E164" i="2"/>
  <c r="F162" i="2"/>
  <c r="E162" i="2"/>
  <c r="G161" i="2"/>
  <c r="E161" i="2"/>
  <c r="E160" i="2"/>
  <c r="G160" i="2" s="1"/>
  <c r="G157" i="2"/>
  <c r="E157" i="2"/>
  <c r="F157" i="2" s="1"/>
  <c r="K157" i="2" s="1"/>
  <c r="G155" i="2"/>
  <c r="F155" i="2"/>
  <c r="E155" i="2"/>
  <c r="E154" i="2"/>
  <c r="G152" i="2"/>
  <c r="F152" i="2"/>
  <c r="K152" i="2" s="1"/>
  <c r="E152" i="2"/>
  <c r="G151" i="2"/>
  <c r="F151" i="2"/>
  <c r="E151" i="2"/>
  <c r="E149" i="2"/>
  <c r="G148" i="2"/>
  <c r="E148" i="2"/>
  <c r="F148" i="2" s="1"/>
  <c r="K148" i="2" s="1"/>
  <c r="G147" i="2"/>
  <c r="F147" i="2"/>
  <c r="I147" i="2" s="1"/>
  <c r="E147" i="2"/>
  <c r="E146" i="2"/>
  <c r="F144" i="2"/>
  <c r="E144" i="2"/>
  <c r="G143" i="2"/>
  <c r="E143" i="2"/>
  <c r="E142" i="2"/>
  <c r="G142" i="2" s="1"/>
  <c r="E141" i="2"/>
  <c r="G140" i="2"/>
  <c r="E140" i="2"/>
  <c r="F140" i="2" s="1"/>
  <c r="K140" i="2" s="1"/>
  <c r="G139" i="2"/>
  <c r="F139" i="2"/>
  <c r="E139" i="2"/>
  <c r="E138" i="2"/>
  <c r="E137" i="2"/>
  <c r="F136" i="2"/>
  <c r="K136" i="2" s="1"/>
  <c r="G135" i="2"/>
  <c r="F135" i="2"/>
  <c r="E135" i="2"/>
  <c r="E134" i="2"/>
  <c r="G134" i="2" s="1"/>
  <c r="E133" i="2"/>
  <c r="F132" i="2"/>
  <c r="K132" i="2" s="1"/>
  <c r="G131" i="2"/>
  <c r="F131" i="2"/>
  <c r="I131" i="2" s="1"/>
  <c r="E131" i="2"/>
  <c r="E128" i="2"/>
  <c r="E127" i="2"/>
  <c r="F126" i="2"/>
  <c r="E126" i="2"/>
  <c r="G125" i="2"/>
  <c r="E125" i="2"/>
  <c r="E123" i="2"/>
  <c r="G122" i="2"/>
  <c r="E122" i="2"/>
  <c r="F122" i="2" s="1"/>
  <c r="I122" i="2" s="1"/>
  <c r="F121" i="2"/>
  <c r="E120" i="2"/>
  <c r="E119" i="2"/>
  <c r="G118" i="2"/>
  <c r="F118" i="2"/>
  <c r="K118" i="2" s="1"/>
  <c r="E118" i="2"/>
  <c r="G117" i="2"/>
  <c r="F117" i="2"/>
  <c r="E116" i="2"/>
  <c r="G116" i="2" s="1"/>
  <c r="E113" i="2"/>
  <c r="G112" i="2"/>
  <c r="E112" i="2"/>
  <c r="F112" i="2" s="1"/>
  <c r="K112" i="2" s="1"/>
  <c r="F111" i="2"/>
  <c r="K111" i="2" s="1"/>
  <c r="E111" i="2"/>
  <c r="E110" i="2"/>
  <c r="G110" i="2" s="1"/>
  <c r="E109" i="2"/>
  <c r="G109" i="2" s="1"/>
  <c r="G108" i="2"/>
  <c r="E108" i="2"/>
  <c r="F108" i="2" s="1"/>
  <c r="G107" i="2"/>
  <c r="F107" i="2"/>
  <c r="E107" i="2"/>
  <c r="E106" i="2"/>
  <c r="E105" i="2"/>
  <c r="G104" i="2"/>
  <c r="F104" i="2"/>
  <c r="K104" i="2" s="1"/>
  <c r="E104" i="2"/>
  <c r="F103" i="2"/>
  <c r="K103" i="2" s="1"/>
  <c r="E103" i="2"/>
  <c r="E102" i="2"/>
  <c r="G102" i="2" s="1"/>
  <c r="E101" i="2"/>
  <c r="G101" i="2" s="1"/>
  <c r="F100" i="2"/>
  <c r="G97" i="2"/>
  <c r="F97" i="2"/>
  <c r="E97" i="2"/>
  <c r="E96" i="2"/>
  <c r="E95" i="2"/>
  <c r="G94" i="2"/>
  <c r="F94" i="2"/>
  <c r="K94" i="2" s="1"/>
  <c r="E94" i="2"/>
  <c r="F93" i="2"/>
  <c r="K93" i="2" s="1"/>
  <c r="E93" i="2"/>
  <c r="E92" i="2"/>
  <c r="G92" i="2" s="1"/>
  <c r="E91" i="2"/>
  <c r="G91" i="2" s="1"/>
  <c r="G90" i="2"/>
  <c r="E90" i="2"/>
  <c r="F90" i="2" s="1"/>
  <c r="G89" i="2"/>
  <c r="F89" i="2"/>
  <c r="E89" i="2"/>
  <c r="E88" i="2"/>
  <c r="G86" i="2"/>
  <c r="F86" i="2"/>
  <c r="K86" i="2" s="1"/>
  <c r="E86" i="2"/>
  <c r="F85" i="2"/>
  <c r="K85" i="2" s="1"/>
  <c r="E84" i="2"/>
  <c r="G84" i="2" s="1"/>
  <c r="E81" i="2"/>
  <c r="G81" i="2" s="1"/>
  <c r="G80" i="2"/>
  <c r="E80" i="2"/>
  <c r="F80" i="2" s="1"/>
  <c r="F79" i="2"/>
  <c r="E78" i="2"/>
  <c r="G76" i="2"/>
  <c r="F76" i="2"/>
  <c r="K76" i="2" s="1"/>
  <c r="E76" i="2"/>
  <c r="F75" i="2"/>
  <c r="K75" i="2" s="1"/>
  <c r="E75" i="2"/>
  <c r="E74" i="2"/>
  <c r="G74" i="2" s="1"/>
  <c r="E73" i="2"/>
  <c r="G73" i="2" s="1"/>
  <c r="F72" i="2"/>
  <c r="G71" i="2"/>
  <c r="F71" i="2"/>
  <c r="E71" i="2"/>
  <c r="E70" i="2"/>
  <c r="E69" i="2"/>
  <c r="G68" i="2"/>
  <c r="F68" i="2"/>
  <c r="K68" i="2" s="1"/>
  <c r="E68" i="2"/>
  <c r="F67" i="2"/>
  <c r="K67" i="2" s="1"/>
  <c r="E67" i="2"/>
  <c r="E65" i="2"/>
  <c r="G65" i="2" s="1"/>
  <c r="G64" i="2"/>
  <c r="E64" i="2"/>
  <c r="F64" i="2" s="1"/>
  <c r="G63" i="2"/>
  <c r="F63" i="2"/>
  <c r="E63" i="2"/>
  <c r="E62" i="2"/>
  <c r="E61" i="2"/>
  <c r="G60" i="2"/>
  <c r="K60" i="2"/>
  <c r="E59" i="2"/>
  <c r="E58" i="2"/>
  <c r="G58" i="2" s="1"/>
  <c r="G55" i="2"/>
  <c r="E55" i="2"/>
  <c r="F55" i="2" s="1"/>
  <c r="G53" i="2"/>
  <c r="F53" i="2"/>
  <c r="E53" i="2"/>
  <c r="E52" i="2"/>
  <c r="G51" i="2"/>
  <c r="E51" i="2"/>
  <c r="F50" i="2"/>
  <c r="E49" i="2"/>
  <c r="E48" i="2"/>
  <c r="G48" i="2" s="1"/>
  <c r="G46" i="2"/>
  <c r="E46" i="2"/>
  <c r="F46" i="2" s="1"/>
  <c r="G45" i="2"/>
  <c r="F45" i="2"/>
  <c r="I45" i="2" s="1"/>
  <c r="E45" i="2"/>
  <c r="E44" i="2"/>
  <c r="G43" i="2"/>
  <c r="E43" i="2"/>
  <c r="F42" i="2"/>
  <c r="E41" i="2"/>
  <c r="G38" i="2"/>
  <c r="E38" i="2"/>
  <c r="F38" i="2" s="1"/>
  <c r="J38" i="2" s="1"/>
  <c r="H38" i="2" s="1"/>
  <c r="G37" i="2"/>
  <c r="F37" i="2"/>
  <c r="E37" i="2"/>
  <c r="E36" i="2"/>
  <c r="G34" i="2"/>
  <c r="F34" i="2"/>
  <c r="K34" i="2" s="1"/>
  <c r="E34" i="2"/>
  <c r="E32" i="2"/>
  <c r="G32" i="2" s="1"/>
  <c r="E31" i="2"/>
  <c r="G31" i="2" s="1"/>
  <c r="G30" i="2"/>
  <c r="E30" i="2"/>
  <c r="F30" i="2" s="1"/>
  <c r="J30" i="2" s="1"/>
  <c r="H30" i="2" s="1"/>
  <c r="G27" i="2"/>
  <c r="F27" i="2"/>
  <c r="K27" i="2" s="1"/>
  <c r="E27" i="2"/>
  <c r="E26" i="2"/>
  <c r="G25" i="2"/>
  <c r="E25" i="2"/>
  <c r="F24" i="2"/>
  <c r="K24" i="2" s="1"/>
  <c r="F23" i="2"/>
  <c r="J23" i="2" s="1"/>
  <c r="H23" i="2" s="1"/>
  <c r="E23" i="2"/>
  <c r="E22" i="2"/>
  <c r="G20" i="2"/>
  <c r="E20" i="2"/>
  <c r="F20" i="2" s="1"/>
  <c r="I20" i="2" s="1"/>
  <c r="G17" i="2"/>
  <c r="F17" i="2"/>
  <c r="K17" i="2" s="1"/>
  <c r="E17" i="2"/>
  <c r="G15" i="2"/>
  <c r="E15" i="2"/>
  <c r="G14" i="2"/>
  <c r="F14" i="2"/>
  <c r="K14" i="2" s="1"/>
  <c r="K13" i="2"/>
  <c r="J13" i="2"/>
  <c r="H13" i="2" s="1"/>
  <c r="F13" i="2"/>
  <c r="E13" i="2"/>
  <c r="E10" i="2"/>
  <c r="G8" i="2"/>
  <c r="E8" i="2"/>
  <c r="F8" i="2" s="1"/>
  <c r="I8" i="2" s="1"/>
  <c r="J7" i="2"/>
  <c r="H7" i="2" s="1"/>
  <c r="I7" i="2"/>
  <c r="G7" i="2"/>
  <c r="F7" i="2"/>
  <c r="K7" i="2" s="1"/>
  <c r="E7" i="2"/>
  <c r="G5" i="2"/>
  <c r="E5" i="2"/>
  <c r="G4" i="2"/>
  <c r="F4" i="2"/>
  <c r="K4" i="2" s="1"/>
  <c r="E4" i="2"/>
  <c r="J4" i="2" s="1"/>
  <c r="H4" i="2" s="1"/>
  <c r="K3" i="2"/>
  <c r="J3" i="2"/>
  <c r="H3" i="2" s="1"/>
  <c r="F3" i="2"/>
  <c r="E3" i="2"/>
  <c r="G22" i="1"/>
  <c r="G21" i="1"/>
  <c r="G20" i="1"/>
  <c r="G19" i="1"/>
  <c r="G18" i="1"/>
  <c r="G17" i="1"/>
  <c r="G16" i="1"/>
  <c r="G15" i="1"/>
  <c r="G14" i="1"/>
  <c r="G13" i="1"/>
  <c r="G12" i="1"/>
  <c r="G11" i="1"/>
  <c r="G10" i="1"/>
  <c r="G9" i="1"/>
  <c r="G8" i="1"/>
  <c r="G7" i="1"/>
  <c r="G6" i="1"/>
  <c r="G5" i="1"/>
  <c r="G4" i="1"/>
  <c r="G3" i="1"/>
  <c r="G2" i="1"/>
  <c r="J400" i="2" l="1"/>
  <c r="H400" i="2" s="1"/>
  <c r="J93" i="2"/>
  <c r="H93" i="2" s="1"/>
  <c r="J192" i="2"/>
  <c r="K327" i="2" s="1"/>
  <c r="J200" i="2"/>
  <c r="H200" i="2" s="1"/>
  <c r="J366" i="2"/>
  <c r="H366" i="2" s="1"/>
  <c r="I417" i="2"/>
  <c r="K393" i="2"/>
  <c r="K417" i="2"/>
  <c r="J75" i="2"/>
  <c r="H75" i="2" s="1"/>
  <c r="J242" i="2"/>
  <c r="H242" i="2" s="1"/>
  <c r="J140" i="2"/>
  <c r="H140" i="2" s="1"/>
  <c r="K200" i="2"/>
  <c r="I276" i="2"/>
  <c r="J103" i="2"/>
  <c r="H103" i="2" s="1"/>
  <c r="I380" i="2"/>
  <c r="J435" i="2"/>
  <c r="H435" i="2" s="1"/>
  <c r="J174" i="2"/>
  <c r="K207" i="2" s="1"/>
  <c r="J122" i="2"/>
  <c r="H122" i="2" s="1"/>
  <c r="K304" i="2"/>
  <c r="J85" i="2"/>
  <c r="H85" i="2" s="1"/>
  <c r="K265" i="2"/>
  <c r="J111" i="2"/>
  <c r="H111" i="2" s="1"/>
  <c r="K443" i="2"/>
  <c r="J67" i="2"/>
  <c r="H67" i="2" s="1"/>
  <c r="K242" i="2"/>
  <c r="J434" i="2"/>
  <c r="H434" i="2" s="1"/>
  <c r="K122" i="2"/>
  <c r="I173" i="2"/>
  <c r="J260" i="2"/>
  <c r="H260" i="2" s="1"/>
  <c r="I384" i="2"/>
  <c r="K403" i="2"/>
  <c r="I424" i="2"/>
  <c r="K311" i="2"/>
  <c r="I378" i="2"/>
  <c r="J34" i="2"/>
  <c r="H34" i="2" s="1"/>
  <c r="J299" i="2"/>
  <c r="H299" i="2" s="1"/>
  <c r="J315" i="2"/>
  <c r="H315" i="2" s="1"/>
  <c r="J363" i="2"/>
  <c r="K434" i="2"/>
  <c r="J131" i="2"/>
  <c r="H131" i="2" s="1"/>
  <c r="I157" i="2"/>
  <c r="J184" i="2"/>
  <c r="H184" i="2" s="1"/>
  <c r="I346" i="2"/>
  <c r="K363" i="2"/>
  <c r="I425" i="2"/>
  <c r="J157" i="2"/>
  <c r="H157" i="2" s="1"/>
  <c r="K184" i="2"/>
  <c r="K346" i="2"/>
  <c r="J425" i="2"/>
  <c r="H425" i="2" s="1"/>
  <c r="J14" i="2"/>
  <c r="H14" i="2" s="1"/>
  <c r="I140" i="2"/>
  <c r="I317" i="2"/>
  <c r="K365" i="2"/>
  <c r="K401" i="2"/>
  <c r="J60" i="2"/>
  <c r="H60" i="2" s="1"/>
  <c r="J68" i="2"/>
  <c r="H68" i="2" s="1"/>
  <c r="J76" i="2"/>
  <c r="H76" i="2" s="1"/>
  <c r="J86" i="2"/>
  <c r="H86" i="2" s="1"/>
  <c r="J94" i="2"/>
  <c r="H94" i="2" s="1"/>
  <c r="J104" i="2"/>
  <c r="H104" i="2" s="1"/>
  <c r="J147" i="2"/>
  <c r="H147" i="2" s="1"/>
  <c r="K293" i="2"/>
  <c r="K165" i="2"/>
  <c r="I207" i="2"/>
  <c r="J214" i="2"/>
  <c r="H214" i="2" s="1"/>
  <c r="J222" i="2"/>
  <c r="H222" i="2" s="1"/>
  <c r="J352" i="2"/>
  <c r="H352" i="2" s="1"/>
  <c r="K375" i="2"/>
  <c r="K383" i="2"/>
  <c r="K435" i="2"/>
  <c r="K450" i="2"/>
  <c r="I17" i="2"/>
  <c r="J166" i="2"/>
  <c r="H166" i="2" s="1"/>
  <c r="J245" i="2"/>
  <c r="H245" i="2" s="1"/>
  <c r="I281" i="2"/>
  <c r="K299" i="2"/>
  <c r="I333" i="2"/>
  <c r="I362" i="2"/>
  <c r="I396" i="2"/>
  <c r="J416" i="2"/>
  <c r="H416" i="2" s="1"/>
  <c r="I458" i="2"/>
  <c r="J461" i="2"/>
  <c r="H461" i="2" s="1"/>
  <c r="J306" i="2"/>
  <c r="H306" i="2" s="1"/>
  <c r="J17" i="2"/>
  <c r="H17" i="2" s="1"/>
  <c r="J24" i="2"/>
  <c r="I67" i="2"/>
  <c r="I75" i="2"/>
  <c r="I85" i="2"/>
  <c r="I93" i="2"/>
  <c r="I103" i="2"/>
  <c r="I111" i="2"/>
  <c r="K245" i="2"/>
  <c r="I260" i="2"/>
  <c r="I271" i="2"/>
  <c r="J276" i="2"/>
  <c r="H276" i="2" s="1"/>
  <c r="J324" i="2"/>
  <c r="H324" i="2" s="1"/>
  <c r="J333" i="2"/>
  <c r="H333" i="2" s="1"/>
  <c r="J342" i="2"/>
  <c r="K357" i="2"/>
  <c r="I381" i="2"/>
  <c r="I448" i="2"/>
  <c r="I451" i="2"/>
  <c r="K458" i="2"/>
  <c r="K461" i="2"/>
  <c r="J271" i="2"/>
  <c r="H271" i="2" s="1"/>
  <c r="I347" i="2"/>
  <c r="I350" i="2"/>
  <c r="I360" i="2"/>
  <c r="J381" i="2"/>
  <c r="H381" i="2" s="1"/>
  <c r="K411" i="2"/>
  <c r="I414" i="2"/>
  <c r="I419" i="2"/>
  <c r="J424" i="2"/>
  <c r="H424" i="2" s="1"/>
  <c r="I443" i="2"/>
  <c r="J451" i="2"/>
  <c r="J455" i="2"/>
  <c r="H455" i="2" s="1"/>
  <c r="J230" i="2"/>
  <c r="H230" i="2" s="1"/>
  <c r="I301" i="2"/>
  <c r="K315" i="2"/>
  <c r="K329" i="2"/>
  <c r="J401" i="2"/>
  <c r="H401" i="2" s="1"/>
  <c r="J404" i="2"/>
  <c r="H404" i="2" s="1"/>
  <c r="K414" i="2"/>
  <c r="I440" i="2"/>
  <c r="I16" i="2"/>
  <c r="K37" i="2"/>
  <c r="J37" i="2"/>
  <c r="H37" i="2" s="1"/>
  <c r="K72" i="2"/>
  <c r="J72" i="2"/>
  <c r="I72" i="2"/>
  <c r="J79" i="2"/>
  <c r="I79" i="2"/>
  <c r="G88" i="2"/>
  <c r="F88" i="2"/>
  <c r="K88" i="2" s="1"/>
  <c r="K108" i="2"/>
  <c r="J108" i="2"/>
  <c r="H108" i="2" s="1"/>
  <c r="I108" i="2"/>
  <c r="J121" i="2"/>
  <c r="I121" i="2"/>
  <c r="G133" i="2"/>
  <c r="F133" i="2"/>
  <c r="J133" i="2" s="1"/>
  <c r="H133" i="2" s="1"/>
  <c r="G194" i="2"/>
  <c r="F194" i="2"/>
  <c r="K194" i="2" s="1"/>
  <c r="K45" i="2"/>
  <c r="J45" i="2"/>
  <c r="H45" i="2" s="1"/>
  <c r="J100" i="2"/>
  <c r="I100" i="2"/>
  <c r="F6" i="2"/>
  <c r="I6" i="2" s="1"/>
  <c r="K46" i="2"/>
  <c r="I46" i="2"/>
  <c r="G49" i="2"/>
  <c r="F49" i="2"/>
  <c r="J49" i="2" s="1"/>
  <c r="H49" i="2" s="1"/>
  <c r="G52" i="2"/>
  <c r="F52" i="2"/>
  <c r="I52" i="2" s="1"/>
  <c r="G163" i="2"/>
  <c r="K163" i="2"/>
  <c r="K71" i="2"/>
  <c r="J71" i="2"/>
  <c r="H71" i="2" s="1"/>
  <c r="I71" i="2"/>
  <c r="G78" i="2"/>
  <c r="F78" i="2"/>
  <c r="K78" i="2" s="1"/>
  <c r="G127" i="2"/>
  <c r="F127" i="2"/>
  <c r="K127" i="2" s="1"/>
  <c r="G10" i="2"/>
  <c r="F10" i="2"/>
  <c r="I10" i="2" s="1"/>
  <c r="K10" i="2"/>
  <c r="G22" i="2"/>
  <c r="F22" i="2"/>
  <c r="I22" i="2" s="1"/>
  <c r="J8" i="2"/>
  <c r="H8" i="2" s="1"/>
  <c r="J10" i="2"/>
  <c r="H10" i="2" s="1"/>
  <c r="J20" i="2"/>
  <c r="H20" i="2" s="1"/>
  <c r="I37" i="2"/>
  <c r="G62" i="2"/>
  <c r="F62" i="2"/>
  <c r="K62" i="2" s="1"/>
  <c r="K80" i="2"/>
  <c r="J80" i="2"/>
  <c r="H80" i="2" s="1"/>
  <c r="I80" i="2"/>
  <c r="K89" i="2"/>
  <c r="J89" i="2"/>
  <c r="H89" i="2" s="1"/>
  <c r="I89" i="2"/>
  <c r="G96" i="2"/>
  <c r="F96" i="2"/>
  <c r="K96" i="2" s="1"/>
  <c r="K155" i="2"/>
  <c r="J155" i="2"/>
  <c r="H155" i="2" s="1"/>
  <c r="I155" i="2"/>
  <c r="G176" i="2"/>
  <c r="F176" i="2"/>
  <c r="J176" i="2" s="1"/>
  <c r="H176" i="2" s="1"/>
  <c r="K16" i="2"/>
  <c r="G16" i="2"/>
  <c r="K107" i="2"/>
  <c r="J107" i="2"/>
  <c r="H107" i="2" s="1"/>
  <c r="I107" i="2"/>
  <c r="I3" i="2"/>
  <c r="G3" i="2"/>
  <c r="K5" i="2"/>
  <c r="J5" i="2"/>
  <c r="H5" i="2" s="1"/>
  <c r="F5" i="2"/>
  <c r="I5" i="2" s="1"/>
  <c r="K8" i="2"/>
  <c r="I13" i="2"/>
  <c r="G13" i="2"/>
  <c r="F15" i="2"/>
  <c r="K15" i="2" s="1"/>
  <c r="K20" i="2"/>
  <c r="I23" i="2"/>
  <c r="G23" i="2"/>
  <c r="K23" i="2"/>
  <c r="I27" i="2"/>
  <c r="K38" i="2"/>
  <c r="I38" i="2"/>
  <c r="F41" i="2"/>
  <c r="J41" i="2" s="1"/>
  <c r="H41" i="2" s="1"/>
  <c r="G41" i="2"/>
  <c r="G44" i="2"/>
  <c r="F44" i="2"/>
  <c r="K44" i="2" s="1"/>
  <c r="J46" i="2"/>
  <c r="H46" i="2" s="1"/>
  <c r="J50" i="2"/>
  <c r="J53" i="2"/>
  <c r="H53" i="2" s="1"/>
  <c r="K53" i="2"/>
  <c r="I53" i="2"/>
  <c r="G113" i="2"/>
  <c r="F113" i="2"/>
  <c r="K113" i="2" s="1"/>
  <c r="G202" i="2"/>
  <c r="F202" i="2"/>
  <c r="J202" i="2" s="1"/>
  <c r="H202" i="2" s="1"/>
  <c r="J27" i="2"/>
  <c r="H27" i="2" s="1"/>
  <c r="J63" i="2"/>
  <c r="H63" i="2" s="1"/>
  <c r="K63" i="2"/>
  <c r="I63" i="2"/>
  <c r="G70" i="2"/>
  <c r="F70" i="2"/>
  <c r="I70" i="2" s="1"/>
  <c r="K90" i="2"/>
  <c r="J90" i="2"/>
  <c r="H90" i="2" s="1"/>
  <c r="I90" i="2"/>
  <c r="K97" i="2"/>
  <c r="J97" i="2"/>
  <c r="H97" i="2" s="1"/>
  <c r="I97" i="2"/>
  <c r="G106" i="2"/>
  <c r="F106" i="2"/>
  <c r="K106" i="2" s="1"/>
  <c r="G145" i="2"/>
  <c r="K145" i="2"/>
  <c r="K64" i="2"/>
  <c r="J64" i="2"/>
  <c r="H64" i="2" s="1"/>
  <c r="I64" i="2"/>
  <c r="G26" i="2"/>
  <c r="F26" i="2"/>
  <c r="I26" i="2" s="1"/>
  <c r="K30" i="2"/>
  <c r="I30" i="2"/>
  <c r="F33" i="2"/>
  <c r="J33" i="2" s="1"/>
  <c r="H33" i="2" s="1"/>
  <c r="G36" i="2"/>
  <c r="F36" i="2"/>
  <c r="I36" i="2" s="1"/>
  <c r="J42" i="2"/>
  <c r="K55" i="2"/>
  <c r="J55" i="2"/>
  <c r="H55" i="2" s="1"/>
  <c r="I55" i="2"/>
  <c r="K139" i="2"/>
  <c r="J139" i="2"/>
  <c r="H139" i="2" s="1"/>
  <c r="I139" i="2"/>
  <c r="G149" i="2"/>
  <c r="F149" i="2"/>
  <c r="K149" i="2" s="1"/>
  <c r="F171" i="2"/>
  <c r="J171" i="2" s="1"/>
  <c r="H171" i="2" s="1"/>
  <c r="G171" i="2"/>
  <c r="G186" i="2"/>
  <c r="F186" i="2"/>
  <c r="K186" i="2" s="1"/>
  <c r="K268" i="2"/>
  <c r="I268" i="2"/>
  <c r="K131" i="2"/>
  <c r="K147" i="2"/>
  <c r="F215" i="2"/>
  <c r="J215" i="2" s="1"/>
  <c r="H215" i="2" s="1"/>
  <c r="G236" i="2"/>
  <c r="K406" i="2"/>
  <c r="I406" i="2"/>
  <c r="F25" i="2"/>
  <c r="J25" i="2" s="1"/>
  <c r="H25" i="2" s="1"/>
  <c r="F35" i="2"/>
  <c r="I35" i="2" s="1"/>
  <c r="F43" i="2"/>
  <c r="K43" i="2" s="1"/>
  <c r="F51" i="2"/>
  <c r="I51" i="2" s="1"/>
  <c r="F61" i="2"/>
  <c r="K61" i="2" s="1"/>
  <c r="F69" i="2"/>
  <c r="K69" i="2" s="1"/>
  <c r="F77" i="2"/>
  <c r="K77" i="2" s="1"/>
  <c r="F87" i="2"/>
  <c r="F95" i="2"/>
  <c r="K95" i="2" s="1"/>
  <c r="F105" i="2"/>
  <c r="K105" i="2" s="1"/>
  <c r="I117" i="2"/>
  <c r="F120" i="2"/>
  <c r="K120" i="2" s="1"/>
  <c r="F124" i="2"/>
  <c r="J124" i="2" s="1"/>
  <c r="I135" i="2"/>
  <c r="F138" i="2"/>
  <c r="K138" i="2" s="1"/>
  <c r="F142" i="2"/>
  <c r="J142" i="2" s="1"/>
  <c r="H142" i="2" s="1"/>
  <c r="I151" i="2"/>
  <c r="F154" i="2"/>
  <c r="K154" i="2" s="1"/>
  <c r="F160" i="2"/>
  <c r="K160" i="2" s="1"/>
  <c r="G168" i="2"/>
  <c r="K168" i="2"/>
  <c r="G213" i="2"/>
  <c r="F213" i="2"/>
  <c r="K213" i="2" s="1"/>
  <c r="G215" i="2"/>
  <c r="K218" i="2"/>
  <c r="I218" i="2"/>
  <c r="K225" i="2"/>
  <c r="J225" i="2"/>
  <c r="H225" i="2" s="1"/>
  <c r="F236" i="2"/>
  <c r="K236" i="2" s="1"/>
  <c r="G61" i="2"/>
  <c r="G69" i="2"/>
  <c r="G95" i="2"/>
  <c r="G105" i="2"/>
  <c r="G120" i="2"/>
  <c r="J126" i="2"/>
  <c r="H126" i="2" s="1"/>
  <c r="I126" i="2"/>
  <c r="G138" i="2"/>
  <c r="J144" i="2"/>
  <c r="H144" i="2" s="1"/>
  <c r="I144" i="2"/>
  <c r="G154" i="2"/>
  <c r="J162" i="2"/>
  <c r="H162" i="2" s="1"/>
  <c r="I162" i="2"/>
  <c r="J170" i="2"/>
  <c r="H170" i="2" s="1"/>
  <c r="I179" i="2"/>
  <c r="G179" i="2"/>
  <c r="F181" i="2"/>
  <c r="I181" i="2" s="1"/>
  <c r="I187" i="2"/>
  <c r="G187" i="2"/>
  <c r="F189" i="2"/>
  <c r="J189" i="2" s="1"/>
  <c r="H189" i="2" s="1"/>
  <c r="I195" i="2"/>
  <c r="G195" i="2"/>
  <c r="F197" i="2"/>
  <c r="I197" i="2" s="1"/>
  <c r="I203" i="2"/>
  <c r="G203" i="2"/>
  <c r="F205" i="2"/>
  <c r="I205" i="2" s="1"/>
  <c r="K216" i="2"/>
  <c r="J216" i="2"/>
  <c r="H216" i="2" s="1"/>
  <c r="I216" i="2"/>
  <c r="I240" i="2"/>
  <c r="F243" i="2"/>
  <c r="K243" i="2" s="1"/>
  <c r="G251" i="2"/>
  <c r="F251" i="2"/>
  <c r="I251" i="2" s="1"/>
  <c r="K263" i="2"/>
  <c r="J263" i="2"/>
  <c r="H263" i="2" s="1"/>
  <c r="I263" i="2"/>
  <c r="G270" i="2"/>
  <c r="F270" i="2"/>
  <c r="I270" i="2" s="1"/>
  <c r="F280" i="2"/>
  <c r="I280" i="2" s="1"/>
  <c r="G280" i="2"/>
  <c r="G123" i="2"/>
  <c r="F123" i="2"/>
  <c r="K123" i="2" s="1"/>
  <c r="G141" i="2"/>
  <c r="F141" i="2"/>
  <c r="K141" i="2" s="1"/>
  <c r="F159" i="2"/>
  <c r="G175" i="2"/>
  <c r="F175" i="2"/>
  <c r="I175" i="2" s="1"/>
  <c r="F223" i="2"/>
  <c r="K223" i="2" s="1"/>
  <c r="K237" i="2"/>
  <c r="J237" i="2"/>
  <c r="H237" i="2" s="1"/>
  <c r="I237" i="2"/>
  <c r="F258" i="2"/>
  <c r="I258" i="2" s="1"/>
  <c r="I273" i="2"/>
  <c r="I283" i="2"/>
  <c r="J283" i="2"/>
  <c r="H283" i="2" s="1"/>
  <c r="G426" i="2"/>
  <c r="F426" i="2"/>
  <c r="I426" i="2" s="1"/>
  <c r="F48" i="2"/>
  <c r="I48" i="2" s="1"/>
  <c r="F58" i="2"/>
  <c r="I58" i="2" s="1"/>
  <c r="G59" i="2"/>
  <c r="F66" i="2"/>
  <c r="I66" i="2" s="1"/>
  <c r="G67" i="2"/>
  <c r="F74" i="2"/>
  <c r="I74" i="2" s="1"/>
  <c r="G75" i="2"/>
  <c r="F84" i="2"/>
  <c r="I84" i="2" s="1"/>
  <c r="F92" i="2"/>
  <c r="I92" i="2" s="1"/>
  <c r="G93" i="2"/>
  <c r="F102" i="2"/>
  <c r="I102" i="2" s="1"/>
  <c r="G103" i="2"/>
  <c r="F110" i="2"/>
  <c r="I110" i="2" s="1"/>
  <c r="G111" i="2"/>
  <c r="I112" i="2"/>
  <c r="J117" i="2"/>
  <c r="H117" i="2" s="1"/>
  <c r="F119" i="2"/>
  <c r="I119" i="2" s="1"/>
  <c r="G126" i="2"/>
  <c r="I132" i="2"/>
  <c r="J135" i="2"/>
  <c r="H135" i="2" s="1"/>
  <c r="F137" i="2"/>
  <c r="I137" i="2" s="1"/>
  <c r="G144" i="2"/>
  <c r="I148" i="2"/>
  <c r="J151" i="2"/>
  <c r="H151" i="2" s="1"/>
  <c r="F153" i="2"/>
  <c r="I153" i="2" s="1"/>
  <c r="G162" i="2"/>
  <c r="K166" i="2"/>
  <c r="J168" i="2"/>
  <c r="H168" i="2" s="1"/>
  <c r="F172" i="2"/>
  <c r="J172" i="2" s="1"/>
  <c r="H172" i="2" s="1"/>
  <c r="J173" i="2"/>
  <c r="H173" i="2" s="1"/>
  <c r="J179" i="2"/>
  <c r="H179" i="2" s="1"/>
  <c r="I183" i="2"/>
  <c r="J187" i="2"/>
  <c r="H187" i="2" s="1"/>
  <c r="I191" i="2"/>
  <c r="J195" i="2"/>
  <c r="H195" i="2" s="1"/>
  <c r="I199" i="2"/>
  <c r="J218" i="2"/>
  <c r="H218" i="2" s="1"/>
  <c r="G221" i="2"/>
  <c r="F221" i="2"/>
  <c r="K221" i="2" s="1"/>
  <c r="G223" i="2"/>
  <c r="J226" i="2"/>
  <c r="K330" i="2" s="1"/>
  <c r="I226" i="2"/>
  <c r="G231" i="2"/>
  <c r="F231" i="2"/>
  <c r="K231" i="2" s="1"/>
  <c r="K252" i="2"/>
  <c r="I252" i="2"/>
  <c r="J255" i="2"/>
  <c r="I255" i="2"/>
  <c r="G258" i="2"/>
  <c r="F59" i="2"/>
  <c r="J59" i="2" s="1"/>
  <c r="H59" i="2" s="1"/>
  <c r="F32" i="2"/>
  <c r="I32" i="2" s="1"/>
  <c r="I40" i="2"/>
  <c r="I4" i="2"/>
  <c r="F9" i="2"/>
  <c r="I14" i="2"/>
  <c r="F21" i="2"/>
  <c r="J21" i="2" s="1"/>
  <c r="K121" i="2" s="1"/>
  <c r="I24" i="2"/>
  <c r="F31" i="2"/>
  <c r="J31" i="2" s="1"/>
  <c r="H31" i="2" s="1"/>
  <c r="I34" i="2"/>
  <c r="F39" i="2"/>
  <c r="I42" i="2"/>
  <c r="F47" i="2"/>
  <c r="J47" i="2" s="1"/>
  <c r="K79" i="2" s="1"/>
  <c r="I50" i="2"/>
  <c r="F57" i="2"/>
  <c r="I60" i="2"/>
  <c r="F65" i="2"/>
  <c r="I68" i="2"/>
  <c r="F73" i="2"/>
  <c r="J73" i="2" s="1"/>
  <c r="H73" i="2" s="1"/>
  <c r="I76" i="2"/>
  <c r="F81" i="2"/>
  <c r="I86" i="2"/>
  <c r="F91" i="2"/>
  <c r="I94" i="2"/>
  <c r="F101" i="2"/>
  <c r="I104" i="2"/>
  <c r="F109" i="2"/>
  <c r="J112" i="2"/>
  <c r="H112" i="2" s="1"/>
  <c r="F116" i="2"/>
  <c r="K117" i="2"/>
  <c r="G119" i="2"/>
  <c r="F128" i="2"/>
  <c r="J132" i="2"/>
  <c r="F134" i="2"/>
  <c r="I134" i="2" s="1"/>
  <c r="K135" i="2"/>
  <c r="G137" i="2"/>
  <c r="F146" i="2"/>
  <c r="J148" i="2"/>
  <c r="H148" i="2" s="1"/>
  <c r="F150" i="2"/>
  <c r="I150" i="2" s="1"/>
  <c r="K151" i="2"/>
  <c r="F164" i="2"/>
  <c r="K164" i="2" s="1"/>
  <c r="I165" i="2"/>
  <c r="G167" i="2"/>
  <c r="F167" i="2"/>
  <c r="K179" i="2"/>
  <c r="G182" i="2"/>
  <c r="J183" i="2"/>
  <c r="H183" i="2" s="1"/>
  <c r="K187" i="2"/>
  <c r="G190" i="2"/>
  <c r="J191" i="2"/>
  <c r="H191" i="2" s="1"/>
  <c r="K195" i="2"/>
  <c r="G198" i="2"/>
  <c r="J199" i="2"/>
  <c r="H199" i="2" s="1"/>
  <c r="K203" i="2"/>
  <c r="G206" i="2"/>
  <c r="J207" i="2"/>
  <c r="F275" i="2"/>
  <c r="G319" i="2"/>
  <c r="F319" i="2"/>
  <c r="J319" i="2" s="1"/>
  <c r="H319" i="2" s="1"/>
  <c r="G420" i="2"/>
  <c r="F420" i="2"/>
  <c r="K420" i="2" s="1"/>
  <c r="J118" i="2"/>
  <c r="H118" i="2" s="1"/>
  <c r="I118" i="2"/>
  <c r="F125" i="2"/>
  <c r="K126" i="2"/>
  <c r="G128" i="2"/>
  <c r="J136" i="2"/>
  <c r="I136" i="2"/>
  <c r="F143" i="2"/>
  <c r="K144" i="2"/>
  <c r="G146" i="2"/>
  <c r="J152" i="2"/>
  <c r="H152" i="2" s="1"/>
  <c r="I152" i="2"/>
  <c r="F161" i="2"/>
  <c r="I161" i="2" s="1"/>
  <c r="K162" i="2"/>
  <c r="G164" i="2"/>
  <c r="F169" i="2"/>
  <c r="I169" i="2" s="1"/>
  <c r="J180" i="2"/>
  <c r="H180" i="2" s="1"/>
  <c r="F182" i="2"/>
  <c r="I182" i="2" s="1"/>
  <c r="J188" i="2"/>
  <c r="H188" i="2" s="1"/>
  <c r="F190" i="2"/>
  <c r="I190" i="2" s="1"/>
  <c r="J196" i="2"/>
  <c r="H196" i="2" s="1"/>
  <c r="F198" i="2"/>
  <c r="I198" i="2" s="1"/>
  <c r="J204" i="2"/>
  <c r="H204" i="2" s="1"/>
  <c r="F206" i="2"/>
  <c r="I206" i="2" s="1"/>
  <c r="K208" i="2"/>
  <c r="I208" i="2"/>
  <c r="K217" i="2"/>
  <c r="J217" i="2"/>
  <c r="H217" i="2" s="1"/>
  <c r="K224" i="2"/>
  <c r="F232" i="2"/>
  <c r="J232" i="2" s="1"/>
  <c r="H232" i="2" s="1"/>
  <c r="K249" i="2"/>
  <c r="I249" i="2"/>
  <c r="F302" i="2"/>
  <c r="J302" i="2" s="1"/>
  <c r="H302" i="2" s="1"/>
  <c r="G302" i="2"/>
  <c r="F298" i="2"/>
  <c r="K298" i="2" s="1"/>
  <c r="K340" i="2"/>
  <c r="I340" i="2"/>
  <c r="F345" i="2"/>
  <c r="K235" i="2"/>
  <c r="F248" i="2"/>
  <c r="J248" i="2" s="1"/>
  <c r="H248" i="2" s="1"/>
  <c r="J262" i="2"/>
  <c r="H262" i="2" s="1"/>
  <c r="I267" i="2"/>
  <c r="G267" i="2"/>
  <c r="F272" i="2"/>
  <c r="J272" i="2" s="1"/>
  <c r="H272" i="2" s="1"/>
  <c r="F277" i="2"/>
  <c r="J277" i="2" s="1"/>
  <c r="H277" i="2" s="1"/>
  <c r="F331" i="2"/>
  <c r="I331" i="2" s="1"/>
  <c r="G331" i="2"/>
  <c r="K352" i="2"/>
  <c r="I352" i="2"/>
  <c r="F397" i="2"/>
  <c r="J397" i="2" s="1"/>
  <c r="H397" i="2" s="1"/>
  <c r="G397" i="2"/>
  <c r="G239" i="2"/>
  <c r="F282" i="2"/>
  <c r="I282" i="2" s="1"/>
  <c r="G282" i="2"/>
  <c r="G284" i="2"/>
  <c r="F286" i="2"/>
  <c r="J286" i="2" s="1"/>
  <c r="H286" i="2" s="1"/>
  <c r="G288" i="2"/>
  <c r="I289" i="2"/>
  <c r="G292" i="2"/>
  <c r="F303" i="2"/>
  <c r="J303" i="2" s="1"/>
  <c r="H303" i="2" s="1"/>
  <c r="K307" i="2"/>
  <c r="I307" i="2"/>
  <c r="G310" i="2"/>
  <c r="G341" i="2"/>
  <c r="F341" i="2"/>
  <c r="J341" i="2" s="1"/>
  <c r="H341" i="2" s="1"/>
  <c r="G428" i="2"/>
  <c r="F428" i="2"/>
  <c r="J428" i="2" s="1"/>
  <c r="H428" i="2" s="1"/>
  <c r="F229" i="2"/>
  <c r="F239" i="2"/>
  <c r="I239" i="2" s="1"/>
  <c r="G259" i="2"/>
  <c r="F264" i="2"/>
  <c r="F269" i="2"/>
  <c r="K269" i="2" s="1"/>
  <c r="F274" i="2"/>
  <c r="K274" i="2" s="1"/>
  <c r="F284" i="2"/>
  <c r="J284" i="2" s="1"/>
  <c r="H284" i="2" s="1"/>
  <c r="G286" i="2"/>
  <c r="F288" i="2"/>
  <c r="J288" i="2" s="1"/>
  <c r="H288" i="2" s="1"/>
  <c r="J289" i="2"/>
  <c r="H289" i="2" s="1"/>
  <c r="F292" i="2"/>
  <c r="J292" i="2" s="1"/>
  <c r="H292" i="2" s="1"/>
  <c r="F310" i="2"/>
  <c r="K310" i="2" s="1"/>
  <c r="F210" i="2"/>
  <c r="F220" i="2"/>
  <c r="F228" i="2"/>
  <c r="F234" i="2"/>
  <c r="J234" i="2" s="1"/>
  <c r="H234" i="2" s="1"/>
  <c r="F250" i="2"/>
  <c r="J250" i="2" s="1"/>
  <c r="H250" i="2" s="1"/>
  <c r="F253" i="2"/>
  <c r="K253" i="2" s="1"/>
  <c r="F259" i="2"/>
  <c r="K259" i="2" s="1"/>
  <c r="G269" i="2"/>
  <c r="G274" i="2"/>
  <c r="F290" i="2"/>
  <c r="J290" i="2" s="1"/>
  <c r="H290" i="2" s="1"/>
  <c r="G290" i="2"/>
  <c r="J307" i="2"/>
  <c r="H307" i="2" s="1"/>
  <c r="K312" i="2"/>
  <c r="K320" i="2"/>
  <c r="G354" i="2"/>
  <c r="F354" i="2"/>
  <c r="J354" i="2" s="1"/>
  <c r="H354" i="2" s="1"/>
  <c r="I170" i="2"/>
  <c r="I180" i="2"/>
  <c r="F185" i="2"/>
  <c r="I188" i="2"/>
  <c r="F193" i="2"/>
  <c r="J193" i="2" s="1"/>
  <c r="H193" i="2" s="1"/>
  <c r="I196" i="2"/>
  <c r="F201" i="2"/>
  <c r="I204" i="2"/>
  <c r="F209" i="2"/>
  <c r="I214" i="2"/>
  <c r="F219" i="2"/>
  <c r="J219" i="2" s="1"/>
  <c r="H219" i="2" s="1"/>
  <c r="I222" i="2"/>
  <c r="F227" i="2"/>
  <c r="J227" i="2" s="1"/>
  <c r="H227" i="2" s="1"/>
  <c r="I230" i="2"/>
  <c r="G234" i="2"/>
  <c r="I235" i="2"/>
  <c r="F238" i="2"/>
  <c r="I238" i="2" s="1"/>
  <c r="F241" i="2"/>
  <c r="J241" i="2" s="1"/>
  <c r="H241" i="2" s="1"/>
  <c r="G250" i="2"/>
  <c r="G253" i="2"/>
  <c r="J254" i="2"/>
  <c r="H254" i="2" s="1"/>
  <c r="F256" i="2"/>
  <c r="I256" i="2" s="1"/>
  <c r="I257" i="2"/>
  <c r="F261" i="2"/>
  <c r="J261" i="2" s="1"/>
  <c r="H261" i="2" s="1"/>
  <c r="K262" i="2"/>
  <c r="F266" i="2"/>
  <c r="K267" i="2"/>
  <c r="G278" i="2"/>
  <c r="I279" i="2"/>
  <c r="K294" i="2"/>
  <c r="F313" i="2"/>
  <c r="J313" i="2" s="1"/>
  <c r="H313" i="2" s="1"/>
  <c r="G313" i="2"/>
  <c r="G318" i="2"/>
  <c r="F318" i="2"/>
  <c r="J318" i="2" s="1"/>
  <c r="H318" i="2" s="1"/>
  <c r="F370" i="2"/>
  <c r="J370" i="2" s="1"/>
  <c r="H370" i="2" s="1"/>
  <c r="G390" i="2"/>
  <c r="F390" i="2"/>
  <c r="I390" i="2" s="1"/>
  <c r="K409" i="2"/>
  <c r="J409" i="2"/>
  <c r="H409" i="2" s="1"/>
  <c r="I409" i="2"/>
  <c r="F233" i="2"/>
  <c r="I233" i="2" s="1"/>
  <c r="J235" i="2"/>
  <c r="H235" i="2" s="1"/>
  <c r="G238" i="2"/>
  <c r="G241" i="2"/>
  <c r="F244" i="2"/>
  <c r="G249" i="2"/>
  <c r="J249" i="2"/>
  <c r="H249" i="2" s="1"/>
  <c r="J252" i="2"/>
  <c r="H252" i="2" s="1"/>
  <c r="K254" i="2"/>
  <c r="G256" i="2"/>
  <c r="G261" i="2"/>
  <c r="G266" i="2"/>
  <c r="J268" i="2"/>
  <c r="F278" i="2"/>
  <c r="J278" i="2" s="1"/>
  <c r="H278" i="2" s="1"/>
  <c r="J279" i="2"/>
  <c r="H279" i="2" s="1"/>
  <c r="F285" i="2"/>
  <c r="K285" i="2" s="1"/>
  <c r="F296" i="2"/>
  <c r="I296" i="2" s="1"/>
  <c r="G296" i="2"/>
  <c r="K325" i="2"/>
  <c r="I325" i="2"/>
  <c r="K328" i="2"/>
  <c r="I328" i="2"/>
  <c r="G328" i="2"/>
  <c r="I367" i="2"/>
  <c r="K367" i="2"/>
  <c r="J367" i="2"/>
  <c r="H367" i="2" s="1"/>
  <c r="G367" i="2"/>
  <c r="I385" i="2"/>
  <c r="K385" i="2"/>
  <c r="J385" i="2"/>
  <c r="H385" i="2" s="1"/>
  <c r="G385" i="2"/>
  <c r="J257" i="2"/>
  <c r="H257" i="2" s="1"/>
  <c r="J265" i="2"/>
  <c r="J273" i="2"/>
  <c r="F300" i="2"/>
  <c r="F316" i="2"/>
  <c r="I316" i="2" s="1"/>
  <c r="G334" i="2"/>
  <c r="F334" i="2"/>
  <c r="I334" i="2" s="1"/>
  <c r="K336" i="2"/>
  <c r="I336" i="2"/>
  <c r="I343" i="2"/>
  <c r="K343" i="2"/>
  <c r="G343" i="2"/>
  <c r="F361" i="2"/>
  <c r="K361" i="2" s="1"/>
  <c r="F379" i="2"/>
  <c r="J379" i="2" s="1"/>
  <c r="H379" i="2" s="1"/>
  <c r="K412" i="2"/>
  <c r="J412" i="2"/>
  <c r="H412" i="2" s="1"/>
  <c r="I412" i="2"/>
  <c r="F423" i="2"/>
  <c r="K423" i="2" s="1"/>
  <c r="J291" i="2"/>
  <c r="H291" i="2" s="1"/>
  <c r="G291" i="2"/>
  <c r="J294" i="2"/>
  <c r="H294" i="2" s="1"/>
  <c r="J309" i="2"/>
  <c r="H309" i="2" s="1"/>
  <c r="G309" i="2"/>
  <c r="J312" i="2"/>
  <c r="H312" i="2" s="1"/>
  <c r="J327" i="2"/>
  <c r="H327" i="2" s="1"/>
  <c r="J330" i="2"/>
  <c r="J340" i="2"/>
  <c r="H340" i="2" s="1"/>
  <c r="F348" i="2"/>
  <c r="J355" i="2"/>
  <c r="I355" i="2"/>
  <c r="K368" i="2"/>
  <c r="I368" i="2"/>
  <c r="K371" i="2"/>
  <c r="J371" i="2"/>
  <c r="H371" i="2" s="1"/>
  <c r="I371" i="2"/>
  <c r="I388" i="2"/>
  <c r="K391" i="2"/>
  <c r="J391" i="2"/>
  <c r="H391" i="2" s="1"/>
  <c r="I391" i="2"/>
  <c r="G418" i="2"/>
  <c r="F418" i="2"/>
  <c r="K418" i="2" s="1"/>
  <c r="F436" i="2"/>
  <c r="J436" i="2" s="1"/>
  <c r="H436" i="2" s="1"/>
  <c r="G449" i="2"/>
  <c r="F449" i="2"/>
  <c r="K449" i="2" s="1"/>
  <c r="I293" i="2"/>
  <c r="F305" i="2"/>
  <c r="K305" i="2" s="1"/>
  <c r="I306" i="2"/>
  <c r="I311" i="2"/>
  <c r="F321" i="2"/>
  <c r="K321" i="2" s="1"/>
  <c r="I324" i="2"/>
  <c r="I329" i="2"/>
  <c r="J344" i="2"/>
  <c r="H344" i="2" s="1"/>
  <c r="K344" i="2"/>
  <c r="I344" i="2"/>
  <c r="K358" i="2"/>
  <c r="J358" i="2"/>
  <c r="I358" i="2"/>
  <c r="K376" i="2"/>
  <c r="J376" i="2"/>
  <c r="H376" i="2" s="1"/>
  <c r="I376" i="2"/>
  <c r="K394" i="2"/>
  <c r="J394" i="2"/>
  <c r="H394" i="2" s="1"/>
  <c r="I394" i="2"/>
  <c r="F402" i="2"/>
  <c r="I402" i="2" s="1"/>
  <c r="G402" i="2"/>
  <c r="I405" i="2"/>
  <c r="K405" i="2"/>
  <c r="J405" i="2"/>
  <c r="H405" i="2" s="1"/>
  <c r="G405" i="2"/>
  <c r="F308" i="2"/>
  <c r="J308" i="2" s="1"/>
  <c r="H308" i="2" s="1"/>
  <c r="F326" i="2"/>
  <c r="J326" i="2" s="1"/>
  <c r="H326" i="2" s="1"/>
  <c r="G335" i="2"/>
  <c r="G349" i="2"/>
  <c r="G351" i="2"/>
  <c r="G408" i="2"/>
  <c r="F408" i="2"/>
  <c r="I408" i="2" s="1"/>
  <c r="F415" i="2"/>
  <c r="I415" i="2" s="1"/>
  <c r="K283" i="2"/>
  <c r="J287" i="2"/>
  <c r="K291" i="2"/>
  <c r="G293" i="2"/>
  <c r="J301" i="2"/>
  <c r="H301" i="2" s="1"/>
  <c r="G301" i="2"/>
  <c r="J304" i="2"/>
  <c r="H304" i="2" s="1"/>
  <c r="G308" i="2"/>
  <c r="K309" i="2"/>
  <c r="G311" i="2"/>
  <c r="F314" i="2"/>
  <c r="I314" i="2" s="1"/>
  <c r="J317" i="2"/>
  <c r="H317" i="2" s="1"/>
  <c r="G317" i="2"/>
  <c r="J320" i="2"/>
  <c r="H320" i="2" s="1"/>
  <c r="G326" i="2"/>
  <c r="G329" i="2"/>
  <c r="F332" i="2"/>
  <c r="I332" i="2" s="1"/>
  <c r="F335" i="2"/>
  <c r="F337" i="2"/>
  <c r="K337" i="2" s="1"/>
  <c r="G344" i="2"/>
  <c r="F349" i="2"/>
  <c r="I349" i="2" s="1"/>
  <c r="F351" i="2"/>
  <c r="K351" i="2" s="1"/>
  <c r="F364" i="2"/>
  <c r="I364" i="2" s="1"/>
  <c r="G364" i="2"/>
  <c r="F382" i="2"/>
  <c r="I382" i="2" s="1"/>
  <c r="G382" i="2"/>
  <c r="G394" i="2"/>
  <c r="G415" i="2"/>
  <c r="G453" i="2"/>
  <c r="I460" i="2"/>
  <c r="G462" i="2"/>
  <c r="F462" i="2"/>
  <c r="J462" i="2" s="1"/>
  <c r="H462" i="2" s="1"/>
  <c r="J357" i="2"/>
  <c r="H357" i="2" s="1"/>
  <c r="G357" i="2"/>
  <c r="J360" i="2"/>
  <c r="H360" i="2" s="1"/>
  <c r="K362" i="2"/>
  <c r="J375" i="2"/>
  <c r="H375" i="2" s="1"/>
  <c r="G375" i="2"/>
  <c r="J378" i="2"/>
  <c r="H378" i="2" s="1"/>
  <c r="J393" i="2"/>
  <c r="H393" i="2" s="1"/>
  <c r="G393" i="2"/>
  <c r="J396" i="2"/>
  <c r="H396" i="2" s="1"/>
  <c r="K400" i="2"/>
  <c r="J411" i="2"/>
  <c r="H411" i="2" s="1"/>
  <c r="G411" i="2"/>
  <c r="K416" i="2"/>
  <c r="K432" i="2"/>
  <c r="J432" i="2"/>
  <c r="H432" i="2" s="1"/>
  <c r="J439" i="2"/>
  <c r="H439" i="2" s="1"/>
  <c r="I442" i="2"/>
  <c r="F446" i="2"/>
  <c r="K446" i="2" s="1"/>
  <c r="F453" i="2"/>
  <c r="K453" i="2" s="1"/>
  <c r="J460" i="2"/>
  <c r="H460" i="2" s="1"/>
  <c r="K350" i="2"/>
  <c r="K366" i="2"/>
  <c r="K384" i="2"/>
  <c r="K422" i="2"/>
  <c r="J422" i="2"/>
  <c r="H422" i="2" s="1"/>
  <c r="K437" i="2"/>
  <c r="J437" i="2"/>
  <c r="H437" i="2" s="1"/>
  <c r="G437" i="2"/>
  <c r="J442" i="2"/>
  <c r="H442" i="2" s="1"/>
  <c r="G444" i="2"/>
  <c r="F444" i="2"/>
  <c r="J444" i="2" s="1"/>
  <c r="H444" i="2" s="1"/>
  <c r="G446" i="2"/>
  <c r="G459" i="2"/>
  <c r="F459" i="2"/>
  <c r="K459" i="2" s="1"/>
  <c r="K353" i="2"/>
  <c r="F369" i="2"/>
  <c r="K369" i="2" s="1"/>
  <c r="F389" i="2"/>
  <c r="K389" i="2" s="1"/>
  <c r="F407" i="2"/>
  <c r="K407" i="2" s="1"/>
  <c r="G427" i="2"/>
  <c r="F441" i="2"/>
  <c r="J441" i="2" s="1"/>
  <c r="H441" i="2" s="1"/>
  <c r="K454" i="2"/>
  <c r="I454" i="2"/>
  <c r="G463" i="2"/>
  <c r="G350" i="2"/>
  <c r="G353" i="2"/>
  <c r="F356" i="2"/>
  <c r="I356" i="2" s="1"/>
  <c r="F359" i="2"/>
  <c r="I359" i="2" s="1"/>
  <c r="G366" i="2"/>
  <c r="F374" i="2"/>
  <c r="F377" i="2"/>
  <c r="G384" i="2"/>
  <c r="G389" i="2"/>
  <c r="F392" i="2"/>
  <c r="F395" i="2"/>
  <c r="I395" i="2" s="1"/>
  <c r="G407" i="2"/>
  <c r="F410" i="2"/>
  <c r="F413" i="2"/>
  <c r="J419" i="2"/>
  <c r="H419" i="2" s="1"/>
  <c r="G419" i="2"/>
  <c r="J421" i="2"/>
  <c r="H421" i="2" s="1"/>
  <c r="I421" i="2"/>
  <c r="F427" i="2"/>
  <c r="K427" i="2" s="1"/>
  <c r="F429" i="2"/>
  <c r="K429" i="2" s="1"/>
  <c r="I437" i="2"/>
  <c r="J447" i="2"/>
  <c r="H447" i="2" s="1"/>
  <c r="I450" i="2"/>
  <c r="F463" i="2"/>
  <c r="K463" i="2" s="1"/>
  <c r="J365" i="2"/>
  <c r="H365" i="2" s="1"/>
  <c r="G365" i="2"/>
  <c r="J368" i="2"/>
  <c r="H368" i="2" s="1"/>
  <c r="J383" i="2"/>
  <c r="H383" i="2" s="1"/>
  <c r="G383" i="2"/>
  <c r="J388" i="2"/>
  <c r="G395" i="2"/>
  <c r="J403" i="2"/>
  <c r="H403" i="2" s="1"/>
  <c r="G403" i="2"/>
  <c r="J406" i="2"/>
  <c r="H406" i="2" s="1"/>
  <c r="G413" i="2"/>
  <c r="G429" i="2"/>
  <c r="F433" i="2"/>
  <c r="I433" i="2" s="1"/>
  <c r="K438" i="2"/>
  <c r="I438" i="2"/>
  <c r="K445" i="2"/>
  <c r="J445" i="2"/>
  <c r="H445" i="2" s="1"/>
  <c r="G445" i="2"/>
  <c r="G452" i="2"/>
  <c r="F452" i="2"/>
  <c r="K452" i="2" s="1"/>
  <c r="I439" i="2"/>
  <c r="J440" i="2"/>
  <c r="H440" i="2" s="1"/>
  <c r="I447" i="2"/>
  <c r="J448" i="2"/>
  <c r="H448" i="2" s="1"/>
  <c r="I455" i="2"/>
  <c r="H451" i="2" l="1"/>
  <c r="H363" i="2"/>
  <c r="H342" i="2"/>
  <c r="H72" i="2"/>
  <c r="K275" i="2"/>
  <c r="H265" i="2"/>
  <c r="K264" i="2"/>
  <c r="H273" i="2"/>
  <c r="H255" i="2"/>
  <c r="K192" i="2"/>
  <c r="H358" i="2"/>
  <c r="H355" i="2"/>
  <c r="K355" i="2"/>
  <c r="K348" i="2"/>
  <c r="H330" i="2"/>
  <c r="H268" i="2"/>
  <c r="H226" i="2"/>
  <c r="K220" i="2"/>
  <c r="H192" i="2"/>
  <c r="K159" i="2"/>
  <c r="H174" i="2"/>
  <c r="K100" i="2"/>
  <c r="H136" i="2"/>
  <c r="H132" i="2"/>
  <c r="H124" i="2"/>
  <c r="H121" i="2"/>
  <c r="K87" i="2"/>
  <c r="J120" i="2"/>
  <c r="H120" i="2" s="1"/>
  <c r="I120" i="2"/>
  <c r="H42" i="2"/>
  <c r="H21" i="2"/>
  <c r="J43" i="2"/>
  <c r="H43" i="2" s="1"/>
  <c r="K175" i="2"/>
  <c r="J35" i="2"/>
  <c r="H35" i="2" s="1"/>
  <c r="J175" i="2"/>
  <c r="H175" i="2" s="1"/>
  <c r="J16" i="2"/>
  <c r="H16" i="2" s="1"/>
  <c r="I15" i="2"/>
  <c r="I172" i="2"/>
  <c r="I61" i="2"/>
  <c r="J61" i="2"/>
  <c r="H61" i="2" s="1"/>
  <c r="H50" i="2"/>
  <c r="H47" i="2"/>
  <c r="I313" i="2"/>
  <c r="K313" i="2"/>
  <c r="K382" i="2"/>
  <c r="I290" i="2"/>
  <c r="J345" i="2"/>
  <c r="K347" i="2" s="1"/>
  <c r="I124" i="2"/>
  <c r="J159" i="2"/>
  <c r="K331" i="2"/>
  <c r="K462" i="2"/>
  <c r="I87" i="2"/>
  <c r="J364" i="2"/>
  <c r="H364" i="2" s="1"/>
  <c r="J282" i="2"/>
  <c r="H282" i="2" s="1"/>
  <c r="J87" i="2"/>
  <c r="K150" i="2" s="1"/>
  <c r="I462" i="2"/>
  <c r="I441" i="2"/>
  <c r="K282" i="2"/>
  <c r="J259" i="2"/>
  <c r="H259" i="2" s="1"/>
  <c r="J123" i="2"/>
  <c r="H123" i="2" s="1"/>
  <c r="K171" i="2"/>
  <c r="J149" i="2"/>
  <c r="H149" i="2" s="1"/>
  <c r="J44" i="2"/>
  <c r="H44" i="2" s="1"/>
  <c r="H24" i="2"/>
  <c r="J221" i="2"/>
  <c r="H221" i="2" s="1"/>
  <c r="K41" i="2"/>
  <c r="K441" i="2"/>
  <c r="K318" i="2"/>
  <c r="K341" i="2"/>
  <c r="J186" i="2"/>
  <c r="H186" i="2" s="1"/>
  <c r="K133" i="2"/>
  <c r="K272" i="2"/>
  <c r="I341" i="2"/>
  <c r="I272" i="2"/>
  <c r="K124" i="2"/>
  <c r="I446" i="2"/>
  <c r="J415" i="2"/>
  <c r="H415" i="2" s="1"/>
  <c r="I138" i="2"/>
  <c r="J236" i="2"/>
  <c r="H236" i="2" s="1"/>
  <c r="K176" i="2"/>
  <c r="I96" i="2"/>
  <c r="I163" i="2"/>
  <c r="K189" i="2"/>
  <c r="K433" i="2"/>
  <c r="I429" i="2"/>
  <c r="I444" i="2"/>
  <c r="K288" i="2"/>
  <c r="I428" i="2"/>
  <c r="J77" i="2"/>
  <c r="J96" i="2"/>
  <c r="H96" i="2" s="1"/>
  <c r="I78" i="2"/>
  <c r="I288" i="2"/>
  <c r="I232" i="2"/>
  <c r="J197" i="2"/>
  <c r="H197" i="2" s="1"/>
  <c r="I215" i="2"/>
  <c r="J78" i="2"/>
  <c r="H78" i="2" s="1"/>
  <c r="K270" i="2"/>
  <c r="K444" i="2"/>
  <c r="J429" i="2"/>
  <c r="H429" i="2" s="1"/>
  <c r="I423" i="2"/>
  <c r="J423" i="2"/>
  <c r="H423" i="2" s="1"/>
  <c r="I261" i="2"/>
  <c r="K290" i="2"/>
  <c r="I397" i="2"/>
  <c r="K198" i="2"/>
  <c r="I123" i="2"/>
  <c r="I77" i="2"/>
  <c r="K119" i="2"/>
  <c r="K197" i="2"/>
  <c r="I142" i="2"/>
  <c r="K215" i="2"/>
  <c r="J36" i="2"/>
  <c r="H36" i="2" s="1"/>
  <c r="J106" i="2"/>
  <c r="H106" i="2" s="1"/>
  <c r="I113" i="2"/>
  <c r="I62" i="2"/>
  <c r="J52" i="2"/>
  <c r="H52" i="2" s="1"/>
  <c r="K397" i="2"/>
  <c r="J224" i="2"/>
  <c r="K342" i="2" s="1"/>
  <c r="K241" i="2"/>
  <c r="K36" i="2"/>
  <c r="K52" i="2"/>
  <c r="J446" i="2"/>
  <c r="H446" i="2" s="1"/>
  <c r="I351" i="2"/>
  <c r="J138" i="2"/>
  <c r="H138" i="2" s="1"/>
  <c r="J213" i="2"/>
  <c r="H213" i="2" s="1"/>
  <c r="K33" i="2"/>
  <c r="K110" i="2"/>
  <c r="K364" i="2"/>
  <c r="K349" i="2"/>
  <c r="J264" i="2"/>
  <c r="I318" i="2"/>
  <c r="K286" i="2"/>
  <c r="K248" i="2"/>
  <c r="I286" i="2"/>
  <c r="I241" i="2"/>
  <c r="K250" i="2"/>
  <c r="K428" i="2"/>
  <c r="I302" i="2"/>
  <c r="I154" i="2"/>
  <c r="J205" i="2"/>
  <c r="K345" i="2" s="1"/>
  <c r="I186" i="2"/>
  <c r="I149" i="2"/>
  <c r="I106" i="2"/>
  <c r="K202" i="2"/>
  <c r="I59" i="2"/>
  <c r="I44" i="2"/>
  <c r="J15" i="2"/>
  <c r="H15" i="2" s="1"/>
  <c r="K22" i="2"/>
  <c r="K49" i="2"/>
  <c r="I303" i="2"/>
  <c r="K302" i="2"/>
  <c r="I275" i="2"/>
  <c r="I231" i="2"/>
  <c r="I221" i="2"/>
  <c r="K205" i="2"/>
  <c r="J452" i="2"/>
  <c r="H452" i="2" s="1"/>
  <c r="I453" i="2"/>
  <c r="K415" i="2"/>
  <c r="K379" i="2"/>
  <c r="J285" i="2"/>
  <c r="H285" i="2" s="1"/>
  <c r="K239" i="2"/>
  <c r="K284" i="2"/>
  <c r="K277" i="2"/>
  <c r="J190" i="2"/>
  <c r="H190" i="2" s="1"/>
  <c r="J95" i="2"/>
  <c r="H95" i="2" s="1"/>
  <c r="J231" i="2"/>
  <c r="H231" i="2" s="1"/>
  <c r="K48" i="2"/>
  <c r="I236" i="2"/>
  <c r="J163" i="2"/>
  <c r="H163" i="2" s="1"/>
  <c r="K84" i="2"/>
  <c r="J84" i="2"/>
  <c r="H84" i="2" s="1"/>
  <c r="K303" i="2"/>
  <c r="I292" i="2"/>
  <c r="J69" i="2"/>
  <c r="H69" i="2" s="1"/>
  <c r="K314" i="2"/>
  <c r="K292" i="2"/>
  <c r="I95" i="2"/>
  <c r="I43" i="2"/>
  <c r="J258" i="2"/>
  <c r="H258" i="2" s="1"/>
  <c r="I223" i="2"/>
  <c r="J66" i="2"/>
  <c r="K255" i="2" s="1"/>
  <c r="I33" i="2"/>
  <c r="J113" i="2"/>
  <c r="H113" i="2" s="1"/>
  <c r="J22" i="2"/>
  <c r="H22" i="2" s="1"/>
  <c r="I194" i="2"/>
  <c r="J88" i="2"/>
  <c r="H88" i="2" s="1"/>
  <c r="I452" i="2"/>
  <c r="K190" i="2"/>
  <c r="I427" i="2"/>
  <c r="J427" i="2"/>
  <c r="H427" i="2" s="1"/>
  <c r="J453" i="2"/>
  <c r="H453" i="2" s="1"/>
  <c r="I308" i="2"/>
  <c r="J348" i="2"/>
  <c r="I436" i="2"/>
  <c r="I348" i="2"/>
  <c r="J332" i="2"/>
  <c r="H332" i="2" s="1"/>
  <c r="J296" i="2"/>
  <c r="H296" i="2" s="1"/>
  <c r="I345" i="2"/>
  <c r="K319" i="2"/>
  <c r="I224" i="2"/>
  <c r="J198" i="2"/>
  <c r="H198" i="2" s="1"/>
  <c r="I159" i="2"/>
  <c r="K142" i="2"/>
  <c r="I69" i="2"/>
  <c r="K258" i="2"/>
  <c r="J223" i="2"/>
  <c r="H223" i="2" s="1"/>
  <c r="K153" i="2"/>
  <c r="J251" i="2"/>
  <c r="H251" i="2" s="1"/>
  <c r="K74" i="2"/>
  <c r="K59" i="2"/>
  <c r="I41" i="2"/>
  <c r="J194" i="2"/>
  <c r="H194" i="2" s="1"/>
  <c r="K296" i="2"/>
  <c r="I319" i="2"/>
  <c r="K251" i="2"/>
  <c r="K410" i="2"/>
  <c r="J410" i="2"/>
  <c r="H410" i="2" s="1"/>
  <c r="I369" i="2"/>
  <c r="J369" i="2"/>
  <c r="J150" i="2"/>
  <c r="J377" i="2"/>
  <c r="K388" i="2" s="1"/>
  <c r="J408" i="2"/>
  <c r="H408" i="2" s="1"/>
  <c r="I418" i="2"/>
  <c r="I361" i="2"/>
  <c r="J300" i="2"/>
  <c r="H300" i="2" s="1"/>
  <c r="K300" i="2"/>
  <c r="J274" i="2"/>
  <c r="H274" i="2" s="1"/>
  <c r="J390" i="2"/>
  <c r="H390" i="2" s="1"/>
  <c r="K354" i="2"/>
  <c r="K201" i="2"/>
  <c r="I201" i="2"/>
  <c r="I354" i="2"/>
  <c r="I284" i="2"/>
  <c r="I269" i="2"/>
  <c r="K326" i="2"/>
  <c r="K169" i="2"/>
  <c r="J169" i="2"/>
  <c r="H169" i="2" s="1"/>
  <c r="J420" i="2"/>
  <c r="H420" i="2" s="1"/>
  <c r="K232" i="2"/>
  <c r="J182" i="2"/>
  <c r="H182" i="2" s="1"/>
  <c r="K65" i="2"/>
  <c r="I65" i="2"/>
  <c r="I25" i="2"/>
  <c r="J280" i="2"/>
  <c r="H280" i="2" s="1"/>
  <c r="J270" i="2"/>
  <c r="H270" i="2" s="1"/>
  <c r="J181" i="2"/>
  <c r="H181" i="2" s="1"/>
  <c r="J240" i="2"/>
  <c r="K451" i="2" s="1"/>
  <c r="K102" i="2"/>
  <c r="J58" i="2"/>
  <c r="H58" i="2" s="1"/>
  <c r="I145" i="2"/>
  <c r="J70" i="2"/>
  <c r="H70" i="2" s="1"/>
  <c r="J6" i="2"/>
  <c r="K35" i="2" s="1"/>
  <c r="J62" i="2"/>
  <c r="H62" i="2" s="1"/>
  <c r="I88" i="2"/>
  <c r="J413" i="2"/>
  <c r="H413" i="2" s="1"/>
  <c r="K413" i="2"/>
  <c r="J210" i="2"/>
  <c r="H210" i="2" s="1"/>
  <c r="I210" i="2"/>
  <c r="K167" i="2"/>
  <c r="I167" i="2"/>
  <c r="I21" i="2"/>
  <c r="K21" i="2"/>
  <c r="K374" i="2"/>
  <c r="J374" i="2"/>
  <c r="K377" i="2" s="1"/>
  <c r="J407" i="2"/>
  <c r="H407" i="2" s="1"/>
  <c r="I407" i="2"/>
  <c r="J305" i="2"/>
  <c r="H305" i="2" s="1"/>
  <c r="I305" i="2"/>
  <c r="J361" i="2"/>
  <c r="H361" i="2" s="1"/>
  <c r="K334" i="2"/>
  <c r="J334" i="2"/>
  <c r="H334" i="2" s="1"/>
  <c r="I300" i="2"/>
  <c r="J269" i="2"/>
  <c r="H269" i="2" s="1"/>
  <c r="K390" i="2"/>
  <c r="K308" i="2"/>
  <c r="J229" i="2"/>
  <c r="K210" i="2"/>
  <c r="K125" i="2"/>
  <c r="J125" i="2"/>
  <c r="H125" i="2" s="1"/>
  <c r="I420" i="2"/>
  <c r="J275" i="2"/>
  <c r="I229" i="2"/>
  <c r="J206" i="2"/>
  <c r="H206" i="2" s="1"/>
  <c r="K182" i="2"/>
  <c r="J164" i="2"/>
  <c r="H164" i="2" s="1"/>
  <c r="I164" i="2"/>
  <c r="J146" i="2"/>
  <c r="H146" i="2" s="1"/>
  <c r="I146" i="2"/>
  <c r="J128" i="2"/>
  <c r="H128" i="2" s="1"/>
  <c r="I128" i="2"/>
  <c r="K109" i="2"/>
  <c r="J109" i="2"/>
  <c r="H109" i="2" s="1"/>
  <c r="I109" i="2"/>
  <c r="I39" i="2"/>
  <c r="K39" i="2"/>
  <c r="J9" i="2"/>
  <c r="K50" i="2" s="1"/>
  <c r="I9" i="2"/>
  <c r="K9" i="2"/>
  <c r="K128" i="2"/>
  <c r="J426" i="2"/>
  <c r="H426" i="2" s="1"/>
  <c r="J137" i="2"/>
  <c r="H137" i="2" s="1"/>
  <c r="K280" i="2"/>
  <c r="I189" i="2"/>
  <c r="K181" i="2"/>
  <c r="K240" i="2"/>
  <c r="K66" i="2"/>
  <c r="J32" i="2"/>
  <c r="H32" i="2" s="1"/>
  <c r="J110" i="2"/>
  <c r="H110" i="2" s="1"/>
  <c r="J48" i="2"/>
  <c r="H48" i="2" s="1"/>
  <c r="J26" i="2"/>
  <c r="H26" i="2" s="1"/>
  <c r="J145" i="2"/>
  <c r="H145" i="2" s="1"/>
  <c r="K70" i="2"/>
  <c r="K6" i="2"/>
  <c r="I127" i="2"/>
  <c r="K209" i="2"/>
  <c r="I209" i="2"/>
  <c r="K116" i="2"/>
  <c r="J116" i="2"/>
  <c r="H116" i="2" s="1"/>
  <c r="I410" i="2"/>
  <c r="I463" i="2"/>
  <c r="K408" i="2"/>
  <c r="J349" i="2"/>
  <c r="H349" i="2" s="1"/>
  <c r="J402" i="2"/>
  <c r="H402" i="2" s="1"/>
  <c r="I374" i="2"/>
  <c r="J353" i="2"/>
  <c r="H353" i="2" s="1"/>
  <c r="I353" i="2"/>
  <c r="J382" i="2"/>
  <c r="H382" i="2" s="1"/>
  <c r="I337" i="2"/>
  <c r="K402" i="2"/>
  <c r="K332" i="2"/>
  <c r="I250" i="2"/>
  <c r="K233" i="2"/>
  <c r="J233" i="2"/>
  <c r="H233" i="2" s="1"/>
  <c r="I274" i="2"/>
  <c r="K261" i="2"/>
  <c r="K227" i="2"/>
  <c r="I227" i="2"/>
  <c r="K193" i="2"/>
  <c r="I193" i="2"/>
  <c r="K234" i="2"/>
  <c r="I234" i="2"/>
  <c r="I264" i="2"/>
  <c r="J239" i="2"/>
  <c r="H239" i="2" s="1"/>
  <c r="I277" i="2"/>
  <c r="I248" i="2"/>
  <c r="J209" i="2"/>
  <c r="H209" i="2" s="1"/>
  <c r="K143" i="2"/>
  <c r="J143" i="2"/>
  <c r="H143" i="2" s="1"/>
  <c r="K206" i="2"/>
  <c r="I143" i="2"/>
  <c r="I125" i="2"/>
  <c r="J105" i="2"/>
  <c r="H105" i="2" s="1"/>
  <c r="K81" i="2"/>
  <c r="J81" i="2"/>
  <c r="H81" i="2" s="1"/>
  <c r="I81" i="2"/>
  <c r="K146" i="2"/>
  <c r="I105" i="2"/>
  <c r="K426" i="2"/>
  <c r="K172" i="2"/>
  <c r="K137" i="2"/>
  <c r="I243" i="2"/>
  <c r="I213" i="2"/>
  <c r="K92" i="2"/>
  <c r="J65" i="2"/>
  <c r="H65" i="2" s="1"/>
  <c r="K40" i="2"/>
  <c r="J102" i="2"/>
  <c r="H102" i="2" s="1"/>
  <c r="J40" i="2"/>
  <c r="K42" i="2" s="1"/>
  <c r="K26" i="2"/>
  <c r="I202" i="2"/>
  <c r="I176" i="2"/>
  <c r="J127" i="2"/>
  <c r="H127" i="2" s="1"/>
  <c r="I133" i="2"/>
  <c r="K356" i="2"/>
  <c r="J356" i="2"/>
  <c r="H356" i="2" s="1"/>
  <c r="J266" i="2"/>
  <c r="H266" i="2" s="1"/>
  <c r="I266" i="2"/>
  <c r="I47" i="2"/>
  <c r="I326" i="2"/>
  <c r="J314" i="2"/>
  <c r="H314" i="2" s="1"/>
  <c r="K134" i="2"/>
  <c r="J134" i="2"/>
  <c r="H134" i="2" s="1"/>
  <c r="J463" i="2"/>
  <c r="H463" i="2" s="1"/>
  <c r="J337" i="2"/>
  <c r="H337" i="2" s="1"/>
  <c r="J433" i="2"/>
  <c r="H433" i="2" s="1"/>
  <c r="I449" i="2"/>
  <c r="J201" i="2"/>
  <c r="H201" i="2" s="1"/>
  <c r="K161" i="2"/>
  <c r="J161" i="2"/>
  <c r="H161" i="2" s="1"/>
  <c r="J141" i="2"/>
  <c r="H141" i="2" s="1"/>
  <c r="I141" i="2"/>
  <c r="K57" i="2"/>
  <c r="I57" i="2"/>
  <c r="J243" i="2"/>
  <c r="K370" i="2" s="1"/>
  <c r="J39" i="2"/>
  <c r="K229" i="2" s="1"/>
  <c r="J92" i="2"/>
  <c r="H92" i="2" s="1"/>
  <c r="I171" i="2"/>
  <c r="K51" i="2"/>
  <c r="K25" i="2"/>
  <c r="I49" i="2"/>
  <c r="J310" i="2"/>
  <c r="H310" i="2" s="1"/>
  <c r="K91" i="2"/>
  <c r="J91" i="2"/>
  <c r="H91" i="2" s="1"/>
  <c r="I91" i="2"/>
  <c r="K392" i="2"/>
  <c r="J392" i="2"/>
  <c r="H392" i="2" s="1"/>
  <c r="I389" i="2"/>
  <c r="J389" i="2"/>
  <c r="H389" i="2" s="1"/>
  <c r="J351" i="2"/>
  <c r="H351" i="2" s="1"/>
  <c r="J449" i="2"/>
  <c r="H449" i="2" s="1"/>
  <c r="J418" i="2"/>
  <c r="H418" i="2" s="1"/>
  <c r="I379" i="2"/>
  <c r="I370" i="2"/>
  <c r="K219" i="2"/>
  <c r="I219" i="2"/>
  <c r="K185" i="2"/>
  <c r="I185" i="2"/>
  <c r="J228" i="2"/>
  <c r="H228" i="2" s="1"/>
  <c r="I228" i="2"/>
  <c r="I310" i="2"/>
  <c r="I298" i="2"/>
  <c r="J298" i="2"/>
  <c r="J154" i="2"/>
  <c r="H154" i="2" s="1"/>
  <c r="K101" i="2"/>
  <c r="J101" i="2"/>
  <c r="H101" i="2" s="1"/>
  <c r="I101" i="2"/>
  <c r="J51" i="2"/>
  <c r="H51" i="2" s="1"/>
  <c r="I31" i="2"/>
  <c r="K31" i="2"/>
  <c r="K58" i="2"/>
  <c r="J253" i="2"/>
  <c r="H253" i="2" s="1"/>
  <c r="I253" i="2"/>
  <c r="I413" i="2"/>
  <c r="K335" i="2"/>
  <c r="I335" i="2"/>
  <c r="K278" i="2"/>
  <c r="I278" i="2"/>
  <c r="K395" i="2"/>
  <c r="J395" i="2"/>
  <c r="H395" i="2" s="1"/>
  <c r="I392" i="2"/>
  <c r="J359" i="2"/>
  <c r="H359" i="2" s="1"/>
  <c r="K359" i="2"/>
  <c r="I377" i="2"/>
  <c r="J459" i="2"/>
  <c r="H459" i="2" s="1"/>
  <c r="I459" i="2"/>
  <c r="J335" i="2"/>
  <c r="H335" i="2" s="1"/>
  <c r="J321" i="2"/>
  <c r="H321" i="2" s="1"/>
  <c r="I321" i="2"/>
  <c r="K316" i="2"/>
  <c r="J316" i="2"/>
  <c r="H316" i="2" s="1"/>
  <c r="I285" i="2"/>
  <c r="K244" i="2"/>
  <c r="J244" i="2"/>
  <c r="H244" i="2" s="1"/>
  <c r="I244" i="2"/>
  <c r="K266" i="2"/>
  <c r="K256" i="2"/>
  <c r="J256" i="2"/>
  <c r="H256" i="2" s="1"/>
  <c r="K238" i="2"/>
  <c r="J238" i="2"/>
  <c r="H238" i="2" s="1"/>
  <c r="J220" i="2"/>
  <c r="K287" i="2" s="1"/>
  <c r="I220" i="2"/>
  <c r="I259" i="2"/>
  <c r="J331" i="2"/>
  <c r="H331" i="2" s="1"/>
  <c r="K228" i="2"/>
  <c r="J185" i="2"/>
  <c r="H185" i="2" s="1"/>
  <c r="I116" i="2"/>
  <c r="J167" i="2"/>
  <c r="H167" i="2" s="1"/>
  <c r="K73" i="2"/>
  <c r="I73" i="2"/>
  <c r="J153" i="2"/>
  <c r="K174" i="2" s="1"/>
  <c r="J119" i="2"/>
  <c r="H119" i="2" s="1"/>
  <c r="J160" i="2"/>
  <c r="H160" i="2" s="1"/>
  <c r="I160" i="2"/>
  <c r="J57" i="2"/>
  <c r="K226" i="2" s="1"/>
  <c r="K32" i="2"/>
  <c r="J74" i="2"/>
  <c r="H74" i="2" s="1"/>
  <c r="H240" i="2" l="1"/>
  <c r="K436" i="2"/>
  <c r="K404" i="2"/>
  <c r="K380" i="2"/>
  <c r="H377" i="2"/>
  <c r="H369" i="2"/>
  <c r="H224" i="2"/>
  <c r="H345" i="2"/>
  <c r="H275" i="2"/>
  <c r="K281" i="2"/>
  <c r="H264" i="2"/>
  <c r="K273" i="2"/>
  <c r="H243" i="2"/>
  <c r="H298" i="2"/>
  <c r="H229" i="2"/>
  <c r="H205" i="2"/>
  <c r="H153" i="2"/>
  <c r="H150" i="2"/>
  <c r="H87" i="2"/>
  <c r="H77" i="2"/>
  <c r="H66" i="2"/>
  <c r="K47" i="2"/>
  <c r="H40" i="2"/>
  <c r="H39" i="2"/>
  <c r="H6" i="2"/>
  <c r="H9" i="2"/>
</calcChain>
</file>

<file path=xl/sharedStrings.xml><?xml version="1.0" encoding="utf-8"?>
<sst xmlns="http://schemas.openxmlformats.org/spreadsheetml/2006/main" count="1127" uniqueCount="421">
  <si>
    <t>ID</t>
  </si>
  <si>
    <t>PRED_ID</t>
  </si>
  <si>
    <t>MARKER_AUTO</t>
  </si>
  <si>
    <t>PREDICATE</t>
  </si>
  <si>
    <t>TEXT</t>
  </si>
  <si>
    <t>SENTENCE</t>
  </si>
  <si>
    <t>MARKER</t>
  </si>
  <si>
    <t>TARGET</t>
  </si>
  <si>
    <t>RELATION</t>
  </si>
  <si>
    <t>COMMENT</t>
  </si>
  <si>
    <t>1</t>
  </si>
  <si>
    <t>4</t>
  </si>
  <si>
    <t>_</t>
  </si>
  <si>
    <t>Brücke</t>
  </si>
  <si>
    <t>Queensferry Crossing : Brücke nun mit Fife verbunden</t>
  </si>
  <si>
    <t>file://conllu/de/bbc.242497.conllu#s1_0</t>
  </si>
  <si>
    <t>2</t>
  </si>
  <si>
    <t>Mrd</t>
  </si>
  <si>
    <t>Das £ 1,35 Mrd .</t>
  </si>
  <si>
    <t>file://conllu/de/bbc.242497.conllu#s2_0</t>
  </si>
  <si>
    <t>3</t>
  </si>
  <si>
    <t>7</t>
  </si>
  <si>
    <t>fertigstellen</t>
  </si>
  <si>
    <t>teure Projekt soll bis Mai 2017 fertiggestellt werden</t>
  </si>
  <si>
    <t>file://conllu/de/bbc.242497.conllu#s3_0</t>
  </si>
  <si>
    <t>11</t>
  </si>
  <si>
    <t>Was?</t>
  </si>
  <si>
    <t>verbunden</t>
  </si>
  <si>
    <t>Ingenieure haben das Norddeck des Queensferry Crossings mit dem Viadukt verbunden was bedeutet , dass die Brücke jetzt mit Fife verbunden ist .</t>
  </si>
  <si>
    <t>file://conllu/de/bbc.242497.conllu#s4_0</t>
  </si>
  <si>
    <t>5</t>
  </si>
  <si>
    <t>sein (sein erst)</t>
  </si>
  <si>
    <t>Es ist das erste von vier Verschließungen der &amp;quot; Deckgebläse &amp;quot; , die sich der Fertigstellung um jeden der drei Türme der Brücke nähern .</t>
  </si>
  <si>
    <t>file://conllu/de/bbc.242497.conllu#s5_0</t>
  </si>
  <si>
    <t>6</t>
  </si>
  <si>
    <t>sein (sein lang)</t>
  </si>
  <si>
    <t>Der Brückenabschnitt von Fife ist jetzt 600 Meter lang und wiegt 30.000 Tonnen .</t>
  </si>
  <si>
    <t>file://conllu/de/bbc.242497.conllu#s6_0</t>
  </si>
  <si>
    <t>verfügen</t>
  </si>
  <si>
    <t>Er verfügt über 10.000 Tonnen Stahl und 20.000 Tonnen Beton sowie 46 Schrägseile .</t>
  </si>
  <si>
    <t>file://conllu/de/bbc.242497.conllu#s7_0</t>
  </si>
  <si>
    <t>8</t>
  </si>
  <si>
    <t>Das £ 1,35 Mrd. teure Projekt soll bis Mai 2017 fertiggestellt werden .</t>
  </si>
  <si>
    <t>file://conllu/de/bbc.242497.conllu#s8_0</t>
  </si>
  <si>
    <t>9</t>
  </si>
  <si>
    <t>statten</t>
  </si>
  <si>
    <t>Wirtschaftsminister Keith Brown stattete der Baustelle heute einen Besuch ab und war einer der Ersten , die vom von dem Land auf die Brücke gingen .</t>
  </si>
  <si>
    <t>file://conllu/de/bbc.242497.conllu#s9_0</t>
  </si>
  <si>
    <t>10</t>
  </si>
  <si>
    <t>sagen</t>
  </si>
  <si>
    <t>Er sagte : &amp;quot; Das ist ein historischer und symbolischer Moment beim bei dem Bau des Queensferry Crossings .</t>
  </si>
  <si>
    <t>file://conllu/de/bbc.242497.conllu#s10_0</t>
  </si>
  <si>
    <t>sein (sein Zeuge)</t>
  </si>
  <si>
    <t>Wir sind alle Zeugen einer Ingenieurskunst von einem wahrlich epischen Maße bei diesem Projekt mit über 30.000 Tonnen Beton und Stahl , die alleine für diesen Teil der Brücke verwendet wurden .</t>
  </si>
  <si>
    <t>file://conllu/de/bbc.242497.conllu#s11_0</t>
  </si>
  <si>
    <t>12</t>
  </si>
  <si>
    <t>sein (sein Tätigkeit)</t>
  </si>
  <si>
    <t>Trotz der massiven Größe und Gewichts des Brücke , ist die Fertigstellung des Verschlusses zwischen dem Viadukt und dem Brückendeck eine heikle Tätigkeit , die extrem präzise Toleranzen für die Passung erfordern .</t>
  </si>
  <si>
    <t>file://conllu/de/bbc.242497.conllu#s12_0</t>
  </si>
  <si>
    <t>13</t>
  </si>
  <si>
    <t>18</t>
  </si>
  <si>
    <t>bekommen</t>
  </si>
  <si>
    <t>Insgesamt sind fast 79 % der gesamten Brückendecks an ihrem Platz und der letzte Abschnitt des Decks bekommt heute in Rosyth einen Betonguss für das Deck , was bedeutet , dass das gesamte Deck bereit ist , auf der Brücke an seinen Platz gehoben zu werden .</t>
  </si>
  <si>
    <t>file://conllu/de/bbc.242497.conllu#s13_0</t>
  </si>
  <si>
    <t>14</t>
  </si>
  <si>
    <t>Michael Martin , Projektleiter von Forth Crossing Bridge Constructors sagte : &amp;quot; Der erste Verschluss stellt bei jedem Brückenprojekt einen erheblichen Meilenstein dar .</t>
  </si>
  <si>
    <t>file://conllu/de/bbc.242497.conllu#s14_0</t>
  </si>
  <si>
    <t>15</t>
  </si>
  <si>
    <t>stellen</t>
  </si>
  <si>
    <t>Bei diesem fantastischen Projekt stellt der Verschluss zukunftsweisenden Hoch und Tiefbau dar .</t>
  </si>
  <si>
    <t>file://conllu/de/bbc.242497.conllu#s15_0</t>
  </si>
  <si>
    <t>16</t>
  </si>
  <si>
    <t>31</t>
  </si>
  <si>
    <t>schließen</t>
  </si>
  <si>
    <t>Nach der Installation des letzten Straßendeckabschnitts und dessen Verbindung mit dem im in dem Ausbau befindlichen Nordturmdeck , mussten wir sodann die noch bestehende Lücke auf der Nord oder Landseite schließen .</t>
  </si>
  <si>
    <t>file://conllu/de/bbc.242497.conllu#s16_0</t>
  </si>
  <si>
    <t>17</t>
  </si>
  <si>
    <t>Durch?</t>
  </si>
  <si>
    <t>erreichen</t>
  </si>
  <si>
    <t>Dies wurde durch Ziehen der nördlichen Zubringerbrücke 700 Millimeter südlich erreicht .</t>
  </si>
  <si>
    <t>file://conllu/de/bbc.242497.conllu#s17_0</t>
  </si>
  <si>
    <t>Dies war eine massive und gleichzeitig sehr heikle Tätigkeit .</t>
  </si>
  <si>
    <t>file://conllu/de/bbc.242497.conllu#s18_0</t>
  </si>
  <si>
    <t>19</t>
  </si>
  <si>
    <t>27</t>
  </si>
  <si>
    <t>ziehen</t>
  </si>
  <si>
    <t>Massiv , da das Viadukt 222 Meter lang ist , ca . 6.000 Tonnen wiegt und bei einer Steigung von ca . 3 % nach oben gezogen werden musste .</t>
  </si>
  <si>
    <t>file://conllu/de/bbc.242497.conllu#s19_0</t>
  </si>
  <si>
    <t>20</t>
  </si>
  <si>
    <t>sein (sein betragen)</t>
  </si>
  <si>
    <t>Heikel , da die Toleranzen , auf die das Team hinarbeitet , winzig waren auf jeder Seite betrugen sie nur einige Millimeter .</t>
  </si>
  <si>
    <t>file://conllu/de/bbc.242497.conllu#s20_0</t>
  </si>
  <si>
    <t>21</t>
  </si>
  <si>
    <t>verlaufen</t>
  </si>
  <si>
    <t>Glücklicherweise verlief alles sehr gut .</t>
  </si>
  <si>
    <t>file://conllu/de/bbc.242497.conllu#s21_0</t>
  </si>
  <si>
    <t>WORD</t>
  </si>
  <si>
    <t>GR</t>
  </si>
  <si>
    <t>NP_TYPE</t>
  </si>
  <si>
    <t>REF_AUTO</t>
  </si>
  <si>
    <t>COREF</t>
  </si>
  <si>
    <t>REF</t>
  </si>
  <si>
    <t>IS</t>
  </si>
  <si>
    <t>CB</t>
  </si>
  <si>
    <t>GR_ANTE</t>
  </si>
  <si>
    <t>REF_DIST</t>
  </si>
  <si>
    <t>REF_DIST_ANTE</t>
  </si>
  <si>
    <t># text = Queensferry Crossing: Brücke nun mit Fife verbunden</t>
  </si>
  <si>
    <t>Queensferry</t>
  </si>
  <si>
    <t>Crossing</t>
  </si>
  <si>
    <t>:</t>
  </si>
  <si>
    <t>other</t>
  </si>
  <si>
    <t>ne</t>
  </si>
  <si>
    <t>?OLD</t>
  </si>
  <si>
    <t>nun</t>
  </si>
  <si>
    <t>mit</t>
  </si>
  <si>
    <t>Fife</t>
  </si>
  <si>
    <t>other_2</t>
  </si>
  <si>
    <t>indef-np.bare</t>
  </si>
  <si>
    <t># text = Das £ 1,35 Mrd.</t>
  </si>
  <si>
    <t>Das</t>
  </si>
  <si>
    <t>£</t>
  </si>
  <si>
    <t>SBJ</t>
  </si>
  <si>
    <t>def-np.the</t>
  </si>
  <si>
    <t>1,35</t>
  </si>
  <si>
    <t>pron.pper</t>
  </si>
  <si>
    <t>.</t>
  </si>
  <si>
    <t># text = teure Projekt soll bis Mai 2017 fertiggestellt werden</t>
  </si>
  <si>
    <t>teure</t>
  </si>
  <si>
    <t>Projekt</t>
  </si>
  <si>
    <t>indef-np</t>
  </si>
  <si>
    <t>soll</t>
  </si>
  <si>
    <t>bis</t>
  </si>
  <si>
    <t>Mai</t>
  </si>
  <si>
    <t>2017</t>
  </si>
  <si>
    <t>fertiggestellt</t>
  </si>
  <si>
    <t>werden</t>
  </si>
  <si>
    <t># text = Ingenieure haben das Norddeck des Queensferry Crossings mit dem Viadukt verbunden - was bedeutet, dass die Brücke jetzt mit Fife verbunden ist.</t>
  </si>
  <si>
    <t>Ingenieure</t>
  </si>
  <si>
    <t>haben</t>
  </si>
  <si>
    <t>das</t>
  </si>
  <si>
    <t>Norddeck</t>
  </si>
  <si>
    <t>def-np.poss</t>
  </si>
  <si>
    <t>des</t>
  </si>
  <si>
    <t>Crossings</t>
  </si>
  <si>
    <t>dem</t>
  </si>
  <si>
    <t>Viadukt</t>
  </si>
  <si>
    <t>was</t>
  </si>
  <si>
    <t>SBJ_2</t>
  </si>
  <si>
    <t>pron</t>
  </si>
  <si>
    <t>bedeutet</t>
  </si>
  <si>
    <t>,</t>
  </si>
  <si>
    <t>dass</t>
  </si>
  <si>
    <t>die</t>
  </si>
  <si>
    <t>SBJ_3</t>
  </si>
  <si>
    <t>jetzt</t>
  </si>
  <si>
    <t>other_3</t>
  </si>
  <si>
    <t>ist</t>
  </si>
  <si>
    <t>--</t>
  </si>
  <si>
    <t># text = Es ist das erste von vier Verschließungen der "Deckgebläse", die sich der Fertigstellung um jeden der drei Türme der Brücke nähern.</t>
  </si>
  <si>
    <t>Es</t>
  </si>
  <si>
    <t>erste</t>
  </si>
  <si>
    <t>von</t>
  </si>
  <si>
    <t>vier</t>
  </si>
  <si>
    <t>Verschließungen</t>
  </si>
  <si>
    <t>indef-np.quant</t>
  </si>
  <si>
    <t>der</t>
  </si>
  <si>
    <t>&amp;quot;</t>
  </si>
  <si>
    <t>Deckgebläse</t>
  </si>
  <si>
    <t>SBJ_4</t>
  </si>
  <si>
    <t>sich</t>
  </si>
  <si>
    <t>OBJ_4</t>
  </si>
  <si>
    <t>Fertigstellung</t>
  </si>
  <si>
    <t>um</t>
  </si>
  <si>
    <t>jeden</t>
  </si>
  <si>
    <t>other_4</t>
  </si>
  <si>
    <t>pron.pind</t>
  </si>
  <si>
    <t>drei</t>
  </si>
  <si>
    <t>Türme</t>
  </si>
  <si>
    <t>other_5</t>
  </si>
  <si>
    <t>def-np.quant</t>
  </si>
  <si>
    <t>other_6</t>
  </si>
  <si>
    <t>nähern</t>
  </si>
  <si>
    <t># text = Der Brückenabschnitt von Fife ist jetzt 600 Meter lang und wiegt 30.000 Tonnen.</t>
  </si>
  <si>
    <t>Der</t>
  </si>
  <si>
    <t>Brückenabschnitt</t>
  </si>
  <si>
    <t>600</t>
  </si>
  <si>
    <t>Meter</t>
  </si>
  <si>
    <t>lang</t>
  </si>
  <si>
    <t>und</t>
  </si>
  <si>
    <t>wiegt</t>
  </si>
  <si>
    <t>30.000</t>
  </si>
  <si>
    <t>Tonnen</t>
  </si>
  <si>
    <t>OBJ_2</t>
  </si>
  <si>
    <t># text = Er verfügt über 10.000 Tonnen Stahl und 20.000 Tonnen Beton sowie 46 Schrägseile.</t>
  </si>
  <si>
    <t>Er</t>
  </si>
  <si>
    <t>verfügt</t>
  </si>
  <si>
    <t>über</t>
  </si>
  <si>
    <t>10.000</t>
  </si>
  <si>
    <t>Stahl</t>
  </si>
  <si>
    <t>20.000</t>
  </si>
  <si>
    <t>Beton</t>
  </si>
  <si>
    <t>sowie</t>
  </si>
  <si>
    <t>46</t>
  </si>
  <si>
    <t>Schrägseile</t>
  </si>
  <si>
    <t># text = Das £ 1,35 Mrd. teure Projekt soll bis Mai 2017 fertiggestellt werden.</t>
  </si>
  <si>
    <t>Mrd.</t>
  </si>
  <si>
    <t>OBJ_3</t>
  </si>
  <si>
    <t># text = Wirtschaftsminister Keith Brown stattete der Baustelle heute einen Besuch ab und war einer der Ersten, die vom Land auf die Brücke gingen.</t>
  </si>
  <si>
    <t>Wirtschaftsminister</t>
  </si>
  <si>
    <t>Keith</t>
  </si>
  <si>
    <t>Brown</t>
  </si>
  <si>
    <t>stattete</t>
  </si>
  <si>
    <t>Baustelle</t>
  </si>
  <si>
    <t>heute</t>
  </si>
  <si>
    <t>einen</t>
  </si>
  <si>
    <t>Besuch</t>
  </si>
  <si>
    <t>OBJ</t>
  </si>
  <si>
    <t>indef-np.a</t>
  </si>
  <si>
    <t>ab</t>
  </si>
  <si>
    <t>war</t>
  </si>
  <si>
    <t>einer</t>
  </si>
  <si>
    <t>Ersten</t>
  </si>
  <si>
    <t>Land</t>
  </si>
  <si>
    <t>auf</t>
  </si>
  <si>
    <t>gingen</t>
  </si>
  <si>
    <t># text = Er sagte: \"Das ist ein historischer und symbolischer Moment beim Bau des Queensferry Crossings.</t>
  </si>
  <si>
    <t>sagte</t>
  </si>
  <si>
    <t>pron.pds</t>
  </si>
  <si>
    <t>ein</t>
  </si>
  <si>
    <t>historischer</t>
  </si>
  <si>
    <t>symbolischer</t>
  </si>
  <si>
    <t>Moment</t>
  </si>
  <si>
    <t>bei</t>
  </si>
  <si>
    <t>Bau</t>
  </si>
  <si>
    <t># text = Wir sind alle Zeugen einer Ingenieurskunst von einem wahrlich epischen Maße bei diesem Projekt mit über 30.000 Tonnen Beton und Stahl, die alleine für diesen Teil der Brücke verwendet wurden.</t>
  </si>
  <si>
    <t>Wir</t>
  </si>
  <si>
    <t>sind</t>
  </si>
  <si>
    <t>alle</t>
  </si>
  <si>
    <t>Zeugen</t>
  </si>
  <si>
    <t>Ingenieurskunst</t>
  </si>
  <si>
    <t>einem</t>
  </si>
  <si>
    <t>wahrlich</t>
  </si>
  <si>
    <t>epischen</t>
  </si>
  <si>
    <t>Maße</t>
  </si>
  <si>
    <t>diesem</t>
  </si>
  <si>
    <t>def-np.dem</t>
  </si>
  <si>
    <t>SBJ_5</t>
  </si>
  <si>
    <t>alleine</t>
  </si>
  <si>
    <t>für</t>
  </si>
  <si>
    <t>diesen</t>
  </si>
  <si>
    <t>Teil</t>
  </si>
  <si>
    <t>verwendet</t>
  </si>
  <si>
    <t>wurden</t>
  </si>
  <si>
    <t># text = Trotz der massiven Größe und Gewichts des Brücke, ist die Fertigstellung des Verschlusses zwischen dem Viadukt und dem Brückendeck eine heikle Tätigkeit, die extrem präzise Toleranzen für die Passung erfordern.</t>
  </si>
  <si>
    <t>Trotz</t>
  </si>
  <si>
    <t>massiven</t>
  </si>
  <si>
    <t>Größe</t>
  </si>
  <si>
    <t>Gewichts</t>
  </si>
  <si>
    <t>Verschlusses</t>
  </si>
  <si>
    <t>zwischen</t>
  </si>
  <si>
    <t>Brückendeck</t>
  </si>
  <si>
    <t>eine</t>
  </si>
  <si>
    <t>heikle</t>
  </si>
  <si>
    <t>Tätigkeit</t>
  </si>
  <si>
    <t>extrem</t>
  </si>
  <si>
    <t>präzise</t>
  </si>
  <si>
    <t>Toleranzen</t>
  </si>
  <si>
    <t>Passung</t>
  </si>
  <si>
    <t>erfordern</t>
  </si>
  <si>
    <t># text = Insgesamt sind fast 79 % der gesamten Brückendecks an ihrem Platz und der letzte Abschnitt des Decks bekommt heute in Rosyth einen Betonguss für das Deck, was bedeutet, dass das gesamte Deck bereit ist, auf der Brücke an seinen Platz gehoben zu werden.</t>
  </si>
  <si>
    <t>Insgesamt</t>
  </si>
  <si>
    <t>fast</t>
  </si>
  <si>
    <t>79</t>
  </si>
  <si>
    <t>%</t>
  </si>
  <si>
    <t>gesamten</t>
  </si>
  <si>
    <t>Brückendecks</t>
  </si>
  <si>
    <t>an</t>
  </si>
  <si>
    <t>ihrem</t>
  </si>
  <si>
    <t>Platz</t>
  </si>
  <si>
    <t>letzte</t>
  </si>
  <si>
    <t>Abschnitt</t>
  </si>
  <si>
    <t>Decks</t>
  </si>
  <si>
    <t>bekommt</t>
  </si>
  <si>
    <t>in</t>
  </si>
  <si>
    <t>Rosyth</t>
  </si>
  <si>
    <t>Betonguss</t>
  </si>
  <si>
    <t>Deck</t>
  </si>
  <si>
    <t>gesamte</t>
  </si>
  <si>
    <t>bereit</t>
  </si>
  <si>
    <t>seinen</t>
  </si>
  <si>
    <t>gehoben</t>
  </si>
  <si>
    <t>zu</t>
  </si>
  <si>
    <t># text = Michael Martin, Projektleiter von Forth Crossing Bridge Constructors sagte: \"Der erste Verschluss stellt bei jedem Brückenprojekt einen erheblichen Meilenstein dar.</t>
  </si>
  <si>
    <t>Michael</t>
  </si>
  <si>
    <t>Martin</t>
  </si>
  <si>
    <t>Projektleiter</t>
  </si>
  <si>
    <t>Forth</t>
  </si>
  <si>
    <t>Bridge</t>
  </si>
  <si>
    <t>Constructors</t>
  </si>
  <si>
    <t>Verschluss</t>
  </si>
  <si>
    <t>stellt</t>
  </si>
  <si>
    <t>jedem</t>
  </si>
  <si>
    <t>Brückenprojekt</t>
  </si>
  <si>
    <t>erheblichen</t>
  </si>
  <si>
    <t>Meilenstein</t>
  </si>
  <si>
    <t>dar</t>
  </si>
  <si>
    <t># text = Bei diesem fantastischen Projekt stellt der Verschluss zukunftsweisenden Hoch- und Tiefbau dar.</t>
  </si>
  <si>
    <t>Bei</t>
  </si>
  <si>
    <t>fantastischen</t>
  </si>
  <si>
    <t>zukunftsweisenden</t>
  </si>
  <si>
    <t>Hoch</t>
  </si>
  <si>
    <t>Tiefbau</t>
  </si>
  <si>
    <t># text = Nach der Installation des letzten Straßendeckabschnitts und dessen Verbindung mit dem im Ausbau befindlichen Nordturmdeck, mussten wir sodann die noch bestehende Lücke auf der Nord- oder Landseite schließen.</t>
  </si>
  <si>
    <t>Nach</t>
  </si>
  <si>
    <t>Installation</t>
  </si>
  <si>
    <t>letzten</t>
  </si>
  <si>
    <t>Straßendeckabschnitts</t>
  </si>
  <si>
    <t>dessen</t>
  </si>
  <si>
    <t>Verbindung</t>
  </si>
  <si>
    <t>Ausbau</t>
  </si>
  <si>
    <t>befindlichen</t>
  </si>
  <si>
    <t>Nordturmdeck</t>
  </si>
  <si>
    <t>mussten</t>
  </si>
  <si>
    <t>wir</t>
  </si>
  <si>
    <t>sodann</t>
  </si>
  <si>
    <t>noch</t>
  </si>
  <si>
    <t>bestehende</t>
  </si>
  <si>
    <t>Lücke</t>
  </si>
  <si>
    <t>Nord</t>
  </si>
  <si>
    <t>oder</t>
  </si>
  <si>
    <t>Landseite</t>
  </si>
  <si>
    <t># text = Dies wurde durch Ziehen der nördlichen Zubringerbrücke 700 Millimeter südlich erreicht.</t>
  </si>
  <si>
    <t>Dies</t>
  </si>
  <si>
    <t>wurde</t>
  </si>
  <si>
    <t>durch</t>
  </si>
  <si>
    <t>Ziehen</t>
  </si>
  <si>
    <t>nördlichen</t>
  </si>
  <si>
    <t>Zubringerbrücke</t>
  </si>
  <si>
    <t>700</t>
  </si>
  <si>
    <t>Millimeter</t>
  </si>
  <si>
    <t>südlich</t>
  </si>
  <si>
    <t>erreicht</t>
  </si>
  <si>
    <t># text = Dies war eine massive und gleichzeitig sehr heikle Tätigkeit.</t>
  </si>
  <si>
    <t>massive</t>
  </si>
  <si>
    <t>gleichzeitig</t>
  </si>
  <si>
    <t>sehr</t>
  </si>
  <si>
    <t># text = Massiv, da das Viadukt 222 Meter lang ist, ca. 6.000 Tonnen wiegt und bei einer Steigung von ca. 3 % nach oben gezogen werden musste.</t>
  </si>
  <si>
    <t>Massiv</t>
  </si>
  <si>
    <t>da</t>
  </si>
  <si>
    <t>222</t>
  </si>
  <si>
    <t>ca</t>
  </si>
  <si>
    <t>6.000</t>
  </si>
  <si>
    <t>Steigung</t>
  </si>
  <si>
    <t>nach</t>
  </si>
  <si>
    <t>oben</t>
  </si>
  <si>
    <t>gezogen</t>
  </si>
  <si>
    <t>musste</t>
  </si>
  <si>
    <t># text = Heikel, da die Toleranzen, auf die das Team hinarbeitet, winzig waren - auf jeder Seite betrugen sie nur einige Millimeter.</t>
  </si>
  <si>
    <t>Heikel</t>
  </si>
  <si>
    <t>Team</t>
  </si>
  <si>
    <t>hinarbeitet</t>
  </si>
  <si>
    <t>winzig</t>
  </si>
  <si>
    <t>waren</t>
  </si>
  <si>
    <t>jeder</t>
  </si>
  <si>
    <t>Seite</t>
  </si>
  <si>
    <t>betrugen</t>
  </si>
  <si>
    <t>sie</t>
  </si>
  <si>
    <t>nur</t>
  </si>
  <si>
    <t>einige</t>
  </si>
  <si>
    <t># text = Glücklicherweise verlief alles sehr gut.</t>
  </si>
  <si>
    <t>Glücklicherweise</t>
  </si>
  <si>
    <t>verlief</t>
  </si>
  <si>
    <t>alles</t>
  </si>
  <si>
    <t>gut</t>
  </si>
  <si>
    <t>error sentence break</t>
  </si>
  <si>
    <t>fife</t>
  </si>
  <si>
    <t>Antezedens</t>
  </si>
  <si>
    <t>queensferry</t>
  </si>
  <si>
    <t>mai_2017</t>
  </si>
  <si>
    <t>viadukt</t>
  </si>
  <si>
    <t>CAT</t>
  </si>
  <si>
    <t>parser error</t>
  </si>
  <si>
    <t>projekt</t>
  </si>
  <si>
    <t>GEN</t>
  </si>
  <si>
    <t>PRED</t>
  </si>
  <si>
    <t>deckgeblaese</t>
  </si>
  <si>
    <t>tuerme_queensferry</t>
  </si>
  <si>
    <t>abschnitt_fife</t>
  </si>
  <si>
    <t>syntaktischer Kopf</t>
  </si>
  <si>
    <t>keith_brown</t>
  </si>
  <si>
    <t>baustelle</t>
  </si>
  <si>
    <t>Artikel</t>
  </si>
  <si>
    <t>norddeck</t>
  </si>
  <si>
    <t>rosyth</t>
  </si>
  <si>
    <t>michael_martin</t>
  </si>
  <si>
    <t>fcbc</t>
  </si>
  <si>
    <t>artikel</t>
  </si>
  <si>
    <t>team_fcbc</t>
  </si>
  <si>
    <t>verbindung_queensferry_viadukt</t>
  </si>
  <si>
    <t>SIT</t>
  </si>
  <si>
    <t>groesse_gewicht_queensferry</t>
  </si>
  <si>
    <t>passung_verbindung</t>
  </si>
  <si>
    <t>brueckendeck</t>
  </si>
  <si>
    <t>betonguss_letzter_abschnitt</t>
  </si>
  <si>
    <t>letzter_abschnitt</t>
  </si>
  <si>
    <t>kein auto_ref</t>
  </si>
  <si>
    <t>installation_verschluss</t>
  </si>
  <si>
    <t>NEW</t>
  </si>
  <si>
    <t>nicht syntaktischer Kopf</t>
  </si>
  <si>
    <t>luecke_landseite</t>
  </si>
  <si>
    <t>landseite</t>
  </si>
  <si>
    <t>ziehen_viadukt</t>
  </si>
  <si>
    <t>toleranzen_passung</t>
  </si>
  <si>
    <t>FAMILIAR</t>
  </si>
  <si>
    <t>UNIQUE</t>
  </si>
  <si>
    <t>ACTIVATED</t>
  </si>
  <si>
    <t>FOCUS</t>
  </si>
  <si>
    <t>fertigstellung</t>
  </si>
  <si>
    <t>UNIQUE, weil Rolle erklärt wird</t>
  </si>
  <si>
    <t>CHECK: entspricht Deckgebläse?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</si>
</sst>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22" si="0">IF(A2=1,"_",IF(C2="_","???",C2))</f>
        <v>???</v>
      </c>
      <c r="H2" s="10" t="s">
        <v>12</v>
      </c>
      <c r="I2" s="11" t="s">
        <v>12</v>
      </c>
      <c r="J2" s="12"/>
    </row>
    <row r="3" spans="1:10" ht="60" customHeight="1" x14ac:dyDescent="0.3">
      <c r="A3" s="6" t="s">
        <v>16</v>
      </c>
      <c r="B3" s="6" t="s">
        <v>11</v>
      </c>
      <c r="C3" s="6" t="s">
        <v>12</v>
      </c>
      <c r="D3" s="7" t="s">
        <v>17</v>
      </c>
      <c r="E3" s="8" t="s">
        <v>18</v>
      </c>
      <c r="F3" s="6" t="s">
        <v>19</v>
      </c>
      <c r="G3" s="9" t="str">
        <f t="shared" si="0"/>
        <v>???</v>
      </c>
      <c r="H3" s="10" t="s">
        <v>12</v>
      </c>
      <c r="I3" s="11" t="s">
        <v>12</v>
      </c>
      <c r="J3" s="12"/>
    </row>
    <row r="4" spans="1:10" ht="60" customHeight="1" x14ac:dyDescent="0.3">
      <c r="A4" s="6" t="s">
        <v>20</v>
      </c>
      <c r="B4" s="6" t="s">
        <v>21</v>
      </c>
      <c r="C4" s="6" t="s">
        <v>12</v>
      </c>
      <c r="D4" s="7" t="s">
        <v>22</v>
      </c>
      <c r="E4" s="8" t="s">
        <v>23</v>
      </c>
      <c r="F4" s="6" t="s">
        <v>24</v>
      </c>
      <c r="G4" s="9" t="str">
        <f t="shared" si="0"/>
        <v>???</v>
      </c>
      <c r="H4" s="10" t="s">
        <v>12</v>
      </c>
      <c r="I4" s="11" t="s">
        <v>12</v>
      </c>
      <c r="J4" s="12"/>
    </row>
    <row r="5" spans="1:10" ht="60" customHeight="1" x14ac:dyDescent="0.3">
      <c r="A5" s="6" t="s">
        <v>11</v>
      </c>
      <c r="B5" s="6" t="s">
        <v>25</v>
      </c>
      <c r="C5" s="6" t="s">
        <v>26</v>
      </c>
      <c r="D5" s="7" t="s">
        <v>27</v>
      </c>
      <c r="E5" s="8" t="s">
        <v>28</v>
      </c>
      <c r="F5" s="6" t="s">
        <v>29</v>
      </c>
      <c r="G5" s="9" t="str">
        <f t="shared" si="0"/>
        <v>Was?</v>
      </c>
      <c r="H5" s="10" t="s">
        <v>12</v>
      </c>
      <c r="I5" s="11" t="s">
        <v>12</v>
      </c>
      <c r="J5" s="12"/>
    </row>
    <row r="6" spans="1:10" ht="60" customHeight="1" x14ac:dyDescent="0.3">
      <c r="A6" s="6" t="s">
        <v>30</v>
      </c>
      <c r="B6" s="6" t="s">
        <v>16</v>
      </c>
      <c r="C6" s="6" t="s">
        <v>12</v>
      </c>
      <c r="D6" s="7" t="s">
        <v>31</v>
      </c>
      <c r="E6" s="8" t="s">
        <v>32</v>
      </c>
      <c r="F6" s="6" t="s">
        <v>33</v>
      </c>
      <c r="G6" s="9" t="str">
        <f t="shared" si="0"/>
        <v>???</v>
      </c>
      <c r="H6" s="10" t="s">
        <v>12</v>
      </c>
      <c r="I6" s="11" t="s">
        <v>12</v>
      </c>
      <c r="J6" s="12"/>
    </row>
    <row r="7" spans="1:10" ht="60" customHeight="1" x14ac:dyDescent="0.3">
      <c r="A7" s="6" t="s">
        <v>34</v>
      </c>
      <c r="B7" s="6" t="s">
        <v>30</v>
      </c>
      <c r="C7" s="6" t="s">
        <v>12</v>
      </c>
      <c r="D7" s="7" t="s">
        <v>35</v>
      </c>
      <c r="E7" s="8" t="s">
        <v>36</v>
      </c>
      <c r="F7" s="6" t="s">
        <v>37</v>
      </c>
      <c r="G7" s="9" t="str">
        <f t="shared" si="0"/>
        <v>???</v>
      </c>
      <c r="H7" s="10" t="s">
        <v>12</v>
      </c>
      <c r="I7" s="11" t="s">
        <v>12</v>
      </c>
      <c r="J7" s="12"/>
    </row>
    <row r="8" spans="1:10" ht="60" customHeight="1" x14ac:dyDescent="0.3">
      <c r="A8" s="6" t="s">
        <v>21</v>
      </c>
      <c r="B8" s="6" t="s">
        <v>16</v>
      </c>
      <c r="C8" s="6" t="s">
        <v>12</v>
      </c>
      <c r="D8" s="7" t="s">
        <v>38</v>
      </c>
      <c r="E8" s="8" t="s">
        <v>39</v>
      </c>
      <c r="F8" s="6" t="s">
        <v>40</v>
      </c>
      <c r="G8" s="9" t="str">
        <f t="shared" si="0"/>
        <v>???</v>
      </c>
      <c r="H8" s="10" t="s">
        <v>12</v>
      </c>
      <c r="I8" s="11" t="s">
        <v>12</v>
      </c>
      <c r="J8" s="12"/>
    </row>
    <row r="9" spans="1:10" ht="60" customHeight="1" x14ac:dyDescent="0.3">
      <c r="A9" s="6" t="s">
        <v>41</v>
      </c>
      <c r="B9" s="6" t="s">
        <v>25</v>
      </c>
      <c r="C9" s="6" t="s">
        <v>12</v>
      </c>
      <c r="D9" s="7" t="s">
        <v>22</v>
      </c>
      <c r="E9" s="8" t="s">
        <v>42</v>
      </c>
      <c r="F9" s="6" t="s">
        <v>43</v>
      </c>
      <c r="G9" s="9" t="str">
        <f t="shared" si="0"/>
        <v>???</v>
      </c>
      <c r="H9" s="10" t="s">
        <v>12</v>
      </c>
      <c r="I9" s="11" t="s">
        <v>12</v>
      </c>
      <c r="J9" s="12"/>
    </row>
    <row r="10" spans="1:10" ht="60" customHeight="1" x14ac:dyDescent="0.3">
      <c r="A10" s="6" t="s">
        <v>44</v>
      </c>
      <c r="B10" s="6" t="s">
        <v>11</v>
      </c>
      <c r="C10" s="6" t="s">
        <v>12</v>
      </c>
      <c r="D10" s="7" t="s">
        <v>45</v>
      </c>
      <c r="E10" s="8" t="s">
        <v>46</v>
      </c>
      <c r="F10" s="6" t="s">
        <v>47</v>
      </c>
      <c r="G10" s="9" t="str">
        <f t="shared" si="0"/>
        <v>???</v>
      </c>
      <c r="H10" s="10" t="s">
        <v>12</v>
      </c>
      <c r="I10" s="11" t="s">
        <v>12</v>
      </c>
      <c r="J10" s="12"/>
    </row>
    <row r="11" spans="1:10" ht="60" customHeight="1" x14ac:dyDescent="0.3">
      <c r="A11" s="6" t="s">
        <v>48</v>
      </c>
      <c r="B11" s="6" t="s">
        <v>16</v>
      </c>
      <c r="C11" s="6" t="s">
        <v>12</v>
      </c>
      <c r="D11" s="7" t="s">
        <v>49</v>
      </c>
      <c r="E11" s="8" t="s">
        <v>50</v>
      </c>
      <c r="F11" s="6" t="s">
        <v>51</v>
      </c>
      <c r="G11" s="9" t="str">
        <f t="shared" si="0"/>
        <v>???</v>
      </c>
      <c r="H11" s="10" t="s">
        <v>12</v>
      </c>
      <c r="I11" s="11" t="s">
        <v>12</v>
      </c>
      <c r="J11" s="12"/>
    </row>
    <row r="12" spans="1:10" ht="60" customHeight="1" x14ac:dyDescent="0.3">
      <c r="A12" s="6" t="s">
        <v>25</v>
      </c>
      <c r="B12" s="6" t="s">
        <v>16</v>
      </c>
      <c r="C12" s="6" t="s">
        <v>12</v>
      </c>
      <c r="D12" s="7" t="s">
        <v>52</v>
      </c>
      <c r="E12" s="8" t="s">
        <v>53</v>
      </c>
      <c r="F12" s="6" t="s">
        <v>54</v>
      </c>
      <c r="G12" s="9" t="str">
        <f t="shared" si="0"/>
        <v>???</v>
      </c>
      <c r="H12" s="10" t="s">
        <v>12</v>
      </c>
      <c r="I12" s="11" t="s">
        <v>12</v>
      </c>
      <c r="J12" s="12"/>
    </row>
    <row r="13" spans="1:10" ht="60" customHeight="1" x14ac:dyDescent="0.3">
      <c r="A13" s="6" t="s">
        <v>55</v>
      </c>
      <c r="B13" s="6" t="s">
        <v>48</v>
      </c>
      <c r="C13" s="6" t="s">
        <v>12</v>
      </c>
      <c r="D13" s="7" t="s">
        <v>56</v>
      </c>
      <c r="E13" s="8" t="s">
        <v>57</v>
      </c>
      <c r="F13" s="6" t="s">
        <v>58</v>
      </c>
      <c r="G13" s="9" t="str">
        <f t="shared" si="0"/>
        <v>???</v>
      </c>
      <c r="H13" s="10" t="s">
        <v>12</v>
      </c>
      <c r="I13" s="11" t="s">
        <v>12</v>
      </c>
      <c r="J13" s="12"/>
    </row>
    <row r="14" spans="1:10" ht="60" customHeight="1" x14ac:dyDescent="0.3">
      <c r="A14" s="6" t="s">
        <v>59</v>
      </c>
      <c r="B14" s="6" t="s">
        <v>60</v>
      </c>
      <c r="C14" s="6" t="s">
        <v>26</v>
      </c>
      <c r="D14" s="7" t="s">
        <v>61</v>
      </c>
      <c r="E14" s="8" t="s">
        <v>62</v>
      </c>
      <c r="F14" s="6" t="s">
        <v>63</v>
      </c>
      <c r="G14" s="9" t="str">
        <f t="shared" si="0"/>
        <v>Was?</v>
      </c>
      <c r="H14" s="10" t="s">
        <v>12</v>
      </c>
      <c r="I14" s="11" t="s">
        <v>12</v>
      </c>
      <c r="J14" s="12"/>
    </row>
    <row r="15" spans="1:10" ht="60" customHeight="1" x14ac:dyDescent="0.3">
      <c r="A15" s="6" t="s">
        <v>64</v>
      </c>
      <c r="B15" s="6" t="s">
        <v>48</v>
      </c>
      <c r="C15" s="6" t="s">
        <v>12</v>
      </c>
      <c r="D15" s="7" t="s">
        <v>49</v>
      </c>
      <c r="E15" s="8" t="s">
        <v>65</v>
      </c>
      <c r="F15" s="6" t="s">
        <v>66</v>
      </c>
      <c r="G15" s="9" t="str">
        <f t="shared" si="0"/>
        <v>???</v>
      </c>
      <c r="H15" s="10" t="s">
        <v>12</v>
      </c>
      <c r="I15" s="11" t="s">
        <v>12</v>
      </c>
      <c r="J15" s="12"/>
    </row>
    <row r="16" spans="1:10" ht="60" customHeight="1" x14ac:dyDescent="0.3">
      <c r="A16" s="6" t="s">
        <v>67</v>
      </c>
      <c r="B16" s="6" t="s">
        <v>30</v>
      </c>
      <c r="C16" s="6" t="s">
        <v>12</v>
      </c>
      <c r="D16" s="7" t="s">
        <v>68</v>
      </c>
      <c r="E16" s="8" t="s">
        <v>69</v>
      </c>
      <c r="F16" s="6" t="s">
        <v>70</v>
      </c>
      <c r="G16" s="9" t="str">
        <f t="shared" si="0"/>
        <v>???</v>
      </c>
      <c r="H16" s="10" t="s">
        <v>12</v>
      </c>
      <c r="I16" s="11" t="s">
        <v>12</v>
      </c>
      <c r="J16" s="12"/>
    </row>
    <row r="17" spans="1:10" ht="60" customHeight="1" x14ac:dyDescent="0.3">
      <c r="A17" s="6" t="s">
        <v>71</v>
      </c>
      <c r="B17" s="6" t="s">
        <v>72</v>
      </c>
      <c r="C17" s="6" t="s">
        <v>12</v>
      </c>
      <c r="D17" s="7" t="s">
        <v>73</v>
      </c>
      <c r="E17" s="8" t="s">
        <v>74</v>
      </c>
      <c r="F17" s="6" t="s">
        <v>75</v>
      </c>
      <c r="G17" s="9" t="str">
        <f t="shared" si="0"/>
        <v>???</v>
      </c>
      <c r="H17" s="10" t="s">
        <v>12</v>
      </c>
      <c r="I17" s="11" t="s">
        <v>12</v>
      </c>
      <c r="J17" s="12"/>
    </row>
    <row r="18" spans="1:10" ht="60" customHeight="1" x14ac:dyDescent="0.3">
      <c r="A18" s="6" t="s">
        <v>76</v>
      </c>
      <c r="B18" s="6" t="s">
        <v>25</v>
      </c>
      <c r="C18" s="6" t="s">
        <v>77</v>
      </c>
      <c r="D18" s="7" t="s">
        <v>78</v>
      </c>
      <c r="E18" s="8" t="s">
        <v>79</v>
      </c>
      <c r="F18" s="6" t="s">
        <v>80</v>
      </c>
      <c r="G18" s="9" t="str">
        <f t="shared" si="0"/>
        <v>Durch?</v>
      </c>
      <c r="H18" s="10" t="s">
        <v>12</v>
      </c>
      <c r="I18" s="11" t="s">
        <v>12</v>
      </c>
      <c r="J18" s="12"/>
    </row>
    <row r="19" spans="1:10" ht="60" customHeight="1" x14ac:dyDescent="0.3">
      <c r="A19" s="6" t="s">
        <v>60</v>
      </c>
      <c r="B19" s="6" t="s">
        <v>16</v>
      </c>
      <c r="C19" s="6" t="s">
        <v>12</v>
      </c>
      <c r="D19" s="7" t="s">
        <v>56</v>
      </c>
      <c r="E19" s="8" t="s">
        <v>81</v>
      </c>
      <c r="F19" s="6" t="s">
        <v>82</v>
      </c>
      <c r="G19" s="9" t="str">
        <f t="shared" si="0"/>
        <v>???</v>
      </c>
      <c r="H19" s="10" t="s">
        <v>12</v>
      </c>
      <c r="I19" s="11" t="s">
        <v>12</v>
      </c>
      <c r="J19" s="12"/>
    </row>
    <row r="20" spans="1:10" ht="60" customHeight="1" x14ac:dyDescent="0.3">
      <c r="A20" s="6" t="s">
        <v>83</v>
      </c>
      <c r="B20" s="6" t="s">
        <v>84</v>
      </c>
      <c r="C20" s="6" t="s">
        <v>12</v>
      </c>
      <c r="D20" s="7" t="s">
        <v>85</v>
      </c>
      <c r="E20" s="8" t="s">
        <v>86</v>
      </c>
      <c r="F20" s="6" t="s">
        <v>87</v>
      </c>
      <c r="G20" s="9" t="str">
        <f t="shared" si="0"/>
        <v>???</v>
      </c>
      <c r="H20" s="10" t="s">
        <v>12</v>
      </c>
      <c r="I20" s="11" t="s">
        <v>12</v>
      </c>
      <c r="J20" s="12"/>
    </row>
    <row r="21" spans="1:10" ht="60" customHeight="1" x14ac:dyDescent="0.3">
      <c r="A21" s="6" t="s">
        <v>88</v>
      </c>
      <c r="B21" s="6" t="s">
        <v>64</v>
      </c>
      <c r="C21" s="6" t="s">
        <v>12</v>
      </c>
      <c r="D21" s="7" t="s">
        <v>89</v>
      </c>
      <c r="E21" s="8" t="s">
        <v>90</v>
      </c>
      <c r="F21" s="6" t="s">
        <v>91</v>
      </c>
      <c r="G21" s="9" t="str">
        <f t="shared" si="0"/>
        <v>???</v>
      </c>
      <c r="H21" s="10" t="s">
        <v>12</v>
      </c>
      <c r="I21" s="11" t="s">
        <v>12</v>
      </c>
      <c r="J21" s="12"/>
    </row>
    <row r="22" spans="1:10" ht="60" customHeight="1" x14ac:dyDescent="0.3">
      <c r="A22" s="6" t="s">
        <v>92</v>
      </c>
      <c r="B22" s="6" t="s">
        <v>16</v>
      </c>
      <c r="C22" s="6" t="s">
        <v>12</v>
      </c>
      <c r="D22" s="7" t="s">
        <v>93</v>
      </c>
      <c r="E22" s="8" t="s">
        <v>94</v>
      </c>
      <c r="F22" s="6" t="s">
        <v>95</v>
      </c>
      <c r="G22" s="9" t="str">
        <f t="shared" si="0"/>
        <v>???</v>
      </c>
      <c r="H22" s="10" t="s">
        <v>12</v>
      </c>
      <c r="I22" s="11" t="s">
        <v>12</v>
      </c>
      <c r="J2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3"/>
  <sheetViews>
    <sheetView tabSelected="1" workbookViewId="0">
      <pane xSplit="1" ySplit="1" topLeftCell="B447" activePane="bottomRight" state="frozen"/>
      <selection pane="topRight" activeCell="B1" sqref="B1"/>
      <selection pane="bottomLeft" activeCell="A2" sqref="A2"/>
      <selection pane="bottomRight" activeCell="H460" sqref="H460"/>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96</v>
      </c>
      <c r="B1" s="13" t="s">
        <v>97</v>
      </c>
      <c r="C1" s="13" t="s">
        <v>98</v>
      </c>
      <c r="D1" s="13" t="s">
        <v>99</v>
      </c>
      <c r="E1" s="14" t="s">
        <v>100</v>
      </c>
      <c r="F1" s="15" t="s">
        <v>101</v>
      </c>
      <c r="G1" s="16" t="s">
        <v>102</v>
      </c>
      <c r="H1" s="17" t="s">
        <v>103</v>
      </c>
      <c r="I1" s="18" t="s">
        <v>104</v>
      </c>
      <c r="J1" s="18" t="s">
        <v>105</v>
      </c>
      <c r="K1" s="18" t="s">
        <v>106</v>
      </c>
      <c r="L1" s="19" t="s">
        <v>9</v>
      </c>
    </row>
    <row r="2" spans="1:12" x14ac:dyDescent="0.3">
      <c r="A2" t="s">
        <v>107</v>
      </c>
    </row>
    <row r="3" spans="1:12" x14ac:dyDescent="0.3">
      <c r="A3" t="s">
        <v>108</v>
      </c>
      <c r="E3" s="20" t="str">
        <f t="shared" ref="E3:E10"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0"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109</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110</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13</v>
      </c>
      <c r="B6" s="26" t="s">
        <v>111</v>
      </c>
      <c r="C6" s="26" t="s">
        <v>112</v>
      </c>
      <c r="D6" s="26" t="s">
        <v>113</v>
      </c>
      <c r="E6" s="20" t="s">
        <v>378</v>
      </c>
      <c r="F6" s="21" t="str">
        <f>IF(OR(E6="",E6="!!!"),"",IF(NOT(ISNA(VLOOKUP(E6,E$1:E5,1,FALSE()))),"OLD",IF(AND(E6&lt;&gt;"",E6&lt;&gt;"!!!"),"NEW","")))</f>
        <v>NEW</v>
      </c>
      <c r="G6" s="22" t="s">
        <v>101</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114</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115</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116</v>
      </c>
      <c r="B9" s="26" t="s">
        <v>117</v>
      </c>
      <c r="C9" s="26" t="s">
        <v>118</v>
      </c>
      <c r="E9" s="20" t="s">
        <v>376</v>
      </c>
      <c r="F9" s="21" t="str">
        <f>IF(OR(E9="",E9="!!!"),"",IF(NOT(ISNA(VLOOKUP(E9,E$1:E8,1,FALSE()))),"OLD",IF(AND(E9&lt;&gt;"",E9&lt;&gt;"!!!"),"NEW","")))</f>
        <v>NEW</v>
      </c>
      <c r="G9" s="22" t="s">
        <v>414</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t="s">
        <v>377</v>
      </c>
    </row>
    <row r="10" spans="1:12" x14ac:dyDescent="0.3">
      <c r="A10" t="s">
        <v>27</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2" spans="1:12" x14ac:dyDescent="0.3">
      <c r="A12" t="s">
        <v>119</v>
      </c>
    </row>
    <row r="13" spans="1:12" x14ac:dyDescent="0.3">
      <c r="A13" t="s">
        <v>120</v>
      </c>
      <c r="E13" s="20" t="str">
        <f>IF(D13="?OLD","!!!","")</f>
        <v/>
      </c>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ca="1">IF(J13&lt;&gt;1,"",IF(I13="SBJ","CB","?"))</f>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3">
      <c r="A14" t="s">
        <v>121</v>
      </c>
      <c r="B14" s="26" t="s">
        <v>122</v>
      </c>
      <c r="C14" s="26" t="s">
        <v>123</v>
      </c>
      <c r="D14" s="26" t="s">
        <v>113</v>
      </c>
      <c r="E14" s="20"/>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ca="1">IF(J14&lt;&gt;1,"",IF(I14="SBJ","CB","?"))</f>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t="s">
        <v>382</v>
      </c>
    </row>
    <row r="15" spans="1:12" x14ac:dyDescent="0.3">
      <c r="A15" t="s">
        <v>124</v>
      </c>
      <c r="E15" s="20" t="str">
        <f>IF(D15="?OLD","!!!","")</f>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ca="1">IF(J15&lt;&gt;1,"",IF(I15="SBJ","CB","?"))</f>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17</v>
      </c>
      <c r="B16" s="26" t="s">
        <v>111</v>
      </c>
      <c r="C16" s="26" t="s">
        <v>125</v>
      </c>
      <c r="D16" s="26" t="s">
        <v>113</v>
      </c>
      <c r="E16" s="20"/>
      <c r="F16" s="21" t="s">
        <v>384</v>
      </c>
      <c r="G16" s="22" t="str">
        <f>IF(OR(E16="",E16="!!!"),"",IF(OR(J16=0,AND(J16=1,K16=1),AND(J16=1,I16="SBJ"),AND(J16=1,I16=0)),"?IN_FOCUS",IF(J16&lt;=2,"?ACTIVATED",IF(J16&lt;&gt;"","?FAMILIAR",IF(F16="NEW",IF(ISNA(VLOOKUP(E16,#REF!,1,FALSE())),"?TYPE_IDENTIFIABLE","?REFERENTIAL"),"_")))))</f>
        <v/>
      </c>
      <c r="H16" s="23" t="str">
        <f ca="1">IF(J16&lt;&gt;1,"",IF(I16="SBJ","CB","?"))</f>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126</v>
      </c>
      <c r="E17" s="20" t="str">
        <f>IF(D17="?OLD","!!!","")</f>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ca="1">IF(J17&lt;&gt;1,"",IF(I17="SBJ","CB","?"))</f>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t="s">
        <v>375</v>
      </c>
    </row>
    <row r="19" spans="1:12" x14ac:dyDescent="0.3">
      <c r="A19" t="s">
        <v>127</v>
      </c>
    </row>
    <row r="20" spans="1:12" x14ac:dyDescent="0.3">
      <c r="A20" t="s">
        <v>128</v>
      </c>
      <c r="E20" s="20" t="str">
        <f t="shared" ref="E20:E27" si="2">IF(D20="?OLD","!!!","")</f>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ref="H20:H27" ca="1" si="3">IF(J20&lt;&gt;1,"",IF(I20="SBJ","CB","?"))</f>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129</v>
      </c>
      <c r="B21" s="26" t="s">
        <v>122</v>
      </c>
      <c r="C21" s="26" t="s">
        <v>130</v>
      </c>
      <c r="E21" s="20" t="s">
        <v>383</v>
      </c>
      <c r="F21" s="21" t="str">
        <f>IF(OR(E21="",E21="!!!"),"",IF(NOT(ISNA(VLOOKUP(E21,E$1:E20,1,FALSE()))),"OLD",IF(AND(E21&lt;&gt;"",E21&lt;&gt;"!!!"),"NEW","")))</f>
        <v>NEW</v>
      </c>
      <c r="G21" s="22" t="s">
        <v>101</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t="s">
        <v>389</v>
      </c>
    </row>
    <row r="22" spans="1:12" x14ac:dyDescent="0.3">
      <c r="A22" t="s">
        <v>131</v>
      </c>
      <c r="E22" s="20" t="str">
        <f t="shared" si="2"/>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132</v>
      </c>
      <c r="E23" s="20" t="str">
        <f t="shared" si="2"/>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3"/>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133</v>
      </c>
      <c r="B24" s="26" t="s">
        <v>111</v>
      </c>
      <c r="C24" s="26" t="s">
        <v>112</v>
      </c>
      <c r="D24" s="26" t="s">
        <v>113</v>
      </c>
      <c r="E24" s="20" t="s">
        <v>379</v>
      </c>
      <c r="F24" s="21" t="str">
        <f>IF(OR(E24="",E24="!!!"),"",IF(NOT(ISNA(VLOOKUP(E24,E$1:E23,1,FALSE()))),"OLD",IF(AND(E24&lt;&gt;"",E24&lt;&gt;"!!!"),"NEW","")))</f>
        <v>NEW</v>
      </c>
      <c r="G24" s="22" t="s">
        <v>415</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134</v>
      </c>
      <c r="E25" s="20" t="str">
        <f t="shared" si="2"/>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135</v>
      </c>
      <c r="E26" s="20" t="str">
        <f t="shared" si="2"/>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136</v>
      </c>
      <c r="E27" s="20" t="str">
        <f t="shared" si="2"/>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9" spans="1:12" x14ac:dyDescent="0.3">
      <c r="A29" t="s">
        <v>137</v>
      </c>
    </row>
    <row r="30" spans="1:12" x14ac:dyDescent="0.3">
      <c r="A30" t="s">
        <v>138</v>
      </c>
      <c r="B30" s="26" t="s">
        <v>122</v>
      </c>
      <c r="C30" s="26" t="s">
        <v>118</v>
      </c>
      <c r="E30" s="20" t="str">
        <f t="shared" ref="E30:E53" si="4">IF(D30="?OLD","!!!","")</f>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ref="H30:H53" ca="1" si="5">IF(J30&lt;&gt;1,"",IF(I30="SBJ","CB","?"))</f>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139</v>
      </c>
      <c r="E31" s="20" t="str">
        <f t="shared" si="4"/>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5"/>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140</v>
      </c>
      <c r="E32" s="20" t="str">
        <f t="shared" si="4"/>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5"/>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141</v>
      </c>
      <c r="B33" s="26" t="s">
        <v>122</v>
      </c>
      <c r="C33" s="26" t="s">
        <v>142</v>
      </c>
      <c r="D33" s="26" t="s">
        <v>113</v>
      </c>
      <c r="E33" s="20" t="s">
        <v>393</v>
      </c>
      <c r="F33" s="21" t="str">
        <f>IF(OR(E33="",E33="!!!"),"",IF(NOT(ISNA(VLOOKUP(E33,E$1:E32,1,FALSE()))),"OLD",IF(AND(E33&lt;&gt;"",E33&lt;&gt;"!!!"),"NEW","")))</f>
        <v>NEW</v>
      </c>
      <c r="G33" s="22" t="s">
        <v>415</v>
      </c>
      <c r="H33" s="23" t="str">
        <f t="shared" ca="1" si="5"/>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3">
      <c r="A34" t="s">
        <v>143</v>
      </c>
      <c r="E34" s="20" t="str">
        <f t="shared" si="4"/>
        <v/>
      </c>
      <c r="F34" s="21" t="str">
        <f>IF(OR(E34="",E34="!!!"),"",IF(NOT(ISNA(VLOOKUP(E34,E$1:E33,1,FALSE()))),"OLD",IF(AND(E34&lt;&gt;"",E34&lt;&gt;"!!!"),"NEW","")))</f>
        <v/>
      </c>
      <c r="G34" s="22" t="str">
        <f>IF(OR(E34="",E34="!!!"),"",IF(OR(J34=0,AND(J34=1,K34=1),AND(J34=1,I34="SBJ"),AND(J34=1,I34=0)),"?IN_FOCUS",IF(J34&lt;=2,"?ACTIVATED",IF(J34&lt;&gt;"","?FAMILIAR",IF(F34="NEW",IF(ISNA(VLOOKUP(E34,#REF!,1,FALSE())),"?TYPE_IDENTIFIABLE","?REFERENTIAL"),"_")))))</f>
        <v/>
      </c>
      <c r="H34" s="23" t="str">
        <f t="shared" ca="1" si="5"/>
        <v/>
      </c>
      <c r="I34" s="24" t="str">
        <f>IF(OR(E34="",E34="!!!",F34="NEW"),"",INDEX(B$2:B33,-1+SUMPRODUCT(MAX(ROW(E$2:E33)*(E34=E$2:E33)))))</f>
        <v/>
      </c>
      <c r="J34" s="24" t="str">
        <f ca="1">IF(OR(E34="",E34="!!!",F34="NEW"),"",COUNTBLANK(OFFSET(A$1,,,SUMPRODUCT(MAX(ROW(E$2:E34)*(E34=E$2:E34)))))-COUNTBLANK(OFFSET(A$1,,,SUMPRODUCT(MAX(ROW(E$1:E33)*(E2=E$1:E33))))))</f>
        <v/>
      </c>
      <c r="K34" s="24" t="str">
        <f>IF(OR(E34="",E34="!!!",F34="NEW"),"",INDEX(J$1:J33,SUMPRODUCT(MAX(ROW(E$1:E33)*(E34=E$1:E33)))))</f>
        <v/>
      </c>
      <c r="L34" s="25"/>
    </row>
    <row r="35" spans="1:12" x14ac:dyDescent="0.3">
      <c r="A35" t="s">
        <v>108</v>
      </c>
      <c r="B35" s="26" t="s">
        <v>117</v>
      </c>
      <c r="C35" s="26" t="s">
        <v>112</v>
      </c>
      <c r="D35" s="26" t="s">
        <v>113</v>
      </c>
      <c r="E35" s="20" t="s">
        <v>378</v>
      </c>
      <c r="F35" s="21" t="str">
        <f>IF(OR(E35="",E35="!!!"),"",IF(NOT(ISNA(VLOOKUP(E35,E$1:E34,1,FALSE()))),"OLD",IF(AND(E35&lt;&gt;"",E35&lt;&gt;"!!!"),"NEW","")))</f>
        <v>OLD</v>
      </c>
      <c r="G35" s="22" t="s">
        <v>416</v>
      </c>
      <c r="H35" s="23" t="str">
        <f t="shared" ca="1" si="5"/>
        <v/>
      </c>
      <c r="I35" s="24" t="str">
        <f>IF(OR(E35="",E35="!!!",F35="NEW"),"",INDEX(B$2:B34,-1+SUMPRODUCT(MAX(ROW(E$2:E34)*(E35=E$2:E34)))))</f>
        <v>other</v>
      </c>
      <c r="J35" s="24">
        <f ca="1">IF(OR(E35="",E35="!!!",F35="NEW"),"",COUNTBLANK(OFFSET(A$1,,,SUMPRODUCT(MAX(ROW(E$2:E35)*(E35=E$2:E35)))))-COUNTBLANK(OFFSET(A$1,,,SUMPRODUCT(MAX(ROW(E$1:E34)*(E2=E$1:E34))))))</f>
        <v>0</v>
      </c>
      <c r="K35" s="24" t="str">
        <f ca="1">IF(OR(E35="",E35="!!!",F35="NEW"),"",INDEX(J$1:J34,SUMPRODUCT(MAX(ROW(E$1:E34)*(E35=E$1:E34)))))</f>
        <v/>
      </c>
      <c r="L35" s="25"/>
    </row>
    <row r="36" spans="1:12" x14ac:dyDescent="0.3">
      <c r="A36" t="s">
        <v>144</v>
      </c>
      <c r="E36" s="20" t="str">
        <f t="shared" si="4"/>
        <v/>
      </c>
      <c r="F36" s="21"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5"/>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5"/>
    </row>
    <row r="37" spans="1:12" x14ac:dyDescent="0.3">
      <c r="A37" t="s">
        <v>115</v>
      </c>
      <c r="E37" s="20" t="str">
        <f t="shared" si="4"/>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5"/>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145</v>
      </c>
      <c r="E38" s="20" t="str">
        <f t="shared" si="4"/>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ca="1" si="5"/>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146</v>
      </c>
      <c r="B39" s="26" t="s">
        <v>111</v>
      </c>
      <c r="C39" s="26" t="s">
        <v>123</v>
      </c>
      <c r="D39" s="26" t="s">
        <v>113</v>
      </c>
      <c r="E39" s="20" t="s">
        <v>380</v>
      </c>
      <c r="F39" s="21" t="str">
        <f>IF(OR(E39="",E39="!!!"),"",IF(NOT(ISNA(VLOOKUP(E39,E$1:E38,1,FALSE()))),"OLD",IF(AND(E39&lt;&gt;"",E39&lt;&gt;"!!!"),"NEW","")))</f>
        <v>NEW</v>
      </c>
      <c r="G39" s="22" t="s">
        <v>101</v>
      </c>
      <c r="H39" s="23" t="str">
        <f t="shared" ca="1" si="5"/>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27</v>
      </c>
      <c r="E40" s="20" t="s">
        <v>399</v>
      </c>
      <c r="F40" s="21" t="s">
        <v>381</v>
      </c>
      <c r="G40" s="22"/>
      <c r="H40" s="23" t="str">
        <f t="shared" ca="1" si="5"/>
        <v/>
      </c>
      <c r="I40" s="24" t="e">
        <f>IF(OR(E40="",E40="!!!",F40="NEW"),"",INDEX(B$2:B39,-1+SUMPRODUCT(MAX(ROW(E$2:E39)*(E40=E$2:E39)))))</f>
        <v>#VALUE!</v>
      </c>
      <c r="J40" s="24">
        <f ca="1">IF(OR(E40="",E40="!!!",F40="NEW"),"",COUNTBLANK(OFFSET(A$1,,,SUMPRODUCT(MAX(ROW(E$2:E40)*(E40=E$2:E40)))))-COUNTBLANK(OFFSET(A$1,,,SUMPRODUCT(MAX(ROW(E$1:E39)*(E2=E$1:E39))))))</f>
        <v>0</v>
      </c>
      <c r="K40" s="24" t="e">
        <f>IF(OR(E40="",E40="!!!",F40="NEW"),"",INDEX(J$1:J39,SUMPRODUCT(MAX(ROW(E$1:E39)*(E40=E$1:E39)))))</f>
        <v>#VALUE!</v>
      </c>
      <c r="L40" s="25"/>
    </row>
    <row r="41" spans="1:12" x14ac:dyDescent="0.3">
      <c r="A41" t="s">
        <v>12</v>
      </c>
      <c r="E41" s="20" t="str">
        <f t="shared" si="4"/>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5"/>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147</v>
      </c>
      <c r="B42" s="26" t="s">
        <v>148</v>
      </c>
      <c r="C42" s="26" t="s">
        <v>149</v>
      </c>
      <c r="D42" s="26" t="s">
        <v>113</v>
      </c>
      <c r="E42" s="20" t="s">
        <v>399</v>
      </c>
      <c r="F42" s="21" t="str">
        <f>IF(OR(E42="",E42="!!!"),"",IF(NOT(ISNA(VLOOKUP(E42,E$1:E41,1,FALSE()))),"OLD",IF(AND(E42&lt;&gt;"",E42&lt;&gt;"!!!"),"NEW","")))</f>
        <v>OLD</v>
      </c>
      <c r="G42" s="22" t="s">
        <v>415</v>
      </c>
      <c r="H42" s="23" t="str">
        <f t="shared" ca="1" si="5"/>
        <v/>
      </c>
      <c r="I42" s="24">
        <f>IF(OR(E42="",E42="!!!",F42="NEW"),"",INDEX(B$2:B41,-1+SUMPRODUCT(MAX(ROW(E$2:E41)*(E42=E$2:E41)))))</f>
        <v>0</v>
      </c>
      <c r="J42" s="24">
        <f ca="1">IF(OR(E42="",E42="!!!",F42="NEW"),"",COUNTBLANK(OFFSET(A$1,,,SUMPRODUCT(MAX(ROW(E$2:E42)*(E42=E$2:E42)))))-COUNTBLANK(OFFSET(A$1,,,SUMPRODUCT(MAX(ROW(E$1:E41)*(E2=E$1:E41))))))</f>
        <v>0</v>
      </c>
      <c r="K42" s="24">
        <f ca="1">IF(OR(E42="",E42="!!!",F42="NEW"),"",INDEX(J$1:J41,SUMPRODUCT(MAX(ROW(E$1:E41)*(E42=E$1:E41)))))</f>
        <v>0</v>
      </c>
      <c r="L42" s="25"/>
    </row>
    <row r="43" spans="1:12" x14ac:dyDescent="0.3">
      <c r="A43" t="s">
        <v>150</v>
      </c>
      <c r="E43" s="20" t="str">
        <f t="shared" si="4"/>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151</v>
      </c>
      <c r="E44" s="20" t="str">
        <f t="shared" si="4"/>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5"/>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152</v>
      </c>
      <c r="E45" s="20" t="str">
        <f t="shared" si="4"/>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153</v>
      </c>
      <c r="E46" s="20" t="str">
        <f t="shared" si="4"/>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13</v>
      </c>
      <c r="B47" s="26" t="s">
        <v>154</v>
      </c>
      <c r="C47" s="26" t="s">
        <v>123</v>
      </c>
      <c r="D47" s="26" t="s">
        <v>113</v>
      </c>
      <c r="E47" s="20" t="s">
        <v>378</v>
      </c>
      <c r="F47" s="21" t="str">
        <f>IF(OR(E47="",E47="!!!"),"",IF(NOT(ISNA(VLOOKUP(E47,E$1:E46,1,FALSE()))),"OLD",IF(AND(E47&lt;&gt;"",E47&lt;&gt;"!!!"),"NEW","")))</f>
        <v>OLD</v>
      </c>
      <c r="G47" s="22" t="s">
        <v>417</v>
      </c>
      <c r="H47" s="23" t="str">
        <f t="shared" ca="1" si="5"/>
        <v/>
      </c>
      <c r="I47" s="24" t="str">
        <f>IF(OR(E47="",E47="!!!",F47="NEW"),"",INDEX(B$2:B46,-1+SUMPRODUCT(MAX(ROW(E$2:E46)*(E47=E$2:E46)))))</f>
        <v>other_2</v>
      </c>
      <c r="J47" s="24">
        <f ca="1">IF(OR(E47="",E47="!!!",F47="NEW"),"",COUNTBLANK(OFFSET(A$1,,,SUMPRODUCT(MAX(ROW(E$2:E47)*(E47=E$2:E47)))))-COUNTBLANK(OFFSET(A$1,,,SUMPRODUCT(MAX(ROW(E$1:E46)*(E2=E$1:E46))))))</f>
        <v>0</v>
      </c>
      <c r="K47" s="24">
        <f ca="1">IF(OR(E47="",E47="!!!",F47="NEW"),"",INDEX(J$1:J46,SUMPRODUCT(MAX(ROW(E$1:E46)*(E47=E$1:E46)))))</f>
        <v>0</v>
      </c>
      <c r="L47" s="25"/>
    </row>
    <row r="48" spans="1:12" x14ac:dyDescent="0.3">
      <c r="A48" t="s">
        <v>155</v>
      </c>
      <c r="E48" s="20" t="str">
        <f t="shared" si="4"/>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115</v>
      </c>
      <c r="E49" s="20" t="str">
        <f t="shared" si="4"/>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5"/>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116</v>
      </c>
      <c r="B50" s="26" t="s">
        <v>156</v>
      </c>
      <c r="C50" s="26" t="s">
        <v>118</v>
      </c>
      <c r="E50" s="20" t="s">
        <v>376</v>
      </c>
      <c r="F50" s="21" t="str">
        <f>IF(OR(E50="",E50="!!!"),"",IF(NOT(ISNA(VLOOKUP(E50,E$1:E49,1,FALSE()))),"OLD",IF(AND(E50&lt;&gt;"",E50&lt;&gt;"!!!"),"NEW","")))</f>
        <v>OLD</v>
      </c>
      <c r="G50" s="22" t="s">
        <v>416</v>
      </c>
      <c r="H50" s="23" t="str">
        <f t="shared" ca="1" si="5"/>
        <v/>
      </c>
      <c r="I50" s="24" t="str">
        <f>IF(OR(E50="",E50="!!!",F50="NEW"),"",INDEX(B$2:B49,-1+SUMPRODUCT(MAX(ROW(E$2:E49)*(E50=E$2:E49)))))</f>
        <v>other_2</v>
      </c>
      <c r="J50" s="24">
        <f ca="1">IF(OR(E50="",E50="!!!",F50="NEW"),"",COUNTBLANK(OFFSET(A$1,,,SUMPRODUCT(MAX(ROW(E$2:E50)*(E50=E$2:E50)))))-COUNTBLANK(OFFSET(A$1,,,SUMPRODUCT(MAX(ROW(E$1:E49)*(E2=E$1:E49))))))</f>
        <v>0</v>
      </c>
      <c r="K50" s="24" t="str">
        <f ca="1">IF(OR(E50="",E50="!!!",F50="NEW"),"",INDEX(J$1:J49,SUMPRODUCT(MAX(ROW(E$1:E49)*(E50=E$1:E49)))))</f>
        <v/>
      </c>
      <c r="L50" s="25"/>
    </row>
    <row r="51" spans="1:12" x14ac:dyDescent="0.3">
      <c r="A51" t="s">
        <v>27</v>
      </c>
      <c r="E51" s="20" t="str">
        <f t="shared" si="4"/>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157</v>
      </c>
      <c r="E52" s="20" t="str">
        <f t="shared" si="4"/>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126</v>
      </c>
      <c r="E53" s="20" t="str">
        <f t="shared" si="4"/>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5" spans="1:12" x14ac:dyDescent="0.3">
      <c r="A55" t="s">
        <v>158</v>
      </c>
      <c r="E55" s="20" t="str">
        <f>IF(D55="?OLD","!!!","")</f>
        <v/>
      </c>
      <c r="F55" s="21" t="str">
        <f>IF(OR(E55="",E55="!!!"),"",IF(NOT(ISNA(VLOOKUP(E55,E$1:E54,1,FALSE()))),"OLD",IF(AND(E55&lt;&gt;"",E55&lt;&gt;"!!!"),"NEW","")))</f>
        <v/>
      </c>
      <c r="G55" s="22" t="str">
        <f>IF(OR(E55="",E55="!!!"),"",IF(OR(J55=0,AND(J55=1,K55=1),AND(J55=1,I55="SBJ"),AND(J55=1,I55=0)),"?IN_FOCUS",IF(J55&lt;=2,"?ACTIVATED",IF(J55&lt;&gt;"","?FAMILIAR",IF(F55="NEW",IF(ISNA(VLOOKUP(E55,#REF!,1,FALSE())),"?TYPE_IDENTIFIABLE","?REFERENTIAL"),"_")))))</f>
        <v/>
      </c>
      <c r="H55" s="23" t="str">
        <f ca="1">IF(J55&lt;&gt;1,"",IF(I55="SBJ","CB","?"))</f>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3">
      <c r="A56" t="s">
        <v>159</v>
      </c>
    </row>
    <row r="57" spans="1:12" x14ac:dyDescent="0.3">
      <c r="A57" t="s">
        <v>160</v>
      </c>
      <c r="B57" s="26" t="s">
        <v>122</v>
      </c>
      <c r="C57" s="26" t="s">
        <v>125</v>
      </c>
      <c r="D57" s="26" t="s">
        <v>113</v>
      </c>
      <c r="E57" s="20" t="s">
        <v>399</v>
      </c>
      <c r="F57" s="21" t="str">
        <f>IF(OR(E57="",E57="!!!"),"",IF(NOT(ISNA(VLOOKUP(E57,E$1:E56,1,FALSE()))),"OLD",IF(AND(E57&lt;&gt;"",E57&lt;&gt;"!!!"),"NEW","")))</f>
        <v>OLD</v>
      </c>
      <c r="G57" s="22" t="s">
        <v>417</v>
      </c>
      <c r="H57" s="23"/>
      <c r="I57" s="24" t="str">
        <f>IF(OR(E57="",E57="!!!",F57="NEW"),"",INDEX(B$2:B56,-1+SUMPRODUCT(MAX(ROW(E$2:E56)*(E57=E$2:E56)))))</f>
        <v>SBJ_2</v>
      </c>
      <c r="J57" s="24">
        <f ca="1">IF(OR(E57="",E57="!!!",F57="NEW"),"",COUNTBLANK(OFFSET(A$1,,,SUMPRODUCT(MAX(ROW(E$2:E57)*(E57=E$2:E57)))))-COUNTBLANK(OFFSET(A$1,,,SUMPRODUCT(MAX(ROW(E$1:E56)*(E2=E$1:E56))))))</f>
        <v>0</v>
      </c>
      <c r="K57" s="24">
        <f ca="1">IF(OR(E57="",E57="!!!",F57="NEW"),"",INDEX(J$1:J56,SUMPRODUCT(MAX(ROW(E$1:E56)*(E57=E$1:E56)))))</f>
        <v>0</v>
      </c>
      <c r="L57" s="25"/>
    </row>
    <row r="58" spans="1:12" x14ac:dyDescent="0.3">
      <c r="A58" t="s">
        <v>157</v>
      </c>
      <c r="E58" s="20" t="str">
        <f t="shared" ref="E57:E81" si="6">IF(D58="?OLD","!!!","")</f>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ref="H57:H81" ca="1" si="7">IF(J58&lt;&gt;1,"",IF(I58="SBJ","CB","?"))</f>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140</v>
      </c>
      <c r="E59" s="20" t="str">
        <f t="shared" si="6"/>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7"/>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161</v>
      </c>
      <c r="B60" s="26" t="s">
        <v>111</v>
      </c>
      <c r="C60" s="26" t="s">
        <v>123</v>
      </c>
      <c r="D60" s="26" t="s">
        <v>113</v>
      </c>
      <c r="E60" s="20"/>
      <c r="F60" s="21" t="s">
        <v>385</v>
      </c>
      <c r="G60" s="22" t="str">
        <f>IF(OR(E60="",E60="!!!"),"",IF(OR(J60=0,AND(J60=1,K60=1),AND(J60=1,I60="SBJ"),AND(J60=1,I60=0)),"?IN_FOCUS",IF(J60&lt;=2,"?ACTIVATED",IF(J60&lt;&gt;"","?FAMILIAR",IF(F60="NEW",IF(ISNA(VLOOKUP(E60,#REF!,1,FALSE())),"?TYPE_IDENTIFIABLE","?REFERENTIAL"),"_")))))</f>
        <v/>
      </c>
      <c r="H60" s="23" t="str">
        <f t="shared" ca="1" si="7"/>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row>
    <row r="61" spans="1:12" x14ac:dyDescent="0.3">
      <c r="A61" t="s">
        <v>162</v>
      </c>
      <c r="E61" s="20" t="str">
        <f t="shared" si="6"/>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7"/>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2" spans="1:12" x14ac:dyDescent="0.3">
      <c r="A62" t="s">
        <v>163</v>
      </c>
      <c r="E62" s="20" t="str">
        <f t="shared" si="6"/>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7"/>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164</v>
      </c>
      <c r="B63" s="26" t="s">
        <v>111</v>
      </c>
      <c r="C63" s="26" t="s">
        <v>165</v>
      </c>
      <c r="E63" s="20" t="str">
        <f t="shared" si="6"/>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7"/>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4" spans="1:12" x14ac:dyDescent="0.3">
      <c r="A64" t="s">
        <v>166</v>
      </c>
      <c r="E64" s="20" t="str">
        <f t="shared" si="6"/>
        <v/>
      </c>
      <c r="F64" s="21" t="str">
        <f>IF(OR(E64="",E64="!!!"),"",IF(NOT(ISNA(VLOOKUP(E64,E$1:E63,1,FALSE()))),"OLD",IF(AND(E64&lt;&gt;"",E64&lt;&gt;"!!!"),"NEW","")))</f>
        <v/>
      </c>
      <c r="G64" s="22" t="str">
        <f>IF(OR(E64="",E64="!!!"),"",IF(OR(J64=0,AND(J64=1,K64=1),AND(J64=1,I64="SBJ"),AND(J64=1,I64=0)),"?IN_FOCUS",IF(J64&lt;=2,"?ACTIVATED",IF(J64&lt;&gt;"","?FAMILIAR",IF(F64="NEW",IF(ISNA(VLOOKUP(E64,#REF!,1,FALSE())),"?TYPE_IDENTIFIABLE","?REFERENTIAL"),"_")))))</f>
        <v/>
      </c>
      <c r="H64" s="23" t="str">
        <f t="shared" ca="1" si="7"/>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167</v>
      </c>
      <c r="E65" s="20" t="str">
        <f t="shared" si="6"/>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7"/>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168</v>
      </c>
      <c r="B66" s="26" t="s">
        <v>117</v>
      </c>
      <c r="C66" s="26" t="s">
        <v>123</v>
      </c>
      <c r="D66" s="26" t="s">
        <v>113</v>
      </c>
      <c r="E66" s="20" t="s">
        <v>386</v>
      </c>
      <c r="F66" s="21" t="str">
        <f>IF(OR(E66="",E66="!!!"),"",IF(NOT(ISNA(VLOOKUP(E66,E$1:E65,1,FALSE()))),"OLD",IF(AND(E66&lt;&gt;"",E66&lt;&gt;"!!!"),"NEW","")))</f>
        <v>NEW</v>
      </c>
      <c r="G66" s="22" t="s">
        <v>415</v>
      </c>
      <c r="H66" s="23" t="str">
        <f t="shared" ca="1" si="7"/>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167</v>
      </c>
      <c r="E67" s="20" t="str">
        <f t="shared" si="6"/>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7"/>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151</v>
      </c>
      <c r="E68" s="20" t="str">
        <f t="shared" si="6"/>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7"/>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153</v>
      </c>
      <c r="B69" s="26" t="s">
        <v>169</v>
      </c>
      <c r="E69" s="20" t="str">
        <f t="shared" si="6"/>
        <v/>
      </c>
      <c r="F69" s="21"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7"/>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5"/>
    </row>
    <row r="70" spans="1:12" x14ac:dyDescent="0.3">
      <c r="A70" t="s">
        <v>170</v>
      </c>
      <c r="B70" s="26" t="s">
        <v>171</v>
      </c>
      <c r="E70" s="20" t="str">
        <f t="shared" si="6"/>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7"/>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166</v>
      </c>
      <c r="E71" s="20" t="str">
        <f t="shared" si="6"/>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7"/>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172</v>
      </c>
      <c r="B72" s="26" t="s">
        <v>169</v>
      </c>
      <c r="C72" s="26" t="s">
        <v>123</v>
      </c>
      <c r="D72" s="26" t="s">
        <v>113</v>
      </c>
      <c r="E72" s="20" t="s">
        <v>418</v>
      </c>
      <c r="F72" s="21" t="str">
        <f>IF(OR(E72="",E72="!!!"),"",IF(NOT(ISNA(VLOOKUP(E72,E$1:E71,1,FALSE()))),"OLD",IF(AND(E72&lt;&gt;"",E72&lt;&gt;"!!!"),"NEW","")))</f>
        <v>NEW</v>
      </c>
      <c r="G72" s="22" t="s">
        <v>415</v>
      </c>
      <c r="H72" s="23" t="str">
        <f t="shared" ca="1" si="7"/>
        <v/>
      </c>
      <c r="I72" s="24" t="str">
        <f>IF(OR(E72="",E72="!!!",F72="NEW"),"",INDEX(B$2:B71,-1+SUMPRODUCT(MAX(ROW(E$2:E71)*(E72=E$2:E71)))))</f>
        <v/>
      </c>
      <c r="J72" s="24" t="str">
        <f ca="1">IF(OR(E72="",E72="!!!",F72="NEW"),"",COUNTBLANK(OFFSET(A$1,,,SUMPRODUCT(MAX(ROW(E$2:E72)*(E72=E$2:E72)))))-COUNTBLANK(OFFSET(A$1,,,SUMPRODUCT(MAX(ROW(E$1:E71)*(E2=E$1:E71))))))</f>
        <v/>
      </c>
      <c r="K72" s="24" t="str">
        <f>IF(OR(E72="",E72="!!!",F72="NEW"),"",INDEX(J$1:J71,SUMPRODUCT(MAX(ROW(E$1:E71)*(E72=E$1:E71)))))</f>
        <v/>
      </c>
      <c r="L72" s="25"/>
    </row>
    <row r="73" spans="1:12" x14ac:dyDescent="0.3">
      <c r="A73" t="s">
        <v>173</v>
      </c>
      <c r="E73" s="20" t="str">
        <f t="shared" si="6"/>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7"/>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174</v>
      </c>
      <c r="B74" s="26" t="s">
        <v>175</v>
      </c>
      <c r="C74" s="26" t="s">
        <v>176</v>
      </c>
      <c r="E74" s="20" t="str">
        <f t="shared" si="6"/>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7"/>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166</v>
      </c>
      <c r="E75" s="20" t="str">
        <f t="shared" si="6"/>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7"/>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177</v>
      </c>
      <c r="E76" s="20" t="str">
        <f t="shared" si="6"/>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7"/>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178</v>
      </c>
      <c r="B77" s="26" t="s">
        <v>179</v>
      </c>
      <c r="C77" s="26" t="s">
        <v>180</v>
      </c>
      <c r="D77" s="26" t="s">
        <v>113</v>
      </c>
      <c r="E77" s="20" t="s">
        <v>387</v>
      </c>
      <c r="F77" s="21" t="str">
        <f>IF(OR(E77="",E77="!!!"),"",IF(NOT(ISNA(VLOOKUP(E77,E$1:E76,1,FALSE()))),"OLD",IF(AND(E77&lt;&gt;"",E77&lt;&gt;"!!!"),"NEW","")))</f>
        <v>NEW</v>
      </c>
      <c r="G77" s="22" t="s">
        <v>415</v>
      </c>
      <c r="H77" s="23" t="str">
        <f t="shared" ca="1" si="7"/>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166</v>
      </c>
      <c r="E78" s="20" t="str">
        <f t="shared" si="6"/>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7"/>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3">
      <c r="A79" t="s">
        <v>13</v>
      </c>
      <c r="B79" s="26" t="s">
        <v>181</v>
      </c>
      <c r="C79" s="26" t="s">
        <v>123</v>
      </c>
      <c r="D79" s="26" t="s">
        <v>113</v>
      </c>
      <c r="E79" s="20" t="s">
        <v>378</v>
      </c>
      <c r="F79" s="21" t="str">
        <f>IF(OR(E79="",E79="!!!"),"",IF(NOT(ISNA(VLOOKUP(E79,E$1:E78,1,FALSE()))),"OLD",IF(AND(E79&lt;&gt;"",E79&lt;&gt;"!!!"),"NEW","")))</f>
        <v>OLD</v>
      </c>
      <c r="G79" s="22" t="s">
        <v>417</v>
      </c>
      <c r="H79" s="23" t="s">
        <v>103</v>
      </c>
      <c r="I79" s="24" t="str">
        <f>IF(OR(E79="",E79="!!!",F79="NEW"),"",INDEX(B$2:B78,-1+SUMPRODUCT(MAX(ROW(E$2:E78)*(E79=E$2:E78)))))</f>
        <v>SBJ_3</v>
      </c>
      <c r="J79" s="24">
        <f ca="1">IF(OR(E79="",E79="!!!",F79="NEW"),"",COUNTBLANK(OFFSET(A$1,,,SUMPRODUCT(MAX(ROW(E$2:E79)*(E79=E$2:E79)))))-COUNTBLANK(OFFSET(A$1,,,SUMPRODUCT(MAX(ROW(E$1:E78)*(E2=E$1:E78))))))</f>
        <v>0</v>
      </c>
      <c r="K79" s="24">
        <f ca="1">IF(OR(E79="",E79="!!!",F79="NEW"),"",INDEX(J$1:J78,SUMPRODUCT(MAX(ROW(E$1:E78)*(E79=E$1:E78)))))</f>
        <v>0</v>
      </c>
      <c r="L79" s="25"/>
    </row>
    <row r="80" spans="1:12" x14ac:dyDescent="0.3">
      <c r="A80" t="s">
        <v>182</v>
      </c>
      <c r="E80" s="20" t="str">
        <f t="shared" si="6"/>
        <v/>
      </c>
      <c r="F80" s="21"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7"/>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126</v>
      </c>
      <c r="E81" s="20" t="str">
        <f t="shared" si="6"/>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7"/>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3" spans="1:12" x14ac:dyDescent="0.3">
      <c r="A83" t="s">
        <v>183</v>
      </c>
    </row>
    <row r="84" spans="1:12" x14ac:dyDescent="0.3">
      <c r="A84" t="s">
        <v>184</v>
      </c>
      <c r="E84" s="20" t="str">
        <f t="shared" ref="E84:E97" si="8">IF(D84="?OLD","!!!","")</f>
        <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ref="H84:H97" ca="1" si="9">IF(J84&lt;&gt;1,"",IF(I84="SBJ","CB","?"))</f>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3">
      <c r="A85" t="s">
        <v>185</v>
      </c>
      <c r="B85" s="26" t="s">
        <v>122</v>
      </c>
      <c r="C85" s="26" t="s">
        <v>123</v>
      </c>
      <c r="D85" s="26" t="s">
        <v>113</v>
      </c>
      <c r="E85" s="20" t="s">
        <v>388</v>
      </c>
      <c r="F85" s="21" t="str">
        <f>IF(OR(E85="",E85="!!!"),"",IF(NOT(ISNA(VLOOKUP(E85,E$1:E84,1,FALSE()))),"OLD",IF(AND(E85&lt;&gt;"",E85&lt;&gt;"!!!"),"NEW","")))</f>
        <v>NEW</v>
      </c>
      <c r="G85" s="22" t="s">
        <v>415</v>
      </c>
      <c r="H85" s="23" t="str">
        <f t="shared" ca="1" si="9"/>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162</v>
      </c>
      <c r="E86" s="20" t="str">
        <f t="shared" si="8"/>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9"/>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116</v>
      </c>
      <c r="B87" s="26" t="s">
        <v>117</v>
      </c>
      <c r="C87" s="26" t="s">
        <v>112</v>
      </c>
      <c r="D87" s="26" t="s">
        <v>113</v>
      </c>
      <c r="E87" s="20" t="s">
        <v>376</v>
      </c>
      <c r="F87" s="21" t="str">
        <f>IF(OR(E87="",E87="!!!"),"",IF(NOT(ISNA(VLOOKUP(E87,E$1:E86,1,FALSE()))),"OLD",IF(AND(E87&lt;&gt;"",E87&lt;&gt;"!!!"),"NEW","")))</f>
        <v>OLD</v>
      </c>
      <c r="G87" s="22" t="s">
        <v>416</v>
      </c>
      <c r="H87" s="23" t="str">
        <f t="shared" ca="1" si="9"/>
        <v/>
      </c>
      <c r="I87" s="24" t="str">
        <f>IF(OR(E87="",E87="!!!",F87="NEW"),"",INDEX(B$2:B86,-1+SUMPRODUCT(MAX(ROW(E$2:E86)*(E87=E$2:E86)))))</f>
        <v>other_3</v>
      </c>
      <c r="J87" s="24">
        <f ca="1">IF(OR(E87="",E87="!!!",F87="NEW"),"",COUNTBLANK(OFFSET(A$1,,,SUMPRODUCT(MAX(ROW(E$2:E87)*(E87=E$2:E87)))))-COUNTBLANK(OFFSET(A$1,,,SUMPRODUCT(MAX(ROW(E$1:E86)*(E2=E$1:E86))))))</f>
        <v>0</v>
      </c>
      <c r="K87" s="24">
        <f ca="1">IF(OR(E87="",E87="!!!",F87="NEW"),"",INDEX(J$1:J86,SUMPRODUCT(MAX(ROW(E$1:E86)*(E87=E$1:E86)))))</f>
        <v>0</v>
      </c>
      <c r="L87" s="25"/>
    </row>
    <row r="88" spans="1:12" x14ac:dyDescent="0.3">
      <c r="A88" t="s">
        <v>157</v>
      </c>
      <c r="E88" s="20" t="str">
        <f t="shared" si="8"/>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9"/>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155</v>
      </c>
      <c r="E89" s="20" t="str">
        <f t="shared" si="8"/>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9"/>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186</v>
      </c>
      <c r="E90" s="20" t="str">
        <f t="shared" si="8"/>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ca="1" si="9"/>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187</v>
      </c>
      <c r="B91" s="26" t="s">
        <v>111</v>
      </c>
      <c r="C91" s="26" t="s">
        <v>165</v>
      </c>
      <c r="E91" s="20" t="str">
        <f t="shared" si="8"/>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9"/>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188</v>
      </c>
      <c r="E92" s="20" t="str">
        <f t="shared" si="8"/>
        <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9"/>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189</v>
      </c>
      <c r="E93" s="20" t="str">
        <f t="shared" si="8"/>
        <v/>
      </c>
      <c r="F93" s="21" t="str">
        <f>IF(OR(E93="",E93="!!!"),"",IF(NOT(ISNA(VLOOKUP(E93,E$1:E92,1,FALSE()))),"OLD",IF(AND(E93&lt;&gt;"",E93&lt;&gt;"!!!"),"NEW","")))</f>
        <v/>
      </c>
      <c r="G93" s="22" t="str">
        <f>IF(OR(E93="",E93="!!!"),"",IF(OR(J93=0,AND(J93=1,K93=1),AND(J93=1,I93="SBJ"),AND(J93=1,I93=0)),"?IN_FOCUS",IF(J93&lt;=2,"?ACTIVATED",IF(J93&lt;&gt;"","?FAMILIAR",IF(F93="NEW",IF(ISNA(VLOOKUP(E93,#REF!,1,FALSE())),"?TYPE_IDENTIFIABLE","?REFERENTIAL"),"_")))))</f>
        <v/>
      </c>
      <c r="H93" s="23" t="str">
        <f t="shared" ca="1" si="9"/>
        <v/>
      </c>
      <c r="I93" s="24" t="str">
        <f>IF(OR(E93="",E93="!!!",F93="NEW"),"",INDEX(B$2:B92,-1+SUMPRODUCT(MAX(ROW(E$2:E92)*(E93=E$2:E92)))))</f>
        <v/>
      </c>
      <c r="J93" s="24" t="str">
        <f ca="1">IF(OR(E93="",E93="!!!",F93="NEW"),"",COUNTBLANK(OFFSET(A$1,,,SUMPRODUCT(MAX(ROW(E$2:E93)*(E93=E$2:E93)))))-COUNTBLANK(OFFSET(A$1,,,SUMPRODUCT(MAX(ROW(E$1:E92)*(E2=E$1:E92))))))</f>
        <v/>
      </c>
      <c r="K93" s="24" t="str">
        <f>IF(OR(E93="",E93="!!!",F93="NEW"),"",INDEX(J$1:J92,SUMPRODUCT(MAX(ROW(E$1:E92)*(E93=E$1:E92)))))</f>
        <v/>
      </c>
      <c r="L93" s="25"/>
    </row>
    <row r="94" spans="1:12" x14ac:dyDescent="0.3">
      <c r="A94" t="s">
        <v>190</v>
      </c>
      <c r="E94" s="20" t="str">
        <f t="shared" si="8"/>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9"/>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191</v>
      </c>
      <c r="E95" s="20" t="str">
        <f t="shared" si="8"/>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9"/>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192</v>
      </c>
      <c r="B96" s="26" t="s">
        <v>193</v>
      </c>
      <c r="C96" s="26" t="s">
        <v>165</v>
      </c>
      <c r="E96" s="20" t="str">
        <f t="shared" si="8"/>
        <v/>
      </c>
      <c r="F96" s="21"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9"/>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126</v>
      </c>
      <c r="E97" s="20" t="str">
        <f t="shared" si="8"/>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9"/>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9" spans="1:12" x14ac:dyDescent="0.3">
      <c r="A99" t="s">
        <v>194</v>
      </c>
    </row>
    <row r="100" spans="1:12" x14ac:dyDescent="0.3">
      <c r="A100" t="s">
        <v>195</v>
      </c>
      <c r="B100" s="26" t="s">
        <v>122</v>
      </c>
      <c r="C100" s="26" t="s">
        <v>125</v>
      </c>
      <c r="D100" s="26" t="s">
        <v>113</v>
      </c>
      <c r="E100" s="20" t="s">
        <v>388</v>
      </c>
      <c r="F100" s="21" t="str">
        <f>IF(OR(E100="",E100="!!!"),"",IF(NOT(ISNA(VLOOKUP(E100,E$1:E99,1,FALSE()))),"OLD",IF(AND(E100&lt;&gt;"",E100&lt;&gt;"!!!"),"NEW","")))</f>
        <v>OLD</v>
      </c>
      <c r="G100" s="22" t="s">
        <v>417</v>
      </c>
      <c r="H100" s="23" t="s">
        <v>103</v>
      </c>
      <c r="I100" s="24" t="str">
        <f>IF(OR(E100="",E100="!!!",F100="NEW"),"",INDEX(B$2:B99,-1+SUMPRODUCT(MAX(ROW(E$2:E99)*(E100=E$2:E99)))))</f>
        <v>SBJ</v>
      </c>
      <c r="J100" s="24">
        <f ca="1">IF(OR(E100="",E100="!!!",F100="NEW"),"",COUNTBLANK(OFFSET(A$1,,,SUMPRODUCT(MAX(ROW(E$2:E100)*(E100=E$2:E100)))))-COUNTBLANK(OFFSET(A$1,,,SUMPRODUCT(MAX(ROW(E$1:E99)*(E2=E$1:E99))))))</f>
        <v>0</v>
      </c>
      <c r="K100" s="24" t="str">
        <f ca="1">IF(OR(E100="",E100="!!!",F100="NEW"),"",INDEX(J$1:J99,SUMPRODUCT(MAX(ROW(E$1:E99)*(E100=E$1:E99)))))</f>
        <v/>
      </c>
      <c r="L100" s="25"/>
    </row>
    <row r="101" spans="1:12" x14ac:dyDescent="0.3">
      <c r="A101" t="s">
        <v>196</v>
      </c>
      <c r="E101" s="20" t="str">
        <f t="shared" ref="E100:E113" si="10">IF(D101="?OLD","!!!","")</f>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ref="H100:H113" ca="1" si="11">IF(J101&lt;&gt;1,"",IF(I101="SBJ","CB","?"))</f>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197</v>
      </c>
      <c r="E102" s="20" t="str">
        <f t="shared" si="10"/>
        <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11"/>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198</v>
      </c>
      <c r="E103" s="20" t="str">
        <f t="shared" si="10"/>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11"/>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192</v>
      </c>
      <c r="E104" s="20" t="str">
        <f t="shared" si="10"/>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11"/>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199</v>
      </c>
      <c r="B105" s="26" t="s">
        <v>111</v>
      </c>
      <c r="C105" s="26" t="s">
        <v>118</v>
      </c>
      <c r="E105" s="20" t="str">
        <f t="shared" si="10"/>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11"/>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189</v>
      </c>
      <c r="E106" s="20" t="str">
        <f t="shared" si="10"/>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11"/>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200</v>
      </c>
      <c r="E107" s="20" t="str">
        <f t="shared" si="10"/>
        <v/>
      </c>
      <c r="F107" s="21" t="str">
        <f>IF(OR(E107="",E107="!!!"),"",IF(NOT(ISNA(VLOOKUP(E107,E$1:E106,1,FALSE()))),"OLD",IF(AND(E107&lt;&gt;"",E107&lt;&gt;"!!!"),"NEW","")))</f>
        <v/>
      </c>
      <c r="G107" s="22" t="str">
        <f>IF(OR(E107="",E107="!!!"),"",IF(OR(J107=0,AND(J107=1,K107=1),AND(J107=1,I107="SBJ"),AND(J107=1,I107=0)),"?IN_FOCUS",IF(J107&lt;=2,"?ACTIVATED",IF(J107&lt;&gt;"","?FAMILIAR",IF(F107="NEW",IF(ISNA(VLOOKUP(E107,#REF!,1,FALSE())),"?TYPE_IDENTIFIABLE","?REFERENTIAL"),"_")))))</f>
        <v/>
      </c>
      <c r="H107" s="23" t="str">
        <f t="shared" ca="1" si="11"/>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192</v>
      </c>
      <c r="E108" s="20" t="str">
        <f t="shared" si="10"/>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11"/>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201</v>
      </c>
      <c r="B109" s="26" t="s">
        <v>117</v>
      </c>
      <c r="C109" s="26" t="s">
        <v>118</v>
      </c>
      <c r="E109" s="20" t="str">
        <f t="shared" si="10"/>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11"/>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202</v>
      </c>
      <c r="E110" s="20" t="str">
        <f t="shared" si="10"/>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11"/>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203</v>
      </c>
      <c r="E111" s="20" t="str">
        <f t="shared" si="10"/>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11"/>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2" spans="1:12" x14ac:dyDescent="0.3">
      <c r="A112" t="s">
        <v>204</v>
      </c>
      <c r="B112" s="26" t="s">
        <v>117</v>
      </c>
      <c r="C112" s="26" t="s">
        <v>165</v>
      </c>
      <c r="E112" s="20" t="str">
        <f t="shared" si="10"/>
        <v/>
      </c>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ca="1" si="11"/>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row>
    <row r="113" spans="1:12" x14ac:dyDescent="0.3">
      <c r="A113" t="s">
        <v>126</v>
      </c>
      <c r="E113" s="20" t="str">
        <f t="shared" si="10"/>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11"/>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5" spans="1:12" x14ac:dyDescent="0.3">
      <c r="A115" t="s">
        <v>205</v>
      </c>
    </row>
    <row r="116" spans="1:12" x14ac:dyDescent="0.3">
      <c r="A116" t="s">
        <v>120</v>
      </c>
      <c r="E116" s="20" t="str">
        <f t="shared" ref="E116:E128" si="12">IF(D116="?OLD","!!!","")</f>
        <v/>
      </c>
      <c r="F116" s="21"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ref="H116:H128" ca="1" si="13">IF(J116&lt;&gt;1,"",IF(I116="SBJ","CB","?"))</f>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121</v>
      </c>
      <c r="B117" s="26" t="s">
        <v>122</v>
      </c>
      <c r="C117" s="26" t="s">
        <v>123</v>
      </c>
      <c r="D117" s="26" t="s">
        <v>113</v>
      </c>
      <c r="E117" s="20"/>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3"/>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t="s">
        <v>382</v>
      </c>
    </row>
    <row r="118" spans="1:12" x14ac:dyDescent="0.3">
      <c r="A118" t="s">
        <v>124</v>
      </c>
      <c r="E118" s="20" t="str">
        <f t="shared" si="12"/>
        <v/>
      </c>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13"/>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206</v>
      </c>
      <c r="B119" s="26" t="s">
        <v>117</v>
      </c>
      <c r="C119" s="26" t="s">
        <v>165</v>
      </c>
      <c r="E119" s="20" t="str">
        <f t="shared" si="12"/>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3"/>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128</v>
      </c>
      <c r="E120" s="20" t="str">
        <f t="shared" si="12"/>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3"/>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129</v>
      </c>
      <c r="B121" s="26" t="s">
        <v>207</v>
      </c>
      <c r="C121" s="26" t="s">
        <v>118</v>
      </c>
      <c r="E121" s="20" t="s">
        <v>383</v>
      </c>
      <c r="F121" s="21" t="str">
        <f>IF(OR(E121="",E121="!!!"),"",IF(NOT(ISNA(VLOOKUP(E121,E$1:E120,1,FALSE()))),"OLD",IF(AND(E121&lt;&gt;"",E121&lt;&gt;"!!!"),"NEW","")))</f>
        <v>OLD</v>
      </c>
      <c r="G121" s="22" t="s">
        <v>414</v>
      </c>
      <c r="H121" s="23" t="str">
        <f t="shared" ca="1" si="13"/>
        <v/>
      </c>
      <c r="I121" s="24" t="str">
        <f>IF(OR(E121="",E121="!!!",F121="NEW"),"",INDEX(B$2:B120,-1+SUMPRODUCT(MAX(ROW(E$2:E120)*(E121=E$2:E120)))))</f>
        <v>SBJ</v>
      </c>
      <c r="J121" s="24">
        <f ca="1">IF(OR(E121="",E121="!!!",F121="NEW"),"",COUNTBLANK(OFFSET(A$1,,,SUMPRODUCT(MAX(ROW(E$2:E121)*(E121=E$2:E121)))))-COUNTBLANK(OFFSET(A$1,,,SUMPRODUCT(MAX(ROW(E$1:E120)*(E2=E$1:E120))))))</f>
        <v>0</v>
      </c>
      <c r="K121" s="24" t="str">
        <f ca="1">IF(OR(E121="",E121="!!!",F121="NEW"),"",INDEX(J$1:J120,SUMPRODUCT(MAX(ROW(E$1:E120)*(E121=E$1:E120)))))</f>
        <v/>
      </c>
      <c r="L121" s="25" t="s">
        <v>389</v>
      </c>
    </row>
    <row r="122" spans="1:12" x14ac:dyDescent="0.3">
      <c r="A122" t="s">
        <v>131</v>
      </c>
      <c r="E122" s="20" t="str">
        <f t="shared" si="12"/>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3"/>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132</v>
      </c>
      <c r="E123" s="20" t="str">
        <f t="shared" si="12"/>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13"/>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133</v>
      </c>
      <c r="B124" s="26" t="s">
        <v>111</v>
      </c>
      <c r="C124" s="26" t="s">
        <v>112</v>
      </c>
      <c r="D124" s="26" t="s">
        <v>113</v>
      </c>
      <c r="E124" s="20" t="s">
        <v>379</v>
      </c>
      <c r="F124" s="21" t="str">
        <f>IF(OR(E124="",E124="!!!"),"",IF(NOT(ISNA(VLOOKUP(E124,E$1:E123,1,FALSE()))),"OLD",IF(AND(E124&lt;&gt;"",E124&lt;&gt;"!!!"),"NEW","")))</f>
        <v>OLD</v>
      </c>
      <c r="G124" s="22" t="s">
        <v>414</v>
      </c>
      <c r="H124" s="23" t="str">
        <f t="shared" ca="1" si="13"/>
        <v/>
      </c>
      <c r="I124" s="24" t="str">
        <f>IF(OR(E124="",E124="!!!",F124="NEW"),"",INDEX(B$2:B123,-1+SUMPRODUCT(MAX(ROW(E$2:E123)*(E124=E$2:E123)))))</f>
        <v>other</v>
      </c>
      <c r="J124" s="24">
        <f ca="1">IF(OR(E124="",E124="!!!",F124="NEW"),"",COUNTBLANK(OFFSET(A$1,,,SUMPRODUCT(MAX(ROW(E$2:E124)*(E124=E$2:E124)))))-COUNTBLANK(OFFSET(A$1,,,SUMPRODUCT(MAX(ROW(E$1:E123)*(E2=E$1:E123))))))</f>
        <v>0</v>
      </c>
      <c r="K124" s="24" t="str">
        <f ca="1">IF(OR(E124="",E124="!!!",F124="NEW"),"",INDEX(J$1:J123,SUMPRODUCT(MAX(ROW(E$1:E123)*(E124=E$1:E123)))))</f>
        <v/>
      </c>
      <c r="L124" s="25"/>
    </row>
    <row r="125" spans="1:12" x14ac:dyDescent="0.3">
      <c r="A125" t="s">
        <v>134</v>
      </c>
      <c r="E125" s="20" t="str">
        <f t="shared" si="12"/>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3"/>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3">
      <c r="A126" t="s">
        <v>135</v>
      </c>
      <c r="E126" s="20" t="str">
        <f t="shared" si="12"/>
        <v/>
      </c>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13"/>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136</v>
      </c>
      <c r="E127" s="20" t="str">
        <f t="shared" si="12"/>
        <v/>
      </c>
      <c r="F127" s="21" t="str">
        <f>IF(OR(E127="",E127="!!!"),"",IF(NOT(ISNA(VLOOKUP(E127,E$1:E126,1,FALSE()))),"OLD",IF(AND(E127&lt;&gt;"",E127&lt;&gt;"!!!"),"NEW","")))</f>
        <v/>
      </c>
      <c r="G127" s="22" t="str">
        <f>IF(OR(E127="",E127="!!!"),"",IF(OR(J127=0,AND(J127=1,K127=1),AND(J127=1,I127="SBJ"),AND(J127=1,I127=0)),"?IN_FOCUS",IF(J127&lt;=2,"?ACTIVATED",IF(J127&lt;&gt;"","?FAMILIAR",IF(F127="NEW",IF(ISNA(VLOOKUP(E127,#REF!,1,FALSE())),"?TYPE_IDENTIFIABLE","?REFERENTIAL"),"_")))))</f>
        <v/>
      </c>
      <c r="H127" s="23" t="str">
        <f t="shared" ca="1" si="13"/>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row>
    <row r="128" spans="1:12" x14ac:dyDescent="0.3">
      <c r="A128" t="s">
        <v>126</v>
      </c>
      <c r="E128" s="20" t="str">
        <f t="shared" si="12"/>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3"/>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30" spans="1:12" x14ac:dyDescent="0.3">
      <c r="A130" t="s">
        <v>208</v>
      </c>
    </row>
    <row r="131" spans="1:12" x14ac:dyDescent="0.3">
      <c r="A131" t="s">
        <v>209</v>
      </c>
      <c r="B131" s="26" t="s">
        <v>111</v>
      </c>
      <c r="C131" s="26" t="s">
        <v>118</v>
      </c>
      <c r="E131" s="20" t="str">
        <f t="shared" ref="E131:E155" si="14">IF(D131="?OLD","!!!","")</f>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ref="H131:H155" ca="1" si="15">IF(J131&lt;&gt;1,"",IF(I131="SBJ","CB","?"))</f>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210</v>
      </c>
      <c r="B132" s="26" t="s">
        <v>117</v>
      </c>
      <c r="C132" s="26" t="s">
        <v>112</v>
      </c>
      <c r="D132" s="26" t="s">
        <v>113</v>
      </c>
      <c r="E132" s="20" t="s">
        <v>390</v>
      </c>
      <c r="F132" s="21" t="str">
        <f>IF(OR(E132="",E132="!!!"),"",IF(NOT(ISNA(VLOOKUP(E132,E$1:E131,1,FALSE()))),"OLD",IF(AND(E132&lt;&gt;"",E132&lt;&gt;"!!!"),"NEW","")))</f>
        <v>NEW</v>
      </c>
      <c r="G132" s="22" t="s">
        <v>415</v>
      </c>
      <c r="H132" s="23" t="str">
        <f t="shared" ca="1" si="15"/>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t="s">
        <v>419</v>
      </c>
    </row>
    <row r="133" spans="1:12" x14ac:dyDescent="0.3">
      <c r="A133" t="s">
        <v>211</v>
      </c>
      <c r="E133" s="20" t="str">
        <f t="shared" si="14"/>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5"/>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212</v>
      </c>
      <c r="E134" s="20" t="str">
        <f t="shared" si="14"/>
        <v/>
      </c>
      <c r="F134" s="21"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15"/>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166</v>
      </c>
      <c r="E135" s="20" t="str">
        <f t="shared" si="14"/>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5"/>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3">
      <c r="A136" t="s">
        <v>213</v>
      </c>
      <c r="B136" s="26" t="s">
        <v>122</v>
      </c>
      <c r="C136" s="26" t="s">
        <v>123</v>
      </c>
      <c r="D136" s="26" t="s">
        <v>113</v>
      </c>
      <c r="E136" s="20" t="s">
        <v>391</v>
      </c>
      <c r="F136" s="21" t="str">
        <f>IF(OR(E136="",E136="!!!"),"",IF(NOT(ISNA(VLOOKUP(E136,E$1:E135,1,FALSE()))),"OLD",IF(AND(E136&lt;&gt;"",E136&lt;&gt;"!!!"),"NEW","")))</f>
        <v>NEW</v>
      </c>
      <c r="G136" s="22" t="s">
        <v>414</v>
      </c>
      <c r="H136" s="23" t="str">
        <f t="shared" ca="1" si="15"/>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214</v>
      </c>
      <c r="E137" s="20" t="str">
        <f t="shared" si="14"/>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t="shared" ca="1" si="15"/>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215</v>
      </c>
      <c r="E138" s="20" t="str">
        <f t="shared" si="14"/>
        <v/>
      </c>
      <c r="F138" s="21"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15"/>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216</v>
      </c>
      <c r="B139" s="26" t="s">
        <v>217</v>
      </c>
      <c r="C139" s="26" t="s">
        <v>218</v>
      </c>
      <c r="E139" s="20" t="str">
        <f t="shared" si="14"/>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5"/>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219</v>
      </c>
      <c r="E140" s="20" t="str">
        <f t="shared" si="14"/>
        <v/>
      </c>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5"/>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189</v>
      </c>
      <c r="E141" s="20" t="str">
        <f t="shared" si="14"/>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5"/>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220</v>
      </c>
      <c r="E142" s="20" t="str">
        <f t="shared" si="14"/>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5"/>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221</v>
      </c>
      <c r="B143" s="26" t="s">
        <v>111</v>
      </c>
      <c r="C143" s="26" t="s">
        <v>176</v>
      </c>
      <c r="E143" s="20" t="str">
        <f t="shared" si="14"/>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5"/>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166</v>
      </c>
      <c r="E144" s="20" t="str">
        <f t="shared" si="14"/>
        <v/>
      </c>
      <c r="F144" s="21"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15"/>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5"/>
    </row>
    <row r="145" spans="1:12" x14ac:dyDescent="0.3">
      <c r="A145" t="s">
        <v>222</v>
      </c>
      <c r="B145" s="26" t="s">
        <v>117</v>
      </c>
      <c r="C145" s="26" t="s">
        <v>123</v>
      </c>
      <c r="D145" s="26" t="s">
        <v>113</v>
      </c>
      <c r="E145" s="20"/>
      <c r="F145" s="21" t="s">
        <v>385</v>
      </c>
      <c r="G145" s="22" t="str">
        <f>IF(OR(E145="",E145="!!!"),"",IF(OR(J145=0,AND(J145=1,K145=1),AND(J145=1,I145="SBJ"),AND(J145=1,I145=0)),"?IN_FOCUS",IF(J145&lt;=2,"?ACTIVATED",IF(J145&lt;&gt;"","?FAMILIAR",IF(F145="NEW",IF(ISNA(VLOOKUP(E145,#REF!,1,FALSE())),"?TYPE_IDENTIFIABLE","?REFERENTIAL"),"_")))))</f>
        <v/>
      </c>
      <c r="H145" s="23" t="str">
        <f t="shared" ca="1" si="15"/>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6" spans="1:12" x14ac:dyDescent="0.3">
      <c r="A146" t="s">
        <v>151</v>
      </c>
      <c r="E146" s="20" t="str">
        <f t="shared" si="14"/>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t="shared" ca="1" si="15"/>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3">
      <c r="A147" t="s">
        <v>153</v>
      </c>
      <c r="B147" s="26" t="s">
        <v>169</v>
      </c>
      <c r="E147" s="20" t="str">
        <f t="shared" si="14"/>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15"/>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8" spans="1:12" x14ac:dyDescent="0.3">
      <c r="A148" t="s">
        <v>162</v>
      </c>
      <c r="E148" s="20" t="str">
        <f t="shared" si="14"/>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15"/>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145</v>
      </c>
      <c r="E149" s="20" t="str">
        <f t="shared" si="14"/>
        <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15"/>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223</v>
      </c>
      <c r="B150" s="26" t="s">
        <v>175</v>
      </c>
      <c r="C150" s="26" t="s">
        <v>123</v>
      </c>
      <c r="D150" s="26" t="s">
        <v>113</v>
      </c>
      <c r="E150" s="20" t="s">
        <v>376</v>
      </c>
      <c r="F150" s="21" t="str">
        <f>IF(OR(E150="",E150="!!!"),"",IF(NOT(ISNA(VLOOKUP(E150,E$1:E149,1,FALSE()))),"OLD",IF(AND(E150&lt;&gt;"",E150&lt;&gt;"!!!"),"NEW","")))</f>
        <v>OLD</v>
      </c>
      <c r="G150" s="22" t="s">
        <v>416</v>
      </c>
      <c r="H150" s="23" t="str">
        <f t="shared" ca="1" si="15"/>
        <v/>
      </c>
      <c r="I150" s="24" t="str">
        <f>IF(OR(E150="",E150="!!!",F150="NEW"),"",INDEX(B$2:B149,-1+SUMPRODUCT(MAX(ROW(E$2:E149)*(E150=E$2:E149)))))</f>
        <v>other_2</v>
      </c>
      <c r="J150" s="24">
        <f ca="1">IF(OR(E150="",E150="!!!",F150="NEW"),"",COUNTBLANK(OFFSET(A$1,,,SUMPRODUCT(MAX(ROW(E$2:E150)*(E150=E$2:E150)))))-COUNTBLANK(OFFSET(A$1,,,SUMPRODUCT(MAX(ROW(E$1:E149)*(E2=E$1:E149))))))</f>
        <v>0</v>
      </c>
      <c r="K150" s="24">
        <f ca="1">IF(OR(E150="",E150="!!!",F150="NEW"),"",INDEX(J$1:J149,SUMPRODUCT(MAX(ROW(E$1:E149)*(E150=E$1:E149)))))</f>
        <v>0</v>
      </c>
      <c r="L150" s="25"/>
    </row>
    <row r="151" spans="1:12" x14ac:dyDescent="0.3">
      <c r="A151" t="s">
        <v>224</v>
      </c>
      <c r="E151" s="20" t="str">
        <f t="shared" si="14"/>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5"/>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153</v>
      </c>
      <c r="E152" s="20" t="str">
        <f t="shared" si="14"/>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5"/>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13</v>
      </c>
      <c r="B153" s="26" t="s">
        <v>175</v>
      </c>
      <c r="C153" s="26" t="s">
        <v>123</v>
      </c>
      <c r="D153" s="26" t="s">
        <v>113</v>
      </c>
      <c r="E153" s="20" t="s">
        <v>378</v>
      </c>
      <c r="F153" s="21" t="str">
        <f>IF(OR(E153="",E153="!!!"),"",IF(NOT(ISNA(VLOOKUP(E153,E$1:E152,1,FALSE()))),"OLD",IF(AND(E153&lt;&gt;"",E153&lt;&gt;"!!!"),"NEW","")))</f>
        <v>OLD</v>
      </c>
      <c r="G153" s="22" t="s">
        <v>416</v>
      </c>
      <c r="H153" s="23" t="str">
        <f t="shared" ca="1" si="15"/>
        <v/>
      </c>
      <c r="I153" s="24" t="str">
        <f>IF(OR(E153="",E153="!!!",F153="NEW"),"",INDEX(B$2:B152,-1+SUMPRODUCT(MAX(ROW(E$2:E152)*(E153=E$2:E152)))))</f>
        <v>other_6</v>
      </c>
      <c r="J153" s="24">
        <f ca="1">IF(OR(E153="",E153="!!!",F153="NEW"),"",COUNTBLANK(OFFSET(A$1,,,SUMPRODUCT(MAX(ROW(E$2:E153)*(E153=E$2:E153)))))-COUNTBLANK(OFFSET(A$1,,,SUMPRODUCT(MAX(ROW(E$1:E152)*(E2=E$1:E152))))))</f>
        <v>0</v>
      </c>
      <c r="K153" s="24">
        <f ca="1">IF(OR(E153="",E153="!!!",F153="NEW"),"",INDEX(J$1:J152,SUMPRODUCT(MAX(ROW(E$1:E152)*(E153=E$1:E152)))))</f>
        <v>0</v>
      </c>
      <c r="L153" s="25"/>
    </row>
    <row r="154" spans="1:12" x14ac:dyDescent="0.3">
      <c r="A154" t="s">
        <v>225</v>
      </c>
      <c r="E154" s="20" t="str">
        <f t="shared" si="14"/>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5"/>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126</v>
      </c>
      <c r="E155" s="20" t="str">
        <f t="shared" si="14"/>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5"/>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7" spans="1:12" x14ac:dyDescent="0.3">
      <c r="A157" t="s">
        <v>158</v>
      </c>
      <c r="E157" s="20" t="str">
        <f>IF(D157="?OLD","!!!","")</f>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ca="1">IF(J157&lt;&gt;1,"",IF(I157="SBJ","CB","?"))</f>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226</v>
      </c>
    </row>
    <row r="159" spans="1:12" x14ac:dyDescent="0.3">
      <c r="A159" t="s">
        <v>195</v>
      </c>
      <c r="B159" s="26" t="s">
        <v>122</v>
      </c>
      <c r="C159" s="26" t="s">
        <v>125</v>
      </c>
      <c r="D159" s="26" t="s">
        <v>113</v>
      </c>
      <c r="E159" s="20" t="s">
        <v>390</v>
      </c>
      <c r="F159" s="21" t="str">
        <f>IF(OR(E159="",E159="!!!"),"",IF(NOT(ISNA(VLOOKUP(E159,E$1:E158,1,FALSE()))),"OLD",IF(AND(E159&lt;&gt;"",E159&lt;&gt;"!!!"),"NEW","")))</f>
        <v>OLD</v>
      </c>
      <c r="G159" s="22" t="s">
        <v>417</v>
      </c>
      <c r="H159" s="23" t="s">
        <v>103</v>
      </c>
      <c r="I159" s="24" t="str">
        <f>IF(OR(E159="",E159="!!!",F159="NEW"),"",INDEX(B$2:B158,-1+SUMPRODUCT(MAX(ROW(E$2:E158)*(E159=E$2:E158)))))</f>
        <v>other_2</v>
      </c>
      <c r="J159" s="24">
        <f ca="1">IF(OR(E159="",E159="!!!",F159="NEW"),"",COUNTBLANK(OFFSET(A$1,,,SUMPRODUCT(MAX(ROW(E$2:E159)*(E159=E$2:E159)))))-COUNTBLANK(OFFSET(A$1,,,SUMPRODUCT(MAX(ROW(E$1:E158)*(E2=E$1:E158))))))</f>
        <v>0</v>
      </c>
      <c r="K159" s="24" t="str">
        <f ca="1">IF(OR(E159="",E159="!!!",F159="NEW"),"",INDEX(J$1:J158,SUMPRODUCT(MAX(ROW(E$1:E158)*(E159=E$1:E158)))))</f>
        <v/>
      </c>
      <c r="L159" s="25"/>
    </row>
    <row r="160" spans="1:12" x14ac:dyDescent="0.3">
      <c r="A160" t="s">
        <v>227</v>
      </c>
      <c r="E160" s="20" t="str">
        <f t="shared" ref="E159:E176" si="16">IF(D160="?OLD","!!!","")</f>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ref="H159:H176" ca="1" si="17">IF(J160&lt;&gt;1,"",IF(I160="SBJ","CB","?"))</f>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3">
      <c r="A161" t="s">
        <v>110</v>
      </c>
      <c r="E161" s="20" t="str">
        <f t="shared" si="16"/>
        <v/>
      </c>
      <c r="F161" s="21"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17"/>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5"/>
    </row>
    <row r="162" spans="1:12" x14ac:dyDescent="0.3">
      <c r="A162" t="s">
        <v>167</v>
      </c>
      <c r="E162" s="20" t="str">
        <f t="shared" si="16"/>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17"/>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3" spans="1:12" x14ac:dyDescent="0.3">
      <c r="A163" t="s">
        <v>120</v>
      </c>
      <c r="B163" s="26" t="s">
        <v>148</v>
      </c>
      <c r="C163" s="26" t="s">
        <v>228</v>
      </c>
      <c r="D163" s="26" t="s">
        <v>113</v>
      </c>
      <c r="E163" s="20"/>
      <c r="F163" s="21" t="s">
        <v>400</v>
      </c>
      <c r="G163" s="22" t="str">
        <f>IF(OR(E163="",E163="!!!"),"",IF(OR(J163=0,AND(J163=1,K163=1),AND(J163=1,I163="SBJ"),AND(J163=1,I163=0)),"?IN_FOCUS",IF(J163&lt;=2,"?ACTIVATED",IF(J163&lt;&gt;"","?FAMILIAR",IF(F163="NEW",IF(ISNA(VLOOKUP(E163,#REF!,1,FALSE())),"?TYPE_IDENTIFIABLE","?REFERENTIAL"),"_")))))</f>
        <v/>
      </c>
      <c r="H163" s="23" t="str">
        <f t="shared" ca="1" si="17"/>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3">
      <c r="A164" t="s">
        <v>157</v>
      </c>
      <c r="E164" s="20" t="str">
        <f t="shared" si="16"/>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17"/>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229</v>
      </c>
      <c r="E165" s="20" t="str">
        <f t="shared" si="16"/>
        <v/>
      </c>
      <c r="F165" s="21" t="str">
        <f>IF(OR(E165="",E165="!!!"),"",IF(NOT(ISNA(VLOOKUP(E165,E$1:E164,1,FALSE()))),"OLD",IF(AND(E165&lt;&gt;"",E165&lt;&gt;"!!!"),"NEW","")))</f>
        <v/>
      </c>
      <c r="G165" s="22" t="str">
        <f>IF(OR(E165="",E165="!!!"),"",IF(OR(J165=0,AND(J165=1,K165=1),AND(J165=1,I165="SBJ"),AND(J165=1,I165=0)),"?IN_FOCUS",IF(J165&lt;=2,"?ACTIVATED",IF(J165&lt;&gt;"","?FAMILIAR",IF(F165="NEW",IF(ISNA(VLOOKUP(E165,#REF!,1,FALSE())),"?TYPE_IDENTIFIABLE","?REFERENTIAL"),"_")))))</f>
        <v/>
      </c>
      <c r="H165" s="23" t="str">
        <f t="shared" ca="1" si="17"/>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230</v>
      </c>
      <c r="E166" s="20" t="str">
        <f t="shared" si="16"/>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7"/>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189</v>
      </c>
      <c r="E167" s="20" t="str">
        <f t="shared" si="16"/>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7"/>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231</v>
      </c>
      <c r="E168" s="20" t="str">
        <f t="shared" si="16"/>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17"/>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232</v>
      </c>
      <c r="B169" s="26" t="s">
        <v>111</v>
      </c>
      <c r="C169" s="26" t="s">
        <v>218</v>
      </c>
      <c r="E169" s="20" t="str">
        <f t="shared" si="16"/>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17"/>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row>
    <row r="170" spans="1:12" x14ac:dyDescent="0.3">
      <c r="A170" t="s">
        <v>233</v>
      </c>
      <c r="E170" s="20" t="str">
        <f t="shared" si="16"/>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17"/>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145</v>
      </c>
      <c r="E171" s="20" t="str">
        <f t="shared" si="16"/>
        <v/>
      </c>
      <c r="F171" s="21" t="str">
        <f>IF(OR(E171="",E171="!!!"),"",IF(NOT(ISNA(VLOOKUP(E171,E$1:E170,1,FALSE()))),"OLD",IF(AND(E171&lt;&gt;"",E171&lt;&gt;"!!!"),"NEW","")))</f>
        <v/>
      </c>
      <c r="G171" s="22" t="str">
        <f>IF(OR(E171="",E171="!!!"),"",IF(OR(J171=0,AND(J171=1,K171=1),AND(J171=1,I171="SBJ"),AND(J171=1,I171=0)),"?IN_FOCUS",IF(J171&lt;=2,"?ACTIVATED",IF(J171&lt;&gt;"","?FAMILIAR",IF(F171="NEW",IF(ISNA(VLOOKUP(E171,#REF!,1,FALSE())),"?TYPE_IDENTIFIABLE","?REFERENTIAL"),"_")))))</f>
        <v/>
      </c>
      <c r="H171" s="23" t="str">
        <f t="shared" ca="1" si="17"/>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234</v>
      </c>
      <c r="B172" s="26" t="s">
        <v>117</v>
      </c>
      <c r="C172" s="26" t="s">
        <v>142</v>
      </c>
      <c r="D172" s="26" t="s">
        <v>113</v>
      </c>
      <c r="E172" s="20" t="s">
        <v>383</v>
      </c>
      <c r="F172" s="21" t="str">
        <f>IF(OR(E172="",E172="!!!"),"",IF(NOT(ISNA(VLOOKUP(E172,E$1:E171,1,FALSE()))),"OLD",IF(AND(E172&lt;&gt;"",E172&lt;&gt;"!!!"),"NEW","")))</f>
        <v>OLD</v>
      </c>
      <c r="G172" s="22" t="s">
        <v>416</v>
      </c>
      <c r="H172" s="23" t="str">
        <f t="shared" ca="1" si="17"/>
        <v/>
      </c>
      <c r="I172" s="24" t="str">
        <f>IF(OR(E172="",E172="!!!",F172="NEW"),"",INDEX(B$2:B171,-1+SUMPRODUCT(MAX(ROW(E$2:E171)*(E172=E$2:E171)))))</f>
        <v>OBJ_3</v>
      </c>
      <c r="J172" s="24">
        <f ca="1">IF(OR(E172="",E172="!!!",F172="NEW"),"",COUNTBLANK(OFFSET(A$1,,,SUMPRODUCT(MAX(ROW(E$2:E172)*(E172=E$2:E172)))))-COUNTBLANK(OFFSET(A$1,,,SUMPRODUCT(MAX(ROW(E$1:E171)*(E2=E$1:E171))))))</f>
        <v>0</v>
      </c>
      <c r="K172" s="24">
        <f ca="1">IF(OR(E172="",E172="!!!",F172="NEW"),"",INDEX(J$1:J171,SUMPRODUCT(MAX(ROW(E$1:E171)*(E172=E$1:E171)))))</f>
        <v>0</v>
      </c>
      <c r="L172" s="25"/>
    </row>
    <row r="173" spans="1:12" x14ac:dyDescent="0.3">
      <c r="A173" t="s">
        <v>143</v>
      </c>
      <c r="E173" s="20" t="str">
        <f t="shared" si="16"/>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17"/>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108</v>
      </c>
      <c r="B174" s="26" t="s">
        <v>156</v>
      </c>
      <c r="C174" s="26" t="s">
        <v>112</v>
      </c>
      <c r="D174" s="26" t="s">
        <v>113</v>
      </c>
      <c r="E174" s="20" t="s">
        <v>378</v>
      </c>
      <c r="F174" s="21" t="str">
        <f>IF(OR(E174="",E174="!!!"),"",IF(NOT(ISNA(VLOOKUP(E174,E$1:E173,1,FALSE()))),"OLD",IF(AND(E174&lt;&gt;"",E174&lt;&gt;"!!!"),"NEW","")))</f>
        <v>OLD</v>
      </c>
      <c r="G174" s="22" t="s">
        <v>416</v>
      </c>
      <c r="H174" s="23" t="str">
        <f t="shared" ca="1" si="17"/>
        <v/>
      </c>
      <c r="I174" s="24" t="str">
        <f>IF(OR(E174="",E174="!!!",F174="NEW"),"",INDEX(B$2:B173,-1+SUMPRODUCT(MAX(ROW(E$2:E173)*(E174=E$2:E173)))))</f>
        <v>other_4</v>
      </c>
      <c r="J174" s="24">
        <f ca="1">IF(OR(E174="",E174="!!!",F174="NEW"),"",COUNTBLANK(OFFSET(A$1,,,SUMPRODUCT(MAX(ROW(E$2:E174)*(E174=E$2:E174)))))-COUNTBLANK(OFFSET(A$1,,,SUMPRODUCT(MAX(ROW(E$1:E173)*(E2=E$1:E173))))))</f>
        <v>0</v>
      </c>
      <c r="K174" s="24">
        <f ca="1">IF(OR(E174="",E174="!!!",F174="NEW"),"",INDEX(J$1:J173,SUMPRODUCT(MAX(ROW(E$1:E173)*(E174=E$1:E173)))))</f>
        <v>0</v>
      </c>
      <c r="L174" s="25"/>
    </row>
    <row r="175" spans="1:12" x14ac:dyDescent="0.3">
      <c r="A175" t="s">
        <v>144</v>
      </c>
      <c r="B175" s="26" t="s">
        <v>175</v>
      </c>
      <c r="C175" s="26" t="s">
        <v>112</v>
      </c>
      <c r="D175" s="26" t="s">
        <v>113</v>
      </c>
      <c r="E175" s="20"/>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17"/>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126</v>
      </c>
      <c r="E176" s="20" t="str">
        <f t="shared" si="16"/>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t="shared" ca="1" si="17"/>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8" spans="1:12" x14ac:dyDescent="0.3">
      <c r="A178" t="s">
        <v>235</v>
      </c>
    </row>
    <row r="179" spans="1:12" x14ac:dyDescent="0.3">
      <c r="A179" t="s">
        <v>236</v>
      </c>
      <c r="B179" s="26" t="s">
        <v>122</v>
      </c>
      <c r="C179" s="26" t="s">
        <v>149</v>
      </c>
      <c r="D179" s="26" t="s">
        <v>113</v>
      </c>
      <c r="E179" s="20"/>
      <c r="F179" s="21" t="s">
        <v>384</v>
      </c>
      <c r="G179" s="22" t="str">
        <f>IF(OR(E179="",E179="!!!"),"",IF(OR(J179=0,AND(J179=1,K179=1),AND(J179=1,I179="SBJ"),AND(J179=1,I179=0)),"?IN_FOCUS",IF(J179&lt;=2,"?ACTIVATED",IF(J179&lt;&gt;"","?FAMILIAR",IF(F179="NEW",IF(ISNA(VLOOKUP(E179,#REF!,1,FALSE())),"?TYPE_IDENTIFIABLE","?REFERENTIAL"),"_")))))</f>
        <v/>
      </c>
      <c r="H179" s="23" t="str">
        <f t="shared" ref="H179:H210" ca="1" si="18">IF(J179&lt;&gt;1,"",IF(I179="SBJ","CB","?"))</f>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5"/>
    </row>
    <row r="180" spans="1:12" x14ac:dyDescent="0.3">
      <c r="A180" t="s">
        <v>237</v>
      </c>
      <c r="E180" s="20" t="str">
        <f t="shared" ref="E179:E210" si="19">IF(D180="?OLD","!!!","")</f>
        <v/>
      </c>
      <c r="F180" s="21"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18"/>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238</v>
      </c>
      <c r="B181" s="26" t="s">
        <v>111</v>
      </c>
      <c r="C181" s="26" t="s">
        <v>176</v>
      </c>
      <c r="E181" s="20" t="str">
        <f t="shared" si="19"/>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18"/>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239</v>
      </c>
      <c r="B182" s="26" t="s">
        <v>111</v>
      </c>
      <c r="C182" s="26" t="s">
        <v>165</v>
      </c>
      <c r="E182" s="20" t="str">
        <f t="shared" si="19"/>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18"/>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221</v>
      </c>
      <c r="E183" s="20" t="str">
        <f t="shared" si="19"/>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8"/>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240</v>
      </c>
      <c r="B184" s="26" t="s">
        <v>111</v>
      </c>
      <c r="C184" s="26" t="s">
        <v>218</v>
      </c>
      <c r="E184" s="20" t="str">
        <f t="shared" si="19"/>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8"/>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162</v>
      </c>
      <c r="E185" s="20" t="str">
        <f t="shared" si="19"/>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18"/>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241</v>
      </c>
      <c r="E186" s="20" t="str">
        <f t="shared" si="19"/>
        <v/>
      </c>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8"/>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3">
      <c r="A187" t="s">
        <v>242</v>
      </c>
      <c r="E187" s="20" t="str">
        <f t="shared" si="19"/>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18"/>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3">
      <c r="A188" t="s">
        <v>243</v>
      </c>
      <c r="E188" s="20" t="str">
        <f t="shared" si="19"/>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8"/>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244</v>
      </c>
      <c r="B189" s="26" t="s">
        <v>117</v>
      </c>
      <c r="C189" s="26" t="s">
        <v>218</v>
      </c>
      <c r="E189" s="20" t="str">
        <f t="shared" si="19"/>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8"/>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233</v>
      </c>
      <c r="E190" s="20" t="str">
        <f t="shared" si="19"/>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8"/>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245</v>
      </c>
      <c r="B191" s="26" t="s">
        <v>156</v>
      </c>
      <c r="C191" s="26" t="s">
        <v>228</v>
      </c>
      <c r="D191" s="26" t="s">
        <v>113</v>
      </c>
      <c r="E191" s="20"/>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8"/>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t="s">
        <v>392</v>
      </c>
    </row>
    <row r="192" spans="1:12" x14ac:dyDescent="0.3">
      <c r="A192" t="s">
        <v>129</v>
      </c>
      <c r="B192" s="26" t="s">
        <v>117</v>
      </c>
      <c r="C192" s="26" t="s">
        <v>246</v>
      </c>
      <c r="D192" s="26" t="s">
        <v>113</v>
      </c>
      <c r="E192" s="20" t="s">
        <v>383</v>
      </c>
      <c r="F192" s="21" t="str">
        <f>IF(OR(E192="",E192="!!!"),"",IF(NOT(ISNA(VLOOKUP(E192,E$1:E191,1,FALSE()))),"OLD",IF(AND(E192&lt;&gt;"",E192&lt;&gt;"!!!"),"NEW","")))</f>
        <v>OLD</v>
      </c>
      <c r="G192" s="22" t="s">
        <v>416</v>
      </c>
      <c r="H192" s="23" t="str">
        <f t="shared" ca="1" si="18"/>
        <v/>
      </c>
      <c r="I192" s="24" t="str">
        <f>IF(OR(E192="",E192="!!!",F192="NEW"),"",INDEX(B$2:B191,-1+SUMPRODUCT(MAX(ROW(E$2:E191)*(E192=E$2:E191)))))</f>
        <v>other_2</v>
      </c>
      <c r="J192" s="24">
        <f ca="1">IF(OR(E192="",E192="!!!",F192="NEW"),"",COUNTBLANK(OFFSET(A$1,,,SUMPRODUCT(MAX(ROW(E$2:E192)*(E192=E$2:E192)))))-COUNTBLANK(OFFSET(A$1,,,SUMPRODUCT(MAX(ROW(E$1:E191)*(E2=E$1:E191))))))</f>
        <v>0</v>
      </c>
      <c r="K192" s="24">
        <f ca="1">IF(OR(E192="",E192="!!!",F192="NEW"),"",INDEX(J$1:J191,SUMPRODUCT(MAX(ROW(E$1:E191)*(E192=E$1:E191)))))</f>
        <v>0</v>
      </c>
      <c r="L192" s="25"/>
    </row>
    <row r="193" spans="1:12" x14ac:dyDescent="0.3">
      <c r="A193" t="s">
        <v>115</v>
      </c>
      <c r="E193" s="20" t="str">
        <f t="shared" si="19"/>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18"/>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197</v>
      </c>
      <c r="E194" s="20" t="str">
        <f t="shared" si="19"/>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8"/>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191</v>
      </c>
      <c r="E195" s="20" t="str">
        <f t="shared" si="19"/>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8"/>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192</v>
      </c>
      <c r="B196" s="26" t="s">
        <v>175</v>
      </c>
      <c r="C196" s="26" t="s">
        <v>165</v>
      </c>
      <c r="E196" s="20" t="str">
        <f t="shared" si="19"/>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18"/>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3">
      <c r="A197" t="s">
        <v>201</v>
      </c>
      <c r="B197" s="26" t="s">
        <v>156</v>
      </c>
      <c r="C197" s="26" t="s">
        <v>118</v>
      </c>
      <c r="E197" s="20" t="str">
        <f t="shared" si="19"/>
        <v/>
      </c>
      <c r="F197" s="21"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8"/>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5"/>
    </row>
    <row r="198" spans="1:12" x14ac:dyDescent="0.3">
      <c r="A198" t="s">
        <v>189</v>
      </c>
      <c r="E198" s="20" t="str">
        <f t="shared" si="19"/>
        <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8"/>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199" spans="1:12" x14ac:dyDescent="0.3">
      <c r="A199" t="s">
        <v>199</v>
      </c>
      <c r="B199" s="26" t="s">
        <v>175</v>
      </c>
      <c r="C199" s="26" t="s">
        <v>118</v>
      </c>
      <c r="E199" s="20" t="str">
        <f t="shared" si="19"/>
        <v/>
      </c>
      <c r="F199" s="21"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8"/>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151</v>
      </c>
      <c r="E200" s="20" t="str">
        <f t="shared" si="19"/>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8"/>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153</v>
      </c>
      <c r="B201" s="26" t="s">
        <v>247</v>
      </c>
      <c r="E201" s="20" t="str">
        <f t="shared" si="19"/>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8"/>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248</v>
      </c>
      <c r="E202" s="20" t="str">
        <f t="shared" si="19"/>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18"/>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249</v>
      </c>
      <c r="E203" s="20" t="str">
        <f t="shared" si="19"/>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8"/>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250</v>
      </c>
      <c r="B204" s="26" t="s">
        <v>181</v>
      </c>
      <c r="C204" s="26" t="s">
        <v>228</v>
      </c>
      <c r="D204" s="26" t="s">
        <v>113</v>
      </c>
      <c r="E204" s="20"/>
      <c r="F204" s="21"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8"/>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t="s">
        <v>392</v>
      </c>
    </row>
    <row r="205" spans="1:12" x14ac:dyDescent="0.3">
      <c r="A205" t="s">
        <v>251</v>
      </c>
      <c r="B205" s="26" t="s">
        <v>179</v>
      </c>
      <c r="C205" s="26" t="s">
        <v>246</v>
      </c>
      <c r="D205" s="26" t="s">
        <v>113</v>
      </c>
      <c r="E205" s="20" t="s">
        <v>388</v>
      </c>
      <c r="F205" s="21" t="str">
        <f>IF(OR(E205="",E205="!!!"),"",IF(NOT(ISNA(VLOOKUP(E205,E$1:E204,1,FALSE()))),"OLD",IF(AND(E205&lt;&gt;"",E205&lt;&gt;"!!!"),"NEW","")))</f>
        <v>OLD</v>
      </c>
      <c r="G205" s="22" t="s">
        <v>414</v>
      </c>
      <c r="H205" s="23" t="str">
        <f t="shared" ca="1" si="18"/>
        <v/>
      </c>
      <c r="I205" s="24" t="str">
        <f>IF(OR(E205="",E205="!!!",F205="NEW"),"",INDEX(B$2:B204,-1+SUMPRODUCT(MAX(ROW(E$2:E204)*(E205=E$2:E204)))))</f>
        <v>SBJ</v>
      </c>
      <c r="J205" s="24">
        <f ca="1">IF(OR(E205="",E205="!!!",F205="NEW"),"",COUNTBLANK(OFFSET(A$1,,,SUMPRODUCT(MAX(ROW(E$2:E205)*(E205=E$2:E205)))))-COUNTBLANK(OFFSET(A$1,,,SUMPRODUCT(MAX(ROW(E$1:E204)*(E2=E$1:E204))))))</f>
        <v>0</v>
      </c>
      <c r="K205" s="24">
        <f ca="1">IF(OR(E205="",E205="!!!",F205="NEW"),"",INDEX(J$1:J204,SUMPRODUCT(MAX(ROW(E$1:E204)*(E205=E$1:E204)))))</f>
        <v>0</v>
      </c>
      <c r="L205" s="25"/>
    </row>
    <row r="206" spans="1:12" x14ac:dyDescent="0.3">
      <c r="A206" t="s">
        <v>166</v>
      </c>
      <c r="E206" s="20" t="str">
        <f t="shared" si="19"/>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8"/>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13</v>
      </c>
      <c r="B207" s="26" t="s">
        <v>181</v>
      </c>
      <c r="C207" s="26" t="s">
        <v>123</v>
      </c>
      <c r="D207" s="26" t="s">
        <v>113</v>
      </c>
      <c r="E207" s="20" t="s">
        <v>378</v>
      </c>
      <c r="F207" s="21" t="str">
        <f>IF(OR(E207="",E207="!!!"),"",IF(NOT(ISNA(VLOOKUP(E207,E$1:E206,1,FALSE()))),"OLD",IF(AND(E207&lt;&gt;"",E207&lt;&gt;"!!!"),"NEW","")))</f>
        <v>OLD</v>
      </c>
      <c r="G207" s="22" t="s">
        <v>417</v>
      </c>
      <c r="H207" s="23" t="s">
        <v>103</v>
      </c>
      <c r="I207" s="24" t="str">
        <f>IF(OR(E207="",E207="!!!",F207="NEW"),"",INDEX(B$2:B206,-1+SUMPRODUCT(MAX(ROW(E$2:E206)*(E207=E$2:E206)))))</f>
        <v>other_3</v>
      </c>
      <c r="J207" s="24">
        <f ca="1">IF(OR(E207="",E207="!!!",F207="NEW"),"",COUNTBLANK(OFFSET(A$1,,,SUMPRODUCT(MAX(ROW(E$2:E207)*(E207=E$2:E207)))))-COUNTBLANK(OFFSET(A$1,,,SUMPRODUCT(MAX(ROW(E$1:E206)*(E2=E$1:E206))))))</f>
        <v>0</v>
      </c>
      <c r="K207" s="24">
        <f ca="1">IF(OR(E207="",E207="!!!",F207="NEW"),"",INDEX(J$1:J206,SUMPRODUCT(MAX(ROW(E$1:E206)*(E207=E$1:E206)))))</f>
        <v>0</v>
      </c>
      <c r="L207" s="25"/>
    </row>
    <row r="208" spans="1:12" x14ac:dyDescent="0.3">
      <c r="A208" t="s">
        <v>252</v>
      </c>
      <c r="E208" s="20" t="str">
        <f t="shared" si="19"/>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18"/>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253</v>
      </c>
      <c r="E209" s="20" t="str">
        <f t="shared" si="19"/>
        <v/>
      </c>
      <c r="F209" s="21" t="str">
        <f>IF(OR(E209="",E209="!!!"),"",IF(NOT(ISNA(VLOOKUP(E209,E$1:E208,1,FALSE()))),"OLD",IF(AND(E209&lt;&gt;"",E209&lt;&gt;"!!!"),"NEW","")))</f>
        <v/>
      </c>
      <c r="G209" s="22" t="str">
        <f>IF(OR(E209="",E209="!!!"),"",IF(OR(J209=0,AND(J209=1,K209=1),AND(J209=1,I209="SBJ"),AND(J209=1,I209=0)),"?IN_FOCUS",IF(J209&lt;=2,"?ACTIVATED",IF(J209&lt;&gt;"","?FAMILIAR",IF(F209="NEW",IF(ISNA(VLOOKUP(E209,#REF!,1,FALSE())),"?TYPE_IDENTIFIABLE","?REFERENTIAL"),"_")))))</f>
        <v/>
      </c>
      <c r="H209" s="23" t="str">
        <f t="shared" ca="1" si="18"/>
        <v/>
      </c>
      <c r="I209" s="24" t="str">
        <f>IF(OR(E209="",E209="!!!",F209="NEW"),"",INDEX(B$2:B208,-1+SUMPRODUCT(MAX(ROW(E$2:E208)*(E209=E$2:E208)))))</f>
        <v/>
      </c>
      <c r="J209" s="24" t="str">
        <f ca="1">IF(OR(E209="",E209="!!!",F209="NEW"),"",COUNTBLANK(OFFSET(A$1,,,SUMPRODUCT(MAX(ROW(E$2:E209)*(E209=E$2:E209)))))-COUNTBLANK(OFFSET(A$1,,,SUMPRODUCT(MAX(ROW(E$1:E208)*(E2=E$1:E208))))))</f>
        <v/>
      </c>
      <c r="K209" s="24" t="str">
        <f>IF(OR(E209="",E209="!!!",F209="NEW"),"",INDEX(J$1:J208,SUMPRODUCT(MAX(ROW(E$1:E208)*(E209=E$1:E208)))))</f>
        <v/>
      </c>
      <c r="L209" s="25"/>
    </row>
    <row r="210" spans="1:12" x14ac:dyDescent="0.3">
      <c r="A210" t="s">
        <v>126</v>
      </c>
      <c r="E210" s="20" t="str">
        <f t="shared" si="19"/>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18"/>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2" spans="1:12" x14ac:dyDescent="0.3">
      <c r="A212" t="s">
        <v>254</v>
      </c>
    </row>
    <row r="213" spans="1:12" x14ac:dyDescent="0.3">
      <c r="A213" t="s">
        <v>255</v>
      </c>
      <c r="E213" s="20" t="str">
        <f t="shared" ref="E213:E245" si="20">IF(D213="?OLD","!!!","")</f>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ref="H213:H245" ca="1" si="21">IF(J213&lt;&gt;1,"",IF(I213="SBJ","CB","?"))</f>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166</v>
      </c>
      <c r="E214" s="20" t="str">
        <f t="shared" si="20"/>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2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256</v>
      </c>
      <c r="E215" s="20" t="str">
        <f t="shared" si="20"/>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2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257</v>
      </c>
      <c r="B216" s="26" t="s">
        <v>111</v>
      </c>
      <c r="C216" s="26" t="s">
        <v>123</v>
      </c>
      <c r="D216" s="26" t="s">
        <v>113</v>
      </c>
      <c r="E216" s="20" t="s">
        <v>401</v>
      </c>
      <c r="F216" s="21" t="str">
        <f>IF(OR(E216="",E216="!!!"),"",IF(NOT(ISNA(VLOOKUP(E216,E$1:E215,1,FALSE()))),"OLD",IF(AND(E216&lt;&gt;"",E216&lt;&gt;"!!!"),"NEW","")))</f>
        <v>NEW</v>
      </c>
      <c r="G216" s="22" t="s">
        <v>415</v>
      </c>
      <c r="H216" s="23" t="str">
        <f t="shared" ca="1" si="21"/>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5"/>
    </row>
    <row r="217" spans="1:12" x14ac:dyDescent="0.3">
      <c r="A217" t="s">
        <v>189</v>
      </c>
      <c r="E217" s="20" t="str">
        <f t="shared" si="20"/>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258</v>
      </c>
      <c r="B218" s="26" t="s">
        <v>117</v>
      </c>
      <c r="C218" s="26" t="s">
        <v>118</v>
      </c>
      <c r="E218" s="20" t="str">
        <f t="shared" si="20"/>
        <v/>
      </c>
      <c r="F218" s="21"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21"/>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143</v>
      </c>
      <c r="E219" s="20" t="str">
        <f t="shared" si="20"/>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2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13</v>
      </c>
      <c r="B220" s="26" t="s">
        <v>156</v>
      </c>
      <c r="C220" s="26" t="s">
        <v>123</v>
      </c>
      <c r="D220" s="26" t="s">
        <v>113</v>
      </c>
      <c r="E220" s="20" t="s">
        <v>378</v>
      </c>
      <c r="F220" s="21" t="str">
        <f>IF(OR(E220="",E220="!!!"),"",IF(NOT(ISNA(VLOOKUP(E220,E$1:E219,1,FALSE()))),"OLD",IF(AND(E220&lt;&gt;"",E220&lt;&gt;"!!!"),"NEW","")))</f>
        <v>OLD</v>
      </c>
      <c r="G220" s="22" t="s">
        <v>417</v>
      </c>
      <c r="H220" s="23" t="s">
        <v>103</v>
      </c>
      <c r="I220" s="24" t="str">
        <f>IF(OR(E220="",E220="!!!",F220="NEW"),"",INDEX(B$2:B219,-1+SUMPRODUCT(MAX(ROW(E$2:E219)*(E220=E$2:E219)))))</f>
        <v>other_6</v>
      </c>
      <c r="J220" s="24">
        <f ca="1">IF(OR(E220="",E220="!!!",F220="NEW"),"",COUNTBLANK(OFFSET(A$1,,,SUMPRODUCT(MAX(ROW(E$2:E220)*(E220=E$2:E220)))))-COUNTBLANK(OFFSET(A$1,,,SUMPRODUCT(MAX(ROW(E$1:E219)*(E2=E$1:E219))))))</f>
        <v>0</v>
      </c>
      <c r="K220" s="24">
        <f ca="1">IF(OR(E220="",E220="!!!",F220="NEW"),"",INDEX(J$1:J219,SUMPRODUCT(MAX(ROW(E$1:E219)*(E220=E$1:E219)))))</f>
        <v>0</v>
      </c>
      <c r="L220" s="25"/>
    </row>
    <row r="221" spans="1:12" x14ac:dyDescent="0.3">
      <c r="A221" t="s">
        <v>151</v>
      </c>
      <c r="E221" s="20" t="str">
        <f t="shared" si="20"/>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157</v>
      </c>
      <c r="E222" s="20" t="str">
        <f t="shared" si="20"/>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153</v>
      </c>
      <c r="E223" s="20" t="str">
        <f t="shared" si="20"/>
        <v/>
      </c>
      <c r="F223" s="21"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2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172</v>
      </c>
      <c r="B224" s="26" t="s">
        <v>122</v>
      </c>
      <c r="C224" s="26" t="s">
        <v>123</v>
      </c>
      <c r="D224" s="26" t="s">
        <v>113</v>
      </c>
      <c r="E224" s="20" t="s">
        <v>407</v>
      </c>
      <c r="F224" s="21" t="s">
        <v>408</v>
      </c>
      <c r="G224" s="22" t="s">
        <v>414</v>
      </c>
      <c r="H224" s="23" t="str">
        <f t="shared" ca="1" si="21"/>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143</v>
      </c>
      <c r="E225" s="20" t="str">
        <f t="shared" si="20"/>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2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259</v>
      </c>
      <c r="B226" s="26" t="s">
        <v>117</v>
      </c>
      <c r="C226" s="26" t="s">
        <v>123</v>
      </c>
      <c r="D226" s="26" t="s">
        <v>113</v>
      </c>
      <c r="E226" s="20" t="s">
        <v>399</v>
      </c>
      <c r="F226" s="21" t="str">
        <f>IF(OR(E226="",E226="!!!"),"",IF(NOT(ISNA(VLOOKUP(E226,E$1:E225,1,FALSE()))),"OLD",IF(AND(E226&lt;&gt;"",E226&lt;&gt;"!!!"),"NEW","")))</f>
        <v>OLD</v>
      </c>
      <c r="G226" s="22" t="s">
        <v>414</v>
      </c>
      <c r="H226" s="23" t="str">
        <f t="shared" ca="1" si="21"/>
        <v/>
      </c>
      <c r="I226" s="24" t="str">
        <f>IF(OR(E226="",E226="!!!",F226="NEW"),"",INDEX(B$2:B225,-1+SUMPRODUCT(MAX(ROW(E$2:E225)*(E226=E$2:E225)))))</f>
        <v>SBJ</v>
      </c>
      <c r="J226" s="24">
        <f ca="1">IF(OR(E226="",E226="!!!",F226="NEW"),"",COUNTBLANK(OFFSET(A$1,,,SUMPRODUCT(MAX(ROW(E$2:E226)*(E226=E$2:E226)))))-COUNTBLANK(OFFSET(A$1,,,SUMPRODUCT(MAX(ROW(E$1:E225)*(E2=E$1:E225))))))</f>
        <v>0</v>
      </c>
      <c r="K226" s="24">
        <f ca="1">IF(OR(E226="",E226="!!!",F226="NEW"),"",INDEX(J$1:J225,SUMPRODUCT(MAX(ROW(E$1:E225)*(E226=E$1:E225)))))</f>
        <v>0</v>
      </c>
      <c r="L226" s="25"/>
    </row>
    <row r="227" spans="1:12" x14ac:dyDescent="0.3">
      <c r="A227" t="s">
        <v>260</v>
      </c>
      <c r="E227" s="20" t="str">
        <f t="shared" si="20"/>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145</v>
      </c>
      <c r="E228" s="20" t="str">
        <f t="shared" si="20"/>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146</v>
      </c>
      <c r="B229" s="26" t="s">
        <v>117</v>
      </c>
      <c r="C229" s="26" t="s">
        <v>123</v>
      </c>
      <c r="D229" s="26" t="s">
        <v>113</v>
      </c>
      <c r="E229" s="20" t="s">
        <v>380</v>
      </c>
      <c r="F229" s="21" t="str">
        <f>IF(OR(E229="",E229="!!!"),"",IF(NOT(ISNA(VLOOKUP(E229,E$1:E228,1,FALSE()))),"OLD",IF(AND(E229&lt;&gt;"",E229&lt;&gt;"!!!"),"NEW","")))</f>
        <v>OLD</v>
      </c>
      <c r="G229" s="22" t="s">
        <v>414</v>
      </c>
      <c r="H229" s="23" t="str">
        <f t="shared" ca="1" si="21"/>
        <v/>
      </c>
      <c r="I229" s="24" t="str">
        <f>IF(OR(E229="",E229="!!!",F229="NEW"),"",INDEX(B$2:B228,-1+SUMPRODUCT(MAX(ROW(E$2:E228)*(E229=E$2:E228)))))</f>
        <v>other</v>
      </c>
      <c r="J229" s="24">
        <f ca="1">IF(OR(E229="",E229="!!!",F229="NEW"),"",COUNTBLANK(OFFSET(A$1,,,SUMPRODUCT(MAX(ROW(E$2:E229)*(E229=E$2:E229)))))-COUNTBLANK(OFFSET(A$1,,,SUMPRODUCT(MAX(ROW(E$1:E228)*(E2=E$1:E228))))))</f>
        <v>0</v>
      </c>
      <c r="K229" s="24" t="str">
        <f ca="1">IF(OR(E229="",E229="!!!",F229="NEW"),"",INDEX(J$1:J228,SUMPRODUCT(MAX(ROW(E$1:E228)*(E229=E$1:E228)))))</f>
        <v/>
      </c>
      <c r="L229" s="25"/>
    </row>
    <row r="230" spans="1:12" x14ac:dyDescent="0.3">
      <c r="A230" t="s">
        <v>189</v>
      </c>
      <c r="E230" s="20" t="str">
        <f t="shared" si="20"/>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145</v>
      </c>
      <c r="E231" s="20" t="str">
        <f t="shared" si="20"/>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2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261</v>
      </c>
      <c r="B232" s="26" t="s">
        <v>156</v>
      </c>
      <c r="C232" s="26" t="s">
        <v>123</v>
      </c>
      <c r="D232" s="26" t="s">
        <v>113</v>
      </c>
      <c r="E232" s="20" t="s">
        <v>393</v>
      </c>
      <c r="F232" s="21" t="str">
        <f>IF(OR(E232="",E232="!!!"),"",IF(NOT(ISNA(VLOOKUP(E232,E$1:E231,1,FALSE()))),"OLD",IF(AND(E232&lt;&gt;"",E232&lt;&gt;"!!!"),"NEW","")))</f>
        <v>OLD</v>
      </c>
      <c r="G232" s="22" t="s">
        <v>414</v>
      </c>
      <c r="H232" s="23" t="str">
        <f t="shared" ca="1" si="21"/>
        <v/>
      </c>
      <c r="I232" s="24" t="str">
        <f>IF(OR(E232="",E232="!!!",F232="NEW"),"",INDEX(B$2:B231,-1+SUMPRODUCT(MAX(ROW(E$2:E231)*(E232=E$2:E231)))))</f>
        <v>SBJ</v>
      </c>
      <c r="J232" s="24">
        <f ca="1">IF(OR(E232="",E232="!!!",F232="NEW"),"",COUNTBLANK(OFFSET(A$1,,,SUMPRODUCT(MAX(ROW(E$2:E232)*(E232=E$2:E232)))))-COUNTBLANK(OFFSET(A$1,,,SUMPRODUCT(MAX(ROW(E$1:E231)*(E2=E$1:E231))))))</f>
        <v>0</v>
      </c>
      <c r="K232" s="24" t="str">
        <f ca="1">IF(OR(E232="",E232="!!!",F232="NEW"),"",INDEX(J$1:J231,SUMPRODUCT(MAX(ROW(E$1:E231)*(E232=E$1:E231)))))</f>
        <v/>
      </c>
      <c r="L232" s="25"/>
    </row>
    <row r="233" spans="1:12" x14ac:dyDescent="0.3">
      <c r="A233" t="s">
        <v>262</v>
      </c>
      <c r="E233" s="20" t="str">
        <f t="shared" si="20"/>
        <v/>
      </c>
      <c r="F233" s="21" t="str">
        <f>IF(OR(E233="",E233="!!!"),"",IF(NOT(ISNA(VLOOKUP(E233,E$1:E232,1,FALSE()))),"OLD",IF(AND(E233&lt;&gt;"",E233&lt;&gt;"!!!"),"NEW","")))</f>
        <v/>
      </c>
      <c r="G233" s="22" t="str">
        <f>IF(OR(E233="",E233="!!!"),"",IF(OR(J233=0,AND(J233=1,K233=1),AND(J233=1,I233="SBJ"),AND(J233=1,I233=0)),"?IN_FOCUS",IF(J233&lt;=2,"?ACTIVATED",IF(J233&lt;&gt;"","?FAMILIAR",IF(F233="NEW",IF(ISNA(VLOOKUP(E233,#REF!,1,FALSE())),"?TYPE_IDENTIFIABLE","?REFERENTIAL"),"_")))))</f>
        <v/>
      </c>
      <c r="H233" s="23" t="str">
        <f t="shared" ca="1" si="21"/>
        <v/>
      </c>
      <c r="I233" s="24" t="str">
        <f>IF(OR(E233="",E233="!!!",F233="NEW"),"",INDEX(B$2:B232,-1+SUMPRODUCT(MAX(ROW(E$2:E232)*(E233=E$2:E232)))))</f>
        <v/>
      </c>
      <c r="J233" s="24" t="str">
        <f ca="1">IF(OR(E233="",E233="!!!",F233="NEW"),"",COUNTBLANK(OFFSET(A$1,,,SUMPRODUCT(MAX(ROW(E$2:E233)*(E233=E$2:E233)))))-COUNTBLANK(OFFSET(A$1,,,SUMPRODUCT(MAX(ROW(E$1:E232)*(E2=E$1:E232))))))</f>
        <v/>
      </c>
      <c r="K233" s="24" t="str">
        <f>IF(OR(E233="",E233="!!!",F233="NEW"),"",INDEX(J$1:J232,SUMPRODUCT(MAX(ROW(E$1:E232)*(E233=E$1:E232)))))</f>
        <v/>
      </c>
      <c r="L233" s="25"/>
    </row>
    <row r="234" spans="1:12" x14ac:dyDescent="0.3">
      <c r="A234" t="s">
        <v>263</v>
      </c>
      <c r="E234" s="20" t="str">
        <f t="shared" si="20"/>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2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264</v>
      </c>
      <c r="B235" s="26" t="s">
        <v>111</v>
      </c>
      <c r="C235" s="26" t="s">
        <v>218</v>
      </c>
      <c r="E235" s="20" t="str">
        <f t="shared" si="20"/>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151</v>
      </c>
      <c r="E236" s="20" t="str">
        <f t="shared" si="20"/>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21"/>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7" spans="1:12" x14ac:dyDescent="0.3">
      <c r="A237" t="s">
        <v>153</v>
      </c>
      <c r="E237" s="20" t="str">
        <f t="shared" si="20"/>
        <v/>
      </c>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ca="1" si="21"/>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265</v>
      </c>
      <c r="E238" s="20" t="str">
        <f t="shared" si="20"/>
        <v/>
      </c>
      <c r="F238" s="21" t="str">
        <f>IF(OR(E238="",E238="!!!"),"",IF(NOT(ISNA(VLOOKUP(E238,E$1:E237,1,FALSE()))),"OLD",IF(AND(E238&lt;&gt;"",E238&lt;&gt;"!!!"),"NEW","")))</f>
        <v/>
      </c>
      <c r="G238" s="22" t="str">
        <f>IF(OR(E238="",E238="!!!"),"",IF(OR(J238=0,AND(J238=1,K238=1),AND(J238=1,I238="SBJ"),AND(J238=1,I238=0)),"?IN_FOCUS",IF(J238&lt;=2,"?ACTIVATED",IF(J238&lt;&gt;"","?FAMILIAR",IF(F238="NEW",IF(ISNA(VLOOKUP(E238,#REF!,1,FALSE())),"?TYPE_IDENTIFIABLE","?REFERENTIAL"),"_")))))</f>
        <v/>
      </c>
      <c r="H238" s="23" t="str">
        <f t="shared" ca="1" si="21"/>
        <v/>
      </c>
      <c r="I238" s="24" t="str">
        <f>IF(OR(E238="",E238="!!!",F238="NEW"),"",INDEX(B$2:B237,-1+SUMPRODUCT(MAX(ROW(E$2:E237)*(E238=E$2:E237)))))</f>
        <v/>
      </c>
      <c r="J238" s="24" t="str">
        <f ca="1">IF(OR(E238="",E238="!!!",F238="NEW"),"",COUNTBLANK(OFFSET(A$1,,,SUMPRODUCT(MAX(ROW(E$2:E238)*(E238=E$2:E238)))))-COUNTBLANK(OFFSET(A$1,,,SUMPRODUCT(MAX(ROW(E$1:E237)*(E2=E$1:E237))))))</f>
        <v/>
      </c>
      <c r="K238" s="24" t="str">
        <f>IF(OR(E238="",E238="!!!",F238="NEW"),"",INDEX(J$1:J237,SUMPRODUCT(MAX(ROW(E$1:E237)*(E238=E$1:E237)))))</f>
        <v/>
      </c>
      <c r="L238" s="25"/>
    </row>
    <row r="239" spans="1:12" x14ac:dyDescent="0.3">
      <c r="A239" t="s">
        <v>266</v>
      </c>
      <c r="E239" s="20" t="str">
        <f t="shared" si="20"/>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ca="1" si="21"/>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267</v>
      </c>
      <c r="B240" s="26" t="s">
        <v>193</v>
      </c>
      <c r="C240" s="26" t="s">
        <v>123</v>
      </c>
      <c r="D240" s="26" t="s">
        <v>113</v>
      </c>
      <c r="E240" s="20" t="s">
        <v>413</v>
      </c>
      <c r="F240" s="21" t="s">
        <v>408</v>
      </c>
      <c r="G240" s="22" t="s">
        <v>415</v>
      </c>
      <c r="H240" s="23" t="str">
        <f t="shared" ca="1" si="21"/>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249</v>
      </c>
      <c r="E241" s="20" t="str">
        <f t="shared" si="20"/>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1"/>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153</v>
      </c>
      <c r="E242" s="20" t="str">
        <f t="shared" si="20"/>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21"/>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268</v>
      </c>
      <c r="B243" s="26" t="s">
        <v>156</v>
      </c>
      <c r="C243" s="26" t="s">
        <v>123</v>
      </c>
      <c r="D243" s="26" t="s">
        <v>113</v>
      </c>
      <c r="E243" s="20" t="s">
        <v>402</v>
      </c>
      <c r="F243" s="21" t="str">
        <f>IF(OR(E243="",E243="!!!"),"",IF(NOT(ISNA(VLOOKUP(E243,E$1:E242,1,FALSE()))),"OLD",IF(AND(E243&lt;&gt;"",E243&lt;&gt;"!!!"),"NEW","")))</f>
        <v>NEW</v>
      </c>
      <c r="G243" s="22" t="s">
        <v>415</v>
      </c>
      <c r="H243" s="23" t="str">
        <f t="shared" ca="1" si="21"/>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269</v>
      </c>
      <c r="E244" s="20" t="str">
        <f t="shared" si="20"/>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1"/>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126</v>
      </c>
      <c r="E245" s="20" t="str">
        <f t="shared" si="20"/>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21"/>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7" spans="1:12" x14ac:dyDescent="0.3">
      <c r="A247" t="s">
        <v>270</v>
      </c>
    </row>
    <row r="248" spans="1:12" x14ac:dyDescent="0.3">
      <c r="A248" t="s">
        <v>271</v>
      </c>
      <c r="E248" s="20" t="str">
        <f t="shared" ref="E248:E294" si="22">IF(D248="?OLD","!!!","")</f>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ref="H248:H294" ca="1" si="23">IF(J248&lt;&gt;1,"",IF(I248="SBJ","CB","?"))</f>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237</v>
      </c>
      <c r="E249" s="20" t="str">
        <f t="shared" si="22"/>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23"/>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272</v>
      </c>
      <c r="E250" s="20" t="str">
        <f t="shared" si="22"/>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23"/>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273</v>
      </c>
      <c r="E251" s="20" t="str">
        <f t="shared" si="22"/>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23"/>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274</v>
      </c>
      <c r="B252" s="26" t="s">
        <v>148</v>
      </c>
      <c r="C252" s="26" t="s">
        <v>165</v>
      </c>
      <c r="E252" s="20" t="str">
        <f t="shared" si="22"/>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23"/>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166</v>
      </c>
      <c r="E253" s="20" t="str">
        <f t="shared" si="22"/>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23"/>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275</v>
      </c>
      <c r="E254" s="20" t="str">
        <f t="shared" si="22"/>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23"/>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3">
      <c r="A255" t="s">
        <v>276</v>
      </c>
      <c r="B255" s="26" t="s">
        <v>156</v>
      </c>
      <c r="C255" s="26" t="s">
        <v>123</v>
      </c>
      <c r="D255" s="26" t="s">
        <v>113</v>
      </c>
      <c r="E255" s="20" t="s">
        <v>403</v>
      </c>
      <c r="F255" s="21" t="str">
        <f>IF(OR(E255="",E255="!!!"),"",IF(NOT(ISNA(VLOOKUP(E255,E$1:E254,1,FALSE()))),"OLD",IF(AND(E255&lt;&gt;"",E255&lt;&gt;"!!!"),"NEW","")))</f>
        <v>NEW</v>
      </c>
      <c r="G255" s="22" t="s">
        <v>415</v>
      </c>
      <c r="H255" s="23" t="str">
        <f t="shared" ca="1" si="23"/>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t="s">
        <v>420</v>
      </c>
    </row>
    <row r="256" spans="1:12" x14ac:dyDescent="0.3">
      <c r="A256" t="s">
        <v>277</v>
      </c>
      <c r="E256" s="20" t="str">
        <f t="shared" si="22"/>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23"/>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278</v>
      </c>
      <c r="E257" s="20" t="str">
        <f t="shared" si="22"/>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23"/>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279</v>
      </c>
      <c r="B258" s="26" t="s">
        <v>111</v>
      </c>
      <c r="C258" s="26" t="s">
        <v>130</v>
      </c>
      <c r="E258" s="20" t="str">
        <f t="shared" si="22"/>
        <v/>
      </c>
      <c r="F258" s="21"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23"/>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5"/>
    </row>
    <row r="259" spans="1:12" x14ac:dyDescent="0.3">
      <c r="A259" t="s">
        <v>189</v>
      </c>
      <c r="E259" s="20" t="str">
        <f t="shared" si="22"/>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23"/>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0" spans="1:12" x14ac:dyDescent="0.3">
      <c r="A260" t="s">
        <v>166</v>
      </c>
      <c r="E260" s="20" t="str">
        <f t="shared" si="22"/>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23"/>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280</v>
      </c>
      <c r="E261" s="20" t="str">
        <f t="shared" si="22"/>
        <v/>
      </c>
      <c r="F261" s="21"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2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281</v>
      </c>
      <c r="B262" s="26" t="s">
        <v>117</v>
      </c>
      <c r="C262" s="26" t="s">
        <v>123</v>
      </c>
      <c r="D262" s="26" t="s">
        <v>113</v>
      </c>
      <c r="E262" s="20" t="s">
        <v>405</v>
      </c>
      <c r="F262" s="21" t="str">
        <f>IF(OR(E262="",E262="!!!"),"",IF(NOT(ISNA(VLOOKUP(E262,E$1:E261,1,FALSE()))),"OLD",IF(AND(E262&lt;&gt;"",E262&lt;&gt;"!!!"),"NEW","")))</f>
        <v>NEW</v>
      </c>
      <c r="G262" s="22" t="s">
        <v>415</v>
      </c>
      <c r="H262" s="23" t="str">
        <f t="shared" ca="1" si="2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3" spans="1:12" x14ac:dyDescent="0.3">
      <c r="A263" t="s">
        <v>143</v>
      </c>
      <c r="E263" s="20" t="str">
        <f t="shared" si="22"/>
        <v/>
      </c>
      <c r="F263" s="21" t="str">
        <f>IF(OR(E263="",E263="!!!"),"",IF(NOT(ISNA(VLOOKUP(E263,E$1:E262,1,FALSE()))),"OLD",IF(AND(E263&lt;&gt;"",E263&lt;&gt;"!!!"),"NEW","")))</f>
        <v/>
      </c>
      <c r="G263" s="22" t="str">
        <f>IF(OR(E263="",E263="!!!"),"",IF(OR(J263=0,AND(J263=1,K263=1),AND(J263=1,I263="SBJ"),AND(J263=1,I263=0)),"?IN_FOCUS",IF(J263&lt;=2,"?ACTIVATED",IF(J263&lt;&gt;"","?FAMILIAR",IF(F263="NEW",IF(ISNA(VLOOKUP(E263,#REF!,1,FALSE())),"?TYPE_IDENTIFIABLE","?REFERENTIAL"),"_")))))</f>
        <v/>
      </c>
      <c r="H263" s="23" t="str">
        <f t="shared" ca="1" si="23"/>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3">
      <c r="A264" t="s">
        <v>282</v>
      </c>
      <c r="B264" s="26" t="s">
        <v>156</v>
      </c>
      <c r="C264" s="26" t="s">
        <v>123</v>
      </c>
      <c r="D264" s="26" t="s">
        <v>113</v>
      </c>
      <c r="E264" s="20" t="s">
        <v>403</v>
      </c>
      <c r="F264" s="21" t="str">
        <f>IF(OR(E264="",E264="!!!"),"",IF(NOT(ISNA(VLOOKUP(E264,E$1:E263,1,FALSE()))),"OLD",IF(AND(E264&lt;&gt;"",E264&lt;&gt;"!!!"),"NEW","")))</f>
        <v>OLD</v>
      </c>
      <c r="G264" s="22" t="s">
        <v>417</v>
      </c>
      <c r="H264" s="23" t="str">
        <f t="shared" ca="1" si="23"/>
        <v/>
      </c>
      <c r="I264" s="24" t="str">
        <f>IF(OR(E264="",E264="!!!",F264="NEW"),"",INDEX(B$2:B263,-1+SUMPRODUCT(MAX(ROW(E$2:E263)*(E264=E$2:E263)))))</f>
        <v>other_3</v>
      </c>
      <c r="J264" s="24">
        <f ca="1">IF(OR(E264="",E264="!!!",F264="NEW"),"",COUNTBLANK(OFFSET(A$1,,,SUMPRODUCT(MAX(ROW(E$2:E264)*(E264=E$2:E264)))))-COUNTBLANK(OFFSET(A$1,,,SUMPRODUCT(MAX(ROW(E$1:E263)*(E2=E$1:E263))))))</f>
        <v>0</v>
      </c>
      <c r="K264" s="24" t="str">
        <f ca="1">IF(OR(E264="",E264="!!!",F264="NEW"),"",INDEX(J$1:J263,SUMPRODUCT(MAX(ROW(E$1:E263)*(E264=E$1:E263)))))</f>
        <v/>
      </c>
      <c r="L264" s="25"/>
    </row>
    <row r="265" spans="1:12" x14ac:dyDescent="0.3">
      <c r="A265" t="s">
        <v>283</v>
      </c>
      <c r="E265" s="20" t="s">
        <v>404</v>
      </c>
      <c r="F265" s="21" t="s">
        <v>381</v>
      </c>
      <c r="G265" s="22"/>
      <c r="H265" s="23" t="str">
        <f t="shared" ca="1" si="23"/>
        <v/>
      </c>
      <c r="I265" s="24" t="e">
        <f>IF(OR(E265="",E265="!!!",F265="NEW"),"",INDEX(B$2:B264,-1+SUMPRODUCT(MAX(ROW(E$2:E264)*(E265=E$2:E264)))))</f>
        <v>#VALUE!</v>
      </c>
      <c r="J265" s="24">
        <f ca="1">IF(OR(E265="",E265="!!!",F265="NEW"),"",COUNTBLANK(OFFSET(A$1,,,SUMPRODUCT(MAX(ROW(E$2:E265)*(E265=E$2:E265)))))-COUNTBLANK(OFFSET(A$1,,,SUMPRODUCT(MAX(ROW(E$1:E264)*(E2=E$1:E264))))))</f>
        <v>0</v>
      </c>
      <c r="K265" s="24" t="e">
        <f>IF(OR(E265="",E265="!!!",F265="NEW"),"",INDEX(J$1:J264,SUMPRODUCT(MAX(ROW(E$1:E264)*(E265=E$1:E264)))))</f>
        <v>#VALUE!</v>
      </c>
      <c r="L265" s="25" t="s">
        <v>377</v>
      </c>
    </row>
    <row r="266" spans="1:12" x14ac:dyDescent="0.3">
      <c r="A266" t="s">
        <v>214</v>
      </c>
      <c r="E266" s="20" t="str">
        <f t="shared" si="22"/>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2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284</v>
      </c>
      <c r="E267" s="20" t="str">
        <f t="shared" si="22"/>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2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285</v>
      </c>
      <c r="B268" s="26" t="s">
        <v>111</v>
      </c>
      <c r="C268" s="26" t="s">
        <v>112</v>
      </c>
      <c r="D268" s="26" t="s">
        <v>113</v>
      </c>
      <c r="E268" s="20" t="s">
        <v>394</v>
      </c>
      <c r="F268" s="21" t="str">
        <f>IF(OR(E268="",E268="!!!"),"",IF(NOT(ISNA(VLOOKUP(E268,E$1:E267,1,FALSE()))),"OLD",IF(AND(E268&lt;&gt;"",E268&lt;&gt;"!!!"),"NEW","")))</f>
        <v>NEW</v>
      </c>
      <c r="G268" s="22" t="s">
        <v>414</v>
      </c>
      <c r="H268" s="23" t="str">
        <f t="shared" ca="1" si="23"/>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69" spans="1:12" x14ac:dyDescent="0.3">
      <c r="A269" t="s">
        <v>215</v>
      </c>
      <c r="E269" s="20" t="str">
        <f t="shared" si="22"/>
        <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2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0" spans="1:12" x14ac:dyDescent="0.3">
      <c r="A270" t="s">
        <v>286</v>
      </c>
      <c r="B270" s="26" t="s">
        <v>217</v>
      </c>
      <c r="C270" s="26" t="s">
        <v>218</v>
      </c>
      <c r="E270" s="20" t="str">
        <f t="shared" si="22"/>
        <v/>
      </c>
      <c r="F270" s="21"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2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5"/>
    </row>
    <row r="271" spans="1:12" x14ac:dyDescent="0.3">
      <c r="A271" t="s">
        <v>249</v>
      </c>
      <c r="E271" s="20" t="str">
        <f t="shared" si="22"/>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2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140</v>
      </c>
      <c r="E272" s="20" t="str">
        <f t="shared" si="22"/>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2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287</v>
      </c>
      <c r="B273" s="26" t="s">
        <v>117</v>
      </c>
      <c r="C273" s="26" t="s">
        <v>123</v>
      </c>
      <c r="D273" s="26" t="s">
        <v>113</v>
      </c>
      <c r="E273" s="20" t="s">
        <v>403</v>
      </c>
      <c r="F273" s="21" t="str">
        <f>IF(OR(E273="",E273="!!!"),"",IF(NOT(ISNA(VLOOKUP(E273,E$1:E272,1,FALSE()))),"OLD",IF(AND(E273&lt;&gt;"",E273&lt;&gt;"!!!"),"NEW","")))</f>
        <v>OLD</v>
      </c>
      <c r="G273" s="22" t="s">
        <v>417</v>
      </c>
      <c r="H273" s="23" t="str">
        <f t="shared" ca="1" si="23"/>
        <v/>
      </c>
      <c r="I273" s="24" t="str">
        <f>IF(OR(E273="",E273="!!!",F273="NEW"),"",INDEX(B$2:B272,-1+SUMPRODUCT(MAX(ROW(E$2:E272)*(E273=E$2:E272)))))</f>
        <v>other_3</v>
      </c>
      <c r="J273" s="24">
        <f ca="1">IF(OR(E273="",E273="!!!",F273="NEW"),"",COUNTBLANK(OFFSET(A$1,,,SUMPRODUCT(MAX(ROW(E$2:E273)*(E273=E$2:E273)))))-COUNTBLANK(OFFSET(A$1,,,SUMPRODUCT(MAX(ROW(E$1:E272)*(E2=E$1:E272))))))</f>
        <v>0</v>
      </c>
      <c r="K273" s="24">
        <f ca="1">IF(OR(E273="",E273="!!!",F273="NEW"),"",INDEX(J$1:J272,SUMPRODUCT(MAX(ROW(E$1:E272)*(E273=E$1:E272)))))</f>
        <v>0</v>
      </c>
      <c r="L273" s="25"/>
    </row>
    <row r="274" spans="1:12" x14ac:dyDescent="0.3">
      <c r="A274" t="s">
        <v>151</v>
      </c>
      <c r="E274" s="20" t="str">
        <f t="shared" si="22"/>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2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147</v>
      </c>
      <c r="B275" s="26" t="s">
        <v>148</v>
      </c>
      <c r="C275" s="26" t="s">
        <v>149</v>
      </c>
      <c r="D275" s="26" t="s">
        <v>113</v>
      </c>
      <c r="E275" s="20" t="s">
        <v>404</v>
      </c>
      <c r="F275" s="21" t="str">
        <f>IF(OR(E275="",E275="!!!"),"",IF(NOT(ISNA(VLOOKUP(E275,E$1:E274,1,FALSE()))),"OLD",IF(AND(E275&lt;&gt;"",E275&lt;&gt;"!!!"),"NEW","")))</f>
        <v>OLD</v>
      </c>
      <c r="G275" s="22" t="s">
        <v>415</v>
      </c>
      <c r="H275" s="23" t="str">
        <f t="shared" ca="1" si="23"/>
        <v/>
      </c>
      <c r="I275" s="24">
        <f>IF(OR(E275="",E275="!!!",F275="NEW"),"",INDEX(B$2:B274,-1+SUMPRODUCT(MAX(ROW(E$2:E274)*(E275=E$2:E274)))))</f>
        <v>0</v>
      </c>
      <c r="J275" s="24">
        <f ca="1">IF(OR(E275="",E275="!!!",F275="NEW"),"",COUNTBLANK(OFFSET(A$1,,,SUMPRODUCT(MAX(ROW(E$2:E275)*(E275=E$2:E275)))))-COUNTBLANK(OFFSET(A$1,,,SUMPRODUCT(MAX(ROW(E$1:E274)*(E2=E$1:E274))))))</f>
        <v>0</v>
      </c>
      <c r="K275" s="24">
        <f ca="1">IF(OR(E275="",E275="!!!",F275="NEW"),"",INDEX(J$1:J274,SUMPRODUCT(MAX(ROW(E$1:E274)*(E275=E$1:E274)))))</f>
        <v>0</v>
      </c>
      <c r="L275" s="25"/>
    </row>
    <row r="276" spans="1:12" x14ac:dyDescent="0.3">
      <c r="A276" t="s">
        <v>150</v>
      </c>
      <c r="E276" s="20" t="str">
        <f t="shared" si="22"/>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23"/>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151</v>
      </c>
      <c r="E277" s="20" t="str">
        <f t="shared" si="22"/>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2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152</v>
      </c>
      <c r="E278" s="20" t="str">
        <f t="shared" si="22"/>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2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140</v>
      </c>
      <c r="E279" s="20" t="str">
        <f t="shared" si="22"/>
        <v/>
      </c>
      <c r="F279" s="21"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2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5"/>
    </row>
    <row r="280" spans="1:12" x14ac:dyDescent="0.3">
      <c r="A280" t="s">
        <v>288</v>
      </c>
      <c r="E280" s="20" t="str">
        <f t="shared" si="22"/>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2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287</v>
      </c>
      <c r="B281" s="26" t="s">
        <v>148</v>
      </c>
      <c r="C281" s="26" t="s">
        <v>123</v>
      </c>
      <c r="D281" s="26" t="s">
        <v>113</v>
      </c>
      <c r="E281" s="20" t="s">
        <v>403</v>
      </c>
      <c r="F281" s="21" t="str">
        <f>IF(OR(E281="",E281="!!!"),"",IF(NOT(ISNA(VLOOKUP(E281,E$1:E280,1,FALSE()))),"OLD",IF(AND(E281&lt;&gt;"",E281&lt;&gt;"!!!"),"NEW","")))</f>
        <v>OLD</v>
      </c>
      <c r="G281" s="22" t="s">
        <v>417</v>
      </c>
      <c r="H281" s="23" t="str">
        <f t="shared" ca="1" si="23"/>
        <v/>
      </c>
      <c r="I281" s="24" t="str">
        <f>IF(OR(E281="",E281="!!!",F281="NEW"),"",INDEX(B$2:B280,-1+SUMPRODUCT(MAX(ROW(E$2:E280)*(E281=E$2:E280)))))</f>
        <v>other_2</v>
      </c>
      <c r="J281" s="24">
        <f ca="1">IF(OR(E281="",E281="!!!",F281="NEW"),"",COUNTBLANK(OFFSET(A$1,,,SUMPRODUCT(MAX(ROW(E$2:E281)*(E281=E$2:E281)))))-COUNTBLANK(OFFSET(A$1,,,SUMPRODUCT(MAX(ROW(E$1:E280)*(E2=E$1:E280))))))</f>
        <v>0</v>
      </c>
      <c r="K281" s="24">
        <f ca="1">IF(OR(E281="",E281="!!!",F281="NEW"),"",INDEX(J$1:J280,SUMPRODUCT(MAX(ROW(E$1:E280)*(E281=E$1:E280)))))</f>
        <v>0</v>
      </c>
      <c r="L281" s="25"/>
    </row>
    <row r="282" spans="1:12" x14ac:dyDescent="0.3">
      <c r="A282" t="s">
        <v>289</v>
      </c>
      <c r="E282" s="20" t="str">
        <f t="shared" si="22"/>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23"/>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3">
      <c r="A283" t="s">
        <v>157</v>
      </c>
      <c r="E283" s="20" t="str">
        <f t="shared" si="22"/>
        <v/>
      </c>
      <c r="F283" s="21"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t="shared" ca="1" si="23"/>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row>
    <row r="284" spans="1:12" x14ac:dyDescent="0.3">
      <c r="A284" t="s">
        <v>151</v>
      </c>
      <c r="E284" s="20" t="str">
        <f t="shared" si="22"/>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23"/>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224</v>
      </c>
      <c r="E285" s="20" t="str">
        <f t="shared" si="22"/>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23"/>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166</v>
      </c>
      <c r="E286" s="20" t="str">
        <f t="shared" si="22"/>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23"/>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13</v>
      </c>
      <c r="B287" s="26" t="s">
        <v>156</v>
      </c>
      <c r="C287" s="26" t="s">
        <v>123</v>
      </c>
      <c r="D287" s="26" t="s">
        <v>113</v>
      </c>
      <c r="E287" s="20" t="s">
        <v>378</v>
      </c>
      <c r="F287" s="21"/>
      <c r="G287" s="22" t="s">
        <v>417</v>
      </c>
      <c r="H287" s="23" t="s">
        <v>103</v>
      </c>
      <c r="I287" s="24" t="str">
        <f>IF(OR(E287="",E287="!!!",F287="NEW"),"",INDEX(B$2:B286,-1+SUMPRODUCT(MAX(ROW(E$2:E286)*(E287=E$2:E286)))))</f>
        <v>other_3</v>
      </c>
      <c r="J287" s="24">
        <f ca="1">IF(OR(E287="",E287="!!!",F287="NEW"),"",COUNTBLANK(OFFSET(A$1,,,SUMPRODUCT(MAX(ROW(E$2:E287)*(E287=E$2:E287)))))-COUNTBLANK(OFFSET(A$1,,,SUMPRODUCT(MAX(ROW(E$1:E286)*(E2=E$1:E286))))))</f>
        <v>0</v>
      </c>
      <c r="K287" s="24">
        <f ca="1">IF(OR(E287="",E287="!!!",F287="NEW"),"",INDEX(J$1:J286,SUMPRODUCT(MAX(ROW(E$1:E286)*(E287=E$1:E286)))))</f>
        <v>0</v>
      </c>
      <c r="L287" s="25"/>
    </row>
    <row r="288" spans="1:12" x14ac:dyDescent="0.3">
      <c r="A288" t="s">
        <v>277</v>
      </c>
      <c r="E288" s="20" t="str">
        <f t="shared" si="22"/>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23"/>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290</v>
      </c>
      <c r="E289" s="20" t="str">
        <f t="shared" si="22"/>
        <v/>
      </c>
      <c r="F289" s="21"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23"/>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5"/>
    </row>
    <row r="290" spans="1:12" x14ac:dyDescent="0.3">
      <c r="A290" t="s">
        <v>279</v>
      </c>
      <c r="B290" s="26" t="s">
        <v>117</v>
      </c>
      <c r="C290" s="26" t="s">
        <v>130</v>
      </c>
      <c r="E290" s="20" t="str">
        <f t="shared" si="22"/>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23"/>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1" spans="1:12" x14ac:dyDescent="0.3">
      <c r="A291" t="s">
        <v>291</v>
      </c>
      <c r="E291" s="20" t="str">
        <f t="shared" si="22"/>
        <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23"/>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292</v>
      </c>
      <c r="E292" s="20" t="str">
        <f t="shared" si="22"/>
        <v/>
      </c>
      <c r="F292" s="21"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23"/>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136</v>
      </c>
      <c r="E293" s="20" t="str">
        <f t="shared" si="22"/>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3"/>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126</v>
      </c>
      <c r="E294" s="20" t="str">
        <f t="shared" si="22"/>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23"/>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6" spans="1:12" x14ac:dyDescent="0.3">
      <c r="A296" t="s">
        <v>158</v>
      </c>
      <c r="E296" s="20" t="str">
        <f>IF(D296="?OLD","!!!","")</f>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ca="1">IF(J296&lt;&gt;1,"",IF(I296="SBJ","CB","?"))</f>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3">
      <c r="A297" t="s">
        <v>293</v>
      </c>
    </row>
    <row r="298" spans="1:12" x14ac:dyDescent="0.3">
      <c r="A298" t="s">
        <v>294</v>
      </c>
      <c r="B298" s="26" t="s">
        <v>122</v>
      </c>
      <c r="C298" s="26" t="s">
        <v>112</v>
      </c>
      <c r="D298" s="26" t="s">
        <v>113</v>
      </c>
      <c r="E298" s="20" t="s">
        <v>395</v>
      </c>
      <c r="F298" s="21" t="str">
        <f>IF(OR(E298="",E298="!!!"),"",IF(NOT(ISNA(VLOOKUP(E298,E$1:E297,1,FALSE()))),"OLD",IF(AND(E298&lt;&gt;"",E298&lt;&gt;"!!!"),"NEW","")))</f>
        <v>NEW</v>
      </c>
      <c r="G298" s="22" t="s">
        <v>415</v>
      </c>
      <c r="H298" s="23" t="str">
        <f t="shared" ref="H298:H321" ca="1" si="24">IF(J298&lt;&gt;1,"",IF(I298="SBJ","CB","?"))</f>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3">
      <c r="A299" t="s">
        <v>295</v>
      </c>
      <c r="E299" s="20" t="str">
        <f t="shared" ref="E298:E321" si="25">IF(D299="?OLD","!!!","")</f>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24"/>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3">
      <c r="A300" t="s">
        <v>151</v>
      </c>
      <c r="E300" s="20" t="str">
        <f t="shared" si="25"/>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4"/>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296</v>
      </c>
      <c r="E301" s="20" t="str">
        <f t="shared" si="25"/>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24"/>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162</v>
      </c>
      <c r="E302" s="20" t="str">
        <f t="shared" si="25"/>
        <v/>
      </c>
      <c r="F302" s="21"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24"/>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297</v>
      </c>
      <c r="B303" s="26" t="s">
        <v>156</v>
      </c>
      <c r="C303" s="26" t="s">
        <v>112</v>
      </c>
      <c r="D303" s="26" t="s">
        <v>113</v>
      </c>
      <c r="E303" s="20" t="s">
        <v>396</v>
      </c>
      <c r="F303" s="21" t="str">
        <f>IF(OR(E303="",E303="!!!"),"",IF(NOT(ISNA(VLOOKUP(E303,E$1:E302,1,FALSE()))),"OLD",IF(AND(E303&lt;&gt;"",E303&lt;&gt;"!!!"),"NEW","")))</f>
        <v>NEW</v>
      </c>
      <c r="G303" s="22" t="s">
        <v>415</v>
      </c>
      <c r="H303" s="23" t="str">
        <f t="shared" ca="1" si="24"/>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109</v>
      </c>
      <c r="E304" s="20" t="str">
        <f t="shared" si="25"/>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4"/>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298</v>
      </c>
      <c r="E305" s="20" t="str">
        <f t="shared" si="25"/>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24"/>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299</v>
      </c>
      <c r="E306" s="20" t="str">
        <f t="shared" si="25"/>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24"/>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227</v>
      </c>
      <c r="E307" s="20" t="str">
        <f t="shared" si="25"/>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24"/>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110</v>
      </c>
      <c r="E308" s="20" t="str">
        <f t="shared" si="25"/>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24"/>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167</v>
      </c>
      <c r="E309" s="20" t="str">
        <f t="shared" si="25"/>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4"/>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x14ac:dyDescent="0.3">
      <c r="A310" t="s">
        <v>184</v>
      </c>
      <c r="E310" s="20" t="str">
        <f t="shared" si="25"/>
        <v/>
      </c>
      <c r="F310" s="21" t="str">
        <f>IF(OR(E310="",E310="!!!"),"",IF(NOT(ISNA(VLOOKUP(E310,E$1:E309,1,FALSE()))),"OLD",IF(AND(E310&lt;&gt;"",E310&lt;&gt;"!!!"),"NEW","")))</f>
        <v/>
      </c>
      <c r="G310" s="22" t="str">
        <f>IF(OR(E310="",E310="!!!"),"",IF(OR(J310=0,AND(J310=1,K310=1),AND(J310=1,I310="SBJ"),AND(J310=1,I310=0)),"?IN_FOCUS",IF(J310&lt;=2,"?ACTIVATED",IF(J310&lt;&gt;"","?FAMILIAR",IF(F310="NEW",IF(ISNA(VLOOKUP(E310,#REF!,1,FALSE())),"?TYPE_IDENTIFIABLE","?REFERENTIAL"),"_")))))</f>
        <v/>
      </c>
      <c r="H310" s="23" t="str">
        <f t="shared" ca="1" si="24"/>
        <v/>
      </c>
      <c r="I310" s="24" t="str">
        <f>IF(OR(E310="",E310="!!!",F310="NEW"),"",INDEX(B$2:B309,-1+SUMPRODUCT(MAX(ROW(E$2:E309)*(E310=E$2:E309)))))</f>
        <v/>
      </c>
      <c r="J310" s="24" t="str">
        <f ca="1">IF(OR(E310="",E310="!!!",F310="NEW"),"",COUNTBLANK(OFFSET(A$1,,,SUMPRODUCT(MAX(ROW(E$2:E310)*(E310=E$2:E310)))))-COUNTBLANK(OFFSET(A$1,,,SUMPRODUCT(MAX(ROW(E$1:E309)*(E2=E$1:E309))))))</f>
        <v/>
      </c>
      <c r="K310" s="24" t="str">
        <f>IF(OR(E310="",E310="!!!",F310="NEW"),"",INDEX(J$1:J309,SUMPRODUCT(MAX(ROW(E$1:E309)*(E310=E$1:E309)))))</f>
        <v/>
      </c>
      <c r="L310" s="25"/>
    </row>
    <row r="311" spans="1:12" x14ac:dyDescent="0.3">
      <c r="A311" t="s">
        <v>161</v>
      </c>
      <c r="E311" s="20" t="str">
        <f t="shared" si="25"/>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24"/>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300</v>
      </c>
      <c r="B312" s="26" t="s">
        <v>148</v>
      </c>
      <c r="C312" s="26" t="s">
        <v>123</v>
      </c>
      <c r="D312" s="26" t="s">
        <v>113</v>
      </c>
      <c r="E312" s="20"/>
      <c r="F312" s="21" t="s">
        <v>384</v>
      </c>
      <c r="G312" s="22" t="str">
        <f>IF(OR(E312="",E312="!!!"),"",IF(OR(J312=0,AND(J312=1,K312=1),AND(J312=1,I312="SBJ"),AND(J312=1,I312=0)),"?IN_FOCUS",IF(J312&lt;=2,"?ACTIVATED",IF(J312&lt;&gt;"","?FAMILIAR",IF(F312="NEW",IF(ISNA(VLOOKUP(E312,#REF!,1,FALSE())),"?TYPE_IDENTIFIABLE","?REFERENTIAL"),"_")))))</f>
        <v/>
      </c>
      <c r="H312" s="23" t="str">
        <f t="shared" ca="1" si="24"/>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3" spans="1:12" x14ac:dyDescent="0.3">
      <c r="A313" t="s">
        <v>301</v>
      </c>
      <c r="E313" s="20" t="str">
        <f t="shared" si="25"/>
        <v/>
      </c>
      <c r="F313" s="21"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24"/>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5"/>
    </row>
    <row r="314" spans="1:12" x14ac:dyDescent="0.3">
      <c r="A314" t="s">
        <v>233</v>
      </c>
      <c r="E314" s="20" t="str">
        <f t="shared" si="25"/>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24"/>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302</v>
      </c>
      <c r="B315" s="26" t="s">
        <v>156</v>
      </c>
      <c r="C315" s="26" t="s">
        <v>176</v>
      </c>
      <c r="E315" s="20" t="str">
        <f t="shared" si="25"/>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24"/>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303</v>
      </c>
      <c r="B316" s="26" t="s">
        <v>117</v>
      </c>
      <c r="C316" s="26" t="s">
        <v>118</v>
      </c>
      <c r="E316" s="20" t="str">
        <f t="shared" si="25"/>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24"/>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215</v>
      </c>
      <c r="E317" s="20" t="str">
        <f t="shared" si="25"/>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24"/>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304</v>
      </c>
      <c r="E318" s="20" t="str">
        <f t="shared" si="25"/>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24"/>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305</v>
      </c>
      <c r="B319" s="26" t="s">
        <v>193</v>
      </c>
      <c r="C319" s="26" t="s">
        <v>218</v>
      </c>
      <c r="E319" s="20" t="str">
        <f t="shared" si="25"/>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24"/>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306</v>
      </c>
      <c r="E320" s="20" t="str">
        <f t="shared" si="25"/>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24"/>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126</v>
      </c>
      <c r="E321" s="20" t="str">
        <f t="shared" si="25"/>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24"/>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3" spans="1:12" x14ac:dyDescent="0.3">
      <c r="A323" t="s">
        <v>307</v>
      </c>
    </row>
    <row r="324" spans="1:12" x14ac:dyDescent="0.3">
      <c r="A324" t="s">
        <v>308</v>
      </c>
      <c r="E324" s="20" t="str">
        <f t="shared" ref="E324:E337" si="26">IF(D324="?OLD","!!!","")</f>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ref="H324:H337" ca="1" si="27">IF(J324&lt;&gt;1,"",IF(I324="SBJ","CB","?"))</f>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245</v>
      </c>
      <c r="B325" s="26" t="s">
        <v>117</v>
      </c>
      <c r="C325" s="26" t="s">
        <v>228</v>
      </c>
      <c r="D325" s="26" t="s">
        <v>113</v>
      </c>
      <c r="E325" s="20"/>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27"/>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t="s">
        <v>397</v>
      </c>
    </row>
    <row r="326" spans="1:12" x14ac:dyDescent="0.3">
      <c r="A326" t="s">
        <v>309</v>
      </c>
      <c r="E326" s="20" t="str">
        <f t="shared" si="26"/>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27"/>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129</v>
      </c>
      <c r="B327" s="26" t="s">
        <v>111</v>
      </c>
      <c r="C327" s="26" t="s">
        <v>246</v>
      </c>
      <c r="D327" s="26" t="s">
        <v>113</v>
      </c>
      <c r="E327" s="20" t="s">
        <v>383</v>
      </c>
      <c r="F327" s="21" t="str">
        <f>IF(OR(E327="",E327="!!!"),"",IF(NOT(ISNA(VLOOKUP(E327,E$1:E326,1,FALSE()))),"OLD",IF(AND(E327&lt;&gt;"",E327&lt;&gt;"!!!"),"NEW","")))</f>
        <v>OLD</v>
      </c>
      <c r="G327" s="22" t="s">
        <v>414</v>
      </c>
      <c r="H327" s="23" t="str">
        <f t="shared" ca="1" si="27"/>
        <v/>
      </c>
      <c r="I327" s="24" t="str">
        <f>IF(OR(E327="",E327="!!!",F327="NEW"),"",INDEX(B$2:B326,-1+SUMPRODUCT(MAX(ROW(E$2:E326)*(E327=E$2:E326)))))</f>
        <v>other_2</v>
      </c>
      <c r="J327" s="24">
        <f ca="1">IF(OR(E327="",E327="!!!",F327="NEW"),"",COUNTBLANK(OFFSET(A$1,,,SUMPRODUCT(MAX(ROW(E$2:E327)*(E327=E$2:E327)))))-COUNTBLANK(OFFSET(A$1,,,SUMPRODUCT(MAX(ROW(E$1:E326)*(E2=E$1:E326))))))</f>
        <v>0</v>
      </c>
      <c r="K327" s="24">
        <f ca="1">IF(OR(E327="",E327="!!!",F327="NEW"),"",INDEX(J$1:J326,SUMPRODUCT(MAX(ROW(E$1:E326)*(E327=E$1:E326)))))</f>
        <v>0</v>
      </c>
      <c r="L327" s="25"/>
    </row>
    <row r="328" spans="1:12" x14ac:dyDescent="0.3">
      <c r="A328" t="s">
        <v>301</v>
      </c>
      <c r="E328" s="20" t="str">
        <f t="shared" si="26"/>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27"/>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166</v>
      </c>
      <c r="E329" s="20" t="str">
        <f t="shared" si="26"/>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27"/>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300</v>
      </c>
      <c r="B330" s="26" t="s">
        <v>122</v>
      </c>
      <c r="C330" s="26" t="s">
        <v>123</v>
      </c>
      <c r="D330" s="26" t="s">
        <v>113</v>
      </c>
      <c r="E330" s="20" t="s">
        <v>399</v>
      </c>
      <c r="F330" s="21" t="str">
        <f>IF(OR(E330="",E330="!!!"),"",IF(NOT(ISNA(VLOOKUP(E330,E$1:E329,1,FALSE()))),"OLD",IF(AND(E330&lt;&gt;"",E330&lt;&gt;"!!!"),"NEW","")))</f>
        <v>OLD</v>
      </c>
      <c r="G330" s="22" t="s">
        <v>414</v>
      </c>
      <c r="H330" s="23" t="str">
        <f t="shared" ca="1" si="27"/>
        <v/>
      </c>
      <c r="I330" s="24" t="str">
        <f>IF(OR(E330="",E330="!!!",F330="NEW"),"",INDEX(B$2:B329,-1+SUMPRODUCT(MAX(ROW(E$2:E329)*(E330=E$2:E329)))))</f>
        <v>other_2</v>
      </c>
      <c r="J330" s="24">
        <f ca="1">IF(OR(E330="",E330="!!!",F330="NEW"),"",COUNTBLANK(OFFSET(A$1,,,SUMPRODUCT(MAX(ROW(E$2:E330)*(E330=E$2:E330)))))-COUNTBLANK(OFFSET(A$1,,,SUMPRODUCT(MAX(ROW(E$1:E329)*(E2=E$1:E329))))))</f>
        <v>0</v>
      </c>
      <c r="K330" s="24">
        <f ca="1">IF(OR(E330="",E330="!!!",F330="NEW"),"",INDEX(J$1:J329,SUMPRODUCT(MAX(ROW(E$1:E329)*(E330=E$1:E329)))))</f>
        <v>0</v>
      </c>
      <c r="L330" s="25"/>
    </row>
    <row r="331" spans="1:12" x14ac:dyDescent="0.3">
      <c r="A331" t="s">
        <v>310</v>
      </c>
      <c r="E331" s="20" t="str">
        <f t="shared" si="26"/>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27"/>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311</v>
      </c>
      <c r="B332" s="26" t="s">
        <v>217</v>
      </c>
      <c r="C332" s="26" t="s">
        <v>118</v>
      </c>
      <c r="E332" s="20" t="str">
        <f t="shared" si="26"/>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27"/>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12</v>
      </c>
      <c r="E333" s="20" t="str">
        <f t="shared" si="26"/>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27"/>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4" spans="1:12" x14ac:dyDescent="0.3">
      <c r="A334" t="s">
        <v>189</v>
      </c>
      <c r="E334" s="20" t="str">
        <f t="shared" si="26"/>
        <v/>
      </c>
      <c r="F334" s="21"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27"/>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5"/>
    </row>
    <row r="335" spans="1:12" x14ac:dyDescent="0.3">
      <c r="A335" t="s">
        <v>312</v>
      </c>
      <c r="B335" s="26" t="s">
        <v>117</v>
      </c>
      <c r="C335" s="26" t="s">
        <v>118</v>
      </c>
      <c r="E335" s="20" t="str">
        <f t="shared" si="26"/>
        <v/>
      </c>
      <c r="F335" s="21"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27"/>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5"/>
    </row>
    <row r="336" spans="1:12" x14ac:dyDescent="0.3">
      <c r="A336" t="s">
        <v>306</v>
      </c>
      <c r="E336" s="20" t="str">
        <f t="shared" si="26"/>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ca="1" si="27"/>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126</v>
      </c>
      <c r="E337" s="20" t="str">
        <f t="shared" si="26"/>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27"/>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9" spans="1:12" x14ac:dyDescent="0.3">
      <c r="A339" t="s">
        <v>313</v>
      </c>
    </row>
    <row r="340" spans="1:12" x14ac:dyDescent="0.3">
      <c r="A340" t="s">
        <v>314</v>
      </c>
      <c r="E340" s="20" t="str">
        <f t="shared" ref="E340:E371" si="28">IF(D340="?OLD","!!!","")</f>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ref="H340:H371" ca="1" si="29">IF(J340&lt;&gt;1,"",IF(I340="SBJ","CB","?"))</f>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166</v>
      </c>
      <c r="E341" s="20" t="str">
        <f t="shared" si="28"/>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29"/>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315</v>
      </c>
      <c r="B342" s="26" t="s">
        <v>111</v>
      </c>
      <c r="C342" s="26" t="s">
        <v>123</v>
      </c>
      <c r="D342" s="26" t="s">
        <v>113</v>
      </c>
      <c r="E342" s="20" t="s">
        <v>407</v>
      </c>
      <c r="F342" s="21" t="str">
        <f>IF(OR(E342="",E342="!!!"),"",IF(NOT(ISNA(VLOOKUP(E342,E$1:E341,1,FALSE()))),"OLD",IF(AND(E342&lt;&gt;"",E342&lt;&gt;"!!!"),"NEW","")))</f>
        <v>OLD</v>
      </c>
      <c r="G342" s="22" t="s">
        <v>414</v>
      </c>
      <c r="H342" s="23" t="str">
        <f t="shared" ca="1" si="29"/>
        <v/>
      </c>
      <c r="I342" s="24" t="str">
        <f>IF(OR(E342="",E342="!!!",F342="NEW"),"",INDEX(B$2:B341,-1+SUMPRODUCT(MAX(ROW(E$2:E341)*(E342=E$2:E341)))))</f>
        <v>SBJ</v>
      </c>
      <c r="J342" s="24">
        <f ca="1">IF(OR(E342="",E342="!!!",F342="NEW"),"",COUNTBLANK(OFFSET(A$1,,,SUMPRODUCT(MAX(ROW(E$2:E342)*(E342=E$2:E342)))))-COUNTBLANK(OFFSET(A$1,,,SUMPRODUCT(MAX(ROW(E$1:E341)*(E2=E$1:E341))))))</f>
        <v>0</v>
      </c>
      <c r="K342" s="24" t="str">
        <f ca="1">IF(OR(E342="",E342="!!!",F342="NEW"),"",INDEX(J$1:J341,SUMPRODUCT(MAX(ROW(E$1:E341)*(E342=E$1:E341)))))</f>
        <v/>
      </c>
      <c r="L342" s="25"/>
    </row>
    <row r="343" spans="1:12" x14ac:dyDescent="0.3">
      <c r="A343" t="s">
        <v>143</v>
      </c>
      <c r="E343" s="20" t="str">
        <f t="shared" si="28"/>
        <v/>
      </c>
      <c r="F343" s="21" t="str">
        <f>IF(OR(E343="",E343="!!!"),"",IF(NOT(ISNA(VLOOKUP(E343,E$1:E342,1,FALSE()))),"OLD",IF(AND(E343&lt;&gt;"",E343&lt;&gt;"!!!"),"NEW","")))</f>
        <v/>
      </c>
      <c r="G343" s="22" t="str">
        <f>IF(OR(E343="",E343="!!!"),"",IF(OR(J343=0,AND(J343=1,K343=1),AND(J343=1,I343="SBJ"),AND(J343=1,I343=0)),"?IN_FOCUS",IF(J343&lt;=2,"?ACTIVATED",IF(J343&lt;&gt;"","?FAMILIAR",IF(F343="NEW",IF(ISNA(VLOOKUP(E343,#REF!,1,FALSE())),"?TYPE_IDENTIFIABLE","?REFERENTIAL"),"_")))))</f>
        <v/>
      </c>
      <c r="H343" s="23" t="str">
        <f t="shared" ca="1" si="29"/>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4" spans="1:12" x14ac:dyDescent="0.3">
      <c r="A344" t="s">
        <v>316</v>
      </c>
      <c r="E344" s="20" t="str">
        <f t="shared" si="28"/>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29"/>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317</v>
      </c>
      <c r="B345" s="26" t="s">
        <v>117</v>
      </c>
      <c r="C345" s="26" t="s">
        <v>123</v>
      </c>
      <c r="D345" s="26" t="s">
        <v>113</v>
      </c>
      <c r="E345" s="20" t="s">
        <v>388</v>
      </c>
      <c r="F345" s="21" t="str">
        <f>IF(OR(E345="",E345="!!!"),"",IF(NOT(ISNA(VLOOKUP(E345,E$1:E344,1,FALSE()))),"OLD",IF(AND(E345&lt;&gt;"",E345&lt;&gt;"!!!"),"NEW","")))</f>
        <v>OLD</v>
      </c>
      <c r="G345" s="22" t="s">
        <v>414</v>
      </c>
      <c r="H345" s="23" t="str">
        <f t="shared" ca="1" si="29"/>
        <v/>
      </c>
      <c r="I345" s="24" t="str">
        <f>IF(OR(E345="",E345="!!!",F345="NEW"),"",INDEX(B$2:B344,-1+SUMPRODUCT(MAX(ROW(E$2:E344)*(E345=E$2:E344)))))</f>
        <v>other_5</v>
      </c>
      <c r="J345" s="24">
        <f ca="1">IF(OR(E345="",E345="!!!",F345="NEW"),"",COUNTBLANK(OFFSET(A$1,,,SUMPRODUCT(MAX(ROW(E$2:E345)*(E345=E$2:E345)))))-COUNTBLANK(OFFSET(A$1,,,SUMPRODUCT(MAX(ROW(E$1:E344)*(E2=E$1:E344))))))</f>
        <v>0</v>
      </c>
      <c r="K345" s="24">
        <f ca="1">IF(OR(E345="",E345="!!!",F345="NEW"),"",INDEX(J$1:J344,SUMPRODUCT(MAX(ROW(E$1:E344)*(E345=E$1:E344)))))</f>
        <v>0</v>
      </c>
      <c r="L345" s="25"/>
    </row>
    <row r="346" spans="1:12" x14ac:dyDescent="0.3">
      <c r="A346" t="s">
        <v>189</v>
      </c>
      <c r="E346" s="20" t="str">
        <f t="shared" si="28"/>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29"/>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318</v>
      </c>
      <c r="E347" s="20" t="s">
        <v>388</v>
      </c>
      <c r="F347" s="21" t="str">
        <f>IF(OR(E347="",E347="!!!"),"",IF(NOT(ISNA(VLOOKUP(E347,E$1:E346,1,FALSE()))),"OLD",IF(AND(E347&lt;&gt;"",E347&lt;&gt;"!!!"),"NEW","")))</f>
        <v>OLD</v>
      </c>
      <c r="G347" s="22" t="s">
        <v>417</v>
      </c>
      <c r="H347" s="23" t="str">
        <f t="shared" ca="1" si="29"/>
        <v/>
      </c>
      <c r="I347" s="24" t="str">
        <f>IF(OR(E347="",E347="!!!",F347="NEW"),"",INDEX(B$2:B346,-1+SUMPRODUCT(MAX(ROW(E$2:E346)*(E347=E$2:E346)))))</f>
        <v>other_2</v>
      </c>
      <c r="J347" s="24">
        <f ca="1">IF(OR(E347="",E347="!!!",F347="NEW"),"",COUNTBLANK(OFFSET(A$1,,,SUMPRODUCT(MAX(ROW(E$2:E347)*(E347=E$2:E347)))))-COUNTBLANK(OFFSET(A$1,,,SUMPRODUCT(MAX(ROW(E$1:E346)*(E2=E$1:E346))))))</f>
        <v>0</v>
      </c>
      <c r="K347" s="24">
        <f ca="1">IF(OR(E347="",E347="!!!",F347="NEW"),"",INDEX(J$1:J346,SUMPRODUCT(MAX(ROW(E$1:E346)*(E347=E$1:E346)))))</f>
        <v>0</v>
      </c>
      <c r="L347" s="25" t="s">
        <v>406</v>
      </c>
    </row>
    <row r="348" spans="1:12" x14ac:dyDescent="0.3">
      <c r="A348" t="s">
        <v>319</v>
      </c>
      <c r="B348" s="26" t="s">
        <v>156</v>
      </c>
      <c r="C348" s="26" t="s">
        <v>246</v>
      </c>
      <c r="D348" s="26" t="s">
        <v>113</v>
      </c>
      <c r="E348" s="20" t="s">
        <v>399</v>
      </c>
      <c r="F348" s="21" t="str">
        <f>IF(OR(E348="",E348="!!!"),"",IF(NOT(ISNA(VLOOKUP(E348,E$1:E347,1,FALSE()))),"OLD",IF(AND(E348&lt;&gt;"",E348&lt;&gt;"!!!"),"NEW","")))</f>
        <v>OLD</v>
      </c>
      <c r="G348" s="22" t="s">
        <v>417</v>
      </c>
      <c r="H348" s="23" t="s">
        <v>103</v>
      </c>
      <c r="I348" s="24" t="str">
        <f>IF(OR(E348="",E348="!!!",F348="NEW"),"",INDEX(B$2:B347,-1+SUMPRODUCT(MAX(ROW(E$2:E347)*(E348=E$2:E347)))))</f>
        <v>SBJ</v>
      </c>
      <c r="J348" s="24">
        <f ca="1">IF(OR(E348="",E348="!!!",F348="NEW"),"",COUNTBLANK(OFFSET(A$1,,,SUMPRODUCT(MAX(ROW(E$2:E348)*(E348=E$2:E348)))))-COUNTBLANK(OFFSET(A$1,,,SUMPRODUCT(MAX(ROW(E$1:E347)*(E2=E$1:E347))))))</f>
        <v>0</v>
      </c>
      <c r="K348" s="24">
        <f ca="1">IF(OR(E348="",E348="!!!",F348="NEW"),"",INDEX(J$1:J347,SUMPRODUCT(MAX(ROW(E$1:E347)*(E348=E$1:E347)))))</f>
        <v>0</v>
      </c>
      <c r="L348" s="25"/>
    </row>
    <row r="349" spans="1:12" x14ac:dyDescent="0.3">
      <c r="A349" t="s">
        <v>115</v>
      </c>
      <c r="E349" s="20" t="str">
        <f t="shared" si="28"/>
        <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29"/>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3">
      <c r="A350" t="s">
        <v>145</v>
      </c>
      <c r="E350" s="20" t="str">
        <f t="shared" si="28"/>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29"/>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284</v>
      </c>
      <c r="E351" s="20" t="str">
        <f t="shared" si="28"/>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29"/>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145</v>
      </c>
      <c r="E352" s="20" t="str">
        <f t="shared" si="28"/>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29"/>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320</v>
      </c>
      <c r="B353" s="26" t="s">
        <v>181</v>
      </c>
      <c r="C353" s="26" t="s">
        <v>123</v>
      </c>
      <c r="D353" s="26" t="s">
        <v>113</v>
      </c>
      <c r="E353" s="20"/>
      <c r="F353" s="21" t="s">
        <v>384</v>
      </c>
      <c r="G353" s="22" t="str">
        <f>IF(OR(E353="",E353="!!!"),"",IF(OR(J353=0,AND(J353=1,K353=1),AND(J353=1,I353="SBJ"),AND(J353=1,I353=0)),"?IN_FOCUS",IF(J353&lt;=2,"?ACTIVATED",IF(J353&lt;&gt;"","?FAMILIAR",IF(F353="NEW",IF(ISNA(VLOOKUP(E353,#REF!,1,FALSE())),"?TYPE_IDENTIFIABLE","?REFERENTIAL"),"_")))))</f>
        <v/>
      </c>
      <c r="H353" s="23" t="str">
        <f t="shared" ca="1" si="29"/>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321</v>
      </c>
      <c r="E354" s="20" t="str">
        <f t="shared" si="28"/>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29"/>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322</v>
      </c>
      <c r="B355" s="26" t="s">
        <v>175</v>
      </c>
      <c r="C355" s="26" t="s">
        <v>246</v>
      </c>
      <c r="D355" s="26" t="s">
        <v>113</v>
      </c>
      <c r="E355" s="20" t="s">
        <v>393</v>
      </c>
      <c r="F355" s="21" t="str">
        <f>IF(OR(E355="",E355="!!!"),"",IF(NOT(ISNA(VLOOKUP(E355,E$1:E354,1,FALSE()))),"OLD",IF(AND(E355&lt;&gt;"",E355&lt;&gt;"!!!"),"NEW","")))</f>
        <v>OLD</v>
      </c>
      <c r="G355" s="22" t="s">
        <v>414</v>
      </c>
      <c r="H355" s="23" t="str">
        <f t="shared" ca="1" si="29"/>
        <v/>
      </c>
      <c r="I355" s="24" t="str">
        <f>IF(OR(E355="",E355="!!!",F355="NEW"),"",INDEX(B$2:B354,-1+SUMPRODUCT(MAX(ROW(E$2:E354)*(E355=E$2:E354)))))</f>
        <v>other_3</v>
      </c>
      <c r="J355" s="24">
        <f ca="1">IF(OR(E355="",E355="!!!",F355="NEW"),"",COUNTBLANK(OFFSET(A$1,,,SUMPRODUCT(MAX(ROW(E$2:E355)*(E355=E$2:E355)))))-COUNTBLANK(OFFSET(A$1,,,SUMPRODUCT(MAX(ROW(E$1:E354)*(E2=E$1:E354))))))</f>
        <v>0</v>
      </c>
      <c r="K355" s="24">
        <f ca="1">IF(OR(E355="",E355="!!!",F355="NEW"),"",INDEX(J$1:J354,SUMPRODUCT(MAX(ROW(E$1:E354)*(E355=E$1:E354)))))</f>
        <v>0</v>
      </c>
      <c r="L355" s="25"/>
    </row>
    <row r="356" spans="1:12" x14ac:dyDescent="0.3">
      <c r="A356" t="s">
        <v>151</v>
      </c>
      <c r="E356" s="20" t="str">
        <f t="shared" si="28"/>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29"/>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323</v>
      </c>
      <c r="E357" s="20" t="str">
        <f t="shared" si="28"/>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29"/>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324</v>
      </c>
      <c r="B358" s="26" t="s">
        <v>122</v>
      </c>
      <c r="C358" s="26" t="s">
        <v>149</v>
      </c>
      <c r="D358" s="26" t="s">
        <v>113</v>
      </c>
      <c r="E358" s="20" t="s">
        <v>398</v>
      </c>
      <c r="F358" s="21" t="str">
        <f>IF(OR(E358="",E358="!!!"),"",IF(NOT(ISNA(VLOOKUP(E358,E$1:E357,1,FALSE()))),"OLD",IF(AND(E358&lt;&gt;"",E358&lt;&gt;"!!!"),"NEW","")))</f>
        <v>NEW</v>
      </c>
      <c r="G358" s="22" t="s">
        <v>415</v>
      </c>
      <c r="H358" s="23" t="str">
        <f t="shared" ca="1" si="29"/>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3">
      <c r="A359" t="s">
        <v>325</v>
      </c>
      <c r="E359" s="20" t="str">
        <f t="shared" si="28"/>
        <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29"/>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153</v>
      </c>
      <c r="E360" s="20" t="str">
        <f t="shared" si="28"/>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29"/>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326</v>
      </c>
      <c r="E361" s="20" t="str">
        <f t="shared" si="28"/>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29"/>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327</v>
      </c>
      <c r="E362" s="20" t="str">
        <f t="shared" si="28"/>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t="shared" ca="1" si="29"/>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328</v>
      </c>
      <c r="B363" s="26" t="s">
        <v>122</v>
      </c>
      <c r="C363" s="26" t="s">
        <v>123</v>
      </c>
      <c r="D363" s="26" t="s">
        <v>113</v>
      </c>
      <c r="E363" s="20" t="s">
        <v>410</v>
      </c>
      <c r="F363" s="21" t="str">
        <f>IF(OR(E363="",E363="!!!"),"",IF(NOT(ISNA(VLOOKUP(E363,E$1:E362,1,FALSE()))),"OLD",IF(AND(E363&lt;&gt;"",E363&lt;&gt;"!!!"),"NEW","")))</f>
        <v>NEW</v>
      </c>
      <c r="G363" s="22" t="s">
        <v>415</v>
      </c>
      <c r="H363" s="23" t="str">
        <f t="shared" ca="1" si="29"/>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224</v>
      </c>
      <c r="E364" s="20" t="str">
        <f t="shared" si="28"/>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29"/>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166</v>
      </c>
      <c r="E365" s="20" t="str">
        <f t="shared" si="28"/>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29"/>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6" spans="1:12" x14ac:dyDescent="0.3">
      <c r="A366" t="s">
        <v>329</v>
      </c>
      <c r="B366" s="26" t="s">
        <v>111</v>
      </c>
      <c r="C366" s="26" t="s">
        <v>123</v>
      </c>
      <c r="D366" s="26" t="s">
        <v>113</v>
      </c>
      <c r="E366" s="20"/>
      <c r="F366" s="21" t="str">
        <f>IF(OR(E366="",E366="!!!"),"",IF(NOT(ISNA(VLOOKUP(E366,E$1:E365,1,FALSE()))),"OLD",IF(AND(E366&lt;&gt;"",E366&lt;&gt;"!!!"),"NEW","")))</f>
        <v/>
      </c>
      <c r="G366" s="22" t="str">
        <f>IF(OR(E366="",E366="!!!"),"",IF(OR(J366=0,AND(J366=1,K366=1),AND(J366=1,I366="SBJ"),AND(J366=1,I366=0)),"?IN_FOCUS",IF(J366&lt;=2,"?ACTIVATED",IF(J366&lt;&gt;"","?FAMILIAR",IF(F366="NEW",IF(ISNA(VLOOKUP(E366,#REF!,1,FALSE())),"?TYPE_IDENTIFIABLE","?REFERENTIAL"),"_")))))</f>
        <v/>
      </c>
      <c r="H366" s="23" t="str">
        <f t="shared" ca="1" si="29"/>
        <v/>
      </c>
      <c r="I366" s="24" t="str">
        <f>IF(OR(E366="",E366="!!!",F366="NEW"),"",INDEX(B$2:B365,-1+SUMPRODUCT(MAX(ROW(E$2:E365)*(E366=E$2:E365)))))</f>
        <v/>
      </c>
      <c r="J366" s="24" t="str">
        <f ca="1">IF(OR(E366="",E366="!!!",F366="NEW"),"",COUNTBLANK(OFFSET(A$1,,,SUMPRODUCT(MAX(ROW(E$2:E366)*(E366=E$2:E366)))))-COUNTBLANK(OFFSET(A$1,,,SUMPRODUCT(MAX(ROW(E$1:E365)*(E2=E$1:E365))))))</f>
        <v/>
      </c>
      <c r="K366" s="24" t="str">
        <f>IF(OR(E366="",E366="!!!",F366="NEW"),"",INDEX(J$1:J365,SUMPRODUCT(MAX(ROW(E$1:E365)*(E366=E$1:E365)))))</f>
        <v/>
      </c>
      <c r="L366" s="25" t="s">
        <v>409</v>
      </c>
    </row>
    <row r="367" spans="1:12" x14ac:dyDescent="0.3">
      <c r="A367" t="s">
        <v>12</v>
      </c>
      <c r="E367" s="20" t="str">
        <f t="shared" si="28"/>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29"/>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3">
      <c r="A368" t="s">
        <v>330</v>
      </c>
      <c r="E368" s="20" t="str">
        <f t="shared" si="28"/>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29"/>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331</v>
      </c>
      <c r="B369" s="26" t="s">
        <v>117</v>
      </c>
      <c r="C369" s="26" t="s">
        <v>118</v>
      </c>
      <c r="E369" s="20" t="s">
        <v>411</v>
      </c>
      <c r="F369" s="21" t="str">
        <f>IF(OR(E369="",E369="!!!"),"",IF(NOT(ISNA(VLOOKUP(E369,E$1:E368,1,FALSE()))),"OLD",IF(AND(E369&lt;&gt;"",E369&lt;&gt;"!!!"),"NEW","")))</f>
        <v>NEW</v>
      </c>
      <c r="G369" s="22" t="s">
        <v>415</v>
      </c>
      <c r="H369" s="23" t="str">
        <f t="shared" ca="1" si="29"/>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73</v>
      </c>
      <c r="E370" s="20" t="s">
        <v>402</v>
      </c>
      <c r="F370" s="21" t="str">
        <f>IF(OR(E370="",E370="!!!"),"",IF(NOT(ISNA(VLOOKUP(E370,E$1:E369,1,FALSE()))),"OLD",IF(AND(E370&lt;&gt;"",E370&lt;&gt;"!!!"),"NEW","")))</f>
        <v>OLD</v>
      </c>
      <c r="G370" s="22" t="s">
        <v>414</v>
      </c>
      <c r="H370" s="23" t="str">
        <f t="shared" ca="1" si="29"/>
        <v/>
      </c>
      <c r="I370" s="24" t="str">
        <f>IF(OR(E370="",E370="!!!",F370="NEW"),"",INDEX(B$2:B369,-1+SUMPRODUCT(MAX(ROW(E$2:E369)*(E370=E$2:E369)))))</f>
        <v>other_3</v>
      </c>
      <c r="J370" s="24">
        <f ca="1">IF(OR(E370="",E370="!!!",F370="NEW"),"",COUNTBLANK(OFFSET(A$1,,,SUMPRODUCT(MAX(ROW(E$2:E370)*(E370=E$2:E370)))))-COUNTBLANK(OFFSET(A$1,,,SUMPRODUCT(MAX(ROW(E$1:E369)*(E2=E$1:E369))))))</f>
        <v>0</v>
      </c>
      <c r="K370" s="24" t="str">
        <f ca="1">IF(OR(E370="",E370="!!!",F370="NEW"),"",INDEX(J$1:J369,SUMPRODUCT(MAX(ROW(E$1:E369)*(E370=E$1:E369)))))</f>
        <v/>
      </c>
      <c r="L370" s="25" t="s">
        <v>377</v>
      </c>
    </row>
    <row r="371" spans="1:12" x14ac:dyDescent="0.3">
      <c r="A371" t="s">
        <v>126</v>
      </c>
      <c r="E371" s="20" t="str">
        <f t="shared" si="28"/>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29"/>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3" spans="1:12" x14ac:dyDescent="0.3">
      <c r="A373" t="s">
        <v>332</v>
      </c>
    </row>
    <row r="374" spans="1:12" x14ac:dyDescent="0.3">
      <c r="A374" t="s">
        <v>333</v>
      </c>
      <c r="B374" s="26" t="s">
        <v>122</v>
      </c>
      <c r="C374" s="26" t="s">
        <v>228</v>
      </c>
      <c r="D374" s="26" t="s">
        <v>113</v>
      </c>
      <c r="E374" s="20" t="s">
        <v>402</v>
      </c>
      <c r="F374" s="21" t="str">
        <f>IF(OR(E374="",E374="!!!"),"",IF(NOT(ISNA(VLOOKUP(E374,E$1:E373,1,FALSE()))),"OLD",IF(AND(E374&lt;&gt;"",E374&lt;&gt;"!!!"),"NEW","")))</f>
        <v>OLD</v>
      </c>
      <c r="G374" s="22" t="s">
        <v>417</v>
      </c>
      <c r="H374" s="23" t="s">
        <v>103</v>
      </c>
      <c r="I374" s="24">
        <f>IF(OR(E374="",E374="!!!",F374="NEW"),"",INDEX(B$2:B373,-1+SUMPRODUCT(MAX(ROW(E$2:E373)*(E374=E$2:E373)))))</f>
        <v>0</v>
      </c>
      <c r="J374" s="24">
        <f ca="1">IF(OR(E374="",E374="!!!",F374="NEW"),"",COUNTBLANK(OFFSET(A$1,,,SUMPRODUCT(MAX(ROW(E$2:E374)*(E374=E$2:E374)))))-COUNTBLANK(OFFSET(A$1,,,SUMPRODUCT(MAX(ROW(E$1:E373)*(E2=E$1:E373))))))</f>
        <v>0</v>
      </c>
      <c r="K374" s="24">
        <f ca="1">IF(OR(E374="",E374="!!!",F374="NEW"),"",INDEX(J$1:J373,SUMPRODUCT(MAX(ROW(E$1:E373)*(E374=E$1:E373)))))</f>
        <v>0</v>
      </c>
      <c r="L374" s="25"/>
    </row>
    <row r="375" spans="1:12" x14ac:dyDescent="0.3">
      <c r="A375" t="s">
        <v>334</v>
      </c>
      <c r="E375" s="20" t="str">
        <f t="shared" ref="E374:E385" si="30">IF(D375="?OLD","!!!","")</f>
        <v/>
      </c>
      <c r="F375" s="21"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ref="H374:H385" ca="1" si="31">IF(J375&lt;&gt;1,"",IF(I375="SBJ","CB","?"))</f>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335</v>
      </c>
      <c r="E376" s="20" t="str">
        <f t="shared" si="30"/>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31"/>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336</v>
      </c>
      <c r="B377" s="26" t="s">
        <v>111</v>
      </c>
      <c r="C377" s="26" t="s">
        <v>118</v>
      </c>
      <c r="E377" s="20" t="s">
        <v>412</v>
      </c>
      <c r="F377" s="21" t="str">
        <f>IF(OR(E377="",E377="!!!"),"",IF(NOT(ISNA(VLOOKUP(E377,E$1:E376,1,FALSE()))),"OLD",IF(AND(E377&lt;&gt;"",E377&lt;&gt;"!!!"),"NEW","")))</f>
        <v>NEW</v>
      </c>
      <c r="G377" s="22" t="s">
        <v>415</v>
      </c>
      <c r="H377" s="23" t="str">
        <f t="shared" ca="1" si="31"/>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t="s">
        <v>377</v>
      </c>
    </row>
    <row r="378" spans="1:12" x14ac:dyDescent="0.3">
      <c r="A378" t="s">
        <v>166</v>
      </c>
      <c r="E378" s="20" t="str">
        <f t="shared" si="30"/>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31"/>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337</v>
      </c>
      <c r="E379" s="20" t="str">
        <f t="shared" si="30"/>
        <v/>
      </c>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31"/>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338</v>
      </c>
      <c r="B380" s="26" t="s">
        <v>117</v>
      </c>
      <c r="C380" s="26" t="s">
        <v>123</v>
      </c>
      <c r="D380" s="26" t="s">
        <v>113</v>
      </c>
      <c r="E380" s="20" t="s">
        <v>380</v>
      </c>
      <c r="F380" s="21" t="str">
        <f>IF(OR(E380="",E380="!!!"),"",IF(NOT(ISNA(VLOOKUP(E380,E$1:E379,1,FALSE()))),"OLD",IF(AND(E380&lt;&gt;"",E380&lt;&gt;"!!!"),"NEW","")))</f>
        <v>OLD</v>
      </c>
      <c r="G380" s="22" t="s">
        <v>414</v>
      </c>
      <c r="H380" s="23" t="str">
        <f t="shared" ca="1" si="31"/>
        <v/>
      </c>
      <c r="I380" s="24" t="str">
        <f>IF(OR(E380="",E380="!!!",F380="NEW"),"",INDEX(B$2:B379,-1+SUMPRODUCT(MAX(ROW(E$2:E379)*(E380=E$2:E379)))))</f>
        <v>other_2</v>
      </c>
      <c r="J380" s="24">
        <f ca="1">IF(OR(E380="",E380="!!!",F380="NEW"),"",COUNTBLANK(OFFSET(A$1,,,SUMPRODUCT(MAX(ROW(E$2:E380)*(E380=E$2:E380)))))-COUNTBLANK(OFFSET(A$1,,,SUMPRODUCT(MAX(ROW(E$1:E379)*(E2=E$1:E379))))))</f>
        <v>0</v>
      </c>
      <c r="K380" s="24">
        <f ca="1">IF(OR(E380="",E380="!!!",F380="NEW"),"",INDEX(J$1:J379,SUMPRODUCT(MAX(ROW(E$1:E379)*(E380=E$1:E379)))))</f>
        <v>0</v>
      </c>
      <c r="L380" s="25"/>
    </row>
    <row r="381" spans="1:12" x14ac:dyDescent="0.3">
      <c r="A381" t="s">
        <v>339</v>
      </c>
      <c r="E381" s="20" t="str">
        <f t="shared" si="30"/>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31"/>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340</v>
      </c>
      <c r="B382" s="26" t="s">
        <v>117</v>
      </c>
      <c r="C382" s="26" t="s">
        <v>165</v>
      </c>
      <c r="E382" s="20" t="str">
        <f t="shared" si="30"/>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ca="1" si="31"/>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3">
      <c r="A383" t="s">
        <v>341</v>
      </c>
      <c r="E383" s="20" t="str">
        <f t="shared" si="30"/>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31"/>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342</v>
      </c>
      <c r="E384" s="20" t="str">
        <f t="shared" si="30"/>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31"/>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3">
      <c r="A385" t="s">
        <v>126</v>
      </c>
      <c r="E385" s="20" t="str">
        <f t="shared" si="30"/>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31"/>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7" spans="1:12" x14ac:dyDescent="0.3">
      <c r="A387" t="s">
        <v>343</v>
      </c>
    </row>
    <row r="388" spans="1:12" x14ac:dyDescent="0.3">
      <c r="A388" t="s">
        <v>333</v>
      </c>
      <c r="B388" s="26" t="s">
        <v>122</v>
      </c>
      <c r="C388" s="26" t="s">
        <v>228</v>
      </c>
      <c r="D388" s="26" t="s">
        <v>113</v>
      </c>
      <c r="E388" s="20" t="s">
        <v>412</v>
      </c>
      <c r="F388" s="21" t="str">
        <f>IF(OR(E388="",E388="!!!"),"",IF(NOT(ISNA(VLOOKUP(E388,E$1:E387,1,FALSE()))),"OLD",IF(AND(E388&lt;&gt;"",E388&lt;&gt;"!!!"),"NEW","")))</f>
        <v>OLD</v>
      </c>
      <c r="G388" s="22" t="s">
        <v>417</v>
      </c>
      <c r="H388" s="23" t="s">
        <v>103</v>
      </c>
      <c r="I388" s="24" t="str">
        <f>IF(OR(E388="",E388="!!!",F388="NEW"),"",INDEX(B$2:B387,-1+SUMPRODUCT(MAX(ROW(E$2:E387)*(E388=E$2:E387)))))</f>
        <v>other</v>
      </c>
      <c r="J388" s="24">
        <f ca="1">IF(OR(E388="",E388="!!!",F388="NEW"),"",COUNTBLANK(OFFSET(A$1,,,SUMPRODUCT(MAX(ROW(E$2:E388)*(E388=E$2:E388)))))-COUNTBLANK(OFFSET(A$1,,,SUMPRODUCT(MAX(ROW(E$1:E387)*(E2=E$1:E387))))))</f>
        <v>0</v>
      </c>
      <c r="K388" s="24" t="str">
        <f ca="1">IF(OR(E388="",E388="!!!",F388="NEW"),"",INDEX(J$1:J387,SUMPRODUCT(MAX(ROW(E$1:E387)*(E388=E$1:E387)))))</f>
        <v/>
      </c>
      <c r="L388" s="25"/>
    </row>
    <row r="389" spans="1:12" x14ac:dyDescent="0.3">
      <c r="A389" t="s">
        <v>220</v>
      </c>
      <c r="E389" s="20" t="str">
        <f t="shared" ref="E388:E397" si="32">IF(D389="?OLD","!!!","")</f>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ref="H388:H397" ca="1" si="33">IF(J389&lt;&gt;1,"",IF(I389="SBJ","CB","?"))</f>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262</v>
      </c>
      <c r="E390" s="20" t="str">
        <f t="shared" si="32"/>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33"/>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344</v>
      </c>
      <c r="E391" s="20" t="str">
        <f t="shared" si="32"/>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33"/>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189</v>
      </c>
      <c r="E392" s="20" t="str">
        <f t="shared" si="32"/>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33"/>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3" spans="1:12" x14ac:dyDescent="0.3">
      <c r="A393" t="s">
        <v>345</v>
      </c>
      <c r="E393" s="20" t="str">
        <f t="shared" si="32"/>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ca="1" si="33"/>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346</v>
      </c>
      <c r="E394" s="20" t="str">
        <f t="shared" si="32"/>
        <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33"/>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5" spans="1:12" x14ac:dyDescent="0.3">
      <c r="A395" t="s">
        <v>263</v>
      </c>
      <c r="E395" s="20" t="str">
        <f t="shared" si="32"/>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ca="1" si="33"/>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264</v>
      </c>
      <c r="B396" s="26" t="s">
        <v>111</v>
      </c>
      <c r="C396" s="26" t="s">
        <v>218</v>
      </c>
      <c r="E396" s="20" t="str">
        <f t="shared" si="32"/>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33"/>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126</v>
      </c>
      <c r="E397" s="20" t="str">
        <f t="shared" si="32"/>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33"/>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9" spans="1:12" x14ac:dyDescent="0.3">
      <c r="A399" t="s">
        <v>347</v>
      </c>
    </row>
    <row r="400" spans="1:12" x14ac:dyDescent="0.3">
      <c r="A400" t="s">
        <v>348</v>
      </c>
      <c r="B400" s="26" t="s">
        <v>111</v>
      </c>
      <c r="C400" s="26" t="s">
        <v>118</v>
      </c>
      <c r="E400" s="20" t="str">
        <f t="shared" ref="E400:E429" si="34">IF(D400="?OLD","!!!","")</f>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ref="H400:H429" ca="1" si="35">IF(J400&lt;&gt;1,"",IF(I400="SBJ","CB","?"))</f>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151</v>
      </c>
      <c r="E401" s="20" t="str">
        <f t="shared" si="34"/>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35"/>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349</v>
      </c>
      <c r="E402" s="20" t="str">
        <f t="shared" si="34"/>
        <v/>
      </c>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35"/>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140</v>
      </c>
      <c r="E403" s="20" t="str">
        <f t="shared" si="34"/>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35"/>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146</v>
      </c>
      <c r="B404" s="26" t="s">
        <v>154</v>
      </c>
      <c r="C404" s="26" t="s">
        <v>123</v>
      </c>
      <c r="D404" s="26" t="s">
        <v>113</v>
      </c>
      <c r="E404" s="20" t="s">
        <v>380</v>
      </c>
      <c r="F404" s="21" t="str">
        <f>IF(OR(E404="",E404="!!!"),"",IF(NOT(ISNA(VLOOKUP(E404,E$1:E403,1,FALSE()))),"OLD",IF(AND(E404&lt;&gt;"",E404&lt;&gt;"!!!"),"NEW","")))</f>
        <v>OLD</v>
      </c>
      <c r="G404" s="22" t="s">
        <v>416</v>
      </c>
      <c r="H404" s="23" t="str">
        <f t="shared" ca="1" si="35"/>
        <v/>
      </c>
      <c r="I404" s="24" t="str">
        <f>IF(OR(E404="",E404="!!!",F404="NEW"),"",INDEX(B$2:B403,-1+SUMPRODUCT(MAX(ROW(E$2:E403)*(E404=E$2:E403)))))</f>
        <v>other_2</v>
      </c>
      <c r="J404" s="24">
        <f ca="1">IF(OR(E404="",E404="!!!",F404="NEW"),"",COUNTBLANK(OFFSET(A$1,,,SUMPRODUCT(MAX(ROW(E$2:E404)*(E404=E$2:E404)))))-COUNTBLANK(OFFSET(A$1,,,SUMPRODUCT(MAX(ROW(E$1:E403)*(E2=E$1:E403))))))</f>
        <v>0</v>
      </c>
      <c r="K404" s="24">
        <f ca="1">IF(OR(E404="",E404="!!!",F404="NEW"),"",INDEX(J$1:J403,SUMPRODUCT(MAX(ROW(E$1:E403)*(E404=E$1:E403)))))</f>
        <v>0</v>
      </c>
      <c r="L404" s="25"/>
    </row>
    <row r="405" spans="1:12" x14ac:dyDescent="0.3">
      <c r="A405" t="s">
        <v>350</v>
      </c>
      <c r="E405" s="20" t="str">
        <f t="shared" si="34"/>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35"/>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187</v>
      </c>
      <c r="B406" s="26" t="s">
        <v>156</v>
      </c>
      <c r="C406" s="26" t="s">
        <v>165</v>
      </c>
      <c r="E406" s="20" t="str">
        <f t="shared" si="34"/>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35"/>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188</v>
      </c>
      <c r="E407" s="20" t="str">
        <f t="shared" si="34"/>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35"/>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157</v>
      </c>
      <c r="E408" s="20" t="str">
        <f t="shared" si="34"/>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35"/>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151</v>
      </c>
      <c r="E409" s="20" t="str">
        <f t="shared" si="34"/>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35"/>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351</v>
      </c>
      <c r="E410" s="20" t="str">
        <f t="shared" si="34"/>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35"/>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126</v>
      </c>
      <c r="E411" s="20" t="str">
        <f t="shared" si="34"/>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35"/>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3">
      <c r="A412" t="s">
        <v>352</v>
      </c>
      <c r="E412" s="20" t="str">
        <f t="shared" si="34"/>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35"/>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192</v>
      </c>
      <c r="B413" s="26" t="s">
        <v>171</v>
      </c>
      <c r="C413" s="26" t="s">
        <v>165</v>
      </c>
      <c r="E413" s="20" t="str">
        <f t="shared" si="34"/>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35"/>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190</v>
      </c>
      <c r="E414" s="20" t="str">
        <f t="shared" si="34"/>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35"/>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189</v>
      </c>
      <c r="E415" s="20" t="str">
        <f t="shared" si="34"/>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35"/>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233</v>
      </c>
      <c r="E416" s="20" t="str">
        <f t="shared" si="34"/>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35"/>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3">
      <c r="A417" t="s">
        <v>221</v>
      </c>
      <c r="E417" s="20" t="str">
        <f t="shared" si="34"/>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35"/>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353</v>
      </c>
      <c r="B418" s="26" t="s">
        <v>111</v>
      </c>
      <c r="C418" s="26" t="s">
        <v>218</v>
      </c>
      <c r="E418" s="20" t="str">
        <f t="shared" si="34"/>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35"/>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162</v>
      </c>
      <c r="E419" s="20" t="str">
        <f t="shared" si="34"/>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35"/>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351</v>
      </c>
      <c r="E420" s="20" t="str">
        <f t="shared" si="34"/>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35"/>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126</v>
      </c>
      <c r="E421" s="20" t="str">
        <f t="shared" si="34"/>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35"/>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20</v>
      </c>
      <c r="E422" s="20" t="str">
        <f t="shared" si="34"/>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35"/>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274</v>
      </c>
      <c r="B423" s="26" t="s">
        <v>117</v>
      </c>
      <c r="C423" s="26" t="s">
        <v>165</v>
      </c>
      <c r="E423" s="20" t="str">
        <f t="shared" si="34"/>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35"/>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354</v>
      </c>
      <c r="E424" s="20" t="str">
        <f t="shared" si="34"/>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35"/>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355</v>
      </c>
      <c r="E425" s="20" t="str">
        <f t="shared" si="34"/>
        <v/>
      </c>
      <c r="F425" s="21" t="str">
        <f>IF(OR(E425="",E425="!!!"),"",IF(NOT(ISNA(VLOOKUP(E425,E$1:E424,1,FALSE()))),"OLD",IF(AND(E425&lt;&gt;"",E425&lt;&gt;"!!!"),"NEW","")))</f>
        <v/>
      </c>
      <c r="G425" s="22" t="str">
        <f>IF(OR(E425="",E425="!!!"),"",IF(OR(J425=0,AND(J425=1,K425=1),AND(J425=1,I425="SBJ"),AND(J425=1,I425=0)),"?IN_FOCUS",IF(J425&lt;=2,"?ACTIVATED",IF(J425&lt;&gt;"","?FAMILIAR",IF(F425="NEW",IF(ISNA(VLOOKUP(E425,#REF!,1,FALSE())),"?TYPE_IDENTIFIABLE","?REFERENTIAL"),"_")))))</f>
        <v/>
      </c>
      <c r="H425" s="23" t="str">
        <f t="shared" ca="1" si="35"/>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3">
      <c r="A426" t="s">
        <v>356</v>
      </c>
      <c r="E426" s="20" t="str">
        <f t="shared" si="34"/>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35"/>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136</v>
      </c>
      <c r="E427" s="20" t="str">
        <f t="shared" si="34"/>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35"/>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357</v>
      </c>
      <c r="E428" s="20" t="str">
        <f t="shared" si="34"/>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35"/>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126</v>
      </c>
      <c r="E429" s="20" t="str">
        <f t="shared" si="34"/>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35"/>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1" spans="1:12" x14ac:dyDescent="0.3">
      <c r="A431" t="s">
        <v>358</v>
      </c>
    </row>
    <row r="432" spans="1:12" x14ac:dyDescent="0.3">
      <c r="A432" t="s">
        <v>359</v>
      </c>
      <c r="B432" s="26" t="s">
        <v>122</v>
      </c>
      <c r="C432" s="26" t="s">
        <v>118</v>
      </c>
      <c r="E432" s="20" t="str">
        <f t="shared" ref="E432:E455" si="36">IF(D432="?OLD","!!!","")</f>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ref="H432:H455" ca="1" si="37">IF(J432&lt;&gt;1,"",IF(I432="SBJ","CB","?"))</f>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151</v>
      </c>
      <c r="E433" s="20" t="str">
        <f t="shared" si="36"/>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37"/>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349</v>
      </c>
      <c r="E434" s="20" t="str">
        <f t="shared" si="36"/>
        <v/>
      </c>
      <c r="F434" s="21" t="str">
        <f>IF(OR(E434="",E434="!!!"),"",IF(NOT(ISNA(VLOOKUP(E434,E$1:E433,1,FALSE()))),"OLD",IF(AND(E434&lt;&gt;"",E434&lt;&gt;"!!!"),"NEW","")))</f>
        <v/>
      </c>
      <c r="G434" s="22" t="str">
        <f>IF(OR(E434="",E434="!!!"),"",IF(OR(J434=0,AND(J434=1,K434=1),AND(J434=1,I434="SBJ"),AND(J434=1,I434=0)),"?IN_FOCUS",IF(J434&lt;=2,"?ACTIVATED",IF(J434&lt;&gt;"","?FAMILIAR",IF(F434="NEW",IF(ISNA(VLOOKUP(E434,#REF!,1,FALSE())),"?TYPE_IDENTIFIABLE","?REFERENTIAL"),"_")))))</f>
        <v/>
      </c>
      <c r="H434" s="23" t="str">
        <f t="shared" ca="1" si="37"/>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5"/>
    </row>
    <row r="435" spans="1:12" x14ac:dyDescent="0.3">
      <c r="A435" t="s">
        <v>153</v>
      </c>
      <c r="E435" s="20" t="str">
        <f t="shared" si="36"/>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37"/>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267</v>
      </c>
      <c r="B436" s="26" t="s">
        <v>148</v>
      </c>
      <c r="C436" s="26" t="s">
        <v>123</v>
      </c>
      <c r="D436" s="26" t="s">
        <v>113</v>
      </c>
      <c r="E436" s="20" t="s">
        <v>413</v>
      </c>
      <c r="F436" s="21" t="str">
        <f>IF(OR(E436="",E436="!!!"),"",IF(NOT(ISNA(VLOOKUP(E436,E$1:E435,1,FALSE()))),"OLD",IF(AND(E436&lt;&gt;"",E436&lt;&gt;"!!!"),"NEW","")))</f>
        <v>OLD</v>
      </c>
      <c r="G436" s="22" t="s">
        <v>414</v>
      </c>
      <c r="H436" s="23" t="str">
        <f t="shared" ca="1" si="37"/>
        <v/>
      </c>
      <c r="I436" s="24" t="str">
        <f>IF(OR(E436="",E436="!!!",F436="NEW"),"",INDEX(B$2:B435,-1+SUMPRODUCT(MAX(ROW(E$2:E435)*(E436=E$2:E435)))))</f>
        <v>OBJ_2</v>
      </c>
      <c r="J436" s="24">
        <f ca="1">IF(OR(E436="",E436="!!!",F436="NEW"),"",COUNTBLANK(OFFSET(A$1,,,SUMPRODUCT(MAX(ROW(E$2:E436)*(E436=E$2:E436)))))-COUNTBLANK(OFFSET(A$1,,,SUMPRODUCT(MAX(ROW(E$1:E435)*(E2=E$1:E435))))))</f>
        <v>0</v>
      </c>
      <c r="K436" s="24" t="str">
        <f ca="1">IF(OR(E436="",E436="!!!",F436="NEW"),"",INDEX(J$1:J435,SUMPRODUCT(MAX(ROW(E$1:E435)*(E436=E$1:E435)))))</f>
        <v/>
      </c>
      <c r="L436" s="25"/>
    </row>
    <row r="437" spans="1:12" x14ac:dyDescent="0.3">
      <c r="A437" t="s">
        <v>151</v>
      </c>
      <c r="E437" s="20" t="str">
        <f t="shared" si="36"/>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37"/>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224</v>
      </c>
      <c r="E438" s="20" t="str">
        <f t="shared" si="36"/>
        <v/>
      </c>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37"/>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3">
      <c r="A439" t="s">
        <v>153</v>
      </c>
      <c r="E439" s="20" t="str">
        <f t="shared" si="36"/>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37"/>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140</v>
      </c>
      <c r="E440" s="20" t="str">
        <f t="shared" si="36"/>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37"/>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360</v>
      </c>
      <c r="B441" s="26" t="s">
        <v>169</v>
      </c>
      <c r="C441" s="26" t="s">
        <v>123</v>
      </c>
      <c r="D441" s="26" t="s">
        <v>113</v>
      </c>
      <c r="E441" s="20" t="s">
        <v>398</v>
      </c>
      <c r="F441" s="21" t="str">
        <f>IF(OR(E441="",E441="!!!"),"",IF(NOT(ISNA(VLOOKUP(E441,E$1:E440,1,FALSE()))),"OLD",IF(AND(E441&lt;&gt;"",E441&lt;&gt;"!!!"),"NEW","")))</f>
        <v>OLD</v>
      </c>
      <c r="G441" s="22" t="s">
        <v>414</v>
      </c>
      <c r="H441" s="23" t="str">
        <f t="shared" ca="1" si="37"/>
        <v/>
      </c>
      <c r="I441" s="24" t="str">
        <f>IF(OR(E441="",E441="!!!",F441="NEW"),"",INDEX(B$2:B440,-1+SUMPRODUCT(MAX(ROW(E$2:E440)*(E441=E$2:E440)))))</f>
        <v>SBJ</v>
      </c>
      <c r="J441" s="24">
        <f ca="1">IF(OR(E441="",E441="!!!",F441="NEW"),"",COUNTBLANK(OFFSET(A$1,,,SUMPRODUCT(MAX(ROW(E$2:E441)*(E441=E$2:E441)))))-COUNTBLANK(OFFSET(A$1,,,SUMPRODUCT(MAX(ROW(E$1:E440)*(E2=E$1:E440))))))</f>
        <v>0</v>
      </c>
      <c r="K441" s="24" t="str">
        <f ca="1">IF(OR(E441="",E441="!!!",F441="NEW"),"",INDEX(J$1:J440,SUMPRODUCT(MAX(ROW(E$1:E440)*(E441=E$1:E440)))))</f>
        <v/>
      </c>
      <c r="L441" s="25"/>
    </row>
    <row r="442" spans="1:12" x14ac:dyDescent="0.3">
      <c r="A442" t="s">
        <v>361</v>
      </c>
      <c r="E442" s="20" t="str">
        <f t="shared" si="36"/>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37"/>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3" spans="1:12" x14ac:dyDescent="0.3">
      <c r="A443" t="s">
        <v>151</v>
      </c>
      <c r="E443" s="20" t="str">
        <f t="shared" si="36"/>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37"/>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3">
      <c r="A444" t="s">
        <v>362</v>
      </c>
      <c r="E444" s="20" t="str">
        <f t="shared" si="36"/>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t="shared" ca="1" si="37"/>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363</v>
      </c>
      <c r="E445" s="20" t="str">
        <f t="shared" si="36"/>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37"/>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12</v>
      </c>
      <c r="E446" s="20" t="str">
        <f t="shared" si="36"/>
        <v/>
      </c>
      <c r="F446" s="21" t="str">
        <f>IF(OR(E446="",E446="!!!"),"",IF(NOT(ISNA(VLOOKUP(E446,E$1:E445,1,FALSE()))),"OLD",IF(AND(E446&lt;&gt;"",E446&lt;&gt;"!!!"),"NEW","")))</f>
        <v/>
      </c>
      <c r="G446" s="22" t="str">
        <f>IF(OR(E446="",E446="!!!"),"",IF(OR(J446=0,AND(J446=1,K446=1),AND(J446=1,I446="SBJ"),AND(J446=1,I446=0)),"?IN_FOCUS",IF(J446&lt;=2,"?ACTIVATED",IF(J446&lt;&gt;"","?FAMILIAR",IF(F446="NEW",IF(ISNA(VLOOKUP(E446,#REF!,1,FALSE())),"?TYPE_IDENTIFIABLE","?REFERENTIAL"),"_")))))</f>
        <v/>
      </c>
      <c r="H446" s="23" t="str">
        <f t="shared" ca="1" si="37"/>
        <v/>
      </c>
      <c r="I446" s="24" t="str">
        <f>IF(OR(E446="",E446="!!!",F446="NEW"),"",INDEX(B$2:B445,-1+SUMPRODUCT(MAX(ROW(E$2:E445)*(E446=E$2:E445)))))</f>
        <v/>
      </c>
      <c r="J446" s="24" t="str">
        <f ca="1">IF(OR(E446="",E446="!!!",F446="NEW"),"",COUNTBLANK(OFFSET(A$1,,,SUMPRODUCT(MAX(ROW(E$2:E446)*(E446=E$2:E446)))))-COUNTBLANK(OFFSET(A$1,,,SUMPRODUCT(MAX(ROW(E$1:E445)*(E2=E$1:E445))))))</f>
        <v/>
      </c>
      <c r="K446" s="24" t="str">
        <f>IF(OR(E446="",E446="!!!",F446="NEW"),"",INDEX(J$1:J445,SUMPRODUCT(MAX(ROW(E$1:E445)*(E446=E$1:E445)))))</f>
        <v/>
      </c>
      <c r="L446" s="25"/>
    </row>
    <row r="447" spans="1:12" x14ac:dyDescent="0.3">
      <c r="A447" t="s">
        <v>224</v>
      </c>
      <c r="E447" s="20" t="str">
        <f t="shared" si="36"/>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37"/>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364</v>
      </c>
      <c r="B448" s="26" t="s">
        <v>117</v>
      </c>
      <c r="C448" s="26" t="s">
        <v>176</v>
      </c>
      <c r="E448" s="20" t="str">
        <f t="shared" si="36"/>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37"/>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365</v>
      </c>
      <c r="B449" s="26" t="s">
        <v>111</v>
      </c>
      <c r="C449" s="26" t="s">
        <v>118</v>
      </c>
      <c r="E449" s="20" t="str">
        <f t="shared" si="36"/>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37"/>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366</v>
      </c>
      <c r="E450" s="20" t="str">
        <f t="shared" si="36"/>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37"/>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367</v>
      </c>
      <c r="B451" s="26" t="s">
        <v>122</v>
      </c>
      <c r="C451" s="26" t="s">
        <v>149</v>
      </c>
      <c r="D451" s="26" t="s">
        <v>113</v>
      </c>
      <c r="E451" s="20" t="s">
        <v>413</v>
      </c>
      <c r="F451" s="21" t="str">
        <f>IF(OR(E451="",E451="!!!"),"",IF(NOT(ISNA(VLOOKUP(E451,E$1:E450,1,FALSE()))),"OLD",IF(AND(E451&lt;&gt;"",E451&lt;&gt;"!!!"),"NEW","")))</f>
        <v>OLD</v>
      </c>
      <c r="G451" s="22" t="s">
        <v>417</v>
      </c>
      <c r="H451" s="23" t="str">
        <f t="shared" ca="1" si="37"/>
        <v/>
      </c>
      <c r="I451" s="24" t="str">
        <f>IF(OR(E451="",E451="!!!",F451="NEW"),"",INDEX(B$2:B450,-1+SUMPRODUCT(MAX(ROW(E$2:E450)*(E451=E$2:E450)))))</f>
        <v>SBJ_2</v>
      </c>
      <c r="J451" s="24">
        <f ca="1">IF(OR(E451="",E451="!!!",F451="NEW"),"",COUNTBLANK(OFFSET(A$1,,,SUMPRODUCT(MAX(ROW(E$2:E451)*(E451=E$2:E451)))))-COUNTBLANK(OFFSET(A$1,,,SUMPRODUCT(MAX(ROW(E$1:E450)*(E2=E$1:E450))))))</f>
        <v>0</v>
      </c>
      <c r="K451" s="24">
        <f ca="1">IF(OR(E451="",E451="!!!",F451="NEW"),"",INDEX(J$1:J450,SUMPRODUCT(MAX(ROW(E$1:E450)*(E451=E$1:E450)))))</f>
        <v>0</v>
      </c>
      <c r="L451" s="25"/>
    </row>
    <row r="452" spans="1:12" x14ac:dyDescent="0.3">
      <c r="A452" t="s">
        <v>368</v>
      </c>
      <c r="E452" s="20" t="str">
        <f t="shared" si="36"/>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37"/>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369</v>
      </c>
      <c r="B453" s="26" t="s">
        <v>117</v>
      </c>
      <c r="C453" s="26" t="s">
        <v>176</v>
      </c>
      <c r="E453" s="20" t="str">
        <f t="shared" si="36"/>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t="shared" ca="1" si="37"/>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340</v>
      </c>
      <c r="B454" s="26" t="s">
        <v>217</v>
      </c>
      <c r="C454" s="26" t="s">
        <v>165</v>
      </c>
      <c r="E454" s="20" t="str">
        <f t="shared" si="36"/>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37"/>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126</v>
      </c>
      <c r="E455" s="20" t="str">
        <f t="shared" si="36"/>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37"/>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7" spans="1:12" x14ac:dyDescent="0.3">
      <c r="A457" t="s">
        <v>370</v>
      </c>
    </row>
    <row r="458" spans="1:12" x14ac:dyDescent="0.3">
      <c r="A458" t="s">
        <v>371</v>
      </c>
      <c r="E458" s="20" t="str">
        <f t="shared" ref="E458:E463" si="38">IF(D458="?OLD","!!!","")</f>
        <v/>
      </c>
      <c r="F458" s="21" t="str">
        <f>IF(OR(E458="",E458="!!!"),"",IF(NOT(ISNA(VLOOKUP(E458,E$1:E457,1,FALSE()))),"OLD",IF(AND(E458&lt;&gt;"",E458&lt;&gt;"!!!"),"NEW","")))</f>
        <v/>
      </c>
      <c r="G458" s="22" t="str">
        <f>IF(OR(E458="",E458="!!!"),"",IF(OR(J458=0,AND(J458=1,K458=1),AND(J458=1,I458="SBJ"),AND(J458=1,I458=0)),"?IN_FOCUS",IF(J458&lt;=2,"?ACTIVATED",IF(J458&lt;&gt;"","?FAMILIAR",IF(F458="NEW",IF(ISNA(VLOOKUP(E458,#REF!,1,FALSE())),"?TYPE_IDENTIFIABLE","?REFERENTIAL"),"_")))))</f>
        <v/>
      </c>
      <c r="H458" s="23" t="str">
        <f t="shared" ref="H458:H463" ca="1" si="39">IF(J458&lt;&gt;1,"",IF(I458="SBJ","CB","?"))</f>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372</v>
      </c>
      <c r="E459" s="20" t="str">
        <f t="shared" si="38"/>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39"/>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373</v>
      </c>
      <c r="B460" s="26" t="s">
        <v>122</v>
      </c>
      <c r="C460" s="26" t="s">
        <v>176</v>
      </c>
      <c r="E460" s="20" t="str">
        <f t="shared" si="38"/>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39"/>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346</v>
      </c>
      <c r="E461" s="20" t="str">
        <f t="shared" si="38"/>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39"/>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374</v>
      </c>
      <c r="E462" s="20" t="str">
        <f t="shared" si="38"/>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39"/>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126</v>
      </c>
      <c r="E463" s="20" t="str">
        <f t="shared" si="38"/>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39"/>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2024-12-05T17:52:25Z</dcterms:created>
  <dcterms:modified xsi:type="dcterms:W3CDTF">2025-02-02T13:55:54Z</dcterms:modified>
</cp:coreProperties>
</file>