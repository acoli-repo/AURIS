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BA37BC1E-82C3-47DF-A19A-4027D1029D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487" i="2" l="1"/>
  <c r="K487" i="2" s="1"/>
  <c r="E487" i="2"/>
  <c r="E486" i="2"/>
  <c r="G484" i="2"/>
  <c r="G483" i="2"/>
  <c r="E483" i="2"/>
  <c r="F483" i="2" s="1"/>
  <c r="G482" i="2"/>
  <c r="K482" i="2"/>
  <c r="F481" i="2"/>
  <c r="E481" i="2"/>
  <c r="E480" i="2"/>
  <c r="F479" i="2"/>
  <c r="K479" i="2" s="1"/>
  <c r="E478" i="2"/>
  <c r="E476" i="2"/>
  <c r="G476" i="2" s="1"/>
  <c r="G473" i="2"/>
  <c r="F473" i="2"/>
  <c r="K473" i="2" s="1"/>
  <c r="E473" i="2"/>
  <c r="G472" i="2"/>
  <c r="F472" i="2"/>
  <c r="I472" i="2" s="1"/>
  <c r="E472" i="2"/>
  <c r="F471" i="2"/>
  <c r="E471" i="2"/>
  <c r="E470" i="2"/>
  <c r="F469" i="2"/>
  <c r="K469" i="2" s="1"/>
  <c r="E469" i="2"/>
  <c r="E468" i="2"/>
  <c r="E467" i="2"/>
  <c r="G467" i="2" s="1"/>
  <c r="F466" i="2"/>
  <c r="G465" i="2"/>
  <c r="F465" i="2"/>
  <c r="K465" i="2" s="1"/>
  <c r="E465" i="2"/>
  <c r="G464" i="2"/>
  <c r="F464" i="2"/>
  <c r="I464" i="2" s="1"/>
  <c r="E464" i="2"/>
  <c r="F463" i="2"/>
  <c r="E463" i="2"/>
  <c r="E462" i="2"/>
  <c r="F461" i="2"/>
  <c r="K461" i="2" s="1"/>
  <c r="E460" i="2"/>
  <c r="E459" i="2"/>
  <c r="G459" i="2" s="1"/>
  <c r="G458" i="2"/>
  <c r="E458" i="2"/>
  <c r="F458" i="2" s="1"/>
  <c r="I458" i="2" s="1"/>
  <c r="G457" i="2"/>
  <c r="F457" i="2"/>
  <c r="K457" i="2" s="1"/>
  <c r="E457" i="2"/>
  <c r="F456" i="2"/>
  <c r="I456" i="2" s="1"/>
  <c r="F455" i="2"/>
  <c r="E455" i="2"/>
  <c r="E454" i="2"/>
  <c r="F453" i="2"/>
  <c r="K453" i="2" s="1"/>
  <c r="E453" i="2"/>
  <c r="E451" i="2"/>
  <c r="G451" i="2" s="1"/>
  <c r="G450" i="2"/>
  <c r="E450" i="2"/>
  <c r="F450" i="2" s="1"/>
  <c r="I450" i="2" s="1"/>
  <c r="F449" i="2"/>
  <c r="K449" i="2" s="1"/>
  <c r="G448" i="2"/>
  <c r="F448" i="2"/>
  <c r="I448" i="2" s="1"/>
  <c r="E448" i="2"/>
  <c r="F445" i="2"/>
  <c r="E445" i="2"/>
  <c r="E444" i="2"/>
  <c r="F443" i="2"/>
  <c r="K443" i="2" s="1"/>
  <c r="E443" i="2"/>
  <c r="E442" i="2"/>
  <c r="E441" i="2"/>
  <c r="G441" i="2" s="1"/>
  <c r="G440" i="2"/>
  <c r="E440" i="2"/>
  <c r="F440" i="2" s="1"/>
  <c r="G439" i="2"/>
  <c r="F439" i="2"/>
  <c r="I439" i="2" s="1"/>
  <c r="E439" i="2"/>
  <c r="G438" i="2"/>
  <c r="F438" i="2"/>
  <c r="I438" i="2" s="1"/>
  <c r="E438" i="2"/>
  <c r="F437" i="2"/>
  <c r="E437" i="2"/>
  <c r="G436" i="2"/>
  <c r="E436" i="2"/>
  <c r="F435" i="2"/>
  <c r="E435" i="2"/>
  <c r="E434" i="2"/>
  <c r="E433" i="2"/>
  <c r="G433" i="2" s="1"/>
  <c r="G432" i="2"/>
  <c r="E432" i="2"/>
  <c r="F432" i="2" s="1"/>
  <c r="J432" i="2" s="1"/>
  <c r="H432" i="2" s="1"/>
  <c r="G431" i="2"/>
  <c r="F431" i="2"/>
  <c r="I431" i="2" s="1"/>
  <c r="E431" i="2"/>
  <c r="G430" i="2"/>
  <c r="F430" i="2"/>
  <c r="I430" i="2" s="1"/>
  <c r="E430" i="2"/>
  <c r="G428" i="2"/>
  <c r="E428" i="2"/>
  <c r="F427" i="2"/>
  <c r="E427" i="2"/>
  <c r="G425" i="2"/>
  <c r="E425" i="2"/>
  <c r="F425" i="2" s="1"/>
  <c r="G424" i="2"/>
  <c r="F424" i="2"/>
  <c r="K424" i="2" s="1"/>
  <c r="E424" i="2"/>
  <c r="G423" i="2"/>
  <c r="I423" i="2"/>
  <c r="F422" i="2"/>
  <c r="I422" i="2" s="1"/>
  <c r="F421" i="2"/>
  <c r="E421" i="2"/>
  <c r="F419" i="2"/>
  <c r="J419" i="2" s="1"/>
  <c r="H419" i="2" s="1"/>
  <c r="E419" i="2"/>
  <c r="G417" i="2"/>
  <c r="E417" i="2"/>
  <c r="F417" i="2" s="1"/>
  <c r="K417" i="2" s="1"/>
  <c r="G416" i="2"/>
  <c r="F416" i="2"/>
  <c r="J416" i="2" s="1"/>
  <c r="H416" i="2" s="1"/>
  <c r="E416" i="2"/>
  <c r="G415" i="2"/>
  <c r="F415" i="2"/>
  <c r="I415" i="2" s="1"/>
  <c r="E415" i="2"/>
  <c r="E412" i="2"/>
  <c r="E411" i="2"/>
  <c r="F409" i="2"/>
  <c r="K409" i="2" s="1"/>
  <c r="E409" i="2"/>
  <c r="E408" i="2"/>
  <c r="G407" i="2"/>
  <c r="E407" i="2"/>
  <c r="F407" i="2" s="1"/>
  <c r="G406" i="2"/>
  <c r="F406" i="2"/>
  <c r="J406" i="2" s="1"/>
  <c r="H406" i="2" s="1"/>
  <c r="E406" i="2"/>
  <c r="G405" i="2"/>
  <c r="F405" i="2"/>
  <c r="I405" i="2" s="1"/>
  <c r="E405" i="2"/>
  <c r="E403" i="2"/>
  <c r="F401" i="2"/>
  <c r="K401" i="2" s="1"/>
  <c r="E401" i="2"/>
  <c r="G399" i="2"/>
  <c r="E399" i="2"/>
  <c r="F399" i="2" s="1"/>
  <c r="K399" i="2" s="1"/>
  <c r="F398" i="2"/>
  <c r="J398" i="2" s="1"/>
  <c r="H398" i="2" s="1"/>
  <c r="G397" i="2"/>
  <c r="F397" i="2"/>
  <c r="J397" i="2" s="1"/>
  <c r="H397" i="2" s="1"/>
  <c r="E397" i="2"/>
  <c r="G396" i="2"/>
  <c r="F396" i="2"/>
  <c r="E396" i="2"/>
  <c r="E395" i="2"/>
  <c r="F393" i="2"/>
  <c r="I393" i="2" s="1"/>
  <c r="E393" i="2"/>
  <c r="G393" i="2" s="1"/>
  <c r="E392" i="2"/>
  <c r="G391" i="2"/>
  <c r="E391" i="2"/>
  <c r="F391" i="2" s="1"/>
  <c r="K391" i="2" s="1"/>
  <c r="F390" i="2"/>
  <c r="J390" i="2" s="1"/>
  <c r="H390" i="2" s="1"/>
  <c r="F389" i="2"/>
  <c r="E389" i="2"/>
  <c r="F388" i="2"/>
  <c r="I388" i="2" s="1"/>
  <c r="E388" i="2"/>
  <c r="G387" i="2"/>
  <c r="E387" i="2"/>
  <c r="E385" i="2"/>
  <c r="G385" i="2" s="1"/>
  <c r="E382" i="2"/>
  <c r="G381" i="2"/>
  <c r="E381" i="2"/>
  <c r="F381" i="2" s="1"/>
  <c r="G380" i="2"/>
  <c r="F380" i="2"/>
  <c r="I380" i="2" s="1"/>
  <c r="E380" i="2"/>
  <c r="E379" i="2"/>
  <c r="G378" i="2"/>
  <c r="G377" i="2"/>
  <c r="F377" i="2"/>
  <c r="K377" i="2" s="1"/>
  <c r="E377" i="2"/>
  <c r="G376" i="2"/>
  <c r="F376" i="2"/>
  <c r="K376" i="2" s="1"/>
  <c r="E376" i="2"/>
  <c r="F375" i="2"/>
  <c r="E375" i="2"/>
  <c r="E374" i="2"/>
  <c r="G373" i="2"/>
  <c r="E373" i="2"/>
  <c r="F373" i="2" s="1"/>
  <c r="K373" i="2" s="1"/>
  <c r="G372" i="2"/>
  <c r="F372" i="2"/>
  <c r="J372" i="2" s="1"/>
  <c r="H372" i="2" s="1"/>
  <c r="E372" i="2"/>
  <c r="F371" i="2"/>
  <c r="F370" i="2"/>
  <c r="I370" i="2" s="1"/>
  <c r="E370" i="2"/>
  <c r="G369" i="2"/>
  <c r="E369" i="2"/>
  <c r="E368" i="2"/>
  <c r="G367" i="2"/>
  <c r="G366" i="2"/>
  <c r="F366" i="2"/>
  <c r="K366" i="2" s="1"/>
  <c r="E366" i="2"/>
  <c r="G363" i="2"/>
  <c r="E363" i="2"/>
  <c r="F363" i="2" s="1"/>
  <c r="K363" i="2" s="1"/>
  <c r="G362" i="2"/>
  <c r="F362" i="2"/>
  <c r="J362" i="2" s="1"/>
  <c r="H362" i="2" s="1"/>
  <c r="E362" i="2"/>
  <c r="F361" i="2"/>
  <c r="E361" i="2"/>
  <c r="E360" i="2"/>
  <c r="G359" i="2"/>
  <c r="E359" i="2"/>
  <c r="F359" i="2" s="1"/>
  <c r="F358" i="2"/>
  <c r="I358" i="2" s="1"/>
  <c r="E358" i="2"/>
  <c r="G358" i="2" s="1"/>
  <c r="E357" i="2"/>
  <c r="F356" i="2"/>
  <c r="G355" i="2"/>
  <c r="E355" i="2"/>
  <c r="F355" i="2" s="1"/>
  <c r="K355" i="2" s="1"/>
  <c r="G354" i="2"/>
  <c r="F354" i="2"/>
  <c r="J354" i="2" s="1"/>
  <c r="H354" i="2" s="1"/>
  <c r="E354" i="2"/>
  <c r="E352" i="2"/>
  <c r="G351" i="2"/>
  <c r="E351" i="2"/>
  <c r="F351" i="2" s="1"/>
  <c r="K351" i="2" s="1"/>
  <c r="F350" i="2"/>
  <c r="I350" i="2" s="1"/>
  <c r="E350" i="2"/>
  <c r="G350" i="2" s="1"/>
  <c r="E349" i="2"/>
  <c r="G348" i="2"/>
  <c r="F348" i="2"/>
  <c r="K348" i="2" s="1"/>
  <c r="E348" i="2"/>
  <c r="F347" i="2"/>
  <c r="G346" i="2"/>
  <c r="F346" i="2"/>
  <c r="J346" i="2" s="1"/>
  <c r="H346" i="2" s="1"/>
  <c r="E346" i="2"/>
  <c r="F345" i="2"/>
  <c r="E345" i="2"/>
  <c r="E344" i="2"/>
  <c r="F343" i="2"/>
  <c r="F342" i="2"/>
  <c r="I342" i="2" s="1"/>
  <c r="E342" i="2"/>
  <c r="G342" i="2" s="1"/>
  <c r="E341" i="2"/>
  <c r="G340" i="2"/>
  <c r="F340" i="2"/>
  <c r="K340" i="2" s="1"/>
  <c r="E340" i="2"/>
  <c r="G339" i="2"/>
  <c r="E339" i="2"/>
  <c r="F339" i="2" s="1"/>
  <c r="K339" i="2" s="1"/>
  <c r="G338" i="2"/>
  <c r="F338" i="2"/>
  <c r="J338" i="2" s="1"/>
  <c r="H338" i="2" s="1"/>
  <c r="E338" i="2"/>
  <c r="E337" i="2"/>
  <c r="G335" i="2"/>
  <c r="E335" i="2"/>
  <c r="F335" i="2" s="1"/>
  <c r="K335" i="2" s="1"/>
  <c r="F334" i="2"/>
  <c r="I334" i="2" s="1"/>
  <c r="E334" i="2"/>
  <c r="G334" i="2" s="1"/>
  <c r="E333" i="2"/>
  <c r="G332" i="2"/>
  <c r="F332" i="2"/>
  <c r="K332" i="2" s="1"/>
  <c r="E332" i="2"/>
  <c r="G331" i="2"/>
  <c r="E331" i="2"/>
  <c r="F331" i="2" s="1"/>
  <c r="K331" i="2" s="1"/>
  <c r="F330" i="2"/>
  <c r="J330" i="2" s="1"/>
  <c r="H330" i="2" s="1"/>
  <c r="F329" i="2"/>
  <c r="E328" i="2"/>
  <c r="G327" i="2"/>
  <c r="F326" i="2"/>
  <c r="I326" i="2" s="1"/>
  <c r="E326" i="2"/>
  <c r="G326" i="2" s="1"/>
  <c r="E325" i="2"/>
  <c r="F324" i="2"/>
  <c r="K324" i="2" s="1"/>
  <c r="G323" i="2"/>
  <c r="E323" i="2"/>
  <c r="F323" i="2" s="1"/>
  <c r="K323" i="2" s="1"/>
  <c r="G321" i="2"/>
  <c r="F321" i="2"/>
  <c r="J321" i="2" s="1"/>
  <c r="H321" i="2" s="1"/>
  <c r="E321" i="2"/>
  <c r="E319" i="2"/>
  <c r="G317" i="2"/>
  <c r="E317" i="2"/>
  <c r="F317" i="2" s="1"/>
  <c r="K317" i="2" s="1"/>
  <c r="F316" i="2"/>
  <c r="K316" i="2" s="1"/>
  <c r="E316" i="2"/>
  <c r="G316" i="2" s="1"/>
  <c r="E315" i="2"/>
  <c r="G314" i="2"/>
  <c r="F314" i="2"/>
  <c r="E314" i="2"/>
  <c r="F313" i="2"/>
  <c r="G312" i="2"/>
  <c r="F312" i="2"/>
  <c r="J312" i="2" s="1"/>
  <c r="H312" i="2" s="1"/>
  <c r="E312" i="2"/>
  <c r="F311" i="2"/>
  <c r="K311" i="2" s="1"/>
  <c r="E311" i="2"/>
  <c r="E310" i="2"/>
  <c r="G309" i="2"/>
  <c r="E309" i="2"/>
  <c r="F309" i="2" s="1"/>
  <c r="F308" i="2"/>
  <c r="I308" i="2" s="1"/>
  <c r="E308" i="2"/>
  <c r="G308" i="2" s="1"/>
  <c r="G307" i="2"/>
  <c r="E307" i="2"/>
  <c r="G306" i="2"/>
  <c r="F306" i="2"/>
  <c r="E306" i="2"/>
  <c r="E305" i="2"/>
  <c r="F304" i="2"/>
  <c r="J304" i="2" s="1"/>
  <c r="H304" i="2" s="1"/>
  <c r="E304" i="2"/>
  <c r="E303" i="2"/>
  <c r="G301" i="2"/>
  <c r="F301" i="2"/>
  <c r="K301" i="2" s="1"/>
  <c r="E301" i="2"/>
  <c r="F300" i="2"/>
  <c r="K300" i="2" s="1"/>
  <c r="E300" i="2"/>
  <c r="G300" i="2" s="1"/>
  <c r="G299" i="2"/>
  <c r="E299" i="2"/>
  <c r="G298" i="2"/>
  <c r="F298" i="2"/>
  <c r="E298" i="2"/>
  <c r="G297" i="2"/>
  <c r="E297" i="2"/>
  <c r="E296" i="2"/>
  <c r="E295" i="2"/>
  <c r="E294" i="2"/>
  <c r="G293" i="2"/>
  <c r="F293" i="2"/>
  <c r="K293" i="2" s="1"/>
  <c r="E293" i="2"/>
  <c r="E292" i="2"/>
  <c r="G292" i="2" s="1"/>
  <c r="G291" i="2"/>
  <c r="E291" i="2"/>
  <c r="G290" i="2"/>
  <c r="F290" i="2"/>
  <c r="K290" i="2" s="1"/>
  <c r="E290" i="2"/>
  <c r="F289" i="2"/>
  <c r="G288" i="2"/>
  <c r="F288" i="2"/>
  <c r="J288" i="2" s="1"/>
  <c r="H288" i="2" s="1"/>
  <c r="E288" i="2"/>
  <c r="G286" i="2"/>
  <c r="F286" i="2"/>
  <c r="K286" i="2" s="1"/>
  <c r="E286" i="2"/>
  <c r="G283" i="2"/>
  <c r="E283" i="2"/>
  <c r="E282" i="2"/>
  <c r="E281" i="2"/>
  <c r="F280" i="2"/>
  <c r="J280" i="2" s="1"/>
  <c r="H280" i="2" s="1"/>
  <c r="E279" i="2"/>
  <c r="G277" i="2"/>
  <c r="E277" i="2"/>
  <c r="F277" i="2" s="1"/>
  <c r="K277" i="2" s="1"/>
  <c r="F276" i="2"/>
  <c r="J276" i="2" s="1"/>
  <c r="H276" i="2" s="1"/>
  <c r="F275" i="2"/>
  <c r="I275" i="2" s="1"/>
  <c r="E275" i="2"/>
  <c r="G275" i="2" s="1"/>
  <c r="E274" i="2"/>
  <c r="G272" i="2"/>
  <c r="F272" i="2"/>
  <c r="K272" i="2" s="1"/>
  <c r="E271" i="2"/>
  <c r="E270" i="2"/>
  <c r="G270" i="2" s="1"/>
  <c r="G269" i="2"/>
  <c r="E269" i="2"/>
  <c r="F269" i="2" s="1"/>
  <c r="K269" i="2" s="1"/>
  <c r="G268" i="2"/>
  <c r="F268" i="2"/>
  <c r="E268" i="2"/>
  <c r="G267" i="2"/>
  <c r="F267" i="2"/>
  <c r="I267" i="2" s="1"/>
  <c r="E267" i="2"/>
  <c r="G265" i="2"/>
  <c r="E265" i="2"/>
  <c r="G264" i="2"/>
  <c r="F264" i="2"/>
  <c r="E264" i="2"/>
  <c r="E263" i="2"/>
  <c r="G263" i="2" s="1"/>
  <c r="E262" i="2"/>
  <c r="G261" i="2"/>
  <c r="E261" i="2"/>
  <c r="F261" i="2" s="1"/>
  <c r="I261" i="2" s="1"/>
  <c r="F260" i="2"/>
  <c r="I260" i="2" s="1"/>
  <c r="G259" i="2"/>
  <c r="E258" i="2"/>
  <c r="E257" i="2"/>
  <c r="G256" i="2"/>
  <c r="F256" i="2"/>
  <c r="J256" i="2" s="1"/>
  <c r="H256" i="2" s="1"/>
  <c r="E256" i="2"/>
  <c r="J255" i="2"/>
  <c r="H255" i="2" s="1"/>
  <c r="G255" i="2"/>
  <c r="E254" i="2"/>
  <c r="F253" i="2"/>
  <c r="G250" i="2"/>
  <c r="F250" i="2"/>
  <c r="E250" i="2"/>
  <c r="E249" i="2"/>
  <c r="F248" i="2"/>
  <c r="I248" i="2" s="1"/>
  <c r="E248" i="2"/>
  <c r="G246" i="2"/>
  <c r="F246" i="2"/>
  <c r="J246" i="2" s="1"/>
  <c r="H246" i="2" s="1"/>
  <c r="E246" i="2"/>
  <c r="E244" i="2"/>
  <c r="G243" i="2"/>
  <c r="E243" i="2"/>
  <c r="F243" i="2" s="1"/>
  <c r="K243" i="2" s="1"/>
  <c r="G242" i="2"/>
  <c r="F242" i="2"/>
  <c r="E242" i="2"/>
  <c r="E241" i="2"/>
  <c r="E240" i="2"/>
  <c r="G238" i="2"/>
  <c r="F238" i="2"/>
  <c r="K238" i="2" s="1"/>
  <c r="E238" i="2"/>
  <c r="E237" i="2"/>
  <c r="E236" i="2"/>
  <c r="G235" i="2"/>
  <c r="E235" i="2"/>
  <c r="F235" i="2" s="1"/>
  <c r="K235" i="2" s="1"/>
  <c r="F234" i="2"/>
  <c r="I234" i="2" s="1"/>
  <c r="G231" i="2"/>
  <c r="F231" i="2"/>
  <c r="I231" i="2" s="1"/>
  <c r="E231" i="2"/>
  <c r="E230" i="2"/>
  <c r="G228" i="2"/>
  <c r="F228" i="2"/>
  <c r="E226" i="2"/>
  <c r="K225" i="2"/>
  <c r="F224" i="2"/>
  <c r="I224" i="2" s="1"/>
  <c r="E223" i="2"/>
  <c r="E222" i="2"/>
  <c r="F220" i="2"/>
  <c r="E220" i="2"/>
  <c r="G219" i="2"/>
  <c r="F219" i="2"/>
  <c r="I219" i="2" s="1"/>
  <c r="E219" i="2"/>
  <c r="E218" i="2"/>
  <c r="G218" i="2" s="1"/>
  <c r="G217" i="2"/>
  <c r="G216" i="2"/>
  <c r="F216" i="2"/>
  <c r="K216" i="2" s="1"/>
  <c r="E216" i="2"/>
  <c r="F215" i="2"/>
  <c r="K215" i="2" s="1"/>
  <c r="E215" i="2"/>
  <c r="F214" i="2"/>
  <c r="I214" i="2" s="1"/>
  <c r="G213" i="2"/>
  <c r="E213" i="2"/>
  <c r="E212" i="2"/>
  <c r="E211" i="2"/>
  <c r="G211" i="2" s="1"/>
  <c r="F210" i="2"/>
  <c r="E209" i="2"/>
  <c r="G208" i="2"/>
  <c r="F208" i="2"/>
  <c r="K208" i="2" s="1"/>
  <c r="E208" i="2"/>
  <c r="E207" i="2"/>
  <c r="G204" i="2"/>
  <c r="E204" i="2"/>
  <c r="F204" i="2" s="1"/>
  <c r="I204" i="2" s="1"/>
  <c r="G203" i="2"/>
  <c r="F203" i="2"/>
  <c r="K203" i="2" s="1"/>
  <c r="E203" i="2"/>
  <c r="G201" i="2"/>
  <c r="E201" i="2"/>
  <c r="F200" i="2"/>
  <c r="G199" i="2"/>
  <c r="E199" i="2"/>
  <c r="F198" i="2"/>
  <c r="K198" i="2" s="1"/>
  <c r="G196" i="2"/>
  <c r="E196" i="2"/>
  <c r="F196" i="2" s="1"/>
  <c r="J196" i="2" s="1"/>
  <c r="H196" i="2" s="1"/>
  <c r="G195" i="2"/>
  <c r="F195" i="2"/>
  <c r="I195" i="2" s="1"/>
  <c r="E195" i="2"/>
  <c r="F194" i="2"/>
  <c r="E194" i="2"/>
  <c r="F192" i="2"/>
  <c r="K192" i="2" s="1"/>
  <c r="E192" i="2"/>
  <c r="E191" i="2"/>
  <c r="G190" i="2"/>
  <c r="F190" i="2"/>
  <c r="K190" i="2" s="1"/>
  <c r="E190" i="2"/>
  <c r="E189" i="2"/>
  <c r="F188" i="2"/>
  <c r="J188" i="2" s="1"/>
  <c r="H188" i="2" s="1"/>
  <c r="G187" i="2"/>
  <c r="F187" i="2"/>
  <c r="I187" i="2" s="1"/>
  <c r="E187" i="2"/>
  <c r="G185" i="2"/>
  <c r="E185" i="2"/>
  <c r="F184" i="2"/>
  <c r="K184" i="2" s="1"/>
  <c r="E184" i="2"/>
  <c r="F182" i="2"/>
  <c r="E181" i="2"/>
  <c r="G180" i="2"/>
  <c r="E180" i="2"/>
  <c r="G177" i="2"/>
  <c r="F177" i="2"/>
  <c r="I177" i="2" s="1"/>
  <c r="E177" i="2"/>
  <c r="G176" i="2"/>
  <c r="F176" i="2"/>
  <c r="K176" i="2" s="1"/>
  <c r="E176" i="2"/>
  <c r="F175" i="2"/>
  <c r="J175" i="2" s="1"/>
  <c r="H175" i="2" s="1"/>
  <c r="E174" i="2"/>
  <c r="F174" i="2" s="1"/>
  <c r="G173" i="2"/>
  <c r="E173" i="2"/>
  <c r="G172" i="2"/>
  <c r="F172" i="2"/>
  <c r="K172" i="2" s="1"/>
  <c r="E172" i="2"/>
  <c r="K171" i="2"/>
  <c r="G170" i="2"/>
  <c r="E170" i="2"/>
  <c r="G169" i="2"/>
  <c r="F169" i="2"/>
  <c r="K169" i="2" s="1"/>
  <c r="E169" i="2"/>
  <c r="G168" i="2"/>
  <c r="E168" i="2"/>
  <c r="E167" i="2"/>
  <c r="E166" i="2"/>
  <c r="G165" i="2"/>
  <c r="E165" i="2"/>
  <c r="G164" i="2"/>
  <c r="F164" i="2"/>
  <c r="K164" i="2" s="1"/>
  <c r="E164" i="2"/>
  <c r="F163" i="2"/>
  <c r="I163" i="2" s="1"/>
  <c r="E162" i="2"/>
  <c r="F161" i="2"/>
  <c r="G158" i="2"/>
  <c r="F158" i="2"/>
  <c r="J158" i="2" s="1"/>
  <c r="H158" i="2" s="1"/>
  <c r="E158" i="2"/>
  <c r="F157" i="2"/>
  <c r="I157" i="2" s="1"/>
  <c r="E156" i="2"/>
  <c r="F156" i="2" s="1"/>
  <c r="G155" i="2"/>
  <c r="E155" i="2"/>
  <c r="G154" i="2"/>
  <c r="F154" i="2"/>
  <c r="K154" i="2" s="1"/>
  <c r="E154" i="2"/>
  <c r="F153" i="2"/>
  <c r="K153" i="2" s="1"/>
  <c r="E153" i="2"/>
  <c r="G153" i="2" s="1"/>
  <c r="G152" i="2"/>
  <c r="E152" i="2"/>
  <c r="G151" i="2"/>
  <c r="F151" i="2"/>
  <c r="K151" i="2" s="1"/>
  <c r="E151" i="2"/>
  <c r="G150" i="2"/>
  <c r="E150" i="2"/>
  <c r="G149" i="2"/>
  <c r="E149" i="2"/>
  <c r="E148" i="2"/>
  <c r="G147" i="2"/>
  <c r="E147" i="2"/>
  <c r="F146" i="2"/>
  <c r="F145" i="2"/>
  <c r="I145" i="2" s="1"/>
  <c r="E145" i="2"/>
  <c r="G145" i="2" s="1"/>
  <c r="E144" i="2"/>
  <c r="G143" i="2"/>
  <c r="F143" i="2"/>
  <c r="K143" i="2" s="1"/>
  <c r="E143" i="2"/>
  <c r="G142" i="2"/>
  <c r="F142" i="2"/>
  <c r="K142" i="2" s="1"/>
  <c r="E142" i="2"/>
  <c r="F141" i="2"/>
  <c r="I141" i="2" s="1"/>
  <c r="E140" i="2"/>
  <c r="F140" i="2" s="1"/>
  <c r="G139" i="2"/>
  <c r="E139" i="2"/>
  <c r="G136" i="2"/>
  <c r="F136" i="2"/>
  <c r="K136" i="2" s="1"/>
  <c r="E136" i="2"/>
  <c r="G135" i="2"/>
  <c r="E135" i="2"/>
  <c r="F134" i="2"/>
  <c r="J134" i="2" s="1"/>
  <c r="H134" i="2" s="1"/>
  <c r="E134" i="2"/>
  <c r="E133" i="2"/>
  <c r="G132" i="2"/>
  <c r="E132" i="2"/>
  <c r="F132" i="2" s="1"/>
  <c r="G131" i="2"/>
  <c r="F131" i="2"/>
  <c r="J131" i="2" s="1"/>
  <c r="H131" i="2" s="1"/>
  <c r="E131" i="2"/>
  <c r="F130" i="2"/>
  <c r="I130" i="2" s="1"/>
  <c r="G130" i="2"/>
  <c r="E129" i="2"/>
  <c r="G129" i="2" s="1"/>
  <c r="G128" i="2"/>
  <c r="F128" i="2"/>
  <c r="K128" i="2" s="1"/>
  <c r="E128" i="2"/>
  <c r="G127" i="2"/>
  <c r="E127" i="2"/>
  <c r="F126" i="2"/>
  <c r="J126" i="2" s="1"/>
  <c r="H126" i="2" s="1"/>
  <c r="E126" i="2"/>
  <c r="E125" i="2"/>
  <c r="G124" i="2"/>
  <c r="E124" i="2"/>
  <c r="F124" i="2" s="1"/>
  <c r="G123" i="2"/>
  <c r="F123" i="2"/>
  <c r="K123" i="2" s="1"/>
  <c r="E123" i="2"/>
  <c r="F122" i="2"/>
  <c r="I122" i="2" s="1"/>
  <c r="E122" i="2"/>
  <c r="G122" i="2" s="1"/>
  <c r="E121" i="2"/>
  <c r="G121" i="2" s="1"/>
  <c r="G120" i="2"/>
  <c r="F120" i="2"/>
  <c r="K120" i="2" s="1"/>
  <c r="E120" i="2"/>
  <c r="G119" i="2"/>
  <c r="F118" i="2"/>
  <c r="J118" i="2" s="1"/>
  <c r="H118" i="2" s="1"/>
  <c r="E118" i="2"/>
  <c r="G116" i="2"/>
  <c r="G115" i="2"/>
  <c r="F115" i="2"/>
  <c r="J115" i="2" s="1"/>
  <c r="H115" i="2" s="1"/>
  <c r="E115" i="2"/>
  <c r="F112" i="2"/>
  <c r="I112" i="2" s="1"/>
  <c r="E112" i="2"/>
  <c r="G112" i="2" s="1"/>
  <c r="E111" i="2"/>
  <c r="G111" i="2" s="1"/>
  <c r="G110" i="2"/>
  <c r="F110" i="2"/>
  <c r="K110" i="2" s="1"/>
  <c r="E110" i="2"/>
  <c r="G109" i="2"/>
  <c r="E109" i="2"/>
  <c r="F108" i="2"/>
  <c r="J108" i="2" s="1"/>
  <c r="H108" i="2" s="1"/>
  <c r="E108" i="2"/>
  <c r="E107" i="2"/>
  <c r="G105" i="2"/>
  <c r="F105" i="2"/>
  <c r="K105" i="2" s="1"/>
  <c r="E105" i="2"/>
  <c r="F104" i="2"/>
  <c r="I104" i="2" s="1"/>
  <c r="E104" i="2"/>
  <c r="G104" i="2" s="1"/>
  <c r="E103" i="2"/>
  <c r="G103" i="2" s="1"/>
  <c r="G102" i="2"/>
  <c r="F102" i="2"/>
  <c r="K102" i="2" s="1"/>
  <c r="E102" i="2"/>
  <c r="G101" i="2"/>
  <c r="E101" i="2"/>
  <c r="F100" i="2"/>
  <c r="J100" i="2" s="1"/>
  <c r="H100" i="2" s="1"/>
  <c r="E100" i="2"/>
  <c r="E99" i="2"/>
  <c r="G98" i="2"/>
  <c r="E98" i="2"/>
  <c r="G97" i="2"/>
  <c r="F97" i="2"/>
  <c r="J97" i="2" s="1"/>
  <c r="H97" i="2" s="1"/>
  <c r="E97" i="2"/>
  <c r="F96" i="2"/>
  <c r="I96" i="2" s="1"/>
  <c r="E96" i="2"/>
  <c r="G96" i="2" s="1"/>
  <c r="G94" i="2"/>
  <c r="F94" i="2"/>
  <c r="K94" i="2" s="1"/>
  <c r="E94" i="2"/>
  <c r="J92" i="2"/>
  <c r="H92" i="2" s="1"/>
  <c r="E91" i="2"/>
  <c r="G88" i="2"/>
  <c r="F88" i="2"/>
  <c r="K88" i="2" s="1"/>
  <c r="E88" i="2"/>
  <c r="G87" i="2"/>
  <c r="F87" i="2"/>
  <c r="K87" i="2" s="1"/>
  <c r="E87" i="2"/>
  <c r="F86" i="2"/>
  <c r="I86" i="2" s="1"/>
  <c r="E86" i="2"/>
  <c r="G86" i="2" s="1"/>
  <c r="G84" i="2"/>
  <c r="F84" i="2"/>
  <c r="K84" i="2" s="1"/>
  <c r="E84" i="2"/>
  <c r="G83" i="2"/>
  <c r="E83" i="2"/>
  <c r="F82" i="2"/>
  <c r="J82" i="2" s="1"/>
  <c r="H82" i="2" s="1"/>
  <c r="E82" i="2"/>
  <c r="G80" i="2"/>
  <c r="F80" i="2"/>
  <c r="K80" i="2" s="1"/>
  <c r="E80" i="2"/>
  <c r="F79" i="2"/>
  <c r="F78" i="2"/>
  <c r="I78" i="2" s="1"/>
  <c r="E78" i="2"/>
  <c r="G78" i="2" s="1"/>
  <c r="G77" i="2"/>
  <c r="E77" i="2"/>
  <c r="F77" i="2" s="1"/>
  <c r="I77" i="2" s="1"/>
  <c r="G76" i="2"/>
  <c r="F76" i="2"/>
  <c r="K76" i="2" s="1"/>
  <c r="E76" i="2"/>
  <c r="G75" i="2"/>
  <c r="E75" i="2"/>
  <c r="F74" i="2"/>
  <c r="J74" i="2" s="1"/>
  <c r="H74" i="2" s="1"/>
  <c r="E73" i="2"/>
  <c r="G72" i="2"/>
  <c r="F72" i="2"/>
  <c r="K72" i="2" s="1"/>
  <c r="E72" i="2"/>
  <c r="G71" i="2"/>
  <c r="F71" i="2"/>
  <c r="K71" i="2" s="1"/>
  <c r="E71" i="2"/>
  <c r="F70" i="2"/>
  <c r="I70" i="2" s="1"/>
  <c r="E70" i="2"/>
  <c r="G70" i="2" s="1"/>
  <c r="G69" i="2"/>
  <c r="E69" i="2"/>
  <c r="F69" i="2" s="1"/>
  <c r="I69" i="2" s="1"/>
  <c r="G68" i="2"/>
  <c r="F68" i="2"/>
  <c r="K68" i="2" s="1"/>
  <c r="E68" i="2"/>
  <c r="G67" i="2"/>
  <c r="E67" i="2"/>
  <c r="F66" i="2"/>
  <c r="J66" i="2" s="1"/>
  <c r="E65" i="2"/>
  <c r="G62" i="2"/>
  <c r="F62" i="2"/>
  <c r="K62" i="2" s="1"/>
  <c r="E62" i="2"/>
  <c r="G61" i="2"/>
  <c r="F61" i="2"/>
  <c r="K61" i="2" s="1"/>
  <c r="E61" i="2"/>
  <c r="F60" i="2"/>
  <c r="I60" i="2" s="1"/>
  <c r="E60" i="2"/>
  <c r="G60" i="2" s="1"/>
  <c r="G59" i="2"/>
  <c r="E59" i="2"/>
  <c r="F59" i="2" s="1"/>
  <c r="I59" i="2" s="1"/>
  <c r="G58" i="2"/>
  <c r="F58" i="2"/>
  <c r="K58" i="2" s="1"/>
  <c r="E58" i="2"/>
  <c r="G57" i="2"/>
  <c r="E57" i="2"/>
  <c r="F56" i="2"/>
  <c r="J56" i="2" s="1"/>
  <c r="H56" i="2" s="1"/>
  <c r="E56" i="2"/>
  <c r="E55" i="2"/>
  <c r="F54" i="2"/>
  <c r="G53" i="2"/>
  <c r="F53" i="2"/>
  <c r="K53" i="2" s="1"/>
  <c r="E53" i="2"/>
  <c r="F52" i="2"/>
  <c r="I52" i="2" s="1"/>
  <c r="F51" i="2"/>
  <c r="I51" i="2" s="1"/>
  <c r="G50" i="2"/>
  <c r="K50" i="2"/>
  <c r="G49" i="2"/>
  <c r="E49" i="2"/>
  <c r="F48" i="2"/>
  <c r="J48" i="2" s="1"/>
  <c r="H48" i="2" s="1"/>
  <c r="E48" i="2"/>
  <c r="E45" i="2"/>
  <c r="G44" i="2"/>
  <c r="F44" i="2"/>
  <c r="K44" i="2" s="1"/>
  <c r="E44" i="2"/>
  <c r="G43" i="2"/>
  <c r="F43" i="2"/>
  <c r="K43" i="2" s="1"/>
  <c r="E43" i="2"/>
  <c r="F42" i="2"/>
  <c r="I42" i="2" s="1"/>
  <c r="E42" i="2"/>
  <c r="G42" i="2" s="1"/>
  <c r="G41" i="2"/>
  <c r="E41" i="2"/>
  <c r="F41" i="2" s="1"/>
  <c r="I41" i="2" s="1"/>
  <c r="G40" i="2"/>
  <c r="F40" i="2"/>
  <c r="K40" i="2" s="1"/>
  <c r="E40" i="2"/>
  <c r="G39" i="2"/>
  <c r="E39" i="2"/>
  <c r="J38" i="2"/>
  <c r="H38" i="2" s="1"/>
  <c r="E37" i="2"/>
  <c r="F36" i="2"/>
  <c r="G35" i="2"/>
  <c r="F35" i="2"/>
  <c r="K35" i="2" s="1"/>
  <c r="E35" i="2"/>
  <c r="F34" i="2"/>
  <c r="J34" i="2" s="1"/>
  <c r="H34" i="2" s="1"/>
  <c r="E34" i="2"/>
  <c r="G34" i="2" s="1"/>
  <c r="G33" i="2"/>
  <c r="E33" i="2"/>
  <c r="F33" i="2" s="1"/>
  <c r="I33" i="2" s="1"/>
  <c r="K32" i="2"/>
  <c r="G31" i="2"/>
  <c r="E31" i="2"/>
  <c r="F30" i="2"/>
  <c r="E30" i="2"/>
  <c r="E29" i="2"/>
  <c r="G28" i="2"/>
  <c r="F28" i="2"/>
  <c r="K28" i="2" s="1"/>
  <c r="E28" i="2"/>
  <c r="G27" i="2"/>
  <c r="F27" i="2"/>
  <c r="K27" i="2" s="1"/>
  <c r="E27" i="2"/>
  <c r="F26" i="2"/>
  <c r="I26" i="2" s="1"/>
  <c r="G25" i="2"/>
  <c r="E25" i="2"/>
  <c r="F25" i="2" s="1"/>
  <c r="I25" i="2" s="1"/>
  <c r="G24" i="2"/>
  <c r="F24" i="2"/>
  <c r="K24" i="2" s="1"/>
  <c r="E24" i="2"/>
  <c r="G23" i="2"/>
  <c r="E23" i="2"/>
  <c r="F22" i="2"/>
  <c r="E22" i="2"/>
  <c r="E21" i="2"/>
  <c r="G20" i="2"/>
  <c r="F20" i="2"/>
  <c r="K20" i="2" s="1"/>
  <c r="E20" i="2"/>
  <c r="G19" i="2"/>
  <c r="F19" i="2"/>
  <c r="J19" i="2" s="1"/>
  <c r="H19" i="2" s="1"/>
  <c r="E19" i="2"/>
  <c r="F18" i="2"/>
  <c r="J18" i="2" s="1"/>
  <c r="H18" i="2" s="1"/>
  <c r="G17" i="2"/>
  <c r="E17" i="2"/>
  <c r="F17" i="2" s="1"/>
  <c r="I17" i="2" s="1"/>
  <c r="G16" i="2"/>
  <c r="F16" i="2"/>
  <c r="K16" i="2" s="1"/>
  <c r="E16" i="2"/>
  <c r="G13" i="2"/>
  <c r="E13" i="2"/>
  <c r="F12" i="2"/>
  <c r="E12" i="2"/>
  <c r="J10" i="2"/>
  <c r="H10" i="2" s="1"/>
  <c r="G10" i="2"/>
  <c r="F10" i="2"/>
  <c r="K10" i="2" s="1"/>
  <c r="E10" i="2"/>
  <c r="I10" i="2" s="1"/>
  <c r="I9" i="2"/>
  <c r="G9" i="2"/>
  <c r="F9" i="2"/>
  <c r="K9" i="2" s="1"/>
  <c r="E9" i="2"/>
  <c r="J8" i="2"/>
  <c r="H8" i="2" s="1"/>
  <c r="F8" i="2"/>
  <c r="I8" i="2" s="1"/>
  <c r="I7" i="2"/>
  <c r="G7" i="2"/>
  <c r="E7" i="2"/>
  <c r="F7" i="2" s="1"/>
  <c r="G6" i="2"/>
  <c r="F6" i="2"/>
  <c r="K6" i="2" s="1"/>
  <c r="E6" i="2"/>
  <c r="I6" i="2" s="1"/>
  <c r="G5" i="2"/>
  <c r="E5" i="2"/>
  <c r="F4" i="2"/>
  <c r="K4" i="2" s="1"/>
  <c r="E3" i="2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27" i="2" l="1"/>
  <c r="H27" i="2" s="1"/>
  <c r="I72" i="2"/>
  <c r="I76" i="2"/>
  <c r="K253" i="2"/>
  <c r="K210" i="2"/>
  <c r="K429" i="2"/>
  <c r="K182" i="2"/>
  <c r="K177" i="2"/>
  <c r="K82" i="2"/>
  <c r="J143" i="2"/>
  <c r="H143" i="2" s="1"/>
  <c r="I280" i="2"/>
  <c r="J87" i="2"/>
  <c r="H87" i="2" s="1"/>
  <c r="J80" i="2"/>
  <c r="H80" i="2" s="1"/>
  <c r="J102" i="2"/>
  <c r="H102" i="2" s="1"/>
  <c r="J177" i="2"/>
  <c r="H177" i="2" s="1"/>
  <c r="K48" i="2"/>
  <c r="I62" i="2"/>
  <c r="I151" i="2"/>
  <c r="I154" i="2"/>
  <c r="J200" i="2"/>
  <c r="H200" i="2" s="1"/>
  <c r="K406" i="2"/>
  <c r="J469" i="2"/>
  <c r="H469" i="2" s="1"/>
  <c r="J231" i="2"/>
  <c r="H231" i="2" s="1"/>
  <c r="K246" i="2"/>
  <c r="K256" i="2"/>
  <c r="J260" i="2"/>
  <c r="I36" i="2"/>
  <c r="I40" i="2"/>
  <c r="K145" i="2"/>
  <c r="K260" i="2"/>
  <c r="I399" i="2"/>
  <c r="K108" i="2"/>
  <c r="J142" i="2"/>
  <c r="H142" i="2" s="1"/>
  <c r="J198" i="2"/>
  <c r="K200" i="2" s="1"/>
  <c r="I54" i="2"/>
  <c r="I58" i="2"/>
  <c r="I84" i="2"/>
  <c r="K354" i="2"/>
  <c r="I356" i="2"/>
  <c r="J122" i="2"/>
  <c r="H122" i="2" s="1"/>
  <c r="I175" i="2"/>
  <c r="I225" i="2"/>
  <c r="I243" i="2"/>
  <c r="J461" i="2"/>
  <c r="H461" i="2" s="1"/>
  <c r="J28" i="2"/>
  <c r="H28" i="2" s="1"/>
  <c r="I71" i="2"/>
  <c r="K115" i="2"/>
  <c r="J214" i="2"/>
  <c r="K280" i="2" s="1"/>
  <c r="J358" i="2"/>
  <c r="H358" i="2" s="1"/>
  <c r="I396" i="2"/>
  <c r="I416" i="2"/>
  <c r="K431" i="2"/>
  <c r="K481" i="2"/>
  <c r="I19" i="2"/>
  <c r="I161" i="2"/>
  <c r="J204" i="2"/>
  <c r="H204" i="2" s="1"/>
  <c r="K261" i="2"/>
  <c r="K416" i="2"/>
  <c r="I20" i="2"/>
  <c r="I44" i="2"/>
  <c r="J86" i="2"/>
  <c r="H86" i="2" s="1"/>
  <c r="I131" i="2"/>
  <c r="K415" i="2"/>
  <c r="K463" i="2"/>
  <c r="K12" i="2"/>
  <c r="I80" i="2"/>
  <c r="J301" i="2"/>
  <c r="H301" i="2" s="1"/>
  <c r="I424" i="2"/>
  <c r="J431" i="2"/>
  <c r="H431" i="2" s="1"/>
  <c r="J308" i="2"/>
  <c r="H308" i="2" s="1"/>
  <c r="K19" i="2"/>
  <c r="I34" i="2"/>
  <c r="J104" i="2"/>
  <c r="H104" i="2" s="1"/>
  <c r="K131" i="2"/>
  <c r="I169" i="2"/>
  <c r="I172" i="2"/>
  <c r="K187" i="2"/>
  <c r="J192" i="2"/>
  <c r="H192" i="2" s="1"/>
  <c r="J272" i="2"/>
  <c r="H272" i="2" s="1"/>
  <c r="J376" i="2"/>
  <c r="H376" i="2" s="1"/>
  <c r="J88" i="2"/>
  <c r="H88" i="2" s="1"/>
  <c r="I146" i="2"/>
  <c r="K97" i="2"/>
  <c r="K126" i="2"/>
  <c r="J146" i="2"/>
  <c r="K158" i="2"/>
  <c r="K255" i="2"/>
  <c r="J293" i="2"/>
  <c r="H293" i="2" s="1"/>
  <c r="I316" i="2"/>
  <c r="I398" i="2"/>
  <c r="J415" i="2"/>
  <c r="H415" i="2" s="1"/>
  <c r="K437" i="2"/>
  <c r="J457" i="2"/>
  <c r="H457" i="2" s="1"/>
  <c r="J465" i="2"/>
  <c r="H465" i="2" s="1"/>
  <c r="I61" i="2"/>
  <c r="J72" i="2"/>
  <c r="H72" i="2" s="1"/>
  <c r="I79" i="2"/>
  <c r="I97" i="2"/>
  <c r="I143" i="2"/>
  <c r="I208" i="2"/>
  <c r="J219" i="2"/>
  <c r="H219" i="2" s="1"/>
  <c r="I293" i="2"/>
  <c r="I340" i="2"/>
  <c r="J405" i="2"/>
  <c r="H405" i="2" s="1"/>
  <c r="J9" i="2"/>
  <c r="H9" i="2" s="1"/>
  <c r="I24" i="2"/>
  <c r="K38" i="2"/>
  <c r="I50" i="2"/>
  <c r="K56" i="2"/>
  <c r="I68" i="2"/>
  <c r="K74" i="2"/>
  <c r="I136" i="2"/>
  <c r="J151" i="2"/>
  <c r="H151" i="2" s="1"/>
  <c r="J161" i="2"/>
  <c r="J176" i="2"/>
  <c r="H176" i="2" s="1"/>
  <c r="K224" i="2"/>
  <c r="J316" i="2"/>
  <c r="H316" i="2" s="1"/>
  <c r="J326" i="2"/>
  <c r="H326" i="2" s="1"/>
  <c r="K380" i="2"/>
  <c r="K423" i="2"/>
  <c r="I473" i="2"/>
  <c r="I43" i="2"/>
  <c r="J54" i="2"/>
  <c r="K79" i="2" s="1"/>
  <c r="I235" i="2"/>
  <c r="I373" i="2"/>
  <c r="J20" i="2"/>
  <c r="H20" i="2" s="1"/>
  <c r="K92" i="2"/>
  <c r="I115" i="2"/>
  <c r="K362" i="2"/>
  <c r="K472" i="2"/>
  <c r="J487" i="2"/>
  <c r="H487" i="2" s="1"/>
  <c r="J36" i="2"/>
  <c r="K51" i="2" s="1"/>
  <c r="I332" i="2"/>
  <c r="J26" i="2"/>
  <c r="K36" i="2" s="1"/>
  <c r="K30" i="2"/>
  <c r="I35" i="2"/>
  <c r="J44" i="2"/>
  <c r="H44" i="2" s="1"/>
  <c r="I53" i="2"/>
  <c r="J62" i="2"/>
  <c r="H62" i="2" s="1"/>
  <c r="J120" i="2"/>
  <c r="H120" i="2" s="1"/>
  <c r="J169" i="2"/>
  <c r="H169" i="2" s="1"/>
  <c r="J215" i="2"/>
  <c r="H215" i="2" s="1"/>
  <c r="I406" i="2"/>
  <c r="K22" i="2"/>
  <c r="I27" i="2"/>
  <c r="I87" i="2"/>
  <c r="J141" i="2"/>
  <c r="K234" i="2" s="1"/>
  <c r="J203" i="2"/>
  <c r="H203" i="2" s="1"/>
  <c r="I216" i="2"/>
  <c r="K219" i="2"/>
  <c r="J234" i="2"/>
  <c r="K343" i="2" s="1"/>
  <c r="I255" i="2"/>
  <c r="I301" i="2"/>
  <c r="K308" i="2"/>
  <c r="K346" i="2"/>
  <c r="I348" i="2"/>
  <c r="J366" i="2"/>
  <c r="H366" i="2" s="1"/>
  <c r="I378" i="2"/>
  <c r="J380" i="2"/>
  <c r="H380" i="2" s="1"/>
  <c r="K438" i="2"/>
  <c r="J439" i="2"/>
  <c r="H439" i="2" s="1"/>
  <c r="I453" i="2"/>
  <c r="K464" i="2"/>
  <c r="I465" i="2"/>
  <c r="J479" i="2"/>
  <c r="H479" i="2" s="1"/>
  <c r="I482" i="2"/>
  <c r="I18" i="2"/>
  <c r="J35" i="2"/>
  <c r="H35" i="2" s="1"/>
  <c r="J53" i="2"/>
  <c r="H53" i="2" s="1"/>
  <c r="J71" i="2"/>
  <c r="H71" i="2" s="1"/>
  <c r="J79" i="2"/>
  <c r="I300" i="2"/>
  <c r="J342" i="2"/>
  <c r="H342" i="2" s="1"/>
  <c r="J401" i="2"/>
  <c r="H401" i="2" s="1"/>
  <c r="J424" i="2"/>
  <c r="H424" i="2" s="1"/>
  <c r="K448" i="2"/>
  <c r="J449" i="2"/>
  <c r="J43" i="2"/>
  <c r="H43" i="2" s="1"/>
  <c r="J61" i="2"/>
  <c r="H61" i="2" s="1"/>
  <c r="I16" i="2"/>
  <c r="I28" i="2"/>
  <c r="I88" i="2"/>
  <c r="J96" i="2"/>
  <c r="H96" i="2" s="1"/>
  <c r="I105" i="2"/>
  <c r="J112" i="2"/>
  <c r="H112" i="2" s="1"/>
  <c r="I123" i="2"/>
  <c r="J130" i="2"/>
  <c r="H130" i="2" s="1"/>
  <c r="I164" i="2"/>
  <c r="I203" i="2"/>
  <c r="J224" i="2"/>
  <c r="I253" i="2"/>
  <c r="I269" i="2"/>
  <c r="J300" i="2"/>
  <c r="H300" i="2" s="1"/>
  <c r="K321" i="2"/>
  <c r="I324" i="2"/>
  <c r="I366" i="2"/>
  <c r="J373" i="2"/>
  <c r="H373" i="2" s="1"/>
  <c r="J391" i="2"/>
  <c r="H391" i="2" s="1"/>
  <c r="J105" i="2"/>
  <c r="H105" i="2" s="1"/>
  <c r="J123" i="2"/>
  <c r="H123" i="2" s="1"/>
  <c r="J164" i="2"/>
  <c r="H164" i="2" s="1"/>
  <c r="J423" i="2"/>
  <c r="H423" i="2" s="1"/>
  <c r="K439" i="2"/>
  <c r="J473" i="2"/>
  <c r="H473" i="2" s="1"/>
  <c r="I32" i="2"/>
  <c r="J42" i="2"/>
  <c r="H42" i="2" s="1"/>
  <c r="J52" i="2"/>
  <c r="H52" i="2" s="1"/>
  <c r="J60" i="2"/>
  <c r="H60" i="2" s="1"/>
  <c r="J70" i="2"/>
  <c r="H70" i="2" s="1"/>
  <c r="J78" i="2"/>
  <c r="H78" i="2" s="1"/>
  <c r="K100" i="2"/>
  <c r="J110" i="2"/>
  <c r="H110" i="2" s="1"/>
  <c r="K118" i="2"/>
  <c r="J128" i="2"/>
  <c r="H128" i="2" s="1"/>
  <c r="K134" i="2"/>
  <c r="J208" i="2"/>
  <c r="H208" i="2" s="1"/>
  <c r="I246" i="2"/>
  <c r="K330" i="2"/>
  <c r="K430" i="2"/>
  <c r="I443" i="2"/>
  <c r="J157" i="2"/>
  <c r="I272" i="2"/>
  <c r="K338" i="2"/>
  <c r="K372" i="2"/>
  <c r="J409" i="2"/>
  <c r="H409" i="2" s="1"/>
  <c r="J132" i="2"/>
  <c r="H132" i="2" s="1"/>
  <c r="I132" i="2"/>
  <c r="K132" i="2"/>
  <c r="K3" i="2"/>
  <c r="J3" i="2"/>
  <c r="H3" i="2" s="1"/>
  <c r="I3" i="2"/>
  <c r="G3" i="2"/>
  <c r="F3" i="2"/>
  <c r="J124" i="2"/>
  <c r="H124" i="2" s="1"/>
  <c r="I124" i="2"/>
  <c r="K124" i="2"/>
  <c r="K5" i="2"/>
  <c r="F5" i="2"/>
  <c r="F13" i="2"/>
  <c r="K13" i="2" s="1"/>
  <c r="F23" i="2"/>
  <c r="K23" i="2" s="1"/>
  <c r="F31" i="2"/>
  <c r="K31" i="2" s="1"/>
  <c r="F39" i="2"/>
  <c r="K39" i="2" s="1"/>
  <c r="F49" i="2"/>
  <c r="K49" i="2" s="1"/>
  <c r="F57" i="2"/>
  <c r="K57" i="2" s="1"/>
  <c r="F67" i="2"/>
  <c r="K67" i="2" s="1"/>
  <c r="F75" i="2"/>
  <c r="K75" i="2" s="1"/>
  <c r="F83" i="2"/>
  <c r="K83" i="2" s="1"/>
  <c r="F93" i="2"/>
  <c r="K93" i="2" s="1"/>
  <c r="F101" i="2"/>
  <c r="K101" i="2" s="1"/>
  <c r="F109" i="2"/>
  <c r="K109" i="2" s="1"/>
  <c r="F119" i="2"/>
  <c r="K119" i="2" s="1"/>
  <c r="F127" i="2"/>
  <c r="K127" i="2" s="1"/>
  <c r="F135" i="2"/>
  <c r="K135" i="2" s="1"/>
  <c r="G144" i="2"/>
  <c r="J145" i="2"/>
  <c r="H145" i="2" s="1"/>
  <c r="F147" i="2"/>
  <c r="I147" i="2" s="1"/>
  <c r="F150" i="2"/>
  <c r="J150" i="2" s="1"/>
  <c r="H150" i="2" s="1"/>
  <c r="G162" i="2"/>
  <c r="J163" i="2"/>
  <c r="F165" i="2"/>
  <c r="K165" i="2" s="1"/>
  <c r="F168" i="2"/>
  <c r="K168" i="2" s="1"/>
  <c r="J184" i="2"/>
  <c r="H184" i="2" s="1"/>
  <c r="F186" i="2"/>
  <c r="J186" i="2" s="1"/>
  <c r="H186" i="2" s="1"/>
  <c r="K194" i="2"/>
  <c r="I194" i="2"/>
  <c r="G194" i="2"/>
  <c r="K195" i="2"/>
  <c r="G209" i="2"/>
  <c r="G230" i="2"/>
  <c r="F230" i="2"/>
  <c r="K230" i="2" s="1"/>
  <c r="F245" i="2"/>
  <c r="I245" i="2" s="1"/>
  <c r="K259" i="2"/>
  <c r="K264" i="2"/>
  <c r="J264" i="2"/>
  <c r="H264" i="2" s="1"/>
  <c r="F223" i="2"/>
  <c r="I223" i="2" s="1"/>
  <c r="G4" i="2"/>
  <c r="J7" i="2"/>
  <c r="H7" i="2" s="1"/>
  <c r="K8" i="2"/>
  <c r="J11" i="2"/>
  <c r="H11" i="2" s="1"/>
  <c r="G12" i="2"/>
  <c r="J17" i="2"/>
  <c r="H17" i="2" s="1"/>
  <c r="K18" i="2"/>
  <c r="F21" i="2"/>
  <c r="K21" i="2" s="1"/>
  <c r="G22" i="2"/>
  <c r="J25" i="2"/>
  <c r="H25" i="2" s="1"/>
  <c r="K26" i="2"/>
  <c r="F29" i="2"/>
  <c r="K29" i="2" s="1"/>
  <c r="G30" i="2"/>
  <c r="J33" i="2"/>
  <c r="H33" i="2" s="1"/>
  <c r="K34" i="2"/>
  <c r="F37" i="2"/>
  <c r="K37" i="2" s="1"/>
  <c r="G38" i="2"/>
  <c r="J41" i="2"/>
  <c r="H41" i="2" s="1"/>
  <c r="K42" i="2"/>
  <c r="F45" i="2"/>
  <c r="K45" i="2" s="1"/>
  <c r="G48" i="2"/>
  <c r="J51" i="2"/>
  <c r="K66" i="2" s="1"/>
  <c r="K52" i="2"/>
  <c r="F55" i="2"/>
  <c r="K55" i="2" s="1"/>
  <c r="G56" i="2"/>
  <c r="J59" i="2"/>
  <c r="H59" i="2" s="1"/>
  <c r="K60" i="2"/>
  <c r="F65" i="2"/>
  <c r="J65" i="2" s="1"/>
  <c r="H65" i="2" s="1"/>
  <c r="J69" i="2"/>
  <c r="H69" i="2" s="1"/>
  <c r="K70" i="2"/>
  <c r="F73" i="2"/>
  <c r="K73" i="2" s="1"/>
  <c r="J77" i="2"/>
  <c r="H77" i="2" s="1"/>
  <c r="K78" i="2"/>
  <c r="F81" i="2"/>
  <c r="K81" i="2" s="1"/>
  <c r="G82" i="2"/>
  <c r="K86" i="2"/>
  <c r="F91" i="2"/>
  <c r="K91" i="2" s="1"/>
  <c r="G92" i="2"/>
  <c r="I94" i="2"/>
  <c r="K96" i="2"/>
  <c r="F99" i="2"/>
  <c r="K99" i="2" s="1"/>
  <c r="G100" i="2"/>
  <c r="I102" i="2"/>
  <c r="K104" i="2"/>
  <c r="F107" i="2"/>
  <c r="J107" i="2" s="1"/>
  <c r="H107" i="2" s="1"/>
  <c r="G108" i="2"/>
  <c r="I110" i="2"/>
  <c r="K112" i="2"/>
  <c r="F117" i="2"/>
  <c r="K117" i="2" s="1"/>
  <c r="G118" i="2"/>
  <c r="I120" i="2"/>
  <c r="K122" i="2"/>
  <c r="F125" i="2"/>
  <c r="I125" i="2" s="1"/>
  <c r="G126" i="2"/>
  <c r="I128" i="2"/>
  <c r="K130" i="2"/>
  <c r="F133" i="2"/>
  <c r="K133" i="2" s="1"/>
  <c r="G134" i="2"/>
  <c r="J136" i="2"/>
  <c r="H136" i="2" s="1"/>
  <c r="J154" i="2"/>
  <c r="H154" i="2" s="1"/>
  <c r="J172" i="2"/>
  <c r="H172" i="2" s="1"/>
  <c r="G181" i="2"/>
  <c r="I182" i="2"/>
  <c r="F202" i="2"/>
  <c r="G212" i="2"/>
  <c r="G223" i="2"/>
  <c r="I242" i="2"/>
  <c r="K242" i="2"/>
  <c r="J242" i="2"/>
  <c r="H242" i="2" s="1"/>
  <c r="J140" i="2"/>
  <c r="H140" i="2" s="1"/>
  <c r="G140" i="2"/>
  <c r="I5" i="2"/>
  <c r="J6" i="2"/>
  <c r="H6" i="2" s="1"/>
  <c r="K7" i="2"/>
  <c r="J16" i="2"/>
  <c r="H16" i="2" s="1"/>
  <c r="K17" i="2"/>
  <c r="G21" i="2"/>
  <c r="J24" i="2"/>
  <c r="H24" i="2" s="1"/>
  <c r="K25" i="2"/>
  <c r="G29" i="2"/>
  <c r="J32" i="2"/>
  <c r="K33" i="2"/>
  <c r="G37" i="2"/>
  <c r="J40" i="2"/>
  <c r="H40" i="2" s="1"/>
  <c r="K41" i="2"/>
  <c r="G45" i="2"/>
  <c r="J50" i="2"/>
  <c r="H50" i="2" s="1"/>
  <c r="G55" i="2"/>
  <c r="J58" i="2"/>
  <c r="H58" i="2" s="1"/>
  <c r="K59" i="2"/>
  <c r="G65" i="2"/>
  <c r="J68" i="2"/>
  <c r="H68" i="2" s="1"/>
  <c r="K69" i="2"/>
  <c r="G73" i="2"/>
  <c r="J76" i="2"/>
  <c r="H76" i="2" s="1"/>
  <c r="K77" i="2"/>
  <c r="J84" i="2"/>
  <c r="H84" i="2" s="1"/>
  <c r="G91" i="2"/>
  <c r="J94" i="2"/>
  <c r="H94" i="2" s="1"/>
  <c r="F98" i="2"/>
  <c r="I98" i="2" s="1"/>
  <c r="G99" i="2"/>
  <c r="F106" i="2"/>
  <c r="G107" i="2"/>
  <c r="F116" i="2"/>
  <c r="I116" i="2" s="1"/>
  <c r="G117" i="2"/>
  <c r="G125" i="2"/>
  <c r="G133" i="2"/>
  <c r="I142" i="2"/>
  <c r="F149" i="2"/>
  <c r="F152" i="2"/>
  <c r="K152" i="2" s="1"/>
  <c r="I153" i="2"/>
  <c r="I158" i="2"/>
  <c r="F167" i="2"/>
  <c r="I167" i="2" s="1"/>
  <c r="F170" i="2"/>
  <c r="I171" i="2"/>
  <c r="I176" i="2"/>
  <c r="F181" i="2"/>
  <c r="I181" i="2" s="1"/>
  <c r="J182" i="2"/>
  <c r="J187" i="2"/>
  <c r="H187" i="2" s="1"/>
  <c r="I190" i="2"/>
  <c r="J194" i="2"/>
  <c r="H194" i="2" s="1"/>
  <c r="J210" i="2"/>
  <c r="F212" i="2"/>
  <c r="K212" i="2" s="1"/>
  <c r="K228" i="2"/>
  <c r="J228" i="2"/>
  <c r="H228" i="2" s="1"/>
  <c r="J238" i="2"/>
  <c r="H238" i="2" s="1"/>
  <c r="G249" i="2"/>
  <c r="F249" i="2"/>
  <c r="K249" i="2" s="1"/>
  <c r="G262" i="2"/>
  <c r="F262" i="2"/>
  <c r="I262" i="2" s="1"/>
  <c r="J156" i="2"/>
  <c r="H156" i="2" s="1"/>
  <c r="G156" i="2"/>
  <c r="J174" i="2"/>
  <c r="H174" i="2" s="1"/>
  <c r="G174" i="2"/>
  <c r="I4" i="2"/>
  <c r="J5" i="2"/>
  <c r="H5" i="2" s="1"/>
  <c r="I12" i="2"/>
  <c r="J13" i="2"/>
  <c r="H13" i="2" s="1"/>
  <c r="I22" i="2"/>
  <c r="I30" i="2"/>
  <c r="I38" i="2"/>
  <c r="I48" i="2"/>
  <c r="I56" i="2"/>
  <c r="I66" i="2"/>
  <c r="I74" i="2"/>
  <c r="I82" i="2"/>
  <c r="I92" i="2"/>
  <c r="I100" i="2"/>
  <c r="I108" i="2"/>
  <c r="I118" i="2"/>
  <c r="I126" i="2"/>
  <c r="I134" i="2"/>
  <c r="F139" i="2"/>
  <c r="I140" i="2"/>
  <c r="J153" i="2"/>
  <c r="H153" i="2" s="1"/>
  <c r="F155" i="2"/>
  <c r="I155" i="2" s="1"/>
  <c r="I156" i="2"/>
  <c r="G167" i="2"/>
  <c r="J171" i="2"/>
  <c r="F173" i="2"/>
  <c r="I173" i="2" s="1"/>
  <c r="I174" i="2"/>
  <c r="F183" i="2"/>
  <c r="F185" i="2"/>
  <c r="I185" i="2" s="1"/>
  <c r="G189" i="2"/>
  <c r="F189" i="2"/>
  <c r="J189" i="2" s="1"/>
  <c r="H189" i="2" s="1"/>
  <c r="J190" i="2"/>
  <c r="H190" i="2" s="1"/>
  <c r="J195" i="2"/>
  <c r="H195" i="2" s="1"/>
  <c r="I198" i="2"/>
  <c r="F221" i="2"/>
  <c r="J221" i="2" s="1"/>
  <c r="G254" i="2"/>
  <c r="F254" i="2"/>
  <c r="I254" i="2" s="1"/>
  <c r="F281" i="2"/>
  <c r="J281" i="2" s="1"/>
  <c r="H281" i="2" s="1"/>
  <c r="G281" i="2"/>
  <c r="J12" i="2"/>
  <c r="H12" i="2" s="1"/>
  <c r="J22" i="2"/>
  <c r="H22" i="2" s="1"/>
  <c r="K140" i="2"/>
  <c r="G148" i="2"/>
  <c r="K156" i="2"/>
  <c r="G166" i="2"/>
  <c r="K174" i="2"/>
  <c r="F191" i="2"/>
  <c r="J191" i="2" s="1"/>
  <c r="H191" i="2" s="1"/>
  <c r="K193" i="2"/>
  <c r="J197" i="2"/>
  <c r="H197" i="2" s="1"/>
  <c r="G226" i="2"/>
  <c r="F226" i="2"/>
  <c r="J226" i="2" s="1"/>
  <c r="H226" i="2" s="1"/>
  <c r="G240" i="2"/>
  <c r="F240" i="2"/>
  <c r="J240" i="2" s="1"/>
  <c r="H240" i="2" s="1"/>
  <c r="I250" i="2"/>
  <c r="K250" i="2"/>
  <c r="J250" i="2"/>
  <c r="H250" i="2" s="1"/>
  <c r="F257" i="2"/>
  <c r="I257" i="2" s="1"/>
  <c r="G257" i="2"/>
  <c r="G266" i="2"/>
  <c r="F266" i="2"/>
  <c r="K266" i="2" s="1"/>
  <c r="J4" i="2"/>
  <c r="H4" i="2" s="1"/>
  <c r="I21" i="2"/>
  <c r="J30" i="2"/>
  <c r="H30" i="2" s="1"/>
  <c r="F85" i="2"/>
  <c r="I85" i="2" s="1"/>
  <c r="F95" i="2"/>
  <c r="I95" i="2" s="1"/>
  <c r="F103" i="2"/>
  <c r="I103" i="2" s="1"/>
  <c r="F111" i="2"/>
  <c r="I111" i="2" s="1"/>
  <c r="F121" i="2"/>
  <c r="I121" i="2" s="1"/>
  <c r="F129" i="2"/>
  <c r="I129" i="2" s="1"/>
  <c r="K141" i="2"/>
  <c r="F148" i="2"/>
  <c r="K148" i="2" s="1"/>
  <c r="F166" i="2"/>
  <c r="K166" i="2" s="1"/>
  <c r="K175" i="2"/>
  <c r="F180" i="2"/>
  <c r="J180" i="2" s="1"/>
  <c r="H180" i="2" s="1"/>
  <c r="G191" i="2"/>
  <c r="F199" i="2"/>
  <c r="I199" i="2" s="1"/>
  <c r="F201" i="2"/>
  <c r="I201" i="2" s="1"/>
  <c r="G207" i="2"/>
  <c r="F207" i="2"/>
  <c r="J207" i="2" s="1"/>
  <c r="H207" i="2" s="1"/>
  <c r="I217" i="2"/>
  <c r="F144" i="2"/>
  <c r="J144" i="2" s="1"/>
  <c r="H144" i="2" s="1"/>
  <c r="F162" i="2"/>
  <c r="J162" i="2" s="1"/>
  <c r="H162" i="2" s="1"/>
  <c r="F209" i="2"/>
  <c r="J209" i="2" s="1"/>
  <c r="H209" i="2" s="1"/>
  <c r="F211" i="2"/>
  <c r="I211" i="2" s="1"/>
  <c r="G237" i="2"/>
  <c r="F237" i="2"/>
  <c r="J237" i="2" s="1"/>
  <c r="H237" i="2" s="1"/>
  <c r="F247" i="2"/>
  <c r="I247" i="2" s="1"/>
  <c r="I188" i="2"/>
  <c r="I196" i="2"/>
  <c r="I220" i="2"/>
  <c r="I228" i="2"/>
  <c r="I264" i="2"/>
  <c r="F273" i="2"/>
  <c r="J273" i="2" s="1"/>
  <c r="G279" i="2"/>
  <c r="F279" i="2"/>
  <c r="I279" i="2" s="1"/>
  <c r="F283" i="2"/>
  <c r="I283" i="2" s="1"/>
  <c r="G184" i="2"/>
  <c r="K188" i="2"/>
  <c r="G192" i="2"/>
  <c r="K196" i="2"/>
  <c r="K204" i="2"/>
  <c r="G215" i="2"/>
  <c r="G220" i="2"/>
  <c r="I256" i="2"/>
  <c r="K268" i="2"/>
  <c r="I268" i="2"/>
  <c r="I277" i="2"/>
  <c r="K381" i="2"/>
  <c r="J381" i="2"/>
  <c r="H381" i="2" s="1"/>
  <c r="I381" i="2"/>
  <c r="G222" i="2"/>
  <c r="F239" i="2"/>
  <c r="G244" i="2"/>
  <c r="F244" i="2"/>
  <c r="J244" i="2" s="1"/>
  <c r="H244" i="2" s="1"/>
  <c r="G258" i="2"/>
  <c r="G274" i="2"/>
  <c r="I276" i="2"/>
  <c r="K309" i="2"/>
  <c r="J309" i="2"/>
  <c r="H309" i="2" s="1"/>
  <c r="I309" i="2"/>
  <c r="I184" i="2"/>
  <c r="I192" i="2"/>
  <c r="I200" i="2"/>
  <c r="I210" i="2"/>
  <c r="I215" i="2"/>
  <c r="J216" i="2"/>
  <c r="H216" i="2" s="1"/>
  <c r="J220" i="2"/>
  <c r="H220" i="2" s="1"/>
  <c r="F222" i="2"/>
  <c r="I222" i="2" s="1"/>
  <c r="I227" i="2"/>
  <c r="F241" i="2"/>
  <c r="K241" i="2" s="1"/>
  <c r="F258" i="2"/>
  <c r="I258" i="2" s="1"/>
  <c r="F263" i="2"/>
  <c r="I263" i="2" s="1"/>
  <c r="F274" i="2"/>
  <c r="K274" i="2" s="1"/>
  <c r="G282" i="2"/>
  <c r="F213" i="2"/>
  <c r="J213" i="2" s="1"/>
  <c r="H213" i="2" s="1"/>
  <c r="F218" i="2"/>
  <c r="K220" i="2"/>
  <c r="F229" i="2"/>
  <c r="K231" i="2"/>
  <c r="G236" i="2"/>
  <c r="F236" i="2"/>
  <c r="K236" i="2" s="1"/>
  <c r="G241" i="2"/>
  <c r="K248" i="2"/>
  <c r="J248" i="2"/>
  <c r="H248" i="2" s="1"/>
  <c r="G248" i="2"/>
  <c r="F265" i="2"/>
  <c r="K265" i="2" s="1"/>
  <c r="K267" i="2"/>
  <c r="J267" i="2"/>
  <c r="H267" i="2" s="1"/>
  <c r="J268" i="2"/>
  <c r="H268" i="2" s="1"/>
  <c r="F282" i="2"/>
  <c r="K282" i="2" s="1"/>
  <c r="I238" i="2"/>
  <c r="K275" i="2"/>
  <c r="J275" i="2"/>
  <c r="H275" i="2" s="1"/>
  <c r="G296" i="2"/>
  <c r="F296" i="2"/>
  <c r="K296" i="2" s="1"/>
  <c r="F404" i="2"/>
  <c r="G271" i="2"/>
  <c r="F271" i="2"/>
  <c r="J271" i="2" s="1"/>
  <c r="H271" i="2" s="1"/>
  <c r="G294" i="2"/>
  <c r="F302" i="2"/>
  <c r="I302" i="2" s="1"/>
  <c r="K304" i="2"/>
  <c r="I304" i="2"/>
  <c r="K314" i="2"/>
  <c r="J314" i="2"/>
  <c r="H314" i="2" s="1"/>
  <c r="J329" i="2"/>
  <c r="H329" i="2" s="1"/>
  <c r="G333" i="2"/>
  <c r="F333" i="2"/>
  <c r="I333" i="2" s="1"/>
  <c r="K345" i="2"/>
  <c r="J345" i="2"/>
  <c r="H345" i="2" s="1"/>
  <c r="G345" i="2"/>
  <c r="G349" i="2"/>
  <c r="F349" i="2"/>
  <c r="I349" i="2" s="1"/>
  <c r="K361" i="2"/>
  <c r="J361" i="2"/>
  <c r="H361" i="2" s="1"/>
  <c r="G361" i="2"/>
  <c r="G368" i="2"/>
  <c r="F368" i="2"/>
  <c r="I368" i="2" s="1"/>
  <c r="G386" i="2"/>
  <c r="I386" i="2"/>
  <c r="K435" i="2"/>
  <c r="J435" i="2"/>
  <c r="H435" i="2" s="1"/>
  <c r="J225" i="2"/>
  <c r="J235" i="2"/>
  <c r="H235" i="2" s="1"/>
  <c r="J243" i="2"/>
  <c r="H243" i="2" s="1"/>
  <c r="J253" i="2"/>
  <c r="K276" i="2" s="1"/>
  <c r="J261" i="2"/>
  <c r="H261" i="2" s="1"/>
  <c r="J269" i="2"/>
  <c r="H269" i="2" s="1"/>
  <c r="J277" i="2"/>
  <c r="H277" i="2" s="1"/>
  <c r="J286" i="2"/>
  <c r="H286" i="2" s="1"/>
  <c r="K288" i="2"/>
  <c r="G304" i="2"/>
  <c r="K306" i="2"/>
  <c r="J306" i="2"/>
  <c r="H306" i="2" s="1"/>
  <c r="J311" i="2"/>
  <c r="H311" i="2" s="1"/>
  <c r="G311" i="2"/>
  <c r="J313" i="2"/>
  <c r="I313" i="2"/>
  <c r="K318" i="2"/>
  <c r="K326" i="2"/>
  <c r="I329" i="2"/>
  <c r="G336" i="2"/>
  <c r="K336" i="2"/>
  <c r="K342" i="2"/>
  <c r="I345" i="2"/>
  <c r="G352" i="2"/>
  <c r="F352" i="2"/>
  <c r="K352" i="2" s="1"/>
  <c r="K358" i="2"/>
  <c r="I361" i="2"/>
  <c r="G375" i="2"/>
  <c r="K375" i="2"/>
  <c r="J375" i="2"/>
  <c r="H375" i="2" s="1"/>
  <c r="I375" i="2"/>
  <c r="F394" i="2"/>
  <c r="I394" i="2" s="1"/>
  <c r="I290" i="2"/>
  <c r="K298" i="2"/>
  <c r="J298" i="2"/>
  <c r="H298" i="2" s="1"/>
  <c r="I314" i="2"/>
  <c r="J327" i="2"/>
  <c r="H327" i="2" s="1"/>
  <c r="I327" i="2"/>
  <c r="J343" i="2"/>
  <c r="I343" i="2"/>
  <c r="J359" i="2"/>
  <c r="H359" i="2" s="1"/>
  <c r="I359" i="2"/>
  <c r="I289" i="2"/>
  <c r="J290" i="2"/>
  <c r="H290" i="2" s="1"/>
  <c r="F292" i="2"/>
  <c r="G295" i="2"/>
  <c r="G303" i="2"/>
  <c r="I311" i="2"/>
  <c r="F315" i="2"/>
  <c r="K315" i="2" s="1"/>
  <c r="G319" i="2"/>
  <c r="G325" i="2"/>
  <c r="F325" i="2"/>
  <c r="I325" i="2" s="1"/>
  <c r="G337" i="2"/>
  <c r="G341" i="2"/>
  <c r="F341" i="2"/>
  <c r="J341" i="2" s="1"/>
  <c r="H341" i="2" s="1"/>
  <c r="G357" i="2"/>
  <c r="F357" i="2"/>
  <c r="I357" i="2" s="1"/>
  <c r="G444" i="2"/>
  <c r="F444" i="2"/>
  <c r="J444" i="2" s="1"/>
  <c r="H444" i="2" s="1"/>
  <c r="F270" i="2"/>
  <c r="F278" i="2"/>
  <c r="F287" i="2"/>
  <c r="J287" i="2" s="1"/>
  <c r="H287" i="2" s="1"/>
  <c r="J289" i="2"/>
  <c r="H289" i="2" s="1"/>
  <c r="F295" i="2"/>
  <c r="J295" i="2" s="1"/>
  <c r="H295" i="2" s="1"/>
  <c r="F303" i="2"/>
  <c r="K303" i="2" s="1"/>
  <c r="F305" i="2"/>
  <c r="K305" i="2" s="1"/>
  <c r="I306" i="2"/>
  <c r="G315" i="2"/>
  <c r="F319" i="2"/>
  <c r="J319" i="2" s="1"/>
  <c r="H319" i="2" s="1"/>
  <c r="K327" i="2"/>
  <c r="J334" i="2"/>
  <c r="H334" i="2" s="1"/>
  <c r="F337" i="2"/>
  <c r="K337" i="2" s="1"/>
  <c r="J350" i="2"/>
  <c r="H350" i="2" s="1"/>
  <c r="F353" i="2"/>
  <c r="K359" i="2"/>
  <c r="K407" i="2"/>
  <c r="J407" i="2"/>
  <c r="H407" i="2" s="1"/>
  <c r="I407" i="2"/>
  <c r="G411" i="2"/>
  <c r="F411" i="2"/>
  <c r="K411" i="2" s="1"/>
  <c r="K427" i="2"/>
  <c r="J427" i="2"/>
  <c r="H427" i="2" s="1"/>
  <c r="I286" i="2"/>
  <c r="I288" i="2"/>
  <c r="F291" i="2"/>
  <c r="K291" i="2" s="1"/>
  <c r="F297" i="2"/>
  <c r="K297" i="2" s="1"/>
  <c r="I298" i="2"/>
  <c r="G305" i="2"/>
  <c r="F307" i="2"/>
  <c r="G310" i="2"/>
  <c r="F310" i="2"/>
  <c r="I310" i="2" s="1"/>
  <c r="K312" i="2"/>
  <c r="I312" i="2"/>
  <c r="K313" i="2"/>
  <c r="G328" i="2"/>
  <c r="F328" i="2"/>
  <c r="J328" i="2" s="1"/>
  <c r="H328" i="2" s="1"/>
  <c r="K334" i="2"/>
  <c r="G344" i="2"/>
  <c r="F344" i="2"/>
  <c r="J344" i="2" s="1"/>
  <c r="H344" i="2" s="1"/>
  <c r="K350" i="2"/>
  <c r="G360" i="2"/>
  <c r="F360" i="2"/>
  <c r="J360" i="2" s="1"/>
  <c r="H360" i="2" s="1"/>
  <c r="J371" i="2"/>
  <c r="I371" i="2"/>
  <c r="K389" i="2"/>
  <c r="J389" i="2"/>
  <c r="H389" i="2" s="1"/>
  <c r="I389" i="2"/>
  <c r="G389" i="2"/>
  <c r="G470" i="2"/>
  <c r="F470" i="2"/>
  <c r="K470" i="2" s="1"/>
  <c r="F294" i="2"/>
  <c r="K294" i="2" s="1"/>
  <c r="F299" i="2"/>
  <c r="J299" i="2" s="1"/>
  <c r="H299" i="2" s="1"/>
  <c r="J317" i="2"/>
  <c r="H317" i="2" s="1"/>
  <c r="I317" i="2"/>
  <c r="J335" i="2"/>
  <c r="H335" i="2" s="1"/>
  <c r="I335" i="2"/>
  <c r="J351" i="2"/>
  <c r="H351" i="2" s="1"/>
  <c r="I351" i="2"/>
  <c r="G392" i="2"/>
  <c r="F392" i="2"/>
  <c r="K392" i="2" s="1"/>
  <c r="K393" i="2"/>
  <c r="F418" i="2"/>
  <c r="J418" i="2" s="1"/>
  <c r="H418" i="2" s="1"/>
  <c r="K421" i="2"/>
  <c r="J421" i="2"/>
  <c r="H421" i="2" s="1"/>
  <c r="I421" i="2"/>
  <c r="G421" i="2"/>
  <c r="I427" i="2"/>
  <c r="I435" i="2"/>
  <c r="K440" i="2"/>
  <c r="J440" i="2"/>
  <c r="H440" i="2" s="1"/>
  <c r="J466" i="2"/>
  <c r="I323" i="2"/>
  <c r="J324" i="2"/>
  <c r="I331" i="2"/>
  <c r="J332" i="2"/>
  <c r="H332" i="2" s="1"/>
  <c r="I339" i="2"/>
  <c r="J340" i="2"/>
  <c r="H340" i="2" s="1"/>
  <c r="I347" i="2"/>
  <c r="J348" i="2"/>
  <c r="H348" i="2" s="1"/>
  <c r="I355" i="2"/>
  <c r="J356" i="2"/>
  <c r="I363" i="2"/>
  <c r="I372" i="2"/>
  <c r="J377" i="2"/>
  <c r="H377" i="2" s="1"/>
  <c r="I377" i="2"/>
  <c r="I390" i="2"/>
  <c r="J399" i="2"/>
  <c r="H399" i="2" s="1"/>
  <c r="I409" i="2"/>
  <c r="F428" i="2"/>
  <c r="I428" i="2" s="1"/>
  <c r="I432" i="2"/>
  <c r="F436" i="2"/>
  <c r="I436" i="2" s="1"/>
  <c r="I440" i="2"/>
  <c r="K445" i="2"/>
  <c r="K458" i="2"/>
  <c r="J458" i="2"/>
  <c r="H458" i="2" s="1"/>
  <c r="I466" i="2"/>
  <c r="K471" i="2"/>
  <c r="I321" i="2"/>
  <c r="J323" i="2"/>
  <c r="H323" i="2" s="1"/>
  <c r="I330" i="2"/>
  <c r="J331" i="2"/>
  <c r="H331" i="2" s="1"/>
  <c r="I338" i="2"/>
  <c r="J339" i="2"/>
  <c r="H339" i="2" s="1"/>
  <c r="I346" i="2"/>
  <c r="J347" i="2"/>
  <c r="I354" i="2"/>
  <c r="J355" i="2"/>
  <c r="H355" i="2" s="1"/>
  <c r="I362" i="2"/>
  <c r="J363" i="2"/>
  <c r="H363" i="2" s="1"/>
  <c r="K370" i="2"/>
  <c r="J370" i="2"/>
  <c r="H370" i="2" s="1"/>
  <c r="G374" i="2"/>
  <c r="F374" i="2"/>
  <c r="I374" i="2" s="1"/>
  <c r="K388" i="2"/>
  <c r="J388" i="2"/>
  <c r="H388" i="2" s="1"/>
  <c r="K397" i="2"/>
  <c r="F400" i="2"/>
  <c r="J400" i="2" s="1"/>
  <c r="F402" i="2"/>
  <c r="J402" i="2" s="1"/>
  <c r="I419" i="2"/>
  <c r="K422" i="2"/>
  <c r="I425" i="2"/>
  <c r="K425" i="2"/>
  <c r="K432" i="2"/>
  <c r="G462" i="2"/>
  <c r="F462" i="2"/>
  <c r="K462" i="2" s="1"/>
  <c r="G395" i="2"/>
  <c r="K367" i="2"/>
  <c r="G370" i="2"/>
  <c r="I376" i="2"/>
  <c r="F379" i="2"/>
  <c r="K379" i="2" s="1"/>
  <c r="F385" i="2"/>
  <c r="K385" i="2" s="1"/>
  <c r="G388" i="2"/>
  <c r="F395" i="2"/>
  <c r="I395" i="2" s="1"/>
  <c r="K405" i="2"/>
  <c r="F412" i="2"/>
  <c r="J412" i="2" s="1"/>
  <c r="H412" i="2" s="1"/>
  <c r="K419" i="2"/>
  <c r="J425" i="2"/>
  <c r="H425" i="2" s="1"/>
  <c r="K450" i="2"/>
  <c r="J450" i="2"/>
  <c r="H450" i="2" s="1"/>
  <c r="K483" i="2"/>
  <c r="J483" i="2"/>
  <c r="H483" i="2" s="1"/>
  <c r="I483" i="2"/>
  <c r="G379" i="2"/>
  <c r="G403" i="2"/>
  <c r="G408" i="2"/>
  <c r="F408" i="2"/>
  <c r="I408" i="2" s="1"/>
  <c r="F410" i="2"/>
  <c r="G412" i="2"/>
  <c r="I417" i="2"/>
  <c r="F420" i="2"/>
  <c r="I420" i="2" s="1"/>
  <c r="J426" i="2"/>
  <c r="H426" i="2" s="1"/>
  <c r="G434" i="2"/>
  <c r="F434" i="2"/>
  <c r="K434" i="2" s="1"/>
  <c r="G454" i="2"/>
  <c r="F454" i="2"/>
  <c r="K454" i="2" s="1"/>
  <c r="G480" i="2"/>
  <c r="F480" i="2"/>
  <c r="K480" i="2" s="1"/>
  <c r="F369" i="2"/>
  <c r="K369" i="2" s="1"/>
  <c r="K378" i="2"/>
  <c r="J378" i="2"/>
  <c r="H378" i="2" s="1"/>
  <c r="G382" i="2"/>
  <c r="F382" i="2"/>
  <c r="I382" i="2" s="1"/>
  <c r="F387" i="2"/>
  <c r="I387" i="2" s="1"/>
  <c r="I391" i="2"/>
  <c r="J393" i="2"/>
  <c r="H393" i="2" s="1"/>
  <c r="K396" i="2"/>
  <c r="J396" i="2"/>
  <c r="H396" i="2" s="1"/>
  <c r="I401" i="2"/>
  <c r="F403" i="2"/>
  <c r="K403" i="2" s="1"/>
  <c r="J417" i="2"/>
  <c r="H417" i="2" s="1"/>
  <c r="K455" i="2"/>
  <c r="I397" i="2"/>
  <c r="G429" i="2"/>
  <c r="G437" i="2"/>
  <c r="G445" i="2"/>
  <c r="I449" i="2"/>
  <c r="G455" i="2"/>
  <c r="I457" i="2"/>
  <c r="G463" i="2"/>
  <c r="G471" i="2"/>
  <c r="G481" i="2"/>
  <c r="G401" i="2"/>
  <c r="G409" i="2"/>
  <c r="G419" i="2"/>
  <c r="J422" i="2"/>
  <c r="G427" i="2"/>
  <c r="I429" i="2"/>
  <c r="J430" i="2"/>
  <c r="H430" i="2" s="1"/>
  <c r="G435" i="2"/>
  <c r="I437" i="2"/>
  <c r="J438" i="2"/>
  <c r="H438" i="2" s="1"/>
  <c r="F442" i="2"/>
  <c r="K442" i="2" s="1"/>
  <c r="G443" i="2"/>
  <c r="I445" i="2"/>
  <c r="J448" i="2"/>
  <c r="H448" i="2" s="1"/>
  <c r="K452" i="2"/>
  <c r="G453" i="2"/>
  <c r="I455" i="2"/>
  <c r="J456" i="2"/>
  <c r="F460" i="2"/>
  <c r="K460" i="2" s="1"/>
  <c r="G461" i="2"/>
  <c r="I463" i="2"/>
  <c r="J464" i="2"/>
  <c r="H464" i="2" s="1"/>
  <c r="F468" i="2"/>
  <c r="K468" i="2" s="1"/>
  <c r="G469" i="2"/>
  <c r="I471" i="2"/>
  <c r="J472" i="2"/>
  <c r="H472" i="2" s="1"/>
  <c r="F478" i="2"/>
  <c r="K478" i="2" s="1"/>
  <c r="G479" i="2"/>
  <c r="I481" i="2"/>
  <c r="J482" i="2"/>
  <c r="H482" i="2" s="1"/>
  <c r="F486" i="2"/>
  <c r="K486" i="2" s="1"/>
  <c r="G487" i="2"/>
  <c r="J429" i="2"/>
  <c r="H429" i="2" s="1"/>
  <c r="F433" i="2"/>
  <c r="J437" i="2"/>
  <c r="H437" i="2" s="1"/>
  <c r="F441" i="2"/>
  <c r="G442" i="2"/>
  <c r="J445" i="2"/>
  <c r="H445" i="2" s="1"/>
  <c r="F451" i="2"/>
  <c r="G452" i="2"/>
  <c r="J455" i="2"/>
  <c r="H455" i="2" s="1"/>
  <c r="F459" i="2"/>
  <c r="G460" i="2"/>
  <c r="J463" i="2"/>
  <c r="H463" i="2" s="1"/>
  <c r="F467" i="2"/>
  <c r="G468" i="2"/>
  <c r="J471" i="2"/>
  <c r="H471" i="2" s="1"/>
  <c r="F477" i="2"/>
  <c r="G478" i="2"/>
  <c r="J481" i="2"/>
  <c r="H481" i="2" s="1"/>
  <c r="F485" i="2"/>
  <c r="G486" i="2"/>
  <c r="I461" i="2"/>
  <c r="I469" i="2"/>
  <c r="F476" i="2"/>
  <c r="I479" i="2"/>
  <c r="F484" i="2"/>
  <c r="I487" i="2"/>
  <c r="I442" i="2"/>
  <c r="J443" i="2"/>
  <c r="H443" i="2" s="1"/>
  <c r="J453" i="2"/>
  <c r="H453" i="2" s="1"/>
  <c r="H449" i="2" l="1"/>
  <c r="H402" i="2"/>
  <c r="H347" i="2"/>
  <c r="H157" i="2"/>
  <c r="H146" i="2"/>
  <c r="K410" i="2"/>
  <c r="K398" i="2"/>
  <c r="K202" i="2"/>
  <c r="K404" i="2"/>
  <c r="H356" i="2"/>
  <c r="H343" i="2"/>
  <c r="K229" i="2"/>
  <c r="H234" i="2"/>
  <c r="H225" i="2"/>
  <c r="H198" i="2"/>
  <c r="H224" i="2"/>
  <c r="H221" i="2"/>
  <c r="H163" i="2"/>
  <c r="H171" i="2"/>
  <c r="G171" i="2"/>
  <c r="I13" i="2"/>
  <c r="J23" i="2"/>
  <c r="H23" i="2" s="1"/>
  <c r="I23" i="2"/>
  <c r="K54" i="2"/>
  <c r="H466" i="2"/>
  <c r="K485" i="2"/>
  <c r="H422" i="2"/>
  <c r="H313" i="2"/>
  <c r="K329" i="2"/>
  <c r="H324" i="2"/>
  <c r="H260" i="2"/>
  <c r="K214" i="2"/>
  <c r="H253" i="2"/>
  <c r="H214" i="2"/>
  <c r="H182" i="2"/>
  <c r="H141" i="2"/>
  <c r="J262" i="2"/>
  <c r="H262" i="2" s="1"/>
  <c r="H79" i="2"/>
  <c r="H54" i="2"/>
  <c r="I186" i="2"/>
  <c r="J37" i="2"/>
  <c r="H37" i="2" s="1"/>
  <c r="I107" i="2"/>
  <c r="J67" i="2"/>
  <c r="H67" i="2" s="1"/>
  <c r="I168" i="2"/>
  <c r="H36" i="2"/>
  <c r="J45" i="2"/>
  <c r="H45" i="2" s="1"/>
  <c r="J73" i="2"/>
  <c r="H73" i="2" s="1"/>
  <c r="K147" i="2"/>
  <c r="J93" i="2"/>
  <c r="K289" i="2" s="1"/>
  <c r="I412" i="2"/>
  <c r="I73" i="2"/>
  <c r="J202" i="2"/>
  <c r="J325" i="2"/>
  <c r="H325" i="2" s="1"/>
  <c r="H32" i="2"/>
  <c r="G32" i="2"/>
  <c r="K412" i="2"/>
  <c r="J75" i="2"/>
  <c r="H75" i="2" s="1"/>
  <c r="I75" i="2"/>
  <c r="K402" i="2"/>
  <c r="J436" i="2"/>
  <c r="H436" i="2" s="1"/>
  <c r="K360" i="2"/>
  <c r="K444" i="2"/>
  <c r="K302" i="2"/>
  <c r="J55" i="2"/>
  <c r="H55" i="2" s="1"/>
  <c r="J266" i="2"/>
  <c r="H266" i="2" s="1"/>
  <c r="I67" i="2"/>
  <c r="K436" i="2"/>
  <c r="I411" i="2"/>
  <c r="J283" i="2"/>
  <c r="H283" i="2" s="1"/>
  <c r="K240" i="2"/>
  <c r="J257" i="2"/>
  <c r="H257" i="2" s="1"/>
  <c r="J147" i="2"/>
  <c r="H147" i="2" s="1"/>
  <c r="I101" i="2"/>
  <c r="I99" i="2"/>
  <c r="J411" i="2"/>
  <c r="H411" i="2" s="1"/>
  <c r="J239" i="2"/>
  <c r="I273" i="2"/>
  <c r="J395" i="2"/>
  <c r="H395" i="2" s="1"/>
  <c r="I470" i="2"/>
  <c r="I336" i="2"/>
  <c r="I296" i="2"/>
  <c r="J470" i="2"/>
  <c r="H470" i="2" s="1"/>
  <c r="J336" i="2"/>
  <c r="H336" i="2" s="1"/>
  <c r="K254" i="2"/>
  <c r="I109" i="2"/>
  <c r="J387" i="2"/>
  <c r="H387" i="2" s="1"/>
  <c r="J428" i="2"/>
  <c r="H428" i="2" s="1"/>
  <c r="I392" i="2"/>
  <c r="K428" i="2"/>
  <c r="J392" i="2"/>
  <c r="H392" i="2" s="1"/>
  <c r="J109" i="2"/>
  <c r="H109" i="2" s="1"/>
  <c r="I212" i="2"/>
  <c r="I165" i="2"/>
  <c r="J454" i="2"/>
  <c r="H454" i="2" s="1"/>
  <c r="K319" i="2"/>
  <c r="K279" i="2"/>
  <c r="I239" i="2"/>
  <c r="J99" i="2"/>
  <c r="H99" i="2" s="1"/>
  <c r="I45" i="2"/>
  <c r="J166" i="2"/>
  <c r="H166" i="2" s="1"/>
  <c r="I81" i="2"/>
  <c r="J254" i="2"/>
  <c r="H254" i="2" s="1"/>
  <c r="I39" i="2"/>
  <c r="I237" i="2"/>
  <c r="J133" i="2"/>
  <c r="H133" i="2" s="1"/>
  <c r="I65" i="2"/>
  <c r="J39" i="2"/>
  <c r="H39" i="2" s="1"/>
  <c r="J165" i="2"/>
  <c r="H165" i="2" s="1"/>
  <c r="J318" i="2"/>
  <c r="K466" i="2" s="1"/>
  <c r="I135" i="2"/>
  <c r="I353" i="2"/>
  <c r="K237" i="2"/>
  <c r="J81" i="2"/>
  <c r="K157" i="2" s="1"/>
  <c r="I29" i="2"/>
  <c r="J223" i="2"/>
  <c r="H223" i="2" s="1"/>
  <c r="K368" i="2"/>
  <c r="I303" i="2"/>
  <c r="J333" i="2"/>
  <c r="H333" i="2" s="1"/>
  <c r="I133" i="2"/>
  <c r="J480" i="2"/>
  <c r="H480" i="2" s="1"/>
  <c r="J462" i="2"/>
  <c r="H462" i="2" s="1"/>
  <c r="J352" i="2"/>
  <c r="H352" i="2" s="1"/>
  <c r="J296" i="2"/>
  <c r="H296" i="2" s="1"/>
  <c r="J117" i="2"/>
  <c r="H117" i="2" s="1"/>
  <c r="I117" i="2"/>
  <c r="J185" i="2"/>
  <c r="H185" i="2" s="1"/>
  <c r="I202" i="2"/>
  <c r="I226" i="2"/>
  <c r="J410" i="2"/>
  <c r="J394" i="2"/>
  <c r="I229" i="2"/>
  <c r="J279" i="2"/>
  <c r="H279" i="2" s="1"/>
  <c r="I221" i="2"/>
  <c r="I191" i="2"/>
  <c r="J31" i="2"/>
  <c r="H31" i="2" s="1"/>
  <c r="I31" i="2"/>
  <c r="I480" i="2"/>
  <c r="I462" i="2"/>
  <c r="K328" i="2"/>
  <c r="I352" i="2"/>
  <c r="J229" i="2"/>
  <c r="K356" i="2" s="1"/>
  <c r="J217" i="2"/>
  <c r="H217" i="2" s="1"/>
  <c r="K226" i="2"/>
  <c r="J101" i="2"/>
  <c r="H101" i="2" s="1"/>
  <c r="I249" i="2"/>
  <c r="I83" i="2"/>
  <c r="I162" i="2"/>
  <c r="K197" i="2"/>
  <c r="I319" i="2"/>
  <c r="K211" i="2"/>
  <c r="K162" i="2"/>
  <c r="K281" i="2"/>
  <c r="J57" i="2"/>
  <c r="H57" i="2" s="1"/>
  <c r="I127" i="2"/>
  <c r="J85" i="2"/>
  <c r="K146" i="2" s="1"/>
  <c r="K150" i="2"/>
  <c r="K191" i="2"/>
  <c r="K344" i="2"/>
  <c r="I385" i="2"/>
  <c r="K395" i="2"/>
  <c r="I337" i="2"/>
  <c r="I305" i="2"/>
  <c r="J247" i="2"/>
  <c r="I209" i="2"/>
  <c r="I150" i="2"/>
  <c r="J167" i="2"/>
  <c r="H167" i="2" s="1"/>
  <c r="I266" i="2"/>
  <c r="I281" i="2"/>
  <c r="K185" i="2"/>
  <c r="J83" i="2"/>
  <c r="H83" i="2" s="1"/>
  <c r="I57" i="2"/>
  <c r="I486" i="2"/>
  <c r="K426" i="2"/>
  <c r="I454" i="2"/>
  <c r="I318" i="2"/>
  <c r="J265" i="2"/>
  <c r="H265" i="2" s="1"/>
  <c r="K258" i="2"/>
  <c r="K201" i="2"/>
  <c r="J148" i="2"/>
  <c r="H148" i="2" s="1"/>
  <c r="I93" i="2"/>
  <c r="K11" i="2"/>
  <c r="K484" i="2"/>
  <c r="I484" i="2"/>
  <c r="J420" i="2"/>
  <c r="K456" i="2" s="1"/>
  <c r="K183" i="2"/>
  <c r="J183" i="2"/>
  <c r="K186" i="2" s="1"/>
  <c r="J170" i="2"/>
  <c r="H170" i="2" s="1"/>
  <c r="I170" i="2"/>
  <c r="J106" i="2"/>
  <c r="K245" i="2" s="1"/>
  <c r="K106" i="2"/>
  <c r="I468" i="2"/>
  <c r="I477" i="2"/>
  <c r="K477" i="2"/>
  <c r="J477" i="2"/>
  <c r="J434" i="2"/>
  <c r="H434" i="2" s="1"/>
  <c r="K420" i="2"/>
  <c r="I369" i="2"/>
  <c r="J486" i="2"/>
  <c r="H486" i="2" s="1"/>
  <c r="J452" i="2"/>
  <c r="H452" i="2" s="1"/>
  <c r="J382" i="2"/>
  <c r="H382" i="2" s="1"/>
  <c r="K299" i="2"/>
  <c r="I341" i="2"/>
  <c r="J270" i="2"/>
  <c r="H270" i="2" s="1"/>
  <c r="I270" i="2"/>
  <c r="J337" i="2"/>
  <c r="H337" i="2" s="1"/>
  <c r="J302" i="2"/>
  <c r="K390" i="2" s="1"/>
  <c r="K270" i="2"/>
  <c r="J368" i="2"/>
  <c r="H368" i="2" s="1"/>
  <c r="I282" i="2"/>
  <c r="K227" i="2"/>
  <c r="J227" i="2"/>
  <c r="K244" i="2"/>
  <c r="J222" i="2"/>
  <c r="H222" i="2" s="1"/>
  <c r="I197" i="2"/>
  <c r="K217" i="2"/>
  <c r="K199" i="2"/>
  <c r="J199" i="2"/>
  <c r="H199" i="2" s="1"/>
  <c r="J125" i="2"/>
  <c r="H125" i="2" s="1"/>
  <c r="J91" i="2"/>
  <c r="H91" i="2" s="1"/>
  <c r="I55" i="2"/>
  <c r="J193" i="2"/>
  <c r="I91" i="2"/>
  <c r="I183" i="2"/>
  <c r="J155" i="2"/>
  <c r="H155" i="2" s="1"/>
  <c r="K155" i="2"/>
  <c r="J249" i="2"/>
  <c r="H249" i="2" s="1"/>
  <c r="J168" i="2"/>
  <c r="H168" i="2" s="1"/>
  <c r="J149" i="2"/>
  <c r="H149" i="2" s="1"/>
  <c r="I149" i="2"/>
  <c r="K121" i="2"/>
  <c r="K103" i="2"/>
  <c r="K85" i="2"/>
  <c r="K149" i="2"/>
  <c r="J111" i="2"/>
  <c r="H111" i="2" s="1"/>
  <c r="K223" i="2"/>
  <c r="I259" i="2"/>
  <c r="I230" i="2"/>
  <c r="J135" i="2"/>
  <c r="H135" i="2" s="1"/>
  <c r="J127" i="2"/>
  <c r="H127" i="2" s="1"/>
  <c r="I166" i="2"/>
  <c r="J307" i="2"/>
  <c r="H307" i="2" s="1"/>
  <c r="I307" i="2"/>
  <c r="I460" i="2"/>
  <c r="I451" i="2"/>
  <c r="K451" i="2"/>
  <c r="J451" i="2"/>
  <c r="H451" i="2" s="1"/>
  <c r="J484" i="2"/>
  <c r="H484" i="2" s="1"/>
  <c r="I403" i="2"/>
  <c r="I315" i="2"/>
  <c r="J315" i="2"/>
  <c r="H315" i="2" s="1"/>
  <c r="J292" i="2"/>
  <c r="H292" i="2" s="1"/>
  <c r="K292" i="2"/>
  <c r="J349" i="2"/>
  <c r="H349" i="2" s="1"/>
  <c r="I299" i="2"/>
  <c r="I404" i="2"/>
  <c r="J282" i="2"/>
  <c r="H282" i="2" s="1"/>
  <c r="K222" i="2"/>
  <c r="I193" i="2"/>
  <c r="J119" i="2"/>
  <c r="H119" i="2" s="1"/>
  <c r="J49" i="2"/>
  <c r="H49" i="2" s="1"/>
  <c r="I119" i="2"/>
  <c r="I144" i="2"/>
  <c r="J259" i="2"/>
  <c r="H259" i="2" s="1"/>
  <c r="I106" i="2"/>
  <c r="K125" i="2"/>
  <c r="J278" i="2"/>
  <c r="I278" i="2"/>
  <c r="J367" i="2"/>
  <c r="H367" i="2" s="1"/>
  <c r="J403" i="2"/>
  <c r="H403" i="2" s="1"/>
  <c r="I367" i="2"/>
  <c r="I297" i="2"/>
  <c r="J353" i="2"/>
  <c r="K371" i="2" s="1"/>
  <c r="K325" i="2"/>
  <c r="K394" i="2"/>
  <c r="J294" i="2"/>
  <c r="H294" i="2" s="1"/>
  <c r="K387" i="2"/>
  <c r="J404" i="2"/>
  <c r="I244" i="2"/>
  <c r="I274" i="2"/>
  <c r="K144" i="2"/>
  <c r="K221" i="2"/>
  <c r="K189" i="2"/>
  <c r="I189" i="2"/>
  <c r="J173" i="2"/>
  <c r="H173" i="2" s="1"/>
  <c r="K173" i="2"/>
  <c r="K262" i="2"/>
  <c r="I49" i="2"/>
  <c r="J181" i="2"/>
  <c r="H181" i="2" s="1"/>
  <c r="J95" i="2"/>
  <c r="J230" i="2"/>
  <c r="H230" i="2" s="1"/>
  <c r="K65" i="2"/>
  <c r="K107" i="2"/>
  <c r="I478" i="2"/>
  <c r="K476" i="2"/>
  <c r="J476" i="2"/>
  <c r="H476" i="2" s="1"/>
  <c r="I476" i="2"/>
  <c r="J369" i="2"/>
  <c r="H369" i="2" s="1"/>
  <c r="J442" i="2"/>
  <c r="H442" i="2" s="1"/>
  <c r="I426" i="2"/>
  <c r="J379" i="2"/>
  <c r="H379" i="2" s="1"/>
  <c r="I379" i="2"/>
  <c r="I402" i="2"/>
  <c r="K374" i="2"/>
  <c r="J374" i="2"/>
  <c r="H374" i="2" s="1"/>
  <c r="I294" i="2"/>
  <c r="I360" i="2"/>
  <c r="I328" i="2"/>
  <c r="J297" i="2"/>
  <c r="H297" i="2" s="1"/>
  <c r="J386" i="2"/>
  <c r="H386" i="2" s="1"/>
  <c r="J274" i="2"/>
  <c r="H274" i="2" s="1"/>
  <c r="I271" i="2"/>
  <c r="K207" i="2"/>
  <c r="I207" i="2"/>
  <c r="J116" i="2"/>
  <c r="H116" i="2" s="1"/>
  <c r="K116" i="2"/>
  <c r="J98" i="2"/>
  <c r="H98" i="2" s="1"/>
  <c r="K98" i="2"/>
  <c r="J121" i="2"/>
  <c r="H121" i="2" s="1"/>
  <c r="I434" i="2"/>
  <c r="I452" i="2"/>
  <c r="I467" i="2"/>
  <c r="K467" i="2"/>
  <c r="J467" i="2"/>
  <c r="H467" i="2" s="1"/>
  <c r="J478" i="2"/>
  <c r="H478" i="2" s="1"/>
  <c r="I418" i="2"/>
  <c r="I344" i="2"/>
  <c r="J310" i="2"/>
  <c r="H310" i="2" s="1"/>
  <c r="K310" i="2"/>
  <c r="I444" i="2"/>
  <c r="I441" i="2"/>
  <c r="K441" i="2"/>
  <c r="J441" i="2"/>
  <c r="H441" i="2" s="1"/>
  <c r="J460" i="2"/>
  <c r="H460" i="2" s="1"/>
  <c r="J385" i="2"/>
  <c r="H385" i="2" s="1"/>
  <c r="I410" i="2"/>
  <c r="K418" i="2"/>
  <c r="I292" i="2"/>
  <c r="I295" i="2"/>
  <c r="K295" i="2"/>
  <c r="K341" i="2"/>
  <c r="J305" i="2"/>
  <c r="H305" i="2" s="1"/>
  <c r="K386" i="2"/>
  <c r="K333" i="2"/>
  <c r="K283" i="2"/>
  <c r="I265" i="2"/>
  <c r="J263" i="2"/>
  <c r="H263" i="2" s="1"/>
  <c r="K263" i="2"/>
  <c r="J211" i="2"/>
  <c r="H211" i="2" s="1"/>
  <c r="K181" i="2"/>
  <c r="I11" i="2"/>
  <c r="K257" i="2"/>
  <c r="I240" i="2"/>
  <c r="I37" i="2"/>
  <c r="K111" i="2"/>
  <c r="K95" i="2"/>
  <c r="K271" i="2"/>
  <c r="J245" i="2"/>
  <c r="K273" i="2" s="1"/>
  <c r="K209" i="2"/>
  <c r="J29" i="2"/>
  <c r="H29" i="2" s="1"/>
  <c r="K400" i="2"/>
  <c r="I400" i="2"/>
  <c r="K382" i="2"/>
  <c r="J236" i="2"/>
  <c r="H236" i="2" s="1"/>
  <c r="I236" i="2"/>
  <c r="J218" i="2"/>
  <c r="H218" i="2" s="1"/>
  <c r="K218" i="2"/>
  <c r="I218" i="2"/>
  <c r="I180" i="2"/>
  <c r="J139" i="2"/>
  <c r="H139" i="2" s="1"/>
  <c r="K139" i="2"/>
  <c r="K129" i="2"/>
  <c r="K167" i="2"/>
  <c r="J103" i="2"/>
  <c r="H103" i="2" s="1"/>
  <c r="I148" i="2"/>
  <c r="J21" i="2"/>
  <c r="H21" i="2" s="1"/>
  <c r="I485" i="2"/>
  <c r="J485" i="2"/>
  <c r="I459" i="2"/>
  <c r="K459" i="2"/>
  <c r="J459" i="2"/>
  <c r="H459" i="2" s="1"/>
  <c r="I433" i="2"/>
  <c r="K433" i="2"/>
  <c r="J433" i="2"/>
  <c r="H433" i="2" s="1"/>
  <c r="J408" i="2"/>
  <c r="H408" i="2" s="1"/>
  <c r="K408" i="2"/>
  <c r="J468" i="2"/>
  <c r="H468" i="2" s="1"/>
  <c r="J357" i="2"/>
  <c r="H357" i="2" s="1"/>
  <c r="K307" i="2"/>
  <c r="J291" i="2"/>
  <c r="H291" i="2" s="1"/>
  <c r="I291" i="2"/>
  <c r="I287" i="2"/>
  <c r="K287" i="2"/>
  <c r="K357" i="2"/>
  <c r="J303" i="2"/>
  <c r="H303" i="2" s="1"/>
  <c r="K278" i="2"/>
  <c r="K349" i="2"/>
  <c r="I213" i="2"/>
  <c r="K213" i="2"/>
  <c r="I241" i="2"/>
  <c r="J241" i="2"/>
  <c r="H241" i="2" s="1"/>
  <c r="J258" i="2"/>
  <c r="H258" i="2" s="1"/>
  <c r="J201" i="2"/>
  <c r="H201" i="2" s="1"/>
  <c r="K180" i="2"/>
  <c r="I139" i="2"/>
  <c r="K170" i="2"/>
  <c r="J152" i="2"/>
  <c r="H152" i="2" s="1"/>
  <c r="I152" i="2"/>
  <c r="J212" i="2"/>
  <c r="H212" i="2" s="1"/>
  <c r="J129" i="2"/>
  <c r="H129" i="2" s="1"/>
  <c r="K353" i="2" l="1"/>
  <c r="K347" i="2"/>
  <c r="H239" i="2"/>
  <c r="K247" i="2"/>
  <c r="K239" i="2"/>
  <c r="H410" i="2"/>
  <c r="H81" i="2"/>
  <c r="K163" i="2"/>
  <c r="H85" i="2"/>
  <c r="K161" i="2"/>
  <c r="H404" i="2"/>
  <c r="H353" i="2"/>
  <c r="H229" i="2"/>
  <c r="H247" i="2"/>
  <c r="H227" i="2"/>
  <c r="G221" i="2"/>
  <c r="H193" i="2"/>
  <c r="G426" i="2"/>
  <c r="H318" i="2"/>
  <c r="H477" i="2"/>
  <c r="H394" i="2"/>
  <c r="H278" i="2"/>
  <c r="H245" i="2"/>
  <c r="H183" i="2"/>
  <c r="H95" i="2"/>
  <c r="H93" i="2"/>
</calcChain>
</file>

<file path=xl/sharedStrings.xml><?xml version="1.0" encoding="utf-8"?>
<sst xmlns="http://schemas.openxmlformats.org/spreadsheetml/2006/main" count="1182" uniqueCount="371">
  <si>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</si>
  <si>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</si>
  <si>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</si>
  <si>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</si>
  <si>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</si>
  <si>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</si>
  <si>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</si>
  <si>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</si>
  <si>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</si>
  <si>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</si>
  <si>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</si>
  <si>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</si>
  <si>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</si>
  <si>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senken</t>
  </si>
  <si>
    <t>Das £2- pro Tag Medikament , das Herzinfarktrisiko senken kann</t>
  </si>
  <si>
    <t>file://conllu/de/dailymail.co.uk.170665.conllu#s1_0</t>
  </si>
  <si>
    <t>2</t>
  </si>
  <si>
    <t>12</t>
  </si>
  <si>
    <t>Nachdem?</t>
  </si>
  <si>
    <t>profitieren</t>
  </si>
  <si>
    <t>Tausende von Herzinfarktpatienten werden von einem £2- pro Tag Medikament profitieren , nachdem von den Behörden empfohlen wurde , dieses mehr Leuten für einen längeren Zeitraum zu verabreichen .</t>
  </si>
  <si>
    <t>file://conllu/de/dailymail.co.uk.170665.conllu#s2_0</t>
  </si>
  <si>
    <t>3</t>
  </si>
  <si>
    <t>5</t>
  </si>
  <si>
    <t>reduzieren</t>
  </si>
  <si>
    <t>Das gerinnungshemmende Medikament Ticagrelor reduziert das Risiko wiederholter Herzinfarkte für Personen mit einer Herzerkrankung .</t>
  </si>
  <si>
    <t>file://conllu/de/dailymail.co.uk.170665.conllu#s3_0</t>
  </si>
  <si>
    <t>4</t>
  </si>
  <si>
    <t>11</t>
  </si>
  <si>
    <t>verabreichen</t>
  </si>
  <si>
    <t>Das Medikament wird bereits 12 Monate lang nach einem Herzinfarkt verabreicht , wodurch das Risiko eines Schlaganfalls oder eines weiteren Herzinfarkts reduziert wird .</t>
  </si>
  <si>
    <t>file://conllu/de/dailymail.co.uk.170665.conllu#s4_0</t>
  </si>
  <si>
    <t>empfehlen</t>
  </si>
  <si>
    <t>Die Regulierungsbehörde NICE des NHS hat eine vier Jahre lange Einnahme empfohlen , um das Risiko kardiovaskulärer Probleme weiter zu reduzieren .</t>
  </si>
  <si>
    <t>file://conllu/de/dailymail.co.uk.170665.conllu#s5_0</t>
  </si>
  <si>
    <t>6</t>
  </si>
  <si>
    <t>file://conllu/de/dailymail.co.uk.170665.conllu#s6_0</t>
  </si>
  <si>
    <t>7</t>
  </si>
  <si>
    <t>erleiden</t>
  </si>
  <si>
    <t>Rund 140.000 Leute erleiden jedes Jahr einen Herzinfarkt und ein Viertel davon erleiden einen weiteren Herzinfarkt oder einen Schlaganfall .</t>
  </si>
  <si>
    <t>file://conllu/de/dailymail.co.uk.170665.conllu#s7_0</t>
  </si>
  <si>
    <t>8</t>
  </si>
  <si>
    <t>Durch?</t>
  </si>
  <si>
    <t>verursachen</t>
  </si>
  <si>
    <t>Herzinfarkte und Schlaganfälle werden durch Ansammlungen fetthaltigen Materials in den Arterienwänden verursacht , die Beläge bilden .</t>
  </si>
  <si>
    <t>file://conllu/de/dailymail.co.uk.170665.conllu#s8_0</t>
  </si>
  <si>
    <t>9</t>
  </si>
  <si>
    <t>Wenn der Belag auseinanderbricht , kann es ein Blutgerinnsel verursachen , das den Blutfluss bis zum zu dem Herzen verstopft und dadurch einen Herzinfarkt verursacht .</t>
  </si>
  <si>
    <t>file://conllu/de/dailymail.co.uk.170665.conllu#s9_0</t>
  </si>
  <si>
    <t>fließen</t>
  </si>
  <si>
    <t>Wenn sich das Blutgerinnsel löst , kann es durch den Blutstrom fließen und den Blutfluss zum zu dem Gehirn verstopfen , was einen Schlaganfall verursacht .</t>
  </si>
  <si>
    <t>file://conllu/de/dailymail.co.uk.170665.conllu#s10_0</t>
  </si>
  <si>
    <t>unterliegen</t>
  </si>
  <si>
    <t>Personen , die bereits einen Herzinfarkt hatten , unterliegen einem höheren Risiko einen weiteren zu haben .</t>
  </si>
  <si>
    <t>file://conllu/de/dailymail.co.uk.170665.conllu#s11_0</t>
  </si>
  <si>
    <t>19</t>
  </si>
  <si>
    <t>reduziert</t>
  </si>
  <si>
    <t>Ticagrelor , das von dem britischen Unternehmen AstraZeneca hergestellt wird und unter dem Handelsnamen Brilique vertrieben wird , reduziert dieses Risiko , indem es die Bildung von Blutgerinnseln unwahrscheinlicher macht .</t>
  </si>
  <si>
    <t>file://conllu/de/dailymail.co.uk.170665.conllu#s12_0</t>
  </si>
  <si>
    <t>13</t>
  </si>
  <si>
    <t>Der Anleitungsentwurf von NICE , der heute veröffentlicht wurde , empfiehlt eine 12-monatige Einnahme von 90mg Ticagrelor , gefolgt von 60mg mit einer zweimal täglichen Einnahme von Aspirin für die nächsten drei Jahre .</t>
  </si>
  <si>
    <t>file://conllu/de/dailymail.co.uk.170665.conllu#s13_0</t>
  </si>
  <si>
    <t>14</t>
  </si>
  <si>
    <t>sagen</t>
  </si>
  <si>
    <t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</si>
  <si>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>file://conllu/de/dailymail.co.uk.170665.conllu#s14_0</t>
  </si>
  <si>
    <t>15</t>
  </si>
  <si>
    <t>16</t>
  </si>
  <si>
    <t>haben</t>
  </si>
  <si>
    <t>Die Angst vor einem erneuten Herzinfarkt kann erhebliche negative Auswirkungen auf die Lebensqualität einer Person haben .</t>
  </si>
  <si>
    <t>file://conllu/de/dailymail.co.uk.170665.conllu#s15_0</t>
  </si>
  <si>
    <t>zeigen</t>
  </si>
  <si>
    <t>Die Erfahrung zeigt , dass Ticagrelor in Kombination mit Aspirin effektiv bei der Reduzierung weiterer Herzinfarkte und Schlaganfälle bei Leuten ist , die bereits einen Herzinfarkt hatten .</t>
  </si>
  <si>
    <t>file://conllu/de/dailymail.co.uk.170665.conllu#s16_0</t>
  </si>
  <si>
    <t>17</t>
  </si>
  <si>
    <t>freuen</t>
  </si>
  <si>
    <t>Durch eine vorläufige Empfehlung von Ticagrelor freuen wir uns , dass wir in der Lage sind , verfügbare Behandlungsoptionen an tausende von Menschen zu erweitern , die davon profitieren können .</t>
  </si>
  <si>
    <t>file://conllu/de/dailymail.co.uk.170665.conllu#s17_0</t>
  </si>
  <si>
    <t>18</t>
  </si>
  <si>
    <t>sein (sein beschränken)</t>
  </si>
  <si>
    <t>Die Information über die Wirksamkeit und Sicherheit von Ticagrelor vor allem das Blutungsrisiko ist auf einen Zeitraum von bis zu drei Jahren beschränkt .</t>
  </si>
  <si>
    <t>file://conllu/de/dailymail.co.uk.170665.conllu#s18_0</t>
  </si>
  <si>
    <t>empfiehlen</t>
  </si>
  <si>
    <t>Der Anleitungsentwurf empfiehlt keine Behandlung , die über diesen Zeitraum hinausgeht .</t>
  </si>
  <si>
    <t>file://conllu/de/dailymail.co.uk.170665.conllu#s19_0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</si>
  <si>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</si>
  <si>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</si>
  <si>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</si>
  <si>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</si>
  <si>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</si>
  <si>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</si>
  <si>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</si>
  <si>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</si>
  <si>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</si>
  <si>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</si>
  <si>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</si>
  <si>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Das £2-pro Tag- Medikament, das Herzinfarktrisiko senken kann</t>
  </si>
  <si>
    <t>Das</t>
  </si>
  <si>
    <t>£2-</t>
  </si>
  <si>
    <t>SBJ</t>
  </si>
  <si>
    <t>def-np.the</t>
  </si>
  <si>
    <t>?OLD</t>
  </si>
  <si>
    <t>pro</t>
  </si>
  <si>
    <t>Tag</t>
  </si>
  <si>
    <t>Medikament</t>
  </si>
  <si>
    <t>other_2</t>
  </si>
  <si>
    <t>indef-np.bare</t>
  </si>
  <si>
    <t>,</t>
  </si>
  <si>
    <t>das</t>
  </si>
  <si>
    <t>Herzinfarktrisiko</t>
  </si>
  <si>
    <t>OBJ</t>
  </si>
  <si>
    <t>kann</t>
  </si>
  <si>
    <t># text = Tausende von Herzinfarktpatienten werden von einem £2-pro Tag-Medikament profitieren, nachdem von den Behörden empfohlen wurde, dieses mehr Leuten für einen längeren Zeitraum zu verabreichen.</t>
  </si>
  <si>
    <t>Tausende</t>
  </si>
  <si>
    <t>von</t>
  </si>
  <si>
    <t>Herzinfarktpatienten</t>
  </si>
  <si>
    <t>werden</t>
  </si>
  <si>
    <t>einem</t>
  </si>
  <si>
    <t>other</t>
  </si>
  <si>
    <t>indef-np.a</t>
  </si>
  <si>
    <t>nachdem</t>
  </si>
  <si>
    <t>den</t>
  </si>
  <si>
    <t>Behörden</t>
  </si>
  <si>
    <t>empfohlen</t>
  </si>
  <si>
    <t>wurde</t>
  </si>
  <si>
    <t>dieses</t>
  </si>
  <si>
    <t>other_4</t>
  </si>
  <si>
    <t>pron.pds</t>
  </si>
  <si>
    <t>mehr</t>
  </si>
  <si>
    <t>Leuten</t>
  </si>
  <si>
    <t>OBJ_3</t>
  </si>
  <si>
    <t>def-np.dem</t>
  </si>
  <si>
    <t>für</t>
  </si>
  <si>
    <t>einen</t>
  </si>
  <si>
    <t>längeren</t>
  </si>
  <si>
    <t>Zeitraum</t>
  </si>
  <si>
    <t>other_3</t>
  </si>
  <si>
    <t>zu</t>
  </si>
  <si>
    <t>.</t>
  </si>
  <si>
    <t># text = Das gerinnungshemmende Medikament Ticagrelor reduziert das Risiko wiederholter Herzinfarkte für Personen mit einer Herzerkrankung.</t>
  </si>
  <si>
    <t>gerinnungshemmende</t>
  </si>
  <si>
    <t>Ticagrelor</t>
  </si>
  <si>
    <t>ne</t>
  </si>
  <si>
    <t>Risiko</t>
  </si>
  <si>
    <t>wiederholter</t>
  </si>
  <si>
    <t>Herzinfarkte</t>
  </si>
  <si>
    <t>Personen</t>
  </si>
  <si>
    <t>mit</t>
  </si>
  <si>
    <t>einer</t>
  </si>
  <si>
    <t>Herzerkrankung</t>
  </si>
  <si>
    <t># text = Das Medikament wird bereits 12 Monate lang nach einem Herzinfarkt verabreicht, wodurch das Risiko eines Schlaganfalls oder eines weiteren Herzinfarkts reduziert wird.</t>
  </si>
  <si>
    <t>wird</t>
  </si>
  <si>
    <t>bereits</t>
  </si>
  <si>
    <t>Monate</t>
  </si>
  <si>
    <t>indef-np.quant</t>
  </si>
  <si>
    <t>lang</t>
  </si>
  <si>
    <t>nach</t>
  </si>
  <si>
    <t>Herzinfarkt</t>
  </si>
  <si>
    <t>verabreicht</t>
  </si>
  <si>
    <t>wodurch</t>
  </si>
  <si>
    <t>SBJ_2</t>
  </si>
  <si>
    <t>eines</t>
  </si>
  <si>
    <t>Schlaganfalls</t>
  </si>
  <si>
    <t>oder</t>
  </si>
  <si>
    <t>weiteren</t>
  </si>
  <si>
    <t>Herzinfarkts</t>
  </si>
  <si>
    <t># text = Die Regulierungsbehörde NICE des NHS hat eine vier Jahre lange Einnahme empfohlen, um das Risiko kardiovaskulärer Probleme weiter zu reduzieren.</t>
  </si>
  <si>
    <t>Die</t>
  </si>
  <si>
    <t>Regulierungsbehörde</t>
  </si>
  <si>
    <t>NICE</t>
  </si>
  <si>
    <t>des</t>
  </si>
  <si>
    <t>NHS</t>
  </si>
  <si>
    <t>hat</t>
  </si>
  <si>
    <t>eine</t>
  </si>
  <si>
    <t>vier</t>
  </si>
  <si>
    <t>Jahre</t>
  </si>
  <si>
    <t>lange</t>
  </si>
  <si>
    <t>Einnahme</t>
  </si>
  <si>
    <t>um</t>
  </si>
  <si>
    <t>OBJ_2</t>
  </si>
  <si>
    <t>kardiovaskulärer</t>
  </si>
  <si>
    <t>Probleme</t>
  </si>
  <si>
    <t>weiter</t>
  </si>
  <si>
    <t># text = Rund 140.000 Leute erleiden jedes Jahr einen Herzinfarkt und ein Viertel davon erleiden einen weiteren Herzinfarkt oder einen Schlaganfall.</t>
  </si>
  <si>
    <t>Rund</t>
  </si>
  <si>
    <t>140.000</t>
  </si>
  <si>
    <t>Leute</t>
  </si>
  <si>
    <t>jedes</t>
  </si>
  <si>
    <t>pron.pind</t>
  </si>
  <si>
    <t>Jahr</t>
  </si>
  <si>
    <t>und</t>
  </si>
  <si>
    <t>ein</t>
  </si>
  <si>
    <t>Viertel</t>
  </si>
  <si>
    <t>davon</t>
  </si>
  <si>
    <t>Schlaganfall</t>
  </si>
  <si>
    <t># text = Herzinfarkte und Schlaganfälle werden durch Ansammlungen fetthaltigen Materials in den Arterienwänden verursacht, die Beläge bilden.</t>
  </si>
  <si>
    <t>Schlaganfälle</t>
  </si>
  <si>
    <t>durch</t>
  </si>
  <si>
    <t>Ansammlungen</t>
  </si>
  <si>
    <t>fetthaltigen</t>
  </si>
  <si>
    <t>Materials</t>
  </si>
  <si>
    <t>in</t>
  </si>
  <si>
    <t>Arterienwänden</t>
  </si>
  <si>
    <t>verursacht</t>
  </si>
  <si>
    <t>die</t>
  </si>
  <si>
    <t>Beläge</t>
  </si>
  <si>
    <t>bilden</t>
  </si>
  <si>
    <t># text = Wenn der Belag auseinanderbricht, kann es ein Blutgerinnsel verursachen, das den Blutfluss bis zum Herzen verstopft und dadurch einen Herzinfarkt verursacht.</t>
  </si>
  <si>
    <t>Wenn</t>
  </si>
  <si>
    <t>der</t>
  </si>
  <si>
    <t>Belag</t>
  </si>
  <si>
    <t>auseinanderbricht</t>
  </si>
  <si>
    <t>es</t>
  </si>
  <si>
    <t>pron.pper</t>
  </si>
  <si>
    <t>Blutgerinnsel</t>
  </si>
  <si>
    <t>Blutfluss</t>
  </si>
  <si>
    <t>bis</t>
  </si>
  <si>
    <t>dem</t>
  </si>
  <si>
    <t>Herzen</t>
  </si>
  <si>
    <t>verstopft</t>
  </si>
  <si>
    <t>dadurch</t>
  </si>
  <si>
    <t># text = Wenn sich das Blutgerinnsel löst, kann es durch den Blutstrom fließen und den Blutfluss zum Gehirn verstopfen, was einen Schlaganfall verursacht.</t>
  </si>
  <si>
    <t>sich</t>
  </si>
  <si>
    <t>löst</t>
  </si>
  <si>
    <t>Blutstrom</t>
  </si>
  <si>
    <t>Gehirn</t>
  </si>
  <si>
    <t>verstopfen</t>
  </si>
  <si>
    <t>was</t>
  </si>
  <si>
    <t>pron</t>
  </si>
  <si>
    <t># text = Personen, die bereits einen Herzinfarkt hatten, unterliegen einem höheren Risiko einen weiteren zu haben.</t>
  </si>
  <si>
    <t>SBJ_3</t>
  </si>
  <si>
    <t>hatten</t>
  </si>
  <si>
    <t>höheren</t>
  </si>
  <si>
    <t># text = Ticagrelor, das von dem britischen Unternehmen AstraZeneca hergestellt wird und unter dem Handelsnamen Brilique vertrieben wird, reduziert dieses Risiko, indem es die Bildung von Blutgerinnseln unwahrscheinlicher macht.</t>
  </si>
  <si>
    <t>britischen</t>
  </si>
  <si>
    <t>Unternehmen</t>
  </si>
  <si>
    <t>AstraZeneca</t>
  </si>
  <si>
    <t>hergestellt</t>
  </si>
  <si>
    <t>unter</t>
  </si>
  <si>
    <t>Handelsnamen</t>
  </si>
  <si>
    <t>Brilique</t>
  </si>
  <si>
    <t>vertrieben</t>
  </si>
  <si>
    <t>indem</t>
  </si>
  <si>
    <t>Bildung</t>
  </si>
  <si>
    <t>def-np.poss</t>
  </si>
  <si>
    <t>Blutgerinnseln</t>
  </si>
  <si>
    <t>unwahrscheinlicher</t>
  </si>
  <si>
    <t>macht</t>
  </si>
  <si>
    <t># text = Der Anleitungsentwurf von NICE, der heute veröffentlicht wurde, empfiehlt eine 12-monatige Einnahme von 90mg Ticagrelor, gefolgt von 60mg mit einer zweimal täglichen Einnahme von Aspirin für die nächsten drei Jahre.</t>
  </si>
  <si>
    <t>Der</t>
  </si>
  <si>
    <t>Anleitungsentwurf</t>
  </si>
  <si>
    <t>heute</t>
  </si>
  <si>
    <t>veröffentlicht</t>
  </si>
  <si>
    <t>empfiehlt</t>
  </si>
  <si>
    <t>12-monatige</t>
  </si>
  <si>
    <t>90mg</t>
  </si>
  <si>
    <t>gefolgt</t>
  </si>
  <si>
    <t>60mg</t>
  </si>
  <si>
    <t>zweimal</t>
  </si>
  <si>
    <t>täglichen</t>
  </si>
  <si>
    <t>Aspirin</t>
  </si>
  <si>
    <t>nächsten</t>
  </si>
  <si>
    <t>drei</t>
  </si>
  <si>
    <t>def-np.quant</t>
  </si>
  <si>
    <t>--</t>
  </si>
  <si>
    <t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</si>
  <si>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>Professor</t>
  </si>
  <si>
    <t>Carole</t>
  </si>
  <si>
    <t>Longson</t>
  </si>
  <si>
    <t>Direktorin</t>
  </si>
  <si>
    <t>Gesundheitstechnologieevaluierungszentrums</t>
  </si>
  <si>
    <t>sagte</t>
  </si>
  <si>
    <t>:</t>
  </si>
  <si>
    <t>&amp;quot;</t>
  </si>
  <si>
    <t>Trotz</t>
  </si>
  <si>
    <t>Verfügbarkeit</t>
  </si>
  <si>
    <t>Sekundärprävention</t>
  </si>
  <si>
    <t>aller</t>
  </si>
  <si>
    <t>SBJ_4</t>
  </si>
  <si>
    <t>OBJ_4</t>
  </si>
  <si>
    <t>erlitten</t>
  </si>
  <si>
    <t>oft</t>
  </si>
  <si>
    <t>desaströsen</t>
  </si>
  <si>
    <t>Folgen</t>
  </si>
  <si>
    <t># text = Die Angst vor einem erneuten Herzinfarkt kann erhebliche negative Auswirkungen auf die Lebensqualität einer Person haben.</t>
  </si>
  <si>
    <t>Angst</t>
  </si>
  <si>
    <t>vor</t>
  </si>
  <si>
    <t>erneuten</t>
  </si>
  <si>
    <t>erhebliche</t>
  </si>
  <si>
    <t>negative</t>
  </si>
  <si>
    <t>Auswirkungen</t>
  </si>
  <si>
    <t>auf</t>
  </si>
  <si>
    <t>Lebensqualität</t>
  </si>
  <si>
    <t>Person</t>
  </si>
  <si>
    <t># text = Die Erfahrung zeigt, dass Ticagrelor in Kombination mit Aspirin effektiv bei der Reduzierung weiterer Herzinfarkte und Schlaganfälle bei Leuten ist, die bereits einen Herzinfarkt hatten.</t>
  </si>
  <si>
    <t>Erfahrung</t>
  </si>
  <si>
    <t>zeigt</t>
  </si>
  <si>
    <t>dass</t>
  </si>
  <si>
    <t>Kombination</t>
  </si>
  <si>
    <t>effektiv</t>
  </si>
  <si>
    <t>bei</t>
  </si>
  <si>
    <t>Reduzierung</t>
  </si>
  <si>
    <t>weiterer</t>
  </si>
  <si>
    <t>ist</t>
  </si>
  <si>
    <t># text = Durch eine vorläufige Empfehlung von Ticagrelor freuen wir uns, dass wir in der Lage sind, verfügbare Behandlungsoptionen an tausende von Menschen zu erweitern, die davon profitieren können.</t>
  </si>
  <si>
    <t>Durch</t>
  </si>
  <si>
    <t>vorläufige</t>
  </si>
  <si>
    <t>Empfehlung</t>
  </si>
  <si>
    <t>wir</t>
  </si>
  <si>
    <t>uns</t>
  </si>
  <si>
    <t>Lage</t>
  </si>
  <si>
    <t>sind</t>
  </si>
  <si>
    <t>verfügbare</t>
  </si>
  <si>
    <t>Behandlungsoptionen</t>
  </si>
  <si>
    <t>an</t>
  </si>
  <si>
    <t>tausende</t>
  </si>
  <si>
    <t>Menschen</t>
  </si>
  <si>
    <t>erweitern</t>
  </si>
  <si>
    <t>können</t>
  </si>
  <si>
    <t># text = Die Information über die Wirksamkeit und Sicherheit von Ticagrelor - vor allem das Blutungsrisiko - ist auf einen Zeitraum von bis zu drei Jahren beschränkt.</t>
  </si>
  <si>
    <t>Information</t>
  </si>
  <si>
    <t>über</t>
  </si>
  <si>
    <t>Wirksamkeit</t>
  </si>
  <si>
    <t>Sicherheit</t>
  </si>
  <si>
    <t>allem</t>
  </si>
  <si>
    <t>Blutungsrisiko</t>
  </si>
  <si>
    <t>Jahren</t>
  </si>
  <si>
    <t>beschränkt</t>
  </si>
  <si>
    <t># text = Der Anleitungsentwurf empfiehlt keine Behandlung, die über diesen Zeitraum hinausgeht.</t>
  </si>
  <si>
    <t>keine</t>
  </si>
  <si>
    <t>Behandlung</t>
  </si>
  <si>
    <t>diesen</t>
  </si>
  <si>
    <t>hinausgeht</t>
  </si>
  <si>
    <t>Kompositum</t>
  </si>
  <si>
    <t>syntaktischer Kopf</t>
  </si>
  <si>
    <t>ticagrelor</t>
  </si>
  <si>
    <t>GEN</t>
  </si>
  <si>
    <t>parser error: "das" in 10 = Relativpronomen</t>
  </si>
  <si>
    <t>PRED</t>
  </si>
  <si>
    <t>risiko_infarkt</t>
  </si>
  <si>
    <t>nice</t>
  </si>
  <si>
    <t>nhs</t>
  </si>
  <si>
    <t>doppelter Satz, siehe log</t>
  </si>
  <si>
    <t>patienten_herzinfarkt</t>
  </si>
  <si>
    <t>belaege_arterien</t>
  </si>
  <si>
    <t>bruch_belag</t>
  </si>
  <si>
    <t>Antezedens</t>
  </si>
  <si>
    <t>thrombus</t>
  </si>
  <si>
    <t>BOUND</t>
  </si>
  <si>
    <t>astrazeneca</t>
  </si>
  <si>
    <t>Artikel</t>
  </si>
  <si>
    <t>carole_longson</t>
  </si>
  <si>
    <t>aspirin</t>
  </si>
  <si>
    <t>gtez_nice</t>
  </si>
  <si>
    <t>IDIOM</t>
  </si>
  <si>
    <t>anleitungsentwurf</t>
  </si>
  <si>
    <t>drei_jahre_dauer</t>
  </si>
  <si>
    <t>NEW</t>
  </si>
  <si>
    <t>herzinfarkt</t>
  </si>
  <si>
    <t>blutfluss_gehirn</t>
  </si>
  <si>
    <t>gehirn</t>
  </si>
  <si>
    <t>blutfluss_herz</t>
  </si>
  <si>
    <t>herz</t>
  </si>
  <si>
    <t>schlaganfall</t>
  </si>
  <si>
    <t>reduzierung_risiko</t>
  </si>
  <si>
    <t>UNIQUE</t>
  </si>
  <si>
    <t>FAMILIAR</t>
  </si>
  <si>
    <t>FOCUS</t>
  </si>
  <si>
    <t>nacherwähnt</t>
  </si>
  <si>
    <t>ACTIVATED</t>
  </si>
  <si>
    <t>infos_ticagrelor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</si>
</sst>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0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tr">
        <f t="shared" si="0"/>
        <v>Nachdem?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23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35</v>
      </c>
      <c r="B7" s="6" t="s">
        <v>17</v>
      </c>
      <c r="C7" s="6" t="s">
        <v>12</v>
      </c>
      <c r="D7" s="7" t="s">
        <v>32</v>
      </c>
      <c r="E7" s="8" t="s">
        <v>33</v>
      </c>
      <c r="F7" s="6" t="s">
        <v>36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37</v>
      </c>
      <c r="B8" s="6" t="s">
        <v>27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41</v>
      </c>
      <c r="B9" s="6" t="s">
        <v>17</v>
      </c>
      <c r="C9" s="6" t="s">
        <v>42</v>
      </c>
      <c r="D9" s="7" t="s">
        <v>43</v>
      </c>
      <c r="E9" s="8" t="s">
        <v>44</v>
      </c>
      <c r="F9" s="6" t="s">
        <v>45</v>
      </c>
      <c r="G9" s="9" t="str">
        <f t="shared" si="0"/>
        <v>Durch?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46</v>
      </c>
      <c r="B10" s="6" t="s">
        <v>11</v>
      </c>
      <c r="C10" s="6" t="s">
        <v>12</v>
      </c>
      <c r="D10" s="7" t="s">
        <v>43</v>
      </c>
      <c r="E10" s="8" t="s">
        <v>47</v>
      </c>
      <c r="F10" s="6" t="s">
        <v>48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11</v>
      </c>
      <c r="B11" s="6" t="s">
        <v>17</v>
      </c>
      <c r="C11" s="6" t="s">
        <v>42</v>
      </c>
      <c r="D11" s="7" t="s">
        <v>49</v>
      </c>
      <c r="E11" s="8" t="s">
        <v>50</v>
      </c>
      <c r="F11" s="6" t="s">
        <v>51</v>
      </c>
      <c r="G11" s="9" t="str">
        <f t="shared" si="0"/>
        <v>Durch?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28</v>
      </c>
      <c r="B12" s="6" t="s">
        <v>46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17</v>
      </c>
      <c r="B13" s="6" t="s">
        <v>55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59</v>
      </c>
      <c r="B14" s="6" t="s">
        <v>28</v>
      </c>
      <c r="C14" s="6" t="s">
        <v>12</v>
      </c>
      <c r="D14" s="7" t="s">
        <v>32</v>
      </c>
      <c r="E14" s="8" t="s">
        <v>60</v>
      </c>
      <c r="F14" s="6" t="s">
        <v>61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62</v>
      </c>
      <c r="B15" s="6" t="s">
        <v>46</v>
      </c>
      <c r="C15" s="6" t="s">
        <v>12</v>
      </c>
      <c r="D15" s="7" t="s">
        <v>63</v>
      </c>
      <c r="E15" s="8" t="s">
        <v>64</v>
      </c>
      <c r="F15" s="6" t="s">
        <v>65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66</v>
      </c>
      <c r="B16" s="6" t="s">
        <v>67</v>
      </c>
      <c r="C16" s="6" t="s">
        <v>12</v>
      </c>
      <c r="D16" s="7" t="s">
        <v>68</v>
      </c>
      <c r="E16" s="8" t="s">
        <v>69</v>
      </c>
      <c r="F16" s="6" t="s">
        <v>70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67</v>
      </c>
      <c r="B17" s="6" t="s">
        <v>22</v>
      </c>
      <c r="C17" s="6" t="s">
        <v>12</v>
      </c>
      <c r="D17" s="7" t="s">
        <v>71</v>
      </c>
      <c r="E17" s="8" t="s">
        <v>72</v>
      </c>
      <c r="F17" s="6" t="s">
        <v>73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74</v>
      </c>
      <c r="B18" s="6" t="s">
        <v>37</v>
      </c>
      <c r="C18" s="6" t="s">
        <v>42</v>
      </c>
      <c r="D18" s="7" t="s">
        <v>75</v>
      </c>
      <c r="E18" s="8" t="s">
        <v>76</v>
      </c>
      <c r="F18" s="6" t="s">
        <v>77</v>
      </c>
      <c r="G18" s="9" t="str">
        <f t="shared" si="0"/>
        <v>Durch?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78</v>
      </c>
      <c r="B19" s="6" t="s">
        <v>67</v>
      </c>
      <c r="C19" s="6" t="s">
        <v>12</v>
      </c>
      <c r="D19" s="7" t="s">
        <v>79</v>
      </c>
      <c r="E19" s="8" t="s">
        <v>80</v>
      </c>
      <c r="F19" s="6" t="s">
        <v>81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55</v>
      </c>
      <c r="B20" s="6" t="s">
        <v>22</v>
      </c>
      <c r="C20" s="6" t="s">
        <v>12</v>
      </c>
      <c r="D20" s="7" t="s">
        <v>82</v>
      </c>
      <c r="E20" s="8" t="s">
        <v>83</v>
      </c>
      <c r="F20" s="6" t="s">
        <v>84</v>
      </c>
      <c r="G20" s="9" t="str">
        <f t="shared" si="0"/>
        <v>???</v>
      </c>
      <c r="H20" s="10" t="s">
        <v>12</v>
      </c>
      <c r="I20" s="11" t="s">
        <v>12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7"/>
  <sheetViews>
    <sheetView tabSelected="1" workbookViewId="0">
      <pane xSplit="1" ySplit="1" topLeftCell="B463" activePane="bottomRight" state="frozen"/>
      <selection pane="topRight" activeCell="B1" sqref="B1"/>
      <selection pane="bottomLeft" activeCell="A2" sqref="A2"/>
      <selection pane="bottomRight" activeCell="L479" sqref="L479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85</v>
      </c>
      <c r="B1" s="13" t="s">
        <v>86</v>
      </c>
      <c r="C1" s="13" t="s">
        <v>87</v>
      </c>
      <c r="D1" s="13" t="s">
        <v>88</v>
      </c>
      <c r="E1" s="14" t="s">
        <v>89</v>
      </c>
      <c r="F1" s="15" t="s">
        <v>90</v>
      </c>
      <c r="G1" s="16" t="s">
        <v>91</v>
      </c>
      <c r="H1" s="17" t="s">
        <v>92</v>
      </c>
      <c r="I1" s="18" t="s">
        <v>93</v>
      </c>
      <c r="J1" s="18" t="s">
        <v>94</v>
      </c>
      <c r="K1" s="18" t="s">
        <v>95</v>
      </c>
      <c r="L1" s="19" t="s">
        <v>9</v>
      </c>
    </row>
    <row r="2" spans="1:12" x14ac:dyDescent="0.3">
      <c r="A2" t="s">
        <v>96</v>
      </c>
    </row>
    <row r="3" spans="1:12" x14ac:dyDescent="0.3">
      <c r="A3" t="s">
        <v>97</v>
      </c>
      <c r="E3" s="20" t="str">
        <f t="shared" ref="E3:E13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3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98</v>
      </c>
      <c r="B4" s="26" t="s">
        <v>99</v>
      </c>
      <c r="C4" s="26" t="s">
        <v>100</v>
      </c>
      <c r="D4" s="26" t="s">
        <v>101</v>
      </c>
      <c r="E4" s="20"/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 t="s">
        <v>333</v>
      </c>
    </row>
    <row r="5" spans="1:12" x14ac:dyDescent="0.3">
      <c r="A5" t="s">
        <v>102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103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12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104</v>
      </c>
      <c r="B8" s="26" t="s">
        <v>105</v>
      </c>
      <c r="C8" s="26" t="s">
        <v>106</v>
      </c>
      <c r="E8" s="20" t="s">
        <v>335</v>
      </c>
      <c r="F8" s="21" t="str">
        <f>IF(OR(E8="",E8="!!!"),"",IF(NOT(ISNA(VLOOKUP(E8,E$1:E7,1,FALSE()))),"OLD",IF(AND(E8&lt;&gt;"",E8&lt;&gt;"!!!"),"NEW","")))</f>
        <v>NEW</v>
      </c>
      <c r="G8" s="22" t="s">
        <v>365</v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 t="s">
        <v>334</v>
      </c>
    </row>
    <row r="9" spans="1:12" x14ac:dyDescent="0.3">
      <c r="A9" t="s">
        <v>107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108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109</v>
      </c>
      <c r="B11" s="26" t="s">
        <v>110</v>
      </c>
      <c r="C11" s="26" t="s">
        <v>100</v>
      </c>
      <c r="D11" s="26" t="s">
        <v>101</v>
      </c>
      <c r="E11" s="20" t="s">
        <v>339</v>
      </c>
      <c r="F11" s="21" t="s">
        <v>357</v>
      </c>
      <c r="G11" s="22" t="s">
        <v>366</v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 t="s">
        <v>337</v>
      </c>
    </row>
    <row r="12" spans="1:12" x14ac:dyDescent="0.3">
      <c r="A12" t="s">
        <v>13</v>
      </c>
      <c r="E12" s="20" t="str">
        <f t="shared" si="0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111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5" spans="1:12" x14ac:dyDescent="0.3">
      <c r="A15" t="s">
        <v>112</v>
      </c>
    </row>
    <row r="16" spans="1:12" x14ac:dyDescent="0.3">
      <c r="A16" t="s">
        <v>113</v>
      </c>
      <c r="B16" s="26" t="s">
        <v>99</v>
      </c>
      <c r="C16" s="26" t="s">
        <v>106</v>
      </c>
      <c r="E16" s="20" t="str">
        <f t="shared" ref="E16:E45" si="2">IF(D16="?OLD","!!!","")</f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ref="H16:H45" ca="1" si="3">IF(J16&lt;&gt;1,"",IF(I16="SBJ","CB","?"))</f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114</v>
      </c>
      <c r="E17" s="20" t="str">
        <f t="shared" si="2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115</v>
      </c>
      <c r="B18" s="26" t="s">
        <v>105</v>
      </c>
      <c r="C18" s="26" t="s">
        <v>106</v>
      </c>
      <c r="E18" s="20" t="s">
        <v>343</v>
      </c>
      <c r="F18" s="21" t="str">
        <f>IF(OR(E18="",E18="!!!"),"",IF(NOT(ISNA(VLOOKUP(E18,E$1:E17,1,FALSE()))),"OLD",IF(AND(E18&lt;&gt;"",E18&lt;&gt;"!!!"),"NEW","")))</f>
        <v>NEW</v>
      </c>
      <c r="G18" s="22" t="s">
        <v>366</v>
      </c>
      <c r="H18" s="23" t="str">
        <f t="shared" ca="1" si="3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 t="s">
        <v>346</v>
      </c>
    </row>
    <row r="19" spans="1:12" x14ac:dyDescent="0.3">
      <c r="A19" t="s">
        <v>116</v>
      </c>
      <c r="E19" s="20" t="str">
        <f t="shared" si="2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3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114</v>
      </c>
      <c r="E20" s="20" t="str">
        <f t="shared" si="2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3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117</v>
      </c>
      <c r="E21" s="20" t="str">
        <f t="shared" si="2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3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98</v>
      </c>
      <c r="B22" s="26" t="s">
        <v>118</v>
      </c>
      <c r="C22" s="26" t="s">
        <v>119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102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103</v>
      </c>
      <c r="E24" s="20" t="str">
        <f t="shared" si="2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104</v>
      </c>
      <c r="B26" s="26" t="s">
        <v>118</v>
      </c>
      <c r="C26" s="26" t="s">
        <v>106</v>
      </c>
      <c r="E26" s="20" t="s">
        <v>335</v>
      </c>
      <c r="F26" s="21" t="str">
        <f>IF(OR(E26="",E26="!!!"),"",IF(NOT(ISNA(VLOOKUP(E26,E$1:E25,1,FALSE()))),"OLD",IF(AND(E26&lt;&gt;"",E26&lt;&gt;"!!!"),"NEW","")))</f>
        <v>OLD</v>
      </c>
      <c r="G26" s="22" t="s">
        <v>367</v>
      </c>
      <c r="H26" s="23" t="s">
        <v>92</v>
      </c>
      <c r="I26" s="24" t="str">
        <f>IF(OR(E26="",E26="!!!",F26="NEW"),"",INDEX(B$2:B25,-1+SUMPRODUCT(MAX(ROW(E$2:E25)*(E26=E$2:E25)))))</f>
        <v>other_2</v>
      </c>
      <c r="J26" s="24">
        <f ca="1">IF(OR(E26="",E26="!!!",F26="NEW"),"",COUNTBLANK(OFFSET(A$1,,,SUMPRODUCT(MAX(ROW(E$2:E26)*(E26=E$2:E26)))))-COUNTBLANK(OFFSET(A$1,,,SUMPRODUCT(MAX(ROW(E$1:E25)*(E2=E$1:E25))))))</f>
        <v>0</v>
      </c>
      <c r="K26" s="24" t="str">
        <f ca="1">IF(OR(E26="",E26="!!!",F26="NEW"),"",INDEX(J$1:J25,SUMPRODUCT(MAX(ROW(E$1:E25)*(E26=E$1:E25)))))</f>
        <v/>
      </c>
      <c r="L26" s="25"/>
    </row>
    <row r="27" spans="1:12" x14ac:dyDescent="0.3">
      <c r="A27" t="s">
        <v>19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107</v>
      </c>
      <c r="E28" s="20" t="str">
        <f t="shared" si="2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120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114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121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122</v>
      </c>
      <c r="B32" s="26" t="s">
        <v>105</v>
      </c>
      <c r="C32" s="26" t="s">
        <v>100</v>
      </c>
      <c r="D32" s="26" t="s">
        <v>101</v>
      </c>
      <c r="E32" s="20"/>
      <c r="F32" s="21" t="s">
        <v>336</v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123</v>
      </c>
      <c r="E33" s="20" t="str">
        <f t="shared" si="2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124</v>
      </c>
      <c r="E34" s="20" t="str">
        <f t="shared" si="2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107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125</v>
      </c>
      <c r="B36" s="26" t="s">
        <v>126</v>
      </c>
      <c r="C36" s="26" t="s">
        <v>127</v>
      </c>
      <c r="D36" s="26" t="s">
        <v>101</v>
      </c>
      <c r="E36" s="20" t="s">
        <v>335</v>
      </c>
      <c r="F36" s="21" t="str">
        <f>IF(OR(E36="",E36="!!!"),"",IF(NOT(ISNA(VLOOKUP(E36,E$1:E35,1,FALSE()))),"OLD",IF(AND(E36&lt;&gt;"",E36&lt;&gt;"!!!"),"NEW","")))</f>
        <v>OLD</v>
      </c>
      <c r="G36" s="22" t="s">
        <v>367</v>
      </c>
      <c r="H36" s="23" t="str">
        <f t="shared" ca="1" si="3"/>
        <v/>
      </c>
      <c r="I36" s="24" t="str">
        <f>IF(OR(E36="",E36="!!!",F36="NEW"),"",INDEX(B$2:B35,-1+SUMPRODUCT(MAX(ROW(E$2:E35)*(E36=E$2:E35)))))</f>
        <v>other</v>
      </c>
      <c r="J36" s="24">
        <f ca="1">IF(OR(E36="",E36="!!!",F36="NEW"),"",COUNTBLANK(OFFSET(A$1,,,SUMPRODUCT(MAX(ROW(E$2:E36)*(E36=E$2:E36)))))-COUNTBLANK(OFFSET(A$1,,,SUMPRODUCT(MAX(ROW(E$1:E35)*(E2=E$1:E35))))))</f>
        <v>0</v>
      </c>
      <c r="K36" s="24">
        <f ca="1">IF(OR(E36="",E36="!!!",F36="NEW"),"",INDEX(J$1:J35,SUMPRODUCT(MAX(ROW(E$1:E35)*(E36=E$1:E35)))))</f>
        <v>0</v>
      </c>
      <c r="L36" s="25"/>
    </row>
    <row r="37" spans="1:12" x14ac:dyDescent="0.3">
      <c r="A37" t="s">
        <v>128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129</v>
      </c>
      <c r="B38" s="26" t="s">
        <v>130</v>
      </c>
      <c r="C38" s="26" t="s">
        <v>131</v>
      </c>
      <c r="D38" s="26" t="s">
        <v>101</v>
      </c>
      <c r="E38" s="20"/>
      <c r="F38" s="21" t="s">
        <v>336</v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132</v>
      </c>
      <c r="E39" s="20" t="str">
        <f t="shared" si="2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3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133</v>
      </c>
      <c r="E40" s="20" t="str">
        <f t="shared" si="2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134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135</v>
      </c>
      <c r="B42" s="26" t="s">
        <v>136</v>
      </c>
      <c r="C42" s="26" t="s">
        <v>119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137</v>
      </c>
      <c r="E43" s="20" t="str">
        <f t="shared" si="2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29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138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7" spans="1:12" x14ac:dyDescent="0.3">
      <c r="A47" t="s">
        <v>139</v>
      </c>
    </row>
    <row r="48" spans="1:12" x14ac:dyDescent="0.3">
      <c r="A48" t="s">
        <v>97</v>
      </c>
      <c r="E48" s="20" t="str">
        <f t="shared" ref="E48:E62" si="4">IF(D48="?OLD","!!!","")</f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ref="H48:H62" ca="1" si="5">IF(J48&lt;&gt;1,"",IF(I48="SBJ","CB","?"))</f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140</v>
      </c>
      <c r="E49" s="20" t="str">
        <f t="shared" si="4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5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104</v>
      </c>
      <c r="B50" s="26" t="s">
        <v>99</v>
      </c>
      <c r="C50" s="26" t="s">
        <v>100</v>
      </c>
      <c r="D50" s="26" t="s">
        <v>101</v>
      </c>
      <c r="E50" s="20"/>
      <c r="F50" s="21" t="s">
        <v>338</v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5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141</v>
      </c>
      <c r="B51" s="26" t="s">
        <v>105</v>
      </c>
      <c r="C51" s="26" t="s">
        <v>142</v>
      </c>
      <c r="D51" s="26" t="s">
        <v>101</v>
      </c>
      <c r="E51" s="20" t="s">
        <v>335</v>
      </c>
      <c r="F51" s="21" t="str">
        <f>IF(OR(E51="",E51="!!!"),"",IF(NOT(ISNA(VLOOKUP(E51,E$1:E50,1,FALSE()))),"OLD",IF(AND(E51&lt;&gt;"",E51&lt;&gt;"!!!"),"NEW","")))</f>
        <v>OLD</v>
      </c>
      <c r="G51" s="22" t="s">
        <v>367</v>
      </c>
      <c r="H51" s="23" t="s">
        <v>92</v>
      </c>
      <c r="I51" s="24" t="str">
        <f>IF(OR(E51="",E51="!!!",F51="NEW"),"",INDEX(B$2:B50,-1+SUMPRODUCT(MAX(ROW(E$2:E50)*(E51=E$2:E50)))))</f>
        <v>other_4</v>
      </c>
      <c r="J51" s="24">
        <f ca="1">IF(OR(E51="",E51="!!!",F51="NEW"),"",COUNTBLANK(OFFSET(A$1,,,SUMPRODUCT(MAX(ROW(E$2:E51)*(E51=E$2:E51)))))-COUNTBLANK(OFFSET(A$1,,,SUMPRODUCT(MAX(ROW(E$1:E50)*(E2=E$1:E50))))))</f>
        <v>0</v>
      </c>
      <c r="K51" s="24">
        <f ca="1">IF(OR(E51="",E51="!!!",F51="NEW"),"",INDEX(J$1:J50,SUMPRODUCT(MAX(ROW(E$1:E50)*(E51=E$1:E50)))))</f>
        <v>0</v>
      </c>
      <c r="L51" s="25"/>
    </row>
    <row r="52" spans="1:12" x14ac:dyDescent="0.3">
      <c r="A52" t="s">
        <v>56</v>
      </c>
      <c r="E52" s="20" t="s">
        <v>364</v>
      </c>
      <c r="F52" s="21" t="str">
        <f>IF(OR(E52="",E52="!!!"),"",IF(NOT(ISNA(VLOOKUP(E52,E$1:E51,1,FALSE()))),"OLD",IF(AND(E52&lt;&gt;"",E52&lt;&gt;"!!!"),"NEW","")))</f>
        <v>NEW</v>
      </c>
      <c r="G52" s="22" t="s">
        <v>365</v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 t="s">
        <v>346</v>
      </c>
    </row>
    <row r="53" spans="1:12" x14ac:dyDescent="0.3">
      <c r="A53" t="s">
        <v>108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143</v>
      </c>
      <c r="B54" s="26" t="s">
        <v>110</v>
      </c>
      <c r="C54" s="26" t="s">
        <v>100</v>
      </c>
      <c r="D54" s="26" t="s">
        <v>101</v>
      </c>
      <c r="E54" s="20" t="s">
        <v>339</v>
      </c>
      <c r="F54" s="21" t="str">
        <f>IF(OR(E54="",E54="!!!"),"",IF(NOT(ISNA(VLOOKUP(E54,E$1:E53,1,FALSE()))),"OLD",IF(AND(E54&lt;&gt;"",E54&lt;&gt;"!!!"),"NEW","")))</f>
        <v>OLD</v>
      </c>
      <c r="G54" s="22" t="s">
        <v>366</v>
      </c>
      <c r="H54" s="23" t="str">
        <f t="shared" ca="1" si="5"/>
        <v/>
      </c>
      <c r="I54" s="24" t="str">
        <f>IF(OR(E54="",E54="!!!",F54="NEW"),"",INDEX(B$2:B53,-1+SUMPRODUCT(MAX(ROW(E$2:E53)*(E54=E$2:E53)))))</f>
        <v>OBJ</v>
      </c>
      <c r="J54" s="24">
        <f ca="1">IF(OR(E54="",E54="!!!",F54="NEW"),"",COUNTBLANK(OFFSET(A$1,,,SUMPRODUCT(MAX(ROW(E$2:E54)*(E54=E$2:E54)))))-COUNTBLANK(OFFSET(A$1,,,SUMPRODUCT(MAX(ROW(E$1:E53)*(E2=E$1:E53))))))</f>
        <v>0</v>
      </c>
      <c r="K54" s="24" t="str">
        <f ca="1">IF(OR(E54="",E54="!!!",F54="NEW"),"",INDEX(J$1:J53,SUMPRODUCT(MAX(ROW(E$1:E53)*(E54=E$1:E53)))))</f>
        <v/>
      </c>
      <c r="L54" s="25"/>
    </row>
    <row r="55" spans="1:12" x14ac:dyDescent="0.3">
      <c r="A55" t="s">
        <v>144</v>
      </c>
      <c r="E55" s="20" t="str">
        <f t="shared" si="4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145</v>
      </c>
      <c r="B56" s="26" t="s">
        <v>110</v>
      </c>
      <c r="C56" s="26" t="s">
        <v>106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132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146</v>
      </c>
      <c r="B58" s="26" t="s">
        <v>105</v>
      </c>
      <c r="C58" s="26" t="s">
        <v>106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147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148</v>
      </c>
      <c r="E60" s="20" t="str">
        <f t="shared" si="4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149</v>
      </c>
      <c r="B61" s="26" t="s">
        <v>118</v>
      </c>
      <c r="C61" s="26" t="s">
        <v>119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138</v>
      </c>
      <c r="E62" s="20" t="str">
        <f t="shared" si="4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5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4" spans="1:12" x14ac:dyDescent="0.3">
      <c r="A64" t="s">
        <v>150</v>
      </c>
    </row>
    <row r="65" spans="1:12" x14ac:dyDescent="0.3">
      <c r="A65" t="s">
        <v>97</v>
      </c>
      <c r="E65" s="20" t="str">
        <f t="shared" ref="E65:E88" si="6">IF(D65="?OLD","!!!","")</f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ref="H65:H88" ca="1" si="7">IF(J65&lt;&gt;1,"",IF(I65="SBJ","CB","?"))</f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104</v>
      </c>
      <c r="B66" s="26" t="s">
        <v>99</v>
      </c>
      <c r="C66" s="26" t="s">
        <v>100</v>
      </c>
      <c r="D66" s="26" t="s">
        <v>101</v>
      </c>
      <c r="E66" s="20" t="s">
        <v>335</v>
      </c>
      <c r="F66" s="21" t="str">
        <f>IF(OR(E66="",E66="!!!"),"",IF(NOT(ISNA(VLOOKUP(E66,E$1:E65,1,FALSE()))),"OLD",IF(AND(E66&lt;&gt;"",E66&lt;&gt;"!!!"),"NEW","")))</f>
        <v>OLD</v>
      </c>
      <c r="G66" s="22" t="s">
        <v>367</v>
      </c>
      <c r="H66" s="23" t="s">
        <v>92</v>
      </c>
      <c r="I66" s="24" t="str">
        <f>IF(OR(E66="",E66="!!!",F66="NEW"),"",INDEX(B$2:B65,-1+SUMPRODUCT(MAX(ROW(E$2:E65)*(E66=E$2:E65)))))</f>
        <v>other_2</v>
      </c>
      <c r="J66" s="24">
        <f ca="1">IF(OR(E66="",E66="!!!",F66="NEW"),"",COUNTBLANK(OFFSET(A$1,,,SUMPRODUCT(MAX(ROW(E$2:E66)*(E66=E$2:E66)))))-COUNTBLANK(OFFSET(A$1,,,SUMPRODUCT(MAX(ROW(E$1:E65)*(E2=E$1:E65))))))</f>
        <v>0</v>
      </c>
      <c r="K66" s="24">
        <f ca="1">IF(OR(E66="",E66="!!!",F66="NEW"),"",INDEX(J$1:J65,SUMPRODUCT(MAX(ROW(E$1:E65)*(E66=E$1:E65)))))</f>
        <v>0</v>
      </c>
      <c r="L66" s="25"/>
    </row>
    <row r="67" spans="1:12" x14ac:dyDescent="0.3">
      <c r="A67" t="s">
        <v>151</v>
      </c>
      <c r="E67" s="20" t="str">
        <f t="shared" si="6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7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152</v>
      </c>
      <c r="E68" s="20" t="str">
        <f t="shared" si="6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7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17</v>
      </c>
      <c r="E69" s="20" t="str">
        <f t="shared" si="6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7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153</v>
      </c>
      <c r="B70" s="26" t="s">
        <v>105</v>
      </c>
      <c r="C70" s="26" t="s">
        <v>154</v>
      </c>
      <c r="E70" s="20" t="str">
        <f t="shared" si="6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7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155</v>
      </c>
      <c r="E71" s="20" t="str">
        <f t="shared" si="6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7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156</v>
      </c>
      <c r="E72" s="20" t="str">
        <f t="shared" si="6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7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117</v>
      </c>
      <c r="E73" s="20" t="str">
        <f t="shared" si="6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7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157</v>
      </c>
      <c r="B74" s="26" t="s">
        <v>118</v>
      </c>
      <c r="C74" s="26" t="s">
        <v>119</v>
      </c>
      <c r="E74" s="20" t="s">
        <v>358</v>
      </c>
      <c r="F74" s="21" t="str">
        <f>IF(OR(E74="",E74="!!!"),"",IF(NOT(ISNA(VLOOKUP(E74,E$1:E73,1,FALSE()))),"OLD",IF(AND(E74&lt;&gt;"",E74&lt;&gt;"!!!"),"NEW","")))</f>
        <v>NEW</v>
      </c>
      <c r="G74" s="22" t="s">
        <v>366</v>
      </c>
      <c r="H74" s="23" t="str">
        <f t="shared" ca="1" si="7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 t="s">
        <v>368</v>
      </c>
    </row>
    <row r="75" spans="1:12" x14ac:dyDescent="0.3">
      <c r="A75" t="s">
        <v>158</v>
      </c>
      <c r="E75" s="20" t="str">
        <f t="shared" si="6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7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107</v>
      </c>
      <c r="E76" s="20" t="str">
        <f t="shared" si="6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7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159</v>
      </c>
      <c r="E77" s="20" t="str">
        <f t="shared" si="6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7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108</v>
      </c>
      <c r="E78" s="20" t="str">
        <f t="shared" si="6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7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143</v>
      </c>
      <c r="B79" s="26" t="s">
        <v>160</v>
      </c>
      <c r="C79" s="26" t="s">
        <v>100</v>
      </c>
      <c r="D79" s="26" t="s">
        <v>101</v>
      </c>
      <c r="E79" s="20" t="s">
        <v>339</v>
      </c>
      <c r="F79" s="21" t="str">
        <f>IF(OR(E79="",E79="!!!"),"",IF(NOT(ISNA(VLOOKUP(E79,E$1:E78,1,FALSE()))),"OLD",IF(AND(E79&lt;&gt;"",E79&lt;&gt;"!!!"),"NEW","")))</f>
        <v>OLD</v>
      </c>
      <c r="G79" s="22" t="s">
        <v>369</v>
      </c>
      <c r="H79" s="23" t="str">
        <f t="shared" ca="1" si="7"/>
        <v/>
      </c>
      <c r="I79" s="24" t="str">
        <f>IF(OR(E79="",E79="!!!",F79="NEW"),"",INDEX(B$2:B78,-1+SUMPRODUCT(MAX(ROW(E$2:E78)*(E79=E$2:E78)))))</f>
        <v>OBJ</v>
      </c>
      <c r="J79" s="24">
        <f ca="1">IF(OR(E79="",E79="!!!",F79="NEW"),"",COUNTBLANK(OFFSET(A$1,,,SUMPRODUCT(MAX(ROW(E$2:E79)*(E79=E$2:E79)))))-COUNTBLANK(OFFSET(A$1,,,SUMPRODUCT(MAX(ROW(E$1:E78)*(E2=E$1:E78))))))</f>
        <v>0</v>
      </c>
      <c r="K79" s="24">
        <f ca="1">IF(OR(E79="",E79="!!!",F79="NEW"),"",INDEX(J$1:J78,SUMPRODUCT(MAX(ROW(E$1:E78)*(E79=E$1:E78)))))</f>
        <v>0</v>
      </c>
      <c r="L79" s="25"/>
    </row>
    <row r="80" spans="1:12" x14ac:dyDescent="0.3">
      <c r="A80" t="s">
        <v>161</v>
      </c>
      <c r="E80" s="20" t="str">
        <f t="shared" si="6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7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162</v>
      </c>
      <c r="B81" s="26" t="s">
        <v>136</v>
      </c>
      <c r="C81" s="26" t="s">
        <v>119</v>
      </c>
      <c r="E81" s="20" t="s">
        <v>363</v>
      </c>
      <c r="F81" s="21" t="str">
        <f>IF(OR(E81="",E81="!!!"),"",IF(NOT(ISNA(VLOOKUP(E81,E$1:E80,1,FALSE()))),"OLD",IF(AND(E81&lt;&gt;"",E81&lt;&gt;"!!!"),"NEW","")))</f>
        <v>NEW</v>
      </c>
      <c r="G81" s="22" t="s">
        <v>366</v>
      </c>
      <c r="H81" s="23" t="str">
        <f t="shared" ca="1" si="7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 t="s">
        <v>368</v>
      </c>
    </row>
    <row r="82" spans="1:12" x14ac:dyDescent="0.3">
      <c r="A82" t="s">
        <v>163</v>
      </c>
      <c r="E82" s="20" t="str">
        <f t="shared" si="6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7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161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164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165</v>
      </c>
      <c r="B85" s="26" t="s">
        <v>126</v>
      </c>
      <c r="C85" s="26" t="s">
        <v>119</v>
      </c>
      <c r="E85" s="20" t="s">
        <v>358</v>
      </c>
      <c r="F85" s="21" t="str">
        <f>IF(OR(E85="",E85="!!!"),"",IF(NOT(ISNA(VLOOKUP(E85,E$1:E84,1,FALSE()))),"OLD",IF(AND(E85&lt;&gt;"",E85&lt;&gt;"!!!"),"NEW","")))</f>
        <v>OLD</v>
      </c>
      <c r="G85" s="22" t="s">
        <v>367</v>
      </c>
      <c r="H85" s="23" t="str">
        <f t="shared" ca="1" si="7"/>
        <v/>
      </c>
      <c r="I85" s="24" t="str">
        <f>IF(OR(E85="",E85="!!!",F85="NEW"),"",INDEX(B$2:B84,-1+SUMPRODUCT(MAX(ROW(E$2:E84)*(E85=E$2:E84)))))</f>
        <v>other</v>
      </c>
      <c r="J85" s="24">
        <f ca="1">IF(OR(E85="",E85="!!!",F85="NEW"),"",COUNTBLANK(OFFSET(A$1,,,SUMPRODUCT(MAX(ROW(E$2:E85)*(E85=E$2:E85)))))-COUNTBLANK(OFFSET(A$1,,,SUMPRODUCT(MAX(ROW(E$1:E84)*(E2=E$1:E84))))))</f>
        <v>0</v>
      </c>
      <c r="K85" s="24" t="str">
        <f ca="1">IF(OR(E85="",E85="!!!",F85="NEW"),"",INDEX(J$1:J84,SUMPRODUCT(MAX(ROW(E$1:E84)*(E85=E$1:E84)))))</f>
        <v/>
      </c>
      <c r="L85" s="25"/>
    </row>
    <row r="86" spans="1:12" x14ac:dyDescent="0.3">
      <c r="A86" t="s">
        <v>56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151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138</v>
      </c>
      <c r="E88" s="20" t="str">
        <f t="shared" si="6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90" spans="1:12" x14ac:dyDescent="0.3">
      <c r="A90" t="s">
        <v>166</v>
      </c>
    </row>
    <row r="91" spans="1:12" x14ac:dyDescent="0.3">
      <c r="A91" t="s">
        <v>167</v>
      </c>
      <c r="E91" s="20" t="str">
        <f t="shared" ref="E91:E112" si="8">IF(D91="?OLD","!!!","")</f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ref="H91:H112" ca="1" si="9">IF(J91&lt;&gt;1,"",IF(I91="SBJ","CB","?"))</f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168</v>
      </c>
      <c r="B92" s="26" t="s">
        <v>160</v>
      </c>
      <c r="C92" s="26" t="s">
        <v>100</v>
      </c>
      <c r="D92" s="26" t="s">
        <v>101</v>
      </c>
      <c r="E92" s="20"/>
      <c r="F92" s="21" t="s">
        <v>338</v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9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169</v>
      </c>
      <c r="B93" s="26" t="s">
        <v>136</v>
      </c>
      <c r="C93" s="26" t="s">
        <v>142</v>
      </c>
      <c r="D93" s="26" t="s">
        <v>101</v>
      </c>
      <c r="E93" s="20" t="s">
        <v>340</v>
      </c>
      <c r="F93" s="21" t="str">
        <f>IF(OR(E93="",E93="!!!"),"",IF(NOT(ISNA(VLOOKUP(E93,E$1:E92,1,FALSE()))),"OLD",IF(AND(E93&lt;&gt;"",E93&lt;&gt;"!!!"),"NEW","")))</f>
        <v>NEW</v>
      </c>
      <c r="G93" s="22" t="s">
        <v>365</v>
      </c>
      <c r="H93" s="23" t="str">
        <f t="shared" ca="1" si="9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170</v>
      </c>
      <c r="E94" s="20" t="str">
        <f t="shared" si="8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9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171</v>
      </c>
      <c r="B95" s="26" t="s">
        <v>126</v>
      </c>
      <c r="C95" s="26" t="s">
        <v>142</v>
      </c>
      <c r="D95" s="26" t="s">
        <v>101</v>
      </c>
      <c r="E95" s="20" t="s">
        <v>341</v>
      </c>
      <c r="F95" s="21" t="str">
        <f>IF(OR(E95="",E95="!!!"),"",IF(NOT(ISNA(VLOOKUP(E95,E$1:E94,1,FALSE()))),"OLD",IF(AND(E95&lt;&gt;"",E95&lt;&gt;"!!!"),"NEW","")))</f>
        <v>NEW</v>
      </c>
      <c r="G95" s="22" t="s">
        <v>366</v>
      </c>
      <c r="H95" s="23" t="str">
        <f t="shared" ca="1" si="9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172</v>
      </c>
      <c r="E96" s="20" t="str">
        <f t="shared" si="8"/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9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173</v>
      </c>
      <c r="E97" s="20" t="str">
        <f t="shared" si="8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9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174</v>
      </c>
      <c r="E98" s="20" t="str">
        <f t="shared" si="8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9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175</v>
      </c>
      <c r="B99" s="26" t="s">
        <v>136</v>
      </c>
      <c r="C99" s="26" t="s">
        <v>154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176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177</v>
      </c>
      <c r="B101" s="26" t="s">
        <v>110</v>
      </c>
      <c r="C101" s="26" t="s">
        <v>119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123</v>
      </c>
      <c r="E102" s="20" t="str">
        <f t="shared" si="8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107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178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108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143</v>
      </c>
      <c r="B106" s="26" t="s">
        <v>179</v>
      </c>
      <c r="C106" s="26" t="s">
        <v>100</v>
      </c>
      <c r="D106" s="26" t="s">
        <v>101</v>
      </c>
      <c r="E106" s="20" t="s">
        <v>339</v>
      </c>
      <c r="F106" s="21" t="str">
        <f>IF(OR(E106="",E106="!!!"),"",IF(NOT(ISNA(VLOOKUP(E106,E$1:E105,1,FALSE()))),"OLD",IF(AND(E106&lt;&gt;"",E106&lt;&gt;"!!!"),"NEW","")))</f>
        <v>OLD</v>
      </c>
      <c r="G106" s="22" t="s">
        <v>367</v>
      </c>
      <c r="H106" s="23" t="s">
        <v>92</v>
      </c>
      <c r="I106" s="24" t="str">
        <f>IF(OR(E106="",E106="!!!",F106="NEW"),"",INDEX(B$2:B105,-1+SUMPRODUCT(MAX(ROW(E$2:E105)*(E106=E$2:E105)))))</f>
        <v>SBJ_2</v>
      </c>
      <c r="J106" s="24">
        <f ca="1">IF(OR(E106="",E106="!!!",F106="NEW"),"",COUNTBLANK(OFFSET(A$1,,,SUMPRODUCT(MAX(ROW(E$2:E106)*(E106=E$2:E106)))))-COUNTBLANK(OFFSET(A$1,,,SUMPRODUCT(MAX(ROW(E$1:E105)*(E2=E$1:E105))))))</f>
        <v>0</v>
      </c>
      <c r="K106" s="24">
        <f ca="1">IF(OR(E106="",E106="!!!",F106="NEW"),"",INDEX(J$1:J105,SUMPRODUCT(MAX(ROW(E$1:E105)*(E106=E$1:E105)))))</f>
        <v>0</v>
      </c>
      <c r="L106" s="25"/>
    </row>
    <row r="107" spans="1:12" x14ac:dyDescent="0.3">
      <c r="A107" t="s">
        <v>180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181</v>
      </c>
      <c r="B108" s="26" t="s">
        <v>179</v>
      </c>
      <c r="C108" s="26" t="s">
        <v>106</v>
      </c>
      <c r="E108" s="20" t="str">
        <f t="shared" si="8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182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137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24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138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4" spans="1:12" x14ac:dyDescent="0.3">
      <c r="A114" t="s">
        <v>166</v>
      </c>
    </row>
    <row r="115" spans="1:12" x14ac:dyDescent="0.3">
      <c r="A115" t="s">
        <v>167</v>
      </c>
      <c r="E115" s="20" t="str">
        <f t="shared" ref="E115:E136" si="10">IF(D115="?OLD","!!!","")</f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ref="H115:H136" ca="1" si="11">IF(J115&lt;&gt;1,"",IF(I115="SBJ","CB","?"))</f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 t="s">
        <v>342</v>
      </c>
    </row>
    <row r="116" spans="1:12" x14ac:dyDescent="0.3">
      <c r="A116" t="s">
        <v>168</v>
      </c>
      <c r="B116" s="26" t="s">
        <v>160</v>
      </c>
      <c r="C116" s="26" t="s">
        <v>100</v>
      </c>
      <c r="D116" s="26" t="s">
        <v>101</v>
      </c>
      <c r="E116" s="20"/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11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169</v>
      </c>
      <c r="B117" s="26" t="s">
        <v>136</v>
      </c>
      <c r="C117" s="26" t="s">
        <v>142</v>
      </c>
      <c r="D117" s="26" t="s">
        <v>101</v>
      </c>
      <c r="E117" s="20"/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11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170</v>
      </c>
      <c r="E118" s="20" t="str">
        <f t="shared" si="10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11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171</v>
      </c>
      <c r="B119" s="26" t="s">
        <v>126</v>
      </c>
      <c r="C119" s="26" t="s">
        <v>142</v>
      </c>
      <c r="D119" s="26" t="s">
        <v>101</v>
      </c>
      <c r="E119" s="20"/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11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172</v>
      </c>
      <c r="E120" s="20" t="str">
        <f t="shared" si="10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11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173</v>
      </c>
      <c r="E121" s="20" t="str">
        <f t="shared" si="10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1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174</v>
      </c>
      <c r="E122" s="20" t="str">
        <f t="shared" si="10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1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175</v>
      </c>
      <c r="B123" s="26" t="s">
        <v>136</v>
      </c>
      <c r="C123" s="26" t="s">
        <v>154</v>
      </c>
      <c r="E123" s="20" t="str">
        <f t="shared" si="10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1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176</v>
      </c>
      <c r="E124" s="20" t="str">
        <f t="shared" si="10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1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177</v>
      </c>
      <c r="B125" s="26" t="s">
        <v>110</v>
      </c>
      <c r="C125" s="26" t="s">
        <v>119</v>
      </c>
      <c r="E125" s="20" t="str">
        <f t="shared" si="10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1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123</v>
      </c>
      <c r="E126" s="20" t="str">
        <f t="shared" si="10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1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107</v>
      </c>
      <c r="E127" s="20" t="str">
        <f t="shared" si="10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1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178</v>
      </c>
      <c r="E128" s="20" t="str">
        <f t="shared" si="10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1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108</v>
      </c>
      <c r="E129" s="20" t="str">
        <f t="shared" si="10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1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143</v>
      </c>
      <c r="B130" s="26" t="s">
        <v>179</v>
      </c>
      <c r="C130" s="26" t="s">
        <v>100</v>
      </c>
      <c r="D130" s="26" t="s">
        <v>101</v>
      </c>
      <c r="E130" s="20"/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1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180</v>
      </c>
      <c r="E131" s="20" t="str">
        <f t="shared" si="10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1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181</v>
      </c>
      <c r="B132" s="26" t="s">
        <v>179</v>
      </c>
      <c r="C132" s="26" t="s">
        <v>106</v>
      </c>
      <c r="E132" s="20" t="str">
        <f t="shared" si="10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1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182</v>
      </c>
      <c r="E133" s="20" t="str">
        <f t="shared" si="10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1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137</v>
      </c>
      <c r="E134" s="20" t="str">
        <f t="shared" si="10"/>
        <v/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11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24</v>
      </c>
      <c r="E135" s="20" t="str">
        <f t="shared" si="10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1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138</v>
      </c>
      <c r="E136" s="20" t="str">
        <f t="shared" si="10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1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8" spans="1:12" x14ac:dyDescent="0.3">
      <c r="A138" t="s">
        <v>183</v>
      </c>
    </row>
    <row r="139" spans="1:12" x14ac:dyDescent="0.3">
      <c r="A139" t="s">
        <v>184</v>
      </c>
      <c r="E139" s="20" t="str">
        <f t="shared" ref="E139:E158" si="12">IF(D139="?OLD","!!!","")</f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ref="H139:H158" ca="1" si="13">IF(J139&lt;&gt;1,"",IF(I139="SBJ","CB","?"))</f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185</v>
      </c>
      <c r="E140" s="20" t="str">
        <f t="shared" si="12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3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186</v>
      </c>
      <c r="B141" s="26" t="s">
        <v>99</v>
      </c>
      <c r="C141" s="26" t="s">
        <v>154</v>
      </c>
      <c r="E141" s="20" t="s">
        <v>343</v>
      </c>
      <c r="F141" s="21" t="str">
        <f>IF(OR(E141="",E141="!!!"),"",IF(NOT(ISNA(VLOOKUP(E141,E$1:E140,1,FALSE()))),"OLD",IF(AND(E141&lt;&gt;"",E141&lt;&gt;"!!!"),"NEW","")))</f>
        <v>OLD</v>
      </c>
      <c r="G141" s="22" t="s">
        <v>366</v>
      </c>
      <c r="H141" s="23" t="str">
        <f t="shared" ca="1" si="13"/>
        <v/>
      </c>
      <c r="I141" s="24" t="str">
        <f>IF(OR(E141="",E141="!!!",F141="NEW"),"",INDEX(B$2:B140,-1+SUMPRODUCT(MAX(ROW(E$2:E140)*(E141=E$2:E140)))))</f>
        <v>other_2</v>
      </c>
      <c r="J141" s="24">
        <f ca="1">IF(OR(E141="",E141="!!!",F141="NEW"),"",COUNTBLANK(OFFSET(A$1,,,SUMPRODUCT(MAX(ROW(E$2:E141)*(E141=E$2:E141)))))-COUNTBLANK(OFFSET(A$1,,,SUMPRODUCT(MAX(ROW(E$1:E140)*(E2=E$1:E140))))))</f>
        <v>0</v>
      </c>
      <c r="K141" s="24" t="str">
        <f ca="1">IF(OR(E141="",E141="!!!",F141="NEW"),"",INDEX(J$1:J140,SUMPRODUCT(MAX(ROW(E$1:E140)*(E141=E$1:E140)))))</f>
        <v/>
      </c>
      <c r="L141" s="25"/>
    </row>
    <row r="142" spans="1:12" x14ac:dyDescent="0.3">
      <c r="A142" t="s">
        <v>38</v>
      </c>
      <c r="E142" s="20" t="str">
        <f t="shared" si="12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3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187</v>
      </c>
      <c r="B143" s="26" t="s">
        <v>105</v>
      </c>
      <c r="C143" s="26" t="s">
        <v>188</v>
      </c>
      <c r="E143" s="20" t="str">
        <f t="shared" si="12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3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189</v>
      </c>
      <c r="B144" s="26" t="s">
        <v>118</v>
      </c>
      <c r="C144" s="26" t="s">
        <v>106</v>
      </c>
      <c r="E144" s="20" t="str">
        <f t="shared" si="12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3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133</v>
      </c>
      <c r="E145" s="20" t="str">
        <f t="shared" si="12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3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157</v>
      </c>
      <c r="B146" s="26" t="s">
        <v>110</v>
      </c>
      <c r="C146" s="26" t="s">
        <v>119</v>
      </c>
      <c r="E146" s="20" t="s">
        <v>358</v>
      </c>
      <c r="F146" s="21" t="str">
        <f>IF(OR(E146="",E146="!!!"),"",IF(NOT(ISNA(VLOOKUP(E146,E$1:E145,1,FALSE()))),"OLD",IF(AND(E146&lt;&gt;"",E146&lt;&gt;"!!!"),"NEW","")))</f>
        <v>OLD</v>
      </c>
      <c r="G146" s="22" t="s">
        <v>369</v>
      </c>
      <c r="H146" s="23" t="str">
        <f t="shared" ca="1" si="13"/>
        <v/>
      </c>
      <c r="I146" s="24" t="str">
        <f>IF(OR(E146="",E146="!!!",F146="NEW"),"",INDEX(B$2:B145,-1+SUMPRODUCT(MAX(ROW(E$2:E145)*(E146=E$2:E145)))))</f>
        <v>other_4</v>
      </c>
      <c r="J146" s="24">
        <f ca="1">IF(OR(E146="",E146="!!!",F146="NEW"),"",COUNTBLANK(OFFSET(A$1,,,SUMPRODUCT(MAX(ROW(E$2:E146)*(E146=E$2:E146)))))-COUNTBLANK(OFFSET(A$1,,,SUMPRODUCT(MAX(ROW(E$1:E145)*(E2=E$1:E145))))))</f>
        <v>0</v>
      </c>
      <c r="K146" s="24">
        <f ca="1">IF(OR(E146="",E146="!!!",F146="NEW"),"",INDEX(J$1:J145,SUMPRODUCT(MAX(ROW(E$1:E145)*(E146=E$1:E145)))))</f>
        <v>0</v>
      </c>
      <c r="L146" s="25"/>
    </row>
    <row r="147" spans="1:12" x14ac:dyDescent="0.3">
      <c r="A147" t="s">
        <v>190</v>
      </c>
      <c r="E147" s="20" t="str">
        <f t="shared" si="12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3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191</v>
      </c>
      <c r="E148" s="20" t="str">
        <f t="shared" si="12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3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192</v>
      </c>
      <c r="B149" s="26" t="s">
        <v>105</v>
      </c>
      <c r="C149" s="26" t="s">
        <v>119</v>
      </c>
      <c r="E149" s="20" t="str">
        <f t="shared" si="12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3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193</v>
      </c>
      <c r="E150" s="20" t="str">
        <f t="shared" si="12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3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38</v>
      </c>
      <c r="E151" s="20" t="str">
        <f t="shared" si="12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3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133</v>
      </c>
      <c r="E152" s="20" t="str">
        <f t="shared" si="12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3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164</v>
      </c>
      <c r="E153" s="20" t="str">
        <f t="shared" si="12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3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157</v>
      </c>
      <c r="B154" s="26" t="s">
        <v>179</v>
      </c>
      <c r="C154" s="26" t="s">
        <v>119</v>
      </c>
      <c r="E154" s="20" t="str">
        <f t="shared" si="12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3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163</v>
      </c>
      <c r="E155" s="20" t="str">
        <f t="shared" si="12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3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133</v>
      </c>
      <c r="E156" s="20" t="str">
        <f t="shared" si="12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3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194</v>
      </c>
      <c r="B157" s="26" t="s">
        <v>136</v>
      </c>
      <c r="C157" s="26" t="s">
        <v>119</v>
      </c>
      <c r="E157" s="20" t="s">
        <v>363</v>
      </c>
      <c r="F157" s="21" t="str">
        <f>IF(OR(E157="",E157="!!!"),"",IF(NOT(ISNA(VLOOKUP(E157,E$1:E156,1,FALSE()))),"OLD",IF(AND(E157&lt;&gt;"",E157&lt;&gt;"!!!"),"NEW","")))</f>
        <v>OLD</v>
      </c>
      <c r="G157" s="22" t="s">
        <v>369</v>
      </c>
      <c r="H157" s="23" t="str">
        <f t="shared" ca="1" si="13"/>
        <v/>
      </c>
      <c r="I157" s="24" t="str">
        <f>IF(OR(E157="",E157="!!!",F157="NEW"),"",INDEX(B$2:B156,-1+SUMPRODUCT(MAX(ROW(E$2:E156)*(E157=E$2:E156)))))</f>
        <v>other_3</v>
      </c>
      <c r="J157" s="24">
        <f ca="1">IF(OR(E157="",E157="!!!",F157="NEW"),"",COUNTBLANK(OFFSET(A$1,,,SUMPRODUCT(MAX(ROW(E$2:E157)*(E157=E$2:E157)))))-COUNTBLANK(OFFSET(A$1,,,SUMPRODUCT(MAX(ROW(E$1:E156)*(E2=E$1:E156))))))</f>
        <v>0</v>
      </c>
      <c r="K157" s="24" t="str">
        <f ca="1">IF(OR(E157="",E157="!!!",F157="NEW"),"",INDEX(J$1:J156,SUMPRODUCT(MAX(ROW(E$1:E156)*(E157=E$1:E156)))))</f>
        <v/>
      </c>
      <c r="L157" s="25"/>
    </row>
    <row r="158" spans="1:12" x14ac:dyDescent="0.3">
      <c r="A158" t="s">
        <v>138</v>
      </c>
      <c r="E158" s="20" t="str">
        <f t="shared" si="12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3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60" spans="1:12" x14ac:dyDescent="0.3">
      <c r="A160" t="s">
        <v>195</v>
      </c>
    </row>
    <row r="161" spans="1:12" x14ac:dyDescent="0.3">
      <c r="A161" t="s">
        <v>145</v>
      </c>
      <c r="B161" s="26" t="s">
        <v>99</v>
      </c>
      <c r="C161" s="26" t="s">
        <v>106</v>
      </c>
      <c r="E161" s="20" t="s">
        <v>358</v>
      </c>
      <c r="F161" s="21" t="str">
        <f>IF(OR(E161="",E161="!!!"),"",IF(NOT(ISNA(VLOOKUP(E161,E$1:E160,1,FALSE()))),"OLD",IF(AND(E161&lt;&gt;"",E161&lt;&gt;"!!!"),"NEW","")))</f>
        <v>OLD</v>
      </c>
      <c r="G161" s="22" t="s">
        <v>369</v>
      </c>
      <c r="H161" s="23" t="s">
        <v>92</v>
      </c>
      <c r="I161" s="24" t="str">
        <f>IF(OR(E161="",E161="!!!",F161="NEW"),"",INDEX(B$2:B160,-1+SUMPRODUCT(MAX(ROW(E$2:E160)*(E161=E$2:E160)))))</f>
        <v>OBJ</v>
      </c>
      <c r="J161" s="24">
        <f ca="1">IF(OR(E161="",E161="!!!",F161="NEW"),"",COUNTBLANK(OFFSET(A$1,,,SUMPRODUCT(MAX(ROW(E$2:E161)*(E161=E$2:E161)))))-COUNTBLANK(OFFSET(A$1,,,SUMPRODUCT(MAX(ROW(E$1:E160)*(E2=E$1:E160))))))</f>
        <v>0</v>
      </c>
      <c r="K161" s="24">
        <f ca="1">IF(OR(E161="",E161="!!!",F161="NEW"),"",INDEX(J$1:J160,SUMPRODUCT(MAX(ROW(E$1:E160)*(E161=E$1:E160)))))</f>
        <v>0</v>
      </c>
      <c r="L161" s="25" t="s">
        <v>346</v>
      </c>
    </row>
    <row r="162" spans="1:12" x14ac:dyDescent="0.3">
      <c r="A162" t="s">
        <v>190</v>
      </c>
      <c r="E162" s="20" t="str">
        <f t="shared" ref="E161:E177" si="14">IF(D162="?OLD","!!!","")</f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ref="H161:H177" ca="1" si="15">IF(J162&lt;&gt;1,"",IF(I162="SBJ","CB","?"))</f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196</v>
      </c>
      <c r="B163" s="26" t="s">
        <v>105</v>
      </c>
      <c r="C163" s="26" t="s">
        <v>106</v>
      </c>
      <c r="E163" s="20" t="s">
        <v>363</v>
      </c>
      <c r="F163" s="21" t="str">
        <f>IF(OR(E163="",E163="!!!"),"",IF(NOT(ISNA(VLOOKUP(E163,E$1:E162,1,FALSE()))),"OLD",IF(AND(E163&lt;&gt;"",E163&lt;&gt;"!!!"),"NEW","")))</f>
        <v>OLD</v>
      </c>
      <c r="G163" s="22" t="s">
        <v>369</v>
      </c>
      <c r="H163" s="23" t="str">
        <f t="shared" ca="1" si="15"/>
        <v/>
      </c>
      <c r="I163" s="24" t="str">
        <f>IF(OR(E163="",E163="!!!",F163="NEW"),"",INDEX(B$2:B162,-1+SUMPRODUCT(MAX(ROW(E$2:E162)*(E163=E$2:E162)))))</f>
        <v>other_3</v>
      </c>
      <c r="J163" s="24">
        <f ca="1">IF(OR(E163="",E163="!!!",F163="NEW"),"",COUNTBLANK(OFFSET(A$1,,,SUMPRODUCT(MAX(ROW(E$2:E163)*(E163=E$2:E163)))))-COUNTBLANK(OFFSET(A$1,,,SUMPRODUCT(MAX(ROW(E$1:E162)*(E2=E$1:E162))))))</f>
        <v>0</v>
      </c>
      <c r="K163" s="24">
        <f ca="1">IF(OR(E163="",E163="!!!",F163="NEW"),"",INDEX(J$1:J162,SUMPRODUCT(MAX(ROW(E$1:E162)*(E163=E$1:E162)))))</f>
        <v>0</v>
      </c>
      <c r="L163" s="25" t="s">
        <v>346</v>
      </c>
    </row>
    <row r="164" spans="1:12" x14ac:dyDescent="0.3">
      <c r="A164" t="s">
        <v>116</v>
      </c>
      <c r="E164" s="20" t="str">
        <f t="shared" si="14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5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197</v>
      </c>
      <c r="E165" s="20" t="str">
        <f t="shared" si="14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5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198</v>
      </c>
      <c r="B166" s="26" t="s">
        <v>118</v>
      </c>
      <c r="C166" s="26" t="s">
        <v>106</v>
      </c>
      <c r="E166" s="20" t="str">
        <f t="shared" si="14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5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199</v>
      </c>
      <c r="E167" s="20" t="str">
        <f t="shared" si="14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5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200</v>
      </c>
      <c r="B168" s="26" t="s">
        <v>105</v>
      </c>
      <c r="C168" s="26" t="s">
        <v>106</v>
      </c>
      <c r="E168" s="20" t="str">
        <f t="shared" si="14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5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201</v>
      </c>
      <c r="E169" s="20" t="str">
        <f t="shared" si="14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5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121</v>
      </c>
      <c r="E170" s="20" t="str">
        <f t="shared" si="14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5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202</v>
      </c>
      <c r="B171" s="26" t="s">
        <v>118</v>
      </c>
      <c r="C171" s="26" t="s">
        <v>100</v>
      </c>
      <c r="D171" s="26" t="s">
        <v>101</v>
      </c>
      <c r="E171" s="20"/>
      <c r="F171" s="21" t="s">
        <v>336</v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5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203</v>
      </c>
      <c r="E172" s="20" t="str">
        <f t="shared" si="14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5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107</v>
      </c>
      <c r="E173" s="20" t="str">
        <f t="shared" si="14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5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204</v>
      </c>
      <c r="E174" s="20" t="str">
        <f t="shared" si="14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5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205</v>
      </c>
      <c r="B175" s="26" t="s">
        <v>160</v>
      </c>
      <c r="C175" s="26" t="s">
        <v>100</v>
      </c>
      <c r="D175" s="26" t="s">
        <v>101</v>
      </c>
      <c r="E175" s="20" t="s">
        <v>344</v>
      </c>
      <c r="F175" s="21" t="str">
        <f>IF(OR(E175="",E175="!!!"),"",IF(NOT(ISNA(VLOOKUP(E175,E$1:E174,1,FALSE()))),"OLD",IF(AND(E175&lt;&gt;"",E175&lt;&gt;"!!!"),"NEW","")))</f>
        <v>NEW</v>
      </c>
      <c r="G175" s="22" t="s">
        <v>365</v>
      </c>
      <c r="H175" s="23" t="str">
        <f t="shared" ca="1" si="15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206</v>
      </c>
      <c r="E176" s="20" t="str">
        <f t="shared" si="14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5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138</v>
      </c>
      <c r="E177" s="20" t="str">
        <f t="shared" si="14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5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9" spans="1:12" x14ac:dyDescent="0.3">
      <c r="A179" t="s">
        <v>207</v>
      </c>
    </row>
    <row r="180" spans="1:12" x14ac:dyDescent="0.3">
      <c r="A180" t="s">
        <v>208</v>
      </c>
      <c r="E180" s="20" t="str">
        <f t="shared" ref="E180:E204" si="16">IF(D180="?OLD","!!!","")</f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ref="H180:H204" ca="1" si="17">IF(J180&lt;&gt;1,"",IF(I180="SBJ","CB","?"))</f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209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210</v>
      </c>
      <c r="B182" s="26" t="s">
        <v>160</v>
      </c>
      <c r="C182" s="26" t="s">
        <v>100</v>
      </c>
      <c r="D182" s="26" t="s">
        <v>101</v>
      </c>
      <c r="E182" s="20" t="s">
        <v>344</v>
      </c>
      <c r="F182" s="21" t="str">
        <f>IF(OR(E182="",E182="!!!"),"",IF(NOT(ISNA(VLOOKUP(E182,E$1:E181,1,FALSE()))),"OLD",IF(AND(E182&lt;&gt;"",E182&lt;&gt;"!!!"),"NEW","")))</f>
        <v>OLD</v>
      </c>
      <c r="G182" s="22" t="s">
        <v>369</v>
      </c>
      <c r="H182" s="23" t="str">
        <f t="shared" ca="1" si="17"/>
        <v/>
      </c>
      <c r="I182" s="24" t="str">
        <f>IF(OR(E182="",E182="!!!",F182="NEW"),"",INDEX(B$2:B181,-1+SUMPRODUCT(MAX(ROW(E$2:E181)*(E182=E$2:E181)))))</f>
        <v>SBJ_2</v>
      </c>
      <c r="J182" s="24">
        <f ca="1">IF(OR(E182="",E182="!!!",F182="NEW"),"",COUNTBLANK(OFFSET(A$1,,,SUMPRODUCT(MAX(ROW(E$2:E182)*(E182=E$2:E182)))))-COUNTBLANK(OFFSET(A$1,,,SUMPRODUCT(MAX(ROW(E$1:E181)*(E2=E$1:E181))))))</f>
        <v>0</v>
      </c>
      <c r="K182" s="24" t="str">
        <f ca="1">IF(OR(E182="",E182="!!!",F182="NEW"),"",INDEX(J$1:J181,SUMPRODUCT(MAX(ROW(E$1:E181)*(E182=E$1:E181)))))</f>
        <v/>
      </c>
      <c r="L182" s="25"/>
    </row>
    <row r="183" spans="1:12" x14ac:dyDescent="0.3">
      <c r="A183" t="s">
        <v>211</v>
      </c>
      <c r="E183" s="20" t="s">
        <v>345</v>
      </c>
      <c r="F183" s="21" t="str">
        <f>IF(OR(E183="",E183="!!!"),"",IF(NOT(ISNA(VLOOKUP(E183,E$1:E182,1,FALSE()))),"OLD",IF(AND(E183&lt;&gt;"",E183&lt;&gt;"!!!"),"NEW","")))</f>
        <v>NEW</v>
      </c>
      <c r="G183" s="22" t="s">
        <v>365</v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 t="s">
        <v>346</v>
      </c>
    </row>
    <row r="184" spans="1:12" x14ac:dyDescent="0.3">
      <c r="A184" t="s">
        <v>107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111</v>
      </c>
      <c r="E185" s="20" t="str">
        <f t="shared" si="16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7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212</v>
      </c>
      <c r="B186" s="26" t="s">
        <v>110</v>
      </c>
      <c r="C186" s="26" t="s">
        <v>213</v>
      </c>
      <c r="D186" s="26" t="s">
        <v>101</v>
      </c>
      <c r="E186" s="20" t="s">
        <v>345</v>
      </c>
      <c r="F186" s="21" t="str">
        <f>IF(OR(E186="",E186="!!!"),"",IF(NOT(ISNA(VLOOKUP(E186,E$1:E185,1,FALSE()))),"OLD",IF(AND(E186&lt;&gt;"",E186&lt;&gt;"!!!"),"NEW","")))</f>
        <v>OLD</v>
      </c>
      <c r="G186" s="22" t="s">
        <v>367</v>
      </c>
      <c r="H186" s="23" t="str">
        <f t="shared" ca="1" si="17"/>
        <v/>
      </c>
      <c r="I186" s="24">
        <f>IF(OR(E186="",E186="!!!",F186="NEW"),"",INDEX(B$2:B185,-1+SUMPRODUCT(MAX(ROW(E$2:E185)*(E186=E$2:E185)))))</f>
        <v>0</v>
      </c>
      <c r="J186" s="24">
        <f ca="1">IF(OR(E186="",E186="!!!",F186="NEW"),"",COUNTBLANK(OFFSET(A$1,,,SUMPRODUCT(MAX(ROW(E$2:E186)*(E186=E$2:E186)))))-COUNTBLANK(OFFSET(A$1,,,SUMPRODUCT(MAX(ROW(E$1:E185)*(E2=E$1:E185))))))</f>
        <v>0</v>
      </c>
      <c r="K186" s="24" t="str">
        <f ca="1">IF(OR(E186="",E186="!!!",F186="NEW"),"",INDEX(J$1:J185,SUMPRODUCT(MAX(ROW(E$1:E185)*(E186=E$1:E185)))))</f>
        <v/>
      </c>
      <c r="L186" s="25"/>
    </row>
    <row r="187" spans="1:12" x14ac:dyDescent="0.3">
      <c r="A187" t="s">
        <v>191</v>
      </c>
      <c r="E187" s="20" t="str">
        <f t="shared" si="16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7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214</v>
      </c>
      <c r="B188" s="26" t="s">
        <v>99</v>
      </c>
      <c r="C188" s="26" t="s">
        <v>119</v>
      </c>
      <c r="E188" s="20" t="s">
        <v>347</v>
      </c>
      <c r="F188" s="21" t="str">
        <f>IF(OR(E188="",E188="!!!"),"",IF(NOT(ISNA(VLOOKUP(E188,E$1:E187,1,FALSE()))),"OLD",IF(AND(E188&lt;&gt;"",E188&lt;&gt;"!!!"),"NEW","")))</f>
        <v>NEW</v>
      </c>
      <c r="G188" s="22" t="s">
        <v>366</v>
      </c>
      <c r="H188" s="23" t="str">
        <f t="shared" ca="1" si="17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43</v>
      </c>
      <c r="E189" s="20" t="str">
        <f t="shared" si="16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7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107</v>
      </c>
      <c r="E190" s="20" t="str">
        <f t="shared" si="16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7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108</v>
      </c>
      <c r="B191" s="26" t="s">
        <v>160</v>
      </c>
      <c r="E191" s="20" t="str">
        <f t="shared" si="16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7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121</v>
      </c>
      <c r="E192" s="20" t="str">
        <f t="shared" si="16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7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215</v>
      </c>
      <c r="B193" s="26" t="s">
        <v>179</v>
      </c>
      <c r="C193" s="26" t="s">
        <v>100</v>
      </c>
      <c r="D193" s="26" t="s">
        <v>101</v>
      </c>
      <c r="E193" s="20" t="s">
        <v>361</v>
      </c>
      <c r="F193" s="21" t="s">
        <v>357</v>
      </c>
      <c r="G193" s="22" t="s">
        <v>366</v>
      </c>
      <c r="H193" s="23" t="str">
        <f t="shared" ca="1" si="17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216</v>
      </c>
      <c r="E194" s="20" t="str">
        <f t="shared" si="16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7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137</v>
      </c>
      <c r="B195" s="26" t="s">
        <v>136</v>
      </c>
      <c r="C195" s="26" t="s">
        <v>188</v>
      </c>
      <c r="E195" s="20" t="str">
        <f t="shared" si="16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7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217</v>
      </c>
      <c r="E196" s="20" t="str">
        <f t="shared" si="16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7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218</v>
      </c>
      <c r="B197" s="26" t="s">
        <v>105</v>
      </c>
      <c r="C197" s="26" t="s">
        <v>100</v>
      </c>
      <c r="D197" s="26" t="s">
        <v>101</v>
      </c>
      <c r="E197" s="20" t="s">
        <v>362</v>
      </c>
      <c r="F197" s="21" t="s">
        <v>357</v>
      </c>
      <c r="G197" s="22" t="s">
        <v>366</v>
      </c>
      <c r="H197" s="23" t="str">
        <f t="shared" ca="1" si="17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219</v>
      </c>
      <c r="E198" s="20"/>
      <c r="F198" s="21" t="str">
        <f>IF(OR(E198="",E198="!!!"),"",IF(NOT(ISNA(VLOOKUP(E198,E$1:E197,1,FALSE()))),"OLD",IF(AND(E198&lt;&gt;"",E198&lt;&gt;"!!!"),"NEW","")))</f>
        <v/>
      </c>
      <c r="G198" s="22"/>
      <c r="H198" s="23" t="str">
        <f t="shared" ca="1" si="17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190</v>
      </c>
      <c r="E199" s="20" t="str">
        <f t="shared" si="16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7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220</v>
      </c>
      <c r="E200" s="20"/>
      <c r="F200" s="21" t="str">
        <f>IF(OR(E200="",E200="!!!"),"",IF(NOT(ISNA(VLOOKUP(E200,E$1:E199,1,FALSE()))),"OLD",IF(AND(E200&lt;&gt;"",E200&lt;&gt;"!!!"),"NEW","")))</f>
        <v/>
      </c>
      <c r="G200" s="22"/>
      <c r="H200" s="23" t="str">
        <f t="shared" ca="1" si="17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133</v>
      </c>
      <c r="E201" s="20" t="str">
        <f t="shared" si="16"/>
        <v/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7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157</v>
      </c>
      <c r="B202" s="26" t="s">
        <v>130</v>
      </c>
      <c r="C202" s="26" t="s">
        <v>119</v>
      </c>
      <c r="E202" s="20" t="s">
        <v>358</v>
      </c>
      <c r="F202" s="21" t="str">
        <f>IF(OR(E202="",E202="!!!"),"",IF(NOT(ISNA(VLOOKUP(E202,E$1:E201,1,FALSE()))),"OLD",IF(AND(E202&lt;&gt;"",E202&lt;&gt;"!!!"),"NEW","")))</f>
        <v>OLD</v>
      </c>
      <c r="G202" s="22" t="s">
        <v>367</v>
      </c>
      <c r="H202" s="23" t="s">
        <v>92</v>
      </c>
      <c r="I202" s="24" t="str">
        <f>IF(OR(E202="",E202="!!!",F202="NEW"),"",INDEX(B$2:B201,-1+SUMPRODUCT(MAX(ROW(E$2:E201)*(E202=E$2:E201)))))</f>
        <v>SBJ</v>
      </c>
      <c r="J202" s="24">
        <f ca="1">IF(OR(E202="",E202="!!!",F202="NEW"),"",COUNTBLANK(OFFSET(A$1,,,SUMPRODUCT(MAX(ROW(E$2:E202)*(E202=E$2:E202)))))-COUNTBLANK(OFFSET(A$1,,,SUMPRODUCT(MAX(ROW(E$1:E201)*(E2=E$1:E201))))))</f>
        <v>0</v>
      </c>
      <c r="K202" s="24">
        <f ca="1">IF(OR(E202="",E202="!!!",F202="NEW"),"",INDEX(J$1:J201,SUMPRODUCT(MAX(ROW(E$1:E201)*(E202=E$1:E201)))))</f>
        <v>0</v>
      </c>
      <c r="L202" s="25"/>
    </row>
    <row r="203" spans="1:12" x14ac:dyDescent="0.3">
      <c r="A203" t="s">
        <v>203</v>
      </c>
      <c r="E203" s="20" t="str">
        <f t="shared" si="16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7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138</v>
      </c>
      <c r="E204" s="20" t="str">
        <f t="shared" si="16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7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6" spans="1:12" x14ac:dyDescent="0.3">
      <c r="A206" t="s">
        <v>221</v>
      </c>
    </row>
    <row r="207" spans="1:12" x14ac:dyDescent="0.3">
      <c r="A207" t="s">
        <v>208</v>
      </c>
      <c r="E207" s="20" t="str">
        <f t="shared" ref="E207:E231" si="18">IF(D207="?OLD","!!!","")</f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ref="H207:H231" ca="1" si="19">IF(J207&lt;&gt;1,"",IF(I207="SBJ","CB","?"))</f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222</v>
      </c>
      <c r="B208" s="26" t="s">
        <v>179</v>
      </c>
      <c r="E208" s="20" t="str">
        <f t="shared" si="18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9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108</v>
      </c>
      <c r="E209" s="20" t="str">
        <f t="shared" si="18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19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214</v>
      </c>
      <c r="B210" s="26" t="s">
        <v>160</v>
      </c>
      <c r="C210" s="26" t="s">
        <v>100</v>
      </c>
      <c r="D210" s="26" t="s">
        <v>101</v>
      </c>
      <c r="E210" s="20" t="s">
        <v>347</v>
      </c>
      <c r="F210" s="21" t="str">
        <f>IF(OR(E210="",E210="!!!"),"",IF(NOT(ISNA(VLOOKUP(E210,E$1:E209,1,FALSE()))),"OLD",IF(AND(E210&lt;&gt;"",E210&lt;&gt;"!!!"),"NEW","")))</f>
        <v>OLD</v>
      </c>
      <c r="G210" s="22" t="s">
        <v>367</v>
      </c>
      <c r="H210" s="23" t="s">
        <v>92</v>
      </c>
      <c r="I210" s="24" t="str">
        <f>IF(OR(E210="",E210="!!!",F210="NEW"),"",INDEX(B$2:B209,-1+SUMPRODUCT(MAX(ROW(E$2:E209)*(E210=E$2:E209)))))</f>
        <v>SBJ</v>
      </c>
      <c r="J210" s="24">
        <f ca="1">IF(OR(E210="",E210="!!!",F210="NEW"),"",COUNTBLANK(OFFSET(A$1,,,SUMPRODUCT(MAX(ROW(E$2:E210)*(E210=E$2:E210)))))-COUNTBLANK(OFFSET(A$1,,,SUMPRODUCT(MAX(ROW(E$1:E209)*(E2=E$1:E209))))))</f>
        <v>0</v>
      </c>
      <c r="K210" s="24" t="str">
        <f ca="1">IF(OR(E210="",E210="!!!",F210="NEW"),"",INDEX(J$1:J209,SUMPRODUCT(MAX(ROW(E$1:E209)*(E210=E$1:E209)))))</f>
        <v/>
      </c>
      <c r="L210" s="25"/>
    </row>
    <row r="211" spans="1:12" x14ac:dyDescent="0.3">
      <c r="A211" t="s">
        <v>223</v>
      </c>
      <c r="E211" s="20" t="str">
        <f t="shared" si="18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9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107</v>
      </c>
      <c r="E212" s="20" t="str">
        <f t="shared" si="18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9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111</v>
      </c>
      <c r="E213" s="20" t="str">
        <f t="shared" si="18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19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212</v>
      </c>
      <c r="B214" s="26" t="s">
        <v>99</v>
      </c>
      <c r="C214" s="26" t="s">
        <v>213</v>
      </c>
      <c r="D214" s="26" t="s">
        <v>101</v>
      </c>
      <c r="E214" s="20" t="s">
        <v>347</v>
      </c>
      <c r="F214" s="21" t="str">
        <f>IF(OR(E214="",E214="!!!"),"",IF(NOT(ISNA(VLOOKUP(E214,E$1:E213,1,FALSE()))),"OLD",IF(AND(E214&lt;&gt;"",E214&lt;&gt;"!!!"),"NEW","")))</f>
        <v>OLD</v>
      </c>
      <c r="G214" s="22" t="s">
        <v>367</v>
      </c>
      <c r="H214" s="23" t="str">
        <f t="shared" ca="1" si="19"/>
        <v/>
      </c>
      <c r="I214" s="24" t="str">
        <f>IF(OR(E214="",E214="!!!",F214="NEW"),"",INDEX(B$2:B213,-1+SUMPRODUCT(MAX(ROW(E$2:E213)*(E214=E$2:E213)))))</f>
        <v>SBJ_2</v>
      </c>
      <c r="J214" s="24">
        <f ca="1">IF(OR(E214="",E214="!!!",F214="NEW"),"",COUNTBLANK(OFFSET(A$1,,,SUMPRODUCT(MAX(ROW(E$2:E214)*(E214=E$2:E214)))))-COUNTBLANK(OFFSET(A$1,,,SUMPRODUCT(MAX(ROW(E$1:E213)*(E2=E$1:E213))))))</f>
        <v>0</v>
      </c>
      <c r="K214" s="24">
        <f ca="1">IF(OR(E214="",E214="!!!",F214="NEW"),"",INDEX(J$1:J213,SUMPRODUCT(MAX(ROW(E$1:E213)*(E214=E$1:E213)))))</f>
        <v>0</v>
      </c>
      <c r="L214" s="25"/>
    </row>
    <row r="215" spans="1:12" x14ac:dyDescent="0.3">
      <c r="A215" t="s">
        <v>197</v>
      </c>
      <c r="E215" s="20" t="str">
        <f t="shared" si="18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9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121</v>
      </c>
      <c r="E216" s="20" t="str">
        <f t="shared" si="18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9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224</v>
      </c>
      <c r="B217" s="26" t="s">
        <v>118</v>
      </c>
      <c r="C217" s="26" t="s">
        <v>100</v>
      </c>
      <c r="D217" s="26" t="s">
        <v>101</v>
      </c>
      <c r="E217" s="20"/>
      <c r="F217" s="21" t="s">
        <v>336</v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9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49</v>
      </c>
      <c r="E218" s="20" t="str">
        <f t="shared" si="18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9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190</v>
      </c>
      <c r="E219" s="20" t="str">
        <f t="shared" si="18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9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121</v>
      </c>
      <c r="E220" s="20" t="str">
        <f t="shared" si="18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9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215</v>
      </c>
      <c r="B221" s="26" t="s">
        <v>179</v>
      </c>
      <c r="C221" s="26" t="s">
        <v>100</v>
      </c>
      <c r="D221" s="26" t="s">
        <v>101</v>
      </c>
      <c r="E221" s="20" t="s">
        <v>359</v>
      </c>
      <c r="F221" s="21" t="str">
        <f>IF(OR(E221="",E221="!!!"),"",IF(NOT(ISNA(VLOOKUP(E221,E$1:E220,1,FALSE()))),"OLD",IF(AND(E221&lt;&gt;"",E221&lt;&gt;"!!!"),"NEW","")))</f>
        <v>NEW</v>
      </c>
      <c r="G221" s="22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?REFERENTIAL</v>
      </c>
      <c r="H221" s="23" t="str">
        <f t="shared" ca="1" si="19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137</v>
      </c>
      <c r="B222" s="26" t="s">
        <v>136</v>
      </c>
      <c r="C222" s="26" t="s">
        <v>188</v>
      </c>
      <c r="E222" s="20" t="str">
        <f t="shared" si="18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9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217</v>
      </c>
      <c r="E223" s="20" t="str">
        <f t="shared" si="18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9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225</v>
      </c>
      <c r="B224" s="26" t="s">
        <v>105</v>
      </c>
      <c r="C224" s="26" t="s">
        <v>100</v>
      </c>
      <c r="D224" s="26" t="s">
        <v>101</v>
      </c>
      <c r="E224" s="20" t="s">
        <v>360</v>
      </c>
      <c r="F224" s="21" t="str">
        <f>IF(OR(E224="",E224="!!!"),"",IF(NOT(ISNA(VLOOKUP(E224,E$1:E223,1,FALSE()))),"OLD",IF(AND(E224&lt;&gt;"",E224&lt;&gt;"!!!"),"NEW","")))</f>
        <v>NEW</v>
      </c>
      <c r="G224" s="22" t="s">
        <v>366</v>
      </c>
      <c r="H224" s="23" t="str">
        <f t="shared" ca="1" si="19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226</v>
      </c>
      <c r="E225" s="20"/>
      <c r="F225" s="21"/>
      <c r="G225" s="22"/>
      <c r="H225" s="23" t="str">
        <f t="shared" ca="1" si="19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107</v>
      </c>
      <c r="E226" s="20" t="str">
        <f t="shared" si="18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9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227</v>
      </c>
      <c r="B227" s="26" t="s">
        <v>160</v>
      </c>
      <c r="C227" s="26" t="s">
        <v>228</v>
      </c>
      <c r="D227" s="26" t="s">
        <v>101</v>
      </c>
      <c r="E227" s="20"/>
      <c r="F227" s="21" t="s">
        <v>348</v>
      </c>
      <c r="G227" s="22" t="s">
        <v>367</v>
      </c>
      <c r="H227" s="23" t="str">
        <f t="shared" ca="1" si="19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133</v>
      </c>
      <c r="E228" s="20"/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9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194</v>
      </c>
      <c r="B229" s="26" t="s">
        <v>179</v>
      </c>
      <c r="C229" s="26" t="s">
        <v>119</v>
      </c>
      <c r="E229" s="20" t="s">
        <v>363</v>
      </c>
      <c r="F229" s="21" t="str">
        <f>IF(OR(E229="",E229="!!!"),"",IF(NOT(ISNA(VLOOKUP(E229,E$1:E228,1,FALSE()))),"OLD",IF(AND(E229&lt;&gt;"",E229&lt;&gt;"!!!"),"NEW","")))</f>
        <v>OLD</v>
      </c>
      <c r="G229" s="22" t="s">
        <v>369</v>
      </c>
      <c r="H229" s="23" t="str">
        <f t="shared" ca="1" si="19"/>
        <v/>
      </c>
      <c r="I229" s="24" t="str">
        <f>IF(OR(E229="",E229="!!!",F229="NEW"),"",INDEX(B$2:B228,-1+SUMPRODUCT(MAX(ROW(E$2:E228)*(E229=E$2:E228)))))</f>
        <v>other_2</v>
      </c>
      <c r="J229" s="24">
        <f ca="1">IF(OR(E229="",E229="!!!",F229="NEW"),"",COUNTBLANK(OFFSET(A$1,,,SUMPRODUCT(MAX(ROW(E$2:E229)*(E229=E$2:E229)))))-COUNTBLANK(OFFSET(A$1,,,SUMPRODUCT(MAX(ROW(E$1:E228)*(E2=E$1:E228))))))</f>
        <v>0</v>
      </c>
      <c r="K229" s="24">
        <f ca="1">IF(OR(E229="",E229="!!!",F229="NEW"),"",INDEX(J$1:J228,SUMPRODUCT(MAX(ROW(E$1:E228)*(E229=E$1:E228)))))</f>
        <v>0</v>
      </c>
      <c r="L229" s="25"/>
    </row>
    <row r="230" spans="1:12" x14ac:dyDescent="0.3">
      <c r="A230" t="s">
        <v>203</v>
      </c>
      <c r="E230" s="20" t="str">
        <f t="shared" si="18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9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138</v>
      </c>
      <c r="E231" s="20" t="str">
        <f t="shared" si="18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9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3" spans="1:12" x14ac:dyDescent="0.3">
      <c r="A233" t="s">
        <v>229</v>
      </c>
    </row>
    <row r="234" spans="1:12" x14ac:dyDescent="0.3">
      <c r="A234" t="s">
        <v>146</v>
      </c>
      <c r="B234" s="26" t="s">
        <v>99</v>
      </c>
      <c r="C234" s="26" t="s">
        <v>106</v>
      </c>
      <c r="E234" s="20" t="s">
        <v>343</v>
      </c>
      <c r="F234" s="21" t="str">
        <f>IF(OR(E234="",E234="!!!"),"",IF(NOT(ISNA(VLOOKUP(E234,E$1:E233,1,FALSE()))),"OLD",IF(AND(E234&lt;&gt;"",E234&lt;&gt;"!!!"),"NEW","")))</f>
        <v>OLD</v>
      </c>
      <c r="G234" s="22" t="s">
        <v>366</v>
      </c>
      <c r="H234" s="23" t="str">
        <f t="shared" ref="H234:H250" ca="1" si="20">IF(J234&lt;&gt;1,"",IF(I234="SBJ","CB","?"))</f>
        <v/>
      </c>
      <c r="I234" s="24" t="str">
        <f>IF(OR(E234="",E234="!!!",F234="NEW"),"",INDEX(B$2:B233,-1+SUMPRODUCT(MAX(ROW(E$2:E233)*(E234=E$2:E233)))))</f>
        <v>SBJ</v>
      </c>
      <c r="J234" s="24">
        <f ca="1">IF(OR(E234="",E234="!!!",F234="NEW"),"",COUNTBLANK(OFFSET(A$1,,,SUMPRODUCT(MAX(ROW(E$2:E234)*(E234=E$2:E234)))))-COUNTBLANK(OFFSET(A$1,,,SUMPRODUCT(MAX(ROW(E$1:E233)*(E2=E$1:E233))))))</f>
        <v>0</v>
      </c>
      <c r="K234" s="24">
        <f ca="1">IF(OR(E234="",E234="!!!",F234="NEW"),"",INDEX(J$1:J233,SUMPRODUCT(MAX(ROW(E$1:E233)*(E234=E$1:E233)))))</f>
        <v>0</v>
      </c>
      <c r="L234" s="25"/>
    </row>
    <row r="235" spans="1:12" x14ac:dyDescent="0.3">
      <c r="A235" t="s">
        <v>107</v>
      </c>
      <c r="E235" s="20" t="str">
        <f t="shared" ref="E234:E250" si="21">IF(D235="?OLD","!!!","")</f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20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204</v>
      </c>
      <c r="B236" s="26" t="s">
        <v>230</v>
      </c>
      <c r="E236" s="20" t="str">
        <f t="shared" si="21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20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152</v>
      </c>
      <c r="E237" s="20" t="str">
        <f t="shared" si="21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20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133</v>
      </c>
      <c r="E238" s="20" t="str">
        <f t="shared" si="21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20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157</v>
      </c>
      <c r="B239" s="26" t="s">
        <v>130</v>
      </c>
      <c r="C239" s="26" t="s">
        <v>119</v>
      </c>
      <c r="E239" s="20" t="s">
        <v>358</v>
      </c>
      <c r="F239" s="21" t="str">
        <f>IF(OR(E239="",E239="!!!"),"",IF(NOT(ISNA(VLOOKUP(E239,E$1:E238,1,FALSE()))),"OLD",IF(AND(E239&lt;&gt;"",E239&lt;&gt;"!!!"),"NEW","")))</f>
        <v>OLD</v>
      </c>
      <c r="G239" s="22" t="s">
        <v>369</v>
      </c>
      <c r="H239" s="23" t="str">
        <f t="shared" ca="1" si="20"/>
        <v/>
      </c>
      <c r="I239" s="24" t="str">
        <f>IF(OR(E239="",E239="!!!",F239="NEW"),"",INDEX(B$2:B238,-1+SUMPRODUCT(MAX(ROW(E$2:E238)*(E239=E$2:E238)))))</f>
        <v>OBJ_3</v>
      </c>
      <c r="J239" s="24">
        <f ca="1">IF(OR(E239="",E239="!!!",F239="NEW"),"",COUNTBLANK(OFFSET(A$1,,,SUMPRODUCT(MAX(ROW(E$2:E239)*(E239=E$2:E239)))))-COUNTBLANK(OFFSET(A$1,,,SUMPRODUCT(MAX(ROW(E$1:E238)*(E2=E$1:E238))))))</f>
        <v>0</v>
      </c>
      <c r="K239" s="24">
        <f ca="1">IF(OR(E239="",E239="!!!",F239="NEW"),"",INDEX(J$1:J238,SUMPRODUCT(MAX(ROW(E$1:E238)*(E239=E$1:E238)))))</f>
        <v>0</v>
      </c>
      <c r="L239" s="25"/>
    </row>
    <row r="240" spans="1:12" x14ac:dyDescent="0.3">
      <c r="A240" t="s">
        <v>231</v>
      </c>
      <c r="E240" s="20" t="str">
        <f t="shared" si="21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20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107</v>
      </c>
      <c r="E241" s="20" t="str">
        <f t="shared" si="21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20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52</v>
      </c>
      <c r="E242" s="20" t="str">
        <f t="shared" si="21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20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117</v>
      </c>
      <c r="E243" s="20" t="str">
        <f t="shared" si="21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20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232</v>
      </c>
      <c r="E244" s="20" t="str">
        <f t="shared" si="21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20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143</v>
      </c>
      <c r="B245" s="26" t="s">
        <v>110</v>
      </c>
      <c r="C245" s="26" t="s">
        <v>119</v>
      </c>
      <c r="E245" s="20" t="s">
        <v>339</v>
      </c>
      <c r="F245" s="21" t="str">
        <f>IF(OR(E245="",E245="!!!"),"",IF(NOT(ISNA(VLOOKUP(E245,E$1:E244,1,FALSE()))),"OLD",IF(AND(E245&lt;&gt;"",E245&lt;&gt;"!!!"),"NEW","")))</f>
        <v>OLD</v>
      </c>
      <c r="G245" s="22" t="s">
        <v>366</v>
      </c>
      <c r="H245" s="23" t="str">
        <f t="shared" ca="1" si="20"/>
        <v/>
      </c>
      <c r="I245" s="24" t="str">
        <f>IF(OR(E245="",E245="!!!",F245="NEW"),"",INDEX(B$2:B244,-1+SUMPRODUCT(MAX(ROW(E$2:E244)*(E245=E$2:E244)))))</f>
        <v>OBJ_2</v>
      </c>
      <c r="J245" s="24">
        <f ca="1">IF(OR(E245="",E245="!!!",F245="NEW"),"",COUNTBLANK(OFFSET(A$1,,,SUMPRODUCT(MAX(ROW(E$2:E245)*(E245=E$2:E245)))))-COUNTBLANK(OFFSET(A$1,,,SUMPRODUCT(MAX(ROW(E$1:E244)*(E2=E$1:E244))))))</f>
        <v>0</v>
      </c>
      <c r="K245" s="24">
        <f ca="1">IF(OR(E245="",E245="!!!",F245="NEW"),"",INDEX(J$1:J244,SUMPRODUCT(MAX(ROW(E$1:E244)*(E245=E$1:E244)))))</f>
        <v>0</v>
      </c>
      <c r="L245" s="25" t="s">
        <v>346</v>
      </c>
    </row>
    <row r="246" spans="1:12" x14ac:dyDescent="0.3">
      <c r="A246" t="s">
        <v>133</v>
      </c>
      <c r="B246" s="26" t="s">
        <v>179</v>
      </c>
      <c r="E246" s="20" t="str">
        <f t="shared" si="21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0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164</v>
      </c>
      <c r="B247" s="26" t="s">
        <v>179</v>
      </c>
      <c r="E247" s="20" t="s">
        <v>358</v>
      </c>
      <c r="F247" s="21" t="str">
        <f>IF(OR(E247="",E247="!!!"),"",IF(NOT(ISNA(VLOOKUP(E247,E$1:E246,1,FALSE()))),"OLD",IF(AND(E247&lt;&gt;"",E247&lt;&gt;"!!!"),"NEW","")))</f>
        <v>OLD</v>
      </c>
      <c r="G247" s="22" t="s">
        <v>367</v>
      </c>
      <c r="H247" s="23" t="str">
        <f t="shared" ca="1" si="20"/>
        <v/>
      </c>
      <c r="I247" s="24" t="str">
        <f>IF(OR(E247="",E247="!!!",F247="NEW"),"",INDEX(B$2:B246,-1+SUMPRODUCT(MAX(ROW(E$2:E246)*(E247=E$2:E246)))))</f>
        <v>OBJ_3</v>
      </c>
      <c r="J247" s="24">
        <f ca="1">IF(OR(E247="",E247="!!!",F247="NEW"),"",COUNTBLANK(OFFSET(A$1,,,SUMPRODUCT(MAX(ROW(E$2:E247)*(E247=E$2:E247)))))-COUNTBLANK(OFFSET(A$1,,,SUMPRODUCT(MAX(ROW(E$1:E246)*(E2=E$1:E246))))))</f>
        <v>0</v>
      </c>
      <c r="K247" s="24">
        <f ca="1">IF(OR(E247="",E247="!!!",F247="NEW"),"",INDEX(J$1:J246,SUMPRODUCT(MAX(ROW(E$1:E246)*(E247=E$1:E246)))))</f>
        <v>0</v>
      </c>
      <c r="L247" s="25"/>
    </row>
    <row r="248" spans="1:12" x14ac:dyDescent="0.3">
      <c r="A248" t="s">
        <v>137</v>
      </c>
      <c r="E248" s="20" t="str">
        <f t="shared" si="21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0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68</v>
      </c>
      <c r="E249" s="20" t="str">
        <f t="shared" si="21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0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138</v>
      </c>
      <c r="E250" s="20" t="str">
        <f t="shared" si="21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0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2" spans="1:12" x14ac:dyDescent="0.3">
      <c r="A252" t="s">
        <v>233</v>
      </c>
    </row>
    <row r="253" spans="1:12" x14ac:dyDescent="0.3">
      <c r="A253" t="s">
        <v>141</v>
      </c>
      <c r="B253" s="26" t="s">
        <v>99</v>
      </c>
      <c r="C253" s="26" t="s">
        <v>106</v>
      </c>
      <c r="E253" s="20" t="s">
        <v>335</v>
      </c>
      <c r="F253" s="21" t="str">
        <f>IF(OR(E253="",E253="!!!"),"",IF(NOT(ISNA(VLOOKUP(E253,E$1:E252,1,FALSE()))),"OLD",IF(AND(E253&lt;&gt;"",E253&lt;&gt;"!!!"),"NEW","")))</f>
        <v>OLD</v>
      </c>
      <c r="G253" s="22" t="s">
        <v>366</v>
      </c>
      <c r="H253" s="23" t="str">
        <f t="shared" ref="H253:H283" ca="1" si="22">IF(J253&lt;&gt;1,"",IF(I253="SBJ","CB","?"))</f>
        <v/>
      </c>
      <c r="I253" s="24" t="str">
        <f>IF(OR(E253="",E253="!!!",F253="NEW"),"",INDEX(B$2:B252,-1+SUMPRODUCT(MAX(ROW(E$2:E252)*(E253=E$2:E252)))))</f>
        <v>SBJ</v>
      </c>
      <c r="J253" s="24">
        <f ca="1">IF(OR(E253="",E253="!!!",F253="NEW"),"",COUNTBLANK(OFFSET(A$1,,,SUMPRODUCT(MAX(ROW(E$2:E253)*(E253=E$2:E253)))))-COUNTBLANK(OFFSET(A$1,,,SUMPRODUCT(MAX(ROW(E$1:E252)*(E2=E$1:E252))))))</f>
        <v>0</v>
      </c>
      <c r="K253" s="24">
        <f ca="1">IF(OR(E253="",E253="!!!",F253="NEW"),"",INDEX(J$1:J252,SUMPRODUCT(MAX(ROW(E$1:E252)*(E253=E$1:E252)))))</f>
        <v>0</v>
      </c>
      <c r="L253" s="25"/>
    </row>
    <row r="254" spans="1:12" x14ac:dyDescent="0.3">
      <c r="A254" t="s">
        <v>107</v>
      </c>
      <c r="E254" s="20" t="str">
        <f t="shared" ref="E253:E283" si="23">IF(D254="?OLD","!!!","")</f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2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108</v>
      </c>
      <c r="B255" s="26" t="s">
        <v>230</v>
      </c>
      <c r="C255" s="26" t="s">
        <v>127</v>
      </c>
      <c r="D255" s="26" t="s">
        <v>101</v>
      </c>
      <c r="E255" s="20"/>
      <c r="F255" s="21" t="s">
        <v>348</v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2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114</v>
      </c>
      <c r="E256" s="20" t="str">
        <f t="shared" si="23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2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217</v>
      </c>
      <c r="E257" s="20" t="str">
        <f t="shared" si="23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2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234</v>
      </c>
      <c r="E258" s="20" t="str">
        <f t="shared" si="23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2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235</v>
      </c>
      <c r="B259" s="26" t="s">
        <v>136</v>
      </c>
      <c r="C259" s="26" t="s">
        <v>100</v>
      </c>
      <c r="D259" s="26" t="s">
        <v>101</v>
      </c>
      <c r="E259" s="20"/>
      <c r="F259" s="21" t="s">
        <v>338</v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2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236</v>
      </c>
      <c r="B260" s="26" t="s">
        <v>126</v>
      </c>
      <c r="C260" s="26" t="s">
        <v>142</v>
      </c>
      <c r="D260" s="26" t="s">
        <v>101</v>
      </c>
      <c r="E260" s="20" t="s">
        <v>349</v>
      </c>
      <c r="F260" s="21" t="str">
        <f>IF(OR(E260="",E260="!!!"),"",IF(NOT(ISNA(VLOOKUP(E260,E$1:E259,1,FALSE()))),"OLD",IF(AND(E260&lt;&gt;"",E260&lt;&gt;"!!!"),"NEW","")))</f>
        <v>NEW</v>
      </c>
      <c r="G260" s="22" t="s">
        <v>365</v>
      </c>
      <c r="H260" s="23" t="str">
        <f t="shared" ca="1" si="22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237</v>
      </c>
      <c r="E261" s="20" t="str">
        <f t="shared" si="23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2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151</v>
      </c>
      <c r="E262" s="20" t="str">
        <f t="shared" si="23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2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190</v>
      </c>
      <c r="E263" s="20" t="str">
        <f t="shared" si="23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2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238</v>
      </c>
      <c r="E264" s="20" t="str">
        <f t="shared" si="23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2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217</v>
      </c>
      <c r="E265" s="20" t="str">
        <f t="shared" si="23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2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239</v>
      </c>
      <c r="B266" s="26" t="s">
        <v>126</v>
      </c>
      <c r="C266" s="26" t="s">
        <v>100</v>
      </c>
      <c r="D266" s="26" t="s">
        <v>101</v>
      </c>
      <c r="E266" s="20"/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2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240</v>
      </c>
      <c r="E267" s="20" t="str">
        <f t="shared" si="23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2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241</v>
      </c>
      <c r="E268" s="20" t="str">
        <f t="shared" si="23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2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151</v>
      </c>
      <c r="E269" s="20" t="str">
        <f t="shared" si="23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2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107</v>
      </c>
      <c r="E270" s="20" t="str">
        <f t="shared" si="23"/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2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56</v>
      </c>
      <c r="E271" s="20" t="str">
        <f t="shared" si="23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2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125</v>
      </c>
      <c r="B272" s="26" t="s">
        <v>105</v>
      </c>
      <c r="C272" s="26" t="s">
        <v>127</v>
      </c>
      <c r="D272" s="26" t="s">
        <v>101</v>
      </c>
      <c r="E272" s="20"/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2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 t="s">
        <v>350</v>
      </c>
    </row>
    <row r="273" spans="1:12" x14ac:dyDescent="0.3">
      <c r="A273" t="s">
        <v>143</v>
      </c>
      <c r="B273" s="26" t="s">
        <v>110</v>
      </c>
      <c r="C273" s="26" t="s">
        <v>131</v>
      </c>
      <c r="D273" s="26" t="s">
        <v>101</v>
      </c>
      <c r="E273" s="20" t="s">
        <v>339</v>
      </c>
      <c r="F273" s="21" t="str">
        <f>IF(OR(E273="",E273="!!!"),"",IF(NOT(ISNA(VLOOKUP(E273,E$1:E272,1,FALSE()))),"OLD",IF(AND(E273&lt;&gt;"",E273&lt;&gt;"!!!"),"NEW","")))</f>
        <v>OLD</v>
      </c>
      <c r="G273" s="22" t="s">
        <v>369</v>
      </c>
      <c r="H273" s="23" t="s">
        <v>92</v>
      </c>
      <c r="I273" s="24" t="str">
        <f>IF(OR(E273="",E273="!!!",F273="NEW"),"",INDEX(B$2:B272,-1+SUMPRODUCT(MAX(ROW(E$2:E272)*(E273=E$2:E272)))))</f>
        <v>OBJ</v>
      </c>
      <c r="J273" s="24">
        <f ca="1">IF(OR(E273="",E273="!!!",F273="NEW"),"",COUNTBLANK(OFFSET(A$1,,,SUMPRODUCT(MAX(ROW(E$2:E273)*(E273=E$2:E273)))))-COUNTBLANK(OFFSET(A$1,,,SUMPRODUCT(MAX(ROW(E$1:E272)*(E2=E$1:E272))))))</f>
        <v>0</v>
      </c>
      <c r="K273" s="24">
        <f ca="1">IF(OR(E273="",E273="!!!",F273="NEW"),"",INDEX(J$1:J272,SUMPRODUCT(MAX(ROW(E$1:E272)*(E273=E$1:E272)))))</f>
        <v>0</v>
      </c>
      <c r="L273" s="25"/>
    </row>
    <row r="274" spans="1:12" x14ac:dyDescent="0.3">
      <c r="A274" t="s">
        <v>107</v>
      </c>
      <c r="E274" s="20" t="str">
        <f t="shared" si="23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2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242</v>
      </c>
      <c r="E275" s="20" t="str">
        <f t="shared" si="23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2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212</v>
      </c>
      <c r="B276" s="26" t="s">
        <v>160</v>
      </c>
      <c r="C276" s="26" t="s">
        <v>213</v>
      </c>
      <c r="D276" s="26" t="s">
        <v>101</v>
      </c>
      <c r="E276" s="20" t="s">
        <v>335</v>
      </c>
      <c r="F276" s="21" t="str">
        <f>IF(OR(E276="",E276="!!!"),"",IF(NOT(ISNA(VLOOKUP(E276,E$1:E275,1,FALSE()))),"OLD",IF(AND(E276&lt;&gt;"",E276&lt;&gt;"!!!"),"NEW","")))</f>
        <v>OLD</v>
      </c>
      <c r="G276" s="22" t="s">
        <v>367</v>
      </c>
      <c r="H276" s="23" t="str">
        <f t="shared" ca="1" si="22"/>
        <v/>
      </c>
      <c r="I276" s="24" t="str">
        <f>IF(OR(E276="",E276="!!!",F276="NEW"),"",INDEX(B$2:B275,-1+SUMPRODUCT(MAX(ROW(E$2:E275)*(E276=E$2:E275)))))</f>
        <v>SBJ</v>
      </c>
      <c r="J276" s="24">
        <f ca="1">IF(OR(E276="",E276="!!!",F276="NEW"),"",COUNTBLANK(OFFSET(A$1,,,SUMPRODUCT(MAX(ROW(E$2:E276)*(E276=E$2:E276)))))-COUNTBLANK(OFFSET(A$1,,,SUMPRODUCT(MAX(ROW(E$1:E275)*(E2=E$1:E275))))))</f>
        <v>0</v>
      </c>
      <c r="K276" s="24">
        <f ca="1">IF(OR(E276="",E276="!!!",F276="NEW"),"",INDEX(J$1:J275,SUMPRODUCT(MAX(ROW(E$1:E275)*(E276=E$1:E275)))))</f>
        <v>0</v>
      </c>
      <c r="L276" s="25"/>
    </row>
    <row r="277" spans="1:12" x14ac:dyDescent="0.3">
      <c r="A277" t="s">
        <v>204</v>
      </c>
      <c r="E277" s="20" t="str">
        <f t="shared" si="23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2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243</v>
      </c>
      <c r="B278" s="26" t="s">
        <v>179</v>
      </c>
      <c r="C278" s="26" t="s">
        <v>244</v>
      </c>
      <c r="D278" s="26" t="s">
        <v>101</v>
      </c>
      <c r="E278" s="20" t="s">
        <v>345</v>
      </c>
      <c r="F278" s="21" t="str">
        <f>IF(OR(E278="",E278="!!!"),"",IF(NOT(ISNA(VLOOKUP(E278,E$1:E277,1,FALSE()))),"OLD",IF(AND(E278&lt;&gt;"",E278&lt;&gt;"!!!"),"NEW","")))</f>
        <v>OLD</v>
      </c>
      <c r="G278" s="22" t="s">
        <v>366</v>
      </c>
      <c r="H278" s="23" t="str">
        <f t="shared" ca="1" si="22"/>
        <v/>
      </c>
      <c r="I278" s="24" t="str">
        <f>IF(OR(E278="",E278="!!!",F278="NEW"),"",INDEX(B$2:B277,-1+SUMPRODUCT(MAX(ROW(E$2:E277)*(E278=E$2:E277)))))</f>
        <v>OBJ</v>
      </c>
      <c r="J278" s="24">
        <f ca="1">IF(OR(E278="",E278="!!!",F278="NEW"),"",COUNTBLANK(OFFSET(A$1,,,SUMPRODUCT(MAX(ROW(E$2:E278)*(E278=E$2:E278)))))-COUNTBLANK(OFFSET(A$1,,,SUMPRODUCT(MAX(ROW(E$1:E277)*(E2=E$1:E277))))))</f>
        <v>0</v>
      </c>
      <c r="K278" s="24">
        <f ca="1">IF(OR(E278="",E278="!!!",F278="NEW"),"",INDEX(J$1:J277,SUMPRODUCT(MAX(ROW(E$1:E277)*(E278=E$1:E277)))))</f>
        <v>0</v>
      </c>
      <c r="L278" s="25"/>
    </row>
    <row r="279" spans="1:12" x14ac:dyDescent="0.3">
      <c r="A279" t="s">
        <v>114</v>
      </c>
      <c r="E279" s="20" t="str">
        <f t="shared" si="23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2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245</v>
      </c>
      <c r="B280" s="26" t="s">
        <v>136</v>
      </c>
      <c r="C280" s="26" t="s">
        <v>142</v>
      </c>
      <c r="D280" s="26" t="s">
        <v>101</v>
      </c>
      <c r="E280" s="20" t="s">
        <v>347</v>
      </c>
      <c r="F280" s="21" t="str">
        <f>IF(OR(E280="",E280="!!!"),"",IF(NOT(ISNA(VLOOKUP(E280,E$1:E279,1,FALSE()))),"OLD",IF(AND(E280&lt;&gt;"",E280&lt;&gt;"!!!"),"NEW","")))</f>
        <v>OLD</v>
      </c>
      <c r="G280" s="22" t="s">
        <v>369</v>
      </c>
      <c r="H280" s="23" t="str">
        <f t="shared" ca="1" si="22"/>
        <v/>
      </c>
      <c r="I280" s="24" t="str">
        <f>IF(OR(E280="",E280="!!!",F280="NEW"),"",INDEX(B$2:B279,-1+SUMPRODUCT(MAX(ROW(E$2:E279)*(E280=E$2:E279)))))</f>
        <v>SBJ</v>
      </c>
      <c r="J280" s="24">
        <f ca="1">IF(OR(E280="",E280="!!!",F280="NEW"),"",COUNTBLANK(OFFSET(A$1,,,SUMPRODUCT(MAX(ROW(E$2:E280)*(E280=E$2:E280)))))-COUNTBLANK(OFFSET(A$1,,,SUMPRODUCT(MAX(ROW(E$1:E279)*(E2=E$1:E279))))))</f>
        <v>0</v>
      </c>
      <c r="K280" s="24">
        <f ca="1">IF(OR(E280="",E280="!!!",F280="NEW"),"",INDEX(J$1:J279,SUMPRODUCT(MAX(ROW(E$1:E279)*(E280=E$1:E279)))))</f>
        <v>0</v>
      </c>
      <c r="L280" s="25"/>
    </row>
    <row r="281" spans="1:12" x14ac:dyDescent="0.3">
      <c r="A281" t="s">
        <v>246</v>
      </c>
      <c r="E281" s="20" t="str">
        <f t="shared" si="23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2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247</v>
      </c>
      <c r="E282" s="20" t="str">
        <f t="shared" si="23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2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138</v>
      </c>
      <c r="E283" s="20" t="str">
        <f t="shared" si="23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2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5" spans="1:12" x14ac:dyDescent="0.3">
      <c r="A285" t="s">
        <v>248</v>
      </c>
    </row>
    <row r="286" spans="1:12" x14ac:dyDescent="0.3">
      <c r="A286" t="s">
        <v>249</v>
      </c>
      <c r="E286" s="20" t="str">
        <f t="shared" ref="E286:E319" si="24">IF(D286="?OLD","!!!","")</f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ref="H286:H319" ca="1" si="25">IF(J286&lt;&gt;1,"",IF(I286="SBJ","CB","?"))</f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250</v>
      </c>
      <c r="B287" s="26" t="s">
        <v>99</v>
      </c>
      <c r="C287" s="26" t="s">
        <v>100</v>
      </c>
      <c r="D287" s="26" t="s">
        <v>101</v>
      </c>
      <c r="E287" s="20" t="s">
        <v>355</v>
      </c>
      <c r="F287" s="21" t="str">
        <f>IF(OR(E287="",E287="!!!"),"",IF(NOT(ISNA(VLOOKUP(E287,E$1:E286,1,FALSE()))),"OLD",IF(AND(E287&lt;&gt;"",E287&lt;&gt;"!!!"),"NEW","")))</f>
        <v>NEW</v>
      </c>
      <c r="G287" s="22" t="s">
        <v>365</v>
      </c>
      <c r="H287" s="23" t="str">
        <f t="shared" ca="1" si="25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114</v>
      </c>
      <c r="E288" s="20" t="str">
        <f t="shared" si="24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5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169</v>
      </c>
      <c r="B289" s="26" t="s">
        <v>105</v>
      </c>
      <c r="C289" s="26" t="s">
        <v>142</v>
      </c>
      <c r="D289" s="26" t="s">
        <v>101</v>
      </c>
      <c r="E289" s="20" t="s">
        <v>340</v>
      </c>
      <c r="F289" s="21" t="str">
        <f>IF(OR(E289="",E289="!!!"),"",IF(NOT(ISNA(VLOOKUP(E289,E$1:E288,1,FALSE()))),"OLD",IF(AND(E289&lt;&gt;"",E289&lt;&gt;"!!!"),"NEW","")))</f>
        <v>OLD</v>
      </c>
      <c r="G289" s="22" t="s">
        <v>366</v>
      </c>
      <c r="H289" s="23" t="str">
        <f t="shared" ca="1" si="25"/>
        <v/>
      </c>
      <c r="I289" s="24" t="str">
        <f>IF(OR(E289="",E289="!!!",F289="NEW"),"",INDEX(B$2:B288,-1+SUMPRODUCT(MAX(ROW(E$2:E288)*(E289=E$2:E288)))))</f>
        <v>other_3</v>
      </c>
      <c r="J289" s="24">
        <f ca="1">IF(OR(E289="",E289="!!!",F289="NEW"),"",COUNTBLANK(OFFSET(A$1,,,SUMPRODUCT(MAX(ROW(E$2:E289)*(E289=E$2:E289)))))-COUNTBLANK(OFFSET(A$1,,,SUMPRODUCT(MAX(ROW(E$1:E288)*(E2=E$1:E288))))))</f>
        <v>0</v>
      </c>
      <c r="K289" s="24" t="str">
        <f ca="1">IF(OR(E289="",E289="!!!",F289="NEW"),"",INDEX(J$1:J288,SUMPRODUCT(MAX(ROW(E$1:E288)*(E289=E$1:E288)))))</f>
        <v/>
      </c>
      <c r="L289" s="25"/>
    </row>
    <row r="290" spans="1:12" x14ac:dyDescent="0.3">
      <c r="A290" t="s">
        <v>107</v>
      </c>
      <c r="E290" s="20" t="str">
        <f t="shared" si="24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5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209</v>
      </c>
      <c r="B291" s="26" t="s">
        <v>230</v>
      </c>
      <c r="E291" s="20" t="str">
        <f t="shared" si="24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5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251</v>
      </c>
      <c r="E292" s="20" t="str">
        <f t="shared" si="24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5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252</v>
      </c>
      <c r="E293" s="20" t="str">
        <f t="shared" si="24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5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124</v>
      </c>
      <c r="E294" s="20" t="str">
        <f t="shared" si="24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5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107</v>
      </c>
      <c r="E295" s="20" t="str">
        <f t="shared" si="24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5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253</v>
      </c>
      <c r="E296" s="20" t="str">
        <f t="shared" si="24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5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173</v>
      </c>
      <c r="E297" s="20" t="str">
        <f t="shared" si="24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5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254</v>
      </c>
      <c r="E298" s="20" t="str">
        <f t="shared" si="24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5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177</v>
      </c>
      <c r="B299" s="26" t="s">
        <v>110</v>
      </c>
      <c r="C299" s="26" t="s">
        <v>119</v>
      </c>
      <c r="E299" s="20" t="str">
        <f t="shared" si="24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5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114</v>
      </c>
      <c r="E300" s="20" t="str">
        <f t="shared" si="24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5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255</v>
      </c>
      <c r="E301" s="20" t="str">
        <f t="shared" si="24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25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141</v>
      </c>
      <c r="B302" s="26" t="s">
        <v>105</v>
      </c>
      <c r="C302" s="26" t="s">
        <v>154</v>
      </c>
      <c r="E302" s="20" t="s">
        <v>335</v>
      </c>
      <c r="F302" s="21" t="str">
        <f>IF(OR(E302="",E302="!!!"),"",IF(NOT(ISNA(VLOOKUP(E302,E$1:E301,1,FALSE()))),"OLD",IF(AND(E302&lt;&gt;"",E302&lt;&gt;"!!!"),"NEW","")))</f>
        <v>OLD</v>
      </c>
      <c r="G302" s="22" t="s">
        <v>367</v>
      </c>
      <c r="H302" s="23" t="s">
        <v>92</v>
      </c>
      <c r="I302" s="24" t="str">
        <f>IF(OR(E302="",E302="!!!",F302="NEW"),"",INDEX(B$2:B301,-1+SUMPRODUCT(MAX(ROW(E$2:E301)*(E302=E$2:E301)))))</f>
        <v>SBJ_2</v>
      </c>
      <c r="J302" s="24">
        <f ca="1">IF(OR(E302="",E302="!!!",F302="NEW"),"",COUNTBLANK(OFFSET(A$1,,,SUMPRODUCT(MAX(ROW(E$2:E302)*(E302=E$2:E302)))))-COUNTBLANK(OFFSET(A$1,,,SUMPRODUCT(MAX(ROW(E$1:E301)*(E2=E$1:E301))))))</f>
        <v>0</v>
      </c>
      <c r="K302" s="24">
        <f ca="1">IF(OR(E302="",E302="!!!",F302="NEW"),"",INDEX(J$1:J301,SUMPRODUCT(MAX(ROW(E$1:E301)*(E302=E$1:E301)))))</f>
        <v>0</v>
      </c>
      <c r="L302" s="25"/>
    </row>
    <row r="303" spans="1:12" x14ac:dyDescent="0.3">
      <c r="A303" t="s">
        <v>107</v>
      </c>
      <c r="E303" s="20" t="str">
        <f t="shared" si="24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25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256</v>
      </c>
      <c r="E304" s="20" t="str">
        <f t="shared" si="24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5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114</v>
      </c>
      <c r="E305" s="20" t="str">
        <f t="shared" si="24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5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257</v>
      </c>
      <c r="E306" s="20" t="str">
        <f t="shared" si="24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5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147</v>
      </c>
      <c r="E307" s="20" t="str">
        <f t="shared" si="24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25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148</v>
      </c>
      <c r="E308" s="20" t="str">
        <f t="shared" si="24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5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258</v>
      </c>
      <c r="E309" s="20" t="str">
        <f t="shared" si="24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5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259</v>
      </c>
      <c r="E310" s="20" t="str">
        <f t="shared" si="24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5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177</v>
      </c>
      <c r="B311" s="26" t="s">
        <v>136</v>
      </c>
      <c r="C311" s="26" t="s">
        <v>119</v>
      </c>
      <c r="E311" s="20" t="str">
        <f t="shared" si="24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5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114</v>
      </c>
      <c r="E312" s="20" t="str">
        <f t="shared" si="24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25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260</v>
      </c>
      <c r="B313" s="26" t="s">
        <v>126</v>
      </c>
      <c r="C313" s="26" t="s">
        <v>106</v>
      </c>
      <c r="E313" s="20" t="s">
        <v>352</v>
      </c>
      <c r="F313" s="21" t="str">
        <f>IF(OR(E313="",E313="!!!"),"",IF(NOT(ISNA(VLOOKUP(E313,E$1:E312,1,FALSE()))),"OLD",IF(AND(E313&lt;&gt;"",E313&lt;&gt;"!!!"),"NEW","")))</f>
        <v>NEW</v>
      </c>
      <c r="G313" s="22" t="s">
        <v>366</v>
      </c>
      <c r="H313" s="23" t="str">
        <f t="shared" ca="1" si="25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 t="s">
        <v>346</v>
      </c>
    </row>
    <row r="314" spans="1:12" x14ac:dyDescent="0.3">
      <c r="A314" t="s">
        <v>132</v>
      </c>
      <c r="E314" s="20" t="str">
        <f t="shared" si="24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5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204</v>
      </c>
      <c r="E315" s="20" t="str">
        <f t="shared" si="24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5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261</v>
      </c>
      <c r="E316" s="20" t="str">
        <f t="shared" si="24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5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262</v>
      </c>
      <c r="E317" s="20" t="str">
        <f t="shared" si="24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5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175</v>
      </c>
      <c r="B318" s="26" t="s">
        <v>126</v>
      </c>
      <c r="C318" s="26" t="s">
        <v>263</v>
      </c>
      <c r="D318" s="26" t="s">
        <v>101</v>
      </c>
      <c r="E318" s="20" t="s">
        <v>356</v>
      </c>
      <c r="F318" s="21" t="s">
        <v>357</v>
      </c>
      <c r="G318" s="22" t="s">
        <v>365</v>
      </c>
      <c r="H318" s="23" t="str">
        <f t="shared" ca="1" si="25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138</v>
      </c>
      <c r="E319" s="20" t="str">
        <f t="shared" si="24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1" spans="1:12" x14ac:dyDescent="0.3">
      <c r="A321" t="s">
        <v>264</v>
      </c>
      <c r="E321" s="20" t="str">
        <f>IF(D321="?OLD","!!!","")</f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ca="1">IF(J321&lt;&gt;1,"",IF(I321="SBJ","CB","?"))</f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265</v>
      </c>
    </row>
    <row r="323" spans="1:12" x14ac:dyDescent="0.3">
      <c r="A323" t="s">
        <v>266</v>
      </c>
      <c r="B323" s="26" t="s">
        <v>105</v>
      </c>
      <c r="C323" s="26" t="s">
        <v>106</v>
      </c>
      <c r="E323" s="20" t="str">
        <f t="shared" ref="E323:E363" si="26">IF(D323="?OLD","!!!","")</f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ref="H323:H363" ca="1" si="27">IF(J323&lt;&gt;1,"",IF(I323="SBJ","CB","?"))</f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267</v>
      </c>
      <c r="B324" s="26" t="s">
        <v>99</v>
      </c>
      <c r="C324" s="26" t="s">
        <v>142</v>
      </c>
      <c r="D324" s="26" t="s">
        <v>101</v>
      </c>
      <c r="E324" s="20" t="s">
        <v>351</v>
      </c>
      <c r="F324" s="21" t="str">
        <f>IF(OR(E324="",E324="!!!"),"",IF(NOT(ISNA(VLOOKUP(E324,E$1:E323,1,FALSE()))),"OLD",IF(AND(E324&lt;&gt;"",E324&lt;&gt;"!!!"),"NEW","")))</f>
        <v>NEW</v>
      </c>
      <c r="G324" s="22" t="s">
        <v>365</v>
      </c>
      <c r="H324" s="23" t="str">
        <f t="shared" ca="1" si="27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268</v>
      </c>
      <c r="E325" s="20" t="str">
        <f t="shared" si="26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27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107</v>
      </c>
      <c r="E326" s="20" t="str">
        <f t="shared" si="26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7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269</v>
      </c>
      <c r="B327" s="26" t="s">
        <v>105</v>
      </c>
      <c r="C327" s="26" t="s">
        <v>244</v>
      </c>
      <c r="D327" s="26" t="s">
        <v>101</v>
      </c>
      <c r="E327" s="20"/>
      <c r="F327" s="21" t="s">
        <v>338</v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7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170</v>
      </c>
      <c r="E328" s="20" t="str">
        <f t="shared" si="26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7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169</v>
      </c>
      <c r="B329" s="26" t="s">
        <v>136</v>
      </c>
      <c r="C329" s="26" t="s">
        <v>142</v>
      </c>
      <c r="D329" s="26" t="s">
        <v>101</v>
      </c>
      <c r="E329" s="20" t="s">
        <v>340</v>
      </c>
      <c r="F329" s="21" t="str">
        <f>IF(OR(E329="",E329="!!!"),"",IF(NOT(ISNA(VLOOKUP(E329,E$1:E328,1,FALSE()))),"OLD",IF(AND(E329&lt;&gt;"",E329&lt;&gt;"!!!"),"NEW","")))</f>
        <v>OLD</v>
      </c>
      <c r="G329" s="22" t="s">
        <v>369</v>
      </c>
      <c r="H329" s="23" t="str">
        <f t="shared" ca="1" si="27"/>
        <v/>
      </c>
      <c r="I329" s="24" t="str">
        <f>IF(OR(E329="",E329="!!!",F329="NEW"),"",INDEX(B$2:B328,-1+SUMPRODUCT(MAX(ROW(E$2:E328)*(E329=E$2:E328)))))</f>
        <v>other_2</v>
      </c>
      <c r="J329" s="24">
        <f ca="1">IF(OR(E329="",E329="!!!",F329="NEW"),"",COUNTBLANK(OFFSET(A$1,,,SUMPRODUCT(MAX(ROW(E$2:E329)*(E329=E$2:E329)))))-COUNTBLANK(OFFSET(A$1,,,SUMPRODUCT(MAX(ROW(E$1:E328)*(E2=E$1:E328))))))</f>
        <v>0</v>
      </c>
      <c r="K329" s="24">
        <f ca="1">IF(OR(E329="",E329="!!!",F329="NEW"),"",INDEX(J$1:J328,SUMPRODUCT(MAX(ROW(E$1:E328)*(E329=E$1:E328)))))</f>
        <v>0</v>
      </c>
      <c r="L329" s="25"/>
    </row>
    <row r="330" spans="1:12" x14ac:dyDescent="0.3">
      <c r="A330" t="s">
        <v>270</v>
      </c>
      <c r="B330" s="26" t="s">
        <v>126</v>
      </c>
      <c r="C330" s="26" t="s">
        <v>142</v>
      </c>
      <c r="D330" s="26" t="s">
        <v>101</v>
      </c>
      <c r="E330" s="20" t="s">
        <v>353</v>
      </c>
      <c r="F330" s="21" t="str">
        <f>IF(OR(E330="",E330="!!!"),"",IF(NOT(ISNA(VLOOKUP(E330,E$1:E329,1,FALSE()))),"OLD",IF(AND(E330&lt;&gt;"",E330&lt;&gt;"!!!"),"NEW","")))</f>
        <v>NEW</v>
      </c>
      <c r="G330" s="22" t="s">
        <v>365</v>
      </c>
      <c r="H330" s="23" t="str">
        <f t="shared" ca="1" si="27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271</v>
      </c>
      <c r="E331" s="20" t="str">
        <f t="shared" si="26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7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272</v>
      </c>
      <c r="E332" s="20" t="str">
        <f t="shared" si="26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7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273</v>
      </c>
      <c r="E333" s="20" t="str">
        <f t="shared" si="26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7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274</v>
      </c>
      <c r="E334" s="20" t="str">
        <f t="shared" si="26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7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209</v>
      </c>
      <c r="E335" s="20" t="str">
        <f t="shared" si="26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7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275</v>
      </c>
      <c r="B336" s="26" t="s">
        <v>105</v>
      </c>
      <c r="C336" s="26" t="s">
        <v>100</v>
      </c>
      <c r="D336" s="26" t="s">
        <v>101</v>
      </c>
      <c r="E336" s="20"/>
      <c r="F336" s="21" t="s">
        <v>336</v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7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114</v>
      </c>
      <c r="E337" s="20" t="str">
        <f t="shared" si="26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27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276</v>
      </c>
      <c r="B338" s="26" t="s">
        <v>136</v>
      </c>
      <c r="C338" s="26" t="s">
        <v>106</v>
      </c>
      <c r="E338" s="20" t="str">
        <f t="shared" si="2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68</v>
      </c>
      <c r="E339" s="20" t="str">
        <f t="shared" si="26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191</v>
      </c>
      <c r="E340" s="20" t="str">
        <f t="shared" si="2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192</v>
      </c>
      <c r="B341" s="26" t="s">
        <v>179</v>
      </c>
      <c r="C341" s="26" t="s">
        <v>119</v>
      </c>
      <c r="E341" s="20" t="str">
        <f t="shared" si="26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7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277</v>
      </c>
      <c r="B342" s="26" t="s">
        <v>126</v>
      </c>
      <c r="C342" s="26" t="s">
        <v>188</v>
      </c>
      <c r="E342" s="20" t="str">
        <f t="shared" si="26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7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146</v>
      </c>
      <c r="B343" s="26" t="s">
        <v>136</v>
      </c>
      <c r="C343" s="26" t="s">
        <v>154</v>
      </c>
      <c r="E343" s="20" t="s">
        <v>343</v>
      </c>
      <c r="F343" s="21" t="str">
        <f>IF(OR(E343="",E343="!!!"),"",IF(NOT(ISNA(VLOOKUP(E343,E$1:E342,1,FALSE()))),"OLD",IF(AND(E343&lt;&gt;"",E343&lt;&gt;"!!!"),"NEW","")))</f>
        <v>OLD</v>
      </c>
      <c r="G343" s="22" t="s">
        <v>366</v>
      </c>
      <c r="H343" s="23" t="str">
        <f t="shared" ca="1" si="27"/>
        <v/>
      </c>
      <c r="I343" s="24" t="str">
        <f>IF(OR(E343="",E343="!!!",F343="NEW"),"",INDEX(B$2:B342,-1+SUMPRODUCT(MAX(ROW(E$2:E342)*(E343=E$2:E342)))))</f>
        <v>SBJ</v>
      </c>
      <c r="J343" s="24">
        <f ca="1">IF(OR(E343="",E343="!!!",F343="NEW"),"",COUNTBLANK(OFFSET(A$1,,,SUMPRODUCT(MAX(ROW(E$2:E343)*(E343=E$2:E343)))))-COUNTBLANK(OFFSET(A$1,,,SUMPRODUCT(MAX(ROW(E$1:E342)*(E2=E$1:E342))))))</f>
        <v>0</v>
      </c>
      <c r="K343" s="24">
        <f ca="1">IF(OR(E343="",E343="!!!",F343="NEW"),"",INDEX(J$1:J342,SUMPRODUCT(MAX(ROW(E$1:E342)*(E343=E$1:E342)))))</f>
        <v>0</v>
      </c>
      <c r="L343" s="25"/>
    </row>
    <row r="344" spans="1:12" x14ac:dyDescent="0.3">
      <c r="A344" t="s">
        <v>107</v>
      </c>
      <c r="E344" s="20" t="str">
        <f t="shared" si="26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7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204</v>
      </c>
      <c r="B345" s="26" t="s">
        <v>278</v>
      </c>
      <c r="E345" s="20" t="str">
        <f t="shared" si="26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7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133</v>
      </c>
      <c r="E346" s="20" t="str">
        <f t="shared" si="26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7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157</v>
      </c>
      <c r="B347" s="26" t="s">
        <v>279</v>
      </c>
      <c r="C347" s="26" t="s">
        <v>119</v>
      </c>
      <c r="E347" s="20" t="s">
        <v>358</v>
      </c>
      <c r="F347" s="21" t="str">
        <f>IF(OR(E347="",E347="!!!"),"",IF(NOT(ISNA(VLOOKUP(E347,E$1:E346,1,FALSE()))),"OLD",IF(AND(E347&lt;&gt;"",E347&lt;&gt;"!!!"),"NEW","")))</f>
        <v>OLD</v>
      </c>
      <c r="G347" s="22" t="s">
        <v>366</v>
      </c>
      <c r="H347" s="23" t="str">
        <f t="shared" ca="1" si="27"/>
        <v/>
      </c>
      <c r="I347" s="24" t="str">
        <f>IF(OR(E347="",E347="!!!",F347="NEW"),"",INDEX(B$2:B346,-1+SUMPRODUCT(MAX(ROW(E$2:E346)*(E347=E$2:E346)))))</f>
        <v>OBJ_2</v>
      </c>
      <c r="J347" s="24">
        <f ca="1">IF(OR(E347="",E347="!!!",F347="NEW"),"",COUNTBLANK(OFFSET(A$1,,,SUMPRODUCT(MAX(ROW(E$2:E347)*(E347=E$2:E347)))))-COUNTBLANK(OFFSET(A$1,,,SUMPRODUCT(MAX(ROW(E$1:E346)*(E2=E$1:E346))))))</f>
        <v>0</v>
      </c>
      <c r="K347" s="24">
        <f ca="1">IF(OR(E347="",E347="!!!",F347="NEW"),"",INDEX(J$1:J346,SUMPRODUCT(MAX(ROW(E$1:E346)*(E347=E$1:E346)))))</f>
        <v>0</v>
      </c>
      <c r="L347" s="25"/>
    </row>
    <row r="348" spans="1:12" x14ac:dyDescent="0.3">
      <c r="A348" t="s">
        <v>280</v>
      </c>
      <c r="E348" s="20" t="str">
        <f t="shared" si="26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7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68</v>
      </c>
      <c r="E349" s="20" t="str">
        <f t="shared" si="26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7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107</v>
      </c>
      <c r="E350" s="20" t="str">
        <f t="shared" si="26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7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133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164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157</v>
      </c>
      <c r="B353" s="26" t="s">
        <v>105</v>
      </c>
      <c r="C353" s="26" t="s">
        <v>119</v>
      </c>
      <c r="E353" s="20" t="s">
        <v>358</v>
      </c>
      <c r="F353" s="21" t="str">
        <f>IF(OR(E353="",E353="!!!"),"",IF(NOT(ISNA(VLOOKUP(E353,E$1:E352,1,FALSE()))),"OLD",IF(AND(E353&lt;&gt;"",E353&lt;&gt;"!!!"),"NEW","")))</f>
        <v>OLD</v>
      </c>
      <c r="G353" s="22" t="s">
        <v>367</v>
      </c>
      <c r="H353" s="23" t="str">
        <f t="shared" ca="1" si="27"/>
        <v/>
      </c>
      <c r="I353" s="24" t="str">
        <f>IF(OR(E353="",E353="!!!",F353="NEW"),"",INDEX(B$2:B352,-1+SUMPRODUCT(MAX(ROW(E$2:E352)*(E353=E$2:E352)))))</f>
        <v>OBJ_4</v>
      </c>
      <c r="J353" s="24">
        <f ca="1">IF(OR(E353="",E353="!!!",F353="NEW"),"",COUNTBLANK(OFFSET(A$1,,,SUMPRODUCT(MAX(ROW(E$2:E353)*(E353=E$2:E353)))))-COUNTBLANK(OFFSET(A$1,,,SUMPRODUCT(MAX(ROW(E$1:E352)*(E2=E$1:E352))))))</f>
        <v>0</v>
      </c>
      <c r="K353" s="24">
        <f ca="1">IF(OR(E353="",E353="!!!",F353="NEW"),"",INDEX(J$1:J352,SUMPRODUCT(MAX(ROW(E$1:E352)*(E353=E$1:E352)))))</f>
        <v>0</v>
      </c>
      <c r="L353" s="25"/>
    </row>
    <row r="354" spans="1:12" x14ac:dyDescent="0.3">
      <c r="A354" t="s">
        <v>163</v>
      </c>
      <c r="E354" s="20" t="str">
        <f t="shared" si="26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133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194</v>
      </c>
      <c r="B356" s="26" t="s">
        <v>136</v>
      </c>
      <c r="C356" s="26" t="s">
        <v>119</v>
      </c>
      <c r="E356" s="20" t="s">
        <v>363</v>
      </c>
      <c r="F356" s="21" t="str">
        <f>IF(OR(E356="",E356="!!!"),"",IF(NOT(ISNA(VLOOKUP(E356,E$1:E355,1,FALSE()))),"OLD",IF(AND(E356&lt;&gt;"",E356&lt;&gt;"!!!"),"NEW","")))</f>
        <v>OLD</v>
      </c>
      <c r="G356" s="22" t="s">
        <v>366</v>
      </c>
      <c r="H356" s="23" t="str">
        <f t="shared" ca="1" si="27"/>
        <v/>
      </c>
      <c r="I356" s="24" t="str">
        <f>IF(OR(E356="",E356="!!!",F356="NEW"),"",INDEX(B$2:B355,-1+SUMPRODUCT(MAX(ROW(E$2:E355)*(E356=E$2:E355)))))</f>
        <v>OBJ_2</v>
      </c>
      <c r="J356" s="24">
        <f ca="1">IF(OR(E356="",E356="!!!",F356="NEW"),"",COUNTBLANK(OFFSET(A$1,,,SUMPRODUCT(MAX(ROW(E$2:E356)*(E356=E$2:E356)))))-COUNTBLANK(OFFSET(A$1,,,SUMPRODUCT(MAX(ROW(E$1:E355)*(E2=E$1:E355))))))</f>
        <v>0</v>
      </c>
      <c r="K356" s="24">
        <f ca="1">IF(OR(E356="",E356="!!!",F356="NEW"),"",INDEX(J$1:J355,SUMPRODUCT(MAX(ROW(E$1:E355)*(E356=E$1:E355)))))</f>
        <v>0</v>
      </c>
      <c r="L356" s="25"/>
    </row>
    <row r="357" spans="1:12" x14ac:dyDescent="0.3">
      <c r="A357" t="s">
        <v>12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281</v>
      </c>
      <c r="E358" s="20" t="str">
        <f t="shared" si="26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27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147</v>
      </c>
      <c r="E359" s="20" t="str">
        <f t="shared" si="26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27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282</v>
      </c>
      <c r="E360" s="20" t="str">
        <f t="shared" si="26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27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283</v>
      </c>
      <c r="B361" s="26" t="s">
        <v>136</v>
      </c>
      <c r="C361" s="26" t="s">
        <v>106</v>
      </c>
      <c r="E361" s="20" t="str">
        <f t="shared" si="26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7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138</v>
      </c>
      <c r="E362" s="20" t="str">
        <f t="shared" si="26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7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273</v>
      </c>
      <c r="E363" s="20" t="str">
        <f t="shared" si="26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27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5" spans="1:12" x14ac:dyDescent="0.3">
      <c r="A365" t="s">
        <v>284</v>
      </c>
    </row>
    <row r="366" spans="1:12" x14ac:dyDescent="0.3">
      <c r="A366" t="s">
        <v>167</v>
      </c>
      <c r="E366" s="20" t="str">
        <f t="shared" ref="E366:E382" si="28">IF(D366="?OLD","!!!","")</f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ref="H366:H382" ca="1" si="29">IF(J366&lt;&gt;1,"",IF(I366="SBJ","CB","?"))</f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285</v>
      </c>
      <c r="B367" s="26" t="s">
        <v>99</v>
      </c>
      <c r="C367" s="26" t="s">
        <v>100</v>
      </c>
      <c r="D367" s="26" t="s">
        <v>101</v>
      </c>
      <c r="E367" s="20"/>
      <c r="F367" s="21" t="s">
        <v>336</v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286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117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287</v>
      </c>
      <c r="E370" s="20" t="str">
        <f t="shared" si="28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157</v>
      </c>
      <c r="B371" s="26" t="s">
        <v>105</v>
      </c>
      <c r="C371" s="26" t="s">
        <v>119</v>
      </c>
      <c r="E371" s="20" t="s">
        <v>358</v>
      </c>
      <c r="F371" s="21" t="str">
        <f>IF(OR(E371="",E371="!!!"),"",IF(NOT(ISNA(VLOOKUP(E371,E$1:E370,1,FALSE()))),"OLD",IF(AND(E371&lt;&gt;"",E371&lt;&gt;"!!!"),"NEW","")))</f>
        <v>OLD</v>
      </c>
      <c r="G371" s="22" t="s">
        <v>369</v>
      </c>
      <c r="H371" s="23" t="s">
        <v>92</v>
      </c>
      <c r="I371" s="24" t="str">
        <f>IF(OR(E371="",E371="!!!",F371="NEW"),"",INDEX(B$2:B370,-1+SUMPRODUCT(MAX(ROW(E$2:E370)*(E371=E$2:E370)))))</f>
        <v>other_2</v>
      </c>
      <c r="J371" s="24">
        <f ca="1">IF(OR(E371="",E371="!!!",F371="NEW"),"",COUNTBLANK(OFFSET(A$1,,,SUMPRODUCT(MAX(ROW(E$2:E371)*(E371=E$2:E371)))))-COUNTBLANK(OFFSET(A$1,,,SUMPRODUCT(MAX(ROW(E$1:E370)*(E2=E$1:E370))))))</f>
        <v>0</v>
      </c>
      <c r="K371" s="24">
        <f ca="1">IF(OR(E371="",E371="!!!",F371="NEW"),"",INDEX(J$1:J370,SUMPRODUCT(MAX(ROW(E$1:E370)*(E371=E$1:E370)))))</f>
        <v>0</v>
      </c>
      <c r="L371" s="25"/>
    </row>
    <row r="372" spans="1:12" x14ac:dyDescent="0.3">
      <c r="A372" t="s">
        <v>111</v>
      </c>
      <c r="E372" s="20" t="str">
        <f t="shared" si="28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9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288</v>
      </c>
      <c r="E373" s="20" t="str">
        <f t="shared" si="28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9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289</v>
      </c>
      <c r="E374" s="20" t="str">
        <f t="shared" si="28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9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290</v>
      </c>
      <c r="B375" s="26" t="s">
        <v>110</v>
      </c>
      <c r="C375" s="26" t="s">
        <v>106</v>
      </c>
      <c r="E375" s="20" t="str">
        <f t="shared" si="28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9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291</v>
      </c>
      <c r="E376" s="20" t="str">
        <f t="shared" si="28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9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204</v>
      </c>
      <c r="E377" s="20" t="str">
        <f t="shared" si="28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9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292</v>
      </c>
      <c r="B378" s="26" t="s">
        <v>105</v>
      </c>
      <c r="C378" s="26" t="s">
        <v>100</v>
      </c>
      <c r="D378" s="26" t="s">
        <v>101</v>
      </c>
      <c r="E378" s="20"/>
      <c r="F378" s="21" t="s">
        <v>336</v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9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148</v>
      </c>
      <c r="E379" s="20" t="str">
        <f t="shared" si="28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9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293</v>
      </c>
      <c r="B380" s="26" t="s">
        <v>136</v>
      </c>
      <c r="C380" s="26" t="s">
        <v>119</v>
      </c>
      <c r="E380" s="20" t="str">
        <f t="shared" si="28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68</v>
      </c>
      <c r="E381" s="20" t="str">
        <f t="shared" si="2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138</v>
      </c>
      <c r="E382" s="20" t="str">
        <f t="shared" si="2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4" spans="1:12" x14ac:dyDescent="0.3">
      <c r="A384" t="s">
        <v>294</v>
      </c>
    </row>
    <row r="385" spans="1:12" x14ac:dyDescent="0.3">
      <c r="A385" t="s">
        <v>167</v>
      </c>
      <c r="E385" s="20" t="str">
        <f t="shared" ref="E385:E412" si="30">IF(D385="?OLD","!!!","")</f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ref="H385:H412" ca="1" si="31">IF(J385&lt;&gt;1,"",IF(I385="SBJ","CB","?"))</f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295</v>
      </c>
      <c r="B386" s="26" t="s">
        <v>99</v>
      </c>
      <c r="C386" s="26" t="s">
        <v>100</v>
      </c>
      <c r="D386" s="26" t="s">
        <v>101</v>
      </c>
      <c r="E386" s="20"/>
      <c r="F386" s="21" t="s">
        <v>354</v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1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296</v>
      </c>
      <c r="E387" s="20" t="str">
        <f t="shared" si="30"/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31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107</v>
      </c>
      <c r="E388" s="20" t="str">
        <f t="shared" si="30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31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297</v>
      </c>
      <c r="E389" s="20" t="str">
        <f t="shared" si="30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1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141</v>
      </c>
      <c r="B390" s="26" t="s">
        <v>160</v>
      </c>
      <c r="C390" s="26" t="s">
        <v>142</v>
      </c>
      <c r="D390" s="26" t="s">
        <v>101</v>
      </c>
      <c r="E390" s="20" t="s">
        <v>335</v>
      </c>
      <c r="F390" s="21" t="str">
        <f>IF(OR(E390="",E390="!!!"),"",IF(NOT(ISNA(VLOOKUP(E390,E$1:E389,1,FALSE()))),"OLD",IF(AND(E390&lt;&gt;"",E390&lt;&gt;"!!!"),"NEW","")))</f>
        <v>OLD</v>
      </c>
      <c r="G390" s="22" t="s">
        <v>366</v>
      </c>
      <c r="H390" s="23" t="str">
        <f t="shared" ca="1" si="31"/>
        <v/>
      </c>
      <c r="I390" s="24" t="str">
        <f>IF(OR(E390="",E390="!!!",F390="NEW"),"",INDEX(B$2:B389,-1+SUMPRODUCT(MAX(ROW(E$2:E389)*(E390=E$2:E389)))))</f>
        <v>other_2</v>
      </c>
      <c r="J390" s="24">
        <f ca="1">IF(OR(E390="",E390="!!!",F390="NEW"),"",COUNTBLANK(OFFSET(A$1,,,SUMPRODUCT(MAX(ROW(E$2:E390)*(E390=E$2:E390)))))-COUNTBLANK(OFFSET(A$1,,,SUMPRODUCT(MAX(ROW(E$1:E389)*(E2=E$1:E389))))))</f>
        <v>0</v>
      </c>
      <c r="K390" s="24">
        <f ca="1">IF(OR(E390="",E390="!!!",F390="NEW"),"",INDEX(J$1:J389,SUMPRODUCT(MAX(ROW(E$1:E389)*(E390=E$1:E389)))))</f>
        <v>0</v>
      </c>
      <c r="L390" s="25"/>
    </row>
    <row r="391" spans="1:12" x14ac:dyDescent="0.3">
      <c r="A391" t="s">
        <v>201</v>
      </c>
      <c r="E391" s="20" t="str">
        <f t="shared" si="30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1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298</v>
      </c>
      <c r="B392" s="26" t="s">
        <v>105</v>
      </c>
      <c r="C392" s="26" t="s">
        <v>106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147</v>
      </c>
      <c r="E393" s="20" t="str">
        <f t="shared" si="30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260</v>
      </c>
      <c r="B394" s="26" t="s">
        <v>136</v>
      </c>
      <c r="C394" s="26" t="s">
        <v>106</v>
      </c>
      <c r="E394" s="20" t="s">
        <v>352</v>
      </c>
      <c r="F394" s="21" t="str">
        <f>IF(OR(E394="",E394="!!!"),"",IF(NOT(ISNA(VLOOKUP(E394,E$1:E393,1,FALSE()))),"OLD",IF(AND(E394&lt;&gt;"",E394&lt;&gt;"!!!"),"NEW","")))</f>
        <v>OLD</v>
      </c>
      <c r="G394" s="22" t="s">
        <v>366</v>
      </c>
      <c r="H394" s="23" t="str">
        <f t="shared" ca="1" si="31"/>
        <v/>
      </c>
      <c r="I394" s="24" t="str">
        <f>IF(OR(E394="",E394="!!!",F394="NEW"),"",INDEX(B$2:B393,-1+SUMPRODUCT(MAX(ROW(E$2:E393)*(E394=E$2:E393)))))</f>
        <v>other_4</v>
      </c>
      <c r="J394" s="24">
        <f ca="1">IF(OR(E394="",E394="!!!",F394="NEW"),"",COUNTBLANK(OFFSET(A$1,,,SUMPRODUCT(MAX(ROW(E$2:E394)*(E394=E$2:E394)))))-COUNTBLANK(OFFSET(A$1,,,SUMPRODUCT(MAX(ROW(E$1:E393)*(E2=E$1:E393))))))</f>
        <v>0</v>
      </c>
      <c r="K394" s="24" t="str">
        <f ca="1">IF(OR(E394="",E394="!!!",F394="NEW"),"",INDEX(J$1:J393,SUMPRODUCT(MAX(ROW(E$1:E393)*(E394=E$1:E393)))))</f>
        <v/>
      </c>
      <c r="L394" s="25"/>
    </row>
    <row r="395" spans="1:12" x14ac:dyDescent="0.3">
      <c r="A395" t="s">
        <v>299</v>
      </c>
      <c r="E395" s="20" t="str">
        <f t="shared" si="3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300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209</v>
      </c>
      <c r="E397" s="20" t="str">
        <f t="shared" si="3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301</v>
      </c>
      <c r="B398" s="26" t="s">
        <v>105</v>
      </c>
      <c r="C398" s="26" t="s">
        <v>100</v>
      </c>
      <c r="D398" s="26" t="s">
        <v>101</v>
      </c>
      <c r="E398" s="20" t="s">
        <v>364</v>
      </c>
      <c r="F398" s="21" t="str">
        <f>IF(OR(E398="",E398="!!!"),"",IF(NOT(ISNA(VLOOKUP(E398,E$1:E397,1,FALSE()))),"OLD",IF(AND(E398&lt;&gt;"",E398&lt;&gt;"!!!"),"NEW","")))</f>
        <v>OLD</v>
      </c>
      <c r="G398" s="22" t="s">
        <v>366</v>
      </c>
      <c r="H398" s="23" t="str">
        <f t="shared" ca="1" si="31"/>
        <v/>
      </c>
      <c r="I398" s="24">
        <f>IF(OR(E398="",E398="!!!",F398="NEW"),"",INDEX(B$2:B397,-1+SUMPRODUCT(MAX(ROW(E$2:E397)*(E398=E$2:E397)))))</f>
        <v>0</v>
      </c>
      <c r="J398" s="24">
        <f ca="1">IF(OR(E398="",E398="!!!",F398="NEW"),"",COUNTBLANK(OFFSET(A$1,,,SUMPRODUCT(MAX(ROW(E$2:E398)*(E398=E$2:E398)))))-COUNTBLANK(OFFSET(A$1,,,SUMPRODUCT(MAX(ROW(E$1:E397)*(E2=E$1:E397))))))</f>
        <v>0</v>
      </c>
      <c r="K398" s="24" t="str">
        <f ca="1">IF(OR(E398="",E398="!!!",F398="NEW"),"",INDEX(J$1:J397,SUMPRODUCT(MAX(ROW(E$1:E397)*(E398=E$1:E397)))))</f>
        <v/>
      </c>
      <c r="L398" s="25"/>
    </row>
    <row r="399" spans="1:12" x14ac:dyDescent="0.3">
      <c r="A399" t="s">
        <v>302</v>
      </c>
      <c r="E399" s="20" t="str">
        <f t="shared" si="3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145</v>
      </c>
      <c r="B400" s="26" t="s">
        <v>136</v>
      </c>
      <c r="C400" s="26" t="s">
        <v>106</v>
      </c>
      <c r="E400" s="20" t="s">
        <v>358</v>
      </c>
      <c r="F400" s="21" t="str">
        <f>IF(OR(E400="",E400="!!!"),"",IF(NOT(ISNA(VLOOKUP(E400,E$1:E399,1,FALSE()))),"OLD",IF(AND(E400&lt;&gt;"",E400&lt;&gt;"!!!"),"NEW","")))</f>
        <v>OLD</v>
      </c>
      <c r="G400" s="22" t="s">
        <v>367</v>
      </c>
      <c r="H400" s="23" t="s">
        <v>92</v>
      </c>
      <c r="I400" s="24" t="str">
        <f>IF(OR(E400="",E400="!!!",F400="NEW"),"",INDEX(B$2:B399,-1+SUMPRODUCT(MAX(ROW(E$2:E399)*(E400=E$2:E399)))))</f>
        <v>other_2</v>
      </c>
      <c r="J400" s="24">
        <f ca="1">IF(OR(E400="",E400="!!!",F400="NEW"),"",COUNTBLANK(OFFSET(A$1,,,SUMPRODUCT(MAX(ROW(E$2:E400)*(E400=E$2:E400)))))-COUNTBLANK(OFFSET(A$1,,,SUMPRODUCT(MAX(ROW(E$1:E399)*(E2=E$1:E399))))))</f>
        <v>0</v>
      </c>
      <c r="K400" s="24">
        <f ca="1">IF(OR(E400="",E400="!!!",F400="NEW"),"",INDEX(J$1:J399,SUMPRODUCT(MAX(ROW(E$1:E399)*(E400=E$1:E399)))))</f>
        <v>0</v>
      </c>
      <c r="L400" s="25"/>
    </row>
    <row r="401" spans="1:12" x14ac:dyDescent="0.3">
      <c r="A401" t="s">
        <v>190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196</v>
      </c>
      <c r="B402" s="26" t="s">
        <v>126</v>
      </c>
      <c r="C402" s="26" t="s">
        <v>106</v>
      </c>
      <c r="E402" s="20" t="s">
        <v>363</v>
      </c>
      <c r="F402" s="21" t="str">
        <f>IF(OR(E402="",E402="!!!"),"",IF(NOT(ISNA(VLOOKUP(E402,E$1:E401,1,FALSE()))),"OLD",IF(AND(E402&lt;&gt;"",E402&lt;&gt;"!!!"),"NEW","")))</f>
        <v>OLD</v>
      </c>
      <c r="G402" s="22" t="s">
        <v>369</v>
      </c>
      <c r="H402" s="23" t="str">
        <f t="shared" ca="1" si="31"/>
        <v/>
      </c>
      <c r="I402" s="24" t="str">
        <f>IF(OR(E402="",E402="!!!",F402="NEW"),"",INDEX(B$2:B401,-1+SUMPRODUCT(MAX(ROW(E$2:E401)*(E402=E$2:E401)))))</f>
        <v>other_3</v>
      </c>
      <c r="J402" s="24">
        <f ca="1">IF(OR(E402="",E402="!!!",F402="NEW"),"",COUNTBLANK(OFFSET(A$1,,,SUMPRODUCT(MAX(ROW(E$2:E402)*(E402=E$2:E402)))))-COUNTBLANK(OFFSET(A$1,,,SUMPRODUCT(MAX(ROW(E$1:E401)*(E2=E$1:E401))))))</f>
        <v>0</v>
      </c>
      <c r="K402" s="24">
        <f ca="1">IF(OR(E402="",E402="!!!",F402="NEW"),"",INDEX(J$1:J401,SUMPRODUCT(MAX(ROW(E$1:E401)*(E402=E$1:E401)))))</f>
        <v>0</v>
      </c>
      <c r="L402" s="25"/>
    </row>
    <row r="403" spans="1:12" x14ac:dyDescent="0.3">
      <c r="A403" t="s">
        <v>300</v>
      </c>
      <c r="E403" s="20" t="str">
        <f t="shared" si="30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129</v>
      </c>
      <c r="B404" s="26" t="s">
        <v>126</v>
      </c>
      <c r="C404" s="26" t="s">
        <v>106</v>
      </c>
      <c r="E404" s="20" t="s">
        <v>343</v>
      </c>
      <c r="F404" s="21" t="str">
        <f>IF(OR(E404="",E404="!!!"),"",IF(NOT(ISNA(VLOOKUP(E404,E$1:E403,1,FALSE()))),"OLD",IF(AND(E404&lt;&gt;"",E404&lt;&gt;"!!!"),"NEW","")))</f>
        <v>OLD</v>
      </c>
      <c r="G404" s="22" t="s">
        <v>369</v>
      </c>
      <c r="H404" s="23" t="str">
        <f t="shared" ca="1" si="31"/>
        <v/>
      </c>
      <c r="I404" s="24" t="str">
        <f>IF(OR(E404="",E404="!!!",F404="NEW"),"",INDEX(B$2:B403,-1+SUMPRODUCT(MAX(ROW(E$2:E403)*(E404=E$2:E403)))))</f>
        <v>other_3</v>
      </c>
      <c r="J404" s="24">
        <f ca="1">IF(OR(E404="",E404="!!!",F404="NEW"),"",COUNTBLANK(OFFSET(A$1,,,SUMPRODUCT(MAX(ROW(E$2:E404)*(E404=E$2:E404)))))-COUNTBLANK(OFFSET(A$1,,,SUMPRODUCT(MAX(ROW(E$1:E403)*(E2=E$1:E403))))))</f>
        <v>0</v>
      </c>
      <c r="K404" s="24">
        <f ca="1">IF(OR(E404="",E404="!!!",F404="NEW"),"",INDEX(J$1:J403,SUMPRODUCT(MAX(ROW(E$1:E403)*(E404=E$1:E403)))))</f>
        <v>0</v>
      </c>
      <c r="L404" s="25"/>
    </row>
    <row r="405" spans="1:12" x14ac:dyDescent="0.3">
      <c r="A405" t="s">
        <v>303</v>
      </c>
      <c r="E405" s="20" t="str">
        <f t="shared" si="30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3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107</v>
      </c>
      <c r="E406" s="20" t="str">
        <f t="shared" si="3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204</v>
      </c>
      <c r="B407" s="26" t="s">
        <v>230</v>
      </c>
      <c r="E407" s="20" t="str">
        <f t="shared" si="30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152</v>
      </c>
      <c r="E408" s="20" t="str">
        <f t="shared" si="3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133</v>
      </c>
      <c r="E409" s="20" t="str">
        <f t="shared" si="30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1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157</v>
      </c>
      <c r="B410" s="26" t="s">
        <v>130</v>
      </c>
      <c r="C410" s="26" t="s">
        <v>119</v>
      </c>
      <c r="E410" s="20" t="s">
        <v>358</v>
      </c>
      <c r="F410" s="21" t="str">
        <f>IF(OR(E410="",E410="!!!"),"",IF(NOT(ISNA(VLOOKUP(E410,E$1:E409,1,FALSE()))),"OLD",IF(AND(E410&lt;&gt;"",E410&lt;&gt;"!!!"),"NEW","")))</f>
        <v>OLD</v>
      </c>
      <c r="G410" s="22" t="s">
        <v>367</v>
      </c>
      <c r="H410" s="23" t="str">
        <f t="shared" ca="1" si="31"/>
        <v/>
      </c>
      <c r="I410" s="24" t="str">
        <f>IF(OR(E410="",E410="!!!",F410="NEW"),"",INDEX(B$2:B409,-1+SUMPRODUCT(MAX(ROW(E$2:E409)*(E410=E$2:E409)))))</f>
        <v>other_3</v>
      </c>
      <c r="J410" s="24">
        <f ca="1">IF(OR(E410="",E410="!!!",F410="NEW"),"",COUNTBLANK(OFFSET(A$1,,,SUMPRODUCT(MAX(ROW(E$2:E410)*(E410=E$2:E410)))))-COUNTBLANK(OFFSET(A$1,,,SUMPRODUCT(MAX(ROW(E$1:E409)*(E2=E$1:E409))))))</f>
        <v>0</v>
      </c>
      <c r="K410" s="24">
        <f ca="1">IF(OR(E410="",E410="!!!",F410="NEW"),"",INDEX(J$1:J409,SUMPRODUCT(MAX(ROW(E$1:E409)*(E410=E$1:E409)))))</f>
        <v>0</v>
      </c>
      <c r="L410" s="25"/>
    </row>
    <row r="411" spans="1:12" x14ac:dyDescent="0.3">
      <c r="A411" t="s">
        <v>231</v>
      </c>
      <c r="E411" s="20" t="str">
        <f t="shared" si="30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1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138</v>
      </c>
      <c r="E412" s="20" t="str">
        <f t="shared" si="30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1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4" spans="1:12" x14ac:dyDescent="0.3">
      <c r="A414" t="s">
        <v>304</v>
      </c>
    </row>
    <row r="415" spans="1:12" x14ac:dyDescent="0.3">
      <c r="A415" t="s">
        <v>305</v>
      </c>
      <c r="E415" s="20" t="str">
        <f t="shared" ref="E415:E445" si="32">IF(D415="?OLD","!!!","")</f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ref="H415:H445" ca="1" si="33">IF(J415&lt;&gt;1,"",IF(I415="SBJ","CB","?"))</f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173</v>
      </c>
      <c r="E416" s="20" t="str">
        <f t="shared" si="32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3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306</v>
      </c>
      <c r="E417" s="20" t="str">
        <f t="shared" si="32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307</v>
      </c>
      <c r="B418" s="26" t="s">
        <v>118</v>
      </c>
      <c r="C418" s="26" t="s">
        <v>119</v>
      </c>
      <c r="E418" s="20" t="s">
        <v>355</v>
      </c>
      <c r="F418" s="21" t="str">
        <f>IF(OR(E418="",E418="!!!"),"",IF(NOT(ISNA(VLOOKUP(E418,E$1:E417,1,FALSE()))),"OLD",IF(AND(E418&lt;&gt;"",E418&lt;&gt;"!!!"),"NEW","")))</f>
        <v>OLD</v>
      </c>
      <c r="G418" s="22" t="s">
        <v>366</v>
      </c>
      <c r="H418" s="23" t="str">
        <f t="shared" ca="1" si="33"/>
        <v/>
      </c>
      <c r="I418" s="24" t="str">
        <f>IF(OR(E418="",E418="!!!",F418="NEW"),"",INDEX(B$2:B417,-1+SUMPRODUCT(MAX(ROW(E$2:E417)*(E418=E$2:E417)))))</f>
        <v>SBJ</v>
      </c>
      <c r="J418" s="24">
        <f ca="1">IF(OR(E418="",E418="!!!",F418="NEW"),"",COUNTBLANK(OFFSET(A$1,,,SUMPRODUCT(MAX(ROW(E$2:E418)*(E418=E$2:E418)))))-COUNTBLANK(OFFSET(A$1,,,SUMPRODUCT(MAX(ROW(E$1:E417)*(E2=E$1:E417))))))</f>
        <v>0</v>
      </c>
      <c r="K418" s="24" t="str">
        <f ca="1">IF(OR(E418="",E418="!!!",F418="NEW"),"",INDEX(J$1:J417,SUMPRODUCT(MAX(ROW(E$1:E417)*(E418=E$1:E417)))))</f>
        <v/>
      </c>
      <c r="L418" s="25"/>
    </row>
    <row r="419" spans="1:12" x14ac:dyDescent="0.3">
      <c r="A419" t="s">
        <v>114</v>
      </c>
      <c r="E419" s="20" t="str">
        <f t="shared" si="3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141</v>
      </c>
      <c r="B420" s="26" t="s">
        <v>105</v>
      </c>
      <c r="C420" s="26" t="s">
        <v>142</v>
      </c>
      <c r="D420" s="26" t="s">
        <v>101</v>
      </c>
      <c r="E420" s="20" t="s">
        <v>335</v>
      </c>
      <c r="F420" s="21" t="str">
        <f>IF(OR(E420="",E420="!!!"),"",IF(NOT(ISNA(VLOOKUP(E420,E$1:E419,1,FALSE()))),"OLD",IF(AND(E420&lt;&gt;"",E420&lt;&gt;"!!!"),"NEW","")))</f>
        <v>OLD</v>
      </c>
      <c r="G420" s="22" t="s">
        <v>367</v>
      </c>
      <c r="H420" s="23" t="s">
        <v>92</v>
      </c>
      <c r="I420" s="24" t="str">
        <f>IF(OR(E420="",E420="!!!",F420="NEW"),"",INDEX(B$2:B419,-1+SUMPRODUCT(MAX(ROW(E$2:E419)*(E420=E$2:E419)))))</f>
        <v>SBJ_2</v>
      </c>
      <c r="J420" s="24">
        <f ca="1">IF(OR(E420="",E420="!!!",F420="NEW"),"",COUNTBLANK(OFFSET(A$1,,,SUMPRODUCT(MAX(ROW(E$2:E420)*(E420=E$2:E420)))))-COUNTBLANK(OFFSET(A$1,,,SUMPRODUCT(MAX(ROW(E$1:E419)*(E2=E$1:E419))))))</f>
        <v>0</v>
      </c>
      <c r="K420" s="24">
        <f ca="1">IF(OR(E420="",E420="!!!",F420="NEW"),"",INDEX(J$1:J419,SUMPRODUCT(MAX(ROW(E$1:E419)*(E420=E$1:E419)))))</f>
        <v>0</v>
      </c>
      <c r="L420" s="25"/>
    </row>
    <row r="421" spans="1:12" x14ac:dyDescent="0.3">
      <c r="A421" t="s">
        <v>75</v>
      </c>
      <c r="E421" s="20" t="str">
        <f t="shared" si="32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33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308</v>
      </c>
      <c r="B422" s="26" t="s">
        <v>99</v>
      </c>
      <c r="C422" s="26" t="s">
        <v>228</v>
      </c>
      <c r="D422" s="26" t="s">
        <v>101</v>
      </c>
      <c r="E422" s="20" t="s">
        <v>353</v>
      </c>
      <c r="F422" s="21" t="str">
        <f>IF(OR(E422="",E422="!!!"),"",IF(NOT(ISNA(VLOOKUP(E422,E$1:E421,1,FALSE()))),"OLD",IF(AND(E422&lt;&gt;"",E422&lt;&gt;"!!!"),"NEW","")))</f>
        <v>OLD</v>
      </c>
      <c r="G422" s="22" t="s">
        <v>366</v>
      </c>
      <c r="H422" s="23" t="str">
        <f t="shared" ca="1" si="33"/>
        <v/>
      </c>
      <c r="I422" s="24" t="str">
        <f>IF(OR(E422="",E422="!!!",F422="NEW"),"",INDEX(B$2:B421,-1+SUMPRODUCT(MAX(ROW(E$2:E421)*(E422=E$2:E421)))))</f>
        <v>other_4</v>
      </c>
      <c r="J422" s="24">
        <f ca="1">IF(OR(E422="",E422="!!!",F422="NEW"),"",COUNTBLANK(OFFSET(A$1,,,SUMPRODUCT(MAX(ROW(E$2:E422)*(E422=E$2:E422)))))-COUNTBLANK(OFFSET(A$1,,,SUMPRODUCT(MAX(ROW(E$1:E421)*(E2=E$1:E421))))))</f>
        <v>0</v>
      </c>
      <c r="K422" s="24" t="str">
        <f ca="1">IF(OR(E422="",E422="!!!",F422="NEW"),"",INDEX(J$1:J421,SUMPRODUCT(MAX(ROW(E$1:E421)*(E422=E$1:E421)))))</f>
        <v/>
      </c>
      <c r="L422" s="25"/>
    </row>
    <row r="423" spans="1:12" x14ac:dyDescent="0.3">
      <c r="A423" t="s">
        <v>309</v>
      </c>
      <c r="B423" s="26" t="s">
        <v>110</v>
      </c>
      <c r="C423" s="26" t="s">
        <v>228</v>
      </c>
      <c r="D423" s="26" t="s">
        <v>101</v>
      </c>
      <c r="E423" s="20"/>
      <c r="F423" s="21" t="s">
        <v>348</v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33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107</v>
      </c>
      <c r="E424" s="20" t="str">
        <f t="shared" si="32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33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297</v>
      </c>
      <c r="E425" s="20" t="str">
        <f t="shared" si="32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33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308</v>
      </c>
      <c r="B426" s="26" t="s">
        <v>160</v>
      </c>
      <c r="C426" s="26" t="s">
        <v>228</v>
      </c>
      <c r="D426" s="26" t="s">
        <v>101</v>
      </c>
      <c r="E426" s="20"/>
      <c r="F426" s="21" t="s">
        <v>336</v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33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201</v>
      </c>
      <c r="E427" s="20" t="str">
        <f t="shared" si="3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3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209</v>
      </c>
      <c r="E428" s="20" t="str">
        <f t="shared" si="32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3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310</v>
      </c>
      <c r="B429" s="26" t="s">
        <v>118</v>
      </c>
      <c r="C429" s="26" t="s">
        <v>100</v>
      </c>
      <c r="D429" s="26" t="s">
        <v>101</v>
      </c>
      <c r="E429" s="20"/>
      <c r="F429" s="21" t="s">
        <v>354</v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3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311</v>
      </c>
      <c r="E430" s="20" t="str">
        <f t="shared" si="32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3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107</v>
      </c>
      <c r="E431" s="20" t="str">
        <f t="shared" si="3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312</v>
      </c>
      <c r="E432" s="20" t="str">
        <f t="shared" si="32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33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313</v>
      </c>
      <c r="B433" s="26" t="s">
        <v>130</v>
      </c>
      <c r="C433" s="26" t="s">
        <v>106</v>
      </c>
      <c r="E433" s="20" t="str">
        <f t="shared" si="32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33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314</v>
      </c>
      <c r="E434" s="20" t="str">
        <f t="shared" si="32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3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315</v>
      </c>
      <c r="B435" s="26" t="s">
        <v>136</v>
      </c>
      <c r="C435" s="26" t="s">
        <v>106</v>
      </c>
      <c r="E435" s="20" t="str">
        <f t="shared" si="32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3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114</v>
      </c>
      <c r="E436" s="20" t="str">
        <f t="shared" si="32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33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316</v>
      </c>
      <c r="B437" s="26" t="s">
        <v>126</v>
      </c>
      <c r="C437" s="26" t="s">
        <v>106</v>
      </c>
      <c r="E437" s="20" t="str">
        <f t="shared" si="32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3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137</v>
      </c>
      <c r="E438" s="20" t="str">
        <f t="shared" si="32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3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317</v>
      </c>
      <c r="E439" s="20" t="str">
        <f t="shared" si="32"/>
        <v/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33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107</v>
      </c>
      <c r="E440" s="20" t="str">
        <f t="shared" si="32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33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204</v>
      </c>
      <c r="B441" s="26" t="s">
        <v>160</v>
      </c>
      <c r="E441" s="20" t="str">
        <f t="shared" si="32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3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193</v>
      </c>
      <c r="E442" s="20" t="str">
        <f t="shared" si="32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19</v>
      </c>
      <c r="E443" s="20" t="str">
        <f t="shared" si="3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3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318</v>
      </c>
      <c r="E444" s="20" t="str">
        <f t="shared" si="32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138</v>
      </c>
      <c r="E445" s="20" t="str">
        <f t="shared" si="3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7" spans="1:12" x14ac:dyDescent="0.3">
      <c r="A447" t="s">
        <v>319</v>
      </c>
    </row>
    <row r="448" spans="1:12" x14ac:dyDescent="0.3">
      <c r="A448" t="s">
        <v>167</v>
      </c>
      <c r="E448" s="20" t="str">
        <f t="shared" ref="E448:E473" si="34">IF(D448="?OLD","!!!","")</f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ref="H448:H473" ca="1" si="35">IF(J448&lt;&gt;1,"",IF(I448="SBJ","CB","?"))</f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320</v>
      </c>
      <c r="B449" s="26" t="s">
        <v>99</v>
      </c>
      <c r="C449" s="26" t="s">
        <v>100</v>
      </c>
      <c r="D449" s="26" t="s">
        <v>101</v>
      </c>
      <c r="E449" s="20" t="s">
        <v>370</v>
      </c>
      <c r="F449" s="21" t="str">
        <f>IF(OR(E449="",E449="!!!"),"",IF(NOT(ISNA(VLOOKUP(E449,E$1:E448,1,FALSE()))),"OLD",IF(AND(E449&lt;&gt;"",E449&lt;&gt;"!!!"),"NEW","")))</f>
        <v>NEW</v>
      </c>
      <c r="G449" s="22" t="s">
        <v>365</v>
      </c>
      <c r="H449" s="23" t="str">
        <f t="shared" ca="1" si="35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321</v>
      </c>
      <c r="E450" s="20" t="str">
        <f t="shared" si="34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35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204</v>
      </c>
      <c r="E451" s="20" t="str">
        <f t="shared" si="34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35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322</v>
      </c>
      <c r="B452" s="26" t="s">
        <v>105</v>
      </c>
      <c r="C452" s="26" t="s">
        <v>100</v>
      </c>
      <c r="D452" s="26" t="s">
        <v>101</v>
      </c>
      <c r="E452" s="20"/>
      <c r="F452" s="21" t="s">
        <v>336</v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3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190</v>
      </c>
      <c r="E453" s="20" t="str">
        <f t="shared" si="34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3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323</v>
      </c>
      <c r="B454" s="26" t="s">
        <v>136</v>
      </c>
      <c r="C454" s="26" t="s">
        <v>106</v>
      </c>
      <c r="E454" s="20" t="str">
        <f t="shared" si="3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3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114</v>
      </c>
      <c r="E455" s="20" t="str">
        <f t="shared" si="3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141</v>
      </c>
      <c r="B456" s="26" t="s">
        <v>136</v>
      </c>
      <c r="C456" s="26" t="s">
        <v>142</v>
      </c>
      <c r="D456" s="26" t="s">
        <v>101</v>
      </c>
      <c r="E456" s="20" t="s">
        <v>335</v>
      </c>
      <c r="F456" s="21" t="str">
        <f>IF(OR(E456="",E456="!!!"),"",IF(NOT(ISNA(VLOOKUP(E456,E$1:E455,1,FALSE()))),"OLD",IF(AND(E456&lt;&gt;"",E456&lt;&gt;"!!!"),"NEW","")))</f>
        <v>OLD</v>
      </c>
      <c r="G456" s="22" t="s">
        <v>367</v>
      </c>
      <c r="H456" s="23" t="s">
        <v>92</v>
      </c>
      <c r="I456" s="24" t="str">
        <f>IF(OR(E456="",E456="!!!",F456="NEW"),"",INDEX(B$2:B455,-1+SUMPRODUCT(MAX(ROW(E$2:E455)*(E456=E$2:E455)))))</f>
        <v>other_2</v>
      </c>
      <c r="J456" s="24">
        <f ca="1">IF(OR(E456="",E456="!!!",F456="NEW"),"",COUNTBLANK(OFFSET(A$1,,,SUMPRODUCT(MAX(ROW(E$2:E456)*(E456=E$2:E456)))))-COUNTBLANK(OFFSET(A$1,,,SUMPRODUCT(MAX(ROW(E$1:E455)*(E2=E$1:E455))))))</f>
        <v>0</v>
      </c>
      <c r="K456" s="24">
        <f ca="1">IF(OR(E456="",E456="!!!",F456="NEW"),"",INDEX(J$1:J455,SUMPRODUCT(MAX(ROW(E$1:E455)*(E456=E$1:E455)))))</f>
        <v>0</v>
      </c>
      <c r="L456" s="25"/>
    </row>
    <row r="457" spans="1:12" x14ac:dyDescent="0.3">
      <c r="A457" t="s">
        <v>12</v>
      </c>
      <c r="E457" s="20" t="str">
        <f t="shared" si="3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3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286</v>
      </c>
      <c r="E458" s="20" t="str">
        <f t="shared" si="3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3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324</v>
      </c>
      <c r="B459" s="26" t="s">
        <v>126</v>
      </c>
      <c r="C459" s="26" t="s">
        <v>188</v>
      </c>
      <c r="E459" s="20" t="str">
        <f t="shared" si="3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3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108</v>
      </c>
      <c r="E460" s="20" t="str">
        <f t="shared" si="34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325</v>
      </c>
      <c r="E461" s="20"/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12</v>
      </c>
      <c r="E462" s="20" t="str">
        <f t="shared" si="3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3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303</v>
      </c>
      <c r="E463" s="20" t="str">
        <f t="shared" si="34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35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291</v>
      </c>
      <c r="E464" s="20" t="str">
        <f t="shared" si="3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133</v>
      </c>
      <c r="E465" s="20" t="str">
        <f t="shared" si="34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35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135</v>
      </c>
      <c r="B466" s="26" t="s">
        <v>118</v>
      </c>
      <c r="C466" s="26" t="s">
        <v>119</v>
      </c>
      <c r="E466" s="20" t="s">
        <v>356</v>
      </c>
      <c r="F466" s="21" t="str">
        <f>IF(OR(E466="",E466="!!!"),"",IF(NOT(ISNA(VLOOKUP(E466,E$1:E465,1,FALSE()))),"OLD",IF(AND(E466&lt;&gt;"",E466&lt;&gt;"!!!"),"NEW","")))</f>
        <v>OLD</v>
      </c>
      <c r="G466" s="22" t="s">
        <v>366</v>
      </c>
      <c r="H466" s="23" t="str">
        <f t="shared" ca="1" si="35"/>
        <v/>
      </c>
      <c r="I466" s="24" t="str">
        <f>IF(OR(E466="",E466="!!!",F466="NEW"),"",INDEX(B$2:B465,-1+SUMPRODUCT(MAX(ROW(E$2:E465)*(E466=E$2:E465)))))</f>
        <v>other_4</v>
      </c>
      <c r="J466" s="24">
        <f ca="1">IF(OR(E466="",E466="!!!",F466="NEW"),"",COUNTBLANK(OFFSET(A$1,,,SUMPRODUCT(MAX(ROW(E$2:E466)*(E466=E$2:E466)))))-COUNTBLANK(OFFSET(A$1,,,SUMPRODUCT(MAX(ROW(E$1:E465)*(E2=E$1:E465))))))</f>
        <v>0</v>
      </c>
      <c r="K466" s="24" t="str">
        <f ca="1">IF(OR(E466="",E466="!!!",F466="NEW"),"",INDEX(J$1:J465,SUMPRODUCT(MAX(ROW(E$1:E465)*(E466=E$1:E465)))))</f>
        <v/>
      </c>
      <c r="L466" s="25"/>
    </row>
    <row r="467" spans="1:12" x14ac:dyDescent="0.3">
      <c r="A467" t="s">
        <v>114</v>
      </c>
      <c r="E467" s="20" t="str">
        <f t="shared" si="3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216</v>
      </c>
      <c r="E468" s="20" t="str">
        <f t="shared" si="34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35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137</v>
      </c>
      <c r="E469" s="20" t="str">
        <f t="shared" si="34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262</v>
      </c>
      <c r="E470" s="20" t="str">
        <f t="shared" si="3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326</v>
      </c>
      <c r="B471" s="26" t="s">
        <v>118</v>
      </c>
      <c r="C471" s="26" t="s">
        <v>154</v>
      </c>
      <c r="E471" s="20" t="str">
        <f t="shared" si="3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3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327</v>
      </c>
      <c r="E472" s="20" t="str">
        <f t="shared" si="3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138</v>
      </c>
      <c r="E473" s="20" t="str">
        <f t="shared" si="3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5" spans="1:12" x14ac:dyDescent="0.3">
      <c r="A475" t="s">
        <v>328</v>
      </c>
    </row>
    <row r="476" spans="1:12" x14ac:dyDescent="0.3">
      <c r="A476" t="s">
        <v>249</v>
      </c>
      <c r="E476" s="20" t="str">
        <f t="shared" ref="E476:E487" si="36">IF(D476="?OLD","!!!","")</f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ref="H476:H487" ca="1" si="37">IF(J476&lt;&gt;1,"",IF(I476="SBJ","CB","?"))</f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250</v>
      </c>
      <c r="B477" s="26" t="s">
        <v>99</v>
      </c>
      <c r="C477" s="26" t="s">
        <v>100</v>
      </c>
      <c r="D477" s="26" t="s">
        <v>101</v>
      </c>
      <c r="E477" s="20" t="s">
        <v>355</v>
      </c>
      <c r="F477" s="21" t="str">
        <f>IF(OR(E477="",E477="!!!"),"",IF(NOT(ISNA(VLOOKUP(E477,E$1:E476,1,FALSE()))),"OLD",IF(AND(E477&lt;&gt;"",E477&lt;&gt;"!!!"),"NEW","")))</f>
        <v>OLD</v>
      </c>
      <c r="G477" s="22" t="s">
        <v>369</v>
      </c>
      <c r="H477" s="23" t="str">
        <f t="shared" ca="1" si="37"/>
        <v/>
      </c>
      <c r="I477" s="24" t="str">
        <f>IF(OR(E477="",E477="!!!",F477="NEW"),"",INDEX(B$2:B476,-1+SUMPRODUCT(MAX(ROW(E$2:E476)*(E477=E$2:E476)))))</f>
        <v>other</v>
      </c>
      <c r="J477" s="24">
        <f ca="1">IF(OR(E477="",E477="!!!",F477="NEW"),"",COUNTBLANK(OFFSET(A$1,,,SUMPRODUCT(MAX(ROW(E$2:E477)*(E477=E$2:E477)))))-COUNTBLANK(OFFSET(A$1,,,SUMPRODUCT(MAX(ROW(E$1:E476)*(E2=E$1:E476))))))</f>
        <v>0</v>
      </c>
      <c r="K477" s="24">
        <f ca="1">IF(OR(E477="",E477="!!!",F477="NEW"),"",INDEX(J$1:J476,SUMPRODUCT(MAX(ROW(E$1:E476)*(E477=E$1:E476)))))</f>
        <v>0</v>
      </c>
      <c r="L477" s="25"/>
    </row>
    <row r="478" spans="1:12" x14ac:dyDescent="0.3">
      <c r="A478" t="s">
        <v>253</v>
      </c>
      <c r="E478" s="20" t="str">
        <f t="shared" si="36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7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329</v>
      </c>
      <c r="B479" s="26" t="s">
        <v>105</v>
      </c>
      <c r="C479" s="26" t="s">
        <v>228</v>
      </c>
      <c r="D479" s="26" t="s">
        <v>101</v>
      </c>
      <c r="E479" s="20"/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37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330</v>
      </c>
      <c r="B480" s="26" t="s">
        <v>110</v>
      </c>
      <c r="C480" s="26" t="s">
        <v>154</v>
      </c>
      <c r="E480" s="20" t="str">
        <f t="shared" si="36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7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107</v>
      </c>
      <c r="E481" s="20" t="str">
        <f t="shared" si="36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37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204</v>
      </c>
      <c r="B482" s="26" t="s">
        <v>230</v>
      </c>
      <c r="C482" s="26" t="s">
        <v>228</v>
      </c>
      <c r="D482" s="26" t="s">
        <v>101</v>
      </c>
      <c r="E482" s="20"/>
      <c r="F482" s="21" t="s">
        <v>348</v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37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321</v>
      </c>
      <c r="E483" s="20" t="str">
        <f t="shared" si="36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37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331</v>
      </c>
      <c r="B484" s="26" t="s">
        <v>126</v>
      </c>
      <c r="C484" s="26" t="s">
        <v>127</v>
      </c>
      <c r="D484" s="26" t="s">
        <v>101</v>
      </c>
      <c r="E484" s="20"/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7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 t="s">
        <v>350</v>
      </c>
    </row>
    <row r="485" spans="1:12" x14ac:dyDescent="0.3">
      <c r="A485" t="s">
        <v>135</v>
      </c>
      <c r="B485" s="26" t="s">
        <v>136</v>
      </c>
      <c r="C485" s="26" t="s">
        <v>131</v>
      </c>
      <c r="D485" s="26" t="s">
        <v>101</v>
      </c>
      <c r="E485" s="20" t="s">
        <v>356</v>
      </c>
      <c r="F485" s="21" t="str">
        <f>IF(OR(E485="",E485="!!!"),"",IF(NOT(ISNA(VLOOKUP(E485,E$1:E484,1,FALSE()))),"OLD",IF(AND(E485&lt;&gt;"",E485&lt;&gt;"!!!"),"NEW","")))</f>
        <v>OLD</v>
      </c>
      <c r="G485" s="22" t="s">
        <v>369</v>
      </c>
      <c r="H485" s="23" t="s">
        <v>92</v>
      </c>
      <c r="I485" s="24" t="str">
        <f>IF(OR(E485="",E485="!!!",F485="NEW"),"",INDEX(B$2:B484,-1+SUMPRODUCT(MAX(ROW(E$2:E484)*(E485=E$2:E484)))))</f>
        <v>other</v>
      </c>
      <c r="J485" s="24">
        <f ca="1">IF(OR(E485="",E485="!!!",F485="NEW"),"",COUNTBLANK(OFFSET(A$1,,,SUMPRODUCT(MAX(ROW(E$2:E485)*(E485=E$2:E485)))))-COUNTBLANK(OFFSET(A$1,,,SUMPRODUCT(MAX(ROW(E$1:E484)*(E2=E$1:E484))))))</f>
        <v>0</v>
      </c>
      <c r="K485" s="24">
        <f ca="1">IF(OR(E485="",E485="!!!",F485="NEW"),"",INDEX(J$1:J484,SUMPRODUCT(MAX(ROW(E$1:E484)*(E485=E$1:E484)))))</f>
        <v>0</v>
      </c>
      <c r="L485" s="25"/>
    </row>
    <row r="486" spans="1:12" x14ac:dyDescent="0.3">
      <c r="A486" t="s">
        <v>332</v>
      </c>
      <c r="E486" s="20" t="str">
        <f t="shared" si="36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7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138</v>
      </c>
      <c r="E487" s="20" t="str">
        <f t="shared" si="3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2024-12-05T17:54:45Z</dcterms:created>
  <dcterms:modified xsi:type="dcterms:W3CDTF">2025-07-27T17:53:56Z</dcterms:modified>
</cp:coreProperties>
</file>