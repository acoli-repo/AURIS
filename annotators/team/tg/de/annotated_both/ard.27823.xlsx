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58A23B54-505F-4135-B7EA-6482873B615C}" xr6:coauthVersionLast="47" xr6:coauthVersionMax="47" xr10:uidLastSave="{00000000-0000-0000-0000-000000000000}"/>
  <bookViews>
    <workbookView xWindow="-96" yWindow="0" windowWidth="15768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27" i="2" l="1"/>
  <c r="E627" i="2"/>
  <c r="E625" i="2"/>
  <c r="E624" i="2"/>
  <c r="G624" i="2" s="1"/>
  <c r="E623" i="2"/>
  <c r="G623" i="2" s="1"/>
  <c r="G622" i="2"/>
  <c r="E622" i="2"/>
  <c r="F622" i="2" s="1"/>
  <c r="F621" i="2"/>
  <c r="E620" i="2"/>
  <c r="G619" i="2"/>
  <c r="F619" i="2"/>
  <c r="E619" i="2"/>
  <c r="E618" i="2"/>
  <c r="F616" i="2"/>
  <c r="E615" i="2"/>
  <c r="G614" i="2"/>
  <c r="E614" i="2"/>
  <c r="F614" i="2" s="1"/>
  <c r="K614" i="2" s="1"/>
  <c r="F613" i="2"/>
  <c r="J613" i="2" s="1"/>
  <c r="H613" i="2" s="1"/>
  <c r="E613" i="2"/>
  <c r="G613" i="2" s="1"/>
  <c r="G611" i="2"/>
  <c r="F611" i="2"/>
  <c r="I611" i="2" s="1"/>
  <c r="E611" i="2"/>
  <c r="E609" i="2"/>
  <c r="F608" i="2"/>
  <c r="K608" i="2" s="1"/>
  <c r="E608" i="2"/>
  <c r="G608" i="2" s="1"/>
  <c r="E607" i="2"/>
  <c r="G606" i="2"/>
  <c r="E606" i="2"/>
  <c r="F606" i="2" s="1"/>
  <c r="F605" i="2"/>
  <c r="I605" i="2" s="1"/>
  <c r="E604" i="2"/>
  <c r="G603" i="2"/>
  <c r="F603" i="2"/>
  <c r="I603" i="2" s="1"/>
  <c r="E603" i="2"/>
  <c r="E602" i="2"/>
  <c r="E601" i="2"/>
  <c r="F600" i="2"/>
  <c r="K600" i="2" s="1"/>
  <c r="E600" i="2"/>
  <c r="G600" i="2" s="1"/>
  <c r="G598" i="2"/>
  <c r="F598" i="2"/>
  <c r="K598" i="2" s="1"/>
  <c r="E598" i="2"/>
  <c r="I597" i="2"/>
  <c r="E596" i="2"/>
  <c r="G595" i="2"/>
  <c r="F595" i="2"/>
  <c r="J595" i="2" s="1"/>
  <c r="H595" i="2" s="1"/>
  <c r="E595" i="2"/>
  <c r="E594" i="2"/>
  <c r="E591" i="2"/>
  <c r="F590" i="2"/>
  <c r="E590" i="2"/>
  <c r="G590" i="2" s="1"/>
  <c r="G589" i="2"/>
  <c r="E589" i="2"/>
  <c r="G588" i="2"/>
  <c r="F588" i="2"/>
  <c r="J588" i="2" s="1"/>
  <c r="H588" i="2" s="1"/>
  <c r="E588" i="2"/>
  <c r="E586" i="2"/>
  <c r="G585" i="2"/>
  <c r="F585" i="2"/>
  <c r="J585" i="2" s="1"/>
  <c r="H585" i="2" s="1"/>
  <c r="E585" i="2"/>
  <c r="F584" i="2"/>
  <c r="G583" i="2"/>
  <c r="E583" i="2"/>
  <c r="G582" i="2"/>
  <c r="F582" i="2"/>
  <c r="E582" i="2"/>
  <c r="G580" i="2"/>
  <c r="F580" i="2"/>
  <c r="J580" i="2" s="1"/>
  <c r="H580" i="2" s="1"/>
  <c r="E580" i="2"/>
  <c r="G575" i="2"/>
  <c r="F575" i="2"/>
  <c r="K575" i="2" s="1"/>
  <c r="E575" i="2"/>
  <c r="F574" i="2"/>
  <c r="I574" i="2" s="1"/>
  <c r="G572" i="2"/>
  <c r="F572" i="2"/>
  <c r="K572" i="2" s="1"/>
  <c r="E572" i="2"/>
  <c r="G571" i="2"/>
  <c r="F571" i="2"/>
  <c r="K571" i="2" s="1"/>
  <c r="E571" i="2"/>
  <c r="G570" i="2"/>
  <c r="E570" i="2"/>
  <c r="E569" i="2"/>
  <c r="G568" i="2"/>
  <c r="E568" i="2"/>
  <c r="F567" i="2"/>
  <c r="E566" i="2"/>
  <c r="E565" i="2"/>
  <c r="F564" i="2"/>
  <c r="E563" i="2"/>
  <c r="G562" i="2"/>
  <c r="F562" i="2"/>
  <c r="I562" i="2" s="1"/>
  <c r="E562" i="2"/>
  <c r="F561" i="2"/>
  <c r="I561" i="2" s="1"/>
  <c r="E561" i="2"/>
  <c r="G559" i="2"/>
  <c r="F559" i="2"/>
  <c r="J559" i="2" s="1"/>
  <c r="H559" i="2" s="1"/>
  <c r="E559" i="2"/>
  <c r="G558" i="2"/>
  <c r="G557" i="2"/>
  <c r="E557" i="2"/>
  <c r="G556" i="2"/>
  <c r="F556" i="2"/>
  <c r="K556" i="2" s="1"/>
  <c r="E556" i="2"/>
  <c r="G555" i="2"/>
  <c r="E555" i="2"/>
  <c r="G552" i="2"/>
  <c r="E552" i="2"/>
  <c r="E551" i="2"/>
  <c r="G549" i="2"/>
  <c r="F549" i="2"/>
  <c r="I549" i="2" s="1"/>
  <c r="E549" i="2"/>
  <c r="E548" i="2"/>
  <c r="G546" i="2"/>
  <c r="F546" i="2"/>
  <c r="K546" i="2" s="1"/>
  <c r="E546" i="2"/>
  <c r="G545" i="2"/>
  <c r="F545" i="2"/>
  <c r="E545" i="2"/>
  <c r="G544" i="2"/>
  <c r="F544" i="2"/>
  <c r="J544" i="2" s="1"/>
  <c r="H544" i="2" s="1"/>
  <c r="E544" i="2"/>
  <c r="F543" i="2"/>
  <c r="I543" i="2" s="1"/>
  <c r="E543" i="2"/>
  <c r="E542" i="2"/>
  <c r="G541" i="2"/>
  <c r="F541" i="2"/>
  <c r="K541" i="2" s="1"/>
  <c r="E541" i="2"/>
  <c r="K540" i="2"/>
  <c r="E539" i="2"/>
  <c r="G538" i="2"/>
  <c r="F538" i="2"/>
  <c r="K538" i="2" s="1"/>
  <c r="E538" i="2"/>
  <c r="G536" i="2"/>
  <c r="E536" i="2"/>
  <c r="E535" i="2"/>
  <c r="G534" i="2"/>
  <c r="E534" i="2"/>
  <c r="G531" i="2"/>
  <c r="F531" i="2"/>
  <c r="I531" i="2" s="1"/>
  <c r="E531" i="2"/>
  <c r="E530" i="2"/>
  <c r="E529" i="2"/>
  <c r="G528" i="2"/>
  <c r="F528" i="2"/>
  <c r="E528" i="2"/>
  <c r="G527" i="2"/>
  <c r="E527" i="2"/>
  <c r="F526" i="2"/>
  <c r="J526" i="2" s="1"/>
  <c r="H526" i="2" s="1"/>
  <c r="E525" i="2"/>
  <c r="G523" i="2"/>
  <c r="F523" i="2"/>
  <c r="K523" i="2" s="1"/>
  <c r="E523" i="2"/>
  <c r="F522" i="2"/>
  <c r="K522" i="2" s="1"/>
  <c r="E522" i="2"/>
  <c r="G522" i="2" s="1"/>
  <c r="E521" i="2"/>
  <c r="G520" i="2"/>
  <c r="F520" i="2"/>
  <c r="J520" i="2" s="1"/>
  <c r="H520" i="2" s="1"/>
  <c r="E520" i="2"/>
  <c r="G519" i="2"/>
  <c r="E519" i="2"/>
  <c r="E517" i="2"/>
  <c r="G516" i="2"/>
  <c r="E516" i="2"/>
  <c r="F515" i="2"/>
  <c r="E514" i="2"/>
  <c r="E513" i="2"/>
  <c r="G512" i="2"/>
  <c r="F512" i="2"/>
  <c r="I512" i="2" s="1"/>
  <c r="E512" i="2"/>
  <c r="G511" i="2"/>
  <c r="E511" i="2"/>
  <c r="G510" i="2"/>
  <c r="F510" i="2"/>
  <c r="I510" i="2" s="1"/>
  <c r="E510" i="2"/>
  <c r="G509" i="2"/>
  <c r="F509" i="2"/>
  <c r="I509" i="2" s="1"/>
  <c r="E509" i="2"/>
  <c r="E508" i="2"/>
  <c r="E507" i="2"/>
  <c r="E506" i="2"/>
  <c r="G505" i="2"/>
  <c r="F505" i="2"/>
  <c r="K505" i="2" s="1"/>
  <c r="E505" i="2"/>
  <c r="K504" i="2"/>
  <c r="G503" i="2"/>
  <c r="F503" i="2"/>
  <c r="E502" i="2"/>
  <c r="F497" i="2"/>
  <c r="J497" i="2" s="1"/>
  <c r="H497" i="2" s="1"/>
  <c r="E497" i="2"/>
  <c r="G496" i="2"/>
  <c r="E496" i="2"/>
  <c r="G495" i="2"/>
  <c r="F495" i="2"/>
  <c r="E495" i="2"/>
  <c r="E494" i="2"/>
  <c r="G493" i="2"/>
  <c r="F493" i="2"/>
  <c r="J493" i="2" s="1"/>
  <c r="H493" i="2" s="1"/>
  <c r="E493" i="2"/>
  <c r="G492" i="2"/>
  <c r="F492" i="2"/>
  <c r="I492" i="2" s="1"/>
  <c r="E492" i="2"/>
  <c r="E491" i="2"/>
  <c r="F490" i="2"/>
  <c r="I490" i="2" s="1"/>
  <c r="E489" i="2"/>
  <c r="G485" i="2"/>
  <c r="F485" i="2"/>
  <c r="J485" i="2" s="1"/>
  <c r="H485" i="2" s="1"/>
  <c r="E485" i="2"/>
  <c r="E484" i="2"/>
  <c r="E483" i="2"/>
  <c r="F482" i="2"/>
  <c r="I482" i="2" s="1"/>
  <c r="E482" i="2"/>
  <c r="G481" i="2"/>
  <c r="E481" i="2"/>
  <c r="E480" i="2"/>
  <c r="G478" i="2"/>
  <c r="E478" i="2"/>
  <c r="G477" i="2"/>
  <c r="F477" i="2"/>
  <c r="I477" i="2" s="1"/>
  <c r="E477" i="2"/>
  <c r="F476" i="2"/>
  <c r="J476" i="2" s="1"/>
  <c r="H476" i="2" s="1"/>
  <c r="E475" i="2"/>
  <c r="E474" i="2"/>
  <c r="F471" i="2"/>
  <c r="J471" i="2" s="1"/>
  <c r="H471" i="2" s="1"/>
  <c r="E471" i="2"/>
  <c r="F470" i="2"/>
  <c r="E469" i="2"/>
  <c r="E468" i="2"/>
  <c r="G467" i="2"/>
  <c r="F467" i="2"/>
  <c r="J467" i="2" s="1"/>
  <c r="H467" i="2" s="1"/>
  <c r="E467" i="2"/>
  <c r="F466" i="2"/>
  <c r="E466" i="2"/>
  <c r="G465" i="2"/>
  <c r="E465" i="2"/>
  <c r="E464" i="2"/>
  <c r="F463" i="2"/>
  <c r="E463" i="2"/>
  <c r="F462" i="2"/>
  <c r="E462" i="2"/>
  <c r="E461" i="2"/>
  <c r="G461" i="2" s="1"/>
  <c r="G457" i="2"/>
  <c r="F457" i="2"/>
  <c r="I457" i="2" s="1"/>
  <c r="E457" i="2"/>
  <c r="G456" i="2"/>
  <c r="F456" i="2"/>
  <c r="K456" i="2" s="1"/>
  <c r="E456" i="2"/>
  <c r="E455" i="2"/>
  <c r="G453" i="2"/>
  <c r="F453" i="2"/>
  <c r="E453" i="2"/>
  <c r="E452" i="2"/>
  <c r="G451" i="2"/>
  <c r="F451" i="2"/>
  <c r="I451" i="2" s="1"/>
  <c r="E451" i="2"/>
  <c r="F450" i="2"/>
  <c r="K450" i="2" s="1"/>
  <c r="E450" i="2"/>
  <c r="G449" i="2"/>
  <c r="E449" i="2"/>
  <c r="G446" i="2"/>
  <c r="E446" i="2"/>
  <c r="F446" i="2" s="1"/>
  <c r="G445" i="2"/>
  <c r="F445" i="2"/>
  <c r="E445" i="2"/>
  <c r="G444" i="2"/>
  <c r="E444" i="2"/>
  <c r="G443" i="2"/>
  <c r="F443" i="2"/>
  <c r="I443" i="2" s="1"/>
  <c r="E443" i="2"/>
  <c r="G441" i="2"/>
  <c r="F441" i="2"/>
  <c r="J441" i="2" s="1"/>
  <c r="H441" i="2" s="1"/>
  <c r="E441" i="2"/>
  <c r="E440" i="2"/>
  <c r="G438" i="2"/>
  <c r="E438" i="2"/>
  <c r="F438" i="2" s="1"/>
  <c r="K438" i="2" s="1"/>
  <c r="G437" i="2"/>
  <c r="F437" i="2"/>
  <c r="I437" i="2" s="1"/>
  <c r="E437" i="2"/>
  <c r="E434" i="2"/>
  <c r="G433" i="2"/>
  <c r="F433" i="2"/>
  <c r="I433" i="2" s="1"/>
  <c r="E433" i="2"/>
  <c r="G432" i="2"/>
  <c r="E432" i="2"/>
  <c r="E430" i="2"/>
  <c r="E429" i="2"/>
  <c r="G428" i="2"/>
  <c r="J428" i="2"/>
  <c r="H428" i="2" s="1"/>
  <c r="G427" i="2"/>
  <c r="F427" i="2"/>
  <c r="J427" i="2" s="1"/>
  <c r="H427" i="2" s="1"/>
  <c r="E427" i="2"/>
  <c r="G426" i="2"/>
  <c r="E426" i="2"/>
  <c r="G425" i="2"/>
  <c r="F425" i="2"/>
  <c r="I425" i="2" s="1"/>
  <c r="E425" i="2"/>
  <c r="F424" i="2"/>
  <c r="E421" i="2"/>
  <c r="F420" i="2"/>
  <c r="K420" i="2" s="1"/>
  <c r="E420" i="2"/>
  <c r="E419" i="2"/>
  <c r="G418" i="2"/>
  <c r="E418" i="2"/>
  <c r="F418" i="2" s="1"/>
  <c r="J418" i="2" s="1"/>
  <c r="H418" i="2" s="1"/>
  <c r="G417" i="2"/>
  <c r="F417" i="2"/>
  <c r="K417" i="2" s="1"/>
  <c r="E417" i="2"/>
  <c r="G416" i="2"/>
  <c r="F416" i="2"/>
  <c r="J416" i="2" s="1"/>
  <c r="H416" i="2" s="1"/>
  <c r="E416" i="2"/>
  <c r="F414" i="2"/>
  <c r="K414" i="2" s="1"/>
  <c r="E414" i="2"/>
  <c r="E413" i="2"/>
  <c r="E412" i="2"/>
  <c r="G410" i="2"/>
  <c r="E410" i="2"/>
  <c r="F410" i="2" s="1"/>
  <c r="I410" i="2" s="1"/>
  <c r="G409" i="2"/>
  <c r="F409" i="2"/>
  <c r="J409" i="2" s="1"/>
  <c r="H409" i="2" s="1"/>
  <c r="E409" i="2"/>
  <c r="E408" i="2"/>
  <c r="G407" i="2"/>
  <c r="E407" i="2"/>
  <c r="G405" i="2"/>
  <c r="E405" i="2"/>
  <c r="F404" i="2"/>
  <c r="E404" i="2"/>
  <c r="G404" i="2" s="1"/>
  <c r="E403" i="2"/>
  <c r="G402" i="2"/>
  <c r="E402" i="2"/>
  <c r="F402" i="2" s="1"/>
  <c r="I402" i="2" s="1"/>
  <c r="G401" i="2"/>
  <c r="F401" i="2"/>
  <c r="K401" i="2" s="1"/>
  <c r="E401" i="2"/>
  <c r="G398" i="2"/>
  <c r="F398" i="2"/>
  <c r="I398" i="2" s="1"/>
  <c r="E398" i="2"/>
  <c r="E397" i="2"/>
  <c r="G396" i="2"/>
  <c r="F396" i="2"/>
  <c r="K396" i="2" s="1"/>
  <c r="E396" i="2"/>
  <c r="E393" i="2"/>
  <c r="G392" i="2"/>
  <c r="E392" i="2"/>
  <c r="F392" i="2" s="1"/>
  <c r="G391" i="2"/>
  <c r="F391" i="2"/>
  <c r="J391" i="2" s="1"/>
  <c r="H391" i="2" s="1"/>
  <c r="E391" i="2"/>
  <c r="G389" i="2"/>
  <c r="E389" i="2"/>
  <c r="G388" i="2"/>
  <c r="E388" i="2"/>
  <c r="F386" i="2"/>
  <c r="I386" i="2" s="1"/>
  <c r="E386" i="2"/>
  <c r="G386" i="2" s="1"/>
  <c r="G384" i="2"/>
  <c r="E384" i="2"/>
  <c r="F384" i="2" s="1"/>
  <c r="K384" i="2" s="1"/>
  <c r="F383" i="2"/>
  <c r="G382" i="2"/>
  <c r="F382" i="2"/>
  <c r="I382" i="2" s="1"/>
  <c r="E382" i="2"/>
  <c r="E381" i="2"/>
  <c r="G380" i="2"/>
  <c r="F380" i="2"/>
  <c r="K380" i="2" s="1"/>
  <c r="E380" i="2"/>
  <c r="E379" i="2"/>
  <c r="E378" i="2"/>
  <c r="E376" i="2"/>
  <c r="G374" i="2"/>
  <c r="E374" i="2"/>
  <c r="F374" i="2" s="1"/>
  <c r="G373" i="2"/>
  <c r="F373" i="2"/>
  <c r="E373" i="2"/>
  <c r="E372" i="2"/>
  <c r="G370" i="2"/>
  <c r="E370" i="2"/>
  <c r="G369" i="2"/>
  <c r="E369" i="2"/>
  <c r="F368" i="2"/>
  <c r="K368" i="2" s="1"/>
  <c r="E368" i="2"/>
  <c r="G368" i="2" s="1"/>
  <c r="G366" i="2"/>
  <c r="E366" i="2"/>
  <c r="F366" i="2" s="1"/>
  <c r="K366" i="2" s="1"/>
  <c r="G365" i="2"/>
  <c r="F365" i="2"/>
  <c r="E365" i="2"/>
  <c r="I364" i="2"/>
  <c r="E363" i="2"/>
  <c r="G362" i="2"/>
  <c r="F362" i="2"/>
  <c r="K362" i="2" s="1"/>
  <c r="E362" i="2"/>
  <c r="E360" i="2"/>
  <c r="E359" i="2"/>
  <c r="G358" i="2"/>
  <c r="E358" i="2"/>
  <c r="F358" i="2" s="1"/>
  <c r="I358" i="2" s="1"/>
  <c r="G357" i="2"/>
  <c r="F357" i="2"/>
  <c r="E357" i="2"/>
  <c r="E356" i="2"/>
  <c r="G355" i="2"/>
  <c r="E355" i="2"/>
  <c r="F354" i="2"/>
  <c r="G353" i="2"/>
  <c r="F352" i="2"/>
  <c r="E352" i="2"/>
  <c r="G352" i="2" s="1"/>
  <c r="E351" i="2"/>
  <c r="G350" i="2"/>
  <c r="E350" i="2"/>
  <c r="F350" i="2" s="1"/>
  <c r="K350" i="2" s="1"/>
  <c r="G349" i="2"/>
  <c r="F349" i="2"/>
  <c r="E349" i="2"/>
  <c r="G348" i="2"/>
  <c r="F348" i="2"/>
  <c r="I348" i="2" s="1"/>
  <c r="E348" i="2"/>
  <c r="E347" i="2"/>
  <c r="G346" i="2"/>
  <c r="F346" i="2"/>
  <c r="K346" i="2" s="1"/>
  <c r="E346" i="2"/>
  <c r="E343" i="2"/>
  <c r="E341" i="2"/>
  <c r="G340" i="2"/>
  <c r="E340" i="2"/>
  <c r="F340" i="2" s="1"/>
  <c r="I340" i="2" s="1"/>
  <c r="F339" i="2"/>
  <c r="E338" i="2"/>
  <c r="G336" i="2"/>
  <c r="E336" i="2"/>
  <c r="G335" i="2"/>
  <c r="E335" i="2"/>
  <c r="F334" i="2"/>
  <c r="E334" i="2"/>
  <c r="G334" i="2" s="1"/>
  <c r="E333" i="2"/>
  <c r="G332" i="2"/>
  <c r="E332" i="2"/>
  <c r="F332" i="2" s="1"/>
  <c r="K332" i="2" s="1"/>
  <c r="G331" i="2"/>
  <c r="F331" i="2"/>
  <c r="K331" i="2" s="1"/>
  <c r="E331" i="2"/>
  <c r="G330" i="2"/>
  <c r="F330" i="2"/>
  <c r="I330" i="2" s="1"/>
  <c r="E330" i="2"/>
  <c r="F329" i="2"/>
  <c r="E329" i="2"/>
  <c r="G328" i="2"/>
  <c r="F328" i="2"/>
  <c r="K328" i="2" s="1"/>
  <c r="E328" i="2"/>
  <c r="G327" i="2"/>
  <c r="F327" i="2"/>
  <c r="J327" i="2" s="1"/>
  <c r="H327" i="2" s="1"/>
  <c r="E327" i="2"/>
  <c r="E326" i="2"/>
  <c r="E325" i="2"/>
  <c r="G322" i="2"/>
  <c r="E322" i="2"/>
  <c r="F322" i="2" s="1"/>
  <c r="I322" i="2" s="1"/>
  <c r="G321" i="2"/>
  <c r="F321" i="2"/>
  <c r="J321" i="2" s="1"/>
  <c r="H321" i="2" s="1"/>
  <c r="E321" i="2"/>
  <c r="E320" i="2"/>
  <c r="E318" i="2"/>
  <c r="G317" i="2"/>
  <c r="E317" i="2"/>
  <c r="E315" i="2"/>
  <c r="G314" i="2"/>
  <c r="E314" i="2"/>
  <c r="F314" i="2" s="1"/>
  <c r="K314" i="2" s="1"/>
  <c r="G313" i="2"/>
  <c r="F313" i="2"/>
  <c r="K313" i="2" s="1"/>
  <c r="E313" i="2"/>
  <c r="G312" i="2"/>
  <c r="F312" i="2"/>
  <c r="I312" i="2" s="1"/>
  <c r="E312" i="2"/>
  <c r="E311" i="2"/>
  <c r="F310" i="2"/>
  <c r="G307" i="2"/>
  <c r="E307" i="2"/>
  <c r="E305" i="2"/>
  <c r="G304" i="2"/>
  <c r="E304" i="2"/>
  <c r="F304" i="2" s="1"/>
  <c r="I304" i="2" s="1"/>
  <c r="G303" i="2"/>
  <c r="F303" i="2"/>
  <c r="J303" i="2" s="1"/>
  <c r="H303" i="2" s="1"/>
  <c r="E302" i="2"/>
  <c r="G301" i="2"/>
  <c r="F301" i="2"/>
  <c r="E301" i="2"/>
  <c r="F300" i="2"/>
  <c r="G299" i="2"/>
  <c r="E299" i="2"/>
  <c r="E298" i="2"/>
  <c r="E297" i="2"/>
  <c r="G294" i="2"/>
  <c r="E294" i="2"/>
  <c r="F294" i="2" s="1"/>
  <c r="J294" i="2" s="1"/>
  <c r="H294" i="2" s="1"/>
  <c r="G293" i="2"/>
  <c r="F293" i="2"/>
  <c r="K293" i="2" s="1"/>
  <c r="E293" i="2"/>
  <c r="E292" i="2"/>
  <c r="F291" i="2"/>
  <c r="J291" i="2" s="1"/>
  <c r="H291" i="2" s="1"/>
  <c r="E291" i="2"/>
  <c r="E290" i="2"/>
  <c r="G289" i="2"/>
  <c r="F289" i="2"/>
  <c r="E289" i="2"/>
  <c r="G288" i="2"/>
  <c r="E288" i="2"/>
  <c r="F287" i="2"/>
  <c r="E286" i="2"/>
  <c r="E283" i="2"/>
  <c r="G282" i="2"/>
  <c r="E282" i="2"/>
  <c r="F282" i="2" s="1"/>
  <c r="K282" i="2" s="1"/>
  <c r="G281" i="2"/>
  <c r="F281" i="2"/>
  <c r="E281" i="2"/>
  <c r="G279" i="2"/>
  <c r="E279" i="2"/>
  <c r="E277" i="2"/>
  <c r="F276" i="2"/>
  <c r="K276" i="2" s="1"/>
  <c r="E275" i="2"/>
  <c r="G274" i="2"/>
  <c r="E274" i="2"/>
  <c r="F274" i="2" s="1"/>
  <c r="I274" i="2" s="1"/>
  <c r="G273" i="2"/>
  <c r="F273" i="2"/>
  <c r="I273" i="2" s="1"/>
  <c r="E273" i="2"/>
  <c r="E272" i="2"/>
  <c r="E271" i="2"/>
  <c r="G270" i="2"/>
  <c r="F270" i="2"/>
  <c r="K270" i="2" s="1"/>
  <c r="E270" i="2"/>
  <c r="G269" i="2"/>
  <c r="F269" i="2"/>
  <c r="E269" i="2"/>
  <c r="E268" i="2"/>
  <c r="E267" i="2"/>
  <c r="G266" i="2"/>
  <c r="E266" i="2"/>
  <c r="F266" i="2" s="1"/>
  <c r="K266" i="2" s="1"/>
  <c r="F265" i="2"/>
  <c r="E264" i="2"/>
  <c r="G263" i="2"/>
  <c r="E263" i="2"/>
  <c r="E262" i="2"/>
  <c r="E261" i="2"/>
  <c r="F258" i="2"/>
  <c r="K258" i="2" s="1"/>
  <c r="E258" i="2"/>
  <c r="E257" i="2"/>
  <c r="F256" i="2"/>
  <c r="I256" i="2" s="1"/>
  <c r="G255" i="2"/>
  <c r="F255" i="2"/>
  <c r="I255" i="2" s="1"/>
  <c r="E255" i="2"/>
  <c r="E254" i="2"/>
  <c r="E253" i="2"/>
  <c r="G252" i="2"/>
  <c r="F252" i="2"/>
  <c r="K252" i="2" s="1"/>
  <c r="E252" i="2"/>
  <c r="G251" i="2"/>
  <c r="F251" i="2"/>
  <c r="E251" i="2"/>
  <c r="E250" i="2"/>
  <c r="G248" i="2"/>
  <c r="E248" i="2"/>
  <c r="F248" i="2" s="1"/>
  <c r="K248" i="2" s="1"/>
  <c r="G247" i="2"/>
  <c r="F247" i="2"/>
  <c r="E247" i="2"/>
  <c r="E246" i="2"/>
  <c r="G245" i="2"/>
  <c r="F245" i="2"/>
  <c r="E245" i="2"/>
  <c r="E243" i="2"/>
  <c r="F242" i="2"/>
  <c r="K242" i="2" s="1"/>
  <c r="E242" i="2"/>
  <c r="E239" i="2"/>
  <c r="G238" i="2"/>
  <c r="F238" i="2"/>
  <c r="K238" i="2" s="1"/>
  <c r="E238" i="2"/>
  <c r="G237" i="2"/>
  <c r="F237" i="2"/>
  <c r="K237" i="2" s="1"/>
  <c r="E237" i="2"/>
  <c r="G235" i="2"/>
  <c r="F235" i="2"/>
  <c r="E235" i="2"/>
  <c r="G233" i="2"/>
  <c r="F233" i="2"/>
  <c r="K233" i="2" s="1"/>
  <c r="E233" i="2"/>
  <c r="E232" i="2"/>
  <c r="E231" i="2"/>
  <c r="G230" i="2"/>
  <c r="E230" i="2"/>
  <c r="F230" i="2" s="1"/>
  <c r="K230" i="2" s="1"/>
  <c r="G229" i="2"/>
  <c r="F229" i="2"/>
  <c r="E229" i="2"/>
  <c r="G227" i="2"/>
  <c r="F227" i="2"/>
  <c r="I227" i="2" s="1"/>
  <c r="E227" i="2"/>
  <c r="E224" i="2"/>
  <c r="F223" i="2"/>
  <c r="G222" i="2"/>
  <c r="G221" i="2"/>
  <c r="F221" i="2"/>
  <c r="K221" i="2" s="1"/>
  <c r="E221" i="2"/>
  <c r="E220" i="2"/>
  <c r="E219" i="2"/>
  <c r="G218" i="2"/>
  <c r="F218" i="2"/>
  <c r="K218" i="2" s="1"/>
  <c r="E218" i="2"/>
  <c r="K217" i="2"/>
  <c r="E216" i="2"/>
  <c r="E215" i="2"/>
  <c r="G215" i="2" s="1"/>
  <c r="G214" i="2"/>
  <c r="E214" i="2"/>
  <c r="F214" i="2" s="1"/>
  <c r="K214" i="2" s="1"/>
  <c r="G211" i="2"/>
  <c r="F211" i="2"/>
  <c r="K211" i="2" s="1"/>
  <c r="E211" i="2"/>
  <c r="E209" i="2"/>
  <c r="E208" i="2"/>
  <c r="E207" i="2"/>
  <c r="G207" i="2" s="1"/>
  <c r="E205" i="2"/>
  <c r="G205" i="2" s="1"/>
  <c r="E204" i="2"/>
  <c r="F203" i="2"/>
  <c r="G202" i="2"/>
  <c r="F202" i="2"/>
  <c r="K202" i="2" s="1"/>
  <c r="E202" i="2"/>
  <c r="E201" i="2"/>
  <c r="G200" i="2"/>
  <c r="E200" i="2"/>
  <c r="G197" i="2"/>
  <c r="E197" i="2"/>
  <c r="E194" i="2"/>
  <c r="F194" i="2" s="1"/>
  <c r="K194" i="2" s="1"/>
  <c r="G193" i="2"/>
  <c r="F193" i="2"/>
  <c r="K193" i="2" s="1"/>
  <c r="E193" i="2"/>
  <c r="E192" i="2"/>
  <c r="G191" i="2"/>
  <c r="F191" i="2"/>
  <c r="E191" i="2"/>
  <c r="G189" i="2"/>
  <c r="E189" i="2"/>
  <c r="G188" i="2"/>
  <c r="E188" i="2"/>
  <c r="E186" i="2"/>
  <c r="F185" i="2"/>
  <c r="I185" i="2" s="1"/>
  <c r="G184" i="2"/>
  <c r="E184" i="2"/>
  <c r="F184" i="2" s="1"/>
  <c r="K184" i="2" s="1"/>
  <c r="G182" i="2"/>
  <c r="E182" i="2"/>
  <c r="E181" i="2"/>
  <c r="E179" i="2"/>
  <c r="E178" i="2"/>
  <c r="G177" i="2"/>
  <c r="F177" i="2"/>
  <c r="J177" i="2" s="1"/>
  <c r="H177" i="2" s="1"/>
  <c r="E177" i="2"/>
  <c r="E176" i="2"/>
  <c r="E172" i="2"/>
  <c r="G171" i="2"/>
  <c r="F171" i="2"/>
  <c r="E171" i="2"/>
  <c r="E170" i="2"/>
  <c r="E169" i="2"/>
  <c r="G169" i="2" s="1"/>
  <c r="E168" i="2"/>
  <c r="G167" i="2"/>
  <c r="F167" i="2"/>
  <c r="E167" i="2"/>
  <c r="G166" i="2"/>
  <c r="F166" i="2"/>
  <c r="K166" i="2" s="1"/>
  <c r="E166" i="2"/>
  <c r="E165" i="2"/>
  <c r="G164" i="2"/>
  <c r="E164" i="2"/>
  <c r="E163" i="2"/>
  <c r="G163" i="2" s="1"/>
  <c r="E162" i="2"/>
  <c r="E161" i="2"/>
  <c r="E160" i="2"/>
  <c r="F160" i="2" s="1"/>
  <c r="K160" i="2" s="1"/>
  <c r="G159" i="2"/>
  <c r="F159" i="2"/>
  <c r="K159" i="2" s="1"/>
  <c r="E159" i="2"/>
  <c r="E158" i="2"/>
  <c r="G157" i="2"/>
  <c r="F157" i="2"/>
  <c r="E157" i="2"/>
  <c r="E156" i="2"/>
  <c r="E154" i="2"/>
  <c r="G154" i="2" s="1"/>
  <c r="E153" i="2"/>
  <c r="E152" i="2"/>
  <c r="G151" i="2"/>
  <c r="F151" i="2"/>
  <c r="I151" i="2" s="1"/>
  <c r="E151" i="2"/>
  <c r="G150" i="2"/>
  <c r="E150" i="2"/>
  <c r="F150" i="2" s="1"/>
  <c r="K150" i="2" s="1"/>
  <c r="G149" i="2"/>
  <c r="E149" i="2"/>
  <c r="E145" i="2"/>
  <c r="E143" i="2"/>
  <c r="G142" i="2"/>
  <c r="E142" i="2"/>
  <c r="G141" i="2"/>
  <c r="F141" i="2"/>
  <c r="J141" i="2" s="1"/>
  <c r="H141" i="2" s="1"/>
  <c r="E141" i="2"/>
  <c r="E140" i="2"/>
  <c r="G139" i="2"/>
  <c r="E139" i="2"/>
  <c r="E138" i="2"/>
  <c r="G137" i="2"/>
  <c r="E137" i="2"/>
  <c r="E133" i="2"/>
  <c r="G133" i="2" s="1"/>
  <c r="G131" i="2"/>
  <c r="F131" i="2"/>
  <c r="E131" i="2"/>
  <c r="G130" i="2"/>
  <c r="E130" i="2"/>
  <c r="E129" i="2"/>
  <c r="G128" i="2"/>
  <c r="E128" i="2"/>
  <c r="E127" i="2"/>
  <c r="G126" i="2"/>
  <c r="E126" i="2"/>
  <c r="E125" i="2"/>
  <c r="F125" i="2" s="1"/>
  <c r="E124" i="2"/>
  <c r="F124" i="2" s="1"/>
  <c r="K124" i="2" s="1"/>
  <c r="G123" i="2"/>
  <c r="F123" i="2"/>
  <c r="K123" i="2" s="1"/>
  <c r="E123" i="2"/>
  <c r="G121" i="2"/>
  <c r="F121" i="2"/>
  <c r="E121" i="2"/>
  <c r="E120" i="2"/>
  <c r="E116" i="2"/>
  <c r="F116" i="2" s="1"/>
  <c r="F115" i="2"/>
  <c r="I115" i="2" s="1"/>
  <c r="E115" i="2"/>
  <c r="E114" i="2"/>
  <c r="F113" i="2"/>
  <c r="I113" i="2" s="1"/>
  <c r="G112" i="2"/>
  <c r="E112" i="2"/>
  <c r="F112" i="2" s="1"/>
  <c r="I112" i="2" s="1"/>
  <c r="E111" i="2"/>
  <c r="E110" i="2"/>
  <c r="F109" i="2"/>
  <c r="E109" i="2"/>
  <c r="E107" i="2"/>
  <c r="G105" i="2"/>
  <c r="E105" i="2"/>
  <c r="E104" i="2"/>
  <c r="E103" i="2"/>
  <c r="G102" i="2"/>
  <c r="K102" i="2"/>
  <c r="G101" i="2"/>
  <c r="F101" i="2"/>
  <c r="K101" i="2" s="1"/>
  <c r="E101" i="2"/>
  <c r="E100" i="2"/>
  <c r="G100" i="2" s="1"/>
  <c r="G99" i="2"/>
  <c r="F99" i="2"/>
  <c r="J99" i="2" s="1"/>
  <c r="H99" i="2" s="1"/>
  <c r="E99" i="2"/>
  <c r="E98" i="2"/>
  <c r="F97" i="2"/>
  <c r="J97" i="2" s="1"/>
  <c r="H97" i="2" s="1"/>
  <c r="E97" i="2"/>
  <c r="E95" i="2"/>
  <c r="G94" i="2"/>
  <c r="E94" i="2"/>
  <c r="F94" i="2" s="1"/>
  <c r="J94" i="2" s="1"/>
  <c r="H94" i="2" s="1"/>
  <c r="F93" i="2"/>
  <c r="E92" i="2"/>
  <c r="F91" i="2"/>
  <c r="I91" i="2" s="1"/>
  <c r="E88" i="2"/>
  <c r="F87" i="2"/>
  <c r="J87" i="2" s="1"/>
  <c r="H87" i="2" s="1"/>
  <c r="E86" i="2"/>
  <c r="G84" i="2"/>
  <c r="E84" i="2"/>
  <c r="F84" i="2" s="1"/>
  <c r="K84" i="2" s="1"/>
  <c r="G83" i="2"/>
  <c r="F83" i="2"/>
  <c r="K83" i="2" s="1"/>
  <c r="E83" i="2"/>
  <c r="E82" i="2"/>
  <c r="G78" i="2"/>
  <c r="E78" i="2"/>
  <c r="E77" i="2"/>
  <c r="E75" i="2"/>
  <c r="G74" i="2"/>
  <c r="E74" i="2"/>
  <c r="F74" i="2" s="1"/>
  <c r="K74" i="2" s="1"/>
  <c r="G73" i="2"/>
  <c r="F73" i="2"/>
  <c r="J73" i="2" s="1"/>
  <c r="H73" i="2" s="1"/>
  <c r="E73" i="2"/>
  <c r="G72" i="2"/>
  <c r="E72" i="2"/>
  <c r="G71" i="2"/>
  <c r="F71" i="2"/>
  <c r="I71" i="2" s="1"/>
  <c r="E71" i="2"/>
  <c r="E70" i="2"/>
  <c r="F69" i="2"/>
  <c r="J69" i="2" s="1"/>
  <c r="H69" i="2" s="1"/>
  <c r="E69" i="2"/>
  <c r="E67" i="2"/>
  <c r="G66" i="2"/>
  <c r="E66" i="2"/>
  <c r="F66" i="2" s="1"/>
  <c r="J66" i="2" s="1"/>
  <c r="H66" i="2" s="1"/>
  <c r="F65" i="2"/>
  <c r="J65" i="2" s="1"/>
  <c r="E64" i="2"/>
  <c r="G62" i="2"/>
  <c r="E62" i="2"/>
  <c r="E61" i="2"/>
  <c r="E59" i="2"/>
  <c r="G59" i="2" s="1"/>
  <c r="E56" i="2"/>
  <c r="G55" i="2"/>
  <c r="F55" i="2"/>
  <c r="K55" i="2" s="1"/>
  <c r="E55" i="2"/>
  <c r="E54" i="2"/>
  <c r="G53" i="2"/>
  <c r="E53" i="2"/>
  <c r="G52" i="2"/>
  <c r="E52" i="2"/>
  <c r="E50" i="2"/>
  <c r="E49" i="2"/>
  <c r="G49" i="2" s="1"/>
  <c r="F48" i="2"/>
  <c r="I48" i="2" s="1"/>
  <c r="G47" i="2"/>
  <c r="F47" i="2"/>
  <c r="E47" i="2"/>
  <c r="E46" i="2"/>
  <c r="E45" i="2"/>
  <c r="G45" i="2" s="1"/>
  <c r="G43" i="2"/>
  <c r="E43" i="2"/>
  <c r="E41" i="2"/>
  <c r="G41" i="2" s="1"/>
  <c r="E40" i="2"/>
  <c r="F40" i="2" s="1"/>
  <c r="K40" i="2" s="1"/>
  <c r="G39" i="2"/>
  <c r="F39" i="2"/>
  <c r="J39" i="2" s="1"/>
  <c r="H39" i="2" s="1"/>
  <c r="E39" i="2"/>
  <c r="G38" i="2"/>
  <c r="E38" i="2"/>
  <c r="F38" i="2" s="1"/>
  <c r="F37" i="2"/>
  <c r="E37" i="2"/>
  <c r="E34" i="2"/>
  <c r="G32" i="2"/>
  <c r="E32" i="2"/>
  <c r="F32" i="2" s="1"/>
  <c r="I32" i="2" s="1"/>
  <c r="E31" i="2"/>
  <c r="F31" i="2" s="1"/>
  <c r="F30" i="2"/>
  <c r="G29" i="2"/>
  <c r="F29" i="2"/>
  <c r="I29" i="2" s="1"/>
  <c r="E29" i="2"/>
  <c r="G28" i="2"/>
  <c r="F28" i="2"/>
  <c r="K28" i="2" s="1"/>
  <c r="E26" i="2"/>
  <c r="G23" i="2"/>
  <c r="E22" i="2"/>
  <c r="G22" i="2" s="1"/>
  <c r="G21" i="2"/>
  <c r="F21" i="2"/>
  <c r="K21" i="2" s="1"/>
  <c r="E21" i="2"/>
  <c r="G18" i="2"/>
  <c r="E18" i="2"/>
  <c r="E13" i="2"/>
  <c r="G13" i="2" s="1"/>
  <c r="E12" i="2"/>
  <c r="F12" i="2" s="1"/>
  <c r="K12" i="2" s="1"/>
  <c r="G11" i="2"/>
  <c r="F11" i="2"/>
  <c r="E11" i="2"/>
  <c r="E10" i="2"/>
  <c r="G8" i="2"/>
  <c r="E8" i="2"/>
  <c r="G7" i="2"/>
  <c r="E7" i="2"/>
  <c r="E4" i="2"/>
  <c r="F4" i="2" s="1"/>
  <c r="K4" i="2" s="1"/>
  <c r="K3" i="2"/>
  <c r="F3" i="2"/>
  <c r="J3" i="2" s="1"/>
  <c r="K99" i="2" l="1"/>
  <c r="K402" i="2"/>
  <c r="K39" i="2"/>
  <c r="I218" i="2"/>
  <c r="I248" i="2"/>
  <c r="I238" i="2"/>
  <c r="K294" i="2"/>
  <c r="J562" i="2"/>
  <c r="H562" i="2" s="1"/>
  <c r="J574" i="2"/>
  <c r="K584" i="2" s="1"/>
  <c r="I585" i="2"/>
  <c r="K559" i="2"/>
  <c r="I39" i="2"/>
  <c r="K273" i="2"/>
  <c r="J402" i="2"/>
  <c r="H402" i="2" s="1"/>
  <c r="I193" i="2"/>
  <c r="I266" i="2"/>
  <c r="I294" i="2"/>
  <c r="K485" i="2"/>
  <c r="J185" i="2"/>
  <c r="J238" i="2"/>
  <c r="H238" i="2" s="1"/>
  <c r="J477" i="2"/>
  <c r="H477" i="2" s="1"/>
  <c r="J510" i="2"/>
  <c r="H510" i="2" s="1"/>
  <c r="K477" i="2"/>
  <c r="I595" i="2"/>
  <c r="I12" i="2"/>
  <c r="K151" i="2"/>
  <c r="J437" i="2"/>
  <c r="H437" i="2" s="1"/>
  <c r="K425" i="2"/>
  <c r="K427" i="2"/>
  <c r="K433" i="2"/>
  <c r="K437" i="2"/>
  <c r="I559" i="2"/>
  <c r="K255" i="2"/>
  <c r="I616" i="2"/>
  <c r="I84" i="2"/>
  <c r="K185" i="2"/>
  <c r="I237" i="2"/>
  <c r="J248" i="2"/>
  <c r="H248" i="2" s="1"/>
  <c r="I332" i="2"/>
  <c r="I523" i="2"/>
  <c r="J368" i="2"/>
  <c r="H368" i="2" s="1"/>
  <c r="I28" i="2"/>
  <c r="J84" i="2"/>
  <c r="H84" i="2" s="1"/>
  <c r="K91" i="2"/>
  <c r="J193" i="2"/>
  <c r="H193" i="2" s="1"/>
  <c r="J237" i="2"/>
  <c r="H237" i="2" s="1"/>
  <c r="I102" i="2"/>
  <c r="I505" i="2"/>
  <c r="K574" i="2"/>
  <c r="J223" i="2"/>
  <c r="H223" i="2" s="1"/>
  <c r="I99" i="2"/>
  <c r="J102" i="2"/>
  <c r="H102" i="2" s="1"/>
  <c r="I384" i="2"/>
  <c r="J505" i="2"/>
  <c r="H505" i="2" s="1"/>
  <c r="I538" i="2"/>
  <c r="K597" i="2"/>
  <c r="I159" i="2"/>
  <c r="J384" i="2"/>
  <c r="H384" i="2" s="1"/>
  <c r="I485" i="2"/>
  <c r="I493" i="2"/>
  <c r="I572" i="2"/>
  <c r="I588" i="2"/>
  <c r="J540" i="2"/>
  <c r="K29" i="2"/>
  <c r="J151" i="2"/>
  <c r="H151" i="2" s="1"/>
  <c r="J159" i="2"/>
  <c r="H159" i="2" s="1"/>
  <c r="H3" i="2"/>
  <c r="J4" i="2"/>
  <c r="H4" i="2" s="1"/>
  <c r="J12" i="2"/>
  <c r="H12" i="2" s="1"/>
  <c r="J28" i="2"/>
  <c r="H28" i="2" s="1"/>
  <c r="I66" i="2"/>
  <c r="K69" i="2"/>
  <c r="I83" i="2"/>
  <c r="I94" i="2"/>
  <c r="I184" i="2"/>
  <c r="I214" i="2"/>
  <c r="J266" i="2"/>
  <c r="H266" i="2" s="1"/>
  <c r="I282" i="2"/>
  <c r="I314" i="2"/>
  <c r="J332" i="2"/>
  <c r="H332" i="2" s="1"/>
  <c r="J348" i="2"/>
  <c r="H348" i="2" s="1"/>
  <c r="I350" i="2"/>
  <c r="I504" i="2"/>
  <c r="K509" i="2"/>
  <c r="J523" i="2"/>
  <c r="H523" i="2" s="1"/>
  <c r="I526" i="2"/>
  <c r="J546" i="2"/>
  <c r="H546" i="2" s="1"/>
  <c r="J556" i="2"/>
  <c r="H556" i="2" s="1"/>
  <c r="K595" i="2"/>
  <c r="J83" i="2"/>
  <c r="H83" i="2" s="1"/>
  <c r="J113" i="2"/>
  <c r="J160" i="2"/>
  <c r="H160" i="2" s="1"/>
  <c r="J184" i="2"/>
  <c r="H184" i="2" s="1"/>
  <c r="J214" i="2"/>
  <c r="H214" i="2" s="1"/>
  <c r="J217" i="2"/>
  <c r="J282" i="2"/>
  <c r="H282" i="2" s="1"/>
  <c r="J314" i="2"/>
  <c r="H314" i="2" s="1"/>
  <c r="J350" i="2"/>
  <c r="H350" i="2" s="1"/>
  <c r="J504" i="2"/>
  <c r="I522" i="2"/>
  <c r="I541" i="2"/>
  <c r="J571" i="2"/>
  <c r="H571" i="2" s="1"/>
  <c r="I575" i="2"/>
  <c r="I580" i="2"/>
  <c r="I598" i="2"/>
  <c r="K543" i="2"/>
  <c r="K613" i="2"/>
  <c r="J48" i="2"/>
  <c r="H48" i="2" s="1"/>
  <c r="K66" i="2"/>
  <c r="K73" i="2"/>
  <c r="K94" i="2"/>
  <c r="K113" i="2"/>
  <c r="J194" i="2"/>
  <c r="H194" i="2" s="1"/>
  <c r="I293" i="2"/>
  <c r="I313" i="2"/>
  <c r="J364" i="2"/>
  <c r="I418" i="2"/>
  <c r="J522" i="2"/>
  <c r="H522" i="2" s="1"/>
  <c r="J541" i="2"/>
  <c r="H541" i="2" s="1"/>
  <c r="J575" i="2"/>
  <c r="H575" i="2" s="1"/>
  <c r="J598" i="2"/>
  <c r="H598" i="2" s="1"/>
  <c r="K497" i="2"/>
  <c r="J40" i="2"/>
  <c r="H40" i="2" s="1"/>
  <c r="K48" i="2"/>
  <c r="I65" i="2"/>
  <c r="J124" i="2"/>
  <c r="H124" i="2" s="1"/>
  <c r="J233" i="2"/>
  <c r="H233" i="2" s="1"/>
  <c r="J293" i="2"/>
  <c r="H293" i="2" s="1"/>
  <c r="J313" i="2"/>
  <c r="H313" i="2" s="1"/>
  <c r="I331" i="2"/>
  <c r="I366" i="2"/>
  <c r="I416" i="2"/>
  <c r="K418" i="2"/>
  <c r="I427" i="2"/>
  <c r="I520" i="2"/>
  <c r="I544" i="2"/>
  <c r="I556" i="2"/>
  <c r="J572" i="2"/>
  <c r="H572" i="2" s="1"/>
  <c r="I3" i="2"/>
  <c r="J29" i="2"/>
  <c r="H29" i="2" s="1"/>
  <c r="I211" i="2"/>
  <c r="J330" i="2"/>
  <c r="H330" i="2" s="1"/>
  <c r="J331" i="2"/>
  <c r="H331" i="2" s="1"/>
  <c r="J366" i="2"/>
  <c r="H366" i="2" s="1"/>
  <c r="K520" i="2"/>
  <c r="J538" i="2"/>
  <c r="H538" i="2" s="1"/>
  <c r="J582" i="2"/>
  <c r="H582" i="2" s="1"/>
  <c r="J211" i="2"/>
  <c r="H211" i="2" s="1"/>
  <c r="K627" i="2"/>
  <c r="F195" i="2"/>
  <c r="G26" i="2"/>
  <c r="K37" i="2"/>
  <c r="G37" i="2"/>
  <c r="J37" i="2"/>
  <c r="H37" i="2" s="1"/>
  <c r="I37" i="2"/>
  <c r="K47" i="2"/>
  <c r="I47" i="2"/>
  <c r="J47" i="2"/>
  <c r="H47" i="2" s="1"/>
  <c r="G153" i="2"/>
  <c r="F153" i="2"/>
  <c r="K153" i="2" s="1"/>
  <c r="F158" i="2"/>
  <c r="K158" i="2" s="1"/>
  <c r="G158" i="2"/>
  <c r="G412" i="2"/>
  <c r="F412" i="2"/>
  <c r="J412" i="2" s="1"/>
  <c r="H412" i="2" s="1"/>
  <c r="F132" i="2"/>
  <c r="G96" i="2"/>
  <c r="K96" i="2"/>
  <c r="G140" i="2"/>
  <c r="F140" i="2"/>
  <c r="K140" i="2" s="1"/>
  <c r="G618" i="2"/>
  <c r="F618" i="2"/>
  <c r="J618" i="2" s="1"/>
  <c r="H618" i="2" s="1"/>
  <c r="F6" i="2"/>
  <c r="I6" i="2" s="1"/>
  <c r="I15" i="2"/>
  <c r="F26" i="2"/>
  <c r="J26" i="2" s="1"/>
  <c r="H26" i="2" s="1"/>
  <c r="J32" i="2"/>
  <c r="H32" i="2" s="1"/>
  <c r="K32" i="2"/>
  <c r="F186" i="2"/>
  <c r="K186" i="2" s="1"/>
  <c r="G186" i="2"/>
  <c r="G326" i="2"/>
  <c r="F326" i="2"/>
  <c r="J326" i="2" s="1"/>
  <c r="H326" i="2" s="1"/>
  <c r="F22" i="2"/>
  <c r="K22" i="2" s="1"/>
  <c r="G46" i="2"/>
  <c r="F46" i="2"/>
  <c r="I46" i="2" s="1"/>
  <c r="F106" i="2"/>
  <c r="K106" i="2" s="1"/>
  <c r="F42" i="2"/>
  <c r="K42" i="2" s="1"/>
  <c r="G42" i="2"/>
  <c r="G104" i="2"/>
  <c r="F104" i="2"/>
  <c r="J104" i="2" s="1"/>
  <c r="H104" i="2" s="1"/>
  <c r="G162" i="2"/>
  <c r="F162" i="2"/>
  <c r="J162" i="2" s="1"/>
  <c r="H162" i="2" s="1"/>
  <c r="G82" i="2"/>
  <c r="F82" i="2"/>
  <c r="I82" i="2" s="1"/>
  <c r="F51" i="2"/>
  <c r="I51" i="2" s="1"/>
  <c r="F68" i="2"/>
  <c r="J68" i="2" s="1"/>
  <c r="H68" i="2" s="1"/>
  <c r="G86" i="2"/>
  <c r="F86" i="2"/>
  <c r="I86" i="2" s="1"/>
  <c r="F138" i="2"/>
  <c r="J138" i="2" s="1"/>
  <c r="H138" i="2" s="1"/>
  <c r="G138" i="2"/>
  <c r="G292" i="2"/>
  <c r="F292" i="2"/>
  <c r="J292" i="2" s="1"/>
  <c r="H292" i="2" s="1"/>
  <c r="G64" i="2"/>
  <c r="F64" i="2"/>
  <c r="I64" i="2" s="1"/>
  <c r="G31" i="2"/>
  <c r="I31" i="2"/>
  <c r="K31" i="2"/>
  <c r="J31" i="2"/>
  <c r="H31" i="2" s="1"/>
  <c r="G10" i="2"/>
  <c r="I38" i="2"/>
  <c r="J38" i="2"/>
  <c r="H38" i="2" s="1"/>
  <c r="F10" i="2"/>
  <c r="K10" i="2" s="1"/>
  <c r="I11" i="2"/>
  <c r="K11" i="2"/>
  <c r="J11" i="2"/>
  <c r="H11" i="2" s="1"/>
  <c r="F56" i="2"/>
  <c r="K56" i="2" s="1"/>
  <c r="G56" i="2"/>
  <c r="G110" i="2"/>
  <c r="F110" i="2"/>
  <c r="J110" i="2" s="1"/>
  <c r="H110" i="2" s="1"/>
  <c r="F178" i="2"/>
  <c r="J178" i="2" s="1"/>
  <c r="H178" i="2" s="1"/>
  <c r="J229" i="2"/>
  <c r="H229" i="2" s="1"/>
  <c r="K229" i="2"/>
  <c r="I229" i="2"/>
  <c r="F207" i="2"/>
  <c r="K207" i="2" s="1"/>
  <c r="F361" i="2"/>
  <c r="J361" i="2" s="1"/>
  <c r="H361" i="2" s="1"/>
  <c r="G483" i="2"/>
  <c r="F77" i="2"/>
  <c r="J77" i="2" s="1"/>
  <c r="H77" i="2" s="1"/>
  <c r="F98" i="2"/>
  <c r="K98" i="2" s="1"/>
  <c r="G143" i="2"/>
  <c r="F143" i="2"/>
  <c r="I143" i="2" s="1"/>
  <c r="G178" i="2"/>
  <c r="F192" i="2"/>
  <c r="K192" i="2" s="1"/>
  <c r="I339" i="2"/>
  <c r="J339" i="2"/>
  <c r="F483" i="2"/>
  <c r="I483" i="2" s="1"/>
  <c r="F14" i="2"/>
  <c r="K14" i="2" s="1"/>
  <c r="G61" i="2"/>
  <c r="G67" i="2"/>
  <c r="F67" i="2"/>
  <c r="K67" i="2" s="1"/>
  <c r="F70" i="2"/>
  <c r="J70" i="2" s="1"/>
  <c r="H70" i="2" s="1"/>
  <c r="G98" i="2"/>
  <c r="G129" i="2"/>
  <c r="G156" i="2"/>
  <c r="F156" i="2"/>
  <c r="J156" i="2" s="1"/>
  <c r="H156" i="2" s="1"/>
  <c r="F187" i="2"/>
  <c r="G192" i="2"/>
  <c r="F196" i="2"/>
  <c r="I196" i="2" s="1"/>
  <c r="F210" i="2"/>
  <c r="F220" i="2"/>
  <c r="I220" i="2" s="1"/>
  <c r="G250" i="2"/>
  <c r="F250" i="2"/>
  <c r="J250" i="2" s="1"/>
  <c r="H250" i="2" s="1"/>
  <c r="G14" i="2"/>
  <c r="G54" i="2"/>
  <c r="G70" i="2"/>
  <c r="I74" i="2"/>
  <c r="I93" i="2"/>
  <c r="I101" i="2"/>
  <c r="F111" i="2"/>
  <c r="J111" i="2" s="1"/>
  <c r="H111" i="2" s="1"/>
  <c r="F114" i="2"/>
  <c r="J114" i="2" s="1"/>
  <c r="H114" i="2" s="1"/>
  <c r="G116" i="2"/>
  <c r="G120" i="2"/>
  <c r="I123" i="2"/>
  <c r="K131" i="2"/>
  <c r="J131" i="2"/>
  <c r="H131" i="2" s="1"/>
  <c r="K141" i="2"/>
  <c r="I141" i="2"/>
  <c r="G179" i="2"/>
  <c r="F179" i="2"/>
  <c r="I179" i="2" s="1"/>
  <c r="G181" i="2"/>
  <c r="F181" i="2"/>
  <c r="I181" i="2" s="1"/>
  <c r="K203" i="2"/>
  <c r="J203" i="2"/>
  <c r="I203" i="2"/>
  <c r="G208" i="2"/>
  <c r="F208" i="2"/>
  <c r="I208" i="2" s="1"/>
  <c r="G216" i="2"/>
  <c r="G220" i="2"/>
  <c r="J230" i="2"/>
  <c r="H230" i="2" s="1"/>
  <c r="I230" i="2"/>
  <c r="F244" i="2"/>
  <c r="J244" i="2" s="1"/>
  <c r="I247" i="2"/>
  <c r="J247" i="2"/>
  <c r="H247" i="2" s="1"/>
  <c r="K247" i="2"/>
  <c r="G253" i="2"/>
  <c r="F253" i="2"/>
  <c r="K253" i="2" s="1"/>
  <c r="F261" i="2"/>
  <c r="I261" i="2" s="1"/>
  <c r="G261" i="2"/>
  <c r="I265" i="2"/>
  <c r="J265" i="2"/>
  <c r="G271" i="2"/>
  <c r="F271" i="2"/>
  <c r="J271" i="2" s="1"/>
  <c r="H271" i="2" s="1"/>
  <c r="F277" i="2"/>
  <c r="I277" i="2" s="1"/>
  <c r="G277" i="2"/>
  <c r="I281" i="2"/>
  <c r="J281" i="2"/>
  <c r="H281" i="2" s="1"/>
  <c r="K281" i="2"/>
  <c r="G315" i="2"/>
  <c r="F315" i="2"/>
  <c r="K315" i="2" s="1"/>
  <c r="K349" i="2"/>
  <c r="J349" i="2"/>
  <c r="H349" i="2" s="1"/>
  <c r="I349" i="2"/>
  <c r="J365" i="2"/>
  <c r="H365" i="2" s="1"/>
  <c r="I365" i="2"/>
  <c r="K365" i="2"/>
  <c r="G397" i="2"/>
  <c r="F397" i="2"/>
  <c r="K397" i="2" s="1"/>
  <c r="F183" i="2"/>
  <c r="I183" i="2" s="1"/>
  <c r="G219" i="2"/>
  <c r="J445" i="2"/>
  <c r="H445" i="2" s="1"/>
  <c r="K445" i="2"/>
  <c r="I445" i="2"/>
  <c r="F127" i="2"/>
  <c r="J127" i="2" s="1"/>
  <c r="H127" i="2" s="1"/>
  <c r="G145" i="2"/>
  <c r="F145" i="2"/>
  <c r="K145" i="2" s="1"/>
  <c r="F172" i="2"/>
  <c r="I172" i="2" s="1"/>
  <c r="F345" i="2"/>
  <c r="F406" i="2"/>
  <c r="J406" i="2" s="1"/>
  <c r="H406" i="2" s="1"/>
  <c r="F442" i="2"/>
  <c r="J442" i="2" s="1"/>
  <c r="H442" i="2" s="1"/>
  <c r="F20" i="2"/>
  <c r="K20" i="2" s="1"/>
  <c r="F50" i="2"/>
  <c r="K50" i="2" s="1"/>
  <c r="F54" i="2"/>
  <c r="K54" i="2" s="1"/>
  <c r="G77" i="2"/>
  <c r="J85" i="2"/>
  <c r="H85" i="2" s="1"/>
  <c r="G88" i="2"/>
  <c r="F100" i="2"/>
  <c r="K100" i="2" s="1"/>
  <c r="G125" i="2"/>
  <c r="K125" i="2"/>
  <c r="I125" i="2"/>
  <c r="G127" i="2"/>
  <c r="F154" i="2"/>
  <c r="J154" i="2" s="1"/>
  <c r="H154" i="2" s="1"/>
  <c r="F163" i="2"/>
  <c r="I163" i="2" s="1"/>
  <c r="G172" i="2"/>
  <c r="F216" i="2"/>
  <c r="J216" i="2" s="1"/>
  <c r="H216" i="2" s="1"/>
  <c r="F222" i="2"/>
  <c r="K222" i="2" s="1"/>
  <c r="F243" i="2"/>
  <c r="I243" i="2" s="1"/>
  <c r="G243" i="2"/>
  <c r="G318" i="2"/>
  <c r="F318" i="2"/>
  <c r="J318" i="2" s="1"/>
  <c r="H318" i="2" s="1"/>
  <c r="J354" i="2"/>
  <c r="H354" i="2" s="1"/>
  <c r="I354" i="2"/>
  <c r="K354" i="2"/>
  <c r="G9" i="2"/>
  <c r="G34" i="2"/>
  <c r="K38" i="2"/>
  <c r="G50" i="2"/>
  <c r="F63" i="2"/>
  <c r="F81" i="2"/>
  <c r="G92" i="2"/>
  <c r="G95" i="2"/>
  <c r="F95" i="2"/>
  <c r="J95" i="2" s="1"/>
  <c r="H95" i="2" s="1"/>
  <c r="G103" i="2"/>
  <c r="F103" i="2"/>
  <c r="J103" i="2" s="1"/>
  <c r="H103" i="2" s="1"/>
  <c r="G107" i="2"/>
  <c r="F107" i="2"/>
  <c r="J107" i="2" s="1"/>
  <c r="H107" i="2" s="1"/>
  <c r="J112" i="2"/>
  <c r="H112" i="2" s="1"/>
  <c r="F129" i="2"/>
  <c r="I129" i="2" s="1"/>
  <c r="G4" i="2"/>
  <c r="F8" i="2"/>
  <c r="F13" i="2"/>
  <c r="I13" i="2" s="1"/>
  <c r="F19" i="2"/>
  <c r="I21" i="2"/>
  <c r="F24" i="2"/>
  <c r="I30" i="2"/>
  <c r="F33" i="2"/>
  <c r="I33" i="2" s="1"/>
  <c r="G40" i="2"/>
  <c r="J44" i="2"/>
  <c r="F49" i="2"/>
  <c r="I49" i="2" s="1"/>
  <c r="F53" i="2"/>
  <c r="K53" i="2" s="1"/>
  <c r="I55" i="2"/>
  <c r="F60" i="2"/>
  <c r="J60" i="2" s="1"/>
  <c r="I69" i="2"/>
  <c r="F72" i="2"/>
  <c r="J74" i="2"/>
  <c r="H74" i="2" s="1"/>
  <c r="F76" i="2"/>
  <c r="J76" i="2" s="1"/>
  <c r="K87" i="2"/>
  <c r="I87" i="2"/>
  <c r="J93" i="2"/>
  <c r="K97" i="2"/>
  <c r="I97" i="2"/>
  <c r="J101" i="2"/>
  <c r="H101" i="2" s="1"/>
  <c r="F105" i="2"/>
  <c r="I105" i="2" s="1"/>
  <c r="I109" i="2"/>
  <c r="K109" i="2"/>
  <c r="G109" i="2"/>
  <c r="G111" i="2"/>
  <c r="K112" i="2"/>
  <c r="G114" i="2"/>
  <c r="I116" i="2"/>
  <c r="F120" i="2"/>
  <c r="I120" i="2" s="1"/>
  <c r="J123" i="2"/>
  <c r="H123" i="2" s="1"/>
  <c r="J125" i="2"/>
  <c r="H125" i="2" s="1"/>
  <c r="F137" i="2"/>
  <c r="K137" i="2" s="1"/>
  <c r="F148" i="2"/>
  <c r="I148" i="2" s="1"/>
  <c r="I150" i="2"/>
  <c r="K157" i="2"/>
  <c r="J157" i="2"/>
  <c r="H157" i="2" s="1"/>
  <c r="I157" i="2"/>
  <c r="J166" i="2"/>
  <c r="H166" i="2" s="1"/>
  <c r="I166" i="2"/>
  <c r="F168" i="2"/>
  <c r="G168" i="2"/>
  <c r="G170" i="2"/>
  <c r="F170" i="2"/>
  <c r="J170" i="2" s="1"/>
  <c r="H170" i="2" s="1"/>
  <c r="F188" i="2"/>
  <c r="K188" i="2" s="1"/>
  <c r="G190" i="2"/>
  <c r="I190" i="2"/>
  <c r="F197" i="2"/>
  <c r="J197" i="2" s="1"/>
  <c r="H197" i="2" s="1"/>
  <c r="G201" i="2"/>
  <c r="F201" i="2"/>
  <c r="I201" i="2" s="1"/>
  <c r="K245" i="2"/>
  <c r="J245" i="2"/>
  <c r="H245" i="2" s="1"/>
  <c r="I245" i="2"/>
  <c r="G297" i="2"/>
  <c r="F297" i="2"/>
  <c r="I297" i="2" s="1"/>
  <c r="F336" i="2"/>
  <c r="J336" i="2" s="1"/>
  <c r="H336" i="2" s="1"/>
  <c r="G379" i="2"/>
  <c r="F379" i="2"/>
  <c r="K379" i="2" s="1"/>
  <c r="F394" i="2"/>
  <c r="J394" i="2" s="1"/>
  <c r="H394" i="2" s="1"/>
  <c r="F415" i="2"/>
  <c r="I415" i="2" s="1"/>
  <c r="G176" i="2"/>
  <c r="F176" i="2"/>
  <c r="K176" i="2" s="1"/>
  <c r="F219" i="2"/>
  <c r="K219" i="2" s="1"/>
  <c r="J289" i="2"/>
  <c r="H289" i="2" s="1"/>
  <c r="K289" i="2"/>
  <c r="J401" i="2"/>
  <c r="H401" i="2" s="1"/>
  <c r="I401" i="2"/>
  <c r="J9" i="2"/>
  <c r="H9" i="2" s="1"/>
  <c r="F41" i="2"/>
  <c r="K41" i="2" s="1"/>
  <c r="F122" i="2"/>
  <c r="J122" i="2" s="1"/>
  <c r="K564" i="2" s="1"/>
  <c r="G165" i="2"/>
  <c r="F165" i="2"/>
  <c r="I165" i="2" s="1"/>
  <c r="J30" i="2"/>
  <c r="I73" i="2"/>
  <c r="J116" i="2"/>
  <c r="H116" i="2" s="1"/>
  <c r="J150" i="2"/>
  <c r="H150" i="2" s="1"/>
  <c r="F152" i="2"/>
  <c r="K152" i="2" s="1"/>
  <c r="G152" i="2"/>
  <c r="G161" i="2"/>
  <c r="F161" i="2"/>
  <c r="I161" i="2" s="1"/>
  <c r="K177" i="2"/>
  <c r="I177" i="2"/>
  <c r="K251" i="2"/>
  <c r="J251" i="2"/>
  <c r="H251" i="2" s="1"/>
  <c r="K269" i="2"/>
  <c r="J269" i="2"/>
  <c r="H269" i="2" s="1"/>
  <c r="G347" i="2"/>
  <c r="G363" i="2"/>
  <c r="F363" i="2"/>
  <c r="J363" i="2" s="1"/>
  <c r="H363" i="2" s="1"/>
  <c r="G506" i="2"/>
  <c r="F506" i="2"/>
  <c r="I506" i="2" s="1"/>
  <c r="G224" i="2"/>
  <c r="F224" i="2"/>
  <c r="J224" i="2" s="1"/>
  <c r="H224" i="2" s="1"/>
  <c r="K357" i="2"/>
  <c r="I357" i="2"/>
  <c r="J357" i="2"/>
  <c r="H357" i="2" s="1"/>
  <c r="G474" i="2"/>
  <c r="F474" i="2"/>
  <c r="J474" i="2" s="1"/>
  <c r="H474" i="2" s="1"/>
  <c r="F61" i="2"/>
  <c r="J61" i="2" s="1"/>
  <c r="H61" i="2" s="1"/>
  <c r="F88" i="2"/>
  <c r="K88" i="2" s="1"/>
  <c r="F136" i="2"/>
  <c r="I136" i="2" s="1"/>
  <c r="K167" i="2"/>
  <c r="J167" i="2"/>
  <c r="H167" i="2" s="1"/>
  <c r="I167" i="2"/>
  <c r="F5" i="2"/>
  <c r="J5" i="2" s="1"/>
  <c r="F25" i="2"/>
  <c r="I25" i="2" s="1"/>
  <c r="F34" i="2"/>
  <c r="I34" i="2" s="1"/>
  <c r="F45" i="2"/>
  <c r="K45" i="2" s="1"/>
  <c r="F92" i="2"/>
  <c r="J92" i="2" s="1"/>
  <c r="H92" i="2" s="1"/>
  <c r="J21" i="2"/>
  <c r="H21" i="2" s="1"/>
  <c r="J55" i="2"/>
  <c r="H55" i="2" s="1"/>
  <c r="I4" i="2"/>
  <c r="K5" i="2"/>
  <c r="F7" i="2"/>
  <c r="G12" i="2"/>
  <c r="F18" i="2"/>
  <c r="J18" i="2" s="1"/>
  <c r="H18" i="2" s="1"/>
  <c r="F23" i="2"/>
  <c r="K27" i="2"/>
  <c r="K30" i="2"/>
  <c r="I40" i="2"/>
  <c r="F43" i="2"/>
  <c r="I43" i="2" s="1"/>
  <c r="G48" i="2"/>
  <c r="F52" i="2"/>
  <c r="J52" i="2" s="1"/>
  <c r="H52" i="2" s="1"/>
  <c r="F59" i="2"/>
  <c r="F62" i="2"/>
  <c r="K62" i="2" s="1"/>
  <c r="G69" i="2"/>
  <c r="K71" i="2"/>
  <c r="J71" i="2"/>
  <c r="H71" i="2" s="1"/>
  <c r="G75" i="2"/>
  <c r="F75" i="2"/>
  <c r="F78" i="2"/>
  <c r="K78" i="2" s="1"/>
  <c r="G97" i="2"/>
  <c r="J109" i="2"/>
  <c r="H109" i="2" s="1"/>
  <c r="G115" i="2"/>
  <c r="K115" i="2"/>
  <c r="J115" i="2"/>
  <c r="H115" i="2" s="1"/>
  <c r="K116" i="2"/>
  <c r="K121" i="2"/>
  <c r="J121" i="2"/>
  <c r="H121" i="2" s="1"/>
  <c r="I121" i="2"/>
  <c r="F126" i="2"/>
  <c r="I126" i="2" s="1"/>
  <c r="F130" i="2"/>
  <c r="K130" i="2" s="1"/>
  <c r="I131" i="2"/>
  <c r="F142" i="2"/>
  <c r="K142" i="2" s="1"/>
  <c r="F149" i="2"/>
  <c r="I149" i="2" s="1"/>
  <c r="I171" i="2"/>
  <c r="K171" i="2"/>
  <c r="J171" i="2"/>
  <c r="H171" i="2" s="1"/>
  <c r="F182" i="2"/>
  <c r="J182" i="2" s="1"/>
  <c r="H182" i="2" s="1"/>
  <c r="K191" i="2"/>
  <c r="J191" i="2"/>
  <c r="H191" i="2" s="1"/>
  <c r="I191" i="2"/>
  <c r="J202" i="2"/>
  <c r="H202" i="2" s="1"/>
  <c r="I202" i="2"/>
  <c r="F204" i="2"/>
  <c r="K204" i="2" s="1"/>
  <c r="G204" i="2"/>
  <c r="F206" i="2"/>
  <c r="J206" i="2" s="1"/>
  <c r="H206" i="2" s="1"/>
  <c r="F228" i="2"/>
  <c r="J228" i="2" s="1"/>
  <c r="F236" i="2"/>
  <c r="I236" i="2" s="1"/>
  <c r="F263" i="2"/>
  <c r="J263" i="2" s="1"/>
  <c r="H263" i="2" s="1"/>
  <c r="F279" i="2"/>
  <c r="K279" i="2" s="1"/>
  <c r="F307" i="2"/>
  <c r="I307" i="2" s="1"/>
  <c r="K329" i="2"/>
  <c r="J329" i="2"/>
  <c r="H329" i="2" s="1"/>
  <c r="G329" i="2"/>
  <c r="I329" i="2"/>
  <c r="G333" i="2"/>
  <c r="F333" i="2"/>
  <c r="K333" i="2" s="1"/>
  <c r="F347" i="2"/>
  <c r="I347" i="2" s="1"/>
  <c r="G421" i="2"/>
  <c r="F421" i="2"/>
  <c r="I421" i="2" s="1"/>
  <c r="G232" i="2"/>
  <c r="F234" i="2"/>
  <c r="G239" i="2"/>
  <c r="F239" i="2"/>
  <c r="K239" i="2" s="1"/>
  <c r="G257" i="2"/>
  <c r="F257" i="2"/>
  <c r="K257" i="2" s="1"/>
  <c r="G275" i="2"/>
  <c r="F275" i="2"/>
  <c r="K275" i="2" s="1"/>
  <c r="F337" i="2"/>
  <c r="K337" i="2" s="1"/>
  <c r="K374" i="2"/>
  <c r="J374" i="2"/>
  <c r="H374" i="2" s="1"/>
  <c r="G381" i="2"/>
  <c r="I395" i="2"/>
  <c r="K446" i="2"/>
  <c r="J446" i="2"/>
  <c r="H446" i="2" s="1"/>
  <c r="I446" i="2"/>
  <c r="F484" i="2"/>
  <c r="K484" i="2" s="1"/>
  <c r="G484" i="2"/>
  <c r="F209" i="2"/>
  <c r="K209" i="2" s="1"/>
  <c r="F215" i="2"/>
  <c r="J215" i="2" s="1"/>
  <c r="H215" i="2" s="1"/>
  <c r="F232" i="2"/>
  <c r="K232" i="2" s="1"/>
  <c r="G305" i="2"/>
  <c r="F305" i="2"/>
  <c r="I305" i="2" s="1"/>
  <c r="K322" i="2"/>
  <c r="J322" i="2"/>
  <c r="H322" i="2" s="1"/>
  <c r="K334" i="2"/>
  <c r="J334" i="2"/>
  <c r="H334" i="2" s="1"/>
  <c r="J352" i="2"/>
  <c r="H352" i="2" s="1"/>
  <c r="I352" i="2"/>
  <c r="F371" i="2"/>
  <c r="K371" i="2" s="1"/>
  <c r="F381" i="2"/>
  <c r="J381" i="2" s="1"/>
  <c r="H381" i="2" s="1"/>
  <c r="I383" i="2"/>
  <c r="K383" i="2"/>
  <c r="J383" i="2"/>
  <c r="F488" i="2"/>
  <c r="K488" i="2" s="1"/>
  <c r="F586" i="2"/>
  <c r="K586" i="2" s="1"/>
  <c r="G586" i="2"/>
  <c r="J91" i="2"/>
  <c r="F108" i="2"/>
  <c r="I108" i="2" s="1"/>
  <c r="F119" i="2"/>
  <c r="G124" i="2"/>
  <c r="F128" i="2"/>
  <c r="J128" i="2" s="1"/>
  <c r="H128" i="2" s="1"/>
  <c r="F133" i="2"/>
  <c r="I133" i="2" s="1"/>
  <c r="F139" i="2"/>
  <c r="F144" i="2"/>
  <c r="F155" i="2"/>
  <c r="I155" i="2" s="1"/>
  <c r="G160" i="2"/>
  <c r="F164" i="2"/>
  <c r="J164" i="2" s="1"/>
  <c r="H164" i="2" s="1"/>
  <c r="F169" i="2"/>
  <c r="F175" i="2"/>
  <c r="F180" i="2"/>
  <c r="I180" i="2" s="1"/>
  <c r="F189" i="2"/>
  <c r="G194" i="2"/>
  <c r="F200" i="2"/>
  <c r="J200" i="2" s="1"/>
  <c r="H200" i="2" s="1"/>
  <c r="F205" i="2"/>
  <c r="G209" i="2"/>
  <c r="I217" i="2"/>
  <c r="J221" i="2"/>
  <c r="H221" i="2" s="1"/>
  <c r="I221" i="2"/>
  <c r="K235" i="2"/>
  <c r="J235" i="2"/>
  <c r="H235" i="2" s="1"/>
  <c r="I235" i="2"/>
  <c r="J255" i="2"/>
  <c r="H255" i="2" s="1"/>
  <c r="J273" i="2"/>
  <c r="H273" i="2" s="1"/>
  <c r="F288" i="2"/>
  <c r="I288" i="2" s="1"/>
  <c r="G290" i="2"/>
  <c r="F290" i="2"/>
  <c r="K290" i="2" s="1"/>
  <c r="K301" i="2"/>
  <c r="J301" i="2"/>
  <c r="H301" i="2" s="1"/>
  <c r="I301" i="2"/>
  <c r="I303" i="2"/>
  <c r="K303" i="2"/>
  <c r="I334" i="2"/>
  <c r="K352" i="2"/>
  <c r="G356" i="2"/>
  <c r="F356" i="2"/>
  <c r="J356" i="2" s="1"/>
  <c r="H356" i="2" s="1"/>
  <c r="K392" i="2"/>
  <c r="J392" i="2"/>
  <c r="H392" i="2" s="1"/>
  <c r="I392" i="2"/>
  <c r="J404" i="2"/>
  <c r="H404" i="2" s="1"/>
  <c r="I404" i="2"/>
  <c r="K453" i="2"/>
  <c r="I453" i="2"/>
  <c r="J453" i="2"/>
  <c r="H453" i="2" s="1"/>
  <c r="F518" i="2"/>
  <c r="I518" i="2" s="1"/>
  <c r="F573" i="2"/>
  <c r="K573" i="2" s="1"/>
  <c r="G254" i="2"/>
  <c r="F254" i="2"/>
  <c r="G262" i="2"/>
  <c r="F262" i="2"/>
  <c r="J262" i="2" s="1"/>
  <c r="H262" i="2" s="1"/>
  <c r="G268" i="2"/>
  <c r="G272" i="2"/>
  <c r="F272" i="2"/>
  <c r="K272" i="2" s="1"/>
  <c r="F278" i="2"/>
  <c r="K278" i="2" s="1"/>
  <c r="G286" i="2"/>
  <c r="G311" i="2"/>
  <c r="G320" i="2"/>
  <c r="F320" i="2"/>
  <c r="K320" i="2" s="1"/>
  <c r="G341" i="2"/>
  <c r="F341" i="2"/>
  <c r="I368" i="2"/>
  <c r="G372" i="2"/>
  <c r="F372" i="2"/>
  <c r="K372" i="2" s="1"/>
  <c r="I374" i="2"/>
  <c r="K386" i="2"/>
  <c r="J386" i="2"/>
  <c r="H386" i="2" s="1"/>
  <c r="K404" i="2"/>
  <c r="F468" i="2"/>
  <c r="K468" i="2" s="1"/>
  <c r="G468" i="2"/>
  <c r="F521" i="2"/>
  <c r="I521" i="2" s="1"/>
  <c r="G521" i="2"/>
  <c r="I124" i="2"/>
  <c r="I160" i="2"/>
  <c r="I194" i="2"/>
  <c r="G242" i="2"/>
  <c r="J242" i="2"/>
  <c r="H242" i="2" s="1"/>
  <c r="I242" i="2"/>
  <c r="K256" i="2"/>
  <c r="J256" i="2"/>
  <c r="G258" i="2"/>
  <c r="J258" i="2"/>
  <c r="H258" i="2" s="1"/>
  <c r="I258" i="2"/>
  <c r="F268" i="2"/>
  <c r="J268" i="2" s="1"/>
  <c r="H268" i="2" s="1"/>
  <c r="K274" i="2"/>
  <c r="J274" i="2"/>
  <c r="H274" i="2" s="1"/>
  <c r="G276" i="2"/>
  <c r="J276" i="2"/>
  <c r="H276" i="2" s="1"/>
  <c r="I276" i="2"/>
  <c r="F286" i="2"/>
  <c r="J286" i="2" s="1"/>
  <c r="H286" i="2" s="1"/>
  <c r="K291" i="2"/>
  <c r="I291" i="2"/>
  <c r="G291" i="2"/>
  <c r="F306" i="2"/>
  <c r="I306" i="2" s="1"/>
  <c r="F311" i="2"/>
  <c r="I311" i="2" s="1"/>
  <c r="G325" i="2"/>
  <c r="F325" i="2"/>
  <c r="I325" i="2" s="1"/>
  <c r="G359" i="2"/>
  <c r="F359" i="2"/>
  <c r="I359" i="2" s="1"/>
  <c r="G393" i="2"/>
  <c r="F393" i="2"/>
  <c r="K393" i="2" s="1"/>
  <c r="J417" i="2"/>
  <c r="H417" i="2" s="1"/>
  <c r="I417" i="2"/>
  <c r="G502" i="2"/>
  <c r="F502" i="2"/>
  <c r="I502" i="2" s="1"/>
  <c r="F494" i="2"/>
  <c r="J494" i="2" s="1"/>
  <c r="H494" i="2" s="1"/>
  <c r="G494" i="2"/>
  <c r="G566" i="2"/>
  <c r="F566" i="2"/>
  <c r="K566" i="2" s="1"/>
  <c r="G376" i="2"/>
  <c r="F376" i="2"/>
  <c r="I376" i="2" s="1"/>
  <c r="F385" i="2"/>
  <c r="I385" i="2" s="1"/>
  <c r="F390" i="2"/>
  <c r="I390" i="2" s="1"/>
  <c r="K410" i="2"/>
  <c r="J410" i="2"/>
  <c r="H410" i="2" s="1"/>
  <c r="G448" i="2"/>
  <c r="F460" i="2"/>
  <c r="J460" i="2" s="1"/>
  <c r="F464" i="2"/>
  <c r="K464" i="2" s="1"/>
  <c r="G479" i="2"/>
  <c r="F508" i="2"/>
  <c r="K508" i="2" s="1"/>
  <c r="K558" i="2"/>
  <c r="I558" i="2"/>
  <c r="J558" i="2"/>
  <c r="H558" i="2" s="1"/>
  <c r="G563" i="2"/>
  <c r="G569" i="2"/>
  <c r="F569" i="2"/>
  <c r="J569" i="2" s="1"/>
  <c r="H569" i="2" s="1"/>
  <c r="K590" i="2"/>
  <c r="I590" i="2"/>
  <c r="G246" i="2"/>
  <c r="F249" i="2"/>
  <c r="G264" i="2"/>
  <c r="G267" i="2"/>
  <c r="F267" i="2"/>
  <c r="G283" i="2"/>
  <c r="F283" i="2"/>
  <c r="K321" i="2"/>
  <c r="I321" i="2"/>
  <c r="G408" i="2"/>
  <c r="F408" i="2"/>
  <c r="J408" i="2" s="1"/>
  <c r="H408" i="2" s="1"/>
  <c r="G413" i="2"/>
  <c r="K428" i="2"/>
  <c r="I428" i="2"/>
  <c r="F448" i="2"/>
  <c r="I448" i="2" s="1"/>
  <c r="G464" i="2"/>
  <c r="F479" i="2"/>
  <c r="K479" i="2" s="1"/>
  <c r="G508" i="2"/>
  <c r="F563" i="2"/>
  <c r="J563" i="2" s="1"/>
  <c r="H563" i="2" s="1"/>
  <c r="F581" i="2"/>
  <c r="J581" i="2" s="1"/>
  <c r="H581" i="2" s="1"/>
  <c r="J218" i="2"/>
  <c r="H218" i="2" s="1"/>
  <c r="I223" i="2"/>
  <c r="I233" i="2"/>
  <c r="F246" i="2"/>
  <c r="I251" i="2"/>
  <c r="F264" i="2"/>
  <c r="K264" i="2" s="1"/>
  <c r="I269" i="2"/>
  <c r="F280" i="2"/>
  <c r="K280" i="2" s="1"/>
  <c r="J287" i="2"/>
  <c r="H287" i="2" s="1"/>
  <c r="I287" i="2"/>
  <c r="G298" i="2"/>
  <c r="F298" i="2"/>
  <c r="F316" i="2"/>
  <c r="K316" i="2" s="1"/>
  <c r="F319" i="2"/>
  <c r="I319" i="2" s="1"/>
  <c r="F355" i="2"/>
  <c r="J355" i="2" s="1"/>
  <c r="H355" i="2" s="1"/>
  <c r="F370" i="2"/>
  <c r="J370" i="2" s="1"/>
  <c r="H370" i="2" s="1"/>
  <c r="K373" i="2"/>
  <c r="I373" i="2"/>
  <c r="J373" i="2"/>
  <c r="H373" i="2" s="1"/>
  <c r="G378" i="2"/>
  <c r="F378" i="2"/>
  <c r="J378" i="2" s="1"/>
  <c r="H378" i="2" s="1"/>
  <c r="F388" i="2"/>
  <c r="J388" i="2" s="1"/>
  <c r="H388" i="2" s="1"/>
  <c r="G403" i="2"/>
  <c r="F403" i="2"/>
  <c r="K403" i="2" s="1"/>
  <c r="F413" i="2"/>
  <c r="K413" i="2" s="1"/>
  <c r="F431" i="2"/>
  <c r="J431" i="2" s="1"/>
  <c r="J438" i="2"/>
  <c r="H438" i="2" s="1"/>
  <c r="I438" i="2"/>
  <c r="F449" i="2"/>
  <c r="K449" i="2" s="1"/>
  <c r="K495" i="2"/>
  <c r="I495" i="2"/>
  <c r="J495" i="2"/>
  <c r="H495" i="2" s="1"/>
  <c r="G500" i="2"/>
  <c r="J500" i="2"/>
  <c r="H500" i="2" s="1"/>
  <c r="G517" i="2"/>
  <c r="F517" i="2"/>
  <c r="K517" i="2" s="1"/>
  <c r="I564" i="2"/>
  <c r="K462" i="2"/>
  <c r="I462" i="2"/>
  <c r="G462" i="2"/>
  <c r="J462" i="2"/>
  <c r="H462" i="2" s="1"/>
  <c r="I470" i="2"/>
  <c r="J470" i="2"/>
  <c r="K490" i="2" s="1"/>
  <c r="F475" i="2"/>
  <c r="I475" i="2" s="1"/>
  <c r="G475" i="2"/>
  <c r="J503" i="2"/>
  <c r="H503" i="2" s="1"/>
  <c r="I503" i="2"/>
  <c r="J515" i="2"/>
  <c r="I515" i="2"/>
  <c r="F552" i="2"/>
  <c r="K552" i="2" s="1"/>
  <c r="K227" i="2"/>
  <c r="J227" i="2"/>
  <c r="H227" i="2" s="1"/>
  <c r="G231" i="2"/>
  <c r="F231" i="2"/>
  <c r="J252" i="2"/>
  <c r="H252" i="2" s="1"/>
  <c r="I252" i="2"/>
  <c r="J270" i="2"/>
  <c r="H270" i="2" s="1"/>
  <c r="I270" i="2"/>
  <c r="J300" i="2"/>
  <c r="I300" i="2"/>
  <c r="K300" i="2"/>
  <c r="G302" i="2"/>
  <c r="F302" i="2"/>
  <c r="K340" i="2"/>
  <c r="J340" i="2"/>
  <c r="H340" i="2" s="1"/>
  <c r="G343" i="2"/>
  <c r="F343" i="2"/>
  <c r="J343" i="2" s="1"/>
  <c r="H343" i="2" s="1"/>
  <c r="G351" i="2"/>
  <c r="F351" i="2"/>
  <c r="K351" i="2" s="1"/>
  <c r="J382" i="2"/>
  <c r="H382" i="2" s="1"/>
  <c r="F389" i="2"/>
  <c r="I389" i="2" s="1"/>
  <c r="K391" i="2"/>
  <c r="I391" i="2"/>
  <c r="F411" i="2"/>
  <c r="G429" i="2"/>
  <c r="F429" i="2"/>
  <c r="I429" i="2" s="1"/>
  <c r="F434" i="2"/>
  <c r="K434" i="2" s="1"/>
  <c r="G434" i="2"/>
  <c r="F480" i="2"/>
  <c r="G480" i="2"/>
  <c r="G489" i="2"/>
  <c r="F489" i="2"/>
  <c r="J489" i="2" s="1"/>
  <c r="H489" i="2" s="1"/>
  <c r="G525" i="2"/>
  <c r="G530" i="2"/>
  <c r="G602" i="2"/>
  <c r="F602" i="2"/>
  <c r="I602" i="2" s="1"/>
  <c r="K304" i="2"/>
  <c r="J304" i="2"/>
  <c r="H304" i="2" s="1"/>
  <c r="K312" i="2"/>
  <c r="J312" i="2"/>
  <c r="H312" i="2" s="1"/>
  <c r="I327" i="2"/>
  <c r="K327" i="2"/>
  <c r="G338" i="2"/>
  <c r="F338" i="2"/>
  <c r="J338" i="2" s="1"/>
  <c r="H338" i="2" s="1"/>
  <c r="K358" i="2"/>
  <c r="J358" i="2"/>
  <c r="H358" i="2" s="1"/>
  <c r="G360" i="2"/>
  <c r="F360" i="2"/>
  <c r="J360" i="2" s="1"/>
  <c r="H360" i="2" s="1"/>
  <c r="F367" i="2"/>
  <c r="J398" i="2"/>
  <c r="H398" i="2" s="1"/>
  <c r="F407" i="2"/>
  <c r="I407" i="2" s="1"/>
  <c r="K409" i="2"/>
  <c r="I409" i="2"/>
  <c r="G419" i="2"/>
  <c r="F419" i="2"/>
  <c r="J419" i="2" s="1"/>
  <c r="H419" i="2" s="1"/>
  <c r="G440" i="2"/>
  <c r="F440" i="2"/>
  <c r="K440" i="2" s="1"/>
  <c r="K443" i="2"/>
  <c r="F447" i="2"/>
  <c r="I447" i="2" s="1"/>
  <c r="J450" i="2"/>
  <c r="H450" i="2" s="1"/>
  <c r="I450" i="2"/>
  <c r="G450" i="2"/>
  <c r="J466" i="2"/>
  <c r="H466" i="2" s="1"/>
  <c r="G466" i="2"/>
  <c r="K466" i="2"/>
  <c r="I466" i="2"/>
  <c r="G469" i="2"/>
  <c r="F469" i="2"/>
  <c r="K476" i="2"/>
  <c r="I476" i="2"/>
  <c r="F496" i="2"/>
  <c r="I496" i="2" s="1"/>
  <c r="F501" i="2"/>
  <c r="F525" i="2"/>
  <c r="K525" i="2" s="1"/>
  <c r="F530" i="2"/>
  <c r="I530" i="2" s="1"/>
  <c r="F560" i="2"/>
  <c r="I560" i="2" s="1"/>
  <c r="K582" i="2"/>
  <c r="I582" i="2"/>
  <c r="F596" i="2"/>
  <c r="K596" i="2" s="1"/>
  <c r="G596" i="2"/>
  <c r="I584" i="2"/>
  <c r="J584" i="2"/>
  <c r="H584" i="2" s="1"/>
  <c r="F587" i="2"/>
  <c r="I587" i="2" s="1"/>
  <c r="F601" i="2"/>
  <c r="K601" i="2" s="1"/>
  <c r="G601" i="2"/>
  <c r="G430" i="2"/>
  <c r="F452" i="2"/>
  <c r="J452" i="2" s="1"/>
  <c r="H452" i="2" s="1"/>
  <c r="G455" i="2"/>
  <c r="G491" i="2"/>
  <c r="G507" i="2"/>
  <c r="F507" i="2"/>
  <c r="J507" i="2" s="1"/>
  <c r="H507" i="2" s="1"/>
  <c r="J528" i="2"/>
  <c r="H528" i="2" s="1"/>
  <c r="K528" i="2"/>
  <c r="G548" i="2"/>
  <c r="F548" i="2"/>
  <c r="J548" i="2" s="1"/>
  <c r="H548" i="2" s="1"/>
  <c r="K567" i="2"/>
  <c r="J567" i="2"/>
  <c r="I567" i="2"/>
  <c r="K603" i="2"/>
  <c r="J603" i="2"/>
  <c r="H603" i="2" s="1"/>
  <c r="F609" i="2"/>
  <c r="J609" i="2" s="1"/>
  <c r="H609" i="2" s="1"/>
  <c r="G609" i="2"/>
  <c r="F620" i="2"/>
  <c r="I620" i="2" s="1"/>
  <c r="G620" i="2"/>
  <c r="I289" i="2"/>
  <c r="F299" i="2"/>
  <c r="I299" i="2" s="1"/>
  <c r="J310" i="2"/>
  <c r="K339" i="2" s="1"/>
  <c r="I310" i="2"/>
  <c r="F317" i="2"/>
  <c r="I317" i="2" s="1"/>
  <c r="J328" i="2"/>
  <c r="H328" i="2" s="1"/>
  <c r="I328" i="2"/>
  <c r="F335" i="2"/>
  <c r="I335" i="2" s="1"/>
  <c r="J346" i="2"/>
  <c r="H346" i="2" s="1"/>
  <c r="I346" i="2"/>
  <c r="F353" i="2"/>
  <c r="I353" i="2" s="1"/>
  <c r="J362" i="2"/>
  <c r="H362" i="2" s="1"/>
  <c r="I362" i="2"/>
  <c r="F369" i="2"/>
  <c r="I369" i="2" s="1"/>
  <c r="J380" i="2"/>
  <c r="H380" i="2" s="1"/>
  <c r="I380" i="2"/>
  <c r="F387" i="2"/>
  <c r="J396" i="2"/>
  <c r="H396" i="2" s="1"/>
  <c r="I396" i="2"/>
  <c r="F405" i="2"/>
  <c r="K405" i="2" s="1"/>
  <c r="J414" i="2"/>
  <c r="H414" i="2" s="1"/>
  <c r="I414" i="2"/>
  <c r="J420" i="2"/>
  <c r="H420" i="2" s="1"/>
  <c r="G420" i="2"/>
  <c r="J424" i="2"/>
  <c r="H424" i="2" s="1"/>
  <c r="I424" i="2"/>
  <c r="F430" i="2"/>
  <c r="I430" i="2" s="1"/>
  <c r="F432" i="2"/>
  <c r="K432" i="2" s="1"/>
  <c r="F444" i="2"/>
  <c r="G452" i="2"/>
  <c r="F455" i="2"/>
  <c r="I455" i="2" s="1"/>
  <c r="K457" i="2"/>
  <c r="J457" i="2"/>
  <c r="H457" i="2" s="1"/>
  <c r="I463" i="2"/>
  <c r="K463" i="2"/>
  <c r="J463" i="2"/>
  <c r="H463" i="2" s="1"/>
  <c r="F491" i="2"/>
  <c r="J491" i="2" s="1"/>
  <c r="H491" i="2" s="1"/>
  <c r="F511" i="2"/>
  <c r="I511" i="2" s="1"/>
  <c r="K606" i="2"/>
  <c r="J606" i="2"/>
  <c r="H606" i="2" s="1"/>
  <c r="I606" i="2"/>
  <c r="F610" i="2"/>
  <c r="J610" i="2" s="1"/>
  <c r="H610" i="2" s="1"/>
  <c r="I613" i="2"/>
  <c r="F578" i="2"/>
  <c r="I578" i="2" s="1"/>
  <c r="K330" i="2"/>
  <c r="K348" i="2"/>
  <c r="K364" i="2"/>
  <c r="K382" i="2"/>
  <c r="K398" i="2"/>
  <c r="G414" i="2"/>
  <c r="K416" i="2"/>
  <c r="I420" i="2"/>
  <c r="F426" i="2"/>
  <c r="K426" i="2" s="1"/>
  <c r="F439" i="2"/>
  <c r="K441" i="2"/>
  <c r="I441" i="2"/>
  <c r="K451" i="2"/>
  <c r="J456" i="2"/>
  <c r="H456" i="2" s="1"/>
  <c r="I456" i="2"/>
  <c r="G463" i="2"/>
  <c r="K467" i="2"/>
  <c r="I467" i="2"/>
  <c r="I471" i="2"/>
  <c r="K471" i="2"/>
  <c r="G471" i="2"/>
  <c r="F478" i="2"/>
  <c r="J478" i="2" s="1"/>
  <c r="H478" i="2" s="1"/>
  <c r="J482" i="2"/>
  <c r="H482" i="2" s="1"/>
  <c r="K482" i="2"/>
  <c r="G482" i="2"/>
  <c r="K492" i="2"/>
  <c r="F524" i="2"/>
  <c r="I528" i="2"/>
  <c r="F536" i="2"/>
  <c r="I536" i="2" s="1"/>
  <c r="I540" i="2"/>
  <c r="F542" i="2"/>
  <c r="I542" i="2" s="1"/>
  <c r="G542" i="2"/>
  <c r="I546" i="2"/>
  <c r="J561" i="2"/>
  <c r="H561" i="2" s="1"/>
  <c r="G561" i="2"/>
  <c r="K561" i="2"/>
  <c r="K585" i="2"/>
  <c r="G594" i="2"/>
  <c r="F594" i="2"/>
  <c r="I594" i="2" s="1"/>
  <c r="K611" i="2"/>
  <c r="J611" i="2"/>
  <c r="H611" i="2" s="1"/>
  <c r="J425" i="2"/>
  <c r="H425" i="2" s="1"/>
  <c r="J433" i="2"/>
  <c r="H433" i="2" s="1"/>
  <c r="J443" i="2"/>
  <c r="H443" i="2" s="1"/>
  <c r="J451" i="2"/>
  <c r="H451" i="2" s="1"/>
  <c r="J512" i="2"/>
  <c r="H512" i="2" s="1"/>
  <c r="K512" i="2"/>
  <c r="G514" i="2"/>
  <c r="K531" i="2"/>
  <c r="J531" i="2"/>
  <c r="H531" i="2" s="1"/>
  <c r="G535" i="2"/>
  <c r="F535" i="2"/>
  <c r="J535" i="2" s="1"/>
  <c r="H535" i="2" s="1"/>
  <c r="F539" i="2"/>
  <c r="K539" i="2" s="1"/>
  <c r="F604" i="2"/>
  <c r="K604" i="2" s="1"/>
  <c r="F612" i="2"/>
  <c r="J612" i="2" s="1"/>
  <c r="H612" i="2" s="1"/>
  <c r="G615" i="2"/>
  <c r="F615" i="2"/>
  <c r="J615" i="2" s="1"/>
  <c r="H615" i="2" s="1"/>
  <c r="F617" i="2"/>
  <c r="K617" i="2" s="1"/>
  <c r="F454" i="2"/>
  <c r="F461" i="2"/>
  <c r="F465" i="2"/>
  <c r="K465" i="2" s="1"/>
  <c r="F481" i="2"/>
  <c r="I481" i="2" s="1"/>
  <c r="J490" i="2"/>
  <c r="K493" i="2"/>
  <c r="I497" i="2"/>
  <c r="G497" i="2"/>
  <c r="F514" i="2"/>
  <c r="K514" i="2" s="1"/>
  <c r="F527" i="2"/>
  <c r="I527" i="2" s="1"/>
  <c r="G539" i="2"/>
  <c r="J543" i="2"/>
  <c r="H543" i="2" s="1"/>
  <c r="G543" i="2"/>
  <c r="J564" i="2"/>
  <c r="F570" i="2"/>
  <c r="K570" i="2" s="1"/>
  <c r="F579" i="2"/>
  <c r="K579" i="2" s="1"/>
  <c r="F589" i="2"/>
  <c r="K589" i="2" s="1"/>
  <c r="F591" i="2"/>
  <c r="J591" i="2" s="1"/>
  <c r="H591" i="2" s="1"/>
  <c r="G591" i="2"/>
  <c r="F599" i="2"/>
  <c r="G604" i="2"/>
  <c r="G607" i="2"/>
  <c r="F607" i="2"/>
  <c r="K607" i="2" s="1"/>
  <c r="J492" i="2"/>
  <c r="H492" i="2" s="1"/>
  <c r="K503" i="2"/>
  <c r="I545" i="2"/>
  <c r="K545" i="2"/>
  <c r="J545" i="2"/>
  <c r="H545" i="2" s="1"/>
  <c r="K549" i="2"/>
  <c r="J549" i="2"/>
  <c r="H549" i="2" s="1"/>
  <c r="G551" i="2"/>
  <c r="F551" i="2"/>
  <c r="K551" i="2" s="1"/>
  <c r="F557" i="2"/>
  <c r="J557" i="2" s="1"/>
  <c r="H557" i="2" s="1"/>
  <c r="J621" i="2"/>
  <c r="I621" i="2"/>
  <c r="K510" i="2"/>
  <c r="K544" i="2"/>
  <c r="K562" i="2"/>
  <c r="K580" i="2"/>
  <c r="K588" i="2"/>
  <c r="K622" i="2"/>
  <c r="J622" i="2"/>
  <c r="H622" i="2" s="1"/>
  <c r="G626" i="2"/>
  <c r="J626" i="2"/>
  <c r="H626" i="2" s="1"/>
  <c r="F513" i="2"/>
  <c r="K513" i="2" s="1"/>
  <c r="F529" i="2"/>
  <c r="K529" i="2" s="1"/>
  <c r="F547" i="2"/>
  <c r="K547" i="2" s="1"/>
  <c r="F565" i="2"/>
  <c r="K565" i="2" s="1"/>
  <c r="I571" i="2"/>
  <c r="F583" i="2"/>
  <c r="K583" i="2" s="1"/>
  <c r="J597" i="2"/>
  <c r="H597" i="2" s="1"/>
  <c r="G597" i="2"/>
  <c r="I600" i="2"/>
  <c r="I608" i="2"/>
  <c r="I614" i="2"/>
  <c r="K619" i="2"/>
  <c r="J619" i="2"/>
  <c r="H619" i="2" s="1"/>
  <c r="I619" i="2"/>
  <c r="J509" i="2"/>
  <c r="H509" i="2" s="1"/>
  <c r="G513" i="2"/>
  <c r="F516" i="2"/>
  <c r="F519" i="2"/>
  <c r="G529" i="2"/>
  <c r="F534" i="2"/>
  <c r="F537" i="2"/>
  <c r="I537" i="2" s="1"/>
  <c r="F550" i="2"/>
  <c r="F555" i="2"/>
  <c r="G565" i="2"/>
  <c r="F568" i="2"/>
  <c r="J605" i="2"/>
  <c r="H605" i="2" s="1"/>
  <c r="J614" i="2"/>
  <c r="H614" i="2" s="1"/>
  <c r="I622" i="2"/>
  <c r="J590" i="2"/>
  <c r="H590" i="2" s="1"/>
  <c r="J600" i="2"/>
  <c r="H600" i="2" s="1"/>
  <c r="J608" i="2"/>
  <c r="H608" i="2" s="1"/>
  <c r="J616" i="2"/>
  <c r="G627" i="2"/>
  <c r="F625" i="2"/>
  <c r="J625" i="2" s="1"/>
  <c r="H625" i="2" s="1"/>
  <c r="F624" i="2"/>
  <c r="J624" i="2" s="1"/>
  <c r="H624" i="2" s="1"/>
  <c r="G625" i="2"/>
  <c r="I627" i="2"/>
  <c r="F623" i="2"/>
  <c r="J623" i="2" s="1"/>
  <c r="H623" i="2" s="1"/>
  <c r="J627" i="2"/>
  <c r="H627" i="2" s="1"/>
  <c r="K621" i="2" l="1"/>
  <c r="H113" i="2"/>
  <c r="G113" i="2"/>
  <c r="H574" i="2"/>
  <c r="H540" i="2"/>
  <c r="H504" i="2"/>
  <c r="G504" i="2"/>
  <c r="K501" i="2"/>
  <c r="H185" i="2"/>
  <c r="G185" i="2"/>
  <c r="H616" i="2"/>
  <c r="K605" i="2"/>
  <c r="K599" i="2"/>
  <c r="H567" i="2"/>
  <c r="H564" i="2"/>
  <c r="K524" i="2"/>
  <c r="H515" i="2"/>
  <c r="H490" i="2"/>
  <c r="H470" i="2"/>
  <c r="H364" i="2"/>
  <c r="K367" i="2"/>
  <c r="H383" i="2"/>
  <c r="K345" i="2"/>
  <c r="H310" i="2"/>
  <c r="K310" i="2"/>
  <c r="I215" i="2"/>
  <c r="H300" i="2"/>
  <c r="K265" i="2"/>
  <c r="H265" i="2"/>
  <c r="H256" i="2"/>
  <c r="H217" i="2"/>
  <c r="H203" i="2"/>
  <c r="K132" i="2"/>
  <c r="K93" i="2"/>
  <c r="H91" i="2"/>
  <c r="H60" i="2"/>
  <c r="K81" i="2"/>
  <c r="H76" i="2"/>
  <c r="J181" i="2"/>
  <c r="H181" i="2" s="1"/>
  <c r="J67" i="2"/>
  <c r="H67" i="2" s="1"/>
  <c r="J100" i="2"/>
  <c r="H100" i="2" s="1"/>
  <c r="J390" i="2"/>
  <c r="K470" i="2" s="1"/>
  <c r="I54" i="2"/>
  <c r="I232" i="2"/>
  <c r="K496" i="2"/>
  <c r="I367" i="2"/>
  <c r="J165" i="2"/>
  <c r="H165" i="2" s="1"/>
  <c r="J521" i="2"/>
  <c r="H521" i="2" s="1"/>
  <c r="K395" i="2"/>
  <c r="J415" i="2"/>
  <c r="K431" i="2" s="1"/>
  <c r="K415" i="2"/>
  <c r="J46" i="2"/>
  <c r="H46" i="2" s="1"/>
  <c r="J209" i="2"/>
  <c r="H209" i="2" s="1"/>
  <c r="J220" i="2"/>
  <c r="H220" i="2" s="1"/>
  <c r="J50" i="2"/>
  <c r="H50" i="2" s="1"/>
  <c r="I81" i="2"/>
  <c r="I372" i="2"/>
  <c r="K228" i="2"/>
  <c r="J210" i="2"/>
  <c r="K236" i="2" s="1"/>
  <c r="J367" i="2"/>
  <c r="K208" i="2"/>
  <c r="K297" i="2"/>
  <c r="K491" i="2"/>
  <c r="K388" i="2"/>
  <c r="K376" i="2"/>
  <c r="K220" i="2"/>
  <c r="K361" i="2"/>
  <c r="J96" i="2"/>
  <c r="H96" i="2" s="1"/>
  <c r="J129" i="2"/>
  <c r="H129" i="2" s="1"/>
  <c r="I326" i="2"/>
  <c r="K615" i="2"/>
  <c r="I570" i="2"/>
  <c r="I507" i="2"/>
  <c r="J449" i="2"/>
  <c r="H449" i="2" s="1"/>
  <c r="J333" i="2"/>
  <c r="H333" i="2" s="1"/>
  <c r="K165" i="2"/>
  <c r="I50" i="2"/>
  <c r="K154" i="2"/>
  <c r="K442" i="2"/>
  <c r="K326" i="2"/>
  <c r="J278" i="2"/>
  <c r="I257" i="2"/>
  <c r="J243" i="2"/>
  <c r="H243" i="2" s="1"/>
  <c r="K114" i="2"/>
  <c r="K46" i="2"/>
  <c r="J186" i="2"/>
  <c r="H186" i="2" s="1"/>
  <c r="K535" i="2"/>
  <c r="K610" i="2"/>
  <c r="I316" i="2"/>
  <c r="K389" i="2"/>
  <c r="J275" i="2"/>
  <c r="H275" i="2" s="1"/>
  <c r="J232" i="2"/>
  <c r="H232" i="2" s="1"/>
  <c r="J163" i="2"/>
  <c r="H163" i="2" s="1"/>
  <c r="I42" i="2"/>
  <c r="J22" i="2"/>
  <c r="H22" i="2" s="1"/>
  <c r="I132" i="2"/>
  <c r="J539" i="2"/>
  <c r="H539" i="2" s="1"/>
  <c r="K542" i="2"/>
  <c r="I610" i="2"/>
  <c r="K452" i="2"/>
  <c r="K500" i="2"/>
  <c r="J201" i="2"/>
  <c r="H201" i="2" s="1"/>
  <c r="I170" i="2"/>
  <c r="I154" i="2"/>
  <c r="I137" i="2"/>
  <c r="I186" i="2"/>
  <c r="J132" i="2"/>
  <c r="K136" i="2" s="1"/>
  <c r="K507" i="2"/>
  <c r="J620" i="2"/>
  <c r="H620" i="2" s="1"/>
  <c r="K311" i="2"/>
  <c r="K25" i="2"/>
  <c r="J506" i="2"/>
  <c r="H506" i="2" s="1"/>
  <c r="K161" i="2"/>
  <c r="J483" i="2"/>
  <c r="H483" i="2" s="1"/>
  <c r="K178" i="2"/>
  <c r="I589" i="2"/>
  <c r="I440" i="2"/>
  <c r="J376" i="2"/>
  <c r="H376" i="2" s="1"/>
  <c r="K521" i="2"/>
  <c r="I573" i="2"/>
  <c r="I239" i="2"/>
  <c r="I484" i="2"/>
  <c r="J337" i="2"/>
  <c r="K506" i="2"/>
  <c r="K263" i="2"/>
  <c r="I122" i="2"/>
  <c r="J297" i="2"/>
  <c r="H297" i="2" s="1"/>
  <c r="J371" i="2"/>
  <c r="K454" i="2" s="1"/>
  <c r="K381" i="2"/>
  <c r="I78" i="2"/>
  <c r="J607" i="2"/>
  <c r="H607" i="2" s="1"/>
  <c r="J570" i="2"/>
  <c r="H570" i="2" s="1"/>
  <c r="J514" i="2"/>
  <c r="H514" i="2" s="1"/>
  <c r="J536" i="2"/>
  <c r="H536" i="2" s="1"/>
  <c r="K338" i="2"/>
  <c r="I449" i="2"/>
  <c r="I388" i="2"/>
  <c r="J320" i="2"/>
  <c r="H320" i="2" s="1"/>
  <c r="J484" i="2"/>
  <c r="H484" i="2" s="1"/>
  <c r="I70" i="2"/>
  <c r="J136" i="2"/>
  <c r="K144" i="2" s="1"/>
  <c r="I442" i="2"/>
  <c r="I10" i="2"/>
  <c r="K356" i="2"/>
  <c r="K527" i="2"/>
  <c r="K385" i="2"/>
  <c r="J518" i="2"/>
  <c r="K526" i="2" s="1"/>
  <c r="I275" i="2"/>
  <c r="I209" i="2"/>
  <c r="K95" i="2"/>
  <c r="I207" i="2"/>
  <c r="I45" i="2"/>
  <c r="I67" i="2"/>
  <c r="I95" i="2"/>
  <c r="I145" i="2"/>
  <c r="I253" i="2"/>
  <c r="J187" i="2"/>
  <c r="J10" i="2"/>
  <c r="H10" i="2" s="1"/>
  <c r="K64" i="2"/>
  <c r="J82" i="2"/>
  <c r="H82" i="2" s="1"/>
  <c r="I197" i="2"/>
  <c r="J64" i="2"/>
  <c r="H64" i="2" s="1"/>
  <c r="I579" i="2"/>
  <c r="J385" i="2"/>
  <c r="J45" i="2"/>
  <c r="H45" i="2" s="1"/>
  <c r="H5" i="2"/>
  <c r="I98" i="2"/>
  <c r="I152" i="2"/>
  <c r="I379" i="2"/>
  <c r="J143" i="2"/>
  <c r="H143" i="2" s="1"/>
  <c r="J253" i="2"/>
  <c r="H253" i="2" s="1"/>
  <c r="I244" i="2"/>
  <c r="I68" i="2"/>
  <c r="J440" i="2"/>
  <c r="H440" i="2" s="1"/>
  <c r="J86" i="2"/>
  <c r="H86" i="2" s="1"/>
  <c r="K557" i="2"/>
  <c r="K359" i="2"/>
  <c r="I320" i="2"/>
  <c r="I371" i="2"/>
  <c r="I337" i="2"/>
  <c r="J239" i="2"/>
  <c r="H239" i="2" s="1"/>
  <c r="J98" i="2"/>
  <c r="H98" i="2" s="1"/>
  <c r="J34" i="2"/>
  <c r="H34" i="2" s="1"/>
  <c r="I114" i="2"/>
  <c r="K68" i="2"/>
  <c r="K77" i="2"/>
  <c r="K626" i="2"/>
  <c r="J599" i="2"/>
  <c r="K616" i="2" s="1"/>
  <c r="J589" i="2"/>
  <c r="H589" i="2" s="1"/>
  <c r="I514" i="2"/>
  <c r="I524" i="2"/>
  <c r="J578" i="2"/>
  <c r="K581" i="2" s="1"/>
  <c r="K609" i="2"/>
  <c r="I525" i="2"/>
  <c r="K343" i="2"/>
  <c r="K355" i="2"/>
  <c r="J316" i="2"/>
  <c r="J508" i="2"/>
  <c r="H508" i="2" s="1"/>
  <c r="K448" i="2"/>
  <c r="J393" i="2"/>
  <c r="H393" i="2" s="1"/>
  <c r="J311" i="2"/>
  <c r="H311" i="2" s="1"/>
  <c r="J586" i="2"/>
  <c r="H586" i="2" s="1"/>
  <c r="I333" i="2"/>
  <c r="J152" i="2"/>
  <c r="H152" i="2" s="1"/>
  <c r="I111" i="2"/>
  <c r="K92" i="2"/>
  <c r="J78" i="2"/>
  <c r="H78" i="2" s="1"/>
  <c r="K243" i="2"/>
  <c r="K172" i="2"/>
  <c r="K183" i="2"/>
  <c r="K179" i="2"/>
  <c r="K111" i="2"/>
  <c r="K129" i="2"/>
  <c r="I361" i="2"/>
  <c r="K86" i="2"/>
  <c r="J145" i="2"/>
  <c r="H145" i="2" s="1"/>
  <c r="K82" i="2"/>
  <c r="K70" i="2"/>
  <c r="I140" i="2"/>
  <c r="I508" i="2"/>
  <c r="I103" i="2"/>
  <c r="I599" i="2"/>
  <c r="I535" i="2"/>
  <c r="I609" i="2"/>
  <c r="J525" i="2"/>
  <c r="H525" i="2" s="1"/>
  <c r="J552" i="2"/>
  <c r="H552" i="2" s="1"/>
  <c r="K563" i="2"/>
  <c r="J448" i="2"/>
  <c r="H448" i="2" s="1"/>
  <c r="K215" i="2"/>
  <c r="K286" i="2"/>
  <c r="J257" i="2"/>
  <c r="H257" i="2" s="1"/>
  <c r="I142" i="2"/>
  <c r="I63" i="2"/>
  <c r="I88" i="2"/>
  <c r="J236" i="2"/>
  <c r="K244" i="2" s="1"/>
  <c r="J172" i="2"/>
  <c r="H172" i="2" s="1"/>
  <c r="I397" i="2"/>
  <c r="J120" i="2"/>
  <c r="H120" i="2" s="1"/>
  <c r="I26" i="2"/>
  <c r="I563" i="2"/>
  <c r="J306" i="2"/>
  <c r="K268" i="2"/>
  <c r="J305" i="2"/>
  <c r="H305" i="2" s="1"/>
  <c r="I206" i="2"/>
  <c r="J142" i="2"/>
  <c r="H142" i="2" s="1"/>
  <c r="J105" i="2"/>
  <c r="H105" i="2" s="1"/>
  <c r="J41" i="2"/>
  <c r="H41" i="2" s="1"/>
  <c r="I77" i="2"/>
  <c r="J347" i="2"/>
  <c r="H347" i="2" s="1"/>
  <c r="J130" i="2"/>
  <c r="H130" i="2" s="1"/>
  <c r="J63" i="2"/>
  <c r="K197" i="2"/>
  <c r="K61" i="2"/>
  <c r="K318" i="2"/>
  <c r="I219" i="2"/>
  <c r="I315" i="2"/>
  <c r="J277" i="2"/>
  <c r="H277" i="2" s="1"/>
  <c r="I210" i="2"/>
  <c r="K143" i="2"/>
  <c r="I406" i="2"/>
  <c r="I110" i="2"/>
  <c r="K51" i="2"/>
  <c r="K162" i="2"/>
  <c r="I22" i="2"/>
  <c r="K26" i="2"/>
  <c r="J290" i="2"/>
  <c r="H290" i="2" s="1"/>
  <c r="K190" i="2"/>
  <c r="K105" i="2"/>
  <c r="J579" i="2"/>
  <c r="K511" i="2"/>
  <c r="J455" i="2"/>
  <c r="H455" i="2" s="1"/>
  <c r="I338" i="2"/>
  <c r="K489" i="2"/>
  <c r="J517" i="2"/>
  <c r="H517" i="2" s="1"/>
  <c r="I581" i="2"/>
  <c r="I460" i="2"/>
  <c r="K306" i="2"/>
  <c r="J372" i="2"/>
  <c r="H372" i="2" s="1"/>
  <c r="I268" i="2"/>
  <c r="K305" i="2"/>
  <c r="J395" i="2"/>
  <c r="I228" i="2"/>
  <c r="J179" i="2"/>
  <c r="H179" i="2" s="1"/>
  <c r="K103" i="2"/>
  <c r="K34" i="2"/>
  <c r="K347" i="2"/>
  <c r="K126" i="2"/>
  <c r="I318" i="2"/>
  <c r="J219" i="2"/>
  <c r="H219" i="2" s="1"/>
  <c r="J397" i="2"/>
  <c r="H397" i="2" s="1"/>
  <c r="J315" i="2"/>
  <c r="H315" i="2" s="1"/>
  <c r="K277" i="2"/>
  <c r="K110" i="2"/>
  <c r="K292" i="2"/>
  <c r="I106" i="2"/>
  <c r="J524" i="2"/>
  <c r="K560" i="2" s="1"/>
  <c r="J192" i="2"/>
  <c r="H192" i="2" s="1"/>
  <c r="I478" i="2"/>
  <c r="I290" i="2"/>
  <c r="J207" i="2"/>
  <c r="H207" i="2" s="1"/>
  <c r="I607" i="2"/>
  <c r="K591" i="2"/>
  <c r="J542" i="2"/>
  <c r="H542" i="2" s="1"/>
  <c r="K478" i="2"/>
  <c r="K620" i="2"/>
  <c r="J496" i="2"/>
  <c r="H496" i="2" s="1"/>
  <c r="J530" i="2"/>
  <c r="H530" i="2" s="1"/>
  <c r="I489" i="2"/>
  <c r="I355" i="2"/>
  <c r="I413" i="2"/>
  <c r="J319" i="2"/>
  <c r="K387" i="2" s="1"/>
  <c r="K569" i="2"/>
  <c r="K325" i="2"/>
  <c r="I468" i="2"/>
  <c r="I278" i="2"/>
  <c r="I20" i="2"/>
  <c r="I182" i="2"/>
  <c r="I192" i="2"/>
  <c r="I345" i="2"/>
  <c r="J183" i="2"/>
  <c r="J15" i="2"/>
  <c r="K196" i="2" s="1"/>
  <c r="K439" i="2"/>
  <c r="J439" i="2"/>
  <c r="K550" i="2" s="1"/>
  <c r="I494" i="2"/>
  <c r="K85" i="2"/>
  <c r="K49" i="2"/>
  <c r="J49" i="2"/>
  <c r="H49" i="2" s="1"/>
  <c r="I107" i="2"/>
  <c r="K107" i="2"/>
  <c r="K250" i="2"/>
  <c r="J196" i="2"/>
  <c r="I412" i="2"/>
  <c r="K568" i="2"/>
  <c r="J568" i="2"/>
  <c r="H568" i="2" s="1"/>
  <c r="I617" i="2"/>
  <c r="I439" i="2"/>
  <c r="J353" i="2"/>
  <c r="H353" i="2" s="1"/>
  <c r="K353" i="2"/>
  <c r="J407" i="2"/>
  <c r="H407" i="2" s="1"/>
  <c r="I360" i="2"/>
  <c r="I479" i="2"/>
  <c r="K262" i="2"/>
  <c r="J573" i="2"/>
  <c r="J133" i="2"/>
  <c r="H133" i="2" s="1"/>
  <c r="K133" i="2"/>
  <c r="J234" i="2"/>
  <c r="K287" i="2" s="1"/>
  <c r="J23" i="2"/>
  <c r="H23" i="2" s="1"/>
  <c r="K23" i="2"/>
  <c r="I23" i="2"/>
  <c r="K127" i="2"/>
  <c r="I474" i="2"/>
  <c r="K224" i="2"/>
  <c r="I363" i="2"/>
  <c r="J307" i="2"/>
  <c r="H307" i="2" s="1"/>
  <c r="I263" i="2"/>
  <c r="J176" i="2"/>
  <c r="H176" i="2" s="1"/>
  <c r="K44" i="2"/>
  <c r="I44" i="2"/>
  <c r="I14" i="2"/>
  <c r="I127" i="2"/>
  <c r="K336" i="2"/>
  <c r="J261" i="2"/>
  <c r="H261" i="2" s="1"/>
  <c r="K181" i="2"/>
  <c r="J148" i="2"/>
  <c r="K155" i="2" s="1"/>
  <c r="I250" i="2"/>
  <c r="I138" i="2"/>
  <c r="I104" i="2"/>
  <c r="J106" i="2"/>
  <c r="K180" i="2" s="1"/>
  <c r="K618" i="2"/>
  <c r="K412" i="2"/>
  <c r="I153" i="2"/>
  <c r="I341" i="2"/>
  <c r="J341" i="2"/>
  <c r="H341" i="2" s="1"/>
  <c r="J547" i="2"/>
  <c r="I547" i="2"/>
  <c r="I612" i="2"/>
  <c r="I431" i="2"/>
  <c r="K370" i="2"/>
  <c r="J464" i="2"/>
  <c r="H464" i="2" s="1"/>
  <c r="K189" i="2"/>
  <c r="J189" i="2"/>
  <c r="H189" i="2" s="1"/>
  <c r="J139" i="2"/>
  <c r="H139" i="2" s="1"/>
  <c r="I139" i="2"/>
  <c r="I234" i="2"/>
  <c r="I394" i="2"/>
  <c r="J72" i="2"/>
  <c r="H72" i="2" s="1"/>
  <c r="I72" i="2"/>
  <c r="I19" i="2"/>
  <c r="J19" i="2"/>
  <c r="K483" i="2"/>
  <c r="K6" i="2"/>
  <c r="K534" i="2"/>
  <c r="J534" i="2"/>
  <c r="H534" i="2" s="1"/>
  <c r="K612" i="2"/>
  <c r="J405" i="2"/>
  <c r="H405" i="2" s="1"/>
  <c r="I432" i="2"/>
  <c r="J560" i="2"/>
  <c r="K578" i="2" s="1"/>
  <c r="I501" i="2"/>
  <c r="K469" i="2"/>
  <c r="J469" i="2"/>
  <c r="H469" i="2" s="1"/>
  <c r="I469" i="2"/>
  <c r="K602" i="2"/>
  <c r="I480" i="2"/>
  <c r="K480" i="2"/>
  <c r="J480" i="2"/>
  <c r="H480" i="2" s="1"/>
  <c r="I411" i="2"/>
  <c r="K411" i="2"/>
  <c r="J411" i="2"/>
  <c r="I351" i="2"/>
  <c r="I403" i="2"/>
  <c r="I378" i="2"/>
  <c r="I370" i="2"/>
  <c r="I566" i="2"/>
  <c r="J468" i="2"/>
  <c r="H468" i="2" s="1"/>
  <c r="J272" i="2"/>
  <c r="H272" i="2" s="1"/>
  <c r="I272" i="2"/>
  <c r="J180" i="2"/>
  <c r="K187" i="2" s="1"/>
  <c r="I586" i="2"/>
  <c r="I624" i="2"/>
  <c r="K624" i="2"/>
  <c r="I568" i="2"/>
  <c r="I534" i="2"/>
  <c r="I583" i="2"/>
  <c r="J583" i="2"/>
  <c r="H583" i="2" s="1"/>
  <c r="I626" i="2"/>
  <c r="I551" i="2"/>
  <c r="J481" i="2"/>
  <c r="H481" i="2" s="1"/>
  <c r="K481" i="2"/>
  <c r="I615" i="2"/>
  <c r="J604" i="2"/>
  <c r="H604" i="2" s="1"/>
  <c r="I539" i="2"/>
  <c r="K430" i="2"/>
  <c r="K299" i="2"/>
  <c r="J299" i="2"/>
  <c r="H299" i="2" s="1"/>
  <c r="J511" i="2"/>
  <c r="H511" i="2" s="1"/>
  <c r="I491" i="2"/>
  <c r="J432" i="2"/>
  <c r="H432" i="2" s="1"/>
  <c r="K587" i="2"/>
  <c r="J596" i="2"/>
  <c r="H596" i="2" s="1"/>
  <c r="J501" i="2"/>
  <c r="K515" i="2" s="1"/>
  <c r="K447" i="2"/>
  <c r="J447" i="2"/>
  <c r="K419" i="2"/>
  <c r="K407" i="2"/>
  <c r="K360" i="2"/>
  <c r="J475" i="2"/>
  <c r="H475" i="2" s="1"/>
  <c r="J351" i="2"/>
  <c r="H351" i="2" s="1"/>
  <c r="I552" i="2"/>
  <c r="J403" i="2"/>
  <c r="H403" i="2" s="1"/>
  <c r="K378" i="2"/>
  <c r="I408" i="2"/>
  <c r="K283" i="2"/>
  <c r="J283" i="2"/>
  <c r="H283" i="2" s="1"/>
  <c r="I283" i="2"/>
  <c r="K249" i="2"/>
  <c r="J249" i="2"/>
  <c r="I249" i="2"/>
  <c r="I569" i="2"/>
  <c r="J479" i="2"/>
  <c r="H479" i="2" s="1"/>
  <c r="J566" i="2"/>
  <c r="H566" i="2" s="1"/>
  <c r="J502" i="2"/>
  <c r="H502" i="2" s="1"/>
  <c r="J359" i="2"/>
  <c r="H359" i="2" s="1"/>
  <c r="I286" i="2"/>
  <c r="I262" i="2"/>
  <c r="I381" i="2"/>
  <c r="J175" i="2"/>
  <c r="K210" i="2" s="1"/>
  <c r="I175" i="2"/>
  <c r="I128" i="2"/>
  <c r="K128" i="2"/>
  <c r="K139" i="2"/>
  <c r="J421" i="2"/>
  <c r="H421" i="2" s="1"/>
  <c r="J161" i="2"/>
  <c r="H161" i="2" s="1"/>
  <c r="K43" i="2"/>
  <c r="J43" i="2"/>
  <c r="H43" i="2" s="1"/>
  <c r="K18" i="2"/>
  <c r="I18" i="2"/>
  <c r="K474" i="2"/>
  <c r="I224" i="2"/>
  <c r="J88" i="2"/>
  <c r="H88" i="2" s="1"/>
  <c r="K307" i="2"/>
  <c r="I100" i="2"/>
  <c r="I41" i="2"/>
  <c r="J13" i="2"/>
  <c r="H13" i="2" s="1"/>
  <c r="K13" i="2"/>
  <c r="K163" i="2"/>
  <c r="I336" i="2"/>
  <c r="I271" i="2"/>
  <c r="K261" i="2"/>
  <c r="J208" i="2"/>
  <c r="H208" i="2" s="1"/>
  <c r="I176" i="2"/>
  <c r="I187" i="2"/>
  <c r="K406" i="2"/>
  <c r="I61" i="2"/>
  <c r="I92" i="2"/>
  <c r="K138" i="2"/>
  <c r="J51" i="2"/>
  <c r="K104" i="2"/>
  <c r="J42" i="2"/>
  <c r="H42" i="2" s="1"/>
  <c r="J140" i="2"/>
  <c r="H140" i="2" s="1"/>
  <c r="J153" i="2"/>
  <c r="H153" i="2" s="1"/>
  <c r="J195" i="2"/>
  <c r="I246" i="2"/>
  <c r="J246" i="2"/>
  <c r="H246" i="2" s="1"/>
  <c r="I168" i="2"/>
  <c r="J168" i="2"/>
  <c r="H168" i="2" s="1"/>
  <c r="J6" i="2"/>
  <c r="K63" i="2" s="1"/>
  <c r="I623" i="2"/>
  <c r="J14" i="2"/>
  <c r="H14" i="2" s="1"/>
  <c r="I8" i="2"/>
  <c r="K8" i="2"/>
  <c r="K72" i="2"/>
  <c r="I216" i="2"/>
  <c r="I56" i="2"/>
  <c r="I618" i="2"/>
  <c r="I158" i="2"/>
  <c r="K555" i="2"/>
  <c r="J555" i="2"/>
  <c r="H555" i="2" s="1"/>
  <c r="K519" i="2"/>
  <c r="J519" i="2"/>
  <c r="H519" i="2" s="1"/>
  <c r="I519" i="2"/>
  <c r="I625" i="2"/>
  <c r="J551" i="2"/>
  <c r="H551" i="2" s="1"/>
  <c r="J617" i="2"/>
  <c r="I461" i="2"/>
  <c r="J461" i="2"/>
  <c r="H461" i="2" s="1"/>
  <c r="K461" i="2"/>
  <c r="I604" i="2"/>
  <c r="J527" i="2"/>
  <c r="H527" i="2" s="1"/>
  <c r="J426" i="2"/>
  <c r="H426" i="2" s="1"/>
  <c r="I426" i="2"/>
  <c r="J335" i="2"/>
  <c r="H335" i="2" s="1"/>
  <c r="K335" i="2"/>
  <c r="K548" i="2"/>
  <c r="J430" i="2"/>
  <c r="H430" i="2" s="1"/>
  <c r="J587" i="2"/>
  <c r="I596" i="2"/>
  <c r="J602" i="2"/>
  <c r="H602" i="2" s="1"/>
  <c r="K475" i="2"/>
  <c r="I500" i="2"/>
  <c r="K494" i="2"/>
  <c r="J254" i="2"/>
  <c r="H254" i="2" s="1"/>
  <c r="I254" i="2"/>
  <c r="J288" i="2"/>
  <c r="H288" i="2" s="1"/>
  <c r="I164" i="2"/>
  <c r="K164" i="2"/>
  <c r="J119" i="2"/>
  <c r="K175" i="2" s="1"/>
  <c r="K119" i="2"/>
  <c r="I119" i="2"/>
  <c r="K421" i="2"/>
  <c r="K206" i="2"/>
  <c r="J149" i="2"/>
  <c r="H149" i="2" s="1"/>
  <c r="J75" i="2"/>
  <c r="H75" i="2" s="1"/>
  <c r="K75" i="2"/>
  <c r="I75" i="2"/>
  <c r="J62" i="2"/>
  <c r="H62" i="2" s="1"/>
  <c r="K363" i="2"/>
  <c r="I279" i="2"/>
  <c r="K182" i="2"/>
  <c r="I130" i="2"/>
  <c r="I9" i="2"/>
  <c r="J81" i="2"/>
  <c r="K201" i="2"/>
  <c r="J190" i="2"/>
  <c r="H190" i="2" s="1"/>
  <c r="K170" i="2"/>
  <c r="I60" i="2"/>
  <c r="K60" i="2"/>
  <c r="K33" i="2"/>
  <c r="J33" i="2"/>
  <c r="K65" i="2" s="1"/>
  <c r="I5" i="2"/>
  <c r="I222" i="2"/>
  <c r="K271" i="2"/>
  <c r="K120" i="2"/>
  <c r="K9" i="2"/>
  <c r="K216" i="2"/>
  <c r="J56" i="2"/>
  <c r="H56" i="2" s="1"/>
  <c r="K15" i="2"/>
  <c r="I195" i="2"/>
  <c r="J144" i="2"/>
  <c r="K148" i="2" s="1"/>
  <c r="J537" i="2"/>
  <c r="K537" i="2"/>
  <c r="I601" i="2"/>
  <c r="J529" i="2"/>
  <c r="H529" i="2" s="1"/>
  <c r="I529" i="2"/>
  <c r="J302" i="2"/>
  <c r="H302" i="2" s="1"/>
  <c r="I302" i="2"/>
  <c r="K408" i="2"/>
  <c r="K516" i="2"/>
  <c r="J516" i="2"/>
  <c r="H516" i="2" s="1"/>
  <c r="J565" i="2"/>
  <c r="H565" i="2" s="1"/>
  <c r="I565" i="2"/>
  <c r="I454" i="2"/>
  <c r="I405" i="2"/>
  <c r="J601" i="2"/>
  <c r="H601" i="2" s="1"/>
  <c r="K530" i="2"/>
  <c r="I434" i="2"/>
  <c r="J434" i="2"/>
  <c r="H434" i="2" s="1"/>
  <c r="K302" i="2"/>
  <c r="K231" i="2"/>
  <c r="J231" i="2"/>
  <c r="H231" i="2" s="1"/>
  <c r="I231" i="2"/>
  <c r="I264" i="2"/>
  <c r="J264" i="2"/>
  <c r="H264" i="2" s="1"/>
  <c r="J413" i="2"/>
  <c r="H413" i="2" s="1"/>
  <c r="I464" i="2"/>
  <c r="I205" i="2"/>
  <c r="K205" i="2"/>
  <c r="J205" i="2"/>
  <c r="H205" i="2" s="1"/>
  <c r="K108" i="2"/>
  <c r="J108" i="2"/>
  <c r="K122" i="2" s="1"/>
  <c r="I488" i="2"/>
  <c r="K59" i="2"/>
  <c r="J59" i="2"/>
  <c r="H59" i="2" s="1"/>
  <c r="I59" i="2"/>
  <c r="J279" i="2"/>
  <c r="H279" i="2" s="1"/>
  <c r="J379" i="2"/>
  <c r="H379" i="2" s="1"/>
  <c r="K168" i="2"/>
  <c r="I85" i="2"/>
  <c r="J8" i="2"/>
  <c r="H8" i="2" s="1"/>
  <c r="J222" i="2"/>
  <c r="H222" i="2" s="1"/>
  <c r="J345" i="2"/>
  <c r="K390" i="2" s="1"/>
  <c r="J137" i="2"/>
  <c r="H137" i="2" s="1"/>
  <c r="K156" i="2"/>
  <c r="I178" i="2"/>
  <c r="I292" i="2"/>
  <c r="J25" i="2"/>
  <c r="I162" i="2"/>
  <c r="J20" i="2"/>
  <c r="I96" i="2"/>
  <c r="J158" i="2"/>
  <c r="H158" i="2" s="1"/>
  <c r="J444" i="2"/>
  <c r="H444" i="2" s="1"/>
  <c r="I444" i="2"/>
  <c r="J317" i="2"/>
  <c r="H317" i="2" s="1"/>
  <c r="K317" i="2"/>
  <c r="I204" i="2"/>
  <c r="J204" i="2"/>
  <c r="H204" i="2" s="1"/>
  <c r="I27" i="2"/>
  <c r="J27" i="2"/>
  <c r="J465" i="2"/>
  <c r="H465" i="2" s="1"/>
  <c r="I465" i="2"/>
  <c r="I452" i="2"/>
  <c r="J387" i="2"/>
  <c r="K394" i="2" s="1"/>
  <c r="I280" i="2"/>
  <c r="J280" i="2"/>
  <c r="K502" i="2"/>
  <c r="K169" i="2"/>
  <c r="J169" i="2"/>
  <c r="H169" i="2" s="1"/>
  <c r="J488" i="2"/>
  <c r="K518" i="2" s="1"/>
  <c r="I62" i="2"/>
  <c r="I144" i="2"/>
  <c r="K19" i="2"/>
  <c r="K623" i="2"/>
  <c r="J550" i="2"/>
  <c r="I557" i="2"/>
  <c r="I591" i="2"/>
  <c r="J594" i="2"/>
  <c r="H594" i="2" s="1"/>
  <c r="K594" i="2"/>
  <c r="I548" i="2"/>
  <c r="I419" i="2"/>
  <c r="K246" i="2"/>
  <c r="K625" i="2"/>
  <c r="I550" i="2"/>
  <c r="I516" i="2"/>
  <c r="I555" i="2"/>
  <c r="J513" i="2"/>
  <c r="H513" i="2" s="1"/>
  <c r="I513" i="2"/>
  <c r="J454" i="2"/>
  <c r="K460" i="2" s="1"/>
  <c r="K536" i="2"/>
  <c r="K444" i="2"/>
  <c r="J369" i="2"/>
  <c r="H369" i="2" s="1"/>
  <c r="K369" i="2"/>
  <c r="K455" i="2"/>
  <c r="I387" i="2"/>
  <c r="K429" i="2"/>
  <c r="J429" i="2"/>
  <c r="H429" i="2" s="1"/>
  <c r="J389" i="2"/>
  <c r="H389" i="2" s="1"/>
  <c r="I343" i="2"/>
  <c r="I517" i="2"/>
  <c r="K298" i="2"/>
  <c r="J298" i="2"/>
  <c r="H298" i="2" s="1"/>
  <c r="I298" i="2"/>
  <c r="K319" i="2"/>
  <c r="K267" i="2"/>
  <c r="J267" i="2"/>
  <c r="H267" i="2" s="1"/>
  <c r="I267" i="2"/>
  <c r="I393" i="2"/>
  <c r="J325" i="2"/>
  <c r="H325" i="2" s="1"/>
  <c r="I169" i="2"/>
  <c r="K341" i="2"/>
  <c r="K254" i="2"/>
  <c r="I356" i="2"/>
  <c r="K288" i="2"/>
  <c r="I200" i="2"/>
  <c r="K200" i="2"/>
  <c r="J155" i="2"/>
  <c r="K234" i="2" s="1"/>
  <c r="I189" i="2"/>
  <c r="K149" i="2"/>
  <c r="K52" i="2"/>
  <c r="I52" i="2"/>
  <c r="K7" i="2"/>
  <c r="J7" i="2"/>
  <c r="H7" i="2" s="1"/>
  <c r="I7" i="2"/>
  <c r="J126" i="2"/>
  <c r="H126" i="2" s="1"/>
  <c r="I188" i="2"/>
  <c r="J188" i="2"/>
  <c r="H188" i="2" s="1"/>
  <c r="I76" i="2"/>
  <c r="K76" i="2"/>
  <c r="J53" i="2"/>
  <c r="H53" i="2" s="1"/>
  <c r="I53" i="2"/>
  <c r="J24" i="2"/>
  <c r="K424" i="2" s="1"/>
  <c r="K24" i="2"/>
  <c r="I156" i="2"/>
  <c r="I24" i="2"/>
  <c r="J54" i="2"/>
  <c r="H54" i="2" s="1"/>
  <c r="H573" i="2" l="1"/>
  <c r="H537" i="2"/>
  <c r="H447" i="2"/>
  <c r="H411" i="2"/>
  <c r="H371" i="2"/>
  <c r="H278" i="2"/>
  <c r="H249" i="2"/>
  <c r="H183" i="2"/>
  <c r="K195" i="2"/>
  <c r="H195" i="2"/>
  <c r="H196" i="2"/>
  <c r="H19" i="2"/>
  <c r="K223" i="2"/>
  <c r="H617" i="2"/>
  <c r="H599" i="2"/>
  <c r="H587" i="2"/>
  <c r="H579" i="2"/>
  <c r="H560" i="2"/>
  <c r="H550" i="2"/>
  <c r="H547" i="2"/>
  <c r="H524" i="2"/>
  <c r="H501" i="2"/>
  <c r="H454" i="2"/>
  <c r="H415" i="2"/>
  <c r="H395" i="2"/>
  <c r="H387" i="2"/>
  <c r="H385" i="2"/>
  <c r="H367" i="2"/>
  <c r="H345" i="2"/>
  <c r="H337" i="2"/>
  <c r="H319" i="2"/>
  <c r="H316" i="2"/>
  <c r="H306" i="2"/>
  <c r="H280" i="2"/>
  <c r="H236" i="2"/>
  <c r="H187" i="2"/>
  <c r="H180" i="2"/>
  <c r="H175" i="2"/>
  <c r="H155" i="2"/>
  <c r="H144" i="2"/>
  <c r="H106" i="2"/>
  <c r="H108" i="2"/>
  <c r="H119" i="2"/>
  <c r="H51" i="2"/>
  <c r="H63" i="2"/>
  <c r="H27" i="2"/>
  <c r="H20" i="2"/>
  <c r="H25" i="2"/>
  <c r="H24" i="2"/>
  <c r="H33" i="2"/>
  <c r="H15" i="2"/>
  <c r="H6" i="2"/>
</calcChain>
</file>

<file path=xl/sharedStrings.xml><?xml version="1.0" encoding="utf-8"?>
<sst xmlns="http://schemas.openxmlformats.org/spreadsheetml/2006/main" count="1558" uniqueCount="576">
  <si>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</si>
  <si>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</si>
  <si>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</si>
  <si>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</si>
  <si>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</si>
  <si>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</si>
  <si>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</si>
  <si>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</si>
  <si>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</si>
  <si>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</si>
  <si>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</si>
  <si>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</si>
  <si>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</si>
  <si>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Wirtschaftspolitik</t>
  </si>
  <si>
    <t>Clintons und Trumps Wirtschaftspolitik im in dem Vergleich : It's all about the money</t>
  </si>
  <si>
    <t>file://conllu/de/ard.27823.conllu#s1_0</t>
  </si>
  <si>
    <t>2</t>
  </si>
  <si>
    <t>3</t>
  </si>
  <si>
    <t>investieren</t>
  </si>
  <si>
    <t>In Infrastruktur investieren und das Handelsabkommen TTP verhindern das wollen sowohl Clinton als auch Trump .</t>
  </si>
  <si>
    <t>file://conllu/de/ard.27823.conllu#s2_0</t>
  </si>
  <si>
    <t>sein (sein Steuer)</t>
  </si>
  <si>
    <t>Uneins sind sich die beiden US Präsidentschaftsbewerber jedoch bei der Steuer und Energiepolitik sowie in einer Grundsatzfrage .</t>
  </si>
  <si>
    <t>file://conllu/de/ard.27823.conllu#s3_0</t>
  </si>
  <si>
    <t>12</t>
  </si>
  <si>
    <t>liegen</t>
  </si>
  <si>
    <t>Den Unterschieden in der Wirtschaftspolitik zwischen Donald Trump und Hillary Clinton liegt ein grundsätzlicher , eher philosophischer Unterschied zugrunde .</t>
  </si>
  <si>
    <t>file://conllu/de/ard.27823.conllu#s4_0</t>
  </si>
  <si>
    <t>5</t>
  </si>
  <si>
    <t>Rolle</t>
  </si>
  <si>
    <t>Der , über die Rolle des Staates .</t>
  </si>
  <si>
    <t>file://conllu/de/ard.27823.conllu#s5_0</t>
  </si>
  <si>
    <t>6</t>
  </si>
  <si>
    <t>11</t>
  </si>
  <si>
    <t>warnen (warnen halten)</t>
  </si>
  <si>
    <t>Trump will die im in dem Zweifel eher klein halten und warnt davor , wie der Staat der Wirtschaft schaden kann mit Steuern und Regulierungen .</t>
  </si>
  <si>
    <t>file://conllu/de/ard.27823.conllu#s6_0</t>
  </si>
  <si>
    <t>7</t>
  </si>
  <si>
    <t>besteuern</t>
  </si>
  <si>
    <t>Clinton wolle die Wirtschaft zu Tode besteuern und zu Tode regulieren , sagt er .</t>
  </si>
  <si>
    <t>file://conllu/de/ard.27823.conllu#s7_0</t>
  </si>
  <si>
    <t>8</t>
  </si>
  <si>
    <t>sein (sein anders)</t>
  </si>
  <si>
    <t>Er selber dagegen wäre ganz anders , behauptet Trump .</t>
  </si>
  <si>
    <t>file://conllu/de/ard.27823.conllu#s8_0</t>
  </si>
  <si>
    <t>9</t>
  </si>
  <si>
    <t>zurückfahren</t>
  </si>
  <si>
    <t>Er werde Regulierungen massiv zurückfahren , und er macht sich für eine weitreichende Steuerreform mit niedrigeren Steuersätzen stark für Privatleute und für Unternehmen .</t>
  </si>
  <si>
    <t>file://conllu/de/ard.27823.conllu#s9_0</t>
  </si>
  <si>
    <t>10</t>
  </si>
  <si>
    <t>sagen</t>
  </si>
  <si>
    <t>Clinton dagegen sagt : Der Staat hat bestimmte Aufgaben zu erfüllen , er hat Benachteiligten Chancen zu eröffnen und braucht dafür Geld .</t>
  </si>
  <si>
    <t>file://conllu/de/ard.27823.conllu#s10_0</t>
  </si>
  <si>
    <t>Deshalb würden die Steuern für die Reichen erhöht , sagt sie .</t>
  </si>
  <si>
    <t>file://conllu/de/ard.27823.conllu#s11_0</t>
  </si>
  <si>
    <t>sein (sein nahe)</t>
  </si>
  <si>
    <t>Interessanterweise sind sich beide sehr nahe beim bei dem Thema Infrastruktur .</t>
  </si>
  <si>
    <t>file://conllu/de/ard.27823.conllu#s12_0</t>
  </si>
  <si>
    <t>13</t>
  </si>
  <si>
    <t>In die müsse investiert werden , sagen Trump und Clinton fast wortgleich .</t>
  </si>
  <si>
    <t>file://conllu/de/ard.27823.conllu#s13_0</t>
  </si>
  <si>
    <t>14</t>
  </si>
  <si>
    <t>kündigen</t>
  </si>
  <si>
    <t>Die demokratische Bewerberin kündigt gar die größte Investition in neue Arbeitsplätze seit dem Zweiten Weltkrieg an .</t>
  </si>
  <si>
    <t>file://conllu/de/ard.27823.conllu#s14_0</t>
  </si>
  <si>
    <t>15</t>
  </si>
  <si>
    <t>sein (sein Politik)</t>
  </si>
  <si>
    <t>Staatliche Investitionsprogramme in die Infrastruktur sind klassische demokratische Politik und werden etwa vom von dem staatskritischen Teaparty Flügel der Republikaner strikt abgelehnt .</t>
  </si>
  <si>
    <t>file://conllu/de/ard.27823.conllu#s15_0</t>
  </si>
  <si>
    <t>16</t>
  </si>
  <si>
    <t>zukommen</t>
  </si>
  <si>
    <t>Auf Trump könnten also noch parteiinterne Diskussionen zukommen .</t>
  </si>
  <si>
    <t>file://conllu/de/ard.27823.conllu#s16_0</t>
  </si>
  <si>
    <t>17</t>
  </si>
  <si>
    <t>sein (sein deutlich)</t>
  </si>
  <si>
    <t>Deutlicher sind die Unterschiede in der Energie und Klimapolitik .</t>
  </si>
  <si>
    <t>file://conllu/de/ard.27823.conllu#s17_0</t>
  </si>
  <si>
    <t>18</t>
  </si>
  <si>
    <t>bauen</t>
  </si>
  <si>
    <t>Trump will Kohlekraftwerke bauen und die Kohleförderung in den USA wieder hochfahren .</t>
  </si>
  <si>
    <t>file://conllu/de/ard.27823.conllu#s18_0</t>
  </si>
  <si>
    <t>19</t>
  </si>
  <si>
    <t>sein (sein möglich)</t>
  </si>
  <si>
    <t>Ölförderung soll auch in bislang geschützten Gebieten möglich sein , das Pariser Klimaschutzabkommen will er aufkündigen .</t>
  </si>
  <si>
    <t>file://conllu/de/ard.27823.conllu#s19_0</t>
  </si>
  <si>
    <t>20</t>
  </si>
  <si>
    <t>ausbauen</t>
  </si>
  <si>
    <t>Clinton dagegen will mit ihrem Investitionsprogramm ausdrücklich die Erneuerbaren Energien ausbauen und fordert : &amp;quot; Ein Land wird die Supermacht der sauberen Energien werden und Millionen Jobs schaffen . &amp;quot;</t>
  </si>
  <si>
    <t>file://conllu/de/ard.27823.conllu#s20_0</t>
  </si>
  <si>
    <t>21</t>
  </si>
  <si>
    <t>sein (sein wollen)</t>
  </si>
  <si>
    <t>&amp;quot; Es wird wohl entweder China , Deutschland oder Amerika sein ich will , dass wir es sind . &amp;quot;</t>
  </si>
  <si>
    <t>file://conllu/de/ard.27823.conllu#s21_0</t>
  </si>
  <si>
    <t>22</t>
  </si>
  <si>
    <t>sein (sein entfernt)</t>
  </si>
  <si>
    <t>Doch nicht nur bei der Infrastruktur auch bei internationalen Handelsabkommen sind die beiden Konkurrenten nicht allzu weit voneinander entfernt .</t>
  </si>
  <si>
    <t>file://conllu/de/ard.27823.conllu#s22_0</t>
  </si>
  <si>
    <t>23</t>
  </si>
  <si>
    <t>unterzeichnen</t>
  </si>
  <si>
    <t>TPP , das transpazifische Handelsabkommen , wollen beide nicht unterzeichnen .</t>
  </si>
  <si>
    <t>file://conllu/de/ard.27823.conllu#s23_0</t>
  </si>
  <si>
    <t>24</t>
  </si>
  <si>
    <t>schützen</t>
  </si>
  <si>
    <t>Gleichzeitig wollen beide aber die USA nicht vom von dem internationalen Handel isolieren sondern einfach nur amerikanische Jobs besser schützen .</t>
  </si>
  <si>
    <t>file://conllu/de/ard.27823.conllu#s24_0</t>
  </si>
  <si>
    <t>25</t>
  </si>
  <si>
    <t>bezahlen</t>
  </si>
  <si>
    <t>Die sollen dann auch besser bezahlt werden , fordert etwa Clinton .</t>
  </si>
  <si>
    <t>file://conllu/de/ard.27823.conllu#s25_0</t>
  </si>
  <si>
    <t>26</t>
  </si>
  <si>
    <t>sein (sein Hungerlohn)</t>
  </si>
  <si>
    <t>Der derzeitige Mindestlohn von 7,25 US Dollar sei ein Hungerlohn .</t>
  </si>
  <si>
    <t>file://conllu/de/ard.27823.conllu#s26_0</t>
  </si>
  <si>
    <t>27</t>
  </si>
  <si>
    <t>erhöhen</t>
  </si>
  <si>
    <t>Ihn will sie auf 15 Dollar pro Stunde erhöhen .</t>
  </si>
  <si>
    <t>file://conllu/de/ard.27823.conllu#s27_0</t>
  </si>
  <si>
    <t>28</t>
  </si>
  <si>
    <t>sagen (sagen sagen)</t>
  </si>
  <si>
    <t>Was Trump in dieser Frage tun will , ist nicht ganz klar : Einmal sagt er : Der Mindestlohn muss rauf , dann sagt er , er dürfe nicht verändert werden .</t>
  </si>
  <si>
    <t>file://conllu/de/ard.27823.conllu#s28_0</t>
  </si>
  <si>
    <t>29</t>
  </si>
  <si>
    <t>entwickeln</t>
  </si>
  <si>
    <t>Doch die große Diskussion der kommenden Monate dürfte sich wohl eher um die Steuerpolitik der beiden Lager entwickeln .</t>
  </si>
  <si>
    <t>file://conllu/de/ard.27823.conllu#s29_0</t>
  </si>
  <si>
    <t>30</t>
  </si>
  <si>
    <t>stehen</t>
  </si>
  <si>
    <t>Auf der einen Seite steht Trump , der die Wirtschaft und die Bürger entlasten will , um das Wachstum anzukurbeln .</t>
  </si>
  <si>
    <t>file://conllu/de/ard.27823.conllu#s30_0</t>
  </si>
  <si>
    <t>31</t>
  </si>
  <si>
    <t>halten</t>
  </si>
  <si>
    <t>Seine Kritiker halten ihm vor , damit würde das Haushaltsdefizit nur noch größer .</t>
  </si>
  <si>
    <t>file://conllu/de/ard.27823.conllu#s31_0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</si>
  <si>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</si>
  <si>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</si>
  <si>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</si>
  <si>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</si>
  <si>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</si>
  <si>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</si>
  <si>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</si>
  <si>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</si>
  <si>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</si>
  <si>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</si>
  <si>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</si>
  <si>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Clintons und Trumps Wirtschaftspolitik im Vergleich: It's all about the money</t>
  </si>
  <si>
    <t>Clintons</t>
  </si>
  <si>
    <t>other</t>
  </si>
  <si>
    <t>ne</t>
  </si>
  <si>
    <t>?OLD</t>
  </si>
  <si>
    <t>und</t>
  </si>
  <si>
    <t>Trumps</t>
  </si>
  <si>
    <t>other_2</t>
  </si>
  <si>
    <t>def-np.poss</t>
  </si>
  <si>
    <t>in</t>
  </si>
  <si>
    <t>dem</t>
  </si>
  <si>
    <t>Vergleich</t>
  </si>
  <si>
    <t>def-np.the</t>
  </si>
  <si>
    <t>:</t>
  </si>
  <si>
    <t>It's</t>
  </si>
  <si>
    <t>all</t>
  </si>
  <si>
    <t>other_4</t>
  </si>
  <si>
    <t>pron.pind</t>
  </si>
  <si>
    <t>about</t>
  </si>
  <si>
    <t>the</t>
  </si>
  <si>
    <t>money</t>
  </si>
  <si>
    <t>other_3</t>
  </si>
  <si>
    <t># text = In Infrastruktur investieren und das Handelsabkommen TTP verhindern - das wollen sowohl Clinton als auch Trump.</t>
  </si>
  <si>
    <t>In</t>
  </si>
  <si>
    <t>Infrastruktur</t>
  </si>
  <si>
    <t>indef-np.bare</t>
  </si>
  <si>
    <t>das</t>
  </si>
  <si>
    <t>Handelsabkommen</t>
  </si>
  <si>
    <t>OBJ_2</t>
  </si>
  <si>
    <t>TTP</t>
  </si>
  <si>
    <t>verhindern</t>
  </si>
  <si>
    <t>wollen</t>
  </si>
  <si>
    <t>SBJ_2</t>
  </si>
  <si>
    <t>sowohl</t>
  </si>
  <si>
    <t>Clinton</t>
  </si>
  <si>
    <t>SBJ</t>
  </si>
  <si>
    <t>als</t>
  </si>
  <si>
    <t>auch</t>
  </si>
  <si>
    <t>Trump</t>
  </si>
  <si>
    <t>.</t>
  </si>
  <si>
    <t># text = Uneins sind sich die beiden US-Präsidentschaftsbewerber jedoch bei der Steuer- und Energiepolitik sowie in einer Grundsatzfrage.</t>
  </si>
  <si>
    <t>Uneins</t>
  </si>
  <si>
    <t>sind</t>
  </si>
  <si>
    <t>sich</t>
  </si>
  <si>
    <t>OBJ</t>
  </si>
  <si>
    <t>die</t>
  </si>
  <si>
    <t>beiden</t>
  </si>
  <si>
    <t>US</t>
  </si>
  <si>
    <t>Präsidentschaftsbewerber</t>
  </si>
  <si>
    <t>jedoch</t>
  </si>
  <si>
    <t>bei</t>
  </si>
  <si>
    <t>der</t>
  </si>
  <si>
    <t>Steuer</t>
  </si>
  <si>
    <t>Energiepolitik</t>
  </si>
  <si>
    <t>sowie</t>
  </si>
  <si>
    <t>einer</t>
  </si>
  <si>
    <t>Grundsatzfrage</t>
  </si>
  <si>
    <t>indef-np.a</t>
  </si>
  <si>
    <t># text = Den Unterschieden in der Wirtschaftspolitik zwischen Donald Trump und Hillary Clinton liegt ein grundsätzlicher, eher philosophischer Unterschied zugrunde.</t>
  </si>
  <si>
    <t>Den</t>
  </si>
  <si>
    <t>Unterschieden</t>
  </si>
  <si>
    <t>zwischen</t>
  </si>
  <si>
    <t>Donald</t>
  </si>
  <si>
    <t>Hillary</t>
  </si>
  <si>
    <t>liegt</t>
  </si>
  <si>
    <t>ein</t>
  </si>
  <si>
    <t>grundsätzlicher</t>
  </si>
  <si>
    <t>,</t>
  </si>
  <si>
    <t>eher</t>
  </si>
  <si>
    <t>philosophischer</t>
  </si>
  <si>
    <t>Unterschied</t>
  </si>
  <si>
    <t>zugrunde</t>
  </si>
  <si>
    <t># text = Der, über die Rolle des Staates.</t>
  </si>
  <si>
    <t>Der</t>
  </si>
  <si>
    <t>über</t>
  </si>
  <si>
    <t>des</t>
  </si>
  <si>
    <t>Staates</t>
  </si>
  <si>
    <t># text = Trump will die im Zweifel eher klein halten und warnt davor, wie der Staat der Wirtschaft schaden kann - mit Steuern und Regulierungen.</t>
  </si>
  <si>
    <t>will</t>
  </si>
  <si>
    <t>Zweifel</t>
  </si>
  <si>
    <t>klein</t>
  </si>
  <si>
    <t>warnt</t>
  </si>
  <si>
    <t>davor</t>
  </si>
  <si>
    <t>pron.padv</t>
  </si>
  <si>
    <t>wie</t>
  </si>
  <si>
    <t>Staat</t>
  </si>
  <si>
    <t>Wirtschaft</t>
  </si>
  <si>
    <t>other_5</t>
  </si>
  <si>
    <t>schaden</t>
  </si>
  <si>
    <t>kann</t>
  </si>
  <si>
    <t>mit</t>
  </si>
  <si>
    <t>Steuern</t>
  </si>
  <si>
    <t>Regulierungen</t>
  </si>
  <si>
    <t># text = Clinton wolle die Wirtschaft zu Tode besteuern und zu Tode regulieren, sagt er.</t>
  </si>
  <si>
    <t>wolle</t>
  </si>
  <si>
    <t>zu</t>
  </si>
  <si>
    <t>Tode</t>
  </si>
  <si>
    <t>regulieren</t>
  </si>
  <si>
    <t>sagt</t>
  </si>
  <si>
    <t>er</t>
  </si>
  <si>
    <t>pron.pper</t>
  </si>
  <si>
    <t># text = Er selber dagegen wäre ganz anders, behauptet Trump.</t>
  </si>
  <si>
    <t>Er</t>
  </si>
  <si>
    <t>selber</t>
  </si>
  <si>
    <t>dagegen</t>
  </si>
  <si>
    <t>wäre</t>
  </si>
  <si>
    <t>ganz</t>
  </si>
  <si>
    <t>anders</t>
  </si>
  <si>
    <t>behauptet</t>
  </si>
  <si>
    <t># text = Er werde Regulierungen massiv zurückfahren, und er macht sich für eine weitreichende Steuerreform mit niedrigeren Steuersätzen stark - für Privatleute und für Unternehmen.</t>
  </si>
  <si>
    <t>werde</t>
  </si>
  <si>
    <t>massiv</t>
  </si>
  <si>
    <t>macht</t>
  </si>
  <si>
    <t>für</t>
  </si>
  <si>
    <t>eine</t>
  </si>
  <si>
    <t>weitreichende</t>
  </si>
  <si>
    <t>Steuerreform</t>
  </si>
  <si>
    <t>niedrigeren</t>
  </si>
  <si>
    <t>Steuersätzen</t>
  </si>
  <si>
    <t>stark</t>
  </si>
  <si>
    <t>Privatleute</t>
  </si>
  <si>
    <t>Unternehmen</t>
  </si>
  <si>
    <t># text = Clinton dagegen sagt: Der Staat hat bestimmte Aufgaben zu erfüllen, er hat Benachteiligten Chancen zu eröffnen und braucht dafür Geld.</t>
  </si>
  <si>
    <t>hat</t>
  </si>
  <si>
    <t>bestimmte</t>
  </si>
  <si>
    <t>Aufgaben</t>
  </si>
  <si>
    <t>OBJ_3</t>
  </si>
  <si>
    <t>erfüllen</t>
  </si>
  <si>
    <t>Benachteiligten</t>
  </si>
  <si>
    <t>Chancen</t>
  </si>
  <si>
    <t>eröffnen</t>
  </si>
  <si>
    <t>braucht</t>
  </si>
  <si>
    <t>dafür</t>
  </si>
  <si>
    <t>Geld</t>
  </si>
  <si>
    <t># text = Deshalb würden die Steuern für die Reichen erhöht, sagt sie.</t>
  </si>
  <si>
    <t>Deshalb</t>
  </si>
  <si>
    <t>würden</t>
  </si>
  <si>
    <t>Reichen</t>
  </si>
  <si>
    <t>erhöht</t>
  </si>
  <si>
    <t>sie</t>
  </si>
  <si>
    <t>pron</t>
  </si>
  <si>
    <t># text = Interessanterweise sind sich beide sehr nahe beim Thema Infrastruktur.</t>
  </si>
  <si>
    <t>Interessanterweise</t>
  </si>
  <si>
    <t>beide</t>
  </si>
  <si>
    <t>sehr</t>
  </si>
  <si>
    <t>nahe</t>
  </si>
  <si>
    <t>Thema</t>
  </si>
  <si>
    <t># text = In die müsse investiert werden, sagen Trump und Clinton fast wortgleich.</t>
  </si>
  <si>
    <t>müsse</t>
  </si>
  <si>
    <t>investiert</t>
  </si>
  <si>
    <t>werden</t>
  </si>
  <si>
    <t>fast</t>
  </si>
  <si>
    <t>wortgleich</t>
  </si>
  <si>
    <t># text = Die demokratische Bewerberin kündigt gar die größte Investition in neue Arbeitsplätze seit dem Zweiten Weltkrieg an.</t>
  </si>
  <si>
    <t>Die</t>
  </si>
  <si>
    <t>demokratische</t>
  </si>
  <si>
    <t>Bewerberin</t>
  </si>
  <si>
    <t>kündigt</t>
  </si>
  <si>
    <t>gar</t>
  </si>
  <si>
    <t>größte</t>
  </si>
  <si>
    <t>Investition</t>
  </si>
  <si>
    <t>neue</t>
  </si>
  <si>
    <t>Arbeitsplätze</t>
  </si>
  <si>
    <t>seit</t>
  </si>
  <si>
    <t>Zweiten</t>
  </si>
  <si>
    <t>Weltkrieg</t>
  </si>
  <si>
    <t>an</t>
  </si>
  <si>
    <t># text = Staatliche Investitionsprogramme in die Infrastruktur sind klassische demokratische Politik und werden etwa vom staatskritischen Teaparty-Flügel der Republikaner strikt abgelehnt.</t>
  </si>
  <si>
    <t>Staatliche</t>
  </si>
  <si>
    <t>Investitionsprogramme</t>
  </si>
  <si>
    <t>klassische</t>
  </si>
  <si>
    <t>Politik</t>
  </si>
  <si>
    <t>etwa</t>
  </si>
  <si>
    <t>von</t>
  </si>
  <si>
    <t>staatskritischen</t>
  </si>
  <si>
    <t>Teaparty</t>
  </si>
  <si>
    <t>Flügel</t>
  </si>
  <si>
    <t>Republikaner</t>
  </si>
  <si>
    <t>strikt</t>
  </si>
  <si>
    <t>abgelehnt</t>
  </si>
  <si>
    <t># text = Auf Trump könnten also noch parteiinterne Diskussionen zukommen.</t>
  </si>
  <si>
    <t>Auf</t>
  </si>
  <si>
    <t>könnten</t>
  </si>
  <si>
    <t>also</t>
  </si>
  <si>
    <t>noch</t>
  </si>
  <si>
    <t>parteiinterne</t>
  </si>
  <si>
    <t>Diskussionen</t>
  </si>
  <si>
    <t># text = Deutlicher sind die Unterschiede in der Energie- und Klimapolitik.</t>
  </si>
  <si>
    <t>Deutlicher</t>
  </si>
  <si>
    <t>Unterschiede</t>
  </si>
  <si>
    <t>Energie</t>
  </si>
  <si>
    <t>Klimapolitik</t>
  </si>
  <si>
    <t># text = Trump will Kohlekraftwerke bauen und die Kohleförderung in den USA wieder hochfahren.</t>
  </si>
  <si>
    <t>Kohlekraftwerke</t>
  </si>
  <si>
    <t>Kohleförderung</t>
  </si>
  <si>
    <t>den</t>
  </si>
  <si>
    <t>USA</t>
  </si>
  <si>
    <t>wieder</t>
  </si>
  <si>
    <t>hochfahren</t>
  </si>
  <si>
    <t># text = Ölförderung soll auch in bislang geschützten Gebieten möglich sein, das Pariser Klimaschutzabkommen will er aufkündigen.</t>
  </si>
  <si>
    <t>Ölförderung</t>
  </si>
  <si>
    <t>soll</t>
  </si>
  <si>
    <t>bislang</t>
  </si>
  <si>
    <t>geschützten</t>
  </si>
  <si>
    <t>Gebieten</t>
  </si>
  <si>
    <t>möglich</t>
  </si>
  <si>
    <t>sein</t>
  </si>
  <si>
    <t>Pariser</t>
  </si>
  <si>
    <t>Klimaschutzabkommen</t>
  </si>
  <si>
    <t>aufkündigen</t>
  </si>
  <si>
    <t>--</t>
  </si>
  <si>
    <t># text = Clinton dagegen will mit ihrem Investitionsprogramm ausdrücklich die Erneuerbaren Energien ausbauen und fordert: \"Ein Land wird die Supermacht der sauberen Energien werden und Millionen Jobs schaffen.\"</t>
  </si>
  <si>
    <t>ihrem</t>
  </si>
  <si>
    <t>Investitionsprogramm</t>
  </si>
  <si>
    <t>indef-np</t>
  </si>
  <si>
    <t>ausdrücklich</t>
  </si>
  <si>
    <t>Erneuerbaren</t>
  </si>
  <si>
    <t>Energien</t>
  </si>
  <si>
    <t>fordert</t>
  </si>
  <si>
    <t>&amp;quot;</t>
  </si>
  <si>
    <t>Ein</t>
  </si>
  <si>
    <t>Land</t>
  </si>
  <si>
    <t>wird</t>
  </si>
  <si>
    <t>Supermacht</t>
  </si>
  <si>
    <t>SBJ_4</t>
  </si>
  <si>
    <t>sauberen</t>
  </si>
  <si>
    <t>Millionen</t>
  </si>
  <si>
    <t>other_6</t>
  </si>
  <si>
    <t>Jobs</t>
  </si>
  <si>
    <t>OBJ_5</t>
  </si>
  <si>
    <t>schaffen</t>
  </si>
  <si>
    <t># text = \"Es wird wohl entweder China, Deutschland oder Amerika sein - ich will, dass wir es sind.\"</t>
  </si>
  <si>
    <t>Es</t>
  </si>
  <si>
    <t>wohl</t>
  </si>
  <si>
    <t>entweder</t>
  </si>
  <si>
    <t>China</t>
  </si>
  <si>
    <t>Deutschland</t>
  </si>
  <si>
    <t>oder</t>
  </si>
  <si>
    <t>Amerika</t>
  </si>
  <si>
    <t>ich</t>
  </si>
  <si>
    <t>dass</t>
  </si>
  <si>
    <t>wir</t>
  </si>
  <si>
    <t>es</t>
  </si>
  <si>
    <t># text = Doch nicht nur bei der Infrastruktur - auch bei internationalen Handelsabkommen sind die beiden Konkurrenten nicht allzu weit voneinander entfernt.</t>
  </si>
  <si>
    <t>Doch</t>
  </si>
  <si>
    <t>nicht</t>
  </si>
  <si>
    <t>nur</t>
  </si>
  <si>
    <t>internationalen</t>
  </si>
  <si>
    <t>Konkurrenten</t>
  </si>
  <si>
    <t>def-np.quant</t>
  </si>
  <si>
    <t>allzu</t>
  </si>
  <si>
    <t>weit</t>
  </si>
  <si>
    <t>voneinander</t>
  </si>
  <si>
    <t>entfernt</t>
  </si>
  <si>
    <t># text = TPP, das transpazifische Handelsabkommen, wollen beide nicht unterzeichnen.</t>
  </si>
  <si>
    <t>TPP</t>
  </si>
  <si>
    <t>transpazifische</t>
  </si>
  <si>
    <t># text = Gleichzeitig wollen beide aber die USA nicht vom internationalen Handel isolieren - sondern einfach nur amerikanische Jobs besser schützen.</t>
  </si>
  <si>
    <t>Gleichzeitig</t>
  </si>
  <si>
    <t>aber</t>
  </si>
  <si>
    <t>Handel</t>
  </si>
  <si>
    <t>isolieren</t>
  </si>
  <si>
    <t>sondern</t>
  </si>
  <si>
    <t>einfach</t>
  </si>
  <si>
    <t>amerikanische</t>
  </si>
  <si>
    <t>besser</t>
  </si>
  <si>
    <t># text = Die sollen dann auch besser bezahlt werden, fordert etwa Clinton.</t>
  </si>
  <si>
    <t>sollen</t>
  </si>
  <si>
    <t>dann</t>
  </si>
  <si>
    <t>bezahlt</t>
  </si>
  <si>
    <t># text = Der derzeitige Mindestlohn von 7,25 US-Dollar sei ein Hungerlohn.</t>
  </si>
  <si>
    <t>derzeitige</t>
  </si>
  <si>
    <t>Mindestlohn</t>
  </si>
  <si>
    <t>7,25</t>
  </si>
  <si>
    <t>Dollar</t>
  </si>
  <si>
    <t>sei</t>
  </si>
  <si>
    <t>Hungerlohn</t>
  </si>
  <si>
    <t># text = Ihn will sie auf 15 Dollar pro Stunde erhöhen.</t>
  </si>
  <si>
    <t>Ihn</t>
  </si>
  <si>
    <t>auf</t>
  </si>
  <si>
    <t>indef-np.quant</t>
  </si>
  <si>
    <t>pro</t>
  </si>
  <si>
    <t>Stunde</t>
  </si>
  <si>
    <t># text = Was Trump in dieser Frage tun will, ist nicht ganz klar: Einmal sagt er: Der Mindestlohn muss rauf, dann sagt er, er dürfe nicht verändert werden.</t>
  </si>
  <si>
    <t>Was</t>
  </si>
  <si>
    <t>SBJ_3</t>
  </si>
  <si>
    <t>dieser</t>
  </si>
  <si>
    <t>pron.pds</t>
  </si>
  <si>
    <t>Frage</t>
  </si>
  <si>
    <t>def-np.dem</t>
  </si>
  <si>
    <t>tun</t>
  </si>
  <si>
    <t>ist</t>
  </si>
  <si>
    <t>klar</t>
  </si>
  <si>
    <t>Einmal</t>
  </si>
  <si>
    <t>muss</t>
  </si>
  <si>
    <t>rauf</t>
  </si>
  <si>
    <t>dürfe</t>
  </si>
  <si>
    <t>verändert</t>
  </si>
  <si>
    <t># text = Doch die große Diskussion der kommenden Monate dürfte sich wohl eher um die Steuerpolitik der beiden Lager entwickeln.</t>
  </si>
  <si>
    <t>große</t>
  </si>
  <si>
    <t>Diskussion</t>
  </si>
  <si>
    <t>kommenden</t>
  </si>
  <si>
    <t>Monate</t>
  </si>
  <si>
    <t>dürfte</t>
  </si>
  <si>
    <t>um</t>
  </si>
  <si>
    <t>Steuerpolitik</t>
  </si>
  <si>
    <t>Lager</t>
  </si>
  <si>
    <t># text = Auf der einen Seite steht Trump, der die Wirtschaft und die Bürger entlasten will, um das Wachstum anzukurbeln.</t>
  </si>
  <si>
    <t>einen</t>
  </si>
  <si>
    <t>Seite</t>
  </si>
  <si>
    <t>steht</t>
  </si>
  <si>
    <t>Bürger</t>
  </si>
  <si>
    <t>entlasten</t>
  </si>
  <si>
    <t>Wachstum</t>
  </si>
  <si>
    <t>OBJ_4</t>
  </si>
  <si>
    <t>anzukurbeln</t>
  </si>
  <si>
    <t># text = Seine Kritiker halten ihm vor, damit würde das Haushaltsdefizit nur noch größer.</t>
  </si>
  <si>
    <t>Seine</t>
  </si>
  <si>
    <t>Kritiker</t>
  </si>
  <si>
    <t>ihm</t>
  </si>
  <si>
    <t>vor</t>
  </si>
  <si>
    <t>damit</t>
  </si>
  <si>
    <t>würde</t>
  </si>
  <si>
    <t>Haushaltsdefizit</t>
  </si>
  <si>
    <t>größer</t>
  </si>
  <si>
    <t># text = Auf der anderen Seite steht Clinton, die zumindest von den Reichen verlangen will, dass sie mehr Steuern zahlen, und deren Kritiker sagen: Mehr Steuern sind auch nicht die Lösung.</t>
  </si>
  <si>
    <t>anderen</t>
  </si>
  <si>
    <t>def-np.the.other</t>
  </si>
  <si>
    <t>zumindest</t>
  </si>
  <si>
    <t>verlangen</t>
  </si>
  <si>
    <t>mehr</t>
  </si>
  <si>
    <t>zahlen</t>
  </si>
  <si>
    <t>deren</t>
  </si>
  <si>
    <t>SBJ_5</t>
  </si>
  <si>
    <t>Mehr</t>
  </si>
  <si>
    <t>other_7</t>
  </si>
  <si>
    <t>SBJ_6</t>
  </si>
  <si>
    <t>Lösung</t>
  </si>
  <si>
    <t>clinton</t>
  </si>
  <si>
    <t>trump</t>
  </si>
  <si>
    <t>wirtschaftspolitik</t>
  </si>
  <si>
    <t>GEN</t>
  </si>
  <si>
    <t>parser error</t>
  </si>
  <si>
    <t>geld</t>
  </si>
  <si>
    <t>nicht syntaktischer Kopf</t>
  </si>
  <si>
    <t>Antezedens</t>
  </si>
  <si>
    <t>GROUP</t>
  </si>
  <si>
    <t>ziele&gt;investieren,verhindern</t>
  </si>
  <si>
    <t>kandidaten&gt;clinton,trump</t>
  </si>
  <si>
    <t>kein auto ref</t>
  </si>
  <si>
    <t>syntaktischer Kopf</t>
  </si>
  <si>
    <t>unterschied_philo</t>
  </si>
  <si>
    <t>staat</t>
  </si>
  <si>
    <t>IDIOM</t>
  </si>
  <si>
    <t>rolle_staat</t>
  </si>
  <si>
    <t>NEW</t>
  </si>
  <si>
    <t>wirtschaft</t>
  </si>
  <si>
    <t>EXPL</t>
  </si>
  <si>
    <t>Korrelat</t>
  </si>
  <si>
    <t>steuern</t>
  </si>
  <si>
    <t>reiche</t>
  </si>
  <si>
    <t>kandidaten</t>
  </si>
  <si>
    <t>OLD</t>
  </si>
  <si>
    <t>infrastruktur</t>
  </si>
  <si>
    <t>ww2</t>
  </si>
  <si>
    <t>republikaner</t>
  </si>
  <si>
    <t>unterschiede_energie_klima</t>
  </si>
  <si>
    <t>energie_klima_politik</t>
  </si>
  <si>
    <t>unterschiede_wirtschaft</t>
  </si>
  <si>
    <t>kohlefoerderung</t>
  </si>
  <si>
    <t>usa</t>
  </si>
  <si>
    <t>klimaschutzabkommen</t>
  </si>
  <si>
    <t>ern_energie</t>
  </si>
  <si>
    <t>nicht syntaktischer kopf</t>
  </si>
  <si>
    <t>china</t>
  </si>
  <si>
    <t>deutschland</t>
  </si>
  <si>
    <t>supermacht_ee</t>
  </si>
  <si>
    <t>tpp</t>
  </si>
  <si>
    <t>PRED</t>
  </si>
  <si>
    <t>us_jobs</t>
  </si>
  <si>
    <t>mindestlohn</t>
  </si>
  <si>
    <t>steuerpolitik</t>
  </si>
  <si>
    <t>buerger</t>
  </si>
  <si>
    <t>kritiker_trump</t>
  </si>
  <si>
    <t>haushaltsdefizit</t>
  </si>
  <si>
    <t>kritiker_clinton</t>
  </si>
  <si>
    <t>FAMILIAR</t>
  </si>
  <si>
    <t>nacherwähnt</t>
  </si>
  <si>
    <t>steuer_energie_politik</t>
  </si>
  <si>
    <t>aufgaben</t>
  </si>
  <si>
    <t>investition_arbeitsplaetze</t>
  </si>
  <si>
    <t>teaparty</t>
  </si>
  <si>
    <t>int_handelsabkommen</t>
  </si>
  <si>
    <t>int_handel</t>
  </si>
  <si>
    <t>SIT</t>
  </si>
  <si>
    <t>zukunft</t>
  </si>
  <si>
    <t>diskussion</t>
  </si>
  <si>
    <t>wachstum</t>
  </si>
  <si>
    <t>ankurbeln</t>
  </si>
  <si>
    <t>kein konkreter Bezug Interrogativpronomen</t>
  </si>
  <si>
    <t>parser error: Artikel</t>
  </si>
  <si>
    <t>UNIQUE</t>
  </si>
  <si>
    <t>FOCUS</t>
  </si>
  <si>
    <t>ACTIVATED</t>
  </si>
  <si>
    <t>CB cause mentioned first</t>
  </si>
  <si>
    <t>CB, wenn es eigener Satz wäre</t>
  </si>
  <si>
    <t>broad</t>
  </si>
  <si>
    <t>(zusammenfassend)</t>
  </si>
  <si>
    <t>specific</t>
  </si>
  <si>
    <t>(konkret)</t>
  </si>
  <si>
    <t>contra-expectation</t>
  </si>
  <si>
    <t>contrast</t>
  </si>
  <si>
    <t>reason</t>
  </si>
  <si>
    <t>(denn)</t>
  </si>
  <si>
    <t>cause</t>
  </si>
  <si>
    <t>(dagegen)</t>
  </si>
  <si>
    <t>deshalb</t>
  </si>
  <si>
    <t>result</t>
  </si>
  <si>
    <t>interessanterweise (hingegen)</t>
  </si>
  <si>
    <t>consequence</t>
  </si>
  <si>
    <t>(und)</t>
  </si>
  <si>
    <t>conjunction</t>
  </si>
  <si>
    <t>doch</t>
  </si>
  <si>
    <t>(daher)</t>
  </si>
  <si>
    <t>in dieser Frage (konkret)</t>
  </si>
  <si>
    <t>auf der einen Seite</t>
  </si>
  <si>
    <t>expectation-raiser</t>
  </si>
  <si>
    <t>ID 32 is missing (see log); instead: specific (anchor 29)?</t>
  </si>
  <si>
    <t>(allerdings)</t>
  </si>
  <si>
    <t>gar (konkret)</t>
  </si>
  <si>
    <t>set</t>
  </si>
  <si>
    <t>(im Allgemeinen)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</si>
</sst>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H4" sqref="H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551</v>
      </c>
      <c r="H2" s="10">
        <v>2</v>
      </c>
      <c r="I2" s="11" t="s">
        <v>550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553</v>
      </c>
      <c r="H3" s="10">
        <v>1</v>
      </c>
      <c r="I3" s="11" t="s">
        <v>552</v>
      </c>
      <c r="J3" s="12"/>
    </row>
    <row r="4" spans="1:10" ht="60" customHeight="1" x14ac:dyDescent="0.3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193</v>
      </c>
      <c r="H4" s="10">
        <v>2</v>
      </c>
      <c r="I4" s="11" t="s">
        <v>554</v>
      </c>
      <c r="J4" s="12"/>
    </row>
    <row r="5" spans="1:10" ht="60" customHeight="1" x14ac:dyDescent="0.3">
      <c r="A5" s="6" t="s">
        <v>11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557</v>
      </c>
      <c r="H5" s="10">
        <v>3</v>
      </c>
      <c r="I5" s="11" t="s">
        <v>558</v>
      </c>
      <c r="J5" s="12"/>
    </row>
    <row r="6" spans="1:10" ht="60" customHeight="1" x14ac:dyDescent="0.3">
      <c r="A6" s="6" t="s">
        <v>28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553</v>
      </c>
      <c r="H6" s="10">
        <v>4</v>
      </c>
      <c r="I6" s="11" t="s">
        <v>552</v>
      </c>
      <c r="J6" s="12"/>
    </row>
    <row r="7" spans="1:10" ht="60" customHeight="1" x14ac:dyDescent="0.3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553</v>
      </c>
      <c r="H7" s="10">
        <v>5</v>
      </c>
      <c r="I7" s="11" t="s">
        <v>552</v>
      </c>
      <c r="J7" s="12"/>
    </row>
    <row r="8" spans="1:10" ht="60" customHeight="1" x14ac:dyDescent="0.3">
      <c r="A8" s="6" t="s">
        <v>37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559</v>
      </c>
      <c r="H8" s="10">
        <v>6</v>
      </c>
      <c r="I8" s="11" t="s">
        <v>555</v>
      </c>
      <c r="J8" s="12"/>
    </row>
    <row r="9" spans="1:10" ht="60" customHeight="1" x14ac:dyDescent="0.3">
      <c r="A9" s="6" t="s">
        <v>41</v>
      </c>
      <c r="B9" s="6" t="s">
        <v>11</v>
      </c>
      <c r="C9" s="6" t="s">
        <v>12</v>
      </c>
      <c r="D9" s="7" t="s">
        <v>42</v>
      </c>
      <c r="E9" s="8" t="s">
        <v>43</v>
      </c>
      <c r="F9" s="6" t="s">
        <v>44</v>
      </c>
      <c r="G9" s="9" t="s">
        <v>248</v>
      </c>
      <c r="H9" s="10">
        <v>7</v>
      </c>
      <c r="I9" s="11" t="s">
        <v>555</v>
      </c>
      <c r="J9" s="12"/>
    </row>
    <row r="10" spans="1:10" ht="60" customHeight="1" x14ac:dyDescent="0.3">
      <c r="A10" s="6" t="s">
        <v>45</v>
      </c>
      <c r="B10" s="6" t="s">
        <v>28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553</v>
      </c>
      <c r="H10" s="10">
        <v>8</v>
      </c>
      <c r="I10" s="11" t="s">
        <v>552</v>
      </c>
      <c r="J10" s="12"/>
    </row>
    <row r="11" spans="1:10" ht="60" customHeight="1" x14ac:dyDescent="0.3">
      <c r="A11" s="6" t="s">
        <v>49</v>
      </c>
      <c r="B11" s="6" t="s">
        <v>17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248</v>
      </c>
      <c r="H11" s="10">
        <v>9</v>
      </c>
      <c r="I11" s="11" t="s">
        <v>555</v>
      </c>
      <c r="J11" s="12"/>
    </row>
    <row r="12" spans="1:10" ht="60" customHeight="1" x14ac:dyDescent="0.3">
      <c r="A12" s="6" t="s">
        <v>33</v>
      </c>
      <c r="B12" s="6" t="s">
        <v>49</v>
      </c>
      <c r="C12" s="6" t="s">
        <v>12</v>
      </c>
      <c r="D12" s="7" t="s">
        <v>50</v>
      </c>
      <c r="E12" s="8" t="s">
        <v>53</v>
      </c>
      <c r="F12" s="6" t="s">
        <v>54</v>
      </c>
      <c r="G12" s="9" t="s">
        <v>560</v>
      </c>
      <c r="H12" s="10">
        <v>10</v>
      </c>
      <c r="I12" s="11" t="s">
        <v>561</v>
      </c>
      <c r="J12" s="12"/>
    </row>
    <row r="13" spans="1:10" ht="60" customHeight="1" x14ac:dyDescent="0.3">
      <c r="A13" s="6" t="s">
        <v>24</v>
      </c>
      <c r="B13" s="6" t="s">
        <v>16</v>
      </c>
      <c r="C13" s="6" t="s">
        <v>12</v>
      </c>
      <c r="D13" s="7" t="s">
        <v>55</v>
      </c>
      <c r="E13" s="8" t="s">
        <v>56</v>
      </c>
      <c r="F13" s="6" t="s">
        <v>57</v>
      </c>
      <c r="G13" s="9" t="s">
        <v>562</v>
      </c>
      <c r="H13" s="10">
        <v>4</v>
      </c>
      <c r="I13" s="11" t="s">
        <v>555</v>
      </c>
      <c r="J13" s="12"/>
    </row>
    <row r="14" spans="1:10" ht="60" customHeight="1" x14ac:dyDescent="0.3">
      <c r="A14" s="6" t="s">
        <v>58</v>
      </c>
      <c r="B14" s="6" t="s">
        <v>11</v>
      </c>
      <c r="C14" s="6" t="s">
        <v>12</v>
      </c>
      <c r="D14" s="7" t="s">
        <v>18</v>
      </c>
      <c r="E14" s="8" t="s">
        <v>59</v>
      </c>
      <c r="F14" s="6" t="s">
        <v>60</v>
      </c>
      <c r="G14" s="9" t="s">
        <v>553</v>
      </c>
      <c r="H14" s="10">
        <v>12</v>
      </c>
      <c r="I14" s="11" t="s">
        <v>552</v>
      </c>
      <c r="J14" s="12"/>
    </row>
    <row r="15" spans="1:10" ht="60" customHeight="1" x14ac:dyDescent="0.3">
      <c r="A15" s="6" t="s">
        <v>61</v>
      </c>
      <c r="B15" s="6" t="s">
        <v>11</v>
      </c>
      <c r="C15" s="6" t="s">
        <v>12</v>
      </c>
      <c r="D15" s="7" t="s">
        <v>62</v>
      </c>
      <c r="E15" s="8" t="s">
        <v>63</v>
      </c>
      <c r="F15" s="6" t="s">
        <v>64</v>
      </c>
      <c r="G15" s="9" t="s">
        <v>573</v>
      </c>
      <c r="H15" s="10">
        <v>13</v>
      </c>
      <c r="I15" s="11" t="s">
        <v>552</v>
      </c>
      <c r="J15" s="12"/>
    </row>
    <row r="16" spans="1:10" ht="60" customHeight="1" x14ac:dyDescent="0.3">
      <c r="A16" s="6" t="s">
        <v>65</v>
      </c>
      <c r="B16" s="6" t="s">
        <v>32</v>
      </c>
      <c r="C16" s="6" t="s">
        <v>12</v>
      </c>
      <c r="D16" s="7" t="s">
        <v>66</v>
      </c>
      <c r="E16" s="8" t="s">
        <v>67</v>
      </c>
      <c r="F16" s="6" t="s">
        <v>68</v>
      </c>
      <c r="G16" s="9" t="s">
        <v>575</v>
      </c>
      <c r="H16" s="10">
        <v>12</v>
      </c>
      <c r="I16" s="11" t="s">
        <v>574</v>
      </c>
      <c r="J16" s="12"/>
    </row>
    <row r="17" spans="1:10" ht="60" customHeight="1" x14ac:dyDescent="0.3">
      <c r="A17" s="6" t="s">
        <v>69</v>
      </c>
      <c r="B17" s="6" t="s">
        <v>41</v>
      </c>
      <c r="C17" s="6" t="s">
        <v>12</v>
      </c>
      <c r="D17" s="7" t="s">
        <v>70</v>
      </c>
      <c r="E17" s="8" t="s">
        <v>71</v>
      </c>
      <c r="F17" s="6" t="s">
        <v>72</v>
      </c>
      <c r="G17" s="9" t="s">
        <v>327</v>
      </c>
      <c r="H17" s="10">
        <v>15</v>
      </c>
      <c r="I17" s="11" t="s">
        <v>563</v>
      </c>
      <c r="J17" s="12"/>
    </row>
    <row r="18" spans="1:10" ht="60" customHeight="1" x14ac:dyDescent="0.3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 t="s">
        <v>559</v>
      </c>
      <c r="H18" s="10">
        <v>12</v>
      </c>
      <c r="I18" s="11" t="s">
        <v>555</v>
      </c>
      <c r="J18" s="12"/>
    </row>
    <row r="19" spans="1:10" ht="60" customHeight="1" x14ac:dyDescent="0.3">
      <c r="A19" s="6" t="s">
        <v>77</v>
      </c>
      <c r="B19" s="6" t="s">
        <v>11</v>
      </c>
      <c r="C19" s="6" t="s">
        <v>12</v>
      </c>
      <c r="D19" s="7" t="s">
        <v>78</v>
      </c>
      <c r="E19" s="8" t="s">
        <v>79</v>
      </c>
      <c r="F19" s="6" t="s">
        <v>80</v>
      </c>
      <c r="G19" s="9" t="s">
        <v>553</v>
      </c>
      <c r="H19" s="10">
        <v>17</v>
      </c>
      <c r="I19" s="11" t="s">
        <v>552</v>
      </c>
      <c r="J19" s="12"/>
    </row>
    <row r="20" spans="1:10" ht="60" customHeight="1" x14ac:dyDescent="0.3">
      <c r="A20" s="6" t="s">
        <v>81</v>
      </c>
      <c r="B20" s="6" t="s">
        <v>45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564</v>
      </c>
      <c r="H20" s="10">
        <v>18</v>
      </c>
      <c r="I20" s="11" t="s">
        <v>565</v>
      </c>
      <c r="J20" s="12"/>
    </row>
    <row r="21" spans="1:10" ht="60" customHeight="1" x14ac:dyDescent="0.3">
      <c r="A21" s="6" t="s">
        <v>85</v>
      </c>
      <c r="B21" s="6" t="s">
        <v>33</v>
      </c>
      <c r="C21" s="6" t="s">
        <v>12</v>
      </c>
      <c r="D21" s="7" t="s">
        <v>86</v>
      </c>
      <c r="E21" s="8" t="s">
        <v>87</v>
      </c>
      <c r="F21" s="6" t="s">
        <v>88</v>
      </c>
      <c r="G21" s="9" t="s">
        <v>248</v>
      </c>
      <c r="H21" s="10">
        <v>18</v>
      </c>
      <c r="I21" s="11" t="s">
        <v>555</v>
      </c>
      <c r="J21" s="12"/>
    </row>
    <row r="22" spans="1:10" ht="60" customHeight="1" x14ac:dyDescent="0.3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557</v>
      </c>
      <c r="H22" s="10">
        <v>20</v>
      </c>
      <c r="I22" s="11" t="s">
        <v>556</v>
      </c>
      <c r="J22" s="12"/>
    </row>
    <row r="23" spans="1:10" ht="60" customHeight="1" x14ac:dyDescent="0.3">
      <c r="A23" s="6" t="s">
        <v>93</v>
      </c>
      <c r="B23" s="6" t="s">
        <v>24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566</v>
      </c>
      <c r="H23" s="10">
        <v>13</v>
      </c>
      <c r="I23" s="11" t="s">
        <v>555</v>
      </c>
      <c r="J23" s="12"/>
    </row>
    <row r="24" spans="1:10" ht="60" customHeight="1" x14ac:dyDescent="0.3">
      <c r="A24" s="6" t="s">
        <v>97</v>
      </c>
      <c r="B24" s="6" t="s">
        <v>49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">
        <v>553</v>
      </c>
      <c r="H24" s="10">
        <v>22</v>
      </c>
      <c r="I24" s="11" t="s">
        <v>552</v>
      </c>
      <c r="J24" s="12"/>
    </row>
    <row r="25" spans="1:10" ht="60" customHeight="1" x14ac:dyDescent="0.3">
      <c r="A25" s="6" t="s">
        <v>101</v>
      </c>
      <c r="B25" s="6" t="s">
        <v>85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">
        <v>403</v>
      </c>
      <c r="H25" s="10">
        <v>23</v>
      </c>
      <c r="I25" s="11" t="s">
        <v>554</v>
      </c>
      <c r="J25" s="12"/>
    </row>
    <row r="26" spans="1:10" ht="60" customHeight="1" x14ac:dyDescent="0.3">
      <c r="A26" s="6" t="s">
        <v>105</v>
      </c>
      <c r="B26" s="6" t="s">
        <v>32</v>
      </c>
      <c r="C26" s="6" t="s">
        <v>12</v>
      </c>
      <c r="D26" s="7" t="s">
        <v>106</v>
      </c>
      <c r="E26" s="8" t="s">
        <v>107</v>
      </c>
      <c r="F26" s="6" t="s">
        <v>108</v>
      </c>
      <c r="G26" s="9" t="s">
        <v>553</v>
      </c>
      <c r="H26" s="10">
        <v>24</v>
      </c>
      <c r="I26" s="11" t="s">
        <v>552</v>
      </c>
      <c r="J26" s="12"/>
    </row>
    <row r="27" spans="1:10" ht="60" customHeight="1" x14ac:dyDescent="0.3">
      <c r="A27" s="6" t="s">
        <v>109</v>
      </c>
      <c r="B27" s="6" t="s">
        <v>45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">
        <v>557</v>
      </c>
      <c r="H27" s="10">
        <v>25</v>
      </c>
      <c r="I27" s="11" t="s">
        <v>556</v>
      </c>
      <c r="J27" s="12"/>
    </row>
    <row r="28" spans="1:10" ht="60" customHeight="1" x14ac:dyDescent="0.3">
      <c r="A28" s="6" t="s">
        <v>113</v>
      </c>
      <c r="B28" s="6" t="s">
        <v>45</v>
      </c>
      <c r="C28" s="6" t="s">
        <v>12</v>
      </c>
      <c r="D28" s="7" t="s">
        <v>114</v>
      </c>
      <c r="E28" s="8" t="s">
        <v>115</v>
      </c>
      <c r="F28" s="6" t="s">
        <v>116</v>
      </c>
      <c r="G28" s="9" t="s">
        <v>567</v>
      </c>
      <c r="H28" s="10">
        <v>26</v>
      </c>
      <c r="I28" s="11" t="s">
        <v>561</v>
      </c>
      <c r="J28" s="12"/>
    </row>
    <row r="29" spans="1:10" ht="60" customHeight="1" x14ac:dyDescent="0.3">
      <c r="A29" s="6" t="s">
        <v>117</v>
      </c>
      <c r="B29" s="6" t="s">
        <v>101</v>
      </c>
      <c r="C29" s="6" t="s">
        <v>12</v>
      </c>
      <c r="D29" s="7" t="s">
        <v>118</v>
      </c>
      <c r="E29" s="8" t="s">
        <v>119</v>
      </c>
      <c r="F29" s="6" t="s">
        <v>120</v>
      </c>
      <c r="G29" s="9" t="s">
        <v>568</v>
      </c>
      <c r="H29" s="10">
        <v>24</v>
      </c>
      <c r="I29" s="11" t="s">
        <v>552</v>
      </c>
      <c r="J29" s="12"/>
    </row>
    <row r="30" spans="1:10" ht="60" customHeight="1" x14ac:dyDescent="0.3">
      <c r="A30" s="6" t="s">
        <v>121</v>
      </c>
      <c r="B30" s="6" t="s">
        <v>77</v>
      </c>
      <c r="C30" s="6" t="s">
        <v>12</v>
      </c>
      <c r="D30" s="7" t="s">
        <v>122</v>
      </c>
      <c r="E30" s="8" t="s">
        <v>123</v>
      </c>
      <c r="F30" s="6" t="s">
        <v>124</v>
      </c>
      <c r="G30" s="9" t="s">
        <v>566</v>
      </c>
      <c r="H30" s="10">
        <v>24</v>
      </c>
      <c r="I30" s="11" t="s">
        <v>555</v>
      </c>
      <c r="J30" s="12"/>
    </row>
    <row r="31" spans="1:10" ht="60" customHeight="1" x14ac:dyDescent="0.3">
      <c r="A31" s="6" t="s">
        <v>125</v>
      </c>
      <c r="B31" s="6" t="s">
        <v>28</v>
      </c>
      <c r="C31" s="6" t="s">
        <v>12</v>
      </c>
      <c r="D31" s="7" t="s">
        <v>126</v>
      </c>
      <c r="E31" s="8" t="s">
        <v>127</v>
      </c>
      <c r="F31" s="6" t="s">
        <v>128</v>
      </c>
      <c r="G31" s="9" t="s">
        <v>569</v>
      </c>
      <c r="H31" s="10">
        <v>32</v>
      </c>
      <c r="I31" s="11" t="s">
        <v>570</v>
      </c>
      <c r="J31" s="12" t="s">
        <v>571</v>
      </c>
    </row>
    <row r="32" spans="1:10" ht="60" customHeight="1" x14ac:dyDescent="0.3">
      <c r="A32" s="6" t="s">
        <v>129</v>
      </c>
      <c r="B32" s="6" t="s">
        <v>17</v>
      </c>
      <c r="C32" s="6" t="s">
        <v>12</v>
      </c>
      <c r="D32" s="7" t="s">
        <v>130</v>
      </c>
      <c r="E32" s="8" t="s">
        <v>131</v>
      </c>
      <c r="F32" s="6" t="s">
        <v>132</v>
      </c>
      <c r="G32" s="9" t="s">
        <v>572</v>
      </c>
      <c r="H32" s="10">
        <v>30</v>
      </c>
      <c r="I32" s="11" t="s">
        <v>555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7"/>
  <sheetViews>
    <sheetView workbookViewId="0">
      <pane xSplit="1" ySplit="1" topLeftCell="B604" activePane="bottomRight" state="frozen"/>
      <selection pane="topRight" activeCell="B1" sqref="B1"/>
      <selection pane="bottomLeft" activeCell="A2" sqref="A2"/>
      <selection pane="bottomRight" activeCell="A594" sqref="A594:A627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 x14ac:dyDescent="0.3">
      <c r="A2" t="s">
        <v>144</v>
      </c>
    </row>
    <row r="3" spans="1:12" x14ac:dyDescent="0.3">
      <c r="A3" t="s">
        <v>145</v>
      </c>
      <c r="B3" s="20" t="s">
        <v>146</v>
      </c>
      <c r="C3" s="20" t="s">
        <v>147</v>
      </c>
      <c r="D3" s="20" t="s">
        <v>148</v>
      </c>
      <c r="E3" s="21" t="s">
        <v>482</v>
      </c>
      <c r="F3" s="22" t="str">
        <f>IF(OR(E3="",E3="!!!"),"",IF(NOT(ISNA(VLOOKUP(E3,E$1:E2,1,FALSE()))),"OLD",IF(AND(E3&lt;&gt;"",E3&lt;&gt;"!!!"),"NEW","")))</f>
        <v>NEW</v>
      </c>
      <c r="G3" s="23" t="s">
        <v>530</v>
      </c>
      <c r="H3" s="24" t="str">
        <f t="shared" ref="H3:H15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149</v>
      </c>
      <c r="E4" s="21" t="str">
        <f t="shared" ref="E4:E13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150</v>
      </c>
      <c r="B5" s="20" t="s">
        <v>151</v>
      </c>
      <c r="C5" s="20" t="s">
        <v>147</v>
      </c>
      <c r="D5" s="20" t="s">
        <v>148</v>
      </c>
      <c r="E5" s="21" t="s">
        <v>483</v>
      </c>
      <c r="F5" s="22" t="str">
        <f>IF(OR(E5="",E5="!!!"),"",IF(NOT(ISNA(VLOOKUP(E5,E$1:E4,1,FALSE()))),"OLD",IF(AND(E5&lt;&gt;"",E5&lt;&gt;"!!!"),"NEW","")))</f>
        <v>NEW</v>
      </c>
      <c r="G5" s="23" t="s">
        <v>530</v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</v>
      </c>
      <c r="B6" s="20" t="s">
        <v>146</v>
      </c>
      <c r="C6" s="20" t="s">
        <v>152</v>
      </c>
      <c r="D6" s="20" t="s">
        <v>148</v>
      </c>
      <c r="E6" s="21" t="s">
        <v>484</v>
      </c>
      <c r="F6" s="22" t="str">
        <f>IF(OR(E6="",E6="!!!"),"",IF(NOT(ISNA(VLOOKUP(E6,E$1:E5,1,FALSE()))),"OLD",IF(AND(E6&lt;&gt;"",E6&lt;&gt;"!!!"),"NEW","")))</f>
        <v>NEW</v>
      </c>
      <c r="G6" s="23" t="s">
        <v>530</v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153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154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155</v>
      </c>
      <c r="B9" s="20" t="s">
        <v>146</v>
      </c>
      <c r="C9" s="20" t="s">
        <v>156</v>
      </c>
      <c r="D9" s="20" t="s">
        <v>148</v>
      </c>
      <c r="E9" s="21"/>
      <c r="F9" s="22" t="s">
        <v>485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157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158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159</v>
      </c>
      <c r="B12" s="20" t="s">
        <v>160</v>
      </c>
      <c r="C12" s="20" t="s">
        <v>161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162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163</v>
      </c>
      <c r="B14" s="20" t="s">
        <v>160</v>
      </c>
      <c r="C14" s="20" t="s">
        <v>147</v>
      </c>
      <c r="D14" s="20" t="s">
        <v>148</v>
      </c>
      <c r="E14" s="21"/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 t="s">
        <v>486</v>
      </c>
    </row>
    <row r="15" spans="1:12" x14ac:dyDescent="0.3">
      <c r="A15" t="s">
        <v>164</v>
      </c>
      <c r="B15" s="20" t="s">
        <v>165</v>
      </c>
      <c r="C15" s="20" t="s">
        <v>147</v>
      </c>
      <c r="D15" s="20" t="s">
        <v>148</v>
      </c>
      <c r="E15" s="21" t="s">
        <v>487</v>
      </c>
      <c r="F15" s="22" t="s">
        <v>499</v>
      </c>
      <c r="G15" s="23" t="s">
        <v>530</v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166</v>
      </c>
    </row>
    <row r="18" spans="1:12" x14ac:dyDescent="0.3">
      <c r="A18" t="s">
        <v>167</v>
      </c>
      <c r="E18" s="21" t="str">
        <f t="shared" ref="E18:E34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34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168</v>
      </c>
      <c r="B19" s="20" t="s">
        <v>146</v>
      </c>
      <c r="C19" s="20" t="s">
        <v>169</v>
      </c>
      <c r="E19" s="21" t="s">
        <v>507</v>
      </c>
      <c r="F19" s="22" t="str">
        <f>IF(OR(E19="",E19="!!!"),"",IF(NOT(ISNA(VLOOKUP(E19,E$1:E18,1,FALSE()))),"OLD",IF(AND(E19&lt;&gt;"",E19&lt;&gt;"!!!"),"NEW","")))</f>
        <v>NEW</v>
      </c>
      <c r="G19" s="23" t="s">
        <v>530</v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 t="s">
        <v>531</v>
      </c>
    </row>
    <row r="20" spans="1:12" x14ac:dyDescent="0.3">
      <c r="A20" t="s">
        <v>18</v>
      </c>
      <c r="E20" s="21" t="s">
        <v>18</v>
      </c>
      <c r="F20" s="22" t="str">
        <f>IF(OR(E20="",E20="!!!"),"",IF(NOT(ISNA(VLOOKUP(E20,E$1:E19,1,FALSE()))),"OLD",IF(AND(E20&lt;&gt;"",E20&lt;&gt;"!!!"),"NEW","")))</f>
        <v>NEW</v>
      </c>
      <c r="G20" s="23" t="s">
        <v>545</v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 t="s">
        <v>489</v>
      </c>
    </row>
    <row r="21" spans="1:12" x14ac:dyDescent="0.3">
      <c r="A21" t="s">
        <v>149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170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171</v>
      </c>
      <c r="B23" s="20" t="s">
        <v>172</v>
      </c>
      <c r="C23" s="20" t="s">
        <v>156</v>
      </c>
      <c r="D23" s="20" t="s">
        <v>148</v>
      </c>
      <c r="E23" s="21"/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 t="s">
        <v>488</v>
      </c>
    </row>
    <row r="24" spans="1:12" x14ac:dyDescent="0.3">
      <c r="A24" t="s">
        <v>173</v>
      </c>
      <c r="B24" s="20" t="s">
        <v>165</v>
      </c>
      <c r="C24" s="20" t="s">
        <v>147</v>
      </c>
      <c r="D24" s="20" t="s">
        <v>148</v>
      </c>
      <c r="E24" s="21" t="s">
        <v>521</v>
      </c>
      <c r="F24" s="22" t="str">
        <f>IF(OR(E24="",E24="!!!"),"",IF(NOT(ISNA(VLOOKUP(E24,E$1:E23,1,FALSE()))),"OLD",IF(AND(E24&lt;&gt;"",E24&lt;&gt;"!!!"),"NEW","")))</f>
        <v>NEW</v>
      </c>
      <c r="G24" s="23" t="s">
        <v>545</v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174</v>
      </c>
      <c r="E25" s="21" t="s">
        <v>174</v>
      </c>
      <c r="F25" s="22" t="str">
        <f>IF(OR(E25="",E25="!!!"),"",IF(NOT(ISNA(VLOOKUP(E25,E$1:E24,1,FALSE()))),"OLD",IF(AND(E25&lt;&gt;"",E25&lt;&gt;"!!!"),"NEW","")))</f>
        <v>NEW</v>
      </c>
      <c r="G25" s="23" t="s">
        <v>545</v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 t="s">
        <v>489</v>
      </c>
    </row>
    <row r="26" spans="1:12" x14ac:dyDescent="0.3">
      <c r="A26" t="s">
        <v>12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170</v>
      </c>
      <c r="E27" s="21" t="s">
        <v>491</v>
      </c>
      <c r="F27" s="22" t="s">
        <v>490</v>
      </c>
      <c r="G27" s="23" t="s">
        <v>546</v>
      </c>
      <c r="H27" s="24" t="str">
        <f t="shared" ca="1" si="3"/>
        <v/>
      </c>
      <c r="I27" s="25" t="e">
        <f>IF(OR(E27="",E27="!!!",F27="NEW"),"",INDEX(B$2:B26,-1+SUMPRODUCT(MAX(ROW(E$2:E26)*(E27=E$2:E26)))))</f>
        <v>#VALUE!</v>
      </c>
      <c r="J27" s="25">
        <f ca="1">IF(OR(E27="",E27="!!!",F27="NEW"),"",COUNTBLANK(OFFSET(A$1,,,SUMPRODUCT(MAX(ROW(E$2:E27)*(E27=E$2:E27)))))-COUNTBLANK(OFFSET(A$1,,,SUMPRODUCT(MAX(ROW(E$1:E26)*(E2=E$1:E26))))))</f>
        <v>0</v>
      </c>
      <c r="K27" s="25" t="e">
        <f>IF(OR(E27="",E27="!!!",F27="NEW"),"",INDEX(J$1:J26,SUMPRODUCT(MAX(ROW(E$1:E26)*(E27=E$1:E26)))))</f>
        <v>#VALUE!</v>
      </c>
      <c r="L27" s="26"/>
    </row>
    <row r="28" spans="1:12" x14ac:dyDescent="0.3">
      <c r="A28" t="s">
        <v>175</v>
      </c>
      <c r="B28" s="20" t="s">
        <v>176</v>
      </c>
      <c r="C28" s="20" t="s">
        <v>156</v>
      </c>
      <c r="D28" s="20" t="s">
        <v>148</v>
      </c>
      <c r="E28" s="21"/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 t="s">
        <v>486</v>
      </c>
    </row>
    <row r="29" spans="1:12" x14ac:dyDescent="0.3">
      <c r="A29" t="s">
        <v>177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178</v>
      </c>
      <c r="B30" s="20" t="s">
        <v>179</v>
      </c>
      <c r="C30" s="20" t="s">
        <v>147</v>
      </c>
      <c r="D30" s="20" t="s">
        <v>148</v>
      </c>
      <c r="E30" s="21" t="s">
        <v>482</v>
      </c>
      <c r="F30" s="22" t="str">
        <f>IF(OR(E30="",E30="!!!"),"",IF(NOT(ISNA(VLOOKUP(E30,E$1:E29,1,FALSE()))),"OLD",IF(AND(E30&lt;&gt;"",E30&lt;&gt;"!!!"),"NEW","")))</f>
        <v>OLD</v>
      </c>
      <c r="G30" s="23" t="s">
        <v>546</v>
      </c>
      <c r="H30" s="24" t="s">
        <v>140</v>
      </c>
      <c r="I30" s="25" t="str">
        <f>IF(OR(E30="",E30="!!!",F30="NEW"),"",INDEX(B$2:B29,-1+SUMPRODUCT(MAX(ROW(E$2:E29)*(E30=E$2:E29)))))</f>
        <v>other</v>
      </c>
      <c r="J30" s="25">
        <f ca="1">IF(OR(E30="",E30="!!!",F30="NEW"),"",COUNTBLANK(OFFSET(A$1,,,SUMPRODUCT(MAX(ROW(E$2:E30)*(E30=E$2:E30)))))-COUNTBLANK(OFFSET(A$1,,,SUMPRODUCT(MAX(ROW(E$1:E29)*(E2=E$1:E29))))))</f>
        <v>0</v>
      </c>
      <c r="K30" s="25" t="str">
        <f ca="1">IF(OR(E30="",E30="!!!",F30="NEW"),"",INDEX(J$1:J29,SUMPRODUCT(MAX(ROW(E$1:E29)*(E30=E$1:E29)))))</f>
        <v/>
      </c>
      <c r="L30" s="26" t="s">
        <v>548</v>
      </c>
    </row>
    <row r="31" spans="1:12" x14ac:dyDescent="0.3">
      <c r="A31" t="s">
        <v>180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181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182</v>
      </c>
      <c r="B33" s="20" t="s">
        <v>151</v>
      </c>
      <c r="C33" s="20" t="s">
        <v>169</v>
      </c>
      <c r="E33" s="21" t="s">
        <v>483</v>
      </c>
      <c r="F33" s="22" t="str">
        <f>IF(OR(E33="",E33="!!!"),"",IF(NOT(ISNA(VLOOKUP(E33,E$1:E32,1,FALSE()))),"OLD",IF(AND(E33&lt;&gt;"",E33&lt;&gt;"!!!"),"NEW","")))</f>
        <v>OLD</v>
      </c>
      <c r="G33" s="23" t="s">
        <v>546</v>
      </c>
      <c r="H33" s="24" t="str">
        <f t="shared" ca="1" si="3"/>
        <v/>
      </c>
      <c r="I33" s="25" t="str">
        <f>IF(OR(E33="",E33="!!!",F33="NEW"),"",INDEX(B$2:B32,-1+SUMPRODUCT(MAX(ROW(E$2:E32)*(E33=E$2:E32)))))</f>
        <v>other_2</v>
      </c>
      <c r="J33" s="25">
        <f ca="1">IF(OR(E33="",E33="!!!",F33="NEW"),"",COUNTBLANK(OFFSET(A$1,,,SUMPRODUCT(MAX(ROW(E$2:E33)*(E33=E$2:E33)))))-COUNTBLANK(OFFSET(A$1,,,SUMPRODUCT(MAX(ROW(E$1:E32)*(E2=E$1:E32))))))</f>
        <v>0</v>
      </c>
      <c r="K33" s="25" t="str">
        <f ca="1">IF(OR(E33="",E33="!!!",F33="NEW"),"",INDEX(J$1:J32,SUMPRODUCT(MAX(ROW(E$1:E32)*(E33=E$1:E32)))))</f>
        <v/>
      </c>
      <c r="L33" s="26"/>
    </row>
    <row r="34" spans="1:12" x14ac:dyDescent="0.3">
      <c r="A34" t="s">
        <v>183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6" spans="1:12" x14ac:dyDescent="0.3">
      <c r="A36" t="s">
        <v>184</v>
      </c>
    </row>
    <row r="37" spans="1:12" x14ac:dyDescent="0.3">
      <c r="A37" t="s">
        <v>185</v>
      </c>
      <c r="E37" s="21" t="str">
        <f t="shared" ref="E37:E56" si="4">IF(D37="?OLD","!!!","")</f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ref="H37:H56" ca="1" si="5">IF(J37&lt;&gt;1,"",IF(I37="SBJ","CB","?"))</f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186</v>
      </c>
      <c r="E38" s="21" t="str">
        <f t="shared" si="4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187</v>
      </c>
      <c r="B39" s="20" t="s">
        <v>188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189</v>
      </c>
      <c r="E40" s="21" t="str">
        <f t="shared" si="4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190</v>
      </c>
      <c r="E41" s="21" t="str">
        <f t="shared" si="4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5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191</v>
      </c>
      <c r="B42" s="20" t="s">
        <v>179</v>
      </c>
      <c r="C42" s="20" t="s">
        <v>147</v>
      </c>
      <c r="D42" s="20" t="s">
        <v>148</v>
      </c>
      <c r="E42" s="21"/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5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 t="s">
        <v>488</v>
      </c>
    </row>
    <row r="43" spans="1:12" x14ac:dyDescent="0.3">
      <c r="A43" t="s">
        <v>12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192</v>
      </c>
      <c r="E44" s="21" t="s">
        <v>492</v>
      </c>
      <c r="F44" s="22" t="s">
        <v>490</v>
      </c>
      <c r="G44" s="23" t="s">
        <v>546</v>
      </c>
      <c r="H44" s="24" t="s">
        <v>140</v>
      </c>
      <c r="I44" s="25" t="e">
        <f>IF(OR(E44="",E44="!!!",F44="NEW"),"",INDEX(B$2:B43,-1+SUMPRODUCT(MAX(ROW(E$2:E43)*(E44=E$2:E43)))))</f>
        <v>#VALUE!</v>
      </c>
      <c r="J44" s="25">
        <f ca="1">IF(OR(E44="",E44="!!!",F44="NEW"),"",COUNTBLANK(OFFSET(A$1,,,SUMPRODUCT(MAX(ROW(E$2:E44)*(E44=E$2:E44)))))-COUNTBLANK(OFFSET(A$1,,,SUMPRODUCT(MAX(ROW(E$1:E43)*(E2=E$1:E43))))))</f>
        <v>0</v>
      </c>
      <c r="K44" s="25" t="e">
        <f>IF(OR(E44="",E44="!!!",F44="NEW"),"",INDEX(J$1:J43,SUMPRODUCT(MAX(ROW(E$1:E43)*(E44=E$1:E43)))))</f>
        <v>#VALUE!</v>
      </c>
      <c r="L44" s="26" t="s">
        <v>493</v>
      </c>
    </row>
    <row r="45" spans="1:12" x14ac:dyDescent="0.3">
      <c r="A45" t="s">
        <v>193</v>
      </c>
      <c r="E45" s="21" t="str">
        <f t="shared" si="4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194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195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196</v>
      </c>
      <c r="B48" s="20" t="s">
        <v>146</v>
      </c>
      <c r="C48" s="20" t="s">
        <v>156</v>
      </c>
      <c r="D48" s="20" t="s">
        <v>148</v>
      </c>
      <c r="E48" s="21"/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12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149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197</v>
      </c>
      <c r="B51" s="20" t="s">
        <v>146</v>
      </c>
      <c r="C51" s="20" t="s">
        <v>169</v>
      </c>
      <c r="E51" s="21" t="s">
        <v>532</v>
      </c>
      <c r="F51" s="22" t="str">
        <f>IF(OR(E51="",E51="!!!"),"",IF(NOT(ISNA(VLOOKUP(E51,E$1:E50,1,FALSE()))),"OLD",IF(AND(E51&lt;&gt;"",E51&lt;&gt;"!!!"),"NEW","")))</f>
        <v>NEW</v>
      </c>
      <c r="G51" s="23" t="s">
        <v>530</v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 t="s">
        <v>494</v>
      </c>
    </row>
    <row r="52" spans="1:12" x14ac:dyDescent="0.3">
      <c r="A52" t="s">
        <v>198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153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199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200</v>
      </c>
      <c r="B55" s="20" t="s">
        <v>146</v>
      </c>
      <c r="C55" s="20" t="s">
        <v>201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183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8" spans="1:12" x14ac:dyDescent="0.3">
      <c r="A58" t="s">
        <v>202</v>
      </c>
    </row>
    <row r="59" spans="1:12" x14ac:dyDescent="0.3">
      <c r="A59" t="s">
        <v>203</v>
      </c>
      <c r="E59" s="21" t="str">
        <f t="shared" ref="E59:E78" si="6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ref="H59:H78" ca="1" si="7">IF(J59&lt;&gt;1,"",IF(I59="SBJ","CB","?"))</f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204</v>
      </c>
      <c r="B60" s="20" t="s">
        <v>179</v>
      </c>
      <c r="C60" s="20" t="s">
        <v>156</v>
      </c>
      <c r="D60" s="20" t="s">
        <v>148</v>
      </c>
      <c r="E60" s="21" t="s">
        <v>512</v>
      </c>
      <c r="F60" s="22" t="str">
        <f>IF(OR(E60="",E60="!!!"),"",IF(NOT(ISNA(VLOOKUP(E60,E$1:E59,1,FALSE()))),"OLD",IF(AND(E60&lt;&gt;"",E60&lt;&gt;"!!!"),"NEW","")))</f>
        <v>NEW</v>
      </c>
      <c r="G60" s="23" t="s">
        <v>138</v>
      </c>
      <c r="H60" s="24" t="str">
        <f t="shared" ca="1" si="7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153</v>
      </c>
      <c r="E61" s="21" t="str">
        <f t="shared" si="6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7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195</v>
      </c>
      <c r="E62" s="21" t="str">
        <f t="shared" si="6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7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13</v>
      </c>
      <c r="B63" s="20" t="s">
        <v>151</v>
      </c>
      <c r="C63" s="20" t="s">
        <v>156</v>
      </c>
      <c r="D63" s="20" t="s">
        <v>148</v>
      </c>
      <c r="E63" s="21" t="s">
        <v>484</v>
      </c>
      <c r="F63" s="22" t="str">
        <f>IF(OR(E63="",E63="!!!"),"",IF(NOT(ISNA(VLOOKUP(E63,E$1:E62,1,FALSE()))),"OLD",IF(AND(E63&lt;&gt;"",E63&lt;&gt;"!!!"),"NEW","")))</f>
        <v>OLD</v>
      </c>
      <c r="G63" s="23" t="s">
        <v>530</v>
      </c>
      <c r="H63" s="24" t="str">
        <f t="shared" ca="1" si="7"/>
        <v/>
      </c>
      <c r="I63" s="25" t="str">
        <f>IF(OR(E63="",E63="!!!",F63="NEW"),"",INDEX(B$2:B62,-1+SUMPRODUCT(MAX(ROW(E$2:E62)*(E63=E$2:E62)))))</f>
        <v>other</v>
      </c>
      <c r="J63" s="25">
        <f ca="1">IF(OR(E63="",E63="!!!",F63="NEW"),"",COUNTBLANK(OFFSET(A$1,,,SUMPRODUCT(MAX(ROW(E$2:E63)*(E63=E$2:E63)))))-COUNTBLANK(OFFSET(A$1,,,SUMPRODUCT(MAX(ROW(E$1:E62)*(E2=E$1:E62))))))</f>
        <v>0</v>
      </c>
      <c r="K63" s="25" t="str">
        <f ca="1">IF(OR(E63="",E63="!!!",F63="NEW"),"",INDEX(J$1:J62,SUMPRODUCT(MAX(ROW(E$1:E62)*(E63=E$1:E62)))))</f>
        <v/>
      </c>
      <c r="L63" s="26"/>
    </row>
    <row r="64" spans="1:12" x14ac:dyDescent="0.3">
      <c r="A64" t="s">
        <v>205</v>
      </c>
      <c r="E64" s="21" t="str">
        <f t="shared" si="6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7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206</v>
      </c>
      <c r="B65" s="20" t="s">
        <v>165</v>
      </c>
      <c r="C65" s="20" t="s">
        <v>147</v>
      </c>
      <c r="D65" s="20" t="s">
        <v>148</v>
      </c>
      <c r="E65" s="21" t="s">
        <v>483</v>
      </c>
      <c r="F65" s="22" t="str">
        <f>IF(OR(E65="",E65="!!!"),"",IF(NOT(ISNA(VLOOKUP(E65,E$1:E64,1,FALSE()))),"OLD",IF(AND(E65&lt;&gt;"",E65&lt;&gt;"!!!"),"NEW","")))</f>
        <v>OLD</v>
      </c>
      <c r="G65" s="23" t="s">
        <v>546</v>
      </c>
      <c r="H65" s="24" t="s">
        <v>140</v>
      </c>
      <c r="I65" s="25" t="str">
        <f>IF(OR(E65="",E65="!!!",F65="NEW"),"",INDEX(B$2:B64,-1+SUMPRODUCT(MAX(ROW(E$2:E64)*(E65=E$2:E64)))))</f>
        <v>other_2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 t="s">
        <v>548</v>
      </c>
    </row>
    <row r="66" spans="1:12" x14ac:dyDescent="0.3">
      <c r="A66" t="s">
        <v>182</v>
      </c>
      <c r="E66" s="21" t="str">
        <f t="shared" si="6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7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149</v>
      </c>
      <c r="E67" s="21" t="str">
        <f t="shared" si="6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7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207</v>
      </c>
      <c r="B68" s="20" t="s">
        <v>160</v>
      </c>
      <c r="C68" s="20" t="s">
        <v>147</v>
      </c>
      <c r="D68" s="20" t="s">
        <v>148</v>
      </c>
      <c r="E68" s="21" t="s">
        <v>482</v>
      </c>
      <c r="F68" s="22" t="str">
        <f>IF(OR(E68="",E68="!!!"),"",IF(NOT(ISNA(VLOOKUP(E68,E$1:E67,1,FALSE()))),"OLD",IF(AND(E68&lt;&gt;"",E68&lt;&gt;"!!!"),"NEW","")))</f>
        <v>OLD</v>
      </c>
      <c r="G68" s="23" t="s">
        <v>546</v>
      </c>
      <c r="H68" s="24" t="str">
        <f t="shared" ca="1" si="7"/>
        <v/>
      </c>
      <c r="I68" s="25" t="str">
        <f>IF(OR(E68="",E68="!!!",F68="NEW"),"",INDEX(B$2:B67,-1+SUMPRODUCT(MAX(ROW(E$2:E67)*(E68=E$2:E67)))))</f>
        <v>SBJ</v>
      </c>
      <c r="J68" s="25">
        <f ca="1">IF(OR(E68="",E68="!!!",F68="NEW"),"",COUNTBLANK(OFFSET(A$1,,,SUMPRODUCT(MAX(ROW(E$2:E68)*(E68=E$2:E68)))))-COUNTBLANK(OFFSET(A$1,,,SUMPRODUCT(MAX(ROW(E$1:E67)*(E2=E$1:E67))))))</f>
        <v>0</v>
      </c>
      <c r="K68" s="25">
        <f ca="1">IF(OR(E68="",E68="!!!",F68="NEW"),"",INDEX(J$1:J67,SUMPRODUCT(MAX(ROW(E$1:E67)*(E68=E$1:E67)))))</f>
        <v>0</v>
      </c>
      <c r="L68" s="26"/>
    </row>
    <row r="69" spans="1:12" x14ac:dyDescent="0.3">
      <c r="A69" t="s">
        <v>178</v>
      </c>
      <c r="E69" s="21" t="str">
        <f t="shared" si="6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7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208</v>
      </c>
      <c r="E70" s="21" t="str">
        <f t="shared" si="6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7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209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210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211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212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213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214</v>
      </c>
      <c r="B76" s="20" t="s">
        <v>179</v>
      </c>
      <c r="C76" s="20" t="s">
        <v>201</v>
      </c>
      <c r="E76" s="21" t="s">
        <v>495</v>
      </c>
      <c r="F76" s="22" t="str">
        <f>IF(OR(E76="",E76="!!!"),"",IF(NOT(ISNA(VLOOKUP(E76,E$1:E75,1,FALSE()))),"OLD",IF(AND(E76&lt;&gt;"",E76&lt;&gt;"!!!"),"NEW","")))</f>
        <v>NEW</v>
      </c>
      <c r="G76" s="23" t="s">
        <v>138</v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215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183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80" spans="1:12" x14ac:dyDescent="0.3">
      <c r="A80" t="s">
        <v>216</v>
      </c>
    </row>
    <row r="81" spans="1:12" x14ac:dyDescent="0.3">
      <c r="A81" t="s">
        <v>217</v>
      </c>
      <c r="E81" s="21" t="s">
        <v>495</v>
      </c>
      <c r="F81" s="22" t="str">
        <f>IF(OR(E81="",E81="!!!"),"",IF(NOT(ISNA(VLOOKUP(E81,E$1:E80,1,FALSE()))),"OLD",IF(AND(E81&lt;&gt;"",E81&lt;&gt;"!!!"),"NEW","")))</f>
        <v>OLD</v>
      </c>
      <c r="G81" s="23" t="s">
        <v>546</v>
      </c>
      <c r="H81" s="24" t="s">
        <v>140</v>
      </c>
      <c r="I81" s="25" t="str">
        <f>IF(OR(E81="",E81="!!!",F81="NEW"),"",INDEX(B$2:B80,-1+SUMPRODUCT(MAX(ROW(E$2:E80)*(E81=E$2:E80)))))</f>
        <v>SBJ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 t="str">
        <f ca="1">IF(OR(E81="",E81="!!!",F81="NEW"),"",INDEX(J$1:J80,SUMPRODUCT(MAX(ROW(E$1:E80)*(E81=E$1:E80)))))</f>
        <v/>
      </c>
      <c r="L81" s="26"/>
    </row>
    <row r="82" spans="1:12" x14ac:dyDescent="0.3">
      <c r="A82" t="s">
        <v>211</v>
      </c>
      <c r="E82" s="21" t="str">
        <f t="shared" ref="E82:E88" si="8">IF(D82="?OLD","!!!","")</f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ref="H82:H88" ca="1" si="9">IF(J82&lt;&gt;1,"",IF(I82="SBJ","CB","?"))</f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218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189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29</v>
      </c>
      <c r="B85" s="20" t="s">
        <v>146</v>
      </c>
      <c r="C85" s="20" t="s">
        <v>156</v>
      </c>
      <c r="D85" s="20" t="s">
        <v>148</v>
      </c>
      <c r="E85" s="21" t="s">
        <v>498</v>
      </c>
      <c r="F85" s="22" t="s">
        <v>499</v>
      </c>
      <c r="G85" s="23" t="s">
        <v>545</v>
      </c>
      <c r="H85" s="24" t="str">
        <f t="shared" ca="1" si="9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219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220</v>
      </c>
      <c r="B87" s="20" t="s">
        <v>146</v>
      </c>
      <c r="C87" s="20" t="s">
        <v>156</v>
      </c>
      <c r="D87" s="20" t="s">
        <v>148</v>
      </c>
      <c r="E87" s="21" t="s">
        <v>496</v>
      </c>
      <c r="F87" s="22" t="str">
        <f>IF(OR(E87="",E87="!!!"),"",IF(NOT(ISNA(VLOOKUP(E87,E$1:E86,1,FALSE()))),"OLD",IF(AND(E87&lt;&gt;"",E87&lt;&gt;"!!!"),"NEW","")))</f>
        <v>NEW</v>
      </c>
      <c r="G87" s="23" t="s">
        <v>530</v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183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90" spans="1:12" x14ac:dyDescent="0.3">
      <c r="A90" t="s">
        <v>221</v>
      </c>
    </row>
    <row r="91" spans="1:12" x14ac:dyDescent="0.3">
      <c r="A91" t="s">
        <v>182</v>
      </c>
      <c r="B91" s="20" t="s">
        <v>179</v>
      </c>
      <c r="C91" s="20" t="s">
        <v>147</v>
      </c>
      <c r="D91" s="20" t="s">
        <v>148</v>
      </c>
      <c r="E91" s="21" t="s">
        <v>483</v>
      </c>
      <c r="F91" s="22" t="str">
        <f>IF(OR(E91="",E91="!!!"),"",IF(NOT(ISNA(VLOOKUP(E91,E$1:E90,1,FALSE()))),"OLD",IF(AND(E91&lt;&gt;"",E91&lt;&gt;"!!!"),"NEW","")))</f>
        <v>OLD</v>
      </c>
      <c r="G91" s="23" t="s">
        <v>547</v>
      </c>
      <c r="H91" s="24" t="str">
        <f t="shared" ref="H91:H116" ca="1" si="10">IF(J91&lt;&gt;1,"",IF(I91="SBJ","CB","?"))</f>
        <v/>
      </c>
      <c r="I91" s="25" t="str">
        <f>IF(OR(E91="",E91="!!!",F91="NEW"),"",INDEX(B$2:B90,-1+SUMPRODUCT(MAX(ROW(E$2:E90)*(E91=E$2:E90)))))</f>
        <v>other_3</v>
      </c>
      <c r="J91" s="25">
        <f ca="1">IF(OR(E91="",E91="!!!",F91="NEW"),"",COUNTBLANK(OFFSET(A$1,,,SUMPRODUCT(MAX(ROW(E$2:E91)*(E91=E$2:E91)))))-COUNTBLANK(OFFSET(A$1,,,SUMPRODUCT(MAX(ROW(E$1:E90)*(E2=E$1:E90))))))</f>
        <v>0</v>
      </c>
      <c r="K91" s="25">
        <f ca="1">IF(OR(E91="",E91="!!!",F91="NEW"),"",INDEX(J$1:J90,SUMPRODUCT(MAX(ROW(E$1:E90)*(E91=E$1:E90)))))</f>
        <v>0</v>
      </c>
      <c r="L91" s="26"/>
    </row>
    <row r="92" spans="1:12" x14ac:dyDescent="0.3">
      <c r="A92" t="s">
        <v>222</v>
      </c>
      <c r="E92" s="21" t="str">
        <f t="shared" ref="E92:E116" si="11">IF(D92="?OLD","!!!","")</f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10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189</v>
      </c>
      <c r="B93" s="20" t="s">
        <v>179</v>
      </c>
      <c r="E93" s="21" t="s">
        <v>498</v>
      </c>
      <c r="F93" s="22" t="str">
        <f>IF(OR(E93="",E93="!!!"),"",IF(NOT(ISNA(VLOOKUP(E93,E$1:E92,1,FALSE()))),"OLD",IF(AND(E93&lt;&gt;"",E93&lt;&gt;"!!!"),"NEW","")))</f>
        <v>OLD</v>
      </c>
      <c r="G93" s="23" t="s">
        <v>547</v>
      </c>
      <c r="H93" s="24" t="s">
        <v>140</v>
      </c>
      <c r="I93" s="25" t="str">
        <f>IF(OR(E93="",E93="!!!",F93="NEW"),"",INDEX(B$2:B92,-1+SUMPRODUCT(MAX(ROW(E$2:E92)*(E93=E$2:E92)))))</f>
        <v>other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 t="str">
        <f ca="1">IF(OR(E93="",E93="!!!",F93="NEW"),"",INDEX(J$1:J92,SUMPRODUCT(MAX(ROW(E$1:E92)*(E93=E$1:E92)))))</f>
        <v/>
      </c>
      <c r="L93" s="26" t="s">
        <v>493</v>
      </c>
    </row>
    <row r="94" spans="1:12" x14ac:dyDescent="0.3">
      <c r="A94" t="s">
        <v>153</v>
      </c>
      <c r="E94" s="21" t="str">
        <f t="shared" si="11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0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154</v>
      </c>
      <c r="E95" s="21" t="str">
        <f t="shared" si="11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0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223</v>
      </c>
      <c r="B96" s="20" t="s">
        <v>146</v>
      </c>
      <c r="C96" s="20" t="s">
        <v>156</v>
      </c>
      <c r="D96" s="20" t="s">
        <v>148</v>
      </c>
      <c r="E96" s="21"/>
      <c r="F96" s="22" t="s">
        <v>497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0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212</v>
      </c>
      <c r="E97" s="21" t="str">
        <f t="shared" si="11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0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224</v>
      </c>
      <c r="E98" s="21" t="str">
        <f t="shared" si="11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0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130</v>
      </c>
      <c r="E99" s="21" t="str">
        <f t="shared" si="11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0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149</v>
      </c>
      <c r="E100" s="21" t="str">
        <f t="shared" si="11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10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225</v>
      </c>
      <c r="E101" s="21" t="str">
        <f t="shared" si="11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0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226</v>
      </c>
      <c r="B102" s="20" t="s">
        <v>172</v>
      </c>
      <c r="C102" s="20" t="s">
        <v>227</v>
      </c>
      <c r="D102" s="20" t="s">
        <v>148</v>
      </c>
      <c r="E102" s="21"/>
      <c r="F102" s="22" t="s">
        <v>501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0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 t="s">
        <v>502</v>
      </c>
    </row>
    <row r="103" spans="1:12" x14ac:dyDescent="0.3">
      <c r="A103" t="s">
        <v>211</v>
      </c>
      <c r="E103" s="21" t="str">
        <f t="shared" si="11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0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228</v>
      </c>
      <c r="E104" s="21" t="str">
        <f t="shared" si="11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0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195</v>
      </c>
      <c r="E105" s="21" t="str">
        <f t="shared" si="11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10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229</v>
      </c>
      <c r="B106" s="20" t="s">
        <v>160</v>
      </c>
      <c r="C106" s="20" t="s">
        <v>156</v>
      </c>
      <c r="D106" s="20" t="s">
        <v>148</v>
      </c>
      <c r="E106" s="21" t="s">
        <v>496</v>
      </c>
      <c r="F106" s="22" t="str">
        <f>IF(OR(E106="",E106="!!!"),"",IF(NOT(ISNA(VLOOKUP(E106,E$1:E105,1,FALSE()))),"OLD",IF(AND(E106&lt;&gt;"",E106&lt;&gt;"!!!"),"NEW","")))</f>
        <v>OLD</v>
      </c>
      <c r="G106" s="23" t="s">
        <v>530</v>
      </c>
      <c r="H106" s="24" t="str">
        <f t="shared" ca="1" si="10"/>
        <v/>
      </c>
      <c r="I106" s="25" t="str">
        <f>IF(OR(E106="",E106="!!!",F106="NEW"),"",INDEX(B$2:B105,-1+SUMPRODUCT(MAX(ROW(E$2:E105)*(E106=E$2:E105)))))</f>
        <v>other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 t="str">
        <f ca="1">IF(OR(E106="",E106="!!!",F106="NEW"),"",INDEX(J$1:J105,SUMPRODUCT(MAX(ROW(E$1:E105)*(E106=E$1:E105)))))</f>
        <v/>
      </c>
      <c r="L106" s="26"/>
    </row>
    <row r="107" spans="1:12" x14ac:dyDescent="0.3">
      <c r="A107" t="s">
        <v>195</v>
      </c>
      <c r="E107" s="21" t="str">
        <f t="shared" si="11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0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230</v>
      </c>
      <c r="B108" s="20" t="s">
        <v>231</v>
      </c>
      <c r="C108" s="20" t="s">
        <v>156</v>
      </c>
      <c r="D108" s="20" t="s">
        <v>148</v>
      </c>
      <c r="E108" s="21" t="s">
        <v>500</v>
      </c>
      <c r="F108" s="22" t="str">
        <f>IF(OR(E108="",E108="!!!"),"",IF(NOT(ISNA(VLOOKUP(E108,E$1:E107,1,FALSE()))),"OLD",IF(AND(E108&lt;&gt;"",E108&lt;&gt;"!!!"),"NEW","")))</f>
        <v>NEW</v>
      </c>
      <c r="G108" s="23" t="s">
        <v>530</v>
      </c>
      <c r="H108" s="24" t="str">
        <f t="shared" ca="1" si="10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232</v>
      </c>
      <c r="E109" s="21" t="str">
        <f t="shared" si="11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0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233</v>
      </c>
      <c r="E110" s="21" t="str">
        <f t="shared" si="11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0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12</v>
      </c>
      <c r="E111" s="21" t="str">
        <f t="shared" si="11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0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234</v>
      </c>
      <c r="E112" s="21" t="str">
        <f t="shared" si="11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0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235</v>
      </c>
      <c r="B113" s="20" t="s">
        <v>160</v>
      </c>
      <c r="C113" s="20" t="s">
        <v>169</v>
      </c>
      <c r="E113" s="21"/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0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149</v>
      </c>
      <c r="E114" s="21" t="str">
        <f t="shared" si="11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0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236</v>
      </c>
      <c r="B115" s="20" t="s">
        <v>231</v>
      </c>
      <c r="C115" s="20" t="s">
        <v>169</v>
      </c>
      <c r="E115" s="21" t="str">
        <f t="shared" si="11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0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183</v>
      </c>
      <c r="E116" s="21" t="str">
        <f t="shared" si="11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0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8" spans="1:12" x14ac:dyDescent="0.3">
      <c r="A118" t="s">
        <v>237</v>
      </c>
    </row>
    <row r="119" spans="1:12" x14ac:dyDescent="0.3">
      <c r="A119" t="s">
        <v>178</v>
      </c>
      <c r="B119" s="20" t="s">
        <v>179</v>
      </c>
      <c r="C119" s="20" t="s">
        <v>147</v>
      </c>
      <c r="D119" s="20" t="s">
        <v>148</v>
      </c>
      <c r="E119" s="21" t="s">
        <v>482</v>
      </c>
      <c r="F119" s="22" t="str">
        <f>IF(OR(E119="",E119="!!!"),"",IF(NOT(ISNA(VLOOKUP(E119,E$1:E118,1,FALSE()))),"OLD",IF(AND(E119&lt;&gt;"",E119&lt;&gt;"!!!"),"NEW","")))</f>
        <v>OLD</v>
      </c>
      <c r="G119" s="23" t="s">
        <v>530</v>
      </c>
      <c r="H119" s="24" t="str">
        <f t="shared" ref="H119:H133" ca="1" si="12">IF(J119&lt;&gt;1,"",IF(I119="SBJ","CB","?"))</f>
        <v/>
      </c>
      <c r="I119" s="25" t="str">
        <f>IF(OR(E119="",E119="!!!",F119="NEW"),"",INDEX(B$2:B118,-1+SUMPRODUCT(MAX(ROW(E$2:E118)*(E119=E$2:E118)))))</f>
        <v>other_4</v>
      </c>
      <c r="J119" s="25">
        <f ca="1">IF(OR(E119="",E119="!!!",F119="NEW"),"",COUNTBLANK(OFFSET(A$1,,,SUMPRODUCT(MAX(ROW(E$2:E119)*(E119=E$2:E119)))))-COUNTBLANK(OFFSET(A$1,,,SUMPRODUCT(MAX(ROW(E$1:E118)*(E2=E$1:E118))))))</f>
        <v>0</v>
      </c>
      <c r="K119" s="25">
        <f ca="1">IF(OR(E119="",E119="!!!",F119="NEW"),"",INDEX(J$1:J118,SUMPRODUCT(MAX(ROW(E$1:E118)*(E119=E$1:E118)))))</f>
        <v>0</v>
      </c>
      <c r="L119" s="26"/>
    </row>
    <row r="120" spans="1:12" x14ac:dyDescent="0.3">
      <c r="A120" t="s">
        <v>238</v>
      </c>
      <c r="E120" s="21" t="str">
        <f t="shared" ref="E120:E133" si="13">IF(D120="?OLD","!!!","")</f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2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189</v>
      </c>
      <c r="E121" s="21" t="str">
        <f t="shared" si="13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2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230</v>
      </c>
      <c r="B122" s="20" t="s">
        <v>179</v>
      </c>
      <c r="C122" s="20" t="s">
        <v>156</v>
      </c>
      <c r="D122" s="20" t="s">
        <v>148</v>
      </c>
      <c r="E122" s="21" t="s">
        <v>500</v>
      </c>
      <c r="F122" s="22" t="str">
        <f>IF(OR(E122="",E122="!!!"),"",IF(NOT(ISNA(VLOOKUP(E122,E$1:E121,1,FALSE()))),"OLD",IF(AND(E122&lt;&gt;"",E122&lt;&gt;"!!!"),"NEW","")))</f>
        <v>OLD</v>
      </c>
      <c r="G122" s="23" t="s">
        <v>547</v>
      </c>
      <c r="H122" s="24"/>
      <c r="I122" s="25" t="str">
        <f>IF(OR(E122="",E122="!!!",F122="NEW"),"",INDEX(B$2:B121,-1+SUMPRODUCT(MAX(ROW(E$2:E121)*(E122=E$2:E121)))))</f>
        <v>other_5</v>
      </c>
      <c r="J122" s="25">
        <f ca="1">IF(OR(E122="",E122="!!!",F122="NEW"),"",COUNTBLANK(OFFSET(A$1,,,SUMPRODUCT(MAX(ROW(E$2:E122)*(E122=E$2:E122)))))-COUNTBLANK(OFFSET(A$1,,,SUMPRODUCT(MAX(ROW(E$1:E121)*(E2=E$1:E121))))))</f>
        <v>0</v>
      </c>
      <c r="K122" s="25" t="str">
        <f ca="1">IF(OR(E122="",E122="!!!",F122="NEW"),"",INDEX(J$1:J121,SUMPRODUCT(MAX(ROW(E$1:E121)*(E122=E$1:E121)))))</f>
        <v/>
      </c>
      <c r="L122" s="26"/>
    </row>
    <row r="123" spans="1:12" x14ac:dyDescent="0.3">
      <c r="A123" t="s">
        <v>239</v>
      </c>
      <c r="B123" s="20" t="s">
        <v>151</v>
      </c>
      <c r="C123" s="20" t="s">
        <v>161</v>
      </c>
      <c r="E123" s="21" t="str">
        <f t="shared" si="13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2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240</v>
      </c>
      <c r="B124" s="20" t="s">
        <v>146</v>
      </c>
      <c r="C124" s="20" t="s">
        <v>169</v>
      </c>
      <c r="E124" s="21" t="str">
        <f t="shared" si="13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2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38</v>
      </c>
      <c r="E125" s="21" t="str">
        <f t="shared" si="13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2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149</v>
      </c>
      <c r="E126" s="21" t="str">
        <f t="shared" si="13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2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239</v>
      </c>
      <c r="B127" s="20" t="s">
        <v>165</v>
      </c>
      <c r="C127" s="20" t="s">
        <v>161</v>
      </c>
      <c r="E127" s="21" t="str">
        <f t="shared" si="13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2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240</v>
      </c>
      <c r="B128" s="20" t="s">
        <v>151</v>
      </c>
      <c r="C128" s="20" t="s">
        <v>169</v>
      </c>
      <c r="E128" s="21" t="str">
        <f t="shared" si="13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2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241</v>
      </c>
      <c r="E129" s="21" t="str">
        <f t="shared" si="13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2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211</v>
      </c>
      <c r="E130" s="21" t="str">
        <f t="shared" si="13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2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242</v>
      </c>
      <c r="E131" s="21" t="str">
        <f t="shared" si="13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2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243</v>
      </c>
      <c r="B132" s="20" t="s">
        <v>176</v>
      </c>
      <c r="C132" s="20" t="s">
        <v>244</v>
      </c>
      <c r="D132" s="20" t="s">
        <v>148</v>
      </c>
      <c r="E132" s="21" t="s">
        <v>483</v>
      </c>
      <c r="F132" s="22" t="str">
        <f>IF(OR(E132="",E132="!!!"),"",IF(NOT(ISNA(VLOOKUP(E132,E$1:E131,1,FALSE()))),"OLD",IF(AND(E132&lt;&gt;"",E132&lt;&gt;"!!!"),"NEW","")))</f>
        <v>OLD</v>
      </c>
      <c r="G132" s="23" t="s">
        <v>546</v>
      </c>
      <c r="H132" s="24" t="s">
        <v>140</v>
      </c>
      <c r="I132" s="25" t="str">
        <f>IF(OR(E132="",E132="!!!",F132="NEW"),"",INDEX(B$2:B131,-1+SUMPRODUCT(MAX(ROW(E$2:E131)*(E132=E$2:E131)))))</f>
        <v>SBJ</v>
      </c>
      <c r="J132" s="25">
        <f ca="1">IF(OR(E132="",E132="!!!",F132="NEW"),"",COUNTBLANK(OFFSET(A$1,,,SUMPRODUCT(MAX(ROW(E$2:E132)*(E132=E$2:E132)))))-COUNTBLANK(OFFSET(A$1,,,SUMPRODUCT(MAX(ROW(E$1:E131)*(E2=E$1:E131))))))</f>
        <v>0</v>
      </c>
      <c r="K132" s="25">
        <f ca="1">IF(OR(E132="",E132="!!!",F132="NEW"),"",INDEX(J$1:J131,SUMPRODUCT(MAX(ROW(E$1:E131)*(E132=E$1:E131)))))</f>
        <v>0</v>
      </c>
      <c r="L132" s="26"/>
    </row>
    <row r="133" spans="1:12" x14ac:dyDescent="0.3">
      <c r="A133" t="s">
        <v>183</v>
      </c>
      <c r="E133" s="21" t="str">
        <f t="shared" si="13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2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5" spans="1:12" x14ac:dyDescent="0.3">
      <c r="A135" t="s">
        <v>245</v>
      </c>
    </row>
    <row r="136" spans="1:12" x14ac:dyDescent="0.3">
      <c r="A136" t="s">
        <v>246</v>
      </c>
      <c r="B136" s="20" t="s">
        <v>179</v>
      </c>
      <c r="C136" s="20" t="s">
        <v>244</v>
      </c>
      <c r="D136" s="20" t="s">
        <v>148</v>
      </c>
      <c r="E136" s="21" t="s">
        <v>483</v>
      </c>
      <c r="F136" s="22" t="str">
        <f>IF(OR(E136="",E136="!!!"),"",IF(NOT(ISNA(VLOOKUP(E136,E$1:E135,1,FALSE()))),"OLD",IF(AND(E136&lt;&gt;"",E136&lt;&gt;"!!!"),"NEW","")))</f>
        <v>OLD</v>
      </c>
      <c r="G136" s="23" t="s">
        <v>546</v>
      </c>
      <c r="H136" s="24" t="s">
        <v>140</v>
      </c>
      <c r="I136" s="25" t="str">
        <f>IF(OR(E136="",E136="!!!",F136="NEW"),"",INDEX(B$2:B135,-1+SUMPRODUCT(MAX(ROW(E$2:E135)*(E136=E$2:E135)))))</f>
        <v>SBJ_2</v>
      </c>
      <c r="J136" s="25">
        <f ca="1">IF(OR(E136="",E136="!!!",F136="NEW"),"",COUNTBLANK(OFFSET(A$1,,,SUMPRODUCT(MAX(ROW(E$2:E136)*(E136=E$2:E136)))))-COUNTBLANK(OFFSET(A$1,,,SUMPRODUCT(MAX(ROW(E$1:E135)*(E2=E$1:E135))))))</f>
        <v>0</v>
      </c>
      <c r="K136" s="25">
        <f ca="1">IF(OR(E136="",E136="!!!",F136="NEW"),"",INDEX(J$1:J135,SUMPRODUCT(MAX(ROW(E$1:E135)*(E136=E$1:E135)))))</f>
        <v>0</v>
      </c>
      <c r="L136" s="26"/>
    </row>
    <row r="137" spans="1:12" x14ac:dyDescent="0.3">
      <c r="A137" t="s">
        <v>247</v>
      </c>
      <c r="E137" s="21" t="str">
        <f t="shared" ref="E137:E145" si="14">IF(D137="?OLD","!!!","")</f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ref="H137:H145" ca="1" si="15">IF(J137&lt;&gt;1,"",IF(I137="SBJ","CB","?"))</f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248</v>
      </c>
      <c r="E138" s="21" t="str">
        <f t="shared" si="14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5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249</v>
      </c>
      <c r="E139" s="21" t="str">
        <f t="shared" si="14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5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250</v>
      </c>
      <c r="E140" s="21" t="str">
        <f t="shared" si="14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5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251</v>
      </c>
      <c r="E141" s="21" t="str">
        <f t="shared" si="14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5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211</v>
      </c>
      <c r="E142" s="21" t="str">
        <f t="shared" si="14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5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252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182</v>
      </c>
      <c r="B144" s="20" t="s">
        <v>176</v>
      </c>
      <c r="C144" s="20" t="s">
        <v>147</v>
      </c>
      <c r="D144" s="20" t="s">
        <v>148</v>
      </c>
      <c r="E144" s="21" t="s">
        <v>483</v>
      </c>
      <c r="F144" s="22" t="str">
        <f>IF(OR(E144="",E144="!!!"),"",IF(NOT(ISNA(VLOOKUP(E144,E$1:E143,1,FALSE()))),"OLD",IF(AND(E144&lt;&gt;"",E144&lt;&gt;"!!!"),"NEW","")))</f>
        <v>OLD</v>
      </c>
      <c r="G144" s="23" t="s">
        <v>546</v>
      </c>
      <c r="H144" s="24" t="str">
        <f t="shared" ca="1" si="15"/>
        <v/>
      </c>
      <c r="I144" s="25" t="str">
        <f>IF(OR(E144="",E144="!!!",F144="NEW"),"",INDEX(B$2:B143,-1+SUMPRODUCT(MAX(ROW(E$2:E143)*(E144=E$2:E143)))))</f>
        <v>SBJ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183</v>
      </c>
      <c r="E145" s="21" t="str">
        <f t="shared" si="1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7" spans="1:12" x14ac:dyDescent="0.3">
      <c r="A147" t="s">
        <v>253</v>
      </c>
    </row>
    <row r="148" spans="1:12" x14ac:dyDescent="0.3">
      <c r="A148" t="s">
        <v>246</v>
      </c>
      <c r="B148" s="20" t="s">
        <v>179</v>
      </c>
      <c r="C148" s="20" t="s">
        <v>244</v>
      </c>
      <c r="D148" s="20" t="s">
        <v>148</v>
      </c>
      <c r="E148" s="21" t="s">
        <v>483</v>
      </c>
      <c r="F148" s="22" t="str">
        <f>IF(OR(E148="",E148="!!!"),"",IF(NOT(ISNA(VLOOKUP(E148,E$1:E147,1,FALSE()))),"OLD",IF(AND(E148&lt;&gt;"",E148&lt;&gt;"!!!"),"NEW","")))</f>
        <v>OLD</v>
      </c>
      <c r="G148" s="23" t="s">
        <v>546</v>
      </c>
      <c r="H148" s="24" t="s">
        <v>140</v>
      </c>
      <c r="I148" s="25" t="str">
        <f>IF(OR(E148="",E148="!!!",F148="NEW"),"",INDEX(B$2:B147,-1+SUMPRODUCT(MAX(ROW(E$2:E147)*(E148=E$2:E147)))))</f>
        <v>SBJ_2</v>
      </c>
      <c r="J148" s="25">
        <f ca="1">IF(OR(E148="",E148="!!!",F148="NEW"),"",COUNTBLANK(OFFSET(A$1,,,SUMPRODUCT(MAX(ROW(E$2:E148)*(E148=E$2:E148)))))-COUNTBLANK(OFFSET(A$1,,,SUMPRODUCT(MAX(ROW(E$1:E147)*(E2=E$1:E147))))))</f>
        <v>0</v>
      </c>
      <c r="K148" s="25">
        <f ca="1">IF(OR(E148="",E148="!!!",F148="NEW"),"",INDEX(J$1:J147,SUMPRODUCT(MAX(ROW(E$1:E147)*(E148=E$1:E147)))))</f>
        <v>0</v>
      </c>
      <c r="L148" s="26"/>
    </row>
    <row r="149" spans="1:12" x14ac:dyDescent="0.3">
      <c r="A149" t="s">
        <v>254</v>
      </c>
      <c r="E149" s="21" t="str">
        <f t="shared" ref="E149:E172" si="16">IF(D149="?OLD","!!!","")</f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ref="H149:H172" ca="1" si="17">IF(J149&lt;&gt;1,"",IF(I149="SBJ","CB","?"))</f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236</v>
      </c>
      <c r="B150" s="20" t="s">
        <v>188</v>
      </c>
      <c r="C150" s="20" t="s">
        <v>169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255</v>
      </c>
      <c r="E151" s="21" t="str">
        <f t="shared" si="16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7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46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211</v>
      </c>
      <c r="E153" s="21" t="str">
        <f t="shared" si="16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7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149</v>
      </c>
      <c r="E154" s="21" t="str">
        <f t="shared" si="16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7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243</v>
      </c>
      <c r="B155" s="20" t="s">
        <v>176</v>
      </c>
      <c r="C155" s="20" t="s">
        <v>244</v>
      </c>
      <c r="D155" s="20" t="s">
        <v>148</v>
      </c>
      <c r="E155" s="21" t="s">
        <v>483</v>
      </c>
      <c r="F155" s="22" t="str">
        <f>IF(OR(E155="",E155="!!!"),"",IF(NOT(ISNA(VLOOKUP(E155,E$1:E154,1,FALSE()))),"OLD",IF(AND(E155&lt;&gt;"",E155&lt;&gt;"!!!"),"NEW","")))</f>
        <v>OLD</v>
      </c>
      <c r="G155" s="23" t="s">
        <v>546</v>
      </c>
      <c r="H155" s="24" t="str">
        <f t="shared" ca="1" si="17"/>
        <v/>
      </c>
      <c r="I155" s="25" t="str">
        <f>IF(OR(E155="",E155="!!!",F155="NEW"),"",INDEX(B$2:B154,-1+SUMPRODUCT(MAX(ROW(E$2:E154)*(E155=E$2:E154)))))</f>
        <v>SBJ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256</v>
      </c>
      <c r="E156" s="21" t="str">
        <f t="shared" si="16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7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187</v>
      </c>
      <c r="B157" s="20" t="s">
        <v>172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257</v>
      </c>
      <c r="E158" s="21" t="str">
        <f t="shared" si="16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258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259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260</v>
      </c>
      <c r="B161" s="20" t="s">
        <v>151</v>
      </c>
      <c r="C161" s="20" t="s">
        <v>201</v>
      </c>
      <c r="E161" s="21" t="str">
        <f t="shared" si="16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234</v>
      </c>
      <c r="E162" s="21" t="str">
        <f t="shared" si="16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7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261</v>
      </c>
      <c r="E163" s="21" t="str">
        <f t="shared" si="16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262</v>
      </c>
      <c r="B164" s="20" t="s">
        <v>165</v>
      </c>
      <c r="C164" s="20" t="s">
        <v>169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263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12</v>
      </c>
      <c r="E166" s="21" t="str">
        <f t="shared" si="16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7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257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264</v>
      </c>
      <c r="B168" s="20" t="s">
        <v>151</v>
      </c>
      <c r="C168" s="20" t="s">
        <v>169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149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257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265</v>
      </c>
      <c r="B171" s="20" t="s">
        <v>165</v>
      </c>
      <c r="C171" s="20" t="s">
        <v>169</v>
      </c>
      <c r="E171" s="21" t="str">
        <f t="shared" si="16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7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183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4" spans="1:12" x14ac:dyDescent="0.3">
      <c r="A174" t="s">
        <v>266</v>
      </c>
    </row>
    <row r="175" spans="1:12" x14ac:dyDescent="0.3">
      <c r="A175" t="s">
        <v>178</v>
      </c>
      <c r="B175" s="20" t="s">
        <v>179</v>
      </c>
      <c r="C175" s="20" t="s">
        <v>147</v>
      </c>
      <c r="D175" s="20" t="s">
        <v>148</v>
      </c>
      <c r="E175" s="21" t="s">
        <v>482</v>
      </c>
      <c r="F175" s="22" t="str">
        <f>IF(OR(E175="",E175="!!!"),"",IF(NOT(ISNA(VLOOKUP(E175,E$1:E174,1,FALSE()))),"OLD",IF(AND(E175&lt;&gt;"",E175&lt;&gt;"!!!"),"NEW","")))</f>
        <v>OLD</v>
      </c>
      <c r="G175" s="23" t="s">
        <v>530</v>
      </c>
      <c r="H175" s="24" t="str">
        <f t="shared" ref="H175:H197" ca="1" si="18">IF(J175&lt;&gt;1,"",IF(I175="SBJ","CB","?"))</f>
        <v/>
      </c>
      <c r="I175" s="25" t="str">
        <f>IF(OR(E175="",E175="!!!",F175="NEW"),"",INDEX(B$2:B174,-1+SUMPRODUCT(MAX(ROW(E$2:E174)*(E175=E$2:E174)))))</f>
        <v>SBJ</v>
      </c>
      <c r="J175" s="25">
        <f ca="1">IF(OR(E175="",E175="!!!",F175="NEW"),"",COUNTBLANK(OFFSET(A$1,,,SUMPRODUCT(MAX(ROW(E$2:E175)*(E175=E$2:E175)))))-COUNTBLANK(OFFSET(A$1,,,SUMPRODUCT(MAX(ROW(E$1:E174)*(E2=E$1:E174))))))</f>
        <v>0</v>
      </c>
      <c r="K175" s="25">
        <f ca="1">IF(OR(E175="",E175="!!!",F175="NEW"),"",INDEX(J$1:J174,SUMPRODUCT(MAX(ROW(E$1:E174)*(E175=E$1:E174)))))</f>
        <v>0</v>
      </c>
      <c r="L175" s="26"/>
    </row>
    <row r="176" spans="1:12" x14ac:dyDescent="0.3">
      <c r="A176" t="s">
        <v>248</v>
      </c>
      <c r="E176" s="21" t="str">
        <f t="shared" ref="E176:E197" si="19">IF(D176="?OLD","!!!","")</f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8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242</v>
      </c>
      <c r="E177" s="21" t="str">
        <f t="shared" si="19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8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157</v>
      </c>
      <c r="E178" s="21" t="str">
        <f t="shared" si="19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8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9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8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229</v>
      </c>
      <c r="B180" s="20" t="s">
        <v>176</v>
      </c>
      <c r="C180" s="20" t="s">
        <v>156</v>
      </c>
      <c r="D180" s="20" t="s">
        <v>148</v>
      </c>
      <c r="E180" s="21" t="s">
        <v>496</v>
      </c>
      <c r="F180" s="22" t="str">
        <f>IF(OR(E180="",E180="!!!"),"",IF(NOT(ISNA(VLOOKUP(E180,E$1:E179,1,FALSE()))),"OLD",IF(AND(E180&lt;&gt;"",E180&lt;&gt;"!!!"),"NEW","")))</f>
        <v>OLD</v>
      </c>
      <c r="G180" s="23" t="s">
        <v>530</v>
      </c>
      <c r="H180" s="24" t="str">
        <f t="shared" ca="1" si="18"/>
        <v/>
      </c>
      <c r="I180" s="25" t="str">
        <f>IF(OR(E180="",E180="!!!",F180="NEW"),"",INDEX(B$2:B179,-1+SUMPRODUCT(MAX(ROW(E$2:E179)*(E180=E$2:E179)))))</f>
        <v>other_4</v>
      </c>
      <c r="J180" s="25">
        <f ca="1">IF(OR(E180="",E180="!!!",F180="NEW"),"",COUNTBLANK(OFFSET(A$1,,,SUMPRODUCT(MAX(ROW(E$2:E180)*(E180=E$2:E180)))))-COUNTBLANK(OFFSET(A$1,,,SUMPRODUCT(MAX(ROW(E$1:E179)*(E2=E$1:E179))))))</f>
        <v>0</v>
      </c>
      <c r="K180" s="25">
        <f ca="1">IF(OR(E180="",E180="!!!",F180="NEW"),"",INDEX(J$1:J179,SUMPRODUCT(MAX(ROW(E$1:E179)*(E180=E$1:E179)))))</f>
        <v>0</v>
      </c>
      <c r="L180" s="26"/>
    </row>
    <row r="181" spans="1:12" x14ac:dyDescent="0.3">
      <c r="A181" t="s">
        <v>267</v>
      </c>
      <c r="E181" s="21" t="str">
        <f t="shared" si="19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8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268</v>
      </c>
      <c r="E182" s="21" t="str">
        <f t="shared" si="19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8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269</v>
      </c>
      <c r="B183" s="20" t="s">
        <v>270</v>
      </c>
      <c r="C183" s="20" t="s">
        <v>169</v>
      </c>
      <c r="E183" s="21" t="s">
        <v>533</v>
      </c>
      <c r="F183" s="22" t="str">
        <f>IF(OR(E183="",E183="!!!"),"",IF(NOT(ISNA(VLOOKUP(E183,E$1:E182,1,FALSE()))),"OLD",IF(AND(E183&lt;&gt;"",E183&lt;&gt;"!!!"),"NEW","")))</f>
        <v>NEW</v>
      </c>
      <c r="G183" s="23" t="s">
        <v>138</v>
      </c>
      <c r="H183" s="24" t="str">
        <f t="shared" ca="1" si="18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 t="s">
        <v>489</v>
      </c>
    </row>
    <row r="184" spans="1:12" x14ac:dyDescent="0.3">
      <c r="A184" t="s">
        <v>239</v>
      </c>
      <c r="E184" s="21" t="str">
        <f t="shared" si="19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8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271</v>
      </c>
      <c r="E185" s="21"/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8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211</v>
      </c>
      <c r="E186" s="21" t="str">
        <f t="shared" si="19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8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243</v>
      </c>
      <c r="B187" s="20" t="s">
        <v>176</v>
      </c>
      <c r="C187" s="20" t="s">
        <v>244</v>
      </c>
      <c r="D187" s="20" t="s">
        <v>148</v>
      </c>
      <c r="E187" s="21" t="s">
        <v>496</v>
      </c>
      <c r="F187" s="22" t="str">
        <f>IF(OR(E187="",E187="!!!"),"",IF(NOT(ISNA(VLOOKUP(E187,E$1:E186,1,FALSE()))),"OLD",IF(AND(E187&lt;&gt;"",E187&lt;&gt;"!!!"),"NEW","")))</f>
        <v>OLD</v>
      </c>
      <c r="G187" s="23" t="s">
        <v>546</v>
      </c>
      <c r="H187" s="24" t="str">
        <f t="shared" ca="1" si="18"/>
        <v/>
      </c>
      <c r="I187" s="25" t="str">
        <f>IF(OR(E187="",E187="!!!",F187="NEW"),"",INDEX(B$2:B186,-1+SUMPRODUCT(MAX(ROW(E$2:E186)*(E187=E$2:E186)))))</f>
        <v>SBJ_2</v>
      </c>
      <c r="J187" s="25">
        <f ca="1">IF(OR(E187="",E187="!!!",F187="NEW"),"",COUNTBLANK(OFFSET(A$1,,,SUMPRODUCT(MAX(ROW(E$2:E187)*(E187=E$2:E187)))))-COUNTBLANK(OFFSET(A$1,,,SUMPRODUCT(MAX(ROW(E$1:E186)*(E2=E$1:E186))))))</f>
        <v>0</v>
      </c>
      <c r="K187" s="25">
        <f ca="1">IF(OR(E187="",E187="!!!",F187="NEW"),"",INDEX(J$1:J186,SUMPRODUCT(MAX(ROW(E$1:E186)*(E187=E$1:E186)))))</f>
        <v>0</v>
      </c>
      <c r="L187" s="26"/>
    </row>
    <row r="188" spans="1:12" x14ac:dyDescent="0.3">
      <c r="A188" t="s">
        <v>267</v>
      </c>
      <c r="E188" s="21" t="str">
        <f t="shared" si="19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8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272</v>
      </c>
      <c r="B189" s="20" t="s">
        <v>270</v>
      </c>
      <c r="C189" s="20" t="s">
        <v>169</v>
      </c>
      <c r="E189" s="21" t="str">
        <f t="shared" si="19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8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273</v>
      </c>
      <c r="B190" s="20" t="s">
        <v>270</v>
      </c>
      <c r="C190" s="20" t="s">
        <v>147</v>
      </c>
      <c r="D190" s="20" t="s">
        <v>148</v>
      </c>
      <c r="E190" s="21"/>
      <c r="F190" s="22" t="s">
        <v>485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8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239</v>
      </c>
      <c r="E191" s="21" t="str">
        <f t="shared" si="19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8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274</v>
      </c>
      <c r="E192" s="21" t="str">
        <f t="shared" si="19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8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149</v>
      </c>
      <c r="E193" s="21" t="str">
        <f t="shared" si="19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8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275</v>
      </c>
      <c r="E194" s="21" t="str">
        <f t="shared" si="19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8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276</v>
      </c>
      <c r="B195" s="20" t="s">
        <v>160</v>
      </c>
      <c r="C195" s="20" t="s">
        <v>227</v>
      </c>
      <c r="D195" s="20" t="s">
        <v>148</v>
      </c>
      <c r="E195" s="21" t="s">
        <v>533</v>
      </c>
      <c r="F195" s="22" t="str">
        <f>IF(OR(E195="",E195="!!!"),"",IF(NOT(ISNA(VLOOKUP(E195,E$1:E194,1,FALSE()))),"OLD",IF(AND(E195&lt;&gt;"",E195&lt;&gt;"!!!"),"NEW","")))</f>
        <v>OLD</v>
      </c>
      <c r="G195" s="23" t="s">
        <v>546</v>
      </c>
      <c r="H195" s="24" t="str">
        <f t="shared" ca="1" si="18"/>
        <v/>
      </c>
      <c r="I195" s="25" t="str">
        <f>IF(OR(E195="",E195="!!!",F195="NEW"),"",INDEX(B$2:B194,-1+SUMPRODUCT(MAX(ROW(E$2:E194)*(E195=E$2:E194)))))</f>
        <v>OBJ_3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 t="str">
        <f ca="1">IF(OR(E195="",E195="!!!",F195="NEW"),"",INDEX(J$1:J194,SUMPRODUCT(MAX(ROW(E$1:E194)*(E195=E$1:E194)))))</f>
        <v/>
      </c>
      <c r="L195" s="26"/>
    </row>
    <row r="196" spans="1:12" x14ac:dyDescent="0.3">
      <c r="A196" t="s">
        <v>277</v>
      </c>
      <c r="B196" s="20" t="s">
        <v>270</v>
      </c>
      <c r="C196" s="20" t="s">
        <v>169</v>
      </c>
      <c r="E196" s="21" t="s">
        <v>487</v>
      </c>
      <c r="F196" s="22" t="str">
        <f>IF(OR(E196="",E196="!!!"),"",IF(NOT(ISNA(VLOOKUP(E196,E$1:E195,1,FALSE()))),"OLD",IF(AND(E196&lt;&gt;"",E196&lt;&gt;"!!!"),"NEW","")))</f>
        <v>OLD</v>
      </c>
      <c r="G196" s="23" t="s">
        <v>530</v>
      </c>
      <c r="H196" s="24" t="str">
        <f t="shared" ca="1" si="18"/>
        <v/>
      </c>
      <c r="I196" s="25" t="str">
        <f>IF(OR(E196="",E196="!!!",F196="NEW"),"",INDEX(B$2:B195,-1+SUMPRODUCT(MAX(ROW(E$2:E195)*(E196=E$2:E195)))))</f>
        <v>other_3</v>
      </c>
      <c r="J196" s="25">
        <f ca="1">IF(OR(E196="",E196="!!!",F196="NEW"),"",COUNTBLANK(OFFSET(A$1,,,SUMPRODUCT(MAX(ROW(E$2:E196)*(E196=E$2:E196)))))-COUNTBLANK(OFFSET(A$1,,,SUMPRODUCT(MAX(ROW(E$1:E195)*(E2=E$1:E195))))))</f>
        <v>0</v>
      </c>
      <c r="K196" s="25" t="str">
        <f ca="1">IF(OR(E196="",E196="!!!",F196="NEW"),"",INDEX(J$1:J195,SUMPRODUCT(MAX(ROW(E$1:E195)*(E196=E$1:E195)))))</f>
        <v/>
      </c>
      <c r="L196" s="26"/>
    </row>
    <row r="197" spans="1:12" x14ac:dyDescent="0.3">
      <c r="A197" t="s">
        <v>183</v>
      </c>
      <c r="E197" s="21" t="str">
        <f t="shared" si="19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8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9" spans="1:12" x14ac:dyDescent="0.3">
      <c r="A199" t="s">
        <v>278</v>
      </c>
    </row>
    <row r="200" spans="1:12" x14ac:dyDescent="0.3">
      <c r="A200" t="s">
        <v>279</v>
      </c>
      <c r="E200" s="21" t="str">
        <f t="shared" ref="E200:E211" si="20">IF(D200="?OLD","!!!","")</f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ref="H200:H211" ca="1" si="21">IF(J200&lt;&gt;1,"",IF(I200="SBJ","CB","?"))</f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280</v>
      </c>
      <c r="E201" s="21" t="str">
        <f t="shared" si="20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1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189</v>
      </c>
      <c r="E202" s="21" t="str">
        <f t="shared" si="20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1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235</v>
      </c>
      <c r="B203" s="20" t="s">
        <v>176</v>
      </c>
      <c r="C203" s="20" t="s">
        <v>156</v>
      </c>
      <c r="D203" s="20" t="s">
        <v>148</v>
      </c>
      <c r="E203" s="21" t="s">
        <v>503</v>
      </c>
      <c r="F203" s="22" t="str">
        <f>IF(OR(E203="",E203="!!!"),"",IF(NOT(ISNA(VLOOKUP(E203,E$1:E202,1,FALSE()))),"OLD",IF(AND(E203&lt;&gt;"",E203&lt;&gt;"!!!"),"NEW","")))</f>
        <v>NEW</v>
      </c>
      <c r="G203" s="23" t="s">
        <v>530</v>
      </c>
      <c r="H203" s="24" t="str">
        <f t="shared" ca="1" si="21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257</v>
      </c>
      <c r="E204" s="21" t="str">
        <f t="shared" si="20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1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189</v>
      </c>
      <c r="E205" s="21" t="str">
        <f t="shared" si="20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1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281</v>
      </c>
      <c r="B206" s="20" t="s">
        <v>165</v>
      </c>
      <c r="C206" s="20" t="s">
        <v>156</v>
      </c>
      <c r="D206" s="20" t="s">
        <v>148</v>
      </c>
      <c r="E206" s="21" t="s">
        <v>504</v>
      </c>
      <c r="F206" s="22" t="str">
        <f>IF(OR(E206="",E206="!!!"),"",IF(NOT(ISNA(VLOOKUP(E206,E$1:E205,1,FALSE()))),"OLD",IF(AND(E206&lt;&gt;"",E206&lt;&gt;"!!!"),"NEW","")))</f>
        <v>NEW</v>
      </c>
      <c r="G206" s="23" t="s">
        <v>530</v>
      </c>
      <c r="H206" s="24" t="str">
        <f t="shared" ca="1" si="21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282</v>
      </c>
      <c r="E207" s="21" t="str">
        <f t="shared" si="20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1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211</v>
      </c>
      <c r="E208" s="21" t="str">
        <f t="shared" si="20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1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242</v>
      </c>
      <c r="E209" s="21" t="str">
        <f t="shared" si="20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1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179</v>
      </c>
      <c r="C210" s="20" t="s">
        <v>284</v>
      </c>
      <c r="D210" s="20" t="s">
        <v>148</v>
      </c>
      <c r="E210" s="21" t="s">
        <v>482</v>
      </c>
      <c r="F210" s="22" t="str">
        <f>IF(OR(E210="",E210="!!!"),"",IF(NOT(ISNA(VLOOKUP(E210,E$1:E209,1,FALSE()))),"OLD",IF(AND(E210&lt;&gt;"",E210&lt;&gt;"!!!"),"NEW","")))</f>
        <v>OLD</v>
      </c>
      <c r="G210" s="23" t="s">
        <v>546</v>
      </c>
      <c r="H210" s="24" t="s">
        <v>140</v>
      </c>
      <c r="I210" s="25" t="str">
        <f>IF(OR(E210="",E210="!!!",F210="NEW"),"",INDEX(B$2:B209,-1+SUMPRODUCT(MAX(ROW(E$2:E209)*(E210=E$2:E209)))))</f>
        <v>SBJ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183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3" spans="1:12" x14ac:dyDescent="0.3">
      <c r="A213" t="s">
        <v>285</v>
      </c>
    </row>
    <row r="214" spans="1:12" x14ac:dyDescent="0.3">
      <c r="A214" t="s">
        <v>286</v>
      </c>
      <c r="E214" s="21" t="str">
        <f t="shared" ref="E214:E224" si="22">IF(D214="?OLD","!!!","")</f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ref="H214:H224" ca="1" si="23">IF(J214&lt;&gt;1,"",IF(I214="SBJ","CB","?"))</f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186</v>
      </c>
      <c r="E215" s="21" t="str">
        <f t="shared" si="22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3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187</v>
      </c>
      <c r="B216" s="20" t="s">
        <v>188</v>
      </c>
      <c r="E216" s="21" t="str">
        <f t="shared" si="22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3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287</v>
      </c>
      <c r="B217" s="20" t="s">
        <v>179</v>
      </c>
      <c r="C217" s="20" t="s">
        <v>161</v>
      </c>
      <c r="E217" s="21" t="s">
        <v>505</v>
      </c>
      <c r="F217" s="22" t="s">
        <v>506</v>
      </c>
      <c r="G217" s="23" t="s">
        <v>530</v>
      </c>
      <c r="H217" s="24" t="str">
        <f t="shared" ca="1" si="23"/>
        <v/>
      </c>
      <c r="I217" s="25" t="e">
        <f>IF(OR(E217="",E217="!!!",F217="NEW"),"",INDEX(B$2:B216,-1+SUMPRODUCT(MAX(ROW(E$2:E216)*(E217=E$2:E216)))))</f>
        <v>#VALUE!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 t="e">
        <f>IF(OR(E217="",E217="!!!",F217="NEW"),"",INDEX(J$1:J216,SUMPRODUCT(MAX(ROW(E$1:E216)*(E217=E$1:E216)))))</f>
        <v>#VALUE!</v>
      </c>
      <c r="L217" s="26"/>
    </row>
    <row r="218" spans="1:12" x14ac:dyDescent="0.3">
      <c r="A218" t="s">
        <v>288</v>
      </c>
      <c r="E218" s="21" t="str">
        <f t="shared" si="22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3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289</v>
      </c>
      <c r="E219" s="21" t="str">
        <f t="shared" si="22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3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194</v>
      </c>
      <c r="E220" s="21" t="str">
        <f t="shared" si="22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3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154</v>
      </c>
      <c r="E221" s="21" t="str">
        <f t="shared" si="22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3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290</v>
      </c>
      <c r="B222" s="20" t="s">
        <v>146</v>
      </c>
      <c r="C222" s="20" t="s">
        <v>156</v>
      </c>
      <c r="D222" s="20" t="s">
        <v>148</v>
      </c>
      <c r="E222" s="21"/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3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168</v>
      </c>
      <c r="B223" s="20" t="s">
        <v>151</v>
      </c>
      <c r="C223" s="20" t="s">
        <v>169</v>
      </c>
      <c r="E223" s="21" t="s">
        <v>507</v>
      </c>
      <c r="F223" s="22" t="str">
        <f>IF(OR(E223="",E223="!!!"),"",IF(NOT(ISNA(VLOOKUP(E223,E$1:E222,1,FALSE()))),"OLD",IF(AND(E223&lt;&gt;"",E223&lt;&gt;"!!!"),"NEW","")))</f>
        <v>OLD</v>
      </c>
      <c r="G223" s="23" t="s">
        <v>530</v>
      </c>
      <c r="H223" s="24" t="str">
        <f t="shared" ca="1" si="23"/>
        <v/>
      </c>
      <c r="I223" s="25" t="str">
        <f>IF(OR(E223="",E223="!!!",F223="NEW"),"",INDEX(B$2:B222,-1+SUMPRODUCT(MAX(ROW(E$2:E222)*(E223=E$2:E222)))))</f>
        <v>other</v>
      </c>
      <c r="J223" s="25">
        <f ca="1">IF(OR(E223="",E223="!!!",F223="NEW"),"",COUNTBLANK(OFFSET(A$1,,,SUMPRODUCT(MAX(ROW(E$2:E223)*(E223=E$2:E223)))))-COUNTBLANK(OFFSET(A$1,,,SUMPRODUCT(MAX(ROW(E$1:E222)*(E2=E$1:E222))))))</f>
        <v>0</v>
      </c>
      <c r="K223" s="25" t="str">
        <f ca="1">IF(OR(E223="",E223="!!!",F223="NEW"),"",INDEX(J$1:J222,SUMPRODUCT(MAX(ROW(E$1:E222)*(E223=E$1:E222)))))</f>
        <v/>
      </c>
      <c r="L223" s="26" t="s">
        <v>494</v>
      </c>
    </row>
    <row r="224" spans="1:12" x14ac:dyDescent="0.3">
      <c r="A224" t="s">
        <v>183</v>
      </c>
      <c r="E224" s="21" t="str">
        <f t="shared" si="22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3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6" spans="1:12" x14ac:dyDescent="0.3">
      <c r="A226" t="s">
        <v>291</v>
      </c>
    </row>
    <row r="227" spans="1:12" x14ac:dyDescent="0.3">
      <c r="A227" t="s">
        <v>167</v>
      </c>
      <c r="E227" s="21" t="str">
        <f t="shared" ref="E227:E239" si="24">IF(D227="?OLD","!!!","")</f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ref="H227:H239" ca="1" si="25">IF(J227&lt;&gt;1,"",IF(I227="SBJ","CB","?"))</f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189</v>
      </c>
      <c r="E228" s="21" t="s">
        <v>507</v>
      </c>
      <c r="F228" s="22" t="str">
        <f>IF(OR(E228="",E228="!!!"),"",IF(NOT(ISNA(VLOOKUP(E228,E$1:E227,1,FALSE()))),"OLD",IF(AND(E228&lt;&gt;"",E228&lt;&gt;"!!!"),"NEW","")))</f>
        <v>OLD</v>
      </c>
      <c r="G228" s="23" t="s">
        <v>547</v>
      </c>
      <c r="H228" s="24"/>
      <c r="I228" s="25" t="str">
        <f>IF(OR(E228="",E228="!!!",F228="NEW"),"",INDEX(B$2:B227,-1+SUMPRODUCT(MAX(ROW(E$2:E227)*(E228=E$2:E227)))))</f>
        <v>other_2</v>
      </c>
      <c r="J228" s="25">
        <f ca="1">IF(OR(E228="",E228="!!!",F228="NEW"),"",COUNTBLANK(OFFSET(A$1,,,SUMPRODUCT(MAX(ROW(E$2:E228)*(E228=E$2:E228)))))-COUNTBLANK(OFFSET(A$1,,,SUMPRODUCT(MAX(ROW(E$1:E227)*(E2=E$1:E227))))))</f>
        <v>0</v>
      </c>
      <c r="K228" s="25">
        <f ca="1">IF(OR(E228="",E228="!!!",F228="NEW"),"",INDEX(J$1:J227,SUMPRODUCT(MAX(ROW(E$1:E227)*(E228=E$1:E227)))))</f>
        <v>0</v>
      </c>
      <c r="L228" s="26"/>
    </row>
    <row r="229" spans="1:12" x14ac:dyDescent="0.3">
      <c r="A229" t="s">
        <v>292</v>
      </c>
      <c r="E229" s="21" t="str">
        <f t="shared" si="24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5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4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5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E231" s="21" t="str">
        <f t="shared" si="24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5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211</v>
      </c>
      <c r="E232" s="21" t="str">
        <f t="shared" si="24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5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50</v>
      </c>
      <c r="E233" s="21" t="str">
        <f t="shared" si="24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5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182</v>
      </c>
      <c r="B234" s="20" t="s">
        <v>176</v>
      </c>
      <c r="C234" s="20" t="s">
        <v>147</v>
      </c>
      <c r="D234" s="20" t="s">
        <v>148</v>
      </c>
      <c r="E234" s="21" t="s">
        <v>483</v>
      </c>
      <c r="F234" s="22" t="str">
        <f>IF(OR(E234="",E234="!!!"),"",IF(NOT(ISNA(VLOOKUP(E234,E$1:E233,1,FALSE()))),"OLD",IF(AND(E234&lt;&gt;"",E234&lt;&gt;"!!!"),"NEW","")))</f>
        <v>OLD</v>
      </c>
      <c r="G234" s="23" t="s">
        <v>546</v>
      </c>
      <c r="H234" s="24" t="s">
        <v>140</v>
      </c>
      <c r="I234" s="25" t="str">
        <f>IF(OR(E234="",E234="!!!",F234="NEW"),"",INDEX(B$2:B233,-1+SUMPRODUCT(MAX(ROW(E$2:E233)*(E234=E$2:E233)))))</f>
        <v>SBJ_2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>
        <f ca="1">IF(OR(E234="",E234="!!!",F234="NEW"),"",INDEX(J$1:J233,SUMPRODUCT(MAX(ROW(E$1:E233)*(E234=E$1:E233)))))</f>
        <v>0</v>
      </c>
      <c r="L234" s="26" t="s">
        <v>548</v>
      </c>
    </row>
    <row r="235" spans="1:12" x14ac:dyDescent="0.3">
      <c r="A235" t="s">
        <v>149</v>
      </c>
      <c r="E235" s="21" t="str">
        <f t="shared" si="24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5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178</v>
      </c>
      <c r="B236" s="20" t="s">
        <v>165</v>
      </c>
      <c r="C236" s="20" t="s">
        <v>147</v>
      </c>
      <c r="D236" s="20" t="s">
        <v>148</v>
      </c>
      <c r="E236" s="21" t="s">
        <v>482</v>
      </c>
      <c r="F236" s="22" t="str">
        <f>IF(OR(E236="",E236="!!!"),"",IF(NOT(ISNA(VLOOKUP(E236,E$1:E235,1,FALSE()))),"OLD",IF(AND(E236&lt;&gt;"",E236&lt;&gt;"!!!"),"NEW","")))</f>
        <v>OLD</v>
      </c>
      <c r="G236" s="23" t="s">
        <v>546</v>
      </c>
      <c r="H236" s="24" t="str">
        <f t="shared" ca="1" si="25"/>
        <v/>
      </c>
      <c r="I236" s="25" t="str">
        <f>IF(OR(E236="",E236="!!!",F236="NEW"),"",INDEX(B$2:B235,-1+SUMPRODUCT(MAX(ROW(E$2:E235)*(E236=E$2:E235)))))</f>
        <v>SBJ</v>
      </c>
      <c r="J236" s="25">
        <f ca="1">IF(OR(E236="",E236="!!!",F236="NEW"),"",COUNTBLANK(OFFSET(A$1,,,SUMPRODUCT(MAX(ROW(E$2:E236)*(E236=E$2:E236)))))-COUNTBLANK(OFFSET(A$1,,,SUMPRODUCT(MAX(ROW(E$1:E235)*(E2=E$1:E235))))))</f>
        <v>0</v>
      </c>
      <c r="K236" s="25">
        <f ca="1">IF(OR(E236="",E236="!!!",F236="NEW"),"",INDEX(J$1:J235,SUMPRODUCT(MAX(ROW(E$1:E235)*(E236=E$1:E235)))))</f>
        <v>0</v>
      </c>
      <c r="L236" s="26"/>
    </row>
    <row r="237" spans="1:12" x14ac:dyDescent="0.3">
      <c r="A237" t="s">
        <v>295</v>
      </c>
      <c r="E237" s="21" t="str">
        <f t="shared" si="24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5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E238" s="21" t="str">
        <f t="shared" si="24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5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183</v>
      </c>
      <c r="E239" s="21" t="str">
        <f t="shared" si="24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5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297</v>
      </c>
    </row>
    <row r="242" spans="1:12" x14ac:dyDescent="0.3">
      <c r="A242" t="s">
        <v>298</v>
      </c>
      <c r="E242" s="21" t="str">
        <f t="shared" ref="E242:E258" si="26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8" ca="1" si="27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6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7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300</v>
      </c>
      <c r="B244" s="20" t="s">
        <v>179</v>
      </c>
      <c r="C244" s="20" t="s">
        <v>156</v>
      </c>
      <c r="D244" s="20" t="s">
        <v>148</v>
      </c>
      <c r="E244" s="21" t="s">
        <v>482</v>
      </c>
      <c r="F244" s="22" t="str">
        <f>IF(OR(E244="",E244="!!!"),"",IF(NOT(ISNA(VLOOKUP(E244,E$1:E243,1,FALSE()))),"OLD",IF(AND(E244&lt;&gt;"",E244&lt;&gt;"!!!"),"NEW","")))</f>
        <v>OLD</v>
      </c>
      <c r="G244" s="23" t="s">
        <v>546</v>
      </c>
      <c r="H244" s="24" t="s">
        <v>140</v>
      </c>
      <c r="I244" s="25" t="str">
        <f>IF(OR(E244="",E244="!!!",F244="NEW"),"",INDEX(B$2:B243,-1+SUMPRODUCT(MAX(ROW(E$2:E243)*(E244=E$2:E243)))))</f>
        <v>other_3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301</v>
      </c>
      <c r="E245" s="21" t="str">
        <f t="shared" si="26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7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302</v>
      </c>
      <c r="E246" s="21" t="str">
        <f t="shared" si="26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189</v>
      </c>
      <c r="E247" s="21" t="str">
        <f t="shared" si="2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B249" s="20" t="s">
        <v>188</v>
      </c>
      <c r="C249" s="20" t="s">
        <v>156</v>
      </c>
      <c r="D249" s="20" t="s">
        <v>148</v>
      </c>
      <c r="E249" s="21" t="s">
        <v>534</v>
      </c>
      <c r="F249" s="22" t="str">
        <f>IF(OR(E249="",E249="!!!"),"",IF(NOT(ISNA(VLOOKUP(E249,E$1:E248,1,FALSE()))),"OLD",IF(AND(E249&lt;&gt;"",E249&lt;&gt;"!!!"),"NEW","")))</f>
        <v>NEW</v>
      </c>
      <c r="G249" s="23" t="s">
        <v>545</v>
      </c>
      <c r="H249" s="24" t="str">
        <f t="shared" ca="1" si="2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153</v>
      </c>
      <c r="E250" s="21" t="str">
        <f t="shared" si="26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305</v>
      </c>
      <c r="E251" s="21" t="str">
        <f t="shared" si="26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7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306</v>
      </c>
      <c r="B252" s="20" t="s">
        <v>151</v>
      </c>
      <c r="C252" s="20" t="s">
        <v>169</v>
      </c>
      <c r="E252" s="21" t="str">
        <f t="shared" si="26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7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307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154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E255" s="21" t="str">
        <f t="shared" si="26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B256" s="20" t="s">
        <v>165</v>
      </c>
      <c r="C256" s="20" t="s">
        <v>147</v>
      </c>
      <c r="D256" s="20" t="s">
        <v>148</v>
      </c>
      <c r="E256" s="21" t="s">
        <v>508</v>
      </c>
      <c r="F256" s="22" t="str">
        <f>IF(OR(E256="",E256="!!!"),"",IF(NOT(ISNA(VLOOKUP(E256,E$1:E255,1,FALSE()))),"OLD",IF(AND(E256&lt;&gt;"",E256&lt;&gt;"!!!"),"NEW","")))</f>
        <v>NEW</v>
      </c>
      <c r="G256" s="23" t="s">
        <v>530</v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183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60" spans="1:12" x14ac:dyDescent="0.3">
      <c r="A260" t="s">
        <v>311</v>
      </c>
    </row>
    <row r="261" spans="1:12" x14ac:dyDescent="0.3">
      <c r="A261" t="s">
        <v>312</v>
      </c>
      <c r="E261" s="21" t="str">
        <f t="shared" ref="E261:E283" si="28">IF(D261="?OLD","!!!","")</f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ref="H261:H283" ca="1" si="29">IF(J261&lt;&gt;1,"",IF(I261="SBJ","CB","?"))</f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313</v>
      </c>
      <c r="B262" s="20" t="s">
        <v>179</v>
      </c>
      <c r="C262" s="20" t="s">
        <v>169</v>
      </c>
      <c r="E262" s="21" t="str">
        <f t="shared" si="28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153</v>
      </c>
      <c r="E263" s="21" t="str">
        <f t="shared" si="2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189</v>
      </c>
      <c r="E264" s="21" t="str">
        <f t="shared" si="2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168</v>
      </c>
      <c r="B265" s="20" t="s">
        <v>151</v>
      </c>
      <c r="C265" s="20" t="s">
        <v>156</v>
      </c>
      <c r="D265" s="20" t="s">
        <v>148</v>
      </c>
      <c r="E265" s="21" t="s">
        <v>507</v>
      </c>
      <c r="F265" s="22" t="str">
        <f>IF(OR(E265="",E265="!!!"),"",IF(NOT(ISNA(VLOOKUP(E265,E$1:E264,1,FALSE()))),"OLD",IF(AND(E265&lt;&gt;"",E265&lt;&gt;"!!!"),"NEW","")))</f>
        <v>OLD</v>
      </c>
      <c r="G265" s="23" t="s">
        <v>547</v>
      </c>
      <c r="H265" s="24" t="str">
        <f t="shared" ca="1" si="29"/>
        <v/>
      </c>
      <c r="I265" s="25">
        <f>IF(OR(E265="",E265="!!!",F265="NEW"),"",INDEX(B$2:B264,-1+SUMPRODUCT(MAX(ROW(E$2:E264)*(E265=E$2:E264)))))</f>
        <v>0</v>
      </c>
      <c r="J265" s="25">
        <f ca="1">IF(OR(E265="",E265="!!!",F265="NEW"),"",COUNTBLANK(OFFSET(A$1,,,SUMPRODUCT(MAX(ROW(E$2:E265)*(E265=E$2:E265)))))-COUNTBLANK(OFFSET(A$1,,,SUMPRODUCT(MAX(ROW(E$1:E264)*(E2=E$1:E264))))))</f>
        <v>0</v>
      </c>
      <c r="K265" s="25">
        <f ca="1">IF(OR(E265="",E265="!!!",F265="NEW"),"",INDEX(J$1:J264,SUMPRODUCT(MAX(ROW(E$1:E264)*(E265=E$1:E264)))))</f>
        <v>0</v>
      </c>
      <c r="L265" s="26"/>
    </row>
    <row r="266" spans="1:12" x14ac:dyDescent="0.3">
      <c r="A266" t="s">
        <v>186</v>
      </c>
      <c r="E266" s="21" t="str">
        <f t="shared" si="2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314</v>
      </c>
      <c r="E267" s="21" t="str">
        <f t="shared" si="2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299</v>
      </c>
      <c r="E268" s="21" t="str">
        <f t="shared" si="2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315</v>
      </c>
      <c r="B269" s="20" t="s">
        <v>146</v>
      </c>
      <c r="C269" s="20" t="s">
        <v>169</v>
      </c>
      <c r="E269" s="21" t="str">
        <f t="shared" si="28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9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149</v>
      </c>
      <c r="E270" s="21" t="str">
        <f t="shared" si="2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294</v>
      </c>
      <c r="E271" s="21" t="str">
        <f t="shared" si="28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9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316</v>
      </c>
      <c r="E272" s="21" t="str">
        <f t="shared" si="28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317</v>
      </c>
      <c r="E273" s="21" t="str">
        <f t="shared" si="28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154</v>
      </c>
      <c r="E274" s="21" t="str">
        <f t="shared" si="2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318</v>
      </c>
      <c r="E275" s="21" t="str">
        <f t="shared" si="2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319</v>
      </c>
      <c r="B276" s="20" t="s">
        <v>151</v>
      </c>
      <c r="C276" s="20" t="s">
        <v>147</v>
      </c>
      <c r="D276" s="20" t="s">
        <v>148</v>
      </c>
      <c r="E276" s="21"/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12</v>
      </c>
      <c r="E277" s="21" t="str">
        <f t="shared" si="2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320</v>
      </c>
      <c r="E278" s="21" t="s">
        <v>535</v>
      </c>
      <c r="F278" s="22" t="str">
        <f>IF(OR(E278="",E278="!!!"),"",IF(NOT(ISNA(VLOOKUP(E278,E$1:E277,1,FALSE()))),"OLD",IF(AND(E278&lt;&gt;"",E278&lt;&gt;"!!!"),"NEW","")))</f>
        <v>NEW</v>
      </c>
      <c r="G278" s="23" t="s">
        <v>545</v>
      </c>
      <c r="H278" s="24" t="str">
        <f t="shared" ca="1" si="2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 t="s">
        <v>494</v>
      </c>
    </row>
    <row r="279" spans="1:12" x14ac:dyDescent="0.3">
      <c r="A279" t="s">
        <v>195</v>
      </c>
      <c r="E279" s="21" t="str">
        <f t="shared" si="2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321</v>
      </c>
      <c r="B280" s="20" t="s">
        <v>165</v>
      </c>
      <c r="C280" s="20" t="s">
        <v>156</v>
      </c>
      <c r="D280" s="20" t="s">
        <v>148</v>
      </c>
      <c r="E280" s="21" t="s">
        <v>509</v>
      </c>
      <c r="F280" s="22" t="str">
        <f>IF(OR(E280="",E280="!!!"),"",IF(NOT(ISNA(VLOOKUP(E280,E$1:E279,1,FALSE()))),"OLD",IF(AND(E280&lt;&gt;"",E280&lt;&gt;"!!!"),"NEW","")))</f>
        <v>NEW</v>
      </c>
      <c r="G280" s="23" t="s">
        <v>530</v>
      </c>
      <c r="H280" s="24" t="str">
        <f t="shared" ca="1" si="2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322</v>
      </c>
      <c r="E281" s="21" t="str">
        <f t="shared" si="2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323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183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5" spans="1:12" x14ac:dyDescent="0.3">
      <c r="A285" t="s">
        <v>324</v>
      </c>
    </row>
    <row r="286" spans="1:12" x14ac:dyDescent="0.3">
      <c r="A286" t="s">
        <v>325</v>
      </c>
      <c r="E286" s="21" t="str">
        <f t="shared" ref="E286:E294" si="30">IF(D286="?OLD","!!!","")</f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ref="H286:H294" ca="1" si="31">IF(J286&lt;&gt;1,"",IF(I286="SBJ","CB","?"))</f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182</v>
      </c>
      <c r="B287" s="20" t="s">
        <v>146</v>
      </c>
      <c r="C287" s="20" t="s">
        <v>147</v>
      </c>
      <c r="D287" s="20" t="s">
        <v>148</v>
      </c>
      <c r="E287" s="21" t="s">
        <v>483</v>
      </c>
      <c r="F287" s="22" t="str">
        <f>IF(OR(E287="",E287="!!!"),"",IF(NOT(ISNA(VLOOKUP(E287,E$1:E286,1,FALSE()))),"OLD",IF(AND(E287&lt;&gt;"",E287&lt;&gt;"!!!"),"NEW","")))</f>
        <v>OLD</v>
      </c>
      <c r="G287" s="23" t="s">
        <v>530</v>
      </c>
      <c r="H287" s="24" t="str">
        <f t="shared" ca="1" si="31"/>
        <v/>
      </c>
      <c r="I287" s="25" t="str">
        <f>IF(OR(E287="",E287="!!!",F287="NEW"),"",INDEX(B$2:B286,-1+SUMPRODUCT(MAX(ROW(E$2:E286)*(E287=E$2:E286)))))</f>
        <v>SBJ_2</v>
      </c>
      <c r="J287" s="25">
        <f ca="1">IF(OR(E287="",E287="!!!",F287="NEW"),"",COUNTBLANK(OFFSET(A$1,,,SUMPRODUCT(MAX(ROW(E$2:E287)*(E287=E$2:E287)))))-COUNTBLANK(OFFSET(A$1,,,SUMPRODUCT(MAX(ROW(E$1:E286)*(E2=E$1:E286))))))</f>
        <v>0</v>
      </c>
      <c r="K287" s="25">
        <f ca="1">IF(OR(E287="",E287="!!!",F287="NEW"),"",INDEX(J$1:J286,SUMPRODUCT(MAX(ROW(E$1:E286)*(E287=E$1:E286)))))</f>
        <v>0</v>
      </c>
      <c r="L287" s="26"/>
    </row>
    <row r="288" spans="1:12" x14ac:dyDescent="0.3">
      <c r="A288" t="s">
        <v>326</v>
      </c>
      <c r="E288" s="21" t="str">
        <f t="shared" si="30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1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327</v>
      </c>
      <c r="E289" s="21" t="str">
        <f t="shared" si="30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1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328</v>
      </c>
      <c r="E290" s="21" t="str">
        <f t="shared" si="30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1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329</v>
      </c>
      <c r="E291" s="21" t="str">
        <f t="shared" si="30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1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330</v>
      </c>
      <c r="B292" s="20" t="s">
        <v>179</v>
      </c>
      <c r="C292" s="20" t="s">
        <v>169</v>
      </c>
      <c r="E292" s="21" t="str">
        <f t="shared" si="30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1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70</v>
      </c>
      <c r="E293" s="21" t="str">
        <f t="shared" si="30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1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183</v>
      </c>
      <c r="E294" s="21" t="str">
        <f t="shared" si="30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1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6" spans="1:12" x14ac:dyDescent="0.3">
      <c r="A296" t="s">
        <v>331</v>
      </c>
    </row>
    <row r="297" spans="1:12" x14ac:dyDescent="0.3">
      <c r="A297" t="s">
        <v>332</v>
      </c>
      <c r="E297" s="21" t="str">
        <f t="shared" ref="E297:E307" si="32">IF(D297="?OLD","!!!","")</f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ref="H297:H307" ca="1" si="33">IF(J297&lt;&gt;1,"",IF(I297="SBJ","CB","?"))</f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186</v>
      </c>
      <c r="E298" s="21" t="str">
        <f t="shared" si="3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189</v>
      </c>
      <c r="E299" s="21" t="str">
        <f t="shared" si="3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333</v>
      </c>
      <c r="B300" s="20" t="s">
        <v>179</v>
      </c>
      <c r="C300" s="20" t="s">
        <v>156</v>
      </c>
      <c r="D300" s="20" t="s">
        <v>148</v>
      </c>
      <c r="E300" s="21" t="s">
        <v>510</v>
      </c>
      <c r="F300" s="22" t="str">
        <f>IF(OR(E300="",E300="!!!"),"",IF(NOT(ISNA(VLOOKUP(E300,E$1:E299,1,FALSE()))),"OLD",IF(AND(E300&lt;&gt;"",E300&lt;&gt;"!!!"),"NEW","")))</f>
        <v>NEW</v>
      </c>
      <c r="G300" s="23" t="s">
        <v>138</v>
      </c>
      <c r="H300" s="24" t="str">
        <f t="shared" ca="1" si="3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153</v>
      </c>
      <c r="E301" s="21" t="str">
        <f t="shared" si="3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195</v>
      </c>
      <c r="E302" s="21" t="str">
        <f t="shared" si="3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334</v>
      </c>
      <c r="B303" s="20" t="s">
        <v>151</v>
      </c>
      <c r="C303" s="20" t="s">
        <v>156</v>
      </c>
      <c r="D303" s="20" t="s">
        <v>148</v>
      </c>
      <c r="E303" s="21"/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12</v>
      </c>
      <c r="E304" s="21" t="str">
        <f t="shared" si="3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149</v>
      </c>
      <c r="E305" s="21" t="str">
        <f t="shared" si="3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335</v>
      </c>
      <c r="B306" s="20" t="s">
        <v>165</v>
      </c>
      <c r="C306" s="20" t="s">
        <v>169</v>
      </c>
      <c r="E306" s="21" t="s">
        <v>511</v>
      </c>
      <c r="F306" s="22" t="str">
        <f>IF(OR(E306="",E306="!!!"),"",IF(NOT(ISNA(VLOOKUP(E306,E$1:E305,1,FALSE()))),"OLD",IF(AND(E306&lt;&gt;"",E306&lt;&gt;"!!!"),"NEW","")))</f>
        <v>NEW</v>
      </c>
      <c r="G306" s="23" t="s">
        <v>530</v>
      </c>
      <c r="H306" s="24" t="str">
        <f t="shared" ca="1" si="3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 t="s">
        <v>494</v>
      </c>
    </row>
    <row r="307" spans="1:12" x14ac:dyDescent="0.3">
      <c r="A307" t="s">
        <v>183</v>
      </c>
      <c r="E307" s="21" t="str">
        <f t="shared" si="3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9" spans="1:12" x14ac:dyDescent="0.3">
      <c r="A309" t="s">
        <v>336</v>
      </c>
    </row>
    <row r="310" spans="1:12" x14ac:dyDescent="0.3">
      <c r="A310" t="s">
        <v>182</v>
      </c>
      <c r="B310" s="20" t="s">
        <v>179</v>
      </c>
      <c r="C310" s="20" t="s">
        <v>147</v>
      </c>
      <c r="D310" s="20" t="s">
        <v>148</v>
      </c>
      <c r="E310" s="21" t="s">
        <v>483</v>
      </c>
      <c r="F310" s="22" t="str">
        <f>IF(OR(E310="",E310="!!!"),"",IF(NOT(ISNA(VLOOKUP(E310,E$1:E309,1,FALSE()))),"OLD",IF(AND(E310&lt;&gt;"",E310&lt;&gt;"!!!"),"NEW","")))</f>
        <v>OLD</v>
      </c>
      <c r="G310" s="23" t="s">
        <v>547</v>
      </c>
      <c r="H310" s="24" t="str">
        <f t="shared" ref="H310:H322" ca="1" si="34">IF(J310&lt;&gt;1,"",IF(I310="SBJ","CB","?"))</f>
        <v/>
      </c>
      <c r="I310" s="25" t="str">
        <f>IF(OR(E310="",E310="!!!",F310="NEW"),"",INDEX(B$2:B309,-1+SUMPRODUCT(MAX(ROW(E$2:E309)*(E310=E$2:E309)))))</f>
        <v>other</v>
      </c>
      <c r="J310" s="25">
        <f ca="1">IF(OR(E310="",E310="!!!",F310="NEW"),"",COUNTBLANK(OFFSET(A$1,,,SUMPRODUCT(MAX(ROW(E$2:E310)*(E310=E$2:E310)))))-COUNTBLANK(OFFSET(A$1,,,SUMPRODUCT(MAX(ROW(E$1:E309)*(E2=E$1:E309))))))</f>
        <v>0</v>
      </c>
      <c r="K310" s="25">
        <f ca="1">IF(OR(E310="",E310="!!!",F310="NEW"),"",INDEX(J$1:J309,SUMPRODUCT(MAX(ROW(E$1:E309)*(E310=E$1:E309)))))</f>
        <v>0</v>
      </c>
      <c r="L310" s="26"/>
    </row>
    <row r="311" spans="1:12" x14ac:dyDescent="0.3">
      <c r="A311" t="s">
        <v>222</v>
      </c>
      <c r="E311" s="21" t="str">
        <f t="shared" ref="E311:E322" si="35">IF(D311="?OLD","!!!","")</f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4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337</v>
      </c>
      <c r="B312" s="20" t="s">
        <v>188</v>
      </c>
      <c r="C312" s="20" t="s">
        <v>169</v>
      </c>
      <c r="E312" s="21" t="str">
        <f t="shared" si="35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4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78</v>
      </c>
      <c r="E313" s="21" t="str">
        <f t="shared" si="35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4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149</v>
      </c>
      <c r="E314" s="21" t="str">
        <f t="shared" si="35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4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189</v>
      </c>
      <c r="E315" s="21" t="str">
        <f t="shared" si="35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4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338</v>
      </c>
      <c r="B316" s="20" t="s">
        <v>172</v>
      </c>
      <c r="C316" s="20" t="s">
        <v>156</v>
      </c>
      <c r="D316" s="20" t="s">
        <v>148</v>
      </c>
      <c r="E316" s="21" t="s">
        <v>513</v>
      </c>
      <c r="F316" s="22" t="str">
        <f>IF(OR(E316="",E316="!!!"),"",IF(NOT(ISNA(VLOOKUP(E316,E$1:E315,1,FALSE()))),"OLD",IF(AND(E316&lt;&gt;"",E316&lt;&gt;"!!!"),"NEW","")))</f>
        <v>NEW</v>
      </c>
      <c r="G316" s="23" t="s">
        <v>530</v>
      </c>
      <c r="H316" s="24" t="str">
        <f t="shared" ca="1" si="34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153</v>
      </c>
      <c r="E317" s="21" t="str">
        <f t="shared" si="35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4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339</v>
      </c>
      <c r="E318" s="21" t="str">
        <f t="shared" si="35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4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340</v>
      </c>
      <c r="B319" s="20" t="s">
        <v>165</v>
      </c>
      <c r="C319" s="20" t="s">
        <v>147</v>
      </c>
      <c r="D319" s="20" t="s">
        <v>148</v>
      </c>
      <c r="E319" s="21" t="s">
        <v>514</v>
      </c>
      <c r="F319" s="22" t="str">
        <f>IF(OR(E319="",E319="!!!"),"",IF(NOT(ISNA(VLOOKUP(E319,E$1:E318,1,FALSE()))),"OLD",IF(AND(E319&lt;&gt;"",E319&lt;&gt;"!!!"),"NEW","")))</f>
        <v>NEW</v>
      </c>
      <c r="G319" s="23" t="s">
        <v>530</v>
      </c>
      <c r="H319" s="24" t="str">
        <f t="shared" ca="1" si="34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341</v>
      </c>
      <c r="E320" s="21" t="str">
        <f t="shared" si="35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4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342</v>
      </c>
      <c r="E321" s="21" t="str">
        <f t="shared" si="35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4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183</v>
      </c>
      <c r="E322" s="21" t="str">
        <f t="shared" si="35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4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343</v>
      </c>
    </row>
    <row r="325" spans="1:12" x14ac:dyDescent="0.3">
      <c r="A325" t="s">
        <v>344</v>
      </c>
      <c r="B325" s="20" t="s">
        <v>179</v>
      </c>
      <c r="C325" s="20" t="s">
        <v>169</v>
      </c>
      <c r="E325" s="21" t="str">
        <f t="shared" ref="E325:E34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4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345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181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153</v>
      </c>
      <c r="E328" s="21" t="str">
        <f t="shared" si="36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7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346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347</v>
      </c>
      <c r="E330" s="21" t="str">
        <f t="shared" si="36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348</v>
      </c>
      <c r="B331" s="20" t="s">
        <v>146</v>
      </c>
      <c r="C331" s="20" t="s">
        <v>169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349</v>
      </c>
      <c r="E332" s="21" t="str">
        <f t="shared" si="36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7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350</v>
      </c>
      <c r="E333" s="21" t="str">
        <f t="shared" si="36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7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211</v>
      </c>
      <c r="E334" s="21" t="str">
        <f t="shared" si="36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7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170</v>
      </c>
      <c r="E335" s="21" t="str">
        <f t="shared" si="36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7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351</v>
      </c>
      <c r="E336" s="21" t="str">
        <f t="shared" si="36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7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352</v>
      </c>
      <c r="B337" s="20" t="s">
        <v>172</v>
      </c>
      <c r="C337" s="20" t="s">
        <v>156</v>
      </c>
      <c r="D337" s="20" t="s">
        <v>148</v>
      </c>
      <c r="E337" s="21" t="s">
        <v>515</v>
      </c>
      <c r="F337" s="22" t="str">
        <f>IF(OR(E337="",E337="!!!"),"",IF(NOT(ISNA(VLOOKUP(E337,E$1:E336,1,FALSE()))),"OLD",IF(AND(E337&lt;&gt;"",E337&lt;&gt;"!!!"),"NEW","")))</f>
        <v>NEW</v>
      </c>
      <c r="G337" s="23" t="s">
        <v>545</v>
      </c>
      <c r="H337" s="24" t="str">
        <f t="shared" ca="1" si="37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222</v>
      </c>
      <c r="E338" s="21" t="str">
        <f t="shared" si="36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7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243</v>
      </c>
      <c r="B339" s="20" t="s">
        <v>176</v>
      </c>
      <c r="C339" s="20" t="s">
        <v>244</v>
      </c>
      <c r="D339" s="20" t="s">
        <v>148</v>
      </c>
      <c r="E339" s="21" t="s">
        <v>483</v>
      </c>
      <c r="F339" s="22" t="str">
        <f>IF(OR(E339="",E339="!!!"),"",IF(NOT(ISNA(VLOOKUP(E339,E$1:E338,1,FALSE()))),"OLD",IF(AND(E339&lt;&gt;"",E339&lt;&gt;"!!!"),"NEW","")))</f>
        <v>OLD</v>
      </c>
      <c r="G339" s="23" t="s">
        <v>546</v>
      </c>
      <c r="H339" s="24" t="s">
        <v>140</v>
      </c>
      <c r="I339" s="25" t="str">
        <f>IF(OR(E339="",E339="!!!",F339="NEW"),"",INDEX(B$2:B338,-1+SUMPRODUCT(MAX(ROW(E$2:E338)*(E339=E$2:E338)))))</f>
        <v>SBJ</v>
      </c>
      <c r="J339" s="25">
        <f ca="1">IF(OR(E339="",E339="!!!",F339="NEW"),"",COUNTBLANK(OFFSET(A$1,,,SUMPRODUCT(MAX(ROW(E$2:E339)*(E339=E$2:E339)))))-COUNTBLANK(OFFSET(A$1,,,SUMPRODUCT(MAX(ROW(E$1:E338)*(E2=E$1:E338))))))</f>
        <v>0</v>
      </c>
      <c r="K339" s="25">
        <f ca="1">IF(OR(E339="",E339="!!!",F339="NEW"),"",INDEX(J$1:J338,SUMPRODUCT(MAX(ROW(E$1:E338)*(E339=E$1:E338)))))</f>
        <v>0</v>
      </c>
      <c r="L339" s="26"/>
    </row>
    <row r="340" spans="1:12" x14ac:dyDescent="0.3">
      <c r="A340" t="s">
        <v>353</v>
      </c>
      <c r="E340" s="21" t="str">
        <f t="shared" si="36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37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183</v>
      </c>
      <c r="E341" s="21" t="str">
        <f t="shared" si="36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7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3" spans="1:12" x14ac:dyDescent="0.3">
      <c r="A343" t="s">
        <v>354</v>
      </c>
      <c r="E343" s="21" t="str">
        <f>IF(D343="?OLD","!!!","")</f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ca="1">IF(J343&lt;&gt;1,"",IF(I343="SBJ","CB","?"))</f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355</v>
      </c>
    </row>
    <row r="345" spans="1:12" x14ac:dyDescent="0.3">
      <c r="A345" t="s">
        <v>178</v>
      </c>
      <c r="B345" s="20" t="s">
        <v>179</v>
      </c>
      <c r="C345" s="20" t="s">
        <v>147</v>
      </c>
      <c r="D345" s="20" t="s">
        <v>148</v>
      </c>
      <c r="E345" s="21" t="s">
        <v>482</v>
      </c>
      <c r="F345" s="22" t="str">
        <f>IF(OR(E345="",E345="!!!"),"",IF(NOT(ISNA(VLOOKUP(E345,E$1:E344,1,FALSE()))),"OLD",IF(AND(E345&lt;&gt;"",E345&lt;&gt;"!!!"),"NEW","")))</f>
        <v>OLD</v>
      </c>
      <c r="G345" s="23" t="s">
        <v>530</v>
      </c>
      <c r="H345" s="24" t="str">
        <f t="shared" ref="H345:H374" ca="1" si="38">IF(J345&lt;&gt;1,"",IF(I345="SBJ","CB","?"))</f>
        <v/>
      </c>
      <c r="I345" s="25" t="str">
        <f>IF(OR(E345="",E345="!!!",F345="NEW"),"",INDEX(B$2:B344,-1+SUMPRODUCT(MAX(ROW(E$2:E344)*(E345=E$2:E344)))))</f>
        <v>SBJ</v>
      </c>
      <c r="J345" s="25">
        <f ca="1">IF(OR(E345="",E345="!!!",F345="NEW"),"",COUNTBLANK(OFFSET(A$1,,,SUMPRODUCT(MAX(ROW(E$2:E345)*(E345=E$2:E345)))))-COUNTBLANK(OFFSET(A$1,,,SUMPRODUCT(MAX(ROW(E$1:E344)*(E2=E$1:E344))))))</f>
        <v>0</v>
      </c>
      <c r="K345" s="25">
        <f ca="1">IF(OR(E345="",E345="!!!",F345="NEW"),"",INDEX(J$1:J344,SUMPRODUCT(MAX(ROW(E$1:E344)*(E345=E$1:E344)))))</f>
        <v>0</v>
      </c>
      <c r="L345" s="26"/>
    </row>
    <row r="346" spans="1:12" x14ac:dyDescent="0.3">
      <c r="A346" t="s">
        <v>248</v>
      </c>
      <c r="E346" s="21" t="str">
        <f t="shared" ref="E346:E374" si="39">IF(D346="?OLD","!!!","")</f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8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222</v>
      </c>
      <c r="E347" s="21" t="str">
        <f t="shared" si="39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8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234</v>
      </c>
      <c r="E348" s="21" t="str">
        <f t="shared" si="39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8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356</v>
      </c>
      <c r="E349" s="21" t="str">
        <f t="shared" si="39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8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357</v>
      </c>
      <c r="B350" s="20" t="s">
        <v>146</v>
      </c>
      <c r="C350" s="20" t="s">
        <v>358</v>
      </c>
      <c r="E350" s="21" t="str">
        <f t="shared" si="39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8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359</v>
      </c>
      <c r="E351" s="21" t="str">
        <f t="shared" si="39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8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189</v>
      </c>
      <c r="E352" s="21" t="str">
        <f t="shared" si="39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8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360</v>
      </c>
      <c r="B353" s="20" t="s">
        <v>188</v>
      </c>
      <c r="C353" s="20" t="s">
        <v>156</v>
      </c>
      <c r="D353" s="20" t="s">
        <v>148</v>
      </c>
      <c r="E353" s="21"/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8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 t="s">
        <v>517</v>
      </c>
    </row>
    <row r="354" spans="1:12" x14ac:dyDescent="0.3">
      <c r="A354" t="s">
        <v>361</v>
      </c>
      <c r="B354" s="20" t="s">
        <v>151</v>
      </c>
      <c r="C354" s="20" t="s">
        <v>147</v>
      </c>
      <c r="D354" s="20" t="s">
        <v>148</v>
      </c>
      <c r="E354" s="21" t="s">
        <v>516</v>
      </c>
      <c r="F354" s="22" t="str">
        <f>IF(OR(E354="",E354="!!!"),"",IF(NOT(ISNA(VLOOKUP(E354,E$1:E353,1,FALSE()))),"OLD",IF(AND(E354&lt;&gt;"",E354&lt;&gt;"!!!"),"NEW","")))</f>
        <v>NEW</v>
      </c>
      <c r="G354" s="23" t="s">
        <v>530</v>
      </c>
      <c r="H354" s="24" t="str">
        <f t="shared" ca="1" si="38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86</v>
      </c>
      <c r="E355" s="21" t="str">
        <f t="shared" si="39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8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149</v>
      </c>
      <c r="E356" s="21" t="str">
        <f t="shared" si="39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38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362</v>
      </c>
      <c r="E357" s="21" t="str">
        <f t="shared" si="39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38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157</v>
      </c>
      <c r="E358" s="21" t="str">
        <f t="shared" si="39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8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363</v>
      </c>
      <c r="E359" s="21" t="str">
        <f t="shared" si="39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8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364</v>
      </c>
      <c r="E360" s="21" t="str">
        <f t="shared" si="39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8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365</v>
      </c>
      <c r="B361" s="20" t="s">
        <v>151</v>
      </c>
      <c r="C361" s="20" t="s">
        <v>201</v>
      </c>
      <c r="E361" s="21" t="s">
        <v>520</v>
      </c>
      <c r="F361" s="22" t="str">
        <f>IF(OR(E361="",E361="!!!"),"",IF(NOT(ISNA(VLOOKUP(E361,E$1:E360,1,FALSE()))),"OLD",IF(AND(E361&lt;&gt;"",E361&lt;&gt;"!!!"),"NEW","")))</f>
        <v>NEW</v>
      </c>
      <c r="G361" s="23" t="s">
        <v>545</v>
      </c>
      <c r="H361" s="24" t="str">
        <f t="shared" ca="1" si="38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 t="s">
        <v>493</v>
      </c>
    </row>
    <row r="362" spans="1:12" x14ac:dyDescent="0.3">
      <c r="A362" t="s">
        <v>366</v>
      </c>
      <c r="E362" s="21" t="str">
        <f t="shared" si="39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8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189</v>
      </c>
      <c r="E363" s="21" t="str">
        <f t="shared" si="39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8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367</v>
      </c>
      <c r="B364" s="20" t="s">
        <v>368</v>
      </c>
      <c r="C364" s="20" t="s">
        <v>156</v>
      </c>
      <c r="D364" s="20" t="s">
        <v>148</v>
      </c>
      <c r="E364" s="21"/>
      <c r="F364" s="22" t="s">
        <v>522</v>
      </c>
      <c r="G364" s="23"/>
      <c r="H364" s="24" t="str">
        <f t="shared" ca="1" si="38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195</v>
      </c>
      <c r="E365" s="21" t="str">
        <f t="shared" si="39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8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369</v>
      </c>
      <c r="E366" s="21" t="str">
        <f t="shared" si="39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8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231</v>
      </c>
      <c r="C367" s="20" t="s">
        <v>156</v>
      </c>
      <c r="D367" s="20" t="s">
        <v>148</v>
      </c>
      <c r="E367" s="21" t="s">
        <v>516</v>
      </c>
      <c r="F367" s="22" t="str">
        <f>IF(OR(E367="",E367="!!!"),"",IF(NOT(ISNA(VLOOKUP(E367,E$1:E366,1,FALSE()))),"OLD",IF(AND(E367&lt;&gt;"",E367&lt;&gt;"!!!"),"NEW","")))</f>
        <v>OLD</v>
      </c>
      <c r="G367" s="23" t="s">
        <v>546</v>
      </c>
      <c r="H367" s="24" t="str">
        <f t="shared" ca="1" si="38"/>
        <v/>
      </c>
      <c r="I367" s="25" t="str">
        <f>IF(OR(E367="",E367="!!!",F367="NEW"),"",INDEX(B$2:B366,-1+SUMPRODUCT(MAX(ROW(E$2:E366)*(E367=E$2:E366)))))</f>
        <v>other_2</v>
      </c>
      <c r="J367" s="25">
        <f ca="1">IF(OR(E367="",E367="!!!",F367="NEW"),"",COUNTBLANK(OFFSET(A$1,,,SUMPRODUCT(MAX(ROW(E$2:E367)*(E367=E$2:E367)))))-COUNTBLANK(OFFSET(A$1,,,SUMPRODUCT(MAX(ROW(E$1:E366)*(E2=E$1:E366))))))</f>
        <v>0</v>
      </c>
      <c r="K367" s="25" t="str">
        <f ca="1">IF(OR(E367="",E367="!!!",F367="NEW"),"",INDEX(J$1:J366,SUMPRODUCT(MAX(ROW(E$1:E366)*(E367=E$1:E366)))))</f>
        <v/>
      </c>
      <c r="L367" s="26"/>
    </row>
    <row r="368" spans="1:12" x14ac:dyDescent="0.3">
      <c r="A368" t="s">
        <v>294</v>
      </c>
      <c r="E368" s="21" t="str">
        <f t="shared" si="39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8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149</v>
      </c>
      <c r="E369" s="21" t="str">
        <f t="shared" si="39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8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370</v>
      </c>
      <c r="B370" s="20" t="s">
        <v>371</v>
      </c>
      <c r="C370" s="20" t="s">
        <v>169</v>
      </c>
      <c r="E370" s="21" t="str">
        <f t="shared" si="39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8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372</v>
      </c>
      <c r="B371" s="20" t="s">
        <v>373</v>
      </c>
      <c r="C371" s="20" t="s">
        <v>147</v>
      </c>
      <c r="D371" s="20" t="s">
        <v>148</v>
      </c>
      <c r="E371" s="21" t="s">
        <v>523</v>
      </c>
      <c r="F371" s="22" t="str">
        <f>IF(OR(E371="",E371="!!!"),"",IF(NOT(ISNA(VLOOKUP(E371,E$1:E370,1,FALSE()))),"OLD",IF(AND(E371&lt;&gt;"",E371&lt;&gt;"!!!"),"NEW","")))</f>
        <v>NEW</v>
      </c>
      <c r="G371" s="23" t="s">
        <v>530</v>
      </c>
      <c r="H371" s="24" t="str">
        <f t="shared" ca="1" si="38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374</v>
      </c>
      <c r="E372" s="21" t="str">
        <f t="shared" si="39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8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183</v>
      </c>
      <c r="E373" s="21" t="str">
        <f t="shared" si="39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38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363</v>
      </c>
      <c r="E374" s="21" t="str">
        <f t="shared" si="39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38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6" spans="1:12" x14ac:dyDescent="0.3">
      <c r="A376" t="s">
        <v>354</v>
      </c>
      <c r="E376" s="21" t="str">
        <f>IF(D376="?OLD","!!!","")</f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ca="1">IF(J376&lt;&gt;1,"",IF(I376="SBJ","CB","?"))</f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375</v>
      </c>
    </row>
    <row r="378" spans="1:12" x14ac:dyDescent="0.3">
      <c r="A378" t="s">
        <v>363</v>
      </c>
      <c r="E378" s="21" t="str">
        <f t="shared" ref="E378:E398" si="40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398" ca="1" si="41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376</v>
      </c>
      <c r="E379" s="21" t="str">
        <f t="shared" si="40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366</v>
      </c>
      <c r="E380" s="21" t="str">
        <f t="shared" si="4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377</v>
      </c>
      <c r="E381" s="21" t="str">
        <f t="shared" si="4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378</v>
      </c>
      <c r="E382" s="21" t="str">
        <f t="shared" si="40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379</v>
      </c>
      <c r="B383" s="20" t="s">
        <v>151</v>
      </c>
      <c r="C383" s="20" t="s">
        <v>147</v>
      </c>
      <c r="D383" s="20" t="s">
        <v>148</v>
      </c>
      <c r="E383" s="21" t="s">
        <v>518</v>
      </c>
      <c r="F383" s="22" t="str">
        <f>IF(OR(E383="",E383="!!!"),"",IF(NOT(ISNA(VLOOKUP(E383,E$1:E382,1,FALSE()))),"OLD",IF(AND(E383&lt;&gt;"",E383&lt;&gt;"!!!"),"NEW","")))</f>
        <v>NEW</v>
      </c>
      <c r="G383" s="23" t="s">
        <v>530</v>
      </c>
      <c r="H383" s="24" t="str">
        <f t="shared" ca="1" si="41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211</v>
      </c>
      <c r="E384" s="21" t="str">
        <f t="shared" si="40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1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380</v>
      </c>
      <c r="B385" s="20" t="s">
        <v>165</v>
      </c>
      <c r="C385" s="20" t="s">
        <v>147</v>
      </c>
      <c r="D385" s="20" t="s">
        <v>148</v>
      </c>
      <c r="E385" s="21" t="s">
        <v>519</v>
      </c>
      <c r="F385" s="22" t="str">
        <f>IF(OR(E385="",E385="!!!"),"",IF(NOT(ISNA(VLOOKUP(E385,E$1:E384,1,FALSE()))),"OLD",IF(AND(E385&lt;&gt;"",E385&lt;&gt;"!!!"),"NEW","")))</f>
        <v>NEW</v>
      </c>
      <c r="G385" s="23" t="s">
        <v>530</v>
      </c>
      <c r="H385" s="24" t="str">
        <f t="shared" ca="1" si="4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381</v>
      </c>
      <c r="E386" s="21" t="str">
        <f t="shared" si="40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382</v>
      </c>
      <c r="B387" s="20" t="s">
        <v>165</v>
      </c>
      <c r="C387" s="20" t="s">
        <v>147</v>
      </c>
      <c r="D387" s="20" t="s">
        <v>148</v>
      </c>
      <c r="E387" s="21" t="s">
        <v>514</v>
      </c>
      <c r="F387" s="22" t="str">
        <f>IF(OR(E387="",E387="!!!"),"",IF(NOT(ISNA(VLOOKUP(E387,E$1:E386,1,FALSE()))),"OLD",IF(AND(E387&lt;&gt;"",E387&lt;&gt;"!!!"),"NEW","")))</f>
        <v>OLD</v>
      </c>
      <c r="G387" s="23" t="s">
        <v>530</v>
      </c>
      <c r="H387" s="24" t="str">
        <f t="shared" ca="1" si="41"/>
        <v/>
      </c>
      <c r="I387" s="25" t="str">
        <f>IF(OR(E387="",E387="!!!",F387="NEW"),"",INDEX(B$2:B386,-1+SUMPRODUCT(MAX(ROW(E$2:E386)*(E387=E$2:E386)))))</f>
        <v>other_3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 t="str">
        <f ca="1">IF(OR(E387="",E387="!!!",F387="NEW"),"",INDEX(J$1:J386,SUMPRODUCT(MAX(ROW(E$1:E386)*(E387=E$1:E386)))))</f>
        <v/>
      </c>
      <c r="L387" s="26"/>
    </row>
    <row r="388" spans="1:12" x14ac:dyDescent="0.3">
      <c r="A388" t="s">
        <v>350</v>
      </c>
      <c r="E388" s="21" t="str">
        <f t="shared" si="40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1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12</v>
      </c>
      <c r="E389" s="21" t="str">
        <f t="shared" si="40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1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383</v>
      </c>
      <c r="B390" s="20" t="s">
        <v>179</v>
      </c>
      <c r="C390" s="20" t="s">
        <v>244</v>
      </c>
      <c r="D390" s="20" t="s">
        <v>148</v>
      </c>
      <c r="E390" s="21" t="s">
        <v>482</v>
      </c>
      <c r="F390" s="22" t="str">
        <f>IF(OR(E390="",E390="!!!"),"",IF(NOT(ISNA(VLOOKUP(E390,E$1:E389,1,FALSE()))),"OLD",IF(AND(E390&lt;&gt;"",E390&lt;&gt;"!!!"),"NEW","")))</f>
        <v>OLD</v>
      </c>
      <c r="G390" s="23" t="s">
        <v>546</v>
      </c>
      <c r="H390" s="24" t="s">
        <v>140</v>
      </c>
      <c r="I390" s="25" t="str">
        <f>IF(OR(E390="",E390="!!!",F390="NEW"),"",INDEX(B$2:B389,-1+SUMPRODUCT(MAX(ROW(E$2:E389)*(E390=E$2:E389)))))</f>
        <v>SBJ</v>
      </c>
      <c r="J390" s="25">
        <f ca="1">IF(OR(E390="",E390="!!!",F390="NEW"),"",COUNTBLANK(OFFSET(A$1,,,SUMPRODUCT(MAX(ROW(E$2:E390)*(E390=E$2:E390)))))-COUNTBLANK(OFFSET(A$1,,,SUMPRODUCT(MAX(ROW(E$1:E389)*(E2=E$1:E389))))))</f>
        <v>0</v>
      </c>
      <c r="K390" s="25">
        <f ca="1">IF(OR(E390="",E390="!!!",F390="NEW"),"",INDEX(J$1:J389,SUMPRODUCT(MAX(ROW(E$1:E389)*(E390=E$1:E389)))))</f>
        <v>0</v>
      </c>
      <c r="L390" s="26"/>
    </row>
    <row r="391" spans="1:12" x14ac:dyDescent="0.3">
      <c r="A391" t="s">
        <v>222</v>
      </c>
      <c r="E391" s="21" t="str">
        <f t="shared" si="40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1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211</v>
      </c>
      <c r="E392" s="21" t="str">
        <f t="shared" si="40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1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384</v>
      </c>
      <c r="E393" s="21" t="str">
        <f t="shared" si="40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1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385</v>
      </c>
      <c r="B394" s="20" t="s">
        <v>176</v>
      </c>
      <c r="C394" s="20" t="s">
        <v>284</v>
      </c>
      <c r="D394" s="20" t="s">
        <v>148</v>
      </c>
      <c r="E394" s="21" t="s">
        <v>514</v>
      </c>
      <c r="F394" s="22" t="str">
        <f>IF(OR(E394="",E394="!!!"),"",IF(NOT(ISNA(VLOOKUP(E394,E$1:E393,1,FALSE()))),"OLD",IF(AND(E394&lt;&gt;"",E394&lt;&gt;"!!!"),"NEW","")))</f>
        <v>OLD</v>
      </c>
      <c r="G394" s="23" t="s">
        <v>546</v>
      </c>
      <c r="H394" s="24" t="str">
        <f t="shared" ca="1" si="41"/>
        <v/>
      </c>
      <c r="I394" s="25" t="str">
        <f>IF(OR(E394="",E394="!!!",F394="NEW"),"",INDEX(B$2:B393,-1+SUMPRODUCT(MAX(ROW(E$2:E393)*(E394=E$2:E393)))))</f>
        <v>other_3</v>
      </c>
      <c r="J394" s="25">
        <f ca="1">IF(OR(E394="",E394="!!!",F394="NEW"),"",COUNTBLANK(OFFSET(A$1,,,SUMPRODUCT(MAX(ROW(E$2:E394)*(E394=E$2:E394)))))-COUNTBLANK(OFFSET(A$1,,,SUMPRODUCT(MAX(ROW(E$1:E393)*(E2=E$1:E393))))))</f>
        <v>0</v>
      </c>
      <c r="K394" s="25">
        <f ca="1">IF(OR(E394="",E394="!!!",F394="NEW"),"",INDEX(J$1:J393,SUMPRODUCT(MAX(ROW(E$1:E393)*(E394=E$1:E393)))))</f>
        <v>0</v>
      </c>
      <c r="L394" s="26"/>
    </row>
    <row r="395" spans="1:12" x14ac:dyDescent="0.3">
      <c r="A395" t="s">
        <v>386</v>
      </c>
      <c r="B395" s="20" t="s">
        <v>176</v>
      </c>
      <c r="C395" s="20" t="s">
        <v>244</v>
      </c>
      <c r="D395" s="20" t="s">
        <v>148</v>
      </c>
      <c r="E395" s="21"/>
      <c r="F395" s="22" t="s">
        <v>522</v>
      </c>
      <c r="G395" s="23"/>
      <c r="H395" s="24" t="str">
        <f t="shared" ca="1" si="41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186</v>
      </c>
      <c r="E396" s="21" t="str">
        <f t="shared" si="40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1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183</v>
      </c>
      <c r="E397" s="21" t="str">
        <f t="shared" si="40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41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363</v>
      </c>
      <c r="E398" s="21" t="str">
        <f t="shared" si="40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1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400" spans="1:12" x14ac:dyDescent="0.3">
      <c r="A400" t="s">
        <v>387</v>
      </c>
    </row>
    <row r="401" spans="1:12" x14ac:dyDescent="0.3">
      <c r="A401" t="s">
        <v>388</v>
      </c>
      <c r="E401" s="21" t="str">
        <f t="shared" ref="E401:E421" si="42">IF(D401="?OLD","!!!","")</f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ref="H401:H421" ca="1" si="43">IF(J401&lt;&gt;1,"",IF(I401="SBJ","CB","?"))</f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389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390</v>
      </c>
      <c r="E403" s="21" t="str">
        <f t="shared" si="42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194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195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168</v>
      </c>
      <c r="E406" s="21" t="s">
        <v>507</v>
      </c>
      <c r="F406" s="22" t="str">
        <f>IF(OR(E406="",E406="!!!"),"",IF(NOT(ISNA(VLOOKUP(E406,E$1:E405,1,FALSE()))),"OLD",IF(AND(E406&lt;&gt;"",E406&lt;&gt;"!!!"),"NEW","")))</f>
        <v>OLD</v>
      </c>
      <c r="G406" s="23" t="s">
        <v>530</v>
      </c>
      <c r="H406" s="24" t="str">
        <f t="shared" ca="1" si="43"/>
        <v/>
      </c>
      <c r="I406" s="25" t="str">
        <f>IF(OR(E406="",E406="!!!",F406="NEW"),"",INDEX(B$2:B405,-1+SUMPRODUCT(MAX(ROW(E$2:E405)*(E406=E$2:E405)))))</f>
        <v>other_2</v>
      </c>
      <c r="J406" s="25">
        <f ca="1">IF(OR(E406="",E406="!!!",F406="NEW"),"",COUNTBLANK(OFFSET(A$1,,,SUMPRODUCT(MAX(ROW(E$2:E406)*(E406=E$2:E406)))))-COUNTBLANK(OFFSET(A$1,,,SUMPRODUCT(MAX(ROW(E$1:E405)*(E2=E$1:E405))))))</f>
        <v>0</v>
      </c>
      <c r="K406" s="25">
        <f ca="1">IF(OR(E406="",E406="!!!",F406="NEW"),"",INDEX(J$1:J405,SUMPRODUCT(MAX(ROW(E$1:E405)*(E406=E$1:E405)))))</f>
        <v>0</v>
      </c>
      <c r="L406" s="26"/>
    </row>
    <row r="407" spans="1:12" x14ac:dyDescent="0.3">
      <c r="A407" t="s">
        <v>12</v>
      </c>
      <c r="E407" s="21" t="str">
        <f t="shared" si="42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181</v>
      </c>
      <c r="E408" s="21" t="str">
        <f t="shared" si="4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194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391</v>
      </c>
      <c r="E410" s="21" t="str">
        <f t="shared" si="42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171</v>
      </c>
      <c r="B411" s="20" t="s">
        <v>146</v>
      </c>
      <c r="C411" s="20" t="s">
        <v>156</v>
      </c>
      <c r="D411" s="20" t="s">
        <v>148</v>
      </c>
      <c r="E411" s="21" t="s">
        <v>536</v>
      </c>
      <c r="F411" s="22" t="str">
        <f>IF(OR(E411="",E411="!!!"),"",IF(NOT(ISNA(VLOOKUP(E411,E$1:E410,1,FALSE()))),"OLD",IF(AND(E411&lt;&gt;"",E411&lt;&gt;"!!!"),"NEW","")))</f>
        <v>NEW</v>
      </c>
      <c r="G411" s="23" t="s">
        <v>545</v>
      </c>
      <c r="H411" s="24" t="str">
        <f t="shared" ca="1" si="4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186</v>
      </c>
      <c r="E412" s="21" t="str">
        <f t="shared" si="4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189</v>
      </c>
      <c r="E413" s="21" t="str">
        <f t="shared" si="42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190</v>
      </c>
      <c r="E414" s="21" t="str">
        <f t="shared" si="4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392</v>
      </c>
      <c r="B415" s="20" t="s">
        <v>179</v>
      </c>
      <c r="C415" s="20" t="s">
        <v>393</v>
      </c>
      <c r="D415" s="20" t="s">
        <v>148</v>
      </c>
      <c r="E415" s="21" t="s">
        <v>505</v>
      </c>
      <c r="F415" s="22" t="str">
        <f>IF(OR(E415="",E415="!!!"),"",IF(NOT(ISNA(VLOOKUP(E415,E$1:E414,1,FALSE()))),"OLD",IF(AND(E415&lt;&gt;"",E415&lt;&gt;"!!!"),"NEW","")))</f>
        <v>OLD</v>
      </c>
      <c r="G415" s="23" t="s">
        <v>530</v>
      </c>
      <c r="H415" s="24" t="str">
        <f t="shared" ca="1" si="43"/>
        <v/>
      </c>
      <c r="I415" s="25" t="str">
        <f>IF(OR(E415="",E415="!!!",F415="NEW"),"",INDEX(B$2:B414,-1+SUMPRODUCT(MAX(ROW(E$2:E414)*(E415=E$2:E414)))))</f>
        <v>SBJ</v>
      </c>
      <c r="J415" s="25">
        <f ca="1">IF(OR(E415="",E415="!!!",F415="NEW"),"",COUNTBLANK(OFFSET(A$1,,,SUMPRODUCT(MAX(ROW(E$2:E415)*(E415=E$2:E415)))))-COUNTBLANK(OFFSET(A$1,,,SUMPRODUCT(MAX(ROW(E$1:E414)*(E2=E$1:E414))))))</f>
        <v>0</v>
      </c>
      <c r="K415" s="25">
        <f ca="1">IF(OR(E415="",E415="!!!",F415="NEW"),"",INDEX(J$1:J414,SUMPRODUCT(MAX(ROW(E$1:E414)*(E415=E$1:E414)))))</f>
        <v>0</v>
      </c>
      <c r="L415" s="26"/>
    </row>
    <row r="416" spans="1:12" x14ac:dyDescent="0.3">
      <c r="A416" t="s">
        <v>389</v>
      </c>
      <c r="E416" s="21" t="str">
        <f t="shared" si="42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3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394</v>
      </c>
      <c r="E417" s="21" t="str">
        <f t="shared" si="4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395</v>
      </c>
      <c r="E418" s="21" t="str">
        <f t="shared" si="4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396</v>
      </c>
      <c r="E419" s="21" t="str">
        <f t="shared" si="4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397</v>
      </c>
      <c r="E420" s="21" t="str">
        <f t="shared" si="42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3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183</v>
      </c>
      <c r="E421" s="21" t="str">
        <f t="shared" si="4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3" spans="1:12" x14ac:dyDescent="0.3">
      <c r="A423" t="s">
        <v>398</v>
      </c>
    </row>
    <row r="424" spans="1:12" x14ac:dyDescent="0.3">
      <c r="A424" t="s">
        <v>399</v>
      </c>
      <c r="B424" s="20" t="s">
        <v>179</v>
      </c>
      <c r="C424" s="20" t="s">
        <v>147</v>
      </c>
      <c r="D424" s="20" t="s">
        <v>148</v>
      </c>
      <c r="E424" s="21" t="s">
        <v>521</v>
      </c>
      <c r="F424" s="22" t="str">
        <f>IF(OR(E424="",E424="!!!"),"",IF(NOT(ISNA(VLOOKUP(E424,E$1:E423,1,FALSE()))),"OLD",IF(AND(E424&lt;&gt;"",E424&lt;&gt;"!!!"),"NEW","")))</f>
        <v>OLD</v>
      </c>
      <c r="G424" s="23" t="s">
        <v>530</v>
      </c>
      <c r="H424" s="24" t="str">
        <f t="shared" ref="H424:H434" ca="1" si="44">IF(J424&lt;&gt;1,"",IF(I424="SBJ","CB","?"))</f>
        <v/>
      </c>
      <c r="I424" s="25" t="str">
        <f>IF(OR(E424="",E424="!!!",F424="NEW"),"",INDEX(B$2:B423,-1+SUMPRODUCT(MAX(ROW(E$2:E423)*(E424=E$2:E423)))))</f>
        <v>other_3</v>
      </c>
      <c r="J424" s="25">
        <f ca="1">IF(OR(E424="",E424="!!!",F424="NEW"),"",COUNTBLANK(OFFSET(A$1,,,SUMPRODUCT(MAX(ROW(E$2:E424)*(E424=E$2:E424)))))-COUNTBLANK(OFFSET(A$1,,,SUMPRODUCT(MAX(ROW(E$1:E423)*(E2=E$1:E423))))))</f>
        <v>0</v>
      </c>
      <c r="K424" s="25" t="str">
        <f ca="1">IF(OR(E424="",E424="!!!",F424="NEW"),"",INDEX(J$1:J423,SUMPRODUCT(MAX(ROW(E$1:E423)*(E424=E$1:E423)))))</f>
        <v/>
      </c>
      <c r="L424" s="26"/>
    </row>
    <row r="425" spans="1:12" x14ac:dyDescent="0.3">
      <c r="A425" t="s">
        <v>211</v>
      </c>
      <c r="E425" s="21" t="str">
        <f t="shared" ref="E425:E434" si="45">IF(D425="?OLD","!!!","")</f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4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170</v>
      </c>
      <c r="E426" s="21" t="str">
        <f t="shared" si="45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4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400</v>
      </c>
      <c r="E427" s="21" t="str">
        <f t="shared" si="45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4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171</v>
      </c>
      <c r="B428" s="20" t="s">
        <v>151</v>
      </c>
      <c r="C428" s="20" t="s">
        <v>156</v>
      </c>
      <c r="D428" s="20" t="s">
        <v>148</v>
      </c>
      <c r="E428" s="21"/>
      <c r="F428" s="22" t="s">
        <v>522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4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211</v>
      </c>
      <c r="E429" s="21" t="str">
        <f t="shared" si="45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4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175</v>
      </c>
      <c r="E430" s="21" t="str">
        <f t="shared" si="45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4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287</v>
      </c>
      <c r="B431" s="20" t="s">
        <v>188</v>
      </c>
      <c r="C431" s="20" t="s">
        <v>161</v>
      </c>
      <c r="E431" s="21" t="s">
        <v>505</v>
      </c>
      <c r="F431" s="22" t="str">
        <f>IF(OR(E431="",E431="!!!"),"",IF(NOT(ISNA(VLOOKUP(E431,E$1:E430,1,FALSE()))),"OLD",IF(AND(E431&lt;&gt;"",E431&lt;&gt;"!!!"),"NEW","")))</f>
        <v>OLD</v>
      </c>
      <c r="G431" s="23" t="s">
        <v>546</v>
      </c>
      <c r="H431" s="24" t="s">
        <v>140</v>
      </c>
      <c r="I431" s="25" t="str">
        <f>IF(OR(E431="",E431="!!!",F431="NEW"),"",INDEX(B$2:B430,-1+SUMPRODUCT(MAX(ROW(E$2:E430)*(E431=E$2:E430)))))</f>
        <v>SBJ</v>
      </c>
      <c r="J431" s="25">
        <f ca="1">IF(OR(E431="",E431="!!!",F431="NEW"),"",COUNTBLANK(OFFSET(A$1,,,SUMPRODUCT(MAX(ROW(E$2:E431)*(E431=E$2:E431)))))-COUNTBLANK(OFFSET(A$1,,,SUMPRODUCT(MAX(ROW(E$1:E430)*(E2=E$1:E430))))))</f>
        <v>0</v>
      </c>
      <c r="K431" s="25">
        <f ca="1">IF(OR(E431="",E431="!!!",F431="NEW"),"",INDEX(J$1:J430,SUMPRODUCT(MAX(ROW(E$1:E430)*(E431=E$1:E430)))))</f>
        <v>0</v>
      </c>
      <c r="L431" s="26" t="s">
        <v>493</v>
      </c>
    </row>
    <row r="432" spans="1:12" x14ac:dyDescent="0.3">
      <c r="A432" t="s">
        <v>389</v>
      </c>
      <c r="E432" s="21" t="str">
        <f t="shared" si="45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4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98</v>
      </c>
      <c r="E433" s="21" t="str">
        <f t="shared" si="45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4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183</v>
      </c>
      <c r="E434" s="21" t="str">
        <f t="shared" si="45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4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E437" s="21" t="str">
        <f t="shared" ref="E437:E457" si="46">IF(D437="?OLD","!!!","")</f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57" ca="1" si="47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175</v>
      </c>
      <c r="E438" s="21" t="str">
        <f t="shared" si="4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287</v>
      </c>
      <c r="B439" s="20" t="s">
        <v>188</v>
      </c>
      <c r="C439" s="20" t="s">
        <v>161</v>
      </c>
      <c r="E439" s="21" t="s">
        <v>505</v>
      </c>
      <c r="F439" s="22" t="str">
        <f>IF(OR(E439="",E439="!!!"),"",IF(NOT(ISNA(VLOOKUP(E439,E$1:E438,1,FALSE()))),"OLD",IF(AND(E439&lt;&gt;"",E439&lt;&gt;"!!!"),"NEW","")))</f>
        <v>OLD</v>
      </c>
      <c r="G439" s="23" t="s">
        <v>546</v>
      </c>
      <c r="H439" s="24" t="s">
        <v>140</v>
      </c>
      <c r="I439" s="25" t="str">
        <f>IF(OR(E439="",E439="!!!",F439="NEW"),"",INDEX(B$2:B438,-1+SUMPRODUCT(MAX(ROW(E$2:E438)*(E439=E$2:E438)))))</f>
        <v>OBJ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 t="s">
        <v>493</v>
      </c>
    </row>
    <row r="440" spans="1:12" x14ac:dyDescent="0.3">
      <c r="A440" t="s">
        <v>403</v>
      </c>
      <c r="E440" s="21" t="str">
        <f t="shared" si="4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189</v>
      </c>
      <c r="E441" s="21" t="str">
        <f t="shared" si="46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340</v>
      </c>
      <c r="B442" s="20" t="s">
        <v>179</v>
      </c>
      <c r="C442" s="20" t="s">
        <v>147</v>
      </c>
      <c r="D442" s="20" t="s">
        <v>148</v>
      </c>
      <c r="E442" s="21" t="s">
        <v>514</v>
      </c>
      <c r="F442" s="22" t="str">
        <f>IF(OR(E442="",E442="!!!"),"",IF(NOT(ISNA(VLOOKUP(E442,E$1:E441,1,FALSE()))),"OLD",IF(AND(E442&lt;&gt;"",E442&lt;&gt;"!!!"),"NEW","")))</f>
        <v>OLD</v>
      </c>
      <c r="G442" s="23" t="s">
        <v>530</v>
      </c>
      <c r="H442" s="24" t="str">
        <f t="shared" ca="1" si="47"/>
        <v/>
      </c>
      <c r="I442" s="25" t="str">
        <f>IF(OR(E442="",E442="!!!",F442="NEW"),"",INDEX(B$2:B441,-1+SUMPRODUCT(MAX(ROW(E$2:E441)*(E442=E$2:E441)))))</f>
        <v>SBJ_2</v>
      </c>
      <c r="J442" s="25">
        <f ca="1">IF(OR(E442="",E442="!!!",F442="NEW"),"",COUNTBLANK(OFFSET(A$1,,,SUMPRODUCT(MAX(ROW(E$2:E442)*(E442=E$2:E442)))))-COUNTBLANK(OFFSET(A$1,,,SUMPRODUCT(MAX(ROW(E$1:E441)*(E2=E$1:E441))))))</f>
        <v>0</v>
      </c>
      <c r="K442" s="25">
        <f ca="1">IF(OR(E442="",E442="!!!",F442="NEW"),"",INDEX(J$1:J441,SUMPRODUCT(MAX(ROW(E$1:E441)*(E442=E$1:E441)))))</f>
        <v>0</v>
      </c>
      <c r="L442" s="26"/>
    </row>
    <row r="443" spans="1:12" x14ac:dyDescent="0.3">
      <c r="A443" t="s">
        <v>389</v>
      </c>
      <c r="E443" s="21" t="str">
        <f t="shared" si="46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317</v>
      </c>
      <c r="E444" s="21" t="str">
        <f t="shared" si="46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154</v>
      </c>
      <c r="E445" s="21" t="str">
        <f t="shared" si="4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391</v>
      </c>
      <c r="E446" s="21" t="str">
        <f t="shared" si="4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404</v>
      </c>
      <c r="B447" s="20" t="s">
        <v>146</v>
      </c>
      <c r="C447" s="20" t="s">
        <v>156</v>
      </c>
      <c r="D447" s="20" t="s">
        <v>148</v>
      </c>
      <c r="E447" s="21" t="s">
        <v>537</v>
      </c>
      <c r="F447" s="22" t="str">
        <f>IF(OR(E447="",E447="!!!"),"",IF(NOT(ISNA(VLOOKUP(E447,E$1:E446,1,FALSE()))),"OLD",IF(AND(E447&lt;&gt;"",E447&lt;&gt;"!!!"),"NEW","")))</f>
        <v>NEW</v>
      </c>
      <c r="G447" s="23" t="s">
        <v>530</v>
      </c>
      <c r="H447" s="24" t="str">
        <f t="shared" ca="1" si="4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405</v>
      </c>
      <c r="B448" s="20" t="s">
        <v>151</v>
      </c>
      <c r="C448" s="20" t="s">
        <v>147</v>
      </c>
      <c r="D448" s="20" t="s">
        <v>148</v>
      </c>
      <c r="E448" s="21"/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 t="s">
        <v>486</v>
      </c>
    </row>
    <row r="449" spans="1:12" x14ac:dyDescent="0.3">
      <c r="A449" t="s">
        <v>12</v>
      </c>
      <c r="E449" s="21" t="str">
        <f t="shared" si="4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406</v>
      </c>
      <c r="E450" s="21" t="str">
        <f t="shared" si="4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407</v>
      </c>
      <c r="E451" s="21" t="str">
        <f t="shared" si="4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390</v>
      </c>
      <c r="E452" s="21" t="str">
        <f t="shared" si="4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408</v>
      </c>
      <c r="E453" s="21" t="str">
        <f t="shared" si="4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372</v>
      </c>
      <c r="B454" s="20" t="s">
        <v>165</v>
      </c>
      <c r="C454" s="20" t="s">
        <v>169</v>
      </c>
      <c r="E454" s="21" t="s">
        <v>523</v>
      </c>
      <c r="F454" s="22" t="str">
        <f>IF(OR(E454="",E454="!!!"),"",IF(NOT(ISNA(VLOOKUP(E454,E$1:E453,1,FALSE()))),"OLD",IF(AND(E454&lt;&gt;"",E454&lt;&gt;"!!!"),"NEW","")))</f>
        <v>OLD</v>
      </c>
      <c r="G454" s="23" t="s">
        <v>530</v>
      </c>
      <c r="H454" s="24" t="str">
        <f t="shared" ca="1" si="47"/>
        <v/>
      </c>
      <c r="I454" s="25" t="str">
        <f>IF(OR(E454="",E454="!!!",F454="NEW"),"",INDEX(B$2:B453,-1+SUMPRODUCT(MAX(ROW(E$2:E453)*(E454=E$2:E453)))))</f>
        <v>OBJ_5</v>
      </c>
      <c r="J454" s="25">
        <f ca="1">IF(OR(E454="",E454="!!!",F454="NEW"),"",COUNTBLANK(OFFSET(A$1,,,SUMPRODUCT(MAX(ROW(E$2:E454)*(E454=E$2:E454)))))-COUNTBLANK(OFFSET(A$1,,,SUMPRODUCT(MAX(ROW(E$1:E453)*(E2=E$1:E453))))))</f>
        <v>0</v>
      </c>
      <c r="K454" s="25" t="str">
        <f ca="1">IF(OR(E454="",E454="!!!",F454="NEW"),"",INDEX(J$1:J453,SUMPRODUCT(MAX(ROW(E$1:E453)*(E454=E$1:E453)))))</f>
        <v/>
      </c>
      <c r="L454" s="26" t="s">
        <v>489</v>
      </c>
    </row>
    <row r="455" spans="1:12" x14ac:dyDescent="0.3">
      <c r="A455" t="s">
        <v>409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102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183</v>
      </c>
      <c r="E457" s="21" t="str">
        <f t="shared" si="46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7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9" spans="1:12" x14ac:dyDescent="0.3">
      <c r="A459" t="s">
        <v>410</v>
      </c>
    </row>
    <row r="460" spans="1:12" x14ac:dyDescent="0.3">
      <c r="A460" t="s">
        <v>298</v>
      </c>
      <c r="B460" s="20" t="s">
        <v>179</v>
      </c>
      <c r="E460" s="21" t="s">
        <v>523</v>
      </c>
      <c r="F460" s="22" t="str">
        <f>IF(OR(E460="",E460="!!!"),"",IF(NOT(ISNA(VLOOKUP(E460,E$1:E459,1,FALSE()))),"OLD",IF(AND(E460&lt;&gt;"",E460&lt;&gt;"!!!"),"NEW","")))</f>
        <v>OLD</v>
      </c>
      <c r="G460" s="23" t="s">
        <v>547</v>
      </c>
      <c r="H460" s="24" t="s">
        <v>140</v>
      </c>
      <c r="I460" s="25" t="str">
        <f>IF(OR(E460="",E460="!!!",F460="NEW"),"",INDEX(B$2:B459,-1+SUMPRODUCT(MAX(ROW(E$2:E459)*(E460=E$2:E459)))))</f>
        <v>other_3</v>
      </c>
      <c r="J460" s="25">
        <f ca="1">IF(OR(E460="",E460="!!!",F460="NEW"),"",COUNTBLANK(OFFSET(A$1,,,SUMPRODUCT(MAX(ROW(E$2:E460)*(E460=E$2:E460)))))-COUNTBLANK(OFFSET(A$1,,,SUMPRODUCT(MAX(ROW(E$1:E459)*(E2=E$1:E459))))))</f>
        <v>0</v>
      </c>
      <c r="K460" s="25">
        <f ca="1">IF(OR(E460="",E460="!!!",F460="NEW"),"",INDEX(J$1:J459,SUMPRODUCT(MAX(ROW(E$1:E459)*(E460=E$1:E459)))))</f>
        <v>0</v>
      </c>
      <c r="L460" s="26"/>
    </row>
    <row r="461" spans="1:12" x14ac:dyDescent="0.3">
      <c r="A461" t="s">
        <v>411</v>
      </c>
      <c r="E461" s="21" t="str">
        <f t="shared" ref="E461:E471" si="48">IF(D461="?OLD","!!!","")</f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ref="H461:H471" ca="1" si="49">IF(J461&lt;&gt;1,"",IF(I461="SBJ","CB","?"))</f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412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181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409</v>
      </c>
      <c r="E464" s="21" t="str">
        <f t="shared" si="4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413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294</v>
      </c>
      <c r="E466" s="21" t="str">
        <f t="shared" si="4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211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362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316</v>
      </c>
      <c r="E469" s="21" t="str">
        <f t="shared" si="4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178</v>
      </c>
      <c r="B470" s="20" t="s">
        <v>176</v>
      </c>
      <c r="C470" s="20" t="s">
        <v>147</v>
      </c>
      <c r="D470" s="20" t="s">
        <v>148</v>
      </c>
      <c r="E470" s="21" t="s">
        <v>482</v>
      </c>
      <c r="F470" s="22" t="str">
        <f>IF(OR(E470="",E470="!!!"),"",IF(NOT(ISNA(VLOOKUP(E470,E$1:E469,1,FALSE()))),"OLD",IF(AND(E470&lt;&gt;"",E470&lt;&gt;"!!!"),"NEW","")))</f>
        <v>OLD</v>
      </c>
      <c r="G470" s="23" t="s">
        <v>530</v>
      </c>
      <c r="H470" s="24" t="str">
        <f t="shared" ca="1" si="49"/>
        <v/>
      </c>
      <c r="I470" s="25" t="str">
        <f>IF(OR(E470="",E470="!!!",F470="NEW"),"",INDEX(B$2:B469,-1+SUMPRODUCT(MAX(ROW(E$2:E469)*(E470=E$2:E469)))))</f>
        <v>SBJ</v>
      </c>
      <c r="J470" s="25">
        <f ca="1">IF(OR(E470="",E470="!!!",F470="NEW"),"",COUNTBLANK(OFFSET(A$1,,,SUMPRODUCT(MAX(ROW(E$2:E470)*(E470=E$2:E470)))))-COUNTBLANK(OFFSET(A$1,,,SUMPRODUCT(MAX(ROW(E$1:E469)*(E2=E$1:E469))))))</f>
        <v>0</v>
      </c>
      <c r="K470" s="25">
        <f ca="1">IF(OR(E470="",E470="!!!",F470="NEW"),"",INDEX(J$1:J469,SUMPRODUCT(MAX(ROW(E$1:E469)*(E470=E$1:E469)))))</f>
        <v>0</v>
      </c>
      <c r="L470" s="26"/>
    </row>
    <row r="471" spans="1:12" x14ac:dyDescent="0.3">
      <c r="A471" t="s">
        <v>183</v>
      </c>
      <c r="E471" s="21" t="str">
        <f t="shared" si="4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414</v>
      </c>
    </row>
    <row r="474" spans="1:12" x14ac:dyDescent="0.3">
      <c r="A474" t="s">
        <v>217</v>
      </c>
      <c r="E474" s="21" t="str">
        <f t="shared" ref="E474:E485" si="50">IF(D474="?OLD","!!!","")</f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485" ca="1" si="51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415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416</v>
      </c>
      <c r="B476" s="20" t="s">
        <v>179</v>
      </c>
      <c r="C476" s="20" t="s">
        <v>156</v>
      </c>
      <c r="D476" s="20" t="s">
        <v>148</v>
      </c>
      <c r="E476" s="21" t="s">
        <v>524</v>
      </c>
      <c r="F476" s="22" t="str">
        <f>IF(OR(E476="",E476="!!!"),"",IF(NOT(ISNA(VLOOKUP(E476,E$1:E475,1,FALSE()))),"OLD",IF(AND(E476&lt;&gt;"",E476&lt;&gt;"!!!"),"NEW","")))</f>
        <v>NEW</v>
      </c>
      <c r="G476" s="23" t="s">
        <v>530</v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317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417</v>
      </c>
      <c r="E478" s="21" t="str">
        <f t="shared" si="5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191</v>
      </c>
      <c r="B479" s="20" t="s">
        <v>151</v>
      </c>
      <c r="C479" s="20" t="s">
        <v>147</v>
      </c>
      <c r="D479" s="20" t="s">
        <v>148</v>
      </c>
      <c r="E479" s="21"/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 t="s">
        <v>486</v>
      </c>
    </row>
    <row r="480" spans="1:12" x14ac:dyDescent="0.3">
      <c r="A480" t="s">
        <v>12</v>
      </c>
      <c r="E480" s="21" t="str">
        <f t="shared" si="50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418</v>
      </c>
      <c r="E481" s="21" t="str">
        <f t="shared" si="50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51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419</v>
      </c>
      <c r="E482" s="21" t="str">
        <f t="shared" si="5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209</v>
      </c>
      <c r="E483" s="21" t="str">
        <f t="shared" si="50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420</v>
      </c>
      <c r="B484" s="20" t="s">
        <v>146</v>
      </c>
      <c r="C484" s="20" t="s">
        <v>201</v>
      </c>
      <c r="E484" s="21" t="str">
        <f t="shared" si="5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183</v>
      </c>
      <c r="E485" s="21" t="str">
        <f t="shared" si="5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421</v>
      </c>
    </row>
    <row r="488" spans="1:12" x14ac:dyDescent="0.3">
      <c r="A488" t="s">
        <v>422</v>
      </c>
      <c r="B488" s="20" t="s">
        <v>188</v>
      </c>
      <c r="C488" s="20" t="s">
        <v>244</v>
      </c>
      <c r="D488" s="20" t="s">
        <v>148</v>
      </c>
      <c r="E488" s="21" t="s">
        <v>524</v>
      </c>
      <c r="F488" s="22" t="str">
        <f>IF(OR(E488="",E488="!!!"),"",IF(NOT(ISNA(VLOOKUP(E488,E$1:E487,1,FALSE()))),"OLD",IF(AND(E488&lt;&gt;"",E488&lt;&gt;"!!!"),"NEW","")))</f>
        <v>OLD</v>
      </c>
      <c r="G488" s="23" t="s">
        <v>546</v>
      </c>
      <c r="H488" s="24" t="s">
        <v>140</v>
      </c>
      <c r="I488" s="25" t="str">
        <f>IF(OR(E488="",E488="!!!",F488="NEW"),"",INDEX(B$2:B487,-1+SUMPRODUCT(MAX(ROW(E$2:E487)*(E488=E$2:E487)))))</f>
        <v>SBJ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 t="str">
        <f ca="1">IF(OR(E488="",E488="!!!",F488="NEW"),"",INDEX(J$1:J487,SUMPRODUCT(MAX(ROW(E$1:E487)*(E488=E$1:E487)))))</f>
        <v/>
      </c>
      <c r="L488" s="26"/>
    </row>
    <row r="489" spans="1:12" x14ac:dyDescent="0.3">
      <c r="A489" t="s">
        <v>222</v>
      </c>
      <c r="E489" s="21" t="str">
        <f t="shared" ref="E489:E497" si="52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7" ca="1" si="53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283</v>
      </c>
      <c r="B490" s="20" t="s">
        <v>179</v>
      </c>
      <c r="C490" s="20" t="s">
        <v>284</v>
      </c>
      <c r="D490" s="20" t="s">
        <v>148</v>
      </c>
      <c r="E490" s="21" t="s">
        <v>482</v>
      </c>
      <c r="F490" s="22" t="str">
        <f>IF(OR(E490="",E490="!!!"),"",IF(NOT(ISNA(VLOOKUP(E490,E$1:E489,1,FALSE()))),"OLD",IF(AND(E490&lt;&gt;"",E490&lt;&gt;"!!!"),"NEW","")))</f>
        <v>OLD</v>
      </c>
      <c r="G490" s="23" t="s">
        <v>547</v>
      </c>
      <c r="H490" s="24" t="str">
        <f t="shared" ca="1" si="53"/>
        <v/>
      </c>
      <c r="I490" s="25" t="str">
        <f>IF(OR(E490="",E490="!!!",F490="NEW"),"",INDEX(B$2:B489,-1+SUMPRODUCT(MAX(ROW(E$2:E489)*(E490=E$2:E489)))))</f>
        <v>SBJ_2</v>
      </c>
      <c r="J490" s="25">
        <f ca="1">IF(OR(E490="",E490="!!!",F490="NEW"),"",COUNTBLANK(OFFSET(A$1,,,SUMPRODUCT(MAX(ROW(E$2:E490)*(E490=E$2:E490)))))-COUNTBLANK(OFFSET(A$1,,,SUMPRODUCT(MAX(ROW(E$1:E489)*(E2=E$1:E489))))))</f>
        <v>0</v>
      </c>
      <c r="K490" s="25">
        <f ca="1">IF(OR(E490="",E490="!!!",F490="NEW"),"",INDEX(J$1:J489,SUMPRODUCT(MAX(ROW(E$1:E489)*(E490=E$1:E489)))))</f>
        <v>0</v>
      </c>
      <c r="L490" s="26"/>
    </row>
    <row r="491" spans="1:12" x14ac:dyDescent="0.3">
      <c r="A491" t="s">
        <v>423</v>
      </c>
      <c r="E491" s="21" t="str">
        <f t="shared" si="52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53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65</v>
      </c>
      <c r="E492" s="21" t="str">
        <f t="shared" si="52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3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418</v>
      </c>
      <c r="B493" s="20" t="s">
        <v>146</v>
      </c>
      <c r="C493" s="20" t="s">
        <v>424</v>
      </c>
      <c r="E493" s="21" t="str">
        <f t="shared" si="52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3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425</v>
      </c>
      <c r="E494" s="21" t="str">
        <f t="shared" si="52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53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426</v>
      </c>
      <c r="B495" s="20" t="s">
        <v>146</v>
      </c>
      <c r="C495" s="20" t="s">
        <v>169</v>
      </c>
      <c r="E495" s="21" t="str">
        <f t="shared" si="52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3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114</v>
      </c>
      <c r="E496" s="21" t="str">
        <f t="shared" si="52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3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183</v>
      </c>
      <c r="E497" s="21" t="str">
        <f t="shared" si="52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3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9" spans="1:12" x14ac:dyDescent="0.3">
      <c r="A499" t="s">
        <v>427</v>
      </c>
    </row>
    <row r="500" spans="1:12" x14ac:dyDescent="0.3">
      <c r="A500" t="s">
        <v>428</v>
      </c>
      <c r="B500" s="20" t="s">
        <v>429</v>
      </c>
      <c r="C500" s="20" t="s">
        <v>147</v>
      </c>
      <c r="D500" s="20" t="s">
        <v>148</v>
      </c>
      <c r="E500" s="21"/>
      <c r="F500" s="22" t="s">
        <v>146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ref="H500:H531" ca="1" si="54">IF(J500&lt;&gt;1,"",IF(I500="SBJ","CB","?"))</f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 t="s">
        <v>543</v>
      </c>
    </row>
    <row r="501" spans="1:12" x14ac:dyDescent="0.3">
      <c r="A501" t="s">
        <v>182</v>
      </c>
      <c r="E501" s="21" t="s">
        <v>483</v>
      </c>
      <c r="F501" s="22" t="str">
        <f>IF(OR(E501="",E501="!!!"),"",IF(NOT(ISNA(VLOOKUP(E501,E$1:E500,1,FALSE()))),"OLD",IF(AND(E501&lt;&gt;"",E501&lt;&gt;"!!!"),"NEW","")))</f>
        <v>OLD</v>
      </c>
      <c r="G501" s="23" t="s">
        <v>530</v>
      </c>
      <c r="H501" s="24" t="str">
        <f t="shared" ca="1" si="54"/>
        <v/>
      </c>
      <c r="I501" s="25" t="str">
        <f>IF(OR(E501="",E501="!!!",F501="NEW"),"",INDEX(B$2:B500,-1+SUMPRODUCT(MAX(ROW(E$2:E500)*(E501=E$2:E500)))))</f>
        <v>SBJ_2</v>
      </c>
      <c r="J501" s="25">
        <f ca="1">IF(OR(E501="",E501="!!!",F501="NEW"),"",COUNTBLANK(OFFSET(A$1,,,SUMPRODUCT(MAX(ROW(E$2:E501)*(E501=E$2:E501)))))-COUNTBLANK(OFFSET(A$1,,,SUMPRODUCT(MAX(ROW(E$1:E500)*(E2=E$1:E500))))))</f>
        <v>0</v>
      </c>
      <c r="K501" s="25">
        <f ca="1">IF(OR(E501="",E501="!!!",F501="NEW"),"",INDEX(J$1:J500,SUMPRODUCT(MAX(ROW(E$1:E500)*(E501=E$1:E500)))))</f>
        <v>0</v>
      </c>
      <c r="L501" s="26" t="s">
        <v>493</v>
      </c>
    </row>
    <row r="502" spans="1:12" x14ac:dyDescent="0.3">
      <c r="A502" t="s">
        <v>153</v>
      </c>
      <c r="E502" s="21" t="str">
        <f t="shared" ref="E502:E531" si="55">IF(D502="?OLD","!!!","")</f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4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430</v>
      </c>
      <c r="B503" s="20" t="s">
        <v>160</v>
      </c>
      <c r="C503" s="20" t="s">
        <v>431</v>
      </c>
      <c r="D503" s="20" t="s">
        <v>148</v>
      </c>
      <c r="E503" s="21"/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4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 t="s">
        <v>544</v>
      </c>
    </row>
    <row r="504" spans="1:12" x14ac:dyDescent="0.3">
      <c r="A504" t="s">
        <v>432</v>
      </c>
      <c r="B504" s="20" t="s">
        <v>165</v>
      </c>
      <c r="C504" s="20" t="s">
        <v>433</v>
      </c>
      <c r="D504" s="20" t="s">
        <v>148</v>
      </c>
      <c r="E504" s="21"/>
      <c r="F504" s="22" t="s">
        <v>497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4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434</v>
      </c>
      <c r="E505" s="21" t="str">
        <f t="shared" si="55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4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222</v>
      </c>
      <c r="E506" s="21" t="str">
        <f t="shared" si="55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4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211</v>
      </c>
      <c r="E507" s="21" t="str">
        <f t="shared" si="55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54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435</v>
      </c>
      <c r="E508" s="21" t="str">
        <f t="shared" si="55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4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389</v>
      </c>
      <c r="E509" s="21" t="str">
        <f t="shared" si="55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4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250</v>
      </c>
      <c r="E510" s="21" t="str">
        <f t="shared" si="55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4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436</v>
      </c>
      <c r="E511" s="21" t="str">
        <f t="shared" si="55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4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157</v>
      </c>
      <c r="E512" s="21" t="str">
        <f t="shared" si="55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4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437</v>
      </c>
      <c r="E513" s="21" t="str">
        <f t="shared" si="55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4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242</v>
      </c>
      <c r="E514" s="21" t="str">
        <f t="shared" si="55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4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243</v>
      </c>
      <c r="B515" s="20" t="s">
        <v>179</v>
      </c>
      <c r="C515" s="20" t="s">
        <v>244</v>
      </c>
      <c r="D515" s="20" t="s">
        <v>148</v>
      </c>
      <c r="E515" s="21" t="s">
        <v>483</v>
      </c>
      <c r="F515" s="22" t="str">
        <f>IF(OR(E515="",E515="!!!"),"",IF(NOT(ISNA(VLOOKUP(E515,E$1:E514,1,FALSE()))),"OLD",IF(AND(E515&lt;&gt;"",E515&lt;&gt;"!!!"),"NEW","")))</f>
        <v>OLD</v>
      </c>
      <c r="G515" s="23" t="s">
        <v>546</v>
      </c>
      <c r="H515" s="24" t="str">
        <f t="shared" ca="1" si="54"/>
        <v/>
      </c>
      <c r="I515" s="25">
        <f>IF(OR(E515="",E515="!!!",F515="NEW"),"",INDEX(B$2:B514,-1+SUMPRODUCT(MAX(ROW(E$2:E514)*(E515=E$2:E514)))))</f>
        <v>0</v>
      </c>
      <c r="J515" s="25">
        <f ca="1">IF(OR(E515="",E515="!!!",F515="NEW"),"",COUNTBLANK(OFFSET(A$1,,,SUMPRODUCT(MAX(ROW(E$2:E515)*(E515=E$2:E515)))))-COUNTBLANK(OFFSET(A$1,,,SUMPRODUCT(MAX(ROW(E$1:E514)*(E2=E$1:E514))))))</f>
        <v>0</v>
      </c>
      <c r="K515" s="25">
        <f ca="1">IF(OR(E515="",E515="!!!",F515="NEW"),"",INDEX(J$1:J514,SUMPRODUCT(MAX(ROW(E$1:E514)*(E515=E$1:E514)))))</f>
        <v>0</v>
      </c>
      <c r="L515" s="26"/>
    </row>
    <row r="516" spans="1:12" x14ac:dyDescent="0.3">
      <c r="A516" t="s">
        <v>157</v>
      </c>
      <c r="E516" s="21" t="str">
        <f t="shared" si="55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4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217</v>
      </c>
      <c r="E517" s="21" t="str">
        <f t="shared" si="55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4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416</v>
      </c>
      <c r="B518" s="20" t="s">
        <v>176</v>
      </c>
      <c r="C518" s="20" t="s">
        <v>156</v>
      </c>
      <c r="D518" s="20" t="s">
        <v>148</v>
      </c>
      <c r="E518" s="21" t="s">
        <v>524</v>
      </c>
      <c r="F518" s="22" t="str">
        <f>IF(OR(E518="",E518="!!!"),"",IF(NOT(ISNA(VLOOKUP(E518,E$1:E517,1,FALSE()))),"OLD",IF(AND(E518&lt;&gt;"",E518&lt;&gt;"!!!"),"NEW","")))</f>
        <v>OLD</v>
      </c>
      <c r="G518" s="23" t="s">
        <v>547</v>
      </c>
      <c r="H518" s="24" t="s">
        <v>140</v>
      </c>
      <c r="I518" s="25" t="str">
        <f>IF(OR(E518="",E518="!!!",F518="NEW"),"",INDEX(B$2:B517,-1+SUMPRODUCT(MAX(ROW(E$2:E517)*(E518=E$2:E517)))))</f>
        <v>OBJ</v>
      </c>
      <c r="J518" s="25">
        <f ca="1">IF(OR(E518="",E518="!!!",F518="NEW"),"",COUNTBLANK(OFFSET(A$1,,,SUMPRODUCT(MAX(ROW(E$2:E518)*(E518=E$2:E518)))))-COUNTBLANK(OFFSET(A$1,,,SUMPRODUCT(MAX(ROW(E$1:E517)*(E2=E$1:E517))))))</f>
        <v>0</v>
      </c>
      <c r="K518" s="25">
        <f ca="1">IF(OR(E518="",E518="!!!",F518="NEW"),"",INDEX(J$1:J517,SUMPRODUCT(MAX(ROW(E$1:E517)*(E518=E$1:E517)))))</f>
        <v>0</v>
      </c>
      <c r="L518" s="26"/>
    </row>
    <row r="519" spans="1:12" x14ac:dyDescent="0.3">
      <c r="A519" t="s">
        <v>438</v>
      </c>
      <c r="E519" s="21" t="str">
        <f t="shared" si="55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54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439</v>
      </c>
      <c r="E520" s="21" t="str">
        <f t="shared" si="55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54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211</v>
      </c>
      <c r="E521" s="21" t="str">
        <f t="shared" si="55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54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412</v>
      </c>
      <c r="E522" s="21" t="str">
        <f t="shared" si="55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4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242</v>
      </c>
      <c r="E523" s="21" t="str">
        <f t="shared" si="55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4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243</v>
      </c>
      <c r="B524" s="20" t="s">
        <v>176</v>
      </c>
      <c r="C524" s="20" t="s">
        <v>244</v>
      </c>
      <c r="D524" s="20" t="s">
        <v>148</v>
      </c>
      <c r="E524" s="21" t="s">
        <v>483</v>
      </c>
      <c r="F524" s="22" t="str">
        <f>IF(OR(E524="",E524="!!!"),"",IF(NOT(ISNA(VLOOKUP(E524,E$1:E523,1,FALSE()))),"OLD",IF(AND(E524&lt;&gt;"",E524&lt;&gt;"!!!"),"NEW","")))</f>
        <v>OLD</v>
      </c>
      <c r="G524" s="23" t="s">
        <v>546</v>
      </c>
      <c r="H524" s="24" t="str">
        <f t="shared" ca="1" si="54"/>
        <v/>
      </c>
      <c r="I524" s="25" t="str">
        <f>IF(OR(E524="",E524="!!!",F524="NEW"),"",INDEX(B$2:B523,-1+SUMPRODUCT(MAX(ROW(E$2:E523)*(E524=E$2:E523)))))</f>
        <v>SBJ</v>
      </c>
      <c r="J524" s="25">
        <f ca="1">IF(OR(E524="",E524="!!!",F524="NEW"),"",COUNTBLANK(OFFSET(A$1,,,SUMPRODUCT(MAX(ROW(E$2:E524)*(E524=E$2:E524)))))-COUNTBLANK(OFFSET(A$1,,,SUMPRODUCT(MAX(ROW(E$1:E523)*(E2=E$1:E523))))))</f>
        <v>0</v>
      </c>
      <c r="K524" s="25">
        <f ca="1">IF(OR(E524="",E524="!!!",F524="NEW"),"",INDEX(J$1:J523,SUMPRODUCT(MAX(ROW(E$1:E523)*(E524=E$1:E523)))))</f>
        <v>0</v>
      </c>
      <c r="L524" s="26"/>
    </row>
    <row r="525" spans="1:12" x14ac:dyDescent="0.3">
      <c r="A525" t="s">
        <v>211</v>
      </c>
      <c r="E525" s="21" t="str">
        <f t="shared" si="55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4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243</v>
      </c>
      <c r="B526" s="20" t="s">
        <v>176</v>
      </c>
      <c r="C526" s="20" t="s">
        <v>244</v>
      </c>
      <c r="D526" s="20" t="s">
        <v>148</v>
      </c>
      <c r="E526" s="21" t="s">
        <v>524</v>
      </c>
      <c r="F526" s="22" t="str">
        <f>IF(OR(E526="",E526="!!!"),"",IF(NOT(ISNA(VLOOKUP(E526,E$1:E525,1,FALSE()))),"OLD",IF(AND(E526&lt;&gt;"",E526&lt;&gt;"!!!"),"NEW","")))</f>
        <v>OLD</v>
      </c>
      <c r="G526" s="23" t="s">
        <v>546</v>
      </c>
      <c r="H526" s="24" t="str">
        <f t="shared" ca="1" si="54"/>
        <v/>
      </c>
      <c r="I526" s="25" t="str">
        <f>IF(OR(E526="",E526="!!!",F526="NEW"),"",INDEX(B$2:B525,-1+SUMPRODUCT(MAX(ROW(E$2:E525)*(E526=E$2:E525)))))</f>
        <v>SBJ_2</v>
      </c>
      <c r="J526" s="25">
        <f ca="1">IF(OR(E526="",E526="!!!",F526="NEW"),"",COUNTBLANK(OFFSET(A$1,,,SUMPRODUCT(MAX(ROW(E$2:E526)*(E526=E$2:E526)))))-COUNTBLANK(OFFSET(A$1,,,SUMPRODUCT(MAX(ROW(E$1:E525)*(E2=E$1:E525))))))</f>
        <v>0</v>
      </c>
      <c r="K526" s="25">
        <f ca="1">IF(OR(E526="",E526="!!!",F526="NEW"),"",INDEX(J$1:J525,SUMPRODUCT(MAX(ROW(E$1:E525)*(E526=E$1:E525)))))</f>
        <v>0</v>
      </c>
      <c r="L526" s="26"/>
    </row>
    <row r="527" spans="1:12" x14ac:dyDescent="0.3">
      <c r="A527" t="s">
        <v>440</v>
      </c>
      <c r="E527" s="21" t="str">
        <f t="shared" si="55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4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389</v>
      </c>
      <c r="E528" s="21" t="str">
        <f t="shared" si="55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4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441</v>
      </c>
      <c r="E529" s="21" t="str">
        <f t="shared" si="55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4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294</v>
      </c>
      <c r="E530" s="21" t="str">
        <f t="shared" si="55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4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183</v>
      </c>
      <c r="E531" s="21" t="str">
        <f t="shared" si="55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4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3" spans="1:12" x14ac:dyDescent="0.3">
      <c r="A533" t="s">
        <v>442</v>
      </c>
    </row>
    <row r="534" spans="1:12" x14ac:dyDescent="0.3">
      <c r="A534" t="s">
        <v>388</v>
      </c>
      <c r="E534" s="21" t="str">
        <f t="shared" ref="E534:E552" si="56">IF(D534="?OLD","!!!","")</f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ref="H534:H552" ca="1" si="57">IF(J534&lt;&gt;1,"",IF(I534="SBJ","CB","?"))</f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189</v>
      </c>
      <c r="E535" s="21" t="str">
        <f t="shared" si="5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5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443</v>
      </c>
      <c r="E536" s="21" t="str">
        <f t="shared" si="56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5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444</v>
      </c>
      <c r="B537" s="20" t="s">
        <v>179</v>
      </c>
      <c r="C537" s="20" t="s">
        <v>156</v>
      </c>
      <c r="D537" s="20" t="s">
        <v>148</v>
      </c>
      <c r="E537" s="21" t="s">
        <v>540</v>
      </c>
      <c r="F537" s="22" t="str">
        <f>IF(OR(E537="",E537="!!!"),"",IF(NOT(ISNA(VLOOKUP(E537,E$1:E536,1,FALSE()))),"OLD",IF(AND(E537&lt;&gt;"",E537&lt;&gt;"!!!"),"NEW","")))</f>
        <v>NEW</v>
      </c>
      <c r="G537" s="23" t="s">
        <v>545</v>
      </c>
      <c r="H537" s="24" t="str">
        <f t="shared" ca="1" si="57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195</v>
      </c>
      <c r="E538" s="21" t="str">
        <f t="shared" si="56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57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445</v>
      </c>
      <c r="E539" s="21" t="str">
        <f t="shared" si="56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57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446</v>
      </c>
      <c r="B540" s="20" t="s">
        <v>151</v>
      </c>
      <c r="C540" s="20" t="s">
        <v>156</v>
      </c>
      <c r="D540" s="20" t="s">
        <v>148</v>
      </c>
      <c r="E540" s="21" t="s">
        <v>539</v>
      </c>
      <c r="F540" s="22" t="s">
        <v>538</v>
      </c>
      <c r="G540" s="23" t="s">
        <v>545</v>
      </c>
      <c r="H540" s="24" t="str">
        <f t="shared" ca="1" si="57"/>
        <v/>
      </c>
      <c r="I540" s="25" t="e">
        <f>IF(OR(E540="",E540="!!!",F540="NEW"),"",INDEX(B$2:B539,-1+SUMPRODUCT(MAX(ROW(E$2:E539)*(E540=E$2:E539)))))</f>
        <v>#VALUE!</v>
      </c>
      <c r="J540" s="25">
        <f ca="1">IF(OR(E540="",E540="!!!",F540="NEW"),"",COUNTBLANK(OFFSET(A$1,,,SUMPRODUCT(MAX(ROW(E$2:E540)*(E540=E$2:E540)))))-COUNTBLANK(OFFSET(A$1,,,SUMPRODUCT(MAX(ROW(E$1:E539)*(E2=E$1:E539))))))</f>
        <v>0</v>
      </c>
      <c r="K540" s="25" t="e">
        <f>IF(OR(E540="",E540="!!!",F540="NEW"),"",INDEX(J$1:J539,SUMPRODUCT(MAX(ROW(E$1:E539)*(E540=E$1:E539)))))</f>
        <v>#VALUE!</v>
      </c>
      <c r="L540" s="26"/>
    </row>
    <row r="541" spans="1:12" x14ac:dyDescent="0.3">
      <c r="A541" t="s">
        <v>447</v>
      </c>
      <c r="E541" s="21" t="str">
        <f t="shared" si="56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57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187</v>
      </c>
      <c r="B542" s="20" t="s">
        <v>188</v>
      </c>
      <c r="E542" s="21" t="str">
        <f t="shared" si="56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57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377</v>
      </c>
      <c r="E543" s="21" t="str">
        <f t="shared" si="56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57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212</v>
      </c>
      <c r="E544" s="21" t="str">
        <f t="shared" si="56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57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448</v>
      </c>
      <c r="E545" s="21" t="str">
        <f t="shared" si="56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57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189</v>
      </c>
      <c r="E546" s="21" t="str">
        <f t="shared" si="56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57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449</v>
      </c>
      <c r="B547" s="20" t="s">
        <v>146</v>
      </c>
      <c r="C547" s="20" t="s">
        <v>156</v>
      </c>
      <c r="D547" s="20" t="s">
        <v>148</v>
      </c>
      <c r="E547" s="21" t="s">
        <v>525</v>
      </c>
      <c r="F547" s="22" t="str">
        <f>IF(OR(E547="",E547="!!!"),"",IF(NOT(ISNA(VLOOKUP(E547,E$1:E546,1,FALSE()))),"OLD",IF(AND(E547&lt;&gt;"",E547&lt;&gt;"!!!"),"NEW","")))</f>
        <v>NEW</v>
      </c>
      <c r="G547" s="23" t="s">
        <v>530</v>
      </c>
      <c r="H547" s="24" t="str">
        <f t="shared" ca="1" si="57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195</v>
      </c>
      <c r="E548" s="21" t="str">
        <f t="shared" si="56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57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190</v>
      </c>
      <c r="E549" s="21" t="str">
        <f t="shared" si="56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57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450</v>
      </c>
      <c r="B550" s="20" t="s">
        <v>151</v>
      </c>
      <c r="C550" s="20" t="s">
        <v>393</v>
      </c>
      <c r="D550" s="20" t="s">
        <v>148</v>
      </c>
      <c r="E550" s="21" t="s">
        <v>505</v>
      </c>
      <c r="F550" s="22" t="str">
        <f>IF(OR(E550="",E550="!!!"),"",IF(NOT(ISNA(VLOOKUP(E550,E$1:E549,1,FALSE()))),"OLD",IF(AND(E550&lt;&gt;"",E550&lt;&gt;"!!!"),"NEW","")))</f>
        <v>OLD</v>
      </c>
      <c r="G550" s="23" t="s">
        <v>530</v>
      </c>
      <c r="H550" s="24" t="str">
        <f t="shared" ca="1" si="57"/>
        <v/>
      </c>
      <c r="I550" s="25" t="str">
        <f>IF(OR(E550="",E550="!!!",F550="NEW"),"",INDEX(B$2:B549,-1+SUMPRODUCT(MAX(ROW(E$2:E549)*(E550=E$2:E549)))))</f>
        <v>OBJ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>
        <f ca="1">IF(OR(E550="",E550="!!!",F550="NEW"),"",INDEX(J$1:J549,SUMPRODUCT(MAX(ROW(E$1:E549)*(E550=E$1:E549)))))</f>
        <v>0</v>
      </c>
      <c r="L550" s="26"/>
    </row>
    <row r="551" spans="1:12" x14ac:dyDescent="0.3">
      <c r="A551" t="s">
        <v>122</v>
      </c>
      <c r="E551" s="21" t="str">
        <f t="shared" si="56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57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183</v>
      </c>
      <c r="E552" s="21" t="str">
        <f t="shared" si="56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5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4" spans="1:12" x14ac:dyDescent="0.3">
      <c r="A554" t="s">
        <v>451</v>
      </c>
    </row>
    <row r="555" spans="1:12" x14ac:dyDescent="0.3">
      <c r="A555" t="s">
        <v>325</v>
      </c>
      <c r="E555" s="21" t="str">
        <f t="shared" ref="E555:E575" si="58">IF(D555="?OLD","!!!","")</f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ref="H555:H575" ca="1" si="59">IF(J555&lt;&gt;1,"",IF(I555="SBJ","CB","?"))</f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195</v>
      </c>
      <c r="E556" s="21" t="str">
        <f t="shared" si="5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5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452</v>
      </c>
      <c r="E557" s="21" t="str">
        <f t="shared" si="5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5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453</v>
      </c>
      <c r="B558" s="20" t="s">
        <v>146</v>
      </c>
      <c r="C558" s="20" t="s">
        <v>156</v>
      </c>
      <c r="D558" s="20" t="s">
        <v>148</v>
      </c>
      <c r="E558" s="21"/>
      <c r="F558" s="22" t="s">
        <v>497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5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454</v>
      </c>
      <c r="E559" s="21" t="str">
        <f t="shared" si="5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5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182</v>
      </c>
      <c r="B560" s="20" t="s">
        <v>179</v>
      </c>
      <c r="C560" s="20" t="s">
        <v>147</v>
      </c>
      <c r="D560" s="20" t="s">
        <v>148</v>
      </c>
      <c r="E560" s="21" t="s">
        <v>483</v>
      </c>
      <c r="F560" s="22" t="str">
        <f>IF(OR(E560="",E560="!!!"),"",IF(NOT(ISNA(VLOOKUP(E560,E$1:E559,1,FALSE()))),"OLD",IF(AND(E560&lt;&gt;"",E560&lt;&gt;"!!!"),"NEW","")))</f>
        <v>OLD</v>
      </c>
      <c r="G560" s="23" t="s">
        <v>547</v>
      </c>
      <c r="H560" s="24" t="str">
        <f t="shared" ca="1" si="59"/>
        <v/>
      </c>
      <c r="I560" s="25" t="str">
        <f>IF(OR(E560="",E560="!!!",F560="NEW"),"",INDEX(B$2:B559,-1+SUMPRODUCT(MAX(ROW(E$2:E559)*(E560=E$2:E559)))))</f>
        <v>SBJ_2</v>
      </c>
      <c r="J560" s="25">
        <f ca="1">IF(OR(E560="",E560="!!!",F560="NEW"),"",COUNTBLANK(OFFSET(A$1,,,SUMPRODUCT(MAX(ROW(E$2:E560)*(E560=E$2:E560)))))-COUNTBLANK(OFFSET(A$1,,,SUMPRODUCT(MAX(ROW(E$1:E559)*(E2=E$1:E559))))))</f>
        <v>0</v>
      </c>
      <c r="K560" s="25">
        <f ca="1">IF(OR(E560="",E560="!!!",F560="NEW"),"",INDEX(J$1:J559,SUMPRODUCT(MAX(ROW(E$1:E559)*(E560=E$1:E559)))))</f>
        <v>0</v>
      </c>
      <c r="L560" s="26"/>
    </row>
    <row r="561" spans="1:12" x14ac:dyDescent="0.3">
      <c r="A561" t="s">
        <v>211</v>
      </c>
      <c r="E561" s="21" t="str">
        <f t="shared" si="5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5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195</v>
      </c>
      <c r="B562" s="20" t="s">
        <v>429</v>
      </c>
      <c r="E562" s="21" t="str">
        <f t="shared" si="58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5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189</v>
      </c>
      <c r="E563" s="21" t="str">
        <f t="shared" si="5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5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230</v>
      </c>
      <c r="B564" s="20" t="s">
        <v>270</v>
      </c>
      <c r="C564" s="20" t="s">
        <v>156</v>
      </c>
      <c r="D564" s="20" t="s">
        <v>148</v>
      </c>
      <c r="E564" s="21" t="s">
        <v>500</v>
      </c>
      <c r="F564" s="22" t="str">
        <f>IF(OR(E564="",E564="!!!"),"",IF(NOT(ISNA(VLOOKUP(E564,E$1:E563,1,FALSE()))),"OLD",IF(AND(E564&lt;&gt;"",E564&lt;&gt;"!!!"),"NEW","")))</f>
        <v>OLD</v>
      </c>
      <c r="G564" s="23" t="s">
        <v>530</v>
      </c>
      <c r="H564" s="24" t="str">
        <f t="shared" ca="1" si="59"/>
        <v/>
      </c>
      <c r="I564" s="25" t="str">
        <f>IF(OR(E564="",E564="!!!",F564="NEW"),"",INDEX(B$2:B563,-1+SUMPRODUCT(MAX(ROW(E$2:E563)*(E564=E$2:E563)))))</f>
        <v>SBJ</v>
      </c>
      <c r="J564" s="25">
        <f ca="1">IF(OR(E564="",E564="!!!",F564="NEW"),"",COUNTBLANK(OFFSET(A$1,,,SUMPRODUCT(MAX(ROW(E$2:E564)*(E564=E$2:E564)))))-COUNTBLANK(OFFSET(A$1,,,SUMPRODUCT(MAX(ROW(E$1:E563)*(E2=E$1:E563))))))</f>
        <v>0</v>
      </c>
      <c r="K564" s="25">
        <f ca="1">IF(OR(E564="",E564="!!!",F564="NEW"),"",INDEX(J$1:J563,SUMPRODUCT(MAX(ROW(E$1:E563)*(E564=E$1:E563)))))</f>
        <v>0</v>
      </c>
      <c r="L564" s="26"/>
    </row>
    <row r="565" spans="1:12" x14ac:dyDescent="0.3">
      <c r="A565" t="s">
        <v>149</v>
      </c>
      <c r="E565" s="21" t="str">
        <f t="shared" si="5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5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189</v>
      </c>
      <c r="E566" s="21" t="str">
        <f t="shared" si="58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59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455</v>
      </c>
      <c r="B567" s="20" t="s">
        <v>160</v>
      </c>
      <c r="C567" s="20" t="s">
        <v>156</v>
      </c>
      <c r="D567" s="20" t="s">
        <v>148</v>
      </c>
      <c r="E567" s="21" t="s">
        <v>526</v>
      </c>
      <c r="F567" s="22" t="str">
        <f>IF(OR(E567="",E567="!!!"),"",IF(NOT(ISNA(VLOOKUP(E567,E$1:E566,1,FALSE()))),"OLD",IF(AND(E567&lt;&gt;"",E567&lt;&gt;"!!!"),"NEW","")))</f>
        <v>NEW</v>
      </c>
      <c r="G567" s="23" t="s">
        <v>530</v>
      </c>
      <c r="H567" s="24" t="str">
        <f t="shared" ca="1" si="5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456</v>
      </c>
      <c r="E568" s="21" t="str">
        <f t="shared" si="58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59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222</v>
      </c>
      <c r="E569" s="21" t="str">
        <f t="shared" si="58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59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211</v>
      </c>
      <c r="E570" s="21" t="str">
        <f t="shared" si="58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59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448</v>
      </c>
      <c r="E571" s="21" t="str">
        <f t="shared" si="58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59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170</v>
      </c>
      <c r="E572" s="21" t="str">
        <f t="shared" si="58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59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457</v>
      </c>
      <c r="B573" s="20" t="s">
        <v>458</v>
      </c>
      <c r="C573" s="20" t="s">
        <v>156</v>
      </c>
      <c r="D573" s="20" t="s">
        <v>148</v>
      </c>
      <c r="E573" s="21" t="s">
        <v>541</v>
      </c>
      <c r="F573" s="22" t="str">
        <f>IF(OR(E573="",E573="!!!"),"",IF(NOT(ISNA(VLOOKUP(E573,E$1:E572,1,FALSE()))),"OLD",IF(AND(E573&lt;&gt;"",E573&lt;&gt;"!!!"),"NEW","")))</f>
        <v>NEW</v>
      </c>
      <c r="G573" s="23" t="s">
        <v>530</v>
      </c>
      <c r="H573" s="24" t="str">
        <f t="shared" ca="1" si="59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459</v>
      </c>
      <c r="E574" s="21" t="s">
        <v>542</v>
      </c>
      <c r="F574" s="22" t="str">
        <f>IF(OR(E574="",E574="!!!"),"",IF(NOT(ISNA(VLOOKUP(E574,E$1:E573,1,FALSE()))),"OLD",IF(AND(E574&lt;&gt;"",E574&lt;&gt;"!!!"),"NEW","")))</f>
        <v>NEW</v>
      </c>
      <c r="G574" s="23" t="s">
        <v>545</v>
      </c>
      <c r="H574" s="24" t="str">
        <f t="shared" ca="1" si="59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 t="s">
        <v>489</v>
      </c>
    </row>
    <row r="575" spans="1:12" x14ac:dyDescent="0.3">
      <c r="A575" t="s">
        <v>183</v>
      </c>
      <c r="E575" s="21" t="str">
        <f t="shared" si="58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59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7" spans="1:12" x14ac:dyDescent="0.3">
      <c r="A577" t="s">
        <v>460</v>
      </c>
    </row>
    <row r="578" spans="1:12" x14ac:dyDescent="0.3">
      <c r="A578" t="s">
        <v>461</v>
      </c>
      <c r="E578" s="21" t="s">
        <v>483</v>
      </c>
      <c r="F578" s="22" t="str">
        <f>IF(OR(E578="",E578="!!!"),"",IF(NOT(ISNA(VLOOKUP(E578,E$1:E577,1,FALSE()))),"OLD",IF(AND(E578&lt;&gt;"",E578&lt;&gt;"!!!"),"NEW","")))</f>
        <v>OLD</v>
      </c>
      <c r="G578" s="23" t="s">
        <v>546</v>
      </c>
      <c r="H578" s="24" t="s">
        <v>140</v>
      </c>
      <c r="I578" s="25" t="str">
        <f>IF(OR(E578="",E578="!!!",F578="NEW"),"",INDEX(B$2:B577,-1+SUMPRODUCT(MAX(ROW(E$2:E577)*(E578=E$2:E577)))))</f>
        <v>SBJ</v>
      </c>
      <c r="J578" s="25">
        <f ca="1">IF(OR(E578="",E578="!!!",F578="NEW"),"",COUNTBLANK(OFFSET(A$1,,,SUMPRODUCT(MAX(ROW(E$2:E578)*(E578=E$2:E578)))))-COUNTBLANK(OFFSET(A$1,,,SUMPRODUCT(MAX(ROW(E$1:E577)*(E2=E$1:E577))))))</f>
        <v>0</v>
      </c>
      <c r="K578" s="25">
        <f ca="1">IF(OR(E578="",E578="!!!",F578="NEW"),"",INDEX(J$1:J577,SUMPRODUCT(MAX(ROW(E$1:E577)*(E578=E$1:E577)))))</f>
        <v>0</v>
      </c>
      <c r="L578" s="26" t="s">
        <v>493</v>
      </c>
    </row>
    <row r="579" spans="1:12" x14ac:dyDescent="0.3">
      <c r="A579" t="s">
        <v>462</v>
      </c>
      <c r="B579" s="20" t="s">
        <v>179</v>
      </c>
      <c r="C579" s="20" t="s">
        <v>358</v>
      </c>
      <c r="E579" s="21" t="s">
        <v>527</v>
      </c>
      <c r="F579" s="22" t="str">
        <f>IF(OR(E579="",E579="!!!"),"",IF(NOT(ISNA(VLOOKUP(E579,E$1:E578,1,FALSE()))),"OLD",IF(AND(E579&lt;&gt;"",E579&lt;&gt;"!!!"),"NEW","")))</f>
        <v>NEW</v>
      </c>
      <c r="G579" s="23" t="s">
        <v>545</v>
      </c>
      <c r="H579" s="24" t="str">
        <f t="shared" ref="H579:H591" ca="1" si="60">IF(J579&lt;&gt;1,"",IF(I579="SBJ","CB","?"))</f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130</v>
      </c>
      <c r="E580" s="21" t="str">
        <f t="shared" ref="E580:E591" si="61">IF(D580="?OLD","!!!","")</f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60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463</v>
      </c>
      <c r="B581" s="20" t="s">
        <v>188</v>
      </c>
      <c r="C581" s="20" t="s">
        <v>244</v>
      </c>
      <c r="D581" s="20" t="s">
        <v>148</v>
      </c>
      <c r="E581" s="21" t="s">
        <v>483</v>
      </c>
      <c r="F581" s="22" t="str">
        <f>IF(OR(E581="",E581="!!!"),"",IF(NOT(ISNA(VLOOKUP(E581,E$1:E580,1,FALSE()))),"OLD",IF(AND(E581&lt;&gt;"",E581&lt;&gt;"!!!"),"NEW","")))</f>
        <v>OLD</v>
      </c>
      <c r="G581" s="23" t="s">
        <v>546</v>
      </c>
      <c r="H581" s="24" t="str">
        <f t="shared" ca="1" si="60"/>
        <v/>
      </c>
      <c r="I581" s="25">
        <f>IF(OR(E581="",E581="!!!",F581="NEW"),"",INDEX(B$2:B580,-1+SUMPRODUCT(MAX(ROW(E$2:E580)*(E581=E$2:E580)))))</f>
        <v>0</v>
      </c>
      <c r="J581" s="25">
        <f ca="1">IF(OR(E581="",E581="!!!",F581="NEW"),"",COUNTBLANK(OFFSET(A$1,,,SUMPRODUCT(MAX(ROW(E$2:E581)*(E581=E$2:E581)))))-COUNTBLANK(OFFSET(A$1,,,SUMPRODUCT(MAX(ROW(E$1:E580)*(E2=E$1:E580))))))</f>
        <v>0</v>
      </c>
      <c r="K581" s="25">
        <f ca="1">IF(OR(E581="",E581="!!!",F581="NEW"),"",INDEX(J$1:J580,SUMPRODUCT(MAX(ROW(E$1:E580)*(E581=E$1:E580)))))</f>
        <v>0</v>
      </c>
      <c r="L581" s="26"/>
    </row>
    <row r="582" spans="1:12" x14ac:dyDescent="0.3">
      <c r="A582" t="s">
        <v>464</v>
      </c>
      <c r="E582" s="21" t="str">
        <f t="shared" si="61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60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211</v>
      </c>
      <c r="E583" s="21" t="str">
        <f t="shared" si="61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60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465</v>
      </c>
      <c r="E584" s="21" t="s">
        <v>542</v>
      </c>
      <c r="F584" s="22" t="str">
        <f>IF(OR(E584="",E584="!!!"),"",IF(NOT(ISNA(VLOOKUP(E584,E$1:E583,1,FALSE()))),"OLD",IF(AND(E584&lt;&gt;"",E584&lt;&gt;"!!!"),"NEW","")))</f>
        <v>OLD</v>
      </c>
      <c r="G584" s="23" t="s">
        <v>547</v>
      </c>
      <c r="H584" s="24" t="str">
        <f t="shared" ca="1" si="60"/>
        <v/>
      </c>
      <c r="I584" s="25">
        <f>IF(OR(E584="",E584="!!!",F584="NEW"),"",INDEX(B$2:B583,-1+SUMPRODUCT(MAX(ROW(E$2:E583)*(E584=E$2:E583)))))</f>
        <v>0</v>
      </c>
      <c r="J584" s="25">
        <f ca="1">IF(OR(E584="",E584="!!!",F584="NEW"),"",COUNTBLANK(OFFSET(A$1,,,SUMPRODUCT(MAX(ROW(E$2:E584)*(E584=E$2:E584)))))-COUNTBLANK(OFFSET(A$1,,,SUMPRODUCT(MAX(ROW(E$1:E583)*(E2=E$1:E583))))))</f>
        <v>0</v>
      </c>
      <c r="K584" s="25" t="str">
        <f ca="1">IF(OR(E584="",E584="!!!",F584="NEW"),"",INDEX(J$1:J583,SUMPRODUCT(MAX(ROW(E$1:E583)*(E584=E$1:E583)))))</f>
        <v/>
      </c>
      <c r="L584" s="26"/>
    </row>
    <row r="585" spans="1:12" x14ac:dyDescent="0.3">
      <c r="A585" t="s">
        <v>466</v>
      </c>
      <c r="E585" s="21" t="str">
        <f t="shared" si="61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0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170</v>
      </c>
      <c r="E586" s="21" t="str">
        <f t="shared" si="61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0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467</v>
      </c>
      <c r="B587" s="20" t="s">
        <v>176</v>
      </c>
      <c r="C587" s="20" t="s">
        <v>156</v>
      </c>
      <c r="D587" s="20" t="s">
        <v>148</v>
      </c>
      <c r="E587" s="21" t="s">
        <v>528</v>
      </c>
      <c r="F587" s="22" t="str">
        <f>IF(OR(E587="",E587="!!!"),"",IF(NOT(ISNA(VLOOKUP(E587,E$1:E586,1,FALSE()))),"OLD",IF(AND(E587&lt;&gt;"",E587&lt;&gt;"!!!"),"NEW","")))</f>
        <v>NEW</v>
      </c>
      <c r="G587" s="23" t="s">
        <v>545</v>
      </c>
      <c r="H587" s="24" t="str">
        <f t="shared" ca="1" si="60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390</v>
      </c>
      <c r="E588" s="21" t="str">
        <f t="shared" si="61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60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328</v>
      </c>
      <c r="E589" s="21" t="str">
        <f t="shared" si="61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0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468</v>
      </c>
      <c r="E590" s="21" t="str">
        <f t="shared" si="61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0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183</v>
      </c>
      <c r="E591" s="21" t="str">
        <f t="shared" si="61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60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3" spans="1:12" x14ac:dyDescent="0.3">
      <c r="A593" t="s">
        <v>469</v>
      </c>
    </row>
    <row r="594" spans="1:12" x14ac:dyDescent="0.3">
      <c r="A594" t="s">
        <v>325</v>
      </c>
      <c r="E594" s="21" t="str">
        <f t="shared" ref="E594:E627" si="62">IF(D594="?OLD","!!!","")</f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ref="H594:H627" ca="1" si="63">IF(J594&lt;&gt;1,"",IF(I594="SBJ","CB","?"))</f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195</v>
      </c>
      <c r="E595" s="21" t="str">
        <f t="shared" si="62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63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470</v>
      </c>
      <c r="E596" s="21" t="str">
        <f t="shared" si="62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63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453</v>
      </c>
      <c r="B597" s="20" t="s">
        <v>146</v>
      </c>
      <c r="C597" s="20" t="s">
        <v>471</v>
      </c>
      <c r="D597" s="20" t="s">
        <v>148</v>
      </c>
      <c r="E597" s="21"/>
      <c r="F597" s="22" t="s">
        <v>497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3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454</v>
      </c>
      <c r="E598" s="21" t="str">
        <f t="shared" si="62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3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178</v>
      </c>
      <c r="B599" s="20" t="s">
        <v>179</v>
      </c>
      <c r="C599" s="20" t="s">
        <v>147</v>
      </c>
      <c r="D599" s="20" t="s">
        <v>148</v>
      </c>
      <c r="E599" s="21" t="s">
        <v>482</v>
      </c>
      <c r="F599" s="22" t="str">
        <f>IF(OR(E599="",E599="!!!"),"",IF(NOT(ISNA(VLOOKUP(E599,E$1:E598,1,FALSE()))),"OLD",IF(AND(E599&lt;&gt;"",E599&lt;&gt;"!!!"),"NEW","")))</f>
        <v>OLD</v>
      </c>
      <c r="G599" s="23" t="s">
        <v>530</v>
      </c>
      <c r="H599" s="24" t="str">
        <f t="shared" ca="1" si="63"/>
        <v/>
      </c>
      <c r="I599" s="25" t="str">
        <f>IF(OR(E599="",E599="!!!",F599="NEW"),"",INDEX(B$2:B598,-1+SUMPRODUCT(MAX(ROW(E$2:E598)*(E599=E$2:E598)))))</f>
        <v>SBJ</v>
      </c>
      <c r="J599" s="25">
        <f ca="1">IF(OR(E599="",E599="!!!",F599="NEW"),"",COUNTBLANK(OFFSET(A$1,,,SUMPRODUCT(MAX(ROW(E$2:E599)*(E599=E$2:E599)))))-COUNTBLANK(OFFSET(A$1,,,SUMPRODUCT(MAX(ROW(E$1:E598)*(E2=E$1:E598))))))</f>
        <v>0</v>
      </c>
      <c r="K599" s="25">
        <f ca="1">IF(OR(E599="",E599="!!!",F599="NEW"),"",INDEX(J$1:J598,SUMPRODUCT(MAX(ROW(E$1:E598)*(E599=E$1:E598)))))</f>
        <v>0</v>
      </c>
      <c r="L599" s="26"/>
    </row>
    <row r="600" spans="1:12" x14ac:dyDescent="0.3">
      <c r="A600" t="s">
        <v>211</v>
      </c>
      <c r="E600" s="21" t="str">
        <f t="shared" si="62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63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189</v>
      </c>
      <c r="B601" s="20" t="s">
        <v>429</v>
      </c>
      <c r="E601" s="21" t="str">
        <f t="shared" si="62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3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472</v>
      </c>
      <c r="E602" s="21" t="str">
        <f t="shared" si="62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3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317</v>
      </c>
      <c r="E603" s="21" t="str">
        <f t="shared" si="62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63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339</v>
      </c>
      <c r="E604" s="21" t="str">
        <f t="shared" si="62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3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281</v>
      </c>
      <c r="B605" s="20" t="s">
        <v>165</v>
      </c>
      <c r="C605" s="20" t="s">
        <v>156</v>
      </c>
      <c r="D605" s="20" t="s">
        <v>148</v>
      </c>
      <c r="E605" s="21" t="s">
        <v>504</v>
      </c>
      <c r="F605" s="22" t="str">
        <f>IF(OR(E605="",E605="!!!"),"",IF(NOT(ISNA(VLOOKUP(E605,E$1:E604,1,FALSE()))),"OLD",IF(AND(E605&lt;&gt;"",E605&lt;&gt;"!!!"),"NEW","")))</f>
        <v>OLD</v>
      </c>
      <c r="G605" s="23" t="s">
        <v>530</v>
      </c>
      <c r="H605" s="24" t="str">
        <f t="shared" ca="1" si="63"/>
        <v/>
      </c>
      <c r="I605" s="25" t="str">
        <f>IF(OR(E605="",E605="!!!",F605="NEW"),"",INDEX(B$2:B604,-1+SUMPRODUCT(MAX(ROW(E$2:E604)*(E605=E$2:E604)))))</f>
        <v>other_3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 t="str">
        <f ca="1">IF(OR(E605="",E605="!!!",F605="NEW"),"",INDEX(J$1:J604,SUMPRODUCT(MAX(ROW(E$1:E604)*(E605=E$1:E604)))))</f>
        <v/>
      </c>
      <c r="L605" s="26"/>
    </row>
    <row r="606" spans="1:12" x14ac:dyDescent="0.3">
      <c r="A606" t="s">
        <v>473</v>
      </c>
      <c r="E606" s="21" t="str">
        <f t="shared" si="62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222</v>
      </c>
      <c r="E607" s="21" t="str">
        <f t="shared" si="62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211</v>
      </c>
      <c r="E608" s="21" t="str">
        <f t="shared" si="6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6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384</v>
      </c>
      <c r="E609" s="21" t="str">
        <f t="shared" si="62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6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283</v>
      </c>
      <c r="B610" s="20" t="s">
        <v>368</v>
      </c>
      <c r="C610" s="20" t="s">
        <v>284</v>
      </c>
      <c r="D610" s="20" t="s">
        <v>148</v>
      </c>
      <c r="E610" s="21" t="s">
        <v>504</v>
      </c>
      <c r="F610" s="22" t="str">
        <f>IF(OR(E610="",E610="!!!"),"",IF(NOT(ISNA(VLOOKUP(E610,E$1:E609,1,FALSE()))),"OLD",IF(AND(E610&lt;&gt;"",E610&lt;&gt;"!!!"),"NEW","")))</f>
        <v>OLD</v>
      </c>
      <c r="G610" s="23" t="s">
        <v>546</v>
      </c>
      <c r="H610" s="24" t="str">
        <f t="shared" ca="1" si="63"/>
        <v/>
      </c>
      <c r="I610" s="25" t="str">
        <f>IF(OR(E610="",E610="!!!",F610="NEW"),"",INDEX(B$2:B609,-1+SUMPRODUCT(MAX(ROW(E$2:E609)*(E610=E$2:E609)))))</f>
        <v>other_3</v>
      </c>
      <c r="J610" s="25">
        <f ca="1">IF(OR(E610="",E610="!!!",F610="NEW"),"",COUNTBLANK(OFFSET(A$1,,,SUMPRODUCT(MAX(ROW(E$2:E610)*(E610=E$2:E610)))))-COUNTBLANK(OFFSET(A$1,,,SUMPRODUCT(MAX(ROW(E$1:E609)*(E2=E$1:E609))))))</f>
        <v>0</v>
      </c>
      <c r="K610" s="25">
        <f ca="1">IF(OR(E610="",E610="!!!",F610="NEW"),"",INDEX(J$1:J609,SUMPRODUCT(MAX(ROW(E$1:E609)*(E610=E$1:E609)))))</f>
        <v>0</v>
      </c>
      <c r="L610" s="26"/>
    </row>
    <row r="611" spans="1:12" x14ac:dyDescent="0.3">
      <c r="A611" t="s">
        <v>474</v>
      </c>
      <c r="E611" s="21" t="str">
        <f t="shared" si="6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6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235</v>
      </c>
      <c r="B612" s="20" t="s">
        <v>458</v>
      </c>
      <c r="C612" s="20" t="s">
        <v>169</v>
      </c>
      <c r="E612" s="21" t="s">
        <v>503</v>
      </c>
      <c r="F612" s="22" t="str">
        <f>IF(OR(E612="",E612="!!!"),"",IF(NOT(ISNA(VLOOKUP(E612,E$1:E611,1,FALSE()))),"OLD",IF(AND(E612&lt;&gt;"",E612&lt;&gt;"!!!"),"NEW","")))</f>
        <v>OLD</v>
      </c>
      <c r="G612" s="23" t="s">
        <v>530</v>
      </c>
      <c r="H612" s="24" t="str">
        <f t="shared" ca="1" si="63"/>
        <v/>
      </c>
      <c r="I612" s="25" t="str">
        <f>IF(OR(E612="",E612="!!!",F612="NEW"),"",INDEX(B$2:B611,-1+SUMPRODUCT(MAX(ROW(E$2:E611)*(E612=E$2:E611)))))</f>
        <v>SBJ_2</v>
      </c>
      <c r="J612" s="25">
        <f ca="1">IF(OR(E612="",E612="!!!",F612="NEW"),"",COUNTBLANK(OFFSET(A$1,,,SUMPRODUCT(MAX(ROW(E$2:E612)*(E612=E$2:E612)))))-COUNTBLANK(OFFSET(A$1,,,SUMPRODUCT(MAX(ROW(E$1:E611)*(E2=E$1:E611))))))</f>
        <v>0</v>
      </c>
      <c r="K612" s="25" t="str">
        <f ca="1">IF(OR(E612="",E612="!!!",F612="NEW"),"",INDEX(J$1:J611,SUMPRODUCT(MAX(ROW(E$1:E611)*(E612=E$1:E611)))))</f>
        <v/>
      </c>
      <c r="L612" s="26"/>
    </row>
    <row r="613" spans="1:12" x14ac:dyDescent="0.3">
      <c r="A613" t="s">
        <v>475</v>
      </c>
      <c r="E613" s="21" t="str">
        <f t="shared" si="6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6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211</v>
      </c>
      <c r="E614" s="21" t="str">
        <f t="shared" si="6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6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149</v>
      </c>
      <c r="E615" s="21" t="str">
        <f t="shared" si="6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6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476</v>
      </c>
      <c r="E616" s="21" t="s">
        <v>482</v>
      </c>
      <c r="F616" s="22" t="str">
        <f>IF(OR(E616="",E616="!!!"),"",IF(NOT(ISNA(VLOOKUP(E616,E$1:E615,1,FALSE()))),"OLD",IF(AND(E616&lt;&gt;"",E616&lt;&gt;"!!!"),"NEW","")))</f>
        <v>OLD</v>
      </c>
      <c r="G616" s="23" t="s">
        <v>546</v>
      </c>
      <c r="H616" s="24" t="str">
        <f t="shared" ca="1" si="63"/>
        <v/>
      </c>
      <c r="I616" s="25" t="str">
        <f>IF(OR(E616="",E616="!!!",F616="NEW"),"",INDEX(B$2:B615,-1+SUMPRODUCT(MAX(ROW(E$2:E615)*(E616=E$2:E615)))))</f>
        <v>SBJ</v>
      </c>
      <c r="J616" s="25">
        <f ca="1">IF(OR(E616="",E616="!!!",F616="NEW"),"",COUNTBLANK(OFFSET(A$1,,,SUMPRODUCT(MAX(ROW(E$2:E616)*(E616=E$2:E616)))))-COUNTBLANK(OFFSET(A$1,,,SUMPRODUCT(MAX(ROW(E$1:E615)*(E2=E$1:E615))))))</f>
        <v>0</v>
      </c>
      <c r="K616" s="25">
        <f ca="1">IF(OR(E616="",E616="!!!",F616="NEW"),"",INDEX(J$1:J615,SUMPRODUCT(MAX(ROW(E$1:E615)*(E616=E$1:E615)))))</f>
        <v>0</v>
      </c>
      <c r="L616" s="26" t="s">
        <v>493</v>
      </c>
    </row>
    <row r="617" spans="1:12" x14ac:dyDescent="0.3">
      <c r="A617" t="s">
        <v>462</v>
      </c>
      <c r="B617" s="20" t="s">
        <v>477</v>
      </c>
      <c r="C617" s="20" t="s">
        <v>152</v>
      </c>
      <c r="D617" s="20" t="s">
        <v>148</v>
      </c>
      <c r="E617" s="21" t="s">
        <v>529</v>
      </c>
      <c r="F617" s="22" t="str">
        <f>IF(OR(E617="",E617="!!!"),"",IF(NOT(ISNA(VLOOKUP(E617,E$1:E616,1,FALSE()))),"OLD",IF(AND(E617&lt;&gt;"",E617&lt;&gt;"!!!"),"NEW","")))</f>
        <v>NEW</v>
      </c>
      <c r="G617" s="23" t="s">
        <v>545</v>
      </c>
      <c r="H617" s="24" t="str">
        <f t="shared" ca="1" si="6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50</v>
      </c>
      <c r="E618" s="21" t="str">
        <f t="shared" si="62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6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157</v>
      </c>
      <c r="E619" s="21" t="str">
        <f t="shared" si="6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6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478</v>
      </c>
      <c r="B620" s="20" t="s">
        <v>479</v>
      </c>
      <c r="C620" s="20" t="s">
        <v>161</v>
      </c>
      <c r="E620" s="21" t="str">
        <f t="shared" si="6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6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235</v>
      </c>
      <c r="B621" s="20" t="s">
        <v>480</v>
      </c>
      <c r="C621" s="20" t="s">
        <v>169</v>
      </c>
      <c r="E621" s="21" t="s">
        <v>503</v>
      </c>
      <c r="F621" s="22" t="str">
        <f>IF(OR(E621="",E621="!!!"),"",IF(NOT(ISNA(VLOOKUP(E621,E$1:E620,1,FALSE()))),"OLD",IF(AND(E621&lt;&gt;"",E621&lt;&gt;"!!!"),"NEW","")))</f>
        <v>OLD</v>
      </c>
      <c r="G621" s="23" t="s">
        <v>546</v>
      </c>
      <c r="H621" s="24"/>
      <c r="I621" s="25" t="str">
        <f>IF(OR(E621="",E621="!!!",F621="NEW"),"",INDEX(B$2:B620,-1+SUMPRODUCT(MAX(ROW(E$2:E620)*(E621=E$2:E620)))))</f>
        <v>OBJ_4</v>
      </c>
      <c r="J621" s="25">
        <f ca="1">IF(OR(E621="",E621="!!!",F621="NEW"),"",COUNTBLANK(OFFSET(A$1,,,SUMPRODUCT(MAX(ROW(E$2:E621)*(E621=E$2:E621)))))-COUNTBLANK(OFFSET(A$1,,,SUMPRODUCT(MAX(ROW(E$1:E620)*(E2=E$1:E620))))))</f>
        <v>0</v>
      </c>
      <c r="K621" s="25">
        <f ca="1">IF(OR(E621="",E621="!!!",F621="NEW"),"",INDEX(J$1:J620,SUMPRODUCT(MAX(ROW(E$1:E620)*(E621=E$1:E620)))))</f>
        <v>0</v>
      </c>
      <c r="L621" s="26" t="s">
        <v>549</v>
      </c>
    </row>
    <row r="622" spans="1:12" x14ac:dyDescent="0.3">
      <c r="A622" t="s">
        <v>186</v>
      </c>
      <c r="E622" s="21" t="str">
        <f t="shared" si="62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6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181</v>
      </c>
      <c r="E623" s="21" t="str">
        <f t="shared" si="62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6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389</v>
      </c>
      <c r="E624" s="21" t="str">
        <f t="shared" si="6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6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189</v>
      </c>
      <c r="E625" s="21" t="str">
        <f t="shared" si="6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6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481</v>
      </c>
      <c r="B626" s="20" t="s">
        <v>231</v>
      </c>
      <c r="C626" s="20" t="s">
        <v>156</v>
      </c>
      <c r="D626" s="20" t="s">
        <v>148</v>
      </c>
      <c r="E626" s="21"/>
      <c r="F626" s="22" t="s">
        <v>497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63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183</v>
      </c>
      <c r="E627" s="21" t="str">
        <f t="shared" si="62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63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2025-08-27T15:21:11Z</dcterms:modified>
</cp:coreProperties>
</file>