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AF216F2C-1AA3-4DA7-B783-70AB289D3203}" xr6:coauthVersionLast="47" xr6:coauthVersionMax="47" xr10:uidLastSave="{00000000-0000-0000-0000-000000000000}"/>
  <bookViews>
    <workbookView xWindow="-96" yWindow="0" windowWidth="15768" windowHeight="1233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406" i="2" l="1"/>
  <c r="E438" i="2" l="1"/>
  <c r="F438" i="2" s="1"/>
  <c r="E437" i="2"/>
  <c r="F437" i="2" s="1"/>
  <c r="F435" i="2"/>
  <c r="E435" i="2"/>
  <c r="E433" i="2"/>
  <c r="F433" i="2" s="1"/>
  <c r="E432" i="2"/>
  <c r="F432" i="2" s="1"/>
  <c r="F431" i="2"/>
  <c r="J431" i="2" s="1"/>
  <c r="H431" i="2" s="1"/>
  <c r="E431" i="2"/>
  <c r="E430" i="2"/>
  <c r="F430" i="2" s="1"/>
  <c r="E429" i="2"/>
  <c r="F429" i="2" s="1"/>
  <c r="I429" i="2" s="1"/>
  <c r="E427" i="2"/>
  <c r="F427" i="2" s="1"/>
  <c r="F426" i="2"/>
  <c r="I426" i="2" s="1"/>
  <c r="E426" i="2"/>
  <c r="F424" i="2"/>
  <c r="J424" i="2" s="1"/>
  <c r="H424" i="2" s="1"/>
  <c r="E424" i="2"/>
  <c r="E423" i="2"/>
  <c r="F423" i="2" s="1"/>
  <c r="E422" i="2"/>
  <c r="F419" i="2"/>
  <c r="E419" i="2"/>
  <c r="F417" i="2"/>
  <c r="F416" i="2"/>
  <c r="I416" i="2" s="1"/>
  <c r="F415" i="2"/>
  <c r="F414" i="2"/>
  <c r="K414" i="2" s="1"/>
  <c r="F413" i="2"/>
  <c r="K413" i="2" s="1"/>
  <c r="F412" i="2"/>
  <c r="F411" i="2"/>
  <c r="K411" i="2" s="1"/>
  <c r="F410" i="2"/>
  <c r="I410" i="2" s="1"/>
  <c r="F409" i="2"/>
  <c r="F407" i="2"/>
  <c r="F406" i="2"/>
  <c r="J406" i="2" s="1"/>
  <c r="H406" i="2" s="1"/>
  <c r="F405" i="2"/>
  <c r="F404" i="2"/>
  <c r="F403" i="2"/>
  <c r="I403" i="2" s="1"/>
  <c r="F402" i="2"/>
  <c r="F401" i="2"/>
  <c r="F399" i="2"/>
  <c r="F398" i="2"/>
  <c r="K398" i="2" s="1"/>
  <c r="F396" i="2"/>
  <c r="F394" i="2"/>
  <c r="F393" i="2"/>
  <c r="F391" i="2"/>
  <c r="F389" i="2"/>
  <c r="F388" i="2"/>
  <c r="F386" i="2"/>
  <c r="F385" i="2"/>
  <c r="I385" i="2" s="1"/>
  <c r="F384" i="2"/>
  <c r="F383" i="2"/>
  <c r="F381" i="2"/>
  <c r="F380" i="2"/>
  <c r="K380" i="2" s="1"/>
  <c r="F379" i="2"/>
  <c r="F376" i="2"/>
  <c r="F375" i="2"/>
  <c r="F374" i="2"/>
  <c r="F373" i="2"/>
  <c r="F372" i="2"/>
  <c r="F371" i="2"/>
  <c r="F370" i="2"/>
  <c r="I370" i="2" s="1"/>
  <c r="F369" i="2"/>
  <c r="F368" i="2"/>
  <c r="F367" i="2"/>
  <c r="J367" i="2" s="1"/>
  <c r="F364" i="2"/>
  <c r="I364" i="2" s="1"/>
  <c r="F363" i="2"/>
  <c r="J363" i="2" s="1"/>
  <c r="H363" i="2" s="1"/>
  <c r="F361" i="2"/>
  <c r="F360" i="2"/>
  <c r="F359" i="2"/>
  <c r="I359" i="2" s="1"/>
  <c r="F358" i="2"/>
  <c r="F356" i="2"/>
  <c r="F354" i="2"/>
  <c r="I354" i="2" s="1"/>
  <c r="F353" i="2"/>
  <c r="F352" i="2"/>
  <c r="I352" i="2" s="1"/>
  <c r="F351" i="2"/>
  <c r="K351" i="2" s="1"/>
  <c r="F350" i="2"/>
  <c r="F348" i="2"/>
  <c r="F346" i="2"/>
  <c r="F345" i="2"/>
  <c r="F344" i="2"/>
  <c r="K344" i="2" s="1"/>
  <c r="F342" i="2"/>
  <c r="F341" i="2"/>
  <c r="I341" i="2" s="1"/>
  <c r="F339" i="2"/>
  <c r="I339" i="2" s="1"/>
  <c r="F337" i="2"/>
  <c r="F335" i="2"/>
  <c r="F334" i="2"/>
  <c r="F333" i="2"/>
  <c r="F332" i="2"/>
  <c r="F331" i="2"/>
  <c r="K331" i="2" s="1"/>
  <c r="F330" i="2"/>
  <c r="J330" i="2" s="1"/>
  <c r="H330" i="2" s="1"/>
  <c r="F329" i="2"/>
  <c r="I329" i="2" s="1"/>
  <c r="F328" i="2"/>
  <c r="F327" i="2"/>
  <c r="F326" i="2"/>
  <c r="F323" i="2"/>
  <c r="I323" i="2" s="1"/>
  <c r="F322" i="2"/>
  <c r="F321" i="2"/>
  <c r="K321" i="2" s="1"/>
  <c r="F320" i="2"/>
  <c r="K320" i="2" s="1"/>
  <c r="F319" i="2"/>
  <c r="I319" i="2" s="1"/>
  <c r="F318" i="2"/>
  <c r="I318" i="2" s="1"/>
  <c r="F317" i="2"/>
  <c r="F316" i="2"/>
  <c r="F315" i="2"/>
  <c r="F314" i="2"/>
  <c r="K314" i="2" s="1"/>
  <c r="F313" i="2"/>
  <c r="J313" i="2" s="1"/>
  <c r="H313" i="2" s="1"/>
  <c r="F312" i="2"/>
  <c r="J312" i="2" s="1"/>
  <c r="H312" i="2" s="1"/>
  <c r="F311" i="2"/>
  <c r="I311" i="2" s="1"/>
  <c r="F309" i="2"/>
  <c r="F308" i="2"/>
  <c r="F307" i="2"/>
  <c r="F306" i="2"/>
  <c r="F302" i="2"/>
  <c r="J302" i="2" s="1"/>
  <c r="H302" i="2" s="1"/>
  <c r="F301" i="2"/>
  <c r="I301" i="2" s="1"/>
  <c r="F299" i="2"/>
  <c r="F297" i="2"/>
  <c r="F296" i="2"/>
  <c r="K296" i="2" s="1"/>
  <c r="F295" i="2"/>
  <c r="K295" i="2" s="1"/>
  <c r="F294" i="2"/>
  <c r="F293" i="2"/>
  <c r="F292" i="2"/>
  <c r="F291" i="2"/>
  <c r="F290" i="2"/>
  <c r="F289" i="2"/>
  <c r="F288" i="2"/>
  <c r="K288" i="2" s="1"/>
  <c r="F287" i="2"/>
  <c r="F286" i="2"/>
  <c r="F285" i="2"/>
  <c r="F283" i="2"/>
  <c r="F281" i="2"/>
  <c r="F280" i="2"/>
  <c r="F279" i="2"/>
  <c r="F278" i="2"/>
  <c r="J278" i="2" s="1"/>
  <c r="H278" i="2" s="1"/>
  <c r="F277" i="2"/>
  <c r="K277" i="2" s="1"/>
  <c r="F276" i="2"/>
  <c r="F275" i="2"/>
  <c r="F273" i="2"/>
  <c r="F272" i="2"/>
  <c r="K272" i="2" s="1"/>
  <c r="F271" i="2"/>
  <c r="F270" i="2"/>
  <c r="K270" i="2" s="1"/>
  <c r="F269" i="2"/>
  <c r="F268" i="2"/>
  <c r="F267" i="2"/>
  <c r="F266" i="2"/>
  <c r="F265" i="2"/>
  <c r="F264" i="2"/>
  <c r="K264" i="2" s="1"/>
  <c r="F263" i="2"/>
  <c r="F262" i="2"/>
  <c r="K262" i="2" s="1"/>
  <c r="F261" i="2"/>
  <c r="F260" i="2"/>
  <c r="F259" i="2"/>
  <c r="F258" i="2"/>
  <c r="F255" i="2"/>
  <c r="F253" i="2"/>
  <c r="F252" i="2"/>
  <c r="J252" i="2" s="1"/>
  <c r="H252" i="2" s="1"/>
  <c r="F251" i="2"/>
  <c r="K251" i="2" s="1"/>
  <c r="F249" i="2"/>
  <c r="F248" i="2"/>
  <c r="F246" i="2"/>
  <c r="F245" i="2"/>
  <c r="F244" i="2"/>
  <c r="I244" i="2" s="1"/>
  <c r="F243" i="2"/>
  <c r="J243" i="2" s="1"/>
  <c r="H243" i="2" s="1"/>
  <c r="F240" i="2"/>
  <c r="F235" i="2"/>
  <c r="J235" i="2" s="1"/>
  <c r="H235" i="2" s="1"/>
  <c r="F234" i="2"/>
  <c r="F232" i="2"/>
  <c r="F231" i="2"/>
  <c r="F230" i="2"/>
  <c r="F229" i="2"/>
  <c r="F228" i="2"/>
  <c r="I228" i="2" s="1"/>
  <c r="F227" i="2"/>
  <c r="F226" i="2"/>
  <c r="F225" i="2"/>
  <c r="F223" i="2"/>
  <c r="I223" i="2" s="1"/>
  <c r="F222" i="2"/>
  <c r="I222" i="2" s="1"/>
  <c r="F221" i="2"/>
  <c r="F220" i="2"/>
  <c r="J220" i="2" s="1"/>
  <c r="H220" i="2" s="1"/>
  <c r="F219" i="2"/>
  <c r="J219" i="2" s="1"/>
  <c r="H219" i="2" s="1"/>
  <c r="F218" i="2"/>
  <c r="K217" i="2"/>
  <c r="F216" i="2"/>
  <c r="F214" i="2"/>
  <c r="F213" i="2"/>
  <c r="F212" i="2"/>
  <c r="F210" i="2"/>
  <c r="F208" i="2"/>
  <c r="F206" i="2"/>
  <c r="J206" i="2" s="1"/>
  <c r="H206" i="2" s="1"/>
  <c r="F205" i="2"/>
  <c r="J205" i="2" s="1"/>
  <c r="H205" i="2" s="1"/>
  <c r="F204" i="2"/>
  <c r="I204" i="2" s="1"/>
  <c r="F203" i="2"/>
  <c r="F201" i="2"/>
  <c r="J201" i="2" s="1"/>
  <c r="H201" i="2" s="1"/>
  <c r="F200" i="2"/>
  <c r="F199" i="2"/>
  <c r="I199" i="2" s="1"/>
  <c r="F198" i="2"/>
  <c r="F197" i="2"/>
  <c r="F195" i="2"/>
  <c r="F194" i="2"/>
  <c r="K194" i="2" s="1"/>
  <c r="F192" i="2"/>
  <c r="F191" i="2"/>
  <c r="F190" i="2"/>
  <c r="F189" i="2"/>
  <c r="I189" i="2" s="1"/>
  <c r="F188" i="2"/>
  <c r="I188" i="2" s="1"/>
  <c r="F186" i="2"/>
  <c r="F184" i="2"/>
  <c r="F182" i="2"/>
  <c r="K182" i="2" s="1"/>
  <c r="F180" i="2"/>
  <c r="F179" i="2"/>
  <c r="F178" i="2"/>
  <c r="F177" i="2"/>
  <c r="F175" i="2"/>
  <c r="F174" i="2"/>
  <c r="F173" i="2"/>
  <c r="F172" i="2"/>
  <c r="J172" i="2" s="1"/>
  <c r="H172" i="2" s="1"/>
  <c r="F170" i="2"/>
  <c r="F169" i="2"/>
  <c r="F168" i="2"/>
  <c r="F167" i="2"/>
  <c r="K167" i="2" s="1"/>
  <c r="F165" i="2"/>
  <c r="F164" i="2"/>
  <c r="F163" i="2"/>
  <c r="F162" i="2"/>
  <c r="K162" i="2" s="1"/>
  <c r="F161" i="2"/>
  <c r="F160" i="2"/>
  <c r="F159" i="2"/>
  <c r="F157" i="2"/>
  <c r="F155" i="2"/>
  <c r="I155" i="2" s="1"/>
  <c r="F154" i="2"/>
  <c r="K154" i="2" s="1"/>
  <c r="F153" i="2"/>
  <c r="F152" i="2"/>
  <c r="J152" i="2" s="1"/>
  <c r="H152" i="2" s="1"/>
  <c r="F151" i="2"/>
  <c r="F150" i="2"/>
  <c r="F149" i="2"/>
  <c r="F148" i="2"/>
  <c r="K148" i="2" s="1"/>
  <c r="F147" i="2"/>
  <c r="F145" i="2"/>
  <c r="J145" i="2" s="1"/>
  <c r="H145" i="2" s="1"/>
  <c r="F144" i="2"/>
  <c r="J144" i="2" s="1"/>
  <c r="H144" i="2" s="1"/>
  <c r="F142" i="2"/>
  <c r="F141" i="2"/>
  <c r="F140" i="2"/>
  <c r="F139" i="2"/>
  <c r="K139" i="2" s="1"/>
  <c r="F138" i="2"/>
  <c r="F136" i="2"/>
  <c r="K136" i="2" s="1"/>
  <c r="F135" i="2"/>
  <c r="F134" i="2"/>
  <c r="J134" i="2" s="1"/>
  <c r="H134" i="2" s="1"/>
  <c r="F132" i="2"/>
  <c r="F129" i="2"/>
  <c r="F128" i="2"/>
  <c r="J128" i="2" s="1"/>
  <c r="H128" i="2" s="1"/>
  <c r="F126" i="2"/>
  <c r="F125" i="2"/>
  <c r="F123" i="2"/>
  <c r="F122" i="2"/>
  <c r="K122" i="2" s="1"/>
  <c r="F121" i="2"/>
  <c r="K121" i="2" s="1"/>
  <c r="F120" i="2"/>
  <c r="F119" i="2"/>
  <c r="F118" i="2"/>
  <c r="F116" i="2"/>
  <c r="I116" i="2" s="1"/>
  <c r="F115" i="2"/>
  <c r="F114" i="2"/>
  <c r="J114" i="2" s="1"/>
  <c r="H114" i="2" s="1"/>
  <c r="F113" i="2"/>
  <c r="I113" i="2" s="1"/>
  <c r="F111" i="2"/>
  <c r="I111" i="2" s="1"/>
  <c r="F110" i="2"/>
  <c r="K110" i="2" s="1"/>
  <c r="F108" i="2"/>
  <c r="F105" i="2"/>
  <c r="F104" i="2"/>
  <c r="J104" i="2" s="1"/>
  <c r="H104" i="2" s="1"/>
  <c r="F103" i="2"/>
  <c r="I103" i="2" s="1"/>
  <c r="F101" i="2"/>
  <c r="I101" i="2" s="1"/>
  <c r="F99" i="2"/>
  <c r="F98" i="2"/>
  <c r="I98" i="2" s="1"/>
  <c r="F97" i="2"/>
  <c r="F96" i="2"/>
  <c r="F95" i="2"/>
  <c r="F94" i="2"/>
  <c r="F92" i="2"/>
  <c r="F91" i="2"/>
  <c r="F89" i="2"/>
  <c r="F88" i="2"/>
  <c r="J88" i="2" s="1"/>
  <c r="H88" i="2" s="1"/>
  <c r="F87" i="2"/>
  <c r="F86" i="2"/>
  <c r="F85" i="2"/>
  <c r="I85" i="2" s="1"/>
  <c r="F84" i="2"/>
  <c r="F83" i="2"/>
  <c r="F82" i="2"/>
  <c r="K82" i="2" s="1"/>
  <c r="F81" i="2"/>
  <c r="F79" i="2"/>
  <c r="F78" i="2"/>
  <c r="F77" i="2"/>
  <c r="K77" i="2" s="1"/>
  <c r="F75" i="2"/>
  <c r="F74" i="2"/>
  <c r="F73" i="2"/>
  <c r="F70" i="2"/>
  <c r="J70" i="2" s="1"/>
  <c r="H70" i="2" s="1"/>
  <c r="F69" i="2"/>
  <c r="K69" i="2" s="1"/>
  <c r="F68" i="2"/>
  <c r="F67" i="2"/>
  <c r="F66" i="2"/>
  <c r="F65" i="2"/>
  <c r="F63" i="2"/>
  <c r="F62" i="2"/>
  <c r="K62" i="2" s="1"/>
  <c r="F61" i="2"/>
  <c r="K61" i="2" s="1"/>
  <c r="F60" i="2"/>
  <c r="F59" i="2"/>
  <c r="K59" i="2" s="1"/>
  <c r="F58" i="2"/>
  <c r="F57" i="2"/>
  <c r="F56" i="2"/>
  <c r="F55" i="2"/>
  <c r="F54" i="2"/>
  <c r="I54" i="2" s="1"/>
  <c r="F53" i="2"/>
  <c r="K53" i="2" s="1"/>
  <c r="F52" i="2"/>
  <c r="F51" i="2"/>
  <c r="K51" i="2" s="1"/>
  <c r="F50" i="2"/>
  <c r="F48" i="2"/>
  <c r="F47" i="2"/>
  <c r="F46" i="2"/>
  <c r="F45" i="2"/>
  <c r="F44" i="2"/>
  <c r="F43" i="2"/>
  <c r="J43" i="2" s="1"/>
  <c r="H43" i="2" s="1"/>
  <c r="F41" i="2"/>
  <c r="E41" i="2"/>
  <c r="F39" i="2"/>
  <c r="E39" i="2"/>
  <c r="E37" i="2"/>
  <c r="F37" i="2" s="1"/>
  <c r="F36" i="2"/>
  <c r="J36" i="2" s="1"/>
  <c r="H36" i="2" s="1"/>
  <c r="E36" i="2"/>
  <c r="F35" i="2"/>
  <c r="J35" i="2" s="1"/>
  <c r="H35" i="2" s="1"/>
  <c r="E35" i="2"/>
  <c r="F33" i="2"/>
  <c r="J33" i="2" s="1"/>
  <c r="H33" i="2" s="1"/>
  <c r="E33" i="2"/>
  <c r="F32" i="2"/>
  <c r="E32" i="2"/>
  <c r="F30" i="2"/>
  <c r="K30" i="2" s="1"/>
  <c r="E30" i="2"/>
  <c r="F29" i="2"/>
  <c r="E29" i="2"/>
  <c r="E28" i="2"/>
  <c r="F28" i="2" s="1"/>
  <c r="J28" i="2" s="1"/>
  <c r="H28" i="2" s="1"/>
  <c r="F27" i="2"/>
  <c r="E27" i="2"/>
  <c r="F26" i="2"/>
  <c r="E26" i="2"/>
  <c r="F25" i="2"/>
  <c r="E25" i="2"/>
  <c r="E24" i="2"/>
  <c r="F24" i="2" s="1"/>
  <c r="E22" i="2"/>
  <c r="F21" i="2"/>
  <c r="E21" i="2"/>
  <c r="F23" i="2" s="1"/>
  <c r="F20" i="2"/>
  <c r="E20" i="2"/>
  <c r="F109" i="2" s="1"/>
  <c r="F18" i="2"/>
  <c r="E18" i="2"/>
  <c r="F439" i="2" s="1"/>
  <c r="F17" i="2"/>
  <c r="I17" i="2" s="1"/>
  <c r="F442" i="2"/>
  <c r="E442" i="2"/>
  <c r="E441" i="2"/>
  <c r="E440" i="2"/>
  <c r="G438" i="2"/>
  <c r="G437" i="2"/>
  <c r="G432" i="2"/>
  <c r="G431" i="2"/>
  <c r="G430" i="2"/>
  <c r="G429" i="2"/>
  <c r="G424" i="2"/>
  <c r="G423" i="2"/>
  <c r="G422" i="2"/>
  <c r="G419" i="2"/>
  <c r="G417" i="2"/>
  <c r="G414" i="2"/>
  <c r="I414" i="2"/>
  <c r="G413" i="2"/>
  <c r="G412" i="2"/>
  <c r="G411" i="2"/>
  <c r="G410" i="2"/>
  <c r="G404" i="2"/>
  <c r="G403" i="2"/>
  <c r="G402" i="2"/>
  <c r="G398" i="2"/>
  <c r="G397" i="2"/>
  <c r="G396" i="2"/>
  <c r="G395" i="2"/>
  <c r="I395" i="2"/>
  <c r="G394" i="2"/>
  <c r="G393" i="2"/>
  <c r="J388" i="2"/>
  <c r="H388" i="2" s="1"/>
  <c r="G388" i="2"/>
  <c r="K388" i="2"/>
  <c r="I388" i="2"/>
  <c r="G387" i="2"/>
  <c r="G386" i="2"/>
  <c r="G385" i="2"/>
  <c r="G384" i="2"/>
  <c r="K382" i="2"/>
  <c r="G380" i="2"/>
  <c r="I380" i="2"/>
  <c r="G376" i="2"/>
  <c r="G375" i="2"/>
  <c r="G374" i="2"/>
  <c r="G370" i="2"/>
  <c r="G364" i="2"/>
  <c r="G363" i="2"/>
  <c r="G361" i="2"/>
  <c r="G360" i="2"/>
  <c r="G359" i="2"/>
  <c r="K357" i="2"/>
  <c r="G357" i="2"/>
  <c r="J357" i="2"/>
  <c r="H357" i="2" s="1"/>
  <c r="K356" i="2"/>
  <c r="J356" i="2"/>
  <c r="H356" i="2" s="1"/>
  <c r="G356" i="2"/>
  <c r="I356" i="2"/>
  <c r="G352" i="2"/>
  <c r="G351" i="2"/>
  <c r="G348" i="2"/>
  <c r="I346" i="2"/>
  <c r="G344" i="2"/>
  <c r="G341" i="2"/>
  <c r="G335" i="2"/>
  <c r="G334" i="2"/>
  <c r="G331" i="2"/>
  <c r="G330" i="2"/>
  <c r="G329" i="2"/>
  <c r="G327" i="2"/>
  <c r="K323" i="2"/>
  <c r="J323" i="2"/>
  <c r="H323" i="2" s="1"/>
  <c r="G323" i="2"/>
  <c r="G321" i="2"/>
  <c r="G320" i="2"/>
  <c r="G314" i="2"/>
  <c r="G313" i="2"/>
  <c r="G312" i="2"/>
  <c r="G311" i="2"/>
  <c r="K306" i="2"/>
  <c r="J306" i="2"/>
  <c r="H306" i="2" s="1"/>
  <c r="I306" i="2"/>
  <c r="G306" i="2"/>
  <c r="G302" i="2"/>
  <c r="G301" i="2"/>
  <c r="G296" i="2"/>
  <c r="I295" i="2"/>
  <c r="J295" i="2"/>
  <c r="H295" i="2" s="1"/>
  <c r="G295" i="2"/>
  <c r="J294" i="2"/>
  <c r="H294" i="2" s="1"/>
  <c r="G294" i="2"/>
  <c r="G293" i="2"/>
  <c r="K293" i="2"/>
  <c r="G288" i="2"/>
  <c r="K287" i="2"/>
  <c r="I287" i="2"/>
  <c r="J287" i="2"/>
  <c r="H287" i="2" s="1"/>
  <c r="G287" i="2"/>
  <c r="G285" i="2"/>
  <c r="G281" i="2"/>
  <c r="G278" i="2"/>
  <c r="I277" i="2"/>
  <c r="J277" i="2"/>
  <c r="H277" i="2" s="1"/>
  <c r="G277" i="2"/>
  <c r="I275" i="2"/>
  <c r="G275" i="2"/>
  <c r="K275" i="2"/>
  <c r="J275" i="2"/>
  <c r="H275" i="2" s="1"/>
  <c r="K274" i="2"/>
  <c r="G273" i="2"/>
  <c r="G270" i="2"/>
  <c r="G269" i="2"/>
  <c r="G267" i="2"/>
  <c r="G265" i="2"/>
  <c r="G262" i="2"/>
  <c r="G261" i="2"/>
  <c r="G260" i="2"/>
  <c r="G259" i="2"/>
  <c r="G258" i="2"/>
  <c r="G252" i="2"/>
  <c r="G251" i="2"/>
  <c r="G244" i="2"/>
  <c r="G243" i="2"/>
  <c r="G240" i="2"/>
  <c r="G235" i="2"/>
  <c r="G234" i="2"/>
  <c r="G231" i="2"/>
  <c r="K230" i="2"/>
  <c r="G229" i="2"/>
  <c r="G228" i="2"/>
  <c r="G225" i="2"/>
  <c r="G220" i="2"/>
  <c r="G219" i="2"/>
  <c r="G218" i="2"/>
  <c r="G217" i="2"/>
  <c r="G215" i="2"/>
  <c r="K214" i="2"/>
  <c r="G213" i="2"/>
  <c r="K212" i="2"/>
  <c r="J212" i="2"/>
  <c r="H212" i="2" s="1"/>
  <c r="G212" i="2"/>
  <c r="I212" i="2"/>
  <c r="G208" i="2"/>
  <c r="J202" i="2"/>
  <c r="H202" i="2" s="1"/>
  <c r="G202" i="2"/>
  <c r="G201" i="2"/>
  <c r="G200" i="2"/>
  <c r="G199" i="2"/>
  <c r="G197" i="2"/>
  <c r="G194" i="2"/>
  <c r="G191" i="2"/>
  <c r="J190" i="2"/>
  <c r="H190" i="2" s="1"/>
  <c r="G186" i="2"/>
  <c r="G184" i="2"/>
  <c r="G182" i="2"/>
  <c r="G179" i="2"/>
  <c r="K178" i="2"/>
  <c r="G177" i="2"/>
  <c r="G173" i="2"/>
  <c r="I170" i="2"/>
  <c r="G167" i="2"/>
  <c r="G161" i="2"/>
  <c r="K160" i="2"/>
  <c r="J160" i="2"/>
  <c r="H160" i="2" s="1"/>
  <c r="G160" i="2"/>
  <c r="I160" i="2"/>
  <c r="G157" i="2"/>
  <c r="G152" i="2"/>
  <c r="J150" i="2"/>
  <c r="H150" i="2" s="1"/>
  <c r="I149" i="2"/>
  <c r="G148" i="2"/>
  <c r="G145" i="2"/>
  <c r="G144" i="2"/>
  <c r="G142" i="2"/>
  <c r="J140" i="2"/>
  <c r="H140" i="2" s="1"/>
  <c r="G139" i="2"/>
  <c r="G136" i="2"/>
  <c r="G134" i="2"/>
  <c r="J129" i="2"/>
  <c r="H129" i="2" s="1"/>
  <c r="I129" i="2"/>
  <c r="K129" i="2"/>
  <c r="K128" i="2"/>
  <c r="G128" i="2"/>
  <c r="G126" i="2"/>
  <c r="G122" i="2"/>
  <c r="G121" i="2"/>
  <c r="G120" i="2"/>
  <c r="G119" i="2"/>
  <c r="K118" i="2"/>
  <c r="G114" i="2"/>
  <c r="G113" i="2"/>
  <c r="G111" i="2"/>
  <c r="K108" i="2"/>
  <c r="G104" i="2"/>
  <c r="G103" i="2"/>
  <c r="G101" i="2"/>
  <c r="J96" i="2"/>
  <c r="H96" i="2" s="1"/>
  <c r="I96" i="2"/>
  <c r="G96" i="2"/>
  <c r="K96" i="2"/>
  <c r="K95" i="2"/>
  <c r="I95" i="2"/>
  <c r="G95" i="2"/>
  <c r="G94" i="2"/>
  <c r="G91" i="2"/>
  <c r="I90" i="2"/>
  <c r="J90" i="2"/>
  <c r="G88" i="2"/>
  <c r="K87" i="2"/>
  <c r="G87" i="2"/>
  <c r="G86" i="2"/>
  <c r="G85" i="2"/>
  <c r="G78" i="2"/>
  <c r="I77" i="2"/>
  <c r="G77" i="2"/>
  <c r="K76" i="2"/>
  <c r="G75" i="2"/>
  <c r="K74" i="2"/>
  <c r="G73" i="2"/>
  <c r="G70" i="2"/>
  <c r="K70" i="2"/>
  <c r="G67" i="2"/>
  <c r="J67" i="2"/>
  <c r="H67" i="2" s="1"/>
  <c r="K64" i="2"/>
  <c r="I64" i="2"/>
  <c r="J64" i="2"/>
  <c r="H64" i="2" s="1"/>
  <c r="G62" i="2"/>
  <c r="G59" i="2"/>
  <c r="G54" i="2"/>
  <c r="G53" i="2"/>
  <c r="G52" i="2"/>
  <c r="G51" i="2"/>
  <c r="K48" i="2"/>
  <c r="G47" i="2"/>
  <c r="K46" i="2"/>
  <c r="J46" i="2"/>
  <c r="H46" i="2" s="1"/>
  <c r="G46" i="2"/>
  <c r="I46" i="2"/>
  <c r="G45" i="2"/>
  <c r="G43" i="2"/>
  <c r="K39" i="2"/>
  <c r="G36" i="2"/>
  <c r="G35" i="2"/>
  <c r="G33" i="2"/>
  <c r="G29" i="2"/>
  <c r="G28" i="2"/>
  <c r="G27" i="2"/>
  <c r="K25" i="2"/>
  <c r="G25" i="2"/>
  <c r="J25" i="2"/>
  <c r="H25" i="2" s="1"/>
  <c r="G22" i="2"/>
  <c r="G21" i="2"/>
  <c r="J21" i="2"/>
  <c r="H21" i="2" s="1"/>
  <c r="K21" i="2"/>
  <c r="G19" i="2"/>
  <c r="K16" i="2"/>
  <c r="G16" i="2"/>
  <c r="F16" i="2"/>
  <c r="I16" i="2" s="1"/>
  <c r="E16" i="2"/>
  <c r="J16" i="2" s="1"/>
  <c r="H16" i="2" s="1"/>
  <c r="E15" i="2"/>
  <c r="F15" i="2" s="1"/>
  <c r="I15" i="2" s="1"/>
  <c r="G14" i="2"/>
  <c r="E14" i="2"/>
  <c r="E11" i="2"/>
  <c r="G10" i="2"/>
  <c r="F10" i="2"/>
  <c r="J10" i="2" s="1"/>
  <c r="H10" i="2" s="1"/>
  <c r="E10" i="2"/>
  <c r="E8" i="2"/>
  <c r="F8" i="2" s="1"/>
  <c r="F7" i="2"/>
  <c r="I7" i="2" s="1"/>
  <c r="E6" i="2"/>
  <c r="G6" i="2" s="1"/>
  <c r="K4" i="2"/>
  <c r="I4" i="2"/>
  <c r="G4" i="2"/>
  <c r="F4" i="2"/>
  <c r="E4" i="2"/>
  <c r="J4" i="2" s="1"/>
  <c r="H4" i="2" s="1"/>
  <c r="J3" i="2"/>
  <c r="H3" i="2" s="1"/>
  <c r="F3" i="2"/>
  <c r="E3" i="2"/>
  <c r="K3" i="2" s="1"/>
  <c r="I296" i="2" l="1"/>
  <c r="K330" i="2"/>
  <c r="J148" i="2"/>
  <c r="H148" i="2" s="1"/>
  <c r="I314" i="2"/>
  <c r="K201" i="2"/>
  <c r="K222" i="2"/>
  <c r="K370" i="2"/>
  <c r="J380" i="2"/>
  <c r="H380" i="2" s="1"/>
  <c r="I411" i="2"/>
  <c r="J359" i="2"/>
  <c r="H359" i="2" s="1"/>
  <c r="K359" i="2"/>
  <c r="J370" i="2"/>
  <c r="H370" i="2" s="1"/>
  <c r="I104" i="2"/>
  <c r="I313" i="2"/>
  <c r="J398" i="2"/>
  <c r="H398" i="2" s="1"/>
  <c r="J314" i="2"/>
  <c r="H314" i="2" s="1"/>
  <c r="K199" i="2"/>
  <c r="J344" i="2"/>
  <c r="H344" i="2" s="1"/>
  <c r="I398" i="2"/>
  <c r="K104" i="2"/>
  <c r="K116" i="2"/>
  <c r="J167" i="2"/>
  <c r="H167" i="2" s="1"/>
  <c r="J116" i="2"/>
  <c r="H116" i="2" s="1"/>
  <c r="K424" i="2"/>
  <c r="I70" i="2"/>
  <c r="K252" i="2"/>
  <c r="J414" i="2"/>
  <c r="H414" i="2" s="1"/>
  <c r="K114" i="2"/>
  <c r="I320" i="2"/>
  <c r="J341" i="2"/>
  <c r="H341" i="2" s="1"/>
  <c r="I363" i="2"/>
  <c r="I82" i="2"/>
  <c r="I145" i="2"/>
  <c r="I154" i="2"/>
  <c r="J320" i="2"/>
  <c r="H320" i="2" s="1"/>
  <c r="I330" i="2"/>
  <c r="K352" i="2"/>
  <c r="I114" i="2"/>
  <c r="J329" i="2"/>
  <c r="H329" i="2" s="1"/>
  <c r="J228" i="2"/>
  <c r="H228" i="2" s="1"/>
  <c r="I243" i="2"/>
  <c r="K103" i="2"/>
  <c r="K406" i="2"/>
  <c r="I424" i="2"/>
  <c r="J54" i="2"/>
  <c r="H54" i="2" s="1"/>
  <c r="J301" i="2"/>
  <c r="H301" i="2" s="1"/>
  <c r="I136" i="2"/>
  <c r="J270" i="2"/>
  <c r="H270" i="2" s="1"/>
  <c r="J319" i="2"/>
  <c r="J364" i="2"/>
  <c r="H364" i="2" s="1"/>
  <c r="K313" i="2"/>
  <c r="J136" i="2"/>
  <c r="H136" i="2" s="1"/>
  <c r="K228" i="2"/>
  <c r="J296" i="2"/>
  <c r="H296" i="2" s="1"/>
  <c r="J321" i="2"/>
  <c r="H321" i="2" s="1"/>
  <c r="K364" i="2"/>
  <c r="K431" i="2"/>
  <c r="J51" i="2"/>
  <c r="H51" i="2" s="1"/>
  <c r="K88" i="2"/>
  <c r="K98" i="2"/>
  <c r="I278" i="2"/>
  <c r="I194" i="2"/>
  <c r="I88" i="2"/>
  <c r="I182" i="2"/>
  <c r="J272" i="2"/>
  <c r="H272" i="2" s="1"/>
  <c r="K278" i="2"/>
  <c r="I288" i="2"/>
  <c r="K301" i="2"/>
  <c r="I36" i="2"/>
  <c r="I59" i="2"/>
  <c r="J194" i="2"/>
  <c r="H194" i="2" s="1"/>
  <c r="K219" i="2"/>
  <c r="J262" i="2"/>
  <c r="H262" i="2" s="1"/>
  <c r="I272" i="2"/>
  <c r="J288" i="2"/>
  <c r="H288" i="2" s="1"/>
  <c r="J331" i="2"/>
  <c r="H331" i="2" s="1"/>
  <c r="I406" i="2"/>
  <c r="J59" i="2"/>
  <c r="H59" i="2" s="1"/>
  <c r="K144" i="2"/>
  <c r="K10" i="2"/>
  <c r="K113" i="2"/>
  <c r="I122" i="2"/>
  <c r="K235" i="2"/>
  <c r="K311" i="2"/>
  <c r="J122" i="2"/>
  <c r="H122" i="2" s="1"/>
  <c r="I134" i="2"/>
  <c r="I205" i="2"/>
  <c r="I144" i="2"/>
  <c r="I251" i="2"/>
  <c r="J351" i="2"/>
  <c r="H351" i="2" s="1"/>
  <c r="J413" i="2"/>
  <c r="H413" i="2" s="1"/>
  <c r="J17" i="2"/>
  <c r="J251" i="2"/>
  <c r="H251" i="2" s="1"/>
  <c r="I351" i="2"/>
  <c r="I413" i="2"/>
  <c r="I262" i="2"/>
  <c r="I270" i="2"/>
  <c r="K419" i="2"/>
  <c r="J432" i="2"/>
  <c r="H432" i="2" s="1"/>
  <c r="K432" i="2"/>
  <c r="I432" i="2"/>
  <c r="I423" i="2"/>
  <c r="K423" i="2"/>
  <c r="J423" i="2"/>
  <c r="H423" i="2" s="1"/>
  <c r="J135" i="2"/>
  <c r="I28" i="2"/>
  <c r="J286" i="2"/>
  <c r="K291" i="2" s="1"/>
  <c r="I344" i="2"/>
  <c r="J352" i="2"/>
  <c r="H352" i="2" s="1"/>
  <c r="F34" i="2"/>
  <c r="F100" i="2"/>
  <c r="K100" i="2" s="1"/>
  <c r="F187" i="2"/>
  <c r="J187" i="2" s="1"/>
  <c r="F196" i="2"/>
  <c r="I196" i="2" s="1"/>
  <c r="F224" i="2"/>
  <c r="J224" i="2" s="1"/>
  <c r="H224" i="2" s="1"/>
  <c r="F242" i="2"/>
  <c r="K242" i="2" s="1"/>
  <c r="F418" i="2"/>
  <c r="I418" i="2" s="1"/>
  <c r="F93" i="2"/>
  <c r="J93" i="2" s="1"/>
  <c r="F146" i="2"/>
  <c r="I146" i="2" s="1"/>
  <c r="F233" i="2"/>
  <c r="J233" i="2" s="1"/>
  <c r="F343" i="2"/>
  <c r="J343" i="2" s="1"/>
  <c r="H343" i="2" s="1"/>
  <c r="F49" i="2"/>
  <c r="F112" i="2"/>
  <c r="J112" i="2" s="1"/>
  <c r="F298" i="2"/>
  <c r="I298" i="2" s="1"/>
  <c r="F436" i="2"/>
  <c r="I436" i="2" s="1"/>
  <c r="K28" i="2"/>
  <c r="J77" i="2"/>
  <c r="H77" i="2" s="1"/>
  <c r="I165" i="2"/>
  <c r="J339" i="2"/>
  <c r="K426" i="2"/>
  <c r="I431" i="2"/>
  <c r="F22" i="2"/>
  <c r="K22" i="2" s="1"/>
  <c r="F31" i="2"/>
  <c r="J31" i="2" s="1"/>
  <c r="H31" i="2" s="1"/>
  <c r="F42" i="2"/>
  <c r="J42" i="2" s="1"/>
  <c r="H42" i="2" s="1"/>
  <c r="J156" i="2"/>
  <c r="H156" i="2" s="1"/>
  <c r="F102" i="2"/>
  <c r="J102" i="2" s="1"/>
  <c r="H102" i="2" s="1"/>
  <c r="F171" i="2"/>
  <c r="I171" i="2" s="1"/>
  <c r="F362" i="2"/>
  <c r="J362" i="2" s="1"/>
  <c r="I139" i="2"/>
  <c r="J247" i="2"/>
  <c r="H247" i="2" s="1"/>
  <c r="F211" i="2"/>
  <c r="F238" i="2"/>
  <c r="I238" i="2" s="1"/>
  <c r="F257" i="2"/>
  <c r="J257" i="2" s="1"/>
  <c r="F300" i="2"/>
  <c r="I300" i="2" s="1"/>
  <c r="F310" i="2"/>
  <c r="J310" i="2" s="1"/>
  <c r="H310" i="2" s="1"/>
  <c r="F355" i="2"/>
  <c r="J355" i="2" s="1"/>
  <c r="F428" i="2"/>
  <c r="I428" i="2" s="1"/>
  <c r="F80" i="2"/>
  <c r="J80" i="2" s="1"/>
  <c r="F133" i="2"/>
  <c r="J133" i="2" s="1"/>
  <c r="F158" i="2"/>
  <c r="I158" i="2" s="1"/>
  <c r="F166" i="2"/>
  <c r="F239" i="2"/>
  <c r="K239" i="2" s="1"/>
  <c r="I249" i="2"/>
  <c r="I135" i="2"/>
  <c r="J139" i="2"/>
  <c r="H139" i="2" s="1"/>
  <c r="I217" i="2"/>
  <c r="I252" i="2"/>
  <c r="F124" i="2"/>
  <c r="I124" i="2" s="1"/>
  <c r="F143" i="2"/>
  <c r="F185" i="2"/>
  <c r="I185" i="2" s="1"/>
  <c r="F340" i="2"/>
  <c r="K340" i="2" s="1"/>
  <c r="F349" i="2"/>
  <c r="F117" i="2"/>
  <c r="K117" i="2" s="1"/>
  <c r="F176" i="2"/>
  <c r="F241" i="2"/>
  <c r="I241" i="2" s="1"/>
  <c r="F250" i="2"/>
  <c r="K250" i="2" s="1"/>
  <c r="F305" i="2"/>
  <c r="F400" i="2"/>
  <c r="I400" i="2" s="1"/>
  <c r="F434" i="2"/>
  <c r="K434" i="2" s="1"/>
  <c r="K32" i="2"/>
  <c r="K33" i="2"/>
  <c r="I63" i="2"/>
  <c r="K68" i="2"/>
  <c r="G132" i="2"/>
  <c r="G138" i="2"/>
  <c r="K138" i="2"/>
  <c r="G175" i="2"/>
  <c r="K175" i="2"/>
  <c r="K191" i="2"/>
  <c r="I191" i="2"/>
  <c r="I232" i="2"/>
  <c r="G232" i="2"/>
  <c r="J232" i="2"/>
  <c r="H232" i="2" s="1"/>
  <c r="G3" i="2"/>
  <c r="K7" i="2"/>
  <c r="F9" i="2"/>
  <c r="J9" i="2" s="1"/>
  <c r="I10" i="2"/>
  <c r="K18" i="2"/>
  <c r="J20" i="2"/>
  <c r="H20" i="2" s="1"/>
  <c r="I24" i="2"/>
  <c r="I35" i="2"/>
  <c r="K36" i="2"/>
  <c r="K52" i="2"/>
  <c r="I53" i="2"/>
  <c r="K54" i="2"/>
  <c r="I61" i="2"/>
  <c r="G63" i="2"/>
  <c r="J66" i="2"/>
  <c r="G68" i="2"/>
  <c r="J82" i="2"/>
  <c r="H82" i="2" s="1"/>
  <c r="G89" i="2"/>
  <c r="K89" i="2"/>
  <c r="K91" i="2"/>
  <c r="I108" i="2"/>
  <c r="K126" i="2"/>
  <c r="J126" i="2"/>
  <c r="H126" i="2" s="1"/>
  <c r="I132" i="2"/>
  <c r="J155" i="2"/>
  <c r="H155" i="2" s="1"/>
  <c r="K170" i="2"/>
  <c r="I175" i="2"/>
  <c r="G180" i="2"/>
  <c r="I180" i="2"/>
  <c r="J180" i="2"/>
  <c r="H180" i="2" s="1"/>
  <c r="I186" i="2"/>
  <c r="K186" i="2"/>
  <c r="J203" i="2"/>
  <c r="H203" i="2" s="1"/>
  <c r="I203" i="2"/>
  <c r="G203" i="2"/>
  <c r="J215" i="2"/>
  <c r="H215" i="2" s="1"/>
  <c r="K215" i="2"/>
  <c r="K308" i="2"/>
  <c r="I308" i="2"/>
  <c r="K316" i="2"/>
  <c r="I316" i="2"/>
  <c r="K15" i="2"/>
  <c r="J18" i="2"/>
  <c r="H18" i="2" s="1"/>
  <c r="J75" i="2"/>
  <c r="H75" i="2" s="1"/>
  <c r="I210" i="2"/>
  <c r="G210" i="2"/>
  <c r="J210" i="2"/>
  <c r="H210" i="2" s="1"/>
  <c r="G15" i="2"/>
  <c r="G20" i="2"/>
  <c r="G24" i="2"/>
  <c r="J37" i="2"/>
  <c r="H37" i="2" s="1"/>
  <c r="I39" i="2"/>
  <c r="J53" i="2"/>
  <c r="H53" i="2" s="1"/>
  <c r="I55" i="2"/>
  <c r="J55" i="2"/>
  <c r="H55" i="2" s="1"/>
  <c r="I56" i="2"/>
  <c r="J60" i="2"/>
  <c r="H60" i="2" s="1"/>
  <c r="K60" i="2"/>
  <c r="I60" i="2"/>
  <c r="K65" i="2"/>
  <c r="G79" i="2"/>
  <c r="J79" i="2"/>
  <c r="H79" i="2" s="1"/>
  <c r="G84" i="2"/>
  <c r="I87" i="2"/>
  <c r="I97" i="2"/>
  <c r="G97" i="2"/>
  <c r="K99" i="2"/>
  <c r="J99" i="2"/>
  <c r="H99" i="2" s="1"/>
  <c r="K101" i="2"/>
  <c r="J101" i="2"/>
  <c r="H101" i="2" s="1"/>
  <c r="I153" i="2"/>
  <c r="K153" i="2"/>
  <c r="G153" i="2"/>
  <c r="I163" i="2"/>
  <c r="K163" i="2"/>
  <c r="K225" i="2"/>
  <c r="I225" i="2"/>
  <c r="K232" i="2"/>
  <c r="J261" i="2"/>
  <c r="H261" i="2" s="1"/>
  <c r="I261" i="2"/>
  <c r="J7" i="2"/>
  <c r="K23" i="2" s="1"/>
  <c r="I58" i="2"/>
  <c r="G58" i="2"/>
  <c r="K85" i="2"/>
  <c r="J85" i="2"/>
  <c r="H85" i="2" s="1"/>
  <c r="I3" i="2"/>
  <c r="G8" i="2"/>
  <c r="F14" i="2"/>
  <c r="J14" i="2" s="1"/>
  <c r="H14" i="2" s="1"/>
  <c r="I20" i="2"/>
  <c r="J23" i="2"/>
  <c r="I25" i="2"/>
  <c r="J30" i="2"/>
  <c r="H30" i="2" s="1"/>
  <c r="G30" i="2"/>
  <c r="K35" i="2"/>
  <c r="G37" i="2"/>
  <c r="I43" i="2"/>
  <c r="J48" i="2"/>
  <c r="H48" i="2" s="1"/>
  <c r="G48" i="2"/>
  <c r="I49" i="2"/>
  <c r="G55" i="2"/>
  <c r="J58" i="2"/>
  <c r="H58" i="2" s="1"/>
  <c r="G60" i="2"/>
  <c r="J63" i="2"/>
  <c r="H63" i="2" s="1"/>
  <c r="G65" i="2"/>
  <c r="J74" i="2"/>
  <c r="H74" i="2" s="1"/>
  <c r="I79" i="2"/>
  <c r="J84" i="2"/>
  <c r="H84" i="2" s="1"/>
  <c r="J86" i="2"/>
  <c r="H86" i="2" s="1"/>
  <c r="J91" i="2"/>
  <c r="H91" i="2" s="1"/>
  <c r="G99" i="2"/>
  <c r="G105" i="2"/>
  <c r="J105" i="2"/>
  <c r="H105" i="2" s="1"/>
  <c r="J109" i="2"/>
  <c r="K111" i="2"/>
  <c r="J111" i="2"/>
  <c r="H111" i="2" s="1"/>
  <c r="I126" i="2"/>
  <c r="J151" i="2"/>
  <c r="H151" i="2" s="1"/>
  <c r="I151" i="2"/>
  <c r="J153" i="2"/>
  <c r="H153" i="2" s="1"/>
  <c r="G159" i="2"/>
  <c r="I159" i="2"/>
  <c r="G163" i="2"/>
  <c r="K173" i="2"/>
  <c r="I173" i="2"/>
  <c r="K180" i="2"/>
  <c r="J186" i="2"/>
  <c r="H186" i="2" s="1"/>
  <c r="J189" i="2"/>
  <c r="H189" i="2" s="1"/>
  <c r="I192" i="2"/>
  <c r="G192" i="2"/>
  <c r="K204" i="2"/>
  <c r="I216" i="2"/>
  <c r="G216" i="2"/>
  <c r="K216" i="2"/>
  <c r="J216" i="2"/>
  <c r="H216" i="2" s="1"/>
  <c r="I220" i="2"/>
  <c r="K220" i="2"/>
  <c r="J246" i="2"/>
  <c r="H246" i="2" s="1"/>
  <c r="G246" i="2"/>
  <c r="K246" i="2"/>
  <c r="I246" i="2"/>
  <c r="K261" i="2"/>
  <c r="K43" i="2"/>
  <c r="J49" i="2"/>
  <c r="H49" i="2" s="1"/>
  <c r="I168" i="2"/>
  <c r="K259" i="2"/>
  <c r="I259" i="2"/>
  <c r="F6" i="2"/>
  <c r="I6" i="2" s="1"/>
  <c r="I8" i="2"/>
  <c r="F11" i="2"/>
  <c r="J11" i="2" s="1"/>
  <c r="H11" i="2" s="1"/>
  <c r="J15" i="2"/>
  <c r="H15" i="2" s="1"/>
  <c r="G18" i="2"/>
  <c r="J24" i="2"/>
  <c r="H24" i="2" s="1"/>
  <c r="I26" i="2"/>
  <c r="K26" i="2"/>
  <c r="J41" i="2"/>
  <c r="H41" i="2" s="1"/>
  <c r="I44" i="2"/>
  <c r="G57" i="2"/>
  <c r="I123" i="2"/>
  <c r="G123" i="2"/>
  <c r="I137" i="2"/>
  <c r="K137" i="2"/>
  <c r="J137" i="2"/>
  <c r="H137" i="2" s="1"/>
  <c r="G147" i="2"/>
  <c r="K147" i="2"/>
  <c r="J147" i="2"/>
  <c r="H147" i="2" s="1"/>
  <c r="K193" i="2"/>
  <c r="K208" i="2"/>
  <c r="I208" i="2"/>
  <c r="J223" i="2"/>
  <c r="H223" i="2" s="1"/>
  <c r="J226" i="2"/>
  <c r="H226" i="2" s="1"/>
  <c r="J268" i="2"/>
  <c r="H268" i="2" s="1"/>
  <c r="G268" i="2"/>
  <c r="I280" i="2"/>
  <c r="K280" i="2"/>
  <c r="G69" i="2"/>
  <c r="J69" i="2"/>
  <c r="H69" i="2" s="1"/>
  <c r="I76" i="2"/>
  <c r="I94" i="2"/>
  <c r="K94" i="2"/>
  <c r="G115" i="2"/>
  <c r="I115" i="2"/>
  <c r="K119" i="2"/>
  <c r="J119" i="2"/>
  <c r="H119" i="2" s="1"/>
  <c r="J125" i="2"/>
  <c r="H125" i="2" s="1"/>
  <c r="I125" i="2"/>
  <c r="G125" i="2"/>
  <c r="J141" i="2"/>
  <c r="H141" i="2" s="1"/>
  <c r="K141" i="2"/>
  <c r="I141" i="2"/>
  <c r="G141" i="2"/>
  <c r="J291" i="2"/>
  <c r="H291" i="2" s="1"/>
  <c r="I291" i="2"/>
  <c r="F5" i="2"/>
  <c r="J5" i="2" s="1"/>
  <c r="K17" i="2" s="1"/>
  <c r="J8" i="2"/>
  <c r="H8" i="2" s="1"/>
  <c r="G11" i="2"/>
  <c r="J19" i="2"/>
  <c r="H19" i="2" s="1"/>
  <c r="I21" i="2"/>
  <c r="I23" i="2"/>
  <c r="G26" i="2"/>
  <c r="J27" i="2"/>
  <c r="H27" i="2" s="1"/>
  <c r="I29" i="2"/>
  <c r="I30" i="2"/>
  <c r="I32" i="2"/>
  <c r="K37" i="2"/>
  <c r="G41" i="2"/>
  <c r="J45" i="2"/>
  <c r="H45" i="2" s="1"/>
  <c r="I48" i="2"/>
  <c r="I50" i="2"/>
  <c r="K55" i="2"/>
  <c r="G61" i="2"/>
  <c r="J61" i="2"/>
  <c r="H61" i="2" s="1"/>
  <c r="I62" i="2"/>
  <c r="I66" i="2"/>
  <c r="I67" i="2"/>
  <c r="I73" i="2"/>
  <c r="I74" i="2"/>
  <c r="J78" i="2"/>
  <c r="H78" i="2" s="1"/>
  <c r="K78" i="2"/>
  <c r="I78" i="2"/>
  <c r="K79" i="2"/>
  <c r="K84" i="2"/>
  <c r="J98" i="2"/>
  <c r="H98" i="2" s="1"/>
  <c r="K105" i="2"/>
  <c r="J110" i="2"/>
  <c r="H110" i="2" s="1"/>
  <c r="I110" i="2"/>
  <c r="G110" i="2"/>
  <c r="I119" i="2"/>
  <c r="I121" i="2"/>
  <c r="G137" i="2"/>
  <c r="I147" i="2"/>
  <c r="K157" i="2"/>
  <c r="I157" i="2"/>
  <c r="J168" i="2"/>
  <c r="J171" i="2"/>
  <c r="H171" i="2" s="1"/>
  <c r="I174" i="2"/>
  <c r="G174" i="2"/>
  <c r="K188" i="2"/>
  <c r="I193" i="2"/>
  <c r="I198" i="2"/>
  <c r="G198" i="2"/>
  <c r="K198" i="2"/>
  <c r="J198" i="2"/>
  <c r="H198" i="2" s="1"/>
  <c r="I202" i="2"/>
  <c r="K202" i="2"/>
  <c r="J221" i="2"/>
  <c r="H221" i="2" s="1"/>
  <c r="I221" i="2"/>
  <c r="K221" i="2"/>
  <c r="G221" i="2"/>
  <c r="I226" i="2"/>
  <c r="K231" i="2"/>
  <c r="J231" i="2"/>
  <c r="H231" i="2" s="1"/>
  <c r="I231" i="2"/>
  <c r="G350" i="2"/>
  <c r="I350" i="2"/>
  <c r="K350" i="2"/>
  <c r="J350" i="2"/>
  <c r="H350" i="2" s="1"/>
  <c r="J22" i="2"/>
  <c r="H22" i="2" s="1"/>
  <c r="K57" i="2"/>
  <c r="I57" i="2"/>
  <c r="K58" i="2"/>
  <c r="K63" i="2"/>
  <c r="I81" i="2"/>
  <c r="J92" i="2"/>
  <c r="H92" i="2" s="1"/>
  <c r="I92" i="2"/>
  <c r="G92" i="2"/>
  <c r="J127" i="2"/>
  <c r="H127" i="2" s="1"/>
  <c r="G127" i="2"/>
  <c r="G164" i="2"/>
  <c r="K164" i="2"/>
  <c r="J164" i="2"/>
  <c r="H164" i="2" s="1"/>
  <c r="J197" i="2"/>
  <c r="H197" i="2" s="1"/>
  <c r="K197" i="2"/>
  <c r="K8" i="2"/>
  <c r="I18" i="2"/>
  <c r="G32" i="2"/>
  <c r="I33" i="2"/>
  <c r="J39" i="2"/>
  <c r="H39" i="2" s="1"/>
  <c r="G39" i="2"/>
  <c r="G50" i="2"/>
  <c r="I51" i="2"/>
  <c r="J56" i="2"/>
  <c r="H56" i="2" s="1"/>
  <c r="J62" i="2"/>
  <c r="H62" i="2" s="1"/>
  <c r="K67" i="2"/>
  <c r="I69" i="2"/>
  <c r="J76" i="2"/>
  <c r="H76" i="2" s="1"/>
  <c r="K92" i="2"/>
  <c r="J94" i="2"/>
  <c r="H94" i="2" s="1"/>
  <c r="J108" i="2"/>
  <c r="H108" i="2" s="1"/>
  <c r="J118" i="2"/>
  <c r="H118" i="2" s="1"/>
  <c r="I118" i="2"/>
  <c r="G118" i="2"/>
  <c r="J120" i="2"/>
  <c r="H120" i="2" s="1"/>
  <c r="K120" i="2"/>
  <c r="I120" i="2"/>
  <c r="K125" i="2"/>
  <c r="K142" i="2"/>
  <c r="J142" i="2"/>
  <c r="H142" i="2" s="1"/>
  <c r="I142" i="2"/>
  <c r="I152" i="2"/>
  <c r="K152" i="2"/>
  <c r="J169" i="2"/>
  <c r="H169" i="2" s="1"/>
  <c r="G169" i="2"/>
  <c r="I179" i="2"/>
  <c r="G227" i="2"/>
  <c r="I227" i="2"/>
  <c r="K244" i="2"/>
  <c r="J244" i="2"/>
  <c r="H244" i="2" s="1"/>
  <c r="G248" i="2"/>
  <c r="K248" i="2"/>
  <c r="I248" i="2"/>
  <c r="I297" i="2"/>
  <c r="G297" i="2"/>
  <c r="K297" i="2"/>
  <c r="J297" i="2"/>
  <c r="H297" i="2" s="1"/>
  <c r="J315" i="2"/>
  <c r="H315" i="2" s="1"/>
  <c r="G315" i="2"/>
  <c r="I315" i="2"/>
  <c r="J87" i="2"/>
  <c r="H87" i="2" s="1"/>
  <c r="J95" i="2"/>
  <c r="H95" i="2" s="1"/>
  <c r="J103" i="2"/>
  <c r="H103" i="2" s="1"/>
  <c r="J113" i="2"/>
  <c r="H113" i="2" s="1"/>
  <c r="J121" i="2"/>
  <c r="H121" i="2" s="1"/>
  <c r="I140" i="2"/>
  <c r="J149" i="2"/>
  <c r="H149" i="2" s="1"/>
  <c r="G150" i="2"/>
  <c r="I167" i="2"/>
  <c r="I172" i="2"/>
  <c r="K184" i="2"/>
  <c r="I190" i="2"/>
  <c r="K200" i="2"/>
  <c r="I201" i="2"/>
  <c r="I206" i="2"/>
  <c r="K218" i="2"/>
  <c r="I219" i="2"/>
  <c r="K234" i="2"/>
  <c r="I235" i="2"/>
  <c r="J263" i="2"/>
  <c r="J266" i="2"/>
  <c r="H266" i="2" s="1"/>
  <c r="I266" i="2"/>
  <c r="G266" i="2"/>
  <c r="I290" i="2"/>
  <c r="K290" i="2"/>
  <c r="I293" i="2"/>
  <c r="G64" i="2"/>
  <c r="G74" i="2"/>
  <c r="G82" i="2"/>
  <c r="G98" i="2"/>
  <c r="G108" i="2"/>
  <c r="G116" i="2"/>
  <c r="G129" i="2"/>
  <c r="K134" i="2"/>
  <c r="G140" i="2"/>
  <c r="I148" i="2"/>
  <c r="G149" i="2"/>
  <c r="I150" i="2"/>
  <c r="G162" i="2"/>
  <c r="J162" i="2"/>
  <c r="H162" i="2" s="1"/>
  <c r="J165" i="2"/>
  <c r="G172" i="2"/>
  <c r="G178" i="2"/>
  <c r="J178" i="2"/>
  <c r="H178" i="2" s="1"/>
  <c r="J182" i="2"/>
  <c r="H182" i="2" s="1"/>
  <c r="G190" i="2"/>
  <c r="J196" i="2"/>
  <c r="H196" i="2" s="1"/>
  <c r="J199" i="2"/>
  <c r="H199" i="2" s="1"/>
  <c r="G206" i="2"/>
  <c r="G214" i="2"/>
  <c r="J214" i="2"/>
  <c r="H214" i="2" s="1"/>
  <c r="J217" i="2"/>
  <c r="H217" i="2" s="1"/>
  <c r="G230" i="2"/>
  <c r="J230" i="2"/>
  <c r="H230" i="2" s="1"/>
  <c r="I260" i="2"/>
  <c r="K260" i="2"/>
  <c r="I283" i="2"/>
  <c r="G283" i="2"/>
  <c r="K283" i="2"/>
  <c r="J317" i="2"/>
  <c r="H317" i="2" s="1"/>
  <c r="I317" i="2"/>
  <c r="K155" i="2"/>
  <c r="K189" i="2"/>
  <c r="K205" i="2"/>
  <c r="K223" i="2"/>
  <c r="K247" i="2"/>
  <c r="J249" i="2"/>
  <c r="J258" i="2"/>
  <c r="H258" i="2" s="1"/>
  <c r="I258" i="2"/>
  <c r="K258" i="2"/>
  <c r="J264" i="2"/>
  <c r="H264" i="2" s="1"/>
  <c r="K266" i="2"/>
  <c r="I348" i="2"/>
  <c r="K348" i="2"/>
  <c r="J348" i="2"/>
  <c r="H348" i="2" s="1"/>
  <c r="I401" i="2"/>
  <c r="K401" i="2"/>
  <c r="G401" i="2"/>
  <c r="I245" i="2"/>
  <c r="G245" i="2"/>
  <c r="G255" i="2"/>
  <c r="K255" i="2"/>
  <c r="J269" i="2"/>
  <c r="H269" i="2" s="1"/>
  <c r="I269" i="2"/>
  <c r="I279" i="2"/>
  <c r="G279" i="2"/>
  <c r="J279" i="2"/>
  <c r="H279" i="2" s="1"/>
  <c r="I128" i="2"/>
  <c r="K140" i="2"/>
  <c r="K145" i="2"/>
  <c r="K149" i="2"/>
  <c r="G155" i="2"/>
  <c r="I161" i="2"/>
  <c r="I162" i="2"/>
  <c r="K172" i="2"/>
  <c r="I177" i="2"/>
  <c r="I178" i="2"/>
  <c r="G189" i="2"/>
  <c r="K190" i="2"/>
  <c r="I195" i="2"/>
  <c r="G205" i="2"/>
  <c r="K206" i="2"/>
  <c r="I213" i="2"/>
  <c r="I214" i="2"/>
  <c r="G223" i="2"/>
  <c r="I229" i="2"/>
  <c r="I230" i="2"/>
  <c r="I247" i="2"/>
  <c r="I255" i="2"/>
  <c r="J260" i="2"/>
  <c r="H260" i="2" s="1"/>
  <c r="I264" i="2"/>
  <c r="K267" i="2"/>
  <c r="I267" i="2"/>
  <c r="K279" i="2"/>
  <c r="K285" i="2"/>
  <c r="I285" i="2"/>
  <c r="K150" i="2"/>
  <c r="G154" i="2"/>
  <c r="J154" i="2"/>
  <c r="H154" i="2" s="1"/>
  <c r="J157" i="2"/>
  <c r="H157" i="2" s="1"/>
  <c r="G170" i="2"/>
  <c r="J170" i="2"/>
  <c r="H170" i="2" s="1"/>
  <c r="J173" i="2"/>
  <c r="H173" i="2" s="1"/>
  <c r="G188" i="2"/>
  <c r="J188" i="2"/>
  <c r="H188" i="2" s="1"/>
  <c r="J191" i="2"/>
  <c r="H191" i="2" s="1"/>
  <c r="G204" i="2"/>
  <c r="J204" i="2"/>
  <c r="H204" i="2" s="1"/>
  <c r="J208" i="2"/>
  <c r="H208" i="2" s="1"/>
  <c r="G222" i="2"/>
  <c r="J222" i="2"/>
  <c r="H222" i="2" s="1"/>
  <c r="J225" i="2"/>
  <c r="H225" i="2" s="1"/>
  <c r="J259" i="2"/>
  <c r="H259" i="2" s="1"/>
  <c r="K265" i="2"/>
  <c r="I265" i="2"/>
  <c r="J265" i="2"/>
  <c r="H265" i="2" s="1"/>
  <c r="K269" i="2"/>
  <c r="K328" i="2"/>
  <c r="J328" i="2"/>
  <c r="H328" i="2" s="1"/>
  <c r="G328" i="2"/>
  <c r="I328" i="2"/>
  <c r="K334" i="2"/>
  <c r="J334" i="2"/>
  <c r="H334" i="2" s="1"/>
  <c r="I309" i="2"/>
  <c r="K337" i="2"/>
  <c r="G337" i="2"/>
  <c r="I337" i="2"/>
  <c r="J337" i="2"/>
  <c r="H337" i="2" s="1"/>
  <c r="I253" i="2"/>
  <c r="G253" i="2"/>
  <c r="G271" i="2"/>
  <c r="I271" i="2"/>
  <c r="K273" i="2"/>
  <c r="J273" i="2"/>
  <c r="H273" i="2" s="1"/>
  <c r="K281" i="2"/>
  <c r="J281" i="2"/>
  <c r="H281" i="2" s="1"/>
  <c r="I281" i="2"/>
  <c r="I289" i="2"/>
  <c r="G289" i="2"/>
  <c r="K292" i="2"/>
  <c r="J292" i="2"/>
  <c r="H292" i="2" s="1"/>
  <c r="I292" i="2"/>
  <c r="G292" i="2"/>
  <c r="G309" i="2"/>
  <c r="J316" i="2"/>
  <c r="H316" i="2" s="1"/>
  <c r="G333" i="2"/>
  <c r="I333" i="2"/>
  <c r="K333" i="2"/>
  <c r="K347" i="2"/>
  <c r="J347" i="2"/>
  <c r="H347" i="2" s="1"/>
  <c r="I347" i="2"/>
  <c r="G347" i="2"/>
  <c r="K383" i="2"/>
  <c r="J383" i="2"/>
  <c r="H383" i="2" s="1"/>
  <c r="I383" i="2"/>
  <c r="G383" i="2"/>
  <c r="K429" i="2"/>
  <c r="J429" i="2"/>
  <c r="H429" i="2" s="1"/>
  <c r="J274" i="2"/>
  <c r="H274" i="2" s="1"/>
  <c r="I274" i="2"/>
  <c r="G274" i="2"/>
  <c r="J276" i="2"/>
  <c r="K286" i="2" s="1"/>
  <c r="I276" i="2"/>
  <c r="J290" i="2"/>
  <c r="H290" i="2" s="1"/>
  <c r="J293" i="2"/>
  <c r="H293" i="2" s="1"/>
  <c r="I307" i="2"/>
  <c r="G307" i="2"/>
  <c r="K307" i="2"/>
  <c r="J353" i="2"/>
  <c r="H353" i="2" s="1"/>
  <c r="G353" i="2"/>
  <c r="K360" i="2"/>
  <c r="J360" i="2"/>
  <c r="H360" i="2" s="1"/>
  <c r="J409" i="2"/>
  <c r="H409" i="2" s="1"/>
  <c r="G409" i="2"/>
  <c r="K299" i="2"/>
  <c r="J299" i="2"/>
  <c r="H299" i="2" s="1"/>
  <c r="I299" i="2"/>
  <c r="J326" i="2"/>
  <c r="K339" i="2" s="1"/>
  <c r="I345" i="2"/>
  <c r="J345" i="2"/>
  <c r="H345" i="2" s="1"/>
  <c r="K345" i="2"/>
  <c r="G345" i="2"/>
  <c r="G358" i="2"/>
  <c r="K358" i="2"/>
  <c r="K385" i="2"/>
  <c r="J385" i="2"/>
  <c r="H385" i="2" s="1"/>
  <c r="J427" i="2"/>
  <c r="H427" i="2" s="1"/>
  <c r="G427" i="2"/>
  <c r="K243" i="2"/>
  <c r="J267" i="2"/>
  <c r="H267" i="2" s="1"/>
  <c r="J280" i="2"/>
  <c r="H280" i="2" s="1"/>
  <c r="J285" i="2"/>
  <c r="H285" i="2" s="1"/>
  <c r="G299" i="2"/>
  <c r="J308" i="2"/>
  <c r="H308" i="2" s="1"/>
  <c r="G369" i="2"/>
  <c r="K369" i="2"/>
  <c r="J369" i="2"/>
  <c r="H369" i="2" s="1"/>
  <c r="I369" i="2"/>
  <c r="I286" i="2"/>
  <c r="I294" i="2"/>
  <c r="I302" i="2"/>
  <c r="I312" i="2"/>
  <c r="G318" i="2"/>
  <c r="I326" i="2"/>
  <c r="I360" i="2"/>
  <c r="K372" i="2"/>
  <c r="K375" i="2"/>
  <c r="J375" i="2"/>
  <c r="H375" i="2" s="1"/>
  <c r="J393" i="2"/>
  <c r="H393" i="2" s="1"/>
  <c r="K393" i="2"/>
  <c r="K417" i="2"/>
  <c r="J417" i="2"/>
  <c r="H417" i="2" s="1"/>
  <c r="I417" i="2"/>
  <c r="I419" i="2"/>
  <c r="K437" i="2"/>
  <c r="J437" i="2"/>
  <c r="H437" i="2" s="1"/>
  <c r="G264" i="2"/>
  <c r="G272" i="2"/>
  <c r="G280" i="2"/>
  <c r="G290" i="2"/>
  <c r="K294" i="2"/>
  <c r="K302" i="2"/>
  <c r="G308" i="2"/>
  <c r="J311" i="2"/>
  <c r="H311" i="2" s="1"/>
  <c r="K312" i="2"/>
  <c r="G316" i="2"/>
  <c r="K341" i="2"/>
  <c r="I367" i="2"/>
  <c r="K373" i="2"/>
  <c r="J373" i="2"/>
  <c r="H373" i="2" s="1"/>
  <c r="I373" i="2"/>
  <c r="I375" i="2"/>
  <c r="K402" i="2"/>
  <c r="J402" i="2"/>
  <c r="H402" i="2" s="1"/>
  <c r="I402" i="2"/>
  <c r="K410" i="2"/>
  <c r="J410" i="2"/>
  <c r="H410" i="2" s="1"/>
  <c r="K435" i="2"/>
  <c r="J435" i="2"/>
  <c r="H435" i="2" s="1"/>
  <c r="I437" i="2"/>
  <c r="I321" i="2"/>
  <c r="I331" i="2"/>
  <c r="I335" i="2"/>
  <c r="K335" i="2"/>
  <c r="K354" i="2"/>
  <c r="J354" i="2"/>
  <c r="H354" i="2" s="1"/>
  <c r="G354" i="2"/>
  <c r="G373" i="2"/>
  <c r="K394" i="2"/>
  <c r="J394" i="2"/>
  <c r="H394" i="2" s="1"/>
  <c r="I394" i="2"/>
  <c r="G399" i="2"/>
  <c r="K399" i="2"/>
  <c r="G407" i="2"/>
  <c r="K407" i="2"/>
  <c r="G435" i="2"/>
  <c r="G441" i="2"/>
  <c r="F441" i="2"/>
  <c r="K441" i="2" s="1"/>
  <c r="G368" i="2"/>
  <c r="J368" i="2"/>
  <c r="H368" i="2" s="1"/>
  <c r="K368" i="2"/>
  <c r="I368" i="2"/>
  <c r="K384" i="2"/>
  <c r="J384" i="2"/>
  <c r="H384" i="2" s="1"/>
  <c r="I384" i="2"/>
  <c r="J389" i="2"/>
  <c r="H389" i="2" s="1"/>
  <c r="I389" i="2"/>
  <c r="G389" i="2"/>
  <c r="J415" i="2"/>
  <c r="H415" i="2" s="1"/>
  <c r="I415" i="2"/>
  <c r="G415" i="2"/>
  <c r="I327" i="2"/>
  <c r="K327" i="2"/>
  <c r="K329" i="2"/>
  <c r="G332" i="2"/>
  <c r="K332" i="2"/>
  <c r="K346" i="2"/>
  <c r="J346" i="2"/>
  <c r="H346" i="2" s="1"/>
  <c r="G346" i="2"/>
  <c r="I357" i="2"/>
  <c r="K361" i="2"/>
  <c r="K363" i="2"/>
  <c r="K374" i="2"/>
  <c r="J374" i="2"/>
  <c r="H374" i="2" s="1"/>
  <c r="I374" i="2"/>
  <c r="G381" i="2"/>
  <c r="K381" i="2"/>
  <c r="K389" i="2"/>
  <c r="K403" i="2"/>
  <c r="J403" i="2"/>
  <c r="H403" i="2" s="1"/>
  <c r="K408" i="2"/>
  <c r="K415" i="2"/>
  <c r="J425" i="2"/>
  <c r="H425" i="2" s="1"/>
  <c r="I425" i="2"/>
  <c r="G425" i="2"/>
  <c r="K425" i="2"/>
  <c r="K442" i="2"/>
  <c r="K318" i="2"/>
  <c r="J318" i="2"/>
  <c r="H318" i="2" s="1"/>
  <c r="G322" i="2"/>
  <c r="J322" i="2"/>
  <c r="H322" i="2" s="1"/>
  <c r="I334" i="2"/>
  <c r="I371" i="2"/>
  <c r="G371" i="2"/>
  <c r="K371" i="2"/>
  <c r="K391" i="2"/>
  <c r="K395" i="2"/>
  <c r="J395" i="2"/>
  <c r="H395" i="2" s="1"/>
  <c r="K416" i="2"/>
  <c r="I433" i="2"/>
  <c r="G433" i="2"/>
  <c r="K433" i="2"/>
  <c r="I386" i="2"/>
  <c r="I404" i="2"/>
  <c r="J405" i="2"/>
  <c r="I422" i="2"/>
  <c r="I430" i="2"/>
  <c r="G372" i="2"/>
  <c r="G382" i="2"/>
  <c r="G391" i="2"/>
  <c r="G408" i="2"/>
  <c r="J411" i="2"/>
  <c r="H411" i="2" s="1"/>
  <c r="G416" i="2"/>
  <c r="J419" i="2"/>
  <c r="H419" i="2" s="1"/>
  <c r="K422" i="2"/>
  <c r="G426" i="2"/>
  <c r="K438" i="2"/>
  <c r="G442" i="2"/>
  <c r="F440" i="2"/>
  <c r="I372" i="2"/>
  <c r="J379" i="2"/>
  <c r="I382" i="2"/>
  <c r="I391" i="2"/>
  <c r="I408" i="2"/>
  <c r="G440" i="2"/>
  <c r="I442" i="2"/>
  <c r="J372" i="2"/>
  <c r="H372" i="2" s="1"/>
  <c r="J376" i="2"/>
  <c r="H376" i="2" s="1"/>
  <c r="J382" i="2"/>
  <c r="H382" i="2" s="1"/>
  <c r="J386" i="2"/>
  <c r="H386" i="2" s="1"/>
  <c r="J391" i="2"/>
  <c r="H391" i="2" s="1"/>
  <c r="J396" i="2"/>
  <c r="H396" i="2" s="1"/>
  <c r="J404" i="2"/>
  <c r="H404" i="2" s="1"/>
  <c r="J408" i="2"/>
  <c r="H408" i="2" s="1"/>
  <c r="J412" i="2"/>
  <c r="H412" i="2" s="1"/>
  <c r="J416" i="2"/>
  <c r="H416" i="2" s="1"/>
  <c r="J422" i="2"/>
  <c r="H422" i="2" s="1"/>
  <c r="J426" i="2"/>
  <c r="H426" i="2" s="1"/>
  <c r="J430" i="2"/>
  <c r="H430" i="2" s="1"/>
  <c r="J438" i="2"/>
  <c r="H438" i="2" s="1"/>
  <c r="J442" i="2"/>
  <c r="H442" i="2" s="1"/>
  <c r="I310" i="2" l="1"/>
  <c r="I343" i="2"/>
  <c r="H66" i="2"/>
  <c r="K90" i="2"/>
  <c r="J434" i="2"/>
  <c r="H434" i="2" s="1"/>
  <c r="J117" i="2"/>
  <c r="H117" i="2" s="1"/>
  <c r="K171" i="2"/>
  <c r="J428" i="2"/>
  <c r="K168" i="2"/>
  <c r="H168" i="2"/>
  <c r="I340" i="2"/>
  <c r="K151" i="2"/>
  <c r="K319" i="2"/>
  <c r="H319" i="2"/>
  <c r="J436" i="2"/>
  <c r="H436" i="2" s="1"/>
  <c r="J340" i="2"/>
  <c r="H340" i="2" s="1"/>
  <c r="J418" i="2"/>
  <c r="H418" i="2" s="1"/>
  <c r="K44" i="2"/>
  <c r="J300" i="2"/>
  <c r="H300" i="2" s="1"/>
  <c r="J400" i="2"/>
  <c r="H400" i="2" s="1"/>
  <c r="K400" i="2"/>
  <c r="J250" i="2"/>
  <c r="H250" i="2" s="1"/>
  <c r="K93" i="2"/>
  <c r="K156" i="2"/>
  <c r="I257" i="2"/>
  <c r="K146" i="2"/>
  <c r="K34" i="2"/>
  <c r="J146" i="2"/>
  <c r="H146" i="2" s="1"/>
  <c r="I224" i="2"/>
  <c r="I117" i="2"/>
  <c r="H9" i="2"/>
  <c r="I112" i="2"/>
  <c r="K112" i="2"/>
  <c r="I31" i="2"/>
  <c r="I80" i="2"/>
  <c r="I434" i="2"/>
  <c r="K436" i="2"/>
  <c r="J298" i="2"/>
  <c r="H298" i="2" s="1"/>
  <c r="K14" i="2"/>
  <c r="I14" i="2"/>
  <c r="J241" i="2"/>
  <c r="H241" i="2" s="1"/>
  <c r="K298" i="2"/>
  <c r="K428" i="2"/>
  <c r="K9" i="2"/>
  <c r="H7" i="2"/>
  <c r="I22" i="2"/>
  <c r="I250" i="2"/>
  <c r="K124" i="2"/>
  <c r="K42" i="2"/>
  <c r="I93" i="2"/>
  <c r="K238" i="2"/>
  <c r="J124" i="2"/>
  <c r="H124" i="2" s="1"/>
  <c r="K317" i="2"/>
  <c r="I9" i="2"/>
  <c r="K49" i="2"/>
  <c r="I42" i="2"/>
  <c r="K31" i="2"/>
  <c r="H5" i="2"/>
  <c r="J238" i="2"/>
  <c r="H238" i="2" s="1"/>
  <c r="K249" i="2"/>
  <c r="K418" i="2"/>
  <c r="H187" i="2"/>
  <c r="H133" i="2"/>
  <c r="K257" i="2"/>
  <c r="I176" i="2"/>
  <c r="J176" i="2"/>
  <c r="I233" i="2"/>
  <c r="K362" i="2"/>
  <c r="K187" i="2"/>
  <c r="H112" i="2"/>
  <c r="K66" i="2"/>
  <c r="K349" i="2"/>
  <c r="I187" i="2"/>
  <c r="H80" i="2"/>
  <c r="K165" i="2"/>
  <c r="H93" i="2"/>
  <c r="J349" i="2"/>
  <c r="I349" i="2"/>
  <c r="K133" i="2"/>
  <c r="I211" i="2"/>
  <c r="H165" i="2"/>
  <c r="H355" i="2"/>
  <c r="K166" i="2"/>
  <c r="I133" i="2"/>
  <c r="H23" i="2"/>
  <c r="J211" i="2"/>
  <c r="J305" i="2"/>
  <c r="I305" i="2"/>
  <c r="J185" i="2"/>
  <c r="K185" i="2"/>
  <c r="H233" i="2"/>
  <c r="I156" i="2"/>
  <c r="K143" i="2"/>
  <c r="I143" i="2"/>
  <c r="J143" i="2"/>
  <c r="K300" i="2" s="1"/>
  <c r="H257" i="2"/>
  <c r="K326" i="2"/>
  <c r="H276" i="2"/>
  <c r="H339" i="2"/>
  <c r="I441" i="2"/>
  <c r="J407" i="2"/>
  <c r="H407" i="2" s="1"/>
  <c r="K427" i="2"/>
  <c r="K409" i="2"/>
  <c r="J309" i="2"/>
  <c r="H309" i="2" s="1"/>
  <c r="J245" i="2"/>
  <c r="H245" i="2" s="1"/>
  <c r="I263" i="2"/>
  <c r="J179" i="2"/>
  <c r="H179" i="2" s="1"/>
  <c r="I41" i="2"/>
  <c r="K47" i="2"/>
  <c r="J47" i="2"/>
  <c r="H47" i="2" s="1"/>
  <c r="I268" i="2"/>
  <c r="I102" i="2"/>
  <c r="K159" i="2"/>
  <c r="K109" i="2"/>
  <c r="I86" i="2"/>
  <c r="J68" i="2"/>
  <c r="H68" i="2" s="1"/>
  <c r="I75" i="2"/>
  <c r="J158" i="2"/>
  <c r="I89" i="2"/>
  <c r="J32" i="2"/>
  <c r="H32" i="2" s="1"/>
  <c r="J6" i="2"/>
  <c r="H6" i="2" s="1"/>
  <c r="I68" i="2"/>
  <c r="K50" i="2"/>
  <c r="I358" i="2"/>
  <c r="K271" i="2"/>
  <c r="J271" i="2"/>
  <c r="H271" i="2" s="1"/>
  <c r="K440" i="2"/>
  <c r="J440" i="2"/>
  <c r="H440" i="2" s="1"/>
  <c r="K386" i="2"/>
  <c r="I381" i="2"/>
  <c r="J361" i="2"/>
  <c r="H361" i="2" s="1"/>
  <c r="K405" i="2"/>
  <c r="I405" i="2"/>
  <c r="K412" i="2"/>
  <c r="J381" i="2"/>
  <c r="H381" i="2" s="1"/>
  <c r="J441" i="2"/>
  <c r="H441" i="2" s="1"/>
  <c r="I393" i="2"/>
  <c r="I355" i="2"/>
  <c r="K309" i="2"/>
  <c r="J195" i="2"/>
  <c r="K195" i="2"/>
  <c r="I218" i="2"/>
  <c r="J218" i="2"/>
  <c r="H218" i="2" s="1"/>
  <c r="I184" i="2"/>
  <c r="J184" i="2"/>
  <c r="H184" i="2" s="1"/>
  <c r="K315" i="2"/>
  <c r="K179" i="2"/>
  <c r="I197" i="2"/>
  <c r="J115" i="2"/>
  <c r="H115" i="2" s="1"/>
  <c r="I47" i="2"/>
  <c r="K29" i="2"/>
  <c r="J29" i="2"/>
  <c r="H29" i="2" s="1"/>
  <c r="K268" i="2"/>
  <c r="K102" i="2"/>
  <c r="K86" i="2"/>
  <c r="K45" i="2"/>
  <c r="I45" i="2"/>
  <c r="K27" i="2"/>
  <c r="I27" i="2"/>
  <c r="K5" i="2"/>
  <c r="I138" i="2"/>
  <c r="I65" i="2"/>
  <c r="J65" i="2"/>
  <c r="H65" i="2" s="1"/>
  <c r="K210" i="2"/>
  <c r="I215" i="2"/>
  <c r="J52" i="2"/>
  <c r="H52" i="2" s="1"/>
  <c r="I52" i="2"/>
  <c r="I5" i="2"/>
  <c r="J138" i="2"/>
  <c r="H138" i="2" s="1"/>
  <c r="I127" i="2"/>
  <c r="J342" i="2"/>
  <c r="I342" i="2"/>
  <c r="I427" i="2"/>
  <c r="K397" i="2"/>
  <c r="I397" i="2"/>
  <c r="K376" i="2"/>
  <c r="J50" i="2"/>
  <c r="H50" i="2" s="1"/>
  <c r="J439" i="2"/>
  <c r="K439" i="2"/>
  <c r="I439" i="2"/>
  <c r="K396" i="2"/>
  <c r="I409" i="2"/>
  <c r="J397" i="2"/>
  <c r="H397" i="2" s="1"/>
  <c r="I396" i="2"/>
  <c r="J433" i="2"/>
  <c r="H433" i="2" s="1"/>
  <c r="J371" i="2"/>
  <c r="H371" i="2" s="1"/>
  <c r="J327" i="2"/>
  <c r="H327" i="2" s="1"/>
  <c r="I399" i="2"/>
  <c r="J335" i="2"/>
  <c r="H335" i="2" s="1"/>
  <c r="I435" i="2"/>
  <c r="J358" i="2"/>
  <c r="H358" i="2" s="1"/>
  <c r="I440" i="2"/>
  <c r="J307" i="2"/>
  <c r="H307" i="2" s="1"/>
  <c r="J333" i="2"/>
  <c r="H333" i="2" s="1"/>
  <c r="K253" i="2"/>
  <c r="J253" i="2"/>
  <c r="H253" i="2" s="1"/>
  <c r="J161" i="2"/>
  <c r="H161" i="2" s="1"/>
  <c r="K161" i="2"/>
  <c r="J255" i="2"/>
  <c r="H255" i="2" s="1"/>
  <c r="J401" i="2"/>
  <c r="H401" i="2" s="1"/>
  <c r="J240" i="2"/>
  <c r="H240" i="2" s="1"/>
  <c r="K240" i="2"/>
  <c r="J283" i="2"/>
  <c r="H283" i="2" s="1"/>
  <c r="J227" i="2"/>
  <c r="H227" i="2" s="1"/>
  <c r="K169" i="2"/>
  <c r="K127" i="2"/>
  <c r="K115" i="2"/>
  <c r="I164" i="2"/>
  <c r="J193" i="2"/>
  <c r="I105" i="2"/>
  <c r="J163" i="2"/>
  <c r="H163" i="2" s="1"/>
  <c r="K75" i="2"/>
  <c r="K158" i="2"/>
  <c r="K20" i="2"/>
  <c r="J332" i="2"/>
  <c r="H332" i="2" s="1"/>
  <c r="I332" i="2"/>
  <c r="I322" i="2"/>
  <c r="I387" i="2"/>
  <c r="K387" i="2"/>
  <c r="K430" i="2"/>
  <c r="K404" i="2"/>
  <c r="I438" i="2"/>
  <c r="J387" i="2"/>
  <c r="H387" i="2" s="1"/>
  <c r="J399" i="2"/>
  <c r="H399" i="2" s="1"/>
  <c r="K353" i="2"/>
  <c r="I362" i="2"/>
  <c r="K289" i="2"/>
  <c r="J289" i="2"/>
  <c r="H289" i="2" s="1"/>
  <c r="I273" i="2"/>
  <c r="J242" i="2"/>
  <c r="I242" i="2"/>
  <c r="J213" i="2"/>
  <c r="H213" i="2" s="1"/>
  <c r="K213" i="2"/>
  <c r="K245" i="2"/>
  <c r="I240" i="2"/>
  <c r="J248" i="2"/>
  <c r="H248" i="2" s="1"/>
  <c r="K227" i="2"/>
  <c r="I169" i="2"/>
  <c r="J57" i="2"/>
  <c r="H57" i="2" s="1"/>
  <c r="J174" i="2"/>
  <c r="H174" i="2" s="1"/>
  <c r="J123" i="2"/>
  <c r="H123" i="2" s="1"/>
  <c r="K123" i="2"/>
  <c r="I100" i="2"/>
  <c r="K41" i="2"/>
  <c r="J192" i="2"/>
  <c r="H192" i="2" s="1"/>
  <c r="I84" i="2"/>
  <c r="K6" i="2"/>
  <c r="I91" i="2"/>
  <c r="J239" i="2"/>
  <c r="K11" i="2"/>
  <c r="J26" i="2"/>
  <c r="H26" i="2" s="1"/>
  <c r="K342" i="2"/>
  <c r="K263" i="2"/>
  <c r="J234" i="2"/>
  <c r="H234" i="2" s="1"/>
  <c r="I234" i="2"/>
  <c r="I200" i="2"/>
  <c r="J200" i="2"/>
  <c r="H200" i="2" s="1"/>
  <c r="I166" i="2"/>
  <c r="J166" i="2"/>
  <c r="K73" i="2"/>
  <c r="J73" i="2"/>
  <c r="H73" i="2" s="1"/>
  <c r="J100" i="2"/>
  <c r="I11" i="2"/>
  <c r="K19" i="2"/>
  <c r="I19" i="2"/>
  <c r="I99" i="2"/>
  <c r="I37" i="2"/>
  <c r="K203" i="2"/>
  <c r="I239" i="2"/>
  <c r="J132" i="2"/>
  <c r="H132" i="2" s="1"/>
  <c r="J44" i="2"/>
  <c r="J175" i="2"/>
  <c r="H175" i="2" s="1"/>
  <c r="K132" i="2"/>
  <c r="K379" i="2"/>
  <c r="I379" i="2"/>
  <c r="K322" i="2"/>
  <c r="I353" i="2"/>
  <c r="J177" i="2"/>
  <c r="H177" i="2" s="1"/>
  <c r="K177" i="2"/>
  <c r="J83" i="2"/>
  <c r="I83" i="2"/>
  <c r="I412" i="2"/>
  <c r="I376" i="2"/>
  <c r="I361" i="2"/>
  <c r="I407" i="2"/>
  <c r="K276" i="2"/>
  <c r="J229" i="2"/>
  <c r="H229" i="2" s="1"/>
  <c r="K229" i="2"/>
  <c r="J81" i="2"/>
  <c r="K174" i="2"/>
  <c r="K83" i="2"/>
  <c r="K192" i="2"/>
  <c r="J159" i="2"/>
  <c r="H159" i="2" s="1"/>
  <c r="I109" i="2"/>
  <c r="J89" i="2"/>
  <c r="H89" i="2" s="1"/>
  <c r="J97" i="2"/>
  <c r="H97" i="2" s="1"/>
  <c r="K97" i="2"/>
  <c r="J34" i="2"/>
  <c r="K81" i="2" s="1"/>
  <c r="I34" i="2"/>
  <c r="K24" i="2"/>
  <c r="K196" i="2" l="1"/>
  <c r="K176" i="2"/>
  <c r="H81" i="2"/>
  <c r="K241" i="2"/>
  <c r="K343" i="2"/>
  <c r="K305" i="2"/>
  <c r="H342" i="2"/>
  <c r="K367" i="2"/>
  <c r="H34" i="2"/>
  <c r="H239" i="2"/>
  <c r="H193" i="2"/>
  <c r="H143" i="2"/>
  <c r="H439" i="2"/>
  <c r="K135" i="2"/>
  <c r="H185" i="2"/>
  <c r="H166" i="2"/>
  <c r="K56" i="2"/>
  <c r="K80" i="2"/>
  <c r="G80" i="2" s="1"/>
  <c r="K233" i="2"/>
  <c r="H100" i="2"/>
  <c r="H349" i="2"/>
  <c r="K355" i="2"/>
  <c r="H176" i="2"/>
  <c r="K211" i="2"/>
  <c r="H158" i="2"/>
  <c r="K310" i="2"/>
  <c r="H242" i="2"/>
  <c r="K226" i="2"/>
  <c r="K224" i="2"/>
</calcChain>
</file>

<file path=xl/sharedStrings.xml><?xml version="1.0" encoding="utf-8"?>
<sst xmlns="http://schemas.openxmlformats.org/spreadsheetml/2006/main" count="1127" uniqueCount="401">
  <si>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</si>
  <si>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</si>
  <si>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</si>
  <si>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</si>
  <si>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</si>
  <si>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</si>
  <si>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</si>
  <si>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</si>
  <si>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</si>
  <si>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</si>
  <si>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</si>
  <si>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</si>
  <si>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</si>
  <si>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</si>
  <si>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</si>
  <si>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</si>
  <si>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</si>
  <si>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</si>
  <si>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</si>
  <si>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</si>
  <si>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</si>
  <si>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</si>
  <si>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</si>
  <si>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</si>
  <si>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</si>
  <si>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</si>
  <si>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</si>
  <si>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</si>
  <si>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</si>
  <si>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</si>
  <si>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</si>
  <si>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</si>
  <si>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</si>
  <si>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</si>
  <si>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</si>
  <si>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</si>
  <si>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</si>
  <si>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</si>
  <si>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</si>
  <si>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</si>
  <si>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</si>
  <si>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</si>
  <si>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</si>
  <si>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</si>
  <si>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</si>
  <si>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</si>
  <si>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</si>
  <si>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</si>
  <si>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</si>
  <si>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</si>
  <si>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</si>
  <si>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</si>
  <si>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</si>
  <si>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</si>
  <si>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</si>
  <si>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</si>
  <si>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</si>
  <si>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</si>
  <si>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</si>
  <si>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</si>
  <si>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</si>
  <si>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</si>
  <si>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</si>
  <si>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</si>
  <si>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</si>
  <si>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</si>
  <si>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</si>
  <si>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</si>
  <si>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</si>
  <si>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</si>
  <si>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</si>
  <si>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</si>
  <si>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</si>
  <si>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</si>
  <si>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</si>
  <si>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</si>
  <si>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</si>
  <si>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</si>
  <si>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</si>
  <si>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</si>
  <si>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</si>
  <si>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</si>
  <si>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</si>
  <si>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</si>
  <si>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</si>
  <si>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</si>
  <si>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</si>
  <si>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</si>
  <si>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</si>
  <si>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</si>
  <si>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</si>
  <si>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</si>
  <si>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</si>
  <si>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</si>
  <si>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</si>
  <si>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</si>
  <si>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</si>
  <si>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</si>
  <si>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</si>
  <si>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</si>
  <si>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</si>
  <si>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</si>
  <si>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</si>
  <si>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</si>
  <si>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</si>
  <si>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</si>
  <si>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</si>
  <si>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</si>
  <si>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</si>
  <si>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</si>
  <si>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</si>
  <si>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</si>
  <si>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</si>
  <si>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</si>
  <si>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</si>
  <si>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</si>
  <si>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</si>
  <si>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</si>
  <si>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</si>
  <si>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</si>
  <si>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</si>
  <si>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</si>
  <si>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</si>
  <si>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</si>
  <si>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</si>
  <si>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</si>
  <si>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</si>
  <si>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</si>
  <si>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</si>
  <si>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</si>
  <si>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</si>
  <si>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</si>
  <si>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</si>
  <si>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</si>
  <si>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</si>
  <si>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</si>
  <si>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</si>
  <si>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</si>
  <si>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</si>
  <si>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</si>
  <si>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</si>
  <si>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</si>
  <si>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</si>
  <si>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</si>
  <si>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</si>
  <si>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</si>
  <si>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</si>
  <si>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</si>
  <si>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</si>
  <si>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</si>
  <si>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</si>
  <si>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</si>
  <si>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</si>
  <si>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</si>
  <si>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</si>
  <si>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</si>
  <si>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</si>
  <si>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</si>
  <si>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</si>
  <si>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</si>
  <si>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</si>
  <si>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</si>
  <si>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</si>
  <si>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</si>
  <si>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</si>
  <si>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</si>
  <si>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</si>
  <si>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</si>
  <si>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</si>
  <si>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</si>
  <si>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</si>
  <si>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</si>
  <si>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</si>
  <si>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</si>
  <si>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</si>
  <si>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</si>
  <si>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</si>
  <si>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</si>
  <si>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</si>
  <si>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</si>
  <si>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</si>
  <si>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</si>
  <si>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</si>
  <si>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</si>
  <si>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</si>
  <si>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</si>
  <si>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</si>
  <si>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</si>
  <si>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</si>
  <si>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</si>
  <si>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</si>
  <si>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</si>
  <si>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</si>
  <si>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</si>
  <si>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</si>
  <si>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</si>
  <si>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</si>
  <si>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</si>
  <si>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</si>
  <si>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</si>
  <si>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</si>
  <si>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</si>
  <si>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</si>
  <si>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</si>
  <si>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</si>
  <si>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</si>
  <si>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</si>
  <si>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</si>
  <si>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</si>
  <si>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</si>
  <si>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</si>
  <si>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</si>
  <si>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</si>
  <si>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</si>
  <si>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</si>
  <si>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</si>
  <si>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</si>
  <si>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</si>
  <si>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</si>
  <si>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</si>
  <si>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</si>
  <si>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</si>
  <si>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</si>
  <si>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</si>
  <si>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</si>
  <si>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</si>
  <si>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</si>
  <si>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</si>
  <si>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</si>
  <si>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</si>
  <si>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</si>
  <si>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</si>
  <si>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</si>
  <si>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</si>
  <si>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</si>
  <si>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</si>
  <si>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</si>
  <si>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</si>
  <si>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</si>
  <si>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</si>
  <si>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</si>
  <si>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</si>
  <si>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</si>
  <si>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</si>
  <si>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</si>
  <si>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</si>
  <si>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</si>
  <si>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</si>
  <si>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</si>
  <si>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</si>
  <si>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</si>
  <si>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</si>
  <si>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</si>
  <si>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</si>
  <si>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</si>
  <si>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</si>
  <si>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</si>
  <si>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</si>
  <si>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</si>
  <si>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</si>
  <si>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</si>
  <si>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</si>
  <si>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</si>
  <si>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</si>
  <si>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</si>
  <si>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</si>
  <si>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</si>
  <si>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</si>
  <si>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</si>
  <si>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</si>
  <si>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</si>
  <si>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</si>
  <si>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</si>
  <si>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</si>
  <si>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</si>
  <si>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</si>
  <si>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</si>
  <si>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</si>
  <si>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</si>
  <si>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</si>
  <si>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</si>
  <si>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</si>
  <si>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</si>
  <si>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</si>
  <si>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</si>
  <si>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</si>
  <si>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</si>
  <si>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</si>
  <si>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</si>
  <si>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</si>
  <si>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</si>
  <si>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</si>
  <si>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</si>
  <si>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</si>
  <si>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</si>
  <si>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</si>
  <si>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</si>
  <si>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</si>
  <si>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</si>
  <si>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</si>
  <si>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</si>
  <si>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</si>
  <si>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</si>
  <si>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</si>
  <si>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</si>
  <si>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</si>
  <si>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</si>
  <si>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</si>
  <si>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</si>
  <si>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</si>
  <si>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</si>
  <si>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</si>
  <si>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</si>
  <si>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</si>
  <si>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</si>
  <si>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</si>
  <si>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</si>
  <si>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</si>
  <si>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</si>
  <si>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</si>
  <si>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</si>
  <si>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</si>
  <si>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</si>
  <si>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</si>
  <si>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</si>
  <si>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</si>
  <si>
    <t>frank_galicia</t>
  </si>
  <si>
    <t>san_francisco</t>
  </si>
  <si>
    <t>westfield_mall</t>
  </si>
  <si>
    <t>EXPL</t>
  </si>
  <si>
    <t>fundtag</t>
  </si>
  <si>
    <t>SIT</t>
  </si>
  <si>
    <t>PRED</t>
  </si>
  <si>
    <t>gm_abteilung</t>
  </si>
  <si>
    <t>sfpd</t>
  </si>
  <si>
    <t>tod_frank</t>
  </si>
  <si>
    <t>ermittlungen</t>
  </si>
  <si>
    <t>louis_galicia</t>
  </si>
  <si>
    <t>sender_kgo</t>
  </si>
  <si>
    <t>boston</t>
  </si>
  <si>
    <t>sons_restaurant</t>
  </si>
  <si>
    <t>sprecher_sons</t>
  </si>
  <si>
    <t>team_sons</t>
  </si>
  <si>
    <t>CAT</t>
  </si>
  <si>
    <t>IDIOM</t>
  </si>
  <si>
    <t>gedanken_team</t>
  </si>
  <si>
    <t>beileid_team</t>
  </si>
  <si>
    <t>zeit</t>
  </si>
  <si>
    <t>frank_familie</t>
  </si>
  <si>
    <t>GEN</t>
  </si>
  <si>
    <t>frank_art</t>
  </si>
  <si>
    <t>welt</t>
  </si>
  <si>
    <t>telefon_sfsp</t>
  </si>
  <si>
    <t>nummer_sfpd</t>
  </si>
  <si>
    <t>parser error: Relativpronomen</t>
  </si>
  <si>
    <t>syntaktischer Kopf</t>
  </si>
  <si>
    <t>nicht syntaktischer Kopf</t>
  </si>
  <si>
    <t>kein auto ref</t>
  </si>
  <si>
    <t>syntaktischer Kopf eigentlich Restaurant, aber "sons" als englischer Namenserstbestandteil in 185 auch als Kopf gewählt</t>
  </si>
  <si>
    <t>Relativpronomen</t>
  </si>
  <si>
    <t>parser fehler: Demonstrativartikel</t>
  </si>
  <si>
    <t>Korrelat</t>
  </si>
  <si>
    <t>Franks Art der Verbindung</t>
  </si>
  <si>
    <t>parser error: Artikel</t>
  </si>
  <si>
    <t>zusätzlich ref weil auto ref</t>
  </si>
  <si>
    <t>treppenhaus_mall</t>
  </si>
  <si>
    <t>ACTIVATED</t>
  </si>
  <si>
    <t>FAMILIAR</t>
  </si>
  <si>
    <t>UNIQUE</t>
  </si>
  <si>
    <t>FOCUS</t>
  </si>
  <si>
    <t>TYPE</t>
  </si>
  <si>
    <t>bridging: das police department ermittelt</t>
  </si>
  <si>
    <t>BOUND</t>
  </si>
  <si>
    <t>leichnam_frank</t>
  </si>
  <si>
    <t>OLD</t>
  </si>
  <si>
    <t>job_frank</t>
  </si>
  <si>
    <t>parser error: nicht annotiert</t>
  </si>
  <si>
    <t>kein CB, weil nicht im vorherherigen Satz explizit erwähnt</t>
  </si>
  <si>
    <t>in 209 + 213 konkret benannt</t>
  </si>
  <si>
    <t>Telegrammstil, eigentlich "Mall in SF"</t>
  </si>
  <si>
    <t>broad</t>
  </si>
  <si>
    <t>specific</t>
  </si>
  <si>
    <t>(zusammengefasst)</t>
  </si>
  <si>
    <t>(konkret)</t>
  </si>
  <si>
    <t>after</t>
  </si>
  <si>
    <t>(daraufhin)</t>
  </si>
  <si>
    <t>before</t>
  </si>
  <si>
    <t>(und)</t>
  </si>
  <si>
    <t>conjunction</t>
  </si>
  <si>
    <t>EntRel</t>
  </si>
  <si>
    <t>Koreferenz / dependent-act?</t>
  </si>
  <si>
    <t>(später)</t>
  </si>
  <si>
    <t>reason</t>
  </si>
  <si>
    <t>(denn)</t>
  </si>
  <si>
    <t>result</t>
  </si>
  <si>
    <t>(folglich)</t>
  </si>
  <si>
    <t>auch conjunction denkbar</t>
  </si>
  <si>
    <t>(schließlich)</t>
  </si>
  <si>
    <t>Koreferenz: dieser Fall</t>
  </si>
  <si>
    <t>zunächst (früher)</t>
  </si>
  <si>
    <t>(daher)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</si>
</sst>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
      <patternFill patternType="solid">
        <fgColor rgb="FFFFF5CE"/>
        <bgColor rgb="FFEEEEEE"/>
      </patternFill>
    </fill>
    <fill>
      <patternFill patternType="solid">
        <fgColor rgb="FFDDE8CB"/>
        <bgColor rgb="FFDEE6EF"/>
      </patternFill>
    </fill>
    <fill>
      <patternFill patternType="solid">
        <fgColor rgb="FFB4C7DC"/>
        <bgColor rgb="FF99CCFF"/>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xf numFmtId="0" fontId="0" fillId="10" borderId="0" xfId="0" applyFill="1" applyAlignment="1" applyProtection="1">
      <alignment horizontal="center"/>
      <protection locked="0"/>
    </xf>
    <xf numFmtId="0" fontId="0" fillId="11" borderId="0" xfId="0" applyFill="1" applyAlignment="1" applyProtection="1">
      <alignment horizontal="center"/>
      <protection locked="0"/>
    </xf>
    <xf numFmtId="0" fontId="0" fillId="12" borderId="0" xfId="0" applyFill="1" applyAlignment="1" applyProtection="1">
      <alignment horizontal="left"/>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pane xSplit="5" ySplit="1" topLeftCell="G15" activePane="bottomRight" state="frozen"/>
      <selection pane="topRight" activeCell="F1" sqref="F1"/>
      <selection pane="bottomLeft" activeCell="A2" sqref="A2"/>
      <selection pane="bottomRight" activeCell="H17" sqref="H17"/>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382</v>
      </c>
      <c r="H2" s="10">
        <v>2</v>
      </c>
      <c r="I2" s="11" t="s">
        <v>380</v>
      </c>
      <c r="J2" s="12"/>
    </row>
    <row r="3" spans="1:10" ht="60" customHeight="1" x14ac:dyDescent="0.3">
      <c r="A3" s="6" t="s">
        <v>16</v>
      </c>
      <c r="B3" s="6" t="s">
        <v>17</v>
      </c>
      <c r="C3" s="6" t="s">
        <v>12</v>
      </c>
      <c r="D3" s="7" t="s">
        <v>13</v>
      </c>
      <c r="E3" s="8" t="s">
        <v>18</v>
      </c>
      <c r="F3" s="6" t="s">
        <v>19</v>
      </c>
      <c r="G3" s="9" t="s">
        <v>383</v>
      </c>
      <c r="H3" s="10">
        <v>1</v>
      </c>
      <c r="I3" s="11" t="s">
        <v>381</v>
      </c>
      <c r="J3" s="12"/>
    </row>
    <row r="4" spans="1:10" ht="60" customHeight="1" x14ac:dyDescent="0.3">
      <c r="A4" s="6" t="s">
        <v>20</v>
      </c>
      <c r="B4" s="6" t="s">
        <v>21</v>
      </c>
      <c r="C4" s="6" t="s">
        <v>12</v>
      </c>
      <c r="D4" s="7" t="s">
        <v>22</v>
      </c>
      <c r="E4" s="8" t="s">
        <v>23</v>
      </c>
      <c r="F4" s="6" t="s">
        <v>24</v>
      </c>
      <c r="G4" s="9" t="s">
        <v>12</v>
      </c>
      <c r="H4" s="10">
        <v>2</v>
      </c>
      <c r="I4" s="11" t="s">
        <v>389</v>
      </c>
      <c r="J4" s="12" t="s">
        <v>390</v>
      </c>
    </row>
    <row r="5" spans="1:10" ht="60" customHeight="1" x14ac:dyDescent="0.3">
      <c r="A5" s="6" t="s">
        <v>25</v>
      </c>
      <c r="B5" s="6" t="s">
        <v>17</v>
      </c>
      <c r="C5" s="6" t="s">
        <v>12</v>
      </c>
      <c r="D5" s="7" t="s">
        <v>26</v>
      </c>
      <c r="E5" s="8" t="s">
        <v>27</v>
      </c>
      <c r="F5" s="6" t="s">
        <v>28</v>
      </c>
      <c r="G5" s="9" t="s">
        <v>385</v>
      </c>
      <c r="H5" s="10">
        <v>2</v>
      </c>
      <c r="I5" s="11" t="s">
        <v>384</v>
      </c>
      <c r="J5" s="12"/>
    </row>
    <row r="6" spans="1:10" ht="60" customHeight="1" x14ac:dyDescent="0.3">
      <c r="A6" s="6" t="s">
        <v>29</v>
      </c>
      <c r="B6" s="6" t="s">
        <v>30</v>
      </c>
      <c r="C6" s="6" t="s">
        <v>12</v>
      </c>
      <c r="D6" s="7" t="s">
        <v>31</v>
      </c>
      <c r="E6" s="8" t="s">
        <v>32</v>
      </c>
      <c r="F6" s="6" t="s">
        <v>33</v>
      </c>
      <c r="G6" s="9" t="s">
        <v>387</v>
      </c>
      <c r="H6" s="10">
        <v>4</v>
      </c>
      <c r="I6" s="11" t="s">
        <v>388</v>
      </c>
      <c r="J6" s="12"/>
    </row>
    <row r="7" spans="1:10" ht="60" customHeight="1" x14ac:dyDescent="0.3">
      <c r="A7" s="6" t="s">
        <v>30</v>
      </c>
      <c r="B7" s="6" t="s">
        <v>11</v>
      </c>
      <c r="C7" s="6" t="s">
        <v>12</v>
      </c>
      <c r="D7" s="7" t="s">
        <v>34</v>
      </c>
      <c r="E7" s="8" t="s">
        <v>35</v>
      </c>
      <c r="F7" s="6" t="s">
        <v>36</v>
      </c>
      <c r="G7" s="9" t="s">
        <v>197</v>
      </c>
      <c r="H7" s="10">
        <v>2</v>
      </c>
      <c r="I7" s="11" t="s">
        <v>386</v>
      </c>
      <c r="J7" s="12"/>
    </row>
    <row r="8" spans="1:10" ht="60" customHeight="1" x14ac:dyDescent="0.3">
      <c r="A8" s="6" t="s">
        <v>37</v>
      </c>
      <c r="B8" s="6" t="s">
        <v>37</v>
      </c>
      <c r="C8" s="6" t="s">
        <v>12</v>
      </c>
      <c r="D8" s="7" t="s">
        <v>31</v>
      </c>
      <c r="E8" s="8" t="s">
        <v>38</v>
      </c>
      <c r="F8" s="6" t="s">
        <v>39</v>
      </c>
      <c r="G8" s="9" t="s">
        <v>12</v>
      </c>
      <c r="H8" s="10">
        <v>6</v>
      </c>
      <c r="I8" s="11" t="s">
        <v>389</v>
      </c>
      <c r="J8" s="12" t="s">
        <v>390</v>
      </c>
    </row>
    <row r="9" spans="1:10" ht="60" customHeight="1" x14ac:dyDescent="0.3">
      <c r="A9" s="6" t="s">
        <v>40</v>
      </c>
      <c r="B9" s="6" t="s">
        <v>20</v>
      </c>
      <c r="C9" s="6" t="s">
        <v>12</v>
      </c>
      <c r="D9" s="7" t="s">
        <v>41</v>
      </c>
      <c r="E9" s="8" t="s">
        <v>42</v>
      </c>
      <c r="F9" s="6" t="s">
        <v>43</v>
      </c>
      <c r="G9" s="9" t="s">
        <v>238</v>
      </c>
      <c r="H9" s="10">
        <v>7</v>
      </c>
      <c r="I9" s="11" t="s">
        <v>388</v>
      </c>
      <c r="J9" s="12"/>
    </row>
    <row r="10" spans="1:10" ht="60" customHeight="1" x14ac:dyDescent="0.3">
      <c r="A10" s="6" t="s">
        <v>11</v>
      </c>
      <c r="B10" s="6" t="s">
        <v>30</v>
      </c>
      <c r="C10" s="6" t="s">
        <v>12</v>
      </c>
      <c r="D10" s="7" t="s">
        <v>44</v>
      </c>
      <c r="E10" s="8" t="s">
        <v>45</v>
      </c>
      <c r="F10" s="6" t="s">
        <v>46</v>
      </c>
      <c r="G10" s="9" t="s">
        <v>387</v>
      </c>
      <c r="H10" s="10">
        <v>8</v>
      </c>
      <c r="I10" s="11" t="s">
        <v>388</v>
      </c>
      <c r="J10" s="12"/>
    </row>
    <row r="11" spans="1:10" ht="60" customHeight="1" x14ac:dyDescent="0.3">
      <c r="A11" s="6" t="s">
        <v>47</v>
      </c>
      <c r="B11" s="6" t="s">
        <v>20</v>
      </c>
      <c r="C11" s="6" t="s">
        <v>12</v>
      </c>
      <c r="D11" s="7" t="s">
        <v>48</v>
      </c>
      <c r="E11" s="8" t="s">
        <v>49</v>
      </c>
      <c r="F11" s="6" t="s">
        <v>50</v>
      </c>
      <c r="G11" s="9" t="s">
        <v>399</v>
      </c>
      <c r="H11" s="10">
        <v>2</v>
      </c>
      <c r="I11" s="11" t="s">
        <v>386</v>
      </c>
      <c r="J11" s="12"/>
    </row>
    <row r="12" spans="1:10" ht="60" customHeight="1" x14ac:dyDescent="0.3">
      <c r="A12" s="6" t="s">
        <v>51</v>
      </c>
      <c r="B12" s="6" t="s">
        <v>20</v>
      </c>
      <c r="C12" s="6" t="s">
        <v>12</v>
      </c>
      <c r="D12" s="7" t="s">
        <v>52</v>
      </c>
      <c r="E12" s="8" t="s">
        <v>53</v>
      </c>
      <c r="F12" s="6" t="s">
        <v>54</v>
      </c>
      <c r="G12" s="9" t="s">
        <v>391</v>
      </c>
      <c r="H12" s="10">
        <v>10</v>
      </c>
      <c r="I12" s="11" t="s">
        <v>384</v>
      </c>
      <c r="J12" s="12"/>
    </row>
    <row r="13" spans="1:10" ht="60" customHeight="1" x14ac:dyDescent="0.3">
      <c r="A13" s="6" t="s">
        <v>21</v>
      </c>
      <c r="B13" s="6" t="s">
        <v>11</v>
      </c>
      <c r="C13" s="6" t="s">
        <v>12</v>
      </c>
      <c r="D13" s="7" t="s">
        <v>22</v>
      </c>
      <c r="E13" s="8" t="s">
        <v>55</v>
      </c>
      <c r="F13" s="6" t="s">
        <v>56</v>
      </c>
      <c r="G13" s="9" t="s">
        <v>400</v>
      </c>
      <c r="H13" s="10">
        <v>13</v>
      </c>
      <c r="I13" s="11" t="s">
        <v>394</v>
      </c>
      <c r="J13" s="12"/>
    </row>
    <row r="14" spans="1:10" ht="60" customHeight="1" x14ac:dyDescent="0.3">
      <c r="A14" s="6" t="s">
        <v>57</v>
      </c>
      <c r="B14" s="6" t="s">
        <v>16</v>
      </c>
      <c r="C14" s="6" t="s">
        <v>12</v>
      </c>
      <c r="D14" s="7" t="s">
        <v>58</v>
      </c>
      <c r="E14" s="8" t="s">
        <v>59</v>
      </c>
      <c r="F14" s="6" t="s">
        <v>60</v>
      </c>
      <c r="G14" s="9" t="s">
        <v>393</v>
      </c>
      <c r="H14" s="10">
        <v>12</v>
      </c>
      <c r="I14" s="11" t="s">
        <v>392</v>
      </c>
      <c r="J14" s="12"/>
    </row>
    <row r="15" spans="1:10" ht="60" customHeight="1" x14ac:dyDescent="0.3">
      <c r="A15" s="6" t="s">
        <v>61</v>
      </c>
      <c r="B15" s="6" t="s">
        <v>40</v>
      </c>
      <c r="C15" s="6" t="s">
        <v>12</v>
      </c>
      <c r="D15" s="7" t="s">
        <v>62</v>
      </c>
      <c r="E15" s="8" t="s">
        <v>63</v>
      </c>
      <c r="F15" s="6" t="s">
        <v>64</v>
      </c>
      <c r="G15" s="9" t="s">
        <v>387</v>
      </c>
      <c r="H15" s="10">
        <v>13</v>
      </c>
      <c r="I15" s="11" t="s">
        <v>388</v>
      </c>
      <c r="J15" s="12"/>
    </row>
    <row r="16" spans="1:10" ht="60" customHeight="1" x14ac:dyDescent="0.3">
      <c r="A16" s="6" t="s">
        <v>65</v>
      </c>
      <c r="B16" s="6" t="s">
        <v>11</v>
      </c>
      <c r="C16" s="6" t="s">
        <v>12</v>
      </c>
      <c r="D16" s="7" t="s">
        <v>66</v>
      </c>
      <c r="E16" s="8" t="s">
        <v>67</v>
      </c>
      <c r="F16" s="6" t="s">
        <v>68</v>
      </c>
      <c r="G16" s="9" t="s">
        <v>387</v>
      </c>
      <c r="H16" s="10">
        <v>14</v>
      </c>
      <c r="I16" s="11" t="s">
        <v>388</v>
      </c>
      <c r="J16" s="12"/>
    </row>
    <row r="17" spans="1:10" ht="60" customHeight="1" x14ac:dyDescent="0.3">
      <c r="A17" s="6" t="s">
        <v>69</v>
      </c>
      <c r="B17" s="6" t="s">
        <v>16</v>
      </c>
      <c r="C17" s="6" t="s">
        <v>12</v>
      </c>
      <c r="D17" s="7" t="s">
        <v>70</v>
      </c>
      <c r="E17" s="8" t="s">
        <v>71</v>
      </c>
      <c r="F17" s="6" t="s">
        <v>72</v>
      </c>
      <c r="G17" s="9" t="s">
        <v>395</v>
      </c>
      <c r="H17" s="10">
        <v>15</v>
      </c>
      <c r="I17" s="11" t="s">
        <v>394</v>
      </c>
      <c r="J17" s="12" t="s">
        <v>396</v>
      </c>
    </row>
    <row r="18" spans="1:10" ht="60" customHeight="1" x14ac:dyDescent="0.3">
      <c r="A18" s="6" t="s">
        <v>73</v>
      </c>
      <c r="B18" s="6" t="s">
        <v>74</v>
      </c>
      <c r="C18" s="6" t="s">
        <v>12</v>
      </c>
      <c r="D18" s="7" t="s">
        <v>31</v>
      </c>
      <c r="E18" s="8" t="s">
        <v>75</v>
      </c>
      <c r="F18" s="6" t="s">
        <v>76</v>
      </c>
      <c r="G18" s="9" t="s">
        <v>397</v>
      </c>
      <c r="H18" s="10">
        <v>16</v>
      </c>
      <c r="I18" s="11" t="s">
        <v>380</v>
      </c>
      <c r="J18" s="12"/>
    </row>
    <row r="19" spans="1:10" ht="60" customHeight="1" x14ac:dyDescent="0.3">
      <c r="A19" s="6" t="s">
        <v>77</v>
      </c>
      <c r="B19" s="6" t="s">
        <v>40</v>
      </c>
      <c r="C19" s="6" t="s">
        <v>12</v>
      </c>
      <c r="D19" s="7" t="s">
        <v>78</v>
      </c>
      <c r="E19" s="8" t="s">
        <v>79</v>
      </c>
      <c r="F19" s="6" t="s">
        <v>80</v>
      </c>
      <c r="G19" s="9" t="s">
        <v>12</v>
      </c>
      <c r="H19" s="10">
        <v>2</v>
      </c>
      <c r="I19" s="11" t="s">
        <v>389</v>
      </c>
      <c r="J19" s="12" t="s">
        <v>398</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2"/>
  <sheetViews>
    <sheetView workbookViewId="0">
      <pane xSplit="1" ySplit="1" topLeftCell="B8" activePane="bottomRight" state="frozen"/>
      <selection pane="topRight" activeCell="B1" sqref="B1"/>
      <selection pane="bottomLeft" activeCell="A2" sqref="A2"/>
      <selection pane="bottomRight" activeCell="G18" sqref="G18"/>
    </sheetView>
  </sheetViews>
  <sheetFormatPr baseColWidth="10" defaultColWidth="8.88671875" defaultRowHeight="14.4" x14ac:dyDescent="0.3"/>
  <cols>
    <col min="1" max="1" width="20.6640625" customWidth="1"/>
    <col min="3" max="3" width="15.6640625" customWidth="1"/>
    <col min="4" max="4" width="9.21875" customWidth="1"/>
    <col min="5" max="5" width="16" customWidth="1"/>
    <col min="7" max="7" width="15.5546875" customWidth="1"/>
    <col min="9" max="11" width="0" hidden="1" customWidth="1"/>
    <col min="12" max="12" width="40.6640625" customWidth="1"/>
  </cols>
  <sheetData>
    <row r="1" spans="1:12" x14ac:dyDescent="0.3">
      <c r="A1" s="13" t="s">
        <v>81</v>
      </c>
      <c r="B1" s="13" t="s">
        <v>82</v>
      </c>
      <c r="C1" s="13" t="s">
        <v>83</v>
      </c>
      <c r="D1" s="13" t="s">
        <v>84</v>
      </c>
      <c r="E1" s="14" t="s">
        <v>85</v>
      </c>
      <c r="F1" s="15" t="s">
        <v>86</v>
      </c>
      <c r="G1" s="16" t="s">
        <v>87</v>
      </c>
      <c r="H1" s="17" t="s">
        <v>88</v>
      </c>
      <c r="I1" s="18" t="s">
        <v>89</v>
      </c>
      <c r="J1" s="18" t="s">
        <v>90</v>
      </c>
      <c r="K1" s="18" t="s">
        <v>91</v>
      </c>
      <c r="L1" s="19" t="s">
        <v>9</v>
      </c>
    </row>
    <row r="2" spans="1:12" x14ac:dyDescent="0.3">
      <c r="A2" t="s">
        <v>92</v>
      </c>
    </row>
    <row r="3" spans="1:12" x14ac:dyDescent="0.3">
      <c r="A3" t="s">
        <v>93</v>
      </c>
      <c r="E3" s="20" t="str">
        <f t="shared" ref="E3:E11"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1"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94</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95</v>
      </c>
      <c r="B5" s="26" t="s">
        <v>96</v>
      </c>
      <c r="C5" s="26" t="s">
        <v>97</v>
      </c>
      <c r="D5" s="26" t="s">
        <v>98</v>
      </c>
      <c r="E5" s="20" t="s">
        <v>326</v>
      </c>
      <c r="F5" s="21" t="str">
        <f>IF(OR(E5="",E5="!!!"),"",IF(NOT(ISNA(VLOOKUP(E5,E$1:E4,1,FALSE()))),"OLD",IF(AND(E5&lt;&gt;"",E5&lt;&gt;"!!!"),"NEW","")))</f>
        <v>NEW</v>
      </c>
      <c r="G5" s="22" t="s">
        <v>86</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99</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100</v>
      </c>
      <c r="B7" s="26" t="s">
        <v>101</v>
      </c>
      <c r="C7" s="26" t="s">
        <v>97</v>
      </c>
      <c r="D7" s="26" t="s">
        <v>98</v>
      </c>
      <c r="E7" s="20" t="s">
        <v>327</v>
      </c>
      <c r="F7" s="21" t="str">
        <f>IF(OR(E7="",E7="!!!"),"",IF(NOT(ISNA(VLOOKUP(E7,E$1:E6,1,FALSE()))),"OLD",IF(AND(E7&lt;&gt;"",E7&lt;&gt;"!!!"),"NEW","")))</f>
        <v>NEW</v>
      </c>
      <c r="G7" s="22" t="s">
        <v>367</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t="s">
        <v>379</v>
      </c>
    </row>
    <row r="8" spans="1:12" x14ac:dyDescent="0.3">
      <c r="A8" t="s">
        <v>102</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103</v>
      </c>
      <c r="E9" s="20" t="s">
        <v>328</v>
      </c>
      <c r="F9" s="21" t="str">
        <f>IF(OR(E9="",E9="!!!"),"",IF(NOT(ISNA(VLOOKUP(E9,E$1:E8,1,FALSE()))),"OLD",IF(AND(E9&lt;&gt;"",E9&lt;&gt;"!!!"),"NEW","")))</f>
        <v>NEW</v>
      </c>
      <c r="G9" s="22" t="s">
        <v>86</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355</v>
      </c>
    </row>
    <row r="10" spans="1:12" x14ac:dyDescent="0.3">
      <c r="A10" t="s">
        <v>104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105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3" spans="1:12" x14ac:dyDescent="0.3">
      <c r="A13" t="s">
        <v>106</v>
      </c>
    </row>
    <row r="14" spans="1:12" x14ac:dyDescent="0.3">
      <c r="A14" t="s">
        <v>107</v>
      </c>
      <c r="E14" s="20" t="str">
        <f t="shared" ref="E14:E16" si="2">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ref="H14:H37" ca="1" si="3">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93</v>
      </c>
      <c r="E15" s="20" t="str">
        <f t="shared" si="2"/>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3"/>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94</v>
      </c>
      <c r="E16" s="20" t="str">
        <f t="shared" si="2"/>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ca="1" si="3"/>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95</v>
      </c>
      <c r="B17" s="26" t="s">
        <v>96</v>
      </c>
      <c r="C17" s="26" t="s">
        <v>97</v>
      </c>
      <c r="D17" s="26" t="s">
        <v>98</v>
      </c>
      <c r="E17" s="27" t="s">
        <v>326</v>
      </c>
      <c r="F17" s="28" t="str">
        <f>IF(OR(E17="",E17="!!!"),"",IF(NOT(ISNA(VLOOKUP(E17,E$1:E16,1,FALSE()))),"OLD",IF(AND(E17&lt;&gt;"",E17&lt;&gt;"!!!"),"NEW","")))</f>
        <v>OLD</v>
      </c>
      <c r="G17" s="22" t="s">
        <v>369</v>
      </c>
      <c r="H17" s="23" t="s">
        <v>88</v>
      </c>
      <c r="I17" s="24" t="str">
        <f>IF(OR(E17="",E17="!!!",F17="NEW"),"",INDEX(B$2:B16,-1+SUMPRODUCT(MAX(ROW(E$2:E16)*(E17=E$2:E16)))))</f>
        <v>SBJ</v>
      </c>
      <c r="J17" s="24">
        <f ca="1">IF(OR(E17="",E17="!!!",F17="NEW"),"",COUNTBLANK(OFFSET(A$1,,,SUMPRODUCT(MAX(ROW(E$2:E17)*(E17=E$2:E17)))))-COUNTBLANK(OFFSET(A$1,,,SUMPRODUCT(MAX(ROW(E$1:E16)*(E2=E$1:E16))))))</f>
        <v>0</v>
      </c>
      <c r="K17" s="24" t="str">
        <f ca="1">IF(OR(E17="",E17="!!!",F17="NEW"),"",INDEX(J$1:J16,SUMPRODUCT(MAX(ROW(E$1:E16)*(E17=E$1:E16)))))</f>
        <v/>
      </c>
      <c r="L17" s="25"/>
    </row>
    <row r="18" spans="1:12" x14ac:dyDescent="0.3">
      <c r="A18" t="s">
        <v>108</v>
      </c>
      <c r="E18" s="27" t="str">
        <f t="shared" ref="E18:E37" si="4">IF(D18="?OLD","!!!","")</f>
        <v/>
      </c>
      <c r="F18" s="28"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109</v>
      </c>
      <c r="B19" s="26" t="s">
        <v>110</v>
      </c>
      <c r="C19" s="26" t="s">
        <v>111</v>
      </c>
      <c r="D19" s="26" t="s">
        <v>98</v>
      </c>
      <c r="E19" s="27"/>
      <c r="F19" s="28" t="s">
        <v>372</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9" t="s">
        <v>354</v>
      </c>
    </row>
    <row r="20" spans="1:12" x14ac:dyDescent="0.3">
      <c r="A20" t="s">
        <v>112</v>
      </c>
      <c r="E20" s="27" t="str">
        <f t="shared" si="4"/>
        <v/>
      </c>
      <c r="F20" s="28"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9"/>
    </row>
    <row r="21" spans="1:12" x14ac:dyDescent="0.3">
      <c r="A21" t="s">
        <v>113</v>
      </c>
      <c r="B21" s="26" t="s">
        <v>114</v>
      </c>
      <c r="C21" s="26" t="s">
        <v>115</v>
      </c>
      <c r="E21" s="27" t="str">
        <f t="shared" si="4"/>
        <v/>
      </c>
      <c r="F21" s="28"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9"/>
    </row>
    <row r="22" spans="1:12" x14ac:dyDescent="0.3">
      <c r="A22" t="s">
        <v>116</v>
      </c>
      <c r="E22" s="27" t="str">
        <f t="shared" si="4"/>
        <v/>
      </c>
      <c r="F22" s="28"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9"/>
    </row>
    <row r="23" spans="1:12" x14ac:dyDescent="0.3">
      <c r="A23" t="s">
        <v>100</v>
      </c>
      <c r="B23" s="26" t="s">
        <v>117</v>
      </c>
      <c r="C23" s="26" t="s">
        <v>97</v>
      </c>
      <c r="D23" s="26" t="s">
        <v>98</v>
      </c>
      <c r="E23" s="27" t="s">
        <v>327</v>
      </c>
      <c r="F23" s="28" t="str">
        <f>IF(OR(E23="",E23="!!!"),"",IF(NOT(ISNA(VLOOKUP(E23,E$1:E22,1,FALSE()))),"OLD",IF(AND(E23&lt;&gt;"",E23&lt;&gt;"!!!"),"NEW","")))</f>
        <v>OLD</v>
      </c>
      <c r="G23" s="22" t="s">
        <v>366</v>
      </c>
      <c r="H23" s="23" t="str">
        <f t="shared" ca="1" si="3"/>
        <v/>
      </c>
      <c r="I23" s="24" t="str">
        <f>IF(OR(E23="",E23="!!!",F23="NEW"),"",INDEX(B$2:B22,-1+SUMPRODUCT(MAX(ROW(E$2:E22)*(E23=E$2:E22)))))</f>
        <v>other_2</v>
      </c>
      <c r="J23" s="24">
        <f ca="1">IF(OR(E23="",E23="!!!",F23="NEW"),"",COUNTBLANK(OFFSET(A$1,,,SUMPRODUCT(MAX(ROW(E$2:E23)*(E23=E$2:E23)))))-COUNTBLANK(OFFSET(A$1,,,SUMPRODUCT(MAX(ROW(E$1:E22)*(E2=E$1:E22))))))</f>
        <v>0</v>
      </c>
      <c r="K23" s="24" t="str">
        <f ca="1">IF(OR(E23="",E23="!!!",F23="NEW"),"",INDEX(J$1:J22,SUMPRODUCT(MAX(ROW(E$1:E22)*(E23=E$1:E22)))))</f>
        <v/>
      </c>
      <c r="L23" s="29"/>
    </row>
    <row r="24" spans="1:12" x14ac:dyDescent="0.3">
      <c r="A24" t="s">
        <v>102</v>
      </c>
      <c r="E24" s="27" t="str">
        <f t="shared" si="4"/>
        <v/>
      </c>
      <c r="F24" s="28"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9"/>
    </row>
    <row r="25" spans="1:12" x14ac:dyDescent="0.3">
      <c r="A25" t="s">
        <v>118</v>
      </c>
      <c r="E25" s="27" t="str">
        <f t="shared" si="4"/>
        <v/>
      </c>
      <c r="F25" s="28"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9"/>
    </row>
    <row r="26" spans="1:12" x14ac:dyDescent="0.3">
      <c r="A26" t="s">
        <v>119</v>
      </c>
      <c r="E26" s="27" t="str">
        <f t="shared" si="4"/>
        <v/>
      </c>
      <c r="F26" s="28"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9"/>
    </row>
    <row r="27" spans="1:12" x14ac:dyDescent="0.3">
      <c r="A27" t="s">
        <v>108</v>
      </c>
      <c r="E27" s="27" t="str">
        <f t="shared" si="4"/>
        <v/>
      </c>
      <c r="F27" s="28"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9"/>
    </row>
    <row r="28" spans="1:12" x14ac:dyDescent="0.3">
      <c r="A28" t="s">
        <v>120</v>
      </c>
      <c r="E28" s="27" t="str">
        <f t="shared" si="4"/>
        <v/>
      </c>
      <c r="F28" s="28"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9"/>
    </row>
    <row r="29" spans="1:12" x14ac:dyDescent="0.3">
      <c r="A29" t="s">
        <v>99</v>
      </c>
      <c r="E29" s="27" t="str">
        <f t="shared" si="4"/>
        <v/>
      </c>
      <c r="F29" s="28"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9"/>
    </row>
    <row r="30" spans="1:12" x14ac:dyDescent="0.3">
      <c r="A30" t="s">
        <v>121</v>
      </c>
      <c r="E30" s="27" t="str">
        <f t="shared" si="4"/>
        <v/>
      </c>
      <c r="F30" s="28"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9"/>
    </row>
    <row r="31" spans="1:12" x14ac:dyDescent="0.3">
      <c r="A31" t="s">
        <v>122</v>
      </c>
      <c r="B31" s="26" t="s">
        <v>123</v>
      </c>
      <c r="C31" s="26" t="s">
        <v>124</v>
      </c>
      <c r="D31" s="26" t="s">
        <v>98</v>
      </c>
      <c r="E31" s="27" t="s">
        <v>365</v>
      </c>
      <c r="F31" s="28" t="str">
        <f>IF(OR(E31="",E31="!!!"),"",IF(NOT(ISNA(VLOOKUP(E31,E$1:E30,1,FALSE()))),"OLD",IF(AND(E31&lt;&gt;"",E31&lt;&gt;"!!!"),"NEW","")))</f>
        <v>NEW</v>
      </c>
      <c r="G31" s="22" t="s">
        <v>368</v>
      </c>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9"/>
    </row>
    <row r="32" spans="1:12" x14ac:dyDescent="0.3">
      <c r="A32" t="s">
        <v>125</v>
      </c>
      <c r="E32" s="27" t="str">
        <f t="shared" si="4"/>
        <v/>
      </c>
      <c r="F32" s="28"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9"/>
    </row>
    <row r="33" spans="1:12" x14ac:dyDescent="0.3">
      <c r="A33" t="s">
        <v>126</v>
      </c>
      <c r="E33" s="27" t="str">
        <f t="shared" si="4"/>
        <v/>
      </c>
      <c r="F33" s="28"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9"/>
    </row>
    <row r="34" spans="1:12" x14ac:dyDescent="0.3">
      <c r="A34" t="s">
        <v>127</v>
      </c>
      <c r="B34" s="26" t="s">
        <v>101</v>
      </c>
      <c r="C34" s="26" t="s">
        <v>128</v>
      </c>
      <c r="E34" s="27" t="s">
        <v>328</v>
      </c>
      <c r="F34" s="28" t="str">
        <f>IF(OR(E34="",E34="!!!"),"",IF(NOT(ISNA(VLOOKUP(E34,E$1:E33,1,FALSE()))),"OLD",IF(AND(E34&lt;&gt;"",E34&lt;&gt;"!!!"),"NEW","")))</f>
        <v>OLD</v>
      </c>
      <c r="G34" s="22" t="s">
        <v>366</v>
      </c>
      <c r="H34" s="23" t="str">
        <f t="shared" ca="1" si="3"/>
        <v/>
      </c>
      <c r="I34" s="24">
        <f>IF(OR(E34="",E34="!!!",F34="NEW"),"",INDEX(B$2:B33,-1+SUMPRODUCT(MAX(ROW(E$2:E33)*(E34=E$2:E33)))))</f>
        <v>0</v>
      </c>
      <c r="J34" s="24">
        <f ca="1">IF(OR(E34="",E34="!!!",F34="NEW"),"",COUNTBLANK(OFFSET(A$1,,,SUMPRODUCT(MAX(ROW(E$2:E34)*(E34=E$2:E34)))))-COUNTBLANK(OFFSET(A$1,,,SUMPRODUCT(MAX(ROW(E$1:E33)*(E2=E$1:E33))))))</f>
        <v>0</v>
      </c>
      <c r="K34" s="24" t="str">
        <f ca="1">IF(OR(E34="",E34="!!!",F34="NEW"),"",INDEX(J$1:J33,SUMPRODUCT(MAX(ROW(E$1:E33)*(E34=E$1:E33)))))</f>
        <v/>
      </c>
      <c r="L34" s="29"/>
    </row>
    <row r="35" spans="1:12" x14ac:dyDescent="0.3">
      <c r="A35" t="s">
        <v>104</v>
      </c>
      <c r="E35" s="27" t="str">
        <f t="shared" si="4"/>
        <v/>
      </c>
      <c r="F35" s="28"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9"/>
    </row>
    <row r="36" spans="1:12" x14ac:dyDescent="0.3">
      <c r="A36" t="s">
        <v>105</v>
      </c>
      <c r="E36" s="27" t="str">
        <f t="shared" si="4"/>
        <v/>
      </c>
      <c r="F36" s="28"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9"/>
    </row>
    <row r="37" spans="1:12" x14ac:dyDescent="0.3">
      <c r="A37" t="s">
        <v>129</v>
      </c>
      <c r="E37" s="27" t="str">
        <f t="shared" si="4"/>
        <v/>
      </c>
      <c r="F37" s="28"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9"/>
    </row>
    <row r="39" spans="1:12" x14ac:dyDescent="0.3">
      <c r="A39" t="s">
        <v>130</v>
      </c>
      <c r="E39" s="27" t="str">
        <f>IF(D39="?OLD","!!!","")</f>
        <v/>
      </c>
      <c r="F39" s="28" t="str">
        <f>IF(OR(E39="",E39="!!!"),"",IF(NOT(ISNA(VLOOKUP(E39,E$1:E38,1,FALSE()))),"OLD",IF(AND(E39&lt;&gt;"",E39&lt;&gt;"!!!"),"NEW","")))</f>
        <v/>
      </c>
      <c r="G39" s="22" t="str">
        <f>IF(OR(E39="",E39="!!!"),"",IF(OR(J39=0,AND(J39=1,K39=1),AND(J39=1,I39="SBJ"),AND(J39=1,I39=0)),"?IN_FOCUS",IF(J39&lt;=2,"?ACTIVATED",IF(J39&lt;&gt;"","?FAMILIAR",IF(F39="NEW",IF(ISNA(VLOOKUP(E39,#REF!,1,FALSE())),"?TYPE_IDENTIFIABLE","?REFERENTIAL"),"_")))))</f>
        <v/>
      </c>
      <c r="H39" s="23" t="str">
        <f ca="1">IF(J39&lt;&gt;1,"",IF(I39="SBJ","CB","?"))</f>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9"/>
    </row>
    <row r="40" spans="1:12" x14ac:dyDescent="0.3">
      <c r="A40" t="s">
        <v>131</v>
      </c>
    </row>
    <row r="41" spans="1:12" x14ac:dyDescent="0.3">
      <c r="A41" t="s">
        <v>132</v>
      </c>
      <c r="E41" s="27" t="str">
        <f>IF(D41="?OLD","!!!","")</f>
        <v/>
      </c>
      <c r="F41" s="28"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ref="H41:H70" ca="1" si="5">IF(J41&lt;&gt;1,"",IF(I41="SBJ","CB","?"))</f>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9"/>
    </row>
    <row r="42" spans="1:12" x14ac:dyDescent="0.3">
      <c r="A42" t="s">
        <v>133</v>
      </c>
      <c r="B42" s="26" t="s">
        <v>96</v>
      </c>
      <c r="C42" s="26" t="s">
        <v>124</v>
      </c>
      <c r="D42" s="26" t="s">
        <v>98</v>
      </c>
      <c r="E42" s="27" t="s">
        <v>337</v>
      </c>
      <c r="F42" s="28" t="str">
        <f>IF(OR(E42="",E42="!!!"),"",IF(NOT(ISNA(VLOOKUP(E42,E$1:E41,1,FALSE()))),"OLD",IF(AND(E42&lt;&gt;"",E42&lt;&gt;"!!!"),"NEW","")))</f>
        <v>NEW</v>
      </c>
      <c r="G42" s="22" t="s">
        <v>86</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9"/>
    </row>
    <row r="43" spans="1:12" x14ac:dyDescent="0.3">
      <c r="A43" t="s">
        <v>134</v>
      </c>
      <c r="E43" s="27"/>
      <c r="F43" s="28"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9"/>
    </row>
    <row r="44" spans="1:12" x14ac:dyDescent="0.3">
      <c r="A44" t="s">
        <v>135</v>
      </c>
      <c r="B44" s="26" t="s">
        <v>101</v>
      </c>
      <c r="C44" s="26" t="s">
        <v>124</v>
      </c>
      <c r="D44" s="26" t="s">
        <v>98</v>
      </c>
      <c r="E44" s="27" t="s">
        <v>326</v>
      </c>
      <c r="F44" s="28" t="str">
        <f>IF(OR(E44="",E44="!!!"),"",IF(NOT(ISNA(VLOOKUP(E44,E$1:E43,1,FALSE()))),"OLD",IF(AND(E44&lt;&gt;"",E44&lt;&gt;"!!!"),"NEW","")))</f>
        <v>OLD</v>
      </c>
      <c r="G44" s="22" t="s">
        <v>369</v>
      </c>
      <c r="H44" s="23" t="s">
        <v>88</v>
      </c>
      <c r="I44" s="24" t="str">
        <f>IF(OR(E44="",E44="!!!",F44="NEW"),"",INDEX(B$2:B43,-1+SUMPRODUCT(MAX(ROW(E$2:E43)*(E44=E$2:E43)))))</f>
        <v>SBJ</v>
      </c>
      <c r="J44" s="24">
        <f ca="1">IF(OR(E44="",E44="!!!",F44="NEW"),"",COUNTBLANK(OFFSET(A$1,,,SUMPRODUCT(MAX(ROW(E$2:E44)*(E44=E$2:E44)))))-COUNTBLANK(OFFSET(A$1,,,SUMPRODUCT(MAX(ROW(E$1:E43)*(E2=E$1:E43))))))</f>
        <v>0</v>
      </c>
      <c r="K44" s="24">
        <f ca="1">IF(OR(E44="",E44="!!!",F44="NEW"),"",INDEX(J$1:J43,SUMPRODUCT(MAX(ROW(E$1:E43)*(E44=E$1:E43)))))</f>
        <v>0</v>
      </c>
      <c r="L44" s="29"/>
    </row>
    <row r="45" spans="1:12" x14ac:dyDescent="0.3">
      <c r="A45" t="s">
        <v>136</v>
      </c>
      <c r="E45" s="27"/>
      <c r="F45" s="28"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9"/>
    </row>
    <row r="46" spans="1:12" x14ac:dyDescent="0.3">
      <c r="A46" t="s">
        <v>137</v>
      </c>
      <c r="E46" s="27"/>
      <c r="F46" s="28"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9"/>
    </row>
    <row r="47" spans="1:12" x14ac:dyDescent="0.3">
      <c r="A47" t="s">
        <v>108</v>
      </c>
      <c r="E47" s="27"/>
      <c r="F47" s="28"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9"/>
    </row>
    <row r="48" spans="1:12" x14ac:dyDescent="0.3">
      <c r="A48" t="s">
        <v>138</v>
      </c>
      <c r="E48" s="27"/>
      <c r="F48" s="28"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9"/>
    </row>
    <row r="49" spans="1:12" x14ac:dyDescent="0.3">
      <c r="A49" t="s">
        <v>139</v>
      </c>
      <c r="B49" s="26" t="s">
        <v>140</v>
      </c>
      <c r="C49" s="26" t="s">
        <v>141</v>
      </c>
      <c r="D49" s="26" t="s">
        <v>98</v>
      </c>
      <c r="E49" s="27" t="s">
        <v>337</v>
      </c>
      <c r="F49" s="28" t="str">
        <f>IF(OR(E49="",E49="!!!"),"",IF(NOT(ISNA(VLOOKUP(E49,E$1:E48,1,FALSE()))),"OLD",IF(AND(E49&lt;&gt;"",E49&lt;&gt;"!!!"),"NEW","")))</f>
        <v>OLD</v>
      </c>
      <c r="G49" s="22" t="s">
        <v>369</v>
      </c>
      <c r="H49" s="23" t="str">
        <f t="shared" ca="1" si="5"/>
        <v/>
      </c>
      <c r="I49" s="24" t="str">
        <f>IF(OR(E49="",E49="!!!",F49="NEW"),"",INDEX(B$2:B48,-1+SUMPRODUCT(MAX(ROW(E$2:E48)*(E49=E$2:E48)))))</f>
        <v>SBJ</v>
      </c>
      <c r="J49" s="24">
        <f ca="1">IF(OR(E49="",E49="!!!",F49="NEW"),"",COUNTBLANK(OFFSET(A$1,,,SUMPRODUCT(MAX(ROW(E$2:E49)*(E49=E$2:E49)))))-COUNTBLANK(OFFSET(A$1,,,SUMPRODUCT(MAX(ROW(E$1:E48)*(E2=E$1:E48))))))</f>
        <v>0</v>
      </c>
      <c r="K49" s="24" t="str">
        <f ca="1">IF(OR(E49="",E49="!!!",F49="NEW"),"",INDEX(J$1:J48,SUMPRODUCT(MAX(ROW(E$1:E48)*(E49=E$1:E48)))))</f>
        <v/>
      </c>
      <c r="L49" s="29"/>
    </row>
    <row r="50" spans="1:12" x14ac:dyDescent="0.3">
      <c r="A50" t="s">
        <v>142</v>
      </c>
      <c r="B50" s="26" t="s">
        <v>143</v>
      </c>
      <c r="E50" s="27"/>
      <c r="F50" s="28"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9"/>
    </row>
    <row r="51" spans="1:12" x14ac:dyDescent="0.3">
      <c r="A51" t="s">
        <v>144</v>
      </c>
      <c r="B51" s="26" t="s">
        <v>143</v>
      </c>
      <c r="C51" s="26" t="s">
        <v>145</v>
      </c>
      <c r="E51" s="27"/>
      <c r="F51" s="28"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9"/>
    </row>
    <row r="52" spans="1:12" x14ac:dyDescent="0.3">
      <c r="A52" t="s">
        <v>146</v>
      </c>
      <c r="E52" s="27"/>
      <c r="F52" s="28"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9"/>
    </row>
    <row r="53" spans="1:12" x14ac:dyDescent="0.3">
      <c r="A53" t="s">
        <v>147</v>
      </c>
      <c r="E53" s="27"/>
      <c r="F53" s="28"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9"/>
    </row>
    <row r="54" spans="1:12" x14ac:dyDescent="0.3">
      <c r="A54" t="s">
        <v>108</v>
      </c>
      <c r="E54" s="27"/>
      <c r="F54" s="28"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5"/>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9"/>
    </row>
    <row r="55" spans="1:12" x14ac:dyDescent="0.3">
      <c r="A55" t="s">
        <v>109</v>
      </c>
      <c r="B55" s="26" t="s">
        <v>140</v>
      </c>
      <c r="E55" s="27"/>
      <c r="F55" s="28"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5"/>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9"/>
    </row>
    <row r="56" spans="1:12" x14ac:dyDescent="0.3">
      <c r="A56" t="s">
        <v>148</v>
      </c>
      <c r="B56" s="26" t="s">
        <v>143</v>
      </c>
      <c r="C56" s="26" t="s">
        <v>141</v>
      </c>
      <c r="D56" s="26" t="s">
        <v>98</v>
      </c>
      <c r="E56" s="27" t="s">
        <v>326</v>
      </c>
      <c r="F56" s="28" t="str">
        <f>IF(OR(E56="",E56="!!!"),"",IF(NOT(ISNA(VLOOKUP(E56,E$1:E55,1,FALSE()))),"OLD",IF(AND(E56&lt;&gt;"",E56&lt;&gt;"!!!"),"NEW","")))</f>
        <v>OLD</v>
      </c>
      <c r="G56" s="22" t="s">
        <v>369</v>
      </c>
      <c r="H56" s="23" t="str">
        <f t="shared" ca="1" si="5"/>
        <v/>
      </c>
      <c r="I56" s="24" t="str">
        <f>IF(OR(E56="",E56="!!!",F56="NEW"),"",INDEX(B$2:B55,-1+SUMPRODUCT(MAX(ROW(E$2:E55)*(E56=E$2:E55)))))</f>
        <v>other_2</v>
      </c>
      <c r="J56" s="24">
        <f ca="1">IF(OR(E56="",E56="!!!",F56="NEW"),"",COUNTBLANK(OFFSET(A$1,,,SUMPRODUCT(MAX(ROW(E$2:E56)*(E56=E$2:E56)))))-COUNTBLANK(OFFSET(A$1,,,SUMPRODUCT(MAX(ROW(E$1:E55)*(E2=E$1:E55))))))</f>
        <v>0</v>
      </c>
      <c r="K56" s="24">
        <f ca="1">IF(OR(E56="",E56="!!!",F56="NEW"),"",INDEX(J$1:J55,SUMPRODUCT(MAX(ROW(E$1:E55)*(E56=E$1:E55)))))</f>
        <v>0</v>
      </c>
      <c r="L56" s="29"/>
    </row>
    <row r="57" spans="1:12" x14ac:dyDescent="0.3">
      <c r="A57" t="s">
        <v>149</v>
      </c>
      <c r="E57" s="27"/>
      <c r="F57" s="28"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5"/>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9"/>
    </row>
    <row r="58" spans="1:12" x14ac:dyDescent="0.3">
      <c r="A58" t="s">
        <v>150</v>
      </c>
      <c r="E58" s="27"/>
      <c r="F58" s="28"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5"/>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9"/>
    </row>
    <row r="59" spans="1:12" x14ac:dyDescent="0.3">
      <c r="A59" t="s">
        <v>151</v>
      </c>
      <c r="E59" s="27"/>
      <c r="F59" s="28"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5"/>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9"/>
    </row>
    <row r="60" spans="1:12" x14ac:dyDescent="0.3">
      <c r="A60" t="s">
        <v>108</v>
      </c>
      <c r="E60" s="27"/>
      <c r="F60" s="28"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5"/>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9"/>
    </row>
    <row r="61" spans="1:12" x14ac:dyDescent="0.3">
      <c r="A61" t="s">
        <v>152</v>
      </c>
      <c r="E61" s="27"/>
      <c r="F61" s="28"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9"/>
    </row>
    <row r="62" spans="1:12" x14ac:dyDescent="0.3">
      <c r="A62" t="s">
        <v>153</v>
      </c>
      <c r="E62" s="27"/>
      <c r="F62" s="28"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9"/>
    </row>
    <row r="63" spans="1:12" x14ac:dyDescent="0.3">
      <c r="A63" t="s">
        <v>154</v>
      </c>
      <c r="E63" s="27"/>
      <c r="F63" s="28"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9"/>
    </row>
    <row r="64" spans="1:12" x14ac:dyDescent="0.3">
      <c r="A64" t="s">
        <v>155</v>
      </c>
      <c r="B64" s="26" t="s">
        <v>140</v>
      </c>
      <c r="C64" s="26" t="s">
        <v>141</v>
      </c>
      <c r="D64" s="26" t="s">
        <v>98</v>
      </c>
      <c r="E64" s="27"/>
      <c r="F64" s="28" t="s">
        <v>329</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9"/>
    </row>
    <row r="65" spans="1:12" x14ac:dyDescent="0.3">
      <c r="A65" t="s">
        <v>156</v>
      </c>
      <c r="E65" s="27"/>
      <c r="F65" s="28"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9"/>
    </row>
    <row r="66" spans="1:12" x14ac:dyDescent="0.3">
      <c r="A66" t="s">
        <v>148</v>
      </c>
      <c r="B66" s="26" t="s">
        <v>101</v>
      </c>
      <c r="C66" s="26" t="s">
        <v>141</v>
      </c>
      <c r="D66" s="26" t="s">
        <v>98</v>
      </c>
      <c r="E66" s="27" t="s">
        <v>326</v>
      </c>
      <c r="F66" s="28" t="str">
        <f>IF(OR(E66="",E66="!!!"),"",IF(NOT(ISNA(VLOOKUP(E66,E$1:E65,1,FALSE()))),"OLD",IF(AND(E66&lt;&gt;"",E66&lt;&gt;"!!!"),"NEW","")))</f>
        <v>OLD</v>
      </c>
      <c r="G66" s="22" t="s">
        <v>369</v>
      </c>
      <c r="H66" s="23" t="str">
        <f t="shared" ca="1" si="5"/>
        <v/>
      </c>
      <c r="I66" s="24" t="str">
        <f>IF(OR(E66="",E66="!!!",F66="NEW"),"",INDEX(B$2:B65,-1+SUMPRODUCT(MAX(ROW(E$2:E65)*(E66=E$2:E65)))))</f>
        <v>OBJ_2</v>
      </c>
      <c r="J66" s="24">
        <f ca="1">IF(OR(E66="",E66="!!!",F66="NEW"),"",COUNTBLANK(OFFSET(A$1,,,SUMPRODUCT(MAX(ROW(E$2:E66)*(E66=E$2:E66)))))-COUNTBLANK(OFFSET(A$1,,,SUMPRODUCT(MAX(ROW(E$1:E65)*(E2=E$1:E65))))))</f>
        <v>0</v>
      </c>
      <c r="K66" s="24">
        <f ca="1">IF(OR(E66="",E66="!!!",F66="NEW"),"",INDEX(J$1:J65,SUMPRODUCT(MAX(ROW(E$1:E65)*(E66=E$1:E65)))))</f>
        <v>0</v>
      </c>
      <c r="L66" s="29"/>
    </row>
    <row r="67" spans="1:12" x14ac:dyDescent="0.3">
      <c r="A67" t="s">
        <v>157</v>
      </c>
      <c r="E67" s="27"/>
      <c r="F67" s="28"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9"/>
    </row>
    <row r="68" spans="1:12" x14ac:dyDescent="0.3">
      <c r="A68" t="s">
        <v>158</v>
      </c>
      <c r="E68" s="27"/>
      <c r="F68" s="28"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9"/>
    </row>
    <row r="69" spans="1:12" x14ac:dyDescent="0.3">
      <c r="A69" t="s">
        <v>129</v>
      </c>
      <c r="E69" s="27"/>
      <c r="F69" s="28"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9"/>
    </row>
    <row r="70" spans="1:12" x14ac:dyDescent="0.3">
      <c r="A70" t="s">
        <v>152</v>
      </c>
      <c r="E70" s="27"/>
      <c r="F70" s="28"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9"/>
    </row>
    <row r="72" spans="1:12" x14ac:dyDescent="0.3">
      <c r="A72" t="s">
        <v>159</v>
      </c>
    </row>
    <row r="73" spans="1:12" x14ac:dyDescent="0.3">
      <c r="A73" t="s">
        <v>132</v>
      </c>
      <c r="E73" s="27"/>
      <c r="F73" s="28"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ref="H73:H105" ca="1" si="6">IF(J73&lt;&gt;1,"",IF(I73="SBJ","CB","?"))</f>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9"/>
    </row>
    <row r="74" spans="1:12" x14ac:dyDescent="0.3">
      <c r="A74" t="s">
        <v>160</v>
      </c>
      <c r="E74" s="27"/>
      <c r="F74" s="28"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6"/>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9"/>
    </row>
    <row r="75" spans="1:12" x14ac:dyDescent="0.3">
      <c r="A75" t="s">
        <v>121</v>
      </c>
      <c r="E75" s="27"/>
      <c r="F75" s="28"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6"/>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9"/>
    </row>
    <row r="76" spans="1:12" x14ac:dyDescent="0.3">
      <c r="A76" t="s">
        <v>161</v>
      </c>
      <c r="B76" s="26" t="s">
        <v>114</v>
      </c>
      <c r="C76" s="26" t="s">
        <v>97</v>
      </c>
      <c r="D76" s="26" t="s">
        <v>98</v>
      </c>
      <c r="E76" s="27" t="s">
        <v>330</v>
      </c>
      <c r="F76" s="28" t="s">
        <v>331</v>
      </c>
      <c r="G76" s="22" t="s">
        <v>368</v>
      </c>
      <c r="H76" s="23" t="str">
        <f t="shared" ca="1" si="6"/>
        <v/>
      </c>
      <c r="I76" s="24" t="e">
        <f>IF(OR(E76="",E76="!!!",F76="NEW"),"",INDEX(B$2:B75,-1+SUMPRODUCT(MAX(ROW(E$2:E75)*(E76=E$2:E75)))))</f>
        <v>#VALUE!</v>
      </c>
      <c r="J76" s="24">
        <f ca="1">IF(OR(E76="",E76="!!!",F76="NEW"),"",COUNTBLANK(OFFSET(A$1,,,SUMPRODUCT(MAX(ROW(E$2:E76)*(E76=E$2:E76)))))-COUNTBLANK(OFFSET(A$1,,,SUMPRODUCT(MAX(ROW(E$1:E75)*(E2=E$1:E75))))))</f>
        <v>0</v>
      </c>
      <c r="K76" s="24" t="e">
        <f>IF(OR(E76="",E76="!!!",F76="NEW"),"",INDEX(J$1:J75,SUMPRODUCT(MAX(ROW(E$1:E75)*(E76=E$1:E75)))))</f>
        <v>#VALUE!</v>
      </c>
      <c r="L76" s="29"/>
    </row>
    <row r="77" spans="1:12" x14ac:dyDescent="0.3">
      <c r="A77" t="s">
        <v>162</v>
      </c>
      <c r="E77" s="27"/>
      <c r="F77" s="28"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6"/>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9"/>
    </row>
    <row r="78" spans="1:12" x14ac:dyDescent="0.3">
      <c r="A78" t="s">
        <v>99</v>
      </c>
      <c r="E78" s="27"/>
      <c r="F78" s="28"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6"/>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9"/>
    </row>
    <row r="79" spans="1:12" x14ac:dyDescent="0.3">
      <c r="A79" t="s">
        <v>109</v>
      </c>
      <c r="E79" s="27"/>
      <c r="F79" s="28"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6"/>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9"/>
    </row>
    <row r="80" spans="1:12" x14ac:dyDescent="0.3">
      <c r="A80" t="s">
        <v>163</v>
      </c>
      <c r="B80" s="26" t="s">
        <v>114</v>
      </c>
      <c r="C80" s="26" t="s">
        <v>97</v>
      </c>
      <c r="D80" s="26" t="s">
        <v>98</v>
      </c>
      <c r="E80" s="27"/>
      <c r="F80" s="28"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6"/>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9"/>
    </row>
    <row r="81" spans="1:12" x14ac:dyDescent="0.3">
      <c r="A81" t="s">
        <v>103</v>
      </c>
      <c r="E81" s="27" t="s">
        <v>328</v>
      </c>
      <c r="F81" s="28" t="str">
        <f>IF(OR(E81="",E81="!!!"),"",IF(NOT(ISNA(VLOOKUP(E81,E$1:E80,1,FALSE()))),"OLD",IF(AND(E81&lt;&gt;"",E81&lt;&gt;"!!!"),"NEW","")))</f>
        <v>OLD</v>
      </c>
      <c r="G81" s="22" t="s">
        <v>366</v>
      </c>
      <c r="H81" s="23" t="str">
        <f t="shared" ca="1" si="6"/>
        <v/>
      </c>
      <c r="I81" s="24" t="str">
        <f>IF(OR(E81="",E81="!!!",F81="NEW"),"",INDEX(B$2:B80,-1+SUMPRODUCT(MAX(ROW(E$2:E80)*(E81=E$2:E80)))))</f>
        <v>other_2</v>
      </c>
      <c r="J81" s="24">
        <f ca="1">IF(OR(E81="",E81="!!!",F81="NEW"),"",COUNTBLANK(OFFSET(A$1,,,SUMPRODUCT(MAX(ROW(E$2:E81)*(E81=E$2:E81)))))-COUNTBLANK(OFFSET(A$1,,,SUMPRODUCT(MAX(ROW(E$1:E80)*(E2=E$1:E80))))))</f>
        <v>0</v>
      </c>
      <c r="K81" s="24">
        <f ca="1">IF(OR(E81="",E81="!!!",F81="NEW"),"",INDEX(J$1:J80,SUMPRODUCT(MAX(ROW(E$1:E80)*(E81=E$1:E80)))))</f>
        <v>0</v>
      </c>
      <c r="L81" s="29" t="s">
        <v>355</v>
      </c>
    </row>
    <row r="82" spans="1:12" x14ac:dyDescent="0.3">
      <c r="A82" t="s">
        <v>164</v>
      </c>
      <c r="E82" s="27"/>
      <c r="F82" s="28"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6"/>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9"/>
    </row>
    <row r="83" spans="1:12" x14ac:dyDescent="0.3">
      <c r="A83" t="s">
        <v>165</v>
      </c>
      <c r="B83" s="26" t="s">
        <v>96</v>
      </c>
      <c r="C83" s="26" t="s">
        <v>124</v>
      </c>
      <c r="D83" s="26" t="s">
        <v>98</v>
      </c>
      <c r="E83" s="27" t="s">
        <v>373</v>
      </c>
      <c r="F83" s="28" t="str">
        <f>IF(OR(E83="",E83="!!!"),"",IF(NOT(ISNA(VLOOKUP(E83,E$1:E82,1,FALSE()))),"OLD",IF(AND(E83&lt;&gt;"",E83&lt;&gt;"!!!"),"NEW","")))</f>
        <v>NEW</v>
      </c>
      <c r="G83" s="22" t="s">
        <v>368</v>
      </c>
      <c r="H83" s="23"/>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9"/>
    </row>
    <row r="84" spans="1:12" x14ac:dyDescent="0.3">
      <c r="A84" t="s">
        <v>120</v>
      </c>
      <c r="E84" s="27"/>
      <c r="F84" s="28"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6"/>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9"/>
    </row>
    <row r="85" spans="1:12" x14ac:dyDescent="0.3">
      <c r="A85" t="s">
        <v>166</v>
      </c>
      <c r="E85" s="27"/>
      <c r="F85" s="28"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6"/>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9"/>
    </row>
    <row r="86" spans="1:12" x14ac:dyDescent="0.3">
      <c r="A86" t="s">
        <v>109</v>
      </c>
      <c r="E86" s="27"/>
      <c r="F86" s="28"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6"/>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9"/>
    </row>
    <row r="87" spans="1:12" x14ac:dyDescent="0.3">
      <c r="A87" t="s">
        <v>167</v>
      </c>
      <c r="E87" s="27"/>
      <c r="F87" s="28"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6"/>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9"/>
    </row>
    <row r="88" spans="1:12" x14ac:dyDescent="0.3">
      <c r="A88" t="s">
        <v>168</v>
      </c>
      <c r="B88" s="26" t="s">
        <v>114</v>
      </c>
      <c r="C88" s="26" t="s">
        <v>169</v>
      </c>
      <c r="E88" s="27"/>
      <c r="F88" s="28"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6"/>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9"/>
    </row>
    <row r="89" spans="1:12" x14ac:dyDescent="0.3">
      <c r="A89" t="s">
        <v>170</v>
      </c>
      <c r="E89" s="27"/>
      <c r="F89" s="28"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6"/>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9"/>
    </row>
    <row r="90" spans="1:12" x14ac:dyDescent="0.3">
      <c r="A90" t="s">
        <v>171</v>
      </c>
      <c r="B90" s="26" t="s">
        <v>123</v>
      </c>
      <c r="C90" s="26" t="s">
        <v>97</v>
      </c>
      <c r="D90" s="26" t="s">
        <v>98</v>
      </c>
      <c r="E90" s="27" t="s">
        <v>326</v>
      </c>
      <c r="F90" s="28" t="s">
        <v>374</v>
      </c>
      <c r="G90" s="22" t="s">
        <v>369</v>
      </c>
      <c r="H90" s="23" t="s">
        <v>88</v>
      </c>
      <c r="I90" s="24" t="str">
        <f>IF(OR(E90="",E90="!!!",F90="NEW"),"",INDEX(B$2:B89,-1+SUMPRODUCT(MAX(ROW(E$2:E89)*(E90=E$2:E89)))))</f>
        <v>other_2</v>
      </c>
      <c r="J90" s="24">
        <f ca="1">IF(OR(E90="",E90="!!!",F90="NEW"),"",COUNTBLANK(OFFSET(A$1,,,SUMPRODUCT(MAX(ROW(E$2:E90)*(E90=E$2:E90)))))-COUNTBLANK(OFFSET(A$1,,,SUMPRODUCT(MAX(ROW(E$1:E89)*(E2=E$1:E89))))))</f>
        <v>0</v>
      </c>
      <c r="K90" s="24">
        <f ca="1">IF(OR(E90="",E90="!!!",F90="NEW"),"",INDEX(J$1:J89,SUMPRODUCT(MAX(ROW(E$1:E89)*(E90=E$1:E89)))))</f>
        <v>0</v>
      </c>
      <c r="L90" s="29"/>
    </row>
    <row r="91" spans="1:12" x14ac:dyDescent="0.3">
      <c r="A91" t="s">
        <v>172</v>
      </c>
      <c r="E91" s="27"/>
      <c r="F91" s="28"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6"/>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9"/>
    </row>
    <row r="92" spans="1:12" x14ac:dyDescent="0.3">
      <c r="A92" t="s">
        <v>137</v>
      </c>
      <c r="E92" s="27"/>
      <c r="F92" s="28"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6"/>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9"/>
    </row>
    <row r="93" spans="1:12" x14ac:dyDescent="0.3">
      <c r="A93" t="s">
        <v>100</v>
      </c>
      <c r="B93" s="26" t="s">
        <v>123</v>
      </c>
      <c r="C93" s="26" t="s">
        <v>97</v>
      </c>
      <c r="D93" s="26" t="s">
        <v>98</v>
      </c>
      <c r="E93" s="27" t="s">
        <v>327</v>
      </c>
      <c r="F93" s="28" t="str">
        <f>IF(OR(E93="",E93="!!!"),"",IF(NOT(ISNA(VLOOKUP(E93,E$1:E92,1,FALSE()))),"OLD",IF(AND(E93&lt;&gt;"",E93&lt;&gt;"!!!"),"NEW","")))</f>
        <v>OLD</v>
      </c>
      <c r="G93" s="22" t="s">
        <v>366</v>
      </c>
      <c r="H93" s="23" t="str">
        <f t="shared" ca="1" si="6"/>
        <v/>
      </c>
      <c r="I93" s="24" t="str">
        <f>IF(OR(E93="",E93="!!!",F93="NEW"),"",INDEX(B$2:B92,-1+SUMPRODUCT(MAX(ROW(E$2:E92)*(E93=E$2:E92)))))</f>
        <v>other_4</v>
      </c>
      <c r="J93" s="24">
        <f ca="1">IF(OR(E93="",E93="!!!",F93="NEW"),"",COUNTBLANK(OFFSET(A$1,,,SUMPRODUCT(MAX(ROW(E$2:E93)*(E93=E$2:E93)))))-COUNTBLANK(OFFSET(A$1,,,SUMPRODUCT(MAX(ROW(E$1:E92)*(E2=E$1:E92))))))</f>
        <v>0</v>
      </c>
      <c r="K93" s="24">
        <f ca="1">IF(OR(E93="",E93="!!!",F93="NEW"),"",INDEX(J$1:J92,SUMPRODUCT(MAX(ROW(E$1:E92)*(E93=E$1:E92)))))</f>
        <v>0</v>
      </c>
      <c r="L93" s="29"/>
    </row>
    <row r="94" spans="1:12" x14ac:dyDescent="0.3">
      <c r="A94" t="s">
        <v>102</v>
      </c>
      <c r="E94" s="27"/>
      <c r="F94" s="28"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6"/>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9"/>
    </row>
    <row r="95" spans="1:12" x14ac:dyDescent="0.3">
      <c r="A95" t="s">
        <v>173</v>
      </c>
      <c r="E95" s="27"/>
      <c r="F95" s="28"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6"/>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9"/>
    </row>
    <row r="96" spans="1:12" x14ac:dyDescent="0.3">
      <c r="A96" t="s">
        <v>108</v>
      </c>
      <c r="E96" s="27"/>
      <c r="F96" s="28"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6"/>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9"/>
    </row>
    <row r="97" spans="1:12" x14ac:dyDescent="0.3">
      <c r="A97" t="s">
        <v>174</v>
      </c>
      <c r="E97" s="27"/>
      <c r="F97" s="28"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6"/>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9"/>
    </row>
    <row r="98" spans="1:12" x14ac:dyDescent="0.3">
      <c r="A98" t="s">
        <v>175</v>
      </c>
      <c r="E98" s="27"/>
      <c r="F98" s="28"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6"/>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9"/>
    </row>
    <row r="99" spans="1:12" x14ac:dyDescent="0.3">
      <c r="A99" t="s">
        <v>176</v>
      </c>
      <c r="E99" s="27"/>
      <c r="F99" s="28"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6"/>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9"/>
    </row>
    <row r="100" spans="1:12" x14ac:dyDescent="0.3">
      <c r="A100" t="s">
        <v>177</v>
      </c>
      <c r="B100" s="26" t="s">
        <v>140</v>
      </c>
      <c r="C100" s="26" t="s">
        <v>124</v>
      </c>
      <c r="D100" s="26" t="s">
        <v>98</v>
      </c>
      <c r="E100" s="27" t="s">
        <v>333</v>
      </c>
      <c r="F100" s="28" t="str">
        <f>IF(OR(E100="",E100="!!!"),"",IF(NOT(ISNA(VLOOKUP(E100,E$1:E99,1,FALSE()))),"OLD",IF(AND(E100&lt;&gt;"",E100&lt;&gt;"!!!"),"NEW","")))</f>
        <v>NEW</v>
      </c>
      <c r="G100" s="22" t="s">
        <v>370</v>
      </c>
      <c r="H100" s="23" t="str">
        <f t="shared" ca="1" si="6"/>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9"/>
    </row>
    <row r="101" spans="1:12" x14ac:dyDescent="0.3">
      <c r="A101" t="s">
        <v>99</v>
      </c>
      <c r="E101" s="27"/>
      <c r="F101" s="28"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6"/>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9"/>
    </row>
    <row r="102" spans="1:12" x14ac:dyDescent="0.3">
      <c r="A102" t="s">
        <v>100</v>
      </c>
      <c r="B102" s="26" t="s">
        <v>114</v>
      </c>
      <c r="C102" s="26" t="s">
        <v>97</v>
      </c>
      <c r="D102" s="26" t="s">
        <v>98</v>
      </c>
      <c r="E102" s="27" t="s">
        <v>327</v>
      </c>
      <c r="F102" s="28" t="str">
        <f>IF(OR(E102="",E102="!!!"),"",IF(NOT(ISNA(VLOOKUP(E102,E$1:E101,1,FALSE()))),"OLD",IF(AND(E102&lt;&gt;"",E102&lt;&gt;"!!!"),"NEW","")))</f>
        <v>OLD</v>
      </c>
      <c r="G102" s="22" t="s">
        <v>369</v>
      </c>
      <c r="H102" s="23" t="str">
        <f t="shared" ca="1" si="6"/>
        <v/>
      </c>
      <c r="I102" s="24" t="str">
        <f>IF(OR(E102="",E102="!!!",F102="NEW"),"",INDEX(B$2:B101,-1+SUMPRODUCT(MAX(ROW(E$2:E101)*(E102=E$2:E101)))))</f>
        <v>other</v>
      </c>
      <c r="J102" s="24">
        <f ca="1">IF(OR(E102="",E102="!!!",F102="NEW"),"",COUNTBLANK(OFFSET(A$1,,,SUMPRODUCT(MAX(ROW(E$2:E102)*(E102=E$2:E102)))))-COUNTBLANK(OFFSET(A$1,,,SUMPRODUCT(MAX(ROW(E$1:E101)*(E2=E$1:E101))))))</f>
        <v>0</v>
      </c>
      <c r="K102" s="24">
        <f ca="1">IF(OR(E102="",E102="!!!",F102="NEW"),"",INDEX(J$1:J101,SUMPRODUCT(MAX(ROW(E$1:E101)*(E102=E$1:E101)))))</f>
        <v>0</v>
      </c>
      <c r="L102" s="29"/>
    </row>
    <row r="103" spans="1:12" x14ac:dyDescent="0.3">
      <c r="A103" t="s">
        <v>102</v>
      </c>
      <c r="E103" s="27"/>
      <c r="F103" s="28"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6"/>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9"/>
    </row>
    <row r="104" spans="1:12" x14ac:dyDescent="0.3">
      <c r="A104" t="s">
        <v>178</v>
      </c>
      <c r="E104" s="27"/>
      <c r="F104" s="28"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6"/>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9"/>
    </row>
    <row r="105" spans="1:12" x14ac:dyDescent="0.3">
      <c r="A105" t="s">
        <v>129</v>
      </c>
      <c r="E105" s="27"/>
      <c r="F105" s="28"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6"/>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9"/>
    </row>
    <row r="107" spans="1:12" x14ac:dyDescent="0.3">
      <c r="A107" t="s">
        <v>179</v>
      </c>
    </row>
    <row r="108" spans="1:12" x14ac:dyDescent="0.3">
      <c r="A108" t="s">
        <v>180</v>
      </c>
      <c r="E108" s="27"/>
      <c r="F108" s="28"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ref="H108:H129" ca="1" si="7">IF(J108&lt;&gt;1,"",IF(I108="SBJ","CB","?"))</f>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9"/>
    </row>
    <row r="109" spans="1:12" x14ac:dyDescent="0.3">
      <c r="A109" t="s">
        <v>100</v>
      </c>
      <c r="B109" s="26" t="s">
        <v>96</v>
      </c>
      <c r="C109" s="26" t="s">
        <v>97</v>
      </c>
      <c r="D109" s="26" t="s">
        <v>98</v>
      </c>
      <c r="E109" s="27" t="s">
        <v>327</v>
      </c>
      <c r="F109" s="28" t="str">
        <f>IF(OR(E109="",E109="!!!"),"",IF(NOT(ISNA(VLOOKUP(E109,E$1:E108,1,FALSE()))),"OLD",IF(AND(E109&lt;&gt;"",E109&lt;&gt;"!!!"),"NEW","")))</f>
        <v>OLD</v>
      </c>
      <c r="G109" s="22" t="s">
        <v>366</v>
      </c>
      <c r="H109" s="23" t="s">
        <v>88</v>
      </c>
      <c r="I109" s="24" t="str">
        <f>IF(OR(E109="",E109="!!!",F109="NEW"),"",INDEX(B$2:B108,-1+SUMPRODUCT(MAX(ROW(E$2:E108)*(E109=E$2:E108)))))</f>
        <v>other_3</v>
      </c>
      <c r="J109" s="24">
        <f ca="1">IF(OR(E109="",E109="!!!",F109="NEW"),"",COUNTBLANK(OFFSET(A$1,,,SUMPRODUCT(MAX(ROW(E$2:E109)*(E109=E$2:E109)))))-COUNTBLANK(OFFSET(A$1,,,SUMPRODUCT(MAX(ROW(E$1:E108)*(E2=E$1:E108))))))</f>
        <v>0</v>
      </c>
      <c r="K109" s="24">
        <f ca="1">IF(OR(E109="",E109="!!!",F109="NEW"),"",INDEX(J$1:J108,SUMPRODUCT(MAX(ROW(E$1:E108)*(E109=E$1:E108)))))</f>
        <v>0</v>
      </c>
      <c r="L109" s="29" t="s">
        <v>364</v>
      </c>
    </row>
    <row r="110" spans="1:12" x14ac:dyDescent="0.3">
      <c r="A110" t="s">
        <v>102</v>
      </c>
      <c r="E110" s="27"/>
      <c r="F110" s="28"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9"/>
    </row>
    <row r="111" spans="1:12" x14ac:dyDescent="0.3">
      <c r="A111" t="s">
        <v>181</v>
      </c>
      <c r="E111" s="27"/>
      <c r="F111" s="28"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7"/>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9"/>
    </row>
    <row r="112" spans="1:12" x14ac:dyDescent="0.3">
      <c r="A112" t="s">
        <v>182</v>
      </c>
      <c r="E112" s="27" t="s">
        <v>334</v>
      </c>
      <c r="F112" s="28" t="str">
        <f>IF(OR(E112="",E112="!!!"),"",IF(NOT(ISNA(VLOOKUP(E112,E$1:E111,1,FALSE()))),"OLD",IF(AND(E112&lt;&gt;"",E112&lt;&gt;"!!!"),"NEW","")))</f>
        <v>NEW</v>
      </c>
      <c r="G112" s="22" t="s">
        <v>367</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9" t="s">
        <v>355</v>
      </c>
    </row>
    <row r="113" spans="1:12" x14ac:dyDescent="0.3">
      <c r="A113" t="s">
        <v>136</v>
      </c>
      <c r="E113" s="27"/>
      <c r="F113" s="28"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9"/>
    </row>
    <row r="114" spans="1:12" x14ac:dyDescent="0.3">
      <c r="A114" t="s">
        <v>108</v>
      </c>
      <c r="E114" s="27"/>
      <c r="F114" s="28"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9"/>
    </row>
    <row r="115" spans="1:12" x14ac:dyDescent="0.3">
      <c r="A115" t="s">
        <v>138</v>
      </c>
      <c r="E115" s="27"/>
      <c r="F115" s="28"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9"/>
    </row>
    <row r="116" spans="1:12" x14ac:dyDescent="0.3">
      <c r="A116" t="s">
        <v>109</v>
      </c>
      <c r="E116" s="27"/>
      <c r="F116" s="28"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9"/>
    </row>
    <row r="117" spans="1:12" x14ac:dyDescent="0.3">
      <c r="A117" t="s">
        <v>183</v>
      </c>
      <c r="B117" s="26" t="s">
        <v>140</v>
      </c>
      <c r="C117" s="26" t="s">
        <v>124</v>
      </c>
      <c r="D117" s="26" t="s">
        <v>98</v>
      </c>
      <c r="E117" s="27" t="s">
        <v>335</v>
      </c>
      <c r="F117" s="28" t="str">
        <f>IF(OR(E117="",E117="!!!"),"",IF(NOT(ISNA(VLOOKUP(E117,E$1:E116,1,FALSE()))),"OLD",IF(AND(E117&lt;&gt;"",E117&lt;&gt;"!!!"),"NEW","")))</f>
        <v>NEW</v>
      </c>
      <c r="G117" s="22" t="s">
        <v>367</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9"/>
    </row>
    <row r="118" spans="1:12" x14ac:dyDescent="0.3">
      <c r="A118" t="s">
        <v>166</v>
      </c>
      <c r="E118" s="27"/>
      <c r="F118" s="28"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9"/>
    </row>
    <row r="119" spans="1:12" x14ac:dyDescent="0.3">
      <c r="A119" t="s">
        <v>184</v>
      </c>
      <c r="B119" s="26" t="s">
        <v>101</v>
      </c>
      <c r="C119" s="26" t="s">
        <v>115</v>
      </c>
      <c r="E119" s="27"/>
      <c r="F119" s="28"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9"/>
    </row>
    <row r="120" spans="1:12" x14ac:dyDescent="0.3">
      <c r="A120" t="s">
        <v>185</v>
      </c>
      <c r="E120" s="27"/>
      <c r="F120" s="28"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9"/>
    </row>
    <row r="121" spans="1:12" x14ac:dyDescent="0.3">
      <c r="A121" t="s">
        <v>120</v>
      </c>
      <c r="E121" s="27"/>
      <c r="F121" s="28"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7"/>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9"/>
    </row>
    <row r="122" spans="1:12" x14ac:dyDescent="0.3">
      <c r="A122" t="s">
        <v>186</v>
      </c>
      <c r="E122" s="27"/>
      <c r="F122" s="28"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7"/>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9"/>
    </row>
    <row r="123" spans="1:12" x14ac:dyDescent="0.3">
      <c r="A123" t="s">
        <v>175</v>
      </c>
      <c r="E123" s="27"/>
      <c r="F123" s="28"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7"/>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9"/>
    </row>
    <row r="124" spans="1:12" x14ac:dyDescent="0.3">
      <c r="A124" t="s">
        <v>187</v>
      </c>
      <c r="B124" s="26" t="s">
        <v>101</v>
      </c>
      <c r="C124" s="26" t="s">
        <v>124</v>
      </c>
      <c r="D124" s="26" t="s">
        <v>98</v>
      </c>
      <c r="E124" s="27" t="s">
        <v>336</v>
      </c>
      <c r="F124" s="28" t="str">
        <f>IF(OR(E124="",E124="!!!"),"",IF(NOT(ISNA(VLOOKUP(E124,E$1:E123,1,FALSE()))),"OLD",IF(AND(E124&lt;&gt;"",E124&lt;&gt;"!!!"),"NEW","")))</f>
        <v>NEW</v>
      </c>
      <c r="G124" s="22" t="s">
        <v>368</v>
      </c>
      <c r="H124" s="23" t="str">
        <f t="shared" ca="1" si="7"/>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9" t="s">
        <v>371</v>
      </c>
    </row>
    <row r="125" spans="1:12" x14ac:dyDescent="0.3">
      <c r="A125" t="s">
        <v>160</v>
      </c>
      <c r="E125" s="27"/>
      <c r="F125" s="28"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7"/>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9"/>
    </row>
    <row r="126" spans="1:12" x14ac:dyDescent="0.3">
      <c r="A126" t="s">
        <v>121</v>
      </c>
      <c r="E126" s="27"/>
      <c r="F126" s="28"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7"/>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9"/>
    </row>
    <row r="127" spans="1:12" x14ac:dyDescent="0.3">
      <c r="A127" t="s">
        <v>188</v>
      </c>
      <c r="B127" s="26" t="s">
        <v>114</v>
      </c>
      <c r="C127" s="26" t="s">
        <v>124</v>
      </c>
      <c r="D127" s="26" t="s">
        <v>98</v>
      </c>
      <c r="E127" s="27"/>
      <c r="F127" s="28" t="s">
        <v>344</v>
      </c>
      <c r="G127" s="22" t="str">
        <f>IF(OR(E127="",E127="!!!"),"",IF(OR(J127=0,AND(J127=1,K127=1),AND(J127=1,I127="SBJ"),AND(J127=1,I127=0)),"?IN_FOCUS",IF(J127&lt;=2,"?ACTIVATED",IF(J127&lt;&gt;"","?FAMILIAR",IF(F127="NEW",IF(ISNA(VLOOKUP(E127,#REF!,1,FALSE())),"?TYPE_IDENTIFIABLE","?REFERENTIAL"),"_")))))</f>
        <v/>
      </c>
      <c r="H127" s="23" t="str">
        <f t="shared" ca="1" si="7"/>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9"/>
    </row>
    <row r="128" spans="1:12" x14ac:dyDescent="0.3">
      <c r="A128" t="s">
        <v>189</v>
      </c>
      <c r="E128" s="27"/>
      <c r="F128" s="28"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7"/>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9"/>
    </row>
    <row r="129" spans="1:12" x14ac:dyDescent="0.3">
      <c r="A129" t="s">
        <v>129</v>
      </c>
      <c r="E129" s="27"/>
      <c r="F129" s="28"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7"/>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9"/>
    </row>
    <row r="131" spans="1:12" x14ac:dyDescent="0.3">
      <c r="A131" t="s">
        <v>190</v>
      </c>
    </row>
    <row r="132" spans="1:12" x14ac:dyDescent="0.3">
      <c r="A132" t="s">
        <v>132</v>
      </c>
      <c r="E132" s="27"/>
      <c r="F132" s="28"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ref="H132:H163" ca="1" si="8">IF(J132&lt;&gt;1,"",IF(I132="SBJ","CB","?"))</f>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9"/>
    </row>
    <row r="133" spans="1:12" x14ac:dyDescent="0.3">
      <c r="A133" t="s">
        <v>133</v>
      </c>
      <c r="B133" s="26" t="s">
        <v>96</v>
      </c>
      <c r="C133" s="26" t="s">
        <v>124</v>
      </c>
      <c r="D133" s="26" t="s">
        <v>98</v>
      </c>
      <c r="E133" s="27" t="s">
        <v>337</v>
      </c>
      <c r="F133" s="28" t="str">
        <f>IF(OR(E133="",E133="!!!"),"",IF(NOT(ISNA(VLOOKUP(E133,E$1:E132,1,FALSE()))),"OLD",IF(AND(E133&lt;&gt;"",E133&lt;&gt;"!!!"),"NEW","")))</f>
        <v>OLD</v>
      </c>
      <c r="G133" s="22" t="s">
        <v>366</v>
      </c>
      <c r="H133" s="23" t="str">
        <f t="shared" ca="1" si="8"/>
        <v/>
      </c>
      <c r="I133" s="24" t="str">
        <f>IF(OR(E133="",E133="!!!",F133="NEW"),"",INDEX(B$2:B132,-1+SUMPRODUCT(MAX(ROW(E$2:E132)*(E133=E$2:E132)))))</f>
        <v>SBJ_2</v>
      </c>
      <c r="J133" s="24">
        <f ca="1">IF(OR(E133="",E133="!!!",F133="NEW"),"",COUNTBLANK(OFFSET(A$1,,,SUMPRODUCT(MAX(ROW(E$2:E133)*(E133=E$2:E133)))))-COUNTBLANK(OFFSET(A$1,,,SUMPRODUCT(MAX(ROW(E$1:E132)*(E2=E$1:E132))))))</f>
        <v>0</v>
      </c>
      <c r="K133" s="24">
        <f ca="1">IF(OR(E133="",E133="!!!",F133="NEW"),"",INDEX(J$1:J132,SUMPRODUCT(MAX(ROW(E$1:E132)*(E133=E$1:E132)))))</f>
        <v>0</v>
      </c>
      <c r="L133" s="29"/>
    </row>
    <row r="134" spans="1:12" x14ac:dyDescent="0.3">
      <c r="A134" t="s">
        <v>134</v>
      </c>
      <c r="E134" s="27"/>
      <c r="F134" s="28"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8"/>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9"/>
    </row>
    <row r="135" spans="1:12" x14ac:dyDescent="0.3">
      <c r="A135" t="s">
        <v>135</v>
      </c>
      <c r="B135" s="26" t="s">
        <v>101</v>
      </c>
      <c r="C135" s="26" t="s">
        <v>124</v>
      </c>
      <c r="D135" s="26" t="s">
        <v>98</v>
      </c>
      <c r="E135" s="27" t="s">
        <v>326</v>
      </c>
      <c r="F135" s="28" t="str">
        <f>IF(OR(E135="",E135="!!!"),"",IF(NOT(ISNA(VLOOKUP(E135,E$1:E134,1,FALSE()))),"OLD",IF(AND(E135&lt;&gt;"",E135&lt;&gt;"!!!"),"NEW","")))</f>
        <v>OLD</v>
      </c>
      <c r="G135" s="22" t="s">
        <v>366</v>
      </c>
      <c r="H135" s="23"/>
      <c r="I135" s="24" t="str">
        <f>IF(OR(E135="",E135="!!!",F135="NEW"),"",INDEX(B$2:B134,-1+SUMPRODUCT(MAX(ROW(E$2:E134)*(E135=E$2:E134)))))</f>
        <v>other</v>
      </c>
      <c r="J135" s="24">
        <f ca="1">IF(OR(E135="",E135="!!!",F135="NEW"),"",COUNTBLANK(OFFSET(A$1,,,SUMPRODUCT(MAX(ROW(E$2:E135)*(E135=E$2:E135)))))-COUNTBLANK(OFFSET(A$1,,,SUMPRODUCT(MAX(ROW(E$1:E134)*(E2=E$1:E134))))))</f>
        <v>0</v>
      </c>
      <c r="K135" s="24">
        <f ca="1">IF(OR(E135="",E135="!!!",F135="NEW"),"",INDEX(J$1:J134,SUMPRODUCT(MAX(ROW(E$1:E134)*(E135=E$1:E134)))))</f>
        <v>0</v>
      </c>
      <c r="L135" s="29" t="s">
        <v>377</v>
      </c>
    </row>
    <row r="136" spans="1:12" x14ac:dyDescent="0.3">
      <c r="A136" t="s">
        <v>108</v>
      </c>
      <c r="E136" s="27"/>
      <c r="F136" s="28"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8"/>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9"/>
    </row>
    <row r="137" spans="1:12" x14ac:dyDescent="0.3">
      <c r="A137" t="s">
        <v>191</v>
      </c>
      <c r="B137" s="26" t="s">
        <v>101</v>
      </c>
      <c r="C137" s="26" t="s">
        <v>97</v>
      </c>
      <c r="D137" s="26" t="s">
        <v>98</v>
      </c>
      <c r="E137" s="27"/>
      <c r="F137" s="28" t="s">
        <v>332</v>
      </c>
      <c r="G137" s="22" t="str">
        <f>IF(OR(E137="",E137="!!!"),"",IF(OR(J137=0,AND(J137=1,K137=1),AND(J137=1,I137="SBJ"),AND(J137=1,I137=0)),"?IN_FOCUS",IF(J137&lt;=2,"?ACTIVATED",IF(J137&lt;&gt;"","?FAMILIAR",IF(F137="NEW",IF(ISNA(VLOOKUP(E137,#REF!,1,FALSE())),"?TYPE_IDENTIFIABLE","?REFERENTIAL"),"_")))))</f>
        <v/>
      </c>
      <c r="H137" s="23" t="str">
        <f t="shared" ca="1" si="8"/>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9"/>
    </row>
    <row r="138" spans="1:12" x14ac:dyDescent="0.3">
      <c r="A138" t="s">
        <v>172</v>
      </c>
      <c r="E138" s="27"/>
      <c r="F138" s="28"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8"/>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9"/>
    </row>
    <row r="139" spans="1:12" x14ac:dyDescent="0.3">
      <c r="A139" t="s">
        <v>108</v>
      </c>
      <c r="E139" s="27"/>
      <c r="F139" s="28"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8"/>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9"/>
    </row>
    <row r="140" spans="1:12" x14ac:dyDescent="0.3">
      <c r="A140" t="s">
        <v>174</v>
      </c>
      <c r="E140" s="27"/>
      <c r="F140" s="28"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8"/>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9"/>
    </row>
    <row r="141" spans="1:12" x14ac:dyDescent="0.3">
      <c r="A141" t="s">
        <v>121</v>
      </c>
      <c r="E141" s="27"/>
      <c r="F141" s="28"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8"/>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9"/>
    </row>
    <row r="142" spans="1:12" x14ac:dyDescent="0.3">
      <c r="A142" t="s">
        <v>192</v>
      </c>
      <c r="B142" s="26" t="s">
        <v>193</v>
      </c>
      <c r="C142" s="26" t="s">
        <v>97</v>
      </c>
      <c r="D142" s="26" t="s">
        <v>98</v>
      </c>
      <c r="E142" s="27"/>
      <c r="F142" s="28"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8"/>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9" t="s">
        <v>356</v>
      </c>
    </row>
    <row r="143" spans="1:12" x14ac:dyDescent="0.3">
      <c r="A143" t="s">
        <v>194</v>
      </c>
      <c r="B143" s="26" t="s">
        <v>101</v>
      </c>
      <c r="C143" s="26" t="s">
        <v>97</v>
      </c>
      <c r="D143" s="26" t="s">
        <v>98</v>
      </c>
      <c r="E143" s="27" t="s">
        <v>338</v>
      </c>
      <c r="F143" s="28" t="str">
        <f>IF(OR(E143="",E143="!!!"),"",IF(NOT(ISNA(VLOOKUP(E143,E$1:E142,1,FALSE()))),"OLD",IF(AND(E143&lt;&gt;"",E143&lt;&gt;"!!!"),"NEW","")))</f>
        <v>NEW</v>
      </c>
      <c r="G143" s="22" t="s">
        <v>86</v>
      </c>
      <c r="H143" s="23" t="str">
        <f t="shared" ca="1" si="8"/>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9"/>
    </row>
    <row r="144" spans="1:12" x14ac:dyDescent="0.3">
      <c r="A144" t="s">
        <v>195</v>
      </c>
      <c r="E144" s="27"/>
      <c r="F144" s="28"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8"/>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9"/>
    </row>
    <row r="145" spans="1:12" x14ac:dyDescent="0.3">
      <c r="A145" t="s">
        <v>99</v>
      </c>
      <c r="E145" s="27"/>
      <c r="F145" s="28"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8"/>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9"/>
    </row>
    <row r="146" spans="1:12" x14ac:dyDescent="0.3">
      <c r="A146" t="s">
        <v>100</v>
      </c>
      <c r="B146" s="26" t="s">
        <v>123</v>
      </c>
      <c r="C146" s="26" t="s">
        <v>97</v>
      </c>
      <c r="D146" s="26" t="s">
        <v>98</v>
      </c>
      <c r="E146" s="27" t="s">
        <v>327</v>
      </c>
      <c r="F146" s="28" t="str">
        <f>IF(OR(E146="",E146="!!!"),"",IF(NOT(ISNA(VLOOKUP(E146,E$1:E145,1,FALSE()))),"OLD",IF(AND(E146&lt;&gt;"",E146&lt;&gt;"!!!"),"NEW","")))</f>
        <v>OLD</v>
      </c>
      <c r="G146" s="22" t="s">
        <v>366</v>
      </c>
      <c r="H146" s="23" t="str">
        <f t="shared" ca="1" si="8"/>
        <v/>
      </c>
      <c r="I146" s="24" t="str">
        <f>IF(OR(E146="",E146="!!!",F146="NEW"),"",INDEX(B$2:B145,-1+SUMPRODUCT(MAX(ROW(E$2:E145)*(E146=E$2:E145)))))</f>
        <v>SBJ</v>
      </c>
      <c r="J146" s="24">
        <f ca="1">IF(OR(E146="",E146="!!!",F146="NEW"),"",COUNTBLANK(OFFSET(A$1,,,SUMPRODUCT(MAX(ROW(E$2:E146)*(E146=E$2:E146)))))-COUNTBLANK(OFFSET(A$1,,,SUMPRODUCT(MAX(ROW(E$1:E145)*(E2=E$1:E145))))))</f>
        <v>0</v>
      </c>
      <c r="K146" s="24">
        <f ca="1">IF(OR(E146="",E146="!!!",F146="NEW"),"",INDEX(J$1:J145,SUMPRODUCT(MAX(ROW(E$1:E145)*(E146=E$1:E145)))))</f>
        <v>0</v>
      </c>
      <c r="L146" s="29"/>
    </row>
    <row r="147" spans="1:12" x14ac:dyDescent="0.3">
      <c r="A147" t="s">
        <v>102</v>
      </c>
      <c r="E147" s="27"/>
      <c r="F147" s="28"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8"/>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9"/>
    </row>
    <row r="148" spans="1:12" x14ac:dyDescent="0.3">
      <c r="A148" t="s">
        <v>178</v>
      </c>
      <c r="E148" s="27"/>
      <c r="F148" s="28"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8"/>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9"/>
    </row>
    <row r="149" spans="1:12" x14ac:dyDescent="0.3">
      <c r="A149" t="s">
        <v>108</v>
      </c>
      <c r="E149" s="27"/>
      <c r="F149" s="28"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8"/>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9"/>
    </row>
    <row r="150" spans="1:12" x14ac:dyDescent="0.3">
      <c r="A150" t="s">
        <v>138</v>
      </c>
      <c r="E150" s="27"/>
      <c r="F150" s="28"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8"/>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9"/>
    </row>
    <row r="151" spans="1:12" x14ac:dyDescent="0.3">
      <c r="A151" t="s">
        <v>171</v>
      </c>
      <c r="B151" s="26" t="s">
        <v>140</v>
      </c>
      <c r="C151" s="26" t="s">
        <v>97</v>
      </c>
      <c r="D151" s="26" t="s">
        <v>98</v>
      </c>
      <c r="E151" s="27" t="s">
        <v>326</v>
      </c>
      <c r="F151" s="28" t="str">
        <f>IF(OR(E151="",E151="!!!"),"",IF(NOT(ISNA(VLOOKUP(E151,E$1:E150,1,FALSE()))),"OLD",IF(AND(E151&lt;&gt;"",E151&lt;&gt;"!!!"),"NEW","")))</f>
        <v>OLD</v>
      </c>
      <c r="G151" s="22" t="s">
        <v>369</v>
      </c>
      <c r="H151" s="23" t="str">
        <f t="shared" ca="1" si="8"/>
        <v/>
      </c>
      <c r="I151" s="24" t="str">
        <f>IF(OR(E151="",E151="!!!",F151="NEW"),"",INDEX(B$2:B150,-1+SUMPRODUCT(MAX(ROW(E$2:E150)*(E151=E$2:E150)))))</f>
        <v>other_2</v>
      </c>
      <c r="J151" s="24">
        <f ca="1">IF(OR(E151="",E151="!!!",F151="NEW"),"",COUNTBLANK(OFFSET(A$1,,,SUMPRODUCT(MAX(ROW(E$2:E151)*(E151=E$2:E151)))))-COUNTBLANK(OFFSET(A$1,,,SUMPRODUCT(MAX(ROW(E$1:E150)*(E2=E$1:E150))))))</f>
        <v>0</v>
      </c>
      <c r="K151" s="24">
        <f ca="1">IF(OR(E151="",E151="!!!",F151="NEW"),"",INDEX(J$1:J150,SUMPRODUCT(MAX(ROW(E$1:E150)*(E151=E$1:E150)))))</f>
        <v>0</v>
      </c>
      <c r="L151" s="29"/>
    </row>
    <row r="152" spans="1:12" x14ac:dyDescent="0.3">
      <c r="A152" t="s">
        <v>108</v>
      </c>
      <c r="E152" s="27"/>
      <c r="F152" s="28"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8"/>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9"/>
    </row>
    <row r="153" spans="1:12" x14ac:dyDescent="0.3">
      <c r="A153" t="s">
        <v>109</v>
      </c>
      <c r="B153" s="26" t="s">
        <v>196</v>
      </c>
      <c r="E153" s="27"/>
      <c r="F153" s="28"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8"/>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9"/>
    </row>
    <row r="154" spans="1:12" x14ac:dyDescent="0.3">
      <c r="A154" t="s">
        <v>197</v>
      </c>
      <c r="E154" s="27"/>
      <c r="F154" s="28"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8"/>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9"/>
    </row>
    <row r="155" spans="1:12" x14ac:dyDescent="0.3">
      <c r="A155" t="s">
        <v>166</v>
      </c>
      <c r="E155" s="27"/>
      <c r="F155" s="28"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8"/>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9"/>
    </row>
    <row r="156" spans="1:12" x14ac:dyDescent="0.3">
      <c r="A156" t="s">
        <v>95</v>
      </c>
      <c r="B156" s="26" t="s">
        <v>117</v>
      </c>
      <c r="C156" s="26" t="s">
        <v>97</v>
      </c>
      <c r="D156" s="26" t="s">
        <v>98</v>
      </c>
      <c r="E156" s="27"/>
      <c r="F156" s="28" t="s">
        <v>332</v>
      </c>
      <c r="G156" s="22"/>
      <c r="H156" s="23" t="str">
        <f t="shared" ca="1" si="8"/>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9"/>
    </row>
    <row r="157" spans="1:12" x14ac:dyDescent="0.3">
      <c r="A157" t="s">
        <v>99</v>
      </c>
      <c r="E157" s="27"/>
      <c r="F157" s="28"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8"/>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9"/>
    </row>
    <row r="158" spans="1:12" x14ac:dyDescent="0.3">
      <c r="A158" t="s">
        <v>198</v>
      </c>
      <c r="B158" s="26" t="s">
        <v>117</v>
      </c>
      <c r="C158" s="26" t="s">
        <v>97</v>
      </c>
      <c r="D158" s="26" t="s">
        <v>98</v>
      </c>
      <c r="E158" s="27" t="s">
        <v>339</v>
      </c>
      <c r="F158" s="28" t="str">
        <f>IF(OR(E158="",E158="!!!"),"",IF(NOT(ISNA(VLOOKUP(E158,E$1:E157,1,FALSE()))),"OLD",IF(AND(E158&lt;&gt;"",E158&lt;&gt;"!!!"),"NEW","")))</f>
        <v>NEW</v>
      </c>
      <c r="G158" s="22" t="s">
        <v>367</v>
      </c>
      <c r="H158" s="23" t="str">
        <f t="shared" ca="1" si="8"/>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9"/>
    </row>
    <row r="159" spans="1:12" x14ac:dyDescent="0.3">
      <c r="A159" t="s">
        <v>199</v>
      </c>
      <c r="E159" s="27"/>
      <c r="F159" s="28"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8"/>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9"/>
    </row>
    <row r="160" spans="1:12" x14ac:dyDescent="0.3">
      <c r="A160" t="s">
        <v>200</v>
      </c>
      <c r="E160" s="27"/>
      <c r="F160" s="28"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8"/>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9"/>
    </row>
    <row r="161" spans="1:12" x14ac:dyDescent="0.3">
      <c r="A161" t="s">
        <v>108</v>
      </c>
      <c r="E161" s="27"/>
      <c r="F161" s="28"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8"/>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9"/>
    </row>
    <row r="162" spans="1:12" x14ac:dyDescent="0.3">
      <c r="A162" t="s">
        <v>112</v>
      </c>
      <c r="E162" s="27"/>
      <c r="F162" s="28"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8"/>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9"/>
    </row>
    <row r="163" spans="1:12" x14ac:dyDescent="0.3">
      <c r="A163" t="s">
        <v>201</v>
      </c>
      <c r="E163" s="27"/>
      <c r="F163" s="28"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8"/>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9"/>
    </row>
    <row r="164" spans="1:12" x14ac:dyDescent="0.3">
      <c r="A164" t="s">
        <v>202</v>
      </c>
      <c r="B164" s="26" t="s">
        <v>101</v>
      </c>
      <c r="C164" s="26" t="s">
        <v>169</v>
      </c>
      <c r="E164" s="27"/>
      <c r="F164" s="28"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ref="H164:H180" ca="1" si="9">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9"/>
    </row>
    <row r="165" spans="1:12" x14ac:dyDescent="0.3">
      <c r="A165" t="s">
        <v>203</v>
      </c>
      <c r="E165" s="27" t="s">
        <v>326</v>
      </c>
      <c r="F165" s="28" t="str">
        <f>IF(OR(E165="",E165="!!!"),"",IF(NOT(ISNA(VLOOKUP(E165,E$1:E164,1,FALSE()))),"OLD",IF(AND(E165&lt;&gt;"",E165&lt;&gt;"!!!"),"NEW","")))</f>
        <v>OLD</v>
      </c>
      <c r="G165" s="22" t="s">
        <v>369</v>
      </c>
      <c r="H165" s="23" t="str">
        <f t="shared" ca="1" si="9"/>
        <v/>
      </c>
      <c r="I165" s="24" t="str">
        <f>IF(OR(E165="",E165="!!!",F165="NEW"),"",INDEX(B$2:B164,-1+SUMPRODUCT(MAX(ROW(E$2:E164)*(E165=E$2:E164)))))</f>
        <v>SBJ_2</v>
      </c>
      <c r="J165" s="24">
        <f ca="1">IF(OR(E165="",E165="!!!",F165="NEW"),"",COUNTBLANK(OFFSET(A$1,,,SUMPRODUCT(MAX(ROW(E$2:E165)*(E165=E$2:E165)))))-COUNTBLANK(OFFSET(A$1,,,SUMPRODUCT(MAX(ROW(E$1:E164)*(E2=E$1:E164))))))</f>
        <v>0</v>
      </c>
      <c r="K165" s="24">
        <f ca="1">IF(OR(E165="",E165="!!!",F165="NEW"),"",INDEX(J$1:J164,SUMPRODUCT(MAX(ROW(E$1:E164)*(E165=E$1:E164)))))</f>
        <v>0</v>
      </c>
      <c r="L165" s="29" t="s">
        <v>357</v>
      </c>
    </row>
    <row r="166" spans="1:12" x14ac:dyDescent="0.3">
      <c r="A166" t="s">
        <v>204</v>
      </c>
      <c r="B166" s="26" t="s">
        <v>143</v>
      </c>
      <c r="C166" s="26" t="s">
        <v>205</v>
      </c>
      <c r="E166" s="27" t="s">
        <v>375</v>
      </c>
      <c r="F166" s="28" t="str">
        <f>IF(OR(E166="",E166="!!!"),"",IF(NOT(ISNA(VLOOKUP(E166,E$1:E165,1,FALSE()))),"OLD",IF(AND(E166&lt;&gt;"",E166&lt;&gt;"!!!"),"NEW","")))</f>
        <v>NEW</v>
      </c>
      <c r="G166" s="22" t="s">
        <v>368</v>
      </c>
      <c r="H166" s="23" t="str">
        <f t="shared" ca="1" si="9"/>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9" t="s">
        <v>376</v>
      </c>
    </row>
    <row r="167" spans="1:12" x14ac:dyDescent="0.3">
      <c r="A167" t="s">
        <v>166</v>
      </c>
      <c r="E167" s="27"/>
      <c r="F167" s="28"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9"/>
    </row>
    <row r="168" spans="1:12" x14ac:dyDescent="0.3">
      <c r="A168" t="s">
        <v>95</v>
      </c>
      <c r="B168" s="26" t="s">
        <v>101</v>
      </c>
      <c r="C168" s="26" t="s">
        <v>115</v>
      </c>
      <c r="E168" s="27"/>
      <c r="F168" s="28" t="str">
        <f>IF(OR(E168="",E168="!!!"),"",IF(NOT(ISNA(VLOOKUP(E168,E$1:E167,1,FALSE()))),"OLD",IF(AND(E168&lt;&gt;"",E168&lt;&gt;"!!!"),"NEW","")))</f>
        <v/>
      </c>
      <c r="G168" s="22"/>
      <c r="H168" s="23" t="str">
        <f t="shared" ca="1" si="9"/>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9"/>
    </row>
    <row r="169" spans="1:12" x14ac:dyDescent="0.3">
      <c r="A169" t="s">
        <v>99</v>
      </c>
      <c r="E169" s="27"/>
      <c r="F169" s="28"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9"/>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9"/>
    </row>
    <row r="170" spans="1:12" x14ac:dyDescent="0.3">
      <c r="A170" t="s">
        <v>121</v>
      </c>
      <c r="E170" s="27"/>
      <c r="F170" s="28"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9"/>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9"/>
    </row>
    <row r="171" spans="1:12" x14ac:dyDescent="0.3">
      <c r="A171" t="s">
        <v>206</v>
      </c>
      <c r="B171" s="26" t="s">
        <v>101</v>
      </c>
      <c r="C171" s="26" t="s">
        <v>124</v>
      </c>
      <c r="D171" s="26" t="s">
        <v>98</v>
      </c>
      <c r="E171" s="27" t="s">
        <v>340</v>
      </c>
      <c r="F171" s="28" t="str">
        <f>IF(OR(E171="",E171="!!!"),"",IF(NOT(ISNA(VLOOKUP(E171,E$1:E170,1,FALSE()))),"OLD",IF(AND(E171&lt;&gt;"",E171&lt;&gt;"!!!"),"NEW","")))</f>
        <v>NEW</v>
      </c>
      <c r="G171" s="22" t="s">
        <v>86</v>
      </c>
      <c r="H171" s="23" t="str">
        <f t="shared" ca="1" si="9"/>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9" t="s">
        <v>358</v>
      </c>
    </row>
    <row r="172" spans="1:12" x14ac:dyDescent="0.3">
      <c r="A172" t="s">
        <v>207</v>
      </c>
      <c r="E172" s="27"/>
      <c r="F172" s="28"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9"/>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9"/>
    </row>
    <row r="173" spans="1:12" x14ac:dyDescent="0.3">
      <c r="A173" t="s">
        <v>208</v>
      </c>
      <c r="B173" s="26" t="s">
        <v>114</v>
      </c>
      <c r="C173" s="26" t="s">
        <v>111</v>
      </c>
      <c r="D173" s="26" t="s">
        <v>98</v>
      </c>
      <c r="E173" s="27"/>
      <c r="F173" s="28"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9"/>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9" t="s">
        <v>356</v>
      </c>
    </row>
    <row r="174" spans="1:12" x14ac:dyDescent="0.3">
      <c r="A174" t="s">
        <v>209</v>
      </c>
      <c r="B174" s="26" t="s">
        <v>114</v>
      </c>
      <c r="C174" s="26" t="s">
        <v>115</v>
      </c>
      <c r="E174" s="27"/>
      <c r="F174" s="28"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9"/>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9"/>
    </row>
    <row r="175" spans="1:12" x14ac:dyDescent="0.3">
      <c r="A175" t="s">
        <v>99</v>
      </c>
      <c r="E175" s="27"/>
      <c r="F175" s="28"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9"/>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9"/>
    </row>
    <row r="176" spans="1:12" x14ac:dyDescent="0.3">
      <c r="A176" t="s">
        <v>100</v>
      </c>
      <c r="B176" s="26" t="s">
        <v>117</v>
      </c>
      <c r="C176" s="26" t="s">
        <v>97</v>
      </c>
      <c r="D176" s="26" t="s">
        <v>98</v>
      </c>
      <c r="E176" s="27" t="s">
        <v>327</v>
      </c>
      <c r="F176" s="28" t="str">
        <f>IF(OR(E176="",E176="!!!"),"",IF(NOT(ISNA(VLOOKUP(E176,E$1:E175,1,FALSE()))),"OLD",IF(AND(E176&lt;&gt;"",E176&lt;&gt;"!!!"),"NEW","")))</f>
        <v>OLD</v>
      </c>
      <c r="G176" s="22" t="s">
        <v>366</v>
      </c>
      <c r="H176" s="23" t="str">
        <f t="shared" ca="1" si="9"/>
        <v/>
      </c>
      <c r="I176" s="24" t="str">
        <f>IF(OR(E176="",E176="!!!",F176="NEW"),"",INDEX(B$2:B175,-1+SUMPRODUCT(MAX(ROW(E$2:E175)*(E176=E$2:E175)))))</f>
        <v>other</v>
      </c>
      <c r="J176" s="24">
        <f ca="1">IF(OR(E176="",E176="!!!",F176="NEW"),"",COUNTBLANK(OFFSET(A$1,,,SUMPRODUCT(MAX(ROW(E$2:E176)*(E176=E$2:E176)))))-COUNTBLANK(OFFSET(A$1,,,SUMPRODUCT(MAX(ROW(E$1:E175)*(E2=E$1:E175))))))</f>
        <v>0</v>
      </c>
      <c r="K176" s="24">
        <f ca="1">IF(OR(E176="",E176="!!!",F176="NEW"),"",INDEX(J$1:J175,SUMPRODUCT(MAX(ROW(E$1:E175)*(E176=E$1:E175)))))</f>
        <v>0</v>
      </c>
      <c r="L176" s="29"/>
    </row>
    <row r="177" spans="1:12" x14ac:dyDescent="0.3">
      <c r="A177" t="s">
        <v>102</v>
      </c>
      <c r="E177" s="27"/>
      <c r="F177" s="28"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9"/>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9"/>
    </row>
    <row r="178" spans="1:12" x14ac:dyDescent="0.3">
      <c r="A178" t="s">
        <v>210</v>
      </c>
      <c r="E178" s="27"/>
      <c r="F178" s="28"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9"/>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9"/>
    </row>
    <row r="179" spans="1:12" x14ac:dyDescent="0.3">
      <c r="A179" t="s">
        <v>211</v>
      </c>
      <c r="E179" s="27"/>
      <c r="F179" s="28"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9"/>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9"/>
    </row>
    <row r="180" spans="1:12" x14ac:dyDescent="0.3">
      <c r="A180" t="s">
        <v>129</v>
      </c>
      <c r="E180" s="27"/>
      <c r="F180" s="28"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9"/>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9"/>
    </row>
    <row r="182" spans="1:12" x14ac:dyDescent="0.3">
      <c r="A182" t="s">
        <v>130</v>
      </c>
      <c r="E182" s="27"/>
      <c r="F182" s="28"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ca="1">IF(J182&lt;&gt;1,"",IF(I182="SBJ","CB","?"))</f>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9"/>
    </row>
    <row r="183" spans="1:12" x14ac:dyDescent="0.3">
      <c r="A183" t="s">
        <v>212</v>
      </c>
    </row>
    <row r="184" spans="1:12" x14ac:dyDescent="0.3">
      <c r="A184" t="s">
        <v>107</v>
      </c>
      <c r="E184" s="27"/>
      <c r="F184" s="28"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ref="H184:H206" ca="1" si="10">IF(J184&lt;&gt;1,"",IF(I184="SBJ","CB","?"))</f>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9"/>
    </row>
    <row r="185" spans="1:12" x14ac:dyDescent="0.3">
      <c r="A185" t="s">
        <v>213</v>
      </c>
      <c r="B185" s="26" t="s">
        <v>96</v>
      </c>
      <c r="C185" s="26" t="s">
        <v>214</v>
      </c>
      <c r="D185" s="26" t="s">
        <v>98</v>
      </c>
      <c r="E185" s="27" t="s">
        <v>341</v>
      </c>
      <c r="F185" s="28" t="str">
        <f>IF(OR(E185="",E185="!!!"),"",IF(NOT(ISNA(VLOOKUP(E185,E$1:E184,1,FALSE()))),"OLD",IF(AND(E185&lt;&gt;"",E185&lt;&gt;"!!!"),"NEW","")))</f>
        <v>NEW</v>
      </c>
      <c r="G185" s="22" t="s">
        <v>86</v>
      </c>
      <c r="H185" s="23" t="str">
        <f t="shared" ca="1" si="10"/>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9"/>
    </row>
    <row r="186" spans="1:12" x14ac:dyDescent="0.3">
      <c r="A186" t="s">
        <v>134</v>
      </c>
      <c r="E186" s="27"/>
      <c r="F186" s="28"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0"/>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9"/>
    </row>
    <row r="187" spans="1:12" x14ac:dyDescent="0.3">
      <c r="A187" t="s">
        <v>206</v>
      </c>
      <c r="B187" s="26" t="s">
        <v>101</v>
      </c>
      <c r="C187" s="26" t="s">
        <v>97</v>
      </c>
      <c r="D187" s="26" t="s">
        <v>98</v>
      </c>
      <c r="E187" s="27" t="s">
        <v>340</v>
      </c>
      <c r="F187" s="28" t="str">
        <f>IF(OR(E187="",E187="!!!"),"",IF(NOT(ISNA(VLOOKUP(E187,E$1:E186,1,FALSE()))),"OLD",IF(AND(E187&lt;&gt;"",E187&lt;&gt;"!!!"),"NEW","")))</f>
        <v>OLD</v>
      </c>
      <c r="G187" s="22" t="s">
        <v>366</v>
      </c>
      <c r="H187" s="23" t="str">
        <f t="shared" ca="1" si="10"/>
        <v/>
      </c>
      <c r="I187" s="24" t="str">
        <f>IF(OR(E187="",E187="!!!",F187="NEW"),"",INDEX(B$2:B186,-1+SUMPRODUCT(MAX(ROW(E$2:E186)*(E187=E$2:E186)))))</f>
        <v>other_2</v>
      </c>
      <c r="J187" s="24">
        <f ca="1">IF(OR(E187="",E187="!!!",F187="NEW"),"",COUNTBLANK(OFFSET(A$1,,,SUMPRODUCT(MAX(ROW(E$2:E187)*(E187=E$2:E187)))))-COUNTBLANK(OFFSET(A$1,,,SUMPRODUCT(MAX(ROW(E$1:E186)*(E2=E$1:E186))))))</f>
        <v>0</v>
      </c>
      <c r="K187" s="24" t="str">
        <f ca="1">IF(OR(E187="",E187="!!!",F187="NEW"),"",INDEX(J$1:J186,SUMPRODUCT(MAX(ROW(E$1:E186)*(E187=E$1:E186)))))</f>
        <v/>
      </c>
      <c r="L187" s="29"/>
    </row>
    <row r="188" spans="1:12" x14ac:dyDescent="0.3">
      <c r="A188" t="s">
        <v>207</v>
      </c>
      <c r="E188" s="27"/>
      <c r="F188" s="28"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0"/>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9"/>
    </row>
    <row r="189" spans="1:12" x14ac:dyDescent="0.3">
      <c r="A189" t="s">
        <v>208</v>
      </c>
      <c r="B189" s="26" t="s">
        <v>114</v>
      </c>
      <c r="C189" s="26" t="s">
        <v>111</v>
      </c>
      <c r="D189" s="26" t="s">
        <v>98</v>
      </c>
      <c r="E189" s="27"/>
      <c r="F189" s="28"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0"/>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9"/>
    </row>
    <row r="190" spans="1:12" x14ac:dyDescent="0.3">
      <c r="A190" t="s">
        <v>136</v>
      </c>
      <c r="E190" s="27"/>
      <c r="F190" s="28"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0"/>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9"/>
    </row>
    <row r="191" spans="1:12" x14ac:dyDescent="0.3">
      <c r="A191" t="s">
        <v>108</v>
      </c>
      <c r="E191" s="27"/>
      <c r="F191" s="28"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0"/>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9"/>
    </row>
    <row r="192" spans="1:12" x14ac:dyDescent="0.3">
      <c r="A192" t="s">
        <v>138</v>
      </c>
      <c r="E192" s="27"/>
      <c r="F192" s="28"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0"/>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9"/>
    </row>
    <row r="193" spans="1:12" x14ac:dyDescent="0.3">
      <c r="A193" t="s">
        <v>215</v>
      </c>
      <c r="B193" s="26" t="s">
        <v>140</v>
      </c>
      <c r="C193" s="26" t="s">
        <v>111</v>
      </c>
      <c r="D193" s="26" t="s">
        <v>98</v>
      </c>
      <c r="E193" s="27" t="s">
        <v>342</v>
      </c>
      <c r="F193" s="28" t="s">
        <v>343</v>
      </c>
      <c r="G193" s="22" t="s">
        <v>86</v>
      </c>
      <c r="H193" s="23" t="str">
        <f t="shared" ca="1" si="10"/>
        <v/>
      </c>
      <c r="I193" s="24" t="e">
        <f>IF(OR(E193="",E193="!!!",F193="NEW"),"",INDEX(B$2:B192,-1+SUMPRODUCT(MAX(ROW(E$2:E192)*(E193=E$2:E192)))))</f>
        <v>#VALUE!</v>
      </c>
      <c r="J193" s="24">
        <f ca="1">IF(OR(E193="",E193="!!!",F193="NEW"),"",COUNTBLANK(OFFSET(A$1,,,SUMPRODUCT(MAX(ROW(E$2:E193)*(E193=E$2:E193)))))-COUNTBLANK(OFFSET(A$1,,,SUMPRODUCT(MAX(ROW(E$1:E192)*(E2=E$1:E192))))))</f>
        <v>0</v>
      </c>
      <c r="K193" s="24" t="e">
        <f>IF(OR(E193="",E193="!!!",F193="NEW"),"",INDEX(J$1:J192,SUMPRODUCT(MAX(ROW(E$1:E192)*(E193=E$1:E192)))))</f>
        <v>#VALUE!</v>
      </c>
      <c r="L193" s="29" t="s">
        <v>378</v>
      </c>
    </row>
    <row r="194" spans="1:12" x14ac:dyDescent="0.3">
      <c r="A194" t="s">
        <v>216</v>
      </c>
      <c r="E194" s="27"/>
      <c r="F194" s="28"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0"/>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9"/>
    </row>
    <row r="195" spans="1:12" x14ac:dyDescent="0.3">
      <c r="A195" t="s">
        <v>203</v>
      </c>
      <c r="E195" s="27" t="s">
        <v>326</v>
      </c>
      <c r="F195" s="28" t="str">
        <f>IF(OR(E195="",E195="!!!"),"",IF(NOT(ISNA(VLOOKUP(E195,E$1:E194,1,FALSE()))),"OLD",IF(AND(E195&lt;&gt;"",E195&lt;&gt;"!!!"),"NEW","")))</f>
        <v>OLD</v>
      </c>
      <c r="G195" s="22" t="s">
        <v>369</v>
      </c>
      <c r="H195" s="23" t="s">
        <v>88</v>
      </c>
      <c r="I195" s="24">
        <f>IF(OR(E195="",E195="!!!",F195="NEW"),"",INDEX(B$2:B194,-1+SUMPRODUCT(MAX(ROW(E$2:E194)*(E195=E$2:E194)))))</f>
        <v>0</v>
      </c>
      <c r="J195" s="24">
        <f ca="1">IF(OR(E195="",E195="!!!",F195="NEW"),"",COUNTBLANK(OFFSET(A$1,,,SUMPRODUCT(MAX(ROW(E$2:E195)*(E195=E$2:E195)))))-COUNTBLANK(OFFSET(A$1,,,SUMPRODUCT(MAX(ROW(E$1:E194)*(E2=E$1:E194))))))</f>
        <v>0</v>
      </c>
      <c r="K195" s="24">
        <f ca="1">IF(OR(E195="",E195="!!!",F195="NEW"),"",INDEX(J$1:J194,SUMPRODUCT(MAX(ROW(E$1:E194)*(E195=E$1:E194)))))</f>
        <v>0</v>
      </c>
      <c r="L195" s="29"/>
    </row>
    <row r="196" spans="1:12" x14ac:dyDescent="0.3">
      <c r="A196" t="s">
        <v>183</v>
      </c>
      <c r="B196" s="26" t="s">
        <v>101</v>
      </c>
      <c r="C196" s="26" t="s">
        <v>205</v>
      </c>
      <c r="E196" s="27" t="s">
        <v>335</v>
      </c>
      <c r="F196" s="28" t="str">
        <f>IF(OR(E196="",E196="!!!"),"",IF(NOT(ISNA(VLOOKUP(E196,E$1:E195,1,FALSE()))),"OLD",IF(AND(E196&lt;&gt;"",E196&lt;&gt;"!!!"),"NEW","")))</f>
        <v>OLD</v>
      </c>
      <c r="G196" s="22" t="s">
        <v>366</v>
      </c>
      <c r="H196" s="23" t="str">
        <f t="shared" ca="1" si="10"/>
        <v/>
      </c>
      <c r="I196" s="24" t="str">
        <f>IF(OR(E196="",E196="!!!",F196="NEW"),"",INDEX(B$2:B195,-1+SUMPRODUCT(MAX(ROW(E$2:E195)*(E196=E$2:E195)))))</f>
        <v>SBJ_2</v>
      </c>
      <c r="J196" s="24">
        <f ca="1">IF(OR(E196="",E196="!!!",F196="NEW"),"",COUNTBLANK(OFFSET(A$1,,,SUMPRODUCT(MAX(ROW(E$2:E196)*(E196=E$2:E196)))))-COUNTBLANK(OFFSET(A$1,,,SUMPRODUCT(MAX(ROW(E$1:E195)*(E2=E$1:E195))))))</f>
        <v>0</v>
      </c>
      <c r="K196" s="24" t="str">
        <f ca="1">IF(OR(E196="",E196="!!!",F196="NEW"),"",INDEX(J$1:J195,SUMPRODUCT(MAX(ROW(E$1:E195)*(E196=E$1:E195)))))</f>
        <v/>
      </c>
      <c r="L196" s="29"/>
    </row>
    <row r="197" spans="1:12" x14ac:dyDescent="0.3">
      <c r="A197" t="s">
        <v>152</v>
      </c>
      <c r="E197" s="27"/>
      <c r="F197" s="28"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0"/>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9"/>
    </row>
    <row r="198" spans="1:12" x14ac:dyDescent="0.3">
      <c r="A198" t="s">
        <v>217</v>
      </c>
      <c r="E198" s="27"/>
      <c r="F198" s="28"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0"/>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9"/>
    </row>
    <row r="199" spans="1:12" x14ac:dyDescent="0.3">
      <c r="A199" t="s">
        <v>186</v>
      </c>
      <c r="E199" s="27"/>
      <c r="F199" s="28"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0"/>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9"/>
    </row>
    <row r="200" spans="1:12" x14ac:dyDescent="0.3">
      <c r="A200" t="s">
        <v>160</v>
      </c>
      <c r="E200" s="27"/>
      <c r="F200" s="28"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0"/>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9"/>
    </row>
    <row r="201" spans="1:12" x14ac:dyDescent="0.3">
      <c r="A201" t="s">
        <v>121</v>
      </c>
      <c r="E201" s="27"/>
      <c r="F201" s="28"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0"/>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9"/>
    </row>
    <row r="202" spans="1:12" x14ac:dyDescent="0.3">
      <c r="A202" t="s">
        <v>218</v>
      </c>
      <c r="B202" s="26" t="s">
        <v>114</v>
      </c>
      <c r="C202" s="26" t="s">
        <v>124</v>
      </c>
      <c r="D202" s="26" t="s">
        <v>98</v>
      </c>
      <c r="E202" s="27"/>
      <c r="F202" s="28" t="s">
        <v>344</v>
      </c>
      <c r="G202" s="22" t="str">
        <f>IF(OR(E202="",E202="!!!"),"",IF(OR(J202=0,AND(J202=1,K202=1),AND(J202=1,I202="SBJ"),AND(J202=1,I202=0)),"?IN_FOCUS",IF(J202&lt;=2,"?ACTIVATED",IF(J202&lt;&gt;"","?FAMILIAR",IF(F202="NEW",IF(ISNA(VLOOKUP(E202,#REF!,1,FALSE())),"?TYPE_IDENTIFIABLE","?REFERENTIAL"),"_")))))</f>
        <v/>
      </c>
      <c r="H202" s="23" t="str">
        <f t="shared" ca="1" si="10"/>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9"/>
    </row>
    <row r="203" spans="1:12" x14ac:dyDescent="0.3">
      <c r="A203" t="s">
        <v>219</v>
      </c>
      <c r="E203" s="27"/>
      <c r="F203" s="28"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0"/>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9"/>
    </row>
    <row r="204" spans="1:12" x14ac:dyDescent="0.3">
      <c r="A204" t="s">
        <v>220</v>
      </c>
      <c r="E204" s="27"/>
      <c r="F204" s="28"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0"/>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9"/>
    </row>
    <row r="205" spans="1:12" x14ac:dyDescent="0.3">
      <c r="A205" t="s">
        <v>152</v>
      </c>
      <c r="E205" s="27"/>
      <c r="F205" s="28"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0"/>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9"/>
    </row>
    <row r="206" spans="1:12" x14ac:dyDescent="0.3">
      <c r="A206" t="s">
        <v>129</v>
      </c>
      <c r="E206" s="27"/>
      <c r="F206" s="28"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0"/>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9"/>
    </row>
    <row r="208" spans="1:12" x14ac:dyDescent="0.3">
      <c r="A208" t="s">
        <v>130</v>
      </c>
      <c r="E208" s="27"/>
      <c r="F208" s="28"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ca="1">IF(J208&lt;&gt;1,"",IF(I208="SBJ","CB","?"))</f>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9"/>
    </row>
    <row r="209" spans="1:12" x14ac:dyDescent="0.3">
      <c r="A209" t="s">
        <v>221</v>
      </c>
    </row>
    <row r="210" spans="1:12" x14ac:dyDescent="0.3">
      <c r="A210" t="s">
        <v>152</v>
      </c>
      <c r="E210" s="27"/>
      <c r="F210" s="28"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5" ca="1" si="11">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9"/>
    </row>
    <row r="211" spans="1:12" x14ac:dyDescent="0.3">
      <c r="A211" t="s">
        <v>222</v>
      </c>
      <c r="B211" s="26" t="s">
        <v>96</v>
      </c>
      <c r="C211" s="26" t="s">
        <v>111</v>
      </c>
      <c r="D211" s="26" t="s">
        <v>98</v>
      </c>
      <c r="E211" s="27" t="s">
        <v>342</v>
      </c>
      <c r="F211" s="28" t="str">
        <f>IF(OR(E211="",E211="!!!"),"",IF(NOT(ISNA(VLOOKUP(E211,E$1:E210,1,FALSE()))),"OLD",IF(AND(E211&lt;&gt;"",E211&lt;&gt;"!!!"),"NEW","")))</f>
        <v>OLD</v>
      </c>
      <c r="G211" s="22" t="s">
        <v>369</v>
      </c>
      <c r="H211" s="23" t="s">
        <v>88</v>
      </c>
      <c r="I211" s="24" t="str">
        <f>IF(OR(E211="",E211="!!!",F211="NEW"),"",INDEX(B$2:B210,-1+SUMPRODUCT(MAX(ROW(E$2:E210)*(E211=E$2:E210)))))</f>
        <v>SBJ_2</v>
      </c>
      <c r="J211" s="24">
        <f ca="1">IF(OR(E211="",E211="!!!",F211="NEW"),"",COUNTBLANK(OFFSET(A$1,,,SUMPRODUCT(MAX(ROW(E$2:E211)*(E211=E$2:E211)))))-COUNTBLANK(OFFSET(A$1,,,SUMPRODUCT(MAX(ROW(E$1:E210)*(E2=E$1:E210))))))</f>
        <v>0</v>
      </c>
      <c r="K211" s="24">
        <f ca="1">IF(OR(E211="",E211="!!!",F211="NEW"),"",INDEX(J$1:J210,SUMPRODUCT(MAX(ROW(E$1:E210)*(E211=E$1:E210)))))</f>
        <v>0</v>
      </c>
      <c r="L211" s="29"/>
    </row>
    <row r="212" spans="1:12" x14ac:dyDescent="0.3">
      <c r="A212" t="s">
        <v>189</v>
      </c>
      <c r="E212" s="27"/>
      <c r="F212" s="28"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9"/>
    </row>
    <row r="213" spans="1:12" x14ac:dyDescent="0.3">
      <c r="A213" t="s">
        <v>223</v>
      </c>
      <c r="E213" s="27"/>
      <c r="F213" s="28"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1"/>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9"/>
    </row>
    <row r="214" spans="1:12" x14ac:dyDescent="0.3">
      <c r="A214" t="s">
        <v>224</v>
      </c>
      <c r="E214" s="27"/>
      <c r="F214" s="28"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9"/>
    </row>
    <row r="215" spans="1:12" x14ac:dyDescent="0.3">
      <c r="A215" t="s">
        <v>225</v>
      </c>
      <c r="B215" s="26" t="s">
        <v>123</v>
      </c>
      <c r="C215" s="26" t="s">
        <v>128</v>
      </c>
      <c r="E215" s="27"/>
      <c r="F215" s="28"/>
      <c r="G215" s="22" t="str">
        <f>IF(OR(E215="",E215="!!!"),"",IF(OR(J215=0,AND(J215=1,K215=1),AND(J215=1,I215="SBJ"),AND(J215=1,I215=0)),"?IN_FOCUS",IF(J215&lt;=2,"?ACTIVATED",IF(J215&lt;&gt;"","?FAMILIAR",IF(F215="NEW",IF(ISNA(VLOOKUP(E215,#REF!,1,FALSE())),"?TYPE_IDENTIFIABLE","?REFERENTIAL"),"_")))))</f>
        <v/>
      </c>
      <c r="H215" s="23" t="str">
        <f t="shared" ca="1" si="1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9"/>
    </row>
    <row r="216" spans="1:12" x14ac:dyDescent="0.3">
      <c r="A216" t="s">
        <v>108</v>
      </c>
      <c r="E216" s="27"/>
      <c r="F216" s="28"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1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9"/>
    </row>
    <row r="217" spans="1:12" x14ac:dyDescent="0.3">
      <c r="A217" t="s">
        <v>226</v>
      </c>
      <c r="B217" s="26" t="s">
        <v>140</v>
      </c>
      <c r="C217" s="26" t="s">
        <v>111</v>
      </c>
      <c r="D217" s="26" t="s">
        <v>98</v>
      </c>
      <c r="E217" s="27"/>
      <c r="F217" s="28" t="s">
        <v>372</v>
      </c>
      <c r="G217" s="22" t="str">
        <f>IF(OR(E217="",E217="!!!"),"",IF(OR(J217=0,AND(J217=1,K217=1),AND(J217=1,I217="SBJ"),AND(J217=1,I217=0)),"?IN_FOCUS",IF(J217&lt;=2,"?ACTIVATED",IF(J217&lt;&gt;"","?FAMILIAR",IF(F217="NEW",IF(ISNA(VLOOKUP(E217,#REF!,1,FALSE())),"?TYPE_IDENTIFIABLE","?REFERENTIAL"),"_")))))</f>
        <v/>
      </c>
      <c r="H217" s="23" t="str">
        <f t="shared" ca="1" si="1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9" t="s">
        <v>359</v>
      </c>
    </row>
    <row r="218" spans="1:12" x14ac:dyDescent="0.3">
      <c r="A218" t="s">
        <v>227</v>
      </c>
      <c r="E218" s="27"/>
      <c r="F218" s="28"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9"/>
    </row>
    <row r="219" spans="1:12" x14ac:dyDescent="0.3">
      <c r="A219" t="s">
        <v>228</v>
      </c>
      <c r="E219" s="27"/>
      <c r="F219" s="28"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9"/>
    </row>
    <row r="220" spans="1:12" x14ac:dyDescent="0.3">
      <c r="A220" t="s">
        <v>229</v>
      </c>
      <c r="E220" s="27"/>
      <c r="F220" s="28"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9"/>
    </row>
    <row r="221" spans="1:12" x14ac:dyDescent="0.3">
      <c r="A221" t="s">
        <v>230</v>
      </c>
      <c r="B221" s="26" t="s">
        <v>101</v>
      </c>
      <c r="C221" s="26" t="s">
        <v>128</v>
      </c>
      <c r="E221" s="27"/>
      <c r="F221" s="28"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9"/>
    </row>
    <row r="222" spans="1:12" x14ac:dyDescent="0.3">
      <c r="A222" t="s">
        <v>231</v>
      </c>
      <c r="E222" s="27"/>
      <c r="F222" s="28"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1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9"/>
    </row>
    <row r="223" spans="1:12" x14ac:dyDescent="0.3">
      <c r="A223" t="s">
        <v>186</v>
      </c>
      <c r="E223" s="27"/>
      <c r="F223" s="28"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1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9"/>
    </row>
    <row r="224" spans="1:12" x14ac:dyDescent="0.3">
      <c r="A224" t="s">
        <v>232</v>
      </c>
      <c r="B224" s="26" t="s">
        <v>110</v>
      </c>
      <c r="C224" s="26" t="s">
        <v>111</v>
      </c>
      <c r="D224" s="26" t="s">
        <v>98</v>
      </c>
      <c r="E224" s="27" t="s">
        <v>342</v>
      </c>
      <c r="F224" s="28" t="str">
        <f>IF(OR(E224="",E224="!!!"),"",IF(NOT(ISNA(VLOOKUP(E224,E$1:E223,1,FALSE()))),"OLD",IF(AND(E224&lt;&gt;"",E224&lt;&gt;"!!!"),"NEW","")))</f>
        <v>OLD</v>
      </c>
      <c r="G224" s="22" t="s">
        <v>369</v>
      </c>
      <c r="H224" s="23" t="str">
        <f t="shared" ca="1" si="11"/>
        <v/>
      </c>
      <c r="I224" s="24" t="str">
        <f>IF(OR(E224="",E224="!!!",F224="NEW"),"",INDEX(B$2:B223,-1+SUMPRODUCT(MAX(ROW(E$2:E223)*(E224=E$2:E223)))))</f>
        <v>SBJ</v>
      </c>
      <c r="J224" s="24">
        <f ca="1">IF(OR(E224="",E224="!!!",F224="NEW"),"",COUNTBLANK(OFFSET(A$1,,,SUMPRODUCT(MAX(ROW(E$2:E224)*(E224=E$2:E224)))))-COUNTBLANK(OFFSET(A$1,,,SUMPRODUCT(MAX(ROW(E$1:E223)*(E2=E$1:E223))))))</f>
        <v>0</v>
      </c>
      <c r="K224" s="24">
        <f ca="1">IF(OR(E224="",E224="!!!",F224="NEW"),"",INDEX(J$1:J223,SUMPRODUCT(MAX(ROW(E$1:E223)*(E224=E$1:E223)))))</f>
        <v>0</v>
      </c>
      <c r="L224" s="29"/>
    </row>
    <row r="225" spans="1:12" x14ac:dyDescent="0.3">
      <c r="A225" t="s">
        <v>233</v>
      </c>
      <c r="E225" s="27"/>
      <c r="F225" s="28"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9"/>
    </row>
    <row r="226" spans="1:12" x14ac:dyDescent="0.3">
      <c r="A226" t="s">
        <v>234</v>
      </c>
      <c r="B226" s="26" t="s">
        <v>235</v>
      </c>
      <c r="C226" s="26" t="s">
        <v>141</v>
      </c>
      <c r="D226" s="26" t="s">
        <v>98</v>
      </c>
      <c r="E226" s="27" t="s">
        <v>326</v>
      </c>
      <c r="F226" s="28" t="str">
        <f>IF(OR(E226="",E226="!!!"),"",IF(NOT(ISNA(VLOOKUP(E226,E$1:E225,1,FALSE()))),"OLD",IF(AND(E226&lt;&gt;"",E226&lt;&gt;"!!!"),"NEW","")))</f>
        <v>OLD</v>
      </c>
      <c r="G226" s="22" t="s">
        <v>369</v>
      </c>
      <c r="H226" s="23" t="str">
        <f t="shared" ca="1" si="11"/>
        <v/>
      </c>
      <c r="I226" s="24">
        <f>IF(OR(E226="",E226="!!!",F226="NEW"),"",INDEX(B$2:B225,-1+SUMPRODUCT(MAX(ROW(E$2:E225)*(E226=E$2:E225)))))</f>
        <v>0</v>
      </c>
      <c r="J226" s="24">
        <f ca="1">IF(OR(E226="",E226="!!!",F226="NEW"),"",COUNTBLANK(OFFSET(A$1,,,SUMPRODUCT(MAX(ROW(E$2:E226)*(E226=E$2:E226)))))-COUNTBLANK(OFFSET(A$1,,,SUMPRODUCT(MAX(ROW(E$1:E225)*(E2=E$1:E225))))))</f>
        <v>0</v>
      </c>
      <c r="K226" s="24">
        <f ca="1">IF(OR(E226="",E226="!!!",F226="NEW"),"",INDEX(J$1:J225,SUMPRODUCT(MAX(ROW(E$1:E225)*(E226=E$1:E225)))))</f>
        <v>0</v>
      </c>
      <c r="L226" s="29"/>
    </row>
    <row r="227" spans="1:12" x14ac:dyDescent="0.3">
      <c r="A227" t="s">
        <v>236</v>
      </c>
      <c r="E227" s="27"/>
      <c r="F227" s="28"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9"/>
    </row>
    <row r="228" spans="1:12" x14ac:dyDescent="0.3">
      <c r="A228" t="s">
        <v>237</v>
      </c>
      <c r="E228" s="27"/>
      <c r="F228" s="28"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9"/>
    </row>
    <row r="229" spans="1:12" x14ac:dyDescent="0.3">
      <c r="A229" t="s">
        <v>108</v>
      </c>
      <c r="E229" s="27"/>
      <c r="F229" s="28"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1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9"/>
    </row>
    <row r="230" spans="1:12" x14ac:dyDescent="0.3">
      <c r="A230" t="s">
        <v>152</v>
      </c>
      <c r="E230" s="27"/>
      <c r="F230" s="28"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1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9"/>
    </row>
    <row r="231" spans="1:12" x14ac:dyDescent="0.3">
      <c r="A231" t="s">
        <v>136</v>
      </c>
      <c r="E231" s="27"/>
      <c r="F231" s="28"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1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9"/>
    </row>
    <row r="232" spans="1:12" x14ac:dyDescent="0.3">
      <c r="A232" t="s">
        <v>109</v>
      </c>
      <c r="E232" s="27"/>
      <c r="F232" s="28"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1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9"/>
    </row>
    <row r="233" spans="1:12" x14ac:dyDescent="0.3">
      <c r="A233" t="s">
        <v>213</v>
      </c>
      <c r="B233" s="26" t="s">
        <v>140</v>
      </c>
      <c r="C233" s="26" t="s">
        <v>124</v>
      </c>
      <c r="D233" s="26" t="s">
        <v>98</v>
      </c>
      <c r="E233" s="27" t="s">
        <v>341</v>
      </c>
      <c r="F233" s="28" t="str">
        <f>IF(OR(E233="",E233="!!!"),"",IF(NOT(ISNA(VLOOKUP(E233,E$1:E232,1,FALSE()))),"OLD",IF(AND(E233&lt;&gt;"",E233&lt;&gt;"!!!"),"NEW","")))</f>
        <v>OLD</v>
      </c>
      <c r="G233" s="22" t="s">
        <v>369</v>
      </c>
      <c r="H233" s="23" t="str">
        <f t="shared" ca="1" si="11"/>
        <v/>
      </c>
      <c r="I233" s="24" t="str">
        <f>IF(OR(E233="",E233="!!!",F233="NEW"),"",INDEX(B$2:B232,-1+SUMPRODUCT(MAX(ROW(E$2:E232)*(E233=E$2:E232)))))</f>
        <v>SBJ</v>
      </c>
      <c r="J233" s="24">
        <f ca="1">IF(OR(E233="",E233="!!!",F233="NEW"),"",COUNTBLANK(OFFSET(A$1,,,SUMPRODUCT(MAX(ROW(E$2:E233)*(E233=E$2:E233)))))-COUNTBLANK(OFFSET(A$1,,,SUMPRODUCT(MAX(ROW(E$1:E232)*(E2=E$1:E232))))))</f>
        <v>0</v>
      </c>
      <c r="K233" s="24" t="str">
        <f ca="1">IF(OR(E233="",E233="!!!",F233="NEW"),"",INDEX(J$1:J232,SUMPRODUCT(MAX(ROW(E$1:E232)*(E233=E$1:E232)))))</f>
        <v/>
      </c>
      <c r="L233" s="29"/>
    </row>
    <row r="234" spans="1:12" x14ac:dyDescent="0.3">
      <c r="A234" t="s">
        <v>238</v>
      </c>
      <c r="E234" s="27"/>
      <c r="F234" s="28"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9"/>
    </row>
    <row r="235" spans="1:12" x14ac:dyDescent="0.3">
      <c r="A235" t="s">
        <v>129</v>
      </c>
      <c r="E235" s="27"/>
      <c r="F235" s="28"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1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9"/>
    </row>
    <row r="237" spans="1:12" x14ac:dyDescent="0.3">
      <c r="A237" t="s">
        <v>239</v>
      </c>
    </row>
    <row r="238" spans="1:12" x14ac:dyDescent="0.3">
      <c r="A238" t="s">
        <v>240</v>
      </c>
      <c r="B238" s="26" t="s">
        <v>101</v>
      </c>
      <c r="C238" s="26" t="s">
        <v>241</v>
      </c>
      <c r="D238" s="26" t="s">
        <v>98</v>
      </c>
      <c r="E238" s="27" t="s">
        <v>342</v>
      </c>
      <c r="F238" s="28" t="str">
        <f>IF(OR(E238="",E238="!!!"),"",IF(NOT(ISNA(VLOOKUP(E238,E$1:E237,1,FALSE()))),"OLD",IF(AND(E238&lt;&gt;"",E238&lt;&gt;"!!!"),"NEW","")))</f>
        <v>OLD</v>
      </c>
      <c r="G238" s="22" t="s">
        <v>369</v>
      </c>
      <c r="H238" s="23" t="str">
        <f t="shared" ref="H238:H253" ca="1" si="12">IF(J238&lt;&gt;1,"",IF(I238="SBJ","CB","?"))</f>
        <v/>
      </c>
      <c r="I238" s="24" t="str">
        <f>IF(OR(E238="",E238="!!!",F238="NEW"),"",INDEX(B$2:B237,-1+SUMPRODUCT(MAX(ROW(E$2:E237)*(E238=E$2:E237)))))</f>
        <v>SBJ_3</v>
      </c>
      <c r="J238" s="24">
        <f ca="1">IF(OR(E238="",E238="!!!",F238="NEW"),"",COUNTBLANK(OFFSET(A$1,,,SUMPRODUCT(MAX(ROW(E$2:E238)*(E238=E$2:E238)))))-COUNTBLANK(OFFSET(A$1,,,SUMPRODUCT(MAX(ROW(E$1:E237)*(E2=E$1:E237))))))</f>
        <v>0</v>
      </c>
      <c r="K238" s="24">
        <f ca="1">IF(OR(E238="",E238="!!!",F238="NEW"),"",INDEX(J$1:J237,SUMPRODUCT(MAX(ROW(E$1:E237)*(E238=E$1:E237)))))</f>
        <v>0</v>
      </c>
      <c r="L238" s="29"/>
    </row>
    <row r="239" spans="1:12" x14ac:dyDescent="0.3">
      <c r="A239" t="s">
        <v>242</v>
      </c>
      <c r="B239" s="26" t="s">
        <v>96</v>
      </c>
      <c r="C239" s="26" t="s">
        <v>115</v>
      </c>
      <c r="E239" s="27" t="s">
        <v>345</v>
      </c>
      <c r="F239" s="28" t="str">
        <f>IF(OR(E239="",E239="!!!"),"",IF(NOT(ISNA(VLOOKUP(E239,E$1:E238,1,FALSE()))),"OLD",IF(AND(E239&lt;&gt;"",E239&lt;&gt;"!!!"),"NEW","")))</f>
        <v>NEW</v>
      </c>
      <c r="G239" s="22" t="s">
        <v>368</v>
      </c>
      <c r="H239" s="23" t="str">
        <f t="shared" ca="1" si="12"/>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9"/>
    </row>
    <row r="240" spans="1:12" x14ac:dyDescent="0.3">
      <c r="A240" t="s">
        <v>186</v>
      </c>
      <c r="E240" s="27"/>
      <c r="F240" s="28"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12"/>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9"/>
    </row>
    <row r="241" spans="1:12" x14ac:dyDescent="0.3">
      <c r="A241" t="s">
        <v>243</v>
      </c>
      <c r="B241" s="26" t="s">
        <v>114</v>
      </c>
      <c r="C241" s="26" t="s">
        <v>241</v>
      </c>
      <c r="D241" s="26" t="s">
        <v>98</v>
      </c>
      <c r="E241" s="27" t="s">
        <v>342</v>
      </c>
      <c r="F241" s="28" t="str">
        <f>IF(OR(E241="",E241="!!!"),"",IF(NOT(ISNA(VLOOKUP(E241,E$1:E240,1,FALSE()))),"OLD",IF(AND(E241&lt;&gt;"",E241&lt;&gt;"!!!"),"NEW","")))</f>
        <v>OLD</v>
      </c>
      <c r="G241" s="22" t="s">
        <v>369</v>
      </c>
      <c r="H241" s="23" t="str">
        <f t="shared" ca="1" si="12"/>
        <v/>
      </c>
      <c r="I241" s="24" t="str">
        <f>IF(OR(E241="",E241="!!!",F241="NEW"),"",INDEX(B$2:B240,-1+SUMPRODUCT(MAX(ROW(E$2:E240)*(E241=E$2:E240)))))</f>
        <v>other_2</v>
      </c>
      <c r="J241" s="24">
        <f ca="1">IF(OR(E241="",E241="!!!",F241="NEW"),"",COUNTBLANK(OFFSET(A$1,,,SUMPRODUCT(MAX(ROW(E$2:E241)*(E241=E$2:E241)))))-COUNTBLANK(OFFSET(A$1,,,SUMPRODUCT(MAX(ROW(E$1:E240)*(E2=E$1:E240))))))</f>
        <v>0</v>
      </c>
      <c r="K241" s="24">
        <f ca="1">IF(OR(E241="",E241="!!!",F241="NEW"),"",INDEX(J$1:J240,SUMPRODUCT(MAX(ROW(E$1:E240)*(E241=E$1:E240)))))</f>
        <v>0</v>
      </c>
      <c r="L241" s="29"/>
    </row>
    <row r="242" spans="1:12" x14ac:dyDescent="0.3">
      <c r="A242" t="s">
        <v>244</v>
      </c>
      <c r="B242" s="26" t="s">
        <v>101</v>
      </c>
      <c r="C242" s="26" t="s">
        <v>115</v>
      </c>
      <c r="E242" s="27" t="s">
        <v>346</v>
      </c>
      <c r="F242" s="28" t="str">
        <f>IF(OR(E242="",E242="!!!"),"",IF(NOT(ISNA(VLOOKUP(E242,E$1:E241,1,FALSE()))),"OLD",IF(AND(E242&lt;&gt;"",E242&lt;&gt;"!!!"),"NEW","")))</f>
        <v>NEW</v>
      </c>
      <c r="G242" s="22" t="s">
        <v>368</v>
      </c>
      <c r="H242" s="23" t="str">
        <f t="shared" ca="1" si="12"/>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9"/>
    </row>
    <row r="243" spans="1:12" x14ac:dyDescent="0.3">
      <c r="A243" t="s">
        <v>189</v>
      </c>
      <c r="E243" s="27"/>
      <c r="F243" s="28"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2"/>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9"/>
    </row>
    <row r="244" spans="1:12" x14ac:dyDescent="0.3">
      <c r="A244" t="s">
        <v>99</v>
      </c>
      <c r="E244" s="27"/>
      <c r="F244" s="28"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12"/>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9"/>
    </row>
    <row r="245" spans="1:12" x14ac:dyDescent="0.3">
      <c r="A245" t="s">
        <v>245</v>
      </c>
      <c r="B245" s="26" t="s">
        <v>101</v>
      </c>
      <c r="C245" s="26" t="s">
        <v>246</v>
      </c>
      <c r="D245" s="26" t="s">
        <v>98</v>
      </c>
      <c r="E245" s="27"/>
      <c r="F245" s="28"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2"/>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9" t="s">
        <v>360</v>
      </c>
    </row>
    <row r="246" spans="1:12" x14ac:dyDescent="0.3">
      <c r="A246" t="s">
        <v>247</v>
      </c>
      <c r="E246" s="27"/>
      <c r="F246" s="28"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12"/>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9"/>
    </row>
    <row r="247" spans="1:12" x14ac:dyDescent="0.3">
      <c r="A247" t="s">
        <v>248</v>
      </c>
      <c r="B247" s="26" t="s">
        <v>123</v>
      </c>
      <c r="C247" s="26" t="s">
        <v>249</v>
      </c>
      <c r="D247" s="26" t="s">
        <v>98</v>
      </c>
      <c r="E247" s="27" t="s">
        <v>347</v>
      </c>
      <c r="F247" s="28" t="s">
        <v>331</v>
      </c>
      <c r="G247" s="22" t="s">
        <v>368</v>
      </c>
      <c r="H247" s="23" t="str">
        <f t="shared" ca="1" si="12"/>
        <v/>
      </c>
      <c r="I247" s="24" t="e">
        <f>IF(OR(E247="",E247="!!!",F247="NEW"),"",INDEX(B$2:B246,-1+SUMPRODUCT(MAX(ROW(E$2:E246)*(E247=E$2:E246)))))</f>
        <v>#VALUE!</v>
      </c>
      <c r="J247" s="24">
        <f ca="1">IF(OR(E247="",E247="!!!",F247="NEW"),"",COUNTBLANK(OFFSET(A$1,,,SUMPRODUCT(MAX(ROW(E$2:E247)*(E247=E$2:E247)))))-COUNTBLANK(OFFSET(A$1,,,SUMPRODUCT(MAX(ROW(E$1:E246)*(E2=E$1:E246))))))</f>
        <v>0</v>
      </c>
      <c r="K247" s="24" t="e">
        <f>IF(OR(E247="",E247="!!!",F247="NEW"),"",INDEX(J$1:J246,SUMPRODUCT(MAX(ROW(E$1:E246)*(E247=E$1:E246)))))</f>
        <v>#VALUE!</v>
      </c>
      <c r="L247" s="29"/>
    </row>
    <row r="248" spans="1:12" x14ac:dyDescent="0.3">
      <c r="A248" t="s">
        <v>156</v>
      </c>
      <c r="E248" s="27"/>
      <c r="F248" s="28"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2"/>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9"/>
    </row>
    <row r="249" spans="1:12" x14ac:dyDescent="0.3">
      <c r="A249" t="s">
        <v>250</v>
      </c>
      <c r="B249" s="26" t="s">
        <v>101</v>
      </c>
      <c r="C249" s="26" t="s">
        <v>97</v>
      </c>
      <c r="D249" s="26" t="s">
        <v>98</v>
      </c>
      <c r="E249" s="27" t="s">
        <v>326</v>
      </c>
      <c r="F249" s="28" t="str">
        <f>IF(OR(E249="",E249="!!!"),"",IF(NOT(ISNA(VLOOKUP(E249,E$1:E248,1,FALSE()))),"OLD",IF(AND(E249&lt;&gt;"",E249&lt;&gt;"!!!"),"NEW","")))</f>
        <v>OLD</v>
      </c>
      <c r="G249" s="22" t="s">
        <v>366</v>
      </c>
      <c r="H249" s="23" t="s">
        <v>88</v>
      </c>
      <c r="I249" s="24" t="str">
        <f>IF(OR(E249="",E249="!!!",F249="NEW"),"",INDEX(B$2:B248,-1+SUMPRODUCT(MAX(ROW(E$2:E248)*(E249=E$2:E248)))))</f>
        <v>OBJ_3</v>
      </c>
      <c r="J249" s="24">
        <f ca="1">IF(OR(E249="",E249="!!!",F249="NEW"),"",COUNTBLANK(OFFSET(A$1,,,SUMPRODUCT(MAX(ROW(E$2:E249)*(E249=E$2:E249)))))-COUNTBLANK(OFFSET(A$1,,,SUMPRODUCT(MAX(ROW(E$1:E248)*(E2=E$1:E248))))))</f>
        <v>0</v>
      </c>
      <c r="K249" s="24">
        <f ca="1">IF(OR(E249="",E249="!!!",F249="NEW"),"",INDEX(J$1:J248,SUMPRODUCT(MAX(ROW(E$1:E248)*(E249=E$1:E248)))))</f>
        <v>0</v>
      </c>
      <c r="L249" s="29"/>
    </row>
    <row r="250" spans="1:12" x14ac:dyDescent="0.3">
      <c r="A250" t="s">
        <v>230</v>
      </c>
      <c r="B250" s="26" t="s">
        <v>123</v>
      </c>
      <c r="C250" s="26" t="s">
        <v>214</v>
      </c>
      <c r="D250" s="26" t="s">
        <v>98</v>
      </c>
      <c r="E250" s="27" t="s">
        <v>348</v>
      </c>
      <c r="F250" s="28" t="str">
        <f>IF(OR(E250="",E250="!!!"),"",IF(NOT(ISNA(VLOOKUP(E250,E$1:E249,1,FALSE()))),"OLD",IF(AND(E250&lt;&gt;"",E250&lt;&gt;"!!!"),"NEW","")))</f>
        <v>NEW</v>
      </c>
      <c r="G250" s="22" t="s">
        <v>86</v>
      </c>
      <c r="H250" s="23" t="str">
        <f t="shared" ca="1" si="12"/>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9"/>
    </row>
    <row r="251" spans="1:12" x14ac:dyDescent="0.3">
      <c r="A251" t="s">
        <v>186</v>
      </c>
      <c r="E251" s="27"/>
      <c r="F251" s="28"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12"/>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9"/>
    </row>
    <row r="252" spans="1:12" x14ac:dyDescent="0.3">
      <c r="A252" t="s">
        <v>251</v>
      </c>
      <c r="B252" s="26" t="s">
        <v>101</v>
      </c>
      <c r="C252" s="26" t="s">
        <v>115</v>
      </c>
      <c r="E252" s="27"/>
      <c r="F252" s="28"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2"/>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9"/>
    </row>
    <row r="253" spans="1:12" x14ac:dyDescent="0.3">
      <c r="A253" t="s">
        <v>129</v>
      </c>
      <c r="E253" s="27"/>
      <c r="F253" s="28"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2"/>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9"/>
    </row>
    <row r="255" spans="1:12" x14ac:dyDescent="0.3">
      <c r="A255" t="s">
        <v>130</v>
      </c>
      <c r="E255" s="27"/>
      <c r="F255" s="28"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ca="1">IF(J255&lt;&gt;1,"",IF(I255="SBJ","CB","?"))</f>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9"/>
    </row>
    <row r="256" spans="1:12" x14ac:dyDescent="0.3">
      <c r="A256" t="s">
        <v>252</v>
      </c>
    </row>
    <row r="257" spans="1:12" x14ac:dyDescent="0.3">
      <c r="A257" t="s">
        <v>191</v>
      </c>
      <c r="B257" s="26" t="s">
        <v>96</v>
      </c>
      <c r="C257" s="26" t="s">
        <v>97</v>
      </c>
      <c r="D257" s="26" t="s">
        <v>98</v>
      </c>
      <c r="E257" s="27" t="s">
        <v>337</v>
      </c>
      <c r="F257" s="28" t="str">
        <f>IF(OR(E257="",E257="!!!"),"",IF(NOT(ISNA(VLOOKUP(E257,E$1:E256,1,FALSE()))),"OLD",IF(AND(E257&lt;&gt;"",E257&lt;&gt;"!!!"),"NEW","")))</f>
        <v>OLD</v>
      </c>
      <c r="G257" s="22" t="s">
        <v>367</v>
      </c>
      <c r="H257" s="23" t="str">
        <f t="shared" ref="H257:H281" ca="1" si="13">IF(J257&lt;&gt;1,"",IF(I257="SBJ","CB","?"))</f>
        <v/>
      </c>
      <c r="I257" s="24" t="str">
        <f>IF(OR(E257="",E257="!!!",F257="NEW"),"",INDEX(B$2:B256,-1+SUMPRODUCT(MAX(ROW(E$2:E256)*(E257=E$2:E256)))))</f>
        <v>SBJ</v>
      </c>
      <c r="J257" s="24">
        <f ca="1">IF(OR(E257="",E257="!!!",F257="NEW"),"",COUNTBLANK(OFFSET(A$1,,,SUMPRODUCT(MAX(ROW(E$2:E257)*(E257=E$2:E257)))))-COUNTBLANK(OFFSET(A$1,,,SUMPRODUCT(MAX(ROW(E$1:E256)*(E2=E$1:E256))))))</f>
        <v>0</v>
      </c>
      <c r="K257" s="24">
        <f ca="1">IF(OR(E257="",E257="!!!",F257="NEW"),"",INDEX(J$1:J256,SUMPRODUCT(MAX(ROW(E$1:E256)*(E257=E$1:E256)))))</f>
        <v>0</v>
      </c>
      <c r="L257" s="29"/>
    </row>
    <row r="258" spans="1:12" x14ac:dyDescent="0.3">
      <c r="A258" t="s">
        <v>172</v>
      </c>
      <c r="E258" s="27"/>
      <c r="F258" s="28"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9"/>
    </row>
    <row r="259" spans="1:12" x14ac:dyDescent="0.3">
      <c r="A259" t="s">
        <v>253</v>
      </c>
      <c r="E259" s="27"/>
      <c r="F259" s="28"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9"/>
    </row>
    <row r="260" spans="1:12" x14ac:dyDescent="0.3">
      <c r="A260" t="s">
        <v>160</v>
      </c>
      <c r="E260" s="27"/>
      <c r="F260" s="28"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1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9"/>
    </row>
    <row r="261" spans="1:12" x14ac:dyDescent="0.3">
      <c r="A261" t="s">
        <v>108</v>
      </c>
      <c r="E261" s="27"/>
      <c r="F261" s="28"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1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9"/>
    </row>
    <row r="262" spans="1:12" x14ac:dyDescent="0.3">
      <c r="A262" t="s">
        <v>138</v>
      </c>
      <c r="E262" s="27"/>
      <c r="F262" s="28"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1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9"/>
    </row>
    <row r="263" spans="1:12" x14ac:dyDescent="0.3">
      <c r="A263" t="s">
        <v>171</v>
      </c>
      <c r="B263" s="26" t="s">
        <v>140</v>
      </c>
      <c r="C263" s="26" t="s">
        <v>97</v>
      </c>
      <c r="D263" s="26" t="s">
        <v>98</v>
      </c>
      <c r="E263" s="27" t="s">
        <v>326</v>
      </c>
      <c r="F263" s="28" t="str">
        <f>IF(OR(E263="",E263="!!!"),"",IF(NOT(ISNA(VLOOKUP(E263,E$1:E262,1,FALSE()))),"OLD",IF(AND(E263&lt;&gt;"",E263&lt;&gt;"!!!"),"NEW","")))</f>
        <v>OLD</v>
      </c>
      <c r="G263" s="22" t="s">
        <v>366</v>
      </c>
      <c r="H263" s="23" t="s">
        <v>88</v>
      </c>
      <c r="I263" s="24" t="str">
        <f>IF(OR(E263="",E263="!!!",F263="NEW"),"",INDEX(B$2:B262,-1+SUMPRODUCT(MAX(ROW(E$2:E262)*(E263=E$2:E262)))))</f>
        <v>other_2</v>
      </c>
      <c r="J263" s="24">
        <f ca="1">IF(OR(E263="",E263="!!!",F263="NEW"),"",COUNTBLANK(OFFSET(A$1,,,SUMPRODUCT(MAX(ROW(E$2:E263)*(E263=E$2:E263)))))-COUNTBLANK(OFFSET(A$1,,,SUMPRODUCT(MAX(ROW(E$1:E262)*(E2=E$1:E262))))))</f>
        <v>0</v>
      </c>
      <c r="K263" s="24">
        <f ca="1">IF(OR(E263="",E263="!!!",F263="NEW"),"",INDEX(J$1:J262,SUMPRODUCT(MAX(ROW(E$1:E262)*(E263=E$1:E262)))))</f>
        <v>0</v>
      </c>
      <c r="L263" s="29"/>
    </row>
    <row r="264" spans="1:12" x14ac:dyDescent="0.3">
      <c r="A264" t="s">
        <v>254</v>
      </c>
      <c r="E264" s="27"/>
      <c r="F264" s="28"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1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9"/>
    </row>
    <row r="265" spans="1:12" x14ac:dyDescent="0.3">
      <c r="A265" t="s">
        <v>99</v>
      </c>
      <c r="E265" s="27"/>
      <c r="F265" s="28"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1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9"/>
    </row>
    <row r="266" spans="1:12" x14ac:dyDescent="0.3">
      <c r="A266" t="s">
        <v>255</v>
      </c>
      <c r="B266" s="26" t="s">
        <v>101</v>
      </c>
      <c r="C266" s="26" t="s">
        <v>115</v>
      </c>
      <c r="E266" s="27"/>
      <c r="F266" s="28"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1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9"/>
    </row>
    <row r="267" spans="1:12" x14ac:dyDescent="0.3">
      <c r="A267" t="s">
        <v>256</v>
      </c>
      <c r="E267" s="27"/>
      <c r="F267" s="28"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1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9"/>
    </row>
    <row r="268" spans="1:12" x14ac:dyDescent="0.3">
      <c r="A268" t="s">
        <v>108</v>
      </c>
      <c r="E268" s="27"/>
      <c r="F268" s="28"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1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9"/>
    </row>
    <row r="269" spans="1:12" x14ac:dyDescent="0.3">
      <c r="A269" t="s">
        <v>257</v>
      </c>
      <c r="E269" s="27"/>
      <c r="F269" s="28"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1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9"/>
    </row>
    <row r="270" spans="1:12" x14ac:dyDescent="0.3">
      <c r="A270" t="s">
        <v>138</v>
      </c>
      <c r="E270" s="27"/>
      <c r="F270" s="28"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1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9"/>
    </row>
    <row r="271" spans="1:12" x14ac:dyDescent="0.3">
      <c r="A271" t="s">
        <v>108</v>
      </c>
      <c r="E271" s="27"/>
      <c r="F271" s="28"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1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9"/>
    </row>
    <row r="272" spans="1:12" x14ac:dyDescent="0.3">
      <c r="A272" t="s">
        <v>152</v>
      </c>
      <c r="E272" s="27"/>
      <c r="F272" s="28"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1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9"/>
    </row>
    <row r="273" spans="1:12" x14ac:dyDescent="0.3">
      <c r="A273" t="s">
        <v>175</v>
      </c>
      <c r="E273" s="27"/>
      <c r="F273" s="28"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1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9"/>
    </row>
    <row r="274" spans="1:12" x14ac:dyDescent="0.3">
      <c r="A274" t="s">
        <v>258</v>
      </c>
      <c r="B274" s="26" t="s">
        <v>110</v>
      </c>
      <c r="C274" s="26" t="s">
        <v>124</v>
      </c>
      <c r="D274" s="26" t="s">
        <v>98</v>
      </c>
      <c r="E274" s="27"/>
      <c r="F274" s="28" t="s">
        <v>349</v>
      </c>
      <c r="G274" s="22" t="str">
        <f>IF(OR(E274="",E274="!!!"),"",IF(OR(J274=0,AND(J274=1,K274=1),AND(J274=1,I274="SBJ"),AND(J274=1,I274=0)),"?IN_FOCUS",IF(J274&lt;=2,"?ACTIVATED",IF(J274&lt;&gt;"","?FAMILIAR",IF(F274="NEW",IF(ISNA(VLOOKUP(E274,#REF!,1,FALSE())),"?TYPE_IDENTIFIABLE","?REFERENTIAL"),"_")))))</f>
        <v/>
      </c>
      <c r="H274" s="23" t="str">
        <f t="shared" ca="1" si="1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9"/>
    </row>
    <row r="275" spans="1:12" x14ac:dyDescent="0.3">
      <c r="A275" t="s">
        <v>259</v>
      </c>
      <c r="E275" s="27"/>
      <c r="F275" s="28"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13"/>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9"/>
    </row>
    <row r="276" spans="1:12" x14ac:dyDescent="0.3">
      <c r="A276" t="s">
        <v>234</v>
      </c>
      <c r="B276" s="26" t="s">
        <v>117</v>
      </c>
      <c r="C276" s="26" t="s">
        <v>141</v>
      </c>
      <c r="D276" s="26" t="s">
        <v>98</v>
      </c>
      <c r="E276" s="27" t="s">
        <v>326</v>
      </c>
      <c r="F276" s="28" t="str">
        <f>IF(OR(E276="",E276="!!!"),"",IF(NOT(ISNA(VLOOKUP(E276,E$1:E275,1,FALSE()))),"OLD",IF(AND(E276&lt;&gt;"",E276&lt;&gt;"!!!"),"NEW","")))</f>
        <v>OLD</v>
      </c>
      <c r="G276" s="22" t="s">
        <v>369</v>
      </c>
      <c r="H276" s="23" t="str">
        <f t="shared" ca="1" si="13"/>
        <v/>
      </c>
      <c r="I276" s="24" t="str">
        <f>IF(OR(E276="",E276="!!!",F276="NEW"),"",INDEX(B$2:B275,-1+SUMPRODUCT(MAX(ROW(E$2:E275)*(E276=E$2:E275)))))</f>
        <v>SBJ_2</v>
      </c>
      <c r="J276" s="24">
        <f ca="1">IF(OR(E276="",E276="!!!",F276="NEW"),"",COUNTBLANK(OFFSET(A$1,,,SUMPRODUCT(MAX(ROW(E$2:E276)*(E276=E$2:E276)))))-COUNTBLANK(OFFSET(A$1,,,SUMPRODUCT(MAX(ROW(E$1:E275)*(E2=E$1:E275))))))</f>
        <v>0</v>
      </c>
      <c r="K276" s="24">
        <f ca="1">IF(OR(E276="",E276="!!!",F276="NEW"),"",INDEX(J$1:J275,SUMPRODUCT(MAX(ROW(E$1:E275)*(E276=E$1:E275)))))</f>
        <v>0</v>
      </c>
      <c r="L276" s="29"/>
    </row>
    <row r="277" spans="1:12" x14ac:dyDescent="0.3">
      <c r="A277" t="s">
        <v>260</v>
      </c>
      <c r="E277" s="27"/>
      <c r="F277" s="28"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1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9"/>
    </row>
    <row r="278" spans="1:12" x14ac:dyDescent="0.3">
      <c r="A278" t="s">
        <v>158</v>
      </c>
      <c r="E278" s="27"/>
      <c r="F278" s="28"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1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9"/>
    </row>
    <row r="279" spans="1:12" x14ac:dyDescent="0.3">
      <c r="A279" t="s">
        <v>261</v>
      </c>
      <c r="E279" s="27"/>
      <c r="F279" s="28"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1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9"/>
    </row>
    <row r="280" spans="1:12" x14ac:dyDescent="0.3">
      <c r="A280" t="s">
        <v>129</v>
      </c>
      <c r="E280" s="27"/>
      <c r="F280" s="28"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1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9"/>
    </row>
    <row r="281" spans="1:12" x14ac:dyDescent="0.3">
      <c r="A281" t="s">
        <v>152</v>
      </c>
      <c r="E281" s="27"/>
      <c r="F281" s="28"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13"/>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9"/>
    </row>
    <row r="283" spans="1:12" x14ac:dyDescent="0.3">
      <c r="A283" t="s">
        <v>130</v>
      </c>
      <c r="E283" s="27"/>
      <c r="F283" s="28"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ca="1">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9"/>
    </row>
    <row r="284" spans="1:12" x14ac:dyDescent="0.3">
      <c r="A284" t="s">
        <v>262</v>
      </c>
    </row>
    <row r="285" spans="1:12" x14ac:dyDescent="0.3">
      <c r="A285" t="s">
        <v>152</v>
      </c>
      <c r="E285" s="27"/>
      <c r="F285" s="28"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ref="H285:H302" ca="1" si="14">IF(J285&lt;&gt;1,"",IF(I285="SBJ","CB","?"))</f>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9"/>
    </row>
    <row r="286" spans="1:12" x14ac:dyDescent="0.3">
      <c r="A286" t="s">
        <v>263</v>
      </c>
      <c r="B286" s="26" t="s">
        <v>96</v>
      </c>
      <c r="C286" s="26" t="s">
        <v>141</v>
      </c>
      <c r="D286" s="26" t="s">
        <v>98</v>
      </c>
      <c r="E286" s="27" t="s">
        <v>326</v>
      </c>
      <c r="F286" s="28" t="str">
        <f>IF(OR(E286="",E286="!!!"),"",IF(NOT(ISNA(VLOOKUP(E286,E$1:E285,1,FALSE()))),"OLD",IF(AND(E286&lt;&gt;"",E286&lt;&gt;"!!!"),"NEW","")))</f>
        <v>OLD</v>
      </c>
      <c r="G286" s="22" t="s">
        <v>369</v>
      </c>
      <c r="H286" s="23" t="s">
        <v>88</v>
      </c>
      <c r="I286" s="24" t="str">
        <f>IF(OR(E286="",E286="!!!",F286="NEW"),"",INDEX(B$2:B285,-1+SUMPRODUCT(MAX(ROW(E$2:E285)*(E286=E$2:E285)))))</f>
        <v>other_4</v>
      </c>
      <c r="J286" s="24">
        <f ca="1">IF(OR(E286="",E286="!!!",F286="NEW"),"",COUNTBLANK(OFFSET(A$1,,,SUMPRODUCT(MAX(ROW(E$2:E286)*(E286=E$2:E286)))))-COUNTBLANK(OFFSET(A$1,,,SUMPRODUCT(MAX(ROW(E$1:E285)*(E2=E$1:E285))))))</f>
        <v>0</v>
      </c>
      <c r="K286" s="24">
        <f ca="1">IF(OR(E286="",E286="!!!",F286="NEW"),"",INDEX(J$1:J285,SUMPRODUCT(MAX(ROW(E$1:E285)*(E286=E$1:E285)))))</f>
        <v>0</v>
      </c>
      <c r="L286" s="29"/>
    </row>
    <row r="287" spans="1:12" x14ac:dyDescent="0.3">
      <c r="A287" t="s">
        <v>264</v>
      </c>
      <c r="E287" s="27"/>
      <c r="F287" s="28"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14"/>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9"/>
    </row>
    <row r="288" spans="1:12" x14ac:dyDescent="0.3">
      <c r="A288" t="s">
        <v>228</v>
      </c>
      <c r="E288" s="27"/>
      <c r="F288" s="28"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14"/>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9"/>
    </row>
    <row r="289" spans="1:12" x14ac:dyDescent="0.3">
      <c r="A289" t="s">
        <v>265</v>
      </c>
      <c r="B289" s="26" t="s">
        <v>193</v>
      </c>
      <c r="C289" s="26" t="s">
        <v>128</v>
      </c>
      <c r="E289" s="27"/>
      <c r="F289" s="28"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14"/>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9"/>
    </row>
    <row r="290" spans="1:12" x14ac:dyDescent="0.3">
      <c r="A290" t="s">
        <v>108</v>
      </c>
      <c r="E290" s="27"/>
      <c r="F290" s="28"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14"/>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9"/>
    </row>
    <row r="291" spans="1:12" x14ac:dyDescent="0.3">
      <c r="A291" t="s">
        <v>139</v>
      </c>
      <c r="B291" s="26" t="s">
        <v>140</v>
      </c>
      <c r="C291" s="26" t="s">
        <v>141</v>
      </c>
      <c r="D291" s="26" t="s">
        <v>98</v>
      </c>
      <c r="E291" s="27" t="s">
        <v>326</v>
      </c>
      <c r="F291" s="28" t="str">
        <f>IF(OR(E291="",E291="!!!"),"",IF(NOT(ISNA(VLOOKUP(E291,E$1:E290,1,FALSE()))),"OLD",IF(AND(E291&lt;&gt;"",E291&lt;&gt;"!!!"),"NEW","")))</f>
        <v>OLD</v>
      </c>
      <c r="G291" s="22" t="s">
        <v>369</v>
      </c>
      <c r="H291" s="23" t="str">
        <f t="shared" ca="1" si="14"/>
        <v/>
      </c>
      <c r="I291" s="24" t="str">
        <f>IF(OR(E291="",E291="!!!",F291="NEW"),"",INDEX(B$2:B290,-1+SUMPRODUCT(MAX(ROW(E$2:E290)*(E291=E$2:E290)))))</f>
        <v>SBJ</v>
      </c>
      <c r="J291" s="24">
        <f ca="1">IF(OR(E291="",E291="!!!",F291="NEW"),"",COUNTBLANK(OFFSET(A$1,,,SUMPRODUCT(MAX(ROW(E$2:E291)*(E291=E$2:E291)))))-COUNTBLANK(OFFSET(A$1,,,SUMPRODUCT(MAX(ROW(E$1:E290)*(E2=E$1:E290))))))</f>
        <v>0</v>
      </c>
      <c r="K291" s="24">
        <f ca="1">IF(OR(E291="",E291="!!!",F291="NEW"),"",INDEX(J$1:J290,SUMPRODUCT(MAX(ROW(E$1:E290)*(E291=E$1:E290)))))</f>
        <v>0</v>
      </c>
      <c r="L291" s="29"/>
    </row>
    <row r="292" spans="1:12" x14ac:dyDescent="0.3">
      <c r="A292" t="s">
        <v>211</v>
      </c>
      <c r="E292" s="27"/>
      <c r="F292" s="28"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14"/>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9"/>
    </row>
    <row r="293" spans="1:12" x14ac:dyDescent="0.3">
      <c r="A293" t="s">
        <v>228</v>
      </c>
      <c r="E293" s="27"/>
      <c r="F293" s="28"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14"/>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9"/>
    </row>
    <row r="294" spans="1:12" x14ac:dyDescent="0.3">
      <c r="A294" t="s">
        <v>266</v>
      </c>
      <c r="B294" s="26" t="s">
        <v>143</v>
      </c>
      <c r="C294" s="26" t="s">
        <v>128</v>
      </c>
      <c r="E294" s="27"/>
      <c r="F294" s="28"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14"/>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9"/>
    </row>
    <row r="295" spans="1:12" x14ac:dyDescent="0.3">
      <c r="A295" t="s">
        <v>108</v>
      </c>
      <c r="E295" s="27"/>
      <c r="F295" s="28"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14"/>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9"/>
    </row>
    <row r="296" spans="1:12" x14ac:dyDescent="0.3">
      <c r="A296" t="s">
        <v>152</v>
      </c>
      <c r="E296" s="27"/>
      <c r="F296" s="28"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14"/>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9"/>
    </row>
    <row r="297" spans="1:12" x14ac:dyDescent="0.3">
      <c r="A297" t="s">
        <v>174</v>
      </c>
      <c r="E297" s="27"/>
      <c r="F297" s="28"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14"/>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9"/>
    </row>
    <row r="298" spans="1:12" x14ac:dyDescent="0.3">
      <c r="A298" t="s">
        <v>191</v>
      </c>
      <c r="B298" s="26" t="s">
        <v>110</v>
      </c>
      <c r="C298" s="26" t="s">
        <v>97</v>
      </c>
      <c r="D298" s="26" t="s">
        <v>98</v>
      </c>
      <c r="E298" s="27" t="s">
        <v>337</v>
      </c>
      <c r="F298" s="28" t="str">
        <f>IF(OR(E298="",E298="!!!"),"",IF(NOT(ISNA(VLOOKUP(E298,E$1:E297,1,FALSE()))),"OLD",IF(AND(E298&lt;&gt;"",E298&lt;&gt;"!!!"),"NEW","")))</f>
        <v>OLD</v>
      </c>
      <c r="G298" s="22" t="s">
        <v>369</v>
      </c>
      <c r="H298" s="23" t="str">
        <f t="shared" ca="1" si="14"/>
        <v/>
      </c>
      <c r="I298" s="24" t="str">
        <f>IF(OR(E298="",E298="!!!",F298="NEW"),"",INDEX(B$2:B297,-1+SUMPRODUCT(MAX(ROW(E$2:E297)*(E298=E$2:E297)))))</f>
        <v>SBJ</v>
      </c>
      <c r="J298" s="24">
        <f ca="1">IF(OR(E298="",E298="!!!",F298="NEW"),"",COUNTBLANK(OFFSET(A$1,,,SUMPRODUCT(MAX(ROW(E$2:E298)*(E298=E$2:E298)))))-COUNTBLANK(OFFSET(A$1,,,SUMPRODUCT(MAX(ROW(E$1:E297)*(E2=E$1:E297))))))</f>
        <v>0</v>
      </c>
      <c r="K298" s="24">
        <f ca="1">IF(OR(E298="",E298="!!!",F298="NEW"),"",INDEX(J$1:J297,SUMPRODUCT(MAX(ROW(E$1:E297)*(E298=E$1:E297)))))</f>
        <v>0</v>
      </c>
      <c r="L298" s="29"/>
    </row>
    <row r="299" spans="1:12" x14ac:dyDescent="0.3">
      <c r="A299" t="s">
        <v>267</v>
      </c>
      <c r="E299" s="27"/>
      <c r="F299" s="28"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1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9"/>
    </row>
    <row r="300" spans="1:12" x14ac:dyDescent="0.3">
      <c r="A300" t="s">
        <v>195</v>
      </c>
      <c r="E300" s="27" t="s">
        <v>338</v>
      </c>
      <c r="F300" s="28" t="str">
        <f>IF(OR(E300="",E300="!!!"),"",IF(NOT(ISNA(VLOOKUP(E300,E$1:E299,1,FALSE()))),"OLD",IF(AND(E300&lt;&gt;"",E300&lt;&gt;"!!!"),"NEW","")))</f>
        <v>OLD</v>
      </c>
      <c r="G300" s="22" t="s">
        <v>367</v>
      </c>
      <c r="H300" s="23" t="str">
        <f t="shared" ca="1" si="14"/>
        <v/>
      </c>
      <c r="I300" s="24" t="str">
        <f>IF(OR(E300="",E300="!!!",F300="NEW"),"",INDEX(B$2:B299,-1+SUMPRODUCT(MAX(ROW(E$2:E299)*(E300=E$2:E299)))))</f>
        <v>other_2</v>
      </c>
      <c r="J300" s="24">
        <f ca="1">IF(OR(E300="",E300="!!!",F300="NEW"),"",COUNTBLANK(OFFSET(A$1,,,SUMPRODUCT(MAX(ROW(E$2:E300)*(E300=E$2:E300)))))-COUNTBLANK(OFFSET(A$1,,,SUMPRODUCT(MAX(ROW(E$1:E299)*(E2=E$1:E299))))))</f>
        <v>0</v>
      </c>
      <c r="K300" s="24" t="str">
        <f ca="1">IF(OR(E300="",E300="!!!",F300="NEW"),"",INDEX(J$1:J299,SUMPRODUCT(MAX(ROW(E$1:E299)*(E300=E$1:E299)))))</f>
        <v/>
      </c>
      <c r="L300" s="29" t="s">
        <v>357</v>
      </c>
    </row>
    <row r="301" spans="1:12" x14ac:dyDescent="0.3">
      <c r="A301" t="s">
        <v>178</v>
      </c>
      <c r="E301" s="27"/>
      <c r="F301" s="28"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1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9"/>
    </row>
    <row r="302" spans="1:12" x14ac:dyDescent="0.3">
      <c r="A302" t="s">
        <v>129</v>
      </c>
      <c r="E302" s="27"/>
      <c r="F302" s="28"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1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9"/>
    </row>
    <row r="304" spans="1:12" x14ac:dyDescent="0.3">
      <c r="A304" t="s">
        <v>268</v>
      </c>
    </row>
    <row r="305" spans="1:12" x14ac:dyDescent="0.3">
      <c r="A305" t="s">
        <v>191</v>
      </c>
      <c r="B305" s="26" t="s">
        <v>96</v>
      </c>
      <c r="C305" s="26" t="s">
        <v>97</v>
      </c>
      <c r="D305" s="26" t="s">
        <v>98</v>
      </c>
      <c r="E305" s="27" t="s">
        <v>337</v>
      </c>
      <c r="F305" s="28" t="str">
        <f>IF(OR(E305="",E305="!!!"),"",IF(NOT(ISNA(VLOOKUP(E305,E$1:E304,1,FALSE()))),"OLD",IF(AND(E305&lt;&gt;"",E305&lt;&gt;"!!!"),"NEW","")))</f>
        <v>OLD</v>
      </c>
      <c r="G305" s="22" t="s">
        <v>369</v>
      </c>
      <c r="H305" s="23" t="s">
        <v>88</v>
      </c>
      <c r="I305" s="24" t="str">
        <f>IF(OR(E305="",E305="!!!",F305="NEW"),"",INDEX(B$2:B304,-1+SUMPRODUCT(MAX(ROW(E$2:E304)*(E305=E$2:E304)))))</f>
        <v>SBJ_3</v>
      </c>
      <c r="J305" s="24">
        <f ca="1">IF(OR(E305="",E305="!!!",F305="NEW"),"",COUNTBLANK(OFFSET(A$1,,,SUMPRODUCT(MAX(ROW(E$2:E305)*(E305=E$2:E305)))))-COUNTBLANK(OFFSET(A$1,,,SUMPRODUCT(MAX(ROW(E$1:E304)*(E2=E$1:E304))))))</f>
        <v>0</v>
      </c>
      <c r="K305" s="24">
        <f ca="1">IF(OR(E305="",E305="!!!",F305="NEW"),"",INDEX(J$1:J304,SUMPRODUCT(MAX(ROW(E$1:E304)*(E305=E$1:E304)))))</f>
        <v>0</v>
      </c>
      <c r="L305" s="29"/>
    </row>
    <row r="306" spans="1:12" x14ac:dyDescent="0.3">
      <c r="A306" t="s">
        <v>172</v>
      </c>
      <c r="E306" s="27"/>
      <c r="F306" s="28"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ref="H306:H323" ca="1" si="15">IF(J306&lt;&gt;1,"",IF(I306="SBJ","CB","?"))</f>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9"/>
    </row>
    <row r="307" spans="1:12" x14ac:dyDescent="0.3">
      <c r="A307" t="s">
        <v>136</v>
      </c>
      <c r="E307" s="27"/>
      <c r="F307" s="28"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1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9"/>
    </row>
    <row r="308" spans="1:12" x14ac:dyDescent="0.3">
      <c r="A308" t="s">
        <v>108</v>
      </c>
      <c r="E308" s="27"/>
      <c r="F308" s="28"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1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9"/>
    </row>
    <row r="309" spans="1:12" x14ac:dyDescent="0.3">
      <c r="A309" t="s">
        <v>138</v>
      </c>
      <c r="E309" s="27"/>
      <c r="F309" s="28"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1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9"/>
    </row>
    <row r="310" spans="1:12" x14ac:dyDescent="0.3">
      <c r="A310" t="s">
        <v>139</v>
      </c>
      <c r="B310" s="26" t="s">
        <v>140</v>
      </c>
      <c r="C310" s="26" t="s">
        <v>141</v>
      </c>
      <c r="D310" s="26" t="s">
        <v>98</v>
      </c>
      <c r="E310" s="27" t="s">
        <v>337</v>
      </c>
      <c r="F310" s="28" t="str">
        <f>IF(OR(E310="",E310="!!!"),"",IF(NOT(ISNA(VLOOKUP(E310,E$1:E309,1,FALSE()))),"OLD",IF(AND(E310&lt;&gt;"",E310&lt;&gt;"!!!"),"NEW","")))</f>
        <v>OLD</v>
      </c>
      <c r="G310" s="22" t="s">
        <v>369</v>
      </c>
      <c r="H310" s="23" t="str">
        <f t="shared" ca="1" si="15"/>
        <v/>
      </c>
      <c r="I310" s="24" t="str">
        <f>IF(OR(E310="",E310="!!!",F310="NEW"),"",INDEX(B$2:B309,-1+SUMPRODUCT(MAX(ROW(E$2:E309)*(E310=E$2:E309)))))</f>
        <v>SBJ</v>
      </c>
      <c r="J310" s="24">
        <f ca="1">IF(OR(E310="",E310="!!!",F310="NEW"),"",COUNTBLANK(OFFSET(A$1,,,SUMPRODUCT(MAX(ROW(E$2:E310)*(E310=E$2:E310)))))-COUNTBLANK(OFFSET(A$1,,,SUMPRODUCT(MAX(ROW(E$1:E309)*(E2=E$1:E309))))))</f>
        <v>0</v>
      </c>
      <c r="K310" s="24">
        <f ca="1">IF(OR(E310="",E310="!!!",F310="NEW"),"",INDEX(J$1:J309,SUMPRODUCT(MAX(ROW(E$1:E309)*(E310=E$1:E309)))))</f>
        <v>0</v>
      </c>
      <c r="L310" s="29"/>
    </row>
    <row r="311" spans="1:12" x14ac:dyDescent="0.3">
      <c r="A311" t="s">
        <v>142</v>
      </c>
      <c r="B311" s="26" t="s">
        <v>143</v>
      </c>
      <c r="E311" s="27"/>
      <c r="F311" s="28"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1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9"/>
    </row>
    <row r="312" spans="1:12" x14ac:dyDescent="0.3">
      <c r="A312" t="s">
        <v>144</v>
      </c>
      <c r="B312" s="26" t="s">
        <v>143</v>
      </c>
      <c r="C312" s="26" t="s">
        <v>145</v>
      </c>
      <c r="E312" s="27"/>
      <c r="F312" s="28"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1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9"/>
    </row>
    <row r="313" spans="1:12" x14ac:dyDescent="0.3">
      <c r="A313" t="s">
        <v>146</v>
      </c>
      <c r="E313" s="27"/>
      <c r="F313" s="28"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15"/>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9"/>
    </row>
    <row r="314" spans="1:12" x14ac:dyDescent="0.3">
      <c r="A314" t="s">
        <v>269</v>
      </c>
      <c r="E314" s="27"/>
      <c r="F314" s="28"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15"/>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9"/>
    </row>
    <row r="315" spans="1:12" x14ac:dyDescent="0.3">
      <c r="A315" t="s">
        <v>108</v>
      </c>
      <c r="E315" s="27"/>
      <c r="F315" s="28"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15"/>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9"/>
    </row>
    <row r="316" spans="1:12" x14ac:dyDescent="0.3">
      <c r="A316" t="s">
        <v>109</v>
      </c>
      <c r="B316" s="26" t="s">
        <v>140</v>
      </c>
      <c r="E316" s="27"/>
      <c r="F316" s="28"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15"/>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9"/>
    </row>
    <row r="317" spans="1:12" x14ac:dyDescent="0.3">
      <c r="A317" t="s">
        <v>270</v>
      </c>
      <c r="E317" s="27" t="s">
        <v>337</v>
      </c>
      <c r="F317" s="28" t="str">
        <f>IF(OR(E317="",E317="!!!"),"",IF(NOT(ISNA(VLOOKUP(E317,E$1:E316,1,FALSE()))),"OLD",IF(AND(E317&lt;&gt;"",E317&lt;&gt;"!!!"),"NEW","")))</f>
        <v>OLD</v>
      </c>
      <c r="G317" s="22" t="s">
        <v>369</v>
      </c>
      <c r="H317" s="23" t="str">
        <f t="shared" ca="1" si="15"/>
        <v/>
      </c>
      <c r="I317" s="24" t="str">
        <f>IF(OR(E317="",E317="!!!",F317="NEW"),"",INDEX(B$2:B316,-1+SUMPRODUCT(MAX(ROW(E$2:E316)*(E317=E$2:E316)))))</f>
        <v>SBJ_2</v>
      </c>
      <c r="J317" s="24">
        <f ca="1">IF(OR(E317="",E317="!!!",F317="NEW"),"",COUNTBLANK(OFFSET(A$1,,,SUMPRODUCT(MAX(ROW(E$2:E317)*(E317=E$2:E317)))))-COUNTBLANK(OFFSET(A$1,,,SUMPRODUCT(MAX(ROW(E$1:E316)*(E2=E$1:E316))))))</f>
        <v>0</v>
      </c>
      <c r="K317" s="24">
        <f ca="1">IF(OR(E317="",E317="!!!",F317="NEW"),"",INDEX(J$1:J316,SUMPRODUCT(MAX(ROW(E$1:E316)*(E317=E$1:E316)))))</f>
        <v>0</v>
      </c>
      <c r="L317" s="29" t="s">
        <v>357</v>
      </c>
    </row>
    <row r="318" spans="1:12" x14ac:dyDescent="0.3">
      <c r="A318" t="s">
        <v>271</v>
      </c>
      <c r="E318" s="27"/>
      <c r="F318" s="28"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15"/>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9"/>
    </row>
    <row r="319" spans="1:12" x14ac:dyDescent="0.3">
      <c r="A319" t="s">
        <v>133</v>
      </c>
      <c r="B319" s="26" t="s">
        <v>143</v>
      </c>
      <c r="C319" s="26" t="s">
        <v>205</v>
      </c>
      <c r="E319" s="27" t="s">
        <v>326</v>
      </c>
      <c r="F319" s="28" t="str">
        <f>IF(OR(E319="",E319="!!!"),"",IF(NOT(ISNA(VLOOKUP(E319,E$1:E318,1,FALSE()))),"OLD",IF(AND(E319&lt;&gt;"",E319&lt;&gt;"!!!"),"NEW","")))</f>
        <v>OLD</v>
      </c>
      <c r="G319" s="22" t="s">
        <v>369</v>
      </c>
      <c r="H319" s="23" t="str">
        <f t="shared" ca="1" si="15"/>
        <v/>
      </c>
      <c r="I319" s="24" t="str">
        <f>IF(OR(E319="",E319="!!!",F319="NEW"),"",INDEX(B$2:B318,-1+SUMPRODUCT(MAX(ROW(E$2:E318)*(E319=E$2:E318)))))</f>
        <v>SBJ_2</v>
      </c>
      <c r="J319" s="24">
        <f ca="1">IF(OR(E319="",E319="!!!",F319="NEW"),"",COUNTBLANK(OFFSET(A$1,,,SUMPRODUCT(MAX(ROW(E$2:E319)*(E319=E$2:E319)))))-COUNTBLANK(OFFSET(A$1,,,SUMPRODUCT(MAX(ROW(E$1:E318)*(E2=E$1:E318))))))</f>
        <v>0</v>
      </c>
      <c r="K319" s="24">
        <f ca="1">IF(OR(E319="",E319="!!!",F319="NEW"),"",INDEX(J$1:J318,SUMPRODUCT(MAX(ROW(E$1:E318)*(E319=E$1:E318)))))</f>
        <v>0</v>
      </c>
      <c r="L319" s="29"/>
    </row>
    <row r="320" spans="1:12" x14ac:dyDescent="0.3">
      <c r="A320" t="s">
        <v>149</v>
      </c>
      <c r="E320" s="27"/>
      <c r="F320" s="28"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15"/>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9"/>
    </row>
    <row r="321" spans="1:12" x14ac:dyDescent="0.3">
      <c r="A321" t="s">
        <v>150</v>
      </c>
      <c r="E321" s="27"/>
      <c r="F321" s="28"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15"/>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9"/>
    </row>
    <row r="322" spans="1:12" x14ac:dyDescent="0.3">
      <c r="A322" t="s">
        <v>151</v>
      </c>
      <c r="E322" s="27"/>
      <c r="F322" s="28"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15"/>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9"/>
    </row>
    <row r="323" spans="1:12" x14ac:dyDescent="0.3">
      <c r="A323" t="s">
        <v>129</v>
      </c>
      <c r="E323" s="27"/>
      <c r="F323" s="28"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15"/>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9"/>
    </row>
    <row r="325" spans="1:12" x14ac:dyDescent="0.3">
      <c r="A325" t="s">
        <v>272</v>
      </c>
    </row>
    <row r="326" spans="1:12" x14ac:dyDescent="0.3">
      <c r="A326" t="s">
        <v>263</v>
      </c>
      <c r="B326" s="26" t="s">
        <v>96</v>
      </c>
      <c r="C326" s="26" t="s">
        <v>141</v>
      </c>
      <c r="D326" s="26" t="s">
        <v>98</v>
      </c>
      <c r="E326" s="27" t="s">
        <v>326</v>
      </c>
      <c r="F326" s="28" t="str">
        <f>IF(OR(E326="",E326="!!!"),"",IF(NOT(ISNA(VLOOKUP(E326,E$1:E325,1,FALSE()))),"OLD",IF(AND(E326&lt;&gt;"",E326&lt;&gt;"!!!"),"NEW","")))</f>
        <v>OLD</v>
      </c>
      <c r="G326" s="22" t="s">
        <v>369</v>
      </c>
      <c r="H326" s="23" t="s">
        <v>88</v>
      </c>
      <c r="I326" s="24" t="str">
        <f>IF(OR(E326="",E326="!!!",F326="NEW"),"",INDEX(B$2:B325,-1+SUMPRODUCT(MAX(ROW(E$2:E325)*(E326=E$2:E325)))))</f>
        <v>OBJ_2</v>
      </c>
      <c r="J326" s="24">
        <f ca="1">IF(OR(E326="",E326="!!!",F326="NEW"),"",COUNTBLANK(OFFSET(A$1,,,SUMPRODUCT(MAX(ROW(E$2:E326)*(E326=E$2:E326)))))-COUNTBLANK(OFFSET(A$1,,,SUMPRODUCT(MAX(ROW(E$1:E325)*(E2=E$1:E325))))))</f>
        <v>0</v>
      </c>
      <c r="K326" s="24">
        <f ca="1">IF(OR(E326="",E326="!!!",F326="NEW"),"",INDEX(J$1:J325,SUMPRODUCT(MAX(ROW(E$1:E325)*(E326=E$1:E325)))))</f>
        <v>0</v>
      </c>
      <c r="L326" s="29"/>
    </row>
    <row r="327" spans="1:12" x14ac:dyDescent="0.3">
      <c r="A327" t="s">
        <v>273</v>
      </c>
      <c r="E327" s="27"/>
      <c r="F327" s="28"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ref="H327:H335" ca="1" si="16">IF(J327&lt;&gt;1,"",IF(I327="SBJ","CB","?"))</f>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9"/>
    </row>
    <row r="328" spans="1:12" x14ac:dyDescent="0.3">
      <c r="A328" t="s">
        <v>223</v>
      </c>
      <c r="E328" s="27"/>
      <c r="F328" s="28"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16"/>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9"/>
    </row>
    <row r="329" spans="1:12" x14ac:dyDescent="0.3">
      <c r="A329" t="s">
        <v>274</v>
      </c>
      <c r="E329" s="27"/>
      <c r="F329" s="28"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16"/>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9"/>
    </row>
    <row r="330" spans="1:12" x14ac:dyDescent="0.3">
      <c r="A330" t="s">
        <v>275</v>
      </c>
      <c r="B330" s="26" t="s">
        <v>123</v>
      </c>
      <c r="C330" s="26" t="s">
        <v>128</v>
      </c>
      <c r="E330" s="27"/>
      <c r="F330" s="28"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16"/>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9"/>
    </row>
    <row r="331" spans="1:12" x14ac:dyDescent="0.3">
      <c r="A331" t="s">
        <v>178</v>
      </c>
      <c r="E331" s="27"/>
      <c r="F331" s="28"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16"/>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9"/>
    </row>
    <row r="332" spans="1:12" x14ac:dyDescent="0.3">
      <c r="A332" t="s">
        <v>276</v>
      </c>
      <c r="E332" s="27"/>
      <c r="F332" s="28"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16"/>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9"/>
    </row>
    <row r="333" spans="1:12" x14ac:dyDescent="0.3">
      <c r="A333" t="s">
        <v>277</v>
      </c>
      <c r="E333" s="27"/>
      <c r="F333" s="28"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16"/>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9"/>
    </row>
    <row r="334" spans="1:12" x14ac:dyDescent="0.3">
      <c r="A334" t="s">
        <v>278</v>
      </c>
      <c r="B334" s="26" t="s">
        <v>123</v>
      </c>
      <c r="C334" s="26" t="s">
        <v>128</v>
      </c>
      <c r="E334" s="27"/>
      <c r="F334" s="28"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16"/>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9"/>
    </row>
    <row r="335" spans="1:12" x14ac:dyDescent="0.3">
      <c r="A335" t="s">
        <v>129</v>
      </c>
      <c r="E335" s="27"/>
      <c r="F335" s="28"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16"/>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9"/>
    </row>
    <row r="337" spans="1:12" x14ac:dyDescent="0.3">
      <c r="A337" t="s">
        <v>130</v>
      </c>
      <c r="E337" s="27"/>
      <c r="F337" s="28"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ca="1">IF(J337&lt;&gt;1,"",IF(I337="SBJ","CB","?"))</f>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9"/>
    </row>
    <row r="338" spans="1:12" x14ac:dyDescent="0.3">
      <c r="A338" t="s">
        <v>279</v>
      </c>
    </row>
    <row r="339" spans="1:12" x14ac:dyDescent="0.3">
      <c r="A339" t="s">
        <v>280</v>
      </c>
      <c r="E339" s="27" t="s">
        <v>326</v>
      </c>
      <c r="F339" s="28" t="str">
        <f>IF(OR(E339="",E339="!!!"),"",IF(NOT(ISNA(VLOOKUP(E339,E$1:E338,1,FALSE()))),"OLD",IF(AND(E339&lt;&gt;"",E339&lt;&gt;"!!!"),"NEW","")))</f>
        <v>OLD</v>
      </c>
      <c r="G339" s="22" t="s">
        <v>369</v>
      </c>
      <c r="H339" s="23" t="str">
        <f t="shared" ref="H339:H364" ca="1" si="17">IF(J339&lt;&gt;1,"",IF(I339="SBJ","CB","?"))</f>
        <v/>
      </c>
      <c r="I339" s="24" t="str">
        <f>IF(OR(E339="",E339="!!!",F339="NEW"),"",INDEX(B$2:B338,-1+SUMPRODUCT(MAX(ROW(E$2:E338)*(E339=E$2:E338)))))</f>
        <v>SBJ</v>
      </c>
      <c r="J339" s="24">
        <f ca="1">IF(OR(E339="",E339="!!!",F339="NEW"),"",COUNTBLANK(OFFSET(A$1,,,SUMPRODUCT(MAX(ROW(E$2:E339)*(E339=E$2:E339)))))-COUNTBLANK(OFFSET(A$1,,,SUMPRODUCT(MAX(ROW(E$1:E338)*(E2=E$1:E338))))))</f>
        <v>0</v>
      </c>
      <c r="K339" s="24">
        <f ca="1">IF(OR(E339="",E339="!!!",F339="NEW"),"",INDEX(J$1:J338,SUMPRODUCT(MAX(ROW(E$1:E338)*(E339=E$1:E338)))))</f>
        <v>0</v>
      </c>
      <c r="L339" s="29"/>
    </row>
    <row r="340" spans="1:12" x14ac:dyDescent="0.3">
      <c r="A340" t="s">
        <v>281</v>
      </c>
      <c r="B340" s="26" t="s">
        <v>193</v>
      </c>
      <c r="C340" s="26" t="s">
        <v>205</v>
      </c>
      <c r="E340" s="27" t="s">
        <v>350</v>
      </c>
      <c r="F340" s="28" t="str">
        <f>IF(OR(E340="",E340="!!!"),"",IF(NOT(ISNA(VLOOKUP(E340,E$1:E339,1,FALSE()))),"OLD",IF(AND(E340&lt;&gt;"",E340&lt;&gt;"!!!"),"NEW","")))</f>
        <v>NEW</v>
      </c>
      <c r="G340" s="22" t="s">
        <v>368</v>
      </c>
      <c r="H340" s="23" t="str">
        <f t="shared" ca="1" si="1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9"/>
    </row>
    <row r="341" spans="1:12" x14ac:dyDescent="0.3">
      <c r="A341" t="s">
        <v>178</v>
      </c>
      <c r="E341" s="27"/>
      <c r="F341" s="28"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1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9"/>
    </row>
    <row r="342" spans="1:12" x14ac:dyDescent="0.3">
      <c r="A342" t="s">
        <v>282</v>
      </c>
      <c r="E342" s="27" t="s">
        <v>326</v>
      </c>
      <c r="F342" s="28" t="str">
        <f>IF(OR(E342="",E342="!!!"),"",IF(NOT(ISNA(VLOOKUP(E342,E$1:E341,1,FALSE()))),"OLD",IF(AND(E342&lt;&gt;"",E342&lt;&gt;"!!!"),"NEW","")))</f>
        <v>OLD</v>
      </c>
      <c r="G342" s="22" t="s">
        <v>369</v>
      </c>
      <c r="H342" s="23" t="str">
        <f t="shared" ca="1" si="17"/>
        <v/>
      </c>
      <c r="I342" s="24">
        <f>IF(OR(E342="",E342="!!!",F342="NEW"),"",INDEX(B$2:B341,-1+SUMPRODUCT(MAX(ROW(E$2:E341)*(E342=E$2:E341)))))</f>
        <v>0</v>
      </c>
      <c r="J342" s="24">
        <f ca="1">IF(OR(E342="",E342="!!!",F342="NEW"),"",COUNTBLANK(OFFSET(A$1,,,SUMPRODUCT(MAX(ROW(E$2:E342)*(E342=E$2:E342)))))-COUNTBLANK(OFFSET(A$1,,,SUMPRODUCT(MAX(ROW(E$1:E341)*(E2=E$1:E341))))))</f>
        <v>0</v>
      </c>
      <c r="K342" s="24">
        <f ca="1">IF(OR(E342="",E342="!!!",F342="NEW"),"",INDEX(J$1:J341,SUMPRODUCT(MAX(ROW(E$1:E341)*(E342=E$1:E341)))))</f>
        <v>0</v>
      </c>
      <c r="L342" s="29"/>
    </row>
    <row r="343" spans="1:12" x14ac:dyDescent="0.3">
      <c r="A343" t="s">
        <v>230</v>
      </c>
      <c r="B343" s="26" t="s">
        <v>101</v>
      </c>
      <c r="C343" s="26" t="s">
        <v>205</v>
      </c>
      <c r="E343" s="27" t="s">
        <v>348</v>
      </c>
      <c r="F343" s="28" t="str">
        <f>IF(OR(E343="",E343="!!!"),"",IF(NOT(ISNA(VLOOKUP(E343,E$1:E342,1,FALSE()))),"OLD",IF(AND(E343&lt;&gt;"",E343&lt;&gt;"!!!"),"NEW","")))</f>
        <v>OLD</v>
      </c>
      <c r="G343" s="22" t="s">
        <v>367</v>
      </c>
      <c r="H343" s="23" t="str">
        <f t="shared" ca="1" si="17"/>
        <v/>
      </c>
      <c r="I343" s="24" t="str">
        <f>IF(OR(E343="",E343="!!!",F343="NEW"),"",INDEX(B$2:B342,-1+SUMPRODUCT(MAX(ROW(E$2:E342)*(E343=E$2:E342)))))</f>
        <v>other</v>
      </c>
      <c r="J343" s="24">
        <f ca="1">IF(OR(E343="",E343="!!!",F343="NEW"),"",COUNTBLANK(OFFSET(A$1,,,SUMPRODUCT(MAX(ROW(E$2:E343)*(E343=E$2:E343)))))-COUNTBLANK(OFFSET(A$1,,,SUMPRODUCT(MAX(ROW(E$1:E342)*(E2=E$1:E342))))))</f>
        <v>0</v>
      </c>
      <c r="K343" s="24" t="str">
        <f ca="1">IF(OR(E343="",E343="!!!",F343="NEW"),"",INDEX(J$1:J342,SUMPRODUCT(MAX(ROW(E$1:E342)*(E343=E$1:E342)))))</f>
        <v/>
      </c>
      <c r="L343" s="29"/>
    </row>
    <row r="344" spans="1:12" x14ac:dyDescent="0.3">
      <c r="A344" t="s">
        <v>283</v>
      </c>
      <c r="E344" s="27"/>
      <c r="F344" s="28"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17"/>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9"/>
    </row>
    <row r="345" spans="1:12" x14ac:dyDescent="0.3">
      <c r="A345" t="s">
        <v>284</v>
      </c>
      <c r="E345" s="27"/>
      <c r="F345" s="28"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17"/>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9"/>
    </row>
    <row r="346" spans="1:12" x14ac:dyDescent="0.3">
      <c r="A346" t="s">
        <v>273</v>
      </c>
      <c r="E346" s="27"/>
      <c r="F346" s="28"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17"/>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9"/>
    </row>
    <row r="347" spans="1:12" x14ac:dyDescent="0.3">
      <c r="A347" t="s">
        <v>155</v>
      </c>
      <c r="B347" s="26" t="s">
        <v>96</v>
      </c>
      <c r="C347" s="26" t="s">
        <v>141</v>
      </c>
      <c r="D347" s="26" t="s">
        <v>98</v>
      </c>
      <c r="E347" s="27"/>
      <c r="F347" s="28" t="s">
        <v>329</v>
      </c>
      <c r="G347" s="22" t="str">
        <f>IF(OR(E347="",E347="!!!"),"",IF(OR(J347=0,AND(J347=1,K347=1),AND(J347=1,I347="SBJ"),AND(J347=1,I347=0)),"?IN_FOCUS",IF(J347&lt;=2,"?ACTIVATED",IF(J347&lt;&gt;"","?FAMILIAR",IF(F347="NEW",IF(ISNA(VLOOKUP(E347,#REF!,1,FALSE())),"?TYPE_IDENTIFIABLE","?REFERENTIAL"),"_")))))</f>
        <v/>
      </c>
      <c r="H347" s="23" t="str">
        <f t="shared" ca="1" si="17"/>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9" t="s">
        <v>361</v>
      </c>
    </row>
    <row r="348" spans="1:12" x14ac:dyDescent="0.3">
      <c r="A348" t="s">
        <v>108</v>
      </c>
      <c r="E348" s="27"/>
      <c r="F348" s="28"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17"/>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9"/>
    </row>
    <row r="349" spans="1:12" x14ac:dyDescent="0.3">
      <c r="A349" t="s">
        <v>285</v>
      </c>
      <c r="B349" s="26" t="s">
        <v>143</v>
      </c>
      <c r="C349" s="26" t="s">
        <v>111</v>
      </c>
      <c r="D349" s="26" t="s">
        <v>98</v>
      </c>
      <c r="E349" s="27" t="s">
        <v>348</v>
      </c>
      <c r="F349" s="28" t="str">
        <f>IF(OR(E349="",E349="!!!"),"",IF(NOT(ISNA(VLOOKUP(E349,E$1:E348,1,FALSE()))),"OLD",IF(AND(E349&lt;&gt;"",E349&lt;&gt;"!!!"),"NEW","")))</f>
        <v>OLD</v>
      </c>
      <c r="G349" s="22" t="s">
        <v>369</v>
      </c>
      <c r="H349" s="23" t="str">
        <f t="shared" ca="1" si="17"/>
        <v/>
      </c>
      <c r="I349" s="24" t="str">
        <f>IF(OR(E349="",E349="!!!",F349="NEW"),"",INDEX(B$2:B348,-1+SUMPRODUCT(MAX(ROW(E$2:E348)*(E349=E$2:E348)))))</f>
        <v>other_2</v>
      </c>
      <c r="J349" s="24">
        <f ca="1">IF(OR(E349="",E349="!!!",F349="NEW"),"",COUNTBLANK(OFFSET(A$1,,,SUMPRODUCT(MAX(ROW(E$2:E349)*(E349=E$2:E349)))))-COUNTBLANK(OFFSET(A$1,,,SUMPRODUCT(MAX(ROW(E$1:E348)*(E2=E$1:E348))))))</f>
        <v>0</v>
      </c>
      <c r="K349" s="24">
        <f ca="1">IF(OR(E349="",E349="!!!",F349="NEW"),"",INDEX(J$1:J348,SUMPRODUCT(MAX(ROW(E$1:E348)*(E349=E$1:E348)))))</f>
        <v>0</v>
      </c>
      <c r="L349" s="29"/>
    </row>
    <row r="350" spans="1:12" x14ac:dyDescent="0.3">
      <c r="A350" t="s">
        <v>286</v>
      </c>
      <c r="E350" s="27"/>
      <c r="F350" s="28"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17"/>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9"/>
    </row>
    <row r="351" spans="1:12" x14ac:dyDescent="0.3">
      <c r="A351" t="s">
        <v>287</v>
      </c>
      <c r="B351" s="26" t="s">
        <v>143</v>
      </c>
      <c r="C351" s="26" t="s">
        <v>145</v>
      </c>
      <c r="E351" s="27"/>
      <c r="F351" s="28"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17"/>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9"/>
    </row>
    <row r="352" spans="1:12" x14ac:dyDescent="0.3">
      <c r="A352" t="s">
        <v>283</v>
      </c>
      <c r="E352" s="27"/>
      <c r="F352" s="28"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17"/>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9"/>
    </row>
    <row r="353" spans="1:12" x14ac:dyDescent="0.3">
      <c r="A353" t="s">
        <v>288</v>
      </c>
      <c r="E353" s="27"/>
      <c r="F353" s="28"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17"/>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9"/>
    </row>
    <row r="354" spans="1:12" x14ac:dyDescent="0.3">
      <c r="A354" t="s">
        <v>108</v>
      </c>
      <c r="E354" s="27"/>
      <c r="F354" s="28"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17"/>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9"/>
    </row>
    <row r="355" spans="1:12" x14ac:dyDescent="0.3">
      <c r="A355" t="s">
        <v>285</v>
      </c>
      <c r="B355" s="26" t="s">
        <v>143</v>
      </c>
      <c r="C355" s="26" t="s">
        <v>111</v>
      </c>
      <c r="D355" s="26" t="s">
        <v>98</v>
      </c>
      <c r="E355" s="27" t="s">
        <v>348</v>
      </c>
      <c r="F355" s="28" t="str">
        <f>IF(OR(E355="",E355="!!!"),"",IF(NOT(ISNA(VLOOKUP(E355,E$1:E354,1,FALSE()))),"OLD",IF(AND(E355&lt;&gt;"",E355&lt;&gt;"!!!"),"NEW","")))</f>
        <v>OLD</v>
      </c>
      <c r="G355" s="22" t="s">
        <v>369</v>
      </c>
      <c r="H355" s="23" t="str">
        <f t="shared" ca="1" si="17"/>
        <v/>
      </c>
      <c r="I355" s="24" t="str">
        <f>IF(OR(E355="",E355="!!!",F355="NEW"),"",INDEX(B$2:B354,-1+SUMPRODUCT(MAX(ROW(E$2:E354)*(E355=E$2:E354)))))</f>
        <v>OBJ_2</v>
      </c>
      <c r="J355" s="24">
        <f ca="1">IF(OR(E355="",E355="!!!",F355="NEW"),"",COUNTBLANK(OFFSET(A$1,,,SUMPRODUCT(MAX(ROW(E$2:E355)*(E355=E$2:E355)))))-COUNTBLANK(OFFSET(A$1,,,SUMPRODUCT(MAX(ROW(E$1:E354)*(E2=E$1:E354))))))</f>
        <v>0</v>
      </c>
      <c r="K355" s="24">
        <f ca="1">IF(OR(E355="",E355="!!!",F355="NEW"),"",INDEX(J$1:J354,SUMPRODUCT(MAX(ROW(E$1:E354)*(E355=E$1:E354)))))</f>
        <v>0</v>
      </c>
      <c r="L355" s="29"/>
    </row>
    <row r="356" spans="1:12" x14ac:dyDescent="0.3">
      <c r="A356" t="s">
        <v>226</v>
      </c>
      <c r="E356" s="27"/>
      <c r="F356" s="28"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17"/>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9"/>
    </row>
    <row r="357" spans="1:12" x14ac:dyDescent="0.3">
      <c r="A357" t="s">
        <v>289</v>
      </c>
      <c r="B357" s="26" t="s">
        <v>143</v>
      </c>
      <c r="C357" s="26" t="s">
        <v>124</v>
      </c>
      <c r="D357" s="26" t="s">
        <v>98</v>
      </c>
      <c r="E357" s="27"/>
      <c r="F357" s="28" t="s">
        <v>332</v>
      </c>
      <c r="G357" s="22" t="str">
        <f>IF(OR(E357="",E357="!!!"),"",IF(OR(J357=0,AND(J357=1,K357=1),AND(J357=1,I357="SBJ"),AND(J357=1,I357=0)),"?IN_FOCUS",IF(J357&lt;=2,"?ACTIVATED",IF(J357&lt;&gt;"","?FAMILIAR",IF(F357="NEW",IF(ISNA(VLOOKUP(E357,#REF!,1,FALSE())),"?TYPE_IDENTIFIABLE","?REFERENTIAL"),"_")))))</f>
        <v/>
      </c>
      <c r="H357" s="23" t="str">
        <f t="shared" ca="1" si="17"/>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9" t="s">
        <v>362</v>
      </c>
    </row>
    <row r="358" spans="1:12" x14ac:dyDescent="0.3">
      <c r="A358" t="s">
        <v>290</v>
      </c>
      <c r="E358" s="27"/>
      <c r="F358" s="28"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17"/>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9"/>
    </row>
    <row r="359" spans="1:12" x14ac:dyDescent="0.3">
      <c r="A359" t="s">
        <v>108</v>
      </c>
      <c r="E359" s="27"/>
      <c r="F359" s="28"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17"/>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9"/>
    </row>
    <row r="360" spans="1:12" x14ac:dyDescent="0.3">
      <c r="A360" t="s">
        <v>152</v>
      </c>
      <c r="E360" s="27"/>
      <c r="F360" s="28"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17"/>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9"/>
    </row>
    <row r="361" spans="1:12" x14ac:dyDescent="0.3">
      <c r="A361" t="s">
        <v>136</v>
      </c>
      <c r="E361" s="27"/>
      <c r="F361" s="28"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17"/>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9"/>
    </row>
    <row r="362" spans="1:12" x14ac:dyDescent="0.3">
      <c r="A362" t="s">
        <v>191</v>
      </c>
      <c r="B362" s="26" t="s">
        <v>140</v>
      </c>
      <c r="C362" s="26" t="s">
        <v>97</v>
      </c>
      <c r="D362" s="26" t="s">
        <v>98</v>
      </c>
      <c r="E362" s="27" t="s">
        <v>337</v>
      </c>
      <c r="F362" s="28" t="str">
        <f>IF(OR(E362="",E362="!!!"),"",IF(NOT(ISNA(VLOOKUP(E362,E$1:E361,1,FALSE()))),"OLD",IF(AND(E362&lt;&gt;"",E362&lt;&gt;"!!!"),"NEW","")))</f>
        <v>OLD</v>
      </c>
      <c r="G362" s="22" t="s">
        <v>366</v>
      </c>
      <c r="H362" s="23" t="s">
        <v>88</v>
      </c>
      <c r="I362" s="24">
        <f>IF(OR(E362="",E362="!!!",F362="NEW"),"",INDEX(B$2:B361,-1+SUMPRODUCT(MAX(ROW(E$2:E361)*(E362=E$2:E361)))))</f>
        <v>0</v>
      </c>
      <c r="J362" s="24">
        <f ca="1">IF(OR(E362="",E362="!!!",F362="NEW"),"",COUNTBLANK(OFFSET(A$1,,,SUMPRODUCT(MAX(ROW(E$2:E362)*(E362=E$2:E362)))))-COUNTBLANK(OFFSET(A$1,,,SUMPRODUCT(MAX(ROW(E$1:E361)*(E2=E$1:E361))))))</f>
        <v>0</v>
      </c>
      <c r="K362" s="24">
        <f ca="1">IF(OR(E362="",E362="!!!",F362="NEW"),"",INDEX(J$1:J361,SUMPRODUCT(MAX(ROW(E$1:E361)*(E362=E$1:E361)))))</f>
        <v>0</v>
      </c>
      <c r="L362" s="29"/>
    </row>
    <row r="363" spans="1:12" x14ac:dyDescent="0.3">
      <c r="A363" t="s">
        <v>172</v>
      </c>
      <c r="E363" s="27"/>
      <c r="F363" s="28"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17"/>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9"/>
    </row>
    <row r="364" spans="1:12" x14ac:dyDescent="0.3">
      <c r="A364" t="s">
        <v>129</v>
      </c>
      <c r="E364" s="27"/>
      <c r="F364" s="28"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17"/>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9"/>
    </row>
    <row r="366" spans="1:12" x14ac:dyDescent="0.3">
      <c r="A366" t="s">
        <v>291</v>
      </c>
    </row>
    <row r="367" spans="1:12" x14ac:dyDescent="0.3">
      <c r="A367" t="s">
        <v>263</v>
      </c>
      <c r="B367" s="26" t="s">
        <v>96</v>
      </c>
      <c r="C367" s="26" t="s">
        <v>141</v>
      </c>
      <c r="D367" s="26" t="s">
        <v>98</v>
      </c>
      <c r="E367" s="27" t="s">
        <v>326</v>
      </c>
      <c r="F367" s="28" t="str">
        <f>IF(OR(E367="",E367="!!!"),"",IF(NOT(ISNA(VLOOKUP(E367,E$1:E366,1,FALSE()))),"OLD",IF(AND(E367&lt;&gt;"",E367&lt;&gt;"!!!"),"NEW","")))</f>
        <v>OLD</v>
      </c>
      <c r="G367" s="22" t="s">
        <v>369</v>
      </c>
      <c r="H367" s="23" t="s">
        <v>88</v>
      </c>
      <c r="I367" s="24">
        <f>IF(OR(E367="",E367="!!!",F367="NEW"),"",INDEX(B$2:B366,-1+SUMPRODUCT(MAX(ROW(E$2:E366)*(E367=E$2:E366)))))</f>
        <v>0</v>
      </c>
      <c r="J367" s="24">
        <f ca="1">IF(OR(E367="",E367="!!!",F367="NEW"),"",COUNTBLANK(OFFSET(A$1,,,SUMPRODUCT(MAX(ROW(E$2:E367)*(E367=E$2:E367)))))-COUNTBLANK(OFFSET(A$1,,,SUMPRODUCT(MAX(ROW(E$1:E366)*(E2=E$1:E366))))))</f>
        <v>0</v>
      </c>
      <c r="K367" s="24">
        <f ca="1">IF(OR(E367="",E367="!!!",F367="NEW"),"",INDEX(J$1:J366,SUMPRODUCT(MAX(ROW(E$1:E366)*(E367=E$1:E366)))))</f>
        <v>0</v>
      </c>
      <c r="L367" s="29"/>
    </row>
    <row r="368" spans="1:12" x14ac:dyDescent="0.3">
      <c r="A368" t="s">
        <v>292</v>
      </c>
      <c r="E368" s="27"/>
      <c r="F368" s="28"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ref="H368:H376" ca="1" si="18">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9"/>
    </row>
    <row r="369" spans="1:12" x14ac:dyDescent="0.3">
      <c r="A369" t="s">
        <v>293</v>
      </c>
      <c r="E369" s="27"/>
      <c r="F369" s="28"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18"/>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9"/>
    </row>
    <row r="370" spans="1:12" x14ac:dyDescent="0.3">
      <c r="A370" t="s">
        <v>160</v>
      </c>
      <c r="E370" s="27"/>
      <c r="F370" s="28"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18"/>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9"/>
    </row>
    <row r="371" spans="1:12" x14ac:dyDescent="0.3">
      <c r="A371" t="s">
        <v>294</v>
      </c>
      <c r="E371" s="27"/>
      <c r="F371" s="28"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18"/>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9"/>
    </row>
    <row r="372" spans="1:12" x14ac:dyDescent="0.3">
      <c r="A372" t="s">
        <v>281</v>
      </c>
      <c r="B372" s="26" t="s">
        <v>123</v>
      </c>
      <c r="C372" s="26" t="s">
        <v>205</v>
      </c>
      <c r="E372" s="27"/>
      <c r="F372" s="28"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18"/>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9"/>
    </row>
    <row r="373" spans="1:12" x14ac:dyDescent="0.3">
      <c r="A373" t="s">
        <v>295</v>
      </c>
      <c r="E373" s="27"/>
      <c r="F373" s="28"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18"/>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9"/>
    </row>
    <row r="374" spans="1:12" x14ac:dyDescent="0.3">
      <c r="A374" t="s">
        <v>296</v>
      </c>
      <c r="B374" s="26" t="s">
        <v>123</v>
      </c>
      <c r="C374" s="26" t="s">
        <v>115</v>
      </c>
      <c r="E374" s="27"/>
      <c r="F374" s="28"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18"/>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9"/>
    </row>
    <row r="375" spans="1:12" x14ac:dyDescent="0.3">
      <c r="A375" t="s">
        <v>66</v>
      </c>
      <c r="E375" s="27"/>
      <c r="F375" s="28"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18"/>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9"/>
    </row>
    <row r="376" spans="1:12" x14ac:dyDescent="0.3">
      <c r="A376" t="s">
        <v>129</v>
      </c>
      <c r="E376" s="27"/>
      <c r="F376" s="28"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18"/>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9"/>
    </row>
    <row r="378" spans="1:12" x14ac:dyDescent="0.3">
      <c r="A378" t="s">
        <v>297</v>
      </c>
    </row>
    <row r="379" spans="1:12" x14ac:dyDescent="0.3">
      <c r="A379" t="s">
        <v>263</v>
      </c>
      <c r="B379" s="26" t="s">
        <v>96</v>
      </c>
      <c r="C379" s="26" t="s">
        <v>141</v>
      </c>
      <c r="D379" s="26" t="s">
        <v>98</v>
      </c>
      <c r="E379" s="27" t="s">
        <v>326</v>
      </c>
      <c r="F379" s="28" t="str">
        <f>IF(OR(E379="",E379="!!!"),"",IF(NOT(ISNA(VLOOKUP(E379,E$1:E378,1,FALSE()))),"OLD",IF(AND(E379&lt;&gt;"",E379&lt;&gt;"!!!"),"NEW","")))</f>
        <v>OLD</v>
      </c>
      <c r="G379" s="22" t="s">
        <v>369</v>
      </c>
      <c r="H379" s="23" t="s">
        <v>88</v>
      </c>
      <c r="I379" s="24" t="str">
        <f>IF(OR(E379="",E379="!!!",F379="NEW"),"",INDEX(B$2:B378,-1+SUMPRODUCT(MAX(ROW(E$2:E378)*(E379=E$2:E378)))))</f>
        <v>SBJ</v>
      </c>
      <c r="J379" s="24">
        <f ca="1">IF(OR(E379="",E379="!!!",F379="NEW"),"",COUNTBLANK(OFFSET(A$1,,,SUMPRODUCT(MAX(ROW(E$2:E379)*(E379=E$2:E379)))))-COUNTBLANK(OFFSET(A$1,,,SUMPRODUCT(MAX(ROW(E$1:E378)*(E2=E$1:E378))))))</f>
        <v>0</v>
      </c>
      <c r="K379" s="24">
        <f ca="1">IF(OR(E379="",E379="!!!",F379="NEW"),"",INDEX(J$1:J378,SUMPRODUCT(MAX(ROW(E$1:E378)*(E379=E$1:E378)))))</f>
        <v>0</v>
      </c>
      <c r="L379" s="29"/>
    </row>
    <row r="380" spans="1:12" x14ac:dyDescent="0.3">
      <c r="A380" t="s">
        <v>273</v>
      </c>
      <c r="E380" s="27"/>
      <c r="F380" s="28"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ref="H380:H389" ca="1" si="19">IF(J380&lt;&gt;1,"",IF(I380="SBJ","CB","?"))</f>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9"/>
    </row>
    <row r="381" spans="1:12" x14ac:dyDescent="0.3">
      <c r="A381" t="s">
        <v>109</v>
      </c>
      <c r="E381" s="27"/>
      <c r="F381" s="28"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19"/>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9"/>
    </row>
    <row r="382" spans="1:12" x14ac:dyDescent="0.3">
      <c r="A382" t="s">
        <v>133</v>
      </c>
      <c r="B382" s="26" t="s">
        <v>123</v>
      </c>
      <c r="C382" s="26" t="s">
        <v>124</v>
      </c>
      <c r="D382" s="26" t="s">
        <v>98</v>
      </c>
      <c r="E382" s="27"/>
      <c r="F382" s="28" t="s">
        <v>332</v>
      </c>
      <c r="G382" s="22" t="str">
        <f>IF(OR(E382="",E382="!!!"),"",IF(OR(J382=0,AND(J382=1,K382=1),AND(J382=1,I382="SBJ"),AND(J382=1,I382=0)),"?IN_FOCUS",IF(J382&lt;=2,"?ACTIVATED",IF(J382&lt;&gt;"","?FAMILIAR",IF(F382="NEW",IF(ISNA(VLOOKUP(E382,#REF!,1,FALSE())),"?TYPE_IDENTIFIABLE","?REFERENTIAL"),"_")))))</f>
        <v/>
      </c>
      <c r="H382" s="23" t="str">
        <f t="shared" ca="1" si="19"/>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9"/>
    </row>
    <row r="383" spans="1:12" x14ac:dyDescent="0.3">
      <c r="A383" t="s">
        <v>108</v>
      </c>
      <c r="E383" s="27"/>
      <c r="F383" s="28"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19"/>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9"/>
    </row>
    <row r="384" spans="1:12" x14ac:dyDescent="0.3">
      <c r="A384" t="s">
        <v>109</v>
      </c>
      <c r="B384" s="26" t="s">
        <v>140</v>
      </c>
      <c r="E384" s="27"/>
      <c r="F384" s="28"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19"/>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9"/>
    </row>
    <row r="385" spans="1:12" x14ac:dyDescent="0.3">
      <c r="A385" t="s">
        <v>178</v>
      </c>
      <c r="E385" s="27"/>
      <c r="F385" s="28"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19"/>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9"/>
    </row>
    <row r="386" spans="1:12" x14ac:dyDescent="0.3">
      <c r="A386" t="s">
        <v>121</v>
      </c>
      <c r="E386" s="27"/>
      <c r="F386" s="28"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19"/>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9"/>
    </row>
    <row r="387" spans="1:12" x14ac:dyDescent="0.3">
      <c r="A387" t="s">
        <v>298</v>
      </c>
      <c r="B387" s="26" t="s">
        <v>101</v>
      </c>
      <c r="C387" s="26" t="s">
        <v>124</v>
      </c>
      <c r="D387" s="26" t="s">
        <v>98</v>
      </c>
      <c r="E387" s="27"/>
      <c r="F387" s="28" t="s">
        <v>344</v>
      </c>
      <c r="G387" s="22" t="str">
        <f>IF(OR(E387="",E387="!!!"),"",IF(OR(J387=0,AND(J387=1,K387=1),AND(J387=1,I387="SBJ"),AND(J387=1,I387=0)),"?IN_FOCUS",IF(J387&lt;=2,"?ACTIVATED",IF(J387&lt;&gt;"","?FAMILIAR",IF(F387="NEW",IF(ISNA(VLOOKUP(E387,#REF!,1,FALSE())),"?TYPE_IDENTIFIABLE","?REFERENTIAL"),"_")))))</f>
        <v/>
      </c>
      <c r="H387" s="23" t="str">
        <f t="shared" ca="1" si="19"/>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9"/>
    </row>
    <row r="388" spans="1:12" x14ac:dyDescent="0.3">
      <c r="A388" t="s">
        <v>299</v>
      </c>
      <c r="E388" s="27"/>
      <c r="F388" s="28"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19"/>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9"/>
    </row>
    <row r="389" spans="1:12" x14ac:dyDescent="0.3">
      <c r="A389" t="s">
        <v>129</v>
      </c>
      <c r="E389" s="27"/>
      <c r="F389" s="28"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19"/>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9"/>
    </row>
    <row r="391" spans="1:12" x14ac:dyDescent="0.3">
      <c r="A391" t="s">
        <v>130</v>
      </c>
      <c r="E391" s="27"/>
      <c r="F391" s="28"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9"/>
    </row>
    <row r="392" spans="1:12" x14ac:dyDescent="0.3">
      <c r="A392" t="s">
        <v>300</v>
      </c>
    </row>
    <row r="393" spans="1:12" x14ac:dyDescent="0.3">
      <c r="A393" t="s">
        <v>152</v>
      </c>
      <c r="E393" s="27"/>
      <c r="F393" s="28"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ref="H393:H419" ca="1" si="20">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9"/>
    </row>
    <row r="394" spans="1:12" x14ac:dyDescent="0.3">
      <c r="A394" t="s">
        <v>301</v>
      </c>
      <c r="E394" s="27"/>
      <c r="F394" s="28"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0"/>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9"/>
    </row>
    <row r="395" spans="1:12" x14ac:dyDescent="0.3">
      <c r="A395" t="s">
        <v>302</v>
      </c>
      <c r="B395" s="26" t="s">
        <v>101</v>
      </c>
      <c r="C395" s="26" t="s">
        <v>145</v>
      </c>
      <c r="E395" s="27"/>
      <c r="F395" s="28" t="s">
        <v>349</v>
      </c>
      <c r="G395" s="22" t="str">
        <f>IF(OR(E395="",E395="!!!"),"",IF(OR(J395=0,AND(J395=1,K395=1),AND(J395=1,I395="SBJ"),AND(J395=1,I395=0)),"?IN_FOCUS",IF(J395&lt;=2,"?ACTIVATED",IF(J395&lt;&gt;"","?FAMILIAR",IF(F395="NEW",IF(ISNA(VLOOKUP(E395,#REF!,1,FALSE())),"?TYPE_IDENTIFIABLE","?REFERENTIAL"),"_")))))</f>
        <v/>
      </c>
      <c r="H395" s="23" t="str">
        <f t="shared" ca="1" si="20"/>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9" t="s">
        <v>357</v>
      </c>
    </row>
    <row r="396" spans="1:12" x14ac:dyDescent="0.3">
      <c r="A396" t="s">
        <v>108</v>
      </c>
      <c r="E396" s="27"/>
      <c r="F396" s="28"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20"/>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9"/>
    </row>
    <row r="397" spans="1:12" x14ac:dyDescent="0.3">
      <c r="A397" t="s">
        <v>303</v>
      </c>
      <c r="B397" s="26" t="s">
        <v>196</v>
      </c>
      <c r="C397" s="26" t="s">
        <v>111</v>
      </c>
      <c r="D397" s="26" t="s">
        <v>98</v>
      </c>
      <c r="E397" s="27"/>
      <c r="F397" s="28" t="s">
        <v>372</v>
      </c>
      <c r="G397" s="22" t="str">
        <f>IF(OR(E397="",E397="!!!"),"",IF(OR(J397=0,AND(J397=1,K397=1),AND(J397=1,I397="SBJ"),AND(J397=1,I397=0)),"?IN_FOCUS",IF(J397&lt;=2,"?ACTIVATED",IF(J397&lt;&gt;"","?FAMILIAR",IF(F397="NEW",IF(ISNA(VLOOKUP(E397,#REF!,1,FALSE())),"?TYPE_IDENTIFIABLE","?REFERENTIAL"),"_")))))</f>
        <v/>
      </c>
      <c r="H397" s="23" t="str">
        <f t="shared" ca="1" si="20"/>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9" t="s">
        <v>354</v>
      </c>
    </row>
    <row r="398" spans="1:12" x14ac:dyDescent="0.3">
      <c r="A398" t="s">
        <v>99</v>
      </c>
      <c r="E398" s="27"/>
      <c r="F398" s="28"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0"/>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9"/>
    </row>
    <row r="399" spans="1:12" x14ac:dyDescent="0.3">
      <c r="A399" t="s">
        <v>109</v>
      </c>
      <c r="E399" s="27"/>
      <c r="F399" s="28"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0"/>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9"/>
    </row>
    <row r="400" spans="1:12" x14ac:dyDescent="0.3">
      <c r="A400" t="s">
        <v>304</v>
      </c>
      <c r="B400" s="26" t="s">
        <v>117</v>
      </c>
      <c r="C400" s="26" t="s">
        <v>124</v>
      </c>
      <c r="D400" s="26" t="s">
        <v>98</v>
      </c>
      <c r="E400" s="27" t="s">
        <v>351</v>
      </c>
      <c r="F400" s="28" t="str">
        <f>IF(OR(E400="",E400="!!!"),"",IF(NOT(ISNA(VLOOKUP(E400,E$1:E399,1,FALSE()))),"OLD",IF(AND(E400&lt;&gt;"",E400&lt;&gt;"!!!"),"NEW","")))</f>
        <v>NEW</v>
      </c>
      <c r="G400" s="22" t="s">
        <v>367</v>
      </c>
      <c r="H400" s="23" t="str">
        <f t="shared" ca="1" si="20"/>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9"/>
    </row>
    <row r="401" spans="1:12" x14ac:dyDescent="0.3">
      <c r="A401" t="s">
        <v>305</v>
      </c>
      <c r="E401" s="27"/>
      <c r="F401" s="28"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0"/>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9"/>
    </row>
    <row r="402" spans="1:12" x14ac:dyDescent="0.3">
      <c r="A402" t="s">
        <v>306</v>
      </c>
      <c r="E402" s="27"/>
      <c r="F402" s="28"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0"/>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9"/>
    </row>
    <row r="403" spans="1:12" x14ac:dyDescent="0.3">
      <c r="A403" t="s">
        <v>108</v>
      </c>
      <c r="E403" s="27"/>
      <c r="F403" s="28"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0"/>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9"/>
    </row>
    <row r="404" spans="1:12" x14ac:dyDescent="0.3">
      <c r="A404" t="s">
        <v>273</v>
      </c>
      <c r="E404" s="27"/>
      <c r="F404" s="28"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0"/>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9"/>
    </row>
    <row r="405" spans="1:12" x14ac:dyDescent="0.3">
      <c r="A405" t="s">
        <v>139</v>
      </c>
      <c r="B405" s="26" t="s">
        <v>140</v>
      </c>
      <c r="C405" s="26" t="s">
        <v>141</v>
      </c>
      <c r="D405" s="26" t="s">
        <v>98</v>
      </c>
      <c r="E405" s="27" t="s">
        <v>326</v>
      </c>
      <c r="F405" s="28" t="str">
        <f>IF(OR(E405="",E405="!!!"),"",IF(NOT(ISNA(VLOOKUP(E405,E$1:E404,1,FALSE()))),"OLD",IF(AND(E405&lt;&gt;"",E405&lt;&gt;"!!!"),"NEW","")))</f>
        <v>OLD</v>
      </c>
      <c r="G405" s="22" t="s">
        <v>369</v>
      </c>
      <c r="H405" s="23" t="s">
        <v>88</v>
      </c>
      <c r="I405" s="24" t="str">
        <f>IF(OR(E405="",E405="!!!",F405="NEW"),"",INDEX(B$2:B404,-1+SUMPRODUCT(MAX(ROW(E$2:E404)*(E405=E$2:E404)))))</f>
        <v>SBJ</v>
      </c>
      <c r="J405" s="24">
        <f ca="1">IF(OR(E405="",E405="!!!",F405="NEW"),"",COUNTBLANK(OFFSET(A$1,,,SUMPRODUCT(MAX(ROW(E$2:E405)*(E405=E$2:E405)))))-COUNTBLANK(OFFSET(A$1,,,SUMPRODUCT(MAX(ROW(E$1:E404)*(E2=E$1:E404))))))</f>
        <v>0</v>
      </c>
      <c r="K405" s="24">
        <f ca="1">IF(OR(E405="",E405="!!!",F405="NEW"),"",INDEX(J$1:J404,SUMPRODUCT(MAX(ROW(E$1:E404)*(E405=E$1:E404)))))</f>
        <v>0</v>
      </c>
      <c r="L405" s="29"/>
    </row>
    <row r="406" spans="1:12" x14ac:dyDescent="0.3">
      <c r="A406" t="s">
        <v>245</v>
      </c>
      <c r="B406" s="26" t="s">
        <v>101</v>
      </c>
      <c r="C406" s="26" t="s">
        <v>246</v>
      </c>
      <c r="D406" s="26" t="s">
        <v>98</v>
      </c>
      <c r="E406" s="27"/>
      <c r="F406" s="28"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20"/>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9" t="s">
        <v>363</v>
      </c>
    </row>
    <row r="407" spans="1:12" x14ac:dyDescent="0.3">
      <c r="A407" t="s">
        <v>307</v>
      </c>
      <c r="E407" s="27"/>
      <c r="F407" s="28"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0"/>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9"/>
    </row>
    <row r="408" spans="1:12" x14ac:dyDescent="0.3">
      <c r="A408" t="s">
        <v>308</v>
      </c>
      <c r="B408" s="26" t="s">
        <v>123</v>
      </c>
      <c r="C408" s="26" t="s">
        <v>249</v>
      </c>
      <c r="D408" s="26" t="s">
        <v>98</v>
      </c>
      <c r="E408" s="27"/>
      <c r="F408" s="28" t="s">
        <v>332</v>
      </c>
      <c r="G408" s="22" t="str">
        <f>IF(OR(E408="",E408="!!!"),"",IF(OR(J408=0,AND(J408=1,K408=1),AND(J408=1,I408="SBJ"),AND(J408=1,I408=0)),"?IN_FOCUS",IF(J408&lt;=2,"?ACTIVATED",IF(J408&lt;&gt;"","?FAMILIAR",IF(F408="NEW",IF(ISNA(VLOOKUP(E408,#REF!,1,FALSE())),"?TYPE_IDENTIFIABLE","?REFERENTIAL"),"_")))))</f>
        <v/>
      </c>
      <c r="H408" s="23" t="str">
        <f t="shared" ca="1" si="20"/>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9"/>
    </row>
    <row r="409" spans="1:12" x14ac:dyDescent="0.3">
      <c r="A409" t="s">
        <v>108</v>
      </c>
      <c r="E409" s="27"/>
      <c r="F409" s="28"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0"/>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9"/>
    </row>
    <row r="410" spans="1:12" x14ac:dyDescent="0.3">
      <c r="A410" t="s">
        <v>109</v>
      </c>
      <c r="B410" s="26" t="s">
        <v>110</v>
      </c>
      <c r="E410" s="27"/>
      <c r="F410" s="28"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0"/>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9"/>
    </row>
    <row r="411" spans="1:12" x14ac:dyDescent="0.3">
      <c r="A411" t="s">
        <v>309</v>
      </c>
      <c r="B411" s="26" t="s">
        <v>117</v>
      </c>
      <c r="C411" s="26" t="s">
        <v>145</v>
      </c>
      <c r="E411" s="27"/>
      <c r="F411" s="28"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0"/>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9"/>
    </row>
    <row r="412" spans="1:12" x14ac:dyDescent="0.3">
      <c r="A412" t="s">
        <v>310</v>
      </c>
      <c r="B412" s="26" t="s">
        <v>235</v>
      </c>
      <c r="C412" s="26" t="s">
        <v>115</v>
      </c>
      <c r="E412" s="27"/>
      <c r="F412" s="28"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0"/>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9"/>
    </row>
    <row r="413" spans="1:12" x14ac:dyDescent="0.3">
      <c r="A413" t="s">
        <v>311</v>
      </c>
      <c r="E413" s="27"/>
      <c r="F413" s="28"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0"/>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9"/>
    </row>
    <row r="414" spans="1:12" x14ac:dyDescent="0.3">
      <c r="A414" t="s">
        <v>312</v>
      </c>
      <c r="E414" s="27"/>
      <c r="F414" s="28"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0"/>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9"/>
    </row>
    <row r="415" spans="1:12" x14ac:dyDescent="0.3">
      <c r="A415" t="s">
        <v>108</v>
      </c>
      <c r="E415" s="27"/>
      <c r="F415" s="28"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0"/>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9"/>
    </row>
    <row r="416" spans="1:12" x14ac:dyDescent="0.3">
      <c r="A416" t="s">
        <v>152</v>
      </c>
      <c r="E416" s="27"/>
      <c r="F416" s="28"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20"/>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9"/>
    </row>
    <row r="417" spans="1:12" x14ac:dyDescent="0.3">
      <c r="A417" t="s">
        <v>136</v>
      </c>
      <c r="E417" s="27"/>
      <c r="F417" s="28"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20"/>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9"/>
    </row>
    <row r="418" spans="1:12" x14ac:dyDescent="0.3">
      <c r="A418" t="s">
        <v>139</v>
      </c>
      <c r="B418" s="26" t="s">
        <v>96</v>
      </c>
      <c r="C418" s="26" t="s">
        <v>141</v>
      </c>
      <c r="D418" s="26" t="s">
        <v>98</v>
      </c>
      <c r="E418" s="27" t="s">
        <v>337</v>
      </c>
      <c r="F418" s="28" t="str">
        <f>IF(OR(E418="",E418="!!!"),"",IF(NOT(ISNA(VLOOKUP(E418,E$1:E417,1,FALSE()))),"OLD",IF(AND(E418&lt;&gt;"",E418&lt;&gt;"!!!"),"NEW","")))</f>
        <v>OLD</v>
      </c>
      <c r="G418" s="22" t="s">
        <v>366</v>
      </c>
      <c r="H418" s="23" t="str">
        <f t="shared" ca="1" si="20"/>
        <v/>
      </c>
      <c r="I418" s="24" t="str">
        <f>IF(OR(E418="",E418="!!!",F418="NEW"),"",INDEX(B$2:B417,-1+SUMPRODUCT(MAX(ROW(E$2:E417)*(E418=E$2:E417)))))</f>
        <v>SBJ_2</v>
      </c>
      <c r="J418" s="24">
        <f ca="1">IF(OR(E418="",E418="!!!",F418="NEW"),"",COUNTBLANK(OFFSET(A$1,,,SUMPRODUCT(MAX(ROW(E$2:E418)*(E418=E$2:E418)))))-COUNTBLANK(OFFSET(A$1,,,SUMPRODUCT(MAX(ROW(E$1:E417)*(E2=E$1:E417))))))</f>
        <v>0</v>
      </c>
      <c r="K418" s="24">
        <f ca="1">IF(OR(E418="",E418="!!!",F418="NEW"),"",INDEX(J$1:J417,SUMPRODUCT(MAX(ROW(E$1:E417)*(E418=E$1:E417)))))</f>
        <v>0</v>
      </c>
      <c r="L418" s="29"/>
    </row>
    <row r="419" spans="1:12" x14ac:dyDescent="0.3">
      <c r="A419" t="s">
        <v>129</v>
      </c>
      <c r="E419" s="27" t="str">
        <f>IF(D419="?OLD","!!!","")</f>
        <v/>
      </c>
      <c r="F419" s="28"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20"/>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9"/>
    </row>
    <row r="421" spans="1:12" x14ac:dyDescent="0.3">
      <c r="A421" t="s">
        <v>313</v>
      </c>
    </row>
    <row r="422" spans="1:12" x14ac:dyDescent="0.3">
      <c r="A422" t="s">
        <v>314</v>
      </c>
      <c r="B422" s="26" t="s">
        <v>96</v>
      </c>
      <c r="C422" s="26" t="s">
        <v>145</v>
      </c>
      <c r="E422" s="27" t="str">
        <f t="shared" ref="E422:E438" si="21">IF(D422="?OLD","!!!","")</f>
        <v/>
      </c>
      <c r="F422" s="28" t="s">
        <v>349</v>
      </c>
      <c r="G422" s="22" t="str">
        <f>IF(OR(E422="",E422="!!!"),"",IF(OR(J422=0,AND(J422=1,K422=1),AND(J422=1,I422="SBJ"),AND(J422=1,I422=0)),"?IN_FOCUS",IF(J422&lt;=2,"?ACTIVATED",IF(J422&lt;&gt;"","?FAMILIAR",IF(F422="NEW",IF(ISNA(VLOOKUP(E422,#REF!,1,FALSE())),"?TYPE_IDENTIFIABLE","?REFERENTIAL"),"_")))))</f>
        <v/>
      </c>
      <c r="H422" s="23" t="str">
        <f t="shared" ref="H422:H442" ca="1" si="22">IF(J422&lt;&gt;1,"",IF(I422="SBJ","CB","?"))</f>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9" t="s">
        <v>357</v>
      </c>
    </row>
    <row r="423" spans="1:12" x14ac:dyDescent="0.3">
      <c r="A423" t="s">
        <v>108</v>
      </c>
      <c r="E423" s="27" t="str">
        <f t="shared" si="21"/>
        <v/>
      </c>
      <c r="F423" s="28"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22"/>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9"/>
    </row>
    <row r="424" spans="1:12" x14ac:dyDescent="0.3">
      <c r="A424" t="s">
        <v>109</v>
      </c>
      <c r="E424" s="27" t="str">
        <f t="shared" si="21"/>
        <v/>
      </c>
      <c r="F424" s="28"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22"/>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9"/>
    </row>
    <row r="425" spans="1:12" x14ac:dyDescent="0.3">
      <c r="A425" t="s">
        <v>315</v>
      </c>
      <c r="B425" s="26" t="s">
        <v>101</v>
      </c>
      <c r="C425" s="26" t="s">
        <v>124</v>
      </c>
      <c r="D425" s="26" t="s">
        <v>98</v>
      </c>
      <c r="E425" s="27"/>
      <c r="F425" s="28" t="s">
        <v>349</v>
      </c>
      <c r="G425" s="22" t="str">
        <f>IF(OR(E425="",E425="!!!"),"",IF(OR(J425=0,AND(J425=1,K425=1),AND(J425=1,I425="SBJ"),AND(J425=1,I425=0)),"?IN_FOCUS",IF(J425&lt;=2,"?ACTIVATED",IF(J425&lt;&gt;"","?FAMILIAR",IF(F425="NEW",IF(ISNA(VLOOKUP(E425,#REF!,1,FALSE())),"?TYPE_IDENTIFIABLE","?REFERENTIAL"),"_")))))</f>
        <v/>
      </c>
      <c r="H425" s="23" t="str">
        <f t="shared" ca="1" si="22"/>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9"/>
    </row>
    <row r="426" spans="1:12" x14ac:dyDescent="0.3">
      <c r="A426" t="s">
        <v>283</v>
      </c>
      <c r="B426" s="26" t="s">
        <v>117</v>
      </c>
      <c r="C426" s="26" t="s">
        <v>145</v>
      </c>
      <c r="E426" s="27" t="str">
        <f t="shared" si="21"/>
        <v/>
      </c>
      <c r="F426" s="28"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22"/>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9"/>
    </row>
    <row r="427" spans="1:12" x14ac:dyDescent="0.3">
      <c r="A427" t="s">
        <v>121</v>
      </c>
      <c r="E427" s="27" t="str">
        <f t="shared" si="21"/>
        <v/>
      </c>
      <c r="F427" s="28"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22"/>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9"/>
    </row>
    <row r="428" spans="1:12" x14ac:dyDescent="0.3">
      <c r="A428" t="s">
        <v>316</v>
      </c>
      <c r="B428" s="26" t="s">
        <v>114</v>
      </c>
      <c r="C428" s="26" t="s">
        <v>124</v>
      </c>
      <c r="D428" s="26" t="s">
        <v>98</v>
      </c>
      <c r="E428" s="27" t="s">
        <v>335</v>
      </c>
      <c r="F428" s="28" t="str">
        <f>IF(OR(E428="",E428="!!!"),"",IF(NOT(ISNA(VLOOKUP(E428,E$1:E427,1,FALSE()))),"OLD",IF(AND(E428&lt;&gt;"",E428&lt;&gt;"!!!"),"NEW","")))</f>
        <v>OLD</v>
      </c>
      <c r="G428" s="22" t="s">
        <v>367</v>
      </c>
      <c r="H428" s="23" t="s">
        <v>88</v>
      </c>
      <c r="I428" s="24" t="str">
        <f>IF(OR(E428="",E428="!!!",F428="NEW"),"",INDEX(B$2:B427,-1+SUMPRODUCT(MAX(ROW(E$2:E427)*(E428=E$2:E427)))))</f>
        <v>other_2</v>
      </c>
      <c r="J428" s="24">
        <f ca="1">IF(OR(E428="",E428="!!!",F428="NEW"),"",COUNTBLANK(OFFSET(A$1,,,SUMPRODUCT(MAX(ROW(E$2:E428)*(E428=E$2:E428)))))-COUNTBLANK(OFFSET(A$1,,,SUMPRODUCT(MAX(ROW(E$1:E427)*(E2=E$1:E427))))))</f>
        <v>0</v>
      </c>
      <c r="K428" s="24">
        <f ca="1">IF(OR(E428="",E428="!!!",F428="NEW"),"",INDEX(J$1:J427,SUMPRODUCT(MAX(ROW(E$1:E427)*(E428=E$1:E427)))))</f>
        <v>0</v>
      </c>
      <c r="L428" s="29"/>
    </row>
    <row r="429" spans="1:12" x14ac:dyDescent="0.3">
      <c r="A429" t="s">
        <v>200</v>
      </c>
      <c r="E429" s="27" t="str">
        <f t="shared" si="21"/>
        <v/>
      </c>
      <c r="F429" s="28"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22"/>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9"/>
    </row>
    <row r="430" spans="1:12" x14ac:dyDescent="0.3">
      <c r="A430" t="s">
        <v>108</v>
      </c>
      <c r="E430" s="27" t="str">
        <f t="shared" si="21"/>
        <v/>
      </c>
      <c r="F430" s="28"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22"/>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9"/>
    </row>
    <row r="431" spans="1:12" x14ac:dyDescent="0.3">
      <c r="A431" t="s">
        <v>317</v>
      </c>
      <c r="E431" s="27" t="str">
        <f t="shared" si="21"/>
        <v/>
      </c>
      <c r="F431" s="28"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22"/>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9"/>
    </row>
    <row r="432" spans="1:12" x14ac:dyDescent="0.3">
      <c r="A432" t="s">
        <v>318</v>
      </c>
      <c r="B432" s="26" t="s">
        <v>193</v>
      </c>
      <c r="C432" s="26" t="s">
        <v>115</v>
      </c>
      <c r="E432" s="27" t="str">
        <f t="shared" si="21"/>
        <v/>
      </c>
      <c r="F432" s="28"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22"/>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9"/>
    </row>
    <row r="433" spans="1:12" x14ac:dyDescent="0.3">
      <c r="A433" t="s">
        <v>226</v>
      </c>
      <c r="E433" s="27" t="str">
        <f t="shared" si="21"/>
        <v/>
      </c>
      <c r="F433" s="28"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22"/>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9"/>
    </row>
    <row r="434" spans="1:12" x14ac:dyDescent="0.3">
      <c r="A434" t="s">
        <v>319</v>
      </c>
      <c r="B434" s="26" t="s">
        <v>143</v>
      </c>
      <c r="C434" s="26" t="s">
        <v>214</v>
      </c>
      <c r="D434" s="26" t="s">
        <v>98</v>
      </c>
      <c r="E434" s="27" t="s">
        <v>352</v>
      </c>
      <c r="F434" s="28" t="str">
        <f>IF(OR(E434="",E434="!!!"),"",IF(NOT(ISNA(VLOOKUP(E434,E$1:E433,1,FALSE()))),"OLD",IF(AND(E434&lt;&gt;"",E434&lt;&gt;"!!!"),"NEW","")))</f>
        <v>NEW</v>
      </c>
      <c r="G434" s="22" t="s">
        <v>368</v>
      </c>
      <c r="H434" s="23" t="str">
        <f t="shared" ca="1" si="22"/>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9"/>
    </row>
    <row r="435" spans="1:12" x14ac:dyDescent="0.3">
      <c r="A435" t="s">
        <v>134</v>
      </c>
      <c r="E435" s="27" t="str">
        <f t="shared" si="21"/>
        <v/>
      </c>
      <c r="F435" s="28"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22"/>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9"/>
    </row>
    <row r="436" spans="1:12" x14ac:dyDescent="0.3">
      <c r="A436" t="s">
        <v>320</v>
      </c>
      <c r="B436" s="26" t="s">
        <v>114</v>
      </c>
      <c r="C436" s="26" t="s">
        <v>97</v>
      </c>
      <c r="D436" s="26" t="s">
        <v>98</v>
      </c>
      <c r="E436" s="27" t="s">
        <v>334</v>
      </c>
      <c r="F436" s="28" t="str">
        <f>IF(OR(E436="",E436="!!!"),"",IF(NOT(ISNA(VLOOKUP(E436,E$1:E435,1,FALSE()))),"OLD",IF(AND(E436&lt;&gt;"",E436&lt;&gt;"!!!"),"NEW","")))</f>
        <v>OLD</v>
      </c>
      <c r="G436" s="22" t="s">
        <v>367</v>
      </c>
      <c r="H436" s="23" t="str">
        <f t="shared" ca="1" si="22"/>
        <v/>
      </c>
      <c r="I436" s="24">
        <f>IF(OR(E436="",E436="!!!",F436="NEW"),"",INDEX(B$2:B435,-1+SUMPRODUCT(MAX(ROW(E$2:E435)*(E436=E$2:E435)))))</f>
        <v>0</v>
      </c>
      <c r="J436" s="24">
        <f ca="1">IF(OR(E436="",E436="!!!",F436="NEW"),"",COUNTBLANK(OFFSET(A$1,,,SUMPRODUCT(MAX(ROW(E$2:E436)*(E436=E$2:E436)))))-COUNTBLANK(OFFSET(A$1,,,SUMPRODUCT(MAX(ROW(E$1:E435)*(E2=E$1:E435))))))</f>
        <v>0</v>
      </c>
      <c r="K436" s="24" t="str">
        <f ca="1">IF(OR(E436="",E436="!!!",F436="NEW"),"",INDEX(J$1:J435,SUMPRODUCT(MAX(ROW(E$1:E435)*(E436=E$1:E435)))))</f>
        <v/>
      </c>
      <c r="L436" s="29"/>
    </row>
    <row r="437" spans="1:12" x14ac:dyDescent="0.3">
      <c r="A437" t="s">
        <v>321</v>
      </c>
      <c r="E437" s="27" t="str">
        <f t="shared" si="21"/>
        <v/>
      </c>
      <c r="F437" s="28"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22"/>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9"/>
    </row>
    <row r="438" spans="1:12" x14ac:dyDescent="0.3">
      <c r="A438" t="s">
        <v>109</v>
      </c>
      <c r="E438" s="27" t="str">
        <f t="shared" si="21"/>
        <v/>
      </c>
      <c r="F438" s="28"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22"/>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9"/>
    </row>
    <row r="439" spans="1:12" x14ac:dyDescent="0.3">
      <c r="A439" t="s">
        <v>322</v>
      </c>
      <c r="B439" s="26" t="s">
        <v>114</v>
      </c>
      <c r="C439" s="26" t="s">
        <v>124</v>
      </c>
      <c r="D439" s="26" t="s">
        <v>98</v>
      </c>
      <c r="E439" s="27" t="s">
        <v>353</v>
      </c>
      <c r="F439" s="28" t="str">
        <f>IF(OR(E439="",E439="!!!"),"",IF(NOT(ISNA(VLOOKUP(E439,E$1:E438,1,FALSE()))),"OLD",IF(AND(E439&lt;&gt;"",E439&lt;&gt;"!!!"),"NEW","")))</f>
        <v>NEW</v>
      </c>
      <c r="G439" s="22" t="s">
        <v>368</v>
      </c>
      <c r="H439" s="23" t="str">
        <f t="shared" ca="1" si="22"/>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9"/>
    </row>
    <row r="440" spans="1:12" x14ac:dyDescent="0.3">
      <c r="A440" t="s">
        <v>323</v>
      </c>
      <c r="E440" s="20" t="str">
        <f t="shared" ref="E440:E442" si="23">IF(D440="?OLD","!!!","")</f>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22"/>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9"/>
    </row>
    <row r="441" spans="1:12" x14ac:dyDescent="0.3">
      <c r="A441" t="s">
        <v>324</v>
      </c>
      <c r="B441" s="26" t="s">
        <v>325</v>
      </c>
      <c r="C441" s="26" t="s">
        <v>169</v>
      </c>
      <c r="E441" s="20" t="str">
        <f t="shared" si="23"/>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22"/>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9"/>
    </row>
    <row r="442" spans="1:12" x14ac:dyDescent="0.3">
      <c r="A442" t="s">
        <v>129</v>
      </c>
      <c r="E442" s="20" t="str">
        <f t="shared" si="23"/>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22"/>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Tabea Gröger</dc:creator>
  <cp:lastModifiedBy>Tabea Gröger</cp:lastModifiedBy>
  <dcterms:created xsi:type="dcterms:W3CDTF">2024-12-05T17:52:20Z</dcterms:created>
  <dcterms:modified xsi:type="dcterms:W3CDTF">2025-08-26T11:36:30Z</dcterms:modified>
</cp:coreProperties>
</file>