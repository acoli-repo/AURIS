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F84DCAAA-3A23-4293-B9B7-06A97939625E}"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201" i="2" l="1"/>
  <c r="G762" i="2" l="1"/>
  <c r="F762" i="2"/>
  <c r="K762" i="2" s="1"/>
  <c r="G761" i="2"/>
  <c r="F761" i="2"/>
  <c r="J761" i="2" s="1"/>
  <c r="H761" i="2" s="1"/>
  <c r="E761" i="2"/>
  <c r="G760" i="2"/>
  <c r="F760" i="2"/>
  <c r="I760" i="2" s="1"/>
  <c r="E760" i="2"/>
  <c r="G759" i="2"/>
  <c r="F759" i="2"/>
  <c r="K759" i="2" s="1"/>
  <c r="E759" i="2"/>
  <c r="G758" i="2"/>
  <c r="F758" i="2"/>
  <c r="K758" i="2" s="1"/>
  <c r="G757" i="2"/>
  <c r="F757" i="2"/>
  <c r="K757" i="2" s="1"/>
  <c r="G756" i="2"/>
  <c r="F756" i="2"/>
  <c r="G753" i="2"/>
  <c r="F753" i="2"/>
  <c r="K753" i="2" s="1"/>
  <c r="E753" i="2"/>
  <c r="G752" i="2"/>
  <c r="F752" i="2"/>
  <c r="K752" i="2" s="1"/>
  <c r="E752" i="2"/>
  <c r="G751" i="2"/>
  <c r="F751" i="2"/>
  <c r="J751" i="2" s="1"/>
  <c r="H751" i="2" s="1"/>
  <c r="E751" i="2"/>
  <c r="G750" i="2"/>
  <c r="F750" i="2"/>
  <c r="K750" i="2" s="1"/>
  <c r="E750" i="2"/>
  <c r="G749" i="2"/>
  <c r="F749" i="2"/>
  <c r="K749" i="2" s="1"/>
  <c r="E749" i="2"/>
  <c r="G748" i="2"/>
  <c r="F748" i="2"/>
  <c r="K748" i="2" s="1"/>
  <c r="E748" i="2"/>
  <c r="G747" i="2"/>
  <c r="F747" i="2"/>
  <c r="K747" i="2" s="1"/>
  <c r="E747" i="2"/>
  <c r="G746" i="2"/>
  <c r="F746" i="2"/>
  <c r="E746" i="2"/>
  <c r="G745" i="2"/>
  <c r="F745" i="2"/>
  <c r="J745" i="2" s="1"/>
  <c r="H745" i="2" s="1"/>
  <c r="E745" i="2"/>
  <c r="G744" i="2"/>
  <c r="F744" i="2"/>
  <c r="I744" i="2" s="1"/>
  <c r="E744" i="2"/>
  <c r="G743" i="2"/>
  <c r="F743" i="2"/>
  <c r="J743" i="2" s="1"/>
  <c r="H743" i="2" s="1"/>
  <c r="E743" i="2"/>
  <c r="F742" i="2"/>
  <c r="G741" i="2"/>
  <c r="F741" i="2"/>
  <c r="K741" i="2" s="1"/>
  <c r="E741" i="2"/>
  <c r="G740" i="2"/>
  <c r="F740" i="2"/>
  <c r="K740" i="2" s="1"/>
  <c r="E740" i="2"/>
  <c r="G739" i="2"/>
  <c r="F739" i="2"/>
  <c r="K739" i="2" s="1"/>
  <c r="E739" i="2"/>
  <c r="G738" i="2"/>
  <c r="F738" i="2"/>
  <c r="E738" i="2"/>
  <c r="G737" i="2"/>
  <c r="F737" i="2"/>
  <c r="J737" i="2" s="1"/>
  <c r="H737" i="2" s="1"/>
  <c r="E737" i="2"/>
  <c r="G736" i="2"/>
  <c r="F736" i="2"/>
  <c r="K736" i="2" s="1"/>
  <c r="E736" i="2"/>
  <c r="G735" i="2"/>
  <c r="F735" i="2"/>
  <c r="J735" i="2" s="1"/>
  <c r="H735" i="2" s="1"/>
  <c r="E735" i="2"/>
  <c r="G734" i="2"/>
  <c r="F734" i="2"/>
  <c r="J734" i="2" s="1"/>
  <c r="H734" i="2" s="1"/>
  <c r="E734" i="2"/>
  <c r="F733" i="2"/>
  <c r="G732" i="2"/>
  <c r="F732" i="2"/>
  <c r="K732" i="2" s="1"/>
  <c r="E732" i="2"/>
  <c r="G731" i="2"/>
  <c r="F731" i="2"/>
  <c r="K731" i="2" s="1"/>
  <c r="E731" i="2"/>
  <c r="G730" i="2"/>
  <c r="F730" i="2"/>
  <c r="E730" i="2"/>
  <c r="F729" i="2"/>
  <c r="J729" i="2" s="1"/>
  <c r="H729" i="2" s="1"/>
  <c r="G728" i="2"/>
  <c r="F728" i="2"/>
  <c r="J728" i="2" s="1"/>
  <c r="H728" i="2" s="1"/>
  <c r="E728" i="2"/>
  <c r="G727" i="2"/>
  <c r="F727" i="2"/>
  <c r="K727" i="2" s="1"/>
  <c r="E727" i="2"/>
  <c r="G726" i="2"/>
  <c r="F726" i="2"/>
  <c r="K726" i="2" s="1"/>
  <c r="E726" i="2"/>
  <c r="G725" i="2"/>
  <c r="F725" i="2"/>
  <c r="K725" i="2" s="1"/>
  <c r="E725" i="2"/>
  <c r="G724" i="2"/>
  <c r="F724" i="2"/>
  <c r="K724" i="2" s="1"/>
  <c r="E724" i="2"/>
  <c r="F723" i="2"/>
  <c r="G722" i="2"/>
  <c r="F722" i="2"/>
  <c r="E722" i="2"/>
  <c r="G721" i="2"/>
  <c r="F721" i="2"/>
  <c r="J721" i="2" s="1"/>
  <c r="H721" i="2" s="1"/>
  <c r="E721" i="2"/>
  <c r="G720" i="2"/>
  <c r="F720" i="2"/>
  <c r="K720" i="2" s="1"/>
  <c r="E720" i="2"/>
  <c r="G719" i="2"/>
  <c r="F719" i="2"/>
  <c r="K719" i="2" s="1"/>
  <c r="E719" i="2"/>
  <c r="G718" i="2"/>
  <c r="F718" i="2"/>
  <c r="K718" i="2" s="1"/>
  <c r="E718" i="2"/>
  <c r="G717" i="2"/>
  <c r="F717" i="2"/>
  <c r="K717" i="2" s="1"/>
  <c r="E717" i="2"/>
  <c r="G716" i="2"/>
  <c r="K716" i="2"/>
  <c r="G715" i="2"/>
  <c r="F715" i="2"/>
  <c r="K715" i="2" s="1"/>
  <c r="E715" i="2"/>
  <c r="G714" i="2"/>
  <c r="F714" i="2"/>
  <c r="E714" i="2"/>
  <c r="F713" i="2"/>
  <c r="I713" i="2" s="1"/>
  <c r="G712" i="2"/>
  <c r="F712" i="2"/>
  <c r="K712" i="2" s="1"/>
  <c r="E712" i="2"/>
  <c r="G711" i="2"/>
  <c r="F711" i="2"/>
  <c r="J711" i="2" s="1"/>
  <c r="H711" i="2" s="1"/>
  <c r="E711" i="2"/>
  <c r="G708" i="2"/>
  <c r="F708" i="2"/>
  <c r="K708" i="2" s="1"/>
  <c r="E708" i="2"/>
  <c r="G707" i="2"/>
  <c r="F707" i="2"/>
  <c r="K707" i="2" s="1"/>
  <c r="E707" i="2"/>
  <c r="G706" i="2"/>
  <c r="K706" i="2"/>
  <c r="G705" i="2"/>
  <c r="F705" i="2"/>
  <c r="K705" i="2" s="1"/>
  <c r="E705" i="2"/>
  <c r="G704" i="2"/>
  <c r="F704" i="2"/>
  <c r="E704" i="2"/>
  <c r="G703" i="2"/>
  <c r="F703" i="2"/>
  <c r="K703" i="2" s="1"/>
  <c r="E703" i="2"/>
  <c r="F702" i="2"/>
  <c r="J702" i="2" s="1"/>
  <c r="H702" i="2" s="1"/>
  <c r="G701" i="2"/>
  <c r="F701" i="2"/>
  <c r="K701" i="2" s="1"/>
  <c r="E701" i="2"/>
  <c r="G700" i="2"/>
  <c r="F700" i="2"/>
  <c r="K700" i="2" s="1"/>
  <c r="E700" i="2"/>
  <c r="G699" i="2"/>
  <c r="F699" i="2"/>
  <c r="K699" i="2" s="1"/>
  <c r="E699" i="2"/>
  <c r="G698" i="2"/>
  <c r="F698" i="2"/>
  <c r="K698" i="2" s="1"/>
  <c r="E698" i="2"/>
  <c r="G697" i="2"/>
  <c r="F697" i="2"/>
  <c r="K697" i="2" s="1"/>
  <c r="E697" i="2"/>
  <c r="G696" i="2"/>
  <c r="F696" i="2"/>
  <c r="E696" i="2"/>
  <c r="G695" i="2"/>
  <c r="K695" i="2"/>
  <c r="G694" i="2"/>
  <c r="F694" i="2"/>
  <c r="J694" i="2" s="1"/>
  <c r="H694" i="2" s="1"/>
  <c r="E694" i="2"/>
  <c r="F691" i="2"/>
  <c r="K691" i="2" s="1"/>
  <c r="E691" i="2"/>
  <c r="G691" i="2" s="1"/>
  <c r="G690" i="2"/>
  <c r="F690" i="2"/>
  <c r="K690" i="2" s="1"/>
  <c r="E690" i="2"/>
  <c r="F689" i="2"/>
  <c r="I689" i="2" s="1"/>
  <c r="G688" i="2"/>
  <c r="F688" i="2"/>
  <c r="K688" i="2" s="1"/>
  <c r="G687" i="2"/>
  <c r="J687" i="2"/>
  <c r="H687" i="2" s="1"/>
  <c r="G686" i="2"/>
  <c r="F686" i="2"/>
  <c r="E686" i="2"/>
  <c r="G685" i="2"/>
  <c r="F685" i="2"/>
  <c r="J685" i="2" s="1"/>
  <c r="H685" i="2" s="1"/>
  <c r="E685" i="2"/>
  <c r="G684" i="2"/>
  <c r="F684" i="2"/>
  <c r="K684" i="2" s="1"/>
  <c r="E684" i="2"/>
  <c r="F683" i="2"/>
  <c r="K683" i="2" s="1"/>
  <c r="E683" i="2"/>
  <c r="G683" i="2" s="1"/>
  <c r="F682" i="2"/>
  <c r="G681" i="2"/>
  <c r="F681" i="2"/>
  <c r="I681" i="2" s="1"/>
  <c r="E681" i="2"/>
  <c r="G680" i="2"/>
  <c r="F680" i="2"/>
  <c r="K680" i="2" s="1"/>
  <c r="E680" i="2"/>
  <c r="G679" i="2"/>
  <c r="F679" i="2"/>
  <c r="K679" i="2" s="1"/>
  <c r="F678" i="2"/>
  <c r="F677" i="2"/>
  <c r="I677" i="2" s="1"/>
  <c r="G676" i="2"/>
  <c r="F676" i="2"/>
  <c r="J676" i="2" s="1"/>
  <c r="H676" i="2" s="1"/>
  <c r="E676" i="2"/>
  <c r="F675" i="2"/>
  <c r="K675" i="2" s="1"/>
  <c r="E675" i="2"/>
  <c r="G675" i="2" s="1"/>
  <c r="G674" i="2"/>
  <c r="F674" i="2"/>
  <c r="K674" i="2" s="1"/>
  <c r="E674" i="2"/>
  <c r="G673" i="2"/>
  <c r="F673" i="2"/>
  <c r="I673" i="2" s="1"/>
  <c r="E673" i="2"/>
  <c r="F672" i="2"/>
  <c r="F671" i="2"/>
  <c r="J671" i="2" s="1"/>
  <c r="H671" i="2" s="1"/>
  <c r="G670" i="2"/>
  <c r="F670" i="2"/>
  <c r="E670" i="2"/>
  <c r="G669" i="2"/>
  <c r="F669" i="2"/>
  <c r="K669" i="2" s="1"/>
  <c r="E669" i="2"/>
  <c r="G668" i="2"/>
  <c r="F668" i="2"/>
  <c r="K668" i="2" s="1"/>
  <c r="E668" i="2"/>
  <c r="F667" i="2"/>
  <c r="K667" i="2" s="1"/>
  <c r="E667" i="2"/>
  <c r="G667" i="2" s="1"/>
  <c r="F666" i="2"/>
  <c r="K666" i="2" s="1"/>
  <c r="G665" i="2"/>
  <c r="F665" i="2"/>
  <c r="K665" i="2" s="1"/>
  <c r="E665" i="2"/>
  <c r="G664" i="2"/>
  <c r="F664" i="2"/>
  <c r="G663" i="2"/>
  <c r="F663" i="2"/>
  <c r="K663" i="2" s="1"/>
  <c r="E663" i="2"/>
  <c r="G662" i="2"/>
  <c r="F662" i="2"/>
  <c r="E662" i="2"/>
  <c r="G659" i="2"/>
  <c r="F659" i="2"/>
  <c r="J659" i="2" s="1"/>
  <c r="H659" i="2" s="1"/>
  <c r="E659" i="2"/>
  <c r="G658" i="2"/>
  <c r="F658" i="2"/>
  <c r="K658" i="2" s="1"/>
  <c r="E658" i="2"/>
  <c r="F657" i="2"/>
  <c r="J657" i="2" s="1"/>
  <c r="H657" i="2" s="1"/>
  <c r="E657" i="2"/>
  <c r="G657" i="2" s="1"/>
  <c r="G656" i="2"/>
  <c r="F656" i="2"/>
  <c r="K656" i="2" s="1"/>
  <c r="E656" i="2"/>
  <c r="G655" i="2"/>
  <c r="F655" i="2"/>
  <c r="K655" i="2" s="1"/>
  <c r="E655" i="2"/>
  <c r="G654" i="2"/>
  <c r="E654" i="2"/>
  <c r="G653" i="2"/>
  <c r="K653" i="2"/>
  <c r="G650" i="2"/>
  <c r="F650" i="2"/>
  <c r="E650" i="2"/>
  <c r="G649" i="2"/>
  <c r="F649" i="2"/>
  <c r="K649" i="2" s="1"/>
  <c r="E649" i="2"/>
  <c r="G648" i="2"/>
  <c r="J648" i="2"/>
  <c r="H648" i="2" s="1"/>
  <c r="F645" i="2"/>
  <c r="K645" i="2" s="1"/>
  <c r="E645" i="2"/>
  <c r="G645" i="2" s="1"/>
  <c r="G644" i="2"/>
  <c r="F644" i="2"/>
  <c r="K644" i="2" s="1"/>
  <c r="E644" i="2"/>
  <c r="G643" i="2"/>
  <c r="F643" i="2"/>
  <c r="K643" i="2" s="1"/>
  <c r="E643" i="2"/>
  <c r="G642" i="2"/>
  <c r="F642" i="2"/>
  <c r="E642" i="2"/>
  <c r="G641" i="2"/>
  <c r="F641" i="2"/>
  <c r="J641" i="2" s="1"/>
  <c r="H641" i="2" s="1"/>
  <c r="E641" i="2"/>
  <c r="E640" i="2"/>
  <c r="G639" i="2"/>
  <c r="F639" i="2"/>
  <c r="I639" i="2" s="1"/>
  <c r="E639" i="2"/>
  <c r="G638" i="2"/>
  <c r="F638" i="2"/>
  <c r="K638" i="2" s="1"/>
  <c r="E638" i="2"/>
  <c r="F637" i="2"/>
  <c r="E637" i="2"/>
  <c r="G637" i="2" s="1"/>
  <c r="G636" i="2"/>
  <c r="E636" i="2"/>
  <c r="G633" i="2"/>
  <c r="F633" i="2"/>
  <c r="I633" i="2" s="1"/>
  <c r="E633" i="2"/>
  <c r="G632" i="2"/>
  <c r="F632" i="2"/>
  <c r="K632" i="2" s="1"/>
  <c r="E632" i="2"/>
  <c r="E631" i="2"/>
  <c r="E630" i="2"/>
  <c r="G629" i="2"/>
  <c r="E629" i="2"/>
  <c r="G628" i="2"/>
  <c r="F628" i="2"/>
  <c r="E628" i="2"/>
  <c r="E627" i="2"/>
  <c r="E626" i="2"/>
  <c r="G625" i="2"/>
  <c r="E625" i="2"/>
  <c r="G624" i="2"/>
  <c r="F624" i="2"/>
  <c r="E624" i="2"/>
  <c r="E623" i="2"/>
  <c r="E622" i="2"/>
  <c r="G622" i="2" s="1"/>
  <c r="E621" i="2"/>
  <c r="F621" i="2" s="1"/>
  <c r="I621" i="2" s="1"/>
  <c r="G620" i="2"/>
  <c r="F620" i="2"/>
  <c r="I620" i="2" s="1"/>
  <c r="E620" i="2"/>
  <c r="G619" i="2"/>
  <c r="F619" i="2"/>
  <c r="E619" i="2"/>
  <c r="G618" i="2"/>
  <c r="E618" i="2"/>
  <c r="E615" i="2"/>
  <c r="G614" i="2"/>
  <c r="E614" i="2"/>
  <c r="G613" i="2"/>
  <c r="F613" i="2"/>
  <c r="K613" i="2" s="1"/>
  <c r="E613" i="2"/>
  <c r="E612" i="2"/>
  <c r="G610" i="2"/>
  <c r="F610" i="2"/>
  <c r="K610" i="2" s="1"/>
  <c r="E610" i="2"/>
  <c r="G609" i="2"/>
  <c r="E609" i="2"/>
  <c r="F609" i="2" s="1"/>
  <c r="K609" i="2" s="1"/>
  <c r="G608" i="2"/>
  <c r="F608" i="2"/>
  <c r="J608" i="2" s="1"/>
  <c r="H608" i="2" s="1"/>
  <c r="E608" i="2"/>
  <c r="G607" i="2"/>
  <c r="E607" i="2"/>
  <c r="E606" i="2"/>
  <c r="G603" i="2"/>
  <c r="E603" i="2"/>
  <c r="F603" i="2" s="1"/>
  <c r="J603" i="2" s="1"/>
  <c r="H603" i="2" s="1"/>
  <c r="F602" i="2"/>
  <c r="E602" i="2"/>
  <c r="G602" i="2" s="1"/>
  <c r="E601" i="2"/>
  <c r="G600" i="2"/>
  <c r="F600" i="2"/>
  <c r="E600" i="2"/>
  <c r="E599" i="2"/>
  <c r="G597" i="2"/>
  <c r="F597" i="2"/>
  <c r="K597" i="2" s="1"/>
  <c r="E597" i="2"/>
  <c r="G596" i="2"/>
  <c r="E596" i="2"/>
  <c r="E594" i="2"/>
  <c r="G594" i="2" s="1"/>
  <c r="G593" i="2"/>
  <c r="E593" i="2"/>
  <c r="F593" i="2" s="1"/>
  <c r="J593" i="2" s="1"/>
  <c r="H593" i="2" s="1"/>
  <c r="F592" i="2"/>
  <c r="G591" i="2"/>
  <c r="E591" i="2"/>
  <c r="E590" i="2"/>
  <c r="G589" i="2"/>
  <c r="E589" i="2"/>
  <c r="G588" i="2"/>
  <c r="E588" i="2"/>
  <c r="G587" i="2"/>
  <c r="E587" i="2"/>
  <c r="E584" i="2"/>
  <c r="E583" i="2"/>
  <c r="G583" i="2" s="1"/>
  <c r="G582" i="2"/>
  <c r="E582" i="2"/>
  <c r="F582" i="2" s="1"/>
  <c r="K582" i="2" s="1"/>
  <c r="F581" i="2"/>
  <c r="E580" i="2"/>
  <c r="E579" i="2"/>
  <c r="E578" i="2"/>
  <c r="G577" i="2"/>
  <c r="F577" i="2"/>
  <c r="K577" i="2" s="1"/>
  <c r="E577" i="2"/>
  <c r="E575" i="2"/>
  <c r="G574" i="2"/>
  <c r="E574" i="2"/>
  <c r="F574" i="2" s="1"/>
  <c r="K574" i="2" s="1"/>
  <c r="G573" i="2"/>
  <c r="F573" i="2"/>
  <c r="K573" i="2" s="1"/>
  <c r="E573" i="2"/>
  <c r="G572" i="2"/>
  <c r="F572" i="2"/>
  <c r="I572" i="2" s="1"/>
  <c r="E572" i="2"/>
  <c r="E571" i="2"/>
  <c r="G570" i="2"/>
  <c r="E570" i="2"/>
  <c r="F569" i="2"/>
  <c r="E568" i="2"/>
  <c r="G568" i="2" s="1"/>
  <c r="G566" i="2"/>
  <c r="E566" i="2"/>
  <c r="F566" i="2" s="1"/>
  <c r="I566" i="2" s="1"/>
  <c r="G565" i="2"/>
  <c r="F565" i="2"/>
  <c r="K565" i="2" s="1"/>
  <c r="E565" i="2"/>
  <c r="G564" i="2"/>
  <c r="E564" i="2"/>
  <c r="E563" i="2"/>
  <c r="G561" i="2"/>
  <c r="F561" i="2"/>
  <c r="J561" i="2" s="1"/>
  <c r="H561" i="2" s="1"/>
  <c r="E561" i="2"/>
  <c r="E559" i="2"/>
  <c r="E558" i="2"/>
  <c r="G555" i="2"/>
  <c r="F555" i="2"/>
  <c r="J555" i="2" s="1"/>
  <c r="H555" i="2" s="1"/>
  <c r="E555" i="2"/>
  <c r="G554" i="2"/>
  <c r="F554" i="2"/>
  <c r="I554" i="2" s="1"/>
  <c r="E554" i="2"/>
  <c r="F553" i="2"/>
  <c r="I553" i="2" s="1"/>
  <c r="E553" i="2"/>
  <c r="G551" i="2"/>
  <c r="F551" i="2"/>
  <c r="K551" i="2" s="1"/>
  <c r="E551" i="2"/>
  <c r="G550" i="2"/>
  <c r="E550" i="2"/>
  <c r="F550" i="2" s="1"/>
  <c r="F549" i="2"/>
  <c r="J549" i="2" s="1"/>
  <c r="H549" i="2" s="1"/>
  <c r="E549" i="2"/>
  <c r="G548" i="2"/>
  <c r="E548" i="2"/>
  <c r="G547" i="2"/>
  <c r="F547" i="2"/>
  <c r="K547" i="2" s="1"/>
  <c r="E547" i="2"/>
  <c r="E546" i="2"/>
  <c r="E545" i="2"/>
  <c r="E544" i="2"/>
  <c r="G543" i="2"/>
  <c r="F543" i="2"/>
  <c r="J543" i="2" s="1"/>
  <c r="H543" i="2" s="1"/>
  <c r="E543" i="2"/>
  <c r="F541" i="2"/>
  <c r="I541" i="2" s="1"/>
  <c r="E541" i="2"/>
  <c r="E540" i="2"/>
  <c r="G539" i="2"/>
  <c r="F539" i="2"/>
  <c r="J539" i="2" s="1"/>
  <c r="H539" i="2" s="1"/>
  <c r="E539" i="2"/>
  <c r="G538" i="2"/>
  <c r="F538" i="2"/>
  <c r="I538" i="2" s="1"/>
  <c r="E538" i="2"/>
  <c r="F537" i="2"/>
  <c r="I537" i="2" s="1"/>
  <c r="E537" i="2"/>
  <c r="E536" i="2"/>
  <c r="G535" i="2"/>
  <c r="F535" i="2"/>
  <c r="K535" i="2" s="1"/>
  <c r="E535" i="2"/>
  <c r="G534" i="2"/>
  <c r="E534" i="2"/>
  <c r="J533" i="2"/>
  <c r="H533" i="2" s="1"/>
  <c r="G532" i="2"/>
  <c r="E532" i="2"/>
  <c r="G531" i="2"/>
  <c r="F531" i="2"/>
  <c r="K531" i="2" s="1"/>
  <c r="E531" i="2"/>
  <c r="E530" i="2"/>
  <c r="E528" i="2"/>
  <c r="G525" i="2"/>
  <c r="F525" i="2"/>
  <c r="J525" i="2" s="1"/>
  <c r="H525" i="2" s="1"/>
  <c r="E525" i="2"/>
  <c r="E524" i="2"/>
  <c r="E523" i="2"/>
  <c r="E522" i="2"/>
  <c r="G521" i="2"/>
  <c r="F521" i="2"/>
  <c r="K521" i="2" s="1"/>
  <c r="E521" i="2"/>
  <c r="G520" i="2"/>
  <c r="F520" i="2"/>
  <c r="E520" i="2"/>
  <c r="F519" i="2"/>
  <c r="I519" i="2" s="1"/>
  <c r="E519" i="2"/>
  <c r="E518" i="2"/>
  <c r="F517" i="2"/>
  <c r="K517" i="2" s="1"/>
  <c r="F515" i="2"/>
  <c r="J515" i="2" s="1"/>
  <c r="H515" i="2" s="1"/>
  <c r="E515" i="2"/>
  <c r="E514" i="2"/>
  <c r="F514" i="2" s="1"/>
  <c r="J514" i="2" s="1"/>
  <c r="H514" i="2" s="1"/>
  <c r="G513" i="2"/>
  <c r="F513" i="2"/>
  <c r="K513" i="2" s="1"/>
  <c r="E513" i="2"/>
  <c r="F512" i="2"/>
  <c r="G511" i="2"/>
  <c r="E511" i="2"/>
  <c r="F510" i="2"/>
  <c r="E507" i="2"/>
  <c r="G506" i="2"/>
  <c r="F506" i="2"/>
  <c r="K506" i="2" s="1"/>
  <c r="E506" i="2"/>
  <c r="E505" i="2"/>
  <c r="G504" i="2"/>
  <c r="E504" i="2"/>
  <c r="F504" i="2" s="1"/>
  <c r="J504" i="2" s="1"/>
  <c r="H504" i="2" s="1"/>
  <c r="F503" i="2"/>
  <c r="K503" i="2" s="1"/>
  <c r="E502" i="2"/>
  <c r="I501" i="2"/>
  <c r="E500" i="2"/>
  <c r="G499" i="2"/>
  <c r="E499" i="2"/>
  <c r="G498" i="2"/>
  <c r="F498" i="2"/>
  <c r="K498" i="2" s="1"/>
  <c r="E498" i="2"/>
  <c r="E495" i="2"/>
  <c r="E494" i="2"/>
  <c r="G493" i="2"/>
  <c r="F493" i="2"/>
  <c r="K493" i="2" s="1"/>
  <c r="E493" i="2"/>
  <c r="F492" i="2"/>
  <c r="E492" i="2"/>
  <c r="E491" i="2"/>
  <c r="F490" i="2"/>
  <c r="I490" i="2" s="1"/>
  <c r="E490" i="2"/>
  <c r="E489" i="2"/>
  <c r="G488" i="2"/>
  <c r="F488" i="2"/>
  <c r="J488" i="2" s="1"/>
  <c r="H488" i="2" s="1"/>
  <c r="E488" i="2"/>
  <c r="F487" i="2"/>
  <c r="I487" i="2" s="1"/>
  <c r="E487" i="2"/>
  <c r="G487" i="2" s="1"/>
  <c r="G486" i="2"/>
  <c r="E486" i="2"/>
  <c r="G485" i="2"/>
  <c r="F485" i="2"/>
  <c r="K485" i="2" s="1"/>
  <c r="E485" i="2"/>
  <c r="G483" i="2"/>
  <c r="E483" i="2"/>
  <c r="F482" i="2"/>
  <c r="E482" i="2"/>
  <c r="G481" i="2"/>
  <c r="E481" i="2"/>
  <c r="G480" i="2"/>
  <c r="F480" i="2"/>
  <c r="K480" i="2" s="1"/>
  <c r="E480" i="2"/>
  <c r="E479" i="2"/>
  <c r="E478" i="2"/>
  <c r="G477" i="2"/>
  <c r="F477" i="2"/>
  <c r="I477" i="2" s="1"/>
  <c r="E477" i="2"/>
  <c r="F476" i="2"/>
  <c r="E476" i="2"/>
  <c r="E475" i="2"/>
  <c r="F474" i="2"/>
  <c r="I474" i="2" s="1"/>
  <c r="E474" i="2"/>
  <c r="E473" i="2"/>
  <c r="G472" i="2"/>
  <c r="F472" i="2"/>
  <c r="K472" i="2" s="1"/>
  <c r="E472" i="2"/>
  <c r="F471" i="2"/>
  <c r="I471" i="2" s="1"/>
  <c r="E471" i="2"/>
  <c r="G471" i="2" s="1"/>
  <c r="G470" i="2"/>
  <c r="E470" i="2"/>
  <c r="G469" i="2"/>
  <c r="F469" i="2"/>
  <c r="E469" i="2"/>
  <c r="G468" i="2"/>
  <c r="E468" i="2"/>
  <c r="G467" i="2"/>
  <c r="E467" i="2"/>
  <c r="F466" i="2"/>
  <c r="E466" i="2"/>
  <c r="G465" i="2"/>
  <c r="E465" i="2"/>
  <c r="G464" i="2"/>
  <c r="F464" i="2"/>
  <c r="K464" i="2" s="1"/>
  <c r="E464" i="2"/>
  <c r="E463" i="2"/>
  <c r="E462" i="2"/>
  <c r="J461" i="2"/>
  <c r="H461" i="2" s="1"/>
  <c r="F460" i="2"/>
  <c r="E460" i="2"/>
  <c r="E459" i="2"/>
  <c r="G458" i="2"/>
  <c r="F458" i="2"/>
  <c r="I458" i="2" s="1"/>
  <c r="E458" i="2"/>
  <c r="G457" i="2"/>
  <c r="E457" i="2"/>
  <c r="G456" i="2"/>
  <c r="E456" i="2"/>
  <c r="E455" i="2"/>
  <c r="G454" i="2"/>
  <c r="E454" i="2"/>
  <c r="F454" i="2" s="1"/>
  <c r="I454" i="2" s="1"/>
  <c r="G453" i="2"/>
  <c r="F453" i="2"/>
  <c r="K453" i="2" s="1"/>
  <c r="E453" i="2"/>
  <c r="G452" i="2"/>
  <c r="E452" i="2"/>
  <c r="F452" i="2" s="1"/>
  <c r="I452" i="2" s="1"/>
  <c r="E451" i="2"/>
  <c r="E450" i="2"/>
  <c r="G449" i="2"/>
  <c r="E449" i="2"/>
  <c r="F449" i="2" s="1"/>
  <c r="I449" i="2" s="1"/>
  <c r="G448" i="2"/>
  <c r="F448" i="2"/>
  <c r="I448" i="2" s="1"/>
  <c r="E448" i="2"/>
  <c r="F447" i="2"/>
  <c r="J447" i="2" s="1"/>
  <c r="H447" i="2" s="1"/>
  <c r="E447" i="2"/>
  <c r="G447" i="2" s="1"/>
  <c r="G446" i="2"/>
  <c r="E446" i="2"/>
  <c r="F446" i="2" s="1"/>
  <c r="I446" i="2" s="1"/>
  <c r="K445" i="2"/>
  <c r="G444" i="2"/>
  <c r="E444" i="2"/>
  <c r="G443" i="2"/>
  <c r="F443" i="2"/>
  <c r="E443" i="2"/>
  <c r="G441" i="2"/>
  <c r="E441" i="2"/>
  <c r="F441" i="2" s="1"/>
  <c r="I441" i="2" s="1"/>
  <c r="G440" i="2"/>
  <c r="F440" i="2"/>
  <c r="I440" i="2" s="1"/>
  <c r="E440" i="2"/>
  <c r="G438" i="2"/>
  <c r="E438" i="2"/>
  <c r="F438" i="2" s="1"/>
  <c r="I438" i="2" s="1"/>
  <c r="F437" i="2"/>
  <c r="K437" i="2" s="1"/>
  <c r="G435" i="2"/>
  <c r="E435" i="2"/>
  <c r="G433" i="2"/>
  <c r="F433" i="2"/>
  <c r="E433" i="2"/>
  <c r="G431" i="2"/>
  <c r="E431" i="2"/>
  <c r="F431" i="2" s="1"/>
  <c r="I431" i="2" s="1"/>
  <c r="G430" i="2"/>
  <c r="F430" i="2"/>
  <c r="K430" i="2" s="1"/>
  <c r="E430" i="2"/>
  <c r="G428" i="2"/>
  <c r="E428" i="2"/>
  <c r="F428" i="2" s="1"/>
  <c r="I428" i="2" s="1"/>
  <c r="F427" i="2"/>
  <c r="K427" i="2" s="1"/>
  <c r="E427" i="2"/>
  <c r="E426" i="2"/>
  <c r="F425" i="2"/>
  <c r="E424" i="2"/>
  <c r="G423" i="2"/>
  <c r="E423" i="2"/>
  <c r="F423" i="2" s="1"/>
  <c r="I423" i="2" s="1"/>
  <c r="G422" i="2"/>
  <c r="F422" i="2"/>
  <c r="K422" i="2" s="1"/>
  <c r="E422" i="2"/>
  <c r="G420" i="2"/>
  <c r="E420" i="2"/>
  <c r="F420" i="2" s="1"/>
  <c r="I420" i="2" s="1"/>
  <c r="F419" i="2"/>
  <c r="K419" i="2" s="1"/>
  <c r="E419" i="2"/>
  <c r="E418" i="2"/>
  <c r="G417" i="2"/>
  <c r="F417" i="2"/>
  <c r="E417" i="2"/>
  <c r="E416" i="2"/>
  <c r="F415" i="2"/>
  <c r="I415" i="2" s="1"/>
  <c r="G414" i="2"/>
  <c r="F414" i="2"/>
  <c r="I414" i="2" s="1"/>
  <c r="E414" i="2"/>
  <c r="E411" i="2"/>
  <c r="G410" i="2"/>
  <c r="E410" i="2"/>
  <c r="F410" i="2" s="1"/>
  <c r="I410" i="2" s="1"/>
  <c r="F409" i="2"/>
  <c r="K409" i="2" s="1"/>
  <c r="E409" i="2"/>
  <c r="E408" i="2"/>
  <c r="G407" i="2"/>
  <c r="F407" i="2"/>
  <c r="K407" i="2" s="1"/>
  <c r="E407" i="2"/>
  <c r="E406" i="2"/>
  <c r="G405" i="2"/>
  <c r="E405" i="2"/>
  <c r="F405" i="2" s="1"/>
  <c r="I405" i="2" s="1"/>
  <c r="G404" i="2"/>
  <c r="F404" i="2"/>
  <c r="E404" i="2"/>
  <c r="E403" i="2"/>
  <c r="E402" i="2"/>
  <c r="F401" i="2"/>
  <c r="K401" i="2" s="1"/>
  <c r="E401" i="2"/>
  <c r="E400" i="2"/>
  <c r="G399" i="2"/>
  <c r="F399" i="2"/>
  <c r="K399" i="2" s="1"/>
  <c r="E399" i="2"/>
  <c r="E398" i="2"/>
  <c r="G397" i="2"/>
  <c r="E397" i="2"/>
  <c r="F397" i="2" s="1"/>
  <c r="G396" i="2"/>
  <c r="F396" i="2"/>
  <c r="K396" i="2" s="1"/>
  <c r="E396" i="2"/>
  <c r="F395" i="2"/>
  <c r="G394" i="2"/>
  <c r="F394" i="2"/>
  <c r="I394" i="2" s="1"/>
  <c r="E394" i="2"/>
  <c r="F393" i="2"/>
  <c r="K393" i="2" s="1"/>
  <c r="E393" i="2"/>
  <c r="G391" i="2"/>
  <c r="F391" i="2"/>
  <c r="J391" i="2" s="1"/>
  <c r="H391" i="2" s="1"/>
  <c r="E391" i="2"/>
  <c r="E390" i="2"/>
  <c r="F389" i="2"/>
  <c r="I389" i="2" s="1"/>
  <c r="G388" i="2"/>
  <c r="F388" i="2"/>
  <c r="I388" i="2" s="1"/>
  <c r="E388" i="2"/>
  <c r="F387" i="2"/>
  <c r="J387" i="2" s="1"/>
  <c r="H387" i="2" s="1"/>
  <c r="E386" i="2"/>
  <c r="E385" i="2"/>
  <c r="E384" i="2"/>
  <c r="G383" i="2"/>
  <c r="F383" i="2"/>
  <c r="K383" i="2" s="1"/>
  <c r="E383" i="2"/>
  <c r="E382" i="2"/>
  <c r="G381" i="2"/>
  <c r="E381" i="2"/>
  <c r="F381" i="2" s="1"/>
  <c r="J381" i="2" s="1"/>
  <c r="H381" i="2" s="1"/>
  <c r="G380" i="2"/>
  <c r="F380" i="2"/>
  <c r="K380" i="2" s="1"/>
  <c r="E380" i="2"/>
  <c r="E379" i="2"/>
  <c r="G378" i="2"/>
  <c r="F378" i="2"/>
  <c r="I378" i="2" s="1"/>
  <c r="E378" i="2"/>
  <c r="E377" i="2"/>
  <c r="G376" i="2"/>
  <c r="E376" i="2"/>
  <c r="F375" i="2"/>
  <c r="J375" i="2" s="1"/>
  <c r="H375" i="2" s="1"/>
  <c r="E374" i="2"/>
  <c r="G373" i="2"/>
  <c r="E373" i="2"/>
  <c r="F373" i="2" s="1"/>
  <c r="J373" i="2" s="1"/>
  <c r="H373" i="2" s="1"/>
  <c r="G372" i="2"/>
  <c r="F372" i="2"/>
  <c r="E372" i="2"/>
  <c r="G371" i="2"/>
  <c r="E371" i="2"/>
  <c r="F370" i="2"/>
  <c r="I370" i="2" s="1"/>
  <c r="E369" i="2"/>
  <c r="G368" i="2"/>
  <c r="E368" i="2"/>
  <c r="G367" i="2"/>
  <c r="F367" i="2"/>
  <c r="E367" i="2"/>
  <c r="G365" i="2"/>
  <c r="F365" i="2"/>
  <c r="J365" i="2" s="1"/>
  <c r="H365" i="2" s="1"/>
  <c r="G364" i="2"/>
  <c r="F364" i="2"/>
  <c r="K364" i="2" s="1"/>
  <c r="E364" i="2"/>
  <c r="J363" i="2"/>
  <c r="H363" i="2" s="1"/>
  <c r="E362" i="2"/>
  <c r="F361" i="2"/>
  <c r="K361" i="2" s="1"/>
  <c r="E361" i="2"/>
  <c r="G357" i="2"/>
  <c r="F357" i="2"/>
  <c r="E357" i="2"/>
  <c r="E356" i="2"/>
  <c r="G355" i="2"/>
  <c r="E355" i="2"/>
  <c r="F355" i="2" s="1"/>
  <c r="J355" i="2" s="1"/>
  <c r="H355" i="2" s="1"/>
  <c r="G354" i="2"/>
  <c r="F354" i="2"/>
  <c r="E354" i="2"/>
  <c r="E352" i="2"/>
  <c r="E351" i="2"/>
  <c r="E350" i="2"/>
  <c r="G349" i="2"/>
  <c r="F349" i="2"/>
  <c r="J349" i="2" s="1"/>
  <c r="H349" i="2" s="1"/>
  <c r="E349" i="2"/>
  <c r="E348" i="2"/>
  <c r="G347" i="2"/>
  <c r="E347" i="2"/>
  <c r="F347" i="2" s="1"/>
  <c r="G346" i="2"/>
  <c r="F346" i="2"/>
  <c r="I346" i="2" s="1"/>
  <c r="E346" i="2"/>
  <c r="G345" i="2"/>
  <c r="F345" i="2"/>
  <c r="J345" i="2" s="1"/>
  <c r="H345" i="2" s="1"/>
  <c r="E345" i="2"/>
  <c r="E344" i="2"/>
  <c r="F343" i="2"/>
  <c r="K343" i="2" s="1"/>
  <c r="E343" i="2"/>
  <c r="G342" i="2"/>
  <c r="E342" i="2"/>
  <c r="G341" i="2"/>
  <c r="F341" i="2"/>
  <c r="I341" i="2" s="1"/>
  <c r="E341" i="2"/>
  <c r="F340" i="2"/>
  <c r="G339" i="2"/>
  <c r="E339" i="2"/>
  <c r="G338" i="2"/>
  <c r="F338" i="2"/>
  <c r="K338" i="2" s="1"/>
  <c r="E338" i="2"/>
  <c r="E336" i="2"/>
  <c r="E335" i="2"/>
  <c r="E333" i="2"/>
  <c r="G331" i="2"/>
  <c r="F331" i="2"/>
  <c r="K331" i="2" s="1"/>
  <c r="E331" i="2"/>
  <c r="E329" i="2"/>
  <c r="E328" i="2"/>
  <c r="G326" i="2"/>
  <c r="F326" i="2"/>
  <c r="E326" i="2"/>
  <c r="E325" i="2"/>
  <c r="E324" i="2"/>
  <c r="G323" i="2"/>
  <c r="F323" i="2"/>
  <c r="J323" i="2" s="1"/>
  <c r="H323" i="2" s="1"/>
  <c r="E323" i="2"/>
  <c r="E322" i="2"/>
  <c r="F321" i="2"/>
  <c r="I321" i="2" s="1"/>
  <c r="E320" i="2"/>
  <c r="E319" i="2"/>
  <c r="E318" i="2"/>
  <c r="F317" i="2"/>
  <c r="J317" i="2" s="1"/>
  <c r="H317" i="2" s="1"/>
  <c r="E317" i="2"/>
  <c r="G317" i="2" s="1"/>
  <c r="E316" i="2"/>
  <c r="G315" i="2"/>
  <c r="F315" i="2"/>
  <c r="E315" i="2"/>
  <c r="E314" i="2"/>
  <c r="G312" i="2"/>
  <c r="F312" i="2"/>
  <c r="I312" i="2" s="1"/>
  <c r="E312" i="2"/>
  <c r="G311" i="2"/>
  <c r="F311" i="2"/>
  <c r="J311" i="2" s="1"/>
  <c r="H311" i="2" s="1"/>
  <c r="E311" i="2"/>
  <c r="E310" i="2"/>
  <c r="G308" i="2"/>
  <c r="E308" i="2"/>
  <c r="F308" i="2" s="1"/>
  <c r="J308" i="2" s="1"/>
  <c r="H308" i="2" s="1"/>
  <c r="G307" i="2"/>
  <c r="F307" i="2"/>
  <c r="J307" i="2" s="1"/>
  <c r="H307" i="2" s="1"/>
  <c r="E307" i="2"/>
  <c r="F306" i="2"/>
  <c r="E306" i="2"/>
  <c r="G304" i="2"/>
  <c r="E304" i="2"/>
  <c r="G301" i="2"/>
  <c r="F301" i="2"/>
  <c r="E301" i="2"/>
  <c r="G300" i="2"/>
  <c r="F300" i="2"/>
  <c r="J300" i="2" s="1"/>
  <c r="H300" i="2" s="1"/>
  <c r="E300" i="2"/>
  <c r="E299" i="2"/>
  <c r="E298" i="2"/>
  <c r="G297" i="2"/>
  <c r="F297" i="2"/>
  <c r="E297" i="2"/>
  <c r="E296" i="2"/>
  <c r="G295" i="2"/>
  <c r="F295" i="2"/>
  <c r="I295" i="2" s="1"/>
  <c r="E295" i="2"/>
  <c r="E294" i="2"/>
  <c r="E293" i="2"/>
  <c r="F292" i="2"/>
  <c r="E291" i="2"/>
  <c r="E290" i="2"/>
  <c r="G289" i="2"/>
  <c r="F289" i="2"/>
  <c r="E289" i="2"/>
  <c r="G288" i="2"/>
  <c r="E288" i="2"/>
  <c r="F288" i="2" s="1"/>
  <c r="K288" i="2" s="1"/>
  <c r="G287" i="2"/>
  <c r="F287" i="2"/>
  <c r="I287" i="2" s="1"/>
  <c r="E287" i="2"/>
  <c r="E286" i="2"/>
  <c r="G285" i="2"/>
  <c r="E285" i="2"/>
  <c r="E284" i="2"/>
  <c r="E283" i="2"/>
  <c r="E282" i="2"/>
  <c r="G281" i="2"/>
  <c r="F281" i="2"/>
  <c r="I281" i="2" s="1"/>
  <c r="E281" i="2"/>
  <c r="E280" i="2"/>
  <c r="G279" i="2"/>
  <c r="E279" i="2"/>
  <c r="F278" i="2"/>
  <c r="E277" i="2"/>
  <c r="G276" i="2"/>
  <c r="F276" i="2"/>
  <c r="K276" i="2" s="1"/>
  <c r="E276" i="2"/>
  <c r="F275" i="2"/>
  <c r="E275" i="2"/>
  <c r="G274" i="2"/>
  <c r="E274" i="2"/>
  <c r="F274" i="2" s="1"/>
  <c r="K274" i="2" s="1"/>
  <c r="G273" i="2"/>
  <c r="F273" i="2"/>
  <c r="I273" i="2" s="1"/>
  <c r="E273" i="2"/>
  <c r="E272" i="2"/>
  <c r="G272" i="2" s="1"/>
  <c r="G271" i="2"/>
  <c r="F271" i="2"/>
  <c r="E271" i="2"/>
  <c r="F270" i="2"/>
  <c r="E270" i="2"/>
  <c r="G269" i="2"/>
  <c r="F269" i="2"/>
  <c r="K269" i="2" s="1"/>
  <c r="E269" i="2"/>
  <c r="E268" i="2"/>
  <c r="G268" i="2" s="1"/>
  <c r="F267" i="2"/>
  <c r="E266" i="2"/>
  <c r="G265" i="2"/>
  <c r="F265" i="2"/>
  <c r="J265" i="2" s="1"/>
  <c r="H265" i="2" s="1"/>
  <c r="E265" i="2"/>
  <c r="G264" i="2"/>
  <c r="F264" i="2"/>
  <c r="J264" i="2" s="1"/>
  <c r="H264" i="2" s="1"/>
  <c r="E264" i="2"/>
  <c r="E263" i="2"/>
  <c r="G262" i="2"/>
  <c r="F262" i="2"/>
  <c r="K262" i="2" s="1"/>
  <c r="E262" i="2"/>
  <c r="F261" i="2"/>
  <c r="F259" i="2"/>
  <c r="E259" i="2"/>
  <c r="G257" i="2"/>
  <c r="F257" i="2"/>
  <c r="K257" i="2" s="1"/>
  <c r="E257" i="2"/>
  <c r="E256" i="2"/>
  <c r="G256" i="2" s="1"/>
  <c r="E255" i="2"/>
  <c r="G255" i="2" s="1"/>
  <c r="G254" i="2"/>
  <c r="F254" i="2"/>
  <c r="I254" i="2" s="1"/>
  <c r="E254" i="2"/>
  <c r="G252" i="2"/>
  <c r="F252" i="2"/>
  <c r="E252" i="2"/>
  <c r="G250" i="2"/>
  <c r="F250" i="2"/>
  <c r="E250" i="2"/>
  <c r="E248" i="2"/>
  <c r="G247" i="2"/>
  <c r="F247" i="2"/>
  <c r="J247" i="2" s="1"/>
  <c r="H247" i="2" s="1"/>
  <c r="E247" i="2"/>
  <c r="E244" i="2"/>
  <c r="G244" i="2" s="1"/>
  <c r="G242" i="2"/>
  <c r="F242" i="2"/>
  <c r="K242" i="2" s="1"/>
  <c r="E242" i="2"/>
  <c r="G241" i="2"/>
  <c r="F241" i="2"/>
  <c r="E241" i="2"/>
  <c r="E240" i="2"/>
  <c r="E239" i="2"/>
  <c r="E238" i="2"/>
  <c r="F237" i="2"/>
  <c r="K237" i="2" s="1"/>
  <c r="E236" i="2"/>
  <c r="G236" i="2" s="1"/>
  <c r="E235" i="2"/>
  <c r="G235" i="2" s="1"/>
  <c r="G234" i="2"/>
  <c r="F234" i="2"/>
  <c r="K234" i="2" s="1"/>
  <c r="E234" i="2"/>
  <c r="G233" i="2"/>
  <c r="F233" i="2"/>
  <c r="E233" i="2"/>
  <c r="F231" i="2"/>
  <c r="E231" i="2"/>
  <c r="E230" i="2"/>
  <c r="G229" i="2"/>
  <c r="F229" i="2"/>
  <c r="J229" i="2" s="1"/>
  <c r="H229" i="2" s="1"/>
  <c r="E229" i="2"/>
  <c r="E228" i="2"/>
  <c r="G228" i="2" s="1"/>
  <c r="E225" i="2"/>
  <c r="G225" i="2" s="1"/>
  <c r="G224" i="2"/>
  <c r="F224" i="2"/>
  <c r="I224" i="2" s="1"/>
  <c r="E224" i="2"/>
  <c r="F223" i="2"/>
  <c r="F222" i="2"/>
  <c r="E222" i="2"/>
  <c r="E221" i="2"/>
  <c r="E220" i="2"/>
  <c r="G219" i="2"/>
  <c r="F219" i="2"/>
  <c r="K219" i="2" s="1"/>
  <c r="E219" i="2"/>
  <c r="E217" i="2"/>
  <c r="G217" i="2" s="1"/>
  <c r="G216" i="2"/>
  <c r="F216" i="2"/>
  <c r="J216" i="2" s="1"/>
  <c r="H216" i="2" s="1"/>
  <c r="E216" i="2"/>
  <c r="G215" i="2"/>
  <c r="F215" i="2"/>
  <c r="E215" i="2"/>
  <c r="E214" i="2"/>
  <c r="E213" i="2"/>
  <c r="E212" i="2"/>
  <c r="G211" i="2"/>
  <c r="F211" i="2"/>
  <c r="K211" i="2" s="1"/>
  <c r="E211" i="2"/>
  <c r="E209" i="2"/>
  <c r="G209" i="2" s="1"/>
  <c r="G206" i="2"/>
  <c r="F206" i="2"/>
  <c r="I206" i="2" s="1"/>
  <c r="E206" i="2"/>
  <c r="G205" i="2"/>
  <c r="F205" i="2"/>
  <c r="J205" i="2" s="1"/>
  <c r="H205" i="2" s="1"/>
  <c r="E205" i="2"/>
  <c r="F203" i="2"/>
  <c r="E203" i="2"/>
  <c r="F201" i="2"/>
  <c r="E201" i="2"/>
  <c r="E199" i="2"/>
  <c r="G199" i="2" s="1"/>
  <c r="F198" i="2"/>
  <c r="K198" i="2" s="1"/>
  <c r="G197" i="2"/>
  <c r="F197" i="2"/>
  <c r="E197" i="2"/>
  <c r="G196" i="2"/>
  <c r="F196" i="2"/>
  <c r="I196" i="2" s="1"/>
  <c r="E196" i="2"/>
  <c r="F195" i="2"/>
  <c r="E194" i="2"/>
  <c r="F193" i="2"/>
  <c r="K193" i="2" s="1"/>
  <c r="E192" i="2"/>
  <c r="E191" i="2"/>
  <c r="G191" i="2" s="1"/>
  <c r="G190" i="2"/>
  <c r="J190" i="2"/>
  <c r="H190" i="2" s="1"/>
  <c r="G189" i="2"/>
  <c r="F189" i="2"/>
  <c r="J189" i="2" s="1"/>
  <c r="H189" i="2" s="1"/>
  <c r="E189" i="2"/>
  <c r="E188" i="2"/>
  <c r="G186" i="2"/>
  <c r="E186" i="2"/>
  <c r="F185" i="2"/>
  <c r="K185" i="2" s="1"/>
  <c r="E185" i="2"/>
  <c r="E184" i="2"/>
  <c r="E183" i="2"/>
  <c r="G183" i="2" s="1"/>
  <c r="G180" i="2"/>
  <c r="F180" i="2"/>
  <c r="I180" i="2" s="1"/>
  <c r="E180" i="2"/>
  <c r="G179" i="2"/>
  <c r="F179" i="2"/>
  <c r="K179" i="2" s="1"/>
  <c r="E179" i="2"/>
  <c r="F178" i="2"/>
  <c r="I178" i="2" s="1"/>
  <c r="E178" i="2"/>
  <c r="E177" i="2"/>
  <c r="F176" i="2"/>
  <c r="E176" i="2"/>
  <c r="E175" i="2"/>
  <c r="E174" i="2"/>
  <c r="E173" i="2"/>
  <c r="G173" i="2" s="1"/>
  <c r="G172" i="2"/>
  <c r="F172" i="2"/>
  <c r="J172" i="2" s="1"/>
  <c r="H172" i="2" s="1"/>
  <c r="E172" i="2"/>
  <c r="G171" i="2"/>
  <c r="F171" i="2"/>
  <c r="E171" i="2"/>
  <c r="E170" i="2"/>
  <c r="F169" i="2"/>
  <c r="E168" i="2"/>
  <c r="F167" i="2"/>
  <c r="K167" i="2" s="1"/>
  <c r="E167" i="2"/>
  <c r="E166" i="2"/>
  <c r="E165" i="2"/>
  <c r="G165" i="2" s="1"/>
  <c r="G164" i="2"/>
  <c r="F164" i="2"/>
  <c r="I164" i="2" s="1"/>
  <c r="E164" i="2"/>
  <c r="F163" i="2"/>
  <c r="K163" i="2" s="1"/>
  <c r="E162" i="2"/>
  <c r="E161" i="2"/>
  <c r="G159" i="2"/>
  <c r="E159" i="2"/>
  <c r="F158" i="2"/>
  <c r="J158" i="2" s="1"/>
  <c r="H158" i="2" s="1"/>
  <c r="E158" i="2"/>
  <c r="G158" i="2" s="1"/>
  <c r="E157" i="2"/>
  <c r="G156" i="2"/>
  <c r="F156" i="2"/>
  <c r="J156" i="2" s="1"/>
  <c r="H156" i="2" s="1"/>
  <c r="E156" i="2"/>
  <c r="G155" i="2"/>
  <c r="F155" i="2"/>
  <c r="K155" i="2" s="1"/>
  <c r="E155" i="2"/>
  <c r="E154" i="2"/>
  <c r="E152" i="2"/>
  <c r="F151" i="2"/>
  <c r="I151" i="2" s="1"/>
  <c r="E151" i="2"/>
  <c r="G151" i="2" s="1"/>
  <c r="F150" i="2"/>
  <c r="K150" i="2" s="1"/>
  <c r="E150" i="2"/>
  <c r="G150" i="2" s="1"/>
  <c r="E149" i="2"/>
  <c r="G148" i="2"/>
  <c r="F148" i="2"/>
  <c r="K148" i="2" s="1"/>
  <c r="E148" i="2"/>
  <c r="E147" i="2"/>
  <c r="F146" i="2"/>
  <c r="J146" i="2" s="1"/>
  <c r="H146" i="2" s="1"/>
  <c r="E146" i="2"/>
  <c r="G145" i="2"/>
  <c r="F145" i="2"/>
  <c r="K145" i="2" s="1"/>
  <c r="E145" i="2"/>
  <c r="E144" i="2"/>
  <c r="E143" i="2"/>
  <c r="F142" i="2"/>
  <c r="I142" i="2" s="1"/>
  <c r="G141" i="2"/>
  <c r="E141" i="2"/>
  <c r="F141" i="2" s="1"/>
  <c r="I141" i="2" s="1"/>
  <c r="G140" i="2"/>
  <c r="F140" i="2"/>
  <c r="E140" i="2"/>
  <c r="E139" i="2"/>
  <c r="E138" i="2"/>
  <c r="F137" i="2"/>
  <c r="K137" i="2" s="1"/>
  <c r="E137" i="2"/>
  <c r="G136" i="2"/>
  <c r="F136" i="2"/>
  <c r="K136" i="2" s="1"/>
  <c r="E136" i="2"/>
  <c r="E132" i="2"/>
  <c r="G132" i="2" s="1"/>
  <c r="G131" i="2"/>
  <c r="E131" i="2"/>
  <c r="F131" i="2" s="1"/>
  <c r="K131" i="2" s="1"/>
  <c r="G130" i="2"/>
  <c r="F130" i="2"/>
  <c r="J130" i="2" s="1"/>
  <c r="H130" i="2" s="1"/>
  <c r="E130" i="2"/>
  <c r="G129" i="2"/>
  <c r="F129" i="2"/>
  <c r="K129" i="2" s="1"/>
  <c r="E129" i="2"/>
  <c r="E127" i="2"/>
  <c r="F126" i="2"/>
  <c r="K126" i="2" s="1"/>
  <c r="E126" i="2"/>
  <c r="G125" i="2"/>
  <c r="F125" i="2"/>
  <c r="K125" i="2" s="1"/>
  <c r="E125" i="2"/>
  <c r="E124" i="2"/>
  <c r="E123" i="2"/>
  <c r="F123" i="2" s="1"/>
  <c r="G122" i="2"/>
  <c r="F122" i="2"/>
  <c r="K122" i="2" s="1"/>
  <c r="E122" i="2"/>
  <c r="F121" i="2"/>
  <c r="K121" i="2" s="1"/>
  <c r="E121" i="2"/>
  <c r="G121" i="2" s="1"/>
  <c r="G120" i="2"/>
  <c r="F120" i="2"/>
  <c r="J120" i="2" s="1"/>
  <c r="H120" i="2" s="1"/>
  <c r="E120" i="2"/>
  <c r="E119" i="2"/>
  <c r="E118" i="2"/>
  <c r="F117" i="2"/>
  <c r="I117" i="2" s="1"/>
  <c r="E117" i="2"/>
  <c r="G117" i="2" s="1"/>
  <c r="K116" i="2"/>
  <c r="G116" i="2"/>
  <c r="E115" i="2"/>
  <c r="G114" i="2"/>
  <c r="F114" i="2"/>
  <c r="K114" i="2" s="1"/>
  <c r="E114" i="2"/>
  <c r="E111" i="2"/>
  <c r="F110" i="2"/>
  <c r="J110" i="2" s="1"/>
  <c r="H110" i="2" s="1"/>
  <c r="E110" i="2"/>
  <c r="F109" i="2"/>
  <c r="K109" i="2" s="1"/>
  <c r="E108" i="2"/>
  <c r="E107" i="2"/>
  <c r="F106" i="2"/>
  <c r="I106" i="2" s="1"/>
  <c r="E106" i="2"/>
  <c r="G106" i="2" s="1"/>
  <c r="F105" i="2"/>
  <c r="I105" i="2" s="1"/>
  <c r="G104" i="2"/>
  <c r="F104" i="2"/>
  <c r="E104" i="2"/>
  <c r="E103" i="2"/>
  <c r="E102" i="2"/>
  <c r="F101" i="2"/>
  <c r="K101" i="2" s="1"/>
  <c r="G100" i="2"/>
  <c r="F100" i="2"/>
  <c r="J100" i="2" s="1"/>
  <c r="H100" i="2" s="1"/>
  <c r="E100" i="2"/>
  <c r="E99" i="2"/>
  <c r="E98" i="2"/>
  <c r="E97" i="2"/>
  <c r="F96" i="2"/>
  <c r="J96" i="2" s="1"/>
  <c r="H96" i="2" s="1"/>
  <c r="F95" i="2"/>
  <c r="J95" i="2" s="1"/>
  <c r="H95" i="2" s="1"/>
  <c r="E95" i="2"/>
  <c r="G95" i="2" s="1"/>
  <c r="E94" i="2"/>
  <c r="G94" i="2" s="1"/>
  <c r="G93" i="2"/>
  <c r="K93" i="2"/>
  <c r="G92" i="2"/>
  <c r="F92" i="2"/>
  <c r="K92" i="2" s="1"/>
  <c r="E92" i="2"/>
  <c r="E89" i="2"/>
  <c r="E88" i="2"/>
  <c r="E87" i="2"/>
  <c r="G86" i="2"/>
  <c r="F86" i="2"/>
  <c r="K86" i="2" s="1"/>
  <c r="E86" i="2"/>
  <c r="F85" i="2"/>
  <c r="K85" i="2" s="1"/>
  <c r="E85" i="2"/>
  <c r="G85" i="2" s="1"/>
  <c r="E84" i="2"/>
  <c r="G84" i="2" s="1"/>
  <c r="G83" i="2"/>
  <c r="F83" i="2"/>
  <c r="K83" i="2" s="1"/>
  <c r="E83" i="2"/>
  <c r="G82" i="2"/>
  <c r="F82" i="2"/>
  <c r="K82" i="2" s="1"/>
  <c r="E82" i="2"/>
  <c r="E80" i="2"/>
  <c r="E79" i="2"/>
  <c r="G78" i="2"/>
  <c r="F78" i="2"/>
  <c r="K78" i="2" s="1"/>
  <c r="E78" i="2"/>
  <c r="F77" i="2"/>
  <c r="K77" i="2" s="1"/>
  <c r="E77" i="2"/>
  <c r="G77" i="2" s="1"/>
  <c r="E76" i="2"/>
  <c r="G76" i="2" s="1"/>
  <c r="G75" i="2"/>
  <c r="K75" i="2"/>
  <c r="G74" i="2"/>
  <c r="F74" i="2"/>
  <c r="K74" i="2" s="1"/>
  <c r="E74" i="2"/>
  <c r="E73" i="2"/>
  <c r="F72" i="2"/>
  <c r="E71" i="2"/>
  <c r="G68" i="2"/>
  <c r="F68" i="2"/>
  <c r="K68" i="2" s="1"/>
  <c r="E68" i="2"/>
  <c r="F67" i="2"/>
  <c r="I67" i="2" s="1"/>
  <c r="E67" i="2"/>
  <c r="G67" i="2" s="1"/>
  <c r="E66" i="2"/>
  <c r="G66" i="2" s="1"/>
  <c r="G65" i="2"/>
  <c r="F65" i="2"/>
  <c r="K65" i="2" s="1"/>
  <c r="E65" i="2"/>
  <c r="G64" i="2"/>
  <c r="G63" i="2"/>
  <c r="E63" i="2"/>
  <c r="E62" i="2"/>
  <c r="E61" i="2"/>
  <c r="G60" i="2"/>
  <c r="F60" i="2"/>
  <c r="I60" i="2" s="1"/>
  <c r="E60" i="2"/>
  <c r="F59" i="2"/>
  <c r="I59" i="2" s="1"/>
  <c r="E59" i="2"/>
  <c r="G59" i="2" s="1"/>
  <c r="E58" i="2"/>
  <c r="G58" i="2" s="1"/>
  <c r="G57" i="2"/>
  <c r="F57" i="2"/>
  <c r="K57" i="2" s="1"/>
  <c r="E57" i="2"/>
  <c r="F56" i="2"/>
  <c r="G55" i="2"/>
  <c r="F55" i="2"/>
  <c r="E55" i="2"/>
  <c r="E54" i="2"/>
  <c r="E53" i="2"/>
  <c r="G52" i="2"/>
  <c r="F52" i="2"/>
  <c r="K52" i="2" s="1"/>
  <c r="E52" i="2"/>
  <c r="F51" i="2"/>
  <c r="K51" i="2" s="1"/>
  <c r="E51" i="2"/>
  <c r="G51" i="2" s="1"/>
  <c r="F49" i="2"/>
  <c r="G48" i="2"/>
  <c r="F48" i="2"/>
  <c r="E48" i="2"/>
  <c r="E47" i="2"/>
  <c r="E46" i="2"/>
  <c r="E45" i="2"/>
  <c r="G44" i="2"/>
  <c r="F44" i="2"/>
  <c r="K44" i="2" s="1"/>
  <c r="E44" i="2"/>
  <c r="F43" i="2"/>
  <c r="I43" i="2" s="1"/>
  <c r="E43" i="2"/>
  <c r="G43" i="2" s="1"/>
  <c r="G42" i="2"/>
  <c r="E42" i="2"/>
  <c r="F41" i="2"/>
  <c r="K41" i="2" s="1"/>
  <c r="G40" i="2"/>
  <c r="E40" i="2"/>
  <c r="E39" i="2"/>
  <c r="E38" i="2"/>
  <c r="G36" i="2"/>
  <c r="F36" i="2"/>
  <c r="J36" i="2" s="1"/>
  <c r="H36" i="2" s="1"/>
  <c r="E36" i="2"/>
  <c r="I35" i="2"/>
  <c r="F35" i="2"/>
  <c r="K35" i="2" s="1"/>
  <c r="E35" i="2"/>
  <c r="G35" i="2" s="1"/>
  <c r="E34" i="2"/>
  <c r="G34" i="2" s="1"/>
  <c r="G33" i="2"/>
  <c r="F33" i="2"/>
  <c r="K33" i="2" s="1"/>
  <c r="E33" i="2"/>
  <c r="F32" i="2"/>
  <c r="K32" i="2" s="1"/>
  <c r="G31" i="2"/>
  <c r="E31" i="2"/>
  <c r="F28" i="2"/>
  <c r="K28" i="2" s="1"/>
  <c r="E28" i="2"/>
  <c r="E27" i="2"/>
  <c r="K26" i="2"/>
  <c r="F25" i="2"/>
  <c r="K25" i="2" s="1"/>
  <c r="E25" i="2"/>
  <c r="G25" i="2" s="1"/>
  <c r="E24" i="2"/>
  <c r="G23" i="2"/>
  <c r="F23" i="2"/>
  <c r="K23" i="2" s="1"/>
  <c r="E23" i="2"/>
  <c r="F22" i="2"/>
  <c r="E22" i="2"/>
  <c r="G21" i="2"/>
  <c r="F21" i="2"/>
  <c r="J21" i="2" s="1"/>
  <c r="H21" i="2" s="1"/>
  <c r="E21" i="2"/>
  <c r="F20" i="2"/>
  <c r="E20" i="2"/>
  <c r="E19" i="2"/>
  <c r="J18" i="2"/>
  <c r="H18" i="2" s="1"/>
  <c r="G18" i="2"/>
  <c r="K18" i="2"/>
  <c r="F15" i="2"/>
  <c r="K15" i="2" s="1"/>
  <c r="E15" i="2"/>
  <c r="G15" i="2" s="1"/>
  <c r="E14" i="2"/>
  <c r="G13" i="2"/>
  <c r="F13" i="2"/>
  <c r="K13" i="2" s="1"/>
  <c r="E13" i="2"/>
  <c r="F12" i="2"/>
  <c r="K12" i="2" s="1"/>
  <c r="E12" i="2"/>
  <c r="G11" i="2"/>
  <c r="E11" i="2"/>
  <c r="G10" i="2"/>
  <c r="E10" i="2"/>
  <c r="G8" i="2"/>
  <c r="E8" i="2"/>
  <c r="F8" i="2" s="1"/>
  <c r="K8" i="2" s="1"/>
  <c r="F7" i="2"/>
  <c r="J7" i="2" s="1"/>
  <c r="H7" i="2" s="1"/>
  <c r="G6" i="2"/>
  <c r="E6" i="2"/>
  <c r="F6" i="2" s="1"/>
  <c r="K6" i="2" s="1"/>
  <c r="G5" i="2"/>
  <c r="F5" i="2"/>
  <c r="K5" i="2" s="1"/>
  <c r="E5" i="2"/>
  <c r="G4" i="2"/>
  <c r="F4" i="2"/>
  <c r="I4" i="2" s="1"/>
  <c r="E4" i="2"/>
  <c r="F3" i="2"/>
  <c r="J3" i="2" s="1"/>
  <c r="H3" i="2" s="1"/>
  <c r="J13" i="2" l="1"/>
  <c r="H13" i="2" s="1"/>
  <c r="K7" i="2"/>
  <c r="I7" i="2"/>
  <c r="I13" i="2"/>
  <c r="I28" i="2"/>
  <c r="I12" i="2"/>
  <c r="I741" i="2"/>
  <c r="I675" i="2"/>
  <c r="I472" i="2"/>
  <c r="J472" i="2"/>
  <c r="H472" i="2" s="1"/>
  <c r="J537" i="2"/>
  <c r="H537" i="2" s="1"/>
  <c r="J454" i="2"/>
  <c r="H454" i="2" s="1"/>
  <c r="I679" i="2"/>
  <c r="I116" i="2"/>
  <c r="K229" i="2"/>
  <c r="J237" i="2"/>
  <c r="J448" i="2"/>
  <c r="H448" i="2" s="1"/>
  <c r="J180" i="2"/>
  <c r="H180" i="2" s="1"/>
  <c r="J35" i="2"/>
  <c r="H35" i="2" s="1"/>
  <c r="I85" i="2"/>
  <c r="I95" i="2"/>
  <c r="I172" i="2"/>
  <c r="K388" i="2"/>
  <c r="K721" i="2"/>
  <c r="I734" i="2"/>
  <c r="K744" i="2"/>
  <c r="K156" i="2"/>
  <c r="K323" i="2"/>
  <c r="K346" i="2"/>
  <c r="K633" i="2"/>
  <c r="I638" i="2"/>
  <c r="I683" i="2"/>
  <c r="K36" i="2"/>
  <c r="J405" i="2"/>
  <c r="H405" i="2" s="1"/>
  <c r="I198" i="2"/>
  <c r="J49" i="2"/>
  <c r="J67" i="2"/>
  <c r="H67" i="2" s="1"/>
  <c r="K734" i="2"/>
  <c r="J480" i="2"/>
  <c r="H480" i="2" s="1"/>
  <c r="K659" i="2"/>
  <c r="J666" i="2"/>
  <c r="K677" i="2" s="1"/>
  <c r="I666" i="2"/>
  <c r="I137" i="2"/>
  <c r="J141" i="2"/>
  <c r="H141" i="2" s="1"/>
  <c r="J655" i="2"/>
  <c r="H655" i="2" s="1"/>
  <c r="J669" i="2"/>
  <c r="H669" i="2" s="1"/>
  <c r="J155" i="2"/>
  <c r="H155" i="2" s="1"/>
  <c r="I158" i="2"/>
  <c r="J167" i="2"/>
  <c r="H167" i="2" s="1"/>
  <c r="J254" i="2"/>
  <c r="H254" i="2" s="1"/>
  <c r="J273" i="2"/>
  <c r="H273" i="2" s="1"/>
  <c r="K391" i="2"/>
  <c r="I547" i="2"/>
  <c r="K687" i="2"/>
  <c r="K728" i="2"/>
  <c r="I49" i="2"/>
  <c r="I96" i="2"/>
  <c r="K490" i="2"/>
  <c r="K555" i="2"/>
  <c r="J193" i="2"/>
  <c r="H193" i="2" s="1"/>
  <c r="I555" i="2"/>
  <c r="J41" i="2"/>
  <c r="K43" i="2"/>
  <c r="J78" i="2"/>
  <c r="H78" i="2" s="1"/>
  <c r="J125" i="2"/>
  <c r="H125" i="2" s="1"/>
  <c r="J340" i="2"/>
  <c r="K389" i="2" s="1"/>
  <c r="I373" i="2"/>
  <c r="J565" i="2"/>
  <c r="H565" i="2" s="1"/>
  <c r="I582" i="2"/>
  <c r="J621" i="2"/>
  <c r="H621" i="2" s="1"/>
  <c r="J677" i="2"/>
  <c r="K723" i="2" s="1"/>
  <c r="K737" i="2"/>
  <c r="J762" i="2"/>
  <c r="H762" i="2" s="1"/>
  <c r="I641" i="2"/>
  <c r="K440" i="2"/>
  <c r="K641" i="2"/>
  <c r="I656" i="2"/>
  <c r="I513" i="2"/>
  <c r="I41" i="2"/>
  <c r="K59" i="2"/>
  <c r="J126" i="2"/>
  <c r="H126" i="2" s="1"/>
  <c r="K172" i="2"/>
  <c r="I193" i="2"/>
  <c r="K514" i="2"/>
  <c r="J639" i="2"/>
  <c r="H639" i="2" s="1"/>
  <c r="I700" i="2"/>
  <c r="I720" i="2"/>
  <c r="I608" i="2"/>
  <c r="J52" i="2"/>
  <c r="H52" i="2" s="1"/>
  <c r="J105" i="2"/>
  <c r="I109" i="2"/>
  <c r="K639" i="2"/>
  <c r="J720" i="2"/>
  <c r="H720" i="2" s="1"/>
  <c r="J224" i="2"/>
  <c r="H224" i="2" s="1"/>
  <c r="I565" i="2"/>
  <c r="K657" i="2"/>
  <c r="K671" i="2"/>
  <c r="I691" i="2"/>
  <c r="J713" i="2"/>
  <c r="I727" i="2"/>
  <c r="J242" i="2"/>
  <c r="H242" i="2" s="1"/>
  <c r="I391" i="2"/>
  <c r="J440" i="2"/>
  <c r="H440" i="2" s="1"/>
  <c r="I561" i="2"/>
  <c r="I725" i="2"/>
  <c r="J23" i="2"/>
  <c r="H23" i="2" s="1"/>
  <c r="I57" i="2"/>
  <c r="K67" i="2"/>
  <c r="I83" i="2"/>
  <c r="I86" i="2"/>
  <c r="J116" i="2"/>
  <c r="H116" i="2" s="1"/>
  <c r="I120" i="2"/>
  <c r="K141" i="2"/>
  <c r="I145" i="2"/>
  <c r="I156" i="2"/>
  <c r="I185" i="2"/>
  <c r="J198" i="2"/>
  <c r="K224" i="2"/>
  <c r="I257" i="2"/>
  <c r="K273" i="2"/>
  <c r="I340" i="2"/>
  <c r="J441" i="2"/>
  <c r="H441" i="2" s="1"/>
  <c r="K448" i="2"/>
  <c r="K492" i="2"/>
  <c r="K538" i="2"/>
  <c r="J553" i="2"/>
  <c r="H553" i="2" s="1"/>
  <c r="K561" i="2"/>
  <c r="I645" i="2"/>
  <c r="J679" i="2"/>
  <c r="H679" i="2" s="1"/>
  <c r="I179" i="2"/>
  <c r="J211" i="2"/>
  <c r="H211" i="2" s="1"/>
  <c r="J219" i="2"/>
  <c r="H219" i="2" s="1"/>
  <c r="K247" i="2"/>
  <c r="K349" i="2"/>
  <c r="I488" i="2"/>
  <c r="J613" i="2"/>
  <c r="H613" i="2" s="1"/>
  <c r="J645" i="2"/>
  <c r="H645" i="2" s="1"/>
  <c r="I674" i="2"/>
  <c r="I676" i="2"/>
  <c r="I684" i="2"/>
  <c r="J747" i="2"/>
  <c r="H747" i="2" s="1"/>
  <c r="I751" i="2"/>
  <c r="I753" i="2"/>
  <c r="J760" i="2"/>
  <c r="H760" i="2" s="1"/>
  <c r="J82" i="2"/>
  <c r="H82" i="2" s="1"/>
  <c r="I150" i="2"/>
  <c r="J164" i="2"/>
  <c r="H164" i="2" s="1"/>
  <c r="J185" i="2"/>
  <c r="H185" i="2" s="1"/>
  <c r="I242" i="2"/>
  <c r="I399" i="2"/>
  <c r="J407" i="2"/>
  <c r="H407" i="2" s="1"/>
  <c r="J453" i="2"/>
  <c r="H453" i="2" s="1"/>
  <c r="K488" i="2"/>
  <c r="I657" i="2"/>
  <c r="J674" i="2"/>
  <c r="H674" i="2" s="1"/>
  <c r="K676" i="2"/>
  <c r="J684" i="2"/>
  <c r="H684" i="2" s="1"/>
  <c r="I701" i="2"/>
  <c r="I708" i="2"/>
  <c r="I728" i="2"/>
  <c r="K751" i="2"/>
  <c r="I23" i="2"/>
  <c r="I65" i="2"/>
  <c r="I131" i="2"/>
  <c r="J150" i="2"/>
  <c r="H150" i="2" s="1"/>
  <c r="J206" i="2"/>
  <c r="H206" i="2" s="1"/>
  <c r="J257" i="2"/>
  <c r="H257" i="2" s="1"/>
  <c r="I365" i="2"/>
  <c r="I396" i="2"/>
  <c r="I422" i="2"/>
  <c r="J427" i="2"/>
  <c r="H427" i="2" s="1"/>
  <c r="I430" i="2"/>
  <c r="K458" i="2"/>
  <c r="I543" i="2"/>
  <c r="J610" i="2"/>
  <c r="H610" i="2" s="1"/>
  <c r="I659" i="2"/>
  <c r="J701" i="2"/>
  <c r="H701" i="2" s="1"/>
  <c r="J708" i="2"/>
  <c r="H708" i="2" s="1"/>
  <c r="I750" i="2"/>
  <c r="J59" i="2"/>
  <c r="H59" i="2" s="1"/>
  <c r="J92" i="2"/>
  <c r="H92" i="2" s="1"/>
  <c r="J131" i="2"/>
  <c r="H131" i="2" s="1"/>
  <c r="J136" i="2"/>
  <c r="H136" i="2" s="1"/>
  <c r="I237" i="2"/>
  <c r="J750" i="2"/>
  <c r="H750" i="2" s="1"/>
  <c r="J487" i="2"/>
  <c r="H487" i="2" s="1"/>
  <c r="I687" i="2"/>
  <c r="J691" i="2"/>
  <c r="H691" i="2" s="1"/>
  <c r="J700" i="2"/>
  <c r="H700" i="2" s="1"/>
  <c r="I717" i="2"/>
  <c r="I721" i="2"/>
  <c r="J727" i="2"/>
  <c r="H727" i="2" s="1"/>
  <c r="I735" i="2"/>
  <c r="I737" i="2"/>
  <c r="I18" i="2"/>
  <c r="K22" i="2"/>
  <c r="I36" i="2"/>
  <c r="J43" i="2"/>
  <c r="H43" i="2" s="1"/>
  <c r="I75" i="2"/>
  <c r="K95" i="2"/>
  <c r="J122" i="2"/>
  <c r="H122" i="2" s="1"/>
  <c r="K158" i="2"/>
  <c r="I211" i="2"/>
  <c r="I219" i="2"/>
  <c r="J364" i="2"/>
  <c r="H364" i="2" s="1"/>
  <c r="I514" i="2"/>
  <c r="K539" i="2"/>
  <c r="K543" i="2"/>
  <c r="I603" i="2"/>
  <c r="I669" i="2"/>
  <c r="I671" i="2"/>
  <c r="K735" i="2"/>
  <c r="J744" i="2"/>
  <c r="H744" i="2" s="1"/>
  <c r="I521" i="2"/>
  <c r="I531" i="2"/>
  <c r="J572" i="2"/>
  <c r="H572" i="2" s="1"/>
  <c r="I610" i="2"/>
  <c r="K648" i="2"/>
  <c r="K673" i="2"/>
  <c r="K685" i="2"/>
  <c r="K694" i="2"/>
  <c r="K702" i="2"/>
  <c r="K711" i="2"/>
  <c r="K745" i="2"/>
  <c r="I762" i="2"/>
  <c r="K164" i="2"/>
  <c r="K180" i="2"/>
  <c r="K206" i="2"/>
  <c r="K254" i="2"/>
  <c r="I264" i="2"/>
  <c r="K265" i="2"/>
  <c r="J399" i="2"/>
  <c r="H399" i="2" s="1"/>
  <c r="J415" i="2"/>
  <c r="K425" i="2" s="1"/>
  <c r="J512" i="2"/>
  <c r="J517" i="2"/>
  <c r="I525" i="2"/>
  <c r="J547" i="2"/>
  <c r="H547" i="2" s="1"/>
  <c r="J632" i="2"/>
  <c r="H632" i="2" s="1"/>
  <c r="J665" i="2"/>
  <c r="H665" i="2" s="1"/>
  <c r="I8" i="2"/>
  <c r="J8" i="2"/>
  <c r="H8" i="2" s="1"/>
  <c r="K20" i="2"/>
  <c r="I52" i="2"/>
  <c r="K64" i="2"/>
  <c r="J74" i="2"/>
  <c r="H74" i="2" s="1"/>
  <c r="I78" i="2"/>
  <c r="J86" i="2"/>
  <c r="H86" i="2" s="1"/>
  <c r="J93" i="2"/>
  <c r="H93" i="2" s="1"/>
  <c r="J106" i="2"/>
  <c r="H106" i="2" s="1"/>
  <c r="J117" i="2"/>
  <c r="H117" i="2" s="1"/>
  <c r="I122" i="2"/>
  <c r="I125" i="2"/>
  <c r="I130" i="2"/>
  <c r="J142" i="2"/>
  <c r="K195" i="2" s="1"/>
  <c r="J151" i="2"/>
  <c r="H151" i="2" s="1"/>
  <c r="I155" i="2"/>
  <c r="I190" i="2"/>
  <c r="I216" i="2"/>
  <c r="J338" i="2"/>
  <c r="H338" i="2" s="1"/>
  <c r="J389" i="2"/>
  <c r="I407" i="2"/>
  <c r="J414" i="2"/>
  <c r="H414" i="2" s="1"/>
  <c r="J464" i="2"/>
  <c r="H464" i="2" s="1"/>
  <c r="J471" i="2"/>
  <c r="H471" i="2" s="1"/>
  <c r="K474" i="2"/>
  <c r="I506" i="2"/>
  <c r="J531" i="2"/>
  <c r="H531" i="2" s="1"/>
  <c r="J554" i="2"/>
  <c r="H554" i="2" s="1"/>
  <c r="J638" i="2"/>
  <c r="H638" i="2" s="1"/>
  <c r="I644" i="2"/>
  <c r="J656" i="2"/>
  <c r="H656" i="2" s="1"/>
  <c r="I663" i="2"/>
  <c r="I668" i="2"/>
  <c r="J683" i="2"/>
  <c r="H683" i="2" s="1"/>
  <c r="I707" i="2"/>
  <c r="I726" i="2"/>
  <c r="I743" i="2"/>
  <c r="I759" i="2"/>
  <c r="I761" i="2"/>
  <c r="I26" i="2"/>
  <c r="K477" i="2"/>
  <c r="J521" i="2"/>
  <c r="H521" i="2" s="1"/>
  <c r="K525" i="2"/>
  <c r="J551" i="2"/>
  <c r="H551" i="2" s="1"/>
  <c r="K566" i="2"/>
  <c r="J573" i="2"/>
  <c r="H573" i="2" s="1"/>
  <c r="J620" i="2"/>
  <c r="H620" i="2" s="1"/>
  <c r="J644" i="2"/>
  <c r="H644" i="2" s="1"/>
  <c r="I649" i="2"/>
  <c r="I658" i="2"/>
  <c r="J663" i="2"/>
  <c r="H663" i="2" s="1"/>
  <c r="I665" i="2"/>
  <c r="J668" i="2"/>
  <c r="H668" i="2" s="1"/>
  <c r="I690" i="2"/>
  <c r="I695" i="2"/>
  <c r="I703" i="2"/>
  <c r="I712" i="2"/>
  <c r="I719" i="2"/>
  <c r="J726" i="2"/>
  <c r="H726" i="2" s="1"/>
  <c r="I736" i="2"/>
  <c r="K743" i="2"/>
  <c r="J753" i="2"/>
  <c r="H753" i="2" s="1"/>
  <c r="J757" i="2"/>
  <c r="H757" i="2" s="1"/>
  <c r="K761" i="2"/>
  <c r="J26" i="2"/>
  <c r="J44" i="2"/>
  <c r="H44" i="2" s="1"/>
  <c r="I51" i="2"/>
  <c r="J60" i="2"/>
  <c r="H60" i="2" s="1"/>
  <c r="J68" i="2"/>
  <c r="H68" i="2" s="1"/>
  <c r="I77" i="2"/>
  <c r="J83" i="2"/>
  <c r="H83" i="2" s="1"/>
  <c r="J85" i="2"/>
  <c r="H85" i="2" s="1"/>
  <c r="I101" i="2"/>
  <c r="I110" i="2"/>
  <c r="I121" i="2"/>
  <c r="K130" i="2"/>
  <c r="I146" i="2"/>
  <c r="K190" i="2"/>
  <c r="K216" i="2"/>
  <c r="I229" i="2"/>
  <c r="I234" i="2"/>
  <c r="I262" i="2"/>
  <c r="K264" i="2"/>
  <c r="I331" i="2"/>
  <c r="J346" i="2"/>
  <c r="H346" i="2" s="1"/>
  <c r="J396" i="2"/>
  <c r="H396" i="2" s="1"/>
  <c r="J422" i="2"/>
  <c r="H422" i="2" s="1"/>
  <c r="I504" i="2"/>
  <c r="I539" i="2"/>
  <c r="J577" i="2"/>
  <c r="H577" i="2" s="1"/>
  <c r="K620" i="2"/>
  <c r="J649" i="2"/>
  <c r="H649" i="2" s="1"/>
  <c r="I653" i="2"/>
  <c r="I655" i="2"/>
  <c r="J658" i="2"/>
  <c r="H658" i="2" s="1"/>
  <c r="I667" i="2"/>
  <c r="J675" i="2"/>
  <c r="H675" i="2" s="1"/>
  <c r="J690" i="2"/>
  <c r="H690" i="2" s="1"/>
  <c r="J695" i="2"/>
  <c r="H695" i="2" s="1"/>
  <c r="I697" i="2"/>
  <c r="J703" i="2"/>
  <c r="H703" i="2" s="1"/>
  <c r="J712" i="2"/>
  <c r="H712" i="2" s="1"/>
  <c r="I718" i="2"/>
  <c r="J719" i="2"/>
  <c r="H719" i="2" s="1"/>
  <c r="I733" i="2"/>
  <c r="J736" i="2"/>
  <c r="H736" i="2" s="1"/>
  <c r="I742" i="2"/>
  <c r="I752" i="2"/>
  <c r="K4" i="2"/>
  <c r="I44" i="2"/>
  <c r="I68" i="2"/>
  <c r="K106" i="2"/>
  <c r="J423" i="2"/>
  <c r="H423" i="2" s="1"/>
  <c r="I5" i="2"/>
  <c r="J51" i="2"/>
  <c r="H51" i="2" s="1"/>
  <c r="J57" i="2"/>
  <c r="H57" i="2" s="1"/>
  <c r="K60" i="2"/>
  <c r="J65" i="2"/>
  <c r="H65" i="2" s="1"/>
  <c r="J75" i="2"/>
  <c r="H75" i="2" s="1"/>
  <c r="J77" i="2"/>
  <c r="H77" i="2" s="1"/>
  <c r="I93" i="2"/>
  <c r="K100" i="2"/>
  <c r="J121" i="2"/>
  <c r="H121" i="2" s="1"/>
  <c r="I129" i="2"/>
  <c r="J234" i="2"/>
  <c r="H234" i="2" s="1"/>
  <c r="I247" i="2"/>
  <c r="J262" i="2"/>
  <c r="H262" i="2" s="1"/>
  <c r="J321" i="2"/>
  <c r="J331" i="2"/>
  <c r="H331" i="2" s="1"/>
  <c r="I338" i="2"/>
  <c r="I380" i="2"/>
  <c r="K414" i="2"/>
  <c r="J431" i="2"/>
  <c r="H431" i="2" s="1"/>
  <c r="J633" i="2"/>
  <c r="H633" i="2" s="1"/>
  <c r="I648" i="2"/>
  <c r="J653" i="2"/>
  <c r="H653" i="2" s="1"/>
  <c r="J667" i="2"/>
  <c r="H667" i="2" s="1"/>
  <c r="I682" i="2"/>
  <c r="I685" i="2"/>
  <c r="I694" i="2"/>
  <c r="J697" i="2"/>
  <c r="H697" i="2" s="1"/>
  <c r="I699" i="2"/>
  <c r="I702" i="2"/>
  <c r="I711" i="2"/>
  <c r="J718" i="2"/>
  <c r="H718" i="2" s="1"/>
  <c r="I729" i="2"/>
  <c r="J742" i="2"/>
  <c r="I745" i="2"/>
  <c r="I749" i="2"/>
  <c r="J752" i="2"/>
  <c r="H752" i="2" s="1"/>
  <c r="K117" i="2"/>
  <c r="K151" i="2"/>
  <c r="J419" i="2"/>
  <c r="H419" i="2" s="1"/>
  <c r="J430" i="2"/>
  <c r="H430" i="2" s="1"/>
  <c r="J449" i="2"/>
  <c r="H449" i="2" s="1"/>
  <c r="K476" i="2"/>
  <c r="K681" i="2"/>
  <c r="J682" i="2"/>
  <c r="G45" i="2"/>
  <c r="F45" i="2"/>
  <c r="J45" i="2" s="1"/>
  <c r="H45" i="2" s="1"/>
  <c r="G62" i="2"/>
  <c r="F115" i="2"/>
  <c r="K115" i="2" s="1"/>
  <c r="G115" i="2"/>
  <c r="F9" i="2"/>
  <c r="J9" i="2" s="1"/>
  <c r="H9" i="2" s="1"/>
  <c r="I20" i="2"/>
  <c r="G22" i="2"/>
  <c r="F24" i="2"/>
  <c r="I24" i="2" s="1"/>
  <c r="I25" i="2"/>
  <c r="K37" i="2"/>
  <c r="G54" i="2"/>
  <c r="F62" i="2"/>
  <c r="K62" i="2" s="1"/>
  <c r="G89" i="2"/>
  <c r="F89" i="2"/>
  <c r="I89" i="2" s="1"/>
  <c r="G99" i="2"/>
  <c r="F99" i="2"/>
  <c r="K99" i="2" s="1"/>
  <c r="K135" i="2"/>
  <c r="F149" i="2"/>
  <c r="J149" i="2" s="1"/>
  <c r="H149" i="2" s="1"/>
  <c r="G149" i="2"/>
  <c r="G221" i="2"/>
  <c r="F221" i="2"/>
  <c r="K221" i="2" s="1"/>
  <c r="G108" i="2"/>
  <c r="F108" i="2"/>
  <c r="I108" i="2" s="1"/>
  <c r="F34" i="2"/>
  <c r="K34" i="2" s="1"/>
  <c r="G12" i="2"/>
  <c r="I6" i="2"/>
  <c r="I11" i="2"/>
  <c r="F14" i="2"/>
  <c r="I14" i="2" s="1"/>
  <c r="I15" i="2"/>
  <c r="G24" i="2"/>
  <c r="J25" i="2"/>
  <c r="H25" i="2" s="1"/>
  <c r="G27" i="2"/>
  <c r="F27" i="2"/>
  <c r="I27" i="2" s="1"/>
  <c r="F39" i="2"/>
  <c r="J39" i="2" s="1"/>
  <c r="H39" i="2" s="1"/>
  <c r="G46" i="2"/>
  <c r="F54" i="2"/>
  <c r="I54" i="2" s="1"/>
  <c r="F73" i="2"/>
  <c r="J73" i="2" s="1"/>
  <c r="H73" i="2" s="1"/>
  <c r="J4" i="2"/>
  <c r="H4" i="2" s="1"/>
  <c r="J6" i="2"/>
  <c r="H6" i="2" s="1"/>
  <c r="F11" i="2"/>
  <c r="K11" i="2" s="1"/>
  <c r="G14" i="2"/>
  <c r="J15" i="2"/>
  <c r="H15" i="2" s="1"/>
  <c r="G19" i="2"/>
  <c r="F19" i="2"/>
  <c r="I19" i="2" s="1"/>
  <c r="K21" i="2"/>
  <c r="I21" i="2"/>
  <c r="F31" i="2"/>
  <c r="J31" i="2" s="1"/>
  <c r="H31" i="2" s="1"/>
  <c r="J33" i="2"/>
  <c r="H33" i="2" s="1"/>
  <c r="G39" i="2"/>
  <c r="F46" i="2"/>
  <c r="K46" i="2" s="1"/>
  <c r="K55" i="2"/>
  <c r="J55" i="2"/>
  <c r="H55" i="2" s="1"/>
  <c r="I55" i="2"/>
  <c r="F63" i="2"/>
  <c r="K63" i="2" s="1"/>
  <c r="G73" i="2"/>
  <c r="G119" i="2"/>
  <c r="F119" i="2"/>
  <c r="J119" i="2" s="1"/>
  <c r="H119" i="2" s="1"/>
  <c r="G144" i="2"/>
  <c r="F144" i="2"/>
  <c r="J144" i="2" s="1"/>
  <c r="H144" i="2" s="1"/>
  <c r="I330" i="2"/>
  <c r="G103" i="2"/>
  <c r="F103" i="2"/>
  <c r="I103" i="2" s="1"/>
  <c r="G124" i="2"/>
  <c r="F124" i="2"/>
  <c r="I124" i="2" s="1"/>
  <c r="G139" i="2"/>
  <c r="F139" i="2"/>
  <c r="K139" i="2" s="1"/>
  <c r="F153" i="2"/>
  <c r="I153" i="2" s="1"/>
  <c r="F160" i="2"/>
  <c r="J160" i="2" s="1"/>
  <c r="H160" i="2" s="1"/>
  <c r="G80" i="2"/>
  <c r="F80" i="2"/>
  <c r="K80" i="2" s="1"/>
  <c r="G38" i="2"/>
  <c r="F47" i="2"/>
  <c r="K47" i="2" s="1"/>
  <c r="G71" i="2"/>
  <c r="F71" i="2"/>
  <c r="K71" i="2" s="1"/>
  <c r="K3" i="2"/>
  <c r="I3" i="2"/>
  <c r="J5" i="2"/>
  <c r="H5" i="2" s="1"/>
  <c r="F10" i="2"/>
  <c r="J10" i="2" s="1"/>
  <c r="H10" i="2" s="1"/>
  <c r="J28" i="2"/>
  <c r="H28" i="2" s="1"/>
  <c r="G28" i="2"/>
  <c r="J32" i="2"/>
  <c r="K49" i="2" s="1"/>
  <c r="I32" i="2"/>
  <c r="F38" i="2"/>
  <c r="J38" i="2" s="1"/>
  <c r="H38" i="2" s="1"/>
  <c r="F40" i="2"/>
  <c r="K40" i="2" s="1"/>
  <c r="G47" i="2"/>
  <c r="K56" i="2"/>
  <c r="G61" i="2"/>
  <c r="F61" i="2"/>
  <c r="K61" i="2" s="1"/>
  <c r="K81" i="2"/>
  <c r="J81" i="2"/>
  <c r="H81" i="2" s="1"/>
  <c r="I81" i="2"/>
  <c r="K104" i="2"/>
  <c r="J104" i="2"/>
  <c r="H104" i="2" s="1"/>
  <c r="I104" i="2"/>
  <c r="K140" i="2"/>
  <c r="J140" i="2"/>
  <c r="H140" i="2" s="1"/>
  <c r="I140" i="2"/>
  <c r="G240" i="2"/>
  <c r="F240" i="2"/>
  <c r="K240" i="2" s="1"/>
  <c r="J12" i="2"/>
  <c r="H12" i="2" s="1"/>
  <c r="J20" i="2"/>
  <c r="H20" i="2" s="1"/>
  <c r="G20" i="2"/>
  <c r="J22" i="2"/>
  <c r="H22" i="2" s="1"/>
  <c r="I22" i="2"/>
  <c r="I33" i="2"/>
  <c r="F42" i="2"/>
  <c r="J42" i="2" s="1"/>
  <c r="H42" i="2" s="1"/>
  <c r="K48" i="2"/>
  <c r="G53" i="2"/>
  <c r="F53" i="2"/>
  <c r="K53" i="2" s="1"/>
  <c r="K72" i="2"/>
  <c r="J72" i="2"/>
  <c r="H72" i="2" s="1"/>
  <c r="I72" i="2"/>
  <c r="F128" i="2"/>
  <c r="K171" i="2"/>
  <c r="J171" i="2"/>
  <c r="H171" i="2" s="1"/>
  <c r="I171" i="2"/>
  <c r="K201" i="2"/>
  <c r="J201" i="2"/>
  <c r="H201" i="2" s="1"/>
  <c r="G157" i="2"/>
  <c r="F157" i="2"/>
  <c r="J157" i="2" s="1"/>
  <c r="H157" i="2" s="1"/>
  <c r="G174" i="2"/>
  <c r="F174" i="2"/>
  <c r="I174" i="2" s="1"/>
  <c r="J176" i="2"/>
  <c r="H176" i="2" s="1"/>
  <c r="I176" i="2"/>
  <c r="K178" i="2"/>
  <c r="J178" i="2"/>
  <c r="H178" i="2" s="1"/>
  <c r="G192" i="2"/>
  <c r="F192" i="2"/>
  <c r="I192" i="2" s="1"/>
  <c r="F194" i="2"/>
  <c r="K194" i="2" s="1"/>
  <c r="G213" i="2"/>
  <c r="F266" i="2"/>
  <c r="K266" i="2" s="1"/>
  <c r="G286" i="2"/>
  <c r="F286" i="2"/>
  <c r="J286" i="2" s="1"/>
  <c r="H286" i="2" s="1"/>
  <c r="I372" i="2"/>
  <c r="K372" i="2"/>
  <c r="F88" i="2"/>
  <c r="K88" i="2" s="1"/>
  <c r="F98" i="2"/>
  <c r="K98" i="2" s="1"/>
  <c r="G166" i="2"/>
  <c r="F166" i="2"/>
  <c r="I166" i="2" s="1"/>
  <c r="K189" i="2"/>
  <c r="I189" i="2"/>
  <c r="G194" i="2"/>
  <c r="F213" i="2"/>
  <c r="J213" i="2" s="1"/>
  <c r="H213" i="2" s="1"/>
  <c r="K222" i="2"/>
  <c r="J222" i="2"/>
  <c r="H222" i="2" s="1"/>
  <c r="I222" i="2"/>
  <c r="F232" i="2"/>
  <c r="F258" i="2"/>
  <c r="K258" i="2" s="1"/>
  <c r="K261" i="2"/>
  <c r="J261" i="2"/>
  <c r="K292" i="2" s="1"/>
  <c r="I261" i="2"/>
  <c r="G266" i="2"/>
  <c r="J271" i="2"/>
  <c r="H271" i="2" s="1"/>
  <c r="I271" i="2"/>
  <c r="G275" i="2"/>
  <c r="K275" i="2"/>
  <c r="J275" i="2"/>
  <c r="H275" i="2" s="1"/>
  <c r="I275" i="2"/>
  <c r="J278" i="2"/>
  <c r="H278" i="2" s="1"/>
  <c r="I278" i="2"/>
  <c r="J326" i="2"/>
  <c r="H326" i="2" s="1"/>
  <c r="I326" i="2"/>
  <c r="K354" i="2"/>
  <c r="I354" i="2"/>
  <c r="I48" i="2"/>
  <c r="I56" i="2"/>
  <c r="I64" i="2"/>
  <c r="I74" i="2"/>
  <c r="F79" i="2"/>
  <c r="K79" i="2" s="1"/>
  <c r="I82" i="2"/>
  <c r="F87" i="2"/>
  <c r="K87" i="2" s="1"/>
  <c r="G88" i="2"/>
  <c r="I92" i="2"/>
  <c r="F97" i="2"/>
  <c r="K97" i="2" s="1"/>
  <c r="G98" i="2"/>
  <c r="F102" i="2"/>
  <c r="J102" i="2" s="1"/>
  <c r="H102" i="2" s="1"/>
  <c r="K105" i="2"/>
  <c r="F107" i="2"/>
  <c r="K107" i="2" s="1"/>
  <c r="F111" i="2"/>
  <c r="K111" i="2" s="1"/>
  <c r="F118" i="2"/>
  <c r="I118" i="2" s="1"/>
  <c r="G123" i="2"/>
  <c r="F127" i="2"/>
  <c r="J127" i="2" s="1"/>
  <c r="H127" i="2" s="1"/>
  <c r="J129" i="2"/>
  <c r="H129" i="2" s="1"/>
  <c r="F132" i="2"/>
  <c r="J132" i="2" s="1"/>
  <c r="H132" i="2" s="1"/>
  <c r="F138" i="2"/>
  <c r="K138" i="2" s="1"/>
  <c r="F143" i="2"/>
  <c r="K143" i="2" s="1"/>
  <c r="F147" i="2"/>
  <c r="K147" i="2" s="1"/>
  <c r="F152" i="2"/>
  <c r="I152" i="2" s="1"/>
  <c r="F162" i="2"/>
  <c r="K162" i="2" s="1"/>
  <c r="F168" i="2"/>
  <c r="K168" i="2" s="1"/>
  <c r="F170" i="2"/>
  <c r="K170" i="2" s="1"/>
  <c r="G176" i="2"/>
  <c r="G178" i="2"/>
  <c r="J179" i="2"/>
  <c r="H179" i="2" s="1"/>
  <c r="F187" i="2"/>
  <c r="K187" i="2" s="1"/>
  <c r="F200" i="2"/>
  <c r="J200" i="2" s="1"/>
  <c r="H200" i="2" s="1"/>
  <c r="K204" i="2"/>
  <c r="G248" i="2"/>
  <c r="F248" i="2"/>
  <c r="J248" i="2" s="1"/>
  <c r="H248" i="2" s="1"/>
  <c r="K252" i="2"/>
  <c r="J252" i="2"/>
  <c r="H252" i="2" s="1"/>
  <c r="I252" i="2"/>
  <c r="F284" i="2"/>
  <c r="J284" i="2" s="1"/>
  <c r="H284" i="2" s="1"/>
  <c r="K289" i="2"/>
  <c r="J289" i="2"/>
  <c r="H289" i="2" s="1"/>
  <c r="I289" i="2"/>
  <c r="G296" i="2"/>
  <c r="F296" i="2"/>
  <c r="J296" i="2" s="1"/>
  <c r="H296" i="2" s="1"/>
  <c r="I404" i="2"/>
  <c r="K404" i="2"/>
  <c r="G459" i="2"/>
  <c r="F459" i="2"/>
  <c r="K459" i="2" s="1"/>
  <c r="J48" i="2"/>
  <c r="H48" i="2" s="1"/>
  <c r="J56" i="2"/>
  <c r="K96" i="2" s="1"/>
  <c r="J64" i="2"/>
  <c r="H64" i="2" s="1"/>
  <c r="G79" i="2"/>
  <c r="G87" i="2"/>
  <c r="G97" i="2"/>
  <c r="J101" i="2"/>
  <c r="H101" i="2" s="1"/>
  <c r="G102" i="2"/>
  <c r="G107" i="2"/>
  <c r="K110" i="2"/>
  <c r="G111" i="2"/>
  <c r="G118" i="2"/>
  <c r="I126" i="2"/>
  <c r="G127" i="2"/>
  <c r="J137" i="2"/>
  <c r="H137" i="2" s="1"/>
  <c r="G138" i="2"/>
  <c r="G143" i="2"/>
  <c r="K146" i="2"/>
  <c r="G147" i="2"/>
  <c r="G152" i="2"/>
  <c r="F159" i="2"/>
  <c r="K159" i="2" s="1"/>
  <c r="G162" i="2"/>
  <c r="I163" i="2"/>
  <c r="G168" i="2"/>
  <c r="G170" i="2"/>
  <c r="K176" i="2"/>
  <c r="J195" i="2"/>
  <c r="I195" i="2"/>
  <c r="K197" i="2"/>
  <c r="I197" i="2"/>
  <c r="F202" i="2"/>
  <c r="K202" i="2" s="1"/>
  <c r="G204" i="2"/>
  <c r="F214" i="2"/>
  <c r="I214" i="2" s="1"/>
  <c r="G222" i="2"/>
  <c r="G238" i="2"/>
  <c r="F238" i="2"/>
  <c r="K238" i="2" s="1"/>
  <c r="K241" i="2"/>
  <c r="J241" i="2"/>
  <c r="H241" i="2" s="1"/>
  <c r="I241" i="2"/>
  <c r="K259" i="2"/>
  <c r="J259" i="2"/>
  <c r="H259" i="2" s="1"/>
  <c r="I259" i="2"/>
  <c r="G259" i="2"/>
  <c r="J267" i="2"/>
  <c r="K278" i="2" s="1"/>
  <c r="G284" i="2"/>
  <c r="J397" i="2"/>
  <c r="H397" i="2" s="1"/>
  <c r="I397" i="2"/>
  <c r="F432" i="2"/>
  <c r="K432" i="2" s="1"/>
  <c r="I114" i="2"/>
  <c r="I123" i="2"/>
  <c r="I148" i="2"/>
  <c r="J163" i="2"/>
  <c r="G175" i="2"/>
  <c r="G214" i="2"/>
  <c r="G230" i="2"/>
  <c r="F230" i="2"/>
  <c r="K230" i="2" s="1"/>
  <c r="K233" i="2"/>
  <c r="J233" i="2"/>
  <c r="H233" i="2" s="1"/>
  <c r="I233" i="2"/>
  <c r="F290" i="2"/>
  <c r="K290" i="2" s="1"/>
  <c r="G290" i="2"/>
  <c r="K297" i="2"/>
  <c r="J297" i="2"/>
  <c r="H297" i="2" s="1"/>
  <c r="I297" i="2"/>
  <c r="J315" i="2"/>
  <c r="H315" i="2" s="1"/>
  <c r="I315" i="2"/>
  <c r="K315" i="2"/>
  <c r="F328" i="2"/>
  <c r="K328" i="2" s="1"/>
  <c r="G328" i="2"/>
  <c r="I347" i="2"/>
  <c r="J347" i="2"/>
  <c r="H347" i="2" s="1"/>
  <c r="K367" i="2"/>
  <c r="I367" i="2"/>
  <c r="J367" i="2"/>
  <c r="H367" i="2" s="1"/>
  <c r="F50" i="2"/>
  <c r="K50" i="2" s="1"/>
  <c r="F58" i="2"/>
  <c r="F66" i="2"/>
  <c r="F76" i="2"/>
  <c r="K76" i="2" s="1"/>
  <c r="F84" i="2"/>
  <c r="K84" i="2" s="1"/>
  <c r="F94" i="2"/>
  <c r="K94" i="2" s="1"/>
  <c r="I100" i="2"/>
  <c r="J109" i="2"/>
  <c r="G110" i="2"/>
  <c r="J114" i="2"/>
  <c r="H114" i="2" s="1"/>
  <c r="K120" i="2"/>
  <c r="J123" i="2"/>
  <c r="H123" i="2" s="1"/>
  <c r="G126" i="2"/>
  <c r="I136" i="2"/>
  <c r="G137" i="2"/>
  <c r="J145" i="2"/>
  <c r="H145" i="2" s="1"/>
  <c r="G146" i="2"/>
  <c r="J148" i="2"/>
  <c r="H148" i="2" s="1"/>
  <c r="F154" i="2"/>
  <c r="F161" i="2"/>
  <c r="I161" i="2" s="1"/>
  <c r="I167" i="2"/>
  <c r="G167" i="2"/>
  <c r="K169" i="2"/>
  <c r="J169" i="2"/>
  <c r="I169" i="2"/>
  <c r="F175" i="2"/>
  <c r="K175" i="2" s="1"/>
  <c r="F177" i="2"/>
  <c r="I177" i="2" s="1"/>
  <c r="F188" i="2"/>
  <c r="I188" i="2" s="1"/>
  <c r="G220" i="2"/>
  <c r="F220" i="2"/>
  <c r="J220" i="2" s="1"/>
  <c r="H220" i="2" s="1"/>
  <c r="K223" i="2"/>
  <c r="J223" i="2"/>
  <c r="I223" i="2"/>
  <c r="G239" i="2"/>
  <c r="F249" i="2"/>
  <c r="I267" i="2"/>
  <c r="F282" i="2"/>
  <c r="I282" i="2" s="1"/>
  <c r="F294" i="2"/>
  <c r="K294" i="2" s="1"/>
  <c r="G294" i="2"/>
  <c r="J306" i="2"/>
  <c r="H306" i="2" s="1"/>
  <c r="K306" i="2"/>
  <c r="I306" i="2"/>
  <c r="G306" i="2"/>
  <c r="K123" i="2"/>
  <c r="G154" i="2"/>
  <c r="G161" i="2"/>
  <c r="G177" i="2"/>
  <c r="G184" i="2"/>
  <c r="F184" i="2"/>
  <c r="F186" i="2"/>
  <c r="K186" i="2" s="1"/>
  <c r="G188" i="2"/>
  <c r="K196" i="2"/>
  <c r="J196" i="2"/>
  <c r="H196" i="2" s="1"/>
  <c r="J197" i="2"/>
  <c r="H197" i="2" s="1"/>
  <c r="I201" i="2"/>
  <c r="K203" i="2"/>
  <c r="J203" i="2"/>
  <c r="H203" i="2" s="1"/>
  <c r="I203" i="2"/>
  <c r="G203" i="2"/>
  <c r="K205" i="2"/>
  <c r="I205" i="2"/>
  <c r="G212" i="2"/>
  <c r="F212" i="2"/>
  <c r="K212" i="2" s="1"/>
  <c r="K215" i="2"/>
  <c r="J215" i="2"/>
  <c r="H215" i="2" s="1"/>
  <c r="I215" i="2"/>
  <c r="K231" i="2"/>
  <c r="J231" i="2"/>
  <c r="H231" i="2" s="1"/>
  <c r="I231" i="2"/>
  <c r="G231" i="2"/>
  <c r="F239" i="2"/>
  <c r="K239" i="2" s="1"/>
  <c r="K250" i="2"/>
  <c r="J250" i="2"/>
  <c r="H250" i="2" s="1"/>
  <c r="I250" i="2"/>
  <c r="F260" i="2"/>
  <c r="J270" i="2"/>
  <c r="H270" i="2" s="1"/>
  <c r="K270" i="2"/>
  <c r="I270" i="2"/>
  <c r="G270" i="2"/>
  <c r="J276" i="2"/>
  <c r="H276" i="2" s="1"/>
  <c r="G282" i="2"/>
  <c r="F324" i="2"/>
  <c r="J324" i="2" s="1"/>
  <c r="H324" i="2" s="1"/>
  <c r="G324" i="2"/>
  <c r="G416" i="2"/>
  <c r="F416" i="2"/>
  <c r="K416" i="2" s="1"/>
  <c r="F319" i="2"/>
  <c r="I319" i="2" s="1"/>
  <c r="G374" i="2"/>
  <c r="F374" i="2"/>
  <c r="K374" i="2" s="1"/>
  <c r="G385" i="2"/>
  <c r="I269" i="2"/>
  <c r="I292" i="2"/>
  <c r="G299" i="2"/>
  <c r="F299" i="2"/>
  <c r="J299" i="2" s="1"/>
  <c r="H299" i="2" s="1"/>
  <c r="I301" i="2"/>
  <c r="K301" i="2"/>
  <c r="K312" i="2"/>
  <c r="G319" i="2"/>
  <c r="F336" i="2"/>
  <c r="K336" i="2" s="1"/>
  <c r="F352" i="2"/>
  <c r="K352" i="2" s="1"/>
  <c r="F385" i="2"/>
  <c r="K385" i="2" s="1"/>
  <c r="J445" i="2"/>
  <c r="H445" i="2" s="1"/>
  <c r="G283" i="2"/>
  <c r="G291" i="2"/>
  <c r="J292" i="2"/>
  <c r="F310" i="2"/>
  <c r="J310" i="2" s="1"/>
  <c r="H310" i="2" s="1"/>
  <c r="F314" i="2"/>
  <c r="I314" i="2" s="1"/>
  <c r="I317" i="2"/>
  <c r="G325" i="2"/>
  <c r="F333" i="2"/>
  <c r="J333" i="2" s="1"/>
  <c r="H333" i="2" s="1"/>
  <c r="G333" i="2"/>
  <c r="G336" i="2"/>
  <c r="J341" i="2"/>
  <c r="H341" i="2" s="1"/>
  <c r="G352" i="2"/>
  <c r="K357" i="2"/>
  <c r="J357" i="2"/>
  <c r="H357" i="2" s="1"/>
  <c r="G379" i="2"/>
  <c r="G390" i="2"/>
  <c r="F390" i="2"/>
  <c r="I390" i="2" s="1"/>
  <c r="G398" i="2"/>
  <c r="F398" i="2"/>
  <c r="J398" i="2" s="1"/>
  <c r="H398" i="2" s="1"/>
  <c r="F402" i="2"/>
  <c r="K402" i="2" s="1"/>
  <c r="F451" i="2"/>
  <c r="I451" i="2" s="1"/>
  <c r="G451" i="2"/>
  <c r="G502" i="2"/>
  <c r="F502" i="2"/>
  <c r="K502" i="2" s="1"/>
  <c r="G185" i="2"/>
  <c r="F210" i="2"/>
  <c r="F218" i="2"/>
  <c r="F228" i="2"/>
  <c r="F236" i="2"/>
  <c r="F244" i="2"/>
  <c r="F256" i="2"/>
  <c r="F277" i="2"/>
  <c r="J277" i="2" s="1"/>
  <c r="H277" i="2" s="1"/>
  <c r="F280" i="2"/>
  <c r="F283" i="2"/>
  <c r="J283" i="2" s="1"/>
  <c r="H283" i="2" s="1"/>
  <c r="F291" i="2"/>
  <c r="K291" i="2" s="1"/>
  <c r="F293" i="2"/>
  <c r="I293" i="2" s="1"/>
  <c r="F305" i="2"/>
  <c r="J305" i="2" s="1"/>
  <c r="H305" i="2" s="1"/>
  <c r="G310" i="2"/>
  <c r="G314" i="2"/>
  <c r="F316" i="2"/>
  <c r="J316" i="2" s="1"/>
  <c r="H316" i="2" s="1"/>
  <c r="F325" i="2"/>
  <c r="K325" i="2" s="1"/>
  <c r="F327" i="2"/>
  <c r="K327" i="2" s="1"/>
  <c r="F329" i="2"/>
  <c r="J329" i="2" s="1"/>
  <c r="H329" i="2" s="1"/>
  <c r="K341" i="2"/>
  <c r="G344" i="2"/>
  <c r="F350" i="2"/>
  <c r="I350" i="2" s="1"/>
  <c r="G353" i="2"/>
  <c r="I353" i="2"/>
  <c r="G377" i="2"/>
  <c r="F379" i="2"/>
  <c r="K379" i="2" s="1"/>
  <c r="G386" i="2"/>
  <c r="F386" i="2"/>
  <c r="J386" i="2" s="1"/>
  <c r="H386" i="2" s="1"/>
  <c r="F400" i="2"/>
  <c r="I400" i="2" s="1"/>
  <c r="G402" i="2"/>
  <c r="G424" i="2"/>
  <c r="F424" i="2"/>
  <c r="K424" i="2" s="1"/>
  <c r="F165" i="2"/>
  <c r="F173" i="2"/>
  <c r="F183" i="2"/>
  <c r="F191" i="2"/>
  <c r="F199" i="2"/>
  <c r="K199" i="2" s="1"/>
  <c r="F209" i="2"/>
  <c r="K209" i="2" s="1"/>
  <c r="F217" i="2"/>
  <c r="K217" i="2" s="1"/>
  <c r="F225" i="2"/>
  <c r="K225" i="2" s="1"/>
  <c r="F235" i="2"/>
  <c r="K235" i="2" s="1"/>
  <c r="F243" i="2"/>
  <c r="K243" i="2" s="1"/>
  <c r="F255" i="2"/>
  <c r="F263" i="2"/>
  <c r="I265" i="2"/>
  <c r="F268" i="2"/>
  <c r="F272" i="2"/>
  <c r="K272" i="2" s="1"/>
  <c r="I274" i="2"/>
  <c r="G277" i="2"/>
  <c r="G280" i="2"/>
  <c r="J281" i="2"/>
  <c r="H281" i="2" s="1"/>
  <c r="F285" i="2"/>
  <c r="I285" i="2" s="1"/>
  <c r="K287" i="2"/>
  <c r="J287" i="2"/>
  <c r="H287" i="2" s="1"/>
  <c r="I288" i="2"/>
  <c r="G293" i="2"/>
  <c r="K295" i="2"/>
  <c r="J295" i="2"/>
  <c r="H295" i="2" s="1"/>
  <c r="F298" i="2"/>
  <c r="G298" i="2"/>
  <c r="I308" i="2"/>
  <c r="G316" i="2"/>
  <c r="G318" i="2"/>
  <c r="F318" i="2"/>
  <c r="F320" i="2"/>
  <c r="I320" i="2" s="1"/>
  <c r="G322" i="2"/>
  <c r="F322" i="2"/>
  <c r="I323" i="2"/>
  <c r="G329" i="2"/>
  <c r="F337" i="2"/>
  <c r="I337" i="2" s="1"/>
  <c r="F342" i="2"/>
  <c r="K342" i="2" s="1"/>
  <c r="F344" i="2"/>
  <c r="K344" i="2" s="1"/>
  <c r="G350" i="2"/>
  <c r="I357" i="2"/>
  <c r="F362" i="2"/>
  <c r="K362" i="2" s="1"/>
  <c r="F371" i="2"/>
  <c r="I371" i="2" s="1"/>
  <c r="F377" i="2"/>
  <c r="J377" i="2" s="1"/>
  <c r="H377" i="2" s="1"/>
  <c r="I381" i="2"/>
  <c r="I383" i="2"/>
  <c r="G400" i="2"/>
  <c r="G403" i="2"/>
  <c r="F403" i="2"/>
  <c r="I403" i="2" s="1"/>
  <c r="G263" i="2"/>
  <c r="J269" i="2"/>
  <c r="H269" i="2" s="1"/>
  <c r="K271" i="2"/>
  <c r="J274" i="2"/>
  <c r="H274" i="2" s="1"/>
  <c r="I276" i="2"/>
  <c r="F279" i="2"/>
  <c r="K279" i="2" s="1"/>
  <c r="K281" i="2"/>
  <c r="J288" i="2"/>
  <c r="H288" i="2" s="1"/>
  <c r="K300" i="2"/>
  <c r="I300" i="2"/>
  <c r="J301" i="2"/>
  <c r="H301" i="2" s="1"/>
  <c r="K307" i="2"/>
  <c r="I307" i="2"/>
  <c r="I311" i="2"/>
  <c r="K311" i="2"/>
  <c r="G320" i="2"/>
  <c r="F339" i="2"/>
  <c r="J339" i="2" s="1"/>
  <c r="H339" i="2" s="1"/>
  <c r="I355" i="2"/>
  <c r="F360" i="2"/>
  <c r="I360" i="2" s="1"/>
  <c r="G362" i="2"/>
  <c r="I364" i="2"/>
  <c r="I375" i="2"/>
  <c r="J383" i="2"/>
  <c r="H383" i="2" s="1"/>
  <c r="I387" i="2"/>
  <c r="I395" i="2"/>
  <c r="J395" i="2"/>
  <c r="J437" i="2"/>
  <c r="H437" i="2" s="1"/>
  <c r="F489" i="2"/>
  <c r="I489" i="2" s="1"/>
  <c r="G489" i="2"/>
  <c r="F304" i="2"/>
  <c r="K304" i="2" s="1"/>
  <c r="F309" i="2"/>
  <c r="F313" i="2"/>
  <c r="I313" i="2" s="1"/>
  <c r="K326" i="2"/>
  <c r="J330" i="2"/>
  <c r="K461" i="2" s="1"/>
  <c r="G335" i="2"/>
  <c r="F335" i="2"/>
  <c r="J335" i="2" s="1"/>
  <c r="H335" i="2" s="1"/>
  <c r="G351" i="2"/>
  <c r="F351" i="2"/>
  <c r="K351" i="2" s="1"/>
  <c r="J354" i="2"/>
  <c r="H354" i="2" s="1"/>
  <c r="G356" i="2"/>
  <c r="F356" i="2"/>
  <c r="J356" i="2" s="1"/>
  <c r="H356" i="2" s="1"/>
  <c r="G369" i="2"/>
  <c r="F369" i="2"/>
  <c r="J369" i="2" s="1"/>
  <c r="H369" i="2" s="1"/>
  <c r="J372" i="2"/>
  <c r="H372" i="2" s="1"/>
  <c r="K375" i="2"/>
  <c r="G382" i="2"/>
  <c r="F382" i="2"/>
  <c r="J382" i="2" s="1"/>
  <c r="H382" i="2" s="1"/>
  <c r="F384" i="2"/>
  <c r="K384" i="2" s="1"/>
  <c r="G384" i="2"/>
  <c r="J393" i="2"/>
  <c r="H393" i="2" s="1"/>
  <c r="I393" i="2"/>
  <c r="J404" i="2"/>
  <c r="H404" i="2" s="1"/>
  <c r="G406" i="2"/>
  <c r="F406" i="2"/>
  <c r="K406" i="2" s="1"/>
  <c r="F408" i="2"/>
  <c r="J408" i="2" s="1"/>
  <c r="H408" i="2" s="1"/>
  <c r="G408" i="2"/>
  <c r="G455" i="2"/>
  <c r="F455" i="2"/>
  <c r="I455" i="2" s="1"/>
  <c r="G450" i="2"/>
  <c r="F450" i="2"/>
  <c r="J450" i="2" s="1"/>
  <c r="H450" i="2" s="1"/>
  <c r="F456" i="2"/>
  <c r="I456" i="2" s="1"/>
  <c r="G475" i="2"/>
  <c r="F475" i="2"/>
  <c r="K475" i="2" s="1"/>
  <c r="I520" i="2"/>
  <c r="J520" i="2"/>
  <c r="H520" i="2" s="1"/>
  <c r="G546" i="2"/>
  <c r="F546" i="2"/>
  <c r="K546" i="2" s="1"/>
  <c r="G505" i="2"/>
  <c r="F505" i="2"/>
  <c r="K505" i="2" s="1"/>
  <c r="F536" i="2"/>
  <c r="K536" i="2" s="1"/>
  <c r="G536" i="2"/>
  <c r="K308" i="2"/>
  <c r="K317" i="2"/>
  <c r="J361" i="2"/>
  <c r="H361" i="2" s="1"/>
  <c r="I361" i="2"/>
  <c r="G361" i="2"/>
  <c r="K363" i="2"/>
  <c r="I363" i="2"/>
  <c r="F366" i="2"/>
  <c r="K366" i="2" s="1"/>
  <c r="F392" i="2"/>
  <c r="I392" i="2" s="1"/>
  <c r="K394" i="2"/>
  <c r="J394" i="2"/>
  <c r="H394" i="2" s="1"/>
  <c r="K417" i="2"/>
  <c r="J417" i="2"/>
  <c r="H417" i="2" s="1"/>
  <c r="I417" i="2"/>
  <c r="J425" i="2"/>
  <c r="I425" i="2"/>
  <c r="K433" i="2"/>
  <c r="J433" i="2"/>
  <c r="H433" i="2" s="1"/>
  <c r="I433" i="2"/>
  <c r="K443" i="2"/>
  <c r="J443" i="2"/>
  <c r="H443" i="2" s="1"/>
  <c r="I443" i="2"/>
  <c r="K460" i="2"/>
  <c r="G479" i="2"/>
  <c r="F479" i="2"/>
  <c r="K479" i="2" s="1"/>
  <c r="G463" i="2"/>
  <c r="F463" i="2"/>
  <c r="J463" i="2" s="1"/>
  <c r="H463" i="2" s="1"/>
  <c r="F473" i="2"/>
  <c r="I473" i="2" s="1"/>
  <c r="G473" i="2"/>
  <c r="G500" i="2"/>
  <c r="F500" i="2"/>
  <c r="K500" i="2" s="1"/>
  <c r="J343" i="2"/>
  <c r="H343" i="2" s="1"/>
  <c r="I343" i="2"/>
  <c r="G343" i="2"/>
  <c r="K345" i="2"/>
  <c r="I345" i="2"/>
  <c r="G348" i="2"/>
  <c r="F348" i="2"/>
  <c r="I349" i="2"/>
  <c r="G363" i="2"/>
  <c r="F376" i="2"/>
  <c r="I376" i="2" s="1"/>
  <c r="K378" i="2"/>
  <c r="J378" i="2"/>
  <c r="H378" i="2" s="1"/>
  <c r="J388" i="2"/>
  <c r="H388" i="2" s="1"/>
  <c r="J401" i="2"/>
  <c r="H401" i="2" s="1"/>
  <c r="G411" i="2"/>
  <c r="F411" i="2"/>
  <c r="J411" i="2" s="1"/>
  <c r="H411" i="2" s="1"/>
  <c r="F418" i="2"/>
  <c r="J418" i="2" s="1"/>
  <c r="H418" i="2" s="1"/>
  <c r="F426" i="2"/>
  <c r="K426" i="2" s="1"/>
  <c r="F435" i="2"/>
  <c r="J435" i="2" s="1"/>
  <c r="H435" i="2" s="1"/>
  <c r="F444" i="2"/>
  <c r="I444" i="2" s="1"/>
  <c r="K482" i="2"/>
  <c r="I482" i="2"/>
  <c r="F576" i="2"/>
  <c r="J312" i="2"/>
  <c r="H312" i="2" s="1"/>
  <c r="K321" i="2"/>
  <c r="F368" i="2"/>
  <c r="I368" i="2" s="1"/>
  <c r="K370" i="2"/>
  <c r="J370" i="2"/>
  <c r="K395" i="2" s="1"/>
  <c r="J380" i="2"/>
  <c r="H380" i="2" s="1"/>
  <c r="J409" i="2"/>
  <c r="H409" i="2" s="1"/>
  <c r="G418" i="2"/>
  <c r="G426" i="2"/>
  <c r="K466" i="2"/>
  <c r="I466" i="2"/>
  <c r="K469" i="2"/>
  <c r="I469" i="2"/>
  <c r="G495" i="2"/>
  <c r="F495" i="2"/>
  <c r="J495" i="2" s="1"/>
  <c r="H495" i="2" s="1"/>
  <c r="F540" i="2"/>
  <c r="I540" i="2" s="1"/>
  <c r="G540" i="2"/>
  <c r="K347" i="2"/>
  <c r="K355" i="2"/>
  <c r="K365" i="2"/>
  <c r="K373" i="2"/>
  <c r="K381" i="2"/>
  <c r="K397" i="2"/>
  <c r="G401" i="2"/>
  <c r="K405" i="2"/>
  <c r="G409" i="2"/>
  <c r="G419" i="2"/>
  <c r="K423" i="2"/>
  <c r="G427" i="2"/>
  <c r="K431" i="2"/>
  <c r="G437" i="2"/>
  <c r="K441" i="2"/>
  <c r="I447" i="2"/>
  <c r="K449" i="2"/>
  <c r="I453" i="2"/>
  <c r="K454" i="2"/>
  <c r="G460" i="2"/>
  <c r="I461" i="2"/>
  <c r="I464" i="2"/>
  <c r="J466" i="2"/>
  <c r="H466" i="2" s="1"/>
  <c r="G466" i="2"/>
  <c r="J469" i="2"/>
  <c r="H469" i="2" s="1"/>
  <c r="K471" i="2"/>
  <c r="G476" i="2"/>
  <c r="I480" i="2"/>
  <c r="J482" i="2"/>
  <c r="H482" i="2" s="1"/>
  <c r="G482" i="2"/>
  <c r="J485" i="2"/>
  <c r="H485" i="2" s="1"/>
  <c r="K487" i="2"/>
  <c r="G492" i="2"/>
  <c r="I493" i="2"/>
  <c r="I498" i="2"/>
  <c r="I503" i="2"/>
  <c r="J506" i="2"/>
  <c r="H506" i="2" s="1"/>
  <c r="F518" i="2"/>
  <c r="J518" i="2" s="1"/>
  <c r="H518" i="2" s="1"/>
  <c r="G518" i="2"/>
  <c r="F522" i="2"/>
  <c r="J522" i="2" s="1"/>
  <c r="H522" i="2" s="1"/>
  <c r="G522" i="2"/>
  <c r="F534" i="2"/>
  <c r="J534" i="2" s="1"/>
  <c r="H534" i="2" s="1"/>
  <c r="J538" i="2"/>
  <c r="H538" i="2" s="1"/>
  <c r="G541" i="2"/>
  <c r="K541" i="2"/>
  <c r="J541" i="2"/>
  <c r="H541" i="2" s="1"/>
  <c r="J498" i="2"/>
  <c r="H498" i="2" s="1"/>
  <c r="F516" i="2"/>
  <c r="J581" i="2"/>
  <c r="K602" i="2"/>
  <c r="J602" i="2"/>
  <c r="H602" i="2" s="1"/>
  <c r="I401" i="2"/>
  <c r="I409" i="2"/>
  <c r="J410" i="2"/>
  <c r="H410" i="2" s="1"/>
  <c r="I419" i="2"/>
  <c r="J420" i="2"/>
  <c r="H420" i="2" s="1"/>
  <c r="I427" i="2"/>
  <c r="J428" i="2"/>
  <c r="H428" i="2" s="1"/>
  <c r="I437" i="2"/>
  <c r="J438" i="2"/>
  <c r="H438" i="2" s="1"/>
  <c r="I445" i="2"/>
  <c r="J446" i="2"/>
  <c r="H446" i="2" s="1"/>
  <c r="K447" i="2"/>
  <c r="J452" i="2"/>
  <c r="H452" i="2" s="1"/>
  <c r="J460" i="2"/>
  <c r="H460" i="2" s="1"/>
  <c r="F462" i="2"/>
  <c r="K462" i="2" s="1"/>
  <c r="J476" i="2"/>
  <c r="H476" i="2" s="1"/>
  <c r="F478" i="2"/>
  <c r="K478" i="2" s="1"/>
  <c r="F491" i="2"/>
  <c r="K491" i="2" s="1"/>
  <c r="J492" i="2"/>
  <c r="H492" i="2" s="1"/>
  <c r="F494" i="2"/>
  <c r="K494" i="2" s="1"/>
  <c r="F507" i="2"/>
  <c r="G523" i="2"/>
  <c r="F530" i="2"/>
  <c r="K530" i="2" s="1"/>
  <c r="F544" i="2"/>
  <c r="I544" i="2" s="1"/>
  <c r="G544" i="2"/>
  <c r="G571" i="2"/>
  <c r="F571" i="2"/>
  <c r="I571" i="2" s="1"/>
  <c r="K637" i="2"/>
  <c r="J637" i="2"/>
  <c r="H637" i="2" s="1"/>
  <c r="I637" i="2"/>
  <c r="K410" i="2"/>
  <c r="K420" i="2"/>
  <c r="K428" i="2"/>
  <c r="K438" i="2"/>
  <c r="K446" i="2"/>
  <c r="K452" i="2"/>
  <c r="J458" i="2"/>
  <c r="H458" i="2" s="1"/>
  <c r="G462" i="2"/>
  <c r="F465" i="2"/>
  <c r="F468" i="2"/>
  <c r="I468" i="2" s="1"/>
  <c r="G478" i="2"/>
  <c r="F481" i="2"/>
  <c r="I481" i="2" s="1"/>
  <c r="F484" i="2"/>
  <c r="I484" i="2" s="1"/>
  <c r="G491" i="2"/>
  <c r="G494" i="2"/>
  <c r="F499" i="2"/>
  <c r="K501" i="2"/>
  <c r="J501" i="2"/>
  <c r="G507" i="2"/>
  <c r="F511" i="2"/>
  <c r="I511" i="2" s="1"/>
  <c r="J513" i="2"/>
  <c r="H513" i="2" s="1"/>
  <c r="J519" i="2"/>
  <c r="H519" i="2" s="1"/>
  <c r="F523" i="2"/>
  <c r="I523" i="2" s="1"/>
  <c r="G530" i="2"/>
  <c r="J592" i="2"/>
  <c r="I592" i="2"/>
  <c r="J474" i="2"/>
  <c r="H474" i="2" s="1"/>
  <c r="G474" i="2"/>
  <c r="J477" i="2"/>
  <c r="H477" i="2" s="1"/>
  <c r="I485" i="2"/>
  <c r="J490" i="2"/>
  <c r="H490" i="2" s="1"/>
  <c r="G490" i="2"/>
  <c r="J493" i="2"/>
  <c r="H493" i="2" s="1"/>
  <c r="J503" i="2"/>
  <c r="K512" i="2" s="1"/>
  <c r="F528" i="2"/>
  <c r="I528" i="2" s="1"/>
  <c r="G528" i="2"/>
  <c r="F558" i="2"/>
  <c r="J558" i="2" s="1"/>
  <c r="H558" i="2" s="1"/>
  <c r="G558" i="2"/>
  <c r="F421" i="2"/>
  <c r="J421" i="2" s="1"/>
  <c r="F429" i="2"/>
  <c r="J429" i="2" s="1"/>
  <c r="F439" i="2"/>
  <c r="J439" i="2" s="1"/>
  <c r="G524" i="2"/>
  <c r="F524" i="2"/>
  <c r="J524" i="2" s="1"/>
  <c r="H524" i="2" s="1"/>
  <c r="F457" i="2"/>
  <c r="J457" i="2" s="1"/>
  <c r="H457" i="2" s="1"/>
  <c r="I460" i="2"/>
  <c r="F467" i="2"/>
  <c r="J467" i="2" s="1"/>
  <c r="H467" i="2" s="1"/>
  <c r="F470" i="2"/>
  <c r="I470" i="2" s="1"/>
  <c r="I476" i="2"/>
  <c r="F483" i="2"/>
  <c r="J483" i="2" s="1"/>
  <c r="H483" i="2" s="1"/>
  <c r="F486" i="2"/>
  <c r="K486" i="2" s="1"/>
  <c r="I492" i="2"/>
  <c r="J510" i="2"/>
  <c r="H510" i="2" s="1"/>
  <c r="I510" i="2"/>
  <c r="I512" i="2"/>
  <c r="K520" i="2"/>
  <c r="J535" i="2"/>
  <c r="H535" i="2" s="1"/>
  <c r="J569" i="2"/>
  <c r="K581" i="2" s="1"/>
  <c r="K504" i="2"/>
  <c r="G515" i="2"/>
  <c r="K515" i="2"/>
  <c r="G533" i="2"/>
  <c r="K533" i="2"/>
  <c r="G549" i="2"/>
  <c r="K549" i="2"/>
  <c r="I550" i="2"/>
  <c r="K554" i="2"/>
  <c r="I573" i="2"/>
  <c r="F587" i="2"/>
  <c r="K587" i="2" s="1"/>
  <c r="I597" i="2"/>
  <c r="F607" i="2"/>
  <c r="I607" i="2" s="1"/>
  <c r="F611" i="2"/>
  <c r="K619" i="2"/>
  <c r="K624" i="2"/>
  <c r="J624" i="2"/>
  <c r="H624" i="2" s="1"/>
  <c r="G627" i="2"/>
  <c r="F627" i="2"/>
  <c r="K627" i="2" s="1"/>
  <c r="K678" i="2"/>
  <c r="J678" i="2"/>
  <c r="I678" i="2"/>
  <c r="J550" i="2"/>
  <c r="H550" i="2" s="1"/>
  <c r="F552" i="2"/>
  <c r="G563" i="2"/>
  <c r="I574" i="2"/>
  <c r="F578" i="2"/>
  <c r="K578" i="2" s="1"/>
  <c r="F595" i="2"/>
  <c r="J600" i="2"/>
  <c r="H600" i="2" s="1"/>
  <c r="I600" i="2"/>
  <c r="I609" i="2"/>
  <c r="J619" i="2"/>
  <c r="H619" i="2" s="1"/>
  <c r="I619" i="2"/>
  <c r="G631" i="2"/>
  <c r="F631" i="2"/>
  <c r="K631" i="2" s="1"/>
  <c r="K670" i="2"/>
  <c r="J670" i="2"/>
  <c r="H670" i="2" s="1"/>
  <c r="I670" i="2"/>
  <c r="F542" i="2"/>
  <c r="K542" i="2" s="1"/>
  <c r="G545" i="2"/>
  <c r="K550" i="2"/>
  <c r="F563" i="2"/>
  <c r="I563" i="2" s="1"/>
  <c r="F568" i="2"/>
  <c r="I568" i="2" s="1"/>
  <c r="G578" i="2"/>
  <c r="F580" i="2"/>
  <c r="K580" i="2" s="1"/>
  <c r="G590" i="2"/>
  <c r="F590" i="2"/>
  <c r="J590" i="2" s="1"/>
  <c r="H590" i="2" s="1"/>
  <c r="G612" i="2"/>
  <c r="F612" i="2"/>
  <c r="J612" i="2" s="1"/>
  <c r="H612" i="2" s="1"/>
  <c r="K628" i="2"/>
  <c r="J628" i="2"/>
  <c r="H628" i="2" s="1"/>
  <c r="I628" i="2"/>
  <c r="K672" i="2"/>
  <c r="J672" i="2"/>
  <c r="I672" i="2"/>
  <c r="G514" i="2"/>
  <c r="I515" i="2"/>
  <c r="I517" i="2"/>
  <c r="F529" i="2"/>
  <c r="F532" i="2"/>
  <c r="J532" i="2" s="1"/>
  <c r="H532" i="2" s="1"/>
  <c r="I533" i="2"/>
  <c r="I535" i="2"/>
  <c r="F545" i="2"/>
  <c r="K545" i="2" s="1"/>
  <c r="F548" i="2"/>
  <c r="J548" i="2" s="1"/>
  <c r="H548" i="2" s="1"/>
  <c r="I549" i="2"/>
  <c r="I551" i="2"/>
  <c r="G560" i="2"/>
  <c r="F570" i="2"/>
  <c r="K570" i="2" s="1"/>
  <c r="K572" i="2"/>
  <c r="G575" i="2"/>
  <c r="F575" i="2"/>
  <c r="K575" i="2" s="1"/>
  <c r="G580" i="2"/>
  <c r="F588" i="2"/>
  <c r="J588" i="2" s="1"/>
  <c r="H588" i="2" s="1"/>
  <c r="F596" i="2"/>
  <c r="J596" i="2" s="1"/>
  <c r="H596" i="2" s="1"/>
  <c r="K600" i="2"/>
  <c r="G559" i="2"/>
  <c r="I577" i="2"/>
  <c r="F591" i="2"/>
  <c r="I591" i="2" s="1"/>
  <c r="F601" i="2"/>
  <c r="I601" i="2" s="1"/>
  <c r="G601" i="2"/>
  <c r="I613" i="2"/>
  <c r="G615" i="2"/>
  <c r="F615" i="2"/>
  <c r="J615" i="2" s="1"/>
  <c r="H615" i="2" s="1"/>
  <c r="F559" i="2"/>
  <c r="I559" i="2" s="1"/>
  <c r="F562" i="2"/>
  <c r="J562" i="2" s="1"/>
  <c r="H562" i="2" s="1"/>
  <c r="F567" i="2"/>
  <c r="I567" i="2" s="1"/>
  <c r="G579" i="2"/>
  <c r="G584" i="2"/>
  <c r="F584" i="2"/>
  <c r="K584" i="2" s="1"/>
  <c r="G599" i="2"/>
  <c r="F599" i="2"/>
  <c r="K599" i="2" s="1"/>
  <c r="G640" i="2"/>
  <c r="F640" i="2"/>
  <c r="J640" i="2" s="1"/>
  <c r="H640" i="2" s="1"/>
  <c r="K519" i="2"/>
  <c r="G519" i="2"/>
  <c r="K537" i="2"/>
  <c r="G537" i="2"/>
  <c r="K553" i="2"/>
  <c r="G553" i="2"/>
  <c r="F564" i="2"/>
  <c r="I564" i="2" s="1"/>
  <c r="I569" i="2"/>
  <c r="F579" i="2"/>
  <c r="K579" i="2" s="1"/>
  <c r="I581" i="2"/>
  <c r="G606" i="2"/>
  <c r="F606" i="2"/>
  <c r="K606" i="2" s="1"/>
  <c r="F618" i="2"/>
  <c r="I618" i="2" s="1"/>
  <c r="G623" i="2"/>
  <c r="F623" i="2"/>
  <c r="J623" i="2" s="1"/>
  <c r="H623" i="2" s="1"/>
  <c r="K738" i="2"/>
  <c r="J738" i="2"/>
  <c r="H738" i="2" s="1"/>
  <c r="I738" i="2"/>
  <c r="J566" i="2"/>
  <c r="H566" i="2" s="1"/>
  <c r="J574" i="2"/>
  <c r="H574" i="2" s="1"/>
  <c r="J582" i="2"/>
  <c r="H582" i="2" s="1"/>
  <c r="I593" i="2"/>
  <c r="I602" i="2"/>
  <c r="K603" i="2"/>
  <c r="J609" i="2"/>
  <c r="H609" i="2" s="1"/>
  <c r="K621" i="2"/>
  <c r="F636" i="2"/>
  <c r="I636" i="2" s="1"/>
  <c r="K642" i="2"/>
  <c r="J642" i="2"/>
  <c r="H642" i="2" s="1"/>
  <c r="I642" i="2"/>
  <c r="I643" i="2"/>
  <c r="K593" i="2"/>
  <c r="F622" i="2"/>
  <c r="K622" i="2" s="1"/>
  <c r="F626" i="2"/>
  <c r="J626" i="2" s="1"/>
  <c r="H626" i="2" s="1"/>
  <c r="G630" i="2"/>
  <c r="J650" i="2"/>
  <c r="H650" i="2" s="1"/>
  <c r="I650" i="2"/>
  <c r="K730" i="2"/>
  <c r="J730" i="2"/>
  <c r="H730" i="2" s="1"/>
  <c r="I730" i="2"/>
  <c r="K756" i="2"/>
  <c r="J756" i="2"/>
  <c r="H756" i="2" s="1"/>
  <c r="I756" i="2"/>
  <c r="F583" i="2"/>
  <c r="K583" i="2" s="1"/>
  <c r="G626" i="2"/>
  <c r="F630" i="2"/>
  <c r="K630" i="2" s="1"/>
  <c r="K722" i="2"/>
  <c r="J722" i="2"/>
  <c r="H722" i="2" s="1"/>
  <c r="I722" i="2"/>
  <c r="F589" i="2"/>
  <c r="I589" i="2" s="1"/>
  <c r="F594" i="2"/>
  <c r="K594" i="2" s="1"/>
  <c r="F598" i="2"/>
  <c r="I598" i="2" s="1"/>
  <c r="F614" i="2"/>
  <c r="J614" i="2" s="1"/>
  <c r="H614" i="2" s="1"/>
  <c r="G621" i="2"/>
  <c r="F625" i="2"/>
  <c r="I625" i="2" s="1"/>
  <c r="I632" i="2"/>
  <c r="J643" i="2"/>
  <c r="H643" i="2" s="1"/>
  <c r="K650" i="2"/>
  <c r="F654" i="2"/>
  <c r="J654" i="2" s="1"/>
  <c r="H654" i="2" s="1"/>
  <c r="K696" i="2"/>
  <c r="J696" i="2"/>
  <c r="H696" i="2" s="1"/>
  <c r="I696" i="2"/>
  <c r="K714" i="2"/>
  <c r="J714" i="2"/>
  <c r="H714" i="2" s="1"/>
  <c r="I714" i="2"/>
  <c r="K746" i="2"/>
  <c r="J746" i="2"/>
  <c r="H746" i="2" s="1"/>
  <c r="I746" i="2"/>
  <c r="J597" i="2"/>
  <c r="H597" i="2" s="1"/>
  <c r="K608" i="2"/>
  <c r="I624" i="2"/>
  <c r="F629" i="2"/>
  <c r="K629" i="2" s="1"/>
  <c r="K662" i="2"/>
  <c r="J662" i="2"/>
  <c r="H662" i="2" s="1"/>
  <c r="I662" i="2"/>
  <c r="K664" i="2"/>
  <c r="K686" i="2"/>
  <c r="J686" i="2"/>
  <c r="H686" i="2" s="1"/>
  <c r="I686" i="2"/>
  <c r="K704" i="2"/>
  <c r="J704" i="2"/>
  <c r="H704" i="2" s="1"/>
  <c r="I704" i="2"/>
  <c r="I664" i="2"/>
  <c r="J673" i="2"/>
  <c r="H673" i="2" s="1"/>
  <c r="I680" i="2"/>
  <c r="J681" i="2"/>
  <c r="H681" i="2" s="1"/>
  <c r="I688" i="2"/>
  <c r="J689" i="2"/>
  <c r="K713" i="2" s="1"/>
  <c r="I698" i="2"/>
  <c r="J699" i="2"/>
  <c r="H699" i="2" s="1"/>
  <c r="I706" i="2"/>
  <c r="J707" i="2"/>
  <c r="H707" i="2" s="1"/>
  <c r="I716" i="2"/>
  <c r="J717" i="2"/>
  <c r="H717" i="2" s="1"/>
  <c r="I724" i="2"/>
  <c r="J725" i="2"/>
  <c r="H725" i="2" s="1"/>
  <c r="I732" i="2"/>
  <c r="J733" i="2"/>
  <c r="I740" i="2"/>
  <c r="J741" i="2"/>
  <c r="H741" i="2" s="1"/>
  <c r="I748" i="2"/>
  <c r="J749" i="2"/>
  <c r="H749" i="2" s="1"/>
  <c r="I758" i="2"/>
  <c r="J759" i="2"/>
  <c r="H759" i="2" s="1"/>
  <c r="K760" i="2"/>
  <c r="J664" i="2"/>
  <c r="H664" i="2" s="1"/>
  <c r="J680" i="2"/>
  <c r="H680" i="2" s="1"/>
  <c r="J688" i="2"/>
  <c r="H688" i="2" s="1"/>
  <c r="J698" i="2"/>
  <c r="H698" i="2" s="1"/>
  <c r="I705" i="2"/>
  <c r="J706" i="2"/>
  <c r="H706" i="2" s="1"/>
  <c r="I715" i="2"/>
  <c r="J716" i="2"/>
  <c r="H716" i="2" s="1"/>
  <c r="I723" i="2"/>
  <c r="J724" i="2"/>
  <c r="H724" i="2" s="1"/>
  <c r="I731" i="2"/>
  <c r="J732" i="2"/>
  <c r="H732" i="2" s="1"/>
  <c r="I739" i="2"/>
  <c r="J740" i="2"/>
  <c r="H740" i="2" s="1"/>
  <c r="I747" i="2"/>
  <c r="J748" i="2"/>
  <c r="H748" i="2" s="1"/>
  <c r="I757" i="2"/>
  <c r="J758" i="2"/>
  <c r="H758" i="2" s="1"/>
  <c r="J705" i="2"/>
  <c r="H705" i="2" s="1"/>
  <c r="J715" i="2"/>
  <c r="H715" i="2" s="1"/>
  <c r="J723" i="2"/>
  <c r="J731" i="2"/>
  <c r="H731" i="2" s="1"/>
  <c r="J739" i="2"/>
  <c r="H739" i="2" s="1"/>
  <c r="H517" i="2" l="1"/>
  <c r="K516" i="2"/>
  <c r="K510" i="2"/>
  <c r="H439" i="2"/>
  <c r="J34" i="2"/>
  <c r="H34" i="2" s="1"/>
  <c r="H742" i="2"/>
  <c r="H733" i="2"/>
  <c r="H678" i="2"/>
  <c r="H672" i="2"/>
  <c r="H581" i="2"/>
  <c r="H569" i="2"/>
  <c r="H429" i="2"/>
  <c r="H425" i="2"/>
  <c r="H395" i="2"/>
  <c r="H370" i="2"/>
  <c r="H223" i="2"/>
  <c r="H56" i="2"/>
  <c r="K128" i="2"/>
  <c r="H41" i="2"/>
  <c r="K442" i="2"/>
  <c r="J11" i="2"/>
  <c r="H11" i="2" s="1"/>
  <c r="I9" i="2"/>
  <c r="K9" i="2"/>
  <c r="H723" i="2"/>
  <c r="H713" i="2"/>
  <c r="H689" i="2"/>
  <c r="H677" i="2"/>
  <c r="H682" i="2"/>
  <c r="H666" i="2"/>
  <c r="H592" i="2"/>
  <c r="H501" i="2"/>
  <c r="G501" i="2"/>
  <c r="H503" i="2"/>
  <c r="K330" i="2"/>
  <c r="H330" i="2"/>
  <c r="H421" i="2"/>
  <c r="H340" i="2"/>
  <c r="H169" i="2"/>
  <c r="H321" i="2"/>
  <c r="H292" i="2"/>
  <c r="H267" i="2"/>
  <c r="H261" i="2"/>
  <c r="H237" i="2"/>
  <c r="K232" i="2"/>
  <c r="H198" i="2"/>
  <c r="H163" i="2"/>
  <c r="H142" i="2"/>
  <c r="K142" i="2"/>
  <c r="H105" i="2"/>
  <c r="H109" i="2"/>
  <c r="J416" i="2"/>
  <c r="H416" i="2" s="1"/>
  <c r="J625" i="2"/>
  <c r="H625" i="2" s="1"/>
  <c r="H49" i="2"/>
  <c r="I596" i="2"/>
  <c r="I138" i="2"/>
  <c r="J107" i="2"/>
  <c r="H107" i="2" s="1"/>
  <c r="J138" i="2"/>
  <c r="H138" i="2" s="1"/>
  <c r="K562" i="2"/>
  <c r="J291" i="2"/>
  <c r="H291" i="2" s="1"/>
  <c r="I170" i="2"/>
  <c r="I107" i="2"/>
  <c r="H32" i="2"/>
  <c r="J579" i="2"/>
  <c r="H579" i="2" s="1"/>
  <c r="I505" i="2"/>
  <c r="I382" i="2"/>
  <c r="J403" i="2"/>
  <c r="H403" i="2" s="1"/>
  <c r="I160" i="2"/>
  <c r="J37" i="2"/>
  <c r="H37" i="2" s="1"/>
  <c r="I342" i="2"/>
  <c r="I162" i="2"/>
  <c r="I329" i="2"/>
  <c r="I88" i="2"/>
  <c r="K470" i="2"/>
  <c r="J327" i="2"/>
  <c r="K611" i="2" s="1"/>
  <c r="J374" i="2"/>
  <c r="H374" i="2" s="1"/>
  <c r="K89" i="2"/>
  <c r="K601" i="2"/>
  <c r="K418" i="2"/>
  <c r="I132" i="2"/>
  <c r="J266" i="2"/>
  <c r="H266" i="2" s="1"/>
  <c r="K615" i="2"/>
  <c r="I611" i="2"/>
  <c r="I546" i="2"/>
  <c r="J611" i="2"/>
  <c r="K742" i="2" s="1"/>
  <c r="J546" i="2"/>
  <c r="H546" i="2" s="1"/>
  <c r="K450" i="2"/>
  <c r="J88" i="2"/>
  <c r="H88" i="2" s="1"/>
  <c r="I344" i="2"/>
  <c r="I212" i="2"/>
  <c r="H26" i="2"/>
  <c r="G26" i="2"/>
  <c r="K607" i="2"/>
  <c r="I495" i="2"/>
  <c r="J475" i="2"/>
  <c r="H475" i="2" s="1"/>
  <c r="J353" i="2"/>
  <c r="H353" i="2" s="1"/>
  <c r="K324" i="2"/>
  <c r="I143" i="2"/>
  <c r="K377" i="2"/>
  <c r="I386" i="2"/>
  <c r="J400" i="2"/>
  <c r="H400" i="2" s="1"/>
  <c r="J320" i="2"/>
  <c r="H320" i="2" s="1"/>
  <c r="K132" i="2"/>
  <c r="J143" i="2"/>
  <c r="H143" i="2" s="1"/>
  <c r="I202" i="2"/>
  <c r="J168" i="2"/>
  <c r="H168" i="2" s="1"/>
  <c r="I562" i="2"/>
  <c r="J406" i="2"/>
  <c r="H406" i="2" s="1"/>
  <c r="K286" i="2"/>
  <c r="I47" i="2"/>
  <c r="I629" i="2"/>
  <c r="J629" i="2"/>
  <c r="H629" i="2" s="1"/>
  <c r="I435" i="2"/>
  <c r="K435" i="2"/>
  <c r="J371" i="2"/>
  <c r="H371" i="2" s="1"/>
  <c r="K386" i="2"/>
  <c r="K157" i="2"/>
  <c r="I232" i="2"/>
  <c r="J47" i="2"/>
  <c r="H47" i="2" s="1"/>
  <c r="J618" i="2"/>
  <c r="H618" i="2" s="1"/>
  <c r="K567" i="2"/>
  <c r="J544" i="2"/>
  <c r="H544" i="2" s="1"/>
  <c r="I522" i="2"/>
  <c r="K382" i="2"/>
  <c r="K398" i="2"/>
  <c r="J162" i="2"/>
  <c r="H162" i="2" s="1"/>
  <c r="I194" i="2"/>
  <c r="I626" i="2"/>
  <c r="K495" i="2"/>
  <c r="J424" i="2"/>
  <c r="H424" i="2" s="1"/>
  <c r="J352" i="2"/>
  <c r="H352" i="2" s="1"/>
  <c r="J202" i="2"/>
  <c r="J40" i="2"/>
  <c r="H40" i="2" s="1"/>
  <c r="I144" i="2"/>
  <c r="I63" i="2"/>
  <c r="J159" i="2"/>
  <c r="H159" i="2" s="1"/>
  <c r="K144" i="2"/>
  <c r="I73" i="2"/>
  <c r="K596" i="2"/>
  <c r="I418" i="2"/>
  <c r="I377" i="2"/>
  <c r="J290" i="2"/>
  <c r="H290" i="2" s="1"/>
  <c r="J249" i="2"/>
  <c r="I200" i="2"/>
  <c r="J230" i="2"/>
  <c r="H230" i="2" s="1"/>
  <c r="K283" i="2"/>
  <c r="J232" i="2"/>
  <c r="K249" i="2" s="1"/>
  <c r="J124" i="2"/>
  <c r="H124" i="2" s="1"/>
  <c r="J344" i="2"/>
  <c r="H344" i="2" s="1"/>
  <c r="J194" i="2"/>
  <c r="H194" i="2" s="1"/>
  <c r="K626" i="2"/>
  <c r="J607" i="2"/>
  <c r="H607" i="2" s="1"/>
  <c r="I411" i="2"/>
  <c r="I408" i="2"/>
  <c r="K371" i="2"/>
  <c r="K451" i="2"/>
  <c r="K329" i="2"/>
  <c r="K200" i="2"/>
  <c r="J118" i="2"/>
  <c r="H118" i="2" s="1"/>
  <c r="K284" i="2"/>
  <c r="J214" i="2"/>
  <c r="H214" i="2" s="1"/>
  <c r="J170" i="2"/>
  <c r="H170" i="2" s="1"/>
  <c r="K124" i="2"/>
  <c r="K108" i="2"/>
  <c r="K618" i="2"/>
  <c r="I424" i="2"/>
  <c r="K614" i="2"/>
  <c r="J540" i="2"/>
  <c r="H540" i="2" s="1"/>
  <c r="K353" i="2"/>
  <c r="I402" i="2"/>
  <c r="I277" i="2"/>
  <c r="J385" i="2"/>
  <c r="H385" i="2" s="1"/>
  <c r="I416" i="2"/>
  <c r="I168" i="2"/>
  <c r="K213" i="2"/>
  <c r="I31" i="2"/>
  <c r="I366" i="2"/>
  <c r="J455" i="2"/>
  <c r="H455" i="2" s="1"/>
  <c r="J502" i="2"/>
  <c r="H502" i="2" s="1"/>
  <c r="I432" i="2"/>
  <c r="J238" i="2"/>
  <c r="H238" i="2" s="1"/>
  <c r="I614" i="2"/>
  <c r="J591" i="2"/>
  <c r="H591" i="2" s="1"/>
  <c r="K369" i="2"/>
  <c r="J442" i="2"/>
  <c r="K484" i="2" s="1"/>
  <c r="I328" i="2"/>
  <c r="K177" i="2"/>
  <c r="J79" i="2"/>
  <c r="H79" i="2" s="1"/>
  <c r="J432" i="2"/>
  <c r="K598" i="2"/>
  <c r="J606" i="2"/>
  <c r="H606" i="2" s="1"/>
  <c r="K591" i="2"/>
  <c r="I590" i="2"/>
  <c r="I631" i="2"/>
  <c r="J563" i="2"/>
  <c r="H563" i="2" s="1"/>
  <c r="J571" i="2"/>
  <c r="H571" i="2" s="1"/>
  <c r="J511" i="2"/>
  <c r="H511" i="2" s="1"/>
  <c r="I479" i="2"/>
  <c r="I335" i="2"/>
  <c r="K313" i="2"/>
  <c r="K400" i="2"/>
  <c r="K339" i="2"/>
  <c r="I283" i="2"/>
  <c r="J212" i="2"/>
  <c r="H212" i="2" s="1"/>
  <c r="K127" i="2"/>
  <c r="I294" i="2"/>
  <c r="I239" i="2"/>
  <c r="I220" i="2"/>
  <c r="J152" i="2"/>
  <c r="H152" i="2" s="1"/>
  <c r="I87" i="2"/>
  <c r="J328" i="2"/>
  <c r="H328" i="2" s="1"/>
  <c r="I290" i="2"/>
  <c r="I296" i="2"/>
  <c r="J14" i="2"/>
  <c r="H14" i="2" s="1"/>
  <c r="I71" i="2"/>
  <c r="I34" i="2"/>
  <c r="J54" i="2"/>
  <c r="H54" i="2" s="1"/>
  <c r="I62" i="2"/>
  <c r="J622" i="2"/>
  <c r="H622" i="2" s="1"/>
  <c r="I606" i="2"/>
  <c r="J631" i="2"/>
  <c r="H631" i="2" s="1"/>
  <c r="K544" i="2"/>
  <c r="K511" i="2"/>
  <c r="J392" i="2"/>
  <c r="I369" i="2"/>
  <c r="I459" i="2"/>
  <c r="K296" i="2"/>
  <c r="I258" i="2"/>
  <c r="I240" i="2"/>
  <c r="J71" i="2"/>
  <c r="H71" i="2" s="1"/>
  <c r="I139" i="2"/>
  <c r="I46" i="2"/>
  <c r="K54" i="2"/>
  <c r="J62" i="2"/>
  <c r="H62" i="2" s="1"/>
  <c r="I379" i="2"/>
  <c r="J186" i="2"/>
  <c r="H186" i="2" s="1"/>
  <c r="I111" i="2"/>
  <c r="J147" i="2"/>
  <c r="H147" i="2" s="1"/>
  <c r="J570" i="2"/>
  <c r="H570" i="2" s="1"/>
  <c r="K456" i="2"/>
  <c r="K455" i="2"/>
  <c r="I384" i="2"/>
  <c r="I502" i="2"/>
  <c r="K563" i="2"/>
  <c r="J479" i="2"/>
  <c r="H479" i="2" s="1"/>
  <c r="K335" i="2"/>
  <c r="I336" i="2"/>
  <c r="I316" i="2"/>
  <c r="I374" i="2"/>
  <c r="K220" i="2"/>
  <c r="J239" i="2"/>
  <c r="H239" i="2" s="1"/>
  <c r="I654" i="2"/>
  <c r="I623" i="2"/>
  <c r="I599" i="2"/>
  <c r="K559" i="2"/>
  <c r="I595" i="2"/>
  <c r="I500" i="2"/>
  <c r="I475" i="2"/>
  <c r="I450" i="2"/>
  <c r="K408" i="2"/>
  <c r="K333" i="2"/>
  <c r="I305" i="2"/>
  <c r="I333" i="2"/>
  <c r="K316" i="2"/>
  <c r="J451" i="2"/>
  <c r="H451" i="2" s="1"/>
  <c r="I385" i="2"/>
  <c r="J175" i="2"/>
  <c r="H175" i="2" s="1"/>
  <c r="K118" i="2"/>
  <c r="J294" i="2"/>
  <c r="H294" i="2" s="1"/>
  <c r="I147" i="2"/>
  <c r="I102" i="2"/>
  <c r="I79" i="2"/>
  <c r="I230" i="2"/>
  <c r="K161" i="2"/>
  <c r="I98" i="2"/>
  <c r="J459" i="2"/>
  <c r="H459" i="2" s="1"/>
  <c r="I159" i="2"/>
  <c r="J258" i="2"/>
  <c r="K260" i="2" s="1"/>
  <c r="I286" i="2"/>
  <c r="I213" i="2"/>
  <c r="J240" i="2"/>
  <c r="H240" i="2" s="1"/>
  <c r="K160" i="2"/>
  <c r="J139" i="2"/>
  <c r="H139" i="2" s="1"/>
  <c r="K14" i="2"/>
  <c r="K149" i="2"/>
  <c r="J89" i="2"/>
  <c r="H89" i="2" s="1"/>
  <c r="K45" i="2"/>
  <c r="J456" i="2"/>
  <c r="H456" i="2" s="1"/>
  <c r="I442" i="2"/>
  <c r="I327" i="2"/>
  <c r="J177" i="2"/>
  <c r="H177" i="2" s="1"/>
  <c r="K654" i="2"/>
  <c r="J601" i="2"/>
  <c r="H601" i="2" s="1"/>
  <c r="I579" i="2"/>
  <c r="J366" i="2"/>
  <c r="I398" i="2"/>
  <c r="K282" i="2"/>
  <c r="I249" i="2"/>
  <c r="K102" i="2"/>
  <c r="J578" i="2"/>
  <c r="H578" i="2" s="1"/>
  <c r="K540" i="2"/>
  <c r="I483" i="2"/>
  <c r="K392" i="2"/>
  <c r="K411" i="2"/>
  <c r="J384" i="2"/>
  <c r="H384" i="2" s="1"/>
  <c r="K277" i="2"/>
  <c r="I186" i="2"/>
  <c r="J98" i="2"/>
  <c r="H98" i="2" s="1"/>
  <c r="K188" i="2"/>
  <c r="K174" i="2"/>
  <c r="J108" i="2"/>
  <c r="H108" i="2" s="1"/>
  <c r="K73" i="2"/>
  <c r="I115" i="2"/>
  <c r="I45" i="2"/>
  <c r="J560" i="2"/>
  <c r="H560" i="2" s="1"/>
  <c r="I560" i="2"/>
  <c r="K244" i="2"/>
  <c r="J244" i="2"/>
  <c r="H244" i="2" s="1"/>
  <c r="I244" i="2"/>
  <c r="J336" i="2"/>
  <c r="H336" i="2" s="1"/>
  <c r="I486" i="2"/>
  <c r="I463" i="2"/>
  <c r="J536" i="2"/>
  <c r="H536" i="2" s="1"/>
  <c r="I298" i="2"/>
  <c r="K298" i="2"/>
  <c r="J298" i="2"/>
  <c r="H298" i="2" s="1"/>
  <c r="J263" i="2"/>
  <c r="H263" i="2" s="1"/>
  <c r="I263" i="2"/>
  <c r="I191" i="2"/>
  <c r="J191" i="2"/>
  <c r="H191" i="2" s="1"/>
  <c r="K350" i="2"/>
  <c r="K236" i="2"/>
  <c r="J236" i="2"/>
  <c r="H236" i="2" s="1"/>
  <c r="I236" i="2"/>
  <c r="J390" i="2"/>
  <c r="H390" i="2" s="1"/>
  <c r="I325" i="2"/>
  <c r="I310" i="2"/>
  <c r="J154" i="2"/>
  <c r="H154" i="2" s="1"/>
  <c r="I154" i="2"/>
  <c r="J66" i="2"/>
  <c r="H66" i="2" s="1"/>
  <c r="I66" i="2"/>
  <c r="K248" i="2"/>
  <c r="K214" i="2"/>
  <c r="I157" i="2"/>
  <c r="J24" i="2"/>
  <c r="H24" i="2" s="1"/>
  <c r="J63" i="2"/>
  <c r="H63" i="2" s="1"/>
  <c r="K24" i="2"/>
  <c r="K499" i="2"/>
  <c r="J499" i="2"/>
  <c r="H499" i="2" s="1"/>
  <c r="I421" i="2"/>
  <c r="J318" i="2"/>
  <c r="H318" i="2" s="1"/>
  <c r="I318" i="2"/>
  <c r="K318" i="2"/>
  <c r="J293" i="2"/>
  <c r="H293" i="2" s="1"/>
  <c r="K293" i="2"/>
  <c r="K507" i="2"/>
  <c r="J507" i="2"/>
  <c r="H507" i="2" s="1"/>
  <c r="I42" i="2"/>
  <c r="I612" i="2"/>
  <c r="K590" i="2"/>
  <c r="J595" i="2"/>
  <c r="K729" i="2" s="1"/>
  <c r="J465" i="2"/>
  <c r="H465" i="2" s="1"/>
  <c r="K465" i="2"/>
  <c r="I552" i="2"/>
  <c r="J528" i="2"/>
  <c r="H528" i="2" s="1"/>
  <c r="I465" i="2"/>
  <c r="K571" i="2"/>
  <c r="J478" i="2"/>
  <c r="H478" i="2" s="1"/>
  <c r="I478" i="2"/>
  <c r="J500" i="2"/>
  <c r="H500" i="2" s="1"/>
  <c r="I630" i="2"/>
  <c r="J589" i="2"/>
  <c r="H589" i="2" s="1"/>
  <c r="J599" i="2"/>
  <c r="H599" i="2" s="1"/>
  <c r="I584" i="2"/>
  <c r="I615" i="2"/>
  <c r="J564" i="2"/>
  <c r="H564" i="2" s="1"/>
  <c r="I576" i="2"/>
  <c r="J444" i="2"/>
  <c r="H444" i="2" s="1"/>
  <c r="J426" i="2"/>
  <c r="H426" i="2" s="1"/>
  <c r="K463" i="2"/>
  <c r="K457" i="2"/>
  <c r="J505" i="2"/>
  <c r="H505" i="2" s="1"/>
  <c r="I351" i="2"/>
  <c r="J350" i="2"/>
  <c r="H350" i="2" s="1"/>
  <c r="J325" i="2"/>
  <c r="H325" i="2" s="1"/>
  <c r="K403" i="2"/>
  <c r="J314" i="2"/>
  <c r="H314" i="2" s="1"/>
  <c r="J243" i="2"/>
  <c r="I243" i="2"/>
  <c r="J173" i="2"/>
  <c r="H173" i="2" s="1"/>
  <c r="I173" i="2"/>
  <c r="K173" i="2"/>
  <c r="J362" i="2"/>
  <c r="H362" i="2" s="1"/>
  <c r="J218" i="2"/>
  <c r="I218" i="2"/>
  <c r="K218" i="2"/>
  <c r="J402" i="2"/>
  <c r="H402" i="2" s="1"/>
  <c r="I467" i="2"/>
  <c r="I304" i="2"/>
  <c r="K191" i="2"/>
  <c r="J319" i="2"/>
  <c r="H319" i="2" s="1"/>
  <c r="I260" i="2"/>
  <c r="J94" i="2"/>
  <c r="H94" i="2" s="1"/>
  <c r="I94" i="2"/>
  <c r="J50" i="2"/>
  <c r="I50" i="2"/>
  <c r="I175" i="2"/>
  <c r="J166" i="2"/>
  <c r="H166" i="2" s="1"/>
  <c r="I284" i="2"/>
  <c r="J174" i="2"/>
  <c r="H174" i="2" s="1"/>
  <c r="I187" i="2"/>
  <c r="I128" i="2"/>
  <c r="J87" i="2"/>
  <c r="H87" i="2" s="1"/>
  <c r="I61" i="2"/>
  <c r="J153" i="2"/>
  <c r="K267" i="2" s="1"/>
  <c r="J103" i="2"/>
  <c r="H103" i="2" s="1"/>
  <c r="K31" i="2"/>
  <c r="J221" i="2"/>
  <c r="H221" i="2" s="1"/>
  <c r="J99" i="2"/>
  <c r="H99" i="2" s="1"/>
  <c r="I39" i="2"/>
  <c r="J115" i="2"/>
  <c r="H115" i="2" s="1"/>
  <c r="K623" i="2"/>
  <c r="K640" i="2"/>
  <c r="I627" i="2"/>
  <c r="I426" i="2"/>
  <c r="J304" i="2"/>
  <c r="H304" i="2" s="1"/>
  <c r="J279" i="2"/>
  <c r="H279" i="2" s="1"/>
  <c r="I279" i="2"/>
  <c r="I255" i="2"/>
  <c r="J255" i="2"/>
  <c r="H255" i="2" s="1"/>
  <c r="J58" i="2"/>
  <c r="H58" i="2" s="1"/>
  <c r="I58" i="2"/>
  <c r="K154" i="2"/>
  <c r="J97" i="2"/>
  <c r="H97" i="2" s="1"/>
  <c r="I221" i="2"/>
  <c r="I99" i="2"/>
  <c r="K564" i="2"/>
  <c r="J575" i="2"/>
  <c r="H575" i="2" s="1"/>
  <c r="I575" i="2"/>
  <c r="K612" i="2"/>
  <c r="I588" i="2"/>
  <c r="J552" i="2"/>
  <c r="J627" i="2"/>
  <c r="H627" i="2" s="1"/>
  <c r="I587" i="2"/>
  <c r="K483" i="2"/>
  <c r="I558" i="2"/>
  <c r="J567" i="2"/>
  <c r="K689" i="2" s="1"/>
  <c r="J530" i="2"/>
  <c r="H530" i="2" s="1"/>
  <c r="I507" i="2"/>
  <c r="K522" i="2"/>
  <c r="J583" i="2"/>
  <c r="H583" i="2" s="1"/>
  <c r="I583" i="2"/>
  <c r="K589" i="2"/>
  <c r="I640" i="2"/>
  <c r="I532" i="2"/>
  <c r="K532" i="2"/>
  <c r="J580" i="2"/>
  <c r="H580" i="2" s="1"/>
  <c r="I580" i="2"/>
  <c r="I578" i="2"/>
  <c r="J587" i="2"/>
  <c r="H587" i="2" s="1"/>
  <c r="K528" i="2"/>
  <c r="K467" i="2"/>
  <c r="K558" i="2"/>
  <c r="J484" i="2"/>
  <c r="K592" i="2" s="1"/>
  <c r="J523" i="2"/>
  <c r="H523" i="2" s="1"/>
  <c r="K439" i="2"/>
  <c r="I516" i="2"/>
  <c r="J576" i="2"/>
  <c r="K733" i="2" s="1"/>
  <c r="K444" i="2"/>
  <c r="J473" i="2"/>
  <c r="H473" i="2" s="1"/>
  <c r="I362" i="2"/>
  <c r="J351" i="2"/>
  <c r="H351" i="2" s="1"/>
  <c r="J489" i="2"/>
  <c r="H489" i="2" s="1"/>
  <c r="J342" i="2"/>
  <c r="H342" i="2" s="1"/>
  <c r="K310" i="2"/>
  <c r="J235" i="2"/>
  <c r="H235" i="2" s="1"/>
  <c r="I235" i="2"/>
  <c r="I165" i="2"/>
  <c r="K165" i="2"/>
  <c r="J165" i="2"/>
  <c r="H165" i="2" s="1"/>
  <c r="K280" i="2"/>
  <c r="J280" i="2"/>
  <c r="H280" i="2" s="1"/>
  <c r="I210" i="2"/>
  <c r="K210" i="2"/>
  <c r="J210" i="2"/>
  <c r="K387" i="2" s="1"/>
  <c r="J486" i="2"/>
  <c r="H486" i="2" s="1"/>
  <c r="K319" i="2"/>
  <c r="I291" i="2"/>
  <c r="K255" i="2"/>
  <c r="J470" i="2"/>
  <c r="H470" i="2" s="1"/>
  <c r="I324" i="2"/>
  <c r="K356" i="2"/>
  <c r="J260" i="2"/>
  <c r="I127" i="2"/>
  <c r="I204" i="2"/>
  <c r="I248" i="2"/>
  <c r="K58" i="2"/>
  <c r="J204" i="2"/>
  <c r="H204" i="2" s="1"/>
  <c r="J187" i="2"/>
  <c r="I266" i="2"/>
  <c r="J128" i="2"/>
  <c r="K576" i="2" s="1"/>
  <c r="I53" i="2"/>
  <c r="J61" i="2"/>
  <c r="H61" i="2" s="1"/>
  <c r="I80" i="2"/>
  <c r="K153" i="2"/>
  <c r="K103" i="2"/>
  <c r="I280" i="2"/>
  <c r="I119" i="2"/>
  <c r="K27" i="2"/>
  <c r="J27" i="2"/>
  <c r="H27" i="2" s="1"/>
  <c r="I135" i="2"/>
  <c r="K39" i="2"/>
  <c r="I499" i="2"/>
  <c r="I622" i="2"/>
  <c r="K588" i="2"/>
  <c r="K524" i="2"/>
  <c r="J516" i="2"/>
  <c r="K569" i="2" s="1"/>
  <c r="I530" i="2"/>
  <c r="K421" i="2"/>
  <c r="I439" i="2"/>
  <c r="K376" i="2"/>
  <c r="J376" i="2"/>
  <c r="H376" i="2" s="1"/>
  <c r="K183" i="2"/>
  <c r="J183" i="2"/>
  <c r="H183" i="2" s="1"/>
  <c r="I183" i="2"/>
  <c r="K228" i="2"/>
  <c r="J228" i="2"/>
  <c r="H228" i="2" s="1"/>
  <c r="I228" i="2"/>
  <c r="I97" i="2"/>
  <c r="K66" i="2"/>
  <c r="J584" i="2"/>
  <c r="H584" i="2" s="1"/>
  <c r="J529" i="2"/>
  <c r="I529" i="2"/>
  <c r="J542" i="2"/>
  <c r="K552" i="2" s="1"/>
  <c r="I542" i="2"/>
  <c r="J598" i="2"/>
  <c r="I524" i="2"/>
  <c r="I457" i="2"/>
  <c r="J481" i="2"/>
  <c r="H481" i="2" s="1"/>
  <c r="K481" i="2"/>
  <c r="K523" i="2"/>
  <c r="J494" i="2"/>
  <c r="H494" i="2" s="1"/>
  <c r="I494" i="2"/>
  <c r="I429" i="2"/>
  <c r="K560" i="2"/>
  <c r="K368" i="2"/>
  <c r="J368" i="2"/>
  <c r="H368" i="2" s="1"/>
  <c r="K473" i="2"/>
  <c r="I536" i="2"/>
  <c r="I406" i="2"/>
  <c r="I356" i="2"/>
  <c r="K489" i="2"/>
  <c r="I339" i="2"/>
  <c r="K314" i="2"/>
  <c r="I322" i="2"/>
  <c r="K322" i="2"/>
  <c r="J322" i="2"/>
  <c r="H322" i="2" s="1"/>
  <c r="J225" i="2"/>
  <c r="H225" i="2" s="1"/>
  <c r="I225" i="2"/>
  <c r="J379" i="2"/>
  <c r="H379" i="2" s="1"/>
  <c r="I352" i="2"/>
  <c r="K152" i="2"/>
  <c r="J188" i="2"/>
  <c r="H188" i="2" s="1"/>
  <c r="K166" i="2"/>
  <c r="J53" i="2"/>
  <c r="H53" i="2" s="1"/>
  <c r="J80" i="2"/>
  <c r="H80" i="2" s="1"/>
  <c r="K119" i="2"/>
  <c r="J135" i="2"/>
  <c r="K184" i="2"/>
  <c r="J184" i="2"/>
  <c r="H184" i="2" s="1"/>
  <c r="I184" i="2"/>
  <c r="J282" i="2"/>
  <c r="H282" i="2" s="1"/>
  <c r="J84" i="2"/>
  <c r="H84" i="2" s="1"/>
  <c r="I84" i="2"/>
  <c r="K192" i="2"/>
  <c r="J192" i="2"/>
  <c r="H192" i="2" s="1"/>
  <c r="J313" i="2"/>
  <c r="K19" i="2"/>
  <c r="J19" i="2"/>
  <c r="H19" i="2" s="1"/>
  <c r="J46" i="2"/>
  <c r="H46" i="2" s="1"/>
  <c r="I149" i="2"/>
  <c r="J468" i="2"/>
  <c r="H468" i="2" s="1"/>
  <c r="K468" i="2"/>
  <c r="J285" i="2"/>
  <c r="H285" i="2" s="1"/>
  <c r="K285" i="2"/>
  <c r="J199" i="2"/>
  <c r="H199" i="2" s="1"/>
  <c r="I199" i="2"/>
  <c r="J76" i="2"/>
  <c r="H76" i="2" s="1"/>
  <c r="I76" i="2"/>
  <c r="I38" i="2"/>
  <c r="K38" i="2"/>
  <c r="J594" i="2"/>
  <c r="H594" i="2" s="1"/>
  <c r="I594" i="2"/>
  <c r="J630" i="2"/>
  <c r="H630" i="2" s="1"/>
  <c r="I548" i="2"/>
  <c r="K548" i="2"/>
  <c r="K568" i="2"/>
  <c r="J568" i="2"/>
  <c r="H568" i="2" s="1"/>
  <c r="J462" i="2"/>
  <c r="H462" i="2" s="1"/>
  <c r="I462" i="2"/>
  <c r="I534" i="2"/>
  <c r="I272" i="2"/>
  <c r="J272" i="2"/>
  <c r="H272" i="2" s="1"/>
  <c r="J217" i="2"/>
  <c r="H217" i="2" s="1"/>
  <c r="I217" i="2"/>
  <c r="K263" i="2"/>
  <c r="J636" i="2"/>
  <c r="H636" i="2" s="1"/>
  <c r="K636" i="2"/>
  <c r="I570" i="2"/>
  <c r="J545" i="2"/>
  <c r="H545" i="2" s="1"/>
  <c r="I545" i="2"/>
  <c r="K625" i="2"/>
  <c r="K529" i="2"/>
  <c r="J559" i="2"/>
  <c r="H559" i="2" s="1"/>
  <c r="J491" i="2"/>
  <c r="H491" i="2" s="1"/>
  <c r="I491" i="2"/>
  <c r="K429" i="2"/>
  <c r="K534" i="2"/>
  <c r="K518" i="2"/>
  <c r="I518" i="2"/>
  <c r="K348" i="2"/>
  <c r="J348" i="2"/>
  <c r="H348" i="2" s="1"/>
  <c r="I348" i="2"/>
  <c r="J309" i="2"/>
  <c r="I309" i="2"/>
  <c r="K390" i="2"/>
  <c r="K360" i="2"/>
  <c r="J360" i="2"/>
  <c r="K415" i="2" s="1"/>
  <c r="J337" i="2"/>
  <c r="K337" i="2"/>
  <c r="K299" i="2"/>
  <c r="K268" i="2"/>
  <c r="J268" i="2"/>
  <c r="H268" i="2" s="1"/>
  <c r="I268" i="2"/>
  <c r="J209" i="2"/>
  <c r="H209" i="2" s="1"/>
  <c r="I209" i="2"/>
  <c r="K320" i="2"/>
  <c r="K305" i="2"/>
  <c r="K256" i="2"/>
  <c r="J256" i="2"/>
  <c r="H256" i="2" s="1"/>
  <c r="I256" i="2"/>
  <c r="I299" i="2"/>
  <c r="J161" i="2"/>
  <c r="H161" i="2" s="1"/>
  <c r="I238" i="2"/>
  <c r="K42" i="2"/>
  <c r="K10" i="2"/>
  <c r="I10" i="2"/>
  <c r="I40" i="2"/>
  <c r="J111" i="2"/>
  <c r="H111" i="2" s="1"/>
  <c r="I37" i="2"/>
  <c r="H516" i="2" l="1"/>
  <c r="H611" i="2"/>
  <c r="K682" i="2"/>
  <c r="H598" i="2"/>
  <c r="G598" i="2"/>
  <c r="H595" i="2"/>
  <c r="K595" i="2"/>
  <c r="H552" i="2"/>
  <c r="H542" i="2"/>
  <c r="H432" i="2"/>
  <c r="H392" i="2"/>
  <c r="H327" i="2"/>
  <c r="H218" i="2"/>
  <c r="H576" i="2"/>
  <c r="H567" i="2"/>
  <c r="H484" i="2"/>
  <c r="H442" i="2"/>
  <c r="H366" i="2"/>
  <c r="H360" i="2"/>
  <c r="K309" i="2"/>
  <c r="K340" i="2"/>
  <c r="H337" i="2"/>
  <c r="H313" i="2"/>
  <c r="H309" i="2"/>
  <c r="H260" i="2"/>
  <c r="H258" i="2"/>
  <c r="H243" i="2"/>
  <c r="H202" i="2"/>
  <c r="H187" i="2"/>
  <c r="H153" i="2"/>
  <c r="H135" i="2"/>
  <c r="H128" i="2"/>
  <c r="G37" i="2"/>
  <c r="H50" i="2"/>
</calcChain>
</file>

<file path=xl/sharedStrings.xml><?xml version="1.0" encoding="utf-8"?>
<sst xmlns="http://schemas.openxmlformats.org/spreadsheetml/2006/main" count="1719" uniqueCount="648">
  <si>
    <t>ID</t>
  </si>
  <si>
    <t>PRED_ID</t>
  </si>
  <si>
    <t>MARKER_AUTO</t>
  </si>
  <si>
    <t>PREDICATE</t>
  </si>
  <si>
    <t>TEXT</t>
  </si>
  <si>
    <t>SENTENCE</t>
  </si>
  <si>
    <t>MARKER</t>
  </si>
  <si>
    <t>TARGET</t>
  </si>
  <si>
    <t>RELATION</t>
  </si>
  <si>
    <t>COMMENT</t>
  </si>
  <si>
    <t>1</t>
  </si>
  <si>
    <t>_</t>
  </si>
  <si>
    <t>Pokémon</t>
  </si>
  <si>
    <t>Pokémon Go , eine Jagd nach Gesundheit und Glück , die sich lohnt</t>
  </si>
  <si>
    <t>file://conllu/de/brisbanetimes.com.au.130272.conllu#s1_0</t>
  </si>
  <si>
    <t>2</t>
  </si>
  <si>
    <t>sein (sein zuzusehen)</t>
  </si>
  <si>
    <t>Es ist faszinierend zuzusehen , wie sich die Welt verändert .</t>
  </si>
  <si>
    <t>file://conllu/de/brisbanetimes.com.au.130272.conllu#s2_0</t>
  </si>
  <si>
    <t>3</t>
  </si>
  <si>
    <t>37</t>
  </si>
  <si>
    <t>beklagen</t>
  </si>
  <si>
    <t>Dass Teenager und Kind zum zu dem Spielen nicht mehr nach draußen gehen , sondern es vielmehr bevorzugen , ihre Freizeit damit zu verbringen , auf Bildschirme zu starren , wurde im in dem letzten Jahrzehnt von vielen beklagt .</t>
  </si>
  <si>
    <t>file://conllu/de/brisbanetimes.com.au.130272.conllu#s3_0</t>
  </si>
  <si>
    <t>4</t>
  </si>
  <si>
    <t>gehen</t>
  </si>
  <si>
    <t>Bei Pokemon Go geht es darum , Leute vom von dem Sofa zu holen und aktiver werden zu lassen .</t>
  </si>
  <si>
    <t>file://conllu/de/brisbanetimes.com.au.130272.conllu#s4_0</t>
  </si>
  <si>
    <t>5</t>
  </si>
  <si>
    <t>6</t>
  </si>
  <si>
    <t>sein</t>
  </si>
  <si>
    <t>Die Zeit am an dem Bildschirm war anfangs auf den Fernseher , dann auf Videospiele und zuletzt auf Smartphones beschränkt .</t>
  </si>
  <si>
    <t>file://conllu/de/brisbanetimes.com.au.130272.conllu#s5_0</t>
  </si>
  <si>
    <t>sehen</t>
  </si>
  <si>
    <t>Daher ist es toll zu sehen , dass sich Technologie und Aktivitäten im in dem Freien nicht gegenseitig ausschließen .</t>
  </si>
  <si>
    <t>file://conllu/de/brisbanetimes.com.au.130272.conllu#s6_0</t>
  </si>
  <si>
    <t>7</t>
  </si>
  <si>
    <t>beziehen</t>
  </si>
  <si>
    <t>Ich beziehe mich dabei selbstverständlich auf den Pokémon Go Wahn , eine App , die auf den Charakteren beruht , die zunächst für die Videospiele in den 1990ern erschaffen wurden ( später entstanden daraus eine Zeichentrickserie , Spielkarten und andere Spin Offs ) .</t>
  </si>
  <si>
    <t>file://conllu/de/brisbanetimes.com.au.130272.conllu#s7_0</t>
  </si>
  <si>
    <t>8</t>
  </si>
  <si>
    <t>Wie viele?</t>
  </si>
  <si>
    <t>sinken</t>
  </si>
  <si>
    <t>Wie viele Phänomene der Popkultur sank das Interesse vor der Veröffentlichung des Spiels in den USA , Australien und Neuseeland Anfang Juli etwas .</t>
  </si>
  <si>
    <t>file://conllu/de/brisbanetimes.com.au.130272.conllu#s8_0</t>
  </si>
  <si>
    <t>9</t>
  </si>
  <si>
    <t>11</t>
  </si>
  <si>
    <t>Durch?</t>
  </si>
  <si>
    <t>verschieben</t>
  </si>
  <si>
    <t>Die Markteinführung in anderen Ländern wurde durch die massive Nachfrage verschoben , die die Server überlastete .</t>
  </si>
  <si>
    <t>file://conllu/de/brisbanetimes.com.au.130272.conllu#s9_0</t>
  </si>
  <si>
    <t>10</t>
  </si>
  <si>
    <t>haben</t>
  </si>
  <si>
    <t>Innerhalb weniger Tage hatte Pokémon Go mehr Benutzer als Tinder und fast so viele wie Twitter .</t>
  </si>
  <si>
    <t>file://conllu/de/brisbanetimes.com.au.130272.conllu#s10_0</t>
  </si>
  <si>
    <t>funktionieren</t>
  </si>
  <si>
    <t>Wie funktioniert es ?</t>
  </si>
  <si>
    <t>file://conllu/de/brisbanetimes.com.au.130272.conllu#s11_0</t>
  </si>
  <si>
    <t>12</t>
  </si>
  <si>
    <t>Kurz gesagt?</t>
  </si>
  <si>
    <t>Kurz gesagt gehen die Spieler mit ihren Smartphones nach draußen und suchen nach Pokémons , die mit einem GPS nachverfolgt werden und , sobald sie einmal gefunden wurden , &amp;quot; fotografiert &amp;quot; ( über einen Screenshot auf dem Handy ) oder &amp;quot; gefangen genommen &amp;quot; werden können .</t>
  </si>
  <si>
    <t>file://conllu/de/brisbanetimes.com.au.130272.conllu#s12_0</t>
  </si>
  <si>
    <t>13</t>
  </si>
  <si>
    <t>15</t>
  </si>
  <si>
    <t>schließen</t>
  </si>
  <si>
    <t>Eine Generation , die das Spiel spielte , als sie noch jünger war , schloss sich dem Wahn an und sprang für die Suche vom von dem Sofa .</t>
  </si>
  <si>
    <t>file://conllu/de/brisbanetimes.com.au.130272.conllu#s13_0</t>
  </si>
  <si>
    <t>14</t>
  </si>
  <si>
    <t>führen</t>
  </si>
  <si>
    <t>In den USA führte das Spiel zu einem beträchtlichen Anstieg an Schritten , die die &amp;quot; durchschnittliche &amp;quot; Person jeden Tag zurücklegt .</t>
  </si>
  <si>
    <t>file://conllu/de/brisbanetimes.com.au.130272.conllu#s14_0</t>
  </si>
  <si>
    <t>teilen</t>
  </si>
  <si>
    <t>Cardiogram , eine App für Apple Watch , die 35.000 Benutzer nachverfolgt , teilte der Washington Post vor kurzem mit , dass innerhalb von zwei Tagen nach Markteinführung des Spiels , die Anzahl der nachverfolgten Leute , die jeden Tag 30 Minuten trainieren , von 45 Prozent auf 53 Prozent ansprang .</t>
  </si>
  <si>
    <t>file://conllu/de/brisbanetimes.com.au.130272.conllu#s15_0</t>
  </si>
  <si>
    <t>16</t>
  </si>
  <si>
    <t>wissen</t>
  </si>
  <si>
    <t>Das Unternehmen weiß nicht , wer davon Pokémon Go spielt es sieht lediglich die Rohdaten zur zu der Leistungssteigerung .</t>
  </si>
  <si>
    <t>file://conllu/de/brisbanetimes.com.au.130272.conllu#s16_0</t>
  </si>
  <si>
    <t>17</t>
  </si>
  <si>
    <t>stoßen</t>
  </si>
  <si>
    <t>Viele öffentliche Aufklärungskampagnen zur zu der Gesundheit , die Leute dazu bringen wollen &amp;quot; sich 30 Minuten Zeit zu nehmen , &amp;quot; &amp;quot; vom von dem Sofa zu kommen &amp;quot; und &amp;quot; jeden Tag aktiv zu sein &amp;quot; stießen auf taube Ohren , weil viele öffentliche Botschaften zur zu der Gesundheit langweilig sind und von Leuten kommen , die elend aussehen .</t>
  </si>
  <si>
    <t>file://conllu/de/brisbanetimes.com.au.130272.conllu#s17_0</t>
  </si>
  <si>
    <t>18</t>
  </si>
  <si>
    <t>überbewerten</t>
  </si>
  <si>
    <t>Dennoch kann die Bedeutung von Sport nicht überbewertet werden .</t>
  </si>
  <si>
    <t>file://conllu/de/brisbanetimes.com.au.130272.conllu#s18_0</t>
  </si>
  <si>
    <t>19</t>
  </si>
  <si>
    <t>treiben</t>
  </si>
  <si>
    <t>Wer regelmäßig Sport treibt , reduziert seine Chancen , an Krebs oder Depressionen zu erkranken .</t>
  </si>
  <si>
    <t>file://conllu/de/brisbanetimes.com.au.130272.conllu#s19_0</t>
  </si>
  <si>
    <t>20</t>
  </si>
  <si>
    <t>helfen</t>
  </si>
  <si>
    <t>Körperliche Betätigung hilft bei der Gewichtskontrolle , hohem Blutdruck , Diabetes und einer langen Liste an Vorteilen , die zu lange ist , um sie hier anzuführen .</t>
  </si>
  <si>
    <t>file://conllu/de/brisbanetimes.com.au.130272.conllu#s20_0</t>
  </si>
  <si>
    <t>21</t>
  </si>
  <si>
    <t>Aber das Wundervolle an Pokémon Go ist , dass es die Leute dazu bringt , etwas im in dem Freien zu tun , dass ihnen Spaß macht .</t>
  </si>
  <si>
    <t>file://conllu/de/brisbanetimes.com.au.130272.conllu#s21_0</t>
  </si>
  <si>
    <t>22</t>
  </si>
  <si>
    <t>abdecken</t>
  </si>
  <si>
    <t>Somit werden drei Säulen der Gesundheit abgedeckt Bewegung , frische Luft und Sonnenschein sowie Spaß .</t>
  </si>
  <si>
    <t>file://conllu/de/brisbanetimes.com.au.130272.conllu#s22_0</t>
  </si>
  <si>
    <t>23</t>
  </si>
  <si>
    <t>Manche Leute schließen auf der Jagd sogar neue Freundschaften .</t>
  </si>
  <si>
    <t>file://conllu/de/brisbanetimes.com.au.130272.conllu#s23_0</t>
  </si>
  <si>
    <t>24</t>
  </si>
  <si>
    <t>geben</t>
  </si>
  <si>
    <t>Wie immer gibt es auch mürrische Spielverderber , die sich immer über etwas beschweren müssen .</t>
  </si>
  <si>
    <t>file://conllu/de/brisbanetimes.com.au.130272.conllu#s24_0</t>
  </si>
  <si>
    <t>25</t>
  </si>
  <si>
    <t>laufen</t>
  </si>
  <si>
    <t>Und ja , jemand könnte gegen eine Tür laufen .</t>
  </si>
  <si>
    <t>file://conllu/de/brisbanetimes.com.au.130272.conllu#s25_0</t>
  </si>
  <si>
    <t>26</t>
  </si>
  <si>
    <t>Was?</t>
  </si>
  <si>
    <t>soll's</t>
  </si>
  <si>
    <t>Was soll's ?</t>
  </si>
  <si>
    <t>file://conllu/de/brisbanetimes.com.au.130272.conllu#s26_0</t>
  </si>
  <si>
    <t>27</t>
  </si>
  <si>
    <t>ereignen</t>
  </si>
  <si>
    <t>Es hat sich ein Durchbruch ereignet .</t>
  </si>
  <si>
    <t>file://conllu/de/brisbanetimes.com.au.130272.conllu#s27_0</t>
  </si>
  <si>
    <t>28</t>
  </si>
  <si>
    <t>Auch wenn Smartphone Apps wie Fitbit bereits früher unsere Aktivität nachverfolgen konnten , gaben sie uns keinen Grund , Sport zu treiben , wie es dieses Spiel tut .</t>
  </si>
  <si>
    <t>file://conllu/de/brisbanetimes.com.au.130272.conllu#s28_0</t>
  </si>
  <si>
    <t>29</t>
  </si>
  <si>
    <t>verlieren</t>
  </si>
  <si>
    <t>Das Neue wird seinen Reiz verlieren und die Verwendung wird mit der Zeit nachlassen .</t>
  </si>
  <si>
    <t>file://conllu/de/brisbanetimes.com.au.130272.conllu#s29_0</t>
  </si>
  <si>
    <t>30</t>
  </si>
  <si>
    <t>Aufgrund von Pokemons Erfolg wird es jedoch mehr Spiele geben , die Apps und virtuelle Realität mit dem Aktivwerden in der realen Welt vereinen werden und dabei vielen Leuten auf der Jagd helfen werden , aktiver , fitter und gesünder zu sein .</t>
  </si>
  <si>
    <t>file://conllu/de/brisbanetimes.com.au.130272.conllu#s30_0</t>
  </si>
  <si>
    <t>31</t>
  </si>
  <si>
    <t>www.drjoetoday.com</t>
  </si>
  <si>
    <t>Lesen Sie Dr. Joes Blog auf www.drjoetoday.com</t>
  </si>
  <si>
    <t>file://conllu/de/brisbanetimes.com.au.130272.conllu#s31_0</t>
  </si>
  <si>
    <t>WORD</t>
  </si>
  <si>
    <t>GR</t>
  </si>
  <si>
    <t>NP_TYPE</t>
  </si>
  <si>
    <t>REF_AUTO</t>
  </si>
  <si>
    <t>COREF</t>
  </si>
  <si>
    <t>REF</t>
  </si>
  <si>
    <t>IS</t>
  </si>
  <si>
    <t>CB</t>
  </si>
  <si>
    <t>GR_ANTE</t>
  </si>
  <si>
    <t>REF_DIST</t>
  </si>
  <si>
    <t>REF_DIST_ANTE</t>
  </si>
  <si>
    <t># text = Pokémon Go, eine Jagd nach Gesundheit und Glück, die sich lohnt</t>
  </si>
  <si>
    <t>other</t>
  </si>
  <si>
    <t>ne</t>
  </si>
  <si>
    <t>?OLD</t>
  </si>
  <si>
    <t>Go</t>
  </si>
  <si>
    <t>,</t>
  </si>
  <si>
    <t>eine</t>
  </si>
  <si>
    <t>Jagd</t>
  </si>
  <si>
    <t>indef-np.a</t>
  </si>
  <si>
    <t>nach</t>
  </si>
  <si>
    <t>Gesundheit</t>
  </si>
  <si>
    <t>other_2</t>
  </si>
  <si>
    <t>indef-np.bare</t>
  </si>
  <si>
    <t>und</t>
  </si>
  <si>
    <t>Glück</t>
  </si>
  <si>
    <t>other_3</t>
  </si>
  <si>
    <t>die</t>
  </si>
  <si>
    <t>SBJ_3</t>
  </si>
  <si>
    <t>sich</t>
  </si>
  <si>
    <t>OBJ_3</t>
  </si>
  <si>
    <t>lohnt</t>
  </si>
  <si>
    <t># text = Es ist faszinierend zuzusehen, wie sich die Welt verändert.</t>
  </si>
  <si>
    <t>Es</t>
  </si>
  <si>
    <t>SBJ</t>
  </si>
  <si>
    <t>pron.pper</t>
  </si>
  <si>
    <t>ist</t>
  </si>
  <si>
    <t>faszinierend</t>
  </si>
  <si>
    <t>zuzusehen</t>
  </si>
  <si>
    <t>wie</t>
  </si>
  <si>
    <t>OBJ_2</t>
  </si>
  <si>
    <t>Welt</t>
  </si>
  <si>
    <t>SBJ_2</t>
  </si>
  <si>
    <t>def-np.the</t>
  </si>
  <si>
    <t>verändert</t>
  </si>
  <si>
    <t>.</t>
  </si>
  <si>
    <t># text = Dass Teenager und Kind zum Spielen nicht mehr nach draußen gehen, sondern es vielmehr bevorzugen, ihre Freizeit damit zu verbringen, auf Bildschirme zu starren, wurde im letzten Jahrzehnt von vielen beklagt.</t>
  </si>
  <si>
    <t>Dass</t>
  </si>
  <si>
    <t>Teenager</t>
  </si>
  <si>
    <t>Kind</t>
  </si>
  <si>
    <t>zu</t>
  </si>
  <si>
    <t>other_4</t>
  </si>
  <si>
    <t>pron.pind</t>
  </si>
  <si>
    <t>dem</t>
  </si>
  <si>
    <t>Spielen</t>
  </si>
  <si>
    <t>nicht</t>
  </si>
  <si>
    <t>mehr</t>
  </si>
  <si>
    <t>draußen</t>
  </si>
  <si>
    <t>sondern</t>
  </si>
  <si>
    <t>es</t>
  </si>
  <si>
    <t>vielmehr</t>
  </si>
  <si>
    <t>bevorzugen</t>
  </si>
  <si>
    <t>ihre</t>
  </si>
  <si>
    <t>Freizeit</t>
  </si>
  <si>
    <t>indef-np</t>
  </si>
  <si>
    <t>damit</t>
  </si>
  <si>
    <t>verbringen</t>
  </si>
  <si>
    <t>auf</t>
  </si>
  <si>
    <t>Bildschirme</t>
  </si>
  <si>
    <t>starren</t>
  </si>
  <si>
    <t>wurde</t>
  </si>
  <si>
    <t>in</t>
  </si>
  <si>
    <t>letzten</t>
  </si>
  <si>
    <t>Jahrzehnt</t>
  </si>
  <si>
    <t>von</t>
  </si>
  <si>
    <t>vielen</t>
  </si>
  <si>
    <t>beklagt</t>
  </si>
  <si>
    <t># text = Bei Pokemon Go geht es darum, Leute vom Sofa zu holen und aktiver werden zu lassen.</t>
  </si>
  <si>
    <t>Bei</t>
  </si>
  <si>
    <t>Pokemon</t>
  </si>
  <si>
    <t>geht</t>
  </si>
  <si>
    <t>darum</t>
  </si>
  <si>
    <t>Leute</t>
  </si>
  <si>
    <t>Sofa</t>
  </si>
  <si>
    <t>holen</t>
  </si>
  <si>
    <t>aktiver</t>
  </si>
  <si>
    <t>werden</t>
  </si>
  <si>
    <t>lassen</t>
  </si>
  <si>
    <t># text = Die Zeit am Bildschirm war anfangs auf den Fernseher, dann auf Videospiele und zuletzt auf Smartphones beschränkt.</t>
  </si>
  <si>
    <t>Die</t>
  </si>
  <si>
    <t>Zeit</t>
  </si>
  <si>
    <t>an</t>
  </si>
  <si>
    <t>Bildschirm</t>
  </si>
  <si>
    <t>war</t>
  </si>
  <si>
    <t>anfangs</t>
  </si>
  <si>
    <t>den</t>
  </si>
  <si>
    <t>Fernseher</t>
  </si>
  <si>
    <t>dann</t>
  </si>
  <si>
    <t>Videospiele</t>
  </si>
  <si>
    <t>zuletzt</t>
  </si>
  <si>
    <t>Smartphones</t>
  </si>
  <si>
    <t>beschränkt</t>
  </si>
  <si>
    <t># text = Daher ist es toll zu sehen, dass sich Technologie und Aktivitäten im Freien nicht gegenseitig ausschließen.</t>
  </si>
  <si>
    <t>Daher</t>
  </si>
  <si>
    <t>toll</t>
  </si>
  <si>
    <t>dass</t>
  </si>
  <si>
    <t>Technologie</t>
  </si>
  <si>
    <t>Aktivitäten</t>
  </si>
  <si>
    <t>Freien</t>
  </si>
  <si>
    <t>gegenseitig</t>
  </si>
  <si>
    <t>ausschließen</t>
  </si>
  <si>
    <t># text = Ich beziehe mich dabei selbstverständlich auf den Pokémon Go-Wahn, eine App, die auf den Charakteren beruht, die zunächst für die Videospiele in den 1990ern erschaffen wurden (später entstanden daraus eine Zeichentrickserie, Spielkarten und andere Spin-Offs).</t>
  </si>
  <si>
    <t>Ich</t>
  </si>
  <si>
    <t>beziehe</t>
  </si>
  <si>
    <t>mich</t>
  </si>
  <si>
    <t>OBJ</t>
  </si>
  <si>
    <t>dabei</t>
  </si>
  <si>
    <t>selbstverständlich</t>
  </si>
  <si>
    <t>Wahn</t>
  </si>
  <si>
    <t>App</t>
  </si>
  <si>
    <t>Charakteren</t>
  </si>
  <si>
    <t>beruht</t>
  </si>
  <si>
    <t>zunächst</t>
  </si>
  <si>
    <t>für</t>
  </si>
  <si>
    <t>1990ern</t>
  </si>
  <si>
    <t>erschaffen</t>
  </si>
  <si>
    <t>wurden</t>
  </si>
  <si>
    <t>(</t>
  </si>
  <si>
    <t>später</t>
  </si>
  <si>
    <t>entstanden</t>
  </si>
  <si>
    <t>daraus</t>
  </si>
  <si>
    <t>Zeichentrickserie</t>
  </si>
  <si>
    <t>Spielkarten</t>
  </si>
  <si>
    <t>andere</t>
  </si>
  <si>
    <t>Spin</t>
  </si>
  <si>
    <t>Offs</t>
  </si>
  <si>
    <t>)</t>
  </si>
  <si>
    <t># text = Wie viele Phänomene der Popkultur sank das Interesse vor der Veröffentlichung des Spiels in den USA, Australien und Neuseeland Anfang Juli etwas.</t>
  </si>
  <si>
    <t>Wie</t>
  </si>
  <si>
    <t>viele</t>
  </si>
  <si>
    <t>Phänomene</t>
  </si>
  <si>
    <t>indef-np.quant</t>
  </si>
  <si>
    <t>der</t>
  </si>
  <si>
    <t>Popkultur</t>
  </si>
  <si>
    <t>sank</t>
  </si>
  <si>
    <t>das</t>
  </si>
  <si>
    <t>Interesse</t>
  </si>
  <si>
    <t>vor</t>
  </si>
  <si>
    <t>Veröffentlichung</t>
  </si>
  <si>
    <t>des</t>
  </si>
  <si>
    <t>Spiels</t>
  </si>
  <si>
    <t>USA</t>
  </si>
  <si>
    <t>Australien</t>
  </si>
  <si>
    <t>Neuseeland</t>
  </si>
  <si>
    <t>Anfang</t>
  </si>
  <si>
    <t>Juli</t>
  </si>
  <si>
    <t>etwas</t>
  </si>
  <si>
    <t># text = Die Markteinführung in anderen Ländern wurde durch die massive Nachfrage verschoben, die die Server überlastete.</t>
  </si>
  <si>
    <t>Markteinführung</t>
  </si>
  <si>
    <t>anderen</t>
  </si>
  <si>
    <t>Ländern</t>
  </si>
  <si>
    <t>durch</t>
  </si>
  <si>
    <t>massive</t>
  </si>
  <si>
    <t>Nachfrage</t>
  </si>
  <si>
    <t>verschoben</t>
  </si>
  <si>
    <t>Server</t>
  </si>
  <si>
    <t>überlastete</t>
  </si>
  <si>
    <t># text = Innerhalb weniger Tage hatte Pokémon Go mehr Benutzer als Tinder und fast so viele wie Twitter.</t>
  </si>
  <si>
    <t>Innerhalb</t>
  </si>
  <si>
    <t>weniger</t>
  </si>
  <si>
    <t>Tage</t>
  </si>
  <si>
    <t>hatte</t>
  </si>
  <si>
    <t>Benutzer</t>
  </si>
  <si>
    <t>als</t>
  </si>
  <si>
    <t>Tinder</t>
  </si>
  <si>
    <t>fast</t>
  </si>
  <si>
    <t>so</t>
  </si>
  <si>
    <t>Twitter</t>
  </si>
  <si>
    <t># text = Wie funktioniert es?</t>
  </si>
  <si>
    <t>funktioniert</t>
  </si>
  <si>
    <t>?</t>
  </si>
  <si>
    <t>--</t>
  </si>
  <si>
    <t># text = Kurz gesagt gehen die Spieler mit ihren Smartphones nach draußen und suchen nach Pokémons, die mit einem GPS nachverfolgt werden und, sobald sie einmal gefunden wurden, "fotografiert" (über einen Screenshot auf dem Handy) oder "gefangen genommen" werden können.</t>
  </si>
  <si>
    <t>Kurz</t>
  </si>
  <si>
    <t>gesagt</t>
  </si>
  <si>
    <t>Spieler</t>
  </si>
  <si>
    <t>mit</t>
  </si>
  <si>
    <t>ihren</t>
  </si>
  <si>
    <t>suchen</t>
  </si>
  <si>
    <t>Pokémons</t>
  </si>
  <si>
    <t>einem</t>
  </si>
  <si>
    <t>GPS</t>
  </si>
  <si>
    <t>nachverfolgt</t>
  </si>
  <si>
    <t>sobald</t>
  </si>
  <si>
    <t>sie</t>
  </si>
  <si>
    <t>pron</t>
  </si>
  <si>
    <t>einmal</t>
  </si>
  <si>
    <t>gefunden</t>
  </si>
  <si>
    <t>&amp;quot;</t>
  </si>
  <si>
    <t>fotografiert</t>
  </si>
  <si>
    <t>über</t>
  </si>
  <si>
    <t>einen</t>
  </si>
  <si>
    <t>Screenshot</t>
  </si>
  <si>
    <t>Handy</t>
  </si>
  <si>
    <t>oder</t>
  </si>
  <si>
    <t>gefangen</t>
  </si>
  <si>
    <t>genommen</t>
  </si>
  <si>
    <t>können</t>
  </si>
  <si>
    <t># text = Eine Generation, die das Spiel spielte, als sie noch jünger war, schloss sich dem Wahn an und sprang für die Suche vom Sofa.</t>
  </si>
  <si>
    <t>Eine</t>
  </si>
  <si>
    <t>Generation</t>
  </si>
  <si>
    <t>Spiel</t>
  </si>
  <si>
    <t>spielte</t>
  </si>
  <si>
    <t>SBJ_4</t>
  </si>
  <si>
    <t>noch</t>
  </si>
  <si>
    <t>jünger</t>
  </si>
  <si>
    <t>schloss</t>
  </si>
  <si>
    <t>sprang</t>
  </si>
  <si>
    <t>Suche</t>
  </si>
  <si>
    <t># text = In den USA führte das Spiel zu einem beträchtlichen Anstieg an Schritten, die die \"durchschnittliche\" Person jeden Tag zurücklegt.</t>
  </si>
  <si>
    <t>In</t>
  </si>
  <si>
    <t>führte</t>
  </si>
  <si>
    <t>beträchtlichen</t>
  </si>
  <si>
    <t>Anstieg</t>
  </si>
  <si>
    <t>Schritten</t>
  </si>
  <si>
    <t>durchschnittliche</t>
  </si>
  <si>
    <t>Person</t>
  </si>
  <si>
    <t>jeden</t>
  </si>
  <si>
    <t>other_5</t>
  </si>
  <si>
    <t>Tag</t>
  </si>
  <si>
    <t>zurücklegt</t>
  </si>
  <si>
    <t># text = Cardiogram, eine App für Apple Watch, die 35.000 Benutzer nachverfolgt, teilte der Washington Post vor kurzem mit, dass innerhalb von zwei Tagen nach Markteinführung des Spiels, die Anzahl der nachverfolgten Leute, die jeden Tag 30 Minuten trainieren, von 45 Prozent auf 53 Prozent ansprang.</t>
  </si>
  <si>
    <t>Cardiogram</t>
  </si>
  <si>
    <t>Apple</t>
  </si>
  <si>
    <t>Watch</t>
  </si>
  <si>
    <t>35.000</t>
  </si>
  <si>
    <t>teilte</t>
  </si>
  <si>
    <t>Washington</t>
  </si>
  <si>
    <t>Post</t>
  </si>
  <si>
    <t>kurzem</t>
  </si>
  <si>
    <t>innerhalb</t>
  </si>
  <si>
    <t>zwei</t>
  </si>
  <si>
    <t>Tagen</t>
  </si>
  <si>
    <t>Anzahl</t>
  </si>
  <si>
    <t>nachverfolgten</t>
  </si>
  <si>
    <t>SBJ_5</t>
  </si>
  <si>
    <t>other_6</t>
  </si>
  <si>
    <t>Minuten</t>
  </si>
  <si>
    <t>trainieren</t>
  </si>
  <si>
    <t>45</t>
  </si>
  <si>
    <t>Prozent</t>
  </si>
  <si>
    <t>53</t>
  </si>
  <si>
    <t>ansprang</t>
  </si>
  <si>
    <t># text = Das Unternehmen weiß nicht, wer davon Pokémon Go spielt - es sieht lediglich die Rohdaten zur Leistungssteigerung.</t>
  </si>
  <si>
    <t>Das</t>
  </si>
  <si>
    <t>Unternehmen</t>
  </si>
  <si>
    <t>weiß</t>
  </si>
  <si>
    <t>wer</t>
  </si>
  <si>
    <t>pron.pint</t>
  </si>
  <si>
    <t>davon</t>
  </si>
  <si>
    <t>spielt</t>
  </si>
  <si>
    <t>sieht</t>
  </si>
  <si>
    <t>lediglich</t>
  </si>
  <si>
    <t>Rohdaten</t>
  </si>
  <si>
    <t>Leistungssteigerung</t>
  </si>
  <si>
    <t># text = Viele öffentliche Aufklärungskampagnen zur Gesundheit, die Leute dazu bringen wollen "sich 30 Minuten Zeit zu nehmen," "vom Sofa zu kommen" und "jeden Tag aktiv zu sein" stießen auf taube Ohren, weil viele öffentliche Botschaften zur Gesundheit langweilig sind und von Leuten kommen, die elend aussehen.</t>
  </si>
  <si>
    <t>Viele</t>
  </si>
  <si>
    <t>öffentliche</t>
  </si>
  <si>
    <t>Aufklärungskampagnen</t>
  </si>
  <si>
    <t>dazu</t>
  </si>
  <si>
    <t>bringen</t>
  </si>
  <si>
    <t>wollen</t>
  </si>
  <si>
    <t>nehmen</t>
  </si>
  <si>
    <t>kommen</t>
  </si>
  <si>
    <t>aktiv</t>
  </si>
  <si>
    <t>stießen</t>
  </si>
  <si>
    <t>taube</t>
  </si>
  <si>
    <t>Ohren</t>
  </si>
  <si>
    <t>weil</t>
  </si>
  <si>
    <t>Botschaften</t>
  </si>
  <si>
    <t>langweilig</t>
  </si>
  <si>
    <t>sind</t>
  </si>
  <si>
    <t>Leuten</t>
  </si>
  <si>
    <t>elend</t>
  </si>
  <si>
    <t>aussehen</t>
  </si>
  <si>
    <t># text = Dennoch kann die Bedeutung von Sport nicht überbewertet werden.</t>
  </si>
  <si>
    <t>Dennoch</t>
  </si>
  <si>
    <t>kann</t>
  </si>
  <si>
    <t>Bedeutung</t>
  </si>
  <si>
    <t>Sport</t>
  </si>
  <si>
    <t>überbewertet</t>
  </si>
  <si>
    <t># text = Wer regelmäßig Sport treibt, reduziert seine Chancen, an Krebs oder Depressionen zu erkranken.</t>
  </si>
  <si>
    <t>Wer</t>
  </si>
  <si>
    <t>regelmäßig</t>
  </si>
  <si>
    <t>treibt</t>
  </si>
  <si>
    <t>reduziert</t>
  </si>
  <si>
    <t>seine</t>
  </si>
  <si>
    <t>Chancen</t>
  </si>
  <si>
    <t>Krebs</t>
  </si>
  <si>
    <t>Depressionen</t>
  </si>
  <si>
    <t>erkranken</t>
  </si>
  <si>
    <t># text = Körperliche Betätigung hilft bei der Gewichtskontrolle, hohem Blutdruck, Diabetes und einer langen Liste an Vorteilen, die zu lange ist, um sie hier anzuführen.</t>
  </si>
  <si>
    <t>Körperliche</t>
  </si>
  <si>
    <t>Betätigung</t>
  </si>
  <si>
    <t>hilft</t>
  </si>
  <si>
    <t>bei</t>
  </si>
  <si>
    <t>Gewichtskontrolle</t>
  </si>
  <si>
    <t>hohem</t>
  </si>
  <si>
    <t>Blutdruck</t>
  </si>
  <si>
    <t>Diabetes</t>
  </si>
  <si>
    <t>einer</t>
  </si>
  <si>
    <t>langen</t>
  </si>
  <si>
    <t>Liste</t>
  </si>
  <si>
    <t>Vorteilen</t>
  </si>
  <si>
    <t>lange</t>
  </si>
  <si>
    <t>um</t>
  </si>
  <si>
    <t>hier</t>
  </si>
  <si>
    <t>anzuführen</t>
  </si>
  <si>
    <t># text = Aber das Wundervolle an Pokémon Go ist, dass es die Leute dazu bringt, etwas im Freien zu tun, dass ihnen Spaß macht.</t>
  </si>
  <si>
    <t>Aber</t>
  </si>
  <si>
    <t>Wundervolle</t>
  </si>
  <si>
    <t>bringt</t>
  </si>
  <si>
    <t>tun</t>
  </si>
  <si>
    <t>ihnen</t>
  </si>
  <si>
    <t>OBJ_4</t>
  </si>
  <si>
    <t>Spaß</t>
  </si>
  <si>
    <t>macht</t>
  </si>
  <si>
    <t># text = Somit werden drei Säulen der Gesundheit abgedeckt - Bewegung, frische Luft und Sonnenschein sowie Spaß.</t>
  </si>
  <si>
    <t>Somit</t>
  </si>
  <si>
    <t>drei</t>
  </si>
  <si>
    <t>Säulen</t>
  </si>
  <si>
    <t>abgedeckt</t>
  </si>
  <si>
    <t>Bewegung</t>
  </si>
  <si>
    <t>frische</t>
  </si>
  <si>
    <t>Luft</t>
  </si>
  <si>
    <t>Sonnenschein</t>
  </si>
  <si>
    <t>sowie</t>
  </si>
  <si>
    <t># text = Manche Leute schließen auf der Jagd sogar neue Freundschaften.</t>
  </si>
  <si>
    <t>Manche</t>
  </si>
  <si>
    <t>sogar</t>
  </si>
  <si>
    <t>neue</t>
  </si>
  <si>
    <t>Freundschaften</t>
  </si>
  <si>
    <t># text = Wie immer gibt es auch mürrische Spielverderber, die sich immer über etwas beschweren müssen.</t>
  </si>
  <si>
    <t>immer</t>
  </si>
  <si>
    <t>gibt</t>
  </si>
  <si>
    <t>auch</t>
  </si>
  <si>
    <t>mürrische</t>
  </si>
  <si>
    <t>Spielverderber</t>
  </si>
  <si>
    <t>beschweren</t>
  </si>
  <si>
    <t>müssen</t>
  </si>
  <si>
    <t># text = Und ja, jemand könnte gegen eine Tür laufen.</t>
  </si>
  <si>
    <t>Und</t>
  </si>
  <si>
    <t>ja</t>
  </si>
  <si>
    <t>jemand</t>
  </si>
  <si>
    <t>könnte</t>
  </si>
  <si>
    <t>gegen</t>
  </si>
  <si>
    <t>Tür</t>
  </si>
  <si>
    <t># text = Was soll's?</t>
  </si>
  <si>
    <t>Was</t>
  </si>
  <si>
    <t># text = Es hat sich ein Durchbruch ereignet.</t>
  </si>
  <si>
    <t>hat</t>
  </si>
  <si>
    <t>ein</t>
  </si>
  <si>
    <t>Durchbruch</t>
  </si>
  <si>
    <t>ereignet</t>
  </si>
  <si>
    <t># text = Auch wenn Smartphone-Apps wie Fitbit bereits früher unsere Aktivität nachverfolgen konnten, gaben sie uns keinen Grund, Sport zu treiben, wie es dieses Spiel tut.</t>
  </si>
  <si>
    <t>Auch</t>
  </si>
  <si>
    <t>wenn</t>
  </si>
  <si>
    <t>Smartphone</t>
  </si>
  <si>
    <t>Apps</t>
  </si>
  <si>
    <t>Fitbit</t>
  </si>
  <si>
    <t>bereits</t>
  </si>
  <si>
    <t>früher</t>
  </si>
  <si>
    <t>unsere</t>
  </si>
  <si>
    <t>pron.ppos</t>
  </si>
  <si>
    <t>Aktivität</t>
  </si>
  <si>
    <t>nachverfolgen</t>
  </si>
  <si>
    <t>konnten</t>
  </si>
  <si>
    <t>gaben</t>
  </si>
  <si>
    <t>uns</t>
  </si>
  <si>
    <t>keinen</t>
  </si>
  <si>
    <t>Grund</t>
  </si>
  <si>
    <t>dieses</t>
  </si>
  <si>
    <t>pron.pds</t>
  </si>
  <si>
    <t>def-np.dem</t>
  </si>
  <si>
    <t>tut</t>
  </si>
  <si>
    <t># text = Das Neue wird seinen Reiz verlieren und die Verwendung wird mit der Zeit nachlassen.</t>
  </si>
  <si>
    <t>Neue</t>
  </si>
  <si>
    <t>wird</t>
  </si>
  <si>
    <t>seinen</t>
  </si>
  <si>
    <t>Reiz</t>
  </si>
  <si>
    <t>Verwendung</t>
  </si>
  <si>
    <t>nachlassen</t>
  </si>
  <si>
    <t># text = Aufgrund von Pokemons Erfolg wird es jedoch mehr Spiele geben, die Apps und virtuelle Realität mit dem Aktivwerden in der realen Welt vereinen werden und dabei vielen Leuten auf der Jagd helfen werden, aktiver, fitter und gesünder zu sein.</t>
  </si>
  <si>
    <t>Aufgrund</t>
  </si>
  <si>
    <t>Pokemons</t>
  </si>
  <si>
    <t>Erfolg</t>
  </si>
  <si>
    <t>jedoch</t>
  </si>
  <si>
    <t>Spiele</t>
  </si>
  <si>
    <t>virtuelle</t>
  </si>
  <si>
    <t>Realität</t>
  </si>
  <si>
    <t>Aktivwerden</t>
  </si>
  <si>
    <t>realen</t>
  </si>
  <si>
    <t>vereinen</t>
  </si>
  <si>
    <t>fitter</t>
  </si>
  <si>
    <t>gesünder</t>
  </si>
  <si>
    <t># text = Lesen Sie Dr. Joes Blog auf www.drjoetoday.com</t>
  </si>
  <si>
    <t>Lesen</t>
  </si>
  <si>
    <t>Sie</t>
  </si>
  <si>
    <t>Dr.</t>
  </si>
  <si>
    <t>Joes</t>
  </si>
  <si>
    <t>Blog</t>
  </si>
  <si>
    <t>pokemon_go</t>
  </si>
  <si>
    <t>EXPL</t>
  </si>
  <si>
    <t>kinder_teenager</t>
  </si>
  <si>
    <t>antezedens</t>
  </si>
  <si>
    <t>kein auto ref</t>
  </si>
  <si>
    <t>freizeit_kinder_teenager</t>
  </si>
  <si>
    <t>SIT</t>
  </si>
  <si>
    <t>IDIOM</t>
  </si>
  <si>
    <t>fernseher</t>
  </si>
  <si>
    <t>smartphones</t>
  </si>
  <si>
    <t>videospiele</t>
  </si>
  <si>
    <t>GEN</t>
  </si>
  <si>
    <t>draussen</t>
  </si>
  <si>
    <t>90er</t>
  </si>
  <si>
    <t>pokemon</t>
  </si>
  <si>
    <t>popkultur</t>
  </si>
  <si>
    <t>usa</t>
  </si>
  <si>
    <t>australien</t>
  </si>
  <si>
    <t>neuseeland</t>
  </si>
  <si>
    <t>FAMILIAR</t>
  </si>
  <si>
    <t>tinder</t>
  </si>
  <si>
    <t>twitter</t>
  </si>
  <si>
    <t>FOCUS</t>
  </si>
  <si>
    <t>spieler_pgo</t>
  </si>
  <si>
    <t>veroeffentlichung_pgo</t>
  </si>
  <si>
    <t>smartphones_spieler</t>
  </si>
  <si>
    <t>UNIQUE</t>
  </si>
  <si>
    <t>generation</t>
  </si>
  <si>
    <t>wahn_pgo</t>
  </si>
  <si>
    <t>pokemon_videospiel</t>
  </si>
  <si>
    <t>Antezedens</t>
  </si>
  <si>
    <t>PRED</t>
  </si>
  <si>
    <t>cardiogram</t>
  </si>
  <si>
    <t>apple_watch</t>
  </si>
  <si>
    <t>syntaktischer Kopf</t>
  </si>
  <si>
    <t>washington_post</t>
  </si>
  <si>
    <t>vom_sofa_kommen</t>
  </si>
  <si>
    <t>gesundheit</t>
  </si>
  <si>
    <t>sport</t>
  </si>
  <si>
    <t>apps</t>
  </si>
  <si>
    <t>syntaktischer Kopf; Antezedens</t>
  </si>
  <si>
    <t>parser error</t>
  </si>
  <si>
    <t>Artikel</t>
  </si>
  <si>
    <t>bildschirme</t>
  </si>
  <si>
    <t>ACTIVATED</t>
  </si>
  <si>
    <t>bridging</t>
  </si>
  <si>
    <t>nachfrage_pgo</t>
  </si>
  <si>
    <t>server_pgo</t>
  </si>
  <si>
    <t>jagd_pokemon</t>
  </si>
  <si>
    <t>benutzer_cardiogram</t>
  </si>
  <si>
    <t>anzahl_sportliche_nutzer</t>
  </si>
  <si>
    <t>rohdaten_nutzer</t>
  </si>
  <si>
    <t>leistungssteigerung_nutzer</t>
  </si>
  <si>
    <t>menschen</t>
  </si>
  <si>
    <t>ID, weil nacherwähnt</t>
  </si>
  <si>
    <t>liste_vorteile</t>
  </si>
  <si>
    <t>nutzer_apps</t>
  </si>
  <si>
    <t>aktivitaet_nutzer</t>
  </si>
  <si>
    <t>nutzung_pgo</t>
  </si>
  <si>
    <t>kampagnen</t>
  </si>
  <si>
    <t>erkrankungschance</t>
  </si>
  <si>
    <t>poss.Pronomen</t>
  </si>
  <si>
    <t>CAT</t>
  </si>
  <si>
    <t>NoRel</t>
  </si>
  <si>
    <t>broad</t>
  </si>
  <si>
    <t>specific</t>
  </si>
  <si>
    <t>(konkret)</t>
  </si>
  <si>
    <t>instance</t>
  </si>
  <si>
    <t>(zum Beispiel)</t>
  </si>
  <si>
    <t>(insgesamt)</t>
  </si>
  <si>
    <t>(zusammenfassend)</t>
  </si>
  <si>
    <t>daher</t>
  </si>
  <si>
    <t>result</t>
  </si>
  <si>
    <t>ich beziehe mich dabei auf</t>
  </si>
  <si>
    <t>Wie?</t>
  </si>
  <si>
    <t>kurz gesagt</t>
  </si>
  <si>
    <t>innerhalb weniger Tage</t>
  </si>
  <si>
    <t>after</t>
  </si>
  <si>
    <t>hypophora</t>
  </si>
  <si>
    <t>Anfang Juli</t>
  </si>
  <si>
    <t>(auch)</t>
  </si>
  <si>
    <t>conjunction</t>
  </si>
  <si>
    <t>contra-expectation</t>
  </si>
  <si>
    <t>dennoch</t>
  </si>
  <si>
    <t>(allerdings)</t>
  </si>
  <si>
    <t>(denn)</t>
  </si>
  <si>
    <t>reason</t>
  </si>
  <si>
    <t>(außerdem)</t>
  </si>
  <si>
    <t>aber</t>
  </si>
  <si>
    <t>contrast</t>
  </si>
  <si>
    <t>somit</t>
  </si>
  <si>
    <t>(doch)</t>
  </si>
  <si>
    <t>Was soll's?</t>
  </si>
  <si>
    <t>agreement</t>
  </si>
  <si>
    <t>(schließlich)</t>
  </si>
  <si>
    <t>before</t>
  </si>
  <si>
    <t>(später)</t>
  </si>
  <si>
    <t>führte das Spiel zu</t>
  </si>
  <si>
    <t>set</t>
  </si>
  <si>
    <t>(im Allgemeinen)</t>
  </si>
  <si>
    <t>(im Gegensatz dazu)</t>
  </si>
  <si>
    <t>oder expectation-raiser zu ID 30 (selbst wenn)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</si>
</sst>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pane xSplit="5" ySplit="1" topLeftCell="G2" activePane="bottomRight" state="frozen"/>
      <selection pane="topRight" activeCell="F1" sqref="F1"/>
      <selection pane="bottomLeft" activeCell="A2" sqref="A2"/>
      <selection pane="bottomRight" activeCell="J4" sqref="J4"/>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10</v>
      </c>
      <c r="C2" s="6" t="s">
        <v>11</v>
      </c>
      <c r="D2" s="7" t="s">
        <v>12</v>
      </c>
      <c r="E2" s="8" t="s">
        <v>13</v>
      </c>
      <c r="F2" s="6" t="s">
        <v>14</v>
      </c>
      <c r="G2" s="9" t="s">
        <v>616</v>
      </c>
      <c r="H2" s="10">
        <v>4</v>
      </c>
      <c r="I2" s="11" t="s">
        <v>610</v>
      </c>
      <c r="J2" s="12"/>
    </row>
    <row r="3" spans="1:10" ht="60" customHeight="1" x14ac:dyDescent="0.3">
      <c r="A3" s="6" t="s">
        <v>15</v>
      </c>
      <c r="B3" s="6" t="s">
        <v>15</v>
      </c>
      <c r="C3" s="6" t="s">
        <v>11</v>
      </c>
      <c r="D3" s="7" t="s">
        <v>16</v>
      </c>
      <c r="E3" s="8" t="s">
        <v>17</v>
      </c>
      <c r="F3" s="6" t="s">
        <v>18</v>
      </c>
      <c r="G3" s="9" t="s">
        <v>615</v>
      </c>
      <c r="H3" s="10">
        <v>3</v>
      </c>
      <c r="I3" s="11" t="s">
        <v>610</v>
      </c>
      <c r="J3" s="12"/>
    </row>
    <row r="4" spans="1:10" ht="60" customHeight="1" x14ac:dyDescent="0.3">
      <c r="A4" s="6" t="s">
        <v>19</v>
      </c>
      <c r="B4" s="6" t="s">
        <v>20</v>
      </c>
      <c r="C4" s="6" t="s">
        <v>11</v>
      </c>
      <c r="D4" s="7" t="s">
        <v>21</v>
      </c>
      <c r="E4" s="8" t="s">
        <v>22</v>
      </c>
      <c r="F4" s="6" t="s">
        <v>23</v>
      </c>
      <c r="G4" s="9" t="s">
        <v>614</v>
      </c>
      <c r="H4" s="10">
        <v>2</v>
      </c>
      <c r="I4" s="11" t="s">
        <v>613</v>
      </c>
      <c r="J4" s="12"/>
    </row>
    <row r="5" spans="1:10" ht="60" customHeight="1" x14ac:dyDescent="0.3">
      <c r="A5" s="6" t="s">
        <v>24</v>
      </c>
      <c r="B5" s="6" t="s">
        <v>24</v>
      </c>
      <c r="C5" s="6" t="s">
        <v>11</v>
      </c>
      <c r="D5" s="7" t="s">
        <v>25</v>
      </c>
      <c r="E5" s="8" t="s">
        <v>26</v>
      </c>
      <c r="F5" s="6" t="s">
        <v>27</v>
      </c>
      <c r="G5" s="9" t="s">
        <v>612</v>
      </c>
      <c r="H5" s="10">
        <v>1</v>
      </c>
      <c r="I5" s="11" t="s">
        <v>611</v>
      </c>
      <c r="J5" s="12"/>
    </row>
    <row r="6" spans="1:10" ht="60" customHeight="1" x14ac:dyDescent="0.3">
      <c r="A6" s="6" t="s">
        <v>28</v>
      </c>
      <c r="B6" s="6" t="s">
        <v>29</v>
      </c>
      <c r="C6" s="6" t="s">
        <v>11</v>
      </c>
      <c r="D6" s="7" t="s">
        <v>30</v>
      </c>
      <c r="E6" s="8" t="s">
        <v>31</v>
      </c>
      <c r="F6" s="6" t="s">
        <v>32</v>
      </c>
      <c r="G6" s="9" t="s">
        <v>612</v>
      </c>
      <c r="H6" s="10">
        <v>3</v>
      </c>
      <c r="I6" s="11" t="s">
        <v>611</v>
      </c>
      <c r="J6" s="12"/>
    </row>
    <row r="7" spans="1:10" ht="60" customHeight="1" x14ac:dyDescent="0.3">
      <c r="A7" s="6" t="s">
        <v>29</v>
      </c>
      <c r="B7" s="6" t="s">
        <v>29</v>
      </c>
      <c r="C7" s="6" t="s">
        <v>11</v>
      </c>
      <c r="D7" s="7" t="s">
        <v>33</v>
      </c>
      <c r="E7" s="8" t="s">
        <v>34</v>
      </c>
      <c r="F7" s="6" t="s">
        <v>35</v>
      </c>
      <c r="G7" s="9" t="s">
        <v>617</v>
      </c>
      <c r="H7" s="10">
        <v>5</v>
      </c>
      <c r="I7" s="11" t="s">
        <v>618</v>
      </c>
      <c r="J7" s="12"/>
    </row>
    <row r="8" spans="1:10" ht="60" customHeight="1" x14ac:dyDescent="0.3">
      <c r="A8" s="6" t="s">
        <v>36</v>
      </c>
      <c r="B8" s="6" t="s">
        <v>15</v>
      </c>
      <c r="C8" s="6" t="s">
        <v>11</v>
      </c>
      <c r="D8" s="7" t="s">
        <v>37</v>
      </c>
      <c r="E8" s="8" t="s">
        <v>38</v>
      </c>
      <c r="F8" s="6" t="s">
        <v>39</v>
      </c>
      <c r="G8" s="9" t="s">
        <v>619</v>
      </c>
      <c r="H8" s="10">
        <v>6</v>
      </c>
      <c r="I8" s="11" t="s">
        <v>611</v>
      </c>
      <c r="J8" s="12"/>
    </row>
    <row r="9" spans="1:10" ht="60" customHeight="1" x14ac:dyDescent="0.3">
      <c r="A9" s="6" t="s">
        <v>40</v>
      </c>
      <c r="B9" s="6" t="s">
        <v>29</v>
      </c>
      <c r="C9" s="6" t="s">
        <v>41</v>
      </c>
      <c r="D9" s="7" t="s">
        <v>42</v>
      </c>
      <c r="E9" s="8" t="s">
        <v>43</v>
      </c>
      <c r="F9" s="6" t="s">
        <v>44</v>
      </c>
      <c r="G9" s="9" t="s">
        <v>625</v>
      </c>
      <c r="H9" s="10">
        <v>7</v>
      </c>
      <c r="I9" s="11" t="s">
        <v>641</v>
      </c>
      <c r="J9" s="12"/>
    </row>
    <row r="10" spans="1:10" ht="60" customHeight="1" x14ac:dyDescent="0.3">
      <c r="A10" s="6" t="s">
        <v>45</v>
      </c>
      <c r="B10" s="6" t="s">
        <v>46</v>
      </c>
      <c r="C10" s="6" t="s">
        <v>47</v>
      </c>
      <c r="D10" s="7" t="s">
        <v>48</v>
      </c>
      <c r="E10" s="8" t="s">
        <v>49</v>
      </c>
      <c r="F10" s="6" t="s">
        <v>50</v>
      </c>
      <c r="G10" s="9" t="s">
        <v>642</v>
      </c>
      <c r="H10" s="10">
        <v>8</v>
      </c>
      <c r="I10" s="11" t="s">
        <v>623</v>
      </c>
      <c r="J10" s="12"/>
    </row>
    <row r="11" spans="1:10" ht="60" customHeight="1" x14ac:dyDescent="0.3">
      <c r="A11" s="6" t="s">
        <v>51</v>
      </c>
      <c r="B11" s="6" t="s">
        <v>24</v>
      </c>
      <c r="C11" s="6" t="s">
        <v>11</v>
      </c>
      <c r="D11" s="7" t="s">
        <v>52</v>
      </c>
      <c r="E11" s="8" t="s">
        <v>53</v>
      </c>
      <c r="F11" s="6" t="s">
        <v>54</v>
      </c>
      <c r="G11" s="9" t="s">
        <v>622</v>
      </c>
      <c r="H11" s="10">
        <v>9</v>
      </c>
      <c r="I11" s="11" t="s">
        <v>623</v>
      </c>
      <c r="J11" s="12"/>
    </row>
    <row r="12" spans="1:10" ht="60" customHeight="1" x14ac:dyDescent="0.3">
      <c r="A12" s="6" t="s">
        <v>46</v>
      </c>
      <c r="B12" s="6" t="s">
        <v>15</v>
      </c>
      <c r="C12" s="6" t="s">
        <v>11</v>
      </c>
      <c r="D12" s="7" t="s">
        <v>55</v>
      </c>
      <c r="E12" s="8" t="s">
        <v>56</v>
      </c>
      <c r="F12" s="6" t="s">
        <v>57</v>
      </c>
      <c r="G12" s="9" t="s">
        <v>620</v>
      </c>
      <c r="H12" s="10">
        <v>7</v>
      </c>
      <c r="I12" s="11" t="s">
        <v>624</v>
      </c>
      <c r="J12" s="12"/>
    </row>
    <row r="13" spans="1:10" ht="60" customHeight="1" x14ac:dyDescent="0.3">
      <c r="A13" s="6" t="s">
        <v>58</v>
      </c>
      <c r="B13" s="6" t="s">
        <v>19</v>
      </c>
      <c r="C13" s="6" t="s">
        <v>59</v>
      </c>
      <c r="D13" s="7" t="s">
        <v>25</v>
      </c>
      <c r="E13" s="8" t="s">
        <v>60</v>
      </c>
      <c r="F13" s="6" t="s">
        <v>61</v>
      </c>
      <c r="G13" s="9" t="s">
        <v>621</v>
      </c>
      <c r="H13" s="10">
        <v>11</v>
      </c>
      <c r="I13" s="11" t="s">
        <v>610</v>
      </c>
      <c r="J13" s="12"/>
    </row>
    <row r="14" spans="1:10" ht="60" customHeight="1" x14ac:dyDescent="0.3">
      <c r="A14" s="6" t="s">
        <v>62</v>
      </c>
      <c r="B14" s="6" t="s">
        <v>63</v>
      </c>
      <c r="C14" s="6" t="s">
        <v>11</v>
      </c>
      <c r="D14" s="7" t="s">
        <v>64</v>
      </c>
      <c r="E14" s="8" t="s">
        <v>65</v>
      </c>
      <c r="F14" s="6" t="s">
        <v>66</v>
      </c>
      <c r="G14" s="9" t="s">
        <v>626</v>
      </c>
      <c r="H14" s="10">
        <v>10</v>
      </c>
      <c r="I14" s="11" t="s">
        <v>627</v>
      </c>
      <c r="J14" s="12"/>
    </row>
    <row r="15" spans="1:10" ht="60" customHeight="1" x14ac:dyDescent="0.3">
      <c r="A15" s="6" t="s">
        <v>67</v>
      </c>
      <c r="B15" s="6" t="s">
        <v>24</v>
      </c>
      <c r="C15" s="6" t="s">
        <v>11</v>
      </c>
      <c r="D15" s="7" t="s">
        <v>68</v>
      </c>
      <c r="E15" s="8" t="s">
        <v>69</v>
      </c>
      <c r="F15" s="6" t="s">
        <v>70</v>
      </c>
      <c r="G15" s="9" t="s">
        <v>643</v>
      </c>
      <c r="H15" s="10">
        <v>10</v>
      </c>
      <c r="I15" s="11" t="s">
        <v>618</v>
      </c>
      <c r="J15" s="12"/>
    </row>
    <row r="16" spans="1:10" ht="60" customHeight="1" x14ac:dyDescent="0.3">
      <c r="A16" s="6" t="s">
        <v>63</v>
      </c>
      <c r="B16" s="6" t="s">
        <v>67</v>
      </c>
      <c r="C16" s="6" t="s">
        <v>11</v>
      </c>
      <c r="D16" s="7" t="s">
        <v>71</v>
      </c>
      <c r="E16" s="8" t="s">
        <v>72</v>
      </c>
      <c r="F16" s="6" t="s">
        <v>73</v>
      </c>
      <c r="G16" s="9" t="s">
        <v>612</v>
      </c>
      <c r="H16" s="10">
        <v>14</v>
      </c>
      <c r="I16" s="11" t="s">
        <v>611</v>
      </c>
      <c r="J16" s="12"/>
    </row>
    <row r="17" spans="1:10" ht="60" customHeight="1" x14ac:dyDescent="0.3">
      <c r="A17" s="6" t="s">
        <v>74</v>
      </c>
      <c r="B17" s="6" t="s">
        <v>19</v>
      </c>
      <c r="C17" s="6" t="s">
        <v>11</v>
      </c>
      <c r="D17" s="7" t="s">
        <v>75</v>
      </c>
      <c r="E17" s="8" t="s">
        <v>76</v>
      </c>
      <c r="F17" s="6" t="s">
        <v>77</v>
      </c>
      <c r="G17" s="9" t="s">
        <v>630</v>
      </c>
      <c r="H17" s="10">
        <v>15</v>
      </c>
      <c r="I17" s="11" t="s">
        <v>628</v>
      </c>
      <c r="J17" s="12"/>
    </row>
    <row r="18" spans="1:10" ht="60" customHeight="1" x14ac:dyDescent="0.3">
      <c r="A18" s="6" t="s">
        <v>78</v>
      </c>
      <c r="B18" s="6" t="s">
        <v>20</v>
      </c>
      <c r="C18" s="6" t="s">
        <v>11</v>
      </c>
      <c r="D18" s="7" t="s">
        <v>79</v>
      </c>
      <c r="E18" s="8" t="s">
        <v>80</v>
      </c>
      <c r="F18" s="6" t="s">
        <v>81</v>
      </c>
      <c r="G18" s="9" t="s">
        <v>645</v>
      </c>
      <c r="H18" s="10">
        <v>3</v>
      </c>
      <c r="I18" s="11" t="s">
        <v>644</v>
      </c>
      <c r="J18" s="12"/>
    </row>
    <row r="19" spans="1:10" ht="60" customHeight="1" x14ac:dyDescent="0.3">
      <c r="A19" s="6" t="s">
        <v>82</v>
      </c>
      <c r="B19" s="6" t="s">
        <v>40</v>
      </c>
      <c r="C19" s="6" t="s">
        <v>11</v>
      </c>
      <c r="D19" s="7" t="s">
        <v>83</v>
      </c>
      <c r="E19" s="8" t="s">
        <v>84</v>
      </c>
      <c r="F19" s="6" t="s">
        <v>85</v>
      </c>
      <c r="G19" s="9" t="s">
        <v>629</v>
      </c>
      <c r="H19" s="10">
        <v>18</v>
      </c>
      <c r="I19" s="11" t="s">
        <v>628</v>
      </c>
      <c r="J19" s="12"/>
    </row>
    <row r="20" spans="1:10" ht="60" customHeight="1" x14ac:dyDescent="0.3">
      <c r="A20" s="6" t="s">
        <v>86</v>
      </c>
      <c r="B20" s="6" t="s">
        <v>24</v>
      </c>
      <c r="C20" s="6" t="s">
        <v>11</v>
      </c>
      <c r="D20" s="7" t="s">
        <v>87</v>
      </c>
      <c r="E20" s="8" t="s">
        <v>88</v>
      </c>
      <c r="F20" s="6" t="s">
        <v>89</v>
      </c>
      <c r="G20" s="9" t="s">
        <v>631</v>
      </c>
      <c r="H20" s="10">
        <v>19</v>
      </c>
      <c r="I20" s="11" t="s">
        <v>632</v>
      </c>
      <c r="J20" s="12"/>
    </row>
    <row r="21" spans="1:10" ht="60" customHeight="1" x14ac:dyDescent="0.3">
      <c r="A21" s="6" t="s">
        <v>90</v>
      </c>
      <c r="B21" s="6" t="s">
        <v>19</v>
      </c>
      <c r="C21" s="6" t="s">
        <v>11</v>
      </c>
      <c r="D21" s="7" t="s">
        <v>91</v>
      </c>
      <c r="E21" s="8" t="s">
        <v>92</v>
      </c>
      <c r="F21" s="6" t="s">
        <v>93</v>
      </c>
      <c r="G21" s="9" t="s">
        <v>633</v>
      </c>
      <c r="H21" s="10">
        <v>20</v>
      </c>
      <c r="I21" s="11" t="s">
        <v>627</v>
      </c>
      <c r="J21" s="12"/>
    </row>
    <row r="22" spans="1:10" ht="60" customHeight="1" x14ac:dyDescent="0.3">
      <c r="A22" s="6" t="s">
        <v>94</v>
      </c>
      <c r="B22" s="6" t="s">
        <v>36</v>
      </c>
      <c r="C22" s="6" t="s">
        <v>11</v>
      </c>
      <c r="D22" s="7" t="s">
        <v>30</v>
      </c>
      <c r="E22" s="8" t="s">
        <v>95</v>
      </c>
      <c r="F22" s="6" t="s">
        <v>96</v>
      </c>
      <c r="G22" s="9" t="s">
        <v>634</v>
      </c>
      <c r="H22" s="10">
        <v>17</v>
      </c>
      <c r="I22" s="11" t="s">
        <v>635</v>
      </c>
      <c r="J22" s="12"/>
    </row>
    <row r="23" spans="1:10" ht="60" customHeight="1" x14ac:dyDescent="0.3">
      <c r="A23" s="6" t="s">
        <v>97</v>
      </c>
      <c r="B23" s="6" t="s">
        <v>36</v>
      </c>
      <c r="C23" s="6" t="s">
        <v>11</v>
      </c>
      <c r="D23" s="7" t="s">
        <v>98</v>
      </c>
      <c r="E23" s="8" t="s">
        <v>99</v>
      </c>
      <c r="F23" s="6" t="s">
        <v>100</v>
      </c>
      <c r="G23" s="9" t="s">
        <v>636</v>
      </c>
      <c r="H23" s="10">
        <v>21</v>
      </c>
      <c r="I23" s="11" t="s">
        <v>618</v>
      </c>
      <c r="J23" s="12"/>
    </row>
    <row r="24" spans="1:10" ht="60" customHeight="1" x14ac:dyDescent="0.3">
      <c r="A24" s="6" t="s">
        <v>101</v>
      </c>
      <c r="B24" s="6" t="s">
        <v>19</v>
      </c>
      <c r="C24" s="6" t="s">
        <v>11</v>
      </c>
      <c r="D24" s="7" t="s">
        <v>64</v>
      </c>
      <c r="E24" s="8" t="s">
        <v>102</v>
      </c>
      <c r="F24" s="6" t="s">
        <v>103</v>
      </c>
      <c r="G24" s="9" t="s">
        <v>633</v>
      </c>
      <c r="H24" s="10">
        <v>22</v>
      </c>
      <c r="I24" s="11" t="s">
        <v>627</v>
      </c>
      <c r="J24" s="12"/>
    </row>
    <row r="25" spans="1:10" ht="60" customHeight="1" x14ac:dyDescent="0.3">
      <c r="A25" s="6" t="s">
        <v>104</v>
      </c>
      <c r="B25" s="6" t="s">
        <v>19</v>
      </c>
      <c r="C25" s="6" t="s">
        <v>11</v>
      </c>
      <c r="D25" s="7" t="s">
        <v>105</v>
      </c>
      <c r="E25" s="8" t="s">
        <v>106</v>
      </c>
      <c r="F25" s="6" t="s">
        <v>107</v>
      </c>
      <c r="G25" s="9" t="s">
        <v>637</v>
      </c>
      <c r="H25" s="10">
        <v>23</v>
      </c>
      <c r="I25" s="11" t="s">
        <v>635</v>
      </c>
      <c r="J25" s="12"/>
    </row>
    <row r="26" spans="1:10" ht="60" customHeight="1" x14ac:dyDescent="0.3">
      <c r="A26" s="6" t="s">
        <v>108</v>
      </c>
      <c r="B26" s="6" t="s">
        <v>45</v>
      </c>
      <c r="C26" s="6" t="s">
        <v>11</v>
      </c>
      <c r="D26" s="7" t="s">
        <v>109</v>
      </c>
      <c r="E26" s="8" t="s">
        <v>110</v>
      </c>
      <c r="F26" s="6" t="s">
        <v>111</v>
      </c>
      <c r="G26" s="9" t="s">
        <v>487</v>
      </c>
      <c r="H26" s="10">
        <v>24</v>
      </c>
      <c r="I26" s="11" t="s">
        <v>639</v>
      </c>
      <c r="J26" s="12"/>
    </row>
    <row r="27" spans="1:10" ht="60" customHeight="1" x14ac:dyDescent="0.3">
      <c r="A27" s="6" t="s">
        <v>112</v>
      </c>
      <c r="B27" s="6" t="s">
        <v>15</v>
      </c>
      <c r="C27" s="6" t="s">
        <v>113</v>
      </c>
      <c r="D27" s="7" t="s">
        <v>114</v>
      </c>
      <c r="E27" s="8" t="s">
        <v>115</v>
      </c>
      <c r="F27" s="6" t="s">
        <v>116</v>
      </c>
      <c r="G27" s="9" t="s">
        <v>638</v>
      </c>
      <c r="H27" s="10">
        <v>25</v>
      </c>
      <c r="I27" s="11" t="s">
        <v>624</v>
      </c>
      <c r="J27" s="12"/>
    </row>
    <row r="28" spans="1:10" ht="60" customHeight="1" x14ac:dyDescent="0.3">
      <c r="A28" s="6" t="s">
        <v>117</v>
      </c>
      <c r="B28" s="6" t="s">
        <v>29</v>
      </c>
      <c r="C28" s="6" t="s">
        <v>11</v>
      </c>
      <c r="D28" s="7" t="s">
        <v>118</v>
      </c>
      <c r="E28" s="8" t="s">
        <v>119</v>
      </c>
      <c r="F28" s="6" t="s">
        <v>120</v>
      </c>
      <c r="G28" s="9" t="s">
        <v>640</v>
      </c>
      <c r="H28" s="10">
        <v>26</v>
      </c>
      <c r="I28" s="11" t="s">
        <v>610</v>
      </c>
      <c r="J28" s="12"/>
    </row>
    <row r="29" spans="1:10" ht="60" customHeight="1" x14ac:dyDescent="0.3">
      <c r="A29" s="6" t="s">
        <v>121</v>
      </c>
      <c r="B29" s="6" t="s">
        <v>63</v>
      </c>
      <c r="C29" s="6" t="s">
        <v>11</v>
      </c>
      <c r="D29" s="7" t="s">
        <v>105</v>
      </c>
      <c r="E29" s="8" t="s">
        <v>122</v>
      </c>
      <c r="F29" s="6" t="s">
        <v>123</v>
      </c>
      <c r="G29" s="9" t="s">
        <v>646</v>
      </c>
      <c r="H29" s="10">
        <v>27</v>
      </c>
      <c r="I29" s="11" t="s">
        <v>635</v>
      </c>
      <c r="J29" s="12"/>
    </row>
    <row r="30" spans="1:10" ht="60" customHeight="1" x14ac:dyDescent="0.3">
      <c r="A30" s="6" t="s">
        <v>124</v>
      </c>
      <c r="B30" s="6" t="s">
        <v>29</v>
      </c>
      <c r="C30" s="6" t="s">
        <v>11</v>
      </c>
      <c r="D30" s="7" t="s">
        <v>125</v>
      </c>
      <c r="E30" s="8" t="s">
        <v>126</v>
      </c>
      <c r="F30" s="6" t="s">
        <v>127</v>
      </c>
      <c r="G30" s="9" t="s">
        <v>642</v>
      </c>
      <c r="H30" s="10">
        <v>28</v>
      </c>
      <c r="I30" s="11" t="s">
        <v>623</v>
      </c>
      <c r="J30" s="12" t="s">
        <v>647</v>
      </c>
    </row>
    <row r="31" spans="1:10" ht="60" customHeight="1" x14ac:dyDescent="0.3">
      <c r="A31" s="6" t="s">
        <v>128</v>
      </c>
      <c r="B31" s="6" t="s">
        <v>51</v>
      </c>
      <c r="C31" s="6" t="s">
        <v>11</v>
      </c>
      <c r="D31" s="7" t="s">
        <v>105</v>
      </c>
      <c r="E31" s="8" t="s">
        <v>129</v>
      </c>
      <c r="F31" s="6" t="s">
        <v>130</v>
      </c>
      <c r="G31" s="9" t="s">
        <v>531</v>
      </c>
      <c r="H31" s="10">
        <v>29</v>
      </c>
      <c r="I31" s="11" t="s">
        <v>628</v>
      </c>
      <c r="J31" s="12"/>
    </row>
    <row r="32" spans="1:10" ht="60" customHeight="1" x14ac:dyDescent="0.3">
      <c r="A32" s="6" t="s">
        <v>131</v>
      </c>
      <c r="B32" s="6" t="s">
        <v>36</v>
      </c>
      <c r="C32" s="6" t="s">
        <v>11</v>
      </c>
      <c r="D32" s="7" t="s">
        <v>132</v>
      </c>
      <c r="E32" s="8" t="s">
        <v>133</v>
      </c>
      <c r="F32" s="6" t="s">
        <v>134</v>
      </c>
      <c r="G32" s="9" t="s">
        <v>11</v>
      </c>
      <c r="H32" s="10" t="s">
        <v>11</v>
      </c>
      <c r="I32" s="11" t="s">
        <v>609</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2"/>
  <sheetViews>
    <sheetView workbookViewId="0">
      <pane xSplit="1" ySplit="1" topLeftCell="D111" activePane="bottomRight" state="frozen"/>
      <selection pane="topRight" activeCell="B1" sqref="B1"/>
      <selection pane="bottomLeft" activeCell="A2" sqref="A2"/>
      <selection pane="bottomRight" activeCell="N118" sqref="N11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135</v>
      </c>
      <c r="B1" s="13" t="s">
        <v>136</v>
      </c>
      <c r="C1" s="13" t="s">
        <v>137</v>
      </c>
      <c r="D1" s="13" t="s">
        <v>138</v>
      </c>
      <c r="E1" s="14" t="s">
        <v>139</v>
      </c>
      <c r="F1" s="15" t="s">
        <v>140</v>
      </c>
      <c r="G1" s="16" t="s">
        <v>141</v>
      </c>
      <c r="H1" s="17" t="s">
        <v>142</v>
      </c>
      <c r="I1" s="18" t="s">
        <v>143</v>
      </c>
      <c r="J1" s="18" t="s">
        <v>144</v>
      </c>
      <c r="K1" s="18" t="s">
        <v>145</v>
      </c>
      <c r="L1" s="19" t="s">
        <v>9</v>
      </c>
    </row>
    <row r="2" spans="1:12" x14ac:dyDescent="0.3">
      <c r="A2" t="s">
        <v>146</v>
      </c>
    </row>
    <row r="3" spans="1:12" x14ac:dyDescent="0.3">
      <c r="A3" t="s">
        <v>12</v>
      </c>
      <c r="B3" s="20" t="s">
        <v>147</v>
      </c>
      <c r="C3" s="20" t="s">
        <v>148</v>
      </c>
      <c r="D3" s="20" t="s">
        <v>149</v>
      </c>
      <c r="E3" s="21" t="s">
        <v>546</v>
      </c>
      <c r="F3" s="22" t="str">
        <f>IF(OR(E3="",E3="!!!"),"",IF(NOT(ISNA(VLOOKUP(E3,E$1:E2,1,FALSE()))),"OLD",IF(AND(E3&lt;&gt;"",E3&lt;&gt;"!!!"),"NEW","")))</f>
        <v>NEW</v>
      </c>
      <c r="G3" s="23" t="s">
        <v>140</v>
      </c>
      <c r="H3" s="24" t="str">
        <f t="shared" ref="H3:H15"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150</v>
      </c>
      <c r="E4" s="21" t="str">
        <f t="shared" ref="E4:E15"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151</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152</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153</v>
      </c>
      <c r="B7" s="20" t="s">
        <v>147</v>
      </c>
      <c r="C7" s="20" t="s">
        <v>154</v>
      </c>
      <c r="E7" s="21" t="s">
        <v>594</v>
      </c>
      <c r="F7" s="22" t="str">
        <f>IF(OR(E7="",E7="!!!"),"",IF(NOT(ISNA(VLOOKUP(E7,E$1:E6,1,FALSE()))),"OLD",IF(AND(E7&lt;&gt;"",E7&lt;&gt;"!!!"),"NEW","")))</f>
        <v>NEW</v>
      </c>
      <c r="G7" s="23" t="s">
        <v>140</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t="s">
        <v>549</v>
      </c>
    </row>
    <row r="8" spans="1:12" x14ac:dyDescent="0.3">
      <c r="A8" t="s">
        <v>155</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156</v>
      </c>
      <c r="B9" s="20" t="s">
        <v>157</v>
      </c>
      <c r="C9" s="20" t="s">
        <v>158</v>
      </c>
      <c r="E9" s="21" t="s">
        <v>583</v>
      </c>
      <c r="F9" s="22" t="str">
        <f>IF(OR(E9="",E9="!!!"),"",IF(NOT(ISNA(VLOOKUP(E9,E$1:E8,1,FALSE()))),"OLD",IF(AND(E9&lt;&gt;"",E9&lt;&gt;"!!!"),"NEW","")))</f>
        <v>NEW</v>
      </c>
      <c r="G9" s="23" t="s">
        <v>565</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t="s">
        <v>549</v>
      </c>
    </row>
    <row r="10" spans="1:12" x14ac:dyDescent="0.3">
      <c r="A10" t="s">
        <v>159</v>
      </c>
      <c r="E10" s="21" t="str">
        <f t="shared" si="1"/>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160</v>
      </c>
      <c r="B11" s="20" t="s">
        <v>161</v>
      </c>
      <c r="C11" s="20" t="s">
        <v>158</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151</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162</v>
      </c>
      <c r="B13" s="20" t="s">
        <v>163</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164</v>
      </c>
      <c r="B14" s="20" t="s">
        <v>165</v>
      </c>
      <c r="E14" s="21" t="str">
        <f t="shared" si="1"/>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0"/>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166</v>
      </c>
      <c r="E15" s="21" t="str">
        <f t="shared" si="1"/>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0"/>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7" spans="1:12" x14ac:dyDescent="0.3">
      <c r="A17" t="s">
        <v>167</v>
      </c>
    </row>
    <row r="18" spans="1:12" x14ac:dyDescent="0.3">
      <c r="A18" t="s">
        <v>168</v>
      </c>
      <c r="B18" s="20" t="s">
        <v>169</v>
      </c>
      <c r="C18" s="20" t="s">
        <v>170</v>
      </c>
      <c r="D18" s="20" t="s">
        <v>149</v>
      </c>
      <c r="E18" s="21"/>
      <c r="F18" s="22" t="s">
        <v>547</v>
      </c>
      <c r="G18" s="23" t="str">
        <f>IF(OR(E18="",E18="!!!"),"",IF(OR(J18=0,AND(J18=1,K18=1),AND(J18=1,I18="SBJ"),AND(J18=1,I18=0)),"?IN_FOCUS",IF(J18&lt;=2,"?ACTIVATED",IF(J18&lt;&gt;"","?FAMILIAR",IF(F18="NEW",IF(ISNA(VLOOKUP(E18,#REF!,1,FALSE())),"?TYPE_IDENTIFIABLE","?REFERENTIAL"),"_")))))</f>
        <v/>
      </c>
      <c r="H18" s="24" t="str">
        <f t="shared" ref="H18:H28" ca="1" si="2">IF(J18&lt;&gt;1,"",IF(I18="SBJ","CB","?"))</f>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171</v>
      </c>
      <c r="E19" s="21" t="str">
        <f t="shared" ref="E19:E28" si="3">IF(D19="?OLD","!!!","")</f>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2"/>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172</v>
      </c>
      <c r="E20" s="21" t="str">
        <f t="shared" si="3"/>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2"/>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173</v>
      </c>
      <c r="E21" s="21" t="str">
        <f t="shared" si="3"/>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2"/>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151</v>
      </c>
      <c r="E22" s="21" t="str">
        <f t="shared" si="3"/>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2"/>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174</v>
      </c>
      <c r="E23" s="21" t="str">
        <f t="shared" si="3"/>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2"/>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164</v>
      </c>
      <c r="B24" s="20" t="s">
        <v>175</v>
      </c>
      <c r="E24" s="21" t="str">
        <f t="shared" si="3"/>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2"/>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162</v>
      </c>
      <c r="E25" s="21" t="str">
        <f t="shared" si="3"/>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2"/>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176</v>
      </c>
      <c r="B26" s="20" t="s">
        <v>177</v>
      </c>
      <c r="C26" s="20" t="s">
        <v>178</v>
      </c>
      <c r="D26" s="20" t="s">
        <v>149</v>
      </c>
      <c r="E26" s="21"/>
      <c r="F26" s="22" t="s">
        <v>553</v>
      </c>
      <c r="G26" s="23" t="str">
        <f>IF(OR(E26="",E26="!!!"),"",IF(OR(J26=0,AND(J26=1,K26=1),AND(J26=1,I26="SBJ"),AND(J26=1,I26=0)),"?IN_FOCUS",IF(J26&lt;=2,"?ACTIVATED",IF(J26&lt;&gt;"","?FAMILIAR",IF(F26="NEW",IF(ISNA(VLOOKUP(E26,#REF!,1,FALSE())),"?TYPE_IDENTIFIABLE","?REFERENTIAL"),"_")))))</f>
        <v/>
      </c>
      <c r="H26" s="24" t="str">
        <f t="shared" ca="1" si="2"/>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179</v>
      </c>
      <c r="E27" s="21" t="str">
        <f t="shared" si="3"/>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2"/>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180</v>
      </c>
      <c r="E28" s="21" t="str">
        <f t="shared" si="3"/>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2"/>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30" spans="1:12" x14ac:dyDescent="0.3">
      <c r="A30" t="s">
        <v>181</v>
      </c>
    </row>
    <row r="31" spans="1:12" x14ac:dyDescent="0.3">
      <c r="A31" t="s">
        <v>182</v>
      </c>
      <c r="E31" s="21" t="str">
        <f t="shared" ref="E31:E68" si="4">IF(D31="?OLD","!!!","")</f>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ref="H31:H68" ca="1" si="5">IF(J31&lt;&gt;1,"",IF(I31="SBJ","CB","?"))</f>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183</v>
      </c>
      <c r="B32" s="20" t="s">
        <v>177</v>
      </c>
      <c r="C32" s="20" t="s">
        <v>158</v>
      </c>
      <c r="E32" s="21" t="s">
        <v>548</v>
      </c>
      <c r="F32" s="22" t="str">
        <f>IF(OR(E32="",E32="!!!"),"",IF(NOT(ISNA(VLOOKUP(E32,E$1:E31,1,FALSE()))),"OLD",IF(AND(E32&lt;&gt;"",E32&lt;&gt;"!!!"),"NEW","")))</f>
        <v>NEW</v>
      </c>
      <c r="G32" s="23" t="s">
        <v>565</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t="s">
        <v>549</v>
      </c>
    </row>
    <row r="33" spans="1:12" x14ac:dyDescent="0.3">
      <c r="A33" t="s">
        <v>159</v>
      </c>
      <c r="E33" s="21" t="str">
        <f t="shared" si="4"/>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5"/>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184</v>
      </c>
      <c r="B34" s="20" t="s">
        <v>161</v>
      </c>
      <c r="C34" s="20" t="s">
        <v>158</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185</v>
      </c>
      <c r="B35" s="20" t="s">
        <v>186</v>
      </c>
      <c r="C35" s="20" t="s">
        <v>187</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188</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189</v>
      </c>
      <c r="B37" s="20" t="s">
        <v>161</v>
      </c>
      <c r="C37" s="20" t="s">
        <v>178</v>
      </c>
      <c r="D37" s="20" t="s">
        <v>149</v>
      </c>
      <c r="E37" s="21"/>
      <c r="F37" s="22" t="s">
        <v>557</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190</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191</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155</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192</v>
      </c>
      <c r="E41" s="21" t="s">
        <v>558</v>
      </c>
      <c r="F41" s="22" t="str">
        <f>IF(OR(E41="",E41="!!!"),"",IF(NOT(ISNA(VLOOKUP(E41,E$1:E40,1,FALSE()))),"OLD",IF(AND(E41&lt;&gt;"",E41&lt;&gt;"!!!"),"NEW","")))</f>
        <v>NEW</v>
      </c>
      <c r="G41" s="23" t="s">
        <v>565</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t="s">
        <v>549</v>
      </c>
    </row>
    <row r="42" spans="1:12" x14ac:dyDescent="0.3">
      <c r="A42" t="s">
        <v>25</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151</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193</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194</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195</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196</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151</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197</v>
      </c>
      <c r="E49" s="21" t="s">
        <v>548</v>
      </c>
      <c r="F49" s="22" t="str">
        <f>IF(OR(E49="",E49="!!!"),"",IF(NOT(ISNA(VLOOKUP(E49,E$1:E48,1,FALSE()))),"OLD",IF(AND(E49&lt;&gt;"",E49&lt;&gt;"!!!"),"NEW","")))</f>
        <v>OLD</v>
      </c>
      <c r="G49" s="23" t="s">
        <v>568</v>
      </c>
      <c r="H49" s="24" t="str">
        <f t="shared" ca="1" si="5"/>
        <v/>
      </c>
      <c r="I49" s="25" t="str">
        <f>IF(OR(E49="",E49="!!!",F49="NEW"),"",INDEX(B$2:B48,-1+SUMPRODUCT(MAX(ROW(E$2:E48)*(E49=E$2:E48)))))</f>
        <v>SBJ_2</v>
      </c>
      <c r="J49" s="25">
        <f ca="1">IF(OR(E49="",E49="!!!",F49="NEW"),"",COUNTBLANK(OFFSET(A$1,,,SUMPRODUCT(MAX(ROW(E$2:E49)*(E49=E$2:E49)))))-COUNTBLANK(OFFSET(A$1,,,SUMPRODUCT(MAX(ROW(E$1:E48)*(E2=E$1:E48))))))</f>
        <v>0</v>
      </c>
      <c r="K49" s="25" t="str">
        <f ca="1">IF(OR(E49="",E49="!!!",F49="NEW"),"",INDEX(J$1:J48,SUMPRODUCT(MAX(ROW(E$1:E48)*(E49=E$1:E48)))))</f>
        <v/>
      </c>
      <c r="L49" s="26" t="s">
        <v>550</v>
      </c>
    </row>
    <row r="50" spans="1:12" x14ac:dyDescent="0.3">
      <c r="A50" t="s">
        <v>198</v>
      </c>
      <c r="B50" s="20" t="s">
        <v>165</v>
      </c>
      <c r="C50" s="20" t="s">
        <v>199</v>
      </c>
      <c r="E50" s="21" t="s">
        <v>551</v>
      </c>
      <c r="F50" s="22" t="str">
        <f>IF(OR(E50="",E50="!!!"),"",IF(NOT(ISNA(VLOOKUP(E50,E$1:E49,1,FALSE()))),"OLD",IF(AND(E50&lt;&gt;"",E50&lt;&gt;"!!!"),"NEW","")))</f>
        <v>NEW</v>
      </c>
      <c r="G50" s="23" t="s">
        <v>572</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200</v>
      </c>
      <c r="E51" s="21" t="str">
        <f t="shared" si="4"/>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5"/>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185</v>
      </c>
      <c r="E52" s="21" t="str">
        <f t="shared" si="4"/>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5"/>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201</v>
      </c>
      <c r="E53" s="21" t="str">
        <f t="shared" si="4"/>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5"/>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151</v>
      </c>
      <c r="E54" s="21" t="str">
        <f t="shared" si="4"/>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5"/>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202</v>
      </c>
      <c r="E55" s="21" t="str">
        <f t="shared" si="4"/>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5"/>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203</v>
      </c>
      <c r="B56" s="20" t="s">
        <v>186</v>
      </c>
      <c r="C56" s="20" t="s">
        <v>158</v>
      </c>
      <c r="E56" s="21" t="s">
        <v>589</v>
      </c>
      <c r="F56" s="22" t="str">
        <f>IF(OR(E56="",E56="!!!"),"",IF(NOT(ISNA(VLOOKUP(E56,E$1:E55,1,FALSE()))),"OLD",IF(AND(E56&lt;&gt;"",E56&lt;&gt;"!!!"),"NEW","")))</f>
        <v>NEW</v>
      </c>
      <c r="G56" s="23" t="s">
        <v>565</v>
      </c>
      <c r="H56" s="24" t="str">
        <f t="shared" ca="1" si="5"/>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t="s">
        <v>549</v>
      </c>
    </row>
    <row r="57" spans="1:12" x14ac:dyDescent="0.3">
      <c r="A57" t="s">
        <v>185</v>
      </c>
      <c r="E57" s="21" t="str">
        <f t="shared" si="4"/>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5"/>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204</v>
      </c>
      <c r="E58" s="21" t="str">
        <f t="shared" si="4"/>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5"/>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151</v>
      </c>
      <c r="E59" s="21" t="str">
        <f t="shared" si="4"/>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5"/>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205</v>
      </c>
      <c r="E60" s="21" t="str">
        <f t="shared" si="4"/>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5"/>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206</v>
      </c>
      <c r="E61" s="21" t="str">
        <f t="shared" si="4"/>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5"/>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188</v>
      </c>
      <c r="E62" s="21" t="str">
        <f t="shared" si="4"/>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5"/>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207</v>
      </c>
      <c r="E63" s="21" t="str">
        <f t="shared" si="4"/>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5"/>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208</v>
      </c>
      <c r="B64" s="20" t="s">
        <v>147</v>
      </c>
      <c r="C64" s="20" t="s">
        <v>178</v>
      </c>
      <c r="D64" s="20" t="s">
        <v>149</v>
      </c>
      <c r="E64" s="21"/>
      <c r="F64" s="22" t="s">
        <v>552</v>
      </c>
      <c r="G64" s="23" t="str">
        <f>IF(OR(E64="",E64="!!!"),"",IF(OR(J64=0,AND(J64=1,K64=1),AND(J64=1,I64="SBJ"),AND(J64=1,I64=0)),"?IN_FOCUS",IF(J64&lt;=2,"?ACTIVATED",IF(J64&lt;&gt;"","?FAMILIAR",IF(F64="NEW",IF(ISNA(VLOOKUP(E64,#REF!,1,FALSE())),"?TYPE_IDENTIFIABLE","?REFERENTIAL"),"_")))))</f>
        <v/>
      </c>
      <c r="H64" s="24" t="str">
        <f t="shared" ca="1" si="5"/>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209</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210</v>
      </c>
      <c r="B66" s="20" t="s">
        <v>157</v>
      </c>
      <c r="C66" s="20" t="s">
        <v>187</v>
      </c>
      <c r="E66" s="21" t="str">
        <f t="shared" si="4"/>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211</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180</v>
      </c>
      <c r="E68" s="21" t="str">
        <f t="shared" si="4"/>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5"/>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70" spans="1:12" x14ac:dyDescent="0.3">
      <c r="A70" t="s">
        <v>212</v>
      </c>
    </row>
    <row r="71" spans="1:12" x14ac:dyDescent="0.3">
      <c r="A71" t="s">
        <v>213</v>
      </c>
      <c r="E71" s="21" t="str">
        <f t="shared" ref="E71:E89" si="6">IF(D71="?OLD","!!!","")</f>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ref="H71:H89" ca="1" si="7">IF(J71&lt;&gt;1,"",IF(I71="SBJ","CB","?"))</f>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214</v>
      </c>
      <c r="B72" s="20" t="s">
        <v>147</v>
      </c>
      <c r="C72" s="20" t="s">
        <v>148</v>
      </c>
      <c r="D72" s="20" t="s">
        <v>149</v>
      </c>
      <c r="E72" s="21" t="s">
        <v>546</v>
      </c>
      <c r="F72" s="22" t="str">
        <f>IF(OR(E72="",E72="!!!"),"",IF(NOT(ISNA(VLOOKUP(E72,E$1:E71,1,FALSE()))),"OLD",IF(AND(E72&lt;&gt;"",E72&lt;&gt;"!!!"),"NEW","")))</f>
        <v>OLD</v>
      </c>
      <c r="G72" s="23" t="s">
        <v>565</v>
      </c>
      <c r="H72" s="24" t="str">
        <f t="shared" ca="1" si="7"/>
        <v/>
      </c>
      <c r="I72" s="25" t="str">
        <f>IF(OR(E72="",E72="!!!",F72="NEW"),"",INDEX(B$2:B71,-1+SUMPRODUCT(MAX(ROW(E$2:E71)*(E72=E$2:E71)))))</f>
        <v>other</v>
      </c>
      <c r="J72" s="25">
        <f ca="1">IF(OR(E72="",E72="!!!",F72="NEW"),"",COUNTBLANK(OFFSET(A$1,,,SUMPRODUCT(MAX(ROW(E$2:E72)*(E72=E$2:E72)))))-COUNTBLANK(OFFSET(A$1,,,SUMPRODUCT(MAX(ROW(E$1:E71)*(E2=E$1:E71))))))</f>
        <v>0</v>
      </c>
      <c r="K72" s="25" t="str">
        <f ca="1">IF(OR(E72="",E72="!!!",F72="NEW"),"",INDEX(J$1:J71,SUMPRODUCT(MAX(ROW(E$1:E71)*(E72=E$1:E71)))))</f>
        <v/>
      </c>
      <c r="L72" s="26"/>
    </row>
    <row r="73" spans="1:12" x14ac:dyDescent="0.3">
      <c r="A73" t="s">
        <v>150</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215</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194</v>
      </c>
      <c r="B75" s="20" t="s">
        <v>169</v>
      </c>
      <c r="C75" s="20" t="s">
        <v>170</v>
      </c>
      <c r="D75" s="20" t="s">
        <v>149</v>
      </c>
      <c r="E75" s="21"/>
      <c r="F75" s="22" t="s">
        <v>547</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216</v>
      </c>
      <c r="E76" s="21" t="str">
        <f t="shared" si="6"/>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7"/>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151</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217</v>
      </c>
      <c r="B78" s="20" t="s">
        <v>147</v>
      </c>
      <c r="C78" s="20" t="s">
        <v>158</v>
      </c>
      <c r="E78" s="21" t="str">
        <f t="shared" si="6"/>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209</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188</v>
      </c>
      <c r="E80" s="21" t="str">
        <f t="shared" si="6"/>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7"/>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218</v>
      </c>
      <c r="B81" s="20" t="s">
        <v>161</v>
      </c>
      <c r="C81" s="20" t="s">
        <v>148</v>
      </c>
      <c r="D81" s="20" t="s">
        <v>149</v>
      </c>
      <c r="E81" s="21" t="s">
        <v>582</v>
      </c>
      <c r="F81" s="22" t="s">
        <v>553</v>
      </c>
      <c r="G81" s="23"/>
      <c r="H81" s="24" t="str">
        <f t="shared" ca="1" si="7"/>
        <v/>
      </c>
      <c r="I81" s="25" t="e">
        <f>IF(OR(E81="",E81="!!!",F81="NEW"),"",INDEX(B$2:B80,-1+SUMPRODUCT(MAX(ROW(E$2:E80)*(E81=E$2:E80)))))</f>
        <v>#VALUE!</v>
      </c>
      <c r="J81" s="25">
        <f ca="1">IF(OR(E81="",E81="!!!",F81="NEW"),"",COUNTBLANK(OFFSET(A$1,,,SUMPRODUCT(MAX(ROW(E$2:E81)*(E81=E$2:E81)))))-COUNTBLANK(OFFSET(A$1,,,SUMPRODUCT(MAX(ROW(E$1:E80)*(E2=E$1:E80))))))</f>
        <v>0</v>
      </c>
      <c r="K81" s="25" t="e">
        <f>IF(OR(E81="",E81="!!!",F81="NEW"),"",INDEX(J$1:J80,SUMPRODUCT(MAX(ROW(E$1:E80)*(E81=E$1:E80)))))</f>
        <v>#VALUE!</v>
      </c>
      <c r="L81" s="26"/>
    </row>
    <row r="82" spans="1:12" x14ac:dyDescent="0.3">
      <c r="A82" t="s">
        <v>185</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219</v>
      </c>
      <c r="E83" s="21" t="str">
        <f t="shared" si="6"/>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7"/>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159</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220</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221</v>
      </c>
      <c r="E86" s="21" t="str">
        <f t="shared" si="6"/>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7"/>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185</v>
      </c>
      <c r="E87" s="21" t="str">
        <f t="shared" si="6"/>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222</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180</v>
      </c>
      <c r="E89" s="21" t="str">
        <f t="shared" si="6"/>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7"/>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1" spans="1:12" x14ac:dyDescent="0.3">
      <c r="A91" t="s">
        <v>223</v>
      </c>
    </row>
    <row r="92" spans="1:12" x14ac:dyDescent="0.3">
      <c r="A92" t="s">
        <v>224</v>
      </c>
      <c r="E92" s="21" t="str">
        <f t="shared" ref="E92:E111" si="8">IF(D92="?OLD","!!!","")</f>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ref="H92:H111" ca="1" si="9">IF(J92&lt;&gt;1,"",IF(I92="SBJ","CB","?"))</f>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225</v>
      </c>
      <c r="B93" s="20" t="s">
        <v>169</v>
      </c>
      <c r="C93" s="20" t="s">
        <v>178</v>
      </c>
      <c r="D93" s="20" t="s">
        <v>149</v>
      </c>
      <c r="E93" s="21"/>
      <c r="F93" s="22" t="s">
        <v>557</v>
      </c>
      <c r="G93" s="23" t="str">
        <f>IF(OR(E93="",E93="!!!"),"",IF(OR(J93=0,AND(J93=1,K93=1),AND(J93=1,I93="SBJ"),AND(J93=1,I93=0)),"?IN_FOCUS",IF(J93&lt;=2,"?ACTIVATED",IF(J93&lt;&gt;"","?FAMILIAR",IF(F93="NEW",IF(ISNA(VLOOKUP(E93,#REF!,1,FALSE())),"?TYPE_IDENTIFIABLE","?REFERENTIAL"),"_")))))</f>
        <v/>
      </c>
      <c r="H93" s="24" t="str">
        <f t="shared" ca="1" si="9"/>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226</v>
      </c>
      <c r="E94" s="21" t="str">
        <f t="shared" si="8"/>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9"/>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188</v>
      </c>
      <c r="E95" s="21" t="str">
        <f t="shared" si="8"/>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9"/>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227</v>
      </c>
      <c r="B96" s="20" t="s">
        <v>157</v>
      </c>
      <c r="C96" s="20" t="s">
        <v>178</v>
      </c>
      <c r="D96" s="20" t="s">
        <v>149</v>
      </c>
      <c r="E96" s="21" t="s">
        <v>589</v>
      </c>
      <c r="F96" s="22" t="str">
        <f>IF(OR(E96="",E96="!!!"),"",IF(NOT(ISNA(VLOOKUP(E96,E$1:E95,1,FALSE()))),"OLD",IF(AND(E96&lt;&gt;"",E96&lt;&gt;"!!!"),"NEW","")))</f>
        <v>OLD</v>
      </c>
      <c r="G96" s="23" t="s">
        <v>590</v>
      </c>
      <c r="H96" s="24" t="str">
        <f t="shared" ca="1" si="9"/>
        <v/>
      </c>
      <c r="I96" s="25" t="str">
        <f>IF(OR(E96="",E96="!!!",F96="NEW"),"",INDEX(B$2:B95,-1+SUMPRODUCT(MAX(ROW(E$2:E95)*(E96=E$2:E95)))))</f>
        <v>other_4</v>
      </c>
      <c r="J96" s="25">
        <f ca="1">IF(OR(E96="",E96="!!!",F96="NEW"),"",COUNTBLANK(OFFSET(A$1,,,SUMPRODUCT(MAX(ROW(E$2:E96)*(E96=E$2:E96)))))-COUNTBLANK(OFFSET(A$1,,,SUMPRODUCT(MAX(ROW(E$1:E95)*(E2=E$1:E95))))))</f>
        <v>0</v>
      </c>
      <c r="K96" s="25" t="str">
        <f ca="1">IF(OR(E96="",E96="!!!",F96="NEW"),"",INDEX(J$1:J95,SUMPRODUCT(MAX(ROW(E$1:E95)*(E96=E$1:E95)))))</f>
        <v/>
      </c>
      <c r="L96" s="26"/>
    </row>
    <row r="97" spans="1:12" x14ac:dyDescent="0.3">
      <c r="A97" t="s">
        <v>228</v>
      </c>
      <c r="E97" s="21" t="str">
        <f t="shared" si="8"/>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9"/>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229</v>
      </c>
      <c r="E98" s="21" t="str">
        <f t="shared" si="8"/>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9"/>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202</v>
      </c>
      <c r="E99" s="21" t="str">
        <f t="shared" si="8"/>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9"/>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230</v>
      </c>
      <c r="E100" s="21" t="str">
        <f t="shared" si="8"/>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9"/>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231</v>
      </c>
      <c r="B101" s="20" t="s">
        <v>147</v>
      </c>
      <c r="C101" s="20" t="s">
        <v>178</v>
      </c>
      <c r="D101" s="20" t="s">
        <v>149</v>
      </c>
      <c r="E101" s="21" t="s">
        <v>554</v>
      </c>
      <c r="F101" s="22" t="str">
        <f>IF(OR(E101="",E101="!!!"),"",IF(NOT(ISNA(VLOOKUP(E101,E$1:E100,1,FALSE()))),"OLD",IF(AND(E101&lt;&gt;"",E101&lt;&gt;"!!!"),"NEW","")))</f>
        <v>NEW</v>
      </c>
      <c r="G101" s="23" t="s">
        <v>565</v>
      </c>
      <c r="H101" s="24" t="str">
        <f t="shared" ca="1" si="9"/>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151</v>
      </c>
      <c r="E102" s="21" t="str">
        <f t="shared" si="8"/>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9"/>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232</v>
      </c>
      <c r="E103" s="21" t="str">
        <f t="shared" si="8"/>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9"/>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202</v>
      </c>
      <c r="E104" s="21" t="str">
        <f t="shared" si="8"/>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9"/>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233</v>
      </c>
      <c r="B105" s="20" t="s">
        <v>147</v>
      </c>
      <c r="C105" s="20" t="s">
        <v>158</v>
      </c>
      <c r="E105" s="21" t="s">
        <v>556</v>
      </c>
      <c r="F105" s="22" t="str">
        <f>IF(OR(E105="",E105="!!!"),"",IF(NOT(ISNA(VLOOKUP(E105,E$1:E104,1,FALSE()))),"OLD",IF(AND(E105&lt;&gt;"",E105&lt;&gt;"!!!"),"NEW","")))</f>
        <v>NEW</v>
      </c>
      <c r="G105" s="23" t="s">
        <v>565</v>
      </c>
      <c r="H105" s="24" t="str">
        <f t="shared" ca="1" si="9"/>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159</v>
      </c>
      <c r="E106" s="21" t="str">
        <f t="shared" si="8"/>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9"/>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234</v>
      </c>
      <c r="E107" s="21" t="str">
        <f t="shared" si="8"/>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9"/>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202</v>
      </c>
      <c r="E108" s="21" t="str">
        <f t="shared" si="8"/>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9"/>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235</v>
      </c>
      <c r="B109" s="20" t="s">
        <v>161</v>
      </c>
      <c r="C109" s="20" t="s">
        <v>148</v>
      </c>
      <c r="D109" s="20" t="s">
        <v>149</v>
      </c>
      <c r="E109" s="21" t="s">
        <v>555</v>
      </c>
      <c r="F109" s="22" t="str">
        <f>IF(OR(E109="",E109="!!!"),"",IF(NOT(ISNA(VLOOKUP(E109,E$1:E108,1,FALSE()))),"OLD",IF(AND(E109&lt;&gt;"",E109&lt;&gt;"!!!"),"NEW","")))</f>
        <v>NEW</v>
      </c>
      <c r="G109" s="23" t="s">
        <v>565</v>
      </c>
      <c r="H109" s="24" t="str">
        <f t="shared" ca="1" si="9"/>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236</v>
      </c>
      <c r="E110" s="21" t="str">
        <f t="shared" si="8"/>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9"/>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180</v>
      </c>
      <c r="E111" s="21" t="str">
        <f t="shared" si="8"/>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9"/>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3" spans="1:12" x14ac:dyDescent="0.3">
      <c r="A113" t="s">
        <v>237</v>
      </c>
    </row>
    <row r="114" spans="1:12" x14ac:dyDescent="0.3">
      <c r="A114" t="s">
        <v>238</v>
      </c>
      <c r="E114" s="21" t="str">
        <f t="shared" ref="E114:E132" si="10">IF(D114="?OLD","!!!","")</f>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ref="H114:H132" ca="1" si="11">IF(J114&lt;&gt;1,"",IF(I114="SBJ","CB","?"))</f>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171</v>
      </c>
      <c r="E115" s="21" t="str">
        <f t="shared" si="10"/>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11"/>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194</v>
      </c>
      <c r="B116" s="20" t="s">
        <v>177</v>
      </c>
      <c r="C116" s="20" t="s">
        <v>170</v>
      </c>
      <c r="D116" s="20" t="s">
        <v>149</v>
      </c>
      <c r="E116" s="21"/>
      <c r="F116" s="22" t="s">
        <v>547</v>
      </c>
      <c r="G116" s="23" t="str">
        <f>IF(OR(E116="",E116="!!!"),"",IF(OR(J116=0,AND(J116=1,K116=1),AND(J116=1,I116="SBJ"),AND(J116=1,I116=0)),"?IN_FOCUS",IF(J116&lt;=2,"?ACTIVATED",IF(J116&lt;&gt;"","?FAMILIAR",IF(F116="NEW",IF(ISNA(VLOOKUP(E116,#REF!,1,FALSE())),"?TYPE_IDENTIFIABLE","?REFERENTIAL"),"_")))))</f>
        <v/>
      </c>
      <c r="H116" s="24" t="str">
        <f t="shared" ca="1" si="11"/>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239</v>
      </c>
      <c r="E117" s="21" t="str">
        <f t="shared" si="10"/>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1"/>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185</v>
      </c>
      <c r="E118" s="21" t="str">
        <f t="shared" si="10"/>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1"/>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33</v>
      </c>
      <c r="E119" s="21" t="str">
        <f t="shared" si="10"/>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1"/>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151</v>
      </c>
      <c r="E120" s="21" t="str">
        <f t="shared" si="10"/>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1"/>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240</v>
      </c>
      <c r="E121" s="21" t="str">
        <f t="shared" si="10"/>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1"/>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164</v>
      </c>
      <c r="B122" s="20" t="s">
        <v>175</v>
      </c>
      <c r="E122" s="21" t="str">
        <f t="shared" si="10"/>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1"/>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241</v>
      </c>
      <c r="B123" s="20" t="s">
        <v>177</v>
      </c>
      <c r="C123" s="20" t="s">
        <v>158</v>
      </c>
      <c r="E123" s="21" t="str">
        <f t="shared" si="10"/>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1"/>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159</v>
      </c>
      <c r="E124" s="21" t="str">
        <f t="shared" si="10"/>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1"/>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242</v>
      </c>
      <c r="B125" s="20" t="s">
        <v>161</v>
      </c>
      <c r="C125" s="20" t="s">
        <v>158</v>
      </c>
      <c r="E125" s="21" t="str">
        <f t="shared" si="10"/>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1"/>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206</v>
      </c>
      <c r="E126" s="21" t="str">
        <f t="shared" si="10"/>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1"/>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188</v>
      </c>
      <c r="E127" s="21" t="str">
        <f t="shared" si="10"/>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1"/>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243</v>
      </c>
      <c r="B128" s="20" t="s">
        <v>157</v>
      </c>
      <c r="C128" s="20" t="s">
        <v>178</v>
      </c>
      <c r="D128" s="20" t="s">
        <v>149</v>
      </c>
      <c r="E128" s="21" t="s">
        <v>558</v>
      </c>
      <c r="F128" s="22" t="str">
        <f>IF(OR(E128="",E128="!!!"),"",IF(NOT(ISNA(VLOOKUP(E128,E$1:E127,1,FALSE()))),"OLD",IF(AND(E128&lt;&gt;"",E128&lt;&gt;"!!!"),"NEW","")))</f>
        <v>OLD</v>
      </c>
      <c r="G128" s="23" t="s">
        <v>565</v>
      </c>
      <c r="H128" s="24" t="str">
        <f t="shared" ca="1" si="11"/>
        <v/>
      </c>
      <c r="I128" s="25">
        <f>IF(OR(E128="",E128="!!!",F128="NEW"),"",INDEX(B$2:B127,-1+SUMPRODUCT(MAX(ROW(E$2:E127)*(E128=E$2:E127)))))</f>
        <v>0</v>
      </c>
      <c r="J128" s="25">
        <f ca="1">IF(OR(E128="",E128="!!!",F128="NEW"),"",COUNTBLANK(OFFSET(A$1,,,SUMPRODUCT(MAX(ROW(E$2:E128)*(E128=E$2:E128)))))-COUNTBLANK(OFFSET(A$1,,,SUMPRODUCT(MAX(ROW(E$1:E127)*(E2=E$1:E127))))))</f>
        <v>0</v>
      </c>
      <c r="K128" s="25" t="str">
        <f ca="1">IF(OR(E128="",E128="!!!",F128="NEW"),"",INDEX(J$1:J127,SUMPRODUCT(MAX(ROW(E$1:E127)*(E128=E$1:E127)))))</f>
        <v/>
      </c>
      <c r="L128" s="26"/>
    </row>
    <row r="129" spans="1:12" x14ac:dyDescent="0.3">
      <c r="A129" t="s">
        <v>190</v>
      </c>
      <c r="E129" s="21" t="str">
        <f t="shared" si="10"/>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1"/>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244</v>
      </c>
      <c r="E130" s="21" t="str">
        <f t="shared" si="10"/>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1"/>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245</v>
      </c>
      <c r="E131" s="21" t="str">
        <f t="shared" si="10"/>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1"/>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180</v>
      </c>
      <c r="E132" s="21" t="str">
        <f t="shared" si="10"/>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1"/>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4" spans="1:12" x14ac:dyDescent="0.3">
      <c r="A134" t="s">
        <v>246</v>
      </c>
    </row>
    <row r="135" spans="1:12" x14ac:dyDescent="0.3">
      <c r="A135" t="s">
        <v>247</v>
      </c>
      <c r="B135" s="20" t="s">
        <v>169</v>
      </c>
      <c r="C135" s="20" t="s">
        <v>170</v>
      </c>
      <c r="D135" s="20" t="s">
        <v>149</v>
      </c>
      <c r="E135" s="21"/>
      <c r="F135" s="22" t="s">
        <v>552</v>
      </c>
      <c r="G135" s="23"/>
      <c r="H135" s="24" t="str">
        <f t="shared" ref="H135:H180" ca="1" si="12">IF(J135&lt;&gt;1,"",IF(I135="SBJ","CB","?"))</f>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248</v>
      </c>
      <c r="E136" s="21" t="str">
        <f t="shared" ref="E136:E180" si="13">IF(D136="?OLD","!!!","")</f>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12"/>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249</v>
      </c>
      <c r="B137" s="20" t="s">
        <v>250</v>
      </c>
      <c r="E137" s="21" t="str">
        <f t="shared" si="13"/>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2"/>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251</v>
      </c>
      <c r="E138" s="21" t="str">
        <f t="shared" si="13"/>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2"/>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252</v>
      </c>
      <c r="E139" s="21" t="str">
        <f t="shared" si="13"/>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2"/>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202</v>
      </c>
      <c r="E140" s="21" t="str">
        <f t="shared" si="13"/>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2"/>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230</v>
      </c>
      <c r="E141" s="21" t="str">
        <f t="shared" si="13"/>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2"/>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12</v>
      </c>
      <c r="B142" s="20" t="s">
        <v>147</v>
      </c>
      <c r="C142" s="20" t="s">
        <v>148</v>
      </c>
      <c r="D142" s="20" t="s">
        <v>149</v>
      </c>
      <c r="E142" s="21" t="s">
        <v>546</v>
      </c>
      <c r="F142" s="22" t="str">
        <f>IF(OR(E142="",E142="!!!"),"",IF(NOT(ISNA(VLOOKUP(E142,E$1:E141,1,FALSE()))),"OLD",IF(AND(E142&lt;&gt;"",E142&lt;&gt;"!!!"),"NEW","")))</f>
        <v>OLD</v>
      </c>
      <c r="G142" s="23" t="s">
        <v>565</v>
      </c>
      <c r="H142" s="24" t="str">
        <f t="shared" ca="1" si="12"/>
        <v/>
      </c>
      <c r="I142" s="25" t="str">
        <f>IF(OR(E142="",E142="!!!",F142="NEW"),"",INDEX(B$2:B141,-1+SUMPRODUCT(MAX(ROW(E$2:E141)*(E142=E$2:E141)))))</f>
        <v>other</v>
      </c>
      <c r="J142" s="25">
        <f ca="1">IF(OR(E142="",E142="!!!",F142="NEW"),"",COUNTBLANK(OFFSET(A$1,,,SUMPRODUCT(MAX(ROW(E$2:E142)*(E142=E$2:E142)))))-COUNTBLANK(OFFSET(A$1,,,SUMPRODUCT(MAX(ROW(E$1:E141)*(E2=E$1:E141))))))</f>
        <v>0</v>
      </c>
      <c r="K142" s="25">
        <f ca="1">IF(OR(E142="",E142="!!!",F142="NEW"),"",INDEX(J$1:J141,SUMPRODUCT(MAX(ROW(E$1:E141)*(E142=E$1:E141)))))</f>
        <v>0</v>
      </c>
      <c r="L142" s="26"/>
    </row>
    <row r="143" spans="1:12" x14ac:dyDescent="0.3">
      <c r="A143" t="s">
        <v>150</v>
      </c>
      <c r="E143" s="21" t="str">
        <f t="shared" si="13"/>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2"/>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11</v>
      </c>
      <c r="E144" s="21" t="str">
        <f t="shared" si="13"/>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2"/>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253</v>
      </c>
      <c r="E145" s="21" t="str">
        <f t="shared" si="13"/>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2"/>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151</v>
      </c>
      <c r="E146" s="21" t="str">
        <f t="shared" si="13"/>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2"/>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152</v>
      </c>
      <c r="E147" s="21" t="str">
        <f t="shared" si="13"/>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2"/>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254</v>
      </c>
      <c r="B148" s="20" t="s">
        <v>147</v>
      </c>
      <c r="C148" s="20" t="s">
        <v>154</v>
      </c>
      <c r="E148" s="21" t="str">
        <f t="shared" si="13"/>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2"/>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151</v>
      </c>
      <c r="E149" s="21" t="str">
        <f t="shared" si="13"/>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2"/>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162</v>
      </c>
      <c r="B150" s="20" t="s">
        <v>163</v>
      </c>
      <c r="E150" s="21" t="str">
        <f t="shared" si="13"/>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2"/>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202</v>
      </c>
      <c r="E151" s="21" t="str">
        <f t="shared" si="13"/>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2"/>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230</v>
      </c>
      <c r="E152" s="21" t="str">
        <f t="shared" si="13"/>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2"/>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255</v>
      </c>
      <c r="B153" s="20" t="s">
        <v>161</v>
      </c>
      <c r="C153" s="20" t="s">
        <v>178</v>
      </c>
      <c r="D153" s="20" t="s">
        <v>149</v>
      </c>
      <c r="E153" s="21" t="s">
        <v>560</v>
      </c>
      <c r="F153" s="22" t="str">
        <f>IF(OR(E153="",E153="!!!"),"",IF(NOT(ISNA(VLOOKUP(E153,E$1:E152,1,FALSE()))),"OLD",IF(AND(E153&lt;&gt;"",E153&lt;&gt;"!!!"),"NEW","")))</f>
        <v>NEW</v>
      </c>
      <c r="G153" s="23" t="s">
        <v>572</v>
      </c>
      <c r="H153" s="24" t="str">
        <f t="shared" ca="1" si="12"/>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t="s">
        <v>591</v>
      </c>
    </row>
    <row r="154" spans="1:12" x14ac:dyDescent="0.3">
      <c r="A154" t="s">
        <v>256</v>
      </c>
      <c r="E154" s="21" t="str">
        <f t="shared" si="13"/>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2"/>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151</v>
      </c>
      <c r="E155" s="21" t="str">
        <f t="shared" si="13"/>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2"/>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162</v>
      </c>
      <c r="B156" s="20" t="s">
        <v>177</v>
      </c>
      <c r="E156" s="21" t="str">
        <f t="shared" si="13"/>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2"/>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257</v>
      </c>
      <c r="E157" s="21" t="str">
        <f t="shared" si="13"/>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2"/>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258</v>
      </c>
      <c r="E158" s="21" t="str">
        <f t="shared" si="13"/>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2"/>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162</v>
      </c>
      <c r="E159" s="21" t="str">
        <f t="shared" si="13"/>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2"/>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233</v>
      </c>
      <c r="B160" s="20" t="s">
        <v>157</v>
      </c>
      <c r="C160" s="20" t="s">
        <v>178</v>
      </c>
      <c r="D160" s="20" t="s">
        <v>149</v>
      </c>
      <c r="E160" s="21" t="s">
        <v>556</v>
      </c>
      <c r="F160" s="22" t="str">
        <f>IF(OR(E160="",E160="!!!"),"",IF(NOT(ISNA(VLOOKUP(E160,E$1:E159,1,FALSE()))),"OLD",IF(AND(E160&lt;&gt;"",E160&lt;&gt;"!!!"),"NEW","")))</f>
        <v>OLD</v>
      </c>
      <c r="G160" s="23" t="s">
        <v>590</v>
      </c>
      <c r="H160" s="24" t="str">
        <f t="shared" ca="1" si="12"/>
        <v/>
      </c>
      <c r="I160" s="25" t="str">
        <f>IF(OR(E160="",E160="!!!",F160="NEW"),"",INDEX(B$2:B159,-1+SUMPRODUCT(MAX(ROW(E$2:E159)*(E160=E$2:E159)))))</f>
        <v>other</v>
      </c>
      <c r="J160" s="25">
        <f ca="1">IF(OR(E160="",E160="!!!",F160="NEW"),"",COUNTBLANK(OFFSET(A$1,,,SUMPRODUCT(MAX(ROW(E$2:E160)*(E160=E$2:E160)))))-COUNTBLANK(OFFSET(A$1,,,SUMPRODUCT(MAX(ROW(E$1:E159)*(E2=E$1:E159))))))</f>
        <v>0</v>
      </c>
      <c r="K160" s="25" t="str">
        <f ca="1">IF(OR(E160="",E160="!!!",F160="NEW"),"",INDEX(J$1:J159,SUMPRODUCT(MAX(ROW(E$1:E159)*(E160=E$1:E159)))))</f>
        <v/>
      </c>
      <c r="L160" s="26"/>
    </row>
    <row r="161" spans="1:12" x14ac:dyDescent="0.3">
      <c r="A161" t="s">
        <v>206</v>
      </c>
      <c r="E161" s="21" t="str">
        <f t="shared" si="13"/>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12"/>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230</v>
      </c>
      <c r="E162" s="21" t="str">
        <f t="shared" si="13"/>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2"/>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259</v>
      </c>
      <c r="B163" s="20" t="s">
        <v>157</v>
      </c>
      <c r="C163" s="20" t="s">
        <v>178</v>
      </c>
      <c r="D163" s="20" t="s">
        <v>149</v>
      </c>
      <c r="E163" s="21" t="s">
        <v>559</v>
      </c>
      <c r="F163" s="22" t="str">
        <f>IF(OR(E163="",E163="!!!"),"",IF(NOT(ISNA(VLOOKUP(E163,E$1:E162,1,FALSE()))),"OLD",IF(AND(E163&lt;&gt;"",E163&lt;&gt;"!!!"),"NEW","")))</f>
        <v>NEW</v>
      </c>
      <c r="G163" s="23" t="s">
        <v>572</v>
      </c>
      <c r="H163" s="24" t="str">
        <f t="shared" ca="1" si="12"/>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260</v>
      </c>
      <c r="E164" s="21" t="str">
        <f t="shared" si="13"/>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2"/>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261</v>
      </c>
      <c r="E165" s="21" t="str">
        <f t="shared" si="13"/>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2"/>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262</v>
      </c>
      <c r="E166" s="21" t="str">
        <f t="shared" si="13"/>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2"/>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263</v>
      </c>
      <c r="E167" s="21" t="str">
        <f t="shared" si="13"/>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2"/>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264</v>
      </c>
      <c r="E168" s="21" t="str">
        <f t="shared" si="13"/>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2"/>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265</v>
      </c>
      <c r="E169" s="21" t="s">
        <v>575</v>
      </c>
      <c r="F169" s="22" t="str">
        <f>IF(OR(E169="",E169="!!!"),"",IF(NOT(ISNA(VLOOKUP(E169,E$1:E168,1,FALSE()))),"OLD",IF(AND(E169&lt;&gt;"",E169&lt;&gt;"!!!"),"NEW","")))</f>
        <v>NEW</v>
      </c>
      <c r="G169" s="23" t="s">
        <v>572</v>
      </c>
      <c r="H169" s="24" t="str">
        <f t="shared" ca="1" si="12"/>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t="s">
        <v>576</v>
      </c>
    </row>
    <row r="170" spans="1:12" x14ac:dyDescent="0.3">
      <c r="A170" t="s">
        <v>152</v>
      </c>
      <c r="E170" s="21" t="str">
        <f t="shared" si="13"/>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2"/>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266</v>
      </c>
      <c r="B171" s="20" t="s">
        <v>163</v>
      </c>
      <c r="C171" s="20" t="s">
        <v>154</v>
      </c>
      <c r="E171" s="21" t="str">
        <f t="shared" si="13"/>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2"/>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151</v>
      </c>
      <c r="E172" s="21" t="str">
        <f t="shared" si="13"/>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2"/>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267</v>
      </c>
      <c r="B173" s="20" t="s">
        <v>186</v>
      </c>
      <c r="C173" s="20" t="s">
        <v>158</v>
      </c>
      <c r="E173" s="21" t="str">
        <f t="shared" si="13"/>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2"/>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159</v>
      </c>
      <c r="E174" s="21" t="str">
        <f t="shared" si="13"/>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2"/>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268</v>
      </c>
      <c r="E175" s="21" t="str">
        <f t="shared" si="13"/>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2"/>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269</v>
      </c>
      <c r="B176" s="20" t="s">
        <v>186</v>
      </c>
      <c r="C176" s="20" t="s">
        <v>158</v>
      </c>
      <c r="E176" s="21" t="str">
        <f t="shared" si="13"/>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2"/>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11</v>
      </c>
      <c r="E177" s="21" t="str">
        <f t="shared" si="13"/>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2"/>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270</v>
      </c>
      <c r="E178" s="21" t="str">
        <f t="shared" si="13"/>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2"/>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271</v>
      </c>
      <c r="E179" s="21" t="str">
        <f t="shared" si="13"/>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2"/>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180</v>
      </c>
      <c r="E180" s="21" t="str">
        <f t="shared" si="13"/>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2"/>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2" spans="1:12" x14ac:dyDescent="0.3">
      <c r="A182" t="s">
        <v>272</v>
      </c>
    </row>
    <row r="183" spans="1:12" x14ac:dyDescent="0.3">
      <c r="A183" t="s">
        <v>273</v>
      </c>
      <c r="E183" s="21" t="str">
        <f t="shared" ref="E183:E206" si="14">IF(D183="?OLD","!!!","")</f>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ref="H183:H206" ca="1" si="15">IF(J183&lt;&gt;1,"",IF(I183="SBJ","CB","?"))</f>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274</v>
      </c>
      <c r="E184" s="21" t="str">
        <f t="shared" si="14"/>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5"/>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275</v>
      </c>
      <c r="B185" s="20" t="s">
        <v>169</v>
      </c>
      <c r="C185" s="20" t="s">
        <v>276</v>
      </c>
      <c r="E185" s="21" t="str">
        <f t="shared" si="14"/>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5"/>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277</v>
      </c>
      <c r="E186" s="21" t="str">
        <f t="shared" si="14"/>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5"/>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278</v>
      </c>
      <c r="B187" s="20" t="s">
        <v>157</v>
      </c>
      <c r="C187" s="20" t="s">
        <v>178</v>
      </c>
      <c r="D187" s="20" t="s">
        <v>149</v>
      </c>
      <c r="E187" s="21" t="s">
        <v>561</v>
      </c>
      <c r="F187" s="22" t="str">
        <f>IF(OR(E187="",E187="!!!"),"",IF(NOT(ISNA(VLOOKUP(E187,E$1:E186,1,FALSE()))),"OLD",IF(AND(E187&lt;&gt;"",E187&lt;&gt;"!!!"),"NEW","")))</f>
        <v>NEW</v>
      </c>
      <c r="G187" s="23" t="s">
        <v>565</v>
      </c>
      <c r="H187" s="24" t="str">
        <f t="shared" ca="1" si="15"/>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279</v>
      </c>
      <c r="E188" s="21" t="str">
        <f t="shared" si="14"/>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5"/>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280</v>
      </c>
      <c r="E189" s="21" t="str">
        <f t="shared" si="14"/>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5"/>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281</v>
      </c>
      <c r="B190" s="20" t="s">
        <v>169</v>
      </c>
      <c r="C190" s="20" t="s">
        <v>178</v>
      </c>
      <c r="D190" s="20" t="s">
        <v>149</v>
      </c>
      <c r="E190" s="21"/>
      <c r="F190" s="22" t="s">
        <v>557</v>
      </c>
      <c r="G190" s="23" t="str">
        <f>IF(OR(E190="",E190="!!!"),"",IF(OR(J190=0,AND(J190=1,K190=1),AND(J190=1,I190="SBJ"),AND(J190=1,I190=0)),"?IN_FOCUS",IF(J190&lt;=2,"?ACTIVATED",IF(J190&lt;&gt;"","?FAMILIAR",IF(F190="NEW",IF(ISNA(VLOOKUP(E190,#REF!,1,FALSE())),"?TYPE_IDENTIFIABLE","?REFERENTIAL"),"_")))))</f>
        <v/>
      </c>
      <c r="H190" s="24" t="str">
        <f t="shared" ca="1" si="15"/>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282</v>
      </c>
      <c r="E191" s="21" t="str">
        <f t="shared" si="14"/>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5"/>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277</v>
      </c>
      <c r="E192" s="21" t="str">
        <f t="shared" si="14"/>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5"/>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283</v>
      </c>
      <c r="B193" s="20" t="s">
        <v>147</v>
      </c>
      <c r="C193" s="20" t="s">
        <v>178</v>
      </c>
      <c r="D193" s="20" t="s">
        <v>149</v>
      </c>
      <c r="E193" s="21" t="s">
        <v>570</v>
      </c>
      <c r="F193" s="22" t="str">
        <f>IF(OR(E193="",E193="!!!"),"",IF(NOT(ISNA(VLOOKUP(E193,E$1:E192,1,FALSE()))),"OLD",IF(AND(E193&lt;&gt;"",E193&lt;&gt;"!!!"),"NEW","")))</f>
        <v>NEW</v>
      </c>
      <c r="G193" s="23" t="s">
        <v>572</v>
      </c>
      <c r="H193" s="24" t="str">
        <f t="shared" ca="1" si="15"/>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284</v>
      </c>
      <c r="E194" s="21" t="str">
        <f t="shared" si="14"/>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5"/>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285</v>
      </c>
      <c r="B195" s="20" t="s">
        <v>157</v>
      </c>
      <c r="C195" s="20" t="s">
        <v>178</v>
      </c>
      <c r="D195" s="20" t="s">
        <v>149</v>
      </c>
      <c r="E195" s="21" t="s">
        <v>546</v>
      </c>
      <c r="F195" s="22" t="str">
        <f>IF(OR(E195="",E195="!!!"),"",IF(NOT(ISNA(VLOOKUP(E195,E$1:E194,1,FALSE()))),"OLD",IF(AND(E195&lt;&gt;"",E195&lt;&gt;"!!!"),"NEW","")))</f>
        <v>OLD</v>
      </c>
      <c r="G195" s="23" t="s">
        <v>568</v>
      </c>
      <c r="H195" s="24" t="s">
        <v>142</v>
      </c>
      <c r="I195" s="25" t="str">
        <f>IF(OR(E195="",E195="!!!",F195="NEW"),"",INDEX(B$2:B194,-1+SUMPRODUCT(MAX(ROW(E$2:E194)*(E195=E$2:E194)))))</f>
        <v>other</v>
      </c>
      <c r="J195" s="25">
        <f ca="1">IF(OR(E195="",E195="!!!",F195="NEW"),"",COUNTBLANK(OFFSET(A$1,,,SUMPRODUCT(MAX(ROW(E$2:E195)*(E195=E$2:E195)))))-COUNTBLANK(OFFSET(A$1,,,SUMPRODUCT(MAX(ROW(E$1:E194)*(E2=E$1:E194))))))</f>
        <v>0</v>
      </c>
      <c r="K195" s="25">
        <f ca="1">IF(OR(E195="",E195="!!!",F195="NEW"),"",INDEX(J$1:J194,SUMPRODUCT(MAX(ROW(E$1:E194)*(E195=E$1:E194)))))</f>
        <v>0</v>
      </c>
      <c r="L195" s="26"/>
    </row>
    <row r="196" spans="1:12" x14ac:dyDescent="0.3">
      <c r="A196" t="s">
        <v>206</v>
      </c>
      <c r="E196" s="21" t="str">
        <f t="shared" si="14"/>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5"/>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230</v>
      </c>
      <c r="E197" s="21" t="str">
        <f t="shared" si="14"/>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5"/>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286</v>
      </c>
      <c r="B198" s="20" t="s">
        <v>147</v>
      </c>
      <c r="C198" s="20" t="s">
        <v>148</v>
      </c>
      <c r="D198" s="20" t="s">
        <v>149</v>
      </c>
      <c r="E198" s="21" t="s">
        <v>562</v>
      </c>
      <c r="F198" s="22" t="str">
        <f>IF(OR(E198="",E198="!!!"),"",IF(NOT(ISNA(VLOOKUP(E198,E$1:E197,1,FALSE()))),"OLD",IF(AND(E198&lt;&gt;"",E198&lt;&gt;"!!!"),"NEW","")))</f>
        <v>NEW</v>
      </c>
      <c r="G198" s="23" t="s">
        <v>565</v>
      </c>
      <c r="H198" s="24" t="str">
        <f t="shared" ca="1" si="15"/>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151</v>
      </c>
      <c r="E199" s="21" t="str">
        <f t="shared" si="14"/>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5"/>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287</v>
      </c>
      <c r="B200" s="20" t="s">
        <v>157</v>
      </c>
      <c r="C200" s="20" t="s">
        <v>148</v>
      </c>
      <c r="D200" s="20" t="s">
        <v>149</v>
      </c>
      <c r="E200" s="21" t="s">
        <v>563</v>
      </c>
      <c r="F200" s="22" t="str">
        <f>IF(OR(E200="",E200="!!!"),"",IF(NOT(ISNA(VLOOKUP(E200,E$1:E199,1,FALSE()))),"OLD",IF(AND(E200&lt;&gt;"",E200&lt;&gt;"!!!"),"NEW","")))</f>
        <v>NEW</v>
      </c>
      <c r="G200" s="23" t="s">
        <v>565</v>
      </c>
      <c r="H200" s="24" t="str">
        <f t="shared" ca="1" si="15"/>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159</v>
      </c>
      <c r="E201" s="21" t="str">
        <f t="shared" si="14"/>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5"/>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288</v>
      </c>
      <c r="B202" s="20" t="s">
        <v>157</v>
      </c>
      <c r="C202" s="20" t="s">
        <v>148</v>
      </c>
      <c r="D202" s="20" t="s">
        <v>149</v>
      </c>
      <c r="E202" s="21" t="s">
        <v>564</v>
      </c>
      <c r="F202" s="22" t="str">
        <f>IF(OR(E202="",E202="!!!"),"",IF(NOT(ISNA(VLOOKUP(E202,E$1:E201,1,FALSE()))),"OLD",IF(AND(E202&lt;&gt;"",E202&lt;&gt;"!!!"),"NEW","")))</f>
        <v>NEW</v>
      </c>
      <c r="G202" s="23" t="s">
        <v>565</v>
      </c>
      <c r="H202" s="24" t="str">
        <f t="shared" ca="1" si="15"/>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289</v>
      </c>
      <c r="B203" s="20" t="s">
        <v>157</v>
      </c>
      <c r="C203" s="20" t="s">
        <v>158</v>
      </c>
      <c r="E203" s="21" t="str">
        <f t="shared" si="14"/>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5"/>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290</v>
      </c>
      <c r="B204" s="20" t="s">
        <v>147</v>
      </c>
      <c r="C204" s="20" t="s">
        <v>148</v>
      </c>
      <c r="D204" s="20" t="s">
        <v>149</v>
      </c>
      <c r="E204" s="21"/>
      <c r="F204" s="22" t="s">
        <v>552</v>
      </c>
      <c r="G204" s="23" t="str">
        <f>IF(OR(E204="",E204="!!!"),"",IF(OR(J204=0,AND(J204=1,K204=1),AND(J204=1,I204="SBJ"),AND(J204=1,I204=0)),"?IN_FOCUS",IF(J204&lt;=2,"?ACTIVATED",IF(J204&lt;&gt;"","?FAMILIAR",IF(F204="NEW",IF(ISNA(VLOOKUP(E204,#REF!,1,FALSE())),"?TYPE_IDENTIFIABLE","?REFERENTIAL"),"_")))))</f>
        <v/>
      </c>
      <c r="H204" s="24" t="str">
        <f t="shared" ca="1" si="15"/>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291</v>
      </c>
      <c r="E205" s="21" t="str">
        <f t="shared" si="14"/>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5"/>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180</v>
      </c>
      <c r="E206" s="21" t="str">
        <f t="shared" si="14"/>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5"/>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8" spans="1:12" x14ac:dyDescent="0.3">
      <c r="A208" t="s">
        <v>292</v>
      </c>
    </row>
    <row r="209" spans="1:12" x14ac:dyDescent="0.3">
      <c r="A209" t="s">
        <v>224</v>
      </c>
      <c r="E209" s="21" t="str">
        <f t="shared" ref="E209:E225" si="16">IF(D209="?OLD","!!!","")</f>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ref="H209:H225" ca="1" si="17">IF(J209&lt;&gt;1,"",IF(I209="SBJ","CB","?"))</f>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293</v>
      </c>
      <c r="B210" s="20" t="s">
        <v>169</v>
      </c>
      <c r="C210" s="20" t="s">
        <v>178</v>
      </c>
      <c r="D210" s="20" t="s">
        <v>149</v>
      </c>
      <c r="E210" s="21" t="s">
        <v>570</v>
      </c>
      <c r="F210" s="22" t="str">
        <f>IF(OR(E210="",E210="!!!"),"",IF(NOT(ISNA(VLOOKUP(E210,E$1:E209,1,FALSE()))),"OLD",IF(AND(E210&lt;&gt;"",E210&lt;&gt;"!!!"),"NEW","")))</f>
        <v>OLD</v>
      </c>
      <c r="G210" s="23" t="s">
        <v>590</v>
      </c>
      <c r="H210" s="24" t="s">
        <v>142</v>
      </c>
      <c r="I210" s="25" t="str">
        <f>IF(OR(E210="",E210="!!!",F210="NEW"),"",INDEX(B$2:B209,-1+SUMPRODUCT(MAX(ROW(E$2:E209)*(E210=E$2:E209)))))</f>
        <v>other</v>
      </c>
      <c r="J210" s="25">
        <f ca="1">IF(OR(E210="",E210="!!!",F210="NEW"),"",COUNTBLANK(OFFSET(A$1,,,SUMPRODUCT(MAX(ROW(E$2:E210)*(E210=E$2:E210)))))-COUNTBLANK(OFFSET(A$1,,,SUMPRODUCT(MAX(ROW(E$1:E209)*(E2=E$1:E209))))))</f>
        <v>0</v>
      </c>
      <c r="K210" s="25" t="str">
        <f ca="1">IF(OR(E210="",E210="!!!",F210="NEW"),"",INDEX(J$1:J209,SUMPRODUCT(MAX(ROW(E$1:E209)*(E210=E$1:E209)))))</f>
        <v/>
      </c>
      <c r="L210" s="26"/>
    </row>
    <row r="211" spans="1:12" x14ac:dyDescent="0.3">
      <c r="A211" t="s">
        <v>206</v>
      </c>
      <c r="E211" s="21" t="str">
        <f t="shared" si="16"/>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7"/>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294</v>
      </c>
      <c r="E212" s="21" t="str">
        <f t="shared" si="16"/>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7"/>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295</v>
      </c>
      <c r="B213" s="20" t="s">
        <v>157</v>
      </c>
      <c r="C213" s="20" t="s">
        <v>158</v>
      </c>
      <c r="E213" s="21" t="str">
        <f t="shared" si="16"/>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7"/>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205</v>
      </c>
      <c r="E214" s="21" t="str">
        <f t="shared" si="16"/>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7"/>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296</v>
      </c>
      <c r="E215" s="21" t="str">
        <f t="shared" si="16"/>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7"/>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162</v>
      </c>
      <c r="E216" s="21" t="str">
        <f t="shared" si="16"/>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7"/>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297</v>
      </c>
      <c r="E217" s="21" t="str">
        <f t="shared" si="16"/>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7"/>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298</v>
      </c>
      <c r="B218" s="20" t="s">
        <v>147</v>
      </c>
      <c r="C218" s="20" t="s">
        <v>178</v>
      </c>
      <c r="D218" s="20" t="s">
        <v>149</v>
      </c>
      <c r="E218" s="21" t="s">
        <v>592</v>
      </c>
      <c r="F218" s="22" t="str">
        <f>IF(OR(E218="",E218="!!!"),"",IF(NOT(ISNA(VLOOKUP(E218,E$1:E217,1,FALSE()))),"OLD",IF(AND(E218&lt;&gt;"",E218&lt;&gt;"!!!"),"NEW","")))</f>
        <v>NEW</v>
      </c>
      <c r="G218" s="23" t="s">
        <v>572</v>
      </c>
      <c r="H218" s="24" t="str">
        <f t="shared" ca="1" si="17"/>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299</v>
      </c>
      <c r="E219" s="21" t="str">
        <f t="shared" si="16"/>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7"/>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151</v>
      </c>
      <c r="E220" s="21" t="str">
        <f t="shared" si="16"/>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7"/>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162</v>
      </c>
      <c r="B221" s="20" t="s">
        <v>177</v>
      </c>
      <c r="E221" s="21" t="str">
        <f t="shared" si="16"/>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7"/>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162</v>
      </c>
      <c r="E222" s="21" t="str">
        <f t="shared" si="16"/>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7"/>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300</v>
      </c>
      <c r="B223" s="20" t="s">
        <v>177</v>
      </c>
      <c r="C223" s="20" t="s">
        <v>178</v>
      </c>
      <c r="D223" s="20" t="s">
        <v>149</v>
      </c>
      <c r="E223" s="21" t="s">
        <v>593</v>
      </c>
      <c r="F223" s="22" t="str">
        <f>IF(OR(E223="",E223="!!!"),"",IF(NOT(ISNA(VLOOKUP(E223,E$1:E222,1,FALSE()))),"OLD",IF(AND(E223&lt;&gt;"",E223&lt;&gt;"!!!"),"NEW","")))</f>
        <v>NEW</v>
      </c>
      <c r="G223" s="23" t="s">
        <v>572</v>
      </c>
      <c r="H223" s="24" t="str">
        <f t="shared" ca="1" si="17"/>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301</v>
      </c>
      <c r="E224" s="21" t="str">
        <f t="shared" si="16"/>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7"/>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180</v>
      </c>
      <c r="E225" s="21" t="str">
        <f t="shared" si="16"/>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7"/>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7" spans="1:12" x14ac:dyDescent="0.3">
      <c r="A227" t="s">
        <v>302</v>
      </c>
    </row>
    <row r="228" spans="1:12" x14ac:dyDescent="0.3">
      <c r="A228" t="s">
        <v>303</v>
      </c>
      <c r="E228" s="21" t="str">
        <f t="shared" ref="E228:E244" si="18">IF(D228="?OLD","!!!","")</f>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ref="H228:H244" ca="1" si="19">IF(J228&lt;&gt;1,"",IF(I228="SBJ","CB","?"))</f>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304</v>
      </c>
      <c r="E229" s="21" t="str">
        <f t="shared" si="18"/>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9"/>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305</v>
      </c>
      <c r="B230" s="20" t="s">
        <v>147</v>
      </c>
      <c r="C230" s="20" t="s">
        <v>276</v>
      </c>
      <c r="E230" s="21" t="str">
        <f t="shared" si="18"/>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9"/>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306</v>
      </c>
      <c r="E231" s="21" t="str">
        <f t="shared" si="18"/>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9"/>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12</v>
      </c>
      <c r="B232" s="20" t="s">
        <v>169</v>
      </c>
      <c r="C232" s="20" t="s">
        <v>148</v>
      </c>
      <c r="D232" s="20" t="s">
        <v>149</v>
      </c>
      <c r="E232" s="21" t="s">
        <v>546</v>
      </c>
      <c r="F232" s="22" t="str">
        <f>IF(OR(E232="",E232="!!!"),"",IF(NOT(ISNA(VLOOKUP(E232,E$1:E231,1,FALSE()))),"OLD",IF(AND(E232&lt;&gt;"",E232&lt;&gt;"!!!"),"NEW","")))</f>
        <v>OLD</v>
      </c>
      <c r="G232" s="23" t="s">
        <v>590</v>
      </c>
      <c r="H232" s="24" t="s">
        <v>142</v>
      </c>
      <c r="I232" s="25" t="str">
        <f>IF(OR(E232="",E232="!!!",F232="NEW"),"",INDEX(B$2:B231,-1+SUMPRODUCT(MAX(ROW(E$2:E231)*(E232=E$2:E231)))))</f>
        <v>other_2</v>
      </c>
      <c r="J232" s="25">
        <f ca="1">IF(OR(E232="",E232="!!!",F232="NEW"),"",COUNTBLANK(OFFSET(A$1,,,SUMPRODUCT(MAX(ROW(E$2:E232)*(E232=E$2:E232)))))-COUNTBLANK(OFFSET(A$1,,,SUMPRODUCT(MAX(ROW(E$1:E231)*(E2=E$1:E231))))))</f>
        <v>0</v>
      </c>
      <c r="K232" s="25">
        <f ca="1">IF(OR(E232="",E232="!!!",F232="NEW"),"",INDEX(J$1:J231,SUMPRODUCT(MAX(ROW(E$1:E231)*(E232=E$1:E231)))))</f>
        <v>0</v>
      </c>
      <c r="L232" s="26"/>
    </row>
    <row r="233" spans="1:12" x14ac:dyDescent="0.3">
      <c r="A233" t="s">
        <v>150</v>
      </c>
      <c r="E233" s="21" t="str">
        <f t="shared" si="18"/>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9"/>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191</v>
      </c>
      <c r="E234" s="21" t="str">
        <f t="shared" si="18"/>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19"/>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307</v>
      </c>
      <c r="B235" s="20" t="s">
        <v>250</v>
      </c>
      <c r="C235" s="20" t="s">
        <v>158</v>
      </c>
      <c r="E235" s="21" t="str">
        <f t="shared" si="18"/>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9"/>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308</v>
      </c>
      <c r="E236" s="21" t="str">
        <f t="shared" si="18"/>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9"/>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309</v>
      </c>
      <c r="B237" s="20" t="s">
        <v>147</v>
      </c>
      <c r="C237" s="20" t="s">
        <v>276</v>
      </c>
      <c r="E237" s="21" t="s">
        <v>566</v>
      </c>
      <c r="F237" s="22" t="str">
        <f>IF(OR(E237="",E237="!!!"),"",IF(NOT(ISNA(VLOOKUP(E237,E$1:E236,1,FALSE()))),"OLD",IF(AND(E237&lt;&gt;"",E237&lt;&gt;"!!!"),"NEW","")))</f>
        <v>NEW</v>
      </c>
      <c r="G237" s="23" t="s">
        <v>565</v>
      </c>
      <c r="H237" s="24" t="str">
        <f t="shared" ca="1" si="19"/>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159</v>
      </c>
      <c r="E238" s="21" t="str">
        <f t="shared" si="18"/>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9"/>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310</v>
      </c>
      <c r="E239" s="21" t="str">
        <f t="shared" si="18"/>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9"/>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311</v>
      </c>
      <c r="E240" s="21" t="str">
        <f t="shared" si="18"/>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19"/>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274</v>
      </c>
      <c r="E241" s="21" t="str">
        <f t="shared" si="18"/>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9"/>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174</v>
      </c>
      <c r="E242" s="21" t="str">
        <f t="shared" si="18"/>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9"/>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312</v>
      </c>
      <c r="B243" s="20" t="s">
        <v>161</v>
      </c>
      <c r="C243" s="20" t="s">
        <v>148</v>
      </c>
      <c r="D243" s="20" t="s">
        <v>149</v>
      </c>
      <c r="E243" s="21" t="s">
        <v>567</v>
      </c>
      <c r="F243" s="22" t="str">
        <f>IF(OR(E243="",E243="!!!"),"",IF(NOT(ISNA(VLOOKUP(E243,E$1:E242,1,FALSE()))),"OLD",IF(AND(E243&lt;&gt;"",E243&lt;&gt;"!!!"),"NEW","")))</f>
        <v>NEW</v>
      </c>
      <c r="G243" s="23" t="s">
        <v>565</v>
      </c>
      <c r="H243" s="24" t="str">
        <f t="shared" ca="1" si="19"/>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180</v>
      </c>
      <c r="E244" s="21" t="str">
        <f t="shared" si="18"/>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9"/>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6" spans="1:12" x14ac:dyDescent="0.3">
      <c r="A246" t="s">
        <v>313</v>
      </c>
    </row>
    <row r="247" spans="1:12" x14ac:dyDescent="0.3">
      <c r="A247" t="s">
        <v>273</v>
      </c>
      <c r="E247" s="21" t="str">
        <f>IF(D247="?OLD","!!!","")</f>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ca="1">IF(J247&lt;&gt;1,"",IF(I247="SBJ","CB","?"))</f>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314</v>
      </c>
      <c r="E248" s="21" t="str">
        <f>IF(D248="?OLD","!!!","")</f>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ca="1">IF(J248&lt;&gt;1,"",IF(I248="SBJ","CB","?"))</f>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194</v>
      </c>
      <c r="B249" s="20" t="s">
        <v>169</v>
      </c>
      <c r="C249" s="20" t="s">
        <v>170</v>
      </c>
      <c r="D249" s="20" t="s">
        <v>149</v>
      </c>
      <c r="E249" s="21" t="s">
        <v>546</v>
      </c>
      <c r="F249" s="22" t="str">
        <f>IF(OR(E249="",E249="!!!"),"",IF(NOT(ISNA(VLOOKUP(E249,E$1:E248,1,FALSE()))),"OLD",IF(AND(E249&lt;&gt;"",E249&lt;&gt;"!!!"),"NEW","")))</f>
        <v>OLD</v>
      </c>
      <c r="G249" s="23" t="s">
        <v>568</v>
      </c>
      <c r="H249" s="24" t="s">
        <v>142</v>
      </c>
      <c r="I249" s="25" t="str">
        <f>IF(OR(E249="",E249="!!!",F249="NEW"),"",INDEX(B$2:B248,-1+SUMPRODUCT(MAX(ROW(E$2:E248)*(E249=E$2:E248)))))</f>
        <v>SBJ</v>
      </c>
      <c r="J249" s="25">
        <f ca="1">IF(OR(E249="",E249="!!!",F249="NEW"),"",COUNTBLANK(OFFSET(A$1,,,SUMPRODUCT(MAX(ROW(E$2:E249)*(E249=E$2:E249)))))-COUNTBLANK(OFFSET(A$1,,,SUMPRODUCT(MAX(ROW(E$1:E248)*(E2=E$1:E248))))))</f>
        <v>0</v>
      </c>
      <c r="K249" s="25">
        <f ca="1">IF(OR(E249="",E249="!!!",F249="NEW"),"",INDEX(J$1:J248,SUMPRODUCT(MAX(ROW(E$1:E248)*(E249=E$1:E248)))))</f>
        <v>0</v>
      </c>
      <c r="L249" s="26"/>
    </row>
    <row r="250" spans="1:12" x14ac:dyDescent="0.3">
      <c r="A250" t="s">
        <v>315</v>
      </c>
      <c r="E250" s="21" t="str">
        <f>IF(D250="?OLD","!!!","")</f>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ca="1">IF(J250&lt;&gt;1,"",IF(I250="SBJ","CB","?"))</f>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316</v>
      </c>
      <c r="E252" s="21" t="str">
        <f>IF(D252="?OLD","!!!","")</f>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ca="1">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317</v>
      </c>
    </row>
    <row r="254" spans="1:12" x14ac:dyDescent="0.3">
      <c r="A254" t="s">
        <v>318</v>
      </c>
      <c r="E254" s="21" t="str">
        <f t="shared" ref="E254:E301" si="20">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ref="H254:H301" ca="1" si="21">IF(J254&lt;&gt;1,"",IF(I254="SBJ","CB","?"))</f>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319</v>
      </c>
      <c r="E255" s="21" t="str">
        <f t="shared" si="20"/>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1"/>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25</v>
      </c>
      <c r="E256" s="21" t="str">
        <f t="shared" si="20"/>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21"/>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162</v>
      </c>
      <c r="E257" s="21" t="str">
        <f t="shared" si="20"/>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1"/>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320</v>
      </c>
      <c r="B258" s="20" t="s">
        <v>169</v>
      </c>
      <c r="C258" s="20" t="s">
        <v>178</v>
      </c>
      <c r="D258" s="20" t="s">
        <v>149</v>
      </c>
      <c r="E258" s="21" t="s">
        <v>569</v>
      </c>
      <c r="F258" s="22" t="str">
        <f>IF(OR(E258="",E258="!!!"),"",IF(NOT(ISNA(VLOOKUP(E258,E$1:E257,1,FALSE()))),"OLD",IF(AND(E258&lt;&gt;"",E258&lt;&gt;"!!!"),"NEW","")))</f>
        <v>NEW</v>
      </c>
      <c r="G258" s="23" t="s">
        <v>572</v>
      </c>
      <c r="H258" s="24" t="str">
        <f t="shared" ca="1" si="21"/>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321</v>
      </c>
      <c r="E259" s="21" t="str">
        <f t="shared" si="20"/>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1"/>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322</v>
      </c>
      <c r="E260" s="21" t="s">
        <v>569</v>
      </c>
      <c r="F260" s="22" t="str">
        <f>IF(OR(E260="",E260="!!!"),"",IF(NOT(ISNA(VLOOKUP(E260,E$1:E259,1,FALSE()))),"OLD",IF(AND(E260&lt;&gt;"",E260&lt;&gt;"!!!"),"NEW","")))</f>
        <v>OLD</v>
      </c>
      <c r="G260" s="23" t="s">
        <v>568</v>
      </c>
      <c r="H260" s="24" t="str">
        <f t="shared" ca="1" si="21"/>
        <v/>
      </c>
      <c r="I260" s="25" t="str">
        <f>IF(OR(E260="",E260="!!!",F260="NEW"),"",INDEX(B$2:B259,-1+SUMPRODUCT(MAX(ROW(E$2:E259)*(E260=E$2:E259)))))</f>
        <v>SBJ</v>
      </c>
      <c r="J260" s="25">
        <f ca="1">IF(OR(E260="",E260="!!!",F260="NEW"),"",COUNTBLANK(OFFSET(A$1,,,SUMPRODUCT(MAX(ROW(E$2:E260)*(E260=E$2:E260)))))-COUNTBLANK(OFFSET(A$1,,,SUMPRODUCT(MAX(ROW(E$1:E259)*(E2=E$1:E259))))))</f>
        <v>0</v>
      </c>
      <c r="K260" s="25" t="str">
        <f ca="1">IF(OR(E260="",E260="!!!",F260="NEW"),"",INDEX(J$1:J259,SUMPRODUCT(MAX(ROW(E$1:E259)*(E260=E$1:E259)))))</f>
        <v/>
      </c>
      <c r="L260" s="26"/>
    </row>
    <row r="261" spans="1:12" x14ac:dyDescent="0.3">
      <c r="A261" t="s">
        <v>235</v>
      </c>
      <c r="B261" s="20" t="s">
        <v>147</v>
      </c>
      <c r="C261" s="20" t="s">
        <v>199</v>
      </c>
      <c r="E261" s="21" t="s">
        <v>571</v>
      </c>
      <c r="F261" s="22" t="str">
        <f>IF(OR(E261="",E261="!!!"),"",IF(NOT(ISNA(VLOOKUP(E261,E$1:E260,1,FALSE()))),"OLD",IF(AND(E261&lt;&gt;"",E261&lt;&gt;"!!!"),"NEW","")))</f>
        <v>NEW</v>
      </c>
      <c r="G261" s="23" t="s">
        <v>572</v>
      </c>
      <c r="H261" s="24" t="str">
        <f t="shared" ca="1" si="21"/>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155</v>
      </c>
      <c r="E262" s="21" t="str">
        <f t="shared" si="20"/>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1"/>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192</v>
      </c>
      <c r="E263" s="21" t="str">
        <f t="shared" si="20"/>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21"/>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159</v>
      </c>
      <c r="E264" s="21" t="str">
        <f t="shared" si="20"/>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1"/>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323</v>
      </c>
      <c r="E265" s="21" t="str">
        <f t="shared" si="20"/>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1"/>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155</v>
      </c>
      <c r="E266" s="21" t="str">
        <f t="shared" si="20"/>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1"/>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324</v>
      </c>
      <c r="B267" s="20" t="s">
        <v>157</v>
      </c>
      <c r="C267" s="20" t="s">
        <v>148</v>
      </c>
      <c r="D267" s="20" t="s">
        <v>149</v>
      </c>
      <c r="E267" s="21" t="s">
        <v>560</v>
      </c>
      <c r="F267" s="22" t="str">
        <f>IF(OR(E267="",E267="!!!"),"",IF(NOT(ISNA(VLOOKUP(E267,E$1:E266,1,FALSE()))),"OLD",IF(AND(E267&lt;&gt;"",E267&lt;&gt;"!!!"),"NEW","")))</f>
        <v>OLD</v>
      </c>
      <c r="G267" s="23" t="s">
        <v>565</v>
      </c>
      <c r="H267" s="24" t="str">
        <f t="shared" ca="1" si="21"/>
        <v/>
      </c>
      <c r="I267" s="25" t="str">
        <f>IF(OR(E267="",E267="!!!",F267="NEW"),"",INDEX(B$2:B266,-1+SUMPRODUCT(MAX(ROW(E$2:E266)*(E267=E$2:E266)))))</f>
        <v>other_3</v>
      </c>
      <c r="J267" s="25">
        <f ca="1">IF(OR(E267="",E267="!!!",F267="NEW"),"",COUNTBLANK(OFFSET(A$1,,,SUMPRODUCT(MAX(ROW(E$2:E267)*(E267=E$2:E267)))))-COUNTBLANK(OFFSET(A$1,,,SUMPRODUCT(MAX(ROW(E$1:E266)*(E2=E$1:E266))))))</f>
        <v>0</v>
      </c>
      <c r="K267" s="25" t="str">
        <f ca="1">IF(OR(E267="",E267="!!!",F267="NEW"),"",INDEX(J$1:J266,SUMPRODUCT(MAX(ROW(E$1:E266)*(E267=E$1:E266)))))</f>
        <v/>
      </c>
      <c r="L267" s="26"/>
    </row>
    <row r="268" spans="1:12" x14ac:dyDescent="0.3">
      <c r="A268" t="s">
        <v>151</v>
      </c>
      <c r="E268" s="21" t="str">
        <f t="shared" si="20"/>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21"/>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162</v>
      </c>
      <c r="B269" s="20" t="s">
        <v>177</v>
      </c>
      <c r="E269" s="21" t="str">
        <f t="shared" si="20"/>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1"/>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321</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325</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326</v>
      </c>
      <c r="B272" s="20" t="s">
        <v>157</v>
      </c>
      <c r="C272" s="20" t="s">
        <v>154</v>
      </c>
      <c r="E272" s="21" t="str">
        <f t="shared" si="20"/>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1"/>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327</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221</v>
      </c>
      <c r="E274" s="21" t="str">
        <f t="shared" si="20"/>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1"/>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159</v>
      </c>
      <c r="E275" s="21" t="str">
        <f t="shared" si="20"/>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1"/>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151</v>
      </c>
      <c r="E276" s="21" t="str">
        <f t="shared" si="20"/>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1"/>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328</v>
      </c>
      <c r="E277" s="21" t="str">
        <f t="shared" si="20"/>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1"/>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329</v>
      </c>
      <c r="B278" s="20" t="s">
        <v>163</v>
      </c>
      <c r="C278" s="20" t="s">
        <v>330</v>
      </c>
      <c r="D278" s="20" t="s">
        <v>149</v>
      </c>
      <c r="E278" s="21" t="s">
        <v>560</v>
      </c>
      <c r="F278" s="22" t="str">
        <f>IF(OR(E278="",E278="!!!"),"",IF(NOT(ISNA(VLOOKUP(E278,E$1:E277,1,FALSE()))),"OLD",IF(AND(E278&lt;&gt;"",E278&lt;&gt;"!!!"),"NEW","")))</f>
        <v>OLD</v>
      </c>
      <c r="G278" s="23" t="s">
        <v>568</v>
      </c>
      <c r="H278" s="24" t="str">
        <f t="shared" ca="1" si="21"/>
        <v/>
      </c>
      <c r="I278" s="25" t="str">
        <f>IF(OR(E278="",E278="!!!",F278="NEW"),"",INDEX(B$2:B277,-1+SUMPRODUCT(MAX(ROW(E$2:E277)*(E278=E$2:E277)))))</f>
        <v>other_2</v>
      </c>
      <c r="J278" s="25">
        <f ca="1">IF(OR(E278="",E278="!!!",F278="NEW"),"",COUNTBLANK(OFFSET(A$1,,,SUMPRODUCT(MAX(ROW(E$2:E278)*(E278=E$2:E278)))))-COUNTBLANK(OFFSET(A$1,,,SUMPRODUCT(MAX(ROW(E$1:E277)*(E2=E$1:E277))))))</f>
        <v>0</v>
      </c>
      <c r="K278" s="25">
        <f ca="1">IF(OR(E278="",E278="!!!",F278="NEW"),"",INDEX(J$1:J277,SUMPRODUCT(MAX(ROW(E$1:E277)*(E278=E$1:E277)))))</f>
        <v>0</v>
      </c>
      <c r="L278" s="26"/>
    </row>
    <row r="279" spans="1:12" x14ac:dyDescent="0.3">
      <c r="A279" t="s">
        <v>331</v>
      </c>
      <c r="E279" s="21" t="str">
        <f t="shared" si="20"/>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1"/>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332</v>
      </c>
      <c r="E280" s="21" t="str">
        <f t="shared" si="20"/>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1"/>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261</v>
      </c>
      <c r="E281" s="21" t="str">
        <f t="shared" si="20"/>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1"/>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151</v>
      </c>
      <c r="E282" s="21" t="str">
        <f t="shared" si="20"/>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1"/>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333</v>
      </c>
      <c r="E283" s="21" t="str">
        <f t="shared" si="20"/>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1"/>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334</v>
      </c>
      <c r="E284" s="21" t="str">
        <f t="shared" si="20"/>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333</v>
      </c>
      <c r="E285" s="21" t="str">
        <f t="shared" si="20"/>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262</v>
      </c>
      <c r="E286" s="21" t="str">
        <f t="shared" si="20"/>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335</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336</v>
      </c>
      <c r="E288" s="21" t="str">
        <f t="shared" si="20"/>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1"/>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337</v>
      </c>
      <c r="B289" s="20" t="s">
        <v>161</v>
      </c>
      <c r="C289" s="20" t="s">
        <v>154</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202</v>
      </c>
      <c r="E290" s="21" t="str">
        <f t="shared" si="20"/>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1"/>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188</v>
      </c>
      <c r="E291" s="21" t="str">
        <f t="shared" si="20"/>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1"/>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338</v>
      </c>
      <c r="B292" s="20" t="s">
        <v>186</v>
      </c>
      <c r="C292" s="20" t="s">
        <v>178</v>
      </c>
      <c r="D292" s="20" t="s">
        <v>149</v>
      </c>
      <c r="E292" s="21" t="s">
        <v>571</v>
      </c>
      <c r="F292" s="22" t="str">
        <f>IF(OR(E292="",E292="!!!"),"",IF(NOT(ISNA(VLOOKUP(E292,E$1:E291,1,FALSE()))),"OLD",IF(AND(E292&lt;&gt;"",E292&lt;&gt;"!!!"),"NEW","")))</f>
        <v>OLD</v>
      </c>
      <c r="G292" s="23" t="s">
        <v>568</v>
      </c>
      <c r="H292" s="24" t="str">
        <f t="shared" ca="1" si="21"/>
        <v/>
      </c>
      <c r="I292" s="25" t="str">
        <f>IF(OR(E292="",E292="!!!",F292="NEW"),"",INDEX(B$2:B291,-1+SUMPRODUCT(MAX(ROW(E$2:E291)*(E292=E$2:E291)))))</f>
        <v>other</v>
      </c>
      <c r="J292" s="25">
        <f ca="1">IF(OR(E292="",E292="!!!",F292="NEW"),"",COUNTBLANK(OFFSET(A$1,,,SUMPRODUCT(MAX(ROW(E$2:E292)*(E292=E$2:E292)))))-COUNTBLANK(OFFSET(A$1,,,SUMPRODUCT(MAX(ROW(E$1:E291)*(E2=E$1:E291))))))</f>
        <v>0</v>
      </c>
      <c r="K292" s="25" t="str">
        <f ca="1">IF(OR(E292="",E292="!!!",F292="NEW"),"",INDEX(J$1:J291,SUMPRODUCT(MAX(ROW(E$1:E291)*(E292=E$1:E291)))))</f>
        <v/>
      </c>
      <c r="L292" s="26"/>
    </row>
    <row r="293" spans="1:12" x14ac:dyDescent="0.3">
      <c r="A293" t="s">
        <v>271</v>
      </c>
      <c r="E293" s="21" t="str">
        <f t="shared" si="20"/>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1"/>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339</v>
      </c>
      <c r="E294" s="21" t="str">
        <f t="shared" si="20"/>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1"/>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333</v>
      </c>
      <c r="E295" s="21" t="str">
        <f t="shared" si="20"/>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1"/>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340</v>
      </c>
      <c r="E296" s="21" t="str">
        <f t="shared" si="20"/>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1"/>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341</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333</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221</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342</v>
      </c>
      <c r="E300" s="21" t="str">
        <f t="shared" si="20"/>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180</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3" spans="1:12" x14ac:dyDescent="0.3">
      <c r="A303" t="s">
        <v>343</v>
      </c>
    </row>
    <row r="304" spans="1:12" x14ac:dyDescent="0.3">
      <c r="A304" t="s">
        <v>344</v>
      </c>
      <c r="E304" s="21" t="str">
        <f t="shared" ref="E304:E331" si="22">IF(D304="?OLD","!!!","")</f>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ref="H304:H331" ca="1" si="23">IF(J304&lt;&gt;1,"",IF(I304="SBJ","CB","?"))</f>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345</v>
      </c>
      <c r="B305" s="20" t="s">
        <v>169</v>
      </c>
      <c r="C305" s="20" t="s">
        <v>154</v>
      </c>
      <c r="E305" s="21" t="s">
        <v>573</v>
      </c>
      <c r="F305" s="22" t="str">
        <f>IF(OR(E305="",E305="!!!"),"",IF(NOT(ISNA(VLOOKUP(E305,E$1:E304,1,FALSE()))),"OLD",IF(AND(E305&lt;&gt;"",E305&lt;&gt;"!!!"),"NEW","")))</f>
        <v>NEW</v>
      </c>
      <c r="G305" s="23" t="s">
        <v>572</v>
      </c>
      <c r="H305" s="24" t="str">
        <f t="shared" ca="1" si="23"/>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151</v>
      </c>
      <c r="E306" s="21" t="str">
        <f t="shared" si="22"/>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3"/>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162</v>
      </c>
      <c r="B307" s="20" t="s">
        <v>163</v>
      </c>
      <c r="E307" s="21" t="str">
        <f t="shared" si="22"/>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3"/>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280</v>
      </c>
      <c r="E308" s="21" t="str">
        <f t="shared" si="22"/>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3"/>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346</v>
      </c>
      <c r="B309" s="20" t="s">
        <v>165</v>
      </c>
      <c r="C309" s="20" t="s">
        <v>178</v>
      </c>
      <c r="D309" s="20" t="s">
        <v>149</v>
      </c>
      <c r="E309" s="21" t="s">
        <v>575</v>
      </c>
      <c r="F309" s="22" t="str">
        <f>IF(OR(E309="",E309="!!!"),"",IF(NOT(ISNA(VLOOKUP(E309,E$1:E308,1,FALSE()))),"OLD",IF(AND(E309&lt;&gt;"",E309&lt;&gt;"!!!"),"NEW","")))</f>
        <v>OLD</v>
      </c>
      <c r="G309" s="23" t="s">
        <v>565</v>
      </c>
      <c r="H309" s="24" t="str">
        <f t="shared" ca="1" si="23"/>
        <v/>
      </c>
      <c r="I309" s="25">
        <f>IF(OR(E309="",E309="!!!",F309="NEW"),"",INDEX(B$2:B308,-1+SUMPRODUCT(MAX(ROW(E$2:E308)*(E309=E$2:E308)))))</f>
        <v>0</v>
      </c>
      <c r="J309" s="25">
        <f ca="1">IF(OR(E309="",E309="!!!",F309="NEW"),"",COUNTBLANK(OFFSET(A$1,,,SUMPRODUCT(MAX(ROW(E$2:E309)*(E309=E$2:E309)))))-COUNTBLANK(OFFSET(A$1,,,SUMPRODUCT(MAX(ROW(E$1:E308)*(E2=E$1:E308))))))</f>
        <v>0</v>
      </c>
      <c r="K309" s="25" t="str">
        <f ca="1">IF(OR(E309="",E309="!!!",F309="NEW"),"",INDEX(J$1:J308,SUMPRODUCT(MAX(ROW(E$1:E308)*(E309=E$1:E308)))))</f>
        <v/>
      </c>
      <c r="L309" s="26"/>
    </row>
    <row r="310" spans="1:12" x14ac:dyDescent="0.3">
      <c r="A310" t="s">
        <v>347</v>
      </c>
      <c r="E310" s="21" t="str">
        <f t="shared" si="22"/>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3"/>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151</v>
      </c>
      <c r="E311" s="21" t="str">
        <f t="shared" si="22"/>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3"/>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308</v>
      </c>
      <c r="E312" s="21" t="str">
        <f t="shared" si="22"/>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3"/>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329</v>
      </c>
      <c r="B313" s="20" t="s">
        <v>348</v>
      </c>
      <c r="C313" s="20" t="s">
        <v>330</v>
      </c>
      <c r="D313" s="20" t="s">
        <v>149</v>
      </c>
      <c r="E313" s="21" t="s">
        <v>573</v>
      </c>
      <c r="F313" s="22" t="str">
        <f>IF(OR(E313="",E313="!!!"),"",IF(NOT(ISNA(VLOOKUP(E313,E$1:E312,1,FALSE()))),"OLD",IF(AND(E313&lt;&gt;"",E313&lt;&gt;"!!!"),"NEW","")))</f>
        <v>OLD</v>
      </c>
      <c r="G313" s="23" t="s">
        <v>568</v>
      </c>
      <c r="H313" s="24" t="str">
        <f t="shared" ca="1" si="23"/>
        <v/>
      </c>
      <c r="I313" s="25" t="str">
        <f>IF(OR(E313="",E313="!!!",F313="NEW"),"",INDEX(B$2:B312,-1+SUMPRODUCT(MAX(ROW(E$2:E312)*(E313=E$2:E312)))))</f>
        <v>SBJ</v>
      </c>
      <c r="J313" s="25">
        <f ca="1">IF(OR(E313="",E313="!!!",F313="NEW"),"",COUNTBLANK(OFFSET(A$1,,,SUMPRODUCT(MAX(ROW(E$2:E313)*(E313=E$2:E313)))))-COUNTBLANK(OFFSET(A$1,,,SUMPRODUCT(MAX(ROW(E$1:E312)*(E2=E$1:E312))))))</f>
        <v>0</v>
      </c>
      <c r="K313" s="25" t="str">
        <f ca="1">IF(OR(E313="",E313="!!!",F313="NEW"),"",INDEX(J$1:J312,SUMPRODUCT(MAX(ROW(E$1:E312)*(E313=E$1:E312)))))</f>
        <v/>
      </c>
      <c r="L313" s="26"/>
    </row>
    <row r="314" spans="1:12" x14ac:dyDescent="0.3">
      <c r="A314" t="s">
        <v>349</v>
      </c>
      <c r="E314" s="21" t="str">
        <f t="shared" si="22"/>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3"/>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350</v>
      </c>
      <c r="E315" s="21" t="str">
        <f t="shared" si="22"/>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3"/>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228</v>
      </c>
      <c r="E316" s="21" t="str">
        <f t="shared" si="22"/>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3"/>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151</v>
      </c>
      <c r="E317" s="21" t="str">
        <f t="shared" si="22"/>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3"/>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351</v>
      </c>
      <c r="E318" s="21" t="str">
        <f t="shared" si="22"/>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3"/>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164</v>
      </c>
      <c r="B319" s="20" t="s">
        <v>250</v>
      </c>
      <c r="E319" s="21" t="str">
        <f t="shared" si="22"/>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3"/>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188</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253</v>
      </c>
      <c r="B321" s="20" t="s">
        <v>250</v>
      </c>
      <c r="C321" s="20" t="s">
        <v>178</v>
      </c>
      <c r="D321" s="20" t="s">
        <v>149</v>
      </c>
      <c r="E321" s="21" t="s">
        <v>574</v>
      </c>
      <c r="F321" s="22" t="str">
        <f>IF(OR(E321="",E321="!!!"),"",IF(NOT(ISNA(VLOOKUP(E321,E$1:E320,1,FALSE()))),"OLD",IF(AND(E321&lt;&gt;"",E321&lt;&gt;"!!!"),"NEW","")))</f>
        <v>NEW</v>
      </c>
      <c r="G321" s="23" t="s">
        <v>572</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226</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159</v>
      </c>
      <c r="E323" s="21" t="str">
        <f t="shared" si="22"/>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352</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258</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162</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353</v>
      </c>
      <c r="B327" s="20" t="s">
        <v>157</v>
      </c>
      <c r="C327" s="20" t="s">
        <v>178</v>
      </c>
      <c r="D327" s="20" t="s">
        <v>149</v>
      </c>
      <c r="E327" s="21" t="s">
        <v>594</v>
      </c>
      <c r="F327" s="22" t="str">
        <f>IF(OR(E327="",E327="!!!"),"",IF(NOT(ISNA(VLOOKUP(E327,E$1:E326,1,FALSE()))),"OLD",IF(AND(E327&lt;&gt;"",E327&lt;&gt;"!!!"),"NEW","")))</f>
        <v>OLD</v>
      </c>
      <c r="G327" s="23" t="s">
        <v>572</v>
      </c>
      <c r="H327" s="24" t="str">
        <f t="shared" ca="1" si="23"/>
        <v/>
      </c>
      <c r="I327" s="25" t="str">
        <f>IF(OR(E327="",E327="!!!",F327="NEW"),"",INDEX(B$2:B326,-1+SUMPRODUCT(MAX(ROW(E$2:E326)*(E327=E$2:E326)))))</f>
        <v>other</v>
      </c>
      <c r="J327" s="25">
        <f ca="1">IF(OR(E327="",E327="!!!",F327="NEW"),"",COUNTBLANK(OFFSET(A$1,,,SUMPRODUCT(MAX(ROW(E$2:E327)*(E327=E$2:E327)))))-COUNTBLANK(OFFSET(A$1,,,SUMPRODUCT(MAX(ROW(E$1:E326)*(E2=E$1:E326))))))</f>
        <v>0</v>
      </c>
      <c r="K327" s="25" t="str">
        <f ca="1">IF(OR(E327="",E327="!!!",F327="NEW"),"",INDEX(J$1:J326,SUMPRODUCT(MAX(ROW(E$1:E326)*(E327=E$1:E326)))))</f>
        <v/>
      </c>
      <c r="L327" s="26"/>
    </row>
    <row r="328" spans="1:12" x14ac:dyDescent="0.3">
      <c r="A328" t="s">
        <v>209</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188</v>
      </c>
      <c r="E329" s="21" t="str">
        <f t="shared" si="2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218</v>
      </c>
      <c r="B330" s="20" t="s">
        <v>161</v>
      </c>
      <c r="C330" s="20" t="s">
        <v>148</v>
      </c>
      <c r="D330" s="20" t="s">
        <v>149</v>
      </c>
      <c r="E330" s="21" t="s">
        <v>582</v>
      </c>
      <c r="F330" s="22" t="s">
        <v>553</v>
      </c>
      <c r="G330" s="23"/>
      <c r="H330" s="24" t="str">
        <f t="shared" ca="1" si="23"/>
        <v/>
      </c>
      <c r="I330" s="25" t="str">
        <f>IF(OR(E330="",E330="!!!",F330="NEW"),"",INDEX(B$2:B329,-1+SUMPRODUCT(MAX(ROW(E$2:E329)*(E330=E$2:E329)))))</f>
        <v>other_3</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180</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3" spans="1:12" x14ac:dyDescent="0.3">
      <c r="A333" t="s">
        <v>316</v>
      </c>
      <c r="E333" s="21" t="str">
        <f>IF(D333="?OLD","!!!","")</f>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ca="1">IF(J333&lt;&gt;1,"",IF(I333="SBJ","CB","?"))</f>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354</v>
      </c>
    </row>
    <row r="335" spans="1:12" x14ac:dyDescent="0.3">
      <c r="A335" t="s">
        <v>355</v>
      </c>
      <c r="E335" s="21" t="str">
        <f t="shared" ref="E335:E357" si="24">IF(D335="?OLD","!!!","")</f>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ref="H335:H357" ca="1" si="25">IF(J335&lt;&gt;1,"",IF(I335="SBJ","CB","?"))</f>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230</v>
      </c>
      <c r="E336" s="21" t="str">
        <f t="shared" si="24"/>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5"/>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286</v>
      </c>
      <c r="B337" s="20" t="s">
        <v>147</v>
      </c>
      <c r="C337" s="20" t="s">
        <v>148</v>
      </c>
      <c r="D337" s="20" t="s">
        <v>149</v>
      </c>
      <c r="E337" s="21" t="s">
        <v>562</v>
      </c>
      <c r="F337" s="22" t="str">
        <f>IF(OR(E337="",E337="!!!"),"",IF(NOT(ISNA(VLOOKUP(E337,E$1:E336,1,FALSE()))),"OLD",IF(AND(E337&lt;&gt;"",E337&lt;&gt;"!!!"),"NEW","")))</f>
        <v>OLD</v>
      </c>
      <c r="G337" s="23" t="s">
        <v>565</v>
      </c>
      <c r="H337" s="24" t="str">
        <f t="shared" ca="1" si="25"/>
        <v/>
      </c>
      <c r="I337" s="25" t="str">
        <f>IF(OR(E337="",E337="!!!",F337="NEW"),"",INDEX(B$2:B336,-1+SUMPRODUCT(MAX(ROW(E$2:E336)*(E337=E$2:E336)))))</f>
        <v>other</v>
      </c>
      <c r="J337" s="25">
        <f ca="1">IF(OR(E337="",E337="!!!",F337="NEW"),"",COUNTBLANK(OFFSET(A$1,,,SUMPRODUCT(MAX(ROW(E$2:E337)*(E337=E$2:E337)))))-COUNTBLANK(OFFSET(A$1,,,SUMPRODUCT(MAX(ROW(E$1:E336)*(E2=E$1:E336))))))</f>
        <v>0</v>
      </c>
      <c r="K337" s="25" t="str">
        <f ca="1">IF(OR(E337="",E337="!!!",F337="NEW"),"",INDEX(J$1:J336,SUMPRODUCT(MAX(ROW(E$1:E336)*(E337=E$1:E336)))))</f>
        <v/>
      </c>
      <c r="L337" s="26"/>
    </row>
    <row r="338" spans="1:12" x14ac:dyDescent="0.3">
      <c r="A338" t="s">
        <v>356</v>
      </c>
      <c r="E338" s="21" t="str">
        <f t="shared" si="24"/>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5"/>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280</v>
      </c>
      <c r="E339" s="21" t="str">
        <f t="shared" si="24"/>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5"/>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346</v>
      </c>
      <c r="B340" s="20" t="s">
        <v>169</v>
      </c>
      <c r="C340" s="20" t="s">
        <v>178</v>
      </c>
      <c r="D340" s="20" t="s">
        <v>149</v>
      </c>
      <c r="E340" s="21" t="s">
        <v>546</v>
      </c>
      <c r="F340" s="22" t="str">
        <f>IF(OR(E340="",E340="!!!"),"",IF(NOT(ISNA(VLOOKUP(E340,E$1:E339,1,FALSE()))),"OLD",IF(AND(E340&lt;&gt;"",E340&lt;&gt;"!!!"),"NEW","")))</f>
        <v>OLD</v>
      </c>
      <c r="G340" s="23" t="s">
        <v>565</v>
      </c>
      <c r="H340" s="24" t="str">
        <f t="shared" ca="1" si="25"/>
        <v/>
      </c>
      <c r="I340" s="25" t="str">
        <f>IF(OR(E340="",E340="!!!",F340="NEW"),"",INDEX(B$2:B339,-1+SUMPRODUCT(MAX(ROW(E$2:E339)*(E340=E$2:E339)))))</f>
        <v>SBJ</v>
      </c>
      <c r="J340" s="25">
        <f ca="1">IF(OR(E340="",E340="!!!",F340="NEW"),"",COUNTBLANK(OFFSET(A$1,,,SUMPRODUCT(MAX(ROW(E$2:E340)*(E340=E$2:E340)))))-COUNTBLANK(OFFSET(A$1,,,SUMPRODUCT(MAX(ROW(E$1:E339)*(E2=E$1:E339))))))</f>
        <v>0</v>
      </c>
      <c r="K340" s="25">
        <f ca="1">IF(OR(E340="",E340="!!!",F340="NEW"),"",INDEX(J$1:J339,SUMPRODUCT(MAX(ROW(E$1:E339)*(E340=E$1:E339)))))</f>
        <v>0</v>
      </c>
      <c r="L340" s="26"/>
    </row>
    <row r="341" spans="1:12" x14ac:dyDescent="0.3">
      <c r="A341" t="s">
        <v>185</v>
      </c>
      <c r="B341" s="20" t="s">
        <v>157</v>
      </c>
      <c r="C341" s="20" t="s">
        <v>187</v>
      </c>
      <c r="E341" s="21" t="str">
        <f t="shared" si="24"/>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5"/>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325</v>
      </c>
      <c r="E342" s="21" t="str">
        <f t="shared" si="24"/>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5"/>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357</v>
      </c>
      <c r="E343" s="21" t="str">
        <f t="shared" si="24"/>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5"/>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358</v>
      </c>
      <c r="B344" s="20" t="s">
        <v>147</v>
      </c>
      <c r="C344" s="20" t="s">
        <v>154</v>
      </c>
      <c r="E344" s="21" t="str">
        <f t="shared" si="24"/>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5"/>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226</v>
      </c>
      <c r="E345" s="21" t="str">
        <f t="shared" si="24"/>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5"/>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359</v>
      </c>
      <c r="B346" s="20" t="s">
        <v>157</v>
      </c>
      <c r="C346" s="20" t="s">
        <v>158</v>
      </c>
      <c r="E346" s="21" t="str">
        <f t="shared" si="24"/>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5"/>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151</v>
      </c>
      <c r="E347" s="21" t="str">
        <f t="shared" si="24"/>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ca="1" si="25"/>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162</v>
      </c>
      <c r="B348" s="20" t="s">
        <v>163</v>
      </c>
      <c r="E348" s="21" t="str">
        <f t="shared" si="24"/>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25"/>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162</v>
      </c>
      <c r="E349" s="21" t="str">
        <f t="shared" si="24"/>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25"/>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333</v>
      </c>
      <c r="E350" s="21" t="str">
        <f t="shared" si="24"/>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5"/>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360</v>
      </c>
      <c r="E351" s="21" t="str">
        <f t="shared" si="2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333</v>
      </c>
      <c r="E352" s="21" t="str">
        <f t="shared" si="2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2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361</v>
      </c>
      <c r="B353" s="20" t="s">
        <v>165</v>
      </c>
      <c r="C353" s="20" t="s">
        <v>178</v>
      </c>
      <c r="D353" s="20" t="s">
        <v>149</v>
      </c>
      <c r="E353" s="21"/>
      <c r="F353" s="22" t="s">
        <v>557</v>
      </c>
      <c r="G353" s="23" t="str">
        <f>IF(OR(E353="",E353="!!!"),"",IF(OR(J353=0,AND(J353=1,K353=1),AND(J353=1,I353="SBJ"),AND(J353=1,I353=0)),"?IN_FOCUS",IF(J353&lt;=2,"?ACTIVATED",IF(J353&lt;&gt;"","?FAMILIAR",IF(F353="NEW",IF(ISNA(VLOOKUP(E353,#REF!,1,FALSE())),"?TYPE_IDENTIFIABLE","?REFERENTIAL"),"_")))))</f>
        <v/>
      </c>
      <c r="H353" s="24" t="str">
        <f t="shared" ca="1" si="25"/>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362</v>
      </c>
      <c r="B354" s="20" t="s">
        <v>363</v>
      </c>
      <c r="C354" s="20" t="s">
        <v>187</v>
      </c>
      <c r="E354" s="21" t="str">
        <f t="shared" si="24"/>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5"/>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364</v>
      </c>
      <c r="B355" s="20" t="s">
        <v>186</v>
      </c>
      <c r="C355" s="20" t="s">
        <v>158</v>
      </c>
      <c r="E355" s="21" t="str">
        <f t="shared" si="24"/>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5"/>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365</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180</v>
      </c>
      <c r="E357" s="21" t="str">
        <f t="shared" si="24"/>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9" spans="1:12" x14ac:dyDescent="0.3">
      <c r="A359" t="s">
        <v>366</v>
      </c>
    </row>
    <row r="360" spans="1:12" x14ac:dyDescent="0.3">
      <c r="A360" t="s">
        <v>367</v>
      </c>
      <c r="B360" s="20" t="s">
        <v>169</v>
      </c>
      <c r="C360" s="20" t="s">
        <v>148</v>
      </c>
      <c r="D360" s="20" t="s">
        <v>149</v>
      </c>
      <c r="E360" s="21" t="s">
        <v>578</v>
      </c>
      <c r="F360" s="22" t="str">
        <f>IF(OR(E360="",E360="!!!"),"",IF(NOT(ISNA(VLOOKUP(E360,E$1:E359,1,FALSE()))),"OLD",IF(AND(E360&lt;&gt;"",E360&lt;&gt;"!!!"),"NEW","")))</f>
        <v>NEW</v>
      </c>
      <c r="G360" s="23" t="s">
        <v>572</v>
      </c>
      <c r="H360" s="24" t="str">
        <f t="shared" ref="H360:H391" ca="1" si="26">IF(J360&lt;&gt;1,"",IF(I360="SBJ","CB","?"))</f>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151</v>
      </c>
      <c r="E361" s="21" t="str">
        <f t="shared" ref="E361:E391" si="27">IF(D361="?OLD","!!!","")</f>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6"/>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152</v>
      </c>
      <c r="E362" s="21" t="str">
        <f t="shared" si="27"/>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6"/>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254</v>
      </c>
      <c r="B363" s="20" t="s">
        <v>157</v>
      </c>
      <c r="C363" s="20" t="s">
        <v>148</v>
      </c>
      <c r="D363" s="20" t="s">
        <v>149</v>
      </c>
      <c r="E363" s="21"/>
      <c r="F363" s="22" t="s">
        <v>577</v>
      </c>
      <c r="G363" s="23" t="str">
        <f>IF(OR(E363="",E363="!!!"),"",IF(OR(J363=0,AND(J363=1,K363=1),AND(J363=1,I363="SBJ"),AND(J363=1,I363=0)),"?IN_FOCUS",IF(J363&lt;=2,"?ACTIVATED",IF(J363&lt;&gt;"","?FAMILIAR",IF(F363="NEW",IF(ISNA(VLOOKUP(E363,#REF!,1,FALSE())),"?TYPE_IDENTIFIABLE","?REFERENTIAL"),"_")))))</f>
        <v/>
      </c>
      <c r="H363" s="24" t="str">
        <f t="shared" ca="1" si="26"/>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258</v>
      </c>
      <c r="E364" s="21" t="str">
        <f t="shared" si="27"/>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6"/>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368</v>
      </c>
      <c r="B365" s="20" t="s">
        <v>161</v>
      </c>
      <c r="C365" s="20" t="s">
        <v>148</v>
      </c>
      <c r="D365" s="20" t="s">
        <v>149</v>
      </c>
      <c r="E365" s="21"/>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6"/>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369</v>
      </c>
      <c r="E366" s="21" t="s">
        <v>579</v>
      </c>
      <c r="F366" s="22" t="str">
        <f>IF(OR(E366="",E366="!!!"),"",IF(NOT(ISNA(VLOOKUP(E366,E$1:E365,1,FALSE()))),"OLD",IF(AND(E366&lt;&gt;"",E366&lt;&gt;"!!!"),"NEW","")))</f>
        <v>NEW</v>
      </c>
      <c r="G366" s="23" t="s">
        <v>565</v>
      </c>
      <c r="H366" s="24" t="str">
        <f t="shared" ca="1" si="26"/>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t="s">
        <v>580</v>
      </c>
    </row>
    <row r="367" spans="1:12" x14ac:dyDescent="0.3">
      <c r="A367" t="s">
        <v>151</v>
      </c>
      <c r="E367" s="21" t="str">
        <f t="shared" si="27"/>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6"/>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162</v>
      </c>
      <c r="B368" s="20" t="s">
        <v>163</v>
      </c>
      <c r="E368" s="21" t="str">
        <f t="shared" si="27"/>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6"/>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370</v>
      </c>
      <c r="E369" s="21" t="str">
        <f t="shared" si="27"/>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6"/>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307</v>
      </c>
      <c r="B370" s="20" t="s">
        <v>163</v>
      </c>
      <c r="C370" s="20" t="s">
        <v>276</v>
      </c>
      <c r="E370" s="21" t="s">
        <v>595</v>
      </c>
      <c r="F370" s="22" t="str">
        <f>IF(OR(E370="",E370="!!!"),"",IF(NOT(ISNA(VLOOKUP(E370,E$1:E369,1,FALSE()))),"OLD",IF(AND(E370&lt;&gt;"",E370&lt;&gt;"!!!"),"NEW","")))</f>
        <v>NEW</v>
      </c>
      <c r="G370" s="23" t="s">
        <v>572</v>
      </c>
      <c r="H370" s="24" t="str">
        <f t="shared" ca="1" si="26"/>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t="s">
        <v>576</v>
      </c>
    </row>
    <row r="371" spans="1:12" x14ac:dyDescent="0.3">
      <c r="A371" t="s">
        <v>327</v>
      </c>
      <c r="E371" s="21" t="str">
        <f t="shared" si="27"/>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26"/>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151</v>
      </c>
      <c r="E372" s="21" t="str">
        <f t="shared" si="27"/>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26"/>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371</v>
      </c>
      <c r="E373" s="21" t="str">
        <f t="shared" si="27"/>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26"/>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277</v>
      </c>
      <c r="E374" s="21" t="str">
        <f t="shared" si="27"/>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26"/>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372</v>
      </c>
      <c r="B375" s="20" t="s">
        <v>250</v>
      </c>
      <c r="C375" s="20" t="s">
        <v>148</v>
      </c>
      <c r="D375" s="20" t="s">
        <v>149</v>
      </c>
      <c r="E375" s="21" t="s">
        <v>581</v>
      </c>
      <c r="F375" s="22" t="str">
        <f>IF(OR(E375="",E375="!!!"),"",IF(NOT(ISNA(VLOOKUP(E375,E$1:E374,1,FALSE()))),"OLD",IF(AND(E375&lt;&gt;"",E375&lt;&gt;"!!!"),"NEW","")))</f>
        <v>NEW</v>
      </c>
      <c r="G375" s="23" t="s">
        <v>565</v>
      </c>
      <c r="H375" s="24" t="str">
        <f t="shared" ca="1" si="26"/>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373</v>
      </c>
      <c r="E376" s="21" t="str">
        <f t="shared" si="27"/>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26"/>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282</v>
      </c>
      <c r="E377" s="21" t="str">
        <f t="shared" si="27"/>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6"/>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374</v>
      </c>
      <c r="B378" s="20" t="s">
        <v>147</v>
      </c>
      <c r="C378" s="20" t="s">
        <v>158</v>
      </c>
      <c r="E378" s="21" t="str">
        <f t="shared" si="27"/>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6"/>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321</v>
      </c>
      <c r="E379" s="21" t="str">
        <f t="shared" si="27"/>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6"/>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151</v>
      </c>
      <c r="E380" s="21" t="str">
        <f t="shared" si="27"/>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26"/>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240</v>
      </c>
      <c r="E381" s="21" t="str">
        <f t="shared" si="27"/>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26"/>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375</v>
      </c>
      <c r="E382" s="21" t="str">
        <f t="shared" si="27"/>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26"/>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209</v>
      </c>
      <c r="E383" s="21" t="str">
        <f t="shared" si="27"/>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26"/>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376</v>
      </c>
      <c r="E384" s="21" t="str">
        <f t="shared" si="27"/>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26"/>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377</v>
      </c>
      <c r="B385" s="20" t="s">
        <v>157</v>
      </c>
      <c r="C385" s="20" t="s">
        <v>276</v>
      </c>
      <c r="E385" s="21" t="str">
        <f t="shared" si="27"/>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6"/>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155</v>
      </c>
      <c r="E386" s="21" t="str">
        <f t="shared" si="27"/>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26"/>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293</v>
      </c>
      <c r="B387" s="20" t="s">
        <v>157</v>
      </c>
      <c r="C387" s="20" t="s">
        <v>158</v>
      </c>
      <c r="E387" s="21" t="s">
        <v>570</v>
      </c>
      <c r="F387" s="22" t="str">
        <f>IF(OR(E387="",E387="!!!"),"",IF(NOT(ISNA(VLOOKUP(E387,E$1:E386,1,FALSE()))),"OLD",IF(AND(E387&lt;&gt;"",E387&lt;&gt;"!!!"),"NEW","")))</f>
        <v>OLD</v>
      </c>
      <c r="G387" s="23" t="s">
        <v>565</v>
      </c>
      <c r="H387" s="24" t="str">
        <f t="shared" ca="1" si="26"/>
        <v/>
      </c>
      <c r="I387" s="25" t="str">
        <f>IF(OR(E387="",E387="!!!",F387="NEW"),"",INDEX(B$2:B386,-1+SUMPRODUCT(MAX(ROW(E$2:E386)*(E387=E$2:E386)))))</f>
        <v>SBJ</v>
      </c>
      <c r="J387" s="25">
        <f ca="1">IF(OR(E387="",E387="!!!",F387="NEW"),"",COUNTBLANK(OFFSET(A$1,,,SUMPRODUCT(MAX(ROW(E$2:E387)*(E387=E$2:E387)))))-COUNTBLANK(OFFSET(A$1,,,SUMPRODUCT(MAX(ROW(E$1:E386)*(E2=E$1:E386))))))</f>
        <v>0</v>
      </c>
      <c r="K387" s="25">
        <f ca="1">IF(OR(E387="",E387="!!!",F387="NEW"),"",INDEX(J$1:J386,SUMPRODUCT(MAX(ROW(E$1:E386)*(E387=E$1:E386)))))</f>
        <v>0</v>
      </c>
      <c r="L387" s="26"/>
    </row>
    <row r="388" spans="1:12" x14ac:dyDescent="0.3">
      <c r="A388" t="s">
        <v>284</v>
      </c>
      <c r="E388" s="21" t="str">
        <f t="shared" si="27"/>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6"/>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285</v>
      </c>
      <c r="B389" s="20" t="s">
        <v>161</v>
      </c>
      <c r="C389" s="20" t="s">
        <v>178</v>
      </c>
      <c r="D389" s="20" t="s">
        <v>149</v>
      </c>
      <c r="E389" s="21" t="s">
        <v>546</v>
      </c>
      <c r="F389" s="22" t="str">
        <f>IF(OR(E389="",E389="!!!"),"",IF(NOT(ISNA(VLOOKUP(E389,E$1:E388,1,FALSE()))),"OLD",IF(AND(E389&lt;&gt;"",E389&lt;&gt;"!!!"),"NEW","")))</f>
        <v>OLD</v>
      </c>
      <c r="G389" s="23" t="s">
        <v>568</v>
      </c>
      <c r="H389" s="24" t="s">
        <v>142</v>
      </c>
      <c r="I389" s="25" t="str">
        <f>IF(OR(E389="",E389="!!!",F389="NEW"),"",INDEX(B$2:B388,-1+SUMPRODUCT(MAX(ROW(E$2:E388)*(E389=E$2:E388)))))</f>
        <v>SBJ</v>
      </c>
      <c r="J389" s="25">
        <f ca="1">IF(OR(E389="",E389="!!!",F389="NEW"),"",COUNTBLANK(OFFSET(A$1,,,SUMPRODUCT(MAX(ROW(E$2:E389)*(E389=E$2:E389)))))-COUNTBLANK(OFFSET(A$1,,,SUMPRODUCT(MAX(ROW(E$1:E388)*(E2=E$1:E388))))))</f>
        <v>0</v>
      </c>
      <c r="K389" s="25">
        <f ca="1">IF(OR(E389="",E389="!!!",F389="NEW"),"",INDEX(J$1:J388,SUMPRODUCT(MAX(ROW(E$1:E388)*(E389=E$1:E388)))))</f>
        <v>0</v>
      </c>
      <c r="L389" s="26"/>
    </row>
    <row r="390" spans="1:12" x14ac:dyDescent="0.3">
      <c r="A390" t="s">
        <v>151</v>
      </c>
      <c r="E390" s="21" t="str">
        <f t="shared" si="27"/>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6"/>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162</v>
      </c>
      <c r="E391" s="21" t="str">
        <f t="shared" si="27"/>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6"/>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378</v>
      </c>
      <c r="B392" s="20" t="s">
        <v>161</v>
      </c>
      <c r="C392" s="20" t="s">
        <v>178</v>
      </c>
      <c r="D392" s="20" t="s">
        <v>149</v>
      </c>
      <c r="E392" s="21" t="s">
        <v>596</v>
      </c>
      <c r="F392" s="22" t="str">
        <f>IF(OR(E392="",E392="!!!"),"",IF(NOT(ISNA(VLOOKUP(E392,E$1:E391,1,FALSE()))),"OLD",IF(AND(E392&lt;&gt;"",E392&lt;&gt;"!!!"),"NEW","")))</f>
        <v>NEW</v>
      </c>
      <c r="G392" s="23" t="s">
        <v>572</v>
      </c>
      <c r="H392" s="24" t="str">
        <f t="shared" ref="H392:H411" ca="1" si="28">IF(J392&lt;&gt;1,"",IF(I392="SBJ","CB","?"))</f>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277</v>
      </c>
      <c r="E393" s="21" t="str">
        <f t="shared" ref="E393:E411" si="29">IF(D393="?OLD","!!!","")</f>
        <v/>
      </c>
      <c r="F393" s="22" t="str">
        <f>IF(OR(E393="",E393="!!!"),"",IF(NOT(ISNA(VLOOKUP(E393,E$1:E392,1,FALSE()))),"OLD",IF(AND(E393&lt;&gt;"",E393&lt;&gt;"!!!"),"NEW","")))</f>
        <v/>
      </c>
      <c r="G393" s="23"/>
      <c r="H393" s="24" t="str">
        <f t="shared" ca="1" si="28"/>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379</v>
      </c>
      <c r="E394" s="21" t="str">
        <f t="shared" si="29"/>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8"/>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217</v>
      </c>
      <c r="B395" s="20" t="s">
        <v>186</v>
      </c>
      <c r="C395" s="20" t="s">
        <v>178</v>
      </c>
      <c r="D395" s="20" t="s">
        <v>149</v>
      </c>
      <c r="E395" s="21" t="s">
        <v>595</v>
      </c>
      <c r="F395" s="22" t="str">
        <f>IF(OR(E395="",E395="!!!"),"",IF(NOT(ISNA(VLOOKUP(E395,E$1:E394,1,FALSE()))),"OLD",IF(AND(E395&lt;&gt;"",E395&lt;&gt;"!!!"),"NEW","")))</f>
        <v>OLD</v>
      </c>
      <c r="G395" s="23" t="s">
        <v>568</v>
      </c>
      <c r="H395" s="24" t="str">
        <f t="shared" ca="1" si="28"/>
        <v/>
      </c>
      <c r="I395" s="25" t="str">
        <f>IF(OR(E395="",E395="!!!",F395="NEW"),"",INDEX(B$2:B394,-1+SUMPRODUCT(MAX(ROW(E$2:E394)*(E395=E$2:E394)))))</f>
        <v>SBJ_3</v>
      </c>
      <c r="J395" s="25">
        <f ca="1">IF(OR(E395="",E395="!!!",F395="NEW"),"",COUNTBLANK(OFFSET(A$1,,,SUMPRODUCT(MAX(ROW(E$2:E395)*(E395=E$2:E395)))))-COUNTBLANK(OFFSET(A$1,,,SUMPRODUCT(MAX(ROW(E$1:E394)*(E2=E$1:E394))))))</f>
        <v>0</v>
      </c>
      <c r="K395" s="25" t="str">
        <f ca="1">IF(OR(E395="",E395="!!!",F395="NEW"),"",INDEX(J$1:J394,SUMPRODUCT(MAX(ROW(E$1:E394)*(E395=E$1:E394)))))</f>
        <v/>
      </c>
      <c r="L395" s="26"/>
    </row>
    <row r="396" spans="1:12" x14ac:dyDescent="0.3">
      <c r="A396" t="s">
        <v>151</v>
      </c>
      <c r="E396" s="21" t="str">
        <f t="shared" si="29"/>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28"/>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162</v>
      </c>
      <c r="B397" s="20" t="s">
        <v>380</v>
      </c>
      <c r="E397" s="21" t="str">
        <f t="shared" si="29"/>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8"/>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362</v>
      </c>
      <c r="B398" s="20" t="s">
        <v>381</v>
      </c>
      <c r="C398" s="20" t="s">
        <v>187</v>
      </c>
      <c r="E398" s="21" t="str">
        <f t="shared" si="29"/>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28"/>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364</v>
      </c>
      <c r="B399" s="20" t="s">
        <v>363</v>
      </c>
      <c r="C399" s="20" t="s">
        <v>158</v>
      </c>
      <c r="E399" s="21" t="str">
        <f t="shared" si="29"/>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8"/>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128</v>
      </c>
      <c r="E400" s="21" t="str">
        <f t="shared" si="29"/>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28"/>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382</v>
      </c>
      <c r="B401" s="20" t="s">
        <v>363</v>
      </c>
      <c r="C401" s="20" t="s">
        <v>276</v>
      </c>
      <c r="E401" s="21" t="str">
        <f t="shared" si="29"/>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28"/>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383</v>
      </c>
      <c r="E402" s="21" t="str">
        <f t="shared" si="29"/>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28"/>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151</v>
      </c>
      <c r="E403" s="21" t="str">
        <f t="shared" si="29"/>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8"/>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209</v>
      </c>
      <c r="E404" s="21" t="str">
        <f t="shared" si="29"/>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8"/>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384</v>
      </c>
      <c r="E405" s="21" t="str">
        <f t="shared" si="29"/>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28"/>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385</v>
      </c>
      <c r="B406" s="20" t="s">
        <v>157</v>
      </c>
      <c r="C406" s="20" t="s">
        <v>276</v>
      </c>
      <c r="E406" s="21" t="str">
        <f t="shared" si="29"/>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8"/>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202</v>
      </c>
      <c r="E407" s="21" t="str">
        <f t="shared" si="29"/>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28"/>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386</v>
      </c>
      <c r="E408" s="21" t="str">
        <f t="shared" si="29"/>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8"/>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385</v>
      </c>
      <c r="B409" s="20" t="s">
        <v>157</v>
      </c>
      <c r="C409" s="20" t="s">
        <v>276</v>
      </c>
      <c r="E409" s="21" t="str">
        <f t="shared" si="29"/>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28"/>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387</v>
      </c>
      <c r="E410" s="21" t="str">
        <f t="shared" si="29"/>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8"/>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180</v>
      </c>
      <c r="E411" s="21" t="str">
        <f t="shared" si="29"/>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28"/>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3" spans="1:12" x14ac:dyDescent="0.3">
      <c r="A413" t="s">
        <v>388</v>
      </c>
    </row>
    <row r="414" spans="1:12" x14ac:dyDescent="0.3">
      <c r="A414" t="s">
        <v>389</v>
      </c>
      <c r="E414" s="21" t="str">
        <f t="shared" ref="E414:E433" si="30">IF(D414="?OLD","!!!","")</f>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ref="H414:H433" ca="1" si="31">IF(J414&lt;&gt;1,"",IF(I414="SBJ","CB","?"))</f>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390</v>
      </c>
      <c r="B415" s="20" t="s">
        <v>169</v>
      </c>
      <c r="C415" s="20" t="s">
        <v>178</v>
      </c>
      <c r="D415" s="20" t="s">
        <v>149</v>
      </c>
      <c r="E415" s="21" t="s">
        <v>578</v>
      </c>
      <c r="F415" s="22" t="str">
        <f>IF(OR(E415="",E415="!!!"),"",IF(NOT(ISNA(VLOOKUP(E415,E$1:E414,1,FALSE()))),"OLD",IF(AND(E415&lt;&gt;"",E415&lt;&gt;"!!!"),"NEW","")))</f>
        <v>OLD</v>
      </c>
      <c r="G415" s="23" t="s">
        <v>568</v>
      </c>
      <c r="H415" s="24" t="s">
        <v>142</v>
      </c>
      <c r="I415" s="25" t="str">
        <f>IF(OR(E415="",E415="!!!",F415="NEW"),"",INDEX(B$2:B414,-1+SUMPRODUCT(MAX(ROW(E$2:E414)*(E415=E$2:E414)))))</f>
        <v>SBJ</v>
      </c>
      <c r="J415" s="25">
        <f ca="1">IF(OR(E415="",E415="!!!",F415="NEW"),"",COUNTBLANK(OFFSET(A$1,,,SUMPRODUCT(MAX(ROW(E$2:E415)*(E415=E$2:E415)))))-COUNTBLANK(OFFSET(A$1,,,SUMPRODUCT(MAX(ROW(E$1:E414)*(E2=E$1:E414))))))</f>
        <v>0</v>
      </c>
      <c r="K415" s="25" t="str">
        <f ca="1">IF(OR(E415="",E415="!!!",F415="NEW"),"",INDEX(J$1:J414,SUMPRODUCT(MAX(ROW(E$1:E414)*(E415=E$1:E414)))))</f>
        <v/>
      </c>
      <c r="L415" s="26"/>
    </row>
    <row r="416" spans="1:12" x14ac:dyDescent="0.3">
      <c r="A416" t="s">
        <v>391</v>
      </c>
      <c r="E416" s="21" t="str">
        <f t="shared" si="30"/>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1"/>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190</v>
      </c>
      <c r="E417" s="21" t="str">
        <f t="shared" si="30"/>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1"/>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151</v>
      </c>
      <c r="E418" s="21" t="str">
        <f t="shared" si="30"/>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1"/>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392</v>
      </c>
      <c r="B419" s="20" t="s">
        <v>177</v>
      </c>
      <c r="C419" s="20" t="s">
        <v>393</v>
      </c>
      <c r="E419" s="21" t="str">
        <f t="shared" si="30"/>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1"/>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394</v>
      </c>
      <c r="E420" s="21" t="str">
        <f t="shared" si="30"/>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1"/>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12</v>
      </c>
      <c r="B421" s="20" t="s">
        <v>161</v>
      </c>
      <c r="C421" s="20" t="s">
        <v>148</v>
      </c>
      <c r="D421" s="20" t="s">
        <v>149</v>
      </c>
      <c r="E421" s="21" t="s">
        <v>546</v>
      </c>
      <c r="F421" s="22" t="str">
        <f>IF(OR(E421="",E421="!!!"),"",IF(NOT(ISNA(VLOOKUP(E421,E$1:E420,1,FALSE()))),"OLD",IF(AND(E421&lt;&gt;"",E421&lt;&gt;"!!!"),"NEW","")))</f>
        <v>OLD</v>
      </c>
      <c r="G421" s="23" t="s">
        <v>568</v>
      </c>
      <c r="H421" s="24" t="str">
        <f t="shared" ca="1" si="31"/>
        <v/>
      </c>
      <c r="I421" s="25" t="str">
        <f>IF(OR(E421="",E421="!!!",F421="NEW"),"",INDEX(B$2:B420,-1+SUMPRODUCT(MAX(ROW(E$2:E420)*(E421=E$2:E420)))))</f>
        <v>other_3</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150</v>
      </c>
      <c r="E422" s="21" t="str">
        <f t="shared" si="30"/>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1"/>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395</v>
      </c>
      <c r="E423" s="21" t="str">
        <f t="shared" si="30"/>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1"/>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11</v>
      </c>
      <c r="E424" s="21" t="str">
        <f t="shared" si="30"/>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1"/>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194</v>
      </c>
      <c r="E425" s="21" t="s">
        <v>578</v>
      </c>
      <c r="F425" s="22" t="str">
        <f>IF(OR(E425="",E425="!!!"),"",IF(NOT(ISNA(VLOOKUP(E425,E$1:E424,1,FALSE()))),"OLD",IF(AND(E425&lt;&gt;"",E425&lt;&gt;"!!!"),"NEW","")))</f>
        <v>OLD</v>
      </c>
      <c r="G425" s="23" t="s">
        <v>568</v>
      </c>
      <c r="H425" s="24" t="str">
        <f t="shared" ca="1" si="31"/>
        <v/>
      </c>
      <c r="I425" s="25" t="str">
        <f>IF(OR(E425="",E425="!!!",F425="NEW"),"",INDEX(B$2:B424,-1+SUMPRODUCT(MAX(ROW(E$2:E424)*(E425=E$2:E424)))))</f>
        <v>SBJ</v>
      </c>
      <c r="J425" s="25">
        <f ca="1">IF(OR(E425="",E425="!!!",F425="NEW"),"",COUNTBLANK(OFFSET(A$1,,,SUMPRODUCT(MAX(ROW(E$2:E425)*(E425=E$2:E425)))))-COUNTBLANK(OFFSET(A$1,,,SUMPRODUCT(MAX(ROW(E$1:E424)*(E2=E$1:E424))))))</f>
        <v>0</v>
      </c>
      <c r="K425" s="25">
        <f ca="1">IF(OR(E425="",E425="!!!",F425="NEW"),"",INDEX(J$1:J424,SUMPRODUCT(MAX(ROW(E$1:E424)*(E425=E$1:E424)))))</f>
        <v>0</v>
      </c>
      <c r="L425" s="26" t="s">
        <v>550</v>
      </c>
    </row>
    <row r="426" spans="1:12" x14ac:dyDescent="0.3">
      <c r="A426" t="s">
        <v>396</v>
      </c>
      <c r="E426" s="21" t="str">
        <f t="shared" si="3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397</v>
      </c>
      <c r="E427" s="21" t="str">
        <f t="shared" si="3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162</v>
      </c>
      <c r="E428" s="21" t="str">
        <f t="shared" si="3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398</v>
      </c>
      <c r="B429" s="20" t="s">
        <v>348</v>
      </c>
      <c r="C429" s="20" t="s">
        <v>178</v>
      </c>
      <c r="D429" s="20" t="s">
        <v>149</v>
      </c>
      <c r="E429" s="21" t="s">
        <v>597</v>
      </c>
      <c r="F429" s="22" t="str">
        <f>IF(OR(E429="",E429="!!!"),"",IF(NOT(ISNA(VLOOKUP(E429,E$1:E428,1,FALSE()))),"OLD",IF(AND(E429&lt;&gt;"",E429&lt;&gt;"!!!"),"NEW","")))</f>
        <v>NEW</v>
      </c>
      <c r="G429" s="23" t="s">
        <v>572</v>
      </c>
      <c r="H429" s="24" t="str">
        <f t="shared" ca="1" si="3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185</v>
      </c>
      <c r="B430" s="20" t="s">
        <v>186</v>
      </c>
      <c r="C430" s="20" t="s">
        <v>187</v>
      </c>
      <c r="E430" s="21" t="str">
        <f t="shared" si="30"/>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277</v>
      </c>
      <c r="E431" s="21" t="str">
        <f t="shared" si="30"/>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1"/>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399</v>
      </c>
      <c r="B432" s="20" t="s">
        <v>161</v>
      </c>
      <c r="C432" s="20" t="s">
        <v>178</v>
      </c>
      <c r="D432" s="20" t="s">
        <v>149</v>
      </c>
      <c r="E432" s="21" t="s">
        <v>598</v>
      </c>
      <c r="F432" s="22" t="str">
        <f>IF(OR(E432="",E432="!!!"),"",IF(NOT(ISNA(VLOOKUP(E432,E$1:E431,1,FALSE()))),"OLD",IF(AND(E432&lt;&gt;"",E432&lt;&gt;"!!!"),"NEW","")))</f>
        <v>NEW</v>
      </c>
      <c r="G432" s="23" t="s">
        <v>572</v>
      </c>
      <c r="H432" s="24" t="str">
        <f t="shared" ca="1" si="31"/>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180</v>
      </c>
      <c r="E433" s="21" t="str">
        <f t="shared" si="30"/>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1"/>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5" spans="1:12" x14ac:dyDescent="0.3">
      <c r="A435" t="s">
        <v>316</v>
      </c>
      <c r="E435" s="21" t="str">
        <f>IF(D435="?OLD","!!!","")</f>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ca="1">IF(J435&lt;&gt;1,"",IF(I435="SBJ","CB","?"))</f>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400</v>
      </c>
    </row>
    <row r="437" spans="1:12" x14ac:dyDescent="0.3">
      <c r="A437" t="s">
        <v>401</v>
      </c>
      <c r="B437" s="20" t="s">
        <v>161</v>
      </c>
      <c r="C437" s="20" t="s">
        <v>330</v>
      </c>
      <c r="D437" s="20" t="s">
        <v>149</v>
      </c>
      <c r="E437" s="21"/>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ref="H437:H468" ca="1" si="32">IF(J437&lt;&gt;1,"",IF(I437="SBJ","CB","?"))</f>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t="s">
        <v>587</v>
      </c>
    </row>
    <row r="438" spans="1:12" x14ac:dyDescent="0.3">
      <c r="A438" t="s">
        <v>402</v>
      </c>
      <c r="E438" s="21" t="str">
        <f t="shared" ref="E438:E468" si="33">IF(D438="?OLD","!!!","")</f>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2"/>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403</v>
      </c>
      <c r="B439" s="20" t="s">
        <v>177</v>
      </c>
      <c r="C439" s="20" t="s">
        <v>276</v>
      </c>
      <c r="E439" s="21" t="s">
        <v>605</v>
      </c>
      <c r="F439" s="22" t="str">
        <f>IF(OR(E439="",E439="!!!"),"",IF(NOT(ISNA(VLOOKUP(E439,E$1:E438,1,FALSE()))),"OLD",IF(AND(E439&lt;&gt;"",E439&lt;&gt;"!!!"),"NEW","")))</f>
        <v>NEW</v>
      </c>
      <c r="G439" s="23" t="s">
        <v>572</v>
      </c>
      <c r="H439" s="24" t="str">
        <f t="shared" ca="1" si="32"/>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t="s">
        <v>580</v>
      </c>
    </row>
    <row r="440" spans="1:12" x14ac:dyDescent="0.3">
      <c r="A440" t="s">
        <v>185</v>
      </c>
      <c r="B440" s="20" t="s">
        <v>186</v>
      </c>
      <c r="C440" s="20" t="s">
        <v>187</v>
      </c>
      <c r="E440" s="21" t="str">
        <f t="shared" si="33"/>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2"/>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277</v>
      </c>
      <c r="E441" s="21" t="str">
        <f t="shared" si="33"/>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2"/>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156</v>
      </c>
      <c r="B442" s="20" t="s">
        <v>161</v>
      </c>
      <c r="C442" s="20" t="s">
        <v>178</v>
      </c>
      <c r="D442" s="20" t="s">
        <v>149</v>
      </c>
      <c r="E442" s="21" t="s">
        <v>583</v>
      </c>
      <c r="F442" s="22" t="s">
        <v>557</v>
      </c>
      <c r="G442" s="23" t="s">
        <v>565</v>
      </c>
      <c r="H442" s="24" t="str">
        <f t="shared" ca="1" si="32"/>
        <v/>
      </c>
      <c r="I442" s="25" t="str">
        <f>IF(OR(E442="",E442="!!!",F442="NEW"),"",INDEX(B$2:B441,-1+SUMPRODUCT(MAX(ROW(E$2:E441)*(E442=E$2:E441)))))</f>
        <v>other_2</v>
      </c>
      <c r="J442" s="25">
        <f ca="1">IF(OR(E442="",E442="!!!",F442="NEW"),"",COUNTBLANK(OFFSET(A$1,,,SUMPRODUCT(MAX(ROW(E$2:E442)*(E442=E$2:E442)))))-COUNTBLANK(OFFSET(A$1,,,SUMPRODUCT(MAX(ROW(E$1:E441)*(E2=E$1:E441))))))</f>
        <v>0</v>
      </c>
      <c r="K442" s="25" t="str">
        <f ca="1">IF(OR(E442="",E442="!!!",F442="NEW"),"",INDEX(J$1:J441,SUMPRODUCT(MAX(ROW(E$1:E441)*(E442=E$1:E441)))))</f>
        <v/>
      </c>
      <c r="L442" s="26" t="s">
        <v>600</v>
      </c>
    </row>
    <row r="443" spans="1:12" x14ac:dyDescent="0.3">
      <c r="A443" t="s">
        <v>151</v>
      </c>
      <c r="E443" s="21" t="str">
        <f t="shared" si="33"/>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2"/>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162</v>
      </c>
      <c r="E444" s="21" t="str">
        <f t="shared" si="33"/>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2"/>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217</v>
      </c>
      <c r="B445" s="20" t="s">
        <v>163</v>
      </c>
      <c r="C445" s="20" t="s">
        <v>178</v>
      </c>
      <c r="D445" s="20" t="s">
        <v>149</v>
      </c>
      <c r="E445" s="21" t="s">
        <v>599</v>
      </c>
      <c r="F445" s="22" t="s">
        <v>557</v>
      </c>
      <c r="G445" s="23" t="s">
        <v>565</v>
      </c>
      <c r="H445" s="24" t="str">
        <f t="shared" ca="1" si="32"/>
        <v/>
      </c>
      <c r="I445" s="25" t="e">
        <f>IF(OR(E445="",E445="!!!",F445="NEW"),"",INDEX(B$2:B444,-1+SUMPRODUCT(MAX(ROW(E$2:E444)*(E445=E$2:E444)))))</f>
        <v>#VALUE!</v>
      </c>
      <c r="J445" s="25">
        <f ca="1">IF(OR(E445="",E445="!!!",F445="NEW"),"",COUNTBLANK(OFFSET(A$1,,,SUMPRODUCT(MAX(ROW(E$2:E445)*(E445=E$2:E445)))))-COUNTBLANK(OFFSET(A$1,,,SUMPRODUCT(MAX(ROW(E$1:E444)*(E2=E$1:E444))))))</f>
        <v>0</v>
      </c>
      <c r="K445" s="25" t="e">
        <f>IF(OR(E445="",E445="!!!",F445="NEW"),"",INDEX(J$1:J444,SUMPRODUCT(MAX(ROW(E$1:E444)*(E445=E$1:E444)))))</f>
        <v>#VALUE!</v>
      </c>
      <c r="L445" s="26" t="s">
        <v>600</v>
      </c>
    </row>
    <row r="446" spans="1:12" x14ac:dyDescent="0.3">
      <c r="A446" t="s">
        <v>404</v>
      </c>
      <c r="E446" s="21" t="str">
        <f t="shared" si="33"/>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2"/>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405</v>
      </c>
      <c r="E447" s="21" t="str">
        <f t="shared" si="33"/>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2"/>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406</v>
      </c>
      <c r="E448" s="21" t="str">
        <f t="shared" si="33"/>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2"/>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333</v>
      </c>
      <c r="E449" s="21" t="str">
        <f t="shared" si="33"/>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2"/>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164</v>
      </c>
      <c r="B450" s="20" t="s">
        <v>165</v>
      </c>
      <c r="E450" s="21" t="str">
        <f t="shared" si="33"/>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2"/>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128</v>
      </c>
      <c r="E451" s="21" t="str">
        <f t="shared" si="33"/>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2"/>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382</v>
      </c>
      <c r="E452" s="21" t="str">
        <f t="shared" si="33"/>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2"/>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225</v>
      </c>
      <c r="B453" s="20" t="s">
        <v>161</v>
      </c>
      <c r="C453" s="20" t="s">
        <v>158</v>
      </c>
      <c r="E453" s="21" t="str">
        <f t="shared" si="33"/>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2"/>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185</v>
      </c>
      <c r="E454" s="21" t="str">
        <f t="shared" si="33"/>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2"/>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407</v>
      </c>
      <c r="E455" s="21" t="str">
        <f t="shared" si="33"/>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2"/>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151</v>
      </c>
      <c r="E456" s="21" t="str">
        <f t="shared" si="33"/>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2"/>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333</v>
      </c>
      <c r="E457" s="21" t="str">
        <f t="shared" si="33"/>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2"/>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333</v>
      </c>
      <c r="E458" s="21" t="str">
        <f t="shared" si="33"/>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2"/>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209</v>
      </c>
      <c r="E459" s="21" t="str">
        <f t="shared" si="33"/>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2"/>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188</v>
      </c>
      <c r="E460" s="21" t="str">
        <f t="shared" si="33"/>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2"/>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218</v>
      </c>
      <c r="B461" s="20" t="s">
        <v>161</v>
      </c>
      <c r="C461" s="20" t="s">
        <v>148</v>
      </c>
      <c r="D461" s="20" t="s">
        <v>149</v>
      </c>
      <c r="E461" s="21" t="s">
        <v>582</v>
      </c>
      <c r="F461" s="22" t="s">
        <v>553</v>
      </c>
      <c r="G461" s="23"/>
      <c r="H461" s="24" t="str">
        <f t="shared" ca="1" si="32"/>
        <v/>
      </c>
      <c r="I461" s="25" t="str">
        <f>IF(OR(E461="",E461="!!!",F461="NEW"),"",INDEX(B$2:B460,-1+SUMPRODUCT(MAX(ROW(E$2:E460)*(E461=E$2:E460)))))</f>
        <v>other_3</v>
      </c>
      <c r="J461" s="25">
        <f ca="1">IF(OR(E461="",E461="!!!",F461="NEW"),"",COUNTBLANK(OFFSET(A$1,,,SUMPRODUCT(MAX(ROW(E$2:E461)*(E461=E$2:E461)))))-COUNTBLANK(OFFSET(A$1,,,SUMPRODUCT(MAX(ROW(E$1:E460)*(E2=E$1:E460))))))</f>
        <v>0</v>
      </c>
      <c r="K461" s="25">
        <f ca="1">IF(OR(E461="",E461="!!!",F461="NEW"),"",INDEX(J$1:J460,SUMPRODUCT(MAX(ROW(E$1:E460)*(E461=E$1:E460)))))</f>
        <v>0</v>
      </c>
      <c r="L461" s="26"/>
    </row>
    <row r="462" spans="1:12" x14ac:dyDescent="0.3">
      <c r="A462" t="s">
        <v>185</v>
      </c>
      <c r="E462" s="21" t="str">
        <f t="shared" si="33"/>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2"/>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408</v>
      </c>
      <c r="E463" s="21" t="str">
        <f t="shared" si="33"/>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2"/>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333</v>
      </c>
      <c r="E464" s="21" t="str">
        <f t="shared" si="33"/>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2"/>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159</v>
      </c>
      <c r="E465" s="21" t="str">
        <f t="shared" si="33"/>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2"/>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333</v>
      </c>
      <c r="E466" s="21" t="str">
        <f t="shared" si="33"/>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2"/>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362</v>
      </c>
      <c r="B467" s="20" t="s">
        <v>363</v>
      </c>
      <c r="C467" s="20" t="s">
        <v>187</v>
      </c>
      <c r="E467" s="21" t="str">
        <f t="shared" si="33"/>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32"/>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364</v>
      </c>
      <c r="B468" s="20" t="s">
        <v>186</v>
      </c>
      <c r="C468" s="20" t="s">
        <v>158</v>
      </c>
      <c r="E468" s="21" t="str">
        <f t="shared" si="33"/>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2"/>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409</v>
      </c>
      <c r="E469" s="21" t="str">
        <f t="shared" ref="E469:E495" si="34">IF(D469="?OLD","!!!","")</f>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ref="H469:H495" ca="1" si="35">IF(J469&lt;&gt;1,"",IF(I469="SBJ","CB","?"))</f>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185</v>
      </c>
      <c r="E470" s="21" t="str">
        <f t="shared" si="34"/>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5"/>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30</v>
      </c>
      <c r="E471" s="21" t="str">
        <f t="shared" si="34"/>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5"/>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333</v>
      </c>
      <c r="E472" s="21" t="str">
        <f t="shared" si="34"/>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35"/>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410</v>
      </c>
      <c r="E473" s="21" t="str">
        <f t="shared" si="34"/>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5"/>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202</v>
      </c>
      <c r="E474" s="21" t="str">
        <f t="shared" si="34"/>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5"/>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411</v>
      </c>
      <c r="E475" s="21" t="str">
        <f t="shared" si="34"/>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35"/>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412</v>
      </c>
      <c r="B476" s="20" t="s">
        <v>147</v>
      </c>
      <c r="C476" s="20" t="s">
        <v>158</v>
      </c>
      <c r="E476" s="21" t="str">
        <f t="shared" si="34"/>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5"/>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151</v>
      </c>
      <c r="E477" s="21" t="str">
        <f t="shared" si="34"/>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5"/>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413</v>
      </c>
      <c r="E478" s="21" t="str">
        <f t="shared" si="34"/>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5"/>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274</v>
      </c>
      <c r="E479" s="21" t="str">
        <f t="shared" si="34"/>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5"/>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402</v>
      </c>
      <c r="E480" s="21" t="str">
        <f t="shared" si="34"/>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5"/>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414</v>
      </c>
      <c r="B481" s="20" t="s">
        <v>177</v>
      </c>
      <c r="C481" s="20" t="s">
        <v>276</v>
      </c>
      <c r="E481" s="21" t="str">
        <f t="shared" si="34"/>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5"/>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185</v>
      </c>
      <c r="B482" s="20" t="s">
        <v>161</v>
      </c>
      <c r="C482" s="20" t="s">
        <v>187</v>
      </c>
      <c r="E482" s="21" t="str">
        <f t="shared" si="34"/>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5"/>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277</v>
      </c>
      <c r="E483" s="21" t="str">
        <f t="shared" si="34"/>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5"/>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156</v>
      </c>
      <c r="B484" s="20" t="s">
        <v>157</v>
      </c>
      <c r="C484" s="20" t="s">
        <v>178</v>
      </c>
      <c r="D484" s="20" t="s">
        <v>149</v>
      </c>
      <c r="E484" s="21" t="s">
        <v>583</v>
      </c>
      <c r="F484" s="22" t="str">
        <f>IF(OR(E484="",E484="!!!"),"",IF(NOT(ISNA(VLOOKUP(E484,E$1:E483,1,FALSE()))),"OLD",IF(AND(E484&lt;&gt;"",E484&lt;&gt;"!!!"),"NEW","")))</f>
        <v>OLD</v>
      </c>
      <c r="G484" s="23" t="s">
        <v>568</v>
      </c>
      <c r="H484" s="24" t="str">
        <f t="shared" ca="1" si="35"/>
        <v/>
      </c>
      <c r="I484" s="25" t="str">
        <f>IF(OR(E484="",E484="!!!",F484="NEW"),"",INDEX(B$2:B483,-1+SUMPRODUCT(MAX(ROW(E$2:E483)*(E484=E$2:E483)))))</f>
        <v>other_3</v>
      </c>
      <c r="J484" s="25">
        <f ca="1">IF(OR(E484="",E484="!!!",F484="NEW"),"",COUNTBLANK(OFFSET(A$1,,,SUMPRODUCT(MAX(ROW(E$2:E484)*(E484=E$2:E484)))))-COUNTBLANK(OFFSET(A$1,,,SUMPRODUCT(MAX(ROW(E$1:E483)*(E2=E$1:E483))))))</f>
        <v>0</v>
      </c>
      <c r="K484" s="25">
        <f ca="1">IF(OR(E484="",E484="!!!",F484="NEW"),"",INDEX(J$1:J483,SUMPRODUCT(MAX(ROW(E$1:E483)*(E484=E$1:E483)))))</f>
        <v>0</v>
      </c>
      <c r="L484" s="26"/>
    </row>
    <row r="485" spans="1:12" x14ac:dyDescent="0.3">
      <c r="A485" t="s">
        <v>415</v>
      </c>
      <c r="E485" s="21" t="str">
        <f t="shared" si="34"/>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5"/>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416</v>
      </c>
      <c r="E486" s="21" t="str">
        <f t="shared" si="34"/>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5"/>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159</v>
      </c>
      <c r="E487" s="21" t="str">
        <f t="shared" si="34"/>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5"/>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209</v>
      </c>
      <c r="E488" s="21" t="str">
        <f t="shared" si="3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417</v>
      </c>
      <c r="B489" s="20" t="s">
        <v>161</v>
      </c>
      <c r="C489" s="20" t="s">
        <v>158</v>
      </c>
      <c r="E489" s="21" t="str">
        <f t="shared" si="34"/>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35"/>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408</v>
      </c>
      <c r="E490" s="21" t="str">
        <f t="shared" si="34"/>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5"/>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151</v>
      </c>
      <c r="E491" s="21" t="str">
        <f t="shared" si="34"/>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35"/>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162</v>
      </c>
      <c r="B492" s="20" t="s">
        <v>177</v>
      </c>
      <c r="E492" s="21" t="str">
        <f t="shared" si="34"/>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5"/>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418</v>
      </c>
      <c r="E493" s="21" t="str">
        <f t="shared" si="34"/>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35"/>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419</v>
      </c>
      <c r="E494" s="21" t="str">
        <f t="shared" si="34"/>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35"/>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180</v>
      </c>
      <c r="E495" s="21" t="str">
        <f t="shared" si="34"/>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35"/>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7" spans="1:12" x14ac:dyDescent="0.3">
      <c r="A497" t="s">
        <v>420</v>
      </c>
    </row>
    <row r="498" spans="1:12" x14ac:dyDescent="0.3">
      <c r="A498" t="s">
        <v>421</v>
      </c>
      <c r="E498" s="21" t="str">
        <f t="shared" ref="E498:E507" si="36">IF(D498="?OLD","!!!","")</f>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ref="H498:H507" ca="1" si="37">IF(J498&lt;&gt;1,"",IF(I498="SBJ","CB","?"))</f>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422</v>
      </c>
      <c r="E499" s="21" t="str">
        <f t="shared" si="3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162</v>
      </c>
      <c r="E500" s="21" t="str">
        <f t="shared" si="36"/>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37"/>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423</v>
      </c>
      <c r="B501" s="20" t="s">
        <v>169</v>
      </c>
      <c r="C501" s="20" t="s">
        <v>178</v>
      </c>
      <c r="D501" s="20" t="s">
        <v>149</v>
      </c>
      <c r="E501" s="21"/>
      <c r="F501" s="22" t="s">
        <v>557</v>
      </c>
      <c r="G501" s="23" t="str">
        <f>IF(OR(E501="",E501="!!!"),"",IF(OR(J501=0,AND(J501=1,K501=1),AND(J501=1,I501="SBJ"),AND(J501=1,I501=0)),"?IN_FOCUS",IF(J501&lt;=2,"?ACTIVATED",IF(J501&lt;&gt;"","?FAMILIAR",IF(F501="NEW",IF(ISNA(VLOOKUP(E501,#REF!,1,FALSE())),"?TYPE_IDENTIFIABLE","?REFERENTIAL"),"_")))))</f>
        <v/>
      </c>
      <c r="H501" s="24" t="str">
        <f t="shared" ca="1" si="3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209</v>
      </c>
      <c r="E502" s="21" t="str">
        <f t="shared" si="36"/>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7"/>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424</v>
      </c>
      <c r="B503" s="20" t="s">
        <v>157</v>
      </c>
      <c r="C503" s="20" t="s">
        <v>158</v>
      </c>
      <c r="E503" s="21" t="s">
        <v>584</v>
      </c>
      <c r="F503" s="22" t="str">
        <f>IF(OR(E503="",E503="!!!"),"",IF(NOT(ISNA(VLOOKUP(E503,E$1:E502,1,FALSE()))),"OLD",IF(AND(E503&lt;&gt;"",E503&lt;&gt;"!!!"),"NEW","")))</f>
        <v>NEW</v>
      </c>
      <c r="G503" s="23" t="s">
        <v>565</v>
      </c>
      <c r="H503" s="24" t="str">
        <f t="shared" ca="1" si="3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190</v>
      </c>
      <c r="E504" s="21" t="str">
        <f t="shared" si="36"/>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3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425</v>
      </c>
      <c r="E505" s="21" t="str">
        <f t="shared" si="3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3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221</v>
      </c>
      <c r="E506" s="21" t="str">
        <f t="shared" si="36"/>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37"/>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180</v>
      </c>
      <c r="E507" s="21" t="str">
        <f t="shared" si="36"/>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37"/>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9" spans="1:12" x14ac:dyDescent="0.3">
      <c r="A509" t="s">
        <v>426</v>
      </c>
    </row>
    <row r="510" spans="1:12" x14ac:dyDescent="0.3">
      <c r="A510" t="s">
        <v>427</v>
      </c>
      <c r="B510" s="20" t="s">
        <v>169</v>
      </c>
      <c r="C510" s="20" t="s">
        <v>393</v>
      </c>
      <c r="E510" s="21" t="s">
        <v>599</v>
      </c>
      <c r="F510" s="22" t="str">
        <f>IF(OR(E510="",E510="!!!"),"",IF(NOT(ISNA(VLOOKUP(E510,E$1:E509,1,FALSE()))),"OLD",IF(AND(E510&lt;&gt;"",E510&lt;&gt;"!!!"),"NEW","")))</f>
        <v>OLD</v>
      </c>
      <c r="G510" s="23" t="s">
        <v>608</v>
      </c>
      <c r="H510" s="24" t="str">
        <f t="shared" ref="H510:H525" ca="1" si="38">IF(J510&lt;&gt;1,"",IF(I510="SBJ","CB","?"))</f>
        <v/>
      </c>
      <c r="I510" s="25" t="str">
        <f>IF(OR(E510="",E510="!!!",F510="NEW"),"",INDEX(B$2:B509,-1+SUMPRODUCT(MAX(ROW(E$2:E509)*(E510=E$2:E509)))))</f>
        <v>SBJ_3</v>
      </c>
      <c r="J510" s="25">
        <f ca="1">IF(OR(E510="",E510="!!!",F510="NEW"),"",COUNTBLANK(OFFSET(A$1,,,SUMPRODUCT(MAX(ROW(E$2:E510)*(E510=E$2:E510)))))-COUNTBLANK(OFFSET(A$1,,,SUMPRODUCT(MAX(ROW(E$1:E509)*(E2=E$1:E509))))))</f>
        <v>0</v>
      </c>
      <c r="K510" s="25">
        <f ca="1">IF(OR(E510="",E510="!!!",F510="NEW"),"",INDEX(J$1:J509,SUMPRODUCT(MAX(ROW(E$1:E509)*(E510=E$1:E509)))))</f>
        <v>0</v>
      </c>
      <c r="L510" s="26" t="s">
        <v>550</v>
      </c>
    </row>
    <row r="511" spans="1:12" x14ac:dyDescent="0.3">
      <c r="A511" t="s">
        <v>428</v>
      </c>
      <c r="E511" s="21" t="str">
        <f t="shared" ref="E511:E525" si="39">IF(D511="?OLD","!!!","")</f>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38"/>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424</v>
      </c>
      <c r="B512" s="20" t="s">
        <v>250</v>
      </c>
      <c r="C512" s="20" t="s">
        <v>158</v>
      </c>
      <c r="E512" s="21" t="s">
        <v>584</v>
      </c>
      <c r="F512" s="22" t="str">
        <f>IF(OR(E512="",E512="!!!"),"",IF(NOT(ISNA(VLOOKUP(E512,E$1:E511,1,FALSE()))),"OLD",IF(AND(E512&lt;&gt;"",E512&lt;&gt;"!!!"),"NEW","")))</f>
        <v>OLD</v>
      </c>
      <c r="G512" s="23" t="s">
        <v>568</v>
      </c>
      <c r="H512" s="24" t="s">
        <v>142</v>
      </c>
      <c r="I512" s="25" t="str">
        <f>IF(OR(E512="",E512="!!!",F512="NEW"),"",INDEX(B$2:B511,-1+SUMPRODUCT(MAX(ROW(E$2:E511)*(E512=E$2:E511)))))</f>
        <v>other_2</v>
      </c>
      <c r="J512" s="25">
        <f ca="1">IF(OR(E512="",E512="!!!",F512="NEW"),"",COUNTBLANK(OFFSET(A$1,,,SUMPRODUCT(MAX(ROW(E$2:E512)*(E512=E$2:E512)))))-COUNTBLANK(OFFSET(A$1,,,SUMPRODUCT(MAX(ROW(E$1:E511)*(E2=E$1:E511))))))</f>
        <v>0</v>
      </c>
      <c r="K512" s="25" t="str">
        <f ca="1">IF(OR(E512="",E512="!!!",F512="NEW"),"",INDEX(J$1:J511,SUMPRODUCT(MAX(ROW(E$1:E511)*(E512=E$1:E511)))))</f>
        <v/>
      </c>
      <c r="L512" s="26"/>
    </row>
    <row r="513" spans="1:12" x14ac:dyDescent="0.3">
      <c r="A513" t="s">
        <v>429</v>
      </c>
      <c r="E513" s="21" t="str">
        <f t="shared" si="39"/>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38"/>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151</v>
      </c>
      <c r="E514" s="21" t="str">
        <f t="shared" si="39"/>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38"/>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430</v>
      </c>
      <c r="E515" s="21" t="str">
        <f t="shared" si="39"/>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8"/>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431</v>
      </c>
      <c r="E516" s="21" t="s">
        <v>599</v>
      </c>
      <c r="F516" s="22" t="str">
        <f>IF(OR(E516="",E516="!!!"),"",IF(NOT(ISNA(VLOOKUP(E516,E$1:E515,1,FALSE()))),"OLD",IF(AND(E516&lt;&gt;"",E516&lt;&gt;"!!!"),"NEW","")))</f>
        <v>OLD</v>
      </c>
      <c r="G516" s="23" t="s">
        <v>590</v>
      </c>
      <c r="H516" s="24" t="str">
        <f t="shared" ca="1" si="38"/>
        <v/>
      </c>
      <c r="I516" s="25" t="str">
        <f>IF(OR(E516="",E516="!!!",F516="NEW"),"",INDEX(B$2:B515,-1+SUMPRODUCT(MAX(ROW(E$2:E515)*(E516=E$2:E515)))))</f>
        <v>SBJ</v>
      </c>
      <c r="J516" s="25">
        <f ca="1">IF(OR(E516="",E516="!!!",F516="NEW"),"",COUNTBLANK(OFFSET(A$1,,,SUMPRODUCT(MAX(ROW(E$2:E516)*(E516=E$2:E516)))))-COUNTBLANK(OFFSET(A$1,,,SUMPRODUCT(MAX(ROW(E$1:E515)*(E2=E$1:E515))))))</f>
        <v>0</v>
      </c>
      <c r="K516" s="25">
        <f ca="1">IF(OR(E516="",E516="!!!",F516="NEW"),"",INDEX(J$1:J515,SUMPRODUCT(MAX(ROW(E$1:E515)*(E516=E$1:E515)))))</f>
        <v>0</v>
      </c>
      <c r="L516" s="26" t="s">
        <v>607</v>
      </c>
    </row>
    <row r="517" spans="1:12" x14ac:dyDescent="0.3">
      <c r="A517" t="s">
        <v>432</v>
      </c>
      <c r="B517" s="20" t="s">
        <v>165</v>
      </c>
      <c r="C517" s="20" t="s">
        <v>199</v>
      </c>
      <c r="E517" s="21" t="s">
        <v>606</v>
      </c>
      <c r="F517" s="22" t="str">
        <f>IF(OR(E517="",E517="!!!"),"",IF(NOT(ISNA(VLOOKUP(E517,E$1:E516,1,FALSE()))),"OLD",IF(AND(E517&lt;&gt;"",E517&lt;&gt;"!!!"),"NEW","")))</f>
        <v>NEW</v>
      </c>
      <c r="G517" s="23" t="s">
        <v>572</v>
      </c>
      <c r="H517" s="24" t="str">
        <f t="shared" ca="1" si="38"/>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151</v>
      </c>
      <c r="E518" s="21" t="str">
        <f t="shared" si="39"/>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38"/>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226</v>
      </c>
      <c r="E519" s="21" t="str">
        <f t="shared" si="39"/>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38"/>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433</v>
      </c>
      <c r="B520" s="20" t="s">
        <v>161</v>
      </c>
      <c r="C520" s="20" t="s">
        <v>158</v>
      </c>
      <c r="E520" s="21" t="str">
        <f t="shared" si="39"/>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8"/>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339</v>
      </c>
      <c r="E521" s="21" t="str">
        <f t="shared" si="39"/>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38"/>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434</v>
      </c>
      <c r="B522" s="20" t="s">
        <v>186</v>
      </c>
      <c r="C522" s="20" t="s">
        <v>158</v>
      </c>
      <c r="E522" s="21" t="str">
        <f t="shared" si="39"/>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8"/>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185</v>
      </c>
      <c r="E523" s="21" t="str">
        <f t="shared" si="39"/>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8"/>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435</v>
      </c>
      <c r="E524" s="21" t="str">
        <f t="shared" si="39"/>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8"/>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180</v>
      </c>
      <c r="E525" s="21" t="str">
        <f t="shared" si="39"/>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8"/>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7" spans="1:12" x14ac:dyDescent="0.3">
      <c r="A527" t="s">
        <v>436</v>
      </c>
    </row>
    <row r="528" spans="1:12" x14ac:dyDescent="0.3">
      <c r="A528" t="s">
        <v>437</v>
      </c>
      <c r="E528" s="21" t="str">
        <f t="shared" ref="E528:E555" si="40">IF(D528="?OLD","!!!","")</f>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ref="H528:H555" ca="1" si="41">IF(J528&lt;&gt;1,"",IF(I528="SBJ","CB","?"))</f>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438</v>
      </c>
      <c r="B529" s="20" t="s">
        <v>169</v>
      </c>
      <c r="C529" s="20" t="s">
        <v>158</v>
      </c>
      <c r="E529" s="21" t="s">
        <v>584</v>
      </c>
      <c r="F529" s="22" t="str">
        <f>IF(OR(E529="",E529="!!!"),"",IF(NOT(ISNA(VLOOKUP(E529,E$1:E528,1,FALSE()))),"OLD",IF(AND(E529&lt;&gt;"",E529&lt;&gt;"!!!"),"NEW","")))</f>
        <v>OLD</v>
      </c>
      <c r="G529" s="23" t="s">
        <v>568</v>
      </c>
      <c r="H529" s="24" t="s">
        <v>142</v>
      </c>
      <c r="I529" s="25" t="str">
        <f>IF(OR(E529="",E529="!!!",F529="NEW"),"",INDEX(B$2:B528,-1+SUMPRODUCT(MAX(ROW(E$2:E528)*(E529=E$2:E528)))))</f>
        <v>OBJ</v>
      </c>
      <c r="J529" s="25">
        <f ca="1">IF(OR(E529="",E529="!!!",F529="NEW"),"",COUNTBLANK(OFFSET(A$1,,,SUMPRODUCT(MAX(ROW(E$2:E529)*(E529=E$2:E529)))))-COUNTBLANK(OFFSET(A$1,,,SUMPRODUCT(MAX(ROW(E$1:E528)*(E2=E$1:E528))))))</f>
        <v>0</v>
      </c>
      <c r="K529" s="25">
        <f ca="1">IF(OR(E529="",E529="!!!",F529="NEW"),"",INDEX(J$1:J528,SUMPRODUCT(MAX(ROW(E$1:E528)*(E529=E$1:E528)))))</f>
        <v>0</v>
      </c>
      <c r="L529" s="26"/>
    </row>
    <row r="530" spans="1:12" x14ac:dyDescent="0.3">
      <c r="A530" t="s">
        <v>439</v>
      </c>
      <c r="E530" s="21" t="str">
        <f t="shared" si="40"/>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1"/>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440</v>
      </c>
      <c r="E531" s="21" t="str">
        <f t="shared" si="40"/>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1"/>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277</v>
      </c>
      <c r="E532" s="21" t="str">
        <f t="shared" si="40"/>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1"/>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441</v>
      </c>
      <c r="B533" s="20" t="s">
        <v>147</v>
      </c>
      <c r="C533" s="20" t="s">
        <v>178</v>
      </c>
      <c r="D533" s="20" t="s">
        <v>149</v>
      </c>
      <c r="E533" s="21"/>
      <c r="F533" s="22" t="s">
        <v>557</v>
      </c>
      <c r="G533" s="23" t="str">
        <f>IF(OR(E533="",E533="!!!"),"",IF(OR(J533=0,AND(J533=1,K533=1),AND(J533=1,I533="SBJ"),AND(J533=1,I533=0)),"?IN_FOCUS",IF(J533&lt;=2,"?ACTIVATED",IF(J533&lt;&gt;"","?FAMILIAR",IF(F533="NEW",IF(ISNA(VLOOKUP(E533,#REF!,1,FALSE())),"?TYPE_IDENTIFIABLE","?REFERENTIAL"),"_")))))</f>
        <v/>
      </c>
      <c r="H533" s="24" t="str">
        <f t="shared" ca="1" si="41"/>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151</v>
      </c>
      <c r="E534" s="21" t="str">
        <f t="shared" si="40"/>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1"/>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442</v>
      </c>
      <c r="E535" s="21" t="str">
        <f t="shared" si="40"/>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1"/>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443</v>
      </c>
      <c r="B536" s="20" t="s">
        <v>157</v>
      </c>
      <c r="C536" s="20" t="s">
        <v>158</v>
      </c>
      <c r="E536" s="21" t="str">
        <f t="shared" si="40"/>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1"/>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151</v>
      </c>
      <c r="E537" s="21" t="str">
        <f t="shared" si="40"/>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1"/>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444</v>
      </c>
      <c r="B538" s="20" t="s">
        <v>157</v>
      </c>
      <c r="C538" s="20" t="s">
        <v>158</v>
      </c>
      <c r="E538" s="21" t="str">
        <f t="shared" si="40"/>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1"/>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159</v>
      </c>
      <c r="E539" s="21" t="str">
        <f t="shared" si="40"/>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1"/>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445</v>
      </c>
      <c r="E540" s="21" t="str">
        <f t="shared" si="40"/>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1"/>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446</v>
      </c>
      <c r="E541" s="21" t="str">
        <f t="shared" si="40"/>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1"/>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447</v>
      </c>
      <c r="B542" s="20" t="s">
        <v>157</v>
      </c>
      <c r="C542" s="20" t="s">
        <v>154</v>
      </c>
      <c r="E542" s="21" t="s">
        <v>601</v>
      </c>
      <c r="F542" s="22" t="str">
        <f>IF(OR(E542="",E542="!!!"),"",IF(NOT(ISNA(VLOOKUP(E542,E$1:E541,1,FALSE()))),"OLD",IF(AND(E542&lt;&gt;"",E542&lt;&gt;"!!!"),"NEW","")))</f>
        <v>NEW</v>
      </c>
      <c r="G542" s="23" t="s">
        <v>572</v>
      </c>
      <c r="H542" s="24" t="str">
        <f t="shared" ca="1" si="41"/>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t="s">
        <v>549</v>
      </c>
    </row>
    <row r="543" spans="1:12" x14ac:dyDescent="0.3">
      <c r="A543" t="s">
        <v>226</v>
      </c>
      <c r="E543" s="21" t="str">
        <f t="shared" si="40"/>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1"/>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448</v>
      </c>
      <c r="B544" s="20" t="s">
        <v>161</v>
      </c>
      <c r="C544" s="20" t="s">
        <v>158</v>
      </c>
      <c r="E544" s="21" t="str">
        <f t="shared" si="40"/>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1"/>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151</v>
      </c>
      <c r="E545" s="21" t="str">
        <f t="shared" si="40"/>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41"/>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162</v>
      </c>
      <c r="B546" s="20" t="s">
        <v>177</v>
      </c>
      <c r="E546" s="21" t="str">
        <f t="shared" si="40"/>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1"/>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185</v>
      </c>
      <c r="E547" s="21" t="str">
        <f t="shared" si="40"/>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1"/>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449</v>
      </c>
      <c r="E548" s="21" t="str">
        <f t="shared" si="40"/>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1"/>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171</v>
      </c>
      <c r="E549" s="21" t="str">
        <f t="shared" si="40"/>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1"/>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151</v>
      </c>
      <c r="E550" s="21" t="str">
        <f t="shared" si="40"/>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41"/>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450</v>
      </c>
      <c r="E551" s="21" t="str">
        <f t="shared" si="40"/>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1"/>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329</v>
      </c>
      <c r="B552" s="20" t="s">
        <v>165</v>
      </c>
      <c r="C552" s="20" t="s">
        <v>330</v>
      </c>
      <c r="D552" s="20" t="s">
        <v>149</v>
      </c>
      <c r="E552" s="21" t="s">
        <v>601</v>
      </c>
      <c r="F552" s="22" t="str">
        <f>IF(OR(E552="",E552="!!!"),"",IF(NOT(ISNA(VLOOKUP(E552,E$1:E551,1,FALSE()))),"OLD",IF(AND(E552&lt;&gt;"",E552&lt;&gt;"!!!"),"NEW","")))</f>
        <v>OLD</v>
      </c>
      <c r="G552" s="23" t="s">
        <v>568</v>
      </c>
      <c r="H552" s="24" t="str">
        <f t="shared" ca="1" si="41"/>
        <v/>
      </c>
      <c r="I552" s="25" t="str">
        <f>IF(OR(E552="",E552="!!!",F552="NEW"),"",INDEX(B$2:B551,-1+SUMPRODUCT(MAX(ROW(E$2:E551)*(E552=E$2:E551)))))</f>
        <v>other_2</v>
      </c>
      <c r="J552" s="25">
        <f ca="1">IF(OR(E552="",E552="!!!",F552="NEW"),"",COUNTBLANK(OFFSET(A$1,,,SUMPRODUCT(MAX(ROW(E$2:E552)*(E552=E$2:E552)))))-COUNTBLANK(OFFSET(A$1,,,SUMPRODUCT(MAX(ROW(E$1:E551)*(E2=E$1:E551))))))</f>
        <v>0</v>
      </c>
      <c r="K552" s="25" t="str">
        <f ca="1">IF(OR(E552="",E552="!!!",F552="NEW"),"",INDEX(J$1:J551,SUMPRODUCT(MAX(ROW(E$1:E551)*(E552=E$1:E551)))))</f>
        <v/>
      </c>
      <c r="L552" s="26"/>
    </row>
    <row r="553" spans="1:12" x14ac:dyDescent="0.3">
      <c r="A553" t="s">
        <v>451</v>
      </c>
      <c r="E553" s="21" t="str">
        <f t="shared" si="40"/>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41"/>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452</v>
      </c>
      <c r="E554" s="21" t="str">
        <f t="shared" si="40"/>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1"/>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180</v>
      </c>
      <c r="E555" s="21" t="str">
        <f t="shared" si="40"/>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1"/>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7" spans="1:12" x14ac:dyDescent="0.3">
      <c r="A557" t="s">
        <v>453</v>
      </c>
    </row>
    <row r="558" spans="1:12" x14ac:dyDescent="0.3">
      <c r="A558" t="s">
        <v>454</v>
      </c>
      <c r="E558" s="21" t="str">
        <f t="shared" ref="E558:E584" si="42">IF(D558="?OLD","!!!","")</f>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ref="H558:H584" ca="1" si="43">IF(J558&lt;&gt;1,"",IF(I558="SBJ","CB","?"))</f>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280</v>
      </c>
      <c r="E559" s="21" t="str">
        <f t="shared" si="42"/>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43"/>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455</v>
      </c>
      <c r="B560" s="20" t="s">
        <v>169</v>
      </c>
      <c r="C560" s="20" t="s">
        <v>178</v>
      </c>
      <c r="D560" s="20" t="s">
        <v>149</v>
      </c>
      <c r="E560" s="21"/>
      <c r="F560" s="22" t="s">
        <v>557</v>
      </c>
      <c r="G560" s="23" t="str">
        <f>IF(OR(E560="",E560="!!!"),"",IF(OR(J560=0,AND(J560=1,K560=1),AND(J560=1,I560="SBJ"),AND(J560=1,I560=0)),"?IN_FOCUS",IF(J560&lt;=2,"?ACTIVATED",IF(J560&lt;&gt;"","?FAMILIAR",IF(F560="NEW",IF(ISNA(VLOOKUP(E560,#REF!,1,FALSE())),"?TYPE_IDENTIFIABLE","?REFERENTIAL"),"_")))))</f>
        <v/>
      </c>
      <c r="H560" s="24" t="str">
        <f t="shared" ca="1" si="43"/>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226</v>
      </c>
      <c r="E561" s="21" t="str">
        <f t="shared" si="42"/>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3"/>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12</v>
      </c>
      <c r="B562" s="20" t="s">
        <v>157</v>
      </c>
      <c r="C562" s="20" t="s">
        <v>148</v>
      </c>
      <c r="D562" s="20" t="s">
        <v>149</v>
      </c>
      <c r="E562" s="21" t="s">
        <v>546</v>
      </c>
      <c r="F562" s="22" t="str">
        <f>IF(OR(E562="",E562="!!!"),"",IF(NOT(ISNA(VLOOKUP(E562,E$1:E561,1,FALSE()))),"OLD",IF(AND(E562&lt;&gt;"",E562&lt;&gt;"!!!"),"NEW","")))</f>
        <v>OLD</v>
      </c>
      <c r="G562" s="23" t="s">
        <v>565</v>
      </c>
      <c r="H562" s="24" t="str">
        <f t="shared" ca="1" si="43"/>
        <v/>
      </c>
      <c r="I562" s="25" t="str">
        <f>IF(OR(E562="",E562="!!!",F562="NEW"),"",INDEX(B$2:B561,-1+SUMPRODUCT(MAX(ROW(E$2:E561)*(E562=E$2:E561)))))</f>
        <v>other_3</v>
      </c>
      <c r="J562" s="25">
        <f ca="1">IF(OR(E562="",E562="!!!",F562="NEW"),"",COUNTBLANK(OFFSET(A$1,,,SUMPRODUCT(MAX(ROW(E$2:E562)*(E562=E$2:E562)))))-COUNTBLANK(OFFSET(A$1,,,SUMPRODUCT(MAX(ROW(E$1:E561)*(E2=E$1:E561))))))</f>
        <v>0</v>
      </c>
      <c r="K562" s="25">
        <f ca="1">IF(OR(E562="",E562="!!!",F562="NEW"),"",INDEX(J$1:J561,SUMPRODUCT(MAX(ROW(E$1:E561)*(E562=E$1:E561)))))</f>
        <v>0</v>
      </c>
      <c r="L562" s="26"/>
    </row>
    <row r="563" spans="1:12" x14ac:dyDescent="0.3">
      <c r="A563" t="s">
        <v>150</v>
      </c>
      <c r="E563" s="21" t="str">
        <f t="shared" si="42"/>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43"/>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171</v>
      </c>
      <c r="E564" s="21" t="str">
        <f t="shared" si="42"/>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43"/>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151</v>
      </c>
      <c r="E565" s="21" t="str">
        <f t="shared" si="42"/>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3"/>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240</v>
      </c>
      <c r="E566" s="21" t="str">
        <f t="shared" si="42"/>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43"/>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194</v>
      </c>
      <c r="B567" s="20" t="s">
        <v>177</v>
      </c>
      <c r="C567" s="20" t="s">
        <v>170</v>
      </c>
      <c r="D567" s="20" t="s">
        <v>149</v>
      </c>
      <c r="E567" s="21" t="s">
        <v>546</v>
      </c>
      <c r="F567" s="22" t="str">
        <f>IF(OR(E567="",E567="!!!"),"",IF(NOT(ISNA(VLOOKUP(E567,E$1:E566,1,FALSE()))),"OLD",IF(AND(E567&lt;&gt;"",E567&lt;&gt;"!!!"),"NEW","")))</f>
        <v>OLD</v>
      </c>
      <c r="G567" s="23" t="s">
        <v>568</v>
      </c>
      <c r="H567" s="24" t="str">
        <f t="shared" ca="1" si="43"/>
        <v/>
      </c>
      <c r="I567" s="25" t="str">
        <f>IF(OR(E567="",E567="!!!",F567="NEW"),"",INDEX(B$2:B566,-1+SUMPRODUCT(MAX(ROW(E$2:E566)*(E567=E$2:E566)))))</f>
        <v>other_2</v>
      </c>
      <c r="J567" s="25">
        <f ca="1">IF(OR(E567="",E567="!!!",F567="NEW"),"",COUNTBLANK(OFFSET(A$1,,,SUMPRODUCT(MAX(ROW(E$2:E567)*(E567=E$2:E567)))))-COUNTBLANK(OFFSET(A$1,,,SUMPRODUCT(MAX(ROW(E$1:E566)*(E2=E$1:E566))))))</f>
        <v>0</v>
      </c>
      <c r="K567" s="25">
        <f ca="1">IF(OR(E567="",E567="!!!",F567="NEW"),"",INDEX(J$1:J566,SUMPRODUCT(MAX(ROW(E$1:E566)*(E567=E$1:E566)))))</f>
        <v>0</v>
      </c>
      <c r="L567" s="26"/>
    </row>
    <row r="568" spans="1:12" x14ac:dyDescent="0.3">
      <c r="A568" t="s">
        <v>162</v>
      </c>
      <c r="E568" s="21" t="str">
        <f t="shared" si="42"/>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43"/>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217</v>
      </c>
      <c r="B569" s="20" t="s">
        <v>175</v>
      </c>
      <c r="C569" s="20" t="s">
        <v>178</v>
      </c>
      <c r="D569" s="20" t="s">
        <v>149</v>
      </c>
      <c r="E569" s="21" t="s">
        <v>599</v>
      </c>
      <c r="F569" s="22" t="str">
        <f>IF(OR(E569="",E569="!!!"),"",IF(NOT(ISNA(VLOOKUP(E569,E$1:E568,1,FALSE()))),"OLD",IF(AND(E569&lt;&gt;"",E569&lt;&gt;"!!!"),"NEW","")))</f>
        <v>OLD</v>
      </c>
      <c r="G569" s="23" t="s">
        <v>590</v>
      </c>
      <c r="H569" s="24" t="str">
        <f t="shared" ca="1" si="43"/>
        <v/>
      </c>
      <c r="I569" s="25">
        <f>IF(OR(E569="",E569="!!!",F569="NEW"),"",INDEX(B$2:B568,-1+SUMPRODUCT(MAX(ROW(E$2:E568)*(E569=E$2:E568)))))</f>
        <v>0</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404</v>
      </c>
      <c r="E570" s="21" t="str">
        <f t="shared" si="42"/>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43"/>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456</v>
      </c>
      <c r="E571" s="21" t="str">
        <f t="shared" si="42"/>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43"/>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151</v>
      </c>
      <c r="E572" s="21" t="str">
        <f t="shared" si="42"/>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43"/>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291</v>
      </c>
      <c r="B573" s="20" t="s">
        <v>165</v>
      </c>
      <c r="C573" s="20" t="s">
        <v>187</v>
      </c>
      <c r="E573" s="21" t="str">
        <f t="shared" si="42"/>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43"/>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206</v>
      </c>
      <c r="E574" s="21" t="str">
        <f t="shared" si="42"/>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43"/>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188</v>
      </c>
      <c r="E575" s="21" t="str">
        <f t="shared" si="42"/>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43"/>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243</v>
      </c>
      <c r="B576" s="20" t="s">
        <v>186</v>
      </c>
      <c r="C576" s="20" t="s">
        <v>178</v>
      </c>
      <c r="D576" s="20" t="s">
        <v>149</v>
      </c>
      <c r="E576" s="21" t="s">
        <v>558</v>
      </c>
      <c r="F576" s="22" t="str">
        <f>IF(OR(E576="",E576="!!!"),"",IF(NOT(ISNA(VLOOKUP(E576,E$1:E575,1,FALSE()))),"OLD",IF(AND(E576&lt;&gt;"",E576&lt;&gt;"!!!"),"NEW","")))</f>
        <v>OLD</v>
      </c>
      <c r="G576" s="23" t="s">
        <v>565</v>
      </c>
      <c r="H576" s="24" t="str">
        <f t="shared" ca="1" si="43"/>
        <v/>
      </c>
      <c r="I576" s="25" t="str">
        <f>IF(OR(E576="",E576="!!!",F576="NEW"),"",INDEX(B$2:B575,-1+SUMPRODUCT(MAX(ROW(E$2:E575)*(E576=E$2:E575)))))</f>
        <v>other_2</v>
      </c>
      <c r="J576" s="25">
        <f ca="1">IF(OR(E576="",E576="!!!",F576="NEW"),"",COUNTBLANK(OFFSET(A$1,,,SUMPRODUCT(MAX(ROW(E$2:E576)*(E576=E$2:E576)))))-COUNTBLANK(OFFSET(A$1,,,SUMPRODUCT(MAX(ROW(E$1:E575)*(E2=E$1:E575))))))</f>
        <v>0</v>
      </c>
      <c r="K576" s="25">
        <f ca="1">IF(OR(E576="",E576="!!!",F576="NEW"),"",INDEX(J$1:J575,SUMPRODUCT(MAX(ROW(E$1:E575)*(E576=E$1:E575)))))</f>
        <v>0</v>
      </c>
      <c r="L576" s="26"/>
    </row>
    <row r="577" spans="1:12" x14ac:dyDescent="0.3">
      <c r="A577" t="s">
        <v>185</v>
      </c>
      <c r="E577" s="21" t="str">
        <f t="shared" si="42"/>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43"/>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457</v>
      </c>
      <c r="E578" s="21" t="str">
        <f t="shared" si="42"/>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43"/>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151</v>
      </c>
      <c r="E579" s="21" t="str">
        <f t="shared" si="42"/>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43"/>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240</v>
      </c>
      <c r="E580" s="21" t="str">
        <f t="shared" si="42"/>
        <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43"/>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458</v>
      </c>
      <c r="B581" s="20" t="s">
        <v>459</v>
      </c>
      <c r="C581" s="20" t="s">
        <v>170</v>
      </c>
      <c r="D581" s="20" t="s">
        <v>149</v>
      </c>
      <c r="E581" s="21" t="s">
        <v>599</v>
      </c>
      <c r="F581" s="22" t="str">
        <f>IF(OR(E581="",E581="!!!"),"",IF(NOT(ISNA(VLOOKUP(E581,E$1:E580,1,FALSE()))),"OLD",IF(AND(E581&lt;&gt;"",E581&lt;&gt;"!!!"),"NEW","")))</f>
        <v>OLD</v>
      </c>
      <c r="G581" s="23" t="s">
        <v>568</v>
      </c>
      <c r="H581" s="24" t="str">
        <f t="shared" ca="1" si="43"/>
        <v/>
      </c>
      <c r="I581" s="25" t="str">
        <f>IF(OR(E581="",E581="!!!",F581="NEW"),"",INDEX(B$2:B580,-1+SUMPRODUCT(MAX(ROW(E$2:E580)*(E581=E$2:E580)))))</f>
        <v>OBJ_2</v>
      </c>
      <c r="J581" s="25">
        <f ca="1">IF(OR(E581="",E581="!!!",F581="NEW"),"",COUNTBLANK(OFFSET(A$1,,,SUMPRODUCT(MAX(ROW(E$2:E581)*(E581=E$2:E581)))))-COUNTBLANK(OFFSET(A$1,,,SUMPRODUCT(MAX(ROW(E$1:E580)*(E2=E$1:E580))))))</f>
        <v>0</v>
      </c>
      <c r="K581" s="25">
        <f ca="1">IF(OR(E581="",E581="!!!",F581="NEW"),"",INDEX(J$1:J580,SUMPRODUCT(MAX(ROW(E$1:E580)*(E581=E$1:E580)))))</f>
        <v>0</v>
      </c>
      <c r="L581" s="26"/>
    </row>
    <row r="582" spans="1:12" x14ac:dyDescent="0.3">
      <c r="A582" t="s">
        <v>460</v>
      </c>
      <c r="B582" s="20" t="s">
        <v>459</v>
      </c>
      <c r="C582" s="20" t="s">
        <v>158</v>
      </c>
      <c r="E582" s="21" t="str">
        <f t="shared" si="42"/>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43"/>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461</v>
      </c>
      <c r="E583" s="21" t="str">
        <f t="shared" si="42"/>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43"/>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180</v>
      </c>
      <c r="E584" s="21" t="str">
        <f t="shared" si="42"/>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43"/>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6" spans="1:12" x14ac:dyDescent="0.3">
      <c r="A586" t="s">
        <v>462</v>
      </c>
    </row>
    <row r="587" spans="1:12" x14ac:dyDescent="0.3">
      <c r="A587" t="s">
        <v>463</v>
      </c>
      <c r="E587" s="21" t="str">
        <f t="shared" ref="E587:E603" si="44">IF(D587="?OLD","!!!","")</f>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ref="H587:H603" ca="1" si="45">IF(J587&lt;&gt;1,"",IF(I587="SBJ","CB","?"))</f>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221</v>
      </c>
      <c r="E588" s="21" t="str">
        <f t="shared" si="44"/>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45"/>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464</v>
      </c>
      <c r="E589" s="21" t="str">
        <f t="shared" si="44"/>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45"/>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465</v>
      </c>
      <c r="B590" s="20" t="s">
        <v>169</v>
      </c>
      <c r="C590" s="20" t="s">
        <v>276</v>
      </c>
      <c r="E590" s="21" t="str">
        <f t="shared" si="44"/>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45"/>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1" spans="1:12" x14ac:dyDescent="0.3">
      <c r="A591" t="s">
        <v>277</v>
      </c>
      <c r="E591" s="21" t="str">
        <f t="shared" si="44"/>
        <v/>
      </c>
      <c r="F591" s="22" t="str">
        <f>IF(OR(E591="",E591="!!!"),"",IF(NOT(ISNA(VLOOKUP(E591,E$1:E590,1,FALSE()))),"OLD",IF(AND(E591&lt;&gt;"",E591&lt;&gt;"!!!"),"NEW","")))</f>
        <v/>
      </c>
      <c r="G591" s="23" t="str">
        <f>IF(OR(E591="",E591="!!!"),"",IF(OR(J591=0,AND(J591=1,K591=1),AND(J591=1,I591="SBJ"),AND(J591=1,I591=0)),"?IN_FOCUS",IF(J591&lt;=2,"?ACTIVATED",IF(J591&lt;&gt;"","?FAMILIAR",IF(F591="NEW",IF(ISNA(VLOOKUP(E591,#REF!,1,FALSE())),"?TYPE_IDENTIFIABLE","?REFERENTIAL"),"_")))))</f>
        <v/>
      </c>
      <c r="H591" s="24" t="str">
        <f t="shared" ca="1" si="45"/>
        <v/>
      </c>
      <c r="I591" s="25" t="str">
        <f>IF(OR(E591="",E591="!!!",F591="NEW"),"",INDEX(B$2:B590,-1+SUMPRODUCT(MAX(ROW(E$2:E590)*(E591=E$2:E590)))))</f>
        <v/>
      </c>
      <c r="J591" s="25" t="str">
        <f ca="1">IF(OR(E591="",E591="!!!",F591="NEW"),"",COUNTBLANK(OFFSET(A$1,,,SUMPRODUCT(MAX(ROW(E$2:E591)*(E591=E$2:E591)))))-COUNTBLANK(OFFSET(A$1,,,SUMPRODUCT(MAX(ROW(E$1:E590)*(E2=E$1:E590))))))</f>
        <v/>
      </c>
      <c r="K591" s="25" t="str">
        <f>IF(OR(E591="",E591="!!!",F591="NEW"),"",INDEX(J$1:J590,SUMPRODUCT(MAX(ROW(E$1:E590)*(E591=E$1:E590)))))</f>
        <v/>
      </c>
      <c r="L591" s="26"/>
    </row>
    <row r="592" spans="1:12" x14ac:dyDescent="0.3">
      <c r="A592" t="s">
        <v>156</v>
      </c>
      <c r="B592" s="20" t="s">
        <v>157</v>
      </c>
      <c r="C592" s="20" t="s">
        <v>178</v>
      </c>
      <c r="D592" s="20" t="s">
        <v>149</v>
      </c>
      <c r="E592" s="21" t="s">
        <v>583</v>
      </c>
      <c r="F592" s="22" t="str">
        <f>IF(OR(E592="",E592="!!!"),"",IF(NOT(ISNA(VLOOKUP(E592,E$1:E591,1,FALSE()))),"OLD",IF(AND(E592&lt;&gt;"",E592&lt;&gt;"!!!"),"NEW","")))</f>
        <v>OLD</v>
      </c>
      <c r="G592" s="23" t="s">
        <v>565</v>
      </c>
      <c r="H592" s="24" t="str">
        <f t="shared" ca="1" si="45"/>
        <v/>
      </c>
      <c r="I592" s="25" t="str">
        <f>IF(OR(E592="",E592="!!!",F592="NEW"),"",INDEX(B$2:B591,-1+SUMPRODUCT(MAX(ROW(E$2:E591)*(E592=E$2:E591)))))</f>
        <v>other_2</v>
      </c>
      <c r="J592" s="25">
        <f ca="1">IF(OR(E592="",E592="!!!",F592="NEW"),"",COUNTBLANK(OFFSET(A$1,,,SUMPRODUCT(MAX(ROW(E$2:E592)*(E592=E$2:E592)))))-COUNTBLANK(OFFSET(A$1,,,SUMPRODUCT(MAX(ROW(E$1:E591)*(E2=E$1:E591))))))</f>
        <v>0</v>
      </c>
      <c r="K592" s="25">
        <f ca="1">IF(OR(E592="",E592="!!!",F592="NEW"),"",INDEX(J$1:J591,SUMPRODUCT(MAX(ROW(E$1:E591)*(E592=E$1:E591)))))</f>
        <v>0</v>
      </c>
      <c r="L592" s="26"/>
    </row>
    <row r="593" spans="1:12" x14ac:dyDescent="0.3">
      <c r="A593" t="s">
        <v>466</v>
      </c>
      <c r="E593" s="21" t="str">
        <f t="shared" si="44"/>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45"/>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11</v>
      </c>
      <c r="E594" s="21" t="str">
        <f t="shared" si="44"/>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45"/>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467</v>
      </c>
      <c r="B595" s="20" t="s">
        <v>147</v>
      </c>
      <c r="C595" s="20" t="s">
        <v>158</v>
      </c>
      <c r="E595" s="21" t="s">
        <v>584</v>
      </c>
      <c r="F595" s="22" t="str">
        <f>IF(OR(E595="",E595="!!!"),"",IF(NOT(ISNA(VLOOKUP(E595,E$1:E594,1,FALSE()))),"OLD",IF(AND(E595&lt;&gt;"",E595&lt;&gt;"!!!"),"NEW","")))</f>
        <v>OLD</v>
      </c>
      <c r="G595" s="23" t="s">
        <v>590</v>
      </c>
      <c r="H595" s="24" t="str">
        <f t="shared" ca="1" si="45"/>
        <v/>
      </c>
      <c r="I595" s="25" t="str">
        <f>IF(OR(E595="",E595="!!!",F595="NEW"),"",INDEX(B$2:B594,-1+SUMPRODUCT(MAX(ROW(E$2:E594)*(E595=E$2:E594)))))</f>
        <v>SBJ</v>
      </c>
      <c r="J595" s="25">
        <f ca="1">IF(OR(E595="",E595="!!!",F595="NEW"),"",COUNTBLANK(OFFSET(A$1,,,SUMPRODUCT(MAX(ROW(E$2:E595)*(E595=E$2:E595)))))-COUNTBLANK(OFFSET(A$1,,,SUMPRODUCT(MAX(ROW(E$1:E594)*(E2=E$1:E594))))))</f>
        <v>0</v>
      </c>
      <c r="K595" s="25">
        <f ca="1">IF(OR(E595="",E595="!!!",F595="NEW"),"",INDEX(J$1:J594,SUMPRODUCT(MAX(ROW(E$1:E594)*(E595=E$1:E594)))))</f>
        <v>0</v>
      </c>
      <c r="L595" s="26" t="s">
        <v>549</v>
      </c>
    </row>
    <row r="596" spans="1:12" x14ac:dyDescent="0.3">
      <c r="A596" t="s">
        <v>151</v>
      </c>
      <c r="E596" s="21" t="str">
        <f t="shared" si="44"/>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5"/>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468</v>
      </c>
      <c r="E597" s="21" t="str">
        <f t="shared" si="44"/>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5"/>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469</v>
      </c>
      <c r="B598" s="20" t="s">
        <v>157</v>
      </c>
      <c r="C598" s="20" t="s">
        <v>158</v>
      </c>
      <c r="E598" s="21"/>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45"/>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159</v>
      </c>
      <c r="E599" s="21" t="str">
        <f t="shared" si="44"/>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45"/>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470</v>
      </c>
      <c r="B600" s="20" t="s">
        <v>157</v>
      </c>
      <c r="C600" s="20" t="s">
        <v>158</v>
      </c>
      <c r="E600" s="21" t="str">
        <f t="shared" si="44"/>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45"/>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471</v>
      </c>
      <c r="E601" s="21" t="str">
        <f t="shared" si="44"/>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45"/>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460</v>
      </c>
      <c r="B602" s="20" t="s">
        <v>147</v>
      </c>
      <c r="C602" s="20" t="s">
        <v>158</v>
      </c>
      <c r="E602" s="21" t="str">
        <f t="shared" si="44"/>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45"/>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180</v>
      </c>
      <c r="E603" s="21" t="str">
        <f t="shared" si="44"/>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5"/>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5" spans="1:12" x14ac:dyDescent="0.3">
      <c r="A605" t="s">
        <v>472</v>
      </c>
    </row>
    <row r="606" spans="1:12" x14ac:dyDescent="0.3">
      <c r="A606" t="s">
        <v>473</v>
      </c>
      <c r="B606" s="20" t="s">
        <v>157</v>
      </c>
      <c r="C606" s="20" t="s">
        <v>187</v>
      </c>
      <c r="E606" s="21" t="str">
        <f t="shared" ref="E606:E615" si="46">IF(D606="?OLD","!!!","")</f>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ref="H606:H615" ca="1" si="47">IF(J606&lt;&gt;1,"",IF(I606="SBJ","CB","?"))</f>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217</v>
      </c>
      <c r="B607" s="20" t="s">
        <v>169</v>
      </c>
      <c r="C607" s="20" t="s">
        <v>276</v>
      </c>
      <c r="E607" s="21" t="str">
        <f t="shared" si="46"/>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47"/>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64</v>
      </c>
      <c r="E608" s="21" t="str">
        <f t="shared" si="46"/>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47"/>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202</v>
      </c>
      <c r="E609" s="21" t="str">
        <f t="shared" si="46"/>
        <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47"/>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277</v>
      </c>
      <c r="E610" s="21" t="str">
        <f t="shared" si="46"/>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7"/>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153</v>
      </c>
      <c r="B611" s="20" t="s">
        <v>147</v>
      </c>
      <c r="C611" s="20" t="s">
        <v>178</v>
      </c>
      <c r="D611" s="20" t="s">
        <v>149</v>
      </c>
      <c r="E611" s="21" t="s">
        <v>594</v>
      </c>
      <c r="F611" s="22" t="str">
        <f>IF(OR(E611="",E611="!!!"),"",IF(NOT(ISNA(VLOOKUP(E611,E$1:E610,1,FALSE()))),"OLD",IF(AND(E611&lt;&gt;"",E611&lt;&gt;"!!!"),"NEW","")))</f>
        <v>OLD</v>
      </c>
      <c r="G611" s="23" t="s">
        <v>565</v>
      </c>
      <c r="H611" s="24" t="str">
        <f t="shared" ca="1" si="47"/>
        <v/>
      </c>
      <c r="I611" s="25" t="str">
        <f>IF(OR(E611="",E611="!!!",F611="NEW"),"",INDEX(B$2:B610,-1+SUMPRODUCT(MAX(ROW(E$2:E610)*(E611=E$2:E610)))))</f>
        <v>other_2</v>
      </c>
      <c r="J611" s="25">
        <f ca="1">IF(OR(E611="",E611="!!!",F611="NEW"),"",COUNTBLANK(OFFSET(A$1,,,SUMPRODUCT(MAX(ROW(E$2:E611)*(E611=E$2:E611)))))-COUNTBLANK(OFFSET(A$1,,,SUMPRODUCT(MAX(ROW(E$1:E610)*(E2=E$1:E610))))))</f>
        <v>0</v>
      </c>
      <c r="K611" s="25">
        <f ca="1">IF(OR(E611="",E611="!!!",F611="NEW"),"",INDEX(J$1:J610,SUMPRODUCT(MAX(ROW(E$1:E610)*(E611=E$1:E610)))))</f>
        <v>0</v>
      </c>
      <c r="L611" s="26"/>
    </row>
    <row r="612" spans="1:12" x14ac:dyDescent="0.3">
      <c r="A612" t="s">
        <v>474</v>
      </c>
      <c r="E612" s="21" t="str">
        <f t="shared" si="46"/>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7"/>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475</v>
      </c>
      <c r="E613" s="21" t="str">
        <f t="shared" si="46"/>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7"/>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476</v>
      </c>
      <c r="B614" s="20" t="s">
        <v>250</v>
      </c>
      <c r="C614" s="20" t="s">
        <v>158</v>
      </c>
      <c r="E614" s="21" t="str">
        <f t="shared" si="46"/>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7"/>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180</v>
      </c>
      <c r="E615" s="21" t="str">
        <f t="shared" si="46"/>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47"/>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7" spans="1:12" x14ac:dyDescent="0.3">
      <c r="A617" t="s">
        <v>477</v>
      </c>
    </row>
    <row r="618" spans="1:12" x14ac:dyDescent="0.3">
      <c r="A618" t="s">
        <v>273</v>
      </c>
      <c r="E618" s="21" t="str">
        <f t="shared" ref="E618:E633" si="48">IF(D618="?OLD","!!!","")</f>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ref="H618:H633" ca="1" si="49">IF(J618&lt;&gt;1,"",IF(I618="SBJ","CB","?"))</f>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478</v>
      </c>
      <c r="E619" s="21" t="str">
        <f t="shared" si="48"/>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9"/>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479</v>
      </c>
      <c r="E620" s="21" t="str">
        <f t="shared" si="48"/>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49"/>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194</v>
      </c>
      <c r="E621" s="21" t="str">
        <f t="shared" si="48"/>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49"/>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480</v>
      </c>
      <c r="E622" s="21" t="str">
        <f t="shared" si="48"/>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49"/>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481</v>
      </c>
      <c r="E623" s="21" t="str">
        <f t="shared" si="48"/>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49"/>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4" spans="1:12" x14ac:dyDescent="0.3">
      <c r="A624" t="s">
        <v>482</v>
      </c>
      <c r="B624" s="20" t="s">
        <v>169</v>
      </c>
      <c r="C624" s="20" t="s">
        <v>158</v>
      </c>
      <c r="E624" s="21" t="str">
        <f t="shared" si="48"/>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49"/>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151</v>
      </c>
      <c r="E625" s="21" t="str">
        <f t="shared" si="48"/>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49"/>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162</v>
      </c>
      <c r="B626" s="20" t="s">
        <v>163</v>
      </c>
      <c r="E626" s="21" t="str">
        <f t="shared" si="48"/>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49"/>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164</v>
      </c>
      <c r="B627" s="20" t="s">
        <v>165</v>
      </c>
      <c r="E627" s="21" t="str">
        <f t="shared" si="48"/>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49"/>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478</v>
      </c>
      <c r="E628" s="21" t="str">
        <f t="shared" si="48"/>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49"/>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335</v>
      </c>
      <c r="E629" s="21" t="str">
        <f t="shared" si="48"/>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49"/>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291</v>
      </c>
      <c r="E630" s="21" t="str">
        <f t="shared" si="48"/>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49"/>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483</v>
      </c>
      <c r="E631" s="21" t="str">
        <f t="shared" si="48"/>
        <v/>
      </c>
      <c r="F631" s="22" t="str">
        <f>IF(OR(E631="",E631="!!!"),"",IF(NOT(ISNA(VLOOKUP(E631,E$1:E630,1,FALSE()))),"OLD",IF(AND(E631&lt;&gt;"",E631&lt;&gt;"!!!"),"NEW","")))</f>
        <v/>
      </c>
      <c r="G631" s="23" t="str">
        <f>IF(OR(E631="",E631="!!!"),"",IF(OR(J631=0,AND(J631=1,K631=1),AND(J631=1,I631="SBJ"),AND(J631=1,I631=0)),"?IN_FOCUS",IF(J631&lt;=2,"?ACTIVATED",IF(J631&lt;&gt;"","?FAMILIAR",IF(F631="NEW",IF(ISNA(VLOOKUP(E631,#REF!,1,FALSE())),"?TYPE_IDENTIFIABLE","?REFERENTIAL"),"_")))))</f>
        <v/>
      </c>
      <c r="H631" s="24" t="str">
        <f t="shared" ca="1" si="49"/>
        <v/>
      </c>
      <c r="I631" s="25" t="str">
        <f>IF(OR(E631="",E631="!!!",F631="NEW"),"",INDEX(B$2:B630,-1+SUMPRODUCT(MAX(ROW(E$2:E630)*(E631=E$2:E630)))))</f>
        <v/>
      </c>
      <c r="J631" s="25" t="str">
        <f ca="1">IF(OR(E631="",E631="!!!",F631="NEW"),"",COUNTBLANK(OFFSET(A$1,,,SUMPRODUCT(MAX(ROW(E$2:E631)*(E631=E$2:E631)))))-COUNTBLANK(OFFSET(A$1,,,SUMPRODUCT(MAX(ROW(E$1:E630)*(E2=E$1:E630))))))</f>
        <v/>
      </c>
      <c r="K631" s="25" t="str">
        <f>IF(OR(E631="",E631="!!!",F631="NEW"),"",INDEX(J$1:J630,SUMPRODUCT(MAX(ROW(E$1:E630)*(E631=E$1:E630)))))</f>
        <v/>
      </c>
      <c r="L631" s="26"/>
    </row>
    <row r="632" spans="1:12" x14ac:dyDescent="0.3">
      <c r="A632" t="s">
        <v>484</v>
      </c>
      <c r="E632" s="21" t="str">
        <f t="shared" si="48"/>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49"/>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180</v>
      </c>
      <c r="E633" s="21" t="str">
        <f t="shared" si="48"/>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49"/>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5" spans="1:12" x14ac:dyDescent="0.3">
      <c r="A635" t="s">
        <v>485</v>
      </c>
    </row>
    <row r="636" spans="1:12" x14ac:dyDescent="0.3">
      <c r="A636" t="s">
        <v>486</v>
      </c>
      <c r="E636" s="21" t="str">
        <f t="shared" ref="E636:E645" si="50">IF(D636="?OLD","!!!","")</f>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ref="H636:H645" ca="1" si="51">IF(J636&lt;&gt;1,"",IF(I636="SBJ","CB","?"))</f>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487</v>
      </c>
      <c r="E637" s="21" t="str">
        <f t="shared" si="50"/>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1"/>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151</v>
      </c>
      <c r="E638" s="21" t="str">
        <f t="shared" si="50"/>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51"/>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39" spans="1:12" x14ac:dyDescent="0.3">
      <c r="A639" t="s">
        <v>488</v>
      </c>
      <c r="B639" s="20" t="s">
        <v>169</v>
      </c>
      <c r="C639" s="20" t="s">
        <v>187</v>
      </c>
      <c r="E639" s="21" t="str">
        <f t="shared" si="50"/>
        <v/>
      </c>
      <c r="F639" s="22" t="str">
        <f>IF(OR(E639="",E639="!!!"),"",IF(NOT(ISNA(VLOOKUP(E639,E$1:E638,1,FALSE()))),"OLD",IF(AND(E639&lt;&gt;"",E639&lt;&gt;"!!!"),"NEW","")))</f>
        <v/>
      </c>
      <c r="G639" s="23" t="str">
        <f>IF(OR(E639="",E639="!!!"),"",IF(OR(J639=0,AND(J639=1,K639=1),AND(J639=1,I639="SBJ"),AND(J639=1,I639=0)),"?IN_FOCUS",IF(J639&lt;=2,"?ACTIVATED",IF(J639&lt;&gt;"","?FAMILIAR",IF(F639="NEW",IF(ISNA(VLOOKUP(E639,#REF!,1,FALSE())),"?TYPE_IDENTIFIABLE","?REFERENTIAL"),"_")))))</f>
        <v/>
      </c>
      <c r="H639" s="24" t="str">
        <f t="shared" ca="1" si="51"/>
        <v/>
      </c>
      <c r="I639" s="25" t="str">
        <f>IF(OR(E639="",E639="!!!",F639="NEW"),"",INDEX(B$2:B638,-1+SUMPRODUCT(MAX(ROW(E$2:E638)*(E639=E$2:E638)))))</f>
        <v/>
      </c>
      <c r="J639" s="25" t="str">
        <f ca="1">IF(OR(E639="",E639="!!!",F639="NEW"),"",COUNTBLANK(OFFSET(A$1,,,SUMPRODUCT(MAX(ROW(E$2:E639)*(E639=E$2:E639)))))-COUNTBLANK(OFFSET(A$1,,,SUMPRODUCT(MAX(ROW(E$1:E638)*(E2=E$1:E638))))))</f>
        <v/>
      </c>
      <c r="K639" s="25" t="str">
        <f>IF(OR(E639="",E639="!!!",F639="NEW"),"",INDEX(J$1:J638,SUMPRODUCT(MAX(ROW(E$1:E638)*(E639=E$1:E638)))))</f>
        <v/>
      </c>
      <c r="L639" s="26"/>
    </row>
    <row r="640" spans="1:12" x14ac:dyDescent="0.3">
      <c r="A640" t="s">
        <v>489</v>
      </c>
      <c r="E640" s="21" t="str">
        <f t="shared" si="50"/>
        <v/>
      </c>
      <c r="F640" s="22" t="str">
        <f>IF(OR(E640="",E640="!!!"),"",IF(NOT(ISNA(VLOOKUP(E640,E$1:E639,1,FALSE()))),"OLD",IF(AND(E640&lt;&gt;"",E640&lt;&gt;"!!!"),"NEW","")))</f>
        <v/>
      </c>
      <c r="G640" s="23" t="str">
        <f>IF(OR(E640="",E640="!!!"),"",IF(OR(J640=0,AND(J640=1,K640=1),AND(J640=1,I640="SBJ"),AND(J640=1,I640=0)),"?IN_FOCUS",IF(J640&lt;=2,"?ACTIVATED",IF(J640&lt;&gt;"","?FAMILIAR",IF(F640="NEW",IF(ISNA(VLOOKUP(E640,#REF!,1,FALSE())),"?TYPE_IDENTIFIABLE","?REFERENTIAL"),"_")))))</f>
        <v/>
      </c>
      <c r="H640" s="24" t="str">
        <f t="shared" ca="1" si="51"/>
        <v/>
      </c>
      <c r="I640" s="25" t="str">
        <f>IF(OR(E640="",E640="!!!",F640="NEW"),"",INDEX(B$2:B639,-1+SUMPRODUCT(MAX(ROW(E$2:E639)*(E640=E$2:E639)))))</f>
        <v/>
      </c>
      <c r="J640" s="25" t="str">
        <f ca="1">IF(OR(E640="",E640="!!!",F640="NEW"),"",COUNTBLANK(OFFSET(A$1,,,SUMPRODUCT(MAX(ROW(E$2:E640)*(E640=E$2:E640)))))-COUNTBLANK(OFFSET(A$1,,,SUMPRODUCT(MAX(ROW(E$1:E639)*(E2=E$1:E639))))))</f>
        <v/>
      </c>
      <c r="K640" s="25" t="str">
        <f>IF(OR(E640="",E640="!!!",F640="NEW"),"",INDEX(J$1:J639,SUMPRODUCT(MAX(ROW(E$1:E639)*(E640=E$1:E639)))))</f>
        <v/>
      </c>
      <c r="L640" s="26"/>
    </row>
    <row r="641" spans="1:12" x14ac:dyDescent="0.3">
      <c r="A641" t="s">
        <v>490</v>
      </c>
      <c r="E641" s="21" t="str">
        <f t="shared" si="50"/>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51"/>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152</v>
      </c>
      <c r="E642" s="21" t="str">
        <f t="shared" si="50"/>
        <v/>
      </c>
      <c r="F642" s="22" t="str">
        <f>IF(OR(E642="",E642="!!!"),"",IF(NOT(ISNA(VLOOKUP(E642,E$1:E641,1,FALSE()))),"OLD",IF(AND(E642&lt;&gt;"",E642&lt;&gt;"!!!"),"NEW","")))</f>
        <v/>
      </c>
      <c r="G642" s="23" t="str">
        <f>IF(OR(E642="",E642="!!!"),"",IF(OR(J642=0,AND(J642=1,K642=1),AND(J642=1,I642="SBJ"),AND(J642=1,I642=0)),"?IN_FOCUS",IF(J642&lt;=2,"?ACTIVATED",IF(J642&lt;&gt;"","?FAMILIAR",IF(F642="NEW",IF(ISNA(VLOOKUP(E642,#REF!,1,FALSE())),"?TYPE_IDENTIFIABLE","?REFERENTIAL"),"_")))))</f>
        <v/>
      </c>
      <c r="H642" s="24" t="str">
        <f t="shared" ca="1" si="51"/>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491</v>
      </c>
      <c r="B643" s="20" t="s">
        <v>147</v>
      </c>
      <c r="C643" s="20" t="s">
        <v>154</v>
      </c>
      <c r="E643" s="21" t="str">
        <f t="shared" si="50"/>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51"/>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109</v>
      </c>
      <c r="E644" s="21" t="str">
        <f t="shared" si="50"/>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51"/>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180</v>
      </c>
      <c r="E645" s="21" t="str">
        <f t="shared" si="50"/>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51"/>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7" spans="1:12" x14ac:dyDescent="0.3">
      <c r="A647" t="s">
        <v>492</v>
      </c>
    </row>
    <row r="648" spans="1:12" x14ac:dyDescent="0.3">
      <c r="A648" t="s">
        <v>493</v>
      </c>
      <c r="B648" s="20" t="s">
        <v>169</v>
      </c>
      <c r="C648" s="20" t="s">
        <v>330</v>
      </c>
      <c r="D648" s="20" t="s">
        <v>149</v>
      </c>
      <c r="E648" s="21"/>
      <c r="F648" s="22" t="s">
        <v>147</v>
      </c>
      <c r="G648" s="23" t="str">
        <f>IF(OR(E648="",E648="!!!"),"",IF(OR(J648=0,AND(J648=1,K648=1),AND(J648=1,I648="SBJ"),AND(J648=1,I648=0)),"?IN_FOCUS",IF(J648&lt;=2,"?ACTIVATED",IF(J648&lt;&gt;"","?FAMILIAR",IF(F648="NEW",IF(ISNA(VLOOKUP(E648,#REF!,1,FALSE())),"?TYPE_IDENTIFIABLE","?REFERENTIAL"),"_")))))</f>
        <v/>
      </c>
      <c r="H648" s="24" t="str">
        <f ca="1">IF(J648&lt;&gt;1,"",IF(I648="SBJ","CB","?"))</f>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114</v>
      </c>
      <c r="E649" s="21" t="str">
        <f>IF(D649="?OLD","!!!","")</f>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ca="1">IF(J649&lt;&gt;1,"",IF(I649="SBJ","CB","?"))</f>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315</v>
      </c>
      <c r="E650" s="21" t="str">
        <f>IF(D650="?OLD","!!!","")</f>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ca="1">IF(J650&lt;&gt;1,"",IF(I650="SBJ","CB","?"))</f>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2" spans="1:12" x14ac:dyDescent="0.3">
      <c r="A652" t="s">
        <v>494</v>
      </c>
    </row>
    <row r="653" spans="1:12" x14ac:dyDescent="0.3">
      <c r="A653" t="s">
        <v>168</v>
      </c>
      <c r="B653" s="20" t="s">
        <v>169</v>
      </c>
      <c r="C653" s="20" t="s">
        <v>170</v>
      </c>
      <c r="D653" s="20" t="s">
        <v>149</v>
      </c>
      <c r="E653" s="21"/>
      <c r="F653" s="22" t="s">
        <v>547</v>
      </c>
      <c r="G653" s="23" t="str">
        <f>IF(OR(E653="",E653="!!!"),"",IF(OR(J653=0,AND(J653=1,K653=1),AND(J653=1,I653="SBJ"),AND(J653=1,I653=0)),"?IN_FOCUS",IF(J653&lt;=2,"?ACTIVATED",IF(J653&lt;&gt;"","?FAMILIAR",IF(F653="NEW",IF(ISNA(VLOOKUP(E653,#REF!,1,FALSE())),"?TYPE_IDENTIFIABLE","?REFERENTIAL"),"_")))))</f>
        <v/>
      </c>
      <c r="H653" s="24" t="str">
        <f t="shared" ref="H653:H659" ca="1" si="52">IF(J653&lt;&gt;1,"",IF(I653="SBJ","CB","?"))</f>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495</v>
      </c>
      <c r="E654" s="21" t="str">
        <f t="shared" ref="E654:E659" si="53">IF(D654="?OLD","!!!","")</f>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52"/>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164</v>
      </c>
      <c r="B655" s="20" t="s">
        <v>250</v>
      </c>
      <c r="E655" s="21" t="str">
        <f t="shared" si="53"/>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2"/>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496</v>
      </c>
      <c r="E656" s="21" t="str">
        <f t="shared" si="53"/>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52"/>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497</v>
      </c>
      <c r="B657" s="20" t="s">
        <v>169</v>
      </c>
      <c r="C657" s="20" t="s">
        <v>154</v>
      </c>
      <c r="E657" s="21" t="str">
        <f t="shared" si="53"/>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2"/>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498</v>
      </c>
      <c r="E658" s="21" t="str">
        <f t="shared" si="53"/>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52"/>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180</v>
      </c>
      <c r="E659" s="21" t="str">
        <f t="shared" si="53"/>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2"/>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1" spans="1:12" x14ac:dyDescent="0.3">
      <c r="A661" t="s">
        <v>499</v>
      </c>
    </row>
    <row r="662" spans="1:12" x14ac:dyDescent="0.3">
      <c r="A662" t="s">
        <v>500</v>
      </c>
      <c r="E662" s="21" t="str">
        <f t="shared" ref="E662:E691" si="54">IF(D662="?OLD","!!!","")</f>
        <v/>
      </c>
      <c r="F662" s="22" t="str">
        <f>IF(OR(E662="",E662="!!!"),"",IF(NOT(ISNA(VLOOKUP(E662,E$1:E661,1,FALSE()))),"OLD",IF(AND(E662&lt;&gt;"",E662&lt;&gt;"!!!"),"NEW","")))</f>
        <v/>
      </c>
      <c r="G662" s="23" t="str">
        <f>IF(OR(E662="",E662="!!!"),"",IF(OR(J662=0,AND(J662=1,K662=1),AND(J662=1,I662="SBJ"),AND(J662=1,I662=0)),"?IN_FOCUS",IF(J662&lt;=2,"?ACTIVATED",IF(J662&lt;&gt;"","?FAMILIAR",IF(F662="NEW",IF(ISNA(VLOOKUP(E662,#REF!,1,FALSE())),"?TYPE_IDENTIFIABLE","?REFERENTIAL"),"_")))))</f>
        <v/>
      </c>
      <c r="H662" s="24" t="str">
        <f t="shared" ref="H662:H691" ca="1" si="55">IF(J662&lt;&gt;1,"",IF(I662="SBJ","CB","?"))</f>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3" spans="1:12" x14ac:dyDescent="0.3">
      <c r="A663" t="s">
        <v>501</v>
      </c>
      <c r="E663" s="21" t="str">
        <f t="shared" si="54"/>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ca="1" si="55"/>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502</v>
      </c>
      <c r="B664" s="20" t="s">
        <v>177</v>
      </c>
      <c r="C664" s="20" t="s">
        <v>148</v>
      </c>
      <c r="D664" s="20" t="s">
        <v>149</v>
      </c>
      <c r="E664" s="21"/>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ca="1" si="55"/>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11</v>
      </c>
      <c r="E665" s="21" t="str">
        <f t="shared" si="54"/>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ca="1" si="55"/>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503</v>
      </c>
      <c r="E666" s="21" t="s">
        <v>585</v>
      </c>
      <c r="F666" s="22" t="str">
        <f>IF(OR(E666="",E666="!!!"),"",IF(NOT(ISNA(VLOOKUP(E666,E$1:E665,1,FALSE()))),"OLD",IF(AND(E666&lt;&gt;"",E666&lt;&gt;"!!!"),"NEW","")))</f>
        <v>NEW</v>
      </c>
      <c r="G666" s="23" t="s">
        <v>565</v>
      </c>
      <c r="H666" s="24" t="str">
        <f t="shared" ca="1" si="55"/>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t="s">
        <v>586</v>
      </c>
    </row>
    <row r="667" spans="1:12" x14ac:dyDescent="0.3">
      <c r="A667" t="s">
        <v>174</v>
      </c>
      <c r="E667" s="21" t="str">
        <f t="shared" si="54"/>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55"/>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504</v>
      </c>
      <c r="B668" s="20" t="s">
        <v>161</v>
      </c>
      <c r="C668" s="20" t="s">
        <v>158</v>
      </c>
      <c r="E668" s="21" t="str">
        <f t="shared" si="54"/>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5"/>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505</v>
      </c>
      <c r="E669" s="21" t="str">
        <f t="shared" si="54"/>
        <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55"/>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506</v>
      </c>
      <c r="E670" s="21" t="str">
        <f t="shared" si="54"/>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5"/>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507</v>
      </c>
      <c r="B671" s="20" t="s">
        <v>161</v>
      </c>
      <c r="C671" s="20" t="s">
        <v>508</v>
      </c>
      <c r="D671" s="20" t="s">
        <v>149</v>
      </c>
      <c r="E671" s="21" t="s">
        <v>602</v>
      </c>
      <c r="F671" s="22" t="str">
        <f>IF(OR(E671="",E671="!!!"),"",IF(NOT(ISNA(VLOOKUP(E671,E$1:E670,1,FALSE()))),"OLD",IF(AND(E671&lt;&gt;"",E671&lt;&gt;"!!!"),"NEW","")))</f>
        <v>NEW</v>
      </c>
      <c r="G671" s="23" t="s">
        <v>572</v>
      </c>
      <c r="H671" s="24" t="str">
        <f t="shared" ca="1" si="55"/>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509</v>
      </c>
      <c r="B672" s="20" t="s">
        <v>175</v>
      </c>
      <c r="C672" s="20" t="s">
        <v>158</v>
      </c>
      <c r="E672" s="21" t="s">
        <v>603</v>
      </c>
      <c r="F672" s="22" t="str">
        <f>IF(OR(E672="",E672="!!!"),"",IF(NOT(ISNA(VLOOKUP(E672,E$1:E671,1,FALSE()))),"OLD",IF(AND(E672&lt;&gt;"",E672&lt;&gt;"!!!"),"NEW","")))</f>
        <v>NEW</v>
      </c>
      <c r="G672" s="23" t="s">
        <v>572</v>
      </c>
      <c r="H672" s="24" t="str">
        <f t="shared" ca="1" si="55"/>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510</v>
      </c>
      <c r="E673" s="21" t="str">
        <f t="shared" si="54"/>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55"/>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511</v>
      </c>
      <c r="E674" s="21" t="str">
        <f t="shared" si="54"/>
        <v/>
      </c>
      <c r="F674" s="22" t="str">
        <f>IF(OR(E674="",E674="!!!"),"",IF(NOT(ISNA(VLOOKUP(E674,E$1:E673,1,FALSE()))),"OLD",IF(AND(E674&lt;&gt;"",E674&lt;&gt;"!!!"),"NEW","")))</f>
        <v/>
      </c>
      <c r="G674" s="23" t="str">
        <f>IF(OR(E674="",E674="!!!"),"",IF(OR(J674=0,AND(J674=1,K674=1),AND(J674=1,I674="SBJ"),AND(J674=1,I674=0)),"?IN_FOCUS",IF(J674&lt;=2,"?ACTIVATED",IF(J674&lt;&gt;"","?FAMILIAR",IF(F674="NEW",IF(ISNA(VLOOKUP(E674,#REF!,1,FALSE())),"?TYPE_IDENTIFIABLE","?REFERENTIAL"),"_")))))</f>
        <v/>
      </c>
      <c r="H674" s="24" t="str">
        <f t="shared" ca="1" si="55"/>
        <v/>
      </c>
      <c r="I674" s="25" t="str">
        <f>IF(OR(E674="",E674="!!!",F674="NEW"),"",INDEX(B$2:B673,-1+SUMPRODUCT(MAX(ROW(E$2:E673)*(E674=E$2:E673)))))</f>
        <v/>
      </c>
      <c r="J674" s="25" t="str">
        <f ca="1">IF(OR(E674="",E674="!!!",F674="NEW"),"",COUNTBLANK(OFFSET(A$1,,,SUMPRODUCT(MAX(ROW(E$2:E674)*(E674=E$2:E674)))))-COUNTBLANK(OFFSET(A$1,,,SUMPRODUCT(MAX(ROW(E$1:E673)*(E2=E$1:E673))))))</f>
        <v/>
      </c>
      <c r="K674" s="25" t="str">
        <f>IF(OR(E674="",E674="!!!",F674="NEW"),"",INDEX(J$1:J673,SUMPRODUCT(MAX(ROW(E$1:E673)*(E674=E$1:E673)))))</f>
        <v/>
      </c>
      <c r="L674" s="26"/>
    </row>
    <row r="675" spans="1:12" x14ac:dyDescent="0.3">
      <c r="A675" t="s">
        <v>151</v>
      </c>
      <c r="E675" s="21" t="str">
        <f t="shared" si="54"/>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55"/>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512</v>
      </c>
      <c r="E676" s="21" t="str">
        <f t="shared" si="54"/>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5"/>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329</v>
      </c>
      <c r="B677" s="20" t="s">
        <v>169</v>
      </c>
      <c r="C677" s="20" t="s">
        <v>330</v>
      </c>
      <c r="D677" s="20" t="s">
        <v>149</v>
      </c>
      <c r="E677" s="21" t="s">
        <v>585</v>
      </c>
      <c r="F677" s="22" t="str">
        <f>IF(OR(E677="",E677="!!!"),"",IF(NOT(ISNA(VLOOKUP(E677,E$1:E676,1,FALSE()))),"OLD",IF(AND(E677&lt;&gt;"",E677&lt;&gt;"!!!"),"NEW","")))</f>
        <v>OLD</v>
      </c>
      <c r="G677" s="23" t="s">
        <v>568</v>
      </c>
      <c r="H677" s="24" t="str">
        <f t="shared" ca="1" si="55"/>
        <v/>
      </c>
      <c r="I677" s="25">
        <f>IF(OR(E677="",E677="!!!",F677="NEW"),"",INDEX(B$2:B676,-1+SUMPRODUCT(MAX(ROW(E$2:E676)*(E677=E$2:E676)))))</f>
        <v>0</v>
      </c>
      <c r="J677" s="25">
        <f ca="1">IF(OR(E677="",E677="!!!",F677="NEW"),"",COUNTBLANK(OFFSET(A$1,,,SUMPRODUCT(MAX(ROW(E$2:E677)*(E677=E$2:E677)))))-COUNTBLANK(OFFSET(A$1,,,SUMPRODUCT(MAX(ROW(E$1:E676)*(E2=E$1:E676))))))</f>
        <v>0</v>
      </c>
      <c r="K677" s="25" t="str">
        <f ca="1">IF(OR(E677="",E677="!!!",F677="NEW"),"",INDEX(J$1:J676,SUMPRODUCT(MAX(ROW(E$1:E676)*(E677=E$1:E676)))))</f>
        <v/>
      </c>
      <c r="L677" s="26"/>
    </row>
    <row r="678" spans="1:12" x14ac:dyDescent="0.3">
      <c r="A678" t="s">
        <v>513</v>
      </c>
      <c r="B678" s="20" t="s">
        <v>250</v>
      </c>
      <c r="C678" s="20" t="s">
        <v>330</v>
      </c>
      <c r="D678" s="20" t="s">
        <v>149</v>
      </c>
      <c r="E678" s="21" t="s">
        <v>602</v>
      </c>
      <c r="F678" s="22" t="str">
        <f>IF(OR(E678="",E678="!!!"),"",IF(NOT(ISNA(VLOOKUP(E678,E$1:E677,1,FALSE()))),"OLD",IF(AND(E678&lt;&gt;"",E678&lt;&gt;"!!!"),"NEW","")))</f>
        <v>OLD</v>
      </c>
      <c r="G678" s="23" t="s">
        <v>568</v>
      </c>
      <c r="H678" s="24" t="str">
        <f t="shared" ca="1" si="55"/>
        <v/>
      </c>
      <c r="I678" s="25" t="str">
        <f>IF(OR(E678="",E678="!!!",F678="NEW"),"",INDEX(B$2:B677,-1+SUMPRODUCT(MAX(ROW(E$2:E677)*(E678=E$2:E677)))))</f>
        <v>other_3</v>
      </c>
      <c r="J678" s="25">
        <f ca="1">IF(OR(E678="",E678="!!!",F678="NEW"),"",COUNTBLANK(OFFSET(A$1,,,SUMPRODUCT(MAX(ROW(E$2:E678)*(E678=E$2:E678)))))-COUNTBLANK(OFFSET(A$1,,,SUMPRODUCT(MAX(ROW(E$1:E677)*(E2=E$1:E677))))))</f>
        <v>0</v>
      </c>
      <c r="K678" s="25" t="str">
        <f ca="1">IF(OR(E678="",E678="!!!",F678="NEW"),"",INDEX(J$1:J677,SUMPRODUCT(MAX(ROW(E$1:E677)*(E678=E$1:E677)))))</f>
        <v/>
      </c>
      <c r="L678" s="26"/>
    </row>
    <row r="679" spans="1:12" x14ac:dyDescent="0.3">
      <c r="A679" t="s">
        <v>514</v>
      </c>
      <c r="B679" s="20" t="s">
        <v>157</v>
      </c>
      <c r="C679" s="20" t="s">
        <v>330</v>
      </c>
      <c r="D679" s="20" t="s">
        <v>149</v>
      </c>
      <c r="E679" s="21"/>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55"/>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t="s">
        <v>587</v>
      </c>
    </row>
    <row r="680" spans="1:12" x14ac:dyDescent="0.3">
      <c r="A680" t="s">
        <v>515</v>
      </c>
      <c r="B680" s="20" t="s">
        <v>250</v>
      </c>
      <c r="C680" s="20" t="s">
        <v>276</v>
      </c>
      <c r="E680" s="21" t="str">
        <f t="shared" si="54"/>
        <v/>
      </c>
      <c r="F680" s="22" t="str">
        <f>IF(OR(E680="",E680="!!!"),"",IF(NOT(ISNA(VLOOKUP(E680,E$1:E679,1,FALSE()))),"OLD",IF(AND(E680&lt;&gt;"",E680&lt;&gt;"!!!"),"NEW","")))</f>
        <v/>
      </c>
      <c r="G680" s="23" t="str">
        <f>IF(OR(E680="",E680="!!!"),"",IF(OR(J680=0,AND(J680=1,K680=1),AND(J680=1,I680="SBJ"),AND(J680=1,I680=0)),"?IN_FOCUS",IF(J680&lt;=2,"?ACTIVATED",IF(J680&lt;&gt;"","?FAMILIAR",IF(F680="NEW",IF(ISNA(VLOOKUP(E680,#REF!,1,FALSE())),"?TYPE_IDENTIFIABLE","?REFERENTIAL"),"_")))))</f>
        <v/>
      </c>
      <c r="H680" s="24" t="str">
        <f t="shared" ca="1" si="55"/>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151</v>
      </c>
      <c r="E681" s="21" t="str">
        <f t="shared" si="54"/>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55"/>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424</v>
      </c>
      <c r="B682" s="20" t="s">
        <v>175</v>
      </c>
      <c r="C682" s="20" t="s">
        <v>158</v>
      </c>
      <c r="E682" s="21" t="s">
        <v>584</v>
      </c>
      <c r="F682" s="22" t="str">
        <f>IF(OR(E682="",E682="!!!"),"",IF(NOT(ISNA(VLOOKUP(E682,E$1:E681,1,FALSE()))),"OLD",IF(AND(E682&lt;&gt;"",E682&lt;&gt;"!!!"),"NEW","")))</f>
        <v>OLD</v>
      </c>
      <c r="G682" s="23" t="s">
        <v>565</v>
      </c>
      <c r="H682" s="24" t="str">
        <f t="shared" ca="1" si="55"/>
        <v/>
      </c>
      <c r="I682" s="25" t="str">
        <f>IF(OR(E682="",E682="!!!",F682="NEW"),"",INDEX(B$2:B681,-1+SUMPRODUCT(MAX(ROW(E$2:E681)*(E682=E$2:E681)))))</f>
        <v>other</v>
      </c>
      <c r="J682" s="25">
        <f ca="1">IF(OR(E682="",E682="!!!",F682="NEW"),"",COUNTBLANK(OFFSET(A$1,,,SUMPRODUCT(MAX(ROW(E$2:E682)*(E682=E$2:E682)))))-COUNTBLANK(OFFSET(A$1,,,SUMPRODUCT(MAX(ROW(E$1:E681)*(E2=E$1:E681))))))</f>
        <v>0</v>
      </c>
      <c r="K682" s="25">
        <f ca="1">IF(OR(E682="",E682="!!!",F682="NEW"),"",INDEX(J$1:J681,SUMPRODUCT(MAX(ROW(E$1:E681)*(E682=E$1:E681)))))</f>
        <v>0</v>
      </c>
      <c r="L682" s="26"/>
    </row>
    <row r="683" spans="1:12" x14ac:dyDescent="0.3">
      <c r="A683" t="s">
        <v>185</v>
      </c>
      <c r="E683" s="21" t="str">
        <f t="shared" si="54"/>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55"/>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87</v>
      </c>
      <c r="E684" s="21" t="str">
        <f t="shared" si="54"/>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55"/>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151</v>
      </c>
      <c r="E685" s="21" t="str">
        <f t="shared" si="54"/>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55"/>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174</v>
      </c>
      <c r="E686" s="21" t="str">
        <f t="shared" si="54"/>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55"/>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194</v>
      </c>
      <c r="B687" s="20" t="s">
        <v>163</v>
      </c>
      <c r="C687" s="20" t="s">
        <v>170</v>
      </c>
      <c r="D687" s="20" t="s">
        <v>149</v>
      </c>
      <c r="E687" s="21"/>
      <c r="F687" s="22" t="s">
        <v>547</v>
      </c>
      <c r="G687" s="23" t="str">
        <f>IF(OR(E687="",E687="!!!"),"",IF(OR(J687=0,AND(J687=1,K687=1),AND(J687=1,I687="SBJ"),AND(J687=1,I687=0)),"?IN_FOCUS",IF(J687&lt;=2,"?ACTIVATED",IF(J687&lt;&gt;"","?FAMILIAR",IF(F687="NEW",IF(ISNA(VLOOKUP(E687,#REF!,1,FALSE())),"?TYPE_IDENTIFIABLE","?REFERENTIAL"),"_")))))</f>
        <v/>
      </c>
      <c r="H687" s="24" t="str">
        <f t="shared" ca="1" si="55"/>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516</v>
      </c>
      <c r="B688" s="20" t="s">
        <v>186</v>
      </c>
      <c r="C688" s="20" t="s">
        <v>517</v>
      </c>
      <c r="D688" s="20" t="s">
        <v>149</v>
      </c>
      <c r="E688" s="21"/>
      <c r="F688" s="22" t="str">
        <f>IF(OR(E688="",E688="!!!"),"",IF(NOT(ISNA(VLOOKUP(E688,E$1:E687,1,FALSE()))),"OLD",IF(AND(E688&lt;&gt;"",E688&lt;&gt;"!!!"),"NEW","")))</f>
        <v/>
      </c>
      <c r="G688" s="23" t="str">
        <f>IF(OR(E688="",E688="!!!"),"",IF(OR(J688=0,AND(J688=1,K688=1),AND(J688=1,I688="SBJ"),AND(J688=1,I688=0)),"?IN_FOCUS",IF(J688&lt;=2,"?ACTIVATED",IF(J688&lt;&gt;"","?FAMILIAR",IF(F688="NEW",IF(ISNA(VLOOKUP(E688,#REF!,1,FALSE())),"?TYPE_IDENTIFIABLE","?REFERENTIAL"),"_")))))</f>
        <v/>
      </c>
      <c r="H688" s="24" t="str">
        <f t="shared" ca="1" si="55"/>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t="s">
        <v>588</v>
      </c>
    </row>
    <row r="689" spans="1:12" x14ac:dyDescent="0.3">
      <c r="A689" t="s">
        <v>346</v>
      </c>
      <c r="B689" s="20" t="s">
        <v>165</v>
      </c>
      <c r="C689" s="20" t="s">
        <v>518</v>
      </c>
      <c r="D689" s="20" t="s">
        <v>149</v>
      </c>
      <c r="E689" s="21" t="s">
        <v>546</v>
      </c>
      <c r="F689" s="22" t="str">
        <f>IF(OR(E689="",E689="!!!"),"",IF(NOT(ISNA(VLOOKUP(E689,E$1:E688,1,FALSE()))),"OLD",IF(AND(E689&lt;&gt;"",E689&lt;&gt;"!!!"),"NEW","")))</f>
        <v>OLD</v>
      </c>
      <c r="G689" s="23" t="s">
        <v>565</v>
      </c>
      <c r="H689" s="24" t="str">
        <f t="shared" ca="1" si="55"/>
        <v/>
      </c>
      <c r="I689" s="25" t="str">
        <f>IF(OR(E689="",E689="!!!",F689="NEW"),"",INDEX(B$2:B688,-1+SUMPRODUCT(MAX(ROW(E$2:E688)*(E689=E$2:E688)))))</f>
        <v>SBJ_2</v>
      </c>
      <c r="J689" s="25">
        <f ca="1">IF(OR(E689="",E689="!!!",F689="NEW"),"",COUNTBLANK(OFFSET(A$1,,,SUMPRODUCT(MAX(ROW(E$2:E689)*(E689=E$2:E689)))))-COUNTBLANK(OFFSET(A$1,,,SUMPRODUCT(MAX(ROW(E$1:E688)*(E2=E$1:E688))))))</f>
        <v>0</v>
      </c>
      <c r="K689" s="25">
        <f ca="1">IF(OR(E689="",E689="!!!",F689="NEW"),"",INDEX(J$1:J688,SUMPRODUCT(MAX(ROW(E$1:E688)*(E689=E$1:E688)))))</f>
        <v>0</v>
      </c>
      <c r="L689" s="26"/>
    </row>
    <row r="690" spans="1:12" x14ac:dyDescent="0.3">
      <c r="A690" t="s">
        <v>519</v>
      </c>
      <c r="E690" s="21" t="str">
        <f t="shared" si="54"/>
        <v/>
      </c>
      <c r="F690" s="22" t="str">
        <f>IF(OR(E690="",E690="!!!"),"",IF(NOT(ISNA(VLOOKUP(E690,E$1:E689,1,FALSE()))),"OLD",IF(AND(E690&lt;&gt;"",E690&lt;&gt;"!!!"),"NEW","")))</f>
        <v/>
      </c>
      <c r="G690" s="23" t="str">
        <f>IF(OR(E690="",E690="!!!"),"",IF(OR(J690=0,AND(J690=1,K690=1),AND(J690=1,I690="SBJ"),AND(J690=1,I690=0)),"?IN_FOCUS",IF(J690&lt;=2,"?ACTIVATED",IF(J690&lt;&gt;"","?FAMILIAR",IF(F690="NEW",IF(ISNA(VLOOKUP(E690,#REF!,1,FALSE())),"?TYPE_IDENTIFIABLE","?REFERENTIAL"),"_")))))</f>
        <v/>
      </c>
      <c r="H690" s="24" t="str">
        <f t="shared" ca="1" si="55"/>
        <v/>
      </c>
      <c r="I690" s="25" t="str">
        <f>IF(OR(E690="",E690="!!!",F690="NEW"),"",INDEX(B$2:B689,-1+SUMPRODUCT(MAX(ROW(E$2:E689)*(E690=E$2:E689)))))</f>
        <v/>
      </c>
      <c r="J690" s="25" t="str">
        <f ca="1">IF(OR(E690="",E690="!!!",F690="NEW"),"",COUNTBLANK(OFFSET(A$1,,,SUMPRODUCT(MAX(ROW(E$2:E690)*(E690=E$2:E690)))))-COUNTBLANK(OFFSET(A$1,,,SUMPRODUCT(MAX(ROW(E$1:E689)*(E2=E$1:E689))))))</f>
        <v/>
      </c>
      <c r="K690" s="25" t="str">
        <f>IF(OR(E690="",E690="!!!",F690="NEW"),"",INDEX(J$1:J689,SUMPRODUCT(MAX(ROW(E$1:E689)*(E690=E$1:E689)))))</f>
        <v/>
      </c>
      <c r="L690" s="26"/>
    </row>
    <row r="691" spans="1:12" x14ac:dyDescent="0.3">
      <c r="A691" t="s">
        <v>180</v>
      </c>
      <c r="E691" s="21" t="str">
        <f t="shared" si="54"/>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55"/>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3" spans="1:12" x14ac:dyDescent="0.3">
      <c r="A693" t="s">
        <v>520</v>
      </c>
    </row>
    <row r="694" spans="1:12" x14ac:dyDescent="0.3">
      <c r="A694" t="s">
        <v>389</v>
      </c>
      <c r="E694" s="21" t="str">
        <f t="shared" ref="E694:E708" si="56">IF(D694="?OLD","!!!","")</f>
        <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ref="H694:H708" ca="1" si="57">IF(J694&lt;&gt;1,"",IF(I694="SBJ","CB","?"))</f>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521</v>
      </c>
      <c r="B695" s="20" t="s">
        <v>169</v>
      </c>
      <c r="C695" s="20" t="s">
        <v>148</v>
      </c>
      <c r="D695" s="20" t="s">
        <v>149</v>
      </c>
      <c r="E695" s="21"/>
      <c r="F695" s="22" t="s">
        <v>557</v>
      </c>
      <c r="G695" s="23" t="str">
        <f>IF(OR(E695="",E695="!!!"),"",IF(OR(J695=0,AND(J695=1,K695=1),AND(J695=1,I695="SBJ"),AND(J695=1,I695=0)),"?IN_FOCUS",IF(J695&lt;=2,"?ACTIVATED",IF(J695&lt;&gt;"","?FAMILIAR",IF(F695="NEW",IF(ISNA(VLOOKUP(E695,#REF!,1,FALSE())),"?TYPE_IDENTIFIABLE","?REFERENTIAL"),"_")))))</f>
        <v/>
      </c>
      <c r="H695" s="24" t="str">
        <f t="shared" ca="1" si="57"/>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522</v>
      </c>
      <c r="E696" s="21" t="str">
        <f t="shared" si="56"/>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57"/>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523</v>
      </c>
      <c r="E697" s="21" t="str">
        <f t="shared" si="56"/>
        <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57"/>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524</v>
      </c>
      <c r="B698" s="20" t="s">
        <v>250</v>
      </c>
      <c r="C698" s="20" t="s">
        <v>199</v>
      </c>
      <c r="E698" s="21" t="str">
        <f t="shared" si="56"/>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ca="1" si="57"/>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125</v>
      </c>
      <c r="E699" s="21" t="str">
        <f t="shared" si="56"/>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57"/>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159</v>
      </c>
      <c r="E700" s="21" t="str">
        <f t="shared" si="56"/>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57"/>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162</v>
      </c>
      <c r="E701" s="21" t="str">
        <f t="shared" si="56"/>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57"/>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525</v>
      </c>
      <c r="B702" s="20" t="s">
        <v>177</v>
      </c>
      <c r="C702" s="20" t="s">
        <v>178</v>
      </c>
      <c r="D702" s="20" t="s">
        <v>149</v>
      </c>
      <c r="E702" s="21" t="s">
        <v>604</v>
      </c>
      <c r="F702" s="22" t="str">
        <f>IF(OR(E702="",E702="!!!"),"",IF(NOT(ISNA(VLOOKUP(E702,E$1:E701,1,FALSE()))),"OLD",IF(AND(E702&lt;&gt;"",E702&lt;&gt;"!!!"),"NEW","")))</f>
        <v>NEW</v>
      </c>
      <c r="G702" s="23" t="s">
        <v>572</v>
      </c>
      <c r="H702" s="24" t="str">
        <f t="shared" ca="1" si="57"/>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522</v>
      </c>
      <c r="E703" s="21" t="str">
        <f t="shared" si="56"/>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57"/>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321</v>
      </c>
      <c r="E704" s="21" t="str">
        <f t="shared" si="56"/>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57"/>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277</v>
      </c>
      <c r="E705" s="21" t="str">
        <f t="shared" si="56"/>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57"/>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225</v>
      </c>
      <c r="B706" s="20" t="s">
        <v>157</v>
      </c>
      <c r="C706" s="20" t="s">
        <v>178</v>
      </c>
      <c r="D706" s="20" t="s">
        <v>149</v>
      </c>
      <c r="E706" s="21"/>
      <c r="F706" s="22" t="s">
        <v>553</v>
      </c>
      <c r="G706" s="23" t="str">
        <f>IF(OR(E706="",E706="!!!"),"",IF(OR(J706=0,AND(J706=1,K706=1),AND(J706=1,I706="SBJ"),AND(J706=1,I706=0)),"?IN_FOCUS",IF(J706&lt;=2,"?ACTIVATED",IF(J706&lt;&gt;"","?FAMILIAR",IF(F706="NEW",IF(ISNA(VLOOKUP(E706,#REF!,1,FALSE())),"?TYPE_IDENTIFIABLE","?REFERENTIAL"),"_")))))</f>
        <v/>
      </c>
      <c r="H706" s="24" t="str">
        <f t="shared" ca="1" si="57"/>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526</v>
      </c>
      <c r="E707" s="21" t="str">
        <f t="shared" si="56"/>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57"/>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180</v>
      </c>
      <c r="E708" s="21" t="str">
        <f t="shared" si="56"/>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57"/>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10" spans="1:12" x14ac:dyDescent="0.3">
      <c r="A710" t="s">
        <v>527</v>
      </c>
    </row>
    <row r="711" spans="1:12" x14ac:dyDescent="0.3">
      <c r="A711" t="s">
        <v>528</v>
      </c>
      <c r="E711" s="21" t="str">
        <f t="shared" ref="E711:E753" si="58">IF(D711="?OLD","!!!","")</f>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ref="H711:H753" ca="1" si="59">IF(J711&lt;&gt;1,"",IF(I711="SBJ","CB","?"))</f>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209</v>
      </c>
      <c r="E712" s="21" t="str">
        <f t="shared" si="58"/>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59"/>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529</v>
      </c>
      <c r="B713" s="20" t="s">
        <v>147</v>
      </c>
      <c r="C713" s="20" t="s">
        <v>148</v>
      </c>
      <c r="D713" s="20" t="s">
        <v>149</v>
      </c>
      <c r="E713" s="21" t="s">
        <v>546</v>
      </c>
      <c r="F713" s="22" t="str">
        <f>IF(OR(E713="",E713="!!!"),"",IF(NOT(ISNA(VLOOKUP(E713,E$1:E712,1,FALSE()))),"OLD",IF(AND(E713&lt;&gt;"",E713&lt;&gt;"!!!"),"NEW","")))</f>
        <v>OLD</v>
      </c>
      <c r="G713" s="23" t="s">
        <v>590</v>
      </c>
      <c r="H713" s="24" t="str">
        <f t="shared" ca="1" si="59"/>
        <v/>
      </c>
      <c r="I713" s="25" t="str">
        <f>IF(OR(E713="",E713="!!!",F713="NEW"),"",INDEX(B$2:B712,-1+SUMPRODUCT(MAX(ROW(E$2:E712)*(E713=E$2:E712)))))</f>
        <v>OBJ_3</v>
      </c>
      <c r="J713" s="25">
        <f ca="1">IF(OR(E713="",E713="!!!",F713="NEW"),"",COUNTBLANK(OFFSET(A$1,,,SUMPRODUCT(MAX(ROW(E$2:E713)*(E713=E$2:E713)))))-COUNTBLANK(OFFSET(A$1,,,SUMPRODUCT(MAX(ROW(E$1:E712)*(E2=E$1:E712))))))</f>
        <v>0</v>
      </c>
      <c r="K713" s="25">
        <f ca="1">IF(OR(E713="",E713="!!!",F713="NEW"),"",INDEX(J$1:J712,SUMPRODUCT(MAX(ROW(E$1:E712)*(E713=E$1:E712)))))</f>
        <v>0</v>
      </c>
      <c r="L713" s="26"/>
    </row>
    <row r="714" spans="1:12" x14ac:dyDescent="0.3">
      <c r="A714" t="s">
        <v>530</v>
      </c>
      <c r="E714" s="21" t="str">
        <f t="shared" si="58"/>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59"/>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522</v>
      </c>
      <c r="E715" s="21" t="str">
        <f t="shared" si="58"/>
        <v/>
      </c>
      <c r="F715" s="22" t="str">
        <f>IF(OR(E715="",E715="!!!"),"",IF(NOT(ISNA(VLOOKUP(E715,E$1:E714,1,FALSE()))),"OLD",IF(AND(E715&lt;&gt;"",E715&lt;&gt;"!!!"),"NEW","")))</f>
        <v/>
      </c>
      <c r="G715" s="23" t="str">
        <f>IF(OR(E715="",E715="!!!"),"",IF(OR(J715=0,AND(J715=1,K715=1),AND(J715=1,I715="SBJ"),AND(J715=1,I715=0)),"?IN_FOCUS",IF(J715&lt;=2,"?ACTIVATED",IF(J715&lt;&gt;"","?FAMILIAR",IF(F715="NEW",IF(ISNA(VLOOKUP(E715,#REF!,1,FALSE())),"?TYPE_IDENTIFIABLE","?REFERENTIAL"),"_")))))</f>
        <v/>
      </c>
      <c r="H715" s="24" t="str">
        <f t="shared" ca="1" si="59"/>
        <v/>
      </c>
      <c r="I715" s="25" t="str">
        <f>IF(OR(E715="",E715="!!!",F715="NEW"),"",INDEX(B$2:B714,-1+SUMPRODUCT(MAX(ROW(E$2:E714)*(E715=E$2:E714)))))</f>
        <v/>
      </c>
      <c r="J715" s="25" t="str">
        <f ca="1">IF(OR(E715="",E715="!!!",F715="NEW"),"",COUNTBLANK(OFFSET(A$1,,,SUMPRODUCT(MAX(ROW(E$2:E715)*(E715=E$2:E715)))))-COUNTBLANK(OFFSET(A$1,,,SUMPRODUCT(MAX(ROW(E$1:E714)*(E2=E$1:E714))))))</f>
        <v/>
      </c>
      <c r="K715" s="25" t="str">
        <f>IF(OR(E715="",E715="!!!",F715="NEW"),"",INDEX(J$1:J714,SUMPRODUCT(MAX(ROW(E$1:E714)*(E715=E$1:E714)))))</f>
        <v/>
      </c>
      <c r="L715" s="26"/>
    </row>
    <row r="716" spans="1:12" x14ac:dyDescent="0.3">
      <c r="A716" t="s">
        <v>194</v>
      </c>
      <c r="B716" s="20" t="s">
        <v>169</v>
      </c>
      <c r="C716" s="20" t="s">
        <v>170</v>
      </c>
      <c r="D716" s="20" t="s">
        <v>149</v>
      </c>
      <c r="E716" s="21"/>
      <c r="F716" s="22" t="s">
        <v>547</v>
      </c>
      <c r="G716" s="23" t="str">
        <f>IF(OR(E716="",E716="!!!"),"",IF(OR(J716=0,AND(J716=1,K716=1),AND(J716=1,I716="SBJ"),AND(J716=1,I716=0)),"?IN_FOCUS",IF(J716&lt;=2,"?ACTIVATED",IF(J716&lt;&gt;"","?FAMILIAR",IF(F716="NEW",IF(ISNA(VLOOKUP(E716,#REF!,1,FALSE())),"?TYPE_IDENTIFIABLE","?REFERENTIAL"),"_")))))</f>
        <v/>
      </c>
      <c r="H716" s="24" t="str">
        <f t="shared" ca="1" si="59"/>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531</v>
      </c>
      <c r="E717" s="21" t="str">
        <f t="shared" si="58"/>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59"/>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191</v>
      </c>
      <c r="E718" s="21" t="str">
        <f t="shared" si="58"/>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59"/>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532</v>
      </c>
      <c r="B719" s="20" t="s">
        <v>250</v>
      </c>
      <c r="C719" s="20" t="s">
        <v>158</v>
      </c>
      <c r="E719" s="21" t="str">
        <f t="shared" si="58"/>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59"/>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105</v>
      </c>
      <c r="E720" s="21" t="str">
        <f t="shared" si="58"/>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59"/>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151</v>
      </c>
      <c r="E721" s="21" t="str">
        <f t="shared" si="58"/>
        <v/>
      </c>
      <c r="F721" s="22" t="str">
        <f>IF(OR(E721="",E721="!!!"),"",IF(NOT(ISNA(VLOOKUP(E721,E$1:E720,1,FALSE()))),"OLD",IF(AND(E721&lt;&gt;"",E721&lt;&gt;"!!!"),"NEW","")))</f>
        <v/>
      </c>
      <c r="G721" s="23" t="str">
        <f>IF(OR(E721="",E721="!!!"),"",IF(OR(J721=0,AND(J721=1,K721=1),AND(J721=1,I721="SBJ"),AND(J721=1,I721=0)),"?IN_FOCUS",IF(J721&lt;=2,"?ACTIVATED",IF(J721&lt;&gt;"","?FAMILIAR",IF(F721="NEW",IF(ISNA(VLOOKUP(E721,#REF!,1,FALSE())),"?TYPE_IDENTIFIABLE","?REFERENTIAL"),"_")))))</f>
        <v/>
      </c>
      <c r="H721" s="24" t="str">
        <f t="shared" ca="1" si="59"/>
        <v/>
      </c>
      <c r="I721" s="25" t="str">
        <f>IF(OR(E721="",E721="!!!",F721="NEW"),"",INDEX(B$2:B720,-1+SUMPRODUCT(MAX(ROW(E$2:E720)*(E721=E$2:E720)))))</f>
        <v/>
      </c>
      <c r="J721" s="25" t="str">
        <f ca="1">IF(OR(E721="",E721="!!!",F721="NEW"),"",COUNTBLANK(OFFSET(A$1,,,SUMPRODUCT(MAX(ROW(E$2:E721)*(E721=E$2:E721)))))-COUNTBLANK(OFFSET(A$1,,,SUMPRODUCT(MAX(ROW(E$1:E720)*(E2=E$1:E720))))))</f>
        <v/>
      </c>
      <c r="K721" s="25" t="str">
        <f>IF(OR(E721="",E721="!!!",F721="NEW"),"",INDEX(J$1:J720,SUMPRODUCT(MAX(ROW(E$1:E720)*(E721=E$1:E720)))))</f>
        <v/>
      </c>
      <c r="L721" s="26"/>
    </row>
    <row r="722" spans="1:12" x14ac:dyDescent="0.3">
      <c r="A722" t="s">
        <v>162</v>
      </c>
      <c r="E722" s="21" t="str">
        <f t="shared" si="58"/>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59"/>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503</v>
      </c>
      <c r="B723" s="20" t="s">
        <v>177</v>
      </c>
      <c r="C723" s="20" t="s">
        <v>148</v>
      </c>
      <c r="D723" s="20" t="s">
        <v>149</v>
      </c>
      <c r="E723" s="21" t="s">
        <v>585</v>
      </c>
      <c r="F723" s="22" t="str">
        <f>IF(OR(E723="",E723="!!!"),"",IF(NOT(ISNA(VLOOKUP(E723,E$1:E722,1,FALSE()))),"OLD",IF(AND(E723&lt;&gt;"",E723&lt;&gt;"!!!"),"NEW","")))</f>
        <v>OLD</v>
      </c>
      <c r="G723" s="23" t="s">
        <v>590</v>
      </c>
      <c r="H723" s="24" t="str">
        <f t="shared" ca="1" si="59"/>
        <v/>
      </c>
      <c r="I723" s="25" t="str">
        <f>IF(OR(E723="",E723="!!!",F723="NEW"),"",INDEX(B$2:B722,-1+SUMPRODUCT(MAX(ROW(E$2:E722)*(E723=E$2:E722)))))</f>
        <v>SBJ</v>
      </c>
      <c r="J723" s="25">
        <f ca="1">IF(OR(E723="",E723="!!!",F723="NEW"),"",COUNTBLANK(OFFSET(A$1,,,SUMPRODUCT(MAX(ROW(E$2:E723)*(E723=E$2:E723)))))-COUNTBLANK(OFFSET(A$1,,,SUMPRODUCT(MAX(ROW(E$1:E722)*(E2=E$1:E722))))))</f>
        <v>0</v>
      </c>
      <c r="K723" s="25">
        <f ca="1">IF(OR(E723="",E723="!!!",F723="NEW"),"",INDEX(J$1:J722,SUMPRODUCT(MAX(ROW(E$1:E722)*(E723=E$1:E722)))))</f>
        <v>0</v>
      </c>
      <c r="L723" s="26"/>
    </row>
    <row r="724" spans="1:12" x14ac:dyDescent="0.3">
      <c r="A724" t="s">
        <v>159</v>
      </c>
      <c r="E724" s="21" t="str">
        <f t="shared" si="58"/>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59"/>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533</v>
      </c>
      <c r="E725" s="21" t="str">
        <f t="shared" si="58"/>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59"/>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534</v>
      </c>
      <c r="B726" s="20" t="s">
        <v>161</v>
      </c>
      <c r="C726" s="20" t="s">
        <v>158</v>
      </c>
      <c r="E726" s="21" t="str">
        <f t="shared" si="58"/>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59"/>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321</v>
      </c>
      <c r="E727" s="21" t="str">
        <f t="shared" si="58"/>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59"/>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188</v>
      </c>
      <c r="E728" s="21" t="str">
        <f t="shared" si="58"/>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59"/>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535</v>
      </c>
      <c r="B729" s="20" t="s">
        <v>157</v>
      </c>
      <c r="C729" s="20" t="s">
        <v>178</v>
      </c>
      <c r="D729" s="20" t="s">
        <v>149</v>
      </c>
      <c r="E729" s="21" t="s">
        <v>584</v>
      </c>
      <c r="F729" s="22" t="str">
        <f>IF(OR(E729="",E729="!!!"),"",IF(NOT(ISNA(VLOOKUP(E729,E$1:E728,1,FALSE()))),"OLD",IF(AND(E729&lt;&gt;"",E729&lt;&gt;"!!!"),"NEW","")))</f>
        <v>OLD</v>
      </c>
      <c r="G729" s="23" t="s">
        <v>590</v>
      </c>
      <c r="H729" s="24" t="str">
        <f t="shared" ca="1" si="59"/>
        <v/>
      </c>
      <c r="I729" s="25" t="str">
        <f>IF(OR(E729="",E729="!!!",F729="NEW"),"",INDEX(B$2:B728,-1+SUMPRODUCT(MAX(ROW(E$2:E728)*(E729=E$2:E728)))))</f>
        <v>OBJ_2</v>
      </c>
      <c r="J729" s="25">
        <f ca="1">IF(OR(E729="",E729="!!!",F729="NEW"),"",COUNTBLANK(OFFSET(A$1,,,SUMPRODUCT(MAX(ROW(E$2:E729)*(E729=E$2:E729)))))-COUNTBLANK(OFFSET(A$1,,,SUMPRODUCT(MAX(ROW(E$1:E728)*(E2=E$1:E728))))))</f>
        <v>0</v>
      </c>
      <c r="K729" s="25">
        <f ca="1">IF(OR(E729="",E729="!!!",F729="NEW"),"",INDEX(J$1:J728,SUMPRODUCT(MAX(ROW(E$1:E728)*(E729=E$1:E728)))))</f>
        <v>0</v>
      </c>
      <c r="L729" s="26"/>
    </row>
    <row r="730" spans="1:12" x14ac:dyDescent="0.3">
      <c r="A730" t="s">
        <v>206</v>
      </c>
      <c r="E730" s="21" t="str">
        <f t="shared" si="58"/>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59"/>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277</v>
      </c>
      <c r="E731" s="21" t="str">
        <f t="shared" si="58"/>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59"/>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536</v>
      </c>
      <c r="E732" s="21" t="str">
        <f t="shared" si="58"/>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59"/>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176</v>
      </c>
      <c r="B733" s="20" t="s">
        <v>161</v>
      </c>
      <c r="C733" s="20" t="s">
        <v>178</v>
      </c>
      <c r="D733" s="20" t="s">
        <v>149</v>
      </c>
      <c r="E733" s="21" t="s">
        <v>558</v>
      </c>
      <c r="F733" s="22" t="str">
        <f>IF(OR(E733="",E733="!!!"),"",IF(NOT(ISNA(VLOOKUP(E733,E$1:E732,1,FALSE()))),"OLD",IF(AND(E733&lt;&gt;"",E733&lt;&gt;"!!!"),"NEW","")))</f>
        <v>OLD</v>
      </c>
      <c r="G733" s="23" t="s">
        <v>565</v>
      </c>
      <c r="H733" s="24" t="str">
        <f t="shared" ca="1" si="59"/>
        <v/>
      </c>
      <c r="I733" s="25" t="str">
        <f>IF(OR(E733="",E733="!!!",F733="NEW"),"",INDEX(B$2:B732,-1+SUMPRODUCT(MAX(ROW(E$2:E732)*(E733=E$2:E732)))))</f>
        <v>other_4</v>
      </c>
      <c r="J733" s="25">
        <f ca="1">IF(OR(E733="",E733="!!!",F733="NEW"),"",COUNTBLANK(OFFSET(A$1,,,SUMPRODUCT(MAX(ROW(E$2:E733)*(E733=E$2:E733)))))-COUNTBLANK(OFFSET(A$1,,,SUMPRODUCT(MAX(ROW(E$1:E732)*(E2=E$1:E732))))))</f>
        <v>0</v>
      </c>
      <c r="K733" s="25">
        <f ca="1">IF(OR(E733="",E733="!!!",F733="NEW"),"",INDEX(J$1:J732,SUMPRODUCT(MAX(ROW(E$1:E732)*(E733=E$1:E732)))))</f>
        <v>0</v>
      </c>
      <c r="L733" s="26"/>
    </row>
    <row r="734" spans="1:12" x14ac:dyDescent="0.3">
      <c r="A734" t="s">
        <v>537</v>
      </c>
      <c r="E734" s="21" t="str">
        <f t="shared" si="58"/>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59"/>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221</v>
      </c>
      <c r="E735" s="21" t="str">
        <f t="shared" si="58"/>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59"/>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6" spans="1:12" x14ac:dyDescent="0.3">
      <c r="A736" t="s">
        <v>159</v>
      </c>
      <c r="E736" s="21" t="str">
        <f t="shared" si="58"/>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59"/>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251</v>
      </c>
      <c r="E737" s="21" t="str">
        <f t="shared" si="58"/>
        <v/>
      </c>
      <c r="F737" s="22" t="str">
        <f>IF(OR(E737="",E737="!!!"),"",IF(NOT(ISNA(VLOOKUP(E737,E$1:E736,1,FALSE()))),"OLD",IF(AND(E737&lt;&gt;"",E737&lt;&gt;"!!!"),"NEW","")))</f>
        <v/>
      </c>
      <c r="G737" s="23" t="str">
        <f>IF(OR(E737="",E737="!!!"),"",IF(OR(J737=0,AND(J737=1,K737=1),AND(J737=1,I737="SBJ"),AND(J737=1,I737=0)),"?IN_FOCUS",IF(J737&lt;=2,"?ACTIVATED",IF(J737&lt;&gt;"","?FAMILIAR",IF(F737="NEW",IF(ISNA(VLOOKUP(E737,#REF!,1,FALSE())),"?TYPE_IDENTIFIABLE","?REFERENTIAL"),"_")))))</f>
        <v/>
      </c>
      <c r="H737" s="24" t="str">
        <f t="shared" ca="1" si="59"/>
        <v/>
      </c>
      <c r="I737" s="25" t="str">
        <f>IF(OR(E737="",E737="!!!",F737="NEW"),"",INDEX(B$2:B736,-1+SUMPRODUCT(MAX(ROW(E$2:E736)*(E737=E$2:E736)))))</f>
        <v/>
      </c>
      <c r="J737" s="25" t="str">
        <f ca="1">IF(OR(E737="",E737="!!!",F737="NEW"),"",COUNTBLANK(OFFSET(A$1,,,SUMPRODUCT(MAX(ROW(E$2:E737)*(E737=E$2:E737)))))-COUNTBLANK(OFFSET(A$1,,,SUMPRODUCT(MAX(ROW(E$1:E736)*(E2=E$1:E736))))))</f>
        <v/>
      </c>
      <c r="K737" s="25" t="str">
        <f>IF(OR(E737="",E737="!!!",F737="NEW"),"",INDEX(J$1:J736,SUMPRODUCT(MAX(ROW(E$1:E736)*(E737=E$1:E736)))))</f>
        <v/>
      </c>
      <c r="L737" s="26"/>
    </row>
    <row r="738" spans="1:12" x14ac:dyDescent="0.3">
      <c r="A738" t="s">
        <v>210</v>
      </c>
      <c r="E738" s="21" t="str">
        <f t="shared" si="58"/>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ca="1" si="59"/>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417</v>
      </c>
      <c r="B739" s="20" t="s">
        <v>175</v>
      </c>
      <c r="C739" s="20" t="s">
        <v>276</v>
      </c>
      <c r="E739" s="21" t="str">
        <f t="shared" si="58"/>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59"/>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202</v>
      </c>
      <c r="E740" s="21" t="str">
        <f t="shared" si="58"/>
        <v/>
      </c>
      <c r="F740" s="22" t="str">
        <f>IF(OR(E740="",E740="!!!"),"",IF(NOT(ISNA(VLOOKUP(E740,E$1:E739,1,FALSE()))),"OLD",IF(AND(E740&lt;&gt;"",E740&lt;&gt;"!!!"),"NEW","")))</f>
        <v/>
      </c>
      <c r="G740" s="23" t="str">
        <f>IF(OR(E740="",E740="!!!"),"",IF(OR(J740=0,AND(J740=1,K740=1),AND(J740=1,I740="SBJ"),AND(J740=1,I740=0)),"?IN_FOCUS",IF(J740&lt;=2,"?ACTIVATED",IF(J740&lt;&gt;"","?FAMILIAR",IF(F740="NEW",IF(ISNA(VLOOKUP(E740,#REF!,1,FALSE())),"?TYPE_IDENTIFIABLE","?REFERENTIAL"),"_")))))</f>
        <v/>
      </c>
      <c r="H740" s="24" t="str">
        <f t="shared" ca="1" si="59"/>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277</v>
      </c>
      <c r="E741" s="21" t="str">
        <f t="shared" si="58"/>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59"/>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153</v>
      </c>
      <c r="B742" s="20" t="s">
        <v>157</v>
      </c>
      <c r="C742" s="20" t="s">
        <v>178</v>
      </c>
      <c r="D742" s="20" t="s">
        <v>149</v>
      </c>
      <c r="E742" s="21" t="s">
        <v>594</v>
      </c>
      <c r="F742" s="22" t="str">
        <f>IF(OR(E742="",E742="!!!"),"",IF(NOT(ISNA(VLOOKUP(E742,E$1:E741,1,FALSE()))),"OLD",IF(AND(E742&lt;&gt;"",E742&lt;&gt;"!!!"),"NEW","")))</f>
        <v>OLD</v>
      </c>
      <c r="G742" s="23" t="s">
        <v>565</v>
      </c>
      <c r="H742" s="24" t="str">
        <f t="shared" ca="1" si="59"/>
        <v/>
      </c>
      <c r="I742" s="25" t="str">
        <f>IF(OR(E742="",E742="!!!",F742="NEW"),"",INDEX(B$2:B741,-1+SUMPRODUCT(MAX(ROW(E$2:E741)*(E742=E$2:E741)))))</f>
        <v>other</v>
      </c>
      <c r="J742" s="25">
        <f ca="1">IF(OR(E742="",E742="!!!",F742="NEW"),"",COUNTBLANK(OFFSET(A$1,,,SUMPRODUCT(MAX(ROW(E$2:E742)*(E742=E$2:E742)))))-COUNTBLANK(OFFSET(A$1,,,SUMPRODUCT(MAX(ROW(E$1:E741)*(E2=E$1:E741))))))</f>
        <v>0</v>
      </c>
      <c r="K742" s="25">
        <f ca="1">IF(OR(E742="",E742="!!!",F742="NEW"),"",INDEX(J$1:J741,SUMPRODUCT(MAX(ROW(E$1:E741)*(E742=E$1:E741)))))</f>
        <v>0</v>
      </c>
      <c r="L742" s="26"/>
    </row>
    <row r="743" spans="1:12" x14ac:dyDescent="0.3">
      <c r="A743" t="s">
        <v>91</v>
      </c>
      <c r="E743" s="21" t="str">
        <f t="shared" si="58"/>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59"/>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221</v>
      </c>
      <c r="E744" s="21" t="str">
        <f t="shared" si="58"/>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59"/>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151</v>
      </c>
      <c r="E745" s="21" t="str">
        <f t="shared" si="58"/>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59"/>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220</v>
      </c>
      <c r="E746" s="21" t="str">
        <f t="shared" si="58"/>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59"/>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151</v>
      </c>
      <c r="E747" s="21" t="str">
        <f t="shared" si="58"/>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59"/>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538</v>
      </c>
      <c r="E748" s="21" t="str">
        <f t="shared" si="58"/>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59"/>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159</v>
      </c>
      <c r="E749" s="21" t="str">
        <f t="shared" si="58"/>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59"/>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539</v>
      </c>
      <c r="E750" s="21" t="str">
        <f t="shared" si="58"/>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59"/>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185</v>
      </c>
      <c r="E751" s="21" t="str">
        <f t="shared" si="58"/>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59"/>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30</v>
      </c>
      <c r="E752" s="21" t="str">
        <f t="shared" si="58"/>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59"/>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180</v>
      </c>
      <c r="E753" s="21" t="str">
        <f t="shared" si="58"/>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59"/>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5" spans="1:12" x14ac:dyDescent="0.3">
      <c r="A755" t="s">
        <v>540</v>
      </c>
    </row>
    <row r="756" spans="1:12" x14ac:dyDescent="0.3">
      <c r="A756" t="s">
        <v>541</v>
      </c>
      <c r="B756" s="20" t="s">
        <v>157</v>
      </c>
      <c r="C756" s="20" t="s">
        <v>148</v>
      </c>
      <c r="D756" s="20" t="s">
        <v>149</v>
      </c>
      <c r="E756" s="21"/>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ref="H756:H762" ca="1" si="60">IF(J756&lt;&gt;1,"",IF(I756="SBJ","CB","?"))</f>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542</v>
      </c>
      <c r="B757" s="20" t="s">
        <v>169</v>
      </c>
      <c r="C757" s="20" t="s">
        <v>170</v>
      </c>
      <c r="D757" s="20" t="s">
        <v>149</v>
      </c>
      <c r="E757" s="21"/>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0"/>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543</v>
      </c>
      <c r="B758" s="20" t="s">
        <v>157</v>
      </c>
      <c r="C758" s="20" t="s">
        <v>148</v>
      </c>
      <c r="D758" s="20" t="s">
        <v>149</v>
      </c>
      <c r="E758" s="21"/>
      <c r="F758" s="22" t="str">
        <f>IF(OR(E758="",E758="!!!"),"",IF(NOT(ISNA(VLOOKUP(E758,E$1:E757,1,FALSE()))),"OLD",IF(AND(E758&lt;&gt;"",E758&lt;&gt;"!!!"),"NEW","")))</f>
        <v/>
      </c>
      <c r="G758" s="23" t="str">
        <f>IF(OR(E758="",E758="!!!"),"",IF(OR(J758=0,AND(J758=1,K758=1),AND(J758=1,I758="SBJ"),AND(J758=1,I758=0)),"?IN_FOCUS",IF(J758&lt;=2,"?ACTIVATED",IF(J758&lt;&gt;"","?FAMILIAR",IF(F758="NEW",IF(ISNA(VLOOKUP(E758,#REF!,1,FALSE())),"?TYPE_IDENTIFIABLE","?REFERENTIAL"),"_")))))</f>
        <v/>
      </c>
      <c r="H758" s="24" t="str">
        <f t="shared" ca="1" si="60"/>
        <v/>
      </c>
      <c r="I758" s="25" t="str">
        <f>IF(OR(E758="",E758="!!!",F758="NEW"),"",INDEX(B$2:B757,-1+SUMPRODUCT(MAX(ROW(E$2:E757)*(E758=E$2:E757)))))</f>
        <v/>
      </c>
      <c r="J758" s="25" t="str">
        <f ca="1">IF(OR(E758="",E758="!!!",F758="NEW"),"",COUNTBLANK(OFFSET(A$1,,,SUMPRODUCT(MAX(ROW(E$2:E758)*(E758=E$2:E758)))))-COUNTBLANK(OFFSET(A$1,,,SUMPRODUCT(MAX(ROW(E$1:E757)*(E2=E$1:E757))))))</f>
        <v/>
      </c>
      <c r="K758" s="25" t="str">
        <f>IF(OR(E758="",E758="!!!",F758="NEW"),"",INDEX(J$1:J757,SUMPRODUCT(MAX(ROW(E$1:E757)*(E758=E$1:E757)))))</f>
        <v/>
      </c>
      <c r="L758" s="26"/>
    </row>
    <row r="759" spans="1:12" x14ac:dyDescent="0.3">
      <c r="A759" t="s">
        <v>544</v>
      </c>
      <c r="E759" s="21" t="str">
        <f t="shared" ref="E759:E761" si="61">IF(D759="?OLD","!!!","")</f>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60"/>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545</v>
      </c>
      <c r="E760" s="21" t="str">
        <f t="shared" si="61"/>
        <v/>
      </c>
      <c r="F760" s="22" t="str">
        <f>IF(OR(E760="",E760="!!!"),"",IF(NOT(ISNA(VLOOKUP(E760,E$1:E759,1,FALSE()))),"OLD",IF(AND(E760&lt;&gt;"",E760&lt;&gt;"!!!"),"NEW","")))</f>
        <v/>
      </c>
      <c r="G760" s="23" t="str">
        <f>IF(OR(E760="",E760="!!!"),"",IF(OR(J760=0,AND(J760=1,K760=1),AND(J760=1,I760="SBJ"),AND(J760=1,I760=0)),"?IN_FOCUS",IF(J760&lt;=2,"?ACTIVATED",IF(J760&lt;&gt;"","?FAMILIAR",IF(F760="NEW",IF(ISNA(VLOOKUP(E760,#REF!,1,FALSE())),"?TYPE_IDENTIFIABLE","?REFERENTIAL"),"_")))))</f>
        <v/>
      </c>
      <c r="H760" s="24" t="str">
        <f t="shared" ca="1" si="60"/>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202</v>
      </c>
      <c r="E761" s="21" t="str">
        <f t="shared" si="61"/>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0"/>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132</v>
      </c>
      <c r="B762" s="20" t="s">
        <v>147</v>
      </c>
      <c r="C762" s="20" t="s">
        <v>148</v>
      </c>
      <c r="D762" s="20" t="s">
        <v>149</v>
      </c>
      <c r="E762" s="21"/>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0"/>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2024-12-05T17:54:40Z</dcterms:created>
  <dcterms:modified xsi:type="dcterms:W3CDTF">2025-09-02T14:29:28Z</dcterms:modified>
</cp:coreProperties>
</file>